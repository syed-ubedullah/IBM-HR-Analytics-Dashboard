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st By Asif Hussain\InternShip\Project By Obayd\IBM HR Analytics Dashboard Project\"/>
    </mc:Choice>
  </mc:AlternateContent>
  <xr:revisionPtr revIDLastSave="0" documentId="13_ncr:1_{99AAAEAA-4452-4726-84AB-C2A40FB22777}" xr6:coauthVersionLast="47" xr6:coauthVersionMax="47" xr10:uidLastSave="{00000000-0000-0000-0000-000000000000}"/>
  <bookViews>
    <workbookView xWindow="-120" yWindow="-120" windowWidth="24240" windowHeight="13140" xr2:uid="{805994C3-8B91-4708-98AD-5AD127AAF227}"/>
  </bookViews>
  <sheets>
    <sheet name="HR_Data" sheetId="1" r:id="rId1"/>
    <sheet name="Validation" sheetId="2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Q2" i="1" l="1"/>
  <c r="AQ3" i="1"/>
  <c r="AQ4" i="1"/>
  <c r="AQ5" i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55" i="1"/>
  <c r="AQ56" i="1"/>
  <c r="AQ57" i="1"/>
  <c r="AQ58" i="1"/>
  <c r="AQ59" i="1"/>
  <c r="AQ60" i="1"/>
  <c r="AQ61" i="1"/>
  <c r="AQ62" i="1"/>
  <c r="AQ63" i="1"/>
  <c r="AQ64" i="1"/>
  <c r="AQ65" i="1"/>
  <c r="AQ66" i="1"/>
  <c r="AQ67" i="1"/>
  <c r="AQ68" i="1"/>
  <c r="AQ69" i="1"/>
  <c r="AQ70" i="1"/>
  <c r="AQ71" i="1"/>
  <c r="AQ72" i="1"/>
  <c r="AQ73" i="1"/>
  <c r="AQ74" i="1"/>
  <c r="AQ75" i="1"/>
  <c r="AQ76" i="1"/>
  <c r="AQ77" i="1"/>
  <c r="AQ78" i="1"/>
  <c r="AQ79" i="1"/>
  <c r="AQ80" i="1"/>
  <c r="AQ81" i="1"/>
  <c r="AQ82" i="1"/>
  <c r="AQ83" i="1"/>
  <c r="AQ84" i="1"/>
  <c r="AQ85" i="1"/>
  <c r="AQ86" i="1"/>
  <c r="AQ87" i="1"/>
  <c r="AQ88" i="1"/>
  <c r="AQ89" i="1"/>
  <c r="AQ90" i="1"/>
  <c r="AQ91" i="1"/>
  <c r="AQ92" i="1"/>
  <c r="AQ93" i="1"/>
  <c r="AQ94" i="1"/>
  <c r="AQ95" i="1"/>
  <c r="AQ96" i="1"/>
  <c r="AQ97" i="1"/>
  <c r="AQ98" i="1"/>
  <c r="AQ99" i="1"/>
  <c r="AQ100" i="1"/>
  <c r="AQ101" i="1"/>
  <c r="AQ102" i="1"/>
  <c r="AQ103" i="1"/>
  <c r="AQ104" i="1"/>
  <c r="AQ105" i="1"/>
  <c r="AQ106" i="1"/>
  <c r="AQ107" i="1"/>
  <c r="AQ108" i="1"/>
  <c r="AQ109" i="1"/>
  <c r="AQ110" i="1"/>
  <c r="AQ111" i="1"/>
  <c r="AQ112" i="1"/>
  <c r="AQ113" i="1"/>
  <c r="AQ114" i="1"/>
  <c r="AQ115" i="1"/>
  <c r="AQ116" i="1"/>
  <c r="AQ117" i="1"/>
  <c r="AQ118" i="1"/>
  <c r="AQ119" i="1"/>
  <c r="AQ120" i="1"/>
  <c r="AQ121" i="1"/>
  <c r="AQ122" i="1"/>
  <c r="AQ123" i="1"/>
  <c r="AQ124" i="1"/>
  <c r="AQ125" i="1"/>
  <c r="AQ126" i="1"/>
  <c r="AQ127" i="1"/>
  <c r="AQ128" i="1"/>
  <c r="AQ129" i="1"/>
  <c r="AQ130" i="1"/>
  <c r="AQ131" i="1"/>
  <c r="AQ132" i="1"/>
  <c r="AQ133" i="1"/>
  <c r="AQ134" i="1"/>
  <c r="AQ135" i="1"/>
  <c r="AQ136" i="1"/>
  <c r="AQ137" i="1"/>
  <c r="AQ138" i="1"/>
  <c r="AQ139" i="1"/>
  <c r="AQ140" i="1"/>
  <c r="AQ141" i="1"/>
  <c r="AQ142" i="1"/>
  <c r="AQ143" i="1"/>
  <c r="AQ144" i="1"/>
  <c r="AQ145" i="1"/>
  <c r="AQ146" i="1"/>
  <c r="AQ147" i="1"/>
  <c r="AQ148" i="1"/>
  <c r="AQ149" i="1"/>
  <c r="AQ150" i="1"/>
  <c r="AQ151" i="1"/>
  <c r="AQ152" i="1"/>
  <c r="AQ153" i="1"/>
  <c r="AQ154" i="1"/>
  <c r="AQ155" i="1"/>
  <c r="AQ156" i="1"/>
  <c r="AQ157" i="1"/>
  <c r="AQ158" i="1"/>
  <c r="AQ159" i="1"/>
  <c r="AQ160" i="1"/>
  <c r="AQ161" i="1"/>
  <c r="AQ162" i="1"/>
  <c r="AQ163" i="1"/>
  <c r="AQ164" i="1"/>
  <c r="AQ165" i="1"/>
  <c r="AQ166" i="1"/>
  <c r="AQ167" i="1"/>
  <c r="AQ168" i="1"/>
  <c r="AQ169" i="1"/>
  <c r="AQ170" i="1"/>
  <c r="AQ171" i="1"/>
  <c r="AQ172" i="1"/>
  <c r="AQ173" i="1"/>
  <c r="AQ174" i="1"/>
  <c r="AQ175" i="1"/>
  <c r="AQ176" i="1"/>
  <c r="AQ177" i="1"/>
  <c r="AQ178" i="1"/>
  <c r="AQ179" i="1"/>
  <c r="AQ180" i="1"/>
  <c r="AQ181" i="1"/>
  <c r="AQ182" i="1"/>
  <c r="AQ183" i="1"/>
  <c r="AQ184" i="1"/>
  <c r="AQ185" i="1"/>
  <c r="AQ186" i="1"/>
  <c r="AQ187" i="1"/>
  <c r="AQ188" i="1"/>
  <c r="AQ189" i="1"/>
  <c r="AQ190" i="1"/>
  <c r="AQ191" i="1"/>
  <c r="AQ192" i="1"/>
  <c r="AQ193" i="1"/>
  <c r="AQ194" i="1"/>
  <c r="AQ195" i="1"/>
  <c r="AQ196" i="1"/>
  <c r="AQ197" i="1"/>
  <c r="AQ198" i="1"/>
  <c r="AQ199" i="1"/>
  <c r="AQ200" i="1"/>
  <c r="AQ201" i="1"/>
  <c r="AQ202" i="1"/>
  <c r="AQ203" i="1"/>
  <c r="AQ204" i="1"/>
  <c r="AQ205" i="1"/>
  <c r="AQ206" i="1"/>
  <c r="AQ207" i="1"/>
  <c r="AQ208" i="1"/>
  <c r="AQ209" i="1"/>
  <c r="AQ210" i="1"/>
  <c r="AQ211" i="1"/>
  <c r="AQ212" i="1"/>
  <c r="AQ213" i="1"/>
  <c r="AQ214" i="1"/>
  <c r="AQ215" i="1"/>
  <c r="AQ216" i="1"/>
  <c r="AQ217" i="1"/>
  <c r="AQ218" i="1"/>
  <c r="AQ219" i="1"/>
  <c r="AQ220" i="1"/>
  <c r="AQ221" i="1"/>
  <c r="AQ222" i="1"/>
  <c r="AQ223" i="1"/>
  <c r="AQ224" i="1"/>
  <c r="AQ225" i="1"/>
  <c r="AQ226" i="1"/>
  <c r="AQ227" i="1"/>
  <c r="AQ228" i="1"/>
  <c r="AQ229" i="1"/>
  <c r="AQ230" i="1"/>
  <c r="AQ231" i="1"/>
  <c r="AQ232" i="1"/>
  <c r="AQ233" i="1"/>
  <c r="AQ234" i="1"/>
  <c r="AQ235" i="1"/>
  <c r="AQ236" i="1"/>
  <c r="AQ237" i="1"/>
  <c r="AQ238" i="1"/>
  <c r="AQ239" i="1"/>
  <c r="AQ240" i="1"/>
  <c r="AQ241" i="1"/>
  <c r="AQ242" i="1"/>
  <c r="AQ243" i="1"/>
  <c r="AQ244" i="1"/>
  <c r="AQ245" i="1"/>
  <c r="AQ246" i="1"/>
  <c r="AQ247" i="1"/>
  <c r="AQ248" i="1"/>
  <c r="AQ249" i="1"/>
  <c r="AQ250" i="1"/>
  <c r="AQ251" i="1"/>
  <c r="AQ252" i="1"/>
  <c r="AQ253" i="1"/>
  <c r="AQ254" i="1"/>
  <c r="AQ255" i="1"/>
  <c r="AQ256" i="1"/>
  <c r="AQ257" i="1"/>
  <c r="AQ258" i="1"/>
  <c r="AQ259" i="1"/>
  <c r="AQ260" i="1"/>
  <c r="AQ261" i="1"/>
  <c r="AQ262" i="1"/>
  <c r="AQ263" i="1"/>
  <c r="AQ264" i="1"/>
  <c r="AQ265" i="1"/>
  <c r="AQ266" i="1"/>
  <c r="AQ267" i="1"/>
  <c r="AQ268" i="1"/>
  <c r="AQ269" i="1"/>
  <c r="AQ270" i="1"/>
  <c r="AQ271" i="1"/>
  <c r="AQ272" i="1"/>
  <c r="AQ273" i="1"/>
  <c r="AQ274" i="1"/>
  <c r="AQ275" i="1"/>
  <c r="AQ276" i="1"/>
  <c r="AQ277" i="1"/>
  <c r="AQ278" i="1"/>
  <c r="AQ279" i="1"/>
  <c r="AQ280" i="1"/>
  <c r="AQ281" i="1"/>
  <c r="AQ282" i="1"/>
  <c r="AQ283" i="1"/>
  <c r="AQ284" i="1"/>
  <c r="AQ285" i="1"/>
  <c r="AQ286" i="1"/>
  <c r="AQ287" i="1"/>
  <c r="AQ288" i="1"/>
  <c r="AQ289" i="1"/>
  <c r="AQ290" i="1"/>
  <c r="AQ291" i="1"/>
  <c r="AQ292" i="1"/>
  <c r="AQ293" i="1"/>
  <c r="AQ294" i="1"/>
  <c r="AQ295" i="1"/>
  <c r="AQ296" i="1"/>
  <c r="AQ297" i="1"/>
  <c r="AQ298" i="1"/>
  <c r="AQ299" i="1"/>
  <c r="AQ300" i="1"/>
  <c r="AQ301" i="1"/>
  <c r="AQ302" i="1"/>
  <c r="AQ303" i="1"/>
  <c r="AQ304" i="1"/>
  <c r="AQ305" i="1"/>
  <c r="AQ306" i="1"/>
  <c r="AQ307" i="1"/>
  <c r="AQ308" i="1"/>
  <c r="AQ309" i="1"/>
  <c r="AQ310" i="1"/>
  <c r="AQ311" i="1"/>
  <c r="AQ312" i="1"/>
  <c r="AQ313" i="1"/>
  <c r="AQ314" i="1"/>
  <c r="AQ315" i="1"/>
  <c r="AQ316" i="1"/>
  <c r="AQ317" i="1"/>
  <c r="AQ318" i="1"/>
  <c r="AQ319" i="1"/>
  <c r="AQ320" i="1"/>
  <c r="AQ321" i="1"/>
  <c r="AQ322" i="1"/>
  <c r="AQ323" i="1"/>
  <c r="AQ324" i="1"/>
  <c r="AQ325" i="1"/>
  <c r="AQ326" i="1"/>
  <c r="AQ327" i="1"/>
  <c r="AQ328" i="1"/>
  <c r="AQ329" i="1"/>
  <c r="AQ330" i="1"/>
  <c r="AQ331" i="1"/>
  <c r="AQ332" i="1"/>
  <c r="AQ333" i="1"/>
  <c r="AQ334" i="1"/>
  <c r="AQ335" i="1"/>
  <c r="AQ336" i="1"/>
  <c r="AQ337" i="1"/>
  <c r="AQ338" i="1"/>
  <c r="AQ339" i="1"/>
  <c r="AQ340" i="1"/>
  <c r="AQ341" i="1"/>
  <c r="AQ342" i="1"/>
  <c r="AQ343" i="1"/>
  <c r="AQ344" i="1"/>
  <c r="AQ345" i="1"/>
  <c r="AQ346" i="1"/>
  <c r="AQ347" i="1"/>
  <c r="AQ348" i="1"/>
  <c r="AQ349" i="1"/>
  <c r="AQ350" i="1"/>
  <c r="AQ351" i="1"/>
  <c r="AQ352" i="1"/>
  <c r="AQ353" i="1"/>
  <c r="AQ354" i="1"/>
  <c r="AQ355" i="1"/>
  <c r="AQ356" i="1"/>
  <c r="AQ357" i="1"/>
  <c r="AQ358" i="1"/>
  <c r="AQ359" i="1"/>
  <c r="AQ360" i="1"/>
  <c r="AQ361" i="1"/>
  <c r="AQ362" i="1"/>
  <c r="AQ363" i="1"/>
  <c r="AQ364" i="1"/>
  <c r="AQ365" i="1"/>
  <c r="AQ366" i="1"/>
  <c r="AQ367" i="1"/>
  <c r="AQ368" i="1"/>
  <c r="AQ369" i="1"/>
  <c r="AQ370" i="1"/>
  <c r="AQ371" i="1"/>
  <c r="AQ372" i="1"/>
  <c r="AQ373" i="1"/>
  <c r="AQ374" i="1"/>
  <c r="AQ375" i="1"/>
  <c r="AQ376" i="1"/>
  <c r="AQ377" i="1"/>
  <c r="AQ378" i="1"/>
  <c r="AQ379" i="1"/>
  <c r="AQ380" i="1"/>
  <c r="AQ381" i="1"/>
  <c r="AQ382" i="1"/>
  <c r="AQ383" i="1"/>
  <c r="AQ384" i="1"/>
  <c r="AQ385" i="1"/>
  <c r="AQ386" i="1"/>
  <c r="AQ387" i="1"/>
  <c r="AQ388" i="1"/>
  <c r="AQ389" i="1"/>
  <c r="AQ390" i="1"/>
  <c r="AQ391" i="1"/>
  <c r="AQ392" i="1"/>
  <c r="AQ393" i="1"/>
  <c r="AQ394" i="1"/>
  <c r="AQ395" i="1"/>
  <c r="AQ396" i="1"/>
  <c r="AQ397" i="1"/>
  <c r="AQ398" i="1"/>
  <c r="AQ399" i="1"/>
  <c r="AQ400" i="1"/>
  <c r="AQ401" i="1"/>
  <c r="AQ402" i="1"/>
  <c r="AQ403" i="1"/>
  <c r="AQ404" i="1"/>
  <c r="AQ405" i="1"/>
  <c r="AQ406" i="1"/>
  <c r="AQ407" i="1"/>
  <c r="AQ408" i="1"/>
  <c r="AQ409" i="1"/>
  <c r="AQ410" i="1"/>
  <c r="AQ411" i="1"/>
  <c r="AQ412" i="1"/>
  <c r="AQ413" i="1"/>
  <c r="AQ414" i="1"/>
  <c r="AQ415" i="1"/>
  <c r="AQ416" i="1"/>
  <c r="AQ417" i="1"/>
  <c r="AQ418" i="1"/>
  <c r="AQ419" i="1"/>
  <c r="AQ420" i="1"/>
  <c r="AQ421" i="1"/>
  <c r="AQ422" i="1"/>
  <c r="AQ423" i="1"/>
  <c r="AQ424" i="1"/>
  <c r="AQ425" i="1"/>
  <c r="AQ426" i="1"/>
  <c r="AQ427" i="1"/>
  <c r="AQ428" i="1"/>
  <c r="AQ429" i="1"/>
  <c r="AQ430" i="1"/>
  <c r="AQ431" i="1"/>
  <c r="AQ432" i="1"/>
  <c r="AQ433" i="1"/>
  <c r="AQ434" i="1"/>
  <c r="AQ435" i="1"/>
  <c r="AQ436" i="1"/>
  <c r="AQ437" i="1"/>
  <c r="AQ438" i="1"/>
  <c r="AQ439" i="1"/>
  <c r="AQ440" i="1"/>
  <c r="AQ441" i="1"/>
  <c r="AQ442" i="1"/>
  <c r="AQ443" i="1"/>
  <c r="AQ444" i="1"/>
  <c r="AQ445" i="1"/>
  <c r="AQ446" i="1"/>
  <c r="AQ447" i="1"/>
  <c r="AQ448" i="1"/>
  <c r="AQ449" i="1"/>
  <c r="AQ450" i="1"/>
  <c r="AQ451" i="1"/>
  <c r="AQ452" i="1"/>
  <c r="AQ453" i="1"/>
  <c r="AQ454" i="1"/>
  <c r="AQ455" i="1"/>
  <c r="AQ456" i="1"/>
  <c r="AQ457" i="1"/>
  <c r="AQ458" i="1"/>
  <c r="AQ459" i="1"/>
  <c r="AQ460" i="1"/>
  <c r="AQ461" i="1"/>
  <c r="AQ462" i="1"/>
  <c r="AQ463" i="1"/>
  <c r="AQ464" i="1"/>
  <c r="AQ465" i="1"/>
  <c r="AQ466" i="1"/>
  <c r="AQ467" i="1"/>
  <c r="AQ468" i="1"/>
  <c r="AQ469" i="1"/>
  <c r="AQ470" i="1"/>
  <c r="AQ471" i="1"/>
  <c r="AQ472" i="1"/>
  <c r="AQ473" i="1"/>
  <c r="AQ474" i="1"/>
  <c r="AQ475" i="1"/>
  <c r="AQ476" i="1"/>
  <c r="AQ477" i="1"/>
  <c r="AQ478" i="1"/>
  <c r="AQ479" i="1"/>
  <c r="AQ480" i="1"/>
  <c r="AQ481" i="1"/>
  <c r="AQ482" i="1"/>
  <c r="AQ483" i="1"/>
  <c r="AQ484" i="1"/>
  <c r="AQ485" i="1"/>
  <c r="AQ486" i="1"/>
  <c r="AQ487" i="1"/>
  <c r="AQ488" i="1"/>
  <c r="AQ489" i="1"/>
  <c r="AQ490" i="1"/>
  <c r="AQ491" i="1"/>
  <c r="AQ492" i="1"/>
  <c r="AQ493" i="1"/>
  <c r="AQ494" i="1"/>
  <c r="AQ495" i="1"/>
  <c r="AQ496" i="1"/>
  <c r="AQ497" i="1"/>
  <c r="AQ498" i="1"/>
  <c r="AQ499" i="1"/>
  <c r="AQ500" i="1"/>
  <c r="AQ501" i="1"/>
  <c r="AQ502" i="1"/>
  <c r="AQ503" i="1"/>
  <c r="AQ504" i="1"/>
  <c r="AQ505" i="1"/>
  <c r="AQ506" i="1"/>
  <c r="AQ507" i="1"/>
  <c r="AQ508" i="1"/>
  <c r="AQ509" i="1"/>
  <c r="AQ510" i="1"/>
  <c r="AQ511" i="1"/>
  <c r="AQ512" i="1"/>
  <c r="AQ513" i="1"/>
  <c r="AQ514" i="1"/>
  <c r="AQ515" i="1"/>
  <c r="AQ516" i="1"/>
  <c r="AQ517" i="1"/>
  <c r="AQ518" i="1"/>
  <c r="AQ519" i="1"/>
  <c r="AQ520" i="1"/>
  <c r="AQ521" i="1"/>
  <c r="AQ522" i="1"/>
  <c r="AQ523" i="1"/>
  <c r="AQ524" i="1"/>
  <c r="AQ525" i="1"/>
  <c r="AQ526" i="1"/>
  <c r="AQ527" i="1"/>
  <c r="AQ528" i="1"/>
  <c r="AQ529" i="1"/>
  <c r="AQ530" i="1"/>
  <c r="AQ531" i="1"/>
  <c r="AQ532" i="1"/>
  <c r="AQ533" i="1"/>
  <c r="AQ534" i="1"/>
  <c r="AQ535" i="1"/>
  <c r="AQ536" i="1"/>
  <c r="AQ537" i="1"/>
  <c r="AQ538" i="1"/>
  <c r="AQ539" i="1"/>
  <c r="AQ540" i="1"/>
  <c r="AQ541" i="1"/>
  <c r="AQ542" i="1"/>
  <c r="AQ543" i="1"/>
  <c r="AQ544" i="1"/>
  <c r="AQ545" i="1"/>
  <c r="AQ546" i="1"/>
  <c r="AQ547" i="1"/>
  <c r="AQ548" i="1"/>
  <c r="AQ549" i="1"/>
  <c r="AQ550" i="1"/>
  <c r="AQ551" i="1"/>
  <c r="AQ552" i="1"/>
  <c r="AQ553" i="1"/>
  <c r="AQ554" i="1"/>
  <c r="AQ555" i="1"/>
  <c r="AQ556" i="1"/>
  <c r="AQ557" i="1"/>
  <c r="AQ558" i="1"/>
  <c r="AQ559" i="1"/>
  <c r="AQ560" i="1"/>
  <c r="AQ561" i="1"/>
  <c r="AQ562" i="1"/>
  <c r="AQ563" i="1"/>
  <c r="AQ564" i="1"/>
  <c r="AQ565" i="1"/>
  <c r="AQ566" i="1"/>
  <c r="AQ567" i="1"/>
  <c r="AQ568" i="1"/>
  <c r="AQ569" i="1"/>
  <c r="AQ570" i="1"/>
  <c r="AQ571" i="1"/>
  <c r="AQ572" i="1"/>
  <c r="AQ573" i="1"/>
  <c r="AQ574" i="1"/>
  <c r="AQ575" i="1"/>
  <c r="AQ576" i="1"/>
  <c r="AQ577" i="1"/>
  <c r="AQ578" i="1"/>
  <c r="AQ579" i="1"/>
  <c r="AQ580" i="1"/>
  <c r="AQ581" i="1"/>
  <c r="AQ582" i="1"/>
  <c r="AQ583" i="1"/>
  <c r="AQ584" i="1"/>
  <c r="AQ585" i="1"/>
  <c r="AQ586" i="1"/>
  <c r="AQ587" i="1"/>
  <c r="AQ588" i="1"/>
  <c r="AQ589" i="1"/>
  <c r="AQ590" i="1"/>
  <c r="AQ591" i="1"/>
  <c r="AQ592" i="1"/>
  <c r="AQ593" i="1"/>
  <c r="AQ594" i="1"/>
  <c r="AQ595" i="1"/>
  <c r="AQ596" i="1"/>
  <c r="AQ597" i="1"/>
  <c r="AQ598" i="1"/>
  <c r="AQ599" i="1"/>
  <c r="AQ600" i="1"/>
  <c r="AQ601" i="1"/>
  <c r="AQ602" i="1"/>
  <c r="AQ603" i="1"/>
  <c r="AQ604" i="1"/>
  <c r="AQ605" i="1"/>
  <c r="AQ606" i="1"/>
  <c r="AQ607" i="1"/>
  <c r="AQ608" i="1"/>
  <c r="AQ609" i="1"/>
  <c r="AQ610" i="1"/>
  <c r="AQ611" i="1"/>
  <c r="AQ612" i="1"/>
  <c r="AQ613" i="1"/>
  <c r="AQ614" i="1"/>
  <c r="AQ615" i="1"/>
  <c r="AQ616" i="1"/>
  <c r="AQ617" i="1"/>
  <c r="AQ618" i="1"/>
  <c r="AQ619" i="1"/>
  <c r="AQ620" i="1"/>
  <c r="AQ621" i="1"/>
  <c r="AQ622" i="1"/>
  <c r="AQ623" i="1"/>
  <c r="AQ624" i="1"/>
  <c r="AQ625" i="1"/>
  <c r="AQ626" i="1"/>
  <c r="AQ627" i="1"/>
  <c r="AQ628" i="1"/>
  <c r="AQ629" i="1"/>
  <c r="AQ630" i="1"/>
  <c r="AQ631" i="1"/>
  <c r="AQ632" i="1"/>
  <c r="AQ633" i="1"/>
  <c r="AQ634" i="1"/>
  <c r="AQ635" i="1"/>
  <c r="AQ636" i="1"/>
  <c r="AQ637" i="1"/>
  <c r="AQ638" i="1"/>
  <c r="AQ639" i="1"/>
  <c r="AQ640" i="1"/>
  <c r="AQ641" i="1"/>
  <c r="AQ642" i="1"/>
  <c r="AQ643" i="1"/>
  <c r="AQ644" i="1"/>
  <c r="AQ645" i="1"/>
  <c r="AQ646" i="1"/>
  <c r="AQ647" i="1"/>
  <c r="AQ648" i="1"/>
  <c r="AQ649" i="1"/>
  <c r="AQ650" i="1"/>
  <c r="AQ651" i="1"/>
  <c r="AQ652" i="1"/>
  <c r="AQ653" i="1"/>
  <c r="AQ654" i="1"/>
  <c r="AQ655" i="1"/>
  <c r="AQ656" i="1"/>
  <c r="AQ657" i="1"/>
  <c r="AQ658" i="1"/>
  <c r="AQ659" i="1"/>
  <c r="AQ660" i="1"/>
  <c r="AQ661" i="1"/>
  <c r="AQ662" i="1"/>
  <c r="AQ663" i="1"/>
  <c r="AQ664" i="1"/>
  <c r="AQ665" i="1"/>
  <c r="AQ666" i="1"/>
  <c r="AQ667" i="1"/>
  <c r="AQ668" i="1"/>
  <c r="AQ669" i="1"/>
  <c r="AQ670" i="1"/>
  <c r="AQ671" i="1"/>
  <c r="AQ672" i="1"/>
  <c r="AQ673" i="1"/>
  <c r="AQ674" i="1"/>
  <c r="AQ675" i="1"/>
  <c r="AQ676" i="1"/>
  <c r="AQ677" i="1"/>
  <c r="AQ678" i="1"/>
  <c r="AQ679" i="1"/>
  <c r="AQ680" i="1"/>
  <c r="AQ681" i="1"/>
  <c r="AQ682" i="1"/>
  <c r="AQ683" i="1"/>
  <c r="AQ684" i="1"/>
  <c r="AQ685" i="1"/>
  <c r="AQ686" i="1"/>
  <c r="AQ687" i="1"/>
  <c r="AQ688" i="1"/>
  <c r="AQ689" i="1"/>
  <c r="AQ690" i="1"/>
  <c r="AQ691" i="1"/>
  <c r="AQ692" i="1"/>
  <c r="AQ693" i="1"/>
  <c r="AQ694" i="1"/>
  <c r="AQ695" i="1"/>
  <c r="AQ696" i="1"/>
  <c r="AQ697" i="1"/>
  <c r="AQ698" i="1"/>
  <c r="AQ699" i="1"/>
  <c r="AQ700" i="1"/>
  <c r="AQ701" i="1"/>
  <c r="AQ702" i="1"/>
  <c r="AQ703" i="1"/>
  <c r="AQ704" i="1"/>
  <c r="AQ705" i="1"/>
  <c r="AQ706" i="1"/>
  <c r="AQ707" i="1"/>
  <c r="AQ708" i="1"/>
  <c r="AQ709" i="1"/>
  <c r="AQ710" i="1"/>
  <c r="AQ711" i="1"/>
  <c r="AQ712" i="1"/>
  <c r="AQ713" i="1"/>
  <c r="AQ714" i="1"/>
  <c r="AQ715" i="1"/>
  <c r="AQ716" i="1"/>
  <c r="AQ717" i="1"/>
  <c r="AQ718" i="1"/>
  <c r="AQ719" i="1"/>
  <c r="AQ720" i="1"/>
  <c r="AQ721" i="1"/>
  <c r="AQ722" i="1"/>
  <c r="AQ723" i="1"/>
  <c r="AQ724" i="1"/>
  <c r="AQ725" i="1"/>
  <c r="AQ726" i="1"/>
  <c r="AQ727" i="1"/>
  <c r="AQ728" i="1"/>
  <c r="AQ729" i="1"/>
  <c r="AQ730" i="1"/>
  <c r="AQ731" i="1"/>
  <c r="AQ732" i="1"/>
  <c r="AQ733" i="1"/>
  <c r="AQ734" i="1"/>
  <c r="AQ735" i="1"/>
  <c r="AQ736" i="1"/>
  <c r="AQ737" i="1"/>
  <c r="AQ738" i="1"/>
  <c r="AQ739" i="1"/>
  <c r="AQ740" i="1"/>
  <c r="AQ741" i="1"/>
  <c r="AQ742" i="1"/>
  <c r="AQ743" i="1"/>
  <c r="AQ744" i="1"/>
  <c r="AQ745" i="1"/>
  <c r="AQ746" i="1"/>
  <c r="AQ747" i="1"/>
  <c r="AQ748" i="1"/>
  <c r="AQ749" i="1"/>
  <c r="AQ750" i="1"/>
  <c r="AQ751" i="1"/>
  <c r="AQ752" i="1"/>
  <c r="AQ753" i="1"/>
  <c r="AQ754" i="1"/>
  <c r="AQ755" i="1"/>
  <c r="AQ756" i="1"/>
  <c r="AQ757" i="1"/>
  <c r="AQ758" i="1"/>
  <c r="AQ759" i="1"/>
  <c r="AQ760" i="1"/>
  <c r="AQ761" i="1"/>
  <c r="AQ762" i="1"/>
  <c r="AQ763" i="1"/>
  <c r="AQ764" i="1"/>
  <c r="AQ765" i="1"/>
  <c r="AQ766" i="1"/>
  <c r="AQ767" i="1"/>
  <c r="AQ768" i="1"/>
  <c r="AQ769" i="1"/>
  <c r="AQ770" i="1"/>
  <c r="AQ771" i="1"/>
  <c r="AQ772" i="1"/>
  <c r="AQ773" i="1"/>
  <c r="AQ774" i="1"/>
  <c r="AQ775" i="1"/>
  <c r="AQ776" i="1"/>
  <c r="AQ777" i="1"/>
  <c r="AQ778" i="1"/>
  <c r="AQ779" i="1"/>
  <c r="AQ780" i="1"/>
  <c r="AQ781" i="1"/>
  <c r="AQ782" i="1"/>
  <c r="AQ783" i="1"/>
  <c r="AQ784" i="1"/>
  <c r="AQ785" i="1"/>
  <c r="AQ786" i="1"/>
  <c r="AQ787" i="1"/>
  <c r="AQ788" i="1"/>
  <c r="AQ789" i="1"/>
  <c r="AQ790" i="1"/>
  <c r="AQ791" i="1"/>
  <c r="AQ792" i="1"/>
  <c r="AQ793" i="1"/>
  <c r="AQ794" i="1"/>
  <c r="AQ795" i="1"/>
  <c r="AQ796" i="1"/>
  <c r="AQ797" i="1"/>
  <c r="AQ798" i="1"/>
  <c r="AQ799" i="1"/>
  <c r="AQ800" i="1"/>
  <c r="AQ801" i="1"/>
  <c r="AQ802" i="1"/>
  <c r="AQ803" i="1"/>
  <c r="AQ804" i="1"/>
  <c r="AQ805" i="1"/>
  <c r="AQ806" i="1"/>
  <c r="AQ807" i="1"/>
  <c r="AQ808" i="1"/>
  <c r="AQ809" i="1"/>
  <c r="AQ810" i="1"/>
  <c r="AQ811" i="1"/>
  <c r="AQ812" i="1"/>
  <c r="AQ813" i="1"/>
  <c r="AQ814" i="1"/>
  <c r="AQ815" i="1"/>
  <c r="AQ816" i="1"/>
  <c r="AQ817" i="1"/>
  <c r="AQ818" i="1"/>
  <c r="AQ819" i="1"/>
  <c r="AQ820" i="1"/>
  <c r="AQ821" i="1"/>
  <c r="AQ822" i="1"/>
  <c r="AQ823" i="1"/>
  <c r="AQ824" i="1"/>
  <c r="AQ825" i="1"/>
  <c r="AQ826" i="1"/>
  <c r="AQ827" i="1"/>
  <c r="AQ828" i="1"/>
  <c r="AQ829" i="1"/>
  <c r="AQ830" i="1"/>
  <c r="AQ831" i="1"/>
  <c r="AQ832" i="1"/>
  <c r="AQ833" i="1"/>
  <c r="AQ834" i="1"/>
  <c r="AQ835" i="1"/>
  <c r="AQ836" i="1"/>
  <c r="AQ837" i="1"/>
  <c r="AQ838" i="1"/>
  <c r="AQ839" i="1"/>
  <c r="AQ840" i="1"/>
  <c r="AQ841" i="1"/>
  <c r="AQ842" i="1"/>
  <c r="AQ843" i="1"/>
  <c r="AQ844" i="1"/>
  <c r="AQ845" i="1"/>
  <c r="AQ846" i="1"/>
  <c r="AQ847" i="1"/>
  <c r="AQ848" i="1"/>
  <c r="AQ849" i="1"/>
  <c r="AQ850" i="1"/>
  <c r="AQ851" i="1"/>
  <c r="AQ852" i="1"/>
  <c r="AQ853" i="1"/>
  <c r="AQ854" i="1"/>
  <c r="AQ855" i="1"/>
  <c r="AQ856" i="1"/>
  <c r="AQ857" i="1"/>
  <c r="AQ858" i="1"/>
  <c r="AQ859" i="1"/>
  <c r="AQ860" i="1"/>
  <c r="AQ861" i="1"/>
  <c r="AQ862" i="1"/>
  <c r="AQ863" i="1"/>
  <c r="AQ864" i="1"/>
  <c r="AQ865" i="1"/>
  <c r="AQ866" i="1"/>
  <c r="AQ867" i="1"/>
  <c r="AQ868" i="1"/>
  <c r="AQ869" i="1"/>
  <c r="AQ870" i="1"/>
  <c r="AQ871" i="1"/>
  <c r="AQ872" i="1"/>
  <c r="AQ873" i="1"/>
  <c r="AQ874" i="1"/>
  <c r="AQ875" i="1"/>
  <c r="AQ876" i="1"/>
  <c r="AQ877" i="1"/>
  <c r="AQ878" i="1"/>
  <c r="AQ879" i="1"/>
  <c r="AQ880" i="1"/>
  <c r="AQ881" i="1"/>
  <c r="AQ882" i="1"/>
  <c r="AQ883" i="1"/>
  <c r="AQ884" i="1"/>
  <c r="AQ885" i="1"/>
  <c r="AQ886" i="1"/>
  <c r="AQ887" i="1"/>
  <c r="AQ888" i="1"/>
  <c r="AQ889" i="1"/>
  <c r="AQ890" i="1"/>
  <c r="AQ891" i="1"/>
  <c r="AQ892" i="1"/>
  <c r="AQ893" i="1"/>
  <c r="AQ894" i="1"/>
  <c r="AQ895" i="1"/>
  <c r="AQ896" i="1"/>
  <c r="AQ897" i="1"/>
  <c r="AQ898" i="1"/>
  <c r="AQ899" i="1"/>
  <c r="AQ900" i="1"/>
  <c r="AQ901" i="1"/>
  <c r="AQ902" i="1"/>
  <c r="AQ903" i="1"/>
  <c r="AQ904" i="1"/>
  <c r="AQ905" i="1"/>
  <c r="AQ906" i="1"/>
  <c r="AQ907" i="1"/>
  <c r="AQ908" i="1"/>
  <c r="AQ909" i="1"/>
  <c r="AQ910" i="1"/>
  <c r="AQ911" i="1"/>
  <c r="AQ912" i="1"/>
  <c r="AQ913" i="1"/>
  <c r="AQ914" i="1"/>
  <c r="AQ915" i="1"/>
  <c r="AQ916" i="1"/>
  <c r="AQ917" i="1"/>
  <c r="AQ918" i="1"/>
  <c r="AQ919" i="1"/>
  <c r="AQ920" i="1"/>
  <c r="AQ921" i="1"/>
  <c r="AQ922" i="1"/>
  <c r="AQ923" i="1"/>
  <c r="AQ924" i="1"/>
  <c r="AQ925" i="1"/>
  <c r="AQ926" i="1"/>
  <c r="AQ927" i="1"/>
  <c r="AQ928" i="1"/>
  <c r="AQ929" i="1"/>
  <c r="AQ930" i="1"/>
  <c r="AQ931" i="1"/>
  <c r="AQ932" i="1"/>
  <c r="AQ933" i="1"/>
  <c r="AQ934" i="1"/>
  <c r="AQ935" i="1"/>
  <c r="AQ936" i="1"/>
  <c r="AQ937" i="1"/>
  <c r="AQ938" i="1"/>
  <c r="AQ939" i="1"/>
  <c r="AQ940" i="1"/>
  <c r="AQ941" i="1"/>
  <c r="AQ942" i="1"/>
  <c r="AQ943" i="1"/>
  <c r="AQ944" i="1"/>
  <c r="AQ945" i="1"/>
  <c r="AQ946" i="1"/>
  <c r="AQ947" i="1"/>
  <c r="AQ948" i="1"/>
  <c r="AQ949" i="1"/>
  <c r="AQ950" i="1"/>
  <c r="AQ951" i="1"/>
  <c r="AQ952" i="1"/>
  <c r="AQ953" i="1"/>
  <c r="AQ954" i="1"/>
  <c r="AQ955" i="1"/>
  <c r="AQ956" i="1"/>
  <c r="AQ957" i="1"/>
  <c r="AQ958" i="1"/>
  <c r="AQ959" i="1"/>
  <c r="AQ960" i="1"/>
  <c r="AQ961" i="1"/>
  <c r="AQ962" i="1"/>
  <c r="AQ963" i="1"/>
  <c r="AQ964" i="1"/>
  <c r="AQ965" i="1"/>
  <c r="AQ966" i="1"/>
  <c r="AQ967" i="1"/>
  <c r="AQ968" i="1"/>
  <c r="AQ969" i="1"/>
  <c r="AQ970" i="1"/>
  <c r="AQ971" i="1"/>
  <c r="AQ972" i="1"/>
  <c r="AQ973" i="1"/>
  <c r="AQ974" i="1"/>
  <c r="AQ975" i="1"/>
  <c r="AQ976" i="1"/>
  <c r="AQ977" i="1"/>
  <c r="AQ978" i="1"/>
  <c r="AQ979" i="1"/>
  <c r="AQ980" i="1"/>
  <c r="AQ981" i="1"/>
  <c r="AQ982" i="1"/>
  <c r="AQ983" i="1"/>
  <c r="AQ984" i="1"/>
  <c r="AQ985" i="1"/>
  <c r="AQ986" i="1"/>
  <c r="AQ987" i="1"/>
  <c r="AQ988" i="1"/>
  <c r="AQ989" i="1"/>
  <c r="AQ990" i="1"/>
  <c r="AQ991" i="1"/>
  <c r="AQ992" i="1"/>
  <c r="AQ993" i="1"/>
  <c r="AQ994" i="1"/>
  <c r="AQ995" i="1"/>
  <c r="AQ996" i="1"/>
  <c r="AQ997" i="1"/>
  <c r="AQ998" i="1"/>
  <c r="AQ999" i="1"/>
  <c r="AQ1000" i="1"/>
  <c r="AQ1001" i="1"/>
  <c r="AQ1002" i="1"/>
  <c r="AQ1003" i="1"/>
  <c r="AQ1004" i="1"/>
  <c r="AQ1005" i="1"/>
  <c r="AQ1006" i="1"/>
  <c r="AQ1007" i="1"/>
  <c r="AQ1008" i="1"/>
  <c r="AQ1009" i="1"/>
  <c r="AQ1010" i="1"/>
  <c r="AQ1011" i="1"/>
  <c r="AQ1012" i="1"/>
  <c r="AQ1013" i="1"/>
  <c r="AQ1014" i="1"/>
  <c r="AQ1015" i="1"/>
  <c r="AQ1016" i="1"/>
  <c r="AQ1017" i="1"/>
  <c r="AQ1018" i="1"/>
  <c r="AQ1019" i="1"/>
  <c r="AQ1020" i="1"/>
  <c r="AQ1021" i="1"/>
  <c r="AQ1022" i="1"/>
  <c r="AQ1023" i="1"/>
  <c r="AQ1024" i="1"/>
  <c r="AQ1025" i="1"/>
  <c r="AQ1026" i="1"/>
  <c r="AQ1027" i="1"/>
  <c r="AQ1028" i="1"/>
  <c r="AQ1029" i="1"/>
  <c r="AQ1030" i="1"/>
  <c r="AQ1031" i="1"/>
  <c r="AQ1032" i="1"/>
  <c r="AQ1033" i="1"/>
  <c r="AQ1034" i="1"/>
  <c r="AQ1035" i="1"/>
  <c r="AQ1036" i="1"/>
  <c r="AQ1037" i="1"/>
  <c r="AQ1038" i="1"/>
  <c r="AQ1039" i="1"/>
  <c r="AQ1040" i="1"/>
  <c r="AQ1041" i="1"/>
  <c r="AQ1042" i="1"/>
  <c r="AQ1043" i="1"/>
  <c r="AQ1044" i="1"/>
  <c r="AQ1045" i="1"/>
  <c r="AQ1046" i="1"/>
  <c r="AQ1047" i="1"/>
  <c r="AQ1048" i="1"/>
  <c r="AQ1049" i="1"/>
  <c r="AQ1050" i="1"/>
  <c r="AQ1051" i="1"/>
  <c r="AQ1052" i="1"/>
  <c r="AQ1053" i="1"/>
  <c r="AQ1054" i="1"/>
  <c r="AQ1055" i="1"/>
  <c r="AQ1056" i="1"/>
  <c r="AQ1057" i="1"/>
  <c r="AQ1058" i="1"/>
  <c r="AQ1059" i="1"/>
  <c r="AQ1060" i="1"/>
  <c r="AQ1061" i="1"/>
  <c r="AQ1062" i="1"/>
  <c r="AQ1063" i="1"/>
  <c r="AQ1064" i="1"/>
  <c r="AQ1065" i="1"/>
  <c r="AQ1066" i="1"/>
  <c r="AQ1067" i="1"/>
  <c r="AQ1068" i="1"/>
  <c r="AQ1069" i="1"/>
  <c r="AQ1070" i="1"/>
  <c r="AQ1071" i="1"/>
  <c r="AQ1072" i="1"/>
  <c r="AQ1073" i="1"/>
  <c r="AQ1074" i="1"/>
  <c r="AQ1075" i="1"/>
  <c r="AQ1076" i="1"/>
  <c r="AQ1077" i="1"/>
  <c r="AQ1078" i="1"/>
  <c r="AQ1079" i="1"/>
  <c r="AQ1080" i="1"/>
  <c r="AQ1081" i="1"/>
  <c r="AQ1082" i="1"/>
  <c r="AQ1083" i="1"/>
  <c r="AQ1084" i="1"/>
  <c r="AQ1085" i="1"/>
  <c r="AQ1086" i="1"/>
  <c r="AQ1087" i="1"/>
  <c r="AQ1088" i="1"/>
  <c r="AQ1089" i="1"/>
  <c r="AQ1090" i="1"/>
  <c r="AQ1091" i="1"/>
  <c r="AQ1092" i="1"/>
  <c r="AQ1093" i="1"/>
  <c r="AQ1094" i="1"/>
  <c r="AQ1095" i="1"/>
  <c r="AQ1096" i="1"/>
  <c r="AQ1097" i="1"/>
  <c r="AQ1098" i="1"/>
  <c r="AQ1099" i="1"/>
  <c r="AQ1100" i="1"/>
  <c r="AQ1101" i="1"/>
  <c r="AQ1102" i="1"/>
  <c r="AQ1103" i="1"/>
  <c r="AQ1104" i="1"/>
  <c r="AQ1105" i="1"/>
  <c r="AQ1106" i="1"/>
  <c r="AQ1107" i="1"/>
  <c r="AQ1108" i="1"/>
  <c r="AQ1109" i="1"/>
  <c r="AQ1110" i="1"/>
  <c r="AQ1111" i="1"/>
  <c r="AQ1112" i="1"/>
  <c r="AQ1113" i="1"/>
  <c r="AQ1114" i="1"/>
  <c r="AQ1115" i="1"/>
  <c r="AQ1116" i="1"/>
  <c r="AQ1117" i="1"/>
  <c r="AQ1118" i="1"/>
  <c r="AQ1119" i="1"/>
  <c r="AQ1120" i="1"/>
  <c r="AQ1121" i="1"/>
  <c r="AQ1122" i="1"/>
  <c r="AQ1123" i="1"/>
  <c r="AQ1124" i="1"/>
  <c r="AQ1125" i="1"/>
  <c r="AQ1126" i="1"/>
  <c r="AQ1127" i="1"/>
  <c r="AQ1128" i="1"/>
  <c r="AQ1129" i="1"/>
  <c r="AQ1130" i="1"/>
  <c r="AQ1131" i="1"/>
  <c r="AQ1132" i="1"/>
  <c r="AQ1133" i="1"/>
  <c r="AQ1134" i="1"/>
  <c r="AQ1135" i="1"/>
  <c r="AQ1136" i="1"/>
  <c r="AQ1137" i="1"/>
  <c r="AQ1138" i="1"/>
  <c r="AQ1139" i="1"/>
  <c r="AQ1140" i="1"/>
  <c r="AQ1141" i="1"/>
  <c r="AQ1142" i="1"/>
  <c r="AQ1143" i="1"/>
  <c r="AQ1144" i="1"/>
  <c r="AQ1145" i="1"/>
  <c r="AQ1146" i="1"/>
  <c r="AQ1147" i="1"/>
  <c r="AQ1148" i="1"/>
  <c r="AQ1149" i="1"/>
  <c r="AQ1150" i="1"/>
  <c r="AQ1151" i="1"/>
  <c r="AQ1152" i="1"/>
  <c r="AQ1153" i="1"/>
  <c r="AQ1154" i="1"/>
  <c r="AQ1155" i="1"/>
  <c r="AQ1156" i="1"/>
  <c r="AQ1157" i="1"/>
  <c r="AQ1158" i="1"/>
  <c r="AQ1159" i="1"/>
  <c r="AQ1160" i="1"/>
  <c r="AQ1161" i="1"/>
  <c r="AQ1162" i="1"/>
  <c r="AQ1163" i="1"/>
  <c r="AQ1164" i="1"/>
  <c r="AQ1165" i="1"/>
  <c r="AQ1166" i="1"/>
  <c r="AQ1167" i="1"/>
  <c r="AQ1168" i="1"/>
  <c r="AQ1169" i="1"/>
  <c r="AQ1170" i="1"/>
  <c r="AQ1171" i="1"/>
  <c r="AQ1172" i="1"/>
  <c r="AQ1173" i="1"/>
  <c r="AQ1174" i="1"/>
  <c r="AQ1175" i="1"/>
  <c r="AQ1176" i="1"/>
  <c r="AQ1177" i="1"/>
  <c r="AQ1178" i="1"/>
  <c r="AQ1179" i="1"/>
  <c r="AQ1180" i="1"/>
  <c r="AQ1181" i="1"/>
  <c r="AQ1182" i="1"/>
  <c r="AQ1183" i="1"/>
  <c r="AQ1184" i="1"/>
  <c r="AQ1185" i="1"/>
  <c r="AQ1186" i="1"/>
  <c r="AQ1187" i="1"/>
  <c r="AQ1188" i="1"/>
  <c r="AQ1189" i="1"/>
  <c r="AQ1190" i="1"/>
  <c r="AQ1191" i="1"/>
  <c r="AQ1192" i="1"/>
  <c r="AQ1193" i="1"/>
  <c r="AQ1194" i="1"/>
  <c r="AQ1195" i="1"/>
  <c r="AQ1196" i="1"/>
  <c r="AQ1197" i="1"/>
  <c r="AQ1198" i="1"/>
  <c r="AQ1199" i="1"/>
  <c r="AQ1200" i="1"/>
  <c r="AQ1201" i="1"/>
  <c r="AQ1202" i="1"/>
  <c r="AQ1203" i="1"/>
  <c r="AQ1204" i="1"/>
  <c r="AQ1205" i="1"/>
  <c r="AQ1206" i="1"/>
  <c r="AQ1207" i="1"/>
  <c r="AQ1208" i="1"/>
  <c r="AQ1209" i="1"/>
  <c r="AQ1210" i="1"/>
  <c r="AQ1211" i="1"/>
  <c r="AQ1212" i="1"/>
  <c r="AQ1213" i="1"/>
  <c r="AQ1214" i="1"/>
  <c r="AQ1215" i="1"/>
  <c r="AQ1216" i="1"/>
  <c r="AQ1217" i="1"/>
  <c r="AQ1218" i="1"/>
  <c r="AQ1219" i="1"/>
  <c r="AQ1220" i="1"/>
  <c r="AQ1221" i="1"/>
  <c r="AQ1222" i="1"/>
  <c r="AQ1223" i="1"/>
  <c r="AQ1224" i="1"/>
  <c r="AQ1225" i="1"/>
  <c r="AQ1226" i="1"/>
  <c r="AQ1227" i="1"/>
  <c r="AQ1228" i="1"/>
  <c r="AQ1229" i="1"/>
  <c r="AQ1230" i="1"/>
  <c r="AQ1231" i="1"/>
  <c r="AQ1232" i="1"/>
  <c r="AQ1233" i="1"/>
  <c r="AQ1234" i="1"/>
  <c r="AQ1235" i="1"/>
  <c r="AQ1236" i="1"/>
  <c r="AQ1237" i="1"/>
  <c r="AQ1238" i="1"/>
  <c r="AQ1239" i="1"/>
  <c r="AQ1240" i="1"/>
  <c r="AQ1241" i="1"/>
  <c r="AQ1242" i="1"/>
  <c r="AQ1243" i="1"/>
  <c r="AQ1244" i="1"/>
  <c r="AQ1245" i="1"/>
  <c r="AQ1246" i="1"/>
  <c r="AQ1247" i="1"/>
  <c r="AQ1248" i="1"/>
  <c r="AQ1249" i="1"/>
  <c r="AQ1250" i="1"/>
  <c r="AQ1251" i="1"/>
  <c r="AQ1252" i="1"/>
  <c r="AQ1253" i="1"/>
  <c r="AQ1254" i="1"/>
  <c r="AQ1255" i="1"/>
  <c r="AQ1256" i="1"/>
  <c r="AQ1257" i="1"/>
  <c r="AQ1258" i="1"/>
  <c r="AQ1259" i="1"/>
  <c r="AQ1260" i="1"/>
  <c r="AQ1261" i="1"/>
  <c r="AQ1262" i="1"/>
  <c r="AQ1263" i="1"/>
  <c r="AQ1264" i="1"/>
  <c r="AQ1265" i="1"/>
  <c r="AQ1266" i="1"/>
  <c r="AQ1267" i="1"/>
  <c r="AQ1268" i="1"/>
  <c r="AQ1269" i="1"/>
  <c r="AQ1270" i="1"/>
  <c r="AQ1271" i="1"/>
  <c r="AQ1272" i="1"/>
  <c r="AQ1273" i="1"/>
  <c r="AQ1274" i="1"/>
  <c r="AQ1275" i="1"/>
  <c r="AQ1276" i="1"/>
  <c r="AQ1277" i="1"/>
  <c r="AQ1278" i="1"/>
  <c r="AQ1279" i="1"/>
  <c r="AQ1280" i="1"/>
  <c r="AQ1281" i="1"/>
  <c r="AQ1282" i="1"/>
  <c r="AQ1283" i="1"/>
  <c r="AQ1284" i="1"/>
  <c r="AQ1285" i="1"/>
  <c r="AQ1286" i="1"/>
  <c r="AQ1287" i="1"/>
  <c r="AQ1288" i="1"/>
  <c r="AQ1289" i="1"/>
  <c r="AQ1290" i="1"/>
  <c r="AQ1291" i="1"/>
  <c r="AQ1292" i="1"/>
  <c r="AQ1293" i="1"/>
  <c r="AQ1294" i="1"/>
  <c r="AQ1295" i="1"/>
  <c r="AQ1296" i="1"/>
  <c r="AQ1297" i="1"/>
  <c r="AQ1298" i="1"/>
  <c r="AQ1299" i="1"/>
  <c r="AQ1300" i="1"/>
  <c r="AQ1301" i="1"/>
  <c r="AQ1302" i="1"/>
  <c r="AQ1303" i="1"/>
  <c r="AQ1304" i="1"/>
  <c r="AQ1305" i="1"/>
  <c r="AQ1306" i="1"/>
  <c r="AQ1307" i="1"/>
  <c r="AQ1308" i="1"/>
  <c r="AQ1309" i="1"/>
  <c r="AQ1310" i="1"/>
  <c r="AQ1311" i="1"/>
  <c r="AQ1312" i="1"/>
  <c r="AQ1313" i="1"/>
  <c r="AQ1314" i="1"/>
  <c r="AQ1315" i="1"/>
  <c r="AQ1316" i="1"/>
  <c r="AQ1317" i="1"/>
  <c r="AQ1318" i="1"/>
  <c r="AQ1319" i="1"/>
  <c r="AQ1320" i="1"/>
  <c r="AQ1321" i="1"/>
  <c r="AQ1322" i="1"/>
  <c r="AQ1323" i="1"/>
  <c r="AQ1324" i="1"/>
  <c r="AQ1325" i="1"/>
  <c r="AQ1326" i="1"/>
  <c r="AQ1327" i="1"/>
  <c r="AQ1328" i="1"/>
  <c r="AQ1329" i="1"/>
  <c r="AQ1330" i="1"/>
  <c r="AQ1331" i="1"/>
  <c r="AQ1332" i="1"/>
  <c r="AQ1333" i="1"/>
  <c r="AQ1334" i="1"/>
  <c r="AQ1335" i="1"/>
  <c r="AQ1336" i="1"/>
  <c r="AQ1337" i="1"/>
  <c r="AQ1338" i="1"/>
  <c r="AQ1339" i="1"/>
  <c r="AQ1340" i="1"/>
  <c r="AQ1341" i="1"/>
  <c r="AQ1342" i="1"/>
  <c r="AQ1343" i="1"/>
  <c r="AQ1344" i="1"/>
  <c r="AQ1345" i="1"/>
  <c r="AQ1346" i="1"/>
  <c r="AQ1347" i="1"/>
  <c r="AQ1348" i="1"/>
  <c r="AQ1349" i="1"/>
  <c r="AQ1350" i="1"/>
  <c r="AQ1351" i="1"/>
  <c r="AQ1352" i="1"/>
  <c r="AQ1353" i="1"/>
  <c r="AQ1354" i="1"/>
  <c r="AQ1355" i="1"/>
  <c r="AQ1356" i="1"/>
  <c r="AQ1357" i="1"/>
  <c r="AQ1358" i="1"/>
  <c r="AQ1359" i="1"/>
  <c r="AQ1360" i="1"/>
  <c r="AQ1361" i="1"/>
  <c r="AQ1362" i="1"/>
  <c r="AQ1363" i="1"/>
  <c r="AQ1364" i="1"/>
  <c r="AQ1365" i="1"/>
  <c r="AQ1366" i="1"/>
  <c r="AQ1367" i="1"/>
  <c r="AQ1368" i="1"/>
  <c r="AQ1369" i="1"/>
  <c r="AQ1370" i="1"/>
  <c r="AQ1371" i="1"/>
  <c r="AQ1372" i="1"/>
  <c r="AQ1373" i="1"/>
  <c r="AQ1374" i="1"/>
  <c r="AQ1375" i="1"/>
  <c r="AQ1376" i="1"/>
  <c r="AQ1377" i="1"/>
  <c r="AQ1378" i="1"/>
  <c r="AQ1379" i="1"/>
  <c r="AQ1380" i="1"/>
  <c r="AQ1381" i="1"/>
  <c r="AQ1382" i="1"/>
  <c r="AQ1383" i="1"/>
  <c r="AQ1384" i="1"/>
  <c r="AQ1385" i="1"/>
  <c r="AQ1386" i="1"/>
  <c r="AQ1387" i="1"/>
  <c r="AQ1388" i="1"/>
  <c r="AQ1389" i="1"/>
  <c r="AQ1390" i="1"/>
  <c r="AQ1391" i="1"/>
  <c r="AQ1392" i="1"/>
  <c r="AQ1393" i="1"/>
  <c r="AQ1394" i="1"/>
  <c r="AQ1395" i="1"/>
  <c r="AQ1396" i="1"/>
  <c r="AQ1397" i="1"/>
  <c r="AQ1398" i="1"/>
  <c r="AQ1399" i="1"/>
  <c r="AQ1400" i="1"/>
  <c r="AQ1401" i="1"/>
  <c r="AQ1402" i="1"/>
  <c r="AQ1403" i="1"/>
  <c r="AQ1404" i="1"/>
  <c r="AQ1405" i="1"/>
  <c r="AQ1406" i="1"/>
  <c r="AQ1407" i="1"/>
  <c r="AQ1408" i="1"/>
  <c r="AQ1409" i="1"/>
  <c r="AQ1410" i="1"/>
  <c r="AQ1411" i="1"/>
  <c r="AQ1412" i="1"/>
  <c r="AQ1413" i="1"/>
  <c r="AQ1414" i="1"/>
  <c r="AQ1415" i="1"/>
  <c r="AQ1416" i="1"/>
  <c r="AQ1417" i="1"/>
  <c r="AQ1418" i="1"/>
  <c r="AQ1419" i="1"/>
  <c r="AQ1420" i="1"/>
  <c r="AQ1421" i="1"/>
  <c r="AQ1422" i="1"/>
  <c r="AQ1423" i="1"/>
  <c r="AQ1424" i="1"/>
  <c r="AQ1425" i="1"/>
  <c r="AQ1426" i="1"/>
  <c r="AQ1427" i="1"/>
  <c r="AQ1428" i="1"/>
  <c r="AQ1429" i="1"/>
  <c r="AQ1430" i="1"/>
  <c r="AQ1431" i="1"/>
  <c r="AQ1432" i="1"/>
  <c r="AQ1433" i="1"/>
  <c r="AQ1434" i="1"/>
  <c r="AQ1435" i="1"/>
  <c r="AQ1436" i="1"/>
  <c r="AQ1437" i="1"/>
  <c r="AQ1438" i="1"/>
  <c r="AQ1439" i="1"/>
  <c r="AQ1440" i="1"/>
  <c r="AQ1441" i="1"/>
  <c r="AQ1442" i="1"/>
  <c r="AQ1443" i="1"/>
  <c r="AQ1444" i="1"/>
  <c r="AQ1445" i="1"/>
  <c r="AQ1446" i="1"/>
  <c r="AQ1447" i="1"/>
  <c r="AQ1448" i="1"/>
  <c r="AQ1449" i="1"/>
  <c r="AQ1450" i="1"/>
  <c r="AQ1451" i="1"/>
  <c r="AQ1452" i="1"/>
  <c r="AQ1453" i="1"/>
  <c r="AQ1454" i="1"/>
  <c r="AQ1455" i="1"/>
  <c r="AQ1456" i="1"/>
  <c r="AQ1457" i="1"/>
  <c r="AQ1458" i="1"/>
  <c r="AQ1459" i="1"/>
  <c r="AQ1460" i="1"/>
  <c r="AQ1461" i="1"/>
  <c r="AQ1462" i="1"/>
  <c r="AQ1463" i="1"/>
  <c r="AQ1464" i="1"/>
  <c r="AQ1465" i="1"/>
  <c r="AQ1466" i="1"/>
  <c r="AQ1467" i="1"/>
  <c r="AQ1468" i="1"/>
  <c r="AQ1469" i="1"/>
  <c r="AQ1470" i="1"/>
  <c r="AQ1471" i="1"/>
  <c r="AT2" i="1"/>
  <c r="AT3" i="1"/>
  <c r="AT4" i="1"/>
  <c r="AT5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37" i="1"/>
  <c r="AT38" i="1"/>
  <c r="AT39" i="1"/>
  <c r="AT40" i="1"/>
  <c r="AT41" i="1"/>
  <c r="AT42" i="1"/>
  <c r="AT43" i="1"/>
  <c r="AT44" i="1"/>
  <c r="AT45" i="1"/>
  <c r="AT46" i="1"/>
  <c r="AT47" i="1"/>
  <c r="AT48" i="1"/>
  <c r="AT49" i="1"/>
  <c r="AT50" i="1"/>
  <c r="AT51" i="1"/>
  <c r="AT52" i="1"/>
  <c r="AT53" i="1"/>
  <c r="AT54" i="1"/>
  <c r="AT55" i="1"/>
  <c r="AT56" i="1"/>
  <c r="AT57" i="1"/>
  <c r="AT58" i="1"/>
  <c r="AT59" i="1"/>
  <c r="AT60" i="1"/>
  <c r="AT61" i="1"/>
  <c r="AT62" i="1"/>
  <c r="AT63" i="1"/>
  <c r="AT64" i="1"/>
  <c r="AT65" i="1"/>
  <c r="AT66" i="1"/>
  <c r="AT67" i="1"/>
  <c r="AT68" i="1"/>
  <c r="AT69" i="1"/>
  <c r="AT70" i="1"/>
  <c r="AT71" i="1"/>
  <c r="AT72" i="1"/>
  <c r="AT73" i="1"/>
  <c r="AT74" i="1"/>
  <c r="AT75" i="1"/>
  <c r="AT76" i="1"/>
  <c r="AT77" i="1"/>
  <c r="AT78" i="1"/>
  <c r="AT79" i="1"/>
  <c r="AT80" i="1"/>
  <c r="AT81" i="1"/>
  <c r="AT82" i="1"/>
  <c r="AT83" i="1"/>
  <c r="AT84" i="1"/>
  <c r="AT85" i="1"/>
  <c r="AT86" i="1"/>
  <c r="AT87" i="1"/>
  <c r="AT88" i="1"/>
  <c r="AT89" i="1"/>
  <c r="AT90" i="1"/>
  <c r="AT91" i="1"/>
  <c r="AT92" i="1"/>
  <c r="AT93" i="1"/>
  <c r="AT94" i="1"/>
  <c r="AT95" i="1"/>
  <c r="AT96" i="1"/>
  <c r="AT97" i="1"/>
  <c r="AT98" i="1"/>
  <c r="AT99" i="1"/>
  <c r="AT100" i="1"/>
  <c r="AT101" i="1"/>
  <c r="AT102" i="1"/>
  <c r="AT103" i="1"/>
  <c r="AT104" i="1"/>
  <c r="AT105" i="1"/>
  <c r="AT106" i="1"/>
  <c r="AT107" i="1"/>
  <c r="AT108" i="1"/>
  <c r="AT109" i="1"/>
  <c r="AT110" i="1"/>
  <c r="AT111" i="1"/>
  <c r="AT112" i="1"/>
  <c r="AT113" i="1"/>
  <c r="AT114" i="1"/>
  <c r="AT115" i="1"/>
  <c r="AT116" i="1"/>
  <c r="AT117" i="1"/>
  <c r="AT118" i="1"/>
  <c r="AT119" i="1"/>
  <c r="AT120" i="1"/>
  <c r="AT121" i="1"/>
  <c r="AT122" i="1"/>
  <c r="AT123" i="1"/>
  <c r="AT124" i="1"/>
  <c r="AT125" i="1"/>
  <c r="AT126" i="1"/>
  <c r="AT127" i="1"/>
  <c r="AT128" i="1"/>
  <c r="AT129" i="1"/>
  <c r="AT130" i="1"/>
  <c r="AT131" i="1"/>
  <c r="AT132" i="1"/>
  <c r="AT133" i="1"/>
  <c r="AT134" i="1"/>
  <c r="AT135" i="1"/>
  <c r="AT136" i="1"/>
  <c r="AT137" i="1"/>
  <c r="AT138" i="1"/>
  <c r="AT139" i="1"/>
  <c r="AT140" i="1"/>
  <c r="AT141" i="1"/>
  <c r="AT142" i="1"/>
  <c r="AT143" i="1"/>
  <c r="AT144" i="1"/>
  <c r="AT145" i="1"/>
  <c r="AT146" i="1"/>
  <c r="AT147" i="1"/>
  <c r="AT148" i="1"/>
  <c r="AT149" i="1"/>
  <c r="AT150" i="1"/>
  <c r="AT151" i="1"/>
  <c r="AT152" i="1"/>
  <c r="AT153" i="1"/>
  <c r="AT154" i="1"/>
  <c r="AT155" i="1"/>
  <c r="AT156" i="1"/>
  <c r="AT157" i="1"/>
  <c r="AT158" i="1"/>
  <c r="AT159" i="1"/>
  <c r="AT160" i="1"/>
  <c r="AT161" i="1"/>
  <c r="AT162" i="1"/>
  <c r="AT163" i="1"/>
  <c r="AT164" i="1"/>
  <c r="AT165" i="1"/>
  <c r="AT166" i="1"/>
  <c r="AT167" i="1"/>
  <c r="AT168" i="1"/>
  <c r="AT169" i="1"/>
  <c r="AT170" i="1"/>
  <c r="AT171" i="1"/>
  <c r="AT172" i="1"/>
  <c r="AT173" i="1"/>
  <c r="AT174" i="1"/>
  <c r="AT175" i="1"/>
  <c r="AT176" i="1"/>
  <c r="AT177" i="1"/>
  <c r="AT178" i="1"/>
  <c r="AT179" i="1"/>
  <c r="AT180" i="1"/>
  <c r="AT181" i="1"/>
  <c r="AT182" i="1"/>
  <c r="AT183" i="1"/>
  <c r="AT184" i="1"/>
  <c r="AT185" i="1"/>
  <c r="AT186" i="1"/>
  <c r="AT187" i="1"/>
  <c r="AT188" i="1"/>
  <c r="AT189" i="1"/>
  <c r="AT190" i="1"/>
  <c r="AT191" i="1"/>
  <c r="AT192" i="1"/>
  <c r="AT193" i="1"/>
  <c r="AT194" i="1"/>
  <c r="AT195" i="1"/>
  <c r="AT196" i="1"/>
  <c r="AT197" i="1"/>
  <c r="AT198" i="1"/>
  <c r="AT199" i="1"/>
  <c r="AT200" i="1"/>
  <c r="AT201" i="1"/>
  <c r="AT202" i="1"/>
  <c r="AT203" i="1"/>
  <c r="AT204" i="1"/>
  <c r="AT205" i="1"/>
  <c r="AT206" i="1"/>
  <c r="AT207" i="1"/>
  <c r="AT208" i="1"/>
  <c r="AT209" i="1"/>
  <c r="AT210" i="1"/>
  <c r="AT211" i="1"/>
  <c r="AT212" i="1"/>
  <c r="AT213" i="1"/>
  <c r="AT214" i="1"/>
  <c r="AT215" i="1"/>
  <c r="AT216" i="1"/>
  <c r="AT217" i="1"/>
  <c r="AT218" i="1"/>
  <c r="AT219" i="1"/>
  <c r="AT220" i="1"/>
  <c r="AT221" i="1"/>
  <c r="AT222" i="1"/>
  <c r="AT223" i="1"/>
  <c r="AT224" i="1"/>
  <c r="AT225" i="1"/>
  <c r="AT226" i="1"/>
  <c r="AT227" i="1"/>
  <c r="AT228" i="1"/>
  <c r="AT229" i="1"/>
  <c r="AT230" i="1"/>
  <c r="AT231" i="1"/>
  <c r="AT232" i="1"/>
  <c r="AT233" i="1"/>
  <c r="AT234" i="1"/>
  <c r="AT235" i="1"/>
  <c r="AT236" i="1"/>
  <c r="AT237" i="1"/>
  <c r="AT238" i="1"/>
  <c r="AT239" i="1"/>
  <c r="AT240" i="1"/>
  <c r="AT241" i="1"/>
  <c r="AT242" i="1"/>
  <c r="AT243" i="1"/>
  <c r="AT244" i="1"/>
  <c r="AT245" i="1"/>
  <c r="AT246" i="1"/>
  <c r="AT247" i="1"/>
  <c r="AT248" i="1"/>
  <c r="AT249" i="1"/>
  <c r="AT250" i="1"/>
  <c r="AT251" i="1"/>
  <c r="AT252" i="1"/>
  <c r="AT253" i="1"/>
  <c r="AT254" i="1"/>
  <c r="AT255" i="1"/>
  <c r="AT256" i="1"/>
  <c r="AT257" i="1"/>
  <c r="AT258" i="1"/>
  <c r="AT259" i="1"/>
  <c r="AT260" i="1"/>
  <c r="AT261" i="1"/>
  <c r="AT262" i="1"/>
  <c r="AT263" i="1"/>
  <c r="AT264" i="1"/>
  <c r="AT265" i="1"/>
  <c r="AT266" i="1"/>
  <c r="AT267" i="1"/>
  <c r="AT268" i="1"/>
  <c r="AT269" i="1"/>
  <c r="AT270" i="1"/>
  <c r="AT271" i="1"/>
  <c r="AT272" i="1"/>
  <c r="AT273" i="1"/>
  <c r="AT274" i="1"/>
  <c r="AT275" i="1"/>
  <c r="AT276" i="1"/>
  <c r="AT277" i="1"/>
  <c r="AT278" i="1"/>
  <c r="AT279" i="1"/>
  <c r="AT280" i="1"/>
  <c r="AT281" i="1"/>
  <c r="AT282" i="1"/>
  <c r="AT283" i="1"/>
  <c r="AT284" i="1"/>
  <c r="AT285" i="1"/>
  <c r="AT286" i="1"/>
  <c r="AT287" i="1"/>
  <c r="AT288" i="1"/>
  <c r="AT289" i="1"/>
  <c r="AT290" i="1"/>
  <c r="AT291" i="1"/>
  <c r="AT292" i="1"/>
  <c r="AT293" i="1"/>
  <c r="AT294" i="1"/>
  <c r="AT295" i="1"/>
  <c r="AT296" i="1"/>
  <c r="AT297" i="1"/>
  <c r="AT298" i="1"/>
  <c r="AT299" i="1"/>
  <c r="AT300" i="1"/>
  <c r="AT301" i="1"/>
  <c r="AT302" i="1"/>
  <c r="AT303" i="1"/>
  <c r="AT304" i="1"/>
  <c r="AT305" i="1"/>
  <c r="AT306" i="1"/>
  <c r="AT307" i="1"/>
  <c r="AT308" i="1"/>
  <c r="AT309" i="1"/>
  <c r="AT310" i="1"/>
  <c r="AT311" i="1"/>
  <c r="AT312" i="1"/>
  <c r="AT313" i="1"/>
  <c r="AT314" i="1"/>
  <c r="AT315" i="1"/>
  <c r="AT316" i="1"/>
  <c r="AT317" i="1"/>
  <c r="AT318" i="1"/>
  <c r="AT319" i="1"/>
  <c r="AT320" i="1"/>
  <c r="AT321" i="1"/>
  <c r="AT322" i="1"/>
  <c r="AT323" i="1"/>
  <c r="AT324" i="1"/>
  <c r="AT325" i="1"/>
  <c r="AT326" i="1"/>
  <c r="AT327" i="1"/>
  <c r="AT328" i="1"/>
  <c r="AT329" i="1"/>
  <c r="AT330" i="1"/>
  <c r="AT331" i="1"/>
  <c r="AT332" i="1"/>
  <c r="AT333" i="1"/>
  <c r="AT334" i="1"/>
  <c r="AT335" i="1"/>
  <c r="AT336" i="1"/>
  <c r="AT337" i="1"/>
  <c r="AT338" i="1"/>
  <c r="AT339" i="1"/>
  <c r="AT340" i="1"/>
  <c r="AT341" i="1"/>
  <c r="AT342" i="1"/>
  <c r="AT343" i="1"/>
  <c r="AT344" i="1"/>
  <c r="AT345" i="1"/>
  <c r="AT346" i="1"/>
  <c r="AT347" i="1"/>
  <c r="AT348" i="1"/>
  <c r="AT349" i="1"/>
  <c r="AT350" i="1"/>
  <c r="AT351" i="1"/>
  <c r="AT352" i="1"/>
  <c r="AT353" i="1"/>
  <c r="AT354" i="1"/>
  <c r="AT355" i="1"/>
  <c r="AT356" i="1"/>
  <c r="AT357" i="1"/>
  <c r="AT358" i="1"/>
  <c r="AT359" i="1"/>
  <c r="AT360" i="1"/>
  <c r="AT361" i="1"/>
  <c r="AT362" i="1"/>
  <c r="AT363" i="1"/>
  <c r="AT364" i="1"/>
  <c r="AT365" i="1"/>
  <c r="AT366" i="1"/>
  <c r="AT367" i="1"/>
  <c r="AT368" i="1"/>
  <c r="AT369" i="1"/>
  <c r="AT370" i="1"/>
  <c r="AT371" i="1"/>
  <c r="AT372" i="1"/>
  <c r="AT373" i="1"/>
  <c r="AT374" i="1"/>
  <c r="AT375" i="1"/>
  <c r="AT376" i="1"/>
  <c r="AT377" i="1"/>
  <c r="AT378" i="1"/>
  <c r="AT379" i="1"/>
  <c r="AT380" i="1"/>
  <c r="AT381" i="1"/>
  <c r="AT382" i="1"/>
  <c r="AT383" i="1"/>
  <c r="AT384" i="1"/>
  <c r="AT385" i="1"/>
  <c r="AT386" i="1"/>
  <c r="AT387" i="1"/>
  <c r="AT388" i="1"/>
  <c r="AT389" i="1"/>
  <c r="AT390" i="1"/>
  <c r="AT391" i="1"/>
  <c r="AT392" i="1"/>
  <c r="AT393" i="1"/>
  <c r="AT394" i="1"/>
  <c r="AT395" i="1"/>
  <c r="AT396" i="1"/>
  <c r="AT397" i="1"/>
  <c r="AT398" i="1"/>
  <c r="AT399" i="1"/>
  <c r="AT400" i="1"/>
  <c r="AT401" i="1"/>
  <c r="AT402" i="1"/>
  <c r="AT403" i="1"/>
  <c r="AT404" i="1"/>
  <c r="AT405" i="1"/>
  <c r="AT406" i="1"/>
  <c r="AT407" i="1"/>
  <c r="AT408" i="1"/>
  <c r="AT409" i="1"/>
  <c r="AT410" i="1"/>
  <c r="AT411" i="1"/>
  <c r="AT412" i="1"/>
  <c r="AT413" i="1"/>
  <c r="AT414" i="1"/>
  <c r="AT415" i="1"/>
  <c r="AT416" i="1"/>
  <c r="AT417" i="1"/>
  <c r="AT418" i="1"/>
  <c r="AT419" i="1"/>
  <c r="AT420" i="1"/>
  <c r="AT421" i="1"/>
  <c r="AT422" i="1"/>
  <c r="AT423" i="1"/>
  <c r="AT424" i="1"/>
  <c r="AT425" i="1"/>
  <c r="AT426" i="1"/>
  <c r="AT427" i="1"/>
  <c r="AT428" i="1"/>
  <c r="AT429" i="1"/>
  <c r="AT430" i="1"/>
  <c r="AT431" i="1"/>
  <c r="AT432" i="1"/>
  <c r="AT433" i="1"/>
  <c r="AT434" i="1"/>
  <c r="AT435" i="1"/>
  <c r="AT436" i="1"/>
  <c r="AT437" i="1"/>
  <c r="AT438" i="1"/>
  <c r="AT439" i="1"/>
  <c r="AT440" i="1"/>
  <c r="AT441" i="1"/>
  <c r="AT442" i="1"/>
  <c r="AT443" i="1"/>
  <c r="AT444" i="1"/>
  <c r="AT445" i="1"/>
  <c r="AT446" i="1"/>
  <c r="AT447" i="1"/>
  <c r="AT448" i="1"/>
  <c r="AT449" i="1"/>
  <c r="AT450" i="1"/>
  <c r="AT451" i="1"/>
  <c r="AT452" i="1"/>
  <c r="AT453" i="1"/>
  <c r="AT454" i="1"/>
  <c r="AT455" i="1"/>
  <c r="AT456" i="1"/>
  <c r="AT457" i="1"/>
  <c r="AT458" i="1"/>
  <c r="AT459" i="1"/>
  <c r="AT460" i="1"/>
  <c r="AT461" i="1"/>
  <c r="AT462" i="1"/>
  <c r="AT463" i="1"/>
  <c r="AT464" i="1"/>
  <c r="AT465" i="1"/>
  <c r="AT466" i="1"/>
  <c r="AT467" i="1"/>
  <c r="AT468" i="1"/>
  <c r="AT469" i="1"/>
  <c r="AT470" i="1"/>
  <c r="AT471" i="1"/>
  <c r="AT472" i="1"/>
  <c r="AT473" i="1"/>
  <c r="AT474" i="1"/>
  <c r="AT475" i="1"/>
  <c r="AT476" i="1"/>
  <c r="AT477" i="1"/>
  <c r="AT478" i="1"/>
  <c r="AT479" i="1"/>
  <c r="AT480" i="1"/>
  <c r="AT481" i="1"/>
  <c r="AT482" i="1"/>
  <c r="AT483" i="1"/>
  <c r="AT484" i="1"/>
  <c r="AT485" i="1"/>
  <c r="AT486" i="1"/>
  <c r="AT487" i="1"/>
  <c r="AT488" i="1"/>
  <c r="AT489" i="1"/>
  <c r="AT490" i="1"/>
  <c r="AT491" i="1"/>
  <c r="AT492" i="1"/>
  <c r="AT493" i="1"/>
  <c r="AT494" i="1"/>
  <c r="AT495" i="1"/>
  <c r="AT496" i="1"/>
  <c r="AT497" i="1"/>
  <c r="AT498" i="1"/>
  <c r="AT499" i="1"/>
  <c r="AT500" i="1"/>
  <c r="AT501" i="1"/>
  <c r="AT502" i="1"/>
  <c r="AT503" i="1"/>
  <c r="AT504" i="1"/>
  <c r="AT505" i="1"/>
  <c r="AT506" i="1"/>
  <c r="AT507" i="1"/>
  <c r="AT508" i="1"/>
  <c r="AT509" i="1"/>
  <c r="AT510" i="1"/>
  <c r="AT511" i="1"/>
  <c r="AT512" i="1"/>
  <c r="AT513" i="1"/>
  <c r="AT514" i="1"/>
  <c r="AT515" i="1"/>
  <c r="AT516" i="1"/>
  <c r="AT517" i="1"/>
  <c r="AT518" i="1"/>
  <c r="AT519" i="1"/>
  <c r="AT520" i="1"/>
  <c r="AT521" i="1"/>
  <c r="AT522" i="1"/>
  <c r="AT523" i="1"/>
  <c r="AT524" i="1"/>
  <c r="AT525" i="1"/>
  <c r="AT526" i="1"/>
  <c r="AT527" i="1"/>
  <c r="AT528" i="1"/>
  <c r="AT529" i="1"/>
  <c r="AT530" i="1"/>
  <c r="AT531" i="1"/>
  <c r="AT532" i="1"/>
  <c r="AT533" i="1"/>
  <c r="AT534" i="1"/>
  <c r="AT535" i="1"/>
  <c r="AT536" i="1"/>
  <c r="AT537" i="1"/>
  <c r="AT538" i="1"/>
  <c r="AT539" i="1"/>
  <c r="AT540" i="1"/>
  <c r="AT541" i="1"/>
  <c r="AT542" i="1"/>
  <c r="AT543" i="1"/>
  <c r="AT544" i="1"/>
  <c r="AT545" i="1"/>
  <c r="AT546" i="1"/>
  <c r="AT547" i="1"/>
  <c r="AT548" i="1"/>
  <c r="AT549" i="1"/>
  <c r="AT550" i="1"/>
  <c r="AT551" i="1"/>
  <c r="AT552" i="1"/>
  <c r="AT553" i="1"/>
  <c r="AT554" i="1"/>
  <c r="AT555" i="1"/>
  <c r="AT556" i="1"/>
  <c r="AT557" i="1"/>
  <c r="AT558" i="1"/>
  <c r="AT559" i="1"/>
  <c r="AT560" i="1"/>
  <c r="AT561" i="1"/>
  <c r="AT562" i="1"/>
  <c r="AT563" i="1"/>
  <c r="AT564" i="1"/>
  <c r="AT565" i="1"/>
  <c r="AT566" i="1"/>
  <c r="AT567" i="1"/>
  <c r="AT568" i="1"/>
  <c r="AT569" i="1"/>
  <c r="AT570" i="1"/>
  <c r="AT571" i="1"/>
  <c r="AT572" i="1"/>
  <c r="AT573" i="1"/>
  <c r="AT574" i="1"/>
  <c r="AT575" i="1"/>
  <c r="AT576" i="1"/>
  <c r="AT577" i="1"/>
  <c r="AT578" i="1"/>
  <c r="AT579" i="1"/>
  <c r="AT580" i="1"/>
  <c r="AT581" i="1"/>
  <c r="AT582" i="1"/>
  <c r="AT583" i="1"/>
  <c r="AT584" i="1"/>
  <c r="AT585" i="1"/>
  <c r="AT586" i="1"/>
  <c r="AT587" i="1"/>
  <c r="AT588" i="1"/>
  <c r="AT589" i="1"/>
  <c r="AT590" i="1"/>
  <c r="AT591" i="1"/>
  <c r="AT592" i="1"/>
  <c r="AT593" i="1"/>
  <c r="AT594" i="1"/>
  <c r="AT595" i="1"/>
  <c r="AT596" i="1"/>
  <c r="AT597" i="1"/>
  <c r="AT598" i="1"/>
  <c r="AT599" i="1"/>
  <c r="AT600" i="1"/>
  <c r="AT601" i="1"/>
  <c r="AT602" i="1"/>
  <c r="AT603" i="1"/>
  <c r="AT604" i="1"/>
  <c r="AT605" i="1"/>
  <c r="AT606" i="1"/>
  <c r="AT607" i="1"/>
  <c r="AT608" i="1"/>
  <c r="AT609" i="1"/>
  <c r="AT610" i="1"/>
  <c r="AT611" i="1"/>
  <c r="AT612" i="1"/>
  <c r="AT613" i="1"/>
  <c r="AT614" i="1"/>
  <c r="AT615" i="1"/>
  <c r="AT616" i="1"/>
  <c r="AT617" i="1"/>
  <c r="AT618" i="1"/>
  <c r="AT619" i="1"/>
  <c r="AT620" i="1"/>
  <c r="AT621" i="1"/>
  <c r="AT622" i="1"/>
  <c r="AT623" i="1"/>
  <c r="AT624" i="1"/>
  <c r="AT625" i="1"/>
  <c r="AT626" i="1"/>
  <c r="AT627" i="1"/>
  <c r="AT628" i="1"/>
  <c r="AT629" i="1"/>
  <c r="AT630" i="1"/>
  <c r="AT631" i="1"/>
  <c r="AT632" i="1"/>
  <c r="AT633" i="1"/>
  <c r="AT634" i="1"/>
  <c r="AT635" i="1"/>
  <c r="AT636" i="1"/>
  <c r="AT637" i="1"/>
  <c r="AT638" i="1"/>
  <c r="AT639" i="1"/>
  <c r="AT640" i="1"/>
  <c r="AT641" i="1"/>
  <c r="AT642" i="1"/>
  <c r="AT643" i="1"/>
  <c r="AT644" i="1"/>
  <c r="AT645" i="1"/>
  <c r="AT646" i="1"/>
  <c r="AT647" i="1"/>
  <c r="AT648" i="1"/>
  <c r="AT649" i="1"/>
  <c r="AT650" i="1"/>
  <c r="AT651" i="1"/>
  <c r="AT652" i="1"/>
  <c r="AT653" i="1"/>
  <c r="AT654" i="1"/>
  <c r="AT655" i="1"/>
  <c r="AT656" i="1"/>
  <c r="AT657" i="1"/>
  <c r="AT658" i="1"/>
  <c r="AT659" i="1"/>
  <c r="AT660" i="1"/>
  <c r="AT661" i="1"/>
  <c r="AT662" i="1"/>
  <c r="AT663" i="1"/>
  <c r="AT664" i="1"/>
  <c r="AT665" i="1"/>
  <c r="AT666" i="1"/>
  <c r="AT667" i="1"/>
  <c r="AT668" i="1"/>
  <c r="AT669" i="1"/>
  <c r="AT670" i="1"/>
  <c r="AT671" i="1"/>
  <c r="AT672" i="1"/>
  <c r="AT673" i="1"/>
  <c r="AT674" i="1"/>
  <c r="AT675" i="1"/>
  <c r="AT676" i="1"/>
  <c r="AT677" i="1"/>
  <c r="AT678" i="1"/>
  <c r="AT679" i="1"/>
  <c r="AT680" i="1"/>
  <c r="AT681" i="1"/>
  <c r="AT682" i="1"/>
  <c r="AT683" i="1"/>
  <c r="AT684" i="1"/>
  <c r="AT685" i="1"/>
  <c r="AT686" i="1"/>
  <c r="AT687" i="1"/>
  <c r="AT688" i="1"/>
  <c r="AT689" i="1"/>
  <c r="AT690" i="1"/>
  <c r="AT691" i="1"/>
  <c r="AT692" i="1"/>
  <c r="AT693" i="1"/>
  <c r="AT694" i="1"/>
  <c r="AT695" i="1"/>
  <c r="AT696" i="1"/>
  <c r="AT697" i="1"/>
  <c r="AT698" i="1"/>
  <c r="AT699" i="1"/>
  <c r="AT700" i="1"/>
  <c r="AT701" i="1"/>
  <c r="AT702" i="1"/>
  <c r="AT703" i="1"/>
  <c r="AT704" i="1"/>
  <c r="AT705" i="1"/>
  <c r="AT706" i="1"/>
  <c r="AT707" i="1"/>
  <c r="AT708" i="1"/>
  <c r="AT709" i="1"/>
  <c r="AT710" i="1"/>
  <c r="AT711" i="1"/>
  <c r="AT712" i="1"/>
  <c r="AT713" i="1"/>
  <c r="AT714" i="1"/>
  <c r="AT715" i="1"/>
  <c r="AT716" i="1"/>
  <c r="AT717" i="1"/>
  <c r="AT718" i="1"/>
  <c r="AT719" i="1"/>
  <c r="AT720" i="1"/>
  <c r="AT721" i="1"/>
  <c r="AT722" i="1"/>
  <c r="AT723" i="1"/>
  <c r="AT724" i="1"/>
  <c r="AT725" i="1"/>
  <c r="AT726" i="1"/>
  <c r="AT727" i="1"/>
  <c r="AT728" i="1"/>
  <c r="AT729" i="1"/>
  <c r="AT730" i="1"/>
  <c r="AT731" i="1"/>
  <c r="AT732" i="1"/>
  <c r="AT733" i="1"/>
  <c r="AT734" i="1"/>
  <c r="AT735" i="1"/>
  <c r="AT736" i="1"/>
  <c r="AT737" i="1"/>
  <c r="AT738" i="1"/>
  <c r="AT739" i="1"/>
  <c r="AT740" i="1"/>
  <c r="AT741" i="1"/>
  <c r="AT742" i="1"/>
  <c r="AT743" i="1"/>
  <c r="AT744" i="1"/>
  <c r="AT745" i="1"/>
  <c r="AT746" i="1"/>
  <c r="AT747" i="1"/>
  <c r="AT748" i="1"/>
  <c r="AT749" i="1"/>
  <c r="AT750" i="1"/>
  <c r="AT751" i="1"/>
  <c r="AT752" i="1"/>
  <c r="AT753" i="1"/>
  <c r="AT754" i="1"/>
  <c r="AT755" i="1"/>
  <c r="AT756" i="1"/>
  <c r="AT757" i="1"/>
  <c r="AT758" i="1"/>
  <c r="AT759" i="1"/>
  <c r="AT760" i="1"/>
  <c r="AT761" i="1"/>
  <c r="AT762" i="1"/>
  <c r="AT763" i="1"/>
  <c r="AT764" i="1"/>
  <c r="AT765" i="1"/>
  <c r="AT766" i="1"/>
  <c r="AT767" i="1"/>
  <c r="AT768" i="1"/>
  <c r="AT769" i="1"/>
  <c r="AT770" i="1"/>
  <c r="AT771" i="1"/>
  <c r="AT772" i="1"/>
  <c r="AT773" i="1"/>
  <c r="AT774" i="1"/>
  <c r="AT775" i="1"/>
  <c r="AT776" i="1"/>
  <c r="AT777" i="1"/>
  <c r="AT778" i="1"/>
  <c r="AT779" i="1"/>
  <c r="AT780" i="1"/>
  <c r="AT781" i="1"/>
  <c r="AT782" i="1"/>
  <c r="AT783" i="1"/>
  <c r="AT784" i="1"/>
  <c r="AT785" i="1"/>
  <c r="AT786" i="1"/>
  <c r="AT787" i="1"/>
  <c r="AT788" i="1"/>
  <c r="AT789" i="1"/>
  <c r="AT790" i="1"/>
  <c r="AT791" i="1"/>
  <c r="AT792" i="1"/>
  <c r="AT793" i="1"/>
  <c r="AT794" i="1"/>
  <c r="AT795" i="1"/>
  <c r="AT796" i="1"/>
  <c r="AT797" i="1"/>
  <c r="AT798" i="1"/>
  <c r="AT799" i="1"/>
  <c r="AT800" i="1"/>
  <c r="AT801" i="1"/>
  <c r="AT802" i="1"/>
  <c r="AT803" i="1"/>
  <c r="AT804" i="1"/>
  <c r="AT805" i="1"/>
  <c r="AT806" i="1"/>
  <c r="AT807" i="1"/>
  <c r="AT808" i="1"/>
  <c r="AT809" i="1"/>
  <c r="AT810" i="1"/>
  <c r="AT811" i="1"/>
  <c r="AT812" i="1"/>
  <c r="AT813" i="1"/>
  <c r="AT814" i="1"/>
  <c r="AT815" i="1"/>
  <c r="AT816" i="1"/>
  <c r="AT817" i="1"/>
  <c r="AT818" i="1"/>
  <c r="AT819" i="1"/>
  <c r="AT820" i="1"/>
  <c r="AT821" i="1"/>
  <c r="AT822" i="1"/>
  <c r="AT823" i="1"/>
  <c r="AT824" i="1"/>
  <c r="AT825" i="1"/>
  <c r="AT826" i="1"/>
  <c r="AT827" i="1"/>
  <c r="AT828" i="1"/>
  <c r="AT829" i="1"/>
  <c r="AT830" i="1"/>
  <c r="AT831" i="1"/>
  <c r="AT832" i="1"/>
  <c r="AT833" i="1"/>
  <c r="AT834" i="1"/>
  <c r="AT835" i="1"/>
  <c r="AT836" i="1"/>
  <c r="AT837" i="1"/>
  <c r="AT838" i="1"/>
  <c r="AT839" i="1"/>
  <c r="AT840" i="1"/>
  <c r="AT841" i="1"/>
  <c r="AT842" i="1"/>
  <c r="AT843" i="1"/>
  <c r="AT844" i="1"/>
  <c r="AT845" i="1"/>
  <c r="AT846" i="1"/>
  <c r="AT847" i="1"/>
  <c r="AT848" i="1"/>
  <c r="AT849" i="1"/>
  <c r="AT850" i="1"/>
  <c r="AT851" i="1"/>
  <c r="AT852" i="1"/>
  <c r="AT853" i="1"/>
  <c r="AT854" i="1"/>
  <c r="AT855" i="1"/>
  <c r="AT856" i="1"/>
  <c r="AT857" i="1"/>
  <c r="AT858" i="1"/>
  <c r="AT859" i="1"/>
  <c r="AT860" i="1"/>
  <c r="AT861" i="1"/>
  <c r="AT862" i="1"/>
  <c r="AT863" i="1"/>
  <c r="AT864" i="1"/>
  <c r="AT865" i="1"/>
  <c r="AT866" i="1"/>
  <c r="AT867" i="1"/>
  <c r="AT868" i="1"/>
  <c r="AT869" i="1"/>
  <c r="AT870" i="1"/>
  <c r="AT871" i="1"/>
  <c r="AT872" i="1"/>
  <c r="AT873" i="1"/>
  <c r="AT874" i="1"/>
  <c r="AT875" i="1"/>
  <c r="AT876" i="1"/>
  <c r="AT877" i="1"/>
  <c r="AT878" i="1"/>
  <c r="AT879" i="1"/>
  <c r="AT880" i="1"/>
  <c r="AT881" i="1"/>
  <c r="AT882" i="1"/>
  <c r="AT883" i="1"/>
  <c r="AT884" i="1"/>
  <c r="AT885" i="1"/>
  <c r="AT886" i="1"/>
  <c r="AT887" i="1"/>
  <c r="AT888" i="1"/>
  <c r="AT889" i="1"/>
  <c r="AT890" i="1"/>
  <c r="AT891" i="1"/>
  <c r="AT892" i="1"/>
  <c r="AT893" i="1"/>
  <c r="AT894" i="1"/>
  <c r="AT895" i="1"/>
  <c r="AT896" i="1"/>
  <c r="AT897" i="1"/>
  <c r="AT898" i="1"/>
  <c r="AT899" i="1"/>
  <c r="AT900" i="1"/>
  <c r="AT901" i="1"/>
  <c r="AT902" i="1"/>
  <c r="AT903" i="1"/>
  <c r="AT904" i="1"/>
  <c r="AT905" i="1"/>
  <c r="AT906" i="1"/>
  <c r="AT907" i="1"/>
  <c r="AT908" i="1"/>
  <c r="AT909" i="1"/>
  <c r="AT910" i="1"/>
  <c r="AT911" i="1"/>
  <c r="AT912" i="1"/>
  <c r="AT913" i="1"/>
  <c r="AT914" i="1"/>
  <c r="AT915" i="1"/>
  <c r="AT916" i="1"/>
  <c r="AT917" i="1"/>
  <c r="AT918" i="1"/>
  <c r="AT919" i="1"/>
  <c r="AT920" i="1"/>
  <c r="AT921" i="1"/>
  <c r="AT922" i="1"/>
  <c r="AT923" i="1"/>
  <c r="AT924" i="1"/>
  <c r="AT925" i="1"/>
  <c r="AT926" i="1"/>
  <c r="AT927" i="1"/>
  <c r="AT928" i="1"/>
  <c r="AT929" i="1"/>
  <c r="AT930" i="1"/>
  <c r="AT931" i="1"/>
  <c r="AT932" i="1"/>
  <c r="AT933" i="1"/>
  <c r="AT934" i="1"/>
  <c r="AT935" i="1"/>
  <c r="AT936" i="1"/>
  <c r="AT937" i="1"/>
  <c r="AT938" i="1"/>
  <c r="AT939" i="1"/>
  <c r="AT940" i="1"/>
  <c r="AT941" i="1"/>
  <c r="AT942" i="1"/>
  <c r="AT943" i="1"/>
  <c r="AT944" i="1"/>
  <c r="AT945" i="1"/>
  <c r="AT946" i="1"/>
  <c r="AT947" i="1"/>
  <c r="AT948" i="1"/>
  <c r="AT949" i="1"/>
  <c r="AT950" i="1"/>
  <c r="AT951" i="1"/>
  <c r="AT952" i="1"/>
  <c r="AT953" i="1"/>
  <c r="AT954" i="1"/>
  <c r="AT955" i="1"/>
  <c r="AT956" i="1"/>
  <c r="AT957" i="1"/>
  <c r="AT958" i="1"/>
  <c r="AT959" i="1"/>
  <c r="AT960" i="1"/>
  <c r="AT961" i="1"/>
  <c r="AT962" i="1"/>
  <c r="AT963" i="1"/>
  <c r="AT964" i="1"/>
  <c r="AT965" i="1"/>
  <c r="AT966" i="1"/>
  <c r="AT967" i="1"/>
  <c r="AT968" i="1"/>
  <c r="AT969" i="1"/>
  <c r="AT970" i="1"/>
  <c r="AT971" i="1"/>
  <c r="AT972" i="1"/>
  <c r="AT973" i="1"/>
  <c r="AT974" i="1"/>
  <c r="AT975" i="1"/>
  <c r="AT976" i="1"/>
  <c r="AT977" i="1"/>
  <c r="AT978" i="1"/>
  <c r="AT979" i="1"/>
  <c r="AT980" i="1"/>
  <c r="AT981" i="1"/>
  <c r="AT982" i="1"/>
  <c r="AT983" i="1"/>
  <c r="AT984" i="1"/>
  <c r="AT985" i="1"/>
  <c r="AT986" i="1"/>
  <c r="AT987" i="1"/>
  <c r="AT988" i="1"/>
  <c r="AT989" i="1"/>
  <c r="AT990" i="1"/>
  <c r="AT991" i="1"/>
  <c r="AT992" i="1"/>
  <c r="AT993" i="1"/>
  <c r="AT994" i="1"/>
  <c r="AT995" i="1"/>
  <c r="AT996" i="1"/>
  <c r="AT997" i="1"/>
  <c r="AT998" i="1"/>
  <c r="AT999" i="1"/>
  <c r="AT1000" i="1"/>
  <c r="AT1001" i="1"/>
  <c r="AT1002" i="1"/>
  <c r="AT1003" i="1"/>
  <c r="AT1004" i="1"/>
  <c r="AT1005" i="1"/>
  <c r="AT1006" i="1"/>
  <c r="AT1007" i="1"/>
  <c r="AT1008" i="1"/>
  <c r="AT1009" i="1"/>
  <c r="AT1010" i="1"/>
  <c r="AT1011" i="1"/>
  <c r="AT1012" i="1"/>
  <c r="AT1013" i="1"/>
  <c r="AT1014" i="1"/>
  <c r="AT1015" i="1"/>
  <c r="AT1016" i="1"/>
  <c r="AT1017" i="1"/>
  <c r="AT1018" i="1"/>
  <c r="AT1019" i="1"/>
  <c r="AT1020" i="1"/>
  <c r="AT1021" i="1"/>
  <c r="AT1022" i="1"/>
  <c r="AT1023" i="1"/>
  <c r="AT1024" i="1"/>
  <c r="AT1025" i="1"/>
  <c r="AT1026" i="1"/>
  <c r="AT1027" i="1"/>
  <c r="AT1028" i="1"/>
  <c r="AT1029" i="1"/>
  <c r="AT1030" i="1"/>
  <c r="AT1031" i="1"/>
  <c r="AT1032" i="1"/>
  <c r="AT1033" i="1"/>
  <c r="AT1034" i="1"/>
  <c r="AT1035" i="1"/>
  <c r="AT1036" i="1"/>
  <c r="AT1037" i="1"/>
  <c r="AT1038" i="1"/>
  <c r="AT1039" i="1"/>
  <c r="AT1040" i="1"/>
  <c r="AT1041" i="1"/>
  <c r="AT1042" i="1"/>
  <c r="AT1043" i="1"/>
  <c r="AT1044" i="1"/>
  <c r="AT1045" i="1"/>
  <c r="AT1046" i="1"/>
  <c r="AT1047" i="1"/>
  <c r="AT1048" i="1"/>
  <c r="AT1049" i="1"/>
  <c r="AT1050" i="1"/>
  <c r="AT1051" i="1"/>
  <c r="AT1052" i="1"/>
  <c r="AT1053" i="1"/>
  <c r="AT1054" i="1"/>
  <c r="AT1055" i="1"/>
  <c r="AT1056" i="1"/>
  <c r="AT1057" i="1"/>
  <c r="AT1058" i="1"/>
  <c r="AT1059" i="1"/>
  <c r="AT1060" i="1"/>
  <c r="AT1061" i="1"/>
  <c r="AT1062" i="1"/>
  <c r="AT1063" i="1"/>
  <c r="AT1064" i="1"/>
  <c r="AT1065" i="1"/>
  <c r="AT1066" i="1"/>
  <c r="AT1067" i="1"/>
  <c r="AT1068" i="1"/>
  <c r="AT1069" i="1"/>
  <c r="AT1070" i="1"/>
  <c r="AT1071" i="1"/>
  <c r="AT1072" i="1"/>
  <c r="AT1073" i="1"/>
  <c r="AT1074" i="1"/>
  <c r="AT1075" i="1"/>
  <c r="AT1076" i="1"/>
  <c r="AT1077" i="1"/>
  <c r="AT1078" i="1"/>
  <c r="AT1079" i="1"/>
  <c r="AT1080" i="1"/>
  <c r="AT1081" i="1"/>
  <c r="AT1082" i="1"/>
  <c r="AT1083" i="1"/>
  <c r="AT1084" i="1"/>
  <c r="AT1085" i="1"/>
  <c r="AT1086" i="1"/>
  <c r="AT1087" i="1"/>
  <c r="AT1088" i="1"/>
  <c r="AT1089" i="1"/>
  <c r="AT1090" i="1"/>
  <c r="AT1091" i="1"/>
  <c r="AT1092" i="1"/>
  <c r="AT1093" i="1"/>
  <c r="AT1094" i="1"/>
  <c r="AT1095" i="1"/>
  <c r="AT1096" i="1"/>
  <c r="AT1097" i="1"/>
  <c r="AT1098" i="1"/>
  <c r="AT1099" i="1"/>
  <c r="AT1100" i="1"/>
  <c r="AT1101" i="1"/>
  <c r="AT1102" i="1"/>
  <c r="AT1103" i="1"/>
  <c r="AT1104" i="1"/>
  <c r="AT1105" i="1"/>
  <c r="AT1106" i="1"/>
  <c r="AT1107" i="1"/>
  <c r="AT1108" i="1"/>
  <c r="AT1109" i="1"/>
  <c r="AT1110" i="1"/>
  <c r="AT1111" i="1"/>
  <c r="AT1112" i="1"/>
  <c r="AT1113" i="1"/>
  <c r="AT1114" i="1"/>
  <c r="AT1115" i="1"/>
  <c r="AT1116" i="1"/>
  <c r="AT1117" i="1"/>
  <c r="AT1118" i="1"/>
  <c r="AT1119" i="1"/>
  <c r="AT1120" i="1"/>
  <c r="AT1121" i="1"/>
  <c r="AT1122" i="1"/>
  <c r="AT1123" i="1"/>
  <c r="AT1124" i="1"/>
  <c r="AT1125" i="1"/>
  <c r="AT1126" i="1"/>
  <c r="AT1127" i="1"/>
  <c r="AT1128" i="1"/>
  <c r="AT1129" i="1"/>
  <c r="AT1130" i="1"/>
  <c r="AT1131" i="1"/>
  <c r="AT1132" i="1"/>
  <c r="AT1133" i="1"/>
  <c r="AT1134" i="1"/>
  <c r="AT1135" i="1"/>
  <c r="AT1136" i="1"/>
  <c r="AT1137" i="1"/>
  <c r="AT1138" i="1"/>
  <c r="AT1139" i="1"/>
  <c r="AT1140" i="1"/>
  <c r="AT1141" i="1"/>
  <c r="AT1142" i="1"/>
  <c r="AT1143" i="1"/>
  <c r="AT1144" i="1"/>
  <c r="AT1145" i="1"/>
  <c r="AT1146" i="1"/>
  <c r="AT1147" i="1"/>
  <c r="AT1148" i="1"/>
  <c r="AT1149" i="1"/>
  <c r="AT1150" i="1"/>
  <c r="AT1151" i="1"/>
  <c r="AT1152" i="1"/>
  <c r="AT1153" i="1"/>
  <c r="AT1154" i="1"/>
  <c r="AT1155" i="1"/>
  <c r="AT1156" i="1"/>
  <c r="AT1157" i="1"/>
  <c r="AT1158" i="1"/>
  <c r="AT1159" i="1"/>
  <c r="AT1160" i="1"/>
  <c r="AT1161" i="1"/>
  <c r="AT1162" i="1"/>
  <c r="AT1163" i="1"/>
  <c r="AT1164" i="1"/>
  <c r="AT1165" i="1"/>
  <c r="AT1166" i="1"/>
  <c r="AT1167" i="1"/>
  <c r="AT1168" i="1"/>
  <c r="AT1169" i="1"/>
  <c r="AT1170" i="1"/>
  <c r="AT1171" i="1"/>
  <c r="AT1172" i="1"/>
  <c r="AT1173" i="1"/>
  <c r="AT1174" i="1"/>
  <c r="AT1175" i="1"/>
  <c r="AT1176" i="1"/>
  <c r="AT1177" i="1"/>
  <c r="AT1178" i="1"/>
  <c r="AT1179" i="1"/>
  <c r="AT1180" i="1"/>
  <c r="AT1181" i="1"/>
  <c r="AT1182" i="1"/>
  <c r="AT1183" i="1"/>
  <c r="AT1184" i="1"/>
  <c r="AT1185" i="1"/>
  <c r="AT1186" i="1"/>
  <c r="AT1187" i="1"/>
  <c r="AT1188" i="1"/>
  <c r="AT1189" i="1"/>
  <c r="AT1190" i="1"/>
  <c r="AT1191" i="1"/>
  <c r="AT1192" i="1"/>
  <c r="AT1193" i="1"/>
  <c r="AT1194" i="1"/>
  <c r="AT1195" i="1"/>
  <c r="AT1196" i="1"/>
  <c r="AT1197" i="1"/>
  <c r="AT1198" i="1"/>
  <c r="AT1199" i="1"/>
  <c r="AT1200" i="1"/>
  <c r="AT1201" i="1"/>
  <c r="AT1202" i="1"/>
  <c r="AT1203" i="1"/>
  <c r="AT1204" i="1"/>
  <c r="AT1205" i="1"/>
  <c r="AT1206" i="1"/>
  <c r="AT1207" i="1"/>
  <c r="AT1208" i="1"/>
  <c r="AT1209" i="1"/>
  <c r="AT1210" i="1"/>
  <c r="AT1211" i="1"/>
  <c r="AT1212" i="1"/>
  <c r="AT1213" i="1"/>
  <c r="AT1214" i="1"/>
  <c r="AT1215" i="1"/>
  <c r="AT1216" i="1"/>
  <c r="AT1217" i="1"/>
  <c r="AT1218" i="1"/>
  <c r="AT1219" i="1"/>
  <c r="AT1220" i="1"/>
  <c r="AT1221" i="1"/>
  <c r="AT1222" i="1"/>
  <c r="AT1223" i="1"/>
  <c r="AT1224" i="1"/>
  <c r="AT1225" i="1"/>
  <c r="AT1226" i="1"/>
  <c r="AT1227" i="1"/>
  <c r="AT1228" i="1"/>
  <c r="AT1229" i="1"/>
  <c r="AT1230" i="1"/>
  <c r="AT1231" i="1"/>
  <c r="AT1232" i="1"/>
  <c r="AT1233" i="1"/>
  <c r="AT1234" i="1"/>
  <c r="AT1235" i="1"/>
  <c r="AT1236" i="1"/>
  <c r="AT1237" i="1"/>
  <c r="AT1238" i="1"/>
  <c r="AT1239" i="1"/>
  <c r="AT1240" i="1"/>
  <c r="AT1241" i="1"/>
  <c r="AT1242" i="1"/>
  <c r="AT1243" i="1"/>
  <c r="AT1244" i="1"/>
  <c r="AT1245" i="1"/>
  <c r="AT1246" i="1"/>
  <c r="AT1247" i="1"/>
  <c r="AT1248" i="1"/>
  <c r="AT1249" i="1"/>
  <c r="AT1250" i="1"/>
  <c r="AT1251" i="1"/>
  <c r="AT1252" i="1"/>
  <c r="AT1253" i="1"/>
  <c r="AT1254" i="1"/>
  <c r="AT1255" i="1"/>
  <c r="AT1256" i="1"/>
  <c r="AT1257" i="1"/>
  <c r="AT1258" i="1"/>
  <c r="AT1259" i="1"/>
  <c r="AT1260" i="1"/>
  <c r="AT1261" i="1"/>
  <c r="AT1262" i="1"/>
  <c r="AT1263" i="1"/>
  <c r="AT1264" i="1"/>
  <c r="AT1265" i="1"/>
  <c r="AT1266" i="1"/>
  <c r="AT1267" i="1"/>
  <c r="AT1268" i="1"/>
  <c r="AT1269" i="1"/>
  <c r="AT1270" i="1"/>
  <c r="AT1271" i="1"/>
  <c r="AT1272" i="1"/>
  <c r="AT1273" i="1"/>
  <c r="AT1274" i="1"/>
  <c r="AT1275" i="1"/>
  <c r="AT1276" i="1"/>
  <c r="AT1277" i="1"/>
  <c r="AT1278" i="1"/>
  <c r="AT1279" i="1"/>
  <c r="AT1280" i="1"/>
  <c r="AT1281" i="1"/>
  <c r="AT1282" i="1"/>
  <c r="AT1283" i="1"/>
  <c r="AT1284" i="1"/>
  <c r="AT1285" i="1"/>
  <c r="AT1286" i="1"/>
  <c r="AT1287" i="1"/>
  <c r="AT1288" i="1"/>
  <c r="AT1289" i="1"/>
  <c r="AT1290" i="1"/>
  <c r="AT1291" i="1"/>
  <c r="AT1292" i="1"/>
  <c r="AT1293" i="1"/>
  <c r="AT1294" i="1"/>
  <c r="AT1295" i="1"/>
  <c r="AT1296" i="1"/>
  <c r="AT1297" i="1"/>
  <c r="AT1298" i="1"/>
  <c r="AT1299" i="1"/>
  <c r="AT1300" i="1"/>
  <c r="AT1301" i="1"/>
  <c r="AT1302" i="1"/>
  <c r="AT1303" i="1"/>
  <c r="AT1304" i="1"/>
  <c r="AT1305" i="1"/>
  <c r="AT1306" i="1"/>
  <c r="AT1307" i="1"/>
  <c r="AT1308" i="1"/>
  <c r="AT1309" i="1"/>
  <c r="AT1310" i="1"/>
  <c r="AT1311" i="1"/>
  <c r="AT1312" i="1"/>
  <c r="AT1313" i="1"/>
  <c r="AT1314" i="1"/>
  <c r="AT1315" i="1"/>
  <c r="AT1316" i="1"/>
  <c r="AT1317" i="1"/>
  <c r="AT1318" i="1"/>
  <c r="AT1319" i="1"/>
  <c r="AT1320" i="1"/>
  <c r="AT1321" i="1"/>
  <c r="AT1322" i="1"/>
  <c r="AT1323" i="1"/>
  <c r="AT1324" i="1"/>
  <c r="AT1325" i="1"/>
  <c r="AT1326" i="1"/>
  <c r="AT1327" i="1"/>
  <c r="AT1328" i="1"/>
  <c r="AT1329" i="1"/>
  <c r="AT1330" i="1"/>
  <c r="AT1331" i="1"/>
  <c r="AT1332" i="1"/>
  <c r="AT1333" i="1"/>
  <c r="AT1334" i="1"/>
  <c r="AT1335" i="1"/>
  <c r="AT1336" i="1"/>
  <c r="AT1337" i="1"/>
  <c r="AT1338" i="1"/>
  <c r="AT1339" i="1"/>
  <c r="AT1340" i="1"/>
  <c r="AT1341" i="1"/>
  <c r="AT1342" i="1"/>
  <c r="AT1343" i="1"/>
  <c r="AT1344" i="1"/>
  <c r="AT1345" i="1"/>
  <c r="AT1346" i="1"/>
  <c r="AT1347" i="1"/>
  <c r="AT1348" i="1"/>
  <c r="AT1349" i="1"/>
  <c r="AT1350" i="1"/>
  <c r="AT1351" i="1"/>
  <c r="AT1352" i="1"/>
  <c r="AT1353" i="1"/>
  <c r="AT1354" i="1"/>
  <c r="AT1355" i="1"/>
  <c r="AT1356" i="1"/>
  <c r="AT1357" i="1"/>
  <c r="AT1358" i="1"/>
  <c r="AT1359" i="1"/>
  <c r="AT1360" i="1"/>
  <c r="AT1361" i="1"/>
  <c r="AT1362" i="1"/>
  <c r="AT1363" i="1"/>
  <c r="AT1364" i="1"/>
  <c r="AT1365" i="1"/>
  <c r="AT1366" i="1"/>
  <c r="AT1367" i="1"/>
  <c r="AT1368" i="1"/>
  <c r="AT1369" i="1"/>
  <c r="AT1370" i="1"/>
  <c r="AT1371" i="1"/>
  <c r="AT1372" i="1"/>
  <c r="AT1373" i="1"/>
  <c r="AT1374" i="1"/>
  <c r="AT1375" i="1"/>
  <c r="AT1376" i="1"/>
  <c r="AT1377" i="1"/>
  <c r="AT1378" i="1"/>
  <c r="AT1379" i="1"/>
  <c r="AT1380" i="1"/>
  <c r="AT1381" i="1"/>
  <c r="AT1382" i="1"/>
  <c r="AT1383" i="1"/>
  <c r="AT1384" i="1"/>
  <c r="AT1385" i="1"/>
  <c r="AT1386" i="1"/>
  <c r="AT1387" i="1"/>
  <c r="AT1388" i="1"/>
  <c r="AT1389" i="1"/>
  <c r="AT1390" i="1"/>
  <c r="AT1391" i="1"/>
  <c r="AT1392" i="1"/>
  <c r="AT1393" i="1"/>
  <c r="AT1394" i="1"/>
  <c r="AT1395" i="1"/>
  <c r="AT1396" i="1"/>
  <c r="AT1397" i="1"/>
  <c r="AT1398" i="1"/>
  <c r="AT1399" i="1"/>
  <c r="AT1400" i="1"/>
  <c r="AT1401" i="1"/>
  <c r="AT1402" i="1"/>
  <c r="AT1403" i="1"/>
  <c r="AT1404" i="1"/>
  <c r="AT1405" i="1"/>
  <c r="AT1406" i="1"/>
  <c r="AT1407" i="1"/>
  <c r="AT1408" i="1"/>
  <c r="AT1409" i="1"/>
  <c r="AT1410" i="1"/>
  <c r="AT1411" i="1"/>
  <c r="AT1412" i="1"/>
  <c r="AT1413" i="1"/>
  <c r="AT1414" i="1"/>
  <c r="AT1415" i="1"/>
  <c r="AT1416" i="1"/>
  <c r="AT1417" i="1"/>
  <c r="AT1418" i="1"/>
  <c r="AT1419" i="1"/>
  <c r="AT1420" i="1"/>
  <c r="AT1421" i="1"/>
  <c r="AT1422" i="1"/>
  <c r="AT1423" i="1"/>
  <c r="AT1424" i="1"/>
  <c r="AT1425" i="1"/>
  <c r="AT1426" i="1"/>
  <c r="AT1427" i="1"/>
  <c r="AT1428" i="1"/>
  <c r="AT1429" i="1"/>
  <c r="AT1430" i="1"/>
  <c r="AT1431" i="1"/>
  <c r="AT1432" i="1"/>
  <c r="AT1433" i="1"/>
  <c r="AT1434" i="1"/>
  <c r="AT1435" i="1"/>
  <c r="AT1436" i="1"/>
  <c r="AT1437" i="1"/>
  <c r="AT1438" i="1"/>
  <c r="AT1439" i="1"/>
  <c r="AT1440" i="1"/>
  <c r="AT1441" i="1"/>
  <c r="AT1442" i="1"/>
  <c r="AT1443" i="1"/>
  <c r="AT1444" i="1"/>
  <c r="AT1445" i="1"/>
  <c r="AT1446" i="1"/>
  <c r="AT1447" i="1"/>
  <c r="AT1448" i="1"/>
  <c r="AT1449" i="1"/>
  <c r="AT1450" i="1"/>
  <c r="AT1451" i="1"/>
  <c r="AT1452" i="1"/>
  <c r="AT1453" i="1"/>
  <c r="AT1454" i="1"/>
  <c r="AT1455" i="1"/>
  <c r="AT1456" i="1"/>
  <c r="AT1457" i="1"/>
  <c r="AT1458" i="1"/>
  <c r="AT1459" i="1"/>
  <c r="AT1460" i="1"/>
  <c r="AT1461" i="1"/>
  <c r="AT1462" i="1"/>
  <c r="AT1463" i="1"/>
  <c r="AT1464" i="1"/>
  <c r="AT1465" i="1"/>
  <c r="AT1466" i="1"/>
  <c r="AT1467" i="1"/>
  <c r="AT1468" i="1"/>
  <c r="AT1469" i="1"/>
  <c r="AT1470" i="1"/>
  <c r="AT1471" i="1"/>
  <c r="AS2" i="1"/>
  <c r="AS3" i="1"/>
  <c r="AS4" i="1"/>
  <c r="AS5" i="1"/>
  <c r="AS6" i="1"/>
  <c r="AS7" i="1"/>
  <c r="AS8" i="1"/>
  <c r="AS9" i="1"/>
  <c r="AS10" i="1"/>
  <c r="AS11" i="1"/>
  <c r="AS12" i="1"/>
  <c r="AS13" i="1"/>
  <c r="AS14" i="1"/>
  <c r="AS15" i="1"/>
  <c r="AS16" i="1"/>
  <c r="AS17" i="1"/>
  <c r="AS18" i="1"/>
  <c r="AS19" i="1"/>
  <c r="AS20" i="1"/>
  <c r="AS21" i="1"/>
  <c r="AS22" i="1"/>
  <c r="AS23" i="1"/>
  <c r="AS24" i="1"/>
  <c r="AS25" i="1"/>
  <c r="AS26" i="1"/>
  <c r="AS27" i="1"/>
  <c r="AS28" i="1"/>
  <c r="AS29" i="1"/>
  <c r="AS30" i="1"/>
  <c r="AS31" i="1"/>
  <c r="AS32" i="1"/>
  <c r="AS33" i="1"/>
  <c r="AS34" i="1"/>
  <c r="AS35" i="1"/>
  <c r="AS36" i="1"/>
  <c r="AS37" i="1"/>
  <c r="AS38" i="1"/>
  <c r="AS39" i="1"/>
  <c r="AS40" i="1"/>
  <c r="AS41" i="1"/>
  <c r="AS42" i="1"/>
  <c r="AS43" i="1"/>
  <c r="AS44" i="1"/>
  <c r="AS45" i="1"/>
  <c r="AS46" i="1"/>
  <c r="AS47" i="1"/>
  <c r="AS48" i="1"/>
  <c r="AS49" i="1"/>
  <c r="AS50" i="1"/>
  <c r="AS51" i="1"/>
  <c r="AS52" i="1"/>
  <c r="AS53" i="1"/>
  <c r="AS54" i="1"/>
  <c r="AS55" i="1"/>
  <c r="AS56" i="1"/>
  <c r="AS57" i="1"/>
  <c r="AS58" i="1"/>
  <c r="AS59" i="1"/>
  <c r="AS60" i="1"/>
  <c r="AS61" i="1"/>
  <c r="AS62" i="1"/>
  <c r="AS63" i="1"/>
  <c r="AS64" i="1"/>
  <c r="AS65" i="1"/>
  <c r="AS66" i="1"/>
  <c r="AS67" i="1"/>
  <c r="AS68" i="1"/>
  <c r="AS69" i="1"/>
  <c r="AS70" i="1"/>
  <c r="AS71" i="1"/>
  <c r="AS72" i="1"/>
  <c r="AS73" i="1"/>
  <c r="AS74" i="1"/>
  <c r="AS75" i="1"/>
  <c r="AS76" i="1"/>
  <c r="AS77" i="1"/>
  <c r="AS78" i="1"/>
  <c r="AS79" i="1"/>
  <c r="AS80" i="1"/>
  <c r="AS81" i="1"/>
  <c r="AS82" i="1"/>
  <c r="AS83" i="1"/>
  <c r="AS84" i="1"/>
  <c r="AS85" i="1"/>
  <c r="AS86" i="1"/>
  <c r="AS87" i="1"/>
  <c r="AS88" i="1"/>
  <c r="AS89" i="1"/>
  <c r="AS90" i="1"/>
  <c r="AS91" i="1"/>
  <c r="AS92" i="1"/>
  <c r="AS93" i="1"/>
  <c r="AS94" i="1"/>
  <c r="AS95" i="1"/>
  <c r="AS96" i="1"/>
  <c r="AS97" i="1"/>
  <c r="AS98" i="1"/>
  <c r="AS99" i="1"/>
  <c r="AS100" i="1"/>
  <c r="AS101" i="1"/>
  <c r="AS102" i="1"/>
  <c r="AS103" i="1"/>
  <c r="AS104" i="1"/>
  <c r="AS105" i="1"/>
  <c r="AS106" i="1"/>
  <c r="AS107" i="1"/>
  <c r="AS108" i="1"/>
  <c r="AS109" i="1"/>
  <c r="AS110" i="1"/>
  <c r="AS111" i="1"/>
  <c r="AS112" i="1"/>
  <c r="AS113" i="1"/>
  <c r="AS114" i="1"/>
  <c r="AS115" i="1"/>
  <c r="AS116" i="1"/>
  <c r="AS117" i="1"/>
  <c r="AS118" i="1"/>
  <c r="AS119" i="1"/>
  <c r="AS120" i="1"/>
  <c r="AS121" i="1"/>
  <c r="AS122" i="1"/>
  <c r="AS123" i="1"/>
  <c r="AS124" i="1"/>
  <c r="AS125" i="1"/>
  <c r="AS126" i="1"/>
  <c r="AS127" i="1"/>
  <c r="AS128" i="1"/>
  <c r="AS129" i="1"/>
  <c r="AS130" i="1"/>
  <c r="AS131" i="1"/>
  <c r="AS132" i="1"/>
  <c r="AS133" i="1"/>
  <c r="AS134" i="1"/>
  <c r="AS135" i="1"/>
  <c r="AS136" i="1"/>
  <c r="AS137" i="1"/>
  <c r="AS138" i="1"/>
  <c r="AS139" i="1"/>
  <c r="AS140" i="1"/>
  <c r="AS141" i="1"/>
  <c r="AS142" i="1"/>
  <c r="AS143" i="1"/>
  <c r="AS144" i="1"/>
  <c r="AS145" i="1"/>
  <c r="AS146" i="1"/>
  <c r="AS147" i="1"/>
  <c r="AS148" i="1"/>
  <c r="AS149" i="1"/>
  <c r="AS150" i="1"/>
  <c r="AS151" i="1"/>
  <c r="AS152" i="1"/>
  <c r="AS153" i="1"/>
  <c r="AS154" i="1"/>
  <c r="AS155" i="1"/>
  <c r="AS156" i="1"/>
  <c r="AS157" i="1"/>
  <c r="AS158" i="1"/>
  <c r="AS159" i="1"/>
  <c r="AS160" i="1"/>
  <c r="AS161" i="1"/>
  <c r="AS162" i="1"/>
  <c r="AS163" i="1"/>
  <c r="AS164" i="1"/>
  <c r="AS165" i="1"/>
  <c r="AS166" i="1"/>
  <c r="AS167" i="1"/>
  <c r="AS168" i="1"/>
  <c r="AS169" i="1"/>
  <c r="AS170" i="1"/>
  <c r="AS171" i="1"/>
  <c r="AS172" i="1"/>
  <c r="AS173" i="1"/>
  <c r="AS174" i="1"/>
  <c r="AS175" i="1"/>
  <c r="AS176" i="1"/>
  <c r="AS177" i="1"/>
  <c r="AS178" i="1"/>
  <c r="AS179" i="1"/>
  <c r="AS180" i="1"/>
  <c r="AS181" i="1"/>
  <c r="AS182" i="1"/>
  <c r="AS183" i="1"/>
  <c r="AS184" i="1"/>
  <c r="AS185" i="1"/>
  <c r="AS186" i="1"/>
  <c r="AS187" i="1"/>
  <c r="AS188" i="1"/>
  <c r="AS189" i="1"/>
  <c r="AS190" i="1"/>
  <c r="AS191" i="1"/>
  <c r="AS192" i="1"/>
  <c r="AS193" i="1"/>
  <c r="AS194" i="1"/>
  <c r="AS195" i="1"/>
  <c r="AS196" i="1"/>
  <c r="AS197" i="1"/>
  <c r="AS198" i="1"/>
  <c r="AS199" i="1"/>
  <c r="AS200" i="1"/>
  <c r="AS201" i="1"/>
  <c r="AS202" i="1"/>
  <c r="AS203" i="1"/>
  <c r="AS204" i="1"/>
  <c r="AS205" i="1"/>
  <c r="AS206" i="1"/>
  <c r="AS207" i="1"/>
  <c r="AS208" i="1"/>
  <c r="AS209" i="1"/>
  <c r="AS210" i="1"/>
  <c r="AS211" i="1"/>
  <c r="AS212" i="1"/>
  <c r="AS213" i="1"/>
  <c r="AS214" i="1"/>
  <c r="AS215" i="1"/>
  <c r="AS216" i="1"/>
  <c r="AS217" i="1"/>
  <c r="AS218" i="1"/>
  <c r="AS219" i="1"/>
  <c r="AS220" i="1"/>
  <c r="AS221" i="1"/>
  <c r="AS222" i="1"/>
  <c r="AS223" i="1"/>
  <c r="AS224" i="1"/>
  <c r="AS225" i="1"/>
  <c r="AS226" i="1"/>
  <c r="AS227" i="1"/>
  <c r="AS228" i="1"/>
  <c r="AS229" i="1"/>
  <c r="AS230" i="1"/>
  <c r="AS231" i="1"/>
  <c r="AS232" i="1"/>
  <c r="AS233" i="1"/>
  <c r="AS234" i="1"/>
  <c r="AS235" i="1"/>
  <c r="AS236" i="1"/>
  <c r="AS237" i="1"/>
  <c r="AS238" i="1"/>
  <c r="AS239" i="1"/>
  <c r="AS240" i="1"/>
  <c r="AS241" i="1"/>
  <c r="AS242" i="1"/>
  <c r="AS243" i="1"/>
  <c r="AS244" i="1"/>
  <c r="AS245" i="1"/>
  <c r="AS246" i="1"/>
  <c r="AS247" i="1"/>
  <c r="AS248" i="1"/>
  <c r="AS249" i="1"/>
  <c r="AS250" i="1"/>
  <c r="AS251" i="1"/>
  <c r="AS252" i="1"/>
  <c r="AS253" i="1"/>
  <c r="AS254" i="1"/>
  <c r="AS255" i="1"/>
  <c r="AS256" i="1"/>
  <c r="AS257" i="1"/>
  <c r="AS258" i="1"/>
  <c r="AS259" i="1"/>
  <c r="AS260" i="1"/>
  <c r="AS261" i="1"/>
  <c r="AS262" i="1"/>
  <c r="AS263" i="1"/>
  <c r="AS264" i="1"/>
  <c r="AS265" i="1"/>
  <c r="AS266" i="1"/>
  <c r="AS267" i="1"/>
  <c r="AS268" i="1"/>
  <c r="AS269" i="1"/>
  <c r="AS270" i="1"/>
  <c r="AS271" i="1"/>
  <c r="AS272" i="1"/>
  <c r="AS273" i="1"/>
  <c r="AS274" i="1"/>
  <c r="AS275" i="1"/>
  <c r="AS276" i="1"/>
  <c r="AS277" i="1"/>
  <c r="AS278" i="1"/>
  <c r="AS279" i="1"/>
  <c r="AS280" i="1"/>
  <c r="AS281" i="1"/>
  <c r="AS282" i="1"/>
  <c r="AS283" i="1"/>
  <c r="AS284" i="1"/>
  <c r="AS285" i="1"/>
  <c r="AS286" i="1"/>
  <c r="AS287" i="1"/>
  <c r="AS288" i="1"/>
  <c r="AS289" i="1"/>
  <c r="AS290" i="1"/>
  <c r="AS291" i="1"/>
  <c r="AS292" i="1"/>
  <c r="AS293" i="1"/>
  <c r="AS294" i="1"/>
  <c r="AS295" i="1"/>
  <c r="AS296" i="1"/>
  <c r="AS297" i="1"/>
  <c r="AS298" i="1"/>
  <c r="AS299" i="1"/>
  <c r="AS300" i="1"/>
  <c r="AS301" i="1"/>
  <c r="AS302" i="1"/>
  <c r="AS303" i="1"/>
  <c r="AS304" i="1"/>
  <c r="AS305" i="1"/>
  <c r="AS306" i="1"/>
  <c r="AS307" i="1"/>
  <c r="AS308" i="1"/>
  <c r="AS309" i="1"/>
  <c r="AS310" i="1"/>
  <c r="AS311" i="1"/>
  <c r="AS312" i="1"/>
  <c r="AS313" i="1"/>
  <c r="AS314" i="1"/>
  <c r="AS315" i="1"/>
  <c r="AS316" i="1"/>
  <c r="AS317" i="1"/>
  <c r="AS318" i="1"/>
  <c r="AS319" i="1"/>
  <c r="AS320" i="1"/>
  <c r="AS321" i="1"/>
  <c r="AS322" i="1"/>
  <c r="AS323" i="1"/>
  <c r="AS324" i="1"/>
  <c r="AS325" i="1"/>
  <c r="AS326" i="1"/>
  <c r="AS327" i="1"/>
  <c r="AS328" i="1"/>
  <c r="AS329" i="1"/>
  <c r="AS330" i="1"/>
  <c r="AS331" i="1"/>
  <c r="AS332" i="1"/>
  <c r="AS333" i="1"/>
  <c r="AS334" i="1"/>
  <c r="AS335" i="1"/>
  <c r="AS336" i="1"/>
  <c r="AS337" i="1"/>
  <c r="AS338" i="1"/>
  <c r="AS339" i="1"/>
  <c r="AS340" i="1"/>
  <c r="AS341" i="1"/>
  <c r="AS342" i="1"/>
  <c r="AS343" i="1"/>
  <c r="AS344" i="1"/>
  <c r="AS345" i="1"/>
  <c r="AS346" i="1"/>
  <c r="AS347" i="1"/>
  <c r="AS348" i="1"/>
  <c r="AS349" i="1"/>
  <c r="AS350" i="1"/>
  <c r="AS351" i="1"/>
  <c r="AS352" i="1"/>
  <c r="AS353" i="1"/>
  <c r="AS354" i="1"/>
  <c r="AS355" i="1"/>
  <c r="AS356" i="1"/>
  <c r="AS357" i="1"/>
  <c r="AS358" i="1"/>
  <c r="AS359" i="1"/>
  <c r="AS360" i="1"/>
  <c r="AS361" i="1"/>
  <c r="AS362" i="1"/>
  <c r="AS363" i="1"/>
  <c r="AS364" i="1"/>
  <c r="AS365" i="1"/>
  <c r="AS366" i="1"/>
  <c r="AS367" i="1"/>
  <c r="AS368" i="1"/>
  <c r="AS369" i="1"/>
  <c r="AS370" i="1"/>
  <c r="AS371" i="1"/>
  <c r="AS372" i="1"/>
  <c r="AS373" i="1"/>
  <c r="AS374" i="1"/>
  <c r="AS375" i="1"/>
  <c r="AS376" i="1"/>
  <c r="AS377" i="1"/>
  <c r="AS378" i="1"/>
  <c r="AS379" i="1"/>
  <c r="AS380" i="1"/>
  <c r="AS381" i="1"/>
  <c r="AS382" i="1"/>
  <c r="AS383" i="1"/>
  <c r="AS384" i="1"/>
  <c r="AS385" i="1"/>
  <c r="AS386" i="1"/>
  <c r="AS387" i="1"/>
  <c r="AS388" i="1"/>
  <c r="AS389" i="1"/>
  <c r="AS390" i="1"/>
  <c r="AS391" i="1"/>
  <c r="AS392" i="1"/>
  <c r="AS393" i="1"/>
  <c r="AS394" i="1"/>
  <c r="AS395" i="1"/>
  <c r="AS396" i="1"/>
  <c r="AS397" i="1"/>
  <c r="AS398" i="1"/>
  <c r="AS399" i="1"/>
  <c r="AS400" i="1"/>
  <c r="AS401" i="1"/>
  <c r="AS402" i="1"/>
  <c r="AS403" i="1"/>
  <c r="AS404" i="1"/>
  <c r="AS405" i="1"/>
  <c r="AS406" i="1"/>
  <c r="AS407" i="1"/>
  <c r="AS408" i="1"/>
  <c r="AS409" i="1"/>
  <c r="AS410" i="1"/>
  <c r="AS411" i="1"/>
  <c r="AS412" i="1"/>
  <c r="AS413" i="1"/>
  <c r="AS414" i="1"/>
  <c r="AS415" i="1"/>
  <c r="AS416" i="1"/>
  <c r="AS417" i="1"/>
  <c r="AS418" i="1"/>
  <c r="AS419" i="1"/>
  <c r="AS420" i="1"/>
  <c r="AS421" i="1"/>
  <c r="AS422" i="1"/>
  <c r="AS423" i="1"/>
  <c r="AS424" i="1"/>
  <c r="AS425" i="1"/>
  <c r="AS426" i="1"/>
  <c r="AS427" i="1"/>
  <c r="AS428" i="1"/>
  <c r="AS429" i="1"/>
  <c r="AS430" i="1"/>
  <c r="AS431" i="1"/>
  <c r="AS432" i="1"/>
  <c r="AS433" i="1"/>
  <c r="AS434" i="1"/>
  <c r="AS435" i="1"/>
  <c r="AS436" i="1"/>
  <c r="AS437" i="1"/>
  <c r="AS438" i="1"/>
  <c r="AS439" i="1"/>
  <c r="AS440" i="1"/>
  <c r="AS441" i="1"/>
  <c r="AS442" i="1"/>
  <c r="AS443" i="1"/>
  <c r="AS444" i="1"/>
  <c r="AS445" i="1"/>
  <c r="AS446" i="1"/>
  <c r="AS447" i="1"/>
  <c r="AS448" i="1"/>
  <c r="AS449" i="1"/>
  <c r="AS450" i="1"/>
  <c r="AS451" i="1"/>
  <c r="AS452" i="1"/>
  <c r="AS453" i="1"/>
  <c r="AS454" i="1"/>
  <c r="AS455" i="1"/>
  <c r="AS456" i="1"/>
  <c r="AS457" i="1"/>
  <c r="AS458" i="1"/>
  <c r="AS459" i="1"/>
  <c r="AS460" i="1"/>
  <c r="AS461" i="1"/>
  <c r="AS462" i="1"/>
  <c r="AS463" i="1"/>
  <c r="AS464" i="1"/>
  <c r="AS465" i="1"/>
  <c r="AS466" i="1"/>
  <c r="AS467" i="1"/>
  <c r="AS468" i="1"/>
  <c r="AS469" i="1"/>
  <c r="AS470" i="1"/>
  <c r="AS471" i="1"/>
  <c r="AS472" i="1"/>
  <c r="AS473" i="1"/>
  <c r="AS474" i="1"/>
  <c r="AS475" i="1"/>
  <c r="AS476" i="1"/>
  <c r="AS477" i="1"/>
  <c r="AS478" i="1"/>
  <c r="AS479" i="1"/>
  <c r="AS480" i="1"/>
  <c r="AS481" i="1"/>
  <c r="AS482" i="1"/>
  <c r="AS483" i="1"/>
  <c r="AS484" i="1"/>
  <c r="AS485" i="1"/>
  <c r="AS486" i="1"/>
  <c r="AS487" i="1"/>
  <c r="AS488" i="1"/>
  <c r="AS489" i="1"/>
  <c r="AS490" i="1"/>
  <c r="AS491" i="1"/>
  <c r="AS492" i="1"/>
  <c r="AS493" i="1"/>
  <c r="AS494" i="1"/>
  <c r="AS495" i="1"/>
  <c r="AS496" i="1"/>
  <c r="AS497" i="1"/>
  <c r="AS498" i="1"/>
  <c r="AS499" i="1"/>
  <c r="AS500" i="1"/>
  <c r="AS501" i="1"/>
  <c r="AS502" i="1"/>
  <c r="AS503" i="1"/>
  <c r="AS504" i="1"/>
  <c r="AS505" i="1"/>
  <c r="AS506" i="1"/>
  <c r="AS507" i="1"/>
  <c r="AS508" i="1"/>
  <c r="AS509" i="1"/>
  <c r="AS510" i="1"/>
  <c r="AS511" i="1"/>
  <c r="AS512" i="1"/>
  <c r="AS513" i="1"/>
  <c r="AS514" i="1"/>
  <c r="AS515" i="1"/>
  <c r="AS516" i="1"/>
  <c r="AS517" i="1"/>
  <c r="AS518" i="1"/>
  <c r="AS519" i="1"/>
  <c r="AS520" i="1"/>
  <c r="AS521" i="1"/>
  <c r="AS522" i="1"/>
  <c r="AS523" i="1"/>
  <c r="AS524" i="1"/>
  <c r="AS525" i="1"/>
  <c r="AS526" i="1"/>
  <c r="AS527" i="1"/>
  <c r="AS528" i="1"/>
  <c r="AS529" i="1"/>
  <c r="AS530" i="1"/>
  <c r="AS531" i="1"/>
  <c r="AS532" i="1"/>
  <c r="AS533" i="1"/>
  <c r="AS534" i="1"/>
  <c r="AS535" i="1"/>
  <c r="AS536" i="1"/>
  <c r="AS537" i="1"/>
  <c r="AS538" i="1"/>
  <c r="AS539" i="1"/>
  <c r="AS540" i="1"/>
  <c r="AS541" i="1"/>
  <c r="AS542" i="1"/>
  <c r="AS543" i="1"/>
  <c r="AS544" i="1"/>
  <c r="AS545" i="1"/>
  <c r="AS546" i="1"/>
  <c r="AS547" i="1"/>
  <c r="AS548" i="1"/>
  <c r="AS549" i="1"/>
  <c r="AS550" i="1"/>
  <c r="AS551" i="1"/>
  <c r="AS552" i="1"/>
  <c r="AS553" i="1"/>
  <c r="AS554" i="1"/>
  <c r="AS555" i="1"/>
  <c r="AS556" i="1"/>
  <c r="AS557" i="1"/>
  <c r="AS558" i="1"/>
  <c r="AS559" i="1"/>
  <c r="AS560" i="1"/>
  <c r="AS561" i="1"/>
  <c r="AS562" i="1"/>
  <c r="AS563" i="1"/>
  <c r="AS564" i="1"/>
  <c r="AS565" i="1"/>
  <c r="AS566" i="1"/>
  <c r="AS567" i="1"/>
  <c r="AS568" i="1"/>
  <c r="AS569" i="1"/>
  <c r="AS570" i="1"/>
  <c r="AS571" i="1"/>
  <c r="AS572" i="1"/>
  <c r="AS573" i="1"/>
  <c r="AS574" i="1"/>
  <c r="AS575" i="1"/>
  <c r="AS576" i="1"/>
  <c r="AS577" i="1"/>
  <c r="AS578" i="1"/>
  <c r="AS579" i="1"/>
  <c r="AS580" i="1"/>
  <c r="AS581" i="1"/>
  <c r="AS582" i="1"/>
  <c r="AS583" i="1"/>
  <c r="AS584" i="1"/>
  <c r="AS585" i="1"/>
  <c r="AS586" i="1"/>
  <c r="AS587" i="1"/>
  <c r="AS588" i="1"/>
  <c r="AS589" i="1"/>
  <c r="AS590" i="1"/>
  <c r="AS591" i="1"/>
  <c r="AS592" i="1"/>
  <c r="AS593" i="1"/>
  <c r="AS594" i="1"/>
  <c r="AS595" i="1"/>
  <c r="AS596" i="1"/>
  <c r="AS597" i="1"/>
  <c r="AS598" i="1"/>
  <c r="AS599" i="1"/>
  <c r="AS600" i="1"/>
  <c r="AS601" i="1"/>
  <c r="AS602" i="1"/>
  <c r="AS603" i="1"/>
  <c r="AS604" i="1"/>
  <c r="AS605" i="1"/>
  <c r="AS606" i="1"/>
  <c r="AS607" i="1"/>
  <c r="AS608" i="1"/>
  <c r="AS609" i="1"/>
  <c r="AS610" i="1"/>
  <c r="AS611" i="1"/>
  <c r="AS612" i="1"/>
  <c r="AS613" i="1"/>
  <c r="AS614" i="1"/>
  <c r="AS615" i="1"/>
  <c r="AS616" i="1"/>
  <c r="AS617" i="1"/>
  <c r="AS618" i="1"/>
  <c r="AS619" i="1"/>
  <c r="AS620" i="1"/>
  <c r="AS621" i="1"/>
  <c r="AS622" i="1"/>
  <c r="AS623" i="1"/>
  <c r="AS624" i="1"/>
  <c r="AS625" i="1"/>
  <c r="AS626" i="1"/>
  <c r="AS627" i="1"/>
  <c r="AS628" i="1"/>
  <c r="AS629" i="1"/>
  <c r="AS630" i="1"/>
  <c r="AS631" i="1"/>
  <c r="AS632" i="1"/>
  <c r="AS633" i="1"/>
  <c r="AS634" i="1"/>
  <c r="AS635" i="1"/>
  <c r="AS636" i="1"/>
  <c r="AS637" i="1"/>
  <c r="AS638" i="1"/>
  <c r="AS639" i="1"/>
  <c r="AS640" i="1"/>
  <c r="AS641" i="1"/>
  <c r="AS642" i="1"/>
  <c r="AS643" i="1"/>
  <c r="AS644" i="1"/>
  <c r="AS645" i="1"/>
  <c r="AS646" i="1"/>
  <c r="AS647" i="1"/>
  <c r="AS648" i="1"/>
  <c r="AS649" i="1"/>
  <c r="AS650" i="1"/>
  <c r="AS651" i="1"/>
  <c r="AS652" i="1"/>
  <c r="AS653" i="1"/>
  <c r="AS654" i="1"/>
  <c r="AS655" i="1"/>
  <c r="AS656" i="1"/>
  <c r="AS657" i="1"/>
  <c r="AS658" i="1"/>
  <c r="AS659" i="1"/>
  <c r="AS660" i="1"/>
  <c r="AS661" i="1"/>
  <c r="AS662" i="1"/>
  <c r="AS663" i="1"/>
  <c r="AS664" i="1"/>
  <c r="AS665" i="1"/>
  <c r="AS666" i="1"/>
  <c r="AS667" i="1"/>
  <c r="AS668" i="1"/>
  <c r="AS669" i="1"/>
  <c r="AS670" i="1"/>
  <c r="AS671" i="1"/>
  <c r="AS672" i="1"/>
  <c r="AS673" i="1"/>
  <c r="AS674" i="1"/>
  <c r="AS675" i="1"/>
  <c r="AS676" i="1"/>
  <c r="AS677" i="1"/>
  <c r="AS678" i="1"/>
  <c r="AS679" i="1"/>
  <c r="AS680" i="1"/>
  <c r="AS681" i="1"/>
  <c r="AS682" i="1"/>
  <c r="AS683" i="1"/>
  <c r="AS684" i="1"/>
  <c r="AS685" i="1"/>
  <c r="AS686" i="1"/>
  <c r="AS687" i="1"/>
  <c r="AS688" i="1"/>
  <c r="AS689" i="1"/>
  <c r="AS690" i="1"/>
  <c r="AS691" i="1"/>
  <c r="AS692" i="1"/>
  <c r="AS693" i="1"/>
  <c r="AS694" i="1"/>
  <c r="AS695" i="1"/>
  <c r="AS696" i="1"/>
  <c r="AS697" i="1"/>
  <c r="AS698" i="1"/>
  <c r="AS699" i="1"/>
  <c r="AS700" i="1"/>
  <c r="AS701" i="1"/>
  <c r="AS702" i="1"/>
  <c r="AS703" i="1"/>
  <c r="AS704" i="1"/>
  <c r="AS705" i="1"/>
  <c r="AS706" i="1"/>
  <c r="AS707" i="1"/>
  <c r="AS708" i="1"/>
  <c r="AS709" i="1"/>
  <c r="AS710" i="1"/>
  <c r="AS711" i="1"/>
  <c r="AS712" i="1"/>
  <c r="AS713" i="1"/>
  <c r="AS714" i="1"/>
  <c r="AS715" i="1"/>
  <c r="AS716" i="1"/>
  <c r="AS717" i="1"/>
  <c r="AS718" i="1"/>
  <c r="AS719" i="1"/>
  <c r="AS720" i="1"/>
  <c r="AS721" i="1"/>
  <c r="AS722" i="1"/>
  <c r="AS723" i="1"/>
  <c r="AS724" i="1"/>
  <c r="AS725" i="1"/>
  <c r="AS726" i="1"/>
  <c r="AS727" i="1"/>
  <c r="AS728" i="1"/>
  <c r="AS729" i="1"/>
  <c r="AS730" i="1"/>
  <c r="AS731" i="1"/>
  <c r="AS732" i="1"/>
  <c r="AS733" i="1"/>
  <c r="AS734" i="1"/>
  <c r="AS735" i="1"/>
  <c r="AS736" i="1"/>
  <c r="AS737" i="1"/>
  <c r="AS738" i="1"/>
  <c r="AS739" i="1"/>
  <c r="AS740" i="1"/>
  <c r="AS741" i="1"/>
  <c r="AS742" i="1"/>
  <c r="AS743" i="1"/>
  <c r="AS744" i="1"/>
  <c r="AS745" i="1"/>
  <c r="AS746" i="1"/>
  <c r="AS747" i="1"/>
  <c r="AS748" i="1"/>
  <c r="AS749" i="1"/>
  <c r="AS750" i="1"/>
  <c r="AS751" i="1"/>
  <c r="AS752" i="1"/>
  <c r="AS753" i="1"/>
  <c r="AS754" i="1"/>
  <c r="AS755" i="1"/>
  <c r="AS756" i="1"/>
  <c r="AS757" i="1"/>
  <c r="AS758" i="1"/>
  <c r="AS759" i="1"/>
  <c r="AS760" i="1"/>
  <c r="AS761" i="1"/>
  <c r="AS762" i="1"/>
  <c r="AS763" i="1"/>
  <c r="AS764" i="1"/>
  <c r="AS765" i="1"/>
  <c r="AS766" i="1"/>
  <c r="AS767" i="1"/>
  <c r="AS768" i="1"/>
  <c r="AS769" i="1"/>
  <c r="AS770" i="1"/>
  <c r="AS771" i="1"/>
  <c r="AS772" i="1"/>
  <c r="AS773" i="1"/>
  <c r="AS774" i="1"/>
  <c r="AS775" i="1"/>
  <c r="AS776" i="1"/>
  <c r="AS777" i="1"/>
  <c r="AS778" i="1"/>
  <c r="AS779" i="1"/>
  <c r="AS780" i="1"/>
  <c r="AS781" i="1"/>
  <c r="AS782" i="1"/>
  <c r="AS783" i="1"/>
  <c r="AS784" i="1"/>
  <c r="AS785" i="1"/>
  <c r="AS786" i="1"/>
  <c r="AS787" i="1"/>
  <c r="AS788" i="1"/>
  <c r="AS789" i="1"/>
  <c r="AS790" i="1"/>
  <c r="AS791" i="1"/>
  <c r="AS792" i="1"/>
  <c r="AS793" i="1"/>
  <c r="AS794" i="1"/>
  <c r="AS795" i="1"/>
  <c r="AS796" i="1"/>
  <c r="AS797" i="1"/>
  <c r="AS798" i="1"/>
  <c r="AS799" i="1"/>
  <c r="AS800" i="1"/>
  <c r="AS801" i="1"/>
  <c r="AS802" i="1"/>
  <c r="AS803" i="1"/>
  <c r="AS804" i="1"/>
  <c r="AS805" i="1"/>
  <c r="AS806" i="1"/>
  <c r="AS807" i="1"/>
  <c r="AS808" i="1"/>
  <c r="AS809" i="1"/>
  <c r="AS810" i="1"/>
  <c r="AS811" i="1"/>
  <c r="AS812" i="1"/>
  <c r="AS813" i="1"/>
  <c r="AS814" i="1"/>
  <c r="AS815" i="1"/>
  <c r="AS816" i="1"/>
  <c r="AS817" i="1"/>
  <c r="AS818" i="1"/>
  <c r="AS819" i="1"/>
  <c r="AS820" i="1"/>
  <c r="AS821" i="1"/>
  <c r="AS822" i="1"/>
  <c r="AS823" i="1"/>
  <c r="AS824" i="1"/>
  <c r="AS825" i="1"/>
  <c r="AS826" i="1"/>
  <c r="AS827" i="1"/>
  <c r="AS828" i="1"/>
  <c r="AS829" i="1"/>
  <c r="AS830" i="1"/>
  <c r="AS831" i="1"/>
  <c r="AS832" i="1"/>
  <c r="AS833" i="1"/>
  <c r="AS834" i="1"/>
  <c r="AS835" i="1"/>
  <c r="AS836" i="1"/>
  <c r="AS837" i="1"/>
  <c r="AS838" i="1"/>
  <c r="AS839" i="1"/>
  <c r="AS840" i="1"/>
  <c r="AS841" i="1"/>
  <c r="AS842" i="1"/>
  <c r="AS843" i="1"/>
  <c r="AS844" i="1"/>
  <c r="AS845" i="1"/>
  <c r="AS846" i="1"/>
  <c r="AS847" i="1"/>
  <c r="AS848" i="1"/>
  <c r="AS849" i="1"/>
  <c r="AS850" i="1"/>
  <c r="AS851" i="1"/>
  <c r="AS852" i="1"/>
  <c r="AS853" i="1"/>
  <c r="AS854" i="1"/>
  <c r="AS855" i="1"/>
  <c r="AS856" i="1"/>
  <c r="AS857" i="1"/>
  <c r="AS858" i="1"/>
  <c r="AS859" i="1"/>
  <c r="AS860" i="1"/>
  <c r="AS861" i="1"/>
  <c r="AS862" i="1"/>
  <c r="AS863" i="1"/>
  <c r="AS864" i="1"/>
  <c r="AS865" i="1"/>
  <c r="AS866" i="1"/>
  <c r="AS867" i="1"/>
  <c r="AS868" i="1"/>
  <c r="AS869" i="1"/>
  <c r="AS870" i="1"/>
  <c r="AS871" i="1"/>
  <c r="AS872" i="1"/>
  <c r="AS873" i="1"/>
  <c r="AS874" i="1"/>
  <c r="AS875" i="1"/>
  <c r="AS876" i="1"/>
  <c r="AS877" i="1"/>
  <c r="AS878" i="1"/>
  <c r="AS879" i="1"/>
  <c r="AS880" i="1"/>
  <c r="AS881" i="1"/>
  <c r="AS882" i="1"/>
  <c r="AS883" i="1"/>
  <c r="AS884" i="1"/>
  <c r="AS885" i="1"/>
  <c r="AS886" i="1"/>
  <c r="AS887" i="1"/>
  <c r="AS888" i="1"/>
  <c r="AS889" i="1"/>
  <c r="AS890" i="1"/>
  <c r="AS891" i="1"/>
  <c r="AS892" i="1"/>
  <c r="AS893" i="1"/>
  <c r="AS894" i="1"/>
  <c r="AS895" i="1"/>
  <c r="AS896" i="1"/>
  <c r="AS897" i="1"/>
  <c r="AS898" i="1"/>
  <c r="AS899" i="1"/>
  <c r="AS900" i="1"/>
  <c r="AS901" i="1"/>
  <c r="AS902" i="1"/>
  <c r="AS903" i="1"/>
  <c r="AS904" i="1"/>
  <c r="AS905" i="1"/>
  <c r="AS906" i="1"/>
  <c r="AS907" i="1"/>
  <c r="AS908" i="1"/>
  <c r="AS909" i="1"/>
  <c r="AS910" i="1"/>
  <c r="AS911" i="1"/>
  <c r="AS912" i="1"/>
  <c r="AS913" i="1"/>
  <c r="AS914" i="1"/>
  <c r="AS915" i="1"/>
  <c r="AS916" i="1"/>
  <c r="AS917" i="1"/>
  <c r="AS918" i="1"/>
  <c r="AS919" i="1"/>
  <c r="AS920" i="1"/>
  <c r="AS921" i="1"/>
  <c r="AS922" i="1"/>
  <c r="AS923" i="1"/>
  <c r="AS924" i="1"/>
  <c r="AS925" i="1"/>
  <c r="AS926" i="1"/>
  <c r="AS927" i="1"/>
  <c r="AS928" i="1"/>
  <c r="AS929" i="1"/>
  <c r="AS930" i="1"/>
  <c r="AS931" i="1"/>
  <c r="AS932" i="1"/>
  <c r="AS933" i="1"/>
  <c r="AS934" i="1"/>
  <c r="AS935" i="1"/>
  <c r="AS936" i="1"/>
  <c r="AS937" i="1"/>
  <c r="AS938" i="1"/>
  <c r="AS939" i="1"/>
  <c r="AS940" i="1"/>
  <c r="AS941" i="1"/>
  <c r="AS942" i="1"/>
  <c r="AS943" i="1"/>
  <c r="AS944" i="1"/>
  <c r="AS945" i="1"/>
  <c r="AS946" i="1"/>
  <c r="AS947" i="1"/>
  <c r="AS948" i="1"/>
  <c r="AS949" i="1"/>
  <c r="AS950" i="1"/>
  <c r="AS951" i="1"/>
  <c r="AS952" i="1"/>
  <c r="AS953" i="1"/>
  <c r="AS954" i="1"/>
  <c r="AS955" i="1"/>
  <c r="AS956" i="1"/>
  <c r="AS957" i="1"/>
  <c r="AS958" i="1"/>
  <c r="AS959" i="1"/>
  <c r="AS960" i="1"/>
  <c r="AS961" i="1"/>
  <c r="AS962" i="1"/>
  <c r="AS963" i="1"/>
  <c r="AS964" i="1"/>
  <c r="AS965" i="1"/>
  <c r="AS966" i="1"/>
  <c r="AS967" i="1"/>
  <c r="AS968" i="1"/>
  <c r="AS969" i="1"/>
  <c r="AS970" i="1"/>
  <c r="AS971" i="1"/>
  <c r="AS972" i="1"/>
  <c r="AS973" i="1"/>
  <c r="AS974" i="1"/>
  <c r="AS975" i="1"/>
  <c r="AS976" i="1"/>
  <c r="AS977" i="1"/>
  <c r="AS978" i="1"/>
  <c r="AS979" i="1"/>
  <c r="AS980" i="1"/>
  <c r="AS981" i="1"/>
  <c r="AS982" i="1"/>
  <c r="AS983" i="1"/>
  <c r="AS984" i="1"/>
  <c r="AS985" i="1"/>
  <c r="AS986" i="1"/>
  <c r="AS987" i="1"/>
  <c r="AS988" i="1"/>
  <c r="AS989" i="1"/>
  <c r="AS990" i="1"/>
  <c r="AS991" i="1"/>
  <c r="AS992" i="1"/>
  <c r="AS993" i="1"/>
  <c r="AS994" i="1"/>
  <c r="AS995" i="1"/>
  <c r="AS996" i="1"/>
  <c r="AS997" i="1"/>
  <c r="AS998" i="1"/>
  <c r="AS999" i="1"/>
  <c r="AS1000" i="1"/>
  <c r="AS1001" i="1"/>
  <c r="AS1002" i="1"/>
  <c r="AS1003" i="1"/>
  <c r="AS1004" i="1"/>
  <c r="AS1005" i="1"/>
  <c r="AS1006" i="1"/>
  <c r="AS1007" i="1"/>
  <c r="AS1008" i="1"/>
  <c r="AS1009" i="1"/>
  <c r="AS1010" i="1"/>
  <c r="AS1011" i="1"/>
  <c r="AS1012" i="1"/>
  <c r="AS1013" i="1"/>
  <c r="AS1014" i="1"/>
  <c r="AS1015" i="1"/>
  <c r="AS1016" i="1"/>
  <c r="AS1017" i="1"/>
  <c r="AS1018" i="1"/>
  <c r="AS1019" i="1"/>
  <c r="AS1020" i="1"/>
  <c r="AS1021" i="1"/>
  <c r="AS1022" i="1"/>
  <c r="AS1023" i="1"/>
  <c r="AS1024" i="1"/>
  <c r="AS1025" i="1"/>
  <c r="AS1026" i="1"/>
  <c r="AS1027" i="1"/>
  <c r="AS1028" i="1"/>
  <c r="AS1029" i="1"/>
  <c r="AS1030" i="1"/>
  <c r="AS1031" i="1"/>
  <c r="AS1032" i="1"/>
  <c r="AS1033" i="1"/>
  <c r="AS1034" i="1"/>
  <c r="AS1035" i="1"/>
  <c r="AS1036" i="1"/>
  <c r="AS1037" i="1"/>
  <c r="AS1038" i="1"/>
  <c r="AS1039" i="1"/>
  <c r="AS1040" i="1"/>
  <c r="AS1041" i="1"/>
  <c r="AS1042" i="1"/>
  <c r="AS1043" i="1"/>
  <c r="AS1044" i="1"/>
  <c r="AS1045" i="1"/>
  <c r="AS1046" i="1"/>
  <c r="AS1047" i="1"/>
  <c r="AS1048" i="1"/>
  <c r="AS1049" i="1"/>
  <c r="AS1050" i="1"/>
  <c r="AS1051" i="1"/>
  <c r="AS1052" i="1"/>
  <c r="AS1053" i="1"/>
  <c r="AS1054" i="1"/>
  <c r="AS1055" i="1"/>
  <c r="AS1056" i="1"/>
  <c r="AS1057" i="1"/>
  <c r="AS1058" i="1"/>
  <c r="AS1059" i="1"/>
  <c r="AS1060" i="1"/>
  <c r="AS1061" i="1"/>
  <c r="AS1062" i="1"/>
  <c r="AS1063" i="1"/>
  <c r="AS1064" i="1"/>
  <c r="AS1065" i="1"/>
  <c r="AS1066" i="1"/>
  <c r="AS1067" i="1"/>
  <c r="AS1068" i="1"/>
  <c r="AS1069" i="1"/>
  <c r="AS1070" i="1"/>
  <c r="AS1071" i="1"/>
  <c r="AS1072" i="1"/>
  <c r="AS1073" i="1"/>
  <c r="AS1074" i="1"/>
  <c r="AS1075" i="1"/>
  <c r="AS1076" i="1"/>
  <c r="AS1077" i="1"/>
  <c r="AS1078" i="1"/>
  <c r="AS1079" i="1"/>
  <c r="AS1080" i="1"/>
  <c r="AS1081" i="1"/>
  <c r="AS1082" i="1"/>
  <c r="AS1083" i="1"/>
  <c r="AS1084" i="1"/>
  <c r="AS1085" i="1"/>
  <c r="AS1086" i="1"/>
  <c r="AS1087" i="1"/>
  <c r="AS1088" i="1"/>
  <c r="AS1089" i="1"/>
  <c r="AS1090" i="1"/>
  <c r="AS1091" i="1"/>
  <c r="AS1092" i="1"/>
  <c r="AS1093" i="1"/>
  <c r="AS1094" i="1"/>
  <c r="AS1095" i="1"/>
  <c r="AS1096" i="1"/>
  <c r="AS1097" i="1"/>
  <c r="AS1098" i="1"/>
  <c r="AS1099" i="1"/>
  <c r="AS1100" i="1"/>
  <c r="AS1101" i="1"/>
  <c r="AS1102" i="1"/>
  <c r="AS1103" i="1"/>
  <c r="AS1104" i="1"/>
  <c r="AS1105" i="1"/>
  <c r="AS1106" i="1"/>
  <c r="AS1107" i="1"/>
  <c r="AS1108" i="1"/>
  <c r="AS1109" i="1"/>
  <c r="AS1110" i="1"/>
  <c r="AS1111" i="1"/>
  <c r="AS1112" i="1"/>
  <c r="AS1113" i="1"/>
  <c r="AS1114" i="1"/>
  <c r="AS1115" i="1"/>
  <c r="AS1116" i="1"/>
  <c r="AS1117" i="1"/>
  <c r="AS1118" i="1"/>
  <c r="AS1119" i="1"/>
  <c r="AS1120" i="1"/>
  <c r="AS1121" i="1"/>
  <c r="AS1122" i="1"/>
  <c r="AS1123" i="1"/>
  <c r="AS1124" i="1"/>
  <c r="AS1125" i="1"/>
  <c r="AS1126" i="1"/>
  <c r="AS1127" i="1"/>
  <c r="AS1128" i="1"/>
  <c r="AS1129" i="1"/>
  <c r="AS1130" i="1"/>
  <c r="AS1131" i="1"/>
  <c r="AS1132" i="1"/>
  <c r="AS1133" i="1"/>
  <c r="AS1134" i="1"/>
  <c r="AS1135" i="1"/>
  <c r="AS1136" i="1"/>
  <c r="AS1137" i="1"/>
  <c r="AS1138" i="1"/>
  <c r="AS1139" i="1"/>
  <c r="AS1140" i="1"/>
  <c r="AS1141" i="1"/>
  <c r="AS1142" i="1"/>
  <c r="AS1143" i="1"/>
  <c r="AS1144" i="1"/>
  <c r="AS1145" i="1"/>
  <c r="AS1146" i="1"/>
  <c r="AS1147" i="1"/>
  <c r="AS1148" i="1"/>
  <c r="AS1149" i="1"/>
  <c r="AS1150" i="1"/>
  <c r="AS1151" i="1"/>
  <c r="AS1152" i="1"/>
  <c r="AS1153" i="1"/>
  <c r="AS1154" i="1"/>
  <c r="AS1155" i="1"/>
  <c r="AS1156" i="1"/>
  <c r="AS1157" i="1"/>
  <c r="AS1158" i="1"/>
  <c r="AS1159" i="1"/>
  <c r="AS1160" i="1"/>
  <c r="AS1161" i="1"/>
  <c r="AS1162" i="1"/>
  <c r="AS1163" i="1"/>
  <c r="AS1164" i="1"/>
  <c r="AS1165" i="1"/>
  <c r="AS1166" i="1"/>
  <c r="AS1167" i="1"/>
  <c r="AS1168" i="1"/>
  <c r="AS1169" i="1"/>
  <c r="AS1170" i="1"/>
  <c r="AS1171" i="1"/>
  <c r="AS1172" i="1"/>
  <c r="AS1173" i="1"/>
  <c r="AS1174" i="1"/>
  <c r="AS1175" i="1"/>
  <c r="AS1176" i="1"/>
  <c r="AS1177" i="1"/>
  <c r="AS1178" i="1"/>
  <c r="AS1179" i="1"/>
  <c r="AS1180" i="1"/>
  <c r="AS1181" i="1"/>
  <c r="AS1182" i="1"/>
  <c r="AS1183" i="1"/>
  <c r="AS1184" i="1"/>
  <c r="AS1185" i="1"/>
  <c r="AS1186" i="1"/>
  <c r="AS1187" i="1"/>
  <c r="AS1188" i="1"/>
  <c r="AS1189" i="1"/>
  <c r="AS1190" i="1"/>
  <c r="AS1191" i="1"/>
  <c r="AS1192" i="1"/>
  <c r="AS1193" i="1"/>
  <c r="AS1194" i="1"/>
  <c r="AS1195" i="1"/>
  <c r="AS1196" i="1"/>
  <c r="AS1197" i="1"/>
  <c r="AS1198" i="1"/>
  <c r="AS1199" i="1"/>
  <c r="AS1200" i="1"/>
  <c r="AS1201" i="1"/>
  <c r="AS1202" i="1"/>
  <c r="AS1203" i="1"/>
  <c r="AS1204" i="1"/>
  <c r="AS1205" i="1"/>
  <c r="AS1206" i="1"/>
  <c r="AS1207" i="1"/>
  <c r="AS1208" i="1"/>
  <c r="AS1209" i="1"/>
  <c r="AS1210" i="1"/>
  <c r="AS1211" i="1"/>
  <c r="AS1212" i="1"/>
  <c r="AS1213" i="1"/>
  <c r="AS1214" i="1"/>
  <c r="AS1215" i="1"/>
  <c r="AS1216" i="1"/>
  <c r="AS1217" i="1"/>
  <c r="AS1218" i="1"/>
  <c r="AS1219" i="1"/>
  <c r="AS1220" i="1"/>
  <c r="AS1221" i="1"/>
  <c r="AS1222" i="1"/>
  <c r="AS1223" i="1"/>
  <c r="AS1224" i="1"/>
  <c r="AS1225" i="1"/>
  <c r="AS1226" i="1"/>
  <c r="AS1227" i="1"/>
  <c r="AS1228" i="1"/>
  <c r="AS1229" i="1"/>
  <c r="AS1230" i="1"/>
  <c r="AS1231" i="1"/>
  <c r="AS1232" i="1"/>
  <c r="AS1233" i="1"/>
  <c r="AS1234" i="1"/>
  <c r="AS1235" i="1"/>
  <c r="AS1236" i="1"/>
  <c r="AS1237" i="1"/>
  <c r="AS1238" i="1"/>
  <c r="AS1239" i="1"/>
  <c r="AS1240" i="1"/>
  <c r="AS1241" i="1"/>
  <c r="AS1242" i="1"/>
  <c r="AS1243" i="1"/>
  <c r="AS1244" i="1"/>
  <c r="AS1245" i="1"/>
  <c r="AS1246" i="1"/>
  <c r="AS1247" i="1"/>
  <c r="AS1248" i="1"/>
  <c r="AS1249" i="1"/>
  <c r="AS1250" i="1"/>
  <c r="AS1251" i="1"/>
  <c r="AS1252" i="1"/>
  <c r="AS1253" i="1"/>
  <c r="AS1254" i="1"/>
  <c r="AS1255" i="1"/>
  <c r="AS1256" i="1"/>
  <c r="AS1257" i="1"/>
  <c r="AS1258" i="1"/>
  <c r="AS1259" i="1"/>
  <c r="AS1260" i="1"/>
  <c r="AS1261" i="1"/>
  <c r="AS1262" i="1"/>
  <c r="AS1263" i="1"/>
  <c r="AS1264" i="1"/>
  <c r="AS1265" i="1"/>
  <c r="AS1266" i="1"/>
  <c r="AS1267" i="1"/>
  <c r="AS1268" i="1"/>
  <c r="AS1269" i="1"/>
  <c r="AS1270" i="1"/>
  <c r="AS1271" i="1"/>
  <c r="AS1272" i="1"/>
  <c r="AS1273" i="1"/>
  <c r="AS1274" i="1"/>
  <c r="AS1275" i="1"/>
  <c r="AS1276" i="1"/>
  <c r="AS1277" i="1"/>
  <c r="AS1278" i="1"/>
  <c r="AS1279" i="1"/>
  <c r="AS1280" i="1"/>
  <c r="AS1281" i="1"/>
  <c r="AS1282" i="1"/>
  <c r="AS1283" i="1"/>
  <c r="AS1284" i="1"/>
  <c r="AS1285" i="1"/>
  <c r="AS1286" i="1"/>
  <c r="AS1287" i="1"/>
  <c r="AS1288" i="1"/>
  <c r="AS1289" i="1"/>
  <c r="AS1290" i="1"/>
  <c r="AS1291" i="1"/>
  <c r="AS1292" i="1"/>
  <c r="AS1293" i="1"/>
  <c r="AS1294" i="1"/>
  <c r="AS1295" i="1"/>
  <c r="AS1296" i="1"/>
  <c r="AS1297" i="1"/>
  <c r="AS1298" i="1"/>
  <c r="AS1299" i="1"/>
  <c r="AS1300" i="1"/>
  <c r="AS1301" i="1"/>
  <c r="AS1302" i="1"/>
  <c r="AS1303" i="1"/>
  <c r="AS1304" i="1"/>
  <c r="AS1305" i="1"/>
  <c r="AS1306" i="1"/>
  <c r="AS1307" i="1"/>
  <c r="AS1308" i="1"/>
  <c r="AS1309" i="1"/>
  <c r="AS1310" i="1"/>
  <c r="AS1311" i="1"/>
  <c r="AS1312" i="1"/>
  <c r="AS1313" i="1"/>
  <c r="AS1314" i="1"/>
  <c r="AS1315" i="1"/>
  <c r="AS1316" i="1"/>
  <c r="AS1317" i="1"/>
  <c r="AS1318" i="1"/>
  <c r="AS1319" i="1"/>
  <c r="AS1320" i="1"/>
  <c r="AS1321" i="1"/>
  <c r="AS1322" i="1"/>
  <c r="AS1323" i="1"/>
  <c r="AS1324" i="1"/>
  <c r="AS1325" i="1"/>
  <c r="AS1326" i="1"/>
  <c r="AS1327" i="1"/>
  <c r="AS1328" i="1"/>
  <c r="AS1329" i="1"/>
  <c r="AS1330" i="1"/>
  <c r="AS1331" i="1"/>
  <c r="AS1332" i="1"/>
  <c r="AS1333" i="1"/>
  <c r="AS1334" i="1"/>
  <c r="AS1335" i="1"/>
  <c r="AS1336" i="1"/>
  <c r="AS1337" i="1"/>
  <c r="AS1338" i="1"/>
  <c r="AS1339" i="1"/>
  <c r="AS1340" i="1"/>
  <c r="AS1341" i="1"/>
  <c r="AS1342" i="1"/>
  <c r="AS1343" i="1"/>
  <c r="AS1344" i="1"/>
  <c r="AS1345" i="1"/>
  <c r="AS1346" i="1"/>
  <c r="AS1347" i="1"/>
  <c r="AS1348" i="1"/>
  <c r="AS1349" i="1"/>
  <c r="AS1350" i="1"/>
  <c r="AS1351" i="1"/>
  <c r="AS1352" i="1"/>
  <c r="AS1353" i="1"/>
  <c r="AS1354" i="1"/>
  <c r="AS1355" i="1"/>
  <c r="AS1356" i="1"/>
  <c r="AS1357" i="1"/>
  <c r="AS1358" i="1"/>
  <c r="AS1359" i="1"/>
  <c r="AS1360" i="1"/>
  <c r="AS1361" i="1"/>
  <c r="AS1362" i="1"/>
  <c r="AS1363" i="1"/>
  <c r="AS1364" i="1"/>
  <c r="AS1365" i="1"/>
  <c r="AS1366" i="1"/>
  <c r="AS1367" i="1"/>
  <c r="AS1368" i="1"/>
  <c r="AS1369" i="1"/>
  <c r="AS1370" i="1"/>
  <c r="AS1371" i="1"/>
  <c r="AS1372" i="1"/>
  <c r="AS1373" i="1"/>
  <c r="AS1374" i="1"/>
  <c r="AS1375" i="1"/>
  <c r="AS1376" i="1"/>
  <c r="AS1377" i="1"/>
  <c r="AS1378" i="1"/>
  <c r="AS1379" i="1"/>
  <c r="AS1380" i="1"/>
  <c r="AS1381" i="1"/>
  <c r="AS1382" i="1"/>
  <c r="AS1383" i="1"/>
  <c r="AS1384" i="1"/>
  <c r="AS1385" i="1"/>
  <c r="AS1386" i="1"/>
  <c r="AS1387" i="1"/>
  <c r="AS1388" i="1"/>
  <c r="AS1389" i="1"/>
  <c r="AS1390" i="1"/>
  <c r="AS1391" i="1"/>
  <c r="AS1392" i="1"/>
  <c r="AS1393" i="1"/>
  <c r="AS1394" i="1"/>
  <c r="AS1395" i="1"/>
  <c r="AS1396" i="1"/>
  <c r="AS1397" i="1"/>
  <c r="AS1398" i="1"/>
  <c r="AS1399" i="1"/>
  <c r="AS1400" i="1"/>
  <c r="AS1401" i="1"/>
  <c r="AS1402" i="1"/>
  <c r="AS1403" i="1"/>
  <c r="AS1404" i="1"/>
  <c r="AS1405" i="1"/>
  <c r="AS1406" i="1"/>
  <c r="AS1407" i="1"/>
  <c r="AS1408" i="1"/>
  <c r="AS1409" i="1"/>
  <c r="AS1410" i="1"/>
  <c r="AS1411" i="1"/>
  <c r="AS1412" i="1"/>
  <c r="AS1413" i="1"/>
  <c r="AS1414" i="1"/>
  <c r="AS1415" i="1"/>
  <c r="AS1416" i="1"/>
  <c r="AS1417" i="1"/>
  <c r="AS1418" i="1"/>
  <c r="AS1419" i="1"/>
  <c r="AS1420" i="1"/>
  <c r="AS1421" i="1"/>
  <c r="AS1422" i="1"/>
  <c r="AS1423" i="1"/>
  <c r="AS1424" i="1"/>
  <c r="AS1425" i="1"/>
  <c r="AS1426" i="1"/>
  <c r="AS1427" i="1"/>
  <c r="AS1428" i="1"/>
  <c r="AS1429" i="1"/>
  <c r="AS1430" i="1"/>
  <c r="AS1431" i="1"/>
  <c r="AS1432" i="1"/>
  <c r="AS1433" i="1"/>
  <c r="AS1434" i="1"/>
  <c r="AS1435" i="1"/>
  <c r="AS1436" i="1"/>
  <c r="AS1437" i="1"/>
  <c r="AS1438" i="1"/>
  <c r="AS1439" i="1"/>
  <c r="AS1440" i="1"/>
  <c r="AS1441" i="1"/>
  <c r="AS1442" i="1"/>
  <c r="AS1443" i="1"/>
  <c r="AS1444" i="1"/>
  <c r="AS1445" i="1"/>
  <c r="AS1446" i="1"/>
  <c r="AS1447" i="1"/>
  <c r="AS1448" i="1"/>
  <c r="AS1449" i="1"/>
  <c r="AS1450" i="1"/>
  <c r="AS1451" i="1"/>
  <c r="AS1452" i="1"/>
  <c r="AS1453" i="1"/>
  <c r="AS1454" i="1"/>
  <c r="AS1455" i="1"/>
  <c r="AS1456" i="1"/>
  <c r="AS1457" i="1"/>
  <c r="AS1458" i="1"/>
  <c r="AS1459" i="1"/>
  <c r="AS1460" i="1"/>
  <c r="AS1461" i="1"/>
  <c r="AS1462" i="1"/>
  <c r="AS1463" i="1"/>
  <c r="AS1464" i="1"/>
  <c r="AS1465" i="1"/>
  <c r="AS1466" i="1"/>
  <c r="AS1467" i="1"/>
  <c r="AS1468" i="1"/>
  <c r="AS1469" i="1"/>
  <c r="AS1470" i="1"/>
  <c r="AS1471" i="1"/>
  <c r="AR2" i="1"/>
  <c r="AR3" i="1"/>
  <c r="AR4" i="1"/>
  <c r="AR5" i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35" i="1"/>
  <c r="AR36" i="1"/>
  <c r="AR37" i="1"/>
  <c r="AR38" i="1"/>
  <c r="AR39" i="1"/>
  <c r="AR40" i="1"/>
  <c r="AR41" i="1"/>
  <c r="AR42" i="1"/>
  <c r="AR43" i="1"/>
  <c r="AR44" i="1"/>
  <c r="AR45" i="1"/>
  <c r="AR46" i="1"/>
  <c r="AR47" i="1"/>
  <c r="AR48" i="1"/>
  <c r="AR49" i="1"/>
  <c r="AR50" i="1"/>
  <c r="AR51" i="1"/>
  <c r="AR52" i="1"/>
  <c r="AR53" i="1"/>
  <c r="AR54" i="1"/>
  <c r="AR55" i="1"/>
  <c r="AR56" i="1"/>
  <c r="AR57" i="1"/>
  <c r="AR58" i="1"/>
  <c r="AR59" i="1"/>
  <c r="AR60" i="1"/>
  <c r="AR61" i="1"/>
  <c r="AR62" i="1"/>
  <c r="AR63" i="1"/>
  <c r="AR64" i="1"/>
  <c r="AR65" i="1"/>
  <c r="AR66" i="1"/>
  <c r="AR67" i="1"/>
  <c r="AR68" i="1"/>
  <c r="AR69" i="1"/>
  <c r="AR70" i="1"/>
  <c r="AR71" i="1"/>
  <c r="AR72" i="1"/>
  <c r="AR73" i="1"/>
  <c r="AR74" i="1"/>
  <c r="AR75" i="1"/>
  <c r="AR76" i="1"/>
  <c r="AR77" i="1"/>
  <c r="AR78" i="1"/>
  <c r="AR79" i="1"/>
  <c r="AR80" i="1"/>
  <c r="AR81" i="1"/>
  <c r="AR82" i="1"/>
  <c r="AR83" i="1"/>
  <c r="AR84" i="1"/>
  <c r="AR85" i="1"/>
  <c r="AR86" i="1"/>
  <c r="AR87" i="1"/>
  <c r="AR88" i="1"/>
  <c r="AR89" i="1"/>
  <c r="AR90" i="1"/>
  <c r="AR91" i="1"/>
  <c r="AR92" i="1"/>
  <c r="AR93" i="1"/>
  <c r="AR94" i="1"/>
  <c r="AR95" i="1"/>
  <c r="AR96" i="1"/>
  <c r="AR97" i="1"/>
  <c r="AR98" i="1"/>
  <c r="AR99" i="1"/>
  <c r="AR100" i="1"/>
  <c r="AR101" i="1"/>
  <c r="AR102" i="1"/>
  <c r="AR103" i="1"/>
  <c r="AR104" i="1"/>
  <c r="AR105" i="1"/>
  <c r="AR106" i="1"/>
  <c r="AR107" i="1"/>
  <c r="AR108" i="1"/>
  <c r="AR109" i="1"/>
  <c r="AR110" i="1"/>
  <c r="AR111" i="1"/>
  <c r="AR112" i="1"/>
  <c r="AR113" i="1"/>
  <c r="AR114" i="1"/>
  <c r="AR115" i="1"/>
  <c r="AR116" i="1"/>
  <c r="AR117" i="1"/>
  <c r="AR118" i="1"/>
  <c r="AR119" i="1"/>
  <c r="AR120" i="1"/>
  <c r="AR121" i="1"/>
  <c r="AR122" i="1"/>
  <c r="AR123" i="1"/>
  <c r="AR124" i="1"/>
  <c r="AR125" i="1"/>
  <c r="AR126" i="1"/>
  <c r="AR127" i="1"/>
  <c r="AR128" i="1"/>
  <c r="AR129" i="1"/>
  <c r="AR130" i="1"/>
  <c r="AR131" i="1"/>
  <c r="AR132" i="1"/>
  <c r="AR133" i="1"/>
  <c r="AR134" i="1"/>
  <c r="AR135" i="1"/>
  <c r="AR136" i="1"/>
  <c r="AR137" i="1"/>
  <c r="AR138" i="1"/>
  <c r="AR139" i="1"/>
  <c r="AR140" i="1"/>
  <c r="AR141" i="1"/>
  <c r="AR142" i="1"/>
  <c r="AR143" i="1"/>
  <c r="AR144" i="1"/>
  <c r="AR145" i="1"/>
  <c r="AR146" i="1"/>
  <c r="AR147" i="1"/>
  <c r="AR148" i="1"/>
  <c r="AR149" i="1"/>
  <c r="AR150" i="1"/>
  <c r="AR151" i="1"/>
  <c r="AR152" i="1"/>
  <c r="AR153" i="1"/>
  <c r="AR154" i="1"/>
  <c r="AR155" i="1"/>
  <c r="AR156" i="1"/>
  <c r="AR157" i="1"/>
  <c r="AR158" i="1"/>
  <c r="AR159" i="1"/>
  <c r="AR160" i="1"/>
  <c r="AR161" i="1"/>
  <c r="AR162" i="1"/>
  <c r="AR163" i="1"/>
  <c r="AR164" i="1"/>
  <c r="AR165" i="1"/>
  <c r="AR166" i="1"/>
  <c r="AR167" i="1"/>
  <c r="AR168" i="1"/>
  <c r="AR169" i="1"/>
  <c r="AR170" i="1"/>
  <c r="AR171" i="1"/>
  <c r="AR172" i="1"/>
  <c r="AR173" i="1"/>
  <c r="AR174" i="1"/>
  <c r="AR175" i="1"/>
  <c r="AR176" i="1"/>
  <c r="AR177" i="1"/>
  <c r="AR178" i="1"/>
  <c r="AR179" i="1"/>
  <c r="AR180" i="1"/>
  <c r="AR181" i="1"/>
  <c r="AR182" i="1"/>
  <c r="AR183" i="1"/>
  <c r="AR184" i="1"/>
  <c r="AR185" i="1"/>
  <c r="AR186" i="1"/>
  <c r="AR187" i="1"/>
  <c r="AR188" i="1"/>
  <c r="AR189" i="1"/>
  <c r="AR190" i="1"/>
  <c r="AR191" i="1"/>
  <c r="AR192" i="1"/>
  <c r="AR193" i="1"/>
  <c r="AR194" i="1"/>
  <c r="AR195" i="1"/>
  <c r="AR196" i="1"/>
  <c r="AR197" i="1"/>
  <c r="AR198" i="1"/>
  <c r="AR199" i="1"/>
  <c r="AR200" i="1"/>
  <c r="AR201" i="1"/>
  <c r="AR202" i="1"/>
  <c r="AR203" i="1"/>
  <c r="AR204" i="1"/>
  <c r="AR205" i="1"/>
  <c r="AR206" i="1"/>
  <c r="AR207" i="1"/>
  <c r="AR208" i="1"/>
  <c r="AR209" i="1"/>
  <c r="AR210" i="1"/>
  <c r="AR211" i="1"/>
  <c r="AR212" i="1"/>
  <c r="AR213" i="1"/>
  <c r="AR214" i="1"/>
  <c r="AR215" i="1"/>
  <c r="AR216" i="1"/>
  <c r="AR217" i="1"/>
  <c r="AR218" i="1"/>
  <c r="AR219" i="1"/>
  <c r="AR220" i="1"/>
  <c r="AR221" i="1"/>
  <c r="AR222" i="1"/>
  <c r="AR223" i="1"/>
  <c r="AR224" i="1"/>
  <c r="AR225" i="1"/>
  <c r="AR226" i="1"/>
  <c r="AR227" i="1"/>
  <c r="AR228" i="1"/>
  <c r="AR229" i="1"/>
  <c r="AR230" i="1"/>
  <c r="AR231" i="1"/>
  <c r="AR232" i="1"/>
  <c r="AR233" i="1"/>
  <c r="AR234" i="1"/>
  <c r="AR235" i="1"/>
  <c r="AR236" i="1"/>
  <c r="AR237" i="1"/>
  <c r="AR238" i="1"/>
  <c r="AR239" i="1"/>
  <c r="AR240" i="1"/>
  <c r="AR241" i="1"/>
  <c r="AR242" i="1"/>
  <c r="AR243" i="1"/>
  <c r="AR244" i="1"/>
  <c r="AR245" i="1"/>
  <c r="AR246" i="1"/>
  <c r="AR247" i="1"/>
  <c r="AR248" i="1"/>
  <c r="AR249" i="1"/>
  <c r="AR250" i="1"/>
  <c r="AR251" i="1"/>
  <c r="AR252" i="1"/>
  <c r="AR253" i="1"/>
  <c r="AR254" i="1"/>
  <c r="AR255" i="1"/>
  <c r="AR256" i="1"/>
  <c r="AR257" i="1"/>
  <c r="AR258" i="1"/>
  <c r="AR259" i="1"/>
  <c r="AR260" i="1"/>
  <c r="AR261" i="1"/>
  <c r="AR262" i="1"/>
  <c r="AR263" i="1"/>
  <c r="AR264" i="1"/>
  <c r="AR265" i="1"/>
  <c r="AR266" i="1"/>
  <c r="AR267" i="1"/>
  <c r="AR268" i="1"/>
  <c r="AR269" i="1"/>
  <c r="AR270" i="1"/>
  <c r="AR271" i="1"/>
  <c r="AR272" i="1"/>
  <c r="AR273" i="1"/>
  <c r="AR274" i="1"/>
  <c r="AR275" i="1"/>
  <c r="AR276" i="1"/>
  <c r="AR277" i="1"/>
  <c r="AR278" i="1"/>
  <c r="AR279" i="1"/>
  <c r="AR280" i="1"/>
  <c r="AR281" i="1"/>
  <c r="AR282" i="1"/>
  <c r="AR283" i="1"/>
  <c r="AR284" i="1"/>
  <c r="AR285" i="1"/>
  <c r="AR286" i="1"/>
  <c r="AR287" i="1"/>
  <c r="AR288" i="1"/>
  <c r="AR289" i="1"/>
  <c r="AR290" i="1"/>
  <c r="AR291" i="1"/>
  <c r="AR292" i="1"/>
  <c r="AR293" i="1"/>
  <c r="AR294" i="1"/>
  <c r="AR295" i="1"/>
  <c r="AR296" i="1"/>
  <c r="AR297" i="1"/>
  <c r="AR298" i="1"/>
  <c r="AR299" i="1"/>
  <c r="AR300" i="1"/>
  <c r="AR301" i="1"/>
  <c r="AR302" i="1"/>
  <c r="AR303" i="1"/>
  <c r="AR304" i="1"/>
  <c r="AR305" i="1"/>
  <c r="AR306" i="1"/>
  <c r="AR307" i="1"/>
  <c r="AR308" i="1"/>
  <c r="AR309" i="1"/>
  <c r="AR310" i="1"/>
  <c r="AR311" i="1"/>
  <c r="AR312" i="1"/>
  <c r="AR313" i="1"/>
  <c r="AR314" i="1"/>
  <c r="AR315" i="1"/>
  <c r="AR316" i="1"/>
  <c r="AR317" i="1"/>
  <c r="AR318" i="1"/>
  <c r="AR319" i="1"/>
  <c r="AR320" i="1"/>
  <c r="AR321" i="1"/>
  <c r="AR322" i="1"/>
  <c r="AR323" i="1"/>
  <c r="AR324" i="1"/>
  <c r="AR325" i="1"/>
  <c r="AR326" i="1"/>
  <c r="AR327" i="1"/>
  <c r="AR328" i="1"/>
  <c r="AR329" i="1"/>
  <c r="AR330" i="1"/>
  <c r="AR331" i="1"/>
  <c r="AR332" i="1"/>
  <c r="AR333" i="1"/>
  <c r="AR334" i="1"/>
  <c r="AR335" i="1"/>
  <c r="AR336" i="1"/>
  <c r="AR337" i="1"/>
  <c r="AR338" i="1"/>
  <c r="AR339" i="1"/>
  <c r="AR340" i="1"/>
  <c r="AR341" i="1"/>
  <c r="AR342" i="1"/>
  <c r="AR343" i="1"/>
  <c r="AR344" i="1"/>
  <c r="AR345" i="1"/>
  <c r="AR346" i="1"/>
  <c r="AR347" i="1"/>
  <c r="AR348" i="1"/>
  <c r="AR349" i="1"/>
  <c r="AR350" i="1"/>
  <c r="AR351" i="1"/>
  <c r="AR352" i="1"/>
  <c r="AR353" i="1"/>
  <c r="AR354" i="1"/>
  <c r="AR355" i="1"/>
  <c r="AR356" i="1"/>
  <c r="AR357" i="1"/>
  <c r="AR358" i="1"/>
  <c r="AR359" i="1"/>
  <c r="AR360" i="1"/>
  <c r="AR361" i="1"/>
  <c r="AR362" i="1"/>
  <c r="AR363" i="1"/>
  <c r="AR364" i="1"/>
  <c r="AR365" i="1"/>
  <c r="AR366" i="1"/>
  <c r="AR367" i="1"/>
  <c r="AR368" i="1"/>
  <c r="AR369" i="1"/>
  <c r="AR370" i="1"/>
  <c r="AR371" i="1"/>
  <c r="AR372" i="1"/>
  <c r="AR373" i="1"/>
  <c r="AR374" i="1"/>
  <c r="AR375" i="1"/>
  <c r="AR376" i="1"/>
  <c r="AR377" i="1"/>
  <c r="AR378" i="1"/>
  <c r="AR379" i="1"/>
  <c r="AR380" i="1"/>
  <c r="AR381" i="1"/>
  <c r="AR382" i="1"/>
  <c r="AR383" i="1"/>
  <c r="AR384" i="1"/>
  <c r="AR385" i="1"/>
  <c r="AR386" i="1"/>
  <c r="AR387" i="1"/>
  <c r="AR388" i="1"/>
  <c r="AR389" i="1"/>
  <c r="AR390" i="1"/>
  <c r="AR391" i="1"/>
  <c r="AR392" i="1"/>
  <c r="AR393" i="1"/>
  <c r="AR394" i="1"/>
  <c r="AR395" i="1"/>
  <c r="AR396" i="1"/>
  <c r="AR397" i="1"/>
  <c r="AR398" i="1"/>
  <c r="AR399" i="1"/>
  <c r="AR400" i="1"/>
  <c r="AR401" i="1"/>
  <c r="AR402" i="1"/>
  <c r="AR403" i="1"/>
  <c r="AR404" i="1"/>
  <c r="AR405" i="1"/>
  <c r="AR406" i="1"/>
  <c r="AR407" i="1"/>
  <c r="AR408" i="1"/>
  <c r="AR409" i="1"/>
  <c r="AR410" i="1"/>
  <c r="AR411" i="1"/>
  <c r="AR412" i="1"/>
  <c r="AR413" i="1"/>
  <c r="AR414" i="1"/>
  <c r="AR415" i="1"/>
  <c r="AR416" i="1"/>
  <c r="AR417" i="1"/>
  <c r="AR418" i="1"/>
  <c r="AR419" i="1"/>
  <c r="AR420" i="1"/>
  <c r="AR421" i="1"/>
  <c r="AR422" i="1"/>
  <c r="AR423" i="1"/>
  <c r="AR424" i="1"/>
  <c r="AR425" i="1"/>
  <c r="AR426" i="1"/>
  <c r="AR427" i="1"/>
  <c r="AR428" i="1"/>
  <c r="AR429" i="1"/>
  <c r="AR430" i="1"/>
  <c r="AR431" i="1"/>
  <c r="AR432" i="1"/>
  <c r="AR433" i="1"/>
  <c r="AR434" i="1"/>
  <c r="AR435" i="1"/>
  <c r="AR436" i="1"/>
  <c r="AR437" i="1"/>
  <c r="AR438" i="1"/>
  <c r="AR439" i="1"/>
  <c r="AR440" i="1"/>
  <c r="AR441" i="1"/>
  <c r="AR442" i="1"/>
  <c r="AR443" i="1"/>
  <c r="AR444" i="1"/>
  <c r="AR445" i="1"/>
  <c r="AR446" i="1"/>
  <c r="AR447" i="1"/>
  <c r="AR448" i="1"/>
  <c r="AR449" i="1"/>
  <c r="AR450" i="1"/>
  <c r="AR451" i="1"/>
  <c r="AR452" i="1"/>
  <c r="AR453" i="1"/>
  <c r="AR454" i="1"/>
  <c r="AR455" i="1"/>
  <c r="AR456" i="1"/>
  <c r="AR457" i="1"/>
  <c r="AR458" i="1"/>
  <c r="AR459" i="1"/>
  <c r="AR460" i="1"/>
  <c r="AR461" i="1"/>
  <c r="AR462" i="1"/>
  <c r="AR463" i="1"/>
  <c r="AR464" i="1"/>
  <c r="AR465" i="1"/>
  <c r="AR466" i="1"/>
  <c r="AR467" i="1"/>
  <c r="AR468" i="1"/>
  <c r="AR469" i="1"/>
  <c r="AR470" i="1"/>
  <c r="AR471" i="1"/>
  <c r="AR472" i="1"/>
  <c r="AR473" i="1"/>
  <c r="AR474" i="1"/>
  <c r="AR475" i="1"/>
  <c r="AR476" i="1"/>
  <c r="AR477" i="1"/>
  <c r="AR478" i="1"/>
  <c r="AR479" i="1"/>
  <c r="AR480" i="1"/>
  <c r="AR481" i="1"/>
  <c r="AR482" i="1"/>
  <c r="AR483" i="1"/>
  <c r="AR484" i="1"/>
  <c r="AR485" i="1"/>
  <c r="AR486" i="1"/>
  <c r="AR487" i="1"/>
  <c r="AR488" i="1"/>
  <c r="AR489" i="1"/>
  <c r="AR490" i="1"/>
  <c r="AR491" i="1"/>
  <c r="AR492" i="1"/>
  <c r="AR493" i="1"/>
  <c r="AR494" i="1"/>
  <c r="AR495" i="1"/>
  <c r="AR496" i="1"/>
  <c r="AR497" i="1"/>
  <c r="AR498" i="1"/>
  <c r="AR499" i="1"/>
  <c r="AR500" i="1"/>
  <c r="AR501" i="1"/>
  <c r="AR502" i="1"/>
  <c r="AR503" i="1"/>
  <c r="AR504" i="1"/>
  <c r="AR505" i="1"/>
  <c r="AR506" i="1"/>
  <c r="AR507" i="1"/>
  <c r="AR508" i="1"/>
  <c r="AR509" i="1"/>
  <c r="AR510" i="1"/>
  <c r="AR511" i="1"/>
  <c r="AR512" i="1"/>
  <c r="AR513" i="1"/>
  <c r="AR514" i="1"/>
  <c r="AR515" i="1"/>
  <c r="AR516" i="1"/>
  <c r="AR517" i="1"/>
  <c r="AR518" i="1"/>
  <c r="AR519" i="1"/>
  <c r="AR520" i="1"/>
  <c r="AR521" i="1"/>
  <c r="AR522" i="1"/>
  <c r="AR523" i="1"/>
  <c r="AR524" i="1"/>
  <c r="AR525" i="1"/>
  <c r="AR526" i="1"/>
  <c r="AR527" i="1"/>
  <c r="AR528" i="1"/>
  <c r="AR529" i="1"/>
  <c r="AR530" i="1"/>
  <c r="AR531" i="1"/>
  <c r="AR532" i="1"/>
  <c r="AR533" i="1"/>
  <c r="AR534" i="1"/>
  <c r="AR535" i="1"/>
  <c r="AR536" i="1"/>
  <c r="AR537" i="1"/>
  <c r="AR538" i="1"/>
  <c r="AR539" i="1"/>
  <c r="AR540" i="1"/>
  <c r="AR541" i="1"/>
  <c r="AR542" i="1"/>
  <c r="AR543" i="1"/>
  <c r="AR544" i="1"/>
  <c r="AR545" i="1"/>
  <c r="AR546" i="1"/>
  <c r="AR547" i="1"/>
  <c r="AR548" i="1"/>
  <c r="AR549" i="1"/>
  <c r="AR550" i="1"/>
  <c r="AR551" i="1"/>
  <c r="AR552" i="1"/>
  <c r="AR553" i="1"/>
  <c r="AR554" i="1"/>
  <c r="AR555" i="1"/>
  <c r="AR556" i="1"/>
  <c r="AR557" i="1"/>
  <c r="AR558" i="1"/>
  <c r="AR559" i="1"/>
  <c r="AR560" i="1"/>
  <c r="AR561" i="1"/>
  <c r="AR562" i="1"/>
  <c r="AR563" i="1"/>
  <c r="AR564" i="1"/>
  <c r="AR565" i="1"/>
  <c r="AR566" i="1"/>
  <c r="AR567" i="1"/>
  <c r="AR568" i="1"/>
  <c r="AR569" i="1"/>
  <c r="AR570" i="1"/>
  <c r="AR571" i="1"/>
  <c r="AR572" i="1"/>
  <c r="AR573" i="1"/>
  <c r="AR574" i="1"/>
  <c r="AR575" i="1"/>
  <c r="AR576" i="1"/>
  <c r="AR577" i="1"/>
  <c r="AR578" i="1"/>
  <c r="AR579" i="1"/>
  <c r="AR580" i="1"/>
  <c r="AR581" i="1"/>
  <c r="AR582" i="1"/>
  <c r="AR583" i="1"/>
  <c r="AR584" i="1"/>
  <c r="AR585" i="1"/>
  <c r="AR586" i="1"/>
  <c r="AR587" i="1"/>
  <c r="AR588" i="1"/>
  <c r="AR589" i="1"/>
  <c r="AR590" i="1"/>
  <c r="AR591" i="1"/>
  <c r="AR592" i="1"/>
  <c r="AR593" i="1"/>
  <c r="AR594" i="1"/>
  <c r="AR595" i="1"/>
  <c r="AR596" i="1"/>
  <c r="AR597" i="1"/>
  <c r="AR598" i="1"/>
  <c r="AR599" i="1"/>
  <c r="AR600" i="1"/>
  <c r="AR601" i="1"/>
  <c r="AR602" i="1"/>
  <c r="AR603" i="1"/>
  <c r="AR604" i="1"/>
  <c r="AR605" i="1"/>
  <c r="AR606" i="1"/>
  <c r="AR607" i="1"/>
  <c r="AR608" i="1"/>
  <c r="AR609" i="1"/>
  <c r="AR610" i="1"/>
  <c r="AR611" i="1"/>
  <c r="AR612" i="1"/>
  <c r="AR613" i="1"/>
  <c r="AR614" i="1"/>
  <c r="AR615" i="1"/>
  <c r="AR616" i="1"/>
  <c r="AR617" i="1"/>
  <c r="AR618" i="1"/>
  <c r="AR619" i="1"/>
  <c r="AR620" i="1"/>
  <c r="AR621" i="1"/>
  <c r="AR622" i="1"/>
  <c r="AR623" i="1"/>
  <c r="AR624" i="1"/>
  <c r="AR625" i="1"/>
  <c r="AR626" i="1"/>
  <c r="AR627" i="1"/>
  <c r="AR628" i="1"/>
  <c r="AR629" i="1"/>
  <c r="AR630" i="1"/>
  <c r="AR631" i="1"/>
  <c r="AR632" i="1"/>
  <c r="AR633" i="1"/>
  <c r="AR634" i="1"/>
  <c r="AR635" i="1"/>
  <c r="AR636" i="1"/>
  <c r="AR637" i="1"/>
  <c r="AR638" i="1"/>
  <c r="AR639" i="1"/>
  <c r="AR640" i="1"/>
  <c r="AR641" i="1"/>
  <c r="AR642" i="1"/>
  <c r="AR643" i="1"/>
  <c r="AR644" i="1"/>
  <c r="AR645" i="1"/>
  <c r="AR646" i="1"/>
  <c r="AR647" i="1"/>
  <c r="AR648" i="1"/>
  <c r="AR649" i="1"/>
  <c r="AR650" i="1"/>
  <c r="AR651" i="1"/>
  <c r="AR652" i="1"/>
  <c r="AR653" i="1"/>
  <c r="AR654" i="1"/>
  <c r="AR655" i="1"/>
  <c r="AR656" i="1"/>
  <c r="AR657" i="1"/>
  <c r="AR658" i="1"/>
  <c r="AR659" i="1"/>
  <c r="AR660" i="1"/>
  <c r="AR661" i="1"/>
  <c r="AR662" i="1"/>
  <c r="AR663" i="1"/>
  <c r="AR664" i="1"/>
  <c r="AR665" i="1"/>
  <c r="AR666" i="1"/>
  <c r="AR667" i="1"/>
  <c r="AR668" i="1"/>
  <c r="AR669" i="1"/>
  <c r="AR670" i="1"/>
  <c r="AR671" i="1"/>
  <c r="AR672" i="1"/>
  <c r="AR673" i="1"/>
  <c r="AR674" i="1"/>
  <c r="AR675" i="1"/>
  <c r="AR676" i="1"/>
  <c r="AR677" i="1"/>
  <c r="AR678" i="1"/>
  <c r="AR679" i="1"/>
  <c r="AR680" i="1"/>
  <c r="AR681" i="1"/>
  <c r="AR682" i="1"/>
  <c r="AR683" i="1"/>
  <c r="AR684" i="1"/>
  <c r="AR685" i="1"/>
  <c r="AR686" i="1"/>
  <c r="AR687" i="1"/>
  <c r="AR688" i="1"/>
  <c r="AR689" i="1"/>
  <c r="AR690" i="1"/>
  <c r="AR691" i="1"/>
  <c r="AR692" i="1"/>
  <c r="AR693" i="1"/>
  <c r="AR694" i="1"/>
  <c r="AR695" i="1"/>
  <c r="AR696" i="1"/>
  <c r="AR697" i="1"/>
  <c r="AR698" i="1"/>
  <c r="AR699" i="1"/>
  <c r="AR700" i="1"/>
  <c r="AR701" i="1"/>
  <c r="AR702" i="1"/>
  <c r="AR703" i="1"/>
  <c r="AR704" i="1"/>
  <c r="AR705" i="1"/>
  <c r="AR706" i="1"/>
  <c r="AR707" i="1"/>
  <c r="AR708" i="1"/>
  <c r="AR709" i="1"/>
  <c r="AR710" i="1"/>
  <c r="AR711" i="1"/>
  <c r="AR712" i="1"/>
  <c r="AR713" i="1"/>
  <c r="AR714" i="1"/>
  <c r="AR715" i="1"/>
  <c r="AR716" i="1"/>
  <c r="AR717" i="1"/>
  <c r="AR718" i="1"/>
  <c r="AR719" i="1"/>
  <c r="AR720" i="1"/>
  <c r="AR721" i="1"/>
  <c r="AR722" i="1"/>
  <c r="AR723" i="1"/>
  <c r="AR724" i="1"/>
  <c r="AR725" i="1"/>
  <c r="AR726" i="1"/>
  <c r="AR727" i="1"/>
  <c r="AR728" i="1"/>
  <c r="AR729" i="1"/>
  <c r="AR730" i="1"/>
  <c r="AR731" i="1"/>
  <c r="AR732" i="1"/>
  <c r="AR733" i="1"/>
  <c r="AR734" i="1"/>
  <c r="AR735" i="1"/>
  <c r="AR736" i="1"/>
  <c r="AR737" i="1"/>
  <c r="AR738" i="1"/>
  <c r="AR739" i="1"/>
  <c r="AR740" i="1"/>
  <c r="AR741" i="1"/>
  <c r="AR742" i="1"/>
  <c r="AR743" i="1"/>
  <c r="AR744" i="1"/>
  <c r="AR745" i="1"/>
  <c r="AR746" i="1"/>
  <c r="AR747" i="1"/>
  <c r="AR748" i="1"/>
  <c r="AR749" i="1"/>
  <c r="AR750" i="1"/>
  <c r="AR751" i="1"/>
  <c r="AR752" i="1"/>
  <c r="AR753" i="1"/>
  <c r="AR754" i="1"/>
  <c r="AR755" i="1"/>
  <c r="AR756" i="1"/>
  <c r="AR757" i="1"/>
  <c r="AR758" i="1"/>
  <c r="AR759" i="1"/>
  <c r="AR760" i="1"/>
  <c r="AR761" i="1"/>
  <c r="AR762" i="1"/>
  <c r="AR763" i="1"/>
  <c r="AR764" i="1"/>
  <c r="AR765" i="1"/>
  <c r="AR766" i="1"/>
  <c r="AR767" i="1"/>
  <c r="AR768" i="1"/>
  <c r="AR769" i="1"/>
  <c r="AR770" i="1"/>
  <c r="AR771" i="1"/>
  <c r="AR772" i="1"/>
  <c r="AR773" i="1"/>
  <c r="AR774" i="1"/>
  <c r="AR775" i="1"/>
  <c r="AR776" i="1"/>
  <c r="AR777" i="1"/>
  <c r="AR778" i="1"/>
  <c r="AR779" i="1"/>
  <c r="AR780" i="1"/>
  <c r="AR781" i="1"/>
  <c r="AR782" i="1"/>
  <c r="AR783" i="1"/>
  <c r="AR784" i="1"/>
  <c r="AR785" i="1"/>
  <c r="AR786" i="1"/>
  <c r="AR787" i="1"/>
  <c r="AR788" i="1"/>
  <c r="AR789" i="1"/>
  <c r="AR790" i="1"/>
  <c r="AR791" i="1"/>
  <c r="AR792" i="1"/>
  <c r="AR793" i="1"/>
  <c r="AR794" i="1"/>
  <c r="AR795" i="1"/>
  <c r="AR796" i="1"/>
  <c r="AR797" i="1"/>
  <c r="AR798" i="1"/>
  <c r="AR799" i="1"/>
  <c r="AR800" i="1"/>
  <c r="AR801" i="1"/>
  <c r="AR802" i="1"/>
  <c r="AR803" i="1"/>
  <c r="AR804" i="1"/>
  <c r="AR805" i="1"/>
  <c r="AR806" i="1"/>
  <c r="AR807" i="1"/>
  <c r="AR808" i="1"/>
  <c r="AR809" i="1"/>
  <c r="AR810" i="1"/>
  <c r="AR811" i="1"/>
  <c r="AR812" i="1"/>
  <c r="AR813" i="1"/>
  <c r="AR814" i="1"/>
  <c r="AR815" i="1"/>
  <c r="AR816" i="1"/>
  <c r="AR817" i="1"/>
  <c r="AR818" i="1"/>
  <c r="AR819" i="1"/>
  <c r="AR820" i="1"/>
  <c r="AR821" i="1"/>
  <c r="AR822" i="1"/>
  <c r="AR823" i="1"/>
  <c r="AR824" i="1"/>
  <c r="AR825" i="1"/>
  <c r="AR826" i="1"/>
  <c r="AR827" i="1"/>
  <c r="AR828" i="1"/>
  <c r="AR829" i="1"/>
  <c r="AR830" i="1"/>
  <c r="AR831" i="1"/>
  <c r="AR832" i="1"/>
  <c r="AR833" i="1"/>
  <c r="AR834" i="1"/>
  <c r="AR835" i="1"/>
  <c r="AR836" i="1"/>
  <c r="AR837" i="1"/>
  <c r="AR838" i="1"/>
  <c r="AR839" i="1"/>
  <c r="AR840" i="1"/>
  <c r="AR841" i="1"/>
  <c r="AR842" i="1"/>
  <c r="AR843" i="1"/>
  <c r="AR844" i="1"/>
  <c r="AR845" i="1"/>
  <c r="AR846" i="1"/>
  <c r="AR847" i="1"/>
  <c r="AR848" i="1"/>
  <c r="AR849" i="1"/>
  <c r="AR850" i="1"/>
  <c r="AR851" i="1"/>
  <c r="AR852" i="1"/>
  <c r="AR853" i="1"/>
  <c r="AR854" i="1"/>
  <c r="AR855" i="1"/>
  <c r="AR856" i="1"/>
  <c r="AR857" i="1"/>
  <c r="AR858" i="1"/>
  <c r="AR859" i="1"/>
  <c r="AR860" i="1"/>
  <c r="AR861" i="1"/>
  <c r="AR862" i="1"/>
  <c r="AR863" i="1"/>
  <c r="AR864" i="1"/>
  <c r="AR865" i="1"/>
  <c r="AR866" i="1"/>
  <c r="AR867" i="1"/>
  <c r="AR868" i="1"/>
  <c r="AR869" i="1"/>
  <c r="AR870" i="1"/>
  <c r="AR871" i="1"/>
  <c r="AR872" i="1"/>
  <c r="AR873" i="1"/>
  <c r="AR874" i="1"/>
  <c r="AR875" i="1"/>
  <c r="AR876" i="1"/>
  <c r="AR877" i="1"/>
  <c r="AR878" i="1"/>
  <c r="AR879" i="1"/>
  <c r="AR880" i="1"/>
  <c r="AR881" i="1"/>
  <c r="AR882" i="1"/>
  <c r="AR883" i="1"/>
  <c r="AR884" i="1"/>
  <c r="AR885" i="1"/>
  <c r="AR886" i="1"/>
  <c r="AR887" i="1"/>
  <c r="AR888" i="1"/>
  <c r="AR889" i="1"/>
  <c r="AR890" i="1"/>
  <c r="AR891" i="1"/>
  <c r="AR892" i="1"/>
  <c r="AR893" i="1"/>
  <c r="AR894" i="1"/>
  <c r="AR895" i="1"/>
  <c r="AR896" i="1"/>
  <c r="AR897" i="1"/>
  <c r="AR898" i="1"/>
  <c r="AR899" i="1"/>
  <c r="AR900" i="1"/>
  <c r="AR901" i="1"/>
  <c r="AR902" i="1"/>
  <c r="AR903" i="1"/>
  <c r="AR904" i="1"/>
  <c r="AR905" i="1"/>
  <c r="AR906" i="1"/>
  <c r="AR907" i="1"/>
  <c r="AR908" i="1"/>
  <c r="AR909" i="1"/>
  <c r="AR910" i="1"/>
  <c r="AR911" i="1"/>
  <c r="AR912" i="1"/>
  <c r="AR913" i="1"/>
  <c r="AR914" i="1"/>
  <c r="AR915" i="1"/>
  <c r="AR916" i="1"/>
  <c r="AR917" i="1"/>
  <c r="AR918" i="1"/>
  <c r="AR919" i="1"/>
  <c r="AR920" i="1"/>
  <c r="AR921" i="1"/>
  <c r="AR922" i="1"/>
  <c r="AR923" i="1"/>
  <c r="AR924" i="1"/>
  <c r="AR925" i="1"/>
  <c r="AR926" i="1"/>
  <c r="AR927" i="1"/>
  <c r="AR928" i="1"/>
  <c r="AR929" i="1"/>
  <c r="AR930" i="1"/>
  <c r="AR931" i="1"/>
  <c r="AR932" i="1"/>
  <c r="AR933" i="1"/>
  <c r="AR934" i="1"/>
  <c r="AR935" i="1"/>
  <c r="AR936" i="1"/>
  <c r="AR937" i="1"/>
  <c r="AR938" i="1"/>
  <c r="AR939" i="1"/>
  <c r="AR940" i="1"/>
  <c r="AR941" i="1"/>
  <c r="AR942" i="1"/>
  <c r="AR943" i="1"/>
  <c r="AR944" i="1"/>
  <c r="AR945" i="1"/>
  <c r="AR946" i="1"/>
  <c r="AR947" i="1"/>
  <c r="AR948" i="1"/>
  <c r="AR949" i="1"/>
  <c r="AR950" i="1"/>
  <c r="AR951" i="1"/>
  <c r="AR952" i="1"/>
  <c r="AR953" i="1"/>
  <c r="AR954" i="1"/>
  <c r="AR955" i="1"/>
  <c r="AR956" i="1"/>
  <c r="AR957" i="1"/>
  <c r="AR958" i="1"/>
  <c r="AR959" i="1"/>
  <c r="AR960" i="1"/>
  <c r="AR961" i="1"/>
  <c r="AR962" i="1"/>
  <c r="AR963" i="1"/>
  <c r="AR964" i="1"/>
  <c r="AR965" i="1"/>
  <c r="AR966" i="1"/>
  <c r="AR967" i="1"/>
  <c r="AR968" i="1"/>
  <c r="AR969" i="1"/>
  <c r="AR970" i="1"/>
  <c r="AR971" i="1"/>
  <c r="AR972" i="1"/>
  <c r="AR973" i="1"/>
  <c r="AR974" i="1"/>
  <c r="AR975" i="1"/>
  <c r="AR976" i="1"/>
  <c r="AR977" i="1"/>
  <c r="AR978" i="1"/>
  <c r="AR979" i="1"/>
  <c r="AR980" i="1"/>
  <c r="AR981" i="1"/>
  <c r="AR982" i="1"/>
  <c r="AR983" i="1"/>
  <c r="AR984" i="1"/>
  <c r="AR985" i="1"/>
  <c r="AR986" i="1"/>
  <c r="AR987" i="1"/>
  <c r="AR988" i="1"/>
  <c r="AR989" i="1"/>
  <c r="AR990" i="1"/>
  <c r="AR991" i="1"/>
  <c r="AR992" i="1"/>
  <c r="AR993" i="1"/>
  <c r="AR994" i="1"/>
  <c r="AR995" i="1"/>
  <c r="AR996" i="1"/>
  <c r="AR997" i="1"/>
  <c r="AR998" i="1"/>
  <c r="AR999" i="1"/>
  <c r="AR1000" i="1"/>
  <c r="AR1001" i="1"/>
  <c r="AR1002" i="1"/>
  <c r="AR1003" i="1"/>
  <c r="AR1004" i="1"/>
  <c r="AR1005" i="1"/>
  <c r="AR1006" i="1"/>
  <c r="AR1007" i="1"/>
  <c r="AR1008" i="1"/>
  <c r="AR1009" i="1"/>
  <c r="AR1010" i="1"/>
  <c r="AR1011" i="1"/>
  <c r="AR1012" i="1"/>
  <c r="AR1013" i="1"/>
  <c r="AR1014" i="1"/>
  <c r="AR1015" i="1"/>
  <c r="AR1016" i="1"/>
  <c r="AR1017" i="1"/>
  <c r="AR1018" i="1"/>
  <c r="AR1019" i="1"/>
  <c r="AR1020" i="1"/>
  <c r="AR1021" i="1"/>
  <c r="AR1022" i="1"/>
  <c r="AR1023" i="1"/>
  <c r="AR1024" i="1"/>
  <c r="AR1025" i="1"/>
  <c r="AR1026" i="1"/>
  <c r="AR1027" i="1"/>
  <c r="AR1028" i="1"/>
  <c r="AR1029" i="1"/>
  <c r="AR1030" i="1"/>
  <c r="AR1031" i="1"/>
  <c r="AR1032" i="1"/>
  <c r="AR1033" i="1"/>
  <c r="AR1034" i="1"/>
  <c r="AR1035" i="1"/>
  <c r="AR1036" i="1"/>
  <c r="AR1037" i="1"/>
  <c r="AR1038" i="1"/>
  <c r="AR1039" i="1"/>
  <c r="AR1040" i="1"/>
  <c r="AR1041" i="1"/>
  <c r="AR1042" i="1"/>
  <c r="AR1043" i="1"/>
  <c r="AR1044" i="1"/>
  <c r="AR1045" i="1"/>
  <c r="AR1046" i="1"/>
  <c r="AR1047" i="1"/>
  <c r="AR1048" i="1"/>
  <c r="AR1049" i="1"/>
  <c r="AR1050" i="1"/>
  <c r="AR1051" i="1"/>
  <c r="AR1052" i="1"/>
  <c r="AR1053" i="1"/>
  <c r="AR1054" i="1"/>
  <c r="AR1055" i="1"/>
  <c r="AR1056" i="1"/>
  <c r="AR1057" i="1"/>
  <c r="AR1058" i="1"/>
  <c r="AR1059" i="1"/>
  <c r="AR1060" i="1"/>
  <c r="AR1061" i="1"/>
  <c r="AR1062" i="1"/>
  <c r="AR1063" i="1"/>
  <c r="AR1064" i="1"/>
  <c r="AR1065" i="1"/>
  <c r="AR1066" i="1"/>
  <c r="AR1067" i="1"/>
  <c r="AR1068" i="1"/>
  <c r="AR1069" i="1"/>
  <c r="AR1070" i="1"/>
  <c r="AR1071" i="1"/>
  <c r="AR1072" i="1"/>
  <c r="AR1073" i="1"/>
  <c r="AR1074" i="1"/>
  <c r="AR1075" i="1"/>
  <c r="AR1076" i="1"/>
  <c r="AR1077" i="1"/>
  <c r="AR1078" i="1"/>
  <c r="AR1079" i="1"/>
  <c r="AR1080" i="1"/>
  <c r="AR1081" i="1"/>
  <c r="AR1082" i="1"/>
  <c r="AR1083" i="1"/>
  <c r="AR1084" i="1"/>
  <c r="AR1085" i="1"/>
  <c r="AR1086" i="1"/>
  <c r="AR1087" i="1"/>
  <c r="AR1088" i="1"/>
  <c r="AR1089" i="1"/>
  <c r="AR1090" i="1"/>
  <c r="AR1091" i="1"/>
  <c r="AR1092" i="1"/>
  <c r="AR1093" i="1"/>
  <c r="AR1094" i="1"/>
  <c r="AR1095" i="1"/>
  <c r="AR1096" i="1"/>
  <c r="AR1097" i="1"/>
  <c r="AR1098" i="1"/>
  <c r="AR1099" i="1"/>
  <c r="AR1100" i="1"/>
  <c r="AR1101" i="1"/>
  <c r="AR1102" i="1"/>
  <c r="AR1103" i="1"/>
  <c r="AR1104" i="1"/>
  <c r="AR1105" i="1"/>
  <c r="AR1106" i="1"/>
  <c r="AR1107" i="1"/>
  <c r="AR1108" i="1"/>
  <c r="AR1109" i="1"/>
  <c r="AR1110" i="1"/>
  <c r="AR1111" i="1"/>
  <c r="AR1112" i="1"/>
  <c r="AR1113" i="1"/>
  <c r="AR1114" i="1"/>
  <c r="AR1115" i="1"/>
  <c r="AR1116" i="1"/>
  <c r="AR1117" i="1"/>
  <c r="AR1118" i="1"/>
  <c r="AR1119" i="1"/>
  <c r="AR1120" i="1"/>
  <c r="AR1121" i="1"/>
  <c r="AR1122" i="1"/>
  <c r="AR1123" i="1"/>
  <c r="AR1124" i="1"/>
  <c r="AR1125" i="1"/>
  <c r="AR1126" i="1"/>
  <c r="AR1127" i="1"/>
  <c r="AR1128" i="1"/>
  <c r="AR1129" i="1"/>
  <c r="AR1130" i="1"/>
  <c r="AR1131" i="1"/>
  <c r="AR1132" i="1"/>
  <c r="AR1133" i="1"/>
  <c r="AR1134" i="1"/>
  <c r="AR1135" i="1"/>
  <c r="AR1136" i="1"/>
  <c r="AR1137" i="1"/>
  <c r="AR1138" i="1"/>
  <c r="AR1139" i="1"/>
  <c r="AR1140" i="1"/>
  <c r="AR1141" i="1"/>
  <c r="AR1142" i="1"/>
  <c r="AR1143" i="1"/>
  <c r="AR1144" i="1"/>
  <c r="AR1145" i="1"/>
  <c r="AR1146" i="1"/>
  <c r="AR1147" i="1"/>
  <c r="AR1148" i="1"/>
  <c r="AR1149" i="1"/>
  <c r="AR1150" i="1"/>
  <c r="AR1151" i="1"/>
  <c r="AR1152" i="1"/>
  <c r="AR1153" i="1"/>
  <c r="AR1154" i="1"/>
  <c r="AR1155" i="1"/>
  <c r="AR1156" i="1"/>
  <c r="AR1157" i="1"/>
  <c r="AR1158" i="1"/>
  <c r="AR1159" i="1"/>
  <c r="AR1160" i="1"/>
  <c r="AR1161" i="1"/>
  <c r="AR1162" i="1"/>
  <c r="AR1163" i="1"/>
  <c r="AR1164" i="1"/>
  <c r="AR1165" i="1"/>
  <c r="AR1166" i="1"/>
  <c r="AR1167" i="1"/>
  <c r="AR1168" i="1"/>
  <c r="AR1169" i="1"/>
  <c r="AR1170" i="1"/>
  <c r="AR1171" i="1"/>
  <c r="AR1172" i="1"/>
  <c r="AR1173" i="1"/>
  <c r="AR1174" i="1"/>
  <c r="AR1175" i="1"/>
  <c r="AR1176" i="1"/>
  <c r="AR1177" i="1"/>
  <c r="AR1178" i="1"/>
  <c r="AR1179" i="1"/>
  <c r="AR1180" i="1"/>
  <c r="AR1181" i="1"/>
  <c r="AR1182" i="1"/>
  <c r="AR1183" i="1"/>
  <c r="AR1184" i="1"/>
  <c r="AR1185" i="1"/>
  <c r="AR1186" i="1"/>
  <c r="AR1187" i="1"/>
  <c r="AR1188" i="1"/>
  <c r="AR1189" i="1"/>
  <c r="AR1190" i="1"/>
  <c r="AR1191" i="1"/>
  <c r="AR1192" i="1"/>
  <c r="AR1193" i="1"/>
  <c r="AR1194" i="1"/>
  <c r="AR1195" i="1"/>
  <c r="AR1196" i="1"/>
  <c r="AR1197" i="1"/>
  <c r="AR1198" i="1"/>
  <c r="AR1199" i="1"/>
  <c r="AR1200" i="1"/>
  <c r="AR1201" i="1"/>
  <c r="AR1202" i="1"/>
  <c r="AR1203" i="1"/>
  <c r="AR1204" i="1"/>
  <c r="AR1205" i="1"/>
  <c r="AR1206" i="1"/>
  <c r="AR1207" i="1"/>
  <c r="AR1208" i="1"/>
  <c r="AR1209" i="1"/>
  <c r="AR1210" i="1"/>
  <c r="AR1211" i="1"/>
  <c r="AR1212" i="1"/>
  <c r="AR1213" i="1"/>
  <c r="AR1214" i="1"/>
  <c r="AR1215" i="1"/>
  <c r="AR1216" i="1"/>
  <c r="AR1217" i="1"/>
  <c r="AR1218" i="1"/>
  <c r="AR1219" i="1"/>
  <c r="AR1220" i="1"/>
  <c r="AR1221" i="1"/>
  <c r="AR1222" i="1"/>
  <c r="AR1223" i="1"/>
  <c r="AR1224" i="1"/>
  <c r="AR1225" i="1"/>
  <c r="AR1226" i="1"/>
  <c r="AR1227" i="1"/>
  <c r="AR1228" i="1"/>
  <c r="AR1229" i="1"/>
  <c r="AR1230" i="1"/>
  <c r="AR1231" i="1"/>
  <c r="AR1232" i="1"/>
  <c r="AR1233" i="1"/>
  <c r="AR1234" i="1"/>
  <c r="AR1235" i="1"/>
  <c r="AR1236" i="1"/>
  <c r="AR1237" i="1"/>
  <c r="AR1238" i="1"/>
  <c r="AR1239" i="1"/>
  <c r="AR1240" i="1"/>
  <c r="AR1241" i="1"/>
  <c r="AR1242" i="1"/>
  <c r="AR1243" i="1"/>
  <c r="AR1244" i="1"/>
  <c r="AR1245" i="1"/>
  <c r="AR1246" i="1"/>
  <c r="AR1247" i="1"/>
  <c r="AR1248" i="1"/>
  <c r="AR1249" i="1"/>
  <c r="AR1250" i="1"/>
  <c r="AR1251" i="1"/>
  <c r="AR1252" i="1"/>
  <c r="AR1253" i="1"/>
  <c r="AR1254" i="1"/>
  <c r="AR1255" i="1"/>
  <c r="AR1256" i="1"/>
  <c r="AR1257" i="1"/>
  <c r="AR1258" i="1"/>
  <c r="AR1259" i="1"/>
  <c r="AR1260" i="1"/>
  <c r="AR1261" i="1"/>
  <c r="AR1262" i="1"/>
  <c r="AR1263" i="1"/>
  <c r="AR1264" i="1"/>
  <c r="AR1265" i="1"/>
  <c r="AR1266" i="1"/>
  <c r="AR1267" i="1"/>
  <c r="AR1268" i="1"/>
  <c r="AR1269" i="1"/>
  <c r="AR1270" i="1"/>
  <c r="AR1271" i="1"/>
  <c r="AR1272" i="1"/>
  <c r="AR1273" i="1"/>
  <c r="AR1274" i="1"/>
  <c r="AR1275" i="1"/>
  <c r="AR1276" i="1"/>
  <c r="AR1277" i="1"/>
  <c r="AR1278" i="1"/>
  <c r="AR1279" i="1"/>
  <c r="AR1280" i="1"/>
  <c r="AR1281" i="1"/>
  <c r="AR1282" i="1"/>
  <c r="AR1283" i="1"/>
  <c r="AR1284" i="1"/>
  <c r="AR1285" i="1"/>
  <c r="AR1286" i="1"/>
  <c r="AR1287" i="1"/>
  <c r="AR1288" i="1"/>
  <c r="AR1289" i="1"/>
  <c r="AR1290" i="1"/>
  <c r="AR1291" i="1"/>
  <c r="AR1292" i="1"/>
  <c r="AR1293" i="1"/>
  <c r="AR1294" i="1"/>
  <c r="AR1295" i="1"/>
  <c r="AR1296" i="1"/>
  <c r="AR1297" i="1"/>
  <c r="AR1298" i="1"/>
  <c r="AR1299" i="1"/>
  <c r="AR1300" i="1"/>
  <c r="AR1301" i="1"/>
  <c r="AR1302" i="1"/>
  <c r="AR1303" i="1"/>
  <c r="AR1304" i="1"/>
  <c r="AR1305" i="1"/>
  <c r="AR1306" i="1"/>
  <c r="AR1307" i="1"/>
  <c r="AR1308" i="1"/>
  <c r="AR1309" i="1"/>
  <c r="AR1310" i="1"/>
  <c r="AR1311" i="1"/>
  <c r="AR1312" i="1"/>
  <c r="AR1313" i="1"/>
  <c r="AR1314" i="1"/>
  <c r="AR1315" i="1"/>
  <c r="AR1316" i="1"/>
  <c r="AR1317" i="1"/>
  <c r="AR1318" i="1"/>
  <c r="AR1319" i="1"/>
  <c r="AR1320" i="1"/>
  <c r="AR1321" i="1"/>
  <c r="AR1322" i="1"/>
  <c r="AR1323" i="1"/>
  <c r="AR1324" i="1"/>
  <c r="AR1325" i="1"/>
  <c r="AR1326" i="1"/>
  <c r="AR1327" i="1"/>
  <c r="AR1328" i="1"/>
  <c r="AR1329" i="1"/>
  <c r="AR1330" i="1"/>
  <c r="AR1331" i="1"/>
  <c r="AR1332" i="1"/>
  <c r="AR1333" i="1"/>
  <c r="AR1334" i="1"/>
  <c r="AR1335" i="1"/>
  <c r="AR1336" i="1"/>
  <c r="AR1337" i="1"/>
  <c r="AR1338" i="1"/>
  <c r="AR1339" i="1"/>
  <c r="AR1340" i="1"/>
  <c r="AR1341" i="1"/>
  <c r="AR1342" i="1"/>
  <c r="AR1343" i="1"/>
  <c r="AR1344" i="1"/>
  <c r="AR1345" i="1"/>
  <c r="AR1346" i="1"/>
  <c r="AR1347" i="1"/>
  <c r="AR1348" i="1"/>
  <c r="AR1349" i="1"/>
  <c r="AR1350" i="1"/>
  <c r="AR1351" i="1"/>
  <c r="AR1352" i="1"/>
  <c r="AR1353" i="1"/>
  <c r="AR1354" i="1"/>
  <c r="AR1355" i="1"/>
  <c r="AR1356" i="1"/>
  <c r="AR1357" i="1"/>
  <c r="AR1358" i="1"/>
  <c r="AR1359" i="1"/>
  <c r="AR1360" i="1"/>
  <c r="AR1361" i="1"/>
  <c r="AR1362" i="1"/>
  <c r="AR1363" i="1"/>
  <c r="AR1364" i="1"/>
  <c r="AR1365" i="1"/>
  <c r="AR1366" i="1"/>
  <c r="AR1367" i="1"/>
  <c r="AR1368" i="1"/>
  <c r="AR1369" i="1"/>
  <c r="AR1370" i="1"/>
  <c r="AR1371" i="1"/>
  <c r="AR1372" i="1"/>
  <c r="AR1373" i="1"/>
  <c r="AR1374" i="1"/>
  <c r="AR1375" i="1"/>
  <c r="AR1376" i="1"/>
  <c r="AR1377" i="1"/>
  <c r="AR1378" i="1"/>
  <c r="AR1379" i="1"/>
  <c r="AR1380" i="1"/>
  <c r="AR1381" i="1"/>
  <c r="AR1382" i="1"/>
  <c r="AR1383" i="1"/>
  <c r="AR1384" i="1"/>
  <c r="AR1385" i="1"/>
  <c r="AR1386" i="1"/>
  <c r="AR1387" i="1"/>
  <c r="AR1388" i="1"/>
  <c r="AR1389" i="1"/>
  <c r="AR1390" i="1"/>
  <c r="AR1391" i="1"/>
  <c r="AR1392" i="1"/>
  <c r="AR1393" i="1"/>
  <c r="AR1394" i="1"/>
  <c r="AR1395" i="1"/>
  <c r="AR1396" i="1"/>
  <c r="AR1397" i="1"/>
  <c r="AR1398" i="1"/>
  <c r="AR1399" i="1"/>
  <c r="AR1400" i="1"/>
  <c r="AR1401" i="1"/>
  <c r="AR1402" i="1"/>
  <c r="AR1403" i="1"/>
  <c r="AR1404" i="1"/>
  <c r="AR1405" i="1"/>
  <c r="AR1406" i="1"/>
  <c r="AR1407" i="1"/>
  <c r="AR1408" i="1"/>
  <c r="AR1409" i="1"/>
  <c r="AR1410" i="1"/>
  <c r="AR1411" i="1"/>
  <c r="AR1412" i="1"/>
  <c r="AR1413" i="1"/>
  <c r="AR1414" i="1"/>
  <c r="AR1415" i="1"/>
  <c r="AR1416" i="1"/>
  <c r="AR1417" i="1"/>
  <c r="AR1418" i="1"/>
  <c r="AR1419" i="1"/>
  <c r="AR1420" i="1"/>
  <c r="AR1421" i="1"/>
  <c r="AR1422" i="1"/>
  <c r="AR1423" i="1"/>
  <c r="AR1424" i="1"/>
  <c r="AR1425" i="1"/>
  <c r="AR1426" i="1"/>
  <c r="AR1427" i="1"/>
  <c r="AR1428" i="1"/>
  <c r="AR1429" i="1"/>
  <c r="AR1430" i="1"/>
  <c r="AR1431" i="1"/>
  <c r="AR1432" i="1"/>
  <c r="AR1433" i="1"/>
  <c r="AR1434" i="1"/>
  <c r="AR1435" i="1"/>
  <c r="AR1436" i="1"/>
  <c r="AR1437" i="1"/>
  <c r="AR1438" i="1"/>
  <c r="AR1439" i="1"/>
  <c r="AR1440" i="1"/>
  <c r="AR1441" i="1"/>
  <c r="AR1442" i="1"/>
  <c r="AR1443" i="1"/>
  <c r="AR1444" i="1"/>
  <c r="AR1445" i="1"/>
  <c r="AR1446" i="1"/>
  <c r="AR1447" i="1"/>
  <c r="AR1448" i="1"/>
  <c r="AR1449" i="1"/>
  <c r="AR1450" i="1"/>
  <c r="AR1451" i="1"/>
  <c r="AR1452" i="1"/>
  <c r="AR1453" i="1"/>
  <c r="AR1454" i="1"/>
  <c r="AR1455" i="1"/>
  <c r="AR1456" i="1"/>
  <c r="AR1457" i="1"/>
  <c r="AR1458" i="1"/>
  <c r="AR1459" i="1"/>
  <c r="AR1460" i="1"/>
  <c r="AR1461" i="1"/>
  <c r="AR1462" i="1"/>
  <c r="AR1463" i="1"/>
  <c r="AR1464" i="1"/>
  <c r="AR1465" i="1"/>
  <c r="AR1466" i="1"/>
  <c r="AR1467" i="1"/>
  <c r="AR1468" i="1"/>
  <c r="AR1469" i="1"/>
  <c r="AR1470" i="1"/>
  <c r="AR1471" i="1"/>
  <c r="AP2" i="1"/>
  <c r="AP3" i="1"/>
  <c r="AP4" i="1"/>
  <c r="AP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P49" i="1"/>
  <c r="AP50" i="1"/>
  <c r="AP51" i="1"/>
  <c r="AP52" i="1"/>
  <c r="AP53" i="1"/>
  <c r="AP54" i="1"/>
  <c r="AP55" i="1"/>
  <c r="AP56" i="1"/>
  <c r="AP57" i="1"/>
  <c r="AP58" i="1"/>
  <c r="AP59" i="1"/>
  <c r="AP60" i="1"/>
  <c r="AP61" i="1"/>
  <c r="AP62" i="1"/>
  <c r="AP63" i="1"/>
  <c r="AP64" i="1"/>
  <c r="AP65" i="1"/>
  <c r="AP66" i="1"/>
  <c r="AP67" i="1"/>
  <c r="AP68" i="1"/>
  <c r="AP69" i="1"/>
  <c r="AP70" i="1"/>
  <c r="AP71" i="1"/>
  <c r="AP72" i="1"/>
  <c r="AP73" i="1"/>
  <c r="AP74" i="1"/>
  <c r="AP75" i="1"/>
  <c r="AP76" i="1"/>
  <c r="AP77" i="1"/>
  <c r="AP78" i="1"/>
  <c r="AP79" i="1"/>
  <c r="AP80" i="1"/>
  <c r="AP81" i="1"/>
  <c r="AP82" i="1"/>
  <c r="AP83" i="1"/>
  <c r="AP84" i="1"/>
  <c r="AP85" i="1"/>
  <c r="AP86" i="1"/>
  <c r="AP87" i="1"/>
  <c r="AP88" i="1"/>
  <c r="AP89" i="1"/>
  <c r="AP90" i="1"/>
  <c r="AP91" i="1"/>
  <c r="AP92" i="1"/>
  <c r="AP93" i="1"/>
  <c r="AP94" i="1"/>
  <c r="AP95" i="1"/>
  <c r="AP96" i="1"/>
  <c r="AP97" i="1"/>
  <c r="AP98" i="1"/>
  <c r="AP99" i="1"/>
  <c r="AP100" i="1"/>
  <c r="AP101" i="1"/>
  <c r="AP102" i="1"/>
  <c r="AP103" i="1"/>
  <c r="AP104" i="1"/>
  <c r="AP105" i="1"/>
  <c r="AP106" i="1"/>
  <c r="AP107" i="1"/>
  <c r="AP108" i="1"/>
  <c r="AP109" i="1"/>
  <c r="AP110" i="1"/>
  <c r="AP111" i="1"/>
  <c r="AP112" i="1"/>
  <c r="AP113" i="1"/>
  <c r="AP114" i="1"/>
  <c r="AP115" i="1"/>
  <c r="AP116" i="1"/>
  <c r="AP117" i="1"/>
  <c r="AP118" i="1"/>
  <c r="AP119" i="1"/>
  <c r="AP120" i="1"/>
  <c r="AP121" i="1"/>
  <c r="AP122" i="1"/>
  <c r="AP123" i="1"/>
  <c r="AP124" i="1"/>
  <c r="AP125" i="1"/>
  <c r="AP126" i="1"/>
  <c r="AP127" i="1"/>
  <c r="AP128" i="1"/>
  <c r="AP129" i="1"/>
  <c r="AP130" i="1"/>
  <c r="AP131" i="1"/>
  <c r="AP132" i="1"/>
  <c r="AP133" i="1"/>
  <c r="AP134" i="1"/>
  <c r="AP135" i="1"/>
  <c r="AP136" i="1"/>
  <c r="AP137" i="1"/>
  <c r="AP138" i="1"/>
  <c r="AP139" i="1"/>
  <c r="AP140" i="1"/>
  <c r="AP141" i="1"/>
  <c r="AP142" i="1"/>
  <c r="AP143" i="1"/>
  <c r="AP144" i="1"/>
  <c r="AP145" i="1"/>
  <c r="AP146" i="1"/>
  <c r="AP147" i="1"/>
  <c r="AP148" i="1"/>
  <c r="AP149" i="1"/>
  <c r="AP150" i="1"/>
  <c r="AP151" i="1"/>
  <c r="AP152" i="1"/>
  <c r="AP153" i="1"/>
  <c r="AP154" i="1"/>
  <c r="AP155" i="1"/>
  <c r="AP156" i="1"/>
  <c r="AP157" i="1"/>
  <c r="AP158" i="1"/>
  <c r="AP159" i="1"/>
  <c r="AP160" i="1"/>
  <c r="AP161" i="1"/>
  <c r="AP162" i="1"/>
  <c r="AP163" i="1"/>
  <c r="AP164" i="1"/>
  <c r="AP165" i="1"/>
  <c r="AP166" i="1"/>
  <c r="AP167" i="1"/>
  <c r="AP168" i="1"/>
  <c r="AP169" i="1"/>
  <c r="AP170" i="1"/>
  <c r="AP171" i="1"/>
  <c r="AP172" i="1"/>
  <c r="AP173" i="1"/>
  <c r="AP174" i="1"/>
  <c r="AP175" i="1"/>
  <c r="AP176" i="1"/>
  <c r="AP177" i="1"/>
  <c r="AP178" i="1"/>
  <c r="AP179" i="1"/>
  <c r="AP180" i="1"/>
  <c r="AP181" i="1"/>
  <c r="AP182" i="1"/>
  <c r="AP183" i="1"/>
  <c r="AP184" i="1"/>
  <c r="AP185" i="1"/>
  <c r="AP186" i="1"/>
  <c r="AP187" i="1"/>
  <c r="AP188" i="1"/>
  <c r="AP189" i="1"/>
  <c r="AP190" i="1"/>
  <c r="AP191" i="1"/>
  <c r="AP192" i="1"/>
  <c r="AP193" i="1"/>
  <c r="AP194" i="1"/>
  <c r="AP195" i="1"/>
  <c r="AP196" i="1"/>
  <c r="AP197" i="1"/>
  <c r="AP198" i="1"/>
  <c r="AP199" i="1"/>
  <c r="AP200" i="1"/>
  <c r="AP201" i="1"/>
  <c r="AP202" i="1"/>
  <c r="AP203" i="1"/>
  <c r="AP204" i="1"/>
  <c r="AP205" i="1"/>
  <c r="AP206" i="1"/>
  <c r="AP207" i="1"/>
  <c r="AP208" i="1"/>
  <c r="AP209" i="1"/>
  <c r="AP210" i="1"/>
  <c r="AP211" i="1"/>
  <c r="AP212" i="1"/>
  <c r="AP213" i="1"/>
  <c r="AP214" i="1"/>
  <c r="AP215" i="1"/>
  <c r="AP216" i="1"/>
  <c r="AP217" i="1"/>
  <c r="AP218" i="1"/>
  <c r="AP219" i="1"/>
  <c r="AP220" i="1"/>
  <c r="AP221" i="1"/>
  <c r="AP222" i="1"/>
  <c r="AP223" i="1"/>
  <c r="AP224" i="1"/>
  <c r="AP225" i="1"/>
  <c r="AP226" i="1"/>
  <c r="AP227" i="1"/>
  <c r="AP228" i="1"/>
  <c r="AP229" i="1"/>
  <c r="AP230" i="1"/>
  <c r="AP231" i="1"/>
  <c r="AP232" i="1"/>
  <c r="AP233" i="1"/>
  <c r="AP234" i="1"/>
  <c r="AP235" i="1"/>
  <c r="AP236" i="1"/>
  <c r="AP237" i="1"/>
  <c r="AP238" i="1"/>
  <c r="AP239" i="1"/>
  <c r="AP240" i="1"/>
  <c r="AP241" i="1"/>
  <c r="AP242" i="1"/>
  <c r="AP243" i="1"/>
  <c r="AP244" i="1"/>
  <c r="AP245" i="1"/>
  <c r="AP246" i="1"/>
  <c r="AP247" i="1"/>
  <c r="AP248" i="1"/>
  <c r="AP249" i="1"/>
  <c r="AP250" i="1"/>
  <c r="AP251" i="1"/>
  <c r="AP252" i="1"/>
  <c r="AP253" i="1"/>
  <c r="AP254" i="1"/>
  <c r="AP255" i="1"/>
  <c r="AP256" i="1"/>
  <c r="AP257" i="1"/>
  <c r="AP258" i="1"/>
  <c r="AP259" i="1"/>
  <c r="AP260" i="1"/>
  <c r="AP261" i="1"/>
  <c r="AP262" i="1"/>
  <c r="AP263" i="1"/>
  <c r="AP264" i="1"/>
  <c r="AP265" i="1"/>
  <c r="AP266" i="1"/>
  <c r="AP267" i="1"/>
  <c r="AP268" i="1"/>
  <c r="AP269" i="1"/>
  <c r="AP270" i="1"/>
  <c r="AP271" i="1"/>
  <c r="AP272" i="1"/>
  <c r="AP273" i="1"/>
  <c r="AP274" i="1"/>
  <c r="AP275" i="1"/>
  <c r="AP276" i="1"/>
  <c r="AP277" i="1"/>
  <c r="AP278" i="1"/>
  <c r="AP279" i="1"/>
  <c r="AP280" i="1"/>
  <c r="AP281" i="1"/>
  <c r="AP282" i="1"/>
  <c r="AP283" i="1"/>
  <c r="AP284" i="1"/>
  <c r="AP285" i="1"/>
  <c r="AP286" i="1"/>
  <c r="AP287" i="1"/>
  <c r="AP288" i="1"/>
  <c r="AP289" i="1"/>
  <c r="AP290" i="1"/>
  <c r="AP291" i="1"/>
  <c r="AP292" i="1"/>
  <c r="AP293" i="1"/>
  <c r="AP294" i="1"/>
  <c r="AP295" i="1"/>
  <c r="AP296" i="1"/>
  <c r="AP297" i="1"/>
  <c r="AP298" i="1"/>
  <c r="AP299" i="1"/>
  <c r="AP300" i="1"/>
  <c r="AP301" i="1"/>
  <c r="AP302" i="1"/>
  <c r="AP303" i="1"/>
  <c r="AP304" i="1"/>
  <c r="AP305" i="1"/>
  <c r="AP306" i="1"/>
  <c r="AP307" i="1"/>
  <c r="AP308" i="1"/>
  <c r="AP309" i="1"/>
  <c r="AP310" i="1"/>
  <c r="AP311" i="1"/>
  <c r="AP312" i="1"/>
  <c r="AP313" i="1"/>
  <c r="AP314" i="1"/>
  <c r="AP315" i="1"/>
  <c r="AP316" i="1"/>
  <c r="AP317" i="1"/>
  <c r="AP318" i="1"/>
  <c r="AP319" i="1"/>
  <c r="AP320" i="1"/>
  <c r="AP321" i="1"/>
  <c r="AP322" i="1"/>
  <c r="AP323" i="1"/>
  <c r="AP324" i="1"/>
  <c r="AP325" i="1"/>
  <c r="AP326" i="1"/>
  <c r="AP327" i="1"/>
  <c r="AP328" i="1"/>
  <c r="AP329" i="1"/>
  <c r="AP330" i="1"/>
  <c r="AP331" i="1"/>
  <c r="AP332" i="1"/>
  <c r="AP333" i="1"/>
  <c r="AP334" i="1"/>
  <c r="AP335" i="1"/>
  <c r="AP336" i="1"/>
  <c r="AP337" i="1"/>
  <c r="AP338" i="1"/>
  <c r="AP339" i="1"/>
  <c r="AP340" i="1"/>
  <c r="AP341" i="1"/>
  <c r="AP342" i="1"/>
  <c r="AP343" i="1"/>
  <c r="AP344" i="1"/>
  <c r="AP345" i="1"/>
  <c r="AP346" i="1"/>
  <c r="AP347" i="1"/>
  <c r="AP348" i="1"/>
  <c r="AP349" i="1"/>
  <c r="AP350" i="1"/>
  <c r="AP351" i="1"/>
  <c r="AP352" i="1"/>
  <c r="AP353" i="1"/>
  <c r="AP354" i="1"/>
  <c r="AP355" i="1"/>
  <c r="AP356" i="1"/>
  <c r="AP357" i="1"/>
  <c r="AP358" i="1"/>
  <c r="AP359" i="1"/>
  <c r="AP360" i="1"/>
  <c r="AP361" i="1"/>
  <c r="AP362" i="1"/>
  <c r="AP363" i="1"/>
  <c r="AP364" i="1"/>
  <c r="AP365" i="1"/>
  <c r="AP366" i="1"/>
  <c r="AP367" i="1"/>
  <c r="AP368" i="1"/>
  <c r="AP369" i="1"/>
  <c r="AP370" i="1"/>
  <c r="AP371" i="1"/>
  <c r="AP372" i="1"/>
  <c r="AP373" i="1"/>
  <c r="AP374" i="1"/>
  <c r="AP375" i="1"/>
  <c r="AP376" i="1"/>
  <c r="AP377" i="1"/>
  <c r="AP378" i="1"/>
  <c r="AP379" i="1"/>
  <c r="AP380" i="1"/>
  <c r="AP381" i="1"/>
  <c r="AP382" i="1"/>
  <c r="AP383" i="1"/>
  <c r="AP384" i="1"/>
  <c r="AP385" i="1"/>
  <c r="AP386" i="1"/>
  <c r="AP387" i="1"/>
  <c r="AP388" i="1"/>
  <c r="AP389" i="1"/>
  <c r="AP390" i="1"/>
  <c r="AP391" i="1"/>
  <c r="AP392" i="1"/>
  <c r="AP393" i="1"/>
  <c r="AP394" i="1"/>
  <c r="AP395" i="1"/>
  <c r="AP396" i="1"/>
  <c r="AP397" i="1"/>
  <c r="AP398" i="1"/>
  <c r="AP399" i="1"/>
  <c r="AP400" i="1"/>
  <c r="AP401" i="1"/>
  <c r="AP402" i="1"/>
  <c r="AP403" i="1"/>
  <c r="AP404" i="1"/>
  <c r="AP405" i="1"/>
  <c r="AP406" i="1"/>
  <c r="AP407" i="1"/>
  <c r="AP408" i="1"/>
  <c r="AP409" i="1"/>
  <c r="AP410" i="1"/>
  <c r="AP411" i="1"/>
  <c r="AP412" i="1"/>
  <c r="AP413" i="1"/>
  <c r="AP414" i="1"/>
  <c r="AP415" i="1"/>
  <c r="AP416" i="1"/>
  <c r="AP417" i="1"/>
  <c r="AP418" i="1"/>
  <c r="AP419" i="1"/>
  <c r="AP420" i="1"/>
  <c r="AP421" i="1"/>
  <c r="AP422" i="1"/>
  <c r="AP423" i="1"/>
  <c r="AP424" i="1"/>
  <c r="AP425" i="1"/>
  <c r="AP426" i="1"/>
  <c r="AP427" i="1"/>
  <c r="AP428" i="1"/>
  <c r="AP429" i="1"/>
  <c r="AP430" i="1"/>
  <c r="AP431" i="1"/>
  <c r="AP432" i="1"/>
  <c r="AP433" i="1"/>
  <c r="AP434" i="1"/>
  <c r="AP435" i="1"/>
  <c r="AP436" i="1"/>
  <c r="AP437" i="1"/>
  <c r="AP438" i="1"/>
  <c r="AP439" i="1"/>
  <c r="AP440" i="1"/>
  <c r="AP441" i="1"/>
  <c r="AP442" i="1"/>
  <c r="AP443" i="1"/>
  <c r="AP444" i="1"/>
  <c r="AP445" i="1"/>
  <c r="AP446" i="1"/>
  <c r="AP447" i="1"/>
  <c r="AP448" i="1"/>
  <c r="AP449" i="1"/>
  <c r="AP450" i="1"/>
  <c r="AP451" i="1"/>
  <c r="AP452" i="1"/>
  <c r="AP453" i="1"/>
  <c r="AP454" i="1"/>
  <c r="AP455" i="1"/>
  <c r="AP456" i="1"/>
  <c r="AP457" i="1"/>
  <c r="AP458" i="1"/>
  <c r="AP459" i="1"/>
  <c r="AP460" i="1"/>
  <c r="AP461" i="1"/>
  <c r="AP462" i="1"/>
  <c r="AP463" i="1"/>
  <c r="AP464" i="1"/>
  <c r="AP465" i="1"/>
  <c r="AP466" i="1"/>
  <c r="AP467" i="1"/>
  <c r="AP468" i="1"/>
  <c r="AP469" i="1"/>
  <c r="AP470" i="1"/>
  <c r="AP471" i="1"/>
  <c r="AP472" i="1"/>
  <c r="AP473" i="1"/>
  <c r="AP474" i="1"/>
  <c r="AP475" i="1"/>
  <c r="AP476" i="1"/>
  <c r="AP477" i="1"/>
  <c r="AP478" i="1"/>
  <c r="AP479" i="1"/>
  <c r="AP480" i="1"/>
  <c r="AP481" i="1"/>
  <c r="AP482" i="1"/>
  <c r="AP483" i="1"/>
  <c r="AP484" i="1"/>
  <c r="AP485" i="1"/>
  <c r="AP486" i="1"/>
  <c r="AP487" i="1"/>
  <c r="AP488" i="1"/>
  <c r="AP489" i="1"/>
  <c r="AP490" i="1"/>
  <c r="AP491" i="1"/>
  <c r="AP492" i="1"/>
  <c r="AP493" i="1"/>
  <c r="AP494" i="1"/>
  <c r="AP495" i="1"/>
  <c r="AP496" i="1"/>
  <c r="AP497" i="1"/>
  <c r="AP498" i="1"/>
  <c r="AP499" i="1"/>
  <c r="AP500" i="1"/>
  <c r="AP501" i="1"/>
  <c r="AP502" i="1"/>
  <c r="AP503" i="1"/>
  <c r="AP504" i="1"/>
  <c r="AP505" i="1"/>
  <c r="AP506" i="1"/>
  <c r="AP507" i="1"/>
  <c r="AP508" i="1"/>
  <c r="AP509" i="1"/>
  <c r="AP510" i="1"/>
  <c r="AP511" i="1"/>
  <c r="AP512" i="1"/>
  <c r="AP513" i="1"/>
  <c r="AP514" i="1"/>
  <c r="AP515" i="1"/>
  <c r="AP516" i="1"/>
  <c r="AP517" i="1"/>
  <c r="AP518" i="1"/>
  <c r="AP519" i="1"/>
  <c r="AP520" i="1"/>
  <c r="AP521" i="1"/>
  <c r="AP522" i="1"/>
  <c r="AP523" i="1"/>
  <c r="AP524" i="1"/>
  <c r="AP525" i="1"/>
  <c r="AP526" i="1"/>
  <c r="AP527" i="1"/>
  <c r="AP528" i="1"/>
  <c r="AP529" i="1"/>
  <c r="AP530" i="1"/>
  <c r="AP531" i="1"/>
  <c r="AP532" i="1"/>
  <c r="AP533" i="1"/>
  <c r="AP534" i="1"/>
  <c r="AP535" i="1"/>
  <c r="AP536" i="1"/>
  <c r="AP537" i="1"/>
  <c r="AP538" i="1"/>
  <c r="AP539" i="1"/>
  <c r="AP540" i="1"/>
  <c r="AP541" i="1"/>
  <c r="AP542" i="1"/>
  <c r="AP543" i="1"/>
  <c r="AP544" i="1"/>
  <c r="AP545" i="1"/>
  <c r="AP546" i="1"/>
  <c r="AP547" i="1"/>
  <c r="AP548" i="1"/>
  <c r="AP549" i="1"/>
  <c r="AP550" i="1"/>
  <c r="AP551" i="1"/>
  <c r="AP552" i="1"/>
  <c r="AP553" i="1"/>
  <c r="AP554" i="1"/>
  <c r="AP555" i="1"/>
  <c r="AP556" i="1"/>
  <c r="AP557" i="1"/>
  <c r="AP558" i="1"/>
  <c r="AP559" i="1"/>
  <c r="AP560" i="1"/>
  <c r="AP561" i="1"/>
  <c r="AP562" i="1"/>
  <c r="AP563" i="1"/>
  <c r="AP564" i="1"/>
  <c r="AP565" i="1"/>
  <c r="AP566" i="1"/>
  <c r="AP567" i="1"/>
  <c r="AP568" i="1"/>
  <c r="AP569" i="1"/>
  <c r="AP570" i="1"/>
  <c r="AP571" i="1"/>
  <c r="AP572" i="1"/>
  <c r="AP573" i="1"/>
  <c r="AP574" i="1"/>
  <c r="AP575" i="1"/>
  <c r="AP576" i="1"/>
  <c r="AP577" i="1"/>
  <c r="AP578" i="1"/>
  <c r="AP579" i="1"/>
  <c r="AP580" i="1"/>
  <c r="AP581" i="1"/>
  <c r="AP582" i="1"/>
  <c r="AP583" i="1"/>
  <c r="AP584" i="1"/>
  <c r="AP585" i="1"/>
  <c r="AP586" i="1"/>
  <c r="AP587" i="1"/>
  <c r="AP588" i="1"/>
  <c r="AP589" i="1"/>
  <c r="AP590" i="1"/>
  <c r="AP591" i="1"/>
  <c r="AP592" i="1"/>
  <c r="AP593" i="1"/>
  <c r="AP594" i="1"/>
  <c r="AP595" i="1"/>
  <c r="AP596" i="1"/>
  <c r="AP597" i="1"/>
  <c r="AP598" i="1"/>
  <c r="AP599" i="1"/>
  <c r="AP600" i="1"/>
  <c r="AP601" i="1"/>
  <c r="AP602" i="1"/>
  <c r="AP603" i="1"/>
  <c r="AP604" i="1"/>
  <c r="AP605" i="1"/>
  <c r="AP606" i="1"/>
  <c r="AP607" i="1"/>
  <c r="AP608" i="1"/>
  <c r="AP609" i="1"/>
  <c r="AP610" i="1"/>
  <c r="AP611" i="1"/>
  <c r="AP612" i="1"/>
  <c r="AP613" i="1"/>
  <c r="AP614" i="1"/>
  <c r="AP615" i="1"/>
  <c r="AP616" i="1"/>
  <c r="AP617" i="1"/>
  <c r="AP618" i="1"/>
  <c r="AP619" i="1"/>
  <c r="AP620" i="1"/>
  <c r="AP621" i="1"/>
  <c r="AP622" i="1"/>
  <c r="AP623" i="1"/>
  <c r="AP624" i="1"/>
  <c r="AP625" i="1"/>
  <c r="AP626" i="1"/>
  <c r="AP627" i="1"/>
  <c r="AP628" i="1"/>
  <c r="AP629" i="1"/>
  <c r="AP630" i="1"/>
  <c r="AP631" i="1"/>
  <c r="AP632" i="1"/>
  <c r="AP633" i="1"/>
  <c r="AP634" i="1"/>
  <c r="AP635" i="1"/>
  <c r="AP636" i="1"/>
  <c r="AP637" i="1"/>
  <c r="AP638" i="1"/>
  <c r="AP639" i="1"/>
  <c r="AP640" i="1"/>
  <c r="AP641" i="1"/>
  <c r="AP642" i="1"/>
  <c r="AP643" i="1"/>
  <c r="AP644" i="1"/>
  <c r="AP645" i="1"/>
  <c r="AP646" i="1"/>
  <c r="AP647" i="1"/>
  <c r="AP648" i="1"/>
  <c r="AP649" i="1"/>
  <c r="AP650" i="1"/>
  <c r="AP651" i="1"/>
  <c r="AP652" i="1"/>
  <c r="AP653" i="1"/>
  <c r="AP654" i="1"/>
  <c r="AP655" i="1"/>
  <c r="AP656" i="1"/>
  <c r="AP657" i="1"/>
  <c r="AP658" i="1"/>
  <c r="AP659" i="1"/>
  <c r="AP660" i="1"/>
  <c r="AP661" i="1"/>
  <c r="AP662" i="1"/>
  <c r="AP663" i="1"/>
  <c r="AP664" i="1"/>
  <c r="AP665" i="1"/>
  <c r="AP666" i="1"/>
  <c r="AP667" i="1"/>
  <c r="AP668" i="1"/>
  <c r="AP669" i="1"/>
  <c r="AP670" i="1"/>
  <c r="AP671" i="1"/>
  <c r="AP672" i="1"/>
  <c r="AP673" i="1"/>
  <c r="AP674" i="1"/>
  <c r="AP675" i="1"/>
  <c r="AP676" i="1"/>
  <c r="AP677" i="1"/>
  <c r="AP678" i="1"/>
  <c r="AP679" i="1"/>
  <c r="AP680" i="1"/>
  <c r="AP681" i="1"/>
  <c r="AP682" i="1"/>
  <c r="AP683" i="1"/>
  <c r="AP684" i="1"/>
  <c r="AP685" i="1"/>
  <c r="AP686" i="1"/>
  <c r="AP687" i="1"/>
  <c r="AP688" i="1"/>
  <c r="AP689" i="1"/>
  <c r="AP690" i="1"/>
  <c r="AP691" i="1"/>
  <c r="AP692" i="1"/>
  <c r="AP693" i="1"/>
  <c r="AP694" i="1"/>
  <c r="AP695" i="1"/>
  <c r="AP696" i="1"/>
  <c r="AP697" i="1"/>
  <c r="AP698" i="1"/>
  <c r="AP699" i="1"/>
  <c r="AP700" i="1"/>
  <c r="AP701" i="1"/>
  <c r="AP702" i="1"/>
  <c r="AP703" i="1"/>
  <c r="AP704" i="1"/>
  <c r="AP705" i="1"/>
  <c r="AP706" i="1"/>
  <c r="AP707" i="1"/>
  <c r="AP708" i="1"/>
  <c r="AP709" i="1"/>
  <c r="AP710" i="1"/>
  <c r="AP711" i="1"/>
  <c r="AP712" i="1"/>
  <c r="AP713" i="1"/>
  <c r="AP714" i="1"/>
  <c r="AP715" i="1"/>
  <c r="AP716" i="1"/>
  <c r="AP717" i="1"/>
  <c r="AP718" i="1"/>
  <c r="AP719" i="1"/>
  <c r="AP720" i="1"/>
  <c r="AP721" i="1"/>
  <c r="AP722" i="1"/>
  <c r="AP723" i="1"/>
  <c r="AP724" i="1"/>
  <c r="AP725" i="1"/>
  <c r="AP726" i="1"/>
  <c r="AP727" i="1"/>
  <c r="AP728" i="1"/>
  <c r="AP729" i="1"/>
  <c r="AP730" i="1"/>
  <c r="AP731" i="1"/>
  <c r="AP732" i="1"/>
  <c r="AP733" i="1"/>
  <c r="AP734" i="1"/>
  <c r="AP735" i="1"/>
  <c r="AP736" i="1"/>
  <c r="AP737" i="1"/>
  <c r="AP738" i="1"/>
  <c r="AP739" i="1"/>
  <c r="AP740" i="1"/>
  <c r="AP741" i="1"/>
  <c r="AP742" i="1"/>
  <c r="AP743" i="1"/>
  <c r="AP744" i="1"/>
  <c r="AP745" i="1"/>
  <c r="AP746" i="1"/>
  <c r="AP747" i="1"/>
  <c r="AP748" i="1"/>
  <c r="AP749" i="1"/>
  <c r="AP750" i="1"/>
  <c r="AP751" i="1"/>
  <c r="AP752" i="1"/>
  <c r="AP753" i="1"/>
  <c r="AP754" i="1"/>
  <c r="AP755" i="1"/>
  <c r="AP756" i="1"/>
  <c r="AP757" i="1"/>
  <c r="AP758" i="1"/>
  <c r="AP759" i="1"/>
  <c r="AP760" i="1"/>
  <c r="AP761" i="1"/>
  <c r="AP762" i="1"/>
  <c r="AP763" i="1"/>
  <c r="AP764" i="1"/>
  <c r="AP765" i="1"/>
  <c r="AP766" i="1"/>
  <c r="AP767" i="1"/>
  <c r="AP768" i="1"/>
  <c r="AP769" i="1"/>
  <c r="AP770" i="1"/>
  <c r="AP771" i="1"/>
  <c r="AP772" i="1"/>
  <c r="AP773" i="1"/>
  <c r="AP774" i="1"/>
  <c r="AP775" i="1"/>
  <c r="AP776" i="1"/>
  <c r="AP777" i="1"/>
  <c r="AP778" i="1"/>
  <c r="AP779" i="1"/>
  <c r="AP780" i="1"/>
  <c r="AP781" i="1"/>
  <c r="AP782" i="1"/>
  <c r="AP783" i="1"/>
  <c r="AP784" i="1"/>
  <c r="AP785" i="1"/>
  <c r="AP786" i="1"/>
  <c r="AP787" i="1"/>
  <c r="AP788" i="1"/>
  <c r="AP789" i="1"/>
  <c r="AP790" i="1"/>
  <c r="AP791" i="1"/>
  <c r="AP792" i="1"/>
  <c r="AP793" i="1"/>
  <c r="AP794" i="1"/>
  <c r="AP795" i="1"/>
  <c r="AP796" i="1"/>
  <c r="AP797" i="1"/>
  <c r="AP798" i="1"/>
  <c r="AP799" i="1"/>
  <c r="AP800" i="1"/>
  <c r="AP801" i="1"/>
  <c r="AP802" i="1"/>
  <c r="AP803" i="1"/>
  <c r="AP804" i="1"/>
  <c r="AP805" i="1"/>
  <c r="AP806" i="1"/>
  <c r="AP807" i="1"/>
  <c r="AP808" i="1"/>
  <c r="AP809" i="1"/>
  <c r="AP810" i="1"/>
  <c r="AP811" i="1"/>
  <c r="AP812" i="1"/>
  <c r="AP813" i="1"/>
  <c r="AP814" i="1"/>
  <c r="AP815" i="1"/>
  <c r="AP816" i="1"/>
  <c r="AP817" i="1"/>
  <c r="AP818" i="1"/>
  <c r="AP819" i="1"/>
  <c r="AP820" i="1"/>
  <c r="AP821" i="1"/>
  <c r="AP822" i="1"/>
  <c r="AP823" i="1"/>
  <c r="AP824" i="1"/>
  <c r="AP825" i="1"/>
  <c r="AP826" i="1"/>
  <c r="AP827" i="1"/>
  <c r="AP828" i="1"/>
  <c r="AP829" i="1"/>
  <c r="AP830" i="1"/>
  <c r="AP831" i="1"/>
  <c r="AP832" i="1"/>
  <c r="AP833" i="1"/>
  <c r="AP834" i="1"/>
  <c r="AP835" i="1"/>
  <c r="AP836" i="1"/>
  <c r="AP837" i="1"/>
  <c r="AP838" i="1"/>
  <c r="AP839" i="1"/>
  <c r="AP840" i="1"/>
  <c r="AP841" i="1"/>
  <c r="AP842" i="1"/>
  <c r="AP843" i="1"/>
  <c r="AP844" i="1"/>
  <c r="AP845" i="1"/>
  <c r="AP846" i="1"/>
  <c r="AP847" i="1"/>
  <c r="AP848" i="1"/>
  <c r="AP849" i="1"/>
  <c r="AP850" i="1"/>
  <c r="AP851" i="1"/>
  <c r="AP852" i="1"/>
  <c r="AP853" i="1"/>
  <c r="AP854" i="1"/>
  <c r="AP855" i="1"/>
  <c r="AP856" i="1"/>
  <c r="AP857" i="1"/>
  <c r="AP858" i="1"/>
  <c r="AP859" i="1"/>
  <c r="AP860" i="1"/>
  <c r="AP861" i="1"/>
  <c r="AP862" i="1"/>
  <c r="AP863" i="1"/>
  <c r="AP864" i="1"/>
  <c r="AP865" i="1"/>
  <c r="AP866" i="1"/>
  <c r="AP867" i="1"/>
  <c r="AP868" i="1"/>
  <c r="AP869" i="1"/>
  <c r="AP870" i="1"/>
  <c r="AP871" i="1"/>
  <c r="AP872" i="1"/>
  <c r="AP873" i="1"/>
  <c r="AP874" i="1"/>
  <c r="AP875" i="1"/>
  <c r="AP876" i="1"/>
  <c r="AP877" i="1"/>
  <c r="AP878" i="1"/>
  <c r="AP879" i="1"/>
  <c r="AP880" i="1"/>
  <c r="AP881" i="1"/>
  <c r="AP882" i="1"/>
  <c r="AP883" i="1"/>
  <c r="AP884" i="1"/>
  <c r="AP885" i="1"/>
  <c r="AP886" i="1"/>
  <c r="AP887" i="1"/>
  <c r="AP888" i="1"/>
  <c r="AP889" i="1"/>
  <c r="AP890" i="1"/>
  <c r="AP891" i="1"/>
  <c r="AP892" i="1"/>
  <c r="AP893" i="1"/>
  <c r="AP894" i="1"/>
  <c r="AP895" i="1"/>
  <c r="AP896" i="1"/>
  <c r="AP897" i="1"/>
  <c r="AP898" i="1"/>
  <c r="AP899" i="1"/>
  <c r="AP900" i="1"/>
  <c r="AP901" i="1"/>
  <c r="AP902" i="1"/>
  <c r="AP903" i="1"/>
  <c r="AP904" i="1"/>
  <c r="AP905" i="1"/>
  <c r="AP906" i="1"/>
  <c r="AP907" i="1"/>
  <c r="AP908" i="1"/>
  <c r="AP909" i="1"/>
  <c r="AP910" i="1"/>
  <c r="AP911" i="1"/>
  <c r="AP912" i="1"/>
  <c r="AP913" i="1"/>
  <c r="AP914" i="1"/>
  <c r="AP915" i="1"/>
  <c r="AP916" i="1"/>
  <c r="AP917" i="1"/>
  <c r="AP918" i="1"/>
  <c r="AP919" i="1"/>
  <c r="AP920" i="1"/>
  <c r="AP921" i="1"/>
  <c r="AP922" i="1"/>
  <c r="AP923" i="1"/>
  <c r="AP924" i="1"/>
  <c r="AP925" i="1"/>
  <c r="AP926" i="1"/>
  <c r="AP927" i="1"/>
  <c r="AP928" i="1"/>
  <c r="AP929" i="1"/>
  <c r="AP930" i="1"/>
  <c r="AP931" i="1"/>
  <c r="AP932" i="1"/>
  <c r="AP933" i="1"/>
  <c r="AP934" i="1"/>
  <c r="AP935" i="1"/>
  <c r="AP936" i="1"/>
  <c r="AP937" i="1"/>
  <c r="AP938" i="1"/>
  <c r="AP939" i="1"/>
  <c r="AP940" i="1"/>
  <c r="AP941" i="1"/>
  <c r="AP942" i="1"/>
  <c r="AP943" i="1"/>
  <c r="AP944" i="1"/>
  <c r="AP945" i="1"/>
  <c r="AP946" i="1"/>
  <c r="AP947" i="1"/>
  <c r="AP948" i="1"/>
  <c r="AP949" i="1"/>
  <c r="AP950" i="1"/>
  <c r="AP951" i="1"/>
  <c r="AP952" i="1"/>
  <c r="AP953" i="1"/>
  <c r="AP954" i="1"/>
  <c r="AP955" i="1"/>
  <c r="AP956" i="1"/>
  <c r="AP957" i="1"/>
  <c r="AP958" i="1"/>
  <c r="AP959" i="1"/>
  <c r="AP960" i="1"/>
  <c r="AP961" i="1"/>
  <c r="AP962" i="1"/>
  <c r="AP963" i="1"/>
  <c r="AP964" i="1"/>
  <c r="AP965" i="1"/>
  <c r="AP966" i="1"/>
  <c r="AP967" i="1"/>
  <c r="AP968" i="1"/>
  <c r="AP969" i="1"/>
  <c r="AP970" i="1"/>
  <c r="AP971" i="1"/>
  <c r="AP972" i="1"/>
  <c r="AP973" i="1"/>
  <c r="AP974" i="1"/>
  <c r="AP975" i="1"/>
  <c r="AP976" i="1"/>
  <c r="AP977" i="1"/>
  <c r="AP978" i="1"/>
  <c r="AP979" i="1"/>
  <c r="AP980" i="1"/>
  <c r="AP981" i="1"/>
  <c r="AP982" i="1"/>
  <c r="AP983" i="1"/>
  <c r="AP984" i="1"/>
  <c r="AP985" i="1"/>
  <c r="AP986" i="1"/>
  <c r="AP987" i="1"/>
  <c r="AP988" i="1"/>
  <c r="AP989" i="1"/>
  <c r="AP990" i="1"/>
  <c r="AP991" i="1"/>
  <c r="AP992" i="1"/>
  <c r="AP993" i="1"/>
  <c r="AP994" i="1"/>
  <c r="AP995" i="1"/>
  <c r="AP996" i="1"/>
  <c r="AP997" i="1"/>
  <c r="AP998" i="1"/>
  <c r="AP999" i="1"/>
  <c r="AP1000" i="1"/>
  <c r="AP1001" i="1"/>
  <c r="AP1002" i="1"/>
  <c r="AP1003" i="1"/>
  <c r="AP1004" i="1"/>
  <c r="AP1005" i="1"/>
  <c r="AP1006" i="1"/>
  <c r="AP1007" i="1"/>
  <c r="AP1008" i="1"/>
  <c r="AP1009" i="1"/>
  <c r="AP1010" i="1"/>
  <c r="AP1011" i="1"/>
  <c r="AP1012" i="1"/>
  <c r="AP1013" i="1"/>
  <c r="AP1014" i="1"/>
  <c r="AP1015" i="1"/>
  <c r="AP1016" i="1"/>
  <c r="AP1017" i="1"/>
  <c r="AP1018" i="1"/>
  <c r="AP1019" i="1"/>
  <c r="AP1020" i="1"/>
  <c r="AP1021" i="1"/>
  <c r="AP1022" i="1"/>
  <c r="AP1023" i="1"/>
  <c r="AP1024" i="1"/>
  <c r="AP1025" i="1"/>
  <c r="AP1026" i="1"/>
  <c r="AP1027" i="1"/>
  <c r="AP1028" i="1"/>
  <c r="AP1029" i="1"/>
  <c r="AP1030" i="1"/>
  <c r="AP1031" i="1"/>
  <c r="AP1032" i="1"/>
  <c r="AP1033" i="1"/>
  <c r="AP1034" i="1"/>
  <c r="AP1035" i="1"/>
  <c r="AP1036" i="1"/>
  <c r="AP1037" i="1"/>
  <c r="AP1038" i="1"/>
  <c r="AP1039" i="1"/>
  <c r="AP1040" i="1"/>
  <c r="AP1041" i="1"/>
  <c r="AP1042" i="1"/>
  <c r="AP1043" i="1"/>
  <c r="AP1044" i="1"/>
  <c r="AP1045" i="1"/>
  <c r="AP1046" i="1"/>
  <c r="AP1047" i="1"/>
  <c r="AP1048" i="1"/>
  <c r="AP1049" i="1"/>
  <c r="AP1050" i="1"/>
  <c r="AP1051" i="1"/>
  <c r="AP1052" i="1"/>
  <c r="AP1053" i="1"/>
  <c r="AP1054" i="1"/>
  <c r="AP1055" i="1"/>
  <c r="AP1056" i="1"/>
  <c r="AP1057" i="1"/>
  <c r="AP1058" i="1"/>
  <c r="AP1059" i="1"/>
  <c r="AP1060" i="1"/>
  <c r="AP1061" i="1"/>
  <c r="AP1062" i="1"/>
  <c r="AP1063" i="1"/>
  <c r="AP1064" i="1"/>
  <c r="AP1065" i="1"/>
  <c r="AP1066" i="1"/>
  <c r="AP1067" i="1"/>
  <c r="AP1068" i="1"/>
  <c r="AP1069" i="1"/>
  <c r="AP1070" i="1"/>
  <c r="AP1071" i="1"/>
  <c r="AP1072" i="1"/>
  <c r="AP1073" i="1"/>
  <c r="AP1074" i="1"/>
  <c r="AP1075" i="1"/>
  <c r="AP1076" i="1"/>
  <c r="AP1077" i="1"/>
  <c r="AP1078" i="1"/>
  <c r="AP1079" i="1"/>
  <c r="AP1080" i="1"/>
  <c r="AP1081" i="1"/>
  <c r="AP1082" i="1"/>
  <c r="AP1083" i="1"/>
  <c r="AP1084" i="1"/>
  <c r="AP1085" i="1"/>
  <c r="AP1086" i="1"/>
  <c r="AP1087" i="1"/>
  <c r="AP1088" i="1"/>
  <c r="AP1089" i="1"/>
  <c r="AP1090" i="1"/>
  <c r="AP1091" i="1"/>
  <c r="AP1092" i="1"/>
  <c r="AP1093" i="1"/>
  <c r="AP1094" i="1"/>
  <c r="AP1095" i="1"/>
  <c r="AP1096" i="1"/>
  <c r="AP1097" i="1"/>
  <c r="AP1098" i="1"/>
  <c r="AP1099" i="1"/>
  <c r="AP1100" i="1"/>
  <c r="AP1101" i="1"/>
  <c r="AP1102" i="1"/>
  <c r="AP1103" i="1"/>
  <c r="AP1104" i="1"/>
  <c r="AP1105" i="1"/>
  <c r="AP1106" i="1"/>
  <c r="AP1107" i="1"/>
  <c r="AP1108" i="1"/>
  <c r="AP1109" i="1"/>
  <c r="AP1110" i="1"/>
  <c r="AP1111" i="1"/>
  <c r="AP1112" i="1"/>
  <c r="AP1113" i="1"/>
  <c r="AP1114" i="1"/>
  <c r="AP1115" i="1"/>
  <c r="AP1116" i="1"/>
  <c r="AP1117" i="1"/>
  <c r="AP1118" i="1"/>
  <c r="AP1119" i="1"/>
  <c r="AP1120" i="1"/>
  <c r="AP1121" i="1"/>
  <c r="AP1122" i="1"/>
  <c r="AP1123" i="1"/>
  <c r="AP1124" i="1"/>
  <c r="AP1125" i="1"/>
  <c r="AP1126" i="1"/>
  <c r="AP1127" i="1"/>
  <c r="AP1128" i="1"/>
  <c r="AP1129" i="1"/>
  <c r="AP1130" i="1"/>
  <c r="AP1131" i="1"/>
  <c r="AP1132" i="1"/>
  <c r="AP1133" i="1"/>
  <c r="AP1134" i="1"/>
  <c r="AP1135" i="1"/>
  <c r="AP1136" i="1"/>
  <c r="AP1137" i="1"/>
  <c r="AP1138" i="1"/>
  <c r="AP1139" i="1"/>
  <c r="AP1140" i="1"/>
  <c r="AP1141" i="1"/>
  <c r="AP1142" i="1"/>
  <c r="AP1143" i="1"/>
  <c r="AP1144" i="1"/>
  <c r="AP1145" i="1"/>
  <c r="AP1146" i="1"/>
  <c r="AP1147" i="1"/>
  <c r="AP1148" i="1"/>
  <c r="AP1149" i="1"/>
  <c r="AP1150" i="1"/>
  <c r="AP1151" i="1"/>
  <c r="AP1152" i="1"/>
  <c r="AP1153" i="1"/>
  <c r="AP1154" i="1"/>
  <c r="AP1155" i="1"/>
  <c r="AP1156" i="1"/>
  <c r="AP1157" i="1"/>
  <c r="AP1158" i="1"/>
  <c r="AP1159" i="1"/>
  <c r="AP1160" i="1"/>
  <c r="AP1161" i="1"/>
  <c r="AP1162" i="1"/>
  <c r="AP1163" i="1"/>
  <c r="AP1164" i="1"/>
  <c r="AP1165" i="1"/>
  <c r="AP1166" i="1"/>
  <c r="AP1167" i="1"/>
  <c r="AP1168" i="1"/>
  <c r="AP1169" i="1"/>
  <c r="AP1170" i="1"/>
  <c r="AP1171" i="1"/>
  <c r="AP1172" i="1"/>
  <c r="AP1173" i="1"/>
  <c r="AP1174" i="1"/>
  <c r="AP1175" i="1"/>
  <c r="AP1176" i="1"/>
  <c r="AP1177" i="1"/>
  <c r="AP1178" i="1"/>
  <c r="AP1179" i="1"/>
  <c r="AP1180" i="1"/>
  <c r="AP1181" i="1"/>
  <c r="AP1182" i="1"/>
  <c r="AP1183" i="1"/>
  <c r="AP1184" i="1"/>
  <c r="AP1185" i="1"/>
  <c r="AP1186" i="1"/>
  <c r="AP1187" i="1"/>
  <c r="AP1188" i="1"/>
  <c r="AP1189" i="1"/>
  <c r="AP1190" i="1"/>
  <c r="AP1191" i="1"/>
  <c r="AP1192" i="1"/>
  <c r="AP1193" i="1"/>
  <c r="AP1194" i="1"/>
  <c r="AP1195" i="1"/>
  <c r="AP1196" i="1"/>
  <c r="AP1197" i="1"/>
  <c r="AP1198" i="1"/>
  <c r="AP1199" i="1"/>
  <c r="AP1200" i="1"/>
  <c r="AP1201" i="1"/>
  <c r="AP1202" i="1"/>
  <c r="AP1203" i="1"/>
  <c r="AP1204" i="1"/>
  <c r="AP1205" i="1"/>
  <c r="AP1206" i="1"/>
  <c r="AP1207" i="1"/>
  <c r="AP1208" i="1"/>
  <c r="AP1209" i="1"/>
  <c r="AP1210" i="1"/>
  <c r="AP1211" i="1"/>
  <c r="AP1212" i="1"/>
  <c r="AP1213" i="1"/>
  <c r="AP1214" i="1"/>
  <c r="AP1215" i="1"/>
  <c r="AP1216" i="1"/>
  <c r="AP1217" i="1"/>
  <c r="AP1218" i="1"/>
  <c r="AP1219" i="1"/>
  <c r="AP1220" i="1"/>
  <c r="AP1221" i="1"/>
  <c r="AP1222" i="1"/>
  <c r="AP1223" i="1"/>
  <c r="AP1224" i="1"/>
  <c r="AP1225" i="1"/>
  <c r="AP1226" i="1"/>
  <c r="AP1227" i="1"/>
  <c r="AP1228" i="1"/>
  <c r="AP1229" i="1"/>
  <c r="AP1230" i="1"/>
  <c r="AP1231" i="1"/>
  <c r="AP1232" i="1"/>
  <c r="AP1233" i="1"/>
  <c r="AP1234" i="1"/>
  <c r="AP1235" i="1"/>
  <c r="AP1236" i="1"/>
  <c r="AP1237" i="1"/>
  <c r="AP1238" i="1"/>
  <c r="AP1239" i="1"/>
  <c r="AP1240" i="1"/>
  <c r="AP1241" i="1"/>
  <c r="AP1242" i="1"/>
  <c r="AP1243" i="1"/>
  <c r="AP1244" i="1"/>
  <c r="AP1245" i="1"/>
  <c r="AP1246" i="1"/>
  <c r="AP1247" i="1"/>
  <c r="AP1248" i="1"/>
  <c r="AP1249" i="1"/>
  <c r="AP1250" i="1"/>
  <c r="AP1251" i="1"/>
  <c r="AP1252" i="1"/>
  <c r="AP1253" i="1"/>
  <c r="AP1254" i="1"/>
  <c r="AP1255" i="1"/>
  <c r="AP1256" i="1"/>
  <c r="AP1257" i="1"/>
  <c r="AP1258" i="1"/>
  <c r="AP1259" i="1"/>
  <c r="AP1260" i="1"/>
  <c r="AP1261" i="1"/>
  <c r="AP1262" i="1"/>
  <c r="AP1263" i="1"/>
  <c r="AP1264" i="1"/>
  <c r="AP1265" i="1"/>
  <c r="AP1266" i="1"/>
  <c r="AP1267" i="1"/>
  <c r="AP1268" i="1"/>
  <c r="AP1269" i="1"/>
  <c r="AP1270" i="1"/>
  <c r="AP1271" i="1"/>
  <c r="AP1272" i="1"/>
  <c r="AP1273" i="1"/>
  <c r="AP1274" i="1"/>
  <c r="AP1275" i="1"/>
  <c r="AP1276" i="1"/>
  <c r="AP1277" i="1"/>
  <c r="AP1278" i="1"/>
  <c r="AP1279" i="1"/>
  <c r="AP1280" i="1"/>
  <c r="AP1281" i="1"/>
  <c r="AP1282" i="1"/>
  <c r="AP1283" i="1"/>
  <c r="AP1284" i="1"/>
  <c r="AP1285" i="1"/>
  <c r="AP1286" i="1"/>
  <c r="AP1287" i="1"/>
  <c r="AP1288" i="1"/>
  <c r="AP1289" i="1"/>
  <c r="AP1290" i="1"/>
  <c r="AP1291" i="1"/>
  <c r="AP1292" i="1"/>
  <c r="AP1293" i="1"/>
  <c r="AP1294" i="1"/>
  <c r="AP1295" i="1"/>
  <c r="AP1296" i="1"/>
  <c r="AP1297" i="1"/>
  <c r="AP1298" i="1"/>
  <c r="AP1299" i="1"/>
  <c r="AP1300" i="1"/>
  <c r="AP1301" i="1"/>
  <c r="AP1302" i="1"/>
  <c r="AP1303" i="1"/>
  <c r="AP1304" i="1"/>
  <c r="AP1305" i="1"/>
  <c r="AP1306" i="1"/>
  <c r="AP1307" i="1"/>
  <c r="AP1308" i="1"/>
  <c r="AP1309" i="1"/>
  <c r="AP1310" i="1"/>
  <c r="AP1311" i="1"/>
  <c r="AP1312" i="1"/>
  <c r="AP1313" i="1"/>
  <c r="AP1314" i="1"/>
  <c r="AP1315" i="1"/>
  <c r="AP1316" i="1"/>
  <c r="AP1317" i="1"/>
  <c r="AP1318" i="1"/>
  <c r="AP1319" i="1"/>
  <c r="AP1320" i="1"/>
  <c r="AP1321" i="1"/>
  <c r="AP1322" i="1"/>
  <c r="AP1323" i="1"/>
  <c r="AP1324" i="1"/>
  <c r="AP1325" i="1"/>
  <c r="AP1326" i="1"/>
  <c r="AP1327" i="1"/>
  <c r="AP1328" i="1"/>
  <c r="AP1329" i="1"/>
  <c r="AP1330" i="1"/>
  <c r="AP1331" i="1"/>
  <c r="AP1332" i="1"/>
  <c r="AP1333" i="1"/>
  <c r="AP1334" i="1"/>
  <c r="AP1335" i="1"/>
  <c r="AP1336" i="1"/>
  <c r="AP1337" i="1"/>
  <c r="AP1338" i="1"/>
  <c r="AP1339" i="1"/>
  <c r="AP1340" i="1"/>
  <c r="AP1341" i="1"/>
  <c r="AP1342" i="1"/>
  <c r="AP1343" i="1"/>
  <c r="AP1344" i="1"/>
  <c r="AP1345" i="1"/>
  <c r="AP1346" i="1"/>
  <c r="AP1347" i="1"/>
  <c r="AP1348" i="1"/>
  <c r="AP1349" i="1"/>
  <c r="AP1350" i="1"/>
  <c r="AP1351" i="1"/>
  <c r="AP1352" i="1"/>
  <c r="AP1353" i="1"/>
  <c r="AP1354" i="1"/>
  <c r="AP1355" i="1"/>
  <c r="AP1356" i="1"/>
  <c r="AP1357" i="1"/>
  <c r="AP1358" i="1"/>
  <c r="AP1359" i="1"/>
  <c r="AP1360" i="1"/>
  <c r="AP1361" i="1"/>
  <c r="AP1362" i="1"/>
  <c r="AP1363" i="1"/>
  <c r="AP1364" i="1"/>
  <c r="AP1365" i="1"/>
  <c r="AP1366" i="1"/>
  <c r="AP1367" i="1"/>
  <c r="AP1368" i="1"/>
  <c r="AP1369" i="1"/>
  <c r="AP1370" i="1"/>
  <c r="AP1371" i="1"/>
  <c r="AP1372" i="1"/>
  <c r="AP1373" i="1"/>
  <c r="AP1374" i="1"/>
  <c r="AP1375" i="1"/>
  <c r="AP1376" i="1"/>
  <c r="AP1377" i="1"/>
  <c r="AP1378" i="1"/>
  <c r="AP1379" i="1"/>
  <c r="AP1380" i="1"/>
  <c r="AP1381" i="1"/>
  <c r="AP1382" i="1"/>
  <c r="AP1383" i="1"/>
  <c r="AP1384" i="1"/>
  <c r="AP1385" i="1"/>
  <c r="AP1386" i="1"/>
  <c r="AP1387" i="1"/>
  <c r="AP1388" i="1"/>
  <c r="AP1389" i="1"/>
  <c r="AP1390" i="1"/>
  <c r="AP1391" i="1"/>
  <c r="AP1392" i="1"/>
  <c r="AP1393" i="1"/>
  <c r="AP1394" i="1"/>
  <c r="AP1395" i="1"/>
  <c r="AP1396" i="1"/>
  <c r="AP1397" i="1"/>
  <c r="AP1398" i="1"/>
  <c r="AP1399" i="1"/>
  <c r="AP1400" i="1"/>
  <c r="AP1401" i="1"/>
  <c r="AP1402" i="1"/>
  <c r="AP1403" i="1"/>
  <c r="AP1404" i="1"/>
  <c r="AP1405" i="1"/>
  <c r="AP1406" i="1"/>
  <c r="AP1407" i="1"/>
  <c r="AP1408" i="1"/>
  <c r="AP1409" i="1"/>
  <c r="AP1410" i="1"/>
  <c r="AP1411" i="1"/>
  <c r="AP1412" i="1"/>
  <c r="AP1413" i="1"/>
  <c r="AP1414" i="1"/>
  <c r="AP1415" i="1"/>
  <c r="AP1416" i="1"/>
  <c r="AP1417" i="1"/>
  <c r="AP1418" i="1"/>
  <c r="AP1419" i="1"/>
  <c r="AP1420" i="1"/>
  <c r="AP1421" i="1"/>
  <c r="AP1422" i="1"/>
  <c r="AP1423" i="1"/>
  <c r="AP1424" i="1"/>
  <c r="AP1425" i="1"/>
  <c r="AP1426" i="1"/>
  <c r="AP1427" i="1"/>
  <c r="AP1428" i="1"/>
  <c r="AP1429" i="1"/>
  <c r="AP1430" i="1"/>
  <c r="AP1431" i="1"/>
  <c r="AP1432" i="1"/>
  <c r="AP1433" i="1"/>
  <c r="AP1434" i="1"/>
  <c r="AP1435" i="1"/>
  <c r="AP1436" i="1"/>
  <c r="AP1437" i="1"/>
  <c r="AP1438" i="1"/>
  <c r="AP1439" i="1"/>
  <c r="AP1440" i="1"/>
  <c r="AP1441" i="1"/>
  <c r="AP1442" i="1"/>
  <c r="AP1443" i="1"/>
  <c r="AP1444" i="1"/>
  <c r="AP1445" i="1"/>
  <c r="AP1446" i="1"/>
  <c r="AP1447" i="1"/>
  <c r="AP1448" i="1"/>
  <c r="AP1449" i="1"/>
  <c r="AP1450" i="1"/>
  <c r="AP1451" i="1"/>
  <c r="AP1452" i="1"/>
  <c r="AP1453" i="1"/>
  <c r="AP1454" i="1"/>
  <c r="AP1455" i="1"/>
  <c r="AP1456" i="1"/>
  <c r="AP1457" i="1"/>
  <c r="AP1458" i="1"/>
  <c r="AP1459" i="1"/>
  <c r="AP1460" i="1"/>
  <c r="AP1461" i="1"/>
  <c r="AP1462" i="1"/>
  <c r="AP1463" i="1"/>
  <c r="AP1464" i="1"/>
  <c r="AP1465" i="1"/>
  <c r="AP1466" i="1"/>
  <c r="AP1467" i="1"/>
  <c r="AP1468" i="1"/>
  <c r="AP1469" i="1"/>
  <c r="AP1470" i="1"/>
  <c r="AP1471" i="1"/>
  <c r="AO2" i="1"/>
  <c r="AO3" i="1"/>
  <c r="AO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73" i="1"/>
  <c r="AO74" i="1"/>
  <c r="AO75" i="1"/>
  <c r="AO76" i="1"/>
  <c r="AO77" i="1"/>
  <c r="AO78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94" i="1"/>
  <c r="AO95" i="1"/>
  <c r="AO96" i="1"/>
  <c r="AO97" i="1"/>
  <c r="AO98" i="1"/>
  <c r="AO99" i="1"/>
  <c r="AO100" i="1"/>
  <c r="AO101" i="1"/>
  <c r="AO102" i="1"/>
  <c r="AO103" i="1"/>
  <c r="AO104" i="1"/>
  <c r="AO105" i="1"/>
  <c r="AO106" i="1"/>
  <c r="AO107" i="1"/>
  <c r="AO108" i="1"/>
  <c r="AO109" i="1"/>
  <c r="AO110" i="1"/>
  <c r="AO111" i="1"/>
  <c r="AO112" i="1"/>
  <c r="AO113" i="1"/>
  <c r="AO114" i="1"/>
  <c r="AO115" i="1"/>
  <c r="AO116" i="1"/>
  <c r="AO117" i="1"/>
  <c r="AO118" i="1"/>
  <c r="AO119" i="1"/>
  <c r="AO120" i="1"/>
  <c r="AO121" i="1"/>
  <c r="AO122" i="1"/>
  <c r="AO123" i="1"/>
  <c r="AO124" i="1"/>
  <c r="AO125" i="1"/>
  <c r="AO126" i="1"/>
  <c r="AO127" i="1"/>
  <c r="AO128" i="1"/>
  <c r="AO129" i="1"/>
  <c r="AO130" i="1"/>
  <c r="AO131" i="1"/>
  <c r="AO132" i="1"/>
  <c r="AO133" i="1"/>
  <c r="AO134" i="1"/>
  <c r="AO135" i="1"/>
  <c r="AO136" i="1"/>
  <c r="AO137" i="1"/>
  <c r="AO138" i="1"/>
  <c r="AO139" i="1"/>
  <c r="AO140" i="1"/>
  <c r="AO141" i="1"/>
  <c r="AO142" i="1"/>
  <c r="AO143" i="1"/>
  <c r="AO144" i="1"/>
  <c r="AO145" i="1"/>
  <c r="AO146" i="1"/>
  <c r="AO147" i="1"/>
  <c r="AO148" i="1"/>
  <c r="AO149" i="1"/>
  <c r="AO150" i="1"/>
  <c r="AO151" i="1"/>
  <c r="AO152" i="1"/>
  <c r="AO153" i="1"/>
  <c r="AO154" i="1"/>
  <c r="AO155" i="1"/>
  <c r="AO156" i="1"/>
  <c r="AO157" i="1"/>
  <c r="AO158" i="1"/>
  <c r="AO159" i="1"/>
  <c r="AO160" i="1"/>
  <c r="AO161" i="1"/>
  <c r="AO162" i="1"/>
  <c r="AO163" i="1"/>
  <c r="AO164" i="1"/>
  <c r="AO165" i="1"/>
  <c r="AO166" i="1"/>
  <c r="AO167" i="1"/>
  <c r="AO168" i="1"/>
  <c r="AO169" i="1"/>
  <c r="AO170" i="1"/>
  <c r="AO171" i="1"/>
  <c r="AO172" i="1"/>
  <c r="AO173" i="1"/>
  <c r="AO174" i="1"/>
  <c r="AO175" i="1"/>
  <c r="AO176" i="1"/>
  <c r="AO177" i="1"/>
  <c r="AO178" i="1"/>
  <c r="AO179" i="1"/>
  <c r="AO180" i="1"/>
  <c r="AO181" i="1"/>
  <c r="AO182" i="1"/>
  <c r="AO183" i="1"/>
  <c r="AO184" i="1"/>
  <c r="AO185" i="1"/>
  <c r="AO186" i="1"/>
  <c r="AO187" i="1"/>
  <c r="AO188" i="1"/>
  <c r="AO189" i="1"/>
  <c r="AO190" i="1"/>
  <c r="AO191" i="1"/>
  <c r="AO192" i="1"/>
  <c r="AO193" i="1"/>
  <c r="AO194" i="1"/>
  <c r="AO195" i="1"/>
  <c r="AO196" i="1"/>
  <c r="AO197" i="1"/>
  <c r="AO198" i="1"/>
  <c r="AO199" i="1"/>
  <c r="AO200" i="1"/>
  <c r="AO201" i="1"/>
  <c r="AO202" i="1"/>
  <c r="AO203" i="1"/>
  <c r="AO204" i="1"/>
  <c r="AO205" i="1"/>
  <c r="AO206" i="1"/>
  <c r="AO207" i="1"/>
  <c r="AO208" i="1"/>
  <c r="AO209" i="1"/>
  <c r="AO210" i="1"/>
  <c r="AO211" i="1"/>
  <c r="AO212" i="1"/>
  <c r="AO213" i="1"/>
  <c r="AO214" i="1"/>
  <c r="AO215" i="1"/>
  <c r="AO216" i="1"/>
  <c r="AO217" i="1"/>
  <c r="AO218" i="1"/>
  <c r="AO219" i="1"/>
  <c r="AO220" i="1"/>
  <c r="AO221" i="1"/>
  <c r="AO222" i="1"/>
  <c r="AO223" i="1"/>
  <c r="AO224" i="1"/>
  <c r="AO225" i="1"/>
  <c r="AO226" i="1"/>
  <c r="AO227" i="1"/>
  <c r="AO228" i="1"/>
  <c r="AO229" i="1"/>
  <c r="AO230" i="1"/>
  <c r="AO231" i="1"/>
  <c r="AO232" i="1"/>
  <c r="AO233" i="1"/>
  <c r="AO234" i="1"/>
  <c r="AO235" i="1"/>
  <c r="AO236" i="1"/>
  <c r="AO237" i="1"/>
  <c r="AO238" i="1"/>
  <c r="AO239" i="1"/>
  <c r="AO240" i="1"/>
  <c r="AO241" i="1"/>
  <c r="AO242" i="1"/>
  <c r="AO243" i="1"/>
  <c r="AO244" i="1"/>
  <c r="AO245" i="1"/>
  <c r="AO246" i="1"/>
  <c r="AO247" i="1"/>
  <c r="AO248" i="1"/>
  <c r="AO249" i="1"/>
  <c r="AO250" i="1"/>
  <c r="AO251" i="1"/>
  <c r="AO252" i="1"/>
  <c r="AO253" i="1"/>
  <c r="AO254" i="1"/>
  <c r="AO255" i="1"/>
  <c r="AO256" i="1"/>
  <c r="AO257" i="1"/>
  <c r="AO258" i="1"/>
  <c r="AO259" i="1"/>
  <c r="AO260" i="1"/>
  <c r="AO261" i="1"/>
  <c r="AO262" i="1"/>
  <c r="AO263" i="1"/>
  <c r="AO264" i="1"/>
  <c r="AO265" i="1"/>
  <c r="AO266" i="1"/>
  <c r="AO267" i="1"/>
  <c r="AO268" i="1"/>
  <c r="AO269" i="1"/>
  <c r="AO270" i="1"/>
  <c r="AO271" i="1"/>
  <c r="AO272" i="1"/>
  <c r="AO273" i="1"/>
  <c r="AO274" i="1"/>
  <c r="AO275" i="1"/>
  <c r="AO276" i="1"/>
  <c r="AO277" i="1"/>
  <c r="AO278" i="1"/>
  <c r="AO279" i="1"/>
  <c r="AO280" i="1"/>
  <c r="AO281" i="1"/>
  <c r="AO282" i="1"/>
  <c r="AO283" i="1"/>
  <c r="AO284" i="1"/>
  <c r="AO285" i="1"/>
  <c r="AO286" i="1"/>
  <c r="AO287" i="1"/>
  <c r="AO288" i="1"/>
  <c r="AO289" i="1"/>
  <c r="AO290" i="1"/>
  <c r="AO291" i="1"/>
  <c r="AO292" i="1"/>
  <c r="AO293" i="1"/>
  <c r="AO294" i="1"/>
  <c r="AO295" i="1"/>
  <c r="AO296" i="1"/>
  <c r="AO297" i="1"/>
  <c r="AO298" i="1"/>
  <c r="AO299" i="1"/>
  <c r="AO300" i="1"/>
  <c r="AO301" i="1"/>
  <c r="AO302" i="1"/>
  <c r="AO303" i="1"/>
  <c r="AO304" i="1"/>
  <c r="AO305" i="1"/>
  <c r="AO306" i="1"/>
  <c r="AO307" i="1"/>
  <c r="AO308" i="1"/>
  <c r="AO309" i="1"/>
  <c r="AO310" i="1"/>
  <c r="AO311" i="1"/>
  <c r="AO312" i="1"/>
  <c r="AO313" i="1"/>
  <c r="AO314" i="1"/>
  <c r="AO315" i="1"/>
  <c r="AO316" i="1"/>
  <c r="AO317" i="1"/>
  <c r="AO318" i="1"/>
  <c r="AO319" i="1"/>
  <c r="AO320" i="1"/>
  <c r="AO321" i="1"/>
  <c r="AO322" i="1"/>
  <c r="AO323" i="1"/>
  <c r="AO324" i="1"/>
  <c r="AO325" i="1"/>
  <c r="AO326" i="1"/>
  <c r="AO327" i="1"/>
  <c r="AO328" i="1"/>
  <c r="AO329" i="1"/>
  <c r="AO330" i="1"/>
  <c r="AO331" i="1"/>
  <c r="AO332" i="1"/>
  <c r="AO333" i="1"/>
  <c r="AO334" i="1"/>
  <c r="AO335" i="1"/>
  <c r="AO336" i="1"/>
  <c r="AO337" i="1"/>
  <c r="AO338" i="1"/>
  <c r="AO339" i="1"/>
  <c r="AO340" i="1"/>
  <c r="AO341" i="1"/>
  <c r="AO342" i="1"/>
  <c r="AO343" i="1"/>
  <c r="AO344" i="1"/>
  <c r="AO345" i="1"/>
  <c r="AO346" i="1"/>
  <c r="AO347" i="1"/>
  <c r="AO348" i="1"/>
  <c r="AO349" i="1"/>
  <c r="AO350" i="1"/>
  <c r="AO351" i="1"/>
  <c r="AO352" i="1"/>
  <c r="AO353" i="1"/>
  <c r="AO354" i="1"/>
  <c r="AO355" i="1"/>
  <c r="AO356" i="1"/>
  <c r="AO357" i="1"/>
  <c r="AO358" i="1"/>
  <c r="AO359" i="1"/>
  <c r="AO360" i="1"/>
  <c r="AO361" i="1"/>
  <c r="AO362" i="1"/>
  <c r="AO363" i="1"/>
  <c r="AO364" i="1"/>
  <c r="AO365" i="1"/>
  <c r="AO366" i="1"/>
  <c r="AO367" i="1"/>
  <c r="AO368" i="1"/>
  <c r="AO369" i="1"/>
  <c r="AO370" i="1"/>
  <c r="AO371" i="1"/>
  <c r="AO372" i="1"/>
  <c r="AO373" i="1"/>
  <c r="AO374" i="1"/>
  <c r="AO375" i="1"/>
  <c r="AO376" i="1"/>
  <c r="AO377" i="1"/>
  <c r="AO378" i="1"/>
  <c r="AO379" i="1"/>
  <c r="AO380" i="1"/>
  <c r="AO381" i="1"/>
  <c r="AO382" i="1"/>
  <c r="AO383" i="1"/>
  <c r="AO384" i="1"/>
  <c r="AO385" i="1"/>
  <c r="AO386" i="1"/>
  <c r="AO387" i="1"/>
  <c r="AO388" i="1"/>
  <c r="AO389" i="1"/>
  <c r="AO390" i="1"/>
  <c r="AO391" i="1"/>
  <c r="AO392" i="1"/>
  <c r="AO393" i="1"/>
  <c r="AO394" i="1"/>
  <c r="AO395" i="1"/>
  <c r="AO396" i="1"/>
  <c r="AO397" i="1"/>
  <c r="AO398" i="1"/>
  <c r="AO399" i="1"/>
  <c r="AO400" i="1"/>
  <c r="AO401" i="1"/>
  <c r="AO402" i="1"/>
  <c r="AO403" i="1"/>
  <c r="AO404" i="1"/>
  <c r="AO405" i="1"/>
  <c r="AO406" i="1"/>
  <c r="AO407" i="1"/>
  <c r="AO408" i="1"/>
  <c r="AO409" i="1"/>
  <c r="AO410" i="1"/>
  <c r="AO411" i="1"/>
  <c r="AO412" i="1"/>
  <c r="AO413" i="1"/>
  <c r="AO414" i="1"/>
  <c r="AO415" i="1"/>
  <c r="AO416" i="1"/>
  <c r="AO417" i="1"/>
  <c r="AO418" i="1"/>
  <c r="AO419" i="1"/>
  <c r="AO420" i="1"/>
  <c r="AO421" i="1"/>
  <c r="AO422" i="1"/>
  <c r="AO423" i="1"/>
  <c r="AO424" i="1"/>
  <c r="AO425" i="1"/>
  <c r="AO426" i="1"/>
  <c r="AO427" i="1"/>
  <c r="AO428" i="1"/>
  <c r="AO429" i="1"/>
  <c r="AO430" i="1"/>
  <c r="AO431" i="1"/>
  <c r="AO432" i="1"/>
  <c r="AO433" i="1"/>
  <c r="AO434" i="1"/>
  <c r="AO435" i="1"/>
  <c r="AO436" i="1"/>
  <c r="AO437" i="1"/>
  <c r="AO438" i="1"/>
  <c r="AO439" i="1"/>
  <c r="AO440" i="1"/>
  <c r="AO441" i="1"/>
  <c r="AO442" i="1"/>
  <c r="AO443" i="1"/>
  <c r="AO444" i="1"/>
  <c r="AO445" i="1"/>
  <c r="AO446" i="1"/>
  <c r="AO447" i="1"/>
  <c r="AO448" i="1"/>
  <c r="AO449" i="1"/>
  <c r="AO450" i="1"/>
  <c r="AO451" i="1"/>
  <c r="AO452" i="1"/>
  <c r="AO453" i="1"/>
  <c r="AO454" i="1"/>
  <c r="AO455" i="1"/>
  <c r="AO456" i="1"/>
  <c r="AO457" i="1"/>
  <c r="AO458" i="1"/>
  <c r="AO459" i="1"/>
  <c r="AO460" i="1"/>
  <c r="AO461" i="1"/>
  <c r="AO462" i="1"/>
  <c r="AO463" i="1"/>
  <c r="AO464" i="1"/>
  <c r="AO465" i="1"/>
  <c r="AO466" i="1"/>
  <c r="AO467" i="1"/>
  <c r="AO468" i="1"/>
  <c r="AO469" i="1"/>
  <c r="AO470" i="1"/>
  <c r="AO471" i="1"/>
  <c r="AO472" i="1"/>
  <c r="AO473" i="1"/>
  <c r="AO474" i="1"/>
  <c r="AO475" i="1"/>
  <c r="AO476" i="1"/>
  <c r="AO477" i="1"/>
  <c r="AO478" i="1"/>
  <c r="AO479" i="1"/>
  <c r="AO480" i="1"/>
  <c r="AO481" i="1"/>
  <c r="AO482" i="1"/>
  <c r="AO483" i="1"/>
  <c r="AO484" i="1"/>
  <c r="AO485" i="1"/>
  <c r="AO486" i="1"/>
  <c r="AO487" i="1"/>
  <c r="AO488" i="1"/>
  <c r="AO489" i="1"/>
  <c r="AO490" i="1"/>
  <c r="AO491" i="1"/>
  <c r="AO492" i="1"/>
  <c r="AO493" i="1"/>
  <c r="AO494" i="1"/>
  <c r="AO495" i="1"/>
  <c r="AO496" i="1"/>
  <c r="AO497" i="1"/>
  <c r="AO498" i="1"/>
  <c r="AO499" i="1"/>
  <c r="AO500" i="1"/>
  <c r="AO501" i="1"/>
  <c r="AO502" i="1"/>
  <c r="AO503" i="1"/>
  <c r="AO504" i="1"/>
  <c r="AO505" i="1"/>
  <c r="AO506" i="1"/>
  <c r="AO507" i="1"/>
  <c r="AO508" i="1"/>
  <c r="AO509" i="1"/>
  <c r="AO510" i="1"/>
  <c r="AO511" i="1"/>
  <c r="AO512" i="1"/>
  <c r="AO513" i="1"/>
  <c r="AO514" i="1"/>
  <c r="AO515" i="1"/>
  <c r="AO516" i="1"/>
  <c r="AO517" i="1"/>
  <c r="AO518" i="1"/>
  <c r="AO519" i="1"/>
  <c r="AO520" i="1"/>
  <c r="AO521" i="1"/>
  <c r="AO522" i="1"/>
  <c r="AO523" i="1"/>
  <c r="AO524" i="1"/>
  <c r="AO525" i="1"/>
  <c r="AO526" i="1"/>
  <c r="AO527" i="1"/>
  <c r="AO528" i="1"/>
  <c r="AO529" i="1"/>
  <c r="AO530" i="1"/>
  <c r="AO531" i="1"/>
  <c r="AO532" i="1"/>
  <c r="AO533" i="1"/>
  <c r="AO534" i="1"/>
  <c r="AO535" i="1"/>
  <c r="AO536" i="1"/>
  <c r="AO537" i="1"/>
  <c r="AO538" i="1"/>
  <c r="AO539" i="1"/>
  <c r="AO540" i="1"/>
  <c r="AO541" i="1"/>
  <c r="AO542" i="1"/>
  <c r="AO543" i="1"/>
  <c r="AO544" i="1"/>
  <c r="AO545" i="1"/>
  <c r="AO546" i="1"/>
  <c r="AO547" i="1"/>
  <c r="AO548" i="1"/>
  <c r="AO549" i="1"/>
  <c r="AO550" i="1"/>
  <c r="AO551" i="1"/>
  <c r="AO552" i="1"/>
  <c r="AO553" i="1"/>
  <c r="AO554" i="1"/>
  <c r="AO555" i="1"/>
  <c r="AO556" i="1"/>
  <c r="AO557" i="1"/>
  <c r="AO558" i="1"/>
  <c r="AO559" i="1"/>
  <c r="AO560" i="1"/>
  <c r="AO561" i="1"/>
  <c r="AO562" i="1"/>
  <c r="AO563" i="1"/>
  <c r="AO564" i="1"/>
  <c r="AO565" i="1"/>
  <c r="AO566" i="1"/>
  <c r="AO567" i="1"/>
  <c r="AO568" i="1"/>
  <c r="AO569" i="1"/>
  <c r="AO570" i="1"/>
  <c r="AO571" i="1"/>
  <c r="AO572" i="1"/>
  <c r="AO573" i="1"/>
  <c r="AO574" i="1"/>
  <c r="AO575" i="1"/>
  <c r="AO576" i="1"/>
  <c r="AO577" i="1"/>
  <c r="AO578" i="1"/>
  <c r="AO579" i="1"/>
  <c r="AO580" i="1"/>
  <c r="AO581" i="1"/>
  <c r="AO582" i="1"/>
  <c r="AO583" i="1"/>
  <c r="AO584" i="1"/>
  <c r="AO585" i="1"/>
  <c r="AO586" i="1"/>
  <c r="AO587" i="1"/>
  <c r="AO588" i="1"/>
  <c r="AO589" i="1"/>
  <c r="AO590" i="1"/>
  <c r="AO591" i="1"/>
  <c r="AO592" i="1"/>
  <c r="AO593" i="1"/>
  <c r="AO594" i="1"/>
  <c r="AO595" i="1"/>
  <c r="AO596" i="1"/>
  <c r="AO597" i="1"/>
  <c r="AO598" i="1"/>
  <c r="AO599" i="1"/>
  <c r="AO600" i="1"/>
  <c r="AO601" i="1"/>
  <c r="AO602" i="1"/>
  <c r="AO603" i="1"/>
  <c r="AO604" i="1"/>
  <c r="AO605" i="1"/>
  <c r="AO606" i="1"/>
  <c r="AO607" i="1"/>
  <c r="AO608" i="1"/>
  <c r="AO609" i="1"/>
  <c r="AO610" i="1"/>
  <c r="AO611" i="1"/>
  <c r="AO612" i="1"/>
  <c r="AO613" i="1"/>
  <c r="AO614" i="1"/>
  <c r="AO615" i="1"/>
  <c r="AO616" i="1"/>
  <c r="AO617" i="1"/>
  <c r="AO618" i="1"/>
  <c r="AO619" i="1"/>
  <c r="AO620" i="1"/>
  <c r="AO621" i="1"/>
  <c r="AO622" i="1"/>
  <c r="AO623" i="1"/>
  <c r="AO624" i="1"/>
  <c r="AO625" i="1"/>
  <c r="AO626" i="1"/>
  <c r="AO627" i="1"/>
  <c r="AO628" i="1"/>
  <c r="AO629" i="1"/>
  <c r="AO630" i="1"/>
  <c r="AO631" i="1"/>
  <c r="AO632" i="1"/>
  <c r="AO633" i="1"/>
  <c r="AO634" i="1"/>
  <c r="AO635" i="1"/>
  <c r="AO636" i="1"/>
  <c r="AO637" i="1"/>
  <c r="AO638" i="1"/>
  <c r="AO639" i="1"/>
  <c r="AO640" i="1"/>
  <c r="AO641" i="1"/>
  <c r="AO642" i="1"/>
  <c r="AO643" i="1"/>
  <c r="AO644" i="1"/>
  <c r="AO645" i="1"/>
  <c r="AO646" i="1"/>
  <c r="AO647" i="1"/>
  <c r="AO648" i="1"/>
  <c r="AO649" i="1"/>
  <c r="AO650" i="1"/>
  <c r="AO651" i="1"/>
  <c r="AO652" i="1"/>
  <c r="AO653" i="1"/>
  <c r="AO654" i="1"/>
  <c r="AO655" i="1"/>
  <c r="AO656" i="1"/>
  <c r="AO657" i="1"/>
  <c r="AO658" i="1"/>
  <c r="AO659" i="1"/>
  <c r="AO660" i="1"/>
  <c r="AO661" i="1"/>
  <c r="AO662" i="1"/>
  <c r="AO663" i="1"/>
  <c r="AO664" i="1"/>
  <c r="AO665" i="1"/>
  <c r="AO666" i="1"/>
  <c r="AO667" i="1"/>
  <c r="AO668" i="1"/>
  <c r="AO669" i="1"/>
  <c r="AO670" i="1"/>
  <c r="AO671" i="1"/>
  <c r="AO672" i="1"/>
  <c r="AO673" i="1"/>
  <c r="AO674" i="1"/>
  <c r="AO675" i="1"/>
  <c r="AO676" i="1"/>
  <c r="AO677" i="1"/>
  <c r="AO678" i="1"/>
  <c r="AO679" i="1"/>
  <c r="AO680" i="1"/>
  <c r="AO681" i="1"/>
  <c r="AO682" i="1"/>
  <c r="AO683" i="1"/>
  <c r="AO684" i="1"/>
  <c r="AO685" i="1"/>
  <c r="AO686" i="1"/>
  <c r="AO687" i="1"/>
  <c r="AO688" i="1"/>
  <c r="AO689" i="1"/>
  <c r="AO690" i="1"/>
  <c r="AO691" i="1"/>
  <c r="AO692" i="1"/>
  <c r="AO693" i="1"/>
  <c r="AO694" i="1"/>
  <c r="AO695" i="1"/>
  <c r="AO696" i="1"/>
  <c r="AO697" i="1"/>
  <c r="AO698" i="1"/>
  <c r="AO699" i="1"/>
  <c r="AO700" i="1"/>
  <c r="AO701" i="1"/>
  <c r="AO702" i="1"/>
  <c r="AO703" i="1"/>
  <c r="AO704" i="1"/>
  <c r="AO705" i="1"/>
  <c r="AO706" i="1"/>
  <c r="AO707" i="1"/>
  <c r="AO708" i="1"/>
  <c r="AO709" i="1"/>
  <c r="AO710" i="1"/>
  <c r="AO711" i="1"/>
  <c r="AO712" i="1"/>
  <c r="AO713" i="1"/>
  <c r="AO714" i="1"/>
  <c r="AO715" i="1"/>
  <c r="AO716" i="1"/>
  <c r="AO717" i="1"/>
  <c r="AO718" i="1"/>
  <c r="AO719" i="1"/>
  <c r="AO720" i="1"/>
  <c r="AO721" i="1"/>
  <c r="AO722" i="1"/>
  <c r="AO723" i="1"/>
  <c r="AO724" i="1"/>
  <c r="AO725" i="1"/>
  <c r="AO726" i="1"/>
  <c r="AO727" i="1"/>
  <c r="AO728" i="1"/>
  <c r="AO729" i="1"/>
  <c r="AO730" i="1"/>
  <c r="AO731" i="1"/>
  <c r="AO732" i="1"/>
  <c r="AO733" i="1"/>
  <c r="AO734" i="1"/>
  <c r="AO735" i="1"/>
  <c r="AO736" i="1"/>
  <c r="AO737" i="1"/>
  <c r="AO738" i="1"/>
  <c r="AO739" i="1"/>
  <c r="AO740" i="1"/>
  <c r="AO741" i="1"/>
  <c r="AO742" i="1"/>
  <c r="AO743" i="1"/>
  <c r="AO744" i="1"/>
  <c r="AO745" i="1"/>
  <c r="AO746" i="1"/>
  <c r="AO747" i="1"/>
  <c r="AO748" i="1"/>
  <c r="AO749" i="1"/>
  <c r="AO750" i="1"/>
  <c r="AO751" i="1"/>
  <c r="AO752" i="1"/>
  <c r="AO753" i="1"/>
  <c r="AO754" i="1"/>
  <c r="AO755" i="1"/>
  <c r="AO756" i="1"/>
  <c r="AO757" i="1"/>
  <c r="AO758" i="1"/>
  <c r="AO759" i="1"/>
  <c r="AO760" i="1"/>
  <c r="AO761" i="1"/>
  <c r="AO762" i="1"/>
  <c r="AO763" i="1"/>
  <c r="AO764" i="1"/>
  <c r="AO765" i="1"/>
  <c r="AO766" i="1"/>
  <c r="AO767" i="1"/>
  <c r="AO768" i="1"/>
  <c r="AO769" i="1"/>
  <c r="AO770" i="1"/>
  <c r="AO771" i="1"/>
  <c r="AO772" i="1"/>
  <c r="AO773" i="1"/>
  <c r="AO774" i="1"/>
  <c r="AO775" i="1"/>
  <c r="AO776" i="1"/>
  <c r="AO777" i="1"/>
  <c r="AO778" i="1"/>
  <c r="AO779" i="1"/>
  <c r="AO780" i="1"/>
  <c r="AO781" i="1"/>
  <c r="AO782" i="1"/>
  <c r="AO783" i="1"/>
  <c r="AO784" i="1"/>
  <c r="AO785" i="1"/>
  <c r="AO786" i="1"/>
  <c r="AO787" i="1"/>
  <c r="AO788" i="1"/>
  <c r="AO789" i="1"/>
  <c r="AO790" i="1"/>
  <c r="AO791" i="1"/>
  <c r="AO792" i="1"/>
  <c r="AO793" i="1"/>
  <c r="AO794" i="1"/>
  <c r="AO795" i="1"/>
  <c r="AO796" i="1"/>
  <c r="AO797" i="1"/>
  <c r="AO798" i="1"/>
  <c r="AO799" i="1"/>
  <c r="AO800" i="1"/>
  <c r="AO801" i="1"/>
  <c r="AO802" i="1"/>
  <c r="AO803" i="1"/>
  <c r="AO804" i="1"/>
  <c r="AO805" i="1"/>
  <c r="AO806" i="1"/>
  <c r="AO807" i="1"/>
  <c r="AO808" i="1"/>
  <c r="AO809" i="1"/>
  <c r="AO810" i="1"/>
  <c r="AO811" i="1"/>
  <c r="AO812" i="1"/>
  <c r="AO813" i="1"/>
  <c r="AO814" i="1"/>
  <c r="AO815" i="1"/>
  <c r="AO816" i="1"/>
  <c r="AO817" i="1"/>
  <c r="AO818" i="1"/>
  <c r="AO819" i="1"/>
  <c r="AO820" i="1"/>
  <c r="AO821" i="1"/>
  <c r="AO822" i="1"/>
  <c r="AO823" i="1"/>
  <c r="AO824" i="1"/>
  <c r="AO825" i="1"/>
  <c r="AO826" i="1"/>
  <c r="AO827" i="1"/>
  <c r="AO828" i="1"/>
  <c r="AO829" i="1"/>
  <c r="AO830" i="1"/>
  <c r="AO831" i="1"/>
  <c r="AO832" i="1"/>
  <c r="AO833" i="1"/>
  <c r="AO834" i="1"/>
  <c r="AO835" i="1"/>
  <c r="AO836" i="1"/>
  <c r="AO837" i="1"/>
  <c r="AO838" i="1"/>
  <c r="AO839" i="1"/>
  <c r="AO840" i="1"/>
  <c r="AO841" i="1"/>
  <c r="AO842" i="1"/>
  <c r="AO843" i="1"/>
  <c r="AO844" i="1"/>
  <c r="AO845" i="1"/>
  <c r="AO846" i="1"/>
  <c r="AO847" i="1"/>
  <c r="AO848" i="1"/>
  <c r="AO849" i="1"/>
  <c r="AO850" i="1"/>
  <c r="AO851" i="1"/>
  <c r="AO852" i="1"/>
  <c r="AO853" i="1"/>
  <c r="AO854" i="1"/>
  <c r="AO855" i="1"/>
  <c r="AO856" i="1"/>
  <c r="AO857" i="1"/>
  <c r="AO858" i="1"/>
  <c r="AO859" i="1"/>
  <c r="AO860" i="1"/>
  <c r="AO861" i="1"/>
  <c r="AO862" i="1"/>
  <c r="AO863" i="1"/>
  <c r="AO864" i="1"/>
  <c r="AO865" i="1"/>
  <c r="AO866" i="1"/>
  <c r="AO867" i="1"/>
  <c r="AO868" i="1"/>
  <c r="AO869" i="1"/>
  <c r="AO870" i="1"/>
  <c r="AO871" i="1"/>
  <c r="AO872" i="1"/>
  <c r="AO873" i="1"/>
  <c r="AO874" i="1"/>
  <c r="AO875" i="1"/>
  <c r="AO876" i="1"/>
  <c r="AO877" i="1"/>
  <c r="AO878" i="1"/>
  <c r="AO879" i="1"/>
  <c r="AO880" i="1"/>
  <c r="AO881" i="1"/>
  <c r="AO882" i="1"/>
  <c r="AO883" i="1"/>
  <c r="AO884" i="1"/>
  <c r="AO885" i="1"/>
  <c r="AO886" i="1"/>
  <c r="AO887" i="1"/>
  <c r="AO888" i="1"/>
  <c r="AO889" i="1"/>
  <c r="AO890" i="1"/>
  <c r="AO891" i="1"/>
  <c r="AO892" i="1"/>
  <c r="AO893" i="1"/>
  <c r="AO894" i="1"/>
  <c r="AO895" i="1"/>
  <c r="AO896" i="1"/>
  <c r="AO897" i="1"/>
  <c r="AO898" i="1"/>
  <c r="AO899" i="1"/>
  <c r="AO900" i="1"/>
  <c r="AO901" i="1"/>
  <c r="AO902" i="1"/>
  <c r="AO903" i="1"/>
  <c r="AO904" i="1"/>
  <c r="AO905" i="1"/>
  <c r="AO906" i="1"/>
  <c r="AO907" i="1"/>
  <c r="AO908" i="1"/>
  <c r="AO909" i="1"/>
  <c r="AO910" i="1"/>
  <c r="AO911" i="1"/>
  <c r="AO912" i="1"/>
  <c r="AO913" i="1"/>
  <c r="AO914" i="1"/>
  <c r="AO915" i="1"/>
  <c r="AO916" i="1"/>
  <c r="AO917" i="1"/>
  <c r="AO918" i="1"/>
  <c r="AO919" i="1"/>
  <c r="AO920" i="1"/>
  <c r="AO921" i="1"/>
  <c r="AO922" i="1"/>
  <c r="AO923" i="1"/>
  <c r="AO924" i="1"/>
  <c r="AO925" i="1"/>
  <c r="AO926" i="1"/>
  <c r="AO927" i="1"/>
  <c r="AO928" i="1"/>
  <c r="AO929" i="1"/>
  <c r="AO930" i="1"/>
  <c r="AO931" i="1"/>
  <c r="AO932" i="1"/>
  <c r="AO933" i="1"/>
  <c r="AO934" i="1"/>
  <c r="AO935" i="1"/>
  <c r="AO936" i="1"/>
  <c r="AO937" i="1"/>
  <c r="AO938" i="1"/>
  <c r="AO939" i="1"/>
  <c r="AO940" i="1"/>
  <c r="AO941" i="1"/>
  <c r="AO942" i="1"/>
  <c r="AO943" i="1"/>
  <c r="AO944" i="1"/>
  <c r="AO945" i="1"/>
  <c r="AO946" i="1"/>
  <c r="AO947" i="1"/>
  <c r="AO948" i="1"/>
  <c r="AO949" i="1"/>
  <c r="AO950" i="1"/>
  <c r="AO951" i="1"/>
  <c r="AO952" i="1"/>
  <c r="AO953" i="1"/>
  <c r="AO954" i="1"/>
  <c r="AO955" i="1"/>
  <c r="AO956" i="1"/>
  <c r="AO957" i="1"/>
  <c r="AO958" i="1"/>
  <c r="AO959" i="1"/>
  <c r="AO960" i="1"/>
  <c r="AO961" i="1"/>
  <c r="AO962" i="1"/>
  <c r="AO963" i="1"/>
  <c r="AO964" i="1"/>
  <c r="AO965" i="1"/>
  <c r="AO966" i="1"/>
  <c r="AO967" i="1"/>
  <c r="AO968" i="1"/>
  <c r="AO969" i="1"/>
  <c r="AO970" i="1"/>
  <c r="AO971" i="1"/>
  <c r="AO972" i="1"/>
  <c r="AO973" i="1"/>
  <c r="AO974" i="1"/>
  <c r="AO975" i="1"/>
  <c r="AO976" i="1"/>
  <c r="AO977" i="1"/>
  <c r="AO978" i="1"/>
  <c r="AO979" i="1"/>
  <c r="AO980" i="1"/>
  <c r="AO981" i="1"/>
  <c r="AO982" i="1"/>
  <c r="AO983" i="1"/>
  <c r="AO984" i="1"/>
  <c r="AO985" i="1"/>
  <c r="AO986" i="1"/>
  <c r="AO987" i="1"/>
  <c r="AO988" i="1"/>
  <c r="AO989" i="1"/>
  <c r="AO990" i="1"/>
  <c r="AO991" i="1"/>
  <c r="AO992" i="1"/>
  <c r="AO993" i="1"/>
  <c r="AO994" i="1"/>
  <c r="AO995" i="1"/>
  <c r="AO996" i="1"/>
  <c r="AO997" i="1"/>
  <c r="AO998" i="1"/>
  <c r="AO999" i="1"/>
  <c r="AO1000" i="1"/>
  <c r="AO1001" i="1"/>
  <c r="AO1002" i="1"/>
  <c r="AO1003" i="1"/>
  <c r="AO1004" i="1"/>
  <c r="AO1005" i="1"/>
  <c r="AO1006" i="1"/>
  <c r="AO1007" i="1"/>
  <c r="AO1008" i="1"/>
  <c r="AO1009" i="1"/>
  <c r="AO1010" i="1"/>
  <c r="AO1011" i="1"/>
  <c r="AO1012" i="1"/>
  <c r="AO1013" i="1"/>
  <c r="AO1014" i="1"/>
  <c r="AO1015" i="1"/>
  <c r="AO1016" i="1"/>
  <c r="AO1017" i="1"/>
  <c r="AO1018" i="1"/>
  <c r="AO1019" i="1"/>
  <c r="AO1020" i="1"/>
  <c r="AO1021" i="1"/>
  <c r="AO1022" i="1"/>
  <c r="AO1023" i="1"/>
  <c r="AO1024" i="1"/>
  <c r="AO1025" i="1"/>
  <c r="AO1026" i="1"/>
  <c r="AO1027" i="1"/>
  <c r="AO1028" i="1"/>
  <c r="AO1029" i="1"/>
  <c r="AO1030" i="1"/>
  <c r="AO1031" i="1"/>
  <c r="AO1032" i="1"/>
  <c r="AO1033" i="1"/>
  <c r="AO1034" i="1"/>
  <c r="AO1035" i="1"/>
  <c r="AO1036" i="1"/>
  <c r="AO1037" i="1"/>
  <c r="AO1038" i="1"/>
  <c r="AO1039" i="1"/>
  <c r="AO1040" i="1"/>
  <c r="AO1041" i="1"/>
  <c r="AO1042" i="1"/>
  <c r="AO1043" i="1"/>
  <c r="AO1044" i="1"/>
  <c r="AO1045" i="1"/>
  <c r="AO1046" i="1"/>
  <c r="AO1047" i="1"/>
  <c r="AO1048" i="1"/>
  <c r="AO1049" i="1"/>
  <c r="AO1050" i="1"/>
  <c r="AO1051" i="1"/>
  <c r="AO1052" i="1"/>
  <c r="AO1053" i="1"/>
  <c r="AO1054" i="1"/>
  <c r="AO1055" i="1"/>
  <c r="AO1056" i="1"/>
  <c r="AO1057" i="1"/>
  <c r="AO1058" i="1"/>
  <c r="AO1059" i="1"/>
  <c r="AO1060" i="1"/>
  <c r="AO1061" i="1"/>
  <c r="AO1062" i="1"/>
  <c r="AO1063" i="1"/>
  <c r="AO1064" i="1"/>
  <c r="AO1065" i="1"/>
  <c r="AO1066" i="1"/>
  <c r="AO1067" i="1"/>
  <c r="AO1068" i="1"/>
  <c r="AO1069" i="1"/>
  <c r="AO1070" i="1"/>
  <c r="AO1071" i="1"/>
  <c r="AO1072" i="1"/>
  <c r="AO1073" i="1"/>
  <c r="AO1074" i="1"/>
  <c r="AO1075" i="1"/>
  <c r="AO1076" i="1"/>
  <c r="AO1077" i="1"/>
  <c r="AO1078" i="1"/>
  <c r="AO1079" i="1"/>
  <c r="AO1080" i="1"/>
  <c r="AO1081" i="1"/>
  <c r="AO1082" i="1"/>
  <c r="AO1083" i="1"/>
  <c r="AO1084" i="1"/>
  <c r="AO1085" i="1"/>
  <c r="AO1086" i="1"/>
  <c r="AO1087" i="1"/>
  <c r="AO1088" i="1"/>
  <c r="AO1089" i="1"/>
  <c r="AO1090" i="1"/>
  <c r="AO1091" i="1"/>
  <c r="AO1092" i="1"/>
  <c r="AO1093" i="1"/>
  <c r="AO1094" i="1"/>
  <c r="AO1095" i="1"/>
  <c r="AO1096" i="1"/>
  <c r="AO1097" i="1"/>
  <c r="AO1098" i="1"/>
  <c r="AO1099" i="1"/>
  <c r="AO1100" i="1"/>
  <c r="AO1101" i="1"/>
  <c r="AO1102" i="1"/>
  <c r="AO1103" i="1"/>
  <c r="AO1104" i="1"/>
  <c r="AO1105" i="1"/>
  <c r="AO1106" i="1"/>
  <c r="AO1107" i="1"/>
  <c r="AO1108" i="1"/>
  <c r="AO1109" i="1"/>
  <c r="AO1110" i="1"/>
  <c r="AO1111" i="1"/>
  <c r="AO1112" i="1"/>
  <c r="AO1113" i="1"/>
  <c r="AO1114" i="1"/>
  <c r="AO1115" i="1"/>
  <c r="AO1116" i="1"/>
  <c r="AO1117" i="1"/>
  <c r="AO1118" i="1"/>
  <c r="AO1119" i="1"/>
  <c r="AO1120" i="1"/>
  <c r="AO1121" i="1"/>
  <c r="AO1122" i="1"/>
  <c r="AO1123" i="1"/>
  <c r="AO1124" i="1"/>
  <c r="AO1125" i="1"/>
  <c r="AO1126" i="1"/>
  <c r="AO1127" i="1"/>
  <c r="AO1128" i="1"/>
  <c r="AO1129" i="1"/>
  <c r="AO1130" i="1"/>
  <c r="AO1131" i="1"/>
  <c r="AO1132" i="1"/>
  <c r="AO1133" i="1"/>
  <c r="AO1134" i="1"/>
  <c r="AO1135" i="1"/>
  <c r="AO1136" i="1"/>
  <c r="AO1137" i="1"/>
  <c r="AO1138" i="1"/>
  <c r="AO1139" i="1"/>
  <c r="AO1140" i="1"/>
  <c r="AO1141" i="1"/>
  <c r="AO1142" i="1"/>
  <c r="AO1143" i="1"/>
  <c r="AO1144" i="1"/>
  <c r="AO1145" i="1"/>
  <c r="AO1146" i="1"/>
  <c r="AO1147" i="1"/>
  <c r="AO1148" i="1"/>
  <c r="AO1149" i="1"/>
  <c r="AO1150" i="1"/>
  <c r="AO1151" i="1"/>
  <c r="AO1152" i="1"/>
  <c r="AO1153" i="1"/>
  <c r="AO1154" i="1"/>
  <c r="AO1155" i="1"/>
  <c r="AO1156" i="1"/>
  <c r="AO1157" i="1"/>
  <c r="AO1158" i="1"/>
  <c r="AO1159" i="1"/>
  <c r="AO1160" i="1"/>
  <c r="AO1161" i="1"/>
  <c r="AO1162" i="1"/>
  <c r="AO1163" i="1"/>
  <c r="AO1164" i="1"/>
  <c r="AO1165" i="1"/>
  <c r="AO1166" i="1"/>
  <c r="AO1167" i="1"/>
  <c r="AO1168" i="1"/>
  <c r="AO1169" i="1"/>
  <c r="AO1170" i="1"/>
  <c r="AO1171" i="1"/>
  <c r="AO1172" i="1"/>
  <c r="AO1173" i="1"/>
  <c r="AO1174" i="1"/>
  <c r="AO1175" i="1"/>
  <c r="AO1176" i="1"/>
  <c r="AO1177" i="1"/>
  <c r="AO1178" i="1"/>
  <c r="AO1179" i="1"/>
  <c r="AO1180" i="1"/>
  <c r="AO1181" i="1"/>
  <c r="AO1182" i="1"/>
  <c r="AO1183" i="1"/>
  <c r="AO1184" i="1"/>
  <c r="AO1185" i="1"/>
  <c r="AO1186" i="1"/>
  <c r="AO1187" i="1"/>
  <c r="AO1188" i="1"/>
  <c r="AO1189" i="1"/>
  <c r="AO1190" i="1"/>
  <c r="AO1191" i="1"/>
  <c r="AO1192" i="1"/>
  <c r="AO1193" i="1"/>
  <c r="AO1194" i="1"/>
  <c r="AO1195" i="1"/>
  <c r="AO1196" i="1"/>
  <c r="AO1197" i="1"/>
  <c r="AO1198" i="1"/>
  <c r="AO1199" i="1"/>
  <c r="AO1200" i="1"/>
  <c r="AO1201" i="1"/>
  <c r="AO1202" i="1"/>
  <c r="AO1203" i="1"/>
  <c r="AO1204" i="1"/>
  <c r="AO1205" i="1"/>
  <c r="AO1206" i="1"/>
  <c r="AO1207" i="1"/>
  <c r="AO1208" i="1"/>
  <c r="AO1209" i="1"/>
  <c r="AO1210" i="1"/>
  <c r="AO1211" i="1"/>
  <c r="AO1212" i="1"/>
  <c r="AO1213" i="1"/>
  <c r="AO1214" i="1"/>
  <c r="AO1215" i="1"/>
  <c r="AO1216" i="1"/>
  <c r="AO1217" i="1"/>
  <c r="AO1218" i="1"/>
  <c r="AO1219" i="1"/>
  <c r="AO1220" i="1"/>
  <c r="AO1221" i="1"/>
  <c r="AO1222" i="1"/>
  <c r="AO1223" i="1"/>
  <c r="AO1224" i="1"/>
  <c r="AO1225" i="1"/>
  <c r="AO1226" i="1"/>
  <c r="AO1227" i="1"/>
  <c r="AO1228" i="1"/>
  <c r="AO1229" i="1"/>
  <c r="AO1230" i="1"/>
  <c r="AO1231" i="1"/>
  <c r="AO1232" i="1"/>
  <c r="AO1233" i="1"/>
  <c r="AO1234" i="1"/>
  <c r="AO1235" i="1"/>
  <c r="AO1236" i="1"/>
  <c r="AO1237" i="1"/>
  <c r="AO1238" i="1"/>
  <c r="AO1239" i="1"/>
  <c r="AO1240" i="1"/>
  <c r="AO1241" i="1"/>
  <c r="AO1242" i="1"/>
  <c r="AO1243" i="1"/>
  <c r="AO1244" i="1"/>
  <c r="AO1245" i="1"/>
  <c r="AO1246" i="1"/>
  <c r="AO1247" i="1"/>
  <c r="AO1248" i="1"/>
  <c r="AO1249" i="1"/>
  <c r="AO1250" i="1"/>
  <c r="AO1251" i="1"/>
  <c r="AO1252" i="1"/>
  <c r="AO1253" i="1"/>
  <c r="AO1254" i="1"/>
  <c r="AO1255" i="1"/>
  <c r="AO1256" i="1"/>
  <c r="AO1257" i="1"/>
  <c r="AO1258" i="1"/>
  <c r="AO1259" i="1"/>
  <c r="AO1260" i="1"/>
  <c r="AO1261" i="1"/>
  <c r="AO1262" i="1"/>
  <c r="AO1263" i="1"/>
  <c r="AO1264" i="1"/>
  <c r="AO1265" i="1"/>
  <c r="AO1266" i="1"/>
  <c r="AO1267" i="1"/>
  <c r="AO1268" i="1"/>
  <c r="AO1269" i="1"/>
  <c r="AO1270" i="1"/>
  <c r="AO1271" i="1"/>
  <c r="AO1272" i="1"/>
  <c r="AO1273" i="1"/>
  <c r="AO1274" i="1"/>
  <c r="AO1275" i="1"/>
  <c r="AO1276" i="1"/>
  <c r="AO1277" i="1"/>
  <c r="AO1278" i="1"/>
  <c r="AO1279" i="1"/>
  <c r="AO1280" i="1"/>
  <c r="AO1281" i="1"/>
  <c r="AO1282" i="1"/>
  <c r="AO1283" i="1"/>
  <c r="AO1284" i="1"/>
  <c r="AO1285" i="1"/>
  <c r="AO1286" i="1"/>
  <c r="AO1287" i="1"/>
  <c r="AO1288" i="1"/>
  <c r="AO1289" i="1"/>
  <c r="AO1290" i="1"/>
  <c r="AO1291" i="1"/>
  <c r="AO1292" i="1"/>
  <c r="AO1293" i="1"/>
  <c r="AO1294" i="1"/>
  <c r="AO1295" i="1"/>
  <c r="AO1296" i="1"/>
  <c r="AO1297" i="1"/>
  <c r="AO1298" i="1"/>
  <c r="AO1299" i="1"/>
  <c r="AO1300" i="1"/>
  <c r="AO1301" i="1"/>
  <c r="AO1302" i="1"/>
  <c r="AO1303" i="1"/>
  <c r="AO1304" i="1"/>
  <c r="AO1305" i="1"/>
  <c r="AO1306" i="1"/>
  <c r="AO1307" i="1"/>
  <c r="AO1308" i="1"/>
  <c r="AO1309" i="1"/>
  <c r="AO1310" i="1"/>
  <c r="AO1311" i="1"/>
  <c r="AO1312" i="1"/>
  <c r="AO1313" i="1"/>
  <c r="AO1314" i="1"/>
  <c r="AO1315" i="1"/>
  <c r="AO1316" i="1"/>
  <c r="AO1317" i="1"/>
  <c r="AO1318" i="1"/>
  <c r="AO1319" i="1"/>
  <c r="AO1320" i="1"/>
  <c r="AO1321" i="1"/>
  <c r="AO1322" i="1"/>
  <c r="AO1323" i="1"/>
  <c r="AO1324" i="1"/>
  <c r="AO1325" i="1"/>
  <c r="AO1326" i="1"/>
  <c r="AO1327" i="1"/>
  <c r="AO1328" i="1"/>
  <c r="AO1329" i="1"/>
  <c r="AO1330" i="1"/>
  <c r="AO1331" i="1"/>
  <c r="AO1332" i="1"/>
  <c r="AO1333" i="1"/>
  <c r="AO1334" i="1"/>
  <c r="AO1335" i="1"/>
  <c r="AO1336" i="1"/>
  <c r="AO1337" i="1"/>
  <c r="AO1338" i="1"/>
  <c r="AO1339" i="1"/>
  <c r="AO1340" i="1"/>
  <c r="AO1341" i="1"/>
  <c r="AO1342" i="1"/>
  <c r="AO1343" i="1"/>
  <c r="AO1344" i="1"/>
  <c r="AO1345" i="1"/>
  <c r="AO1346" i="1"/>
  <c r="AO1347" i="1"/>
  <c r="AO1348" i="1"/>
  <c r="AO1349" i="1"/>
  <c r="AO1350" i="1"/>
  <c r="AO1351" i="1"/>
  <c r="AO1352" i="1"/>
  <c r="AO1353" i="1"/>
  <c r="AO1354" i="1"/>
  <c r="AO1355" i="1"/>
  <c r="AO1356" i="1"/>
  <c r="AO1357" i="1"/>
  <c r="AO1358" i="1"/>
  <c r="AO1359" i="1"/>
  <c r="AO1360" i="1"/>
  <c r="AO1361" i="1"/>
  <c r="AO1362" i="1"/>
  <c r="AO1363" i="1"/>
  <c r="AO1364" i="1"/>
  <c r="AO1365" i="1"/>
  <c r="AO1366" i="1"/>
  <c r="AO1367" i="1"/>
  <c r="AO1368" i="1"/>
  <c r="AO1369" i="1"/>
  <c r="AO1370" i="1"/>
  <c r="AO1371" i="1"/>
  <c r="AO1372" i="1"/>
  <c r="AO1373" i="1"/>
  <c r="AO1374" i="1"/>
  <c r="AO1375" i="1"/>
  <c r="AO1376" i="1"/>
  <c r="AO1377" i="1"/>
  <c r="AO1378" i="1"/>
  <c r="AO1379" i="1"/>
  <c r="AO1380" i="1"/>
  <c r="AO1381" i="1"/>
  <c r="AO1382" i="1"/>
  <c r="AO1383" i="1"/>
  <c r="AO1384" i="1"/>
  <c r="AO1385" i="1"/>
  <c r="AO1386" i="1"/>
  <c r="AO1387" i="1"/>
  <c r="AO1388" i="1"/>
  <c r="AO1389" i="1"/>
  <c r="AO1390" i="1"/>
  <c r="AO1391" i="1"/>
  <c r="AO1392" i="1"/>
  <c r="AO1393" i="1"/>
  <c r="AO1394" i="1"/>
  <c r="AO1395" i="1"/>
  <c r="AO1396" i="1"/>
  <c r="AO1397" i="1"/>
  <c r="AO1398" i="1"/>
  <c r="AO1399" i="1"/>
  <c r="AO1400" i="1"/>
  <c r="AO1401" i="1"/>
  <c r="AO1402" i="1"/>
  <c r="AO1403" i="1"/>
  <c r="AO1404" i="1"/>
  <c r="AO1405" i="1"/>
  <c r="AO1406" i="1"/>
  <c r="AO1407" i="1"/>
  <c r="AO1408" i="1"/>
  <c r="AO1409" i="1"/>
  <c r="AO1410" i="1"/>
  <c r="AO1411" i="1"/>
  <c r="AO1412" i="1"/>
  <c r="AO1413" i="1"/>
  <c r="AO1414" i="1"/>
  <c r="AO1415" i="1"/>
  <c r="AO1416" i="1"/>
  <c r="AO1417" i="1"/>
  <c r="AO1418" i="1"/>
  <c r="AO1419" i="1"/>
  <c r="AO1420" i="1"/>
  <c r="AO1421" i="1"/>
  <c r="AO1422" i="1"/>
  <c r="AO1423" i="1"/>
  <c r="AO1424" i="1"/>
  <c r="AO1425" i="1"/>
  <c r="AO1426" i="1"/>
  <c r="AO1427" i="1"/>
  <c r="AO1428" i="1"/>
  <c r="AO1429" i="1"/>
  <c r="AO1430" i="1"/>
  <c r="AO1431" i="1"/>
  <c r="AO1432" i="1"/>
  <c r="AO1433" i="1"/>
  <c r="AO1434" i="1"/>
  <c r="AO1435" i="1"/>
  <c r="AO1436" i="1"/>
  <c r="AO1437" i="1"/>
  <c r="AO1438" i="1"/>
  <c r="AO1439" i="1"/>
  <c r="AO1440" i="1"/>
  <c r="AO1441" i="1"/>
  <c r="AO1442" i="1"/>
  <c r="AO1443" i="1"/>
  <c r="AO1444" i="1"/>
  <c r="AO1445" i="1"/>
  <c r="AO1446" i="1"/>
  <c r="AO1447" i="1"/>
  <c r="AO1448" i="1"/>
  <c r="AO1449" i="1"/>
  <c r="AO1450" i="1"/>
  <c r="AO1451" i="1"/>
  <c r="AO1452" i="1"/>
  <c r="AO1453" i="1"/>
  <c r="AO1454" i="1"/>
  <c r="AO1455" i="1"/>
  <c r="AO1456" i="1"/>
  <c r="AO1457" i="1"/>
  <c r="AO1458" i="1"/>
  <c r="AO1459" i="1"/>
  <c r="AO1460" i="1"/>
  <c r="AO1461" i="1"/>
  <c r="AO1462" i="1"/>
  <c r="AO1463" i="1"/>
  <c r="AO1464" i="1"/>
  <c r="AO1465" i="1"/>
  <c r="AO1466" i="1"/>
  <c r="AO1467" i="1"/>
  <c r="AO1468" i="1"/>
  <c r="AO1469" i="1"/>
  <c r="AO1470" i="1"/>
  <c r="AO1471" i="1"/>
  <c r="AN2" i="1"/>
  <c r="AN3" i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131" i="1"/>
  <c r="AN132" i="1"/>
  <c r="AN133" i="1"/>
  <c r="AN134" i="1"/>
  <c r="AN135" i="1"/>
  <c r="AN136" i="1"/>
  <c r="AN137" i="1"/>
  <c r="AN138" i="1"/>
  <c r="AN139" i="1"/>
  <c r="AN140" i="1"/>
  <c r="AN141" i="1"/>
  <c r="AN142" i="1"/>
  <c r="AN143" i="1"/>
  <c r="AN144" i="1"/>
  <c r="AN145" i="1"/>
  <c r="AN146" i="1"/>
  <c r="AN147" i="1"/>
  <c r="AN148" i="1"/>
  <c r="AN149" i="1"/>
  <c r="AN150" i="1"/>
  <c r="AN151" i="1"/>
  <c r="AN152" i="1"/>
  <c r="AN153" i="1"/>
  <c r="AN154" i="1"/>
  <c r="AN155" i="1"/>
  <c r="AN156" i="1"/>
  <c r="AN157" i="1"/>
  <c r="AN158" i="1"/>
  <c r="AN159" i="1"/>
  <c r="AN160" i="1"/>
  <c r="AN161" i="1"/>
  <c r="AN162" i="1"/>
  <c r="AN163" i="1"/>
  <c r="AN164" i="1"/>
  <c r="AN165" i="1"/>
  <c r="AN166" i="1"/>
  <c r="AN167" i="1"/>
  <c r="AN168" i="1"/>
  <c r="AN169" i="1"/>
  <c r="AN170" i="1"/>
  <c r="AN171" i="1"/>
  <c r="AN172" i="1"/>
  <c r="AN173" i="1"/>
  <c r="AN174" i="1"/>
  <c r="AN175" i="1"/>
  <c r="AN176" i="1"/>
  <c r="AN177" i="1"/>
  <c r="AN178" i="1"/>
  <c r="AN179" i="1"/>
  <c r="AN180" i="1"/>
  <c r="AN181" i="1"/>
  <c r="AN182" i="1"/>
  <c r="AN183" i="1"/>
  <c r="AN184" i="1"/>
  <c r="AN185" i="1"/>
  <c r="AN186" i="1"/>
  <c r="AN187" i="1"/>
  <c r="AN188" i="1"/>
  <c r="AN189" i="1"/>
  <c r="AN190" i="1"/>
  <c r="AN191" i="1"/>
  <c r="AN192" i="1"/>
  <c r="AN193" i="1"/>
  <c r="AN194" i="1"/>
  <c r="AN195" i="1"/>
  <c r="AN196" i="1"/>
  <c r="AN197" i="1"/>
  <c r="AN198" i="1"/>
  <c r="AN199" i="1"/>
  <c r="AN200" i="1"/>
  <c r="AN201" i="1"/>
  <c r="AN202" i="1"/>
  <c r="AN203" i="1"/>
  <c r="AN204" i="1"/>
  <c r="AN205" i="1"/>
  <c r="AN206" i="1"/>
  <c r="AN207" i="1"/>
  <c r="AN208" i="1"/>
  <c r="AN209" i="1"/>
  <c r="AN210" i="1"/>
  <c r="AN211" i="1"/>
  <c r="AN212" i="1"/>
  <c r="AN213" i="1"/>
  <c r="AN214" i="1"/>
  <c r="AN215" i="1"/>
  <c r="AN216" i="1"/>
  <c r="AN217" i="1"/>
  <c r="AN218" i="1"/>
  <c r="AN219" i="1"/>
  <c r="AN220" i="1"/>
  <c r="AN221" i="1"/>
  <c r="AN222" i="1"/>
  <c r="AN223" i="1"/>
  <c r="AN224" i="1"/>
  <c r="AN225" i="1"/>
  <c r="AN226" i="1"/>
  <c r="AN227" i="1"/>
  <c r="AN228" i="1"/>
  <c r="AN229" i="1"/>
  <c r="AN230" i="1"/>
  <c r="AN231" i="1"/>
  <c r="AN232" i="1"/>
  <c r="AN233" i="1"/>
  <c r="AN234" i="1"/>
  <c r="AN235" i="1"/>
  <c r="AN236" i="1"/>
  <c r="AN237" i="1"/>
  <c r="AN238" i="1"/>
  <c r="AN239" i="1"/>
  <c r="AN240" i="1"/>
  <c r="AN241" i="1"/>
  <c r="AN242" i="1"/>
  <c r="AN243" i="1"/>
  <c r="AN244" i="1"/>
  <c r="AN245" i="1"/>
  <c r="AN246" i="1"/>
  <c r="AN247" i="1"/>
  <c r="AN248" i="1"/>
  <c r="AN249" i="1"/>
  <c r="AN250" i="1"/>
  <c r="AN251" i="1"/>
  <c r="AN252" i="1"/>
  <c r="AN253" i="1"/>
  <c r="AN254" i="1"/>
  <c r="AN255" i="1"/>
  <c r="AN256" i="1"/>
  <c r="AN257" i="1"/>
  <c r="AN258" i="1"/>
  <c r="AN259" i="1"/>
  <c r="AN260" i="1"/>
  <c r="AN261" i="1"/>
  <c r="AN262" i="1"/>
  <c r="AN263" i="1"/>
  <c r="AN264" i="1"/>
  <c r="AN265" i="1"/>
  <c r="AN266" i="1"/>
  <c r="AN267" i="1"/>
  <c r="AN268" i="1"/>
  <c r="AN269" i="1"/>
  <c r="AN270" i="1"/>
  <c r="AN271" i="1"/>
  <c r="AN272" i="1"/>
  <c r="AN273" i="1"/>
  <c r="AN274" i="1"/>
  <c r="AN275" i="1"/>
  <c r="AN276" i="1"/>
  <c r="AN277" i="1"/>
  <c r="AN278" i="1"/>
  <c r="AN279" i="1"/>
  <c r="AN280" i="1"/>
  <c r="AN281" i="1"/>
  <c r="AN282" i="1"/>
  <c r="AN283" i="1"/>
  <c r="AN284" i="1"/>
  <c r="AN285" i="1"/>
  <c r="AN286" i="1"/>
  <c r="AN287" i="1"/>
  <c r="AN288" i="1"/>
  <c r="AN289" i="1"/>
  <c r="AN290" i="1"/>
  <c r="AN291" i="1"/>
  <c r="AN292" i="1"/>
  <c r="AN293" i="1"/>
  <c r="AN294" i="1"/>
  <c r="AN295" i="1"/>
  <c r="AN296" i="1"/>
  <c r="AN297" i="1"/>
  <c r="AN298" i="1"/>
  <c r="AN299" i="1"/>
  <c r="AN300" i="1"/>
  <c r="AN301" i="1"/>
  <c r="AN302" i="1"/>
  <c r="AN303" i="1"/>
  <c r="AN304" i="1"/>
  <c r="AN305" i="1"/>
  <c r="AN306" i="1"/>
  <c r="AN307" i="1"/>
  <c r="AN308" i="1"/>
  <c r="AN309" i="1"/>
  <c r="AN310" i="1"/>
  <c r="AN311" i="1"/>
  <c r="AN312" i="1"/>
  <c r="AN313" i="1"/>
  <c r="AN314" i="1"/>
  <c r="AN315" i="1"/>
  <c r="AN316" i="1"/>
  <c r="AN317" i="1"/>
  <c r="AN318" i="1"/>
  <c r="AN319" i="1"/>
  <c r="AN320" i="1"/>
  <c r="AN321" i="1"/>
  <c r="AN322" i="1"/>
  <c r="AN323" i="1"/>
  <c r="AN324" i="1"/>
  <c r="AN325" i="1"/>
  <c r="AN326" i="1"/>
  <c r="AN327" i="1"/>
  <c r="AN328" i="1"/>
  <c r="AN329" i="1"/>
  <c r="AN330" i="1"/>
  <c r="AN331" i="1"/>
  <c r="AN332" i="1"/>
  <c r="AN333" i="1"/>
  <c r="AN334" i="1"/>
  <c r="AN335" i="1"/>
  <c r="AN336" i="1"/>
  <c r="AN337" i="1"/>
  <c r="AN338" i="1"/>
  <c r="AN339" i="1"/>
  <c r="AN340" i="1"/>
  <c r="AN341" i="1"/>
  <c r="AN342" i="1"/>
  <c r="AN343" i="1"/>
  <c r="AN344" i="1"/>
  <c r="AN345" i="1"/>
  <c r="AN346" i="1"/>
  <c r="AN347" i="1"/>
  <c r="AN348" i="1"/>
  <c r="AN349" i="1"/>
  <c r="AN350" i="1"/>
  <c r="AN351" i="1"/>
  <c r="AN352" i="1"/>
  <c r="AN353" i="1"/>
  <c r="AN354" i="1"/>
  <c r="AN355" i="1"/>
  <c r="AN356" i="1"/>
  <c r="AN357" i="1"/>
  <c r="AN358" i="1"/>
  <c r="AN359" i="1"/>
  <c r="AN360" i="1"/>
  <c r="AN361" i="1"/>
  <c r="AN362" i="1"/>
  <c r="AN363" i="1"/>
  <c r="AN364" i="1"/>
  <c r="AN365" i="1"/>
  <c r="AN366" i="1"/>
  <c r="AN367" i="1"/>
  <c r="AN368" i="1"/>
  <c r="AN369" i="1"/>
  <c r="AN370" i="1"/>
  <c r="AN371" i="1"/>
  <c r="AN372" i="1"/>
  <c r="AN373" i="1"/>
  <c r="AN374" i="1"/>
  <c r="AN375" i="1"/>
  <c r="AN376" i="1"/>
  <c r="AN377" i="1"/>
  <c r="AN378" i="1"/>
  <c r="AN379" i="1"/>
  <c r="AN380" i="1"/>
  <c r="AN381" i="1"/>
  <c r="AN382" i="1"/>
  <c r="AN383" i="1"/>
  <c r="AN384" i="1"/>
  <c r="AN385" i="1"/>
  <c r="AN386" i="1"/>
  <c r="AN387" i="1"/>
  <c r="AN388" i="1"/>
  <c r="AN389" i="1"/>
  <c r="AN390" i="1"/>
  <c r="AN391" i="1"/>
  <c r="AN392" i="1"/>
  <c r="AN393" i="1"/>
  <c r="AN394" i="1"/>
  <c r="AN395" i="1"/>
  <c r="AN396" i="1"/>
  <c r="AN397" i="1"/>
  <c r="AN398" i="1"/>
  <c r="AN399" i="1"/>
  <c r="AN400" i="1"/>
  <c r="AN401" i="1"/>
  <c r="AN402" i="1"/>
  <c r="AN403" i="1"/>
  <c r="AN404" i="1"/>
  <c r="AN405" i="1"/>
  <c r="AN406" i="1"/>
  <c r="AN407" i="1"/>
  <c r="AN408" i="1"/>
  <c r="AN409" i="1"/>
  <c r="AN410" i="1"/>
  <c r="AN411" i="1"/>
  <c r="AN412" i="1"/>
  <c r="AN413" i="1"/>
  <c r="AN414" i="1"/>
  <c r="AN415" i="1"/>
  <c r="AN416" i="1"/>
  <c r="AN417" i="1"/>
  <c r="AN418" i="1"/>
  <c r="AN419" i="1"/>
  <c r="AN420" i="1"/>
  <c r="AN421" i="1"/>
  <c r="AN422" i="1"/>
  <c r="AN423" i="1"/>
  <c r="AN424" i="1"/>
  <c r="AN425" i="1"/>
  <c r="AN426" i="1"/>
  <c r="AN427" i="1"/>
  <c r="AN428" i="1"/>
  <c r="AN429" i="1"/>
  <c r="AN430" i="1"/>
  <c r="AN431" i="1"/>
  <c r="AN432" i="1"/>
  <c r="AN433" i="1"/>
  <c r="AN434" i="1"/>
  <c r="AN435" i="1"/>
  <c r="AN436" i="1"/>
  <c r="AN437" i="1"/>
  <c r="AN438" i="1"/>
  <c r="AN439" i="1"/>
  <c r="AN440" i="1"/>
  <c r="AN441" i="1"/>
  <c r="AN442" i="1"/>
  <c r="AN443" i="1"/>
  <c r="AN444" i="1"/>
  <c r="AN445" i="1"/>
  <c r="AN446" i="1"/>
  <c r="AN447" i="1"/>
  <c r="AN448" i="1"/>
  <c r="AN449" i="1"/>
  <c r="AN450" i="1"/>
  <c r="AN451" i="1"/>
  <c r="AN452" i="1"/>
  <c r="AN453" i="1"/>
  <c r="AN454" i="1"/>
  <c r="AN455" i="1"/>
  <c r="AN456" i="1"/>
  <c r="AN457" i="1"/>
  <c r="AN458" i="1"/>
  <c r="AN459" i="1"/>
  <c r="AN460" i="1"/>
  <c r="AN461" i="1"/>
  <c r="AN462" i="1"/>
  <c r="AN463" i="1"/>
  <c r="AN464" i="1"/>
  <c r="AN465" i="1"/>
  <c r="AN466" i="1"/>
  <c r="AN467" i="1"/>
  <c r="AN468" i="1"/>
  <c r="AN469" i="1"/>
  <c r="AN470" i="1"/>
  <c r="AN471" i="1"/>
  <c r="AN472" i="1"/>
  <c r="AN473" i="1"/>
  <c r="AN474" i="1"/>
  <c r="AN475" i="1"/>
  <c r="AN476" i="1"/>
  <c r="AN477" i="1"/>
  <c r="AN478" i="1"/>
  <c r="AN479" i="1"/>
  <c r="AN480" i="1"/>
  <c r="AN481" i="1"/>
  <c r="AN482" i="1"/>
  <c r="AN483" i="1"/>
  <c r="AN484" i="1"/>
  <c r="AN485" i="1"/>
  <c r="AN486" i="1"/>
  <c r="AN487" i="1"/>
  <c r="AN488" i="1"/>
  <c r="AN489" i="1"/>
  <c r="AN490" i="1"/>
  <c r="AN491" i="1"/>
  <c r="AN492" i="1"/>
  <c r="AN493" i="1"/>
  <c r="AN494" i="1"/>
  <c r="AN495" i="1"/>
  <c r="AN496" i="1"/>
  <c r="AN497" i="1"/>
  <c r="AN498" i="1"/>
  <c r="AN499" i="1"/>
  <c r="AN500" i="1"/>
  <c r="AN501" i="1"/>
  <c r="AN502" i="1"/>
  <c r="AN503" i="1"/>
  <c r="AN504" i="1"/>
  <c r="AN505" i="1"/>
  <c r="AN506" i="1"/>
  <c r="AN507" i="1"/>
  <c r="AN508" i="1"/>
  <c r="AN509" i="1"/>
  <c r="AN510" i="1"/>
  <c r="AN511" i="1"/>
  <c r="AN512" i="1"/>
  <c r="AN513" i="1"/>
  <c r="AN514" i="1"/>
  <c r="AN515" i="1"/>
  <c r="AN516" i="1"/>
  <c r="AN517" i="1"/>
  <c r="AN518" i="1"/>
  <c r="AN519" i="1"/>
  <c r="AN520" i="1"/>
  <c r="AN521" i="1"/>
  <c r="AN522" i="1"/>
  <c r="AN523" i="1"/>
  <c r="AN524" i="1"/>
  <c r="AN525" i="1"/>
  <c r="AN526" i="1"/>
  <c r="AN527" i="1"/>
  <c r="AN528" i="1"/>
  <c r="AN529" i="1"/>
  <c r="AN530" i="1"/>
  <c r="AN531" i="1"/>
  <c r="AN532" i="1"/>
  <c r="AN533" i="1"/>
  <c r="AN534" i="1"/>
  <c r="AN535" i="1"/>
  <c r="AN536" i="1"/>
  <c r="AN537" i="1"/>
  <c r="AN538" i="1"/>
  <c r="AN539" i="1"/>
  <c r="AN540" i="1"/>
  <c r="AN541" i="1"/>
  <c r="AN542" i="1"/>
  <c r="AN543" i="1"/>
  <c r="AN544" i="1"/>
  <c r="AN545" i="1"/>
  <c r="AN546" i="1"/>
  <c r="AN547" i="1"/>
  <c r="AN548" i="1"/>
  <c r="AN549" i="1"/>
  <c r="AN550" i="1"/>
  <c r="AN551" i="1"/>
  <c r="AN552" i="1"/>
  <c r="AN553" i="1"/>
  <c r="AN554" i="1"/>
  <c r="AN555" i="1"/>
  <c r="AN556" i="1"/>
  <c r="AN557" i="1"/>
  <c r="AN558" i="1"/>
  <c r="AN559" i="1"/>
  <c r="AN560" i="1"/>
  <c r="AN561" i="1"/>
  <c r="AN562" i="1"/>
  <c r="AN563" i="1"/>
  <c r="AN564" i="1"/>
  <c r="AN565" i="1"/>
  <c r="AN566" i="1"/>
  <c r="AN567" i="1"/>
  <c r="AN568" i="1"/>
  <c r="AN569" i="1"/>
  <c r="AN570" i="1"/>
  <c r="AN571" i="1"/>
  <c r="AN572" i="1"/>
  <c r="AN573" i="1"/>
  <c r="AN574" i="1"/>
  <c r="AN575" i="1"/>
  <c r="AN576" i="1"/>
  <c r="AN577" i="1"/>
  <c r="AN578" i="1"/>
  <c r="AN579" i="1"/>
  <c r="AN580" i="1"/>
  <c r="AN581" i="1"/>
  <c r="AN582" i="1"/>
  <c r="AN583" i="1"/>
  <c r="AN584" i="1"/>
  <c r="AN585" i="1"/>
  <c r="AN586" i="1"/>
  <c r="AN587" i="1"/>
  <c r="AN588" i="1"/>
  <c r="AN589" i="1"/>
  <c r="AN590" i="1"/>
  <c r="AN591" i="1"/>
  <c r="AN592" i="1"/>
  <c r="AN593" i="1"/>
  <c r="AN594" i="1"/>
  <c r="AN595" i="1"/>
  <c r="AN596" i="1"/>
  <c r="AN597" i="1"/>
  <c r="AN598" i="1"/>
  <c r="AN599" i="1"/>
  <c r="AN600" i="1"/>
  <c r="AN601" i="1"/>
  <c r="AN602" i="1"/>
  <c r="AN603" i="1"/>
  <c r="AN604" i="1"/>
  <c r="AN605" i="1"/>
  <c r="AN606" i="1"/>
  <c r="AN607" i="1"/>
  <c r="AN608" i="1"/>
  <c r="AN609" i="1"/>
  <c r="AN610" i="1"/>
  <c r="AN611" i="1"/>
  <c r="AN612" i="1"/>
  <c r="AN613" i="1"/>
  <c r="AN614" i="1"/>
  <c r="AN615" i="1"/>
  <c r="AN616" i="1"/>
  <c r="AN617" i="1"/>
  <c r="AN618" i="1"/>
  <c r="AN619" i="1"/>
  <c r="AN620" i="1"/>
  <c r="AN621" i="1"/>
  <c r="AN622" i="1"/>
  <c r="AN623" i="1"/>
  <c r="AN624" i="1"/>
  <c r="AN625" i="1"/>
  <c r="AN626" i="1"/>
  <c r="AN627" i="1"/>
  <c r="AN628" i="1"/>
  <c r="AN629" i="1"/>
  <c r="AN630" i="1"/>
  <c r="AN631" i="1"/>
  <c r="AN632" i="1"/>
  <c r="AN633" i="1"/>
  <c r="AN634" i="1"/>
  <c r="AN635" i="1"/>
  <c r="AN636" i="1"/>
  <c r="AN637" i="1"/>
  <c r="AN638" i="1"/>
  <c r="AN639" i="1"/>
  <c r="AN640" i="1"/>
  <c r="AN641" i="1"/>
  <c r="AN642" i="1"/>
  <c r="AN643" i="1"/>
  <c r="AN644" i="1"/>
  <c r="AN645" i="1"/>
  <c r="AN646" i="1"/>
  <c r="AN647" i="1"/>
  <c r="AN648" i="1"/>
  <c r="AN649" i="1"/>
  <c r="AN650" i="1"/>
  <c r="AN651" i="1"/>
  <c r="AN652" i="1"/>
  <c r="AN653" i="1"/>
  <c r="AN654" i="1"/>
  <c r="AN655" i="1"/>
  <c r="AN656" i="1"/>
  <c r="AN657" i="1"/>
  <c r="AN658" i="1"/>
  <c r="AN659" i="1"/>
  <c r="AN660" i="1"/>
  <c r="AN661" i="1"/>
  <c r="AN662" i="1"/>
  <c r="AN663" i="1"/>
  <c r="AN664" i="1"/>
  <c r="AN665" i="1"/>
  <c r="AN666" i="1"/>
  <c r="AN667" i="1"/>
  <c r="AN668" i="1"/>
  <c r="AN669" i="1"/>
  <c r="AN670" i="1"/>
  <c r="AN671" i="1"/>
  <c r="AN672" i="1"/>
  <c r="AN673" i="1"/>
  <c r="AN674" i="1"/>
  <c r="AN675" i="1"/>
  <c r="AN676" i="1"/>
  <c r="AN677" i="1"/>
  <c r="AN678" i="1"/>
  <c r="AN679" i="1"/>
  <c r="AN680" i="1"/>
  <c r="AN681" i="1"/>
  <c r="AN682" i="1"/>
  <c r="AN683" i="1"/>
  <c r="AN684" i="1"/>
  <c r="AN685" i="1"/>
  <c r="AN686" i="1"/>
  <c r="AN687" i="1"/>
  <c r="AN688" i="1"/>
  <c r="AN689" i="1"/>
  <c r="AN690" i="1"/>
  <c r="AN691" i="1"/>
  <c r="AN692" i="1"/>
  <c r="AN693" i="1"/>
  <c r="AN694" i="1"/>
  <c r="AN695" i="1"/>
  <c r="AN696" i="1"/>
  <c r="AN697" i="1"/>
  <c r="AN698" i="1"/>
  <c r="AN699" i="1"/>
  <c r="AN700" i="1"/>
  <c r="AN701" i="1"/>
  <c r="AN702" i="1"/>
  <c r="AN703" i="1"/>
  <c r="AN704" i="1"/>
  <c r="AN705" i="1"/>
  <c r="AN706" i="1"/>
  <c r="AN707" i="1"/>
  <c r="AN708" i="1"/>
  <c r="AN709" i="1"/>
  <c r="AN710" i="1"/>
  <c r="AN711" i="1"/>
  <c r="AN712" i="1"/>
  <c r="AN713" i="1"/>
  <c r="AN714" i="1"/>
  <c r="AN715" i="1"/>
  <c r="AN716" i="1"/>
  <c r="AN717" i="1"/>
  <c r="AN718" i="1"/>
  <c r="AN719" i="1"/>
  <c r="AN720" i="1"/>
  <c r="AN721" i="1"/>
  <c r="AN722" i="1"/>
  <c r="AN723" i="1"/>
  <c r="AN724" i="1"/>
  <c r="AN725" i="1"/>
  <c r="AN726" i="1"/>
  <c r="AN727" i="1"/>
  <c r="AN728" i="1"/>
  <c r="AN729" i="1"/>
  <c r="AN730" i="1"/>
  <c r="AN731" i="1"/>
  <c r="AN732" i="1"/>
  <c r="AN733" i="1"/>
  <c r="AN734" i="1"/>
  <c r="AN735" i="1"/>
  <c r="AN736" i="1"/>
  <c r="AN737" i="1"/>
  <c r="AN738" i="1"/>
  <c r="AN739" i="1"/>
  <c r="AN740" i="1"/>
  <c r="AN741" i="1"/>
  <c r="AN742" i="1"/>
  <c r="AN743" i="1"/>
  <c r="AN744" i="1"/>
  <c r="AN745" i="1"/>
  <c r="AN746" i="1"/>
  <c r="AN747" i="1"/>
  <c r="AN748" i="1"/>
  <c r="AN749" i="1"/>
  <c r="AN750" i="1"/>
  <c r="AN751" i="1"/>
  <c r="AN752" i="1"/>
  <c r="AN753" i="1"/>
  <c r="AN754" i="1"/>
  <c r="AN755" i="1"/>
  <c r="AN756" i="1"/>
  <c r="AN757" i="1"/>
  <c r="AN758" i="1"/>
  <c r="AN759" i="1"/>
  <c r="AN760" i="1"/>
  <c r="AN761" i="1"/>
  <c r="AN762" i="1"/>
  <c r="AN763" i="1"/>
  <c r="AN764" i="1"/>
  <c r="AN765" i="1"/>
  <c r="AN766" i="1"/>
  <c r="AN767" i="1"/>
  <c r="AN768" i="1"/>
  <c r="AN769" i="1"/>
  <c r="AN770" i="1"/>
  <c r="AN771" i="1"/>
  <c r="AN772" i="1"/>
  <c r="AN773" i="1"/>
  <c r="AN774" i="1"/>
  <c r="AN775" i="1"/>
  <c r="AN776" i="1"/>
  <c r="AN777" i="1"/>
  <c r="AN778" i="1"/>
  <c r="AN779" i="1"/>
  <c r="AN780" i="1"/>
  <c r="AN781" i="1"/>
  <c r="AN782" i="1"/>
  <c r="AN783" i="1"/>
  <c r="AN784" i="1"/>
  <c r="AN785" i="1"/>
  <c r="AN786" i="1"/>
  <c r="AN787" i="1"/>
  <c r="AN788" i="1"/>
  <c r="AN789" i="1"/>
  <c r="AN790" i="1"/>
  <c r="AN791" i="1"/>
  <c r="AN792" i="1"/>
  <c r="AN793" i="1"/>
  <c r="AN794" i="1"/>
  <c r="AN795" i="1"/>
  <c r="AN796" i="1"/>
  <c r="AN797" i="1"/>
  <c r="AN798" i="1"/>
  <c r="AN799" i="1"/>
  <c r="AN800" i="1"/>
  <c r="AN801" i="1"/>
  <c r="AN802" i="1"/>
  <c r="AN803" i="1"/>
  <c r="AN804" i="1"/>
  <c r="AN805" i="1"/>
  <c r="AN806" i="1"/>
  <c r="AN807" i="1"/>
  <c r="AN808" i="1"/>
  <c r="AN809" i="1"/>
  <c r="AN810" i="1"/>
  <c r="AN811" i="1"/>
  <c r="AN812" i="1"/>
  <c r="AN813" i="1"/>
  <c r="AN814" i="1"/>
  <c r="AN815" i="1"/>
  <c r="AN816" i="1"/>
  <c r="AN817" i="1"/>
  <c r="AN818" i="1"/>
  <c r="AN819" i="1"/>
  <c r="AN820" i="1"/>
  <c r="AN821" i="1"/>
  <c r="AN822" i="1"/>
  <c r="AN823" i="1"/>
  <c r="AN824" i="1"/>
  <c r="AN825" i="1"/>
  <c r="AN826" i="1"/>
  <c r="AN827" i="1"/>
  <c r="AN828" i="1"/>
  <c r="AN829" i="1"/>
  <c r="AN830" i="1"/>
  <c r="AN831" i="1"/>
  <c r="AN832" i="1"/>
  <c r="AN833" i="1"/>
  <c r="AN834" i="1"/>
  <c r="AN835" i="1"/>
  <c r="AN836" i="1"/>
  <c r="AN837" i="1"/>
  <c r="AN838" i="1"/>
  <c r="AN839" i="1"/>
  <c r="AN840" i="1"/>
  <c r="AN841" i="1"/>
  <c r="AN842" i="1"/>
  <c r="AN843" i="1"/>
  <c r="AN844" i="1"/>
  <c r="AN845" i="1"/>
  <c r="AN846" i="1"/>
  <c r="AN847" i="1"/>
  <c r="AN848" i="1"/>
  <c r="AN849" i="1"/>
  <c r="AN850" i="1"/>
  <c r="AN851" i="1"/>
  <c r="AN852" i="1"/>
  <c r="AN853" i="1"/>
  <c r="AN854" i="1"/>
  <c r="AN855" i="1"/>
  <c r="AN856" i="1"/>
  <c r="AN857" i="1"/>
  <c r="AN858" i="1"/>
  <c r="AN859" i="1"/>
  <c r="AN860" i="1"/>
  <c r="AN861" i="1"/>
  <c r="AN862" i="1"/>
  <c r="AN863" i="1"/>
  <c r="AN864" i="1"/>
  <c r="AN865" i="1"/>
  <c r="AN866" i="1"/>
  <c r="AN867" i="1"/>
  <c r="AN868" i="1"/>
  <c r="AN869" i="1"/>
  <c r="AN870" i="1"/>
  <c r="AN871" i="1"/>
  <c r="AN872" i="1"/>
  <c r="AN873" i="1"/>
  <c r="AN874" i="1"/>
  <c r="AN875" i="1"/>
  <c r="AN876" i="1"/>
  <c r="AN877" i="1"/>
  <c r="AN878" i="1"/>
  <c r="AN879" i="1"/>
  <c r="AN880" i="1"/>
  <c r="AN881" i="1"/>
  <c r="AN882" i="1"/>
  <c r="AN883" i="1"/>
  <c r="AN884" i="1"/>
  <c r="AN885" i="1"/>
  <c r="AN886" i="1"/>
  <c r="AN887" i="1"/>
  <c r="AN888" i="1"/>
  <c r="AN889" i="1"/>
  <c r="AN890" i="1"/>
  <c r="AN891" i="1"/>
  <c r="AN892" i="1"/>
  <c r="AN893" i="1"/>
  <c r="AN894" i="1"/>
  <c r="AN895" i="1"/>
  <c r="AN896" i="1"/>
  <c r="AN897" i="1"/>
  <c r="AN898" i="1"/>
  <c r="AN899" i="1"/>
  <c r="AN900" i="1"/>
  <c r="AN901" i="1"/>
  <c r="AN902" i="1"/>
  <c r="AN903" i="1"/>
  <c r="AN904" i="1"/>
  <c r="AN905" i="1"/>
  <c r="AN906" i="1"/>
  <c r="AN907" i="1"/>
  <c r="AN908" i="1"/>
  <c r="AN909" i="1"/>
  <c r="AN910" i="1"/>
  <c r="AN911" i="1"/>
  <c r="AN912" i="1"/>
  <c r="AN913" i="1"/>
  <c r="AN914" i="1"/>
  <c r="AN915" i="1"/>
  <c r="AN916" i="1"/>
  <c r="AN917" i="1"/>
  <c r="AN918" i="1"/>
  <c r="AN919" i="1"/>
  <c r="AN920" i="1"/>
  <c r="AN921" i="1"/>
  <c r="AN922" i="1"/>
  <c r="AN923" i="1"/>
  <c r="AN924" i="1"/>
  <c r="AN925" i="1"/>
  <c r="AN926" i="1"/>
  <c r="AN927" i="1"/>
  <c r="AN928" i="1"/>
  <c r="AN929" i="1"/>
  <c r="AN930" i="1"/>
  <c r="AN931" i="1"/>
  <c r="AN932" i="1"/>
  <c r="AN933" i="1"/>
  <c r="AN934" i="1"/>
  <c r="AN935" i="1"/>
  <c r="AN936" i="1"/>
  <c r="AN937" i="1"/>
  <c r="AN938" i="1"/>
  <c r="AN939" i="1"/>
  <c r="AN940" i="1"/>
  <c r="AN941" i="1"/>
  <c r="AN942" i="1"/>
  <c r="AN943" i="1"/>
  <c r="AN944" i="1"/>
  <c r="AN945" i="1"/>
  <c r="AN946" i="1"/>
  <c r="AN947" i="1"/>
  <c r="AN948" i="1"/>
  <c r="AN949" i="1"/>
  <c r="AN950" i="1"/>
  <c r="AN951" i="1"/>
  <c r="AN952" i="1"/>
  <c r="AN953" i="1"/>
  <c r="AN954" i="1"/>
  <c r="AN955" i="1"/>
  <c r="AN956" i="1"/>
  <c r="AN957" i="1"/>
  <c r="AN958" i="1"/>
  <c r="AN959" i="1"/>
  <c r="AN960" i="1"/>
  <c r="AN961" i="1"/>
  <c r="AN962" i="1"/>
  <c r="AN963" i="1"/>
  <c r="AN964" i="1"/>
  <c r="AN965" i="1"/>
  <c r="AN966" i="1"/>
  <c r="AN967" i="1"/>
  <c r="AN968" i="1"/>
  <c r="AN969" i="1"/>
  <c r="AN970" i="1"/>
  <c r="AN971" i="1"/>
  <c r="AN972" i="1"/>
  <c r="AN973" i="1"/>
  <c r="AN974" i="1"/>
  <c r="AN975" i="1"/>
  <c r="AN976" i="1"/>
  <c r="AN977" i="1"/>
  <c r="AN978" i="1"/>
  <c r="AN979" i="1"/>
  <c r="AN980" i="1"/>
  <c r="AN981" i="1"/>
  <c r="AN982" i="1"/>
  <c r="AN983" i="1"/>
  <c r="AN984" i="1"/>
  <c r="AN985" i="1"/>
  <c r="AN986" i="1"/>
  <c r="AN987" i="1"/>
  <c r="AN988" i="1"/>
  <c r="AN989" i="1"/>
  <c r="AN990" i="1"/>
  <c r="AN991" i="1"/>
  <c r="AN992" i="1"/>
  <c r="AN993" i="1"/>
  <c r="AN994" i="1"/>
  <c r="AN995" i="1"/>
  <c r="AN996" i="1"/>
  <c r="AN997" i="1"/>
  <c r="AN998" i="1"/>
  <c r="AN999" i="1"/>
  <c r="AN1000" i="1"/>
  <c r="AN1001" i="1"/>
  <c r="AN1002" i="1"/>
  <c r="AN1003" i="1"/>
  <c r="AN1004" i="1"/>
  <c r="AN1005" i="1"/>
  <c r="AN1006" i="1"/>
  <c r="AN1007" i="1"/>
  <c r="AN1008" i="1"/>
  <c r="AN1009" i="1"/>
  <c r="AN1010" i="1"/>
  <c r="AN1011" i="1"/>
  <c r="AN1012" i="1"/>
  <c r="AN1013" i="1"/>
  <c r="AN1014" i="1"/>
  <c r="AN1015" i="1"/>
  <c r="AN1016" i="1"/>
  <c r="AN1017" i="1"/>
  <c r="AN1018" i="1"/>
  <c r="AN1019" i="1"/>
  <c r="AN1020" i="1"/>
  <c r="AN1021" i="1"/>
  <c r="AN1022" i="1"/>
  <c r="AN1023" i="1"/>
  <c r="AN1024" i="1"/>
  <c r="AN1025" i="1"/>
  <c r="AN1026" i="1"/>
  <c r="AN1027" i="1"/>
  <c r="AN1028" i="1"/>
  <c r="AN1029" i="1"/>
  <c r="AN1030" i="1"/>
  <c r="AN1031" i="1"/>
  <c r="AN1032" i="1"/>
  <c r="AN1033" i="1"/>
  <c r="AN1034" i="1"/>
  <c r="AN1035" i="1"/>
  <c r="AN1036" i="1"/>
  <c r="AN1037" i="1"/>
  <c r="AN1038" i="1"/>
  <c r="AN1039" i="1"/>
  <c r="AN1040" i="1"/>
  <c r="AN1041" i="1"/>
  <c r="AN1042" i="1"/>
  <c r="AN1043" i="1"/>
  <c r="AN1044" i="1"/>
  <c r="AN1045" i="1"/>
  <c r="AN1046" i="1"/>
  <c r="AN1047" i="1"/>
  <c r="AN1048" i="1"/>
  <c r="AN1049" i="1"/>
  <c r="AN1050" i="1"/>
  <c r="AN1051" i="1"/>
  <c r="AN1052" i="1"/>
  <c r="AN1053" i="1"/>
  <c r="AN1054" i="1"/>
  <c r="AN1055" i="1"/>
  <c r="AN1056" i="1"/>
  <c r="AN1057" i="1"/>
  <c r="AN1058" i="1"/>
  <c r="AN1059" i="1"/>
  <c r="AN1060" i="1"/>
  <c r="AN1061" i="1"/>
  <c r="AN1062" i="1"/>
  <c r="AN1063" i="1"/>
  <c r="AN1064" i="1"/>
  <c r="AN1065" i="1"/>
  <c r="AN1066" i="1"/>
  <c r="AN1067" i="1"/>
  <c r="AN1068" i="1"/>
  <c r="AN1069" i="1"/>
  <c r="AN1070" i="1"/>
  <c r="AN1071" i="1"/>
  <c r="AN1072" i="1"/>
  <c r="AN1073" i="1"/>
  <c r="AN1074" i="1"/>
  <c r="AN1075" i="1"/>
  <c r="AN1076" i="1"/>
  <c r="AN1077" i="1"/>
  <c r="AN1078" i="1"/>
  <c r="AN1079" i="1"/>
  <c r="AN1080" i="1"/>
  <c r="AN1081" i="1"/>
  <c r="AN1082" i="1"/>
  <c r="AN1083" i="1"/>
  <c r="AN1084" i="1"/>
  <c r="AN1085" i="1"/>
  <c r="AN1086" i="1"/>
  <c r="AN1087" i="1"/>
  <c r="AN1088" i="1"/>
  <c r="AN1089" i="1"/>
  <c r="AN1090" i="1"/>
  <c r="AN1091" i="1"/>
  <c r="AN1092" i="1"/>
  <c r="AN1093" i="1"/>
  <c r="AN1094" i="1"/>
  <c r="AN1095" i="1"/>
  <c r="AN1096" i="1"/>
  <c r="AN1097" i="1"/>
  <c r="AN1098" i="1"/>
  <c r="AN1099" i="1"/>
  <c r="AN1100" i="1"/>
  <c r="AN1101" i="1"/>
  <c r="AN1102" i="1"/>
  <c r="AN1103" i="1"/>
  <c r="AN1104" i="1"/>
  <c r="AN1105" i="1"/>
  <c r="AN1106" i="1"/>
  <c r="AN1107" i="1"/>
  <c r="AN1108" i="1"/>
  <c r="AN1109" i="1"/>
  <c r="AN1110" i="1"/>
  <c r="AN1111" i="1"/>
  <c r="AN1112" i="1"/>
  <c r="AN1113" i="1"/>
  <c r="AN1114" i="1"/>
  <c r="AN1115" i="1"/>
  <c r="AN1116" i="1"/>
  <c r="AN1117" i="1"/>
  <c r="AN1118" i="1"/>
  <c r="AN1119" i="1"/>
  <c r="AN1120" i="1"/>
  <c r="AN1121" i="1"/>
  <c r="AN1122" i="1"/>
  <c r="AN1123" i="1"/>
  <c r="AN1124" i="1"/>
  <c r="AN1125" i="1"/>
  <c r="AN1126" i="1"/>
  <c r="AN1127" i="1"/>
  <c r="AN1128" i="1"/>
  <c r="AN1129" i="1"/>
  <c r="AN1130" i="1"/>
  <c r="AN1131" i="1"/>
  <c r="AN1132" i="1"/>
  <c r="AN1133" i="1"/>
  <c r="AN1134" i="1"/>
  <c r="AN1135" i="1"/>
  <c r="AN1136" i="1"/>
  <c r="AN1137" i="1"/>
  <c r="AN1138" i="1"/>
  <c r="AN1139" i="1"/>
  <c r="AN1140" i="1"/>
  <c r="AN1141" i="1"/>
  <c r="AN1142" i="1"/>
  <c r="AN1143" i="1"/>
  <c r="AN1144" i="1"/>
  <c r="AN1145" i="1"/>
  <c r="AN1146" i="1"/>
  <c r="AN1147" i="1"/>
  <c r="AN1148" i="1"/>
  <c r="AN1149" i="1"/>
  <c r="AN1150" i="1"/>
  <c r="AN1151" i="1"/>
  <c r="AN1152" i="1"/>
  <c r="AN1153" i="1"/>
  <c r="AN1154" i="1"/>
  <c r="AN1155" i="1"/>
  <c r="AN1156" i="1"/>
  <c r="AN1157" i="1"/>
  <c r="AN1158" i="1"/>
  <c r="AN1159" i="1"/>
  <c r="AN1160" i="1"/>
  <c r="AN1161" i="1"/>
  <c r="AN1162" i="1"/>
  <c r="AN1163" i="1"/>
  <c r="AN1164" i="1"/>
  <c r="AN1165" i="1"/>
  <c r="AN1166" i="1"/>
  <c r="AN1167" i="1"/>
  <c r="AN1168" i="1"/>
  <c r="AN1169" i="1"/>
  <c r="AN1170" i="1"/>
  <c r="AN1171" i="1"/>
  <c r="AN1172" i="1"/>
  <c r="AN1173" i="1"/>
  <c r="AN1174" i="1"/>
  <c r="AN1175" i="1"/>
  <c r="AN1176" i="1"/>
  <c r="AN1177" i="1"/>
  <c r="AN1178" i="1"/>
  <c r="AN1179" i="1"/>
  <c r="AN1180" i="1"/>
  <c r="AN1181" i="1"/>
  <c r="AN1182" i="1"/>
  <c r="AN1183" i="1"/>
  <c r="AN1184" i="1"/>
  <c r="AN1185" i="1"/>
  <c r="AN1186" i="1"/>
  <c r="AN1187" i="1"/>
  <c r="AN1188" i="1"/>
  <c r="AN1189" i="1"/>
  <c r="AN1190" i="1"/>
  <c r="AN1191" i="1"/>
  <c r="AN1192" i="1"/>
  <c r="AN1193" i="1"/>
  <c r="AN1194" i="1"/>
  <c r="AN1195" i="1"/>
  <c r="AN1196" i="1"/>
  <c r="AN1197" i="1"/>
  <c r="AN1198" i="1"/>
  <c r="AN1199" i="1"/>
  <c r="AN1200" i="1"/>
  <c r="AN1201" i="1"/>
  <c r="AN1202" i="1"/>
  <c r="AN1203" i="1"/>
  <c r="AN1204" i="1"/>
  <c r="AN1205" i="1"/>
  <c r="AN1206" i="1"/>
  <c r="AN1207" i="1"/>
  <c r="AN1208" i="1"/>
  <c r="AN1209" i="1"/>
  <c r="AN1210" i="1"/>
  <c r="AN1211" i="1"/>
  <c r="AN1212" i="1"/>
  <c r="AN1213" i="1"/>
  <c r="AN1214" i="1"/>
  <c r="AN1215" i="1"/>
  <c r="AN1216" i="1"/>
  <c r="AN1217" i="1"/>
  <c r="AN1218" i="1"/>
  <c r="AN1219" i="1"/>
  <c r="AN1220" i="1"/>
  <c r="AN1221" i="1"/>
  <c r="AN1222" i="1"/>
  <c r="AN1223" i="1"/>
  <c r="AN1224" i="1"/>
  <c r="AN1225" i="1"/>
  <c r="AN1226" i="1"/>
  <c r="AN1227" i="1"/>
  <c r="AN1228" i="1"/>
  <c r="AN1229" i="1"/>
  <c r="AN1230" i="1"/>
  <c r="AN1231" i="1"/>
  <c r="AN1232" i="1"/>
  <c r="AN1233" i="1"/>
  <c r="AN1234" i="1"/>
  <c r="AN1235" i="1"/>
  <c r="AN1236" i="1"/>
  <c r="AN1237" i="1"/>
  <c r="AN1238" i="1"/>
  <c r="AN1239" i="1"/>
  <c r="AN1240" i="1"/>
  <c r="AN1241" i="1"/>
  <c r="AN1242" i="1"/>
  <c r="AN1243" i="1"/>
  <c r="AN1244" i="1"/>
  <c r="AN1245" i="1"/>
  <c r="AN1246" i="1"/>
  <c r="AN1247" i="1"/>
  <c r="AN1248" i="1"/>
  <c r="AN1249" i="1"/>
  <c r="AN1250" i="1"/>
  <c r="AN1251" i="1"/>
  <c r="AN1252" i="1"/>
  <c r="AN1253" i="1"/>
  <c r="AN1254" i="1"/>
  <c r="AN1255" i="1"/>
  <c r="AN1256" i="1"/>
  <c r="AN1257" i="1"/>
  <c r="AN1258" i="1"/>
  <c r="AN1259" i="1"/>
  <c r="AN1260" i="1"/>
  <c r="AN1261" i="1"/>
  <c r="AN1262" i="1"/>
  <c r="AN1263" i="1"/>
  <c r="AN1264" i="1"/>
  <c r="AN1265" i="1"/>
  <c r="AN1266" i="1"/>
  <c r="AN1267" i="1"/>
  <c r="AN1268" i="1"/>
  <c r="AN1269" i="1"/>
  <c r="AN1270" i="1"/>
  <c r="AN1271" i="1"/>
  <c r="AN1272" i="1"/>
  <c r="AN1273" i="1"/>
  <c r="AN1274" i="1"/>
  <c r="AN1275" i="1"/>
  <c r="AN1276" i="1"/>
  <c r="AN1277" i="1"/>
  <c r="AN1278" i="1"/>
  <c r="AN1279" i="1"/>
  <c r="AN1280" i="1"/>
  <c r="AN1281" i="1"/>
  <c r="AN1282" i="1"/>
  <c r="AN1283" i="1"/>
  <c r="AN1284" i="1"/>
  <c r="AN1285" i="1"/>
  <c r="AN1286" i="1"/>
  <c r="AN1287" i="1"/>
  <c r="AN1288" i="1"/>
  <c r="AN1289" i="1"/>
  <c r="AN1290" i="1"/>
  <c r="AN1291" i="1"/>
  <c r="AN1292" i="1"/>
  <c r="AN1293" i="1"/>
  <c r="AN1294" i="1"/>
  <c r="AN1295" i="1"/>
  <c r="AN1296" i="1"/>
  <c r="AN1297" i="1"/>
  <c r="AN1298" i="1"/>
  <c r="AN1299" i="1"/>
  <c r="AN1300" i="1"/>
  <c r="AN1301" i="1"/>
  <c r="AN1302" i="1"/>
  <c r="AN1303" i="1"/>
  <c r="AN1304" i="1"/>
  <c r="AN1305" i="1"/>
  <c r="AN1306" i="1"/>
  <c r="AN1307" i="1"/>
  <c r="AN1308" i="1"/>
  <c r="AN1309" i="1"/>
  <c r="AN1310" i="1"/>
  <c r="AN1311" i="1"/>
  <c r="AN1312" i="1"/>
  <c r="AN1313" i="1"/>
  <c r="AN1314" i="1"/>
  <c r="AN1315" i="1"/>
  <c r="AN1316" i="1"/>
  <c r="AN1317" i="1"/>
  <c r="AN1318" i="1"/>
  <c r="AN1319" i="1"/>
  <c r="AN1320" i="1"/>
  <c r="AN1321" i="1"/>
  <c r="AN1322" i="1"/>
  <c r="AN1323" i="1"/>
  <c r="AN1324" i="1"/>
  <c r="AN1325" i="1"/>
  <c r="AN1326" i="1"/>
  <c r="AN1327" i="1"/>
  <c r="AN1328" i="1"/>
  <c r="AN1329" i="1"/>
  <c r="AN1330" i="1"/>
  <c r="AN1331" i="1"/>
  <c r="AN1332" i="1"/>
  <c r="AN1333" i="1"/>
  <c r="AN1334" i="1"/>
  <c r="AN1335" i="1"/>
  <c r="AN1336" i="1"/>
  <c r="AN1337" i="1"/>
  <c r="AN1338" i="1"/>
  <c r="AN1339" i="1"/>
  <c r="AN1340" i="1"/>
  <c r="AN1341" i="1"/>
  <c r="AN1342" i="1"/>
  <c r="AN1343" i="1"/>
  <c r="AN1344" i="1"/>
  <c r="AN1345" i="1"/>
  <c r="AN1346" i="1"/>
  <c r="AN1347" i="1"/>
  <c r="AN1348" i="1"/>
  <c r="AN1349" i="1"/>
  <c r="AN1350" i="1"/>
  <c r="AN1351" i="1"/>
  <c r="AN1352" i="1"/>
  <c r="AN1353" i="1"/>
  <c r="AN1354" i="1"/>
  <c r="AN1355" i="1"/>
  <c r="AN1356" i="1"/>
  <c r="AN1357" i="1"/>
  <c r="AN1358" i="1"/>
  <c r="AN1359" i="1"/>
  <c r="AN1360" i="1"/>
  <c r="AN1361" i="1"/>
  <c r="AN1362" i="1"/>
  <c r="AN1363" i="1"/>
  <c r="AN1364" i="1"/>
  <c r="AN1365" i="1"/>
  <c r="AN1366" i="1"/>
  <c r="AN1367" i="1"/>
  <c r="AN1368" i="1"/>
  <c r="AN1369" i="1"/>
  <c r="AN1370" i="1"/>
  <c r="AN1371" i="1"/>
  <c r="AN1372" i="1"/>
  <c r="AN1373" i="1"/>
  <c r="AN1374" i="1"/>
  <c r="AN1375" i="1"/>
  <c r="AN1376" i="1"/>
  <c r="AN1377" i="1"/>
  <c r="AN1378" i="1"/>
  <c r="AN1379" i="1"/>
  <c r="AN1380" i="1"/>
  <c r="AN1381" i="1"/>
  <c r="AN1382" i="1"/>
  <c r="AN1383" i="1"/>
  <c r="AN1384" i="1"/>
  <c r="AN1385" i="1"/>
  <c r="AN1386" i="1"/>
  <c r="AN1387" i="1"/>
  <c r="AN1388" i="1"/>
  <c r="AN1389" i="1"/>
  <c r="AN1390" i="1"/>
  <c r="AN1391" i="1"/>
  <c r="AN1392" i="1"/>
  <c r="AN1393" i="1"/>
  <c r="AN1394" i="1"/>
  <c r="AN1395" i="1"/>
  <c r="AN1396" i="1"/>
  <c r="AN1397" i="1"/>
  <c r="AN1398" i="1"/>
  <c r="AN1399" i="1"/>
  <c r="AN1400" i="1"/>
  <c r="AN1401" i="1"/>
  <c r="AN1402" i="1"/>
  <c r="AN1403" i="1"/>
  <c r="AN1404" i="1"/>
  <c r="AN1405" i="1"/>
  <c r="AN1406" i="1"/>
  <c r="AN1407" i="1"/>
  <c r="AN1408" i="1"/>
  <c r="AN1409" i="1"/>
  <c r="AN1410" i="1"/>
  <c r="AN1411" i="1"/>
  <c r="AN1412" i="1"/>
  <c r="AN1413" i="1"/>
  <c r="AN1414" i="1"/>
  <c r="AN1415" i="1"/>
  <c r="AN1416" i="1"/>
  <c r="AN1417" i="1"/>
  <c r="AN1418" i="1"/>
  <c r="AN1419" i="1"/>
  <c r="AN1420" i="1"/>
  <c r="AN1421" i="1"/>
  <c r="AN1422" i="1"/>
  <c r="AN1423" i="1"/>
  <c r="AN1424" i="1"/>
  <c r="AN1425" i="1"/>
  <c r="AN1426" i="1"/>
  <c r="AN1427" i="1"/>
  <c r="AN1428" i="1"/>
  <c r="AN1429" i="1"/>
  <c r="AN1430" i="1"/>
  <c r="AN1431" i="1"/>
  <c r="AN1432" i="1"/>
  <c r="AN1433" i="1"/>
  <c r="AN1434" i="1"/>
  <c r="AN1435" i="1"/>
  <c r="AN1436" i="1"/>
  <c r="AN1437" i="1"/>
  <c r="AN1438" i="1"/>
  <c r="AN1439" i="1"/>
  <c r="AN1440" i="1"/>
  <c r="AN1441" i="1"/>
  <c r="AN1442" i="1"/>
  <c r="AN1443" i="1"/>
  <c r="AN1444" i="1"/>
  <c r="AN1445" i="1"/>
  <c r="AN1446" i="1"/>
  <c r="AN1447" i="1"/>
  <c r="AN1448" i="1"/>
  <c r="AN1449" i="1"/>
  <c r="AN1450" i="1"/>
  <c r="AN1451" i="1"/>
  <c r="AN1452" i="1"/>
  <c r="AN1453" i="1"/>
  <c r="AN1454" i="1"/>
  <c r="AN1455" i="1"/>
  <c r="AN1456" i="1"/>
  <c r="AN1457" i="1"/>
  <c r="AN1458" i="1"/>
  <c r="AN1459" i="1"/>
  <c r="AN1460" i="1"/>
  <c r="AN1461" i="1"/>
  <c r="AN1462" i="1"/>
  <c r="AN1463" i="1"/>
  <c r="AN1464" i="1"/>
  <c r="AN1465" i="1"/>
  <c r="AN1466" i="1"/>
  <c r="AN1467" i="1"/>
  <c r="AN1468" i="1"/>
  <c r="AN1469" i="1"/>
  <c r="AN1470" i="1"/>
  <c r="AN1471" i="1"/>
  <c r="AM2" i="1"/>
  <c r="AM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AM132" i="1"/>
  <c r="AM133" i="1"/>
  <c r="AM134" i="1"/>
  <c r="AM135" i="1"/>
  <c r="AM136" i="1"/>
  <c r="AM137" i="1"/>
  <c r="AM138" i="1"/>
  <c r="AM139" i="1"/>
  <c r="AM140" i="1"/>
  <c r="AM141" i="1"/>
  <c r="AM142" i="1"/>
  <c r="AM143" i="1"/>
  <c r="AM144" i="1"/>
  <c r="AM145" i="1"/>
  <c r="AM146" i="1"/>
  <c r="AM147" i="1"/>
  <c r="AM148" i="1"/>
  <c r="AM149" i="1"/>
  <c r="AM150" i="1"/>
  <c r="AM151" i="1"/>
  <c r="AM152" i="1"/>
  <c r="AM153" i="1"/>
  <c r="AM154" i="1"/>
  <c r="AM155" i="1"/>
  <c r="AM156" i="1"/>
  <c r="AM157" i="1"/>
  <c r="AM158" i="1"/>
  <c r="AM159" i="1"/>
  <c r="AM160" i="1"/>
  <c r="AM161" i="1"/>
  <c r="AM162" i="1"/>
  <c r="AM163" i="1"/>
  <c r="AM164" i="1"/>
  <c r="AM165" i="1"/>
  <c r="AM166" i="1"/>
  <c r="AM167" i="1"/>
  <c r="AM168" i="1"/>
  <c r="AM169" i="1"/>
  <c r="AM170" i="1"/>
  <c r="AM171" i="1"/>
  <c r="AM172" i="1"/>
  <c r="AM173" i="1"/>
  <c r="AM174" i="1"/>
  <c r="AM175" i="1"/>
  <c r="AM176" i="1"/>
  <c r="AM177" i="1"/>
  <c r="AM178" i="1"/>
  <c r="AM179" i="1"/>
  <c r="AM180" i="1"/>
  <c r="AM181" i="1"/>
  <c r="AM182" i="1"/>
  <c r="AM183" i="1"/>
  <c r="AM184" i="1"/>
  <c r="AM185" i="1"/>
  <c r="AM186" i="1"/>
  <c r="AM187" i="1"/>
  <c r="AM188" i="1"/>
  <c r="AM189" i="1"/>
  <c r="AM190" i="1"/>
  <c r="AM191" i="1"/>
  <c r="AM192" i="1"/>
  <c r="AM193" i="1"/>
  <c r="AM194" i="1"/>
  <c r="AM195" i="1"/>
  <c r="AM196" i="1"/>
  <c r="AM197" i="1"/>
  <c r="AM198" i="1"/>
  <c r="AM199" i="1"/>
  <c r="AM200" i="1"/>
  <c r="AM201" i="1"/>
  <c r="AM202" i="1"/>
  <c r="AM203" i="1"/>
  <c r="AM204" i="1"/>
  <c r="AM205" i="1"/>
  <c r="AM206" i="1"/>
  <c r="AM207" i="1"/>
  <c r="AM208" i="1"/>
  <c r="AM209" i="1"/>
  <c r="AM210" i="1"/>
  <c r="AM211" i="1"/>
  <c r="AM212" i="1"/>
  <c r="AM213" i="1"/>
  <c r="AM214" i="1"/>
  <c r="AM215" i="1"/>
  <c r="AM216" i="1"/>
  <c r="AM217" i="1"/>
  <c r="AM218" i="1"/>
  <c r="AM219" i="1"/>
  <c r="AM220" i="1"/>
  <c r="AM221" i="1"/>
  <c r="AM222" i="1"/>
  <c r="AM223" i="1"/>
  <c r="AM224" i="1"/>
  <c r="AM225" i="1"/>
  <c r="AM226" i="1"/>
  <c r="AM227" i="1"/>
  <c r="AM228" i="1"/>
  <c r="AM229" i="1"/>
  <c r="AM230" i="1"/>
  <c r="AM231" i="1"/>
  <c r="AM232" i="1"/>
  <c r="AM233" i="1"/>
  <c r="AM234" i="1"/>
  <c r="AM235" i="1"/>
  <c r="AM236" i="1"/>
  <c r="AM237" i="1"/>
  <c r="AM238" i="1"/>
  <c r="AM239" i="1"/>
  <c r="AM240" i="1"/>
  <c r="AM241" i="1"/>
  <c r="AM242" i="1"/>
  <c r="AM243" i="1"/>
  <c r="AM244" i="1"/>
  <c r="AM245" i="1"/>
  <c r="AM246" i="1"/>
  <c r="AM247" i="1"/>
  <c r="AM248" i="1"/>
  <c r="AM249" i="1"/>
  <c r="AM250" i="1"/>
  <c r="AM251" i="1"/>
  <c r="AM252" i="1"/>
  <c r="AM253" i="1"/>
  <c r="AM254" i="1"/>
  <c r="AM255" i="1"/>
  <c r="AM256" i="1"/>
  <c r="AM257" i="1"/>
  <c r="AM258" i="1"/>
  <c r="AM259" i="1"/>
  <c r="AM260" i="1"/>
  <c r="AM261" i="1"/>
  <c r="AM262" i="1"/>
  <c r="AM263" i="1"/>
  <c r="AM264" i="1"/>
  <c r="AM265" i="1"/>
  <c r="AM266" i="1"/>
  <c r="AM267" i="1"/>
  <c r="AM268" i="1"/>
  <c r="AM269" i="1"/>
  <c r="AM270" i="1"/>
  <c r="AM271" i="1"/>
  <c r="AM272" i="1"/>
  <c r="AM273" i="1"/>
  <c r="AM274" i="1"/>
  <c r="AM275" i="1"/>
  <c r="AM276" i="1"/>
  <c r="AM277" i="1"/>
  <c r="AM278" i="1"/>
  <c r="AM279" i="1"/>
  <c r="AM280" i="1"/>
  <c r="AM281" i="1"/>
  <c r="AM282" i="1"/>
  <c r="AM283" i="1"/>
  <c r="AM284" i="1"/>
  <c r="AM285" i="1"/>
  <c r="AM286" i="1"/>
  <c r="AM287" i="1"/>
  <c r="AM288" i="1"/>
  <c r="AM289" i="1"/>
  <c r="AM290" i="1"/>
  <c r="AM291" i="1"/>
  <c r="AM292" i="1"/>
  <c r="AM293" i="1"/>
  <c r="AM294" i="1"/>
  <c r="AM295" i="1"/>
  <c r="AM296" i="1"/>
  <c r="AM297" i="1"/>
  <c r="AM298" i="1"/>
  <c r="AM299" i="1"/>
  <c r="AM300" i="1"/>
  <c r="AM301" i="1"/>
  <c r="AM302" i="1"/>
  <c r="AM303" i="1"/>
  <c r="AM304" i="1"/>
  <c r="AM305" i="1"/>
  <c r="AM306" i="1"/>
  <c r="AM307" i="1"/>
  <c r="AM308" i="1"/>
  <c r="AM309" i="1"/>
  <c r="AM310" i="1"/>
  <c r="AM311" i="1"/>
  <c r="AM312" i="1"/>
  <c r="AM313" i="1"/>
  <c r="AM314" i="1"/>
  <c r="AM315" i="1"/>
  <c r="AM316" i="1"/>
  <c r="AM317" i="1"/>
  <c r="AM318" i="1"/>
  <c r="AM319" i="1"/>
  <c r="AM320" i="1"/>
  <c r="AM321" i="1"/>
  <c r="AM322" i="1"/>
  <c r="AM323" i="1"/>
  <c r="AM324" i="1"/>
  <c r="AM325" i="1"/>
  <c r="AM326" i="1"/>
  <c r="AM327" i="1"/>
  <c r="AM328" i="1"/>
  <c r="AM329" i="1"/>
  <c r="AM330" i="1"/>
  <c r="AM331" i="1"/>
  <c r="AM332" i="1"/>
  <c r="AM333" i="1"/>
  <c r="AM334" i="1"/>
  <c r="AM335" i="1"/>
  <c r="AM336" i="1"/>
  <c r="AM337" i="1"/>
  <c r="AM338" i="1"/>
  <c r="AM339" i="1"/>
  <c r="AM340" i="1"/>
  <c r="AM341" i="1"/>
  <c r="AM342" i="1"/>
  <c r="AM343" i="1"/>
  <c r="AM344" i="1"/>
  <c r="AM345" i="1"/>
  <c r="AM346" i="1"/>
  <c r="AM347" i="1"/>
  <c r="AM348" i="1"/>
  <c r="AM349" i="1"/>
  <c r="AM350" i="1"/>
  <c r="AM351" i="1"/>
  <c r="AM352" i="1"/>
  <c r="AM353" i="1"/>
  <c r="AM354" i="1"/>
  <c r="AM355" i="1"/>
  <c r="AM356" i="1"/>
  <c r="AM357" i="1"/>
  <c r="AM358" i="1"/>
  <c r="AM359" i="1"/>
  <c r="AM360" i="1"/>
  <c r="AM361" i="1"/>
  <c r="AM362" i="1"/>
  <c r="AM363" i="1"/>
  <c r="AM364" i="1"/>
  <c r="AM365" i="1"/>
  <c r="AM366" i="1"/>
  <c r="AM367" i="1"/>
  <c r="AM368" i="1"/>
  <c r="AM369" i="1"/>
  <c r="AM370" i="1"/>
  <c r="AM371" i="1"/>
  <c r="AM372" i="1"/>
  <c r="AM373" i="1"/>
  <c r="AM374" i="1"/>
  <c r="AM375" i="1"/>
  <c r="AM376" i="1"/>
  <c r="AM377" i="1"/>
  <c r="AM378" i="1"/>
  <c r="AM379" i="1"/>
  <c r="AM380" i="1"/>
  <c r="AM381" i="1"/>
  <c r="AM382" i="1"/>
  <c r="AM383" i="1"/>
  <c r="AM384" i="1"/>
  <c r="AM385" i="1"/>
  <c r="AM386" i="1"/>
  <c r="AM387" i="1"/>
  <c r="AM388" i="1"/>
  <c r="AM389" i="1"/>
  <c r="AM390" i="1"/>
  <c r="AM391" i="1"/>
  <c r="AM392" i="1"/>
  <c r="AM393" i="1"/>
  <c r="AM394" i="1"/>
  <c r="AM395" i="1"/>
  <c r="AM396" i="1"/>
  <c r="AM397" i="1"/>
  <c r="AM398" i="1"/>
  <c r="AM399" i="1"/>
  <c r="AM400" i="1"/>
  <c r="AM401" i="1"/>
  <c r="AM402" i="1"/>
  <c r="AM403" i="1"/>
  <c r="AM404" i="1"/>
  <c r="AM405" i="1"/>
  <c r="AM406" i="1"/>
  <c r="AM407" i="1"/>
  <c r="AM408" i="1"/>
  <c r="AM409" i="1"/>
  <c r="AM410" i="1"/>
  <c r="AM411" i="1"/>
  <c r="AM412" i="1"/>
  <c r="AM413" i="1"/>
  <c r="AM414" i="1"/>
  <c r="AM415" i="1"/>
  <c r="AM416" i="1"/>
  <c r="AM417" i="1"/>
  <c r="AM418" i="1"/>
  <c r="AM419" i="1"/>
  <c r="AM420" i="1"/>
  <c r="AM421" i="1"/>
  <c r="AM422" i="1"/>
  <c r="AM423" i="1"/>
  <c r="AM424" i="1"/>
  <c r="AM425" i="1"/>
  <c r="AM426" i="1"/>
  <c r="AM427" i="1"/>
  <c r="AM428" i="1"/>
  <c r="AM429" i="1"/>
  <c r="AM430" i="1"/>
  <c r="AM431" i="1"/>
  <c r="AM432" i="1"/>
  <c r="AM433" i="1"/>
  <c r="AM434" i="1"/>
  <c r="AM435" i="1"/>
  <c r="AM436" i="1"/>
  <c r="AM437" i="1"/>
  <c r="AM438" i="1"/>
  <c r="AM439" i="1"/>
  <c r="AM440" i="1"/>
  <c r="AM441" i="1"/>
  <c r="AM442" i="1"/>
  <c r="AM443" i="1"/>
  <c r="AM444" i="1"/>
  <c r="AM445" i="1"/>
  <c r="AM446" i="1"/>
  <c r="AM447" i="1"/>
  <c r="AM448" i="1"/>
  <c r="AM449" i="1"/>
  <c r="AM450" i="1"/>
  <c r="AM451" i="1"/>
  <c r="AM452" i="1"/>
  <c r="AM453" i="1"/>
  <c r="AM454" i="1"/>
  <c r="AM455" i="1"/>
  <c r="AM456" i="1"/>
  <c r="AM457" i="1"/>
  <c r="AM458" i="1"/>
  <c r="AM459" i="1"/>
  <c r="AM460" i="1"/>
  <c r="AM461" i="1"/>
  <c r="AM462" i="1"/>
  <c r="AM463" i="1"/>
  <c r="AM464" i="1"/>
  <c r="AM465" i="1"/>
  <c r="AM466" i="1"/>
  <c r="AM467" i="1"/>
  <c r="AM468" i="1"/>
  <c r="AM469" i="1"/>
  <c r="AM470" i="1"/>
  <c r="AM471" i="1"/>
  <c r="AM472" i="1"/>
  <c r="AM473" i="1"/>
  <c r="AM474" i="1"/>
  <c r="AM475" i="1"/>
  <c r="AM476" i="1"/>
  <c r="AM477" i="1"/>
  <c r="AM478" i="1"/>
  <c r="AM479" i="1"/>
  <c r="AM480" i="1"/>
  <c r="AM481" i="1"/>
  <c r="AM482" i="1"/>
  <c r="AM483" i="1"/>
  <c r="AM484" i="1"/>
  <c r="AM485" i="1"/>
  <c r="AM486" i="1"/>
  <c r="AM487" i="1"/>
  <c r="AM488" i="1"/>
  <c r="AM489" i="1"/>
  <c r="AM490" i="1"/>
  <c r="AM491" i="1"/>
  <c r="AM492" i="1"/>
  <c r="AM493" i="1"/>
  <c r="AM494" i="1"/>
  <c r="AM495" i="1"/>
  <c r="AM496" i="1"/>
  <c r="AM497" i="1"/>
  <c r="AM498" i="1"/>
  <c r="AM499" i="1"/>
  <c r="AM500" i="1"/>
  <c r="AM501" i="1"/>
  <c r="AM502" i="1"/>
  <c r="AM503" i="1"/>
  <c r="AM504" i="1"/>
  <c r="AM505" i="1"/>
  <c r="AM506" i="1"/>
  <c r="AM507" i="1"/>
  <c r="AM508" i="1"/>
  <c r="AM509" i="1"/>
  <c r="AM510" i="1"/>
  <c r="AM511" i="1"/>
  <c r="AM512" i="1"/>
  <c r="AM513" i="1"/>
  <c r="AM514" i="1"/>
  <c r="AM515" i="1"/>
  <c r="AM516" i="1"/>
  <c r="AM517" i="1"/>
  <c r="AM518" i="1"/>
  <c r="AM519" i="1"/>
  <c r="AM520" i="1"/>
  <c r="AM521" i="1"/>
  <c r="AM522" i="1"/>
  <c r="AM523" i="1"/>
  <c r="AM524" i="1"/>
  <c r="AM525" i="1"/>
  <c r="AM526" i="1"/>
  <c r="AM527" i="1"/>
  <c r="AM528" i="1"/>
  <c r="AM529" i="1"/>
  <c r="AM530" i="1"/>
  <c r="AM531" i="1"/>
  <c r="AM532" i="1"/>
  <c r="AM533" i="1"/>
  <c r="AM534" i="1"/>
  <c r="AM535" i="1"/>
  <c r="AM536" i="1"/>
  <c r="AM537" i="1"/>
  <c r="AM538" i="1"/>
  <c r="AM539" i="1"/>
  <c r="AM540" i="1"/>
  <c r="AM541" i="1"/>
  <c r="AM542" i="1"/>
  <c r="AM543" i="1"/>
  <c r="AM544" i="1"/>
  <c r="AM545" i="1"/>
  <c r="AM546" i="1"/>
  <c r="AM547" i="1"/>
  <c r="AM548" i="1"/>
  <c r="AM549" i="1"/>
  <c r="AM550" i="1"/>
  <c r="AM551" i="1"/>
  <c r="AM552" i="1"/>
  <c r="AM553" i="1"/>
  <c r="AM554" i="1"/>
  <c r="AM555" i="1"/>
  <c r="AM556" i="1"/>
  <c r="AM557" i="1"/>
  <c r="AM558" i="1"/>
  <c r="AM559" i="1"/>
  <c r="AM560" i="1"/>
  <c r="AM561" i="1"/>
  <c r="AM562" i="1"/>
  <c r="AM563" i="1"/>
  <c r="AM564" i="1"/>
  <c r="AM565" i="1"/>
  <c r="AM566" i="1"/>
  <c r="AM567" i="1"/>
  <c r="AM568" i="1"/>
  <c r="AM569" i="1"/>
  <c r="AM570" i="1"/>
  <c r="AM571" i="1"/>
  <c r="AM572" i="1"/>
  <c r="AM573" i="1"/>
  <c r="AM574" i="1"/>
  <c r="AM575" i="1"/>
  <c r="AM576" i="1"/>
  <c r="AM577" i="1"/>
  <c r="AM578" i="1"/>
  <c r="AM579" i="1"/>
  <c r="AM580" i="1"/>
  <c r="AM581" i="1"/>
  <c r="AM582" i="1"/>
  <c r="AM583" i="1"/>
  <c r="AM584" i="1"/>
  <c r="AM585" i="1"/>
  <c r="AM586" i="1"/>
  <c r="AM587" i="1"/>
  <c r="AM588" i="1"/>
  <c r="AM589" i="1"/>
  <c r="AM590" i="1"/>
  <c r="AM591" i="1"/>
  <c r="AM592" i="1"/>
  <c r="AM593" i="1"/>
  <c r="AM594" i="1"/>
  <c r="AM595" i="1"/>
  <c r="AM596" i="1"/>
  <c r="AM597" i="1"/>
  <c r="AM598" i="1"/>
  <c r="AM599" i="1"/>
  <c r="AM600" i="1"/>
  <c r="AM601" i="1"/>
  <c r="AM602" i="1"/>
  <c r="AM603" i="1"/>
  <c r="AM604" i="1"/>
  <c r="AM605" i="1"/>
  <c r="AM606" i="1"/>
  <c r="AM607" i="1"/>
  <c r="AM608" i="1"/>
  <c r="AM609" i="1"/>
  <c r="AM610" i="1"/>
  <c r="AM611" i="1"/>
  <c r="AM612" i="1"/>
  <c r="AM613" i="1"/>
  <c r="AM614" i="1"/>
  <c r="AM615" i="1"/>
  <c r="AM616" i="1"/>
  <c r="AM617" i="1"/>
  <c r="AM618" i="1"/>
  <c r="AM619" i="1"/>
  <c r="AM620" i="1"/>
  <c r="AM621" i="1"/>
  <c r="AM622" i="1"/>
  <c r="AM623" i="1"/>
  <c r="AM624" i="1"/>
  <c r="AM625" i="1"/>
  <c r="AM626" i="1"/>
  <c r="AM627" i="1"/>
  <c r="AM628" i="1"/>
  <c r="AM629" i="1"/>
  <c r="AM630" i="1"/>
  <c r="AM631" i="1"/>
  <c r="AM632" i="1"/>
  <c r="AM633" i="1"/>
  <c r="AM634" i="1"/>
  <c r="AM635" i="1"/>
  <c r="AM636" i="1"/>
  <c r="AM637" i="1"/>
  <c r="AM638" i="1"/>
  <c r="AM639" i="1"/>
  <c r="AM640" i="1"/>
  <c r="AM641" i="1"/>
  <c r="AM642" i="1"/>
  <c r="AM643" i="1"/>
  <c r="AM644" i="1"/>
  <c r="AM645" i="1"/>
  <c r="AM646" i="1"/>
  <c r="AM647" i="1"/>
  <c r="AM648" i="1"/>
  <c r="AM649" i="1"/>
  <c r="AM650" i="1"/>
  <c r="AM651" i="1"/>
  <c r="AM652" i="1"/>
  <c r="AM653" i="1"/>
  <c r="AM654" i="1"/>
  <c r="AM655" i="1"/>
  <c r="AM656" i="1"/>
  <c r="AM657" i="1"/>
  <c r="AM658" i="1"/>
  <c r="AM659" i="1"/>
  <c r="AM660" i="1"/>
  <c r="AM661" i="1"/>
  <c r="AM662" i="1"/>
  <c r="AM663" i="1"/>
  <c r="AM664" i="1"/>
  <c r="AM665" i="1"/>
  <c r="AM666" i="1"/>
  <c r="AM667" i="1"/>
  <c r="AM668" i="1"/>
  <c r="AM669" i="1"/>
  <c r="AM670" i="1"/>
  <c r="AM671" i="1"/>
  <c r="AM672" i="1"/>
  <c r="AM673" i="1"/>
  <c r="AM674" i="1"/>
  <c r="AM675" i="1"/>
  <c r="AM676" i="1"/>
  <c r="AM677" i="1"/>
  <c r="AM678" i="1"/>
  <c r="AM679" i="1"/>
  <c r="AM680" i="1"/>
  <c r="AM681" i="1"/>
  <c r="AM682" i="1"/>
  <c r="AM683" i="1"/>
  <c r="AM684" i="1"/>
  <c r="AM685" i="1"/>
  <c r="AM686" i="1"/>
  <c r="AM687" i="1"/>
  <c r="AM688" i="1"/>
  <c r="AM689" i="1"/>
  <c r="AM690" i="1"/>
  <c r="AM691" i="1"/>
  <c r="AM692" i="1"/>
  <c r="AM693" i="1"/>
  <c r="AM694" i="1"/>
  <c r="AM695" i="1"/>
  <c r="AM696" i="1"/>
  <c r="AM697" i="1"/>
  <c r="AM698" i="1"/>
  <c r="AM699" i="1"/>
  <c r="AM700" i="1"/>
  <c r="AM701" i="1"/>
  <c r="AM702" i="1"/>
  <c r="AM703" i="1"/>
  <c r="AM704" i="1"/>
  <c r="AM705" i="1"/>
  <c r="AM706" i="1"/>
  <c r="AM707" i="1"/>
  <c r="AM708" i="1"/>
  <c r="AM709" i="1"/>
  <c r="AM710" i="1"/>
  <c r="AM711" i="1"/>
  <c r="AM712" i="1"/>
  <c r="AM713" i="1"/>
  <c r="AM714" i="1"/>
  <c r="AM715" i="1"/>
  <c r="AM716" i="1"/>
  <c r="AM717" i="1"/>
  <c r="AM718" i="1"/>
  <c r="AM719" i="1"/>
  <c r="AM720" i="1"/>
  <c r="AM721" i="1"/>
  <c r="AM722" i="1"/>
  <c r="AM723" i="1"/>
  <c r="AM724" i="1"/>
  <c r="AM725" i="1"/>
  <c r="AM726" i="1"/>
  <c r="AM727" i="1"/>
  <c r="AM728" i="1"/>
  <c r="AM729" i="1"/>
  <c r="AM730" i="1"/>
  <c r="AM731" i="1"/>
  <c r="AM732" i="1"/>
  <c r="AM733" i="1"/>
  <c r="AM734" i="1"/>
  <c r="AM735" i="1"/>
  <c r="AM736" i="1"/>
  <c r="AM737" i="1"/>
  <c r="AM738" i="1"/>
  <c r="AM739" i="1"/>
  <c r="AM740" i="1"/>
  <c r="AM741" i="1"/>
  <c r="AM742" i="1"/>
  <c r="AM743" i="1"/>
  <c r="AM744" i="1"/>
  <c r="AM745" i="1"/>
  <c r="AM746" i="1"/>
  <c r="AM747" i="1"/>
  <c r="AM748" i="1"/>
  <c r="AM749" i="1"/>
  <c r="AM750" i="1"/>
  <c r="AM751" i="1"/>
  <c r="AM752" i="1"/>
  <c r="AM753" i="1"/>
  <c r="AM754" i="1"/>
  <c r="AM755" i="1"/>
  <c r="AM756" i="1"/>
  <c r="AM757" i="1"/>
  <c r="AM758" i="1"/>
  <c r="AM759" i="1"/>
  <c r="AM760" i="1"/>
  <c r="AM761" i="1"/>
  <c r="AM762" i="1"/>
  <c r="AM763" i="1"/>
  <c r="AM764" i="1"/>
  <c r="AM765" i="1"/>
  <c r="AM766" i="1"/>
  <c r="AM767" i="1"/>
  <c r="AM768" i="1"/>
  <c r="AM769" i="1"/>
  <c r="AM770" i="1"/>
  <c r="AM771" i="1"/>
  <c r="AM772" i="1"/>
  <c r="AM773" i="1"/>
  <c r="AM774" i="1"/>
  <c r="AM775" i="1"/>
  <c r="AM776" i="1"/>
  <c r="AM777" i="1"/>
  <c r="AM778" i="1"/>
  <c r="AM779" i="1"/>
  <c r="AM780" i="1"/>
  <c r="AM781" i="1"/>
  <c r="AM782" i="1"/>
  <c r="AM783" i="1"/>
  <c r="AM784" i="1"/>
  <c r="AM785" i="1"/>
  <c r="AM786" i="1"/>
  <c r="AM787" i="1"/>
  <c r="AM788" i="1"/>
  <c r="AM789" i="1"/>
  <c r="AM790" i="1"/>
  <c r="AM791" i="1"/>
  <c r="AM792" i="1"/>
  <c r="AM793" i="1"/>
  <c r="AM794" i="1"/>
  <c r="AM795" i="1"/>
  <c r="AM796" i="1"/>
  <c r="AM797" i="1"/>
  <c r="AM798" i="1"/>
  <c r="AM799" i="1"/>
  <c r="AM800" i="1"/>
  <c r="AM801" i="1"/>
  <c r="AM802" i="1"/>
  <c r="AM803" i="1"/>
  <c r="AM804" i="1"/>
  <c r="AM805" i="1"/>
  <c r="AM806" i="1"/>
  <c r="AM807" i="1"/>
  <c r="AM808" i="1"/>
  <c r="AM809" i="1"/>
  <c r="AM810" i="1"/>
  <c r="AM811" i="1"/>
  <c r="AM812" i="1"/>
  <c r="AM813" i="1"/>
  <c r="AM814" i="1"/>
  <c r="AM815" i="1"/>
  <c r="AM816" i="1"/>
  <c r="AM817" i="1"/>
  <c r="AM818" i="1"/>
  <c r="AM819" i="1"/>
  <c r="AM820" i="1"/>
  <c r="AM821" i="1"/>
  <c r="AM822" i="1"/>
  <c r="AM823" i="1"/>
  <c r="AM824" i="1"/>
  <c r="AM825" i="1"/>
  <c r="AM826" i="1"/>
  <c r="AM827" i="1"/>
  <c r="AM828" i="1"/>
  <c r="AM829" i="1"/>
  <c r="AM830" i="1"/>
  <c r="AM831" i="1"/>
  <c r="AM832" i="1"/>
  <c r="AM833" i="1"/>
  <c r="AM834" i="1"/>
  <c r="AM835" i="1"/>
  <c r="AM836" i="1"/>
  <c r="AM837" i="1"/>
  <c r="AM838" i="1"/>
  <c r="AM839" i="1"/>
  <c r="AM840" i="1"/>
  <c r="AM841" i="1"/>
  <c r="AM842" i="1"/>
  <c r="AM843" i="1"/>
  <c r="AM844" i="1"/>
  <c r="AM845" i="1"/>
  <c r="AM846" i="1"/>
  <c r="AM847" i="1"/>
  <c r="AM848" i="1"/>
  <c r="AM849" i="1"/>
  <c r="AM850" i="1"/>
  <c r="AM851" i="1"/>
  <c r="AM852" i="1"/>
  <c r="AM853" i="1"/>
  <c r="AM854" i="1"/>
  <c r="AM855" i="1"/>
  <c r="AM856" i="1"/>
  <c r="AM857" i="1"/>
  <c r="AM858" i="1"/>
  <c r="AM859" i="1"/>
  <c r="AM860" i="1"/>
  <c r="AM861" i="1"/>
  <c r="AM862" i="1"/>
  <c r="AM863" i="1"/>
  <c r="AM864" i="1"/>
  <c r="AM865" i="1"/>
  <c r="AM866" i="1"/>
  <c r="AM867" i="1"/>
  <c r="AM868" i="1"/>
  <c r="AM869" i="1"/>
  <c r="AM870" i="1"/>
  <c r="AM871" i="1"/>
  <c r="AM872" i="1"/>
  <c r="AM873" i="1"/>
  <c r="AM874" i="1"/>
  <c r="AM875" i="1"/>
  <c r="AM876" i="1"/>
  <c r="AM877" i="1"/>
  <c r="AM878" i="1"/>
  <c r="AM879" i="1"/>
  <c r="AM880" i="1"/>
  <c r="AM881" i="1"/>
  <c r="AM882" i="1"/>
  <c r="AM883" i="1"/>
  <c r="AM884" i="1"/>
  <c r="AM885" i="1"/>
  <c r="AM886" i="1"/>
  <c r="AM887" i="1"/>
  <c r="AM888" i="1"/>
  <c r="AM889" i="1"/>
  <c r="AM890" i="1"/>
  <c r="AM891" i="1"/>
  <c r="AM892" i="1"/>
  <c r="AM893" i="1"/>
  <c r="AM894" i="1"/>
  <c r="AM895" i="1"/>
  <c r="AM896" i="1"/>
  <c r="AM897" i="1"/>
  <c r="AM898" i="1"/>
  <c r="AM899" i="1"/>
  <c r="AM900" i="1"/>
  <c r="AM901" i="1"/>
  <c r="AM902" i="1"/>
  <c r="AM903" i="1"/>
  <c r="AM904" i="1"/>
  <c r="AM905" i="1"/>
  <c r="AM906" i="1"/>
  <c r="AM907" i="1"/>
  <c r="AM908" i="1"/>
  <c r="AM909" i="1"/>
  <c r="AM910" i="1"/>
  <c r="AM911" i="1"/>
  <c r="AM912" i="1"/>
  <c r="AM913" i="1"/>
  <c r="AM914" i="1"/>
  <c r="AM915" i="1"/>
  <c r="AM916" i="1"/>
  <c r="AM917" i="1"/>
  <c r="AM918" i="1"/>
  <c r="AM919" i="1"/>
  <c r="AM920" i="1"/>
  <c r="AM921" i="1"/>
  <c r="AM922" i="1"/>
  <c r="AM923" i="1"/>
  <c r="AM924" i="1"/>
  <c r="AM925" i="1"/>
  <c r="AM926" i="1"/>
  <c r="AM927" i="1"/>
  <c r="AM928" i="1"/>
  <c r="AM929" i="1"/>
  <c r="AM930" i="1"/>
  <c r="AM931" i="1"/>
  <c r="AM932" i="1"/>
  <c r="AM933" i="1"/>
  <c r="AM934" i="1"/>
  <c r="AM935" i="1"/>
  <c r="AM936" i="1"/>
  <c r="AM937" i="1"/>
  <c r="AM938" i="1"/>
  <c r="AM939" i="1"/>
  <c r="AM940" i="1"/>
  <c r="AM941" i="1"/>
  <c r="AM942" i="1"/>
  <c r="AM943" i="1"/>
  <c r="AM944" i="1"/>
  <c r="AM945" i="1"/>
  <c r="AM946" i="1"/>
  <c r="AM947" i="1"/>
  <c r="AM948" i="1"/>
  <c r="AM949" i="1"/>
  <c r="AM950" i="1"/>
  <c r="AM951" i="1"/>
  <c r="AM952" i="1"/>
  <c r="AM953" i="1"/>
  <c r="AM954" i="1"/>
  <c r="AM955" i="1"/>
  <c r="AM956" i="1"/>
  <c r="AM957" i="1"/>
  <c r="AM958" i="1"/>
  <c r="AM959" i="1"/>
  <c r="AM960" i="1"/>
  <c r="AM961" i="1"/>
  <c r="AM962" i="1"/>
  <c r="AM963" i="1"/>
  <c r="AM964" i="1"/>
  <c r="AM965" i="1"/>
  <c r="AM966" i="1"/>
  <c r="AM967" i="1"/>
  <c r="AM968" i="1"/>
  <c r="AM969" i="1"/>
  <c r="AM970" i="1"/>
  <c r="AM971" i="1"/>
  <c r="AM972" i="1"/>
  <c r="AM973" i="1"/>
  <c r="AM974" i="1"/>
  <c r="AM975" i="1"/>
  <c r="AM976" i="1"/>
  <c r="AM977" i="1"/>
  <c r="AM978" i="1"/>
  <c r="AM979" i="1"/>
  <c r="AM980" i="1"/>
  <c r="AM981" i="1"/>
  <c r="AM982" i="1"/>
  <c r="AM983" i="1"/>
  <c r="AM984" i="1"/>
  <c r="AM985" i="1"/>
  <c r="AM986" i="1"/>
  <c r="AM987" i="1"/>
  <c r="AM988" i="1"/>
  <c r="AM989" i="1"/>
  <c r="AM990" i="1"/>
  <c r="AM991" i="1"/>
  <c r="AM992" i="1"/>
  <c r="AM993" i="1"/>
  <c r="AM994" i="1"/>
  <c r="AM995" i="1"/>
  <c r="AM996" i="1"/>
  <c r="AM997" i="1"/>
  <c r="AM998" i="1"/>
  <c r="AM999" i="1"/>
  <c r="AM1000" i="1"/>
  <c r="AM1001" i="1"/>
  <c r="AM1002" i="1"/>
  <c r="AM1003" i="1"/>
  <c r="AM1004" i="1"/>
  <c r="AM1005" i="1"/>
  <c r="AM1006" i="1"/>
  <c r="AM1007" i="1"/>
  <c r="AM1008" i="1"/>
  <c r="AM1009" i="1"/>
  <c r="AM1010" i="1"/>
  <c r="AM1011" i="1"/>
  <c r="AM1012" i="1"/>
  <c r="AM1013" i="1"/>
  <c r="AM1014" i="1"/>
  <c r="AM1015" i="1"/>
  <c r="AM1016" i="1"/>
  <c r="AM1017" i="1"/>
  <c r="AM1018" i="1"/>
  <c r="AM1019" i="1"/>
  <c r="AM1020" i="1"/>
  <c r="AM1021" i="1"/>
  <c r="AM1022" i="1"/>
  <c r="AM1023" i="1"/>
  <c r="AM1024" i="1"/>
  <c r="AM1025" i="1"/>
  <c r="AM1026" i="1"/>
  <c r="AM1027" i="1"/>
  <c r="AM1028" i="1"/>
  <c r="AM1029" i="1"/>
  <c r="AM1030" i="1"/>
  <c r="AM1031" i="1"/>
  <c r="AM1032" i="1"/>
  <c r="AM1033" i="1"/>
  <c r="AM1034" i="1"/>
  <c r="AM1035" i="1"/>
  <c r="AM1036" i="1"/>
  <c r="AM1037" i="1"/>
  <c r="AM1038" i="1"/>
  <c r="AM1039" i="1"/>
  <c r="AM1040" i="1"/>
  <c r="AM1041" i="1"/>
  <c r="AM1042" i="1"/>
  <c r="AM1043" i="1"/>
  <c r="AM1044" i="1"/>
  <c r="AM1045" i="1"/>
  <c r="AM1046" i="1"/>
  <c r="AM1047" i="1"/>
  <c r="AM1048" i="1"/>
  <c r="AM1049" i="1"/>
  <c r="AM1050" i="1"/>
  <c r="AM1051" i="1"/>
  <c r="AM1052" i="1"/>
  <c r="AM1053" i="1"/>
  <c r="AM1054" i="1"/>
  <c r="AM1055" i="1"/>
  <c r="AM1056" i="1"/>
  <c r="AM1057" i="1"/>
  <c r="AM1058" i="1"/>
  <c r="AM1059" i="1"/>
  <c r="AM1060" i="1"/>
  <c r="AM1061" i="1"/>
  <c r="AM1062" i="1"/>
  <c r="AM1063" i="1"/>
  <c r="AM1064" i="1"/>
  <c r="AM1065" i="1"/>
  <c r="AM1066" i="1"/>
  <c r="AM1067" i="1"/>
  <c r="AM1068" i="1"/>
  <c r="AM1069" i="1"/>
  <c r="AM1070" i="1"/>
  <c r="AM1071" i="1"/>
  <c r="AM1072" i="1"/>
  <c r="AM1073" i="1"/>
  <c r="AM1074" i="1"/>
  <c r="AM1075" i="1"/>
  <c r="AM1076" i="1"/>
  <c r="AM1077" i="1"/>
  <c r="AM1078" i="1"/>
  <c r="AM1079" i="1"/>
  <c r="AM1080" i="1"/>
  <c r="AM1081" i="1"/>
  <c r="AM1082" i="1"/>
  <c r="AM1083" i="1"/>
  <c r="AM1084" i="1"/>
  <c r="AM1085" i="1"/>
  <c r="AM1086" i="1"/>
  <c r="AM1087" i="1"/>
  <c r="AM1088" i="1"/>
  <c r="AM1089" i="1"/>
  <c r="AM1090" i="1"/>
  <c r="AM1091" i="1"/>
  <c r="AM1092" i="1"/>
  <c r="AM1093" i="1"/>
  <c r="AM1094" i="1"/>
  <c r="AM1095" i="1"/>
  <c r="AM1096" i="1"/>
  <c r="AM1097" i="1"/>
  <c r="AM1098" i="1"/>
  <c r="AM1099" i="1"/>
  <c r="AM1100" i="1"/>
  <c r="AM1101" i="1"/>
  <c r="AM1102" i="1"/>
  <c r="AM1103" i="1"/>
  <c r="AM1104" i="1"/>
  <c r="AM1105" i="1"/>
  <c r="AM1106" i="1"/>
  <c r="AM1107" i="1"/>
  <c r="AM1108" i="1"/>
  <c r="AM1109" i="1"/>
  <c r="AM1110" i="1"/>
  <c r="AM1111" i="1"/>
  <c r="AM1112" i="1"/>
  <c r="AM1113" i="1"/>
  <c r="AM1114" i="1"/>
  <c r="AM1115" i="1"/>
  <c r="AM1116" i="1"/>
  <c r="AM1117" i="1"/>
  <c r="AM1118" i="1"/>
  <c r="AM1119" i="1"/>
  <c r="AM1120" i="1"/>
  <c r="AM1121" i="1"/>
  <c r="AM1122" i="1"/>
  <c r="AM1123" i="1"/>
  <c r="AM1124" i="1"/>
  <c r="AM1125" i="1"/>
  <c r="AM1126" i="1"/>
  <c r="AM1127" i="1"/>
  <c r="AM1128" i="1"/>
  <c r="AM1129" i="1"/>
  <c r="AM1130" i="1"/>
  <c r="AM1131" i="1"/>
  <c r="AM1132" i="1"/>
  <c r="AM1133" i="1"/>
  <c r="AM1134" i="1"/>
  <c r="AM1135" i="1"/>
  <c r="AM1136" i="1"/>
  <c r="AM1137" i="1"/>
  <c r="AM1138" i="1"/>
  <c r="AM1139" i="1"/>
  <c r="AM1140" i="1"/>
  <c r="AM1141" i="1"/>
  <c r="AM1142" i="1"/>
  <c r="AM1143" i="1"/>
  <c r="AM1144" i="1"/>
  <c r="AM1145" i="1"/>
  <c r="AM1146" i="1"/>
  <c r="AM1147" i="1"/>
  <c r="AM1148" i="1"/>
  <c r="AM1149" i="1"/>
  <c r="AM1150" i="1"/>
  <c r="AM1151" i="1"/>
  <c r="AM1152" i="1"/>
  <c r="AM1153" i="1"/>
  <c r="AM1154" i="1"/>
  <c r="AM1155" i="1"/>
  <c r="AM1156" i="1"/>
  <c r="AM1157" i="1"/>
  <c r="AM1158" i="1"/>
  <c r="AM1159" i="1"/>
  <c r="AM1160" i="1"/>
  <c r="AM1161" i="1"/>
  <c r="AM1162" i="1"/>
  <c r="AM1163" i="1"/>
  <c r="AM1164" i="1"/>
  <c r="AM1165" i="1"/>
  <c r="AM1166" i="1"/>
  <c r="AM1167" i="1"/>
  <c r="AM1168" i="1"/>
  <c r="AM1169" i="1"/>
  <c r="AM1170" i="1"/>
  <c r="AM1171" i="1"/>
  <c r="AM1172" i="1"/>
  <c r="AM1173" i="1"/>
  <c r="AM1174" i="1"/>
  <c r="AM1175" i="1"/>
  <c r="AM1176" i="1"/>
  <c r="AM1177" i="1"/>
  <c r="AM1178" i="1"/>
  <c r="AM1179" i="1"/>
  <c r="AM1180" i="1"/>
  <c r="AM1181" i="1"/>
  <c r="AM1182" i="1"/>
  <c r="AM1183" i="1"/>
  <c r="AM1184" i="1"/>
  <c r="AM1185" i="1"/>
  <c r="AM1186" i="1"/>
  <c r="AM1187" i="1"/>
  <c r="AM1188" i="1"/>
  <c r="AM1189" i="1"/>
  <c r="AM1190" i="1"/>
  <c r="AM1191" i="1"/>
  <c r="AM1192" i="1"/>
  <c r="AM1193" i="1"/>
  <c r="AM1194" i="1"/>
  <c r="AM1195" i="1"/>
  <c r="AM1196" i="1"/>
  <c r="AM1197" i="1"/>
  <c r="AM1198" i="1"/>
  <c r="AM1199" i="1"/>
  <c r="AM1200" i="1"/>
  <c r="AM1201" i="1"/>
  <c r="AM1202" i="1"/>
  <c r="AM1203" i="1"/>
  <c r="AM1204" i="1"/>
  <c r="AM1205" i="1"/>
  <c r="AM1206" i="1"/>
  <c r="AM1207" i="1"/>
  <c r="AM1208" i="1"/>
  <c r="AM1209" i="1"/>
  <c r="AM1210" i="1"/>
  <c r="AM1211" i="1"/>
  <c r="AM1212" i="1"/>
  <c r="AM1213" i="1"/>
  <c r="AM1214" i="1"/>
  <c r="AM1215" i="1"/>
  <c r="AM1216" i="1"/>
  <c r="AM1217" i="1"/>
  <c r="AM1218" i="1"/>
  <c r="AM1219" i="1"/>
  <c r="AM1220" i="1"/>
  <c r="AM1221" i="1"/>
  <c r="AM1222" i="1"/>
  <c r="AM1223" i="1"/>
  <c r="AM1224" i="1"/>
  <c r="AM1225" i="1"/>
  <c r="AM1226" i="1"/>
  <c r="AM1227" i="1"/>
  <c r="AM1228" i="1"/>
  <c r="AM1229" i="1"/>
  <c r="AM1230" i="1"/>
  <c r="AM1231" i="1"/>
  <c r="AM1232" i="1"/>
  <c r="AM1233" i="1"/>
  <c r="AM1234" i="1"/>
  <c r="AM1235" i="1"/>
  <c r="AM1236" i="1"/>
  <c r="AM1237" i="1"/>
  <c r="AM1238" i="1"/>
  <c r="AM1239" i="1"/>
  <c r="AM1240" i="1"/>
  <c r="AM1241" i="1"/>
  <c r="AM1242" i="1"/>
  <c r="AM1243" i="1"/>
  <c r="AM1244" i="1"/>
  <c r="AM1245" i="1"/>
  <c r="AM1246" i="1"/>
  <c r="AM1247" i="1"/>
  <c r="AM1248" i="1"/>
  <c r="AM1249" i="1"/>
  <c r="AM1250" i="1"/>
  <c r="AM1251" i="1"/>
  <c r="AM1252" i="1"/>
  <c r="AM1253" i="1"/>
  <c r="AM1254" i="1"/>
  <c r="AM1255" i="1"/>
  <c r="AM1256" i="1"/>
  <c r="AM1257" i="1"/>
  <c r="AM1258" i="1"/>
  <c r="AM1259" i="1"/>
  <c r="AM1260" i="1"/>
  <c r="AM1261" i="1"/>
  <c r="AM1262" i="1"/>
  <c r="AM1263" i="1"/>
  <c r="AM1264" i="1"/>
  <c r="AM1265" i="1"/>
  <c r="AM1266" i="1"/>
  <c r="AM1267" i="1"/>
  <c r="AM1268" i="1"/>
  <c r="AM1269" i="1"/>
  <c r="AM1270" i="1"/>
  <c r="AM1271" i="1"/>
  <c r="AM1272" i="1"/>
  <c r="AM1273" i="1"/>
  <c r="AM1274" i="1"/>
  <c r="AM1275" i="1"/>
  <c r="AM1276" i="1"/>
  <c r="AM1277" i="1"/>
  <c r="AM1278" i="1"/>
  <c r="AM1279" i="1"/>
  <c r="AM1280" i="1"/>
  <c r="AM1281" i="1"/>
  <c r="AM1282" i="1"/>
  <c r="AM1283" i="1"/>
  <c r="AM1284" i="1"/>
  <c r="AM1285" i="1"/>
  <c r="AM1286" i="1"/>
  <c r="AM1287" i="1"/>
  <c r="AM1288" i="1"/>
  <c r="AM1289" i="1"/>
  <c r="AM1290" i="1"/>
  <c r="AM1291" i="1"/>
  <c r="AM1292" i="1"/>
  <c r="AM1293" i="1"/>
  <c r="AM1294" i="1"/>
  <c r="AM1295" i="1"/>
  <c r="AM1296" i="1"/>
  <c r="AM1297" i="1"/>
  <c r="AM1298" i="1"/>
  <c r="AM1299" i="1"/>
  <c r="AM1300" i="1"/>
  <c r="AM1301" i="1"/>
  <c r="AM1302" i="1"/>
  <c r="AM1303" i="1"/>
  <c r="AM1304" i="1"/>
  <c r="AM1305" i="1"/>
  <c r="AM1306" i="1"/>
  <c r="AM1307" i="1"/>
  <c r="AM1308" i="1"/>
  <c r="AM1309" i="1"/>
  <c r="AM1310" i="1"/>
  <c r="AM1311" i="1"/>
  <c r="AM1312" i="1"/>
  <c r="AM1313" i="1"/>
  <c r="AM1314" i="1"/>
  <c r="AM1315" i="1"/>
  <c r="AM1316" i="1"/>
  <c r="AM1317" i="1"/>
  <c r="AM1318" i="1"/>
  <c r="AM1319" i="1"/>
  <c r="AM1320" i="1"/>
  <c r="AM1321" i="1"/>
  <c r="AM1322" i="1"/>
  <c r="AM1323" i="1"/>
  <c r="AM1324" i="1"/>
  <c r="AM1325" i="1"/>
  <c r="AM1326" i="1"/>
  <c r="AM1327" i="1"/>
  <c r="AM1328" i="1"/>
  <c r="AM1329" i="1"/>
  <c r="AM1330" i="1"/>
  <c r="AM1331" i="1"/>
  <c r="AM1332" i="1"/>
  <c r="AM1333" i="1"/>
  <c r="AM1334" i="1"/>
  <c r="AM1335" i="1"/>
  <c r="AM1336" i="1"/>
  <c r="AM1337" i="1"/>
  <c r="AM1338" i="1"/>
  <c r="AM1339" i="1"/>
  <c r="AM1340" i="1"/>
  <c r="AM1341" i="1"/>
  <c r="AM1342" i="1"/>
  <c r="AM1343" i="1"/>
  <c r="AM1344" i="1"/>
  <c r="AM1345" i="1"/>
  <c r="AM1346" i="1"/>
  <c r="AM1347" i="1"/>
  <c r="AM1348" i="1"/>
  <c r="AM1349" i="1"/>
  <c r="AM1350" i="1"/>
  <c r="AM1351" i="1"/>
  <c r="AM1352" i="1"/>
  <c r="AM1353" i="1"/>
  <c r="AM1354" i="1"/>
  <c r="AM1355" i="1"/>
  <c r="AM1356" i="1"/>
  <c r="AM1357" i="1"/>
  <c r="AM1358" i="1"/>
  <c r="AM1359" i="1"/>
  <c r="AM1360" i="1"/>
  <c r="AM1361" i="1"/>
  <c r="AM1362" i="1"/>
  <c r="AM1363" i="1"/>
  <c r="AM1364" i="1"/>
  <c r="AM1365" i="1"/>
  <c r="AM1366" i="1"/>
  <c r="AM1367" i="1"/>
  <c r="AM1368" i="1"/>
  <c r="AM1369" i="1"/>
  <c r="AM1370" i="1"/>
  <c r="AM1371" i="1"/>
  <c r="AM1372" i="1"/>
  <c r="AM1373" i="1"/>
  <c r="AM1374" i="1"/>
  <c r="AM1375" i="1"/>
  <c r="AM1376" i="1"/>
  <c r="AM1377" i="1"/>
  <c r="AM1378" i="1"/>
  <c r="AM1379" i="1"/>
  <c r="AM1380" i="1"/>
  <c r="AM1381" i="1"/>
  <c r="AM1382" i="1"/>
  <c r="AM1383" i="1"/>
  <c r="AM1384" i="1"/>
  <c r="AM1385" i="1"/>
  <c r="AM1386" i="1"/>
  <c r="AM1387" i="1"/>
  <c r="AM1388" i="1"/>
  <c r="AM1389" i="1"/>
  <c r="AM1390" i="1"/>
  <c r="AM1391" i="1"/>
  <c r="AM1392" i="1"/>
  <c r="AM1393" i="1"/>
  <c r="AM1394" i="1"/>
  <c r="AM1395" i="1"/>
  <c r="AM1396" i="1"/>
  <c r="AM1397" i="1"/>
  <c r="AM1398" i="1"/>
  <c r="AM1399" i="1"/>
  <c r="AM1400" i="1"/>
  <c r="AM1401" i="1"/>
  <c r="AM1402" i="1"/>
  <c r="AM1403" i="1"/>
  <c r="AM1404" i="1"/>
  <c r="AM1405" i="1"/>
  <c r="AM1406" i="1"/>
  <c r="AM1407" i="1"/>
  <c r="AM1408" i="1"/>
  <c r="AM1409" i="1"/>
  <c r="AM1410" i="1"/>
  <c r="AM1411" i="1"/>
  <c r="AM1412" i="1"/>
  <c r="AM1413" i="1"/>
  <c r="AM1414" i="1"/>
  <c r="AM1415" i="1"/>
  <c r="AM1416" i="1"/>
  <c r="AM1417" i="1"/>
  <c r="AM1418" i="1"/>
  <c r="AM1419" i="1"/>
  <c r="AM1420" i="1"/>
  <c r="AM1421" i="1"/>
  <c r="AM1422" i="1"/>
  <c r="AM1423" i="1"/>
  <c r="AM1424" i="1"/>
  <c r="AM1425" i="1"/>
  <c r="AM1426" i="1"/>
  <c r="AM1427" i="1"/>
  <c r="AM1428" i="1"/>
  <c r="AM1429" i="1"/>
  <c r="AM1430" i="1"/>
  <c r="AM1431" i="1"/>
  <c r="AM1432" i="1"/>
  <c r="AM1433" i="1"/>
  <c r="AM1434" i="1"/>
  <c r="AM1435" i="1"/>
  <c r="AM1436" i="1"/>
  <c r="AM1437" i="1"/>
  <c r="AM1438" i="1"/>
  <c r="AM1439" i="1"/>
  <c r="AM1440" i="1"/>
  <c r="AM1441" i="1"/>
  <c r="AM1442" i="1"/>
  <c r="AM1443" i="1"/>
  <c r="AM1444" i="1"/>
  <c r="AM1445" i="1"/>
  <c r="AM1446" i="1"/>
  <c r="AM1447" i="1"/>
  <c r="AM1448" i="1"/>
  <c r="AM1449" i="1"/>
  <c r="AM1450" i="1"/>
  <c r="AM1451" i="1"/>
  <c r="AM1452" i="1"/>
  <c r="AM1453" i="1"/>
  <c r="AM1454" i="1"/>
  <c r="AM1455" i="1"/>
  <c r="AM1456" i="1"/>
  <c r="AM1457" i="1"/>
  <c r="AM1458" i="1"/>
  <c r="AM1459" i="1"/>
  <c r="AM1460" i="1"/>
  <c r="AM1461" i="1"/>
  <c r="AM1462" i="1"/>
  <c r="AM1463" i="1"/>
  <c r="AM1464" i="1"/>
  <c r="AM1465" i="1"/>
  <c r="AM1466" i="1"/>
  <c r="AM1467" i="1"/>
  <c r="AM1468" i="1"/>
  <c r="AM1469" i="1"/>
  <c r="AM1470" i="1"/>
  <c r="AM1471" i="1"/>
  <c r="AL2" i="1"/>
  <c r="AL3" i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49" i="1"/>
  <c r="AL150" i="1"/>
  <c r="AL151" i="1"/>
  <c r="AL152" i="1"/>
  <c r="AL153" i="1"/>
  <c r="AL154" i="1"/>
  <c r="AL155" i="1"/>
  <c r="AL156" i="1"/>
  <c r="AL157" i="1"/>
  <c r="AL158" i="1"/>
  <c r="AL159" i="1"/>
  <c r="AL160" i="1"/>
  <c r="AL161" i="1"/>
  <c r="AL162" i="1"/>
  <c r="AL163" i="1"/>
  <c r="AL164" i="1"/>
  <c r="AL165" i="1"/>
  <c r="AL166" i="1"/>
  <c r="AL167" i="1"/>
  <c r="AL168" i="1"/>
  <c r="AL169" i="1"/>
  <c r="AL170" i="1"/>
  <c r="AL171" i="1"/>
  <c r="AL172" i="1"/>
  <c r="AL173" i="1"/>
  <c r="AL174" i="1"/>
  <c r="AL175" i="1"/>
  <c r="AL176" i="1"/>
  <c r="AL177" i="1"/>
  <c r="AL178" i="1"/>
  <c r="AL179" i="1"/>
  <c r="AL180" i="1"/>
  <c r="AL181" i="1"/>
  <c r="AL182" i="1"/>
  <c r="AL183" i="1"/>
  <c r="AL184" i="1"/>
  <c r="AL185" i="1"/>
  <c r="AL186" i="1"/>
  <c r="AL187" i="1"/>
  <c r="AL188" i="1"/>
  <c r="AL189" i="1"/>
  <c r="AL190" i="1"/>
  <c r="AL191" i="1"/>
  <c r="AL192" i="1"/>
  <c r="AL193" i="1"/>
  <c r="AL194" i="1"/>
  <c r="AL195" i="1"/>
  <c r="AL196" i="1"/>
  <c r="AL197" i="1"/>
  <c r="AL198" i="1"/>
  <c r="AL199" i="1"/>
  <c r="AL200" i="1"/>
  <c r="AL201" i="1"/>
  <c r="AL202" i="1"/>
  <c r="AL203" i="1"/>
  <c r="AL204" i="1"/>
  <c r="AL205" i="1"/>
  <c r="AL206" i="1"/>
  <c r="AL207" i="1"/>
  <c r="AL208" i="1"/>
  <c r="AL209" i="1"/>
  <c r="AL210" i="1"/>
  <c r="AL211" i="1"/>
  <c r="AL212" i="1"/>
  <c r="AL213" i="1"/>
  <c r="AL214" i="1"/>
  <c r="AL215" i="1"/>
  <c r="AL216" i="1"/>
  <c r="AL217" i="1"/>
  <c r="AL218" i="1"/>
  <c r="AL219" i="1"/>
  <c r="AL220" i="1"/>
  <c r="AL221" i="1"/>
  <c r="AL222" i="1"/>
  <c r="AL223" i="1"/>
  <c r="AL224" i="1"/>
  <c r="AL225" i="1"/>
  <c r="AL226" i="1"/>
  <c r="AL227" i="1"/>
  <c r="AL228" i="1"/>
  <c r="AL229" i="1"/>
  <c r="AL230" i="1"/>
  <c r="AL231" i="1"/>
  <c r="AL232" i="1"/>
  <c r="AL233" i="1"/>
  <c r="AL234" i="1"/>
  <c r="AL235" i="1"/>
  <c r="AL236" i="1"/>
  <c r="AL237" i="1"/>
  <c r="AL238" i="1"/>
  <c r="AL239" i="1"/>
  <c r="AL240" i="1"/>
  <c r="AL241" i="1"/>
  <c r="AL242" i="1"/>
  <c r="AL243" i="1"/>
  <c r="AL244" i="1"/>
  <c r="AL245" i="1"/>
  <c r="AL246" i="1"/>
  <c r="AL247" i="1"/>
  <c r="AL248" i="1"/>
  <c r="AL249" i="1"/>
  <c r="AL250" i="1"/>
  <c r="AL251" i="1"/>
  <c r="AL252" i="1"/>
  <c r="AL253" i="1"/>
  <c r="AL254" i="1"/>
  <c r="AL255" i="1"/>
  <c r="AL256" i="1"/>
  <c r="AL257" i="1"/>
  <c r="AL258" i="1"/>
  <c r="AL259" i="1"/>
  <c r="AL260" i="1"/>
  <c r="AL261" i="1"/>
  <c r="AL262" i="1"/>
  <c r="AL263" i="1"/>
  <c r="AL264" i="1"/>
  <c r="AL265" i="1"/>
  <c r="AL266" i="1"/>
  <c r="AL267" i="1"/>
  <c r="AL268" i="1"/>
  <c r="AL269" i="1"/>
  <c r="AL270" i="1"/>
  <c r="AL271" i="1"/>
  <c r="AL272" i="1"/>
  <c r="AL273" i="1"/>
  <c r="AL274" i="1"/>
  <c r="AL275" i="1"/>
  <c r="AL276" i="1"/>
  <c r="AL277" i="1"/>
  <c r="AL278" i="1"/>
  <c r="AL279" i="1"/>
  <c r="AL280" i="1"/>
  <c r="AL281" i="1"/>
  <c r="AL282" i="1"/>
  <c r="AL283" i="1"/>
  <c r="AL284" i="1"/>
  <c r="AL285" i="1"/>
  <c r="AL286" i="1"/>
  <c r="AL287" i="1"/>
  <c r="AL288" i="1"/>
  <c r="AL289" i="1"/>
  <c r="AL290" i="1"/>
  <c r="AL291" i="1"/>
  <c r="AL292" i="1"/>
  <c r="AL293" i="1"/>
  <c r="AL294" i="1"/>
  <c r="AL295" i="1"/>
  <c r="AL296" i="1"/>
  <c r="AL297" i="1"/>
  <c r="AL298" i="1"/>
  <c r="AL299" i="1"/>
  <c r="AL300" i="1"/>
  <c r="AL301" i="1"/>
  <c r="AL302" i="1"/>
  <c r="AL303" i="1"/>
  <c r="AL304" i="1"/>
  <c r="AL305" i="1"/>
  <c r="AL306" i="1"/>
  <c r="AL307" i="1"/>
  <c r="AL308" i="1"/>
  <c r="AL309" i="1"/>
  <c r="AL310" i="1"/>
  <c r="AL311" i="1"/>
  <c r="AL312" i="1"/>
  <c r="AL313" i="1"/>
  <c r="AL314" i="1"/>
  <c r="AL315" i="1"/>
  <c r="AL316" i="1"/>
  <c r="AL317" i="1"/>
  <c r="AL318" i="1"/>
  <c r="AL319" i="1"/>
  <c r="AL320" i="1"/>
  <c r="AL321" i="1"/>
  <c r="AL322" i="1"/>
  <c r="AL323" i="1"/>
  <c r="AL324" i="1"/>
  <c r="AL325" i="1"/>
  <c r="AL326" i="1"/>
  <c r="AL327" i="1"/>
  <c r="AL328" i="1"/>
  <c r="AL329" i="1"/>
  <c r="AL330" i="1"/>
  <c r="AL331" i="1"/>
  <c r="AL332" i="1"/>
  <c r="AL333" i="1"/>
  <c r="AL334" i="1"/>
  <c r="AL335" i="1"/>
  <c r="AL336" i="1"/>
  <c r="AL337" i="1"/>
  <c r="AL338" i="1"/>
  <c r="AL339" i="1"/>
  <c r="AL340" i="1"/>
  <c r="AL341" i="1"/>
  <c r="AL342" i="1"/>
  <c r="AL343" i="1"/>
  <c r="AL344" i="1"/>
  <c r="AL345" i="1"/>
  <c r="AL346" i="1"/>
  <c r="AL347" i="1"/>
  <c r="AL348" i="1"/>
  <c r="AL349" i="1"/>
  <c r="AL350" i="1"/>
  <c r="AL351" i="1"/>
  <c r="AL352" i="1"/>
  <c r="AL353" i="1"/>
  <c r="AL354" i="1"/>
  <c r="AL355" i="1"/>
  <c r="AL356" i="1"/>
  <c r="AL357" i="1"/>
  <c r="AL358" i="1"/>
  <c r="AL359" i="1"/>
  <c r="AL360" i="1"/>
  <c r="AL361" i="1"/>
  <c r="AL362" i="1"/>
  <c r="AL363" i="1"/>
  <c r="AL364" i="1"/>
  <c r="AL365" i="1"/>
  <c r="AL366" i="1"/>
  <c r="AL367" i="1"/>
  <c r="AL368" i="1"/>
  <c r="AL369" i="1"/>
  <c r="AL370" i="1"/>
  <c r="AL371" i="1"/>
  <c r="AL372" i="1"/>
  <c r="AL373" i="1"/>
  <c r="AL374" i="1"/>
  <c r="AL375" i="1"/>
  <c r="AL376" i="1"/>
  <c r="AL377" i="1"/>
  <c r="AL378" i="1"/>
  <c r="AL379" i="1"/>
  <c r="AL380" i="1"/>
  <c r="AL381" i="1"/>
  <c r="AL382" i="1"/>
  <c r="AL383" i="1"/>
  <c r="AL384" i="1"/>
  <c r="AL385" i="1"/>
  <c r="AL386" i="1"/>
  <c r="AL387" i="1"/>
  <c r="AL388" i="1"/>
  <c r="AL389" i="1"/>
  <c r="AL390" i="1"/>
  <c r="AL391" i="1"/>
  <c r="AL392" i="1"/>
  <c r="AL393" i="1"/>
  <c r="AL394" i="1"/>
  <c r="AL395" i="1"/>
  <c r="AL396" i="1"/>
  <c r="AL397" i="1"/>
  <c r="AL398" i="1"/>
  <c r="AL399" i="1"/>
  <c r="AL400" i="1"/>
  <c r="AL401" i="1"/>
  <c r="AL402" i="1"/>
  <c r="AL403" i="1"/>
  <c r="AL404" i="1"/>
  <c r="AL405" i="1"/>
  <c r="AL406" i="1"/>
  <c r="AL407" i="1"/>
  <c r="AL408" i="1"/>
  <c r="AL409" i="1"/>
  <c r="AL410" i="1"/>
  <c r="AL411" i="1"/>
  <c r="AL412" i="1"/>
  <c r="AL413" i="1"/>
  <c r="AL414" i="1"/>
  <c r="AL415" i="1"/>
  <c r="AL416" i="1"/>
  <c r="AL417" i="1"/>
  <c r="AL418" i="1"/>
  <c r="AL419" i="1"/>
  <c r="AL420" i="1"/>
  <c r="AL421" i="1"/>
  <c r="AL422" i="1"/>
  <c r="AL423" i="1"/>
  <c r="AL424" i="1"/>
  <c r="AL425" i="1"/>
  <c r="AL426" i="1"/>
  <c r="AL427" i="1"/>
  <c r="AL428" i="1"/>
  <c r="AL429" i="1"/>
  <c r="AL430" i="1"/>
  <c r="AL431" i="1"/>
  <c r="AL432" i="1"/>
  <c r="AL433" i="1"/>
  <c r="AL434" i="1"/>
  <c r="AL435" i="1"/>
  <c r="AL436" i="1"/>
  <c r="AL437" i="1"/>
  <c r="AL438" i="1"/>
  <c r="AL439" i="1"/>
  <c r="AL440" i="1"/>
  <c r="AL441" i="1"/>
  <c r="AL442" i="1"/>
  <c r="AL443" i="1"/>
  <c r="AL444" i="1"/>
  <c r="AL445" i="1"/>
  <c r="AL446" i="1"/>
  <c r="AL447" i="1"/>
  <c r="AL448" i="1"/>
  <c r="AL449" i="1"/>
  <c r="AL450" i="1"/>
  <c r="AL451" i="1"/>
  <c r="AL452" i="1"/>
  <c r="AL453" i="1"/>
  <c r="AL454" i="1"/>
  <c r="AL455" i="1"/>
  <c r="AL456" i="1"/>
  <c r="AL457" i="1"/>
  <c r="AL458" i="1"/>
  <c r="AL459" i="1"/>
  <c r="AL460" i="1"/>
  <c r="AL461" i="1"/>
  <c r="AL462" i="1"/>
  <c r="AL463" i="1"/>
  <c r="AL464" i="1"/>
  <c r="AL465" i="1"/>
  <c r="AL466" i="1"/>
  <c r="AL467" i="1"/>
  <c r="AL468" i="1"/>
  <c r="AL469" i="1"/>
  <c r="AL470" i="1"/>
  <c r="AL471" i="1"/>
  <c r="AL472" i="1"/>
  <c r="AL473" i="1"/>
  <c r="AL474" i="1"/>
  <c r="AL475" i="1"/>
  <c r="AL476" i="1"/>
  <c r="AL477" i="1"/>
  <c r="AL478" i="1"/>
  <c r="AL479" i="1"/>
  <c r="AL480" i="1"/>
  <c r="AL481" i="1"/>
  <c r="AL482" i="1"/>
  <c r="AL483" i="1"/>
  <c r="AL484" i="1"/>
  <c r="AL485" i="1"/>
  <c r="AL486" i="1"/>
  <c r="AL487" i="1"/>
  <c r="AL488" i="1"/>
  <c r="AL489" i="1"/>
  <c r="AL490" i="1"/>
  <c r="AL491" i="1"/>
  <c r="AL492" i="1"/>
  <c r="AL493" i="1"/>
  <c r="AL494" i="1"/>
  <c r="AL495" i="1"/>
  <c r="AL496" i="1"/>
  <c r="AL497" i="1"/>
  <c r="AL498" i="1"/>
  <c r="AL499" i="1"/>
  <c r="AL500" i="1"/>
  <c r="AL501" i="1"/>
  <c r="AL502" i="1"/>
  <c r="AL503" i="1"/>
  <c r="AL504" i="1"/>
  <c r="AL505" i="1"/>
  <c r="AL506" i="1"/>
  <c r="AL507" i="1"/>
  <c r="AL508" i="1"/>
  <c r="AL509" i="1"/>
  <c r="AL510" i="1"/>
  <c r="AL511" i="1"/>
  <c r="AL512" i="1"/>
  <c r="AL513" i="1"/>
  <c r="AL514" i="1"/>
  <c r="AL515" i="1"/>
  <c r="AL516" i="1"/>
  <c r="AL517" i="1"/>
  <c r="AL518" i="1"/>
  <c r="AL519" i="1"/>
  <c r="AL520" i="1"/>
  <c r="AL521" i="1"/>
  <c r="AL522" i="1"/>
  <c r="AL523" i="1"/>
  <c r="AL524" i="1"/>
  <c r="AL525" i="1"/>
  <c r="AL526" i="1"/>
  <c r="AL527" i="1"/>
  <c r="AL528" i="1"/>
  <c r="AL529" i="1"/>
  <c r="AL530" i="1"/>
  <c r="AL531" i="1"/>
  <c r="AL532" i="1"/>
  <c r="AL533" i="1"/>
  <c r="AL534" i="1"/>
  <c r="AL535" i="1"/>
  <c r="AL536" i="1"/>
  <c r="AL537" i="1"/>
  <c r="AL538" i="1"/>
  <c r="AL539" i="1"/>
  <c r="AL540" i="1"/>
  <c r="AL541" i="1"/>
  <c r="AL542" i="1"/>
  <c r="AL543" i="1"/>
  <c r="AL544" i="1"/>
  <c r="AL545" i="1"/>
  <c r="AL546" i="1"/>
  <c r="AL547" i="1"/>
  <c r="AL548" i="1"/>
  <c r="AL549" i="1"/>
  <c r="AL550" i="1"/>
  <c r="AL551" i="1"/>
  <c r="AL552" i="1"/>
  <c r="AL553" i="1"/>
  <c r="AL554" i="1"/>
  <c r="AL555" i="1"/>
  <c r="AL556" i="1"/>
  <c r="AL557" i="1"/>
  <c r="AL558" i="1"/>
  <c r="AL559" i="1"/>
  <c r="AL560" i="1"/>
  <c r="AL561" i="1"/>
  <c r="AL562" i="1"/>
  <c r="AL563" i="1"/>
  <c r="AL564" i="1"/>
  <c r="AL565" i="1"/>
  <c r="AL566" i="1"/>
  <c r="AL567" i="1"/>
  <c r="AL568" i="1"/>
  <c r="AL569" i="1"/>
  <c r="AL570" i="1"/>
  <c r="AL571" i="1"/>
  <c r="AL572" i="1"/>
  <c r="AL573" i="1"/>
  <c r="AL574" i="1"/>
  <c r="AL575" i="1"/>
  <c r="AL576" i="1"/>
  <c r="AL577" i="1"/>
  <c r="AL578" i="1"/>
  <c r="AL579" i="1"/>
  <c r="AL580" i="1"/>
  <c r="AL581" i="1"/>
  <c r="AL582" i="1"/>
  <c r="AL583" i="1"/>
  <c r="AL584" i="1"/>
  <c r="AL585" i="1"/>
  <c r="AL586" i="1"/>
  <c r="AL587" i="1"/>
  <c r="AL588" i="1"/>
  <c r="AL589" i="1"/>
  <c r="AL590" i="1"/>
  <c r="AL591" i="1"/>
  <c r="AL592" i="1"/>
  <c r="AL593" i="1"/>
  <c r="AL594" i="1"/>
  <c r="AL595" i="1"/>
  <c r="AL596" i="1"/>
  <c r="AL597" i="1"/>
  <c r="AL598" i="1"/>
  <c r="AL599" i="1"/>
  <c r="AL600" i="1"/>
  <c r="AL601" i="1"/>
  <c r="AL602" i="1"/>
  <c r="AL603" i="1"/>
  <c r="AL604" i="1"/>
  <c r="AL605" i="1"/>
  <c r="AL606" i="1"/>
  <c r="AL607" i="1"/>
  <c r="AL608" i="1"/>
  <c r="AL609" i="1"/>
  <c r="AL610" i="1"/>
  <c r="AL611" i="1"/>
  <c r="AL612" i="1"/>
  <c r="AL613" i="1"/>
  <c r="AL614" i="1"/>
  <c r="AL615" i="1"/>
  <c r="AL616" i="1"/>
  <c r="AL617" i="1"/>
  <c r="AL618" i="1"/>
  <c r="AL619" i="1"/>
  <c r="AL620" i="1"/>
  <c r="AL621" i="1"/>
  <c r="AL622" i="1"/>
  <c r="AL623" i="1"/>
  <c r="AL624" i="1"/>
  <c r="AL625" i="1"/>
  <c r="AL626" i="1"/>
  <c r="AL627" i="1"/>
  <c r="AL628" i="1"/>
  <c r="AL629" i="1"/>
  <c r="AL630" i="1"/>
  <c r="AL631" i="1"/>
  <c r="AL632" i="1"/>
  <c r="AL633" i="1"/>
  <c r="AL634" i="1"/>
  <c r="AL635" i="1"/>
  <c r="AL636" i="1"/>
  <c r="AL637" i="1"/>
  <c r="AL638" i="1"/>
  <c r="AL639" i="1"/>
  <c r="AL640" i="1"/>
  <c r="AL641" i="1"/>
  <c r="AL642" i="1"/>
  <c r="AL643" i="1"/>
  <c r="AL644" i="1"/>
  <c r="AL645" i="1"/>
  <c r="AL646" i="1"/>
  <c r="AL647" i="1"/>
  <c r="AL648" i="1"/>
  <c r="AL649" i="1"/>
  <c r="AL650" i="1"/>
  <c r="AL651" i="1"/>
  <c r="AL652" i="1"/>
  <c r="AL653" i="1"/>
  <c r="AL654" i="1"/>
  <c r="AL655" i="1"/>
  <c r="AL656" i="1"/>
  <c r="AL657" i="1"/>
  <c r="AL658" i="1"/>
  <c r="AL659" i="1"/>
  <c r="AL660" i="1"/>
  <c r="AL661" i="1"/>
  <c r="AL662" i="1"/>
  <c r="AL663" i="1"/>
  <c r="AL664" i="1"/>
  <c r="AL665" i="1"/>
  <c r="AL666" i="1"/>
  <c r="AL667" i="1"/>
  <c r="AL668" i="1"/>
  <c r="AL669" i="1"/>
  <c r="AL670" i="1"/>
  <c r="AL671" i="1"/>
  <c r="AL672" i="1"/>
  <c r="AL673" i="1"/>
  <c r="AL674" i="1"/>
  <c r="AL675" i="1"/>
  <c r="AL676" i="1"/>
  <c r="AL677" i="1"/>
  <c r="AL678" i="1"/>
  <c r="AL679" i="1"/>
  <c r="AL680" i="1"/>
  <c r="AL681" i="1"/>
  <c r="AL682" i="1"/>
  <c r="AL683" i="1"/>
  <c r="AL684" i="1"/>
  <c r="AL685" i="1"/>
  <c r="AL686" i="1"/>
  <c r="AL687" i="1"/>
  <c r="AL688" i="1"/>
  <c r="AL689" i="1"/>
  <c r="AL690" i="1"/>
  <c r="AL691" i="1"/>
  <c r="AL692" i="1"/>
  <c r="AL693" i="1"/>
  <c r="AL694" i="1"/>
  <c r="AL695" i="1"/>
  <c r="AL696" i="1"/>
  <c r="AL697" i="1"/>
  <c r="AL698" i="1"/>
  <c r="AL699" i="1"/>
  <c r="AL700" i="1"/>
  <c r="AL701" i="1"/>
  <c r="AL702" i="1"/>
  <c r="AL703" i="1"/>
  <c r="AL704" i="1"/>
  <c r="AL705" i="1"/>
  <c r="AL706" i="1"/>
  <c r="AL707" i="1"/>
  <c r="AL708" i="1"/>
  <c r="AL709" i="1"/>
  <c r="AL710" i="1"/>
  <c r="AL711" i="1"/>
  <c r="AL712" i="1"/>
  <c r="AL713" i="1"/>
  <c r="AL714" i="1"/>
  <c r="AL715" i="1"/>
  <c r="AL716" i="1"/>
  <c r="AL717" i="1"/>
  <c r="AL718" i="1"/>
  <c r="AL719" i="1"/>
  <c r="AL720" i="1"/>
  <c r="AL721" i="1"/>
  <c r="AL722" i="1"/>
  <c r="AL723" i="1"/>
  <c r="AL724" i="1"/>
  <c r="AL725" i="1"/>
  <c r="AL726" i="1"/>
  <c r="AL727" i="1"/>
  <c r="AL728" i="1"/>
  <c r="AL729" i="1"/>
  <c r="AL730" i="1"/>
  <c r="AL731" i="1"/>
  <c r="AL732" i="1"/>
  <c r="AL733" i="1"/>
  <c r="AL734" i="1"/>
  <c r="AL735" i="1"/>
  <c r="AL736" i="1"/>
  <c r="AL737" i="1"/>
  <c r="AL738" i="1"/>
  <c r="AL739" i="1"/>
  <c r="AL740" i="1"/>
  <c r="AL741" i="1"/>
  <c r="AL742" i="1"/>
  <c r="AL743" i="1"/>
  <c r="AL744" i="1"/>
  <c r="AL745" i="1"/>
  <c r="AL746" i="1"/>
  <c r="AL747" i="1"/>
  <c r="AL748" i="1"/>
  <c r="AL749" i="1"/>
  <c r="AL750" i="1"/>
  <c r="AL751" i="1"/>
  <c r="AL752" i="1"/>
  <c r="AL753" i="1"/>
  <c r="AL754" i="1"/>
  <c r="AL755" i="1"/>
  <c r="AL756" i="1"/>
  <c r="AL757" i="1"/>
  <c r="AL758" i="1"/>
  <c r="AL759" i="1"/>
  <c r="AL760" i="1"/>
  <c r="AL761" i="1"/>
  <c r="AL762" i="1"/>
  <c r="AL763" i="1"/>
  <c r="AL764" i="1"/>
  <c r="AL765" i="1"/>
  <c r="AL766" i="1"/>
  <c r="AL767" i="1"/>
  <c r="AL768" i="1"/>
  <c r="AL769" i="1"/>
  <c r="AL770" i="1"/>
  <c r="AL771" i="1"/>
  <c r="AL772" i="1"/>
  <c r="AL773" i="1"/>
  <c r="AL774" i="1"/>
  <c r="AL775" i="1"/>
  <c r="AL776" i="1"/>
  <c r="AL777" i="1"/>
  <c r="AL778" i="1"/>
  <c r="AL779" i="1"/>
  <c r="AL780" i="1"/>
  <c r="AL781" i="1"/>
  <c r="AL782" i="1"/>
  <c r="AL783" i="1"/>
  <c r="AL784" i="1"/>
  <c r="AL785" i="1"/>
  <c r="AL786" i="1"/>
  <c r="AL787" i="1"/>
  <c r="AL788" i="1"/>
  <c r="AL789" i="1"/>
  <c r="AL790" i="1"/>
  <c r="AL791" i="1"/>
  <c r="AL792" i="1"/>
  <c r="AL793" i="1"/>
  <c r="AL794" i="1"/>
  <c r="AL795" i="1"/>
  <c r="AL796" i="1"/>
  <c r="AL797" i="1"/>
  <c r="AL798" i="1"/>
  <c r="AL799" i="1"/>
  <c r="AL800" i="1"/>
  <c r="AL801" i="1"/>
  <c r="AL802" i="1"/>
  <c r="AL803" i="1"/>
  <c r="AL804" i="1"/>
  <c r="AL805" i="1"/>
  <c r="AL806" i="1"/>
  <c r="AL807" i="1"/>
  <c r="AL808" i="1"/>
  <c r="AL809" i="1"/>
  <c r="AL810" i="1"/>
  <c r="AL811" i="1"/>
  <c r="AL812" i="1"/>
  <c r="AL813" i="1"/>
  <c r="AL814" i="1"/>
  <c r="AL815" i="1"/>
  <c r="AL816" i="1"/>
  <c r="AL817" i="1"/>
  <c r="AL818" i="1"/>
  <c r="AL819" i="1"/>
  <c r="AL820" i="1"/>
  <c r="AL821" i="1"/>
  <c r="AL822" i="1"/>
  <c r="AL823" i="1"/>
  <c r="AL824" i="1"/>
  <c r="AL825" i="1"/>
  <c r="AL826" i="1"/>
  <c r="AL827" i="1"/>
  <c r="AL828" i="1"/>
  <c r="AL829" i="1"/>
  <c r="AL830" i="1"/>
  <c r="AL831" i="1"/>
  <c r="AL832" i="1"/>
  <c r="AL833" i="1"/>
  <c r="AL834" i="1"/>
  <c r="AL835" i="1"/>
  <c r="AL836" i="1"/>
  <c r="AL837" i="1"/>
  <c r="AL838" i="1"/>
  <c r="AL839" i="1"/>
  <c r="AL840" i="1"/>
  <c r="AL841" i="1"/>
  <c r="AL842" i="1"/>
  <c r="AL843" i="1"/>
  <c r="AL844" i="1"/>
  <c r="AL845" i="1"/>
  <c r="AL846" i="1"/>
  <c r="AL847" i="1"/>
  <c r="AL848" i="1"/>
  <c r="AL849" i="1"/>
  <c r="AL850" i="1"/>
  <c r="AL851" i="1"/>
  <c r="AL852" i="1"/>
  <c r="AL853" i="1"/>
  <c r="AL854" i="1"/>
  <c r="AL855" i="1"/>
  <c r="AL856" i="1"/>
  <c r="AL857" i="1"/>
  <c r="AL858" i="1"/>
  <c r="AL859" i="1"/>
  <c r="AL860" i="1"/>
  <c r="AL861" i="1"/>
  <c r="AL862" i="1"/>
  <c r="AL863" i="1"/>
  <c r="AL864" i="1"/>
  <c r="AL865" i="1"/>
  <c r="AL866" i="1"/>
  <c r="AL867" i="1"/>
  <c r="AL868" i="1"/>
  <c r="AL869" i="1"/>
  <c r="AL870" i="1"/>
  <c r="AL871" i="1"/>
  <c r="AL872" i="1"/>
  <c r="AL873" i="1"/>
  <c r="AL874" i="1"/>
  <c r="AL875" i="1"/>
  <c r="AL876" i="1"/>
  <c r="AL877" i="1"/>
  <c r="AL878" i="1"/>
  <c r="AL879" i="1"/>
  <c r="AL880" i="1"/>
  <c r="AL881" i="1"/>
  <c r="AL882" i="1"/>
  <c r="AL883" i="1"/>
  <c r="AL884" i="1"/>
  <c r="AL885" i="1"/>
  <c r="AL886" i="1"/>
  <c r="AL887" i="1"/>
  <c r="AL888" i="1"/>
  <c r="AL889" i="1"/>
  <c r="AL890" i="1"/>
  <c r="AL891" i="1"/>
  <c r="AL892" i="1"/>
  <c r="AL893" i="1"/>
  <c r="AL894" i="1"/>
  <c r="AL895" i="1"/>
  <c r="AL896" i="1"/>
  <c r="AL897" i="1"/>
  <c r="AL898" i="1"/>
  <c r="AL899" i="1"/>
  <c r="AL900" i="1"/>
  <c r="AL901" i="1"/>
  <c r="AL902" i="1"/>
  <c r="AL903" i="1"/>
  <c r="AL904" i="1"/>
  <c r="AL905" i="1"/>
  <c r="AL906" i="1"/>
  <c r="AL907" i="1"/>
  <c r="AL908" i="1"/>
  <c r="AL909" i="1"/>
  <c r="AL910" i="1"/>
  <c r="AL911" i="1"/>
  <c r="AL912" i="1"/>
  <c r="AL913" i="1"/>
  <c r="AL914" i="1"/>
  <c r="AL915" i="1"/>
  <c r="AL916" i="1"/>
  <c r="AL917" i="1"/>
  <c r="AL918" i="1"/>
  <c r="AL919" i="1"/>
  <c r="AL920" i="1"/>
  <c r="AL921" i="1"/>
  <c r="AL922" i="1"/>
  <c r="AL923" i="1"/>
  <c r="AL924" i="1"/>
  <c r="AL925" i="1"/>
  <c r="AL926" i="1"/>
  <c r="AL927" i="1"/>
  <c r="AL928" i="1"/>
  <c r="AL929" i="1"/>
  <c r="AL930" i="1"/>
  <c r="AL931" i="1"/>
  <c r="AL932" i="1"/>
  <c r="AL933" i="1"/>
  <c r="AL934" i="1"/>
  <c r="AL935" i="1"/>
  <c r="AL936" i="1"/>
  <c r="AL937" i="1"/>
  <c r="AL938" i="1"/>
  <c r="AL939" i="1"/>
  <c r="AL940" i="1"/>
  <c r="AL941" i="1"/>
  <c r="AL942" i="1"/>
  <c r="AL943" i="1"/>
  <c r="AL944" i="1"/>
  <c r="AL945" i="1"/>
  <c r="AL946" i="1"/>
  <c r="AL947" i="1"/>
  <c r="AL948" i="1"/>
  <c r="AL949" i="1"/>
  <c r="AL950" i="1"/>
  <c r="AL951" i="1"/>
  <c r="AL952" i="1"/>
  <c r="AL953" i="1"/>
  <c r="AL954" i="1"/>
  <c r="AL955" i="1"/>
  <c r="AL956" i="1"/>
  <c r="AL957" i="1"/>
  <c r="AL958" i="1"/>
  <c r="AL959" i="1"/>
  <c r="AL960" i="1"/>
  <c r="AL961" i="1"/>
  <c r="AL962" i="1"/>
  <c r="AL963" i="1"/>
  <c r="AL964" i="1"/>
  <c r="AL965" i="1"/>
  <c r="AL966" i="1"/>
  <c r="AL967" i="1"/>
  <c r="AL968" i="1"/>
  <c r="AL969" i="1"/>
  <c r="AL970" i="1"/>
  <c r="AL971" i="1"/>
  <c r="AL972" i="1"/>
  <c r="AL973" i="1"/>
  <c r="AL974" i="1"/>
  <c r="AL975" i="1"/>
  <c r="AL976" i="1"/>
  <c r="AL977" i="1"/>
  <c r="AL978" i="1"/>
  <c r="AL979" i="1"/>
  <c r="AL980" i="1"/>
  <c r="AL981" i="1"/>
  <c r="AL982" i="1"/>
  <c r="AL983" i="1"/>
  <c r="AL984" i="1"/>
  <c r="AL985" i="1"/>
  <c r="AL986" i="1"/>
  <c r="AL987" i="1"/>
  <c r="AL988" i="1"/>
  <c r="AL989" i="1"/>
  <c r="AL990" i="1"/>
  <c r="AL991" i="1"/>
  <c r="AL992" i="1"/>
  <c r="AL993" i="1"/>
  <c r="AL994" i="1"/>
  <c r="AL995" i="1"/>
  <c r="AL996" i="1"/>
  <c r="AL997" i="1"/>
  <c r="AL998" i="1"/>
  <c r="AL999" i="1"/>
  <c r="AL1000" i="1"/>
  <c r="AL1001" i="1"/>
  <c r="AL1002" i="1"/>
  <c r="AL1003" i="1"/>
  <c r="AL1004" i="1"/>
  <c r="AL1005" i="1"/>
  <c r="AL1006" i="1"/>
  <c r="AL1007" i="1"/>
  <c r="AL1008" i="1"/>
  <c r="AL1009" i="1"/>
  <c r="AL1010" i="1"/>
  <c r="AL1011" i="1"/>
  <c r="AL1012" i="1"/>
  <c r="AL1013" i="1"/>
  <c r="AL1014" i="1"/>
  <c r="AL1015" i="1"/>
  <c r="AL1016" i="1"/>
  <c r="AL1017" i="1"/>
  <c r="AL1018" i="1"/>
  <c r="AL1019" i="1"/>
  <c r="AL1020" i="1"/>
  <c r="AL1021" i="1"/>
  <c r="AL1022" i="1"/>
  <c r="AL1023" i="1"/>
  <c r="AL1024" i="1"/>
  <c r="AL1025" i="1"/>
  <c r="AL1026" i="1"/>
  <c r="AL1027" i="1"/>
  <c r="AL1028" i="1"/>
  <c r="AL1029" i="1"/>
  <c r="AL1030" i="1"/>
  <c r="AL1031" i="1"/>
  <c r="AL1032" i="1"/>
  <c r="AL1033" i="1"/>
  <c r="AL1034" i="1"/>
  <c r="AL1035" i="1"/>
  <c r="AL1036" i="1"/>
  <c r="AL1037" i="1"/>
  <c r="AL1038" i="1"/>
  <c r="AL1039" i="1"/>
  <c r="AL1040" i="1"/>
  <c r="AL1041" i="1"/>
  <c r="AL1042" i="1"/>
  <c r="AL1043" i="1"/>
  <c r="AL1044" i="1"/>
  <c r="AL1045" i="1"/>
  <c r="AL1046" i="1"/>
  <c r="AL1047" i="1"/>
  <c r="AL1048" i="1"/>
  <c r="AL1049" i="1"/>
  <c r="AL1050" i="1"/>
  <c r="AL1051" i="1"/>
  <c r="AL1052" i="1"/>
  <c r="AL1053" i="1"/>
  <c r="AL1054" i="1"/>
  <c r="AL1055" i="1"/>
  <c r="AL1056" i="1"/>
  <c r="AL1057" i="1"/>
  <c r="AL1058" i="1"/>
  <c r="AL1059" i="1"/>
  <c r="AL1060" i="1"/>
  <c r="AL1061" i="1"/>
  <c r="AL1062" i="1"/>
  <c r="AL1063" i="1"/>
  <c r="AL1064" i="1"/>
  <c r="AL1065" i="1"/>
  <c r="AL1066" i="1"/>
  <c r="AL1067" i="1"/>
  <c r="AL1068" i="1"/>
  <c r="AL1069" i="1"/>
  <c r="AL1070" i="1"/>
  <c r="AL1071" i="1"/>
  <c r="AL1072" i="1"/>
  <c r="AL1073" i="1"/>
  <c r="AL1074" i="1"/>
  <c r="AL1075" i="1"/>
  <c r="AL1076" i="1"/>
  <c r="AL1077" i="1"/>
  <c r="AL1078" i="1"/>
  <c r="AL1079" i="1"/>
  <c r="AL1080" i="1"/>
  <c r="AL1081" i="1"/>
  <c r="AL1082" i="1"/>
  <c r="AL1083" i="1"/>
  <c r="AL1084" i="1"/>
  <c r="AL1085" i="1"/>
  <c r="AL1086" i="1"/>
  <c r="AL1087" i="1"/>
  <c r="AL1088" i="1"/>
  <c r="AL1089" i="1"/>
  <c r="AL1090" i="1"/>
  <c r="AL1091" i="1"/>
  <c r="AL1092" i="1"/>
  <c r="AL1093" i="1"/>
  <c r="AL1094" i="1"/>
  <c r="AL1095" i="1"/>
  <c r="AL1096" i="1"/>
  <c r="AL1097" i="1"/>
  <c r="AL1098" i="1"/>
  <c r="AL1099" i="1"/>
  <c r="AL1100" i="1"/>
  <c r="AL1101" i="1"/>
  <c r="AL1102" i="1"/>
  <c r="AL1103" i="1"/>
  <c r="AL1104" i="1"/>
  <c r="AL1105" i="1"/>
  <c r="AL1106" i="1"/>
  <c r="AL1107" i="1"/>
  <c r="AL1108" i="1"/>
  <c r="AL1109" i="1"/>
  <c r="AL1110" i="1"/>
  <c r="AL1111" i="1"/>
  <c r="AL1112" i="1"/>
  <c r="AL1113" i="1"/>
  <c r="AL1114" i="1"/>
  <c r="AL1115" i="1"/>
  <c r="AL1116" i="1"/>
  <c r="AL1117" i="1"/>
  <c r="AL1118" i="1"/>
  <c r="AL1119" i="1"/>
  <c r="AL1120" i="1"/>
  <c r="AL1121" i="1"/>
  <c r="AL1122" i="1"/>
  <c r="AL1123" i="1"/>
  <c r="AL1124" i="1"/>
  <c r="AL1125" i="1"/>
  <c r="AL1126" i="1"/>
  <c r="AL1127" i="1"/>
  <c r="AL1128" i="1"/>
  <c r="AL1129" i="1"/>
  <c r="AL1130" i="1"/>
  <c r="AL1131" i="1"/>
  <c r="AL1132" i="1"/>
  <c r="AL1133" i="1"/>
  <c r="AL1134" i="1"/>
  <c r="AL1135" i="1"/>
  <c r="AL1136" i="1"/>
  <c r="AL1137" i="1"/>
  <c r="AL1138" i="1"/>
  <c r="AL1139" i="1"/>
  <c r="AL1140" i="1"/>
  <c r="AL1141" i="1"/>
  <c r="AL1142" i="1"/>
  <c r="AL1143" i="1"/>
  <c r="AL1144" i="1"/>
  <c r="AL1145" i="1"/>
  <c r="AL1146" i="1"/>
  <c r="AL1147" i="1"/>
  <c r="AL1148" i="1"/>
  <c r="AL1149" i="1"/>
  <c r="AL1150" i="1"/>
  <c r="AL1151" i="1"/>
  <c r="AL1152" i="1"/>
  <c r="AL1153" i="1"/>
  <c r="AL1154" i="1"/>
  <c r="AL1155" i="1"/>
  <c r="AL1156" i="1"/>
  <c r="AL1157" i="1"/>
  <c r="AL1158" i="1"/>
  <c r="AL1159" i="1"/>
  <c r="AL1160" i="1"/>
  <c r="AL1161" i="1"/>
  <c r="AL1162" i="1"/>
  <c r="AL1163" i="1"/>
  <c r="AL1164" i="1"/>
  <c r="AL1165" i="1"/>
  <c r="AL1166" i="1"/>
  <c r="AL1167" i="1"/>
  <c r="AL1168" i="1"/>
  <c r="AL1169" i="1"/>
  <c r="AL1170" i="1"/>
  <c r="AL1171" i="1"/>
  <c r="AL1172" i="1"/>
  <c r="AL1173" i="1"/>
  <c r="AL1174" i="1"/>
  <c r="AL1175" i="1"/>
  <c r="AL1176" i="1"/>
  <c r="AL1177" i="1"/>
  <c r="AL1178" i="1"/>
  <c r="AL1179" i="1"/>
  <c r="AL1180" i="1"/>
  <c r="AL1181" i="1"/>
  <c r="AL1182" i="1"/>
  <c r="AL1183" i="1"/>
  <c r="AL1184" i="1"/>
  <c r="AL1185" i="1"/>
  <c r="AL1186" i="1"/>
  <c r="AL1187" i="1"/>
  <c r="AL1188" i="1"/>
  <c r="AL1189" i="1"/>
  <c r="AL1190" i="1"/>
  <c r="AL1191" i="1"/>
  <c r="AL1192" i="1"/>
  <c r="AL1193" i="1"/>
  <c r="AL1194" i="1"/>
  <c r="AL1195" i="1"/>
  <c r="AL1196" i="1"/>
  <c r="AL1197" i="1"/>
  <c r="AL1198" i="1"/>
  <c r="AL1199" i="1"/>
  <c r="AL1200" i="1"/>
  <c r="AL1201" i="1"/>
  <c r="AL1202" i="1"/>
  <c r="AL1203" i="1"/>
  <c r="AL1204" i="1"/>
  <c r="AL1205" i="1"/>
  <c r="AL1206" i="1"/>
  <c r="AL1207" i="1"/>
  <c r="AL1208" i="1"/>
  <c r="AL1209" i="1"/>
  <c r="AL1210" i="1"/>
  <c r="AL1211" i="1"/>
  <c r="AL1212" i="1"/>
  <c r="AL1213" i="1"/>
  <c r="AL1214" i="1"/>
  <c r="AL1215" i="1"/>
  <c r="AL1216" i="1"/>
  <c r="AL1217" i="1"/>
  <c r="AL1218" i="1"/>
  <c r="AL1219" i="1"/>
  <c r="AL1220" i="1"/>
  <c r="AL1221" i="1"/>
  <c r="AL1222" i="1"/>
  <c r="AL1223" i="1"/>
  <c r="AL1224" i="1"/>
  <c r="AL1225" i="1"/>
  <c r="AL1226" i="1"/>
  <c r="AL1227" i="1"/>
  <c r="AL1228" i="1"/>
  <c r="AL1229" i="1"/>
  <c r="AL1230" i="1"/>
  <c r="AL1231" i="1"/>
  <c r="AL1232" i="1"/>
  <c r="AL1233" i="1"/>
  <c r="AL1234" i="1"/>
  <c r="AL1235" i="1"/>
  <c r="AL1236" i="1"/>
  <c r="AL1237" i="1"/>
  <c r="AL1238" i="1"/>
  <c r="AL1239" i="1"/>
  <c r="AL1240" i="1"/>
  <c r="AL1241" i="1"/>
  <c r="AL1242" i="1"/>
  <c r="AL1243" i="1"/>
  <c r="AL1244" i="1"/>
  <c r="AL1245" i="1"/>
  <c r="AL1246" i="1"/>
  <c r="AL1247" i="1"/>
  <c r="AL1248" i="1"/>
  <c r="AL1249" i="1"/>
  <c r="AL1250" i="1"/>
  <c r="AL1251" i="1"/>
  <c r="AL1252" i="1"/>
  <c r="AL1253" i="1"/>
  <c r="AL1254" i="1"/>
  <c r="AL1255" i="1"/>
  <c r="AL1256" i="1"/>
  <c r="AL1257" i="1"/>
  <c r="AL1258" i="1"/>
  <c r="AL1259" i="1"/>
  <c r="AL1260" i="1"/>
  <c r="AL1261" i="1"/>
  <c r="AL1262" i="1"/>
  <c r="AL1263" i="1"/>
  <c r="AL1264" i="1"/>
  <c r="AL1265" i="1"/>
  <c r="AL1266" i="1"/>
  <c r="AL1267" i="1"/>
  <c r="AL1268" i="1"/>
  <c r="AL1269" i="1"/>
  <c r="AL1270" i="1"/>
  <c r="AL1271" i="1"/>
  <c r="AL1272" i="1"/>
  <c r="AL1273" i="1"/>
  <c r="AL1274" i="1"/>
  <c r="AL1275" i="1"/>
  <c r="AL1276" i="1"/>
  <c r="AL1277" i="1"/>
  <c r="AL1278" i="1"/>
  <c r="AL1279" i="1"/>
  <c r="AL1280" i="1"/>
  <c r="AL1281" i="1"/>
  <c r="AL1282" i="1"/>
  <c r="AL1283" i="1"/>
  <c r="AL1284" i="1"/>
  <c r="AL1285" i="1"/>
  <c r="AL1286" i="1"/>
  <c r="AL1287" i="1"/>
  <c r="AL1288" i="1"/>
  <c r="AL1289" i="1"/>
  <c r="AL1290" i="1"/>
  <c r="AL1291" i="1"/>
  <c r="AL1292" i="1"/>
  <c r="AL1293" i="1"/>
  <c r="AL1294" i="1"/>
  <c r="AL1295" i="1"/>
  <c r="AL1296" i="1"/>
  <c r="AL1297" i="1"/>
  <c r="AL1298" i="1"/>
  <c r="AL1299" i="1"/>
  <c r="AL1300" i="1"/>
  <c r="AL1301" i="1"/>
  <c r="AL1302" i="1"/>
  <c r="AL1303" i="1"/>
  <c r="AL1304" i="1"/>
  <c r="AL1305" i="1"/>
  <c r="AL1306" i="1"/>
  <c r="AL1307" i="1"/>
  <c r="AL1308" i="1"/>
  <c r="AL1309" i="1"/>
  <c r="AL1310" i="1"/>
  <c r="AL1311" i="1"/>
  <c r="AL1312" i="1"/>
  <c r="AL1313" i="1"/>
  <c r="AL1314" i="1"/>
  <c r="AL1315" i="1"/>
  <c r="AL1316" i="1"/>
  <c r="AL1317" i="1"/>
  <c r="AL1318" i="1"/>
  <c r="AL1319" i="1"/>
  <c r="AL1320" i="1"/>
  <c r="AL1321" i="1"/>
  <c r="AL1322" i="1"/>
  <c r="AL1323" i="1"/>
  <c r="AL1324" i="1"/>
  <c r="AL1325" i="1"/>
  <c r="AL1326" i="1"/>
  <c r="AL1327" i="1"/>
  <c r="AL1328" i="1"/>
  <c r="AL1329" i="1"/>
  <c r="AL1330" i="1"/>
  <c r="AL1331" i="1"/>
  <c r="AL1332" i="1"/>
  <c r="AL1333" i="1"/>
  <c r="AL1334" i="1"/>
  <c r="AL1335" i="1"/>
  <c r="AL1336" i="1"/>
  <c r="AL1337" i="1"/>
  <c r="AL1338" i="1"/>
  <c r="AL1339" i="1"/>
  <c r="AL1340" i="1"/>
  <c r="AL1341" i="1"/>
  <c r="AL1342" i="1"/>
  <c r="AL1343" i="1"/>
  <c r="AL1344" i="1"/>
  <c r="AL1345" i="1"/>
  <c r="AL1346" i="1"/>
  <c r="AL1347" i="1"/>
  <c r="AL1348" i="1"/>
  <c r="AL1349" i="1"/>
  <c r="AL1350" i="1"/>
  <c r="AL1351" i="1"/>
  <c r="AL1352" i="1"/>
  <c r="AL1353" i="1"/>
  <c r="AL1354" i="1"/>
  <c r="AL1355" i="1"/>
  <c r="AL1356" i="1"/>
  <c r="AL1357" i="1"/>
  <c r="AL1358" i="1"/>
  <c r="AL1359" i="1"/>
  <c r="AL1360" i="1"/>
  <c r="AL1361" i="1"/>
  <c r="AL1362" i="1"/>
  <c r="AL1363" i="1"/>
  <c r="AL1364" i="1"/>
  <c r="AL1365" i="1"/>
  <c r="AL1366" i="1"/>
  <c r="AL1367" i="1"/>
  <c r="AL1368" i="1"/>
  <c r="AL1369" i="1"/>
  <c r="AL1370" i="1"/>
  <c r="AL1371" i="1"/>
  <c r="AL1372" i="1"/>
  <c r="AL1373" i="1"/>
  <c r="AL1374" i="1"/>
  <c r="AL1375" i="1"/>
  <c r="AL1376" i="1"/>
  <c r="AL1377" i="1"/>
  <c r="AL1378" i="1"/>
  <c r="AL1379" i="1"/>
  <c r="AL1380" i="1"/>
  <c r="AL1381" i="1"/>
  <c r="AL1382" i="1"/>
  <c r="AL1383" i="1"/>
  <c r="AL1384" i="1"/>
  <c r="AL1385" i="1"/>
  <c r="AL1386" i="1"/>
  <c r="AL1387" i="1"/>
  <c r="AL1388" i="1"/>
  <c r="AL1389" i="1"/>
  <c r="AL1390" i="1"/>
  <c r="AL1391" i="1"/>
  <c r="AL1392" i="1"/>
  <c r="AL1393" i="1"/>
  <c r="AL1394" i="1"/>
  <c r="AL1395" i="1"/>
  <c r="AL1396" i="1"/>
  <c r="AL1397" i="1"/>
  <c r="AL1398" i="1"/>
  <c r="AL1399" i="1"/>
  <c r="AL1400" i="1"/>
  <c r="AL1401" i="1"/>
  <c r="AL1402" i="1"/>
  <c r="AL1403" i="1"/>
  <c r="AL1404" i="1"/>
  <c r="AL1405" i="1"/>
  <c r="AL1406" i="1"/>
  <c r="AL1407" i="1"/>
  <c r="AL1408" i="1"/>
  <c r="AL1409" i="1"/>
  <c r="AL1410" i="1"/>
  <c r="AL1411" i="1"/>
  <c r="AL1412" i="1"/>
  <c r="AL1413" i="1"/>
  <c r="AL1414" i="1"/>
  <c r="AL1415" i="1"/>
  <c r="AL1416" i="1"/>
  <c r="AL1417" i="1"/>
  <c r="AL1418" i="1"/>
  <c r="AL1419" i="1"/>
  <c r="AL1420" i="1"/>
  <c r="AL1421" i="1"/>
  <c r="AL1422" i="1"/>
  <c r="AL1423" i="1"/>
  <c r="AL1424" i="1"/>
  <c r="AL1425" i="1"/>
  <c r="AL1426" i="1"/>
  <c r="AL1427" i="1"/>
  <c r="AL1428" i="1"/>
  <c r="AL1429" i="1"/>
  <c r="AL1430" i="1"/>
  <c r="AL1431" i="1"/>
  <c r="AL1432" i="1"/>
  <c r="AL1433" i="1"/>
  <c r="AL1434" i="1"/>
  <c r="AL1435" i="1"/>
  <c r="AL1436" i="1"/>
  <c r="AL1437" i="1"/>
  <c r="AL1438" i="1"/>
  <c r="AL1439" i="1"/>
  <c r="AL1440" i="1"/>
  <c r="AL1441" i="1"/>
  <c r="AL1442" i="1"/>
  <c r="AL1443" i="1"/>
  <c r="AL1444" i="1"/>
  <c r="AL1445" i="1"/>
  <c r="AL1446" i="1"/>
  <c r="AL1447" i="1"/>
  <c r="AL1448" i="1"/>
  <c r="AL1449" i="1"/>
  <c r="AL1450" i="1"/>
  <c r="AL1451" i="1"/>
  <c r="AL1452" i="1"/>
  <c r="AL1453" i="1"/>
  <c r="AL1454" i="1"/>
  <c r="AL1455" i="1"/>
  <c r="AL1456" i="1"/>
  <c r="AL1457" i="1"/>
  <c r="AL1458" i="1"/>
  <c r="AL1459" i="1"/>
  <c r="AL1460" i="1"/>
  <c r="AL1461" i="1"/>
  <c r="AL1462" i="1"/>
  <c r="AL1463" i="1"/>
  <c r="AL1464" i="1"/>
  <c r="AL1465" i="1"/>
  <c r="AL1466" i="1"/>
  <c r="AL1467" i="1"/>
  <c r="AL1468" i="1"/>
  <c r="AL1469" i="1"/>
  <c r="AL1470" i="1"/>
  <c r="AL1471" i="1"/>
  <c r="AK2" i="1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150" i="1"/>
  <c r="AK151" i="1"/>
  <c r="AK152" i="1"/>
  <c r="AK153" i="1"/>
  <c r="AK154" i="1"/>
  <c r="AK155" i="1"/>
  <c r="AK156" i="1"/>
  <c r="AK157" i="1"/>
  <c r="AK158" i="1"/>
  <c r="AK159" i="1"/>
  <c r="AK160" i="1"/>
  <c r="AK161" i="1"/>
  <c r="AK162" i="1"/>
  <c r="AK163" i="1"/>
  <c r="AK164" i="1"/>
  <c r="AK165" i="1"/>
  <c r="AK166" i="1"/>
  <c r="AK167" i="1"/>
  <c r="AK168" i="1"/>
  <c r="AK169" i="1"/>
  <c r="AK170" i="1"/>
  <c r="AK171" i="1"/>
  <c r="AK172" i="1"/>
  <c r="AK173" i="1"/>
  <c r="AK174" i="1"/>
  <c r="AK175" i="1"/>
  <c r="AK176" i="1"/>
  <c r="AK177" i="1"/>
  <c r="AK178" i="1"/>
  <c r="AK179" i="1"/>
  <c r="AK180" i="1"/>
  <c r="AK181" i="1"/>
  <c r="AK182" i="1"/>
  <c r="AK183" i="1"/>
  <c r="AK184" i="1"/>
  <c r="AK185" i="1"/>
  <c r="AK186" i="1"/>
  <c r="AK187" i="1"/>
  <c r="AK188" i="1"/>
  <c r="AK189" i="1"/>
  <c r="AK190" i="1"/>
  <c r="AK191" i="1"/>
  <c r="AK192" i="1"/>
  <c r="AK193" i="1"/>
  <c r="AK194" i="1"/>
  <c r="AK195" i="1"/>
  <c r="AK196" i="1"/>
  <c r="AK197" i="1"/>
  <c r="AK198" i="1"/>
  <c r="AK199" i="1"/>
  <c r="AK200" i="1"/>
  <c r="AK201" i="1"/>
  <c r="AK202" i="1"/>
  <c r="AK203" i="1"/>
  <c r="AK204" i="1"/>
  <c r="AK205" i="1"/>
  <c r="AK206" i="1"/>
  <c r="AK207" i="1"/>
  <c r="AK208" i="1"/>
  <c r="AK209" i="1"/>
  <c r="AK210" i="1"/>
  <c r="AK211" i="1"/>
  <c r="AK212" i="1"/>
  <c r="AK213" i="1"/>
  <c r="AK214" i="1"/>
  <c r="AK215" i="1"/>
  <c r="AK216" i="1"/>
  <c r="AK217" i="1"/>
  <c r="AK218" i="1"/>
  <c r="AK219" i="1"/>
  <c r="AK220" i="1"/>
  <c r="AK221" i="1"/>
  <c r="AK222" i="1"/>
  <c r="AK223" i="1"/>
  <c r="AK224" i="1"/>
  <c r="AK225" i="1"/>
  <c r="AK226" i="1"/>
  <c r="AK227" i="1"/>
  <c r="AK228" i="1"/>
  <c r="AK229" i="1"/>
  <c r="AK230" i="1"/>
  <c r="AK231" i="1"/>
  <c r="AK232" i="1"/>
  <c r="AK233" i="1"/>
  <c r="AK234" i="1"/>
  <c r="AK235" i="1"/>
  <c r="AK236" i="1"/>
  <c r="AK237" i="1"/>
  <c r="AK238" i="1"/>
  <c r="AK239" i="1"/>
  <c r="AK240" i="1"/>
  <c r="AK241" i="1"/>
  <c r="AK242" i="1"/>
  <c r="AK243" i="1"/>
  <c r="AK244" i="1"/>
  <c r="AK245" i="1"/>
  <c r="AK246" i="1"/>
  <c r="AK247" i="1"/>
  <c r="AK248" i="1"/>
  <c r="AK249" i="1"/>
  <c r="AK250" i="1"/>
  <c r="AK251" i="1"/>
  <c r="AK252" i="1"/>
  <c r="AK253" i="1"/>
  <c r="AK254" i="1"/>
  <c r="AK255" i="1"/>
  <c r="AK256" i="1"/>
  <c r="AK257" i="1"/>
  <c r="AK258" i="1"/>
  <c r="AK259" i="1"/>
  <c r="AK260" i="1"/>
  <c r="AK261" i="1"/>
  <c r="AK262" i="1"/>
  <c r="AK263" i="1"/>
  <c r="AK264" i="1"/>
  <c r="AK265" i="1"/>
  <c r="AK266" i="1"/>
  <c r="AK267" i="1"/>
  <c r="AK268" i="1"/>
  <c r="AK269" i="1"/>
  <c r="AK270" i="1"/>
  <c r="AK271" i="1"/>
  <c r="AK272" i="1"/>
  <c r="AK273" i="1"/>
  <c r="AK274" i="1"/>
  <c r="AK275" i="1"/>
  <c r="AK276" i="1"/>
  <c r="AK277" i="1"/>
  <c r="AK278" i="1"/>
  <c r="AK279" i="1"/>
  <c r="AK280" i="1"/>
  <c r="AK281" i="1"/>
  <c r="AK282" i="1"/>
  <c r="AK283" i="1"/>
  <c r="AK284" i="1"/>
  <c r="AK285" i="1"/>
  <c r="AK286" i="1"/>
  <c r="AK287" i="1"/>
  <c r="AK288" i="1"/>
  <c r="AK289" i="1"/>
  <c r="AK290" i="1"/>
  <c r="AK291" i="1"/>
  <c r="AK292" i="1"/>
  <c r="AK293" i="1"/>
  <c r="AK294" i="1"/>
  <c r="AK295" i="1"/>
  <c r="AK296" i="1"/>
  <c r="AK297" i="1"/>
  <c r="AK298" i="1"/>
  <c r="AK299" i="1"/>
  <c r="AK300" i="1"/>
  <c r="AK301" i="1"/>
  <c r="AK302" i="1"/>
  <c r="AK303" i="1"/>
  <c r="AK304" i="1"/>
  <c r="AK305" i="1"/>
  <c r="AK306" i="1"/>
  <c r="AK307" i="1"/>
  <c r="AK308" i="1"/>
  <c r="AK309" i="1"/>
  <c r="AK310" i="1"/>
  <c r="AK311" i="1"/>
  <c r="AK312" i="1"/>
  <c r="AK313" i="1"/>
  <c r="AK314" i="1"/>
  <c r="AK315" i="1"/>
  <c r="AK316" i="1"/>
  <c r="AK317" i="1"/>
  <c r="AK318" i="1"/>
  <c r="AK319" i="1"/>
  <c r="AK320" i="1"/>
  <c r="AK321" i="1"/>
  <c r="AK322" i="1"/>
  <c r="AK323" i="1"/>
  <c r="AK324" i="1"/>
  <c r="AK325" i="1"/>
  <c r="AK326" i="1"/>
  <c r="AK327" i="1"/>
  <c r="AK328" i="1"/>
  <c r="AK329" i="1"/>
  <c r="AK330" i="1"/>
  <c r="AK331" i="1"/>
  <c r="AK332" i="1"/>
  <c r="AK333" i="1"/>
  <c r="AK334" i="1"/>
  <c r="AK335" i="1"/>
  <c r="AK336" i="1"/>
  <c r="AK337" i="1"/>
  <c r="AK338" i="1"/>
  <c r="AK339" i="1"/>
  <c r="AK340" i="1"/>
  <c r="AK341" i="1"/>
  <c r="AK342" i="1"/>
  <c r="AK343" i="1"/>
  <c r="AK344" i="1"/>
  <c r="AK345" i="1"/>
  <c r="AK346" i="1"/>
  <c r="AK347" i="1"/>
  <c r="AK348" i="1"/>
  <c r="AK349" i="1"/>
  <c r="AK350" i="1"/>
  <c r="AK351" i="1"/>
  <c r="AK352" i="1"/>
  <c r="AK353" i="1"/>
  <c r="AK354" i="1"/>
  <c r="AK355" i="1"/>
  <c r="AK356" i="1"/>
  <c r="AK357" i="1"/>
  <c r="AK358" i="1"/>
  <c r="AK359" i="1"/>
  <c r="AK360" i="1"/>
  <c r="AK361" i="1"/>
  <c r="AK362" i="1"/>
  <c r="AK363" i="1"/>
  <c r="AK364" i="1"/>
  <c r="AK365" i="1"/>
  <c r="AK366" i="1"/>
  <c r="AK367" i="1"/>
  <c r="AK368" i="1"/>
  <c r="AK369" i="1"/>
  <c r="AK370" i="1"/>
  <c r="AK371" i="1"/>
  <c r="AK372" i="1"/>
  <c r="AK373" i="1"/>
  <c r="AK374" i="1"/>
  <c r="AK375" i="1"/>
  <c r="AK376" i="1"/>
  <c r="AK377" i="1"/>
  <c r="AK378" i="1"/>
  <c r="AK379" i="1"/>
  <c r="AK380" i="1"/>
  <c r="AK381" i="1"/>
  <c r="AK382" i="1"/>
  <c r="AK383" i="1"/>
  <c r="AK384" i="1"/>
  <c r="AK385" i="1"/>
  <c r="AK386" i="1"/>
  <c r="AK387" i="1"/>
  <c r="AK388" i="1"/>
  <c r="AK389" i="1"/>
  <c r="AK390" i="1"/>
  <c r="AK391" i="1"/>
  <c r="AK392" i="1"/>
  <c r="AK393" i="1"/>
  <c r="AK394" i="1"/>
  <c r="AK395" i="1"/>
  <c r="AK396" i="1"/>
  <c r="AK397" i="1"/>
  <c r="AK398" i="1"/>
  <c r="AK399" i="1"/>
  <c r="AK400" i="1"/>
  <c r="AK401" i="1"/>
  <c r="AK402" i="1"/>
  <c r="AK403" i="1"/>
  <c r="AK404" i="1"/>
  <c r="AK405" i="1"/>
  <c r="AK406" i="1"/>
  <c r="AK407" i="1"/>
  <c r="AK408" i="1"/>
  <c r="AK409" i="1"/>
  <c r="AK410" i="1"/>
  <c r="AK411" i="1"/>
  <c r="AK412" i="1"/>
  <c r="AK413" i="1"/>
  <c r="AK414" i="1"/>
  <c r="AK415" i="1"/>
  <c r="AK416" i="1"/>
  <c r="AK417" i="1"/>
  <c r="AK418" i="1"/>
  <c r="AK419" i="1"/>
  <c r="AK420" i="1"/>
  <c r="AK421" i="1"/>
  <c r="AK422" i="1"/>
  <c r="AK423" i="1"/>
  <c r="AK424" i="1"/>
  <c r="AK425" i="1"/>
  <c r="AK426" i="1"/>
  <c r="AK427" i="1"/>
  <c r="AK428" i="1"/>
  <c r="AK429" i="1"/>
  <c r="AK430" i="1"/>
  <c r="AK431" i="1"/>
  <c r="AK432" i="1"/>
  <c r="AK433" i="1"/>
  <c r="AK434" i="1"/>
  <c r="AK435" i="1"/>
  <c r="AK436" i="1"/>
  <c r="AK437" i="1"/>
  <c r="AK438" i="1"/>
  <c r="AK439" i="1"/>
  <c r="AK440" i="1"/>
  <c r="AK441" i="1"/>
  <c r="AK442" i="1"/>
  <c r="AK443" i="1"/>
  <c r="AK444" i="1"/>
  <c r="AK445" i="1"/>
  <c r="AK446" i="1"/>
  <c r="AK447" i="1"/>
  <c r="AK448" i="1"/>
  <c r="AK449" i="1"/>
  <c r="AK450" i="1"/>
  <c r="AK451" i="1"/>
  <c r="AK452" i="1"/>
  <c r="AK453" i="1"/>
  <c r="AK454" i="1"/>
  <c r="AK455" i="1"/>
  <c r="AK456" i="1"/>
  <c r="AK457" i="1"/>
  <c r="AK458" i="1"/>
  <c r="AK459" i="1"/>
  <c r="AK460" i="1"/>
  <c r="AK461" i="1"/>
  <c r="AK462" i="1"/>
  <c r="AK463" i="1"/>
  <c r="AK464" i="1"/>
  <c r="AK465" i="1"/>
  <c r="AK466" i="1"/>
  <c r="AK467" i="1"/>
  <c r="AK468" i="1"/>
  <c r="AK469" i="1"/>
  <c r="AK470" i="1"/>
  <c r="AK471" i="1"/>
  <c r="AK472" i="1"/>
  <c r="AK473" i="1"/>
  <c r="AK474" i="1"/>
  <c r="AK475" i="1"/>
  <c r="AK476" i="1"/>
  <c r="AK477" i="1"/>
  <c r="AK478" i="1"/>
  <c r="AK479" i="1"/>
  <c r="AK480" i="1"/>
  <c r="AK481" i="1"/>
  <c r="AK482" i="1"/>
  <c r="AK483" i="1"/>
  <c r="AK484" i="1"/>
  <c r="AK485" i="1"/>
  <c r="AK486" i="1"/>
  <c r="AK487" i="1"/>
  <c r="AK488" i="1"/>
  <c r="AK489" i="1"/>
  <c r="AK490" i="1"/>
  <c r="AK491" i="1"/>
  <c r="AK492" i="1"/>
  <c r="AK493" i="1"/>
  <c r="AK494" i="1"/>
  <c r="AK495" i="1"/>
  <c r="AK496" i="1"/>
  <c r="AK497" i="1"/>
  <c r="AK498" i="1"/>
  <c r="AK499" i="1"/>
  <c r="AK500" i="1"/>
  <c r="AK501" i="1"/>
  <c r="AK502" i="1"/>
  <c r="AK503" i="1"/>
  <c r="AK504" i="1"/>
  <c r="AK505" i="1"/>
  <c r="AK506" i="1"/>
  <c r="AK507" i="1"/>
  <c r="AK508" i="1"/>
  <c r="AK509" i="1"/>
  <c r="AK510" i="1"/>
  <c r="AK511" i="1"/>
  <c r="AK512" i="1"/>
  <c r="AK513" i="1"/>
  <c r="AK514" i="1"/>
  <c r="AK515" i="1"/>
  <c r="AK516" i="1"/>
  <c r="AK517" i="1"/>
  <c r="AK518" i="1"/>
  <c r="AK519" i="1"/>
  <c r="AK520" i="1"/>
  <c r="AK521" i="1"/>
  <c r="AK522" i="1"/>
  <c r="AK523" i="1"/>
  <c r="AK524" i="1"/>
  <c r="AK525" i="1"/>
  <c r="AK526" i="1"/>
  <c r="AK527" i="1"/>
  <c r="AK528" i="1"/>
  <c r="AK529" i="1"/>
  <c r="AK530" i="1"/>
  <c r="AK531" i="1"/>
  <c r="AK532" i="1"/>
  <c r="AK533" i="1"/>
  <c r="AK534" i="1"/>
  <c r="AK535" i="1"/>
  <c r="AK536" i="1"/>
  <c r="AK537" i="1"/>
  <c r="AK538" i="1"/>
  <c r="AK539" i="1"/>
  <c r="AK540" i="1"/>
  <c r="AK541" i="1"/>
  <c r="AK542" i="1"/>
  <c r="AK543" i="1"/>
  <c r="AK544" i="1"/>
  <c r="AK545" i="1"/>
  <c r="AK546" i="1"/>
  <c r="AK547" i="1"/>
  <c r="AK548" i="1"/>
  <c r="AK549" i="1"/>
  <c r="AK550" i="1"/>
  <c r="AK551" i="1"/>
  <c r="AK552" i="1"/>
  <c r="AK553" i="1"/>
  <c r="AK554" i="1"/>
  <c r="AK555" i="1"/>
  <c r="AK556" i="1"/>
  <c r="AK557" i="1"/>
  <c r="AK558" i="1"/>
  <c r="AK559" i="1"/>
  <c r="AK560" i="1"/>
  <c r="AK561" i="1"/>
  <c r="AK562" i="1"/>
  <c r="AK563" i="1"/>
  <c r="AK564" i="1"/>
  <c r="AK565" i="1"/>
  <c r="AK566" i="1"/>
  <c r="AK567" i="1"/>
  <c r="AK568" i="1"/>
  <c r="AK569" i="1"/>
  <c r="AK570" i="1"/>
  <c r="AK571" i="1"/>
  <c r="AK572" i="1"/>
  <c r="AK573" i="1"/>
  <c r="AK574" i="1"/>
  <c r="AK575" i="1"/>
  <c r="AK576" i="1"/>
  <c r="AK577" i="1"/>
  <c r="AK578" i="1"/>
  <c r="AK579" i="1"/>
  <c r="AK580" i="1"/>
  <c r="AK581" i="1"/>
  <c r="AK582" i="1"/>
  <c r="AK583" i="1"/>
  <c r="AK584" i="1"/>
  <c r="AK585" i="1"/>
  <c r="AK586" i="1"/>
  <c r="AK587" i="1"/>
  <c r="AK588" i="1"/>
  <c r="AK589" i="1"/>
  <c r="AK590" i="1"/>
  <c r="AK591" i="1"/>
  <c r="AK592" i="1"/>
  <c r="AK593" i="1"/>
  <c r="AK594" i="1"/>
  <c r="AK595" i="1"/>
  <c r="AK596" i="1"/>
  <c r="AK597" i="1"/>
  <c r="AK598" i="1"/>
  <c r="AK599" i="1"/>
  <c r="AK600" i="1"/>
  <c r="AK601" i="1"/>
  <c r="AK602" i="1"/>
  <c r="AK603" i="1"/>
  <c r="AK604" i="1"/>
  <c r="AK605" i="1"/>
  <c r="AK606" i="1"/>
  <c r="AK607" i="1"/>
  <c r="AK608" i="1"/>
  <c r="AK609" i="1"/>
  <c r="AK610" i="1"/>
  <c r="AK611" i="1"/>
  <c r="AK612" i="1"/>
  <c r="AK613" i="1"/>
  <c r="AK614" i="1"/>
  <c r="AK615" i="1"/>
  <c r="AK616" i="1"/>
  <c r="AK617" i="1"/>
  <c r="AK618" i="1"/>
  <c r="AK619" i="1"/>
  <c r="AK620" i="1"/>
  <c r="AK621" i="1"/>
  <c r="AK622" i="1"/>
  <c r="AK623" i="1"/>
  <c r="AK624" i="1"/>
  <c r="AK625" i="1"/>
  <c r="AK626" i="1"/>
  <c r="AK627" i="1"/>
  <c r="AK628" i="1"/>
  <c r="AK629" i="1"/>
  <c r="AK630" i="1"/>
  <c r="AK631" i="1"/>
  <c r="AK632" i="1"/>
  <c r="AK633" i="1"/>
  <c r="AK634" i="1"/>
  <c r="AK635" i="1"/>
  <c r="AK636" i="1"/>
  <c r="AK637" i="1"/>
  <c r="AK638" i="1"/>
  <c r="AK639" i="1"/>
  <c r="AK640" i="1"/>
  <c r="AK641" i="1"/>
  <c r="AK642" i="1"/>
  <c r="AK643" i="1"/>
  <c r="AK644" i="1"/>
  <c r="AK645" i="1"/>
  <c r="AK646" i="1"/>
  <c r="AK647" i="1"/>
  <c r="AK648" i="1"/>
  <c r="AK649" i="1"/>
  <c r="AK650" i="1"/>
  <c r="AK651" i="1"/>
  <c r="AK652" i="1"/>
  <c r="AK653" i="1"/>
  <c r="AK654" i="1"/>
  <c r="AK655" i="1"/>
  <c r="AK656" i="1"/>
  <c r="AK657" i="1"/>
  <c r="AK658" i="1"/>
  <c r="AK659" i="1"/>
  <c r="AK660" i="1"/>
  <c r="AK661" i="1"/>
  <c r="AK662" i="1"/>
  <c r="AK663" i="1"/>
  <c r="AK664" i="1"/>
  <c r="AK665" i="1"/>
  <c r="AK666" i="1"/>
  <c r="AK667" i="1"/>
  <c r="AK668" i="1"/>
  <c r="AK669" i="1"/>
  <c r="AK670" i="1"/>
  <c r="AK671" i="1"/>
  <c r="AK672" i="1"/>
  <c r="AK673" i="1"/>
  <c r="AK674" i="1"/>
  <c r="AK675" i="1"/>
  <c r="AK676" i="1"/>
  <c r="AK677" i="1"/>
  <c r="AK678" i="1"/>
  <c r="AK679" i="1"/>
  <c r="AK680" i="1"/>
  <c r="AK681" i="1"/>
  <c r="AK682" i="1"/>
  <c r="AK683" i="1"/>
  <c r="AK684" i="1"/>
  <c r="AK685" i="1"/>
  <c r="AK686" i="1"/>
  <c r="AK687" i="1"/>
  <c r="AK688" i="1"/>
  <c r="AK689" i="1"/>
  <c r="AK690" i="1"/>
  <c r="AK691" i="1"/>
  <c r="AK692" i="1"/>
  <c r="AK693" i="1"/>
  <c r="AK694" i="1"/>
  <c r="AK695" i="1"/>
  <c r="AK696" i="1"/>
  <c r="AK697" i="1"/>
  <c r="AK698" i="1"/>
  <c r="AK699" i="1"/>
  <c r="AK700" i="1"/>
  <c r="AK701" i="1"/>
  <c r="AK702" i="1"/>
  <c r="AK703" i="1"/>
  <c r="AK704" i="1"/>
  <c r="AK705" i="1"/>
  <c r="AK706" i="1"/>
  <c r="AK707" i="1"/>
  <c r="AK708" i="1"/>
  <c r="AK709" i="1"/>
  <c r="AK710" i="1"/>
  <c r="AK711" i="1"/>
  <c r="AK712" i="1"/>
  <c r="AK713" i="1"/>
  <c r="AK714" i="1"/>
  <c r="AK715" i="1"/>
  <c r="AK716" i="1"/>
  <c r="AK717" i="1"/>
  <c r="AK718" i="1"/>
  <c r="AK719" i="1"/>
  <c r="AK720" i="1"/>
  <c r="AK721" i="1"/>
  <c r="AK722" i="1"/>
  <c r="AK723" i="1"/>
  <c r="AK724" i="1"/>
  <c r="AK725" i="1"/>
  <c r="AK726" i="1"/>
  <c r="AK727" i="1"/>
  <c r="AK728" i="1"/>
  <c r="AK729" i="1"/>
  <c r="AK730" i="1"/>
  <c r="AK731" i="1"/>
  <c r="AK732" i="1"/>
  <c r="AK733" i="1"/>
  <c r="AK734" i="1"/>
  <c r="AK735" i="1"/>
  <c r="AK736" i="1"/>
  <c r="AK737" i="1"/>
  <c r="AK738" i="1"/>
  <c r="AK739" i="1"/>
  <c r="AK740" i="1"/>
  <c r="AK741" i="1"/>
  <c r="AK742" i="1"/>
  <c r="AK743" i="1"/>
  <c r="AK744" i="1"/>
  <c r="AK745" i="1"/>
  <c r="AK746" i="1"/>
  <c r="AK747" i="1"/>
  <c r="AK748" i="1"/>
  <c r="AK749" i="1"/>
  <c r="AK750" i="1"/>
  <c r="AK751" i="1"/>
  <c r="AK752" i="1"/>
  <c r="AK753" i="1"/>
  <c r="AK754" i="1"/>
  <c r="AK755" i="1"/>
  <c r="AK756" i="1"/>
  <c r="AK757" i="1"/>
  <c r="AK758" i="1"/>
  <c r="AK759" i="1"/>
  <c r="AK760" i="1"/>
  <c r="AK761" i="1"/>
  <c r="AK762" i="1"/>
  <c r="AK763" i="1"/>
  <c r="AK764" i="1"/>
  <c r="AK765" i="1"/>
  <c r="AK766" i="1"/>
  <c r="AK767" i="1"/>
  <c r="AK768" i="1"/>
  <c r="AK769" i="1"/>
  <c r="AK770" i="1"/>
  <c r="AK771" i="1"/>
  <c r="AK772" i="1"/>
  <c r="AK773" i="1"/>
  <c r="AK774" i="1"/>
  <c r="AK775" i="1"/>
  <c r="AK776" i="1"/>
  <c r="AK777" i="1"/>
  <c r="AK778" i="1"/>
  <c r="AK779" i="1"/>
  <c r="AK780" i="1"/>
  <c r="AK781" i="1"/>
  <c r="AK782" i="1"/>
  <c r="AK783" i="1"/>
  <c r="AK784" i="1"/>
  <c r="AK785" i="1"/>
  <c r="AK786" i="1"/>
  <c r="AK787" i="1"/>
  <c r="AK788" i="1"/>
  <c r="AK789" i="1"/>
  <c r="AK790" i="1"/>
  <c r="AK791" i="1"/>
  <c r="AK792" i="1"/>
  <c r="AK793" i="1"/>
  <c r="AK794" i="1"/>
  <c r="AK795" i="1"/>
  <c r="AK796" i="1"/>
  <c r="AK797" i="1"/>
  <c r="AK798" i="1"/>
  <c r="AK799" i="1"/>
  <c r="AK800" i="1"/>
  <c r="AK801" i="1"/>
  <c r="AK802" i="1"/>
  <c r="AK803" i="1"/>
  <c r="AK804" i="1"/>
  <c r="AK805" i="1"/>
  <c r="AK806" i="1"/>
  <c r="AK807" i="1"/>
  <c r="AK808" i="1"/>
  <c r="AK809" i="1"/>
  <c r="AK810" i="1"/>
  <c r="AK811" i="1"/>
  <c r="AK812" i="1"/>
  <c r="AK813" i="1"/>
  <c r="AK814" i="1"/>
  <c r="AK815" i="1"/>
  <c r="AK816" i="1"/>
  <c r="AK817" i="1"/>
  <c r="AK818" i="1"/>
  <c r="AK819" i="1"/>
  <c r="AK820" i="1"/>
  <c r="AK821" i="1"/>
  <c r="AK822" i="1"/>
  <c r="AK823" i="1"/>
  <c r="AK824" i="1"/>
  <c r="AK825" i="1"/>
  <c r="AK826" i="1"/>
  <c r="AK827" i="1"/>
  <c r="AK828" i="1"/>
  <c r="AK829" i="1"/>
  <c r="AK830" i="1"/>
  <c r="AK831" i="1"/>
  <c r="AK832" i="1"/>
  <c r="AK833" i="1"/>
  <c r="AK834" i="1"/>
  <c r="AK835" i="1"/>
  <c r="AK836" i="1"/>
  <c r="AK837" i="1"/>
  <c r="AK838" i="1"/>
  <c r="AK839" i="1"/>
  <c r="AK840" i="1"/>
  <c r="AK841" i="1"/>
  <c r="AK842" i="1"/>
  <c r="AK843" i="1"/>
  <c r="AK844" i="1"/>
  <c r="AK845" i="1"/>
  <c r="AK846" i="1"/>
  <c r="AK847" i="1"/>
  <c r="AK848" i="1"/>
  <c r="AK849" i="1"/>
  <c r="AK850" i="1"/>
  <c r="AK851" i="1"/>
  <c r="AK852" i="1"/>
  <c r="AK853" i="1"/>
  <c r="AK854" i="1"/>
  <c r="AK855" i="1"/>
  <c r="AK856" i="1"/>
  <c r="AK857" i="1"/>
  <c r="AK858" i="1"/>
  <c r="AK859" i="1"/>
  <c r="AK860" i="1"/>
  <c r="AK861" i="1"/>
  <c r="AK862" i="1"/>
  <c r="AK863" i="1"/>
  <c r="AK864" i="1"/>
  <c r="AK865" i="1"/>
  <c r="AK866" i="1"/>
  <c r="AK867" i="1"/>
  <c r="AK868" i="1"/>
  <c r="AK869" i="1"/>
  <c r="AK870" i="1"/>
  <c r="AK871" i="1"/>
  <c r="AK872" i="1"/>
  <c r="AK873" i="1"/>
  <c r="AK874" i="1"/>
  <c r="AK875" i="1"/>
  <c r="AK876" i="1"/>
  <c r="AK877" i="1"/>
  <c r="AK878" i="1"/>
  <c r="AK879" i="1"/>
  <c r="AK880" i="1"/>
  <c r="AK881" i="1"/>
  <c r="AK882" i="1"/>
  <c r="AK883" i="1"/>
  <c r="AK884" i="1"/>
  <c r="AK885" i="1"/>
  <c r="AK886" i="1"/>
  <c r="AK887" i="1"/>
  <c r="AK888" i="1"/>
  <c r="AK889" i="1"/>
  <c r="AK890" i="1"/>
  <c r="AK891" i="1"/>
  <c r="AK892" i="1"/>
  <c r="AK893" i="1"/>
  <c r="AK894" i="1"/>
  <c r="AK895" i="1"/>
  <c r="AK896" i="1"/>
  <c r="AK897" i="1"/>
  <c r="AK898" i="1"/>
  <c r="AK899" i="1"/>
  <c r="AK900" i="1"/>
  <c r="AK901" i="1"/>
  <c r="AK902" i="1"/>
  <c r="AK903" i="1"/>
  <c r="AK904" i="1"/>
  <c r="AK905" i="1"/>
  <c r="AK906" i="1"/>
  <c r="AK907" i="1"/>
  <c r="AK908" i="1"/>
  <c r="AK909" i="1"/>
  <c r="AK910" i="1"/>
  <c r="AK911" i="1"/>
  <c r="AK912" i="1"/>
  <c r="AK913" i="1"/>
  <c r="AK914" i="1"/>
  <c r="AK915" i="1"/>
  <c r="AK916" i="1"/>
  <c r="AK917" i="1"/>
  <c r="AK918" i="1"/>
  <c r="AK919" i="1"/>
  <c r="AK920" i="1"/>
  <c r="AK921" i="1"/>
  <c r="AK922" i="1"/>
  <c r="AK923" i="1"/>
  <c r="AK924" i="1"/>
  <c r="AK925" i="1"/>
  <c r="AK926" i="1"/>
  <c r="AK927" i="1"/>
  <c r="AK928" i="1"/>
  <c r="AK929" i="1"/>
  <c r="AK930" i="1"/>
  <c r="AK931" i="1"/>
  <c r="AK932" i="1"/>
  <c r="AK933" i="1"/>
  <c r="AK934" i="1"/>
  <c r="AK935" i="1"/>
  <c r="AK936" i="1"/>
  <c r="AK937" i="1"/>
  <c r="AK938" i="1"/>
  <c r="AK939" i="1"/>
  <c r="AK940" i="1"/>
  <c r="AK941" i="1"/>
  <c r="AK942" i="1"/>
  <c r="AK943" i="1"/>
  <c r="AK944" i="1"/>
  <c r="AK945" i="1"/>
  <c r="AK946" i="1"/>
  <c r="AK947" i="1"/>
  <c r="AK948" i="1"/>
  <c r="AK949" i="1"/>
  <c r="AK950" i="1"/>
  <c r="AK951" i="1"/>
  <c r="AK952" i="1"/>
  <c r="AK953" i="1"/>
  <c r="AK954" i="1"/>
  <c r="AK955" i="1"/>
  <c r="AK956" i="1"/>
  <c r="AK957" i="1"/>
  <c r="AK958" i="1"/>
  <c r="AK959" i="1"/>
  <c r="AK960" i="1"/>
  <c r="AK961" i="1"/>
  <c r="AK962" i="1"/>
  <c r="AK963" i="1"/>
  <c r="AK964" i="1"/>
  <c r="AK965" i="1"/>
  <c r="AK966" i="1"/>
  <c r="AK967" i="1"/>
  <c r="AK968" i="1"/>
  <c r="AK969" i="1"/>
  <c r="AK970" i="1"/>
  <c r="AK971" i="1"/>
  <c r="AK972" i="1"/>
  <c r="AK973" i="1"/>
  <c r="AK974" i="1"/>
  <c r="AK975" i="1"/>
  <c r="AK976" i="1"/>
  <c r="AK977" i="1"/>
  <c r="AK978" i="1"/>
  <c r="AK979" i="1"/>
  <c r="AK980" i="1"/>
  <c r="AK981" i="1"/>
  <c r="AK982" i="1"/>
  <c r="AK983" i="1"/>
  <c r="AK984" i="1"/>
  <c r="AK985" i="1"/>
  <c r="AK986" i="1"/>
  <c r="AK987" i="1"/>
  <c r="AK988" i="1"/>
  <c r="AK989" i="1"/>
  <c r="AK990" i="1"/>
  <c r="AK991" i="1"/>
  <c r="AK992" i="1"/>
  <c r="AK993" i="1"/>
  <c r="AK994" i="1"/>
  <c r="AK995" i="1"/>
  <c r="AK996" i="1"/>
  <c r="AK997" i="1"/>
  <c r="AK998" i="1"/>
  <c r="AK999" i="1"/>
  <c r="AK1000" i="1"/>
  <c r="AK1001" i="1"/>
  <c r="AK1002" i="1"/>
  <c r="AK1003" i="1"/>
  <c r="AK1004" i="1"/>
  <c r="AK1005" i="1"/>
  <c r="AK1006" i="1"/>
  <c r="AK1007" i="1"/>
  <c r="AK1008" i="1"/>
  <c r="AK1009" i="1"/>
  <c r="AK1010" i="1"/>
  <c r="AK1011" i="1"/>
  <c r="AK1012" i="1"/>
  <c r="AK1013" i="1"/>
  <c r="AK1014" i="1"/>
  <c r="AK1015" i="1"/>
  <c r="AK1016" i="1"/>
  <c r="AK1017" i="1"/>
  <c r="AK1018" i="1"/>
  <c r="AK1019" i="1"/>
  <c r="AK1020" i="1"/>
  <c r="AK1021" i="1"/>
  <c r="AK1022" i="1"/>
  <c r="AK1023" i="1"/>
  <c r="AK1024" i="1"/>
  <c r="AK1025" i="1"/>
  <c r="AK1026" i="1"/>
  <c r="AK1027" i="1"/>
  <c r="AK1028" i="1"/>
  <c r="AK1029" i="1"/>
  <c r="AK1030" i="1"/>
  <c r="AK1031" i="1"/>
  <c r="AK1032" i="1"/>
  <c r="AK1033" i="1"/>
  <c r="AK1034" i="1"/>
  <c r="AK1035" i="1"/>
  <c r="AK1036" i="1"/>
  <c r="AK1037" i="1"/>
  <c r="AK1038" i="1"/>
  <c r="AK1039" i="1"/>
  <c r="AK1040" i="1"/>
  <c r="AK1041" i="1"/>
  <c r="AK1042" i="1"/>
  <c r="AK1043" i="1"/>
  <c r="AK1044" i="1"/>
  <c r="AK1045" i="1"/>
  <c r="AK1046" i="1"/>
  <c r="AK1047" i="1"/>
  <c r="AK1048" i="1"/>
  <c r="AK1049" i="1"/>
  <c r="AK1050" i="1"/>
  <c r="AK1051" i="1"/>
  <c r="AK1052" i="1"/>
  <c r="AK1053" i="1"/>
  <c r="AK1054" i="1"/>
  <c r="AK1055" i="1"/>
  <c r="AK1056" i="1"/>
  <c r="AK1057" i="1"/>
  <c r="AK1058" i="1"/>
  <c r="AK1059" i="1"/>
  <c r="AK1060" i="1"/>
  <c r="AK1061" i="1"/>
  <c r="AK1062" i="1"/>
  <c r="AK1063" i="1"/>
  <c r="AK1064" i="1"/>
  <c r="AK1065" i="1"/>
  <c r="AK1066" i="1"/>
  <c r="AK1067" i="1"/>
  <c r="AK1068" i="1"/>
  <c r="AK1069" i="1"/>
  <c r="AK1070" i="1"/>
  <c r="AK1071" i="1"/>
  <c r="AK1072" i="1"/>
  <c r="AK1073" i="1"/>
  <c r="AK1074" i="1"/>
  <c r="AK1075" i="1"/>
  <c r="AK1076" i="1"/>
  <c r="AK1077" i="1"/>
  <c r="AK1078" i="1"/>
  <c r="AK1079" i="1"/>
  <c r="AK1080" i="1"/>
  <c r="AK1081" i="1"/>
  <c r="AK1082" i="1"/>
  <c r="AK1083" i="1"/>
  <c r="AK1084" i="1"/>
  <c r="AK1085" i="1"/>
  <c r="AK1086" i="1"/>
  <c r="AK1087" i="1"/>
  <c r="AK1088" i="1"/>
  <c r="AK1089" i="1"/>
  <c r="AK1090" i="1"/>
  <c r="AK1091" i="1"/>
  <c r="AK1092" i="1"/>
  <c r="AK1093" i="1"/>
  <c r="AK1094" i="1"/>
  <c r="AK1095" i="1"/>
  <c r="AK1096" i="1"/>
  <c r="AK1097" i="1"/>
  <c r="AK1098" i="1"/>
  <c r="AK1099" i="1"/>
  <c r="AK1100" i="1"/>
  <c r="AK1101" i="1"/>
  <c r="AK1102" i="1"/>
  <c r="AK1103" i="1"/>
  <c r="AK1104" i="1"/>
  <c r="AK1105" i="1"/>
  <c r="AK1106" i="1"/>
  <c r="AK1107" i="1"/>
  <c r="AK1108" i="1"/>
  <c r="AK1109" i="1"/>
  <c r="AK1110" i="1"/>
  <c r="AK1111" i="1"/>
  <c r="AK1112" i="1"/>
  <c r="AK1113" i="1"/>
  <c r="AK1114" i="1"/>
  <c r="AK1115" i="1"/>
  <c r="AK1116" i="1"/>
  <c r="AK1117" i="1"/>
  <c r="AK1118" i="1"/>
  <c r="AK1119" i="1"/>
  <c r="AK1120" i="1"/>
  <c r="AK1121" i="1"/>
  <c r="AK1122" i="1"/>
  <c r="AK1123" i="1"/>
  <c r="AK1124" i="1"/>
  <c r="AK1125" i="1"/>
  <c r="AK1126" i="1"/>
  <c r="AK1127" i="1"/>
  <c r="AK1128" i="1"/>
  <c r="AK1129" i="1"/>
  <c r="AK1130" i="1"/>
  <c r="AK1131" i="1"/>
  <c r="AK1132" i="1"/>
  <c r="AK1133" i="1"/>
  <c r="AK1134" i="1"/>
  <c r="AK1135" i="1"/>
  <c r="AK1136" i="1"/>
  <c r="AK1137" i="1"/>
  <c r="AK1138" i="1"/>
  <c r="AK1139" i="1"/>
  <c r="AK1140" i="1"/>
  <c r="AK1141" i="1"/>
  <c r="AK1142" i="1"/>
  <c r="AK1143" i="1"/>
  <c r="AK1144" i="1"/>
  <c r="AK1145" i="1"/>
  <c r="AK1146" i="1"/>
  <c r="AK1147" i="1"/>
  <c r="AK1148" i="1"/>
  <c r="AK1149" i="1"/>
  <c r="AK1150" i="1"/>
  <c r="AK1151" i="1"/>
  <c r="AK1152" i="1"/>
  <c r="AK1153" i="1"/>
  <c r="AK1154" i="1"/>
  <c r="AK1155" i="1"/>
  <c r="AK1156" i="1"/>
  <c r="AK1157" i="1"/>
  <c r="AK1158" i="1"/>
  <c r="AK1159" i="1"/>
  <c r="AK1160" i="1"/>
  <c r="AK1161" i="1"/>
  <c r="AK1162" i="1"/>
  <c r="AK1163" i="1"/>
  <c r="AK1164" i="1"/>
  <c r="AK1165" i="1"/>
  <c r="AK1166" i="1"/>
  <c r="AK1167" i="1"/>
  <c r="AK1168" i="1"/>
  <c r="AK1169" i="1"/>
  <c r="AK1170" i="1"/>
  <c r="AK1171" i="1"/>
  <c r="AK1172" i="1"/>
  <c r="AK1173" i="1"/>
  <c r="AK1174" i="1"/>
  <c r="AK1175" i="1"/>
  <c r="AK1176" i="1"/>
  <c r="AK1177" i="1"/>
  <c r="AK1178" i="1"/>
  <c r="AK1179" i="1"/>
  <c r="AK1180" i="1"/>
  <c r="AK1181" i="1"/>
  <c r="AK1182" i="1"/>
  <c r="AK1183" i="1"/>
  <c r="AK1184" i="1"/>
  <c r="AK1185" i="1"/>
  <c r="AK1186" i="1"/>
  <c r="AK1187" i="1"/>
  <c r="AK1188" i="1"/>
  <c r="AK1189" i="1"/>
  <c r="AK1190" i="1"/>
  <c r="AK1191" i="1"/>
  <c r="AK1192" i="1"/>
  <c r="AK1193" i="1"/>
  <c r="AK1194" i="1"/>
  <c r="AK1195" i="1"/>
  <c r="AK1196" i="1"/>
  <c r="AK1197" i="1"/>
  <c r="AK1198" i="1"/>
  <c r="AK1199" i="1"/>
  <c r="AK1200" i="1"/>
  <c r="AK1201" i="1"/>
  <c r="AK1202" i="1"/>
  <c r="AK1203" i="1"/>
  <c r="AK1204" i="1"/>
  <c r="AK1205" i="1"/>
  <c r="AK1206" i="1"/>
  <c r="AK1207" i="1"/>
  <c r="AK1208" i="1"/>
  <c r="AK1209" i="1"/>
  <c r="AK1210" i="1"/>
  <c r="AK1211" i="1"/>
  <c r="AK1212" i="1"/>
  <c r="AK1213" i="1"/>
  <c r="AK1214" i="1"/>
  <c r="AK1215" i="1"/>
  <c r="AK1216" i="1"/>
  <c r="AK1217" i="1"/>
  <c r="AK1218" i="1"/>
  <c r="AK1219" i="1"/>
  <c r="AK1220" i="1"/>
  <c r="AK1221" i="1"/>
  <c r="AK1222" i="1"/>
  <c r="AK1223" i="1"/>
  <c r="AK1224" i="1"/>
  <c r="AK1225" i="1"/>
  <c r="AK1226" i="1"/>
  <c r="AK1227" i="1"/>
  <c r="AK1228" i="1"/>
  <c r="AK1229" i="1"/>
  <c r="AK1230" i="1"/>
  <c r="AK1231" i="1"/>
  <c r="AK1232" i="1"/>
  <c r="AK1233" i="1"/>
  <c r="AK1234" i="1"/>
  <c r="AK1235" i="1"/>
  <c r="AK1236" i="1"/>
  <c r="AK1237" i="1"/>
  <c r="AK1238" i="1"/>
  <c r="AK1239" i="1"/>
  <c r="AK1240" i="1"/>
  <c r="AK1241" i="1"/>
  <c r="AK1242" i="1"/>
  <c r="AK1243" i="1"/>
  <c r="AK1244" i="1"/>
  <c r="AK1245" i="1"/>
  <c r="AK1246" i="1"/>
  <c r="AK1247" i="1"/>
  <c r="AK1248" i="1"/>
  <c r="AK1249" i="1"/>
  <c r="AK1250" i="1"/>
  <c r="AK1251" i="1"/>
  <c r="AK1252" i="1"/>
  <c r="AK1253" i="1"/>
  <c r="AK1254" i="1"/>
  <c r="AK1255" i="1"/>
  <c r="AK1256" i="1"/>
  <c r="AK1257" i="1"/>
  <c r="AK1258" i="1"/>
  <c r="AK1259" i="1"/>
  <c r="AK1260" i="1"/>
  <c r="AK1261" i="1"/>
  <c r="AK1262" i="1"/>
  <c r="AK1263" i="1"/>
  <c r="AK1264" i="1"/>
  <c r="AK1265" i="1"/>
  <c r="AK1266" i="1"/>
  <c r="AK1267" i="1"/>
  <c r="AK1268" i="1"/>
  <c r="AK1269" i="1"/>
  <c r="AK1270" i="1"/>
  <c r="AK1271" i="1"/>
  <c r="AK1272" i="1"/>
  <c r="AK1273" i="1"/>
  <c r="AK1274" i="1"/>
  <c r="AK1275" i="1"/>
  <c r="AK1276" i="1"/>
  <c r="AK1277" i="1"/>
  <c r="AK1278" i="1"/>
  <c r="AK1279" i="1"/>
  <c r="AK1280" i="1"/>
  <c r="AK1281" i="1"/>
  <c r="AK1282" i="1"/>
  <c r="AK1283" i="1"/>
  <c r="AK1284" i="1"/>
  <c r="AK1285" i="1"/>
  <c r="AK1286" i="1"/>
  <c r="AK1287" i="1"/>
  <c r="AK1288" i="1"/>
  <c r="AK1289" i="1"/>
  <c r="AK1290" i="1"/>
  <c r="AK1291" i="1"/>
  <c r="AK1292" i="1"/>
  <c r="AK1293" i="1"/>
  <c r="AK1294" i="1"/>
  <c r="AK1295" i="1"/>
  <c r="AK1296" i="1"/>
  <c r="AK1297" i="1"/>
  <c r="AK1298" i="1"/>
  <c r="AK1299" i="1"/>
  <c r="AK1300" i="1"/>
  <c r="AK1301" i="1"/>
  <c r="AK1302" i="1"/>
  <c r="AK1303" i="1"/>
  <c r="AK1304" i="1"/>
  <c r="AK1305" i="1"/>
  <c r="AK1306" i="1"/>
  <c r="AK1307" i="1"/>
  <c r="AK1308" i="1"/>
  <c r="AK1309" i="1"/>
  <c r="AK1310" i="1"/>
  <c r="AK1311" i="1"/>
  <c r="AK1312" i="1"/>
  <c r="AK1313" i="1"/>
  <c r="AK1314" i="1"/>
  <c r="AK1315" i="1"/>
  <c r="AK1316" i="1"/>
  <c r="AK1317" i="1"/>
  <c r="AK1318" i="1"/>
  <c r="AK1319" i="1"/>
  <c r="AK1320" i="1"/>
  <c r="AK1321" i="1"/>
  <c r="AK1322" i="1"/>
  <c r="AK1323" i="1"/>
  <c r="AK1324" i="1"/>
  <c r="AK1325" i="1"/>
  <c r="AK1326" i="1"/>
  <c r="AK1327" i="1"/>
  <c r="AK1328" i="1"/>
  <c r="AK1329" i="1"/>
  <c r="AK1330" i="1"/>
  <c r="AK1331" i="1"/>
  <c r="AK1332" i="1"/>
  <c r="AK1333" i="1"/>
  <c r="AK1334" i="1"/>
  <c r="AK1335" i="1"/>
  <c r="AK1336" i="1"/>
  <c r="AK1337" i="1"/>
  <c r="AK1338" i="1"/>
  <c r="AK1339" i="1"/>
  <c r="AK1340" i="1"/>
  <c r="AK1341" i="1"/>
  <c r="AK1342" i="1"/>
  <c r="AK1343" i="1"/>
  <c r="AK1344" i="1"/>
  <c r="AK1345" i="1"/>
  <c r="AK1346" i="1"/>
  <c r="AK1347" i="1"/>
  <c r="AK1348" i="1"/>
  <c r="AK1349" i="1"/>
  <c r="AK1350" i="1"/>
  <c r="AK1351" i="1"/>
  <c r="AK1352" i="1"/>
  <c r="AK1353" i="1"/>
  <c r="AK1354" i="1"/>
  <c r="AK1355" i="1"/>
  <c r="AK1356" i="1"/>
  <c r="AK1357" i="1"/>
  <c r="AK1358" i="1"/>
  <c r="AK1359" i="1"/>
  <c r="AK1360" i="1"/>
  <c r="AK1361" i="1"/>
  <c r="AK1362" i="1"/>
  <c r="AK1363" i="1"/>
  <c r="AK1364" i="1"/>
  <c r="AK1365" i="1"/>
  <c r="AK1366" i="1"/>
  <c r="AK1367" i="1"/>
  <c r="AK1368" i="1"/>
  <c r="AK1369" i="1"/>
  <c r="AK1370" i="1"/>
  <c r="AK1371" i="1"/>
  <c r="AK1372" i="1"/>
  <c r="AK1373" i="1"/>
  <c r="AK1374" i="1"/>
  <c r="AK1375" i="1"/>
  <c r="AK1376" i="1"/>
  <c r="AK1377" i="1"/>
  <c r="AK1378" i="1"/>
  <c r="AK1379" i="1"/>
  <c r="AK1380" i="1"/>
  <c r="AK1381" i="1"/>
  <c r="AK1382" i="1"/>
  <c r="AK1383" i="1"/>
  <c r="AK1384" i="1"/>
  <c r="AK1385" i="1"/>
  <c r="AK1386" i="1"/>
  <c r="AK1387" i="1"/>
  <c r="AK1388" i="1"/>
  <c r="AK1389" i="1"/>
  <c r="AK1390" i="1"/>
  <c r="AK1391" i="1"/>
  <c r="AK1392" i="1"/>
  <c r="AK1393" i="1"/>
  <c r="AK1394" i="1"/>
  <c r="AK1395" i="1"/>
  <c r="AK1396" i="1"/>
  <c r="AK1397" i="1"/>
  <c r="AK1398" i="1"/>
  <c r="AK1399" i="1"/>
  <c r="AK1400" i="1"/>
  <c r="AK1401" i="1"/>
  <c r="AK1402" i="1"/>
  <c r="AK1403" i="1"/>
  <c r="AK1404" i="1"/>
  <c r="AK1405" i="1"/>
  <c r="AK1406" i="1"/>
  <c r="AK1407" i="1"/>
  <c r="AK1408" i="1"/>
  <c r="AK1409" i="1"/>
  <c r="AK1410" i="1"/>
  <c r="AK1411" i="1"/>
  <c r="AK1412" i="1"/>
  <c r="AK1413" i="1"/>
  <c r="AK1414" i="1"/>
  <c r="AK1415" i="1"/>
  <c r="AK1416" i="1"/>
  <c r="AK1417" i="1"/>
  <c r="AK1418" i="1"/>
  <c r="AK1419" i="1"/>
  <c r="AK1420" i="1"/>
  <c r="AK1421" i="1"/>
  <c r="AK1422" i="1"/>
  <c r="AK1423" i="1"/>
  <c r="AK1424" i="1"/>
  <c r="AK1425" i="1"/>
  <c r="AK1426" i="1"/>
  <c r="AK1427" i="1"/>
  <c r="AK1428" i="1"/>
  <c r="AK1429" i="1"/>
  <c r="AK1430" i="1"/>
  <c r="AK1431" i="1"/>
  <c r="AK1432" i="1"/>
  <c r="AK1433" i="1"/>
  <c r="AK1434" i="1"/>
  <c r="AK1435" i="1"/>
  <c r="AK1436" i="1"/>
  <c r="AK1437" i="1"/>
  <c r="AK1438" i="1"/>
  <c r="AK1439" i="1"/>
  <c r="AK1440" i="1"/>
  <c r="AK1441" i="1"/>
  <c r="AK1442" i="1"/>
  <c r="AK1443" i="1"/>
  <c r="AK1444" i="1"/>
  <c r="AK1445" i="1"/>
  <c r="AK1446" i="1"/>
  <c r="AK1447" i="1"/>
  <c r="AK1448" i="1"/>
  <c r="AK1449" i="1"/>
  <c r="AK1450" i="1"/>
  <c r="AK1451" i="1"/>
  <c r="AK1452" i="1"/>
  <c r="AK1453" i="1"/>
  <c r="AK1454" i="1"/>
  <c r="AK1455" i="1"/>
  <c r="AK1456" i="1"/>
  <c r="AK1457" i="1"/>
  <c r="AK1458" i="1"/>
  <c r="AK1459" i="1"/>
  <c r="AK1460" i="1"/>
  <c r="AK1461" i="1"/>
  <c r="AK1462" i="1"/>
  <c r="AK1463" i="1"/>
  <c r="AK1464" i="1"/>
  <c r="AK1465" i="1"/>
  <c r="AK1466" i="1"/>
  <c r="AK1467" i="1"/>
  <c r="AK1468" i="1"/>
  <c r="AK1469" i="1"/>
  <c r="AK1470" i="1"/>
  <c r="AK1471" i="1"/>
  <c r="AJ2" i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J486" i="1"/>
  <c r="AJ487" i="1"/>
  <c r="AJ488" i="1"/>
  <c r="AJ489" i="1"/>
  <c r="AJ490" i="1"/>
  <c r="AJ491" i="1"/>
  <c r="AJ492" i="1"/>
  <c r="AJ493" i="1"/>
  <c r="AJ494" i="1"/>
  <c r="AJ495" i="1"/>
  <c r="AJ496" i="1"/>
  <c r="AJ497" i="1"/>
  <c r="AJ498" i="1"/>
  <c r="AJ499" i="1"/>
  <c r="AJ500" i="1"/>
  <c r="AJ501" i="1"/>
  <c r="AJ502" i="1"/>
  <c r="AJ503" i="1"/>
  <c r="AJ504" i="1"/>
  <c r="AJ505" i="1"/>
  <c r="AJ506" i="1"/>
  <c r="AJ507" i="1"/>
  <c r="AJ508" i="1"/>
  <c r="AJ509" i="1"/>
  <c r="AJ510" i="1"/>
  <c r="AJ511" i="1"/>
  <c r="AJ512" i="1"/>
  <c r="AJ513" i="1"/>
  <c r="AJ514" i="1"/>
  <c r="AJ515" i="1"/>
  <c r="AJ516" i="1"/>
  <c r="AJ517" i="1"/>
  <c r="AJ518" i="1"/>
  <c r="AJ519" i="1"/>
  <c r="AJ520" i="1"/>
  <c r="AJ521" i="1"/>
  <c r="AJ522" i="1"/>
  <c r="AJ523" i="1"/>
  <c r="AJ524" i="1"/>
  <c r="AJ525" i="1"/>
  <c r="AJ526" i="1"/>
  <c r="AJ527" i="1"/>
  <c r="AJ528" i="1"/>
  <c r="AJ529" i="1"/>
  <c r="AJ530" i="1"/>
  <c r="AJ531" i="1"/>
  <c r="AJ532" i="1"/>
  <c r="AJ533" i="1"/>
  <c r="AJ534" i="1"/>
  <c r="AJ535" i="1"/>
  <c r="AJ536" i="1"/>
  <c r="AJ537" i="1"/>
  <c r="AJ538" i="1"/>
  <c r="AJ539" i="1"/>
  <c r="AJ540" i="1"/>
  <c r="AJ541" i="1"/>
  <c r="AJ542" i="1"/>
  <c r="AJ543" i="1"/>
  <c r="AJ544" i="1"/>
  <c r="AJ545" i="1"/>
  <c r="AJ546" i="1"/>
  <c r="AJ547" i="1"/>
  <c r="AJ548" i="1"/>
  <c r="AJ549" i="1"/>
  <c r="AJ550" i="1"/>
  <c r="AJ551" i="1"/>
  <c r="AJ552" i="1"/>
  <c r="AJ553" i="1"/>
  <c r="AJ554" i="1"/>
  <c r="AJ555" i="1"/>
  <c r="AJ556" i="1"/>
  <c r="AJ557" i="1"/>
  <c r="AJ558" i="1"/>
  <c r="AJ559" i="1"/>
  <c r="AJ560" i="1"/>
  <c r="AJ561" i="1"/>
  <c r="AJ562" i="1"/>
  <c r="AJ563" i="1"/>
  <c r="AJ564" i="1"/>
  <c r="AJ565" i="1"/>
  <c r="AJ566" i="1"/>
  <c r="AJ567" i="1"/>
  <c r="AJ568" i="1"/>
  <c r="AJ569" i="1"/>
  <c r="AJ570" i="1"/>
  <c r="AJ571" i="1"/>
  <c r="AJ572" i="1"/>
  <c r="AJ573" i="1"/>
  <c r="AJ574" i="1"/>
  <c r="AJ575" i="1"/>
  <c r="AJ576" i="1"/>
  <c r="AJ577" i="1"/>
  <c r="AJ578" i="1"/>
  <c r="AJ579" i="1"/>
  <c r="AJ580" i="1"/>
  <c r="AJ581" i="1"/>
  <c r="AJ582" i="1"/>
  <c r="AJ583" i="1"/>
  <c r="AJ584" i="1"/>
  <c r="AJ585" i="1"/>
  <c r="AJ586" i="1"/>
  <c r="AJ587" i="1"/>
  <c r="AJ588" i="1"/>
  <c r="AJ589" i="1"/>
  <c r="AJ590" i="1"/>
  <c r="AJ591" i="1"/>
  <c r="AJ592" i="1"/>
  <c r="AJ593" i="1"/>
  <c r="AJ594" i="1"/>
  <c r="AJ595" i="1"/>
  <c r="AJ596" i="1"/>
  <c r="AJ597" i="1"/>
  <c r="AJ598" i="1"/>
  <c r="AJ599" i="1"/>
  <c r="AJ600" i="1"/>
  <c r="AJ601" i="1"/>
  <c r="AJ602" i="1"/>
  <c r="AJ603" i="1"/>
  <c r="AJ604" i="1"/>
  <c r="AJ605" i="1"/>
  <c r="AJ606" i="1"/>
  <c r="AJ607" i="1"/>
  <c r="AJ608" i="1"/>
  <c r="AJ609" i="1"/>
  <c r="AJ610" i="1"/>
  <c r="AJ611" i="1"/>
  <c r="AJ612" i="1"/>
  <c r="AJ613" i="1"/>
  <c r="AJ614" i="1"/>
  <c r="AJ615" i="1"/>
  <c r="AJ616" i="1"/>
  <c r="AJ617" i="1"/>
  <c r="AJ618" i="1"/>
  <c r="AJ619" i="1"/>
  <c r="AJ620" i="1"/>
  <c r="AJ621" i="1"/>
  <c r="AJ622" i="1"/>
  <c r="AJ623" i="1"/>
  <c r="AJ624" i="1"/>
  <c r="AJ625" i="1"/>
  <c r="AJ626" i="1"/>
  <c r="AJ627" i="1"/>
  <c r="AJ628" i="1"/>
  <c r="AJ629" i="1"/>
  <c r="AJ630" i="1"/>
  <c r="AJ631" i="1"/>
  <c r="AJ632" i="1"/>
  <c r="AJ633" i="1"/>
  <c r="AJ634" i="1"/>
  <c r="AJ635" i="1"/>
  <c r="AJ636" i="1"/>
  <c r="AJ637" i="1"/>
  <c r="AJ638" i="1"/>
  <c r="AJ639" i="1"/>
  <c r="AJ640" i="1"/>
  <c r="AJ641" i="1"/>
  <c r="AJ642" i="1"/>
  <c r="AJ643" i="1"/>
  <c r="AJ644" i="1"/>
  <c r="AJ645" i="1"/>
  <c r="AJ646" i="1"/>
  <c r="AJ647" i="1"/>
  <c r="AJ648" i="1"/>
  <c r="AJ649" i="1"/>
  <c r="AJ650" i="1"/>
  <c r="AJ651" i="1"/>
  <c r="AJ652" i="1"/>
  <c r="AJ653" i="1"/>
  <c r="AJ654" i="1"/>
  <c r="AJ655" i="1"/>
  <c r="AJ656" i="1"/>
  <c r="AJ657" i="1"/>
  <c r="AJ658" i="1"/>
  <c r="AJ659" i="1"/>
  <c r="AJ660" i="1"/>
  <c r="AJ661" i="1"/>
  <c r="AJ662" i="1"/>
  <c r="AJ663" i="1"/>
  <c r="AJ664" i="1"/>
  <c r="AJ665" i="1"/>
  <c r="AJ666" i="1"/>
  <c r="AJ667" i="1"/>
  <c r="AJ668" i="1"/>
  <c r="AJ669" i="1"/>
  <c r="AJ670" i="1"/>
  <c r="AJ671" i="1"/>
  <c r="AJ672" i="1"/>
  <c r="AJ673" i="1"/>
  <c r="AJ674" i="1"/>
  <c r="AJ675" i="1"/>
  <c r="AJ676" i="1"/>
  <c r="AJ677" i="1"/>
  <c r="AJ678" i="1"/>
  <c r="AJ679" i="1"/>
  <c r="AJ680" i="1"/>
  <c r="AJ681" i="1"/>
  <c r="AJ682" i="1"/>
  <c r="AJ683" i="1"/>
  <c r="AJ684" i="1"/>
  <c r="AJ685" i="1"/>
  <c r="AJ686" i="1"/>
  <c r="AJ687" i="1"/>
  <c r="AJ688" i="1"/>
  <c r="AJ689" i="1"/>
  <c r="AJ690" i="1"/>
  <c r="AJ691" i="1"/>
  <c r="AJ692" i="1"/>
  <c r="AJ693" i="1"/>
  <c r="AJ694" i="1"/>
  <c r="AJ695" i="1"/>
  <c r="AJ696" i="1"/>
  <c r="AJ697" i="1"/>
  <c r="AJ698" i="1"/>
  <c r="AJ699" i="1"/>
  <c r="AJ700" i="1"/>
  <c r="AJ701" i="1"/>
  <c r="AJ702" i="1"/>
  <c r="AJ703" i="1"/>
  <c r="AJ704" i="1"/>
  <c r="AJ705" i="1"/>
  <c r="AJ706" i="1"/>
  <c r="AJ707" i="1"/>
  <c r="AJ708" i="1"/>
  <c r="AJ709" i="1"/>
  <c r="AJ710" i="1"/>
  <c r="AJ711" i="1"/>
  <c r="AJ712" i="1"/>
  <c r="AJ713" i="1"/>
  <c r="AJ714" i="1"/>
  <c r="AJ715" i="1"/>
  <c r="AJ716" i="1"/>
  <c r="AJ717" i="1"/>
  <c r="AJ718" i="1"/>
  <c r="AJ719" i="1"/>
  <c r="AJ720" i="1"/>
  <c r="AJ721" i="1"/>
  <c r="AJ722" i="1"/>
  <c r="AJ723" i="1"/>
  <c r="AJ724" i="1"/>
  <c r="AJ725" i="1"/>
  <c r="AJ726" i="1"/>
  <c r="AJ727" i="1"/>
  <c r="AJ728" i="1"/>
  <c r="AJ729" i="1"/>
  <c r="AJ730" i="1"/>
  <c r="AJ731" i="1"/>
  <c r="AJ732" i="1"/>
  <c r="AJ733" i="1"/>
  <c r="AJ734" i="1"/>
  <c r="AJ735" i="1"/>
  <c r="AJ736" i="1"/>
  <c r="AJ737" i="1"/>
  <c r="AJ738" i="1"/>
  <c r="AJ739" i="1"/>
  <c r="AJ740" i="1"/>
  <c r="AJ741" i="1"/>
  <c r="AJ742" i="1"/>
  <c r="AJ743" i="1"/>
  <c r="AJ744" i="1"/>
  <c r="AJ745" i="1"/>
  <c r="AJ746" i="1"/>
  <c r="AJ747" i="1"/>
  <c r="AJ748" i="1"/>
  <c r="AJ749" i="1"/>
  <c r="AJ750" i="1"/>
  <c r="AJ751" i="1"/>
  <c r="AJ752" i="1"/>
  <c r="AJ753" i="1"/>
  <c r="AJ754" i="1"/>
  <c r="AJ755" i="1"/>
  <c r="AJ756" i="1"/>
  <c r="AJ757" i="1"/>
  <c r="AJ758" i="1"/>
  <c r="AJ759" i="1"/>
  <c r="AJ760" i="1"/>
  <c r="AJ761" i="1"/>
  <c r="AJ762" i="1"/>
  <c r="AJ763" i="1"/>
  <c r="AJ764" i="1"/>
  <c r="AJ765" i="1"/>
  <c r="AJ766" i="1"/>
  <c r="AJ767" i="1"/>
  <c r="AJ768" i="1"/>
  <c r="AJ769" i="1"/>
  <c r="AJ770" i="1"/>
  <c r="AJ771" i="1"/>
  <c r="AJ772" i="1"/>
  <c r="AJ773" i="1"/>
  <c r="AJ774" i="1"/>
  <c r="AJ775" i="1"/>
  <c r="AJ776" i="1"/>
  <c r="AJ777" i="1"/>
  <c r="AJ778" i="1"/>
  <c r="AJ779" i="1"/>
  <c r="AJ780" i="1"/>
  <c r="AJ781" i="1"/>
  <c r="AJ782" i="1"/>
  <c r="AJ783" i="1"/>
  <c r="AJ784" i="1"/>
  <c r="AJ785" i="1"/>
  <c r="AJ786" i="1"/>
  <c r="AJ787" i="1"/>
  <c r="AJ788" i="1"/>
  <c r="AJ789" i="1"/>
  <c r="AJ790" i="1"/>
  <c r="AJ791" i="1"/>
  <c r="AJ792" i="1"/>
  <c r="AJ793" i="1"/>
  <c r="AJ794" i="1"/>
  <c r="AJ795" i="1"/>
  <c r="AJ796" i="1"/>
  <c r="AJ797" i="1"/>
  <c r="AJ798" i="1"/>
  <c r="AJ799" i="1"/>
  <c r="AJ800" i="1"/>
  <c r="AJ801" i="1"/>
  <c r="AJ802" i="1"/>
  <c r="AJ803" i="1"/>
  <c r="AJ804" i="1"/>
  <c r="AJ805" i="1"/>
  <c r="AJ806" i="1"/>
  <c r="AJ807" i="1"/>
  <c r="AJ808" i="1"/>
  <c r="AJ809" i="1"/>
  <c r="AJ810" i="1"/>
  <c r="AJ811" i="1"/>
  <c r="AJ812" i="1"/>
  <c r="AJ813" i="1"/>
  <c r="AJ814" i="1"/>
  <c r="AJ815" i="1"/>
  <c r="AJ816" i="1"/>
  <c r="AJ817" i="1"/>
  <c r="AJ818" i="1"/>
  <c r="AJ819" i="1"/>
  <c r="AJ820" i="1"/>
  <c r="AJ821" i="1"/>
  <c r="AJ822" i="1"/>
  <c r="AJ823" i="1"/>
  <c r="AJ824" i="1"/>
  <c r="AJ825" i="1"/>
  <c r="AJ826" i="1"/>
  <c r="AJ827" i="1"/>
  <c r="AJ828" i="1"/>
  <c r="AJ829" i="1"/>
  <c r="AJ830" i="1"/>
  <c r="AJ831" i="1"/>
  <c r="AJ832" i="1"/>
  <c r="AJ833" i="1"/>
  <c r="AJ834" i="1"/>
  <c r="AJ835" i="1"/>
  <c r="AJ836" i="1"/>
  <c r="AJ837" i="1"/>
  <c r="AJ838" i="1"/>
  <c r="AJ839" i="1"/>
  <c r="AJ840" i="1"/>
  <c r="AJ841" i="1"/>
  <c r="AJ842" i="1"/>
  <c r="AJ843" i="1"/>
  <c r="AJ844" i="1"/>
  <c r="AJ845" i="1"/>
  <c r="AJ846" i="1"/>
  <c r="AJ847" i="1"/>
  <c r="AJ848" i="1"/>
  <c r="AJ849" i="1"/>
  <c r="AJ850" i="1"/>
  <c r="AJ851" i="1"/>
  <c r="AJ852" i="1"/>
  <c r="AJ853" i="1"/>
  <c r="AJ854" i="1"/>
  <c r="AJ855" i="1"/>
  <c r="AJ856" i="1"/>
  <c r="AJ857" i="1"/>
  <c r="AJ858" i="1"/>
  <c r="AJ859" i="1"/>
  <c r="AJ860" i="1"/>
  <c r="AJ861" i="1"/>
  <c r="AJ862" i="1"/>
  <c r="AJ863" i="1"/>
  <c r="AJ864" i="1"/>
  <c r="AJ865" i="1"/>
  <c r="AJ866" i="1"/>
  <c r="AJ867" i="1"/>
  <c r="AJ868" i="1"/>
  <c r="AJ869" i="1"/>
  <c r="AJ870" i="1"/>
  <c r="AJ871" i="1"/>
  <c r="AJ872" i="1"/>
  <c r="AJ873" i="1"/>
  <c r="AJ874" i="1"/>
  <c r="AJ875" i="1"/>
  <c r="AJ876" i="1"/>
  <c r="AJ877" i="1"/>
  <c r="AJ878" i="1"/>
  <c r="AJ879" i="1"/>
  <c r="AJ880" i="1"/>
  <c r="AJ881" i="1"/>
  <c r="AJ882" i="1"/>
  <c r="AJ883" i="1"/>
  <c r="AJ884" i="1"/>
  <c r="AJ885" i="1"/>
  <c r="AJ886" i="1"/>
  <c r="AJ887" i="1"/>
  <c r="AJ888" i="1"/>
  <c r="AJ889" i="1"/>
  <c r="AJ890" i="1"/>
  <c r="AJ891" i="1"/>
  <c r="AJ892" i="1"/>
  <c r="AJ893" i="1"/>
  <c r="AJ894" i="1"/>
  <c r="AJ895" i="1"/>
  <c r="AJ896" i="1"/>
  <c r="AJ897" i="1"/>
  <c r="AJ898" i="1"/>
  <c r="AJ899" i="1"/>
  <c r="AJ900" i="1"/>
  <c r="AJ901" i="1"/>
  <c r="AJ902" i="1"/>
  <c r="AJ903" i="1"/>
  <c r="AJ904" i="1"/>
  <c r="AJ905" i="1"/>
  <c r="AJ906" i="1"/>
  <c r="AJ907" i="1"/>
  <c r="AJ908" i="1"/>
  <c r="AJ909" i="1"/>
  <c r="AJ910" i="1"/>
  <c r="AJ911" i="1"/>
  <c r="AJ912" i="1"/>
  <c r="AJ913" i="1"/>
  <c r="AJ914" i="1"/>
  <c r="AJ915" i="1"/>
  <c r="AJ916" i="1"/>
  <c r="AJ917" i="1"/>
  <c r="AJ918" i="1"/>
  <c r="AJ919" i="1"/>
  <c r="AJ920" i="1"/>
  <c r="AJ921" i="1"/>
  <c r="AJ922" i="1"/>
  <c r="AJ923" i="1"/>
  <c r="AJ924" i="1"/>
  <c r="AJ925" i="1"/>
  <c r="AJ926" i="1"/>
  <c r="AJ927" i="1"/>
  <c r="AJ928" i="1"/>
  <c r="AJ929" i="1"/>
  <c r="AJ930" i="1"/>
  <c r="AJ931" i="1"/>
  <c r="AJ932" i="1"/>
  <c r="AJ933" i="1"/>
  <c r="AJ934" i="1"/>
  <c r="AJ935" i="1"/>
  <c r="AJ936" i="1"/>
  <c r="AJ937" i="1"/>
  <c r="AJ938" i="1"/>
  <c r="AJ939" i="1"/>
  <c r="AJ940" i="1"/>
  <c r="AJ941" i="1"/>
  <c r="AJ942" i="1"/>
  <c r="AJ943" i="1"/>
  <c r="AJ944" i="1"/>
  <c r="AJ945" i="1"/>
  <c r="AJ946" i="1"/>
  <c r="AJ947" i="1"/>
  <c r="AJ948" i="1"/>
  <c r="AJ949" i="1"/>
  <c r="AJ950" i="1"/>
  <c r="AJ951" i="1"/>
  <c r="AJ952" i="1"/>
  <c r="AJ953" i="1"/>
  <c r="AJ954" i="1"/>
  <c r="AJ955" i="1"/>
  <c r="AJ956" i="1"/>
  <c r="AJ957" i="1"/>
  <c r="AJ958" i="1"/>
  <c r="AJ959" i="1"/>
  <c r="AJ960" i="1"/>
  <c r="AJ961" i="1"/>
  <c r="AJ962" i="1"/>
  <c r="AJ963" i="1"/>
  <c r="AJ964" i="1"/>
  <c r="AJ965" i="1"/>
  <c r="AJ966" i="1"/>
  <c r="AJ967" i="1"/>
  <c r="AJ968" i="1"/>
  <c r="AJ969" i="1"/>
  <c r="AJ970" i="1"/>
  <c r="AJ971" i="1"/>
  <c r="AJ972" i="1"/>
  <c r="AJ973" i="1"/>
  <c r="AJ974" i="1"/>
  <c r="AJ975" i="1"/>
  <c r="AJ976" i="1"/>
  <c r="AJ977" i="1"/>
  <c r="AJ978" i="1"/>
  <c r="AJ979" i="1"/>
  <c r="AJ980" i="1"/>
  <c r="AJ981" i="1"/>
  <c r="AJ982" i="1"/>
  <c r="AJ983" i="1"/>
  <c r="AJ984" i="1"/>
  <c r="AJ985" i="1"/>
  <c r="AJ986" i="1"/>
  <c r="AJ987" i="1"/>
  <c r="AJ988" i="1"/>
  <c r="AJ989" i="1"/>
  <c r="AJ990" i="1"/>
  <c r="AJ991" i="1"/>
  <c r="AJ992" i="1"/>
  <c r="AJ993" i="1"/>
  <c r="AJ994" i="1"/>
  <c r="AJ995" i="1"/>
  <c r="AJ996" i="1"/>
  <c r="AJ997" i="1"/>
  <c r="AJ998" i="1"/>
  <c r="AJ999" i="1"/>
  <c r="AJ1000" i="1"/>
  <c r="AJ1001" i="1"/>
  <c r="AJ1002" i="1"/>
  <c r="AJ1003" i="1"/>
  <c r="AJ1004" i="1"/>
  <c r="AJ1005" i="1"/>
  <c r="AJ1006" i="1"/>
  <c r="AJ1007" i="1"/>
  <c r="AJ1008" i="1"/>
  <c r="AJ1009" i="1"/>
  <c r="AJ1010" i="1"/>
  <c r="AJ1011" i="1"/>
  <c r="AJ1012" i="1"/>
  <c r="AJ1013" i="1"/>
  <c r="AJ1014" i="1"/>
  <c r="AJ1015" i="1"/>
  <c r="AJ1016" i="1"/>
  <c r="AJ1017" i="1"/>
  <c r="AJ1018" i="1"/>
  <c r="AJ1019" i="1"/>
  <c r="AJ1020" i="1"/>
  <c r="AJ1021" i="1"/>
  <c r="AJ1022" i="1"/>
  <c r="AJ1023" i="1"/>
  <c r="AJ1024" i="1"/>
  <c r="AJ1025" i="1"/>
  <c r="AJ1026" i="1"/>
  <c r="AJ1027" i="1"/>
  <c r="AJ1028" i="1"/>
  <c r="AJ1029" i="1"/>
  <c r="AJ1030" i="1"/>
  <c r="AJ1031" i="1"/>
  <c r="AJ1032" i="1"/>
  <c r="AJ1033" i="1"/>
  <c r="AJ1034" i="1"/>
  <c r="AJ1035" i="1"/>
  <c r="AJ1036" i="1"/>
  <c r="AJ1037" i="1"/>
  <c r="AJ1038" i="1"/>
  <c r="AJ1039" i="1"/>
  <c r="AJ1040" i="1"/>
  <c r="AJ1041" i="1"/>
  <c r="AJ1042" i="1"/>
  <c r="AJ1043" i="1"/>
  <c r="AJ1044" i="1"/>
  <c r="AJ1045" i="1"/>
  <c r="AJ1046" i="1"/>
  <c r="AJ1047" i="1"/>
  <c r="AJ1048" i="1"/>
  <c r="AJ1049" i="1"/>
  <c r="AJ1050" i="1"/>
  <c r="AJ1051" i="1"/>
  <c r="AJ1052" i="1"/>
  <c r="AJ1053" i="1"/>
  <c r="AJ1054" i="1"/>
  <c r="AJ1055" i="1"/>
  <c r="AJ1056" i="1"/>
  <c r="AJ1057" i="1"/>
  <c r="AJ1058" i="1"/>
  <c r="AJ1059" i="1"/>
  <c r="AJ1060" i="1"/>
  <c r="AJ1061" i="1"/>
  <c r="AJ1062" i="1"/>
  <c r="AJ1063" i="1"/>
  <c r="AJ1064" i="1"/>
  <c r="AJ1065" i="1"/>
  <c r="AJ1066" i="1"/>
  <c r="AJ1067" i="1"/>
  <c r="AJ1068" i="1"/>
  <c r="AJ1069" i="1"/>
  <c r="AJ1070" i="1"/>
  <c r="AJ1071" i="1"/>
  <c r="AJ1072" i="1"/>
  <c r="AJ1073" i="1"/>
  <c r="AJ1074" i="1"/>
  <c r="AJ1075" i="1"/>
  <c r="AJ1076" i="1"/>
  <c r="AJ1077" i="1"/>
  <c r="AJ1078" i="1"/>
  <c r="AJ1079" i="1"/>
  <c r="AJ1080" i="1"/>
  <c r="AJ1081" i="1"/>
  <c r="AJ1082" i="1"/>
  <c r="AJ1083" i="1"/>
  <c r="AJ1084" i="1"/>
  <c r="AJ1085" i="1"/>
  <c r="AJ1086" i="1"/>
  <c r="AJ1087" i="1"/>
  <c r="AJ1088" i="1"/>
  <c r="AJ1089" i="1"/>
  <c r="AJ1090" i="1"/>
  <c r="AJ1091" i="1"/>
  <c r="AJ1092" i="1"/>
  <c r="AJ1093" i="1"/>
  <c r="AJ1094" i="1"/>
  <c r="AJ1095" i="1"/>
  <c r="AJ1096" i="1"/>
  <c r="AJ1097" i="1"/>
  <c r="AJ1098" i="1"/>
  <c r="AJ1099" i="1"/>
  <c r="AJ1100" i="1"/>
  <c r="AJ1101" i="1"/>
  <c r="AJ1102" i="1"/>
  <c r="AJ1103" i="1"/>
  <c r="AJ1104" i="1"/>
  <c r="AJ1105" i="1"/>
  <c r="AJ1106" i="1"/>
  <c r="AJ1107" i="1"/>
  <c r="AJ1108" i="1"/>
  <c r="AJ1109" i="1"/>
  <c r="AJ1110" i="1"/>
  <c r="AJ1111" i="1"/>
  <c r="AJ1112" i="1"/>
  <c r="AJ1113" i="1"/>
  <c r="AJ1114" i="1"/>
  <c r="AJ1115" i="1"/>
  <c r="AJ1116" i="1"/>
  <c r="AJ1117" i="1"/>
  <c r="AJ1118" i="1"/>
  <c r="AJ1119" i="1"/>
  <c r="AJ1120" i="1"/>
  <c r="AJ1121" i="1"/>
  <c r="AJ1122" i="1"/>
  <c r="AJ1123" i="1"/>
  <c r="AJ1124" i="1"/>
  <c r="AJ1125" i="1"/>
  <c r="AJ1126" i="1"/>
  <c r="AJ1127" i="1"/>
  <c r="AJ1128" i="1"/>
  <c r="AJ1129" i="1"/>
  <c r="AJ1130" i="1"/>
  <c r="AJ1131" i="1"/>
  <c r="AJ1132" i="1"/>
  <c r="AJ1133" i="1"/>
  <c r="AJ1134" i="1"/>
  <c r="AJ1135" i="1"/>
  <c r="AJ1136" i="1"/>
  <c r="AJ1137" i="1"/>
  <c r="AJ1138" i="1"/>
  <c r="AJ1139" i="1"/>
  <c r="AJ1140" i="1"/>
  <c r="AJ1141" i="1"/>
  <c r="AJ1142" i="1"/>
  <c r="AJ1143" i="1"/>
  <c r="AJ1144" i="1"/>
  <c r="AJ1145" i="1"/>
  <c r="AJ1146" i="1"/>
  <c r="AJ1147" i="1"/>
  <c r="AJ1148" i="1"/>
  <c r="AJ1149" i="1"/>
  <c r="AJ1150" i="1"/>
  <c r="AJ1151" i="1"/>
  <c r="AJ1152" i="1"/>
  <c r="AJ1153" i="1"/>
  <c r="AJ1154" i="1"/>
  <c r="AJ1155" i="1"/>
  <c r="AJ1156" i="1"/>
  <c r="AJ1157" i="1"/>
  <c r="AJ1158" i="1"/>
  <c r="AJ1159" i="1"/>
  <c r="AJ1160" i="1"/>
  <c r="AJ1161" i="1"/>
  <c r="AJ1162" i="1"/>
  <c r="AJ1163" i="1"/>
  <c r="AJ1164" i="1"/>
  <c r="AJ1165" i="1"/>
  <c r="AJ1166" i="1"/>
  <c r="AJ1167" i="1"/>
  <c r="AJ1168" i="1"/>
  <c r="AJ1169" i="1"/>
  <c r="AJ1170" i="1"/>
  <c r="AJ1171" i="1"/>
  <c r="AJ1172" i="1"/>
  <c r="AJ1173" i="1"/>
  <c r="AJ1174" i="1"/>
  <c r="AJ1175" i="1"/>
  <c r="AJ1176" i="1"/>
  <c r="AJ1177" i="1"/>
  <c r="AJ1178" i="1"/>
  <c r="AJ1179" i="1"/>
  <c r="AJ1180" i="1"/>
  <c r="AJ1181" i="1"/>
  <c r="AJ1182" i="1"/>
  <c r="AJ1183" i="1"/>
  <c r="AJ1184" i="1"/>
  <c r="AJ1185" i="1"/>
  <c r="AJ1186" i="1"/>
  <c r="AJ1187" i="1"/>
  <c r="AJ1188" i="1"/>
  <c r="AJ1189" i="1"/>
  <c r="AJ1190" i="1"/>
  <c r="AJ1191" i="1"/>
  <c r="AJ1192" i="1"/>
  <c r="AJ1193" i="1"/>
  <c r="AJ1194" i="1"/>
  <c r="AJ1195" i="1"/>
  <c r="AJ1196" i="1"/>
  <c r="AJ1197" i="1"/>
  <c r="AJ1198" i="1"/>
  <c r="AJ1199" i="1"/>
  <c r="AJ1200" i="1"/>
  <c r="AJ1201" i="1"/>
  <c r="AJ1202" i="1"/>
  <c r="AJ1203" i="1"/>
  <c r="AJ1204" i="1"/>
  <c r="AJ1205" i="1"/>
  <c r="AJ1206" i="1"/>
  <c r="AJ1207" i="1"/>
  <c r="AJ1208" i="1"/>
  <c r="AJ1209" i="1"/>
  <c r="AJ1210" i="1"/>
  <c r="AJ1211" i="1"/>
  <c r="AJ1212" i="1"/>
  <c r="AJ1213" i="1"/>
  <c r="AJ1214" i="1"/>
  <c r="AJ1215" i="1"/>
  <c r="AJ1216" i="1"/>
  <c r="AJ1217" i="1"/>
  <c r="AJ1218" i="1"/>
  <c r="AJ1219" i="1"/>
  <c r="AJ1220" i="1"/>
  <c r="AJ1221" i="1"/>
  <c r="AJ1222" i="1"/>
  <c r="AJ1223" i="1"/>
  <c r="AJ1224" i="1"/>
  <c r="AJ1225" i="1"/>
  <c r="AJ1226" i="1"/>
  <c r="AJ1227" i="1"/>
  <c r="AJ1228" i="1"/>
  <c r="AJ1229" i="1"/>
  <c r="AJ1230" i="1"/>
  <c r="AJ1231" i="1"/>
  <c r="AJ1232" i="1"/>
  <c r="AJ1233" i="1"/>
  <c r="AJ1234" i="1"/>
  <c r="AJ1235" i="1"/>
  <c r="AJ1236" i="1"/>
  <c r="AJ1237" i="1"/>
  <c r="AJ1238" i="1"/>
  <c r="AJ1239" i="1"/>
  <c r="AJ1240" i="1"/>
  <c r="AJ1241" i="1"/>
  <c r="AJ1242" i="1"/>
  <c r="AJ1243" i="1"/>
  <c r="AJ1244" i="1"/>
  <c r="AJ1245" i="1"/>
  <c r="AJ1246" i="1"/>
  <c r="AJ1247" i="1"/>
  <c r="AJ1248" i="1"/>
  <c r="AJ1249" i="1"/>
  <c r="AJ1250" i="1"/>
  <c r="AJ1251" i="1"/>
  <c r="AJ1252" i="1"/>
  <c r="AJ1253" i="1"/>
  <c r="AJ1254" i="1"/>
  <c r="AJ1255" i="1"/>
  <c r="AJ1256" i="1"/>
  <c r="AJ1257" i="1"/>
  <c r="AJ1258" i="1"/>
  <c r="AJ1259" i="1"/>
  <c r="AJ1260" i="1"/>
  <c r="AJ1261" i="1"/>
  <c r="AJ1262" i="1"/>
  <c r="AJ1263" i="1"/>
  <c r="AJ1264" i="1"/>
  <c r="AJ1265" i="1"/>
  <c r="AJ1266" i="1"/>
  <c r="AJ1267" i="1"/>
  <c r="AJ1268" i="1"/>
  <c r="AJ1269" i="1"/>
  <c r="AJ1270" i="1"/>
  <c r="AJ1271" i="1"/>
  <c r="AJ1272" i="1"/>
  <c r="AJ1273" i="1"/>
  <c r="AJ1274" i="1"/>
  <c r="AJ1275" i="1"/>
  <c r="AJ1276" i="1"/>
  <c r="AJ1277" i="1"/>
  <c r="AJ1278" i="1"/>
  <c r="AJ1279" i="1"/>
  <c r="AJ1280" i="1"/>
  <c r="AJ1281" i="1"/>
  <c r="AJ1282" i="1"/>
  <c r="AJ1283" i="1"/>
  <c r="AJ1284" i="1"/>
  <c r="AJ1285" i="1"/>
  <c r="AJ1286" i="1"/>
  <c r="AJ1287" i="1"/>
  <c r="AJ1288" i="1"/>
  <c r="AJ1289" i="1"/>
  <c r="AJ1290" i="1"/>
  <c r="AJ1291" i="1"/>
  <c r="AJ1292" i="1"/>
  <c r="AJ1293" i="1"/>
  <c r="AJ1294" i="1"/>
  <c r="AJ1295" i="1"/>
  <c r="AJ1296" i="1"/>
  <c r="AJ1297" i="1"/>
  <c r="AJ1298" i="1"/>
  <c r="AJ1299" i="1"/>
  <c r="AJ1300" i="1"/>
  <c r="AJ1301" i="1"/>
  <c r="AJ1302" i="1"/>
  <c r="AJ1303" i="1"/>
  <c r="AJ1304" i="1"/>
  <c r="AJ1305" i="1"/>
  <c r="AJ1306" i="1"/>
  <c r="AJ1307" i="1"/>
  <c r="AJ1308" i="1"/>
  <c r="AJ1309" i="1"/>
  <c r="AJ1310" i="1"/>
  <c r="AJ1311" i="1"/>
  <c r="AJ1312" i="1"/>
  <c r="AJ1313" i="1"/>
  <c r="AJ1314" i="1"/>
  <c r="AJ1315" i="1"/>
  <c r="AJ1316" i="1"/>
  <c r="AJ1317" i="1"/>
  <c r="AJ1318" i="1"/>
  <c r="AJ1319" i="1"/>
  <c r="AJ1320" i="1"/>
  <c r="AJ1321" i="1"/>
  <c r="AJ1322" i="1"/>
  <c r="AJ1323" i="1"/>
  <c r="AJ1324" i="1"/>
  <c r="AJ1325" i="1"/>
  <c r="AJ1326" i="1"/>
  <c r="AJ1327" i="1"/>
  <c r="AJ1328" i="1"/>
  <c r="AJ1329" i="1"/>
  <c r="AJ1330" i="1"/>
  <c r="AJ1331" i="1"/>
  <c r="AJ1332" i="1"/>
  <c r="AJ1333" i="1"/>
  <c r="AJ1334" i="1"/>
  <c r="AJ1335" i="1"/>
  <c r="AJ1336" i="1"/>
  <c r="AJ1337" i="1"/>
  <c r="AJ1338" i="1"/>
  <c r="AJ1339" i="1"/>
  <c r="AJ1340" i="1"/>
  <c r="AJ1341" i="1"/>
  <c r="AJ1342" i="1"/>
  <c r="AJ1343" i="1"/>
  <c r="AJ1344" i="1"/>
  <c r="AJ1345" i="1"/>
  <c r="AJ1346" i="1"/>
  <c r="AJ1347" i="1"/>
  <c r="AJ1348" i="1"/>
  <c r="AJ1349" i="1"/>
  <c r="AJ1350" i="1"/>
  <c r="AJ1351" i="1"/>
  <c r="AJ1352" i="1"/>
  <c r="AJ1353" i="1"/>
  <c r="AJ1354" i="1"/>
  <c r="AJ1355" i="1"/>
  <c r="AJ1356" i="1"/>
  <c r="AJ1357" i="1"/>
  <c r="AJ1358" i="1"/>
  <c r="AJ1359" i="1"/>
  <c r="AJ1360" i="1"/>
  <c r="AJ1361" i="1"/>
  <c r="AJ1362" i="1"/>
  <c r="AJ1363" i="1"/>
  <c r="AJ1364" i="1"/>
  <c r="AJ1365" i="1"/>
  <c r="AJ1366" i="1"/>
  <c r="AJ1367" i="1"/>
  <c r="AJ1368" i="1"/>
  <c r="AJ1369" i="1"/>
  <c r="AJ1370" i="1"/>
  <c r="AJ1371" i="1"/>
  <c r="AJ1372" i="1"/>
  <c r="AJ1373" i="1"/>
  <c r="AJ1374" i="1"/>
  <c r="AJ1375" i="1"/>
  <c r="AJ1376" i="1"/>
  <c r="AJ1377" i="1"/>
  <c r="AJ1378" i="1"/>
  <c r="AJ1379" i="1"/>
  <c r="AJ1380" i="1"/>
  <c r="AJ1381" i="1"/>
  <c r="AJ1382" i="1"/>
  <c r="AJ1383" i="1"/>
  <c r="AJ1384" i="1"/>
  <c r="AJ1385" i="1"/>
  <c r="AJ1386" i="1"/>
  <c r="AJ1387" i="1"/>
  <c r="AJ1388" i="1"/>
  <c r="AJ1389" i="1"/>
  <c r="AJ1390" i="1"/>
  <c r="AJ1391" i="1"/>
  <c r="AJ1392" i="1"/>
  <c r="AJ1393" i="1"/>
  <c r="AJ1394" i="1"/>
  <c r="AJ1395" i="1"/>
  <c r="AJ1396" i="1"/>
  <c r="AJ1397" i="1"/>
  <c r="AJ1398" i="1"/>
  <c r="AJ1399" i="1"/>
  <c r="AJ1400" i="1"/>
  <c r="AJ1401" i="1"/>
  <c r="AJ1402" i="1"/>
  <c r="AJ1403" i="1"/>
  <c r="AJ1404" i="1"/>
  <c r="AJ1405" i="1"/>
  <c r="AJ1406" i="1"/>
  <c r="AJ1407" i="1"/>
  <c r="AJ1408" i="1"/>
  <c r="AJ1409" i="1"/>
  <c r="AJ1410" i="1"/>
  <c r="AJ1411" i="1"/>
  <c r="AJ1412" i="1"/>
  <c r="AJ1413" i="1"/>
  <c r="AJ1414" i="1"/>
  <c r="AJ1415" i="1"/>
  <c r="AJ1416" i="1"/>
  <c r="AJ1417" i="1"/>
  <c r="AJ1418" i="1"/>
  <c r="AJ1419" i="1"/>
  <c r="AJ1420" i="1"/>
  <c r="AJ1421" i="1"/>
  <c r="AJ1422" i="1"/>
  <c r="AJ1423" i="1"/>
  <c r="AJ1424" i="1"/>
  <c r="AJ1425" i="1"/>
  <c r="AJ1426" i="1"/>
  <c r="AJ1427" i="1"/>
  <c r="AJ1428" i="1"/>
  <c r="AJ1429" i="1"/>
  <c r="AJ1430" i="1"/>
  <c r="AJ1431" i="1"/>
  <c r="AJ1432" i="1"/>
  <c r="AJ1433" i="1"/>
  <c r="AJ1434" i="1"/>
  <c r="AJ1435" i="1"/>
  <c r="AJ1436" i="1"/>
  <c r="AJ1437" i="1"/>
  <c r="AJ1438" i="1"/>
  <c r="AJ1439" i="1"/>
  <c r="AJ1440" i="1"/>
  <c r="AJ1441" i="1"/>
  <c r="AJ1442" i="1"/>
  <c r="AJ1443" i="1"/>
  <c r="AJ1444" i="1"/>
  <c r="AJ1445" i="1"/>
  <c r="AJ1446" i="1"/>
  <c r="AJ1447" i="1"/>
  <c r="AJ1448" i="1"/>
  <c r="AJ1449" i="1"/>
  <c r="AJ1450" i="1"/>
  <c r="AJ1451" i="1"/>
  <c r="AJ1452" i="1"/>
  <c r="AJ1453" i="1"/>
  <c r="AJ1454" i="1"/>
  <c r="AJ1455" i="1"/>
  <c r="AJ1456" i="1"/>
  <c r="AJ1457" i="1"/>
  <c r="AJ1458" i="1"/>
  <c r="AJ1459" i="1"/>
  <c r="AJ1460" i="1"/>
  <c r="AJ1461" i="1"/>
  <c r="AJ1462" i="1"/>
  <c r="AJ1463" i="1"/>
  <c r="AJ1464" i="1"/>
  <c r="AJ1465" i="1"/>
  <c r="AJ1466" i="1"/>
  <c r="AJ1467" i="1"/>
  <c r="AJ1468" i="1"/>
  <c r="AJ1469" i="1"/>
  <c r="AJ1470" i="1"/>
  <c r="AJ1471" i="1"/>
  <c r="AI2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306" i="1"/>
  <c r="AI307" i="1"/>
  <c r="AI308" i="1"/>
  <c r="AI309" i="1"/>
  <c r="AI310" i="1"/>
  <c r="AI311" i="1"/>
  <c r="AI312" i="1"/>
  <c r="AI313" i="1"/>
  <c r="AI314" i="1"/>
  <c r="AI315" i="1"/>
  <c r="AI316" i="1"/>
  <c r="AI317" i="1"/>
  <c r="AI318" i="1"/>
  <c r="AI319" i="1"/>
  <c r="AI320" i="1"/>
  <c r="AI321" i="1"/>
  <c r="AI322" i="1"/>
  <c r="AI323" i="1"/>
  <c r="AI324" i="1"/>
  <c r="AI325" i="1"/>
  <c r="AI326" i="1"/>
  <c r="AI327" i="1"/>
  <c r="AI328" i="1"/>
  <c r="AI329" i="1"/>
  <c r="AI330" i="1"/>
  <c r="AI331" i="1"/>
  <c r="AI332" i="1"/>
  <c r="AI333" i="1"/>
  <c r="AI334" i="1"/>
  <c r="AI335" i="1"/>
  <c r="AI336" i="1"/>
  <c r="AI337" i="1"/>
  <c r="AI338" i="1"/>
  <c r="AI339" i="1"/>
  <c r="AI340" i="1"/>
  <c r="AI341" i="1"/>
  <c r="AI342" i="1"/>
  <c r="AI343" i="1"/>
  <c r="AI344" i="1"/>
  <c r="AI345" i="1"/>
  <c r="AI346" i="1"/>
  <c r="AI347" i="1"/>
  <c r="AI348" i="1"/>
  <c r="AI349" i="1"/>
  <c r="AI350" i="1"/>
  <c r="AI351" i="1"/>
  <c r="AI352" i="1"/>
  <c r="AI353" i="1"/>
  <c r="AI354" i="1"/>
  <c r="AI355" i="1"/>
  <c r="AI356" i="1"/>
  <c r="AI357" i="1"/>
  <c r="AI358" i="1"/>
  <c r="AI359" i="1"/>
  <c r="AI360" i="1"/>
  <c r="AI361" i="1"/>
  <c r="AI362" i="1"/>
  <c r="AI363" i="1"/>
  <c r="AI364" i="1"/>
  <c r="AI365" i="1"/>
  <c r="AI366" i="1"/>
  <c r="AI367" i="1"/>
  <c r="AI368" i="1"/>
  <c r="AI369" i="1"/>
  <c r="AI370" i="1"/>
  <c r="AI371" i="1"/>
  <c r="AI372" i="1"/>
  <c r="AI373" i="1"/>
  <c r="AI374" i="1"/>
  <c r="AI375" i="1"/>
  <c r="AI376" i="1"/>
  <c r="AI377" i="1"/>
  <c r="AI378" i="1"/>
  <c r="AI379" i="1"/>
  <c r="AI380" i="1"/>
  <c r="AI381" i="1"/>
  <c r="AI382" i="1"/>
  <c r="AI383" i="1"/>
  <c r="AI384" i="1"/>
  <c r="AI385" i="1"/>
  <c r="AI386" i="1"/>
  <c r="AI387" i="1"/>
  <c r="AI388" i="1"/>
  <c r="AI389" i="1"/>
  <c r="AI390" i="1"/>
  <c r="AI391" i="1"/>
  <c r="AI392" i="1"/>
  <c r="AI393" i="1"/>
  <c r="AI394" i="1"/>
  <c r="AI395" i="1"/>
  <c r="AI396" i="1"/>
  <c r="AI397" i="1"/>
  <c r="AI398" i="1"/>
  <c r="AI399" i="1"/>
  <c r="AI400" i="1"/>
  <c r="AI401" i="1"/>
  <c r="AI402" i="1"/>
  <c r="AI403" i="1"/>
  <c r="AI404" i="1"/>
  <c r="AI405" i="1"/>
  <c r="AI406" i="1"/>
  <c r="AI407" i="1"/>
  <c r="AI408" i="1"/>
  <c r="AI409" i="1"/>
  <c r="AI410" i="1"/>
  <c r="AI411" i="1"/>
  <c r="AI412" i="1"/>
  <c r="AI413" i="1"/>
  <c r="AI414" i="1"/>
  <c r="AI415" i="1"/>
  <c r="AI416" i="1"/>
  <c r="AI417" i="1"/>
  <c r="AI418" i="1"/>
  <c r="AI419" i="1"/>
  <c r="AI420" i="1"/>
  <c r="AI421" i="1"/>
  <c r="AI422" i="1"/>
  <c r="AI423" i="1"/>
  <c r="AI424" i="1"/>
  <c r="AI425" i="1"/>
  <c r="AI426" i="1"/>
  <c r="AI427" i="1"/>
  <c r="AI428" i="1"/>
  <c r="AI429" i="1"/>
  <c r="AI430" i="1"/>
  <c r="AI431" i="1"/>
  <c r="AI432" i="1"/>
  <c r="AI433" i="1"/>
  <c r="AI434" i="1"/>
  <c r="AI435" i="1"/>
  <c r="AI436" i="1"/>
  <c r="AI437" i="1"/>
  <c r="AI438" i="1"/>
  <c r="AI439" i="1"/>
  <c r="AI440" i="1"/>
  <c r="AI441" i="1"/>
  <c r="AI442" i="1"/>
  <c r="AI443" i="1"/>
  <c r="AI444" i="1"/>
  <c r="AI445" i="1"/>
  <c r="AI446" i="1"/>
  <c r="AI447" i="1"/>
  <c r="AI448" i="1"/>
  <c r="AI449" i="1"/>
  <c r="AI450" i="1"/>
  <c r="AI451" i="1"/>
  <c r="AI452" i="1"/>
  <c r="AI453" i="1"/>
  <c r="AI454" i="1"/>
  <c r="AI455" i="1"/>
  <c r="AI456" i="1"/>
  <c r="AI457" i="1"/>
  <c r="AI458" i="1"/>
  <c r="AI459" i="1"/>
  <c r="AI460" i="1"/>
  <c r="AI461" i="1"/>
  <c r="AI462" i="1"/>
  <c r="AI463" i="1"/>
  <c r="AI464" i="1"/>
  <c r="AI465" i="1"/>
  <c r="AI466" i="1"/>
  <c r="AI467" i="1"/>
  <c r="AI468" i="1"/>
  <c r="AI469" i="1"/>
  <c r="AI470" i="1"/>
  <c r="AI471" i="1"/>
  <c r="AI472" i="1"/>
  <c r="AI473" i="1"/>
  <c r="AI474" i="1"/>
  <c r="AI475" i="1"/>
  <c r="AI476" i="1"/>
  <c r="AI477" i="1"/>
  <c r="AI478" i="1"/>
  <c r="AI479" i="1"/>
  <c r="AI480" i="1"/>
  <c r="AI481" i="1"/>
  <c r="AI482" i="1"/>
  <c r="AI483" i="1"/>
  <c r="AI484" i="1"/>
  <c r="AI485" i="1"/>
  <c r="AI486" i="1"/>
  <c r="AI487" i="1"/>
  <c r="AI488" i="1"/>
  <c r="AI489" i="1"/>
  <c r="AI490" i="1"/>
  <c r="AI491" i="1"/>
  <c r="AI492" i="1"/>
  <c r="AI493" i="1"/>
  <c r="AI494" i="1"/>
  <c r="AI495" i="1"/>
  <c r="AI496" i="1"/>
  <c r="AI497" i="1"/>
  <c r="AI498" i="1"/>
  <c r="AI499" i="1"/>
  <c r="AI500" i="1"/>
  <c r="AI501" i="1"/>
  <c r="AI502" i="1"/>
  <c r="AI503" i="1"/>
  <c r="AI504" i="1"/>
  <c r="AI505" i="1"/>
  <c r="AI506" i="1"/>
  <c r="AI507" i="1"/>
  <c r="AI508" i="1"/>
  <c r="AI509" i="1"/>
  <c r="AI510" i="1"/>
  <c r="AI511" i="1"/>
  <c r="AI512" i="1"/>
  <c r="AI513" i="1"/>
  <c r="AI514" i="1"/>
  <c r="AI515" i="1"/>
  <c r="AI516" i="1"/>
  <c r="AI517" i="1"/>
  <c r="AI518" i="1"/>
  <c r="AI519" i="1"/>
  <c r="AI520" i="1"/>
  <c r="AI521" i="1"/>
  <c r="AI522" i="1"/>
  <c r="AI523" i="1"/>
  <c r="AI524" i="1"/>
  <c r="AI525" i="1"/>
  <c r="AI526" i="1"/>
  <c r="AI527" i="1"/>
  <c r="AI528" i="1"/>
  <c r="AI529" i="1"/>
  <c r="AI530" i="1"/>
  <c r="AI531" i="1"/>
  <c r="AI532" i="1"/>
  <c r="AI533" i="1"/>
  <c r="AI534" i="1"/>
  <c r="AI535" i="1"/>
  <c r="AI536" i="1"/>
  <c r="AI537" i="1"/>
  <c r="AI538" i="1"/>
  <c r="AI539" i="1"/>
  <c r="AI540" i="1"/>
  <c r="AI541" i="1"/>
  <c r="AI542" i="1"/>
  <c r="AI543" i="1"/>
  <c r="AI544" i="1"/>
  <c r="AI545" i="1"/>
  <c r="AI546" i="1"/>
  <c r="AI547" i="1"/>
  <c r="AI548" i="1"/>
  <c r="AI549" i="1"/>
  <c r="AI550" i="1"/>
  <c r="AI551" i="1"/>
  <c r="AI552" i="1"/>
  <c r="AI553" i="1"/>
  <c r="AI554" i="1"/>
  <c r="AI555" i="1"/>
  <c r="AI556" i="1"/>
  <c r="AI557" i="1"/>
  <c r="AI558" i="1"/>
  <c r="AI559" i="1"/>
  <c r="AI560" i="1"/>
  <c r="AI561" i="1"/>
  <c r="AI562" i="1"/>
  <c r="AI563" i="1"/>
  <c r="AI564" i="1"/>
  <c r="AI565" i="1"/>
  <c r="AI566" i="1"/>
  <c r="AI567" i="1"/>
  <c r="AI568" i="1"/>
  <c r="AI569" i="1"/>
  <c r="AI570" i="1"/>
  <c r="AI571" i="1"/>
  <c r="AI572" i="1"/>
  <c r="AI573" i="1"/>
  <c r="AI574" i="1"/>
  <c r="AI575" i="1"/>
  <c r="AI576" i="1"/>
  <c r="AI577" i="1"/>
  <c r="AI578" i="1"/>
  <c r="AI579" i="1"/>
  <c r="AI580" i="1"/>
  <c r="AI581" i="1"/>
  <c r="AI582" i="1"/>
  <c r="AI583" i="1"/>
  <c r="AI584" i="1"/>
  <c r="AI585" i="1"/>
  <c r="AI586" i="1"/>
  <c r="AI587" i="1"/>
  <c r="AI588" i="1"/>
  <c r="AI589" i="1"/>
  <c r="AI590" i="1"/>
  <c r="AI591" i="1"/>
  <c r="AI592" i="1"/>
  <c r="AI593" i="1"/>
  <c r="AI594" i="1"/>
  <c r="AI595" i="1"/>
  <c r="AI596" i="1"/>
  <c r="AI597" i="1"/>
  <c r="AI598" i="1"/>
  <c r="AI599" i="1"/>
  <c r="AI600" i="1"/>
  <c r="AI601" i="1"/>
  <c r="AI602" i="1"/>
  <c r="AI603" i="1"/>
  <c r="AI604" i="1"/>
  <c r="AI605" i="1"/>
  <c r="AI606" i="1"/>
  <c r="AI607" i="1"/>
  <c r="AI608" i="1"/>
  <c r="AI609" i="1"/>
  <c r="AI610" i="1"/>
  <c r="AI611" i="1"/>
  <c r="AI612" i="1"/>
  <c r="AI613" i="1"/>
  <c r="AI614" i="1"/>
  <c r="AI615" i="1"/>
  <c r="AI616" i="1"/>
  <c r="AI617" i="1"/>
  <c r="AI618" i="1"/>
  <c r="AI619" i="1"/>
  <c r="AI620" i="1"/>
  <c r="AI621" i="1"/>
  <c r="AI622" i="1"/>
  <c r="AI623" i="1"/>
  <c r="AI624" i="1"/>
  <c r="AI625" i="1"/>
  <c r="AI626" i="1"/>
  <c r="AI627" i="1"/>
  <c r="AI628" i="1"/>
  <c r="AI629" i="1"/>
  <c r="AI630" i="1"/>
  <c r="AI631" i="1"/>
  <c r="AI632" i="1"/>
  <c r="AI633" i="1"/>
  <c r="AI634" i="1"/>
  <c r="AI635" i="1"/>
  <c r="AI636" i="1"/>
  <c r="AI637" i="1"/>
  <c r="AI638" i="1"/>
  <c r="AI639" i="1"/>
  <c r="AI640" i="1"/>
  <c r="AI641" i="1"/>
  <c r="AI642" i="1"/>
  <c r="AI643" i="1"/>
  <c r="AI644" i="1"/>
  <c r="AI645" i="1"/>
  <c r="AI646" i="1"/>
  <c r="AI647" i="1"/>
  <c r="AI648" i="1"/>
  <c r="AI649" i="1"/>
  <c r="AI650" i="1"/>
  <c r="AI651" i="1"/>
  <c r="AI652" i="1"/>
  <c r="AI653" i="1"/>
  <c r="AI654" i="1"/>
  <c r="AI655" i="1"/>
  <c r="AI656" i="1"/>
  <c r="AI657" i="1"/>
  <c r="AI658" i="1"/>
  <c r="AI659" i="1"/>
  <c r="AI660" i="1"/>
  <c r="AI661" i="1"/>
  <c r="AI662" i="1"/>
  <c r="AI663" i="1"/>
  <c r="AI664" i="1"/>
  <c r="AI665" i="1"/>
  <c r="AI666" i="1"/>
  <c r="AI667" i="1"/>
  <c r="AI668" i="1"/>
  <c r="AI669" i="1"/>
  <c r="AI670" i="1"/>
  <c r="AI671" i="1"/>
  <c r="AI672" i="1"/>
  <c r="AI673" i="1"/>
  <c r="AI674" i="1"/>
  <c r="AI675" i="1"/>
  <c r="AI676" i="1"/>
  <c r="AI677" i="1"/>
  <c r="AI678" i="1"/>
  <c r="AI679" i="1"/>
  <c r="AI680" i="1"/>
  <c r="AI681" i="1"/>
  <c r="AI682" i="1"/>
  <c r="AI683" i="1"/>
  <c r="AI684" i="1"/>
  <c r="AI685" i="1"/>
  <c r="AI686" i="1"/>
  <c r="AI687" i="1"/>
  <c r="AI688" i="1"/>
  <c r="AI689" i="1"/>
  <c r="AI690" i="1"/>
  <c r="AI691" i="1"/>
  <c r="AI692" i="1"/>
  <c r="AI693" i="1"/>
  <c r="AI694" i="1"/>
  <c r="AI695" i="1"/>
  <c r="AI696" i="1"/>
  <c r="AI697" i="1"/>
  <c r="AI698" i="1"/>
  <c r="AI699" i="1"/>
  <c r="AI700" i="1"/>
  <c r="AI701" i="1"/>
  <c r="AI702" i="1"/>
  <c r="AI703" i="1"/>
  <c r="AI704" i="1"/>
  <c r="AI705" i="1"/>
  <c r="AI706" i="1"/>
  <c r="AI707" i="1"/>
  <c r="AI708" i="1"/>
  <c r="AI709" i="1"/>
  <c r="AI710" i="1"/>
  <c r="AI711" i="1"/>
  <c r="AI712" i="1"/>
  <c r="AI713" i="1"/>
  <c r="AI714" i="1"/>
  <c r="AI715" i="1"/>
  <c r="AI716" i="1"/>
  <c r="AI717" i="1"/>
  <c r="AI718" i="1"/>
  <c r="AI719" i="1"/>
  <c r="AI720" i="1"/>
  <c r="AI721" i="1"/>
  <c r="AI722" i="1"/>
  <c r="AI723" i="1"/>
  <c r="AI724" i="1"/>
  <c r="AI725" i="1"/>
  <c r="AI726" i="1"/>
  <c r="AI727" i="1"/>
  <c r="AI728" i="1"/>
  <c r="AI729" i="1"/>
  <c r="AI730" i="1"/>
  <c r="AI731" i="1"/>
  <c r="AI732" i="1"/>
  <c r="AI733" i="1"/>
  <c r="AI734" i="1"/>
  <c r="AI735" i="1"/>
  <c r="AI736" i="1"/>
  <c r="AI737" i="1"/>
  <c r="AI738" i="1"/>
  <c r="AI739" i="1"/>
  <c r="AI740" i="1"/>
  <c r="AI741" i="1"/>
  <c r="AI742" i="1"/>
  <c r="AI743" i="1"/>
  <c r="AI744" i="1"/>
  <c r="AI745" i="1"/>
  <c r="AI746" i="1"/>
  <c r="AI747" i="1"/>
  <c r="AI748" i="1"/>
  <c r="AI749" i="1"/>
  <c r="AI750" i="1"/>
  <c r="AI751" i="1"/>
  <c r="AI752" i="1"/>
  <c r="AI753" i="1"/>
  <c r="AI754" i="1"/>
  <c r="AI755" i="1"/>
  <c r="AI756" i="1"/>
  <c r="AI757" i="1"/>
  <c r="AI758" i="1"/>
  <c r="AI759" i="1"/>
  <c r="AI760" i="1"/>
  <c r="AI761" i="1"/>
  <c r="AI762" i="1"/>
  <c r="AI763" i="1"/>
  <c r="AI764" i="1"/>
  <c r="AI765" i="1"/>
  <c r="AI766" i="1"/>
  <c r="AI767" i="1"/>
  <c r="AI768" i="1"/>
  <c r="AI769" i="1"/>
  <c r="AI770" i="1"/>
  <c r="AI771" i="1"/>
  <c r="AI772" i="1"/>
  <c r="AI773" i="1"/>
  <c r="AI774" i="1"/>
  <c r="AI775" i="1"/>
  <c r="AI776" i="1"/>
  <c r="AI777" i="1"/>
  <c r="AI778" i="1"/>
  <c r="AI779" i="1"/>
  <c r="AI780" i="1"/>
  <c r="AI781" i="1"/>
  <c r="AI782" i="1"/>
  <c r="AI783" i="1"/>
  <c r="AI784" i="1"/>
  <c r="AI785" i="1"/>
  <c r="AI786" i="1"/>
  <c r="AI787" i="1"/>
  <c r="AI788" i="1"/>
  <c r="AI789" i="1"/>
  <c r="AI790" i="1"/>
  <c r="AI791" i="1"/>
  <c r="AI792" i="1"/>
  <c r="AI793" i="1"/>
  <c r="AI794" i="1"/>
  <c r="AI795" i="1"/>
  <c r="AI796" i="1"/>
  <c r="AI797" i="1"/>
  <c r="AI798" i="1"/>
  <c r="AI799" i="1"/>
  <c r="AI800" i="1"/>
  <c r="AI801" i="1"/>
  <c r="AI802" i="1"/>
  <c r="AI803" i="1"/>
  <c r="AI804" i="1"/>
  <c r="AI805" i="1"/>
  <c r="AI806" i="1"/>
  <c r="AI807" i="1"/>
  <c r="AI808" i="1"/>
  <c r="AI809" i="1"/>
  <c r="AI810" i="1"/>
  <c r="AI811" i="1"/>
  <c r="AI812" i="1"/>
  <c r="AI813" i="1"/>
  <c r="AI814" i="1"/>
  <c r="AI815" i="1"/>
  <c r="AI816" i="1"/>
  <c r="AI817" i="1"/>
  <c r="AI818" i="1"/>
  <c r="AI819" i="1"/>
  <c r="AI820" i="1"/>
  <c r="AI821" i="1"/>
  <c r="AI822" i="1"/>
  <c r="AI823" i="1"/>
  <c r="AI824" i="1"/>
  <c r="AI825" i="1"/>
  <c r="AI826" i="1"/>
  <c r="AI827" i="1"/>
  <c r="AI828" i="1"/>
  <c r="AI829" i="1"/>
  <c r="AI830" i="1"/>
  <c r="AI831" i="1"/>
  <c r="AI832" i="1"/>
  <c r="AI833" i="1"/>
  <c r="AI834" i="1"/>
  <c r="AI835" i="1"/>
  <c r="AI836" i="1"/>
  <c r="AI837" i="1"/>
  <c r="AI838" i="1"/>
  <c r="AI839" i="1"/>
  <c r="AI840" i="1"/>
  <c r="AI841" i="1"/>
  <c r="AI842" i="1"/>
  <c r="AI843" i="1"/>
  <c r="AI844" i="1"/>
  <c r="AI845" i="1"/>
  <c r="AI846" i="1"/>
  <c r="AI847" i="1"/>
  <c r="AI848" i="1"/>
  <c r="AI849" i="1"/>
  <c r="AI850" i="1"/>
  <c r="AI851" i="1"/>
  <c r="AI852" i="1"/>
  <c r="AI853" i="1"/>
  <c r="AI854" i="1"/>
  <c r="AI855" i="1"/>
  <c r="AI856" i="1"/>
  <c r="AI857" i="1"/>
  <c r="AI858" i="1"/>
  <c r="AI859" i="1"/>
  <c r="AI860" i="1"/>
  <c r="AI861" i="1"/>
  <c r="AI862" i="1"/>
  <c r="AI863" i="1"/>
  <c r="AI864" i="1"/>
  <c r="AI865" i="1"/>
  <c r="AI866" i="1"/>
  <c r="AI867" i="1"/>
  <c r="AI868" i="1"/>
  <c r="AI869" i="1"/>
  <c r="AI870" i="1"/>
  <c r="AI871" i="1"/>
  <c r="AI872" i="1"/>
  <c r="AI873" i="1"/>
  <c r="AI874" i="1"/>
  <c r="AI875" i="1"/>
  <c r="AI876" i="1"/>
  <c r="AI877" i="1"/>
  <c r="AI878" i="1"/>
  <c r="AI879" i="1"/>
  <c r="AI880" i="1"/>
  <c r="AI881" i="1"/>
  <c r="AI882" i="1"/>
  <c r="AI883" i="1"/>
  <c r="AI884" i="1"/>
  <c r="AI885" i="1"/>
  <c r="AI886" i="1"/>
  <c r="AI887" i="1"/>
  <c r="AI888" i="1"/>
  <c r="AI889" i="1"/>
  <c r="AI890" i="1"/>
  <c r="AI891" i="1"/>
  <c r="AI892" i="1"/>
  <c r="AI893" i="1"/>
  <c r="AI894" i="1"/>
  <c r="AI895" i="1"/>
  <c r="AI896" i="1"/>
  <c r="AI897" i="1"/>
  <c r="AI898" i="1"/>
  <c r="AI899" i="1"/>
  <c r="AI900" i="1"/>
  <c r="AI901" i="1"/>
  <c r="AI902" i="1"/>
  <c r="AI903" i="1"/>
  <c r="AI904" i="1"/>
  <c r="AI905" i="1"/>
  <c r="AI906" i="1"/>
  <c r="AI907" i="1"/>
  <c r="AI908" i="1"/>
  <c r="AI909" i="1"/>
  <c r="AI910" i="1"/>
  <c r="AI911" i="1"/>
  <c r="AI912" i="1"/>
  <c r="AI913" i="1"/>
  <c r="AI914" i="1"/>
  <c r="AI915" i="1"/>
  <c r="AI916" i="1"/>
  <c r="AI917" i="1"/>
  <c r="AI918" i="1"/>
  <c r="AI919" i="1"/>
  <c r="AI920" i="1"/>
  <c r="AI921" i="1"/>
  <c r="AI922" i="1"/>
  <c r="AI923" i="1"/>
  <c r="AI924" i="1"/>
  <c r="AI925" i="1"/>
  <c r="AI926" i="1"/>
  <c r="AI927" i="1"/>
  <c r="AI928" i="1"/>
  <c r="AI929" i="1"/>
  <c r="AI930" i="1"/>
  <c r="AI931" i="1"/>
  <c r="AI932" i="1"/>
  <c r="AI933" i="1"/>
  <c r="AI934" i="1"/>
  <c r="AI935" i="1"/>
  <c r="AI936" i="1"/>
  <c r="AI937" i="1"/>
  <c r="AI938" i="1"/>
  <c r="AI939" i="1"/>
  <c r="AI940" i="1"/>
  <c r="AI941" i="1"/>
  <c r="AI942" i="1"/>
  <c r="AI943" i="1"/>
  <c r="AI944" i="1"/>
  <c r="AI945" i="1"/>
  <c r="AI946" i="1"/>
  <c r="AI947" i="1"/>
  <c r="AI948" i="1"/>
  <c r="AI949" i="1"/>
  <c r="AI950" i="1"/>
  <c r="AI951" i="1"/>
  <c r="AI952" i="1"/>
  <c r="AI953" i="1"/>
  <c r="AI954" i="1"/>
  <c r="AI955" i="1"/>
  <c r="AI956" i="1"/>
  <c r="AI957" i="1"/>
  <c r="AI958" i="1"/>
  <c r="AI959" i="1"/>
  <c r="AI960" i="1"/>
  <c r="AI961" i="1"/>
  <c r="AI962" i="1"/>
  <c r="AI963" i="1"/>
  <c r="AI964" i="1"/>
  <c r="AI965" i="1"/>
  <c r="AI966" i="1"/>
  <c r="AI967" i="1"/>
  <c r="AI968" i="1"/>
  <c r="AI969" i="1"/>
  <c r="AI970" i="1"/>
  <c r="AI971" i="1"/>
  <c r="AI972" i="1"/>
  <c r="AI973" i="1"/>
  <c r="AI974" i="1"/>
  <c r="AI975" i="1"/>
  <c r="AI976" i="1"/>
  <c r="AI977" i="1"/>
  <c r="AI978" i="1"/>
  <c r="AI979" i="1"/>
  <c r="AI980" i="1"/>
  <c r="AI981" i="1"/>
  <c r="AI982" i="1"/>
  <c r="AI983" i="1"/>
  <c r="AI984" i="1"/>
  <c r="AI985" i="1"/>
  <c r="AI986" i="1"/>
  <c r="AI987" i="1"/>
  <c r="AI988" i="1"/>
  <c r="AI989" i="1"/>
  <c r="AI990" i="1"/>
  <c r="AI991" i="1"/>
  <c r="AI992" i="1"/>
  <c r="AI993" i="1"/>
  <c r="AI994" i="1"/>
  <c r="AI995" i="1"/>
  <c r="AI996" i="1"/>
  <c r="AI997" i="1"/>
  <c r="AI998" i="1"/>
  <c r="AI999" i="1"/>
  <c r="AI1000" i="1"/>
  <c r="AI1001" i="1"/>
  <c r="AI1002" i="1"/>
  <c r="AI1003" i="1"/>
  <c r="AI1004" i="1"/>
  <c r="AI1005" i="1"/>
  <c r="AI1006" i="1"/>
  <c r="AI1007" i="1"/>
  <c r="AI1008" i="1"/>
  <c r="AI1009" i="1"/>
  <c r="AI1010" i="1"/>
  <c r="AI1011" i="1"/>
  <c r="AI1012" i="1"/>
  <c r="AI1013" i="1"/>
  <c r="AI1014" i="1"/>
  <c r="AI1015" i="1"/>
  <c r="AI1016" i="1"/>
  <c r="AI1017" i="1"/>
  <c r="AI1018" i="1"/>
  <c r="AI1019" i="1"/>
  <c r="AI1020" i="1"/>
  <c r="AI1021" i="1"/>
  <c r="AI1022" i="1"/>
  <c r="AI1023" i="1"/>
  <c r="AI1024" i="1"/>
  <c r="AI1025" i="1"/>
  <c r="AI1026" i="1"/>
  <c r="AI1027" i="1"/>
  <c r="AI1028" i="1"/>
  <c r="AI1029" i="1"/>
  <c r="AI1030" i="1"/>
  <c r="AI1031" i="1"/>
  <c r="AI1032" i="1"/>
  <c r="AI1033" i="1"/>
  <c r="AI1034" i="1"/>
  <c r="AI1035" i="1"/>
  <c r="AI1036" i="1"/>
  <c r="AI1037" i="1"/>
  <c r="AI1038" i="1"/>
  <c r="AI1039" i="1"/>
  <c r="AI1040" i="1"/>
  <c r="AI1041" i="1"/>
  <c r="AI1042" i="1"/>
  <c r="AI1043" i="1"/>
  <c r="AI1044" i="1"/>
  <c r="AI1045" i="1"/>
  <c r="AI1046" i="1"/>
  <c r="AI1047" i="1"/>
  <c r="AI1048" i="1"/>
  <c r="AI1049" i="1"/>
  <c r="AI1050" i="1"/>
  <c r="AI1051" i="1"/>
  <c r="AI1052" i="1"/>
  <c r="AI1053" i="1"/>
  <c r="AI1054" i="1"/>
  <c r="AI1055" i="1"/>
  <c r="AI1056" i="1"/>
  <c r="AI1057" i="1"/>
  <c r="AI1058" i="1"/>
  <c r="AI1059" i="1"/>
  <c r="AI1060" i="1"/>
  <c r="AI1061" i="1"/>
  <c r="AI1062" i="1"/>
  <c r="AI1063" i="1"/>
  <c r="AI1064" i="1"/>
  <c r="AI1065" i="1"/>
  <c r="AI1066" i="1"/>
  <c r="AI1067" i="1"/>
  <c r="AI1068" i="1"/>
  <c r="AI1069" i="1"/>
  <c r="AI1070" i="1"/>
  <c r="AI1071" i="1"/>
  <c r="AI1072" i="1"/>
  <c r="AI1073" i="1"/>
  <c r="AI1074" i="1"/>
  <c r="AI1075" i="1"/>
  <c r="AI1076" i="1"/>
  <c r="AI1077" i="1"/>
  <c r="AI1078" i="1"/>
  <c r="AI1079" i="1"/>
  <c r="AI1080" i="1"/>
  <c r="AI1081" i="1"/>
  <c r="AI1082" i="1"/>
  <c r="AI1083" i="1"/>
  <c r="AI1084" i="1"/>
  <c r="AI1085" i="1"/>
  <c r="AI1086" i="1"/>
  <c r="AI1087" i="1"/>
  <c r="AI1088" i="1"/>
  <c r="AI1089" i="1"/>
  <c r="AI1090" i="1"/>
  <c r="AI1091" i="1"/>
  <c r="AI1092" i="1"/>
  <c r="AI1093" i="1"/>
  <c r="AI1094" i="1"/>
  <c r="AI1095" i="1"/>
  <c r="AI1096" i="1"/>
  <c r="AI1097" i="1"/>
  <c r="AI1098" i="1"/>
  <c r="AI1099" i="1"/>
  <c r="AI1100" i="1"/>
  <c r="AI1101" i="1"/>
  <c r="AI1102" i="1"/>
  <c r="AI1103" i="1"/>
  <c r="AI1104" i="1"/>
  <c r="AI1105" i="1"/>
  <c r="AI1106" i="1"/>
  <c r="AI1107" i="1"/>
  <c r="AI1108" i="1"/>
  <c r="AI1109" i="1"/>
  <c r="AI1110" i="1"/>
  <c r="AI1111" i="1"/>
  <c r="AI1112" i="1"/>
  <c r="AI1113" i="1"/>
  <c r="AI1114" i="1"/>
  <c r="AI1115" i="1"/>
  <c r="AI1116" i="1"/>
  <c r="AI1117" i="1"/>
  <c r="AI1118" i="1"/>
  <c r="AI1119" i="1"/>
  <c r="AI1120" i="1"/>
  <c r="AI1121" i="1"/>
  <c r="AI1122" i="1"/>
  <c r="AI1123" i="1"/>
  <c r="AI1124" i="1"/>
  <c r="AI1125" i="1"/>
  <c r="AI1126" i="1"/>
  <c r="AI1127" i="1"/>
  <c r="AI1128" i="1"/>
  <c r="AI1129" i="1"/>
  <c r="AI1130" i="1"/>
  <c r="AI1131" i="1"/>
  <c r="AI1132" i="1"/>
  <c r="AI1133" i="1"/>
  <c r="AI1134" i="1"/>
  <c r="AI1135" i="1"/>
  <c r="AI1136" i="1"/>
  <c r="AI1137" i="1"/>
  <c r="AI1138" i="1"/>
  <c r="AI1139" i="1"/>
  <c r="AI1140" i="1"/>
  <c r="AI1141" i="1"/>
  <c r="AI1142" i="1"/>
  <c r="AI1143" i="1"/>
  <c r="AI1144" i="1"/>
  <c r="AI1145" i="1"/>
  <c r="AI1146" i="1"/>
  <c r="AI1147" i="1"/>
  <c r="AI1148" i="1"/>
  <c r="AI1149" i="1"/>
  <c r="AI1150" i="1"/>
  <c r="AI1151" i="1"/>
  <c r="AI1152" i="1"/>
  <c r="AI1153" i="1"/>
  <c r="AI1154" i="1"/>
  <c r="AI1155" i="1"/>
  <c r="AI1156" i="1"/>
  <c r="AI1157" i="1"/>
  <c r="AI1158" i="1"/>
  <c r="AI1159" i="1"/>
  <c r="AI1160" i="1"/>
  <c r="AI1161" i="1"/>
  <c r="AI1162" i="1"/>
  <c r="AI1163" i="1"/>
  <c r="AI1164" i="1"/>
  <c r="AI1165" i="1"/>
  <c r="AI1166" i="1"/>
  <c r="AI1167" i="1"/>
  <c r="AI1168" i="1"/>
  <c r="AI1169" i="1"/>
  <c r="AI1170" i="1"/>
  <c r="AI1171" i="1"/>
  <c r="AI1172" i="1"/>
  <c r="AI1173" i="1"/>
  <c r="AI1174" i="1"/>
  <c r="AI1175" i="1"/>
  <c r="AI1176" i="1"/>
  <c r="AI1177" i="1"/>
  <c r="AI1178" i="1"/>
  <c r="AI1179" i="1"/>
  <c r="AI1180" i="1"/>
  <c r="AI1181" i="1"/>
  <c r="AI1182" i="1"/>
  <c r="AI1183" i="1"/>
  <c r="AI1184" i="1"/>
  <c r="AI1185" i="1"/>
  <c r="AI1186" i="1"/>
  <c r="AI1187" i="1"/>
  <c r="AI1188" i="1"/>
  <c r="AI1189" i="1"/>
  <c r="AI1190" i="1"/>
  <c r="AI1191" i="1"/>
  <c r="AI1192" i="1"/>
  <c r="AI1193" i="1"/>
  <c r="AI1194" i="1"/>
  <c r="AI1195" i="1"/>
  <c r="AI1196" i="1"/>
  <c r="AI1197" i="1"/>
  <c r="AI1198" i="1"/>
  <c r="AI1199" i="1"/>
  <c r="AI1200" i="1"/>
  <c r="AI1201" i="1"/>
  <c r="AI1202" i="1"/>
  <c r="AI1203" i="1"/>
  <c r="AI1204" i="1"/>
  <c r="AI1205" i="1"/>
  <c r="AI1206" i="1"/>
  <c r="AI1207" i="1"/>
  <c r="AI1208" i="1"/>
  <c r="AI1209" i="1"/>
  <c r="AI1210" i="1"/>
  <c r="AI1211" i="1"/>
  <c r="AI1212" i="1"/>
  <c r="AI1213" i="1"/>
  <c r="AI1214" i="1"/>
  <c r="AI1215" i="1"/>
  <c r="AI1216" i="1"/>
  <c r="AI1217" i="1"/>
  <c r="AI1218" i="1"/>
  <c r="AI1219" i="1"/>
  <c r="AI1220" i="1"/>
  <c r="AI1221" i="1"/>
  <c r="AI1222" i="1"/>
  <c r="AI1223" i="1"/>
  <c r="AI1224" i="1"/>
  <c r="AI1225" i="1"/>
  <c r="AI1226" i="1"/>
  <c r="AI1227" i="1"/>
  <c r="AI1228" i="1"/>
  <c r="AI1229" i="1"/>
  <c r="AI1230" i="1"/>
  <c r="AI1231" i="1"/>
  <c r="AI1232" i="1"/>
  <c r="AI1233" i="1"/>
  <c r="AI1234" i="1"/>
  <c r="AI1235" i="1"/>
  <c r="AI1236" i="1"/>
  <c r="AI1237" i="1"/>
  <c r="AI1238" i="1"/>
  <c r="AI1239" i="1"/>
  <c r="AI1240" i="1"/>
  <c r="AI1241" i="1"/>
  <c r="AI1242" i="1"/>
  <c r="AI1243" i="1"/>
  <c r="AI1244" i="1"/>
  <c r="AI1245" i="1"/>
  <c r="AI1246" i="1"/>
  <c r="AI1247" i="1"/>
  <c r="AI1248" i="1"/>
  <c r="AI1249" i="1"/>
  <c r="AI1250" i="1"/>
  <c r="AI1251" i="1"/>
  <c r="AI1252" i="1"/>
  <c r="AI1253" i="1"/>
  <c r="AI1254" i="1"/>
  <c r="AI1255" i="1"/>
  <c r="AI1256" i="1"/>
  <c r="AI1257" i="1"/>
  <c r="AI1258" i="1"/>
  <c r="AI1259" i="1"/>
  <c r="AI1260" i="1"/>
  <c r="AI1261" i="1"/>
  <c r="AI1262" i="1"/>
  <c r="AI1263" i="1"/>
  <c r="AI1264" i="1"/>
  <c r="AI1265" i="1"/>
  <c r="AI1266" i="1"/>
  <c r="AI1267" i="1"/>
  <c r="AI1268" i="1"/>
  <c r="AI1269" i="1"/>
  <c r="AI1270" i="1"/>
  <c r="AI1271" i="1"/>
  <c r="AI1272" i="1"/>
  <c r="AI1273" i="1"/>
  <c r="AI1274" i="1"/>
  <c r="AI1275" i="1"/>
  <c r="AI1276" i="1"/>
  <c r="AI1277" i="1"/>
  <c r="AI1278" i="1"/>
  <c r="AI1279" i="1"/>
  <c r="AI1280" i="1"/>
  <c r="AI1281" i="1"/>
  <c r="AI1282" i="1"/>
  <c r="AI1283" i="1"/>
  <c r="AI1284" i="1"/>
  <c r="AI1285" i="1"/>
  <c r="AI1286" i="1"/>
  <c r="AI1287" i="1"/>
  <c r="AI1288" i="1"/>
  <c r="AI1289" i="1"/>
  <c r="AI1290" i="1"/>
  <c r="AI1291" i="1"/>
  <c r="AI1292" i="1"/>
  <c r="AI1293" i="1"/>
  <c r="AI1294" i="1"/>
  <c r="AI1295" i="1"/>
  <c r="AI1296" i="1"/>
  <c r="AI1297" i="1"/>
  <c r="AI1298" i="1"/>
  <c r="AI1299" i="1"/>
  <c r="AI1300" i="1"/>
  <c r="AI1301" i="1"/>
  <c r="AI1302" i="1"/>
  <c r="AI1303" i="1"/>
  <c r="AI1304" i="1"/>
  <c r="AI1305" i="1"/>
  <c r="AI1306" i="1"/>
  <c r="AI1307" i="1"/>
  <c r="AI1308" i="1"/>
  <c r="AI1309" i="1"/>
  <c r="AI1310" i="1"/>
  <c r="AI1311" i="1"/>
  <c r="AI1312" i="1"/>
  <c r="AI1313" i="1"/>
  <c r="AI1314" i="1"/>
  <c r="AI1315" i="1"/>
  <c r="AI1316" i="1"/>
  <c r="AI1317" i="1"/>
  <c r="AI1318" i="1"/>
  <c r="AI1319" i="1"/>
  <c r="AI1320" i="1"/>
  <c r="AI1321" i="1"/>
  <c r="AI1322" i="1"/>
  <c r="AI1323" i="1"/>
  <c r="AI1324" i="1"/>
  <c r="AI1325" i="1"/>
  <c r="AI1326" i="1"/>
  <c r="AI1327" i="1"/>
  <c r="AI1328" i="1"/>
  <c r="AI1329" i="1"/>
  <c r="AI1330" i="1"/>
  <c r="AI1331" i="1"/>
  <c r="AI1332" i="1"/>
  <c r="AI1333" i="1"/>
  <c r="AI1334" i="1"/>
  <c r="AI1335" i="1"/>
  <c r="AI1336" i="1"/>
  <c r="AI1337" i="1"/>
  <c r="AI1338" i="1"/>
  <c r="AI1339" i="1"/>
  <c r="AI1340" i="1"/>
  <c r="AI1341" i="1"/>
  <c r="AI1342" i="1"/>
  <c r="AI1343" i="1"/>
  <c r="AI1344" i="1"/>
  <c r="AI1345" i="1"/>
  <c r="AI1346" i="1"/>
  <c r="AI1347" i="1"/>
  <c r="AI1348" i="1"/>
  <c r="AI1349" i="1"/>
  <c r="AI1350" i="1"/>
  <c r="AI1351" i="1"/>
  <c r="AI1352" i="1"/>
  <c r="AI1353" i="1"/>
  <c r="AI1354" i="1"/>
  <c r="AI1355" i="1"/>
  <c r="AI1356" i="1"/>
  <c r="AI1357" i="1"/>
  <c r="AI1358" i="1"/>
  <c r="AI1359" i="1"/>
  <c r="AI1360" i="1"/>
  <c r="AI1361" i="1"/>
  <c r="AI1362" i="1"/>
  <c r="AI1363" i="1"/>
  <c r="AI1364" i="1"/>
  <c r="AI1365" i="1"/>
  <c r="AI1366" i="1"/>
  <c r="AI1367" i="1"/>
  <c r="AI1368" i="1"/>
  <c r="AI1369" i="1"/>
  <c r="AI1370" i="1"/>
  <c r="AI1371" i="1"/>
  <c r="AI1372" i="1"/>
  <c r="AI1373" i="1"/>
  <c r="AI1374" i="1"/>
  <c r="AI1375" i="1"/>
  <c r="AI1376" i="1"/>
  <c r="AI1377" i="1"/>
  <c r="AI1378" i="1"/>
  <c r="AI1379" i="1"/>
  <c r="AI1380" i="1"/>
  <c r="AI1381" i="1"/>
  <c r="AI1382" i="1"/>
  <c r="AI1383" i="1"/>
  <c r="AI1384" i="1"/>
  <c r="AI1385" i="1"/>
  <c r="AI1386" i="1"/>
  <c r="AI1387" i="1"/>
  <c r="AI1388" i="1"/>
  <c r="AI1389" i="1"/>
  <c r="AI1390" i="1"/>
  <c r="AI1391" i="1"/>
  <c r="AI1392" i="1"/>
  <c r="AI1393" i="1"/>
  <c r="AI1394" i="1"/>
  <c r="AI1395" i="1"/>
  <c r="AI1396" i="1"/>
  <c r="AI1397" i="1"/>
  <c r="AI1398" i="1"/>
  <c r="AI1399" i="1"/>
  <c r="AI1400" i="1"/>
  <c r="AI1401" i="1"/>
  <c r="AI1402" i="1"/>
  <c r="AI1403" i="1"/>
  <c r="AI1404" i="1"/>
  <c r="AI1405" i="1"/>
  <c r="AI1406" i="1"/>
  <c r="AI1407" i="1"/>
  <c r="AI1408" i="1"/>
  <c r="AI1409" i="1"/>
  <c r="AI1410" i="1"/>
  <c r="AI1411" i="1"/>
  <c r="AI1412" i="1"/>
  <c r="AI1413" i="1"/>
  <c r="AI1414" i="1"/>
  <c r="AI1415" i="1"/>
  <c r="AI1416" i="1"/>
  <c r="AI1417" i="1"/>
  <c r="AI1418" i="1"/>
  <c r="AI1419" i="1"/>
  <c r="AI1420" i="1"/>
  <c r="AI1421" i="1"/>
  <c r="AI1422" i="1"/>
  <c r="AI1423" i="1"/>
  <c r="AI1424" i="1"/>
  <c r="AI1425" i="1"/>
  <c r="AI1426" i="1"/>
  <c r="AI1427" i="1"/>
  <c r="AI1428" i="1"/>
  <c r="AI1429" i="1"/>
  <c r="AI1430" i="1"/>
  <c r="AI1431" i="1"/>
  <c r="AI1432" i="1"/>
  <c r="AI1433" i="1"/>
  <c r="AI1434" i="1"/>
  <c r="AI1435" i="1"/>
  <c r="AI1436" i="1"/>
  <c r="AI1437" i="1"/>
  <c r="AI1438" i="1"/>
  <c r="AI1439" i="1"/>
  <c r="AI1440" i="1"/>
  <c r="AI1441" i="1"/>
  <c r="AI1442" i="1"/>
  <c r="AI1443" i="1"/>
  <c r="AI1444" i="1"/>
  <c r="AI1445" i="1"/>
  <c r="AI1446" i="1"/>
  <c r="AI1447" i="1"/>
  <c r="AI1448" i="1"/>
  <c r="AI1449" i="1"/>
  <c r="AI1450" i="1"/>
  <c r="AI1451" i="1"/>
  <c r="AI1452" i="1"/>
  <c r="AI1453" i="1"/>
  <c r="AI1454" i="1"/>
  <c r="AI1455" i="1"/>
  <c r="AI1456" i="1"/>
  <c r="AI1457" i="1"/>
  <c r="AI1458" i="1"/>
  <c r="AI1459" i="1"/>
  <c r="AI1460" i="1"/>
  <c r="AI1461" i="1"/>
  <c r="AI1462" i="1"/>
  <c r="AI1463" i="1"/>
  <c r="AI1464" i="1"/>
  <c r="AI1465" i="1"/>
  <c r="AI1466" i="1"/>
  <c r="AI1467" i="1"/>
  <c r="AI1468" i="1"/>
  <c r="AI1469" i="1"/>
  <c r="AI1470" i="1"/>
  <c r="AI1471" i="1"/>
  <c r="AH2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407" i="1"/>
  <c r="AH408" i="1"/>
  <c r="AH409" i="1"/>
  <c r="AH410" i="1"/>
  <c r="AH411" i="1"/>
  <c r="AH412" i="1"/>
  <c r="AH413" i="1"/>
  <c r="AH414" i="1"/>
  <c r="AH415" i="1"/>
  <c r="AH416" i="1"/>
  <c r="AH417" i="1"/>
  <c r="AH418" i="1"/>
  <c r="AH419" i="1"/>
  <c r="AH420" i="1"/>
  <c r="AH421" i="1"/>
  <c r="AH422" i="1"/>
  <c r="AH423" i="1"/>
  <c r="AH424" i="1"/>
  <c r="AH425" i="1"/>
  <c r="AH426" i="1"/>
  <c r="AH427" i="1"/>
  <c r="AH428" i="1"/>
  <c r="AH429" i="1"/>
  <c r="AH430" i="1"/>
  <c r="AH431" i="1"/>
  <c r="AH432" i="1"/>
  <c r="AH433" i="1"/>
  <c r="AH434" i="1"/>
  <c r="AH435" i="1"/>
  <c r="AH436" i="1"/>
  <c r="AH437" i="1"/>
  <c r="AH438" i="1"/>
  <c r="AH439" i="1"/>
  <c r="AH440" i="1"/>
  <c r="AH441" i="1"/>
  <c r="AH442" i="1"/>
  <c r="AH443" i="1"/>
  <c r="AH444" i="1"/>
  <c r="AH445" i="1"/>
  <c r="AH446" i="1"/>
  <c r="AH447" i="1"/>
  <c r="AH448" i="1"/>
  <c r="AH449" i="1"/>
  <c r="AH450" i="1"/>
  <c r="AH451" i="1"/>
  <c r="AH452" i="1"/>
  <c r="AH453" i="1"/>
  <c r="AH454" i="1"/>
  <c r="AH455" i="1"/>
  <c r="AH456" i="1"/>
  <c r="AH457" i="1"/>
  <c r="AH458" i="1"/>
  <c r="AH459" i="1"/>
  <c r="AH460" i="1"/>
  <c r="AH461" i="1"/>
  <c r="AH462" i="1"/>
  <c r="AH463" i="1"/>
  <c r="AH464" i="1"/>
  <c r="AH465" i="1"/>
  <c r="AH466" i="1"/>
  <c r="AH467" i="1"/>
  <c r="AH468" i="1"/>
  <c r="AH469" i="1"/>
  <c r="AH470" i="1"/>
  <c r="AH471" i="1"/>
  <c r="AH472" i="1"/>
  <c r="AH473" i="1"/>
  <c r="AH474" i="1"/>
  <c r="AH475" i="1"/>
  <c r="AH476" i="1"/>
  <c r="AH477" i="1"/>
  <c r="AH478" i="1"/>
  <c r="AH479" i="1"/>
  <c r="AH480" i="1"/>
  <c r="AH481" i="1"/>
  <c r="AH482" i="1"/>
  <c r="AH483" i="1"/>
  <c r="AH484" i="1"/>
  <c r="AH485" i="1"/>
  <c r="AH486" i="1"/>
  <c r="AH487" i="1"/>
  <c r="AH488" i="1"/>
  <c r="AH489" i="1"/>
  <c r="AH490" i="1"/>
  <c r="AH491" i="1"/>
  <c r="AH492" i="1"/>
  <c r="AH493" i="1"/>
  <c r="AH494" i="1"/>
  <c r="AH495" i="1"/>
  <c r="AH496" i="1"/>
  <c r="AH497" i="1"/>
  <c r="AH498" i="1"/>
  <c r="AH499" i="1"/>
  <c r="AH500" i="1"/>
  <c r="AH501" i="1"/>
  <c r="AH502" i="1"/>
  <c r="AH503" i="1"/>
  <c r="AH504" i="1"/>
  <c r="AH505" i="1"/>
  <c r="AH506" i="1"/>
  <c r="AH507" i="1"/>
  <c r="AH508" i="1"/>
  <c r="AH509" i="1"/>
  <c r="AH510" i="1"/>
  <c r="AH511" i="1"/>
  <c r="AH512" i="1"/>
  <c r="AH513" i="1"/>
  <c r="AH514" i="1"/>
  <c r="AH515" i="1"/>
  <c r="AH516" i="1"/>
  <c r="AH517" i="1"/>
  <c r="AH518" i="1"/>
  <c r="AH519" i="1"/>
  <c r="AH520" i="1"/>
  <c r="AH521" i="1"/>
  <c r="AH522" i="1"/>
  <c r="AH523" i="1"/>
  <c r="AH524" i="1"/>
  <c r="AH525" i="1"/>
  <c r="AH526" i="1"/>
  <c r="AH527" i="1"/>
  <c r="AH528" i="1"/>
  <c r="AH529" i="1"/>
  <c r="AH530" i="1"/>
  <c r="AH531" i="1"/>
  <c r="AH532" i="1"/>
  <c r="AH533" i="1"/>
  <c r="AH534" i="1"/>
  <c r="AH535" i="1"/>
  <c r="AH536" i="1"/>
  <c r="AH537" i="1"/>
  <c r="AH538" i="1"/>
  <c r="AH539" i="1"/>
  <c r="AH540" i="1"/>
  <c r="AH541" i="1"/>
  <c r="AH542" i="1"/>
  <c r="AH543" i="1"/>
  <c r="AH544" i="1"/>
  <c r="AH545" i="1"/>
  <c r="AH546" i="1"/>
  <c r="AH547" i="1"/>
  <c r="AH548" i="1"/>
  <c r="AH549" i="1"/>
  <c r="AH550" i="1"/>
  <c r="AH551" i="1"/>
  <c r="AH552" i="1"/>
  <c r="AH553" i="1"/>
  <c r="AH554" i="1"/>
  <c r="AH555" i="1"/>
  <c r="AH556" i="1"/>
  <c r="AH557" i="1"/>
  <c r="AH558" i="1"/>
  <c r="AH559" i="1"/>
  <c r="AH560" i="1"/>
  <c r="AH561" i="1"/>
  <c r="AH562" i="1"/>
  <c r="AH563" i="1"/>
  <c r="AH564" i="1"/>
  <c r="AH565" i="1"/>
  <c r="AH566" i="1"/>
  <c r="AH567" i="1"/>
  <c r="AH568" i="1"/>
  <c r="AH569" i="1"/>
  <c r="AH570" i="1"/>
  <c r="AH571" i="1"/>
  <c r="AH572" i="1"/>
  <c r="AH573" i="1"/>
  <c r="AH574" i="1"/>
  <c r="AH575" i="1"/>
  <c r="AH576" i="1"/>
  <c r="AH577" i="1"/>
  <c r="AH578" i="1"/>
  <c r="AH579" i="1"/>
  <c r="AH580" i="1"/>
  <c r="AH581" i="1"/>
  <c r="AH582" i="1"/>
  <c r="AH583" i="1"/>
  <c r="AH584" i="1"/>
  <c r="AH585" i="1"/>
  <c r="AH586" i="1"/>
  <c r="AH587" i="1"/>
  <c r="AH588" i="1"/>
  <c r="AH589" i="1"/>
  <c r="AH590" i="1"/>
  <c r="AH591" i="1"/>
  <c r="AH592" i="1"/>
  <c r="AH593" i="1"/>
  <c r="AH594" i="1"/>
  <c r="AH595" i="1"/>
  <c r="AH596" i="1"/>
  <c r="AH597" i="1"/>
  <c r="AH598" i="1"/>
  <c r="AH599" i="1"/>
  <c r="AH600" i="1"/>
  <c r="AH601" i="1"/>
  <c r="AH602" i="1"/>
  <c r="AH603" i="1"/>
  <c r="AH604" i="1"/>
  <c r="AH605" i="1"/>
  <c r="AH606" i="1"/>
  <c r="AH607" i="1"/>
  <c r="AH608" i="1"/>
  <c r="AH609" i="1"/>
  <c r="AH610" i="1"/>
  <c r="AH611" i="1"/>
  <c r="AH612" i="1"/>
  <c r="AH613" i="1"/>
  <c r="AH614" i="1"/>
  <c r="AH615" i="1"/>
  <c r="AH616" i="1"/>
  <c r="AH617" i="1"/>
  <c r="AH618" i="1"/>
  <c r="AH619" i="1"/>
  <c r="AH620" i="1"/>
  <c r="AH621" i="1"/>
  <c r="AH622" i="1"/>
  <c r="AH623" i="1"/>
  <c r="AH624" i="1"/>
  <c r="AH625" i="1"/>
  <c r="AH626" i="1"/>
  <c r="AH627" i="1"/>
  <c r="AH628" i="1"/>
  <c r="AH629" i="1"/>
  <c r="AH630" i="1"/>
  <c r="AH631" i="1"/>
  <c r="AH632" i="1"/>
  <c r="AH633" i="1"/>
  <c r="AH634" i="1"/>
  <c r="AH635" i="1"/>
  <c r="AH636" i="1"/>
  <c r="AH637" i="1"/>
  <c r="AH638" i="1"/>
  <c r="AH639" i="1"/>
  <c r="AH640" i="1"/>
  <c r="AH641" i="1"/>
  <c r="AH642" i="1"/>
  <c r="AH643" i="1"/>
  <c r="AH644" i="1"/>
  <c r="AH645" i="1"/>
  <c r="AH646" i="1"/>
  <c r="AH647" i="1"/>
  <c r="AH648" i="1"/>
  <c r="AH649" i="1"/>
  <c r="AH650" i="1"/>
  <c r="AH651" i="1"/>
  <c r="AH652" i="1"/>
  <c r="AH653" i="1"/>
  <c r="AH654" i="1"/>
  <c r="AH655" i="1"/>
  <c r="AH656" i="1"/>
  <c r="AH657" i="1"/>
  <c r="AH658" i="1"/>
  <c r="AH659" i="1"/>
  <c r="AH660" i="1"/>
  <c r="AH661" i="1"/>
  <c r="AH662" i="1"/>
  <c r="AH663" i="1"/>
  <c r="AH664" i="1"/>
  <c r="AH665" i="1"/>
  <c r="AH666" i="1"/>
  <c r="AH667" i="1"/>
  <c r="AH668" i="1"/>
  <c r="AH669" i="1"/>
  <c r="AH670" i="1"/>
  <c r="AH671" i="1"/>
  <c r="AH672" i="1"/>
  <c r="AH673" i="1"/>
  <c r="AH674" i="1"/>
  <c r="AH675" i="1"/>
  <c r="AH676" i="1"/>
  <c r="AH677" i="1"/>
  <c r="AH678" i="1"/>
  <c r="AH679" i="1"/>
  <c r="AH680" i="1"/>
  <c r="AH681" i="1"/>
  <c r="AH682" i="1"/>
  <c r="AH683" i="1"/>
  <c r="AH684" i="1"/>
  <c r="AH685" i="1"/>
  <c r="AH686" i="1"/>
  <c r="AH687" i="1"/>
  <c r="AH688" i="1"/>
  <c r="AH689" i="1"/>
  <c r="AH690" i="1"/>
  <c r="AH691" i="1"/>
  <c r="AH692" i="1"/>
  <c r="AH693" i="1"/>
  <c r="AH694" i="1"/>
  <c r="AH695" i="1"/>
  <c r="AH696" i="1"/>
  <c r="AH697" i="1"/>
  <c r="AH698" i="1"/>
  <c r="AH699" i="1"/>
  <c r="AH700" i="1"/>
  <c r="AH701" i="1"/>
  <c r="AH702" i="1"/>
  <c r="AH703" i="1"/>
  <c r="AH704" i="1"/>
  <c r="AH705" i="1"/>
  <c r="AH706" i="1"/>
  <c r="AH707" i="1"/>
  <c r="AH708" i="1"/>
  <c r="AH709" i="1"/>
  <c r="AH710" i="1"/>
  <c r="AH711" i="1"/>
  <c r="AH712" i="1"/>
  <c r="AH713" i="1"/>
  <c r="AH714" i="1"/>
  <c r="AH715" i="1"/>
  <c r="AH716" i="1"/>
  <c r="AH717" i="1"/>
  <c r="AH718" i="1"/>
  <c r="AH719" i="1"/>
  <c r="AH720" i="1"/>
  <c r="AH721" i="1"/>
  <c r="AH722" i="1"/>
  <c r="AH723" i="1"/>
  <c r="AH724" i="1"/>
  <c r="AH725" i="1"/>
  <c r="AH726" i="1"/>
  <c r="AH727" i="1"/>
  <c r="AH728" i="1"/>
  <c r="AH729" i="1"/>
  <c r="AH730" i="1"/>
  <c r="AH731" i="1"/>
  <c r="AH732" i="1"/>
  <c r="AH733" i="1"/>
  <c r="AH734" i="1"/>
  <c r="AH735" i="1"/>
  <c r="AH736" i="1"/>
  <c r="AH737" i="1"/>
  <c r="AH738" i="1"/>
  <c r="AH739" i="1"/>
  <c r="AH740" i="1"/>
  <c r="AH741" i="1"/>
  <c r="AH742" i="1"/>
  <c r="AH743" i="1"/>
  <c r="AH744" i="1"/>
  <c r="AH745" i="1"/>
  <c r="AH746" i="1"/>
  <c r="AH747" i="1"/>
  <c r="AH748" i="1"/>
  <c r="AH749" i="1"/>
  <c r="AH750" i="1"/>
  <c r="AH751" i="1"/>
  <c r="AH752" i="1"/>
  <c r="AH753" i="1"/>
  <c r="AH754" i="1"/>
  <c r="AH755" i="1"/>
  <c r="AH756" i="1"/>
  <c r="AH757" i="1"/>
  <c r="AH758" i="1"/>
  <c r="AH759" i="1"/>
  <c r="AH760" i="1"/>
  <c r="AH761" i="1"/>
  <c r="AH762" i="1"/>
  <c r="AH763" i="1"/>
  <c r="AH764" i="1"/>
  <c r="AH765" i="1"/>
  <c r="AH766" i="1"/>
  <c r="AH767" i="1"/>
  <c r="AH768" i="1"/>
  <c r="AH769" i="1"/>
  <c r="AH770" i="1"/>
  <c r="AH771" i="1"/>
  <c r="AH772" i="1"/>
  <c r="AH773" i="1"/>
  <c r="AH774" i="1"/>
  <c r="AH775" i="1"/>
  <c r="AH776" i="1"/>
  <c r="AH777" i="1"/>
  <c r="AH778" i="1"/>
  <c r="AH779" i="1"/>
  <c r="AH780" i="1"/>
  <c r="AH781" i="1"/>
  <c r="AH782" i="1"/>
  <c r="AH783" i="1"/>
  <c r="AH784" i="1"/>
  <c r="AH785" i="1"/>
  <c r="AH786" i="1"/>
  <c r="AH787" i="1"/>
  <c r="AH788" i="1"/>
  <c r="AH789" i="1"/>
  <c r="AH790" i="1"/>
  <c r="AH791" i="1"/>
  <c r="AH792" i="1"/>
  <c r="AH793" i="1"/>
  <c r="AH794" i="1"/>
  <c r="AH795" i="1"/>
  <c r="AH796" i="1"/>
  <c r="AH797" i="1"/>
  <c r="AH798" i="1"/>
  <c r="AH799" i="1"/>
  <c r="AH800" i="1"/>
  <c r="AH801" i="1"/>
  <c r="AH802" i="1"/>
  <c r="AH803" i="1"/>
  <c r="AH804" i="1"/>
  <c r="AH805" i="1"/>
  <c r="AH806" i="1"/>
  <c r="AH807" i="1"/>
  <c r="AH808" i="1"/>
  <c r="AH809" i="1"/>
  <c r="AH810" i="1"/>
  <c r="AH811" i="1"/>
  <c r="AH812" i="1"/>
  <c r="AH813" i="1"/>
  <c r="AH814" i="1"/>
  <c r="AH815" i="1"/>
  <c r="AH816" i="1"/>
  <c r="AH817" i="1"/>
  <c r="AH818" i="1"/>
  <c r="AH819" i="1"/>
  <c r="AH820" i="1"/>
  <c r="AH821" i="1"/>
  <c r="AH822" i="1"/>
  <c r="AH823" i="1"/>
  <c r="AH824" i="1"/>
  <c r="AH825" i="1"/>
  <c r="AH826" i="1"/>
  <c r="AH827" i="1"/>
  <c r="AH828" i="1"/>
  <c r="AH829" i="1"/>
  <c r="AH830" i="1"/>
  <c r="AH831" i="1"/>
  <c r="AH832" i="1"/>
  <c r="AH833" i="1"/>
  <c r="AH834" i="1"/>
  <c r="AH835" i="1"/>
  <c r="AH836" i="1"/>
  <c r="AH837" i="1"/>
  <c r="AH838" i="1"/>
  <c r="AH839" i="1"/>
  <c r="AH840" i="1"/>
  <c r="AH841" i="1"/>
  <c r="AH842" i="1"/>
  <c r="AH843" i="1"/>
  <c r="AH844" i="1"/>
  <c r="AH845" i="1"/>
  <c r="AH846" i="1"/>
  <c r="AH847" i="1"/>
  <c r="AH848" i="1"/>
  <c r="AH849" i="1"/>
  <c r="AH850" i="1"/>
  <c r="AH851" i="1"/>
  <c r="AH852" i="1"/>
  <c r="AH853" i="1"/>
  <c r="AH854" i="1"/>
  <c r="AH855" i="1"/>
  <c r="AH856" i="1"/>
  <c r="AH857" i="1"/>
  <c r="AH858" i="1"/>
  <c r="AH859" i="1"/>
  <c r="AH860" i="1"/>
  <c r="AH861" i="1"/>
  <c r="AH862" i="1"/>
  <c r="AH863" i="1"/>
  <c r="AH864" i="1"/>
  <c r="AH865" i="1"/>
  <c r="AH866" i="1"/>
  <c r="AH867" i="1"/>
  <c r="AH868" i="1"/>
  <c r="AH869" i="1"/>
  <c r="AH870" i="1"/>
  <c r="AH871" i="1"/>
  <c r="AH872" i="1"/>
  <c r="AH873" i="1"/>
  <c r="AH874" i="1"/>
  <c r="AH875" i="1"/>
  <c r="AH876" i="1"/>
  <c r="AH877" i="1"/>
  <c r="AH878" i="1"/>
  <c r="AH879" i="1"/>
  <c r="AH880" i="1"/>
  <c r="AH881" i="1"/>
  <c r="AH882" i="1"/>
  <c r="AH883" i="1"/>
  <c r="AH884" i="1"/>
  <c r="AH885" i="1"/>
  <c r="AH886" i="1"/>
  <c r="AH887" i="1"/>
  <c r="AH888" i="1"/>
  <c r="AH889" i="1"/>
  <c r="AH890" i="1"/>
  <c r="AH891" i="1"/>
  <c r="AH892" i="1"/>
  <c r="AH893" i="1"/>
  <c r="AH894" i="1"/>
  <c r="AH895" i="1"/>
  <c r="AH896" i="1"/>
  <c r="AH897" i="1"/>
  <c r="AH898" i="1"/>
  <c r="AH899" i="1"/>
  <c r="AH900" i="1"/>
  <c r="AH901" i="1"/>
  <c r="AH902" i="1"/>
  <c r="AH903" i="1"/>
  <c r="AH904" i="1"/>
  <c r="AH905" i="1"/>
  <c r="AH906" i="1"/>
  <c r="AH907" i="1"/>
  <c r="AH908" i="1"/>
  <c r="AH909" i="1"/>
  <c r="AH910" i="1"/>
  <c r="AH911" i="1"/>
  <c r="AH912" i="1"/>
  <c r="AH913" i="1"/>
  <c r="AH914" i="1"/>
  <c r="AH915" i="1"/>
  <c r="AH916" i="1"/>
  <c r="AH917" i="1"/>
  <c r="AH918" i="1"/>
  <c r="AH919" i="1"/>
  <c r="AH920" i="1"/>
  <c r="AH921" i="1"/>
  <c r="AH922" i="1"/>
  <c r="AH923" i="1"/>
  <c r="AH924" i="1"/>
  <c r="AH925" i="1"/>
  <c r="AH926" i="1"/>
  <c r="AH927" i="1"/>
  <c r="AH928" i="1"/>
  <c r="AH929" i="1"/>
  <c r="AH930" i="1"/>
  <c r="AH931" i="1"/>
  <c r="AH932" i="1"/>
  <c r="AH933" i="1"/>
  <c r="AH934" i="1"/>
  <c r="AH935" i="1"/>
  <c r="AH936" i="1"/>
  <c r="AH937" i="1"/>
  <c r="AH938" i="1"/>
  <c r="AH939" i="1"/>
  <c r="AH940" i="1"/>
  <c r="AH941" i="1"/>
  <c r="AH942" i="1"/>
  <c r="AH943" i="1"/>
  <c r="AH944" i="1"/>
  <c r="AH945" i="1"/>
  <c r="AH946" i="1"/>
  <c r="AH947" i="1"/>
  <c r="AH948" i="1"/>
  <c r="AH949" i="1"/>
  <c r="AH950" i="1"/>
  <c r="AH951" i="1"/>
  <c r="AH952" i="1"/>
  <c r="AH953" i="1"/>
  <c r="AH954" i="1"/>
  <c r="AH955" i="1"/>
  <c r="AH956" i="1"/>
  <c r="AH957" i="1"/>
  <c r="AH958" i="1"/>
  <c r="AH959" i="1"/>
  <c r="AH960" i="1"/>
  <c r="AH961" i="1"/>
  <c r="AH962" i="1"/>
  <c r="AH963" i="1"/>
  <c r="AH964" i="1"/>
  <c r="AH965" i="1"/>
  <c r="AH966" i="1"/>
  <c r="AH967" i="1"/>
  <c r="AH968" i="1"/>
  <c r="AH969" i="1"/>
  <c r="AH970" i="1"/>
  <c r="AH971" i="1"/>
  <c r="AH972" i="1"/>
  <c r="AH973" i="1"/>
  <c r="AH974" i="1"/>
  <c r="AH975" i="1"/>
  <c r="AH976" i="1"/>
  <c r="AH977" i="1"/>
  <c r="AH978" i="1"/>
  <c r="AH979" i="1"/>
  <c r="AH980" i="1"/>
  <c r="AH981" i="1"/>
  <c r="AH982" i="1"/>
  <c r="AH983" i="1"/>
  <c r="AH984" i="1"/>
  <c r="AH985" i="1"/>
  <c r="AH986" i="1"/>
  <c r="AH987" i="1"/>
  <c r="AH988" i="1"/>
  <c r="AH989" i="1"/>
  <c r="AH990" i="1"/>
  <c r="AH991" i="1"/>
  <c r="AH992" i="1"/>
  <c r="AH993" i="1"/>
  <c r="AH994" i="1"/>
  <c r="AH995" i="1"/>
  <c r="AH996" i="1"/>
  <c r="AH997" i="1"/>
  <c r="AH998" i="1"/>
  <c r="AH999" i="1"/>
  <c r="AH1000" i="1"/>
  <c r="AH1001" i="1"/>
  <c r="AH1002" i="1"/>
  <c r="AH1003" i="1"/>
  <c r="AH1004" i="1"/>
  <c r="AH1005" i="1"/>
  <c r="AH1006" i="1"/>
  <c r="AH1007" i="1"/>
  <c r="AH1008" i="1"/>
  <c r="AH1009" i="1"/>
  <c r="AH1010" i="1"/>
  <c r="AH1011" i="1"/>
  <c r="AH1012" i="1"/>
  <c r="AH1013" i="1"/>
  <c r="AH1014" i="1"/>
  <c r="AH1015" i="1"/>
  <c r="AH1016" i="1"/>
  <c r="AH1017" i="1"/>
  <c r="AH1018" i="1"/>
  <c r="AH1019" i="1"/>
  <c r="AH1020" i="1"/>
  <c r="AH1021" i="1"/>
  <c r="AH1022" i="1"/>
  <c r="AH1023" i="1"/>
  <c r="AH1024" i="1"/>
  <c r="AH1025" i="1"/>
  <c r="AH1026" i="1"/>
  <c r="AH1027" i="1"/>
  <c r="AH1028" i="1"/>
  <c r="AH1029" i="1"/>
  <c r="AH1030" i="1"/>
  <c r="AH1031" i="1"/>
  <c r="AH1032" i="1"/>
  <c r="AH1033" i="1"/>
  <c r="AH1034" i="1"/>
  <c r="AH1035" i="1"/>
  <c r="AH1036" i="1"/>
  <c r="AH1037" i="1"/>
  <c r="AH1038" i="1"/>
  <c r="AH1039" i="1"/>
  <c r="AH1040" i="1"/>
  <c r="AH1041" i="1"/>
  <c r="AH1042" i="1"/>
  <c r="AH1043" i="1"/>
  <c r="AH1044" i="1"/>
  <c r="AH1045" i="1"/>
  <c r="AH1046" i="1"/>
  <c r="AH1047" i="1"/>
  <c r="AH1048" i="1"/>
  <c r="AH1049" i="1"/>
  <c r="AH1050" i="1"/>
  <c r="AH1051" i="1"/>
  <c r="AH1052" i="1"/>
  <c r="AH1053" i="1"/>
  <c r="AH1054" i="1"/>
  <c r="AH1055" i="1"/>
  <c r="AH1056" i="1"/>
  <c r="AH1057" i="1"/>
  <c r="AH1058" i="1"/>
  <c r="AH1059" i="1"/>
  <c r="AH1060" i="1"/>
  <c r="AH1061" i="1"/>
  <c r="AH1062" i="1"/>
  <c r="AH1063" i="1"/>
  <c r="AH1064" i="1"/>
  <c r="AH1065" i="1"/>
  <c r="AH1066" i="1"/>
  <c r="AH1067" i="1"/>
  <c r="AH1068" i="1"/>
  <c r="AH1069" i="1"/>
  <c r="AH1070" i="1"/>
  <c r="AH1071" i="1"/>
  <c r="AH1072" i="1"/>
  <c r="AH1073" i="1"/>
  <c r="AH1074" i="1"/>
  <c r="AH1075" i="1"/>
  <c r="AH1076" i="1"/>
  <c r="AH1077" i="1"/>
  <c r="AH1078" i="1"/>
  <c r="AH1079" i="1"/>
  <c r="AH1080" i="1"/>
  <c r="AH1081" i="1"/>
  <c r="AH1082" i="1"/>
  <c r="AH1083" i="1"/>
  <c r="AH1084" i="1"/>
  <c r="AH1085" i="1"/>
  <c r="AH1086" i="1"/>
  <c r="AH1087" i="1"/>
  <c r="AH1088" i="1"/>
  <c r="AH1089" i="1"/>
  <c r="AH1090" i="1"/>
  <c r="AH1091" i="1"/>
  <c r="AH1092" i="1"/>
  <c r="AH1093" i="1"/>
  <c r="AH1094" i="1"/>
  <c r="AH1095" i="1"/>
  <c r="AH1096" i="1"/>
  <c r="AH1097" i="1"/>
  <c r="AH1098" i="1"/>
  <c r="AH1099" i="1"/>
  <c r="AH1100" i="1"/>
  <c r="AH1101" i="1"/>
  <c r="AH1102" i="1"/>
  <c r="AH1103" i="1"/>
  <c r="AH1104" i="1"/>
  <c r="AH1105" i="1"/>
  <c r="AH1106" i="1"/>
  <c r="AH1107" i="1"/>
  <c r="AH1108" i="1"/>
  <c r="AH1109" i="1"/>
  <c r="AH1110" i="1"/>
  <c r="AH1111" i="1"/>
  <c r="AH1112" i="1"/>
  <c r="AH1113" i="1"/>
  <c r="AH1114" i="1"/>
  <c r="AH1115" i="1"/>
  <c r="AH1116" i="1"/>
  <c r="AH1117" i="1"/>
  <c r="AH1118" i="1"/>
  <c r="AH1119" i="1"/>
  <c r="AH1120" i="1"/>
  <c r="AH1121" i="1"/>
  <c r="AH1122" i="1"/>
  <c r="AH1123" i="1"/>
  <c r="AH1124" i="1"/>
  <c r="AH1125" i="1"/>
  <c r="AH1126" i="1"/>
  <c r="AH1127" i="1"/>
  <c r="AH1128" i="1"/>
  <c r="AH1129" i="1"/>
  <c r="AH1130" i="1"/>
  <c r="AH1131" i="1"/>
  <c r="AH1132" i="1"/>
  <c r="AH1133" i="1"/>
  <c r="AH1134" i="1"/>
  <c r="AH1135" i="1"/>
  <c r="AH1136" i="1"/>
  <c r="AH1137" i="1"/>
  <c r="AH1138" i="1"/>
  <c r="AH1139" i="1"/>
  <c r="AH1140" i="1"/>
  <c r="AH1141" i="1"/>
  <c r="AH1142" i="1"/>
  <c r="AH1143" i="1"/>
  <c r="AH1144" i="1"/>
  <c r="AH1145" i="1"/>
  <c r="AH1146" i="1"/>
  <c r="AH1147" i="1"/>
  <c r="AH1148" i="1"/>
  <c r="AH1149" i="1"/>
  <c r="AH1150" i="1"/>
  <c r="AH1151" i="1"/>
  <c r="AH1152" i="1"/>
  <c r="AH1153" i="1"/>
  <c r="AH1154" i="1"/>
  <c r="AH1155" i="1"/>
  <c r="AH1156" i="1"/>
  <c r="AH1157" i="1"/>
  <c r="AH1158" i="1"/>
  <c r="AH1159" i="1"/>
  <c r="AH1160" i="1"/>
  <c r="AH1161" i="1"/>
  <c r="AH1162" i="1"/>
  <c r="AH1163" i="1"/>
  <c r="AH1164" i="1"/>
  <c r="AH1165" i="1"/>
  <c r="AH1166" i="1"/>
  <c r="AH1167" i="1"/>
  <c r="AH1168" i="1"/>
  <c r="AH1169" i="1"/>
  <c r="AH1170" i="1"/>
  <c r="AH1171" i="1"/>
  <c r="AH1172" i="1"/>
  <c r="AH1173" i="1"/>
  <c r="AH1174" i="1"/>
  <c r="AH1175" i="1"/>
  <c r="AH1176" i="1"/>
  <c r="AH1177" i="1"/>
  <c r="AH1178" i="1"/>
  <c r="AH1179" i="1"/>
  <c r="AH1180" i="1"/>
  <c r="AH1181" i="1"/>
  <c r="AH1182" i="1"/>
  <c r="AH1183" i="1"/>
  <c r="AH1184" i="1"/>
  <c r="AH1185" i="1"/>
  <c r="AH1186" i="1"/>
  <c r="AH1187" i="1"/>
  <c r="AH1188" i="1"/>
  <c r="AH1189" i="1"/>
  <c r="AH1190" i="1"/>
  <c r="AH1191" i="1"/>
  <c r="AH1192" i="1"/>
  <c r="AH1193" i="1"/>
  <c r="AH1194" i="1"/>
  <c r="AH1195" i="1"/>
  <c r="AH1196" i="1"/>
  <c r="AH1197" i="1"/>
  <c r="AH1198" i="1"/>
  <c r="AH1199" i="1"/>
  <c r="AH1200" i="1"/>
  <c r="AH1201" i="1"/>
  <c r="AH1202" i="1"/>
  <c r="AH1203" i="1"/>
  <c r="AH1204" i="1"/>
  <c r="AH1205" i="1"/>
  <c r="AH1206" i="1"/>
  <c r="AH1207" i="1"/>
  <c r="AH1208" i="1"/>
  <c r="AH1209" i="1"/>
  <c r="AH1210" i="1"/>
  <c r="AH1211" i="1"/>
  <c r="AH1212" i="1"/>
  <c r="AH1213" i="1"/>
  <c r="AH1214" i="1"/>
  <c r="AH1215" i="1"/>
  <c r="AH1216" i="1"/>
  <c r="AH1217" i="1"/>
  <c r="AH1218" i="1"/>
  <c r="AH1219" i="1"/>
  <c r="AH1220" i="1"/>
  <c r="AH1221" i="1"/>
  <c r="AH1222" i="1"/>
  <c r="AH1223" i="1"/>
  <c r="AH1224" i="1"/>
  <c r="AH1225" i="1"/>
  <c r="AH1226" i="1"/>
  <c r="AH1227" i="1"/>
  <c r="AH1228" i="1"/>
  <c r="AH1229" i="1"/>
  <c r="AH1230" i="1"/>
  <c r="AH1231" i="1"/>
  <c r="AH1232" i="1"/>
  <c r="AH1233" i="1"/>
  <c r="AH1234" i="1"/>
  <c r="AH1235" i="1"/>
  <c r="AH1236" i="1"/>
  <c r="AH1237" i="1"/>
  <c r="AH1238" i="1"/>
  <c r="AH1239" i="1"/>
  <c r="AH1240" i="1"/>
  <c r="AH1241" i="1"/>
  <c r="AH1242" i="1"/>
  <c r="AH1243" i="1"/>
  <c r="AH1244" i="1"/>
  <c r="AH1245" i="1"/>
  <c r="AH1246" i="1"/>
  <c r="AH1247" i="1"/>
  <c r="AH1248" i="1"/>
  <c r="AH1249" i="1"/>
  <c r="AH1250" i="1"/>
  <c r="AH1251" i="1"/>
  <c r="AH1252" i="1"/>
  <c r="AH1253" i="1"/>
  <c r="AH1254" i="1"/>
  <c r="AH1255" i="1"/>
  <c r="AH1256" i="1"/>
  <c r="AH1257" i="1"/>
  <c r="AH1258" i="1"/>
  <c r="AH1259" i="1"/>
  <c r="AH1260" i="1"/>
  <c r="AH1261" i="1"/>
  <c r="AH1262" i="1"/>
  <c r="AH1263" i="1"/>
  <c r="AH1264" i="1"/>
  <c r="AH1265" i="1"/>
  <c r="AH1266" i="1"/>
  <c r="AH1267" i="1"/>
  <c r="AH1268" i="1"/>
  <c r="AH1269" i="1"/>
  <c r="AH1270" i="1"/>
  <c r="AH1271" i="1"/>
  <c r="AH1272" i="1"/>
  <c r="AH1273" i="1"/>
  <c r="AH1274" i="1"/>
  <c r="AH1275" i="1"/>
  <c r="AH1276" i="1"/>
  <c r="AH1277" i="1"/>
  <c r="AH1278" i="1"/>
  <c r="AH1279" i="1"/>
  <c r="AH1280" i="1"/>
  <c r="AH1281" i="1"/>
  <c r="AH1282" i="1"/>
  <c r="AH1283" i="1"/>
  <c r="AH1284" i="1"/>
  <c r="AH1285" i="1"/>
  <c r="AH1286" i="1"/>
  <c r="AH1287" i="1"/>
  <c r="AH1288" i="1"/>
  <c r="AH1289" i="1"/>
  <c r="AH1290" i="1"/>
  <c r="AH1291" i="1"/>
  <c r="AH1292" i="1"/>
  <c r="AH1293" i="1"/>
  <c r="AH1294" i="1"/>
  <c r="AH1295" i="1"/>
  <c r="AH1296" i="1"/>
  <c r="AH1297" i="1"/>
  <c r="AH1298" i="1"/>
  <c r="AH1299" i="1"/>
  <c r="AH1300" i="1"/>
  <c r="AH1301" i="1"/>
  <c r="AH1302" i="1"/>
  <c r="AH1303" i="1"/>
  <c r="AH1304" i="1"/>
  <c r="AH1305" i="1"/>
  <c r="AH1306" i="1"/>
  <c r="AH1307" i="1"/>
  <c r="AH1308" i="1"/>
  <c r="AH1309" i="1"/>
  <c r="AH1310" i="1"/>
  <c r="AH1311" i="1"/>
  <c r="AH1312" i="1"/>
  <c r="AH1313" i="1"/>
  <c r="AH1314" i="1"/>
  <c r="AH1315" i="1"/>
  <c r="AH1316" i="1"/>
  <c r="AH1317" i="1"/>
  <c r="AH1318" i="1"/>
  <c r="AH1319" i="1"/>
  <c r="AH1320" i="1"/>
  <c r="AH1321" i="1"/>
  <c r="AH1322" i="1"/>
  <c r="AH1323" i="1"/>
  <c r="AH1324" i="1"/>
  <c r="AH1325" i="1"/>
  <c r="AH1326" i="1"/>
  <c r="AH1327" i="1"/>
  <c r="AH1328" i="1"/>
  <c r="AH1329" i="1"/>
  <c r="AH1330" i="1"/>
  <c r="AH1331" i="1"/>
  <c r="AH1332" i="1"/>
  <c r="AH1333" i="1"/>
  <c r="AH1334" i="1"/>
  <c r="AH1335" i="1"/>
  <c r="AH1336" i="1"/>
  <c r="AH1337" i="1"/>
  <c r="AH1338" i="1"/>
  <c r="AH1339" i="1"/>
  <c r="AH1340" i="1"/>
  <c r="AH1341" i="1"/>
  <c r="AH1342" i="1"/>
  <c r="AH1343" i="1"/>
  <c r="AH1344" i="1"/>
  <c r="AH1345" i="1"/>
  <c r="AH1346" i="1"/>
  <c r="AH1347" i="1"/>
  <c r="AH1348" i="1"/>
  <c r="AH1349" i="1"/>
  <c r="AH1350" i="1"/>
  <c r="AH1351" i="1"/>
  <c r="AH1352" i="1"/>
  <c r="AH1353" i="1"/>
  <c r="AH1354" i="1"/>
  <c r="AH1355" i="1"/>
  <c r="AH1356" i="1"/>
  <c r="AH1357" i="1"/>
  <c r="AH1358" i="1"/>
  <c r="AH1359" i="1"/>
  <c r="AH1360" i="1"/>
  <c r="AH1361" i="1"/>
  <c r="AH1362" i="1"/>
  <c r="AH1363" i="1"/>
  <c r="AH1364" i="1"/>
  <c r="AH1365" i="1"/>
  <c r="AH1366" i="1"/>
  <c r="AH1367" i="1"/>
  <c r="AH1368" i="1"/>
  <c r="AH1369" i="1"/>
  <c r="AH1370" i="1"/>
  <c r="AH1371" i="1"/>
  <c r="AH1372" i="1"/>
  <c r="AH1373" i="1"/>
  <c r="AH1374" i="1"/>
  <c r="AH1375" i="1"/>
  <c r="AH1376" i="1"/>
  <c r="AH1377" i="1"/>
  <c r="AH1378" i="1"/>
  <c r="AH1379" i="1"/>
  <c r="AH1380" i="1"/>
  <c r="AH1381" i="1"/>
  <c r="AH1382" i="1"/>
  <c r="AH1383" i="1"/>
  <c r="AH1384" i="1"/>
  <c r="AH1385" i="1"/>
  <c r="AH1386" i="1"/>
  <c r="AH1387" i="1"/>
  <c r="AH1388" i="1"/>
  <c r="AH1389" i="1"/>
  <c r="AH1390" i="1"/>
  <c r="AH1391" i="1"/>
  <c r="AH1392" i="1"/>
  <c r="AH1393" i="1"/>
  <c r="AH1394" i="1"/>
  <c r="AH1395" i="1"/>
  <c r="AH1396" i="1"/>
  <c r="AH1397" i="1"/>
  <c r="AH1398" i="1"/>
  <c r="AH1399" i="1"/>
  <c r="AH1400" i="1"/>
  <c r="AH1401" i="1"/>
  <c r="AH1402" i="1"/>
  <c r="AH1403" i="1"/>
  <c r="AH1404" i="1"/>
  <c r="AH1405" i="1"/>
  <c r="AH1406" i="1"/>
  <c r="AH1407" i="1"/>
  <c r="AH1408" i="1"/>
  <c r="AH1409" i="1"/>
  <c r="AH1410" i="1"/>
  <c r="AH1411" i="1"/>
  <c r="AH1412" i="1"/>
  <c r="AH1413" i="1"/>
  <c r="AH1414" i="1"/>
  <c r="AH1415" i="1"/>
  <c r="AH1416" i="1"/>
  <c r="AH1417" i="1"/>
  <c r="AH1418" i="1"/>
  <c r="AH1419" i="1"/>
  <c r="AH1420" i="1"/>
  <c r="AH1421" i="1"/>
  <c r="AH1422" i="1"/>
  <c r="AH1423" i="1"/>
  <c r="AH1424" i="1"/>
  <c r="AH1425" i="1"/>
  <c r="AH1426" i="1"/>
  <c r="AH1427" i="1"/>
  <c r="AH1428" i="1"/>
  <c r="AH1429" i="1"/>
  <c r="AH1430" i="1"/>
  <c r="AH1431" i="1"/>
  <c r="AH1432" i="1"/>
  <c r="AH1433" i="1"/>
  <c r="AH1434" i="1"/>
  <c r="AH1435" i="1"/>
  <c r="AH1436" i="1"/>
  <c r="AH1437" i="1"/>
  <c r="AH1438" i="1"/>
  <c r="AH1439" i="1"/>
  <c r="AH1440" i="1"/>
  <c r="AH1441" i="1"/>
  <c r="AH1442" i="1"/>
  <c r="AH1443" i="1"/>
  <c r="AH1444" i="1"/>
  <c r="AH1445" i="1"/>
  <c r="AH1446" i="1"/>
  <c r="AH1447" i="1"/>
  <c r="AH1448" i="1"/>
  <c r="AH1449" i="1"/>
  <c r="AH1450" i="1"/>
  <c r="AH1451" i="1"/>
  <c r="AH1452" i="1"/>
  <c r="AH1453" i="1"/>
  <c r="AH1454" i="1"/>
  <c r="AH1455" i="1"/>
  <c r="AH1456" i="1"/>
  <c r="AH1457" i="1"/>
  <c r="AH1458" i="1"/>
  <c r="AH1459" i="1"/>
  <c r="AH1460" i="1"/>
  <c r="AH1461" i="1"/>
  <c r="AH1462" i="1"/>
  <c r="AH1463" i="1"/>
  <c r="AH1464" i="1"/>
  <c r="AH1465" i="1"/>
  <c r="AH1466" i="1"/>
  <c r="AH1467" i="1"/>
  <c r="AH1468" i="1"/>
  <c r="AH1469" i="1"/>
  <c r="AH1470" i="1"/>
  <c r="AH1471" i="1"/>
  <c r="AG2" i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AG252" i="1"/>
  <c r="AG253" i="1"/>
  <c r="AG254" i="1"/>
  <c r="AG255" i="1"/>
  <c r="AG256" i="1"/>
  <c r="AG257" i="1"/>
  <c r="AG258" i="1"/>
  <c r="AG259" i="1"/>
  <c r="AG260" i="1"/>
  <c r="AG261" i="1"/>
  <c r="AG262" i="1"/>
  <c r="AG263" i="1"/>
  <c r="AG264" i="1"/>
  <c r="AG265" i="1"/>
  <c r="AG266" i="1"/>
  <c r="AG267" i="1"/>
  <c r="AG268" i="1"/>
  <c r="AG269" i="1"/>
  <c r="AG270" i="1"/>
  <c r="AG271" i="1"/>
  <c r="AG272" i="1"/>
  <c r="AG273" i="1"/>
  <c r="AG274" i="1"/>
  <c r="AG275" i="1"/>
  <c r="AG276" i="1"/>
  <c r="AG277" i="1"/>
  <c r="AG278" i="1"/>
  <c r="AG279" i="1"/>
  <c r="AG280" i="1"/>
  <c r="AG281" i="1"/>
  <c r="AG282" i="1"/>
  <c r="AG283" i="1"/>
  <c r="AG284" i="1"/>
  <c r="AG285" i="1"/>
  <c r="AG286" i="1"/>
  <c r="AG287" i="1"/>
  <c r="AG288" i="1"/>
  <c r="AG289" i="1"/>
  <c r="AG290" i="1"/>
  <c r="AG291" i="1"/>
  <c r="AG292" i="1"/>
  <c r="AG293" i="1"/>
  <c r="AG294" i="1"/>
  <c r="AG295" i="1"/>
  <c r="AG296" i="1"/>
  <c r="AG297" i="1"/>
  <c r="AG298" i="1"/>
  <c r="AG299" i="1"/>
  <c r="AG300" i="1"/>
  <c r="AG301" i="1"/>
  <c r="AG302" i="1"/>
  <c r="AG303" i="1"/>
  <c r="AG304" i="1"/>
  <c r="AG305" i="1"/>
  <c r="AG306" i="1"/>
  <c r="AG307" i="1"/>
  <c r="AG308" i="1"/>
  <c r="AG309" i="1"/>
  <c r="AG310" i="1"/>
  <c r="AG311" i="1"/>
  <c r="AG312" i="1"/>
  <c r="AG313" i="1"/>
  <c r="AG314" i="1"/>
  <c r="AG315" i="1"/>
  <c r="AG316" i="1"/>
  <c r="AG317" i="1"/>
  <c r="AG318" i="1"/>
  <c r="AG319" i="1"/>
  <c r="AG320" i="1"/>
  <c r="AG321" i="1"/>
  <c r="AG322" i="1"/>
  <c r="AG323" i="1"/>
  <c r="AG324" i="1"/>
  <c r="AG325" i="1"/>
  <c r="AG326" i="1"/>
  <c r="AG327" i="1"/>
  <c r="AG328" i="1"/>
  <c r="AG329" i="1"/>
  <c r="AG330" i="1"/>
  <c r="AG331" i="1"/>
  <c r="AG332" i="1"/>
  <c r="AG333" i="1"/>
  <c r="AG334" i="1"/>
  <c r="AG335" i="1"/>
  <c r="AG336" i="1"/>
  <c r="AG337" i="1"/>
  <c r="AG338" i="1"/>
  <c r="AG339" i="1"/>
  <c r="AG340" i="1"/>
  <c r="AG341" i="1"/>
  <c r="AG342" i="1"/>
  <c r="AG343" i="1"/>
  <c r="AG344" i="1"/>
  <c r="AG345" i="1"/>
  <c r="AG346" i="1"/>
  <c r="AG347" i="1"/>
  <c r="AG348" i="1"/>
  <c r="AG349" i="1"/>
  <c r="AG350" i="1"/>
  <c r="AG351" i="1"/>
  <c r="AG352" i="1"/>
  <c r="AG353" i="1"/>
  <c r="AG354" i="1"/>
  <c r="AG355" i="1"/>
  <c r="AG356" i="1"/>
  <c r="AG357" i="1"/>
  <c r="AG358" i="1"/>
  <c r="AG359" i="1"/>
  <c r="AG360" i="1"/>
  <c r="AG361" i="1"/>
  <c r="AG362" i="1"/>
  <c r="AG363" i="1"/>
  <c r="AG364" i="1"/>
  <c r="AG365" i="1"/>
  <c r="AG366" i="1"/>
  <c r="AG367" i="1"/>
  <c r="AG368" i="1"/>
  <c r="AG369" i="1"/>
  <c r="AG370" i="1"/>
  <c r="AG371" i="1"/>
  <c r="AG372" i="1"/>
  <c r="AG373" i="1"/>
  <c r="AG374" i="1"/>
  <c r="AG375" i="1"/>
  <c r="AG376" i="1"/>
  <c r="AG377" i="1"/>
  <c r="AG378" i="1"/>
  <c r="AG379" i="1"/>
  <c r="AG380" i="1"/>
  <c r="AG381" i="1"/>
  <c r="AG382" i="1"/>
  <c r="AG383" i="1"/>
  <c r="AG384" i="1"/>
  <c r="AG385" i="1"/>
  <c r="AG386" i="1"/>
  <c r="AG387" i="1"/>
  <c r="AG388" i="1"/>
  <c r="AG389" i="1"/>
  <c r="AG390" i="1"/>
  <c r="AG391" i="1"/>
  <c r="AG392" i="1"/>
  <c r="AG393" i="1"/>
  <c r="AG394" i="1"/>
  <c r="AG395" i="1"/>
  <c r="AG396" i="1"/>
  <c r="AG397" i="1"/>
  <c r="AG398" i="1"/>
  <c r="AG399" i="1"/>
  <c r="AG400" i="1"/>
  <c r="AG401" i="1"/>
  <c r="AG402" i="1"/>
  <c r="AG403" i="1"/>
  <c r="AG404" i="1"/>
  <c r="AG405" i="1"/>
  <c r="AG406" i="1"/>
  <c r="AG407" i="1"/>
  <c r="AG408" i="1"/>
  <c r="AG409" i="1"/>
  <c r="AG410" i="1"/>
  <c r="AG411" i="1"/>
  <c r="AG412" i="1"/>
  <c r="AG413" i="1"/>
  <c r="AG414" i="1"/>
  <c r="AG415" i="1"/>
  <c r="AG416" i="1"/>
  <c r="AG417" i="1"/>
  <c r="AG418" i="1"/>
  <c r="AG419" i="1"/>
  <c r="AG420" i="1"/>
  <c r="AG421" i="1"/>
  <c r="AG422" i="1"/>
  <c r="AG423" i="1"/>
  <c r="AG424" i="1"/>
  <c r="AG425" i="1"/>
  <c r="AG426" i="1"/>
  <c r="AG427" i="1"/>
  <c r="AG428" i="1"/>
  <c r="AG429" i="1"/>
  <c r="AG430" i="1"/>
  <c r="AG431" i="1"/>
  <c r="AG432" i="1"/>
  <c r="AG433" i="1"/>
  <c r="AG434" i="1"/>
  <c r="AG435" i="1"/>
  <c r="AG436" i="1"/>
  <c r="AG437" i="1"/>
  <c r="AG438" i="1"/>
  <c r="AG439" i="1"/>
  <c r="AG440" i="1"/>
  <c r="AG441" i="1"/>
  <c r="AG442" i="1"/>
  <c r="AG443" i="1"/>
  <c r="AG444" i="1"/>
  <c r="AG445" i="1"/>
  <c r="AG446" i="1"/>
  <c r="AG447" i="1"/>
  <c r="AG448" i="1"/>
  <c r="AG449" i="1"/>
  <c r="AG450" i="1"/>
  <c r="AG451" i="1"/>
  <c r="AG452" i="1"/>
  <c r="AG453" i="1"/>
  <c r="AG454" i="1"/>
  <c r="AG455" i="1"/>
  <c r="AG456" i="1"/>
  <c r="AG457" i="1"/>
  <c r="AG458" i="1"/>
  <c r="AG459" i="1"/>
  <c r="AG460" i="1"/>
  <c r="AG461" i="1"/>
  <c r="AG462" i="1"/>
  <c r="AG463" i="1"/>
  <c r="AG464" i="1"/>
  <c r="AG465" i="1"/>
  <c r="AG466" i="1"/>
  <c r="AG467" i="1"/>
  <c r="AG468" i="1"/>
  <c r="AG469" i="1"/>
  <c r="AG470" i="1"/>
  <c r="AG471" i="1"/>
  <c r="AG472" i="1"/>
  <c r="AG473" i="1"/>
  <c r="AG474" i="1"/>
  <c r="AG475" i="1"/>
  <c r="AG476" i="1"/>
  <c r="AG477" i="1"/>
  <c r="AG478" i="1"/>
  <c r="AG479" i="1"/>
  <c r="AG480" i="1"/>
  <c r="AG481" i="1"/>
  <c r="AG482" i="1"/>
  <c r="AG483" i="1"/>
  <c r="AG484" i="1"/>
  <c r="AG485" i="1"/>
  <c r="AG486" i="1"/>
  <c r="AG487" i="1"/>
  <c r="AG488" i="1"/>
  <c r="AG489" i="1"/>
  <c r="AG490" i="1"/>
  <c r="AG491" i="1"/>
  <c r="AG492" i="1"/>
  <c r="AG493" i="1"/>
  <c r="AG494" i="1"/>
  <c r="AG495" i="1"/>
  <c r="AG496" i="1"/>
  <c r="AG497" i="1"/>
  <c r="AG498" i="1"/>
  <c r="AG499" i="1"/>
  <c r="AG500" i="1"/>
  <c r="AG501" i="1"/>
  <c r="AG502" i="1"/>
  <c r="AG503" i="1"/>
  <c r="AG504" i="1"/>
  <c r="AG505" i="1"/>
  <c r="AG506" i="1"/>
  <c r="AG507" i="1"/>
  <c r="AG508" i="1"/>
  <c r="AG509" i="1"/>
  <c r="AG510" i="1"/>
  <c r="AG511" i="1"/>
  <c r="AG512" i="1"/>
  <c r="AG513" i="1"/>
  <c r="AG514" i="1"/>
  <c r="AG515" i="1"/>
  <c r="AG516" i="1"/>
  <c r="AG517" i="1"/>
  <c r="AG518" i="1"/>
  <c r="AG519" i="1"/>
  <c r="AG520" i="1"/>
  <c r="AG521" i="1"/>
  <c r="AG522" i="1"/>
  <c r="AG523" i="1"/>
  <c r="AG524" i="1"/>
  <c r="AG525" i="1"/>
  <c r="AG526" i="1"/>
  <c r="AG527" i="1"/>
  <c r="AG528" i="1"/>
  <c r="AG529" i="1"/>
  <c r="AG530" i="1"/>
  <c r="AG531" i="1"/>
  <c r="AG532" i="1"/>
  <c r="AG533" i="1"/>
  <c r="AG534" i="1"/>
  <c r="AG535" i="1"/>
  <c r="AG536" i="1"/>
  <c r="AG537" i="1"/>
  <c r="AG538" i="1"/>
  <c r="AG539" i="1"/>
  <c r="AG540" i="1"/>
  <c r="AG541" i="1"/>
  <c r="AG542" i="1"/>
  <c r="AG543" i="1"/>
  <c r="AG544" i="1"/>
  <c r="AG545" i="1"/>
  <c r="AG546" i="1"/>
  <c r="AG547" i="1"/>
  <c r="AG548" i="1"/>
  <c r="AG549" i="1"/>
  <c r="AG550" i="1"/>
  <c r="AG551" i="1"/>
  <c r="AG552" i="1"/>
  <c r="AG553" i="1"/>
  <c r="AG554" i="1"/>
  <c r="AG555" i="1"/>
  <c r="AG556" i="1"/>
  <c r="AG557" i="1"/>
  <c r="AG558" i="1"/>
  <c r="AG559" i="1"/>
  <c r="AG560" i="1"/>
  <c r="AG561" i="1"/>
  <c r="AG562" i="1"/>
  <c r="AG563" i="1"/>
  <c r="AG564" i="1"/>
  <c r="AG565" i="1"/>
  <c r="AG566" i="1"/>
  <c r="AG567" i="1"/>
  <c r="AG568" i="1"/>
  <c r="AG569" i="1"/>
  <c r="AG570" i="1"/>
  <c r="AG571" i="1"/>
  <c r="AG572" i="1"/>
  <c r="AG573" i="1"/>
  <c r="AG574" i="1"/>
  <c r="AG575" i="1"/>
  <c r="AG576" i="1"/>
  <c r="AG577" i="1"/>
  <c r="AG578" i="1"/>
  <c r="AG579" i="1"/>
  <c r="AG580" i="1"/>
  <c r="AG581" i="1"/>
  <c r="AG582" i="1"/>
  <c r="AG583" i="1"/>
  <c r="AG584" i="1"/>
  <c r="AG585" i="1"/>
  <c r="AG586" i="1"/>
  <c r="AG587" i="1"/>
  <c r="AG588" i="1"/>
  <c r="AG589" i="1"/>
  <c r="AG590" i="1"/>
  <c r="AG591" i="1"/>
  <c r="AG592" i="1"/>
  <c r="AG593" i="1"/>
  <c r="AG594" i="1"/>
  <c r="AG595" i="1"/>
  <c r="AG596" i="1"/>
  <c r="AG597" i="1"/>
  <c r="AG598" i="1"/>
  <c r="AG599" i="1"/>
  <c r="AG600" i="1"/>
  <c r="AG601" i="1"/>
  <c r="AG602" i="1"/>
  <c r="AG603" i="1"/>
  <c r="AG604" i="1"/>
  <c r="AG605" i="1"/>
  <c r="AG606" i="1"/>
  <c r="AG607" i="1"/>
  <c r="AG608" i="1"/>
  <c r="AG609" i="1"/>
  <c r="AG610" i="1"/>
  <c r="AG611" i="1"/>
  <c r="AG612" i="1"/>
  <c r="AG613" i="1"/>
  <c r="AG614" i="1"/>
  <c r="AG615" i="1"/>
  <c r="AG616" i="1"/>
  <c r="AG617" i="1"/>
  <c r="AG618" i="1"/>
  <c r="AG619" i="1"/>
  <c r="AG620" i="1"/>
  <c r="AG621" i="1"/>
  <c r="AG622" i="1"/>
  <c r="AG623" i="1"/>
  <c r="AG624" i="1"/>
  <c r="AG625" i="1"/>
  <c r="AG626" i="1"/>
  <c r="AG627" i="1"/>
  <c r="AG628" i="1"/>
  <c r="AG629" i="1"/>
  <c r="AG630" i="1"/>
  <c r="AG631" i="1"/>
  <c r="AG632" i="1"/>
  <c r="AG633" i="1"/>
  <c r="AG634" i="1"/>
  <c r="AG635" i="1"/>
  <c r="AG636" i="1"/>
  <c r="AG637" i="1"/>
  <c r="AG638" i="1"/>
  <c r="AG639" i="1"/>
  <c r="AG640" i="1"/>
  <c r="AG641" i="1"/>
  <c r="AG642" i="1"/>
  <c r="AG643" i="1"/>
  <c r="AG644" i="1"/>
  <c r="AG645" i="1"/>
  <c r="AG646" i="1"/>
  <c r="AG647" i="1"/>
  <c r="AG648" i="1"/>
  <c r="AG649" i="1"/>
  <c r="AG650" i="1"/>
  <c r="AG651" i="1"/>
  <c r="AG652" i="1"/>
  <c r="AG653" i="1"/>
  <c r="AG654" i="1"/>
  <c r="AG655" i="1"/>
  <c r="AG656" i="1"/>
  <c r="AG657" i="1"/>
  <c r="AG658" i="1"/>
  <c r="AG659" i="1"/>
  <c r="AG660" i="1"/>
  <c r="AG661" i="1"/>
  <c r="AG662" i="1"/>
  <c r="AG663" i="1"/>
  <c r="AG664" i="1"/>
  <c r="AG665" i="1"/>
  <c r="AG666" i="1"/>
  <c r="AG667" i="1"/>
  <c r="AG668" i="1"/>
  <c r="AG669" i="1"/>
  <c r="AG670" i="1"/>
  <c r="AG671" i="1"/>
  <c r="AG672" i="1"/>
  <c r="AG673" i="1"/>
  <c r="AG674" i="1"/>
  <c r="AG675" i="1"/>
  <c r="AG676" i="1"/>
  <c r="AG677" i="1"/>
  <c r="AG678" i="1"/>
  <c r="AG679" i="1"/>
  <c r="AG680" i="1"/>
  <c r="AG681" i="1"/>
  <c r="AG682" i="1"/>
  <c r="AG683" i="1"/>
  <c r="AG684" i="1"/>
  <c r="AG685" i="1"/>
  <c r="AG686" i="1"/>
  <c r="AG687" i="1"/>
  <c r="AG688" i="1"/>
  <c r="AG689" i="1"/>
  <c r="AG690" i="1"/>
  <c r="AG691" i="1"/>
  <c r="AG692" i="1"/>
  <c r="AG693" i="1"/>
  <c r="AG694" i="1"/>
  <c r="AG695" i="1"/>
  <c r="AG696" i="1"/>
  <c r="AG697" i="1"/>
  <c r="AG698" i="1"/>
  <c r="AG699" i="1"/>
  <c r="AG700" i="1"/>
  <c r="AG701" i="1"/>
  <c r="AG702" i="1"/>
  <c r="AG703" i="1"/>
  <c r="AG704" i="1"/>
  <c r="AG705" i="1"/>
  <c r="AG706" i="1"/>
  <c r="AG707" i="1"/>
  <c r="AG708" i="1"/>
  <c r="AG709" i="1"/>
  <c r="AG710" i="1"/>
  <c r="AG711" i="1"/>
  <c r="AG712" i="1"/>
  <c r="AG713" i="1"/>
  <c r="AG714" i="1"/>
  <c r="AG715" i="1"/>
  <c r="AG716" i="1"/>
  <c r="AG717" i="1"/>
  <c r="AG718" i="1"/>
  <c r="AG719" i="1"/>
  <c r="AG720" i="1"/>
  <c r="AG721" i="1"/>
  <c r="AG722" i="1"/>
  <c r="AG723" i="1"/>
  <c r="AG724" i="1"/>
  <c r="AG725" i="1"/>
  <c r="AG726" i="1"/>
  <c r="AG727" i="1"/>
  <c r="AG728" i="1"/>
  <c r="AG729" i="1"/>
  <c r="AG730" i="1"/>
  <c r="AG731" i="1"/>
  <c r="AG732" i="1"/>
  <c r="AG733" i="1"/>
  <c r="AG734" i="1"/>
  <c r="AG735" i="1"/>
  <c r="AG736" i="1"/>
  <c r="AG737" i="1"/>
  <c r="AG738" i="1"/>
  <c r="AG739" i="1"/>
  <c r="AG740" i="1"/>
  <c r="AG741" i="1"/>
  <c r="AG742" i="1"/>
  <c r="AG743" i="1"/>
  <c r="AG744" i="1"/>
  <c r="AG745" i="1"/>
  <c r="AG746" i="1"/>
  <c r="AG747" i="1"/>
  <c r="AG748" i="1"/>
  <c r="AG749" i="1"/>
  <c r="AG750" i="1"/>
  <c r="AG751" i="1"/>
  <c r="AG752" i="1"/>
  <c r="AG753" i="1"/>
  <c r="AG754" i="1"/>
  <c r="AG755" i="1"/>
  <c r="AG756" i="1"/>
  <c r="AG757" i="1"/>
  <c r="AG758" i="1"/>
  <c r="AG759" i="1"/>
  <c r="AG760" i="1"/>
  <c r="AG761" i="1"/>
  <c r="AG762" i="1"/>
  <c r="AG763" i="1"/>
  <c r="AG764" i="1"/>
  <c r="AG765" i="1"/>
  <c r="AG766" i="1"/>
  <c r="AG767" i="1"/>
  <c r="AG768" i="1"/>
  <c r="AG769" i="1"/>
  <c r="AG770" i="1"/>
  <c r="AG771" i="1"/>
  <c r="AG772" i="1"/>
  <c r="AG773" i="1"/>
  <c r="AG774" i="1"/>
  <c r="AG775" i="1"/>
  <c r="AG776" i="1"/>
  <c r="AG777" i="1"/>
  <c r="AG778" i="1"/>
  <c r="AG779" i="1"/>
  <c r="AG780" i="1"/>
  <c r="AG781" i="1"/>
  <c r="AG782" i="1"/>
  <c r="AG783" i="1"/>
  <c r="AG784" i="1"/>
  <c r="AG785" i="1"/>
  <c r="AG786" i="1"/>
  <c r="AG787" i="1"/>
  <c r="AG788" i="1"/>
  <c r="AG789" i="1"/>
  <c r="AG790" i="1"/>
  <c r="AG791" i="1"/>
  <c r="AG792" i="1"/>
  <c r="AG793" i="1"/>
  <c r="AG794" i="1"/>
  <c r="AG795" i="1"/>
  <c r="AG796" i="1"/>
  <c r="AG797" i="1"/>
  <c r="AG798" i="1"/>
  <c r="AG799" i="1"/>
  <c r="AG800" i="1"/>
  <c r="AG801" i="1"/>
  <c r="AG802" i="1"/>
  <c r="AG803" i="1"/>
  <c r="AG804" i="1"/>
  <c r="AG805" i="1"/>
  <c r="AG806" i="1"/>
  <c r="AG807" i="1"/>
  <c r="AG808" i="1"/>
  <c r="AG809" i="1"/>
  <c r="AG810" i="1"/>
  <c r="AG811" i="1"/>
  <c r="AG812" i="1"/>
  <c r="AG813" i="1"/>
  <c r="AG814" i="1"/>
  <c r="AG815" i="1"/>
  <c r="AG816" i="1"/>
  <c r="AG817" i="1"/>
  <c r="AG818" i="1"/>
  <c r="AG819" i="1"/>
  <c r="AG820" i="1"/>
  <c r="AG821" i="1"/>
  <c r="AG822" i="1"/>
  <c r="AG823" i="1"/>
  <c r="AG824" i="1"/>
  <c r="AG825" i="1"/>
  <c r="AG826" i="1"/>
  <c r="AG827" i="1"/>
  <c r="AG828" i="1"/>
  <c r="AG829" i="1"/>
  <c r="AG830" i="1"/>
  <c r="AG831" i="1"/>
  <c r="AG832" i="1"/>
  <c r="AG833" i="1"/>
  <c r="AG834" i="1"/>
  <c r="AG835" i="1"/>
  <c r="AG836" i="1"/>
  <c r="AG837" i="1"/>
  <c r="AG838" i="1"/>
  <c r="AG839" i="1"/>
  <c r="AG840" i="1"/>
  <c r="AG841" i="1"/>
  <c r="AG842" i="1"/>
  <c r="AG843" i="1"/>
  <c r="AG844" i="1"/>
  <c r="AG845" i="1"/>
  <c r="AG846" i="1"/>
  <c r="AG847" i="1"/>
  <c r="AG848" i="1"/>
  <c r="AG849" i="1"/>
  <c r="AG850" i="1"/>
  <c r="AG851" i="1"/>
  <c r="AG852" i="1"/>
  <c r="AG853" i="1"/>
  <c r="AG854" i="1"/>
  <c r="AG855" i="1"/>
  <c r="AG856" i="1"/>
  <c r="AG857" i="1"/>
  <c r="AG858" i="1"/>
  <c r="AG859" i="1"/>
  <c r="AG860" i="1"/>
  <c r="AG861" i="1"/>
  <c r="AG862" i="1"/>
  <c r="AG863" i="1"/>
  <c r="AG864" i="1"/>
  <c r="AG865" i="1"/>
  <c r="AG866" i="1"/>
  <c r="AG867" i="1"/>
  <c r="AG868" i="1"/>
  <c r="AG869" i="1"/>
  <c r="AG870" i="1"/>
  <c r="AG871" i="1"/>
  <c r="AG872" i="1"/>
  <c r="AG873" i="1"/>
  <c r="AG874" i="1"/>
  <c r="AG875" i="1"/>
  <c r="AG876" i="1"/>
  <c r="AG877" i="1"/>
  <c r="AG878" i="1"/>
  <c r="AG879" i="1"/>
  <c r="AG880" i="1"/>
  <c r="AG881" i="1"/>
  <c r="AG882" i="1"/>
  <c r="AG883" i="1"/>
  <c r="AG884" i="1"/>
  <c r="AG885" i="1"/>
  <c r="AG886" i="1"/>
  <c r="AG887" i="1"/>
  <c r="AG888" i="1"/>
  <c r="AG889" i="1"/>
  <c r="AG890" i="1"/>
  <c r="AG891" i="1"/>
  <c r="AG892" i="1"/>
  <c r="AG893" i="1"/>
  <c r="AG894" i="1"/>
  <c r="AG895" i="1"/>
  <c r="AG896" i="1"/>
  <c r="AG897" i="1"/>
  <c r="AG898" i="1"/>
  <c r="AG899" i="1"/>
  <c r="AG900" i="1"/>
  <c r="AG901" i="1"/>
  <c r="AG902" i="1"/>
  <c r="AG903" i="1"/>
  <c r="AG904" i="1"/>
  <c r="AG905" i="1"/>
  <c r="AG906" i="1"/>
  <c r="AG907" i="1"/>
  <c r="AG908" i="1"/>
  <c r="AG909" i="1"/>
  <c r="AG910" i="1"/>
  <c r="AG911" i="1"/>
  <c r="AG912" i="1"/>
  <c r="AG913" i="1"/>
  <c r="AG914" i="1"/>
  <c r="AG915" i="1"/>
  <c r="AG916" i="1"/>
  <c r="AG917" i="1"/>
  <c r="AG918" i="1"/>
  <c r="AG919" i="1"/>
  <c r="AG920" i="1"/>
  <c r="AG921" i="1"/>
  <c r="AG922" i="1"/>
  <c r="AG923" i="1"/>
  <c r="AG924" i="1"/>
  <c r="AG925" i="1"/>
  <c r="AG926" i="1"/>
  <c r="AG927" i="1"/>
  <c r="AG928" i="1"/>
  <c r="AG929" i="1"/>
  <c r="AG930" i="1"/>
  <c r="AG931" i="1"/>
  <c r="AG932" i="1"/>
  <c r="AG933" i="1"/>
  <c r="AG934" i="1"/>
  <c r="AG935" i="1"/>
  <c r="AG936" i="1"/>
  <c r="AG937" i="1"/>
  <c r="AG938" i="1"/>
  <c r="AG939" i="1"/>
  <c r="AG940" i="1"/>
  <c r="AG941" i="1"/>
  <c r="AG942" i="1"/>
  <c r="AG943" i="1"/>
  <c r="AG944" i="1"/>
  <c r="AG945" i="1"/>
  <c r="AG946" i="1"/>
  <c r="AG947" i="1"/>
  <c r="AG948" i="1"/>
  <c r="AG949" i="1"/>
  <c r="AG950" i="1"/>
  <c r="AG951" i="1"/>
  <c r="AG952" i="1"/>
  <c r="AG953" i="1"/>
  <c r="AG954" i="1"/>
  <c r="AG955" i="1"/>
  <c r="AG956" i="1"/>
  <c r="AG957" i="1"/>
  <c r="AG958" i="1"/>
  <c r="AG959" i="1"/>
  <c r="AG960" i="1"/>
  <c r="AG961" i="1"/>
  <c r="AG962" i="1"/>
  <c r="AG963" i="1"/>
  <c r="AG964" i="1"/>
  <c r="AG965" i="1"/>
  <c r="AG966" i="1"/>
  <c r="AG967" i="1"/>
  <c r="AG968" i="1"/>
  <c r="AG969" i="1"/>
  <c r="AG970" i="1"/>
  <c r="AG971" i="1"/>
  <c r="AG972" i="1"/>
  <c r="AG973" i="1"/>
  <c r="AG974" i="1"/>
  <c r="AG975" i="1"/>
  <c r="AG976" i="1"/>
  <c r="AG977" i="1"/>
  <c r="AG978" i="1"/>
  <c r="AG979" i="1"/>
  <c r="AG980" i="1"/>
  <c r="AG981" i="1"/>
  <c r="AG982" i="1"/>
  <c r="AG983" i="1"/>
  <c r="AG984" i="1"/>
  <c r="AG985" i="1"/>
  <c r="AG986" i="1"/>
  <c r="AG987" i="1"/>
  <c r="AG988" i="1"/>
  <c r="AG989" i="1"/>
  <c r="AG990" i="1"/>
  <c r="AG991" i="1"/>
  <c r="AG992" i="1"/>
  <c r="AG993" i="1"/>
  <c r="AG994" i="1"/>
  <c r="AG995" i="1"/>
  <c r="AG996" i="1"/>
  <c r="AG997" i="1"/>
  <c r="AG998" i="1"/>
  <c r="AG999" i="1"/>
  <c r="AG1000" i="1"/>
  <c r="AG1001" i="1"/>
  <c r="AG1002" i="1"/>
  <c r="AG1003" i="1"/>
  <c r="AG1004" i="1"/>
  <c r="AG1005" i="1"/>
  <c r="AG1006" i="1"/>
  <c r="AG1007" i="1"/>
  <c r="AG1008" i="1"/>
  <c r="AG1009" i="1"/>
  <c r="AG1010" i="1"/>
  <c r="AG1011" i="1"/>
  <c r="AG1012" i="1"/>
  <c r="AG1013" i="1"/>
  <c r="AG1014" i="1"/>
  <c r="AG1015" i="1"/>
  <c r="AG1016" i="1"/>
  <c r="AG1017" i="1"/>
  <c r="AG1018" i="1"/>
  <c r="AG1019" i="1"/>
  <c r="AG1020" i="1"/>
  <c r="AG1021" i="1"/>
  <c r="AG1022" i="1"/>
  <c r="AG1023" i="1"/>
  <c r="AG1024" i="1"/>
  <c r="AG1025" i="1"/>
  <c r="AG1026" i="1"/>
  <c r="AG1027" i="1"/>
  <c r="AG1028" i="1"/>
  <c r="AG1029" i="1"/>
  <c r="AG1030" i="1"/>
  <c r="AG1031" i="1"/>
  <c r="AG1032" i="1"/>
  <c r="AG1033" i="1"/>
  <c r="AG1034" i="1"/>
  <c r="AG1035" i="1"/>
  <c r="AG1036" i="1"/>
  <c r="AG1037" i="1"/>
  <c r="AG1038" i="1"/>
  <c r="AG1039" i="1"/>
  <c r="AG1040" i="1"/>
  <c r="AG1041" i="1"/>
  <c r="AG1042" i="1"/>
  <c r="AG1043" i="1"/>
  <c r="AG1044" i="1"/>
  <c r="AG1045" i="1"/>
  <c r="AG1046" i="1"/>
  <c r="AG1047" i="1"/>
  <c r="AG1048" i="1"/>
  <c r="AG1049" i="1"/>
  <c r="AG1050" i="1"/>
  <c r="AG1051" i="1"/>
  <c r="AG1052" i="1"/>
  <c r="AG1053" i="1"/>
  <c r="AG1054" i="1"/>
  <c r="AG1055" i="1"/>
  <c r="AG1056" i="1"/>
  <c r="AG1057" i="1"/>
  <c r="AG1058" i="1"/>
  <c r="AG1059" i="1"/>
  <c r="AG1060" i="1"/>
  <c r="AG1061" i="1"/>
  <c r="AG1062" i="1"/>
  <c r="AG1063" i="1"/>
  <c r="AG1064" i="1"/>
  <c r="AG1065" i="1"/>
  <c r="AG1066" i="1"/>
  <c r="AG1067" i="1"/>
  <c r="AG1068" i="1"/>
  <c r="AG1069" i="1"/>
  <c r="AG1070" i="1"/>
  <c r="AG1071" i="1"/>
  <c r="AG1072" i="1"/>
  <c r="AG1073" i="1"/>
  <c r="AG1074" i="1"/>
  <c r="AG1075" i="1"/>
  <c r="AG1076" i="1"/>
  <c r="AG1077" i="1"/>
  <c r="AG1078" i="1"/>
  <c r="AG1079" i="1"/>
  <c r="AG1080" i="1"/>
  <c r="AG1081" i="1"/>
  <c r="AG1082" i="1"/>
  <c r="AG1083" i="1"/>
  <c r="AG1084" i="1"/>
  <c r="AG1085" i="1"/>
  <c r="AG1086" i="1"/>
  <c r="AG1087" i="1"/>
  <c r="AG1088" i="1"/>
  <c r="AG1089" i="1"/>
  <c r="AG1090" i="1"/>
  <c r="AG1091" i="1"/>
  <c r="AG1092" i="1"/>
  <c r="AG1093" i="1"/>
  <c r="AG1094" i="1"/>
  <c r="AG1095" i="1"/>
  <c r="AG1096" i="1"/>
  <c r="AG1097" i="1"/>
  <c r="AG1098" i="1"/>
  <c r="AG1099" i="1"/>
  <c r="AG1100" i="1"/>
  <c r="AG1101" i="1"/>
  <c r="AG1102" i="1"/>
  <c r="AG1103" i="1"/>
  <c r="AG1104" i="1"/>
  <c r="AG1105" i="1"/>
  <c r="AG1106" i="1"/>
  <c r="AG1107" i="1"/>
  <c r="AG1108" i="1"/>
  <c r="AG1109" i="1"/>
  <c r="AG1110" i="1"/>
  <c r="AG1111" i="1"/>
  <c r="AG1112" i="1"/>
  <c r="AG1113" i="1"/>
  <c r="AG1114" i="1"/>
  <c r="AG1115" i="1"/>
  <c r="AG1116" i="1"/>
  <c r="AG1117" i="1"/>
  <c r="AG1118" i="1"/>
  <c r="AG1119" i="1"/>
  <c r="AG1120" i="1"/>
  <c r="AG1121" i="1"/>
  <c r="AG1122" i="1"/>
  <c r="AG1123" i="1"/>
  <c r="AG1124" i="1"/>
  <c r="AG1125" i="1"/>
  <c r="AG1126" i="1"/>
  <c r="AG1127" i="1"/>
  <c r="AG1128" i="1"/>
  <c r="AG1129" i="1"/>
  <c r="AG1130" i="1"/>
  <c r="AG1131" i="1"/>
  <c r="AG1132" i="1"/>
  <c r="AG1133" i="1"/>
  <c r="AG1134" i="1"/>
  <c r="AG1135" i="1"/>
  <c r="AG1136" i="1"/>
  <c r="AG1137" i="1"/>
  <c r="AG1138" i="1"/>
  <c r="AG1139" i="1"/>
  <c r="AG1140" i="1"/>
  <c r="AG1141" i="1"/>
  <c r="AG1142" i="1"/>
  <c r="AG1143" i="1"/>
  <c r="AG1144" i="1"/>
  <c r="AG1145" i="1"/>
  <c r="AG1146" i="1"/>
  <c r="AG1147" i="1"/>
  <c r="AG1148" i="1"/>
  <c r="AG1149" i="1"/>
  <c r="AG1150" i="1"/>
  <c r="AG1151" i="1"/>
  <c r="AG1152" i="1"/>
  <c r="AG1153" i="1"/>
  <c r="AG1154" i="1"/>
  <c r="AG1155" i="1"/>
  <c r="AG1156" i="1"/>
  <c r="AG1157" i="1"/>
  <c r="AG1158" i="1"/>
  <c r="AG1159" i="1"/>
  <c r="AG1160" i="1"/>
  <c r="AG1161" i="1"/>
  <c r="AG1162" i="1"/>
  <c r="AG1163" i="1"/>
  <c r="AG1164" i="1"/>
  <c r="AG1165" i="1"/>
  <c r="AG1166" i="1"/>
  <c r="AG1167" i="1"/>
  <c r="AG1168" i="1"/>
  <c r="AG1169" i="1"/>
  <c r="AG1170" i="1"/>
  <c r="AG1171" i="1"/>
  <c r="AG1172" i="1"/>
  <c r="AG1173" i="1"/>
  <c r="AG1174" i="1"/>
  <c r="AG1175" i="1"/>
  <c r="AG1176" i="1"/>
  <c r="AG1177" i="1"/>
  <c r="AG1178" i="1"/>
  <c r="AG1179" i="1"/>
  <c r="AG1180" i="1"/>
  <c r="AG1181" i="1"/>
  <c r="AG1182" i="1"/>
  <c r="AG1183" i="1"/>
  <c r="AG1184" i="1"/>
  <c r="AG1185" i="1"/>
  <c r="AG1186" i="1"/>
  <c r="AG1187" i="1"/>
  <c r="AG1188" i="1"/>
  <c r="AG1189" i="1"/>
  <c r="AG1190" i="1"/>
  <c r="AG1191" i="1"/>
  <c r="AG1192" i="1"/>
  <c r="AG1193" i="1"/>
  <c r="AG1194" i="1"/>
  <c r="AG1195" i="1"/>
  <c r="AG1196" i="1"/>
  <c r="AG1197" i="1"/>
  <c r="AG1198" i="1"/>
  <c r="AG1199" i="1"/>
  <c r="AG1200" i="1"/>
  <c r="AG1201" i="1"/>
  <c r="AG1202" i="1"/>
  <c r="AG1203" i="1"/>
  <c r="AG1204" i="1"/>
  <c r="AG1205" i="1"/>
  <c r="AG1206" i="1"/>
  <c r="AG1207" i="1"/>
  <c r="AG1208" i="1"/>
  <c r="AG1209" i="1"/>
  <c r="AG1210" i="1"/>
  <c r="AG1211" i="1"/>
  <c r="AG1212" i="1"/>
  <c r="AG1213" i="1"/>
  <c r="AG1214" i="1"/>
  <c r="AG1215" i="1"/>
  <c r="AG1216" i="1"/>
  <c r="AG1217" i="1"/>
  <c r="AG1218" i="1"/>
  <c r="AG1219" i="1"/>
  <c r="AG1220" i="1"/>
  <c r="AG1221" i="1"/>
  <c r="AG1222" i="1"/>
  <c r="AG1223" i="1"/>
  <c r="AG1224" i="1"/>
  <c r="AG1225" i="1"/>
  <c r="AG1226" i="1"/>
  <c r="AG1227" i="1"/>
  <c r="AG1228" i="1"/>
  <c r="AG1229" i="1"/>
  <c r="AG1230" i="1"/>
  <c r="AG1231" i="1"/>
  <c r="AG1232" i="1"/>
  <c r="AG1233" i="1"/>
  <c r="AG1234" i="1"/>
  <c r="AG1235" i="1"/>
  <c r="AG1236" i="1"/>
  <c r="AG1237" i="1"/>
  <c r="AG1238" i="1"/>
  <c r="AG1239" i="1"/>
  <c r="AG1240" i="1"/>
  <c r="AG1241" i="1"/>
  <c r="AG1242" i="1"/>
  <c r="AG1243" i="1"/>
  <c r="AG1244" i="1"/>
  <c r="AG1245" i="1"/>
  <c r="AG1246" i="1"/>
  <c r="AG1247" i="1"/>
  <c r="AG1248" i="1"/>
  <c r="AG1249" i="1"/>
  <c r="AG1250" i="1"/>
  <c r="AG1251" i="1"/>
  <c r="AG1252" i="1"/>
  <c r="AG1253" i="1"/>
  <c r="AG1254" i="1"/>
  <c r="AG1255" i="1"/>
  <c r="AG1256" i="1"/>
  <c r="AG1257" i="1"/>
  <c r="AG1258" i="1"/>
  <c r="AG1259" i="1"/>
  <c r="AG1260" i="1"/>
  <c r="AG1261" i="1"/>
  <c r="AG1262" i="1"/>
  <c r="AG1263" i="1"/>
  <c r="AG1264" i="1"/>
  <c r="AG1265" i="1"/>
  <c r="AG1266" i="1"/>
  <c r="AG1267" i="1"/>
  <c r="AG1268" i="1"/>
  <c r="AG1269" i="1"/>
  <c r="AG1270" i="1"/>
  <c r="AG1271" i="1"/>
  <c r="AG1272" i="1"/>
  <c r="AG1273" i="1"/>
  <c r="AG1274" i="1"/>
  <c r="AG1275" i="1"/>
  <c r="AG1276" i="1"/>
  <c r="AG1277" i="1"/>
  <c r="AG1278" i="1"/>
  <c r="AG1279" i="1"/>
  <c r="AG1280" i="1"/>
  <c r="AG1281" i="1"/>
  <c r="AG1282" i="1"/>
  <c r="AG1283" i="1"/>
  <c r="AG1284" i="1"/>
  <c r="AG1285" i="1"/>
  <c r="AG1286" i="1"/>
  <c r="AG1287" i="1"/>
  <c r="AG1288" i="1"/>
  <c r="AG1289" i="1"/>
  <c r="AG1290" i="1"/>
  <c r="AG1291" i="1"/>
  <c r="AG1292" i="1"/>
  <c r="AG1293" i="1"/>
  <c r="AG1294" i="1"/>
  <c r="AG1295" i="1"/>
  <c r="AG1296" i="1"/>
  <c r="AG1297" i="1"/>
  <c r="AG1298" i="1"/>
  <c r="AG1299" i="1"/>
  <c r="AG1300" i="1"/>
  <c r="AG1301" i="1"/>
  <c r="AG1302" i="1"/>
  <c r="AG1303" i="1"/>
  <c r="AG1304" i="1"/>
  <c r="AG1305" i="1"/>
  <c r="AG1306" i="1"/>
  <c r="AG1307" i="1"/>
  <c r="AG1308" i="1"/>
  <c r="AG1309" i="1"/>
  <c r="AG1310" i="1"/>
  <c r="AG1311" i="1"/>
  <c r="AG1312" i="1"/>
  <c r="AG1313" i="1"/>
  <c r="AG1314" i="1"/>
  <c r="AG1315" i="1"/>
  <c r="AG1316" i="1"/>
  <c r="AG1317" i="1"/>
  <c r="AG1318" i="1"/>
  <c r="AG1319" i="1"/>
  <c r="AG1320" i="1"/>
  <c r="AG1321" i="1"/>
  <c r="AG1322" i="1"/>
  <c r="AG1323" i="1"/>
  <c r="AG1324" i="1"/>
  <c r="AG1325" i="1"/>
  <c r="AG1326" i="1"/>
  <c r="AG1327" i="1"/>
  <c r="AG1328" i="1"/>
  <c r="AG1329" i="1"/>
  <c r="AG1330" i="1"/>
  <c r="AG1331" i="1"/>
  <c r="AG1332" i="1"/>
  <c r="AG1333" i="1"/>
  <c r="AG1334" i="1"/>
  <c r="AG1335" i="1"/>
  <c r="AG1336" i="1"/>
  <c r="AG1337" i="1"/>
  <c r="AG1338" i="1"/>
  <c r="AG1339" i="1"/>
  <c r="AG1340" i="1"/>
  <c r="AG1341" i="1"/>
  <c r="AG1342" i="1"/>
  <c r="AG1343" i="1"/>
  <c r="AG1344" i="1"/>
  <c r="AG1345" i="1"/>
  <c r="AG1346" i="1"/>
  <c r="AG1347" i="1"/>
  <c r="AG1348" i="1"/>
  <c r="AG1349" i="1"/>
  <c r="AG1350" i="1"/>
  <c r="AG1351" i="1"/>
  <c r="AG1352" i="1"/>
  <c r="AG1353" i="1"/>
  <c r="AG1354" i="1"/>
  <c r="AG1355" i="1"/>
  <c r="AG1356" i="1"/>
  <c r="AG1357" i="1"/>
  <c r="AG1358" i="1"/>
  <c r="AG1359" i="1"/>
  <c r="AG1360" i="1"/>
  <c r="AG1361" i="1"/>
  <c r="AG1362" i="1"/>
  <c r="AG1363" i="1"/>
  <c r="AG1364" i="1"/>
  <c r="AG1365" i="1"/>
  <c r="AG1366" i="1"/>
  <c r="AG1367" i="1"/>
  <c r="AG1368" i="1"/>
  <c r="AG1369" i="1"/>
  <c r="AG1370" i="1"/>
  <c r="AG1371" i="1"/>
  <c r="AG1372" i="1"/>
  <c r="AG1373" i="1"/>
  <c r="AG1374" i="1"/>
  <c r="AG1375" i="1"/>
  <c r="AG1376" i="1"/>
  <c r="AG1377" i="1"/>
  <c r="AG1378" i="1"/>
  <c r="AG1379" i="1"/>
  <c r="AG1380" i="1"/>
  <c r="AG1381" i="1"/>
  <c r="AG1382" i="1"/>
  <c r="AG1383" i="1"/>
  <c r="AG1384" i="1"/>
  <c r="AG1385" i="1"/>
  <c r="AG1386" i="1"/>
  <c r="AG1387" i="1"/>
  <c r="AG1388" i="1"/>
  <c r="AG1389" i="1"/>
  <c r="AG1390" i="1"/>
  <c r="AG1391" i="1"/>
  <c r="AG1392" i="1"/>
  <c r="AG1393" i="1"/>
  <c r="AG1394" i="1"/>
  <c r="AG1395" i="1"/>
  <c r="AG1396" i="1"/>
  <c r="AG1397" i="1"/>
  <c r="AG1398" i="1"/>
  <c r="AG1399" i="1"/>
  <c r="AG1400" i="1"/>
  <c r="AG1401" i="1"/>
  <c r="AG1402" i="1"/>
  <c r="AG1403" i="1"/>
  <c r="AG1404" i="1"/>
  <c r="AG1405" i="1"/>
  <c r="AG1406" i="1"/>
  <c r="AG1407" i="1"/>
  <c r="AG1408" i="1"/>
  <c r="AG1409" i="1"/>
  <c r="AG1410" i="1"/>
  <c r="AG1411" i="1"/>
  <c r="AG1412" i="1"/>
  <c r="AG1413" i="1"/>
  <c r="AG1414" i="1"/>
  <c r="AG1415" i="1"/>
  <c r="AG1416" i="1"/>
  <c r="AG1417" i="1"/>
  <c r="AG1418" i="1"/>
  <c r="AG1419" i="1"/>
  <c r="AG1420" i="1"/>
  <c r="AG1421" i="1"/>
  <c r="AG1422" i="1"/>
  <c r="AG1423" i="1"/>
  <c r="AG1424" i="1"/>
  <c r="AG1425" i="1"/>
  <c r="AG1426" i="1"/>
  <c r="AG1427" i="1"/>
  <c r="AG1428" i="1"/>
  <c r="AG1429" i="1"/>
  <c r="AG1430" i="1"/>
  <c r="AG1431" i="1"/>
  <c r="AG1432" i="1"/>
  <c r="AG1433" i="1"/>
  <c r="AG1434" i="1"/>
  <c r="AG1435" i="1"/>
  <c r="AG1436" i="1"/>
  <c r="AG1437" i="1"/>
  <c r="AG1438" i="1"/>
  <c r="AG1439" i="1"/>
  <c r="AG1440" i="1"/>
  <c r="AG1441" i="1"/>
  <c r="AG1442" i="1"/>
  <c r="AG1443" i="1"/>
  <c r="AG1444" i="1"/>
  <c r="AG1445" i="1"/>
  <c r="AG1446" i="1"/>
  <c r="AG1447" i="1"/>
  <c r="AG1448" i="1"/>
  <c r="AG1449" i="1"/>
  <c r="AG1450" i="1"/>
  <c r="AG1451" i="1"/>
  <c r="AG1452" i="1"/>
  <c r="AG1453" i="1"/>
  <c r="AG1454" i="1"/>
  <c r="AG1455" i="1"/>
  <c r="AG1456" i="1"/>
  <c r="AG1457" i="1"/>
  <c r="AG1458" i="1"/>
  <c r="AG1459" i="1"/>
  <c r="AG1460" i="1"/>
  <c r="AG1461" i="1"/>
  <c r="AG1462" i="1"/>
  <c r="AG1463" i="1"/>
  <c r="AG1464" i="1"/>
  <c r="AG1465" i="1"/>
  <c r="AG1466" i="1"/>
  <c r="AG1467" i="1"/>
  <c r="AG1468" i="1"/>
  <c r="AG1469" i="1"/>
  <c r="AG1470" i="1"/>
  <c r="AG1471" i="1"/>
  <c r="AF2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89" i="1"/>
  <c r="AF290" i="1"/>
  <c r="AF291" i="1"/>
  <c r="AF292" i="1"/>
  <c r="AF293" i="1"/>
  <c r="AF294" i="1"/>
  <c r="AF295" i="1"/>
  <c r="AF296" i="1"/>
  <c r="AF297" i="1"/>
  <c r="AF298" i="1"/>
  <c r="AF299" i="1"/>
  <c r="AF300" i="1"/>
  <c r="AF301" i="1"/>
  <c r="AF302" i="1"/>
  <c r="AF303" i="1"/>
  <c r="AF304" i="1"/>
  <c r="AF305" i="1"/>
  <c r="AF306" i="1"/>
  <c r="AF307" i="1"/>
  <c r="AF308" i="1"/>
  <c r="AF309" i="1"/>
  <c r="AF310" i="1"/>
  <c r="AF311" i="1"/>
  <c r="AF312" i="1"/>
  <c r="AF313" i="1"/>
  <c r="AF314" i="1"/>
  <c r="AF315" i="1"/>
  <c r="AF316" i="1"/>
  <c r="AF317" i="1"/>
  <c r="AF318" i="1"/>
  <c r="AF319" i="1"/>
  <c r="AF320" i="1"/>
  <c r="AF321" i="1"/>
  <c r="AF322" i="1"/>
  <c r="AF323" i="1"/>
  <c r="AF324" i="1"/>
  <c r="AF325" i="1"/>
  <c r="AF326" i="1"/>
  <c r="AF327" i="1"/>
  <c r="AF328" i="1"/>
  <c r="AF329" i="1"/>
  <c r="AF330" i="1"/>
  <c r="AF331" i="1"/>
  <c r="AF332" i="1"/>
  <c r="AF333" i="1"/>
  <c r="AF334" i="1"/>
  <c r="AF335" i="1"/>
  <c r="AF336" i="1"/>
  <c r="AF337" i="1"/>
  <c r="AF338" i="1"/>
  <c r="AF339" i="1"/>
  <c r="AF340" i="1"/>
  <c r="AF341" i="1"/>
  <c r="AF342" i="1"/>
  <c r="AF343" i="1"/>
  <c r="AF344" i="1"/>
  <c r="AF345" i="1"/>
  <c r="AF346" i="1"/>
  <c r="AF347" i="1"/>
  <c r="AF348" i="1"/>
  <c r="AF349" i="1"/>
  <c r="AF350" i="1"/>
  <c r="AF351" i="1"/>
  <c r="AF352" i="1"/>
  <c r="AF353" i="1"/>
  <c r="AF354" i="1"/>
  <c r="AF355" i="1"/>
  <c r="AF356" i="1"/>
  <c r="AF357" i="1"/>
  <c r="AF358" i="1"/>
  <c r="AF359" i="1"/>
  <c r="AF360" i="1"/>
  <c r="AF361" i="1"/>
  <c r="AF362" i="1"/>
  <c r="AF363" i="1"/>
  <c r="AF364" i="1"/>
  <c r="AF365" i="1"/>
  <c r="AF366" i="1"/>
  <c r="AF367" i="1"/>
  <c r="AF368" i="1"/>
  <c r="AF369" i="1"/>
  <c r="AF370" i="1"/>
  <c r="AF371" i="1"/>
  <c r="AF372" i="1"/>
  <c r="AF373" i="1"/>
  <c r="AF374" i="1"/>
  <c r="AF375" i="1"/>
  <c r="AF376" i="1"/>
  <c r="AF377" i="1"/>
  <c r="AF378" i="1"/>
  <c r="AF379" i="1"/>
  <c r="AF380" i="1"/>
  <c r="AF381" i="1"/>
  <c r="AF382" i="1"/>
  <c r="AF383" i="1"/>
  <c r="AF384" i="1"/>
  <c r="AF385" i="1"/>
  <c r="AF386" i="1"/>
  <c r="AF387" i="1"/>
  <c r="AF388" i="1"/>
  <c r="AF389" i="1"/>
  <c r="AF390" i="1"/>
  <c r="AF391" i="1"/>
  <c r="AF392" i="1"/>
  <c r="AF393" i="1"/>
  <c r="AF394" i="1"/>
  <c r="AF395" i="1"/>
  <c r="AF396" i="1"/>
  <c r="AF397" i="1"/>
  <c r="AF398" i="1"/>
  <c r="AF399" i="1"/>
  <c r="AF400" i="1"/>
  <c r="AF401" i="1"/>
  <c r="AF402" i="1"/>
  <c r="AF403" i="1"/>
  <c r="AF404" i="1"/>
  <c r="AF405" i="1"/>
  <c r="AF406" i="1"/>
  <c r="AF407" i="1"/>
  <c r="AF408" i="1"/>
  <c r="AF409" i="1"/>
  <c r="AF410" i="1"/>
  <c r="AF411" i="1"/>
  <c r="AF412" i="1"/>
  <c r="AF413" i="1"/>
  <c r="AF414" i="1"/>
  <c r="AF415" i="1"/>
  <c r="AF416" i="1"/>
  <c r="AF417" i="1"/>
  <c r="AF418" i="1"/>
  <c r="AF419" i="1"/>
  <c r="AF420" i="1"/>
  <c r="AF421" i="1"/>
  <c r="AF422" i="1"/>
  <c r="AF423" i="1"/>
  <c r="AF424" i="1"/>
  <c r="AF425" i="1"/>
  <c r="AF426" i="1"/>
  <c r="AF427" i="1"/>
  <c r="AF428" i="1"/>
  <c r="AF429" i="1"/>
  <c r="AF430" i="1"/>
  <c r="AF431" i="1"/>
  <c r="AF432" i="1"/>
  <c r="AF433" i="1"/>
  <c r="AF434" i="1"/>
  <c r="AF435" i="1"/>
  <c r="AF436" i="1"/>
  <c r="AF437" i="1"/>
  <c r="AF438" i="1"/>
  <c r="AF439" i="1"/>
  <c r="AF440" i="1"/>
  <c r="AF441" i="1"/>
  <c r="AF442" i="1"/>
  <c r="AF443" i="1"/>
  <c r="AF444" i="1"/>
  <c r="AF445" i="1"/>
  <c r="AF446" i="1"/>
  <c r="AF447" i="1"/>
  <c r="AF448" i="1"/>
  <c r="AF449" i="1"/>
  <c r="AF450" i="1"/>
  <c r="AF451" i="1"/>
  <c r="AF452" i="1"/>
  <c r="AF453" i="1"/>
  <c r="AF454" i="1"/>
  <c r="AF455" i="1"/>
  <c r="AF456" i="1"/>
  <c r="AF457" i="1"/>
  <c r="AF458" i="1"/>
  <c r="AF459" i="1"/>
  <c r="AF460" i="1"/>
  <c r="AF461" i="1"/>
  <c r="AF462" i="1"/>
  <c r="AF463" i="1"/>
  <c r="AF464" i="1"/>
  <c r="AF465" i="1"/>
  <c r="AF466" i="1"/>
  <c r="AF467" i="1"/>
  <c r="AF468" i="1"/>
  <c r="AF469" i="1"/>
  <c r="AF470" i="1"/>
  <c r="AF471" i="1"/>
  <c r="AF472" i="1"/>
  <c r="AF473" i="1"/>
  <c r="AF474" i="1"/>
  <c r="AF475" i="1"/>
  <c r="AF476" i="1"/>
  <c r="AF477" i="1"/>
  <c r="AF478" i="1"/>
  <c r="AF479" i="1"/>
  <c r="AF480" i="1"/>
  <c r="AF481" i="1"/>
  <c r="AF482" i="1"/>
  <c r="AF483" i="1"/>
  <c r="AF484" i="1"/>
  <c r="AF485" i="1"/>
  <c r="AF486" i="1"/>
  <c r="AF487" i="1"/>
  <c r="AF488" i="1"/>
  <c r="AF489" i="1"/>
  <c r="AF490" i="1"/>
  <c r="AF491" i="1"/>
  <c r="AF492" i="1"/>
  <c r="AF493" i="1"/>
  <c r="AF494" i="1"/>
  <c r="AF495" i="1"/>
  <c r="AF496" i="1"/>
  <c r="AF497" i="1"/>
  <c r="AF498" i="1"/>
  <c r="AF499" i="1"/>
  <c r="AF500" i="1"/>
  <c r="AF501" i="1"/>
  <c r="AF502" i="1"/>
  <c r="AF503" i="1"/>
  <c r="AF504" i="1"/>
  <c r="AF505" i="1"/>
  <c r="AF506" i="1"/>
  <c r="AF507" i="1"/>
  <c r="AF508" i="1"/>
  <c r="AF509" i="1"/>
  <c r="AF510" i="1"/>
  <c r="AF511" i="1"/>
  <c r="AF512" i="1"/>
  <c r="AF513" i="1"/>
  <c r="AF514" i="1"/>
  <c r="AF515" i="1"/>
  <c r="AF516" i="1"/>
  <c r="AF517" i="1"/>
  <c r="AF518" i="1"/>
  <c r="AF519" i="1"/>
  <c r="AF520" i="1"/>
  <c r="AF521" i="1"/>
  <c r="AF522" i="1"/>
  <c r="AF523" i="1"/>
  <c r="AF524" i="1"/>
  <c r="AF525" i="1"/>
  <c r="AF526" i="1"/>
  <c r="AF527" i="1"/>
  <c r="AF528" i="1"/>
  <c r="AF529" i="1"/>
  <c r="AF530" i="1"/>
  <c r="AF531" i="1"/>
  <c r="AF532" i="1"/>
  <c r="AF533" i="1"/>
  <c r="AF534" i="1"/>
  <c r="AF535" i="1"/>
  <c r="AF536" i="1"/>
  <c r="AF537" i="1"/>
  <c r="AF538" i="1"/>
  <c r="AF539" i="1"/>
  <c r="AF540" i="1"/>
  <c r="AF541" i="1"/>
  <c r="AF542" i="1"/>
  <c r="AF543" i="1"/>
  <c r="AF544" i="1"/>
  <c r="AF545" i="1"/>
  <c r="AF546" i="1"/>
  <c r="AF547" i="1"/>
  <c r="AF548" i="1"/>
  <c r="AF549" i="1"/>
  <c r="AF550" i="1"/>
  <c r="AF551" i="1"/>
  <c r="AF552" i="1"/>
  <c r="AF553" i="1"/>
  <c r="AF554" i="1"/>
  <c r="AF555" i="1"/>
  <c r="AF556" i="1"/>
  <c r="AF557" i="1"/>
  <c r="AF558" i="1"/>
  <c r="AF559" i="1"/>
  <c r="AF560" i="1"/>
  <c r="AF561" i="1"/>
  <c r="AF562" i="1"/>
  <c r="AF563" i="1"/>
  <c r="AF564" i="1"/>
  <c r="AF565" i="1"/>
  <c r="AF566" i="1"/>
  <c r="AF567" i="1"/>
  <c r="AF568" i="1"/>
  <c r="AF569" i="1"/>
  <c r="AF570" i="1"/>
  <c r="AF571" i="1"/>
  <c r="AF572" i="1"/>
  <c r="AF573" i="1"/>
  <c r="AF574" i="1"/>
  <c r="AF575" i="1"/>
  <c r="AF576" i="1"/>
  <c r="AF577" i="1"/>
  <c r="AF578" i="1"/>
  <c r="AF579" i="1"/>
  <c r="AF580" i="1"/>
  <c r="AF581" i="1"/>
  <c r="AF582" i="1"/>
  <c r="AF583" i="1"/>
  <c r="AF584" i="1"/>
  <c r="AF585" i="1"/>
  <c r="AF586" i="1"/>
  <c r="AF587" i="1"/>
  <c r="AF588" i="1"/>
  <c r="AF589" i="1"/>
  <c r="AF590" i="1"/>
  <c r="AF591" i="1"/>
  <c r="AF592" i="1"/>
  <c r="AF593" i="1"/>
  <c r="AF594" i="1"/>
  <c r="AF595" i="1"/>
  <c r="AF596" i="1"/>
  <c r="AF597" i="1"/>
  <c r="AF598" i="1"/>
  <c r="AF599" i="1"/>
  <c r="AF600" i="1"/>
  <c r="AF601" i="1"/>
  <c r="AF602" i="1"/>
  <c r="AF603" i="1"/>
  <c r="AF604" i="1"/>
  <c r="AF605" i="1"/>
  <c r="AF606" i="1"/>
  <c r="AF607" i="1"/>
  <c r="AF608" i="1"/>
  <c r="AF609" i="1"/>
  <c r="AF610" i="1"/>
  <c r="AF611" i="1"/>
  <c r="AF612" i="1"/>
  <c r="AF613" i="1"/>
  <c r="AF614" i="1"/>
  <c r="AF615" i="1"/>
  <c r="AF616" i="1"/>
  <c r="AF617" i="1"/>
  <c r="AF618" i="1"/>
  <c r="AF619" i="1"/>
  <c r="AF620" i="1"/>
  <c r="AF621" i="1"/>
  <c r="AF622" i="1"/>
  <c r="AF623" i="1"/>
  <c r="AF624" i="1"/>
  <c r="AF625" i="1"/>
  <c r="AF626" i="1"/>
  <c r="AF627" i="1"/>
  <c r="AF628" i="1"/>
  <c r="AF629" i="1"/>
  <c r="AF630" i="1"/>
  <c r="AF631" i="1"/>
  <c r="AF632" i="1"/>
  <c r="AF633" i="1"/>
  <c r="AF634" i="1"/>
  <c r="AF635" i="1"/>
  <c r="AF636" i="1"/>
  <c r="AF637" i="1"/>
  <c r="AF638" i="1"/>
  <c r="AF639" i="1"/>
  <c r="AF640" i="1"/>
  <c r="AF641" i="1"/>
  <c r="AF642" i="1"/>
  <c r="AF643" i="1"/>
  <c r="AF644" i="1"/>
  <c r="AF645" i="1"/>
  <c r="AF646" i="1"/>
  <c r="AF647" i="1"/>
  <c r="AF648" i="1"/>
  <c r="AF649" i="1"/>
  <c r="AF650" i="1"/>
  <c r="AF651" i="1"/>
  <c r="AF652" i="1"/>
  <c r="AF653" i="1"/>
  <c r="AF654" i="1"/>
  <c r="AF655" i="1"/>
  <c r="AF656" i="1"/>
  <c r="AF657" i="1"/>
  <c r="AF658" i="1"/>
  <c r="AF659" i="1"/>
  <c r="AF660" i="1"/>
  <c r="AF661" i="1"/>
  <c r="AF662" i="1"/>
  <c r="AF663" i="1"/>
  <c r="AF664" i="1"/>
  <c r="AF665" i="1"/>
  <c r="AF666" i="1"/>
  <c r="AF667" i="1"/>
  <c r="AF668" i="1"/>
  <c r="AF669" i="1"/>
  <c r="AF670" i="1"/>
  <c r="AF671" i="1"/>
  <c r="AF672" i="1"/>
  <c r="AF673" i="1"/>
  <c r="AF674" i="1"/>
  <c r="AF675" i="1"/>
  <c r="AF676" i="1"/>
  <c r="AF677" i="1"/>
  <c r="AF678" i="1"/>
  <c r="AF679" i="1"/>
  <c r="AF680" i="1"/>
  <c r="AF681" i="1"/>
  <c r="AF682" i="1"/>
  <c r="AF683" i="1"/>
  <c r="AF684" i="1"/>
  <c r="AF685" i="1"/>
  <c r="AF686" i="1"/>
  <c r="AF687" i="1"/>
  <c r="AF688" i="1"/>
  <c r="AF689" i="1"/>
  <c r="AF690" i="1"/>
  <c r="AF691" i="1"/>
  <c r="AF692" i="1"/>
  <c r="AF693" i="1"/>
  <c r="AF694" i="1"/>
  <c r="AF695" i="1"/>
  <c r="AF696" i="1"/>
  <c r="AF697" i="1"/>
  <c r="AF698" i="1"/>
  <c r="AF699" i="1"/>
  <c r="AF700" i="1"/>
  <c r="AF701" i="1"/>
  <c r="AF702" i="1"/>
  <c r="AF703" i="1"/>
  <c r="AF704" i="1"/>
  <c r="AF705" i="1"/>
  <c r="AF706" i="1"/>
  <c r="AF707" i="1"/>
  <c r="AF708" i="1"/>
  <c r="AF709" i="1"/>
  <c r="AF710" i="1"/>
  <c r="AF711" i="1"/>
  <c r="AF712" i="1"/>
  <c r="AF713" i="1"/>
  <c r="AF714" i="1"/>
  <c r="AF715" i="1"/>
  <c r="AF716" i="1"/>
  <c r="AF717" i="1"/>
  <c r="AF718" i="1"/>
  <c r="AF719" i="1"/>
  <c r="AF720" i="1"/>
  <c r="AF721" i="1"/>
  <c r="AF722" i="1"/>
  <c r="AF723" i="1"/>
  <c r="AF724" i="1"/>
  <c r="AF725" i="1"/>
  <c r="AF726" i="1"/>
  <c r="AF727" i="1"/>
  <c r="AF728" i="1"/>
  <c r="AF729" i="1"/>
  <c r="AF730" i="1"/>
  <c r="AF731" i="1"/>
  <c r="AF732" i="1"/>
  <c r="AF733" i="1"/>
  <c r="AF734" i="1"/>
  <c r="AF735" i="1"/>
  <c r="AF736" i="1"/>
  <c r="AF737" i="1"/>
  <c r="AF738" i="1"/>
  <c r="AF739" i="1"/>
  <c r="AF740" i="1"/>
  <c r="AF741" i="1"/>
  <c r="AF742" i="1"/>
  <c r="AF743" i="1"/>
  <c r="AF744" i="1"/>
  <c r="AF745" i="1"/>
  <c r="AF746" i="1"/>
  <c r="AF747" i="1"/>
  <c r="AF748" i="1"/>
  <c r="AF749" i="1"/>
  <c r="AF750" i="1"/>
  <c r="AF751" i="1"/>
  <c r="AF752" i="1"/>
  <c r="AF753" i="1"/>
  <c r="AF754" i="1"/>
  <c r="AF755" i="1"/>
  <c r="AF756" i="1"/>
  <c r="AF757" i="1"/>
  <c r="AF758" i="1"/>
  <c r="AF759" i="1"/>
  <c r="AF760" i="1"/>
  <c r="AF761" i="1"/>
  <c r="AF762" i="1"/>
  <c r="AF763" i="1"/>
  <c r="AF764" i="1"/>
  <c r="AF765" i="1"/>
  <c r="AF766" i="1"/>
  <c r="AF767" i="1"/>
  <c r="AF768" i="1"/>
  <c r="AF769" i="1"/>
  <c r="AF770" i="1"/>
  <c r="AF771" i="1"/>
  <c r="AF772" i="1"/>
  <c r="AF773" i="1"/>
  <c r="AF774" i="1"/>
  <c r="AF775" i="1"/>
  <c r="AF776" i="1"/>
  <c r="AF777" i="1"/>
  <c r="AF778" i="1"/>
  <c r="AF779" i="1"/>
  <c r="AF780" i="1"/>
  <c r="AF781" i="1"/>
  <c r="AF782" i="1"/>
  <c r="AF783" i="1"/>
  <c r="AF784" i="1"/>
  <c r="AF785" i="1"/>
  <c r="AF786" i="1"/>
  <c r="AF787" i="1"/>
  <c r="AF788" i="1"/>
  <c r="AF789" i="1"/>
  <c r="AF790" i="1"/>
  <c r="AF791" i="1"/>
  <c r="AF792" i="1"/>
  <c r="AF793" i="1"/>
  <c r="AF794" i="1"/>
  <c r="AF795" i="1"/>
  <c r="AF796" i="1"/>
  <c r="AF797" i="1"/>
  <c r="AF798" i="1"/>
  <c r="AF799" i="1"/>
  <c r="AF800" i="1"/>
  <c r="AF801" i="1"/>
  <c r="AF802" i="1"/>
  <c r="AF803" i="1"/>
  <c r="AF804" i="1"/>
  <c r="AF805" i="1"/>
  <c r="AF806" i="1"/>
  <c r="AF807" i="1"/>
  <c r="AF808" i="1"/>
  <c r="AF809" i="1"/>
  <c r="AF810" i="1"/>
  <c r="AF811" i="1"/>
  <c r="AF812" i="1"/>
  <c r="AF813" i="1"/>
  <c r="AF814" i="1"/>
  <c r="AF815" i="1"/>
  <c r="AF816" i="1"/>
  <c r="AF817" i="1"/>
  <c r="AF818" i="1"/>
  <c r="AF819" i="1"/>
  <c r="AF820" i="1"/>
  <c r="AF821" i="1"/>
  <c r="AF822" i="1"/>
  <c r="AF823" i="1"/>
  <c r="AF824" i="1"/>
  <c r="AF825" i="1"/>
  <c r="AF826" i="1"/>
  <c r="AF827" i="1"/>
  <c r="AF828" i="1"/>
  <c r="AF829" i="1"/>
  <c r="AF830" i="1"/>
  <c r="AF831" i="1"/>
  <c r="AF832" i="1"/>
  <c r="AF833" i="1"/>
  <c r="AF834" i="1"/>
  <c r="AF835" i="1"/>
  <c r="AF836" i="1"/>
  <c r="AF837" i="1"/>
  <c r="AF838" i="1"/>
  <c r="AF839" i="1"/>
  <c r="AF840" i="1"/>
  <c r="AF841" i="1"/>
  <c r="AF842" i="1"/>
  <c r="AF843" i="1"/>
  <c r="AF844" i="1"/>
  <c r="AF845" i="1"/>
  <c r="AF846" i="1"/>
  <c r="AF847" i="1"/>
  <c r="AF848" i="1"/>
  <c r="AF849" i="1"/>
  <c r="AF850" i="1"/>
  <c r="AF851" i="1"/>
  <c r="AF852" i="1"/>
  <c r="AF853" i="1"/>
  <c r="AF854" i="1"/>
  <c r="AF855" i="1"/>
  <c r="AF856" i="1"/>
  <c r="AF857" i="1"/>
  <c r="AF858" i="1"/>
  <c r="AF859" i="1"/>
  <c r="AF860" i="1"/>
  <c r="AF861" i="1"/>
  <c r="AF862" i="1"/>
  <c r="AF863" i="1"/>
  <c r="AF864" i="1"/>
  <c r="AF865" i="1"/>
  <c r="AF866" i="1"/>
  <c r="AF867" i="1"/>
  <c r="AF868" i="1"/>
  <c r="AF869" i="1"/>
  <c r="AF870" i="1"/>
  <c r="AF871" i="1"/>
  <c r="AF872" i="1"/>
  <c r="AF873" i="1"/>
  <c r="AF874" i="1"/>
  <c r="AF875" i="1"/>
  <c r="AF876" i="1"/>
  <c r="AF877" i="1"/>
  <c r="AF878" i="1"/>
  <c r="AF879" i="1"/>
  <c r="AF880" i="1"/>
  <c r="AF881" i="1"/>
  <c r="AF882" i="1"/>
  <c r="AF883" i="1"/>
  <c r="AF884" i="1"/>
  <c r="AF885" i="1"/>
  <c r="AF886" i="1"/>
  <c r="AF887" i="1"/>
  <c r="AF888" i="1"/>
  <c r="AF889" i="1"/>
  <c r="AF890" i="1"/>
  <c r="AF891" i="1"/>
  <c r="AF892" i="1"/>
  <c r="AF893" i="1"/>
  <c r="AF894" i="1"/>
  <c r="AF895" i="1"/>
  <c r="AF896" i="1"/>
  <c r="AF897" i="1"/>
  <c r="AF898" i="1"/>
  <c r="AF899" i="1"/>
  <c r="AF900" i="1"/>
  <c r="AF901" i="1"/>
  <c r="AF902" i="1"/>
  <c r="AF903" i="1"/>
  <c r="AF904" i="1"/>
  <c r="AF905" i="1"/>
  <c r="AF906" i="1"/>
  <c r="AF907" i="1"/>
  <c r="AF908" i="1"/>
  <c r="AF909" i="1"/>
  <c r="AF910" i="1"/>
  <c r="AF911" i="1"/>
  <c r="AF912" i="1"/>
  <c r="AF913" i="1"/>
  <c r="AF914" i="1"/>
  <c r="AF915" i="1"/>
  <c r="AF916" i="1"/>
  <c r="AF917" i="1"/>
  <c r="AF918" i="1"/>
  <c r="AF919" i="1"/>
  <c r="AF920" i="1"/>
  <c r="AF921" i="1"/>
  <c r="AF922" i="1"/>
  <c r="AF923" i="1"/>
  <c r="AF924" i="1"/>
  <c r="AF925" i="1"/>
  <c r="AF926" i="1"/>
  <c r="AF927" i="1"/>
  <c r="AF928" i="1"/>
  <c r="AF929" i="1"/>
  <c r="AF930" i="1"/>
  <c r="AF931" i="1"/>
  <c r="AF932" i="1"/>
  <c r="AF933" i="1"/>
  <c r="AF934" i="1"/>
  <c r="AF935" i="1"/>
  <c r="AF936" i="1"/>
  <c r="AF937" i="1"/>
  <c r="AF938" i="1"/>
  <c r="AF939" i="1"/>
  <c r="AF940" i="1"/>
  <c r="AF941" i="1"/>
  <c r="AF942" i="1"/>
  <c r="AF943" i="1"/>
  <c r="AF944" i="1"/>
  <c r="AF945" i="1"/>
  <c r="AF946" i="1"/>
  <c r="AF947" i="1"/>
  <c r="AF948" i="1"/>
  <c r="AF949" i="1"/>
  <c r="AF950" i="1"/>
  <c r="AF951" i="1"/>
  <c r="AF952" i="1"/>
  <c r="AF953" i="1"/>
  <c r="AF954" i="1"/>
  <c r="AF955" i="1"/>
  <c r="AF956" i="1"/>
  <c r="AF957" i="1"/>
  <c r="AF958" i="1"/>
  <c r="AF959" i="1"/>
  <c r="AF960" i="1"/>
  <c r="AF961" i="1"/>
  <c r="AF962" i="1"/>
  <c r="AF963" i="1"/>
  <c r="AF964" i="1"/>
  <c r="AF965" i="1"/>
  <c r="AF966" i="1"/>
  <c r="AF967" i="1"/>
  <c r="AF968" i="1"/>
  <c r="AF969" i="1"/>
  <c r="AF970" i="1"/>
  <c r="AF971" i="1"/>
  <c r="AF972" i="1"/>
  <c r="AF973" i="1"/>
  <c r="AF974" i="1"/>
  <c r="AF975" i="1"/>
  <c r="AF976" i="1"/>
  <c r="AF977" i="1"/>
  <c r="AF978" i="1"/>
  <c r="AF979" i="1"/>
  <c r="AF980" i="1"/>
  <c r="AF981" i="1"/>
  <c r="AF982" i="1"/>
  <c r="AF983" i="1"/>
  <c r="AF984" i="1"/>
  <c r="AF985" i="1"/>
  <c r="AF986" i="1"/>
  <c r="AF987" i="1"/>
  <c r="AF988" i="1"/>
  <c r="AF989" i="1"/>
  <c r="AF990" i="1"/>
  <c r="AF991" i="1"/>
  <c r="AF992" i="1"/>
  <c r="AF993" i="1"/>
  <c r="AF994" i="1"/>
  <c r="AF995" i="1"/>
  <c r="AF996" i="1"/>
  <c r="AF997" i="1"/>
  <c r="AF998" i="1"/>
  <c r="AF999" i="1"/>
  <c r="AF1000" i="1"/>
  <c r="AF1001" i="1"/>
  <c r="AF1002" i="1"/>
  <c r="AF1003" i="1"/>
  <c r="AF1004" i="1"/>
  <c r="AF1005" i="1"/>
  <c r="AF1006" i="1"/>
  <c r="AF1007" i="1"/>
  <c r="AF1008" i="1"/>
  <c r="AF1009" i="1"/>
  <c r="AF1010" i="1"/>
  <c r="AF1011" i="1"/>
  <c r="AF1012" i="1"/>
  <c r="AF1013" i="1"/>
  <c r="AF1014" i="1"/>
  <c r="AF1015" i="1"/>
  <c r="AF1016" i="1"/>
  <c r="AF1017" i="1"/>
  <c r="AF1018" i="1"/>
  <c r="AF1019" i="1"/>
  <c r="AF1020" i="1"/>
  <c r="AF1021" i="1"/>
  <c r="AF1022" i="1"/>
  <c r="AF1023" i="1"/>
  <c r="AF1024" i="1"/>
  <c r="AF1025" i="1"/>
  <c r="AF1026" i="1"/>
  <c r="AF1027" i="1"/>
  <c r="AF1028" i="1"/>
  <c r="AF1029" i="1"/>
  <c r="AF1030" i="1"/>
  <c r="AF1031" i="1"/>
  <c r="AF1032" i="1"/>
  <c r="AF1033" i="1"/>
  <c r="AF1034" i="1"/>
  <c r="AF1035" i="1"/>
  <c r="AF1036" i="1"/>
  <c r="AF1037" i="1"/>
  <c r="AF1038" i="1"/>
  <c r="AF1039" i="1"/>
  <c r="AF1040" i="1"/>
  <c r="AF1041" i="1"/>
  <c r="AF1042" i="1"/>
  <c r="AF1043" i="1"/>
  <c r="AF1044" i="1"/>
  <c r="AF1045" i="1"/>
  <c r="AF1046" i="1"/>
  <c r="AF1047" i="1"/>
  <c r="AF1048" i="1"/>
  <c r="AF1049" i="1"/>
  <c r="AF1050" i="1"/>
  <c r="AF1051" i="1"/>
  <c r="AF1052" i="1"/>
  <c r="AF1053" i="1"/>
  <c r="AF1054" i="1"/>
  <c r="AF1055" i="1"/>
  <c r="AF1056" i="1"/>
  <c r="AF1057" i="1"/>
  <c r="AF1058" i="1"/>
  <c r="AF1059" i="1"/>
  <c r="AF1060" i="1"/>
  <c r="AF1061" i="1"/>
  <c r="AF1062" i="1"/>
  <c r="AF1063" i="1"/>
  <c r="AF1064" i="1"/>
  <c r="AF1065" i="1"/>
  <c r="AF1066" i="1"/>
  <c r="AF1067" i="1"/>
  <c r="AF1068" i="1"/>
  <c r="AF1069" i="1"/>
  <c r="AF1070" i="1"/>
  <c r="AF1071" i="1"/>
  <c r="AF1072" i="1"/>
  <c r="AF1073" i="1"/>
  <c r="AF1074" i="1"/>
  <c r="AF1075" i="1"/>
  <c r="AF1076" i="1"/>
  <c r="AF1077" i="1"/>
  <c r="AF1078" i="1"/>
  <c r="AF1079" i="1"/>
  <c r="AF1080" i="1"/>
  <c r="AF1081" i="1"/>
  <c r="AF1082" i="1"/>
  <c r="AF1083" i="1"/>
  <c r="AF1084" i="1"/>
  <c r="AF1085" i="1"/>
  <c r="AF1086" i="1"/>
  <c r="AF1087" i="1"/>
  <c r="AF1088" i="1"/>
  <c r="AF1089" i="1"/>
  <c r="AF1090" i="1"/>
  <c r="AF1091" i="1"/>
  <c r="AF1092" i="1"/>
  <c r="AF1093" i="1"/>
  <c r="AF1094" i="1"/>
  <c r="AF1095" i="1"/>
  <c r="AF1096" i="1"/>
  <c r="AF1097" i="1"/>
  <c r="AF1098" i="1"/>
  <c r="AF1099" i="1"/>
  <c r="AF1100" i="1"/>
  <c r="AF1101" i="1"/>
  <c r="AF1102" i="1"/>
  <c r="AF1103" i="1"/>
  <c r="AF1104" i="1"/>
  <c r="AF1105" i="1"/>
  <c r="AF1106" i="1"/>
  <c r="AF1107" i="1"/>
  <c r="AF1108" i="1"/>
  <c r="AF1109" i="1"/>
  <c r="AF1110" i="1"/>
  <c r="AF1111" i="1"/>
  <c r="AF1112" i="1"/>
  <c r="AF1113" i="1"/>
  <c r="AF1114" i="1"/>
  <c r="AF1115" i="1"/>
  <c r="AF1116" i="1"/>
  <c r="AF1117" i="1"/>
  <c r="AF1118" i="1"/>
  <c r="AF1119" i="1"/>
  <c r="AF1120" i="1"/>
  <c r="AF1121" i="1"/>
  <c r="AF1122" i="1"/>
  <c r="AF1123" i="1"/>
  <c r="AF1124" i="1"/>
  <c r="AF1125" i="1"/>
  <c r="AF1126" i="1"/>
  <c r="AF1127" i="1"/>
  <c r="AF1128" i="1"/>
  <c r="AF1129" i="1"/>
  <c r="AF1130" i="1"/>
  <c r="AF1131" i="1"/>
  <c r="AF1132" i="1"/>
  <c r="AF1133" i="1"/>
  <c r="AF1134" i="1"/>
  <c r="AF1135" i="1"/>
  <c r="AF1136" i="1"/>
  <c r="AF1137" i="1"/>
  <c r="AF1138" i="1"/>
  <c r="AF1139" i="1"/>
  <c r="AF1140" i="1"/>
  <c r="AF1141" i="1"/>
  <c r="AF1142" i="1"/>
  <c r="AF1143" i="1"/>
  <c r="AF1144" i="1"/>
  <c r="AF1145" i="1"/>
  <c r="AF1146" i="1"/>
  <c r="AF1147" i="1"/>
  <c r="AF1148" i="1"/>
  <c r="AF1149" i="1"/>
  <c r="AF1150" i="1"/>
  <c r="AF1151" i="1"/>
  <c r="AF1152" i="1"/>
  <c r="AF1153" i="1"/>
  <c r="AF1154" i="1"/>
  <c r="AF1155" i="1"/>
  <c r="AF1156" i="1"/>
  <c r="AF1157" i="1"/>
  <c r="AF1158" i="1"/>
  <c r="AF1159" i="1"/>
  <c r="AF1160" i="1"/>
  <c r="AF1161" i="1"/>
  <c r="AF1162" i="1"/>
  <c r="AF1163" i="1"/>
  <c r="AF1164" i="1"/>
  <c r="AF1165" i="1"/>
  <c r="AF1166" i="1"/>
  <c r="AF1167" i="1"/>
  <c r="AF1168" i="1"/>
  <c r="AF1169" i="1"/>
  <c r="AF1170" i="1"/>
  <c r="AF1171" i="1"/>
  <c r="AF1172" i="1"/>
  <c r="AF1173" i="1"/>
  <c r="AF1174" i="1"/>
  <c r="AF1175" i="1"/>
  <c r="AF1176" i="1"/>
  <c r="AF1177" i="1"/>
  <c r="AF1178" i="1"/>
  <c r="AF1179" i="1"/>
  <c r="AF1180" i="1"/>
  <c r="AF1181" i="1"/>
  <c r="AF1182" i="1"/>
  <c r="AF1183" i="1"/>
  <c r="AF1184" i="1"/>
  <c r="AF1185" i="1"/>
  <c r="AF1186" i="1"/>
  <c r="AF1187" i="1"/>
  <c r="AF1188" i="1"/>
  <c r="AF1189" i="1"/>
  <c r="AF1190" i="1"/>
  <c r="AF1191" i="1"/>
  <c r="AF1192" i="1"/>
  <c r="AF1193" i="1"/>
  <c r="AF1194" i="1"/>
  <c r="AF1195" i="1"/>
  <c r="AF1196" i="1"/>
  <c r="AF1197" i="1"/>
  <c r="AF1198" i="1"/>
  <c r="AF1199" i="1"/>
  <c r="AF1200" i="1"/>
  <c r="AF1201" i="1"/>
  <c r="AF1202" i="1"/>
  <c r="AF1203" i="1"/>
  <c r="AF1204" i="1"/>
  <c r="AF1205" i="1"/>
  <c r="AF1206" i="1"/>
  <c r="AF1207" i="1"/>
  <c r="AF1208" i="1"/>
  <c r="AF1209" i="1"/>
  <c r="AF1210" i="1"/>
  <c r="AF1211" i="1"/>
  <c r="AF1212" i="1"/>
  <c r="AF1213" i="1"/>
  <c r="AF1214" i="1"/>
  <c r="AF1215" i="1"/>
  <c r="AF1216" i="1"/>
  <c r="AF1217" i="1"/>
  <c r="AF1218" i="1"/>
  <c r="AF1219" i="1"/>
  <c r="AF1220" i="1"/>
  <c r="AF1221" i="1"/>
  <c r="AF1222" i="1"/>
  <c r="AF1223" i="1"/>
  <c r="AF1224" i="1"/>
  <c r="AF1225" i="1"/>
  <c r="AF1226" i="1"/>
  <c r="AF1227" i="1"/>
  <c r="AF1228" i="1"/>
  <c r="AF1229" i="1"/>
  <c r="AF1230" i="1"/>
  <c r="AF1231" i="1"/>
  <c r="AF1232" i="1"/>
  <c r="AF1233" i="1"/>
  <c r="AF1234" i="1"/>
  <c r="AF1235" i="1"/>
  <c r="AF1236" i="1"/>
  <c r="AF1237" i="1"/>
  <c r="AF1238" i="1"/>
  <c r="AF1239" i="1"/>
  <c r="AF1240" i="1"/>
  <c r="AF1241" i="1"/>
  <c r="AF1242" i="1"/>
  <c r="AF1243" i="1"/>
  <c r="AF1244" i="1"/>
  <c r="AF1245" i="1"/>
  <c r="AF1246" i="1"/>
  <c r="AF1247" i="1"/>
  <c r="AF1248" i="1"/>
  <c r="AF1249" i="1"/>
  <c r="AF1250" i="1"/>
  <c r="AF1251" i="1"/>
  <c r="AF1252" i="1"/>
  <c r="AF1253" i="1"/>
  <c r="AF1254" i="1"/>
  <c r="AF1255" i="1"/>
  <c r="AF1256" i="1"/>
  <c r="AF1257" i="1"/>
  <c r="AF1258" i="1"/>
  <c r="AF1259" i="1"/>
  <c r="AF1260" i="1"/>
  <c r="AF1261" i="1"/>
  <c r="AF1262" i="1"/>
  <c r="AF1263" i="1"/>
  <c r="AF1264" i="1"/>
  <c r="AF1265" i="1"/>
  <c r="AF1266" i="1"/>
  <c r="AF1267" i="1"/>
  <c r="AF1268" i="1"/>
  <c r="AF1269" i="1"/>
  <c r="AF1270" i="1"/>
  <c r="AF1271" i="1"/>
  <c r="AF1272" i="1"/>
  <c r="AF1273" i="1"/>
  <c r="AF1274" i="1"/>
  <c r="AF1275" i="1"/>
  <c r="AF1276" i="1"/>
  <c r="AF1277" i="1"/>
  <c r="AF1278" i="1"/>
  <c r="AF1279" i="1"/>
  <c r="AF1280" i="1"/>
  <c r="AF1281" i="1"/>
  <c r="AF1282" i="1"/>
  <c r="AF1283" i="1"/>
  <c r="AF1284" i="1"/>
  <c r="AF1285" i="1"/>
  <c r="AF1286" i="1"/>
  <c r="AF1287" i="1"/>
  <c r="AF1288" i="1"/>
  <c r="AF1289" i="1"/>
  <c r="AF1290" i="1"/>
  <c r="AF1291" i="1"/>
  <c r="AF1292" i="1"/>
  <c r="AF1293" i="1"/>
  <c r="AF1294" i="1"/>
  <c r="AF1295" i="1"/>
  <c r="AF1296" i="1"/>
  <c r="AF1297" i="1"/>
  <c r="AF1298" i="1"/>
  <c r="AF1299" i="1"/>
  <c r="AF1300" i="1"/>
  <c r="AF1301" i="1"/>
  <c r="AF1302" i="1"/>
  <c r="AF1303" i="1"/>
  <c r="AF1304" i="1"/>
  <c r="AF1305" i="1"/>
  <c r="AF1306" i="1"/>
  <c r="AF1307" i="1"/>
  <c r="AF1308" i="1"/>
  <c r="AF1309" i="1"/>
  <c r="AF1310" i="1"/>
  <c r="AF1311" i="1"/>
  <c r="AF1312" i="1"/>
  <c r="AF1313" i="1"/>
  <c r="AF1314" i="1"/>
  <c r="AF1315" i="1"/>
  <c r="AF1316" i="1"/>
  <c r="AF1317" i="1"/>
  <c r="AF1318" i="1"/>
  <c r="AF1319" i="1"/>
  <c r="AF1320" i="1"/>
  <c r="AF1321" i="1"/>
  <c r="AF1322" i="1"/>
  <c r="AF1323" i="1"/>
  <c r="AF1324" i="1"/>
  <c r="AF1325" i="1"/>
  <c r="AF1326" i="1"/>
  <c r="AF1327" i="1"/>
  <c r="AF1328" i="1"/>
  <c r="AF1329" i="1"/>
  <c r="AF1330" i="1"/>
  <c r="AF1331" i="1"/>
  <c r="AF1332" i="1"/>
  <c r="AF1333" i="1"/>
  <c r="AF1334" i="1"/>
  <c r="AF1335" i="1"/>
  <c r="AF1336" i="1"/>
  <c r="AF1337" i="1"/>
  <c r="AF1338" i="1"/>
  <c r="AF1339" i="1"/>
  <c r="AF1340" i="1"/>
  <c r="AF1341" i="1"/>
  <c r="AF1342" i="1"/>
  <c r="AF1343" i="1"/>
  <c r="AF1344" i="1"/>
  <c r="AF1345" i="1"/>
  <c r="AF1346" i="1"/>
  <c r="AF1347" i="1"/>
  <c r="AF1348" i="1"/>
  <c r="AF1349" i="1"/>
  <c r="AF1350" i="1"/>
  <c r="AF1351" i="1"/>
  <c r="AF1352" i="1"/>
  <c r="AF1353" i="1"/>
  <c r="AF1354" i="1"/>
  <c r="AF1355" i="1"/>
  <c r="AF1356" i="1"/>
  <c r="AF1357" i="1"/>
  <c r="AF1358" i="1"/>
  <c r="AF1359" i="1"/>
  <c r="AF1360" i="1"/>
  <c r="AF1361" i="1"/>
  <c r="AF1362" i="1"/>
  <c r="AF1363" i="1"/>
  <c r="AF1364" i="1"/>
  <c r="AF1365" i="1"/>
  <c r="AF1366" i="1"/>
  <c r="AF1367" i="1"/>
  <c r="AF1368" i="1"/>
  <c r="AF1369" i="1"/>
  <c r="AF1370" i="1"/>
  <c r="AF1371" i="1"/>
  <c r="AF1372" i="1"/>
  <c r="AF1373" i="1"/>
  <c r="AF1374" i="1"/>
  <c r="AF1375" i="1"/>
  <c r="AF1376" i="1"/>
  <c r="AF1377" i="1"/>
  <c r="AF1378" i="1"/>
  <c r="AF1379" i="1"/>
  <c r="AF1380" i="1"/>
  <c r="AF1381" i="1"/>
  <c r="AF1382" i="1"/>
  <c r="AF1383" i="1"/>
  <c r="AF1384" i="1"/>
  <c r="AF1385" i="1"/>
  <c r="AF1386" i="1"/>
  <c r="AF1387" i="1"/>
  <c r="AF1388" i="1"/>
  <c r="AF1389" i="1"/>
  <c r="AF1390" i="1"/>
  <c r="AF1391" i="1"/>
  <c r="AF1392" i="1"/>
  <c r="AF1393" i="1"/>
  <c r="AF1394" i="1"/>
  <c r="AF1395" i="1"/>
  <c r="AF1396" i="1"/>
  <c r="AF1397" i="1"/>
  <c r="AF1398" i="1"/>
  <c r="AF1399" i="1"/>
  <c r="AF1400" i="1"/>
  <c r="AF1401" i="1"/>
  <c r="AF1402" i="1"/>
  <c r="AF1403" i="1"/>
  <c r="AF1404" i="1"/>
  <c r="AF1405" i="1"/>
  <c r="AF1406" i="1"/>
  <c r="AF1407" i="1"/>
  <c r="AF1408" i="1"/>
  <c r="AF1409" i="1"/>
  <c r="AF1410" i="1"/>
  <c r="AF1411" i="1"/>
  <c r="AF1412" i="1"/>
  <c r="AF1413" i="1"/>
  <c r="AF1414" i="1"/>
  <c r="AF1415" i="1"/>
  <c r="AF1416" i="1"/>
  <c r="AF1417" i="1"/>
  <c r="AF1418" i="1"/>
  <c r="AF1419" i="1"/>
  <c r="AF1420" i="1"/>
  <c r="AF1421" i="1"/>
  <c r="AF1422" i="1"/>
  <c r="AF1423" i="1"/>
  <c r="AF1424" i="1"/>
  <c r="AF1425" i="1"/>
  <c r="AF1426" i="1"/>
  <c r="AF1427" i="1"/>
  <c r="AF1428" i="1"/>
  <c r="AF1429" i="1"/>
  <c r="AF1430" i="1"/>
  <c r="AF1431" i="1"/>
  <c r="AF1432" i="1"/>
  <c r="AF1433" i="1"/>
  <c r="AF1434" i="1"/>
  <c r="AF1435" i="1"/>
  <c r="AF1436" i="1"/>
  <c r="AF1437" i="1"/>
  <c r="AF1438" i="1"/>
  <c r="AF1439" i="1"/>
  <c r="AF1440" i="1"/>
  <c r="AF1441" i="1"/>
  <c r="AF1442" i="1"/>
  <c r="AF1443" i="1"/>
  <c r="AF1444" i="1"/>
  <c r="AF1445" i="1"/>
  <c r="AF1446" i="1"/>
  <c r="AF1447" i="1"/>
  <c r="AF1448" i="1"/>
  <c r="AF1449" i="1"/>
  <c r="AF1450" i="1"/>
  <c r="AF1451" i="1"/>
  <c r="AF1452" i="1"/>
  <c r="AF1453" i="1"/>
  <c r="AF1454" i="1"/>
  <c r="AF1455" i="1"/>
  <c r="AF1456" i="1"/>
  <c r="AF1457" i="1"/>
  <c r="AF1458" i="1"/>
  <c r="AF1459" i="1"/>
  <c r="AF1460" i="1"/>
  <c r="AF1461" i="1"/>
  <c r="AF1462" i="1"/>
  <c r="AF1463" i="1"/>
  <c r="AF1464" i="1"/>
  <c r="AF1465" i="1"/>
  <c r="AF1466" i="1"/>
  <c r="AF1467" i="1"/>
  <c r="AF1468" i="1"/>
  <c r="AF1469" i="1"/>
  <c r="AF1470" i="1"/>
  <c r="AF1471" i="1"/>
  <c r="AE2" i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24" i="1"/>
  <c r="AE425" i="1"/>
  <c r="AE426" i="1"/>
  <c r="AE427" i="1"/>
  <c r="AE428" i="1"/>
  <c r="AE429" i="1"/>
  <c r="AE430" i="1"/>
  <c r="AE431" i="1"/>
  <c r="AE432" i="1"/>
  <c r="AE433" i="1"/>
  <c r="AE434" i="1"/>
  <c r="AE435" i="1"/>
  <c r="AE436" i="1"/>
  <c r="AE437" i="1"/>
  <c r="AE438" i="1"/>
  <c r="AE439" i="1"/>
  <c r="AE440" i="1"/>
  <c r="AE441" i="1"/>
  <c r="AE442" i="1"/>
  <c r="AE443" i="1"/>
  <c r="AE444" i="1"/>
  <c r="AE445" i="1"/>
  <c r="AE446" i="1"/>
  <c r="AE447" i="1"/>
  <c r="AE448" i="1"/>
  <c r="AE449" i="1"/>
  <c r="AE450" i="1"/>
  <c r="AE451" i="1"/>
  <c r="AE452" i="1"/>
  <c r="AE453" i="1"/>
  <c r="AE454" i="1"/>
  <c r="AE455" i="1"/>
  <c r="AE456" i="1"/>
  <c r="AE457" i="1"/>
  <c r="AE458" i="1"/>
  <c r="AE459" i="1"/>
  <c r="AE460" i="1"/>
  <c r="AE461" i="1"/>
  <c r="AE462" i="1"/>
  <c r="AE463" i="1"/>
  <c r="AE464" i="1"/>
  <c r="AE465" i="1"/>
  <c r="AE466" i="1"/>
  <c r="AE467" i="1"/>
  <c r="AE468" i="1"/>
  <c r="AE469" i="1"/>
  <c r="AE470" i="1"/>
  <c r="AE471" i="1"/>
  <c r="AE472" i="1"/>
  <c r="AE473" i="1"/>
  <c r="AE474" i="1"/>
  <c r="AE475" i="1"/>
  <c r="AE476" i="1"/>
  <c r="AE477" i="1"/>
  <c r="AE478" i="1"/>
  <c r="AE479" i="1"/>
  <c r="AE480" i="1"/>
  <c r="AE481" i="1"/>
  <c r="AE482" i="1"/>
  <c r="AE483" i="1"/>
  <c r="AE484" i="1"/>
  <c r="AE485" i="1"/>
  <c r="AE486" i="1"/>
  <c r="AE487" i="1"/>
  <c r="AE488" i="1"/>
  <c r="AE489" i="1"/>
  <c r="AE490" i="1"/>
  <c r="AE491" i="1"/>
  <c r="AE492" i="1"/>
  <c r="AE493" i="1"/>
  <c r="AE494" i="1"/>
  <c r="AE495" i="1"/>
  <c r="AE496" i="1"/>
  <c r="AE497" i="1"/>
  <c r="AE498" i="1"/>
  <c r="AE499" i="1"/>
  <c r="AE500" i="1"/>
  <c r="AE501" i="1"/>
  <c r="AE502" i="1"/>
  <c r="AE503" i="1"/>
  <c r="AE504" i="1"/>
  <c r="AE505" i="1"/>
  <c r="AE506" i="1"/>
  <c r="AE507" i="1"/>
  <c r="AE508" i="1"/>
  <c r="AE509" i="1"/>
  <c r="AE510" i="1"/>
  <c r="AE511" i="1"/>
  <c r="AE512" i="1"/>
  <c r="AE513" i="1"/>
  <c r="AE514" i="1"/>
  <c r="AE515" i="1"/>
  <c r="AE516" i="1"/>
  <c r="AE517" i="1"/>
  <c r="AE518" i="1"/>
  <c r="AE519" i="1"/>
  <c r="AE520" i="1"/>
  <c r="AE521" i="1"/>
  <c r="AE522" i="1"/>
  <c r="AE523" i="1"/>
  <c r="AE524" i="1"/>
  <c r="AE525" i="1"/>
  <c r="AE526" i="1"/>
  <c r="AE527" i="1"/>
  <c r="AE528" i="1"/>
  <c r="AE529" i="1"/>
  <c r="AE530" i="1"/>
  <c r="AE531" i="1"/>
  <c r="AE532" i="1"/>
  <c r="AE533" i="1"/>
  <c r="AE534" i="1"/>
  <c r="AE535" i="1"/>
  <c r="AE536" i="1"/>
  <c r="AE537" i="1"/>
  <c r="AE538" i="1"/>
  <c r="AE539" i="1"/>
  <c r="AE540" i="1"/>
  <c r="AE541" i="1"/>
  <c r="AE542" i="1"/>
  <c r="AE543" i="1"/>
  <c r="AE544" i="1"/>
  <c r="AE545" i="1"/>
  <c r="AE546" i="1"/>
  <c r="AE547" i="1"/>
  <c r="AE548" i="1"/>
  <c r="AE549" i="1"/>
  <c r="AE550" i="1"/>
  <c r="AE551" i="1"/>
  <c r="AE552" i="1"/>
  <c r="AE553" i="1"/>
  <c r="AE554" i="1"/>
  <c r="AE555" i="1"/>
  <c r="AE556" i="1"/>
  <c r="AE557" i="1"/>
  <c r="AE558" i="1"/>
  <c r="AE559" i="1"/>
  <c r="AE560" i="1"/>
  <c r="AE561" i="1"/>
  <c r="AE562" i="1"/>
  <c r="AE563" i="1"/>
  <c r="AE564" i="1"/>
  <c r="AE565" i="1"/>
  <c r="AE566" i="1"/>
  <c r="AE567" i="1"/>
  <c r="AE568" i="1"/>
  <c r="AE569" i="1"/>
  <c r="AE570" i="1"/>
  <c r="AE571" i="1"/>
  <c r="AE572" i="1"/>
  <c r="AE573" i="1"/>
  <c r="AE574" i="1"/>
  <c r="AE575" i="1"/>
  <c r="AE576" i="1"/>
  <c r="AE577" i="1"/>
  <c r="AE578" i="1"/>
  <c r="AE579" i="1"/>
  <c r="AE580" i="1"/>
  <c r="AE581" i="1"/>
  <c r="AE582" i="1"/>
  <c r="AE583" i="1"/>
  <c r="AE584" i="1"/>
  <c r="AE585" i="1"/>
  <c r="AE586" i="1"/>
  <c r="AE587" i="1"/>
  <c r="AE588" i="1"/>
  <c r="AE589" i="1"/>
  <c r="AE590" i="1"/>
  <c r="AE591" i="1"/>
  <c r="AE592" i="1"/>
  <c r="AE593" i="1"/>
  <c r="AE594" i="1"/>
  <c r="AE595" i="1"/>
  <c r="AE596" i="1"/>
  <c r="AE597" i="1"/>
  <c r="AE598" i="1"/>
  <c r="AE599" i="1"/>
  <c r="AE600" i="1"/>
  <c r="AE601" i="1"/>
  <c r="AE602" i="1"/>
  <c r="AE603" i="1"/>
  <c r="AE604" i="1"/>
  <c r="AE605" i="1"/>
  <c r="AE606" i="1"/>
  <c r="AE607" i="1"/>
  <c r="AE608" i="1"/>
  <c r="AE609" i="1"/>
  <c r="AE610" i="1"/>
  <c r="AE611" i="1"/>
  <c r="AE612" i="1"/>
  <c r="AE613" i="1"/>
  <c r="AE614" i="1"/>
  <c r="AE615" i="1"/>
  <c r="AE616" i="1"/>
  <c r="AE617" i="1"/>
  <c r="AE618" i="1"/>
  <c r="AE619" i="1"/>
  <c r="AE620" i="1"/>
  <c r="AE621" i="1"/>
  <c r="AE622" i="1"/>
  <c r="AE623" i="1"/>
  <c r="AE624" i="1"/>
  <c r="AE625" i="1"/>
  <c r="AE626" i="1"/>
  <c r="AE627" i="1"/>
  <c r="AE628" i="1"/>
  <c r="AE629" i="1"/>
  <c r="AE630" i="1"/>
  <c r="AE631" i="1"/>
  <c r="AE632" i="1"/>
  <c r="AE633" i="1"/>
  <c r="AE634" i="1"/>
  <c r="AE635" i="1"/>
  <c r="AE636" i="1"/>
  <c r="AE637" i="1"/>
  <c r="AE638" i="1"/>
  <c r="AE639" i="1"/>
  <c r="AE640" i="1"/>
  <c r="AE641" i="1"/>
  <c r="AE642" i="1"/>
  <c r="AE643" i="1"/>
  <c r="AE644" i="1"/>
  <c r="AE645" i="1"/>
  <c r="AE646" i="1"/>
  <c r="AE647" i="1"/>
  <c r="AE648" i="1"/>
  <c r="AE649" i="1"/>
  <c r="AE650" i="1"/>
  <c r="AE651" i="1"/>
  <c r="AE652" i="1"/>
  <c r="AE653" i="1"/>
  <c r="AE654" i="1"/>
  <c r="AE655" i="1"/>
  <c r="AE656" i="1"/>
  <c r="AE657" i="1"/>
  <c r="AE658" i="1"/>
  <c r="AE659" i="1"/>
  <c r="AE660" i="1"/>
  <c r="AE661" i="1"/>
  <c r="AE662" i="1"/>
  <c r="AE663" i="1"/>
  <c r="AE664" i="1"/>
  <c r="AE665" i="1"/>
  <c r="AE666" i="1"/>
  <c r="AE667" i="1"/>
  <c r="AE668" i="1"/>
  <c r="AE669" i="1"/>
  <c r="AE670" i="1"/>
  <c r="AE671" i="1"/>
  <c r="AE672" i="1"/>
  <c r="AE673" i="1"/>
  <c r="AE674" i="1"/>
  <c r="AE675" i="1"/>
  <c r="AE676" i="1"/>
  <c r="AE677" i="1"/>
  <c r="AE678" i="1"/>
  <c r="AE679" i="1"/>
  <c r="AE680" i="1"/>
  <c r="AE681" i="1"/>
  <c r="AE682" i="1"/>
  <c r="AE683" i="1"/>
  <c r="AE684" i="1"/>
  <c r="AE685" i="1"/>
  <c r="AE686" i="1"/>
  <c r="AE687" i="1"/>
  <c r="AE688" i="1"/>
  <c r="AE689" i="1"/>
  <c r="AE690" i="1"/>
  <c r="AE691" i="1"/>
  <c r="AE692" i="1"/>
  <c r="AE693" i="1"/>
  <c r="AE694" i="1"/>
  <c r="AE695" i="1"/>
  <c r="AE696" i="1"/>
  <c r="AE697" i="1"/>
  <c r="AE698" i="1"/>
  <c r="AE699" i="1"/>
  <c r="AE700" i="1"/>
  <c r="AE701" i="1"/>
  <c r="AE702" i="1"/>
  <c r="AE703" i="1"/>
  <c r="AE704" i="1"/>
  <c r="AE705" i="1"/>
  <c r="AE706" i="1"/>
  <c r="AE707" i="1"/>
  <c r="AE708" i="1"/>
  <c r="AE709" i="1"/>
  <c r="AE710" i="1"/>
  <c r="AE711" i="1"/>
  <c r="AE712" i="1"/>
  <c r="AE713" i="1"/>
  <c r="AE714" i="1"/>
  <c r="AE715" i="1"/>
  <c r="AE716" i="1"/>
  <c r="AE717" i="1"/>
  <c r="AE718" i="1"/>
  <c r="AE719" i="1"/>
  <c r="AE720" i="1"/>
  <c r="AE721" i="1"/>
  <c r="AE722" i="1"/>
  <c r="AE723" i="1"/>
  <c r="AE724" i="1"/>
  <c r="AE725" i="1"/>
  <c r="AE726" i="1"/>
  <c r="AE727" i="1"/>
  <c r="AE728" i="1"/>
  <c r="AE729" i="1"/>
  <c r="AE730" i="1"/>
  <c r="AE731" i="1"/>
  <c r="AE732" i="1"/>
  <c r="AE733" i="1"/>
  <c r="AE734" i="1"/>
  <c r="AE735" i="1"/>
  <c r="AE736" i="1"/>
  <c r="AE737" i="1"/>
  <c r="AE738" i="1"/>
  <c r="AE739" i="1"/>
  <c r="AE740" i="1"/>
  <c r="AE741" i="1"/>
  <c r="AE742" i="1"/>
  <c r="AE743" i="1"/>
  <c r="AE744" i="1"/>
  <c r="AE745" i="1"/>
  <c r="AE746" i="1"/>
  <c r="AE747" i="1"/>
  <c r="AE748" i="1"/>
  <c r="AE749" i="1"/>
  <c r="AE750" i="1"/>
  <c r="AE751" i="1"/>
  <c r="AE752" i="1"/>
  <c r="AE753" i="1"/>
  <c r="AE754" i="1"/>
  <c r="AE755" i="1"/>
  <c r="AE756" i="1"/>
  <c r="AE757" i="1"/>
  <c r="AE758" i="1"/>
  <c r="AE759" i="1"/>
  <c r="AE760" i="1"/>
  <c r="AE761" i="1"/>
  <c r="AE762" i="1"/>
  <c r="AE763" i="1"/>
  <c r="AE764" i="1"/>
  <c r="AE765" i="1"/>
  <c r="AE766" i="1"/>
  <c r="AE767" i="1"/>
  <c r="AE768" i="1"/>
  <c r="AE769" i="1"/>
  <c r="AE770" i="1"/>
  <c r="AE771" i="1"/>
  <c r="AE772" i="1"/>
  <c r="AE773" i="1"/>
  <c r="AE774" i="1"/>
  <c r="AE775" i="1"/>
  <c r="AE776" i="1"/>
  <c r="AE777" i="1"/>
  <c r="AE778" i="1"/>
  <c r="AE779" i="1"/>
  <c r="AE780" i="1"/>
  <c r="AE781" i="1"/>
  <c r="AE782" i="1"/>
  <c r="AE783" i="1"/>
  <c r="AE784" i="1"/>
  <c r="AE785" i="1"/>
  <c r="AE786" i="1"/>
  <c r="AE787" i="1"/>
  <c r="AE788" i="1"/>
  <c r="AE789" i="1"/>
  <c r="AE790" i="1"/>
  <c r="AE791" i="1"/>
  <c r="AE792" i="1"/>
  <c r="AE793" i="1"/>
  <c r="AE794" i="1"/>
  <c r="AE795" i="1"/>
  <c r="AE796" i="1"/>
  <c r="AE797" i="1"/>
  <c r="AE798" i="1"/>
  <c r="AE799" i="1"/>
  <c r="AE800" i="1"/>
  <c r="AE801" i="1"/>
  <c r="AE802" i="1"/>
  <c r="AE803" i="1"/>
  <c r="AE804" i="1"/>
  <c r="AE805" i="1"/>
  <c r="AE806" i="1"/>
  <c r="AE807" i="1"/>
  <c r="AE808" i="1"/>
  <c r="AE809" i="1"/>
  <c r="AE810" i="1"/>
  <c r="AE811" i="1"/>
  <c r="AE812" i="1"/>
  <c r="AE813" i="1"/>
  <c r="AE814" i="1"/>
  <c r="AE815" i="1"/>
  <c r="AE816" i="1"/>
  <c r="AE817" i="1"/>
  <c r="AE818" i="1"/>
  <c r="AE819" i="1"/>
  <c r="AE820" i="1"/>
  <c r="AE821" i="1"/>
  <c r="AE822" i="1"/>
  <c r="AE823" i="1"/>
  <c r="AE824" i="1"/>
  <c r="AE825" i="1"/>
  <c r="AE826" i="1"/>
  <c r="AE827" i="1"/>
  <c r="AE828" i="1"/>
  <c r="AE829" i="1"/>
  <c r="AE830" i="1"/>
  <c r="AE831" i="1"/>
  <c r="AE832" i="1"/>
  <c r="AE833" i="1"/>
  <c r="AE834" i="1"/>
  <c r="AE835" i="1"/>
  <c r="AE836" i="1"/>
  <c r="AE837" i="1"/>
  <c r="AE838" i="1"/>
  <c r="AE839" i="1"/>
  <c r="AE840" i="1"/>
  <c r="AE841" i="1"/>
  <c r="AE842" i="1"/>
  <c r="AE843" i="1"/>
  <c r="AE844" i="1"/>
  <c r="AE845" i="1"/>
  <c r="AE846" i="1"/>
  <c r="AE847" i="1"/>
  <c r="AE848" i="1"/>
  <c r="AE849" i="1"/>
  <c r="AE850" i="1"/>
  <c r="AE851" i="1"/>
  <c r="AE852" i="1"/>
  <c r="AE853" i="1"/>
  <c r="AE854" i="1"/>
  <c r="AE855" i="1"/>
  <c r="AE856" i="1"/>
  <c r="AE857" i="1"/>
  <c r="AE858" i="1"/>
  <c r="AE859" i="1"/>
  <c r="AE860" i="1"/>
  <c r="AE861" i="1"/>
  <c r="AE862" i="1"/>
  <c r="AE863" i="1"/>
  <c r="AE864" i="1"/>
  <c r="AE865" i="1"/>
  <c r="AE866" i="1"/>
  <c r="AE867" i="1"/>
  <c r="AE868" i="1"/>
  <c r="AE869" i="1"/>
  <c r="AE870" i="1"/>
  <c r="AE871" i="1"/>
  <c r="AE872" i="1"/>
  <c r="AE873" i="1"/>
  <c r="AE874" i="1"/>
  <c r="AE875" i="1"/>
  <c r="AE876" i="1"/>
  <c r="AE877" i="1"/>
  <c r="AE878" i="1"/>
  <c r="AE879" i="1"/>
  <c r="AE880" i="1"/>
  <c r="AE881" i="1"/>
  <c r="AE882" i="1"/>
  <c r="AE883" i="1"/>
  <c r="AE884" i="1"/>
  <c r="AE885" i="1"/>
  <c r="AE886" i="1"/>
  <c r="AE887" i="1"/>
  <c r="AE888" i="1"/>
  <c r="AE889" i="1"/>
  <c r="AE890" i="1"/>
  <c r="AE891" i="1"/>
  <c r="AE892" i="1"/>
  <c r="AE893" i="1"/>
  <c r="AE894" i="1"/>
  <c r="AE895" i="1"/>
  <c r="AE896" i="1"/>
  <c r="AE897" i="1"/>
  <c r="AE898" i="1"/>
  <c r="AE899" i="1"/>
  <c r="AE900" i="1"/>
  <c r="AE901" i="1"/>
  <c r="AE902" i="1"/>
  <c r="AE903" i="1"/>
  <c r="AE904" i="1"/>
  <c r="AE905" i="1"/>
  <c r="AE906" i="1"/>
  <c r="AE907" i="1"/>
  <c r="AE908" i="1"/>
  <c r="AE909" i="1"/>
  <c r="AE910" i="1"/>
  <c r="AE911" i="1"/>
  <c r="AE912" i="1"/>
  <c r="AE913" i="1"/>
  <c r="AE914" i="1"/>
  <c r="AE915" i="1"/>
  <c r="AE916" i="1"/>
  <c r="AE917" i="1"/>
  <c r="AE918" i="1"/>
  <c r="AE919" i="1"/>
  <c r="AE920" i="1"/>
  <c r="AE921" i="1"/>
  <c r="AE922" i="1"/>
  <c r="AE923" i="1"/>
  <c r="AE924" i="1"/>
  <c r="AE925" i="1"/>
  <c r="AE926" i="1"/>
  <c r="AE927" i="1"/>
  <c r="AE928" i="1"/>
  <c r="AE929" i="1"/>
  <c r="AE930" i="1"/>
  <c r="AE931" i="1"/>
  <c r="AE932" i="1"/>
  <c r="AE933" i="1"/>
  <c r="AE934" i="1"/>
  <c r="AE935" i="1"/>
  <c r="AE936" i="1"/>
  <c r="AE937" i="1"/>
  <c r="AE938" i="1"/>
  <c r="AE939" i="1"/>
  <c r="AE940" i="1"/>
  <c r="AE941" i="1"/>
  <c r="AE942" i="1"/>
  <c r="AE943" i="1"/>
  <c r="AE944" i="1"/>
  <c r="AE945" i="1"/>
  <c r="AE946" i="1"/>
  <c r="AE947" i="1"/>
  <c r="AE948" i="1"/>
  <c r="AE949" i="1"/>
  <c r="AE950" i="1"/>
  <c r="AE951" i="1"/>
  <c r="AE952" i="1"/>
  <c r="AE953" i="1"/>
  <c r="AE954" i="1"/>
  <c r="AE955" i="1"/>
  <c r="AE956" i="1"/>
  <c r="AE957" i="1"/>
  <c r="AE958" i="1"/>
  <c r="AE959" i="1"/>
  <c r="AE960" i="1"/>
  <c r="AE961" i="1"/>
  <c r="AE962" i="1"/>
  <c r="AE963" i="1"/>
  <c r="AE964" i="1"/>
  <c r="AE965" i="1"/>
  <c r="AE966" i="1"/>
  <c r="AE967" i="1"/>
  <c r="AE968" i="1"/>
  <c r="AE969" i="1"/>
  <c r="AE970" i="1"/>
  <c r="AE971" i="1"/>
  <c r="AE972" i="1"/>
  <c r="AE973" i="1"/>
  <c r="AE974" i="1"/>
  <c r="AE975" i="1"/>
  <c r="AE976" i="1"/>
  <c r="AE977" i="1"/>
  <c r="AE978" i="1"/>
  <c r="AE979" i="1"/>
  <c r="AE980" i="1"/>
  <c r="AE981" i="1"/>
  <c r="AE982" i="1"/>
  <c r="AE983" i="1"/>
  <c r="AE984" i="1"/>
  <c r="AE985" i="1"/>
  <c r="AE986" i="1"/>
  <c r="AE987" i="1"/>
  <c r="AE988" i="1"/>
  <c r="AE989" i="1"/>
  <c r="AE990" i="1"/>
  <c r="AE991" i="1"/>
  <c r="AE992" i="1"/>
  <c r="AE993" i="1"/>
  <c r="AE994" i="1"/>
  <c r="AE995" i="1"/>
  <c r="AE996" i="1"/>
  <c r="AE997" i="1"/>
  <c r="AE998" i="1"/>
  <c r="AE999" i="1"/>
  <c r="AE1000" i="1"/>
  <c r="AE1001" i="1"/>
  <c r="AE1002" i="1"/>
  <c r="AE1003" i="1"/>
  <c r="AE1004" i="1"/>
  <c r="AE1005" i="1"/>
  <c r="AE1006" i="1"/>
  <c r="AE1007" i="1"/>
  <c r="AE1008" i="1"/>
  <c r="AE1009" i="1"/>
  <c r="AE1010" i="1"/>
  <c r="AE1011" i="1"/>
  <c r="AE1012" i="1"/>
  <c r="AE1013" i="1"/>
  <c r="AE1014" i="1"/>
  <c r="AE1015" i="1"/>
  <c r="AE1016" i="1"/>
  <c r="AE1017" i="1"/>
  <c r="AE1018" i="1"/>
  <c r="AE1019" i="1"/>
  <c r="AE1020" i="1"/>
  <c r="AE1021" i="1"/>
  <c r="AE1022" i="1"/>
  <c r="AE1023" i="1"/>
  <c r="AE1024" i="1"/>
  <c r="AE1025" i="1"/>
  <c r="AE1026" i="1"/>
  <c r="AE1027" i="1"/>
  <c r="AE1028" i="1"/>
  <c r="AE1029" i="1"/>
  <c r="AE1030" i="1"/>
  <c r="AE1031" i="1"/>
  <c r="AE1032" i="1"/>
  <c r="AE1033" i="1"/>
  <c r="AE1034" i="1"/>
  <c r="AE1035" i="1"/>
  <c r="AE1036" i="1"/>
  <c r="AE1037" i="1"/>
  <c r="AE1038" i="1"/>
  <c r="AE1039" i="1"/>
  <c r="AE1040" i="1"/>
  <c r="AE1041" i="1"/>
  <c r="AE1042" i="1"/>
  <c r="AE1043" i="1"/>
  <c r="AE1044" i="1"/>
  <c r="AE1045" i="1"/>
  <c r="AE1046" i="1"/>
  <c r="AE1047" i="1"/>
  <c r="AE1048" i="1"/>
  <c r="AE1049" i="1"/>
  <c r="AE1050" i="1"/>
  <c r="AE1051" i="1"/>
  <c r="AE1052" i="1"/>
  <c r="AE1053" i="1"/>
  <c r="AE1054" i="1"/>
  <c r="AE1055" i="1"/>
  <c r="AE1056" i="1"/>
  <c r="AE1057" i="1"/>
  <c r="AE1058" i="1"/>
  <c r="AE1059" i="1"/>
  <c r="AE1060" i="1"/>
  <c r="AE1061" i="1"/>
  <c r="AE1062" i="1"/>
  <c r="AE1063" i="1"/>
  <c r="AE1064" i="1"/>
  <c r="AE1065" i="1"/>
  <c r="AE1066" i="1"/>
  <c r="AE1067" i="1"/>
  <c r="AE1068" i="1"/>
  <c r="AE1069" i="1"/>
  <c r="AE1070" i="1"/>
  <c r="AE1071" i="1"/>
  <c r="AE1072" i="1"/>
  <c r="AE1073" i="1"/>
  <c r="AE1074" i="1"/>
  <c r="AE1075" i="1"/>
  <c r="AE1076" i="1"/>
  <c r="AE1077" i="1"/>
  <c r="AE1078" i="1"/>
  <c r="AE1079" i="1"/>
  <c r="AE1080" i="1"/>
  <c r="AE1081" i="1"/>
  <c r="AE1082" i="1"/>
  <c r="AE1083" i="1"/>
  <c r="AE1084" i="1"/>
  <c r="AE1085" i="1"/>
  <c r="AE1086" i="1"/>
  <c r="AE1087" i="1"/>
  <c r="AE1088" i="1"/>
  <c r="AE1089" i="1"/>
  <c r="AE1090" i="1"/>
  <c r="AE1091" i="1"/>
  <c r="AE1092" i="1"/>
  <c r="AE1093" i="1"/>
  <c r="AE1094" i="1"/>
  <c r="AE1095" i="1"/>
  <c r="AE1096" i="1"/>
  <c r="AE1097" i="1"/>
  <c r="AE1098" i="1"/>
  <c r="AE1099" i="1"/>
  <c r="AE1100" i="1"/>
  <c r="AE1101" i="1"/>
  <c r="AE1102" i="1"/>
  <c r="AE1103" i="1"/>
  <c r="AE1104" i="1"/>
  <c r="AE1105" i="1"/>
  <c r="AE1106" i="1"/>
  <c r="AE1107" i="1"/>
  <c r="AE1108" i="1"/>
  <c r="AE1109" i="1"/>
  <c r="AE1110" i="1"/>
  <c r="AE1111" i="1"/>
  <c r="AE1112" i="1"/>
  <c r="AE1113" i="1"/>
  <c r="AE1114" i="1"/>
  <c r="AE1115" i="1"/>
  <c r="AE1116" i="1"/>
  <c r="AE1117" i="1"/>
  <c r="AE1118" i="1"/>
  <c r="AE1119" i="1"/>
  <c r="AE1120" i="1"/>
  <c r="AE1121" i="1"/>
  <c r="AE1122" i="1"/>
  <c r="AE1123" i="1"/>
  <c r="AE1124" i="1"/>
  <c r="AE1125" i="1"/>
  <c r="AE1126" i="1"/>
  <c r="AE1127" i="1"/>
  <c r="AE1128" i="1"/>
  <c r="AE1129" i="1"/>
  <c r="AE1130" i="1"/>
  <c r="AE1131" i="1"/>
  <c r="AE1132" i="1"/>
  <c r="AE1133" i="1"/>
  <c r="AE1134" i="1"/>
  <c r="AE1135" i="1"/>
  <c r="AE1136" i="1"/>
  <c r="AE1137" i="1"/>
  <c r="AE1138" i="1"/>
  <c r="AE1139" i="1"/>
  <c r="AE1140" i="1"/>
  <c r="AE1141" i="1"/>
  <c r="AE1142" i="1"/>
  <c r="AE1143" i="1"/>
  <c r="AE1144" i="1"/>
  <c r="AE1145" i="1"/>
  <c r="AE1146" i="1"/>
  <c r="AE1147" i="1"/>
  <c r="AE1148" i="1"/>
  <c r="AE1149" i="1"/>
  <c r="AE1150" i="1"/>
  <c r="AE1151" i="1"/>
  <c r="AE1152" i="1"/>
  <c r="AE1153" i="1"/>
  <c r="AE1154" i="1"/>
  <c r="AE1155" i="1"/>
  <c r="AE1156" i="1"/>
  <c r="AE1157" i="1"/>
  <c r="AE1158" i="1"/>
  <c r="AE1159" i="1"/>
  <c r="AE1160" i="1"/>
  <c r="AE1161" i="1"/>
  <c r="AE1162" i="1"/>
  <c r="AE1163" i="1"/>
  <c r="AE1164" i="1"/>
  <c r="AE1165" i="1"/>
  <c r="AE1166" i="1"/>
  <c r="AE1167" i="1"/>
  <c r="AE1168" i="1"/>
  <c r="AE1169" i="1"/>
  <c r="AE1170" i="1"/>
  <c r="AE1171" i="1"/>
  <c r="AE1172" i="1"/>
  <c r="AE1173" i="1"/>
  <c r="AE1174" i="1"/>
  <c r="AE1175" i="1"/>
  <c r="AE1176" i="1"/>
  <c r="AE1177" i="1"/>
  <c r="AE1178" i="1"/>
  <c r="AE1179" i="1"/>
  <c r="AE1180" i="1"/>
  <c r="AE1181" i="1"/>
  <c r="AE1182" i="1"/>
  <c r="AE1183" i="1"/>
  <c r="AE1184" i="1"/>
  <c r="AE1185" i="1"/>
  <c r="AE1186" i="1"/>
  <c r="AE1187" i="1"/>
  <c r="AE1188" i="1"/>
  <c r="AE1189" i="1"/>
  <c r="AE1190" i="1"/>
  <c r="AE1191" i="1"/>
  <c r="AE1192" i="1"/>
  <c r="AE1193" i="1"/>
  <c r="AE1194" i="1"/>
  <c r="AE1195" i="1"/>
  <c r="AE1196" i="1"/>
  <c r="AE1197" i="1"/>
  <c r="AE1198" i="1"/>
  <c r="AE1199" i="1"/>
  <c r="AE1200" i="1"/>
  <c r="AE1201" i="1"/>
  <c r="AE1202" i="1"/>
  <c r="AE1203" i="1"/>
  <c r="AE1204" i="1"/>
  <c r="AE1205" i="1"/>
  <c r="AE1206" i="1"/>
  <c r="AE1207" i="1"/>
  <c r="AE1208" i="1"/>
  <c r="AE1209" i="1"/>
  <c r="AE1210" i="1"/>
  <c r="AE1211" i="1"/>
  <c r="AE1212" i="1"/>
  <c r="AE1213" i="1"/>
  <c r="AE1214" i="1"/>
  <c r="AE1215" i="1"/>
  <c r="AE1216" i="1"/>
  <c r="AE1217" i="1"/>
  <c r="AE1218" i="1"/>
  <c r="AE1219" i="1"/>
  <c r="AE1220" i="1"/>
  <c r="AE1221" i="1"/>
  <c r="AE1222" i="1"/>
  <c r="AE1223" i="1"/>
  <c r="AE1224" i="1"/>
  <c r="AE1225" i="1"/>
  <c r="AE1226" i="1"/>
  <c r="AE1227" i="1"/>
  <c r="AE1228" i="1"/>
  <c r="AE1229" i="1"/>
  <c r="AE1230" i="1"/>
  <c r="AE1231" i="1"/>
  <c r="AE1232" i="1"/>
  <c r="AE1233" i="1"/>
  <c r="AE1234" i="1"/>
  <c r="AE1235" i="1"/>
  <c r="AE1236" i="1"/>
  <c r="AE1237" i="1"/>
  <c r="AE1238" i="1"/>
  <c r="AE1239" i="1"/>
  <c r="AE1240" i="1"/>
  <c r="AE1241" i="1"/>
  <c r="AE1242" i="1"/>
  <c r="AE1243" i="1"/>
  <c r="AE1244" i="1"/>
  <c r="AE1245" i="1"/>
  <c r="AE1246" i="1"/>
  <c r="AE1247" i="1"/>
  <c r="AE1248" i="1"/>
  <c r="AE1249" i="1"/>
  <c r="AE1250" i="1"/>
  <c r="AE1251" i="1"/>
  <c r="AE1252" i="1"/>
  <c r="AE1253" i="1"/>
  <c r="AE1254" i="1"/>
  <c r="AE1255" i="1"/>
  <c r="AE1256" i="1"/>
  <c r="AE1257" i="1"/>
  <c r="AE1258" i="1"/>
  <c r="AE1259" i="1"/>
  <c r="AE1260" i="1"/>
  <c r="AE1261" i="1"/>
  <c r="AE1262" i="1"/>
  <c r="AE1263" i="1"/>
  <c r="AE1264" i="1"/>
  <c r="AE1265" i="1"/>
  <c r="AE1266" i="1"/>
  <c r="AE1267" i="1"/>
  <c r="AE1268" i="1"/>
  <c r="AE1269" i="1"/>
  <c r="AE1270" i="1"/>
  <c r="AE1271" i="1"/>
  <c r="AE1272" i="1"/>
  <c r="AE1273" i="1"/>
  <c r="AE1274" i="1"/>
  <c r="AE1275" i="1"/>
  <c r="AE1276" i="1"/>
  <c r="AE1277" i="1"/>
  <c r="AE1278" i="1"/>
  <c r="AE1279" i="1"/>
  <c r="AE1280" i="1"/>
  <c r="AE1281" i="1"/>
  <c r="AE1282" i="1"/>
  <c r="AE1283" i="1"/>
  <c r="AE1284" i="1"/>
  <c r="AE1285" i="1"/>
  <c r="AE1286" i="1"/>
  <c r="AE1287" i="1"/>
  <c r="AE1288" i="1"/>
  <c r="AE1289" i="1"/>
  <c r="AE1290" i="1"/>
  <c r="AE1291" i="1"/>
  <c r="AE1292" i="1"/>
  <c r="AE1293" i="1"/>
  <c r="AE1294" i="1"/>
  <c r="AE1295" i="1"/>
  <c r="AE1296" i="1"/>
  <c r="AE1297" i="1"/>
  <c r="AE1298" i="1"/>
  <c r="AE1299" i="1"/>
  <c r="AE1300" i="1"/>
  <c r="AE1301" i="1"/>
  <c r="AE1302" i="1"/>
  <c r="AE1303" i="1"/>
  <c r="AE1304" i="1"/>
  <c r="AE1305" i="1"/>
  <c r="AE1306" i="1"/>
  <c r="AE1307" i="1"/>
  <c r="AE1308" i="1"/>
  <c r="AE1309" i="1"/>
  <c r="AE1310" i="1"/>
  <c r="AE1311" i="1"/>
  <c r="AE1312" i="1"/>
  <c r="AE1313" i="1"/>
  <c r="AE1314" i="1"/>
  <c r="AE1315" i="1"/>
  <c r="AE1316" i="1"/>
  <c r="AE1317" i="1"/>
  <c r="AE1318" i="1"/>
  <c r="AE1319" i="1"/>
  <c r="AE1320" i="1"/>
  <c r="AE1321" i="1"/>
  <c r="AE1322" i="1"/>
  <c r="AE1323" i="1"/>
  <c r="AE1324" i="1"/>
  <c r="AE1325" i="1"/>
  <c r="AE1326" i="1"/>
  <c r="AE1327" i="1"/>
  <c r="AE1328" i="1"/>
  <c r="AE1329" i="1"/>
  <c r="AE1330" i="1"/>
  <c r="AE1331" i="1"/>
  <c r="AE1332" i="1"/>
  <c r="AE1333" i="1"/>
  <c r="AE1334" i="1"/>
  <c r="AE1335" i="1"/>
  <c r="AE1336" i="1"/>
  <c r="AE1337" i="1"/>
  <c r="AE1338" i="1"/>
  <c r="AE1339" i="1"/>
  <c r="AE1340" i="1"/>
  <c r="AE1341" i="1"/>
  <c r="AE1342" i="1"/>
  <c r="AE1343" i="1"/>
  <c r="AE1344" i="1"/>
  <c r="AE1345" i="1"/>
  <c r="AE1346" i="1"/>
  <c r="AE1347" i="1"/>
  <c r="AE1348" i="1"/>
  <c r="AE1349" i="1"/>
  <c r="AE1350" i="1"/>
  <c r="AE1351" i="1"/>
  <c r="AE1352" i="1"/>
  <c r="AE1353" i="1"/>
  <c r="AE1354" i="1"/>
  <c r="AE1355" i="1"/>
  <c r="AE1356" i="1"/>
  <c r="AE1357" i="1"/>
  <c r="AE1358" i="1"/>
  <c r="AE1359" i="1"/>
  <c r="AE1360" i="1"/>
  <c r="AE1361" i="1"/>
  <c r="AE1362" i="1"/>
  <c r="AE1363" i="1"/>
  <c r="AE1364" i="1"/>
  <c r="AE1365" i="1"/>
  <c r="AE1366" i="1"/>
  <c r="AE1367" i="1"/>
  <c r="AE1368" i="1"/>
  <c r="AE1369" i="1"/>
  <c r="AE1370" i="1"/>
  <c r="AE1371" i="1"/>
  <c r="AE1372" i="1"/>
  <c r="AE1373" i="1"/>
  <c r="AE1374" i="1"/>
  <c r="AE1375" i="1"/>
  <c r="AE1376" i="1"/>
  <c r="AE1377" i="1"/>
  <c r="AE1378" i="1"/>
  <c r="AE1379" i="1"/>
  <c r="AE1380" i="1"/>
  <c r="AE1381" i="1"/>
  <c r="AE1382" i="1"/>
  <c r="AE1383" i="1"/>
  <c r="AE1384" i="1"/>
  <c r="AE1385" i="1"/>
  <c r="AE1386" i="1"/>
  <c r="AE1387" i="1"/>
  <c r="AE1388" i="1"/>
  <c r="AE1389" i="1"/>
  <c r="AE1390" i="1"/>
  <c r="AE1391" i="1"/>
  <c r="AE1392" i="1"/>
  <c r="AE1393" i="1"/>
  <c r="AE1394" i="1"/>
  <c r="AE1395" i="1"/>
  <c r="AE1396" i="1"/>
  <c r="AE1397" i="1"/>
  <c r="AE1398" i="1"/>
  <c r="AE1399" i="1"/>
  <c r="AE1400" i="1"/>
  <c r="AE1401" i="1"/>
  <c r="AE1402" i="1"/>
  <c r="AE1403" i="1"/>
  <c r="AE1404" i="1"/>
  <c r="AE1405" i="1"/>
  <c r="AE1406" i="1"/>
  <c r="AE1407" i="1"/>
  <c r="AE1408" i="1"/>
  <c r="AE1409" i="1"/>
  <c r="AE1410" i="1"/>
  <c r="AE1411" i="1"/>
  <c r="AE1412" i="1"/>
  <c r="AE1413" i="1"/>
  <c r="AE1414" i="1"/>
  <c r="AE1415" i="1"/>
  <c r="AE1416" i="1"/>
  <c r="AE1417" i="1"/>
  <c r="AE1418" i="1"/>
  <c r="AE1419" i="1"/>
  <c r="AE1420" i="1"/>
  <c r="AE1421" i="1"/>
  <c r="AE1422" i="1"/>
  <c r="AE1423" i="1"/>
  <c r="AE1424" i="1"/>
  <c r="AE1425" i="1"/>
  <c r="AE1426" i="1"/>
  <c r="AE1427" i="1"/>
  <c r="AE1428" i="1"/>
  <c r="AE1429" i="1"/>
  <c r="AE1430" i="1"/>
  <c r="AE1431" i="1"/>
  <c r="AE1432" i="1"/>
  <c r="AE1433" i="1"/>
  <c r="AE1434" i="1"/>
  <c r="AE1435" i="1"/>
  <c r="AE1436" i="1"/>
  <c r="AE1437" i="1"/>
  <c r="AE1438" i="1"/>
  <c r="AE1439" i="1"/>
  <c r="AE1440" i="1"/>
  <c r="AE1441" i="1"/>
  <c r="AE1442" i="1"/>
  <c r="AE1443" i="1"/>
  <c r="AE1444" i="1"/>
  <c r="AE1445" i="1"/>
  <c r="AE1446" i="1"/>
  <c r="AE1447" i="1"/>
  <c r="AE1448" i="1"/>
  <c r="AE1449" i="1"/>
  <c r="AE1450" i="1"/>
  <c r="AE1451" i="1"/>
  <c r="AE1452" i="1"/>
  <c r="AE1453" i="1"/>
  <c r="AE1454" i="1"/>
  <c r="AE1455" i="1"/>
  <c r="AE1456" i="1"/>
  <c r="AE1457" i="1"/>
  <c r="AE1458" i="1"/>
  <c r="AE1459" i="1"/>
  <c r="AE1460" i="1"/>
  <c r="AE1461" i="1"/>
  <c r="AE1462" i="1"/>
  <c r="AE1463" i="1"/>
  <c r="AE1464" i="1"/>
  <c r="AE1465" i="1"/>
  <c r="AE1466" i="1"/>
  <c r="AE1467" i="1"/>
  <c r="AE1468" i="1"/>
  <c r="AE1469" i="1"/>
  <c r="AE1470" i="1"/>
  <c r="AE1471" i="1"/>
  <c r="AD2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477" i="1"/>
  <c r="AD478" i="1"/>
  <c r="AD479" i="1"/>
  <c r="AD480" i="1"/>
  <c r="AD481" i="1"/>
  <c r="AD482" i="1"/>
  <c r="AD483" i="1"/>
  <c r="AD484" i="1"/>
  <c r="AD485" i="1"/>
  <c r="AD486" i="1"/>
  <c r="AD487" i="1"/>
  <c r="AD488" i="1"/>
  <c r="AD489" i="1"/>
  <c r="AD490" i="1"/>
  <c r="AD491" i="1"/>
  <c r="AD492" i="1"/>
  <c r="AD493" i="1"/>
  <c r="AD494" i="1"/>
  <c r="AD495" i="1"/>
  <c r="AD496" i="1"/>
  <c r="AD497" i="1"/>
  <c r="AD498" i="1"/>
  <c r="AD499" i="1"/>
  <c r="AD500" i="1"/>
  <c r="AD501" i="1"/>
  <c r="AD502" i="1"/>
  <c r="AD503" i="1"/>
  <c r="AD504" i="1"/>
  <c r="AD505" i="1"/>
  <c r="AD506" i="1"/>
  <c r="AD507" i="1"/>
  <c r="AD508" i="1"/>
  <c r="AD509" i="1"/>
  <c r="AD510" i="1"/>
  <c r="AD511" i="1"/>
  <c r="AD512" i="1"/>
  <c r="AD513" i="1"/>
  <c r="AD514" i="1"/>
  <c r="AD515" i="1"/>
  <c r="AD516" i="1"/>
  <c r="AD517" i="1"/>
  <c r="AD518" i="1"/>
  <c r="AD519" i="1"/>
  <c r="AD520" i="1"/>
  <c r="AD521" i="1"/>
  <c r="AD522" i="1"/>
  <c r="AD523" i="1"/>
  <c r="AD524" i="1"/>
  <c r="AD525" i="1"/>
  <c r="AD526" i="1"/>
  <c r="AD527" i="1"/>
  <c r="AD528" i="1"/>
  <c r="AD529" i="1"/>
  <c r="AD530" i="1"/>
  <c r="AD531" i="1"/>
  <c r="AD532" i="1"/>
  <c r="AD533" i="1"/>
  <c r="AD534" i="1"/>
  <c r="AD535" i="1"/>
  <c r="AD536" i="1"/>
  <c r="AD537" i="1"/>
  <c r="AD538" i="1"/>
  <c r="AD539" i="1"/>
  <c r="AD540" i="1"/>
  <c r="AD541" i="1"/>
  <c r="AD542" i="1"/>
  <c r="AD543" i="1"/>
  <c r="AD544" i="1"/>
  <c r="AD545" i="1"/>
  <c r="AD546" i="1"/>
  <c r="AD547" i="1"/>
  <c r="AD548" i="1"/>
  <c r="AD549" i="1"/>
  <c r="AD550" i="1"/>
  <c r="AD551" i="1"/>
  <c r="AD552" i="1"/>
  <c r="AD553" i="1"/>
  <c r="AD554" i="1"/>
  <c r="AD555" i="1"/>
  <c r="AD556" i="1"/>
  <c r="AD557" i="1"/>
  <c r="AD558" i="1"/>
  <c r="AD559" i="1"/>
  <c r="AD560" i="1"/>
  <c r="AD561" i="1"/>
  <c r="AD562" i="1"/>
  <c r="AD563" i="1"/>
  <c r="AD564" i="1"/>
  <c r="AD565" i="1"/>
  <c r="AD566" i="1"/>
  <c r="AD567" i="1"/>
  <c r="AD568" i="1"/>
  <c r="AD569" i="1"/>
  <c r="AD570" i="1"/>
  <c r="AD571" i="1"/>
  <c r="AD572" i="1"/>
  <c r="AD573" i="1"/>
  <c r="AD574" i="1"/>
  <c r="AD575" i="1"/>
  <c r="AD576" i="1"/>
  <c r="AD577" i="1"/>
  <c r="AD578" i="1"/>
  <c r="AD579" i="1"/>
  <c r="AD580" i="1"/>
  <c r="AD581" i="1"/>
  <c r="AD582" i="1"/>
  <c r="AD583" i="1"/>
  <c r="AD584" i="1"/>
  <c r="AD585" i="1"/>
  <c r="AD586" i="1"/>
  <c r="AD587" i="1"/>
  <c r="AD588" i="1"/>
  <c r="AD589" i="1"/>
  <c r="AD590" i="1"/>
  <c r="AD591" i="1"/>
  <c r="AD592" i="1"/>
  <c r="AD593" i="1"/>
  <c r="AD594" i="1"/>
  <c r="AD595" i="1"/>
  <c r="AD596" i="1"/>
  <c r="AD597" i="1"/>
  <c r="AD598" i="1"/>
  <c r="AD599" i="1"/>
  <c r="AD600" i="1"/>
  <c r="AD601" i="1"/>
  <c r="AD602" i="1"/>
  <c r="AD603" i="1"/>
  <c r="AD604" i="1"/>
  <c r="AD605" i="1"/>
  <c r="AD606" i="1"/>
  <c r="AD607" i="1"/>
  <c r="AD608" i="1"/>
  <c r="AD609" i="1"/>
  <c r="AD610" i="1"/>
  <c r="AD611" i="1"/>
  <c r="AD612" i="1"/>
  <c r="AD613" i="1"/>
  <c r="AD614" i="1"/>
  <c r="AD615" i="1"/>
  <c r="AD616" i="1"/>
  <c r="AD617" i="1"/>
  <c r="AD618" i="1"/>
  <c r="AD619" i="1"/>
  <c r="AD620" i="1"/>
  <c r="AD621" i="1"/>
  <c r="AD622" i="1"/>
  <c r="AD623" i="1"/>
  <c r="AD624" i="1"/>
  <c r="AD625" i="1"/>
  <c r="AD626" i="1"/>
  <c r="AD627" i="1"/>
  <c r="AD628" i="1"/>
  <c r="AD629" i="1"/>
  <c r="AD630" i="1"/>
  <c r="AD631" i="1"/>
  <c r="AD632" i="1"/>
  <c r="AD633" i="1"/>
  <c r="AD634" i="1"/>
  <c r="AD635" i="1"/>
  <c r="AD636" i="1"/>
  <c r="AD637" i="1"/>
  <c r="AD638" i="1"/>
  <c r="AD639" i="1"/>
  <c r="AD640" i="1"/>
  <c r="AD641" i="1"/>
  <c r="AD642" i="1"/>
  <c r="AD643" i="1"/>
  <c r="AD644" i="1"/>
  <c r="AD645" i="1"/>
  <c r="AD646" i="1"/>
  <c r="AD647" i="1"/>
  <c r="AD648" i="1"/>
  <c r="AD649" i="1"/>
  <c r="AD650" i="1"/>
  <c r="AD651" i="1"/>
  <c r="AD652" i="1"/>
  <c r="AD653" i="1"/>
  <c r="AD654" i="1"/>
  <c r="AD655" i="1"/>
  <c r="AD656" i="1"/>
  <c r="AD657" i="1"/>
  <c r="AD658" i="1"/>
  <c r="AD659" i="1"/>
  <c r="AD660" i="1"/>
  <c r="AD661" i="1"/>
  <c r="AD662" i="1"/>
  <c r="AD663" i="1"/>
  <c r="AD664" i="1"/>
  <c r="AD665" i="1"/>
  <c r="AD666" i="1"/>
  <c r="AD667" i="1"/>
  <c r="AD668" i="1"/>
  <c r="AD669" i="1"/>
  <c r="AD670" i="1"/>
  <c r="AD671" i="1"/>
  <c r="AD672" i="1"/>
  <c r="AD673" i="1"/>
  <c r="AD674" i="1"/>
  <c r="AD675" i="1"/>
  <c r="AD676" i="1"/>
  <c r="AD677" i="1"/>
  <c r="AD678" i="1"/>
  <c r="AD679" i="1"/>
  <c r="AD680" i="1"/>
  <c r="AD681" i="1"/>
  <c r="AD682" i="1"/>
  <c r="AD683" i="1"/>
  <c r="AD684" i="1"/>
  <c r="AD685" i="1"/>
  <c r="AD686" i="1"/>
  <c r="AD687" i="1"/>
  <c r="AD688" i="1"/>
  <c r="AD689" i="1"/>
  <c r="AD690" i="1"/>
  <c r="AD691" i="1"/>
  <c r="AD692" i="1"/>
  <c r="AD693" i="1"/>
  <c r="AD694" i="1"/>
  <c r="AD695" i="1"/>
  <c r="AD696" i="1"/>
  <c r="AD697" i="1"/>
  <c r="AD698" i="1"/>
  <c r="AD699" i="1"/>
  <c r="AD700" i="1"/>
  <c r="AD701" i="1"/>
  <c r="AD702" i="1"/>
  <c r="AD703" i="1"/>
  <c r="AD704" i="1"/>
  <c r="AD705" i="1"/>
  <c r="AD706" i="1"/>
  <c r="AD707" i="1"/>
  <c r="AD708" i="1"/>
  <c r="AD709" i="1"/>
  <c r="AD710" i="1"/>
  <c r="AD711" i="1"/>
  <c r="AD712" i="1"/>
  <c r="AD713" i="1"/>
  <c r="AD714" i="1"/>
  <c r="AD715" i="1"/>
  <c r="AD716" i="1"/>
  <c r="AD717" i="1"/>
  <c r="AD718" i="1"/>
  <c r="AD719" i="1"/>
  <c r="AD720" i="1"/>
  <c r="AD721" i="1"/>
  <c r="AD722" i="1"/>
  <c r="AD723" i="1"/>
  <c r="AD724" i="1"/>
  <c r="AD725" i="1"/>
  <c r="AD726" i="1"/>
  <c r="AD727" i="1"/>
  <c r="AD728" i="1"/>
  <c r="AD729" i="1"/>
  <c r="AD730" i="1"/>
  <c r="AD731" i="1"/>
  <c r="AD732" i="1"/>
  <c r="AD733" i="1"/>
  <c r="AD734" i="1"/>
  <c r="AD735" i="1"/>
  <c r="AD736" i="1"/>
  <c r="AD737" i="1"/>
  <c r="AD738" i="1"/>
  <c r="AD739" i="1"/>
  <c r="AD740" i="1"/>
  <c r="AD741" i="1"/>
  <c r="AD742" i="1"/>
  <c r="AD743" i="1"/>
  <c r="AD744" i="1"/>
  <c r="AD745" i="1"/>
  <c r="AD746" i="1"/>
  <c r="AD747" i="1"/>
  <c r="AD748" i="1"/>
  <c r="AD749" i="1"/>
  <c r="AD750" i="1"/>
  <c r="AD751" i="1"/>
  <c r="AD752" i="1"/>
  <c r="AD753" i="1"/>
  <c r="AD754" i="1"/>
  <c r="AD755" i="1"/>
  <c r="AD756" i="1"/>
  <c r="AD757" i="1"/>
  <c r="AD758" i="1"/>
  <c r="AD759" i="1"/>
  <c r="AD760" i="1"/>
  <c r="AD761" i="1"/>
  <c r="AD762" i="1"/>
  <c r="AD763" i="1"/>
  <c r="AD764" i="1"/>
  <c r="AD765" i="1"/>
  <c r="AD766" i="1"/>
  <c r="AD767" i="1"/>
  <c r="AD768" i="1"/>
  <c r="AD769" i="1"/>
  <c r="AD770" i="1"/>
  <c r="AD771" i="1"/>
  <c r="AD772" i="1"/>
  <c r="AD773" i="1"/>
  <c r="AD774" i="1"/>
  <c r="AD775" i="1"/>
  <c r="AD776" i="1"/>
  <c r="AD777" i="1"/>
  <c r="AD778" i="1"/>
  <c r="AD779" i="1"/>
  <c r="AD780" i="1"/>
  <c r="AD781" i="1"/>
  <c r="AD782" i="1"/>
  <c r="AD783" i="1"/>
  <c r="AD784" i="1"/>
  <c r="AD785" i="1"/>
  <c r="AD786" i="1"/>
  <c r="AD787" i="1"/>
  <c r="AD788" i="1"/>
  <c r="AD789" i="1"/>
  <c r="AD790" i="1"/>
  <c r="AD791" i="1"/>
  <c r="AD792" i="1"/>
  <c r="AD793" i="1"/>
  <c r="AD794" i="1"/>
  <c r="AD795" i="1"/>
  <c r="AD796" i="1"/>
  <c r="AD797" i="1"/>
  <c r="AD798" i="1"/>
  <c r="AD799" i="1"/>
  <c r="AD800" i="1"/>
  <c r="AD801" i="1"/>
  <c r="AD802" i="1"/>
  <c r="AD803" i="1"/>
  <c r="AD804" i="1"/>
  <c r="AD805" i="1"/>
  <c r="AD806" i="1"/>
  <c r="AD807" i="1"/>
  <c r="AD808" i="1"/>
  <c r="AD809" i="1"/>
  <c r="AD810" i="1"/>
  <c r="AD811" i="1"/>
  <c r="AD812" i="1"/>
  <c r="AD813" i="1"/>
  <c r="AD814" i="1"/>
  <c r="AD815" i="1"/>
  <c r="AD816" i="1"/>
  <c r="AD817" i="1"/>
  <c r="AD818" i="1"/>
  <c r="AD819" i="1"/>
  <c r="AD820" i="1"/>
  <c r="AD821" i="1"/>
  <c r="AD822" i="1"/>
  <c r="AD823" i="1"/>
  <c r="AD824" i="1"/>
  <c r="AD825" i="1"/>
  <c r="AD826" i="1"/>
  <c r="AD827" i="1"/>
  <c r="AD828" i="1"/>
  <c r="AD829" i="1"/>
  <c r="AD830" i="1"/>
  <c r="AD831" i="1"/>
  <c r="AD832" i="1"/>
  <c r="AD833" i="1"/>
  <c r="AD834" i="1"/>
  <c r="AD835" i="1"/>
  <c r="AD836" i="1"/>
  <c r="AD837" i="1"/>
  <c r="AD838" i="1"/>
  <c r="AD839" i="1"/>
  <c r="AD840" i="1"/>
  <c r="AD841" i="1"/>
  <c r="AD842" i="1"/>
  <c r="AD843" i="1"/>
  <c r="AD844" i="1"/>
  <c r="AD845" i="1"/>
  <c r="AD846" i="1"/>
  <c r="AD847" i="1"/>
  <c r="AD848" i="1"/>
  <c r="AD849" i="1"/>
  <c r="AD850" i="1"/>
  <c r="AD851" i="1"/>
  <c r="AD852" i="1"/>
  <c r="AD853" i="1"/>
  <c r="AD854" i="1"/>
  <c r="AD855" i="1"/>
  <c r="AD856" i="1"/>
  <c r="AD857" i="1"/>
  <c r="AD858" i="1"/>
  <c r="AD859" i="1"/>
  <c r="AD860" i="1"/>
  <c r="AD861" i="1"/>
  <c r="AD862" i="1"/>
  <c r="AD863" i="1"/>
  <c r="AD864" i="1"/>
  <c r="AD865" i="1"/>
  <c r="AD866" i="1"/>
  <c r="AD867" i="1"/>
  <c r="AD868" i="1"/>
  <c r="AD869" i="1"/>
  <c r="AD870" i="1"/>
  <c r="AD871" i="1"/>
  <c r="AD872" i="1"/>
  <c r="AD873" i="1"/>
  <c r="AD874" i="1"/>
  <c r="AD875" i="1"/>
  <c r="AD876" i="1"/>
  <c r="AD877" i="1"/>
  <c r="AD878" i="1"/>
  <c r="AD879" i="1"/>
  <c r="AD880" i="1"/>
  <c r="AD881" i="1"/>
  <c r="AD882" i="1"/>
  <c r="AD883" i="1"/>
  <c r="AD884" i="1"/>
  <c r="AD885" i="1"/>
  <c r="AD886" i="1"/>
  <c r="AD887" i="1"/>
  <c r="AD888" i="1"/>
  <c r="AD889" i="1"/>
  <c r="AD890" i="1"/>
  <c r="AD891" i="1"/>
  <c r="AD892" i="1"/>
  <c r="AD893" i="1"/>
  <c r="AD894" i="1"/>
  <c r="AD895" i="1"/>
  <c r="AD896" i="1"/>
  <c r="AD897" i="1"/>
  <c r="AD898" i="1"/>
  <c r="AD899" i="1"/>
  <c r="AD900" i="1"/>
  <c r="AD901" i="1"/>
  <c r="AD902" i="1"/>
  <c r="AD903" i="1"/>
  <c r="AD904" i="1"/>
  <c r="AD905" i="1"/>
  <c r="AD906" i="1"/>
  <c r="AD907" i="1"/>
  <c r="AD908" i="1"/>
  <c r="AD909" i="1"/>
  <c r="AD910" i="1"/>
  <c r="AD911" i="1"/>
  <c r="AD912" i="1"/>
  <c r="AD913" i="1"/>
  <c r="AD914" i="1"/>
  <c r="AD915" i="1"/>
  <c r="AD916" i="1"/>
  <c r="AD917" i="1"/>
  <c r="AD918" i="1"/>
  <c r="AD919" i="1"/>
  <c r="AD920" i="1"/>
  <c r="AD921" i="1"/>
  <c r="AD922" i="1"/>
  <c r="AD923" i="1"/>
  <c r="AD924" i="1"/>
  <c r="AD925" i="1"/>
  <c r="AD926" i="1"/>
  <c r="AD927" i="1"/>
  <c r="AD928" i="1"/>
  <c r="AD929" i="1"/>
  <c r="AD930" i="1"/>
  <c r="AD931" i="1"/>
  <c r="AD932" i="1"/>
  <c r="AD933" i="1"/>
  <c r="AD934" i="1"/>
  <c r="AD935" i="1"/>
  <c r="AD936" i="1"/>
  <c r="AD937" i="1"/>
  <c r="AD938" i="1"/>
  <c r="AD939" i="1"/>
  <c r="AD940" i="1"/>
  <c r="AD941" i="1"/>
  <c r="AD942" i="1"/>
  <c r="AD943" i="1"/>
  <c r="AD944" i="1"/>
  <c r="AD945" i="1"/>
  <c r="AD946" i="1"/>
  <c r="AD947" i="1"/>
  <c r="AD948" i="1"/>
  <c r="AD949" i="1"/>
  <c r="AD950" i="1"/>
  <c r="AD951" i="1"/>
  <c r="AD952" i="1"/>
  <c r="AD953" i="1"/>
  <c r="AD954" i="1"/>
  <c r="AD955" i="1"/>
  <c r="AD956" i="1"/>
  <c r="AD957" i="1"/>
  <c r="AD958" i="1"/>
  <c r="AD959" i="1"/>
  <c r="AD960" i="1"/>
  <c r="AD961" i="1"/>
  <c r="AD962" i="1"/>
  <c r="AD963" i="1"/>
  <c r="AD964" i="1"/>
  <c r="AD965" i="1"/>
  <c r="AD966" i="1"/>
  <c r="AD967" i="1"/>
  <c r="AD968" i="1"/>
  <c r="AD969" i="1"/>
  <c r="AD970" i="1"/>
  <c r="AD971" i="1"/>
  <c r="AD972" i="1"/>
  <c r="AD973" i="1"/>
  <c r="AD974" i="1"/>
  <c r="AD975" i="1"/>
  <c r="AD976" i="1"/>
  <c r="AD977" i="1"/>
  <c r="AD978" i="1"/>
  <c r="AD979" i="1"/>
  <c r="AD980" i="1"/>
  <c r="AD981" i="1"/>
  <c r="AD982" i="1"/>
  <c r="AD983" i="1"/>
  <c r="AD984" i="1"/>
  <c r="AD985" i="1"/>
  <c r="AD986" i="1"/>
  <c r="AD987" i="1"/>
  <c r="AD988" i="1"/>
  <c r="AD989" i="1"/>
  <c r="AD990" i="1"/>
  <c r="AD991" i="1"/>
  <c r="AD992" i="1"/>
  <c r="AD993" i="1"/>
  <c r="AD994" i="1"/>
  <c r="AD995" i="1"/>
  <c r="AD996" i="1"/>
  <c r="AD997" i="1"/>
  <c r="AD998" i="1"/>
  <c r="AD999" i="1"/>
  <c r="AD1000" i="1"/>
  <c r="AD1001" i="1"/>
  <c r="AD1002" i="1"/>
  <c r="AD1003" i="1"/>
  <c r="AD1004" i="1"/>
  <c r="AD1005" i="1"/>
  <c r="AD1006" i="1"/>
  <c r="AD1007" i="1"/>
  <c r="AD1008" i="1"/>
  <c r="AD1009" i="1"/>
  <c r="AD1010" i="1"/>
  <c r="AD1011" i="1"/>
  <c r="AD1012" i="1"/>
  <c r="AD1013" i="1"/>
  <c r="AD1014" i="1"/>
  <c r="AD1015" i="1"/>
  <c r="AD1016" i="1"/>
  <c r="AD1017" i="1"/>
  <c r="AD1018" i="1"/>
  <c r="AD1019" i="1"/>
  <c r="AD1020" i="1"/>
  <c r="AD1021" i="1"/>
  <c r="AD1022" i="1"/>
  <c r="AD1023" i="1"/>
  <c r="AD1024" i="1"/>
  <c r="AD1025" i="1"/>
  <c r="AD1026" i="1"/>
  <c r="AD1027" i="1"/>
  <c r="AD1028" i="1"/>
  <c r="AD1029" i="1"/>
  <c r="AD1030" i="1"/>
  <c r="AD1031" i="1"/>
  <c r="AD1032" i="1"/>
  <c r="AD1033" i="1"/>
  <c r="AD1034" i="1"/>
  <c r="AD1035" i="1"/>
  <c r="AD1036" i="1"/>
  <c r="AD1037" i="1"/>
  <c r="AD1038" i="1"/>
  <c r="AD1039" i="1"/>
  <c r="AD1040" i="1"/>
  <c r="AD1041" i="1"/>
  <c r="AD1042" i="1"/>
  <c r="AD1043" i="1"/>
  <c r="AD1044" i="1"/>
  <c r="AD1045" i="1"/>
  <c r="AD1046" i="1"/>
  <c r="AD1047" i="1"/>
  <c r="AD1048" i="1"/>
  <c r="AD1049" i="1"/>
  <c r="AD1050" i="1"/>
  <c r="AD1051" i="1"/>
  <c r="AD1052" i="1"/>
  <c r="AD1053" i="1"/>
  <c r="AD1054" i="1"/>
  <c r="AD1055" i="1"/>
  <c r="AD1056" i="1"/>
  <c r="AD1057" i="1"/>
  <c r="AD1058" i="1"/>
  <c r="AD1059" i="1"/>
  <c r="AD1060" i="1"/>
  <c r="AD1061" i="1"/>
  <c r="AD1062" i="1"/>
  <c r="AD1063" i="1"/>
  <c r="AD1064" i="1"/>
  <c r="AD1065" i="1"/>
  <c r="AD1066" i="1"/>
  <c r="AD1067" i="1"/>
  <c r="AD1068" i="1"/>
  <c r="AD1069" i="1"/>
  <c r="AD1070" i="1"/>
  <c r="AD1071" i="1"/>
  <c r="AD1072" i="1"/>
  <c r="AD1073" i="1"/>
  <c r="AD1074" i="1"/>
  <c r="AD1075" i="1"/>
  <c r="AD1076" i="1"/>
  <c r="AD1077" i="1"/>
  <c r="AD1078" i="1"/>
  <c r="AD1079" i="1"/>
  <c r="AD1080" i="1"/>
  <c r="AD1081" i="1"/>
  <c r="AD1082" i="1"/>
  <c r="AD1083" i="1"/>
  <c r="AD1084" i="1"/>
  <c r="AD1085" i="1"/>
  <c r="AD1086" i="1"/>
  <c r="AD1087" i="1"/>
  <c r="AD1088" i="1"/>
  <c r="AD1089" i="1"/>
  <c r="AD1090" i="1"/>
  <c r="AD1091" i="1"/>
  <c r="AD1092" i="1"/>
  <c r="AD1093" i="1"/>
  <c r="AD1094" i="1"/>
  <c r="AD1095" i="1"/>
  <c r="AD1096" i="1"/>
  <c r="AD1097" i="1"/>
  <c r="AD1098" i="1"/>
  <c r="AD1099" i="1"/>
  <c r="AD1100" i="1"/>
  <c r="AD1101" i="1"/>
  <c r="AD1102" i="1"/>
  <c r="AD1103" i="1"/>
  <c r="AD1104" i="1"/>
  <c r="AD1105" i="1"/>
  <c r="AD1106" i="1"/>
  <c r="AD1107" i="1"/>
  <c r="AD1108" i="1"/>
  <c r="AD1109" i="1"/>
  <c r="AD1110" i="1"/>
  <c r="AD1111" i="1"/>
  <c r="AD1112" i="1"/>
  <c r="AD1113" i="1"/>
  <c r="AD1114" i="1"/>
  <c r="AD1115" i="1"/>
  <c r="AD1116" i="1"/>
  <c r="AD1117" i="1"/>
  <c r="AD1118" i="1"/>
  <c r="AD1119" i="1"/>
  <c r="AD1120" i="1"/>
  <c r="AD1121" i="1"/>
  <c r="AD1122" i="1"/>
  <c r="AD1123" i="1"/>
  <c r="AD1124" i="1"/>
  <c r="AD1125" i="1"/>
  <c r="AD1126" i="1"/>
  <c r="AD1127" i="1"/>
  <c r="AD1128" i="1"/>
  <c r="AD1129" i="1"/>
  <c r="AD1130" i="1"/>
  <c r="AD1131" i="1"/>
  <c r="AD1132" i="1"/>
  <c r="AD1133" i="1"/>
  <c r="AD1134" i="1"/>
  <c r="AD1135" i="1"/>
  <c r="AD1136" i="1"/>
  <c r="AD1137" i="1"/>
  <c r="AD1138" i="1"/>
  <c r="AD1139" i="1"/>
  <c r="AD1140" i="1"/>
  <c r="AD1141" i="1"/>
  <c r="AD1142" i="1"/>
  <c r="AD1143" i="1"/>
  <c r="AD1144" i="1"/>
  <c r="AD1145" i="1"/>
  <c r="AD1146" i="1"/>
  <c r="AD1147" i="1"/>
  <c r="AD1148" i="1"/>
  <c r="AD1149" i="1"/>
  <c r="AD1150" i="1"/>
  <c r="AD1151" i="1"/>
  <c r="AD1152" i="1"/>
  <c r="AD1153" i="1"/>
  <c r="AD1154" i="1"/>
  <c r="AD1155" i="1"/>
  <c r="AD1156" i="1"/>
  <c r="AD1157" i="1"/>
  <c r="AD1158" i="1"/>
  <c r="AD1159" i="1"/>
  <c r="AD1160" i="1"/>
  <c r="AD1161" i="1"/>
  <c r="AD1162" i="1"/>
  <c r="AD1163" i="1"/>
  <c r="AD1164" i="1"/>
  <c r="AD1165" i="1"/>
  <c r="AD1166" i="1"/>
  <c r="AD1167" i="1"/>
  <c r="AD1168" i="1"/>
  <c r="AD1169" i="1"/>
  <c r="AD1170" i="1"/>
  <c r="AD1171" i="1"/>
  <c r="AD1172" i="1"/>
  <c r="AD1173" i="1"/>
  <c r="AD1174" i="1"/>
  <c r="AD1175" i="1"/>
  <c r="AD1176" i="1"/>
  <c r="AD1177" i="1"/>
  <c r="AD1178" i="1"/>
  <c r="AD1179" i="1"/>
  <c r="AD1180" i="1"/>
  <c r="AD1181" i="1"/>
  <c r="AD1182" i="1"/>
  <c r="AD1183" i="1"/>
  <c r="AD1184" i="1"/>
  <c r="AD1185" i="1"/>
  <c r="AD1186" i="1"/>
  <c r="AD1187" i="1"/>
  <c r="AD1188" i="1"/>
  <c r="AD1189" i="1"/>
  <c r="AD1190" i="1"/>
  <c r="AD1191" i="1"/>
  <c r="AD1192" i="1"/>
  <c r="AD1193" i="1"/>
  <c r="AD1194" i="1"/>
  <c r="AD1195" i="1"/>
  <c r="AD1196" i="1"/>
  <c r="AD1197" i="1"/>
  <c r="AD1198" i="1"/>
  <c r="AD1199" i="1"/>
  <c r="AD1200" i="1"/>
  <c r="AD1201" i="1"/>
  <c r="AD1202" i="1"/>
  <c r="AD1203" i="1"/>
  <c r="AD1204" i="1"/>
  <c r="AD1205" i="1"/>
  <c r="AD1206" i="1"/>
  <c r="AD1207" i="1"/>
  <c r="AD1208" i="1"/>
  <c r="AD1209" i="1"/>
  <c r="AD1210" i="1"/>
  <c r="AD1211" i="1"/>
  <c r="AD1212" i="1"/>
  <c r="AD1213" i="1"/>
  <c r="AD1214" i="1"/>
  <c r="AD1215" i="1"/>
  <c r="AD1216" i="1"/>
  <c r="AD1217" i="1"/>
  <c r="AD1218" i="1"/>
  <c r="AD1219" i="1"/>
  <c r="AD1220" i="1"/>
  <c r="AD1221" i="1"/>
  <c r="AD1222" i="1"/>
  <c r="AD1223" i="1"/>
  <c r="AD1224" i="1"/>
  <c r="AD1225" i="1"/>
  <c r="AD1226" i="1"/>
  <c r="AD1227" i="1"/>
  <c r="AD1228" i="1"/>
  <c r="AD1229" i="1"/>
  <c r="AD1230" i="1"/>
  <c r="AD1231" i="1"/>
  <c r="AD1232" i="1"/>
  <c r="AD1233" i="1"/>
  <c r="AD1234" i="1"/>
  <c r="AD1235" i="1"/>
  <c r="AD1236" i="1"/>
  <c r="AD1237" i="1"/>
  <c r="AD1238" i="1"/>
  <c r="AD1239" i="1"/>
  <c r="AD1240" i="1"/>
  <c r="AD1241" i="1"/>
  <c r="AD1242" i="1"/>
  <c r="AD1243" i="1"/>
  <c r="AD1244" i="1"/>
  <c r="AD1245" i="1"/>
  <c r="AD1246" i="1"/>
  <c r="AD1247" i="1"/>
  <c r="AD1248" i="1"/>
  <c r="AD1249" i="1"/>
  <c r="AD1250" i="1"/>
  <c r="AD1251" i="1"/>
  <c r="AD1252" i="1"/>
  <c r="AD1253" i="1"/>
  <c r="AD1254" i="1"/>
  <c r="AD1255" i="1"/>
  <c r="AD1256" i="1"/>
  <c r="AD1257" i="1"/>
  <c r="AD1258" i="1"/>
  <c r="AD1259" i="1"/>
  <c r="AD1260" i="1"/>
  <c r="AD1261" i="1"/>
  <c r="AD1262" i="1"/>
  <c r="AD1263" i="1"/>
  <c r="AD1264" i="1"/>
  <c r="AD1265" i="1"/>
  <c r="AD1266" i="1"/>
  <c r="AD1267" i="1"/>
  <c r="AD1268" i="1"/>
  <c r="AD1269" i="1"/>
  <c r="AD1270" i="1"/>
  <c r="AD1271" i="1"/>
  <c r="AD1272" i="1"/>
  <c r="AD1273" i="1"/>
  <c r="AD1274" i="1"/>
  <c r="AD1275" i="1"/>
  <c r="AD1276" i="1"/>
  <c r="AD1277" i="1"/>
  <c r="AD1278" i="1"/>
  <c r="AD1279" i="1"/>
  <c r="AD1280" i="1"/>
  <c r="AD1281" i="1"/>
  <c r="AD1282" i="1"/>
  <c r="AD1283" i="1"/>
  <c r="AD1284" i="1"/>
  <c r="AD1285" i="1"/>
  <c r="AD1286" i="1"/>
  <c r="AD1287" i="1"/>
  <c r="AD1288" i="1"/>
  <c r="AD1289" i="1"/>
  <c r="AD1290" i="1"/>
  <c r="AD1291" i="1"/>
  <c r="AD1292" i="1"/>
  <c r="AD1293" i="1"/>
  <c r="AD1294" i="1"/>
  <c r="AD1295" i="1"/>
  <c r="AD1296" i="1"/>
  <c r="AD1297" i="1"/>
  <c r="AD1298" i="1"/>
  <c r="AD1299" i="1"/>
  <c r="AD1300" i="1"/>
  <c r="AD1301" i="1"/>
  <c r="AD1302" i="1"/>
  <c r="AD1303" i="1"/>
  <c r="AD1304" i="1"/>
  <c r="AD1305" i="1"/>
  <c r="AD1306" i="1"/>
  <c r="AD1307" i="1"/>
  <c r="AD1308" i="1"/>
  <c r="AD1309" i="1"/>
  <c r="AD1310" i="1"/>
  <c r="AD1311" i="1"/>
  <c r="AD1312" i="1"/>
  <c r="AD1313" i="1"/>
  <c r="AD1314" i="1"/>
  <c r="AD1315" i="1"/>
  <c r="AD1316" i="1"/>
  <c r="AD1317" i="1"/>
  <c r="AD1318" i="1"/>
  <c r="AD1319" i="1"/>
  <c r="AD1320" i="1"/>
  <c r="AD1321" i="1"/>
  <c r="AD1322" i="1"/>
  <c r="AD1323" i="1"/>
  <c r="AD1324" i="1"/>
  <c r="AD1325" i="1"/>
  <c r="AD1326" i="1"/>
  <c r="AD1327" i="1"/>
  <c r="AD1328" i="1"/>
  <c r="AD1329" i="1"/>
  <c r="AD1330" i="1"/>
  <c r="AD1331" i="1"/>
  <c r="AD1332" i="1"/>
  <c r="AD1333" i="1"/>
  <c r="AD1334" i="1"/>
  <c r="AD1335" i="1"/>
  <c r="AD1336" i="1"/>
  <c r="AD1337" i="1"/>
  <c r="AD1338" i="1"/>
  <c r="AD1339" i="1"/>
  <c r="AD1340" i="1"/>
  <c r="AD1341" i="1"/>
  <c r="AD1342" i="1"/>
  <c r="AD1343" i="1"/>
  <c r="AD1344" i="1"/>
  <c r="AD1345" i="1"/>
  <c r="AD1346" i="1"/>
  <c r="AD1347" i="1"/>
  <c r="AD1348" i="1"/>
  <c r="AD1349" i="1"/>
  <c r="AD1350" i="1"/>
  <c r="AD1351" i="1"/>
  <c r="AD1352" i="1"/>
  <c r="AD1353" i="1"/>
  <c r="AD1354" i="1"/>
  <c r="AD1355" i="1"/>
  <c r="AD1356" i="1"/>
  <c r="AD1357" i="1"/>
  <c r="AD1358" i="1"/>
  <c r="AD1359" i="1"/>
  <c r="AD1360" i="1"/>
  <c r="AD1361" i="1"/>
  <c r="AD1362" i="1"/>
  <c r="AD1363" i="1"/>
  <c r="AD1364" i="1"/>
  <c r="AD1365" i="1"/>
  <c r="AD1366" i="1"/>
  <c r="AD1367" i="1"/>
  <c r="AD1368" i="1"/>
  <c r="AD1369" i="1"/>
  <c r="AD1370" i="1"/>
  <c r="AD1371" i="1"/>
  <c r="AD1372" i="1"/>
  <c r="AD1373" i="1"/>
  <c r="AD1374" i="1"/>
  <c r="AD1375" i="1"/>
  <c r="AD1376" i="1"/>
  <c r="AD1377" i="1"/>
  <c r="AD1378" i="1"/>
  <c r="AD1379" i="1"/>
  <c r="AD1380" i="1"/>
  <c r="AD1381" i="1"/>
  <c r="AD1382" i="1"/>
  <c r="AD1383" i="1"/>
  <c r="AD1384" i="1"/>
  <c r="AD1385" i="1"/>
  <c r="AD1386" i="1"/>
  <c r="AD1387" i="1"/>
  <c r="AD1388" i="1"/>
  <c r="AD1389" i="1"/>
  <c r="AD1390" i="1"/>
  <c r="AD1391" i="1"/>
  <c r="AD1392" i="1"/>
  <c r="AD1393" i="1"/>
  <c r="AD1394" i="1"/>
  <c r="AD1395" i="1"/>
  <c r="AD1396" i="1"/>
  <c r="AD1397" i="1"/>
  <c r="AD1398" i="1"/>
  <c r="AD1399" i="1"/>
  <c r="AD1400" i="1"/>
  <c r="AD1401" i="1"/>
  <c r="AD1402" i="1"/>
  <c r="AD1403" i="1"/>
  <c r="AD1404" i="1"/>
  <c r="AD1405" i="1"/>
  <c r="AD1406" i="1"/>
  <c r="AD1407" i="1"/>
  <c r="AD1408" i="1"/>
  <c r="AD1409" i="1"/>
  <c r="AD1410" i="1"/>
  <c r="AD1411" i="1"/>
  <c r="AD1412" i="1"/>
  <c r="AD1413" i="1"/>
  <c r="AD1414" i="1"/>
  <c r="AD1415" i="1"/>
  <c r="AD1416" i="1"/>
  <c r="AD1417" i="1"/>
  <c r="AD1418" i="1"/>
  <c r="AD1419" i="1"/>
  <c r="AD1420" i="1"/>
  <c r="AD1421" i="1"/>
  <c r="AD1422" i="1"/>
  <c r="AD1423" i="1"/>
  <c r="AD1424" i="1"/>
  <c r="AD1425" i="1"/>
  <c r="AD1426" i="1"/>
  <c r="AD1427" i="1"/>
  <c r="AD1428" i="1"/>
  <c r="AD1429" i="1"/>
  <c r="AD1430" i="1"/>
  <c r="AD1431" i="1"/>
  <c r="AD1432" i="1"/>
  <c r="AD1433" i="1"/>
  <c r="AD1434" i="1"/>
  <c r="AD1435" i="1"/>
  <c r="AD1436" i="1"/>
  <c r="AD1437" i="1"/>
  <c r="AD1438" i="1"/>
  <c r="AD1439" i="1"/>
  <c r="AD1440" i="1"/>
  <c r="AD1441" i="1"/>
  <c r="AD1442" i="1"/>
  <c r="AD1443" i="1"/>
  <c r="AD1444" i="1"/>
  <c r="AD1445" i="1"/>
  <c r="AD1446" i="1"/>
  <c r="AD1447" i="1"/>
  <c r="AD1448" i="1"/>
  <c r="AD1449" i="1"/>
  <c r="AD1450" i="1"/>
  <c r="AD1451" i="1"/>
  <c r="AD1452" i="1"/>
  <c r="AD1453" i="1"/>
  <c r="AD1454" i="1"/>
  <c r="AD1455" i="1"/>
  <c r="AD1456" i="1"/>
  <c r="AD1457" i="1"/>
  <c r="AD1458" i="1"/>
  <c r="AD1459" i="1"/>
  <c r="AD1460" i="1"/>
  <c r="AD1461" i="1"/>
  <c r="AD1462" i="1"/>
  <c r="AD1463" i="1"/>
  <c r="AD1464" i="1"/>
  <c r="AD1465" i="1"/>
  <c r="AD1466" i="1"/>
  <c r="AD1467" i="1"/>
  <c r="AD1468" i="1"/>
  <c r="AD1469" i="1"/>
  <c r="AD1470" i="1"/>
  <c r="AD1471" i="1"/>
</calcChain>
</file>

<file path=xl/sharedStrings.xml><?xml version="1.0" encoding="utf-8"?>
<sst xmlns="http://schemas.openxmlformats.org/spreadsheetml/2006/main" count="11815" uniqueCount="81">
  <si>
    <t>Age</t>
  </si>
  <si>
    <t>Attrition</t>
  </si>
  <si>
    <t>BusinessTravel</t>
  </si>
  <si>
    <t>Department</t>
  </si>
  <si>
    <t>DistanceFromHome</t>
  </si>
  <si>
    <t>Education</t>
  </si>
  <si>
    <t>EducationField</t>
  </si>
  <si>
    <t>EmployeeNumber</t>
  </si>
  <si>
    <t>EnvironmentSatisfaction</t>
  </si>
  <si>
    <t>Gender</t>
  </si>
  <si>
    <t>JobInvolvement</t>
  </si>
  <si>
    <t>JobLevel</t>
  </si>
  <si>
    <t>JobRole</t>
  </si>
  <si>
    <t>JobSatisfaction</t>
  </si>
  <si>
    <t>MaritalStatus</t>
  </si>
  <si>
    <t>MonthlyIncome</t>
  </si>
  <si>
    <t>NumCompaniesWorked</t>
  </si>
  <si>
    <t>OverTime</t>
  </si>
  <si>
    <t>PercentSalaryHike</t>
  </si>
  <si>
    <t>PerformanceRating</t>
  </si>
  <si>
    <t>RelationshipSatisfaction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</si>
  <si>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</si>
  <si>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</si>
  <si>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</si>
  <si>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</si>
  <si>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</si>
  <si>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</si>
  <si>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</si>
  <si>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</si>
  <si>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</si>
  <si>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</si>
  <si>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</si>
  <si>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</si>
  <si>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</si>
  <si>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</si>
  <si>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</si>
  <si>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</si>
  <si>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</si>
  <si>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</si>
  <si>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</si>
  <si>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</si>
  <si>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</si>
  <si>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</si>
  <si>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</si>
  <si>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</si>
  <si>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</si>
  <si>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</si>
  <si>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</si>
  <si>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</si>
  <si>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</si>
  <si>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</si>
  <si>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</si>
  <si>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</si>
  <si>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</si>
  <si>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</si>
  <si>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Attrition Flag</t>
  </si>
  <si>
    <t>Age Group</t>
  </si>
  <si>
    <t>Age Group Sort</t>
  </si>
  <si>
    <t>Income Band</t>
  </si>
  <si>
    <t>Income Band Sort</t>
  </si>
  <si>
    <t>Tenure Band</t>
  </si>
  <si>
    <t>Tenure Band Sort</t>
  </si>
  <si>
    <t>Education Level</t>
  </si>
  <si>
    <t>Job Satisfaction Level</t>
  </si>
  <si>
    <t>Env Satisfaction Level</t>
  </si>
  <si>
    <t>WorkLife Balance Level</t>
  </si>
  <si>
    <t>Sum of Attrition Flag</t>
  </si>
  <si>
    <t>Count of EmployeeNumber</t>
  </si>
  <si>
    <t>Average of Attrition Flag2</t>
  </si>
  <si>
    <t>Row Labels</t>
  </si>
  <si>
    <t>Grand Total</t>
  </si>
  <si>
    <t>0-2 Yrs</t>
  </si>
  <si>
    <t>10+ Yrs</t>
  </si>
  <si>
    <t>3-5 Yrs</t>
  </si>
  <si>
    <t>6-10 Yrs</t>
  </si>
  <si>
    <t>Hike Band</t>
  </si>
  <si>
    <t>Hike Band Sort</t>
  </si>
  <si>
    <t>Distance Band</t>
  </si>
  <si>
    <t>Distance Band Sort</t>
  </si>
  <si>
    <t>Experience Band</t>
  </si>
  <si>
    <t>Experience Band Sort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</si>
</sst>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NumberFormat="1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309.807910185184" createdVersion="8" refreshedVersion="8" minRefreshableVersion="3" recordCount="1470" xr:uid="{BDF03A5C-A6EB-4D73-90CE-7893DB52F90B}">
  <cacheSource type="worksheet">
    <worksheetSource name="HR_Data"/>
  </cacheSource>
  <cacheFields count="40">
    <cacheField name="Age" numFmtId="0">
      <sharedItems containsSemiMixedTypes="0" containsString="0" containsNumber="1" containsInteger="1" minValue="18" maxValue="60"/>
    </cacheField>
    <cacheField name="Attrition" numFmtId="0">
      <sharedItems/>
    </cacheField>
    <cacheField name="BusinessTravel" numFmtId="0">
      <sharedItems/>
    </cacheField>
    <cacheField name="Department" numFmtId="0">
      <sharedItems/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/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NumCompaniesWorked" numFmtId="0">
      <sharedItems containsSemiMixedTypes="0" containsString="0" containsNumber="1" containsInteger="1" minValue="0" maxValue="9"/>
    </cacheField>
    <cacheField name="OverTime" numFmtId="0">
      <sharedItems count="2">
        <s v="Yes"/>
        <s v="No"/>
      </sharedItems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  <cacheField name="Attrition Flag" numFmtId="0">
      <sharedItems containsSemiMixedTypes="0" containsString="0" containsNumber="1" containsInteger="1" minValue="0" maxValue="1"/>
    </cacheField>
    <cacheField name="Age Group" numFmtId="0">
      <sharedItems count="5">
        <s v="36-45"/>
        <s v="46-55"/>
        <s v="26-35"/>
        <s v="55+"/>
        <s v="18-25"/>
      </sharedItems>
    </cacheField>
    <cacheField name="Age Group Sort" numFmtId="0">
      <sharedItems containsSemiMixedTypes="0" containsString="0" containsNumber="1" containsInteger="1" minValue="1" maxValue="5"/>
    </cacheField>
    <cacheField name="Income Band" numFmtId="0">
      <sharedItems count="4">
        <s v="3K-6K"/>
        <s v="&lt;3K"/>
        <s v="6K-10K"/>
        <s v="10K+"/>
      </sharedItems>
    </cacheField>
    <cacheField name="Income Band Sort" numFmtId="0">
      <sharedItems containsSemiMixedTypes="0" containsString="0" containsNumber="1" containsInteger="1" minValue="1" maxValue="4"/>
    </cacheField>
    <cacheField name="Tenure Band" numFmtId="0">
      <sharedItems count="4">
        <s v="6-10 Yrs"/>
        <s v="0-2 Yrs"/>
        <s v="3-5 Yrs"/>
        <s v="10+ Yrs"/>
      </sharedItems>
    </cacheField>
    <cacheField name="Tenure Band Sort" numFmtId="0">
      <sharedItems containsSemiMixedTypes="0" containsString="0" containsNumber="1" containsInteger="1" minValue="1" maxValue="4"/>
    </cacheField>
    <cacheField name="Education Level" numFmtId="0">
      <sharedItems/>
    </cacheField>
    <cacheField name="Job Satisfaction Level" numFmtId="0">
      <sharedItems/>
    </cacheField>
    <cacheField name="Env Satisfaction Level" numFmtId="0">
      <sharedItems/>
    </cacheField>
    <cacheField name="WorkLife Balance Leve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s v="Yes"/>
    <s v="Travel_Rarely"/>
    <s v="Sales"/>
    <n v="1"/>
    <n v="2"/>
    <s v="Life Sciences"/>
    <n v="1"/>
    <n v="2"/>
    <s v="Female"/>
    <n v="3"/>
    <n v="2"/>
    <s v="Sales Executive"/>
    <n v="4"/>
    <s v="Single"/>
    <n v="5993"/>
    <n v="8"/>
    <x v="0"/>
    <n v="11"/>
    <n v="3"/>
    <n v="1"/>
    <n v="0"/>
    <n v="8"/>
    <n v="0"/>
    <n v="1"/>
    <n v="6"/>
    <n v="4"/>
    <n v="0"/>
    <n v="5"/>
    <n v="1"/>
    <x v="0"/>
    <n v="3"/>
    <x v="0"/>
    <n v="2"/>
    <x v="0"/>
    <n v="3"/>
    <s v="College"/>
    <s v="Very High"/>
    <s v="Medium"/>
    <s v="Bad"/>
  </r>
  <r>
    <n v="49"/>
    <s v="No"/>
    <s v="Travel_Frequently"/>
    <s v="Research &amp; Development"/>
    <n v="8"/>
    <n v="1"/>
    <s v="Life Sciences"/>
    <n v="2"/>
    <n v="3"/>
    <s v="Male"/>
    <n v="2"/>
    <n v="2"/>
    <s v="Research Scientist"/>
    <n v="2"/>
    <s v="Married"/>
    <n v="5130"/>
    <n v="1"/>
    <x v="1"/>
    <n v="23"/>
    <n v="4"/>
    <n v="4"/>
    <n v="1"/>
    <n v="10"/>
    <n v="3"/>
    <n v="3"/>
    <n v="10"/>
    <n v="7"/>
    <n v="1"/>
    <n v="7"/>
    <n v="0"/>
    <x v="1"/>
    <n v="4"/>
    <x v="0"/>
    <n v="2"/>
    <x v="0"/>
    <n v="3"/>
    <s v="Below College"/>
    <s v="Medium"/>
    <s v="High"/>
    <s v="Better"/>
  </r>
  <r>
    <n v="37"/>
    <s v="Yes"/>
    <s v="Travel_Rarely"/>
    <s v="Research &amp; Development"/>
    <n v="2"/>
    <n v="2"/>
    <s v="Other"/>
    <n v="4"/>
    <n v="4"/>
    <s v="Male"/>
    <n v="2"/>
    <n v="1"/>
    <s v="Laboratory Technician"/>
    <n v="3"/>
    <s v="Single"/>
    <n v="2090"/>
    <n v="6"/>
    <x v="0"/>
    <n v="15"/>
    <n v="3"/>
    <n v="2"/>
    <n v="0"/>
    <n v="7"/>
    <n v="3"/>
    <n v="3"/>
    <n v="0"/>
    <n v="0"/>
    <n v="0"/>
    <n v="0"/>
    <n v="1"/>
    <x v="0"/>
    <n v="3"/>
    <x v="1"/>
    <n v="1"/>
    <x v="1"/>
    <n v="1"/>
    <s v="College"/>
    <s v="High"/>
    <s v="Very High"/>
    <s v="Better"/>
  </r>
  <r>
    <n v="33"/>
    <s v="No"/>
    <s v="Travel_Frequently"/>
    <s v="Research &amp; Development"/>
    <n v="3"/>
    <n v="4"/>
    <s v="Life Sciences"/>
    <n v="5"/>
    <n v="4"/>
    <s v="Female"/>
    <n v="3"/>
    <n v="1"/>
    <s v="Research Scientist"/>
    <n v="3"/>
    <s v="Married"/>
    <n v="2909"/>
    <n v="1"/>
    <x v="0"/>
    <n v="11"/>
    <n v="3"/>
    <n v="3"/>
    <n v="0"/>
    <n v="8"/>
    <n v="3"/>
    <n v="3"/>
    <n v="8"/>
    <n v="7"/>
    <n v="3"/>
    <n v="0"/>
    <n v="0"/>
    <x v="2"/>
    <n v="2"/>
    <x v="1"/>
    <n v="1"/>
    <x v="0"/>
    <n v="3"/>
    <s v="Master"/>
    <s v="High"/>
    <s v="Very High"/>
    <s v="Better"/>
  </r>
  <r>
    <n v="27"/>
    <s v="No"/>
    <s v="Travel_Rarely"/>
    <s v="Research &amp; Development"/>
    <n v="2"/>
    <n v="1"/>
    <s v="Medical"/>
    <n v="7"/>
    <n v="1"/>
    <s v="Male"/>
    <n v="3"/>
    <n v="1"/>
    <s v="Laboratory Technician"/>
    <n v="2"/>
    <s v="Married"/>
    <n v="3468"/>
    <n v="9"/>
    <x v="1"/>
    <n v="12"/>
    <n v="3"/>
    <n v="4"/>
    <n v="1"/>
    <n v="6"/>
    <n v="3"/>
    <n v="3"/>
    <n v="2"/>
    <n v="2"/>
    <n v="2"/>
    <n v="2"/>
    <n v="0"/>
    <x v="2"/>
    <n v="2"/>
    <x v="0"/>
    <n v="2"/>
    <x v="1"/>
    <n v="1"/>
    <s v="Below College"/>
    <s v="Medium"/>
    <s v="Low"/>
    <s v="Better"/>
  </r>
  <r>
    <n v="32"/>
    <s v="No"/>
    <s v="Travel_Frequently"/>
    <s v="Research &amp; Development"/>
    <n v="2"/>
    <n v="2"/>
    <s v="Life Sciences"/>
    <n v="8"/>
    <n v="4"/>
    <s v="Male"/>
    <n v="3"/>
    <n v="1"/>
    <s v="Laboratory Technician"/>
    <n v="4"/>
    <s v="Single"/>
    <n v="3068"/>
    <n v="0"/>
    <x v="1"/>
    <n v="13"/>
    <n v="3"/>
    <n v="3"/>
    <n v="0"/>
    <n v="8"/>
    <n v="2"/>
    <n v="2"/>
    <n v="7"/>
    <n v="7"/>
    <n v="3"/>
    <n v="6"/>
    <n v="0"/>
    <x v="2"/>
    <n v="2"/>
    <x v="0"/>
    <n v="2"/>
    <x v="0"/>
    <n v="3"/>
    <s v="College"/>
    <s v="Very High"/>
    <s v="Very High"/>
    <s v="Good"/>
  </r>
  <r>
    <n v="59"/>
    <s v="No"/>
    <s v="Travel_Rarely"/>
    <s v="Research &amp; Development"/>
    <n v="3"/>
    <n v="3"/>
    <s v="Medical"/>
    <n v="10"/>
    <n v="3"/>
    <s v="Female"/>
    <n v="4"/>
    <n v="1"/>
    <s v="Laboratory Technician"/>
    <n v="1"/>
    <s v="Married"/>
    <n v="2670"/>
    <n v="4"/>
    <x v="0"/>
    <n v="20"/>
    <n v="4"/>
    <n v="1"/>
    <n v="3"/>
    <n v="12"/>
    <n v="3"/>
    <n v="2"/>
    <n v="1"/>
    <n v="0"/>
    <n v="0"/>
    <n v="0"/>
    <n v="0"/>
    <x v="3"/>
    <n v="5"/>
    <x v="1"/>
    <n v="1"/>
    <x v="1"/>
    <n v="1"/>
    <s v="Bachelor"/>
    <s v="Low"/>
    <s v="High"/>
    <s v="Good"/>
  </r>
  <r>
    <n v="30"/>
    <s v="No"/>
    <s v="Travel_Rarely"/>
    <s v="Research &amp; Development"/>
    <n v="24"/>
    <n v="1"/>
    <s v="Life Sciences"/>
    <n v="11"/>
    <n v="4"/>
    <s v="Male"/>
    <n v="3"/>
    <n v="1"/>
    <s v="Laboratory Technician"/>
    <n v="3"/>
    <s v="Divorced"/>
    <n v="2693"/>
    <n v="1"/>
    <x v="1"/>
    <n v="22"/>
    <n v="4"/>
    <n v="2"/>
    <n v="1"/>
    <n v="1"/>
    <n v="2"/>
    <n v="3"/>
    <n v="1"/>
    <n v="0"/>
    <n v="0"/>
    <n v="0"/>
    <n v="0"/>
    <x v="2"/>
    <n v="2"/>
    <x v="1"/>
    <n v="1"/>
    <x v="1"/>
    <n v="1"/>
    <s v="Below College"/>
    <s v="High"/>
    <s v="Very High"/>
    <s v="Better"/>
  </r>
  <r>
    <n v="38"/>
    <s v="No"/>
    <s v="Travel_Frequently"/>
    <s v="Research &amp; Development"/>
    <n v="23"/>
    <n v="3"/>
    <s v="Life Sciences"/>
    <n v="12"/>
    <n v="4"/>
    <s v="Male"/>
    <n v="2"/>
    <n v="3"/>
    <s v="Manufacturing Director"/>
    <n v="3"/>
    <s v="Single"/>
    <n v="9526"/>
    <n v="0"/>
    <x v="1"/>
    <n v="21"/>
    <n v="4"/>
    <n v="2"/>
    <n v="0"/>
    <n v="10"/>
    <n v="2"/>
    <n v="3"/>
    <n v="9"/>
    <n v="7"/>
    <n v="1"/>
    <n v="8"/>
    <n v="0"/>
    <x v="0"/>
    <n v="3"/>
    <x v="2"/>
    <n v="3"/>
    <x v="0"/>
    <n v="3"/>
    <s v="Bachelor"/>
    <s v="High"/>
    <s v="Very High"/>
    <s v="Better"/>
  </r>
  <r>
    <n v="36"/>
    <s v="No"/>
    <s v="Travel_Rarely"/>
    <s v="Research &amp; Development"/>
    <n v="27"/>
    <n v="3"/>
    <s v="Medical"/>
    <n v="13"/>
    <n v="3"/>
    <s v="Male"/>
    <n v="3"/>
    <n v="2"/>
    <s v="Healthcare Representative"/>
    <n v="3"/>
    <s v="Married"/>
    <n v="5237"/>
    <n v="6"/>
    <x v="1"/>
    <n v="13"/>
    <n v="3"/>
    <n v="2"/>
    <n v="2"/>
    <n v="17"/>
    <n v="3"/>
    <n v="2"/>
    <n v="7"/>
    <n v="7"/>
    <n v="7"/>
    <n v="7"/>
    <n v="0"/>
    <x v="0"/>
    <n v="3"/>
    <x v="0"/>
    <n v="2"/>
    <x v="0"/>
    <n v="3"/>
    <s v="Bachelor"/>
    <s v="High"/>
    <s v="High"/>
    <s v="Good"/>
  </r>
  <r>
    <n v="35"/>
    <s v="No"/>
    <s v="Travel_Rarely"/>
    <s v="Research &amp; Development"/>
    <n v="16"/>
    <n v="3"/>
    <s v="Medical"/>
    <n v="14"/>
    <n v="1"/>
    <s v="Male"/>
    <n v="4"/>
    <n v="1"/>
    <s v="Laboratory Technician"/>
    <n v="2"/>
    <s v="Married"/>
    <n v="2426"/>
    <n v="0"/>
    <x v="1"/>
    <n v="13"/>
    <n v="3"/>
    <n v="3"/>
    <n v="1"/>
    <n v="6"/>
    <n v="5"/>
    <n v="3"/>
    <n v="5"/>
    <n v="4"/>
    <n v="0"/>
    <n v="3"/>
    <n v="0"/>
    <x v="2"/>
    <n v="2"/>
    <x v="1"/>
    <n v="1"/>
    <x v="2"/>
    <n v="2"/>
    <s v="Bachelor"/>
    <s v="Medium"/>
    <s v="Low"/>
    <s v="Better"/>
  </r>
  <r>
    <n v="29"/>
    <s v="No"/>
    <s v="Travel_Rarely"/>
    <s v="Research &amp; Development"/>
    <n v="15"/>
    <n v="2"/>
    <s v="Life Sciences"/>
    <n v="15"/>
    <n v="4"/>
    <s v="Female"/>
    <n v="2"/>
    <n v="2"/>
    <s v="Laboratory Technician"/>
    <n v="3"/>
    <s v="Single"/>
    <n v="4193"/>
    <n v="0"/>
    <x v="0"/>
    <n v="12"/>
    <n v="3"/>
    <n v="4"/>
    <n v="0"/>
    <n v="10"/>
    <n v="3"/>
    <n v="3"/>
    <n v="9"/>
    <n v="5"/>
    <n v="0"/>
    <n v="8"/>
    <n v="0"/>
    <x v="2"/>
    <n v="2"/>
    <x v="0"/>
    <n v="2"/>
    <x v="0"/>
    <n v="3"/>
    <s v="College"/>
    <s v="High"/>
    <s v="Very High"/>
    <s v="Better"/>
  </r>
  <r>
    <n v="31"/>
    <s v="No"/>
    <s v="Travel_Rarely"/>
    <s v="Research &amp; Development"/>
    <n v="26"/>
    <n v="1"/>
    <s v="Life Sciences"/>
    <n v="16"/>
    <n v="1"/>
    <s v="Male"/>
    <n v="3"/>
    <n v="1"/>
    <s v="Research Scientist"/>
    <n v="3"/>
    <s v="Divorced"/>
    <n v="2911"/>
    <n v="1"/>
    <x v="1"/>
    <n v="17"/>
    <n v="3"/>
    <n v="4"/>
    <n v="1"/>
    <n v="5"/>
    <n v="1"/>
    <n v="2"/>
    <n v="5"/>
    <n v="2"/>
    <n v="4"/>
    <n v="3"/>
    <n v="0"/>
    <x v="2"/>
    <n v="2"/>
    <x v="1"/>
    <n v="1"/>
    <x v="2"/>
    <n v="2"/>
    <s v="Below College"/>
    <s v="High"/>
    <s v="Low"/>
    <s v="Good"/>
  </r>
  <r>
    <n v="34"/>
    <s v="No"/>
    <s v="Travel_Rarely"/>
    <s v="Research &amp; Development"/>
    <n v="19"/>
    <n v="2"/>
    <s v="Medical"/>
    <n v="18"/>
    <n v="2"/>
    <s v="Male"/>
    <n v="3"/>
    <n v="1"/>
    <s v="Laboratory Technician"/>
    <n v="4"/>
    <s v="Divorced"/>
    <n v="2661"/>
    <n v="0"/>
    <x v="1"/>
    <n v="11"/>
    <n v="3"/>
    <n v="3"/>
    <n v="1"/>
    <n v="3"/>
    <n v="2"/>
    <n v="3"/>
    <n v="2"/>
    <n v="2"/>
    <n v="1"/>
    <n v="2"/>
    <n v="0"/>
    <x v="2"/>
    <n v="2"/>
    <x v="1"/>
    <n v="1"/>
    <x v="1"/>
    <n v="1"/>
    <s v="College"/>
    <s v="Very High"/>
    <s v="Medium"/>
    <s v="Better"/>
  </r>
  <r>
    <n v="28"/>
    <s v="Yes"/>
    <s v="Travel_Rarely"/>
    <s v="Research &amp; Development"/>
    <n v="24"/>
    <n v="3"/>
    <s v="Life Sciences"/>
    <n v="19"/>
    <n v="3"/>
    <s v="Male"/>
    <n v="2"/>
    <n v="1"/>
    <s v="Laboratory Technician"/>
    <n v="3"/>
    <s v="Single"/>
    <n v="2028"/>
    <n v="5"/>
    <x v="0"/>
    <n v="14"/>
    <n v="3"/>
    <n v="2"/>
    <n v="0"/>
    <n v="6"/>
    <n v="4"/>
    <n v="3"/>
    <n v="4"/>
    <n v="2"/>
    <n v="0"/>
    <n v="3"/>
    <n v="1"/>
    <x v="2"/>
    <n v="2"/>
    <x v="1"/>
    <n v="1"/>
    <x v="2"/>
    <n v="2"/>
    <s v="Bachelor"/>
    <s v="High"/>
    <s v="High"/>
    <s v="Better"/>
  </r>
  <r>
    <n v="29"/>
    <s v="No"/>
    <s v="Travel_Rarely"/>
    <s v="Research &amp; Development"/>
    <n v="21"/>
    <n v="4"/>
    <s v="Life Sciences"/>
    <n v="20"/>
    <n v="2"/>
    <s v="Female"/>
    <n v="4"/>
    <n v="3"/>
    <s v="Manufacturing Director"/>
    <n v="1"/>
    <s v="Divorced"/>
    <n v="9980"/>
    <n v="1"/>
    <x v="1"/>
    <n v="11"/>
    <n v="3"/>
    <n v="3"/>
    <n v="1"/>
    <n v="10"/>
    <n v="1"/>
    <n v="3"/>
    <n v="10"/>
    <n v="9"/>
    <n v="8"/>
    <n v="8"/>
    <n v="0"/>
    <x v="2"/>
    <n v="2"/>
    <x v="2"/>
    <n v="3"/>
    <x v="0"/>
    <n v="3"/>
    <s v="Master"/>
    <s v="Low"/>
    <s v="Medium"/>
    <s v="Better"/>
  </r>
  <r>
    <n v="32"/>
    <s v="No"/>
    <s v="Travel_Rarely"/>
    <s v="Research &amp; Development"/>
    <n v="5"/>
    <n v="2"/>
    <s v="Life Sciences"/>
    <n v="21"/>
    <n v="1"/>
    <s v="Male"/>
    <n v="4"/>
    <n v="1"/>
    <s v="Research Scientist"/>
    <n v="2"/>
    <s v="Divorced"/>
    <n v="3298"/>
    <n v="0"/>
    <x v="0"/>
    <n v="12"/>
    <n v="3"/>
    <n v="4"/>
    <n v="2"/>
    <n v="7"/>
    <n v="5"/>
    <n v="2"/>
    <n v="6"/>
    <n v="2"/>
    <n v="0"/>
    <n v="5"/>
    <n v="0"/>
    <x v="2"/>
    <n v="2"/>
    <x v="0"/>
    <n v="2"/>
    <x v="0"/>
    <n v="3"/>
    <s v="College"/>
    <s v="Medium"/>
    <s v="Low"/>
    <s v="Good"/>
  </r>
  <r>
    <n v="22"/>
    <s v="No"/>
    <s v="Non-Travel"/>
    <s v="Research &amp; Development"/>
    <n v="16"/>
    <n v="2"/>
    <s v="Medical"/>
    <n v="22"/>
    <n v="4"/>
    <s v="Male"/>
    <n v="4"/>
    <n v="1"/>
    <s v="Laboratory Technician"/>
    <n v="4"/>
    <s v="Divorced"/>
    <n v="2935"/>
    <n v="1"/>
    <x v="0"/>
    <n v="13"/>
    <n v="3"/>
    <n v="2"/>
    <n v="2"/>
    <n v="1"/>
    <n v="2"/>
    <n v="2"/>
    <n v="1"/>
    <n v="0"/>
    <n v="0"/>
    <n v="0"/>
    <n v="0"/>
    <x v="4"/>
    <n v="1"/>
    <x v="1"/>
    <n v="1"/>
    <x v="1"/>
    <n v="1"/>
    <s v="College"/>
    <s v="Very High"/>
    <s v="Very High"/>
    <s v="Good"/>
  </r>
  <r>
    <n v="53"/>
    <s v="No"/>
    <s v="Travel_Rarely"/>
    <s v="Sales"/>
    <n v="2"/>
    <n v="4"/>
    <s v="Life Sciences"/>
    <n v="23"/>
    <n v="1"/>
    <s v="Female"/>
    <n v="2"/>
    <n v="4"/>
    <s v="Manager"/>
    <n v="4"/>
    <s v="Married"/>
    <n v="15427"/>
    <n v="2"/>
    <x v="1"/>
    <n v="16"/>
    <n v="3"/>
    <n v="3"/>
    <n v="0"/>
    <n v="31"/>
    <n v="3"/>
    <n v="3"/>
    <n v="25"/>
    <n v="8"/>
    <n v="3"/>
    <n v="7"/>
    <n v="0"/>
    <x v="1"/>
    <n v="4"/>
    <x v="3"/>
    <n v="4"/>
    <x v="3"/>
    <n v="4"/>
    <s v="Master"/>
    <s v="Very High"/>
    <s v="Low"/>
    <s v="Better"/>
  </r>
  <r>
    <n v="38"/>
    <s v="No"/>
    <s v="Travel_Rarely"/>
    <s v="Research &amp; Development"/>
    <n v="2"/>
    <n v="3"/>
    <s v="Life Sciences"/>
    <n v="24"/>
    <n v="4"/>
    <s v="Male"/>
    <n v="3"/>
    <n v="1"/>
    <s v="Research Scientist"/>
    <n v="4"/>
    <s v="Single"/>
    <n v="3944"/>
    <n v="5"/>
    <x v="0"/>
    <n v="11"/>
    <n v="3"/>
    <n v="3"/>
    <n v="0"/>
    <n v="6"/>
    <n v="3"/>
    <n v="3"/>
    <n v="3"/>
    <n v="2"/>
    <n v="1"/>
    <n v="2"/>
    <n v="0"/>
    <x v="0"/>
    <n v="3"/>
    <x v="0"/>
    <n v="2"/>
    <x v="2"/>
    <n v="2"/>
    <s v="Bachelor"/>
    <s v="Very High"/>
    <s v="Very High"/>
    <s v="Better"/>
  </r>
  <r>
    <n v="24"/>
    <s v="No"/>
    <s v="Non-Travel"/>
    <s v="Research &amp; Development"/>
    <n v="11"/>
    <n v="2"/>
    <s v="Other"/>
    <n v="26"/>
    <n v="1"/>
    <s v="Female"/>
    <n v="4"/>
    <n v="2"/>
    <s v="Manufacturing Director"/>
    <n v="3"/>
    <s v="Divorced"/>
    <n v="4011"/>
    <n v="0"/>
    <x v="1"/>
    <n v="18"/>
    <n v="3"/>
    <n v="4"/>
    <n v="1"/>
    <n v="5"/>
    <n v="5"/>
    <n v="2"/>
    <n v="4"/>
    <n v="2"/>
    <n v="1"/>
    <n v="3"/>
    <n v="0"/>
    <x v="4"/>
    <n v="1"/>
    <x v="0"/>
    <n v="2"/>
    <x v="2"/>
    <n v="2"/>
    <s v="College"/>
    <s v="High"/>
    <s v="Low"/>
    <s v="Good"/>
  </r>
  <r>
    <n v="36"/>
    <s v="Yes"/>
    <s v="Travel_Rarely"/>
    <s v="Sales"/>
    <n v="9"/>
    <n v="4"/>
    <s v="Life Sciences"/>
    <n v="27"/>
    <n v="3"/>
    <s v="Male"/>
    <n v="2"/>
    <n v="1"/>
    <s v="Sales Representative"/>
    <n v="1"/>
    <s v="Single"/>
    <n v="3407"/>
    <n v="7"/>
    <x v="1"/>
    <n v="23"/>
    <n v="4"/>
    <n v="2"/>
    <n v="0"/>
    <n v="10"/>
    <n v="4"/>
    <n v="3"/>
    <n v="5"/>
    <n v="3"/>
    <n v="0"/>
    <n v="3"/>
    <n v="1"/>
    <x v="0"/>
    <n v="3"/>
    <x v="0"/>
    <n v="2"/>
    <x v="2"/>
    <n v="2"/>
    <s v="Master"/>
    <s v="Low"/>
    <s v="High"/>
    <s v="Better"/>
  </r>
  <r>
    <n v="34"/>
    <s v="No"/>
    <s v="Travel_Rarely"/>
    <s v="Research &amp; Development"/>
    <n v="7"/>
    <n v="4"/>
    <s v="Life Sciences"/>
    <n v="28"/>
    <n v="1"/>
    <s v="Female"/>
    <n v="3"/>
    <n v="3"/>
    <s v="Research Director"/>
    <n v="2"/>
    <s v="Single"/>
    <n v="11994"/>
    <n v="0"/>
    <x v="1"/>
    <n v="11"/>
    <n v="3"/>
    <n v="3"/>
    <n v="0"/>
    <n v="13"/>
    <n v="4"/>
    <n v="3"/>
    <n v="12"/>
    <n v="6"/>
    <n v="2"/>
    <n v="11"/>
    <n v="0"/>
    <x v="2"/>
    <n v="2"/>
    <x v="3"/>
    <n v="4"/>
    <x v="3"/>
    <n v="4"/>
    <s v="Master"/>
    <s v="Medium"/>
    <s v="Low"/>
    <s v="Better"/>
  </r>
  <r>
    <n v="21"/>
    <s v="No"/>
    <s v="Travel_Rarely"/>
    <s v="Research &amp; Development"/>
    <n v="15"/>
    <n v="2"/>
    <s v="Life Sciences"/>
    <n v="30"/>
    <n v="3"/>
    <s v="Male"/>
    <n v="3"/>
    <n v="1"/>
    <s v="Research Scientist"/>
    <n v="4"/>
    <s v="Single"/>
    <n v="1232"/>
    <n v="1"/>
    <x v="1"/>
    <n v="14"/>
    <n v="3"/>
    <n v="4"/>
    <n v="0"/>
    <n v="0"/>
    <n v="6"/>
    <n v="3"/>
    <n v="0"/>
    <n v="0"/>
    <n v="0"/>
    <n v="0"/>
    <n v="0"/>
    <x v="4"/>
    <n v="1"/>
    <x v="1"/>
    <n v="1"/>
    <x v="1"/>
    <n v="1"/>
    <s v="College"/>
    <s v="Very High"/>
    <s v="High"/>
    <s v="Better"/>
  </r>
  <r>
    <n v="34"/>
    <s v="Yes"/>
    <s v="Travel_Rarely"/>
    <s v="Research &amp; Development"/>
    <n v="6"/>
    <n v="1"/>
    <s v="Medical"/>
    <n v="31"/>
    <n v="2"/>
    <s v="Male"/>
    <n v="3"/>
    <n v="1"/>
    <s v="Research Scientist"/>
    <n v="1"/>
    <s v="Single"/>
    <n v="2960"/>
    <n v="2"/>
    <x v="1"/>
    <n v="11"/>
    <n v="3"/>
    <n v="3"/>
    <n v="0"/>
    <n v="8"/>
    <n v="2"/>
    <n v="3"/>
    <n v="4"/>
    <n v="2"/>
    <n v="1"/>
    <n v="3"/>
    <n v="1"/>
    <x v="2"/>
    <n v="2"/>
    <x v="1"/>
    <n v="1"/>
    <x v="2"/>
    <n v="2"/>
    <s v="Below College"/>
    <s v="Low"/>
    <s v="Medium"/>
    <s v="Better"/>
  </r>
  <r>
    <n v="53"/>
    <s v="No"/>
    <s v="Travel_Rarely"/>
    <s v="Research &amp; Development"/>
    <n v="5"/>
    <n v="3"/>
    <s v="Other"/>
    <n v="32"/>
    <n v="3"/>
    <s v="Female"/>
    <n v="3"/>
    <n v="5"/>
    <s v="Manager"/>
    <n v="3"/>
    <s v="Divorced"/>
    <n v="19094"/>
    <n v="4"/>
    <x v="1"/>
    <n v="11"/>
    <n v="3"/>
    <n v="4"/>
    <n v="1"/>
    <n v="26"/>
    <n v="3"/>
    <n v="2"/>
    <n v="14"/>
    <n v="13"/>
    <n v="4"/>
    <n v="8"/>
    <n v="0"/>
    <x v="1"/>
    <n v="4"/>
    <x v="3"/>
    <n v="4"/>
    <x v="3"/>
    <n v="4"/>
    <s v="Bachelor"/>
    <s v="High"/>
    <s v="High"/>
    <s v="Good"/>
  </r>
  <r>
    <n v="32"/>
    <s v="Yes"/>
    <s v="Travel_Frequently"/>
    <s v="Research &amp; Development"/>
    <n v="16"/>
    <n v="1"/>
    <s v="Life Sciences"/>
    <n v="33"/>
    <n v="2"/>
    <s v="Female"/>
    <n v="1"/>
    <n v="1"/>
    <s v="Research Scientist"/>
    <n v="1"/>
    <s v="Single"/>
    <n v="3919"/>
    <n v="1"/>
    <x v="0"/>
    <n v="22"/>
    <n v="4"/>
    <n v="2"/>
    <n v="0"/>
    <n v="10"/>
    <n v="5"/>
    <n v="3"/>
    <n v="10"/>
    <n v="2"/>
    <n v="6"/>
    <n v="7"/>
    <n v="1"/>
    <x v="2"/>
    <n v="2"/>
    <x v="0"/>
    <n v="2"/>
    <x v="0"/>
    <n v="3"/>
    <s v="Below College"/>
    <s v="Low"/>
    <s v="Medium"/>
    <s v="Better"/>
  </r>
  <r>
    <n v="42"/>
    <s v="No"/>
    <s v="Travel_Rarely"/>
    <s v="Sales"/>
    <n v="8"/>
    <n v="4"/>
    <s v="Marketing"/>
    <n v="35"/>
    <n v="3"/>
    <s v="Male"/>
    <n v="3"/>
    <n v="2"/>
    <s v="Sales Executive"/>
    <n v="2"/>
    <s v="Married"/>
    <n v="6825"/>
    <n v="0"/>
    <x v="1"/>
    <n v="11"/>
    <n v="3"/>
    <n v="4"/>
    <n v="1"/>
    <n v="10"/>
    <n v="2"/>
    <n v="3"/>
    <n v="9"/>
    <n v="7"/>
    <n v="4"/>
    <n v="2"/>
    <n v="0"/>
    <x v="0"/>
    <n v="3"/>
    <x v="2"/>
    <n v="3"/>
    <x v="0"/>
    <n v="3"/>
    <s v="Master"/>
    <s v="Medium"/>
    <s v="High"/>
    <s v="Better"/>
  </r>
  <r>
    <n v="44"/>
    <s v="No"/>
    <s v="Travel_Rarely"/>
    <s v="Research &amp; Development"/>
    <n v="7"/>
    <n v="4"/>
    <s v="Medical"/>
    <n v="36"/>
    <n v="1"/>
    <s v="Female"/>
    <n v="2"/>
    <n v="3"/>
    <s v="Healthcare Representative"/>
    <n v="4"/>
    <s v="Married"/>
    <n v="10248"/>
    <n v="3"/>
    <x v="1"/>
    <n v="14"/>
    <n v="3"/>
    <n v="4"/>
    <n v="1"/>
    <n v="24"/>
    <n v="4"/>
    <n v="3"/>
    <n v="22"/>
    <n v="6"/>
    <n v="5"/>
    <n v="17"/>
    <n v="0"/>
    <x v="0"/>
    <n v="3"/>
    <x v="3"/>
    <n v="4"/>
    <x v="3"/>
    <n v="4"/>
    <s v="Master"/>
    <s v="Very High"/>
    <s v="Low"/>
    <s v="Better"/>
  </r>
  <r>
    <n v="46"/>
    <s v="No"/>
    <s v="Travel_Rarely"/>
    <s v="Sales"/>
    <n v="2"/>
    <n v="4"/>
    <s v="Marketing"/>
    <n v="38"/>
    <n v="2"/>
    <s v="Female"/>
    <n v="3"/>
    <n v="5"/>
    <s v="Manager"/>
    <n v="1"/>
    <s v="Single"/>
    <n v="18947"/>
    <n v="3"/>
    <x v="1"/>
    <n v="12"/>
    <n v="3"/>
    <n v="4"/>
    <n v="0"/>
    <n v="22"/>
    <n v="2"/>
    <n v="2"/>
    <n v="2"/>
    <n v="2"/>
    <n v="2"/>
    <n v="1"/>
    <n v="0"/>
    <x v="1"/>
    <n v="4"/>
    <x v="3"/>
    <n v="4"/>
    <x v="1"/>
    <n v="1"/>
    <s v="Master"/>
    <s v="Low"/>
    <s v="Medium"/>
    <s v="Good"/>
  </r>
  <r>
    <n v="33"/>
    <s v="No"/>
    <s v="Travel_Rarely"/>
    <s v="Research &amp; Development"/>
    <n v="2"/>
    <n v="3"/>
    <s v="Medical"/>
    <n v="39"/>
    <n v="3"/>
    <s v="Male"/>
    <n v="3"/>
    <n v="1"/>
    <s v="Laboratory Technician"/>
    <n v="4"/>
    <s v="Single"/>
    <n v="2496"/>
    <n v="4"/>
    <x v="1"/>
    <n v="11"/>
    <n v="3"/>
    <n v="4"/>
    <n v="0"/>
    <n v="7"/>
    <n v="3"/>
    <n v="3"/>
    <n v="1"/>
    <n v="1"/>
    <n v="0"/>
    <n v="0"/>
    <n v="0"/>
    <x v="2"/>
    <n v="2"/>
    <x v="1"/>
    <n v="1"/>
    <x v="1"/>
    <n v="1"/>
    <s v="Bachelor"/>
    <s v="Very High"/>
    <s v="High"/>
    <s v="Better"/>
  </r>
  <r>
    <n v="44"/>
    <s v="No"/>
    <s v="Travel_Rarely"/>
    <s v="Research &amp; Development"/>
    <n v="10"/>
    <n v="4"/>
    <s v="Other"/>
    <n v="40"/>
    <n v="4"/>
    <s v="Male"/>
    <n v="3"/>
    <n v="2"/>
    <s v="Healthcare Representative"/>
    <n v="4"/>
    <s v="Married"/>
    <n v="6465"/>
    <n v="2"/>
    <x v="0"/>
    <n v="13"/>
    <n v="3"/>
    <n v="4"/>
    <n v="0"/>
    <n v="9"/>
    <n v="5"/>
    <n v="4"/>
    <n v="4"/>
    <n v="2"/>
    <n v="1"/>
    <n v="3"/>
    <n v="0"/>
    <x v="0"/>
    <n v="3"/>
    <x v="2"/>
    <n v="3"/>
    <x v="2"/>
    <n v="2"/>
    <s v="Master"/>
    <s v="Very High"/>
    <s v="Very High"/>
    <s v="Best"/>
  </r>
  <r>
    <n v="30"/>
    <s v="No"/>
    <s v="Travel_Rarely"/>
    <s v="Research &amp; Development"/>
    <n v="9"/>
    <n v="2"/>
    <s v="Medical"/>
    <n v="41"/>
    <n v="4"/>
    <s v="Male"/>
    <n v="2"/>
    <n v="1"/>
    <s v="Laboratory Technician"/>
    <n v="3"/>
    <s v="Single"/>
    <n v="2206"/>
    <n v="1"/>
    <x v="1"/>
    <n v="13"/>
    <n v="3"/>
    <n v="1"/>
    <n v="0"/>
    <n v="10"/>
    <n v="5"/>
    <n v="3"/>
    <n v="10"/>
    <n v="0"/>
    <n v="1"/>
    <n v="8"/>
    <n v="0"/>
    <x v="2"/>
    <n v="2"/>
    <x v="1"/>
    <n v="1"/>
    <x v="0"/>
    <n v="3"/>
    <s v="College"/>
    <s v="High"/>
    <s v="Very High"/>
    <s v="Better"/>
  </r>
  <r>
    <n v="39"/>
    <s v="Yes"/>
    <s v="Travel_Rarely"/>
    <s v="Sales"/>
    <n v="5"/>
    <n v="3"/>
    <s v="Technical Degree"/>
    <n v="42"/>
    <n v="4"/>
    <s v="Male"/>
    <n v="3"/>
    <n v="2"/>
    <s v="Sales Representative"/>
    <n v="4"/>
    <s v="Married"/>
    <n v="2086"/>
    <n v="3"/>
    <x v="1"/>
    <n v="14"/>
    <n v="3"/>
    <n v="3"/>
    <n v="1"/>
    <n v="19"/>
    <n v="6"/>
    <n v="4"/>
    <n v="1"/>
    <n v="0"/>
    <n v="0"/>
    <n v="0"/>
    <n v="1"/>
    <x v="0"/>
    <n v="3"/>
    <x v="1"/>
    <n v="1"/>
    <x v="1"/>
    <n v="1"/>
    <s v="Bachelor"/>
    <s v="Very High"/>
    <s v="Very High"/>
    <s v="Best"/>
  </r>
  <r>
    <n v="24"/>
    <s v="Yes"/>
    <s v="Travel_Rarely"/>
    <s v="Research &amp; Development"/>
    <n v="1"/>
    <n v="3"/>
    <s v="Medical"/>
    <n v="45"/>
    <n v="2"/>
    <s v="Male"/>
    <n v="3"/>
    <n v="1"/>
    <s v="Research Scientist"/>
    <n v="4"/>
    <s v="Married"/>
    <n v="2293"/>
    <n v="2"/>
    <x v="0"/>
    <n v="16"/>
    <n v="3"/>
    <n v="1"/>
    <n v="1"/>
    <n v="6"/>
    <n v="2"/>
    <n v="2"/>
    <n v="2"/>
    <n v="0"/>
    <n v="2"/>
    <n v="0"/>
    <n v="1"/>
    <x v="4"/>
    <n v="1"/>
    <x v="1"/>
    <n v="1"/>
    <x v="1"/>
    <n v="1"/>
    <s v="Bachelor"/>
    <s v="Very High"/>
    <s v="Medium"/>
    <s v="Good"/>
  </r>
  <r>
    <n v="43"/>
    <s v="No"/>
    <s v="Travel_Rarely"/>
    <s v="Research &amp; Development"/>
    <n v="2"/>
    <n v="2"/>
    <s v="Medical"/>
    <n v="46"/>
    <n v="4"/>
    <s v="Female"/>
    <n v="4"/>
    <n v="1"/>
    <s v="Research Scientist"/>
    <n v="3"/>
    <s v="Divorced"/>
    <n v="2645"/>
    <n v="1"/>
    <x v="1"/>
    <n v="12"/>
    <n v="3"/>
    <n v="4"/>
    <n v="2"/>
    <n v="6"/>
    <n v="3"/>
    <n v="2"/>
    <n v="5"/>
    <n v="3"/>
    <n v="1"/>
    <n v="4"/>
    <n v="0"/>
    <x v="0"/>
    <n v="3"/>
    <x v="1"/>
    <n v="1"/>
    <x v="2"/>
    <n v="2"/>
    <s v="College"/>
    <s v="High"/>
    <s v="Very High"/>
    <s v="Good"/>
  </r>
  <r>
    <n v="50"/>
    <s v="Yes"/>
    <s v="Travel_Rarely"/>
    <s v="Sales"/>
    <n v="3"/>
    <n v="2"/>
    <s v="Marketing"/>
    <n v="47"/>
    <n v="1"/>
    <s v="Male"/>
    <n v="2"/>
    <n v="1"/>
    <s v="Sales Representative"/>
    <n v="3"/>
    <s v="Married"/>
    <n v="2683"/>
    <n v="1"/>
    <x v="0"/>
    <n v="14"/>
    <n v="3"/>
    <n v="3"/>
    <n v="0"/>
    <n v="3"/>
    <n v="2"/>
    <n v="3"/>
    <n v="3"/>
    <n v="2"/>
    <n v="0"/>
    <n v="2"/>
    <n v="1"/>
    <x v="1"/>
    <n v="4"/>
    <x v="1"/>
    <n v="1"/>
    <x v="2"/>
    <n v="2"/>
    <s v="College"/>
    <s v="High"/>
    <s v="Low"/>
    <s v="Better"/>
  </r>
  <r>
    <n v="35"/>
    <s v="No"/>
    <s v="Travel_Rarely"/>
    <s v="Sales"/>
    <n v="2"/>
    <n v="3"/>
    <s v="Marketing"/>
    <n v="49"/>
    <n v="4"/>
    <s v="Female"/>
    <n v="3"/>
    <n v="1"/>
    <s v="Sales Representative"/>
    <n v="4"/>
    <s v="Married"/>
    <n v="2014"/>
    <n v="1"/>
    <x v="1"/>
    <n v="13"/>
    <n v="3"/>
    <n v="1"/>
    <n v="0"/>
    <n v="2"/>
    <n v="3"/>
    <n v="3"/>
    <n v="2"/>
    <n v="2"/>
    <n v="2"/>
    <n v="2"/>
    <n v="0"/>
    <x v="2"/>
    <n v="2"/>
    <x v="1"/>
    <n v="1"/>
    <x v="1"/>
    <n v="1"/>
    <s v="Bachelor"/>
    <s v="Very High"/>
    <s v="Very High"/>
    <s v="Better"/>
  </r>
  <r>
    <n v="36"/>
    <s v="No"/>
    <s v="Travel_Rarely"/>
    <s v="Research &amp; Development"/>
    <n v="5"/>
    <n v="4"/>
    <s v="Life Sciences"/>
    <n v="51"/>
    <n v="2"/>
    <s v="Female"/>
    <n v="2"/>
    <n v="1"/>
    <s v="Research Scientist"/>
    <n v="1"/>
    <s v="Married"/>
    <n v="3419"/>
    <n v="9"/>
    <x v="0"/>
    <n v="14"/>
    <n v="3"/>
    <n v="4"/>
    <n v="1"/>
    <n v="6"/>
    <n v="3"/>
    <n v="4"/>
    <n v="1"/>
    <n v="1"/>
    <n v="0"/>
    <n v="0"/>
    <n v="0"/>
    <x v="0"/>
    <n v="3"/>
    <x v="0"/>
    <n v="2"/>
    <x v="1"/>
    <n v="1"/>
    <s v="Master"/>
    <s v="Low"/>
    <s v="Medium"/>
    <s v="Best"/>
  </r>
  <r>
    <n v="33"/>
    <s v="No"/>
    <s v="Travel_Frequently"/>
    <s v="Sales"/>
    <n v="1"/>
    <n v="3"/>
    <s v="Life Sciences"/>
    <n v="52"/>
    <n v="3"/>
    <s v="Female"/>
    <n v="4"/>
    <n v="2"/>
    <s v="Sales Executive"/>
    <n v="1"/>
    <s v="Married"/>
    <n v="5376"/>
    <n v="2"/>
    <x v="1"/>
    <n v="19"/>
    <n v="3"/>
    <n v="1"/>
    <n v="2"/>
    <n v="10"/>
    <n v="3"/>
    <n v="3"/>
    <n v="5"/>
    <n v="3"/>
    <n v="1"/>
    <n v="3"/>
    <n v="0"/>
    <x v="2"/>
    <n v="2"/>
    <x v="0"/>
    <n v="2"/>
    <x v="2"/>
    <n v="2"/>
    <s v="Bachelor"/>
    <s v="Low"/>
    <s v="High"/>
    <s v="Better"/>
  </r>
  <r>
    <n v="35"/>
    <s v="No"/>
    <s v="Travel_Rarely"/>
    <s v="Research &amp; Development"/>
    <n v="4"/>
    <n v="2"/>
    <s v="Other"/>
    <n v="53"/>
    <n v="3"/>
    <s v="Male"/>
    <n v="3"/>
    <n v="1"/>
    <s v="Laboratory Technician"/>
    <n v="4"/>
    <s v="Divorced"/>
    <n v="1951"/>
    <n v="1"/>
    <x v="1"/>
    <n v="12"/>
    <n v="3"/>
    <n v="3"/>
    <n v="1"/>
    <n v="1"/>
    <n v="3"/>
    <n v="3"/>
    <n v="1"/>
    <n v="0"/>
    <n v="0"/>
    <n v="0"/>
    <n v="0"/>
    <x v="2"/>
    <n v="2"/>
    <x v="1"/>
    <n v="1"/>
    <x v="1"/>
    <n v="1"/>
    <s v="College"/>
    <s v="Very High"/>
    <s v="High"/>
    <s v="Better"/>
  </r>
  <r>
    <n v="27"/>
    <s v="No"/>
    <s v="Travel_Rarely"/>
    <s v="Research &amp; Development"/>
    <n v="2"/>
    <n v="4"/>
    <s v="Life Sciences"/>
    <n v="54"/>
    <n v="4"/>
    <s v="Female"/>
    <n v="3"/>
    <n v="1"/>
    <s v="Laboratory Technician"/>
    <n v="1"/>
    <s v="Divorced"/>
    <n v="2341"/>
    <n v="1"/>
    <x v="1"/>
    <n v="13"/>
    <n v="3"/>
    <n v="4"/>
    <n v="1"/>
    <n v="1"/>
    <n v="6"/>
    <n v="3"/>
    <n v="1"/>
    <n v="0"/>
    <n v="0"/>
    <n v="0"/>
    <n v="0"/>
    <x v="2"/>
    <n v="2"/>
    <x v="1"/>
    <n v="1"/>
    <x v="1"/>
    <n v="1"/>
    <s v="Master"/>
    <s v="Low"/>
    <s v="Very High"/>
    <s v="Better"/>
  </r>
  <r>
    <n v="26"/>
    <s v="Yes"/>
    <s v="Travel_Rarely"/>
    <s v="Research &amp; Development"/>
    <n v="25"/>
    <n v="3"/>
    <s v="Life Sciences"/>
    <n v="55"/>
    <n v="1"/>
    <s v="Male"/>
    <n v="1"/>
    <n v="1"/>
    <s v="Laboratory Technician"/>
    <n v="3"/>
    <s v="Single"/>
    <n v="2293"/>
    <n v="1"/>
    <x v="1"/>
    <n v="12"/>
    <n v="3"/>
    <n v="3"/>
    <n v="0"/>
    <n v="1"/>
    <n v="2"/>
    <n v="2"/>
    <n v="1"/>
    <n v="0"/>
    <n v="0"/>
    <n v="1"/>
    <n v="1"/>
    <x v="2"/>
    <n v="2"/>
    <x v="1"/>
    <n v="1"/>
    <x v="1"/>
    <n v="1"/>
    <s v="Bachelor"/>
    <s v="High"/>
    <s v="Low"/>
    <s v="Good"/>
  </r>
  <r>
    <n v="27"/>
    <s v="No"/>
    <s v="Travel_Frequently"/>
    <s v="Sales"/>
    <n v="8"/>
    <n v="3"/>
    <s v="Life Sciences"/>
    <n v="56"/>
    <n v="4"/>
    <s v="Male"/>
    <n v="3"/>
    <n v="3"/>
    <s v="Sales Executive"/>
    <n v="3"/>
    <s v="Single"/>
    <n v="8726"/>
    <n v="1"/>
    <x v="1"/>
    <n v="15"/>
    <n v="3"/>
    <n v="4"/>
    <n v="0"/>
    <n v="9"/>
    <n v="0"/>
    <n v="3"/>
    <n v="9"/>
    <n v="8"/>
    <n v="1"/>
    <n v="7"/>
    <n v="0"/>
    <x v="2"/>
    <n v="2"/>
    <x v="2"/>
    <n v="3"/>
    <x v="0"/>
    <n v="3"/>
    <s v="Bachelor"/>
    <s v="High"/>
    <s v="Very High"/>
    <s v="Better"/>
  </r>
  <r>
    <n v="30"/>
    <s v="No"/>
    <s v="Travel_Frequently"/>
    <s v="Research &amp; Development"/>
    <n v="1"/>
    <n v="2"/>
    <s v="Medical"/>
    <n v="57"/>
    <n v="3"/>
    <s v="Female"/>
    <n v="3"/>
    <n v="2"/>
    <s v="Laboratory Technician"/>
    <n v="4"/>
    <s v="Single"/>
    <n v="4011"/>
    <n v="1"/>
    <x v="1"/>
    <n v="23"/>
    <n v="4"/>
    <n v="4"/>
    <n v="0"/>
    <n v="12"/>
    <n v="2"/>
    <n v="3"/>
    <n v="12"/>
    <n v="8"/>
    <n v="3"/>
    <n v="7"/>
    <n v="0"/>
    <x v="2"/>
    <n v="2"/>
    <x v="0"/>
    <n v="2"/>
    <x v="3"/>
    <n v="4"/>
    <s v="College"/>
    <s v="Very High"/>
    <s v="High"/>
    <s v="Better"/>
  </r>
  <r>
    <n v="41"/>
    <s v="Yes"/>
    <s v="Travel_Rarely"/>
    <s v="Research &amp; Development"/>
    <n v="12"/>
    <n v="3"/>
    <s v="Technical Degree"/>
    <n v="58"/>
    <n v="2"/>
    <s v="Female"/>
    <n v="3"/>
    <n v="5"/>
    <s v="Research Director"/>
    <n v="3"/>
    <s v="Married"/>
    <n v="19545"/>
    <n v="1"/>
    <x v="1"/>
    <n v="12"/>
    <n v="3"/>
    <n v="4"/>
    <n v="0"/>
    <n v="23"/>
    <n v="0"/>
    <n v="3"/>
    <n v="22"/>
    <n v="15"/>
    <n v="15"/>
    <n v="8"/>
    <n v="1"/>
    <x v="0"/>
    <n v="3"/>
    <x v="3"/>
    <n v="4"/>
    <x v="3"/>
    <n v="4"/>
    <s v="Bachelor"/>
    <s v="High"/>
    <s v="Medium"/>
    <s v="Better"/>
  </r>
  <r>
    <n v="34"/>
    <s v="No"/>
    <s v="Non-Travel"/>
    <s v="Sales"/>
    <n v="23"/>
    <n v="4"/>
    <s v="Marketing"/>
    <n v="60"/>
    <n v="2"/>
    <s v="Male"/>
    <n v="3"/>
    <n v="2"/>
    <s v="Sales Executive"/>
    <n v="3"/>
    <s v="Single"/>
    <n v="4568"/>
    <n v="0"/>
    <x v="1"/>
    <n v="20"/>
    <n v="4"/>
    <n v="3"/>
    <n v="0"/>
    <n v="10"/>
    <n v="2"/>
    <n v="3"/>
    <n v="9"/>
    <n v="5"/>
    <n v="8"/>
    <n v="7"/>
    <n v="0"/>
    <x v="2"/>
    <n v="2"/>
    <x v="0"/>
    <n v="2"/>
    <x v="0"/>
    <n v="3"/>
    <s v="Master"/>
    <s v="High"/>
    <s v="Medium"/>
    <s v="Better"/>
  </r>
  <r>
    <n v="37"/>
    <s v="No"/>
    <s v="Travel_Rarely"/>
    <s v="Research &amp; Development"/>
    <n v="19"/>
    <n v="2"/>
    <s v="Life Sciences"/>
    <n v="61"/>
    <n v="2"/>
    <s v="Male"/>
    <n v="3"/>
    <n v="1"/>
    <s v="Research Scientist"/>
    <n v="2"/>
    <s v="Married"/>
    <n v="3022"/>
    <n v="4"/>
    <x v="1"/>
    <n v="21"/>
    <n v="4"/>
    <n v="1"/>
    <n v="0"/>
    <n v="8"/>
    <n v="1"/>
    <n v="3"/>
    <n v="1"/>
    <n v="0"/>
    <n v="0"/>
    <n v="0"/>
    <n v="0"/>
    <x v="0"/>
    <n v="3"/>
    <x v="0"/>
    <n v="2"/>
    <x v="1"/>
    <n v="1"/>
    <s v="College"/>
    <s v="Medium"/>
    <s v="Medium"/>
    <s v="Better"/>
  </r>
  <r>
    <n v="46"/>
    <s v="No"/>
    <s v="Travel_Frequently"/>
    <s v="Sales"/>
    <n v="5"/>
    <n v="4"/>
    <s v="Marketing"/>
    <n v="62"/>
    <n v="1"/>
    <s v="Male"/>
    <n v="3"/>
    <n v="2"/>
    <s v="Sales Executive"/>
    <n v="4"/>
    <s v="Single"/>
    <n v="5772"/>
    <n v="4"/>
    <x v="0"/>
    <n v="21"/>
    <n v="4"/>
    <n v="3"/>
    <n v="0"/>
    <n v="14"/>
    <n v="4"/>
    <n v="3"/>
    <n v="9"/>
    <n v="6"/>
    <n v="0"/>
    <n v="8"/>
    <n v="0"/>
    <x v="1"/>
    <n v="4"/>
    <x v="0"/>
    <n v="2"/>
    <x v="0"/>
    <n v="3"/>
    <s v="Master"/>
    <s v="Very High"/>
    <s v="Low"/>
    <s v="Better"/>
  </r>
  <r>
    <n v="35"/>
    <s v="No"/>
    <s v="Travel_Rarely"/>
    <s v="Research &amp; Development"/>
    <n v="8"/>
    <n v="1"/>
    <s v="Life Sciences"/>
    <n v="63"/>
    <n v="4"/>
    <s v="Male"/>
    <n v="4"/>
    <n v="1"/>
    <s v="Laboratory Technician"/>
    <n v="4"/>
    <s v="Married"/>
    <n v="2269"/>
    <n v="1"/>
    <x v="1"/>
    <n v="19"/>
    <n v="3"/>
    <n v="4"/>
    <n v="0"/>
    <n v="1"/>
    <n v="2"/>
    <n v="3"/>
    <n v="1"/>
    <n v="0"/>
    <n v="0"/>
    <n v="1"/>
    <n v="0"/>
    <x v="2"/>
    <n v="2"/>
    <x v="1"/>
    <n v="1"/>
    <x v="1"/>
    <n v="1"/>
    <s v="Below College"/>
    <s v="Very High"/>
    <s v="Very High"/>
    <s v="Better"/>
  </r>
  <r>
    <n v="48"/>
    <s v="Yes"/>
    <s v="Travel_Rarely"/>
    <s v="Research &amp; Development"/>
    <n v="1"/>
    <n v="2"/>
    <s v="Life Sciences"/>
    <n v="64"/>
    <n v="1"/>
    <s v="Male"/>
    <n v="2"/>
    <n v="3"/>
    <s v="Laboratory Technician"/>
    <n v="3"/>
    <s v="Single"/>
    <n v="5381"/>
    <n v="9"/>
    <x v="0"/>
    <n v="13"/>
    <n v="3"/>
    <n v="4"/>
    <n v="0"/>
    <n v="23"/>
    <n v="2"/>
    <n v="3"/>
    <n v="1"/>
    <n v="0"/>
    <n v="0"/>
    <n v="0"/>
    <n v="1"/>
    <x v="1"/>
    <n v="4"/>
    <x v="0"/>
    <n v="2"/>
    <x v="1"/>
    <n v="1"/>
    <s v="College"/>
    <s v="High"/>
    <s v="Low"/>
    <s v="Better"/>
  </r>
  <r>
    <n v="28"/>
    <s v="Yes"/>
    <s v="Travel_Rarely"/>
    <s v="Research &amp; Development"/>
    <n v="5"/>
    <n v="4"/>
    <s v="Technical Degree"/>
    <n v="65"/>
    <n v="3"/>
    <s v="Male"/>
    <n v="3"/>
    <n v="1"/>
    <s v="Laboratory Technician"/>
    <n v="3"/>
    <s v="Single"/>
    <n v="3441"/>
    <n v="1"/>
    <x v="0"/>
    <n v="13"/>
    <n v="3"/>
    <n v="3"/>
    <n v="0"/>
    <n v="2"/>
    <n v="3"/>
    <n v="2"/>
    <n v="2"/>
    <n v="2"/>
    <n v="2"/>
    <n v="2"/>
    <n v="1"/>
    <x v="2"/>
    <n v="2"/>
    <x v="0"/>
    <n v="2"/>
    <x v="1"/>
    <n v="1"/>
    <s v="Master"/>
    <s v="High"/>
    <s v="High"/>
    <s v="Good"/>
  </r>
  <r>
    <n v="44"/>
    <s v="No"/>
    <s v="Travel_Rarely"/>
    <s v="Sales"/>
    <n v="1"/>
    <n v="5"/>
    <s v="Marketing"/>
    <n v="68"/>
    <n v="2"/>
    <s v="Female"/>
    <n v="3"/>
    <n v="2"/>
    <s v="Sales Executive"/>
    <n v="1"/>
    <s v="Divorced"/>
    <n v="5454"/>
    <n v="5"/>
    <x v="0"/>
    <n v="21"/>
    <n v="4"/>
    <n v="3"/>
    <n v="1"/>
    <n v="9"/>
    <n v="2"/>
    <n v="2"/>
    <n v="4"/>
    <n v="3"/>
    <n v="1"/>
    <n v="3"/>
    <n v="0"/>
    <x v="0"/>
    <n v="3"/>
    <x v="0"/>
    <n v="2"/>
    <x v="2"/>
    <n v="2"/>
    <s v="Doctor"/>
    <s v="Low"/>
    <s v="Medium"/>
    <s v="Good"/>
  </r>
  <r>
    <n v="35"/>
    <s v="No"/>
    <s v="Non-Travel"/>
    <s v="Research &amp; Development"/>
    <n v="11"/>
    <n v="2"/>
    <s v="Medical"/>
    <n v="70"/>
    <n v="3"/>
    <s v="Male"/>
    <n v="2"/>
    <n v="3"/>
    <s v="Healthcare Representative"/>
    <n v="1"/>
    <s v="Married"/>
    <n v="9884"/>
    <n v="2"/>
    <x v="0"/>
    <n v="13"/>
    <n v="3"/>
    <n v="3"/>
    <n v="1"/>
    <n v="10"/>
    <n v="3"/>
    <n v="3"/>
    <n v="4"/>
    <n v="0"/>
    <n v="2"/>
    <n v="3"/>
    <n v="0"/>
    <x v="2"/>
    <n v="2"/>
    <x v="2"/>
    <n v="3"/>
    <x v="2"/>
    <n v="2"/>
    <s v="College"/>
    <s v="Low"/>
    <s v="High"/>
    <s v="Better"/>
  </r>
  <r>
    <n v="26"/>
    <s v="No"/>
    <s v="Travel_Rarely"/>
    <s v="Sales"/>
    <n v="23"/>
    <n v="3"/>
    <s v="Marketing"/>
    <n v="72"/>
    <n v="3"/>
    <s v="Female"/>
    <n v="2"/>
    <n v="2"/>
    <s v="Sales Executive"/>
    <n v="4"/>
    <s v="Married"/>
    <n v="4157"/>
    <n v="7"/>
    <x v="0"/>
    <n v="19"/>
    <n v="3"/>
    <n v="3"/>
    <n v="1"/>
    <n v="5"/>
    <n v="2"/>
    <n v="2"/>
    <n v="2"/>
    <n v="2"/>
    <n v="0"/>
    <n v="0"/>
    <n v="0"/>
    <x v="2"/>
    <n v="2"/>
    <x v="0"/>
    <n v="2"/>
    <x v="1"/>
    <n v="1"/>
    <s v="Bachelor"/>
    <s v="Very High"/>
    <s v="High"/>
    <s v="Good"/>
  </r>
  <r>
    <n v="33"/>
    <s v="No"/>
    <s v="Travel_Frequently"/>
    <s v="Research &amp; Development"/>
    <n v="1"/>
    <n v="2"/>
    <s v="Life Sciences"/>
    <n v="73"/>
    <n v="1"/>
    <s v="Female"/>
    <n v="3"/>
    <n v="3"/>
    <s v="Research Director"/>
    <n v="4"/>
    <s v="Single"/>
    <n v="13458"/>
    <n v="1"/>
    <x v="0"/>
    <n v="12"/>
    <n v="3"/>
    <n v="3"/>
    <n v="0"/>
    <n v="15"/>
    <n v="1"/>
    <n v="3"/>
    <n v="15"/>
    <n v="14"/>
    <n v="8"/>
    <n v="12"/>
    <n v="0"/>
    <x v="2"/>
    <n v="2"/>
    <x v="3"/>
    <n v="4"/>
    <x v="3"/>
    <n v="4"/>
    <s v="College"/>
    <s v="Very High"/>
    <s v="Low"/>
    <s v="Better"/>
  </r>
  <r>
    <n v="35"/>
    <s v="No"/>
    <s v="Travel_Frequently"/>
    <s v="Sales"/>
    <n v="18"/>
    <n v="5"/>
    <s v="Life Sciences"/>
    <n v="74"/>
    <n v="2"/>
    <s v="Male"/>
    <n v="3"/>
    <n v="3"/>
    <s v="Sales Executive"/>
    <n v="1"/>
    <s v="Married"/>
    <n v="9069"/>
    <n v="1"/>
    <x v="1"/>
    <n v="22"/>
    <n v="4"/>
    <n v="4"/>
    <n v="1"/>
    <n v="9"/>
    <n v="3"/>
    <n v="2"/>
    <n v="9"/>
    <n v="8"/>
    <n v="1"/>
    <n v="8"/>
    <n v="0"/>
    <x v="2"/>
    <n v="2"/>
    <x v="2"/>
    <n v="3"/>
    <x v="0"/>
    <n v="3"/>
    <s v="Doctor"/>
    <s v="Low"/>
    <s v="Medium"/>
    <s v="Good"/>
  </r>
  <r>
    <n v="35"/>
    <s v="No"/>
    <s v="Travel_Rarely"/>
    <s v="Research &amp; Development"/>
    <n v="23"/>
    <n v="4"/>
    <s v="Medical"/>
    <n v="75"/>
    <n v="3"/>
    <s v="Female"/>
    <n v="3"/>
    <n v="1"/>
    <s v="Laboratory Technician"/>
    <n v="1"/>
    <s v="Married"/>
    <n v="4014"/>
    <n v="3"/>
    <x v="0"/>
    <n v="15"/>
    <n v="3"/>
    <n v="3"/>
    <n v="1"/>
    <n v="4"/>
    <n v="3"/>
    <n v="3"/>
    <n v="2"/>
    <n v="2"/>
    <n v="2"/>
    <n v="2"/>
    <n v="0"/>
    <x v="2"/>
    <n v="2"/>
    <x v="0"/>
    <n v="2"/>
    <x v="1"/>
    <n v="1"/>
    <s v="Master"/>
    <s v="Low"/>
    <s v="High"/>
    <s v="Better"/>
  </r>
  <r>
    <n v="31"/>
    <s v="No"/>
    <s v="Travel_Rarely"/>
    <s v="Research &amp; Development"/>
    <n v="7"/>
    <n v="4"/>
    <s v="Life Sciences"/>
    <n v="76"/>
    <n v="4"/>
    <s v="Male"/>
    <n v="3"/>
    <n v="2"/>
    <s v="Laboratory Technician"/>
    <n v="4"/>
    <s v="Divorced"/>
    <n v="5915"/>
    <n v="3"/>
    <x v="1"/>
    <n v="22"/>
    <n v="4"/>
    <n v="4"/>
    <n v="1"/>
    <n v="10"/>
    <n v="3"/>
    <n v="2"/>
    <n v="7"/>
    <n v="7"/>
    <n v="1"/>
    <n v="7"/>
    <n v="0"/>
    <x v="2"/>
    <n v="2"/>
    <x v="0"/>
    <n v="2"/>
    <x v="0"/>
    <n v="3"/>
    <s v="Master"/>
    <s v="Very High"/>
    <s v="Very High"/>
    <s v="Good"/>
  </r>
  <r>
    <n v="37"/>
    <s v="No"/>
    <s v="Travel_Rarely"/>
    <s v="Research &amp; Development"/>
    <n v="1"/>
    <n v="4"/>
    <s v="Life Sciences"/>
    <n v="77"/>
    <n v="1"/>
    <s v="Male"/>
    <n v="2"/>
    <n v="2"/>
    <s v="Manufacturing Director"/>
    <n v="3"/>
    <s v="Divorced"/>
    <n v="5993"/>
    <n v="1"/>
    <x v="1"/>
    <n v="18"/>
    <n v="3"/>
    <n v="3"/>
    <n v="1"/>
    <n v="7"/>
    <n v="2"/>
    <n v="4"/>
    <n v="7"/>
    <n v="5"/>
    <n v="0"/>
    <n v="7"/>
    <n v="0"/>
    <x v="0"/>
    <n v="3"/>
    <x v="0"/>
    <n v="2"/>
    <x v="0"/>
    <n v="3"/>
    <s v="Master"/>
    <s v="High"/>
    <s v="Low"/>
    <s v="Best"/>
  </r>
  <r>
    <n v="32"/>
    <s v="No"/>
    <s v="Travel_Rarely"/>
    <s v="Research &amp; Development"/>
    <n v="1"/>
    <n v="3"/>
    <s v="Medical"/>
    <n v="78"/>
    <n v="1"/>
    <s v="Male"/>
    <n v="3"/>
    <n v="2"/>
    <s v="Manufacturing Director"/>
    <n v="4"/>
    <s v="Married"/>
    <n v="6162"/>
    <n v="1"/>
    <x v="0"/>
    <n v="22"/>
    <n v="4"/>
    <n v="2"/>
    <n v="1"/>
    <n v="9"/>
    <n v="3"/>
    <n v="3"/>
    <n v="9"/>
    <n v="8"/>
    <n v="7"/>
    <n v="8"/>
    <n v="0"/>
    <x v="2"/>
    <n v="2"/>
    <x v="2"/>
    <n v="3"/>
    <x v="0"/>
    <n v="3"/>
    <s v="Bachelor"/>
    <s v="Very High"/>
    <s v="Low"/>
    <s v="Better"/>
  </r>
  <r>
    <n v="38"/>
    <s v="No"/>
    <s v="Travel_Frequently"/>
    <s v="Research &amp; Development"/>
    <n v="29"/>
    <n v="5"/>
    <s v="Life Sciences"/>
    <n v="79"/>
    <n v="4"/>
    <s v="Female"/>
    <n v="3"/>
    <n v="2"/>
    <s v="Laboratory Technician"/>
    <n v="4"/>
    <s v="Single"/>
    <n v="2406"/>
    <n v="1"/>
    <x v="1"/>
    <n v="11"/>
    <n v="3"/>
    <n v="4"/>
    <n v="0"/>
    <n v="10"/>
    <n v="2"/>
    <n v="3"/>
    <n v="10"/>
    <n v="3"/>
    <n v="9"/>
    <n v="9"/>
    <n v="0"/>
    <x v="0"/>
    <n v="3"/>
    <x v="1"/>
    <n v="1"/>
    <x v="0"/>
    <n v="3"/>
    <s v="Doctor"/>
    <s v="Very High"/>
    <s v="Very High"/>
    <s v="Better"/>
  </r>
  <r>
    <n v="50"/>
    <s v="No"/>
    <s v="Travel_Rarely"/>
    <s v="Research &amp; Development"/>
    <n v="7"/>
    <n v="2"/>
    <s v="Medical"/>
    <n v="80"/>
    <n v="2"/>
    <s v="Female"/>
    <n v="2"/>
    <n v="5"/>
    <s v="Research Director"/>
    <n v="3"/>
    <s v="Divorced"/>
    <n v="18740"/>
    <n v="5"/>
    <x v="0"/>
    <n v="12"/>
    <n v="3"/>
    <n v="4"/>
    <n v="1"/>
    <n v="29"/>
    <n v="2"/>
    <n v="2"/>
    <n v="27"/>
    <n v="3"/>
    <n v="13"/>
    <n v="8"/>
    <n v="0"/>
    <x v="1"/>
    <n v="4"/>
    <x v="3"/>
    <n v="4"/>
    <x v="3"/>
    <n v="4"/>
    <s v="College"/>
    <s v="High"/>
    <s v="Medium"/>
    <s v="Good"/>
  </r>
  <r>
    <n v="59"/>
    <s v="No"/>
    <s v="Travel_Rarely"/>
    <s v="Sales"/>
    <n v="25"/>
    <n v="3"/>
    <s v="Life Sciences"/>
    <n v="81"/>
    <n v="1"/>
    <s v="Female"/>
    <n v="3"/>
    <n v="3"/>
    <s v="Sales Executive"/>
    <n v="1"/>
    <s v="Single"/>
    <n v="7637"/>
    <n v="7"/>
    <x v="1"/>
    <n v="11"/>
    <n v="3"/>
    <n v="4"/>
    <n v="0"/>
    <n v="28"/>
    <n v="3"/>
    <n v="2"/>
    <n v="21"/>
    <n v="16"/>
    <n v="7"/>
    <n v="9"/>
    <n v="0"/>
    <x v="3"/>
    <n v="5"/>
    <x v="2"/>
    <n v="3"/>
    <x v="3"/>
    <n v="4"/>
    <s v="Bachelor"/>
    <s v="Low"/>
    <s v="Low"/>
    <s v="Good"/>
  </r>
  <r>
    <n v="36"/>
    <s v="No"/>
    <s v="Travel_Rarely"/>
    <s v="Research &amp; Development"/>
    <n v="8"/>
    <n v="3"/>
    <s v="Technical Degree"/>
    <n v="83"/>
    <n v="3"/>
    <s v="Female"/>
    <n v="3"/>
    <n v="3"/>
    <s v="Healthcare Representative"/>
    <n v="3"/>
    <s v="Divorced"/>
    <n v="10096"/>
    <n v="1"/>
    <x v="1"/>
    <n v="13"/>
    <n v="3"/>
    <n v="2"/>
    <n v="3"/>
    <n v="17"/>
    <n v="2"/>
    <n v="3"/>
    <n v="17"/>
    <n v="14"/>
    <n v="12"/>
    <n v="8"/>
    <n v="0"/>
    <x v="0"/>
    <n v="3"/>
    <x v="3"/>
    <n v="4"/>
    <x v="3"/>
    <n v="4"/>
    <s v="Bachelor"/>
    <s v="High"/>
    <s v="High"/>
    <s v="Better"/>
  </r>
  <r>
    <n v="55"/>
    <s v="No"/>
    <s v="Travel_Rarely"/>
    <s v="Research &amp; Development"/>
    <n v="8"/>
    <n v="3"/>
    <s v="Medical"/>
    <n v="84"/>
    <n v="4"/>
    <s v="Female"/>
    <n v="3"/>
    <n v="4"/>
    <s v="Manager"/>
    <n v="3"/>
    <s v="Divorced"/>
    <n v="14756"/>
    <n v="2"/>
    <x v="0"/>
    <n v="14"/>
    <n v="3"/>
    <n v="3"/>
    <n v="3"/>
    <n v="21"/>
    <n v="2"/>
    <n v="3"/>
    <n v="5"/>
    <n v="0"/>
    <n v="0"/>
    <n v="2"/>
    <n v="0"/>
    <x v="1"/>
    <n v="4"/>
    <x v="3"/>
    <n v="4"/>
    <x v="2"/>
    <n v="2"/>
    <s v="Bachelor"/>
    <s v="High"/>
    <s v="Very High"/>
    <s v="Better"/>
  </r>
  <r>
    <n v="36"/>
    <s v="No"/>
    <s v="Travel_Frequently"/>
    <s v="Research &amp; Development"/>
    <n v="11"/>
    <n v="3"/>
    <s v="Life Sciences"/>
    <n v="85"/>
    <n v="2"/>
    <s v="Male"/>
    <n v="2"/>
    <n v="2"/>
    <s v="Manufacturing Director"/>
    <n v="2"/>
    <s v="Single"/>
    <n v="6499"/>
    <n v="1"/>
    <x v="1"/>
    <n v="13"/>
    <n v="3"/>
    <n v="3"/>
    <n v="0"/>
    <n v="6"/>
    <n v="3"/>
    <n v="3"/>
    <n v="6"/>
    <n v="5"/>
    <n v="0"/>
    <n v="3"/>
    <n v="0"/>
    <x v="0"/>
    <n v="3"/>
    <x v="2"/>
    <n v="3"/>
    <x v="0"/>
    <n v="3"/>
    <s v="Bachelor"/>
    <s v="Medium"/>
    <s v="Medium"/>
    <s v="Better"/>
  </r>
  <r>
    <n v="45"/>
    <s v="No"/>
    <s v="Travel_Rarely"/>
    <s v="Research &amp; Development"/>
    <n v="7"/>
    <n v="3"/>
    <s v="Life Sciences"/>
    <n v="86"/>
    <n v="2"/>
    <s v="Male"/>
    <n v="3"/>
    <n v="3"/>
    <s v="Research Scientist"/>
    <n v="1"/>
    <s v="Divorced"/>
    <n v="9724"/>
    <n v="2"/>
    <x v="1"/>
    <n v="17"/>
    <n v="3"/>
    <n v="3"/>
    <n v="1"/>
    <n v="25"/>
    <n v="2"/>
    <n v="3"/>
    <n v="1"/>
    <n v="0"/>
    <n v="0"/>
    <n v="0"/>
    <n v="0"/>
    <x v="0"/>
    <n v="3"/>
    <x v="2"/>
    <n v="3"/>
    <x v="1"/>
    <n v="1"/>
    <s v="Bachelor"/>
    <s v="Low"/>
    <s v="Medium"/>
    <s v="Better"/>
  </r>
  <r>
    <n v="35"/>
    <s v="No"/>
    <s v="Travel_Frequently"/>
    <s v="Research &amp; Development"/>
    <n v="1"/>
    <n v="3"/>
    <s v="Medical"/>
    <n v="88"/>
    <n v="2"/>
    <s v="Male"/>
    <n v="3"/>
    <n v="1"/>
    <s v="Research Scientist"/>
    <n v="1"/>
    <s v="Married"/>
    <n v="2194"/>
    <n v="4"/>
    <x v="1"/>
    <n v="13"/>
    <n v="3"/>
    <n v="4"/>
    <n v="1"/>
    <n v="5"/>
    <n v="2"/>
    <n v="2"/>
    <n v="3"/>
    <n v="2"/>
    <n v="1"/>
    <n v="2"/>
    <n v="0"/>
    <x v="2"/>
    <n v="2"/>
    <x v="1"/>
    <n v="1"/>
    <x v="2"/>
    <n v="2"/>
    <s v="Bachelor"/>
    <s v="Low"/>
    <s v="Medium"/>
    <s v="Good"/>
  </r>
  <r>
    <n v="36"/>
    <s v="Yes"/>
    <s v="Travel_Rarely"/>
    <s v="Research &amp; Development"/>
    <n v="9"/>
    <n v="3"/>
    <s v="Medical"/>
    <n v="90"/>
    <n v="4"/>
    <s v="Male"/>
    <n v="2"/>
    <n v="1"/>
    <s v="Research Scientist"/>
    <n v="3"/>
    <s v="Married"/>
    <n v="3388"/>
    <n v="0"/>
    <x v="0"/>
    <n v="17"/>
    <n v="3"/>
    <n v="1"/>
    <n v="1"/>
    <n v="2"/>
    <n v="0"/>
    <n v="2"/>
    <n v="1"/>
    <n v="0"/>
    <n v="0"/>
    <n v="0"/>
    <n v="1"/>
    <x v="0"/>
    <n v="3"/>
    <x v="0"/>
    <n v="2"/>
    <x v="1"/>
    <n v="1"/>
    <s v="Bachelor"/>
    <s v="High"/>
    <s v="Very High"/>
    <s v="Good"/>
  </r>
  <r>
    <n v="59"/>
    <s v="No"/>
    <s v="Travel_Frequently"/>
    <s v="Sales"/>
    <n v="1"/>
    <n v="1"/>
    <s v="Life Sciences"/>
    <n v="91"/>
    <n v="1"/>
    <s v="Female"/>
    <n v="2"/>
    <n v="2"/>
    <s v="Sales Executive"/>
    <n v="3"/>
    <s v="Single"/>
    <n v="5473"/>
    <n v="7"/>
    <x v="1"/>
    <n v="11"/>
    <n v="3"/>
    <n v="4"/>
    <n v="0"/>
    <n v="20"/>
    <n v="2"/>
    <n v="2"/>
    <n v="4"/>
    <n v="3"/>
    <n v="1"/>
    <n v="3"/>
    <n v="0"/>
    <x v="3"/>
    <n v="5"/>
    <x v="0"/>
    <n v="2"/>
    <x v="2"/>
    <n v="2"/>
    <s v="Below College"/>
    <s v="High"/>
    <s v="Low"/>
    <s v="Good"/>
  </r>
  <r>
    <n v="29"/>
    <s v="No"/>
    <s v="Travel_Rarely"/>
    <s v="Research &amp; Development"/>
    <n v="2"/>
    <n v="3"/>
    <s v="Life Sciences"/>
    <n v="94"/>
    <n v="3"/>
    <s v="Male"/>
    <n v="3"/>
    <n v="1"/>
    <s v="Research Scientist"/>
    <n v="2"/>
    <s v="Married"/>
    <n v="2703"/>
    <n v="0"/>
    <x v="1"/>
    <n v="23"/>
    <n v="4"/>
    <n v="4"/>
    <n v="1"/>
    <n v="6"/>
    <n v="3"/>
    <n v="3"/>
    <n v="5"/>
    <n v="4"/>
    <n v="0"/>
    <n v="4"/>
    <n v="0"/>
    <x v="2"/>
    <n v="2"/>
    <x v="1"/>
    <n v="1"/>
    <x v="2"/>
    <n v="2"/>
    <s v="Bachelor"/>
    <s v="Medium"/>
    <s v="High"/>
    <s v="Better"/>
  </r>
  <r>
    <n v="31"/>
    <s v="No"/>
    <s v="Travel_Rarely"/>
    <s v="Research &amp; Development"/>
    <n v="1"/>
    <n v="4"/>
    <s v="Medical"/>
    <n v="95"/>
    <n v="3"/>
    <s v="Male"/>
    <n v="3"/>
    <n v="1"/>
    <s v="Research Scientist"/>
    <n v="2"/>
    <s v="Single"/>
    <n v="2501"/>
    <n v="1"/>
    <x v="1"/>
    <n v="17"/>
    <n v="3"/>
    <n v="2"/>
    <n v="0"/>
    <n v="1"/>
    <n v="4"/>
    <n v="3"/>
    <n v="1"/>
    <n v="1"/>
    <n v="1"/>
    <n v="0"/>
    <n v="0"/>
    <x v="2"/>
    <n v="2"/>
    <x v="1"/>
    <n v="1"/>
    <x v="1"/>
    <n v="1"/>
    <s v="Master"/>
    <s v="Medium"/>
    <s v="High"/>
    <s v="Better"/>
  </r>
  <r>
    <n v="32"/>
    <s v="No"/>
    <s v="Travel_Rarely"/>
    <s v="Research &amp; Development"/>
    <n v="1"/>
    <n v="3"/>
    <s v="Life Sciences"/>
    <n v="96"/>
    <n v="2"/>
    <s v="Male"/>
    <n v="3"/>
    <n v="2"/>
    <s v="Research Scientist"/>
    <n v="2"/>
    <s v="Married"/>
    <n v="6220"/>
    <n v="1"/>
    <x v="1"/>
    <n v="17"/>
    <n v="3"/>
    <n v="2"/>
    <n v="2"/>
    <n v="10"/>
    <n v="3"/>
    <n v="3"/>
    <n v="10"/>
    <n v="4"/>
    <n v="0"/>
    <n v="9"/>
    <n v="0"/>
    <x v="2"/>
    <n v="2"/>
    <x v="2"/>
    <n v="3"/>
    <x v="0"/>
    <n v="3"/>
    <s v="Bachelor"/>
    <s v="Medium"/>
    <s v="Medium"/>
    <s v="Better"/>
  </r>
  <r>
    <n v="36"/>
    <s v="No"/>
    <s v="Travel_Rarely"/>
    <s v="Research &amp; Development"/>
    <n v="6"/>
    <n v="3"/>
    <s v="Life Sciences"/>
    <n v="97"/>
    <n v="2"/>
    <s v="Female"/>
    <n v="4"/>
    <n v="1"/>
    <s v="Laboratory Technician"/>
    <n v="4"/>
    <s v="Married"/>
    <n v="3038"/>
    <n v="3"/>
    <x v="1"/>
    <n v="12"/>
    <n v="3"/>
    <n v="2"/>
    <n v="0"/>
    <n v="5"/>
    <n v="3"/>
    <n v="3"/>
    <n v="1"/>
    <n v="0"/>
    <n v="0"/>
    <n v="0"/>
    <n v="0"/>
    <x v="0"/>
    <n v="3"/>
    <x v="0"/>
    <n v="2"/>
    <x v="1"/>
    <n v="1"/>
    <s v="Bachelor"/>
    <s v="Very High"/>
    <s v="Medium"/>
    <s v="Better"/>
  </r>
  <r>
    <n v="31"/>
    <s v="No"/>
    <s v="Travel_Rarely"/>
    <s v="Research &amp; Development"/>
    <n v="8"/>
    <n v="4"/>
    <s v="Life Sciences"/>
    <n v="98"/>
    <n v="3"/>
    <s v="Female"/>
    <n v="3"/>
    <n v="2"/>
    <s v="Manufacturing Director"/>
    <n v="4"/>
    <s v="Single"/>
    <n v="4424"/>
    <n v="1"/>
    <x v="1"/>
    <n v="23"/>
    <n v="4"/>
    <n v="4"/>
    <n v="0"/>
    <n v="11"/>
    <n v="2"/>
    <n v="3"/>
    <n v="11"/>
    <n v="7"/>
    <n v="1"/>
    <n v="8"/>
    <n v="0"/>
    <x v="2"/>
    <n v="2"/>
    <x v="0"/>
    <n v="2"/>
    <x v="3"/>
    <n v="4"/>
    <s v="Master"/>
    <s v="Very High"/>
    <s v="High"/>
    <s v="Better"/>
  </r>
  <r>
    <n v="35"/>
    <s v="No"/>
    <s v="Travel_Rarely"/>
    <s v="Sales"/>
    <n v="1"/>
    <n v="4"/>
    <s v="Marketing"/>
    <n v="100"/>
    <n v="3"/>
    <s v="Male"/>
    <n v="2"/>
    <n v="2"/>
    <s v="Sales Executive"/>
    <n v="1"/>
    <s v="Single"/>
    <n v="4312"/>
    <n v="0"/>
    <x v="1"/>
    <n v="14"/>
    <n v="3"/>
    <n v="2"/>
    <n v="0"/>
    <n v="16"/>
    <n v="2"/>
    <n v="3"/>
    <n v="15"/>
    <n v="13"/>
    <n v="2"/>
    <n v="8"/>
    <n v="0"/>
    <x v="2"/>
    <n v="2"/>
    <x v="0"/>
    <n v="2"/>
    <x v="3"/>
    <n v="4"/>
    <s v="Master"/>
    <s v="Low"/>
    <s v="High"/>
    <s v="Better"/>
  </r>
  <r>
    <n v="45"/>
    <s v="No"/>
    <s v="Travel_Rarely"/>
    <s v="Research &amp; Development"/>
    <n v="6"/>
    <n v="4"/>
    <s v="Other"/>
    <n v="101"/>
    <n v="4"/>
    <s v="Male"/>
    <n v="3"/>
    <n v="3"/>
    <s v="Research Director"/>
    <n v="1"/>
    <s v="Married"/>
    <n v="13245"/>
    <n v="4"/>
    <x v="0"/>
    <n v="14"/>
    <n v="3"/>
    <n v="2"/>
    <n v="0"/>
    <n v="17"/>
    <n v="3"/>
    <n v="4"/>
    <n v="0"/>
    <n v="0"/>
    <n v="0"/>
    <n v="0"/>
    <n v="0"/>
    <x v="0"/>
    <n v="3"/>
    <x v="3"/>
    <n v="4"/>
    <x v="1"/>
    <n v="1"/>
    <s v="Master"/>
    <s v="Low"/>
    <s v="Very High"/>
    <s v="Best"/>
  </r>
  <r>
    <n v="37"/>
    <s v="No"/>
    <s v="Travel_Rarely"/>
    <s v="Research &amp; Development"/>
    <n v="7"/>
    <n v="4"/>
    <s v="Medical"/>
    <n v="102"/>
    <n v="1"/>
    <s v="Male"/>
    <n v="3"/>
    <n v="3"/>
    <s v="Research Director"/>
    <n v="3"/>
    <s v="Single"/>
    <n v="13664"/>
    <n v="4"/>
    <x v="1"/>
    <n v="13"/>
    <n v="3"/>
    <n v="1"/>
    <n v="0"/>
    <n v="16"/>
    <n v="3"/>
    <n v="4"/>
    <n v="5"/>
    <n v="2"/>
    <n v="0"/>
    <n v="2"/>
    <n v="0"/>
    <x v="0"/>
    <n v="3"/>
    <x v="3"/>
    <n v="4"/>
    <x v="2"/>
    <n v="2"/>
    <s v="Master"/>
    <s v="High"/>
    <s v="Low"/>
    <s v="Best"/>
  </r>
  <r>
    <n v="46"/>
    <s v="No"/>
    <s v="Travel_Rarely"/>
    <s v="Human Resources"/>
    <n v="5"/>
    <n v="2"/>
    <s v="Medical"/>
    <n v="103"/>
    <n v="2"/>
    <s v="Male"/>
    <n v="3"/>
    <n v="2"/>
    <s v="Human Resources"/>
    <n v="2"/>
    <s v="Divorced"/>
    <n v="5021"/>
    <n v="8"/>
    <x v="0"/>
    <n v="22"/>
    <n v="4"/>
    <n v="4"/>
    <n v="1"/>
    <n v="16"/>
    <n v="2"/>
    <n v="3"/>
    <n v="4"/>
    <n v="2"/>
    <n v="0"/>
    <n v="2"/>
    <n v="0"/>
    <x v="1"/>
    <n v="4"/>
    <x v="0"/>
    <n v="2"/>
    <x v="2"/>
    <n v="2"/>
    <s v="College"/>
    <s v="Medium"/>
    <s v="Medium"/>
    <s v="Better"/>
  </r>
  <r>
    <n v="30"/>
    <s v="No"/>
    <s v="Travel_Rarely"/>
    <s v="Research &amp; Development"/>
    <n v="1"/>
    <n v="1"/>
    <s v="Life Sciences"/>
    <n v="104"/>
    <n v="4"/>
    <s v="Male"/>
    <n v="2"/>
    <n v="2"/>
    <s v="Laboratory Technician"/>
    <n v="4"/>
    <s v="Married"/>
    <n v="5126"/>
    <n v="1"/>
    <x v="0"/>
    <n v="12"/>
    <n v="3"/>
    <n v="3"/>
    <n v="2"/>
    <n v="10"/>
    <n v="1"/>
    <n v="2"/>
    <n v="10"/>
    <n v="8"/>
    <n v="3"/>
    <n v="0"/>
    <n v="0"/>
    <x v="2"/>
    <n v="2"/>
    <x v="0"/>
    <n v="2"/>
    <x v="0"/>
    <n v="3"/>
    <s v="Below College"/>
    <s v="Very High"/>
    <s v="Very High"/>
    <s v="Good"/>
  </r>
  <r>
    <n v="35"/>
    <s v="No"/>
    <s v="Travel_Rarely"/>
    <s v="Research &amp; Development"/>
    <n v="1"/>
    <n v="3"/>
    <s v="Medical"/>
    <n v="105"/>
    <n v="2"/>
    <s v="Male"/>
    <n v="2"/>
    <n v="1"/>
    <s v="Research Scientist"/>
    <n v="3"/>
    <s v="Single"/>
    <n v="2859"/>
    <n v="1"/>
    <x v="1"/>
    <n v="18"/>
    <n v="3"/>
    <n v="1"/>
    <n v="0"/>
    <n v="6"/>
    <n v="3"/>
    <n v="3"/>
    <n v="6"/>
    <n v="4"/>
    <n v="0"/>
    <n v="4"/>
    <n v="0"/>
    <x v="2"/>
    <n v="2"/>
    <x v="1"/>
    <n v="1"/>
    <x v="0"/>
    <n v="3"/>
    <s v="Bachelor"/>
    <s v="High"/>
    <s v="Medium"/>
    <s v="Better"/>
  </r>
  <r>
    <n v="55"/>
    <s v="No"/>
    <s v="Travel_Rarely"/>
    <s v="Sales"/>
    <n v="1"/>
    <n v="2"/>
    <s v="Life Sciences"/>
    <n v="106"/>
    <n v="1"/>
    <s v="Male"/>
    <n v="3"/>
    <n v="3"/>
    <s v="Sales Executive"/>
    <n v="4"/>
    <s v="Married"/>
    <n v="10239"/>
    <n v="3"/>
    <x v="1"/>
    <n v="14"/>
    <n v="3"/>
    <n v="4"/>
    <n v="1"/>
    <n v="24"/>
    <n v="4"/>
    <n v="3"/>
    <n v="1"/>
    <n v="0"/>
    <n v="1"/>
    <n v="0"/>
    <n v="0"/>
    <x v="1"/>
    <n v="4"/>
    <x v="3"/>
    <n v="4"/>
    <x v="1"/>
    <n v="1"/>
    <s v="College"/>
    <s v="Very High"/>
    <s v="Low"/>
    <s v="Better"/>
  </r>
  <r>
    <n v="38"/>
    <s v="No"/>
    <s v="Non-Travel"/>
    <s v="Research &amp; Development"/>
    <n v="6"/>
    <n v="3"/>
    <s v="Medical"/>
    <n v="107"/>
    <n v="2"/>
    <s v="Female"/>
    <n v="1"/>
    <n v="2"/>
    <s v="Research Scientist"/>
    <n v="4"/>
    <s v="Divorced"/>
    <n v="5329"/>
    <n v="7"/>
    <x v="0"/>
    <n v="12"/>
    <n v="3"/>
    <n v="4"/>
    <n v="3"/>
    <n v="17"/>
    <n v="3"/>
    <n v="3"/>
    <n v="13"/>
    <n v="11"/>
    <n v="1"/>
    <n v="9"/>
    <n v="0"/>
    <x v="0"/>
    <n v="3"/>
    <x v="0"/>
    <n v="2"/>
    <x v="3"/>
    <n v="4"/>
    <s v="Bachelor"/>
    <s v="Very High"/>
    <s v="Medium"/>
    <s v="Better"/>
  </r>
  <r>
    <n v="34"/>
    <s v="No"/>
    <s v="Travel_Rarely"/>
    <s v="Research &amp; Development"/>
    <n v="1"/>
    <n v="2"/>
    <s v="Medical"/>
    <n v="110"/>
    <n v="1"/>
    <s v="Male"/>
    <n v="3"/>
    <n v="2"/>
    <s v="Manufacturing Director"/>
    <n v="2"/>
    <s v="Married"/>
    <n v="4325"/>
    <n v="1"/>
    <x v="1"/>
    <n v="15"/>
    <n v="3"/>
    <n v="3"/>
    <n v="0"/>
    <n v="5"/>
    <n v="2"/>
    <n v="3"/>
    <n v="5"/>
    <n v="2"/>
    <n v="1"/>
    <n v="3"/>
    <n v="0"/>
    <x v="2"/>
    <n v="2"/>
    <x v="0"/>
    <n v="2"/>
    <x v="2"/>
    <n v="2"/>
    <s v="College"/>
    <s v="Medium"/>
    <s v="Low"/>
    <s v="Better"/>
  </r>
  <r>
    <n v="56"/>
    <s v="No"/>
    <s v="Travel_Rarely"/>
    <s v="Research &amp; Development"/>
    <n v="7"/>
    <n v="3"/>
    <s v="Life Sciences"/>
    <n v="112"/>
    <n v="4"/>
    <s v="Male"/>
    <n v="1"/>
    <n v="3"/>
    <s v="Manufacturing Director"/>
    <n v="4"/>
    <s v="Single"/>
    <n v="7260"/>
    <n v="4"/>
    <x v="1"/>
    <n v="11"/>
    <n v="3"/>
    <n v="1"/>
    <n v="0"/>
    <n v="37"/>
    <n v="3"/>
    <n v="2"/>
    <n v="6"/>
    <n v="4"/>
    <n v="0"/>
    <n v="2"/>
    <n v="0"/>
    <x v="3"/>
    <n v="5"/>
    <x v="2"/>
    <n v="3"/>
    <x v="0"/>
    <n v="3"/>
    <s v="Bachelor"/>
    <s v="Very High"/>
    <s v="Very High"/>
    <s v="Good"/>
  </r>
  <r>
    <n v="23"/>
    <s v="No"/>
    <s v="Travel_Rarely"/>
    <s v="Sales"/>
    <n v="2"/>
    <n v="1"/>
    <s v="Technical Degree"/>
    <n v="113"/>
    <n v="3"/>
    <s v="Male"/>
    <n v="3"/>
    <n v="1"/>
    <s v="Sales Representative"/>
    <n v="1"/>
    <s v="Divorced"/>
    <n v="2322"/>
    <n v="3"/>
    <x v="1"/>
    <n v="13"/>
    <n v="3"/>
    <n v="3"/>
    <n v="1"/>
    <n v="3"/>
    <n v="3"/>
    <n v="3"/>
    <n v="0"/>
    <n v="0"/>
    <n v="0"/>
    <n v="0"/>
    <n v="0"/>
    <x v="4"/>
    <n v="1"/>
    <x v="1"/>
    <n v="1"/>
    <x v="1"/>
    <n v="1"/>
    <s v="Below College"/>
    <s v="Low"/>
    <s v="High"/>
    <s v="Better"/>
  </r>
  <r>
    <n v="51"/>
    <s v="No"/>
    <s v="Travel_Rarely"/>
    <s v="Research &amp; Development"/>
    <n v="9"/>
    <n v="4"/>
    <s v="Life Sciences"/>
    <n v="116"/>
    <n v="4"/>
    <s v="Male"/>
    <n v="3"/>
    <n v="1"/>
    <s v="Laboratory Technician"/>
    <n v="4"/>
    <s v="Married"/>
    <n v="2075"/>
    <n v="3"/>
    <x v="1"/>
    <n v="23"/>
    <n v="4"/>
    <n v="2"/>
    <n v="2"/>
    <n v="10"/>
    <n v="4"/>
    <n v="3"/>
    <n v="4"/>
    <n v="2"/>
    <n v="0"/>
    <n v="3"/>
    <n v="0"/>
    <x v="1"/>
    <n v="4"/>
    <x v="1"/>
    <n v="1"/>
    <x v="2"/>
    <n v="2"/>
    <s v="Master"/>
    <s v="Very High"/>
    <s v="Very High"/>
    <s v="Better"/>
  </r>
  <r>
    <n v="30"/>
    <s v="No"/>
    <s v="Travel_Rarely"/>
    <s v="Research &amp; Development"/>
    <n v="2"/>
    <n v="3"/>
    <s v="Life Sciences"/>
    <n v="117"/>
    <n v="3"/>
    <s v="Male"/>
    <n v="2"/>
    <n v="2"/>
    <s v="Healthcare Representative"/>
    <n v="4"/>
    <s v="Married"/>
    <n v="4152"/>
    <n v="1"/>
    <x v="1"/>
    <n v="19"/>
    <n v="3"/>
    <n v="1"/>
    <n v="3"/>
    <n v="11"/>
    <n v="3"/>
    <n v="3"/>
    <n v="11"/>
    <n v="10"/>
    <n v="10"/>
    <n v="8"/>
    <n v="0"/>
    <x v="2"/>
    <n v="2"/>
    <x v="0"/>
    <n v="2"/>
    <x v="3"/>
    <n v="4"/>
    <s v="Bachelor"/>
    <s v="Very High"/>
    <s v="High"/>
    <s v="Better"/>
  </r>
  <r>
    <n v="46"/>
    <s v="Yes"/>
    <s v="Travel_Rarely"/>
    <s v="Sales"/>
    <n v="9"/>
    <n v="2"/>
    <s v="Medical"/>
    <n v="118"/>
    <n v="3"/>
    <s v="Male"/>
    <n v="2"/>
    <n v="3"/>
    <s v="Sales Executive"/>
    <n v="4"/>
    <s v="Single"/>
    <n v="9619"/>
    <n v="1"/>
    <x v="1"/>
    <n v="16"/>
    <n v="3"/>
    <n v="4"/>
    <n v="0"/>
    <n v="9"/>
    <n v="3"/>
    <n v="3"/>
    <n v="9"/>
    <n v="8"/>
    <n v="4"/>
    <n v="7"/>
    <n v="1"/>
    <x v="1"/>
    <n v="4"/>
    <x v="2"/>
    <n v="3"/>
    <x v="0"/>
    <n v="3"/>
    <s v="College"/>
    <s v="Very High"/>
    <s v="High"/>
    <s v="Better"/>
  </r>
  <r>
    <n v="40"/>
    <s v="No"/>
    <s v="Travel_Frequently"/>
    <s v="Research &amp; Development"/>
    <n v="1"/>
    <n v="4"/>
    <s v="Life Sciences"/>
    <n v="119"/>
    <n v="3"/>
    <s v="Male"/>
    <n v="2"/>
    <n v="4"/>
    <s v="Healthcare Representative"/>
    <n v="2"/>
    <s v="Married"/>
    <n v="13503"/>
    <n v="1"/>
    <x v="1"/>
    <n v="22"/>
    <n v="4"/>
    <n v="4"/>
    <n v="1"/>
    <n v="22"/>
    <n v="3"/>
    <n v="2"/>
    <n v="22"/>
    <n v="3"/>
    <n v="11"/>
    <n v="11"/>
    <n v="0"/>
    <x v="0"/>
    <n v="3"/>
    <x v="3"/>
    <n v="4"/>
    <x v="3"/>
    <n v="4"/>
    <s v="Master"/>
    <s v="Medium"/>
    <s v="High"/>
    <s v="Good"/>
  </r>
  <r>
    <n v="51"/>
    <s v="No"/>
    <s v="Travel_Rarely"/>
    <s v="Sales"/>
    <n v="21"/>
    <n v="4"/>
    <s v="Marketing"/>
    <n v="120"/>
    <n v="3"/>
    <s v="Male"/>
    <n v="3"/>
    <n v="2"/>
    <s v="Sales Executive"/>
    <n v="4"/>
    <s v="Single"/>
    <n v="5441"/>
    <n v="0"/>
    <x v="0"/>
    <n v="22"/>
    <n v="4"/>
    <n v="4"/>
    <n v="0"/>
    <n v="11"/>
    <n v="2"/>
    <n v="1"/>
    <n v="10"/>
    <n v="7"/>
    <n v="1"/>
    <n v="0"/>
    <n v="0"/>
    <x v="1"/>
    <n v="4"/>
    <x v="0"/>
    <n v="2"/>
    <x v="0"/>
    <n v="3"/>
    <s v="Master"/>
    <s v="Very High"/>
    <s v="High"/>
    <s v="Bad"/>
  </r>
  <r>
    <n v="30"/>
    <s v="No"/>
    <s v="Travel_Rarely"/>
    <s v="Sales"/>
    <n v="4"/>
    <n v="2"/>
    <s v="Medical"/>
    <n v="121"/>
    <n v="3"/>
    <s v="Female"/>
    <n v="2"/>
    <n v="2"/>
    <s v="Sales Executive"/>
    <n v="2"/>
    <s v="Divorced"/>
    <n v="5209"/>
    <n v="1"/>
    <x v="0"/>
    <n v="12"/>
    <n v="3"/>
    <n v="2"/>
    <n v="3"/>
    <n v="11"/>
    <n v="4"/>
    <n v="2"/>
    <n v="11"/>
    <n v="8"/>
    <n v="2"/>
    <n v="7"/>
    <n v="0"/>
    <x v="2"/>
    <n v="2"/>
    <x v="0"/>
    <n v="2"/>
    <x v="3"/>
    <n v="4"/>
    <s v="College"/>
    <s v="Medium"/>
    <s v="High"/>
    <s v="Good"/>
  </r>
  <r>
    <n v="46"/>
    <s v="No"/>
    <s v="Travel_Frequently"/>
    <s v="Research &amp; Development"/>
    <n v="1"/>
    <n v="3"/>
    <s v="Medical"/>
    <n v="124"/>
    <n v="3"/>
    <s v="Male"/>
    <n v="2"/>
    <n v="3"/>
    <s v="Healthcare Representative"/>
    <n v="1"/>
    <s v="Married"/>
    <n v="10673"/>
    <n v="2"/>
    <x v="0"/>
    <n v="13"/>
    <n v="3"/>
    <n v="3"/>
    <n v="1"/>
    <n v="21"/>
    <n v="5"/>
    <n v="2"/>
    <n v="10"/>
    <n v="9"/>
    <n v="9"/>
    <n v="5"/>
    <n v="0"/>
    <x v="1"/>
    <n v="4"/>
    <x v="3"/>
    <n v="4"/>
    <x v="0"/>
    <n v="3"/>
    <s v="Bachelor"/>
    <s v="Low"/>
    <s v="High"/>
    <s v="Good"/>
  </r>
  <r>
    <n v="32"/>
    <s v="No"/>
    <s v="Travel_Rarely"/>
    <s v="Sales"/>
    <n v="6"/>
    <n v="4"/>
    <s v="Medical"/>
    <n v="125"/>
    <n v="2"/>
    <s v="Male"/>
    <n v="3"/>
    <n v="2"/>
    <s v="Sales Executive"/>
    <n v="3"/>
    <s v="Single"/>
    <n v="5010"/>
    <n v="1"/>
    <x v="1"/>
    <n v="16"/>
    <n v="3"/>
    <n v="1"/>
    <n v="0"/>
    <n v="12"/>
    <n v="0"/>
    <n v="3"/>
    <n v="11"/>
    <n v="8"/>
    <n v="5"/>
    <n v="7"/>
    <n v="0"/>
    <x v="2"/>
    <n v="2"/>
    <x v="0"/>
    <n v="2"/>
    <x v="3"/>
    <n v="4"/>
    <s v="Master"/>
    <s v="High"/>
    <s v="Medium"/>
    <s v="Better"/>
  </r>
  <r>
    <n v="54"/>
    <s v="No"/>
    <s v="Travel_Rarely"/>
    <s v="Research &amp; Development"/>
    <n v="2"/>
    <n v="4"/>
    <s v="Technical Degree"/>
    <n v="126"/>
    <n v="1"/>
    <s v="Female"/>
    <n v="3"/>
    <n v="3"/>
    <s v="Research Director"/>
    <n v="3"/>
    <s v="Married"/>
    <n v="13549"/>
    <n v="9"/>
    <x v="1"/>
    <n v="12"/>
    <n v="3"/>
    <n v="1"/>
    <n v="1"/>
    <n v="16"/>
    <n v="5"/>
    <n v="1"/>
    <n v="4"/>
    <n v="3"/>
    <n v="0"/>
    <n v="3"/>
    <n v="0"/>
    <x v="1"/>
    <n v="4"/>
    <x v="3"/>
    <n v="4"/>
    <x v="2"/>
    <n v="2"/>
    <s v="Master"/>
    <s v="High"/>
    <s v="Low"/>
    <s v="Bad"/>
  </r>
  <r>
    <n v="24"/>
    <s v="No"/>
    <s v="Travel_Rarely"/>
    <s v="Sales"/>
    <n v="3"/>
    <n v="2"/>
    <s v="Other"/>
    <n v="128"/>
    <n v="1"/>
    <s v="Female"/>
    <n v="3"/>
    <n v="2"/>
    <s v="Sales Executive"/>
    <n v="3"/>
    <s v="Married"/>
    <n v="4999"/>
    <n v="0"/>
    <x v="1"/>
    <n v="21"/>
    <n v="4"/>
    <n v="1"/>
    <n v="1"/>
    <n v="4"/>
    <n v="2"/>
    <n v="2"/>
    <n v="3"/>
    <n v="2"/>
    <n v="0"/>
    <n v="2"/>
    <n v="0"/>
    <x v="4"/>
    <n v="1"/>
    <x v="0"/>
    <n v="2"/>
    <x v="2"/>
    <n v="2"/>
    <s v="College"/>
    <s v="High"/>
    <s v="Low"/>
    <s v="Good"/>
  </r>
  <r>
    <n v="28"/>
    <s v="No"/>
    <s v="Non-Travel"/>
    <s v="Sales"/>
    <n v="4"/>
    <n v="3"/>
    <s v="Medical"/>
    <n v="129"/>
    <n v="2"/>
    <s v="Male"/>
    <n v="3"/>
    <n v="2"/>
    <s v="Sales Executive"/>
    <n v="3"/>
    <s v="Married"/>
    <n v="4221"/>
    <n v="1"/>
    <x v="1"/>
    <n v="15"/>
    <n v="3"/>
    <n v="2"/>
    <n v="0"/>
    <n v="5"/>
    <n v="3"/>
    <n v="4"/>
    <n v="5"/>
    <n v="4"/>
    <n v="0"/>
    <n v="4"/>
    <n v="0"/>
    <x v="2"/>
    <n v="2"/>
    <x v="0"/>
    <n v="2"/>
    <x v="2"/>
    <n v="2"/>
    <s v="Bachelor"/>
    <s v="High"/>
    <s v="Medium"/>
    <s v="Best"/>
  </r>
  <r>
    <n v="58"/>
    <s v="No"/>
    <s v="Travel_Rarely"/>
    <s v="Sales"/>
    <n v="10"/>
    <n v="4"/>
    <s v="Medical"/>
    <n v="131"/>
    <n v="4"/>
    <s v="Male"/>
    <n v="3"/>
    <n v="4"/>
    <s v="Sales Executive"/>
    <n v="3"/>
    <s v="Single"/>
    <n v="13872"/>
    <n v="0"/>
    <x v="1"/>
    <n v="13"/>
    <n v="3"/>
    <n v="3"/>
    <n v="0"/>
    <n v="38"/>
    <n v="1"/>
    <n v="2"/>
    <n v="37"/>
    <n v="10"/>
    <n v="1"/>
    <n v="8"/>
    <n v="0"/>
    <x v="3"/>
    <n v="5"/>
    <x v="3"/>
    <n v="4"/>
    <x v="3"/>
    <n v="4"/>
    <s v="Master"/>
    <s v="High"/>
    <s v="Very High"/>
    <s v="Good"/>
  </r>
  <r>
    <n v="44"/>
    <s v="No"/>
    <s v="Non-Travel"/>
    <s v="Research &amp; Development"/>
    <n v="23"/>
    <n v="3"/>
    <s v="Medical"/>
    <n v="132"/>
    <n v="2"/>
    <s v="Male"/>
    <n v="3"/>
    <n v="2"/>
    <s v="Laboratory Technician"/>
    <n v="2"/>
    <s v="Married"/>
    <n v="2042"/>
    <n v="4"/>
    <x v="1"/>
    <n v="12"/>
    <n v="3"/>
    <n v="3"/>
    <n v="1"/>
    <n v="17"/>
    <n v="3"/>
    <n v="4"/>
    <n v="3"/>
    <n v="2"/>
    <n v="1"/>
    <n v="2"/>
    <n v="0"/>
    <x v="0"/>
    <n v="3"/>
    <x v="1"/>
    <n v="1"/>
    <x v="2"/>
    <n v="2"/>
    <s v="Bachelor"/>
    <s v="Medium"/>
    <s v="Medium"/>
    <s v="Best"/>
  </r>
  <r>
    <n v="37"/>
    <s v="Yes"/>
    <s v="Travel_Rarely"/>
    <s v="Human Resources"/>
    <n v="6"/>
    <n v="4"/>
    <s v="Human Resources"/>
    <n v="133"/>
    <n v="3"/>
    <s v="Male"/>
    <n v="3"/>
    <n v="1"/>
    <s v="Human Resources"/>
    <n v="1"/>
    <s v="Divorced"/>
    <n v="2073"/>
    <n v="4"/>
    <x v="0"/>
    <n v="22"/>
    <n v="4"/>
    <n v="4"/>
    <n v="0"/>
    <n v="7"/>
    <n v="3"/>
    <n v="3"/>
    <n v="3"/>
    <n v="2"/>
    <n v="0"/>
    <n v="2"/>
    <n v="1"/>
    <x v="0"/>
    <n v="3"/>
    <x v="1"/>
    <n v="1"/>
    <x v="2"/>
    <n v="2"/>
    <s v="Master"/>
    <s v="Low"/>
    <s v="High"/>
    <s v="Better"/>
  </r>
  <r>
    <n v="32"/>
    <s v="No"/>
    <s v="Travel_Rarely"/>
    <s v="Research &amp; Development"/>
    <n v="1"/>
    <n v="1"/>
    <s v="Life Sciences"/>
    <n v="134"/>
    <n v="4"/>
    <s v="Male"/>
    <n v="3"/>
    <n v="1"/>
    <s v="Research Scientist"/>
    <n v="1"/>
    <s v="Single"/>
    <n v="2956"/>
    <n v="1"/>
    <x v="1"/>
    <n v="13"/>
    <n v="3"/>
    <n v="4"/>
    <n v="0"/>
    <n v="1"/>
    <n v="2"/>
    <n v="3"/>
    <n v="1"/>
    <n v="0"/>
    <n v="0"/>
    <n v="0"/>
    <n v="0"/>
    <x v="2"/>
    <n v="2"/>
    <x v="1"/>
    <n v="1"/>
    <x v="1"/>
    <n v="1"/>
    <s v="Below College"/>
    <s v="Low"/>
    <s v="Very High"/>
    <s v="Better"/>
  </r>
  <r>
    <n v="20"/>
    <s v="Yes"/>
    <s v="Travel_Frequently"/>
    <s v="Research &amp; Development"/>
    <n v="6"/>
    <n v="3"/>
    <s v="Life Sciences"/>
    <n v="137"/>
    <n v="4"/>
    <s v="Female"/>
    <n v="2"/>
    <n v="1"/>
    <s v="Laboratory Technician"/>
    <n v="4"/>
    <s v="Single"/>
    <n v="2926"/>
    <n v="1"/>
    <x v="0"/>
    <n v="18"/>
    <n v="3"/>
    <n v="2"/>
    <n v="0"/>
    <n v="1"/>
    <n v="5"/>
    <n v="3"/>
    <n v="1"/>
    <n v="0"/>
    <n v="1"/>
    <n v="0"/>
    <n v="1"/>
    <x v="4"/>
    <n v="1"/>
    <x v="1"/>
    <n v="1"/>
    <x v="1"/>
    <n v="1"/>
    <s v="Bachelor"/>
    <s v="Very High"/>
    <s v="Very High"/>
    <s v="Better"/>
  </r>
  <r>
    <n v="34"/>
    <s v="No"/>
    <s v="Travel_Rarely"/>
    <s v="Research &amp; Development"/>
    <n v="6"/>
    <n v="4"/>
    <s v="Other"/>
    <n v="138"/>
    <n v="1"/>
    <s v="Female"/>
    <n v="3"/>
    <n v="2"/>
    <s v="Research Scientist"/>
    <n v="3"/>
    <s v="Single"/>
    <n v="4809"/>
    <n v="1"/>
    <x v="1"/>
    <n v="14"/>
    <n v="3"/>
    <n v="3"/>
    <n v="0"/>
    <n v="16"/>
    <n v="3"/>
    <n v="3"/>
    <n v="16"/>
    <n v="13"/>
    <n v="2"/>
    <n v="10"/>
    <n v="0"/>
    <x v="2"/>
    <n v="2"/>
    <x v="0"/>
    <n v="2"/>
    <x v="3"/>
    <n v="4"/>
    <s v="Master"/>
    <s v="High"/>
    <s v="Low"/>
    <s v="Better"/>
  </r>
  <r>
    <n v="37"/>
    <s v="No"/>
    <s v="Non-Travel"/>
    <s v="Research &amp; Development"/>
    <n v="2"/>
    <n v="2"/>
    <s v="Life Sciences"/>
    <n v="139"/>
    <n v="3"/>
    <s v="Male"/>
    <n v="2"/>
    <n v="2"/>
    <s v="Healthcare Representative"/>
    <n v="4"/>
    <s v="Divorced"/>
    <n v="5163"/>
    <n v="5"/>
    <x v="1"/>
    <n v="14"/>
    <n v="3"/>
    <n v="4"/>
    <n v="1"/>
    <n v="17"/>
    <n v="2"/>
    <n v="4"/>
    <n v="1"/>
    <n v="0"/>
    <n v="0"/>
    <n v="0"/>
    <n v="0"/>
    <x v="0"/>
    <n v="3"/>
    <x v="0"/>
    <n v="2"/>
    <x v="1"/>
    <n v="1"/>
    <s v="College"/>
    <s v="Very High"/>
    <s v="High"/>
    <s v="Best"/>
  </r>
  <r>
    <n v="59"/>
    <s v="No"/>
    <s v="Non-Travel"/>
    <s v="Human Resources"/>
    <n v="2"/>
    <n v="4"/>
    <s v="Human Resources"/>
    <n v="140"/>
    <n v="3"/>
    <s v="Female"/>
    <n v="2"/>
    <n v="5"/>
    <s v="Manager"/>
    <n v="4"/>
    <s v="Married"/>
    <n v="18844"/>
    <n v="9"/>
    <x v="1"/>
    <n v="21"/>
    <n v="4"/>
    <n v="4"/>
    <n v="1"/>
    <n v="30"/>
    <n v="3"/>
    <n v="3"/>
    <n v="3"/>
    <n v="2"/>
    <n v="2"/>
    <n v="2"/>
    <n v="0"/>
    <x v="3"/>
    <n v="5"/>
    <x v="3"/>
    <n v="4"/>
    <x v="2"/>
    <n v="2"/>
    <s v="Master"/>
    <s v="Very High"/>
    <s v="High"/>
    <s v="Better"/>
  </r>
  <r>
    <n v="50"/>
    <s v="No"/>
    <s v="Travel_Frequently"/>
    <s v="Research &amp; Development"/>
    <n v="1"/>
    <n v="3"/>
    <s v="Life Sciences"/>
    <n v="141"/>
    <n v="1"/>
    <s v="Female"/>
    <n v="3"/>
    <n v="5"/>
    <s v="Research Director"/>
    <n v="2"/>
    <s v="Married"/>
    <n v="18172"/>
    <n v="3"/>
    <x v="0"/>
    <n v="19"/>
    <n v="3"/>
    <n v="1"/>
    <n v="0"/>
    <n v="28"/>
    <n v="1"/>
    <n v="2"/>
    <n v="8"/>
    <n v="3"/>
    <n v="0"/>
    <n v="7"/>
    <n v="0"/>
    <x v="1"/>
    <n v="4"/>
    <x v="3"/>
    <n v="4"/>
    <x v="0"/>
    <n v="3"/>
    <s v="Bachelor"/>
    <s v="Medium"/>
    <s v="Low"/>
    <s v="Good"/>
  </r>
  <r>
    <n v="25"/>
    <s v="Yes"/>
    <s v="Travel_Rarely"/>
    <s v="Sales"/>
    <n v="5"/>
    <n v="3"/>
    <s v="Marketing"/>
    <n v="142"/>
    <n v="3"/>
    <s v="Male"/>
    <n v="2"/>
    <n v="2"/>
    <s v="Sales Executive"/>
    <n v="3"/>
    <s v="Single"/>
    <n v="5744"/>
    <n v="1"/>
    <x v="0"/>
    <n v="11"/>
    <n v="3"/>
    <n v="4"/>
    <n v="0"/>
    <n v="6"/>
    <n v="1"/>
    <n v="3"/>
    <n v="6"/>
    <n v="4"/>
    <n v="0"/>
    <n v="3"/>
    <n v="1"/>
    <x v="4"/>
    <n v="1"/>
    <x v="0"/>
    <n v="2"/>
    <x v="0"/>
    <n v="3"/>
    <s v="Bachelor"/>
    <s v="High"/>
    <s v="High"/>
    <s v="Better"/>
  </r>
  <r>
    <n v="25"/>
    <s v="No"/>
    <s v="Travel_Rarely"/>
    <s v="Research &amp; Development"/>
    <n v="7"/>
    <n v="1"/>
    <s v="Medical"/>
    <n v="143"/>
    <n v="4"/>
    <s v="Male"/>
    <n v="2"/>
    <n v="1"/>
    <s v="Research Scientist"/>
    <n v="4"/>
    <s v="Married"/>
    <n v="2889"/>
    <n v="1"/>
    <x v="1"/>
    <n v="11"/>
    <n v="3"/>
    <n v="3"/>
    <n v="2"/>
    <n v="2"/>
    <n v="2"/>
    <n v="3"/>
    <n v="2"/>
    <n v="2"/>
    <n v="2"/>
    <n v="1"/>
    <n v="0"/>
    <x v="4"/>
    <n v="1"/>
    <x v="1"/>
    <n v="1"/>
    <x v="1"/>
    <n v="1"/>
    <s v="Below College"/>
    <s v="Very High"/>
    <s v="Very High"/>
    <s v="Better"/>
  </r>
  <r>
    <n v="22"/>
    <s v="No"/>
    <s v="Travel_Rarely"/>
    <s v="Research &amp; Development"/>
    <n v="15"/>
    <n v="3"/>
    <s v="Medical"/>
    <n v="144"/>
    <n v="2"/>
    <s v="Female"/>
    <n v="3"/>
    <n v="1"/>
    <s v="Laboratory Technician"/>
    <n v="4"/>
    <s v="Single"/>
    <n v="2871"/>
    <n v="1"/>
    <x v="1"/>
    <n v="15"/>
    <n v="3"/>
    <n v="3"/>
    <n v="0"/>
    <n v="1"/>
    <n v="5"/>
    <n v="3"/>
    <n v="0"/>
    <n v="0"/>
    <n v="0"/>
    <n v="0"/>
    <n v="0"/>
    <x v="4"/>
    <n v="1"/>
    <x v="1"/>
    <n v="1"/>
    <x v="1"/>
    <n v="1"/>
    <s v="Bachelor"/>
    <s v="Very High"/>
    <s v="Medium"/>
    <s v="Better"/>
  </r>
  <r>
    <n v="51"/>
    <s v="No"/>
    <s v="Travel_Frequently"/>
    <s v="Research &amp; Development"/>
    <n v="1"/>
    <n v="4"/>
    <s v="Medical"/>
    <n v="145"/>
    <n v="1"/>
    <s v="Female"/>
    <n v="2"/>
    <n v="3"/>
    <s v="Healthcare Representative"/>
    <n v="1"/>
    <s v="Single"/>
    <n v="7484"/>
    <n v="3"/>
    <x v="1"/>
    <n v="20"/>
    <n v="4"/>
    <n v="3"/>
    <n v="0"/>
    <n v="23"/>
    <n v="1"/>
    <n v="2"/>
    <n v="13"/>
    <n v="12"/>
    <n v="12"/>
    <n v="8"/>
    <n v="0"/>
    <x v="1"/>
    <n v="4"/>
    <x v="2"/>
    <n v="3"/>
    <x v="3"/>
    <n v="4"/>
    <s v="Master"/>
    <s v="Low"/>
    <s v="Low"/>
    <s v="Good"/>
  </r>
  <r>
    <n v="34"/>
    <s v="Yes"/>
    <s v="Travel_Frequently"/>
    <s v="Research &amp; Development"/>
    <n v="7"/>
    <n v="3"/>
    <s v="Life Sciences"/>
    <n v="147"/>
    <n v="1"/>
    <s v="Male"/>
    <n v="1"/>
    <n v="2"/>
    <s v="Laboratory Technician"/>
    <n v="3"/>
    <s v="Single"/>
    <n v="6074"/>
    <n v="1"/>
    <x v="0"/>
    <n v="24"/>
    <n v="4"/>
    <n v="4"/>
    <n v="0"/>
    <n v="9"/>
    <n v="3"/>
    <n v="3"/>
    <n v="9"/>
    <n v="7"/>
    <n v="0"/>
    <n v="6"/>
    <n v="1"/>
    <x v="2"/>
    <n v="2"/>
    <x v="2"/>
    <n v="3"/>
    <x v="0"/>
    <n v="3"/>
    <s v="Bachelor"/>
    <s v="High"/>
    <s v="Low"/>
    <s v="Better"/>
  </r>
  <r>
    <n v="54"/>
    <s v="No"/>
    <s v="Non-Travel"/>
    <s v="Human Resources"/>
    <n v="26"/>
    <n v="3"/>
    <s v="Human Resources"/>
    <n v="148"/>
    <n v="4"/>
    <s v="Female"/>
    <n v="4"/>
    <n v="4"/>
    <s v="Manager"/>
    <n v="4"/>
    <s v="Single"/>
    <n v="17328"/>
    <n v="2"/>
    <x v="0"/>
    <n v="12"/>
    <n v="3"/>
    <n v="3"/>
    <n v="0"/>
    <n v="23"/>
    <n v="3"/>
    <n v="3"/>
    <n v="5"/>
    <n v="3"/>
    <n v="4"/>
    <n v="4"/>
    <n v="0"/>
    <x v="1"/>
    <n v="4"/>
    <x v="3"/>
    <n v="4"/>
    <x v="2"/>
    <n v="2"/>
    <s v="Bachelor"/>
    <s v="Very High"/>
    <s v="Very High"/>
    <s v="Better"/>
  </r>
  <r>
    <n v="24"/>
    <s v="No"/>
    <s v="Travel_Rarely"/>
    <s v="Research &amp; Development"/>
    <n v="18"/>
    <n v="1"/>
    <s v="Life Sciences"/>
    <n v="150"/>
    <n v="2"/>
    <s v="Male"/>
    <n v="3"/>
    <n v="1"/>
    <s v="Laboratory Technician"/>
    <n v="3"/>
    <s v="Married"/>
    <n v="2774"/>
    <n v="0"/>
    <x v="1"/>
    <n v="12"/>
    <n v="3"/>
    <n v="3"/>
    <n v="1"/>
    <n v="6"/>
    <n v="2"/>
    <n v="3"/>
    <n v="5"/>
    <n v="3"/>
    <n v="1"/>
    <n v="2"/>
    <n v="0"/>
    <x v="4"/>
    <n v="1"/>
    <x v="1"/>
    <n v="1"/>
    <x v="2"/>
    <n v="2"/>
    <s v="Below College"/>
    <s v="High"/>
    <s v="Medium"/>
    <s v="Better"/>
  </r>
  <r>
    <n v="34"/>
    <s v="No"/>
    <s v="Travel_Rarely"/>
    <s v="Research &amp; Development"/>
    <n v="6"/>
    <n v="4"/>
    <s v="Life Sciences"/>
    <n v="151"/>
    <n v="3"/>
    <s v="Female"/>
    <n v="2"/>
    <n v="2"/>
    <s v="Research Scientist"/>
    <n v="2"/>
    <s v="Divorced"/>
    <n v="4505"/>
    <n v="6"/>
    <x v="1"/>
    <n v="15"/>
    <n v="3"/>
    <n v="3"/>
    <n v="1"/>
    <n v="12"/>
    <n v="3"/>
    <n v="3"/>
    <n v="1"/>
    <n v="0"/>
    <n v="0"/>
    <n v="0"/>
    <n v="0"/>
    <x v="2"/>
    <n v="2"/>
    <x v="0"/>
    <n v="2"/>
    <x v="1"/>
    <n v="1"/>
    <s v="Master"/>
    <s v="Medium"/>
    <s v="High"/>
    <s v="Better"/>
  </r>
  <r>
    <n v="37"/>
    <s v="No"/>
    <s v="Travel_Rarely"/>
    <s v="Sales"/>
    <n v="3"/>
    <n v="3"/>
    <s v="Life Sciences"/>
    <n v="152"/>
    <n v="3"/>
    <s v="Male"/>
    <n v="3"/>
    <n v="3"/>
    <s v="Sales Executive"/>
    <n v="4"/>
    <s v="Single"/>
    <n v="7428"/>
    <n v="2"/>
    <x v="1"/>
    <n v="12"/>
    <n v="3"/>
    <n v="1"/>
    <n v="0"/>
    <n v="12"/>
    <n v="3"/>
    <n v="3"/>
    <n v="5"/>
    <n v="3"/>
    <n v="1"/>
    <n v="3"/>
    <n v="0"/>
    <x v="0"/>
    <n v="3"/>
    <x v="2"/>
    <n v="3"/>
    <x v="2"/>
    <n v="2"/>
    <s v="Bachelor"/>
    <s v="Very High"/>
    <s v="High"/>
    <s v="Better"/>
  </r>
  <r>
    <n v="34"/>
    <s v="No"/>
    <s v="Travel_Rarely"/>
    <s v="Research &amp; Development"/>
    <n v="5"/>
    <n v="3"/>
    <s v="Medical"/>
    <n v="153"/>
    <n v="3"/>
    <s v="Female"/>
    <n v="2"/>
    <n v="3"/>
    <s v="Manager"/>
    <n v="1"/>
    <s v="Single"/>
    <n v="11631"/>
    <n v="2"/>
    <x v="1"/>
    <n v="12"/>
    <n v="3"/>
    <n v="4"/>
    <n v="0"/>
    <n v="14"/>
    <n v="6"/>
    <n v="3"/>
    <n v="11"/>
    <n v="10"/>
    <n v="5"/>
    <n v="8"/>
    <n v="0"/>
    <x v="2"/>
    <n v="2"/>
    <x v="3"/>
    <n v="4"/>
    <x v="3"/>
    <n v="4"/>
    <s v="Bachelor"/>
    <s v="Low"/>
    <s v="High"/>
    <s v="Better"/>
  </r>
  <r>
    <n v="36"/>
    <s v="No"/>
    <s v="Travel_Frequently"/>
    <s v="Sales"/>
    <n v="11"/>
    <n v="2"/>
    <s v="Technical Degree"/>
    <n v="154"/>
    <n v="2"/>
    <s v="Female"/>
    <n v="3"/>
    <n v="3"/>
    <s v="Sales Executive"/>
    <n v="4"/>
    <s v="Married"/>
    <n v="9738"/>
    <n v="0"/>
    <x v="1"/>
    <n v="14"/>
    <n v="3"/>
    <n v="3"/>
    <n v="1"/>
    <n v="10"/>
    <n v="6"/>
    <n v="3"/>
    <n v="9"/>
    <n v="7"/>
    <n v="2"/>
    <n v="8"/>
    <n v="0"/>
    <x v="0"/>
    <n v="3"/>
    <x v="2"/>
    <n v="3"/>
    <x v="0"/>
    <n v="3"/>
    <s v="College"/>
    <s v="Very High"/>
    <s v="Medium"/>
    <s v="Better"/>
  </r>
  <r>
    <n v="36"/>
    <s v="No"/>
    <s v="Travel_Rarely"/>
    <s v="Research &amp; Development"/>
    <n v="3"/>
    <n v="2"/>
    <s v="Life Sciences"/>
    <n v="155"/>
    <n v="1"/>
    <s v="Female"/>
    <n v="3"/>
    <n v="1"/>
    <s v="Laboratory Technician"/>
    <n v="4"/>
    <s v="Divorced"/>
    <n v="2835"/>
    <n v="5"/>
    <x v="1"/>
    <n v="22"/>
    <n v="4"/>
    <n v="1"/>
    <n v="1"/>
    <n v="7"/>
    <n v="2"/>
    <n v="3"/>
    <n v="1"/>
    <n v="0"/>
    <n v="0"/>
    <n v="0"/>
    <n v="0"/>
    <x v="0"/>
    <n v="3"/>
    <x v="1"/>
    <n v="1"/>
    <x v="1"/>
    <n v="1"/>
    <s v="College"/>
    <s v="Very High"/>
    <s v="Low"/>
    <s v="Better"/>
  </r>
  <r>
    <n v="43"/>
    <s v="No"/>
    <s v="Travel_Frequently"/>
    <s v="Sales"/>
    <n v="26"/>
    <n v="2"/>
    <s v="Life Sciences"/>
    <n v="158"/>
    <n v="3"/>
    <s v="Male"/>
    <n v="3"/>
    <n v="4"/>
    <s v="Manager"/>
    <n v="4"/>
    <s v="Married"/>
    <n v="16959"/>
    <n v="1"/>
    <x v="0"/>
    <n v="12"/>
    <n v="3"/>
    <n v="4"/>
    <n v="2"/>
    <n v="25"/>
    <n v="3"/>
    <n v="4"/>
    <n v="25"/>
    <n v="12"/>
    <n v="4"/>
    <n v="12"/>
    <n v="0"/>
    <x v="0"/>
    <n v="3"/>
    <x v="3"/>
    <n v="4"/>
    <x v="3"/>
    <n v="4"/>
    <s v="College"/>
    <s v="Very High"/>
    <s v="High"/>
    <s v="Best"/>
  </r>
  <r>
    <n v="30"/>
    <s v="No"/>
    <s v="Travel_Frequently"/>
    <s v="Research &amp; Development"/>
    <n v="23"/>
    <n v="3"/>
    <s v="Life Sciences"/>
    <n v="159"/>
    <n v="1"/>
    <s v="Male"/>
    <n v="1"/>
    <n v="1"/>
    <s v="Research Scientist"/>
    <n v="3"/>
    <s v="Divorced"/>
    <n v="2613"/>
    <n v="1"/>
    <x v="1"/>
    <n v="25"/>
    <n v="4"/>
    <n v="3"/>
    <n v="3"/>
    <n v="10"/>
    <n v="2"/>
    <n v="2"/>
    <n v="10"/>
    <n v="7"/>
    <n v="0"/>
    <n v="9"/>
    <n v="0"/>
    <x v="2"/>
    <n v="2"/>
    <x v="1"/>
    <n v="1"/>
    <x v="0"/>
    <n v="3"/>
    <s v="Bachelor"/>
    <s v="High"/>
    <s v="Low"/>
    <s v="Good"/>
  </r>
  <r>
    <n v="33"/>
    <s v="No"/>
    <s v="Non-Travel"/>
    <s v="Sales"/>
    <n v="22"/>
    <n v="2"/>
    <s v="Marketing"/>
    <n v="160"/>
    <n v="3"/>
    <s v="Male"/>
    <n v="3"/>
    <n v="2"/>
    <s v="Sales Executive"/>
    <n v="2"/>
    <s v="Married"/>
    <n v="6146"/>
    <n v="0"/>
    <x v="1"/>
    <n v="13"/>
    <n v="3"/>
    <n v="1"/>
    <n v="1"/>
    <n v="8"/>
    <n v="2"/>
    <n v="4"/>
    <n v="7"/>
    <n v="7"/>
    <n v="0"/>
    <n v="7"/>
    <n v="0"/>
    <x v="2"/>
    <n v="2"/>
    <x v="2"/>
    <n v="3"/>
    <x v="0"/>
    <n v="3"/>
    <s v="College"/>
    <s v="Medium"/>
    <s v="High"/>
    <s v="Best"/>
  </r>
  <r>
    <n v="56"/>
    <s v="Yes"/>
    <s v="Travel_Rarely"/>
    <s v="Research &amp; Development"/>
    <n v="14"/>
    <n v="4"/>
    <s v="Life Sciences"/>
    <n v="161"/>
    <n v="2"/>
    <s v="Female"/>
    <n v="3"/>
    <n v="1"/>
    <s v="Research Scientist"/>
    <n v="2"/>
    <s v="Married"/>
    <n v="4963"/>
    <n v="9"/>
    <x v="0"/>
    <n v="18"/>
    <n v="3"/>
    <n v="1"/>
    <n v="3"/>
    <n v="7"/>
    <n v="2"/>
    <n v="3"/>
    <n v="5"/>
    <n v="4"/>
    <n v="4"/>
    <n v="3"/>
    <n v="1"/>
    <x v="3"/>
    <n v="5"/>
    <x v="0"/>
    <n v="2"/>
    <x v="2"/>
    <n v="2"/>
    <s v="Master"/>
    <s v="Medium"/>
    <s v="Medium"/>
    <s v="Better"/>
  </r>
  <r>
    <n v="51"/>
    <s v="No"/>
    <s v="Travel_Rarely"/>
    <s v="Research &amp; Development"/>
    <n v="6"/>
    <n v="3"/>
    <s v="Life Sciences"/>
    <n v="162"/>
    <n v="1"/>
    <s v="Male"/>
    <n v="3"/>
    <n v="5"/>
    <s v="Research Director"/>
    <n v="3"/>
    <s v="Single"/>
    <n v="19537"/>
    <n v="7"/>
    <x v="1"/>
    <n v="13"/>
    <n v="3"/>
    <n v="3"/>
    <n v="0"/>
    <n v="23"/>
    <n v="5"/>
    <n v="3"/>
    <n v="20"/>
    <n v="18"/>
    <n v="15"/>
    <n v="15"/>
    <n v="0"/>
    <x v="1"/>
    <n v="4"/>
    <x v="3"/>
    <n v="4"/>
    <x v="3"/>
    <n v="4"/>
    <s v="Bachelor"/>
    <s v="High"/>
    <s v="Low"/>
    <s v="Better"/>
  </r>
  <r>
    <n v="31"/>
    <s v="Yes"/>
    <s v="Travel_Rarely"/>
    <s v="Sales"/>
    <n v="6"/>
    <n v="4"/>
    <s v="Life Sciences"/>
    <n v="163"/>
    <n v="2"/>
    <s v="Male"/>
    <n v="1"/>
    <n v="2"/>
    <s v="Sales Executive"/>
    <n v="3"/>
    <s v="Married"/>
    <n v="6172"/>
    <n v="4"/>
    <x v="0"/>
    <n v="18"/>
    <n v="3"/>
    <n v="2"/>
    <n v="0"/>
    <n v="12"/>
    <n v="3"/>
    <n v="2"/>
    <n v="7"/>
    <n v="7"/>
    <n v="7"/>
    <n v="7"/>
    <n v="1"/>
    <x v="2"/>
    <n v="2"/>
    <x v="2"/>
    <n v="3"/>
    <x v="0"/>
    <n v="3"/>
    <s v="Master"/>
    <s v="High"/>
    <s v="Medium"/>
    <s v="Good"/>
  </r>
  <r>
    <n v="26"/>
    <s v="No"/>
    <s v="Travel_Rarely"/>
    <s v="Research &amp; Development"/>
    <n v="6"/>
    <n v="3"/>
    <s v="Other"/>
    <n v="164"/>
    <n v="3"/>
    <s v="Female"/>
    <n v="2"/>
    <n v="1"/>
    <s v="Research Scientist"/>
    <n v="2"/>
    <s v="Married"/>
    <n v="2368"/>
    <n v="1"/>
    <x v="1"/>
    <n v="19"/>
    <n v="3"/>
    <n v="3"/>
    <n v="0"/>
    <n v="5"/>
    <n v="3"/>
    <n v="2"/>
    <n v="5"/>
    <n v="4"/>
    <n v="4"/>
    <n v="3"/>
    <n v="0"/>
    <x v="2"/>
    <n v="2"/>
    <x v="1"/>
    <n v="1"/>
    <x v="2"/>
    <n v="2"/>
    <s v="Bachelor"/>
    <s v="Medium"/>
    <s v="High"/>
    <s v="Good"/>
  </r>
  <r>
    <n v="58"/>
    <s v="Yes"/>
    <s v="Travel_Rarely"/>
    <s v="Research &amp; Development"/>
    <n v="23"/>
    <n v="4"/>
    <s v="Medical"/>
    <n v="165"/>
    <n v="4"/>
    <s v="Female"/>
    <n v="3"/>
    <n v="3"/>
    <s v="Healthcare Representative"/>
    <n v="4"/>
    <s v="Married"/>
    <n v="10312"/>
    <n v="1"/>
    <x v="1"/>
    <n v="12"/>
    <n v="3"/>
    <n v="4"/>
    <n v="1"/>
    <n v="40"/>
    <n v="3"/>
    <n v="2"/>
    <n v="40"/>
    <n v="10"/>
    <n v="15"/>
    <n v="6"/>
    <n v="1"/>
    <x v="3"/>
    <n v="5"/>
    <x v="3"/>
    <n v="4"/>
    <x v="3"/>
    <n v="4"/>
    <s v="Master"/>
    <s v="Very High"/>
    <s v="Very High"/>
    <s v="Good"/>
  </r>
  <r>
    <n v="19"/>
    <s v="Yes"/>
    <s v="Travel_Rarely"/>
    <s v="Sales"/>
    <n v="22"/>
    <n v="1"/>
    <s v="Marketing"/>
    <n v="167"/>
    <n v="4"/>
    <s v="Male"/>
    <n v="3"/>
    <n v="1"/>
    <s v="Sales Representative"/>
    <n v="3"/>
    <s v="Single"/>
    <n v="1675"/>
    <n v="1"/>
    <x v="0"/>
    <n v="19"/>
    <n v="3"/>
    <n v="4"/>
    <n v="0"/>
    <n v="0"/>
    <n v="2"/>
    <n v="2"/>
    <n v="0"/>
    <n v="0"/>
    <n v="0"/>
    <n v="0"/>
    <n v="1"/>
    <x v="4"/>
    <n v="1"/>
    <x v="1"/>
    <n v="1"/>
    <x v="1"/>
    <n v="1"/>
    <s v="Below College"/>
    <s v="High"/>
    <s v="Very High"/>
    <s v="Good"/>
  </r>
  <r>
    <n v="22"/>
    <s v="No"/>
    <s v="Travel_Rarely"/>
    <s v="Research &amp; Development"/>
    <n v="2"/>
    <n v="1"/>
    <s v="Technical Degree"/>
    <n v="169"/>
    <n v="3"/>
    <s v="Male"/>
    <n v="3"/>
    <n v="1"/>
    <s v="Laboratory Technician"/>
    <n v="4"/>
    <s v="Married"/>
    <n v="2523"/>
    <n v="0"/>
    <x v="1"/>
    <n v="14"/>
    <n v="3"/>
    <n v="3"/>
    <n v="1"/>
    <n v="3"/>
    <n v="2"/>
    <n v="3"/>
    <n v="2"/>
    <n v="1"/>
    <n v="2"/>
    <n v="1"/>
    <n v="0"/>
    <x v="4"/>
    <n v="1"/>
    <x v="1"/>
    <n v="1"/>
    <x v="1"/>
    <n v="1"/>
    <s v="Below College"/>
    <s v="Very High"/>
    <s v="High"/>
    <s v="Better"/>
  </r>
  <r>
    <n v="49"/>
    <s v="No"/>
    <s v="Travel_Rarely"/>
    <s v="Research &amp; Development"/>
    <n v="20"/>
    <n v="4"/>
    <s v="Medical"/>
    <n v="170"/>
    <n v="3"/>
    <s v="Female"/>
    <n v="3"/>
    <n v="2"/>
    <s v="Manufacturing Director"/>
    <n v="1"/>
    <s v="Married"/>
    <n v="6567"/>
    <n v="1"/>
    <x v="1"/>
    <n v="14"/>
    <n v="3"/>
    <n v="3"/>
    <n v="0"/>
    <n v="16"/>
    <n v="2"/>
    <n v="2"/>
    <n v="15"/>
    <n v="11"/>
    <n v="5"/>
    <n v="11"/>
    <n v="0"/>
    <x v="1"/>
    <n v="4"/>
    <x v="2"/>
    <n v="3"/>
    <x v="3"/>
    <n v="4"/>
    <s v="Master"/>
    <s v="Low"/>
    <s v="High"/>
    <s v="Good"/>
  </r>
  <r>
    <n v="43"/>
    <s v="No"/>
    <s v="Travel_Frequently"/>
    <s v="Research &amp; Development"/>
    <n v="28"/>
    <n v="3"/>
    <s v="Medical"/>
    <n v="171"/>
    <n v="2"/>
    <s v="Female"/>
    <n v="4"/>
    <n v="1"/>
    <s v="Research Scientist"/>
    <n v="3"/>
    <s v="Single"/>
    <n v="4739"/>
    <n v="4"/>
    <x v="1"/>
    <n v="12"/>
    <n v="3"/>
    <n v="4"/>
    <n v="0"/>
    <n v="18"/>
    <n v="2"/>
    <n v="3"/>
    <n v="3"/>
    <n v="2"/>
    <n v="1"/>
    <n v="2"/>
    <n v="0"/>
    <x v="0"/>
    <n v="3"/>
    <x v="0"/>
    <n v="2"/>
    <x v="2"/>
    <n v="2"/>
    <s v="Bachelor"/>
    <s v="High"/>
    <s v="Medium"/>
    <s v="Better"/>
  </r>
  <r>
    <n v="50"/>
    <s v="No"/>
    <s v="Travel_Frequently"/>
    <s v="Sales"/>
    <n v="12"/>
    <n v="3"/>
    <s v="Marketing"/>
    <n v="174"/>
    <n v="3"/>
    <s v="Female"/>
    <n v="3"/>
    <n v="3"/>
    <s v="Sales Executive"/>
    <n v="4"/>
    <s v="Single"/>
    <n v="9208"/>
    <n v="4"/>
    <x v="1"/>
    <n v="11"/>
    <n v="3"/>
    <n v="4"/>
    <n v="0"/>
    <n v="16"/>
    <n v="3"/>
    <n v="3"/>
    <n v="2"/>
    <n v="2"/>
    <n v="2"/>
    <n v="1"/>
    <n v="0"/>
    <x v="1"/>
    <n v="4"/>
    <x v="2"/>
    <n v="3"/>
    <x v="1"/>
    <n v="1"/>
    <s v="Bachelor"/>
    <s v="Very High"/>
    <s v="High"/>
    <s v="Better"/>
  </r>
  <r>
    <n v="31"/>
    <s v="Yes"/>
    <s v="Travel_Rarely"/>
    <s v="Sales"/>
    <n v="20"/>
    <n v="3"/>
    <s v="Life Sciences"/>
    <n v="175"/>
    <n v="2"/>
    <s v="Female"/>
    <n v="1"/>
    <n v="2"/>
    <s v="Sales Executive"/>
    <n v="3"/>
    <s v="Married"/>
    <n v="4559"/>
    <n v="3"/>
    <x v="0"/>
    <n v="11"/>
    <n v="3"/>
    <n v="3"/>
    <n v="1"/>
    <n v="4"/>
    <n v="2"/>
    <n v="3"/>
    <n v="2"/>
    <n v="2"/>
    <n v="2"/>
    <n v="2"/>
    <n v="1"/>
    <x v="2"/>
    <n v="2"/>
    <x v="0"/>
    <n v="2"/>
    <x v="1"/>
    <n v="1"/>
    <s v="Bachelor"/>
    <s v="High"/>
    <s v="Medium"/>
    <s v="Better"/>
  </r>
  <r>
    <n v="41"/>
    <s v="No"/>
    <s v="Travel_Rarely"/>
    <s v="Sales"/>
    <n v="9"/>
    <n v="1"/>
    <s v="Life Sciences"/>
    <n v="176"/>
    <n v="3"/>
    <s v="Male"/>
    <n v="3"/>
    <n v="3"/>
    <s v="Sales Executive"/>
    <n v="3"/>
    <s v="Divorced"/>
    <n v="8189"/>
    <n v="3"/>
    <x v="0"/>
    <n v="13"/>
    <n v="3"/>
    <n v="3"/>
    <n v="1"/>
    <n v="12"/>
    <n v="2"/>
    <n v="3"/>
    <n v="9"/>
    <n v="7"/>
    <n v="0"/>
    <n v="7"/>
    <n v="0"/>
    <x v="0"/>
    <n v="3"/>
    <x v="2"/>
    <n v="3"/>
    <x v="0"/>
    <n v="3"/>
    <s v="Below College"/>
    <s v="High"/>
    <s v="High"/>
    <s v="Better"/>
  </r>
  <r>
    <n v="26"/>
    <s v="No"/>
    <s v="Travel_Rarely"/>
    <s v="Human Resources"/>
    <n v="25"/>
    <n v="1"/>
    <s v="Life Sciences"/>
    <n v="177"/>
    <n v="3"/>
    <s v="Female"/>
    <n v="3"/>
    <n v="1"/>
    <s v="Human Resources"/>
    <n v="3"/>
    <s v="Married"/>
    <n v="2942"/>
    <n v="1"/>
    <x v="1"/>
    <n v="23"/>
    <n v="4"/>
    <n v="4"/>
    <n v="1"/>
    <n v="8"/>
    <n v="3"/>
    <n v="3"/>
    <n v="8"/>
    <n v="7"/>
    <n v="5"/>
    <n v="7"/>
    <n v="0"/>
    <x v="2"/>
    <n v="2"/>
    <x v="1"/>
    <n v="1"/>
    <x v="0"/>
    <n v="3"/>
    <s v="Below College"/>
    <s v="High"/>
    <s v="High"/>
    <s v="Better"/>
  </r>
  <r>
    <n v="36"/>
    <s v="No"/>
    <s v="Travel_Rarely"/>
    <s v="Research &amp; Development"/>
    <n v="6"/>
    <n v="2"/>
    <s v="Medical"/>
    <n v="178"/>
    <n v="2"/>
    <s v="Male"/>
    <n v="3"/>
    <n v="2"/>
    <s v="Manufacturing Director"/>
    <n v="2"/>
    <s v="Divorced"/>
    <n v="4941"/>
    <n v="6"/>
    <x v="1"/>
    <n v="20"/>
    <n v="4"/>
    <n v="4"/>
    <n v="2"/>
    <n v="7"/>
    <n v="0"/>
    <n v="3"/>
    <n v="3"/>
    <n v="2"/>
    <n v="0"/>
    <n v="1"/>
    <n v="0"/>
    <x v="0"/>
    <n v="3"/>
    <x v="0"/>
    <n v="2"/>
    <x v="2"/>
    <n v="2"/>
    <s v="College"/>
    <s v="Medium"/>
    <s v="Medium"/>
    <s v="Better"/>
  </r>
  <r>
    <n v="51"/>
    <s v="Yes"/>
    <s v="Travel_Frequently"/>
    <s v="Research &amp; Development"/>
    <n v="8"/>
    <n v="4"/>
    <s v="Life Sciences"/>
    <n v="179"/>
    <n v="1"/>
    <s v="Male"/>
    <n v="1"/>
    <n v="3"/>
    <s v="Manufacturing Director"/>
    <n v="4"/>
    <s v="Single"/>
    <n v="10650"/>
    <n v="2"/>
    <x v="1"/>
    <n v="15"/>
    <n v="3"/>
    <n v="4"/>
    <n v="0"/>
    <n v="18"/>
    <n v="2"/>
    <n v="3"/>
    <n v="4"/>
    <n v="2"/>
    <n v="0"/>
    <n v="3"/>
    <n v="1"/>
    <x v="1"/>
    <n v="4"/>
    <x v="3"/>
    <n v="4"/>
    <x v="2"/>
    <n v="2"/>
    <s v="Master"/>
    <s v="Very High"/>
    <s v="Low"/>
    <s v="Better"/>
  </r>
  <r>
    <n v="39"/>
    <s v="No"/>
    <s v="Travel_Rarely"/>
    <s v="Sales"/>
    <n v="4"/>
    <n v="4"/>
    <s v="Life Sciences"/>
    <n v="182"/>
    <n v="4"/>
    <s v="Female"/>
    <n v="2"/>
    <n v="2"/>
    <s v="Sales Executive"/>
    <n v="3"/>
    <s v="Married"/>
    <n v="5902"/>
    <n v="4"/>
    <x v="1"/>
    <n v="14"/>
    <n v="3"/>
    <n v="3"/>
    <n v="1"/>
    <n v="17"/>
    <n v="1"/>
    <n v="4"/>
    <n v="15"/>
    <n v="11"/>
    <n v="5"/>
    <n v="9"/>
    <n v="0"/>
    <x v="0"/>
    <n v="3"/>
    <x v="0"/>
    <n v="2"/>
    <x v="3"/>
    <n v="4"/>
    <s v="Master"/>
    <s v="High"/>
    <s v="Very High"/>
    <s v="Best"/>
  </r>
  <r>
    <n v="25"/>
    <s v="No"/>
    <s v="Travel_Rarely"/>
    <s v="Sales"/>
    <n v="28"/>
    <n v="3"/>
    <s v="Life Sciences"/>
    <n v="183"/>
    <n v="1"/>
    <s v="Male"/>
    <n v="2"/>
    <n v="2"/>
    <s v="Sales Executive"/>
    <n v="3"/>
    <s v="Married"/>
    <n v="8639"/>
    <n v="2"/>
    <x v="1"/>
    <n v="18"/>
    <n v="3"/>
    <n v="4"/>
    <n v="0"/>
    <n v="6"/>
    <n v="3"/>
    <n v="3"/>
    <n v="2"/>
    <n v="2"/>
    <n v="2"/>
    <n v="2"/>
    <n v="0"/>
    <x v="4"/>
    <n v="1"/>
    <x v="2"/>
    <n v="3"/>
    <x v="1"/>
    <n v="1"/>
    <s v="Bachelor"/>
    <s v="High"/>
    <s v="Low"/>
    <s v="Better"/>
  </r>
  <r>
    <n v="30"/>
    <s v="No"/>
    <s v="Travel_Rarely"/>
    <s v="Human Resources"/>
    <n v="9"/>
    <n v="3"/>
    <s v="Human Resources"/>
    <n v="184"/>
    <n v="3"/>
    <s v="Male"/>
    <n v="3"/>
    <n v="2"/>
    <s v="Human Resources"/>
    <n v="4"/>
    <s v="Married"/>
    <n v="6347"/>
    <n v="0"/>
    <x v="0"/>
    <n v="19"/>
    <n v="3"/>
    <n v="4"/>
    <n v="0"/>
    <n v="12"/>
    <n v="2"/>
    <n v="1"/>
    <n v="11"/>
    <n v="9"/>
    <n v="4"/>
    <n v="7"/>
    <n v="0"/>
    <x v="2"/>
    <n v="2"/>
    <x v="2"/>
    <n v="3"/>
    <x v="3"/>
    <n v="4"/>
    <s v="Bachelor"/>
    <s v="Very High"/>
    <s v="High"/>
    <s v="Bad"/>
  </r>
  <r>
    <n v="32"/>
    <s v="Yes"/>
    <s v="Travel_Rarely"/>
    <s v="Research &amp; Development"/>
    <n v="9"/>
    <n v="3"/>
    <s v="Medical"/>
    <n v="190"/>
    <n v="1"/>
    <s v="Female"/>
    <n v="3"/>
    <n v="1"/>
    <s v="Laboratory Technician"/>
    <n v="1"/>
    <s v="Single"/>
    <n v="4200"/>
    <n v="7"/>
    <x v="1"/>
    <n v="22"/>
    <n v="4"/>
    <n v="1"/>
    <n v="0"/>
    <n v="10"/>
    <n v="2"/>
    <n v="4"/>
    <n v="5"/>
    <n v="4"/>
    <n v="0"/>
    <n v="4"/>
    <n v="1"/>
    <x v="2"/>
    <n v="2"/>
    <x v="0"/>
    <n v="2"/>
    <x v="2"/>
    <n v="2"/>
    <s v="Bachelor"/>
    <s v="Low"/>
    <s v="Low"/>
    <s v="Best"/>
  </r>
  <r>
    <n v="45"/>
    <s v="No"/>
    <s v="Travel_Rarely"/>
    <s v="Research &amp; Development"/>
    <n v="29"/>
    <n v="3"/>
    <s v="Medical"/>
    <n v="192"/>
    <n v="3"/>
    <s v="Male"/>
    <n v="3"/>
    <n v="1"/>
    <s v="Research Scientist"/>
    <n v="4"/>
    <s v="Single"/>
    <n v="3452"/>
    <n v="5"/>
    <x v="1"/>
    <n v="13"/>
    <n v="3"/>
    <n v="2"/>
    <n v="0"/>
    <n v="9"/>
    <n v="2"/>
    <n v="2"/>
    <n v="6"/>
    <n v="5"/>
    <n v="0"/>
    <n v="3"/>
    <n v="0"/>
    <x v="0"/>
    <n v="3"/>
    <x v="0"/>
    <n v="2"/>
    <x v="0"/>
    <n v="3"/>
    <s v="Bachelor"/>
    <s v="Very High"/>
    <s v="High"/>
    <s v="Good"/>
  </r>
  <r>
    <n v="38"/>
    <s v="No"/>
    <s v="Travel_Rarely"/>
    <s v="Research &amp; Development"/>
    <n v="3"/>
    <n v="5"/>
    <s v="Technical Degree"/>
    <n v="193"/>
    <n v="4"/>
    <s v="Female"/>
    <n v="3"/>
    <n v="2"/>
    <s v="Research Scientist"/>
    <n v="3"/>
    <s v="Single"/>
    <n v="4317"/>
    <n v="3"/>
    <x v="0"/>
    <n v="20"/>
    <n v="4"/>
    <n v="2"/>
    <n v="0"/>
    <n v="19"/>
    <n v="2"/>
    <n v="3"/>
    <n v="3"/>
    <n v="2"/>
    <n v="2"/>
    <n v="2"/>
    <n v="0"/>
    <x v="0"/>
    <n v="3"/>
    <x v="0"/>
    <n v="2"/>
    <x v="2"/>
    <n v="2"/>
    <s v="Doctor"/>
    <s v="High"/>
    <s v="Very High"/>
    <s v="Better"/>
  </r>
  <r>
    <n v="30"/>
    <s v="No"/>
    <s v="Travel_Rarely"/>
    <s v="Research &amp; Development"/>
    <n v="18"/>
    <n v="3"/>
    <s v="Life Sciences"/>
    <n v="194"/>
    <n v="1"/>
    <s v="Female"/>
    <n v="3"/>
    <n v="1"/>
    <s v="Research Scientist"/>
    <n v="3"/>
    <s v="Single"/>
    <n v="2632"/>
    <n v="1"/>
    <x v="1"/>
    <n v="14"/>
    <n v="3"/>
    <n v="3"/>
    <n v="0"/>
    <n v="5"/>
    <n v="4"/>
    <n v="2"/>
    <n v="5"/>
    <n v="4"/>
    <n v="0"/>
    <n v="4"/>
    <n v="0"/>
    <x v="2"/>
    <n v="2"/>
    <x v="1"/>
    <n v="1"/>
    <x v="2"/>
    <n v="2"/>
    <s v="Bachelor"/>
    <s v="High"/>
    <s v="Low"/>
    <s v="Good"/>
  </r>
  <r>
    <n v="32"/>
    <s v="No"/>
    <s v="Travel_Frequently"/>
    <s v="Sales"/>
    <n v="9"/>
    <n v="2"/>
    <s v="Medical"/>
    <n v="195"/>
    <n v="4"/>
    <s v="Male"/>
    <n v="1"/>
    <n v="2"/>
    <s v="Sales Executive"/>
    <n v="4"/>
    <s v="Divorced"/>
    <n v="4668"/>
    <n v="0"/>
    <x v="1"/>
    <n v="17"/>
    <n v="3"/>
    <n v="4"/>
    <n v="3"/>
    <n v="9"/>
    <n v="2"/>
    <n v="4"/>
    <n v="8"/>
    <n v="7"/>
    <n v="0"/>
    <n v="7"/>
    <n v="0"/>
    <x v="2"/>
    <n v="2"/>
    <x v="0"/>
    <n v="2"/>
    <x v="0"/>
    <n v="3"/>
    <s v="College"/>
    <s v="Very High"/>
    <s v="Very High"/>
    <s v="Best"/>
  </r>
  <r>
    <n v="30"/>
    <s v="No"/>
    <s v="Travel_Rarely"/>
    <s v="Research &amp; Development"/>
    <n v="5"/>
    <n v="3"/>
    <s v="Technical Degree"/>
    <n v="197"/>
    <n v="4"/>
    <s v="Female"/>
    <n v="3"/>
    <n v="1"/>
    <s v="Research Scientist"/>
    <n v="1"/>
    <s v="Divorced"/>
    <n v="3204"/>
    <n v="5"/>
    <x v="1"/>
    <n v="14"/>
    <n v="3"/>
    <n v="4"/>
    <n v="1"/>
    <n v="8"/>
    <n v="3"/>
    <n v="3"/>
    <n v="3"/>
    <n v="2"/>
    <n v="2"/>
    <n v="2"/>
    <n v="0"/>
    <x v="2"/>
    <n v="2"/>
    <x v="0"/>
    <n v="2"/>
    <x v="2"/>
    <n v="2"/>
    <s v="Bachelor"/>
    <s v="Low"/>
    <s v="Very High"/>
    <s v="Better"/>
  </r>
  <r>
    <n v="30"/>
    <s v="No"/>
    <s v="Travel_Rarely"/>
    <s v="Research &amp; Development"/>
    <n v="2"/>
    <n v="1"/>
    <s v="Medical"/>
    <n v="198"/>
    <n v="2"/>
    <s v="Male"/>
    <n v="2"/>
    <n v="1"/>
    <s v="Laboratory Technician"/>
    <n v="4"/>
    <s v="Single"/>
    <n v="2720"/>
    <n v="0"/>
    <x v="1"/>
    <n v="13"/>
    <n v="3"/>
    <n v="4"/>
    <n v="0"/>
    <n v="6"/>
    <n v="3"/>
    <n v="3"/>
    <n v="5"/>
    <n v="3"/>
    <n v="1"/>
    <n v="2"/>
    <n v="0"/>
    <x v="2"/>
    <n v="2"/>
    <x v="1"/>
    <n v="1"/>
    <x v="2"/>
    <n v="2"/>
    <s v="Below College"/>
    <s v="Very High"/>
    <s v="Medium"/>
    <s v="Better"/>
  </r>
  <r>
    <n v="41"/>
    <s v="No"/>
    <s v="Travel_Frequently"/>
    <s v="Research &amp; Development"/>
    <n v="10"/>
    <n v="3"/>
    <s v="Life Sciences"/>
    <n v="199"/>
    <n v="4"/>
    <s v="Male"/>
    <n v="2"/>
    <n v="4"/>
    <s v="Manager"/>
    <n v="1"/>
    <s v="Divorced"/>
    <n v="17181"/>
    <n v="4"/>
    <x v="1"/>
    <n v="13"/>
    <n v="3"/>
    <n v="2"/>
    <n v="1"/>
    <n v="21"/>
    <n v="2"/>
    <n v="2"/>
    <n v="7"/>
    <n v="6"/>
    <n v="7"/>
    <n v="7"/>
    <n v="0"/>
    <x v="0"/>
    <n v="3"/>
    <x v="3"/>
    <n v="4"/>
    <x v="0"/>
    <n v="3"/>
    <s v="Bachelor"/>
    <s v="Low"/>
    <s v="Very High"/>
    <s v="Good"/>
  </r>
  <r>
    <n v="41"/>
    <s v="No"/>
    <s v="Travel_Rarely"/>
    <s v="Research &amp; Development"/>
    <n v="9"/>
    <n v="4"/>
    <s v="Life Sciences"/>
    <n v="200"/>
    <n v="3"/>
    <s v="Male"/>
    <n v="3"/>
    <n v="1"/>
    <s v="Laboratory Technician"/>
    <n v="1"/>
    <s v="Married"/>
    <n v="2238"/>
    <n v="2"/>
    <x v="1"/>
    <n v="21"/>
    <n v="4"/>
    <n v="4"/>
    <n v="1"/>
    <n v="7"/>
    <n v="2"/>
    <n v="3"/>
    <n v="5"/>
    <n v="0"/>
    <n v="1"/>
    <n v="4"/>
    <n v="0"/>
    <x v="0"/>
    <n v="3"/>
    <x v="1"/>
    <n v="1"/>
    <x v="2"/>
    <n v="2"/>
    <s v="Master"/>
    <s v="Low"/>
    <s v="High"/>
    <s v="Better"/>
  </r>
  <r>
    <n v="19"/>
    <s v="No"/>
    <s v="Travel_Rarely"/>
    <s v="Research &amp; Development"/>
    <n v="3"/>
    <n v="1"/>
    <s v="Medical"/>
    <n v="201"/>
    <n v="2"/>
    <s v="Female"/>
    <n v="3"/>
    <n v="1"/>
    <s v="Laboratory Technician"/>
    <n v="2"/>
    <s v="Single"/>
    <n v="1483"/>
    <n v="1"/>
    <x v="1"/>
    <n v="14"/>
    <n v="3"/>
    <n v="4"/>
    <n v="0"/>
    <n v="1"/>
    <n v="3"/>
    <n v="3"/>
    <n v="1"/>
    <n v="0"/>
    <n v="0"/>
    <n v="0"/>
    <n v="0"/>
    <x v="4"/>
    <n v="1"/>
    <x v="1"/>
    <n v="1"/>
    <x v="1"/>
    <n v="1"/>
    <s v="Below College"/>
    <s v="Medium"/>
    <s v="Medium"/>
    <s v="Better"/>
  </r>
  <r>
    <n v="40"/>
    <s v="No"/>
    <s v="Travel_Frequently"/>
    <s v="Research &amp; Development"/>
    <n v="26"/>
    <n v="3"/>
    <s v="Medical"/>
    <n v="202"/>
    <n v="2"/>
    <s v="Female"/>
    <n v="3"/>
    <n v="2"/>
    <s v="Research Scientist"/>
    <n v="2"/>
    <s v="Divorced"/>
    <n v="5605"/>
    <n v="1"/>
    <x v="1"/>
    <n v="11"/>
    <n v="3"/>
    <n v="1"/>
    <n v="1"/>
    <n v="20"/>
    <n v="2"/>
    <n v="3"/>
    <n v="20"/>
    <n v="7"/>
    <n v="2"/>
    <n v="13"/>
    <n v="0"/>
    <x v="0"/>
    <n v="3"/>
    <x v="0"/>
    <n v="2"/>
    <x v="3"/>
    <n v="4"/>
    <s v="Bachelor"/>
    <s v="Medium"/>
    <s v="Medium"/>
    <s v="Better"/>
  </r>
  <r>
    <n v="35"/>
    <s v="No"/>
    <s v="Travel_Rarely"/>
    <s v="Sales"/>
    <n v="1"/>
    <n v="5"/>
    <s v="Marketing"/>
    <n v="204"/>
    <n v="3"/>
    <s v="Male"/>
    <n v="3"/>
    <n v="3"/>
    <s v="Sales Executive"/>
    <n v="2"/>
    <s v="Married"/>
    <n v="7295"/>
    <n v="1"/>
    <x v="1"/>
    <n v="13"/>
    <n v="3"/>
    <n v="1"/>
    <n v="2"/>
    <n v="10"/>
    <n v="3"/>
    <n v="3"/>
    <n v="10"/>
    <n v="8"/>
    <n v="0"/>
    <n v="6"/>
    <n v="0"/>
    <x v="2"/>
    <n v="2"/>
    <x v="2"/>
    <n v="3"/>
    <x v="0"/>
    <n v="3"/>
    <s v="Doctor"/>
    <s v="Medium"/>
    <s v="High"/>
    <s v="Better"/>
  </r>
  <r>
    <n v="53"/>
    <s v="No"/>
    <s v="Travel_Rarely"/>
    <s v="Sales"/>
    <n v="6"/>
    <n v="2"/>
    <s v="Marketing"/>
    <n v="205"/>
    <n v="2"/>
    <s v="Male"/>
    <n v="3"/>
    <n v="2"/>
    <s v="Sales Representative"/>
    <n v="3"/>
    <s v="Married"/>
    <n v="2306"/>
    <n v="2"/>
    <x v="0"/>
    <n v="20"/>
    <n v="4"/>
    <n v="4"/>
    <n v="1"/>
    <n v="13"/>
    <n v="3"/>
    <n v="1"/>
    <n v="7"/>
    <n v="7"/>
    <n v="4"/>
    <n v="5"/>
    <n v="0"/>
    <x v="1"/>
    <n v="4"/>
    <x v="1"/>
    <n v="1"/>
    <x v="0"/>
    <n v="3"/>
    <s v="College"/>
    <s v="High"/>
    <s v="Medium"/>
    <s v="Bad"/>
  </r>
  <r>
    <n v="45"/>
    <s v="No"/>
    <s v="Travel_Rarely"/>
    <s v="Research &amp; Development"/>
    <n v="9"/>
    <n v="3"/>
    <s v="Life Sciences"/>
    <n v="206"/>
    <n v="2"/>
    <s v="Male"/>
    <n v="3"/>
    <n v="2"/>
    <s v="Laboratory Technician"/>
    <n v="2"/>
    <s v="Divorced"/>
    <n v="2348"/>
    <n v="8"/>
    <x v="1"/>
    <n v="18"/>
    <n v="3"/>
    <n v="3"/>
    <n v="1"/>
    <n v="20"/>
    <n v="2"/>
    <n v="1"/>
    <n v="17"/>
    <n v="9"/>
    <n v="0"/>
    <n v="15"/>
    <n v="0"/>
    <x v="0"/>
    <n v="3"/>
    <x v="1"/>
    <n v="1"/>
    <x v="3"/>
    <n v="4"/>
    <s v="Bachelor"/>
    <s v="Medium"/>
    <s v="Medium"/>
    <s v="Bad"/>
  </r>
  <r>
    <n v="32"/>
    <s v="No"/>
    <s v="Travel_Frequently"/>
    <s v="Sales"/>
    <n v="8"/>
    <n v="3"/>
    <s v="Marketing"/>
    <n v="207"/>
    <n v="2"/>
    <s v="Female"/>
    <n v="3"/>
    <n v="3"/>
    <s v="Sales Executive"/>
    <n v="4"/>
    <s v="Single"/>
    <n v="8998"/>
    <n v="1"/>
    <x v="1"/>
    <n v="14"/>
    <n v="3"/>
    <n v="4"/>
    <n v="0"/>
    <n v="9"/>
    <n v="2"/>
    <n v="3"/>
    <n v="9"/>
    <n v="8"/>
    <n v="3"/>
    <n v="7"/>
    <n v="0"/>
    <x v="2"/>
    <n v="2"/>
    <x v="2"/>
    <n v="3"/>
    <x v="0"/>
    <n v="3"/>
    <s v="Bachelor"/>
    <s v="Very High"/>
    <s v="Medium"/>
    <s v="Better"/>
  </r>
  <r>
    <n v="29"/>
    <s v="No"/>
    <s v="Non-Travel"/>
    <s v="Research &amp; Development"/>
    <n v="1"/>
    <n v="1"/>
    <s v="Technical Degree"/>
    <n v="208"/>
    <n v="4"/>
    <s v="Male"/>
    <n v="3"/>
    <n v="2"/>
    <s v="Manufacturing Director"/>
    <n v="3"/>
    <s v="Married"/>
    <n v="4319"/>
    <n v="1"/>
    <x v="1"/>
    <n v="13"/>
    <n v="3"/>
    <n v="1"/>
    <n v="1"/>
    <n v="10"/>
    <n v="1"/>
    <n v="3"/>
    <n v="10"/>
    <n v="7"/>
    <n v="0"/>
    <n v="9"/>
    <n v="0"/>
    <x v="2"/>
    <n v="2"/>
    <x v="0"/>
    <n v="2"/>
    <x v="0"/>
    <n v="3"/>
    <s v="Below College"/>
    <s v="High"/>
    <s v="Very High"/>
    <s v="Better"/>
  </r>
  <r>
    <n v="51"/>
    <s v="No"/>
    <s v="Travel_Rarely"/>
    <s v="Research &amp; Development"/>
    <n v="7"/>
    <n v="4"/>
    <s v="Medical"/>
    <n v="211"/>
    <n v="2"/>
    <s v="Male"/>
    <n v="2"/>
    <n v="2"/>
    <s v="Manufacturing Director"/>
    <n v="3"/>
    <s v="Married"/>
    <n v="6132"/>
    <n v="2"/>
    <x v="1"/>
    <n v="17"/>
    <n v="3"/>
    <n v="3"/>
    <n v="0"/>
    <n v="10"/>
    <n v="2"/>
    <n v="3"/>
    <n v="1"/>
    <n v="0"/>
    <n v="0"/>
    <n v="0"/>
    <n v="0"/>
    <x v="1"/>
    <n v="4"/>
    <x v="2"/>
    <n v="3"/>
    <x v="1"/>
    <n v="1"/>
    <s v="Master"/>
    <s v="High"/>
    <s v="Medium"/>
    <s v="Better"/>
  </r>
  <r>
    <n v="58"/>
    <s v="No"/>
    <s v="Travel_Rarely"/>
    <s v="Research &amp; Development"/>
    <n v="9"/>
    <n v="3"/>
    <s v="Medical"/>
    <n v="214"/>
    <n v="2"/>
    <s v="Female"/>
    <n v="2"/>
    <n v="1"/>
    <s v="Research Scientist"/>
    <n v="2"/>
    <s v="Married"/>
    <n v="3346"/>
    <n v="4"/>
    <x v="0"/>
    <n v="20"/>
    <n v="4"/>
    <n v="2"/>
    <n v="1"/>
    <n v="9"/>
    <n v="3"/>
    <n v="2"/>
    <n v="1"/>
    <n v="0"/>
    <n v="0"/>
    <n v="0"/>
    <n v="0"/>
    <x v="3"/>
    <n v="5"/>
    <x v="0"/>
    <n v="2"/>
    <x v="1"/>
    <n v="1"/>
    <s v="Bachelor"/>
    <s v="Medium"/>
    <s v="Medium"/>
    <s v="Good"/>
  </r>
  <r>
    <n v="40"/>
    <s v="No"/>
    <s v="Travel_Rarely"/>
    <s v="Sales"/>
    <n v="4"/>
    <n v="4"/>
    <s v="Marketing"/>
    <n v="215"/>
    <n v="3"/>
    <s v="Male"/>
    <n v="2"/>
    <n v="3"/>
    <s v="Sales Executive"/>
    <n v="4"/>
    <s v="Married"/>
    <n v="10855"/>
    <n v="7"/>
    <x v="1"/>
    <n v="11"/>
    <n v="3"/>
    <n v="1"/>
    <n v="1"/>
    <n v="15"/>
    <n v="2"/>
    <n v="2"/>
    <n v="12"/>
    <n v="11"/>
    <n v="2"/>
    <n v="11"/>
    <n v="0"/>
    <x v="0"/>
    <n v="3"/>
    <x v="3"/>
    <n v="4"/>
    <x v="3"/>
    <n v="4"/>
    <s v="Master"/>
    <s v="Very High"/>
    <s v="High"/>
    <s v="Good"/>
  </r>
  <r>
    <n v="34"/>
    <s v="No"/>
    <s v="Travel_Frequently"/>
    <s v="Sales"/>
    <n v="2"/>
    <n v="4"/>
    <s v="Marketing"/>
    <n v="216"/>
    <n v="3"/>
    <s v="Female"/>
    <n v="3"/>
    <n v="1"/>
    <s v="Sales Representative"/>
    <n v="3"/>
    <s v="Married"/>
    <n v="2231"/>
    <n v="6"/>
    <x v="1"/>
    <n v="18"/>
    <n v="3"/>
    <n v="4"/>
    <n v="1"/>
    <n v="6"/>
    <n v="3"/>
    <n v="3"/>
    <n v="4"/>
    <n v="3"/>
    <n v="1"/>
    <n v="2"/>
    <n v="0"/>
    <x v="2"/>
    <n v="2"/>
    <x v="1"/>
    <n v="1"/>
    <x v="2"/>
    <n v="2"/>
    <s v="Master"/>
    <s v="High"/>
    <s v="High"/>
    <s v="Better"/>
  </r>
  <r>
    <n v="22"/>
    <s v="No"/>
    <s v="Travel_Rarely"/>
    <s v="Research &amp; Development"/>
    <n v="19"/>
    <n v="1"/>
    <s v="Medical"/>
    <n v="217"/>
    <n v="3"/>
    <s v="Male"/>
    <n v="3"/>
    <n v="1"/>
    <s v="Research Scientist"/>
    <n v="4"/>
    <s v="Married"/>
    <n v="2323"/>
    <n v="1"/>
    <x v="1"/>
    <n v="24"/>
    <n v="4"/>
    <n v="1"/>
    <n v="2"/>
    <n v="2"/>
    <n v="6"/>
    <n v="3"/>
    <n v="2"/>
    <n v="2"/>
    <n v="2"/>
    <n v="2"/>
    <n v="0"/>
    <x v="4"/>
    <n v="1"/>
    <x v="1"/>
    <n v="1"/>
    <x v="1"/>
    <n v="1"/>
    <s v="Below College"/>
    <s v="Very High"/>
    <s v="High"/>
    <s v="Better"/>
  </r>
  <r>
    <n v="27"/>
    <s v="No"/>
    <s v="Non-Travel"/>
    <s v="Research &amp; Development"/>
    <n v="9"/>
    <n v="3"/>
    <s v="Medical"/>
    <n v="218"/>
    <n v="4"/>
    <s v="Male"/>
    <n v="3"/>
    <n v="1"/>
    <s v="Research Scientist"/>
    <n v="2"/>
    <s v="Divorced"/>
    <n v="2024"/>
    <n v="6"/>
    <x v="1"/>
    <n v="18"/>
    <n v="3"/>
    <n v="4"/>
    <n v="1"/>
    <n v="6"/>
    <n v="1"/>
    <n v="1"/>
    <n v="2"/>
    <n v="2"/>
    <n v="2"/>
    <n v="2"/>
    <n v="0"/>
    <x v="2"/>
    <n v="2"/>
    <x v="1"/>
    <n v="1"/>
    <x v="1"/>
    <n v="1"/>
    <s v="Bachelor"/>
    <s v="Medium"/>
    <s v="Very High"/>
    <s v="Bad"/>
  </r>
  <r>
    <n v="28"/>
    <s v="No"/>
    <s v="Travel_Rarely"/>
    <s v="Research &amp; Development"/>
    <n v="21"/>
    <n v="3"/>
    <s v="Medical"/>
    <n v="221"/>
    <n v="3"/>
    <s v="Male"/>
    <n v="3"/>
    <n v="1"/>
    <s v="Research Scientist"/>
    <n v="4"/>
    <s v="Married"/>
    <n v="2713"/>
    <n v="1"/>
    <x v="1"/>
    <n v="11"/>
    <n v="3"/>
    <n v="3"/>
    <n v="1"/>
    <n v="5"/>
    <n v="2"/>
    <n v="1"/>
    <n v="5"/>
    <n v="2"/>
    <n v="0"/>
    <n v="2"/>
    <n v="0"/>
    <x v="2"/>
    <n v="2"/>
    <x v="1"/>
    <n v="1"/>
    <x v="2"/>
    <n v="2"/>
    <s v="Bachelor"/>
    <s v="Very High"/>
    <s v="High"/>
    <s v="Bad"/>
  </r>
  <r>
    <n v="57"/>
    <s v="No"/>
    <s v="Travel_Rarely"/>
    <s v="Research &amp; Development"/>
    <n v="24"/>
    <n v="2"/>
    <s v="Life Sciences"/>
    <n v="223"/>
    <n v="3"/>
    <s v="Male"/>
    <n v="4"/>
    <n v="3"/>
    <s v="Healthcare Representative"/>
    <n v="4"/>
    <s v="Divorced"/>
    <n v="9439"/>
    <n v="3"/>
    <x v="0"/>
    <n v="16"/>
    <n v="3"/>
    <n v="2"/>
    <n v="1"/>
    <n v="12"/>
    <n v="2"/>
    <n v="1"/>
    <n v="5"/>
    <n v="3"/>
    <n v="1"/>
    <n v="4"/>
    <n v="0"/>
    <x v="3"/>
    <n v="5"/>
    <x v="2"/>
    <n v="3"/>
    <x v="2"/>
    <n v="2"/>
    <s v="College"/>
    <s v="Very High"/>
    <s v="High"/>
    <s v="Bad"/>
  </r>
  <r>
    <n v="27"/>
    <s v="No"/>
    <s v="Non-Travel"/>
    <s v="Research &amp; Development"/>
    <n v="3"/>
    <n v="3"/>
    <s v="Medical"/>
    <n v="224"/>
    <n v="3"/>
    <s v="Male"/>
    <n v="2"/>
    <n v="1"/>
    <s v="Research Scientist"/>
    <n v="3"/>
    <s v="Divorced"/>
    <n v="2566"/>
    <n v="1"/>
    <x v="0"/>
    <n v="15"/>
    <n v="3"/>
    <n v="4"/>
    <n v="1"/>
    <n v="1"/>
    <n v="2"/>
    <n v="2"/>
    <n v="1"/>
    <n v="1"/>
    <n v="0"/>
    <n v="1"/>
    <n v="0"/>
    <x v="2"/>
    <n v="2"/>
    <x v="1"/>
    <n v="1"/>
    <x v="1"/>
    <n v="1"/>
    <s v="Bachelor"/>
    <s v="High"/>
    <s v="High"/>
    <s v="Good"/>
  </r>
  <r>
    <n v="50"/>
    <s v="No"/>
    <s v="Travel_Rarely"/>
    <s v="Research &amp; Development"/>
    <n v="11"/>
    <n v="3"/>
    <s v="Life Sciences"/>
    <n v="226"/>
    <n v="3"/>
    <s v="Female"/>
    <n v="3"/>
    <n v="5"/>
    <s v="Manager"/>
    <n v="2"/>
    <s v="Single"/>
    <n v="19926"/>
    <n v="3"/>
    <x v="1"/>
    <n v="15"/>
    <n v="3"/>
    <n v="2"/>
    <n v="0"/>
    <n v="21"/>
    <n v="5"/>
    <n v="3"/>
    <n v="5"/>
    <n v="4"/>
    <n v="4"/>
    <n v="4"/>
    <n v="0"/>
    <x v="1"/>
    <n v="4"/>
    <x v="3"/>
    <n v="4"/>
    <x v="2"/>
    <n v="2"/>
    <s v="Bachelor"/>
    <s v="Medium"/>
    <s v="High"/>
    <s v="Better"/>
  </r>
  <r>
    <n v="41"/>
    <s v="No"/>
    <s v="Travel_Rarely"/>
    <s v="Research &amp; Development"/>
    <n v="14"/>
    <n v="3"/>
    <s v="Life Sciences"/>
    <n v="227"/>
    <n v="1"/>
    <s v="Male"/>
    <n v="3"/>
    <n v="1"/>
    <s v="Research Scientist"/>
    <n v="3"/>
    <s v="Divorced"/>
    <n v="2451"/>
    <n v="4"/>
    <x v="1"/>
    <n v="12"/>
    <n v="3"/>
    <n v="1"/>
    <n v="1"/>
    <n v="13"/>
    <n v="2"/>
    <n v="3"/>
    <n v="9"/>
    <n v="8"/>
    <n v="1"/>
    <n v="8"/>
    <n v="0"/>
    <x v="0"/>
    <n v="3"/>
    <x v="1"/>
    <n v="1"/>
    <x v="0"/>
    <n v="3"/>
    <s v="Bachelor"/>
    <s v="High"/>
    <s v="Low"/>
    <s v="Better"/>
  </r>
  <r>
    <n v="30"/>
    <s v="No"/>
    <s v="Travel_Rarely"/>
    <s v="Sales"/>
    <n v="5"/>
    <n v="3"/>
    <s v="Life Sciences"/>
    <n v="228"/>
    <n v="2"/>
    <s v="Female"/>
    <n v="3"/>
    <n v="3"/>
    <s v="Sales Executive"/>
    <n v="4"/>
    <s v="Married"/>
    <n v="9419"/>
    <n v="2"/>
    <x v="1"/>
    <n v="12"/>
    <n v="3"/>
    <n v="3"/>
    <n v="1"/>
    <n v="12"/>
    <n v="2"/>
    <n v="3"/>
    <n v="10"/>
    <n v="9"/>
    <n v="7"/>
    <n v="4"/>
    <n v="0"/>
    <x v="2"/>
    <n v="2"/>
    <x v="2"/>
    <n v="3"/>
    <x v="0"/>
    <n v="3"/>
    <s v="Bachelor"/>
    <s v="Very High"/>
    <s v="Medium"/>
    <s v="Better"/>
  </r>
  <r>
    <n v="38"/>
    <s v="No"/>
    <s v="Travel_Rarely"/>
    <s v="Sales"/>
    <n v="1"/>
    <n v="4"/>
    <s v="Life Sciences"/>
    <n v="230"/>
    <n v="1"/>
    <s v="Female"/>
    <n v="2"/>
    <n v="2"/>
    <s v="Sales Executive"/>
    <n v="4"/>
    <s v="Single"/>
    <n v="8686"/>
    <n v="4"/>
    <x v="1"/>
    <n v="22"/>
    <n v="4"/>
    <n v="3"/>
    <n v="0"/>
    <n v="12"/>
    <n v="2"/>
    <n v="4"/>
    <n v="8"/>
    <n v="3"/>
    <n v="0"/>
    <n v="7"/>
    <n v="0"/>
    <x v="0"/>
    <n v="3"/>
    <x v="2"/>
    <n v="3"/>
    <x v="0"/>
    <n v="3"/>
    <s v="Master"/>
    <s v="Very High"/>
    <s v="Low"/>
    <s v="Best"/>
  </r>
  <r>
    <n v="32"/>
    <s v="No"/>
    <s v="Travel_Rarely"/>
    <s v="Research &amp; Development"/>
    <n v="6"/>
    <n v="5"/>
    <s v="Life Sciences"/>
    <n v="231"/>
    <n v="3"/>
    <s v="Male"/>
    <n v="3"/>
    <n v="1"/>
    <s v="Research Scientist"/>
    <n v="3"/>
    <s v="Single"/>
    <n v="3038"/>
    <n v="3"/>
    <x v="1"/>
    <n v="20"/>
    <n v="4"/>
    <n v="1"/>
    <n v="0"/>
    <n v="8"/>
    <n v="2"/>
    <n v="3"/>
    <n v="5"/>
    <n v="4"/>
    <n v="1"/>
    <n v="4"/>
    <n v="0"/>
    <x v="2"/>
    <n v="2"/>
    <x v="0"/>
    <n v="2"/>
    <x v="2"/>
    <n v="2"/>
    <s v="Doctor"/>
    <s v="High"/>
    <s v="High"/>
    <s v="Better"/>
  </r>
  <r>
    <n v="27"/>
    <s v="No"/>
    <s v="Travel_Rarely"/>
    <s v="Research &amp; Development"/>
    <n v="17"/>
    <n v="3"/>
    <s v="Technical Degree"/>
    <n v="233"/>
    <n v="3"/>
    <s v="Male"/>
    <n v="3"/>
    <n v="1"/>
    <s v="Research Scientist"/>
    <n v="2"/>
    <s v="Married"/>
    <n v="3058"/>
    <n v="0"/>
    <x v="0"/>
    <n v="16"/>
    <n v="3"/>
    <n v="4"/>
    <n v="1"/>
    <n v="6"/>
    <n v="3"/>
    <n v="2"/>
    <n v="5"/>
    <n v="2"/>
    <n v="1"/>
    <n v="1"/>
    <n v="0"/>
    <x v="2"/>
    <n v="2"/>
    <x v="0"/>
    <n v="2"/>
    <x v="2"/>
    <n v="2"/>
    <s v="Bachelor"/>
    <s v="Medium"/>
    <s v="High"/>
    <s v="Good"/>
  </r>
  <r>
    <n v="19"/>
    <s v="Yes"/>
    <s v="Travel_Frequently"/>
    <s v="Sales"/>
    <n v="1"/>
    <n v="1"/>
    <s v="Technical Degree"/>
    <n v="235"/>
    <n v="3"/>
    <s v="Female"/>
    <n v="1"/>
    <n v="1"/>
    <s v="Sales Representative"/>
    <n v="1"/>
    <s v="Single"/>
    <n v="2325"/>
    <n v="0"/>
    <x v="1"/>
    <n v="21"/>
    <n v="4"/>
    <n v="1"/>
    <n v="0"/>
    <n v="1"/>
    <n v="5"/>
    <n v="4"/>
    <n v="0"/>
    <n v="0"/>
    <n v="0"/>
    <n v="0"/>
    <n v="1"/>
    <x v="4"/>
    <n v="1"/>
    <x v="1"/>
    <n v="1"/>
    <x v="1"/>
    <n v="1"/>
    <s v="Below College"/>
    <s v="Low"/>
    <s v="High"/>
    <s v="Best"/>
  </r>
  <r>
    <n v="36"/>
    <s v="No"/>
    <s v="Travel_Frequently"/>
    <s v="Research &amp; Development"/>
    <n v="3"/>
    <n v="2"/>
    <s v="Medical"/>
    <n v="238"/>
    <n v="4"/>
    <s v="Male"/>
    <n v="3"/>
    <n v="1"/>
    <s v="Laboratory Technician"/>
    <n v="2"/>
    <s v="Single"/>
    <n v="2088"/>
    <n v="4"/>
    <x v="1"/>
    <n v="12"/>
    <n v="3"/>
    <n v="3"/>
    <n v="0"/>
    <n v="13"/>
    <n v="3"/>
    <n v="2"/>
    <n v="8"/>
    <n v="7"/>
    <n v="7"/>
    <n v="2"/>
    <n v="0"/>
    <x v="0"/>
    <n v="3"/>
    <x v="1"/>
    <n v="1"/>
    <x v="0"/>
    <n v="3"/>
    <s v="College"/>
    <s v="Medium"/>
    <s v="Very High"/>
    <s v="Good"/>
  </r>
  <r>
    <n v="30"/>
    <s v="No"/>
    <s v="Non-Travel"/>
    <s v="Research &amp; Development"/>
    <n v="9"/>
    <n v="3"/>
    <s v="Medical"/>
    <n v="239"/>
    <n v="3"/>
    <s v="Male"/>
    <n v="3"/>
    <n v="2"/>
    <s v="Laboratory Technician"/>
    <n v="1"/>
    <s v="Divorced"/>
    <n v="3072"/>
    <n v="1"/>
    <x v="1"/>
    <n v="11"/>
    <n v="3"/>
    <n v="3"/>
    <n v="2"/>
    <n v="12"/>
    <n v="4"/>
    <n v="3"/>
    <n v="12"/>
    <n v="9"/>
    <n v="6"/>
    <n v="10"/>
    <n v="0"/>
    <x v="2"/>
    <n v="2"/>
    <x v="0"/>
    <n v="2"/>
    <x v="3"/>
    <n v="4"/>
    <s v="Bachelor"/>
    <s v="Low"/>
    <s v="High"/>
    <s v="Better"/>
  </r>
  <r>
    <n v="45"/>
    <s v="No"/>
    <s v="Travel_Rarely"/>
    <s v="Sales"/>
    <n v="4"/>
    <n v="2"/>
    <s v="Life Sciences"/>
    <n v="240"/>
    <n v="3"/>
    <s v="Female"/>
    <n v="3"/>
    <n v="2"/>
    <s v="Sales Executive"/>
    <n v="1"/>
    <s v="Divorced"/>
    <n v="5006"/>
    <n v="4"/>
    <x v="0"/>
    <n v="11"/>
    <n v="3"/>
    <n v="1"/>
    <n v="1"/>
    <n v="9"/>
    <n v="3"/>
    <n v="4"/>
    <n v="5"/>
    <n v="4"/>
    <n v="0"/>
    <n v="3"/>
    <n v="0"/>
    <x v="0"/>
    <n v="3"/>
    <x v="0"/>
    <n v="2"/>
    <x v="2"/>
    <n v="2"/>
    <s v="College"/>
    <s v="Low"/>
    <s v="High"/>
    <s v="Best"/>
  </r>
  <r>
    <n v="56"/>
    <s v="No"/>
    <s v="Travel_Rarely"/>
    <s v="Research &amp; Development"/>
    <n v="8"/>
    <n v="3"/>
    <s v="Life Sciences"/>
    <n v="241"/>
    <n v="3"/>
    <s v="Female"/>
    <n v="3"/>
    <n v="1"/>
    <s v="Research Scientist"/>
    <n v="1"/>
    <s v="Divorced"/>
    <n v="4257"/>
    <n v="4"/>
    <x v="0"/>
    <n v="18"/>
    <n v="3"/>
    <n v="3"/>
    <n v="1"/>
    <n v="19"/>
    <n v="3"/>
    <n v="3"/>
    <n v="2"/>
    <n v="2"/>
    <n v="2"/>
    <n v="2"/>
    <n v="0"/>
    <x v="3"/>
    <n v="5"/>
    <x v="0"/>
    <n v="2"/>
    <x v="1"/>
    <n v="1"/>
    <s v="Bachelor"/>
    <s v="Low"/>
    <s v="High"/>
    <s v="Better"/>
  </r>
  <r>
    <n v="33"/>
    <s v="No"/>
    <s v="Travel_Rarely"/>
    <s v="Research &amp; Development"/>
    <n v="2"/>
    <n v="3"/>
    <s v="Life Sciences"/>
    <n v="242"/>
    <n v="3"/>
    <s v="Male"/>
    <n v="3"/>
    <n v="1"/>
    <s v="Research Scientist"/>
    <n v="4"/>
    <s v="Single"/>
    <n v="2500"/>
    <n v="0"/>
    <x v="1"/>
    <n v="14"/>
    <n v="3"/>
    <n v="1"/>
    <n v="0"/>
    <n v="4"/>
    <n v="2"/>
    <n v="4"/>
    <n v="3"/>
    <n v="1"/>
    <n v="0"/>
    <n v="2"/>
    <n v="0"/>
    <x v="2"/>
    <n v="2"/>
    <x v="1"/>
    <n v="1"/>
    <x v="2"/>
    <n v="2"/>
    <s v="Bachelor"/>
    <s v="Very High"/>
    <s v="High"/>
    <s v="Best"/>
  </r>
  <r>
    <n v="19"/>
    <s v="Yes"/>
    <s v="Travel_Rarely"/>
    <s v="Research &amp; Development"/>
    <n v="2"/>
    <n v="3"/>
    <s v="Life Sciences"/>
    <n v="243"/>
    <n v="2"/>
    <s v="Male"/>
    <n v="2"/>
    <n v="1"/>
    <s v="Laboratory Technician"/>
    <n v="4"/>
    <s v="Single"/>
    <n v="1102"/>
    <n v="1"/>
    <x v="1"/>
    <n v="22"/>
    <n v="4"/>
    <n v="3"/>
    <n v="0"/>
    <n v="1"/>
    <n v="3"/>
    <n v="2"/>
    <n v="1"/>
    <n v="0"/>
    <n v="1"/>
    <n v="0"/>
    <n v="1"/>
    <x v="4"/>
    <n v="1"/>
    <x v="1"/>
    <n v="1"/>
    <x v="1"/>
    <n v="1"/>
    <s v="Bachelor"/>
    <s v="Very High"/>
    <s v="Medium"/>
    <s v="Good"/>
  </r>
  <r>
    <n v="46"/>
    <s v="No"/>
    <s v="Travel_Rarely"/>
    <s v="Sales"/>
    <n v="1"/>
    <n v="2"/>
    <s v="Marketing"/>
    <n v="244"/>
    <n v="2"/>
    <s v="Female"/>
    <n v="3"/>
    <n v="3"/>
    <s v="Sales Executive"/>
    <n v="1"/>
    <s v="Divorced"/>
    <n v="10453"/>
    <n v="1"/>
    <x v="1"/>
    <n v="25"/>
    <n v="4"/>
    <n v="3"/>
    <n v="3"/>
    <n v="24"/>
    <n v="2"/>
    <n v="3"/>
    <n v="24"/>
    <n v="13"/>
    <n v="15"/>
    <n v="7"/>
    <n v="0"/>
    <x v="1"/>
    <n v="4"/>
    <x v="3"/>
    <n v="4"/>
    <x v="3"/>
    <n v="4"/>
    <s v="College"/>
    <s v="Low"/>
    <s v="Medium"/>
    <s v="Better"/>
  </r>
  <r>
    <n v="38"/>
    <s v="No"/>
    <s v="Travel_Rarely"/>
    <s v="Research &amp; Development"/>
    <n v="9"/>
    <n v="2"/>
    <s v="Life Sciences"/>
    <n v="245"/>
    <n v="3"/>
    <s v="Female"/>
    <n v="3"/>
    <n v="1"/>
    <s v="Laboratory Technician"/>
    <n v="4"/>
    <s v="Single"/>
    <n v="2288"/>
    <n v="1"/>
    <x v="1"/>
    <n v="12"/>
    <n v="3"/>
    <n v="3"/>
    <n v="0"/>
    <n v="2"/>
    <n v="3"/>
    <n v="3"/>
    <n v="2"/>
    <n v="2"/>
    <n v="2"/>
    <n v="1"/>
    <n v="0"/>
    <x v="0"/>
    <n v="3"/>
    <x v="1"/>
    <n v="1"/>
    <x v="1"/>
    <n v="1"/>
    <s v="College"/>
    <s v="Very High"/>
    <s v="High"/>
    <s v="Better"/>
  </r>
  <r>
    <n v="31"/>
    <s v="No"/>
    <s v="Travel_Rarely"/>
    <s v="Research &amp; Development"/>
    <n v="12"/>
    <n v="1"/>
    <s v="Medical"/>
    <n v="246"/>
    <n v="3"/>
    <s v="Female"/>
    <n v="3"/>
    <n v="1"/>
    <s v="Research Scientist"/>
    <n v="4"/>
    <s v="Married"/>
    <n v="3929"/>
    <n v="8"/>
    <x v="0"/>
    <n v="23"/>
    <n v="4"/>
    <n v="3"/>
    <n v="1"/>
    <n v="7"/>
    <n v="0"/>
    <n v="3"/>
    <n v="4"/>
    <n v="2"/>
    <n v="0"/>
    <n v="2"/>
    <n v="0"/>
    <x v="2"/>
    <n v="2"/>
    <x v="0"/>
    <n v="2"/>
    <x v="2"/>
    <n v="2"/>
    <s v="Below College"/>
    <s v="Very High"/>
    <s v="High"/>
    <s v="Better"/>
  </r>
  <r>
    <n v="34"/>
    <s v="No"/>
    <s v="Travel_Rarely"/>
    <s v="Research &amp; Development"/>
    <n v="27"/>
    <n v="2"/>
    <s v="Medical"/>
    <n v="247"/>
    <n v="4"/>
    <s v="Female"/>
    <n v="3"/>
    <n v="1"/>
    <s v="Research Scientist"/>
    <n v="2"/>
    <s v="Single"/>
    <n v="2311"/>
    <n v="2"/>
    <x v="1"/>
    <n v="15"/>
    <n v="3"/>
    <n v="4"/>
    <n v="0"/>
    <n v="9"/>
    <n v="3"/>
    <n v="3"/>
    <n v="3"/>
    <n v="2"/>
    <n v="1"/>
    <n v="2"/>
    <n v="0"/>
    <x v="2"/>
    <n v="2"/>
    <x v="1"/>
    <n v="1"/>
    <x v="2"/>
    <n v="2"/>
    <s v="College"/>
    <s v="Medium"/>
    <s v="Very High"/>
    <s v="Better"/>
  </r>
  <r>
    <n v="41"/>
    <s v="Yes"/>
    <s v="Travel_Rarely"/>
    <s v="Sales"/>
    <n v="20"/>
    <n v="2"/>
    <s v="Marketing"/>
    <n v="248"/>
    <n v="2"/>
    <s v="Female"/>
    <n v="3"/>
    <n v="1"/>
    <s v="Sales Representative"/>
    <n v="2"/>
    <s v="Single"/>
    <n v="3140"/>
    <n v="1"/>
    <x v="0"/>
    <n v="22"/>
    <n v="4"/>
    <n v="4"/>
    <n v="0"/>
    <n v="4"/>
    <n v="5"/>
    <n v="2"/>
    <n v="4"/>
    <n v="3"/>
    <n v="0"/>
    <n v="2"/>
    <n v="1"/>
    <x v="0"/>
    <n v="3"/>
    <x v="0"/>
    <n v="2"/>
    <x v="2"/>
    <n v="2"/>
    <s v="College"/>
    <s v="Medium"/>
    <s v="Medium"/>
    <s v="Good"/>
  </r>
  <r>
    <n v="50"/>
    <s v="No"/>
    <s v="Travel_Rarely"/>
    <s v="Research &amp; Development"/>
    <n v="1"/>
    <n v="3"/>
    <s v="Medical"/>
    <n v="249"/>
    <n v="3"/>
    <s v="Male"/>
    <n v="2"/>
    <n v="1"/>
    <s v="Laboratory Technician"/>
    <n v="3"/>
    <s v="Married"/>
    <n v="3690"/>
    <n v="2"/>
    <x v="1"/>
    <n v="15"/>
    <n v="3"/>
    <n v="4"/>
    <n v="1"/>
    <n v="5"/>
    <n v="2"/>
    <n v="2"/>
    <n v="3"/>
    <n v="2"/>
    <n v="0"/>
    <n v="2"/>
    <n v="0"/>
    <x v="1"/>
    <n v="4"/>
    <x v="0"/>
    <n v="2"/>
    <x v="2"/>
    <n v="2"/>
    <s v="Bachelor"/>
    <s v="High"/>
    <s v="High"/>
    <s v="Good"/>
  </r>
  <r>
    <n v="53"/>
    <s v="No"/>
    <s v="Travel_Rarely"/>
    <s v="Research &amp; Development"/>
    <n v="13"/>
    <n v="2"/>
    <s v="Medical"/>
    <n v="250"/>
    <n v="4"/>
    <s v="Female"/>
    <n v="4"/>
    <n v="2"/>
    <s v="Manufacturing Director"/>
    <n v="1"/>
    <s v="Divorced"/>
    <n v="4450"/>
    <n v="1"/>
    <x v="1"/>
    <n v="11"/>
    <n v="3"/>
    <n v="3"/>
    <n v="2"/>
    <n v="5"/>
    <n v="3"/>
    <n v="3"/>
    <n v="4"/>
    <n v="2"/>
    <n v="1"/>
    <n v="3"/>
    <n v="0"/>
    <x v="1"/>
    <n v="4"/>
    <x v="0"/>
    <n v="2"/>
    <x v="2"/>
    <n v="2"/>
    <s v="College"/>
    <s v="Low"/>
    <s v="Very High"/>
    <s v="Better"/>
  </r>
  <r>
    <n v="33"/>
    <s v="No"/>
    <s v="Travel_Rarely"/>
    <s v="Research &amp; Development"/>
    <n v="14"/>
    <n v="3"/>
    <s v="Medical"/>
    <n v="252"/>
    <n v="4"/>
    <s v="Female"/>
    <n v="3"/>
    <n v="1"/>
    <s v="Research Scientist"/>
    <n v="2"/>
    <s v="Married"/>
    <n v="2756"/>
    <n v="1"/>
    <x v="1"/>
    <n v="13"/>
    <n v="3"/>
    <n v="4"/>
    <n v="1"/>
    <n v="8"/>
    <n v="5"/>
    <n v="3"/>
    <n v="8"/>
    <n v="7"/>
    <n v="1"/>
    <n v="6"/>
    <n v="0"/>
    <x v="2"/>
    <n v="2"/>
    <x v="1"/>
    <n v="1"/>
    <x v="0"/>
    <n v="3"/>
    <s v="Bachelor"/>
    <s v="Medium"/>
    <s v="Very High"/>
    <s v="Better"/>
  </r>
  <r>
    <n v="40"/>
    <s v="No"/>
    <s v="Travel_Rarely"/>
    <s v="Research &amp; Development"/>
    <n v="4"/>
    <n v="1"/>
    <s v="Medical"/>
    <n v="253"/>
    <n v="4"/>
    <s v="Female"/>
    <n v="3"/>
    <n v="5"/>
    <s v="Manager"/>
    <n v="3"/>
    <s v="Married"/>
    <n v="19033"/>
    <n v="1"/>
    <x v="1"/>
    <n v="14"/>
    <n v="3"/>
    <n v="2"/>
    <n v="1"/>
    <n v="21"/>
    <n v="2"/>
    <n v="3"/>
    <n v="20"/>
    <n v="8"/>
    <n v="9"/>
    <n v="9"/>
    <n v="0"/>
    <x v="0"/>
    <n v="3"/>
    <x v="3"/>
    <n v="4"/>
    <x v="3"/>
    <n v="4"/>
    <s v="Below College"/>
    <s v="High"/>
    <s v="Very High"/>
    <s v="Better"/>
  </r>
  <r>
    <n v="55"/>
    <s v="No"/>
    <s v="Travel_Rarely"/>
    <s v="Research &amp; Development"/>
    <n v="14"/>
    <n v="4"/>
    <s v="Medical"/>
    <n v="254"/>
    <n v="3"/>
    <s v="Male"/>
    <n v="4"/>
    <n v="5"/>
    <s v="Research Director"/>
    <n v="2"/>
    <s v="Single"/>
    <n v="18722"/>
    <n v="8"/>
    <x v="1"/>
    <n v="11"/>
    <n v="3"/>
    <n v="4"/>
    <n v="0"/>
    <n v="36"/>
    <n v="3"/>
    <n v="3"/>
    <n v="24"/>
    <n v="15"/>
    <n v="2"/>
    <n v="15"/>
    <n v="0"/>
    <x v="1"/>
    <n v="4"/>
    <x v="3"/>
    <n v="4"/>
    <x v="3"/>
    <n v="4"/>
    <s v="Master"/>
    <s v="Medium"/>
    <s v="High"/>
    <s v="Better"/>
  </r>
  <r>
    <n v="34"/>
    <s v="No"/>
    <s v="Travel_Frequently"/>
    <s v="Research &amp; Development"/>
    <n v="2"/>
    <n v="1"/>
    <s v="Life Sciences"/>
    <n v="256"/>
    <n v="4"/>
    <s v="Male"/>
    <n v="2"/>
    <n v="2"/>
    <s v="Manufacturing Director"/>
    <n v="3"/>
    <s v="Married"/>
    <n v="9547"/>
    <n v="1"/>
    <x v="1"/>
    <n v="17"/>
    <n v="3"/>
    <n v="3"/>
    <n v="0"/>
    <n v="10"/>
    <n v="2"/>
    <n v="2"/>
    <n v="10"/>
    <n v="9"/>
    <n v="1"/>
    <n v="9"/>
    <n v="0"/>
    <x v="2"/>
    <n v="2"/>
    <x v="2"/>
    <n v="3"/>
    <x v="0"/>
    <n v="3"/>
    <s v="Below College"/>
    <s v="High"/>
    <s v="Very High"/>
    <s v="Good"/>
  </r>
  <r>
    <n v="51"/>
    <s v="No"/>
    <s v="Travel_Rarely"/>
    <s v="Research &amp; Development"/>
    <n v="3"/>
    <n v="3"/>
    <s v="Medical"/>
    <n v="258"/>
    <n v="4"/>
    <s v="Female"/>
    <n v="3"/>
    <n v="4"/>
    <s v="Healthcare Representative"/>
    <n v="2"/>
    <s v="Single"/>
    <n v="13734"/>
    <n v="3"/>
    <x v="1"/>
    <n v="18"/>
    <n v="3"/>
    <n v="3"/>
    <n v="0"/>
    <n v="21"/>
    <n v="6"/>
    <n v="3"/>
    <n v="7"/>
    <n v="7"/>
    <n v="1"/>
    <n v="0"/>
    <n v="0"/>
    <x v="1"/>
    <n v="4"/>
    <x v="3"/>
    <n v="4"/>
    <x v="0"/>
    <n v="3"/>
    <s v="Bachelor"/>
    <s v="Medium"/>
    <s v="Very High"/>
    <s v="Better"/>
  </r>
  <r>
    <n v="52"/>
    <s v="No"/>
    <s v="Travel_Rarely"/>
    <s v="Research &amp; Development"/>
    <n v="1"/>
    <n v="4"/>
    <s v="Life Sciences"/>
    <n v="259"/>
    <n v="3"/>
    <s v="Male"/>
    <n v="2"/>
    <n v="5"/>
    <s v="Manager"/>
    <n v="3"/>
    <s v="Married"/>
    <n v="19999"/>
    <n v="0"/>
    <x v="1"/>
    <n v="14"/>
    <n v="3"/>
    <n v="1"/>
    <n v="1"/>
    <n v="34"/>
    <n v="5"/>
    <n v="3"/>
    <n v="33"/>
    <n v="18"/>
    <n v="11"/>
    <n v="9"/>
    <n v="0"/>
    <x v="1"/>
    <n v="4"/>
    <x v="3"/>
    <n v="4"/>
    <x v="3"/>
    <n v="4"/>
    <s v="Master"/>
    <s v="High"/>
    <s v="High"/>
    <s v="Better"/>
  </r>
  <r>
    <n v="27"/>
    <s v="No"/>
    <s v="Travel_Rarely"/>
    <s v="Research &amp; Development"/>
    <n v="9"/>
    <n v="3"/>
    <s v="Medical"/>
    <n v="260"/>
    <n v="4"/>
    <s v="Female"/>
    <n v="3"/>
    <n v="1"/>
    <s v="Research Scientist"/>
    <n v="2"/>
    <s v="Single"/>
    <n v="2279"/>
    <n v="1"/>
    <x v="1"/>
    <n v="16"/>
    <n v="3"/>
    <n v="4"/>
    <n v="0"/>
    <n v="7"/>
    <n v="2"/>
    <n v="2"/>
    <n v="7"/>
    <n v="7"/>
    <n v="0"/>
    <n v="3"/>
    <n v="0"/>
    <x v="2"/>
    <n v="2"/>
    <x v="1"/>
    <n v="1"/>
    <x v="0"/>
    <n v="3"/>
    <s v="Bachelor"/>
    <s v="Medium"/>
    <s v="Very High"/>
    <s v="Good"/>
  </r>
  <r>
    <n v="35"/>
    <s v="Yes"/>
    <s v="Travel_Rarely"/>
    <s v="Research &amp; Development"/>
    <n v="23"/>
    <n v="2"/>
    <s v="Life Sciences"/>
    <n v="261"/>
    <n v="2"/>
    <s v="Male"/>
    <n v="2"/>
    <n v="2"/>
    <s v="Manufacturing Director"/>
    <n v="3"/>
    <s v="Married"/>
    <n v="5916"/>
    <n v="3"/>
    <x v="0"/>
    <n v="13"/>
    <n v="3"/>
    <n v="1"/>
    <n v="0"/>
    <n v="8"/>
    <n v="1"/>
    <n v="3"/>
    <n v="1"/>
    <n v="0"/>
    <n v="0"/>
    <n v="1"/>
    <n v="1"/>
    <x v="2"/>
    <n v="2"/>
    <x v="0"/>
    <n v="2"/>
    <x v="1"/>
    <n v="1"/>
    <s v="College"/>
    <s v="High"/>
    <s v="Medium"/>
    <s v="Better"/>
  </r>
  <r>
    <n v="43"/>
    <s v="No"/>
    <s v="Non-Travel"/>
    <s v="Research &amp; Development"/>
    <n v="7"/>
    <n v="3"/>
    <s v="Medical"/>
    <n v="262"/>
    <n v="4"/>
    <s v="Male"/>
    <n v="4"/>
    <n v="1"/>
    <s v="Research Scientist"/>
    <n v="4"/>
    <s v="Divorced"/>
    <n v="2089"/>
    <n v="4"/>
    <x v="1"/>
    <n v="14"/>
    <n v="3"/>
    <n v="4"/>
    <n v="3"/>
    <n v="7"/>
    <n v="3"/>
    <n v="4"/>
    <n v="5"/>
    <n v="4"/>
    <n v="2"/>
    <n v="2"/>
    <n v="0"/>
    <x v="0"/>
    <n v="3"/>
    <x v="1"/>
    <n v="1"/>
    <x v="2"/>
    <n v="2"/>
    <s v="Bachelor"/>
    <s v="Very High"/>
    <s v="Very High"/>
    <s v="Best"/>
  </r>
  <r>
    <n v="45"/>
    <s v="No"/>
    <s v="Non-Travel"/>
    <s v="Research &amp; Development"/>
    <n v="2"/>
    <n v="2"/>
    <s v="Medical"/>
    <n v="264"/>
    <n v="1"/>
    <s v="Male"/>
    <n v="2"/>
    <n v="4"/>
    <s v="Manager"/>
    <n v="4"/>
    <s v="Married"/>
    <n v="16792"/>
    <n v="9"/>
    <x v="1"/>
    <n v="23"/>
    <n v="4"/>
    <n v="4"/>
    <n v="1"/>
    <n v="22"/>
    <n v="1"/>
    <n v="3"/>
    <n v="20"/>
    <n v="8"/>
    <n v="11"/>
    <n v="8"/>
    <n v="0"/>
    <x v="0"/>
    <n v="3"/>
    <x v="3"/>
    <n v="4"/>
    <x v="3"/>
    <n v="4"/>
    <s v="College"/>
    <s v="Very High"/>
    <s v="Low"/>
    <s v="Better"/>
  </r>
  <r>
    <n v="37"/>
    <s v="No"/>
    <s v="Travel_Rarely"/>
    <s v="Research &amp; Development"/>
    <n v="21"/>
    <n v="3"/>
    <s v="Life Sciences"/>
    <n v="267"/>
    <n v="2"/>
    <s v="Male"/>
    <n v="4"/>
    <n v="1"/>
    <s v="Research Scientist"/>
    <n v="1"/>
    <s v="Married"/>
    <n v="3564"/>
    <n v="1"/>
    <x v="0"/>
    <n v="12"/>
    <n v="3"/>
    <n v="1"/>
    <n v="1"/>
    <n v="8"/>
    <n v="3"/>
    <n v="2"/>
    <n v="8"/>
    <n v="7"/>
    <n v="1"/>
    <n v="7"/>
    <n v="0"/>
    <x v="0"/>
    <n v="3"/>
    <x v="0"/>
    <n v="2"/>
    <x v="0"/>
    <n v="3"/>
    <s v="Bachelor"/>
    <s v="Low"/>
    <s v="Medium"/>
    <s v="Good"/>
  </r>
  <r>
    <n v="35"/>
    <s v="No"/>
    <s v="Travel_Frequently"/>
    <s v="Research &amp; Development"/>
    <n v="2"/>
    <n v="3"/>
    <s v="Medical"/>
    <n v="269"/>
    <n v="2"/>
    <s v="Female"/>
    <n v="3"/>
    <n v="2"/>
    <s v="Laboratory Technician"/>
    <n v="2"/>
    <s v="Single"/>
    <n v="4425"/>
    <n v="5"/>
    <x v="1"/>
    <n v="11"/>
    <n v="3"/>
    <n v="4"/>
    <n v="0"/>
    <n v="10"/>
    <n v="5"/>
    <n v="3"/>
    <n v="6"/>
    <n v="2"/>
    <n v="1"/>
    <n v="2"/>
    <n v="0"/>
    <x v="2"/>
    <n v="2"/>
    <x v="0"/>
    <n v="2"/>
    <x v="0"/>
    <n v="3"/>
    <s v="Bachelor"/>
    <s v="Medium"/>
    <s v="Medium"/>
    <s v="Better"/>
  </r>
  <r>
    <n v="42"/>
    <s v="No"/>
    <s v="Non-Travel"/>
    <s v="Research &amp; Development"/>
    <n v="21"/>
    <n v="2"/>
    <s v="Medical"/>
    <n v="270"/>
    <n v="3"/>
    <s v="Female"/>
    <n v="3"/>
    <n v="2"/>
    <s v="Manufacturing Director"/>
    <n v="3"/>
    <s v="Divorced"/>
    <n v="5265"/>
    <n v="2"/>
    <x v="1"/>
    <n v="16"/>
    <n v="3"/>
    <n v="2"/>
    <n v="1"/>
    <n v="11"/>
    <n v="5"/>
    <n v="3"/>
    <n v="5"/>
    <n v="3"/>
    <n v="0"/>
    <n v="2"/>
    <n v="0"/>
    <x v="0"/>
    <n v="3"/>
    <x v="0"/>
    <n v="2"/>
    <x v="2"/>
    <n v="2"/>
    <s v="College"/>
    <s v="High"/>
    <s v="High"/>
    <s v="Better"/>
  </r>
  <r>
    <n v="38"/>
    <s v="No"/>
    <s v="Travel_Rarely"/>
    <s v="Research &amp; Development"/>
    <n v="2"/>
    <n v="4"/>
    <s v="Life Sciences"/>
    <n v="271"/>
    <n v="4"/>
    <s v="Male"/>
    <n v="3"/>
    <n v="2"/>
    <s v="Manufacturing Director"/>
    <n v="3"/>
    <s v="Married"/>
    <n v="6553"/>
    <n v="9"/>
    <x v="1"/>
    <n v="14"/>
    <n v="3"/>
    <n v="2"/>
    <n v="0"/>
    <n v="14"/>
    <n v="3"/>
    <n v="3"/>
    <n v="1"/>
    <n v="0"/>
    <n v="0"/>
    <n v="0"/>
    <n v="0"/>
    <x v="0"/>
    <n v="3"/>
    <x v="2"/>
    <n v="3"/>
    <x v="1"/>
    <n v="1"/>
    <s v="Master"/>
    <s v="High"/>
    <s v="Very High"/>
    <s v="Better"/>
  </r>
  <r>
    <n v="38"/>
    <s v="No"/>
    <s v="Travel_Rarely"/>
    <s v="Research &amp; Development"/>
    <n v="29"/>
    <n v="3"/>
    <s v="Technical Degree"/>
    <n v="273"/>
    <n v="4"/>
    <s v="Male"/>
    <n v="3"/>
    <n v="2"/>
    <s v="Manufacturing Director"/>
    <n v="4"/>
    <s v="Married"/>
    <n v="6261"/>
    <n v="3"/>
    <x v="1"/>
    <n v="18"/>
    <n v="3"/>
    <n v="1"/>
    <n v="1"/>
    <n v="9"/>
    <n v="3"/>
    <n v="1"/>
    <n v="7"/>
    <n v="7"/>
    <n v="1"/>
    <n v="7"/>
    <n v="0"/>
    <x v="0"/>
    <n v="3"/>
    <x v="2"/>
    <n v="3"/>
    <x v="0"/>
    <n v="3"/>
    <s v="Bachelor"/>
    <s v="Very High"/>
    <s v="Very High"/>
    <s v="Bad"/>
  </r>
  <r>
    <n v="27"/>
    <s v="No"/>
    <s v="Travel_Frequently"/>
    <s v="Research &amp; Development"/>
    <n v="1"/>
    <n v="1"/>
    <s v="Technical Degree"/>
    <n v="274"/>
    <n v="3"/>
    <s v="Male"/>
    <n v="2"/>
    <n v="2"/>
    <s v="Manufacturing Director"/>
    <n v="1"/>
    <s v="Married"/>
    <n v="4298"/>
    <n v="5"/>
    <x v="1"/>
    <n v="19"/>
    <n v="3"/>
    <n v="3"/>
    <n v="1"/>
    <n v="6"/>
    <n v="1"/>
    <n v="3"/>
    <n v="2"/>
    <n v="2"/>
    <n v="2"/>
    <n v="0"/>
    <n v="0"/>
    <x v="2"/>
    <n v="2"/>
    <x v="0"/>
    <n v="2"/>
    <x v="1"/>
    <n v="1"/>
    <s v="Below College"/>
    <s v="Low"/>
    <s v="High"/>
    <s v="Better"/>
  </r>
  <r>
    <n v="49"/>
    <s v="No"/>
    <s v="Non-Travel"/>
    <s v="Research &amp; Development"/>
    <n v="18"/>
    <n v="4"/>
    <s v="Life Sciences"/>
    <n v="275"/>
    <n v="4"/>
    <s v="Male"/>
    <n v="3"/>
    <n v="2"/>
    <s v="Manufacturing Director"/>
    <n v="4"/>
    <s v="Divorced"/>
    <n v="6804"/>
    <n v="1"/>
    <x v="0"/>
    <n v="15"/>
    <n v="3"/>
    <n v="1"/>
    <n v="2"/>
    <n v="7"/>
    <n v="0"/>
    <n v="3"/>
    <n v="7"/>
    <n v="7"/>
    <n v="1"/>
    <n v="7"/>
    <n v="0"/>
    <x v="1"/>
    <n v="4"/>
    <x v="2"/>
    <n v="3"/>
    <x v="0"/>
    <n v="3"/>
    <s v="Master"/>
    <s v="Very High"/>
    <s v="Very High"/>
    <s v="Better"/>
  </r>
  <r>
    <n v="34"/>
    <s v="No"/>
    <s v="Travel_Frequently"/>
    <s v="Research &amp; Development"/>
    <n v="10"/>
    <n v="4"/>
    <s v="Medical"/>
    <n v="277"/>
    <n v="4"/>
    <s v="Male"/>
    <n v="3"/>
    <n v="1"/>
    <s v="Research Scientist"/>
    <n v="3"/>
    <s v="Divorced"/>
    <n v="3815"/>
    <n v="1"/>
    <x v="0"/>
    <n v="17"/>
    <n v="3"/>
    <n v="4"/>
    <n v="1"/>
    <n v="5"/>
    <n v="4"/>
    <n v="4"/>
    <n v="5"/>
    <n v="3"/>
    <n v="2"/>
    <n v="0"/>
    <n v="0"/>
    <x v="2"/>
    <n v="2"/>
    <x v="0"/>
    <n v="2"/>
    <x v="2"/>
    <n v="2"/>
    <s v="Master"/>
    <s v="High"/>
    <s v="Very High"/>
    <s v="Best"/>
  </r>
  <r>
    <n v="40"/>
    <s v="No"/>
    <s v="Travel_Rarely"/>
    <s v="Research &amp; Development"/>
    <n v="19"/>
    <n v="2"/>
    <s v="Medical"/>
    <n v="281"/>
    <n v="3"/>
    <s v="Male"/>
    <n v="3"/>
    <n v="2"/>
    <s v="Laboratory Technician"/>
    <n v="4"/>
    <s v="Married"/>
    <n v="2741"/>
    <n v="8"/>
    <x v="0"/>
    <n v="15"/>
    <n v="3"/>
    <n v="3"/>
    <n v="1"/>
    <n v="15"/>
    <n v="2"/>
    <n v="4"/>
    <n v="7"/>
    <n v="2"/>
    <n v="3"/>
    <n v="7"/>
    <n v="0"/>
    <x v="0"/>
    <n v="3"/>
    <x v="1"/>
    <n v="1"/>
    <x v="0"/>
    <n v="3"/>
    <s v="College"/>
    <s v="Very High"/>
    <s v="High"/>
    <s v="Best"/>
  </r>
  <r>
    <n v="38"/>
    <s v="Yes"/>
    <s v="Travel_Rarely"/>
    <s v="Research &amp; Development"/>
    <n v="29"/>
    <n v="1"/>
    <s v="Medical"/>
    <n v="282"/>
    <n v="2"/>
    <s v="Male"/>
    <n v="3"/>
    <n v="2"/>
    <s v="Healthcare Representative"/>
    <n v="1"/>
    <s v="Married"/>
    <n v="6673"/>
    <n v="7"/>
    <x v="0"/>
    <n v="19"/>
    <n v="3"/>
    <n v="2"/>
    <n v="0"/>
    <n v="17"/>
    <n v="2"/>
    <n v="3"/>
    <n v="1"/>
    <n v="0"/>
    <n v="0"/>
    <n v="0"/>
    <n v="1"/>
    <x v="0"/>
    <n v="3"/>
    <x v="2"/>
    <n v="3"/>
    <x v="1"/>
    <n v="1"/>
    <s v="Below College"/>
    <s v="Low"/>
    <s v="Medium"/>
    <s v="Better"/>
  </r>
  <r>
    <n v="29"/>
    <s v="Yes"/>
    <s v="Travel_Rarely"/>
    <s v="Sales"/>
    <n v="27"/>
    <n v="3"/>
    <s v="Marketing"/>
    <n v="283"/>
    <n v="2"/>
    <s v="Female"/>
    <n v="3"/>
    <n v="3"/>
    <s v="Sales Executive"/>
    <n v="4"/>
    <s v="Married"/>
    <n v="7639"/>
    <n v="1"/>
    <x v="1"/>
    <n v="22"/>
    <n v="4"/>
    <n v="4"/>
    <n v="3"/>
    <n v="10"/>
    <n v="3"/>
    <n v="2"/>
    <n v="10"/>
    <n v="4"/>
    <n v="1"/>
    <n v="9"/>
    <n v="1"/>
    <x v="2"/>
    <n v="2"/>
    <x v="2"/>
    <n v="3"/>
    <x v="0"/>
    <n v="3"/>
    <s v="Bachelor"/>
    <s v="Very High"/>
    <s v="Medium"/>
    <s v="Good"/>
  </r>
  <r>
    <n v="22"/>
    <s v="No"/>
    <s v="Travel_Rarely"/>
    <s v="Research &amp; Development"/>
    <n v="5"/>
    <n v="3"/>
    <s v="Life Sciences"/>
    <n v="284"/>
    <n v="4"/>
    <s v="Male"/>
    <n v="4"/>
    <n v="1"/>
    <s v="Research Scientist"/>
    <n v="2"/>
    <s v="Divorced"/>
    <n v="2328"/>
    <n v="1"/>
    <x v="0"/>
    <n v="16"/>
    <n v="3"/>
    <n v="1"/>
    <n v="1"/>
    <n v="4"/>
    <n v="2"/>
    <n v="2"/>
    <n v="4"/>
    <n v="2"/>
    <n v="2"/>
    <n v="2"/>
    <n v="0"/>
    <x v="4"/>
    <n v="1"/>
    <x v="1"/>
    <n v="1"/>
    <x v="2"/>
    <n v="2"/>
    <s v="Bachelor"/>
    <s v="Medium"/>
    <s v="Very High"/>
    <s v="Good"/>
  </r>
  <r>
    <n v="36"/>
    <s v="No"/>
    <s v="Travel_Frequently"/>
    <s v="Research &amp; Development"/>
    <n v="18"/>
    <n v="1"/>
    <s v="Medical"/>
    <n v="286"/>
    <n v="2"/>
    <s v="Female"/>
    <n v="3"/>
    <n v="1"/>
    <s v="Laboratory Technician"/>
    <n v="4"/>
    <s v="Single"/>
    <n v="2153"/>
    <n v="1"/>
    <x v="1"/>
    <n v="13"/>
    <n v="3"/>
    <n v="1"/>
    <n v="0"/>
    <n v="8"/>
    <n v="2"/>
    <n v="3"/>
    <n v="8"/>
    <n v="1"/>
    <n v="1"/>
    <n v="7"/>
    <n v="0"/>
    <x v="0"/>
    <n v="3"/>
    <x v="1"/>
    <n v="1"/>
    <x v="0"/>
    <n v="3"/>
    <s v="Below College"/>
    <s v="Very High"/>
    <s v="Medium"/>
    <s v="Better"/>
  </r>
  <r>
    <n v="40"/>
    <s v="No"/>
    <s v="Non-Travel"/>
    <s v="Research &amp; Development"/>
    <n v="9"/>
    <n v="5"/>
    <s v="Life Sciences"/>
    <n v="287"/>
    <n v="4"/>
    <s v="Male"/>
    <n v="2"/>
    <n v="2"/>
    <s v="Healthcare Representative"/>
    <n v="4"/>
    <s v="Married"/>
    <n v="4876"/>
    <n v="9"/>
    <x v="1"/>
    <n v="14"/>
    <n v="3"/>
    <n v="4"/>
    <n v="1"/>
    <n v="5"/>
    <n v="5"/>
    <n v="1"/>
    <n v="3"/>
    <n v="2"/>
    <n v="0"/>
    <n v="2"/>
    <n v="0"/>
    <x v="0"/>
    <n v="3"/>
    <x v="0"/>
    <n v="2"/>
    <x v="2"/>
    <n v="2"/>
    <s v="Doctor"/>
    <s v="Very High"/>
    <s v="Very High"/>
    <s v="Bad"/>
  </r>
  <r>
    <n v="46"/>
    <s v="No"/>
    <s v="Travel_Rarely"/>
    <s v="Research &amp; Development"/>
    <n v="1"/>
    <n v="4"/>
    <s v="Medical"/>
    <n v="288"/>
    <n v="4"/>
    <s v="Male"/>
    <n v="3"/>
    <n v="3"/>
    <s v="Healthcare Representative"/>
    <n v="1"/>
    <s v="Divorced"/>
    <n v="9396"/>
    <n v="7"/>
    <x v="1"/>
    <n v="16"/>
    <n v="3"/>
    <n v="3"/>
    <n v="1"/>
    <n v="17"/>
    <n v="3"/>
    <n v="3"/>
    <n v="4"/>
    <n v="2"/>
    <n v="0"/>
    <n v="3"/>
    <n v="0"/>
    <x v="1"/>
    <n v="4"/>
    <x v="2"/>
    <n v="3"/>
    <x v="2"/>
    <n v="2"/>
    <s v="Master"/>
    <s v="Low"/>
    <s v="Very High"/>
    <s v="Better"/>
  </r>
  <r>
    <n v="32"/>
    <s v="Yes"/>
    <s v="Travel_Rarely"/>
    <s v="Sales"/>
    <n v="4"/>
    <n v="4"/>
    <s v="Medical"/>
    <n v="291"/>
    <n v="4"/>
    <s v="Male"/>
    <n v="1"/>
    <n v="3"/>
    <s v="Sales Executive"/>
    <n v="4"/>
    <s v="Married"/>
    <n v="10400"/>
    <n v="1"/>
    <x v="1"/>
    <n v="11"/>
    <n v="3"/>
    <n v="3"/>
    <n v="0"/>
    <n v="14"/>
    <n v="2"/>
    <n v="2"/>
    <n v="14"/>
    <n v="8"/>
    <n v="9"/>
    <n v="8"/>
    <n v="1"/>
    <x v="2"/>
    <n v="2"/>
    <x v="3"/>
    <n v="4"/>
    <x v="3"/>
    <n v="4"/>
    <s v="Master"/>
    <s v="Very High"/>
    <s v="Very High"/>
    <s v="Good"/>
  </r>
  <r>
    <n v="30"/>
    <s v="No"/>
    <s v="Non-Travel"/>
    <s v="Research &amp; Development"/>
    <n v="1"/>
    <n v="1"/>
    <s v="Life Sciences"/>
    <n v="292"/>
    <n v="3"/>
    <s v="Male"/>
    <n v="2"/>
    <n v="3"/>
    <s v="Manufacturing Director"/>
    <n v="3"/>
    <s v="Single"/>
    <n v="8474"/>
    <n v="1"/>
    <x v="1"/>
    <n v="22"/>
    <n v="4"/>
    <n v="3"/>
    <n v="0"/>
    <n v="12"/>
    <n v="2"/>
    <n v="3"/>
    <n v="11"/>
    <n v="8"/>
    <n v="5"/>
    <n v="8"/>
    <n v="0"/>
    <x v="2"/>
    <n v="2"/>
    <x v="2"/>
    <n v="3"/>
    <x v="3"/>
    <n v="4"/>
    <s v="Below College"/>
    <s v="High"/>
    <s v="High"/>
    <s v="Better"/>
  </r>
  <r>
    <n v="27"/>
    <s v="No"/>
    <s v="Travel_Frequently"/>
    <s v="Sales"/>
    <n v="20"/>
    <n v="3"/>
    <s v="Life Sciences"/>
    <n v="293"/>
    <n v="4"/>
    <s v="Female"/>
    <n v="3"/>
    <n v="2"/>
    <s v="Sales Executive"/>
    <n v="3"/>
    <s v="Single"/>
    <n v="9981"/>
    <n v="1"/>
    <x v="1"/>
    <n v="14"/>
    <n v="3"/>
    <n v="4"/>
    <n v="0"/>
    <n v="7"/>
    <n v="2"/>
    <n v="3"/>
    <n v="7"/>
    <n v="7"/>
    <n v="0"/>
    <n v="7"/>
    <n v="0"/>
    <x v="2"/>
    <n v="2"/>
    <x v="2"/>
    <n v="3"/>
    <x v="0"/>
    <n v="3"/>
    <s v="Bachelor"/>
    <s v="High"/>
    <s v="Very High"/>
    <s v="Better"/>
  </r>
  <r>
    <n v="51"/>
    <s v="No"/>
    <s v="Travel_Rarely"/>
    <s v="Research &amp; Development"/>
    <n v="8"/>
    <n v="4"/>
    <s v="Life Sciences"/>
    <n v="296"/>
    <n v="2"/>
    <s v="Male"/>
    <n v="2"/>
    <n v="3"/>
    <s v="Research Director"/>
    <n v="2"/>
    <s v="Married"/>
    <n v="12490"/>
    <n v="5"/>
    <x v="1"/>
    <n v="16"/>
    <n v="3"/>
    <n v="4"/>
    <n v="2"/>
    <n v="16"/>
    <n v="5"/>
    <n v="1"/>
    <n v="10"/>
    <n v="9"/>
    <n v="4"/>
    <n v="7"/>
    <n v="0"/>
    <x v="1"/>
    <n v="4"/>
    <x v="3"/>
    <n v="4"/>
    <x v="0"/>
    <n v="3"/>
    <s v="Master"/>
    <s v="Medium"/>
    <s v="Medium"/>
    <s v="Bad"/>
  </r>
  <r>
    <n v="30"/>
    <s v="Yes"/>
    <s v="Travel_Rarely"/>
    <s v="Research &amp; Development"/>
    <n v="3"/>
    <n v="3"/>
    <s v="Technical Degree"/>
    <n v="297"/>
    <n v="4"/>
    <s v="Female"/>
    <n v="3"/>
    <n v="1"/>
    <s v="Research Scientist"/>
    <n v="1"/>
    <s v="Single"/>
    <n v="2657"/>
    <n v="5"/>
    <x v="0"/>
    <n v="11"/>
    <n v="3"/>
    <n v="3"/>
    <n v="0"/>
    <n v="8"/>
    <n v="5"/>
    <n v="3"/>
    <n v="5"/>
    <n v="2"/>
    <n v="0"/>
    <n v="4"/>
    <n v="1"/>
    <x v="2"/>
    <n v="2"/>
    <x v="1"/>
    <n v="1"/>
    <x v="2"/>
    <n v="2"/>
    <s v="Bachelor"/>
    <s v="Low"/>
    <s v="Very High"/>
    <s v="Better"/>
  </r>
  <r>
    <n v="41"/>
    <s v="No"/>
    <s v="Travel_Rarely"/>
    <s v="Sales"/>
    <n v="6"/>
    <n v="3"/>
    <s v="Life Sciences"/>
    <n v="298"/>
    <n v="4"/>
    <s v="Female"/>
    <n v="3"/>
    <n v="3"/>
    <s v="Manager"/>
    <n v="4"/>
    <s v="Single"/>
    <n v="13591"/>
    <n v="3"/>
    <x v="0"/>
    <n v="18"/>
    <n v="3"/>
    <n v="3"/>
    <n v="0"/>
    <n v="16"/>
    <n v="3"/>
    <n v="3"/>
    <n v="1"/>
    <n v="0"/>
    <n v="0"/>
    <n v="0"/>
    <n v="0"/>
    <x v="0"/>
    <n v="3"/>
    <x v="3"/>
    <n v="4"/>
    <x v="1"/>
    <n v="1"/>
    <s v="Bachelor"/>
    <s v="Very High"/>
    <s v="Very High"/>
    <s v="Better"/>
  </r>
  <r>
    <n v="30"/>
    <s v="Yes"/>
    <s v="Travel_Frequently"/>
    <s v="Sales"/>
    <n v="26"/>
    <n v="4"/>
    <s v="Marketing"/>
    <n v="299"/>
    <n v="3"/>
    <s v="Female"/>
    <n v="2"/>
    <n v="2"/>
    <s v="Sales Executive"/>
    <n v="1"/>
    <s v="Single"/>
    <n v="6696"/>
    <n v="5"/>
    <x v="1"/>
    <n v="15"/>
    <n v="3"/>
    <n v="3"/>
    <n v="0"/>
    <n v="9"/>
    <n v="5"/>
    <n v="2"/>
    <n v="6"/>
    <n v="3"/>
    <n v="0"/>
    <n v="1"/>
    <n v="1"/>
    <x v="2"/>
    <n v="2"/>
    <x v="2"/>
    <n v="3"/>
    <x v="0"/>
    <n v="3"/>
    <s v="Master"/>
    <s v="Low"/>
    <s v="High"/>
    <s v="Good"/>
  </r>
  <r>
    <n v="29"/>
    <s v="Yes"/>
    <s v="Travel_Rarely"/>
    <s v="Research &amp; Development"/>
    <n v="1"/>
    <n v="3"/>
    <s v="Technical Degree"/>
    <n v="300"/>
    <n v="3"/>
    <s v="Male"/>
    <n v="3"/>
    <n v="1"/>
    <s v="Research Scientist"/>
    <n v="3"/>
    <s v="Single"/>
    <n v="2058"/>
    <n v="0"/>
    <x v="1"/>
    <n v="14"/>
    <n v="3"/>
    <n v="4"/>
    <n v="0"/>
    <n v="7"/>
    <n v="1"/>
    <n v="2"/>
    <n v="6"/>
    <n v="2"/>
    <n v="1"/>
    <n v="5"/>
    <n v="1"/>
    <x v="2"/>
    <n v="2"/>
    <x v="1"/>
    <n v="1"/>
    <x v="0"/>
    <n v="3"/>
    <s v="Bachelor"/>
    <s v="High"/>
    <s v="High"/>
    <s v="Good"/>
  </r>
  <r>
    <n v="45"/>
    <s v="No"/>
    <s v="Non-Travel"/>
    <s v="Sales"/>
    <n v="6"/>
    <n v="3"/>
    <s v="Medical"/>
    <n v="302"/>
    <n v="4"/>
    <s v="Female"/>
    <n v="2"/>
    <n v="3"/>
    <s v="Sales Executive"/>
    <n v="4"/>
    <s v="Single"/>
    <n v="8865"/>
    <n v="6"/>
    <x v="1"/>
    <n v="12"/>
    <n v="3"/>
    <n v="4"/>
    <n v="0"/>
    <n v="23"/>
    <n v="2"/>
    <n v="3"/>
    <n v="19"/>
    <n v="7"/>
    <n v="12"/>
    <n v="8"/>
    <n v="0"/>
    <x v="0"/>
    <n v="3"/>
    <x v="2"/>
    <n v="3"/>
    <x v="3"/>
    <n v="4"/>
    <s v="Bachelor"/>
    <s v="Very High"/>
    <s v="Very High"/>
    <s v="Better"/>
  </r>
  <r>
    <n v="54"/>
    <s v="No"/>
    <s v="Travel_Rarely"/>
    <s v="Sales"/>
    <n v="3"/>
    <n v="3"/>
    <s v="Marketing"/>
    <n v="303"/>
    <n v="4"/>
    <s v="Female"/>
    <n v="3"/>
    <n v="2"/>
    <s v="Sales Executive"/>
    <n v="1"/>
    <s v="Married"/>
    <n v="5940"/>
    <n v="2"/>
    <x v="1"/>
    <n v="14"/>
    <n v="3"/>
    <n v="4"/>
    <n v="1"/>
    <n v="16"/>
    <n v="4"/>
    <n v="3"/>
    <n v="6"/>
    <n v="2"/>
    <n v="0"/>
    <n v="5"/>
    <n v="0"/>
    <x v="1"/>
    <n v="4"/>
    <x v="0"/>
    <n v="2"/>
    <x v="0"/>
    <n v="3"/>
    <s v="Bachelor"/>
    <s v="Low"/>
    <s v="Very High"/>
    <s v="Better"/>
  </r>
  <r>
    <n v="36"/>
    <s v="No"/>
    <s v="Travel_Rarely"/>
    <s v="Research &amp; Development"/>
    <n v="5"/>
    <n v="2"/>
    <s v="Life Sciences"/>
    <n v="304"/>
    <n v="4"/>
    <s v="Male"/>
    <n v="3"/>
    <n v="2"/>
    <s v="Laboratory Technician"/>
    <n v="2"/>
    <s v="Single"/>
    <n v="5914"/>
    <n v="8"/>
    <x v="1"/>
    <n v="16"/>
    <n v="3"/>
    <n v="4"/>
    <n v="0"/>
    <n v="16"/>
    <n v="3"/>
    <n v="4"/>
    <n v="13"/>
    <n v="11"/>
    <n v="3"/>
    <n v="7"/>
    <n v="0"/>
    <x v="0"/>
    <n v="3"/>
    <x v="0"/>
    <n v="2"/>
    <x v="3"/>
    <n v="4"/>
    <s v="College"/>
    <s v="Medium"/>
    <s v="Very High"/>
    <s v="Best"/>
  </r>
  <r>
    <n v="33"/>
    <s v="No"/>
    <s v="Travel_Rarely"/>
    <s v="Research &amp; Development"/>
    <n v="4"/>
    <n v="4"/>
    <s v="Medical"/>
    <n v="305"/>
    <n v="3"/>
    <s v="Female"/>
    <n v="2"/>
    <n v="1"/>
    <s v="Research Scientist"/>
    <n v="2"/>
    <s v="Married"/>
    <n v="2622"/>
    <n v="6"/>
    <x v="1"/>
    <n v="21"/>
    <n v="4"/>
    <n v="4"/>
    <n v="0"/>
    <n v="7"/>
    <n v="3"/>
    <n v="3"/>
    <n v="3"/>
    <n v="2"/>
    <n v="1"/>
    <n v="1"/>
    <n v="0"/>
    <x v="2"/>
    <n v="2"/>
    <x v="1"/>
    <n v="1"/>
    <x v="2"/>
    <n v="2"/>
    <s v="Master"/>
    <s v="Medium"/>
    <s v="High"/>
    <s v="Better"/>
  </r>
  <r>
    <n v="37"/>
    <s v="No"/>
    <s v="Travel_Frequently"/>
    <s v="Research &amp; Development"/>
    <n v="11"/>
    <n v="3"/>
    <s v="Other"/>
    <n v="306"/>
    <n v="2"/>
    <s v="Male"/>
    <n v="3"/>
    <n v="3"/>
    <s v="Research Director"/>
    <n v="4"/>
    <s v="Divorced"/>
    <n v="12185"/>
    <n v="1"/>
    <x v="0"/>
    <n v="14"/>
    <n v="3"/>
    <n v="3"/>
    <n v="3"/>
    <n v="10"/>
    <n v="1"/>
    <n v="3"/>
    <n v="10"/>
    <n v="8"/>
    <n v="0"/>
    <n v="7"/>
    <n v="0"/>
    <x v="0"/>
    <n v="3"/>
    <x v="3"/>
    <n v="4"/>
    <x v="0"/>
    <n v="3"/>
    <s v="Bachelor"/>
    <s v="Very High"/>
    <s v="Medium"/>
    <s v="Better"/>
  </r>
  <r>
    <n v="38"/>
    <s v="No"/>
    <s v="Travel_Rarely"/>
    <s v="Sales"/>
    <n v="3"/>
    <n v="3"/>
    <s v="Life Sciences"/>
    <n v="307"/>
    <n v="1"/>
    <s v="Male"/>
    <n v="3"/>
    <n v="3"/>
    <s v="Sales Executive"/>
    <n v="3"/>
    <s v="Divorced"/>
    <n v="10609"/>
    <n v="0"/>
    <x v="1"/>
    <n v="12"/>
    <n v="3"/>
    <n v="3"/>
    <n v="2"/>
    <n v="17"/>
    <n v="6"/>
    <n v="2"/>
    <n v="16"/>
    <n v="10"/>
    <n v="5"/>
    <n v="13"/>
    <n v="0"/>
    <x v="0"/>
    <n v="3"/>
    <x v="3"/>
    <n v="4"/>
    <x v="3"/>
    <n v="4"/>
    <s v="Bachelor"/>
    <s v="High"/>
    <s v="Low"/>
    <s v="Good"/>
  </r>
  <r>
    <n v="31"/>
    <s v="No"/>
    <s v="Non-Travel"/>
    <s v="Research &amp; Development"/>
    <n v="1"/>
    <n v="4"/>
    <s v="Medical"/>
    <n v="308"/>
    <n v="3"/>
    <s v="Male"/>
    <n v="1"/>
    <n v="2"/>
    <s v="Manufacturing Director"/>
    <n v="3"/>
    <s v="Married"/>
    <n v="4345"/>
    <n v="0"/>
    <x v="1"/>
    <n v="12"/>
    <n v="3"/>
    <n v="4"/>
    <n v="1"/>
    <n v="6"/>
    <n v="2"/>
    <n v="3"/>
    <n v="5"/>
    <n v="4"/>
    <n v="1"/>
    <n v="4"/>
    <n v="0"/>
    <x v="2"/>
    <n v="2"/>
    <x v="0"/>
    <n v="2"/>
    <x v="2"/>
    <n v="2"/>
    <s v="Master"/>
    <s v="High"/>
    <s v="High"/>
    <s v="Better"/>
  </r>
  <r>
    <n v="59"/>
    <s v="No"/>
    <s v="Travel_Rarely"/>
    <s v="Research &amp; Development"/>
    <n v="3"/>
    <n v="3"/>
    <s v="Life Sciences"/>
    <n v="309"/>
    <n v="3"/>
    <s v="Male"/>
    <n v="2"/>
    <n v="1"/>
    <s v="Research Scientist"/>
    <n v="4"/>
    <s v="Married"/>
    <n v="2177"/>
    <n v="3"/>
    <x v="1"/>
    <n v="17"/>
    <n v="3"/>
    <n v="1"/>
    <n v="1"/>
    <n v="7"/>
    <n v="6"/>
    <n v="3"/>
    <n v="1"/>
    <n v="0"/>
    <n v="0"/>
    <n v="0"/>
    <n v="0"/>
    <x v="3"/>
    <n v="5"/>
    <x v="1"/>
    <n v="1"/>
    <x v="1"/>
    <n v="1"/>
    <s v="Bachelor"/>
    <s v="Very High"/>
    <s v="High"/>
    <s v="Better"/>
  </r>
  <r>
    <n v="37"/>
    <s v="No"/>
    <s v="Travel_Frequently"/>
    <s v="Sales"/>
    <n v="4"/>
    <n v="4"/>
    <s v="Marketing"/>
    <n v="311"/>
    <n v="1"/>
    <s v="Male"/>
    <n v="3"/>
    <n v="1"/>
    <s v="Sales Representative"/>
    <n v="4"/>
    <s v="Divorced"/>
    <n v="2793"/>
    <n v="4"/>
    <x v="1"/>
    <n v="17"/>
    <n v="3"/>
    <n v="3"/>
    <n v="1"/>
    <n v="13"/>
    <n v="2"/>
    <n v="3"/>
    <n v="9"/>
    <n v="8"/>
    <n v="5"/>
    <n v="8"/>
    <n v="0"/>
    <x v="0"/>
    <n v="3"/>
    <x v="1"/>
    <n v="1"/>
    <x v="0"/>
    <n v="3"/>
    <s v="Master"/>
    <s v="Very High"/>
    <s v="Low"/>
    <s v="Better"/>
  </r>
  <r>
    <n v="29"/>
    <s v="No"/>
    <s v="Travel_Frequently"/>
    <s v="Sales"/>
    <n v="1"/>
    <n v="1"/>
    <s v="Medical"/>
    <n v="312"/>
    <n v="2"/>
    <s v="Female"/>
    <n v="3"/>
    <n v="3"/>
    <s v="Sales Executive"/>
    <n v="4"/>
    <s v="Married"/>
    <n v="7918"/>
    <n v="1"/>
    <x v="1"/>
    <n v="14"/>
    <n v="3"/>
    <n v="4"/>
    <n v="1"/>
    <n v="11"/>
    <n v="5"/>
    <n v="3"/>
    <n v="11"/>
    <n v="10"/>
    <n v="4"/>
    <n v="1"/>
    <n v="0"/>
    <x v="2"/>
    <n v="2"/>
    <x v="2"/>
    <n v="3"/>
    <x v="3"/>
    <n v="4"/>
    <s v="Below College"/>
    <s v="Very High"/>
    <s v="Medium"/>
    <s v="Better"/>
  </r>
  <r>
    <n v="35"/>
    <s v="No"/>
    <s v="Travel_Frequently"/>
    <s v="Sales"/>
    <n v="1"/>
    <n v="3"/>
    <s v="Marketing"/>
    <n v="314"/>
    <n v="3"/>
    <s v="Female"/>
    <n v="3"/>
    <n v="3"/>
    <s v="Sales Executive"/>
    <n v="3"/>
    <s v="Single"/>
    <n v="8789"/>
    <n v="1"/>
    <x v="1"/>
    <n v="14"/>
    <n v="3"/>
    <n v="1"/>
    <n v="0"/>
    <n v="10"/>
    <n v="3"/>
    <n v="4"/>
    <n v="10"/>
    <n v="7"/>
    <n v="0"/>
    <n v="8"/>
    <n v="0"/>
    <x v="2"/>
    <n v="2"/>
    <x v="2"/>
    <n v="3"/>
    <x v="0"/>
    <n v="3"/>
    <s v="Bachelor"/>
    <s v="High"/>
    <s v="High"/>
    <s v="Best"/>
  </r>
  <r>
    <n v="29"/>
    <s v="Yes"/>
    <s v="Travel_Rarely"/>
    <s v="Research &amp; Development"/>
    <n v="18"/>
    <n v="1"/>
    <s v="Medical"/>
    <n v="315"/>
    <n v="3"/>
    <s v="Male"/>
    <n v="2"/>
    <n v="1"/>
    <s v="Research Scientist"/>
    <n v="4"/>
    <s v="Single"/>
    <n v="2389"/>
    <n v="1"/>
    <x v="0"/>
    <n v="13"/>
    <n v="3"/>
    <n v="3"/>
    <n v="0"/>
    <n v="4"/>
    <n v="3"/>
    <n v="2"/>
    <n v="4"/>
    <n v="3"/>
    <n v="0"/>
    <n v="1"/>
    <n v="1"/>
    <x v="2"/>
    <n v="2"/>
    <x v="1"/>
    <n v="1"/>
    <x v="2"/>
    <n v="2"/>
    <s v="Below College"/>
    <s v="Very High"/>
    <s v="High"/>
    <s v="Good"/>
  </r>
  <r>
    <n v="52"/>
    <s v="No"/>
    <s v="Travel_Rarely"/>
    <s v="Research &amp; Development"/>
    <n v="2"/>
    <n v="3"/>
    <s v="Life Sciences"/>
    <n v="316"/>
    <n v="3"/>
    <s v="Female"/>
    <n v="2"/>
    <n v="1"/>
    <s v="Laboratory Technician"/>
    <n v="4"/>
    <s v="Single"/>
    <n v="3212"/>
    <n v="7"/>
    <x v="1"/>
    <n v="15"/>
    <n v="3"/>
    <n v="2"/>
    <n v="0"/>
    <n v="6"/>
    <n v="3"/>
    <n v="2"/>
    <n v="2"/>
    <n v="2"/>
    <n v="2"/>
    <n v="2"/>
    <n v="0"/>
    <x v="1"/>
    <n v="4"/>
    <x v="0"/>
    <n v="2"/>
    <x v="1"/>
    <n v="1"/>
    <s v="Bachelor"/>
    <s v="Very High"/>
    <s v="High"/>
    <s v="Good"/>
  </r>
  <r>
    <n v="42"/>
    <s v="No"/>
    <s v="Travel_Rarely"/>
    <s v="Research &amp; Development"/>
    <n v="4"/>
    <n v="2"/>
    <s v="Technical Degree"/>
    <n v="319"/>
    <n v="3"/>
    <s v="Male"/>
    <n v="3"/>
    <n v="5"/>
    <s v="Manager"/>
    <n v="4"/>
    <s v="Married"/>
    <n v="19232"/>
    <n v="1"/>
    <x v="1"/>
    <n v="11"/>
    <n v="3"/>
    <n v="4"/>
    <n v="0"/>
    <n v="22"/>
    <n v="3"/>
    <n v="3"/>
    <n v="22"/>
    <n v="17"/>
    <n v="11"/>
    <n v="15"/>
    <n v="0"/>
    <x v="0"/>
    <n v="3"/>
    <x v="3"/>
    <n v="4"/>
    <x v="3"/>
    <n v="4"/>
    <s v="College"/>
    <s v="Very High"/>
    <s v="High"/>
    <s v="Better"/>
  </r>
  <r>
    <n v="59"/>
    <s v="No"/>
    <s v="Travel_Rarely"/>
    <s v="Human Resources"/>
    <n v="6"/>
    <n v="2"/>
    <s v="Medical"/>
    <n v="321"/>
    <n v="2"/>
    <s v="Male"/>
    <n v="3"/>
    <n v="1"/>
    <s v="Human Resources"/>
    <n v="3"/>
    <s v="Married"/>
    <n v="2267"/>
    <n v="8"/>
    <x v="1"/>
    <n v="17"/>
    <n v="3"/>
    <n v="4"/>
    <n v="0"/>
    <n v="7"/>
    <n v="2"/>
    <n v="2"/>
    <n v="2"/>
    <n v="2"/>
    <n v="2"/>
    <n v="2"/>
    <n v="0"/>
    <x v="3"/>
    <n v="5"/>
    <x v="1"/>
    <n v="1"/>
    <x v="1"/>
    <n v="1"/>
    <s v="College"/>
    <s v="High"/>
    <s v="Medium"/>
    <s v="Good"/>
  </r>
  <r>
    <n v="50"/>
    <s v="No"/>
    <s v="Travel_Rarely"/>
    <s v="Sales"/>
    <n v="1"/>
    <n v="4"/>
    <s v="Medical"/>
    <n v="323"/>
    <n v="4"/>
    <s v="Female"/>
    <n v="3"/>
    <n v="5"/>
    <s v="Manager"/>
    <n v="4"/>
    <s v="Divorced"/>
    <n v="19517"/>
    <n v="3"/>
    <x v="1"/>
    <n v="11"/>
    <n v="3"/>
    <n v="3"/>
    <n v="1"/>
    <n v="32"/>
    <n v="3"/>
    <n v="2"/>
    <n v="7"/>
    <n v="0"/>
    <n v="0"/>
    <n v="6"/>
    <n v="0"/>
    <x v="1"/>
    <n v="4"/>
    <x v="3"/>
    <n v="4"/>
    <x v="0"/>
    <n v="3"/>
    <s v="Master"/>
    <s v="Very High"/>
    <s v="Very High"/>
    <s v="Good"/>
  </r>
  <r>
    <n v="33"/>
    <s v="Yes"/>
    <s v="Travel_Rarely"/>
    <s v="Research &amp; Development"/>
    <n v="14"/>
    <n v="3"/>
    <s v="Medical"/>
    <n v="325"/>
    <n v="3"/>
    <s v="Male"/>
    <n v="3"/>
    <n v="1"/>
    <s v="Laboratory Technician"/>
    <n v="4"/>
    <s v="Married"/>
    <n v="2436"/>
    <n v="5"/>
    <x v="0"/>
    <n v="13"/>
    <n v="3"/>
    <n v="3"/>
    <n v="1"/>
    <n v="8"/>
    <n v="2"/>
    <n v="1"/>
    <n v="5"/>
    <n v="4"/>
    <n v="0"/>
    <n v="4"/>
    <n v="1"/>
    <x v="2"/>
    <n v="2"/>
    <x v="1"/>
    <n v="1"/>
    <x v="2"/>
    <n v="2"/>
    <s v="Bachelor"/>
    <s v="Very High"/>
    <s v="High"/>
    <s v="Bad"/>
  </r>
  <r>
    <n v="43"/>
    <s v="No"/>
    <s v="Travel_Rarely"/>
    <s v="Sales"/>
    <n v="16"/>
    <n v="3"/>
    <s v="Marketing"/>
    <n v="327"/>
    <n v="4"/>
    <s v="Female"/>
    <n v="3"/>
    <n v="4"/>
    <s v="Manager"/>
    <n v="4"/>
    <s v="Married"/>
    <n v="16064"/>
    <n v="5"/>
    <x v="0"/>
    <n v="22"/>
    <n v="4"/>
    <n v="3"/>
    <n v="1"/>
    <n v="22"/>
    <n v="3"/>
    <n v="3"/>
    <n v="17"/>
    <n v="13"/>
    <n v="1"/>
    <n v="9"/>
    <n v="0"/>
    <x v="0"/>
    <n v="3"/>
    <x v="3"/>
    <n v="4"/>
    <x v="3"/>
    <n v="4"/>
    <s v="Bachelor"/>
    <s v="Very High"/>
    <s v="Very High"/>
    <s v="Better"/>
  </r>
  <r>
    <n v="33"/>
    <s v="Yes"/>
    <s v="Travel_Rarely"/>
    <s v="Research &amp; Development"/>
    <n v="2"/>
    <n v="2"/>
    <s v="Life Sciences"/>
    <n v="328"/>
    <n v="1"/>
    <s v="Female"/>
    <n v="3"/>
    <n v="1"/>
    <s v="Laboratory Technician"/>
    <n v="1"/>
    <s v="Married"/>
    <n v="2707"/>
    <n v="7"/>
    <x v="1"/>
    <n v="20"/>
    <n v="4"/>
    <n v="1"/>
    <n v="0"/>
    <n v="13"/>
    <n v="3"/>
    <n v="4"/>
    <n v="9"/>
    <n v="7"/>
    <n v="1"/>
    <n v="7"/>
    <n v="1"/>
    <x v="2"/>
    <n v="2"/>
    <x v="1"/>
    <n v="1"/>
    <x v="0"/>
    <n v="3"/>
    <s v="College"/>
    <s v="Low"/>
    <s v="Low"/>
    <s v="Best"/>
  </r>
  <r>
    <n v="52"/>
    <s v="No"/>
    <s v="Non-Travel"/>
    <s v="Sales"/>
    <n v="2"/>
    <n v="4"/>
    <s v="Life Sciences"/>
    <n v="329"/>
    <n v="1"/>
    <s v="Male"/>
    <n v="2"/>
    <n v="5"/>
    <s v="Manager"/>
    <n v="3"/>
    <s v="Single"/>
    <n v="19068"/>
    <n v="1"/>
    <x v="0"/>
    <n v="18"/>
    <n v="3"/>
    <n v="4"/>
    <n v="0"/>
    <n v="33"/>
    <n v="2"/>
    <n v="4"/>
    <n v="33"/>
    <n v="7"/>
    <n v="15"/>
    <n v="12"/>
    <n v="0"/>
    <x v="1"/>
    <n v="4"/>
    <x v="3"/>
    <n v="4"/>
    <x v="3"/>
    <n v="4"/>
    <s v="Master"/>
    <s v="High"/>
    <s v="Low"/>
    <s v="Best"/>
  </r>
  <r>
    <n v="32"/>
    <s v="No"/>
    <s v="Travel_Rarely"/>
    <s v="Sales"/>
    <n v="4"/>
    <n v="2"/>
    <s v="Life Sciences"/>
    <n v="330"/>
    <n v="3"/>
    <s v="Female"/>
    <n v="3"/>
    <n v="1"/>
    <s v="Sales Representative"/>
    <n v="2"/>
    <s v="Married"/>
    <n v="3931"/>
    <n v="2"/>
    <x v="1"/>
    <n v="11"/>
    <n v="3"/>
    <n v="1"/>
    <n v="1"/>
    <n v="6"/>
    <n v="5"/>
    <n v="3"/>
    <n v="4"/>
    <n v="3"/>
    <n v="1"/>
    <n v="2"/>
    <n v="0"/>
    <x v="2"/>
    <n v="2"/>
    <x v="0"/>
    <n v="2"/>
    <x v="2"/>
    <n v="2"/>
    <s v="College"/>
    <s v="Medium"/>
    <s v="High"/>
    <s v="Better"/>
  </r>
  <r>
    <n v="32"/>
    <s v="Yes"/>
    <s v="Travel_Rarely"/>
    <s v="Research &amp; Development"/>
    <n v="1"/>
    <n v="3"/>
    <s v="Life Sciences"/>
    <n v="331"/>
    <n v="4"/>
    <s v="Male"/>
    <n v="2"/>
    <n v="1"/>
    <s v="Laboratory Technician"/>
    <n v="3"/>
    <s v="Single"/>
    <n v="3730"/>
    <n v="0"/>
    <x v="0"/>
    <n v="14"/>
    <n v="3"/>
    <n v="4"/>
    <n v="0"/>
    <n v="4"/>
    <n v="2"/>
    <n v="1"/>
    <n v="3"/>
    <n v="2"/>
    <n v="1"/>
    <n v="2"/>
    <n v="1"/>
    <x v="2"/>
    <n v="2"/>
    <x v="0"/>
    <n v="2"/>
    <x v="2"/>
    <n v="2"/>
    <s v="Bachelor"/>
    <s v="High"/>
    <s v="Very High"/>
    <s v="Bad"/>
  </r>
  <r>
    <n v="39"/>
    <s v="No"/>
    <s v="Travel_Rarely"/>
    <s v="Research &amp; Development"/>
    <n v="1"/>
    <n v="4"/>
    <s v="Medical"/>
    <n v="332"/>
    <n v="3"/>
    <s v="Female"/>
    <n v="3"/>
    <n v="1"/>
    <s v="Laboratory Technician"/>
    <n v="3"/>
    <s v="Divorced"/>
    <n v="2232"/>
    <n v="7"/>
    <x v="1"/>
    <n v="14"/>
    <n v="3"/>
    <n v="3"/>
    <n v="3"/>
    <n v="7"/>
    <n v="1"/>
    <n v="3"/>
    <n v="3"/>
    <n v="2"/>
    <n v="1"/>
    <n v="2"/>
    <n v="0"/>
    <x v="0"/>
    <n v="3"/>
    <x v="1"/>
    <n v="1"/>
    <x v="2"/>
    <n v="2"/>
    <s v="Master"/>
    <s v="High"/>
    <s v="High"/>
    <s v="Better"/>
  </r>
  <r>
    <n v="32"/>
    <s v="No"/>
    <s v="Non-Travel"/>
    <s v="Sales"/>
    <n v="26"/>
    <n v="4"/>
    <s v="Marketing"/>
    <n v="333"/>
    <n v="3"/>
    <s v="Male"/>
    <n v="3"/>
    <n v="2"/>
    <s v="Sales Executive"/>
    <n v="4"/>
    <s v="Married"/>
    <n v="4465"/>
    <n v="0"/>
    <x v="1"/>
    <n v="18"/>
    <n v="3"/>
    <n v="1"/>
    <n v="0"/>
    <n v="4"/>
    <n v="2"/>
    <n v="3"/>
    <n v="3"/>
    <n v="2"/>
    <n v="2"/>
    <n v="2"/>
    <n v="0"/>
    <x v="2"/>
    <n v="2"/>
    <x v="0"/>
    <n v="2"/>
    <x v="2"/>
    <n v="2"/>
    <s v="Master"/>
    <s v="Very High"/>
    <s v="High"/>
    <s v="Better"/>
  </r>
  <r>
    <n v="41"/>
    <s v="No"/>
    <s v="Travel_Rarely"/>
    <s v="Research &amp; Development"/>
    <n v="19"/>
    <n v="2"/>
    <s v="Life Sciences"/>
    <n v="334"/>
    <n v="3"/>
    <s v="Male"/>
    <n v="3"/>
    <n v="2"/>
    <s v="Research Scientist"/>
    <n v="1"/>
    <s v="Divorced"/>
    <n v="3072"/>
    <n v="2"/>
    <x v="1"/>
    <n v="16"/>
    <n v="3"/>
    <n v="1"/>
    <n v="2"/>
    <n v="17"/>
    <n v="2"/>
    <n v="2"/>
    <n v="1"/>
    <n v="0"/>
    <n v="0"/>
    <n v="0"/>
    <n v="0"/>
    <x v="0"/>
    <n v="3"/>
    <x v="0"/>
    <n v="2"/>
    <x v="1"/>
    <n v="1"/>
    <s v="College"/>
    <s v="Low"/>
    <s v="High"/>
    <s v="Good"/>
  </r>
  <r>
    <n v="40"/>
    <s v="No"/>
    <s v="Travel_Rarely"/>
    <s v="Research &amp; Development"/>
    <n v="24"/>
    <n v="2"/>
    <s v="Technical Degree"/>
    <n v="335"/>
    <n v="1"/>
    <s v="Male"/>
    <n v="3"/>
    <n v="2"/>
    <s v="Research Scientist"/>
    <n v="4"/>
    <s v="Divorced"/>
    <n v="3319"/>
    <n v="1"/>
    <x v="1"/>
    <n v="17"/>
    <n v="3"/>
    <n v="1"/>
    <n v="2"/>
    <n v="9"/>
    <n v="3"/>
    <n v="3"/>
    <n v="9"/>
    <n v="8"/>
    <n v="4"/>
    <n v="7"/>
    <n v="0"/>
    <x v="0"/>
    <n v="3"/>
    <x v="0"/>
    <n v="2"/>
    <x v="0"/>
    <n v="3"/>
    <s v="College"/>
    <s v="Very High"/>
    <s v="Low"/>
    <s v="Better"/>
  </r>
  <r>
    <n v="45"/>
    <s v="No"/>
    <s v="Travel_Rarely"/>
    <s v="Research &amp; Development"/>
    <n v="1"/>
    <n v="3"/>
    <s v="Other"/>
    <n v="336"/>
    <n v="3"/>
    <s v="Male"/>
    <n v="4"/>
    <n v="5"/>
    <s v="Manager"/>
    <n v="4"/>
    <s v="Married"/>
    <n v="19202"/>
    <n v="0"/>
    <x v="1"/>
    <n v="11"/>
    <n v="3"/>
    <n v="3"/>
    <n v="1"/>
    <n v="25"/>
    <n v="2"/>
    <n v="3"/>
    <n v="24"/>
    <n v="0"/>
    <n v="1"/>
    <n v="7"/>
    <n v="0"/>
    <x v="0"/>
    <n v="3"/>
    <x v="3"/>
    <n v="4"/>
    <x v="3"/>
    <n v="4"/>
    <s v="Bachelor"/>
    <s v="Very High"/>
    <s v="High"/>
    <s v="Better"/>
  </r>
  <r>
    <n v="31"/>
    <s v="No"/>
    <s v="Travel_Frequently"/>
    <s v="Research &amp; Development"/>
    <n v="3"/>
    <n v="4"/>
    <s v="Medical"/>
    <n v="337"/>
    <n v="2"/>
    <s v="Male"/>
    <n v="3"/>
    <n v="3"/>
    <s v="Research Director"/>
    <n v="3"/>
    <s v="Divorced"/>
    <n v="13675"/>
    <n v="9"/>
    <x v="1"/>
    <n v="12"/>
    <n v="3"/>
    <n v="1"/>
    <n v="1"/>
    <n v="9"/>
    <n v="3"/>
    <n v="3"/>
    <n v="2"/>
    <n v="2"/>
    <n v="2"/>
    <n v="2"/>
    <n v="0"/>
    <x v="2"/>
    <n v="2"/>
    <x v="3"/>
    <n v="4"/>
    <x v="1"/>
    <n v="1"/>
    <s v="Master"/>
    <s v="High"/>
    <s v="Medium"/>
    <s v="Better"/>
  </r>
  <r>
    <n v="33"/>
    <s v="No"/>
    <s v="Travel_Rarely"/>
    <s v="Research &amp; Development"/>
    <n v="5"/>
    <n v="4"/>
    <s v="Life Sciences"/>
    <n v="338"/>
    <n v="3"/>
    <s v="Female"/>
    <n v="2"/>
    <n v="1"/>
    <s v="Research Scientist"/>
    <n v="4"/>
    <s v="Married"/>
    <n v="2911"/>
    <n v="1"/>
    <x v="1"/>
    <n v="13"/>
    <n v="3"/>
    <n v="3"/>
    <n v="1"/>
    <n v="2"/>
    <n v="2"/>
    <n v="2"/>
    <n v="2"/>
    <n v="2"/>
    <n v="0"/>
    <n v="2"/>
    <n v="0"/>
    <x v="2"/>
    <n v="2"/>
    <x v="1"/>
    <n v="1"/>
    <x v="1"/>
    <n v="1"/>
    <s v="Master"/>
    <s v="Very High"/>
    <s v="High"/>
    <s v="Good"/>
  </r>
  <r>
    <n v="34"/>
    <s v="No"/>
    <s v="Travel_Rarely"/>
    <s v="Research &amp; Development"/>
    <n v="2"/>
    <n v="4"/>
    <s v="Life Sciences"/>
    <n v="339"/>
    <n v="4"/>
    <s v="Male"/>
    <n v="2"/>
    <n v="2"/>
    <s v="Manufacturing Director"/>
    <n v="1"/>
    <s v="Married"/>
    <n v="5957"/>
    <n v="6"/>
    <x v="1"/>
    <n v="13"/>
    <n v="3"/>
    <n v="2"/>
    <n v="1"/>
    <n v="13"/>
    <n v="3"/>
    <n v="3"/>
    <n v="11"/>
    <n v="9"/>
    <n v="5"/>
    <n v="9"/>
    <n v="0"/>
    <x v="2"/>
    <n v="2"/>
    <x v="0"/>
    <n v="2"/>
    <x v="3"/>
    <n v="4"/>
    <s v="Master"/>
    <s v="Low"/>
    <s v="Very High"/>
    <s v="Better"/>
  </r>
  <r>
    <n v="37"/>
    <s v="No"/>
    <s v="Travel_Rarely"/>
    <s v="Research &amp; Development"/>
    <n v="1"/>
    <n v="2"/>
    <s v="Medical"/>
    <n v="340"/>
    <n v="3"/>
    <s v="Female"/>
    <n v="2"/>
    <n v="1"/>
    <s v="Research Scientist"/>
    <n v="1"/>
    <s v="Married"/>
    <n v="3920"/>
    <n v="2"/>
    <x v="1"/>
    <n v="14"/>
    <n v="3"/>
    <n v="1"/>
    <n v="1"/>
    <n v="17"/>
    <n v="2"/>
    <n v="2"/>
    <n v="3"/>
    <n v="1"/>
    <n v="0"/>
    <n v="2"/>
    <n v="0"/>
    <x v="0"/>
    <n v="3"/>
    <x v="0"/>
    <n v="2"/>
    <x v="2"/>
    <n v="2"/>
    <s v="College"/>
    <s v="Low"/>
    <s v="High"/>
    <s v="Good"/>
  </r>
  <r>
    <n v="45"/>
    <s v="No"/>
    <s v="Travel_Frequently"/>
    <s v="Research &amp; Development"/>
    <n v="7"/>
    <n v="4"/>
    <s v="Life Sciences"/>
    <n v="341"/>
    <n v="1"/>
    <s v="Male"/>
    <n v="4"/>
    <n v="2"/>
    <s v="Manufacturing Director"/>
    <n v="3"/>
    <s v="Married"/>
    <n v="6434"/>
    <n v="4"/>
    <x v="1"/>
    <n v="17"/>
    <n v="3"/>
    <n v="4"/>
    <n v="1"/>
    <n v="9"/>
    <n v="1"/>
    <n v="3"/>
    <n v="3"/>
    <n v="2"/>
    <n v="0"/>
    <n v="2"/>
    <n v="0"/>
    <x v="0"/>
    <n v="3"/>
    <x v="2"/>
    <n v="3"/>
    <x v="2"/>
    <n v="2"/>
    <s v="Master"/>
    <s v="High"/>
    <s v="Low"/>
    <s v="Better"/>
  </r>
  <r>
    <n v="37"/>
    <s v="Yes"/>
    <s v="Travel_Frequently"/>
    <s v="Research &amp; Development"/>
    <n v="10"/>
    <n v="3"/>
    <s v="Medical"/>
    <n v="342"/>
    <n v="1"/>
    <s v="Male"/>
    <n v="3"/>
    <n v="3"/>
    <s v="Manufacturing Director"/>
    <n v="3"/>
    <s v="Divorced"/>
    <n v="10048"/>
    <n v="6"/>
    <x v="1"/>
    <n v="11"/>
    <n v="3"/>
    <n v="2"/>
    <n v="2"/>
    <n v="17"/>
    <n v="5"/>
    <n v="3"/>
    <n v="1"/>
    <n v="0"/>
    <n v="0"/>
    <n v="0"/>
    <n v="1"/>
    <x v="0"/>
    <n v="3"/>
    <x v="3"/>
    <n v="4"/>
    <x v="1"/>
    <n v="1"/>
    <s v="Bachelor"/>
    <s v="High"/>
    <s v="Low"/>
    <s v="Better"/>
  </r>
  <r>
    <n v="39"/>
    <s v="No"/>
    <s v="Travel_Frequently"/>
    <s v="Research &amp; Development"/>
    <n v="2"/>
    <n v="4"/>
    <s v="Technical Degree"/>
    <n v="343"/>
    <n v="3"/>
    <s v="Female"/>
    <n v="3"/>
    <n v="3"/>
    <s v="Healthcare Representative"/>
    <n v="3"/>
    <s v="Single"/>
    <n v="10938"/>
    <n v="0"/>
    <x v="1"/>
    <n v="25"/>
    <n v="4"/>
    <n v="4"/>
    <n v="0"/>
    <n v="20"/>
    <n v="1"/>
    <n v="3"/>
    <n v="19"/>
    <n v="6"/>
    <n v="11"/>
    <n v="8"/>
    <n v="0"/>
    <x v="0"/>
    <n v="3"/>
    <x v="3"/>
    <n v="4"/>
    <x v="3"/>
    <n v="4"/>
    <s v="Master"/>
    <s v="High"/>
    <s v="High"/>
    <s v="Better"/>
  </r>
  <r>
    <n v="29"/>
    <s v="No"/>
    <s v="Travel_Rarely"/>
    <s v="Research &amp; Development"/>
    <n v="15"/>
    <n v="3"/>
    <s v="Life Sciences"/>
    <n v="346"/>
    <n v="3"/>
    <s v="Male"/>
    <n v="3"/>
    <n v="1"/>
    <s v="Research Scientist"/>
    <n v="4"/>
    <s v="Single"/>
    <n v="2340"/>
    <n v="1"/>
    <x v="1"/>
    <n v="19"/>
    <n v="3"/>
    <n v="1"/>
    <n v="0"/>
    <n v="6"/>
    <n v="1"/>
    <n v="3"/>
    <n v="6"/>
    <n v="5"/>
    <n v="1"/>
    <n v="5"/>
    <n v="0"/>
    <x v="2"/>
    <n v="2"/>
    <x v="1"/>
    <n v="1"/>
    <x v="0"/>
    <n v="3"/>
    <s v="Bachelor"/>
    <s v="Very High"/>
    <s v="High"/>
    <s v="Better"/>
  </r>
  <r>
    <n v="42"/>
    <s v="No"/>
    <s v="Travel_Rarely"/>
    <s v="Research &amp; Development"/>
    <n v="17"/>
    <n v="2"/>
    <s v="Life Sciences"/>
    <n v="347"/>
    <n v="4"/>
    <s v="Female"/>
    <n v="4"/>
    <n v="2"/>
    <s v="Research Scientist"/>
    <n v="1"/>
    <s v="Single"/>
    <n v="6545"/>
    <n v="3"/>
    <x v="0"/>
    <n v="13"/>
    <n v="3"/>
    <n v="3"/>
    <n v="0"/>
    <n v="10"/>
    <n v="1"/>
    <n v="3"/>
    <n v="3"/>
    <n v="2"/>
    <n v="0"/>
    <n v="2"/>
    <n v="0"/>
    <x v="0"/>
    <n v="3"/>
    <x v="2"/>
    <n v="3"/>
    <x v="2"/>
    <n v="2"/>
    <s v="College"/>
    <s v="Low"/>
    <s v="Very High"/>
    <s v="Better"/>
  </r>
  <r>
    <n v="29"/>
    <s v="No"/>
    <s v="Travel_Rarely"/>
    <s v="Sales"/>
    <n v="20"/>
    <n v="2"/>
    <s v="Marketing"/>
    <n v="349"/>
    <n v="4"/>
    <s v="Male"/>
    <n v="3"/>
    <n v="2"/>
    <s v="Sales Executive"/>
    <n v="4"/>
    <s v="Divorced"/>
    <n v="6931"/>
    <n v="2"/>
    <x v="1"/>
    <n v="14"/>
    <n v="3"/>
    <n v="4"/>
    <n v="1"/>
    <n v="10"/>
    <n v="2"/>
    <n v="3"/>
    <n v="3"/>
    <n v="2"/>
    <n v="0"/>
    <n v="2"/>
    <n v="0"/>
    <x v="2"/>
    <n v="2"/>
    <x v="2"/>
    <n v="3"/>
    <x v="2"/>
    <n v="2"/>
    <s v="College"/>
    <s v="Very High"/>
    <s v="Very High"/>
    <s v="Better"/>
  </r>
  <r>
    <n v="25"/>
    <s v="No"/>
    <s v="Travel_Rarely"/>
    <s v="Research &amp; Development"/>
    <n v="1"/>
    <n v="3"/>
    <s v="Life Sciences"/>
    <n v="350"/>
    <n v="1"/>
    <s v="Female"/>
    <n v="3"/>
    <n v="2"/>
    <s v="Manufacturing Director"/>
    <n v="3"/>
    <s v="Married"/>
    <n v="4898"/>
    <n v="0"/>
    <x v="1"/>
    <n v="12"/>
    <n v="3"/>
    <n v="4"/>
    <n v="2"/>
    <n v="5"/>
    <n v="3"/>
    <n v="3"/>
    <n v="4"/>
    <n v="2"/>
    <n v="1"/>
    <n v="2"/>
    <n v="0"/>
    <x v="4"/>
    <n v="1"/>
    <x v="0"/>
    <n v="2"/>
    <x v="2"/>
    <n v="2"/>
    <s v="Bachelor"/>
    <s v="High"/>
    <s v="Low"/>
    <s v="Better"/>
  </r>
  <r>
    <n v="42"/>
    <s v="No"/>
    <s v="Travel_Rarely"/>
    <s v="Research &amp; Development"/>
    <n v="2"/>
    <n v="3"/>
    <s v="Medical"/>
    <n v="351"/>
    <n v="4"/>
    <s v="Female"/>
    <n v="2"/>
    <n v="1"/>
    <s v="Laboratory Technician"/>
    <n v="1"/>
    <s v="Divorced"/>
    <n v="2593"/>
    <n v="0"/>
    <x v="0"/>
    <n v="11"/>
    <n v="3"/>
    <n v="3"/>
    <n v="1"/>
    <n v="10"/>
    <n v="4"/>
    <n v="3"/>
    <n v="9"/>
    <n v="6"/>
    <n v="7"/>
    <n v="8"/>
    <n v="0"/>
    <x v="0"/>
    <n v="3"/>
    <x v="1"/>
    <n v="1"/>
    <x v="0"/>
    <n v="3"/>
    <s v="Bachelor"/>
    <s v="Low"/>
    <s v="Very High"/>
    <s v="Better"/>
  </r>
  <r>
    <n v="40"/>
    <s v="No"/>
    <s v="Travel_Rarely"/>
    <s v="Research &amp; Development"/>
    <n v="2"/>
    <n v="2"/>
    <s v="Medical"/>
    <n v="352"/>
    <n v="1"/>
    <s v="Male"/>
    <n v="3"/>
    <n v="5"/>
    <s v="Research Director"/>
    <n v="3"/>
    <s v="Divorced"/>
    <n v="19436"/>
    <n v="0"/>
    <x v="1"/>
    <n v="19"/>
    <n v="3"/>
    <n v="4"/>
    <n v="1"/>
    <n v="22"/>
    <n v="5"/>
    <n v="3"/>
    <n v="21"/>
    <n v="7"/>
    <n v="3"/>
    <n v="9"/>
    <n v="0"/>
    <x v="0"/>
    <n v="3"/>
    <x v="3"/>
    <n v="4"/>
    <x v="3"/>
    <n v="4"/>
    <s v="College"/>
    <s v="High"/>
    <s v="Low"/>
    <s v="Better"/>
  </r>
  <r>
    <n v="51"/>
    <s v="No"/>
    <s v="Travel_Rarely"/>
    <s v="Research &amp; Development"/>
    <n v="1"/>
    <n v="3"/>
    <s v="Life Sciences"/>
    <n v="353"/>
    <n v="3"/>
    <s v="Male"/>
    <n v="3"/>
    <n v="1"/>
    <s v="Research Scientist"/>
    <n v="4"/>
    <s v="Married"/>
    <n v="2723"/>
    <n v="1"/>
    <x v="1"/>
    <n v="11"/>
    <n v="3"/>
    <n v="2"/>
    <n v="0"/>
    <n v="1"/>
    <n v="0"/>
    <n v="2"/>
    <n v="1"/>
    <n v="0"/>
    <n v="0"/>
    <n v="0"/>
    <n v="0"/>
    <x v="1"/>
    <n v="4"/>
    <x v="1"/>
    <n v="1"/>
    <x v="1"/>
    <n v="1"/>
    <s v="Bachelor"/>
    <s v="Very High"/>
    <s v="High"/>
    <s v="Good"/>
  </r>
  <r>
    <n v="31"/>
    <s v="Yes"/>
    <s v="Travel_Frequently"/>
    <s v="Research &amp; Development"/>
    <n v="29"/>
    <n v="2"/>
    <s v="Medical"/>
    <n v="355"/>
    <n v="3"/>
    <s v="Male"/>
    <n v="2"/>
    <n v="1"/>
    <s v="Laboratory Technician"/>
    <n v="2"/>
    <s v="Single"/>
    <n v="3479"/>
    <n v="0"/>
    <x v="1"/>
    <n v="11"/>
    <n v="3"/>
    <n v="2"/>
    <n v="0"/>
    <n v="6"/>
    <n v="2"/>
    <n v="4"/>
    <n v="5"/>
    <n v="4"/>
    <n v="1"/>
    <n v="4"/>
    <n v="1"/>
    <x v="2"/>
    <n v="2"/>
    <x v="0"/>
    <n v="2"/>
    <x v="2"/>
    <n v="2"/>
    <s v="College"/>
    <s v="Medium"/>
    <s v="High"/>
    <s v="Best"/>
  </r>
  <r>
    <n v="32"/>
    <s v="No"/>
    <s v="Travel_Frequently"/>
    <s v="Research &amp; Development"/>
    <n v="7"/>
    <n v="3"/>
    <s v="Life Sciences"/>
    <n v="359"/>
    <n v="2"/>
    <s v="Male"/>
    <n v="4"/>
    <n v="1"/>
    <s v="Laboratory Technician"/>
    <n v="2"/>
    <s v="Married"/>
    <n v="2794"/>
    <n v="1"/>
    <x v="1"/>
    <n v="20"/>
    <n v="4"/>
    <n v="3"/>
    <n v="0"/>
    <n v="5"/>
    <n v="3"/>
    <n v="1"/>
    <n v="5"/>
    <n v="1"/>
    <n v="0"/>
    <n v="3"/>
    <n v="0"/>
    <x v="2"/>
    <n v="2"/>
    <x v="1"/>
    <n v="1"/>
    <x v="2"/>
    <n v="2"/>
    <s v="Bachelor"/>
    <s v="Medium"/>
    <s v="Medium"/>
    <s v="Bad"/>
  </r>
  <r>
    <n v="38"/>
    <s v="No"/>
    <s v="Non-Travel"/>
    <s v="Sales"/>
    <n v="2"/>
    <n v="2"/>
    <s v="Life Sciences"/>
    <n v="361"/>
    <n v="4"/>
    <s v="Male"/>
    <n v="2"/>
    <n v="2"/>
    <s v="Sales Executive"/>
    <n v="4"/>
    <s v="Married"/>
    <n v="5249"/>
    <n v="3"/>
    <x v="1"/>
    <n v="18"/>
    <n v="3"/>
    <n v="4"/>
    <n v="1"/>
    <n v="13"/>
    <n v="0"/>
    <n v="3"/>
    <n v="8"/>
    <n v="7"/>
    <n v="7"/>
    <n v="5"/>
    <n v="0"/>
    <x v="0"/>
    <n v="3"/>
    <x v="0"/>
    <n v="2"/>
    <x v="0"/>
    <n v="3"/>
    <s v="College"/>
    <s v="Very High"/>
    <s v="Very High"/>
    <s v="Better"/>
  </r>
  <r>
    <n v="32"/>
    <s v="No"/>
    <s v="Travel_Rarely"/>
    <s v="Research &amp; Development"/>
    <n v="2"/>
    <n v="1"/>
    <s v="Technical Degree"/>
    <n v="362"/>
    <n v="4"/>
    <s v="Male"/>
    <n v="2"/>
    <n v="2"/>
    <s v="Laboratory Technician"/>
    <n v="1"/>
    <s v="Single"/>
    <n v="2176"/>
    <n v="4"/>
    <x v="1"/>
    <n v="13"/>
    <n v="3"/>
    <n v="4"/>
    <n v="0"/>
    <n v="9"/>
    <n v="5"/>
    <n v="3"/>
    <n v="6"/>
    <n v="2"/>
    <n v="0"/>
    <n v="4"/>
    <n v="0"/>
    <x v="2"/>
    <n v="2"/>
    <x v="1"/>
    <n v="1"/>
    <x v="0"/>
    <n v="3"/>
    <s v="Below College"/>
    <s v="Low"/>
    <s v="Very High"/>
    <s v="Better"/>
  </r>
  <r>
    <n v="46"/>
    <s v="No"/>
    <s v="Travel_Rarely"/>
    <s v="Sales"/>
    <n v="2"/>
    <n v="3"/>
    <s v="Technical Degree"/>
    <n v="363"/>
    <n v="3"/>
    <s v="Female"/>
    <n v="1"/>
    <n v="4"/>
    <s v="Manager"/>
    <n v="2"/>
    <s v="Married"/>
    <n v="16872"/>
    <n v="3"/>
    <x v="0"/>
    <n v="12"/>
    <n v="3"/>
    <n v="2"/>
    <n v="1"/>
    <n v="28"/>
    <n v="2"/>
    <n v="2"/>
    <n v="7"/>
    <n v="7"/>
    <n v="7"/>
    <n v="7"/>
    <n v="0"/>
    <x v="1"/>
    <n v="4"/>
    <x v="3"/>
    <n v="4"/>
    <x v="0"/>
    <n v="3"/>
    <s v="Bachelor"/>
    <s v="Medium"/>
    <s v="High"/>
    <s v="Good"/>
  </r>
  <r>
    <n v="28"/>
    <s v="Yes"/>
    <s v="Travel_Rarely"/>
    <s v="Research &amp; Development"/>
    <n v="2"/>
    <n v="4"/>
    <s v="Life Sciences"/>
    <n v="364"/>
    <n v="1"/>
    <s v="Male"/>
    <n v="3"/>
    <n v="1"/>
    <s v="Laboratory Technician"/>
    <n v="3"/>
    <s v="Single"/>
    <n v="3485"/>
    <n v="2"/>
    <x v="1"/>
    <n v="11"/>
    <n v="3"/>
    <n v="3"/>
    <n v="0"/>
    <n v="5"/>
    <n v="5"/>
    <n v="1"/>
    <n v="0"/>
    <n v="0"/>
    <n v="0"/>
    <n v="0"/>
    <n v="1"/>
    <x v="2"/>
    <n v="2"/>
    <x v="0"/>
    <n v="2"/>
    <x v="1"/>
    <n v="1"/>
    <s v="Master"/>
    <s v="High"/>
    <s v="Low"/>
    <s v="Bad"/>
  </r>
  <r>
    <n v="29"/>
    <s v="No"/>
    <s v="Travel_Rarely"/>
    <s v="Sales"/>
    <n v="2"/>
    <n v="3"/>
    <s v="Medical"/>
    <n v="366"/>
    <n v="1"/>
    <s v="Male"/>
    <n v="2"/>
    <n v="2"/>
    <s v="Sales Executive"/>
    <n v="2"/>
    <s v="Married"/>
    <n v="6644"/>
    <n v="2"/>
    <x v="1"/>
    <n v="19"/>
    <n v="3"/>
    <n v="2"/>
    <n v="2"/>
    <n v="10"/>
    <n v="2"/>
    <n v="3"/>
    <n v="0"/>
    <n v="0"/>
    <n v="0"/>
    <n v="0"/>
    <n v="0"/>
    <x v="2"/>
    <n v="2"/>
    <x v="2"/>
    <n v="3"/>
    <x v="1"/>
    <n v="1"/>
    <s v="Bachelor"/>
    <s v="Medium"/>
    <s v="Low"/>
    <s v="Better"/>
  </r>
  <r>
    <n v="31"/>
    <s v="No"/>
    <s v="Travel_Rarely"/>
    <s v="Research &amp; Development"/>
    <n v="23"/>
    <n v="3"/>
    <s v="Medical"/>
    <n v="367"/>
    <n v="2"/>
    <s v="Male"/>
    <n v="2"/>
    <n v="2"/>
    <s v="Healthcare Representative"/>
    <n v="4"/>
    <s v="Married"/>
    <n v="5582"/>
    <n v="0"/>
    <x v="1"/>
    <n v="21"/>
    <n v="4"/>
    <n v="2"/>
    <n v="1"/>
    <n v="10"/>
    <n v="2"/>
    <n v="3"/>
    <n v="9"/>
    <n v="0"/>
    <n v="7"/>
    <n v="8"/>
    <n v="0"/>
    <x v="2"/>
    <n v="2"/>
    <x v="0"/>
    <n v="2"/>
    <x v="0"/>
    <n v="3"/>
    <s v="Bachelor"/>
    <s v="Very High"/>
    <s v="Medium"/>
    <s v="Better"/>
  </r>
  <r>
    <n v="25"/>
    <s v="No"/>
    <s v="Non-Travel"/>
    <s v="Research &amp; Development"/>
    <n v="5"/>
    <n v="2"/>
    <s v="Life Sciences"/>
    <n v="369"/>
    <n v="2"/>
    <s v="Male"/>
    <n v="4"/>
    <n v="2"/>
    <s v="Healthcare Representative"/>
    <n v="1"/>
    <s v="Divorced"/>
    <n v="4000"/>
    <n v="1"/>
    <x v="1"/>
    <n v="12"/>
    <n v="3"/>
    <n v="4"/>
    <n v="2"/>
    <n v="6"/>
    <n v="2"/>
    <n v="3"/>
    <n v="6"/>
    <n v="3"/>
    <n v="1"/>
    <n v="5"/>
    <n v="0"/>
    <x v="4"/>
    <n v="1"/>
    <x v="0"/>
    <n v="2"/>
    <x v="0"/>
    <n v="3"/>
    <s v="College"/>
    <s v="Low"/>
    <s v="Medium"/>
    <s v="Better"/>
  </r>
  <r>
    <n v="45"/>
    <s v="No"/>
    <s v="Travel_Rarely"/>
    <s v="Research &amp; Development"/>
    <n v="20"/>
    <n v="2"/>
    <s v="Medical"/>
    <n v="372"/>
    <n v="3"/>
    <s v="Male"/>
    <n v="3"/>
    <n v="4"/>
    <s v="Healthcare Representative"/>
    <n v="4"/>
    <s v="Married"/>
    <n v="13496"/>
    <n v="0"/>
    <x v="0"/>
    <n v="14"/>
    <n v="3"/>
    <n v="2"/>
    <n v="0"/>
    <n v="21"/>
    <n v="2"/>
    <n v="3"/>
    <n v="20"/>
    <n v="7"/>
    <n v="4"/>
    <n v="10"/>
    <n v="0"/>
    <x v="0"/>
    <n v="3"/>
    <x v="3"/>
    <n v="4"/>
    <x v="3"/>
    <n v="4"/>
    <s v="College"/>
    <s v="Very High"/>
    <s v="High"/>
    <s v="Better"/>
  </r>
  <r>
    <n v="36"/>
    <s v="No"/>
    <s v="Travel_Rarely"/>
    <s v="Research &amp; Development"/>
    <n v="6"/>
    <n v="3"/>
    <s v="Life Sciences"/>
    <n v="373"/>
    <n v="4"/>
    <s v="Male"/>
    <n v="3"/>
    <n v="1"/>
    <s v="Laboratory Technician"/>
    <n v="4"/>
    <s v="Married"/>
    <n v="3210"/>
    <n v="0"/>
    <x v="1"/>
    <n v="11"/>
    <n v="3"/>
    <n v="3"/>
    <n v="1"/>
    <n v="16"/>
    <n v="4"/>
    <n v="3"/>
    <n v="15"/>
    <n v="13"/>
    <n v="10"/>
    <n v="11"/>
    <n v="0"/>
    <x v="0"/>
    <n v="3"/>
    <x v="0"/>
    <n v="2"/>
    <x v="3"/>
    <n v="4"/>
    <s v="Bachelor"/>
    <s v="Very High"/>
    <s v="Very High"/>
    <s v="Better"/>
  </r>
  <r>
    <n v="55"/>
    <s v="No"/>
    <s v="Travel_Rarely"/>
    <s v="Research &amp; Development"/>
    <n v="1"/>
    <n v="3"/>
    <s v="Medical"/>
    <n v="374"/>
    <n v="4"/>
    <s v="Male"/>
    <n v="3"/>
    <n v="5"/>
    <s v="Manager"/>
    <n v="1"/>
    <s v="Single"/>
    <n v="19045"/>
    <n v="0"/>
    <x v="0"/>
    <n v="14"/>
    <n v="3"/>
    <n v="3"/>
    <n v="0"/>
    <n v="37"/>
    <n v="2"/>
    <n v="3"/>
    <n v="36"/>
    <n v="10"/>
    <n v="4"/>
    <n v="13"/>
    <n v="0"/>
    <x v="1"/>
    <n v="4"/>
    <x v="3"/>
    <n v="4"/>
    <x v="3"/>
    <n v="4"/>
    <s v="Bachelor"/>
    <s v="Low"/>
    <s v="Very High"/>
    <s v="Better"/>
  </r>
  <r>
    <n v="47"/>
    <s v="Yes"/>
    <s v="Non-Travel"/>
    <s v="Research &amp; Development"/>
    <n v="29"/>
    <n v="4"/>
    <s v="Life Sciences"/>
    <n v="376"/>
    <n v="1"/>
    <s v="Male"/>
    <n v="3"/>
    <n v="3"/>
    <s v="Manager"/>
    <n v="2"/>
    <s v="Married"/>
    <n v="11849"/>
    <n v="1"/>
    <x v="0"/>
    <n v="12"/>
    <n v="3"/>
    <n v="4"/>
    <n v="1"/>
    <n v="10"/>
    <n v="2"/>
    <n v="2"/>
    <n v="10"/>
    <n v="7"/>
    <n v="9"/>
    <n v="9"/>
    <n v="1"/>
    <x v="1"/>
    <n v="4"/>
    <x v="3"/>
    <n v="4"/>
    <x v="0"/>
    <n v="3"/>
    <s v="Master"/>
    <s v="Medium"/>
    <s v="Low"/>
    <s v="Good"/>
  </r>
  <r>
    <n v="28"/>
    <s v="No"/>
    <s v="Travel_Rarely"/>
    <s v="Research &amp; Development"/>
    <n v="9"/>
    <n v="3"/>
    <s v="Medical"/>
    <n v="377"/>
    <n v="4"/>
    <s v="Male"/>
    <n v="3"/>
    <n v="1"/>
    <s v="Research Scientist"/>
    <n v="4"/>
    <s v="Married"/>
    <n v="2070"/>
    <n v="1"/>
    <x v="1"/>
    <n v="23"/>
    <n v="4"/>
    <n v="4"/>
    <n v="1"/>
    <n v="5"/>
    <n v="3"/>
    <n v="2"/>
    <n v="5"/>
    <n v="2"/>
    <n v="0"/>
    <n v="4"/>
    <n v="0"/>
    <x v="2"/>
    <n v="2"/>
    <x v="1"/>
    <n v="1"/>
    <x v="2"/>
    <n v="2"/>
    <s v="Bachelor"/>
    <s v="Very High"/>
    <s v="Very High"/>
    <s v="Good"/>
  </r>
  <r>
    <n v="37"/>
    <s v="No"/>
    <s v="Travel_Rarely"/>
    <s v="Sales"/>
    <n v="6"/>
    <n v="4"/>
    <s v="Medical"/>
    <n v="378"/>
    <n v="3"/>
    <s v="Male"/>
    <n v="3"/>
    <n v="2"/>
    <s v="Sales Executive"/>
    <n v="4"/>
    <s v="Married"/>
    <n v="6502"/>
    <n v="4"/>
    <x v="1"/>
    <n v="14"/>
    <n v="3"/>
    <n v="2"/>
    <n v="1"/>
    <n v="7"/>
    <n v="5"/>
    <n v="4"/>
    <n v="5"/>
    <n v="4"/>
    <n v="0"/>
    <n v="1"/>
    <n v="0"/>
    <x v="0"/>
    <n v="3"/>
    <x v="2"/>
    <n v="3"/>
    <x v="2"/>
    <n v="2"/>
    <s v="Master"/>
    <s v="Very High"/>
    <s v="High"/>
    <s v="Best"/>
  </r>
  <r>
    <n v="21"/>
    <s v="No"/>
    <s v="Travel_Rarely"/>
    <s v="Research &amp; Development"/>
    <n v="3"/>
    <n v="2"/>
    <s v="Medical"/>
    <n v="379"/>
    <n v="4"/>
    <s v="Male"/>
    <n v="2"/>
    <n v="1"/>
    <s v="Research Scientist"/>
    <n v="3"/>
    <s v="Single"/>
    <n v="3230"/>
    <n v="1"/>
    <x v="1"/>
    <n v="17"/>
    <n v="3"/>
    <n v="1"/>
    <n v="0"/>
    <n v="3"/>
    <n v="4"/>
    <n v="4"/>
    <n v="3"/>
    <n v="2"/>
    <n v="1"/>
    <n v="0"/>
    <n v="0"/>
    <x v="4"/>
    <n v="1"/>
    <x v="0"/>
    <n v="2"/>
    <x v="2"/>
    <n v="2"/>
    <s v="College"/>
    <s v="High"/>
    <s v="Very High"/>
    <s v="Best"/>
  </r>
  <r>
    <n v="37"/>
    <s v="No"/>
    <s v="Non-Travel"/>
    <s v="Research &amp; Development"/>
    <n v="1"/>
    <n v="4"/>
    <s v="Medical"/>
    <n v="380"/>
    <n v="1"/>
    <s v="Female"/>
    <n v="3"/>
    <n v="3"/>
    <s v="Research Director"/>
    <n v="4"/>
    <s v="Divorced"/>
    <n v="13603"/>
    <n v="2"/>
    <x v="0"/>
    <n v="18"/>
    <n v="3"/>
    <n v="1"/>
    <n v="2"/>
    <n v="15"/>
    <n v="2"/>
    <n v="3"/>
    <n v="5"/>
    <n v="2"/>
    <n v="0"/>
    <n v="2"/>
    <n v="0"/>
    <x v="0"/>
    <n v="3"/>
    <x v="3"/>
    <n v="4"/>
    <x v="2"/>
    <n v="2"/>
    <s v="Master"/>
    <s v="Very High"/>
    <s v="Low"/>
    <s v="Better"/>
  </r>
  <r>
    <n v="35"/>
    <s v="No"/>
    <s v="Travel_Rarely"/>
    <s v="Research &amp; Development"/>
    <n v="22"/>
    <n v="3"/>
    <s v="Life Sciences"/>
    <n v="381"/>
    <n v="2"/>
    <s v="Female"/>
    <n v="4"/>
    <n v="3"/>
    <s v="Manager"/>
    <n v="2"/>
    <s v="Divorced"/>
    <n v="11996"/>
    <n v="7"/>
    <x v="1"/>
    <n v="18"/>
    <n v="3"/>
    <n v="2"/>
    <n v="1"/>
    <n v="10"/>
    <n v="6"/>
    <n v="2"/>
    <n v="7"/>
    <n v="7"/>
    <n v="6"/>
    <n v="2"/>
    <n v="0"/>
    <x v="2"/>
    <n v="2"/>
    <x v="3"/>
    <n v="4"/>
    <x v="0"/>
    <n v="3"/>
    <s v="Bachelor"/>
    <s v="Medium"/>
    <s v="Medium"/>
    <s v="Good"/>
  </r>
  <r>
    <n v="38"/>
    <s v="No"/>
    <s v="Travel_Rarely"/>
    <s v="Sales"/>
    <n v="7"/>
    <n v="2"/>
    <s v="Medical"/>
    <n v="382"/>
    <n v="1"/>
    <s v="Female"/>
    <n v="4"/>
    <n v="2"/>
    <s v="Sales Executive"/>
    <n v="1"/>
    <s v="Divorced"/>
    <n v="5605"/>
    <n v="1"/>
    <x v="0"/>
    <n v="24"/>
    <n v="4"/>
    <n v="3"/>
    <n v="1"/>
    <n v="8"/>
    <n v="3"/>
    <n v="3"/>
    <n v="8"/>
    <n v="0"/>
    <n v="7"/>
    <n v="7"/>
    <n v="0"/>
    <x v="0"/>
    <n v="3"/>
    <x v="0"/>
    <n v="2"/>
    <x v="0"/>
    <n v="3"/>
    <s v="College"/>
    <s v="Low"/>
    <s v="Low"/>
    <s v="Better"/>
  </r>
  <r>
    <n v="26"/>
    <s v="No"/>
    <s v="Travel_Frequently"/>
    <s v="Research &amp; Development"/>
    <n v="1"/>
    <n v="3"/>
    <s v="Life Sciences"/>
    <n v="384"/>
    <n v="3"/>
    <s v="Female"/>
    <n v="3"/>
    <n v="2"/>
    <s v="Manufacturing Director"/>
    <n v="2"/>
    <s v="Divorced"/>
    <n v="6397"/>
    <n v="1"/>
    <x v="1"/>
    <n v="20"/>
    <n v="4"/>
    <n v="1"/>
    <n v="1"/>
    <n v="6"/>
    <n v="6"/>
    <n v="1"/>
    <n v="6"/>
    <n v="5"/>
    <n v="1"/>
    <n v="4"/>
    <n v="0"/>
    <x v="2"/>
    <n v="2"/>
    <x v="2"/>
    <n v="3"/>
    <x v="0"/>
    <n v="3"/>
    <s v="Bachelor"/>
    <s v="Medium"/>
    <s v="High"/>
    <s v="Bad"/>
  </r>
  <r>
    <n v="50"/>
    <s v="No"/>
    <s v="Travel_Rarely"/>
    <s v="Research &amp; Development"/>
    <n v="4"/>
    <n v="1"/>
    <s v="Life Sciences"/>
    <n v="385"/>
    <n v="1"/>
    <s v="Male"/>
    <n v="3"/>
    <n v="5"/>
    <s v="Research Director"/>
    <n v="2"/>
    <s v="Divorced"/>
    <n v="19144"/>
    <n v="3"/>
    <x v="1"/>
    <n v="14"/>
    <n v="3"/>
    <n v="1"/>
    <n v="2"/>
    <n v="28"/>
    <n v="4"/>
    <n v="2"/>
    <n v="10"/>
    <n v="4"/>
    <n v="1"/>
    <n v="6"/>
    <n v="0"/>
    <x v="1"/>
    <n v="4"/>
    <x v="3"/>
    <n v="4"/>
    <x v="0"/>
    <n v="3"/>
    <s v="Below College"/>
    <s v="Medium"/>
    <s v="Low"/>
    <s v="Good"/>
  </r>
  <r>
    <n v="53"/>
    <s v="No"/>
    <s v="Travel_Rarely"/>
    <s v="Research &amp; Development"/>
    <n v="3"/>
    <n v="4"/>
    <s v="Medical"/>
    <n v="386"/>
    <n v="3"/>
    <s v="Male"/>
    <n v="3"/>
    <n v="4"/>
    <s v="Research Director"/>
    <n v="3"/>
    <s v="Married"/>
    <n v="17584"/>
    <n v="3"/>
    <x v="0"/>
    <n v="16"/>
    <n v="3"/>
    <n v="4"/>
    <n v="3"/>
    <n v="21"/>
    <n v="5"/>
    <n v="2"/>
    <n v="5"/>
    <n v="3"/>
    <n v="1"/>
    <n v="3"/>
    <n v="0"/>
    <x v="1"/>
    <n v="4"/>
    <x v="3"/>
    <n v="4"/>
    <x v="2"/>
    <n v="2"/>
    <s v="Master"/>
    <s v="High"/>
    <s v="High"/>
    <s v="Good"/>
  </r>
  <r>
    <n v="42"/>
    <s v="No"/>
    <s v="Travel_Rarely"/>
    <s v="Sales"/>
    <n v="1"/>
    <n v="1"/>
    <s v="Life Sciences"/>
    <n v="387"/>
    <n v="2"/>
    <s v="Male"/>
    <n v="3"/>
    <n v="2"/>
    <s v="Sales Executive"/>
    <n v="3"/>
    <s v="Married"/>
    <n v="4907"/>
    <n v="1"/>
    <x v="1"/>
    <n v="25"/>
    <n v="4"/>
    <n v="3"/>
    <n v="0"/>
    <n v="20"/>
    <n v="3"/>
    <n v="3"/>
    <n v="20"/>
    <n v="16"/>
    <n v="11"/>
    <n v="6"/>
    <n v="0"/>
    <x v="0"/>
    <n v="3"/>
    <x v="0"/>
    <n v="2"/>
    <x v="3"/>
    <n v="4"/>
    <s v="Below College"/>
    <s v="High"/>
    <s v="Medium"/>
    <s v="Better"/>
  </r>
  <r>
    <n v="29"/>
    <s v="No"/>
    <s v="Travel_Frequently"/>
    <s v="Sales"/>
    <n v="2"/>
    <n v="2"/>
    <s v="Life Sciences"/>
    <n v="388"/>
    <n v="2"/>
    <s v="Male"/>
    <n v="3"/>
    <n v="2"/>
    <s v="Sales Executive"/>
    <n v="4"/>
    <s v="Single"/>
    <n v="4554"/>
    <n v="1"/>
    <x v="1"/>
    <n v="18"/>
    <n v="3"/>
    <n v="1"/>
    <n v="0"/>
    <n v="10"/>
    <n v="3"/>
    <n v="2"/>
    <n v="10"/>
    <n v="7"/>
    <n v="0"/>
    <n v="9"/>
    <n v="0"/>
    <x v="2"/>
    <n v="2"/>
    <x v="0"/>
    <n v="2"/>
    <x v="0"/>
    <n v="3"/>
    <s v="College"/>
    <s v="Very High"/>
    <s v="Medium"/>
    <s v="Good"/>
  </r>
  <r>
    <n v="55"/>
    <s v="No"/>
    <s v="Travel_Rarely"/>
    <s v="Research &amp; Development"/>
    <n v="20"/>
    <n v="2"/>
    <s v="Technical Degree"/>
    <n v="389"/>
    <n v="2"/>
    <s v="Male"/>
    <n v="3"/>
    <n v="2"/>
    <s v="Laboratory Technician"/>
    <n v="4"/>
    <s v="Married"/>
    <n v="5415"/>
    <n v="3"/>
    <x v="0"/>
    <n v="19"/>
    <n v="3"/>
    <n v="4"/>
    <n v="1"/>
    <n v="12"/>
    <n v="4"/>
    <n v="3"/>
    <n v="10"/>
    <n v="7"/>
    <n v="0"/>
    <n v="8"/>
    <n v="0"/>
    <x v="1"/>
    <n v="4"/>
    <x v="0"/>
    <n v="2"/>
    <x v="0"/>
    <n v="3"/>
    <s v="College"/>
    <s v="Very High"/>
    <s v="Medium"/>
    <s v="Better"/>
  </r>
  <r>
    <n v="26"/>
    <s v="No"/>
    <s v="Travel_Frequently"/>
    <s v="Research &amp; Development"/>
    <n v="11"/>
    <n v="2"/>
    <s v="Medical"/>
    <n v="390"/>
    <n v="1"/>
    <s v="Male"/>
    <n v="3"/>
    <n v="2"/>
    <s v="Healthcare Representative"/>
    <n v="1"/>
    <s v="Married"/>
    <n v="4741"/>
    <n v="1"/>
    <x v="0"/>
    <n v="13"/>
    <n v="3"/>
    <n v="3"/>
    <n v="1"/>
    <n v="5"/>
    <n v="3"/>
    <n v="3"/>
    <n v="5"/>
    <n v="3"/>
    <n v="3"/>
    <n v="3"/>
    <n v="0"/>
    <x v="2"/>
    <n v="2"/>
    <x v="0"/>
    <n v="2"/>
    <x v="2"/>
    <n v="2"/>
    <s v="College"/>
    <s v="Low"/>
    <s v="Low"/>
    <s v="Better"/>
  </r>
  <r>
    <n v="37"/>
    <s v="No"/>
    <s v="Travel_Rarely"/>
    <s v="Research &amp; Development"/>
    <n v="1"/>
    <n v="3"/>
    <s v="Life Sciences"/>
    <n v="391"/>
    <n v="4"/>
    <s v="Female"/>
    <n v="3"/>
    <n v="1"/>
    <s v="Research Scientist"/>
    <n v="4"/>
    <s v="Single"/>
    <n v="2115"/>
    <n v="1"/>
    <x v="1"/>
    <n v="12"/>
    <n v="3"/>
    <n v="2"/>
    <n v="0"/>
    <n v="17"/>
    <n v="3"/>
    <n v="3"/>
    <n v="17"/>
    <n v="12"/>
    <n v="5"/>
    <n v="7"/>
    <n v="0"/>
    <x v="0"/>
    <n v="3"/>
    <x v="1"/>
    <n v="1"/>
    <x v="3"/>
    <n v="4"/>
    <s v="Bachelor"/>
    <s v="Very High"/>
    <s v="Very High"/>
    <s v="Better"/>
  </r>
  <r>
    <n v="44"/>
    <s v="Yes"/>
    <s v="Travel_Frequently"/>
    <s v="Research &amp; Development"/>
    <n v="24"/>
    <n v="3"/>
    <s v="Life Sciences"/>
    <n v="392"/>
    <n v="4"/>
    <s v="Male"/>
    <n v="3"/>
    <n v="1"/>
    <s v="Laboratory Technician"/>
    <n v="3"/>
    <s v="Divorced"/>
    <n v="3161"/>
    <n v="3"/>
    <x v="0"/>
    <n v="22"/>
    <n v="4"/>
    <n v="4"/>
    <n v="1"/>
    <n v="19"/>
    <n v="0"/>
    <n v="1"/>
    <n v="1"/>
    <n v="0"/>
    <n v="0"/>
    <n v="0"/>
    <n v="1"/>
    <x v="0"/>
    <n v="3"/>
    <x v="0"/>
    <n v="2"/>
    <x v="1"/>
    <n v="1"/>
    <s v="Bachelor"/>
    <s v="High"/>
    <s v="Very High"/>
    <s v="Bad"/>
  </r>
  <r>
    <n v="38"/>
    <s v="No"/>
    <s v="Travel_Rarely"/>
    <s v="Research &amp; Development"/>
    <n v="23"/>
    <n v="4"/>
    <s v="Life Sciences"/>
    <n v="393"/>
    <n v="4"/>
    <s v="Male"/>
    <n v="3"/>
    <n v="2"/>
    <s v="Healthcare Representative"/>
    <n v="4"/>
    <s v="Divorced"/>
    <n v="5745"/>
    <n v="9"/>
    <x v="1"/>
    <n v="14"/>
    <n v="3"/>
    <n v="2"/>
    <n v="1"/>
    <n v="10"/>
    <n v="2"/>
    <n v="3"/>
    <n v="2"/>
    <n v="2"/>
    <n v="1"/>
    <n v="2"/>
    <n v="0"/>
    <x v="0"/>
    <n v="3"/>
    <x v="0"/>
    <n v="2"/>
    <x v="1"/>
    <n v="1"/>
    <s v="Master"/>
    <s v="Very High"/>
    <s v="Very High"/>
    <s v="Better"/>
  </r>
  <r>
    <n v="26"/>
    <s v="Yes"/>
    <s v="Travel_Rarely"/>
    <s v="Research &amp; Development"/>
    <n v="16"/>
    <n v="4"/>
    <s v="Medical"/>
    <n v="394"/>
    <n v="1"/>
    <s v="Male"/>
    <n v="3"/>
    <n v="1"/>
    <s v="Laboratory Technician"/>
    <n v="2"/>
    <s v="Divorced"/>
    <n v="2373"/>
    <n v="2"/>
    <x v="0"/>
    <n v="13"/>
    <n v="3"/>
    <n v="4"/>
    <n v="1"/>
    <n v="5"/>
    <n v="2"/>
    <n v="3"/>
    <n v="3"/>
    <n v="2"/>
    <n v="0"/>
    <n v="2"/>
    <n v="1"/>
    <x v="2"/>
    <n v="2"/>
    <x v="1"/>
    <n v="1"/>
    <x v="2"/>
    <n v="2"/>
    <s v="Master"/>
    <s v="Medium"/>
    <s v="Low"/>
    <s v="Better"/>
  </r>
  <r>
    <n v="28"/>
    <s v="No"/>
    <s v="Travel_Rarely"/>
    <s v="Research &amp; Development"/>
    <n v="8"/>
    <n v="2"/>
    <s v="Life Sciences"/>
    <n v="395"/>
    <n v="4"/>
    <s v="Female"/>
    <n v="3"/>
    <n v="1"/>
    <s v="Research Scientist"/>
    <n v="4"/>
    <s v="Single"/>
    <n v="3310"/>
    <n v="1"/>
    <x v="1"/>
    <n v="21"/>
    <n v="4"/>
    <n v="4"/>
    <n v="0"/>
    <n v="5"/>
    <n v="3"/>
    <n v="3"/>
    <n v="5"/>
    <n v="3"/>
    <n v="0"/>
    <n v="2"/>
    <n v="0"/>
    <x v="2"/>
    <n v="2"/>
    <x v="0"/>
    <n v="2"/>
    <x v="2"/>
    <n v="2"/>
    <s v="College"/>
    <s v="Very High"/>
    <s v="Very High"/>
    <s v="Better"/>
  </r>
  <r>
    <n v="49"/>
    <s v="No"/>
    <s v="Travel_Frequently"/>
    <s v="Research &amp; Development"/>
    <n v="10"/>
    <n v="4"/>
    <s v="Life Sciences"/>
    <n v="396"/>
    <n v="3"/>
    <s v="Female"/>
    <n v="3"/>
    <n v="5"/>
    <s v="Research Director"/>
    <n v="1"/>
    <s v="Single"/>
    <n v="18665"/>
    <n v="9"/>
    <x v="0"/>
    <n v="11"/>
    <n v="3"/>
    <n v="4"/>
    <n v="0"/>
    <n v="22"/>
    <n v="4"/>
    <n v="3"/>
    <n v="3"/>
    <n v="2"/>
    <n v="1"/>
    <n v="2"/>
    <n v="0"/>
    <x v="1"/>
    <n v="4"/>
    <x v="3"/>
    <n v="4"/>
    <x v="2"/>
    <n v="2"/>
    <s v="Master"/>
    <s v="Low"/>
    <s v="High"/>
    <s v="Better"/>
  </r>
  <r>
    <n v="36"/>
    <s v="No"/>
    <s v="Travel_Rarely"/>
    <s v="Research &amp; Development"/>
    <n v="3"/>
    <n v="3"/>
    <s v="Technical Degree"/>
    <n v="397"/>
    <n v="3"/>
    <s v="Male"/>
    <n v="3"/>
    <n v="2"/>
    <s v="Research Scientist"/>
    <n v="2"/>
    <s v="Single"/>
    <n v="4485"/>
    <n v="4"/>
    <x v="1"/>
    <n v="12"/>
    <n v="3"/>
    <n v="4"/>
    <n v="0"/>
    <n v="10"/>
    <n v="2"/>
    <n v="3"/>
    <n v="8"/>
    <n v="0"/>
    <n v="7"/>
    <n v="7"/>
    <n v="0"/>
    <x v="0"/>
    <n v="3"/>
    <x v="0"/>
    <n v="2"/>
    <x v="0"/>
    <n v="3"/>
    <s v="Bachelor"/>
    <s v="Medium"/>
    <s v="High"/>
    <s v="Better"/>
  </r>
  <r>
    <n v="31"/>
    <s v="No"/>
    <s v="Travel_Frequently"/>
    <s v="Sales"/>
    <n v="5"/>
    <n v="3"/>
    <s v="Marketing"/>
    <n v="399"/>
    <n v="4"/>
    <s v="Female"/>
    <n v="3"/>
    <n v="1"/>
    <s v="Sales Representative"/>
    <n v="2"/>
    <s v="Divorced"/>
    <n v="2789"/>
    <n v="1"/>
    <x v="1"/>
    <n v="11"/>
    <n v="3"/>
    <n v="3"/>
    <n v="1"/>
    <n v="2"/>
    <n v="5"/>
    <n v="2"/>
    <n v="2"/>
    <n v="2"/>
    <n v="2"/>
    <n v="2"/>
    <n v="0"/>
    <x v="2"/>
    <n v="2"/>
    <x v="1"/>
    <n v="1"/>
    <x v="1"/>
    <n v="1"/>
    <s v="Bachelor"/>
    <s v="Medium"/>
    <s v="Very High"/>
    <s v="Good"/>
  </r>
  <r>
    <n v="26"/>
    <s v="Yes"/>
    <s v="Travel_Rarely"/>
    <s v="Sales"/>
    <n v="4"/>
    <n v="4"/>
    <s v="Marketing"/>
    <n v="401"/>
    <n v="4"/>
    <s v="Male"/>
    <n v="2"/>
    <n v="2"/>
    <s v="Sales Executive"/>
    <n v="4"/>
    <s v="Single"/>
    <n v="5828"/>
    <n v="1"/>
    <x v="0"/>
    <n v="12"/>
    <n v="3"/>
    <n v="2"/>
    <n v="0"/>
    <n v="8"/>
    <n v="0"/>
    <n v="3"/>
    <n v="8"/>
    <n v="7"/>
    <n v="7"/>
    <n v="4"/>
    <n v="1"/>
    <x v="2"/>
    <n v="2"/>
    <x v="0"/>
    <n v="2"/>
    <x v="0"/>
    <n v="3"/>
    <s v="Master"/>
    <s v="Very High"/>
    <s v="Very High"/>
    <s v="Better"/>
  </r>
  <r>
    <n v="37"/>
    <s v="No"/>
    <s v="Travel_Frequently"/>
    <s v="Research &amp; Development"/>
    <n v="9"/>
    <n v="3"/>
    <s v="Medical"/>
    <n v="403"/>
    <n v="2"/>
    <s v="Male"/>
    <n v="3"/>
    <n v="1"/>
    <s v="Research Scientist"/>
    <n v="4"/>
    <s v="Married"/>
    <n v="2326"/>
    <n v="1"/>
    <x v="0"/>
    <n v="12"/>
    <n v="3"/>
    <n v="3"/>
    <n v="3"/>
    <n v="4"/>
    <n v="3"/>
    <n v="2"/>
    <n v="4"/>
    <n v="2"/>
    <n v="1"/>
    <n v="2"/>
    <n v="0"/>
    <x v="0"/>
    <n v="3"/>
    <x v="1"/>
    <n v="1"/>
    <x v="2"/>
    <n v="2"/>
    <s v="Bachelor"/>
    <s v="Very High"/>
    <s v="Medium"/>
    <s v="Good"/>
  </r>
  <r>
    <n v="42"/>
    <s v="No"/>
    <s v="Travel_Frequently"/>
    <s v="Sales"/>
    <n v="26"/>
    <n v="3"/>
    <s v="Marketing"/>
    <n v="404"/>
    <n v="3"/>
    <s v="Female"/>
    <n v="3"/>
    <n v="4"/>
    <s v="Sales Executive"/>
    <n v="2"/>
    <s v="Married"/>
    <n v="13525"/>
    <n v="5"/>
    <x v="1"/>
    <n v="14"/>
    <n v="3"/>
    <n v="4"/>
    <n v="1"/>
    <n v="23"/>
    <n v="2"/>
    <n v="4"/>
    <n v="20"/>
    <n v="4"/>
    <n v="4"/>
    <n v="8"/>
    <n v="0"/>
    <x v="0"/>
    <n v="3"/>
    <x v="3"/>
    <n v="4"/>
    <x v="3"/>
    <n v="4"/>
    <s v="Bachelor"/>
    <s v="Medium"/>
    <s v="High"/>
    <s v="Best"/>
  </r>
  <r>
    <n v="18"/>
    <s v="Yes"/>
    <s v="Travel_Rarely"/>
    <s v="Research &amp; Development"/>
    <n v="3"/>
    <n v="3"/>
    <s v="Life Sciences"/>
    <n v="405"/>
    <n v="3"/>
    <s v="Male"/>
    <n v="3"/>
    <n v="1"/>
    <s v="Laboratory Technician"/>
    <n v="3"/>
    <s v="Single"/>
    <n v="1420"/>
    <n v="1"/>
    <x v="1"/>
    <n v="13"/>
    <n v="3"/>
    <n v="3"/>
    <n v="0"/>
    <n v="0"/>
    <n v="2"/>
    <n v="3"/>
    <n v="0"/>
    <n v="0"/>
    <n v="0"/>
    <n v="0"/>
    <n v="1"/>
    <x v="4"/>
    <n v="1"/>
    <x v="1"/>
    <n v="1"/>
    <x v="1"/>
    <n v="1"/>
    <s v="Bachelor"/>
    <s v="High"/>
    <s v="High"/>
    <s v="Better"/>
  </r>
  <r>
    <n v="35"/>
    <s v="No"/>
    <s v="Travel_Rarely"/>
    <s v="Sales"/>
    <n v="16"/>
    <n v="3"/>
    <s v="Marketing"/>
    <n v="406"/>
    <n v="3"/>
    <s v="Male"/>
    <n v="3"/>
    <n v="3"/>
    <s v="Sales Executive"/>
    <n v="2"/>
    <s v="Married"/>
    <n v="8020"/>
    <n v="0"/>
    <x v="1"/>
    <n v="15"/>
    <n v="3"/>
    <n v="3"/>
    <n v="2"/>
    <n v="12"/>
    <n v="3"/>
    <n v="2"/>
    <n v="11"/>
    <n v="9"/>
    <n v="6"/>
    <n v="9"/>
    <n v="0"/>
    <x v="2"/>
    <n v="2"/>
    <x v="2"/>
    <n v="3"/>
    <x v="3"/>
    <n v="4"/>
    <s v="Bachelor"/>
    <s v="Medium"/>
    <s v="High"/>
    <s v="Good"/>
  </r>
  <r>
    <n v="36"/>
    <s v="No"/>
    <s v="Travel_Frequently"/>
    <s v="Research &amp; Development"/>
    <n v="18"/>
    <n v="4"/>
    <s v="Life Sciences"/>
    <n v="407"/>
    <n v="3"/>
    <s v="Male"/>
    <n v="4"/>
    <n v="1"/>
    <s v="Laboratory Technician"/>
    <n v="4"/>
    <s v="Married"/>
    <n v="3688"/>
    <n v="4"/>
    <x v="1"/>
    <n v="18"/>
    <n v="3"/>
    <n v="4"/>
    <n v="2"/>
    <n v="4"/>
    <n v="2"/>
    <n v="3"/>
    <n v="1"/>
    <n v="0"/>
    <n v="0"/>
    <n v="0"/>
    <n v="0"/>
    <x v="0"/>
    <n v="3"/>
    <x v="0"/>
    <n v="2"/>
    <x v="1"/>
    <n v="1"/>
    <s v="Master"/>
    <s v="Very High"/>
    <s v="High"/>
    <s v="Better"/>
  </r>
  <r>
    <n v="51"/>
    <s v="No"/>
    <s v="Travel_Rarely"/>
    <s v="Research &amp; Development"/>
    <n v="2"/>
    <n v="3"/>
    <s v="Medical"/>
    <n v="408"/>
    <n v="4"/>
    <s v="Male"/>
    <n v="1"/>
    <n v="2"/>
    <s v="Manufacturing Director"/>
    <n v="2"/>
    <s v="Divorced"/>
    <n v="5482"/>
    <n v="5"/>
    <x v="1"/>
    <n v="18"/>
    <n v="3"/>
    <n v="4"/>
    <n v="1"/>
    <n v="13"/>
    <n v="3"/>
    <n v="3"/>
    <n v="4"/>
    <n v="1"/>
    <n v="1"/>
    <n v="2"/>
    <n v="0"/>
    <x v="1"/>
    <n v="4"/>
    <x v="0"/>
    <n v="2"/>
    <x v="2"/>
    <n v="2"/>
    <s v="Bachelor"/>
    <s v="Medium"/>
    <s v="Very High"/>
    <s v="Better"/>
  </r>
  <r>
    <n v="41"/>
    <s v="No"/>
    <s v="Travel_Rarely"/>
    <s v="Sales"/>
    <n v="2"/>
    <n v="4"/>
    <s v="Life Sciences"/>
    <n v="410"/>
    <n v="4"/>
    <s v="Male"/>
    <n v="3"/>
    <n v="4"/>
    <s v="Manager"/>
    <n v="2"/>
    <s v="Single"/>
    <n v="16015"/>
    <n v="1"/>
    <x v="1"/>
    <n v="19"/>
    <n v="3"/>
    <n v="2"/>
    <n v="0"/>
    <n v="22"/>
    <n v="2"/>
    <n v="3"/>
    <n v="22"/>
    <n v="10"/>
    <n v="0"/>
    <n v="4"/>
    <n v="0"/>
    <x v="0"/>
    <n v="3"/>
    <x v="3"/>
    <n v="4"/>
    <x v="3"/>
    <n v="4"/>
    <s v="Master"/>
    <s v="Medium"/>
    <s v="Very High"/>
    <s v="Better"/>
  </r>
  <r>
    <n v="18"/>
    <s v="No"/>
    <s v="Travel_Rarely"/>
    <s v="Sales"/>
    <n v="10"/>
    <n v="3"/>
    <s v="Medical"/>
    <n v="411"/>
    <n v="4"/>
    <s v="Female"/>
    <n v="2"/>
    <n v="1"/>
    <s v="Sales Representative"/>
    <n v="3"/>
    <s v="Single"/>
    <n v="1200"/>
    <n v="1"/>
    <x v="1"/>
    <n v="12"/>
    <n v="3"/>
    <n v="1"/>
    <n v="0"/>
    <n v="0"/>
    <n v="2"/>
    <n v="3"/>
    <n v="0"/>
    <n v="0"/>
    <n v="0"/>
    <n v="0"/>
    <n v="0"/>
    <x v="4"/>
    <n v="1"/>
    <x v="1"/>
    <n v="1"/>
    <x v="1"/>
    <n v="1"/>
    <s v="Bachelor"/>
    <s v="High"/>
    <s v="Very High"/>
    <s v="Better"/>
  </r>
  <r>
    <n v="28"/>
    <s v="No"/>
    <s v="Travel_Rarely"/>
    <s v="Research &amp; Development"/>
    <n v="16"/>
    <n v="2"/>
    <s v="Medical"/>
    <n v="412"/>
    <n v="2"/>
    <s v="Male"/>
    <n v="4"/>
    <n v="2"/>
    <s v="Healthcare Representative"/>
    <n v="1"/>
    <s v="Single"/>
    <n v="5661"/>
    <n v="0"/>
    <x v="1"/>
    <n v="19"/>
    <n v="3"/>
    <n v="3"/>
    <n v="0"/>
    <n v="9"/>
    <n v="2"/>
    <n v="3"/>
    <n v="8"/>
    <n v="3"/>
    <n v="0"/>
    <n v="7"/>
    <n v="0"/>
    <x v="2"/>
    <n v="2"/>
    <x v="0"/>
    <n v="2"/>
    <x v="0"/>
    <n v="3"/>
    <s v="College"/>
    <s v="Low"/>
    <s v="Medium"/>
    <s v="Better"/>
  </r>
  <r>
    <n v="31"/>
    <s v="No"/>
    <s v="Travel_Rarely"/>
    <s v="Sales"/>
    <n v="7"/>
    <n v="3"/>
    <s v="Technical Degree"/>
    <n v="416"/>
    <n v="2"/>
    <s v="Male"/>
    <n v="4"/>
    <n v="2"/>
    <s v="Sales Executive"/>
    <n v="4"/>
    <s v="Married"/>
    <n v="6929"/>
    <n v="4"/>
    <x v="1"/>
    <n v="11"/>
    <n v="3"/>
    <n v="2"/>
    <n v="1"/>
    <n v="10"/>
    <n v="3"/>
    <n v="2"/>
    <n v="8"/>
    <n v="7"/>
    <n v="7"/>
    <n v="7"/>
    <n v="0"/>
    <x v="2"/>
    <n v="2"/>
    <x v="2"/>
    <n v="3"/>
    <x v="0"/>
    <n v="3"/>
    <s v="Bachelor"/>
    <s v="Very High"/>
    <s v="Medium"/>
    <s v="Good"/>
  </r>
  <r>
    <n v="39"/>
    <s v="No"/>
    <s v="Travel_Rarely"/>
    <s v="Research &amp; Development"/>
    <n v="1"/>
    <n v="3"/>
    <s v="Medical"/>
    <n v="417"/>
    <n v="3"/>
    <s v="Male"/>
    <n v="4"/>
    <n v="3"/>
    <s v="Healthcare Representative"/>
    <n v="4"/>
    <s v="Divorced"/>
    <n v="9613"/>
    <n v="0"/>
    <x v="1"/>
    <n v="17"/>
    <n v="3"/>
    <n v="1"/>
    <n v="3"/>
    <n v="19"/>
    <n v="5"/>
    <n v="2"/>
    <n v="18"/>
    <n v="10"/>
    <n v="3"/>
    <n v="7"/>
    <n v="0"/>
    <x v="0"/>
    <n v="3"/>
    <x v="2"/>
    <n v="3"/>
    <x v="3"/>
    <n v="4"/>
    <s v="Bachelor"/>
    <s v="Very High"/>
    <s v="High"/>
    <s v="Good"/>
  </r>
  <r>
    <n v="36"/>
    <s v="No"/>
    <s v="Non-Travel"/>
    <s v="Research &amp; Development"/>
    <n v="24"/>
    <n v="4"/>
    <s v="Life Sciences"/>
    <n v="419"/>
    <n v="2"/>
    <s v="Female"/>
    <n v="3"/>
    <n v="2"/>
    <s v="Laboratory Technician"/>
    <n v="2"/>
    <s v="Married"/>
    <n v="5674"/>
    <n v="7"/>
    <x v="1"/>
    <n v="15"/>
    <n v="3"/>
    <n v="3"/>
    <n v="1"/>
    <n v="11"/>
    <n v="3"/>
    <n v="3"/>
    <n v="9"/>
    <n v="8"/>
    <n v="0"/>
    <n v="8"/>
    <n v="0"/>
    <x v="0"/>
    <n v="3"/>
    <x v="0"/>
    <n v="2"/>
    <x v="0"/>
    <n v="3"/>
    <s v="Master"/>
    <s v="Medium"/>
    <s v="Medium"/>
    <s v="Better"/>
  </r>
  <r>
    <n v="32"/>
    <s v="No"/>
    <s v="Travel_Rarely"/>
    <s v="Sales"/>
    <n v="7"/>
    <n v="3"/>
    <s v="Life Sciences"/>
    <n v="420"/>
    <n v="4"/>
    <s v="Male"/>
    <n v="2"/>
    <n v="2"/>
    <s v="Sales Executive"/>
    <n v="3"/>
    <s v="Married"/>
    <n v="5484"/>
    <n v="1"/>
    <x v="1"/>
    <n v="14"/>
    <n v="3"/>
    <n v="3"/>
    <n v="1"/>
    <n v="13"/>
    <n v="3"/>
    <n v="2"/>
    <n v="13"/>
    <n v="8"/>
    <n v="4"/>
    <n v="8"/>
    <n v="0"/>
    <x v="2"/>
    <n v="2"/>
    <x v="0"/>
    <n v="2"/>
    <x v="3"/>
    <n v="4"/>
    <s v="Bachelor"/>
    <s v="High"/>
    <s v="Very High"/>
    <s v="Good"/>
  </r>
  <r>
    <n v="38"/>
    <s v="No"/>
    <s v="Travel_Rarely"/>
    <s v="Research &amp; Development"/>
    <n v="25"/>
    <n v="2"/>
    <s v="Life Sciences"/>
    <n v="421"/>
    <n v="1"/>
    <s v="Female"/>
    <n v="2"/>
    <n v="3"/>
    <s v="Research Director"/>
    <n v="2"/>
    <s v="Married"/>
    <n v="12061"/>
    <n v="3"/>
    <x v="1"/>
    <n v="17"/>
    <n v="3"/>
    <n v="3"/>
    <n v="1"/>
    <n v="19"/>
    <n v="2"/>
    <n v="3"/>
    <n v="10"/>
    <n v="8"/>
    <n v="0"/>
    <n v="1"/>
    <n v="0"/>
    <x v="0"/>
    <n v="3"/>
    <x v="3"/>
    <n v="4"/>
    <x v="0"/>
    <n v="3"/>
    <s v="College"/>
    <s v="Medium"/>
    <s v="Low"/>
    <s v="Better"/>
  </r>
  <r>
    <n v="58"/>
    <s v="No"/>
    <s v="Non-Travel"/>
    <s v="Research &amp; Development"/>
    <n v="1"/>
    <n v="4"/>
    <s v="Life Sciences"/>
    <n v="422"/>
    <n v="4"/>
    <s v="Male"/>
    <n v="1"/>
    <n v="2"/>
    <s v="Healthcare Representative"/>
    <n v="3"/>
    <s v="Divorced"/>
    <n v="5660"/>
    <n v="2"/>
    <x v="0"/>
    <n v="13"/>
    <n v="3"/>
    <n v="4"/>
    <n v="1"/>
    <n v="12"/>
    <n v="2"/>
    <n v="3"/>
    <n v="5"/>
    <n v="3"/>
    <n v="1"/>
    <n v="2"/>
    <n v="0"/>
    <x v="3"/>
    <n v="5"/>
    <x v="0"/>
    <n v="2"/>
    <x v="2"/>
    <n v="2"/>
    <s v="Master"/>
    <s v="High"/>
    <s v="Very High"/>
    <s v="Better"/>
  </r>
  <r>
    <n v="31"/>
    <s v="No"/>
    <s v="Travel_Rarely"/>
    <s v="Research &amp; Development"/>
    <n v="5"/>
    <n v="4"/>
    <s v="Technical Degree"/>
    <n v="423"/>
    <n v="3"/>
    <s v="Male"/>
    <n v="3"/>
    <n v="1"/>
    <s v="Research Scientist"/>
    <n v="4"/>
    <s v="Married"/>
    <n v="4821"/>
    <n v="0"/>
    <x v="0"/>
    <n v="12"/>
    <n v="3"/>
    <n v="3"/>
    <n v="1"/>
    <n v="6"/>
    <n v="4"/>
    <n v="3"/>
    <n v="5"/>
    <n v="2"/>
    <n v="0"/>
    <n v="3"/>
    <n v="0"/>
    <x v="2"/>
    <n v="2"/>
    <x v="0"/>
    <n v="2"/>
    <x v="2"/>
    <n v="2"/>
    <s v="Master"/>
    <s v="Very High"/>
    <s v="High"/>
    <s v="Better"/>
  </r>
  <r>
    <n v="31"/>
    <s v="No"/>
    <s v="Travel_Rarely"/>
    <s v="Human Resources"/>
    <n v="2"/>
    <n v="3"/>
    <s v="Human Resources"/>
    <n v="424"/>
    <n v="1"/>
    <s v="Male"/>
    <n v="2"/>
    <n v="2"/>
    <s v="Human Resources"/>
    <n v="1"/>
    <s v="Married"/>
    <n v="6410"/>
    <n v="3"/>
    <x v="1"/>
    <n v="12"/>
    <n v="3"/>
    <n v="4"/>
    <n v="0"/>
    <n v="9"/>
    <n v="1"/>
    <n v="3"/>
    <n v="2"/>
    <n v="2"/>
    <n v="1"/>
    <n v="0"/>
    <n v="0"/>
    <x v="2"/>
    <n v="2"/>
    <x v="2"/>
    <n v="3"/>
    <x v="1"/>
    <n v="1"/>
    <s v="Bachelor"/>
    <s v="Low"/>
    <s v="Low"/>
    <s v="Better"/>
  </r>
  <r>
    <n v="45"/>
    <s v="No"/>
    <s v="Travel_Frequently"/>
    <s v="Research &amp; Development"/>
    <n v="7"/>
    <n v="3"/>
    <s v="Life Sciences"/>
    <n v="425"/>
    <n v="1"/>
    <s v="Male"/>
    <n v="3"/>
    <n v="3"/>
    <s v="Laboratory Technician"/>
    <n v="1"/>
    <s v="Divorced"/>
    <n v="5210"/>
    <n v="1"/>
    <x v="1"/>
    <n v="18"/>
    <n v="3"/>
    <n v="1"/>
    <n v="1"/>
    <n v="24"/>
    <n v="2"/>
    <n v="3"/>
    <n v="24"/>
    <n v="9"/>
    <n v="9"/>
    <n v="11"/>
    <n v="0"/>
    <x v="0"/>
    <n v="3"/>
    <x v="0"/>
    <n v="2"/>
    <x v="3"/>
    <n v="4"/>
    <s v="Bachelor"/>
    <s v="Low"/>
    <s v="Low"/>
    <s v="Better"/>
  </r>
  <r>
    <n v="31"/>
    <s v="No"/>
    <s v="Travel_Rarely"/>
    <s v="Research &amp; Development"/>
    <n v="2"/>
    <n v="4"/>
    <s v="Life Sciences"/>
    <n v="426"/>
    <n v="3"/>
    <s v="Male"/>
    <n v="3"/>
    <n v="1"/>
    <s v="Research Scientist"/>
    <n v="4"/>
    <s v="Divorced"/>
    <n v="2695"/>
    <n v="0"/>
    <x v="0"/>
    <n v="18"/>
    <n v="3"/>
    <n v="2"/>
    <n v="1"/>
    <n v="3"/>
    <n v="2"/>
    <n v="1"/>
    <n v="2"/>
    <n v="2"/>
    <n v="2"/>
    <n v="2"/>
    <n v="0"/>
    <x v="2"/>
    <n v="2"/>
    <x v="1"/>
    <n v="1"/>
    <x v="1"/>
    <n v="1"/>
    <s v="Master"/>
    <s v="Very High"/>
    <s v="High"/>
    <s v="Bad"/>
  </r>
  <r>
    <n v="33"/>
    <s v="No"/>
    <s v="Travel_Frequently"/>
    <s v="Research &amp; Development"/>
    <n v="5"/>
    <n v="4"/>
    <s v="Life Sciences"/>
    <n v="428"/>
    <n v="4"/>
    <s v="Female"/>
    <n v="3"/>
    <n v="3"/>
    <s v="Manager"/>
    <n v="2"/>
    <s v="Married"/>
    <n v="11878"/>
    <n v="6"/>
    <x v="1"/>
    <n v="11"/>
    <n v="3"/>
    <n v="2"/>
    <n v="2"/>
    <n v="12"/>
    <n v="2"/>
    <n v="3"/>
    <n v="10"/>
    <n v="6"/>
    <n v="8"/>
    <n v="8"/>
    <n v="0"/>
    <x v="2"/>
    <n v="2"/>
    <x v="3"/>
    <n v="4"/>
    <x v="0"/>
    <n v="3"/>
    <s v="Master"/>
    <s v="Medium"/>
    <s v="Very High"/>
    <s v="Better"/>
  </r>
  <r>
    <n v="39"/>
    <s v="No"/>
    <s v="Travel_Rarely"/>
    <s v="Research &amp; Development"/>
    <n v="10"/>
    <n v="1"/>
    <s v="Medical"/>
    <n v="429"/>
    <n v="3"/>
    <s v="Male"/>
    <n v="3"/>
    <n v="4"/>
    <s v="Manager"/>
    <n v="1"/>
    <s v="Married"/>
    <n v="17068"/>
    <n v="1"/>
    <x v="0"/>
    <n v="14"/>
    <n v="3"/>
    <n v="4"/>
    <n v="0"/>
    <n v="21"/>
    <n v="3"/>
    <n v="3"/>
    <n v="21"/>
    <n v="9"/>
    <n v="11"/>
    <n v="10"/>
    <n v="0"/>
    <x v="0"/>
    <n v="3"/>
    <x v="3"/>
    <n v="4"/>
    <x v="3"/>
    <n v="4"/>
    <s v="Below College"/>
    <s v="Low"/>
    <s v="High"/>
    <s v="Better"/>
  </r>
  <r>
    <n v="43"/>
    <s v="No"/>
    <s v="Travel_Frequently"/>
    <s v="Research &amp; Development"/>
    <n v="10"/>
    <n v="4"/>
    <s v="Life Sciences"/>
    <n v="430"/>
    <n v="3"/>
    <s v="Female"/>
    <n v="3"/>
    <n v="1"/>
    <s v="Laboratory Technician"/>
    <n v="4"/>
    <s v="Single"/>
    <n v="2455"/>
    <n v="0"/>
    <x v="1"/>
    <n v="19"/>
    <n v="3"/>
    <n v="1"/>
    <n v="0"/>
    <n v="9"/>
    <n v="5"/>
    <n v="3"/>
    <n v="8"/>
    <n v="7"/>
    <n v="1"/>
    <n v="7"/>
    <n v="0"/>
    <x v="0"/>
    <n v="3"/>
    <x v="1"/>
    <n v="1"/>
    <x v="0"/>
    <n v="3"/>
    <s v="Master"/>
    <s v="Very High"/>
    <s v="High"/>
    <s v="Better"/>
  </r>
  <r>
    <n v="49"/>
    <s v="No"/>
    <s v="Travel_Rarely"/>
    <s v="Research &amp; Development"/>
    <n v="1"/>
    <n v="2"/>
    <s v="Technical Degree"/>
    <n v="431"/>
    <n v="3"/>
    <s v="Female"/>
    <n v="2"/>
    <n v="4"/>
    <s v="Healthcare Representative"/>
    <n v="3"/>
    <s v="Single"/>
    <n v="13964"/>
    <n v="7"/>
    <x v="0"/>
    <n v="12"/>
    <n v="3"/>
    <n v="4"/>
    <n v="0"/>
    <n v="25"/>
    <n v="2"/>
    <n v="3"/>
    <n v="7"/>
    <n v="1"/>
    <n v="0"/>
    <n v="7"/>
    <n v="0"/>
    <x v="1"/>
    <n v="4"/>
    <x v="3"/>
    <n v="4"/>
    <x v="0"/>
    <n v="3"/>
    <s v="College"/>
    <s v="High"/>
    <s v="High"/>
    <s v="Better"/>
  </r>
  <r>
    <n v="52"/>
    <s v="Yes"/>
    <s v="Travel_Rarely"/>
    <s v="Research &amp; Development"/>
    <n v="8"/>
    <n v="4"/>
    <s v="Medical"/>
    <n v="433"/>
    <n v="3"/>
    <s v="Male"/>
    <n v="2"/>
    <n v="2"/>
    <s v="Research Scientist"/>
    <n v="2"/>
    <s v="Married"/>
    <n v="4941"/>
    <n v="2"/>
    <x v="1"/>
    <n v="15"/>
    <n v="3"/>
    <n v="1"/>
    <n v="0"/>
    <n v="11"/>
    <n v="3"/>
    <n v="2"/>
    <n v="8"/>
    <n v="2"/>
    <n v="7"/>
    <n v="7"/>
    <n v="1"/>
    <x v="1"/>
    <n v="4"/>
    <x v="0"/>
    <n v="2"/>
    <x v="0"/>
    <n v="3"/>
    <s v="Master"/>
    <s v="Medium"/>
    <s v="High"/>
    <s v="Good"/>
  </r>
  <r>
    <n v="27"/>
    <s v="No"/>
    <s v="Travel_Rarely"/>
    <s v="Research &amp; Development"/>
    <n v="5"/>
    <n v="3"/>
    <s v="Life Sciences"/>
    <n v="434"/>
    <n v="3"/>
    <s v="Female"/>
    <n v="3"/>
    <n v="1"/>
    <s v="Research Scientist"/>
    <n v="2"/>
    <s v="Single"/>
    <n v="2478"/>
    <n v="1"/>
    <x v="0"/>
    <n v="12"/>
    <n v="3"/>
    <n v="2"/>
    <n v="0"/>
    <n v="4"/>
    <n v="2"/>
    <n v="2"/>
    <n v="4"/>
    <n v="3"/>
    <n v="1"/>
    <n v="2"/>
    <n v="0"/>
    <x v="2"/>
    <n v="2"/>
    <x v="1"/>
    <n v="1"/>
    <x v="2"/>
    <n v="2"/>
    <s v="Bachelor"/>
    <s v="Medium"/>
    <s v="High"/>
    <s v="Good"/>
  </r>
  <r>
    <n v="32"/>
    <s v="No"/>
    <s v="Travel_Rarely"/>
    <s v="Sales"/>
    <n v="8"/>
    <n v="2"/>
    <s v="Technical Degree"/>
    <n v="436"/>
    <n v="3"/>
    <s v="Female"/>
    <n v="2"/>
    <n v="2"/>
    <s v="Sales Executive"/>
    <n v="2"/>
    <s v="Married"/>
    <n v="5228"/>
    <n v="1"/>
    <x v="0"/>
    <n v="11"/>
    <n v="3"/>
    <n v="4"/>
    <n v="0"/>
    <n v="13"/>
    <n v="2"/>
    <n v="3"/>
    <n v="13"/>
    <n v="12"/>
    <n v="11"/>
    <n v="9"/>
    <n v="0"/>
    <x v="2"/>
    <n v="2"/>
    <x v="0"/>
    <n v="2"/>
    <x v="3"/>
    <n v="4"/>
    <s v="College"/>
    <s v="Medium"/>
    <s v="High"/>
    <s v="Better"/>
  </r>
  <r>
    <n v="27"/>
    <s v="No"/>
    <s v="Travel_Rarely"/>
    <s v="Sales"/>
    <n v="2"/>
    <n v="3"/>
    <s v="Life Sciences"/>
    <n v="437"/>
    <n v="4"/>
    <s v="Male"/>
    <n v="3"/>
    <n v="2"/>
    <s v="Sales Executive"/>
    <n v="3"/>
    <s v="Single"/>
    <n v="4478"/>
    <n v="1"/>
    <x v="0"/>
    <n v="11"/>
    <n v="3"/>
    <n v="1"/>
    <n v="0"/>
    <n v="5"/>
    <n v="3"/>
    <n v="3"/>
    <n v="5"/>
    <n v="4"/>
    <n v="0"/>
    <n v="4"/>
    <n v="0"/>
    <x v="2"/>
    <n v="2"/>
    <x v="0"/>
    <n v="2"/>
    <x v="2"/>
    <n v="2"/>
    <s v="Bachelor"/>
    <s v="High"/>
    <s v="Very High"/>
    <s v="Better"/>
  </r>
  <r>
    <n v="31"/>
    <s v="No"/>
    <s v="Travel_Rarely"/>
    <s v="Sales"/>
    <n v="7"/>
    <n v="3"/>
    <s v="Marketing"/>
    <n v="438"/>
    <n v="4"/>
    <s v="Male"/>
    <n v="3"/>
    <n v="2"/>
    <s v="Sales Executive"/>
    <n v="4"/>
    <s v="Divorced"/>
    <n v="7547"/>
    <n v="4"/>
    <x v="1"/>
    <n v="12"/>
    <n v="3"/>
    <n v="4"/>
    <n v="3"/>
    <n v="13"/>
    <n v="3"/>
    <n v="3"/>
    <n v="7"/>
    <n v="7"/>
    <n v="1"/>
    <n v="7"/>
    <n v="0"/>
    <x v="2"/>
    <n v="2"/>
    <x v="2"/>
    <n v="3"/>
    <x v="0"/>
    <n v="3"/>
    <s v="Bachelor"/>
    <s v="Very High"/>
    <s v="Very High"/>
    <s v="Better"/>
  </r>
  <r>
    <n v="32"/>
    <s v="No"/>
    <s v="Travel_Rarely"/>
    <s v="Research &amp; Development"/>
    <n v="2"/>
    <n v="4"/>
    <s v="Medical"/>
    <n v="439"/>
    <n v="1"/>
    <s v="Female"/>
    <n v="4"/>
    <n v="2"/>
    <s v="Research Scientist"/>
    <n v="4"/>
    <s v="Single"/>
    <n v="5055"/>
    <n v="7"/>
    <x v="1"/>
    <n v="16"/>
    <n v="3"/>
    <n v="3"/>
    <n v="0"/>
    <n v="10"/>
    <n v="0"/>
    <n v="2"/>
    <n v="7"/>
    <n v="7"/>
    <n v="0"/>
    <n v="7"/>
    <n v="0"/>
    <x v="2"/>
    <n v="2"/>
    <x v="0"/>
    <n v="2"/>
    <x v="0"/>
    <n v="3"/>
    <s v="Master"/>
    <s v="Very High"/>
    <s v="Low"/>
    <s v="Good"/>
  </r>
  <r>
    <n v="28"/>
    <s v="Yes"/>
    <s v="Travel_Rarely"/>
    <s v="Research &amp; Development"/>
    <n v="2"/>
    <n v="4"/>
    <s v="Medical"/>
    <n v="440"/>
    <n v="1"/>
    <s v="Male"/>
    <n v="1"/>
    <n v="1"/>
    <s v="Research Scientist"/>
    <n v="4"/>
    <s v="Married"/>
    <n v="3464"/>
    <n v="5"/>
    <x v="0"/>
    <n v="13"/>
    <n v="3"/>
    <n v="4"/>
    <n v="0"/>
    <n v="5"/>
    <n v="4"/>
    <n v="2"/>
    <n v="3"/>
    <n v="2"/>
    <n v="2"/>
    <n v="2"/>
    <n v="1"/>
    <x v="2"/>
    <n v="2"/>
    <x v="0"/>
    <n v="2"/>
    <x v="2"/>
    <n v="2"/>
    <s v="Master"/>
    <s v="Very High"/>
    <s v="Low"/>
    <s v="Good"/>
  </r>
  <r>
    <n v="30"/>
    <s v="No"/>
    <s v="Travel_Rarely"/>
    <s v="Research &amp; Development"/>
    <n v="28"/>
    <n v="2"/>
    <s v="Medical"/>
    <n v="441"/>
    <n v="4"/>
    <s v="Female"/>
    <n v="3"/>
    <n v="2"/>
    <s v="Research Scientist"/>
    <n v="4"/>
    <s v="Married"/>
    <n v="5775"/>
    <n v="1"/>
    <x v="1"/>
    <n v="13"/>
    <n v="3"/>
    <n v="4"/>
    <n v="2"/>
    <n v="11"/>
    <n v="2"/>
    <n v="3"/>
    <n v="10"/>
    <n v="8"/>
    <n v="1"/>
    <n v="9"/>
    <n v="0"/>
    <x v="2"/>
    <n v="2"/>
    <x v="0"/>
    <n v="2"/>
    <x v="0"/>
    <n v="3"/>
    <s v="College"/>
    <s v="Very High"/>
    <s v="Very High"/>
    <s v="Better"/>
  </r>
  <r>
    <n v="31"/>
    <s v="No"/>
    <s v="Travel_Frequently"/>
    <s v="Research &amp; Development"/>
    <n v="7"/>
    <n v="2"/>
    <s v="Life Sciences"/>
    <n v="442"/>
    <n v="3"/>
    <s v="Female"/>
    <n v="2"/>
    <n v="3"/>
    <s v="Manufacturing Director"/>
    <n v="3"/>
    <s v="Married"/>
    <n v="8943"/>
    <n v="1"/>
    <x v="1"/>
    <n v="24"/>
    <n v="4"/>
    <n v="1"/>
    <n v="1"/>
    <n v="10"/>
    <n v="2"/>
    <n v="3"/>
    <n v="10"/>
    <n v="9"/>
    <n v="8"/>
    <n v="9"/>
    <n v="0"/>
    <x v="2"/>
    <n v="2"/>
    <x v="2"/>
    <n v="3"/>
    <x v="0"/>
    <n v="3"/>
    <s v="College"/>
    <s v="High"/>
    <s v="High"/>
    <s v="Better"/>
  </r>
  <r>
    <n v="39"/>
    <s v="No"/>
    <s v="Travel_Frequently"/>
    <s v="Research &amp; Development"/>
    <n v="7"/>
    <n v="2"/>
    <s v="Medical"/>
    <n v="444"/>
    <n v="3"/>
    <s v="Male"/>
    <n v="2"/>
    <n v="5"/>
    <s v="Manager"/>
    <n v="4"/>
    <s v="Married"/>
    <n v="19272"/>
    <n v="1"/>
    <x v="1"/>
    <n v="15"/>
    <n v="3"/>
    <n v="1"/>
    <n v="1"/>
    <n v="21"/>
    <n v="2"/>
    <n v="3"/>
    <n v="21"/>
    <n v="9"/>
    <n v="13"/>
    <n v="3"/>
    <n v="0"/>
    <x v="0"/>
    <n v="3"/>
    <x v="3"/>
    <n v="4"/>
    <x v="3"/>
    <n v="4"/>
    <s v="College"/>
    <s v="Very High"/>
    <s v="High"/>
    <s v="Better"/>
  </r>
  <r>
    <n v="39"/>
    <s v="Yes"/>
    <s v="Travel_Rarely"/>
    <s v="Sales"/>
    <n v="3"/>
    <n v="2"/>
    <s v="Medical"/>
    <n v="445"/>
    <n v="4"/>
    <s v="Female"/>
    <n v="3"/>
    <n v="2"/>
    <s v="Sales Executive"/>
    <n v="3"/>
    <s v="Married"/>
    <n v="5238"/>
    <n v="4"/>
    <x v="0"/>
    <n v="18"/>
    <n v="3"/>
    <n v="1"/>
    <n v="0"/>
    <n v="12"/>
    <n v="3"/>
    <n v="2"/>
    <n v="1"/>
    <n v="0"/>
    <n v="0"/>
    <n v="0"/>
    <n v="1"/>
    <x v="0"/>
    <n v="3"/>
    <x v="0"/>
    <n v="2"/>
    <x v="1"/>
    <n v="1"/>
    <s v="College"/>
    <s v="High"/>
    <s v="Very High"/>
    <s v="Good"/>
  </r>
  <r>
    <n v="33"/>
    <s v="No"/>
    <s v="Travel_Frequently"/>
    <s v="Sales"/>
    <n v="10"/>
    <n v="3"/>
    <s v="Marketing"/>
    <n v="446"/>
    <n v="2"/>
    <s v="Male"/>
    <n v="2"/>
    <n v="2"/>
    <s v="Sales Executive"/>
    <n v="4"/>
    <s v="Single"/>
    <n v="4682"/>
    <n v="3"/>
    <x v="1"/>
    <n v="14"/>
    <n v="3"/>
    <n v="3"/>
    <n v="0"/>
    <n v="9"/>
    <n v="6"/>
    <n v="2"/>
    <n v="7"/>
    <n v="7"/>
    <n v="0"/>
    <n v="1"/>
    <n v="0"/>
    <x v="2"/>
    <n v="2"/>
    <x v="0"/>
    <n v="2"/>
    <x v="0"/>
    <n v="3"/>
    <s v="Bachelor"/>
    <s v="Very High"/>
    <s v="Medium"/>
    <s v="Good"/>
  </r>
  <r>
    <n v="47"/>
    <s v="No"/>
    <s v="Travel_Rarely"/>
    <s v="Research &amp; Development"/>
    <n v="5"/>
    <n v="5"/>
    <s v="Life Sciences"/>
    <n v="447"/>
    <n v="4"/>
    <s v="Male"/>
    <n v="3"/>
    <n v="5"/>
    <s v="Research Director"/>
    <n v="3"/>
    <s v="Married"/>
    <n v="18300"/>
    <n v="4"/>
    <x v="1"/>
    <n v="11"/>
    <n v="3"/>
    <n v="2"/>
    <n v="1"/>
    <n v="21"/>
    <n v="2"/>
    <n v="3"/>
    <n v="3"/>
    <n v="2"/>
    <n v="1"/>
    <n v="1"/>
    <n v="0"/>
    <x v="1"/>
    <n v="4"/>
    <x v="3"/>
    <n v="4"/>
    <x v="2"/>
    <n v="2"/>
    <s v="Doctor"/>
    <s v="High"/>
    <s v="Very High"/>
    <s v="Better"/>
  </r>
  <r>
    <n v="43"/>
    <s v="No"/>
    <s v="Travel_Frequently"/>
    <s v="Research &amp; Development"/>
    <n v="10"/>
    <n v="4"/>
    <s v="Life Sciences"/>
    <n v="448"/>
    <n v="3"/>
    <s v="Female"/>
    <n v="2"/>
    <n v="2"/>
    <s v="Laboratory Technician"/>
    <n v="3"/>
    <s v="Divorced"/>
    <n v="5257"/>
    <n v="1"/>
    <x v="1"/>
    <n v="11"/>
    <n v="3"/>
    <n v="2"/>
    <n v="1"/>
    <n v="9"/>
    <n v="3"/>
    <n v="4"/>
    <n v="9"/>
    <n v="7"/>
    <n v="0"/>
    <n v="0"/>
    <n v="0"/>
    <x v="0"/>
    <n v="3"/>
    <x v="0"/>
    <n v="2"/>
    <x v="0"/>
    <n v="3"/>
    <s v="Master"/>
    <s v="High"/>
    <s v="High"/>
    <s v="Best"/>
  </r>
  <r>
    <n v="27"/>
    <s v="No"/>
    <s v="Non-Travel"/>
    <s v="Sales"/>
    <n v="1"/>
    <n v="1"/>
    <s v="Marketing"/>
    <n v="449"/>
    <n v="3"/>
    <s v="Male"/>
    <n v="3"/>
    <n v="2"/>
    <s v="Sales Executive"/>
    <n v="2"/>
    <s v="Married"/>
    <n v="6349"/>
    <n v="0"/>
    <x v="0"/>
    <n v="13"/>
    <n v="3"/>
    <n v="4"/>
    <n v="1"/>
    <n v="6"/>
    <n v="0"/>
    <n v="3"/>
    <n v="5"/>
    <n v="4"/>
    <n v="1"/>
    <n v="4"/>
    <n v="0"/>
    <x v="2"/>
    <n v="2"/>
    <x v="2"/>
    <n v="3"/>
    <x v="2"/>
    <n v="2"/>
    <s v="Below College"/>
    <s v="Medium"/>
    <s v="High"/>
    <s v="Better"/>
  </r>
  <r>
    <n v="54"/>
    <s v="No"/>
    <s v="Travel_Frequently"/>
    <s v="Research &amp; Development"/>
    <n v="20"/>
    <n v="4"/>
    <s v="Life Sciences"/>
    <n v="450"/>
    <n v="4"/>
    <s v="Female"/>
    <n v="3"/>
    <n v="2"/>
    <s v="Research Scientist"/>
    <n v="3"/>
    <s v="Single"/>
    <n v="4869"/>
    <n v="3"/>
    <x v="1"/>
    <n v="12"/>
    <n v="3"/>
    <n v="4"/>
    <n v="0"/>
    <n v="20"/>
    <n v="4"/>
    <n v="2"/>
    <n v="4"/>
    <n v="3"/>
    <n v="0"/>
    <n v="3"/>
    <n v="0"/>
    <x v="1"/>
    <n v="4"/>
    <x v="0"/>
    <n v="2"/>
    <x v="2"/>
    <n v="2"/>
    <s v="Master"/>
    <s v="High"/>
    <s v="Very High"/>
    <s v="Good"/>
  </r>
  <r>
    <n v="43"/>
    <s v="No"/>
    <s v="Travel_Rarely"/>
    <s v="Research &amp; Development"/>
    <n v="7"/>
    <n v="3"/>
    <s v="Life Sciences"/>
    <n v="451"/>
    <n v="3"/>
    <s v="Female"/>
    <n v="3"/>
    <n v="3"/>
    <s v="Healthcare Representative"/>
    <n v="1"/>
    <s v="Married"/>
    <n v="9985"/>
    <n v="8"/>
    <x v="1"/>
    <n v="16"/>
    <n v="3"/>
    <n v="1"/>
    <n v="1"/>
    <n v="10"/>
    <n v="1"/>
    <n v="2"/>
    <n v="1"/>
    <n v="0"/>
    <n v="0"/>
    <n v="0"/>
    <n v="0"/>
    <x v="0"/>
    <n v="3"/>
    <x v="2"/>
    <n v="3"/>
    <x v="1"/>
    <n v="1"/>
    <s v="Bachelor"/>
    <s v="Low"/>
    <s v="High"/>
    <s v="Good"/>
  </r>
  <r>
    <n v="45"/>
    <s v="No"/>
    <s v="Travel_Rarely"/>
    <s v="Research &amp; Development"/>
    <n v="8"/>
    <n v="4"/>
    <s v="Other"/>
    <n v="452"/>
    <n v="4"/>
    <s v="Male"/>
    <n v="3"/>
    <n v="2"/>
    <s v="Research Scientist"/>
    <n v="4"/>
    <s v="Married"/>
    <n v="3697"/>
    <n v="9"/>
    <x v="1"/>
    <n v="14"/>
    <n v="3"/>
    <n v="1"/>
    <n v="2"/>
    <n v="12"/>
    <n v="3"/>
    <n v="3"/>
    <n v="10"/>
    <n v="9"/>
    <n v="9"/>
    <n v="8"/>
    <n v="0"/>
    <x v="0"/>
    <n v="3"/>
    <x v="0"/>
    <n v="2"/>
    <x v="0"/>
    <n v="3"/>
    <s v="Master"/>
    <s v="Very High"/>
    <s v="Very High"/>
    <s v="Better"/>
  </r>
  <r>
    <n v="40"/>
    <s v="No"/>
    <s v="Travel_Rarely"/>
    <s v="Sales"/>
    <n v="1"/>
    <n v="2"/>
    <s v="Medical"/>
    <n v="453"/>
    <n v="2"/>
    <s v="Male"/>
    <n v="1"/>
    <n v="2"/>
    <s v="Sales Executive"/>
    <n v="4"/>
    <s v="Married"/>
    <n v="7457"/>
    <n v="2"/>
    <x v="0"/>
    <n v="22"/>
    <n v="4"/>
    <n v="3"/>
    <n v="3"/>
    <n v="6"/>
    <n v="2"/>
    <n v="2"/>
    <n v="4"/>
    <n v="3"/>
    <n v="0"/>
    <n v="2"/>
    <n v="0"/>
    <x v="0"/>
    <n v="3"/>
    <x v="2"/>
    <n v="3"/>
    <x v="2"/>
    <n v="2"/>
    <s v="College"/>
    <s v="Very High"/>
    <s v="Medium"/>
    <s v="Good"/>
  </r>
  <r>
    <n v="29"/>
    <s v="Yes"/>
    <s v="Travel_Rarely"/>
    <s v="Research &amp; Development"/>
    <n v="8"/>
    <n v="4"/>
    <s v="Other"/>
    <n v="454"/>
    <n v="2"/>
    <s v="Male"/>
    <n v="1"/>
    <n v="1"/>
    <s v="Laboratory Technician"/>
    <n v="1"/>
    <s v="Married"/>
    <n v="2119"/>
    <n v="1"/>
    <x v="0"/>
    <n v="11"/>
    <n v="3"/>
    <n v="4"/>
    <n v="0"/>
    <n v="7"/>
    <n v="4"/>
    <n v="2"/>
    <n v="7"/>
    <n v="7"/>
    <n v="0"/>
    <n v="7"/>
    <n v="1"/>
    <x v="2"/>
    <n v="2"/>
    <x v="1"/>
    <n v="1"/>
    <x v="0"/>
    <n v="3"/>
    <s v="Master"/>
    <s v="Low"/>
    <s v="Medium"/>
    <s v="Good"/>
  </r>
  <r>
    <n v="29"/>
    <s v="No"/>
    <s v="Travel_Rarely"/>
    <s v="Research &amp; Development"/>
    <n v="9"/>
    <n v="5"/>
    <s v="Other"/>
    <n v="455"/>
    <n v="2"/>
    <s v="Male"/>
    <n v="2"/>
    <n v="1"/>
    <s v="Laboratory Technician"/>
    <n v="4"/>
    <s v="Single"/>
    <n v="3983"/>
    <n v="0"/>
    <x v="1"/>
    <n v="17"/>
    <n v="3"/>
    <n v="3"/>
    <n v="0"/>
    <n v="4"/>
    <n v="2"/>
    <n v="3"/>
    <n v="3"/>
    <n v="2"/>
    <n v="2"/>
    <n v="2"/>
    <n v="0"/>
    <x v="2"/>
    <n v="2"/>
    <x v="0"/>
    <n v="2"/>
    <x v="2"/>
    <n v="2"/>
    <s v="Doctor"/>
    <s v="Very High"/>
    <s v="Medium"/>
    <s v="Better"/>
  </r>
  <r>
    <n v="30"/>
    <s v="No"/>
    <s v="Travel_Rarely"/>
    <s v="Sales"/>
    <n v="5"/>
    <n v="3"/>
    <s v="Marketing"/>
    <n v="456"/>
    <n v="4"/>
    <s v="Female"/>
    <n v="2"/>
    <n v="2"/>
    <s v="Sales Executive"/>
    <n v="3"/>
    <s v="Divorced"/>
    <n v="6118"/>
    <n v="1"/>
    <x v="1"/>
    <n v="13"/>
    <n v="3"/>
    <n v="3"/>
    <n v="3"/>
    <n v="10"/>
    <n v="2"/>
    <n v="3"/>
    <n v="10"/>
    <n v="9"/>
    <n v="1"/>
    <n v="2"/>
    <n v="0"/>
    <x v="2"/>
    <n v="2"/>
    <x v="2"/>
    <n v="3"/>
    <x v="0"/>
    <n v="3"/>
    <s v="Bachelor"/>
    <s v="High"/>
    <s v="Very High"/>
    <s v="Better"/>
  </r>
  <r>
    <n v="27"/>
    <s v="No"/>
    <s v="Travel_Rarely"/>
    <s v="Sales"/>
    <n v="8"/>
    <n v="4"/>
    <s v="Marketing"/>
    <n v="458"/>
    <n v="2"/>
    <s v="Female"/>
    <n v="3"/>
    <n v="2"/>
    <s v="Sales Executive"/>
    <n v="2"/>
    <s v="Married"/>
    <n v="6214"/>
    <n v="1"/>
    <x v="1"/>
    <n v="18"/>
    <n v="3"/>
    <n v="1"/>
    <n v="1"/>
    <n v="8"/>
    <n v="3"/>
    <n v="3"/>
    <n v="8"/>
    <n v="7"/>
    <n v="0"/>
    <n v="7"/>
    <n v="0"/>
    <x v="2"/>
    <n v="2"/>
    <x v="2"/>
    <n v="3"/>
    <x v="0"/>
    <n v="3"/>
    <s v="Master"/>
    <s v="Medium"/>
    <s v="Medium"/>
    <s v="Better"/>
  </r>
  <r>
    <n v="37"/>
    <s v="No"/>
    <s v="Travel_Rarely"/>
    <s v="Research &amp; Development"/>
    <n v="5"/>
    <n v="2"/>
    <s v="Medical"/>
    <n v="460"/>
    <n v="4"/>
    <s v="Male"/>
    <n v="3"/>
    <n v="2"/>
    <s v="Manufacturing Director"/>
    <n v="4"/>
    <s v="Divorced"/>
    <n v="6347"/>
    <n v="7"/>
    <x v="1"/>
    <n v="16"/>
    <n v="3"/>
    <n v="3"/>
    <n v="2"/>
    <n v="8"/>
    <n v="2"/>
    <n v="2"/>
    <n v="6"/>
    <n v="2"/>
    <n v="0"/>
    <n v="4"/>
    <n v="0"/>
    <x v="0"/>
    <n v="3"/>
    <x v="2"/>
    <n v="3"/>
    <x v="0"/>
    <n v="3"/>
    <s v="College"/>
    <s v="Very High"/>
    <s v="Very High"/>
    <s v="Good"/>
  </r>
  <r>
    <n v="38"/>
    <s v="No"/>
    <s v="Travel_Rarely"/>
    <s v="Research &amp; Development"/>
    <n v="15"/>
    <n v="2"/>
    <s v="Life Sciences"/>
    <n v="461"/>
    <n v="3"/>
    <s v="Male"/>
    <n v="2"/>
    <n v="3"/>
    <s v="Research Director"/>
    <n v="4"/>
    <s v="Divorced"/>
    <n v="11510"/>
    <n v="0"/>
    <x v="0"/>
    <n v="14"/>
    <n v="3"/>
    <n v="2"/>
    <n v="1"/>
    <n v="12"/>
    <n v="3"/>
    <n v="3"/>
    <n v="11"/>
    <n v="10"/>
    <n v="2"/>
    <n v="9"/>
    <n v="0"/>
    <x v="0"/>
    <n v="3"/>
    <x v="3"/>
    <n v="4"/>
    <x v="3"/>
    <n v="4"/>
    <s v="College"/>
    <s v="Very High"/>
    <s v="High"/>
    <s v="Better"/>
  </r>
  <r>
    <n v="31"/>
    <s v="No"/>
    <s v="Travel_Rarely"/>
    <s v="Research &amp; Development"/>
    <n v="7"/>
    <n v="4"/>
    <s v="Medical"/>
    <n v="462"/>
    <n v="3"/>
    <s v="Female"/>
    <n v="3"/>
    <n v="3"/>
    <s v="Manufacturing Director"/>
    <n v="4"/>
    <s v="Single"/>
    <n v="7143"/>
    <n v="1"/>
    <x v="0"/>
    <n v="14"/>
    <n v="3"/>
    <n v="3"/>
    <n v="0"/>
    <n v="11"/>
    <n v="2"/>
    <n v="2"/>
    <n v="11"/>
    <n v="9"/>
    <n v="4"/>
    <n v="10"/>
    <n v="0"/>
    <x v="2"/>
    <n v="2"/>
    <x v="2"/>
    <n v="3"/>
    <x v="3"/>
    <n v="4"/>
    <s v="Master"/>
    <s v="Very High"/>
    <s v="High"/>
    <s v="Good"/>
  </r>
  <r>
    <n v="29"/>
    <s v="No"/>
    <s v="Travel_Rarely"/>
    <s v="Sales"/>
    <n v="10"/>
    <n v="1"/>
    <s v="Marketing"/>
    <n v="463"/>
    <n v="4"/>
    <s v="Female"/>
    <n v="2"/>
    <n v="2"/>
    <s v="Sales Executive"/>
    <n v="2"/>
    <s v="Divorced"/>
    <n v="8268"/>
    <n v="1"/>
    <x v="0"/>
    <n v="14"/>
    <n v="3"/>
    <n v="1"/>
    <n v="2"/>
    <n v="7"/>
    <n v="2"/>
    <n v="3"/>
    <n v="7"/>
    <n v="7"/>
    <n v="1"/>
    <n v="7"/>
    <n v="0"/>
    <x v="2"/>
    <n v="2"/>
    <x v="2"/>
    <n v="3"/>
    <x v="0"/>
    <n v="3"/>
    <s v="Below College"/>
    <s v="Medium"/>
    <s v="Very High"/>
    <s v="Better"/>
  </r>
  <r>
    <n v="35"/>
    <s v="No"/>
    <s v="Travel_Rarely"/>
    <s v="Research &amp; Development"/>
    <n v="5"/>
    <n v="4"/>
    <s v="Technical Degree"/>
    <n v="464"/>
    <n v="3"/>
    <s v="Male"/>
    <n v="3"/>
    <n v="3"/>
    <s v="Manufacturing Director"/>
    <n v="2"/>
    <s v="Single"/>
    <n v="8095"/>
    <n v="0"/>
    <x v="1"/>
    <n v="13"/>
    <n v="3"/>
    <n v="4"/>
    <n v="0"/>
    <n v="17"/>
    <n v="5"/>
    <n v="3"/>
    <n v="16"/>
    <n v="6"/>
    <n v="0"/>
    <n v="13"/>
    <n v="0"/>
    <x v="2"/>
    <n v="2"/>
    <x v="2"/>
    <n v="3"/>
    <x v="3"/>
    <n v="4"/>
    <s v="Master"/>
    <s v="Medium"/>
    <s v="High"/>
    <s v="Better"/>
  </r>
  <r>
    <n v="23"/>
    <s v="No"/>
    <s v="Travel_Rarely"/>
    <s v="Research &amp; Development"/>
    <n v="26"/>
    <n v="1"/>
    <s v="Life Sciences"/>
    <n v="465"/>
    <n v="3"/>
    <s v="Male"/>
    <n v="3"/>
    <n v="1"/>
    <s v="Research Scientist"/>
    <n v="4"/>
    <s v="Divorced"/>
    <n v="2904"/>
    <n v="1"/>
    <x v="1"/>
    <n v="12"/>
    <n v="3"/>
    <n v="3"/>
    <n v="2"/>
    <n v="4"/>
    <n v="2"/>
    <n v="2"/>
    <n v="4"/>
    <n v="2"/>
    <n v="0"/>
    <n v="2"/>
    <n v="0"/>
    <x v="4"/>
    <n v="1"/>
    <x v="1"/>
    <n v="1"/>
    <x v="2"/>
    <n v="2"/>
    <s v="Below College"/>
    <s v="Very High"/>
    <s v="High"/>
    <s v="Good"/>
  </r>
  <r>
    <n v="41"/>
    <s v="No"/>
    <s v="Travel_Rarely"/>
    <s v="Research &amp; Development"/>
    <n v="6"/>
    <n v="3"/>
    <s v="Medical"/>
    <n v="466"/>
    <n v="4"/>
    <s v="Male"/>
    <n v="2"/>
    <n v="2"/>
    <s v="Manufacturing Director"/>
    <n v="2"/>
    <s v="Single"/>
    <n v="6032"/>
    <n v="6"/>
    <x v="0"/>
    <n v="15"/>
    <n v="3"/>
    <n v="4"/>
    <n v="0"/>
    <n v="8"/>
    <n v="3"/>
    <n v="3"/>
    <n v="5"/>
    <n v="4"/>
    <n v="1"/>
    <n v="2"/>
    <n v="0"/>
    <x v="0"/>
    <n v="3"/>
    <x v="2"/>
    <n v="3"/>
    <x v="2"/>
    <n v="2"/>
    <s v="Bachelor"/>
    <s v="Medium"/>
    <s v="Very High"/>
    <s v="Better"/>
  </r>
  <r>
    <n v="47"/>
    <s v="No"/>
    <s v="Travel_Frequently"/>
    <s v="Sales"/>
    <n v="4"/>
    <n v="1"/>
    <s v="Medical"/>
    <n v="467"/>
    <n v="2"/>
    <s v="Male"/>
    <n v="3"/>
    <n v="2"/>
    <s v="Sales Representative"/>
    <n v="3"/>
    <s v="Single"/>
    <n v="2976"/>
    <n v="3"/>
    <x v="1"/>
    <n v="19"/>
    <n v="3"/>
    <n v="1"/>
    <n v="0"/>
    <n v="5"/>
    <n v="3"/>
    <n v="3"/>
    <n v="0"/>
    <n v="0"/>
    <n v="0"/>
    <n v="0"/>
    <n v="0"/>
    <x v="1"/>
    <n v="4"/>
    <x v="1"/>
    <n v="1"/>
    <x v="1"/>
    <n v="1"/>
    <s v="Below College"/>
    <s v="High"/>
    <s v="Medium"/>
    <s v="Better"/>
  </r>
  <r>
    <n v="42"/>
    <s v="No"/>
    <s v="Travel_Rarely"/>
    <s v="Research &amp; Development"/>
    <n v="23"/>
    <n v="5"/>
    <s v="Life Sciences"/>
    <n v="468"/>
    <n v="1"/>
    <s v="Female"/>
    <n v="3"/>
    <n v="4"/>
    <s v="Research Director"/>
    <n v="4"/>
    <s v="Single"/>
    <n v="15992"/>
    <n v="2"/>
    <x v="1"/>
    <n v="14"/>
    <n v="3"/>
    <n v="2"/>
    <n v="0"/>
    <n v="16"/>
    <n v="2"/>
    <n v="3"/>
    <n v="1"/>
    <n v="0"/>
    <n v="0"/>
    <n v="0"/>
    <n v="0"/>
    <x v="0"/>
    <n v="3"/>
    <x v="3"/>
    <n v="4"/>
    <x v="1"/>
    <n v="1"/>
    <s v="Doctor"/>
    <s v="Very High"/>
    <s v="Low"/>
    <s v="Better"/>
  </r>
  <r>
    <n v="29"/>
    <s v="No"/>
    <s v="Non-Travel"/>
    <s v="Sales"/>
    <n v="2"/>
    <n v="3"/>
    <s v="Life Sciences"/>
    <n v="469"/>
    <n v="4"/>
    <s v="Male"/>
    <n v="3"/>
    <n v="2"/>
    <s v="Sales Executive"/>
    <n v="3"/>
    <s v="Married"/>
    <n v="4649"/>
    <n v="1"/>
    <x v="1"/>
    <n v="14"/>
    <n v="3"/>
    <n v="1"/>
    <n v="1"/>
    <n v="4"/>
    <n v="3"/>
    <n v="2"/>
    <n v="4"/>
    <n v="3"/>
    <n v="0"/>
    <n v="2"/>
    <n v="0"/>
    <x v="2"/>
    <n v="2"/>
    <x v="0"/>
    <n v="2"/>
    <x v="2"/>
    <n v="2"/>
    <s v="Bachelor"/>
    <s v="High"/>
    <s v="Very High"/>
    <s v="Good"/>
  </r>
  <r>
    <n v="42"/>
    <s v="No"/>
    <s v="Travel_Rarely"/>
    <s v="Human Resources"/>
    <n v="2"/>
    <n v="1"/>
    <s v="Technical Degree"/>
    <n v="470"/>
    <n v="3"/>
    <s v="Male"/>
    <n v="3"/>
    <n v="1"/>
    <s v="Human Resources"/>
    <n v="3"/>
    <s v="Divorced"/>
    <n v="2696"/>
    <n v="0"/>
    <x v="0"/>
    <n v="11"/>
    <n v="3"/>
    <n v="3"/>
    <n v="1"/>
    <n v="4"/>
    <n v="5"/>
    <n v="3"/>
    <n v="3"/>
    <n v="2"/>
    <n v="1"/>
    <n v="0"/>
    <n v="0"/>
    <x v="0"/>
    <n v="3"/>
    <x v="1"/>
    <n v="1"/>
    <x v="2"/>
    <n v="2"/>
    <s v="Below College"/>
    <s v="High"/>
    <s v="High"/>
    <s v="Better"/>
  </r>
  <r>
    <n v="32"/>
    <s v="No"/>
    <s v="Travel_Rarely"/>
    <s v="Research &amp; Development"/>
    <n v="2"/>
    <n v="3"/>
    <s v="Medical"/>
    <n v="471"/>
    <n v="3"/>
    <s v="Female"/>
    <n v="3"/>
    <n v="1"/>
    <s v="Laboratory Technician"/>
    <n v="2"/>
    <s v="Married"/>
    <n v="2370"/>
    <n v="1"/>
    <x v="1"/>
    <n v="13"/>
    <n v="3"/>
    <n v="3"/>
    <n v="1"/>
    <n v="8"/>
    <n v="4"/>
    <n v="3"/>
    <n v="8"/>
    <n v="0"/>
    <n v="0"/>
    <n v="7"/>
    <n v="0"/>
    <x v="2"/>
    <n v="2"/>
    <x v="1"/>
    <n v="1"/>
    <x v="0"/>
    <n v="3"/>
    <s v="Bachelor"/>
    <s v="Medium"/>
    <s v="High"/>
    <s v="Better"/>
  </r>
  <r>
    <n v="48"/>
    <s v="No"/>
    <s v="Travel_Rarely"/>
    <s v="Sales"/>
    <n v="29"/>
    <n v="1"/>
    <s v="Medical"/>
    <n v="473"/>
    <n v="1"/>
    <s v="Female"/>
    <n v="3"/>
    <n v="3"/>
    <s v="Manager"/>
    <n v="3"/>
    <s v="Married"/>
    <n v="12504"/>
    <n v="3"/>
    <x v="1"/>
    <n v="21"/>
    <n v="4"/>
    <n v="2"/>
    <n v="1"/>
    <n v="15"/>
    <n v="3"/>
    <n v="1"/>
    <n v="0"/>
    <n v="0"/>
    <n v="0"/>
    <n v="0"/>
    <n v="0"/>
    <x v="1"/>
    <n v="4"/>
    <x v="3"/>
    <n v="4"/>
    <x v="1"/>
    <n v="1"/>
    <s v="Below College"/>
    <s v="High"/>
    <s v="Low"/>
    <s v="Bad"/>
  </r>
  <r>
    <n v="37"/>
    <s v="No"/>
    <s v="Travel_Rarely"/>
    <s v="Research &amp; Development"/>
    <n v="6"/>
    <n v="3"/>
    <s v="Medical"/>
    <n v="474"/>
    <n v="3"/>
    <s v="Male"/>
    <n v="4"/>
    <n v="2"/>
    <s v="Research Scientist"/>
    <n v="1"/>
    <s v="Divorced"/>
    <n v="5974"/>
    <n v="4"/>
    <x v="0"/>
    <n v="13"/>
    <n v="3"/>
    <n v="1"/>
    <n v="2"/>
    <n v="13"/>
    <n v="2"/>
    <n v="3"/>
    <n v="7"/>
    <n v="7"/>
    <n v="6"/>
    <n v="7"/>
    <n v="0"/>
    <x v="0"/>
    <n v="3"/>
    <x v="0"/>
    <n v="2"/>
    <x v="0"/>
    <n v="3"/>
    <s v="Bachelor"/>
    <s v="Low"/>
    <s v="High"/>
    <s v="Better"/>
  </r>
  <r>
    <n v="30"/>
    <s v="No"/>
    <s v="Non-Travel"/>
    <s v="Sales"/>
    <n v="25"/>
    <n v="2"/>
    <s v="Technical Degree"/>
    <n v="475"/>
    <n v="4"/>
    <s v="Female"/>
    <n v="3"/>
    <n v="2"/>
    <s v="Sales Executive"/>
    <n v="3"/>
    <s v="Married"/>
    <n v="4736"/>
    <n v="7"/>
    <x v="0"/>
    <n v="12"/>
    <n v="3"/>
    <n v="2"/>
    <n v="1"/>
    <n v="4"/>
    <n v="2"/>
    <n v="4"/>
    <n v="2"/>
    <n v="2"/>
    <n v="2"/>
    <n v="2"/>
    <n v="0"/>
    <x v="2"/>
    <n v="2"/>
    <x v="0"/>
    <n v="2"/>
    <x v="1"/>
    <n v="1"/>
    <s v="College"/>
    <s v="High"/>
    <s v="Very High"/>
    <s v="Best"/>
  </r>
  <r>
    <n v="26"/>
    <s v="No"/>
    <s v="Travel_Rarely"/>
    <s v="Sales"/>
    <n v="1"/>
    <n v="3"/>
    <s v="Life Sciences"/>
    <n v="476"/>
    <n v="3"/>
    <s v="Male"/>
    <n v="3"/>
    <n v="2"/>
    <s v="Sales Executive"/>
    <n v="3"/>
    <s v="Married"/>
    <n v="5296"/>
    <n v="1"/>
    <x v="1"/>
    <n v="17"/>
    <n v="3"/>
    <n v="2"/>
    <n v="1"/>
    <n v="8"/>
    <n v="3"/>
    <n v="3"/>
    <n v="8"/>
    <n v="7"/>
    <n v="7"/>
    <n v="7"/>
    <n v="0"/>
    <x v="2"/>
    <n v="2"/>
    <x v="0"/>
    <n v="2"/>
    <x v="0"/>
    <n v="3"/>
    <s v="Bachelor"/>
    <s v="High"/>
    <s v="High"/>
    <s v="Better"/>
  </r>
  <r>
    <n v="42"/>
    <s v="No"/>
    <s v="Travel_Rarely"/>
    <s v="Research &amp; Development"/>
    <n v="2"/>
    <n v="4"/>
    <s v="Other"/>
    <n v="477"/>
    <n v="1"/>
    <s v="Male"/>
    <n v="2"/>
    <n v="2"/>
    <s v="Healthcare Representative"/>
    <n v="4"/>
    <s v="Single"/>
    <n v="6781"/>
    <n v="3"/>
    <x v="1"/>
    <n v="23"/>
    <n v="4"/>
    <n v="2"/>
    <n v="0"/>
    <n v="14"/>
    <n v="6"/>
    <n v="3"/>
    <n v="1"/>
    <n v="0"/>
    <n v="0"/>
    <n v="0"/>
    <n v="0"/>
    <x v="0"/>
    <n v="3"/>
    <x v="2"/>
    <n v="3"/>
    <x v="1"/>
    <n v="1"/>
    <s v="Master"/>
    <s v="Very High"/>
    <s v="Low"/>
    <s v="Better"/>
  </r>
  <r>
    <n v="21"/>
    <s v="Yes"/>
    <s v="Travel_Frequently"/>
    <s v="Sales"/>
    <n v="1"/>
    <n v="1"/>
    <s v="Technical Degree"/>
    <n v="478"/>
    <n v="1"/>
    <s v="Female"/>
    <n v="2"/>
    <n v="1"/>
    <s v="Sales Representative"/>
    <n v="2"/>
    <s v="Single"/>
    <n v="2174"/>
    <n v="1"/>
    <x v="0"/>
    <n v="11"/>
    <n v="3"/>
    <n v="3"/>
    <n v="0"/>
    <n v="3"/>
    <n v="3"/>
    <n v="3"/>
    <n v="3"/>
    <n v="2"/>
    <n v="1"/>
    <n v="2"/>
    <n v="1"/>
    <x v="4"/>
    <n v="1"/>
    <x v="1"/>
    <n v="1"/>
    <x v="2"/>
    <n v="2"/>
    <s v="Below College"/>
    <s v="Medium"/>
    <s v="Low"/>
    <s v="Better"/>
  </r>
  <r>
    <n v="36"/>
    <s v="No"/>
    <s v="Non-Travel"/>
    <s v="Sales"/>
    <n v="1"/>
    <n v="5"/>
    <s v="Medical"/>
    <n v="479"/>
    <n v="4"/>
    <s v="Female"/>
    <n v="3"/>
    <n v="2"/>
    <s v="Sales Executive"/>
    <n v="4"/>
    <s v="Single"/>
    <n v="6653"/>
    <n v="4"/>
    <x v="1"/>
    <n v="15"/>
    <n v="3"/>
    <n v="2"/>
    <n v="0"/>
    <n v="7"/>
    <n v="6"/>
    <n v="3"/>
    <n v="1"/>
    <n v="0"/>
    <n v="0"/>
    <n v="0"/>
    <n v="0"/>
    <x v="0"/>
    <n v="3"/>
    <x v="2"/>
    <n v="3"/>
    <x v="1"/>
    <n v="1"/>
    <s v="Doctor"/>
    <s v="Very High"/>
    <s v="Very High"/>
    <s v="Better"/>
  </r>
  <r>
    <n v="36"/>
    <s v="No"/>
    <s v="Travel_Frequently"/>
    <s v="Sales"/>
    <n v="3"/>
    <n v="4"/>
    <s v="Medical"/>
    <n v="481"/>
    <n v="1"/>
    <s v="Male"/>
    <n v="2"/>
    <n v="3"/>
    <s v="Sales Executive"/>
    <n v="4"/>
    <s v="Married"/>
    <n v="9699"/>
    <n v="4"/>
    <x v="1"/>
    <n v="11"/>
    <n v="3"/>
    <n v="1"/>
    <n v="1"/>
    <n v="16"/>
    <n v="2"/>
    <n v="3"/>
    <n v="13"/>
    <n v="9"/>
    <n v="1"/>
    <n v="12"/>
    <n v="0"/>
    <x v="0"/>
    <n v="3"/>
    <x v="2"/>
    <n v="3"/>
    <x v="3"/>
    <n v="4"/>
    <s v="Master"/>
    <s v="Very High"/>
    <s v="Low"/>
    <s v="Better"/>
  </r>
  <r>
    <n v="57"/>
    <s v="No"/>
    <s v="Travel_Rarely"/>
    <s v="Research &amp; Development"/>
    <n v="1"/>
    <n v="4"/>
    <s v="Medical"/>
    <n v="482"/>
    <n v="4"/>
    <s v="Male"/>
    <n v="3"/>
    <n v="2"/>
    <s v="Healthcare Representative"/>
    <n v="3"/>
    <s v="Married"/>
    <n v="6755"/>
    <n v="2"/>
    <x v="1"/>
    <n v="11"/>
    <n v="3"/>
    <n v="3"/>
    <n v="0"/>
    <n v="15"/>
    <n v="2"/>
    <n v="3"/>
    <n v="3"/>
    <n v="2"/>
    <n v="1"/>
    <n v="2"/>
    <n v="0"/>
    <x v="3"/>
    <n v="5"/>
    <x v="2"/>
    <n v="3"/>
    <x v="2"/>
    <n v="2"/>
    <s v="Master"/>
    <s v="High"/>
    <s v="Very High"/>
    <s v="Better"/>
  </r>
  <r>
    <n v="40"/>
    <s v="No"/>
    <s v="Travel_Rarely"/>
    <s v="Research &amp; Development"/>
    <n v="10"/>
    <n v="4"/>
    <s v="Life Sciences"/>
    <n v="483"/>
    <n v="4"/>
    <s v="Female"/>
    <n v="4"/>
    <n v="1"/>
    <s v="Laboratory Technician"/>
    <n v="3"/>
    <s v="Married"/>
    <n v="2213"/>
    <n v="3"/>
    <x v="0"/>
    <n v="13"/>
    <n v="3"/>
    <n v="3"/>
    <n v="1"/>
    <n v="10"/>
    <n v="3"/>
    <n v="3"/>
    <n v="7"/>
    <n v="7"/>
    <n v="1"/>
    <n v="7"/>
    <n v="0"/>
    <x v="0"/>
    <n v="3"/>
    <x v="1"/>
    <n v="1"/>
    <x v="0"/>
    <n v="3"/>
    <s v="Master"/>
    <s v="High"/>
    <s v="Very High"/>
    <s v="Better"/>
  </r>
  <r>
    <n v="21"/>
    <s v="No"/>
    <s v="Non-Travel"/>
    <s v="Sales"/>
    <n v="9"/>
    <n v="2"/>
    <s v="Medical"/>
    <n v="484"/>
    <n v="1"/>
    <s v="Male"/>
    <n v="3"/>
    <n v="1"/>
    <s v="Sales Representative"/>
    <n v="4"/>
    <s v="Single"/>
    <n v="2610"/>
    <n v="1"/>
    <x v="1"/>
    <n v="24"/>
    <n v="4"/>
    <n v="3"/>
    <n v="0"/>
    <n v="3"/>
    <n v="3"/>
    <n v="2"/>
    <n v="3"/>
    <n v="2"/>
    <n v="2"/>
    <n v="2"/>
    <n v="0"/>
    <x v="4"/>
    <n v="1"/>
    <x v="1"/>
    <n v="1"/>
    <x v="2"/>
    <n v="2"/>
    <s v="College"/>
    <s v="Very High"/>
    <s v="Low"/>
    <s v="Good"/>
  </r>
  <r>
    <n v="33"/>
    <s v="Yes"/>
    <s v="Travel_Rarely"/>
    <s v="Sales"/>
    <n v="5"/>
    <n v="3"/>
    <s v="Marketing"/>
    <n v="485"/>
    <n v="4"/>
    <s v="Female"/>
    <n v="3"/>
    <n v="1"/>
    <s v="Sales Representative"/>
    <n v="3"/>
    <s v="Single"/>
    <n v="2851"/>
    <n v="1"/>
    <x v="0"/>
    <n v="13"/>
    <n v="3"/>
    <n v="2"/>
    <n v="0"/>
    <n v="1"/>
    <n v="2"/>
    <n v="3"/>
    <n v="1"/>
    <n v="0"/>
    <n v="0"/>
    <n v="0"/>
    <n v="1"/>
    <x v="2"/>
    <n v="2"/>
    <x v="1"/>
    <n v="1"/>
    <x v="1"/>
    <n v="1"/>
    <s v="Bachelor"/>
    <s v="High"/>
    <s v="Very High"/>
    <s v="Better"/>
  </r>
  <r>
    <n v="37"/>
    <s v="No"/>
    <s v="Travel_Rarely"/>
    <s v="Research &amp; Development"/>
    <n v="10"/>
    <n v="3"/>
    <s v="Medical"/>
    <n v="486"/>
    <n v="3"/>
    <s v="Female"/>
    <n v="3"/>
    <n v="1"/>
    <s v="Laboratory Technician"/>
    <n v="1"/>
    <s v="Married"/>
    <n v="3452"/>
    <n v="6"/>
    <x v="1"/>
    <n v="20"/>
    <n v="4"/>
    <n v="2"/>
    <n v="1"/>
    <n v="17"/>
    <n v="3"/>
    <n v="3"/>
    <n v="5"/>
    <n v="4"/>
    <n v="0"/>
    <n v="3"/>
    <n v="0"/>
    <x v="0"/>
    <n v="3"/>
    <x v="0"/>
    <n v="2"/>
    <x v="2"/>
    <n v="2"/>
    <s v="Bachelor"/>
    <s v="Low"/>
    <s v="High"/>
    <s v="Better"/>
  </r>
  <r>
    <n v="46"/>
    <s v="No"/>
    <s v="Non-Travel"/>
    <s v="Research &amp; Development"/>
    <n v="7"/>
    <n v="4"/>
    <s v="Medical"/>
    <n v="487"/>
    <n v="3"/>
    <s v="Female"/>
    <n v="3"/>
    <n v="2"/>
    <s v="Manufacturing Director"/>
    <n v="3"/>
    <s v="Married"/>
    <n v="5258"/>
    <n v="2"/>
    <x v="1"/>
    <n v="14"/>
    <n v="3"/>
    <n v="3"/>
    <n v="0"/>
    <n v="7"/>
    <n v="2"/>
    <n v="4"/>
    <n v="1"/>
    <n v="0"/>
    <n v="0"/>
    <n v="0"/>
    <n v="0"/>
    <x v="1"/>
    <n v="4"/>
    <x v="0"/>
    <n v="2"/>
    <x v="1"/>
    <n v="1"/>
    <s v="Master"/>
    <s v="High"/>
    <s v="High"/>
    <s v="Best"/>
  </r>
  <r>
    <n v="41"/>
    <s v="Yes"/>
    <s v="Travel_Frequently"/>
    <s v="Sales"/>
    <n v="4"/>
    <n v="3"/>
    <s v="Marketing"/>
    <n v="488"/>
    <n v="1"/>
    <s v="Male"/>
    <n v="3"/>
    <n v="2"/>
    <s v="Sales Executive"/>
    <n v="2"/>
    <s v="Single"/>
    <n v="9355"/>
    <n v="1"/>
    <x v="1"/>
    <n v="18"/>
    <n v="3"/>
    <n v="3"/>
    <n v="0"/>
    <n v="8"/>
    <n v="5"/>
    <n v="3"/>
    <n v="8"/>
    <n v="7"/>
    <n v="7"/>
    <n v="7"/>
    <n v="1"/>
    <x v="0"/>
    <n v="3"/>
    <x v="2"/>
    <n v="3"/>
    <x v="0"/>
    <n v="3"/>
    <s v="Bachelor"/>
    <s v="Medium"/>
    <s v="Low"/>
    <s v="Better"/>
  </r>
  <r>
    <n v="50"/>
    <s v="No"/>
    <s v="Travel_Rarely"/>
    <s v="Research &amp; Development"/>
    <n v="10"/>
    <n v="3"/>
    <s v="Technical Degree"/>
    <n v="491"/>
    <n v="4"/>
    <s v="Male"/>
    <n v="2"/>
    <n v="3"/>
    <s v="Healthcare Representative"/>
    <n v="4"/>
    <s v="Single"/>
    <n v="10496"/>
    <n v="6"/>
    <x v="1"/>
    <n v="15"/>
    <n v="3"/>
    <n v="4"/>
    <n v="0"/>
    <n v="20"/>
    <n v="2"/>
    <n v="3"/>
    <n v="4"/>
    <n v="3"/>
    <n v="1"/>
    <n v="3"/>
    <n v="0"/>
    <x v="1"/>
    <n v="4"/>
    <x v="3"/>
    <n v="4"/>
    <x v="2"/>
    <n v="2"/>
    <s v="Bachelor"/>
    <s v="Very High"/>
    <s v="Very High"/>
    <s v="Better"/>
  </r>
  <r>
    <n v="40"/>
    <s v="Yes"/>
    <s v="Travel_Rarely"/>
    <s v="Sales"/>
    <n v="22"/>
    <n v="2"/>
    <s v="Marketing"/>
    <n v="492"/>
    <n v="3"/>
    <s v="Male"/>
    <n v="2"/>
    <n v="2"/>
    <s v="Sales Executive"/>
    <n v="3"/>
    <s v="Married"/>
    <n v="6380"/>
    <n v="2"/>
    <x v="0"/>
    <n v="12"/>
    <n v="3"/>
    <n v="1"/>
    <n v="2"/>
    <n v="8"/>
    <n v="6"/>
    <n v="3"/>
    <n v="6"/>
    <n v="4"/>
    <n v="1"/>
    <n v="0"/>
    <n v="1"/>
    <x v="0"/>
    <n v="3"/>
    <x v="2"/>
    <n v="3"/>
    <x v="0"/>
    <n v="3"/>
    <s v="College"/>
    <s v="High"/>
    <s v="High"/>
    <s v="Better"/>
  </r>
  <r>
    <n v="31"/>
    <s v="No"/>
    <s v="Travel_Rarely"/>
    <s v="Research &amp; Development"/>
    <n v="9"/>
    <n v="4"/>
    <s v="Life Sciences"/>
    <n v="493"/>
    <n v="3"/>
    <s v="Male"/>
    <n v="2"/>
    <n v="1"/>
    <s v="Research Scientist"/>
    <n v="2"/>
    <s v="Single"/>
    <n v="2657"/>
    <n v="0"/>
    <x v="0"/>
    <n v="16"/>
    <n v="3"/>
    <n v="4"/>
    <n v="0"/>
    <n v="3"/>
    <n v="5"/>
    <n v="3"/>
    <n v="2"/>
    <n v="2"/>
    <n v="2"/>
    <n v="2"/>
    <n v="0"/>
    <x v="2"/>
    <n v="2"/>
    <x v="1"/>
    <n v="1"/>
    <x v="1"/>
    <n v="1"/>
    <s v="Master"/>
    <s v="Medium"/>
    <s v="High"/>
    <s v="Better"/>
  </r>
  <r>
    <n v="21"/>
    <s v="Yes"/>
    <s v="Travel_Rarely"/>
    <s v="Sales"/>
    <n v="12"/>
    <n v="3"/>
    <s v="Life Sciences"/>
    <n v="494"/>
    <n v="3"/>
    <s v="Female"/>
    <n v="4"/>
    <n v="1"/>
    <s v="Sales Representative"/>
    <n v="2"/>
    <s v="Single"/>
    <n v="2716"/>
    <n v="1"/>
    <x v="1"/>
    <n v="15"/>
    <n v="3"/>
    <n v="4"/>
    <n v="0"/>
    <n v="1"/>
    <n v="0"/>
    <n v="3"/>
    <n v="1"/>
    <n v="0"/>
    <n v="0"/>
    <n v="0"/>
    <n v="1"/>
    <x v="4"/>
    <n v="1"/>
    <x v="1"/>
    <n v="1"/>
    <x v="1"/>
    <n v="1"/>
    <s v="Bachelor"/>
    <s v="Medium"/>
    <s v="High"/>
    <s v="Better"/>
  </r>
  <r>
    <n v="29"/>
    <s v="No"/>
    <s v="Travel_Rarely"/>
    <s v="Research &amp; Development"/>
    <n v="23"/>
    <n v="3"/>
    <s v="Life Sciences"/>
    <n v="495"/>
    <n v="4"/>
    <s v="Male"/>
    <n v="3"/>
    <n v="1"/>
    <s v="Research Scientist"/>
    <n v="4"/>
    <s v="Single"/>
    <n v="2201"/>
    <n v="9"/>
    <x v="1"/>
    <n v="16"/>
    <n v="3"/>
    <n v="4"/>
    <n v="0"/>
    <n v="6"/>
    <n v="4"/>
    <n v="3"/>
    <n v="3"/>
    <n v="2"/>
    <n v="1"/>
    <n v="2"/>
    <n v="0"/>
    <x v="2"/>
    <n v="2"/>
    <x v="1"/>
    <n v="1"/>
    <x v="2"/>
    <n v="2"/>
    <s v="Bachelor"/>
    <s v="Very High"/>
    <s v="Very High"/>
    <s v="Better"/>
  </r>
  <r>
    <n v="35"/>
    <s v="No"/>
    <s v="Travel_Rarely"/>
    <s v="Research &amp; Development"/>
    <n v="9"/>
    <n v="4"/>
    <s v="Life Sciences"/>
    <n v="496"/>
    <n v="3"/>
    <s v="Male"/>
    <n v="2"/>
    <n v="2"/>
    <s v="Healthcare Representative"/>
    <n v="2"/>
    <s v="Single"/>
    <n v="6540"/>
    <n v="9"/>
    <x v="1"/>
    <n v="19"/>
    <n v="3"/>
    <n v="3"/>
    <n v="0"/>
    <n v="10"/>
    <n v="5"/>
    <n v="3"/>
    <n v="1"/>
    <n v="1"/>
    <n v="0"/>
    <n v="0"/>
    <n v="0"/>
    <x v="2"/>
    <n v="2"/>
    <x v="2"/>
    <n v="3"/>
    <x v="1"/>
    <n v="1"/>
    <s v="Master"/>
    <s v="Medium"/>
    <s v="High"/>
    <s v="Better"/>
  </r>
  <r>
    <n v="27"/>
    <s v="No"/>
    <s v="Travel_Rarely"/>
    <s v="Research &amp; Development"/>
    <n v="1"/>
    <n v="2"/>
    <s v="Medical"/>
    <n v="497"/>
    <n v="4"/>
    <s v="Male"/>
    <n v="3"/>
    <n v="1"/>
    <s v="Laboratory Technician"/>
    <n v="2"/>
    <s v="Divorced"/>
    <n v="3816"/>
    <n v="1"/>
    <x v="1"/>
    <n v="11"/>
    <n v="3"/>
    <n v="2"/>
    <n v="1"/>
    <n v="5"/>
    <n v="2"/>
    <n v="3"/>
    <n v="5"/>
    <n v="2"/>
    <n v="0"/>
    <n v="4"/>
    <n v="0"/>
    <x v="2"/>
    <n v="2"/>
    <x v="0"/>
    <n v="2"/>
    <x v="2"/>
    <n v="2"/>
    <s v="College"/>
    <s v="Medium"/>
    <s v="Very High"/>
    <s v="Better"/>
  </r>
  <r>
    <n v="28"/>
    <s v="No"/>
    <s v="Travel_Rarely"/>
    <s v="Sales"/>
    <n v="9"/>
    <n v="4"/>
    <s v="Life Sciences"/>
    <n v="498"/>
    <n v="2"/>
    <s v="Male"/>
    <n v="3"/>
    <n v="2"/>
    <s v="Sales Executive"/>
    <n v="4"/>
    <s v="Single"/>
    <n v="5253"/>
    <n v="1"/>
    <x v="1"/>
    <n v="16"/>
    <n v="3"/>
    <n v="4"/>
    <n v="0"/>
    <n v="7"/>
    <n v="1"/>
    <n v="3"/>
    <n v="7"/>
    <n v="5"/>
    <n v="0"/>
    <n v="7"/>
    <n v="0"/>
    <x v="2"/>
    <n v="2"/>
    <x v="0"/>
    <n v="2"/>
    <x v="0"/>
    <n v="3"/>
    <s v="Master"/>
    <s v="Very High"/>
    <s v="Medium"/>
    <s v="Better"/>
  </r>
  <r>
    <n v="49"/>
    <s v="No"/>
    <s v="Travel_Rarely"/>
    <s v="Research &amp; Development"/>
    <n v="7"/>
    <n v="3"/>
    <s v="Other"/>
    <n v="499"/>
    <n v="2"/>
    <s v="Male"/>
    <n v="2"/>
    <n v="3"/>
    <s v="Healthcare Representative"/>
    <n v="3"/>
    <s v="Single"/>
    <n v="10965"/>
    <n v="8"/>
    <x v="1"/>
    <n v="24"/>
    <n v="4"/>
    <n v="3"/>
    <n v="0"/>
    <n v="26"/>
    <n v="2"/>
    <n v="3"/>
    <n v="5"/>
    <n v="2"/>
    <n v="0"/>
    <n v="0"/>
    <n v="0"/>
    <x v="1"/>
    <n v="4"/>
    <x v="3"/>
    <n v="4"/>
    <x v="2"/>
    <n v="2"/>
    <s v="Bachelor"/>
    <s v="High"/>
    <s v="Medium"/>
    <s v="Better"/>
  </r>
  <r>
    <n v="51"/>
    <s v="No"/>
    <s v="Travel_Rarely"/>
    <s v="Sales"/>
    <n v="14"/>
    <n v="2"/>
    <s v="Life Sciences"/>
    <n v="500"/>
    <n v="3"/>
    <s v="Female"/>
    <n v="3"/>
    <n v="2"/>
    <s v="Sales Executive"/>
    <n v="4"/>
    <s v="Married"/>
    <n v="4936"/>
    <n v="4"/>
    <x v="1"/>
    <n v="11"/>
    <n v="3"/>
    <n v="3"/>
    <n v="1"/>
    <n v="18"/>
    <n v="2"/>
    <n v="2"/>
    <n v="7"/>
    <n v="7"/>
    <n v="0"/>
    <n v="7"/>
    <n v="0"/>
    <x v="1"/>
    <n v="4"/>
    <x v="0"/>
    <n v="2"/>
    <x v="0"/>
    <n v="3"/>
    <s v="College"/>
    <s v="Very High"/>
    <s v="High"/>
    <s v="Good"/>
  </r>
  <r>
    <n v="36"/>
    <s v="No"/>
    <s v="Travel_Rarely"/>
    <s v="Research &amp; Development"/>
    <n v="2"/>
    <n v="3"/>
    <s v="Life Sciences"/>
    <n v="501"/>
    <n v="4"/>
    <s v="Female"/>
    <n v="3"/>
    <n v="1"/>
    <s v="Research Scientist"/>
    <n v="3"/>
    <s v="Married"/>
    <n v="2543"/>
    <n v="4"/>
    <x v="1"/>
    <n v="13"/>
    <n v="3"/>
    <n v="2"/>
    <n v="1"/>
    <n v="6"/>
    <n v="3"/>
    <n v="3"/>
    <n v="2"/>
    <n v="2"/>
    <n v="2"/>
    <n v="2"/>
    <n v="0"/>
    <x v="0"/>
    <n v="3"/>
    <x v="1"/>
    <n v="1"/>
    <x v="1"/>
    <n v="1"/>
    <s v="Bachelor"/>
    <s v="High"/>
    <s v="Very High"/>
    <s v="Better"/>
  </r>
  <r>
    <n v="34"/>
    <s v="Yes"/>
    <s v="Non-Travel"/>
    <s v="Sales"/>
    <n v="19"/>
    <n v="3"/>
    <s v="Marketing"/>
    <n v="502"/>
    <n v="1"/>
    <s v="Male"/>
    <n v="4"/>
    <n v="2"/>
    <s v="Sales Executive"/>
    <n v="4"/>
    <s v="Single"/>
    <n v="5304"/>
    <n v="8"/>
    <x v="0"/>
    <n v="13"/>
    <n v="3"/>
    <n v="2"/>
    <n v="0"/>
    <n v="9"/>
    <n v="3"/>
    <n v="2"/>
    <n v="5"/>
    <n v="2"/>
    <n v="0"/>
    <n v="4"/>
    <n v="1"/>
    <x v="2"/>
    <n v="2"/>
    <x v="0"/>
    <n v="2"/>
    <x v="2"/>
    <n v="2"/>
    <s v="Bachelor"/>
    <s v="Very High"/>
    <s v="Low"/>
    <s v="Good"/>
  </r>
  <r>
    <n v="55"/>
    <s v="No"/>
    <s v="Travel_Rarely"/>
    <s v="Research &amp; Development"/>
    <n v="2"/>
    <n v="3"/>
    <s v="Life Sciences"/>
    <n v="505"/>
    <n v="3"/>
    <s v="Female"/>
    <n v="3"/>
    <n v="4"/>
    <s v="Manager"/>
    <n v="4"/>
    <s v="Single"/>
    <n v="16659"/>
    <n v="2"/>
    <x v="0"/>
    <n v="13"/>
    <n v="3"/>
    <n v="3"/>
    <n v="0"/>
    <n v="30"/>
    <n v="2"/>
    <n v="3"/>
    <n v="5"/>
    <n v="4"/>
    <n v="1"/>
    <n v="2"/>
    <n v="0"/>
    <x v="1"/>
    <n v="4"/>
    <x v="3"/>
    <n v="4"/>
    <x v="2"/>
    <n v="2"/>
    <s v="Bachelor"/>
    <s v="Very High"/>
    <s v="High"/>
    <s v="Better"/>
  </r>
  <r>
    <n v="24"/>
    <s v="No"/>
    <s v="Travel_Rarely"/>
    <s v="Sales"/>
    <n v="10"/>
    <n v="4"/>
    <s v="Marketing"/>
    <n v="507"/>
    <n v="4"/>
    <s v="Female"/>
    <n v="3"/>
    <n v="2"/>
    <s v="Sales Executive"/>
    <n v="3"/>
    <s v="Divorced"/>
    <n v="4260"/>
    <n v="1"/>
    <x v="0"/>
    <n v="12"/>
    <n v="3"/>
    <n v="4"/>
    <n v="1"/>
    <n v="5"/>
    <n v="2"/>
    <n v="4"/>
    <n v="5"/>
    <n v="2"/>
    <n v="0"/>
    <n v="3"/>
    <n v="0"/>
    <x v="4"/>
    <n v="1"/>
    <x v="0"/>
    <n v="2"/>
    <x v="2"/>
    <n v="2"/>
    <s v="Master"/>
    <s v="High"/>
    <s v="Very High"/>
    <s v="Best"/>
  </r>
  <r>
    <n v="30"/>
    <s v="No"/>
    <s v="Travel_Rarely"/>
    <s v="Sales"/>
    <n v="2"/>
    <n v="1"/>
    <s v="Technical Degree"/>
    <n v="508"/>
    <n v="3"/>
    <s v="Male"/>
    <n v="3"/>
    <n v="1"/>
    <s v="Sales Representative"/>
    <n v="2"/>
    <s v="Married"/>
    <n v="2476"/>
    <n v="1"/>
    <x v="1"/>
    <n v="18"/>
    <n v="3"/>
    <n v="1"/>
    <n v="1"/>
    <n v="1"/>
    <n v="3"/>
    <n v="3"/>
    <n v="1"/>
    <n v="0"/>
    <n v="0"/>
    <n v="0"/>
    <n v="0"/>
    <x v="2"/>
    <n v="2"/>
    <x v="1"/>
    <n v="1"/>
    <x v="1"/>
    <n v="1"/>
    <s v="Below College"/>
    <s v="Medium"/>
    <s v="High"/>
    <s v="Better"/>
  </r>
  <r>
    <n v="26"/>
    <s v="Yes"/>
    <s v="Travel_Frequently"/>
    <s v="Research &amp; Development"/>
    <n v="3"/>
    <n v="1"/>
    <s v="Technical Degree"/>
    <n v="510"/>
    <n v="3"/>
    <s v="Male"/>
    <n v="3"/>
    <n v="1"/>
    <s v="Research Scientist"/>
    <n v="1"/>
    <s v="Single"/>
    <n v="3102"/>
    <n v="0"/>
    <x v="1"/>
    <n v="22"/>
    <n v="4"/>
    <n v="3"/>
    <n v="0"/>
    <n v="7"/>
    <n v="2"/>
    <n v="3"/>
    <n v="6"/>
    <n v="4"/>
    <n v="0"/>
    <n v="4"/>
    <n v="1"/>
    <x v="2"/>
    <n v="2"/>
    <x v="0"/>
    <n v="2"/>
    <x v="0"/>
    <n v="3"/>
    <s v="Below College"/>
    <s v="Low"/>
    <s v="High"/>
    <s v="Better"/>
  </r>
  <r>
    <n v="22"/>
    <s v="No"/>
    <s v="Travel_Rarely"/>
    <s v="Research &amp; Development"/>
    <n v="11"/>
    <n v="3"/>
    <s v="Medical"/>
    <n v="511"/>
    <n v="1"/>
    <s v="Female"/>
    <n v="3"/>
    <n v="1"/>
    <s v="Research Scientist"/>
    <n v="2"/>
    <s v="Married"/>
    <n v="2244"/>
    <n v="1"/>
    <x v="1"/>
    <n v="13"/>
    <n v="3"/>
    <n v="4"/>
    <n v="1"/>
    <n v="2"/>
    <n v="1"/>
    <n v="3"/>
    <n v="2"/>
    <n v="1"/>
    <n v="1"/>
    <n v="2"/>
    <n v="0"/>
    <x v="4"/>
    <n v="1"/>
    <x v="1"/>
    <n v="1"/>
    <x v="1"/>
    <n v="1"/>
    <s v="Bachelor"/>
    <s v="Medium"/>
    <s v="Low"/>
    <s v="Better"/>
  </r>
  <r>
    <n v="36"/>
    <s v="No"/>
    <s v="Travel_Rarely"/>
    <s v="Sales"/>
    <n v="2"/>
    <n v="2"/>
    <s v="Medical"/>
    <n v="513"/>
    <n v="2"/>
    <s v="Male"/>
    <n v="2"/>
    <n v="3"/>
    <s v="Sales Executive"/>
    <n v="3"/>
    <s v="Married"/>
    <n v="7596"/>
    <n v="1"/>
    <x v="1"/>
    <n v="13"/>
    <n v="3"/>
    <n v="2"/>
    <n v="2"/>
    <n v="10"/>
    <n v="2"/>
    <n v="3"/>
    <n v="10"/>
    <n v="9"/>
    <n v="9"/>
    <n v="0"/>
    <n v="0"/>
    <x v="0"/>
    <n v="3"/>
    <x v="2"/>
    <n v="3"/>
    <x v="0"/>
    <n v="3"/>
    <s v="College"/>
    <s v="High"/>
    <s v="Medium"/>
    <s v="Better"/>
  </r>
  <r>
    <n v="30"/>
    <s v="Yes"/>
    <s v="Travel_Frequently"/>
    <s v="Research &amp; Development"/>
    <n v="4"/>
    <n v="3"/>
    <s v="Technical Degree"/>
    <n v="514"/>
    <n v="3"/>
    <s v="Male"/>
    <n v="3"/>
    <n v="1"/>
    <s v="Research Scientist"/>
    <n v="4"/>
    <s v="Single"/>
    <n v="2285"/>
    <n v="9"/>
    <x v="0"/>
    <n v="23"/>
    <n v="4"/>
    <n v="3"/>
    <n v="0"/>
    <n v="3"/>
    <n v="4"/>
    <n v="3"/>
    <n v="1"/>
    <n v="0"/>
    <n v="0"/>
    <n v="0"/>
    <n v="1"/>
    <x v="2"/>
    <n v="2"/>
    <x v="1"/>
    <n v="1"/>
    <x v="1"/>
    <n v="1"/>
    <s v="Bachelor"/>
    <s v="Very High"/>
    <s v="High"/>
    <s v="Better"/>
  </r>
  <r>
    <n v="37"/>
    <s v="No"/>
    <s v="Travel_Rarely"/>
    <s v="Research &amp; Development"/>
    <n v="14"/>
    <n v="3"/>
    <s v="Life Sciences"/>
    <n v="515"/>
    <n v="4"/>
    <s v="Female"/>
    <n v="3"/>
    <n v="1"/>
    <s v="Laboratory Technician"/>
    <n v="1"/>
    <s v="Divorced"/>
    <n v="3034"/>
    <n v="1"/>
    <x v="1"/>
    <n v="12"/>
    <n v="3"/>
    <n v="3"/>
    <n v="1"/>
    <n v="18"/>
    <n v="2"/>
    <n v="2"/>
    <n v="18"/>
    <n v="7"/>
    <n v="12"/>
    <n v="17"/>
    <n v="0"/>
    <x v="0"/>
    <n v="3"/>
    <x v="0"/>
    <n v="2"/>
    <x v="3"/>
    <n v="4"/>
    <s v="Bachelor"/>
    <s v="Low"/>
    <s v="Very High"/>
    <s v="Good"/>
  </r>
  <r>
    <n v="40"/>
    <s v="No"/>
    <s v="Travel_Rarely"/>
    <s v="Sales"/>
    <n v="2"/>
    <n v="2"/>
    <s v="Marketing"/>
    <n v="516"/>
    <n v="4"/>
    <s v="Female"/>
    <n v="3"/>
    <n v="2"/>
    <s v="Sales Executive"/>
    <n v="2"/>
    <s v="Divorced"/>
    <n v="5715"/>
    <n v="7"/>
    <x v="1"/>
    <n v="12"/>
    <n v="3"/>
    <n v="3"/>
    <n v="2"/>
    <n v="8"/>
    <n v="5"/>
    <n v="3"/>
    <n v="5"/>
    <n v="4"/>
    <n v="1"/>
    <n v="3"/>
    <n v="0"/>
    <x v="0"/>
    <n v="3"/>
    <x v="0"/>
    <n v="2"/>
    <x v="2"/>
    <n v="2"/>
    <s v="College"/>
    <s v="Medium"/>
    <s v="Very High"/>
    <s v="Better"/>
  </r>
  <r>
    <n v="42"/>
    <s v="No"/>
    <s v="Travel_Rarely"/>
    <s v="Research &amp; Development"/>
    <n v="1"/>
    <n v="4"/>
    <s v="Life Sciences"/>
    <n v="517"/>
    <n v="2"/>
    <s v="Female"/>
    <n v="3"/>
    <n v="1"/>
    <s v="Laboratory Technician"/>
    <n v="1"/>
    <s v="Divorced"/>
    <n v="2576"/>
    <n v="3"/>
    <x v="1"/>
    <n v="16"/>
    <n v="3"/>
    <n v="2"/>
    <n v="1"/>
    <n v="8"/>
    <n v="5"/>
    <n v="3"/>
    <n v="5"/>
    <n v="2"/>
    <n v="1"/>
    <n v="2"/>
    <n v="0"/>
    <x v="0"/>
    <n v="3"/>
    <x v="1"/>
    <n v="1"/>
    <x v="2"/>
    <n v="2"/>
    <s v="Master"/>
    <s v="Low"/>
    <s v="Medium"/>
    <s v="Better"/>
  </r>
  <r>
    <n v="37"/>
    <s v="No"/>
    <s v="Travel_Rarely"/>
    <s v="Research &amp; Development"/>
    <n v="10"/>
    <n v="4"/>
    <s v="Life Sciences"/>
    <n v="518"/>
    <n v="3"/>
    <s v="Male"/>
    <n v="3"/>
    <n v="2"/>
    <s v="Manufacturing Director"/>
    <n v="2"/>
    <s v="Single"/>
    <n v="4197"/>
    <n v="2"/>
    <x v="0"/>
    <n v="12"/>
    <n v="3"/>
    <n v="4"/>
    <n v="0"/>
    <n v="18"/>
    <n v="2"/>
    <n v="2"/>
    <n v="1"/>
    <n v="0"/>
    <n v="0"/>
    <n v="1"/>
    <n v="0"/>
    <x v="0"/>
    <n v="3"/>
    <x v="0"/>
    <n v="2"/>
    <x v="1"/>
    <n v="1"/>
    <s v="Master"/>
    <s v="Medium"/>
    <s v="High"/>
    <s v="Good"/>
  </r>
  <r>
    <n v="43"/>
    <s v="No"/>
    <s v="Travel_Rarely"/>
    <s v="Research &amp; Development"/>
    <n v="12"/>
    <n v="3"/>
    <s v="Life Sciences"/>
    <n v="520"/>
    <n v="1"/>
    <s v="Male"/>
    <n v="2"/>
    <n v="4"/>
    <s v="Research Director"/>
    <n v="2"/>
    <s v="Divorced"/>
    <n v="14336"/>
    <n v="1"/>
    <x v="1"/>
    <n v="11"/>
    <n v="3"/>
    <n v="3"/>
    <n v="1"/>
    <n v="25"/>
    <n v="3"/>
    <n v="3"/>
    <n v="25"/>
    <n v="10"/>
    <n v="3"/>
    <n v="9"/>
    <n v="0"/>
    <x v="0"/>
    <n v="3"/>
    <x v="3"/>
    <n v="4"/>
    <x v="3"/>
    <n v="4"/>
    <s v="Bachelor"/>
    <s v="Medium"/>
    <s v="Low"/>
    <s v="Better"/>
  </r>
  <r>
    <n v="40"/>
    <s v="No"/>
    <s v="Travel_Rarely"/>
    <s v="Research &amp; Development"/>
    <n v="2"/>
    <n v="3"/>
    <s v="Medical"/>
    <n v="521"/>
    <n v="2"/>
    <s v="Female"/>
    <n v="2"/>
    <n v="2"/>
    <s v="Laboratory Technician"/>
    <n v="3"/>
    <s v="Married"/>
    <n v="3448"/>
    <n v="6"/>
    <x v="1"/>
    <n v="22"/>
    <n v="4"/>
    <n v="2"/>
    <n v="1"/>
    <n v="20"/>
    <n v="3"/>
    <n v="3"/>
    <n v="1"/>
    <n v="0"/>
    <n v="0"/>
    <n v="0"/>
    <n v="0"/>
    <x v="0"/>
    <n v="3"/>
    <x v="0"/>
    <n v="2"/>
    <x v="1"/>
    <n v="1"/>
    <s v="Bachelor"/>
    <s v="High"/>
    <s v="Medium"/>
    <s v="Better"/>
  </r>
  <r>
    <n v="54"/>
    <s v="No"/>
    <s v="Travel_Rarely"/>
    <s v="Research &amp; Development"/>
    <n v="5"/>
    <n v="2"/>
    <s v="Medical"/>
    <n v="522"/>
    <n v="1"/>
    <s v="Male"/>
    <n v="3"/>
    <n v="5"/>
    <s v="Research Director"/>
    <n v="1"/>
    <s v="Married"/>
    <n v="19406"/>
    <n v="4"/>
    <x v="1"/>
    <n v="11"/>
    <n v="3"/>
    <n v="3"/>
    <n v="1"/>
    <n v="24"/>
    <n v="4"/>
    <n v="2"/>
    <n v="4"/>
    <n v="2"/>
    <n v="1"/>
    <n v="2"/>
    <n v="0"/>
    <x v="1"/>
    <n v="4"/>
    <x v="3"/>
    <n v="4"/>
    <x v="2"/>
    <n v="2"/>
    <s v="College"/>
    <s v="Low"/>
    <s v="Low"/>
    <s v="Good"/>
  </r>
  <r>
    <n v="34"/>
    <s v="No"/>
    <s v="Non-Travel"/>
    <s v="Sales"/>
    <n v="4"/>
    <n v="4"/>
    <s v="Marketing"/>
    <n v="523"/>
    <n v="3"/>
    <s v="Female"/>
    <n v="3"/>
    <n v="2"/>
    <s v="Sales Executive"/>
    <n v="3"/>
    <s v="Married"/>
    <n v="6538"/>
    <n v="9"/>
    <x v="1"/>
    <n v="15"/>
    <n v="3"/>
    <n v="1"/>
    <n v="1"/>
    <n v="6"/>
    <n v="3"/>
    <n v="3"/>
    <n v="3"/>
    <n v="2"/>
    <n v="1"/>
    <n v="2"/>
    <n v="0"/>
    <x v="2"/>
    <n v="2"/>
    <x v="2"/>
    <n v="3"/>
    <x v="2"/>
    <n v="2"/>
    <s v="Master"/>
    <s v="High"/>
    <s v="High"/>
    <s v="Better"/>
  </r>
  <r>
    <n v="31"/>
    <s v="No"/>
    <s v="Travel_Rarely"/>
    <s v="Research &amp; Development"/>
    <n v="7"/>
    <n v="2"/>
    <s v="Medical"/>
    <n v="524"/>
    <n v="2"/>
    <s v="Female"/>
    <n v="3"/>
    <n v="2"/>
    <s v="Manufacturing Director"/>
    <n v="1"/>
    <s v="Married"/>
    <n v="4306"/>
    <n v="1"/>
    <x v="1"/>
    <n v="12"/>
    <n v="3"/>
    <n v="2"/>
    <n v="1"/>
    <n v="13"/>
    <n v="5"/>
    <n v="1"/>
    <n v="13"/>
    <n v="10"/>
    <n v="3"/>
    <n v="12"/>
    <n v="0"/>
    <x v="2"/>
    <n v="2"/>
    <x v="0"/>
    <n v="2"/>
    <x v="3"/>
    <n v="4"/>
    <s v="College"/>
    <s v="Low"/>
    <s v="Medium"/>
    <s v="Bad"/>
  </r>
  <r>
    <n v="43"/>
    <s v="No"/>
    <s v="Travel_Frequently"/>
    <s v="Research &amp; Development"/>
    <n v="21"/>
    <n v="3"/>
    <s v="Medical"/>
    <n v="525"/>
    <n v="4"/>
    <s v="Male"/>
    <n v="3"/>
    <n v="1"/>
    <s v="Laboratory Technician"/>
    <n v="4"/>
    <s v="Married"/>
    <n v="2258"/>
    <n v="7"/>
    <x v="1"/>
    <n v="20"/>
    <n v="4"/>
    <n v="1"/>
    <n v="1"/>
    <n v="8"/>
    <n v="1"/>
    <n v="3"/>
    <n v="3"/>
    <n v="2"/>
    <n v="1"/>
    <n v="2"/>
    <n v="0"/>
    <x v="0"/>
    <n v="3"/>
    <x v="1"/>
    <n v="1"/>
    <x v="2"/>
    <n v="2"/>
    <s v="Bachelor"/>
    <s v="Very High"/>
    <s v="Very High"/>
    <s v="Better"/>
  </r>
  <r>
    <n v="43"/>
    <s v="No"/>
    <s v="Travel_Rarely"/>
    <s v="Research &amp; Development"/>
    <n v="8"/>
    <n v="4"/>
    <s v="Other"/>
    <n v="526"/>
    <n v="3"/>
    <s v="Female"/>
    <n v="3"/>
    <n v="2"/>
    <s v="Healthcare Representative"/>
    <n v="3"/>
    <s v="Divorced"/>
    <n v="4522"/>
    <n v="4"/>
    <x v="0"/>
    <n v="14"/>
    <n v="3"/>
    <n v="4"/>
    <n v="0"/>
    <n v="8"/>
    <n v="3"/>
    <n v="3"/>
    <n v="5"/>
    <n v="2"/>
    <n v="0"/>
    <n v="2"/>
    <n v="0"/>
    <x v="0"/>
    <n v="3"/>
    <x v="0"/>
    <n v="2"/>
    <x v="2"/>
    <n v="2"/>
    <s v="Master"/>
    <s v="High"/>
    <s v="High"/>
    <s v="Better"/>
  </r>
  <r>
    <n v="25"/>
    <s v="No"/>
    <s v="Travel_Rarely"/>
    <s v="Sales"/>
    <n v="4"/>
    <n v="2"/>
    <s v="Life Sciences"/>
    <n v="527"/>
    <n v="2"/>
    <s v="Female"/>
    <n v="2"/>
    <n v="2"/>
    <s v="Sales Executive"/>
    <n v="4"/>
    <s v="Single"/>
    <n v="4487"/>
    <n v="1"/>
    <x v="0"/>
    <n v="11"/>
    <n v="3"/>
    <n v="2"/>
    <n v="0"/>
    <n v="5"/>
    <n v="3"/>
    <n v="3"/>
    <n v="5"/>
    <n v="4"/>
    <n v="1"/>
    <n v="3"/>
    <n v="0"/>
    <x v="4"/>
    <n v="1"/>
    <x v="0"/>
    <n v="2"/>
    <x v="2"/>
    <n v="2"/>
    <s v="College"/>
    <s v="Very High"/>
    <s v="Medium"/>
    <s v="Better"/>
  </r>
  <r>
    <n v="37"/>
    <s v="No"/>
    <s v="Non-Travel"/>
    <s v="Research &amp; Development"/>
    <n v="25"/>
    <n v="5"/>
    <s v="Medical"/>
    <n v="529"/>
    <n v="2"/>
    <s v="Female"/>
    <n v="3"/>
    <n v="2"/>
    <s v="Research Scientist"/>
    <n v="3"/>
    <s v="Married"/>
    <n v="4449"/>
    <n v="3"/>
    <x v="0"/>
    <n v="15"/>
    <n v="3"/>
    <n v="1"/>
    <n v="2"/>
    <n v="15"/>
    <n v="2"/>
    <n v="3"/>
    <n v="13"/>
    <n v="11"/>
    <n v="10"/>
    <n v="7"/>
    <n v="0"/>
    <x v="0"/>
    <n v="3"/>
    <x v="0"/>
    <n v="2"/>
    <x v="3"/>
    <n v="4"/>
    <s v="Doctor"/>
    <s v="High"/>
    <s v="Medium"/>
    <s v="Better"/>
  </r>
  <r>
    <n v="31"/>
    <s v="No"/>
    <s v="Travel_Rarely"/>
    <s v="Research &amp; Development"/>
    <n v="1"/>
    <n v="2"/>
    <s v="Life Sciences"/>
    <n v="530"/>
    <n v="4"/>
    <s v="Male"/>
    <n v="2"/>
    <n v="1"/>
    <s v="Laboratory Technician"/>
    <n v="1"/>
    <s v="Married"/>
    <n v="2218"/>
    <n v="1"/>
    <x v="1"/>
    <n v="12"/>
    <n v="3"/>
    <n v="3"/>
    <n v="1"/>
    <n v="4"/>
    <n v="3"/>
    <n v="3"/>
    <n v="4"/>
    <n v="2"/>
    <n v="3"/>
    <n v="2"/>
    <n v="0"/>
    <x v="2"/>
    <n v="2"/>
    <x v="1"/>
    <n v="1"/>
    <x v="2"/>
    <n v="2"/>
    <s v="College"/>
    <s v="Low"/>
    <s v="Very High"/>
    <s v="Better"/>
  </r>
  <r>
    <n v="39"/>
    <s v="No"/>
    <s v="Travel_Frequently"/>
    <s v="Research &amp; Development"/>
    <n v="1"/>
    <n v="1"/>
    <s v="Life Sciences"/>
    <n v="531"/>
    <n v="2"/>
    <s v="Male"/>
    <n v="3"/>
    <n v="5"/>
    <s v="Manager"/>
    <n v="3"/>
    <s v="Divorced"/>
    <n v="19197"/>
    <n v="1"/>
    <x v="0"/>
    <n v="14"/>
    <n v="3"/>
    <n v="3"/>
    <n v="1"/>
    <n v="21"/>
    <n v="3"/>
    <n v="3"/>
    <n v="21"/>
    <n v="8"/>
    <n v="1"/>
    <n v="6"/>
    <n v="0"/>
    <x v="0"/>
    <n v="3"/>
    <x v="3"/>
    <n v="4"/>
    <x v="3"/>
    <n v="4"/>
    <s v="Below College"/>
    <s v="High"/>
    <s v="Medium"/>
    <s v="Better"/>
  </r>
  <r>
    <n v="56"/>
    <s v="No"/>
    <s v="Travel_Frequently"/>
    <s v="Sales"/>
    <n v="6"/>
    <n v="3"/>
    <s v="Life Sciences"/>
    <n v="532"/>
    <n v="3"/>
    <s v="Female"/>
    <n v="4"/>
    <n v="4"/>
    <s v="Sales Executive"/>
    <n v="1"/>
    <s v="Married"/>
    <n v="13212"/>
    <n v="9"/>
    <x v="1"/>
    <n v="11"/>
    <n v="3"/>
    <n v="4"/>
    <n v="3"/>
    <n v="36"/>
    <n v="0"/>
    <n v="2"/>
    <n v="7"/>
    <n v="7"/>
    <n v="7"/>
    <n v="7"/>
    <n v="0"/>
    <x v="3"/>
    <n v="5"/>
    <x v="3"/>
    <n v="4"/>
    <x v="0"/>
    <n v="3"/>
    <s v="Bachelor"/>
    <s v="Low"/>
    <s v="High"/>
    <s v="Good"/>
  </r>
  <r>
    <n v="30"/>
    <s v="No"/>
    <s v="Travel_Rarely"/>
    <s v="Sales"/>
    <n v="12"/>
    <n v="3"/>
    <s v="Technical Degree"/>
    <n v="533"/>
    <n v="2"/>
    <s v="Female"/>
    <n v="3"/>
    <n v="2"/>
    <s v="Sales Executive"/>
    <n v="3"/>
    <s v="Single"/>
    <n v="6577"/>
    <n v="0"/>
    <x v="1"/>
    <n v="11"/>
    <n v="3"/>
    <n v="2"/>
    <n v="0"/>
    <n v="6"/>
    <n v="6"/>
    <n v="3"/>
    <n v="5"/>
    <n v="4"/>
    <n v="4"/>
    <n v="4"/>
    <n v="0"/>
    <x v="2"/>
    <n v="2"/>
    <x v="2"/>
    <n v="3"/>
    <x v="2"/>
    <n v="2"/>
    <s v="Bachelor"/>
    <s v="High"/>
    <s v="Medium"/>
    <s v="Better"/>
  </r>
  <r>
    <n v="41"/>
    <s v="No"/>
    <s v="Travel_Rarely"/>
    <s v="Sales"/>
    <n v="1"/>
    <n v="3"/>
    <s v="Marketing"/>
    <n v="534"/>
    <n v="2"/>
    <s v="Male"/>
    <n v="4"/>
    <n v="3"/>
    <s v="Sales Executive"/>
    <n v="1"/>
    <s v="Married"/>
    <n v="8392"/>
    <n v="1"/>
    <x v="1"/>
    <n v="16"/>
    <n v="3"/>
    <n v="3"/>
    <n v="1"/>
    <n v="10"/>
    <n v="2"/>
    <n v="3"/>
    <n v="10"/>
    <n v="7"/>
    <n v="0"/>
    <n v="7"/>
    <n v="0"/>
    <x v="0"/>
    <n v="3"/>
    <x v="2"/>
    <n v="3"/>
    <x v="0"/>
    <n v="3"/>
    <s v="Bachelor"/>
    <s v="Low"/>
    <s v="Medium"/>
    <s v="Better"/>
  </r>
  <r>
    <n v="28"/>
    <s v="No"/>
    <s v="Travel_Rarely"/>
    <s v="Research &amp; Development"/>
    <n v="17"/>
    <n v="2"/>
    <s v="Medical"/>
    <n v="536"/>
    <n v="3"/>
    <s v="Male"/>
    <n v="3"/>
    <n v="2"/>
    <s v="Laboratory Technician"/>
    <n v="1"/>
    <s v="Divorced"/>
    <n v="4558"/>
    <n v="1"/>
    <x v="1"/>
    <n v="12"/>
    <n v="3"/>
    <n v="4"/>
    <n v="1"/>
    <n v="10"/>
    <n v="2"/>
    <n v="3"/>
    <n v="10"/>
    <n v="0"/>
    <n v="1"/>
    <n v="8"/>
    <n v="0"/>
    <x v="2"/>
    <n v="2"/>
    <x v="0"/>
    <n v="2"/>
    <x v="0"/>
    <n v="3"/>
    <s v="College"/>
    <s v="Low"/>
    <s v="High"/>
    <s v="Better"/>
  </r>
  <r>
    <n v="25"/>
    <s v="Yes"/>
    <s v="Travel_Rarely"/>
    <s v="Research &amp; Development"/>
    <n v="3"/>
    <n v="3"/>
    <s v="Medical"/>
    <n v="538"/>
    <n v="1"/>
    <s v="Male"/>
    <n v="3"/>
    <n v="1"/>
    <s v="Laboratory Technician"/>
    <n v="1"/>
    <s v="Married"/>
    <n v="4031"/>
    <n v="5"/>
    <x v="1"/>
    <n v="13"/>
    <n v="3"/>
    <n v="3"/>
    <n v="1"/>
    <n v="6"/>
    <n v="5"/>
    <n v="3"/>
    <n v="2"/>
    <n v="2"/>
    <n v="0"/>
    <n v="2"/>
    <n v="1"/>
    <x v="4"/>
    <n v="1"/>
    <x v="0"/>
    <n v="2"/>
    <x v="1"/>
    <n v="1"/>
    <s v="Bachelor"/>
    <s v="Low"/>
    <s v="Low"/>
    <s v="Better"/>
  </r>
  <r>
    <n v="52"/>
    <s v="No"/>
    <s v="Travel_Rarely"/>
    <s v="Research &amp; Development"/>
    <n v="3"/>
    <n v="3"/>
    <s v="Medical"/>
    <n v="543"/>
    <n v="4"/>
    <s v="Male"/>
    <n v="2"/>
    <n v="3"/>
    <s v="Manufacturing Director"/>
    <n v="3"/>
    <s v="Married"/>
    <n v="7969"/>
    <n v="2"/>
    <x v="0"/>
    <n v="14"/>
    <n v="3"/>
    <n v="3"/>
    <n v="0"/>
    <n v="28"/>
    <n v="4"/>
    <n v="3"/>
    <n v="5"/>
    <n v="4"/>
    <n v="0"/>
    <n v="4"/>
    <n v="0"/>
    <x v="1"/>
    <n v="4"/>
    <x v="2"/>
    <n v="3"/>
    <x v="2"/>
    <n v="2"/>
    <s v="Bachelor"/>
    <s v="High"/>
    <s v="Very High"/>
    <s v="Better"/>
  </r>
  <r>
    <n v="45"/>
    <s v="No"/>
    <s v="Travel_Rarely"/>
    <s v="Research &amp; Development"/>
    <n v="10"/>
    <n v="2"/>
    <s v="Life Sciences"/>
    <n v="544"/>
    <n v="1"/>
    <s v="Male"/>
    <n v="3"/>
    <n v="1"/>
    <s v="Research Scientist"/>
    <n v="4"/>
    <s v="Married"/>
    <n v="2654"/>
    <n v="3"/>
    <x v="1"/>
    <n v="21"/>
    <n v="4"/>
    <n v="4"/>
    <n v="2"/>
    <n v="8"/>
    <n v="3"/>
    <n v="2"/>
    <n v="2"/>
    <n v="2"/>
    <n v="0"/>
    <n v="2"/>
    <n v="0"/>
    <x v="0"/>
    <n v="3"/>
    <x v="1"/>
    <n v="1"/>
    <x v="1"/>
    <n v="1"/>
    <s v="College"/>
    <s v="Very High"/>
    <s v="Low"/>
    <s v="Good"/>
  </r>
  <r>
    <n v="52"/>
    <s v="No"/>
    <s v="Travel_Rarely"/>
    <s v="Research &amp; Development"/>
    <n v="4"/>
    <n v="2"/>
    <s v="Life Sciences"/>
    <n v="546"/>
    <n v="4"/>
    <s v="Female"/>
    <n v="3"/>
    <n v="4"/>
    <s v="Manager"/>
    <n v="4"/>
    <s v="Married"/>
    <n v="16555"/>
    <n v="2"/>
    <x v="1"/>
    <n v="13"/>
    <n v="3"/>
    <n v="4"/>
    <n v="0"/>
    <n v="31"/>
    <n v="2"/>
    <n v="1"/>
    <n v="5"/>
    <n v="2"/>
    <n v="1"/>
    <n v="4"/>
    <n v="0"/>
    <x v="1"/>
    <n v="4"/>
    <x v="3"/>
    <n v="4"/>
    <x v="2"/>
    <n v="2"/>
    <s v="College"/>
    <s v="Very High"/>
    <s v="Very High"/>
    <s v="Bad"/>
  </r>
  <r>
    <n v="42"/>
    <s v="No"/>
    <s v="Travel_Frequently"/>
    <s v="Research &amp; Development"/>
    <n v="29"/>
    <n v="2"/>
    <s v="Life Sciences"/>
    <n v="547"/>
    <n v="1"/>
    <s v="Female"/>
    <n v="3"/>
    <n v="2"/>
    <s v="Research Scientist"/>
    <n v="3"/>
    <s v="Divorced"/>
    <n v="4556"/>
    <n v="2"/>
    <x v="1"/>
    <n v="11"/>
    <n v="3"/>
    <n v="2"/>
    <n v="1"/>
    <n v="19"/>
    <n v="3"/>
    <n v="3"/>
    <n v="5"/>
    <n v="4"/>
    <n v="0"/>
    <n v="2"/>
    <n v="0"/>
    <x v="0"/>
    <n v="3"/>
    <x v="0"/>
    <n v="2"/>
    <x v="2"/>
    <n v="2"/>
    <s v="College"/>
    <s v="High"/>
    <s v="Low"/>
    <s v="Better"/>
  </r>
  <r>
    <n v="30"/>
    <s v="No"/>
    <s v="Travel_Rarely"/>
    <s v="Research &amp; Development"/>
    <n v="2"/>
    <n v="3"/>
    <s v="Life Sciences"/>
    <n v="548"/>
    <n v="3"/>
    <s v="Female"/>
    <n v="1"/>
    <n v="2"/>
    <s v="Manufacturing Director"/>
    <n v="4"/>
    <s v="Single"/>
    <n v="6091"/>
    <n v="2"/>
    <x v="1"/>
    <n v="20"/>
    <n v="4"/>
    <n v="3"/>
    <n v="0"/>
    <n v="11"/>
    <n v="2"/>
    <n v="3"/>
    <n v="5"/>
    <n v="4"/>
    <n v="0"/>
    <n v="2"/>
    <n v="0"/>
    <x v="2"/>
    <n v="2"/>
    <x v="2"/>
    <n v="3"/>
    <x v="2"/>
    <n v="2"/>
    <s v="Bachelor"/>
    <s v="Very High"/>
    <s v="High"/>
    <s v="Better"/>
  </r>
  <r>
    <n v="60"/>
    <s v="No"/>
    <s v="Travel_Rarely"/>
    <s v="Research &amp; Development"/>
    <n v="7"/>
    <n v="3"/>
    <s v="Life Sciences"/>
    <n v="549"/>
    <n v="1"/>
    <s v="Female"/>
    <n v="3"/>
    <n v="5"/>
    <s v="Manager"/>
    <n v="1"/>
    <s v="Married"/>
    <n v="19566"/>
    <n v="5"/>
    <x v="1"/>
    <n v="11"/>
    <n v="3"/>
    <n v="4"/>
    <n v="0"/>
    <n v="33"/>
    <n v="5"/>
    <n v="1"/>
    <n v="29"/>
    <n v="8"/>
    <n v="11"/>
    <n v="10"/>
    <n v="0"/>
    <x v="3"/>
    <n v="5"/>
    <x v="3"/>
    <n v="4"/>
    <x v="3"/>
    <n v="4"/>
    <s v="Bachelor"/>
    <s v="Low"/>
    <s v="Low"/>
    <s v="Bad"/>
  </r>
  <r>
    <n v="46"/>
    <s v="No"/>
    <s v="Travel_Rarely"/>
    <s v="Research &amp; Development"/>
    <n v="18"/>
    <n v="3"/>
    <s v="Medical"/>
    <n v="550"/>
    <n v="3"/>
    <s v="Female"/>
    <n v="3"/>
    <n v="2"/>
    <s v="Manufacturing Director"/>
    <n v="3"/>
    <s v="Divorced"/>
    <n v="4810"/>
    <n v="2"/>
    <x v="1"/>
    <n v="14"/>
    <n v="3"/>
    <n v="3"/>
    <n v="1"/>
    <n v="19"/>
    <n v="5"/>
    <n v="2"/>
    <n v="10"/>
    <n v="7"/>
    <n v="0"/>
    <n v="8"/>
    <n v="0"/>
    <x v="1"/>
    <n v="4"/>
    <x v="0"/>
    <n v="2"/>
    <x v="0"/>
    <n v="3"/>
    <s v="Bachelor"/>
    <s v="High"/>
    <s v="High"/>
    <s v="Good"/>
  </r>
  <r>
    <n v="42"/>
    <s v="No"/>
    <s v="Travel_Frequently"/>
    <s v="Research &amp; Development"/>
    <n v="28"/>
    <n v="4"/>
    <s v="Technical Degree"/>
    <n v="551"/>
    <n v="4"/>
    <s v="Female"/>
    <n v="2"/>
    <n v="2"/>
    <s v="Healthcare Representative"/>
    <n v="4"/>
    <s v="Married"/>
    <n v="4523"/>
    <n v="0"/>
    <x v="1"/>
    <n v="11"/>
    <n v="3"/>
    <n v="4"/>
    <n v="3"/>
    <n v="7"/>
    <n v="4"/>
    <n v="4"/>
    <n v="6"/>
    <n v="5"/>
    <n v="0"/>
    <n v="4"/>
    <n v="0"/>
    <x v="0"/>
    <n v="3"/>
    <x v="0"/>
    <n v="2"/>
    <x v="0"/>
    <n v="3"/>
    <s v="Master"/>
    <s v="Very High"/>
    <s v="Very High"/>
    <s v="Best"/>
  </r>
  <r>
    <n v="24"/>
    <s v="Yes"/>
    <s v="Travel_Rarely"/>
    <s v="Sales"/>
    <n v="1"/>
    <n v="1"/>
    <s v="Technical Degree"/>
    <n v="554"/>
    <n v="1"/>
    <s v="Female"/>
    <n v="3"/>
    <n v="1"/>
    <s v="Sales Representative"/>
    <n v="2"/>
    <s v="Single"/>
    <n v="3202"/>
    <n v="1"/>
    <x v="0"/>
    <n v="16"/>
    <n v="3"/>
    <n v="2"/>
    <n v="0"/>
    <n v="6"/>
    <n v="4"/>
    <n v="3"/>
    <n v="5"/>
    <n v="3"/>
    <n v="1"/>
    <n v="4"/>
    <n v="1"/>
    <x v="4"/>
    <n v="1"/>
    <x v="0"/>
    <n v="2"/>
    <x v="2"/>
    <n v="2"/>
    <s v="Below College"/>
    <s v="Medium"/>
    <s v="Low"/>
    <s v="Better"/>
  </r>
  <r>
    <n v="34"/>
    <s v="Yes"/>
    <s v="Travel_Frequently"/>
    <s v="Sales"/>
    <n v="6"/>
    <n v="2"/>
    <s v="Marketing"/>
    <n v="555"/>
    <n v="4"/>
    <s v="Female"/>
    <n v="1"/>
    <n v="1"/>
    <s v="Sales Representative"/>
    <n v="3"/>
    <s v="Divorced"/>
    <n v="2351"/>
    <n v="0"/>
    <x v="1"/>
    <n v="16"/>
    <n v="3"/>
    <n v="4"/>
    <n v="1"/>
    <n v="3"/>
    <n v="3"/>
    <n v="2"/>
    <n v="2"/>
    <n v="2"/>
    <n v="1"/>
    <n v="0"/>
    <n v="1"/>
    <x v="2"/>
    <n v="2"/>
    <x v="1"/>
    <n v="1"/>
    <x v="1"/>
    <n v="1"/>
    <s v="College"/>
    <s v="High"/>
    <s v="Very High"/>
    <s v="Good"/>
  </r>
  <r>
    <n v="38"/>
    <s v="No"/>
    <s v="Travel_Frequently"/>
    <s v="Research &amp; Development"/>
    <n v="2"/>
    <n v="2"/>
    <s v="Life Sciences"/>
    <n v="556"/>
    <n v="4"/>
    <s v="Male"/>
    <n v="3"/>
    <n v="1"/>
    <s v="Laboratory Technician"/>
    <n v="4"/>
    <s v="Married"/>
    <n v="1702"/>
    <n v="1"/>
    <x v="0"/>
    <n v="23"/>
    <n v="4"/>
    <n v="3"/>
    <n v="1"/>
    <n v="1"/>
    <n v="3"/>
    <n v="3"/>
    <n v="1"/>
    <n v="0"/>
    <n v="0"/>
    <n v="0"/>
    <n v="0"/>
    <x v="0"/>
    <n v="3"/>
    <x v="1"/>
    <n v="1"/>
    <x v="1"/>
    <n v="1"/>
    <s v="College"/>
    <s v="Very High"/>
    <s v="Very High"/>
    <s v="Better"/>
  </r>
  <r>
    <n v="40"/>
    <s v="No"/>
    <s v="Travel_Rarely"/>
    <s v="Sales"/>
    <n v="2"/>
    <n v="4"/>
    <s v="Life Sciences"/>
    <n v="558"/>
    <n v="3"/>
    <s v="Female"/>
    <n v="3"/>
    <n v="5"/>
    <s v="Manager"/>
    <n v="3"/>
    <s v="Married"/>
    <n v="18041"/>
    <n v="0"/>
    <x v="1"/>
    <n v="14"/>
    <n v="3"/>
    <n v="4"/>
    <n v="0"/>
    <n v="21"/>
    <n v="2"/>
    <n v="3"/>
    <n v="20"/>
    <n v="15"/>
    <n v="1"/>
    <n v="12"/>
    <n v="0"/>
    <x v="0"/>
    <n v="3"/>
    <x v="3"/>
    <n v="4"/>
    <x v="3"/>
    <n v="4"/>
    <s v="Master"/>
    <s v="High"/>
    <s v="High"/>
    <s v="Better"/>
  </r>
  <r>
    <n v="26"/>
    <s v="No"/>
    <s v="Travel_Rarely"/>
    <s v="Research &amp; Development"/>
    <n v="23"/>
    <n v="3"/>
    <s v="Life Sciences"/>
    <n v="560"/>
    <n v="1"/>
    <s v="Female"/>
    <n v="3"/>
    <n v="1"/>
    <s v="Research Scientist"/>
    <n v="4"/>
    <s v="Divorced"/>
    <n v="2886"/>
    <n v="1"/>
    <x v="1"/>
    <n v="22"/>
    <n v="4"/>
    <n v="2"/>
    <n v="2"/>
    <n v="3"/>
    <n v="3"/>
    <n v="1"/>
    <n v="3"/>
    <n v="2"/>
    <n v="0"/>
    <n v="2"/>
    <n v="0"/>
    <x v="2"/>
    <n v="2"/>
    <x v="1"/>
    <n v="1"/>
    <x v="2"/>
    <n v="2"/>
    <s v="Bachelor"/>
    <s v="Very High"/>
    <s v="Low"/>
    <s v="Bad"/>
  </r>
  <r>
    <n v="30"/>
    <s v="No"/>
    <s v="Non-Travel"/>
    <s v="Research &amp; Development"/>
    <n v="3"/>
    <n v="3"/>
    <s v="Life Sciences"/>
    <n v="562"/>
    <n v="3"/>
    <s v="Male"/>
    <n v="3"/>
    <n v="1"/>
    <s v="Laboratory Technician"/>
    <n v="4"/>
    <s v="Married"/>
    <n v="2097"/>
    <n v="4"/>
    <x v="1"/>
    <n v="15"/>
    <n v="3"/>
    <n v="3"/>
    <n v="1"/>
    <n v="9"/>
    <n v="3"/>
    <n v="1"/>
    <n v="5"/>
    <n v="3"/>
    <n v="1"/>
    <n v="4"/>
    <n v="0"/>
    <x v="2"/>
    <n v="2"/>
    <x v="1"/>
    <n v="1"/>
    <x v="2"/>
    <n v="2"/>
    <s v="Bachelor"/>
    <s v="Very High"/>
    <s v="High"/>
    <s v="Bad"/>
  </r>
  <r>
    <n v="29"/>
    <s v="No"/>
    <s v="Travel_Rarely"/>
    <s v="Research &amp; Development"/>
    <n v="3"/>
    <n v="4"/>
    <s v="Medical"/>
    <n v="564"/>
    <n v="2"/>
    <s v="Male"/>
    <n v="2"/>
    <n v="3"/>
    <s v="Research Director"/>
    <n v="3"/>
    <s v="Married"/>
    <n v="11935"/>
    <n v="1"/>
    <x v="1"/>
    <n v="18"/>
    <n v="3"/>
    <n v="3"/>
    <n v="0"/>
    <n v="10"/>
    <n v="2"/>
    <n v="3"/>
    <n v="10"/>
    <n v="2"/>
    <n v="0"/>
    <n v="7"/>
    <n v="0"/>
    <x v="2"/>
    <n v="2"/>
    <x v="3"/>
    <n v="4"/>
    <x v="0"/>
    <n v="3"/>
    <s v="Master"/>
    <s v="High"/>
    <s v="Medium"/>
    <s v="Better"/>
  </r>
  <r>
    <n v="29"/>
    <s v="Yes"/>
    <s v="Travel_Rarely"/>
    <s v="Research &amp; Development"/>
    <n v="25"/>
    <n v="5"/>
    <s v="Technical Degree"/>
    <n v="565"/>
    <n v="3"/>
    <s v="Female"/>
    <n v="2"/>
    <n v="1"/>
    <s v="Research Scientist"/>
    <n v="2"/>
    <s v="Married"/>
    <n v="2546"/>
    <n v="5"/>
    <x v="1"/>
    <n v="16"/>
    <n v="3"/>
    <n v="2"/>
    <n v="0"/>
    <n v="6"/>
    <n v="2"/>
    <n v="4"/>
    <n v="2"/>
    <n v="2"/>
    <n v="1"/>
    <n v="1"/>
    <n v="1"/>
    <x v="2"/>
    <n v="2"/>
    <x v="1"/>
    <n v="1"/>
    <x v="1"/>
    <n v="1"/>
    <s v="Doctor"/>
    <s v="Medium"/>
    <s v="High"/>
    <s v="Best"/>
  </r>
  <r>
    <n v="19"/>
    <s v="Yes"/>
    <s v="Travel_Rarely"/>
    <s v="Human Resources"/>
    <n v="2"/>
    <n v="2"/>
    <s v="Technical Degree"/>
    <n v="566"/>
    <n v="1"/>
    <s v="Male"/>
    <n v="2"/>
    <n v="1"/>
    <s v="Human Resources"/>
    <n v="4"/>
    <s v="Single"/>
    <n v="2564"/>
    <n v="1"/>
    <x v="1"/>
    <n v="12"/>
    <n v="3"/>
    <n v="3"/>
    <n v="0"/>
    <n v="1"/>
    <n v="3"/>
    <n v="4"/>
    <n v="1"/>
    <n v="0"/>
    <n v="0"/>
    <n v="0"/>
    <n v="1"/>
    <x v="4"/>
    <n v="1"/>
    <x v="1"/>
    <n v="1"/>
    <x v="1"/>
    <n v="1"/>
    <s v="College"/>
    <s v="Very High"/>
    <s v="Low"/>
    <s v="Best"/>
  </r>
  <r>
    <n v="30"/>
    <s v="No"/>
    <s v="Non-Travel"/>
    <s v="Sales"/>
    <n v="22"/>
    <n v="4"/>
    <s v="Other"/>
    <n v="567"/>
    <n v="3"/>
    <s v="Female"/>
    <n v="3"/>
    <n v="3"/>
    <s v="Sales Executive"/>
    <n v="1"/>
    <s v="Married"/>
    <n v="8412"/>
    <n v="0"/>
    <x v="1"/>
    <n v="11"/>
    <n v="3"/>
    <n v="3"/>
    <n v="0"/>
    <n v="10"/>
    <n v="3"/>
    <n v="3"/>
    <n v="9"/>
    <n v="8"/>
    <n v="7"/>
    <n v="8"/>
    <n v="0"/>
    <x v="2"/>
    <n v="2"/>
    <x v="2"/>
    <n v="3"/>
    <x v="0"/>
    <n v="3"/>
    <s v="Master"/>
    <s v="Low"/>
    <s v="High"/>
    <s v="Better"/>
  </r>
  <r>
    <n v="57"/>
    <s v="No"/>
    <s v="Travel_Rarely"/>
    <s v="Sales"/>
    <n v="29"/>
    <n v="3"/>
    <s v="Marketing"/>
    <n v="568"/>
    <n v="1"/>
    <s v="Male"/>
    <n v="2"/>
    <n v="4"/>
    <s v="Manager"/>
    <n v="4"/>
    <s v="Divorced"/>
    <n v="14118"/>
    <n v="3"/>
    <x v="1"/>
    <n v="12"/>
    <n v="3"/>
    <n v="3"/>
    <n v="1"/>
    <n v="32"/>
    <n v="3"/>
    <n v="2"/>
    <n v="1"/>
    <n v="0"/>
    <n v="0"/>
    <n v="0"/>
    <n v="0"/>
    <x v="3"/>
    <n v="5"/>
    <x v="3"/>
    <n v="4"/>
    <x v="1"/>
    <n v="1"/>
    <s v="Bachelor"/>
    <s v="Very High"/>
    <s v="Low"/>
    <s v="Good"/>
  </r>
  <r>
    <n v="50"/>
    <s v="No"/>
    <s v="Travel_Rarely"/>
    <s v="Research &amp; Development"/>
    <n v="29"/>
    <n v="4"/>
    <s v="Life Sciences"/>
    <n v="569"/>
    <n v="2"/>
    <s v="Male"/>
    <n v="2"/>
    <n v="4"/>
    <s v="Manager"/>
    <n v="3"/>
    <s v="Married"/>
    <n v="17046"/>
    <n v="0"/>
    <x v="1"/>
    <n v="15"/>
    <n v="3"/>
    <n v="2"/>
    <n v="1"/>
    <n v="28"/>
    <n v="2"/>
    <n v="3"/>
    <n v="27"/>
    <n v="10"/>
    <n v="15"/>
    <n v="7"/>
    <n v="0"/>
    <x v="1"/>
    <n v="4"/>
    <x v="3"/>
    <n v="4"/>
    <x v="3"/>
    <n v="4"/>
    <s v="Master"/>
    <s v="High"/>
    <s v="Medium"/>
    <s v="Better"/>
  </r>
  <r>
    <n v="30"/>
    <s v="No"/>
    <s v="Non-Travel"/>
    <s v="Research &amp; Development"/>
    <n v="2"/>
    <n v="3"/>
    <s v="Medical"/>
    <n v="571"/>
    <n v="3"/>
    <s v="Female"/>
    <n v="3"/>
    <n v="1"/>
    <s v="Laboratory Technician"/>
    <n v="4"/>
    <s v="Single"/>
    <n v="2564"/>
    <n v="0"/>
    <x v="1"/>
    <n v="14"/>
    <n v="3"/>
    <n v="3"/>
    <n v="0"/>
    <n v="12"/>
    <n v="2"/>
    <n v="2"/>
    <n v="11"/>
    <n v="7"/>
    <n v="6"/>
    <n v="7"/>
    <n v="0"/>
    <x v="2"/>
    <n v="2"/>
    <x v="1"/>
    <n v="1"/>
    <x v="3"/>
    <n v="4"/>
    <s v="Bachelor"/>
    <s v="Very High"/>
    <s v="High"/>
    <s v="Good"/>
  </r>
  <r>
    <n v="60"/>
    <s v="No"/>
    <s v="Travel_Frequently"/>
    <s v="Sales"/>
    <n v="28"/>
    <n v="3"/>
    <s v="Marketing"/>
    <n v="573"/>
    <n v="3"/>
    <s v="Female"/>
    <n v="2"/>
    <n v="3"/>
    <s v="Sales Executive"/>
    <n v="1"/>
    <s v="Married"/>
    <n v="10266"/>
    <n v="4"/>
    <x v="1"/>
    <n v="19"/>
    <n v="3"/>
    <n v="4"/>
    <n v="0"/>
    <n v="22"/>
    <n v="5"/>
    <n v="4"/>
    <n v="18"/>
    <n v="13"/>
    <n v="13"/>
    <n v="11"/>
    <n v="0"/>
    <x v="3"/>
    <n v="5"/>
    <x v="3"/>
    <n v="4"/>
    <x v="3"/>
    <n v="4"/>
    <s v="Bachelor"/>
    <s v="Low"/>
    <s v="High"/>
    <s v="Best"/>
  </r>
  <r>
    <n v="47"/>
    <s v="No"/>
    <s v="Travel_Rarely"/>
    <s v="Research &amp; Development"/>
    <n v="2"/>
    <n v="2"/>
    <s v="Medical"/>
    <n v="574"/>
    <n v="1"/>
    <s v="Female"/>
    <n v="3"/>
    <n v="2"/>
    <s v="Manufacturing Director"/>
    <n v="4"/>
    <s v="Divorced"/>
    <n v="5070"/>
    <n v="5"/>
    <x v="1"/>
    <n v="13"/>
    <n v="3"/>
    <n v="3"/>
    <n v="3"/>
    <n v="20"/>
    <n v="2"/>
    <n v="3"/>
    <n v="5"/>
    <n v="0"/>
    <n v="0"/>
    <n v="4"/>
    <n v="0"/>
    <x v="1"/>
    <n v="4"/>
    <x v="0"/>
    <n v="2"/>
    <x v="2"/>
    <n v="2"/>
    <s v="College"/>
    <s v="Very High"/>
    <s v="Low"/>
    <s v="Better"/>
  </r>
  <r>
    <n v="46"/>
    <s v="No"/>
    <s v="Travel_Rarely"/>
    <s v="Research &amp; Development"/>
    <n v="2"/>
    <n v="3"/>
    <s v="Life Sciences"/>
    <n v="575"/>
    <n v="1"/>
    <s v="Male"/>
    <n v="3"/>
    <n v="4"/>
    <s v="Research Director"/>
    <n v="3"/>
    <s v="Married"/>
    <n v="17861"/>
    <n v="6"/>
    <x v="1"/>
    <n v="13"/>
    <n v="3"/>
    <n v="3"/>
    <n v="0"/>
    <n v="26"/>
    <n v="2"/>
    <n v="1"/>
    <n v="3"/>
    <n v="2"/>
    <n v="0"/>
    <n v="1"/>
    <n v="0"/>
    <x v="1"/>
    <n v="4"/>
    <x v="3"/>
    <n v="4"/>
    <x v="2"/>
    <n v="2"/>
    <s v="Bachelor"/>
    <s v="High"/>
    <s v="Low"/>
    <s v="Bad"/>
  </r>
  <r>
    <n v="35"/>
    <s v="No"/>
    <s v="Travel_Rarely"/>
    <s v="Research &amp; Development"/>
    <n v="22"/>
    <n v="3"/>
    <s v="Life Sciences"/>
    <n v="577"/>
    <n v="4"/>
    <s v="Male"/>
    <n v="1"/>
    <n v="1"/>
    <s v="Laboratory Technician"/>
    <n v="3"/>
    <s v="Single"/>
    <n v="4230"/>
    <n v="0"/>
    <x v="1"/>
    <n v="15"/>
    <n v="3"/>
    <n v="3"/>
    <n v="0"/>
    <n v="6"/>
    <n v="2"/>
    <n v="3"/>
    <n v="5"/>
    <n v="4"/>
    <n v="4"/>
    <n v="3"/>
    <n v="0"/>
    <x v="2"/>
    <n v="2"/>
    <x v="0"/>
    <n v="2"/>
    <x v="2"/>
    <n v="2"/>
    <s v="Bachelor"/>
    <s v="High"/>
    <s v="Very High"/>
    <s v="Better"/>
  </r>
  <r>
    <n v="54"/>
    <s v="No"/>
    <s v="Travel_Rarely"/>
    <s v="Research &amp; Development"/>
    <n v="8"/>
    <n v="4"/>
    <s v="Life Sciences"/>
    <n v="578"/>
    <n v="3"/>
    <s v="Female"/>
    <n v="3"/>
    <n v="2"/>
    <s v="Laboratory Technician"/>
    <n v="3"/>
    <s v="Single"/>
    <n v="3780"/>
    <n v="7"/>
    <x v="1"/>
    <n v="11"/>
    <n v="3"/>
    <n v="3"/>
    <n v="0"/>
    <n v="19"/>
    <n v="3"/>
    <n v="3"/>
    <n v="1"/>
    <n v="0"/>
    <n v="0"/>
    <n v="0"/>
    <n v="0"/>
    <x v="1"/>
    <n v="4"/>
    <x v="0"/>
    <n v="2"/>
    <x v="1"/>
    <n v="1"/>
    <s v="Master"/>
    <s v="High"/>
    <s v="High"/>
    <s v="Better"/>
  </r>
  <r>
    <n v="34"/>
    <s v="No"/>
    <s v="Travel_Rarely"/>
    <s v="Research &amp; Development"/>
    <n v="2"/>
    <n v="4"/>
    <s v="Life Sciences"/>
    <n v="579"/>
    <n v="4"/>
    <s v="Male"/>
    <n v="2"/>
    <n v="1"/>
    <s v="Research Scientist"/>
    <n v="3"/>
    <s v="Divorced"/>
    <n v="2768"/>
    <n v="3"/>
    <x v="1"/>
    <n v="12"/>
    <n v="3"/>
    <n v="3"/>
    <n v="1"/>
    <n v="14"/>
    <n v="3"/>
    <n v="3"/>
    <n v="7"/>
    <n v="3"/>
    <n v="5"/>
    <n v="7"/>
    <n v="0"/>
    <x v="2"/>
    <n v="2"/>
    <x v="1"/>
    <n v="1"/>
    <x v="0"/>
    <n v="3"/>
    <s v="Master"/>
    <s v="High"/>
    <s v="Very High"/>
    <s v="Better"/>
  </r>
  <r>
    <n v="46"/>
    <s v="No"/>
    <s v="Travel_Rarely"/>
    <s v="Sales"/>
    <n v="10"/>
    <n v="3"/>
    <s v="Marketing"/>
    <n v="580"/>
    <n v="3"/>
    <s v="Female"/>
    <n v="2"/>
    <n v="3"/>
    <s v="Sales Executive"/>
    <n v="4"/>
    <s v="Married"/>
    <n v="9071"/>
    <n v="2"/>
    <x v="0"/>
    <n v="19"/>
    <n v="3"/>
    <n v="3"/>
    <n v="1"/>
    <n v="15"/>
    <n v="3"/>
    <n v="3"/>
    <n v="3"/>
    <n v="2"/>
    <n v="1"/>
    <n v="2"/>
    <n v="0"/>
    <x v="1"/>
    <n v="4"/>
    <x v="2"/>
    <n v="3"/>
    <x v="2"/>
    <n v="2"/>
    <s v="Bachelor"/>
    <s v="Very High"/>
    <s v="High"/>
    <s v="Better"/>
  </r>
  <r>
    <n v="31"/>
    <s v="No"/>
    <s v="Travel_Rarely"/>
    <s v="Research &amp; Development"/>
    <n v="9"/>
    <n v="1"/>
    <s v="Life Sciences"/>
    <n v="581"/>
    <n v="3"/>
    <s v="Male"/>
    <n v="3"/>
    <n v="3"/>
    <s v="Manufacturing Director"/>
    <n v="2"/>
    <s v="Divorced"/>
    <n v="10648"/>
    <n v="1"/>
    <x v="1"/>
    <n v="25"/>
    <n v="4"/>
    <n v="4"/>
    <n v="1"/>
    <n v="13"/>
    <n v="6"/>
    <n v="4"/>
    <n v="13"/>
    <n v="8"/>
    <n v="0"/>
    <n v="8"/>
    <n v="0"/>
    <x v="2"/>
    <n v="2"/>
    <x v="3"/>
    <n v="4"/>
    <x v="3"/>
    <n v="4"/>
    <s v="Below College"/>
    <s v="Medium"/>
    <s v="High"/>
    <s v="Best"/>
  </r>
  <r>
    <n v="33"/>
    <s v="Yes"/>
    <s v="Travel_Rarely"/>
    <s v="Research &amp; Development"/>
    <n v="15"/>
    <n v="1"/>
    <s v="Medical"/>
    <n v="582"/>
    <n v="2"/>
    <s v="Male"/>
    <n v="3"/>
    <n v="3"/>
    <s v="Manager"/>
    <n v="3"/>
    <s v="Married"/>
    <n v="13610"/>
    <n v="7"/>
    <x v="0"/>
    <n v="12"/>
    <n v="3"/>
    <n v="4"/>
    <n v="0"/>
    <n v="15"/>
    <n v="2"/>
    <n v="4"/>
    <n v="7"/>
    <n v="6"/>
    <n v="7"/>
    <n v="7"/>
    <n v="1"/>
    <x v="2"/>
    <n v="2"/>
    <x v="3"/>
    <n v="4"/>
    <x v="0"/>
    <n v="3"/>
    <s v="Below College"/>
    <s v="High"/>
    <s v="Medium"/>
    <s v="Best"/>
  </r>
  <r>
    <n v="33"/>
    <s v="Yes"/>
    <s v="Travel_Rarely"/>
    <s v="Research &amp; Development"/>
    <n v="10"/>
    <n v="1"/>
    <s v="Medical"/>
    <n v="584"/>
    <n v="1"/>
    <s v="Male"/>
    <n v="1"/>
    <n v="1"/>
    <s v="Laboratory Technician"/>
    <n v="4"/>
    <s v="Divorced"/>
    <n v="3408"/>
    <n v="7"/>
    <x v="1"/>
    <n v="13"/>
    <n v="3"/>
    <n v="1"/>
    <n v="3"/>
    <n v="8"/>
    <n v="2"/>
    <n v="3"/>
    <n v="4"/>
    <n v="3"/>
    <n v="1"/>
    <n v="3"/>
    <n v="1"/>
    <x v="2"/>
    <n v="2"/>
    <x v="0"/>
    <n v="2"/>
    <x v="2"/>
    <n v="2"/>
    <s v="Below College"/>
    <s v="Very High"/>
    <s v="Low"/>
    <s v="Better"/>
  </r>
  <r>
    <n v="30"/>
    <s v="No"/>
    <s v="Travel_Rarely"/>
    <s v="Sales"/>
    <n v="7"/>
    <n v="1"/>
    <s v="Marketing"/>
    <n v="585"/>
    <n v="4"/>
    <s v="Male"/>
    <n v="3"/>
    <n v="1"/>
    <s v="Sales Representative"/>
    <n v="2"/>
    <s v="Single"/>
    <n v="2983"/>
    <n v="0"/>
    <x v="1"/>
    <n v="14"/>
    <n v="3"/>
    <n v="1"/>
    <n v="0"/>
    <n v="4"/>
    <n v="3"/>
    <n v="3"/>
    <n v="3"/>
    <n v="2"/>
    <n v="1"/>
    <n v="2"/>
    <n v="0"/>
    <x v="2"/>
    <n v="2"/>
    <x v="1"/>
    <n v="1"/>
    <x v="2"/>
    <n v="2"/>
    <s v="Below College"/>
    <s v="Medium"/>
    <s v="Very High"/>
    <s v="Better"/>
  </r>
  <r>
    <n v="35"/>
    <s v="No"/>
    <s v="Travel_Rarely"/>
    <s v="Research &amp; Development"/>
    <n v="16"/>
    <n v="3"/>
    <s v="Life Sciences"/>
    <n v="586"/>
    <n v="4"/>
    <s v="Male"/>
    <n v="3"/>
    <n v="3"/>
    <s v="Healthcare Representative"/>
    <n v="3"/>
    <s v="Married"/>
    <n v="7632"/>
    <n v="4"/>
    <x v="0"/>
    <n v="12"/>
    <n v="3"/>
    <n v="3"/>
    <n v="0"/>
    <n v="10"/>
    <n v="2"/>
    <n v="3"/>
    <n v="8"/>
    <n v="7"/>
    <n v="0"/>
    <n v="0"/>
    <n v="0"/>
    <x v="2"/>
    <n v="2"/>
    <x v="2"/>
    <n v="3"/>
    <x v="0"/>
    <n v="3"/>
    <s v="Bachelor"/>
    <s v="High"/>
    <s v="Very High"/>
    <s v="Better"/>
  </r>
  <r>
    <n v="31"/>
    <s v="Yes"/>
    <s v="Travel_Frequently"/>
    <s v="Research &amp; Development"/>
    <n v="20"/>
    <n v="3"/>
    <s v="Life Sciences"/>
    <n v="587"/>
    <n v="1"/>
    <s v="Male"/>
    <n v="3"/>
    <n v="3"/>
    <s v="Healthcare Representative"/>
    <n v="3"/>
    <s v="Married"/>
    <n v="9824"/>
    <n v="3"/>
    <x v="1"/>
    <n v="12"/>
    <n v="3"/>
    <n v="1"/>
    <n v="0"/>
    <n v="12"/>
    <n v="2"/>
    <n v="3"/>
    <n v="1"/>
    <n v="0"/>
    <n v="0"/>
    <n v="0"/>
    <n v="1"/>
    <x v="2"/>
    <n v="2"/>
    <x v="2"/>
    <n v="3"/>
    <x v="1"/>
    <n v="1"/>
    <s v="Bachelor"/>
    <s v="High"/>
    <s v="Low"/>
    <s v="Better"/>
  </r>
  <r>
    <n v="34"/>
    <s v="Yes"/>
    <s v="Travel_Frequently"/>
    <s v="Human Resources"/>
    <n v="23"/>
    <n v="3"/>
    <s v="Human Resources"/>
    <n v="590"/>
    <n v="2"/>
    <s v="Female"/>
    <n v="3"/>
    <n v="3"/>
    <s v="Human Resources"/>
    <n v="1"/>
    <s v="Divorced"/>
    <n v="9950"/>
    <n v="9"/>
    <x v="0"/>
    <n v="15"/>
    <n v="3"/>
    <n v="3"/>
    <n v="3"/>
    <n v="11"/>
    <n v="2"/>
    <n v="3"/>
    <n v="3"/>
    <n v="2"/>
    <n v="0"/>
    <n v="2"/>
    <n v="1"/>
    <x v="2"/>
    <n v="2"/>
    <x v="2"/>
    <n v="3"/>
    <x v="2"/>
    <n v="2"/>
    <s v="Bachelor"/>
    <s v="Low"/>
    <s v="Medium"/>
    <s v="Better"/>
  </r>
  <r>
    <n v="42"/>
    <s v="No"/>
    <s v="Travel_Frequently"/>
    <s v="Research &amp; Development"/>
    <n v="5"/>
    <n v="2"/>
    <s v="Other"/>
    <n v="591"/>
    <n v="2"/>
    <s v="Male"/>
    <n v="3"/>
    <n v="1"/>
    <s v="Laboratory Technician"/>
    <n v="3"/>
    <s v="Married"/>
    <n v="2093"/>
    <n v="4"/>
    <x v="1"/>
    <n v="17"/>
    <n v="3"/>
    <n v="4"/>
    <n v="1"/>
    <n v="8"/>
    <n v="4"/>
    <n v="3"/>
    <n v="2"/>
    <n v="2"/>
    <n v="2"/>
    <n v="0"/>
    <n v="0"/>
    <x v="0"/>
    <n v="3"/>
    <x v="1"/>
    <n v="1"/>
    <x v="1"/>
    <n v="1"/>
    <s v="College"/>
    <s v="High"/>
    <s v="Medium"/>
    <s v="Better"/>
  </r>
  <r>
    <n v="36"/>
    <s v="No"/>
    <s v="Non-Travel"/>
    <s v="Sales"/>
    <n v="10"/>
    <n v="4"/>
    <s v="Medical"/>
    <n v="592"/>
    <n v="2"/>
    <s v="Male"/>
    <n v="3"/>
    <n v="3"/>
    <s v="Sales Executive"/>
    <n v="4"/>
    <s v="Single"/>
    <n v="9980"/>
    <n v="1"/>
    <x v="1"/>
    <n v="14"/>
    <n v="3"/>
    <n v="4"/>
    <n v="0"/>
    <n v="10"/>
    <n v="3"/>
    <n v="2"/>
    <n v="10"/>
    <n v="3"/>
    <n v="9"/>
    <n v="7"/>
    <n v="0"/>
    <x v="0"/>
    <n v="3"/>
    <x v="2"/>
    <n v="3"/>
    <x v="0"/>
    <n v="3"/>
    <s v="Master"/>
    <s v="Very High"/>
    <s v="Medium"/>
    <s v="Good"/>
  </r>
  <r>
    <n v="22"/>
    <s v="Yes"/>
    <s v="Travel_Frequently"/>
    <s v="Research &amp; Development"/>
    <n v="4"/>
    <n v="1"/>
    <s v="Technical Degree"/>
    <n v="593"/>
    <n v="3"/>
    <s v="Male"/>
    <n v="2"/>
    <n v="1"/>
    <s v="Laboratory Technician"/>
    <n v="3"/>
    <s v="Single"/>
    <n v="3894"/>
    <n v="5"/>
    <x v="1"/>
    <n v="16"/>
    <n v="3"/>
    <n v="3"/>
    <n v="0"/>
    <n v="4"/>
    <n v="3"/>
    <n v="3"/>
    <n v="2"/>
    <n v="2"/>
    <n v="1"/>
    <n v="2"/>
    <n v="1"/>
    <x v="4"/>
    <n v="1"/>
    <x v="0"/>
    <n v="2"/>
    <x v="1"/>
    <n v="1"/>
    <s v="Below College"/>
    <s v="High"/>
    <s v="High"/>
    <s v="Better"/>
  </r>
  <r>
    <n v="48"/>
    <s v="No"/>
    <s v="Travel_Rarely"/>
    <s v="Sales"/>
    <n v="2"/>
    <n v="5"/>
    <s v="Marketing"/>
    <n v="595"/>
    <n v="2"/>
    <s v="Female"/>
    <n v="3"/>
    <n v="2"/>
    <s v="Sales Executive"/>
    <n v="4"/>
    <s v="Married"/>
    <n v="4051"/>
    <n v="2"/>
    <x v="1"/>
    <n v="14"/>
    <n v="3"/>
    <n v="1"/>
    <n v="1"/>
    <n v="14"/>
    <n v="2"/>
    <n v="3"/>
    <n v="9"/>
    <n v="7"/>
    <n v="6"/>
    <n v="7"/>
    <n v="0"/>
    <x v="1"/>
    <n v="4"/>
    <x v="0"/>
    <n v="2"/>
    <x v="0"/>
    <n v="3"/>
    <s v="Doctor"/>
    <s v="Very High"/>
    <s v="Medium"/>
    <s v="Better"/>
  </r>
  <r>
    <n v="55"/>
    <s v="No"/>
    <s v="Travel_Rarely"/>
    <s v="Sales"/>
    <n v="18"/>
    <n v="5"/>
    <s v="Life Sciences"/>
    <n v="597"/>
    <n v="1"/>
    <s v="Female"/>
    <n v="3"/>
    <n v="4"/>
    <s v="Manager"/>
    <n v="2"/>
    <s v="Single"/>
    <n v="16835"/>
    <n v="3"/>
    <x v="1"/>
    <n v="23"/>
    <n v="4"/>
    <n v="4"/>
    <n v="0"/>
    <n v="37"/>
    <n v="2"/>
    <n v="3"/>
    <n v="10"/>
    <n v="9"/>
    <n v="7"/>
    <n v="7"/>
    <n v="0"/>
    <x v="1"/>
    <n v="4"/>
    <x v="3"/>
    <n v="4"/>
    <x v="0"/>
    <n v="3"/>
    <s v="Doctor"/>
    <s v="Medium"/>
    <s v="Low"/>
    <s v="Better"/>
  </r>
  <r>
    <n v="41"/>
    <s v="No"/>
    <s v="Non-Travel"/>
    <s v="Sales"/>
    <n v="10"/>
    <n v="2"/>
    <s v="Life Sciences"/>
    <n v="599"/>
    <n v="4"/>
    <s v="Male"/>
    <n v="3"/>
    <n v="2"/>
    <s v="Sales Executive"/>
    <n v="4"/>
    <s v="Single"/>
    <n v="6230"/>
    <n v="7"/>
    <x v="1"/>
    <n v="14"/>
    <n v="3"/>
    <n v="4"/>
    <n v="0"/>
    <n v="16"/>
    <n v="3"/>
    <n v="3"/>
    <n v="14"/>
    <n v="3"/>
    <n v="1"/>
    <n v="10"/>
    <n v="0"/>
    <x v="0"/>
    <n v="3"/>
    <x v="2"/>
    <n v="3"/>
    <x v="3"/>
    <n v="4"/>
    <s v="College"/>
    <s v="Very High"/>
    <s v="Very High"/>
    <s v="Better"/>
  </r>
  <r>
    <n v="35"/>
    <s v="No"/>
    <s v="Travel_Rarely"/>
    <s v="Sales"/>
    <n v="1"/>
    <n v="3"/>
    <s v="Marketing"/>
    <n v="600"/>
    <n v="2"/>
    <s v="Male"/>
    <n v="3"/>
    <n v="2"/>
    <s v="Sales Executive"/>
    <n v="3"/>
    <s v="Married"/>
    <n v="4717"/>
    <n v="9"/>
    <x v="1"/>
    <n v="11"/>
    <n v="3"/>
    <n v="3"/>
    <n v="0"/>
    <n v="15"/>
    <n v="2"/>
    <n v="3"/>
    <n v="11"/>
    <n v="9"/>
    <n v="6"/>
    <n v="9"/>
    <n v="0"/>
    <x v="2"/>
    <n v="2"/>
    <x v="0"/>
    <n v="2"/>
    <x v="3"/>
    <n v="4"/>
    <s v="Bachelor"/>
    <s v="High"/>
    <s v="Medium"/>
    <s v="Better"/>
  </r>
  <r>
    <n v="40"/>
    <s v="No"/>
    <s v="Travel_Rarely"/>
    <s v="Research &amp; Development"/>
    <n v="6"/>
    <n v="3"/>
    <s v="Life Sciences"/>
    <n v="601"/>
    <n v="2"/>
    <s v="Female"/>
    <n v="3"/>
    <n v="4"/>
    <s v="Manufacturing Director"/>
    <n v="3"/>
    <s v="Single"/>
    <n v="13237"/>
    <n v="7"/>
    <x v="1"/>
    <n v="15"/>
    <n v="3"/>
    <n v="3"/>
    <n v="0"/>
    <n v="22"/>
    <n v="3"/>
    <n v="3"/>
    <n v="20"/>
    <n v="6"/>
    <n v="5"/>
    <n v="13"/>
    <n v="0"/>
    <x v="0"/>
    <n v="3"/>
    <x v="3"/>
    <n v="4"/>
    <x v="3"/>
    <n v="4"/>
    <s v="Bachelor"/>
    <s v="High"/>
    <s v="Medium"/>
    <s v="Better"/>
  </r>
  <r>
    <n v="39"/>
    <s v="No"/>
    <s v="Travel_Frequently"/>
    <s v="Research &amp; Development"/>
    <n v="8"/>
    <n v="1"/>
    <s v="Life Sciences"/>
    <n v="602"/>
    <n v="3"/>
    <s v="Female"/>
    <n v="3"/>
    <n v="1"/>
    <s v="Laboratory Technician"/>
    <n v="3"/>
    <s v="Married"/>
    <n v="3755"/>
    <n v="1"/>
    <x v="1"/>
    <n v="11"/>
    <n v="3"/>
    <n v="1"/>
    <n v="1"/>
    <n v="8"/>
    <n v="3"/>
    <n v="3"/>
    <n v="8"/>
    <n v="3"/>
    <n v="0"/>
    <n v="7"/>
    <n v="0"/>
    <x v="0"/>
    <n v="3"/>
    <x v="0"/>
    <n v="2"/>
    <x v="0"/>
    <n v="3"/>
    <s v="Below College"/>
    <s v="High"/>
    <s v="High"/>
    <s v="Better"/>
  </r>
  <r>
    <n v="31"/>
    <s v="No"/>
    <s v="Travel_Rarely"/>
    <s v="Sales"/>
    <n v="2"/>
    <n v="1"/>
    <s v="Life Sciences"/>
    <n v="604"/>
    <n v="2"/>
    <s v="Male"/>
    <n v="3"/>
    <n v="2"/>
    <s v="Sales Executive"/>
    <n v="4"/>
    <s v="Single"/>
    <n v="6582"/>
    <n v="4"/>
    <x v="0"/>
    <n v="13"/>
    <n v="3"/>
    <n v="3"/>
    <n v="0"/>
    <n v="10"/>
    <n v="2"/>
    <n v="4"/>
    <n v="6"/>
    <n v="5"/>
    <n v="0"/>
    <n v="5"/>
    <n v="0"/>
    <x v="2"/>
    <n v="2"/>
    <x v="2"/>
    <n v="3"/>
    <x v="0"/>
    <n v="3"/>
    <s v="Below College"/>
    <s v="Very High"/>
    <s v="Medium"/>
    <s v="Best"/>
  </r>
  <r>
    <n v="42"/>
    <s v="No"/>
    <s v="Travel_Rarely"/>
    <s v="Research &amp; Development"/>
    <n v="24"/>
    <n v="3"/>
    <s v="Medical"/>
    <n v="605"/>
    <n v="4"/>
    <s v="Male"/>
    <n v="3"/>
    <n v="3"/>
    <s v="Manufacturing Director"/>
    <n v="1"/>
    <s v="Married"/>
    <n v="7406"/>
    <n v="1"/>
    <x v="0"/>
    <n v="21"/>
    <n v="4"/>
    <n v="4"/>
    <n v="1"/>
    <n v="10"/>
    <n v="5"/>
    <n v="2"/>
    <n v="10"/>
    <n v="9"/>
    <n v="5"/>
    <n v="8"/>
    <n v="0"/>
    <x v="0"/>
    <n v="3"/>
    <x v="2"/>
    <n v="3"/>
    <x v="0"/>
    <n v="3"/>
    <s v="Bachelor"/>
    <s v="Low"/>
    <s v="Very High"/>
    <s v="Good"/>
  </r>
  <r>
    <n v="45"/>
    <s v="No"/>
    <s v="Travel_Rarely"/>
    <s v="Sales"/>
    <n v="2"/>
    <n v="3"/>
    <s v="Other"/>
    <n v="606"/>
    <n v="4"/>
    <s v="Male"/>
    <n v="3"/>
    <n v="2"/>
    <s v="Sales Executive"/>
    <n v="2"/>
    <s v="Married"/>
    <n v="4805"/>
    <n v="0"/>
    <x v="1"/>
    <n v="19"/>
    <n v="3"/>
    <n v="2"/>
    <n v="1"/>
    <n v="9"/>
    <n v="3"/>
    <n v="4"/>
    <n v="8"/>
    <n v="7"/>
    <n v="3"/>
    <n v="7"/>
    <n v="0"/>
    <x v="0"/>
    <n v="3"/>
    <x v="0"/>
    <n v="2"/>
    <x v="0"/>
    <n v="3"/>
    <s v="Bachelor"/>
    <s v="Medium"/>
    <s v="Very High"/>
    <s v="Best"/>
  </r>
  <r>
    <n v="26"/>
    <s v="Yes"/>
    <s v="Travel_Frequently"/>
    <s v="Human Resources"/>
    <n v="17"/>
    <n v="4"/>
    <s v="Life Sciences"/>
    <n v="608"/>
    <n v="2"/>
    <s v="Female"/>
    <n v="3"/>
    <n v="1"/>
    <s v="Human Resources"/>
    <n v="3"/>
    <s v="Divorced"/>
    <n v="2741"/>
    <n v="0"/>
    <x v="0"/>
    <n v="11"/>
    <n v="3"/>
    <n v="2"/>
    <n v="1"/>
    <n v="8"/>
    <n v="2"/>
    <n v="2"/>
    <n v="7"/>
    <n v="7"/>
    <n v="1"/>
    <n v="0"/>
    <n v="1"/>
    <x v="2"/>
    <n v="2"/>
    <x v="1"/>
    <n v="1"/>
    <x v="0"/>
    <n v="3"/>
    <s v="Master"/>
    <s v="High"/>
    <s v="Medium"/>
    <s v="Good"/>
  </r>
  <r>
    <n v="29"/>
    <s v="No"/>
    <s v="Travel_Rarely"/>
    <s v="Research &amp; Development"/>
    <n v="19"/>
    <n v="3"/>
    <s v="Technical Degree"/>
    <n v="611"/>
    <n v="4"/>
    <s v="Male"/>
    <n v="3"/>
    <n v="2"/>
    <s v="Manufacturing Director"/>
    <n v="4"/>
    <s v="Divorced"/>
    <n v="4262"/>
    <n v="4"/>
    <x v="1"/>
    <n v="12"/>
    <n v="3"/>
    <n v="2"/>
    <n v="2"/>
    <n v="8"/>
    <n v="2"/>
    <n v="4"/>
    <n v="3"/>
    <n v="2"/>
    <n v="1"/>
    <n v="2"/>
    <n v="0"/>
    <x v="2"/>
    <n v="2"/>
    <x v="0"/>
    <n v="2"/>
    <x v="2"/>
    <n v="2"/>
    <s v="Bachelor"/>
    <s v="Very High"/>
    <s v="Very High"/>
    <s v="Best"/>
  </r>
  <r>
    <n v="33"/>
    <s v="No"/>
    <s v="Travel_Rarely"/>
    <s v="Research &amp; Development"/>
    <n v="1"/>
    <n v="5"/>
    <s v="Medical"/>
    <n v="612"/>
    <n v="1"/>
    <s v="Female"/>
    <n v="4"/>
    <n v="4"/>
    <s v="Research Director"/>
    <n v="3"/>
    <s v="Divorced"/>
    <n v="16184"/>
    <n v="4"/>
    <x v="1"/>
    <n v="19"/>
    <n v="3"/>
    <n v="3"/>
    <n v="1"/>
    <n v="10"/>
    <n v="2"/>
    <n v="3"/>
    <n v="6"/>
    <n v="1"/>
    <n v="0"/>
    <n v="5"/>
    <n v="0"/>
    <x v="2"/>
    <n v="2"/>
    <x v="3"/>
    <n v="4"/>
    <x v="0"/>
    <n v="3"/>
    <s v="Doctor"/>
    <s v="High"/>
    <s v="Low"/>
    <s v="Better"/>
  </r>
  <r>
    <n v="31"/>
    <s v="No"/>
    <s v="Travel_Rarely"/>
    <s v="Sales"/>
    <n v="7"/>
    <n v="3"/>
    <s v="Life Sciences"/>
    <n v="613"/>
    <n v="3"/>
    <s v="Male"/>
    <n v="2"/>
    <n v="3"/>
    <s v="Manager"/>
    <n v="4"/>
    <s v="Divorced"/>
    <n v="11557"/>
    <n v="9"/>
    <x v="1"/>
    <n v="21"/>
    <n v="4"/>
    <n v="3"/>
    <n v="1"/>
    <n v="10"/>
    <n v="3"/>
    <n v="2"/>
    <n v="5"/>
    <n v="4"/>
    <n v="0"/>
    <n v="1"/>
    <n v="0"/>
    <x v="2"/>
    <n v="2"/>
    <x v="3"/>
    <n v="4"/>
    <x v="2"/>
    <n v="2"/>
    <s v="Bachelor"/>
    <s v="Very High"/>
    <s v="High"/>
    <s v="Good"/>
  </r>
  <r>
    <n v="18"/>
    <s v="Yes"/>
    <s v="Travel_Frequently"/>
    <s v="Sales"/>
    <n v="5"/>
    <n v="3"/>
    <s v="Marketing"/>
    <n v="614"/>
    <n v="2"/>
    <s v="Male"/>
    <n v="3"/>
    <n v="1"/>
    <s v="Sales Representative"/>
    <n v="2"/>
    <s v="Single"/>
    <n v="1878"/>
    <n v="1"/>
    <x v="0"/>
    <n v="14"/>
    <n v="3"/>
    <n v="4"/>
    <n v="0"/>
    <n v="0"/>
    <n v="3"/>
    <n v="3"/>
    <n v="0"/>
    <n v="0"/>
    <n v="0"/>
    <n v="0"/>
    <n v="1"/>
    <x v="4"/>
    <n v="1"/>
    <x v="1"/>
    <n v="1"/>
    <x v="1"/>
    <n v="1"/>
    <s v="Bachelor"/>
    <s v="Medium"/>
    <s v="Medium"/>
    <s v="Better"/>
  </r>
  <r>
    <n v="40"/>
    <s v="No"/>
    <s v="Non-Travel"/>
    <s v="Sales"/>
    <n v="28"/>
    <n v="3"/>
    <s v="Other"/>
    <n v="615"/>
    <n v="3"/>
    <s v="Male"/>
    <n v="1"/>
    <n v="3"/>
    <s v="Sales Executive"/>
    <n v="1"/>
    <s v="Divorced"/>
    <n v="10932"/>
    <n v="3"/>
    <x v="1"/>
    <n v="15"/>
    <n v="3"/>
    <n v="3"/>
    <n v="1"/>
    <n v="20"/>
    <n v="2"/>
    <n v="3"/>
    <n v="1"/>
    <n v="0"/>
    <n v="0"/>
    <n v="1"/>
    <n v="0"/>
    <x v="0"/>
    <n v="3"/>
    <x v="3"/>
    <n v="4"/>
    <x v="1"/>
    <n v="1"/>
    <s v="Bachelor"/>
    <s v="Low"/>
    <s v="High"/>
    <s v="Better"/>
  </r>
  <r>
    <n v="41"/>
    <s v="No"/>
    <s v="Non-Travel"/>
    <s v="Research &amp; Development"/>
    <n v="2"/>
    <n v="4"/>
    <s v="Other"/>
    <n v="616"/>
    <n v="1"/>
    <s v="Female"/>
    <n v="2"/>
    <n v="2"/>
    <s v="Healthcare Representative"/>
    <n v="3"/>
    <s v="Single"/>
    <n v="6811"/>
    <n v="2"/>
    <x v="0"/>
    <n v="17"/>
    <n v="3"/>
    <n v="1"/>
    <n v="0"/>
    <n v="10"/>
    <n v="3"/>
    <n v="3"/>
    <n v="8"/>
    <n v="7"/>
    <n v="0"/>
    <n v="7"/>
    <n v="0"/>
    <x v="0"/>
    <n v="3"/>
    <x v="2"/>
    <n v="3"/>
    <x v="0"/>
    <n v="3"/>
    <s v="Master"/>
    <s v="High"/>
    <s v="Low"/>
    <s v="Better"/>
  </r>
  <r>
    <n v="26"/>
    <s v="No"/>
    <s v="Travel_Rarely"/>
    <s v="Sales"/>
    <n v="29"/>
    <n v="2"/>
    <s v="Medical"/>
    <n v="618"/>
    <n v="1"/>
    <s v="Male"/>
    <n v="3"/>
    <n v="2"/>
    <s v="Sales Executive"/>
    <n v="3"/>
    <s v="Divorced"/>
    <n v="4306"/>
    <n v="5"/>
    <x v="1"/>
    <n v="12"/>
    <n v="3"/>
    <n v="1"/>
    <n v="2"/>
    <n v="8"/>
    <n v="5"/>
    <n v="3"/>
    <n v="0"/>
    <n v="0"/>
    <n v="0"/>
    <n v="0"/>
    <n v="0"/>
    <x v="2"/>
    <n v="2"/>
    <x v="0"/>
    <n v="2"/>
    <x v="1"/>
    <n v="1"/>
    <s v="College"/>
    <s v="High"/>
    <s v="Low"/>
    <s v="Better"/>
  </r>
  <r>
    <n v="35"/>
    <s v="No"/>
    <s v="Travel_Rarely"/>
    <s v="Sales"/>
    <n v="1"/>
    <n v="3"/>
    <s v="Medical"/>
    <n v="620"/>
    <n v="1"/>
    <s v="Female"/>
    <n v="3"/>
    <n v="2"/>
    <s v="Sales Executive"/>
    <n v="3"/>
    <s v="Single"/>
    <n v="4859"/>
    <n v="1"/>
    <x v="1"/>
    <n v="16"/>
    <n v="3"/>
    <n v="4"/>
    <n v="0"/>
    <n v="5"/>
    <n v="3"/>
    <n v="3"/>
    <n v="5"/>
    <n v="4"/>
    <n v="0"/>
    <n v="3"/>
    <n v="0"/>
    <x v="2"/>
    <n v="2"/>
    <x v="0"/>
    <n v="2"/>
    <x v="2"/>
    <n v="2"/>
    <s v="Bachelor"/>
    <s v="High"/>
    <s v="Low"/>
    <s v="Better"/>
  </r>
  <r>
    <n v="34"/>
    <s v="No"/>
    <s v="Travel_Rarely"/>
    <s v="Sales"/>
    <n v="21"/>
    <n v="4"/>
    <s v="Life Sciences"/>
    <n v="621"/>
    <n v="4"/>
    <s v="Male"/>
    <n v="4"/>
    <n v="2"/>
    <s v="Sales Executive"/>
    <n v="4"/>
    <s v="Single"/>
    <n v="5337"/>
    <n v="1"/>
    <x v="1"/>
    <n v="12"/>
    <n v="3"/>
    <n v="4"/>
    <n v="0"/>
    <n v="10"/>
    <n v="3"/>
    <n v="3"/>
    <n v="10"/>
    <n v="7"/>
    <n v="5"/>
    <n v="7"/>
    <n v="0"/>
    <x v="2"/>
    <n v="2"/>
    <x v="0"/>
    <n v="2"/>
    <x v="0"/>
    <n v="3"/>
    <s v="Master"/>
    <s v="Very High"/>
    <s v="Very High"/>
    <s v="Better"/>
  </r>
  <r>
    <n v="26"/>
    <s v="Yes"/>
    <s v="Travel_Rarely"/>
    <s v="Research &amp; Development"/>
    <n v="24"/>
    <n v="3"/>
    <s v="Technical Degree"/>
    <n v="622"/>
    <n v="3"/>
    <s v="Male"/>
    <n v="1"/>
    <n v="1"/>
    <s v="Laboratory Technician"/>
    <n v="4"/>
    <s v="Single"/>
    <n v="2340"/>
    <n v="1"/>
    <x v="0"/>
    <n v="18"/>
    <n v="3"/>
    <n v="2"/>
    <n v="0"/>
    <n v="1"/>
    <n v="3"/>
    <n v="1"/>
    <n v="1"/>
    <n v="0"/>
    <n v="0"/>
    <n v="0"/>
    <n v="1"/>
    <x v="2"/>
    <n v="2"/>
    <x v="1"/>
    <n v="1"/>
    <x v="1"/>
    <n v="1"/>
    <s v="Bachelor"/>
    <s v="Very High"/>
    <s v="High"/>
    <s v="Bad"/>
  </r>
  <r>
    <n v="37"/>
    <s v="No"/>
    <s v="Travel_Rarely"/>
    <s v="Research &amp; Development"/>
    <n v="1"/>
    <n v="3"/>
    <s v="Technical Degree"/>
    <n v="623"/>
    <n v="2"/>
    <s v="Female"/>
    <n v="3"/>
    <n v="3"/>
    <s v="Manufacturing Director"/>
    <n v="4"/>
    <s v="Single"/>
    <n v="7491"/>
    <n v="4"/>
    <x v="1"/>
    <n v="17"/>
    <n v="3"/>
    <n v="4"/>
    <n v="0"/>
    <n v="12"/>
    <n v="3"/>
    <n v="4"/>
    <n v="6"/>
    <n v="5"/>
    <n v="1"/>
    <n v="2"/>
    <n v="0"/>
    <x v="0"/>
    <n v="3"/>
    <x v="2"/>
    <n v="3"/>
    <x v="0"/>
    <n v="3"/>
    <s v="Bachelor"/>
    <s v="Very High"/>
    <s v="Medium"/>
    <s v="Best"/>
  </r>
  <r>
    <n v="46"/>
    <s v="No"/>
    <s v="Travel_Frequently"/>
    <s v="Research &amp; Development"/>
    <n v="18"/>
    <n v="1"/>
    <s v="Medical"/>
    <n v="624"/>
    <n v="1"/>
    <s v="Female"/>
    <n v="3"/>
    <n v="3"/>
    <s v="Healthcare Representative"/>
    <n v="3"/>
    <s v="Married"/>
    <n v="10527"/>
    <n v="5"/>
    <x v="1"/>
    <n v="11"/>
    <n v="3"/>
    <n v="4"/>
    <n v="0"/>
    <n v="28"/>
    <n v="3"/>
    <n v="2"/>
    <n v="2"/>
    <n v="2"/>
    <n v="1"/>
    <n v="2"/>
    <n v="0"/>
    <x v="1"/>
    <n v="4"/>
    <x v="3"/>
    <n v="4"/>
    <x v="1"/>
    <n v="1"/>
    <s v="Below College"/>
    <s v="High"/>
    <s v="Low"/>
    <s v="Good"/>
  </r>
  <r>
    <n v="41"/>
    <s v="No"/>
    <s v="Travel_Rarely"/>
    <s v="Sales"/>
    <n v="2"/>
    <n v="5"/>
    <s v="Life Sciences"/>
    <n v="625"/>
    <n v="2"/>
    <s v="Female"/>
    <n v="3"/>
    <n v="4"/>
    <s v="Manager"/>
    <n v="1"/>
    <s v="Married"/>
    <n v="16595"/>
    <n v="7"/>
    <x v="1"/>
    <n v="16"/>
    <n v="3"/>
    <n v="2"/>
    <n v="1"/>
    <n v="22"/>
    <n v="2"/>
    <n v="3"/>
    <n v="18"/>
    <n v="16"/>
    <n v="11"/>
    <n v="8"/>
    <n v="0"/>
    <x v="0"/>
    <n v="3"/>
    <x v="3"/>
    <n v="4"/>
    <x v="3"/>
    <n v="4"/>
    <s v="Doctor"/>
    <s v="Low"/>
    <s v="Medium"/>
    <s v="Better"/>
  </r>
  <r>
    <n v="37"/>
    <s v="No"/>
    <s v="Non-Travel"/>
    <s v="Sales"/>
    <n v="9"/>
    <n v="4"/>
    <s v="Medical"/>
    <n v="626"/>
    <n v="1"/>
    <s v="Male"/>
    <n v="3"/>
    <n v="3"/>
    <s v="Sales Executive"/>
    <n v="2"/>
    <s v="Divorced"/>
    <n v="8834"/>
    <n v="1"/>
    <x v="1"/>
    <n v="13"/>
    <n v="3"/>
    <n v="4"/>
    <n v="1"/>
    <n v="9"/>
    <n v="6"/>
    <n v="3"/>
    <n v="9"/>
    <n v="5"/>
    <n v="7"/>
    <n v="7"/>
    <n v="0"/>
    <x v="0"/>
    <n v="3"/>
    <x v="2"/>
    <n v="3"/>
    <x v="0"/>
    <n v="3"/>
    <s v="Master"/>
    <s v="Medium"/>
    <s v="Low"/>
    <s v="Better"/>
  </r>
  <r>
    <n v="52"/>
    <s v="No"/>
    <s v="Travel_Rarely"/>
    <s v="Research &amp; Development"/>
    <n v="6"/>
    <n v="2"/>
    <s v="Technical Degree"/>
    <n v="630"/>
    <n v="4"/>
    <s v="Male"/>
    <n v="3"/>
    <n v="2"/>
    <s v="Research Scientist"/>
    <n v="1"/>
    <s v="Divorced"/>
    <n v="5577"/>
    <n v="3"/>
    <x v="0"/>
    <n v="12"/>
    <n v="3"/>
    <n v="2"/>
    <n v="2"/>
    <n v="18"/>
    <n v="3"/>
    <n v="3"/>
    <n v="10"/>
    <n v="9"/>
    <n v="6"/>
    <n v="9"/>
    <n v="0"/>
    <x v="1"/>
    <n v="4"/>
    <x v="0"/>
    <n v="2"/>
    <x v="0"/>
    <n v="3"/>
    <s v="College"/>
    <s v="Low"/>
    <s v="Very High"/>
    <s v="Better"/>
  </r>
  <r>
    <n v="32"/>
    <s v="Yes"/>
    <s v="Non-Travel"/>
    <s v="Sales"/>
    <n v="11"/>
    <n v="4"/>
    <s v="Other"/>
    <n v="631"/>
    <n v="4"/>
    <s v="Male"/>
    <n v="4"/>
    <n v="2"/>
    <s v="Sales Executive"/>
    <n v="3"/>
    <s v="Married"/>
    <n v="4707"/>
    <n v="8"/>
    <x v="1"/>
    <n v="12"/>
    <n v="3"/>
    <n v="4"/>
    <n v="0"/>
    <n v="6"/>
    <n v="2"/>
    <n v="3"/>
    <n v="4"/>
    <n v="2"/>
    <n v="1"/>
    <n v="2"/>
    <n v="1"/>
    <x v="2"/>
    <n v="2"/>
    <x v="0"/>
    <n v="2"/>
    <x v="2"/>
    <n v="2"/>
    <s v="Master"/>
    <s v="High"/>
    <s v="Very High"/>
    <s v="Better"/>
  </r>
  <r>
    <n v="24"/>
    <s v="No"/>
    <s v="Travel_Frequently"/>
    <s v="Sales"/>
    <n v="24"/>
    <n v="3"/>
    <s v="Medical"/>
    <n v="632"/>
    <n v="4"/>
    <s v="Male"/>
    <n v="3"/>
    <n v="1"/>
    <s v="Sales Representative"/>
    <n v="4"/>
    <s v="Married"/>
    <n v="2400"/>
    <n v="0"/>
    <x v="1"/>
    <n v="13"/>
    <n v="3"/>
    <n v="3"/>
    <n v="2"/>
    <n v="3"/>
    <n v="3"/>
    <n v="3"/>
    <n v="2"/>
    <n v="2"/>
    <n v="2"/>
    <n v="1"/>
    <n v="0"/>
    <x v="4"/>
    <n v="1"/>
    <x v="1"/>
    <n v="1"/>
    <x v="1"/>
    <n v="1"/>
    <s v="Bachelor"/>
    <s v="Very High"/>
    <s v="Very High"/>
    <s v="Better"/>
  </r>
  <r>
    <n v="38"/>
    <s v="No"/>
    <s v="Travel_Rarely"/>
    <s v="Research &amp; Development"/>
    <n v="10"/>
    <n v="3"/>
    <s v="Medical"/>
    <n v="634"/>
    <n v="3"/>
    <s v="Female"/>
    <n v="3"/>
    <n v="2"/>
    <s v="Healthcare Representative"/>
    <n v="3"/>
    <s v="Married"/>
    <n v="9824"/>
    <n v="3"/>
    <x v="1"/>
    <n v="19"/>
    <n v="3"/>
    <n v="3"/>
    <n v="1"/>
    <n v="18"/>
    <n v="4"/>
    <n v="3"/>
    <n v="1"/>
    <n v="0"/>
    <n v="0"/>
    <n v="0"/>
    <n v="0"/>
    <x v="0"/>
    <n v="3"/>
    <x v="2"/>
    <n v="3"/>
    <x v="1"/>
    <n v="1"/>
    <s v="Bachelor"/>
    <s v="High"/>
    <s v="High"/>
    <s v="Better"/>
  </r>
  <r>
    <n v="37"/>
    <s v="No"/>
    <s v="Travel_Rarely"/>
    <s v="Research &amp; Development"/>
    <n v="1"/>
    <n v="4"/>
    <s v="Life Sciences"/>
    <n v="635"/>
    <n v="2"/>
    <s v="Female"/>
    <n v="3"/>
    <n v="2"/>
    <s v="Manufacturing Director"/>
    <n v="2"/>
    <s v="Married"/>
    <n v="6447"/>
    <n v="6"/>
    <x v="1"/>
    <n v="12"/>
    <n v="3"/>
    <n v="2"/>
    <n v="1"/>
    <n v="8"/>
    <n v="2"/>
    <n v="2"/>
    <n v="6"/>
    <n v="5"/>
    <n v="4"/>
    <n v="3"/>
    <n v="0"/>
    <x v="0"/>
    <n v="3"/>
    <x v="2"/>
    <n v="3"/>
    <x v="0"/>
    <n v="3"/>
    <s v="Master"/>
    <s v="Medium"/>
    <s v="Medium"/>
    <s v="Good"/>
  </r>
  <r>
    <n v="49"/>
    <s v="No"/>
    <s v="Travel_Rarely"/>
    <s v="Research &amp; Development"/>
    <n v="18"/>
    <n v="4"/>
    <s v="Life Sciences"/>
    <n v="638"/>
    <n v="4"/>
    <s v="Male"/>
    <n v="2"/>
    <n v="5"/>
    <s v="Research Director"/>
    <n v="3"/>
    <s v="Divorced"/>
    <n v="19502"/>
    <n v="1"/>
    <x v="0"/>
    <n v="17"/>
    <n v="3"/>
    <n v="3"/>
    <n v="1"/>
    <n v="31"/>
    <n v="5"/>
    <n v="3"/>
    <n v="31"/>
    <n v="9"/>
    <n v="0"/>
    <n v="9"/>
    <n v="0"/>
    <x v="1"/>
    <n v="4"/>
    <x v="3"/>
    <n v="4"/>
    <x v="3"/>
    <n v="4"/>
    <s v="Master"/>
    <s v="High"/>
    <s v="Very High"/>
    <s v="Better"/>
  </r>
  <r>
    <n v="24"/>
    <s v="No"/>
    <s v="Travel_Rarely"/>
    <s v="Research &amp; Development"/>
    <n v="23"/>
    <n v="3"/>
    <s v="Medical"/>
    <n v="639"/>
    <n v="2"/>
    <s v="Male"/>
    <n v="4"/>
    <n v="1"/>
    <s v="Research Scientist"/>
    <n v="4"/>
    <s v="Married"/>
    <n v="2725"/>
    <n v="1"/>
    <x v="0"/>
    <n v="11"/>
    <n v="3"/>
    <n v="2"/>
    <n v="2"/>
    <n v="6"/>
    <n v="3"/>
    <n v="3"/>
    <n v="6"/>
    <n v="5"/>
    <n v="1"/>
    <n v="4"/>
    <n v="0"/>
    <x v="4"/>
    <n v="1"/>
    <x v="1"/>
    <n v="1"/>
    <x v="0"/>
    <n v="3"/>
    <s v="Bachelor"/>
    <s v="Very High"/>
    <s v="Medium"/>
    <s v="Better"/>
  </r>
  <r>
    <n v="26"/>
    <s v="No"/>
    <s v="Travel_Rarely"/>
    <s v="Sales"/>
    <n v="28"/>
    <n v="2"/>
    <s v="Marketing"/>
    <n v="641"/>
    <n v="1"/>
    <s v="Male"/>
    <n v="3"/>
    <n v="2"/>
    <s v="Sales Executive"/>
    <n v="2"/>
    <s v="Married"/>
    <n v="6272"/>
    <n v="1"/>
    <x v="1"/>
    <n v="20"/>
    <n v="4"/>
    <n v="4"/>
    <n v="2"/>
    <n v="6"/>
    <n v="5"/>
    <n v="4"/>
    <n v="5"/>
    <n v="3"/>
    <n v="1"/>
    <n v="4"/>
    <n v="0"/>
    <x v="2"/>
    <n v="2"/>
    <x v="2"/>
    <n v="3"/>
    <x v="2"/>
    <n v="2"/>
    <s v="College"/>
    <s v="Medium"/>
    <s v="Low"/>
    <s v="Best"/>
  </r>
  <r>
    <n v="24"/>
    <s v="No"/>
    <s v="Travel_Rarely"/>
    <s v="Research &amp; Development"/>
    <n v="17"/>
    <n v="2"/>
    <s v="Other"/>
    <n v="643"/>
    <n v="4"/>
    <s v="Male"/>
    <n v="2"/>
    <n v="1"/>
    <s v="Laboratory Technician"/>
    <n v="2"/>
    <s v="Married"/>
    <n v="2127"/>
    <n v="1"/>
    <x v="1"/>
    <n v="21"/>
    <n v="4"/>
    <n v="4"/>
    <n v="1"/>
    <n v="1"/>
    <n v="2"/>
    <n v="3"/>
    <n v="1"/>
    <n v="0"/>
    <n v="0"/>
    <n v="0"/>
    <n v="0"/>
    <x v="4"/>
    <n v="1"/>
    <x v="1"/>
    <n v="1"/>
    <x v="1"/>
    <n v="1"/>
    <s v="College"/>
    <s v="Medium"/>
    <s v="Very High"/>
    <s v="Better"/>
  </r>
  <r>
    <n v="50"/>
    <s v="No"/>
    <s v="Travel_Frequently"/>
    <s v="Human Resources"/>
    <n v="3"/>
    <n v="3"/>
    <s v="Medical"/>
    <n v="644"/>
    <n v="1"/>
    <s v="Male"/>
    <n v="3"/>
    <n v="5"/>
    <s v="Manager"/>
    <n v="2"/>
    <s v="Married"/>
    <n v="18200"/>
    <n v="1"/>
    <x v="1"/>
    <n v="11"/>
    <n v="3"/>
    <n v="3"/>
    <n v="1"/>
    <n v="32"/>
    <n v="2"/>
    <n v="3"/>
    <n v="32"/>
    <n v="5"/>
    <n v="10"/>
    <n v="7"/>
    <n v="0"/>
    <x v="1"/>
    <n v="4"/>
    <x v="3"/>
    <n v="4"/>
    <x v="3"/>
    <n v="4"/>
    <s v="Bachelor"/>
    <s v="Medium"/>
    <s v="Low"/>
    <s v="Better"/>
  </r>
  <r>
    <n v="25"/>
    <s v="No"/>
    <s v="Travel_Rarely"/>
    <s v="Sales"/>
    <n v="13"/>
    <n v="1"/>
    <s v="Medical"/>
    <n v="645"/>
    <n v="2"/>
    <s v="Male"/>
    <n v="3"/>
    <n v="1"/>
    <s v="Sales Representative"/>
    <n v="3"/>
    <s v="Married"/>
    <n v="2096"/>
    <n v="1"/>
    <x v="1"/>
    <n v="11"/>
    <n v="3"/>
    <n v="3"/>
    <n v="0"/>
    <n v="7"/>
    <n v="1"/>
    <n v="3"/>
    <n v="7"/>
    <n v="4"/>
    <n v="0"/>
    <n v="6"/>
    <n v="0"/>
    <x v="4"/>
    <n v="1"/>
    <x v="1"/>
    <n v="1"/>
    <x v="0"/>
    <n v="3"/>
    <s v="Below College"/>
    <s v="High"/>
    <s v="Medium"/>
    <s v="Better"/>
  </r>
  <r>
    <n v="24"/>
    <s v="Yes"/>
    <s v="Travel_Frequently"/>
    <s v="Research &amp; Development"/>
    <n v="7"/>
    <n v="3"/>
    <s v="Life Sciences"/>
    <n v="647"/>
    <n v="1"/>
    <s v="Female"/>
    <n v="3"/>
    <n v="1"/>
    <s v="Laboratory Technician"/>
    <n v="3"/>
    <s v="Married"/>
    <n v="2886"/>
    <n v="1"/>
    <x v="0"/>
    <n v="16"/>
    <n v="3"/>
    <n v="4"/>
    <n v="1"/>
    <n v="6"/>
    <n v="4"/>
    <n v="3"/>
    <n v="6"/>
    <n v="3"/>
    <n v="1"/>
    <n v="2"/>
    <n v="1"/>
    <x v="4"/>
    <n v="1"/>
    <x v="1"/>
    <n v="1"/>
    <x v="0"/>
    <n v="3"/>
    <s v="Bachelor"/>
    <s v="High"/>
    <s v="Low"/>
    <s v="Better"/>
  </r>
  <r>
    <n v="30"/>
    <s v="Yes"/>
    <s v="Travel_Frequently"/>
    <s v="Sales"/>
    <n v="12"/>
    <n v="4"/>
    <s v="Life Sciences"/>
    <n v="648"/>
    <n v="2"/>
    <s v="Male"/>
    <n v="2"/>
    <n v="1"/>
    <s v="Sales Representative"/>
    <n v="1"/>
    <s v="Married"/>
    <n v="2033"/>
    <n v="1"/>
    <x v="1"/>
    <n v="18"/>
    <n v="3"/>
    <n v="3"/>
    <n v="1"/>
    <n v="1"/>
    <n v="2"/>
    <n v="4"/>
    <n v="1"/>
    <n v="0"/>
    <n v="0"/>
    <n v="0"/>
    <n v="1"/>
    <x v="2"/>
    <n v="2"/>
    <x v="1"/>
    <n v="1"/>
    <x v="1"/>
    <n v="1"/>
    <s v="Master"/>
    <s v="Low"/>
    <s v="Medium"/>
    <s v="Best"/>
  </r>
  <r>
    <n v="34"/>
    <s v="No"/>
    <s v="Travel_Rarely"/>
    <s v="Research &amp; Development"/>
    <n v="1"/>
    <n v="2"/>
    <s v="Life Sciences"/>
    <n v="649"/>
    <n v="2"/>
    <s v="Male"/>
    <n v="2"/>
    <n v="1"/>
    <s v="Research Scientist"/>
    <n v="4"/>
    <s v="Married"/>
    <n v="3622"/>
    <n v="1"/>
    <x v="0"/>
    <n v="13"/>
    <n v="3"/>
    <n v="4"/>
    <n v="1"/>
    <n v="6"/>
    <n v="3"/>
    <n v="3"/>
    <n v="6"/>
    <n v="5"/>
    <n v="1"/>
    <n v="3"/>
    <n v="0"/>
    <x v="2"/>
    <n v="2"/>
    <x v="0"/>
    <n v="2"/>
    <x v="0"/>
    <n v="3"/>
    <s v="College"/>
    <s v="Very High"/>
    <s v="Medium"/>
    <s v="Better"/>
  </r>
  <r>
    <n v="31"/>
    <s v="Yes"/>
    <s v="Travel_Rarely"/>
    <s v="Sales"/>
    <n v="13"/>
    <n v="4"/>
    <s v="Medical"/>
    <n v="650"/>
    <n v="2"/>
    <s v="Male"/>
    <n v="3"/>
    <n v="2"/>
    <s v="Sales Executive"/>
    <n v="1"/>
    <s v="Divorced"/>
    <n v="4233"/>
    <n v="2"/>
    <x v="1"/>
    <n v="17"/>
    <n v="3"/>
    <n v="3"/>
    <n v="0"/>
    <n v="9"/>
    <n v="2"/>
    <n v="1"/>
    <n v="3"/>
    <n v="1"/>
    <n v="1"/>
    <n v="2"/>
    <n v="1"/>
    <x v="2"/>
    <n v="2"/>
    <x v="0"/>
    <n v="2"/>
    <x v="2"/>
    <n v="2"/>
    <s v="Master"/>
    <s v="Low"/>
    <s v="Medium"/>
    <s v="Bad"/>
  </r>
  <r>
    <n v="35"/>
    <s v="No"/>
    <s v="Travel_Rarely"/>
    <s v="Research &amp; Development"/>
    <n v="25"/>
    <n v="2"/>
    <s v="Other"/>
    <n v="652"/>
    <n v="1"/>
    <s v="Male"/>
    <n v="2"/>
    <n v="2"/>
    <s v="Laboratory Technician"/>
    <n v="4"/>
    <s v="Single"/>
    <n v="3681"/>
    <n v="4"/>
    <x v="1"/>
    <n v="14"/>
    <n v="3"/>
    <n v="4"/>
    <n v="0"/>
    <n v="9"/>
    <n v="3"/>
    <n v="3"/>
    <n v="3"/>
    <n v="2"/>
    <n v="0"/>
    <n v="2"/>
    <n v="0"/>
    <x v="2"/>
    <n v="2"/>
    <x v="0"/>
    <n v="2"/>
    <x v="2"/>
    <n v="2"/>
    <s v="College"/>
    <s v="Very High"/>
    <s v="Low"/>
    <s v="Better"/>
  </r>
  <r>
    <n v="31"/>
    <s v="No"/>
    <s v="Travel_Rarely"/>
    <s v="Sales"/>
    <n v="6"/>
    <n v="4"/>
    <s v="Medical"/>
    <n v="653"/>
    <n v="1"/>
    <s v="Male"/>
    <n v="4"/>
    <n v="2"/>
    <s v="Sales Executive"/>
    <n v="4"/>
    <s v="Divorced"/>
    <n v="5460"/>
    <n v="4"/>
    <x v="1"/>
    <n v="22"/>
    <n v="4"/>
    <n v="4"/>
    <n v="2"/>
    <n v="13"/>
    <n v="4"/>
    <n v="4"/>
    <n v="7"/>
    <n v="7"/>
    <n v="5"/>
    <n v="7"/>
    <n v="0"/>
    <x v="2"/>
    <n v="2"/>
    <x v="0"/>
    <n v="2"/>
    <x v="0"/>
    <n v="3"/>
    <s v="Master"/>
    <s v="Very High"/>
    <s v="Low"/>
    <s v="Best"/>
  </r>
  <r>
    <n v="27"/>
    <s v="No"/>
    <s v="Travel_Rarely"/>
    <s v="Research &amp; Development"/>
    <n v="6"/>
    <n v="4"/>
    <s v="Medical"/>
    <n v="655"/>
    <n v="1"/>
    <s v="Female"/>
    <n v="2"/>
    <n v="1"/>
    <s v="Research Scientist"/>
    <n v="3"/>
    <s v="Divorced"/>
    <n v="2187"/>
    <n v="0"/>
    <x v="1"/>
    <n v="12"/>
    <n v="3"/>
    <n v="3"/>
    <n v="2"/>
    <n v="6"/>
    <n v="5"/>
    <n v="2"/>
    <n v="5"/>
    <n v="3"/>
    <n v="0"/>
    <n v="3"/>
    <n v="0"/>
    <x v="2"/>
    <n v="2"/>
    <x v="1"/>
    <n v="1"/>
    <x v="2"/>
    <n v="2"/>
    <s v="Master"/>
    <s v="High"/>
    <s v="Low"/>
    <s v="Good"/>
  </r>
  <r>
    <n v="37"/>
    <s v="No"/>
    <s v="Travel_Rarely"/>
    <s v="Sales"/>
    <n v="2"/>
    <n v="3"/>
    <s v="Marketing"/>
    <n v="656"/>
    <n v="4"/>
    <s v="Male"/>
    <n v="3"/>
    <n v="2"/>
    <s v="Sales Executive"/>
    <n v="3"/>
    <s v="Married"/>
    <n v="9602"/>
    <n v="4"/>
    <x v="0"/>
    <n v="11"/>
    <n v="3"/>
    <n v="3"/>
    <n v="1"/>
    <n v="17"/>
    <n v="3"/>
    <n v="2"/>
    <n v="3"/>
    <n v="0"/>
    <n v="1"/>
    <n v="0"/>
    <n v="0"/>
    <x v="0"/>
    <n v="3"/>
    <x v="2"/>
    <n v="3"/>
    <x v="2"/>
    <n v="2"/>
    <s v="Bachelor"/>
    <s v="High"/>
    <s v="Very High"/>
    <s v="Good"/>
  </r>
  <r>
    <n v="20"/>
    <s v="No"/>
    <s v="Travel_Rarely"/>
    <s v="Research &amp; Development"/>
    <n v="1"/>
    <n v="3"/>
    <s v="Life Sciences"/>
    <n v="657"/>
    <n v="4"/>
    <s v="Female"/>
    <n v="2"/>
    <n v="1"/>
    <s v="Research Scientist"/>
    <n v="2"/>
    <s v="Single"/>
    <n v="2836"/>
    <n v="1"/>
    <x v="1"/>
    <n v="13"/>
    <n v="3"/>
    <n v="4"/>
    <n v="0"/>
    <n v="1"/>
    <n v="0"/>
    <n v="4"/>
    <n v="1"/>
    <n v="0"/>
    <n v="0"/>
    <n v="0"/>
    <n v="0"/>
    <x v="4"/>
    <n v="1"/>
    <x v="1"/>
    <n v="1"/>
    <x v="1"/>
    <n v="1"/>
    <s v="Bachelor"/>
    <s v="Medium"/>
    <s v="Very High"/>
    <s v="Best"/>
  </r>
  <r>
    <n v="42"/>
    <s v="No"/>
    <s v="Travel_Rarely"/>
    <s v="Research &amp; Development"/>
    <n v="2"/>
    <n v="4"/>
    <s v="Life Sciences"/>
    <n v="659"/>
    <n v="3"/>
    <s v="Female"/>
    <n v="3"/>
    <n v="2"/>
    <s v="Healthcare Representative"/>
    <n v="4"/>
    <s v="Married"/>
    <n v="4089"/>
    <n v="1"/>
    <x v="1"/>
    <n v="13"/>
    <n v="3"/>
    <n v="2"/>
    <n v="2"/>
    <n v="10"/>
    <n v="4"/>
    <n v="3"/>
    <n v="10"/>
    <n v="2"/>
    <n v="2"/>
    <n v="2"/>
    <n v="0"/>
    <x v="0"/>
    <n v="3"/>
    <x v="0"/>
    <n v="2"/>
    <x v="0"/>
    <n v="3"/>
    <s v="Master"/>
    <s v="Very High"/>
    <s v="High"/>
    <s v="Better"/>
  </r>
  <r>
    <n v="43"/>
    <s v="No"/>
    <s v="Travel_Rarely"/>
    <s v="Research &amp; Development"/>
    <n v="6"/>
    <n v="4"/>
    <s v="Other"/>
    <n v="661"/>
    <n v="2"/>
    <s v="Male"/>
    <n v="2"/>
    <n v="4"/>
    <s v="Research Director"/>
    <n v="4"/>
    <s v="Divorced"/>
    <n v="16627"/>
    <n v="4"/>
    <x v="0"/>
    <n v="14"/>
    <n v="3"/>
    <n v="3"/>
    <n v="1"/>
    <n v="21"/>
    <n v="3"/>
    <n v="2"/>
    <n v="1"/>
    <n v="0"/>
    <n v="0"/>
    <n v="0"/>
    <n v="0"/>
    <x v="0"/>
    <n v="3"/>
    <x v="3"/>
    <n v="4"/>
    <x v="1"/>
    <n v="1"/>
    <s v="Master"/>
    <s v="Very High"/>
    <s v="Medium"/>
    <s v="Good"/>
  </r>
  <r>
    <n v="38"/>
    <s v="No"/>
    <s v="Travel_Rarely"/>
    <s v="Research &amp; Development"/>
    <n v="1"/>
    <n v="1"/>
    <s v="Life Sciences"/>
    <n v="662"/>
    <n v="3"/>
    <s v="Female"/>
    <n v="3"/>
    <n v="1"/>
    <s v="Research Scientist"/>
    <n v="1"/>
    <s v="Single"/>
    <n v="2619"/>
    <n v="3"/>
    <x v="1"/>
    <n v="17"/>
    <n v="3"/>
    <n v="4"/>
    <n v="0"/>
    <n v="8"/>
    <n v="3"/>
    <n v="2"/>
    <n v="0"/>
    <n v="0"/>
    <n v="0"/>
    <n v="0"/>
    <n v="0"/>
    <x v="0"/>
    <n v="3"/>
    <x v="1"/>
    <n v="1"/>
    <x v="1"/>
    <n v="1"/>
    <s v="Below College"/>
    <s v="Low"/>
    <s v="High"/>
    <s v="Good"/>
  </r>
  <r>
    <n v="43"/>
    <s v="No"/>
    <s v="Travel_Frequently"/>
    <s v="Research &amp; Development"/>
    <n v="9"/>
    <n v="5"/>
    <s v="Medical"/>
    <n v="663"/>
    <n v="4"/>
    <s v="Male"/>
    <n v="3"/>
    <n v="2"/>
    <s v="Laboratory Technician"/>
    <n v="3"/>
    <s v="Divorced"/>
    <n v="5679"/>
    <n v="3"/>
    <x v="0"/>
    <n v="13"/>
    <n v="3"/>
    <n v="2"/>
    <n v="1"/>
    <n v="10"/>
    <n v="3"/>
    <n v="3"/>
    <n v="8"/>
    <n v="7"/>
    <n v="4"/>
    <n v="7"/>
    <n v="0"/>
    <x v="0"/>
    <n v="3"/>
    <x v="0"/>
    <n v="2"/>
    <x v="0"/>
    <n v="3"/>
    <s v="Doctor"/>
    <s v="High"/>
    <s v="Very High"/>
    <s v="Better"/>
  </r>
  <r>
    <n v="48"/>
    <s v="No"/>
    <s v="Travel_Rarely"/>
    <s v="Research &amp; Development"/>
    <n v="1"/>
    <n v="4"/>
    <s v="Life Sciences"/>
    <n v="664"/>
    <n v="4"/>
    <s v="Female"/>
    <n v="2"/>
    <n v="4"/>
    <s v="Manager"/>
    <n v="1"/>
    <s v="Married"/>
    <n v="15402"/>
    <n v="7"/>
    <x v="1"/>
    <n v="11"/>
    <n v="3"/>
    <n v="1"/>
    <n v="1"/>
    <n v="21"/>
    <n v="3"/>
    <n v="1"/>
    <n v="3"/>
    <n v="2"/>
    <n v="0"/>
    <n v="2"/>
    <n v="0"/>
    <x v="1"/>
    <n v="4"/>
    <x v="3"/>
    <n v="4"/>
    <x v="2"/>
    <n v="2"/>
    <s v="Master"/>
    <s v="Low"/>
    <s v="Very High"/>
    <s v="Bad"/>
  </r>
  <r>
    <n v="44"/>
    <s v="No"/>
    <s v="Travel_Rarely"/>
    <s v="Human Resources"/>
    <n v="1"/>
    <n v="4"/>
    <s v="Life Sciences"/>
    <n v="665"/>
    <n v="1"/>
    <s v="Female"/>
    <n v="2"/>
    <n v="2"/>
    <s v="Human Resources"/>
    <n v="3"/>
    <s v="Single"/>
    <n v="5985"/>
    <n v="4"/>
    <x v="1"/>
    <n v="11"/>
    <n v="3"/>
    <n v="2"/>
    <n v="0"/>
    <n v="10"/>
    <n v="1"/>
    <n v="4"/>
    <n v="2"/>
    <n v="2"/>
    <n v="0"/>
    <n v="2"/>
    <n v="0"/>
    <x v="0"/>
    <n v="3"/>
    <x v="0"/>
    <n v="2"/>
    <x v="1"/>
    <n v="1"/>
    <s v="Master"/>
    <s v="High"/>
    <s v="Low"/>
    <s v="Best"/>
  </r>
  <r>
    <n v="34"/>
    <s v="No"/>
    <s v="Travel_Rarely"/>
    <s v="Sales"/>
    <n v="14"/>
    <n v="3"/>
    <s v="Technical Degree"/>
    <n v="666"/>
    <n v="3"/>
    <s v="Female"/>
    <n v="3"/>
    <n v="1"/>
    <s v="Sales Representative"/>
    <n v="3"/>
    <s v="Divorced"/>
    <n v="2579"/>
    <n v="1"/>
    <x v="0"/>
    <n v="18"/>
    <n v="3"/>
    <n v="4"/>
    <n v="2"/>
    <n v="8"/>
    <n v="3"/>
    <n v="3"/>
    <n v="8"/>
    <n v="2"/>
    <n v="0"/>
    <n v="6"/>
    <n v="0"/>
    <x v="2"/>
    <n v="2"/>
    <x v="1"/>
    <n v="1"/>
    <x v="0"/>
    <n v="3"/>
    <s v="Bachelor"/>
    <s v="High"/>
    <s v="High"/>
    <s v="Better"/>
  </r>
  <r>
    <n v="27"/>
    <s v="Yes"/>
    <s v="Travel_Rarely"/>
    <s v="Sales"/>
    <n v="2"/>
    <n v="1"/>
    <s v="Marketing"/>
    <n v="667"/>
    <n v="3"/>
    <s v="Male"/>
    <n v="3"/>
    <n v="1"/>
    <s v="Sales Representative"/>
    <n v="1"/>
    <s v="Divorced"/>
    <n v="3041"/>
    <n v="0"/>
    <x v="1"/>
    <n v="11"/>
    <n v="3"/>
    <n v="2"/>
    <n v="1"/>
    <n v="5"/>
    <n v="3"/>
    <n v="3"/>
    <n v="4"/>
    <n v="3"/>
    <n v="0"/>
    <n v="2"/>
    <n v="1"/>
    <x v="2"/>
    <n v="2"/>
    <x v="0"/>
    <n v="2"/>
    <x v="2"/>
    <n v="2"/>
    <s v="Below College"/>
    <s v="Low"/>
    <s v="High"/>
    <s v="Better"/>
  </r>
  <r>
    <n v="21"/>
    <s v="No"/>
    <s v="Travel_Rarely"/>
    <s v="Sales"/>
    <n v="22"/>
    <n v="1"/>
    <s v="Technical Degree"/>
    <n v="669"/>
    <n v="3"/>
    <s v="Male"/>
    <n v="3"/>
    <n v="1"/>
    <s v="Sales Representative"/>
    <n v="3"/>
    <s v="Single"/>
    <n v="3447"/>
    <n v="1"/>
    <x v="1"/>
    <n v="11"/>
    <n v="3"/>
    <n v="3"/>
    <n v="0"/>
    <n v="3"/>
    <n v="2"/>
    <n v="3"/>
    <n v="3"/>
    <n v="2"/>
    <n v="1"/>
    <n v="2"/>
    <n v="0"/>
    <x v="4"/>
    <n v="1"/>
    <x v="0"/>
    <n v="2"/>
    <x v="2"/>
    <n v="2"/>
    <s v="Below College"/>
    <s v="High"/>
    <s v="High"/>
    <s v="Better"/>
  </r>
  <r>
    <n v="44"/>
    <s v="No"/>
    <s v="Travel_Rarely"/>
    <s v="Research &amp; Development"/>
    <n v="3"/>
    <n v="4"/>
    <s v="Other"/>
    <n v="671"/>
    <n v="4"/>
    <s v="Male"/>
    <n v="3"/>
    <n v="5"/>
    <s v="Manager"/>
    <n v="4"/>
    <s v="Married"/>
    <n v="19513"/>
    <n v="4"/>
    <x v="0"/>
    <n v="12"/>
    <n v="3"/>
    <n v="1"/>
    <n v="1"/>
    <n v="26"/>
    <n v="2"/>
    <n v="4"/>
    <n v="2"/>
    <n v="2"/>
    <n v="0"/>
    <n v="1"/>
    <n v="0"/>
    <x v="0"/>
    <n v="3"/>
    <x v="3"/>
    <n v="4"/>
    <x v="1"/>
    <n v="1"/>
    <s v="Master"/>
    <s v="Very High"/>
    <s v="Very High"/>
    <s v="Best"/>
  </r>
  <r>
    <n v="22"/>
    <s v="No"/>
    <s v="Travel_Rarely"/>
    <s v="Research &amp; Development"/>
    <n v="6"/>
    <n v="1"/>
    <s v="Medical"/>
    <n v="675"/>
    <n v="1"/>
    <s v="Male"/>
    <n v="3"/>
    <n v="1"/>
    <s v="Research Scientist"/>
    <n v="3"/>
    <s v="Married"/>
    <n v="2773"/>
    <n v="0"/>
    <x v="1"/>
    <n v="20"/>
    <n v="4"/>
    <n v="4"/>
    <n v="0"/>
    <n v="3"/>
    <n v="3"/>
    <n v="3"/>
    <n v="2"/>
    <n v="2"/>
    <n v="2"/>
    <n v="2"/>
    <n v="0"/>
    <x v="4"/>
    <n v="1"/>
    <x v="1"/>
    <n v="1"/>
    <x v="1"/>
    <n v="1"/>
    <s v="Below College"/>
    <s v="High"/>
    <s v="Low"/>
    <s v="Better"/>
  </r>
  <r>
    <n v="33"/>
    <s v="No"/>
    <s v="Travel_Rarely"/>
    <s v="Sales"/>
    <n v="8"/>
    <n v="4"/>
    <s v="Marketing"/>
    <n v="677"/>
    <n v="3"/>
    <s v="Male"/>
    <n v="3"/>
    <n v="2"/>
    <s v="Sales Executive"/>
    <n v="3"/>
    <s v="Divorced"/>
    <n v="7104"/>
    <n v="0"/>
    <x v="1"/>
    <n v="12"/>
    <n v="3"/>
    <n v="4"/>
    <n v="0"/>
    <n v="6"/>
    <n v="3"/>
    <n v="3"/>
    <n v="5"/>
    <n v="0"/>
    <n v="1"/>
    <n v="2"/>
    <n v="0"/>
    <x v="2"/>
    <n v="2"/>
    <x v="2"/>
    <n v="3"/>
    <x v="2"/>
    <n v="2"/>
    <s v="Master"/>
    <s v="High"/>
    <s v="High"/>
    <s v="Better"/>
  </r>
  <r>
    <n v="32"/>
    <s v="No"/>
    <s v="Travel_Rarely"/>
    <s v="Research &amp; Development"/>
    <n v="9"/>
    <n v="4"/>
    <s v="Life Sciences"/>
    <n v="679"/>
    <n v="1"/>
    <s v="Female"/>
    <n v="3"/>
    <n v="2"/>
    <s v="Research Scientist"/>
    <n v="4"/>
    <s v="Married"/>
    <n v="6322"/>
    <n v="1"/>
    <x v="0"/>
    <n v="12"/>
    <n v="3"/>
    <n v="4"/>
    <n v="1"/>
    <n v="6"/>
    <n v="2"/>
    <n v="2"/>
    <n v="6"/>
    <n v="4"/>
    <n v="0"/>
    <n v="5"/>
    <n v="0"/>
    <x v="2"/>
    <n v="2"/>
    <x v="2"/>
    <n v="3"/>
    <x v="0"/>
    <n v="3"/>
    <s v="Master"/>
    <s v="Very High"/>
    <s v="Low"/>
    <s v="Good"/>
  </r>
  <r>
    <n v="30"/>
    <s v="No"/>
    <s v="Travel_Frequently"/>
    <s v="Research &amp; Development"/>
    <n v="3"/>
    <n v="3"/>
    <s v="Medical"/>
    <n v="680"/>
    <n v="3"/>
    <s v="Female"/>
    <n v="3"/>
    <n v="1"/>
    <s v="Research Scientist"/>
    <n v="3"/>
    <s v="Divorced"/>
    <n v="2083"/>
    <n v="1"/>
    <x v="1"/>
    <n v="20"/>
    <n v="4"/>
    <n v="3"/>
    <n v="1"/>
    <n v="1"/>
    <n v="2"/>
    <n v="3"/>
    <n v="1"/>
    <n v="0"/>
    <n v="0"/>
    <n v="0"/>
    <n v="0"/>
    <x v="2"/>
    <n v="2"/>
    <x v="1"/>
    <n v="1"/>
    <x v="1"/>
    <n v="1"/>
    <s v="Bachelor"/>
    <s v="High"/>
    <s v="High"/>
    <s v="Better"/>
  </r>
  <r>
    <n v="53"/>
    <s v="No"/>
    <s v="Travel_Rarely"/>
    <s v="Sales"/>
    <n v="1"/>
    <n v="1"/>
    <s v="Medical"/>
    <n v="682"/>
    <n v="4"/>
    <s v="Female"/>
    <n v="3"/>
    <n v="2"/>
    <s v="Sales Executive"/>
    <n v="1"/>
    <s v="Single"/>
    <n v="8381"/>
    <n v="7"/>
    <x v="1"/>
    <n v="20"/>
    <n v="4"/>
    <n v="4"/>
    <n v="0"/>
    <n v="18"/>
    <n v="2"/>
    <n v="4"/>
    <n v="14"/>
    <n v="7"/>
    <n v="8"/>
    <n v="10"/>
    <n v="0"/>
    <x v="1"/>
    <n v="4"/>
    <x v="2"/>
    <n v="3"/>
    <x v="3"/>
    <n v="4"/>
    <s v="Below College"/>
    <s v="Low"/>
    <s v="Very High"/>
    <s v="Best"/>
  </r>
  <r>
    <n v="34"/>
    <s v="No"/>
    <s v="Travel_Rarely"/>
    <s v="Research &amp; Development"/>
    <n v="1"/>
    <n v="5"/>
    <s v="Life Sciences"/>
    <n v="683"/>
    <n v="2"/>
    <s v="Male"/>
    <n v="3"/>
    <n v="1"/>
    <s v="Research Scientist"/>
    <n v="4"/>
    <s v="Married"/>
    <n v="2691"/>
    <n v="1"/>
    <x v="1"/>
    <n v="12"/>
    <n v="3"/>
    <n v="4"/>
    <n v="1"/>
    <n v="10"/>
    <n v="4"/>
    <n v="2"/>
    <n v="10"/>
    <n v="9"/>
    <n v="8"/>
    <n v="8"/>
    <n v="0"/>
    <x v="2"/>
    <n v="2"/>
    <x v="1"/>
    <n v="1"/>
    <x v="0"/>
    <n v="3"/>
    <s v="Doctor"/>
    <s v="Very High"/>
    <s v="Medium"/>
    <s v="Good"/>
  </r>
  <r>
    <n v="45"/>
    <s v="Yes"/>
    <s v="Travel_Frequently"/>
    <s v="Sales"/>
    <n v="26"/>
    <n v="4"/>
    <s v="Life Sciences"/>
    <n v="684"/>
    <n v="1"/>
    <s v="Female"/>
    <n v="3"/>
    <n v="2"/>
    <s v="Sales Executive"/>
    <n v="1"/>
    <s v="Married"/>
    <n v="4286"/>
    <n v="2"/>
    <x v="1"/>
    <n v="14"/>
    <n v="3"/>
    <n v="4"/>
    <n v="2"/>
    <n v="5"/>
    <n v="4"/>
    <n v="3"/>
    <n v="1"/>
    <n v="1"/>
    <n v="0"/>
    <n v="0"/>
    <n v="1"/>
    <x v="0"/>
    <n v="3"/>
    <x v="0"/>
    <n v="2"/>
    <x v="1"/>
    <n v="1"/>
    <s v="Master"/>
    <s v="Low"/>
    <s v="Low"/>
    <s v="Better"/>
  </r>
  <r>
    <n v="26"/>
    <s v="No"/>
    <s v="Travel_Rarely"/>
    <s v="Research &amp; Development"/>
    <n v="6"/>
    <n v="3"/>
    <s v="Life Sciences"/>
    <n v="686"/>
    <n v="3"/>
    <s v="Female"/>
    <n v="3"/>
    <n v="1"/>
    <s v="Laboratory Technician"/>
    <n v="4"/>
    <s v="Married"/>
    <n v="2659"/>
    <n v="1"/>
    <x v="0"/>
    <n v="13"/>
    <n v="3"/>
    <n v="3"/>
    <n v="1"/>
    <n v="3"/>
    <n v="2"/>
    <n v="3"/>
    <n v="3"/>
    <n v="2"/>
    <n v="0"/>
    <n v="2"/>
    <n v="0"/>
    <x v="2"/>
    <n v="2"/>
    <x v="1"/>
    <n v="1"/>
    <x v="2"/>
    <n v="2"/>
    <s v="Bachelor"/>
    <s v="Very High"/>
    <s v="High"/>
    <s v="Better"/>
  </r>
  <r>
    <n v="37"/>
    <s v="No"/>
    <s v="Travel_Rarely"/>
    <s v="Research &amp; Development"/>
    <n v="3"/>
    <n v="3"/>
    <s v="Other"/>
    <n v="689"/>
    <n v="3"/>
    <s v="Male"/>
    <n v="3"/>
    <n v="3"/>
    <s v="Manufacturing Director"/>
    <n v="3"/>
    <s v="Married"/>
    <n v="9434"/>
    <n v="1"/>
    <x v="1"/>
    <n v="15"/>
    <n v="3"/>
    <n v="3"/>
    <n v="1"/>
    <n v="10"/>
    <n v="2"/>
    <n v="3"/>
    <n v="10"/>
    <n v="7"/>
    <n v="7"/>
    <n v="8"/>
    <n v="0"/>
    <x v="0"/>
    <n v="3"/>
    <x v="2"/>
    <n v="3"/>
    <x v="0"/>
    <n v="3"/>
    <s v="Bachelor"/>
    <s v="High"/>
    <s v="High"/>
    <s v="Better"/>
  </r>
  <r>
    <n v="29"/>
    <s v="No"/>
    <s v="Travel_Rarely"/>
    <s v="Sales"/>
    <n v="3"/>
    <n v="2"/>
    <s v="Medical"/>
    <n v="690"/>
    <n v="2"/>
    <s v="Female"/>
    <n v="3"/>
    <n v="2"/>
    <s v="Sales Executive"/>
    <n v="3"/>
    <s v="Married"/>
    <n v="5561"/>
    <n v="1"/>
    <x v="1"/>
    <n v="14"/>
    <n v="3"/>
    <n v="1"/>
    <n v="1"/>
    <n v="6"/>
    <n v="5"/>
    <n v="2"/>
    <n v="6"/>
    <n v="0"/>
    <n v="1"/>
    <n v="2"/>
    <n v="0"/>
    <x v="2"/>
    <n v="2"/>
    <x v="0"/>
    <n v="2"/>
    <x v="0"/>
    <n v="3"/>
    <s v="College"/>
    <s v="High"/>
    <s v="Medium"/>
    <s v="Good"/>
  </r>
  <r>
    <n v="35"/>
    <s v="No"/>
    <s v="Travel_Rarely"/>
    <s v="Research &amp; Development"/>
    <n v="6"/>
    <n v="4"/>
    <s v="Life Sciences"/>
    <n v="691"/>
    <n v="2"/>
    <s v="Male"/>
    <n v="1"/>
    <n v="2"/>
    <s v="Research Scientist"/>
    <n v="4"/>
    <s v="Single"/>
    <n v="6646"/>
    <n v="1"/>
    <x v="1"/>
    <n v="13"/>
    <n v="3"/>
    <n v="2"/>
    <n v="0"/>
    <n v="17"/>
    <n v="3"/>
    <n v="3"/>
    <n v="17"/>
    <n v="11"/>
    <n v="11"/>
    <n v="8"/>
    <n v="0"/>
    <x v="2"/>
    <n v="2"/>
    <x v="2"/>
    <n v="3"/>
    <x v="3"/>
    <n v="4"/>
    <s v="Master"/>
    <s v="Very High"/>
    <s v="Medium"/>
    <s v="Better"/>
  </r>
  <r>
    <n v="33"/>
    <s v="No"/>
    <s v="Travel_Frequently"/>
    <s v="Research &amp; Development"/>
    <n v="6"/>
    <n v="3"/>
    <s v="Life Sciences"/>
    <n v="692"/>
    <n v="3"/>
    <s v="Male"/>
    <n v="3"/>
    <n v="2"/>
    <s v="Healthcare Representative"/>
    <n v="4"/>
    <s v="Divorced"/>
    <n v="7725"/>
    <n v="3"/>
    <x v="1"/>
    <n v="23"/>
    <n v="4"/>
    <n v="3"/>
    <n v="1"/>
    <n v="15"/>
    <n v="2"/>
    <n v="1"/>
    <n v="13"/>
    <n v="11"/>
    <n v="4"/>
    <n v="7"/>
    <n v="0"/>
    <x v="2"/>
    <n v="2"/>
    <x v="2"/>
    <n v="3"/>
    <x v="3"/>
    <n v="4"/>
    <s v="Bachelor"/>
    <s v="Very High"/>
    <s v="High"/>
    <s v="Bad"/>
  </r>
  <r>
    <n v="54"/>
    <s v="No"/>
    <s v="Travel_Rarely"/>
    <s v="Human Resources"/>
    <n v="19"/>
    <n v="4"/>
    <s v="Medical"/>
    <n v="698"/>
    <n v="3"/>
    <s v="Male"/>
    <n v="3"/>
    <n v="3"/>
    <s v="Human Resources"/>
    <n v="2"/>
    <s v="Married"/>
    <n v="10725"/>
    <n v="2"/>
    <x v="1"/>
    <n v="15"/>
    <n v="3"/>
    <n v="3"/>
    <n v="1"/>
    <n v="16"/>
    <n v="1"/>
    <n v="4"/>
    <n v="9"/>
    <n v="7"/>
    <n v="7"/>
    <n v="1"/>
    <n v="0"/>
    <x v="1"/>
    <n v="4"/>
    <x v="3"/>
    <n v="4"/>
    <x v="0"/>
    <n v="3"/>
    <s v="Master"/>
    <s v="Medium"/>
    <s v="High"/>
    <s v="Best"/>
  </r>
  <r>
    <n v="36"/>
    <s v="No"/>
    <s v="Travel_Rarely"/>
    <s v="Research &amp; Development"/>
    <n v="9"/>
    <n v="2"/>
    <s v="Medical"/>
    <n v="699"/>
    <n v="2"/>
    <s v="Male"/>
    <n v="2"/>
    <n v="2"/>
    <s v="Manufacturing Director"/>
    <n v="2"/>
    <s v="Divorced"/>
    <n v="8847"/>
    <n v="2"/>
    <x v="0"/>
    <n v="11"/>
    <n v="3"/>
    <n v="3"/>
    <n v="1"/>
    <n v="13"/>
    <n v="2"/>
    <n v="3"/>
    <n v="3"/>
    <n v="2"/>
    <n v="0"/>
    <n v="2"/>
    <n v="0"/>
    <x v="0"/>
    <n v="3"/>
    <x v="2"/>
    <n v="3"/>
    <x v="2"/>
    <n v="2"/>
    <s v="College"/>
    <s v="Medium"/>
    <s v="Medium"/>
    <s v="Better"/>
  </r>
  <r>
    <n v="27"/>
    <s v="No"/>
    <s v="Travel_Rarely"/>
    <s v="Research &amp; Development"/>
    <n v="3"/>
    <n v="4"/>
    <s v="Medical"/>
    <n v="700"/>
    <n v="1"/>
    <s v="Male"/>
    <n v="2"/>
    <n v="1"/>
    <s v="Research Scientist"/>
    <n v="4"/>
    <s v="Single"/>
    <n v="2045"/>
    <n v="0"/>
    <x v="1"/>
    <n v="13"/>
    <n v="3"/>
    <n v="4"/>
    <n v="0"/>
    <n v="5"/>
    <n v="0"/>
    <n v="3"/>
    <n v="4"/>
    <n v="2"/>
    <n v="1"/>
    <n v="1"/>
    <n v="0"/>
    <x v="2"/>
    <n v="2"/>
    <x v="1"/>
    <n v="1"/>
    <x v="2"/>
    <n v="2"/>
    <s v="Master"/>
    <s v="Very High"/>
    <s v="Low"/>
    <s v="Better"/>
  </r>
  <r>
    <n v="20"/>
    <s v="Yes"/>
    <s v="Travel_Rarely"/>
    <s v="Research &amp; Development"/>
    <n v="10"/>
    <n v="1"/>
    <s v="Medical"/>
    <n v="701"/>
    <n v="4"/>
    <s v="Male"/>
    <n v="3"/>
    <n v="1"/>
    <s v="Research Scientist"/>
    <n v="3"/>
    <s v="Single"/>
    <n v="1009"/>
    <n v="1"/>
    <x v="0"/>
    <n v="11"/>
    <n v="3"/>
    <n v="4"/>
    <n v="0"/>
    <n v="1"/>
    <n v="5"/>
    <n v="3"/>
    <n v="1"/>
    <n v="0"/>
    <n v="1"/>
    <n v="1"/>
    <n v="1"/>
    <x v="4"/>
    <n v="1"/>
    <x v="1"/>
    <n v="1"/>
    <x v="1"/>
    <n v="1"/>
    <s v="Below College"/>
    <s v="High"/>
    <s v="Very High"/>
    <s v="Better"/>
  </r>
  <r>
    <n v="33"/>
    <s v="Yes"/>
    <s v="Travel_Frequently"/>
    <s v="Research &amp; Development"/>
    <n v="3"/>
    <n v="3"/>
    <s v="Life Sciences"/>
    <n v="702"/>
    <n v="1"/>
    <s v="Male"/>
    <n v="3"/>
    <n v="1"/>
    <s v="Research Scientist"/>
    <n v="1"/>
    <s v="Single"/>
    <n v="3348"/>
    <n v="1"/>
    <x v="0"/>
    <n v="11"/>
    <n v="3"/>
    <n v="1"/>
    <n v="0"/>
    <n v="10"/>
    <n v="3"/>
    <n v="3"/>
    <n v="10"/>
    <n v="8"/>
    <n v="9"/>
    <n v="7"/>
    <n v="1"/>
    <x v="2"/>
    <n v="2"/>
    <x v="0"/>
    <n v="2"/>
    <x v="0"/>
    <n v="3"/>
    <s v="Bachelor"/>
    <s v="Low"/>
    <s v="Low"/>
    <s v="Better"/>
  </r>
  <r>
    <n v="35"/>
    <s v="No"/>
    <s v="Non-Travel"/>
    <s v="Research &amp; Development"/>
    <n v="3"/>
    <n v="3"/>
    <s v="Life Sciences"/>
    <n v="704"/>
    <n v="3"/>
    <s v="Male"/>
    <n v="2"/>
    <n v="1"/>
    <s v="Laboratory Technician"/>
    <n v="3"/>
    <s v="Married"/>
    <n v="1281"/>
    <n v="1"/>
    <x v="1"/>
    <n v="18"/>
    <n v="3"/>
    <n v="3"/>
    <n v="2"/>
    <n v="1"/>
    <n v="3"/>
    <n v="3"/>
    <n v="1"/>
    <n v="0"/>
    <n v="0"/>
    <n v="0"/>
    <n v="0"/>
    <x v="2"/>
    <n v="2"/>
    <x v="1"/>
    <n v="1"/>
    <x v="1"/>
    <n v="1"/>
    <s v="Bachelor"/>
    <s v="High"/>
    <s v="High"/>
    <s v="Better"/>
  </r>
  <r>
    <n v="23"/>
    <s v="No"/>
    <s v="Travel_Rarely"/>
    <s v="Research &amp; Development"/>
    <n v="4"/>
    <n v="3"/>
    <s v="Medical"/>
    <n v="705"/>
    <n v="1"/>
    <s v="Male"/>
    <n v="4"/>
    <n v="1"/>
    <s v="Research Scientist"/>
    <n v="1"/>
    <s v="Married"/>
    <n v="2819"/>
    <n v="2"/>
    <x v="1"/>
    <n v="16"/>
    <n v="3"/>
    <n v="1"/>
    <n v="1"/>
    <n v="5"/>
    <n v="3"/>
    <n v="4"/>
    <n v="3"/>
    <n v="2"/>
    <n v="0"/>
    <n v="2"/>
    <n v="0"/>
    <x v="4"/>
    <n v="1"/>
    <x v="1"/>
    <n v="1"/>
    <x v="2"/>
    <n v="2"/>
    <s v="Bachelor"/>
    <s v="Low"/>
    <s v="Low"/>
    <s v="Best"/>
  </r>
  <r>
    <n v="25"/>
    <s v="No"/>
    <s v="Travel_Rarely"/>
    <s v="Sales"/>
    <n v="8"/>
    <n v="3"/>
    <s v="Life Sciences"/>
    <n v="707"/>
    <n v="4"/>
    <s v="Male"/>
    <n v="4"/>
    <n v="2"/>
    <s v="Sales Executive"/>
    <n v="2"/>
    <s v="Married"/>
    <n v="4851"/>
    <n v="0"/>
    <x v="1"/>
    <n v="22"/>
    <n v="4"/>
    <n v="3"/>
    <n v="1"/>
    <n v="4"/>
    <n v="4"/>
    <n v="3"/>
    <n v="3"/>
    <n v="2"/>
    <n v="1"/>
    <n v="2"/>
    <n v="0"/>
    <x v="4"/>
    <n v="1"/>
    <x v="0"/>
    <n v="2"/>
    <x v="2"/>
    <n v="2"/>
    <s v="Bachelor"/>
    <s v="Medium"/>
    <s v="Very High"/>
    <s v="Better"/>
  </r>
  <r>
    <n v="38"/>
    <s v="No"/>
    <s v="Travel_Rarely"/>
    <s v="Sales"/>
    <n v="7"/>
    <n v="4"/>
    <s v="Marketing"/>
    <n v="709"/>
    <n v="4"/>
    <s v="Female"/>
    <n v="2"/>
    <n v="2"/>
    <s v="Sales Executive"/>
    <n v="4"/>
    <s v="Single"/>
    <n v="4028"/>
    <n v="0"/>
    <x v="1"/>
    <n v="20"/>
    <n v="4"/>
    <n v="1"/>
    <n v="0"/>
    <n v="8"/>
    <n v="2"/>
    <n v="3"/>
    <n v="7"/>
    <n v="7"/>
    <n v="0"/>
    <n v="5"/>
    <n v="0"/>
    <x v="0"/>
    <n v="3"/>
    <x v="0"/>
    <n v="2"/>
    <x v="0"/>
    <n v="3"/>
    <s v="Master"/>
    <s v="Very High"/>
    <s v="Very High"/>
    <s v="Better"/>
  </r>
  <r>
    <n v="29"/>
    <s v="No"/>
    <s v="Travel_Frequently"/>
    <s v="Research &amp; Development"/>
    <n v="1"/>
    <n v="4"/>
    <s v="Life Sciences"/>
    <n v="710"/>
    <n v="2"/>
    <s v="Male"/>
    <n v="1"/>
    <n v="1"/>
    <s v="Research Scientist"/>
    <n v="4"/>
    <s v="Divorced"/>
    <n v="2720"/>
    <n v="1"/>
    <x v="1"/>
    <n v="18"/>
    <n v="3"/>
    <n v="4"/>
    <n v="1"/>
    <n v="10"/>
    <n v="5"/>
    <n v="3"/>
    <n v="10"/>
    <n v="7"/>
    <n v="2"/>
    <n v="8"/>
    <n v="0"/>
    <x v="2"/>
    <n v="2"/>
    <x v="1"/>
    <n v="1"/>
    <x v="0"/>
    <n v="3"/>
    <s v="Master"/>
    <s v="Very High"/>
    <s v="Medium"/>
    <s v="Better"/>
  </r>
  <r>
    <n v="48"/>
    <s v="No"/>
    <s v="Travel_Rarely"/>
    <s v="Sales"/>
    <n v="2"/>
    <n v="1"/>
    <s v="Marketing"/>
    <n v="712"/>
    <n v="2"/>
    <s v="Male"/>
    <n v="4"/>
    <n v="2"/>
    <s v="Sales Executive"/>
    <n v="2"/>
    <s v="Married"/>
    <n v="8120"/>
    <n v="3"/>
    <x v="1"/>
    <n v="12"/>
    <n v="3"/>
    <n v="4"/>
    <n v="0"/>
    <n v="12"/>
    <n v="3"/>
    <n v="3"/>
    <n v="2"/>
    <n v="2"/>
    <n v="2"/>
    <n v="2"/>
    <n v="0"/>
    <x v="1"/>
    <n v="4"/>
    <x v="2"/>
    <n v="3"/>
    <x v="1"/>
    <n v="1"/>
    <s v="Below College"/>
    <s v="Medium"/>
    <s v="Medium"/>
    <s v="Better"/>
  </r>
  <r>
    <n v="27"/>
    <s v="No"/>
    <s v="Travel_Frequently"/>
    <s v="Sales"/>
    <n v="3"/>
    <n v="1"/>
    <s v="Medical"/>
    <n v="714"/>
    <n v="4"/>
    <s v="Female"/>
    <n v="4"/>
    <n v="2"/>
    <s v="Sales Executive"/>
    <n v="4"/>
    <s v="Divorced"/>
    <n v="4647"/>
    <n v="1"/>
    <x v="0"/>
    <n v="20"/>
    <n v="4"/>
    <n v="2"/>
    <n v="2"/>
    <n v="6"/>
    <n v="3"/>
    <n v="3"/>
    <n v="6"/>
    <n v="5"/>
    <n v="0"/>
    <n v="4"/>
    <n v="0"/>
    <x v="2"/>
    <n v="2"/>
    <x v="0"/>
    <n v="2"/>
    <x v="0"/>
    <n v="3"/>
    <s v="Below College"/>
    <s v="Very High"/>
    <s v="Very High"/>
    <s v="Better"/>
  </r>
  <r>
    <n v="37"/>
    <s v="No"/>
    <s v="Travel_Rarely"/>
    <s v="Research &amp; Development"/>
    <n v="10"/>
    <n v="2"/>
    <s v="Life Sciences"/>
    <n v="715"/>
    <n v="4"/>
    <s v="Male"/>
    <n v="4"/>
    <n v="1"/>
    <s v="Research Scientist"/>
    <n v="4"/>
    <s v="Single"/>
    <n v="4680"/>
    <n v="3"/>
    <x v="1"/>
    <n v="17"/>
    <n v="3"/>
    <n v="1"/>
    <n v="0"/>
    <n v="4"/>
    <n v="2"/>
    <n v="3"/>
    <n v="1"/>
    <n v="0"/>
    <n v="0"/>
    <n v="0"/>
    <n v="0"/>
    <x v="0"/>
    <n v="3"/>
    <x v="0"/>
    <n v="2"/>
    <x v="1"/>
    <n v="1"/>
    <s v="College"/>
    <s v="Very High"/>
    <s v="Very High"/>
    <s v="Better"/>
  </r>
  <r>
    <n v="50"/>
    <s v="No"/>
    <s v="Travel_Rarely"/>
    <s v="Research &amp; Development"/>
    <n v="28"/>
    <n v="1"/>
    <s v="Medical"/>
    <n v="716"/>
    <n v="4"/>
    <s v="Male"/>
    <n v="4"/>
    <n v="1"/>
    <s v="Laboratory Technician"/>
    <n v="3"/>
    <s v="Married"/>
    <n v="3221"/>
    <n v="1"/>
    <x v="0"/>
    <n v="11"/>
    <n v="3"/>
    <n v="3"/>
    <n v="3"/>
    <n v="20"/>
    <n v="3"/>
    <n v="3"/>
    <n v="20"/>
    <n v="8"/>
    <n v="3"/>
    <n v="8"/>
    <n v="0"/>
    <x v="1"/>
    <n v="4"/>
    <x v="0"/>
    <n v="2"/>
    <x v="3"/>
    <n v="4"/>
    <s v="Below College"/>
    <s v="High"/>
    <s v="Very High"/>
    <s v="Better"/>
  </r>
  <r>
    <n v="34"/>
    <s v="No"/>
    <s v="Travel_Rarely"/>
    <s v="Research &amp; Development"/>
    <n v="9"/>
    <n v="3"/>
    <s v="Medical"/>
    <n v="717"/>
    <n v="4"/>
    <s v="Female"/>
    <n v="2"/>
    <n v="3"/>
    <s v="Healthcare Representative"/>
    <n v="2"/>
    <s v="Single"/>
    <n v="8621"/>
    <n v="1"/>
    <x v="1"/>
    <n v="14"/>
    <n v="3"/>
    <n v="2"/>
    <n v="0"/>
    <n v="9"/>
    <n v="3"/>
    <n v="4"/>
    <n v="8"/>
    <n v="7"/>
    <n v="7"/>
    <n v="7"/>
    <n v="0"/>
    <x v="2"/>
    <n v="2"/>
    <x v="2"/>
    <n v="3"/>
    <x v="0"/>
    <n v="3"/>
    <s v="Bachelor"/>
    <s v="Medium"/>
    <s v="Very High"/>
    <s v="Best"/>
  </r>
  <r>
    <n v="24"/>
    <s v="Yes"/>
    <s v="Travel_Rarely"/>
    <s v="Sales"/>
    <n v="3"/>
    <n v="2"/>
    <s v="Life Sciences"/>
    <n v="720"/>
    <n v="1"/>
    <s v="Female"/>
    <n v="3"/>
    <n v="2"/>
    <s v="Sales Executive"/>
    <n v="3"/>
    <s v="Single"/>
    <n v="4577"/>
    <n v="9"/>
    <x v="1"/>
    <n v="14"/>
    <n v="3"/>
    <n v="1"/>
    <n v="0"/>
    <n v="4"/>
    <n v="3"/>
    <n v="3"/>
    <n v="2"/>
    <n v="2"/>
    <n v="2"/>
    <n v="0"/>
    <n v="1"/>
    <x v="4"/>
    <n v="1"/>
    <x v="0"/>
    <n v="2"/>
    <x v="1"/>
    <n v="1"/>
    <s v="College"/>
    <s v="High"/>
    <s v="Low"/>
    <s v="Better"/>
  </r>
  <r>
    <n v="39"/>
    <s v="No"/>
    <s v="Travel_Rarely"/>
    <s v="Research &amp; Development"/>
    <n v="2"/>
    <n v="4"/>
    <s v="Technical Degree"/>
    <n v="721"/>
    <n v="4"/>
    <s v="Female"/>
    <n v="2"/>
    <n v="2"/>
    <s v="Healthcare Representative"/>
    <n v="3"/>
    <s v="Single"/>
    <n v="4553"/>
    <n v="1"/>
    <x v="1"/>
    <n v="11"/>
    <n v="3"/>
    <n v="1"/>
    <n v="0"/>
    <n v="20"/>
    <n v="4"/>
    <n v="3"/>
    <n v="20"/>
    <n v="7"/>
    <n v="11"/>
    <n v="10"/>
    <n v="0"/>
    <x v="0"/>
    <n v="3"/>
    <x v="0"/>
    <n v="2"/>
    <x v="3"/>
    <n v="4"/>
    <s v="Master"/>
    <s v="High"/>
    <s v="Very High"/>
    <s v="Better"/>
  </r>
  <r>
    <n v="32"/>
    <s v="No"/>
    <s v="Travel_Rarely"/>
    <s v="Sales"/>
    <n v="10"/>
    <n v="3"/>
    <s v="Marketing"/>
    <n v="722"/>
    <n v="4"/>
    <s v="Male"/>
    <n v="3"/>
    <n v="2"/>
    <s v="Sales Executive"/>
    <n v="4"/>
    <s v="Single"/>
    <n v="5396"/>
    <n v="1"/>
    <x v="1"/>
    <n v="12"/>
    <n v="3"/>
    <n v="4"/>
    <n v="0"/>
    <n v="10"/>
    <n v="2"/>
    <n v="2"/>
    <n v="10"/>
    <n v="7"/>
    <n v="0"/>
    <n v="8"/>
    <n v="0"/>
    <x v="2"/>
    <n v="2"/>
    <x v="0"/>
    <n v="2"/>
    <x v="0"/>
    <n v="3"/>
    <s v="Bachelor"/>
    <s v="Very High"/>
    <s v="Very High"/>
    <s v="Good"/>
  </r>
  <r>
    <n v="50"/>
    <s v="Yes"/>
    <s v="Travel_Frequently"/>
    <s v="Sales"/>
    <n v="8"/>
    <n v="2"/>
    <s v="Technical Degree"/>
    <n v="723"/>
    <n v="2"/>
    <s v="Male"/>
    <n v="3"/>
    <n v="2"/>
    <s v="Sales Executive"/>
    <n v="3"/>
    <s v="Married"/>
    <n v="6796"/>
    <n v="3"/>
    <x v="0"/>
    <n v="14"/>
    <n v="3"/>
    <n v="1"/>
    <n v="1"/>
    <n v="18"/>
    <n v="4"/>
    <n v="3"/>
    <n v="4"/>
    <n v="3"/>
    <n v="1"/>
    <n v="3"/>
    <n v="1"/>
    <x v="1"/>
    <n v="4"/>
    <x v="2"/>
    <n v="3"/>
    <x v="2"/>
    <n v="2"/>
    <s v="College"/>
    <s v="High"/>
    <s v="Medium"/>
    <s v="Better"/>
  </r>
  <r>
    <n v="38"/>
    <s v="No"/>
    <s v="Travel_Rarely"/>
    <s v="Research &amp; Development"/>
    <n v="1"/>
    <n v="4"/>
    <s v="Life Sciences"/>
    <n v="724"/>
    <n v="2"/>
    <s v="Female"/>
    <n v="4"/>
    <n v="2"/>
    <s v="Healthcare Representative"/>
    <n v="4"/>
    <s v="Single"/>
    <n v="7625"/>
    <n v="0"/>
    <x v="1"/>
    <n v="13"/>
    <n v="3"/>
    <n v="3"/>
    <n v="0"/>
    <n v="10"/>
    <n v="4"/>
    <n v="2"/>
    <n v="9"/>
    <n v="7"/>
    <n v="1"/>
    <n v="8"/>
    <n v="0"/>
    <x v="0"/>
    <n v="3"/>
    <x v="2"/>
    <n v="3"/>
    <x v="0"/>
    <n v="3"/>
    <s v="Master"/>
    <s v="Very High"/>
    <s v="Medium"/>
    <s v="Good"/>
  </r>
  <r>
    <n v="27"/>
    <s v="No"/>
    <s v="Travel_Rarely"/>
    <s v="Research &amp; Development"/>
    <n v="1"/>
    <n v="2"/>
    <s v="Life Sciences"/>
    <n v="725"/>
    <n v="3"/>
    <s v="Female"/>
    <n v="3"/>
    <n v="3"/>
    <s v="Manufacturing Director"/>
    <n v="1"/>
    <s v="Married"/>
    <n v="7412"/>
    <n v="1"/>
    <x v="1"/>
    <n v="11"/>
    <n v="3"/>
    <n v="4"/>
    <n v="0"/>
    <n v="9"/>
    <n v="3"/>
    <n v="3"/>
    <n v="9"/>
    <n v="7"/>
    <n v="0"/>
    <n v="7"/>
    <n v="0"/>
    <x v="2"/>
    <n v="2"/>
    <x v="2"/>
    <n v="3"/>
    <x v="0"/>
    <n v="3"/>
    <s v="College"/>
    <s v="Low"/>
    <s v="High"/>
    <s v="Better"/>
  </r>
  <r>
    <n v="32"/>
    <s v="No"/>
    <s v="Travel_Rarely"/>
    <s v="Research &amp; Development"/>
    <n v="3"/>
    <n v="2"/>
    <s v="Life Sciences"/>
    <n v="727"/>
    <n v="3"/>
    <s v="Female"/>
    <n v="3"/>
    <n v="3"/>
    <s v="Research Director"/>
    <n v="4"/>
    <s v="Single"/>
    <n v="11159"/>
    <n v="3"/>
    <x v="1"/>
    <n v="15"/>
    <n v="3"/>
    <n v="4"/>
    <n v="0"/>
    <n v="10"/>
    <n v="6"/>
    <n v="3"/>
    <n v="7"/>
    <n v="7"/>
    <n v="7"/>
    <n v="7"/>
    <n v="0"/>
    <x v="2"/>
    <n v="2"/>
    <x v="3"/>
    <n v="4"/>
    <x v="0"/>
    <n v="3"/>
    <s v="College"/>
    <s v="Very High"/>
    <s v="High"/>
    <s v="Better"/>
  </r>
  <r>
    <n v="47"/>
    <s v="No"/>
    <s v="Travel_Rarely"/>
    <s v="Sales"/>
    <n v="14"/>
    <n v="4"/>
    <s v="Marketing"/>
    <n v="728"/>
    <n v="4"/>
    <s v="Male"/>
    <n v="3"/>
    <n v="2"/>
    <s v="Sales Executive"/>
    <n v="1"/>
    <s v="Single"/>
    <n v="4960"/>
    <n v="2"/>
    <x v="1"/>
    <n v="12"/>
    <n v="3"/>
    <n v="4"/>
    <n v="0"/>
    <n v="20"/>
    <n v="2"/>
    <n v="3"/>
    <n v="7"/>
    <n v="7"/>
    <n v="1"/>
    <n v="7"/>
    <n v="0"/>
    <x v="1"/>
    <n v="4"/>
    <x v="0"/>
    <n v="2"/>
    <x v="0"/>
    <n v="3"/>
    <s v="Master"/>
    <s v="Low"/>
    <s v="Very High"/>
    <s v="Better"/>
  </r>
  <r>
    <n v="40"/>
    <s v="No"/>
    <s v="Travel_Frequently"/>
    <s v="Sales"/>
    <n v="5"/>
    <n v="4"/>
    <s v="Life Sciences"/>
    <n v="729"/>
    <n v="4"/>
    <s v="Male"/>
    <n v="2"/>
    <n v="3"/>
    <s v="Sales Executive"/>
    <n v="1"/>
    <s v="Married"/>
    <n v="10475"/>
    <n v="5"/>
    <x v="0"/>
    <n v="21"/>
    <n v="4"/>
    <n v="3"/>
    <n v="1"/>
    <n v="20"/>
    <n v="2"/>
    <n v="3"/>
    <n v="18"/>
    <n v="13"/>
    <n v="1"/>
    <n v="12"/>
    <n v="0"/>
    <x v="0"/>
    <n v="3"/>
    <x v="3"/>
    <n v="4"/>
    <x v="3"/>
    <n v="4"/>
    <s v="Master"/>
    <s v="Low"/>
    <s v="Very High"/>
    <s v="Better"/>
  </r>
  <r>
    <n v="53"/>
    <s v="No"/>
    <s v="Travel_Rarely"/>
    <s v="Research &amp; Development"/>
    <n v="7"/>
    <n v="3"/>
    <s v="Life Sciences"/>
    <n v="730"/>
    <n v="3"/>
    <s v="Male"/>
    <n v="4"/>
    <n v="4"/>
    <s v="Research Director"/>
    <n v="3"/>
    <s v="Married"/>
    <n v="14814"/>
    <n v="3"/>
    <x v="1"/>
    <n v="19"/>
    <n v="3"/>
    <n v="3"/>
    <n v="0"/>
    <n v="32"/>
    <n v="3"/>
    <n v="3"/>
    <n v="5"/>
    <n v="1"/>
    <n v="1"/>
    <n v="3"/>
    <n v="0"/>
    <x v="1"/>
    <n v="4"/>
    <x v="3"/>
    <n v="4"/>
    <x v="2"/>
    <n v="2"/>
    <s v="Bachelor"/>
    <s v="High"/>
    <s v="High"/>
    <s v="Better"/>
  </r>
  <r>
    <n v="41"/>
    <s v="No"/>
    <s v="Travel_Rarely"/>
    <s v="Human Resources"/>
    <n v="10"/>
    <n v="4"/>
    <s v="Human Resources"/>
    <n v="731"/>
    <n v="2"/>
    <s v="Male"/>
    <n v="2"/>
    <n v="5"/>
    <s v="Manager"/>
    <n v="4"/>
    <s v="Divorced"/>
    <n v="19141"/>
    <n v="3"/>
    <x v="1"/>
    <n v="15"/>
    <n v="3"/>
    <n v="2"/>
    <n v="3"/>
    <n v="23"/>
    <n v="2"/>
    <n v="2"/>
    <n v="21"/>
    <n v="6"/>
    <n v="12"/>
    <n v="6"/>
    <n v="0"/>
    <x v="0"/>
    <n v="3"/>
    <x v="3"/>
    <n v="4"/>
    <x v="3"/>
    <n v="4"/>
    <s v="Master"/>
    <s v="Very High"/>
    <s v="Medium"/>
    <s v="Good"/>
  </r>
  <r>
    <n v="60"/>
    <s v="No"/>
    <s v="Travel_Rarely"/>
    <s v="Sales"/>
    <n v="16"/>
    <n v="4"/>
    <s v="Marketing"/>
    <n v="732"/>
    <n v="1"/>
    <s v="Male"/>
    <n v="3"/>
    <n v="2"/>
    <s v="Sales Executive"/>
    <n v="1"/>
    <s v="Single"/>
    <n v="5405"/>
    <n v="8"/>
    <x v="1"/>
    <n v="14"/>
    <n v="3"/>
    <n v="4"/>
    <n v="0"/>
    <n v="10"/>
    <n v="1"/>
    <n v="3"/>
    <n v="2"/>
    <n v="2"/>
    <n v="2"/>
    <n v="2"/>
    <n v="0"/>
    <x v="3"/>
    <n v="5"/>
    <x v="0"/>
    <n v="2"/>
    <x v="1"/>
    <n v="1"/>
    <s v="Master"/>
    <s v="Low"/>
    <s v="Low"/>
    <s v="Better"/>
  </r>
  <r>
    <n v="27"/>
    <s v="No"/>
    <s v="Travel_Frequently"/>
    <s v="Research &amp; Development"/>
    <n v="10"/>
    <n v="2"/>
    <s v="Life Sciences"/>
    <n v="733"/>
    <n v="4"/>
    <s v="Male"/>
    <n v="3"/>
    <n v="3"/>
    <s v="Manufacturing Director"/>
    <n v="1"/>
    <s v="Divorced"/>
    <n v="8793"/>
    <n v="1"/>
    <x v="1"/>
    <n v="21"/>
    <n v="4"/>
    <n v="3"/>
    <n v="2"/>
    <n v="9"/>
    <n v="4"/>
    <n v="2"/>
    <n v="9"/>
    <n v="7"/>
    <n v="1"/>
    <n v="7"/>
    <n v="0"/>
    <x v="2"/>
    <n v="2"/>
    <x v="2"/>
    <n v="3"/>
    <x v="0"/>
    <n v="3"/>
    <s v="College"/>
    <s v="Low"/>
    <s v="Very High"/>
    <s v="Good"/>
  </r>
  <r>
    <n v="41"/>
    <s v="No"/>
    <s v="Travel_Rarely"/>
    <s v="Human Resources"/>
    <n v="1"/>
    <n v="3"/>
    <s v="Human Resources"/>
    <n v="734"/>
    <n v="4"/>
    <s v="Male"/>
    <n v="2"/>
    <n v="5"/>
    <s v="Manager"/>
    <n v="3"/>
    <s v="Married"/>
    <n v="19189"/>
    <n v="1"/>
    <x v="1"/>
    <n v="12"/>
    <n v="3"/>
    <n v="2"/>
    <n v="1"/>
    <n v="22"/>
    <n v="3"/>
    <n v="3"/>
    <n v="22"/>
    <n v="7"/>
    <n v="2"/>
    <n v="10"/>
    <n v="0"/>
    <x v="0"/>
    <n v="3"/>
    <x v="3"/>
    <n v="4"/>
    <x v="3"/>
    <n v="4"/>
    <s v="Bachelor"/>
    <s v="High"/>
    <s v="Very High"/>
    <s v="Better"/>
  </r>
  <r>
    <n v="50"/>
    <s v="No"/>
    <s v="Travel_Rarely"/>
    <s v="Sales"/>
    <n v="8"/>
    <n v="4"/>
    <s v="Marketing"/>
    <n v="738"/>
    <n v="4"/>
    <s v="Male"/>
    <n v="3"/>
    <n v="1"/>
    <s v="Sales Representative"/>
    <n v="2"/>
    <s v="Married"/>
    <n v="3875"/>
    <n v="7"/>
    <x v="1"/>
    <n v="15"/>
    <n v="3"/>
    <n v="4"/>
    <n v="1"/>
    <n v="4"/>
    <n v="2"/>
    <n v="3"/>
    <n v="2"/>
    <n v="2"/>
    <n v="2"/>
    <n v="2"/>
    <n v="0"/>
    <x v="1"/>
    <n v="4"/>
    <x v="0"/>
    <n v="2"/>
    <x v="1"/>
    <n v="1"/>
    <s v="Master"/>
    <s v="Medium"/>
    <s v="Very High"/>
    <s v="Better"/>
  </r>
  <r>
    <n v="28"/>
    <s v="Yes"/>
    <s v="Travel_Rarely"/>
    <s v="Research &amp; Development"/>
    <n v="1"/>
    <n v="2"/>
    <s v="Life Sciences"/>
    <n v="741"/>
    <n v="1"/>
    <s v="Female"/>
    <n v="1"/>
    <n v="1"/>
    <s v="Research Scientist"/>
    <n v="2"/>
    <s v="Single"/>
    <n v="2216"/>
    <n v="7"/>
    <x v="0"/>
    <n v="13"/>
    <n v="3"/>
    <n v="4"/>
    <n v="0"/>
    <n v="10"/>
    <n v="4"/>
    <n v="3"/>
    <n v="7"/>
    <n v="7"/>
    <n v="3"/>
    <n v="7"/>
    <n v="1"/>
    <x v="2"/>
    <n v="2"/>
    <x v="1"/>
    <n v="1"/>
    <x v="0"/>
    <n v="3"/>
    <s v="College"/>
    <s v="Medium"/>
    <s v="Low"/>
    <s v="Better"/>
  </r>
  <r>
    <n v="36"/>
    <s v="No"/>
    <s v="Non-Travel"/>
    <s v="Research &amp; Development"/>
    <n v="8"/>
    <n v="3"/>
    <s v="Life Sciences"/>
    <n v="742"/>
    <n v="1"/>
    <s v="Female"/>
    <n v="4"/>
    <n v="3"/>
    <s v="Research Director"/>
    <n v="1"/>
    <s v="Married"/>
    <n v="11713"/>
    <n v="9"/>
    <x v="1"/>
    <n v="14"/>
    <n v="3"/>
    <n v="1"/>
    <n v="1"/>
    <n v="10"/>
    <n v="2"/>
    <n v="3"/>
    <n v="8"/>
    <n v="7"/>
    <n v="0"/>
    <n v="5"/>
    <n v="0"/>
    <x v="0"/>
    <n v="3"/>
    <x v="3"/>
    <n v="4"/>
    <x v="0"/>
    <n v="3"/>
    <s v="Bachelor"/>
    <s v="Low"/>
    <s v="Low"/>
    <s v="Better"/>
  </r>
  <r>
    <n v="38"/>
    <s v="No"/>
    <s v="Travel_Rarely"/>
    <s v="Research &amp; Development"/>
    <n v="1"/>
    <n v="3"/>
    <s v="Life Sciences"/>
    <n v="743"/>
    <n v="3"/>
    <s v="Female"/>
    <n v="3"/>
    <n v="3"/>
    <s v="Manufacturing Director"/>
    <n v="3"/>
    <s v="Single"/>
    <n v="7861"/>
    <n v="4"/>
    <x v="0"/>
    <n v="14"/>
    <n v="3"/>
    <n v="4"/>
    <n v="0"/>
    <n v="10"/>
    <n v="4"/>
    <n v="4"/>
    <n v="1"/>
    <n v="0"/>
    <n v="0"/>
    <n v="0"/>
    <n v="0"/>
    <x v="0"/>
    <n v="3"/>
    <x v="2"/>
    <n v="3"/>
    <x v="1"/>
    <n v="1"/>
    <s v="Bachelor"/>
    <s v="High"/>
    <s v="High"/>
    <s v="Best"/>
  </r>
  <r>
    <n v="44"/>
    <s v="No"/>
    <s v="Non-Travel"/>
    <s v="Research &amp; Development"/>
    <n v="24"/>
    <n v="3"/>
    <s v="Medical"/>
    <n v="744"/>
    <n v="1"/>
    <s v="Male"/>
    <n v="1"/>
    <n v="1"/>
    <s v="Laboratory Technician"/>
    <n v="3"/>
    <s v="Single"/>
    <n v="3708"/>
    <n v="2"/>
    <x v="1"/>
    <n v="14"/>
    <n v="3"/>
    <n v="3"/>
    <n v="0"/>
    <n v="9"/>
    <n v="5"/>
    <n v="3"/>
    <n v="5"/>
    <n v="2"/>
    <n v="1"/>
    <n v="4"/>
    <n v="0"/>
    <x v="0"/>
    <n v="3"/>
    <x v="0"/>
    <n v="2"/>
    <x v="2"/>
    <n v="2"/>
    <s v="Bachelor"/>
    <s v="High"/>
    <s v="Low"/>
    <s v="Better"/>
  </r>
  <r>
    <n v="47"/>
    <s v="No"/>
    <s v="Travel_Frequently"/>
    <s v="Sales"/>
    <n v="3"/>
    <n v="3"/>
    <s v="Medical"/>
    <n v="746"/>
    <n v="4"/>
    <s v="Female"/>
    <n v="3"/>
    <n v="4"/>
    <s v="Sales Executive"/>
    <n v="3"/>
    <s v="Divorced"/>
    <n v="13770"/>
    <n v="9"/>
    <x v="0"/>
    <n v="12"/>
    <n v="3"/>
    <n v="4"/>
    <n v="2"/>
    <n v="28"/>
    <n v="2"/>
    <n v="2"/>
    <n v="22"/>
    <n v="2"/>
    <n v="11"/>
    <n v="13"/>
    <n v="0"/>
    <x v="1"/>
    <n v="4"/>
    <x v="3"/>
    <n v="4"/>
    <x v="3"/>
    <n v="4"/>
    <s v="Bachelor"/>
    <s v="High"/>
    <s v="Very High"/>
    <s v="Good"/>
  </r>
  <r>
    <n v="30"/>
    <s v="No"/>
    <s v="Travel_Rarely"/>
    <s v="Sales"/>
    <n v="27"/>
    <n v="5"/>
    <s v="Marketing"/>
    <n v="747"/>
    <n v="3"/>
    <s v="Male"/>
    <n v="3"/>
    <n v="2"/>
    <s v="Sales Executive"/>
    <n v="4"/>
    <s v="Divorced"/>
    <n v="5304"/>
    <n v="7"/>
    <x v="1"/>
    <n v="23"/>
    <n v="4"/>
    <n v="4"/>
    <n v="1"/>
    <n v="10"/>
    <n v="2"/>
    <n v="2"/>
    <n v="8"/>
    <n v="7"/>
    <n v="7"/>
    <n v="7"/>
    <n v="0"/>
    <x v="2"/>
    <n v="2"/>
    <x v="0"/>
    <n v="2"/>
    <x v="0"/>
    <n v="3"/>
    <s v="Doctor"/>
    <s v="Very High"/>
    <s v="High"/>
    <s v="Good"/>
  </r>
  <r>
    <n v="29"/>
    <s v="No"/>
    <s v="Travel_Rarely"/>
    <s v="Sales"/>
    <n v="10"/>
    <n v="3"/>
    <s v="Life Sciences"/>
    <n v="749"/>
    <n v="3"/>
    <s v="Male"/>
    <n v="3"/>
    <n v="1"/>
    <s v="Sales Representative"/>
    <n v="3"/>
    <s v="Single"/>
    <n v="2642"/>
    <n v="1"/>
    <x v="1"/>
    <n v="11"/>
    <n v="3"/>
    <n v="3"/>
    <n v="0"/>
    <n v="1"/>
    <n v="6"/>
    <n v="3"/>
    <n v="1"/>
    <n v="0"/>
    <n v="0"/>
    <n v="0"/>
    <n v="0"/>
    <x v="2"/>
    <n v="2"/>
    <x v="1"/>
    <n v="1"/>
    <x v="1"/>
    <n v="1"/>
    <s v="Bachelor"/>
    <s v="High"/>
    <s v="High"/>
    <s v="Better"/>
  </r>
  <r>
    <n v="42"/>
    <s v="Yes"/>
    <s v="Travel_Frequently"/>
    <s v="Research &amp; Development"/>
    <n v="19"/>
    <n v="3"/>
    <s v="Medical"/>
    <n v="752"/>
    <n v="3"/>
    <s v="Male"/>
    <n v="4"/>
    <n v="1"/>
    <s v="Research Scientist"/>
    <n v="3"/>
    <s v="Divorced"/>
    <n v="2759"/>
    <n v="6"/>
    <x v="0"/>
    <n v="12"/>
    <n v="3"/>
    <n v="4"/>
    <n v="0"/>
    <n v="7"/>
    <n v="2"/>
    <n v="3"/>
    <n v="2"/>
    <n v="2"/>
    <n v="2"/>
    <n v="2"/>
    <n v="1"/>
    <x v="0"/>
    <n v="3"/>
    <x v="1"/>
    <n v="1"/>
    <x v="1"/>
    <n v="1"/>
    <s v="Bachelor"/>
    <s v="High"/>
    <s v="High"/>
    <s v="Better"/>
  </r>
  <r>
    <n v="43"/>
    <s v="No"/>
    <s v="Travel_Frequently"/>
    <s v="Sales"/>
    <n v="15"/>
    <n v="3"/>
    <s v="Life Sciences"/>
    <n v="754"/>
    <n v="4"/>
    <s v="Male"/>
    <n v="2"/>
    <n v="2"/>
    <s v="Sales Executive"/>
    <n v="4"/>
    <s v="Married"/>
    <n v="6804"/>
    <n v="3"/>
    <x v="1"/>
    <n v="18"/>
    <n v="3"/>
    <n v="3"/>
    <n v="1"/>
    <n v="7"/>
    <n v="5"/>
    <n v="3"/>
    <n v="2"/>
    <n v="2"/>
    <n v="2"/>
    <n v="2"/>
    <n v="0"/>
    <x v="0"/>
    <n v="3"/>
    <x v="2"/>
    <n v="3"/>
    <x v="1"/>
    <n v="1"/>
    <s v="Bachelor"/>
    <s v="Very High"/>
    <s v="Very High"/>
    <s v="Better"/>
  </r>
  <r>
    <n v="34"/>
    <s v="No"/>
    <s v="Travel_Rarely"/>
    <s v="Research &amp; Development"/>
    <n v="8"/>
    <n v="2"/>
    <s v="Medical"/>
    <n v="757"/>
    <n v="2"/>
    <s v="Female"/>
    <n v="3"/>
    <n v="2"/>
    <s v="Healthcare Representative"/>
    <n v="3"/>
    <s v="Single"/>
    <n v="6142"/>
    <n v="3"/>
    <x v="1"/>
    <n v="11"/>
    <n v="3"/>
    <n v="4"/>
    <n v="0"/>
    <n v="10"/>
    <n v="2"/>
    <n v="3"/>
    <n v="5"/>
    <n v="1"/>
    <n v="4"/>
    <n v="3"/>
    <n v="0"/>
    <x v="2"/>
    <n v="2"/>
    <x v="2"/>
    <n v="3"/>
    <x v="2"/>
    <n v="2"/>
    <s v="College"/>
    <s v="High"/>
    <s v="Medium"/>
    <s v="Better"/>
  </r>
  <r>
    <n v="23"/>
    <s v="No"/>
    <s v="Travel_Rarely"/>
    <s v="Research &amp; Development"/>
    <n v="9"/>
    <n v="1"/>
    <s v="Medical"/>
    <n v="758"/>
    <n v="2"/>
    <s v="Male"/>
    <n v="3"/>
    <n v="1"/>
    <s v="Laboratory Technician"/>
    <n v="1"/>
    <s v="Married"/>
    <n v="2500"/>
    <n v="1"/>
    <x v="1"/>
    <n v="14"/>
    <n v="3"/>
    <n v="4"/>
    <n v="1"/>
    <n v="5"/>
    <n v="2"/>
    <n v="4"/>
    <n v="4"/>
    <n v="3"/>
    <n v="0"/>
    <n v="2"/>
    <n v="0"/>
    <x v="4"/>
    <n v="1"/>
    <x v="1"/>
    <n v="1"/>
    <x v="2"/>
    <n v="2"/>
    <s v="Below College"/>
    <s v="Low"/>
    <s v="Medium"/>
    <s v="Best"/>
  </r>
  <r>
    <n v="39"/>
    <s v="No"/>
    <s v="Travel_Rarely"/>
    <s v="Human Resources"/>
    <n v="3"/>
    <n v="3"/>
    <s v="Human Resources"/>
    <n v="760"/>
    <n v="3"/>
    <s v="Female"/>
    <n v="4"/>
    <n v="2"/>
    <s v="Human Resources"/>
    <n v="2"/>
    <s v="Married"/>
    <n v="6389"/>
    <n v="9"/>
    <x v="1"/>
    <n v="15"/>
    <n v="3"/>
    <n v="3"/>
    <n v="1"/>
    <n v="12"/>
    <n v="3"/>
    <n v="1"/>
    <n v="8"/>
    <n v="3"/>
    <n v="3"/>
    <n v="6"/>
    <n v="0"/>
    <x v="0"/>
    <n v="3"/>
    <x v="2"/>
    <n v="3"/>
    <x v="0"/>
    <n v="3"/>
    <s v="Bachelor"/>
    <s v="Medium"/>
    <s v="High"/>
    <s v="Bad"/>
  </r>
  <r>
    <n v="56"/>
    <s v="No"/>
    <s v="Travel_Rarely"/>
    <s v="Research &amp; Development"/>
    <n v="9"/>
    <n v="3"/>
    <s v="Medical"/>
    <n v="762"/>
    <n v="3"/>
    <s v="Male"/>
    <n v="3"/>
    <n v="4"/>
    <s v="Healthcare Representative"/>
    <n v="4"/>
    <s v="Married"/>
    <n v="11103"/>
    <n v="7"/>
    <x v="1"/>
    <n v="11"/>
    <n v="3"/>
    <n v="3"/>
    <n v="0"/>
    <n v="30"/>
    <n v="1"/>
    <n v="2"/>
    <n v="10"/>
    <n v="7"/>
    <n v="1"/>
    <n v="1"/>
    <n v="0"/>
    <x v="3"/>
    <n v="5"/>
    <x v="3"/>
    <n v="4"/>
    <x v="0"/>
    <n v="3"/>
    <s v="Bachelor"/>
    <s v="Very High"/>
    <s v="High"/>
    <s v="Good"/>
  </r>
  <r>
    <n v="40"/>
    <s v="No"/>
    <s v="Travel_Rarely"/>
    <s v="Research &amp; Development"/>
    <n v="2"/>
    <n v="1"/>
    <s v="Medical"/>
    <n v="763"/>
    <n v="4"/>
    <s v="Female"/>
    <n v="2"/>
    <n v="1"/>
    <s v="Research Scientist"/>
    <n v="4"/>
    <s v="Single"/>
    <n v="2342"/>
    <n v="0"/>
    <x v="0"/>
    <n v="20"/>
    <n v="4"/>
    <n v="4"/>
    <n v="0"/>
    <n v="5"/>
    <n v="2"/>
    <n v="2"/>
    <n v="4"/>
    <n v="2"/>
    <n v="2"/>
    <n v="3"/>
    <n v="0"/>
    <x v="0"/>
    <n v="3"/>
    <x v="1"/>
    <n v="1"/>
    <x v="2"/>
    <n v="2"/>
    <s v="Below College"/>
    <s v="Very High"/>
    <s v="Very High"/>
    <s v="Good"/>
  </r>
  <r>
    <n v="27"/>
    <s v="No"/>
    <s v="Travel_Rarely"/>
    <s v="Research &amp; Development"/>
    <n v="7"/>
    <n v="3"/>
    <s v="Medical"/>
    <n v="764"/>
    <n v="4"/>
    <s v="Female"/>
    <n v="2"/>
    <n v="2"/>
    <s v="Healthcare Representative"/>
    <n v="1"/>
    <s v="Single"/>
    <n v="6811"/>
    <n v="8"/>
    <x v="1"/>
    <n v="19"/>
    <n v="3"/>
    <n v="1"/>
    <n v="0"/>
    <n v="9"/>
    <n v="2"/>
    <n v="1"/>
    <n v="7"/>
    <n v="6"/>
    <n v="0"/>
    <n v="7"/>
    <n v="0"/>
    <x v="2"/>
    <n v="2"/>
    <x v="2"/>
    <n v="3"/>
    <x v="0"/>
    <n v="3"/>
    <s v="Bachelor"/>
    <s v="Low"/>
    <s v="Very High"/>
    <s v="Bad"/>
  </r>
  <r>
    <n v="29"/>
    <s v="No"/>
    <s v="Travel_Rarely"/>
    <s v="Sales"/>
    <n v="10"/>
    <n v="3"/>
    <s v="Marketing"/>
    <n v="766"/>
    <n v="4"/>
    <s v="Male"/>
    <n v="3"/>
    <n v="1"/>
    <s v="Sales Representative"/>
    <n v="2"/>
    <s v="Divorced"/>
    <n v="2297"/>
    <n v="1"/>
    <x v="1"/>
    <n v="14"/>
    <n v="3"/>
    <n v="4"/>
    <n v="2"/>
    <n v="2"/>
    <n v="2"/>
    <n v="3"/>
    <n v="2"/>
    <n v="2"/>
    <n v="2"/>
    <n v="2"/>
    <n v="0"/>
    <x v="2"/>
    <n v="2"/>
    <x v="1"/>
    <n v="1"/>
    <x v="1"/>
    <n v="1"/>
    <s v="Bachelor"/>
    <s v="Medium"/>
    <s v="Very High"/>
    <s v="Better"/>
  </r>
  <r>
    <n v="53"/>
    <s v="No"/>
    <s v="Travel_Rarely"/>
    <s v="Research &amp; Development"/>
    <n v="6"/>
    <n v="3"/>
    <s v="Life Sciences"/>
    <n v="769"/>
    <n v="4"/>
    <s v="Male"/>
    <n v="3"/>
    <n v="2"/>
    <s v="Laboratory Technician"/>
    <n v="4"/>
    <s v="Single"/>
    <n v="2450"/>
    <n v="2"/>
    <x v="1"/>
    <n v="17"/>
    <n v="3"/>
    <n v="4"/>
    <n v="0"/>
    <n v="19"/>
    <n v="4"/>
    <n v="3"/>
    <n v="2"/>
    <n v="2"/>
    <n v="2"/>
    <n v="2"/>
    <n v="0"/>
    <x v="1"/>
    <n v="4"/>
    <x v="1"/>
    <n v="1"/>
    <x v="1"/>
    <n v="1"/>
    <s v="Bachelor"/>
    <s v="Very High"/>
    <s v="Very High"/>
    <s v="Better"/>
  </r>
  <r>
    <n v="35"/>
    <s v="No"/>
    <s v="Non-Travel"/>
    <s v="Research &amp; Development"/>
    <n v="2"/>
    <n v="4"/>
    <s v="Life Sciences"/>
    <n v="771"/>
    <n v="4"/>
    <s v="Female"/>
    <n v="3"/>
    <n v="2"/>
    <s v="Healthcare Representative"/>
    <n v="1"/>
    <s v="Divorced"/>
    <n v="5093"/>
    <n v="2"/>
    <x v="1"/>
    <n v="11"/>
    <n v="3"/>
    <n v="1"/>
    <n v="1"/>
    <n v="16"/>
    <n v="2"/>
    <n v="4"/>
    <n v="1"/>
    <n v="0"/>
    <n v="0"/>
    <n v="0"/>
    <n v="0"/>
    <x v="2"/>
    <n v="2"/>
    <x v="0"/>
    <n v="2"/>
    <x v="1"/>
    <n v="1"/>
    <s v="Master"/>
    <s v="Low"/>
    <s v="Very High"/>
    <s v="Best"/>
  </r>
  <r>
    <n v="32"/>
    <s v="No"/>
    <s v="Travel_Frequently"/>
    <s v="Research &amp; Development"/>
    <n v="24"/>
    <n v="4"/>
    <s v="Life Sciences"/>
    <n v="772"/>
    <n v="1"/>
    <s v="Male"/>
    <n v="3"/>
    <n v="2"/>
    <s v="Laboratory Technician"/>
    <n v="4"/>
    <s v="Married"/>
    <n v="5309"/>
    <n v="1"/>
    <x v="1"/>
    <n v="15"/>
    <n v="3"/>
    <n v="4"/>
    <n v="2"/>
    <n v="10"/>
    <n v="2"/>
    <n v="3"/>
    <n v="10"/>
    <n v="8"/>
    <n v="4"/>
    <n v="7"/>
    <n v="0"/>
    <x v="2"/>
    <n v="2"/>
    <x v="0"/>
    <n v="2"/>
    <x v="0"/>
    <n v="3"/>
    <s v="Master"/>
    <s v="Very High"/>
    <s v="Low"/>
    <s v="Better"/>
  </r>
  <r>
    <n v="38"/>
    <s v="No"/>
    <s v="Travel_Rarely"/>
    <s v="Research &amp; Development"/>
    <n v="2"/>
    <n v="5"/>
    <s v="Medical"/>
    <n v="773"/>
    <n v="4"/>
    <s v="Male"/>
    <n v="3"/>
    <n v="1"/>
    <s v="Research Scientist"/>
    <n v="3"/>
    <s v="Married"/>
    <n v="3057"/>
    <n v="6"/>
    <x v="0"/>
    <n v="13"/>
    <n v="3"/>
    <n v="2"/>
    <n v="1"/>
    <n v="6"/>
    <n v="0"/>
    <n v="1"/>
    <n v="1"/>
    <n v="0"/>
    <n v="0"/>
    <n v="1"/>
    <n v="0"/>
    <x v="0"/>
    <n v="3"/>
    <x v="0"/>
    <n v="2"/>
    <x v="1"/>
    <n v="1"/>
    <s v="Doctor"/>
    <s v="High"/>
    <s v="Very High"/>
    <s v="Bad"/>
  </r>
  <r>
    <n v="34"/>
    <s v="No"/>
    <s v="Travel_Rarely"/>
    <s v="Research &amp; Development"/>
    <n v="8"/>
    <n v="5"/>
    <s v="Life Sciences"/>
    <n v="775"/>
    <n v="2"/>
    <s v="Female"/>
    <n v="3"/>
    <n v="2"/>
    <s v="Manufacturing Director"/>
    <n v="1"/>
    <s v="Divorced"/>
    <n v="5121"/>
    <n v="3"/>
    <x v="1"/>
    <n v="14"/>
    <n v="3"/>
    <n v="3"/>
    <n v="1"/>
    <n v="7"/>
    <n v="3"/>
    <n v="3"/>
    <n v="0"/>
    <n v="0"/>
    <n v="0"/>
    <n v="0"/>
    <n v="0"/>
    <x v="2"/>
    <n v="2"/>
    <x v="0"/>
    <n v="2"/>
    <x v="1"/>
    <n v="1"/>
    <s v="Doctor"/>
    <s v="Low"/>
    <s v="Medium"/>
    <s v="Better"/>
  </r>
  <r>
    <n v="52"/>
    <s v="No"/>
    <s v="Travel_Rarely"/>
    <s v="Sales"/>
    <n v="3"/>
    <n v="4"/>
    <s v="Marketing"/>
    <n v="776"/>
    <n v="3"/>
    <s v="Male"/>
    <n v="2"/>
    <n v="4"/>
    <s v="Manager"/>
    <n v="1"/>
    <s v="Married"/>
    <n v="16856"/>
    <n v="1"/>
    <x v="1"/>
    <n v="11"/>
    <n v="3"/>
    <n v="1"/>
    <n v="0"/>
    <n v="34"/>
    <n v="3"/>
    <n v="4"/>
    <n v="34"/>
    <n v="6"/>
    <n v="1"/>
    <n v="16"/>
    <n v="0"/>
    <x v="1"/>
    <n v="4"/>
    <x v="3"/>
    <n v="4"/>
    <x v="3"/>
    <n v="4"/>
    <s v="Master"/>
    <s v="Low"/>
    <s v="High"/>
    <s v="Best"/>
  </r>
  <r>
    <n v="33"/>
    <s v="Yes"/>
    <s v="Travel_Rarely"/>
    <s v="Research &amp; Development"/>
    <n v="1"/>
    <n v="4"/>
    <s v="Other"/>
    <n v="780"/>
    <n v="4"/>
    <s v="Male"/>
    <n v="3"/>
    <n v="1"/>
    <s v="Research Scientist"/>
    <n v="4"/>
    <s v="Single"/>
    <n v="2686"/>
    <n v="1"/>
    <x v="0"/>
    <n v="13"/>
    <n v="3"/>
    <n v="3"/>
    <n v="0"/>
    <n v="10"/>
    <n v="2"/>
    <n v="2"/>
    <n v="10"/>
    <n v="9"/>
    <n v="7"/>
    <n v="8"/>
    <n v="1"/>
    <x v="2"/>
    <n v="2"/>
    <x v="1"/>
    <n v="1"/>
    <x v="0"/>
    <n v="3"/>
    <s v="Master"/>
    <s v="Very High"/>
    <s v="Very High"/>
    <s v="Good"/>
  </r>
  <r>
    <n v="25"/>
    <s v="No"/>
    <s v="Travel_Rarely"/>
    <s v="Sales"/>
    <n v="26"/>
    <n v="1"/>
    <s v="Medical"/>
    <n v="781"/>
    <n v="3"/>
    <s v="Female"/>
    <n v="3"/>
    <n v="2"/>
    <s v="Sales Executive"/>
    <n v="4"/>
    <s v="Single"/>
    <n v="6180"/>
    <n v="1"/>
    <x v="1"/>
    <n v="23"/>
    <n v="4"/>
    <n v="2"/>
    <n v="0"/>
    <n v="6"/>
    <n v="5"/>
    <n v="2"/>
    <n v="6"/>
    <n v="5"/>
    <n v="1"/>
    <n v="4"/>
    <n v="0"/>
    <x v="4"/>
    <n v="1"/>
    <x v="2"/>
    <n v="3"/>
    <x v="0"/>
    <n v="3"/>
    <s v="Below College"/>
    <s v="Very High"/>
    <s v="High"/>
    <s v="Good"/>
  </r>
  <r>
    <n v="45"/>
    <s v="No"/>
    <s v="Travel_Rarely"/>
    <s v="Sales"/>
    <n v="2"/>
    <n v="2"/>
    <s v="Technical Degree"/>
    <n v="783"/>
    <n v="2"/>
    <s v="Male"/>
    <n v="1"/>
    <n v="2"/>
    <s v="Sales Representative"/>
    <n v="3"/>
    <s v="Single"/>
    <n v="6632"/>
    <n v="0"/>
    <x v="1"/>
    <n v="13"/>
    <n v="3"/>
    <n v="1"/>
    <n v="0"/>
    <n v="9"/>
    <n v="3"/>
    <n v="3"/>
    <n v="8"/>
    <n v="7"/>
    <n v="3"/>
    <n v="1"/>
    <n v="0"/>
    <x v="0"/>
    <n v="3"/>
    <x v="2"/>
    <n v="3"/>
    <x v="0"/>
    <n v="3"/>
    <s v="College"/>
    <s v="High"/>
    <s v="Medium"/>
    <s v="Better"/>
  </r>
  <r>
    <n v="23"/>
    <s v="No"/>
    <s v="Travel_Rarely"/>
    <s v="Research &amp; Development"/>
    <n v="10"/>
    <n v="1"/>
    <s v="Medical"/>
    <n v="784"/>
    <n v="1"/>
    <s v="Male"/>
    <n v="4"/>
    <n v="1"/>
    <s v="Research Scientist"/>
    <n v="3"/>
    <s v="Single"/>
    <n v="3505"/>
    <n v="1"/>
    <x v="1"/>
    <n v="18"/>
    <n v="3"/>
    <n v="4"/>
    <n v="0"/>
    <n v="2"/>
    <n v="3"/>
    <n v="3"/>
    <n v="2"/>
    <n v="2"/>
    <n v="0"/>
    <n v="2"/>
    <n v="0"/>
    <x v="4"/>
    <n v="1"/>
    <x v="0"/>
    <n v="2"/>
    <x v="1"/>
    <n v="1"/>
    <s v="Below College"/>
    <s v="High"/>
    <s v="Low"/>
    <s v="Better"/>
  </r>
  <r>
    <n v="47"/>
    <s v="Yes"/>
    <s v="Travel_Frequently"/>
    <s v="Sales"/>
    <n v="27"/>
    <n v="2"/>
    <s v="Life Sciences"/>
    <n v="785"/>
    <n v="2"/>
    <s v="Female"/>
    <n v="4"/>
    <n v="2"/>
    <s v="Sales Executive"/>
    <n v="3"/>
    <s v="Single"/>
    <n v="6397"/>
    <n v="4"/>
    <x v="0"/>
    <n v="12"/>
    <n v="3"/>
    <n v="4"/>
    <n v="0"/>
    <n v="8"/>
    <n v="2"/>
    <n v="3"/>
    <n v="5"/>
    <n v="4"/>
    <n v="1"/>
    <n v="3"/>
    <n v="1"/>
    <x v="1"/>
    <n v="4"/>
    <x v="2"/>
    <n v="3"/>
    <x v="2"/>
    <n v="2"/>
    <s v="College"/>
    <s v="High"/>
    <s v="Medium"/>
    <s v="Better"/>
  </r>
  <r>
    <n v="34"/>
    <s v="No"/>
    <s v="Travel_Rarely"/>
    <s v="Sales"/>
    <n v="2"/>
    <n v="3"/>
    <s v="Other"/>
    <n v="786"/>
    <n v="4"/>
    <s v="Male"/>
    <n v="3"/>
    <n v="2"/>
    <s v="Sales Executive"/>
    <n v="4"/>
    <s v="Single"/>
    <n v="6274"/>
    <n v="1"/>
    <x v="1"/>
    <n v="22"/>
    <n v="4"/>
    <n v="3"/>
    <n v="0"/>
    <n v="6"/>
    <n v="5"/>
    <n v="3"/>
    <n v="6"/>
    <n v="5"/>
    <n v="1"/>
    <n v="4"/>
    <n v="0"/>
    <x v="2"/>
    <n v="2"/>
    <x v="2"/>
    <n v="3"/>
    <x v="0"/>
    <n v="3"/>
    <s v="Bachelor"/>
    <s v="Very High"/>
    <s v="Very High"/>
    <s v="Better"/>
  </r>
  <r>
    <n v="55"/>
    <s v="Yes"/>
    <s v="Travel_Rarely"/>
    <s v="Research &amp; Development"/>
    <n v="2"/>
    <n v="3"/>
    <s v="Medical"/>
    <n v="787"/>
    <n v="4"/>
    <s v="Male"/>
    <n v="3"/>
    <n v="5"/>
    <s v="Manager"/>
    <n v="1"/>
    <s v="Married"/>
    <n v="19859"/>
    <n v="5"/>
    <x v="0"/>
    <n v="13"/>
    <n v="3"/>
    <n v="4"/>
    <n v="1"/>
    <n v="24"/>
    <n v="2"/>
    <n v="3"/>
    <n v="5"/>
    <n v="2"/>
    <n v="1"/>
    <n v="4"/>
    <n v="1"/>
    <x v="1"/>
    <n v="4"/>
    <x v="3"/>
    <n v="4"/>
    <x v="2"/>
    <n v="2"/>
    <s v="Bachelor"/>
    <s v="Low"/>
    <s v="Very High"/>
    <s v="Better"/>
  </r>
  <r>
    <n v="36"/>
    <s v="No"/>
    <s v="Non-Travel"/>
    <s v="Sales"/>
    <n v="8"/>
    <n v="4"/>
    <s v="Life Sciences"/>
    <n v="789"/>
    <n v="1"/>
    <s v="Male"/>
    <n v="2"/>
    <n v="3"/>
    <s v="Sales Executive"/>
    <n v="1"/>
    <s v="Single"/>
    <n v="7587"/>
    <n v="1"/>
    <x v="1"/>
    <n v="15"/>
    <n v="3"/>
    <n v="2"/>
    <n v="0"/>
    <n v="10"/>
    <n v="1"/>
    <n v="3"/>
    <n v="10"/>
    <n v="7"/>
    <n v="0"/>
    <n v="9"/>
    <n v="0"/>
    <x v="0"/>
    <n v="3"/>
    <x v="2"/>
    <n v="3"/>
    <x v="0"/>
    <n v="3"/>
    <s v="Master"/>
    <s v="Low"/>
    <s v="Low"/>
    <s v="Better"/>
  </r>
  <r>
    <n v="52"/>
    <s v="No"/>
    <s v="Non-Travel"/>
    <s v="Research &amp; Development"/>
    <n v="19"/>
    <n v="4"/>
    <s v="Medical"/>
    <n v="791"/>
    <n v="4"/>
    <s v="Male"/>
    <n v="3"/>
    <n v="1"/>
    <s v="Research Scientist"/>
    <n v="4"/>
    <s v="Married"/>
    <n v="4258"/>
    <n v="0"/>
    <x v="1"/>
    <n v="18"/>
    <n v="3"/>
    <n v="1"/>
    <n v="1"/>
    <n v="5"/>
    <n v="3"/>
    <n v="3"/>
    <n v="4"/>
    <n v="3"/>
    <n v="1"/>
    <n v="2"/>
    <n v="0"/>
    <x v="1"/>
    <n v="4"/>
    <x v="0"/>
    <n v="2"/>
    <x v="2"/>
    <n v="2"/>
    <s v="Master"/>
    <s v="Very High"/>
    <s v="Very High"/>
    <s v="Better"/>
  </r>
  <r>
    <n v="26"/>
    <s v="No"/>
    <s v="Travel_Frequently"/>
    <s v="Research &amp; Development"/>
    <n v="1"/>
    <n v="2"/>
    <s v="Life Sciences"/>
    <n v="792"/>
    <n v="1"/>
    <s v="Female"/>
    <n v="1"/>
    <n v="1"/>
    <s v="Laboratory Technician"/>
    <n v="4"/>
    <s v="Divorced"/>
    <n v="4364"/>
    <n v="3"/>
    <x v="1"/>
    <n v="14"/>
    <n v="3"/>
    <n v="1"/>
    <n v="1"/>
    <n v="5"/>
    <n v="2"/>
    <n v="3"/>
    <n v="2"/>
    <n v="2"/>
    <n v="2"/>
    <n v="0"/>
    <n v="0"/>
    <x v="2"/>
    <n v="2"/>
    <x v="0"/>
    <n v="2"/>
    <x v="1"/>
    <n v="1"/>
    <s v="College"/>
    <s v="Very High"/>
    <s v="Low"/>
    <s v="Better"/>
  </r>
  <r>
    <n v="29"/>
    <s v="No"/>
    <s v="Travel_Rarely"/>
    <s v="Research &amp; Development"/>
    <n v="27"/>
    <n v="3"/>
    <s v="Medical"/>
    <n v="793"/>
    <n v="2"/>
    <s v="Female"/>
    <n v="3"/>
    <n v="2"/>
    <s v="Healthcare Representative"/>
    <n v="3"/>
    <s v="Married"/>
    <n v="4335"/>
    <n v="4"/>
    <x v="1"/>
    <n v="12"/>
    <n v="3"/>
    <n v="1"/>
    <n v="1"/>
    <n v="11"/>
    <n v="3"/>
    <n v="2"/>
    <n v="8"/>
    <n v="7"/>
    <n v="1"/>
    <n v="1"/>
    <n v="0"/>
    <x v="2"/>
    <n v="2"/>
    <x v="0"/>
    <n v="2"/>
    <x v="0"/>
    <n v="3"/>
    <s v="Bachelor"/>
    <s v="High"/>
    <s v="Medium"/>
    <s v="Good"/>
  </r>
  <r>
    <n v="26"/>
    <s v="Yes"/>
    <s v="Travel_Rarely"/>
    <s v="Sales"/>
    <n v="8"/>
    <n v="3"/>
    <s v="Technical Degree"/>
    <n v="796"/>
    <n v="4"/>
    <s v="Male"/>
    <n v="2"/>
    <n v="2"/>
    <s v="Sales Executive"/>
    <n v="1"/>
    <s v="Single"/>
    <n v="5326"/>
    <n v="6"/>
    <x v="1"/>
    <n v="17"/>
    <n v="3"/>
    <n v="3"/>
    <n v="0"/>
    <n v="6"/>
    <n v="2"/>
    <n v="2"/>
    <n v="4"/>
    <n v="3"/>
    <n v="1"/>
    <n v="2"/>
    <n v="1"/>
    <x v="2"/>
    <n v="2"/>
    <x v="0"/>
    <n v="2"/>
    <x v="2"/>
    <n v="2"/>
    <s v="Bachelor"/>
    <s v="Low"/>
    <s v="Very High"/>
    <s v="Good"/>
  </r>
  <r>
    <n v="34"/>
    <s v="No"/>
    <s v="Travel_Rarely"/>
    <s v="Research &amp; Development"/>
    <n v="1"/>
    <n v="4"/>
    <s v="Life Sciences"/>
    <n v="797"/>
    <n v="2"/>
    <s v="Female"/>
    <n v="4"/>
    <n v="1"/>
    <s v="Research Scientist"/>
    <n v="4"/>
    <s v="Single"/>
    <n v="3280"/>
    <n v="2"/>
    <x v="1"/>
    <n v="16"/>
    <n v="3"/>
    <n v="3"/>
    <n v="0"/>
    <n v="10"/>
    <n v="2"/>
    <n v="3"/>
    <n v="4"/>
    <n v="2"/>
    <n v="1"/>
    <n v="3"/>
    <n v="0"/>
    <x v="2"/>
    <n v="2"/>
    <x v="0"/>
    <n v="2"/>
    <x v="2"/>
    <n v="2"/>
    <s v="Master"/>
    <s v="Very High"/>
    <s v="Medium"/>
    <s v="Better"/>
  </r>
  <r>
    <n v="54"/>
    <s v="No"/>
    <s v="Travel_Rarely"/>
    <s v="Research &amp; Development"/>
    <n v="19"/>
    <n v="4"/>
    <s v="Medical"/>
    <n v="799"/>
    <n v="4"/>
    <s v="Female"/>
    <n v="3"/>
    <n v="2"/>
    <s v="Manufacturing Director"/>
    <n v="1"/>
    <s v="Divorced"/>
    <n v="5485"/>
    <n v="9"/>
    <x v="0"/>
    <n v="11"/>
    <n v="3"/>
    <n v="2"/>
    <n v="2"/>
    <n v="9"/>
    <n v="4"/>
    <n v="3"/>
    <n v="5"/>
    <n v="3"/>
    <n v="1"/>
    <n v="4"/>
    <n v="0"/>
    <x v="1"/>
    <n v="4"/>
    <x v="0"/>
    <n v="2"/>
    <x v="2"/>
    <n v="2"/>
    <s v="Master"/>
    <s v="Low"/>
    <s v="Very High"/>
    <s v="Better"/>
  </r>
  <r>
    <n v="27"/>
    <s v="No"/>
    <s v="Travel_Frequently"/>
    <s v="Sales"/>
    <n v="8"/>
    <n v="1"/>
    <s v="Marketing"/>
    <n v="800"/>
    <n v="3"/>
    <s v="Male"/>
    <n v="3"/>
    <n v="2"/>
    <s v="Sales Executive"/>
    <n v="4"/>
    <s v="Married"/>
    <n v="4342"/>
    <n v="0"/>
    <x v="1"/>
    <n v="19"/>
    <n v="3"/>
    <n v="2"/>
    <n v="1"/>
    <n v="5"/>
    <n v="3"/>
    <n v="3"/>
    <n v="4"/>
    <n v="2"/>
    <n v="1"/>
    <n v="1"/>
    <n v="0"/>
    <x v="2"/>
    <n v="2"/>
    <x v="0"/>
    <n v="2"/>
    <x v="2"/>
    <n v="2"/>
    <s v="Below College"/>
    <s v="Very High"/>
    <s v="High"/>
    <s v="Better"/>
  </r>
  <r>
    <n v="37"/>
    <s v="No"/>
    <s v="Travel_Rarely"/>
    <s v="Research &amp; Development"/>
    <n v="10"/>
    <n v="1"/>
    <s v="Life Sciences"/>
    <n v="802"/>
    <n v="4"/>
    <s v="Female"/>
    <n v="3"/>
    <n v="1"/>
    <s v="Research Scientist"/>
    <n v="1"/>
    <s v="Divorced"/>
    <n v="2782"/>
    <n v="0"/>
    <x v="0"/>
    <n v="13"/>
    <n v="3"/>
    <n v="2"/>
    <n v="2"/>
    <n v="6"/>
    <n v="3"/>
    <n v="2"/>
    <n v="5"/>
    <n v="3"/>
    <n v="4"/>
    <n v="3"/>
    <n v="0"/>
    <x v="0"/>
    <n v="3"/>
    <x v="1"/>
    <n v="1"/>
    <x v="2"/>
    <n v="2"/>
    <s v="Below College"/>
    <s v="Low"/>
    <s v="Very High"/>
    <s v="Good"/>
  </r>
  <r>
    <n v="38"/>
    <s v="No"/>
    <s v="Travel_Frequently"/>
    <s v="Research &amp; Development"/>
    <n v="2"/>
    <n v="4"/>
    <s v="Life Sciences"/>
    <n v="803"/>
    <n v="1"/>
    <s v="Female"/>
    <n v="4"/>
    <n v="2"/>
    <s v="Manufacturing Director"/>
    <n v="1"/>
    <s v="Single"/>
    <n v="5980"/>
    <n v="6"/>
    <x v="0"/>
    <n v="12"/>
    <n v="3"/>
    <n v="4"/>
    <n v="0"/>
    <n v="17"/>
    <n v="2"/>
    <n v="3"/>
    <n v="15"/>
    <n v="7"/>
    <n v="4"/>
    <n v="12"/>
    <n v="0"/>
    <x v="0"/>
    <n v="3"/>
    <x v="0"/>
    <n v="2"/>
    <x v="3"/>
    <n v="4"/>
    <s v="Master"/>
    <s v="Low"/>
    <s v="Low"/>
    <s v="Better"/>
  </r>
  <r>
    <n v="34"/>
    <s v="No"/>
    <s v="Travel_Rarely"/>
    <s v="Research &amp; Development"/>
    <n v="2"/>
    <n v="4"/>
    <s v="Medical"/>
    <n v="804"/>
    <n v="3"/>
    <s v="Female"/>
    <n v="2"/>
    <n v="1"/>
    <s v="Research Scientist"/>
    <n v="1"/>
    <s v="Single"/>
    <n v="4381"/>
    <n v="1"/>
    <x v="1"/>
    <n v="11"/>
    <n v="3"/>
    <n v="3"/>
    <n v="0"/>
    <n v="6"/>
    <n v="3"/>
    <n v="3"/>
    <n v="6"/>
    <n v="5"/>
    <n v="1"/>
    <n v="3"/>
    <n v="0"/>
    <x v="2"/>
    <n v="2"/>
    <x v="0"/>
    <n v="2"/>
    <x v="0"/>
    <n v="3"/>
    <s v="Master"/>
    <s v="Low"/>
    <s v="High"/>
    <s v="Better"/>
  </r>
  <r>
    <n v="35"/>
    <s v="No"/>
    <s v="Travel_Rarely"/>
    <s v="Sales"/>
    <n v="8"/>
    <n v="4"/>
    <s v="Life Sciences"/>
    <n v="805"/>
    <n v="1"/>
    <s v="Female"/>
    <n v="3"/>
    <n v="1"/>
    <s v="Sales Representative"/>
    <n v="4"/>
    <s v="Married"/>
    <n v="2572"/>
    <n v="1"/>
    <x v="1"/>
    <n v="16"/>
    <n v="3"/>
    <n v="2"/>
    <n v="1"/>
    <n v="3"/>
    <n v="1"/>
    <n v="2"/>
    <n v="3"/>
    <n v="2"/>
    <n v="0"/>
    <n v="2"/>
    <n v="0"/>
    <x v="2"/>
    <n v="2"/>
    <x v="1"/>
    <n v="1"/>
    <x v="2"/>
    <n v="2"/>
    <s v="Master"/>
    <s v="Very High"/>
    <s v="Low"/>
    <s v="Good"/>
  </r>
  <r>
    <n v="30"/>
    <s v="No"/>
    <s v="Travel_Rarely"/>
    <s v="Research &amp; Development"/>
    <n v="1"/>
    <n v="3"/>
    <s v="Life Sciences"/>
    <n v="806"/>
    <n v="4"/>
    <s v="Male"/>
    <n v="1"/>
    <n v="1"/>
    <s v="Laboratory Technician"/>
    <n v="3"/>
    <s v="Married"/>
    <n v="3833"/>
    <n v="3"/>
    <x v="1"/>
    <n v="21"/>
    <n v="4"/>
    <n v="3"/>
    <n v="2"/>
    <n v="7"/>
    <n v="2"/>
    <n v="3"/>
    <n v="2"/>
    <n v="2"/>
    <n v="0"/>
    <n v="2"/>
    <n v="0"/>
    <x v="2"/>
    <n v="2"/>
    <x v="0"/>
    <n v="2"/>
    <x v="1"/>
    <n v="1"/>
    <s v="Bachelor"/>
    <s v="High"/>
    <s v="Very High"/>
    <s v="Better"/>
  </r>
  <r>
    <n v="40"/>
    <s v="No"/>
    <s v="Travel_Frequently"/>
    <s v="Research &amp; Development"/>
    <n v="2"/>
    <n v="2"/>
    <s v="Medical"/>
    <n v="807"/>
    <n v="3"/>
    <s v="Female"/>
    <n v="4"/>
    <n v="2"/>
    <s v="Healthcare Representative"/>
    <n v="2"/>
    <s v="Married"/>
    <n v="4244"/>
    <n v="1"/>
    <x v="1"/>
    <n v="24"/>
    <n v="4"/>
    <n v="4"/>
    <n v="1"/>
    <n v="8"/>
    <n v="2"/>
    <n v="3"/>
    <n v="8"/>
    <n v="7"/>
    <n v="3"/>
    <n v="7"/>
    <n v="0"/>
    <x v="0"/>
    <n v="3"/>
    <x v="0"/>
    <n v="2"/>
    <x v="0"/>
    <n v="3"/>
    <s v="College"/>
    <s v="Medium"/>
    <s v="High"/>
    <s v="Better"/>
  </r>
  <r>
    <n v="34"/>
    <s v="No"/>
    <s v="Travel_Rarely"/>
    <s v="Sales"/>
    <n v="8"/>
    <n v="2"/>
    <s v="Life Sciences"/>
    <n v="808"/>
    <n v="3"/>
    <s v="Female"/>
    <n v="3"/>
    <n v="2"/>
    <s v="Sales Executive"/>
    <n v="1"/>
    <s v="Married"/>
    <n v="6500"/>
    <n v="5"/>
    <x v="1"/>
    <n v="17"/>
    <n v="3"/>
    <n v="2"/>
    <n v="1"/>
    <n v="6"/>
    <n v="1"/>
    <n v="3"/>
    <n v="3"/>
    <n v="2"/>
    <n v="1"/>
    <n v="2"/>
    <n v="0"/>
    <x v="2"/>
    <n v="2"/>
    <x v="2"/>
    <n v="3"/>
    <x v="2"/>
    <n v="2"/>
    <s v="College"/>
    <s v="Low"/>
    <s v="High"/>
    <s v="Better"/>
  </r>
  <r>
    <n v="42"/>
    <s v="No"/>
    <s v="Travel_Frequently"/>
    <s v="Research &amp; Development"/>
    <n v="8"/>
    <n v="3"/>
    <s v="Life Sciences"/>
    <n v="809"/>
    <n v="2"/>
    <s v="Male"/>
    <n v="3"/>
    <n v="5"/>
    <s v="Manager"/>
    <n v="4"/>
    <s v="Divorced"/>
    <n v="18430"/>
    <n v="1"/>
    <x v="1"/>
    <n v="13"/>
    <n v="3"/>
    <n v="2"/>
    <n v="1"/>
    <n v="24"/>
    <n v="4"/>
    <n v="2"/>
    <n v="24"/>
    <n v="7"/>
    <n v="14"/>
    <n v="9"/>
    <n v="0"/>
    <x v="0"/>
    <n v="3"/>
    <x v="3"/>
    <n v="4"/>
    <x v="3"/>
    <n v="4"/>
    <s v="Bachelor"/>
    <s v="Very High"/>
    <s v="Medium"/>
    <s v="Good"/>
  </r>
  <r>
    <n v="23"/>
    <s v="Yes"/>
    <s v="Travel_Rarely"/>
    <s v="Research &amp; Development"/>
    <n v="6"/>
    <n v="3"/>
    <s v="Life Sciences"/>
    <n v="811"/>
    <n v="3"/>
    <s v="Male"/>
    <n v="4"/>
    <n v="1"/>
    <s v="Laboratory Technician"/>
    <n v="1"/>
    <s v="Married"/>
    <n v="1601"/>
    <n v="1"/>
    <x v="0"/>
    <n v="21"/>
    <n v="4"/>
    <n v="3"/>
    <n v="2"/>
    <n v="1"/>
    <n v="2"/>
    <n v="3"/>
    <n v="0"/>
    <n v="0"/>
    <n v="0"/>
    <n v="0"/>
    <n v="1"/>
    <x v="4"/>
    <n v="1"/>
    <x v="1"/>
    <n v="1"/>
    <x v="1"/>
    <n v="1"/>
    <s v="Bachelor"/>
    <s v="Low"/>
    <s v="High"/>
    <s v="Better"/>
  </r>
  <r>
    <n v="24"/>
    <s v="No"/>
    <s v="Non-Travel"/>
    <s v="Research &amp; Development"/>
    <n v="9"/>
    <n v="3"/>
    <s v="Life Sciences"/>
    <n v="812"/>
    <n v="3"/>
    <s v="Male"/>
    <n v="2"/>
    <n v="1"/>
    <s v="Laboratory Technician"/>
    <n v="2"/>
    <s v="Divorced"/>
    <n v="2694"/>
    <n v="1"/>
    <x v="1"/>
    <n v="11"/>
    <n v="3"/>
    <n v="3"/>
    <n v="3"/>
    <n v="1"/>
    <n v="4"/>
    <n v="3"/>
    <n v="1"/>
    <n v="0"/>
    <n v="0"/>
    <n v="0"/>
    <n v="0"/>
    <x v="4"/>
    <n v="1"/>
    <x v="1"/>
    <n v="1"/>
    <x v="1"/>
    <n v="1"/>
    <s v="Bachelor"/>
    <s v="Medium"/>
    <s v="High"/>
    <s v="Better"/>
  </r>
  <r>
    <n v="52"/>
    <s v="No"/>
    <s v="Travel_Rarely"/>
    <s v="Research &amp; Development"/>
    <n v="11"/>
    <n v="4"/>
    <s v="Life Sciences"/>
    <n v="813"/>
    <n v="4"/>
    <s v="Female"/>
    <n v="3"/>
    <n v="2"/>
    <s v="Laboratory Technician"/>
    <n v="3"/>
    <s v="Married"/>
    <n v="3149"/>
    <n v="8"/>
    <x v="1"/>
    <n v="20"/>
    <n v="4"/>
    <n v="2"/>
    <n v="1"/>
    <n v="9"/>
    <n v="3"/>
    <n v="3"/>
    <n v="5"/>
    <n v="2"/>
    <n v="1"/>
    <n v="4"/>
    <n v="0"/>
    <x v="1"/>
    <n v="4"/>
    <x v="0"/>
    <n v="2"/>
    <x v="2"/>
    <n v="2"/>
    <s v="Master"/>
    <s v="High"/>
    <s v="Very High"/>
    <s v="Better"/>
  </r>
  <r>
    <n v="50"/>
    <s v="No"/>
    <s v="Travel_Rarely"/>
    <s v="Research &amp; Development"/>
    <n v="2"/>
    <n v="3"/>
    <s v="Medical"/>
    <n v="815"/>
    <n v="3"/>
    <s v="Male"/>
    <n v="3"/>
    <n v="4"/>
    <s v="Research Director"/>
    <n v="3"/>
    <s v="Married"/>
    <n v="17639"/>
    <n v="5"/>
    <x v="1"/>
    <n v="16"/>
    <n v="3"/>
    <n v="4"/>
    <n v="0"/>
    <n v="30"/>
    <n v="3"/>
    <n v="3"/>
    <n v="4"/>
    <n v="3"/>
    <n v="0"/>
    <n v="3"/>
    <n v="0"/>
    <x v="1"/>
    <n v="4"/>
    <x v="3"/>
    <n v="4"/>
    <x v="2"/>
    <n v="2"/>
    <s v="Bachelor"/>
    <s v="High"/>
    <s v="High"/>
    <s v="Better"/>
  </r>
  <r>
    <n v="29"/>
    <s v="Yes"/>
    <s v="Travel_Rarely"/>
    <s v="Research &amp; Development"/>
    <n v="1"/>
    <n v="2"/>
    <s v="Life Sciences"/>
    <n v="816"/>
    <n v="2"/>
    <s v="Female"/>
    <n v="2"/>
    <n v="1"/>
    <s v="Laboratory Technician"/>
    <n v="1"/>
    <s v="Married"/>
    <n v="2319"/>
    <n v="1"/>
    <x v="0"/>
    <n v="11"/>
    <n v="3"/>
    <n v="4"/>
    <n v="1"/>
    <n v="1"/>
    <n v="1"/>
    <n v="3"/>
    <n v="1"/>
    <n v="0"/>
    <n v="0"/>
    <n v="0"/>
    <n v="1"/>
    <x v="2"/>
    <n v="2"/>
    <x v="1"/>
    <n v="1"/>
    <x v="1"/>
    <n v="1"/>
    <s v="College"/>
    <s v="Low"/>
    <s v="Medium"/>
    <s v="Better"/>
  </r>
  <r>
    <n v="33"/>
    <s v="No"/>
    <s v="Travel_Rarely"/>
    <s v="Research &amp; Development"/>
    <n v="7"/>
    <n v="3"/>
    <s v="Medical"/>
    <n v="817"/>
    <n v="3"/>
    <s v="Male"/>
    <n v="3"/>
    <n v="3"/>
    <s v="Research Director"/>
    <n v="3"/>
    <s v="Married"/>
    <n v="11691"/>
    <n v="0"/>
    <x v="1"/>
    <n v="11"/>
    <n v="3"/>
    <n v="4"/>
    <n v="0"/>
    <n v="14"/>
    <n v="3"/>
    <n v="4"/>
    <n v="13"/>
    <n v="9"/>
    <n v="3"/>
    <n v="7"/>
    <n v="0"/>
    <x v="2"/>
    <n v="2"/>
    <x v="3"/>
    <n v="4"/>
    <x v="3"/>
    <n v="4"/>
    <s v="Bachelor"/>
    <s v="High"/>
    <s v="High"/>
    <s v="Best"/>
  </r>
  <r>
    <n v="33"/>
    <s v="Yes"/>
    <s v="Travel_Rarely"/>
    <s v="Sales"/>
    <n v="16"/>
    <n v="3"/>
    <s v="Marketing"/>
    <n v="819"/>
    <n v="1"/>
    <s v="Female"/>
    <n v="3"/>
    <n v="2"/>
    <s v="Sales Executive"/>
    <n v="1"/>
    <s v="Single"/>
    <n v="5324"/>
    <n v="5"/>
    <x v="1"/>
    <n v="15"/>
    <n v="3"/>
    <n v="3"/>
    <n v="0"/>
    <n v="6"/>
    <n v="3"/>
    <n v="3"/>
    <n v="3"/>
    <n v="2"/>
    <n v="0"/>
    <n v="2"/>
    <n v="1"/>
    <x v="2"/>
    <n v="2"/>
    <x v="0"/>
    <n v="2"/>
    <x v="2"/>
    <n v="2"/>
    <s v="Bachelor"/>
    <s v="Low"/>
    <s v="Low"/>
    <s v="Better"/>
  </r>
  <r>
    <n v="47"/>
    <s v="No"/>
    <s v="Travel_Rarely"/>
    <s v="Research &amp; Development"/>
    <n v="2"/>
    <n v="2"/>
    <s v="Other"/>
    <n v="820"/>
    <n v="3"/>
    <s v="Female"/>
    <n v="3"/>
    <n v="4"/>
    <s v="Manager"/>
    <n v="4"/>
    <s v="Married"/>
    <n v="16752"/>
    <n v="1"/>
    <x v="0"/>
    <n v="11"/>
    <n v="3"/>
    <n v="3"/>
    <n v="1"/>
    <n v="26"/>
    <n v="3"/>
    <n v="2"/>
    <n v="26"/>
    <n v="14"/>
    <n v="3"/>
    <n v="0"/>
    <n v="0"/>
    <x v="1"/>
    <n v="4"/>
    <x v="3"/>
    <n v="4"/>
    <x v="3"/>
    <n v="4"/>
    <s v="College"/>
    <s v="Very High"/>
    <s v="High"/>
    <s v="Good"/>
  </r>
  <r>
    <n v="36"/>
    <s v="No"/>
    <s v="Travel_Rarely"/>
    <s v="Research &amp; Development"/>
    <n v="1"/>
    <n v="3"/>
    <s v="Other"/>
    <n v="823"/>
    <n v="3"/>
    <s v="Female"/>
    <n v="3"/>
    <n v="2"/>
    <s v="Manufacturing Director"/>
    <n v="2"/>
    <s v="Married"/>
    <n v="5228"/>
    <n v="0"/>
    <x v="1"/>
    <n v="15"/>
    <n v="3"/>
    <n v="1"/>
    <n v="1"/>
    <n v="10"/>
    <n v="2"/>
    <n v="3"/>
    <n v="9"/>
    <n v="7"/>
    <n v="0"/>
    <n v="5"/>
    <n v="0"/>
    <x v="0"/>
    <n v="3"/>
    <x v="0"/>
    <n v="2"/>
    <x v="0"/>
    <n v="3"/>
    <s v="Bachelor"/>
    <s v="Medium"/>
    <s v="High"/>
    <s v="Better"/>
  </r>
  <r>
    <n v="29"/>
    <s v="No"/>
    <s v="Travel_Rarely"/>
    <s v="Research &amp; Development"/>
    <n v="23"/>
    <n v="2"/>
    <s v="Life Sciences"/>
    <n v="824"/>
    <n v="3"/>
    <s v="Male"/>
    <n v="4"/>
    <n v="1"/>
    <s v="Research Scientist"/>
    <n v="3"/>
    <s v="Married"/>
    <n v="2700"/>
    <n v="1"/>
    <x v="1"/>
    <n v="24"/>
    <n v="4"/>
    <n v="3"/>
    <n v="1"/>
    <n v="10"/>
    <n v="3"/>
    <n v="3"/>
    <n v="10"/>
    <n v="7"/>
    <n v="0"/>
    <n v="7"/>
    <n v="0"/>
    <x v="2"/>
    <n v="2"/>
    <x v="1"/>
    <n v="1"/>
    <x v="0"/>
    <n v="3"/>
    <s v="College"/>
    <s v="High"/>
    <s v="High"/>
    <s v="Better"/>
  </r>
  <r>
    <n v="58"/>
    <s v="Yes"/>
    <s v="Travel_Rarely"/>
    <s v="Research &amp; Development"/>
    <n v="2"/>
    <n v="4"/>
    <s v="Life Sciences"/>
    <n v="825"/>
    <n v="4"/>
    <s v="Male"/>
    <n v="3"/>
    <n v="5"/>
    <s v="Research Director"/>
    <n v="2"/>
    <s v="Single"/>
    <n v="19246"/>
    <n v="7"/>
    <x v="0"/>
    <n v="12"/>
    <n v="3"/>
    <n v="4"/>
    <n v="0"/>
    <n v="40"/>
    <n v="2"/>
    <n v="3"/>
    <n v="31"/>
    <n v="15"/>
    <n v="13"/>
    <n v="8"/>
    <n v="1"/>
    <x v="3"/>
    <n v="5"/>
    <x v="3"/>
    <n v="4"/>
    <x v="3"/>
    <n v="4"/>
    <s v="Master"/>
    <s v="Medium"/>
    <s v="Very High"/>
    <s v="Better"/>
  </r>
  <r>
    <n v="35"/>
    <s v="No"/>
    <s v="Travel_Rarely"/>
    <s v="Research &amp; Development"/>
    <n v="1"/>
    <n v="4"/>
    <s v="Life Sciences"/>
    <n v="826"/>
    <n v="4"/>
    <s v="Female"/>
    <n v="4"/>
    <n v="1"/>
    <s v="Research Scientist"/>
    <n v="3"/>
    <s v="Single"/>
    <n v="2506"/>
    <n v="3"/>
    <x v="1"/>
    <n v="13"/>
    <n v="3"/>
    <n v="3"/>
    <n v="0"/>
    <n v="7"/>
    <n v="0"/>
    <n v="3"/>
    <n v="2"/>
    <n v="2"/>
    <n v="2"/>
    <n v="2"/>
    <n v="0"/>
    <x v="2"/>
    <n v="2"/>
    <x v="1"/>
    <n v="1"/>
    <x v="1"/>
    <n v="1"/>
    <s v="Master"/>
    <s v="High"/>
    <s v="Very High"/>
    <s v="Better"/>
  </r>
  <r>
    <n v="42"/>
    <s v="No"/>
    <s v="Travel_Rarely"/>
    <s v="Research &amp; Development"/>
    <n v="1"/>
    <n v="2"/>
    <s v="Life Sciences"/>
    <n v="827"/>
    <n v="4"/>
    <s v="Female"/>
    <n v="2"/>
    <n v="2"/>
    <s v="Manufacturing Director"/>
    <n v="4"/>
    <s v="Married"/>
    <n v="6062"/>
    <n v="9"/>
    <x v="0"/>
    <n v="13"/>
    <n v="3"/>
    <n v="4"/>
    <n v="1"/>
    <n v="8"/>
    <n v="4"/>
    <n v="3"/>
    <n v="4"/>
    <n v="3"/>
    <n v="0"/>
    <n v="2"/>
    <n v="0"/>
    <x v="0"/>
    <n v="3"/>
    <x v="2"/>
    <n v="3"/>
    <x v="2"/>
    <n v="2"/>
    <s v="College"/>
    <s v="Very High"/>
    <s v="Very High"/>
    <s v="Better"/>
  </r>
  <r>
    <n v="28"/>
    <s v="Yes"/>
    <s v="Travel_Rarely"/>
    <s v="Research &amp; Development"/>
    <n v="2"/>
    <n v="4"/>
    <s v="Medical"/>
    <n v="828"/>
    <n v="3"/>
    <s v="Male"/>
    <n v="3"/>
    <n v="1"/>
    <s v="Research Scientist"/>
    <n v="3"/>
    <s v="Single"/>
    <n v="4382"/>
    <n v="6"/>
    <x v="1"/>
    <n v="17"/>
    <n v="3"/>
    <n v="4"/>
    <n v="0"/>
    <n v="5"/>
    <n v="3"/>
    <n v="2"/>
    <n v="2"/>
    <n v="2"/>
    <n v="2"/>
    <n v="1"/>
    <n v="1"/>
    <x v="2"/>
    <n v="2"/>
    <x v="0"/>
    <n v="2"/>
    <x v="1"/>
    <n v="1"/>
    <s v="Master"/>
    <s v="High"/>
    <s v="High"/>
    <s v="Good"/>
  </r>
  <r>
    <n v="36"/>
    <s v="No"/>
    <s v="Travel_Rarely"/>
    <s v="Human Resources"/>
    <n v="13"/>
    <n v="3"/>
    <s v="Human Resources"/>
    <n v="829"/>
    <n v="3"/>
    <s v="Male"/>
    <n v="3"/>
    <n v="1"/>
    <s v="Human Resources"/>
    <n v="2"/>
    <s v="Married"/>
    <n v="2143"/>
    <n v="4"/>
    <x v="1"/>
    <n v="13"/>
    <n v="3"/>
    <n v="2"/>
    <n v="1"/>
    <n v="8"/>
    <n v="2"/>
    <n v="3"/>
    <n v="5"/>
    <n v="2"/>
    <n v="0"/>
    <n v="4"/>
    <n v="0"/>
    <x v="0"/>
    <n v="3"/>
    <x v="1"/>
    <n v="1"/>
    <x v="2"/>
    <n v="2"/>
    <s v="Bachelor"/>
    <s v="Medium"/>
    <s v="High"/>
    <s v="Better"/>
  </r>
  <r>
    <n v="32"/>
    <s v="No"/>
    <s v="Travel_Rarely"/>
    <s v="Research &amp; Development"/>
    <n v="4"/>
    <n v="3"/>
    <s v="Life Sciences"/>
    <n v="830"/>
    <n v="3"/>
    <s v="Female"/>
    <n v="2"/>
    <n v="2"/>
    <s v="Manufacturing Director"/>
    <n v="3"/>
    <s v="Married"/>
    <n v="6162"/>
    <n v="1"/>
    <x v="1"/>
    <n v="12"/>
    <n v="3"/>
    <n v="3"/>
    <n v="1"/>
    <n v="14"/>
    <n v="3"/>
    <n v="3"/>
    <n v="14"/>
    <n v="13"/>
    <n v="6"/>
    <n v="8"/>
    <n v="0"/>
    <x v="2"/>
    <n v="2"/>
    <x v="2"/>
    <n v="3"/>
    <x v="3"/>
    <n v="4"/>
    <s v="Bachelor"/>
    <s v="High"/>
    <s v="High"/>
    <s v="Better"/>
  </r>
  <r>
    <n v="40"/>
    <s v="No"/>
    <s v="Travel_Frequently"/>
    <s v="Research &amp; Development"/>
    <n v="16"/>
    <n v="4"/>
    <s v="Medical"/>
    <n v="832"/>
    <n v="1"/>
    <s v="Male"/>
    <n v="2"/>
    <n v="2"/>
    <s v="Laboratory Technician"/>
    <n v="3"/>
    <s v="Single"/>
    <n v="5094"/>
    <n v="6"/>
    <x v="1"/>
    <n v="14"/>
    <n v="3"/>
    <n v="4"/>
    <n v="0"/>
    <n v="10"/>
    <n v="6"/>
    <n v="3"/>
    <n v="1"/>
    <n v="0"/>
    <n v="0"/>
    <n v="0"/>
    <n v="0"/>
    <x v="0"/>
    <n v="3"/>
    <x v="0"/>
    <n v="2"/>
    <x v="1"/>
    <n v="1"/>
    <s v="Master"/>
    <s v="High"/>
    <s v="Low"/>
    <s v="Better"/>
  </r>
  <r>
    <n v="30"/>
    <s v="No"/>
    <s v="Travel_Rarely"/>
    <s v="Research &amp; Development"/>
    <n v="2"/>
    <n v="3"/>
    <s v="Medical"/>
    <n v="833"/>
    <n v="3"/>
    <s v="Female"/>
    <n v="2"/>
    <n v="2"/>
    <s v="Manufacturing Director"/>
    <n v="4"/>
    <s v="Single"/>
    <n v="6877"/>
    <n v="5"/>
    <x v="0"/>
    <n v="24"/>
    <n v="4"/>
    <n v="2"/>
    <n v="0"/>
    <n v="12"/>
    <n v="4"/>
    <n v="2"/>
    <n v="0"/>
    <n v="0"/>
    <n v="0"/>
    <n v="0"/>
    <n v="0"/>
    <x v="2"/>
    <n v="2"/>
    <x v="2"/>
    <n v="3"/>
    <x v="1"/>
    <n v="1"/>
    <s v="Bachelor"/>
    <s v="Very High"/>
    <s v="High"/>
    <s v="Good"/>
  </r>
  <r>
    <n v="45"/>
    <s v="No"/>
    <s v="Travel_Rarely"/>
    <s v="Research &amp; Development"/>
    <n v="2"/>
    <n v="3"/>
    <s v="Life Sciences"/>
    <n v="834"/>
    <n v="2"/>
    <s v="Female"/>
    <n v="2"/>
    <n v="1"/>
    <s v="Research Scientist"/>
    <n v="3"/>
    <s v="Single"/>
    <n v="2274"/>
    <n v="1"/>
    <x v="1"/>
    <n v="14"/>
    <n v="3"/>
    <n v="4"/>
    <n v="0"/>
    <n v="1"/>
    <n v="3"/>
    <n v="3"/>
    <n v="1"/>
    <n v="0"/>
    <n v="0"/>
    <n v="0"/>
    <n v="0"/>
    <x v="0"/>
    <n v="3"/>
    <x v="1"/>
    <n v="1"/>
    <x v="1"/>
    <n v="1"/>
    <s v="Bachelor"/>
    <s v="High"/>
    <s v="Medium"/>
    <s v="Better"/>
  </r>
  <r>
    <n v="42"/>
    <s v="No"/>
    <s v="Travel_Rarely"/>
    <s v="Research &amp; Development"/>
    <n v="29"/>
    <n v="3"/>
    <s v="Life Sciences"/>
    <n v="836"/>
    <n v="2"/>
    <s v="Male"/>
    <n v="3"/>
    <n v="2"/>
    <s v="Manufacturing Director"/>
    <n v="2"/>
    <s v="Married"/>
    <n v="4434"/>
    <n v="1"/>
    <x v="1"/>
    <n v="13"/>
    <n v="3"/>
    <n v="4"/>
    <n v="1"/>
    <n v="10"/>
    <n v="3"/>
    <n v="2"/>
    <n v="9"/>
    <n v="8"/>
    <n v="7"/>
    <n v="8"/>
    <n v="0"/>
    <x v="0"/>
    <n v="3"/>
    <x v="0"/>
    <n v="2"/>
    <x v="0"/>
    <n v="3"/>
    <s v="Bachelor"/>
    <s v="Medium"/>
    <s v="Medium"/>
    <s v="Good"/>
  </r>
  <r>
    <n v="38"/>
    <s v="No"/>
    <s v="Travel_Frequently"/>
    <s v="Research &amp; Development"/>
    <n v="12"/>
    <n v="3"/>
    <s v="Life Sciences"/>
    <n v="837"/>
    <n v="1"/>
    <s v="Male"/>
    <n v="2"/>
    <n v="2"/>
    <s v="Healthcare Representative"/>
    <n v="1"/>
    <s v="Divorced"/>
    <n v="6288"/>
    <n v="2"/>
    <x v="1"/>
    <n v="15"/>
    <n v="3"/>
    <n v="3"/>
    <n v="1"/>
    <n v="13"/>
    <n v="3"/>
    <n v="2"/>
    <n v="4"/>
    <n v="3"/>
    <n v="1"/>
    <n v="2"/>
    <n v="0"/>
    <x v="0"/>
    <n v="3"/>
    <x v="2"/>
    <n v="3"/>
    <x v="2"/>
    <n v="2"/>
    <s v="Bachelor"/>
    <s v="Low"/>
    <s v="Low"/>
    <s v="Good"/>
  </r>
  <r>
    <n v="34"/>
    <s v="No"/>
    <s v="Travel_Frequently"/>
    <s v="Research &amp; Development"/>
    <n v="16"/>
    <n v="4"/>
    <s v="Life Sciences"/>
    <n v="838"/>
    <n v="3"/>
    <s v="Female"/>
    <n v="2"/>
    <n v="1"/>
    <s v="Research Scientist"/>
    <n v="4"/>
    <s v="Single"/>
    <n v="2553"/>
    <n v="1"/>
    <x v="1"/>
    <n v="16"/>
    <n v="3"/>
    <n v="3"/>
    <n v="0"/>
    <n v="6"/>
    <n v="3"/>
    <n v="3"/>
    <n v="5"/>
    <n v="2"/>
    <n v="1"/>
    <n v="3"/>
    <n v="0"/>
    <x v="2"/>
    <n v="2"/>
    <x v="1"/>
    <n v="1"/>
    <x v="2"/>
    <n v="2"/>
    <s v="Master"/>
    <s v="Very High"/>
    <s v="High"/>
    <s v="Better"/>
  </r>
  <r>
    <n v="49"/>
    <s v="Yes"/>
    <s v="Travel_Rarely"/>
    <s v="Sales"/>
    <n v="11"/>
    <n v="3"/>
    <s v="Marketing"/>
    <n v="840"/>
    <n v="3"/>
    <s v="Female"/>
    <n v="3"/>
    <n v="3"/>
    <s v="Sales Executive"/>
    <n v="4"/>
    <s v="Married"/>
    <n v="7654"/>
    <n v="1"/>
    <x v="1"/>
    <n v="18"/>
    <n v="3"/>
    <n v="1"/>
    <n v="2"/>
    <n v="9"/>
    <n v="3"/>
    <n v="4"/>
    <n v="9"/>
    <n v="8"/>
    <n v="7"/>
    <n v="7"/>
    <n v="1"/>
    <x v="1"/>
    <n v="4"/>
    <x v="2"/>
    <n v="3"/>
    <x v="0"/>
    <n v="3"/>
    <s v="Bachelor"/>
    <s v="Very High"/>
    <s v="High"/>
    <s v="Best"/>
  </r>
  <r>
    <n v="55"/>
    <s v="Yes"/>
    <s v="Travel_Rarely"/>
    <s v="Sales"/>
    <n v="2"/>
    <n v="1"/>
    <s v="Medical"/>
    <n v="842"/>
    <n v="3"/>
    <s v="Male"/>
    <n v="3"/>
    <n v="2"/>
    <s v="Sales Executive"/>
    <n v="4"/>
    <s v="Single"/>
    <n v="5160"/>
    <n v="4"/>
    <x v="1"/>
    <n v="16"/>
    <n v="3"/>
    <n v="3"/>
    <n v="0"/>
    <n v="12"/>
    <n v="3"/>
    <n v="2"/>
    <n v="9"/>
    <n v="7"/>
    <n v="7"/>
    <n v="3"/>
    <n v="1"/>
    <x v="1"/>
    <n v="4"/>
    <x v="0"/>
    <n v="2"/>
    <x v="0"/>
    <n v="3"/>
    <s v="Below College"/>
    <s v="Very High"/>
    <s v="High"/>
    <s v="Good"/>
  </r>
  <r>
    <n v="43"/>
    <s v="No"/>
    <s v="Travel_Rarely"/>
    <s v="Research &amp; Development"/>
    <n v="14"/>
    <n v="2"/>
    <s v="Life Sciences"/>
    <n v="843"/>
    <n v="2"/>
    <s v="Male"/>
    <n v="3"/>
    <n v="4"/>
    <s v="Research Director"/>
    <n v="1"/>
    <s v="Married"/>
    <n v="17159"/>
    <n v="6"/>
    <x v="1"/>
    <n v="24"/>
    <n v="4"/>
    <n v="3"/>
    <n v="1"/>
    <n v="22"/>
    <n v="3"/>
    <n v="3"/>
    <n v="4"/>
    <n v="1"/>
    <n v="1"/>
    <n v="0"/>
    <n v="0"/>
    <x v="0"/>
    <n v="3"/>
    <x v="3"/>
    <n v="4"/>
    <x v="2"/>
    <n v="2"/>
    <s v="College"/>
    <s v="Low"/>
    <s v="Medium"/>
    <s v="Better"/>
  </r>
  <r>
    <n v="27"/>
    <s v="No"/>
    <s v="Travel_Rarely"/>
    <s v="Research &amp; Development"/>
    <n v="5"/>
    <n v="1"/>
    <s v="Technical Degree"/>
    <n v="844"/>
    <n v="3"/>
    <s v="Male"/>
    <n v="2"/>
    <n v="3"/>
    <s v="Research Director"/>
    <n v="4"/>
    <s v="Divorced"/>
    <n v="12808"/>
    <n v="1"/>
    <x v="0"/>
    <n v="16"/>
    <n v="3"/>
    <n v="2"/>
    <n v="1"/>
    <n v="9"/>
    <n v="3"/>
    <n v="3"/>
    <n v="9"/>
    <n v="8"/>
    <n v="0"/>
    <n v="8"/>
    <n v="0"/>
    <x v="2"/>
    <n v="2"/>
    <x v="3"/>
    <n v="4"/>
    <x v="0"/>
    <n v="3"/>
    <s v="Below College"/>
    <s v="Very High"/>
    <s v="High"/>
    <s v="Better"/>
  </r>
  <r>
    <n v="35"/>
    <s v="No"/>
    <s v="Travel_Rarely"/>
    <s v="Research &amp; Development"/>
    <n v="7"/>
    <n v="3"/>
    <s v="Other"/>
    <n v="845"/>
    <n v="3"/>
    <s v="Male"/>
    <n v="3"/>
    <n v="3"/>
    <s v="Manufacturing Director"/>
    <n v="3"/>
    <s v="Single"/>
    <n v="10221"/>
    <n v="3"/>
    <x v="1"/>
    <n v="21"/>
    <n v="4"/>
    <n v="2"/>
    <n v="0"/>
    <n v="17"/>
    <n v="3"/>
    <n v="4"/>
    <n v="8"/>
    <n v="5"/>
    <n v="1"/>
    <n v="6"/>
    <n v="0"/>
    <x v="2"/>
    <n v="2"/>
    <x v="3"/>
    <n v="4"/>
    <x v="0"/>
    <n v="3"/>
    <s v="Bachelor"/>
    <s v="High"/>
    <s v="High"/>
    <s v="Best"/>
  </r>
  <r>
    <n v="28"/>
    <s v="No"/>
    <s v="Travel_Rarely"/>
    <s v="Sales"/>
    <n v="2"/>
    <n v="4"/>
    <s v="Marketing"/>
    <n v="846"/>
    <n v="2"/>
    <s v="Female"/>
    <n v="3"/>
    <n v="2"/>
    <s v="Sales Executive"/>
    <n v="2"/>
    <s v="Married"/>
    <n v="4779"/>
    <n v="1"/>
    <x v="0"/>
    <n v="20"/>
    <n v="4"/>
    <n v="1"/>
    <n v="0"/>
    <n v="8"/>
    <n v="2"/>
    <n v="3"/>
    <n v="8"/>
    <n v="7"/>
    <n v="7"/>
    <n v="5"/>
    <n v="0"/>
    <x v="2"/>
    <n v="2"/>
    <x v="0"/>
    <n v="2"/>
    <x v="0"/>
    <n v="3"/>
    <s v="Master"/>
    <s v="Medium"/>
    <s v="Medium"/>
    <s v="Better"/>
  </r>
  <r>
    <n v="34"/>
    <s v="No"/>
    <s v="Travel_Rarely"/>
    <s v="Human Resources"/>
    <n v="3"/>
    <n v="2"/>
    <s v="Human Resources"/>
    <n v="847"/>
    <n v="3"/>
    <s v="Male"/>
    <n v="3"/>
    <n v="1"/>
    <s v="Human Resources"/>
    <n v="4"/>
    <s v="Married"/>
    <n v="3737"/>
    <n v="0"/>
    <x v="1"/>
    <n v="19"/>
    <n v="3"/>
    <n v="3"/>
    <n v="1"/>
    <n v="4"/>
    <n v="1"/>
    <n v="1"/>
    <n v="3"/>
    <n v="2"/>
    <n v="0"/>
    <n v="2"/>
    <n v="0"/>
    <x v="2"/>
    <n v="2"/>
    <x v="0"/>
    <n v="2"/>
    <x v="2"/>
    <n v="2"/>
    <s v="College"/>
    <s v="Very High"/>
    <s v="High"/>
    <s v="Bad"/>
  </r>
  <r>
    <n v="26"/>
    <s v="Yes"/>
    <s v="Travel_Frequently"/>
    <s v="Research &amp; Development"/>
    <n v="5"/>
    <n v="2"/>
    <s v="Medical"/>
    <n v="848"/>
    <n v="3"/>
    <s v="Female"/>
    <n v="2"/>
    <n v="1"/>
    <s v="Research Scientist"/>
    <n v="3"/>
    <s v="Married"/>
    <n v="2366"/>
    <n v="1"/>
    <x v="0"/>
    <n v="14"/>
    <n v="3"/>
    <n v="1"/>
    <n v="1"/>
    <n v="8"/>
    <n v="2"/>
    <n v="3"/>
    <n v="8"/>
    <n v="7"/>
    <n v="1"/>
    <n v="7"/>
    <n v="1"/>
    <x v="2"/>
    <n v="2"/>
    <x v="1"/>
    <n v="1"/>
    <x v="0"/>
    <n v="3"/>
    <s v="College"/>
    <s v="High"/>
    <s v="High"/>
    <s v="Better"/>
  </r>
  <r>
    <n v="27"/>
    <s v="No"/>
    <s v="Non-Travel"/>
    <s v="Research &amp; Development"/>
    <n v="3"/>
    <n v="3"/>
    <s v="Medical"/>
    <n v="850"/>
    <n v="4"/>
    <s v="Male"/>
    <n v="3"/>
    <n v="1"/>
    <s v="Research Scientist"/>
    <n v="4"/>
    <s v="Married"/>
    <n v="1706"/>
    <n v="1"/>
    <x v="1"/>
    <n v="11"/>
    <n v="3"/>
    <n v="3"/>
    <n v="3"/>
    <n v="0"/>
    <n v="6"/>
    <n v="2"/>
    <n v="0"/>
    <n v="0"/>
    <n v="0"/>
    <n v="0"/>
    <n v="0"/>
    <x v="2"/>
    <n v="2"/>
    <x v="1"/>
    <n v="1"/>
    <x v="1"/>
    <n v="1"/>
    <s v="Bachelor"/>
    <s v="Very High"/>
    <s v="Very High"/>
    <s v="Good"/>
  </r>
  <r>
    <n v="51"/>
    <s v="No"/>
    <s v="Travel_Rarely"/>
    <s v="Sales"/>
    <n v="26"/>
    <n v="4"/>
    <s v="Marketing"/>
    <n v="851"/>
    <n v="1"/>
    <s v="Female"/>
    <n v="3"/>
    <n v="4"/>
    <s v="Manager"/>
    <n v="3"/>
    <s v="Married"/>
    <n v="16307"/>
    <n v="2"/>
    <x v="1"/>
    <n v="14"/>
    <n v="3"/>
    <n v="3"/>
    <n v="1"/>
    <n v="29"/>
    <n v="2"/>
    <n v="2"/>
    <n v="20"/>
    <n v="6"/>
    <n v="4"/>
    <n v="17"/>
    <n v="0"/>
    <x v="1"/>
    <n v="4"/>
    <x v="3"/>
    <n v="4"/>
    <x v="3"/>
    <n v="4"/>
    <s v="Master"/>
    <s v="High"/>
    <s v="Low"/>
    <s v="Good"/>
  </r>
  <r>
    <n v="44"/>
    <s v="No"/>
    <s v="Travel_Rarely"/>
    <s v="Research &amp; Development"/>
    <n v="4"/>
    <n v="3"/>
    <s v="Medical"/>
    <n v="852"/>
    <n v="4"/>
    <s v="Male"/>
    <n v="3"/>
    <n v="2"/>
    <s v="Healthcare Representative"/>
    <n v="2"/>
    <s v="Single"/>
    <n v="5933"/>
    <n v="9"/>
    <x v="1"/>
    <n v="12"/>
    <n v="3"/>
    <n v="4"/>
    <n v="0"/>
    <n v="10"/>
    <n v="2"/>
    <n v="2"/>
    <n v="5"/>
    <n v="2"/>
    <n v="2"/>
    <n v="3"/>
    <n v="0"/>
    <x v="0"/>
    <n v="3"/>
    <x v="0"/>
    <n v="2"/>
    <x v="2"/>
    <n v="2"/>
    <s v="Bachelor"/>
    <s v="Medium"/>
    <s v="Very High"/>
    <s v="Good"/>
  </r>
  <r>
    <n v="25"/>
    <s v="No"/>
    <s v="Travel_Rarely"/>
    <s v="Research &amp; Development"/>
    <n v="2"/>
    <n v="1"/>
    <s v="Medical"/>
    <n v="854"/>
    <n v="1"/>
    <s v="Male"/>
    <n v="4"/>
    <n v="1"/>
    <s v="Research Scientist"/>
    <n v="1"/>
    <s v="Single"/>
    <n v="3424"/>
    <n v="7"/>
    <x v="1"/>
    <n v="13"/>
    <n v="3"/>
    <n v="3"/>
    <n v="0"/>
    <n v="6"/>
    <n v="3"/>
    <n v="2"/>
    <n v="4"/>
    <n v="3"/>
    <n v="0"/>
    <n v="1"/>
    <n v="0"/>
    <x v="4"/>
    <n v="1"/>
    <x v="0"/>
    <n v="2"/>
    <x v="2"/>
    <n v="2"/>
    <s v="Below College"/>
    <s v="Low"/>
    <s v="Low"/>
    <s v="Good"/>
  </r>
  <r>
    <n v="33"/>
    <s v="No"/>
    <s v="Travel_Rarely"/>
    <s v="Sales"/>
    <n v="1"/>
    <n v="3"/>
    <s v="Medical"/>
    <n v="855"/>
    <n v="1"/>
    <s v="Male"/>
    <n v="4"/>
    <n v="2"/>
    <s v="Sales Executive"/>
    <n v="1"/>
    <s v="Divorced"/>
    <n v="4037"/>
    <n v="1"/>
    <x v="1"/>
    <n v="22"/>
    <n v="4"/>
    <n v="1"/>
    <n v="1"/>
    <n v="9"/>
    <n v="5"/>
    <n v="3"/>
    <n v="9"/>
    <n v="8"/>
    <n v="0"/>
    <n v="8"/>
    <n v="0"/>
    <x v="2"/>
    <n v="2"/>
    <x v="0"/>
    <n v="2"/>
    <x v="0"/>
    <n v="3"/>
    <s v="Bachelor"/>
    <s v="Low"/>
    <s v="Low"/>
    <s v="Better"/>
  </r>
  <r>
    <n v="35"/>
    <s v="No"/>
    <s v="Travel_Rarely"/>
    <s v="Research &amp; Development"/>
    <n v="27"/>
    <n v="1"/>
    <s v="Medical"/>
    <n v="856"/>
    <n v="3"/>
    <s v="Female"/>
    <n v="2"/>
    <n v="1"/>
    <s v="Research Scientist"/>
    <n v="1"/>
    <s v="Single"/>
    <n v="2559"/>
    <n v="1"/>
    <x v="1"/>
    <n v="11"/>
    <n v="3"/>
    <n v="4"/>
    <n v="0"/>
    <n v="6"/>
    <n v="3"/>
    <n v="2"/>
    <n v="6"/>
    <n v="5"/>
    <n v="1"/>
    <n v="1"/>
    <n v="0"/>
    <x v="2"/>
    <n v="2"/>
    <x v="1"/>
    <n v="1"/>
    <x v="0"/>
    <n v="3"/>
    <s v="Below College"/>
    <s v="Low"/>
    <s v="High"/>
    <s v="Good"/>
  </r>
  <r>
    <n v="36"/>
    <s v="No"/>
    <s v="Travel_Rarely"/>
    <s v="Sales"/>
    <n v="1"/>
    <n v="2"/>
    <s v="Life Sciences"/>
    <n v="857"/>
    <n v="2"/>
    <s v="Male"/>
    <n v="3"/>
    <n v="2"/>
    <s v="Sales Executive"/>
    <n v="4"/>
    <s v="Married"/>
    <n v="6201"/>
    <n v="1"/>
    <x v="0"/>
    <n v="14"/>
    <n v="3"/>
    <n v="4"/>
    <n v="1"/>
    <n v="18"/>
    <n v="1"/>
    <n v="2"/>
    <n v="18"/>
    <n v="14"/>
    <n v="4"/>
    <n v="11"/>
    <n v="0"/>
    <x v="0"/>
    <n v="3"/>
    <x v="2"/>
    <n v="3"/>
    <x v="3"/>
    <n v="4"/>
    <s v="College"/>
    <s v="Very High"/>
    <s v="Medium"/>
    <s v="Good"/>
  </r>
  <r>
    <n v="32"/>
    <s v="No"/>
    <s v="Travel_Rarely"/>
    <s v="Sales"/>
    <n v="13"/>
    <n v="4"/>
    <s v="Life Sciences"/>
    <n v="859"/>
    <n v="2"/>
    <s v="Male"/>
    <n v="3"/>
    <n v="2"/>
    <s v="Sales Executive"/>
    <n v="4"/>
    <s v="Divorced"/>
    <n v="4403"/>
    <n v="2"/>
    <x v="1"/>
    <n v="11"/>
    <n v="3"/>
    <n v="3"/>
    <n v="1"/>
    <n v="8"/>
    <n v="3"/>
    <n v="2"/>
    <n v="5"/>
    <n v="2"/>
    <n v="0"/>
    <n v="3"/>
    <n v="0"/>
    <x v="2"/>
    <n v="2"/>
    <x v="0"/>
    <n v="2"/>
    <x v="2"/>
    <n v="2"/>
    <s v="Master"/>
    <s v="Very High"/>
    <s v="Medium"/>
    <s v="Good"/>
  </r>
  <r>
    <n v="30"/>
    <s v="No"/>
    <s v="Travel_Frequently"/>
    <s v="Research &amp; Development"/>
    <n v="5"/>
    <n v="4"/>
    <s v="Life Sciences"/>
    <n v="861"/>
    <n v="2"/>
    <s v="Male"/>
    <n v="2"/>
    <n v="1"/>
    <s v="Research Scientist"/>
    <n v="4"/>
    <s v="Divorced"/>
    <n v="3761"/>
    <n v="9"/>
    <x v="1"/>
    <n v="12"/>
    <n v="3"/>
    <n v="2"/>
    <n v="1"/>
    <n v="10"/>
    <n v="3"/>
    <n v="2"/>
    <n v="5"/>
    <n v="4"/>
    <n v="0"/>
    <n v="3"/>
    <n v="0"/>
    <x v="2"/>
    <n v="2"/>
    <x v="0"/>
    <n v="2"/>
    <x v="2"/>
    <n v="2"/>
    <s v="Master"/>
    <s v="Very High"/>
    <s v="Medium"/>
    <s v="Good"/>
  </r>
  <r>
    <n v="53"/>
    <s v="No"/>
    <s v="Travel_Rarely"/>
    <s v="Sales"/>
    <n v="7"/>
    <n v="2"/>
    <s v="Marketing"/>
    <n v="862"/>
    <n v="1"/>
    <s v="Female"/>
    <n v="2"/>
    <n v="3"/>
    <s v="Sales Executive"/>
    <n v="4"/>
    <s v="Married"/>
    <n v="10934"/>
    <n v="7"/>
    <x v="0"/>
    <n v="18"/>
    <n v="3"/>
    <n v="4"/>
    <n v="1"/>
    <n v="35"/>
    <n v="3"/>
    <n v="3"/>
    <n v="5"/>
    <n v="2"/>
    <n v="0"/>
    <n v="4"/>
    <n v="0"/>
    <x v="1"/>
    <n v="4"/>
    <x v="3"/>
    <n v="4"/>
    <x v="2"/>
    <n v="2"/>
    <s v="College"/>
    <s v="Very High"/>
    <s v="Low"/>
    <s v="Better"/>
  </r>
  <r>
    <n v="45"/>
    <s v="No"/>
    <s v="Travel_Rarely"/>
    <s v="Sales"/>
    <n v="9"/>
    <n v="3"/>
    <s v="Marketing"/>
    <n v="864"/>
    <n v="4"/>
    <s v="Male"/>
    <n v="3"/>
    <n v="3"/>
    <s v="Sales Executive"/>
    <n v="1"/>
    <s v="Divorced"/>
    <n v="10761"/>
    <n v="4"/>
    <x v="0"/>
    <n v="12"/>
    <n v="3"/>
    <n v="3"/>
    <n v="1"/>
    <n v="18"/>
    <n v="2"/>
    <n v="3"/>
    <n v="5"/>
    <n v="4"/>
    <n v="0"/>
    <n v="2"/>
    <n v="0"/>
    <x v="0"/>
    <n v="3"/>
    <x v="3"/>
    <n v="4"/>
    <x v="2"/>
    <n v="2"/>
    <s v="Bachelor"/>
    <s v="Low"/>
    <s v="Very High"/>
    <s v="Better"/>
  </r>
  <r>
    <n v="32"/>
    <s v="No"/>
    <s v="Travel_Rarely"/>
    <s v="Research &amp; Development"/>
    <n v="8"/>
    <n v="2"/>
    <s v="Medical"/>
    <n v="865"/>
    <n v="3"/>
    <s v="Female"/>
    <n v="4"/>
    <n v="2"/>
    <s v="Research Scientist"/>
    <n v="3"/>
    <s v="Married"/>
    <n v="5175"/>
    <n v="5"/>
    <x v="1"/>
    <n v="12"/>
    <n v="3"/>
    <n v="3"/>
    <n v="1"/>
    <n v="9"/>
    <n v="3"/>
    <n v="2"/>
    <n v="5"/>
    <n v="3"/>
    <n v="1"/>
    <n v="3"/>
    <n v="0"/>
    <x v="2"/>
    <n v="2"/>
    <x v="0"/>
    <n v="2"/>
    <x v="2"/>
    <n v="2"/>
    <s v="College"/>
    <s v="High"/>
    <s v="High"/>
    <s v="Good"/>
  </r>
  <r>
    <n v="52"/>
    <s v="No"/>
    <s v="Travel_Frequently"/>
    <s v="Research &amp; Development"/>
    <n v="25"/>
    <n v="4"/>
    <s v="Medical"/>
    <n v="867"/>
    <n v="3"/>
    <s v="Female"/>
    <n v="2"/>
    <n v="4"/>
    <s v="Manufacturing Director"/>
    <n v="4"/>
    <s v="Married"/>
    <n v="13826"/>
    <n v="3"/>
    <x v="1"/>
    <n v="22"/>
    <n v="4"/>
    <n v="3"/>
    <n v="0"/>
    <n v="31"/>
    <n v="3"/>
    <n v="3"/>
    <n v="9"/>
    <n v="8"/>
    <n v="0"/>
    <n v="0"/>
    <n v="0"/>
    <x v="1"/>
    <n v="4"/>
    <x v="3"/>
    <n v="4"/>
    <x v="0"/>
    <n v="3"/>
    <s v="Master"/>
    <s v="Very High"/>
    <s v="High"/>
    <s v="Better"/>
  </r>
  <r>
    <n v="37"/>
    <s v="No"/>
    <s v="Travel_Rarely"/>
    <s v="Sales"/>
    <n v="16"/>
    <n v="4"/>
    <s v="Marketing"/>
    <n v="868"/>
    <n v="4"/>
    <s v="Male"/>
    <n v="2"/>
    <n v="2"/>
    <s v="Sales Executive"/>
    <n v="3"/>
    <s v="Divorced"/>
    <n v="6334"/>
    <n v="4"/>
    <x v="1"/>
    <n v="19"/>
    <n v="3"/>
    <n v="4"/>
    <n v="2"/>
    <n v="9"/>
    <n v="2"/>
    <n v="3"/>
    <n v="1"/>
    <n v="0"/>
    <n v="0"/>
    <n v="0"/>
    <n v="0"/>
    <x v="0"/>
    <n v="3"/>
    <x v="2"/>
    <n v="3"/>
    <x v="1"/>
    <n v="1"/>
    <s v="Master"/>
    <s v="High"/>
    <s v="Very High"/>
    <s v="Better"/>
  </r>
  <r>
    <n v="28"/>
    <s v="No"/>
    <s v="Travel_Rarely"/>
    <s v="Human Resources"/>
    <n v="8"/>
    <n v="2"/>
    <s v="Medical"/>
    <n v="869"/>
    <n v="2"/>
    <s v="Male"/>
    <n v="2"/>
    <n v="1"/>
    <s v="Human Resources"/>
    <n v="4"/>
    <s v="Divorced"/>
    <n v="4936"/>
    <n v="1"/>
    <x v="1"/>
    <n v="13"/>
    <n v="3"/>
    <n v="4"/>
    <n v="1"/>
    <n v="6"/>
    <n v="6"/>
    <n v="3"/>
    <n v="5"/>
    <n v="1"/>
    <n v="0"/>
    <n v="4"/>
    <n v="0"/>
    <x v="2"/>
    <n v="2"/>
    <x v="0"/>
    <n v="2"/>
    <x v="2"/>
    <n v="2"/>
    <s v="College"/>
    <s v="Very High"/>
    <s v="Medium"/>
    <s v="Better"/>
  </r>
  <r>
    <n v="22"/>
    <s v="No"/>
    <s v="Travel_Rarely"/>
    <s v="Research &amp; Development"/>
    <n v="1"/>
    <n v="2"/>
    <s v="Life Sciences"/>
    <n v="872"/>
    <n v="4"/>
    <s v="Male"/>
    <n v="2"/>
    <n v="2"/>
    <s v="Manufacturing Director"/>
    <n v="4"/>
    <s v="Married"/>
    <n v="4775"/>
    <n v="6"/>
    <x v="1"/>
    <n v="22"/>
    <n v="4"/>
    <n v="1"/>
    <n v="2"/>
    <n v="4"/>
    <n v="2"/>
    <n v="1"/>
    <n v="2"/>
    <n v="2"/>
    <n v="2"/>
    <n v="2"/>
    <n v="0"/>
    <x v="4"/>
    <n v="1"/>
    <x v="0"/>
    <n v="2"/>
    <x v="1"/>
    <n v="1"/>
    <s v="College"/>
    <s v="Very High"/>
    <s v="Very High"/>
    <s v="Bad"/>
  </r>
  <r>
    <n v="44"/>
    <s v="No"/>
    <s v="Travel_Rarely"/>
    <s v="Research &amp; Development"/>
    <n v="8"/>
    <n v="4"/>
    <s v="Life Sciences"/>
    <n v="874"/>
    <n v="1"/>
    <s v="Male"/>
    <n v="4"/>
    <n v="1"/>
    <s v="Laboratory Technician"/>
    <n v="4"/>
    <s v="Married"/>
    <n v="2818"/>
    <n v="2"/>
    <x v="0"/>
    <n v="24"/>
    <n v="4"/>
    <n v="3"/>
    <n v="1"/>
    <n v="10"/>
    <n v="2"/>
    <n v="2"/>
    <n v="3"/>
    <n v="2"/>
    <n v="0"/>
    <n v="2"/>
    <n v="0"/>
    <x v="0"/>
    <n v="3"/>
    <x v="1"/>
    <n v="1"/>
    <x v="2"/>
    <n v="2"/>
    <s v="Master"/>
    <s v="Very High"/>
    <s v="Low"/>
    <s v="Good"/>
  </r>
  <r>
    <n v="42"/>
    <s v="No"/>
    <s v="Travel_Frequently"/>
    <s v="Research &amp; Development"/>
    <n v="2"/>
    <n v="1"/>
    <s v="Medical"/>
    <n v="875"/>
    <n v="2"/>
    <s v="Male"/>
    <n v="3"/>
    <n v="1"/>
    <s v="Research Scientist"/>
    <n v="4"/>
    <s v="Single"/>
    <n v="2515"/>
    <n v="5"/>
    <x v="0"/>
    <n v="14"/>
    <n v="3"/>
    <n v="4"/>
    <n v="0"/>
    <n v="8"/>
    <n v="2"/>
    <n v="3"/>
    <n v="2"/>
    <n v="1"/>
    <n v="2"/>
    <n v="2"/>
    <n v="0"/>
    <x v="0"/>
    <n v="3"/>
    <x v="1"/>
    <n v="1"/>
    <x v="1"/>
    <n v="1"/>
    <s v="Below College"/>
    <s v="Very High"/>
    <s v="Medium"/>
    <s v="Better"/>
  </r>
  <r>
    <n v="36"/>
    <s v="No"/>
    <s v="Travel_Rarely"/>
    <s v="Human Resources"/>
    <n v="8"/>
    <n v="3"/>
    <s v="Life Sciences"/>
    <n v="878"/>
    <n v="1"/>
    <s v="Male"/>
    <n v="2"/>
    <n v="1"/>
    <s v="Human Resources"/>
    <n v="1"/>
    <s v="Married"/>
    <n v="2342"/>
    <n v="0"/>
    <x v="1"/>
    <n v="21"/>
    <n v="4"/>
    <n v="3"/>
    <n v="0"/>
    <n v="6"/>
    <n v="3"/>
    <n v="3"/>
    <n v="5"/>
    <n v="4"/>
    <n v="0"/>
    <n v="3"/>
    <n v="0"/>
    <x v="0"/>
    <n v="3"/>
    <x v="1"/>
    <n v="1"/>
    <x v="2"/>
    <n v="2"/>
    <s v="Bachelor"/>
    <s v="Low"/>
    <s v="Low"/>
    <s v="Better"/>
  </r>
  <r>
    <n v="25"/>
    <s v="No"/>
    <s v="Travel_Rarely"/>
    <s v="Sales"/>
    <n v="3"/>
    <n v="1"/>
    <s v="Other"/>
    <n v="879"/>
    <n v="3"/>
    <s v="Male"/>
    <n v="3"/>
    <n v="2"/>
    <s v="Sales Executive"/>
    <n v="1"/>
    <s v="Married"/>
    <n v="4194"/>
    <n v="1"/>
    <x v="0"/>
    <n v="18"/>
    <n v="3"/>
    <n v="4"/>
    <n v="0"/>
    <n v="5"/>
    <n v="3"/>
    <n v="3"/>
    <n v="5"/>
    <n v="3"/>
    <n v="0"/>
    <n v="3"/>
    <n v="0"/>
    <x v="4"/>
    <n v="1"/>
    <x v="0"/>
    <n v="2"/>
    <x v="2"/>
    <n v="2"/>
    <s v="Below College"/>
    <s v="Low"/>
    <s v="High"/>
    <s v="Better"/>
  </r>
  <r>
    <n v="35"/>
    <s v="No"/>
    <s v="Travel_Rarely"/>
    <s v="Research &amp; Development"/>
    <n v="9"/>
    <n v="3"/>
    <s v="Life Sciences"/>
    <n v="880"/>
    <n v="4"/>
    <s v="Female"/>
    <n v="2"/>
    <n v="3"/>
    <s v="Manufacturing Director"/>
    <n v="3"/>
    <s v="Married"/>
    <n v="10685"/>
    <n v="1"/>
    <x v="0"/>
    <n v="20"/>
    <n v="4"/>
    <n v="2"/>
    <n v="1"/>
    <n v="17"/>
    <n v="2"/>
    <n v="3"/>
    <n v="17"/>
    <n v="14"/>
    <n v="5"/>
    <n v="15"/>
    <n v="0"/>
    <x v="2"/>
    <n v="2"/>
    <x v="3"/>
    <n v="4"/>
    <x v="3"/>
    <n v="4"/>
    <s v="Bachelor"/>
    <s v="High"/>
    <s v="Very High"/>
    <s v="Better"/>
  </r>
  <r>
    <n v="35"/>
    <s v="Yes"/>
    <s v="Travel_Frequently"/>
    <s v="Research &amp; Development"/>
    <n v="25"/>
    <n v="4"/>
    <s v="Life Sciences"/>
    <n v="881"/>
    <n v="4"/>
    <s v="Female"/>
    <n v="3"/>
    <n v="1"/>
    <s v="Research Scientist"/>
    <n v="2"/>
    <s v="Divorced"/>
    <n v="2022"/>
    <n v="1"/>
    <x v="0"/>
    <n v="19"/>
    <n v="3"/>
    <n v="1"/>
    <n v="1"/>
    <n v="10"/>
    <n v="3"/>
    <n v="2"/>
    <n v="10"/>
    <n v="2"/>
    <n v="7"/>
    <n v="8"/>
    <n v="1"/>
    <x v="2"/>
    <n v="2"/>
    <x v="1"/>
    <n v="1"/>
    <x v="0"/>
    <n v="3"/>
    <s v="Master"/>
    <s v="Medium"/>
    <s v="Very High"/>
    <s v="Good"/>
  </r>
  <r>
    <n v="32"/>
    <s v="No"/>
    <s v="Non-Travel"/>
    <s v="Research &amp; Development"/>
    <n v="1"/>
    <n v="3"/>
    <s v="Life Sciences"/>
    <n v="882"/>
    <n v="4"/>
    <s v="Male"/>
    <n v="3"/>
    <n v="1"/>
    <s v="Laboratory Technician"/>
    <n v="4"/>
    <s v="Divorced"/>
    <n v="2314"/>
    <n v="0"/>
    <x v="1"/>
    <n v="12"/>
    <n v="3"/>
    <n v="2"/>
    <n v="1"/>
    <n v="4"/>
    <n v="2"/>
    <n v="3"/>
    <n v="3"/>
    <n v="0"/>
    <n v="0"/>
    <n v="2"/>
    <n v="0"/>
    <x v="2"/>
    <n v="2"/>
    <x v="1"/>
    <n v="1"/>
    <x v="2"/>
    <n v="2"/>
    <s v="Bachelor"/>
    <s v="Very High"/>
    <s v="Very High"/>
    <s v="Better"/>
  </r>
  <r>
    <n v="25"/>
    <s v="No"/>
    <s v="Travel_Rarely"/>
    <s v="Sales"/>
    <n v="4"/>
    <n v="1"/>
    <s v="Marketing"/>
    <n v="885"/>
    <n v="3"/>
    <s v="Male"/>
    <n v="2"/>
    <n v="2"/>
    <s v="Sales Executive"/>
    <n v="1"/>
    <s v="Married"/>
    <n v="4256"/>
    <n v="1"/>
    <x v="1"/>
    <n v="12"/>
    <n v="3"/>
    <n v="1"/>
    <n v="0"/>
    <n v="5"/>
    <n v="1"/>
    <n v="4"/>
    <n v="5"/>
    <n v="2"/>
    <n v="0"/>
    <n v="3"/>
    <n v="0"/>
    <x v="4"/>
    <n v="1"/>
    <x v="0"/>
    <n v="2"/>
    <x v="2"/>
    <n v="2"/>
    <s v="Below College"/>
    <s v="Low"/>
    <s v="High"/>
    <s v="Best"/>
  </r>
  <r>
    <n v="49"/>
    <s v="No"/>
    <s v="Travel_Rarely"/>
    <s v="Research &amp; Development"/>
    <n v="1"/>
    <n v="3"/>
    <s v="Technical Degree"/>
    <n v="887"/>
    <n v="3"/>
    <s v="Female"/>
    <n v="3"/>
    <n v="1"/>
    <s v="Research Scientist"/>
    <n v="1"/>
    <s v="Married"/>
    <n v="3580"/>
    <n v="2"/>
    <x v="1"/>
    <n v="16"/>
    <n v="3"/>
    <n v="2"/>
    <n v="1"/>
    <n v="7"/>
    <n v="2"/>
    <n v="3"/>
    <n v="4"/>
    <n v="2"/>
    <n v="0"/>
    <n v="2"/>
    <n v="0"/>
    <x v="1"/>
    <n v="4"/>
    <x v="0"/>
    <n v="2"/>
    <x v="2"/>
    <n v="2"/>
    <s v="Bachelor"/>
    <s v="Low"/>
    <s v="High"/>
    <s v="Better"/>
  </r>
  <r>
    <n v="24"/>
    <s v="No"/>
    <s v="Non-Travel"/>
    <s v="Research &amp; Development"/>
    <n v="4"/>
    <n v="1"/>
    <s v="Life Sciences"/>
    <n v="888"/>
    <n v="1"/>
    <s v="Male"/>
    <n v="2"/>
    <n v="1"/>
    <s v="Laboratory Technician"/>
    <n v="4"/>
    <s v="Married"/>
    <n v="3162"/>
    <n v="0"/>
    <x v="1"/>
    <n v="17"/>
    <n v="3"/>
    <n v="4"/>
    <n v="0"/>
    <n v="6"/>
    <n v="2"/>
    <n v="2"/>
    <n v="5"/>
    <n v="2"/>
    <n v="3"/>
    <n v="4"/>
    <n v="0"/>
    <x v="4"/>
    <n v="1"/>
    <x v="0"/>
    <n v="2"/>
    <x v="2"/>
    <n v="2"/>
    <s v="Below College"/>
    <s v="Very High"/>
    <s v="Low"/>
    <s v="Good"/>
  </r>
  <r>
    <n v="32"/>
    <s v="No"/>
    <s v="Travel_Frequently"/>
    <s v="Sales"/>
    <n v="5"/>
    <n v="2"/>
    <s v="Life Sciences"/>
    <n v="889"/>
    <n v="2"/>
    <s v="Male"/>
    <n v="3"/>
    <n v="2"/>
    <s v="Sales Executive"/>
    <n v="2"/>
    <s v="Married"/>
    <n v="6524"/>
    <n v="1"/>
    <x v="1"/>
    <n v="14"/>
    <n v="3"/>
    <n v="4"/>
    <n v="1"/>
    <n v="10"/>
    <n v="3"/>
    <n v="3"/>
    <n v="10"/>
    <n v="8"/>
    <n v="5"/>
    <n v="3"/>
    <n v="0"/>
    <x v="2"/>
    <n v="2"/>
    <x v="2"/>
    <n v="3"/>
    <x v="0"/>
    <n v="3"/>
    <s v="College"/>
    <s v="Medium"/>
    <s v="Medium"/>
    <s v="Better"/>
  </r>
  <r>
    <n v="38"/>
    <s v="No"/>
    <s v="Travel_Rarely"/>
    <s v="Sales"/>
    <n v="9"/>
    <n v="3"/>
    <s v="Marketing"/>
    <n v="893"/>
    <n v="2"/>
    <s v="Male"/>
    <n v="2"/>
    <n v="1"/>
    <s v="Sales Representative"/>
    <n v="2"/>
    <s v="Married"/>
    <n v="2899"/>
    <n v="0"/>
    <x v="1"/>
    <n v="19"/>
    <n v="3"/>
    <n v="4"/>
    <n v="1"/>
    <n v="3"/>
    <n v="3"/>
    <n v="3"/>
    <n v="2"/>
    <n v="2"/>
    <n v="1"/>
    <n v="2"/>
    <n v="0"/>
    <x v="0"/>
    <n v="3"/>
    <x v="1"/>
    <n v="1"/>
    <x v="1"/>
    <n v="1"/>
    <s v="Bachelor"/>
    <s v="Medium"/>
    <s v="Medium"/>
    <s v="Better"/>
  </r>
  <r>
    <n v="42"/>
    <s v="No"/>
    <s v="Travel_Rarely"/>
    <s v="Research &amp; Development"/>
    <n v="3"/>
    <n v="3"/>
    <s v="Life Sciences"/>
    <n v="894"/>
    <n v="3"/>
    <s v="Female"/>
    <n v="4"/>
    <n v="2"/>
    <s v="Laboratory Technician"/>
    <n v="4"/>
    <s v="Married"/>
    <n v="5231"/>
    <n v="2"/>
    <x v="0"/>
    <n v="13"/>
    <n v="3"/>
    <n v="2"/>
    <n v="1"/>
    <n v="17"/>
    <n v="1"/>
    <n v="2"/>
    <n v="5"/>
    <n v="3"/>
    <n v="1"/>
    <n v="3"/>
    <n v="0"/>
    <x v="0"/>
    <n v="3"/>
    <x v="0"/>
    <n v="2"/>
    <x v="2"/>
    <n v="2"/>
    <s v="Bachelor"/>
    <s v="Very High"/>
    <s v="High"/>
    <s v="Good"/>
  </r>
  <r>
    <n v="31"/>
    <s v="No"/>
    <s v="Travel_Rarely"/>
    <s v="Research &amp; Development"/>
    <n v="11"/>
    <n v="4"/>
    <s v="Life Sciences"/>
    <n v="895"/>
    <n v="4"/>
    <s v="Male"/>
    <n v="3"/>
    <n v="1"/>
    <s v="Research Scientist"/>
    <n v="4"/>
    <s v="Married"/>
    <n v="2356"/>
    <n v="3"/>
    <x v="0"/>
    <n v="19"/>
    <n v="3"/>
    <n v="2"/>
    <n v="1"/>
    <n v="8"/>
    <n v="2"/>
    <n v="3"/>
    <n v="6"/>
    <n v="4"/>
    <n v="0"/>
    <n v="2"/>
    <n v="0"/>
    <x v="2"/>
    <n v="2"/>
    <x v="1"/>
    <n v="1"/>
    <x v="0"/>
    <n v="3"/>
    <s v="Master"/>
    <s v="Very High"/>
    <s v="Very High"/>
    <s v="Better"/>
  </r>
  <r>
    <n v="29"/>
    <s v="Yes"/>
    <s v="Travel_Rarely"/>
    <s v="Sales"/>
    <n v="1"/>
    <n v="3"/>
    <s v="Medical"/>
    <n v="896"/>
    <n v="2"/>
    <s v="Female"/>
    <n v="2"/>
    <n v="1"/>
    <s v="Sales Representative"/>
    <n v="3"/>
    <s v="Divorced"/>
    <n v="2800"/>
    <n v="6"/>
    <x v="0"/>
    <n v="19"/>
    <n v="3"/>
    <n v="3"/>
    <n v="3"/>
    <n v="5"/>
    <n v="3"/>
    <n v="3"/>
    <n v="3"/>
    <n v="2"/>
    <n v="0"/>
    <n v="2"/>
    <n v="1"/>
    <x v="2"/>
    <n v="2"/>
    <x v="1"/>
    <n v="1"/>
    <x v="2"/>
    <n v="2"/>
    <s v="Bachelor"/>
    <s v="High"/>
    <s v="Medium"/>
    <s v="Better"/>
  </r>
  <r>
    <n v="53"/>
    <s v="No"/>
    <s v="Travel_Rarely"/>
    <s v="Sales"/>
    <n v="8"/>
    <n v="3"/>
    <s v="Marketing"/>
    <n v="897"/>
    <n v="1"/>
    <s v="Male"/>
    <n v="3"/>
    <n v="4"/>
    <s v="Sales Executive"/>
    <n v="4"/>
    <s v="Married"/>
    <n v="11836"/>
    <n v="5"/>
    <x v="1"/>
    <n v="14"/>
    <n v="3"/>
    <n v="3"/>
    <n v="1"/>
    <n v="28"/>
    <n v="3"/>
    <n v="3"/>
    <n v="2"/>
    <n v="0"/>
    <n v="2"/>
    <n v="2"/>
    <n v="0"/>
    <x v="1"/>
    <n v="4"/>
    <x v="3"/>
    <n v="4"/>
    <x v="1"/>
    <n v="1"/>
    <s v="Bachelor"/>
    <s v="Very High"/>
    <s v="Low"/>
    <s v="Better"/>
  </r>
  <r>
    <n v="35"/>
    <s v="No"/>
    <s v="Travel_Rarely"/>
    <s v="Research &amp; Development"/>
    <n v="25"/>
    <n v="3"/>
    <s v="Technical Degree"/>
    <n v="899"/>
    <n v="4"/>
    <s v="Male"/>
    <n v="2"/>
    <n v="3"/>
    <s v="Manufacturing Director"/>
    <n v="2"/>
    <s v="Married"/>
    <n v="10903"/>
    <n v="3"/>
    <x v="1"/>
    <n v="16"/>
    <n v="3"/>
    <n v="1"/>
    <n v="0"/>
    <n v="16"/>
    <n v="2"/>
    <n v="3"/>
    <n v="13"/>
    <n v="10"/>
    <n v="4"/>
    <n v="8"/>
    <n v="0"/>
    <x v="2"/>
    <n v="2"/>
    <x v="3"/>
    <n v="4"/>
    <x v="3"/>
    <n v="4"/>
    <s v="Bachelor"/>
    <s v="Medium"/>
    <s v="Very High"/>
    <s v="Better"/>
  </r>
  <r>
    <n v="37"/>
    <s v="No"/>
    <s v="Travel_Frequently"/>
    <s v="Sales"/>
    <n v="21"/>
    <n v="2"/>
    <s v="Medical"/>
    <n v="900"/>
    <n v="3"/>
    <s v="Female"/>
    <n v="3"/>
    <n v="1"/>
    <s v="Sales Representative"/>
    <n v="4"/>
    <s v="Married"/>
    <n v="2973"/>
    <n v="5"/>
    <x v="1"/>
    <n v="15"/>
    <n v="3"/>
    <n v="2"/>
    <n v="1"/>
    <n v="10"/>
    <n v="3"/>
    <n v="3"/>
    <n v="5"/>
    <n v="4"/>
    <n v="0"/>
    <n v="0"/>
    <n v="0"/>
    <x v="0"/>
    <n v="3"/>
    <x v="1"/>
    <n v="1"/>
    <x v="2"/>
    <n v="2"/>
    <s v="College"/>
    <s v="Very High"/>
    <s v="High"/>
    <s v="Better"/>
  </r>
  <r>
    <n v="53"/>
    <s v="No"/>
    <s v="Travel_Rarely"/>
    <s v="Research &amp; Development"/>
    <n v="23"/>
    <n v="4"/>
    <s v="Life Sciences"/>
    <n v="901"/>
    <n v="4"/>
    <s v="Female"/>
    <n v="3"/>
    <n v="4"/>
    <s v="Research Director"/>
    <n v="4"/>
    <s v="Single"/>
    <n v="14275"/>
    <n v="6"/>
    <x v="1"/>
    <n v="18"/>
    <n v="3"/>
    <n v="3"/>
    <n v="0"/>
    <n v="33"/>
    <n v="0"/>
    <n v="3"/>
    <n v="12"/>
    <n v="9"/>
    <n v="3"/>
    <n v="8"/>
    <n v="0"/>
    <x v="1"/>
    <n v="4"/>
    <x v="3"/>
    <n v="4"/>
    <x v="3"/>
    <n v="4"/>
    <s v="Master"/>
    <s v="Very High"/>
    <s v="Very High"/>
    <s v="Better"/>
  </r>
  <r>
    <n v="43"/>
    <s v="No"/>
    <s v="Travel_Frequently"/>
    <s v="Research &amp; Development"/>
    <n v="1"/>
    <n v="3"/>
    <s v="Life Sciences"/>
    <n v="902"/>
    <n v="4"/>
    <s v="Female"/>
    <n v="3"/>
    <n v="2"/>
    <s v="Healthcare Representative"/>
    <n v="4"/>
    <s v="Married"/>
    <n v="5562"/>
    <n v="4"/>
    <x v="1"/>
    <n v="13"/>
    <n v="3"/>
    <n v="2"/>
    <n v="1"/>
    <n v="12"/>
    <n v="2"/>
    <n v="2"/>
    <n v="5"/>
    <n v="2"/>
    <n v="2"/>
    <n v="2"/>
    <n v="0"/>
    <x v="0"/>
    <n v="3"/>
    <x v="0"/>
    <n v="2"/>
    <x v="2"/>
    <n v="2"/>
    <s v="Bachelor"/>
    <s v="Very High"/>
    <s v="Very High"/>
    <s v="Good"/>
  </r>
  <r>
    <n v="47"/>
    <s v="No"/>
    <s v="Travel_Rarely"/>
    <s v="Sales"/>
    <n v="2"/>
    <n v="2"/>
    <s v="Marketing"/>
    <n v="903"/>
    <n v="3"/>
    <s v="Female"/>
    <n v="3"/>
    <n v="2"/>
    <s v="Sales Executive"/>
    <n v="4"/>
    <s v="Married"/>
    <n v="4537"/>
    <n v="0"/>
    <x v="0"/>
    <n v="22"/>
    <n v="4"/>
    <n v="1"/>
    <n v="1"/>
    <n v="8"/>
    <n v="2"/>
    <n v="3"/>
    <n v="7"/>
    <n v="6"/>
    <n v="7"/>
    <n v="7"/>
    <n v="0"/>
    <x v="1"/>
    <n v="4"/>
    <x v="0"/>
    <n v="2"/>
    <x v="0"/>
    <n v="3"/>
    <s v="College"/>
    <s v="Very High"/>
    <s v="High"/>
    <s v="Better"/>
  </r>
  <r>
    <n v="37"/>
    <s v="No"/>
    <s v="Non-Travel"/>
    <s v="Sales"/>
    <n v="19"/>
    <n v="2"/>
    <s v="Medical"/>
    <n v="904"/>
    <n v="1"/>
    <s v="Male"/>
    <n v="3"/>
    <n v="3"/>
    <s v="Sales Executive"/>
    <n v="2"/>
    <s v="Single"/>
    <n v="7642"/>
    <n v="1"/>
    <x v="0"/>
    <n v="13"/>
    <n v="3"/>
    <n v="4"/>
    <n v="0"/>
    <n v="10"/>
    <n v="2"/>
    <n v="3"/>
    <n v="10"/>
    <n v="0"/>
    <n v="0"/>
    <n v="9"/>
    <n v="0"/>
    <x v="0"/>
    <n v="3"/>
    <x v="2"/>
    <n v="3"/>
    <x v="0"/>
    <n v="3"/>
    <s v="College"/>
    <s v="Medium"/>
    <s v="Low"/>
    <s v="Better"/>
  </r>
  <r>
    <n v="50"/>
    <s v="No"/>
    <s v="Non-Travel"/>
    <s v="Research &amp; Development"/>
    <n v="2"/>
    <n v="4"/>
    <s v="Life Sciences"/>
    <n v="905"/>
    <n v="1"/>
    <s v="Male"/>
    <n v="3"/>
    <n v="4"/>
    <s v="Manager"/>
    <n v="1"/>
    <s v="Divorced"/>
    <n v="17924"/>
    <n v="1"/>
    <x v="1"/>
    <n v="11"/>
    <n v="3"/>
    <n v="4"/>
    <n v="1"/>
    <n v="31"/>
    <n v="3"/>
    <n v="3"/>
    <n v="31"/>
    <n v="6"/>
    <n v="14"/>
    <n v="7"/>
    <n v="0"/>
    <x v="1"/>
    <n v="4"/>
    <x v="3"/>
    <n v="4"/>
    <x v="3"/>
    <n v="4"/>
    <s v="Master"/>
    <s v="Low"/>
    <s v="Low"/>
    <s v="Better"/>
  </r>
  <r>
    <n v="39"/>
    <s v="No"/>
    <s v="Travel_Rarely"/>
    <s v="Human Resources"/>
    <n v="2"/>
    <n v="3"/>
    <s v="Life Sciences"/>
    <n v="909"/>
    <n v="4"/>
    <s v="Female"/>
    <n v="2"/>
    <n v="2"/>
    <s v="Human Resources"/>
    <n v="4"/>
    <s v="Married"/>
    <n v="5204"/>
    <n v="8"/>
    <x v="1"/>
    <n v="11"/>
    <n v="3"/>
    <n v="3"/>
    <n v="2"/>
    <n v="13"/>
    <n v="2"/>
    <n v="3"/>
    <n v="5"/>
    <n v="4"/>
    <n v="0"/>
    <n v="4"/>
    <n v="0"/>
    <x v="0"/>
    <n v="3"/>
    <x v="0"/>
    <n v="2"/>
    <x v="2"/>
    <n v="2"/>
    <s v="Bachelor"/>
    <s v="Very High"/>
    <s v="Very High"/>
    <s v="Better"/>
  </r>
  <r>
    <n v="33"/>
    <s v="No"/>
    <s v="Travel_Rarely"/>
    <s v="Human Resources"/>
    <n v="3"/>
    <n v="2"/>
    <s v="Human Resources"/>
    <n v="910"/>
    <n v="4"/>
    <s v="Male"/>
    <n v="3"/>
    <n v="1"/>
    <s v="Human Resources"/>
    <n v="2"/>
    <s v="Divorced"/>
    <n v="2277"/>
    <n v="3"/>
    <x v="0"/>
    <n v="11"/>
    <n v="3"/>
    <n v="3"/>
    <n v="1"/>
    <n v="7"/>
    <n v="4"/>
    <n v="4"/>
    <n v="4"/>
    <n v="3"/>
    <n v="0"/>
    <n v="3"/>
    <n v="0"/>
    <x v="2"/>
    <n v="2"/>
    <x v="1"/>
    <n v="1"/>
    <x v="2"/>
    <n v="2"/>
    <s v="College"/>
    <s v="Medium"/>
    <s v="Very High"/>
    <s v="Best"/>
  </r>
  <r>
    <n v="32"/>
    <s v="Yes"/>
    <s v="Travel_Rarely"/>
    <s v="Research &amp; Development"/>
    <n v="25"/>
    <n v="4"/>
    <s v="Life Sciences"/>
    <n v="911"/>
    <n v="1"/>
    <s v="Male"/>
    <n v="3"/>
    <n v="1"/>
    <s v="Laboratory Technician"/>
    <n v="4"/>
    <s v="Single"/>
    <n v="2795"/>
    <n v="1"/>
    <x v="0"/>
    <n v="24"/>
    <n v="4"/>
    <n v="3"/>
    <n v="0"/>
    <n v="1"/>
    <n v="2"/>
    <n v="1"/>
    <n v="1"/>
    <n v="0"/>
    <n v="0"/>
    <n v="1"/>
    <n v="1"/>
    <x v="2"/>
    <n v="2"/>
    <x v="1"/>
    <n v="1"/>
    <x v="1"/>
    <n v="1"/>
    <s v="Master"/>
    <s v="Very High"/>
    <s v="Low"/>
    <s v="Bad"/>
  </r>
  <r>
    <n v="29"/>
    <s v="No"/>
    <s v="Travel_Rarely"/>
    <s v="Research &amp; Development"/>
    <n v="7"/>
    <n v="1"/>
    <s v="Medical"/>
    <n v="912"/>
    <n v="1"/>
    <s v="Female"/>
    <n v="2"/>
    <n v="1"/>
    <s v="Laboratory Technician"/>
    <n v="4"/>
    <s v="Divorced"/>
    <n v="2532"/>
    <n v="6"/>
    <x v="1"/>
    <n v="14"/>
    <n v="3"/>
    <n v="3"/>
    <n v="3"/>
    <n v="8"/>
    <n v="5"/>
    <n v="3"/>
    <n v="4"/>
    <n v="3"/>
    <n v="0"/>
    <n v="3"/>
    <n v="0"/>
    <x v="2"/>
    <n v="2"/>
    <x v="1"/>
    <n v="1"/>
    <x v="2"/>
    <n v="2"/>
    <s v="Below College"/>
    <s v="Very High"/>
    <s v="Low"/>
    <s v="Better"/>
  </r>
  <r>
    <n v="44"/>
    <s v="No"/>
    <s v="Travel_Rarely"/>
    <s v="Research &amp; Development"/>
    <n v="9"/>
    <n v="2"/>
    <s v="Life Sciences"/>
    <n v="913"/>
    <n v="2"/>
    <s v="Male"/>
    <n v="3"/>
    <n v="1"/>
    <s v="Research Scientist"/>
    <n v="1"/>
    <s v="Married"/>
    <n v="2559"/>
    <n v="1"/>
    <x v="0"/>
    <n v="13"/>
    <n v="3"/>
    <n v="4"/>
    <n v="0"/>
    <n v="8"/>
    <n v="0"/>
    <n v="3"/>
    <n v="8"/>
    <n v="7"/>
    <n v="7"/>
    <n v="1"/>
    <n v="0"/>
    <x v="0"/>
    <n v="3"/>
    <x v="1"/>
    <n v="1"/>
    <x v="0"/>
    <n v="3"/>
    <s v="College"/>
    <s v="Low"/>
    <s v="Medium"/>
    <s v="Better"/>
  </r>
  <r>
    <n v="28"/>
    <s v="No"/>
    <s v="Travel_Rarely"/>
    <s v="Sales"/>
    <n v="5"/>
    <n v="4"/>
    <s v="Medical"/>
    <n v="916"/>
    <n v="1"/>
    <s v="Male"/>
    <n v="3"/>
    <n v="2"/>
    <s v="Sales Executive"/>
    <n v="4"/>
    <s v="Single"/>
    <n v="4908"/>
    <n v="1"/>
    <x v="1"/>
    <n v="14"/>
    <n v="3"/>
    <n v="2"/>
    <n v="0"/>
    <n v="4"/>
    <n v="3"/>
    <n v="3"/>
    <n v="4"/>
    <n v="2"/>
    <n v="0"/>
    <n v="2"/>
    <n v="0"/>
    <x v="2"/>
    <n v="2"/>
    <x v="0"/>
    <n v="2"/>
    <x v="2"/>
    <n v="2"/>
    <s v="Master"/>
    <s v="Very High"/>
    <s v="Low"/>
    <s v="Better"/>
  </r>
  <r>
    <n v="58"/>
    <s v="Yes"/>
    <s v="Travel_Frequently"/>
    <s v="Research &amp; Development"/>
    <n v="2"/>
    <n v="1"/>
    <s v="Life Sciences"/>
    <n v="918"/>
    <n v="4"/>
    <s v="Male"/>
    <n v="2"/>
    <n v="1"/>
    <s v="Laboratory Technician"/>
    <n v="4"/>
    <s v="Divorced"/>
    <n v="2380"/>
    <n v="9"/>
    <x v="0"/>
    <n v="14"/>
    <n v="3"/>
    <n v="4"/>
    <n v="1"/>
    <n v="3"/>
    <n v="3"/>
    <n v="2"/>
    <n v="1"/>
    <n v="0"/>
    <n v="0"/>
    <n v="0"/>
    <n v="1"/>
    <x v="3"/>
    <n v="5"/>
    <x v="1"/>
    <n v="1"/>
    <x v="1"/>
    <n v="1"/>
    <s v="Below College"/>
    <s v="Very High"/>
    <s v="Very High"/>
    <s v="Good"/>
  </r>
  <r>
    <n v="43"/>
    <s v="No"/>
    <s v="Travel_Rarely"/>
    <s v="Research &amp; Development"/>
    <n v="8"/>
    <n v="3"/>
    <s v="Life Sciences"/>
    <n v="920"/>
    <n v="1"/>
    <s v="Female"/>
    <n v="3"/>
    <n v="2"/>
    <s v="Manufacturing Director"/>
    <n v="2"/>
    <s v="Divorced"/>
    <n v="4765"/>
    <n v="4"/>
    <x v="1"/>
    <n v="21"/>
    <n v="4"/>
    <n v="3"/>
    <n v="1"/>
    <n v="4"/>
    <n v="2"/>
    <n v="4"/>
    <n v="1"/>
    <n v="0"/>
    <n v="0"/>
    <n v="0"/>
    <n v="0"/>
    <x v="0"/>
    <n v="3"/>
    <x v="0"/>
    <n v="2"/>
    <x v="1"/>
    <n v="1"/>
    <s v="Bachelor"/>
    <s v="Medium"/>
    <s v="Low"/>
    <s v="Best"/>
  </r>
  <r>
    <n v="20"/>
    <s v="Yes"/>
    <s v="Travel_Rarely"/>
    <s v="Sales"/>
    <n v="2"/>
    <n v="3"/>
    <s v="Medical"/>
    <n v="922"/>
    <n v="3"/>
    <s v="Female"/>
    <n v="2"/>
    <n v="1"/>
    <s v="Sales Representative"/>
    <n v="3"/>
    <s v="Single"/>
    <n v="2044"/>
    <n v="1"/>
    <x v="1"/>
    <n v="13"/>
    <n v="3"/>
    <n v="4"/>
    <n v="0"/>
    <n v="2"/>
    <n v="3"/>
    <n v="2"/>
    <n v="2"/>
    <n v="2"/>
    <n v="0"/>
    <n v="2"/>
    <n v="1"/>
    <x v="4"/>
    <n v="1"/>
    <x v="1"/>
    <n v="1"/>
    <x v="1"/>
    <n v="1"/>
    <s v="Bachelor"/>
    <s v="High"/>
    <s v="High"/>
    <s v="Good"/>
  </r>
  <r>
    <n v="21"/>
    <s v="Yes"/>
    <s v="Travel_Rarely"/>
    <s v="Research &amp; Development"/>
    <n v="18"/>
    <n v="1"/>
    <s v="Other"/>
    <n v="923"/>
    <n v="4"/>
    <s v="Female"/>
    <n v="3"/>
    <n v="1"/>
    <s v="Research Scientist"/>
    <n v="4"/>
    <s v="Single"/>
    <n v="2693"/>
    <n v="1"/>
    <x v="1"/>
    <n v="19"/>
    <n v="3"/>
    <n v="1"/>
    <n v="0"/>
    <n v="1"/>
    <n v="3"/>
    <n v="2"/>
    <n v="1"/>
    <n v="0"/>
    <n v="0"/>
    <n v="0"/>
    <n v="1"/>
    <x v="4"/>
    <n v="1"/>
    <x v="1"/>
    <n v="1"/>
    <x v="1"/>
    <n v="1"/>
    <s v="Below College"/>
    <s v="Very High"/>
    <s v="Very High"/>
    <s v="Good"/>
  </r>
  <r>
    <n v="36"/>
    <s v="No"/>
    <s v="Travel_Rarely"/>
    <s v="Research &amp; Development"/>
    <n v="14"/>
    <n v="1"/>
    <s v="Life Sciences"/>
    <n v="924"/>
    <n v="3"/>
    <s v="Male"/>
    <n v="3"/>
    <n v="2"/>
    <s v="Healthcare Representative"/>
    <n v="4"/>
    <s v="Married"/>
    <n v="6586"/>
    <n v="0"/>
    <x v="0"/>
    <n v="17"/>
    <n v="3"/>
    <n v="1"/>
    <n v="1"/>
    <n v="17"/>
    <n v="2"/>
    <n v="2"/>
    <n v="16"/>
    <n v="8"/>
    <n v="4"/>
    <n v="11"/>
    <n v="0"/>
    <x v="0"/>
    <n v="3"/>
    <x v="2"/>
    <n v="3"/>
    <x v="3"/>
    <n v="4"/>
    <s v="Below College"/>
    <s v="Very High"/>
    <s v="High"/>
    <s v="Good"/>
  </r>
  <r>
    <n v="47"/>
    <s v="No"/>
    <s v="Travel_Rarely"/>
    <s v="Sales"/>
    <n v="2"/>
    <n v="4"/>
    <s v="Life Sciences"/>
    <n v="925"/>
    <n v="4"/>
    <s v="Female"/>
    <n v="2"/>
    <n v="1"/>
    <s v="Sales Representative"/>
    <n v="4"/>
    <s v="Single"/>
    <n v="3294"/>
    <n v="1"/>
    <x v="0"/>
    <n v="18"/>
    <n v="3"/>
    <n v="1"/>
    <n v="0"/>
    <n v="3"/>
    <n v="3"/>
    <n v="2"/>
    <n v="3"/>
    <n v="2"/>
    <n v="1"/>
    <n v="2"/>
    <n v="0"/>
    <x v="1"/>
    <n v="4"/>
    <x v="0"/>
    <n v="2"/>
    <x v="2"/>
    <n v="2"/>
    <s v="Master"/>
    <s v="Very High"/>
    <s v="Very High"/>
    <s v="Good"/>
  </r>
  <r>
    <n v="22"/>
    <s v="Yes"/>
    <s v="Travel_Rarely"/>
    <s v="Research &amp; Development"/>
    <n v="3"/>
    <n v="1"/>
    <s v="Life Sciences"/>
    <n v="926"/>
    <n v="2"/>
    <s v="Female"/>
    <n v="3"/>
    <n v="2"/>
    <s v="Manufacturing Director"/>
    <n v="3"/>
    <s v="Married"/>
    <n v="4171"/>
    <n v="0"/>
    <x v="0"/>
    <n v="19"/>
    <n v="3"/>
    <n v="1"/>
    <n v="1"/>
    <n v="4"/>
    <n v="3"/>
    <n v="4"/>
    <n v="3"/>
    <n v="2"/>
    <n v="0"/>
    <n v="2"/>
    <n v="1"/>
    <x v="4"/>
    <n v="1"/>
    <x v="0"/>
    <n v="2"/>
    <x v="2"/>
    <n v="2"/>
    <s v="Below College"/>
    <s v="High"/>
    <s v="Medium"/>
    <s v="Best"/>
  </r>
  <r>
    <n v="41"/>
    <s v="Yes"/>
    <s v="Travel_Rarely"/>
    <s v="Research &amp; Development"/>
    <n v="2"/>
    <n v="4"/>
    <s v="Life Sciences"/>
    <n v="927"/>
    <n v="2"/>
    <s v="Female"/>
    <n v="1"/>
    <n v="1"/>
    <s v="Laboratory Technician"/>
    <n v="4"/>
    <s v="Divorced"/>
    <n v="2778"/>
    <n v="4"/>
    <x v="0"/>
    <n v="13"/>
    <n v="3"/>
    <n v="3"/>
    <n v="1"/>
    <n v="10"/>
    <n v="1"/>
    <n v="2"/>
    <n v="7"/>
    <n v="7"/>
    <n v="1"/>
    <n v="0"/>
    <n v="1"/>
    <x v="0"/>
    <n v="3"/>
    <x v="1"/>
    <n v="1"/>
    <x v="0"/>
    <n v="3"/>
    <s v="Master"/>
    <s v="Very High"/>
    <s v="Medium"/>
    <s v="Good"/>
  </r>
  <r>
    <n v="28"/>
    <s v="No"/>
    <s v="Travel_Rarely"/>
    <s v="Research &amp; Development"/>
    <n v="9"/>
    <n v="3"/>
    <s v="Medical"/>
    <n v="930"/>
    <n v="3"/>
    <s v="Female"/>
    <n v="3"/>
    <n v="1"/>
    <s v="Research Scientist"/>
    <n v="3"/>
    <s v="Divorced"/>
    <n v="2377"/>
    <n v="5"/>
    <x v="1"/>
    <n v="18"/>
    <n v="3"/>
    <n v="2"/>
    <n v="1"/>
    <n v="6"/>
    <n v="2"/>
    <n v="3"/>
    <n v="2"/>
    <n v="2"/>
    <n v="2"/>
    <n v="2"/>
    <n v="0"/>
    <x v="2"/>
    <n v="2"/>
    <x v="1"/>
    <n v="1"/>
    <x v="1"/>
    <n v="1"/>
    <s v="Bachelor"/>
    <s v="High"/>
    <s v="High"/>
    <s v="Better"/>
  </r>
  <r>
    <n v="39"/>
    <s v="Yes"/>
    <s v="Travel_Rarely"/>
    <s v="Research &amp; Development"/>
    <n v="6"/>
    <n v="3"/>
    <s v="Medical"/>
    <n v="932"/>
    <n v="4"/>
    <s v="Male"/>
    <n v="3"/>
    <n v="1"/>
    <s v="Laboratory Technician"/>
    <n v="1"/>
    <s v="Married"/>
    <n v="2404"/>
    <n v="7"/>
    <x v="0"/>
    <n v="21"/>
    <n v="4"/>
    <n v="4"/>
    <n v="0"/>
    <n v="8"/>
    <n v="2"/>
    <n v="1"/>
    <n v="2"/>
    <n v="2"/>
    <n v="2"/>
    <n v="2"/>
    <n v="1"/>
    <x v="0"/>
    <n v="3"/>
    <x v="1"/>
    <n v="1"/>
    <x v="1"/>
    <n v="1"/>
    <s v="Bachelor"/>
    <s v="Low"/>
    <s v="Very High"/>
    <s v="Bad"/>
  </r>
  <r>
    <n v="27"/>
    <s v="No"/>
    <s v="Travel_Rarely"/>
    <s v="Research &amp; Development"/>
    <n v="4"/>
    <n v="3"/>
    <s v="Life Sciences"/>
    <n v="933"/>
    <n v="2"/>
    <s v="Female"/>
    <n v="3"/>
    <n v="1"/>
    <s v="Research Scientist"/>
    <n v="3"/>
    <s v="Single"/>
    <n v="2318"/>
    <n v="1"/>
    <x v="1"/>
    <n v="19"/>
    <n v="3"/>
    <n v="3"/>
    <n v="0"/>
    <n v="1"/>
    <n v="2"/>
    <n v="3"/>
    <n v="1"/>
    <n v="1"/>
    <n v="0"/>
    <n v="0"/>
    <n v="0"/>
    <x v="2"/>
    <n v="2"/>
    <x v="1"/>
    <n v="1"/>
    <x v="1"/>
    <n v="1"/>
    <s v="Bachelor"/>
    <s v="High"/>
    <s v="Medium"/>
    <s v="Better"/>
  </r>
  <r>
    <n v="34"/>
    <s v="No"/>
    <s v="Travel_Rarely"/>
    <s v="Research &amp; Development"/>
    <n v="10"/>
    <n v="3"/>
    <s v="Life Sciences"/>
    <n v="934"/>
    <n v="2"/>
    <s v="Male"/>
    <n v="3"/>
    <n v="1"/>
    <s v="Laboratory Technician"/>
    <n v="2"/>
    <s v="Divorced"/>
    <n v="2008"/>
    <n v="1"/>
    <x v="1"/>
    <n v="14"/>
    <n v="3"/>
    <n v="2"/>
    <n v="2"/>
    <n v="1"/>
    <n v="3"/>
    <n v="3"/>
    <n v="1"/>
    <n v="0"/>
    <n v="1"/>
    <n v="0"/>
    <n v="0"/>
    <x v="2"/>
    <n v="2"/>
    <x v="1"/>
    <n v="1"/>
    <x v="1"/>
    <n v="1"/>
    <s v="Bachelor"/>
    <s v="Medium"/>
    <s v="Medium"/>
    <s v="Better"/>
  </r>
  <r>
    <n v="42"/>
    <s v="No"/>
    <s v="Travel_Rarely"/>
    <s v="Sales"/>
    <n v="14"/>
    <n v="2"/>
    <s v="Medical"/>
    <n v="936"/>
    <n v="3"/>
    <s v="Female"/>
    <n v="2"/>
    <n v="2"/>
    <s v="Sales Executive"/>
    <n v="3"/>
    <s v="Single"/>
    <n v="6244"/>
    <n v="7"/>
    <x v="1"/>
    <n v="17"/>
    <n v="3"/>
    <n v="1"/>
    <n v="0"/>
    <n v="10"/>
    <n v="6"/>
    <n v="3"/>
    <n v="5"/>
    <n v="4"/>
    <n v="0"/>
    <n v="3"/>
    <n v="0"/>
    <x v="0"/>
    <n v="3"/>
    <x v="2"/>
    <n v="3"/>
    <x v="2"/>
    <n v="2"/>
    <s v="College"/>
    <s v="High"/>
    <s v="High"/>
    <s v="Better"/>
  </r>
  <r>
    <n v="33"/>
    <s v="No"/>
    <s v="Travel_Rarely"/>
    <s v="Research &amp; Development"/>
    <n v="1"/>
    <n v="4"/>
    <s v="Other"/>
    <n v="939"/>
    <n v="3"/>
    <s v="Male"/>
    <n v="2"/>
    <n v="1"/>
    <s v="Research Scientist"/>
    <n v="1"/>
    <s v="Single"/>
    <n v="2799"/>
    <n v="3"/>
    <x v="0"/>
    <n v="11"/>
    <n v="3"/>
    <n v="2"/>
    <n v="0"/>
    <n v="6"/>
    <n v="1"/>
    <n v="3"/>
    <n v="3"/>
    <n v="2"/>
    <n v="0"/>
    <n v="2"/>
    <n v="0"/>
    <x v="2"/>
    <n v="2"/>
    <x v="1"/>
    <n v="1"/>
    <x v="2"/>
    <n v="2"/>
    <s v="Master"/>
    <s v="Low"/>
    <s v="High"/>
    <s v="Better"/>
  </r>
  <r>
    <n v="58"/>
    <s v="No"/>
    <s v="Travel_Rarely"/>
    <s v="Research &amp; Development"/>
    <n v="5"/>
    <n v="3"/>
    <s v="Technical Degree"/>
    <n v="940"/>
    <n v="3"/>
    <s v="Female"/>
    <n v="2"/>
    <n v="3"/>
    <s v="Healthcare Representative"/>
    <n v="2"/>
    <s v="Divorced"/>
    <n v="10552"/>
    <n v="2"/>
    <x v="0"/>
    <n v="13"/>
    <n v="3"/>
    <n v="4"/>
    <n v="1"/>
    <n v="24"/>
    <n v="3"/>
    <n v="3"/>
    <n v="6"/>
    <n v="0"/>
    <n v="0"/>
    <n v="4"/>
    <n v="0"/>
    <x v="3"/>
    <n v="5"/>
    <x v="3"/>
    <n v="4"/>
    <x v="0"/>
    <n v="3"/>
    <s v="Bachelor"/>
    <s v="Medium"/>
    <s v="High"/>
    <s v="Better"/>
  </r>
  <r>
    <n v="31"/>
    <s v="No"/>
    <s v="Travel_Rarely"/>
    <s v="Sales"/>
    <n v="7"/>
    <n v="4"/>
    <s v="Life Sciences"/>
    <n v="941"/>
    <n v="2"/>
    <s v="Male"/>
    <n v="2"/>
    <n v="1"/>
    <s v="Sales Representative"/>
    <n v="3"/>
    <s v="Married"/>
    <n v="2329"/>
    <n v="3"/>
    <x v="1"/>
    <n v="15"/>
    <n v="3"/>
    <n v="2"/>
    <n v="0"/>
    <n v="13"/>
    <n v="2"/>
    <n v="4"/>
    <n v="7"/>
    <n v="7"/>
    <n v="5"/>
    <n v="2"/>
    <n v="0"/>
    <x v="2"/>
    <n v="2"/>
    <x v="1"/>
    <n v="1"/>
    <x v="0"/>
    <n v="3"/>
    <s v="Master"/>
    <s v="High"/>
    <s v="Medium"/>
    <s v="Best"/>
  </r>
  <r>
    <n v="35"/>
    <s v="No"/>
    <s v="Travel_Rarely"/>
    <s v="Research &amp; Development"/>
    <n v="21"/>
    <n v="1"/>
    <s v="Life Sciences"/>
    <n v="942"/>
    <n v="4"/>
    <s v="Female"/>
    <n v="3"/>
    <n v="2"/>
    <s v="Healthcare Representative"/>
    <n v="4"/>
    <s v="Married"/>
    <n v="4014"/>
    <n v="1"/>
    <x v="0"/>
    <n v="25"/>
    <n v="4"/>
    <n v="4"/>
    <n v="1"/>
    <n v="10"/>
    <n v="2"/>
    <n v="1"/>
    <n v="10"/>
    <n v="6"/>
    <n v="0"/>
    <n v="7"/>
    <n v="0"/>
    <x v="2"/>
    <n v="2"/>
    <x v="0"/>
    <n v="2"/>
    <x v="0"/>
    <n v="3"/>
    <s v="Below College"/>
    <s v="Very High"/>
    <s v="Very High"/>
    <s v="Bad"/>
  </r>
  <r>
    <n v="49"/>
    <s v="No"/>
    <s v="Travel_Rarely"/>
    <s v="Research &amp; Development"/>
    <n v="8"/>
    <n v="2"/>
    <s v="Other"/>
    <n v="944"/>
    <n v="1"/>
    <s v="Female"/>
    <n v="3"/>
    <n v="3"/>
    <s v="Laboratory Technician"/>
    <n v="2"/>
    <s v="Married"/>
    <n v="7403"/>
    <n v="4"/>
    <x v="1"/>
    <n v="11"/>
    <n v="3"/>
    <n v="3"/>
    <n v="1"/>
    <n v="29"/>
    <n v="3"/>
    <n v="2"/>
    <n v="26"/>
    <n v="9"/>
    <n v="1"/>
    <n v="7"/>
    <n v="0"/>
    <x v="1"/>
    <n v="4"/>
    <x v="2"/>
    <n v="3"/>
    <x v="3"/>
    <n v="4"/>
    <s v="College"/>
    <s v="Medium"/>
    <s v="Low"/>
    <s v="Good"/>
  </r>
  <r>
    <n v="48"/>
    <s v="No"/>
    <s v="Travel_Rarely"/>
    <s v="Research &amp; Development"/>
    <n v="20"/>
    <n v="4"/>
    <s v="Medical"/>
    <n v="945"/>
    <n v="4"/>
    <s v="Male"/>
    <n v="3"/>
    <n v="1"/>
    <s v="Research Scientist"/>
    <n v="3"/>
    <s v="Married"/>
    <n v="2259"/>
    <n v="4"/>
    <x v="1"/>
    <n v="17"/>
    <n v="3"/>
    <n v="1"/>
    <n v="2"/>
    <n v="13"/>
    <n v="2"/>
    <n v="2"/>
    <n v="0"/>
    <n v="0"/>
    <n v="0"/>
    <n v="0"/>
    <n v="0"/>
    <x v="1"/>
    <n v="4"/>
    <x v="1"/>
    <n v="1"/>
    <x v="1"/>
    <n v="1"/>
    <s v="Master"/>
    <s v="High"/>
    <s v="Very High"/>
    <s v="Good"/>
  </r>
  <r>
    <n v="31"/>
    <s v="No"/>
    <s v="Non-Travel"/>
    <s v="Sales"/>
    <n v="20"/>
    <n v="2"/>
    <s v="Marketing"/>
    <n v="947"/>
    <n v="4"/>
    <s v="Female"/>
    <n v="3"/>
    <n v="2"/>
    <s v="Sales Executive"/>
    <n v="3"/>
    <s v="Married"/>
    <n v="6932"/>
    <n v="1"/>
    <x v="1"/>
    <n v="13"/>
    <n v="3"/>
    <n v="4"/>
    <n v="1"/>
    <n v="9"/>
    <n v="2"/>
    <n v="2"/>
    <n v="9"/>
    <n v="8"/>
    <n v="0"/>
    <n v="0"/>
    <n v="0"/>
    <x v="2"/>
    <n v="2"/>
    <x v="2"/>
    <n v="3"/>
    <x v="0"/>
    <n v="3"/>
    <s v="College"/>
    <s v="High"/>
    <s v="Very High"/>
    <s v="Good"/>
  </r>
  <r>
    <n v="36"/>
    <s v="No"/>
    <s v="Travel_Rarely"/>
    <s v="Research &amp; Development"/>
    <n v="7"/>
    <n v="4"/>
    <s v="Other"/>
    <n v="949"/>
    <n v="2"/>
    <s v="Male"/>
    <n v="3"/>
    <n v="1"/>
    <s v="Research Scientist"/>
    <n v="4"/>
    <s v="Single"/>
    <n v="4678"/>
    <n v="2"/>
    <x v="1"/>
    <n v="18"/>
    <n v="3"/>
    <n v="3"/>
    <n v="0"/>
    <n v="8"/>
    <n v="6"/>
    <n v="3"/>
    <n v="6"/>
    <n v="2"/>
    <n v="0"/>
    <n v="1"/>
    <n v="0"/>
    <x v="0"/>
    <n v="3"/>
    <x v="0"/>
    <n v="2"/>
    <x v="0"/>
    <n v="3"/>
    <s v="Master"/>
    <s v="Very High"/>
    <s v="Medium"/>
    <s v="Better"/>
  </r>
  <r>
    <n v="38"/>
    <s v="No"/>
    <s v="Travel_Rarely"/>
    <s v="Research &amp; Development"/>
    <n v="1"/>
    <n v="3"/>
    <s v="Technical Degree"/>
    <n v="950"/>
    <n v="4"/>
    <s v="Female"/>
    <n v="3"/>
    <n v="3"/>
    <s v="Research Director"/>
    <n v="1"/>
    <s v="Married"/>
    <n v="13582"/>
    <n v="1"/>
    <x v="1"/>
    <n v="13"/>
    <n v="3"/>
    <n v="2"/>
    <n v="1"/>
    <n v="15"/>
    <n v="3"/>
    <n v="3"/>
    <n v="15"/>
    <n v="12"/>
    <n v="5"/>
    <n v="11"/>
    <n v="0"/>
    <x v="0"/>
    <n v="3"/>
    <x v="3"/>
    <n v="4"/>
    <x v="3"/>
    <n v="4"/>
    <s v="Bachelor"/>
    <s v="Low"/>
    <s v="Very High"/>
    <s v="Better"/>
  </r>
  <r>
    <n v="32"/>
    <s v="No"/>
    <s v="Non-Travel"/>
    <s v="Research &amp; Development"/>
    <n v="1"/>
    <n v="3"/>
    <s v="Life Sciences"/>
    <n v="951"/>
    <n v="3"/>
    <s v="Female"/>
    <n v="2"/>
    <n v="1"/>
    <s v="Laboratory Technician"/>
    <n v="2"/>
    <s v="Married"/>
    <n v="2332"/>
    <n v="6"/>
    <x v="1"/>
    <n v="20"/>
    <n v="4"/>
    <n v="3"/>
    <n v="0"/>
    <n v="5"/>
    <n v="3"/>
    <n v="3"/>
    <n v="3"/>
    <n v="0"/>
    <n v="0"/>
    <n v="2"/>
    <n v="0"/>
    <x v="2"/>
    <n v="2"/>
    <x v="1"/>
    <n v="1"/>
    <x v="2"/>
    <n v="2"/>
    <s v="Bachelor"/>
    <s v="Medium"/>
    <s v="High"/>
    <s v="Better"/>
  </r>
  <r>
    <n v="25"/>
    <s v="Yes"/>
    <s v="Travel_Rarely"/>
    <s v="Sales"/>
    <n v="19"/>
    <n v="2"/>
    <s v="Marketing"/>
    <n v="952"/>
    <n v="3"/>
    <s v="Male"/>
    <n v="2"/>
    <n v="1"/>
    <s v="Sales Representative"/>
    <n v="2"/>
    <s v="Married"/>
    <n v="2413"/>
    <n v="1"/>
    <x v="0"/>
    <n v="18"/>
    <n v="3"/>
    <n v="3"/>
    <n v="3"/>
    <n v="1"/>
    <n v="2"/>
    <n v="3"/>
    <n v="1"/>
    <n v="0"/>
    <n v="0"/>
    <n v="0"/>
    <n v="1"/>
    <x v="4"/>
    <n v="1"/>
    <x v="1"/>
    <n v="1"/>
    <x v="1"/>
    <n v="1"/>
    <s v="College"/>
    <s v="Medium"/>
    <s v="High"/>
    <s v="Better"/>
  </r>
  <r>
    <n v="40"/>
    <s v="No"/>
    <s v="Travel_Rarely"/>
    <s v="Sales"/>
    <n v="10"/>
    <n v="4"/>
    <s v="Marketing"/>
    <n v="954"/>
    <n v="1"/>
    <s v="Male"/>
    <n v="2"/>
    <n v="3"/>
    <s v="Sales Executive"/>
    <n v="2"/>
    <s v="Divorced"/>
    <n v="9705"/>
    <n v="2"/>
    <x v="1"/>
    <n v="12"/>
    <n v="3"/>
    <n v="2"/>
    <n v="1"/>
    <n v="11"/>
    <n v="2"/>
    <n v="2"/>
    <n v="1"/>
    <n v="0"/>
    <n v="0"/>
    <n v="0"/>
    <n v="0"/>
    <x v="0"/>
    <n v="3"/>
    <x v="2"/>
    <n v="3"/>
    <x v="1"/>
    <n v="1"/>
    <s v="Master"/>
    <s v="Medium"/>
    <s v="Low"/>
    <s v="Good"/>
  </r>
  <r>
    <n v="26"/>
    <s v="No"/>
    <s v="Travel_Frequently"/>
    <s v="Sales"/>
    <n v="1"/>
    <n v="3"/>
    <s v="Medical"/>
    <n v="956"/>
    <n v="3"/>
    <s v="Male"/>
    <n v="2"/>
    <n v="2"/>
    <s v="Sales Executive"/>
    <n v="1"/>
    <s v="Single"/>
    <n v="4294"/>
    <n v="1"/>
    <x v="1"/>
    <n v="12"/>
    <n v="3"/>
    <n v="2"/>
    <n v="0"/>
    <n v="7"/>
    <n v="2"/>
    <n v="3"/>
    <n v="7"/>
    <n v="7"/>
    <n v="0"/>
    <n v="7"/>
    <n v="0"/>
    <x v="2"/>
    <n v="2"/>
    <x v="0"/>
    <n v="2"/>
    <x v="0"/>
    <n v="3"/>
    <s v="Bachelor"/>
    <s v="Low"/>
    <s v="High"/>
    <s v="Better"/>
  </r>
  <r>
    <n v="41"/>
    <s v="No"/>
    <s v="Travel_Rarely"/>
    <s v="Research &amp; Development"/>
    <n v="6"/>
    <n v="3"/>
    <s v="Medical"/>
    <n v="957"/>
    <n v="4"/>
    <s v="Male"/>
    <n v="3"/>
    <n v="1"/>
    <s v="Laboratory Technician"/>
    <n v="1"/>
    <s v="Single"/>
    <n v="4721"/>
    <n v="2"/>
    <x v="0"/>
    <n v="13"/>
    <n v="3"/>
    <n v="3"/>
    <n v="0"/>
    <n v="20"/>
    <n v="3"/>
    <n v="3"/>
    <n v="18"/>
    <n v="13"/>
    <n v="2"/>
    <n v="17"/>
    <n v="0"/>
    <x v="0"/>
    <n v="3"/>
    <x v="0"/>
    <n v="2"/>
    <x v="3"/>
    <n v="4"/>
    <s v="Bachelor"/>
    <s v="Low"/>
    <s v="Very High"/>
    <s v="Better"/>
  </r>
  <r>
    <n v="36"/>
    <s v="No"/>
    <s v="Travel_Rarely"/>
    <s v="Research &amp; Development"/>
    <n v="2"/>
    <n v="4"/>
    <s v="Medical"/>
    <n v="958"/>
    <n v="3"/>
    <s v="Male"/>
    <n v="3"/>
    <n v="1"/>
    <s v="Laboratory Technician"/>
    <n v="3"/>
    <s v="Single"/>
    <n v="2519"/>
    <n v="4"/>
    <x v="1"/>
    <n v="21"/>
    <n v="4"/>
    <n v="3"/>
    <n v="0"/>
    <n v="16"/>
    <n v="6"/>
    <n v="3"/>
    <n v="11"/>
    <n v="8"/>
    <n v="3"/>
    <n v="9"/>
    <n v="0"/>
    <x v="0"/>
    <n v="3"/>
    <x v="1"/>
    <n v="1"/>
    <x v="3"/>
    <n v="4"/>
    <s v="Master"/>
    <s v="High"/>
    <s v="High"/>
    <s v="Better"/>
  </r>
  <r>
    <n v="19"/>
    <s v="Yes"/>
    <s v="Travel_Rarely"/>
    <s v="Sales"/>
    <n v="21"/>
    <n v="3"/>
    <s v="Other"/>
    <n v="959"/>
    <n v="4"/>
    <s v="Male"/>
    <n v="2"/>
    <n v="1"/>
    <s v="Sales Representative"/>
    <n v="2"/>
    <s v="Single"/>
    <n v="2121"/>
    <n v="1"/>
    <x v="0"/>
    <n v="13"/>
    <n v="3"/>
    <n v="2"/>
    <n v="0"/>
    <n v="1"/>
    <n v="3"/>
    <n v="4"/>
    <n v="1"/>
    <n v="0"/>
    <n v="0"/>
    <n v="0"/>
    <n v="1"/>
    <x v="4"/>
    <n v="1"/>
    <x v="1"/>
    <n v="1"/>
    <x v="1"/>
    <n v="1"/>
    <s v="Bachelor"/>
    <s v="Medium"/>
    <s v="Very High"/>
    <s v="Best"/>
  </r>
  <r>
    <n v="20"/>
    <s v="Yes"/>
    <s v="Travel_Rarely"/>
    <s v="Research &amp; Development"/>
    <n v="4"/>
    <n v="3"/>
    <s v="Technical Degree"/>
    <n v="960"/>
    <n v="1"/>
    <s v="Male"/>
    <n v="3"/>
    <n v="1"/>
    <s v="Laboratory Technician"/>
    <n v="1"/>
    <s v="Single"/>
    <n v="2973"/>
    <n v="1"/>
    <x v="1"/>
    <n v="19"/>
    <n v="3"/>
    <n v="2"/>
    <n v="0"/>
    <n v="1"/>
    <n v="2"/>
    <n v="3"/>
    <n v="1"/>
    <n v="0"/>
    <n v="0"/>
    <n v="0"/>
    <n v="1"/>
    <x v="4"/>
    <n v="1"/>
    <x v="1"/>
    <n v="1"/>
    <x v="1"/>
    <n v="1"/>
    <s v="Bachelor"/>
    <s v="Low"/>
    <s v="Low"/>
    <s v="Better"/>
  </r>
  <r>
    <n v="31"/>
    <s v="No"/>
    <s v="Travel_Rarely"/>
    <s v="Research &amp; Development"/>
    <n v="12"/>
    <n v="3"/>
    <s v="Medical"/>
    <n v="961"/>
    <n v="4"/>
    <s v="Female"/>
    <n v="3"/>
    <n v="2"/>
    <s v="Healthcare Representative"/>
    <n v="4"/>
    <s v="Married"/>
    <n v="5855"/>
    <n v="0"/>
    <x v="0"/>
    <n v="11"/>
    <n v="3"/>
    <n v="3"/>
    <n v="2"/>
    <n v="10"/>
    <n v="2"/>
    <n v="1"/>
    <n v="9"/>
    <n v="7"/>
    <n v="8"/>
    <n v="5"/>
    <n v="0"/>
    <x v="2"/>
    <n v="2"/>
    <x v="0"/>
    <n v="2"/>
    <x v="0"/>
    <n v="3"/>
    <s v="Bachelor"/>
    <s v="Very High"/>
    <s v="Very High"/>
    <s v="Bad"/>
  </r>
  <r>
    <n v="40"/>
    <s v="No"/>
    <s v="Travel_Frequently"/>
    <s v="Research &amp; Development"/>
    <n v="9"/>
    <n v="4"/>
    <s v="Medical"/>
    <n v="964"/>
    <n v="4"/>
    <s v="Male"/>
    <n v="3"/>
    <n v="1"/>
    <s v="Research Scientist"/>
    <n v="2"/>
    <s v="Divorced"/>
    <n v="3617"/>
    <n v="8"/>
    <x v="0"/>
    <n v="14"/>
    <n v="3"/>
    <n v="4"/>
    <n v="1"/>
    <n v="3"/>
    <n v="2"/>
    <n v="3"/>
    <n v="1"/>
    <n v="1"/>
    <n v="0"/>
    <n v="0"/>
    <n v="0"/>
    <x v="0"/>
    <n v="3"/>
    <x v="0"/>
    <n v="2"/>
    <x v="1"/>
    <n v="1"/>
    <s v="Master"/>
    <s v="Medium"/>
    <s v="Very High"/>
    <s v="Better"/>
  </r>
  <r>
    <n v="32"/>
    <s v="No"/>
    <s v="Travel_Rarely"/>
    <s v="Research &amp; Development"/>
    <n v="3"/>
    <n v="4"/>
    <s v="Medical"/>
    <n v="966"/>
    <n v="3"/>
    <s v="Female"/>
    <n v="3"/>
    <n v="2"/>
    <s v="Manufacturing Director"/>
    <n v="1"/>
    <s v="Married"/>
    <n v="6725"/>
    <n v="1"/>
    <x v="1"/>
    <n v="12"/>
    <n v="3"/>
    <n v="3"/>
    <n v="1"/>
    <n v="8"/>
    <n v="2"/>
    <n v="4"/>
    <n v="8"/>
    <n v="7"/>
    <n v="6"/>
    <n v="3"/>
    <n v="0"/>
    <x v="2"/>
    <n v="2"/>
    <x v="2"/>
    <n v="3"/>
    <x v="0"/>
    <n v="3"/>
    <s v="Master"/>
    <s v="Low"/>
    <s v="High"/>
    <s v="Best"/>
  </r>
  <r>
    <n v="36"/>
    <s v="Yes"/>
    <s v="Travel_Rarely"/>
    <s v="Sales"/>
    <n v="3"/>
    <n v="1"/>
    <s v="Life Sciences"/>
    <n v="967"/>
    <n v="3"/>
    <s v="Male"/>
    <n v="2"/>
    <n v="3"/>
    <s v="Sales Executive"/>
    <n v="4"/>
    <s v="Married"/>
    <n v="10325"/>
    <n v="1"/>
    <x v="0"/>
    <n v="11"/>
    <n v="3"/>
    <n v="1"/>
    <n v="1"/>
    <n v="16"/>
    <n v="6"/>
    <n v="3"/>
    <n v="16"/>
    <n v="7"/>
    <n v="3"/>
    <n v="7"/>
    <n v="1"/>
    <x v="0"/>
    <n v="3"/>
    <x v="3"/>
    <n v="4"/>
    <x v="3"/>
    <n v="4"/>
    <s v="Below College"/>
    <s v="Very High"/>
    <s v="High"/>
    <s v="Better"/>
  </r>
  <r>
    <n v="33"/>
    <s v="No"/>
    <s v="Travel_Rarely"/>
    <s v="Research &amp; Development"/>
    <n v="1"/>
    <n v="3"/>
    <s v="Life Sciences"/>
    <n v="969"/>
    <n v="2"/>
    <s v="Female"/>
    <n v="2"/>
    <n v="2"/>
    <s v="Healthcare Representative"/>
    <n v="4"/>
    <s v="Single"/>
    <n v="6949"/>
    <n v="0"/>
    <x v="1"/>
    <n v="14"/>
    <n v="3"/>
    <n v="1"/>
    <n v="0"/>
    <n v="6"/>
    <n v="3"/>
    <n v="3"/>
    <n v="5"/>
    <n v="0"/>
    <n v="1"/>
    <n v="4"/>
    <n v="0"/>
    <x v="2"/>
    <n v="2"/>
    <x v="2"/>
    <n v="3"/>
    <x v="2"/>
    <n v="2"/>
    <s v="Bachelor"/>
    <s v="Very High"/>
    <s v="Medium"/>
    <s v="Better"/>
  </r>
  <r>
    <n v="37"/>
    <s v="Yes"/>
    <s v="Travel_Rarely"/>
    <s v="Sales"/>
    <n v="1"/>
    <n v="4"/>
    <s v="Life Sciences"/>
    <n v="970"/>
    <n v="1"/>
    <s v="Male"/>
    <n v="2"/>
    <n v="3"/>
    <s v="Sales Executive"/>
    <n v="3"/>
    <s v="Married"/>
    <n v="10609"/>
    <n v="5"/>
    <x v="1"/>
    <n v="11"/>
    <n v="3"/>
    <n v="3"/>
    <n v="0"/>
    <n v="17"/>
    <n v="2"/>
    <n v="1"/>
    <n v="14"/>
    <n v="1"/>
    <n v="11"/>
    <n v="7"/>
    <n v="1"/>
    <x v="0"/>
    <n v="3"/>
    <x v="3"/>
    <n v="4"/>
    <x v="3"/>
    <n v="4"/>
    <s v="Master"/>
    <s v="High"/>
    <s v="Low"/>
    <s v="Bad"/>
  </r>
  <r>
    <n v="45"/>
    <s v="No"/>
    <s v="Non-Travel"/>
    <s v="Research &amp; Development"/>
    <n v="4"/>
    <n v="2"/>
    <s v="Life Sciences"/>
    <n v="972"/>
    <n v="3"/>
    <s v="Male"/>
    <n v="3"/>
    <n v="2"/>
    <s v="Laboratory Technician"/>
    <n v="2"/>
    <s v="Married"/>
    <n v="4447"/>
    <n v="1"/>
    <x v="1"/>
    <n v="12"/>
    <n v="3"/>
    <n v="2"/>
    <n v="0"/>
    <n v="9"/>
    <n v="5"/>
    <n v="2"/>
    <n v="9"/>
    <n v="7"/>
    <n v="0"/>
    <n v="8"/>
    <n v="0"/>
    <x v="0"/>
    <n v="3"/>
    <x v="0"/>
    <n v="2"/>
    <x v="0"/>
    <n v="3"/>
    <s v="College"/>
    <s v="Medium"/>
    <s v="High"/>
    <s v="Good"/>
  </r>
  <r>
    <n v="29"/>
    <s v="No"/>
    <s v="Travel_Frequently"/>
    <s v="Sales"/>
    <n v="20"/>
    <n v="3"/>
    <s v="Technical Degree"/>
    <n v="974"/>
    <n v="3"/>
    <s v="Female"/>
    <n v="3"/>
    <n v="1"/>
    <s v="Sales Representative"/>
    <n v="4"/>
    <s v="Married"/>
    <n v="2157"/>
    <n v="1"/>
    <x v="1"/>
    <n v="15"/>
    <n v="3"/>
    <n v="2"/>
    <n v="1"/>
    <n v="3"/>
    <n v="5"/>
    <n v="3"/>
    <n v="3"/>
    <n v="1"/>
    <n v="0"/>
    <n v="2"/>
    <n v="0"/>
    <x v="2"/>
    <n v="2"/>
    <x v="1"/>
    <n v="1"/>
    <x v="2"/>
    <n v="2"/>
    <s v="Bachelor"/>
    <s v="Very High"/>
    <s v="High"/>
    <s v="Better"/>
  </r>
  <r>
    <n v="35"/>
    <s v="No"/>
    <s v="Travel_Rarely"/>
    <s v="Sales"/>
    <n v="18"/>
    <n v="3"/>
    <s v="Medical"/>
    <n v="975"/>
    <n v="3"/>
    <s v="Female"/>
    <n v="3"/>
    <n v="2"/>
    <s v="Sales Executive"/>
    <n v="3"/>
    <s v="Married"/>
    <n v="4601"/>
    <n v="1"/>
    <x v="1"/>
    <n v="16"/>
    <n v="3"/>
    <n v="2"/>
    <n v="0"/>
    <n v="5"/>
    <n v="3"/>
    <n v="3"/>
    <n v="5"/>
    <n v="2"/>
    <n v="1"/>
    <n v="0"/>
    <n v="0"/>
    <x v="2"/>
    <n v="2"/>
    <x v="0"/>
    <n v="2"/>
    <x v="2"/>
    <n v="2"/>
    <s v="Bachelor"/>
    <s v="High"/>
    <s v="High"/>
    <s v="Better"/>
  </r>
  <r>
    <n v="52"/>
    <s v="No"/>
    <s v="Travel_Rarely"/>
    <s v="Research &amp; Development"/>
    <n v="1"/>
    <n v="2"/>
    <s v="Life Sciences"/>
    <n v="976"/>
    <n v="4"/>
    <s v="Male"/>
    <n v="3"/>
    <n v="4"/>
    <s v="Manager"/>
    <n v="4"/>
    <s v="Married"/>
    <n v="17099"/>
    <n v="2"/>
    <x v="1"/>
    <n v="15"/>
    <n v="3"/>
    <n v="2"/>
    <n v="1"/>
    <n v="26"/>
    <n v="2"/>
    <n v="2"/>
    <n v="9"/>
    <n v="8"/>
    <n v="7"/>
    <n v="8"/>
    <n v="0"/>
    <x v="1"/>
    <n v="4"/>
    <x v="3"/>
    <n v="4"/>
    <x v="0"/>
    <n v="3"/>
    <s v="College"/>
    <s v="Very High"/>
    <s v="Very High"/>
    <s v="Good"/>
  </r>
  <r>
    <n v="58"/>
    <s v="Yes"/>
    <s v="Travel_Rarely"/>
    <s v="Research &amp; Development"/>
    <n v="2"/>
    <n v="3"/>
    <s v="Technical Degree"/>
    <n v="977"/>
    <n v="4"/>
    <s v="Male"/>
    <n v="3"/>
    <n v="1"/>
    <s v="Research Scientist"/>
    <n v="3"/>
    <s v="Single"/>
    <n v="2479"/>
    <n v="4"/>
    <x v="1"/>
    <n v="24"/>
    <n v="4"/>
    <n v="1"/>
    <n v="0"/>
    <n v="7"/>
    <n v="4"/>
    <n v="3"/>
    <n v="1"/>
    <n v="0"/>
    <n v="0"/>
    <n v="0"/>
    <n v="1"/>
    <x v="3"/>
    <n v="5"/>
    <x v="1"/>
    <n v="1"/>
    <x v="1"/>
    <n v="1"/>
    <s v="Bachelor"/>
    <s v="High"/>
    <s v="Very High"/>
    <s v="Better"/>
  </r>
  <r>
    <n v="53"/>
    <s v="No"/>
    <s v="Travel_Rarely"/>
    <s v="Sales"/>
    <n v="2"/>
    <n v="2"/>
    <s v="Medical"/>
    <n v="981"/>
    <n v="3"/>
    <s v="Male"/>
    <n v="3"/>
    <n v="4"/>
    <s v="Manager"/>
    <n v="3"/>
    <s v="Divorced"/>
    <n v="14852"/>
    <n v="6"/>
    <x v="1"/>
    <n v="13"/>
    <n v="3"/>
    <n v="3"/>
    <n v="1"/>
    <n v="22"/>
    <n v="3"/>
    <n v="4"/>
    <n v="17"/>
    <n v="13"/>
    <n v="15"/>
    <n v="2"/>
    <n v="0"/>
    <x v="1"/>
    <n v="4"/>
    <x v="3"/>
    <n v="4"/>
    <x v="3"/>
    <n v="4"/>
    <s v="College"/>
    <s v="High"/>
    <s v="High"/>
    <s v="Best"/>
  </r>
  <r>
    <n v="30"/>
    <s v="No"/>
    <s v="Travel_Rarely"/>
    <s v="Sales"/>
    <n v="8"/>
    <n v="2"/>
    <s v="Other"/>
    <n v="982"/>
    <n v="3"/>
    <s v="Male"/>
    <n v="3"/>
    <n v="3"/>
    <s v="Sales Executive"/>
    <n v="3"/>
    <s v="Divorced"/>
    <n v="7264"/>
    <n v="5"/>
    <x v="1"/>
    <n v="11"/>
    <n v="3"/>
    <n v="1"/>
    <n v="1"/>
    <n v="10"/>
    <n v="2"/>
    <n v="4"/>
    <n v="8"/>
    <n v="4"/>
    <n v="7"/>
    <n v="7"/>
    <n v="0"/>
    <x v="2"/>
    <n v="2"/>
    <x v="2"/>
    <n v="3"/>
    <x v="0"/>
    <n v="3"/>
    <s v="College"/>
    <s v="High"/>
    <s v="High"/>
    <s v="Best"/>
  </r>
  <r>
    <n v="38"/>
    <s v="No"/>
    <s v="Non-Travel"/>
    <s v="Sales"/>
    <n v="10"/>
    <n v="3"/>
    <s v="Technical Degree"/>
    <n v="983"/>
    <n v="3"/>
    <s v="Female"/>
    <n v="3"/>
    <n v="2"/>
    <s v="Sales Executive"/>
    <n v="4"/>
    <s v="Single"/>
    <n v="5666"/>
    <n v="1"/>
    <x v="0"/>
    <n v="13"/>
    <n v="3"/>
    <n v="2"/>
    <n v="0"/>
    <n v="6"/>
    <n v="1"/>
    <n v="3"/>
    <n v="5"/>
    <n v="3"/>
    <n v="1"/>
    <n v="3"/>
    <n v="0"/>
    <x v="0"/>
    <n v="3"/>
    <x v="0"/>
    <n v="2"/>
    <x v="2"/>
    <n v="2"/>
    <s v="Bachelor"/>
    <s v="Very High"/>
    <s v="High"/>
    <s v="Better"/>
  </r>
  <r>
    <n v="35"/>
    <s v="No"/>
    <s v="Travel_Rarely"/>
    <s v="Sales"/>
    <n v="3"/>
    <n v="4"/>
    <s v="Life Sciences"/>
    <n v="984"/>
    <n v="4"/>
    <s v="Male"/>
    <n v="3"/>
    <n v="3"/>
    <s v="Sales Executive"/>
    <n v="4"/>
    <s v="Divorced"/>
    <n v="7823"/>
    <n v="6"/>
    <x v="1"/>
    <n v="13"/>
    <n v="3"/>
    <n v="2"/>
    <n v="1"/>
    <n v="12"/>
    <n v="2"/>
    <n v="3"/>
    <n v="10"/>
    <n v="9"/>
    <n v="0"/>
    <n v="8"/>
    <n v="0"/>
    <x v="2"/>
    <n v="2"/>
    <x v="2"/>
    <n v="3"/>
    <x v="0"/>
    <n v="3"/>
    <s v="Master"/>
    <s v="Very High"/>
    <s v="Very High"/>
    <s v="Better"/>
  </r>
  <r>
    <n v="39"/>
    <s v="No"/>
    <s v="Travel_Rarely"/>
    <s v="Sales"/>
    <n v="2"/>
    <n v="5"/>
    <s v="Life Sciences"/>
    <n v="985"/>
    <n v="1"/>
    <s v="Male"/>
    <n v="4"/>
    <n v="3"/>
    <s v="Sales Executive"/>
    <n v="3"/>
    <s v="Single"/>
    <n v="7880"/>
    <n v="0"/>
    <x v="1"/>
    <n v="18"/>
    <n v="3"/>
    <n v="4"/>
    <n v="0"/>
    <n v="9"/>
    <n v="3"/>
    <n v="3"/>
    <n v="8"/>
    <n v="7"/>
    <n v="0"/>
    <n v="7"/>
    <n v="0"/>
    <x v="0"/>
    <n v="3"/>
    <x v="2"/>
    <n v="3"/>
    <x v="0"/>
    <n v="3"/>
    <s v="Doctor"/>
    <s v="High"/>
    <s v="Low"/>
    <s v="Better"/>
  </r>
  <r>
    <n v="40"/>
    <s v="Yes"/>
    <s v="Non-Travel"/>
    <s v="Sales"/>
    <n v="24"/>
    <n v="3"/>
    <s v="Life Sciences"/>
    <n v="986"/>
    <n v="2"/>
    <s v="Female"/>
    <n v="4"/>
    <n v="4"/>
    <s v="Sales Executive"/>
    <n v="2"/>
    <s v="Single"/>
    <n v="13194"/>
    <n v="4"/>
    <x v="0"/>
    <n v="16"/>
    <n v="3"/>
    <n v="4"/>
    <n v="0"/>
    <n v="22"/>
    <n v="2"/>
    <n v="2"/>
    <n v="1"/>
    <n v="0"/>
    <n v="0"/>
    <n v="0"/>
    <n v="1"/>
    <x v="0"/>
    <n v="3"/>
    <x v="3"/>
    <n v="4"/>
    <x v="1"/>
    <n v="1"/>
    <s v="Bachelor"/>
    <s v="Medium"/>
    <s v="Medium"/>
    <s v="Good"/>
  </r>
  <r>
    <n v="47"/>
    <s v="No"/>
    <s v="Travel_Frequently"/>
    <s v="Research &amp; Development"/>
    <n v="16"/>
    <n v="4"/>
    <s v="Medical"/>
    <n v="987"/>
    <n v="3"/>
    <s v="Male"/>
    <n v="4"/>
    <n v="2"/>
    <s v="Manufacturing Director"/>
    <n v="3"/>
    <s v="Divorced"/>
    <n v="5067"/>
    <n v="1"/>
    <x v="0"/>
    <n v="19"/>
    <n v="3"/>
    <n v="3"/>
    <n v="0"/>
    <n v="20"/>
    <n v="3"/>
    <n v="4"/>
    <n v="19"/>
    <n v="10"/>
    <n v="2"/>
    <n v="7"/>
    <n v="0"/>
    <x v="1"/>
    <n v="4"/>
    <x v="0"/>
    <n v="2"/>
    <x v="3"/>
    <n v="4"/>
    <s v="Master"/>
    <s v="High"/>
    <s v="High"/>
    <s v="Best"/>
  </r>
  <r>
    <n v="36"/>
    <s v="No"/>
    <s v="Non-Travel"/>
    <s v="Sales"/>
    <n v="8"/>
    <n v="4"/>
    <s v="Technical Degree"/>
    <n v="990"/>
    <n v="1"/>
    <s v="Male"/>
    <n v="3"/>
    <n v="2"/>
    <s v="Sales Executive"/>
    <n v="4"/>
    <s v="Divorced"/>
    <n v="5079"/>
    <n v="4"/>
    <x v="1"/>
    <n v="13"/>
    <n v="3"/>
    <n v="4"/>
    <n v="2"/>
    <n v="12"/>
    <n v="3"/>
    <n v="3"/>
    <n v="7"/>
    <n v="7"/>
    <n v="0"/>
    <n v="7"/>
    <n v="0"/>
    <x v="0"/>
    <n v="3"/>
    <x v="0"/>
    <n v="2"/>
    <x v="0"/>
    <n v="3"/>
    <s v="Master"/>
    <s v="Very High"/>
    <s v="Low"/>
    <s v="Better"/>
  </r>
  <r>
    <n v="31"/>
    <s v="Yes"/>
    <s v="Non-Travel"/>
    <s v="Research &amp; Development"/>
    <n v="9"/>
    <n v="2"/>
    <s v="Medical"/>
    <n v="991"/>
    <n v="3"/>
    <s v="Male"/>
    <n v="2"/>
    <n v="1"/>
    <s v="Research Scientist"/>
    <n v="1"/>
    <s v="Single"/>
    <n v="2321"/>
    <n v="0"/>
    <x v="0"/>
    <n v="22"/>
    <n v="4"/>
    <n v="1"/>
    <n v="0"/>
    <n v="4"/>
    <n v="0"/>
    <n v="3"/>
    <n v="3"/>
    <n v="2"/>
    <n v="1"/>
    <n v="2"/>
    <n v="1"/>
    <x v="2"/>
    <n v="2"/>
    <x v="1"/>
    <n v="1"/>
    <x v="2"/>
    <n v="2"/>
    <s v="College"/>
    <s v="Low"/>
    <s v="High"/>
    <s v="Better"/>
  </r>
  <r>
    <n v="33"/>
    <s v="No"/>
    <s v="Non-Travel"/>
    <s v="Sales"/>
    <n v="17"/>
    <n v="3"/>
    <s v="Life Sciences"/>
    <n v="992"/>
    <n v="4"/>
    <s v="Male"/>
    <n v="3"/>
    <n v="4"/>
    <s v="Manager"/>
    <n v="3"/>
    <s v="Single"/>
    <n v="17444"/>
    <n v="1"/>
    <x v="1"/>
    <n v="11"/>
    <n v="3"/>
    <n v="4"/>
    <n v="0"/>
    <n v="10"/>
    <n v="2"/>
    <n v="3"/>
    <n v="10"/>
    <n v="8"/>
    <n v="6"/>
    <n v="0"/>
    <n v="0"/>
    <x v="2"/>
    <n v="2"/>
    <x v="3"/>
    <n v="4"/>
    <x v="0"/>
    <n v="3"/>
    <s v="Bachelor"/>
    <s v="High"/>
    <s v="Very High"/>
    <s v="Better"/>
  </r>
  <r>
    <n v="29"/>
    <s v="Yes"/>
    <s v="Travel_Rarely"/>
    <s v="Research &amp; Development"/>
    <n v="10"/>
    <n v="3"/>
    <s v="Life Sciences"/>
    <n v="994"/>
    <n v="4"/>
    <s v="Female"/>
    <n v="2"/>
    <n v="1"/>
    <s v="Research Scientist"/>
    <n v="1"/>
    <s v="Single"/>
    <n v="2404"/>
    <n v="6"/>
    <x v="0"/>
    <n v="20"/>
    <n v="4"/>
    <n v="3"/>
    <n v="0"/>
    <n v="3"/>
    <n v="5"/>
    <n v="3"/>
    <n v="0"/>
    <n v="0"/>
    <n v="0"/>
    <n v="0"/>
    <n v="1"/>
    <x v="2"/>
    <n v="2"/>
    <x v="1"/>
    <n v="1"/>
    <x v="1"/>
    <n v="1"/>
    <s v="Bachelor"/>
    <s v="Low"/>
    <s v="Very High"/>
    <s v="Better"/>
  </r>
  <r>
    <n v="33"/>
    <s v="No"/>
    <s v="Travel_Rarely"/>
    <s v="Research &amp; Development"/>
    <n v="13"/>
    <n v="1"/>
    <s v="Life Sciences"/>
    <n v="995"/>
    <n v="2"/>
    <s v="Female"/>
    <n v="3"/>
    <n v="1"/>
    <s v="Research Scientist"/>
    <n v="4"/>
    <s v="Single"/>
    <n v="3452"/>
    <n v="3"/>
    <x v="1"/>
    <n v="18"/>
    <n v="3"/>
    <n v="1"/>
    <n v="0"/>
    <n v="5"/>
    <n v="4"/>
    <n v="3"/>
    <n v="3"/>
    <n v="2"/>
    <n v="0"/>
    <n v="2"/>
    <n v="0"/>
    <x v="2"/>
    <n v="2"/>
    <x v="0"/>
    <n v="2"/>
    <x v="2"/>
    <n v="2"/>
    <s v="Below College"/>
    <s v="Very High"/>
    <s v="Medium"/>
    <s v="Better"/>
  </r>
  <r>
    <n v="45"/>
    <s v="No"/>
    <s v="Travel_Rarely"/>
    <s v="Research &amp; Development"/>
    <n v="1"/>
    <n v="4"/>
    <s v="Medical"/>
    <n v="996"/>
    <n v="4"/>
    <s v="Female"/>
    <n v="3"/>
    <n v="1"/>
    <s v="Laboratory Technician"/>
    <n v="4"/>
    <s v="Divorced"/>
    <n v="2270"/>
    <n v="3"/>
    <x v="1"/>
    <n v="14"/>
    <n v="3"/>
    <n v="4"/>
    <n v="2"/>
    <n v="8"/>
    <n v="2"/>
    <n v="3"/>
    <n v="5"/>
    <n v="3"/>
    <n v="0"/>
    <n v="2"/>
    <n v="0"/>
    <x v="0"/>
    <n v="3"/>
    <x v="1"/>
    <n v="1"/>
    <x v="2"/>
    <n v="2"/>
    <s v="Master"/>
    <s v="Very High"/>
    <s v="Very High"/>
    <s v="Better"/>
  </r>
  <r>
    <n v="50"/>
    <s v="No"/>
    <s v="Travel_Rarely"/>
    <s v="Research &amp; Development"/>
    <n v="1"/>
    <n v="2"/>
    <s v="Medical"/>
    <n v="997"/>
    <n v="4"/>
    <s v="Male"/>
    <n v="3"/>
    <n v="4"/>
    <s v="Research Director"/>
    <n v="4"/>
    <s v="Divorced"/>
    <n v="17399"/>
    <n v="9"/>
    <x v="1"/>
    <n v="22"/>
    <n v="4"/>
    <n v="3"/>
    <n v="1"/>
    <n v="32"/>
    <n v="1"/>
    <n v="2"/>
    <n v="5"/>
    <n v="4"/>
    <n v="1"/>
    <n v="3"/>
    <n v="0"/>
    <x v="1"/>
    <n v="4"/>
    <x v="3"/>
    <n v="4"/>
    <x v="2"/>
    <n v="2"/>
    <s v="College"/>
    <s v="Very High"/>
    <s v="Very High"/>
    <s v="Good"/>
  </r>
  <r>
    <n v="33"/>
    <s v="No"/>
    <s v="Travel_Frequently"/>
    <s v="Research &amp; Development"/>
    <n v="1"/>
    <n v="4"/>
    <s v="Other"/>
    <n v="998"/>
    <n v="3"/>
    <s v="Female"/>
    <n v="4"/>
    <n v="2"/>
    <s v="Healthcare Representative"/>
    <n v="2"/>
    <s v="Married"/>
    <n v="5488"/>
    <n v="1"/>
    <x v="0"/>
    <n v="13"/>
    <n v="3"/>
    <n v="1"/>
    <n v="1"/>
    <n v="6"/>
    <n v="2"/>
    <n v="3"/>
    <n v="6"/>
    <n v="5"/>
    <n v="1"/>
    <n v="2"/>
    <n v="0"/>
    <x v="2"/>
    <n v="2"/>
    <x v="0"/>
    <n v="2"/>
    <x v="0"/>
    <n v="3"/>
    <s v="Master"/>
    <s v="Medium"/>
    <s v="High"/>
    <s v="Better"/>
  </r>
  <r>
    <n v="41"/>
    <s v="No"/>
    <s v="Travel_Frequently"/>
    <s v="Research &amp; Development"/>
    <n v="9"/>
    <n v="3"/>
    <s v="Medical"/>
    <n v="999"/>
    <n v="1"/>
    <s v="Male"/>
    <n v="3"/>
    <n v="5"/>
    <s v="Research Director"/>
    <n v="3"/>
    <s v="Divorced"/>
    <n v="19419"/>
    <n v="2"/>
    <x v="1"/>
    <n v="17"/>
    <n v="3"/>
    <n v="2"/>
    <n v="1"/>
    <n v="21"/>
    <n v="2"/>
    <n v="4"/>
    <n v="18"/>
    <n v="16"/>
    <n v="0"/>
    <n v="11"/>
    <n v="0"/>
    <x v="0"/>
    <n v="3"/>
    <x v="3"/>
    <n v="4"/>
    <x v="3"/>
    <n v="4"/>
    <s v="Bachelor"/>
    <s v="High"/>
    <s v="Low"/>
    <s v="Best"/>
  </r>
  <r>
    <n v="27"/>
    <s v="No"/>
    <s v="Travel_Rarely"/>
    <s v="Research &amp; Development"/>
    <n v="16"/>
    <n v="4"/>
    <s v="Technical Degree"/>
    <n v="1001"/>
    <n v="3"/>
    <s v="Female"/>
    <n v="3"/>
    <n v="1"/>
    <s v="Laboratory Technician"/>
    <n v="2"/>
    <s v="Married"/>
    <n v="2811"/>
    <n v="9"/>
    <x v="1"/>
    <n v="14"/>
    <n v="3"/>
    <n v="2"/>
    <n v="1"/>
    <n v="4"/>
    <n v="2"/>
    <n v="3"/>
    <n v="2"/>
    <n v="2"/>
    <n v="2"/>
    <n v="2"/>
    <n v="0"/>
    <x v="2"/>
    <n v="2"/>
    <x v="1"/>
    <n v="1"/>
    <x v="1"/>
    <n v="1"/>
    <s v="Master"/>
    <s v="Medium"/>
    <s v="High"/>
    <s v="Better"/>
  </r>
  <r>
    <n v="45"/>
    <s v="No"/>
    <s v="Non-Travel"/>
    <s v="Research &amp; Development"/>
    <n v="23"/>
    <n v="2"/>
    <s v="Life Sciences"/>
    <n v="1002"/>
    <n v="4"/>
    <s v="Male"/>
    <n v="3"/>
    <n v="2"/>
    <s v="Laboratory Technician"/>
    <n v="1"/>
    <s v="Married"/>
    <n v="3633"/>
    <n v="1"/>
    <x v="0"/>
    <n v="15"/>
    <n v="3"/>
    <n v="3"/>
    <n v="1"/>
    <n v="9"/>
    <n v="2"/>
    <n v="3"/>
    <n v="9"/>
    <n v="8"/>
    <n v="0"/>
    <n v="8"/>
    <n v="0"/>
    <x v="0"/>
    <n v="3"/>
    <x v="0"/>
    <n v="2"/>
    <x v="0"/>
    <n v="3"/>
    <s v="College"/>
    <s v="Low"/>
    <s v="Very High"/>
    <s v="Better"/>
  </r>
  <r>
    <n v="47"/>
    <s v="No"/>
    <s v="Travel_Rarely"/>
    <s v="Sales"/>
    <n v="4"/>
    <n v="2"/>
    <s v="Life Sciences"/>
    <n v="1003"/>
    <n v="4"/>
    <s v="Female"/>
    <n v="3"/>
    <n v="2"/>
    <s v="Sales Executive"/>
    <n v="4"/>
    <s v="Single"/>
    <n v="4163"/>
    <n v="1"/>
    <x v="0"/>
    <n v="17"/>
    <n v="3"/>
    <n v="3"/>
    <n v="0"/>
    <n v="9"/>
    <n v="0"/>
    <n v="3"/>
    <n v="9"/>
    <n v="0"/>
    <n v="0"/>
    <n v="7"/>
    <n v="0"/>
    <x v="1"/>
    <n v="4"/>
    <x v="0"/>
    <n v="2"/>
    <x v="0"/>
    <n v="3"/>
    <s v="College"/>
    <s v="Very High"/>
    <s v="Very High"/>
    <s v="Better"/>
  </r>
  <r>
    <n v="30"/>
    <s v="Yes"/>
    <s v="Travel_Rarely"/>
    <s v="Research &amp; Development"/>
    <n v="22"/>
    <n v="3"/>
    <s v="Life Sciences"/>
    <n v="1004"/>
    <n v="1"/>
    <s v="Female"/>
    <n v="3"/>
    <n v="1"/>
    <s v="Research Scientist"/>
    <n v="3"/>
    <s v="Married"/>
    <n v="2132"/>
    <n v="4"/>
    <x v="0"/>
    <n v="11"/>
    <n v="3"/>
    <n v="2"/>
    <n v="0"/>
    <n v="7"/>
    <n v="2"/>
    <n v="3"/>
    <n v="5"/>
    <n v="2"/>
    <n v="0"/>
    <n v="1"/>
    <n v="1"/>
    <x v="2"/>
    <n v="2"/>
    <x v="1"/>
    <n v="1"/>
    <x v="2"/>
    <n v="2"/>
    <s v="Bachelor"/>
    <s v="High"/>
    <s v="Low"/>
    <s v="Better"/>
  </r>
  <r>
    <n v="50"/>
    <s v="No"/>
    <s v="Travel_Rarely"/>
    <s v="Research &amp; Development"/>
    <n v="24"/>
    <n v="3"/>
    <s v="Life Sciences"/>
    <n v="1005"/>
    <n v="4"/>
    <s v="Male"/>
    <n v="3"/>
    <n v="4"/>
    <s v="Manufacturing Director"/>
    <n v="3"/>
    <s v="Married"/>
    <n v="13973"/>
    <n v="3"/>
    <x v="0"/>
    <n v="18"/>
    <n v="3"/>
    <n v="4"/>
    <n v="1"/>
    <n v="22"/>
    <n v="2"/>
    <n v="3"/>
    <n v="12"/>
    <n v="11"/>
    <n v="1"/>
    <n v="5"/>
    <n v="0"/>
    <x v="1"/>
    <n v="4"/>
    <x v="3"/>
    <n v="4"/>
    <x v="3"/>
    <n v="4"/>
    <s v="Bachelor"/>
    <s v="High"/>
    <s v="Very High"/>
    <s v="Better"/>
  </r>
  <r>
    <n v="38"/>
    <s v="No"/>
    <s v="Travel_Frequently"/>
    <s v="Research &amp; Development"/>
    <n v="10"/>
    <n v="1"/>
    <s v="Medical"/>
    <n v="1006"/>
    <n v="3"/>
    <s v="Male"/>
    <n v="3"/>
    <n v="1"/>
    <s v="Research Scientist"/>
    <n v="3"/>
    <s v="Married"/>
    <n v="2684"/>
    <n v="0"/>
    <x v="1"/>
    <n v="17"/>
    <n v="3"/>
    <n v="2"/>
    <n v="1"/>
    <n v="3"/>
    <n v="0"/>
    <n v="2"/>
    <n v="2"/>
    <n v="1"/>
    <n v="0"/>
    <n v="2"/>
    <n v="0"/>
    <x v="0"/>
    <n v="3"/>
    <x v="1"/>
    <n v="1"/>
    <x v="1"/>
    <n v="1"/>
    <s v="Below College"/>
    <s v="High"/>
    <s v="High"/>
    <s v="Good"/>
  </r>
  <r>
    <n v="46"/>
    <s v="No"/>
    <s v="Travel_Rarely"/>
    <s v="Research &amp; Development"/>
    <n v="7"/>
    <n v="2"/>
    <s v="Medical"/>
    <n v="1007"/>
    <n v="4"/>
    <s v="Male"/>
    <n v="3"/>
    <n v="3"/>
    <s v="Manufacturing Director"/>
    <n v="3"/>
    <s v="Divorced"/>
    <n v="10845"/>
    <n v="6"/>
    <x v="1"/>
    <n v="13"/>
    <n v="3"/>
    <n v="2"/>
    <n v="1"/>
    <n v="13"/>
    <n v="3"/>
    <n v="3"/>
    <n v="8"/>
    <n v="7"/>
    <n v="0"/>
    <n v="7"/>
    <n v="0"/>
    <x v="1"/>
    <n v="4"/>
    <x v="3"/>
    <n v="4"/>
    <x v="0"/>
    <n v="3"/>
    <s v="College"/>
    <s v="High"/>
    <s v="Very High"/>
    <s v="Better"/>
  </r>
  <r>
    <n v="24"/>
    <s v="No"/>
    <s v="Travel_Rarely"/>
    <s v="Research &amp; Development"/>
    <n v="17"/>
    <n v="1"/>
    <s v="Medical"/>
    <n v="1009"/>
    <n v="4"/>
    <s v="Female"/>
    <n v="2"/>
    <n v="2"/>
    <s v="Manufacturing Director"/>
    <n v="3"/>
    <s v="Divorced"/>
    <n v="4377"/>
    <n v="1"/>
    <x v="1"/>
    <n v="15"/>
    <n v="3"/>
    <n v="2"/>
    <n v="2"/>
    <n v="5"/>
    <n v="6"/>
    <n v="3"/>
    <n v="4"/>
    <n v="2"/>
    <n v="3"/>
    <n v="2"/>
    <n v="0"/>
    <x v="4"/>
    <n v="1"/>
    <x v="0"/>
    <n v="2"/>
    <x v="2"/>
    <n v="2"/>
    <s v="Below College"/>
    <s v="High"/>
    <s v="Very High"/>
    <s v="Better"/>
  </r>
  <r>
    <n v="35"/>
    <s v="Yes"/>
    <s v="Travel_Rarely"/>
    <s v="Research &amp; Development"/>
    <n v="14"/>
    <n v="4"/>
    <s v="Other"/>
    <n v="1010"/>
    <n v="3"/>
    <s v="Male"/>
    <n v="2"/>
    <n v="1"/>
    <s v="Laboratory Technician"/>
    <n v="2"/>
    <s v="Divorced"/>
    <n v="3743"/>
    <n v="1"/>
    <x v="0"/>
    <n v="24"/>
    <n v="4"/>
    <n v="4"/>
    <n v="1"/>
    <n v="5"/>
    <n v="2"/>
    <n v="1"/>
    <n v="4"/>
    <n v="2"/>
    <n v="0"/>
    <n v="2"/>
    <n v="1"/>
    <x v="2"/>
    <n v="2"/>
    <x v="0"/>
    <n v="2"/>
    <x v="2"/>
    <n v="2"/>
    <s v="Master"/>
    <s v="Medium"/>
    <s v="High"/>
    <s v="Bad"/>
  </r>
  <r>
    <n v="31"/>
    <s v="No"/>
    <s v="Travel_Frequently"/>
    <s v="Research &amp; Development"/>
    <n v="1"/>
    <n v="1"/>
    <s v="Life Sciences"/>
    <n v="1011"/>
    <n v="3"/>
    <s v="Female"/>
    <n v="3"/>
    <n v="2"/>
    <s v="Manufacturing Director"/>
    <n v="1"/>
    <s v="Married"/>
    <n v="4148"/>
    <n v="1"/>
    <x v="1"/>
    <n v="12"/>
    <n v="3"/>
    <n v="3"/>
    <n v="1"/>
    <n v="4"/>
    <n v="1"/>
    <n v="3"/>
    <n v="4"/>
    <n v="3"/>
    <n v="0"/>
    <n v="3"/>
    <n v="0"/>
    <x v="2"/>
    <n v="2"/>
    <x v="0"/>
    <n v="2"/>
    <x v="2"/>
    <n v="2"/>
    <s v="Below College"/>
    <s v="Low"/>
    <s v="High"/>
    <s v="Better"/>
  </r>
  <r>
    <n v="18"/>
    <s v="No"/>
    <s v="Non-Travel"/>
    <s v="Research &amp; Development"/>
    <n v="5"/>
    <n v="2"/>
    <s v="Life Sciences"/>
    <n v="1012"/>
    <n v="2"/>
    <s v="Male"/>
    <n v="3"/>
    <n v="1"/>
    <s v="Research Scientist"/>
    <n v="4"/>
    <s v="Single"/>
    <n v="1051"/>
    <n v="1"/>
    <x v="1"/>
    <n v="15"/>
    <n v="3"/>
    <n v="4"/>
    <n v="0"/>
    <n v="0"/>
    <n v="2"/>
    <n v="3"/>
    <n v="0"/>
    <n v="0"/>
    <n v="0"/>
    <n v="0"/>
    <n v="0"/>
    <x v="4"/>
    <n v="1"/>
    <x v="1"/>
    <n v="1"/>
    <x v="1"/>
    <n v="1"/>
    <s v="College"/>
    <s v="Very High"/>
    <s v="Medium"/>
    <s v="Better"/>
  </r>
  <r>
    <n v="54"/>
    <s v="No"/>
    <s v="Travel_Rarely"/>
    <s v="Research &amp; Development"/>
    <n v="17"/>
    <n v="3"/>
    <s v="Technical Degree"/>
    <n v="1013"/>
    <n v="3"/>
    <s v="Female"/>
    <n v="3"/>
    <n v="3"/>
    <s v="Manufacturing Director"/>
    <n v="3"/>
    <s v="Married"/>
    <n v="10739"/>
    <n v="8"/>
    <x v="1"/>
    <n v="11"/>
    <n v="3"/>
    <n v="3"/>
    <n v="1"/>
    <n v="22"/>
    <n v="2"/>
    <n v="3"/>
    <n v="10"/>
    <n v="7"/>
    <n v="0"/>
    <n v="8"/>
    <n v="0"/>
    <x v="1"/>
    <n v="4"/>
    <x v="3"/>
    <n v="4"/>
    <x v="0"/>
    <n v="3"/>
    <s v="Bachelor"/>
    <s v="High"/>
    <s v="High"/>
    <s v="Better"/>
  </r>
  <r>
    <n v="35"/>
    <s v="No"/>
    <s v="Travel_Rarely"/>
    <s v="Research &amp; Development"/>
    <n v="25"/>
    <n v="4"/>
    <s v="Medical"/>
    <n v="1014"/>
    <n v="3"/>
    <s v="Female"/>
    <n v="3"/>
    <n v="3"/>
    <s v="Healthcare Representative"/>
    <n v="3"/>
    <s v="Divorced"/>
    <n v="10388"/>
    <n v="1"/>
    <x v="0"/>
    <n v="11"/>
    <n v="3"/>
    <n v="3"/>
    <n v="1"/>
    <n v="16"/>
    <n v="3"/>
    <n v="2"/>
    <n v="16"/>
    <n v="10"/>
    <n v="10"/>
    <n v="1"/>
    <n v="0"/>
    <x v="2"/>
    <n v="2"/>
    <x v="3"/>
    <n v="4"/>
    <x v="3"/>
    <n v="4"/>
    <s v="Master"/>
    <s v="High"/>
    <s v="High"/>
    <s v="Good"/>
  </r>
  <r>
    <n v="30"/>
    <s v="No"/>
    <s v="Travel_Rarely"/>
    <s v="Research &amp; Development"/>
    <n v="8"/>
    <n v="2"/>
    <s v="Life Sciences"/>
    <n v="1015"/>
    <n v="2"/>
    <s v="Female"/>
    <n v="4"/>
    <n v="3"/>
    <s v="Research Director"/>
    <n v="1"/>
    <s v="Married"/>
    <n v="11416"/>
    <n v="0"/>
    <x v="0"/>
    <n v="12"/>
    <n v="3"/>
    <n v="3"/>
    <n v="3"/>
    <n v="9"/>
    <n v="4"/>
    <n v="2"/>
    <n v="8"/>
    <n v="7"/>
    <n v="1"/>
    <n v="7"/>
    <n v="0"/>
    <x v="2"/>
    <n v="2"/>
    <x v="3"/>
    <n v="4"/>
    <x v="0"/>
    <n v="3"/>
    <s v="College"/>
    <s v="Low"/>
    <s v="Medium"/>
    <s v="Good"/>
  </r>
  <r>
    <n v="20"/>
    <s v="Yes"/>
    <s v="Travel_Rarely"/>
    <s v="Research &amp; Development"/>
    <n v="11"/>
    <n v="3"/>
    <s v="Medical"/>
    <n v="1016"/>
    <n v="4"/>
    <s v="Female"/>
    <n v="2"/>
    <n v="1"/>
    <s v="Research Scientist"/>
    <n v="1"/>
    <s v="Single"/>
    <n v="2600"/>
    <n v="1"/>
    <x v="0"/>
    <n v="15"/>
    <n v="3"/>
    <n v="1"/>
    <n v="0"/>
    <n v="1"/>
    <n v="2"/>
    <n v="3"/>
    <n v="1"/>
    <n v="0"/>
    <n v="0"/>
    <n v="0"/>
    <n v="1"/>
    <x v="4"/>
    <n v="1"/>
    <x v="1"/>
    <n v="1"/>
    <x v="1"/>
    <n v="1"/>
    <s v="Bachelor"/>
    <s v="Low"/>
    <s v="Very High"/>
    <s v="Better"/>
  </r>
  <r>
    <n v="30"/>
    <s v="Yes"/>
    <s v="Travel_Frequently"/>
    <s v="Research &amp; Development"/>
    <n v="5"/>
    <n v="3"/>
    <s v="Medical"/>
    <n v="1017"/>
    <n v="2"/>
    <s v="Female"/>
    <n v="3"/>
    <n v="1"/>
    <s v="Laboratory Technician"/>
    <n v="2"/>
    <s v="Single"/>
    <n v="2422"/>
    <n v="0"/>
    <x v="1"/>
    <n v="17"/>
    <n v="3"/>
    <n v="1"/>
    <n v="0"/>
    <n v="4"/>
    <n v="3"/>
    <n v="3"/>
    <n v="3"/>
    <n v="2"/>
    <n v="1"/>
    <n v="2"/>
    <n v="1"/>
    <x v="2"/>
    <n v="2"/>
    <x v="1"/>
    <n v="1"/>
    <x v="2"/>
    <n v="2"/>
    <s v="Bachelor"/>
    <s v="Medium"/>
    <s v="Medium"/>
    <s v="Better"/>
  </r>
  <r>
    <n v="26"/>
    <s v="No"/>
    <s v="Travel_Rarely"/>
    <s v="Research &amp; Development"/>
    <n v="2"/>
    <n v="2"/>
    <s v="Medical"/>
    <n v="1018"/>
    <n v="4"/>
    <s v="Male"/>
    <n v="4"/>
    <n v="2"/>
    <s v="Manufacturing Director"/>
    <n v="4"/>
    <s v="Married"/>
    <n v="5472"/>
    <n v="1"/>
    <x v="1"/>
    <n v="12"/>
    <n v="3"/>
    <n v="2"/>
    <n v="0"/>
    <n v="8"/>
    <n v="2"/>
    <n v="3"/>
    <n v="8"/>
    <n v="7"/>
    <n v="1"/>
    <n v="3"/>
    <n v="0"/>
    <x v="2"/>
    <n v="2"/>
    <x v="0"/>
    <n v="2"/>
    <x v="0"/>
    <n v="3"/>
    <s v="College"/>
    <s v="Very High"/>
    <s v="Very High"/>
    <s v="Better"/>
  </r>
  <r>
    <n v="22"/>
    <s v="No"/>
    <s v="Travel_Rarely"/>
    <s v="Research &amp; Development"/>
    <n v="8"/>
    <n v="1"/>
    <s v="Life Sciences"/>
    <n v="1019"/>
    <n v="2"/>
    <s v="Male"/>
    <n v="1"/>
    <n v="1"/>
    <s v="Laboratory Technician"/>
    <n v="1"/>
    <s v="Married"/>
    <n v="2451"/>
    <n v="1"/>
    <x v="1"/>
    <n v="15"/>
    <n v="3"/>
    <n v="1"/>
    <n v="1"/>
    <n v="4"/>
    <n v="3"/>
    <n v="2"/>
    <n v="4"/>
    <n v="3"/>
    <n v="1"/>
    <n v="1"/>
    <n v="0"/>
    <x v="4"/>
    <n v="1"/>
    <x v="1"/>
    <n v="1"/>
    <x v="2"/>
    <n v="2"/>
    <s v="Below College"/>
    <s v="Low"/>
    <s v="Medium"/>
    <s v="Good"/>
  </r>
  <r>
    <n v="48"/>
    <s v="No"/>
    <s v="Travel_Rarely"/>
    <s v="Research &amp; Development"/>
    <n v="6"/>
    <n v="3"/>
    <s v="Life Sciences"/>
    <n v="1022"/>
    <n v="1"/>
    <s v="Male"/>
    <n v="2"/>
    <n v="2"/>
    <s v="Healthcare Representative"/>
    <n v="3"/>
    <s v="Single"/>
    <n v="4240"/>
    <n v="2"/>
    <x v="1"/>
    <n v="13"/>
    <n v="3"/>
    <n v="4"/>
    <n v="0"/>
    <n v="19"/>
    <n v="0"/>
    <n v="3"/>
    <n v="2"/>
    <n v="2"/>
    <n v="2"/>
    <n v="2"/>
    <n v="0"/>
    <x v="1"/>
    <n v="4"/>
    <x v="0"/>
    <n v="2"/>
    <x v="1"/>
    <n v="1"/>
    <s v="Bachelor"/>
    <s v="High"/>
    <s v="Low"/>
    <s v="Better"/>
  </r>
  <r>
    <n v="48"/>
    <s v="No"/>
    <s v="Travel_Rarely"/>
    <s v="Research &amp; Development"/>
    <n v="4"/>
    <n v="4"/>
    <s v="Life Sciences"/>
    <n v="1024"/>
    <n v="3"/>
    <s v="Male"/>
    <n v="2"/>
    <n v="3"/>
    <s v="Healthcare Representative"/>
    <n v="3"/>
    <s v="Single"/>
    <n v="10999"/>
    <n v="7"/>
    <x v="1"/>
    <n v="14"/>
    <n v="3"/>
    <n v="2"/>
    <n v="0"/>
    <n v="27"/>
    <n v="3"/>
    <n v="3"/>
    <n v="15"/>
    <n v="11"/>
    <n v="4"/>
    <n v="8"/>
    <n v="0"/>
    <x v="1"/>
    <n v="4"/>
    <x v="3"/>
    <n v="4"/>
    <x v="3"/>
    <n v="4"/>
    <s v="Master"/>
    <s v="High"/>
    <s v="High"/>
    <s v="Better"/>
  </r>
  <r>
    <n v="41"/>
    <s v="No"/>
    <s v="Travel_Rarely"/>
    <s v="Research &amp; Development"/>
    <n v="7"/>
    <n v="2"/>
    <s v="Medical"/>
    <n v="1025"/>
    <n v="4"/>
    <s v="Female"/>
    <n v="3"/>
    <n v="2"/>
    <s v="Manufacturing Director"/>
    <n v="3"/>
    <s v="Single"/>
    <n v="5003"/>
    <n v="6"/>
    <x v="1"/>
    <n v="14"/>
    <n v="3"/>
    <n v="2"/>
    <n v="0"/>
    <n v="8"/>
    <n v="6"/>
    <n v="3"/>
    <n v="2"/>
    <n v="2"/>
    <n v="2"/>
    <n v="1"/>
    <n v="0"/>
    <x v="0"/>
    <n v="3"/>
    <x v="0"/>
    <n v="2"/>
    <x v="1"/>
    <n v="1"/>
    <s v="College"/>
    <s v="High"/>
    <s v="Very High"/>
    <s v="Better"/>
  </r>
  <r>
    <n v="39"/>
    <s v="No"/>
    <s v="Travel_Rarely"/>
    <s v="Research &amp; Development"/>
    <n v="1"/>
    <n v="1"/>
    <s v="Life Sciences"/>
    <n v="1026"/>
    <n v="4"/>
    <s v="Female"/>
    <n v="2"/>
    <n v="4"/>
    <s v="Manufacturing Director"/>
    <n v="4"/>
    <s v="Married"/>
    <n v="12742"/>
    <n v="1"/>
    <x v="1"/>
    <n v="16"/>
    <n v="3"/>
    <n v="3"/>
    <n v="1"/>
    <n v="21"/>
    <n v="3"/>
    <n v="3"/>
    <n v="21"/>
    <n v="6"/>
    <n v="11"/>
    <n v="8"/>
    <n v="0"/>
    <x v="0"/>
    <n v="3"/>
    <x v="3"/>
    <n v="4"/>
    <x v="3"/>
    <n v="4"/>
    <s v="Below College"/>
    <s v="Very High"/>
    <s v="Very High"/>
    <s v="Better"/>
  </r>
  <r>
    <n v="27"/>
    <s v="No"/>
    <s v="Travel_Rarely"/>
    <s v="Research &amp; Development"/>
    <n v="2"/>
    <n v="4"/>
    <s v="Life Sciences"/>
    <n v="1027"/>
    <n v="1"/>
    <s v="Female"/>
    <n v="3"/>
    <n v="2"/>
    <s v="Manufacturing Director"/>
    <n v="4"/>
    <s v="Married"/>
    <n v="4227"/>
    <n v="0"/>
    <x v="1"/>
    <n v="18"/>
    <n v="3"/>
    <n v="2"/>
    <n v="1"/>
    <n v="4"/>
    <n v="2"/>
    <n v="3"/>
    <n v="3"/>
    <n v="2"/>
    <n v="2"/>
    <n v="2"/>
    <n v="0"/>
    <x v="2"/>
    <n v="2"/>
    <x v="0"/>
    <n v="2"/>
    <x v="2"/>
    <n v="2"/>
    <s v="Master"/>
    <s v="Very High"/>
    <s v="Low"/>
    <s v="Better"/>
  </r>
  <r>
    <n v="35"/>
    <s v="No"/>
    <s v="Travel_Rarely"/>
    <s v="Research &amp; Development"/>
    <n v="10"/>
    <n v="3"/>
    <s v="Other"/>
    <n v="1028"/>
    <n v="2"/>
    <s v="Male"/>
    <n v="3"/>
    <n v="1"/>
    <s v="Laboratory Technician"/>
    <n v="4"/>
    <s v="Divorced"/>
    <n v="3917"/>
    <n v="1"/>
    <x v="1"/>
    <n v="20"/>
    <n v="4"/>
    <n v="1"/>
    <n v="1"/>
    <n v="3"/>
    <n v="4"/>
    <n v="2"/>
    <n v="3"/>
    <n v="2"/>
    <n v="1"/>
    <n v="2"/>
    <n v="0"/>
    <x v="2"/>
    <n v="2"/>
    <x v="0"/>
    <n v="2"/>
    <x v="2"/>
    <n v="2"/>
    <s v="Bachelor"/>
    <s v="Very High"/>
    <s v="Medium"/>
    <s v="Good"/>
  </r>
  <r>
    <n v="42"/>
    <s v="No"/>
    <s v="Travel_Rarely"/>
    <s v="Sales"/>
    <n v="5"/>
    <n v="2"/>
    <s v="Marketing"/>
    <n v="1029"/>
    <n v="4"/>
    <s v="Male"/>
    <n v="3"/>
    <n v="5"/>
    <s v="Manager"/>
    <n v="3"/>
    <s v="Married"/>
    <n v="18303"/>
    <n v="6"/>
    <x v="1"/>
    <n v="13"/>
    <n v="3"/>
    <n v="2"/>
    <n v="0"/>
    <n v="21"/>
    <n v="3"/>
    <n v="4"/>
    <n v="1"/>
    <n v="0"/>
    <n v="0"/>
    <n v="0"/>
    <n v="0"/>
    <x v="0"/>
    <n v="3"/>
    <x v="3"/>
    <n v="4"/>
    <x v="1"/>
    <n v="1"/>
    <s v="College"/>
    <s v="High"/>
    <s v="Very High"/>
    <s v="Best"/>
  </r>
  <r>
    <n v="50"/>
    <s v="No"/>
    <s v="Travel_Rarely"/>
    <s v="Research &amp; Development"/>
    <n v="9"/>
    <n v="3"/>
    <s v="Life Sciences"/>
    <n v="1030"/>
    <n v="1"/>
    <s v="Male"/>
    <n v="3"/>
    <n v="1"/>
    <s v="Laboratory Technician"/>
    <n v="4"/>
    <s v="Married"/>
    <n v="2380"/>
    <n v="4"/>
    <x v="1"/>
    <n v="18"/>
    <n v="3"/>
    <n v="2"/>
    <n v="0"/>
    <n v="8"/>
    <n v="5"/>
    <n v="3"/>
    <n v="1"/>
    <n v="0"/>
    <n v="0"/>
    <n v="0"/>
    <n v="0"/>
    <x v="1"/>
    <n v="4"/>
    <x v="1"/>
    <n v="1"/>
    <x v="1"/>
    <n v="1"/>
    <s v="Bachelor"/>
    <s v="Very High"/>
    <s v="Low"/>
    <s v="Better"/>
  </r>
  <r>
    <n v="59"/>
    <s v="No"/>
    <s v="Travel_Rarely"/>
    <s v="Research &amp; Development"/>
    <n v="2"/>
    <n v="3"/>
    <s v="Life Sciences"/>
    <n v="1032"/>
    <n v="3"/>
    <s v="Female"/>
    <n v="2"/>
    <n v="4"/>
    <s v="Manufacturing Director"/>
    <n v="4"/>
    <s v="Single"/>
    <n v="13726"/>
    <n v="3"/>
    <x v="0"/>
    <n v="13"/>
    <n v="3"/>
    <n v="1"/>
    <n v="0"/>
    <n v="30"/>
    <n v="4"/>
    <n v="3"/>
    <n v="5"/>
    <n v="3"/>
    <n v="4"/>
    <n v="3"/>
    <n v="0"/>
    <x v="3"/>
    <n v="5"/>
    <x v="3"/>
    <n v="4"/>
    <x v="2"/>
    <n v="2"/>
    <s v="Bachelor"/>
    <s v="Very High"/>
    <s v="High"/>
    <s v="Better"/>
  </r>
  <r>
    <n v="37"/>
    <s v="Yes"/>
    <s v="Travel_Rarely"/>
    <s v="Research &amp; Development"/>
    <n v="11"/>
    <n v="2"/>
    <s v="Medical"/>
    <n v="1033"/>
    <n v="1"/>
    <s v="Female"/>
    <n v="1"/>
    <n v="2"/>
    <s v="Healthcare Representative"/>
    <n v="2"/>
    <s v="Married"/>
    <n v="4777"/>
    <n v="5"/>
    <x v="1"/>
    <n v="15"/>
    <n v="3"/>
    <n v="1"/>
    <n v="0"/>
    <n v="15"/>
    <n v="2"/>
    <n v="1"/>
    <n v="1"/>
    <n v="0"/>
    <n v="0"/>
    <n v="0"/>
    <n v="1"/>
    <x v="0"/>
    <n v="3"/>
    <x v="0"/>
    <n v="2"/>
    <x v="1"/>
    <n v="1"/>
    <s v="College"/>
    <s v="Medium"/>
    <s v="Low"/>
    <s v="Bad"/>
  </r>
  <r>
    <n v="55"/>
    <s v="No"/>
    <s v="Travel_Frequently"/>
    <s v="Research &amp; Development"/>
    <n v="18"/>
    <n v="4"/>
    <s v="Medical"/>
    <n v="1034"/>
    <n v="3"/>
    <s v="Male"/>
    <n v="3"/>
    <n v="2"/>
    <s v="Healthcare Representative"/>
    <n v="2"/>
    <s v="Married"/>
    <n v="6385"/>
    <n v="3"/>
    <x v="0"/>
    <n v="14"/>
    <n v="3"/>
    <n v="4"/>
    <n v="2"/>
    <n v="17"/>
    <n v="3"/>
    <n v="3"/>
    <n v="8"/>
    <n v="7"/>
    <n v="6"/>
    <n v="7"/>
    <n v="0"/>
    <x v="1"/>
    <n v="4"/>
    <x v="2"/>
    <n v="3"/>
    <x v="0"/>
    <n v="3"/>
    <s v="Master"/>
    <s v="Medium"/>
    <s v="High"/>
    <s v="Better"/>
  </r>
  <r>
    <n v="41"/>
    <s v="No"/>
    <s v="Non-Travel"/>
    <s v="Research &amp; Development"/>
    <n v="7"/>
    <n v="1"/>
    <s v="Life Sciences"/>
    <n v="1035"/>
    <n v="2"/>
    <s v="Female"/>
    <n v="1"/>
    <n v="5"/>
    <s v="Research Director"/>
    <n v="3"/>
    <s v="Divorced"/>
    <n v="19973"/>
    <n v="1"/>
    <x v="1"/>
    <n v="22"/>
    <n v="4"/>
    <n v="2"/>
    <n v="2"/>
    <n v="21"/>
    <n v="3"/>
    <n v="3"/>
    <n v="21"/>
    <n v="16"/>
    <n v="5"/>
    <n v="10"/>
    <n v="0"/>
    <x v="0"/>
    <n v="3"/>
    <x v="3"/>
    <n v="4"/>
    <x v="3"/>
    <n v="4"/>
    <s v="Below College"/>
    <s v="High"/>
    <s v="Medium"/>
    <s v="Better"/>
  </r>
  <r>
    <n v="38"/>
    <s v="No"/>
    <s v="Travel_Rarely"/>
    <s v="Sales"/>
    <n v="3"/>
    <n v="4"/>
    <s v="Life Sciences"/>
    <n v="1036"/>
    <n v="2"/>
    <s v="Male"/>
    <n v="3"/>
    <n v="2"/>
    <s v="Sales Executive"/>
    <n v="4"/>
    <s v="Single"/>
    <n v="6861"/>
    <n v="8"/>
    <x v="0"/>
    <n v="12"/>
    <n v="3"/>
    <n v="3"/>
    <n v="0"/>
    <n v="19"/>
    <n v="1"/>
    <n v="3"/>
    <n v="1"/>
    <n v="0"/>
    <n v="0"/>
    <n v="0"/>
    <n v="0"/>
    <x v="0"/>
    <n v="3"/>
    <x v="2"/>
    <n v="3"/>
    <x v="1"/>
    <n v="1"/>
    <s v="Master"/>
    <s v="Very High"/>
    <s v="Medium"/>
    <s v="Better"/>
  </r>
  <r>
    <n v="26"/>
    <s v="Yes"/>
    <s v="Non-Travel"/>
    <s v="Sales"/>
    <n v="29"/>
    <n v="2"/>
    <s v="Medical"/>
    <n v="1037"/>
    <n v="2"/>
    <s v="Male"/>
    <n v="1"/>
    <n v="2"/>
    <s v="Sales Executive"/>
    <n v="1"/>
    <s v="Single"/>
    <n v="4969"/>
    <n v="8"/>
    <x v="1"/>
    <n v="18"/>
    <n v="3"/>
    <n v="4"/>
    <n v="0"/>
    <n v="7"/>
    <n v="6"/>
    <n v="3"/>
    <n v="2"/>
    <n v="2"/>
    <n v="2"/>
    <n v="2"/>
    <n v="1"/>
    <x v="2"/>
    <n v="2"/>
    <x v="0"/>
    <n v="2"/>
    <x v="1"/>
    <n v="1"/>
    <s v="College"/>
    <s v="Low"/>
    <s v="Medium"/>
    <s v="Better"/>
  </r>
  <r>
    <n v="52"/>
    <s v="Yes"/>
    <s v="Travel_Rarely"/>
    <s v="Sales"/>
    <n v="2"/>
    <n v="1"/>
    <s v="Marketing"/>
    <n v="1038"/>
    <n v="1"/>
    <s v="Female"/>
    <n v="1"/>
    <n v="5"/>
    <s v="Manager"/>
    <n v="4"/>
    <s v="Married"/>
    <n v="19845"/>
    <n v="1"/>
    <x v="1"/>
    <n v="15"/>
    <n v="3"/>
    <n v="4"/>
    <n v="1"/>
    <n v="33"/>
    <n v="3"/>
    <n v="3"/>
    <n v="32"/>
    <n v="14"/>
    <n v="6"/>
    <n v="9"/>
    <n v="1"/>
    <x v="1"/>
    <n v="4"/>
    <x v="3"/>
    <n v="4"/>
    <x v="3"/>
    <n v="4"/>
    <s v="Below College"/>
    <s v="Very High"/>
    <s v="Low"/>
    <s v="Better"/>
  </r>
  <r>
    <n v="44"/>
    <s v="No"/>
    <s v="Travel_Rarely"/>
    <s v="Sales"/>
    <n v="28"/>
    <n v="3"/>
    <s v="Medical"/>
    <n v="1039"/>
    <n v="4"/>
    <s v="Female"/>
    <n v="4"/>
    <n v="4"/>
    <s v="Sales Executive"/>
    <n v="4"/>
    <s v="Married"/>
    <n v="13320"/>
    <n v="3"/>
    <x v="0"/>
    <n v="18"/>
    <n v="3"/>
    <n v="3"/>
    <n v="1"/>
    <n v="23"/>
    <n v="2"/>
    <n v="3"/>
    <n v="12"/>
    <n v="11"/>
    <n v="11"/>
    <n v="11"/>
    <n v="0"/>
    <x v="0"/>
    <n v="3"/>
    <x v="3"/>
    <n v="4"/>
    <x v="3"/>
    <n v="4"/>
    <s v="Bachelor"/>
    <s v="Very High"/>
    <s v="Very High"/>
    <s v="Better"/>
  </r>
  <r>
    <n v="50"/>
    <s v="No"/>
    <s v="Non-Travel"/>
    <s v="Sales"/>
    <n v="1"/>
    <n v="3"/>
    <s v="Life Sciences"/>
    <n v="1040"/>
    <n v="4"/>
    <s v="Female"/>
    <n v="3"/>
    <n v="2"/>
    <s v="Sales Executive"/>
    <n v="3"/>
    <s v="Married"/>
    <n v="6347"/>
    <n v="0"/>
    <x v="1"/>
    <n v="12"/>
    <n v="3"/>
    <n v="1"/>
    <n v="1"/>
    <n v="19"/>
    <n v="3"/>
    <n v="3"/>
    <n v="18"/>
    <n v="7"/>
    <n v="0"/>
    <n v="13"/>
    <n v="0"/>
    <x v="1"/>
    <n v="4"/>
    <x v="2"/>
    <n v="3"/>
    <x v="3"/>
    <n v="4"/>
    <s v="Bachelor"/>
    <s v="High"/>
    <s v="Very High"/>
    <s v="Better"/>
  </r>
  <r>
    <n v="36"/>
    <s v="Yes"/>
    <s v="Travel_Rarely"/>
    <s v="Research &amp; Development"/>
    <n v="16"/>
    <n v="4"/>
    <s v="Life Sciences"/>
    <n v="1042"/>
    <n v="3"/>
    <s v="Female"/>
    <n v="4"/>
    <n v="1"/>
    <s v="Laboratory Technician"/>
    <n v="1"/>
    <s v="Single"/>
    <n v="2743"/>
    <n v="1"/>
    <x v="1"/>
    <n v="16"/>
    <n v="3"/>
    <n v="3"/>
    <n v="0"/>
    <n v="18"/>
    <n v="1"/>
    <n v="3"/>
    <n v="17"/>
    <n v="13"/>
    <n v="15"/>
    <n v="14"/>
    <n v="1"/>
    <x v="0"/>
    <n v="3"/>
    <x v="1"/>
    <n v="1"/>
    <x v="3"/>
    <n v="4"/>
    <s v="Master"/>
    <s v="Low"/>
    <s v="High"/>
    <s v="Better"/>
  </r>
  <r>
    <n v="39"/>
    <s v="No"/>
    <s v="Travel_Frequently"/>
    <s v="Research &amp; Development"/>
    <n v="22"/>
    <n v="3"/>
    <s v="Medical"/>
    <n v="1043"/>
    <n v="4"/>
    <s v="Female"/>
    <n v="3"/>
    <n v="3"/>
    <s v="Manufacturing Director"/>
    <n v="1"/>
    <s v="Single"/>
    <n v="10880"/>
    <n v="1"/>
    <x v="0"/>
    <n v="13"/>
    <n v="3"/>
    <n v="3"/>
    <n v="0"/>
    <n v="21"/>
    <n v="2"/>
    <n v="3"/>
    <n v="21"/>
    <n v="6"/>
    <n v="2"/>
    <n v="8"/>
    <n v="0"/>
    <x v="0"/>
    <n v="3"/>
    <x v="3"/>
    <n v="4"/>
    <x v="3"/>
    <n v="4"/>
    <s v="Bachelor"/>
    <s v="Low"/>
    <s v="Very High"/>
    <s v="Better"/>
  </r>
  <r>
    <n v="33"/>
    <s v="No"/>
    <s v="Non-Travel"/>
    <s v="Sales"/>
    <n v="8"/>
    <n v="1"/>
    <s v="Life Sciences"/>
    <n v="1044"/>
    <n v="2"/>
    <s v="Female"/>
    <n v="2"/>
    <n v="1"/>
    <s v="Sales Representative"/>
    <n v="4"/>
    <s v="Single"/>
    <n v="2342"/>
    <n v="0"/>
    <x v="1"/>
    <n v="19"/>
    <n v="3"/>
    <n v="4"/>
    <n v="0"/>
    <n v="3"/>
    <n v="2"/>
    <n v="2"/>
    <n v="2"/>
    <n v="2"/>
    <n v="2"/>
    <n v="2"/>
    <n v="0"/>
    <x v="2"/>
    <n v="2"/>
    <x v="1"/>
    <n v="1"/>
    <x v="1"/>
    <n v="1"/>
    <s v="Below College"/>
    <s v="Very High"/>
    <s v="Medium"/>
    <s v="Good"/>
  </r>
  <r>
    <n v="45"/>
    <s v="No"/>
    <s v="Travel_Rarely"/>
    <s v="Sales"/>
    <n v="11"/>
    <n v="2"/>
    <s v="Life Sciences"/>
    <n v="1045"/>
    <n v="4"/>
    <s v="Female"/>
    <n v="3"/>
    <n v="4"/>
    <s v="Manager"/>
    <n v="4"/>
    <s v="Married"/>
    <n v="17650"/>
    <n v="3"/>
    <x v="1"/>
    <n v="13"/>
    <n v="3"/>
    <n v="2"/>
    <n v="1"/>
    <n v="26"/>
    <n v="4"/>
    <n v="4"/>
    <n v="9"/>
    <n v="3"/>
    <n v="1"/>
    <n v="1"/>
    <n v="0"/>
    <x v="0"/>
    <n v="3"/>
    <x v="3"/>
    <n v="4"/>
    <x v="0"/>
    <n v="3"/>
    <s v="College"/>
    <s v="Very High"/>
    <s v="Very High"/>
    <s v="Best"/>
  </r>
  <r>
    <n v="32"/>
    <s v="No"/>
    <s v="Non-Travel"/>
    <s v="Research &amp; Development"/>
    <n v="29"/>
    <n v="4"/>
    <s v="Medical"/>
    <n v="1046"/>
    <n v="4"/>
    <s v="Female"/>
    <n v="3"/>
    <n v="1"/>
    <s v="Laboratory Technician"/>
    <n v="3"/>
    <s v="Single"/>
    <n v="4025"/>
    <n v="9"/>
    <x v="1"/>
    <n v="12"/>
    <n v="3"/>
    <n v="2"/>
    <n v="0"/>
    <n v="10"/>
    <n v="2"/>
    <n v="3"/>
    <n v="8"/>
    <n v="7"/>
    <n v="7"/>
    <n v="7"/>
    <n v="0"/>
    <x v="2"/>
    <n v="2"/>
    <x v="0"/>
    <n v="2"/>
    <x v="0"/>
    <n v="3"/>
    <s v="Master"/>
    <s v="High"/>
    <s v="Very High"/>
    <s v="Better"/>
  </r>
  <r>
    <n v="34"/>
    <s v="No"/>
    <s v="Travel_Rarely"/>
    <s v="Sales"/>
    <n v="1"/>
    <n v="4"/>
    <s v="Marketing"/>
    <n v="1047"/>
    <n v="2"/>
    <s v="Male"/>
    <n v="4"/>
    <n v="2"/>
    <s v="Sales Executive"/>
    <n v="4"/>
    <s v="Divorced"/>
    <n v="9725"/>
    <n v="0"/>
    <x v="1"/>
    <n v="11"/>
    <n v="3"/>
    <n v="4"/>
    <n v="1"/>
    <n v="16"/>
    <n v="2"/>
    <n v="2"/>
    <n v="15"/>
    <n v="1"/>
    <n v="0"/>
    <n v="9"/>
    <n v="0"/>
    <x v="2"/>
    <n v="2"/>
    <x v="2"/>
    <n v="3"/>
    <x v="3"/>
    <n v="4"/>
    <s v="Master"/>
    <s v="Very High"/>
    <s v="Medium"/>
    <s v="Good"/>
  </r>
  <r>
    <n v="59"/>
    <s v="No"/>
    <s v="Travel_Rarely"/>
    <s v="Sales"/>
    <n v="1"/>
    <n v="2"/>
    <s v="Technical Degree"/>
    <n v="1048"/>
    <n v="2"/>
    <s v="Male"/>
    <n v="3"/>
    <n v="3"/>
    <s v="Manager"/>
    <n v="4"/>
    <s v="Married"/>
    <n v="11904"/>
    <n v="3"/>
    <x v="0"/>
    <n v="14"/>
    <n v="3"/>
    <n v="3"/>
    <n v="1"/>
    <n v="14"/>
    <n v="1"/>
    <n v="1"/>
    <n v="6"/>
    <n v="4"/>
    <n v="0"/>
    <n v="4"/>
    <n v="0"/>
    <x v="3"/>
    <n v="5"/>
    <x v="3"/>
    <n v="4"/>
    <x v="0"/>
    <n v="3"/>
    <s v="College"/>
    <s v="Very High"/>
    <s v="Medium"/>
    <s v="Bad"/>
  </r>
  <r>
    <n v="45"/>
    <s v="No"/>
    <s v="Travel_Rarely"/>
    <s v="Human Resources"/>
    <n v="24"/>
    <n v="4"/>
    <s v="Medical"/>
    <n v="1049"/>
    <n v="2"/>
    <s v="Male"/>
    <n v="3"/>
    <n v="1"/>
    <s v="Human Resources"/>
    <n v="2"/>
    <s v="Single"/>
    <n v="2177"/>
    <n v="1"/>
    <x v="1"/>
    <n v="16"/>
    <n v="3"/>
    <n v="1"/>
    <n v="0"/>
    <n v="6"/>
    <n v="3"/>
    <n v="3"/>
    <n v="6"/>
    <n v="3"/>
    <n v="0"/>
    <n v="4"/>
    <n v="0"/>
    <x v="0"/>
    <n v="3"/>
    <x v="1"/>
    <n v="1"/>
    <x v="0"/>
    <n v="3"/>
    <s v="Master"/>
    <s v="Medium"/>
    <s v="Medium"/>
    <s v="Better"/>
  </r>
  <r>
    <n v="53"/>
    <s v="No"/>
    <s v="Travel_Frequently"/>
    <s v="Sales"/>
    <n v="2"/>
    <n v="3"/>
    <s v="Marketing"/>
    <n v="1050"/>
    <n v="3"/>
    <s v="Female"/>
    <n v="2"/>
    <n v="3"/>
    <s v="Sales Executive"/>
    <n v="2"/>
    <s v="Married"/>
    <n v="7525"/>
    <n v="2"/>
    <x v="1"/>
    <n v="12"/>
    <n v="3"/>
    <n v="1"/>
    <n v="1"/>
    <n v="30"/>
    <n v="2"/>
    <n v="3"/>
    <n v="15"/>
    <n v="7"/>
    <n v="6"/>
    <n v="12"/>
    <n v="0"/>
    <x v="1"/>
    <n v="4"/>
    <x v="2"/>
    <n v="3"/>
    <x v="3"/>
    <n v="4"/>
    <s v="Bachelor"/>
    <s v="Medium"/>
    <s v="High"/>
    <s v="Better"/>
  </r>
  <r>
    <n v="36"/>
    <s v="Yes"/>
    <s v="Travel_Rarely"/>
    <s v="Research &amp; Development"/>
    <n v="15"/>
    <n v="3"/>
    <s v="Other"/>
    <n v="1052"/>
    <n v="1"/>
    <s v="Male"/>
    <n v="3"/>
    <n v="2"/>
    <s v="Laboratory Technician"/>
    <n v="3"/>
    <s v="Divorced"/>
    <n v="4834"/>
    <n v="7"/>
    <x v="1"/>
    <n v="14"/>
    <n v="3"/>
    <n v="2"/>
    <n v="1"/>
    <n v="9"/>
    <n v="3"/>
    <n v="2"/>
    <n v="1"/>
    <n v="0"/>
    <n v="0"/>
    <n v="0"/>
    <n v="1"/>
    <x v="0"/>
    <n v="3"/>
    <x v="0"/>
    <n v="2"/>
    <x v="1"/>
    <n v="1"/>
    <s v="Bachelor"/>
    <s v="High"/>
    <s v="Low"/>
    <s v="Good"/>
  </r>
  <r>
    <n v="26"/>
    <s v="Yes"/>
    <s v="Travel_Frequently"/>
    <s v="Research &amp; Development"/>
    <n v="2"/>
    <n v="3"/>
    <s v="Life Sciences"/>
    <n v="1053"/>
    <n v="1"/>
    <s v="Male"/>
    <n v="3"/>
    <n v="1"/>
    <s v="Research Scientist"/>
    <n v="1"/>
    <s v="Married"/>
    <n v="2042"/>
    <n v="6"/>
    <x v="0"/>
    <n v="14"/>
    <n v="3"/>
    <n v="2"/>
    <n v="1"/>
    <n v="6"/>
    <n v="2"/>
    <n v="3"/>
    <n v="3"/>
    <n v="2"/>
    <n v="1"/>
    <n v="2"/>
    <n v="1"/>
    <x v="2"/>
    <n v="2"/>
    <x v="1"/>
    <n v="1"/>
    <x v="2"/>
    <n v="2"/>
    <s v="Bachelor"/>
    <s v="Low"/>
    <s v="Low"/>
    <s v="Better"/>
  </r>
  <r>
    <n v="34"/>
    <s v="No"/>
    <s v="Travel_Rarely"/>
    <s v="Sales"/>
    <n v="10"/>
    <n v="4"/>
    <s v="Life Sciences"/>
    <n v="1055"/>
    <n v="3"/>
    <s v="Female"/>
    <n v="3"/>
    <n v="1"/>
    <s v="Sales Representative"/>
    <n v="3"/>
    <s v="Married"/>
    <n v="2220"/>
    <n v="1"/>
    <x v="0"/>
    <n v="19"/>
    <n v="3"/>
    <n v="4"/>
    <n v="1"/>
    <n v="1"/>
    <n v="2"/>
    <n v="3"/>
    <n v="1"/>
    <n v="1"/>
    <n v="0"/>
    <n v="0"/>
    <n v="0"/>
    <x v="2"/>
    <n v="2"/>
    <x v="1"/>
    <n v="1"/>
    <x v="1"/>
    <n v="1"/>
    <s v="Master"/>
    <s v="High"/>
    <s v="High"/>
    <s v="Better"/>
  </r>
  <r>
    <n v="28"/>
    <s v="No"/>
    <s v="Travel_Rarely"/>
    <s v="Sales"/>
    <n v="10"/>
    <n v="1"/>
    <s v="Medical"/>
    <n v="1056"/>
    <n v="4"/>
    <s v="Male"/>
    <n v="3"/>
    <n v="1"/>
    <s v="Sales Representative"/>
    <n v="2"/>
    <s v="Married"/>
    <n v="1052"/>
    <n v="1"/>
    <x v="1"/>
    <n v="22"/>
    <n v="4"/>
    <n v="2"/>
    <n v="0"/>
    <n v="1"/>
    <n v="5"/>
    <n v="3"/>
    <n v="1"/>
    <n v="0"/>
    <n v="0"/>
    <n v="0"/>
    <n v="0"/>
    <x v="2"/>
    <n v="2"/>
    <x v="1"/>
    <n v="1"/>
    <x v="1"/>
    <n v="1"/>
    <s v="Below College"/>
    <s v="Medium"/>
    <s v="Very High"/>
    <s v="Better"/>
  </r>
  <r>
    <n v="38"/>
    <s v="No"/>
    <s v="Travel_Frequently"/>
    <s v="Research &amp; Development"/>
    <n v="3"/>
    <n v="4"/>
    <s v="Other"/>
    <n v="1060"/>
    <n v="3"/>
    <s v="Male"/>
    <n v="3"/>
    <n v="1"/>
    <s v="Research Scientist"/>
    <n v="3"/>
    <s v="Married"/>
    <n v="2821"/>
    <n v="3"/>
    <x v="1"/>
    <n v="16"/>
    <n v="3"/>
    <n v="1"/>
    <n v="1"/>
    <n v="8"/>
    <n v="2"/>
    <n v="3"/>
    <n v="2"/>
    <n v="2"/>
    <n v="2"/>
    <n v="2"/>
    <n v="0"/>
    <x v="0"/>
    <n v="3"/>
    <x v="1"/>
    <n v="1"/>
    <x v="1"/>
    <n v="1"/>
    <s v="Master"/>
    <s v="High"/>
    <s v="High"/>
    <s v="Better"/>
  </r>
  <r>
    <n v="50"/>
    <s v="No"/>
    <s v="Travel_Rarely"/>
    <s v="Research &amp; Development"/>
    <n v="2"/>
    <n v="4"/>
    <s v="Medical"/>
    <n v="1061"/>
    <n v="2"/>
    <s v="Male"/>
    <n v="3"/>
    <n v="5"/>
    <s v="Research Director"/>
    <n v="3"/>
    <s v="Married"/>
    <n v="19237"/>
    <n v="2"/>
    <x v="0"/>
    <n v="11"/>
    <n v="3"/>
    <n v="4"/>
    <n v="1"/>
    <n v="29"/>
    <n v="2"/>
    <n v="2"/>
    <n v="8"/>
    <n v="1"/>
    <n v="7"/>
    <n v="7"/>
    <n v="0"/>
    <x v="1"/>
    <n v="4"/>
    <x v="3"/>
    <n v="4"/>
    <x v="0"/>
    <n v="3"/>
    <s v="Master"/>
    <s v="High"/>
    <s v="Medium"/>
    <s v="Good"/>
  </r>
  <r>
    <n v="37"/>
    <s v="No"/>
    <s v="Travel_Rarely"/>
    <s v="Research &amp; Development"/>
    <n v="3"/>
    <n v="3"/>
    <s v="Other"/>
    <n v="1062"/>
    <n v="4"/>
    <s v="Female"/>
    <n v="3"/>
    <n v="2"/>
    <s v="Healthcare Representative"/>
    <n v="2"/>
    <s v="Single"/>
    <n v="4107"/>
    <n v="3"/>
    <x v="1"/>
    <n v="15"/>
    <n v="3"/>
    <n v="1"/>
    <n v="0"/>
    <n v="8"/>
    <n v="3"/>
    <n v="2"/>
    <n v="4"/>
    <n v="3"/>
    <n v="0"/>
    <n v="1"/>
    <n v="0"/>
    <x v="0"/>
    <n v="3"/>
    <x v="0"/>
    <n v="2"/>
    <x v="2"/>
    <n v="2"/>
    <s v="Bachelor"/>
    <s v="Medium"/>
    <s v="Very High"/>
    <s v="Good"/>
  </r>
  <r>
    <n v="40"/>
    <s v="No"/>
    <s v="Travel_Rarely"/>
    <s v="Sales"/>
    <n v="26"/>
    <n v="3"/>
    <s v="Marketing"/>
    <n v="1066"/>
    <n v="3"/>
    <s v="Male"/>
    <n v="3"/>
    <n v="2"/>
    <s v="Sales Executive"/>
    <n v="1"/>
    <s v="Married"/>
    <n v="8396"/>
    <n v="1"/>
    <x v="1"/>
    <n v="14"/>
    <n v="3"/>
    <n v="2"/>
    <n v="1"/>
    <n v="8"/>
    <n v="3"/>
    <n v="2"/>
    <n v="7"/>
    <n v="7"/>
    <n v="7"/>
    <n v="5"/>
    <n v="0"/>
    <x v="0"/>
    <n v="3"/>
    <x v="2"/>
    <n v="3"/>
    <x v="0"/>
    <n v="3"/>
    <s v="Bachelor"/>
    <s v="Low"/>
    <s v="High"/>
    <s v="Good"/>
  </r>
  <r>
    <n v="26"/>
    <s v="No"/>
    <s v="Travel_Frequently"/>
    <s v="Research &amp; Development"/>
    <n v="1"/>
    <n v="1"/>
    <s v="Medical"/>
    <n v="1068"/>
    <n v="1"/>
    <s v="Female"/>
    <n v="2"/>
    <n v="1"/>
    <s v="Research Scientist"/>
    <n v="3"/>
    <s v="Divorced"/>
    <n v="2007"/>
    <n v="1"/>
    <x v="1"/>
    <n v="13"/>
    <n v="3"/>
    <n v="3"/>
    <n v="2"/>
    <n v="5"/>
    <n v="5"/>
    <n v="3"/>
    <n v="5"/>
    <n v="3"/>
    <n v="1"/>
    <n v="3"/>
    <n v="0"/>
    <x v="2"/>
    <n v="2"/>
    <x v="1"/>
    <n v="1"/>
    <x v="2"/>
    <n v="2"/>
    <s v="Below College"/>
    <s v="High"/>
    <s v="Low"/>
    <s v="Better"/>
  </r>
  <r>
    <n v="46"/>
    <s v="No"/>
    <s v="Travel_Rarely"/>
    <s v="Research &amp; Development"/>
    <n v="1"/>
    <n v="4"/>
    <s v="Medical"/>
    <n v="1069"/>
    <n v="4"/>
    <s v="Male"/>
    <n v="3"/>
    <n v="5"/>
    <s v="Research Director"/>
    <n v="4"/>
    <s v="Divorced"/>
    <n v="19627"/>
    <n v="9"/>
    <x v="1"/>
    <n v="17"/>
    <n v="3"/>
    <n v="4"/>
    <n v="2"/>
    <n v="23"/>
    <n v="0"/>
    <n v="3"/>
    <n v="2"/>
    <n v="2"/>
    <n v="2"/>
    <n v="2"/>
    <n v="0"/>
    <x v="1"/>
    <n v="4"/>
    <x v="3"/>
    <n v="4"/>
    <x v="1"/>
    <n v="1"/>
    <s v="Master"/>
    <s v="Very High"/>
    <s v="Very High"/>
    <s v="Better"/>
  </r>
  <r>
    <n v="54"/>
    <s v="No"/>
    <s v="Travel_Rarely"/>
    <s v="Sales"/>
    <n v="2"/>
    <n v="4"/>
    <s v="Life Sciences"/>
    <n v="1070"/>
    <n v="3"/>
    <s v="Female"/>
    <n v="2"/>
    <n v="3"/>
    <s v="Sales Executive"/>
    <n v="3"/>
    <s v="Married"/>
    <n v="10686"/>
    <n v="6"/>
    <x v="1"/>
    <n v="11"/>
    <n v="3"/>
    <n v="2"/>
    <n v="1"/>
    <n v="13"/>
    <n v="4"/>
    <n v="3"/>
    <n v="9"/>
    <n v="4"/>
    <n v="7"/>
    <n v="0"/>
    <n v="0"/>
    <x v="1"/>
    <n v="4"/>
    <x v="3"/>
    <n v="4"/>
    <x v="0"/>
    <n v="3"/>
    <s v="Master"/>
    <s v="High"/>
    <s v="High"/>
    <s v="Better"/>
  </r>
  <r>
    <n v="56"/>
    <s v="No"/>
    <s v="Travel_Frequently"/>
    <s v="Research &amp; Development"/>
    <n v="9"/>
    <n v="3"/>
    <s v="Medical"/>
    <n v="1071"/>
    <n v="1"/>
    <s v="Female"/>
    <n v="3"/>
    <n v="1"/>
    <s v="Research Scientist"/>
    <n v="3"/>
    <s v="Married"/>
    <n v="2942"/>
    <n v="2"/>
    <x v="1"/>
    <n v="19"/>
    <n v="3"/>
    <n v="2"/>
    <n v="1"/>
    <n v="18"/>
    <n v="4"/>
    <n v="3"/>
    <n v="5"/>
    <n v="4"/>
    <n v="0"/>
    <n v="3"/>
    <n v="0"/>
    <x v="3"/>
    <n v="5"/>
    <x v="1"/>
    <n v="1"/>
    <x v="2"/>
    <n v="2"/>
    <s v="Bachelor"/>
    <s v="High"/>
    <s v="Low"/>
    <s v="Better"/>
  </r>
  <r>
    <n v="36"/>
    <s v="No"/>
    <s v="Travel_Rarely"/>
    <s v="Research &amp; Development"/>
    <n v="12"/>
    <n v="5"/>
    <s v="Medical"/>
    <n v="1073"/>
    <n v="4"/>
    <s v="Female"/>
    <n v="2"/>
    <n v="3"/>
    <s v="Manufacturing Director"/>
    <n v="4"/>
    <s v="Single"/>
    <n v="8858"/>
    <n v="0"/>
    <x v="1"/>
    <n v="11"/>
    <n v="3"/>
    <n v="2"/>
    <n v="0"/>
    <n v="15"/>
    <n v="2"/>
    <n v="2"/>
    <n v="14"/>
    <n v="8"/>
    <n v="7"/>
    <n v="8"/>
    <n v="0"/>
    <x v="0"/>
    <n v="3"/>
    <x v="2"/>
    <n v="3"/>
    <x v="3"/>
    <n v="4"/>
    <s v="Doctor"/>
    <s v="Very High"/>
    <s v="Very High"/>
    <s v="Good"/>
  </r>
  <r>
    <n v="55"/>
    <s v="No"/>
    <s v="Non-Travel"/>
    <s v="Research &amp; Development"/>
    <n v="2"/>
    <n v="1"/>
    <s v="Medical"/>
    <n v="1074"/>
    <n v="3"/>
    <s v="Male"/>
    <n v="2"/>
    <n v="4"/>
    <s v="Manager"/>
    <n v="1"/>
    <s v="Single"/>
    <n v="16756"/>
    <n v="7"/>
    <x v="1"/>
    <n v="15"/>
    <n v="3"/>
    <n v="2"/>
    <n v="0"/>
    <n v="31"/>
    <n v="3"/>
    <n v="4"/>
    <n v="9"/>
    <n v="7"/>
    <n v="6"/>
    <n v="2"/>
    <n v="0"/>
    <x v="1"/>
    <n v="4"/>
    <x v="3"/>
    <n v="4"/>
    <x v="0"/>
    <n v="3"/>
    <s v="Below College"/>
    <s v="Low"/>
    <s v="High"/>
    <s v="Best"/>
  </r>
  <r>
    <n v="43"/>
    <s v="No"/>
    <s v="Travel_Rarely"/>
    <s v="Sales"/>
    <n v="25"/>
    <n v="3"/>
    <s v="Medical"/>
    <n v="1076"/>
    <n v="3"/>
    <s v="Male"/>
    <n v="2"/>
    <n v="3"/>
    <s v="Sales Executive"/>
    <n v="4"/>
    <s v="Divorced"/>
    <n v="10798"/>
    <n v="5"/>
    <x v="1"/>
    <n v="13"/>
    <n v="3"/>
    <n v="3"/>
    <n v="1"/>
    <n v="18"/>
    <n v="5"/>
    <n v="3"/>
    <n v="1"/>
    <n v="0"/>
    <n v="0"/>
    <n v="0"/>
    <n v="0"/>
    <x v="0"/>
    <n v="3"/>
    <x v="3"/>
    <n v="4"/>
    <x v="1"/>
    <n v="1"/>
    <s v="Bachelor"/>
    <s v="Very High"/>
    <s v="High"/>
    <s v="Better"/>
  </r>
  <r>
    <n v="20"/>
    <s v="Yes"/>
    <s v="Travel_Frequently"/>
    <s v="Sales"/>
    <n v="9"/>
    <n v="3"/>
    <s v="Marketing"/>
    <n v="1077"/>
    <n v="4"/>
    <s v="Female"/>
    <n v="3"/>
    <n v="1"/>
    <s v="Sales Representative"/>
    <n v="4"/>
    <s v="Single"/>
    <n v="2323"/>
    <n v="1"/>
    <x v="0"/>
    <n v="14"/>
    <n v="3"/>
    <n v="2"/>
    <n v="0"/>
    <n v="2"/>
    <n v="3"/>
    <n v="3"/>
    <n v="2"/>
    <n v="2"/>
    <n v="0"/>
    <n v="2"/>
    <n v="1"/>
    <x v="4"/>
    <n v="1"/>
    <x v="1"/>
    <n v="1"/>
    <x v="1"/>
    <n v="1"/>
    <s v="Bachelor"/>
    <s v="Very High"/>
    <s v="Very High"/>
    <s v="Better"/>
  </r>
  <r>
    <n v="21"/>
    <s v="Yes"/>
    <s v="Travel_Rarely"/>
    <s v="Research &amp; Development"/>
    <n v="10"/>
    <n v="3"/>
    <s v="Life Sciences"/>
    <n v="1079"/>
    <n v="3"/>
    <s v="Female"/>
    <n v="2"/>
    <n v="1"/>
    <s v="Laboratory Technician"/>
    <n v="1"/>
    <s v="Single"/>
    <n v="1416"/>
    <n v="1"/>
    <x v="1"/>
    <n v="13"/>
    <n v="3"/>
    <n v="1"/>
    <n v="0"/>
    <n v="1"/>
    <n v="6"/>
    <n v="2"/>
    <n v="1"/>
    <n v="0"/>
    <n v="1"/>
    <n v="0"/>
    <n v="1"/>
    <x v="4"/>
    <n v="1"/>
    <x v="1"/>
    <n v="1"/>
    <x v="1"/>
    <n v="1"/>
    <s v="Bachelor"/>
    <s v="Low"/>
    <s v="High"/>
    <s v="Good"/>
  </r>
  <r>
    <n v="46"/>
    <s v="No"/>
    <s v="Travel_Rarely"/>
    <s v="Research &amp; Development"/>
    <n v="8"/>
    <n v="4"/>
    <s v="Life Sciences"/>
    <n v="1080"/>
    <n v="4"/>
    <s v="Female"/>
    <n v="2"/>
    <n v="2"/>
    <s v="Research Scientist"/>
    <n v="1"/>
    <s v="Divorced"/>
    <n v="4615"/>
    <n v="8"/>
    <x v="0"/>
    <n v="23"/>
    <n v="4"/>
    <n v="1"/>
    <n v="3"/>
    <n v="19"/>
    <n v="2"/>
    <n v="3"/>
    <n v="16"/>
    <n v="13"/>
    <n v="1"/>
    <n v="7"/>
    <n v="0"/>
    <x v="1"/>
    <n v="4"/>
    <x v="0"/>
    <n v="2"/>
    <x v="3"/>
    <n v="4"/>
    <s v="Master"/>
    <s v="Low"/>
    <s v="Very High"/>
    <s v="Better"/>
  </r>
  <r>
    <n v="51"/>
    <s v="Yes"/>
    <s v="Travel_Rarely"/>
    <s v="Research &amp; Development"/>
    <n v="4"/>
    <n v="4"/>
    <s v="Life Sciences"/>
    <n v="1081"/>
    <n v="1"/>
    <s v="Male"/>
    <n v="3"/>
    <n v="1"/>
    <s v="Research Scientist"/>
    <n v="3"/>
    <s v="Married"/>
    <n v="2461"/>
    <n v="9"/>
    <x v="0"/>
    <n v="12"/>
    <n v="3"/>
    <n v="3"/>
    <n v="3"/>
    <n v="18"/>
    <n v="2"/>
    <n v="4"/>
    <n v="10"/>
    <n v="0"/>
    <n v="2"/>
    <n v="7"/>
    <n v="1"/>
    <x v="1"/>
    <n v="4"/>
    <x v="1"/>
    <n v="1"/>
    <x v="0"/>
    <n v="3"/>
    <s v="Master"/>
    <s v="High"/>
    <s v="Low"/>
    <s v="Best"/>
  </r>
  <r>
    <n v="28"/>
    <s v="Yes"/>
    <s v="Non-Travel"/>
    <s v="Research &amp; Development"/>
    <n v="24"/>
    <n v="2"/>
    <s v="Technical Degree"/>
    <n v="1082"/>
    <n v="2"/>
    <s v="Male"/>
    <n v="2"/>
    <n v="3"/>
    <s v="Healthcare Representative"/>
    <n v="1"/>
    <s v="Single"/>
    <n v="8722"/>
    <n v="1"/>
    <x v="1"/>
    <n v="12"/>
    <n v="3"/>
    <n v="1"/>
    <n v="0"/>
    <n v="10"/>
    <n v="2"/>
    <n v="2"/>
    <n v="10"/>
    <n v="7"/>
    <n v="1"/>
    <n v="9"/>
    <n v="1"/>
    <x v="2"/>
    <n v="2"/>
    <x v="2"/>
    <n v="3"/>
    <x v="0"/>
    <n v="3"/>
    <s v="College"/>
    <s v="Low"/>
    <s v="Medium"/>
    <s v="Good"/>
  </r>
  <r>
    <n v="26"/>
    <s v="No"/>
    <s v="Travel_Rarely"/>
    <s v="Research &amp; Development"/>
    <n v="1"/>
    <n v="2"/>
    <s v="Medical"/>
    <n v="1083"/>
    <n v="1"/>
    <s v="Male"/>
    <n v="2"/>
    <n v="1"/>
    <s v="Laboratory Technician"/>
    <n v="1"/>
    <s v="Married"/>
    <n v="3955"/>
    <n v="1"/>
    <x v="1"/>
    <n v="16"/>
    <n v="3"/>
    <n v="1"/>
    <n v="2"/>
    <n v="6"/>
    <n v="2"/>
    <n v="3"/>
    <n v="5"/>
    <n v="3"/>
    <n v="1"/>
    <n v="3"/>
    <n v="0"/>
    <x v="2"/>
    <n v="2"/>
    <x v="0"/>
    <n v="2"/>
    <x v="2"/>
    <n v="2"/>
    <s v="College"/>
    <s v="Low"/>
    <s v="Low"/>
    <s v="Better"/>
  </r>
  <r>
    <n v="30"/>
    <s v="No"/>
    <s v="Travel_Rarely"/>
    <s v="Research &amp; Development"/>
    <n v="20"/>
    <n v="3"/>
    <s v="Other"/>
    <n v="1084"/>
    <n v="3"/>
    <s v="Male"/>
    <n v="3"/>
    <n v="2"/>
    <s v="Manufacturing Director"/>
    <n v="1"/>
    <s v="Married"/>
    <n v="9957"/>
    <n v="0"/>
    <x v="1"/>
    <n v="15"/>
    <n v="3"/>
    <n v="3"/>
    <n v="1"/>
    <n v="7"/>
    <n v="1"/>
    <n v="2"/>
    <n v="6"/>
    <n v="2"/>
    <n v="0"/>
    <n v="2"/>
    <n v="0"/>
    <x v="2"/>
    <n v="2"/>
    <x v="2"/>
    <n v="3"/>
    <x v="0"/>
    <n v="3"/>
    <s v="Bachelor"/>
    <s v="Low"/>
    <s v="High"/>
    <s v="Good"/>
  </r>
  <r>
    <n v="41"/>
    <s v="No"/>
    <s v="Travel_Rarely"/>
    <s v="Research &amp; Development"/>
    <n v="7"/>
    <n v="2"/>
    <s v="Technical Degree"/>
    <n v="1085"/>
    <n v="2"/>
    <s v="Female"/>
    <n v="4"/>
    <n v="1"/>
    <s v="Research Scientist"/>
    <n v="3"/>
    <s v="Married"/>
    <n v="3376"/>
    <n v="1"/>
    <x v="1"/>
    <n v="13"/>
    <n v="3"/>
    <n v="3"/>
    <n v="0"/>
    <n v="10"/>
    <n v="3"/>
    <n v="3"/>
    <n v="10"/>
    <n v="6"/>
    <n v="0"/>
    <n v="8"/>
    <n v="0"/>
    <x v="0"/>
    <n v="3"/>
    <x v="0"/>
    <n v="2"/>
    <x v="0"/>
    <n v="3"/>
    <s v="College"/>
    <s v="High"/>
    <s v="Medium"/>
    <s v="Better"/>
  </r>
  <r>
    <n v="38"/>
    <s v="No"/>
    <s v="Travel_Rarely"/>
    <s v="Research &amp; Development"/>
    <n v="17"/>
    <n v="1"/>
    <s v="Life Sciences"/>
    <n v="1088"/>
    <n v="3"/>
    <s v="Female"/>
    <n v="2"/>
    <n v="3"/>
    <s v="Healthcare Representative"/>
    <n v="3"/>
    <s v="Married"/>
    <n v="8823"/>
    <n v="0"/>
    <x v="1"/>
    <n v="18"/>
    <n v="3"/>
    <n v="1"/>
    <n v="1"/>
    <n v="20"/>
    <n v="4"/>
    <n v="2"/>
    <n v="19"/>
    <n v="9"/>
    <n v="1"/>
    <n v="9"/>
    <n v="0"/>
    <x v="0"/>
    <n v="3"/>
    <x v="2"/>
    <n v="3"/>
    <x v="3"/>
    <n v="4"/>
    <s v="Below College"/>
    <s v="High"/>
    <s v="High"/>
    <s v="Good"/>
  </r>
  <r>
    <n v="40"/>
    <s v="No"/>
    <s v="Travel_Rarely"/>
    <s v="Research &amp; Development"/>
    <n v="20"/>
    <n v="4"/>
    <s v="Technical Degree"/>
    <n v="1092"/>
    <n v="1"/>
    <s v="Male"/>
    <n v="3"/>
    <n v="3"/>
    <s v="Healthcare Representative"/>
    <n v="4"/>
    <s v="Married"/>
    <n v="10322"/>
    <n v="4"/>
    <x v="1"/>
    <n v="20"/>
    <n v="4"/>
    <n v="4"/>
    <n v="1"/>
    <n v="14"/>
    <n v="6"/>
    <n v="3"/>
    <n v="11"/>
    <n v="10"/>
    <n v="11"/>
    <n v="1"/>
    <n v="0"/>
    <x v="0"/>
    <n v="3"/>
    <x v="3"/>
    <n v="4"/>
    <x v="3"/>
    <n v="4"/>
    <s v="Master"/>
    <s v="Very High"/>
    <s v="Low"/>
    <s v="Better"/>
  </r>
  <r>
    <n v="27"/>
    <s v="No"/>
    <s v="Non-Travel"/>
    <s v="Research &amp; Development"/>
    <n v="8"/>
    <n v="5"/>
    <s v="Life Sciences"/>
    <n v="1094"/>
    <n v="1"/>
    <s v="Male"/>
    <n v="1"/>
    <n v="1"/>
    <s v="Laboratory Technician"/>
    <n v="3"/>
    <s v="Married"/>
    <n v="4621"/>
    <n v="1"/>
    <x v="1"/>
    <n v="19"/>
    <n v="3"/>
    <n v="4"/>
    <n v="3"/>
    <n v="3"/>
    <n v="4"/>
    <n v="3"/>
    <n v="3"/>
    <n v="2"/>
    <n v="1"/>
    <n v="2"/>
    <n v="0"/>
    <x v="2"/>
    <n v="2"/>
    <x v="0"/>
    <n v="2"/>
    <x v="2"/>
    <n v="2"/>
    <s v="Doctor"/>
    <s v="High"/>
    <s v="Low"/>
    <s v="Better"/>
  </r>
  <r>
    <n v="55"/>
    <s v="No"/>
    <s v="Travel_Frequently"/>
    <s v="Research &amp; Development"/>
    <n v="2"/>
    <n v="1"/>
    <s v="Life Sciences"/>
    <n v="1096"/>
    <n v="4"/>
    <s v="Male"/>
    <n v="3"/>
    <n v="3"/>
    <s v="Manufacturing Director"/>
    <n v="2"/>
    <s v="Married"/>
    <n v="10976"/>
    <n v="3"/>
    <x v="1"/>
    <n v="18"/>
    <n v="3"/>
    <n v="2"/>
    <n v="1"/>
    <n v="23"/>
    <n v="4"/>
    <n v="3"/>
    <n v="3"/>
    <n v="2"/>
    <n v="1"/>
    <n v="2"/>
    <n v="0"/>
    <x v="1"/>
    <n v="4"/>
    <x v="3"/>
    <n v="4"/>
    <x v="2"/>
    <n v="2"/>
    <s v="Below College"/>
    <s v="Medium"/>
    <s v="Very High"/>
    <s v="Better"/>
  </r>
  <r>
    <n v="28"/>
    <s v="No"/>
    <s v="Travel_Rarely"/>
    <s v="Research &amp; Development"/>
    <n v="10"/>
    <n v="3"/>
    <s v="Other"/>
    <n v="1097"/>
    <n v="3"/>
    <s v="Female"/>
    <n v="3"/>
    <n v="2"/>
    <s v="Research Scientist"/>
    <n v="3"/>
    <s v="Single"/>
    <n v="3660"/>
    <n v="3"/>
    <x v="1"/>
    <n v="13"/>
    <n v="3"/>
    <n v="4"/>
    <n v="0"/>
    <n v="10"/>
    <n v="4"/>
    <n v="4"/>
    <n v="8"/>
    <n v="7"/>
    <n v="1"/>
    <n v="7"/>
    <n v="0"/>
    <x v="2"/>
    <n v="2"/>
    <x v="0"/>
    <n v="2"/>
    <x v="0"/>
    <n v="3"/>
    <s v="Bachelor"/>
    <s v="High"/>
    <s v="High"/>
    <s v="Best"/>
  </r>
  <r>
    <n v="44"/>
    <s v="Yes"/>
    <s v="Travel_Rarely"/>
    <s v="Human Resources"/>
    <n v="1"/>
    <n v="2"/>
    <s v="Medical"/>
    <n v="1098"/>
    <n v="2"/>
    <s v="Male"/>
    <n v="2"/>
    <n v="3"/>
    <s v="Human Resources"/>
    <n v="1"/>
    <s v="Married"/>
    <n v="10482"/>
    <n v="9"/>
    <x v="1"/>
    <n v="14"/>
    <n v="3"/>
    <n v="4"/>
    <n v="1"/>
    <n v="24"/>
    <n v="1"/>
    <n v="3"/>
    <n v="20"/>
    <n v="6"/>
    <n v="3"/>
    <n v="6"/>
    <n v="1"/>
    <x v="0"/>
    <n v="3"/>
    <x v="3"/>
    <n v="4"/>
    <x v="3"/>
    <n v="4"/>
    <s v="College"/>
    <s v="Low"/>
    <s v="Medium"/>
    <s v="Better"/>
  </r>
  <r>
    <n v="33"/>
    <s v="No"/>
    <s v="Travel_Rarely"/>
    <s v="Research &amp; Development"/>
    <n v="5"/>
    <n v="3"/>
    <s v="Life Sciences"/>
    <n v="1099"/>
    <n v="4"/>
    <s v="Male"/>
    <n v="2"/>
    <n v="3"/>
    <s v="Healthcare Representative"/>
    <n v="4"/>
    <s v="Divorced"/>
    <n v="7119"/>
    <n v="4"/>
    <x v="1"/>
    <n v="15"/>
    <n v="3"/>
    <n v="3"/>
    <n v="1"/>
    <n v="9"/>
    <n v="2"/>
    <n v="3"/>
    <n v="3"/>
    <n v="2"/>
    <n v="1"/>
    <n v="2"/>
    <n v="0"/>
    <x v="2"/>
    <n v="2"/>
    <x v="2"/>
    <n v="3"/>
    <x v="2"/>
    <n v="2"/>
    <s v="Bachelor"/>
    <s v="Very High"/>
    <s v="Very High"/>
    <s v="Better"/>
  </r>
  <r>
    <n v="35"/>
    <s v="Yes"/>
    <s v="Travel_Rarely"/>
    <s v="Sales"/>
    <n v="4"/>
    <n v="3"/>
    <s v="Technical Degree"/>
    <n v="1100"/>
    <n v="4"/>
    <s v="Male"/>
    <n v="3"/>
    <n v="3"/>
    <s v="Sales Executive"/>
    <n v="1"/>
    <s v="Single"/>
    <n v="9582"/>
    <n v="0"/>
    <x v="0"/>
    <n v="22"/>
    <n v="4"/>
    <n v="1"/>
    <n v="0"/>
    <n v="9"/>
    <n v="2"/>
    <n v="3"/>
    <n v="8"/>
    <n v="7"/>
    <n v="4"/>
    <n v="7"/>
    <n v="1"/>
    <x v="2"/>
    <n v="2"/>
    <x v="2"/>
    <n v="3"/>
    <x v="0"/>
    <n v="3"/>
    <s v="Bachelor"/>
    <s v="Low"/>
    <s v="Very High"/>
    <s v="Better"/>
  </r>
  <r>
    <n v="33"/>
    <s v="Yes"/>
    <s v="Travel_Frequently"/>
    <s v="Research &amp; Development"/>
    <n v="29"/>
    <n v="4"/>
    <s v="Medical"/>
    <n v="1101"/>
    <n v="1"/>
    <s v="Female"/>
    <n v="2"/>
    <n v="2"/>
    <s v="Research Scientist"/>
    <n v="3"/>
    <s v="Single"/>
    <n v="4508"/>
    <n v="1"/>
    <x v="1"/>
    <n v="22"/>
    <n v="4"/>
    <n v="2"/>
    <n v="0"/>
    <n v="14"/>
    <n v="4"/>
    <n v="3"/>
    <n v="13"/>
    <n v="7"/>
    <n v="3"/>
    <n v="8"/>
    <n v="1"/>
    <x v="2"/>
    <n v="2"/>
    <x v="0"/>
    <n v="2"/>
    <x v="3"/>
    <n v="4"/>
    <s v="Master"/>
    <s v="High"/>
    <s v="Low"/>
    <s v="Better"/>
  </r>
  <r>
    <n v="28"/>
    <s v="No"/>
    <s v="Travel_Rarely"/>
    <s v="Research &amp; Development"/>
    <n v="15"/>
    <n v="2"/>
    <s v="Life Sciences"/>
    <n v="1102"/>
    <n v="1"/>
    <s v="Male"/>
    <n v="3"/>
    <n v="1"/>
    <s v="Laboratory Technician"/>
    <n v="3"/>
    <s v="Divorced"/>
    <n v="2207"/>
    <n v="1"/>
    <x v="1"/>
    <n v="16"/>
    <n v="3"/>
    <n v="4"/>
    <n v="1"/>
    <n v="4"/>
    <n v="5"/>
    <n v="2"/>
    <n v="4"/>
    <n v="2"/>
    <n v="2"/>
    <n v="2"/>
    <n v="0"/>
    <x v="2"/>
    <n v="2"/>
    <x v="1"/>
    <n v="1"/>
    <x v="2"/>
    <n v="2"/>
    <s v="College"/>
    <s v="High"/>
    <s v="Low"/>
    <s v="Good"/>
  </r>
  <r>
    <n v="34"/>
    <s v="No"/>
    <s v="Travel_Frequently"/>
    <s v="Research &amp; Development"/>
    <n v="3"/>
    <n v="1"/>
    <s v="Life Sciences"/>
    <n v="1103"/>
    <n v="1"/>
    <s v="Male"/>
    <n v="3"/>
    <n v="2"/>
    <s v="Healthcare Representative"/>
    <n v="4"/>
    <s v="Single"/>
    <n v="7756"/>
    <n v="0"/>
    <x v="1"/>
    <n v="17"/>
    <n v="3"/>
    <n v="3"/>
    <n v="0"/>
    <n v="7"/>
    <n v="1"/>
    <n v="2"/>
    <n v="6"/>
    <n v="2"/>
    <n v="0"/>
    <n v="4"/>
    <n v="0"/>
    <x v="2"/>
    <n v="2"/>
    <x v="2"/>
    <n v="3"/>
    <x v="0"/>
    <n v="3"/>
    <s v="Below College"/>
    <s v="Very High"/>
    <s v="Low"/>
    <s v="Good"/>
  </r>
  <r>
    <n v="37"/>
    <s v="No"/>
    <s v="Travel_Rarely"/>
    <s v="Sales"/>
    <n v="10"/>
    <n v="4"/>
    <s v="Life Sciences"/>
    <n v="1105"/>
    <n v="4"/>
    <s v="Female"/>
    <n v="2"/>
    <n v="2"/>
    <s v="Sales Executive"/>
    <n v="4"/>
    <s v="Divorced"/>
    <n v="6694"/>
    <n v="2"/>
    <x v="0"/>
    <n v="14"/>
    <n v="3"/>
    <n v="3"/>
    <n v="3"/>
    <n v="8"/>
    <n v="5"/>
    <n v="3"/>
    <n v="1"/>
    <n v="0"/>
    <n v="0"/>
    <n v="0"/>
    <n v="0"/>
    <x v="0"/>
    <n v="3"/>
    <x v="2"/>
    <n v="3"/>
    <x v="1"/>
    <n v="1"/>
    <s v="Master"/>
    <s v="Very High"/>
    <s v="Very High"/>
    <s v="Better"/>
  </r>
  <r>
    <n v="25"/>
    <s v="Yes"/>
    <s v="Travel_Rarely"/>
    <s v="Research &amp; Development"/>
    <n v="4"/>
    <n v="1"/>
    <s v="Technical Degree"/>
    <n v="1106"/>
    <n v="4"/>
    <s v="Male"/>
    <n v="3"/>
    <n v="1"/>
    <s v="Laboratory Technician"/>
    <n v="4"/>
    <s v="Married"/>
    <n v="3691"/>
    <n v="1"/>
    <x v="0"/>
    <n v="15"/>
    <n v="3"/>
    <n v="2"/>
    <n v="1"/>
    <n v="7"/>
    <n v="3"/>
    <n v="4"/>
    <n v="7"/>
    <n v="7"/>
    <n v="5"/>
    <n v="6"/>
    <n v="1"/>
    <x v="4"/>
    <n v="1"/>
    <x v="0"/>
    <n v="2"/>
    <x v="0"/>
    <n v="3"/>
    <s v="Below College"/>
    <s v="Very High"/>
    <s v="Very High"/>
    <s v="Best"/>
  </r>
  <r>
    <n v="26"/>
    <s v="Yes"/>
    <s v="Travel_Rarely"/>
    <s v="Research &amp; Development"/>
    <n v="21"/>
    <n v="3"/>
    <s v="Medical"/>
    <n v="1107"/>
    <n v="1"/>
    <s v="Male"/>
    <n v="3"/>
    <n v="1"/>
    <s v="Laboratory Technician"/>
    <n v="3"/>
    <s v="Divorced"/>
    <n v="2377"/>
    <n v="1"/>
    <x v="1"/>
    <n v="20"/>
    <n v="4"/>
    <n v="3"/>
    <n v="1"/>
    <n v="1"/>
    <n v="0"/>
    <n v="2"/>
    <n v="1"/>
    <n v="1"/>
    <n v="0"/>
    <n v="0"/>
    <n v="1"/>
    <x v="2"/>
    <n v="2"/>
    <x v="1"/>
    <n v="1"/>
    <x v="1"/>
    <n v="1"/>
    <s v="Bachelor"/>
    <s v="High"/>
    <s v="Low"/>
    <s v="Good"/>
  </r>
  <r>
    <n v="33"/>
    <s v="Yes"/>
    <s v="Travel_Rarely"/>
    <s v="Research &amp; Development"/>
    <n v="25"/>
    <n v="3"/>
    <s v="Medical"/>
    <n v="1108"/>
    <n v="1"/>
    <s v="Male"/>
    <n v="2"/>
    <n v="1"/>
    <s v="Research Scientist"/>
    <n v="2"/>
    <s v="Single"/>
    <n v="2313"/>
    <n v="4"/>
    <x v="0"/>
    <n v="20"/>
    <n v="4"/>
    <n v="2"/>
    <n v="0"/>
    <n v="5"/>
    <n v="0"/>
    <n v="3"/>
    <n v="2"/>
    <n v="2"/>
    <n v="2"/>
    <n v="2"/>
    <n v="1"/>
    <x v="2"/>
    <n v="2"/>
    <x v="1"/>
    <n v="1"/>
    <x v="1"/>
    <n v="1"/>
    <s v="Bachelor"/>
    <s v="Medium"/>
    <s v="Low"/>
    <s v="Better"/>
  </r>
  <r>
    <n v="42"/>
    <s v="No"/>
    <s v="Travel_Rarely"/>
    <s v="Research &amp; Development"/>
    <n v="2"/>
    <n v="2"/>
    <s v="Medical"/>
    <n v="1109"/>
    <n v="4"/>
    <s v="Male"/>
    <n v="3"/>
    <n v="4"/>
    <s v="Manager"/>
    <n v="1"/>
    <s v="Married"/>
    <n v="17665"/>
    <n v="0"/>
    <x v="1"/>
    <n v="17"/>
    <n v="3"/>
    <n v="4"/>
    <n v="1"/>
    <n v="23"/>
    <n v="3"/>
    <n v="3"/>
    <n v="22"/>
    <n v="6"/>
    <n v="13"/>
    <n v="7"/>
    <n v="0"/>
    <x v="0"/>
    <n v="3"/>
    <x v="3"/>
    <n v="4"/>
    <x v="3"/>
    <n v="4"/>
    <s v="College"/>
    <s v="Low"/>
    <s v="Very High"/>
    <s v="Better"/>
  </r>
  <r>
    <n v="28"/>
    <s v="Yes"/>
    <s v="Travel_Frequently"/>
    <s v="Research &amp; Development"/>
    <n v="1"/>
    <n v="3"/>
    <s v="Medical"/>
    <n v="1111"/>
    <n v="1"/>
    <s v="Male"/>
    <n v="2"/>
    <n v="1"/>
    <s v="Laboratory Technician"/>
    <n v="2"/>
    <s v="Divorced"/>
    <n v="2596"/>
    <n v="1"/>
    <x v="1"/>
    <n v="15"/>
    <n v="3"/>
    <n v="1"/>
    <n v="2"/>
    <n v="1"/>
    <n v="2"/>
    <n v="3"/>
    <n v="1"/>
    <n v="0"/>
    <n v="0"/>
    <n v="0"/>
    <n v="1"/>
    <x v="2"/>
    <n v="2"/>
    <x v="1"/>
    <n v="1"/>
    <x v="1"/>
    <n v="1"/>
    <s v="Bachelor"/>
    <s v="Medium"/>
    <s v="Low"/>
    <s v="Better"/>
  </r>
  <r>
    <n v="50"/>
    <s v="Yes"/>
    <s v="Travel_Frequently"/>
    <s v="Sales"/>
    <n v="1"/>
    <n v="4"/>
    <s v="Other"/>
    <n v="1113"/>
    <n v="4"/>
    <s v="Male"/>
    <n v="3"/>
    <n v="2"/>
    <s v="Sales Executive"/>
    <n v="3"/>
    <s v="Single"/>
    <n v="4728"/>
    <n v="3"/>
    <x v="0"/>
    <n v="14"/>
    <n v="3"/>
    <n v="4"/>
    <n v="0"/>
    <n v="5"/>
    <n v="4"/>
    <n v="3"/>
    <n v="0"/>
    <n v="0"/>
    <n v="0"/>
    <n v="0"/>
    <n v="1"/>
    <x v="1"/>
    <n v="4"/>
    <x v="0"/>
    <n v="2"/>
    <x v="1"/>
    <n v="1"/>
    <s v="Master"/>
    <s v="High"/>
    <s v="Very High"/>
    <s v="Better"/>
  </r>
  <r>
    <n v="33"/>
    <s v="No"/>
    <s v="Travel_Frequently"/>
    <s v="Sales"/>
    <n v="7"/>
    <n v="3"/>
    <s v="Life Sciences"/>
    <n v="1114"/>
    <n v="4"/>
    <s v="Female"/>
    <n v="3"/>
    <n v="2"/>
    <s v="Sales Executive"/>
    <n v="2"/>
    <s v="Married"/>
    <n v="4302"/>
    <n v="0"/>
    <x v="1"/>
    <n v="17"/>
    <n v="3"/>
    <n v="3"/>
    <n v="1"/>
    <n v="4"/>
    <n v="3"/>
    <n v="3"/>
    <n v="3"/>
    <n v="2"/>
    <n v="0"/>
    <n v="2"/>
    <n v="0"/>
    <x v="2"/>
    <n v="2"/>
    <x v="0"/>
    <n v="2"/>
    <x v="2"/>
    <n v="2"/>
    <s v="Bachelor"/>
    <s v="Medium"/>
    <s v="Very High"/>
    <s v="Better"/>
  </r>
  <r>
    <n v="34"/>
    <s v="No"/>
    <s v="Non-Travel"/>
    <s v="Research &amp; Development"/>
    <n v="3"/>
    <n v="4"/>
    <s v="Life Sciences"/>
    <n v="1115"/>
    <n v="3"/>
    <s v="Male"/>
    <n v="2"/>
    <n v="1"/>
    <s v="Research Scientist"/>
    <n v="4"/>
    <s v="Married"/>
    <n v="2979"/>
    <n v="3"/>
    <x v="1"/>
    <n v="17"/>
    <n v="3"/>
    <n v="4"/>
    <n v="3"/>
    <n v="6"/>
    <n v="2"/>
    <n v="3"/>
    <n v="0"/>
    <n v="0"/>
    <n v="0"/>
    <n v="0"/>
    <n v="0"/>
    <x v="2"/>
    <n v="2"/>
    <x v="1"/>
    <n v="1"/>
    <x v="1"/>
    <n v="1"/>
    <s v="Master"/>
    <s v="Very High"/>
    <s v="High"/>
    <s v="Better"/>
  </r>
  <r>
    <n v="48"/>
    <s v="No"/>
    <s v="Non-Travel"/>
    <s v="Research &amp; Development"/>
    <n v="1"/>
    <n v="4"/>
    <s v="Medical"/>
    <n v="1116"/>
    <n v="1"/>
    <s v="Male"/>
    <n v="4"/>
    <n v="4"/>
    <s v="Manager"/>
    <n v="4"/>
    <s v="Single"/>
    <n v="16885"/>
    <n v="2"/>
    <x v="1"/>
    <n v="22"/>
    <n v="4"/>
    <n v="3"/>
    <n v="0"/>
    <n v="27"/>
    <n v="3"/>
    <n v="2"/>
    <n v="5"/>
    <n v="4"/>
    <n v="2"/>
    <n v="1"/>
    <n v="0"/>
    <x v="1"/>
    <n v="4"/>
    <x v="3"/>
    <n v="4"/>
    <x v="2"/>
    <n v="2"/>
    <s v="Master"/>
    <s v="Very High"/>
    <s v="Low"/>
    <s v="Good"/>
  </r>
  <r>
    <n v="45"/>
    <s v="No"/>
    <s v="Non-Travel"/>
    <s v="Sales"/>
    <n v="9"/>
    <n v="4"/>
    <s v="Life Sciences"/>
    <n v="1117"/>
    <n v="2"/>
    <s v="Female"/>
    <n v="2"/>
    <n v="2"/>
    <s v="Sales Executive"/>
    <n v="3"/>
    <s v="Married"/>
    <n v="5593"/>
    <n v="1"/>
    <x v="1"/>
    <n v="13"/>
    <n v="3"/>
    <n v="4"/>
    <n v="1"/>
    <n v="15"/>
    <n v="2"/>
    <n v="3"/>
    <n v="15"/>
    <n v="10"/>
    <n v="4"/>
    <n v="12"/>
    <n v="0"/>
    <x v="0"/>
    <n v="3"/>
    <x v="0"/>
    <n v="2"/>
    <x v="3"/>
    <n v="4"/>
    <s v="Master"/>
    <s v="High"/>
    <s v="Medium"/>
    <s v="Better"/>
  </r>
  <r>
    <n v="52"/>
    <s v="No"/>
    <s v="Travel_Rarely"/>
    <s v="Research &amp; Development"/>
    <n v="7"/>
    <n v="4"/>
    <s v="Life Sciences"/>
    <n v="1118"/>
    <n v="2"/>
    <s v="Male"/>
    <n v="3"/>
    <n v="3"/>
    <s v="Healthcare Representative"/>
    <n v="2"/>
    <s v="Single"/>
    <n v="10445"/>
    <n v="7"/>
    <x v="1"/>
    <n v="19"/>
    <n v="3"/>
    <n v="4"/>
    <n v="0"/>
    <n v="18"/>
    <n v="4"/>
    <n v="3"/>
    <n v="8"/>
    <n v="6"/>
    <n v="4"/>
    <n v="0"/>
    <n v="0"/>
    <x v="1"/>
    <n v="4"/>
    <x v="3"/>
    <n v="4"/>
    <x v="0"/>
    <n v="3"/>
    <s v="Master"/>
    <s v="Medium"/>
    <s v="Medium"/>
    <s v="Better"/>
  </r>
  <r>
    <n v="38"/>
    <s v="No"/>
    <s v="Travel_Rarely"/>
    <s v="Sales"/>
    <n v="10"/>
    <n v="4"/>
    <s v="Marketing"/>
    <n v="1119"/>
    <n v="3"/>
    <s v="Male"/>
    <n v="2"/>
    <n v="3"/>
    <s v="Sales Executive"/>
    <n v="3"/>
    <s v="Divorced"/>
    <n v="8740"/>
    <n v="0"/>
    <x v="0"/>
    <n v="14"/>
    <n v="3"/>
    <n v="2"/>
    <n v="2"/>
    <n v="9"/>
    <n v="2"/>
    <n v="3"/>
    <n v="8"/>
    <n v="7"/>
    <n v="2"/>
    <n v="7"/>
    <n v="0"/>
    <x v="0"/>
    <n v="3"/>
    <x v="2"/>
    <n v="3"/>
    <x v="0"/>
    <n v="3"/>
    <s v="Master"/>
    <s v="High"/>
    <s v="High"/>
    <s v="Better"/>
  </r>
  <r>
    <n v="29"/>
    <s v="No"/>
    <s v="Travel_Rarely"/>
    <s v="Research &amp; Development"/>
    <n v="28"/>
    <n v="4"/>
    <s v="Life Sciences"/>
    <n v="1120"/>
    <n v="3"/>
    <s v="Female"/>
    <n v="3"/>
    <n v="1"/>
    <s v="Research Scientist"/>
    <n v="4"/>
    <s v="Divorced"/>
    <n v="2514"/>
    <n v="4"/>
    <x v="1"/>
    <n v="22"/>
    <n v="4"/>
    <n v="1"/>
    <n v="1"/>
    <n v="11"/>
    <n v="1"/>
    <n v="3"/>
    <n v="7"/>
    <n v="5"/>
    <n v="1"/>
    <n v="7"/>
    <n v="0"/>
    <x v="2"/>
    <n v="2"/>
    <x v="1"/>
    <n v="1"/>
    <x v="0"/>
    <n v="3"/>
    <s v="Master"/>
    <s v="Very High"/>
    <s v="High"/>
    <s v="Better"/>
  </r>
  <r>
    <n v="28"/>
    <s v="No"/>
    <s v="Travel_Rarely"/>
    <s v="Research &amp; Development"/>
    <n v="3"/>
    <n v="3"/>
    <s v="Medical"/>
    <n v="1121"/>
    <n v="4"/>
    <s v="Female"/>
    <n v="3"/>
    <n v="3"/>
    <s v="Manufacturing Director"/>
    <n v="2"/>
    <s v="Divorced"/>
    <n v="7655"/>
    <n v="0"/>
    <x v="1"/>
    <n v="17"/>
    <n v="3"/>
    <n v="2"/>
    <n v="3"/>
    <n v="10"/>
    <n v="3"/>
    <n v="2"/>
    <n v="9"/>
    <n v="7"/>
    <n v="1"/>
    <n v="7"/>
    <n v="0"/>
    <x v="2"/>
    <n v="2"/>
    <x v="2"/>
    <n v="3"/>
    <x v="0"/>
    <n v="3"/>
    <s v="Bachelor"/>
    <s v="Medium"/>
    <s v="Very High"/>
    <s v="Good"/>
  </r>
  <r>
    <n v="46"/>
    <s v="No"/>
    <s v="Travel_Rarely"/>
    <s v="Sales"/>
    <n v="3"/>
    <n v="1"/>
    <s v="Marketing"/>
    <n v="1124"/>
    <n v="1"/>
    <s v="Male"/>
    <n v="3"/>
    <n v="4"/>
    <s v="Manager"/>
    <n v="3"/>
    <s v="Married"/>
    <n v="17465"/>
    <n v="3"/>
    <x v="1"/>
    <n v="12"/>
    <n v="3"/>
    <n v="4"/>
    <n v="1"/>
    <n v="23"/>
    <n v="3"/>
    <n v="3"/>
    <n v="12"/>
    <n v="9"/>
    <n v="4"/>
    <n v="9"/>
    <n v="0"/>
    <x v="1"/>
    <n v="4"/>
    <x v="3"/>
    <n v="4"/>
    <x v="3"/>
    <n v="4"/>
    <s v="Below College"/>
    <s v="High"/>
    <s v="Low"/>
    <s v="Better"/>
  </r>
  <r>
    <n v="38"/>
    <s v="No"/>
    <s v="Travel_Rarely"/>
    <s v="Sales"/>
    <n v="2"/>
    <n v="2"/>
    <s v="Marketing"/>
    <n v="1125"/>
    <n v="4"/>
    <s v="Male"/>
    <n v="3"/>
    <n v="3"/>
    <s v="Sales Executive"/>
    <n v="2"/>
    <s v="Single"/>
    <n v="7351"/>
    <n v="7"/>
    <x v="1"/>
    <n v="16"/>
    <n v="3"/>
    <n v="3"/>
    <n v="0"/>
    <n v="10"/>
    <n v="2"/>
    <n v="3"/>
    <n v="1"/>
    <n v="0"/>
    <n v="0"/>
    <n v="0"/>
    <n v="0"/>
    <x v="0"/>
    <n v="3"/>
    <x v="2"/>
    <n v="3"/>
    <x v="1"/>
    <n v="1"/>
    <s v="College"/>
    <s v="Medium"/>
    <s v="Very High"/>
    <s v="Better"/>
  </r>
  <r>
    <n v="43"/>
    <s v="No"/>
    <s v="Travel_Frequently"/>
    <s v="Research &amp; Development"/>
    <n v="27"/>
    <n v="3"/>
    <s v="Life Sciences"/>
    <n v="1126"/>
    <n v="3"/>
    <s v="Female"/>
    <n v="3"/>
    <n v="3"/>
    <s v="Manufacturing Director"/>
    <n v="1"/>
    <s v="Married"/>
    <n v="10820"/>
    <n v="8"/>
    <x v="1"/>
    <n v="11"/>
    <n v="3"/>
    <n v="3"/>
    <n v="1"/>
    <n v="18"/>
    <n v="1"/>
    <n v="3"/>
    <n v="8"/>
    <n v="7"/>
    <n v="0"/>
    <n v="1"/>
    <n v="0"/>
    <x v="0"/>
    <n v="3"/>
    <x v="3"/>
    <n v="4"/>
    <x v="0"/>
    <n v="3"/>
    <s v="Bachelor"/>
    <s v="Low"/>
    <s v="High"/>
    <s v="Better"/>
  </r>
  <r>
    <n v="39"/>
    <s v="Yes"/>
    <s v="Travel_Frequently"/>
    <s v="Research &amp; Development"/>
    <n v="2"/>
    <n v="3"/>
    <s v="Life Sciences"/>
    <n v="1127"/>
    <n v="1"/>
    <s v="Male"/>
    <n v="3"/>
    <n v="4"/>
    <s v="Healthcare Representative"/>
    <n v="4"/>
    <s v="Divorced"/>
    <n v="12169"/>
    <n v="7"/>
    <x v="1"/>
    <n v="11"/>
    <n v="3"/>
    <n v="4"/>
    <n v="3"/>
    <n v="21"/>
    <n v="4"/>
    <n v="3"/>
    <n v="18"/>
    <n v="7"/>
    <n v="11"/>
    <n v="5"/>
    <n v="1"/>
    <x v="0"/>
    <n v="3"/>
    <x v="3"/>
    <n v="4"/>
    <x v="3"/>
    <n v="4"/>
    <s v="Bachelor"/>
    <s v="Very High"/>
    <s v="Low"/>
    <s v="Better"/>
  </r>
  <r>
    <n v="40"/>
    <s v="No"/>
    <s v="Travel_Rarely"/>
    <s v="Research &amp; Development"/>
    <n v="14"/>
    <n v="3"/>
    <s v="Medical"/>
    <n v="1128"/>
    <n v="3"/>
    <s v="Male"/>
    <n v="2"/>
    <n v="5"/>
    <s v="Research Director"/>
    <n v="3"/>
    <s v="Single"/>
    <n v="19626"/>
    <n v="1"/>
    <x v="1"/>
    <n v="14"/>
    <n v="3"/>
    <n v="1"/>
    <n v="0"/>
    <n v="21"/>
    <n v="2"/>
    <n v="4"/>
    <n v="20"/>
    <n v="7"/>
    <n v="4"/>
    <n v="9"/>
    <n v="0"/>
    <x v="0"/>
    <n v="3"/>
    <x v="3"/>
    <n v="4"/>
    <x v="3"/>
    <n v="4"/>
    <s v="Bachelor"/>
    <s v="High"/>
    <s v="High"/>
    <s v="Best"/>
  </r>
  <r>
    <n v="21"/>
    <s v="No"/>
    <s v="Travel_Rarely"/>
    <s v="Research &amp; Development"/>
    <n v="1"/>
    <n v="1"/>
    <s v="Technical Degree"/>
    <n v="1131"/>
    <n v="4"/>
    <s v="Female"/>
    <n v="2"/>
    <n v="1"/>
    <s v="Research Scientist"/>
    <n v="2"/>
    <s v="Single"/>
    <n v="2070"/>
    <n v="1"/>
    <x v="0"/>
    <n v="11"/>
    <n v="3"/>
    <n v="3"/>
    <n v="0"/>
    <n v="2"/>
    <n v="6"/>
    <n v="4"/>
    <n v="2"/>
    <n v="2"/>
    <n v="2"/>
    <n v="2"/>
    <n v="0"/>
    <x v="4"/>
    <n v="1"/>
    <x v="1"/>
    <n v="1"/>
    <x v="1"/>
    <n v="1"/>
    <s v="Below College"/>
    <s v="Medium"/>
    <s v="Very High"/>
    <s v="Best"/>
  </r>
  <r>
    <n v="39"/>
    <s v="No"/>
    <s v="Non-Travel"/>
    <s v="Research &amp; Development"/>
    <n v="9"/>
    <n v="3"/>
    <s v="Life Sciences"/>
    <n v="1132"/>
    <n v="3"/>
    <s v="Male"/>
    <n v="3"/>
    <n v="2"/>
    <s v="Laboratory Technician"/>
    <n v="2"/>
    <s v="Single"/>
    <n v="6782"/>
    <n v="9"/>
    <x v="1"/>
    <n v="15"/>
    <n v="3"/>
    <n v="3"/>
    <n v="0"/>
    <n v="9"/>
    <n v="2"/>
    <n v="2"/>
    <n v="5"/>
    <n v="4"/>
    <n v="0"/>
    <n v="3"/>
    <n v="0"/>
    <x v="0"/>
    <n v="3"/>
    <x v="2"/>
    <n v="3"/>
    <x v="2"/>
    <n v="2"/>
    <s v="Bachelor"/>
    <s v="Medium"/>
    <s v="High"/>
    <s v="Good"/>
  </r>
  <r>
    <n v="36"/>
    <s v="No"/>
    <s v="Non-Travel"/>
    <s v="Research &amp; Development"/>
    <n v="18"/>
    <n v="4"/>
    <s v="Life Sciences"/>
    <n v="1133"/>
    <n v="1"/>
    <s v="Male"/>
    <n v="3"/>
    <n v="2"/>
    <s v="Manufacturing Director"/>
    <n v="4"/>
    <s v="Single"/>
    <n v="7779"/>
    <n v="2"/>
    <x v="1"/>
    <n v="20"/>
    <n v="4"/>
    <n v="1"/>
    <n v="0"/>
    <n v="18"/>
    <n v="0"/>
    <n v="3"/>
    <n v="11"/>
    <n v="9"/>
    <n v="0"/>
    <n v="9"/>
    <n v="0"/>
    <x v="0"/>
    <n v="3"/>
    <x v="2"/>
    <n v="3"/>
    <x v="3"/>
    <n v="4"/>
    <s v="Master"/>
    <s v="Very High"/>
    <s v="Low"/>
    <s v="Better"/>
  </r>
  <r>
    <n v="31"/>
    <s v="No"/>
    <s v="Travel_Frequently"/>
    <s v="Sales"/>
    <n v="20"/>
    <n v="3"/>
    <s v="Life Sciences"/>
    <n v="1135"/>
    <n v="3"/>
    <s v="Male"/>
    <n v="4"/>
    <n v="1"/>
    <s v="Sales Representative"/>
    <n v="4"/>
    <s v="Married"/>
    <n v="2791"/>
    <n v="0"/>
    <x v="1"/>
    <n v="12"/>
    <n v="3"/>
    <n v="1"/>
    <n v="1"/>
    <n v="3"/>
    <n v="4"/>
    <n v="3"/>
    <n v="2"/>
    <n v="2"/>
    <n v="2"/>
    <n v="2"/>
    <n v="0"/>
    <x v="2"/>
    <n v="2"/>
    <x v="1"/>
    <n v="1"/>
    <x v="1"/>
    <n v="1"/>
    <s v="Bachelor"/>
    <s v="Very High"/>
    <s v="High"/>
    <s v="Better"/>
  </r>
  <r>
    <n v="28"/>
    <s v="No"/>
    <s v="Travel_Rarely"/>
    <s v="Research &amp; Development"/>
    <n v="2"/>
    <n v="1"/>
    <s v="Life Sciences"/>
    <n v="1136"/>
    <n v="1"/>
    <s v="Male"/>
    <n v="2"/>
    <n v="1"/>
    <s v="Research Scientist"/>
    <n v="2"/>
    <s v="Married"/>
    <n v="3201"/>
    <n v="0"/>
    <x v="1"/>
    <n v="17"/>
    <n v="3"/>
    <n v="1"/>
    <n v="0"/>
    <n v="6"/>
    <n v="2"/>
    <n v="1"/>
    <n v="5"/>
    <n v="3"/>
    <n v="0"/>
    <n v="4"/>
    <n v="0"/>
    <x v="2"/>
    <n v="2"/>
    <x v="0"/>
    <n v="2"/>
    <x v="2"/>
    <n v="2"/>
    <s v="Below College"/>
    <s v="Medium"/>
    <s v="Low"/>
    <s v="Bad"/>
  </r>
  <r>
    <n v="35"/>
    <s v="No"/>
    <s v="Travel_Frequently"/>
    <s v="Sales"/>
    <n v="11"/>
    <n v="2"/>
    <s v="Marketing"/>
    <n v="1137"/>
    <n v="4"/>
    <s v="Male"/>
    <n v="3"/>
    <n v="2"/>
    <s v="Sales Executive"/>
    <n v="4"/>
    <s v="Divorced"/>
    <n v="4968"/>
    <n v="1"/>
    <x v="1"/>
    <n v="11"/>
    <n v="3"/>
    <n v="4"/>
    <n v="1"/>
    <n v="5"/>
    <n v="3"/>
    <n v="3"/>
    <n v="5"/>
    <n v="2"/>
    <n v="0"/>
    <n v="2"/>
    <n v="0"/>
    <x v="2"/>
    <n v="2"/>
    <x v="0"/>
    <n v="2"/>
    <x v="2"/>
    <n v="2"/>
    <s v="College"/>
    <s v="Very High"/>
    <s v="Very High"/>
    <s v="Better"/>
  </r>
  <r>
    <n v="49"/>
    <s v="No"/>
    <s v="Travel_Rarely"/>
    <s v="Sales"/>
    <n v="8"/>
    <n v="4"/>
    <s v="Technical Degree"/>
    <n v="1138"/>
    <n v="4"/>
    <s v="Male"/>
    <n v="2"/>
    <n v="4"/>
    <s v="Sales Executive"/>
    <n v="2"/>
    <s v="Married"/>
    <n v="13120"/>
    <n v="6"/>
    <x v="1"/>
    <n v="17"/>
    <n v="3"/>
    <n v="2"/>
    <n v="1"/>
    <n v="22"/>
    <n v="3"/>
    <n v="3"/>
    <n v="9"/>
    <n v="8"/>
    <n v="2"/>
    <n v="3"/>
    <n v="0"/>
    <x v="1"/>
    <n v="4"/>
    <x v="3"/>
    <n v="4"/>
    <x v="0"/>
    <n v="3"/>
    <s v="Master"/>
    <s v="Medium"/>
    <s v="Very High"/>
    <s v="Better"/>
  </r>
  <r>
    <n v="34"/>
    <s v="No"/>
    <s v="Travel_Frequently"/>
    <s v="Research &amp; Development"/>
    <n v="2"/>
    <n v="2"/>
    <s v="Life Sciences"/>
    <n v="1140"/>
    <n v="4"/>
    <s v="Male"/>
    <n v="3"/>
    <n v="2"/>
    <s v="Manufacturing Director"/>
    <n v="3"/>
    <s v="Single"/>
    <n v="4033"/>
    <n v="2"/>
    <x v="1"/>
    <n v="11"/>
    <n v="3"/>
    <n v="4"/>
    <n v="0"/>
    <n v="5"/>
    <n v="3"/>
    <n v="2"/>
    <n v="3"/>
    <n v="2"/>
    <n v="0"/>
    <n v="2"/>
    <n v="0"/>
    <x v="2"/>
    <n v="2"/>
    <x v="0"/>
    <n v="2"/>
    <x v="2"/>
    <n v="2"/>
    <s v="College"/>
    <s v="High"/>
    <s v="Very High"/>
    <s v="Good"/>
  </r>
  <r>
    <n v="29"/>
    <s v="No"/>
    <s v="Travel_Frequently"/>
    <s v="Research &amp; Development"/>
    <n v="10"/>
    <n v="3"/>
    <s v="Life Sciences"/>
    <n v="1143"/>
    <n v="4"/>
    <s v="Female"/>
    <n v="3"/>
    <n v="1"/>
    <s v="Research Scientist"/>
    <n v="2"/>
    <s v="Divorced"/>
    <n v="3291"/>
    <n v="0"/>
    <x v="1"/>
    <n v="14"/>
    <n v="3"/>
    <n v="4"/>
    <n v="2"/>
    <n v="8"/>
    <n v="2"/>
    <n v="2"/>
    <n v="7"/>
    <n v="5"/>
    <n v="1"/>
    <n v="1"/>
    <n v="0"/>
    <x v="2"/>
    <n v="2"/>
    <x v="0"/>
    <n v="2"/>
    <x v="0"/>
    <n v="3"/>
    <s v="Bachelor"/>
    <s v="Medium"/>
    <s v="Very High"/>
    <s v="Good"/>
  </r>
  <r>
    <n v="42"/>
    <s v="No"/>
    <s v="Travel_Rarely"/>
    <s v="Research &amp; Development"/>
    <n v="29"/>
    <n v="3"/>
    <s v="Medical"/>
    <n v="1148"/>
    <n v="2"/>
    <s v="Male"/>
    <n v="1"/>
    <n v="2"/>
    <s v="Laboratory Technician"/>
    <n v="4"/>
    <s v="Single"/>
    <n v="4272"/>
    <n v="4"/>
    <x v="1"/>
    <n v="19"/>
    <n v="3"/>
    <n v="1"/>
    <n v="0"/>
    <n v="16"/>
    <n v="3"/>
    <n v="3"/>
    <n v="1"/>
    <n v="0"/>
    <n v="0"/>
    <n v="0"/>
    <n v="0"/>
    <x v="0"/>
    <n v="3"/>
    <x v="0"/>
    <n v="2"/>
    <x v="1"/>
    <n v="1"/>
    <s v="Bachelor"/>
    <s v="Very High"/>
    <s v="Medium"/>
    <s v="Better"/>
  </r>
  <r>
    <n v="29"/>
    <s v="No"/>
    <s v="Travel_Rarely"/>
    <s v="Research &amp; Development"/>
    <n v="8"/>
    <n v="1"/>
    <s v="Medical"/>
    <n v="1150"/>
    <n v="2"/>
    <s v="Male"/>
    <n v="2"/>
    <n v="2"/>
    <s v="Manufacturing Director"/>
    <n v="4"/>
    <s v="Married"/>
    <n v="5056"/>
    <n v="1"/>
    <x v="0"/>
    <n v="15"/>
    <n v="3"/>
    <n v="3"/>
    <n v="1"/>
    <n v="10"/>
    <n v="2"/>
    <n v="2"/>
    <n v="10"/>
    <n v="7"/>
    <n v="1"/>
    <n v="2"/>
    <n v="0"/>
    <x v="2"/>
    <n v="2"/>
    <x v="0"/>
    <n v="2"/>
    <x v="0"/>
    <n v="3"/>
    <s v="Below College"/>
    <s v="Very High"/>
    <s v="Medium"/>
    <s v="Good"/>
  </r>
  <r>
    <n v="38"/>
    <s v="No"/>
    <s v="Travel_Rarely"/>
    <s v="Human Resources"/>
    <n v="1"/>
    <n v="3"/>
    <s v="Human Resources"/>
    <n v="1152"/>
    <n v="3"/>
    <s v="Male"/>
    <n v="4"/>
    <n v="1"/>
    <s v="Human Resources"/>
    <n v="3"/>
    <s v="Married"/>
    <n v="2844"/>
    <n v="1"/>
    <x v="1"/>
    <n v="13"/>
    <n v="3"/>
    <n v="4"/>
    <n v="1"/>
    <n v="7"/>
    <n v="2"/>
    <n v="4"/>
    <n v="7"/>
    <n v="6"/>
    <n v="5"/>
    <n v="0"/>
    <n v="0"/>
    <x v="0"/>
    <n v="3"/>
    <x v="1"/>
    <n v="1"/>
    <x v="0"/>
    <n v="3"/>
    <s v="Bachelor"/>
    <s v="High"/>
    <s v="High"/>
    <s v="Best"/>
  </r>
  <r>
    <n v="28"/>
    <s v="No"/>
    <s v="Travel_Frequently"/>
    <s v="Research &amp; Development"/>
    <n v="6"/>
    <n v="3"/>
    <s v="Life Sciences"/>
    <n v="1154"/>
    <n v="3"/>
    <s v="Male"/>
    <n v="2"/>
    <n v="1"/>
    <s v="Research Scientist"/>
    <n v="3"/>
    <s v="Divorced"/>
    <n v="2703"/>
    <n v="1"/>
    <x v="0"/>
    <n v="14"/>
    <n v="3"/>
    <n v="4"/>
    <n v="1"/>
    <n v="3"/>
    <n v="2"/>
    <n v="3"/>
    <n v="3"/>
    <n v="1"/>
    <n v="0"/>
    <n v="2"/>
    <n v="0"/>
    <x v="2"/>
    <n v="2"/>
    <x v="1"/>
    <n v="1"/>
    <x v="2"/>
    <n v="2"/>
    <s v="Bachelor"/>
    <s v="High"/>
    <s v="High"/>
    <s v="Better"/>
  </r>
  <r>
    <n v="18"/>
    <s v="Yes"/>
    <s v="Non-Travel"/>
    <s v="Research &amp; Development"/>
    <n v="8"/>
    <n v="1"/>
    <s v="Medical"/>
    <n v="1156"/>
    <n v="3"/>
    <s v="Male"/>
    <n v="3"/>
    <n v="1"/>
    <s v="Laboratory Technician"/>
    <n v="3"/>
    <s v="Single"/>
    <n v="1904"/>
    <n v="1"/>
    <x v="1"/>
    <n v="12"/>
    <n v="3"/>
    <n v="4"/>
    <n v="0"/>
    <n v="0"/>
    <n v="0"/>
    <n v="3"/>
    <n v="0"/>
    <n v="0"/>
    <n v="0"/>
    <n v="0"/>
    <n v="1"/>
    <x v="4"/>
    <n v="1"/>
    <x v="1"/>
    <n v="1"/>
    <x v="1"/>
    <n v="1"/>
    <s v="Below College"/>
    <s v="High"/>
    <s v="High"/>
    <s v="Better"/>
  </r>
  <r>
    <n v="33"/>
    <s v="Yes"/>
    <s v="Travel_Rarely"/>
    <s v="Sales"/>
    <n v="9"/>
    <n v="4"/>
    <s v="Marketing"/>
    <n v="1157"/>
    <n v="1"/>
    <s v="Female"/>
    <n v="3"/>
    <n v="2"/>
    <s v="Sales Executive"/>
    <n v="1"/>
    <s v="Single"/>
    <n v="8224"/>
    <n v="0"/>
    <x v="0"/>
    <n v="17"/>
    <n v="3"/>
    <n v="1"/>
    <n v="0"/>
    <n v="6"/>
    <n v="3"/>
    <n v="3"/>
    <n v="5"/>
    <n v="2"/>
    <n v="0"/>
    <n v="3"/>
    <n v="1"/>
    <x v="2"/>
    <n v="2"/>
    <x v="2"/>
    <n v="3"/>
    <x v="2"/>
    <n v="2"/>
    <s v="Master"/>
    <s v="Low"/>
    <s v="Low"/>
    <s v="Better"/>
  </r>
  <r>
    <n v="41"/>
    <s v="No"/>
    <s v="Travel_Rarely"/>
    <s v="Research &amp; Development"/>
    <n v="12"/>
    <n v="4"/>
    <s v="Life Sciences"/>
    <n v="1158"/>
    <n v="2"/>
    <s v="Male"/>
    <n v="3"/>
    <n v="1"/>
    <s v="Laboratory Technician"/>
    <n v="4"/>
    <s v="Married"/>
    <n v="4766"/>
    <n v="3"/>
    <x v="0"/>
    <n v="11"/>
    <n v="3"/>
    <n v="1"/>
    <n v="1"/>
    <n v="6"/>
    <n v="4"/>
    <n v="3"/>
    <n v="1"/>
    <n v="0"/>
    <n v="0"/>
    <n v="0"/>
    <n v="0"/>
    <x v="0"/>
    <n v="3"/>
    <x v="0"/>
    <n v="2"/>
    <x v="1"/>
    <n v="1"/>
    <s v="Master"/>
    <s v="Very High"/>
    <s v="Medium"/>
    <s v="Better"/>
  </r>
  <r>
    <n v="31"/>
    <s v="Yes"/>
    <s v="Travel_Frequently"/>
    <s v="Research &amp; Development"/>
    <n v="15"/>
    <n v="3"/>
    <s v="Medical"/>
    <n v="1160"/>
    <n v="3"/>
    <s v="Male"/>
    <n v="3"/>
    <n v="1"/>
    <s v="Laboratory Technician"/>
    <n v="3"/>
    <s v="Married"/>
    <n v="2610"/>
    <n v="1"/>
    <x v="1"/>
    <n v="12"/>
    <n v="3"/>
    <n v="3"/>
    <n v="1"/>
    <n v="2"/>
    <n v="5"/>
    <n v="2"/>
    <n v="2"/>
    <n v="2"/>
    <n v="2"/>
    <n v="2"/>
    <n v="1"/>
    <x v="2"/>
    <n v="2"/>
    <x v="1"/>
    <n v="1"/>
    <x v="1"/>
    <n v="1"/>
    <s v="Bachelor"/>
    <s v="High"/>
    <s v="High"/>
    <s v="Good"/>
  </r>
  <r>
    <n v="37"/>
    <s v="No"/>
    <s v="Travel_Rarely"/>
    <s v="Research &amp; Development"/>
    <n v="25"/>
    <n v="2"/>
    <s v="Medical"/>
    <n v="1161"/>
    <n v="3"/>
    <s v="Female"/>
    <n v="2"/>
    <n v="2"/>
    <s v="Healthcare Representative"/>
    <n v="4"/>
    <s v="Divorced"/>
    <n v="5731"/>
    <n v="7"/>
    <x v="1"/>
    <n v="13"/>
    <n v="3"/>
    <n v="3"/>
    <n v="2"/>
    <n v="9"/>
    <n v="2"/>
    <n v="3"/>
    <n v="6"/>
    <n v="2"/>
    <n v="1"/>
    <n v="3"/>
    <n v="0"/>
    <x v="0"/>
    <n v="3"/>
    <x v="0"/>
    <n v="2"/>
    <x v="0"/>
    <n v="3"/>
    <s v="College"/>
    <s v="Very High"/>
    <s v="High"/>
    <s v="Better"/>
  </r>
  <r>
    <n v="27"/>
    <s v="No"/>
    <s v="Travel_Rarely"/>
    <s v="Research &amp; Development"/>
    <n v="6"/>
    <n v="3"/>
    <s v="Life Sciences"/>
    <n v="1162"/>
    <n v="4"/>
    <s v="Male"/>
    <n v="2"/>
    <n v="1"/>
    <s v="Research Scientist"/>
    <n v="3"/>
    <s v="Married"/>
    <n v="2539"/>
    <n v="1"/>
    <x v="1"/>
    <n v="13"/>
    <n v="3"/>
    <n v="3"/>
    <n v="1"/>
    <n v="4"/>
    <n v="0"/>
    <n v="3"/>
    <n v="4"/>
    <n v="2"/>
    <n v="2"/>
    <n v="2"/>
    <n v="0"/>
    <x v="2"/>
    <n v="2"/>
    <x v="1"/>
    <n v="1"/>
    <x v="2"/>
    <n v="2"/>
    <s v="Bachelor"/>
    <s v="High"/>
    <s v="Very High"/>
    <s v="Better"/>
  </r>
  <r>
    <n v="34"/>
    <s v="No"/>
    <s v="Travel_Rarely"/>
    <s v="Sales"/>
    <n v="9"/>
    <n v="1"/>
    <s v="Life Sciences"/>
    <n v="1163"/>
    <n v="2"/>
    <s v="Female"/>
    <n v="3"/>
    <n v="2"/>
    <s v="Sales Executive"/>
    <n v="3"/>
    <s v="Married"/>
    <n v="5714"/>
    <n v="1"/>
    <x v="1"/>
    <n v="20"/>
    <n v="4"/>
    <n v="1"/>
    <n v="0"/>
    <n v="6"/>
    <n v="3"/>
    <n v="2"/>
    <n v="6"/>
    <n v="5"/>
    <n v="1"/>
    <n v="3"/>
    <n v="0"/>
    <x v="2"/>
    <n v="2"/>
    <x v="0"/>
    <n v="2"/>
    <x v="0"/>
    <n v="3"/>
    <s v="Below College"/>
    <s v="High"/>
    <s v="Medium"/>
    <s v="Good"/>
  </r>
  <r>
    <n v="35"/>
    <s v="No"/>
    <s v="Travel_Rarely"/>
    <s v="Human Resources"/>
    <n v="8"/>
    <n v="4"/>
    <s v="Technical Degree"/>
    <n v="1164"/>
    <n v="3"/>
    <s v="Male"/>
    <n v="3"/>
    <n v="1"/>
    <s v="Human Resources"/>
    <n v="3"/>
    <s v="Single"/>
    <n v="4323"/>
    <n v="1"/>
    <x v="1"/>
    <n v="17"/>
    <n v="3"/>
    <n v="2"/>
    <n v="0"/>
    <n v="6"/>
    <n v="2"/>
    <n v="1"/>
    <n v="5"/>
    <n v="4"/>
    <n v="1"/>
    <n v="4"/>
    <n v="0"/>
    <x v="2"/>
    <n v="2"/>
    <x v="0"/>
    <n v="2"/>
    <x v="2"/>
    <n v="2"/>
    <s v="Master"/>
    <s v="High"/>
    <s v="High"/>
    <s v="Bad"/>
  </r>
  <r>
    <n v="29"/>
    <s v="Yes"/>
    <s v="Travel_Rarely"/>
    <s v="Sales"/>
    <n v="23"/>
    <n v="1"/>
    <s v="Life Sciences"/>
    <n v="1165"/>
    <n v="4"/>
    <s v="Female"/>
    <n v="2"/>
    <n v="3"/>
    <s v="Sales Executive"/>
    <n v="1"/>
    <s v="Married"/>
    <n v="7336"/>
    <n v="1"/>
    <x v="1"/>
    <n v="13"/>
    <n v="3"/>
    <n v="1"/>
    <n v="1"/>
    <n v="11"/>
    <n v="3"/>
    <n v="1"/>
    <n v="11"/>
    <n v="8"/>
    <n v="3"/>
    <n v="10"/>
    <n v="1"/>
    <x v="2"/>
    <n v="2"/>
    <x v="2"/>
    <n v="3"/>
    <x v="3"/>
    <n v="4"/>
    <s v="Below College"/>
    <s v="Low"/>
    <s v="Very High"/>
    <s v="Bad"/>
  </r>
  <r>
    <n v="40"/>
    <s v="No"/>
    <s v="Travel_Frequently"/>
    <s v="Research &amp; Development"/>
    <n v="9"/>
    <n v="4"/>
    <s v="Medical"/>
    <n v="1166"/>
    <n v="2"/>
    <s v="Female"/>
    <n v="3"/>
    <n v="3"/>
    <s v="Research Director"/>
    <n v="3"/>
    <s v="Single"/>
    <n v="13499"/>
    <n v="9"/>
    <x v="1"/>
    <n v="17"/>
    <n v="3"/>
    <n v="3"/>
    <n v="0"/>
    <n v="20"/>
    <n v="3"/>
    <n v="2"/>
    <n v="18"/>
    <n v="7"/>
    <n v="2"/>
    <n v="13"/>
    <n v="0"/>
    <x v="0"/>
    <n v="3"/>
    <x v="3"/>
    <n v="4"/>
    <x v="3"/>
    <n v="4"/>
    <s v="Master"/>
    <s v="High"/>
    <s v="Medium"/>
    <s v="Good"/>
  </r>
  <r>
    <n v="42"/>
    <s v="Yes"/>
    <s v="Travel_Frequently"/>
    <s v="Sales"/>
    <n v="12"/>
    <n v="3"/>
    <s v="Life Sciences"/>
    <n v="1167"/>
    <n v="3"/>
    <s v="Male"/>
    <n v="3"/>
    <n v="4"/>
    <s v="Sales Executive"/>
    <n v="1"/>
    <s v="Single"/>
    <n v="13758"/>
    <n v="0"/>
    <x v="0"/>
    <n v="12"/>
    <n v="3"/>
    <n v="2"/>
    <n v="0"/>
    <n v="22"/>
    <n v="2"/>
    <n v="2"/>
    <n v="21"/>
    <n v="9"/>
    <n v="13"/>
    <n v="14"/>
    <n v="1"/>
    <x v="0"/>
    <n v="3"/>
    <x v="3"/>
    <n v="4"/>
    <x v="3"/>
    <n v="4"/>
    <s v="Bachelor"/>
    <s v="Low"/>
    <s v="High"/>
    <s v="Good"/>
  </r>
  <r>
    <n v="42"/>
    <s v="No"/>
    <s v="Travel_Rarely"/>
    <s v="Sales"/>
    <n v="4"/>
    <n v="4"/>
    <s v="Marketing"/>
    <n v="1171"/>
    <n v="2"/>
    <s v="Male"/>
    <n v="3"/>
    <n v="2"/>
    <s v="Sales Executive"/>
    <n v="1"/>
    <s v="Single"/>
    <n v="5155"/>
    <n v="7"/>
    <x v="1"/>
    <n v="13"/>
    <n v="3"/>
    <n v="4"/>
    <n v="0"/>
    <n v="9"/>
    <n v="3"/>
    <n v="4"/>
    <n v="6"/>
    <n v="4"/>
    <n v="1"/>
    <n v="5"/>
    <n v="0"/>
    <x v="0"/>
    <n v="3"/>
    <x v="0"/>
    <n v="2"/>
    <x v="0"/>
    <n v="3"/>
    <s v="Master"/>
    <s v="Low"/>
    <s v="Medium"/>
    <s v="Best"/>
  </r>
  <r>
    <n v="35"/>
    <s v="No"/>
    <s v="Travel_Rarely"/>
    <s v="Research &amp; Development"/>
    <n v="1"/>
    <n v="4"/>
    <s v="Medical"/>
    <n v="1172"/>
    <n v="4"/>
    <s v="Male"/>
    <n v="2"/>
    <n v="1"/>
    <s v="Laboratory Technician"/>
    <n v="3"/>
    <s v="Married"/>
    <n v="2258"/>
    <n v="6"/>
    <x v="1"/>
    <n v="12"/>
    <n v="3"/>
    <n v="2"/>
    <n v="1"/>
    <n v="10"/>
    <n v="2"/>
    <n v="3"/>
    <n v="8"/>
    <n v="0"/>
    <n v="1"/>
    <n v="7"/>
    <n v="0"/>
    <x v="2"/>
    <n v="2"/>
    <x v="1"/>
    <n v="1"/>
    <x v="0"/>
    <n v="3"/>
    <s v="Master"/>
    <s v="High"/>
    <s v="Very High"/>
    <s v="Better"/>
  </r>
  <r>
    <n v="24"/>
    <s v="No"/>
    <s v="Travel_Rarely"/>
    <s v="Research &amp; Development"/>
    <n v="24"/>
    <n v="3"/>
    <s v="Medical"/>
    <n v="1173"/>
    <n v="4"/>
    <s v="Male"/>
    <n v="3"/>
    <n v="1"/>
    <s v="Laboratory Technician"/>
    <n v="2"/>
    <s v="Single"/>
    <n v="3597"/>
    <n v="8"/>
    <x v="1"/>
    <n v="22"/>
    <n v="4"/>
    <n v="4"/>
    <n v="0"/>
    <n v="6"/>
    <n v="2"/>
    <n v="3"/>
    <n v="4"/>
    <n v="3"/>
    <n v="1"/>
    <n v="2"/>
    <n v="0"/>
    <x v="4"/>
    <n v="1"/>
    <x v="0"/>
    <n v="2"/>
    <x v="2"/>
    <n v="2"/>
    <s v="Bachelor"/>
    <s v="Medium"/>
    <s v="Very High"/>
    <s v="Better"/>
  </r>
  <r>
    <n v="28"/>
    <s v="Yes"/>
    <s v="Travel_Rarely"/>
    <s v="Research &amp; Development"/>
    <n v="12"/>
    <n v="1"/>
    <s v="Life Sciences"/>
    <n v="1175"/>
    <n v="3"/>
    <s v="Female"/>
    <n v="3"/>
    <n v="1"/>
    <s v="Laboratory Technician"/>
    <n v="4"/>
    <s v="Married"/>
    <n v="2515"/>
    <n v="1"/>
    <x v="0"/>
    <n v="11"/>
    <n v="3"/>
    <n v="4"/>
    <n v="0"/>
    <n v="1"/>
    <n v="4"/>
    <n v="2"/>
    <n v="1"/>
    <n v="1"/>
    <n v="0"/>
    <n v="0"/>
    <n v="1"/>
    <x v="2"/>
    <n v="2"/>
    <x v="1"/>
    <n v="1"/>
    <x v="1"/>
    <n v="1"/>
    <s v="Below College"/>
    <s v="Very High"/>
    <s v="High"/>
    <s v="Good"/>
  </r>
  <r>
    <n v="26"/>
    <s v="No"/>
    <s v="Travel_Rarely"/>
    <s v="Research &amp; Development"/>
    <n v="3"/>
    <n v="4"/>
    <s v="Medical"/>
    <n v="1177"/>
    <n v="1"/>
    <s v="Male"/>
    <n v="4"/>
    <n v="1"/>
    <s v="Laboratory Technician"/>
    <n v="4"/>
    <s v="Married"/>
    <n v="4420"/>
    <n v="1"/>
    <x v="1"/>
    <n v="22"/>
    <n v="4"/>
    <n v="2"/>
    <n v="1"/>
    <n v="8"/>
    <n v="2"/>
    <n v="3"/>
    <n v="8"/>
    <n v="7"/>
    <n v="0"/>
    <n v="7"/>
    <n v="0"/>
    <x v="2"/>
    <n v="2"/>
    <x v="0"/>
    <n v="2"/>
    <x v="0"/>
    <n v="3"/>
    <s v="Master"/>
    <s v="Very High"/>
    <s v="Low"/>
    <s v="Better"/>
  </r>
  <r>
    <n v="30"/>
    <s v="No"/>
    <s v="Travel_Rarely"/>
    <s v="Sales"/>
    <n v="10"/>
    <n v="3"/>
    <s v="Marketing"/>
    <n v="1179"/>
    <n v="3"/>
    <s v="Male"/>
    <n v="2"/>
    <n v="2"/>
    <s v="Sales Executive"/>
    <n v="3"/>
    <s v="Married"/>
    <n v="6578"/>
    <n v="1"/>
    <x v="1"/>
    <n v="18"/>
    <n v="3"/>
    <n v="1"/>
    <n v="1"/>
    <n v="10"/>
    <n v="3"/>
    <n v="3"/>
    <n v="10"/>
    <n v="3"/>
    <n v="1"/>
    <n v="4"/>
    <n v="0"/>
    <x v="2"/>
    <n v="2"/>
    <x v="2"/>
    <n v="3"/>
    <x v="0"/>
    <n v="3"/>
    <s v="Bachelor"/>
    <s v="High"/>
    <s v="High"/>
    <s v="Better"/>
  </r>
  <r>
    <n v="40"/>
    <s v="No"/>
    <s v="Travel_Frequently"/>
    <s v="Research &amp; Development"/>
    <n v="26"/>
    <n v="2"/>
    <s v="Medical"/>
    <n v="1180"/>
    <n v="3"/>
    <s v="Female"/>
    <n v="2"/>
    <n v="2"/>
    <s v="Research Scientist"/>
    <n v="4"/>
    <s v="Married"/>
    <n v="4422"/>
    <n v="3"/>
    <x v="0"/>
    <n v="13"/>
    <n v="3"/>
    <n v="4"/>
    <n v="1"/>
    <n v="16"/>
    <n v="3"/>
    <n v="1"/>
    <n v="1"/>
    <n v="1"/>
    <n v="0"/>
    <n v="0"/>
    <n v="0"/>
    <x v="0"/>
    <n v="3"/>
    <x v="0"/>
    <n v="2"/>
    <x v="1"/>
    <n v="1"/>
    <s v="College"/>
    <s v="Very High"/>
    <s v="High"/>
    <s v="Bad"/>
  </r>
  <r>
    <n v="35"/>
    <s v="No"/>
    <s v="Travel_Rarely"/>
    <s v="Research &amp; Development"/>
    <n v="2"/>
    <n v="3"/>
    <s v="Life Sciences"/>
    <n v="1182"/>
    <n v="3"/>
    <s v="Male"/>
    <n v="2"/>
    <n v="3"/>
    <s v="Manufacturing Director"/>
    <n v="2"/>
    <s v="Divorced"/>
    <n v="10274"/>
    <n v="2"/>
    <x v="1"/>
    <n v="18"/>
    <n v="3"/>
    <n v="2"/>
    <n v="1"/>
    <n v="15"/>
    <n v="2"/>
    <n v="4"/>
    <n v="7"/>
    <n v="7"/>
    <n v="6"/>
    <n v="4"/>
    <n v="0"/>
    <x v="2"/>
    <n v="2"/>
    <x v="3"/>
    <n v="4"/>
    <x v="0"/>
    <n v="3"/>
    <s v="Bachelor"/>
    <s v="Medium"/>
    <s v="High"/>
    <s v="Best"/>
  </r>
  <r>
    <n v="34"/>
    <s v="No"/>
    <s v="Travel_Frequently"/>
    <s v="Research &amp; Development"/>
    <n v="1"/>
    <n v="3"/>
    <s v="Medical"/>
    <n v="1184"/>
    <n v="4"/>
    <s v="Male"/>
    <n v="2"/>
    <n v="2"/>
    <s v="Healthcare Representative"/>
    <n v="1"/>
    <s v="Single"/>
    <n v="5343"/>
    <n v="0"/>
    <x v="1"/>
    <n v="20"/>
    <n v="4"/>
    <n v="3"/>
    <n v="0"/>
    <n v="14"/>
    <n v="3"/>
    <n v="3"/>
    <n v="13"/>
    <n v="9"/>
    <n v="4"/>
    <n v="9"/>
    <n v="0"/>
    <x v="2"/>
    <n v="2"/>
    <x v="0"/>
    <n v="2"/>
    <x v="3"/>
    <n v="4"/>
    <s v="Bachelor"/>
    <s v="Low"/>
    <s v="Very High"/>
    <s v="Better"/>
  </r>
  <r>
    <n v="35"/>
    <s v="No"/>
    <s v="Travel_Frequently"/>
    <s v="Research &amp; Development"/>
    <n v="4"/>
    <n v="4"/>
    <s v="Other"/>
    <n v="1185"/>
    <n v="4"/>
    <s v="Male"/>
    <n v="2"/>
    <n v="1"/>
    <s v="Laboratory Technician"/>
    <n v="4"/>
    <s v="Married"/>
    <n v="2376"/>
    <n v="1"/>
    <x v="1"/>
    <n v="13"/>
    <n v="3"/>
    <n v="2"/>
    <n v="1"/>
    <n v="2"/>
    <n v="2"/>
    <n v="4"/>
    <n v="2"/>
    <n v="2"/>
    <n v="2"/>
    <n v="2"/>
    <n v="0"/>
    <x v="2"/>
    <n v="2"/>
    <x v="1"/>
    <n v="1"/>
    <x v="1"/>
    <n v="1"/>
    <s v="Master"/>
    <s v="Very High"/>
    <s v="Very High"/>
    <s v="Best"/>
  </r>
  <r>
    <n v="43"/>
    <s v="Yes"/>
    <s v="Travel_Rarely"/>
    <s v="Sales"/>
    <n v="9"/>
    <n v="3"/>
    <s v="Marketing"/>
    <n v="1188"/>
    <n v="1"/>
    <s v="Female"/>
    <n v="1"/>
    <n v="2"/>
    <s v="Sales Executive"/>
    <n v="3"/>
    <s v="Single"/>
    <n v="5346"/>
    <n v="8"/>
    <x v="1"/>
    <n v="13"/>
    <n v="3"/>
    <n v="2"/>
    <n v="0"/>
    <n v="7"/>
    <n v="2"/>
    <n v="2"/>
    <n v="4"/>
    <n v="3"/>
    <n v="1"/>
    <n v="3"/>
    <n v="1"/>
    <x v="0"/>
    <n v="3"/>
    <x v="0"/>
    <n v="2"/>
    <x v="2"/>
    <n v="2"/>
    <s v="Bachelor"/>
    <s v="High"/>
    <s v="Low"/>
    <s v="Good"/>
  </r>
  <r>
    <n v="32"/>
    <s v="No"/>
    <s v="Non-Travel"/>
    <s v="Sales"/>
    <n v="2"/>
    <n v="1"/>
    <s v="Life Sciences"/>
    <n v="1190"/>
    <n v="3"/>
    <s v="Female"/>
    <n v="3"/>
    <n v="1"/>
    <s v="Sales Representative"/>
    <n v="1"/>
    <s v="Divorced"/>
    <n v="2827"/>
    <n v="1"/>
    <x v="1"/>
    <n v="12"/>
    <n v="3"/>
    <n v="3"/>
    <n v="3"/>
    <n v="1"/>
    <n v="3"/>
    <n v="3"/>
    <n v="1"/>
    <n v="0"/>
    <n v="0"/>
    <n v="0"/>
    <n v="0"/>
    <x v="2"/>
    <n v="2"/>
    <x v="1"/>
    <n v="1"/>
    <x v="1"/>
    <n v="1"/>
    <s v="Below College"/>
    <s v="Low"/>
    <s v="High"/>
    <s v="Better"/>
  </r>
  <r>
    <n v="56"/>
    <s v="No"/>
    <s v="Travel_Rarely"/>
    <s v="Research &amp; Development"/>
    <n v="4"/>
    <n v="4"/>
    <s v="Technical Degree"/>
    <n v="1191"/>
    <n v="4"/>
    <s v="Female"/>
    <n v="3"/>
    <n v="5"/>
    <s v="Manager"/>
    <n v="1"/>
    <s v="Divorced"/>
    <n v="19943"/>
    <n v="4"/>
    <x v="1"/>
    <n v="13"/>
    <n v="3"/>
    <n v="4"/>
    <n v="1"/>
    <n v="28"/>
    <n v="2"/>
    <n v="3"/>
    <n v="5"/>
    <n v="2"/>
    <n v="4"/>
    <n v="2"/>
    <n v="0"/>
    <x v="3"/>
    <n v="5"/>
    <x v="3"/>
    <n v="4"/>
    <x v="2"/>
    <n v="2"/>
    <s v="Master"/>
    <s v="Low"/>
    <s v="Very High"/>
    <s v="Better"/>
  </r>
  <r>
    <n v="29"/>
    <s v="No"/>
    <s v="Travel_Rarely"/>
    <s v="Research &amp; Development"/>
    <n v="6"/>
    <n v="1"/>
    <s v="Medical"/>
    <n v="1192"/>
    <n v="2"/>
    <s v="Female"/>
    <n v="3"/>
    <n v="1"/>
    <s v="Laboratory Technician"/>
    <n v="4"/>
    <s v="Married"/>
    <n v="3131"/>
    <n v="1"/>
    <x v="1"/>
    <n v="13"/>
    <n v="3"/>
    <n v="1"/>
    <n v="1"/>
    <n v="10"/>
    <n v="5"/>
    <n v="3"/>
    <n v="10"/>
    <n v="8"/>
    <n v="0"/>
    <n v="8"/>
    <n v="0"/>
    <x v="2"/>
    <n v="2"/>
    <x v="0"/>
    <n v="2"/>
    <x v="0"/>
    <n v="3"/>
    <s v="Below College"/>
    <s v="Very High"/>
    <s v="Medium"/>
    <s v="Better"/>
  </r>
  <r>
    <n v="19"/>
    <s v="No"/>
    <s v="Travel_Rarely"/>
    <s v="Research &amp; Development"/>
    <n v="9"/>
    <n v="2"/>
    <s v="Life Sciences"/>
    <n v="1193"/>
    <n v="3"/>
    <s v="Male"/>
    <n v="3"/>
    <n v="1"/>
    <s v="Research Scientist"/>
    <n v="1"/>
    <s v="Single"/>
    <n v="2552"/>
    <n v="1"/>
    <x v="1"/>
    <n v="25"/>
    <n v="4"/>
    <n v="3"/>
    <n v="0"/>
    <n v="1"/>
    <n v="4"/>
    <n v="3"/>
    <n v="1"/>
    <n v="1"/>
    <n v="0"/>
    <n v="0"/>
    <n v="0"/>
    <x v="4"/>
    <n v="1"/>
    <x v="1"/>
    <n v="1"/>
    <x v="1"/>
    <n v="1"/>
    <s v="College"/>
    <s v="Low"/>
    <s v="High"/>
    <s v="Better"/>
  </r>
  <r>
    <n v="45"/>
    <s v="No"/>
    <s v="Travel_Rarely"/>
    <s v="Research &amp; Development"/>
    <n v="7"/>
    <n v="3"/>
    <s v="Medical"/>
    <n v="1195"/>
    <n v="1"/>
    <s v="Female"/>
    <n v="3"/>
    <n v="1"/>
    <s v="Research Scientist"/>
    <n v="3"/>
    <s v="Married"/>
    <n v="4477"/>
    <n v="4"/>
    <x v="0"/>
    <n v="19"/>
    <n v="3"/>
    <n v="3"/>
    <n v="1"/>
    <n v="7"/>
    <n v="2"/>
    <n v="2"/>
    <n v="3"/>
    <n v="2"/>
    <n v="0"/>
    <n v="2"/>
    <n v="0"/>
    <x v="0"/>
    <n v="3"/>
    <x v="0"/>
    <n v="2"/>
    <x v="2"/>
    <n v="2"/>
    <s v="Bachelor"/>
    <s v="High"/>
    <s v="Low"/>
    <s v="Good"/>
  </r>
  <r>
    <n v="37"/>
    <s v="No"/>
    <s v="Travel_Rarely"/>
    <s v="Research &amp; Development"/>
    <n v="1"/>
    <n v="3"/>
    <s v="Life Sciences"/>
    <n v="1196"/>
    <n v="4"/>
    <s v="Female"/>
    <n v="2"/>
    <n v="2"/>
    <s v="Manufacturing Director"/>
    <n v="4"/>
    <s v="Married"/>
    <n v="6474"/>
    <n v="1"/>
    <x v="1"/>
    <n v="13"/>
    <n v="3"/>
    <n v="2"/>
    <n v="1"/>
    <n v="14"/>
    <n v="2"/>
    <n v="2"/>
    <n v="14"/>
    <n v="8"/>
    <n v="3"/>
    <n v="11"/>
    <n v="0"/>
    <x v="0"/>
    <n v="3"/>
    <x v="2"/>
    <n v="3"/>
    <x v="3"/>
    <n v="4"/>
    <s v="Bachelor"/>
    <s v="Very High"/>
    <s v="Very High"/>
    <s v="Good"/>
  </r>
  <r>
    <n v="20"/>
    <s v="No"/>
    <s v="Travel_Rarely"/>
    <s v="Research &amp; Development"/>
    <n v="3"/>
    <n v="3"/>
    <s v="Life Sciences"/>
    <n v="1198"/>
    <n v="1"/>
    <s v="Male"/>
    <n v="2"/>
    <n v="1"/>
    <s v="Laboratory Technician"/>
    <n v="3"/>
    <s v="Single"/>
    <n v="3033"/>
    <n v="1"/>
    <x v="1"/>
    <n v="12"/>
    <n v="3"/>
    <n v="1"/>
    <n v="0"/>
    <n v="2"/>
    <n v="2"/>
    <n v="2"/>
    <n v="2"/>
    <n v="2"/>
    <n v="1"/>
    <n v="2"/>
    <n v="0"/>
    <x v="4"/>
    <n v="1"/>
    <x v="0"/>
    <n v="2"/>
    <x v="1"/>
    <n v="1"/>
    <s v="Bachelor"/>
    <s v="High"/>
    <s v="Low"/>
    <s v="Good"/>
  </r>
  <r>
    <n v="44"/>
    <s v="Yes"/>
    <s v="Travel_Rarely"/>
    <s v="Research &amp; Development"/>
    <n v="10"/>
    <n v="4"/>
    <s v="Life Sciences"/>
    <n v="1200"/>
    <n v="3"/>
    <s v="Male"/>
    <n v="3"/>
    <n v="1"/>
    <s v="Research Scientist"/>
    <n v="3"/>
    <s v="Single"/>
    <n v="2936"/>
    <n v="1"/>
    <x v="0"/>
    <n v="11"/>
    <n v="3"/>
    <n v="3"/>
    <n v="0"/>
    <n v="6"/>
    <n v="4"/>
    <n v="3"/>
    <n v="6"/>
    <n v="4"/>
    <n v="0"/>
    <n v="2"/>
    <n v="1"/>
    <x v="0"/>
    <n v="3"/>
    <x v="1"/>
    <n v="1"/>
    <x v="0"/>
    <n v="3"/>
    <s v="Master"/>
    <s v="High"/>
    <s v="High"/>
    <s v="Better"/>
  </r>
  <r>
    <n v="53"/>
    <s v="No"/>
    <s v="Travel_Rarely"/>
    <s v="Research &amp; Development"/>
    <n v="7"/>
    <n v="2"/>
    <s v="Medical"/>
    <n v="1201"/>
    <n v="4"/>
    <s v="Female"/>
    <n v="3"/>
    <n v="5"/>
    <s v="Manager"/>
    <n v="3"/>
    <s v="Divorced"/>
    <n v="18606"/>
    <n v="3"/>
    <x v="1"/>
    <n v="18"/>
    <n v="3"/>
    <n v="2"/>
    <n v="1"/>
    <n v="26"/>
    <n v="6"/>
    <n v="3"/>
    <n v="7"/>
    <n v="7"/>
    <n v="4"/>
    <n v="7"/>
    <n v="0"/>
    <x v="1"/>
    <n v="4"/>
    <x v="3"/>
    <n v="4"/>
    <x v="0"/>
    <n v="3"/>
    <s v="College"/>
    <s v="High"/>
    <s v="Very High"/>
    <s v="Better"/>
  </r>
  <r>
    <n v="29"/>
    <s v="No"/>
    <s v="Travel_Rarely"/>
    <s v="Research &amp; Development"/>
    <n v="15"/>
    <n v="1"/>
    <s v="Life Sciences"/>
    <n v="1202"/>
    <n v="2"/>
    <s v="Female"/>
    <n v="1"/>
    <n v="1"/>
    <s v="Research Scientist"/>
    <n v="4"/>
    <s v="Married"/>
    <n v="2168"/>
    <n v="0"/>
    <x v="0"/>
    <n v="18"/>
    <n v="3"/>
    <n v="1"/>
    <n v="1"/>
    <n v="6"/>
    <n v="2"/>
    <n v="2"/>
    <n v="5"/>
    <n v="4"/>
    <n v="1"/>
    <n v="3"/>
    <n v="0"/>
    <x v="2"/>
    <n v="2"/>
    <x v="1"/>
    <n v="1"/>
    <x v="2"/>
    <n v="2"/>
    <s v="Below College"/>
    <s v="Very High"/>
    <s v="Medium"/>
    <s v="Good"/>
  </r>
  <r>
    <n v="22"/>
    <s v="Yes"/>
    <s v="Travel_Frequently"/>
    <s v="Research &amp; Development"/>
    <n v="3"/>
    <n v="4"/>
    <s v="Life Sciences"/>
    <n v="1203"/>
    <n v="3"/>
    <s v="Male"/>
    <n v="2"/>
    <n v="1"/>
    <s v="Research Scientist"/>
    <n v="4"/>
    <s v="Married"/>
    <n v="2853"/>
    <n v="0"/>
    <x v="0"/>
    <n v="11"/>
    <n v="3"/>
    <n v="2"/>
    <n v="1"/>
    <n v="1"/>
    <n v="5"/>
    <n v="3"/>
    <n v="0"/>
    <n v="0"/>
    <n v="0"/>
    <n v="0"/>
    <n v="1"/>
    <x v="4"/>
    <n v="1"/>
    <x v="1"/>
    <n v="1"/>
    <x v="1"/>
    <n v="1"/>
    <s v="Master"/>
    <s v="Very High"/>
    <s v="High"/>
    <s v="Better"/>
  </r>
  <r>
    <n v="46"/>
    <s v="No"/>
    <s v="Travel_Rarely"/>
    <s v="Sales"/>
    <n v="2"/>
    <n v="3"/>
    <s v="Marketing"/>
    <n v="1204"/>
    <n v="3"/>
    <s v="Female"/>
    <n v="3"/>
    <n v="4"/>
    <s v="Manager"/>
    <n v="1"/>
    <s v="Married"/>
    <n v="17048"/>
    <n v="8"/>
    <x v="1"/>
    <n v="23"/>
    <n v="4"/>
    <n v="1"/>
    <n v="0"/>
    <n v="28"/>
    <n v="2"/>
    <n v="3"/>
    <n v="26"/>
    <n v="15"/>
    <n v="15"/>
    <n v="9"/>
    <n v="0"/>
    <x v="1"/>
    <n v="4"/>
    <x v="3"/>
    <n v="4"/>
    <x v="3"/>
    <n v="4"/>
    <s v="Bachelor"/>
    <s v="Low"/>
    <s v="High"/>
    <s v="Better"/>
  </r>
  <r>
    <n v="44"/>
    <s v="No"/>
    <s v="Non-Travel"/>
    <s v="Research &amp; Development"/>
    <n v="17"/>
    <n v="3"/>
    <s v="Life Sciences"/>
    <n v="1206"/>
    <n v="4"/>
    <s v="Male"/>
    <n v="1"/>
    <n v="1"/>
    <s v="Research Scientist"/>
    <n v="3"/>
    <s v="Single"/>
    <n v="2290"/>
    <n v="2"/>
    <x v="1"/>
    <n v="13"/>
    <n v="3"/>
    <n v="4"/>
    <n v="0"/>
    <n v="6"/>
    <n v="3"/>
    <n v="3"/>
    <n v="0"/>
    <n v="0"/>
    <n v="0"/>
    <n v="0"/>
    <n v="0"/>
    <x v="0"/>
    <n v="3"/>
    <x v="1"/>
    <n v="1"/>
    <x v="1"/>
    <n v="1"/>
    <s v="Bachelor"/>
    <s v="High"/>
    <s v="Very High"/>
    <s v="Better"/>
  </r>
  <r>
    <n v="33"/>
    <s v="No"/>
    <s v="Travel_Rarely"/>
    <s v="Human Resources"/>
    <n v="2"/>
    <n v="3"/>
    <s v="Human Resources"/>
    <n v="1207"/>
    <n v="2"/>
    <s v="Male"/>
    <n v="3"/>
    <n v="1"/>
    <s v="Human Resources"/>
    <n v="3"/>
    <s v="Married"/>
    <n v="3600"/>
    <n v="1"/>
    <x v="1"/>
    <n v="13"/>
    <n v="3"/>
    <n v="4"/>
    <n v="1"/>
    <n v="5"/>
    <n v="2"/>
    <n v="3"/>
    <n v="5"/>
    <n v="4"/>
    <n v="1"/>
    <n v="4"/>
    <n v="0"/>
    <x v="2"/>
    <n v="2"/>
    <x v="0"/>
    <n v="2"/>
    <x v="2"/>
    <n v="2"/>
    <s v="Bachelor"/>
    <s v="High"/>
    <s v="Medium"/>
    <s v="Better"/>
  </r>
  <r>
    <n v="41"/>
    <s v="Yes"/>
    <s v="Non-Travel"/>
    <s v="Research &amp; Development"/>
    <n v="5"/>
    <n v="2"/>
    <s v="Life Sciences"/>
    <n v="1210"/>
    <n v="1"/>
    <s v="Male"/>
    <n v="2"/>
    <n v="1"/>
    <s v="Research Scientist"/>
    <n v="1"/>
    <s v="Divorced"/>
    <n v="2107"/>
    <n v="6"/>
    <x v="1"/>
    <n v="17"/>
    <n v="3"/>
    <n v="1"/>
    <n v="1"/>
    <n v="5"/>
    <n v="2"/>
    <n v="1"/>
    <n v="1"/>
    <n v="0"/>
    <n v="0"/>
    <n v="0"/>
    <n v="1"/>
    <x v="0"/>
    <n v="3"/>
    <x v="1"/>
    <n v="1"/>
    <x v="1"/>
    <n v="1"/>
    <s v="College"/>
    <s v="Low"/>
    <s v="Low"/>
    <s v="Bad"/>
  </r>
  <r>
    <n v="30"/>
    <s v="No"/>
    <s v="Travel_Rarely"/>
    <s v="Sales"/>
    <n v="29"/>
    <n v="4"/>
    <s v="Life Sciences"/>
    <n v="1211"/>
    <n v="3"/>
    <s v="Male"/>
    <n v="3"/>
    <n v="2"/>
    <s v="Sales Executive"/>
    <n v="1"/>
    <s v="Divorced"/>
    <n v="4115"/>
    <n v="8"/>
    <x v="1"/>
    <n v="19"/>
    <n v="3"/>
    <n v="3"/>
    <n v="3"/>
    <n v="8"/>
    <n v="3"/>
    <n v="3"/>
    <n v="4"/>
    <n v="3"/>
    <n v="0"/>
    <n v="3"/>
    <n v="0"/>
    <x v="2"/>
    <n v="2"/>
    <x v="0"/>
    <n v="2"/>
    <x v="2"/>
    <n v="2"/>
    <s v="Master"/>
    <s v="Low"/>
    <s v="High"/>
    <s v="Better"/>
  </r>
  <r>
    <n v="40"/>
    <s v="No"/>
    <s v="Travel_Frequently"/>
    <s v="Sales"/>
    <n v="2"/>
    <n v="4"/>
    <s v="Medical"/>
    <n v="1212"/>
    <n v="2"/>
    <s v="Male"/>
    <n v="3"/>
    <n v="2"/>
    <s v="Sales Executive"/>
    <n v="2"/>
    <s v="Married"/>
    <n v="4327"/>
    <n v="5"/>
    <x v="1"/>
    <n v="12"/>
    <n v="3"/>
    <n v="4"/>
    <n v="3"/>
    <n v="5"/>
    <n v="2"/>
    <n v="3"/>
    <n v="0"/>
    <n v="0"/>
    <n v="0"/>
    <n v="0"/>
    <n v="0"/>
    <x v="0"/>
    <n v="3"/>
    <x v="0"/>
    <n v="2"/>
    <x v="1"/>
    <n v="1"/>
    <s v="Master"/>
    <s v="Medium"/>
    <s v="Medium"/>
    <s v="Better"/>
  </r>
  <r>
    <n v="50"/>
    <s v="No"/>
    <s v="Travel_Frequently"/>
    <s v="Research &amp; Development"/>
    <n v="2"/>
    <n v="3"/>
    <s v="Medical"/>
    <n v="1215"/>
    <n v="4"/>
    <s v="Female"/>
    <n v="3"/>
    <n v="4"/>
    <s v="Manager"/>
    <n v="1"/>
    <s v="Married"/>
    <n v="17856"/>
    <n v="2"/>
    <x v="1"/>
    <n v="22"/>
    <n v="4"/>
    <n v="3"/>
    <n v="1"/>
    <n v="32"/>
    <n v="3"/>
    <n v="3"/>
    <n v="2"/>
    <n v="2"/>
    <n v="2"/>
    <n v="2"/>
    <n v="0"/>
    <x v="1"/>
    <n v="4"/>
    <x v="3"/>
    <n v="4"/>
    <x v="1"/>
    <n v="1"/>
    <s v="Bachelor"/>
    <s v="Low"/>
    <s v="Very High"/>
    <s v="Better"/>
  </r>
  <r>
    <n v="28"/>
    <s v="No"/>
    <s v="Travel_Rarely"/>
    <s v="Research &amp; Development"/>
    <n v="19"/>
    <n v="4"/>
    <s v="Medical"/>
    <n v="1216"/>
    <n v="4"/>
    <s v="Male"/>
    <n v="2"/>
    <n v="1"/>
    <s v="Laboratory Technician"/>
    <n v="1"/>
    <s v="Married"/>
    <n v="3196"/>
    <n v="1"/>
    <x v="1"/>
    <n v="12"/>
    <n v="3"/>
    <n v="3"/>
    <n v="3"/>
    <n v="6"/>
    <n v="2"/>
    <n v="3"/>
    <n v="6"/>
    <n v="5"/>
    <n v="3"/>
    <n v="3"/>
    <n v="0"/>
    <x v="2"/>
    <n v="2"/>
    <x v="0"/>
    <n v="2"/>
    <x v="0"/>
    <n v="3"/>
    <s v="Master"/>
    <s v="Low"/>
    <s v="Very High"/>
    <s v="Better"/>
  </r>
  <r>
    <n v="46"/>
    <s v="No"/>
    <s v="Travel_Rarely"/>
    <s v="Research &amp; Development"/>
    <n v="15"/>
    <n v="2"/>
    <s v="Life Sciences"/>
    <n v="1217"/>
    <n v="4"/>
    <s v="Male"/>
    <n v="3"/>
    <n v="5"/>
    <s v="Research Director"/>
    <n v="2"/>
    <s v="Married"/>
    <n v="19081"/>
    <n v="5"/>
    <x v="1"/>
    <n v="11"/>
    <n v="3"/>
    <n v="1"/>
    <n v="1"/>
    <n v="25"/>
    <n v="2"/>
    <n v="3"/>
    <n v="4"/>
    <n v="2"/>
    <n v="0"/>
    <n v="3"/>
    <n v="0"/>
    <x v="1"/>
    <n v="4"/>
    <x v="3"/>
    <n v="4"/>
    <x v="2"/>
    <n v="2"/>
    <s v="College"/>
    <s v="Medium"/>
    <s v="Very High"/>
    <s v="Better"/>
  </r>
  <r>
    <n v="35"/>
    <s v="No"/>
    <s v="Travel_Rarely"/>
    <s v="Sales"/>
    <n v="17"/>
    <n v="4"/>
    <s v="Life Sciences"/>
    <n v="1218"/>
    <n v="3"/>
    <s v="Male"/>
    <n v="3"/>
    <n v="2"/>
    <s v="Sales Executive"/>
    <n v="1"/>
    <s v="Married"/>
    <n v="8966"/>
    <n v="3"/>
    <x v="0"/>
    <n v="15"/>
    <n v="3"/>
    <n v="4"/>
    <n v="3"/>
    <n v="15"/>
    <n v="2"/>
    <n v="3"/>
    <n v="7"/>
    <n v="7"/>
    <n v="1"/>
    <n v="7"/>
    <n v="0"/>
    <x v="2"/>
    <n v="2"/>
    <x v="2"/>
    <n v="3"/>
    <x v="0"/>
    <n v="3"/>
    <s v="Master"/>
    <s v="Low"/>
    <s v="High"/>
    <s v="Better"/>
  </r>
  <r>
    <n v="24"/>
    <s v="Yes"/>
    <s v="Travel_Rarely"/>
    <s v="Research &amp; Development"/>
    <n v="17"/>
    <n v="2"/>
    <s v="Life Sciences"/>
    <n v="1219"/>
    <n v="4"/>
    <s v="Female"/>
    <n v="3"/>
    <n v="1"/>
    <s v="Laboratory Technician"/>
    <n v="2"/>
    <s v="Married"/>
    <n v="2210"/>
    <n v="1"/>
    <x v="1"/>
    <n v="13"/>
    <n v="3"/>
    <n v="1"/>
    <n v="1"/>
    <n v="1"/>
    <n v="3"/>
    <n v="1"/>
    <n v="1"/>
    <n v="0"/>
    <n v="0"/>
    <n v="0"/>
    <n v="1"/>
    <x v="4"/>
    <n v="1"/>
    <x v="1"/>
    <n v="1"/>
    <x v="1"/>
    <n v="1"/>
    <s v="College"/>
    <s v="Medium"/>
    <s v="Very High"/>
    <s v="Bad"/>
  </r>
  <r>
    <n v="33"/>
    <s v="No"/>
    <s v="Travel_Frequently"/>
    <s v="Sales"/>
    <n v="25"/>
    <n v="3"/>
    <s v="Medical"/>
    <n v="1220"/>
    <n v="2"/>
    <s v="Female"/>
    <n v="3"/>
    <n v="2"/>
    <s v="Sales Executive"/>
    <n v="3"/>
    <s v="Married"/>
    <n v="4539"/>
    <n v="1"/>
    <x v="1"/>
    <n v="12"/>
    <n v="3"/>
    <n v="1"/>
    <n v="1"/>
    <n v="10"/>
    <n v="3"/>
    <n v="2"/>
    <n v="10"/>
    <n v="7"/>
    <n v="0"/>
    <n v="1"/>
    <n v="0"/>
    <x v="2"/>
    <n v="2"/>
    <x v="0"/>
    <n v="2"/>
    <x v="0"/>
    <n v="3"/>
    <s v="Bachelor"/>
    <s v="High"/>
    <s v="Medium"/>
    <s v="Good"/>
  </r>
  <r>
    <n v="36"/>
    <s v="No"/>
    <s v="Travel_Rarely"/>
    <s v="Research &amp; Development"/>
    <n v="6"/>
    <n v="4"/>
    <s v="Life Sciences"/>
    <n v="1221"/>
    <n v="3"/>
    <s v="Male"/>
    <n v="1"/>
    <n v="1"/>
    <s v="Laboratory Technician"/>
    <n v="3"/>
    <s v="Divorced"/>
    <n v="2741"/>
    <n v="1"/>
    <x v="1"/>
    <n v="14"/>
    <n v="3"/>
    <n v="3"/>
    <n v="1"/>
    <n v="7"/>
    <n v="4"/>
    <n v="3"/>
    <n v="7"/>
    <n v="7"/>
    <n v="1"/>
    <n v="7"/>
    <n v="0"/>
    <x v="0"/>
    <n v="3"/>
    <x v="1"/>
    <n v="1"/>
    <x v="0"/>
    <n v="3"/>
    <s v="Master"/>
    <s v="High"/>
    <s v="High"/>
    <s v="Better"/>
  </r>
  <r>
    <n v="30"/>
    <s v="No"/>
    <s v="Travel_Rarely"/>
    <s v="Research &amp; Development"/>
    <n v="7"/>
    <n v="4"/>
    <s v="Life Sciences"/>
    <n v="1224"/>
    <n v="3"/>
    <s v="Male"/>
    <n v="3"/>
    <n v="2"/>
    <s v="Laboratory Technician"/>
    <n v="3"/>
    <s v="Divorced"/>
    <n v="3491"/>
    <n v="1"/>
    <x v="1"/>
    <n v="13"/>
    <n v="3"/>
    <n v="1"/>
    <n v="3"/>
    <n v="10"/>
    <n v="4"/>
    <n v="2"/>
    <n v="10"/>
    <n v="7"/>
    <n v="8"/>
    <n v="9"/>
    <n v="0"/>
    <x v="2"/>
    <n v="2"/>
    <x v="0"/>
    <n v="2"/>
    <x v="0"/>
    <n v="3"/>
    <s v="Master"/>
    <s v="High"/>
    <s v="High"/>
    <s v="Good"/>
  </r>
  <r>
    <n v="44"/>
    <s v="No"/>
    <s v="Travel_Rarely"/>
    <s v="Research &amp; Development"/>
    <n v="29"/>
    <n v="4"/>
    <s v="Other"/>
    <n v="1225"/>
    <n v="4"/>
    <s v="Male"/>
    <n v="3"/>
    <n v="2"/>
    <s v="Research Scientist"/>
    <n v="4"/>
    <s v="Single"/>
    <n v="4541"/>
    <n v="1"/>
    <x v="1"/>
    <n v="25"/>
    <n v="4"/>
    <n v="2"/>
    <n v="0"/>
    <n v="20"/>
    <n v="3"/>
    <n v="3"/>
    <n v="20"/>
    <n v="11"/>
    <n v="13"/>
    <n v="17"/>
    <n v="0"/>
    <x v="0"/>
    <n v="3"/>
    <x v="0"/>
    <n v="2"/>
    <x v="3"/>
    <n v="4"/>
    <s v="Master"/>
    <s v="Very High"/>
    <s v="Very High"/>
    <s v="Better"/>
  </r>
  <r>
    <n v="20"/>
    <s v="No"/>
    <s v="Travel_Rarely"/>
    <s v="Sales"/>
    <n v="21"/>
    <n v="3"/>
    <s v="Marketing"/>
    <n v="1226"/>
    <n v="3"/>
    <s v="Male"/>
    <n v="4"/>
    <n v="1"/>
    <s v="Sales Representative"/>
    <n v="4"/>
    <s v="Single"/>
    <n v="2678"/>
    <n v="1"/>
    <x v="1"/>
    <n v="17"/>
    <n v="3"/>
    <n v="4"/>
    <n v="0"/>
    <n v="2"/>
    <n v="2"/>
    <n v="3"/>
    <n v="2"/>
    <n v="1"/>
    <n v="2"/>
    <n v="2"/>
    <n v="0"/>
    <x v="4"/>
    <n v="1"/>
    <x v="1"/>
    <n v="1"/>
    <x v="1"/>
    <n v="1"/>
    <s v="Bachelor"/>
    <s v="Very High"/>
    <s v="High"/>
    <s v="Better"/>
  </r>
  <r>
    <n v="46"/>
    <s v="No"/>
    <s v="Travel_Rarely"/>
    <s v="Research &amp; Development"/>
    <n v="2"/>
    <n v="4"/>
    <s v="Technical Degree"/>
    <n v="1228"/>
    <n v="4"/>
    <s v="Male"/>
    <n v="3"/>
    <n v="2"/>
    <s v="Manufacturing Director"/>
    <n v="4"/>
    <s v="Divorced"/>
    <n v="7379"/>
    <n v="2"/>
    <x v="1"/>
    <n v="11"/>
    <n v="3"/>
    <n v="3"/>
    <n v="1"/>
    <n v="12"/>
    <n v="3"/>
    <n v="2"/>
    <n v="6"/>
    <n v="3"/>
    <n v="1"/>
    <n v="4"/>
    <n v="0"/>
    <x v="1"/>
    <n v="4"/>
    <x v="2"/>
    <n v="3"/>
    <x v="0"/>
    <n v="3"/>
    <s v="Master"/>
    <s v="Very High"/>
    <s v="Very High"/>
    <s v="Good"/>
  </r>
  <r>
    <n v="42"/>
    <s v="No"/>
    <s v="Non-Travel"/>
    <s v="Human Resources"/>
    <n v="2"/>
    <n v="5"/>
    <s v="Medical"/>
    <n v="1231"/>
    <n v="4"/>
    <s v="Male"/>
    <n v="4"/>
    <n v="2"/>
    <s v="Human Resources"/>
    <n v="1"/>
    <s v="Married"/>
    <n v="6272"/>
    <n v="7"/>
    <x v="1"/>
    <n v="16"/>
    <n v="3"/>
    <n v="1"/>
    <n v="1"/>
    <n v="10"/>
    <n v="3"/>
    <n v="4"/>
    <n v="4"/>
    <n v="3"/>
    <n v="0"/>
    <n v="3"/>
    <n v="0"/>
    <x v="0"/>
    <n v="3"/>
    <x v="2"/>
    <n v="3"/>
    <x v="2"/>
    <n v="2"/>
    <s v="Doctor"/>
    <s v="Low"/>
    <s v="Very High"/>
    <s v="Best"/>
  </r>
  <r>
    <n v="60"/>
    <s v="No"/>
    <s v="Travel_Rarely"/>
    <s v="Sales"/>
    <n v="7"/>
    <n v="4"/>
    <s v="Marketing"/>
    <n v="1233"/>
    <n v="2"/>
    <s v="Male"/>
    <n v="4"/>
    <n v="2"/>
    <s v="Sales Executive"/>
    <n v="4"/>
    <s v="Divorced"/>
    <n v="5220"/>
    <n v="0"/>
    <x v="0"/>
    <n v="18"/>
    <n v="3"/>
    <n v="2"/>
    <n v="1"/>
    <n v="12"/>
    <n v="3"/>
    <n v="3"/>
    <n v="11"/>
    <n v="7"/>
    <n v="1"/>
    <n v="9"/>
    <n v="0"/>
    <x v="3"/>
    <n v="5"/>
    <x v="0"/>
    <n v="2"/>
    <x v="3"/>
    <n v="4"/>
    <s v="Master"/>
    <s v="Very High"/>
    <s v="Medium"/>
    <s v="Better"/>
  </r>
  <r>
    <n v="32"/>
    <s v="No"/>
    <s v="Travel_Frequently"/>
    <s v="Research &amp; Development"/>
    <n v="13"/>
    <n v="3"/>
    <s v="Other"/>
    <n v="1234"/>
    <n v="3"/>
    <s v="Female"/>
    <n v="2"/>
    <n v="1"/>
    <s v="Laboratory Technician"/>
    <n v="2"/>
    <s v="Married"/>
    <n v="2743"/>
    <n v="1"/>
    <x v="1"/>
    <n v="20"/>
    <n v="4"/>
    <n v="3"/>
    <n v="1"/>
    <n v="2"/>
    <n v="2"/>
    <n v="3"/>
    <n v="2"/>
    <n v="2"/>
    <n v="2"/>
    <n v="2"/>
    <n v="0"/>
    <x v="2"/>
    <n v="2"/>
    <x v="1"/>
    <n v="1"/>
    <x v="1"/>
    <n v="1"/>
    <s v="Bachelor"/>
    <s v="Medium"/>
    <s v="High"/>
    <s v="Better"/>
  </r>
  <r>
    <n v="32"/>
    <s v="No"/>
    <s v="Travel_Frequently"/>
    <s v="Research &amp; Development"/>
    <n v="2"/>
    <n v="2"/>
    <s v="Life Sciences"/>
    <n v="1235"/>
    <n v="4"/>
    <s v="Female"/>
    <n v="3"/>
    <n v="2"/>
    <s v="Research Scientist"/>
    <n v="3"/>
    <s v="Single"/>
    <n v="4998"/>
    <n v="4"/>
    <x v="0"/>
    <n v="14"/>
    <n v="3"/>
    <n v="4"/>
    <n v="0"/>
    <n v="10"/>
    <n v="2"/>
    <n v="3"/>
    <n v="8"/>
    <n v="7"/>
    <n v="0"/>
    <n v="7"/>
    <n v="0"/>
    <x v="2"/>
    <n v="2"/>
    <x v="0"/>
    <n v="2"/>
    <x v="0"/>
    <n v="3"/>
    <s v="College"/>
    <s v="High"/>
    <s v="Very High"/>
    <s v="Better"/>
  </r>
  <r>
    <n v="36"/>
    <s v="No"/>
    <s v="Travel_Rarely"/>
    <s v="Research &amp; Development"/>
    <n v="1"/>
    <n v="3"/>
    <s v="Technical Degree"/>
    <n v="1237"/>
    <n v="3"/>
    <s v="Female"/>
    <n v="1"/>
    <n v="3"/>
    <s v="Manufacturing Director"/>
    <n v="1"/>
    <s v="Divorced"/>
    <n v="10252"/>
    <n v="2"/>
    <x v="0"/>
    <n v="21"/>
    <n v="4"/>
    <n v="3"/>
    <n v="1"/>
    <n v="17"/>
    <n v="2"/>
    <n v="3"/>
    <n v="7"/>
    <n v="7"/>
    <n v="7"/>
    <n v="7"/>
    <n v="0"/>
    <x v="0"/>
    <n v="3"/>
    <x v="3"/>
    <n v="4"/>
    <x v="0"/>
    <n v="3"/>
    <s v="Bachelor"/>
    <s v="Low"/>
    <s v="High"/>
    <s v="Better"/>
  </r>
  <r>
    <n v="33"/>
    <s v="No"/>
    <s v="Travel_Rarely"/>
    <s v="Research &amp; Development"/>
    <n v="9"/>
    <n v="3"/>
    <s v="Medical"/>
    <n v="1238"/>
    <n v="1"/>
    <s v="Male"/>
    <n v="3"/>
    <n v="1"/>
    <s v="Research Scientist"/>
    <n v="4"/>
    <s v="Married"/>
    <n v="2781"/>
    <n v="0"/>
    <x v="1"/>
    <n v="13"/>
    <n v="3"/>
    <n v="2"/>
    <n v="1"/>
    <n v="15"/>
    <n v="5"/>
    <n v="3"/>
    <n v="14"/>
    <n v="10"/>
    <n v="4"/>
    <n v="10"/>
    <n v="0"/>
    <x v="2"/>
    <n v="2"/>
    <x v="1"/>
    <n v="1"/>
    <x v="3"/>
    <n v="4"/>
    <s v="Bachelor"/>
    <s v="Very High"/>
    <s v="Low"/>
    <s v="Better"/>
  </r>
  <r>
    <n v="40"/>
    <s v="No"/>
    <s v="Travel_Rarely"/>
    <s v="Sales"/>
    <n v="10"/>
    <n v="3"/>
    <s v="Technical Degree"/>
    <n v="1239"/>
    <n v="2"/>
    <s v="Female"/>
    <n v="2"/>
    <n v="2"/>
    <s v="Sales Executive"/>
    <n v="2"/>
    <s v="Divorced"/>
    <n v="6852"/>
    <n v="7"/>
    <x v="1"/>
    <n v="12"/>
    <n v="3"/>
    <n v="2"/>
    <n v="1"/>
    <n v="7"/>
    <n v="2"/>
    <n v="4"/>
    <n v="5"/>
    <n v="1"/>
    <n v="1"/>
    <n v="3"/>
    <n v="0"/>
    <x v="0"/>
    <n v="3"/>
    <x v="2"/>
    <n v="3"/>
    <x v="2"/>
    <n v="2"/>
    <s v="Bachelor"/>
    <s v="Medium"/>
    <s v="Medium"/>
    <s v="Best"/>
  </r>
  <r>
    <n v="25"/>
    <s v="No"/>
    <s v="Travel_Rarely"/>
    <s v="Sales"/>
    <n v="10"/>
    <n v="4"/>
    <s v="Life Sciences"/>
    <n v="1240"/>
    <n v="3"/>
    <s v="Male"/>
    <n v="3"/>
    <n v="2"/>
    <s v="Sales Executive"/>
    <n v="4"/>
    <s v="Single"/>
    <n v="4950"/>
    <n v="0"/>
    <x v="1"/>
    <n v="14"/>
    <n v="3"/>
    <n v="2"/>
    <n v="0"/>
    <n v="5"/>
    <n v="4"/>
    <n v="3"/>
    <n v="4"/>
    <n v="3"/>
    <n v="1"/>
    <n v="1"/>
    <n v="0"/>
    <x v="4"/>
    <n v="1"/>
    <x v="0"/>
    <n v="2"/>
    <x v="2"/>
    <n v="2"/>
    <s v="Master"/>
    <s v="Very High"/>
    <s v="High"/>
    <s v="Better"/>
  </r>
  <r>
    <n v="30"/>
    <s v="No"/>
    <s v="Travel_Rarely"/>
    <s v="Research &amp; Development"/>
    <n v="1"/>
    <n v="3"/>
    <s v="Medical"/>
    <n v="1241"/>
    <n v="4"/>
    <s v="Male"/>
    <n v="3"/>
    <n v="1"/>
    <s v="Research Scientist"/>
    <n v="2"/>
    <s v="Married"/>
    <n v="3579"/>
    <n v="0"/>
    <x v="0"/>
    <n v="21"/>
    <n v="4"/>
    <n v="1"/>
    <n v="1"/>
    <n v="12"/>
    <n v="2"/>
    <n v="3"/>
    <n v="11"/>
    <n v="9"/>
    <n v="5"/>
    <n v="7"/>
    <n v="0"/>
    <x v="2"/>
    <n v="2"/>
    <x v="0"/>
    <n v="2"/>
    <x v="3"/>
    <n v="4"/>
    <s v="Bachelor"/>
    <s v="Medium"/>
    <s v="Very High"/>
    <s v="Better"/>
  </r>
  <r>
    <n v="42"/>
    <s v="No"/>
    <s v="Travel_Frequently"/>
    <s v="Research &amp; Development"/>
    <n v="26"/>
    <n v="5"/>
    <s v="Medical"/>
    <n v="1242"/>
    <n v="1"/>
    <s v="Female"/>
    <n v="3"/>
    <n v="3"/>
    <s v="Research Director"/>
    <n v="1"/>
    <s v="Married"/>
    <n v="13191"/>
    <n v="3"/>
    <x v="0"/>
    <n v="17"/>
    <n v="3"/>
    <n v="3"/>
    <n v="0"/>
    <n v="20"/>
    <n v="6"/>
    <n v="3"/>
    <n v="1"/>
    <n v="0"/>
    <n v="0"/>
    <n v="0"/>
    <n v="0"/>
    <x v="0"/>
    <n v="3"/>
    <x v="3"/>
    <n v="4"/>
    <x v="1"/>
    <n v="1"/>
    <s v="Doctor"/>
    <s v="Low"/>
    <s v="Low"/>
    <s v="Better"/>
  </r>
  <r>
    <n v="35"/>
    <s v="No"/>
    <s v="Non-Travel"/>
    <s v="Sales"/>
    <n v="8"/>
    <n v="2"/>
    <s v="Marketing"/>
    <n v="1243"/>
    <n v="3"/>
    <s v="Female"/>
    <n v="2"/>
    <n v="3"/>
    <s v="Sales Executive"/>
    <n v="4"/>
    <s v="Married"/>
    <n v="10377"/>
    <n v="4"/>
    <x v="0"/>
    <n v="11"/>
    <n v="3"/>
    <n v="2"/>
    <n v="1"/>
    <n v="16"/>
    <n v="6"/>
    <n v="2"/>
    <n v="13"/>
    <n v="2"/>
    <n v="4"/>
    <n v="12"/>
    <n v="0"/>
    <x v="2"/>
    <n v="2"/>
    <x v="3"/>
    <n v="4"/>
    <x v="3"/>
    <n v="4"/>
    <s v="College"/>
    <s v="Very High"/>
    <s v="High"/>
    <s v="Good"/>
  </r>
  <r>
    <n v="27"/>
    <s v="No"/>
    <s v="Travel_Rarely"/>
    <s v="Research &amp; Development"/>
    <n v="14"/>
    <n v="3"/>
    <s v="Life Sciences"/>
    <n v="1244"/>
    <n v="1"/>
    <s v="Male"/>
    <n v="3"/>
    <n v="1"/>
    <s v="Research Scientist"/>
    <n v="1"/>
    <s v="Married"/>
    <n v="2235"/>
    <n v="1"/>
    <x v="0"/>
    <n v="14"/>
    <n v="3"/>
    <n v="4"/>
    <n v="2"/>
    <n v="9"/>
    <n v="3"/>
    <n v="2"/>
    <n v="9"/>
    <n v="7"/>
    <n v="6"/>
    <n v="8"/>
    <n v="0"/>
    <x v="2"/>
    <n v="2"/>
    <x v="1"/>
    <n v="1"/>
    <x v="0"/>
    <n v="3"/>
    <s v="Bachelor"/>
    <s v="Low"/>
    <s v="Low"/>
    <s v="Good"/>
  </r>
  <r>
    <n v="54"/>
    <s v="No"/>
    <s v="Travel_Frequently"/>
    <s v="Research &amp; Development"/>
    <n v="1"/>
    <n v="4"/>
    <s v="Life Sciences"/>
    <n v="1245"/>
    <n v="4"/>
    <s v="Female"/>
    <n v="3"/>
    <n v="3"/>
    <s v="Manufacturing Director"/>
    <n v="3"/>
    <s v="Divorced"/>
    <n v="10502"/>
    <n v="7"/>
    <x v="1"/>
    <n v="17"/>
    <n v="3"/>
    <n v="1"/>
    <n v="1"/>
    <n v="33"/>
    <n v="2"/>
    <n v="1"/>
    <n v="5"/>
    <n v="4"/>
    <n v="1"/>
    <n v="4"/>
    <n v="0"/>
    <x v="1"/>
    <n v="4"/>
    <x v="3"/>
    <n v="4"/>
    <x v="2"/>
    <n v="2"/>
    <s v="Master"/>
    <s v="High"/>
    <s v="Very High"/>
    <s v="Bad"/>
  </r>
  <r>
    <n v="44"/>
    <s v="No"/>
    <s v="Travel_Rarely"/>
    <s v="Research &amp; Development"/>
    <n v="2"/>
    <n v="1"/>
    <s v="Life Sciences"/>
    <n v="1246"/>
    <n v="1"/>
    <s v="Female"/>
    <n v="4"/>
    <n v="1"/>
    <s v="Research Scientist"/>
    <n v="4"/>
    <s v="Married"/>
    <n v="2011"/>
    <n v="1"/>
    <x v="1"/>
    <n v="13"/>
    <n v="3"/>
    <n v="4"/>
    <n v="1"/>
    <n v="10"/>
    <n v="5"/>
    <n v="3"/>
    <n v="10"/>
    <n v="5"/>
    <n v="7"/>
    <n v="7"/>
    <n v="0"/>
    <x v="0"/>
    <n v="3"/>
    <x v="1"/>
    <n v="1"/>
    <x v="0"/>
    <n v="3"/>
    <s v="Below College"/>
    <s v="Very High"/>
    <s v="Low"/>
    <s v="Better"/>
  </r>
  <r>
    <n v="19"/>
    <s v="Yes"/>
    <s v="Non-Travel"/>
    <s v="Research &amp; Development"/>
    <n v="10"/>
    <n v="3"/>
    <s v="Medical"/>
    <n v="1248"/>
    <n v="1"/>
    <s v="Female"/>
    <n v="2"/>
    <n v="1"/>
    <s v="Research Scientist"/>
    <n v="2"/>
    <s v="Single"/>
    <n v="1859"/>
    <n v="1"/>
    <x v="0"/>
    <n v="25"/>
    <n v="4"/>
    <n v="2"/>
    <n v="0"/>
    <n v="1"/>
    <n v="2"/>
    <n v="4"/>
    <n v="1"/>
    <n v="1"/>
    <n v="0"/>
    <n v="0"/>
    <n v="1"/>
    <x v="4"/>
    <n v="1"/>
    <x v="1"/>
    <n v="1"/>
    <x v="1"/>
    <n v="1"/>
    <s v="Bachelor"/>
    <s v="Medium"/>
    <s v="Low"/>
    <s v="Best"/>
  </r>
  <r>
    <n v="29"/>
    <s v="No"/>
    <s v="Travel_Rarely"/>
    <s v="Research &amp; Development"/>
    <n v="1"/>
    <n v="3"/>
    <s v="Life Sciences"/>
    <n v="1249"/>
    <n v="1"/>
    <s v="Female"/>
    <n v="3"/>
    <n v="1"/>
    <s v="Research Scientist"/>
    <n v="4"/>
    <s v="Divorced"/>
    <n v="3760"/>
    <n v="1"/>
    <x v="1"/>
    <n v="15"/>
    <n v="3"/>
    <n v="1"/>
    <n v="3"/>
    <n v="3"/>
    <n v="5"/>
    <n v="3"/>
    <n v="3"/>
    <n v="2"/>
    <n v="1"/>
    <n v="2"/>
    <n v="0"/>
    <x v="2"/>
    <n v="2"/>
    <x v="0"/>
    <n v="2"/>
    <x v="2"/>
    <n v="2"/>
    <s v="Bachelor"/>
    <s v="Very High"/>
    <s v="Low"/>
    <s v="Better"/>
  </r>
  <r>
    <n v="54"/>
    <s v="No"/>
    <s v="Travel_Rarely"/>
    <s v="Research &amp; Development"/>
    <n v="3"/>
    <n v="3"/>
    <s v="Life Sciences"/>
    <n v="1250"/>
    <n v="4"/>
    <s v="Male"/>
    <n v="3"/>
    <n v="4"/>
    <s v="Research Director"/>
    <n v="4"/>
    <s v="Married"/>
    <n v="17779"/>
    <n v="3"/>
    <x v="1"/>
    <n v="14"/>
    <n v="3"/>
    <n v="1"/>
    <n v="0"/>
    <n v="36"/>
    <n v="2"/>
    <n v="3"/>
    <n v="10"/>
    <n v="9"/>
    <n v="0"/>
    <n v="9"/>
    <n v="0"/>
    <x v="1"/>
    <n v="4"/>
    <x v="3"/>
    <n v="4"/>
    <x v="0"/>
    <n v="3"/>
    <s v="Bachelor"/>
    <s v="Very High"/>
    <s v="Very High"/>
    <s v="Better"/>
  </r>
  <r>
    <n v="31"/>
    <s v="No"/>
    <s v="Travel_Rarely"/>
    <s v="Research &amp; Development"/>
    <n v="11"/>
    <n v="2"/>
    <s v="Medical"/>
    <n v="1251"/>
    <n v="3"/>
    <s v="Male"/>
    <n v="3"/>
    <n v="2"/>
    <s v="Healthcare Representative"/>
    <n v="1"/>
    <s v="Married"/>
    <n v="6833"/>
    <n v="1"/>
    <x v="0"/>
    <n v="12"/>
    <n v="3"/>
    <n v="4"/>
    <n v="0"/>
    <n v="6"/>
    <n v="2"/>
    <n v="2"/>
    <n v="6"/>
    <n v="5"/>
    <n v="0"/>
    <n v="1"/>
    <n v="0"/>
    <x v="2"/>
    <n v="2"/>
    <x v="2"/>
    <n v="3"/>
    <x v="0"/>
    <n v="3"/>
    <s v="College"/>
    <s v="Low"/>
    <s v="High"/>
    <s v="Good"/>
  </r>
  <r>
    <n v="31"/>
    <s v="No"/>
    <s v="Travel_Rarely"/>
    <s v="Research &amp; Development"/>
    <n v="24"/>
    <n v="3"/>
    <s v="Medical"/>
    <n v="1252"/>
    <n v="3"/>
    <s v="Female"/>
    <n v="2"/>
    <n v="2"/>
    <s v="Healthcare Representative"/>
    <n v="1"/>
    <s v="Single"/>
    <n v="6812"/>
    <n v="1"/>
    <x v="1"/>
    <n v="19"/>
    <n v="3"/>
    <n v="2"/>
    <n v="0"/>
    <n v="10"/>
    <n v="2"/>
    <n v="3"/>
    <n v="10"/>
    <n v="9"/>
    <n v="1"/>
    <n v="8"/>
    <n v="0"/>
    <x v="2"/>
    <n v="2"/>
    <x v="2"/>
    <n v="3"/>
    <x v="0"/>
    <n v="3"/>
    <s v="Bachelor"/>
    <s v="Low"/>
    <s v="High"/>
    <s v="Better"/>
  </r>
  <r>
    <n v="59"/>
    <s v="No"/>
    <s v="Travel_Rarely"/>
    <s v="Sales"/>
    <n v="3"/>
    <n v="3"/>
    <s v="Life Sciences"/>
    <n v="1254"/>
    <n v="3"/>
    <s v="Female"/>
    <n v="2"/>
    <n v="2"/>
    <s v="Sales Executive"/>
    <n v="4"/>
    <s v="Single"/>
    <n v="5171"/>
    <n v="5"/>
    <x v="1"/>
    <n v="17"/>
    <n v="3"/>
    <n v="4"/>
    <n v="0"/>
    <n v="13"/>
    <n v="2"/>
    <n v="3"/>
    <n v="6"/>
    <n v="1"/>
    <n v="0"/>
    <n v="5"/>
    <n v="0"/>
    <x v="3"/>
    <n v="5"/>
    <x v="0"/>
    <n v="2"/>
    <x v="0"/>
    <n v="3"/>
    <s v="Bachelor"/>
    <s v="Very High"/>
    <s v="High"/>
    <s v="Better"/>
  </r>
  <r>
    <n v="43"/>
    <s v="No"/>
    <s v="Travel_Rarely"/>
    <s v="Research &amp; Development"/>
    <n v="3"/>
    <n v="3"/>
    <s v="Life Sciences"/>
    <n v="1255"/>
    <n v="3"/>
    <s v="Male"/>
    <n v="1"/>
    <n v="5"/>
    <s v="Research Director"/>
    <n v="4"/>
    <s v="Married"/>
    <n v="19740"/>
    <n v="3"/>
    <x v="1"/>
    <n v="14"/>
    <n v="3"/>
    <n v="2"/>
    <n v="1"/>
    <n v="25"/>
    <n v="2"/>
    <n v="3"/>
    <n v="8"/>
    <n v="7"/>
    <n v="0"/>
    <n v="7"/>
    <n v="0"/>
    <x v="0"/>
    <n v="3"/>
    <x v="3"/>
    <n v="4"/>
    <x v="0"/>
    <n v="3"/>
    <s v="Bachelor"/>
    <s v="Very High"/>
    <s v="High"/>
    <s v="Better"/>
  </r>
  <r>
    <n v="49"/>
    <s v="No"/>
    <s v="Travel_Rarely"/>
    <s v="Research &amp; Development"/>
    <n v="4"/>
    <n v="2"/>
    <s v="Medical"/>
    <n v="1256"/>
    <n v="1"/>
    <s v="Male"/>
    <n v="2"/>
    <n v="5"/>
    <s v="Manager"/>
    <n v="3"/>
    <s v="Married"/>
    <n v="18711"/>
    <n v="2"/>
    <x v="1"/>
    <n v="13"/>
    <n v="3"/>
    <n v="3"/>
    <n v="1"/>
    <n v="23"/>
    <n v="2"/>
    <n v="4"/>
    <n v="1"/>
    <n v="0"/>
    <n v="0"/>
    <n v="0"/>
    <n v="0"/>
    <x v="1"/>
    <n v="4"/>
    <x v="3"/>
    <n v="4"/>
    <x v="1"/>
    <n v="1"/>
    <s v="College"/>
    <s v="High"/>
    <s v="Low"/>
    <s v="Best"/>
  </r>
  <r>
    <n v="36"/>
    <s v="No"/>
    <s v="Travel_Frequently"/>
    <s v="Research &amp; Development"/>
    <n v="3"/>
    <n v="3"/>
    <s v="Technical Degree"/>
    <n v="1257"/>
    <n v="3"/>
    <s v="Male"/>
    <n v="3"/>
    <n v="1"/>
    <s v="Research Scientist"/>
    <n v="2"/>
    <s v="Married"/>
    <n v="3692"/>
    <n v="1"/>
    <x v="1"/>
    <n v="12"/>
    <n v="3"/>
    <n v="3"/>
    <n v="0"/>
    <n v="12"/>
    <n v="2"/>
    <n v="2"/>
    <n v="11"/>
    <n v="10"/>
    <n v="0"/>
    <n v="7"/>
    <n v="0"/>
    <x v="0"/>
    <n v="3"/>
    <x v="0"/>
    <n v="2"/>
    <x v="3"/>
    <n v="4"/>
    <s v="Bachelor"/>
    <s v="Medium"/>
    <s v="High"/>
    <s v="Good"/>
  </r>
  <r>
    <n v="48"/>
    <s v="No"/>
    <s v="Travel_Rarely"/>
    <s v="Research &amp; Development"/>
    <n v="2"/>
    <n v="2"/>
    <s v="Technical Degree"/>
    <n v="1258"/>
    <n v="4"/>
    <s v="Male"/>
    <n v="4"/>
    <n v="1"/>
    <s v="Laboratory Technician"/>
    <n v="2"/>
    <s v="Single"/>
    <n v="2559"/>
    <n v="5"/>
    <x v="1"/>
    <n v="11"/>
    <n v="3"/>
    <n v="3"/>
    <n v="0"/>
    <n v="7"/>
    <n v="4"/>
    <n v="2"/>
    <n v="1"/>
    <n v="0"/>
    <n v="0"/>
    <n v="0"/>
    <n v="0"/>
    <x v="1"/>
    <n v="4"/>
    <x v="1"/>
    <n v="1"/>
    <x v="1"/>
    <n v="1"/>
    <s v="College"/>
    <s v="Medium"/>
    <s v="Very High"/>
    <s v="Good"/>
  </r>
  <r>
    <n v="27"/>
    <s v="No"/>
    <s v="Travel_Rarely"/>
    <s v="Research &amp; Development"/>
    <n v="4"/>
    <n v="2"/>
    <s v="Life Sciences"/>
    <n v="1259"/>
    <n v="1"/>
    <s v="Male"/>
    <n v="3"/>
    <n v="1"/>
    <s v="Research Scientist"/>
    <n v="3"/>
    <s v="Divorced"/>
    <n v="2517"/>
    <n v="1"/>
    <x v="1"/>
    <n v="11"/>
    <n v="3"/>
    <n v="2"/>
    <n v="3"/>
    <n v="5"/>
    <n v="2"/>
    <n v="3"/>
    <n v="5"/>
    <n v="3"/>
    <n v="0"/>
    <n v="3"/>
    <n v="0"/>
    <x v="2"/>
    <n v="2"/>
    <x v="1"/>
    <n v="1"/>
    <x v="2"/>
    <n v="2"/>
    <s v="College"/>
    <s v="High"/>
    <s v="Low"/>
    <s v="Better"/>
  </r>
  <r>
    <n v="29"/>
    <s v="No"/>
    <s v="Travel_Rarely"/>
    <s v="Research &amp; Development"/>
    <n v="7"/>
    <n v="3"/>
    <s v="Life Sciences"/>
    <n v="1260"/>
    <n v="3"/>
    <s v="Male"/>
    <n v="3"/>
    <n v="2"/>
    <s v="Healthcare Representative"/>
    <n v="4"/>
    <s v="Divorced"/>
    <n v="6623"/>
    <n v="1"/>
    <x v="0"/>
    <n v="11"/>
    <n v="3"/>
    <n v="2"/>
    <n v="2"/>
    <n v="6"/>
    <n v="2"/>
    <n v="3"/>
    <n v="6"/>
    <n v="0"/>
    <n v="1"/>
    <n v="0"/>
    <n v="0"/>
    <x v="2"/>
    <n v="2"/>
    <x v="2"/>
    <n v="3"/>
    <x v="0"/>
    <n v="3"/>
    <s v="Bachelor"/>
    <s v="Very High"/>
    <s v="High"/>
    <s v="Better"/>
  </r>
  <r>
    <n v="48"/>
    <s v="No"/>
    <s v="Travel_Rarely"/>
    <s v="Research &amp; Development"/>
    <n v="1"/>
    <n v="3"/>
    <s v="Life Sciences"/>
    <n v="1263"/>
    <n v="4"/>
    <s v="Male"/>
    <n v="2"/>
    <n v="5"/>
    <s v="Research Director"/>
    <n v="4"/>
    <s v="Single"/>
    <n v="18265"/>
    <n v="6"/>
    <x v="1"/>
    <n v="12"/>
    <n v="3"/>
    <n v="3"/>
    <n v="0"/>
    <n v="25"/>
    <n v="3"/>
    <n v="4"/>
    <n v="1"/>
    <n v="0"/>
    <n v="0"/>
    <n v="0"/>
    <n v="0"/>
    <x v="1"/>
    <n v="4"/>
    <x v="3"/>
    <n v="4"/>
    <x v="1"/>
    <n v="1"/>
    <s v="Bachelor"/>
    <s v="Very High"/>
    <s v="Very High"/>
    <s v="Best"/>
  </r>
  <r>
    <n v="29"/>
    <s v="No"/>
    <s v="Travel_Rarely"/>
    <s v="Research &amp; Development"/>
    <n v="1"/>
    <n v="3"/>
    <s v="Life Sciences"/>
    <n v="1264"/>
    <n v="4"/>
    <s v="Female"/>
    <n v="2"/>
    <n v="4"/>
    <s v="Research Director"/>
    <n v="4"/>
    <s v="Divorced"/>
    <n v="16124"/>
    <n v="3"/>
    <x v="1"/>
    <n v="14"/>
    <n v="3"/>
    <n v="2"/>
    <n v="2"/>
    <n v="9"/>
    <n v="2"/>
    <n v="2"/>
    <n v="7"/>
    <n v="7"/>
    <n v="1"/>
    <n v="7"/>
    <n v="0"/>
    <x v="2"/>
    <n v="2"/>
    <x v="3"/>
    <n v="4"/>
    <x v="0"/>
    <n v="3"/>
    <s v="Bachelor"/>
    <s v="Very High"/>
    <s v="Very High"/>
    <s v="Good"/>
  </r>
  <r>
    <n v="34"/>
    <s v="No"/>
    <s v="Travel_Rarely"/>
    <s v="Research &amp; Development"/>
    <n v="20"/>
    <n v="3"/>
    <s v="Technical Degree"/>
    <n v="1265"/>
    <n v="3"/>
    <s v="Female"/>
    <n v="4"/>
    <n v="1"/>
    <s v="Research Scientist"/>
    <n v="3"/>
    <s v="Married"/>
    <n v="2585"/>
    <n v="0"/>
    <x v="1"/>
    <n v="17"/>
    <n v="3"/>
    <n v="4"/>
    <n v="0"/>
    <n v="2"/>
    <n v="5"/>
    <n v="2"/>
    <n v="1"/>
    <n v="0"/>
    <n v="0"/>
    <n v="0"/>
    <n v="0"/>
    <x v="2"/>
    <n v="2"/>
    <x v="1"/>
    <n v="1"/>
    <x v="1"/>
    <n v="1"/>
    <s v="Bachelor"/>
    <s v="High"/>
    <s v="High"/>
    <s v="Good"/>
  </r>
  <r>
    <n v="44"/>
    <s v="No"/>
    <s v="Travel_Rarely"/>
    <s v="Sales"/>
    <n v="5"/>
    <n v="3"/>
    <s v="Marketing"/>
    <n v="1267"/>
    <n v="2"/>
    <s v="Male"/>
    <n v="3"/>
    <n v="5"/>
    <s v="Manager"/>
    <n v="2"/>
    <s v="Married"/>
    <n v="18213"/>
    <n v="7"/>
    <x v="1"/>
    <n v="11"/>
    <n v="3"/>
    <n v="3"/>
    <n v="1"/>
    <n v="26"/>
    <n v="5"/>
    <n v="3"/>
    <n v="22"/>
    <n v="9"/>
    <n v="3"/>
    <n v="10"/>
    <n v="0"/>
    <x v="0"/>
    <n v="3"/>
    <x v="3"/>
    <n v="4"/>
    <x v="3"/>
    <n v="4"/>
    <s v="Bachelor"/>
    <s v="Medium"/>
    <s v="Medium"/>
    <s v="Better"/>
  </r>
  <r>
    <n v="33"/>
    <s v="No"/>
    <s v="Travel_Rarely"/>
    <s v="Sales"/>
    <n v="10"/>
    <n v="5"/>
    <s v="Marketing"/>
    <n v="1268"/>
    <n v="4"/>
    <s v="Male"/>
    <n v="4"/>
    <n v="3"/>
    <s v="Sales Executive"/>
    <n v="3"/>
    <s v="Divorced"/>
    <n v="8380"/>
    <n v="0"/>
    <x v="0"/>
    <n v="14"/>
    <n v="3"/>
    <n v="4"/>
    <n v="2"/>
    <n v="10"/>
    <n v="3"/>
    <n v="3"/>
    <n v="9"/>
    <n v="8"/>
    <n v="0"/>
    <n v="8"/>
    <n v="0"/>
    <x v="2"/>
    <n v="2"/>
    <x v="2"/>
    <n v="3"/>
    <x v="0"/>
    <n v="3"/>
    <s v="Doctor"/>
    <s v="High"/>
    <s v="Very High"/>
    <s v="Better"/>
  </r>
  <r>
    <n v="19"/>
    <s v="No"/>
    <s v="Travel_Rarely"/>
    <s v="Research &amp; Development"/>
    <n v="25"/>
    <n v="3"/>
    <s v="Life Sciences"/>
    <n v="1269"/>
    <n v="2"/>
    <s v="Female"/>
    <n v="4"/>
    <n v="1"/>
    <s v="Research Scientist"/>
    <n v="4"/>
    <s v="Single"/>
    <n v="2994"/>
    <n v="1"/>
    <x v="0"/>
    <n v="12"/>
    <n v="3"/>
    <n v="4"/>
    <n v="0"/>
    <n v="1"/>
    <n v="2"/>
    <n v="3"/>
    <n v="1"/>
    <n v="0"/>
    <n v="0"/>
    <n v="1"/>
    <n v="0"/>
    <x v="4"/>
    <n v="1"/>
    <x v="1"/>
    <n v="1"/>
    <x v="1"/>
    <n v="1"/>
    <s v="Bachelor"/>
    <s v="Very High"/>
    <s v="Medium"/>
    <s v="Better"/>
  </r>
  <r>
    <n v="23"/>
    <s v="No"/>
    <s v="Travel_Rarely"/>
    <s v="Research &amp; Development"/>
    <n v="1"/>
    <n v="2"/>
    <s v="Life Sciences"/>
    <n v="1270"/>
    <n v="4"/>
    <s v="Male"/>
    <n v="3"/>
    <n v="1"/>
    <s v="Research Scientist"/>
    <n v="3"/>
    <s v="Married"/>
    <n v="1223"/>
    <n v="1"/>
    <x v="1"/>
    <n v="22"/>
    <n v="4"/>
    <n v="4"/>
    <n v="1"/>
    <n v="1"/>
    <n v="2"/>
    <n v="3"/>
    <n v="1"/>
    <n v="0"/>
    <n v="0"/>
    <n v="1"/>
    <n v="0"/>
    <x v="4"/>
    <n v="1"/>
    <x v="1"/>
    <n v="1"/>
    <x v="1"/>
    <n v="1"/>
    <s v="College"/>
    <s v="High"/>
    <s v="Very High"/>
    <s v="Better"/>
  </r>
  <r>
    <n v="25"/>
    <s v="Yes"/>
    <s v="Travel_Frequently"/>
    <s v="Sales"/>
    <n v="24"/>
    <n v="1"/>
    <s v="Life Sciences"/>
    <n v="1273"/>
    <n v="3"/>
    <s v="Male"/>
    <n v="1"/>
    <n v="1"/>
    <s v="Sales Representative"/>
    <n v="4"/>
    <s v="Single"/>
    <n v="1118"/>
    <n v="1"/>
    <x v="0"/>
    <n v="14"/>
    <n v="3"/>
    <n v="4"/>
    <n v="0"/>
    <n v="1"/>
    <n v="4"/>
    <n v="3"/>
    <n v="1"/>
    <n v="0"/>
    <n v="1"/>
    <n v="0"/>
    <n v="1"/>
    <x v="4"/>
    <n v="1"/>
    <x v="1"/>
    <n v="1"/>
    <x v="1"/>
    <n v="1"/>
    <s v="Below College"/>
    <s v="Very High"/>
    <s v="High"/>
    <s v="Better"/>
  </r>
  <r>
    <n v="26"/>
    <s v="No"/>
    <s v="Travel_Rarely"/>
    <s v="Research &amp; Development"/>
    <n v="4"/>
    <n v="2"/>
    <s v="Life Sciences"/>
    <n v="1275"/>
    <n v="3"/>
    <s v="Male"/>
    <n v="3"/>
    <n v="1"/>
    <s v="Research Scientist"/>
    <n v="4"/>
    <s v="Single"/>
    <n v="2875"/>
    <n v="1"/>
    <x v="0"/>
    <n v="20"/>
    <n v="4"/>
    <n v="2"/>
    <n v="0"/>
    <n v="8"/>
    <n v="2"/>
    <n v="2"/>
    <n v="8"/>
    <n v="5"/>
    <n v="2"/>
    <n v="2"/>
    <n v="0"/>
    <x v="2"/>
    <n v="2"/>
    <x v="1"/>
    <n v="1"/>
    <x v="0"/>
    <n v="3"/>
    <s v="College"/>
    <s v="Very High"/>
    <s v="High"/>
    <s v="Good"/>
  </r>
  <r>
    <n v="45"/>
    <s v="Yes"/>
    <s v="Travel_Rarely"/>
    <s v="Sales"/>
    <n v="2"/>
    <n v="3"/>
    <s v="Marketing"/>
    <n v="1277"/>
    <n v="1"/>
    <s v="Female"/>
    <n v="1"/>
    <n v="5"/>
    <s v="Manager"/>
    <n v="2"/>
    <s v="Single"/>
    <n v="18824"/>
    <n v="2"/>
    <x v="0"/>
    <n v="16"/>
    <n v="3"/>
    <n v="1"/>
    <n v="0"/>
    <n v="26"/>
    <n v="2"/>
    <n v="3"/>
    <n v="24"/>
    <n v="10"/>
    <n v="1"/>
    <n v="11"/>
    <n v="1"/>
    <x v="0"/>
    <n v="3"/>
    <x v="3"/>
    <n v="4"/>
    <x v="3"/>
    <n v="4"/>
    <s v="Bachelor"/>
    <s v="Medium"/>
    <s v="Low"/>
    <s v="Better"/>
  </r>
  <r>
    <n v="55"/>
    <s v="No"/>
    <s v="Non-Travel"/>
    <s v="Research &amp; Development"/>
    <n v="8"/>
    <n v="1"/>
    <s v="Medical"/>
    <n v="1278"/>
    <n v="4"/>
    <s v="Male"/>
    <n v="2"/>
    <n v="4"/>
    <s v="Healthcare Representative"/>
    <n v="2"/>
    <s v="Divorced"/>
    <n v="13577"/>
    <n v="1"/>
    <x v="0"/>
    <n v="15"/>
    <n v="3"/>
    <n v="4"/>
    <n v="1"/>
    <n v="34"/>
    <n v="3"/>
    <n v="3"/>
    <n v="33"/>
    <n v="9"/>
    <n v="15"/>
    <n v="0"/>
    <n v="0"/>
    <x v="1"/>
    <n v="4"/>
    <x v="3"/>
    <n v="4"/>
    <x v="3"/>
    <n v="4"/>
    <s v="Below College"/>
    <s v="Medium"/>
    <s v="Very High"/>
    <s v="Better"/>
  </r>
  <r>
    <n v="21"/>
    <s v="Yes"/>
    <s v="Travel_Frequently"/>
    <s v="Research &amp; Development"/>
    <n v="10"/>
    <n v="2"/>
    <s v="Life Sciences"/>
    <n v="1279"/>
    <n v="1"/>
    <s v="Female"/>
    <n v="2"/>
    <n v="1"/>
    <s v="Laboratory Technician"/>
    <n v="3"/>
    <s v="Single"/>
    <n v="2625"/>
    <n v="1"/>
    <x v="1"/>
    <n v="20"/>
    <n v="4"/>
    <n v="3"/>
    <n v="0"/>
    <n v="2"/>
    <n v="2"/>
    <n v="1"/>
    <n v="2"/>
    <n v="2"/>
    <n v="2"/>
    <n v="2"/>
    <n v="1"/>
    <x v="4"/>
    <n v="1"/>
    <x v="1"/>
    <n v="1"/>
    <x v="1"/>
    <n v="1"/>
    <s v="College"/>
    <s v="High"/>
    <s v="Low"/>
    <s v="Bad"/>
  </r>
  <r>
    <n v="46"/>
    <s v="No"/>
    <s v="Travel_Rarely"/>
    <s v="Sales"/>
    <n v="4"/>
    <n v="2"/>
    <s v="Marketing"/>
    <n v="1280"/>
    <n v="4"/>
    <s v="Female"/>
    <n v="2"/>
    <n v="5"/>
    <s v="Manager"/>
    <n v="2"/>
    <s v="Married"/>
    <n v="18789"/>
    <n v="2"/>
    <x v="1"/>
    <n v="14"/>
    <n v="3"/>
    <n v="3"/>
    <n v="1"/>
    <n v="26"/>
    <n v="2"/>
    <n v="3"/>
    <n v="11"/>
    <n v="4"/>
    <n v="0"/>
    <n v="8"/>
    <n v="0"/>
    <x v="1"/>
    <n v="4"/>
    <x v="3"/>
    <n v="4"/>
    <x v="3"/>
    <n v="4"/>
    <s v="College"/>
    <s v="Medium"/>
    <s v="Very High"/>
    <s v="Better"/>
  </r>
  <r>
    <n v="34"/>
    <s v="No"/>
    <s v="Travel_Rarely"/>
    <s v="Sales"/>
    <n v="2"/>
    <n v="3"/>
    <s v="Marketing"/>
    <n v="1281"/>
    <n v="3"/>
    <s v="Female"/>
    <n v="3"/>
    <n v="2"/>
    <s v="Sales Executive"/>
    <n v="1"/>
    <s v="Single"/>
    <n v="4538"/>
    <n v="0"/>
    <x v="0"/>
    <n v="12"/>
    <n v="3"/>
    <n v="4"/>
    <n v="0"/>
    <n v="4"/>
    <n v="3"/>
    <n v="3"/>
    <n v="3"/>
    <n v="2"/>
    <n v="0"/>
    <n v="2"/>
    <n v="0"/>
    <x v="2"/>
    <n v="2"/>
    <x v="0"/>
    <n v="2"/>
    <x v="2"/>
    <n v="2"/>
    <s v="Bachelor"/>
    <s v="Low"/>
    <s v="High"/>
    <s v="Better"/>
  </r>
  <r>
    <n v="51"/>
    <s v="No"/>
    <s v="Travel_Frequently"/>
    <s v="Sales"/>
    <n v="9"/>
    <n v="3"/>
    <s v="Life Sciences"/>
    <n v="1282"/>
    <n v="4"/>
    <s v="Male"/>
    <n v="3"/>
    <n v="5"/>
    <s v="Manager"/>
    <n v="2"/>
    <s v="Divorced"/>
    <n v="19847"/>
    <n v="4"/>
    <x v="0"/>
    <n v="24"/>
    <n v="4"/>
    <n v="1"/>
    <n v="1"/>
    <n v="31"/>
    <n v="5"/>
    <n v="2"/>
    <n v="29"/>
    <n v="10"/>
    <n v="11"/>
    <n v="10"/>
    <n v="0"/>
    <x v="1"/>
    <n v="4"/>
    <x v="3"/>
    <n v="4"/>
    <x v="3"/>
    <n v="4"/>
    <s v="Bachelor"/>
    <s v="Medium"/>
    <s v="Very High"/>
    <s v="Good"/>
  </r>
  <r>
    <n v="59"/>
    <s v="No"/>
    <s v="Travel_Rarely"/>
    <s v="Research &amp; Development"/>
    <n v="18"/>
    <n v="4"/>
    <s v="Medical"/>
    <n v="1283"/>
    <n v="4"/>
    <s v="Male"/>
    <n v="3"/>
    <n v="3"/>
    <s v="Manufacturing Director"/>
    <n v="4"/>
    <s v="Single"/>
    <n v="10512"/>
    <n v="6"/>
    <x v="1"/>
    <n v="12"/>
    <n v="3"/>
    <n v="4"/>
    <n v="0"/>
    <n v="25"/>
    <n v="6"/>
    <n v="2"/>
    <n v="9"/>
    <n v="7"/>
    <n v="5"/>
    <n v="4"/>
    <n v="0"/>
    <x v="3"/>
    <n v="5"/>
    <x v="3"/>
    <n v="4"/>
    <x v="0"/>
    <n v="3"/>
    <s v="Master"/>
    <s v="Very High"/>
    <s v="Very High"/>
    <s v="Good"/>
  </r>
  <r>
    <n v="34"/>
    <s v="No"/>
    <s v="Travel_Frequently"/>
    <s v="Research &amp; Development"/>
    <n v="19"/>
    <n v="3"/>
    <s v="Medical"/>
    <n v="1285"/>
    <n v="3"/>
    <s v="Female"/>
    <n v="3"/>
    <n v="2"/>
    <s v="Laboratory Technician"/>
    <n v="2"/>
    <s v="Divorced"/>
    <n v="4444"/>
    <n v="4"/>
    <x v="1"/>
    <n v="13"/>
    <n v="3"/>
    <n v="3"/>
    <n v="2"/>
    <n v="15"/>
    <n v="2"/>
    <n v="4"/>
    <n v="11"/>
    <n v="8"/>
    <n v="5"/>
    <n v="10"/>
    <n v="0"/>
    <x v="2"/>
    <n v="2"/>
    <x v="0"/>
    <n v="2"/>
    <x v="3"/>
    <n v="4"/>
    <s v="Bachelor"/>
    <s v="Medium"/>
    <s v="High"/>
    <s v="Best"/>
  </r>
  <r>
    <n v="28"/>
    <s v="No"/>
    <s v="Travel_Frequently"/>
    <s v="Research &amp; Development"/>
    <n v="1"/>
    <n v="4"/>
    <s v="Medical"/>
    <n v="1286"/>
    <n v="4"/>
    <s v="Male"/>
    <n v="3"/>
    <n v="1"/>
    <s v="Laboratory Technician"/>
    <n v="3"/>
    <s v="Single"/>
    <n v="2154"/>
    <n v="0"/>
    <x v="0"/>
    <n v="11"/>
    <n v="3"/>
    <n v="3"/>
    <n v="0"/>
    <n v="5"/>
    <n v="2"/>
    <n v="2"/>
    <n v="4"/>
    <n v="2"/>
    <n v="0"/>
    <n v="2"/>
    <n v="0"/>
    <x v="2"/>
    <n v="2"/>
    <x v="1"/>
    <n v="1"/>
    <x v="2"/>
    <n v="2"/>
    <s v="Master"/>
    <s v="High"/>
    <s v="Very High"/>
    <s v="Good"/>
  </r>
  <r>
    <n v="44"/>
    <s v="No"/>
    <s v="Travel_Rarely"/>
    <s v="Research &amp; Development"/>
    <n v="4"/>
    <n v="2"/>
    <s v="Life Sciences"/>
    <n v="1288"/>
    <n v="3"/>
    <s v="Male"/>
    <n v="4"/>
    <n v="5"/>
    <s v="Manager"/>
    <n v="1"/>
    <s v="Divorced"/>
    <n v="19190"/>
    <n v="1"/>
    <x v="1"/>
    <n v="14"/>
    <n v="3"/>
    <n v="4"/>
    <n v="2"/>
    <n v="26"/>
    <n v="4"/>
    <n v="2"/>
    <n v="25"/>
    <n v="9"/>
    <n v="14"/>
    <n v="13"/>
    <n v="0"/>
    <x v="0"/>
    <n v="3"/>
    <x v="3"/>
    <n v="4"/>
    <x v="3"/>
    <n v="4"/>
    <s v="College"/>
    <s v="Low"/>
    <s v="High"/>
    <s v="Good"/>
  </r>
  <r>
    <n v="34"/>
    <s v="No"/>
    <s v="Travel_Frequently"/>
    <s v="Human Resources"/>
    <n v="11"/>
    <n v="3"/>
    <s v="Life Sciences"/>
    <n v="1289"/>
    <n v="3"/>
    <s v="Male"/>
    <n v="2"/>
    <n v="2"/>
    <s v="Human Resources"/>
    <n v="2"/>
    <s v="Married"/>
    <n v="4490"/>
    <n v="4"/>
    <x v="1"/>
    <n v="11"/>
    <n v="3"/>
    <n v="4"/>
    <n v="2"/>
    <n v="14"/>
    <n v="5"/>
    <n v="4"/>
    <n v="10"/>
    <n v="9"/>
    <n v="1"/>
    <n v="8"/>
    <n v="0"/>
    <x v="2"/>
    <n v="2"/>
    <x v="0"/>
    <n v="2"/>
    <x v="0"/>
    <n v="3"/>
    <s v="Bachelor"/>
    <s v="Medium"/>
    <s v="High"/>
    <s v="Best"/>
  </r>
  <r>
    <n v="35"/>
    <s v="No"/>
    <s v="Travel_Rarely"/>
    <s v="Research &amp; Development"/>
    <n v="6"/>
    <n v="1"/>
    <s v="Life Sciences"/>
    <n v="1291"/>
    <n v="3"/>
    <s v="Male"/>
    <n v="3"/>
    <n v="1"/>
    <s v="Research Scientist"/>
    <n v="3"/>
    <s v="Married"/>
    <n v="3506"/>
    <n v="0"/>
    <x v="0"/>
    <n v="14"/>
    <n v="3"/>
    <n v="4"/>
    <n v="0"/>
    <n v="4"/>
    <n v="3"/>
    <n v="3"/>
    <n v="3"/>
    <n v="2"/>
    <n v="2"/>
    <n v="2"/>
    <n v="0"/>
    <x v="2"/>
    <n v="2"/>
    <x v="0"/>
    <n v="2"/>
    <x v="2"/>
    <n v="2"/>
    <s v="Below College"/>
    <s v="High"/>
    <s v="High"/>
    <s v="Better"/>
  </r>
  <r>
    <n v="42"/>
    <s v="No"/>
    <s v="Travel_Rarely"/>
    <s v="Research &amp; Development"/>
    <n v="7"/>
    <n v="4"/>
    <s v="Medical"/>
    <n v="1292"/>
    <n v="2"/>
    <s v="Female"/>
    <n v="4"/>
    <n v="2"/>
    <s v="Research Scientist"/>
    <n v="2"/>
    <s v="Married"/>
    <n v="2372"/>
    <n v="6"/>
    <x v="0"/>
    <n v="16"/>
    <n v="3"/>
    <n v="4"/>
    <n v="0"/>
    <n v="18"/>
    <n v="2"/>
    <n v="3"/>
    <n v="1"/>
    <n v="0"/>
    <n v="0"/>
    <n v="0"/>
    <n v="0"/>
    <x v="0"/>
    <n v="3"/>
    <x v="1"/>
    <n v="1"/>
    <x v="1"/>
    <n v="1"/>
    <s v="Master"/>
    <s v="Medium"/>
    <s v="Medium"/>
    <s v="Better"/>
  </r>
  <r>
    <n v="43"/>
    <s v="No"/>
    <s v="Travel_Rarely"/>
    <s v="Sales"/>
    <n v="4"/>
    <n v="4"/>
    <s v="Marketing"/>
    <n v="1293"/>
    <n v="4"/>
    <s v="Female"/>
    <n v="2"/>
    <n v="3"/>
    <s v="Sales Executive"/>
    <n v="4"/>
    <s v="Single"/>
    <n v="10231"/>
    <n v="3"/>
    <x v="1"/>
    <n v="14"/>
    <n v="3"/>
    <n v="4"/>
    <n v="0"/>
    <n v="23"/>
    <n v="3"/>
    <n v="4"/>
    <n v="21"/>
    <n v="7"/>
    <n v="15"/>
    <n v="17"/>
    <n v="0"/>
    <x v="0"/>
    <n v="3"/>
    <x v="3"/>
    <n v="4"/>
    <x v="3"/>
    <n v="4"/>
    <s v="Master"/>
    <s v="Very High"/>
    <s v="Very High"/>
    <s v="Best"/>
  </r>
  <r>
    <n v="36"/>
    <s v="No"/>
    <s v="Travel_Rarely"/>
    <s v="Research &amp; Development"/>
    <n v="2"/>
    <n v="4"/>
    <s v="Life Sciences"/>
    <n v="1294"/>
    <n v="3"/>
    <s v="Female"/>
    <n v="3"/>
    <n v="2"/>
    <s v="Manufacturing Director"/>
    <n v="2"/>
    <s v="Single"/>
    <n v="5410"/>
    <n v="9"/>
    <x v="0"/>
    <n v="11"/>
    <n v="3"/>
    <n v="4"/>
    <n v="0"/>
    <n v="18"/>
    <n v="2"/>
    <n v="3"/>
    <n v="16"/>
    <n v="14"/>
    <n v="5"/>
    <n v="12"/>
    <n v="0"/>
    <x v="0"/>
    <n v="3"/>
    <x v="0"/>
    <n v="2"/>
    <x v="3"/>
    <n v="4"/>
    <s v="Master"/>
    <s v="Medium"/>
    <s v="High"/>
    <s v="Better"/>
  </r>
  <r>
    <n v="44"/>
    <s v="Yes"/>
    <s v="Travel_Rarely"/>
    <s v="Research &amp; Development"/>
    <n v="15"/>
    <n v="3"/>
    <s v="Medical"/>
    <n v="1295"/>
    <n v="1"/>
    <s v="Female"/>
    <n v="3"/>
    <n v="3"/>
    <s v="Healthcare Representative"/>
    <n v="4"/>
    <s v="Married"/>
    <n v="7978"/>
    <n v="1"/>
    <x v="1"/>
    <n v="11"/>
    <n v="3"/>
    <n v="4"/>
    <n v="1"/>
    <n v="10"/>
    <n v="2"/>
    <n v="3"/>
    <n v="10"/>
    <n v="7"/>
    <n v="0"/>
    <n v="5"/>
    <n v="1"/>
    <x v="0"/>
    <n v="3"/>
    <x v="2"/>
    <n v="3"/>
    <x v="0"/>
    <n v="3"/>
    <s v="Bachelor"/>
    <s v="Very High"/>
    <s v="Low"/>
    <s v="Better"/>
  </r>
  <r>
    <n v="28"/>
    <s v="No"/>
    <s v="Travel_Frequently"/>
    <s v="Research &amp; Development"/>
    <n v="2"/>
    <n v="3"/>
    <s v="Life Sciences"/>
    <n v="1296"/>
    <n v="4"/>
    <s v="Male"/>
    <n v="2"/>
    <n v="1"/>
    <s v="Laboratory Technician"/>
    <n v="4"/>
    <s v="Married"/>
    <n v="3867"/>
    <n v="1"/>
    <x v="0"/>
    <n v="12"/>
    <n v="3"/>
    <n v="2"/>
    <n v="1"/>
    <n v="2"/>
    <n v="2"/>
    <n v="3"/>
    <n v="2"/>
    <n v="2"/>
    <n v="2"/>
    <n v="2"/>
    <n v="0"/>
    <x v="2"/>
    <n v="2"/>
    <x v="0"/>
    <n v="2"/>
    <x v="1"/>
    <n v="1"/>
    <s v="Bachelor"/>
    <s v="Very High"/>
    <s v="Very High"/>
    <s v="Better"/>
  </r>
  <r>
    <n v="51"/>
    <s v="No"/>
    <s v="Travel_Frequently"/>
    <s v="Research &amp; Development"/>
    <n v="6"/>
    <n v="2"/>
    <s v="Medical"/>
    <n v="1297"/>
    <n v="2"/>
    <s v="Female"/>
    <n v="2"/>
    <n v="1"/>
    <s v="Laboratory Technician"/>
    <n v="3"/>
    <s v="Single"/>
    <n v="2838"/>
    <n v="0"/>
    <x v="1"/>
    <n v="14"/>
    <n v="3"/>
    <n v="2"/>
    <n v="0"/>
    <n v="8"/>
    <n v="6"/>
    <n v="2"/>
    <n v="7"/>
    <n v="0"/>
    <n v="7"/>
    <n v="7"/>
    <n v="0"/>
    <x v="1"/>
    <n v="4"/>
    <x v="1"/>
    <n v="1"/>
    <x v="0"/>
    <n v="3"/>
    <s v="College"/>
    <s v="High"/>
    <s v="Medium"/>
    <s v="Good"/>
  </r>
  <r>
    <n v="30"/>
    <s v="No"/>
    <s v="Non-Travel"/>
    <s v="Research &amp; Development"/>
    <n v="9"/>
    <n v="2"/>
    <s v="Medical"/>
    <n v="1298"/>
    <n v="3"/>
    <s v="Female"/>
    <n v="3"/>
    <n v="2"/>
    <s v="Manufacturing Director"/>
    <n v="3"/>
    <s v="Single"/>
    <n v="4695"/>
    <n v="7"/>
    <x v="0"/>
    <n v="18"/>
    <n v="3"/>
    <n v="3"/>
    <n v="0"/>
    <n v="10"/>
    <n v="3"/>
    <n v="3"/>
    <n v="8"/>
    <n v="4"/>
    <n v="1"/>
    <n v="7"/>
    <n v="0"/>
    <x v="2"/>
    <n v="2"/>
    <x v="0"/>
    <n v="2"/>
    <x v="0"/>
    <n v="3"/>
    <s v="College"/>
    <s v="High"/>
    <s v="High"/>
    <s v="Better"/>
  </r>
  <r>
    <n v="29"/>
    <s v="Yes"/>
    <s v="Travel_Rarely"/>
    <s v="Research &amp; Development"/>
    <n v="7"/>
    <n v="3"/>
    <s v="Technical Degree"/>
    <n v="1299"/>
    <n v="2"/>
    <s v="Female"/>
    <n v="3"/>
    <n v="1"/>
    <s v="Laboratory Technician"/>
    <n v="3"/>
    <s v="Divorced"/>
    <n v="3339"/>
    <n v="3"/>
    <x v="0"/>
    <n v="13"/>
    <n v="3"/>
    <n v="1"/>
    <n v="2"/>
    <n v="10"/>
    <n v="2"/>
    <n v="3"/>
    <n v="7"/>
    <n v="7"/>
    <n v="7"/>
    <n v="7"/>
    <n v="1"/>
    <x v="2"/>
    <n v="2"/>
    <x v="0"/>
    <n v="2"/>
    <x v="0"/>
    <n v="3"/>
    <s v="Bachelor"/>
    <s v="High"/>
    <s v="Medium"/>
    <s v="Better"/>
  </r>
  <r>
    <n v="28"/>
    <s v="No"/>
    <s v="Travel_Rarely"/>
    <s v="Research &amp; Development"/>
    <n v="1"/>
    <n v="3"/>
    <s v="Technical Degree"/>
    <n v="1301"/>
    <n v="4"/>
    <s v="Male"/>
    <n v="3"/>
    <n v="1"/>
    <s v="Research Scientist"/>
    <n v="1"/>
    <s v="Single"/>
    <n v="2080"/>
    <n v="2"/>
    <x v="1"/>
    <n v="11"/>
    <n v="3"/>
    <n v="2"/>
    <n v="0"/>
    <n v="5"/>
    <n v="2"/>
    <n v="2"/>
    <n v="3"/>
    <n v="2"/>
    <n v="1"/>
    <n v="2"/>
    <n v="0"/>
    <x v="2"/>
    <n v="2"/>
    <x v="1"/>
    <n v="1"/>
    <x v="2"/>
    <n v="2"/>
    <s v="Bachelor"/>
    <s v="Low"/>
    <s v="Very High"/>
    <s v="Good"/>
  </r>
  <r>
    <n v="25"/>
    <s v="No"/>
    <s v="Travel_Rarely"/>
    <s v="Research &amp; Development"/>
    <n v="1"/>
    <n v="3"/>
    <s v="Medical"/>
    <n v="1303"/>
    <n v="4"/>
    <s v="Female"/>
    <n v="3"/>
    <n v="1"/>
    <s v="Research Scientist"/>
    <n v="2"/>
    <s v="Single"/>
    <n v="2096"/>
    <n v="1"/>
    <x v="1"/>
    <n v="18"/>
    <n v="3"/>
    <n v="4"/>
    <n v="0"/>
    <n v="2"/>
    <n v="3"/>
    <n v="2"/>
    <n v="2"/>
    <n v="2"/>
    <n v="2"/>
    <n v="1"/>
    <n v="0"/>
    <x v="4"/>
    <n v="1"/>
    <x v="1"/>
    <n v="1"/>
    <x v="1"/>
    <n v="1"/>
    <s v="Bachelor"/>
    <s v="Medium"/>
    <s v="Very High"/>
    <s v="Good"/>
  </r>
  <r>
    <n v="32"/>
    <s v="No"/>
    <s v="Travel_Rarely"/>
    <s v="Sales"/>
    <n v="8"/>
    <n v="3"/>
    <s v="Medical"/>
    <n v="1304"/>
    <n v="3"/>
    <s v="Male"/>
    <n v="4"/>
    <n v="2"/>
    <s v="Sales Executive"/>
    <n v="4"/>
    <s v="Married"/>
    <n v="6209"/>
    <n v="1"/>
    <x v="1"/>
    <n v="15"/>
    <n v="3"/>
    <n v="3"/>
    <n v="2"/>
    <n v="10"/>
    <n v="4"/>
    <n v="4"/>
    <n v="10"/>
    <n v="7"/>
    <n v="0"/>
    <n v="8"/>
    <n v="0"/>
    <x v="2"/>
    <n v="2"/>
    <x v="2"/>
    <n v="3"/>
    <x v="0"/>
    <n v="3"/>
    <s v="Bachelor"/>
    <s v="Very High"/>
    <s v="High"/>
    <s v="Best"/>
  </r>
  <r>
    <n v="45"/>
    <s v="No"/>
    <s v="Travel_Frequently"/>
    <s v="Research &amp; Development"/>
    <n v="25"/>
    <n v="3"/>
    <s v="Medical"/>
    <n v="1306"/>
    <n v="2"/>
    <s v="Female"/>
    <n v="3"/>
    <n v="5"/>
    <s v="Manager"/>
    <n v="2"/>
    <s v="Single"/>
    <n v="18061"/>
    <n v="3"/>
    <x v="1"/>
    <n v="22"/>
    <n v="4"/>
    <n v="3"/>
    <n v="0"/>
    <n v="22"/>
    <n v="4"/>
    <n v="3"/>
    <n v="0"/>
    <n v="0"/>
    <n v="0"/>
    <n v="0"/>
    <n v="0"/>
    <x v="0"/>
    <n v="3"/>
    <x v="3"/>
    <n v="4"/>
    <x v="1"/>
    <n v="1"/>
    <s v="Bachelor"/>
    <s v="Medium"/>
    <s v="Medium"/>
    <s v="Better"/>
  </r>
  <r>
    <n v="39"/>
    <s v="No"/>
    <s v="Travel_Rarely"/>
    <s v="Research &amp; Development"/>
    <n v="13"/>
    <n v="4"/>
    <s v="Medical"/>
    <n v="1307"/>
    <n v="3"/>
    <s v="Female"/>
    <n v="2"/>
    <n v="4"/>
    <s v="Manager"/>
    <n v="2"/>
    <s v="Divorced"/>
    <n v="17123"/>
    <n v="6"/>
    <x v="0"/>
    <n v="13"/>
    <n v="3"/>
    <n v="4"/>
    <n v="2"/>
    <n v="21"/>
    <n v="4"/>
    <n v="3"/>
    <n v="19"/>
    <n v="9"/>
    <n v="15"/>
    <n v="2"/>
    <n v="0"/>
    <x v="0"/>
    <n v="3"/>
    <x v="3"/>
    <n v="4"/>
    <x v="3"/>
    <n v="4"/>
    <s v="Master"/>
    <s v="Medium"/>
    <s v="High"/>
    <s v="Better"/>
  </r>
  <r>
    <n v="58"/>
    <s v="No"/>
    <s v="Travel_Rarely"/>
    <s v="Research &amp; Development"/>
    <n v="23"/>
    <n v="4"/>
    <s v="Life Sciences"/>
    <n v="1308"/>
    <n v="1"/>
    <s v="Male"/>
    <n v="3"/>
    <n v="1"/>
    <s v="Research Scientist"/>
    <n v="3"/>
    <s v="Divorced"/>
    <n v="2372"/>
    <n v="1"/>
    <x v="1"/>
    <n v="12"/>
    <n v="3"/>
    <n v="4"/>
    <n v="2"/>
    <n v="2"/>
    <n v="3"/>
    <n v="3"/>
    <n v="2"/>
    <n v="2"/>
    <n v="2"/>
    <n v="2"/>
    <n v="0"/>
    <x v="3"/>
    <n v="5"/>
    <x v="1"/>
    <n v="1"/>
    <x v="1"/>
    <n v="1"/>
    <s v="Master"/>
    <s v="High"/>
    <s v="Low"/>
    <s v="Better"/>
  </r>
  <r>
    <n v="32"/>
    <s v="Yes"/>
    <s v="Travel_Rarely"/>
    <s v="Research &amp; Development"/>
    <n v="7"/>
    <n v="2"/>
    <s v="Life Sciences"/>
    <n v="1309"/>
    <n v="4"/>
    <s v="Male"/>
    <n v="3"/>
    <n v="2"/>
    <s v="Laboratory Technician"/>
    <n v="3"/>
    <s v="Married"/>
    <n v="4883"/>
    <n v="1"/>
    <x v="1"/>
    <n v="18"/>
    <n v="3"/>
    <n v="1"/>
    <n v="1"/>
    <n v="10"/>
    <n v="3"/>
    <n v="3"/>
    <n v="10"/>
    <n v="4"/>
    <n v="1"/>
    <n v="1"/>
    <n v="1"/>
    <x v="2"/>
    <n v="2"/>
    <x v="0"/>
    <n v="2"/>
    <x v="0"/>
    <n v="3"/>
    <s v="College"/>
    <s v="High"/>
    <s v="Very High"/>
    <s v="Better"/>
  </r>
  <r>
    <n v="39"/>
    <s v="Yes"/>
    <s v="Travel_Rarely"/>
    <s v="Research &amp; Development"/>
    <n v="23"/>
    <n v="3"/>
    <s v="Medical"/>
    <n v="1310"/>
    <n v="3"/>
    <s v="Male"/>
    <n v="3"/>
    <n v="1"/>
    <s v="Research Scientist"/>
    <n v="1"/>
    <s v="Single"/>
    <n v="3904"/>
    <n v="0"/>
    <x v="1"/>
    <n v="13"/>
    <n v="3"/>
    <n v="1"/>
    <n v="0"/>
    <n v="6"/>
    <n v="2"/>
    <n v="3"/>
    <n v="5"/>
    <n v="2"/>
    <n v="0"/>
    <n v="3"/>
    <n v="1"/>
    <x v="0"/>
    <n v="3"/>
    <x v="0"/>
    <n v="2"/>
    <x v="2"/>
    <n v="2"/>
    <s v="Bachelor"/>
    <s v="Low"/>
    <s v="High"/>
    <s v="Better"/>
  </r>
  <r>
    <n v="30"/>
    <s v="No"/>
    <s v="Travel_Rarely"/>
    <s v="Research &amp; Development"/>
    <n v="6"/>
    <n v="3"/>
    <s v="Technical Degree"/>
    <n v="1311"/>
    <n v="1"/>
    <s v="Female"/>
    <n v="2"/>
    <n v="2"/>
    <s v="Laboratory Technician"/>
    <n v="4"/>
    <s v="Married"/>
    <n v="4627"/>
    <n v="0"/>
    <x v="1"/>
    <n v="12"/>
    <n v="3"/>
    <n v="1"/>
    <n v="1"/>
    <n v="10"/>
    <n v="6"/>
    <n v="3"/>
    <n v="9"/>
    <n v="2"/>
    <n v="6"/>
    <n v="7"/>
    <n v="0"/>
    <x v="2"/>
    <n v="2"/>
    <x v="0"/>
    <n v="2"/>
    <x v="0"/>
    <n v="3"/>
    <s v="Bachelor"/>
    <s v="Very High"/>
    <s v="Low"/>
    <s v="Better"/>
  </r>
  <r>
    <n v="36"/>
    <s v="No"/>
    <s v="Travel_Rarely"/>
    <s v="Research &amp; Development"/>
    <n v="10"/>
    <n v="4"/>
    <s v="Technical Degree"/>
    <n v="1312"/>
    <n v="4"/>
    <s v="Female"/>
    <n v="3"/>
    <n v="3"/>
    <s v="Healthcare Representative"/>
    <n v="3"/>
    <s v="Married"/>
    <n v="7094"/>
    <n v="3"/>
    <x v="1"/>
    <n v="12"/>
    <n v="3"/>
    <n v="1"/>
    <n v="0"/>
    <n v="10"/>
    <n v="0"/>
    <n v="3"/>
    <n v="7"/>
    <n v="7"/>
    <n v="1"/>
    <n v="7"/>
    <n v="0"/>
    <x v="0"/>
    <n v="3"/>
    <x v="2"/>
    <n v="3"/>
    <x v="0"/>
    <n v="3"/>
    <s v="Master"/>
    <s v="High"/>
    <s v="Very High"/>
    <s v="Better"/>
  </r>
  <r>
    <n v="46"/>
    <s v="No"/>
    <s v="Travel_Rarely"/>
    <s v="Human Resources"/>
    <n v="1"/>
    <n v="2"/>
    <s v="Life Sciences"/>
    <n v="1314"/>
    <n v="4"/>
    <s v="Female"/>
    <n v="3"/>
    <n v="1"/>
    <s v="Human Resources"/>
    <n v="1"/>
    <s v="Single"/>
    <n v="3423"/>
    <n v="6"/>
    <x v="1"/>
    <n v="12"/>
    <n v="3"/>
    <n v="3"/>
    <n v="0"/>
    <n v="10"/>
    <n v="3"/>
    <n v="4"/>
    <n v="7"/>
    <n v="6"/>
    <n v="5"/>
    <n v="7"/>
    <n v="0"/>
    <x v="1"/>
    <n v="4"/>
    <x v="0"/>
    <n v="2"/>
    <x v="0"/>
    <n v="3"/>
    <s v="College"/>
    <s v="Low"/>
    <s v="Very High"/>
    <s v="Best"/>
  </r>
  <r>
    <n v="28"/>
    <s v="No"/>
    <s v="Non-Travel"/>
    <s v="Research &amp; Development"/>
    <n v="1"/>
    <n v="3"/>
    <s v="Life Sciences"/>
    <n v="1315"/>
    <n v="3"/>
    <s v="Female"/>
    <n v="1"/>
    <n v="2"/>
    <s v="Laboratory Technician"/>
    <n v="4"/>
    <s v="Married"/>
    <n v="6674"/>
    <n v="0"/>
    <x v="1"/>
    <n v="11"/>
    <n v="3"/>
    <n v="1"/>
    <n v="3"/>
    <n v="10"/>
    <n v="6"/>
    <n v="3"/>
    <n v="9"/>
    <n v="8"/>
    <n v="7"/>
    <n v="5"/>
    <n v="0"/>
    <x v="2"/>
    <n v="2"/>
    <x v="2"/>
    <n v="3"/>
    <x v="0"/>
    <n v="3"/>
    <s v="Bachelor"/>
    <s v="Very High"/>
    <s v="High"/>
    <s v="Better"/>
  </r>
  <r>
    <n v="50"/>
    <s v="No"/>
    <s v="Travel_Rarely"/>
    <s v="Research &amp; Development"/>
    <n v="28"/>
    <n v="3"/>
    <s v="Life Sciences"/>
    <n v="1317"/>
    <n v="4"/>
    <s v="Female"/>
    <n v="3"/>
    <n v="4"/>
    <s v="Research Director"/>
    <n v="1"/>
    <s v="Married"/>
    <n v="16880"/>
    <n v="4"/>
    <x v="0"/>
    <n v="11"/>
    <n v="3"/>
    <n v="2"/>
    <n v="0"/>
    <n v="25"/>
    <n v="2"/>
    <n v="3"/>
    <n v="3"/>
    <n v="2"/>
    <n v="1"/>
    <n v="2"/>
    <n v="0"/>
    <x v="1"/>
    <n v="4"/>
    <x v="3"/>
    <n v="4"/>
    <x v="2"/>
    <n v="2"/>
    <s v="Bachelor"/>
    <s v="Low"/>
    <s v="Very High"/>
    <s v="Better"/>
  </r>
  <r>
    <n v="40"/>
    <s v="Yes"/>
    <s v="Travel_Rarely"/>
    <s v="Sales"/>
    <n v="25"/>
    <n v="4"/>
    <s v="Marketing"/>
    <n v="1318"/>
    <n v="4"/>
    <s v="Male"/>
    <n v="2"/>
    <n v="3"/>
    <s v="Sales Executive"/>
    <n v="2"/>
    <s v="Single"/>
    <n v="9094"/>
    <n v="2"/>
    <x v="0"/>
    <n v="12"/>
    <n v="3"/>
    <n v="3"/>
    <n v="0"/>
    <n v="9"/>
    <n v="2"/>
    <n v="3"/>
    <n v="5"/>
    <n v="4"/>
    <n v="1"/>
    <n v="0"/>
    <n v="1"/>
    <x v="0"/>
    <n v="3"/>
    <x v="2"/>
    <n v="3"/>
    <x v="2"/>
    <n v="2"/>
    <s v="Master"/>
    <s v="Medium"/>
    <s v="Very High"/>
    <s v="Better"/>
  </r>
  <r>
    <n v="52"/>
    <s v="Yes"/>
    <s v="Travel_Rarely"/>
    <s v="Sales"/>
    <n v="5"/>
    <n v="3"/>
    <s v="Life Sciences"/>
    <n v="1319"/>
    <n v="2"/>
    <s v="Male"/>
    <n v="3"/>
    <n v="3"/>
    <s v="Sales Executive"/>
    <n v="2"/>
    <s v="Single"/>
    <n v="8446"/>
    <n v="9"/>
    <x v="0"/>
    <n v="19"/>
    <n v="3"/>
    <n v="3"/>
    <n v="0"/>
    <n v="10"/>
    <n v="2"/>
    <n v="2"/>
    <n v="8"/>
    <n v="7"/>
    <n v="7"/>
    <n v="7"/>
    <n v="1"/>
    <x v="1"/>
    <n v="4"/>
    <x v="2"/>
    <n v="3"/>
    <x v="0"/>
    <n v="3"/>
    <s v="Bachelor"/>
    <s v="Medium"/>
    <s v="Medium"/>
    <s v="Good"/>
  </r>
  <r>
    <n v="30"/>
    <s v="No"/>
    <s v="Travel_Rarely"/>
    <s v="Research &amp; Development"/>
    <n v="17"/>
    <n v="4"/>
    <s v="Medical"/>
    <n v="1321"/>
    <n v="2"/>
    <s v="Female"/>
    <n v="3"/>
    <n v="3"/>
    <s v="Manager"/>
    <n v="1"/>
    <s v="Married"/>
    <n v="11916"/>
    <n v="1"/>
    <x v="0"/>
    <n v="23"/>
    <n v="4"/>
    <n v="4"/>
    <n v="2"/>
    <n v="9"/>
    <n v="2"/>
    <n v="3"/>
    <n v="9"/>
    <n v="1"/>
    <n v="0"/>
    <n v="8"/>
    <n v="0"/>
    <x v="2"/>
    <n v="2"/>
    <x v="3"/>
    <n v="4"/>
    <x v="0"/>
    <n v="3"/>
    <s v="Master"/>
    <s v="Low"/>
    <s v="Medium"/>
    <s v="Better"/>
  </r>
  <r>
    <n v="39"/>
    <s v="No"/>
    <s v="Travel_Rarely"/>
    <s v="Research &amp; Development"/>
    <n v="18"/>
    <n v="2"/>
    <s v="Life Sciences"/>
    <n v="1322"/>
    <n v="1"/>
    <s v="Male"/>
    <n v="3"/>
    <n v="2"/>
    <s v="Manufacturing Director"/>
    <n v="3"/>
    <s v="Single"/>
    <n v="4534"/>
    <n v="0"/>
    <x v="1"/>
    <n v="11"/>
    <n v="3"/>
    <n v="1"/>
    <n v="0"/>
    <n v="9"/>
    <n v="6"/>
    <n v="3"/>
    <n v="8"/>
    <n v="7"/>
    <n v="1"/>
    <n v="7"/>
    <n v="0"/>
    <x v="0"/>
    <n v="3"/>
    <x v="0"/>
    <n v="2"/>
    <x v="0"/>
    <n v="3"/>
    <s v="College"/>
    <s v="High"/>
    <s v="Low"/>
    <s v="Better"/>
  </r>
  <r>
    <n v="31"/>
    <s v="No"/>
    <s v="Non-Travel"/>
    <s v="Sales"/>
    <n v="2"/>
    <n v="4"/>
    <s v="Life Sciences"/>
    <n v="1324"/>
    <n v="4"/>
    <s v="Female"/>
    <n v="3"/>
    <n v="3"/>
    <s v="Sales Executive"/>
    <n v="3"/>
    <s v="Divorced"/>
    <n v="9852"/>
    <n v="1"/>
    <x v="0"/>
    <n v="19"/>
    <n v="3"/>
    <n v="1"/>
    <n v="1"/>
    <n v="10"/>
    <n v="5"/>
    <n v="2"/>
    <n v="10"/>
    <n v="8"/>
    <n v="9"/>
    <n v="6"/>
    <n v="0"/>
    <x v="2"/>
    <n v="2"/>
    <x v="2"/>
    <n v="3"/>
    <x v="0"/>
    <n v="3"/>
    <s v="Master"/>
    <s v="High"/>
    <s v="Very High"/>
    <s v="Good"/>
  </r>
  <r>
    <n v="41"/>
    <s v="No"/>
    <s v="Non-Travel"/>
    <s v="Sales"/>
    <n v="10"/>
    <n v="2"/>
    <s v="Medical"/>
    <n v="1329"/>
    <n v="3"/>
    <s v="Male"/>
    <n v="1"/>
    <n v="2"/>
    <s v="Sales Executive"/>
    <n v="2"/>
    <s v="Single"/>
    <n v="6151"/>
    <n v="1"/>
    <x v="1"/>
    <n v="13"/>
    <n v="3"/>
    <n v="1"/>
    <n v="0"/>
    <n v="19"/>
    <n v="4"/>
    <n v="3"/>
    <n v="19"/>
    <n v="2"/>
    <n v="11"/>
    <n v="9"/>
    <n v="0"/>
    <x v="0"/>
    <n v="3"/>
    <x v="2"/>
    <n v="3"/>
    <x v="3"/>
    <n v="4"/>
    <s v="College"/>
    <s v="Medium"/>
    <s v="High"/>
    <s v="Better"/>
  </r>
  <r>
    <n v="31"/>
    <s v="Yes"/>
    <s v="Travel_Frequently"/>
    <s v="Sales"/>
    <n v="1"/>
    <n v="3"/>
    <s v="Life Sciences"/>
    <n v="1331"/>
    <n v="4"/>
    <s v="Female"/>
    <n v="3"/>
    <n v="1"/>
    <s v="Sales Representative"/>
    <n v="2"/>
    <s v="Single"/>
    <n v="2302"/>
    <n v="1"/>
    <x v="0"/>
    <n v="11"/>
    <n v="3"/>
    <n v="1"/>
    <n v="0"/>
    <n v="3"/>
    <n v="2"/>
    <n v="4"/>
    <n v="3"/>
    <n v="2"/>
    <n v="2"/>
    <n v="2"/>
    <n v="1"/>
    <x v="2"/>
    <n v="2"/>
    <x v="1"/>
    <n v="1"/>
    <x v="2"/>
    <n v="2"/>
    <s v="Bachelor"/>
    <s v="Medium"/>
    <s v="Very High"/>
    <s v="Best"/>
  </r>
  <r>
    <n v="44"/>
    <s v="Yes"/>
    <s v="Travel_Rarely"/>
    <s v="Research &amp; Development"/>
    <n v="3"/>
    <n v="3"/>
    <s v="Life Sciences"/>
    <n v="1333"/>
    <n v="1"/>
    <s v="Male"/>
    <n v="3"/>
    <n v="1"/>
    <s v="Laboratory Technician"/>
    <n v="1"/>
    <s v="Married"/>
    <n v="2362"/>
    <n v="4"/>
    <x v="1"/>
    <n v="12"/>
    <n v="3"/>
    <n v="3"/>
    <n v="0"/>
    <n v="10"/>
    <n v="4"/>
    <n v="4"/>
    <n v="3"/>
    <n v="2"/>
    <n v="1"/>
    <n v="2"/>
    <n v="1"/>
    <x v="0"/>
    <n v="3"/>
    <x v="1"/>
    <n v="1"/>
    <x v="2"/>
    <n v="2"/>
    <s v="Bachelor"/>
    <s v="Low"/>
    <s v="Low"/>
    <s v="Best"/>
  </r>
  <r>
    <n v="42"/>
    <s v="No"/>
    <s v="Non-Travel"/>
    <s v="Research &amp; Development"/>
    <n v="2"/>
    <n v="1"/>
    <s v="Life Sciences"/>
    <n v="1334"/>
    <n v="3"/>
    <s v="Male"/>
    <n v="3"/>
    <n v="4"/>
    <s v="Manager"/>
    <n v="3"/>
    <s v="Married"/>
    <n v="17861"/>
    <n v="0"/>
    <x v="0"/>
    <n v="13"/>
    <n v="3"/>
    <n v="4"/>
    <n v="0"/>
    <n v="21"/>
    <n v="3"/>
    <n v="2"/>
    <n v="20"/>
    <n v="8"/>
    <n v="2"/>
    <n v="10"/>
    <n v="0"/>
    <x v="0"/>
    <n v="3"/>
    <x v="3"/>
    <n v="4"/>
    <x v="3"/>
    <n v="4"/>
    <s v="Below College"/>
    <s v="High"/>
    <s v="High"/>
    <s v="Good"/>
  </r>
  <r>
    <n v="55"/>
    <s v="No"/>
    <s v="Travel_Rarely"/>
    <s v="Research &amp; Development"/>
    <n v="2"/>
    <n v="2"/>
    <s v="Medical"/>
    <n v="1336"/>
    <n v="4"/>
    <s v="Female"/>
    <n v="1"/>
    <n v="5"/>
    <s v="Manager"/>
    <n v="3"/>
    <s v="Married"/>
    <n v="19187"/>
    <n v="4"/>
    <x v="1"/>
    <n v="14"/>
    <n v="3"/>
    <n v="4"/>
    <n v="1"/>
    <n v="23"/>
    <n v="5"/>
    <n v="3"/>
    <n v="19"/>
    <n v="9"/>
    <n v="9"/>
    <n v="11"/>
    <n v="0"/>
    <x v="1"/>
    <n v="4"/>
    <x v="3"/>
    <n v="4"/>
    <x v="3"/>
    <n v="4"/>
    <s v="College"/>
    <s v="High"/>
    <s v="Very High"/>
    <s v="Better"/>
  </r>
  <r>
    <n v="56"/>
    <s v="No"/>
    <s v="Travel_Rarely"/>
    <s v="Human Resources"/>
    <n v="8"/>
    <n v="4"/>
    <s v="Life Sciences"/>
    <n v="1338"/>
    <n v="4"/>
    <s v="Male"/>
    <n v="3"/>
    <n v="5"/>
    <s v="Manager"/>
    <n v="2"/>
    <s v="Single"/>
    <n v="19717"/>
    <n v="6"/>
    <x v="1"/>
    <n v="14"/>
    <n v="3"/>
    <n v="1"/>
    <n v="0"/>
    <n v="36"/>
    <n v="4"/>
    <n v="3"/>
    <n v="7"/>
    <n v="3"/>
    <n v="7"/>
    <n v="7"/>
    <n v="0"/>
    <x v="3"/>
    <n v="5"/>
    <x v="3"/>
    <n v="4"/>
    <x v="0"/>
    <n v="3"/>
    <s v="Master"/>
    <s v="Medium"/>
    <s v="Very High"/>
    <s v="Better"/>
  </r>
  <r>
    <n v="40"/>
    <s v="No"/>
    <s v="Non-Travel"/>
    <s v="Research &amp; Development"/>
    <n v="16"/>
    <n v="2"/>
    <s v="Life Sciences"/>
    <n v="1340"/>
    <n v="3"/>
    <s v="Male"/>
    <n v="3"/>
    <n v="1"/>
    <s v="Research Scientist"/>
    <n v="3"/>
    <s v="Divorced"/>
    <n v="3544"/>
    <n v="9"/>
    <x v="1"/>
    <n v="16"/>
    <n v="3"/>
    <n v="2"/>
    <n v="1"/>
    <n v="6"/>
    <n v="0"/>
    <n v="3"/>
    <n v="4"/>
    <n v="2"/>
    <n v="0"/>
    <n v="0"/>
    <n v="0"/>
    <x v="0"/>
    <n v="3"/>
    <x v="0"/>
    <n v="2"/>
    <x v="2"/>
    <n v="2"/>
    <s v="College"/>
    <s v="High"/>
    <s v="High"/>
    <s v="Better"/>
  </r>
  <r>
    <n v="34"/>
    <s v="No"/>
    <s v="Travel_Rarely"/>
    <s v="Research &amp; Development"/>
    <n v="9"/>
    <n v="3"/>
    <s v="Life Sciences"/>
    <n v="1344"/>
    <n v="4"/>
    <s v="Male"/>
    <n v="3"/>
    <n v="3"/>
    <s v="Healthcare Representative"/>
    <n v="4"/>
    <s v="Divorced"/>
    <n v="8500"/>
    <n v="0"/>
    <x v="1"/>
    <n v="11"/>
    <n v="3"/>
    <n v="4"/>
    <n v="1"/>
    <n v="10"/>
    <n v="0"/>
    <n v="2"/>
    <n v="9"/>
    <n v="7"/>
    <n v="1"/>
    <n v="6"/>
    <n v="0"/>
    <x v="2"/>
    <n v="2"/>
    <x v="2"/>
    <n v="3"/>
    <x v="0"/>
    <n v="3"/>
    <s v="Bachelor"/>
    <s v="Very High"/>
    <s v="Very High"/>
    <s v="Good"/>
  </r>
  <r>
    <n v="40"/>
    <s v="No"/>
    <s v="Travel_Rarely"/>
    <s v="Research &amp; Development"/>
    <n v="2"/>
    <n v="3"/>
    <s v="Life Sciences"/>
    <n v="1346"/>
    <n v="3"/>
    <s v="Male"/>
    <n v="3"/>
    <n v="2"/>
    <s v="Research Scientist"/>
    <n v="4"/>
    <s v="Single"/>
    <n v="4661"/>
    <n v="1"/>
    <x v="1"/>
    <n v="13"/>
    <n v="3"/>
    <n v="3"/>
    <n v="0"/>
    <n v="9"/>
    <n v="4"/>
    <n v="3"/>
    <n v="9"/>
    <n v="8"/>
    <n v="8"/>
    <n v="8"/>
    <n v="0"/>
    <x v="0"/>
    <n v="3"/>
    <x v="0"/>
    <n v="2"/>
    <x v="0"/>
    <n v="3"/>
    <s v="Bachelor"/>
    <s v="Very High"/>
    <s v="High"/>
    <s v="Better"/>
  </r>
  <r>
    <n v="41"/>
    <s v="No"/>
    <s v="Travel_Frequently"/>
    <s v="Sales"/>
    <n v="1"/>
    <n v="3"/>
    <s v="Marketing"/>
    <n v="1349"/>
    <n v="3"/>
    <s v="Female"/>
    <n v="3"/>
    <n v="2"/>
    <s v="Sales Executive"/>
    <n v="1"/>
    <s v="Divorced"/>
    <n v="4103"/>
    <n v="0"/>
    <x v="1"/>
    <n v="17"/>
    <n v="3"/>
    <n v="4"/>
    <n v="1"/>
    <n v="10"/>
    <n v="2"/>
    <n v="3"/>
    <n v="9"/>
    <n v="3"/>
    <n v="1"/>
    <n v="7"/>
    <n v="0"/>
    <x v="0"/>
    <n v="3"/>
    <x v="0"/>
    <n v="2"/>
    <x v="0"/>
    <n v="3"/>
    <s v="Bachelor"/>
    <s v="Low"/>
    <s v="High"/>
    <s v="Better"/>
  </r>
  <r>
    <n v="35"/>
    <s v="No"/>
    <s v="Travel_Frequently"/>
    <s v="Research &amp; Development"/>
    <n v="4"/>
    <n v="4"/>
    <s v="Life Sciences"/>
    <n v="1350"/>
    <n v="3"/>
    <s v="Male"/>
    <n v="3"/>
    <n v="2"/>
    <s v="Research Scientist"/>
    <n v="3"/>
    <s v="Single"/>
    <n v="4249"/>
    <n v="1"/>
    <x v="0"/>
    <n v="11"/>
    <n v="3"/>
    <n v="2"/>
    <n v="0"/>
    <n v="9"/>
    <n v="3"/>
    <n v="3"/>
    <n v="9"/>
    <n v="6"/>
    <n v="1"/>
    <n v="1"/>
    <n v="0"/>
    <x v="2"/>
    <n v="2"/>
    <x v="0"/>
    <n v="2"/>
    <x v="0"/>
    <n v="3"/>
    <s v="Master"/>
    <s v="High"/>
    <s v="High"/>
    <s v="Better"/>
  </r>
  <r>
    <n v="51"/>
    <s v="No"/>
    <s v="Travel_Rarely"/>
    <s v="Human Resources"/>
    <n v="5"/>
    <n v="3"/>
    <s v="Life Sciences"/>
    <n v="1352"/>
    <n v="3"/>
    <s v="Male"/>
    <n v="3"/>
    <n v="4"/>
    <s v="Manager"/>
    <n v="2"/>
    <s v="Divorced"/>
    <n v="14026"/>
    <n v="1"/>
    <x v="0"/>
    <n v="11"/>
    <n v="3"/>
    <n v="2"/>
    <n v="1"/>
    <n v="33"/>
    <n v="2"/>
    <n v="3"/>
    <n v="33"/>
    <n v="9"/>
    <n v="0"/>
    <n v="10"/>
    <n v="0"/>
    <x v="1"/>
    <n v="4"/>
    <x v="3"/>
    <n v="4"/>
    <x v="3"/>
    <n v="4"/>
    <s v="Bachelor"/>
    <s v="Medium"/>
    <s v="High"/>
    <s v="Better"/>
  </r>
  <r>
    <n v="38"/>
    <s v="No"/>
    <s v="Travel_Rarely"/>
    <s v="Sales"/>
    <n v="2"/>
    <n v="2"/>
    <s v="Life Sciences"/>
    <n v="1355"/>
    <n v="2"/>
    <s v="Female"/>
    <n v="3"/>
    <n v="2"/>
    <s v="Sales Executive"/>
    <n v="1"/>
    <s v="Divorced"/>
    <n v="6893"/>
    <n v="3"/>
    <x v="1"/>
    <n v="15"/>
    <n v="3"/>
    <n v="4"/>
    <n v="1"/>
    <n v="11"/>
    <n v="3"/>
    <n v="3"/>
    <n v="7"/>
    <n v="7"/>
    <n v="1"/>
    <n v="7"/>
    <n v="0"/>
    <x v="0"/>
    <n v="3"/>
    <x v="2"/>
    <n v="3"/>
    <x v="0"/>
    <n v="3"/>
    <s v="College"/>
    <s v="Low"/>
    <s v="Medium"/>
    <s v="Better"/>
  </r>
  <r>
    <n v="34"/>
    <s v="No"/>
    <s v="Travel_Rarely"/>
    <s v="Sales"/>
    <n v="15"/>
    <n v="2"/>
    <s v="Medical"/>
    <n v="1356"/>
    <n v="3"/>
    <s v="Female"/>
    <n v="3"/>
    <n v="2"/>
    <s v="Sales Executive"/>
    <n v="1"/>
    <s v="Single"/>
    <n v="6125"/>
    <n v="1"/>
    <x v="1"/>
    <n v="12"/>
    <n v="3"/>
    <n v="4"/>
    <n v="0"/>
    <n v="10"/>
    <n v="6"/>
    <n v="4"/>
    <n v="10"/>
    <n v="8"/>
    <n v="9"/>
    <n v="6"/>
    <n v="0"/>
    <x v="2"/>
    <n v="2"/>
    <x v="2"/>
    <n v="3"/>
    <x v="0"/>
    <n v="3"/>
    <s v="College"/>
    <s v="Low"/>
    <s v="High"/>
    <s v="Best"/>
  </r>
  <r>
    <n v="25"/>
    <s v="No"/>
    <s v="Travel_Rarely"/>
    <s v="Research &amp; Development"/>
    <n v="19"/>
    <n v="1"/>
    <s v="Medical"/>
    <n v="1358"/>
    <n v="4"/>
    <s v="Male"/>
    <n v="3"/>
    <n v="1"/>
    <s v="Laboratory Technician"/>
    <n v="4"/>
    <s v="Married"/>
    <n v="3669"/>
    <n v="3"/>
    <x v="1"/>
    <n v="11"/>
    <n v="3"/>
    <n v="3"/>
    <n v="3"/>
    <n v="7"/>
    <n v="6"/>
    <n v="2"/>
    <n v="3"/>
    <n v="2"/>
    <n v="1"/>
    <n v="2"/>
    <n v="0"/>
    <x v="4"/>
    <n v="1"/>
    <x v="0"/>
    <n v="2"/>
    <x v="2"/>
    <n v="2"/>
    <s v="Below College"/>
    <s v="Very High"/>
    <s v="Very High"/>
    <s v="Good"/>
  </r>
  <r>
    <n v="58"/>
    <s v="Yes"/>
    <s v="Travel_Rarely"/>
    <s v="Research &amp; Development"/>
    <n v="7"/>
    <n v="4"/>
    <s v="Medical"/>
    <n v="1360"/>
    <n v="3"/>
    <s v="Female"/>
    <n v="2"/>
    <n v="3"/>
    <s v="Manufacturing Director"/>
    <n v="1"/>
    <s v="Married"/>
    <n v="10008"/>
    <n v="7"/>
    <x v="0"/>
    <n v="14"/>
    <n v="3"/>
    <n v="4"/>
    <n v="0"/>
    <n v="31"/>
    <n v="0"/>
    <n v="2"/>
    <n v="10"/>
    <n v="9"/>
    <n v="5"/>
    <n v="9"/>
    <n v="1"/>
    <x v="3"/>
    <n v="5"/>
    <x v="3"/>
    <n v="4"/>
    <x v="0"/>
    <n v="3"/>
    <s v="Master"/>
    <s v="Low"/>
    <s v="High"/>
    <s v="Good"/>
  </r>
  <r>
    <n v="40"/>
    <s v="No"/>
    <s v="Travel_Rarely"/>
    <s v="Research &amp; Development"/>
    <n v="1"/>
    <n v="4"/>
    <s v="Life Sciences"/>
    <n v="1361"/>
    <n v="2"/>
    <s v="Male"/>
    <n v="3"/>
    <n v="1"/>
    <s v="Laboratory Technician"/>
    <n v="2"/>
    <s v="Married"/>
    <n v="2387"/>
    <n v="3"/>
    <x v="1"/>
    <n v="22"/>
    <n v="4"/>
    <n v="3"/>
    <n v="1"/>
    <n v="7"/>
    <n v="3"/>
    <n v="3"/>
    <n v="4"/>
    <n v="2"/>
    <n v="0"/>
    <n v="3"/>
    <n v="0"/>
    <x v="0"/>
    <n v="3"/>
    <x v="1"/>
    <n v="1"/>
    <x v="2"/>
    <n v="2"/>
    <s v="Master"/>
    <s v="Medium"/>
    <s v="Medium"/>
    <s v="Better"/>
  </r>
  <r>
    <n v="36"/>
    <s v="No"/>
    <s v="Travel_Frequently"/>
    <s v="Sales"/>
    <n v="7"/>
    <n v="3"/>
    <s v="Marketing"/>
    <n v="1362"/>
    <n v="1"/>
    <s v="Female"/>
    <n v="4"/>
    <n v="2"/>
    <s v="Sales Executive"/>
    <n v="1"/>
    <s v="Married"/>
    <n v="4639"/>
    <n v="2"/>
    <x v="1"/>
    <n v="16"/>
    <n v="3"/>
    <n v="4"/>
    <n v="1"/>
    <n v="17"/>
    <n v="2"/>
    <n v="2"/>
    <n v="15"/>
    <n v="7"/>
    <n v="6"/>
    <n v="13"/>
    <n v="0"/>
    <x v="0"/>
    <n v="3"/>
    <x v="0"/>
    <n v="2"/>
    <x v="3"/>
    <n v="4"/>
    <s v="Bachelor"/>
    <s v="Low"/>
    <s v="Low"/>
    <s v="Good"/>
  </r>
  <r>
    <n v="48"/>
    <s v="No"/>
    <s v="Travel_Rarely"/>
    <s v="Research &amp; Development"/>
    <n v="4"/>
    <n v="3"/>
    <s v="Life Sciences"/>
    <n v="1363"/>
    <n v="4"/>
    <s v="Male"/>
    <n v="3"/>
    <n v="3"/>
    <s v="Manufacturing Director"/>
    <n v="4"/>
    <s v="Single"/>
    <n v="7898"/>
    <n v="1"/>
    <x v="1"/>
    <n v="11"/>
    <n v="3"/>
    <n v="3"/>
    <n v="0"/>
    <n v="11"/>
    <n v="2"/>
    <n v="3"/>
    <n v="10"/>
    <n v="9"/>
    <n v="0"/>
    <n v="8"/>
    <n v="0"/>
    <x v="1"/>
    <n v="4"/>
    <x v="2"/>
    <n v="3"/>
    <x v="0"/>
    <n v="3"/>
    <s v="Bachelor"/>
    <s v="Very High"/>
    <s v="Very High"/>
    <s v="Better"/>
  </r>
  <r>
    <n v="27"/>
    <s v="No"/>
    <s v="Travel_Rarely"/>
    <s v="Sales"/>
    <n v="11"/>
    <n v="3"/>
    <s v="Medical"/>
    <n v="1364"/>
    <n v="3"/>
    <s v="Female"/>
    <n v="4"/>
    <n v="1"/>
    <s v="Sales Representative"/>
    <n v="4"/>
    <s v="Married"/>
    <n v="2534"/>
    <n v="8"/>
    <x v="1"/>
    <n v="14"/>
    <n v="3"/>
    <n v="2"/>
    <n v="1"/>
    <n v="5"/>
    <n v="4"/>
    <n v="3"/>
    <n v="1"/>
    <n v="0"/>
    <n v="0"/>
    <n v="0"/>
    <n v="0"/>
    <x v="2"/>
    <n v="2"/>
    <x v="1"/>
    <n v="1"/>
    <x v="1"/>
    <n v="1"/>
    <s v="Bachelor"/>
    <s v="Very High"/>
    <s v="High"/>
    <s v="Better"/>
  </r>
  <r>
    <n v="51"/>
    <s v="No"/>
    <s v="Travel_Rarely"/>
    <s v="Research &amp; Development"/>
    <n v="11"/>
    <n v="2"/>
    <s v="Technical Degree"/>
    <n v="1367"/>
    <n v="4"/>
    <s v="Female"/>
    <n v="2"/>
    <n v="4"/>
    <s v="Manufacturing Director"/>
    <n v="2"/>
    <s v="Single"/>
    <n v="13142"/>
    <n v="3"/>
    <x v="1"/>
    <n v="16"/>
    <n v="3"/>
    <n v="2"/>
    <n v="0"/>
    <n v="29"/>
    <n v="1"/>
    <n v="2"/>
    <n v="5"/>
    <n v="2"/>
    <n v="0"/>
    <n v="3"/>
    <n v="0"/>
    <x v="1"/>
    <n v="4"/>
    <x v="3"/>
    <n v="4"/>
    <x v="2"/>
    <n v="2"/>
    <s v="College"/>
    <s v="Medium"/>
    <s v="Very High"/>
    <s v="Good"/>
  </r>
  <r>
    <n v="18"/>
    <s v="No"/>
    <s v="Non-Travel"/>
    <s v="Research &amp; Development"/>
    <n v="1"/>
    <n v="3"/>
    <s v="Life Sciences"/>
    <n v="1368"/>
    <n v="4"/>
    <s v="Female"/>
    <n v="3"/>
    <n v="1"/>
    <s v="Laboratory Technician"/>
    <n v="4"/>
    <s v="Single"/>
    <n v="1611"/>
    <n v="1"/>
    <x v="1"/>
    <n v="15"/>
    <n v="3"/>
    <n v="3"/>
    <n v="0"/>
    <n v="0"/>
    <n v="5"/>
    <n v="4"/>
    <n v="0"/>
    <n v="0"/>
    <n v="0"/>
    <n v="0"/>
    <n v="0"/>
    <x v="4"/>
    <n v="1"/>
    <x v="1"/>
    <n v="1"/>
    <x v="1"/>
    <n v="1"/>
    <s v="Bachelor"/>
    <s v="Very High"/>
    <s v="Very High"/>
    <s v="Best"/>
  </r>
  <r>
    <n v="35"/>
    <s v="No"/>
    <s v="Travel_Rarely"/>
    <s v="Research &amp; Development"/>
    <n v="1"/>
    <n v="3"/>
    <s v="Medical"/>
    <n v="1369"/>
    <n v="4"/>
    <s v="Female"/>
    <n v="2"/>
    <n v="2"/>
    <s v="Laboratory Technician"/>
    <n v="4"/>
    <s v="Married"/>
    <n v="5363"/>
    <n v="0"/>
    <x v="1"/>
    <n v="12"/>
    <n v="3"/>
    <n v="2"/>
    <n v="1"/>
    <n v="10"/>
    <n v="0"/>
    <n v="3"/>
    <n v="9"/>
    <n v="7"/>
    <n v="0"/>
    <n v="0"/>
    <n v="0"/>
    <x v="2"/>
    <n v="2"/>
    <x v="0"/>
    <n v="2"/>
    <x v="0"/>
    <n v="3"/>
    <s v="Bachelor"/>
    <s v="Very High"/>
    <s v="Very High"/>
    <s v="Better"/>
  </r>
  <r>
    <n v="27"/>
    <s v="No"/>
    <s v="Travel_Frequently"/>
    <s v="Sales"/>
    <n v="2"/>
    <n v="1"/>
    <s v="Life Sciences"/>
    <n v="1371"/>
    <n v="4"/>
    <s v="Male"/>
    <n v="1"/>
    <n v="2"/>
    <s v="Sales Executive"/>
    <n v="4"/>
    <s v="Single"/>
    <n v="5071"/>
    <n v="3"/>
    <x v="1"/>
    <n v="20"/>
    <n v="4"/>
    <n v="2"/>
    <n v="0"/>
    <n v="8"/>
    <n v="3"/>
    <n v="3"/>
    <n v="6"/>
    <n v="2"/>
    <n v="0"/>
    <n v="0"/>
    <n v="0"/>
    <x v="2"/>
    <n v="2"/>
    <x v="0"/>
    <n v="2"/>
    <x v="0"/>
    <n v="3"/>
    <s v="Below College"/>
    <s v="Very High"/>
    <s v="Very High"/>
    <s v="Better"/>
  </r>
  <r>
    <n v="55"/>
    <s v="Yes"/>
    <s v="Travel_Rarely"/>
    <s v="Sales"/>
    <n v="13"/>
    <n v="4"/>
    <s v="Marketing"/>
    <n v="1372"/>
    <n v="1"/>
    <s v="Male"/>
    <n v="4"/>
    <n v="4"/>
    <s v="Sales Executive"/>
    <n v="3"/>
    <s v="Single"/>
    <n v="13695"/>
    <n v="6"/>
    <x v="0"/>
    <n v="17"/>
    <n v="3"/>
    <n v="3"/>
    <n v="0"/>
    <n v="24"/>
    <n v="2"/>
    <n v="2"/>
    <n v="19"/>
    <n v="7"/>
    <n v="3"/>
    <n v="8"/>
    <n v="1"/>
    <x v="1"/>
    <n v="4"/>
    <x v="3"/>
    <n v="4"/>
    <x v="3"/>
    <n v="4"/>
    <s v="Master"/>
    <s v="High"/>
    <s v="Low"/>
    <s v="Good"/>
  </r>
  <r>
    <n v="56"/>
    <s v="No"/>
    <s v="Travel_Rarely"/>
    <s v="Research &amp; Development"/>
    <n v="23"/>
    <n v="3"/>
    <s v="Life Sciences"/>
    <n v="1373"/>
    <n v="4"/>
    <s v="Male"/>
    <n v="3"/>
    <n v="4"/>
    <s v="Manufacturing Director"/>
    <n v="2"/>
    <s v="Married"/>
    <n v="13402"/>
    <n v="4"/>
    <x v="0"/>
    <n v="12"/>
    <n v="3"/>
    <n v="1"/>
    <n v="1"/>
    <n v="33"/>
    <n v="0"/>
    <n v="3"/>
    <n v="19"/>
    <n v="16"/>
    <n v="15"/>
    <n v="9"/>
    <n v="0"/>
    <x v="3"/>
    <n v="5"/>
    <x v="3"/>
    <n v="4"/>
    <x v="3"/>
    <n v="4"/>
    <s v="Bachelor"/>
    <s v="Medium"/>
    <s v="Very High"/>
    <s v="Better"/>
  </r>
  <r>
    <n v="34"/>
    <s v="No"/>
    <s v="Non-Travel"/>
    <s v="Research &amp; Development"/>
    <n v="26"/>
    <n v="1"/>
    <s v="Technical Degree"/>
    <n v="1374"/>
    <n v="1"/>
    <s v="Female"/>
    <n v="2"/>
    <n v="1"/>
    <s v="Research Scientist"/>
    <n v="3"/>
    <s v="Divorced"/>
    <n v="2029"/>
    <n v="1"/>
    <x v="1"/>
    <n v="20"/>
    <n v="4"/>
    <n v="3"/>
    <n v="3"/>
    <n v="5"/>
    <n v="2"/>
    <n v="3"/>
    <n v="5"/>
    <n v="4"/>
    <n v="0"/>
    <n v="0"/>
    <n v="0"/>
    <x v="2"/>
    <n v="2"/>
    <x v="1"/>
    <n v="1"/>
    <x v="2"/>
    <n v="2"/>
    <s v="Below College"/>
    <s v="High"/>
    <s v="Low"/>
    <s v="Better"/>
  </r>
  <r>
    <n v="40"/>
    <s v="No"/>
    <s v="Travel_Rarely"/>
    <s v="Research &amp; Development"/>
    <n v="2"/>
    <n v="1"/>
    <s v="Medical"/>
    <n v="1375"/>
    <n v="2"/>
    <s v="Female"/>
    <n v="4"/>
    <n v="2"/>
    <s v="Healthcare Representative"/>
    <n v="3"/>
    <s v="Divorced"/>
    <n v="6377"/>
    <n v="5"/>
    <x v="1"/>
    <n v="20"/>
    <n v="4"/>
    <n v="2"/>
    <n v="3"/>
    <n v="15"/>
    <n v="0"/>
    <n v="3"/>
    <n v="12"/>
    <n v="11"/>
    <n v="11"/>
    <n v="8"/>
    <n v="0"/>
    <x v="0"/>
    <n v="3"/>
    <x v="2"/>
    <n v="3"/>
    <x v="3"/>
    <n v="4"/>
    <s v="Below College"/>
    <s v="High"/>
    <s v="Medium"/>
    <s v="Better"/>
  </r>
  <r>
    <n v="34"/>
    <s v="No"/>
    <s v="Travel_Rarely"/>
    <s v="Research &amp; Development"/>
    <n v="29"/>
    <n v="3"/>
    <s v="Medical"/>
    <n v="1377"/>
    <n v="2"/>
    <s v="Male"/>
    <n v="3"/>
    <n v="2"/>
    <s v="Laboratory Technician"/>
    <n v="3"/>
    <s v="Married"/>
    <n v="5429"/>
    <n v="4"/>
    <x v="1"/>
    <n v="13"/>
    <n v="3"/>
    <n v="1"/>
    <n v="2"/>
    <n v="10"/>
    <n v="1"/>
    <n v="3"/>
    <n v="8"/>
    <n v="7"/>
    <n v="7"/>
    <n v="7"/>
    <n v="0"/>
    <x v="2"/>
    <n v="2"/>
    <x v="0"/>
    <n v="2"/>
    <x v="0"/>
    <n v="3"/>
    <s v="Bachelor"/>
    <s v="High"/>
    <s v="Medium"/>
    <s v="Better"/>
  </r>
  <r>
    <n v="31"/>
    <s v="Yes"/>
    <s v="Travel_Frequently"/>
    <s v="Sales"/>
    <n v="2"/>
    <n v="3"/>
    <s v="Life Sciences"/>
    <n v="1379"/>
    <n v="3"/>
    <s v="Female"/>
    <n v="2"/>
    <n v="1"/>
    <s v="Sales Representative"/>
    <n v="4"/>
    <s v="Single"/>
    <n v="2785"/>
    <n v="7"/>
    <x v="1"/>
    <n v="14"/>
    <n v="3"/>
    <n v="3"/>
    <n v="0"/>
    <n v="3"/>
    <n v="3"/>
    <n v="4"/>
    <n v="1"/>
    <n v="0"/>
    <n v="0"/>
    <n v="0"/>
    <n v="1"/>
    <x v="2"/>
    <n v="2"/>
    <x v="1"/>
    <n v="1"/>
    <x v="1"/>
    <n v="1"/>
    <s v="Bachelor"/>
    <s v="Very High"/>
    <s v="High"/>
    <s v="Best"/>
  </r>
  <r>
    <n v="35"/>
    <s v="Yes"/>
    <s v="Travel_Frequently"/>
    <s v="Sales"/>
    <n v="18"/>
    <n v="4"/>
    <s v="Marketing"/>
    <n v="1380"/>
    <n v="4"/>
    <s v="Female"/>
    <n v="3"/>
    <n v="2"/>
    <s v="Sales Executive"/>
    <n v="3"/>
    <s v="Married"/>
    <n v="4614"/>
    <n v="0"/>
    <x v="0"/>
    <n v="18"/>
    <n v="3"/>
    <n v="3"/>
    <n v="1"/>
    <n v="5"/>
    <n v="0"/>
    <n v="2"/>
    <n v="4"/>
    <n v="2"/>
    <n v="3"/>
    <n v="2"/>
    <n v="1"/>
    <x v="2"/>
    <n v="2"/>
    <x v="0"/>
    <n v="2"/>
    <x v="2"/>
    <n v="2"/>
    <s v="Master"/>
    <s v="High"/>
    <s v="Very High"/>
    <s v="Good"/>
  </r>
  <r>
    <n v="38"/>
    <s v="No"/>
    <s v="Travel_Frequently"/>
    <s v="Research &amp; Development"/>
    <n v="7"/>
    <n v="3"/>
    <s v="Life Sciences"/>
    <n v="1382"/>
    <n v="4"/>
    <s v="Male"/>
    <n v="4"/>
    <n v="1"/>
    <s v="Research Scientist"/>
    <n v="3"/>
    <s v="Divorced"/>
    <n v="2610"/>
    <n v="1"/>
    <x v="1"/>
    <n v="11"/>
    <n v="3"/>
    <n v="4"/>
    <n v="3"/>
    <n v="4"/>
    <n v="2"/>
    <n v="3"/>
    <n v="4"/>
    <n v="2"/>
    <n v="0"/>
    <n v="3"/>
    <n v="0"/>
    <x v="0"/>
    <n v="3"/>
    <x v="1"/>
    <n v="1"/>
    <x v="2"/>
    <n v="2"/>
    <s v="Bachelor"/>
    <s v="High"/>
    <s v="Very High"/>
    <s v="Better"/>
  </r>
  <r>
    <n v="34"/>
    <s v="No"/>
    <s v="Travel_Rarely"/>
    <s v="Research &amp; Development"/>
    <n v="2"/>
    <n v="4"/>
    <s v="Technical Degree"/>
    <n v="1383"/>
    <n v="3"/>
    <s v="Female"/>
    <n v="3"/>
    <n v="2"/>
    <s v="Healthcare Representative"/>
    <n v="4"/>
    <s v="Single"/>
    <n v="6687"/>
    <n v="1"/>
    <x v="1"/>
    <n v="11"/>
    <n v="3"/>
    <n v="4"/>
    <n v="0"/>
    <n v="14"/>
    <n v="2"/>
    <n v="4"/>
    <n v="14"/>
    <n v="11"/>
    <n v="4"/>
    <n v="11"/>
    <n v="0"/>
    <x v="2"/>
    <n v="2"/>
    <x v="2"/>
    <n v="3"/>
    <x v="3"/>
    <n v="4"/>
    <s v="Master"/>
    <s v="Very High"/>
    <s v="High"/>
    <s v="Best"/>
  </r>
  <r>
    <n v="28"/>
    <s v="No"/>
    <s v="Travel_Rarely"/>
    <s v="Sales"/>
    <n v="26"/>
    <n v="3"/>
    <s v="Life Sciences"/>
    <n v="1387"/>
    <n v="3"/>
    <s v="Male"/>
    <n v="2"/>
    <n v="2"/>
    <s v="Sales Executive"/>
    <n v="1"/>
    <s v="Married"/>
    <n v="4724"/>
    <n v="1"/>
    <x v="1"/>
    <n v="11"/>
    <n v="3"/>
    <n v="3"/>
    <n v="1"/>
    <n v="5"/>
    <n v="0"/>
    <n v="3"/>
    <n v="5"/>
    <n v="3"/>
    <n v="0"/>
    <n v="4"/>
    <n v="0"/>
    <x v="2"/>
    <n v="2"/>
    <x v="0"/>
    <n v="2"/>
    <x v="2"/>
    <n v="2"/>
    <s v="Bachelor"/>
    <s v="Low"/>
    <s v="High"/>
    <s v="Better"/>
  </r>
  <r>
    <n v="31"/>
    <s v="Yes"/>
    <s v="Travel_Rarely"/>
    <s v="Research &amp; Development"/>
    <n v="22"/>
    <n v="4"/>
    <s v="Medical"/>
    <n v="1389"/>
    <n v="4"/>
    <s v="Male"/>
    <n v="3"/>
    <n v="2"/>
    <s v="Manufacturing Director"/>
    <n v="3"/>
    <s v="Married"/>
    <n v="6179"/>
    <n v="1"/>
    <x v="0"/>
    <n v="15"/>
    <n v="3"/>
    <n v="4"/>
    <n v="2"/>
    <n v="10"/>
    <n v="3"/>
    <n v="2"/>
    <n v="10"/>
    <n v="2"/>
    <n v="6"/>
    <n v="7"/>
    <n v="1"/>
    <x v="2"/>
    <n v="2"/>
    <x v="2"/>
    <n v="3"/>
    <x v="0"/>
    <n v="3"/>
    <s v="Master"/>
    <s v="High"/>
    <s v="Very High"/>
    <s v="Good"/>
  </r>
  <r>
    <n v="39"/>
    <s v="No"/>
    <s v="Travel_Rarely"/>
    <s v="Sales"/>
    <n v="21"/>
    <n v="4"/>
    <s v="Life Sciences"/>
    <n v="1390"/>
    <n v="1"/>
    <s v="Male"/>
    <n v="2"/>
    <n v="2"/>
    <s v="Sales Executive"/>
    <n v="4"/>
    <s v="Married"/>
    <n v="6120"/>
    <n v="3"/>
    <x v="0"/>
    <n v="12"/>
    <n v="3"/>
    <n v="4"/>
    <n v="2"/>
    <n v="8"/>
    <n v="2"/>
    <n v="4"/>
    <n v="5"/>
    <n v="4"/>
    <n v="1"/>
    <n v="4"/>
    <n v="0"/>
    <x v="0"/>
    <n v="3"/>
    <x v="2"/>
    <n v="3"/>
    <x v="2"/>
    <n v="2"/>
    <s v="Master"/>
    <s v="Very High"/>
    <s v="Low"/>
    <s v="Best"/>
  </r>
  <r>
    <n v="51"/>
    <s v="No"/>
    <s v="Travel_Frequently"/>
    <s v="Sales"/>
    <n v="2"/>
    <n v="3"/>
    <s v="Marketing"/>
    <n v="1391"/>
    <n v="2"/>
    <s v="Male"/>
    <n v="3"/>
    <n v="3"/>
    <s v="Sales Executive"/>
    <n v="2"/>
    <s v="Married"/>
    <n v="10596"/>
    <n v="2"/>
    <x v="1"/>
    <n v="11"/>
    <n v="3"/>
    <n v="2"/>
    <n v="0"/>
    <n v="14"/>
    <n v="5"/>
    <n v="3"/>
    <n v="4"/>
    <n v="2"/>
    <n v="3"/>
    <n v="2"/>
    <n v="0"/>
    <x v="1"/>
    <n v="4"/>
    <x v="3"/>
    <n v="4"/>
    <x v="2"/>
    <n v="2"/>
    <s v="Bachelor"/>
    <s v="Medium"/>
    <s v="Medium"/>
    <s v="Better"/>
  </r>
  <r>
    <n v="41"/>
    <s v="No"/>
    <s v="Travel_Frequently"/>
    <s v="Research &amp; Development"/>
    <n v="22"/>
    <n v="3"/>
    <s v="Life Sciences"/>
    <n v="1392"/>
    <n v="4"/>
    <s v="Female"/>
    <n v="3"/>
    <n v="2"/>
    <s v="Research Scientist"/>
    <n v="4"/>
    <s v="Divorced"/>
    <n v="5467"/>
    <n v="3"/>
    <x v="0"/>
    <n v="14"/>
    <n v="3"/>
    <n v="1"/>
    <n v="2"/>
    <n v="12"/>
    <n v="4"/>
    <n v="2"/>
    <n v="6"/>
    <n v="2"/>
    <n v="3"/>
    <n v="3"/>
    <n v="0"/>
    <x v="0"/>
    <n v="3"/>
    <x v="0"/>
    <n v="2"/>
    <x v="0"/>
    <n v="3"/>
    <s v="Bachelor"/>
    <s v="Very High"/>
    <s v="Very High"/>
    <s v="Good"/>
  </r>
  <r>
    <n v="37"/>
    <s v="No"/>
    <s v="Travel_Rarely"/>
    <s v="Research &amp; Development"/>
    <n v="4"/>
    <n v="1"/>
    <s v="Life Sciences"/>
    <n v="1394"/>
    <n v="3"/>
    <s v="Male"/>
    <n v="3"/>
    <n v="1"/>
    <s v="Research Scientist"/>
    <n v="3"/>
    <s v="Married"/>
    <n v="2996"/>
    <n v="7"/>
    <x v="0"/>
    <n v="15"/>
    <n v="3"/>
    <n v="4"/>
    <n v="0"/>
    <n v="8"/>
    <n v="2"/>
    <n v="3"/>
    <n v="6"/>
    <n v="4"/>
    <n v="1"/>
    <n v="3"/>
    <n v="0"/>
    <x v="0"/>
    <n v="3"/>
    <x v="1"/>
    <n v="1"/>
    <x v="0"/>
    <n v="3"/>
    <s v="Below College"/>
    <s v="High"/>
    <s v="High"/>
    <s v="Better"/>
  </r>
  <r>
    <n v="33"/>
    <s v="No"/>
    <s v="Travel_Frequently"/>
    <s v="Sales"/>
    <n v="5"/>
    <n v="1"/>
    <s v="Life Sciences"/>
    <n v="1395"/>
    <n v="2"/>
    <s v="Male"/>
    <n v="3"/>
    <n v="2"/>
    <s v="Sales Executive"/>
    <n v="4"/>
    <s v="Married"/>
    <n v="9998"/>
    <n v="6"/>
    <x v="1"/>
    <n v="13"/>
    <n v="3"/>
    <n v="1"/>
    <n v="0"/>
    <n v="8"/>
    <n v="2"/>
    <n v="4"/>
    <n v="5"/>
    <n v="4"/>
    <n v="1"/>
    <n v="2"/>
    <n v="0"/>
    <x v="2"/>
    <n v="2"/>
    <x v="2"/>
    <n v="3"/>
    <x v="2"/>
    <n v="2"/>
    <s v="Below College"/>
    <s v="Very High"/>
    <s v="Medium"/>
    <s v="Best"/>
  </r>
  <r>
    <n v="32"/>
    <s v="No"/>
    <s v="Travel_Rarely"/>
    <s v="Sales"/>
    <n v="2"/>
    <n v="1"/>
    <s v="Marketing"/>
    <n v="1396"/>
    <n v="3"/>
    <s v="Male"/>
    <n v="3"/>
    <n v="2"/>
    <s v="Sales Executive"/>
    <n v="2"/>
    <s v="Married"/>
    <n v="4078"/>
    <n v="0"/>
    <x v="0"/>
    <n v="13"/>
    <n v="3"/>
    <n v="1"/>
    <n v="3"/>
    <n v="4"/>
    <n v="3"/>
    <n v="2"/>
    <n v="3"/>
    <n v="2"/>
    <n v="1"/>
    <n v="2"/>
    <n v="0"/>
    <x v="2"/>
    <n v="2"/>
    <x v="0"/>
    <n v="2"/>
    <x v="2"/>
    <n v="2"/>
    <s v="Below College"/>
    <s v="Medium"/>
    <s v="High"/>
    <s v="Good"/>
  </r>
  <r>
    <n v="39"/>
    <s v="No"/>
    <s v="Non-Travel"/>
    <s v="Research &amp; Development"/>
    <n v="25"/>
    <n v="2"/>
    <s v="Life Sciences"/>
    <n v="1397"/>
    <n v="3"/>
    <s v="Male"/>
    <n v="3"/>
    <n v="3"/>
    <s v="Healthcare Representative"/>
    <n v="3"/>
    <s v="Married"/>
    <n v="10920"/>
    <n v="3"/>
    <x v="1"/>
    <n v="21"/>
    <n v="4"/>
    <n v="2"/>
    <n v="1"/>
    <n v="13"/>
    <n v="2"/>
    <n v="3"/>
    <n v="6"/>
    <n v="4"/>
    <n v="0"/>
    <n v="5"/>
    <n v="0"/>
    <x v="0"/>
    <n v="3"/>
    <x v="3"/>
    <n v="4"/>
    <x v="0"/>
    <n v="3"/>
    <s v="College"/>
    <s v="High"/>
    <s v="High"/>
    <s v="Better"/>
  </r>
  <r>
    <n v="25"/>
    <s v="No"/>
    <s v="Travel_Rarely"/>
    <s v="Sales"/>
    <n v="18"/>
    <n v="1"/>
    <s v="Life Sciences"/>
    <n v="1399"/>
    <n v="1"/>
    <s v="Male"/>
    <n v="4"/>
    <n v="2"/>
    <s v="Sales Executive"/>
    <n v="3"/>
    <s v="Married"/>
    <n v="6232"/>
    <n v="2"/>
    <x v="1"/>
    <n v="11"/>
    <n v="3"/>
    <n v="2"/>
    <n v="0"/>
    <n v="6"/>
    <n v="3"/>
    <n v="2"/>
    <n v="3"/>
    <n v="2"/>
    <n v="1"/>
    <n v="2"/>
    <n v="0"/>
    <x v="4"/>
    <n v="1"/>
    <x v="2"/>
    <n v="3"/>
    <x v="2"/>
    <n v="2"/>
    <s v="Below College"/>
    <s v="High"/>
    <s v="Low"/>
    <s v="Good"/>
  </r>
  <r>
    <n v="52"/>
    <s v="No"/>
    <s v="Travel_Frequently"/>
    <s v="Research &amp; Development"/>
    <n v="28"/>
    <n v="2"/>
    <s v="Medical"/>
    <n v="1401"/>
    <n v="4"/>
    <s v="Female"/>
    <n v="4"/>
    <n v="4"/>
    <s v="Manufacturing Director"/>
    <n v="3"/>
    <s v="Married"/>
    <n v="13247"/>
    <n v="2"/>
    <x v="0"/>
    <n v="11"/>
    <n v="3"/>
    <n v="2"/>
    <n v="1"/>
    <n v="24"/>
    <n v="3"/>
    <n v="2"/>
    <n v="5"/>
    <n v="3"/>
    <n v="0"/>
    <n v="2"/>
    <n v="0"/>
    <x v="1"/>
    <n v="4"/>
    <x v="3"/>
    <n v="4"/>
    <x v="2"/>
    <n v="2"/>
    <s v="College"/>
    <s v="High"/>
    <s v="Very High"/>
    <s v="Good"/>
  </r>
  <r>
    <n v="43"/>
    <s v="No"/>
    <s v="Travel_Rarely"/>
    <s v="Research &amp; Development"/>
    <n v="6"/>
    <n v="3"/>
    <s v="Medical"/>
    <n v="1402"/>
    <n v="1"/>
    <s v="Female"/>
    <n v="2"/>
    <n v="2"/>
    <s v="Research Scientist"/>
    <n v="3"/>
    <s v="Single"/>
    <n v="4081"/>
    <n v="1"/>
    <x v="0"/>
    <n v="14"/>
    <n v="3"/>
    <n v="1"/>
    <n v="0"/>
    <n v="20"/>
    <n v="3"/>
    <n v="1"/>
    <n v="20"/>
    <n v="7"/>
    <n v="1"/>
    <n v="8"/>
    <n v="0"/>
    <x v="0"/>
    <n v="3"/>
    <x v="0"/>
    <n v="2"/>
    <x v="3"/>
    <n v="4"/>
    <s v="Bachelor"/>
    <s v="High"/>
    <s v="Low"/>
    <s v="Bad"/>
  </r>
  <r>
    <n v="27"/>
    <s v="No"/>
    <s v="Travel_Rarely"/>
    <s v="Sales"/>
    <n v="10"/>
    <n v="3"/>
    <s v="Marketing"/>
    <n v="1403"/>
    <n v="4"/>
    <s v="Female"/>
    <n v="2"/>
    <n v="2"/>
    <s v="Sales Executive"/>
    <n v="4"/>
    <s v="Married"/>
    <n v="5769"/>
    <n v="1"/>
    <x v="0"/>
    <n v="11"/>
    <n v="3"/>
    <n v="4"/>
    <n v="0"/>
    <n v="6"/>
    <n v="3"/>
    <n v="3"/>
    <n v="6"/>
    <n v="2"/>
    <n v="4"/>
    <n v="4"/>
    <n v="0"/>
    <x v="2"/>
    <n v="2"/>
    <x v="0"/>
    <n v="2"/>
    <x v="0"/>
    <n v="3"/>
    <s v="Bachelor"/>
    <s v="Very High"/>
    <s v="Very High"/>
    <s v="Better"/>
  </r>
  <r>
    <n v="27"/>
    <s v="Yes"/>
    <s v="Travel_Rarely"/>
    <s v="Research &amp; Development"/>
    <n v="17"/>
    <n v="4"/>
    <s v="Life Sciences"/>
    <n v="1405"/>
    <n v="4"/>
    <s v="Female"/>
    <n v="3"/>
    <n v="1"/>
    <s v="Research Scientist"/>
    <n v="3"/>
    <s v="Single"/>
    <n v="2394"/>
    <n v="1"/>
    <x v="0"/>
    <n v="13"/>
    <n v="3"/>
    <n v="4"/>
    <n v="0"/>
    <n v="8"/>
    <n v="2"/>
    <n v="3"/>
    <n v="8"/>
    <n v="2"/>
    <n v="7"/>
    <n v="7"/>
    <n v="1"/>
    <x v="2"/>
    <n v="2"/>
    <x v="1"/>
    <n v="1"/>
    <x v="0"/>
    <n v="3"/>
    <s v="Master"/>
    <s v="High"/>
    <s v="Very High"/>
    <s v="Better"/>
  </r>
  <r>
    <n v="26"/>
    <s v="No"/>
    <s v="Travel_Rarely"/>
    <s v="Research &amp; Development"/>
    <n v="2"/>
    <n v="1"/>
    <s v="Medical"/>
    <n v="1407"/>
    <n v="1"/>
    <s v="Male"/>
    <n v="2"/>
    <n v="1"/>
    <s v="Research Scientist"/>
    <n v="4"/>
    <s v="Single"/>
    <n v="3904"/>
    <n v="0"/>
    <x v="1"/>
    <n v="12"/>
    <n v="3"/>
    <n v="4"/>
    <n v="0"/>
    <n v="5"/>
    <n v="2"/>
    <n v="3"/>
    <n v="4"/>
    <n v="3"/>
    <n v="1"/>
    <n v="1"/>
    <n v="0"/>
    <x v="2"/>
    <n v="2"/>
    <x v="0"/>
    <n v="2"/>
    <x v="2"/>
    <n v="2"/>
    <s v="Below College"/>
    <s v="Very High"/>
    <s v="Low"/>
    <s v="Better"/>
  </r>
  <r>
    <n v="42"/>
    <s v="No"/>
    <s v="Travel_Rarely"/>
    <s v="Human Resources"/>
    <n v="10"/>
    <n v="3"/>
    <s v="Human Resources"/>
    <n v="1408"/>
    <n v="3"/>
    <s v="Female"/>
    <n v="3"/>
    <n v="4"/>
    <s v="Manager"/>
    <n v="1"/>
    <s v="Married"/>
    <n v="16799"/>
    <n v="0"/>
    <x v="1"/>
    <n v="14"/>
    <n v="3"/>
    <n v="3"/>
    <n v="1"/>
    <n v="21"/>
    <n v="5"/>
    <n v="3"/>
    <n v="20"/>
    <n v="7"/>
    <n v="0"/>
    <n v="9"/>
    <n v="0"/>
    <x v="0"/>
    <n v="3"/>
    <x v="3"/>
    <n v="4"/>
    <x v="3"/>
    <n v="4"/>
    <s v="Bachelor"/>
    <s v="Low"/>
    <s v="High"/>
    <s v="Better"/>
  </r>
  <r>
    <n v="52"/>
    <s v="No"/>
    <s v="Travel_Rarely"/>
    <s v="Research &amp; Development"/>
    <n v="8"/>
    <n v="4"/>
    <s v="Other"/>
    <n v="1409"/>
    <n v="3"/>
    <s v="Female"/>
    <n v="3"/>
    <n v="1"/>
    <s v="Laboratory Technician"/>
    <n v="1"/>
    <s v="Married"/>
    <n v="2950"/>
    <n v="9"/>
    <x v="1"/>
    <n v="13"/>
    <n v="3"/>
    <n v="3"/>
    <n v="0"/>
    <n v="12"/>
    <n v="2"/>
    <n v="1"/>
    <n v="5"/>
    <n v="4"/>
    <n v="0"/>
    <n v="4"/>
    <n v="0"/>
    <x v="1"/>
    <n v="4"/>
    <x v="1"/>
    <n v="1"/>
    <x v="2"/>
    <n v="2"/>
    <s v="Master"/>
    <s v="Low"/>
    <s v="High"/>
    <s v="Bad"/>
  </r>
  <r>
    <n v="37"/>
    <s v="No"/>
    <s v="Travel_Rarely"/>
    <s v="Research &amp; Development"/>
    <n v="11"/>
    <n v="3"/>
    <s v="Medical"/>
    <n v="1411"/>
    <n v="1"/>
    <s v="Female"/>
    <n v="3"/>
    <n v="1"/>
    <s v="Laboratory Technician"/>
    <n v="3"/>
    <s v="Single"/>
    <n v="3629"/>
    <n v="4"/>
    <x v="1"/>
    <n v="18"/>
    <n v="3"/>
    <n v="1"/>
    <n v="0"/>
    <n v="8"/>
    <n v="6"/>
    <n v="3"/>
    <n v="3"/>
    <n v="2"/>
    <n v="0"/>
    <n v="2"/>
    <n v="0"/>
    <x v="0"/>
    <n v="3"/>
    <x v="0"/>
    <n v="2"/>
    <x v="2"/>
    <n v="2"/>
    <s v="Bachelor"/>
    <s v="High"/>
    <s v="Low"/>
    <s v="Better"/>
  </r>
  <r>
    <n v="35"/>
    <s v="No"/>
    <s v="Travel_Frequently"/>
    <s v="Research &amp; Development"/>
    <n v="18"/>
    <n v="2"/>
    <s v="Life Sciences"/>
    <n v="1412"/>
    <n v="3"/>
    <s v="Male"/>
    <n v="3"/>
    <n v="3"/>
    <s v="Manufacturing Director"/>
    <n v="4"/>
    <s v="Single"/>
    <n v="9362"/>
    <n v="2"/>
    <x v="1"/>
    <n v="11"/>
    <n v="3"/>
    <n v="3"/>
    <n v="0"/>
    <n v="10"/>
    <n v="2"/>
    <n v="3"/>
    <n v="2"/>
    <n v="2"/>
    <n v="2"/>
    <n v="2"/>
    <n v="0"/>
    <x v="2"/>
    <n v="2"/>
    <x v="2"/>
    <n v="3"/>
    <x v="1"/>
    <n v="1"/>
    <s v="College"/>
    <s v="Very High"/>
    <s v="High"/>
    <s v="Better"/>
  </r>
  <r>
    <n v="25"/>
    <s v="No"/>
    <s v="Travel_Rarely"/>
    <s v="Research &amp; Development"/>
    <n v="1"/>
    <n v="3"/>
    <s v="Technical Degree"/>
    <n v="1415"/>
    <n v="1"/>
    <s v="Male"/>
    <n v="3"/>
    <n v="1"/>
    <s v="Laboratory Technician"/>
    <n v="4"/>
    <s v="Married"/>
    <n v="3229"/>
    <n v="4"/>
    <x v="1"/>
    <n v="11"/>
    <n v="3"/>
    <n v="2"/>
    <n v="1"/>
    <n v="7"/>
    <n v="2"/>
    <n v="2"/>
    <n v="3"/>
    <n v="2"/>
    <n v="0"/>
    <n v="2"/>
    <n v="0"/>
    <x v="4"/>
    <n v="1"/>
    <x v="0"/>
    <n v="2"/>
    <x v="2"/>
    <n v="2"/>
    <s v="Bachelor"/>
    <s v="Very High"/>
    <s v="Low"/>
    <s v="Good"/>
  </r>
  <r>
    <n v="26"/>
    <s v="No"/>
    <s v="Travel_Rarely"/>
    <s v="Research &amp; Development"/>
    <n v="7"/>
    <n v="3"/>
    <s v="Other"/>
    <n v="1417"/>
    <n v="3"/>
    <s v="Male"/>
    <n v="4"/>
    <n v="1"/>
    <s v="Laboratory Technician"/>
    <n v="1"/>
    <s v="Single"/>
    <n v="3578"/>
    <n v="0"/>
    <x v="1"/>
    <n v="12"/>
    <n v="3"/>
    <n v="4"/>
    <n v="0"/>
    <n v="8"/>
    <n v="2"/>
    <n v="3"/>
    <n v="7"/>
    <n v="7"/>
    <n v="0"/>
    <n v="7"/>
    <n v="0"/>
    <x v="2"/>
    <n v="2"/>
    <x v="0"/>
    <n v="2"/>
    <x v="0"/>
    <n v="3"/>
    <s v="Bachelor"/>
    <s v="Low"/>
    <s v="High"/>
    <s v="Better"/>
  </r>
  <r>
    <n v="29"/>
    <s v="No"/>
    <s v="Travel_Rarely"/>
    <s v="Human Resources"/>
    <n v="17"/>
    <n v="3"/>
    <s v="Other"/>
    <n v="1419"/>
    <n v="2"/>
    <s v="Male"/>
    <n v="2"/>
    <n v="3"/>
    <s v="Human Resources"/>
    <n v="1"/>
    <s v="Single"/>
    <n v="7988"/>
    <n v="1"/>
    <x v="1"/>
    <n v="13"/>
    <n v="3"/>
    <n v="1"/>
    <n v="0"/>
    <n v="10"/>
    <n v="3"/>
    <n v="2"/>
    <n v="10"/>
    <n v="9"/>
    <n v="0"/>
    <n v="9"/>
    <n v="0"/>
    <x v="2"/>
    <n v="2"/>
    <x v="2"/>
    <n v="3"/>
    <x v="0"/>
    <n v="3"/>
    <s v="Bachelor"/>
    <s v="Low"/>
    <s v="Medium"/>
    <s v="Good"/>
  </r>
  <r>
    <n v="49"/>
    <s v="Yes"/>
    <s v="Travel_Frequently"/>
    <s v="Research &amp; Development"/>
    <n v="28"/>
    <n v="2"/>
    <s v="Life Sciences"/>
    <n v="1420"/>
    <n v="1"/>
    <s v="Male"/>
    <n v="2"/>
    <n v="2"/>
    <s v="Laboratory Technician"/>
    <n v="1"/>
    <s v="Single"/>
    <n v="4284"/>
    <n v="3"/>
    <x v="1"/>
    <n v="20"/>
    <n v="4"/>
    <n v="1"/>
    <n v="0"/>
    <n v="20"/>
    <n v="2"/>
    <n v="3"/>
    <n v="4"/>
    <n v="3"/>
    <n v="1"/>
    <n v="3"/>
    <n v="1"/>
    <x v="1"/>
    <n v="4"/>
    <x v="0"/>
    <n v="2"/>
    <x v="2"/>
    <n v="2"/>
    <s v="College"/>
    <s v="Low"/>
    <s v="Low"/>
    <s v="Better"/>
  </r>
  <r>
    <n v="29"/>
    <s v="Yes"/>
    <s v="Travel_Frequently"/>
    <s v="Research &amp; Development"/>
    <n v="14"/>
    <n v="1"/>
    <s v="Other"/>
    <n v="1421"/>
    <n v="3"/>
    <s v="Female"/>
    <n v="3"/>
    <n v="3"/>
    <s v="Healthcare Representative"/>
    <n v="4"/>
    <s v="Single"/>
    <n v="7553"/>
    <n v="0"/>
    <x v="0"/>
    <n v="12"/>
    <n v="3"/>
    <n v="1"/>
    <n v="0"/>
    <n v="9"/>
    <n v="1"/>
    <n v="3"/>
    <n v="8"/>
    <n v="7"/>
    <n v="7"/>
    <n v="7"/>
    <n v="1"/>
    <x v="2"/>
    <n v="2"/>
    <x v="2"/>
    <n v="3"/>
    <x v="0"/>
    <n v="3"/>
    <s v="Below College"/>
    <s v="Very High"/>
    <s v="High"/>
    <s v="Better"/>
  </r>
  <r>
    <n v="54"/>
    <s v="No"/>
    <s v="Travel_Rarely"/>
    <s v="Research &amp; Development"/>
    <n v="1"/>
    <n v="3"/>
    <s v="Medical"/>
    <n v="1422"/>
    <n v="4"/>
    <s v="Female"/>
    <n v="3"/>
    <n v="4"/>
    <s v="Research Director"/>
    <n v="4"/>
    <s v="Single"/>
    <n v="17328"/>
    <n v="6"/>
    <x v="1"/>
    <n v="19"/>
    <n v="3"/>
    <n v="4"/>
    <n v="0"/>
    <n v="29"/>
    <n v="3"/>
    <n v="2"/>
    <n v="20"/>
    <n v="7"/>
    <n v="12"/>
    <n v="7"/>
    <n v="0"/>
    <x v="1"/>
    <n v="4"/>
    <x v="3"/>
    <n v="4"/>
    <x v="3"/>
    <n v="4"/>
    <s v="Bachelor"/>
    <s v="Very High"/>
    <s v="Very High"/>
    <s v="Good"/>
  </r>
  <r>
    <n v="58"/>
    <s v="No"/>
    <s v="Travel_Rarely"/>
    <s v="Research &amp; Development"/>
    <n v="1"/>
    <n v="3"/>
    <s v="Medical"/>
    <n v="1423"/>
    <n v="4"/>
    <s v="Female"/>
    <n v="3"/>
    <n v="5"/>
    <s v="Research Director"/>
    <n v="1"/>
    <s v="Married"/>
    <n v="19701"/>
    <n v="3"/>
    <x v="0"/>
    <n v="21"/>
    <n v="4"/>
    <n v="3"/>
    <n v="1"/>
    <n v="32"/>
    <n v="3"/>
    <n v="3"/>
    <n v="9"/>
    <n v="8"/>
    <n v="1"/>
    <n v="5"/>
    <n v="0"/>
    <x v="3"/>
    <n v="5"/>
    <x v="3"/>
    <n v="4"/>
    <x v="0"/>
    <n v="3"/>
    <s v="Bachelor"/>
    <s v="Low"/>
    <s v="Very High"/>
    <s v="Better"/>
  </r>
  <r>
    <n v="55"/>
    <s v="No"/>
    <s v="Travel_Rarely"/>
    <s v="Research &amp; Development"/>
    <n v="1"/>
    <n v="4"/>
    <s v="Medical"/>
    <n v="1424"/>
    <n v="2"/>
    <s v="Male"/>
    <n v="4"/>
    <n v="4"/>
    <s v="Research Director"/>
    <n v="4"/>
    <s v="Divorced"/>
    <n v="14732"/>
    <n v="2"/>
    <x v="1"/>
    <n v="13"/>
    <n v="3"/>
    <n v="4"/>
    <n v="2"/>
    <n v="31"/>
    <n v="4"/>
    <n v="4"/>
    <n v="7"/>
    <n v="7"/>
    <n v="0"/>
    <n v="0"/>
    <n v="0"/>
    <x v="1"/>
    <n v="4"/>
    <x v="3"/>
    <n v="4"/>
    <x v="0"/>
    <n v="3"/>
    <s v="Master"/>
    <s v="Very High"/>
    <s v="Medium"/>
    <s v="Best"/>
  </r>
  <r>
    <n v="36"/>
    <s v="No"/>
    <s v="Travel_Rarely"/>
    <s v="Sales"/>
    <n v="3"/>
    <n v="4"/>
    <s v="Marketing"/>
    <n v="1425"/>
    <n v="1"/>
    <s v="Female"/>
    <n v="3"/>
    <n v="2"/>
    <s v="Sales Executive"/>
    <n v="2"/>
    <s v="Single"/>
    <n v="9278"/>
    <n v="3"/>
    <x v="0"/>
    <n v="16"/>
    <n v="3"/>
    <n v="4"/>
    <n v="0"/>
    <n v="15"/>
    <n v="3"/>
    <n v="3"/>
    <n v="5"/>
    <n v="4"/>
    <n v="0"/>
    <n v="1"/>
    <n v="0"/>
    <x v="0"/>
    <n v="3"/>
    <x v="2"/>
    <n v="3"/>
    <x v="2"/>
    <n v="2"/>
    <s v="Master"/>
    <s v="Medium"/>
    <s v="Low"/>
    <s v="Better"/>
  </r>
  <r>
    <n v="31"/>
    <s v="Yes"/>
    <s v="Travel_Frequently"/>
    <s v="Sales"/>
    <n v="1"/>
    <n v="4"/>
    <s v="Life Sciences"/>
    <n v="1427"/>
    <n v="2"/>
    <s v="Female"/>
    <n v="1"/>
    <n v="1"/>
    <s v="Sales Representative"/>
    <n v="3"/>
    <s v="Single"/>
    <n v="1359"/>
    <n v="1"/>
    <x v="1"/>
    <n v="12"/>
    <n v="3"/>
    <n v="2"/>
    <n v="0"/>
    <n v="1"/>
    <n v="3"/>
    <n v="3"/>
    <n v="1"/>
    <n v="0"/>
    <n v="0"/>
    <n v="0"/>
    <n v="1"/>
    <x v="2"/>
    <n v="2"/>
    <x v="1"/>
    <n v="1"/>
    <x v="1"/>
    <n v="1"/>
    <s v="Master"/>
    <s v="High"/>
    <s v="Medium"/>
    <s v="Better"/>
  </r>
  <r>
    <n v="30"/>
    <s v="No"/>
    <s v="Travel_Rarely"/>
    <s v="Sales"/>
    <n v="7"/>
    <n v="4"/>
    <s v="Marketing"/>
    <n v="1428"/>
    <n v="4"/>
    <s v="Female"/>
    <n v="3"/>
    <n v="2"/>
    <s v="Sales Executive"/>
    <n v="1"/>
    <s v="Divorced"/>
    <n v="4779"/>
    <n v="7"/>
    <x v="1"/>
    <n v="14"/>
    <n v="3"/>
    <n v="2"/>
    <n v="2"/>
    <n v="8"/>
    <n v="3"/>
    <n v="3"/>
    <n v="3"/>
    <n v="2"/>
    <n v="0"/>
    <n v="2"/>
    <n v="0"/>
    <x v="2"/>
    <n v="2"/>
    <x v="0"/>
    <n v="2"/>
    <x v="2"/>
    <n v="2"/>
    <s v="Master"/>
    <s v="Low"/>
    <s v="Very High"/>
    <s v="Better"/>
  </r>
  <r>
    <n v="31"/>
    <s v="No"/>
    <s v="Travel_Rarely"/>
    <s v="Research &amp; Development"/>
    <n v="8"/>
    <n v="5"/>
    <s v="Life Sciences"/>
    <n v="1430"/>
    <n v="1"/>
    <s v="Female"/>
    <n v="3"/>
    <n v="4"/>
    <s v="Research Director"/>
    <n v="2"/>
    <s v="Single"/>
    <n v="16422"/>
    <n v="3"/>
    <x v="1"/>
    <n v="11"/>
    <n v="3"/>
    <n v="3"/>
    <n v="0"/>
    <n v="9"/>
    <n v="3"/>
    <n v="4"/>
    <n v="3"/>
    <n v="2"/>
    <n v="1"/>
    <n v="0"/>
    <n v="0"/>
    <x v="2"/>
    <n v="2"/>
    <x v="3"/>
    <n v="4"/>
    <x v="2"/>
    <n v="2"/>
    <s v="Doctor"/>
    <s v="Medium"/>
    <s v="Low"/>
    <s v="Best"/>
  </r>
  <r>
    <n v="34"/>
    <s v="No"/>
    <s v="Travel_Frequently"/>
    <s v="Research &amp; Development"/>
    <n v="1"/>
    <n v="4"/>
    <s v="Other"/>
    <n v="1431"/>
    <n v="4"/>
    <s v="Male"/>
    <n v="3"/>
    <n v="1"/>
    <s v="Research Scientist"/>
    <n v="1"/>
    <s v="Divorced"/>
    <n v="2996"/>
    <n v="5"/>
    <x v="1"/>
    <n v="14"/>
    <n v="3"/>
    <n v="3"/>
    <n v="2"/>
    <n v="10"/>
    <n v="2"/>
    <n v="3"/>
    <n v="4"/>
    <n v="3"/>
    <n v="1"/>
    <n v="3"/>
    <n v="0"/>
    <x v="2"/>
    <n v="2"/>
    <x v="1"/>
    <n v="1"/>
    <x v="2"/>
    <n v="2"/>
    <s v="Master"/>
    <s v="Low"/>
    <s v="Very High"/>
    <s v="Better"/>
  </r>
  <r>
    <n v="31"/>
    <s v="Yes"/>
    <s v="Travel_Rarely"/>
    <s v="Research &amp; Development"/>
    <n v="8"/>
    <n v="3"/>
    <s v="Life Sciences"/>
    <n v="1433"/>
    <n v="1"/>
    <s v="Female"/>
    <n v="2"/>
    <n v="1"/>
    <s v="Research Scientist"/>
    <n v="2"/>
    <s v="Single"/>
    <n v="1261"/>
    <n v="1"/>
    <x v="1"/>
    <n v="12"/>
    <n v="3"/>
    <n v="3"/>
    <n v="0"/>
    <n v="1"/>
    <n v="3"/>
    <n v="4"/>
    <n v="1"/>
    <n v="0"/>
    <n v="0"/>
    <n v="0"/>
    <n v="1"/>
    <x v="2"/>
    <n v="2"/>
    <x v="1"/>
    <n v="1"/>
    <x v="1"/>
    <n v="1"/>
    <s v="Bachelor"/>
    <s v="Medium"/>
    <s v="Low"/>
    <s v="Best"/>
  </r>
  <r>
    <n v="27"/>
    <s v="No"/>
    <s v="Travel_Rarely"/>
    <s v="Research &amp; Development"/>
    <n v="11"/>
    <n v="1"/>
    <s v="Life Sciences"/>
    <n v="1434"/>
    <n v="2"/>
    <s v="Male"/>
    <n v="3"/>
    <n v="1"/>
    <s v="Laboratory Technician"/>
    <n v="1"/>
    <s v="Married"/>
    <n v="2099"/>
    <n v="0"/>
    <x v="1"/>
    <n v="14"/>
    <n v="3"/>
    <n v="2"/>
    <n v="0"/>
    <n v="6"/>
    <n v="3"/>
    <n v="4"/>
    <n v="5"/>
    <n v="0"/>
    <n v="1"/>
    <n v="4"/>
    <n v="0"/>
    <x v="2"/>
    <n v="2"/>
    <x v="1"/>
    <n v="1"/>
    <x v="2"/>
    <n v="2"/>
    <s v="Below College"/>
    <s v="Low"/>
    <s v="Medium"/>
    <s v="Best"/>
  </r>
  <r>
    <n v="36"/>
    <s v="No"/>
    <s v="Travel_Rarely"/>
    <s v="Research &amp; Development"/>
    <n v="4"/>
    <n v="4"/>
    <s v="Life Sciences"/>
    <n v="1435"/>
    <n v="1"/>
    <s v="Male"/>
    <n v="2"/>
    <n v="2"/>
    <s v="Laboratory Technician"/>
    <n v="4"/>
    <s v="Single"/>
    <n v="5810"/>
    <n v="1"/>
    <x v="1"/>
    <n v="16"/>
    <n v="3"/>
    <n v="3"/>
    <n v="0"/>
    <n v="10"/>
    <n v="2"/>
    <n v="2"/>
    <n v="10"/>
    <n v="4"/>
    <n v="1"/>
    <n v="8"/>
    <n v="0"/>
    <x v="0"/>
    <n v="3"/>
    <x v="0"/>
    <n v="2"/>
    <x v="0"/>
    <n v="3"/>
    <s v="Master"/>
    <s v="Very High"/>
    <s v="Low"/>
    <s v="Good"/>
  </r>
  <r>
    <n v="36"/>
    <s v="No"/>
    <s v="Travel_Rarely"/>
    <s v="Sales"/>
    <n v="16"/>
    <n v="4"/>
    <s v="Marketing"/>
    <n v="1436"/>
    <n v="3"/>
    <s v="Female"/>
    <n v="2"/>
    <n v="2"/>
    <s v="Sales Executive"/>
    <n v="1"/>
    <s v="Married"/>
    <n v="5647"/>
    <n v="4"/>
    <x v="1"/>
    <n v="13"/>
    <n v="3"/>
    <n v="1"/>
    <n v="2"/>
    <n v="11"/>
    <n v="3"/>
    <n v="2"/>
    <n v="3"/>
    <n v="2"/>
    <n v="0"/>
    <n v="2"/>
    <n v="0"/>
    <x v="0"/>
    <n v="3"/>
    <x v="0"/>
    <n v="2"/>
    <x v="2"/>
    <n v="2"/>
    <s v="Master"/>
    <s v="Low"/>
    <s v="High"/>
    <s v="Good"/>
  </r>
  <r>
    <n v="47"/>
    <s v="No"/>
    <s v="Travel_Rarely"/>
    <s v="Research &amp; Development"/>
    <n v="1"/>
    <n v="3"/>
    <s v="Technical Degree"/>
    <n v="1438"/>
    <n v="1"/>
    <s v="Male"/>
    <n v="3"/>
    <n v="1"/>
    <s v="Research Scientist"/>
    <n v="4"/>
    <s v="Married"/>
    <n v="3420"/>
    <n v="7"/>
    <x v="1"/>
    <n v="12"/>
    <n v="3"/>
    <n v="3"/>
    <n v="1"/>
    <n v="17"/>
    <n v="2"/>
    <n v="2"/>
    <n v="6"/>
    <n v="5"/>
    <n v="1"/>
    <n v="2"/>
    <n v="0"/>
    <x v="1"/>
    <n v="4"/>
    <x v="0"/>
    <n v="2"/>
    <x v="0"/>
    <n v="3"/>
    <s v="Bachelor"/>
    <s v="Very High"/>
    <s v="Low"/>
    <s v="Good"/>
  </r>
  <r>
    <n v="25"/>
    <s v="Yes"/>
    <s v="Travel_Rarely"/>
    <s v="Sales"/>
    <n v="9"/>
    <n v="2"/>
    <s v="Life Sciences"/>
    <n v="1439"/>
    <n v="1"/>
    <s v="Male"/>
    <n v="2"/>
    <n v="1"/>
    <s v="Sales Representative"/>
    <n v="1"/>
    <s v="Married"/>
    <n v="4400"/>
    <n v="3"/>
    <x v="1"/>
    <n v="12"/>
    <n v="3"/>
    <n v="1"/>
    <n v="0"/>
    <n v="6"/>
    <n v="2"/>
    <n v="3"/>
    <n v="3"/>
    <n v="2"/>
    <n v="2"/>
    <n v="2"/>
    <n v="1"/>
    <x v="4"/>
    <n v="1"/>
    <x v="0"/>
    <n v="2"/>
    <x v="2"/>
    <n v="2"/>
    <s v="College"/>
    <s v="Low"/>
    <s v="Low"/>
    <s v="Better"/>
  </r>
  <r>
    <n v="37"/>
    <s v="No"/>
    <s v="Non-Travel"/>
    <s v="Research &amp; Development"/>
    <n v="5"/>
    <n v="2"/>
    <s v="Technical Degree"/>
    <n v="1440"/>
    <n v="3"/>
    <s v="Male"/>
    <n v="4"/>
    <n v="1"/>
    <s v="Laboratory Technician"/>
    <n v="3"/>
    <s v="Single"/>
    <n v="3500"/>
    <n v="0"/>
    <x v="1"/>
    <n v="14"/>
    <n v="3"/>
    <n v="1"/>
    <n v="0"/>
    <n v="7"/>
    <n v="2"/>
    <n v="1"/>
    <n v="6"/>
    <n v="5"/>
    <n v="1"/>
    <n v="3"/>
    <n v="0"/>
    <x v="0"/>
    <n v="3"/>
    <x v="0"/>
    <n v="2"/>
    <x v="0"/>
    <n v="3"/>
    <s v="College"/>
    <s v="High"/>
    <s v="High"/>
    <s v="Bad"/>
  </r>
  <r>
    <n v="56"/>
    <s v="No"/>
    <s v="Travel_Rarely"/>
    <s v="Research &amp; Development"/>
    <n v="1"/>
    <n v="2"/>
    <s v="Life Sciences"/>
    <n v="1441"/>
    <n v="1"/>
    <s v="Female"/>
    <n v="3"/>
    <n v="1"/>
    <s v="Research Scientist"/>
    <n v="1"/>
    <s v="Married"/>
    <n v="2066"/>
    <n v="2"/>
    <x v="1"/>
    <n v="22"/>
    <n v="4"/>
    <n v="4"/>
    <n v="1"/>
    <n v="5"/>
    <n v="3"/>
    <n v="4"/>
    <n v="3"/>
    <n v="2"/>
    <n v="1"/>
    <n v="0"/>
    <n v="0"/>
    <x v="3"/>
    <n v="5"/>
    <x v="1"/>
    <n v="1"/>
    <x v="2"/>
    <n v="2"/>
    <s v="College"/>
    <s v="Low"/>
    <s v="Low"/>
    <s v="Best"/>
  </r>
  <r>
    <n v="47"/>
    <s v="No"/>
    <s v="Travel_Rarely"/>
    <s v="Research &amp; Development"/>
    <n v="2"/>
    <n v="4"/>
    <s v="Medical"/>
    <n v="1443"/>
    <n v="1"/>
    <s v="Female"/>
    <n v="3"/>
    <n v="4"/>
    <s v="Research Director"/>
    <n v="3"/>
    <s v="Married"/>
    <n v="17169"/>
    <n v="3"/>
    <x v="1"/>
    <n v="19"/>
    <n v="3"/>
    <n v="2"/>
    <n v="2"/>
    <n v="26"/>
    <n v="2"/>
    <n v="4"/>
    <n v="20"/>
    <n v="17"/>
    <n v="5"/>
    <n v="6"/>
    <n v="0"/>
    <x v="1"/>
    <n v="4"/>
    <x v="3"/>
    <n v="4"/>
    <x v="3"/>
    <n v="4"/>
    <s v="Master"/>
    <s v="High"/>
    <s v="Low"/>
    <s v="Best"/>
  </r>
  <r>
    <n v="24"/>
    <s v="No"/>
    <s v="Travel_Rarely"/>
    <s v="Sales"/>
    <n v="4"/>
    <n v="1"/>
    <s v="Medical"/>
    <n v="1445"/>
    <n v="4"/>
    <s v="Female"/>
    <n v="3"/>
    <n v="2"/>
    <s v="Sales Executive"/>
    <n v="3"/>
    <s v="Married"/>
    <n v="4162"/>
    <n v="1"/>
    <x v="0"/>
    <n v="12"/>
    <n v="3"/>
    <n v="3"/>
    <n v="2"/>
    <n v="5"/>
    <n v="3"/>
    <n v="3"/>
    <n v="5"/>
    <n v="4"/>
    <n v="0"/>
    <n v="3"/>
    <n v="0"/>
    <x v="4"/>
    <n v="1"/>
    <x v="0"/>
    <n v="2"/>
    <x v="2"/>
    <n v="2"/>
    <s v="Below College"/>
    <s v="High"/>
    <s v="Very High"/>
    <s v="Better"/>
  </r>
  <r>
    <n v="32"/>
    <s v="No"/>
    <s v="Travel_Rarely"/>
    <s v="Sales"/>
    <n v="7"/>
    <n v="5"/>
    <s v="Marketing"/>
    <n v="1446"/>
    <n v="4"/>
    <s v="Male"/>
    <n v="3"/>
    <n v="2"/>
    <s v="Sales Executive"/>
    <n v="4"/>
    <s v="Married"/>
    <n v="9204"/>
    <n v="4"/>
    <x v="1"/>
    <n v="12"/>
    <n v="3"/>
    <n v="3"/>
    <n v="1"/>
    <n v="7"/>
    <n v="3"/>
    <n v="2"/>
    <n v="4"/>
    <n v="3"/>
    <n v="0"/>
    <n v="3"/>
    <n v="0"/>
    <x v="2"/>
    <n v="2"/>
    <x v="2"/>
    <n v="3"/>
    <x v="2"/>
    <n v="2"/>
    <s v="Doctor"/>
    <s v="Very High"/>
    <s v="Very High"/>
    <s v="Good"/>
  </r>
  <r>
    <n v="34"/>
    <s v="No"/>
    <s v="Travel_Rarely"/>
    <s v="Research &amp; Development"/>
    <n v="1"/>
    <n v="3"/>
    <s v="Life Sciences"/>
    <n v="1447"/>
    <n v="4"/>
    <s v="Female"/>
    <n v="2"/>
    <n v="1"/>
    <s v="Laboratory Technician"/>
    <n v="2"/>
    <s v="Married"/>
    <n v="3294"/>
    <n v="5"/>
    <x v="1"/>
    <n v="17"/>
    <n v="3"/>
    <n v="1"/>
    <n v="1"/>
    <n v="7"/>
    <n v="2"/>
    <n v="2"/>
    <n v="5"/>
    <n v="4"/>
    <n v="0"/>
    <n v="2"/>
    <n v="0"/>
    <x v="2"/>
    <n v="2"/>
    <x v="0"/>
    <n v="2"/>
    <x v="2"/>
    <n v="2"/>
    <s v="Bachelor"/>
    <s v="Medium"/>
    <s v="Very High"/>
    <s v="Good"/>
  </r>
  <r>
    <n v="41"/>
    <s v="No"/>
    <s v="Travel_Rarely"/>
    <s v="Research &amp; Development"/>
    <n v="5"/>
    <n v="5"/>
    <s v="Medical"/>
    <n v="1448"/>
    <n v="2"/>
    <s v="Male"/>
    <n v="4"/>
    <n v="1"/>
    <s v="Research Scientist"/>
    <n v="3"/>
    <s v="Married"/>
    <n v="2127"/>
    <n v="2"/>
    <x v="0"/>
    <n v="12"/>
    <n v="3"/>
    <n v="1"/>
    <n v="0"/>
    <n v="7"/>
    <n v="5"/>
    <n v="2"/>
    <n v="4"/>
    <n v="2"/>
    <n v="0"/>
    <n v="3"/>
    <n v="0"/>
    <x v="0"/>
    <n v="3"/>
    <x v="1"/>
    <n v="1"/>
    <x v="2"/>
    <n v="2"/>
    <s v="Doctor"/>
    <s v="High"/>
    <s v="Medium"/>
    <s v="Good"/>
  </r>
  <r>
    <n v="40"/>
    <s v="No"/>
    <s v="Non-Travel"/>
    <s v="Research &amp; Development"/>
    <n v="9"/>
    <n v="4"/>
    <s v="Other"/>
    <n v="1449"/>
    <n v="3"/>
    <s v="Male"/>
    <n v="3"/>
    <n v="2"/>
    <s v="Laboratory Technician"/>
    <n v="3"/>
    <s v="Divorced"/>
    <n v="3975"/>
    <n v="3"/>
    <x v="1"/>
    <n v="11"/>
    <n v="3"/>
    <n v="3"/>
    <n v="2"/>
    <n v="11"/>
    <n v="2"/>
    <n v="4"/>
    <n v="8"/>
    <n v="7"/>
    <n v="0"/>
    <n v="7"/>
    <n v="0"/>
    <x v="0"/>
    <n v="3"/>
    <x v="0"/>
    <n v="2"/>
    <x v="0"/>
    <n v="3"/>
    <s v="Master"/>
    <s v="High"/>
    <s v="High"/>
    <s v="Best"/>
  </r>
  <r>
    <n v="31"/>
    <s v="No"/>
    <s v="Travel_Rarely"/>
    <s v="Sales"/>
    <n v="8"/>
    <n v="2"/>
    <s v="Life Sciences"/>
    <n v="1453"/>
    <n v="1"/>
    <s v="Male"/>
    <n v="3"/>
    <n v="3"/>
    <s v="Sales Executive"/>
    <n v="4"/>
    <s v="Divorced"/>
    <n v="10793"/>
    <n v="1"/>
    <x v="1"/>
    <n v="18"/>
    <n v="3"/>
    <n v="1"/>
    <n v="1"/>
    <n v="13"/>
    <n v="5"/>
    <n v="3"/>
    <n v="13"/>
    <n v="7"/>
    <n v="9"/>
    <n v="9"/>
    <n v="0"/>
    <x v="2"/>
    <n v="2"/>
    <x v="3"/>
    <n v="4"/>
    <x v="3"/>
    <n v="4"/>
    <s v="College"/>
    <s v="Very High"/>
    <s v="Low"/>
    <s v="Better"/>
  </r>
  <r>
    <n v="46"/>
    <s v="Yes"/>
    <s v="Travel_Rarely"/>
    <s v="Sales"/>
    <n v="9"/>
    <n v="3"/>
    <s v="Marketing"/>
    <n v="1457"/>
    <n v="1"/>
    <s v="Male"/>
    <n v="3"/>
    <n v="3"/>
    <s v="Sales Executive"/>
    <n v="4"/>
    <s v="Divorced"/>
    <n v="10096"/>
    <n v="4"/>
    <x v="1"/>
    <n v="11"/>
    <n v="3"/>
    <n v="1"/>
    <n v="1"/>
    <n v="28"/>
    <n v="1"/>
    <n v="4"/>
    <n v="7"/>
    <n v="7"/>
    <n v="4"/>
    <n v="3"/>
    <n v="1"/>
    <x v="1"/>
    <n v="4"/>
    <x v="3"/>
    <n v="4"/>
    <x v="0"/>
    <n v="3"/>
    <s v="Bachelor"/>
    <s v="Very High"/>
    <s v="Low"/>
    <s v="Best"/>
  </r>
  <r>
    <n v="39"/>
    <s v="Yes"/>
    <s v="Non-Travel"/>
    <s v="Research &amp; Development"/>
    <n v="2"/>
    <n v="3"/>
    <s v="Life Sciences"/>
    <n v="1458"/>
    <n v="1"/>
    <s v="Female"/>
    <n v="2"/>
    <n v="1"/>
    <s v="Laboratory Technician"/>
    <n v="1"/>
    <s v="Single"/>
    <n v="3646"/>
    <n v="2"/>
    <x v="0"/>
    <n v="23"/>
    <n v="4"/>
    <n v="2"/>
    <n v="0"/>
    <n v="11"/>
    <n v="2"/>
    <n v="4"/>
    <n v="1"/>
    <n v="0"/>
    <n v="0"/>
    <n v="0"/>
    <n v="1"/>
    <x v="0"/>
    <n v="3"/>
    <x v="0"/>
    <n v="2"/>
    <x v="1"/>
    <n v="1"/>
    <s v="Bachelor"/>
    <s v="Low"/>
    <s v="Low"/>
    <s v="Best"/>
  </r>
  <r>
    <n v="31"/>
    <s v="Yes"/>
    <s v="Travel_Frequently"/>
    <s v="Research &amp; Development"/>
    <n v="1"/>
    <n v="5"/>
    <s v="Life Sciences"/>
    <n v="1459"/>
    <n v="3"/>
    <s v="Female"/>
    <n v="4"/>
    <n v="3"/>
    <s v="Manufacturing Director"/>
    <n v="2"/>
    <s v="Single"/>
    <n v="7446"/>
    <n v="1"/>
    <x v="1"/>
    <n v="11"/>
    <n v="3"/>
    <n v="1"/>
    <n v="0"/>
    <n v="10"/>
    <n v="2"/>
    <n v="3"/>
    <n v="10"/>
    <n v="8"/>
    <n v="4"/>
    <n v="7"/>
    <n v="1"/>
    <x v="2"/>
    <n v="2"/>
    <x v="2"/>
    <n v="3"/>
    <x v="0"/>
    <n v="3"/>
    <s v="Doctor"/>
    <s v="Medium"/>
    <s v="High"/>
    <s v="Better"/>
  </r>
  <r>
    <n v="45"/>
    <s v="No"/>
    <s v="Travel_Rarely"/>
    <s v="Research &amp; Development"/>
    <n v="20"/>
    <n v="3"/>
    <s v="Medical"/>
    <n v="1460"/>
    <n v="2"/>
    <s v="Male"/>
    <n v="1"/>
    <n v="3"/>
    <s v="Healthcare Representative"/>
    <n v="1"/>
    <s v="Divorced"/>
    <n v="10851"/>
    <n v="2"/>
    <x v="0"/>
    <n v="18"/>
    <n v="3"/>
    <n v="2"/>
    <n v="1"/>
    <n v="24"/>
    <n v="2"/>
    <n v="3"/>
    <n v="7"/>
    <n v="7"/>
    <n v="0"/>
    <n v="7"/>
    <n v="0"/>
    <x v="0"/>
    <n v="3"/>
    <x v="3"/>
    <n v="4"/>
    <x v="0"/>
    <n v="3"/>
    <s v="Bachelor"/>
    <s v="Low"/>
    <s v="Medium"/>
    <s v="Better"/>
  </r>
  <r>
    <n v="31"/>
    <s v="No"/>
    <s v="Travel_Rarely"/>
    <s v="Human Resources"/>
    <n v="8"/>
    <n v="2"/>
    <s v="Medical"/>
    <n v="1461"/>
    <n v="4"/>
    <s v="Female"/>
    <n v="4"/>
    <n v="1"/>
    <s v="Human Resources"/>
    <n v="2"/>
    <s v="Single"/>
    <n v="2109"/>
    <n v="9"/>
    <x v="1"/>
    <n v="18"/>
    <n v="3"/>
    <n v="4"/>
    <n v="0"/>
    <n v="8"/>
    <n v="3"/>
    <n v="3"/>
    <n v="3"/>
    <n v="2"/>
    <n v="0"/>
    <n v="2"/>
    <n v="0"/>
    <x v="2"/>
    <n v="2"/>
    <x v="1"/>
    <n v="1"/>
    <x v="2"/>
    <n v="2"/>
    <s v="College"/>
    <s v="Medium"/>
    <s v="Very High"/>
    <s v="Better"/>
  </r>
  <r>
    <n v="31"/>
    <s v="Yes"/>
    <s v="Travel_Frequently"/>
    <s v="Research &amp; Development"/>
    <n v="2"/>
    <n v="3"/>
    <s v="Life Sciences"/>
    <n v="1464"/>
    <n v="2"/>
    <s v="Male"/>
    <n v="3"/>
    <n v="1"/>
    <s v="Laboratory Technician"/>
    <n v="4"/>
    <s v="Married"/>
    <n v="3722"/>
    <n v="6"/>
    <x v="0"/>
    <n v="13"/>
    <n v="3"/>
    <n v="3"/>
    <n v="1"/>
    <n v="7"/>
    <n v="2"/>
    <n v="1"/>
    <n v="2"/>
    <n v="2"/>
    <n v="2"/>
    <n v="2"/>
    <n v="1"/>
    <x v="2"/>
    <n v="2"/>
    <x v="0"/>
    <n v="2"/>
    <x v="1"/>
    <n v="1"/>
    <s v="Bachelor"/>
    <s v="Very High"/>
    <s v="Medium"/>
    <s v="Bad"/>
  </r>
  <r>
    <n v="45"/>
    <s v="No"/>
    <s v="Travel_Rarely"/>
    <s v="Research &amp; Development"/>
    <n v="29"/>
    <n v="3"/>
    <s v="Technical Degree"/>
    <n v="1465"/>
    <n v="2"/>
    <s v="Male"/>
    <n v="3"/>
    <n v="3"/>
    <s v="Manufacturing Director"/>
    <n v="4"/>
    <s v="Married"/>
    <n v="9380"/>
    <n v="4"/>
    <x v="0"/>
    <n v="18"/>
    <n v="3"/>
    <n v="4"/>
    <n v="2"/>
    <n v="10"/>
    <n v="4"/>
    <n v="4"/>
    <n v="3"/>
    <n v="1"/>
    <n v="1"/>
    <n v="2"/>
    <n v="0"/>
    <x v="0"/>
    <n v="3"/>
    <x v="2"/>
    <n v="3"/>
    <x v="2"/>
    <n v="2"/>
    <s v="Bachelor"/>
    <s v="Very High"/>
    <s v="Medium"/>
    <s v="Best"/>
  </r>
  <r>
    <n v="48"/>
    <s v="No"/>
    <s v="Travel_Rarely"/>
    <s v="Sales"/>
    <n v="7"/>
    <n v="3"/>
    <s v="Marketing"/>
    <n v="1466"/>
    <n v="3"/>
    <s v="Male"/>
    <n v="3"/>
    <n v="2"/>
    <s v="Sales Executive"/>
    <n v="1"/>
    <s v="Divorced"/>
    <n v="5486"/>
    <n v="4"/>
    <x v="1"/>
    <n v="11"/>
    <n v="3"/>
    <n v="1"/>
    <n v="3"/>
    <n v="15"/>
    <n v="3"/>
    <n v="3"/>
    <n v="2"/>
    <n v="2"/>
    <n v="2"/>
    <n v="2"/>
    <n v="0"/>
    <x v="1"/>
    <n v="4"/>
    <x v="0"/>
    <n v="2"/>
    <x v="1"/>
    <n v="1"/>
    <s v="Bachelor"/>
    <s v="Low"/>
    <s v="High"/>
    <s v="Better"/>
  </r>
  <r>
    <n v="34"/>
    <s v="Yes"/>
    <s v="Travel_Rarely"/>
    <s v="Human Resources"/>
    <n v="9"/>
    <n v="4"/>
    <s v="Technical Degree"/>
    <n v="1467"/>
    <n v="1"/>
    <s v="Female"/>
    <n v="3"/>
    <n v="1"/>
    <s v="Human Resources"/>
    <n v="3"/>
    <s v="Married"/>
    <n v="2742"/>
    <n v="1"/>
    <x v="1"/>
    <n v="15"/>
    <n v="3"/>
    <n v="4"/>
    <n v="0"/>
    <n v="2"/>
    <n v="0"/>
    <n v="3"/>
    <n v="2"/>
    <n v="2"/>
    <n v="2"/>
    <n v="2"/>
    <n v="1"/>
    <x v="2"/>
    <n v="2"/>
    <x v="1"/>
    <n v="1"/>
    <x v="1"/>
    <n v="1"/>
    <s v="Master"/>
    <s v="High"/>
    <s v="Low"/>
    <s v="Better"/>
  </r>
  <r>
    <n v="40"/>
    <s v="No"/>
    <s v="Non-Travel"/>
    <s v="Research &amp; Development"/>
    <n v="8"/>
    <n v="1"/>
    <s v="Medical"/>
    <n v="1468"/>
    <n v="4"/>
    <s v="Male"/>
    <n v="2"/>
    <n v="3"/>
    <s v="Research Director"/>
    <n v="2"/>
    <s v="Divorced"/>
    <n v="13757"/>
    <n v="2"/>
    <x v="1"/>
    <n v="11"/>
    <n v="3"/>
    <n v="3"/>
    <n v="1"/>
    <n v="16"/>
    <n v="5"/>
    <n v="3"/>
    <n v="9"/>
    <n v="8"/>
    <n v="4"/>
    <n v="8"/>
    <n v="0"/>
    <x v="0"/>
    <n v="3"/>
    <x v="3"/>
    <n v="4"/>
    <x v="0"/>
    <n v="3"/>
    <s v="Below College"/>
    <s v="Medium"/>
    <s v="Very High"/>
    <s v="Better"/>
  </r>
  <r>
    <n v="28"/>
    <s v="No"/>
    <s v="Travel_Rarely"/>
    <s v="Sales"/>
    <n v="5"/>
    <n v="3"/>
    <s v="Medical"/>
    <n v="1469"/>
    <n v="4"/>
    <s v="Male"/>
    <n v="3"/>
    <n v="2"/>
    <s v="Sales Executive"/>
    <n v="1"/>
    <s v="Single"/>
    <n v="8463"/>
    <n v="0"/>
    <x v="1"/>
    <n v="18"/>
    <n v="3"/>
    <n v="4"/>
    <n v="0"/>
    <n v="6"/>
    <n v="4"/>
    <n v="3"/>
    <n v="5"/>
    <n v="4"/>
    <n v="1"/>
    <n v="3"/>
    <n v="0"/>
    <x v="2"/>
    <n v="2"/>
    <x v="2"/>
    <n v="3"/>
    <x v="2"/>
    <n v="2"/>
    <s v="Bachelor"/>
    <s v="Low"/>
    <s v="Very High"/>
    <s v="Better"/>
  </r>
  <r>
    <n v="44"/>
    <s v="No"/>
    <s v="Non-Travel"/>
    <s v="Research &amp; Development"/>
    <n v="5"/>
    <n v="3"/>
    <s v="Life Sciences"/>
    <n v="1471"/>
    <n v="3"/>
    <s v="Male"/>
    <n v="2"/>
    <n v="1"/>
    <s v="Laboratory Technician"/>
    <n v="3"/>
    <s v="Single"/>
    <n v="3162"/>
    <n v="3"/>
    <x v="1"/>
    <n v="14"/>
    <n v="3"/>
    <n v="4"/>
    <n v="0"/>
    <n v="7"/>
    <n v="5"/>
    <n v="3"/>
    <n v="5"/>
    <n v="2"/>
    <n v="0"/>
    <n v="3"/>
    <n v="0"/>
    <x v="0"/>
    <n v="3"/>
    <x v="0"/>
    <n v="2"/>
    <x v="2"/>
    <n v="2"/>
    <s v="Bachelor"/>
    <s v="High"/>
    <s v="High"/>
    <s v="Better"/>
  </r>
  <r>
    <n v="53"/>
    <s v="No"/>
    <s v="Travel_Rarely"/>
    <s v="Research &amp; Development"/>
    <n v="2"/>
    <n v="3"/>
    <s v="Medical"/>
    <n v="1472"/>
    <n v="4"/>
    <s v="Male"/>
    <n v="4"/>
    <n v="4"/>
    <s v="Research Director"/>
    <n v="2"/>
    <s v="Single"/>
    <n v="16598"/>
    <n v="4"/>
    <x v="1"/>
    <n v="12"/>
    <n v="3"/>
    <n v="2"/>
    <n v="0"/>
    <n v="35"/>
    <n v="2"/>
    <n v="2"/>
    <n v="9"/>
    <n v="8"/>
    <n v="8"/>
    <n v="8"/>
    <n v="0"/>
    <x v="1"/>
    <n v="4"/>
    <x v="3"/>
    <n v="4"/>
    <x v="0"/>
    <n v="3"/>
    <s v="Bachelor"/>
    <s v="Medium"/>
    <s v="Very High"/>
    <s v="Good"/>
  </r>
  <r>
    <n v="49"/>
    <s v="No"/>
    <s v="Travel_Rarely"/>
    <s v="Research &amp; Development"/>
    <n v="5"/>
    <n v="4"/>
    <s v="Technical Degree"/>
    <n v="1473"/>
    <n v="1"/>
    <s v="Male"/>
    <n v="3"/>
    <n v="2"/>
    <s v="Healthcare Representative"/>
    <n v="3"/>
    <s v="Married"/>
    <n v="6651"/>
    <n v="2"/>
    <x v="1"/>
    <n v="14"/>
    <n v="3"/>
    <n v="2"/>
    <n v="1"/>
    <n v="20"/>
    <n v="0"/>
    <n v="2"/>
    <n v="3"/>
    <n v="2"/>
    <n v="1"/>
    <n v="2"/>
    <n v="0"/>
    <x v="1"/>
    <n v="4"/>
    <x v="2"/>
    <n v="3"/>
    <x v="2"/>
    <n v="2"/>
    <s v="Master"/>
    <s v="High"/>
    <s v="Low"/>
    <s v="Good"/>
  </r>
  <r>
    <n v="40"/>
    <s v="No"/>
    <s v="Travel_Rarely"/>
    <s v="Research &amp; Development"/>
    <n v="2"/>
    <n v="3"/>
    <s v="Medical"/>
    <n v="1474"/>
    <n v="3"/>
    <s v="Male"/>
    <n v="3"/>
    <n v="1"/>
    <s v="Research Scientist"/>
    <n v="3"/>
    <s v="Divorced"/>
    <n v="2345"/>
    <n v="2"/>
    <x v="1"/>
    <n v="14"/>
    <n v="3"/>
    <n v="3"/>
    <n v="1"/>
    <n v="8"/>
    <n v="3"/>
    <n v="4"/>
    <n v="3"/>
    <n v="1"/>
    <n v="1"/>
    <n v="2"/>
    <n v="0"/>
    <x v="0"/>
    <n v="3"/>
    <x v="1"/>
    <n v="1"/>
    <x v="2"/>
    <n v="2"/>
    <s v="Bachelor"/>
    <s v="High"/>
    <s v="High"/>
    <s v="Best"/>
  </r>
  <r>
    <n v="44"/>
    <s v="No"/>
    <s v="Travel_Rarely"/>
    <s v="Research &amp; Development"/>
    <n v="20"/>
    <n v="3"/>
    <s v="Life Sciences"/>
    <n v="1475"/>
    <n v="4"/>
    <s v="Male"/>
    <n v="3"/>
    <n v="1"/>
    <s v="Research Scientist"/>
    <n v="2"/>
    <s v="Single"/>
    <n v="3420"/>
    <n v="1"/>
    <x v="1"/>
    <n v="13"/>
    <n v="3"/>
    <n v="3"/>
    <n v="0"/>
    <n v="6"/>
    <n v="3"/>
    <n v="2"/>
    <n v="5"/>
    <n v="2"/>
    <n v="1"/>
    <n v="3"/>
    <n v="0"/>
    <x v="0"/>
    <n v="3"/>
    <x v="0"/>
    <n v="2"/>
    <x v="2"/>
    <n v="2"/>
    <s v="Bachelor"/>
    <s v="Medium"/>
    <s v="Very High"/>
    <s v="Good"/>
  </r>
  <r>
    <n v="33"/>
    <s v="No"/>
    <s v="Travel_Frequently"/>
    <s v="Sales"/>
    <n v="7"/>
    <n v="3"/>
    <s v="Medical"/>
    <n v="1477"/>
    <n v="4"/>
    <s v="Male"/>
    <n v="3"/>
    <n v="2"/>
    <s v="Sales Executive"/>
    <n v="1"/>
    <s v="Married"/>
    <n v="4373"/>
    <n v="0"/>
    <x v="1"/>
    <n v="14"/>
    <n v="3"/>
    <n v="1"/>
    <n v="2"/>
    <n v="5"/>
    <n v="2"/>
    <n v="3"/>
    <n v="4"/>
    <n v="3"/>
    <n v="0"/>
    <n v="3"/>
    <n v="0"/>
    <x v="2"/>
    <n v="2"/>
    <x v="0"/>
    <n v="2"/>
    <x v="2"/>
    <n v="2"/>
    <s v="Bachelor"/>
    <s v="Low"/>
    <s v="Very High"/>
    <s v="Better"/>
  </r>
  <r>
    <n v="34"/>
    <s v="No"/>
    <s v="Travel_Rarely"/>
    <s v="Sales"/>
    <n v="3"/>
    <n v="3"/>
    <s v="Other"/>
    <n v="1478"/>
    <n v="4"/>
    <s v="Male"/>
    <n v="1"/>
    <n v="2"/>
    <s v="Sales Executive"/>
    <n v="1"/>
    <s v="Single"/>
    <n v="4759"/>
    <n v="3"/>
    <x v="1"/>
    <n v="18"/>
    <n v="3"/>
    <n v="4"/>
    <n v="0"/>
    <n v="15"/>
    <n v="2"/>
    <n v="3"/>
    <n v="13"/>
    <n v="9"/>
    <n v="3"/>
    <n v="12"/>
    <n v="0"/>
    <x v="2"/>
    <n v="2"/>
    <x v="0"/>
    <n v="2"/>
    <x v="3"/>
    <n v="4"/>
    <s v="Bachelor"/>
    <s v="Low"/>
    <s v="Very High"/>
    <s v="Better"/>
  </r>
  <r>
    <n v="30"/>
    <s v="No"/>
    <s v="Travel_Rarely"/>
    <s v="Sales"/>
    <n v="16"/>
    <n v="1"/>
    <s v="Life Sciences"/>
    <n v="1479"/>
    <n v="4"/>
    <s v="Male"/>
    <n v="3"/>
    <n v="2"/>
    <s v="Sales Executive"/>
    <n v="3"/>
    <s v="Married"/>
    <n v="5301"/>
    <n v="8"/>
    <x v="1"/>
    <n v="15"/>
    <n v="3"/>
    <n v="3"/>
    <n v="2"/>
    <n v="4"/>
    <n v="2"/>
    <n v="2"/>
    <n v="2"/>
    <n v="1"/>
    <n v="2"/>
    <n v="2"/>
    <n v="0"/>
    <x v="2"/>
    <n v="2"/>
    <x v="0"/>
    <n v="2"/>
    <x v="1"/>
    <n v="1"/>
    <s v="Below College"/>
    <s v="High"/>
    <s v="Very High"/>
    <s v="Good"/>
  </r>
  <r>
    <n v="42"/>
    <s v="No"/>
    <s v="Travel_Frequently"/>
    <s v="Research &amp; Development"/>
    <n v="9"/>
    <n v="2"/>
    <s v="Medical"/>
    <n v="1480"/>
    <n v="1"/>
    <s v="Female"/>
    <n v="3"/>
    <n v="1"/>
    <s v="Laboratory Technician"/>
    <n v="4"/>
    <s v="Single"/>
    <n v="3673"/>
    <n v="1"/>
    <x v="1"/>
    <n v="13"/>
    <n v="3"/>
    <n v="3"/>
    <n v="0"/>
    <n v="12"/>
    <n v="3"/>
    <n v="3"/>
    <n v="12"/>
    <n v="9"/>
    <n v="5"/>
    <n v="8"/>
    <n v="0"/>
    <x v="0"/>
    <n v="3"/>
    <x v="0"/>
    <n v="2"/>
    <x v="3"/>
    <n v="4"/>
    <s v="College"/>
    <s v="Very High"/>
    <s v="Low"/>
    <s v="Better"/>
  </r>
  <r>
    <n v="44"/>
    <s v="No"/>
    <s v="Travel_Frequently"/>
    <s v="Sales"/>
    <n v="1"/>
    <n v="5"/>
    <s v="Marketing"/>
    <n v="1481"/>
    <n v="1"/>
    <s v="Female"/>
    <n v="3"/>
    <n v="2"/>
    <s v="Sales Executive"/>
    <n v="3"/>
    <s v="Married"/>
    <n v="4768"/>
    <n v="7"/>
    <x v="1"/>
    <n v="12"/>
    <n v="3"/>
    <n v="3"/>
    <n v="1"/>
    <n v="11"/>
    <n v="4"/>
    <n v="2"/>
    <n v="1"/>
    <n v="0"/>
    <n v="0"/>
    <n v="0"/>
    <n v="0"/>
    <x v="0"/>
    <n v="3"/>
    <x v="0"/>
    <n v="2"/>
    <x v="1"/>
    <n v="1"/>
    <s v="Doctor"/>
    <s v="High"/>
    <s v="Low"/>
    <s v="Good"/>
  </r>
  <r>
    <n v="30"/>
    <s v="No"/>
    <s v="Non-Travel"/>
    <s v="Research &amp; Development"/>
    <n v="7"/>
    <n v="3"/>
    <s v="Technical Degree"/>
    <n v="1482"/>
    <n v="3"/>
    <s v="Male"/>
    <n v="3"/>
    <n v="1"/>
    <s v="Research Scientist"/>
    <n v="3"/>
    <s v="Divorced"/>
    <n v="1274"/>
    <n v="1"/>
    <x v="1"/>
    <n v="13"/>
    <n v="3"/>
    <n v="2"/>
    <n v="2"/>
    <n v="1"/>
    <n v="2"/>
    <n v="2"/>
    <n v="1"/>
    <n v="0"/>
    <n v="0"/>
    <n v="0"/>
    <n v="0"/>
    <x v="2"/>
    <n v="2"/>
    <x v="1"/>
    <n v="1"/>
    <x v="1"/>
    <n v="1"/>
    <s v="Bachelor"/>
    <s v="High"/>
    <s v="High"/>
    <s v="Good"/>
  </r>
  <r>
    <n v="57"/>
    <s v="No"/>
    <s v="Travel_Rarely"/>
    <s v="Research &amp; Development"/>
    <n v="1"/>
    <n v="2"/>
    <s v="Life Sciences"/>
    <n v="1483"/>
    <n v="2"/>
    <s v="Male"/>
    <n v="4"/>
    <n v="2"/>
    <s v="Research Scientist"/>
    <n v="3"/>
    <s v="Married"/>
    <n v="4900"/>
    <n v="0"/>
    <x v="1"/>
    <n v="24"/>
    <n v="4"/>
    <n v="1"/>
    <n v="1"/>
    <n v="13"/>
    <n v="2"/>
    <n v="2"/>
    <n v="12"/>
    <n v="9"/>
    <n v="2"/>
    <n v="8"/>
    <n v="0"/>
    <x v="3"/>
    <n v="5"/>
    <x v="0"/>
    <n v="2"/>
    <x v="3"/>
    <n v="4"/>
    <s v="College"/>
    <s v="High"/>
    <s v="Medium"/>
    <s v="Good"/>
  </r>
  <r>
    <n v="49"/>
    <s v="No"/>
    <s v="Travel_Rarely"/>
    <s v="Research &amp; Development"/>
    <n v="7"/>
    <n v="4"/>
    <s v="Life Sciences"/>
    <n v="1484"/>
    <n v="3"/>
    <s v="Male"/>
    <n v="3"/>
    <n v="3"/>
    <s v="Healthcare Representative"/>
    <n v="2"/>
    <s v="Divorced"/>
    <n v="10466"/>
    <n v="3"/>
    <x v="1"/>
    <n v="14"/>
    <n v="3"/>
    <n v="2"/>
    <n v="2"/>
    <n v="29"/>
    <n v="3"/>
    <n v="3"/>
    <n v="8"/>
    <n v="7"/>
    <n v="0"/>
    <n v="7"/>
    <n v="0"/>
    <x v="1"/>
    <n v="4"/>
    <x v="3"/>
    <n v="4"/>
    <x v="0"/>
    <n v="3"/>
    <s v="Master"/>
    <s v="Medium"/>
    <s v="High"/>
    <s v="Better"/>
  </r>
  <r>
    <n v="34"/>
    <s v="No"/>
    <s v="Travel_Frequently"/>
    <s v="Research &amp; Development"/>
    <n v="15"/>
    <n v="3"/>
    <s v="Medical"/>
    <n v="1485"/>
    <n v="2"/>
    <s v="Male"/>
    <n v="3"/>
    <n v="4"/>
    <s v="Research Director"/>
    <n v="1"/>
    <s v="Divorced"/>
    <n v="17007"/>
    <n v="7"/>
    <x v="1"/>
    <n v="14"/>
    <n v="3"/>
    <n v="4"/>
    <n v="2"/>
    <n v="16"/>
    <n v="3"/>
    <n v="2"/>
    <n v="14"/>
    <n v="8"/>
    <n v="6"/>
    <n v="9"/>
    <n v="0"/>
    <x v="2"/>
    <n v="2"/>
    <x v="3"/>
    <n v="4"/>
    <x v="3"/>
    <n v="4"/>
    <s v="Bachelor"/>
    <s v="Low"/>
    <s v="Medium"/>
    <s v="Good"/>
  </r>
  <r>
    <n v="28"/>
    <s v="Yes"/>
    <s v="Travel_Frequently"/>
    <s v="Sales"/>
    <n v="1"/>
    <n v="3"/>
    <s v="Technical Degree"/>
    <n v="1486"/>
    <n v="1"/>
    <s v="Male"/>
    <n v="3"/>
    <n v="1"/>
    <s v="Sales Representative"/>
    <n v="3"/>
    <s v="Married"/>
    <n v="2909"/>
    <n v="3"/>
    <x v="1"/>
    <n v="15"/>
    <n v="3"/>
    <n v="4"/>
    <n v="1"/>
    <n v="5"/>
    <n v="3"/>
    <n v="4"/>
    <n v="3"/>
    <n v="2"/>
    <n v="1"/>
    <n v="2"/>
    <n v="1"/>
    <x v="2"/>
    <n v="2"/>
    <x v="1"/>
    <n v="1"/>
    <x v="2"/>
    <n v="2"/>
    <s v="Bachelor"/>
    <s v="High"/>
    <s v="Low"/>
    <s v="Best"/>
  </r>
  <r>
    <n v="29"/>
    <s v="Yes"/>
    <s v="Travel_Frequently"/>
    <s v="Sales"/>
    <n v="13"/>
    <n v="3"/>
    <s v="Technical Degree"/>
    <n v="1487"/>
    <n v="1"/>
    <s v="Female"/>
    <n v="3"/>
    <n v="2"/>
    <s v="Sales Executive"/>
    <n v="2"/>
    <s v="Single"/>
    <n v="5765"/>
    <n v="5"/>
    <x v="1"/>
    <n v="11"/>
    <n v="3"/>
    <n v="1"/>
    <n v="0"/>
    <n v="7"/>
    <n v="4"/>
    <n v="1"/>
    <n v="5"/>
    <n v="3"/>
    <n v="0"/>
    <n v="0"/>
    <n v="1"/>
    <x v="2"/>
    <n v="2"/>
    <x v="0"/>
    <n v="2"/>
    <x v="2"/>
    <n v="2"/>
    <s v="Bachelor"/>
    <s v="Medium"/>
    <s v="Low"/>
    <s v="Bad"/>
  </r>
  <r>
    <n v="34"/>
    <s v="Yes"/>
    <s v="Travel_Rarely"/>
    <s v="Sales"/>
    <n v="24"/>
    <n v="4"/>
    <s v="Medical"/>
    <n v="1489"/>
    <n v="1"/>
    <s v="Female"/>
    <n v="2"/>
    <n v="2"/>
    <s v="Sales Executive"/>
    <n v="2"/>
    <s v="Single"/>
    <n v="4599"/>
    <n v="0"/>
    <x v="0"/>
    <n v="23"/>
    <n v="4"/>
    <n v="3"/>
    <n v="0"/>
    <n v="16"/>
    <n v="2"/>
    <n v="4"/>
    <n v="15"/>
    <n v="9"/>
    <n v="10"/>
    <n v="10"/>
    <n v="1"/>
    <x v="2"/>
    <n v="2"/>
    <x v="0"/>
    <n v="2"/>
    <x v="3"/>
    <n v="4"/>
    <s v="Master"/>
    <s v="Medium"/>
    <s v="Low"/>
    <s v="Best"/>
  </r>
  <r>
    <n v="35"/>
    <s v="No"/>
    <s v="Travel_Rarely"/>
    <s v="Sales"/>
    <n v="7"/>
    <n v="1"/>
    <s v="Life Sciences"/>
    <n v="1492"/>
    <n v="4"/>
    <s v="Male"/>
    <n v="3"/>
    <n v="1"/>
    <s v="Sales Representative"/>
    <n v="3"/>
    <s v="Married"/>
    <n v="2404"/>
    <n v="1"/>
    <x v="1"/>
    <n v="13"/>
    <n v="3"/>
    <n v="1"/>
    <n v="1"/>
    <n v="1"/>
    <n v="3"/>
    <n v="3"/>
    <n v="1"/>
    <n v="0"/>
    <n v="0"/>
    <n v="0"/>
    <n v="0"/>
    <x v="2"/>
    <n v="2"/>
    <x v="1"/>
    <n v="1"/>
    <x v="1"/>
    <n v="1"/>
    <s v="Below College"/>
    <s v="High"/>
    <s v="Very High"/>
    <s v="Better"/>
  </r>
  <r>
    <n v="24"/>
    <s v="Yes"/>
    <s v="Travel_Frequently"/>
    <s v="Research &amp; Development"/>
    <n v="9"/>
    <n v="3"/>
    <s v="Medical"/>
    <n v="1494"/>
    <n v="2"/>
    <s v="Male"/>
    <n v="3"/>
    <n v="1"/>
    <s v="Laboratory Technician"/>
    <n v="1"/>
    <s v="Single"/>
    <n v="3172"/>
    <n v="2"/>
    <x v="0"/>
    <n v="11"/>
    <n v="3"/>
    <n v="3"/>
    <n v="0"/>
    <n v="4"/>
    <n v="2"/>
    <n v="2"/>
    <n v="0"/>
    <n v="0"/>
    <n v="0"/>
    <n v="0"/>
    <n v="1"/>
    <x v="4"/>
    <n v="1"/>
    <x v="0"/>
    <n v="2"/>
    <x v="1"/>
    <n v="1"/>
    <s v="Bachelor"/>
    <s v="Low"/>
    <s v="Medium"/>
    <s v="Good"/>
  </r>
  <r>
    <n v="24"/>
    <s v="No"/>
    <s v="Non-Travel"/>
    <s v="Sales"/>
    <n v="13"/>
    <n v="2"/>
    <s v="Life Sciences"/>
    <n v="1495"/>
    <n v="4"/>
    <s v="Female"/>
    <n v="3"/>
    <n v="1"/>
    <s v="Sales Representative"/>
    <n v="2"/>
    <s v="Married"/>
    <n v="2033"/>
    <n v="1"/>
    <x v="1"/>
    <n v="13"/>
    <n v="3"/>
    <n v="3"/>
    <n v="1"/>
    <n v="1"/>
    <n v="2"/>
    <n v="3"/>
    <n v="1"/>
    <n v="0"/>
    <n v="0"/>
    <n v="0"/>
    <n v="0"/>
    <x v="4"/>
    <n v="1"/>
    <x v="1"/>
    <n v="1"/>
    <x v="1"/>
    <n v="1"/>
    <s v="College"/>
    <s v="Medium"/>
    <s v="Very High"/>
    <s v="Better"/>
  </r>
  <r>
    <n v="44"/>
    <s v="No"/>
    <s v="Travel_Frequently"/>
    <s v="Research &amp; Development"/>
    <n v="2"/>
    <n v="1"/>
    <s v="Medical"/>
    <n v="1496"/>
    <n v="2"/>
    <s v="Male"/>
    <n v="3"/>
    <n v="3"/>
    <s v="Manufacturing Director"/>
    <n v="3"/>
    <s v="Single"/>
    <n v="10209"/>
    <n v="5"/>
    <x v="0"/>
    <n v="18"/>
    <n v="3"/>
    <n v="2"/>
    <n v="0"/>
    <n v="16"/>
    <n v="2"/>
    <n v="2"/>
    <n v="2"/>
    <n v="2"/>
    <n v="2"/>
    <n v="2"/>
    <n v="0"/>
    <x v="0"/>
    <n v="3"/>
    <x v="3"/>
    <n v="4"/>
    <x v="1"/>
    <n v="1"/>
    <s v="Below College"/>
    <s v="High"/>
    <s v="Medium"/>
    <s v="Good"/>
  </r>
  <r>
    <n v="29"/>
    <s v="No"/>
    <s v="Travel_Rarely"/>
    <s v="Sales"/>
    <n v="19"/>
    <n v="3"/>
    <s v="Life Sciences"/>
    <n v="1497"/>
    <n v="3"/>
    <s v="Male"/>
    <n v="2"/>
    <n v="2"/>
    <s v="Sales Executive"/>
    <n v="3"/>
    <s v="Divorced"/>
    <n v="8620"/>
    <n v="1"/>
    <x v="1"/>
    <n v="14"/>
    <n v="3"/>
    <n v="3"/>
    <n v="2"/>
    <n v="10"/>
    <n v="3"/>
    <n v="3"/>
    <n v="10"/>
    <n v="7"/>
    <n v="0"/>
    <n v="4"/>
    <n v="0"/>
    <x v="2"/>
    <n v="2"/>
    <x v="2"/>
    <n v="3"/>
    <x v="0"/>
    <n v="3"/>
    <s v="Bachelor"/>
    <s v="High"/>
    <s v="High"/>
    <s v="Better"/>
  </r>
  <r>
    <n v="30"/>
    <s v="No"/>
    <s v="Travel_Rarely"/>
    <s v="Human Resources"/>
    <n v="1"/>
    <n v="3"/>
    <s v="Life Sciences"/>
    <n v="1499"/>
    <n v="3"/>
    <s v="Male"/>
    <n v="3"/>
    <n v="1"/>
    <s v="Human Resources"/>
    <n v="3"/>
    <s v="Divorced"/>
    <n v="2064"/>
    <n v="0"/>
    <x v="1"/>
    <n v="21"/>
    <n v="4"/>
    <n v="1"/>
    <n v="1"/>
    <n v="6"/>
    <n v="3"/>
    <n v="4"/>
    <n v="5"/>
    <n v="3"/>
    <n v="1"/>
    <n v="3"/>
    <n v="0"/>
    <x v="2"/>
    <n v="2"/>
    <x v="1"/>
    <n v="1"/>
    <x v="2"/>
    <n v="2"/>
    <s v="Bachelor"/>
    <s v="High"/>
    <s v="High"/>
    <s v="Best"/>
  </r>
  <r>
    <n v="55"/>
    <s v="No"/>
    <s v="Travel_Rarely"/>
    <s v="Research &amp; Development"/>
    <n v="4"/>
    <n v="4"/>
    <s v="Life Sciences"/>
    <n v="1501"/>
    <n v="4"/>
    <s v="Male"/>
    <n v="3"/>
    <n v="2"/>
    <s v="Healthcare Representative"/>
    <n v="3"/>
    <s v="Married"/>
    <n v="4035"/>
    <n v="0"/>
    <x v="0"/>
    <n v="16"/>
    <n v="3"/>
    <n v="2"/>
    <n v="0"/>
    <n v="4"/>
    <n v="2"/>
    <n v="3"/>
    <n v="3"/>
    <n v="2"/>
    <n v="1"/>
    <n v="2"/>
    <n v="0"/>
    <x v="1"/>
    <n v="4"/>
    <x v="0"/>
    <n v="2"/>
    <x v="2"/>
    <n v="2"/>
    <s v="Master"/>
    <s v="High"/>
    <s v="Very High"/>
    <s v="Better"/>
  </r>
  <r>
    <n v="33"/>
    <s v="No"/>
    <s v="Travel_Rarely"/>
    <s v="Research &amp; Development"/>
    <n v="4"/>
    <n v="4"/>
    <s v="Medical"/>
    <n v="1502"/>
    <n v="1"/>
    <s v="Female"/>
    <n v="2"/>
    <n v="1"/>
    <s v="Laboratory Technician"/>
    <n v="2"/>
    <s v="Married"/>
    <n v="3838"/>
    <n v="8"/>
    <x v="1"/>
    <n v="11"/>
    <n v="3"/>
    <n v="4"/>
    <n v="0"/>
    <n v="8"/>
    <n v="5"/>
    <n v="3"/>
    <n v="5"/>
    <n v="4"/>
    <n v="0"/>
    <n v="2"/>
    <n v="0"/>
    <x v="2"/>
    <n v="2"/>
    <x v="0"/>
    <n v="2"/>
    <x v="2"/>
    <n v="2"/>
    <s v="Master"/>
    <s v="Medium"/>
    <s v="Low"/>
    <s v="Better"/>
  </r>
  <r>
    <n v="47"/>
    <s v="No"/>
    <s v="Travel_Rarely"/>
    <s v="Sales"/>
    <n v="14"/>
    <n v="3"/>
    <s v="Medical"/>
    <n v="1503"/>
    <n v="3"/>
    <s v="Female"/>
    <n v="3"/>
    <n v="2"/>
    <s v="Sales Executive"/>
    <n v="3"/>
    <s v="Married"/>
    <n v="4591"/>
    <n v="3"/>
    <x v="0"/>
    <n v="17"/>
    <n v="3"/>
    <n v="3"/>
    <n v="1"/>
    <n v="11"/>
    <n v="4"/>
    <n v="2"/>
    <n v="5"/>
    <n v="4"/>
    <n v="1"/>
    <n v="2"/>
    <n v="0"/>
    <x v="1"/>
    <n v="4"/>
    <x v="0"/>
    <n v="2"/>
    <x v="2"/>
    <n v="2"/>
    <s v="Bachelor"/>
    <s v="High"/>
    <s v="High"/>
    <s v="Good"/>
  </r>
  <r>
    <n v="28"/>
    <s v="Yes"/>
    <s v="Travel_Frequently"/>
    <s v="Research &amp; Development"/>
    <n v="2"/>
    <n v="2"/>
    <s v="Medical"/>
    <n v="1504"/>
    <n v="3"/>
    <s v="Male"/>
    <n v="2"/>
    <n v="1"/>
    <s v="Laboratory Technician"/>
    <n v="1"/>
    <s v="Single"/>
    <n v="2561"/>
    <n v="7"/>
    <x v="1"/>
    <n v="11"/>
    <n v="3"/>
    <n v="3"/>
    <n v="0"/>
    <n v="8"/>
    <n v="2"/>
    <n v="2"/>
    <n v="0"/>
    <n v="0"/>
    <n v="0"/>
    <n v="0"/>
    <n v="1"/>
    <x v="2"/>
    <n v="2"/>
    <x v="1"/>
    <n v="1"/>
    <x v="1"/>
    <n v="1"/>
    <s v="College"/>
    <s v="Low"/>
    <s v="High"/>
    <s v="Good"/>
  </r>
  <r>
    <n v="28"/>
    <s v="No"/>
    <s v="Travel_Rarely"/>
    <s v="Research &amp; Development"/>
    <n v="1"/>
    <n v="3"/>
    <s v="Life Sciences"/>
    <n v="1506"/>
    <n v="1"/>
    <s v="Male"/>
    <n v="2"/>
    <n v="1"/>
    <s v="Research Scientist"/>
    <n v="3"/>
    <s v="Divorced"/>
    <n v="1563"/>
    <n v="1"/>
    <x v="1"/>
    <n v="14"/>
    <n v="3"/>
    <n v="4"/>
    <n v="1"/>
    <n v="1"/>
    <n v="2"/>
    <n v="1"/>
    <n v="1"/>
    <n v="0"/>
    <n v="0"/>
    <n v="0"/>
    <n v="0"/>
    <x v="2"/>
    <n v="2"/>
    <x v="1"/>
    <n v="1"/>
    <x v="1"/>
    <n v="1"/>
    <s v="Bachelor"/>
    <s v="High"/>
    <s v="Low"/>
    <s v="Bad"/>
  </r>
  <r>
    <n v="28"/>
    <s v="No"/>
    <s v="Travel_Frequently"/>
    <s v="Sales"/>
    <n v="7"/>
    <n v="3"/>
    <s v="Life Sciences"/>
    <n v="1507"/>
    <n v="3"/>
    <s v="Male"/>
    <n v="3"/>
    <n v="2"/>
    <s v="Sales Executive"/>
    <n v="1"/>
    <s v="Single"/>
    <n v="4898"/>
    <n v="0"/>
    <x v="1"/>
    <n v="14"/>
    <n v="3"/>
    <n v="4"/>
    <n v="0"/>
    <n v="5"/>
    <n v="5"/>
    <n v="3"/>
    <n v="4"/>
    <n v="2"/>
    <n v="1"/>
    <n v="3"/>
    <n v="0"/>
    <x v="2"/>
    <n v="2"/>
    <x v="0"/>
    <n v="2"/>
    <x v="2"/>
    <n v="2"/>
    <s v="Bachelor"/>
    <s v="Low"/>
    <s v="High"/>
    <s v="Better"/>
  </r>
  <r>
    <n v="49"/>
    <s v="No"/>
    <s v="Travel_Rarely"/>
    <s v="Research &amp; Development"/>
    <n v="3"/>
    <n v="2"/>
    <s v="Medical"/>
    <n v="1509"/>
    <n v="3"/>
    <s v="Female"/>
    <n v="2"/>
    <n v="2"/>
    <s v="Laboratory Technician"/>
    <n v="1"/>
    <s v="Married"/>
    <n v="4789"/>
    <n v="4"/>
    <x v="1"/>
    <n v="25"/>
    <n v="4"/>
    <n v="1"/>
    <n v="1"/>
    <n v="10"/>
    <n v="3"/>
    <n v="3"/>
    <n v="3"/>
    <n v="2"/>
    <n v="1"/>
    <n v="2"/>
    <n v="0"/>
    <x v="1"/>
    <n v="4"/>
    <x v="0"/>
    <n v="2"/>
    <x v="2"/>
    <n v="2"/>
    <s v="College"/>
    <s v="Low"/>
    <s v="High"/>
    <s v="Better"/>
  </r>
  <r>
    <n v="29"/>
    <s v="No"/>
    <s v="Travel_Frequently"/>
    <s v="Research &amp; Development"/>
    <n v="2"/>
    <n v="1"/>
    <s v="Life Sciences"/>
    <n v="1513"/>
    <n v="4"/>
    <s v="Female"/>
    <n v="3"/>
    <n v="1"/>
    <s v="Laboratory Technician"/>
    <n v="2"/>
    <s v="Married"/>
    <n v="3180"/>
    <n v="0"/>
    <x v="1"/>
    <n v="13"/>
    <n v="3"/>
    <n v="3"/>
    <n v="3"/>
    <n v="4"/>
    <n v="3"/>
    <n v="3"/>
    <n v="3"/>
    <n v="2"/>
    <n v="0"/>
    <n v="2"/>
    <n v="0"/>
    <x v="2"/>
    <n v="2"/>
    <x v="0"/>
    <n v="2"/>
    <x v="2"/>
    <n v="2"/>
    <s v="Below College"/>
    <s v="Medium"/>
    <s v="Very High"/>
    <s v="Better"/>
  </r>
  <r>
    <n v="28"/>
    <s v="No"/>
    <s v="Travel_Rarely"/>
    <s v="Research &amp; Development"/>
    <n v="29"/>
    <n v="1"/>
    <s v="Life Sciences"/>
    <n v="1514"/>
    <n v="3"/>
    <s v="Male"/>
    <n v="1"/>
    <n v="2"/>
    <s v="Manufacturing Director"/>
    <n v="2"/>
    <s v="Married"/>
    <n v="6549"/>
    <n v="1"/>
    <x v="1"/>
    <n v="14"/>
    <n v="3"/>
    <n v="2"/>
    <n v="2"/>
    <n v="8"/>
    <n v="2"/>
    <n v="2"/>
    <n v="8"/>
    <n v="6"/>
    <n v="1"/>
    <n v="7"/>
    <n v="0"/>
    <x v="2"/>
    <n v="2"/>
    <x v="2"/>
    <n v="3"/>
    <x v="0"/>
    <n v="3"/>
    <s v="Below College"/>
    <s v="Medium"/>
    <s v="High"/>
    <s v="Good"/>
  </r>
  <r>
    <n v="33"/>
    <s v="No"/>
    <s v="Travel_Rarely"/>
    <s v="Research &amp; Development"/>
    <n v="8"/>
    <n v="5"/>
    <s v="Life Sciences"/>
    <n v="1515"/>
    <n v="4"/>
    <s v="Male"/>
    <n v="3"/>
    <n v="2"/>
    <s v="Healthcare Representative"/>
    <n v="3"/>
    <s v="Single"/>
    <n v="6388"/>
    <n v="2"/>
    <x v="0"/>
    <n v="17"/>
    <n v="3"/>
    <n v="1"/>
    <n v="0"/>
    <n v="14"/>
    <n v="6"/>
    <n v="3"/>
    <n v="0"/>
    <n v="0"/>
    <n v="0"/>
    <n v="0"/>
    <n v="0"/>
    <x v="2"/>
    <n v="2"/>
    <x v="2"/>
    <n v="3"/>
    <x v="1"/>
    <n v="1"/>
    <s v="Doctor"/>
    <s v="High"/>
    <s v="Very High"/>
    <s v="Better"/>
  </r>
  <r>
    <n v="32"/>
    <s v="No"/>
    <s v="Travel_Rarely"/>
    <s v="Research &amp; Development"/>
    <n v="10"/>
    <n v="3"/>
    <s v="Medical"/>
    <n v="1516"/>
    <n v="3"/>
    <s v="Male"/>
    <n v="3"/>
    <n v="3"/>
    <s v="Manager"/>
    <n v="4"/>
    <s v="Single"/>
    <n v="11244"/>
    <n v="2"/>
    <x v="1"/>
    <n v="25"/>
    <n v="4"/>
    <n v="2"/>
    <n v="0"/>
    <n v="10"/>
    <n v="5"/>
    <n v="4"/>
    <n v="5"/>
    <n v="2"/>
    <n v="0"/>
    <n v="0"/>
    <n v="0"/>
    <x v="2"/>
    <n v="2"/>
    <x v="3"/>
    <n v="4"/>
    <x v="2"/>
    <n v="2"/>
    <s v="Bachelor"/>
    <s v="Very High"/>
    <s v="High"/>
    <s v="Best"/>
  </r>
  <r>
    <n v="54"/>
    <s v="No"/>
    <s v="Travel_Frequently"/>
    <s v="Research &amp; Development"/>
    <n v="11"/>
    <n v="4"/>
    <s v="Medical"/>
    <n v="1520"/>
    <n v="2"/>
    <s v="Female"/>
    <n v="3"/>
    <n v="4"/>
    <s v="Manager"/>
    <n v="4"/>
    <s v="Divorced"/>
    <n v="16032"/>
    <n v="3"/>
    <x v="1"/>
    <n v="20"/>
    <n v="4"/>
    <n v="1"/>
    <n v="1"/>
    <n v="26"/>
    <n v="2"/>
    <n v="3"/>
    <n v="14"/>
    <n v="9"/>
    <n v="1"/>
    <n v="12"/>
    <n v="0"/>
    <x v="1"/>
    <n v="4"/>
    <x v="3"/>
    <n v="4"/>
    <x v="3"/>
    <n v="4"/>
    <s v="Master"/>
    <s v="Very High"/>
    <s v="Medium"/>
    <s v="Better"/>
  </r>
  <r>
    <n v="29"/>
    <s v="Yes"/>
    <s v="Travel_Rarely"/>
    <s v="Research &amp; Development"/>
    <n v="1"/>
    <n v="4"/>
    <s v="Technical Degree"/>
    <n v="1522"/>
    <n v="1"/>
    <s v="Male"/>
    <n v="2"/>
    <n v="1"/>
    <s v="Research Scientist"/>
    <n v="1"/>
    <s v="Single"/>
    <n v="2362"/>
    <n v="6"/>
    <x v="1"/>
    <n v="13"/>
    <n v="3"/>
    <n v="3"/>
    <n v="0"/>
    <n v="11"/>
    <n v="2"/>
    <n v="1"/>
    <n v="9"/>
    <n v="7"/>
    <n v="0"/>
    <n v="7"/>
    <n v="1"/>
    <x v="2"/>
    <n v="2"/>
    <x v="1"/>
    <n v="1"/>
    <x v="0"/>
    <n v="3"/>
    <s v="Master"/>
    <s v="Low"/>
    <s v="Low"/>
    <s v="Bad"/>
  </r>
  <r>
    <n v="44"/>
    <s v="No"/>
    <s v="Travel_Rarely"/>
    <s v="Research &amp; Development"/>
    <n v="28"/>
    <n v="3"/>
    <s v="Life Sciences"/>
    <n v="1523"/>
    <n v="4"/>
    <s v="Male"/>
    <n v="3"/>
    <n v="4"/>
    <s v="Research Director"/>
    <n v="1"/>
    <s v="Married"/>
    <n v="16328"/>
    <n v="3"/>
    <x v="1"/>
    <n v="13"/>
    <n v="3"/>
    <n v="3"/>
    <n v="1"/>
    <n v="24"/>
    <n v="1"/>
    <n v="4"/>
    <n v="20"/>
    <n v="6"/>
    <n v="14"/>
    <n v="17"/>
    <n v="0"/>
    <x v="0"/>
    <n v="3"/>
    <x v="3"/>
    <n v="4"/>
    <x v="3"/>
    <n v="4"/>
    <s v="Bachelor"/>
    <s v="Low"/>
    <s v="Very High"/>
    <s v="Best"/>
  </r>
  <r>
    <n v="39"/>
    <s v="No"/>
    <s v="Travel_Rarely"/>
    <s v="Research &amp; Development"/>
    <n v="6"/>
    <n v="3"/>
    <s v="Life Sciences"/>
    <n v="1525"/>
    <n v="2"/>
    <s v="Female"/>
    <n v="3"/>
    <n v="3"/>
    <s v="Manufacturing Director"/>
    <n v="2"/>
    <s v="Single"/>
    <n v="8376"/>
    <n v="4"/>
    <x v="1"/>
    <n v="18"/>
    <n v="3"/>
    <n v="4"/>
    <n v="0"/>
    <n v="9"/>
    <n v="3"/>
    <n v="3"/>
    <n v="2"/>
    <n v="0"/>
    <n v="2"/>
    <n v="2"/>
    <n v="0"/>
    <x v="0"/>
    <n v="3"/>
    <x v="2"/>
    <n v="3"/>
    <x v="1"/>
    <n v="1"/>
    <s v="Bachelor"/>
    <s v="Medium"/>
    <s v="Medium"/>
    <s v="Better"/>
  </r>
  <r>
    <n v="46"/>
    <s v="No"/>
    <s v="Travel_Rarely"/>
    <s v="Sales"/>
    <n v="3"/>
    <n v="3"/>
    <s v="Life Sciences"/>
    <n v="1527"/>
    <n v="3"/>
    <s v="Female"/>
    <n v="3"/>
    <n v="4"/>
    <s v="Manager"/>
    <n v="2"/>
    <s v="Married"/>
    <n v="16606"/>
    <n v="8"/>
    <x v="1"/>
    <n v="12"/>
    <n v="3"/>
    <n v="4"/>
    <n v="1"/>
    <n v="23"/>
    <n v="2"/>
    <n v="4"/>
    <n v="13"/>
    <n v="12"/>
    <n v="5"/>
    <n v="1"/>
    <n v="0"/>
    <x v="1"/>
    <n v="4"/>
    <x v="3"/>
    <n v="4"/>
    <x v="3"/>
    <n v="4"/>
    <s v="Bachelor"/>
    <s v="Medium"/>
    <s v="High"/>
    <s v="Best"/>
  </r>
  <r>
    <n v="35"/>
    <s v="No"/>
    <s v="Travel_Rarely"/>
    <s v="Research &amp; Development"/>
    <n v="16"/>
    <n v="3"/>
    <s v="Life Sciences"/>
    <n v="1529"/>
    <n v="4"/>
    <s v="Female"/>
    <n v="2"/>
    <n v="3"/>
    <s v="Healthcare Representative"/>
    <n v="2"/>
    <s v="Single"/>
    <n v="8606"/>
    <n v="1"/>
    <x v="1"/>
    <n v="19"/>
    <n v="3"/>
    <n v="4"/>
    <n v="0"/>
    <n v="11"/>
    <n v="3"/>
    <n v="1"/>
    <n v="11"/>
    <n v="8"/>
    <n v="3"/>
    <n v="3"/>
    <n v="0"/>
    <x v="2"/>
    <n v="2"/>
    <x v="2"/>
    <n v="3"/>
    <x v="3"/>
    <n v="4"/>
    <s v="Bachelor"/>
    <s v="Medium"/>
    <s v="Very High"/>
    <s v="Bad"/>
  </r>
  <r>
    <n v="23"/>
    <s v="No"/>
    <s v="Travel_Rarely"/>
    <s v="Research &amp; Development"/>
    <n v="20"/>
    <n v="1"/>
    <s v="Life Sciences"/>
    <n v="1533"/>
    <n v="1"/>
    <s v="Male"/>
    <n v="3"/>
    <n v="2"/>
    <s v="Laboratory Technician"/>
    <n v="3"/>
    <s v="Single"/>
    <n v="2272"/>
    <n v="0"/>
    <x v="1"/>
    <n v="14"/>
    <n v="3"/>
    <n v="2"/>
    <n v="0"/>
    <n v="5"/>
    <n v="2"/>
    <n v="3"/>
    <n v="4"/>
    <n v="3"/>
    <n v="1"/>
    <n v="2"/>
    <n v="0"/>
    <x v="4"/>
    <n v="1"/>
    <x v="1"/>
    <n v="1"/>
    <x v="2"/>
    <n v="2"/>
    <s v="Below College"/>
    <s v="High"/>
    <s v="Low"/>
    <s v="Better"/>
  </r>
  <r>
    <n v="40"/>
    <s v="Yes"/>
    <s v="Travel_Rarely"/>
    <s v="Research &amp; Development"/>
    <n v="9"/>
    <n v="4"/>
    <s v="Life Sciences"/>
    <n v="1534"/>
    <n v="4"/>
    <s v="Male"/>
    <n v="3"/>
    <n v="1"/>
    <s v="Laboratory Technician"/>
    <n v="1"/>
    <s v="Single"/>
    <n v="2018"/>
    <n v="3"/>
    <x v="1"/>
    <n v="14"/>
    <n v="3"/>
    <n v="2"/>
    <n v="0"/>
    <n v="15"/>
    <n v="3"/>
    <n v="1"/>
    <n v="5"/>
    <n v="4"/>
    <n v="1"/>
    <n v="0"/>
    <n v="1"/>
    <x v="0"/>
    <n v="3"/>
    <x v="1"/>
    <n v="1"/>
    <x v="2"/>
    <n v="2"/>
    <s v="Master"/>
    <s v="Low"/>
    <s v="Very High"/>
    <s v="Bad"/>
  </r>
  <r>
    <n v="34"/>
    <s v="No"/>
    <s v="Travel_Rarely"/>
    <s v="Sales"/>
    <n v="1"/>
    <n v="3"/>
    <s v="Technical Degree"/>
    <n v="1535"/>
    <n v="4"/>
    <s v="Male"/>
    <n v="2"/>
    <n v="3"/>
    <s v="Sales Executive"/>
    <n v="3"/>
    <s v="Married"/>
    <n v="7083"/>
    <n v="1"/>
    <x v="0"/>
    <n v="14"/>
    <n v="3"/>
    <n v="4"/>
    <n v="0"/>
    <n v="10"/>
    <n v="3"/>
    <n v="3"/>
    <n v="10"/>
    <n v="9"/>
    <n v="8"/>
    <n v="6"/>
    <n v="0"/>
    <x v="2"/>
    <n v="2"/>
    <x v="2"/>
    <n v="3"/>
    <x v="0"/>
    <n v="3"/>
    <s v="Bachelor"/>
    <s v="High"/>
    <s v="Very High"/>
    <s v="Better"/>
  </r>
  <r>
    <n v="31"/>
    <s v="Yes"/>
    <s v="Travel_Frequently"/>
    <s v="Research &amp; Development"/>
    <n v="3"/>
    <n v="3"/>
    <s v="Life Sciences"/>
    <n v="1537"/>
    <n v="4"/>
    <s v="Female"/>
    <n v="3"/>
    <n v="1"/>
    <s v="Research Scientist"/>
    <n v="3"/>
    <s v="Single"/>
    <n v="4084"/>
    <n v="1"/>
    <x v="1"/>
    <n v="12"/>
    <n v="3"/>
    <n v="1"/>
    <n v="0"/>
    <n v="7"/>
    <n v="2"/>
    <n v="1"/>
    <n v="7"/>
    <n v="2"/>
    <n v="7"/>
    <n v="7"/>
    <n v="1"/>
    <x v="2"/>
    <n v="2"/>
    <x v="0"/>
    <n v="2"/>
    <x v="0"/>
    <n v="3"/>
    <s v="Bachelor"/>
    <s v="High"/>
    <s v="Very High"/>
    <s v="Bad"/>
  </r>
  <r>
    <n v="50"/>
    <s v="No"/>
    <s v="Travel_Frequently"/>
    <s v="Research &amp; Development"/>
    <n v="22"/>
    <n v="5"/>
    <s v="Medical"/>
    <n v="1539"/>
    <n v="3"/>
    <s v="Male"/>
    <n v="1"/>
    <n v="4"/>
    <s v="Research Director"/>
    <n v="4"/>
    <s v="Single"/>
    <n v="14411"/>
    <n v="1"/>
    <x v="0"/>
    <n v="13"/>
    <n v="3"/>
    <n v="4"/>
    <n v="0"/>
    <n v="32"/>
    <n v="2"/>
    <n v="3"/>
    <n v="32"/>
    <n v="6"/>
    <n v="13"/>
    <n v="9"/>
    <n v="0"/>
    <x v="1"/>
    <n v="4"/>
    <x v="3"/>
    <n v="4"/>
    <x v="3"/>
    <n v="4"/>
    <s v="Doctor"/>
    <s v="Very High"/>
    <s v="High"/>
    <s v="Better"/>
  </r>
  <r>
    <n v="34"/>
    <s v="No"/>
    <s v="Travel_Rarely"/>
    <s v="Sales"/>
    <n v="7"/>
    <n v="2"/>
    <s v="Technical Degree"/>
    <n v="1541"/>
    <n v="2"/>
    <s v="Male"/>
    <n v="3"/>
    <n v="1"/>
    <s v="Sales Representative"/>
    <n v="3"/>
    <s v="Married"/>
    <n v="2308"/>
    <n v="0"/>
    <x v="0"/>
    <n v="25"/>
    <n v="4"/>
    <n v="2"/>
    <n v="1"/>
    <n v="12"/>
    <n v="4"/>
    <n v="3"/>
    <n v="11"/>
    <n v="10"/>
    <n v="5"/>
    <n v="7"/>
    <n v="0"/>
    <x v="2"/>
    <n v="2"/>
    <x v="1"/>
    <n v="1"/>
    <x v="3"/>
    <n v="4"/>
    <s v="College"/>
    <s v="High"/>
    <s v="Medium"/>
    <s v="Better"/>
  </r>
  <r>
    <n v="42"/>
    <s v="No"/>
    <s v="Travel_Rarely"/>
    <s v="Research &amp; Development"/>
    <n v="2"/>
    <n v="3"/>
    <s v="Medical"/>
    <n v="1542"/>
    <n v="3"/>
    <s v="Male"/>
    <n v="2"/>
    <n v="1"/>
    <s v="Laboratory Technician"/>
    <n v="2"/>
    <s v="Married"/>
    <n v="4841"/>
    <n v="4"/>
    <x v="1"/>
    <n v="14"/>
    <n v="3"/>
    <n v="2"/>
    <n v="1"/>
    <n v="4"/>
    <n v="3"/>
    <n v="3"/>
    <n v="1"/>
    <n v="0"/>
    <n v="0"/>
    <n v="0"/>
    <n v="0"/>
    <x v="0"/>
    <n v="3"/>
    <x v="0"/>
    <n v="2"/>
    <x v="1"/>
    <n v="1"/>
    <s v="Bachelor"/>
    <s v="Medium"/>
    <s v="High"/>
    <s v="Better"/>
  </r>
  <r>
    <n v="37"/>
    <s v="No"/>
    <s v="Travel_Rarely"/>
    <s v="Research &amp; Development"/>
    <n v="13"/>
    <n v="3"/>
    <s v="Medical"/>
    <n v="1543"/>
    <n v="1"/>
    <s v="Male"/>
    <n v="3"/>
    <n v="2"/>
    <s v="Research Scientist"/>
    <n v="4"/>
    <s v="Married"/>
    <n v="4285"/>
    <n v="1"/>
    <x v="1"/>
    <n v="17"/>
    <n v="3"/>
    <n v="1"/>
    <n v="0"/>
    <n v="10"/>
    <n v="2"/>
    <n v="3"/>
    <n v="10"/>
    <n v="8"/>
    <n v="3"/>
    <n v="7"/>
    <n v="0"/>
    <x v="0"/>
    <n v="3"/>
    <x v="0"/>
    <n v="2"/>
    <x v="0"/>
    <n v="3"/>
    <s v="Bachelor"/>
    <s v="Very High"/>
    <s v="Low"/>
    <s v="Better"/>
  </r>
  <r>
    <n v="29"/>
    <s v="No"/>
    <s v="Travel_Rarely"/>
    <s v="Research &amp; Development"/>
    <n v="8"/>
    <n v="1"/>
    <s v="Other"/>
    <n v="1544"/>
    <n v="3"/>
    <s v="Female"/>
    <n v="1"/>
    <n v="2"/>
    <s v="Healthcare Representative"/>
    <n v="1"/>
    <s v="Married"/>
    <n v="9715"/>
    <n v="3"/>
    <x v="1"/>
    <n v="13"/>
    <n v="3"/>
    <n v="3"/>
    <n v="1"/>
    <n v="9"/>
    <n v="3"/>
    <n v="3"/>
    <n v="7"/>
    <n v="7"/>
    <n v="0"/>
    <n v="7"/>
    <n v="0"/>
    <x v="2"/>
    <n v="2"/>
    <x v="2"/>
    <n v="3"/>
    <x v="0"/>
    <n v="3"/>
    <s v="Below College"/>
    <s v="Low"/>
    <s v="High"/>
    <s v="Better"/>
  </r>
  <r>
    <n v="33"/>
    <s v="No"/>
    <s v="Travel_Rarely"/>
    <s v="Research &amp; Development"/>
    <n v="25"/>
    <n v="3"/>
    <s v="Life Sciences"/>
    <n v="1545"/>
    <n v="4"/>
    <s v="Male"/>
    <n v="2"/>
    <n v="2"/>
    <s v="Manufacturing Director"/>
    <n v="2"/>
    <s v="Single"/>
    <n v="4320"/>
    <n v="1"/>
    <x v="1"/>
    <n v="13"/>
    <n v="3"/>
    <n v="4"/>
    <n v="0"/>
    <n v="5"/>
    <n v="2"/>
    <n v="3"/>
    <n v="5"/>
    <n v="3"/>
    <n v="0"/>
    <n v="2"/>
    <n v="0"/>
    <x v="2"/>
    <n v="2"/>
    <x v="0"/>
    <n v="2"/>
    <x v="2"/>
    <n v="2"/>
    <s v="Bachelor"/>
    <s v="Medium"/>
    <s v="Very High"/>
    <s v="Better"/>
  </r>
  <r>
    <n v="45"/>
    <s v="No"/>
    <s v="Travel_Rarely"/>
    <s v="Research &amp; Development"/>
    <n v="28"/>
    <n v="3"/>
    <s v="Technical Degree"/>
    <n v="1546"/>
    <n v="4"/>
    <s v="Male"/>
    <n v="3"/>
    <n v="1"/>
    <s v="Research Scientist"/>
    <n v="4"/>
    <s v="Married"/>
    <n v="2132"/>
    <n v="4"/>
    <x v="1"/>
    <n v="20"/>
    <n v="4"/>
    <n v="4"/>
    <n v="1"/>
    <n v="8"/>
    <n v="3"/>
    <n v="3"/>
    <n v="5"/>
    <n v="4"/>
    <n v="0"/>
    <n v="3"/>
    <n v="0"/>
    <x v="0"/>
    <n v="3"/>
    <x v="1"/>
    <n v="1"/>
    <x v="2"/>
    <n v="2"/>
    <s v="Bachelor"/>
    <s v="Very High"/>
    <s v="Very High"/>
    <s v="Better"/>
  </r>
  <r>
    <n v="42"/>
    <s v="No"/>
    <s v="Travel_Frequently"/>
    <s v="Research &amp; Development"/>
    <n v="2"/>
    <n v="3"/>
    <s v="Life Sciences"/>
    <n v="1547"/>
    <n v="4"/>
    <s v="Male"/>
    <n v="3"/>
    <n v="3"/>
    <s v="Healthcare Representative"/>
    <n v="4"/>
    <s v="Married"/>
    <n v="10124"/>
    <n v="2"/>
    <x v="0"/>
    <n v="14"/>
    <n v="3"/>
    <n v="3"/>
    <n v="1"/>
    <n v="24"/>
    <n v="3"/>
    <n v="1"/>
    <n v="20"/>
    <n v="8"/>
    <n v="13"/>
    <n v="9"/>
    <n v="0"/>
    <x v="0"/>
    <n v="3"/>
    <x v="3"/>
    <n v="4"/>
    <x v="3"/>
    <n v="4"/>
    <s v="Bachelor"/>
    <s v="Very High"/>
    <s v="Very High"/>
    <s v="Bad"/>
  </r>
  <r>
    <n v="40"/>
    <s v="No"/>
    <s v="Travel_Rarely"/>
    <s v="Sales"/>
    <n v="9"/>
    <n v="2"/>
    <s v="Medical"/>
    <n v="1548"/>
    <n v="1"/>
    <s v="Male"/>
    <n v="3"/>
    <n v="2"/>
    <s v="Sales Executive"/>
    <n v="1"/>
    <s v="Married"/>
    <n v="5473"/>
    <n v="0"/>
    <x v="1"/>
    <n v="12"/>
    <n v="3"/>
    <n v="4"/>
    <n v="0"/>
    <n v="9"/>
    <n v="5"/>
    <n v="4"/>
    <n v="8"/>
    <n v="4"/>
    <n v="7"/>
    <n v="1"/>
    <n v="0"/>
    <x v="0"/>
    <n v="3"/>
    <x v="0"/>
    <n v="2"/>
    <x v="0"/>
    <n v="3"/>
    <s v="College"/>
    <s v="Low"/>
    <s v="Low"/>
    <s v="Best"/>
  </r>
  <r>
    <n v="33"/>
    <s v="No"/>
    <s v="Travel_Rarely"/>
    <s v="Research &amp; Development"/>
    <n v="28"/>
    <n v="4"/>
    <s v="Life Sciences"/>
    <n v="1549"/>
    <n v="2"/>
    <s v="Male"/>
    <n v="3"/>
    <n v="2"/>
    <s v="Laboratory Technician"/>
    <n v="3"/>
    <s v="Married"/>
    <n v="5207"/>
    <n v="1"/>
    <x v="0"/>
    <n v="12"/>
    <n v="3"/>
    <n v="2"/>
    <n v="1"/>
    <n v="15"/>
    <n v="3"/>
    <n v="3"/>
    <n v="15"/>
    <n v="14"/>
    <n v="5"/>
    <n v="7"/>
    <n v="0"/>
    <x v="2"/>
    <n v="2"/>
    <x v="0"/>
    <n v="2"/>
    <x v="3"/>
    <n v="4"/>
    <s v="Master"/>
    <s v="High"/>
    <s v="Medium"/>
    <s v="Better"/>
  </r>
  <r>
    <n v="40"/>
    <s v="No"/>
    <s v="Travel_Rarely"/>
    <s v="Human Resources"/>
    <n v="6"/>
    <n v="2"/>
    <s v="Medical"/>
    <n v="1550"/>
    <n v="3"/>
    <s v="Male"/>
    <n v="3"/>
    <n v="4"/>
    <s v="Manager"/>
    <n v="4"/>
    <s v="Single"/>
    <n v="16437"/>
    <n v="1"/>
    <x v="0"/>
    <n v="21"/>
    <n v="4"/>
    <n v="4"/>
    <n v="0"/>
    <n v="21"/>
    <n v="2"/>
    <n v="3"/>
    <n v="21"/>
    <n v="7"/>
    <n v="7"/>
    <n v="7"/>
    <n v="0"/>
    <x v="0"/>
    <n v="3"/>
    <x v="3"/>
    <n v="4"/>
    <x v="3"/>
    <n v="4"/>
    <s v="College"/>
    <s v="Very High"/>
    <s v="High"/>
    <s v="Better"/>
  </r>
  <r>
    <n v="24"/>
    <s v="No"/>
    <s v="Travel_Rarely"/>
    <s v="Research &amp; Development"/>
    <n v="21"/>
    <n v="2"/>
    <s v="Technical Degree"/>
    <n v="1551"/>
    <n v="3"/>
    <s v="Male"/>
    <n v="2"/>
    <n v="1"/>
    <s v="Laboratory Technician"/>
    <n v="1"/>
    <s v="Divorced"/>
    <n v="2296"/>
    <n v="0"/>
    <x v="1"/>
    <n v="14"/>
    <n v="3"/>
    <n v="2"/>
    <n v="3"/>
    <n v="2"/>
    <n v="3"/>
    <n v="3"/>
    <n v="1"/>
    <n v="1"/>
    <n v="0"/>
    <n v="0"/>
    <n v="0"/>
    <x v="4"/>
    <n v="1"/>
    <x v="1"/>
    <n v="1"/>
    <x v="1"/>
    <n v="1"/>
    <s v="College"/>
    <s v="Low"/>
    <s v="High"/>
    <s v="Better"/>
  </r>
  <r>
    <n v="40"/>
    <s v="No"/>
    <s v="Non-Travel"/>
    <s v="Research &amp; Development"/>
    <n v="8"/>
    <n v="2"/>
    <s v="Life Sciences"/>
    <n v="1552"/>
    <n v="4"/>
    <s v="Male"/>
    <n v="3"/>
    <n v="2"/>
    <s v="Healthcare Representative"/>
    <n v="4"/>
    <s v="Divorced"/>
    <n v="4069"/>
    <n v="3"/>
    <x v="0"/>
    <n v="18"/>
    <n v="3"/>
    <n v="3"/>
    <n v="0"/>
    <n v="8"/>
    <n v="2"/>
    <n v="3"/>
    <n v="2"/>
    <n v="2"/>
    <n v="2"/>
    <n v="2"/>
    <n v="0"/>
    <x v="0"/>
    <n v="3"/>
    <x v="0"/>
    <n v="2"/>
    <x v="1"/>
    <n v="1"/>
    <s v="College"/>
    <s v="Very High"/>
    <s v="Very High"/>
    <s v="Better"/>
  </r>
  <r>
    <n v="45"/>
    <s v="No"/>
    <s v="Travel_Rarely"/>
    <s v="Research &amp; Development"/>
    <n v="1"/>
    <n v="4"/>
    <s v="Technical Degree"/>
    <n v="1553"/>
    <n v="1"/>
    <s v="Male"/>
    <n v="3"/>
    <n v="3"/>
    <s v="Healthcare Representative"/>
    <n v="2"/>
    <s v="Divorced"/>
    <n v="7441"/>
    <n v="1"/>
    <x v="1"/>
    <n v="12"/>
    <n v="3"/>
    <n v="1"/>
    <n v="3"/>
    <n v="10"/>
    <n v="4"/>
    <n v="3"/>
    <n v="10"/>
    <n v="8"/>
    <n v="7"/>
    <n v="7"/>
    <n v="0"/>
    <x v="0"/>
    <n v="3"/>
    <x v="2"/>
    <n v="3"/>
    <x v="0"/>
    <n v="3"/>
    <s v="Master"/>
    <s v="Medium"/>
    <s v="Low"/>
    <s v="Better"/>
  </r>
  <r>
    <n v="35"/>
    <s v="No"/>
    <s v="Travel_Rarely"/>
    <s v="Sales"/>
    <n v="28"/>
    <n v="4"/>
    <s v="Life Sciences"/>
    <n v="1554"/>
    <n v="2"/>
    <s v="Female"/>
    <n v="2"/>
    <n v="1"/>
    <s v="Sales Representative"/>
    <n v="3"/>
    <s v="Married"/>
    <n v="2430"/>
    <n v="0"/>
    <x v="1"/>
    <n v="23"/>
    <n v="4"/>
    <n v="1"/>
    <n v="2"/>
    <n v="6"/>
    <n v="5"/>
    <n v="3"/>
    <n v="5"/>
    <n v="3"/>
    <n v="4"/>
    <n v="2"/>
    <n v="0"/>
    <x v="2"/>
    <n v="2"/>
    <x v="1"/>
    <n v="1"/>
    <x v="2"/>
    <n v="2"/>
    <s v="Master"/>
    <s v="High"/>
    <s v="Medium"/>
    <s v="Better"/>
  </r>
  <r>
    <n v="32"/>
    <s v="No"/>
    <s v="Travel_Rarely"/>
    <s v="Research &amp; Development"/>
    <n v="5"/>
    <n v="2"/>
    <s v="Life Sciences"/>
    <n v="1555"/>
    <n v="4"/>
    <s v="Female"/>
    <n v="2"/>
    <n v="2"/>
    <s v="Research Scientist"/>
    <n v="2"/>
    <s v="Married"/>
    <n v="5878"/>
    <n v="3"/>
    <x v="1"/>
    <n v="12"/>
    <n v="3"/>
    <n v="1"/>
    <n v="1"/>
    <n v="12"/>
    <n v="2"/>
    <n v="3"/>
    <n v="7"/>
    <n v="1"/>
    <n v="2"/>
    <n v="5"/>
    <n v="0"/>
    <x v="2"/>
    <n v="2"/>
    <x v="0"/>
    <n v="2"/>
    <x v="0"/>
    <n v="3"/>
    <s v="College"/>
    <s v="Medium"/>
    <s v="Very High"/>
    <s v="Better"/>
  </r>
  <r>
    <n v="36"/>
    <s v="No"/>
    <s v="Travel_Rarely"/>
    <s v="Sales"/>
    <n v="2"/>
    <n v="4"/>
    <s v="Life Sciences"/>
    <n v="1556"/>
    <n v="3"/>
    <s v="Male"/>
    <n v="3"/>
    <n v="1"/>
    <s v="Sales Representative"/>
    <n v="4"/>
    <s v="Single"/>
    <n v="2644"/>
    <n v="3"/>
    <x v="0"/>
    <n v="21"/>
    <n v="4"/>
    <n v="4"/>
    <n v="0"/>
    <n v="7"/>
    <n v="3"/>
    <n v="2"/>
    <n v="3"/>
    <n v="2"/>
    <n v="1"/>
    <n v="2"/>
    <n v="0"/>
    <x v="0"/>
    <n v="3"/>
    <x v="1"/>
    <n v="1"/>
    <x v="2"/>
    <n v="2"/>
    <s v="Master"/>
    <s v="Very High"/>
    <s v="High"/>
    <s v="Good"/>
  </r>
  <r>
    <n v="48"/>
    <s v="No"/>
    <s v="Travel_Rarely"/>
    <s v="Sales"/>
    <n v="16"/>
    <n v="4"/>
    <s v="Life Sciences"/>
    <n v="1557"/>
    <n v="3"/>
    <s v="Female"/>
    <n v="3"/>
    <n v="2"/>
    <s v="Sales Executive"/>
    <n v="3"/>
    <s v="Divorced"/>
    <n v="6439"/>
    <n v="8"/>
    <x v="1"/>
    <n v="14"/>
    <n v="3"/>
    <n v="3"/>
    <n v="1"/>
    <n v="18"/>
    <n v="2"/>
    <n v="3"/>
    <n v="8"/>
    <n v="7"/>
    <n v="7"/>
    <n v="7"/>
    <n v="0"/>
    <x v="1"/>
    <n v="4"/>
    <x v="2"/>
    <n v="3"/>
    <x v="0"/>
    <n v="3"/>
    <s v="Master"/>
    <s v="High"/>
    <s v="High"/>
    <s v="Better"/>
  </r>
  <r>
    <n v="29"/>
    <s v="No"/>
    <s v="Travel_Rarely"/>
    <s v="Research &amp; Development"/>
    <n v="9"/>
    <n v="3"/>
    <s v="Life Sciences"/>
    <n v="1558"/>
    <n v="3"/>
    <s v="Male"/>
    <n v="4"/>
    <n v="1"/>
    <s v="Research Scientist"/>
    <n v="3"/>
    <s v="Married"/>
    <n v="2451"/>
    <n v="6"/>
    <x v="1"/>
    <n v="18"/>
    <n v="3"/>
    <n v="1"/>
    <n v="2"/>
    <n v="5"/>
    <n v="2"/>
    <n v="2"/>
    <n v="1"/>
    <n v="0"/>
    <n v="0"/>
    <n v="0"/>
    <n v="0"/>
    <x v="2"/>
    <n v="2"/>
    <x v="1"/>
    <n v="1"/>
    <x v="1"/>
    <n v="1"/>
    <s v="Bachelor"/>
    <s v="High"/>
    <s v="High"/>
    <s v="Good"/>
  </r>
  <r>
    <n v="33"/>
    <s v="No"/>
    <s v="Travel_Rarely"/>
    <s v="Sales"/>
    <n v="8"/>
    <n v="4"/>
    <s v="Life Sciences"/>
    <n v="1560"/>
    <n v="1"/>
    <s v="Male"/>
    <n v="3"/>
    <n v="2"/>
    <s v="Sales Executive"/>
    <n v="1"/>
    <s v="Married"/>
    <n v="6392"/>
    <n v="2"/>
    <x v="1"/>
    <n v="13"/>
    <n v="3"/>
    <n v="4"/>
    <n v="1"/>
    <n v="8"/>
    <n v="6"/>
    <n v="1"/>
    <n v="2"/>
    <n v="2"/>
    <n v="2"/>
    <n v="2"/>
    <n v="0"/>
    <x v="2"/>
    <n v="2"/>
    <x v="2"/>
    <n v="3"/>
    <x v="1"/>
    <n v="1"/>
    <s v="Master"/>
    <s v="Low"/>
    <s v="Low"/>
    <s v="Bad"/>
  </r>
  <r>
    <n v="30"/>
    <s v="Yes"/>
    <s v="Travel_Rarely"/>
    <s v="Sales"/>
    <n v="1"/>
    <n v="3"/>
    <s v="Life Sciences"/>
    <n v="1562"/>
    <n v="2"/>
    <s v="Male"/>
    <n v="2"/>
    <n v="2"/>
    <s v="Sales Executive"/>
    <n v="1"/>
    <s v="Married"/>
    <n v="9714"/>
    <n v="1"/>
    <x v="1"/>
    <n v="11"/>
    <n v="3"/>
    <n v="4"/>
    <n v="1"/>
    <n v="10"/>
    <n v="4"/>
    <n v="3"/>
    <n v="10"/>
    <n v="8"/>
    <n v="6"/>
    <n v="7"/>
    <n v="1"/>
    <x v="2"/>
    <n v="2"/>
    <x v="2"/>
    <n v="3"/>
    <x v="0"/>
    <n v="3"/>
    <s v="Bachelor"/>
    <s v="Low"/>
    <s v="Medium"/>
    <s v="Better"/>
  </r>
  <r>
    <n v="38"/>
    <s v="No"/>
    <s v="Travel_Frequently"/>
    <s v="Human Resources"/>
    <n v="10"/>
    <n v="4"/>
    <s v="Human Resources"/>
    <n v="1563"/>
    <n v="3"/>
    <s v="Male"/>
    <n v="3"/>
    <n v="2"/>
    <s v="Human Resources"/>
    <n v="3"/>
    <s v="Married"/>
    <n v="6077"/>
    <n v="3"/>
    <x v="1"/>
    <n v="11"/>
    <n v="3"/>
    <n v="3"/>
    <n v="0"/>
    <n v="10"/>
    <n v="2"/>
    <n v="3"/>
    <n v="6"/>
    <n v="3"/>
    <n v="1"/>
    <n v="2"/>
    <n v="0"/>
    <x v="0"/>
    <n v="3"/>
    <x v="2"/>
    <n v="3"/>
    <x v="0"/>
    <n v="3"/>
    <s v="Master"/>
    <s v="High"/>
    <s v="High"/>
    <s v="Better"/>
  </r>
  <r>
    <n v="35"/>
    <s v="No"/>
    <s v="Travel_Rarely"/>
    <s v="Research &amp; Development"/>
    <n v="1"/>
    <n v="3"/>
    <s v="Medical"/>
    <n v="1564"/>
    <n v="4"/>
    <s v="Male"/>
    <n v="2"/>
    <n v="1"/>
    <s v="Laboratory Technician"/>
    <n v="1"/>
    <s v="Single"/>
    <n v="2450"/>
    <n v="1"/>
    <x v="1"/>
    <n v="19"/>
    <n v="3"/>
    <n v="2"/>
    <n v="0"/>
    <n v="3"/>
    <n v="3"/>
    <n v="3"/>
    <n v="3"/>
    <n v="0"/>
    <n v="1"/>
    <n v="2"/>
    <n v="0"/>
    <x v="2"/>
    <n v="2"/>
    <x v="1"/>
    <n v="1"/>
    <x v="2"/>
    <n v="2"/>
    <s v="Bachelor"/>
    <s v="Low"/>
    <s v="Very High"/>
    <s v="Better"/>
  </r>
  <r>
    <n v="30"/>
    <s v="No"/>
    <s v="Travel_Rarely"/>
    <s v="Sales"/>
    <n v="29"/>
    <n v="4"/>
    <s v="Technical Degree"/>
    <n v="1568"/>
    <n v="3"/>
    <s v="Male"/>
    <n v="3"/>
    <n v="3"/>
    <s v="Sales Executive"/>
    <n v="2"/>
    <s v="Married"/>
    <n v="9250"/>
    <n v="3"/>
    <x v="1"/>
    <n v="12"/>
    <n v="3"/>
    <n v="2"/>
    <n v="1"/>
    <n v="9"/>
    <n v="3"/>
    <n v="3"/>
    <n v="4"/>
    <n v="2"/>
    <n v="1"/>
    <n v="3"/>
    <n v="0"/>
    <x v="2"/>
    <n v="2"/>
    <x v="2"/>
    <n v="3"/>
    <x v="2"/>
    <n v="2"/>
    <s v="Master"/>
    <s v="Medium"/>
    <s v="High"/>
    <s v="Better"/>
  </r>
  <r>
    <n v="35"/>
    <s v="Yes"/>
    <s v="Travel_Rarely"/>
    <s v="Research &amp; Development"/>
    <n v="2"/>
    <n v="3"/>
    <s v="Life Sciences"/>
    <n v="1569"/>
    <n v="1"/>
    <s v="Female"/>
    <n v="3"/>
    <n v="1"/>
    <s v="Laboratory Technician"/>
    <n v="1"/>
    <s v="Divorced"/>
    <n v="2074"/>
    <n v="1"/>
    <x v="0"/>
    <n v="12"/>
    <n v="3"/>
    <n v="4"/>
    <n v="1"/>
    <n v="1"/>
    <n v="2"/>
    <n v="3"/>
    <n v="1"/>
    <n v="0"/>
    <n v="0"/>
    <n v="0"/>
    <n v="1"/>
    <x v="2"/>
    <n v="2"/>
    <x v="1"/>
    <n v="1"/>
    <x v="1"/>
    <n v="1"/>
    <s v="Bachelor"/>
    <s v="Low"/>
    <s v="Low"/>
    <s v="Better"/>
  </r>
  <r>
    <n v="53"/>
    <s v="Yes"/>
    <s v="Travel_Rarely"/>
    <s v="Research &amp; Development"/>
    <n v="2"/>
    <n v="5"/>
    <s v="Technical Degree"/>
    <n v="1572"/>
    <n v="3"/>
    <s v="Female"/>
    <n v="2"/>
    <n v="3"/>
    <s v="Manufacturing Director"/>
    <n v="4"/>
    <s v="Married"/>
    <n v="10169"/>
    <n v="0"/>
    <x v="1"/>
    <n v="16"/>
    <n v="3"/>
    <n v="2"/>
    <n v="1"/>
    <n v="34"/>
    <n v="4"/>
    <n v="3"/>
    <n v="33"/>
    <n v="7"/>
    <n v="1"/>
    <n v="9"/>
    <n v="1"/>
    <x v="1"/>
    <n v="4"/>
    <x v="3"/>
    <n v="4"/>
    <x v="3"/>
    <n v="4"/>
    <s v="Doctor"/>
    <s v="Very High"/>
    <s v="High"/>
    <s v="Better"/>
  </r>
  <r>
    <n v="38"/>
    <s v="Yes"/>
    <s v="Travel_Rarely"/>
    <s v="Research &amp; Development"/>
    <n v="2"/>
    <n v="3"/>
    <s v="Medical"/>
    <n v="1573"/>
    <n v="3"/>
    <s v="Male"/>
    <n v="3"/>
    <n v="2"/>
    <s v="Manufacturing Director"/>
    <n v="2"/>
    <s v="Married"/>
    <n v="4855"/>
    <n v="4"/>
    <x v="1"/>
    <n v="11"/>
    <n v="3"/>
    <n v="1"/>
    <n v="2"/>
    <n v="7"/>
    <n v="2"/>
    <n v="3"/>
    <n v="5"/>
    <n v="2"/>
    <n v="1"/>
    <n v="4"/>
    <n v="1"/>
    <x v="0"/>
    <n v="3"/>
    <x v="0"/>
    <n v="2"/>
    <x v="2"/>
    <n v="2"/>
    <s v="Bachelor"/>
    <s v="Medium"/>
    <s v="High"/>
    <s v="Better"/>
  </r>
  <r>
    <n v="32"/>
    <s v="No"/>
    <s v="Non-Travel"/>
    <s v="Research &amp; Development"/>
    <n v="1"/>
    <n v="4"/>
    <s v="Technical Degree"/>
    <n v="1574"/>
    <n v="4"/>
    <s v="Male"/>
    <n v="3"/>
    <n v="2"/>
    <s v="Research Scientist"/>
    <n v="1"/>
    <s v="Married"/>
    <n v="4087"/>
    <n v="4"/>
    <x v="1"/>
    <n v="14"/>
    <n v="3"/>
    <n v="2"/>
    <n v="1"/>
    <n v="9"/>
    <n v="3"/>
    <n v="2"/>
    <n v="6"/>
    <n v="5"/>
    <n v="1"/>
    <n v="2"/>
    <n v="0"/>
    <x v="2"/>
    <n v="2"/>
    <x v="0"/>
    <n v="2"/>
    <x v="0"/>
    <n v="3"/>
    <s v="Master"/>
    <s v="Low"/>
    <s v="Very High"/>
    <s v="Good"/>
  </r>
  <r>
    <n v="48"/>
    <s v="No"/>
    <s v="Travel_Rarely"/>
    <s v="Research &amp; Development"/>
    <n v="15"/>
    <n v="4"/>
    <s v="Other"/>
    <n v="1576"/>
    <n v="3"/>
    <s v="Female"/>
    <n v="3"/>
    <n v="1"/>
    <s v="Research Scientist"/>
    <n v="1"/>
    <s v="Married"/>
    <n v="2367"/>
    <n v="8"/>
    <x v="1"/>
    <n v="12"/>
    <n v="3"/>
    <n v="4"/>
    <n v="1"/>
    <n v="10"/>
    <n v="3"/>
    <n v="2"/>
    <n v="8"/>
    <n v="2"/>
    <n v="7"/>
    <n v="6"/>
    <n v="0"/>
    <x v="1"/>
    <n v="4"/>
    <x v="1"/>
    <n v="1"/>
    <x v="0"/>
    <n v="3"/>
    <s v="Master"/>
    <s v="Low"/>
    <s v="High"/>
    <s v="Good"/>
  </r>
  <r>
    <n v="34"/>
    <s v="No"/>
    <s v="Travel_Rarely"/>
    <s v="Research &amp; Development"/>
    <n v="7"/>
    <n v="4"/>
    <s v="Medical"/>
    <n v="1577"/>
    <n v="1"/>
    <s v="Male"/>
    <n v="3"/>
    <n v="1"/>
    <s v="Research Scientist"/>
    <n v="4"/>
    <s v="Single"/>
    <n v="2972"/>
    <n v="1"/>
    <x v="1"/>
    <n v="13"/>
    <n v="3"/>
    <n v="3"/>
    <n v="0"/>
    <n v="1"/>
    <n v="4"/>
    <n v="1"/>
    <n v="1"/>
    <n v="0"/>
    <n v="0"/>
    <n v="0"/>
    <n v="0"/>
    <x v="2"/>
    <n v="2"/>
    <x v="1"/>
    <n v="1"/>
    <x v="1"/>
    <n v="1"/>
    <s v="Master"/>
    <s v="Very High"/>
    <s v="Low"/>
    <s v="Bad"/>
  </r>
  <r>
    <n v="55"/>
    <s v="No"/>
    <s v="Travel_Rarely"/>
    <s v="Sales"/>
    <n v="26"/>
    <n v="5"/>
    <s v="Marketing"/>
    <n v="1578"/>
    <n v="3"/>
    <s v="Male"/>
    <n v="2"/>
    <n v="5"/>
    <s v="Manager"/>
    <n v="4"/>
    <s v="Married"/>
    <n v="19586"/>
    <n v="1"/>
    <x v="1"/>
    <n v="21"/>
    <n v="4"/>
    <n v="3"/>
    <n v="1"/>
    <n v="36"/>
    <n v="3"/>
    <n v="3"/>
    <n v="36"/>
    <n v="6"/>
    <n v="2"/>
    <n v="13"/>
    <n v="0"/>
    <x v="1"/>
    <n v="4"/>
    <x v="3"/>
    <n v="4"/>
    <x v="3"/>
    <n v="4"/>
    <s v="Doctor"/>
    <s v="Very High"/>
    <s v="High"/>
    <s v="Better"/>
  </r>
  <r>
    <n v="34"/>
    <s v="No"/>
    <s v="Travel_Rarely"/>
    <s v="Research &amp; Development"/>
    <n v="1"/>
    <n v="4"/>
    <s v="Life Sciences"/>
    <n v="1580"/>
    <n v="2"/>
    <s v="Male"/>
    <n v="3"/>
    <n v="2"/>
    <s v="Research Scientist"/>
    <n v="4"/>
    <s v="Married"/>
    <n v="5484"/>
    <n v="9"/>
    <x v="1"/>
    <n v="17"/>
    <n v="3"/>
    <n v="2"/>
    <n v="1"/>
    <n v="9"/>
    <n v="3"/>
    <n v="2"/>
    <n v="2"/>
    <n v="2"/>
    <n v="2"/>
    <n v="1"/>
    <n v="0"/>
    <x v="2"/>
    <n v="2"/>
    <x v="0"/>
    <n v="2"/>
    <x v="1"/>
    <n v="1"/>
    <s v="Master"/>
    <s v="Very High"/>
    <s v="Medium"/>
    <s v="Good"/>
  </r>
  <r>
    <n v="26"/>
    <s v="No"/>
    <s v="Travel_Rarely"/>
    <s v="Research &amp; Development"/>
    <n v="3"/>
    <n v="3"/>
    <s v="Life Sciences"/>
    <n v="1581"/>
    <n v="1"/>
    <s v="Female"/>
    <n v="3"/>
    <n v="1"/>
    <s v="Research Scientist"/>
    <n v="4"/>
    <s v="Married"/>
    <n v="2061"/>
    <n v="1"/>
    <x v="1"/>
    <n v="21"/>
    <n v="4"/>
    <n v="1"/>
    <n v="0"/>
    <n v="1"/>
    <n v="5"/>
    <n v="3"/>
    <n v="1"/>
    <n v="0"/>
    <n v="0"/>
    <n v="0"/>
    <n v="0"/>
    <x v="2"/>
    <n v="2"/>
    <x v="1"/>
    <n v="1"/>
    <x v="1"/>
    <n v="1"/>
    <s v="Bachelor"/>
    <s v="Very High"/>
    <s v="Low"/>
    <s v="Better"/>
  </r>
  <r>
    <n v="38"/>
    <s v="No"/>
    <s v="Travel_Rarely"/>
    <s v="Sales"/>
    <n v="14"/>
    <n v="3"/>
    <s v="Life Sciences"/>
    <n v="1582"/>
    <n v="3"/>
    <s v="Male"/>
    <n v="3"/>
    <n v="2"/>
    <s v="Sales Executive"/>
    <n v="2"/>
    <s v="Married"/>
    <n v="9924"/>
    <n v="0"/>
    <x v="1"/>
    <n v="11"/>
    <n v="3"/>
    <n v="4"/>
    <n v="1"/>
    <n v="10"/>
    <n v="3"/>
    <n v="3"/>
    <n v="9"/>
    <n v="8"/>
    <n v="7"/>
    <n v="7"/>
    <n v="0"/>
    <x v="0"/>
    <n v="3"/>
    <x v="2"/>
    <n v="3"/>
    <x v="0"/>
    <n v="3"/>
    <s v="Bachelor"/>
    <s v="Medium"/>
    <s v="High"/>
    <s v="Better"/>
  </r>
  <r>
    <n v="38"/>
    <s v="No"/>
    <s v="Travel_Rarely"/>
    <s v="Sales"/>
    <n v="16"/>
    <n v="3"/>
    <s v="Life Sciences"/>
    <n v="1583"/>
    <n v="2"/>
    <s v="Female"/>
    <n v="3"/>
    <n v="2"/>
    <s v="Sales Executive"/>
    <n v="2"/>
    <s v="Single"/>
    <n v="4198"/>
    <n v="2"/>
    <x v="1"/>
    <n v="12"/>
    <n v="3"/>
    <n v="2"/>
    <n v="0"/>
    <n v="8"/>
    <n v="5"/>
    <n v="4"/>
    <n v="3"/>
    <n v="2"/>
    <n v="1"/>
    <n v="2"/>
    <n v="0"/>
    <x v="0"/>
    <n v="3"/>
    <x v="0"/>
    <n v="2"/>
    <x v="2"/>
    <n v="2"/>
    <s v="Bachelor"/>
    <s v="Medium"/>
    <s v="Medium"/>
    <s v="Best"/>
  </r>
  <r>
    <n v="36"/>
    <s v="No"/>
    <s v="Travel_Rarely"/>
    <s v="Sales"/>
    <n v="1"/>
    <n v="4"/>
    <s v="Life Sciences"/>
    <n v="1585"/>
    <n v="2"/>
    <s v="Female"/>
    <n v="3"/>
    <n v="2"/>
    <s v="Sales Executive"/>
    <n v="3"/>
    <s v="Single"/>
    <n v="6815"/>
    <n v="6"/>
    <x v="1"/>
    <n v="13"/>
    <n v="3"/>
    <n v="1"/>
    <n v="0"/>
    <n v="15"/>
    <n v="5"/>
    <n v="3"/>
    <n v="1"/>
    <n v="0"/>
    <n v="0"/>
    <n v="0"/>
    <n v="0"/>
    <x v="0"/>
    <n v="3"/>
    <x v="2"/>
    <n v="3"/>
    <x v="1"/>
    <n v="1"/>
    <s v="Master"/>
    <s v="High"/>
    <s v="Medium"/>
    <s v="Better"/>
  </r>
  <r>
    <n v="29"/>
    <s v="No"/>
    <s v="Travel_Rarely"/>
    <s v="Research &amp; Development"/>
    <n v="3"/>
    <n v="1"/>
    <s v="Medical"/>
    <n v="1586"/>
    <n v="2"/>
    <s v="Male"/>
    <n v="3"/>
    <n v="1"/>
    <s v="Laboratory Technician"/>
    <n v="1"/>
    <s v="Single"/>
    <n v="4723"/>
    <n v="1"/>
    <x v="0"/>
    <n v="18"/>
    <n v="3"/>
    <n v="4"/>
    <n v="0"/>
    <n v="10"/>
    <n v="3"/>
    <n v="3"/>
    <n v="10"/>
    <n v="9"/>
    <n v="1"/>
    <n v="5"/>
    <n v="0"/>
    <x v="2"/>
    <n v="2"/>
    <x v="0"/>
    <n v="2"/>
    <x v="0"/>
    <n v="3"/>
    <s v="Below College"/>
    <s v="Low"/>
    <s v="Medium"/>
    <s v="Better"/>
  </r>
  <r>
    <n v="35"/>
    <s v="No"/>
    <s v="Travel_Rarely"/>
    <s v="Research &amp; Development"/>
    <n v="10"/>
    <n v="4"/>
    <s v="Medical"/>
    <n v="1587"/>
    <n v="1"/>
    <s v="Female"/>
    <n v="3"/>
    <n v="2"/>
    <s v="Healthcare Representative"/>
    <n v="3"/>
    <s v="Single"/>
    <n v="6142"/>
    <n v="3"/>
    <x v="0"/>
    <n v="16"/>
    <n v="3"/>
    <n v="3"/>
    <n v="0"/>
    <n v="10"/>
    <n v="4"/>
    <n v="3"/>
    <n v="5"/>
    <n v="2"/>
    <n v="0"/>
    <n v="4"/>
    <n v="0"/>
    <x v="2"/>
    <n v="2"/>
    <x v="2"/>
    <n v="3"/>
    <x v="2"/>
    <n v="2"/>
    <s v="Master"/>
    <s v="High"/>
    <s v="Low"/>
    <s v="Better"/>
  </r>
  <r>
    <n v="39"/>
    <s v="No"/>
    <s v="Travel_Rarely"/>
    <s v="Sales"/>
    <n v="6"/>
    <n v="3"/>
    <s v="Medical"/>
    <n v="1588"/>
    <n v="4"/>
    <s v="Male"/>
    <n v="4"/>
    <n v="3"/>
    <s v="Sales Executive"/>
    <n v="3"/>
    <s v="Married"/>
    <n v="8237"/>
    <n v="2"/>
    <x v="1"/>
    <n v="11"/>
    <n v="3"/>
    <n v="1"/>
    <n v="1"/>
    <n v="11"/>
    <n v="3"/>
    <n v="3"/>
    <n v="7"/>
    <n v="6"/>
    <n v="7"/>
    <n v="6"/>
    <n v="0"/>
    <x v="0"/>
    <n v="3"/>
    <x v="2"/>
    <n v="3"/>
    <x v="0"/>
    <n v="3"/>
    <s v="Bachelor"/>
    <s v="High"/>
    <s v="Very High"/>
    <s v="Better"/>
  </r>
  <r>
    <n v="29"/>
    <s v="No"/>
    <s v="Travel_Frequently"/>
    <s v="Research &amp; Development"/>
    <n v="2"/>
    <n v="1"/>
    <s v="Life Sciences"/>
    <n v="1590"/>
    <n v="1"/>
    <s v="Male"/>
    <n v="3"/>
    <n v="2"/>
    <s v="Healthcare Representative"/>
    <n v="4"/>
    <s v="Divorced"/>
    <n v="8853"/>
    <n v="1"/>
    <x v="1"/>
    <n v="19"/>
    <n v="3"/>
    <n v="4"/>
    <n v="1"/>
    <n v="6"/>
    <n v="0"/>
    <n v="4"/>
    <n v="6"/>
    <n v="4"/>
    <n v="1"/>
    <n v="3"/>
    <n v="0"/>
    <x v="2"/>
    <n v="2"/>
    <x v="2"/>
    <n v="3"/>
    <x v="0"/>
    <n v="3"/>
    <s v="Below College"/>
    <s v="Very High"/>
    <s v="Low"/>
    <s v="Best"/>
  </r>
  <r>
    <n v="50"/>
    <s v="No"/>
    <s v="Travel_Rarely"/>
    <s v="Sales"/>
    <n v="9"/>
    <n v="3"/>
    <s v="Marketing"/>
    <n v="1591"/>
    <n v="3"/>
    <s v="Male"/>
    <n v="3"/>
    <n v="5"/>
    <s v="Manager"/>
    <n v="3"/>
    <s v="Married"/>
    <n v="19331"/>
    <n v="4"/>
    <x v="0"/>
    <n v="16"/>
    <n v="3"/>
    <n v="3"/>
    <n v="1"/>
    <n v="27"/>
    <n v="2"/>
    <n v="3"/>
    <n v="1"/>
    <n v="0"/>
    <n v="0"/>
    <n v="0"/>
    <n v="0"/>
    <x v="1"/>
    <n v="4"/>
    <x v="3"/>
    <n v="4"/>
    <x v="1"/>
    <n v="1"/>
    <s v="Bachelor"/>
    <s v="High"/>
    <s v="High"/>
    <s v="Better"/>
  </r>
  <r>
    <n v="23"/>
    <s v="No"/>
    <s v="Travel_Rarely"/>
    <s v="Research &amp; Development"/>
    <n v="10"/>
    <n v="3"/>
    <s v="Technical Degree"/>
    <n v="1592"/>
    <n v="4"/>
    <s v="Male"/>
    <n v="4"/>
    <n v="1"/>
    <s v="Research Scientist"/>
    <n v="3"/>
    <s v="Married"/>
    <n v="2073"/>
    <n v="2"/>
    <x v="1"/>
    <n v="16"/>
    <n v="3"/>
    <n v="4"/>
    <n v="1"/>
    <n v="4"/>
    <n v="2"/>
    <n v="3"/>
    <n v="2"/>
    <n v="2"/>
    <n v="2"/>
    <n v="2"/>
    <n v="0"/>
    <x v="4"/>
    <n v="1"/>
    <x v="1"/>
    <n v="1"/>
    <x v="1"/>
    <n v="1"/>
    <s v="Bachelor"/>
    <s v="High"/>
    <s v="Very High"/>
    <s v="Better"/>
  </r>
  <r>
    <n v="36"/>
    <s v="No"/>
    <s v="Travel_Frequently"/>
    <s v="Research &amp; Development"/>
    <n v="6"/>
    <n v="4"/>
    <s v="Life Sciences"/>
    <n v="1594"/>
    <n v="1"/>
    <s v="Male"/>
    <n v="4"/>
    <n v="2"/>
    <s v="Laboratory Technician"/>
    <n v="1"/>
    <s v="Married"/>
    <n v="5562"/>
    <n v="3"/>
    <x v="0"/>
    <n v="13"/>
    <n v="3"/>
    <n v="4"/>
    <n v="1"/>
    <n v="9"/>
    <n v="3"/>
    <n v="3"/>
    <n v="3"/>
    <n v="2"/>
    <n v="0"/>
    <n v="2"/>
    <n v="0"/>
    <x v="0"/>
    <n v="3"/>
    <x v="0"/>
    <n v="2"/>
    <x v="2"/>
    <n v="2"/>
    <s v="Master"/>
    <s v="Low"/>
    <s v="Low"/>
    <s v="Better"/>
  </r>
  <r>
    <n v="42"/>
    <s v="No"/>
    <s v="Travel_Rarely"/>
    <s v="Research &amp; Development"/>
    <n v="9"/>
    <n v="2"/>
    <s v="Other"/>
    <n v="1595"/>
    <n v="4"/>
    <s v="Male"/>
    <n v="2"/>
    <n v="5"/>
    <s v="Manager"/>
    <n v="4"/>
    <s v="Single"/>
    <n v="19613"/>
    <n v="8"/>
    <x v="1"/>
    <n v="22"/>
    <n v="4"/>
    <n v="4"/>
    <n v="0"/>
    <n v="24"/>
    <n v="2"/>
    <n v="3"/>
    <n v="1"/>
    <n v="0"/>
    <n v="0"/>
    <n v="1"/>
    <n v="0"/>
    <x v="0"/>
    <n v="3"/>
    <x v="3"/>
    <n v="4"/>
    <x v="1"/>
    <n v="1"/>
    <s v="College"/>
    <s v="Very High"/>
    <s v="Very High"/>
    <s v="Better"/>
  </r>
  <r>
    <n v="35"/>
    <s v="No"/>
    <s v="Travel_Rarely"/>
    <s v="Research &amp; Development"/>
    <n v="28"/>
    <n v="3"/>
    <s v="Life Sciences"/>
    <n v="1596"/>
    <n v="2"/>
    <s v="Male"/>
    <n v="4"/>
    <n v="2"/>
    <s v="Laboratory Technician"/>
    <n v="3"/>
    <s v="Married"/>
    <n v="3407"/>
    <n v="1"/>
    <x v="1"/>
    <n v="17"/>
    <n v="3"/>
    <n v="4"/>
    <n v="2"/>
    <n v="10"/>
    <n v="3"/>
    <n v="2"/>
    <n v="10"/>
    <n v="9"/>
    <n v="6"/>
    <n v="8"/>
    <n v="0"/>
    <x v="2"/>
    <n v="2"/>
    <x v="0"/>
    <n v="2"/>
    <x v="0"/>
    <n v="3"/>
    <s v="Bachelor"/>
    <s v="High"/>
    <s v="Medium"/>
    <s v="Good"/>
  </r>
  <r>
    <n v="34"/>
    <s v="No"/>
    <s v="Travel_Frequently"/>
    <s v="Research &amp; Development"/>
    <n v="10"/>
    <n v="4"/>
    <s v="Technical Degree"/>
    <n v="1597"/>
    <n v="4"/>
    <s v="Male"/>
    <n v="2"/>
    <n v="2"/>
    <s v="Healthcare Representative"/>
    <n v="3"/>
    <s v="Married"/>
    <n v="5063"/>
    <n v="1"/>
    <x v="1"/>
    <n v="14"/>
    <n v="3"/>
    <n v="2"/>
    <n v="1"/>
    <n v="8"/>
    <n v="3"/>
    <n v="2"/>
    <n v="8"/>
    <n v="2"/>
    <n v="7"/>
    <n v="7"/>
    <n v="0"/>
    <x v="2"/>
    <n v="2"/>
    <x v="0"/>
    <n v="2"/>
    <x v="0"/>
    <n v="3"/>
    <s v="Master"/>
    <s v="High"/>
    <s v="Very High"/>
    <s v="Good"/>
  </r>
  <r>
    <n v="40"/>
    <s v="No"/>
    <s v="Travel_Rarely"/>
    <s v="Sales"/>
    <n v="14"/>
    <n v="2"/>
    <s v="Life Sciences"/>
    <n v="1598"/>
    <n v="4"/>
    <s v="Female"/>
    <n v="3"/>
    <n v="2"/>
    <s v="Sales Executive"/>
    <n v="1"/>
    <s v="Married"/>
    <n v="4639"/>
    <n v="1"/>
    <x v="1"/>
    <n v="15"/>
    <n v="3"/>
    <n v="3"/>
    <n v="1"/>
    <n v="5"/>
    <n v="2"/>
    <n v="3"/>
    <n v="5"/>
    <n v="4"/>
    <n v="1"/>
    <n v="2"/>
    <n v="0"/>
    <x v="0"/>
    <n v="3"/>
    <x v="0"/>
    <n v="2"/>
    <x v="2"/>
    <n v="2"/>
    <s v="College"/>
    <s v="Low"/>
    <s v="Very High"/>
    <s v="Better"/>
  </r>
  <r>
    <n v="43"/>
    <s v="No"/>
    <s v="Travel_Rarely"/>
    <s v="Research &amp; Development"/>
    <n v="27"/>
    <n v="3"/>
    <s v="Technical Degree"/>
    <n v="1599"/>
    <n v="4"/>
    <s v="Male"/>
    <n v="4"/>
    <n v="1"/>
    <s v="Laboratory Technician"/>
    <n v="2"/>
    <s v="Divorced"/>
    <n v="4876"/>
    <n v="5"/>
    <x v="1"/>
    <n v="12"/>
    <n v="3"/>
    <n v="3"/>
    <n v="1"/>
    <n v="8"/>
    <n v="0"/>
    <n v="3"/>
    <n v="6"/>
    <n v="4"/>
    <n v="0"/>
    <n v="2"/>
    <n v="0"/>
    <x v="0"/>
    <n v="3"/>
    <x v="0"/>
    <n v="2"/>
    <x v="0"/>
    <n v="3"/>
    <s v="Bachelor"/>
    <s v="Medium"/>
    <s v="Very High"/>
    <s v="Better"/>
  </r>
  <r>
    <n v="35"/>
    <s v="No"/>
    <s v="Travel_Rarely"/>
    <s v="Research &amp; Development"/>
    <n v="7"/>
    <n v="2"/>
    <s v="Life Sciences"/>
    <n v="1601"/>
    <n v="3"/>
    <s v="Male"/>
    <n v="2"/>
    <n v="1"/>
    <s v="Laboratory Technician"/>
    <n v="4"/>
    <s v="Married"/>
    <n v="2690"/>
    <n v="1"/>
    <x v="1"/>
    <n v="18"/>
    <n v="3"/>
    <n v="4"/>
    <n v="1"/>
    <n v="1"/>
    <n v="5"/>
    <n v="2"/>
    <n v="1"/>
    <n v="0"/>
    <n v="0"/>
    <n v="1"/>
    <n v="0"/>
    <x v="2"/>
    <n v="2"/>
    <x v="1"/>
    <n v="1"/>
    <x v="1"/>
    <n v="1"/>
    <s v="College"/>
    <s v="Very High"/>
    <s v="High"/>
    <s v="Good"/>
  </r>
  <r>
    <n v="46"/>
    <s v="No"/>
    <s v="Travel_Rarely"/>
    <s v="Sales"/>
    <n v="1"/>
    <n v="4"/>
    <s v="Life Sciences"/>
    <n v="1602"/>
    <n v="4"/>
    <s v="Male"/>
    <n v="4"/>
    <n v="4"/>
    <s v="Manager"/>
    <n v="1"/>
    <s v="Single"/>
    <n v="17567"/>
    <n v="1"/>
    <x v="1"/>
    <n v="15"/>
    <n v="3"/>
    <n v="2"/>
    <n v="0"/>
    <n v="27"/>
    <n v="5"/>
    <n v="1"/>
    <n v="26"/>
    <n v="0"/>
    <n v="0"/>
    <n v="12"/>
    <n v="0"/>
    <x v="1"/>
    <n v="4"/>
    <x v="3"/>
    <n v="4"/>
    <x v="3"/>
    <n v="4"/>
    <s v="Master"/>
    <s v="Low"/>
    <s v="Very High"/>
    <s v="Bad"/>
  </r>
  <r>
    <n v="28"/>
    <s v="Yes"/>
    <s v="Travel_Rarely"/>
    <s v="Research &amp; Development"/>
    <n v="24"/>
    <n v="3"/>
    <s v="Medical"/>
    <n v="1604"/>
    <n v="3"/>
    <s v="Male"/>
    <n v="3"/>
    <n v="1"/>
    <s v="Laboratory Technician"/>
    <n v="2"/>
    <s v="Married"/>
    <n v="2408"/>
    <n v="1"/>
    <x v="0"/>
    <n v="17"/>
    <n v="3"/>
    <n v="3"/>
    <n v="3"/>
    <n v="1"/>
    <n v="3"/>
    <n v="3"/>
    <n v="1"/>
    <n v="1"/>
    <n v="0"/>
    <n v="0"/>
    <n v="1"/>
    <x v="2"/>
    <n v="2"/>
    <x v="1"/>
    <n v="1"/>
    <x v="1"/>
    <n v="1"/>
    <s v="Bachelor"/>
    <s v="Medium"/>
    <s v="High"/>
    <s v="Better"/>
  </r>
  <r>
    <n v="22"/>
    <s v="No"/>
    <s v="Non-Travel"/>
    <s v="Research &amp; Development"/>
    <n v="26"/>
    <n v="2"/>
    <s v="Other"/>
    <n v="1605"/>
    <n v="2"/>
    <s v="Female"/>
    <n v="2"/>
    <n v="1"/>
    <s v="Research Scientist"/>
    <n v="3"/>
    <s v="Married"/>
    <n v="2814"/>
    <n v="1"/>
    <x v="0"/>
    <n v="14"/>
    <n v="3"/>
    <n v="2"/>
    <n v="0"/>
    <n v="4"/>
    <n v="2"/>
    <n v="2"/>
    <n v="4"/>
    <n v="2"/>
    <n v="1"/>
    <n v="3"/>
    <n v="0"/>
    <x v="4"/>
    <n v="1"/>
    <x v="1"/>
    <n v="1"/>
    <x v="2"/>
    <n v="2"/>
    <s v="College"/>
    <s v="High"/>
    <s v="Medium"/>
    <s v="Good"/>
  </r>
  <r>
    <n v="50"/>
    <s v="No"/>
    <s v="Travel_Frequently"/>
    <s v="Research &amp; Development"/>
    <n v="20"/>
    <n v="5"/>
    <s v="Medical"/>
    <n v="1606"/>
    <n v="2"/>
    <s v="Male"/>
    <n v="3"/>
    <n v="4"/>
    <s v="Healthcare Representative"/>
    <n v="3"/>
    <s v="Married"/>
    <n v="11245"/>
    <n v="2"/>
    <x v="0"/>
    <n v="15"/>
    <n v="3"/>
    <n v="3"/>
    <n v="1"/>
    <n v="32"/>
    <n v="3"/>
    <n v="3"/>
    <n v="30"/>
    <n v="8"/>
    <n v="12"/>
    <n v="13"/>
    <n v="0"/>
    <x v="1"/>
    <n v="4"/>
    <x v="3"/>
    <n v="4"/>
    <x v="3"/>
    <n v="4"/>
    <s v="Doctor"/>
    <s v="High"/>
    <s v="Medium"/>
    <s v="Better"/>
  </r>
  <r>
    <n v="32"/>
    <s v="No"/>
    <s v="Travel_Rarely"/>
    <s v="Research &amp; Development"/>
    <n v="5"/>
    <n v="4"/>
    <s v="Other"/>
    <n v="1607"/>
    <n v="2"/>
    <s v="Female"/>
    <n v="4"/>
    <n v="1"/>
    <s v="Research Scientist"/>
    <n v="4"/>
    <s v="Married"/>
    <n v="3312"/>
    <n v="3"/>
    <x v="1"/>
    <n v="17"/>
    <n v="3"/>
    <n v="4"/>
    <n v="2"/>
    <n v="6"/>
    <n v="3"/>
    <n v="3"/>
    <n v="3"/>
    <n v="2"/>
    <n v="0"/>
    <n v="2"/>
    <n v="0"/>
    <x v="2"/>
    <n v="2"/>
    <x v="0"/>
    <n v="2"/>
    <x v="2"/>
    <n v="2"/>
    <s v="Master"/>
    <s v="Very High"/>
    <s v="Medium"/>
    <s v="Better"/>
  </r>
  <r>
    <n v="44"/>
    <s v="No"/>
    <s v="Travel_Rarely"/>
    <s v="Research &amp; Development"/>
    <n v="7"/>
    <n v="3"/>
    <s v="Medical"/>
    <n v="1608"/>
    <n v="2"/>
    <s v="Female"/>
    <n v="3"/>
    <n v="5"/>
    <s v="Research Director"/>
    <n v="4"/>
    <s v="Divorced"/>
    <n v="19049"/>
    <n v="0"/>
    <x v="0"/>
    <n v="14"/>
    <n v="3"/>
    <n v="4"/>
    <n v="1"/>
    <n v="23"/>
    <n v="4"/>
    <n v="2"/>
    <n v="22"/>
    <n v="7"/>
    <n v="1"/>
    <n v="10"/>
    <n v="0"/>
    <x v="0"/>
    <n v="3"/>
    <x v="3"/>
    <n v="4"/>
    <x v="3"/>
    <n v="4"/>
    <s v="Bachelor"/>
    <s v="Very High"/>
    <s v="Medium"/>
    <s v="Good"/>
  </r>
  <r>
    <n v="30"/>
    <s v="No"/>
    <s v="Travel_Rarely"/>
    <s v="Research &amp; Development"/>
    <n v="7"/>
    <n v="3"/>
    <s v="Medical"/>
    <n v="1609"/>
    <n v="2"/>
    <s v="Male"/>
    <n v="2"/>
    <n v="1"/>
    <s v="Research Scientist"/>
    <n v="2"/>
    <s v="Married"/>
    <n v="2141"/>
    <n v="1"/>
    <x v="1"/>
    <n v="12"/>
    <n v="3"/>
    <n v="2"/>
    <n v="1"/>
    <n v="6"/>
    <n v="3"/>
    <n v="2"/>
    <n v="6"/>
    <n v="4"/>
    <n v="1"/>
    <n v="1"/>
    <n v="0"/>
    <x v="2"/>
    <n v="2"/>
    <x v="1"/>
    <n v="1"/>
    <x v="0"/>
    <n v="3"/>
    <s v="Bachelor"/>
    <s v="Medium"/>
    <s v="Medium"/>
    <s v="Good"/>
  </r>
  <r>
    <n v="45"/>
    <s v="No"/>
    <s v="Travel_Rarely"/>
    <s v="Research &amp; Development"/>
    <n v="5"/>
    <n v="5"/>
    <s v="Medical"/>
    <n v="1611"/>
    <n v="3"/>
    <s v="Female"/>
    <n v="1"/>
    <n v="2"/>
    <s v="Laboratory Technician"/>
    <n v="1"/>
    <s v="Single"/>
    <n v="5769"/>
    <n v="1"/>
    <x v="0"/>
    <n v="14"/>
    <n v="3"/>
    <n v="1"/>
    <n v="0"/>
    <n v="10"/>
    <n v="3"/>
    <n v="3"/>
    <n v="10"/>
    <n v="7"/>
    <n v="1"/>
    <n v="4"/>
    <n v="0"/>
    <x v="0"/>
    <n v="3"/>
    <x v="0"/>
    <n v="2"/>
    <x v="0"/>
    <n v="3"/>
    <s v="Doctor"/>
    <s v="Low"/>
    <s v="High"/>
    <s v="Better"/>
  </r>
  <r>
    <n v="45"/>
    <s v="No"/>
    <s v="Non-Travel"/>
    <s v="Sales"/>
    <n v="26"/>
    <n v="3"/>
    <s v="Marketing"/>
    <n v="1612"/>
    <n v="1"/>
    <s v="Male"/>
    <n v="2"/>
    <n v="2"/>
    <s v="Sales Executive"/>
    <n v="1"/>
    <s v="Married"/>
    <n v="4385"/>
    <n v="1"/>
    <x v="1"/>
    <n v="15"/>
    <n v="3"/>
    <n v="1"/>
    <n v="1"/>
    <n v="10"/>
    <n v="2"/>
    <n v="3"/>
    <n v="10"/>
    <n v="7"/>
    <n v="4"/>
    <n v="5"/>
    <n v="0"/>
    <x v="0"/>
    <n v="3"/>
    <x v="0"/>
    <n v="2"/>
    <x v="0"/>
    <n v="3"/>
    <s v="Bachelor"/>
    <s v="Low"/>
    <s v="Low"/>
    <s v="Better"/>
  </r>
  <r>
    <n v="31"/>
    <s v="No"/>
    <s v="Travel_Frequently"/>
    <s v="Sales"/>
    <n v="2"/>
    <n v="4"/>
    <s v="Other"/>
    <n v="1613"/>
    <n v="4"/>
    <s v="Male"/>
    <n v="3"/>
    <n v="2"/>
    <s v="Sales Executive"/>
    <n v="1"/>
    <s v="Single"/>
    <n v="5332"/>
    <n v="7"/>
    <x v="1"/>
    <n v="13"/>
    <n v="3"/>
    <n v="4"/>
    <n v="0"/>
    <n v="10"/>
    <n v="3"/>
    <n v="3"/>
    <n v="5"/>
    <n v="2"/>
    <n v="0"/>
    <n v="3"/>
    <n v="0"/>
    <x v="2"/>
    <n v="2"/>
    <x v="0"/>
    <n v="2"/>
    <x v="2"/>
    <n v="2"/>
    <s v="Master"/>
    <s v="Low"/>
    <s v="Very High"/>
    <s v="Better"/>
  </r>
  <r>
    <n v="36"/>
    <s v="No"/>
    <s v="Travel_Rarely"/>
    <s v="Research &amp; Development"/>
    <n v="12"/>
    <n v="4"/>
    <s v="Life Sciences"/>
    <n v="1614"/>
    <n v="3"/>
    <s v="Female"/>
    <n v="3"/>
    <n v="2"/>
    <s v="Manufacturing Director"/>
    <n v="3"/>
    <s v="Married"/>
    <n v="4663"/>
    <n v="9"/>
    <x v="0"/>
    <n v="12"/>
    <n v="3"/>
    <n v="2"/>
    <n v="2"/>
    <n v="7"/>
    <n v="2"/>
    <n v="3"/>
    <n v="3"/>
    <n v="2"/>
    <n v="1"/>
    <n v="1"/>
    <n v="0"/>
    <x v="0"/>
    <n v="3"/>
    <x v="0"/>
    <n v="2"/>
    <x v="2"/>
    <n v="2"/>
    <s v="Master"/>
    <s v="High"/>
    <s v="High"/>
    <s v="Better"/>
  </r>
  <r>
    <n v="34"/>
    <s v="No"/>
    <s v="Travel_Frequently"/>
    <s v="Research &amp; Development"/>
    <n v="10"/>
    <n v="4"/>
    <s v="Life Sciences"/>
    <n v="1615"/>
    <n v="3"/>
    <s v="Male"/>
    <n v="4"/>
    <n v="2"/>
    <s v="Manufacturing Director"/>
    <n v="4"/>
    <s v="Divorced"/>
    <n v="4724"/>
    <n v="1"/>
    <x v="1"/>
    <n v="13"/>
    <n v="3"/>
    <n v="1"/>
    <n v="1"/>
    <n v="9"/>
    <n v="3"/>
    <n v="3"/>
    <n v="9"/>
    <n v="7"/>
    <n v="7"/>
    <n v="2"/>
    <n v="0"/>
    <x v="2"/>
    <n v="2"/>
    <x v="0"/>
    <n v="2"/>
    <x v="0"/>
    <n v="3"/>
    <s v="Master"/>
    <s v="Very High"/>
    <s v="High"/>
    <s v="Better"/>
  </r>
  <r>
    <n v="49"/>
    <s v="No"/>
    <s v="Travel_Rarely"/>
    <s v="Research &amp; Development"/>
    <n v="25"/>
    <n v="4"/>
    <s v="Life Sciences"/>
    <n v="1617"/>
    <n v="3"/>
    <s v="Female"/>
    <n v="3"/>
    <n v="1"/>
    <s v="Laboratory Technician"/>
    <n v="1"/>
    <s v="Married"/>
    <n v="3211"/>
    <n v="1"/>
    <x v="1"/>
    <n v="14"/>
    <n v="3"/>
    <n v="4"/>
    <n v="1"/>
    <n v="10"/>
    <n v="3"/>
    <n v="2"/>
    <n v="9"/>
    <n v="6"/>
    <n v="1"/>
    <n v="4"/>
    <n v="0"/>
    <x v="1"/>
    <n v="4"/>
    <x v="0"/>
    <n v="2"/>
    <x v="0"/>
    <n v="3"/>
    <s v="Master"/>
    <s v="Low"/>
    <s v="High"/>
    <s v="Good"/>
  </r>
  <r>
    <n v="39"/>
    <s v="No"/>
    <s v="Travel_Rarely"/>
    <s v="Research &amp; Development"/>
    <n v="10"/>
    <n v="5"/>
    <s v="Medical"/>
    <n v="1618"/>
    <n v="2"/>
    <s v="Male"/>
    <n v="3"/>
    <n v="2"/>
    <s v="Manufacturing Director"/>
    <n v="1"/>
    <s v="Married"/>
    <n v="5377"/>
    <n v="2"/>
    <x v="1"/>
    <n v="13"/>
    <n v="3"/>
    <n v="4"/>
    <n v="3"/>
    <n v="10"/>
    <n v="3"/>
    <n v="3"/>
    <n v="7"/>
    <n v="7"/>
    <n v="7"/>
    <n v="7"/>
    <n v="0"/>
    <x v="0"/>
    <n v="3"/>
    <x v="0"/>
    <n v="2"/>
    <x v="0"/>
    <n v="3"/>
    <s v="Doctor"/>
    <s v="Low"/>
    <s v="Medium"/>
    <s v="Better"/>
  </r>
  <r>
    <n v="27"/>
    <s v="No"/>
    <s v="Travel_Rarely"/>
    <s v="Research &amp; Development"/>
    <n v="19"/>
    <n v="3"/>
    <s v="Other"/>
    <n v="1619"/>
    <n v="4"/>
    <s v="Male"/>
    <n v="2"/>
    <n v="1"/>
    <s v="Laboratory Technician"/>
    <n v="1"/>
    <s v="Divorced"/>
    <n v="4066"/>
    <n v="1"/>
    <x v="1"/>
    <n v="11"/>
    <n v="3"/>
    <n v="1"/>
    <n v="2"/>
    <n v="7"/>
    <n v="3"/>
    <n v="3"/>
    <n v="7"/>
    <n v="7"/>
    <n v="0"/>
    <n v="7"/>
    <n v="0"/>
    <x v="2"/>
    <n v="2"/>
    <x v="0"/>
    <n v="2"/>
    <x v="0"/>
    <n v="3"/>
    <s v="Bachelor"/>
    <s v="Low"/>
    <s v="Very High"/>
    <s v="Better"/>
  </r>
  <r>
    <n v="35"/>
    <s v="No"/>
    <s v="Travel_Rarely"/>
    <s v="Research &amp; Development"/>
    <n v="18"/>
    <n v="5"/>
    <s v="Life Sciences"/>
    <n v="1621"/>
    <n v="2"/>
    <s v="Male"/>
    <n v="4"/>
    <n v="2"/>
    <s v="Research Scientist"/>
    <n v="1"/>
    <s v="Married"/>
    <n v="5208"/>
    <n v="1"/>
    <x v="1"/>
    <n v="11"/>
    <n v="3"/>
    <n v="4"/>
    <n v="0"/>
    <n v="16"/>
    <n v="2"/>
    <n v="3"/>
    <n v="16"/>
    <n v="15"/>
    <n v="1"/>
    <n v="10"/>
    <n v="0"/>
    <x v="2"/>
    <n v="2"/>
    <x v="0"/>
    <n v="2"/>
    <x v="3"/>
    <n v="4"/>
    <s v="Doctor"/>
    <s v="Low"/>
    <s v="Medium"/>
    <s v="Better"/>
  </r>
  <r>
    <n v="28"/>
    <s v="No"/>
    <s v="Travel_Rarely"/>
    <s v="Research &amp; Development"/>
    <n v="27"/>
    <n v="3"/>
    <s v="Medical"/>
    <n v="1622"/>
    <n v="2"/>
    <s v="Female"/>
    <n v="1"/>
    <n v="2"/>
    <s v="Manufacturing Director"/>
    <n v="1"/>
    <s v="Divorced"/>
    <n v="4877"/>
    <n v="0"/>
    <x v="1"/>
    <n v="21"/>
    <n v="4"/>
    <n v="2"/>
    <n v="1"/>
    <n v="6"/>
    <n v="5"/>
    <n v="2"/>
    <n v="5"/>
    <n v="3"/>
    <n v="0"/>
    <n v="0"/>
    <n v="0"/>
    <x v="2"/>
    <n v="2"/>
    <x v="0"/>
    <n v="2"/>
    <x v="2"/>
    <n v="2"/>
    <s v="Bachelor"/>
    <s v="Low"/>
    <s v="Medium"/>
    <s v="Good"/>
  </r>
  <r>
    <n v="21"/>
    <s v="No"/>
    <s v="Travel_Rarely"/>
    <s v="Research &amp; Development"/>
    <n v="5"/>
    <n v="1"/>
    <s v="Medical"/>
    <n v="1623"/>
    <n v="3"/>
    <s v="Male"/>
    <n v="3"/>
    <n v="1"/>
    <s v="Research Scientist"/>
    <n v="4"/>
    <s v="Single"/>
    <n v="3117"/>
    <n v="1"/>
    <x v="1"/>
    <n v="18"/>
    <n v="3"/>
    <n v="3"/>
    <n v="0"/>
    <n v="3"/>
    <n v="2"/>
    <n v="3"/>
    <n v="2"/>
    <n v="2"/>
    <n v="2"/>
    <n v="2"/>
    <n v="0"/>
    <x v="4"/>
    <n v="1"/>
    <x v="0"/>
    <n v="2"/>
    <x v="1"/>
    <n v="1"/>
    <s v="Below College"/>
    <s v="Very High"/>
    <s v="High"/>
    <s v="Better"/>
  </r>
  <r>
    <n v="18"/>
    <s v="Yes"/>
    <s v="Travel_Frequently"/>
    <s v="Sales"/>
    <n v="3"/>
    <n v="2"/>
    <s v="Medical"/>
    <n v="1624"/>
    <n v="2"/>
    <s v="Female"/>
    <n v="3"/>
    <n v="1"/>
    <s v="Sales Representative"/>
    <n v="4"/>
    <s v="Single"/>
    <n v="1569"/>
    <n v="1"/>
    <x v="0"/>
    <n v="12"/>
    <n v="3"/>
    <n v="3"/>
    <n v="0"/>
    <n v="0"/>
    <n v="2"/>
    <n v="4"/>
    <n v="0"/>
    <n v="0"/>
    <n v="0"/>
    <n v="0"/>
    <n v="1"/>
    <x v="4"/>
    <n v="1"/>
    <x v="1"/>
    <n v="1"/>
    <x v="1"/>
    <n v="1"/>
    <s v="College"/>
    <s v="Very High"/>
    <s v="Medium"/>
    <s v="Best"/>
  </r>
  <r>
    <n v="47"/>
    <s v="No"/>
    <s v="Travel_Rarely"/>
    <s v="Human Resources"/>
    <n v="26"/>
    <n v="4"/>
    <s v="Life Sciences"/>
    <n v="1625"/>
    <n v="4"/>
    <s v="Female"/>
    <n v="3"/>
    <n v="5"/>
    <s v="Manager"/>
    <n v="3"/>
    <s v="Married"/>
    <n v="19658"/>
    <n v="3"/>
    <x v="1"/>
    <n v="11"/>
    <n v="3"/>
    <n v="3"/>
    <n v="1"/>
    <n v="27"/>
    <n v="2"/>
    <n v="3"/>
    <n v="5"/>
    <n v="2"/>
    <n v="1"/>
    <n v="0"/>
    <n v="0"/>
    <x v="1"/>
    <n v="4"/>
    <x v="3"/>
    <n v="4"/>
    <x v="2"/>
    <n v="2"/>
    <s v="Master"/>
    <s v="High"/>
    <s v="Very High"/>
    <s v="Better"/>
  </r>
  <r>
    <n v="39"/>
    <s v="No"/>
    <s v="Travel_Rarely"/>
    <s v="Research &amp; Development"/>
    <n v="3"/>
    <n v="2"/>
    <s v="Medical"/>
    <n v="1627"/>
    <n v="3"/>
    <s v="Male"/>
    <n v="2"/>
    <n v="2"/>
    <s v="Laboratory Technician"/>
    <n v="3"/>
    <s v="Divorced"/>
    <n v="3069"/>
    <n v="0"/>
    <x v="1"/>
    <n v="15"/>
    <n v="3"/>
    <n v="4"/>
    <n v="1"/>
    <n v="11"/>
    <n v="3"/>
    <n v="3"/>
    <n v="10"/>
    <n v="8"/>
    <n v="0"/>
    <n v="7"/>
    <n v="0"/>
    <x v="0"/>
    <n v="3"/>
    <x v="0"/>
    <n v="2"/>
    <x v="0"/>
    <n v="3"/>
    <s v="College"/>
    <s v="High"/>
    <s v="High"/>
    <s v="Better"/>
  </r>
  <r>
    <n v="40"/>
    <s v="No"/>
    <s v="Travel_Rarely"/>
    <s v="Research &amp; Development"/>
    <n v="15"/>
    <n v="3"/>
    <s v="Life Sciences"/>
    <n v="1628"/>
    <n v="1"/>
    <s v="Female"/>
    <n v="2"/>
    <n v="3"/>
    <s v="Manufacturing Director"/>
    <n v="3"/>
    <s v="Married"/>
    <n v="10435"/>
    <n v="1"/>
    <x v="1"/>
    <n v="13"/>
    <n v="3"/>
    <n v="4"/>
    <n v="2"/>
    <n v="18"/>
    <n v="2"/>
    <n v="3"/>
    <n v="18"/>
    <n v="15"/>
    <n v="14"/>
    <n v="12"/>
    <n v="0"/>
    <x v="0"/>
    <n v="3"/>
    <x v="3"/>
    <n v="4"/>
    <x v="3"/>
    <n v="4"/>
    <s v="Bachelor"/>
    <s v="High"/>
    <s v="Low"/>
    <s v="Better"/>
  </r>
  <r>
    <n v="35"/>
    <s v="No"/>
    <s v="Non-Travel"/>
    <s v="Research &amp; Development"/>
    <n v="8"/>
    <n v="4"/>
    <s v="Life Sciences"/>
    <n v="1630"/>
    <n v="3"/>
    <s v="Female"/>
    <n v="3"/>
    <n v="2"/>
    <s v="Healthcare Representative"/>
    <n v="3"/>
    <s v="Married"/>
    <n v="4148"/>
    <n v="1"/>
    <x v="1"/>
    <n v="12"/>
    <n v="3"/>
    <n v="4"/>
    <n v="1"/>
    <n v="15"/>
    <n v="5"/>
    <n v="3"/>
    <n v="14"/>
    <n v="11"/>
    <n v="2"/>
    <n v="9"/>
    <n v="0"/>
    <x v="2"/>
    <n v="2"/>
    <x v="0"/>
    <n v="2"/>
    <x v="3"/>
    <n v="4"/>
    <s v="Master"/>
    <s v="High"/>
    <s v="High"/>
    <s v="Better"/>
  </r>
  <r>
    <n v="37"/>
    <s v="No"/>
    <s v="Travel_Rarely"/>
    <s v="Research &amp; Development"/>
    <n v="19"/>
    <n v="3"/>
    <s v="Life Sciences"/>
    <n v="1631"/>
    <n v="3"/>
    <s v="Male"/>
    <n v="3"/>
    <n v="2"/>
    <s v="Manufacturing Director"/>
    <n v="3"/>
    <s v="Married"/>
    <n v="5768"/>
    <n v="3"/>
    <x v="1"/>
    <n v="17"/>
    <n v="3"/>
    <n v="1"/>
    <n v="3"/>
    <n v="9"/>
    <n v="2"/>
    <n v="2"/>
    <n v="4"/>
    <n v="3"/>
    <n v="0"/>
    <n v="2"/>
    <n v="0"/>
    <x v="0"/>
    <n v="3"/>
    <x v="0"/>
    <n v="2"/>
    <x v="2"/>
    <n v="2"/>
    <s v="Bachelor"/>
    <s v="High"/>
    <s v="High"/>
    <s v="Good"/>
  </r>
  <r>
    <n v="39"/>
    <s v="No"/>
    <s v="Travel_Frequently"/>
    <s v="Research &amp; Development"/>
    <n v="4"/>
    <n v="3"/>
    <s v="Medical"/>
    <n v="1633"/>
    <n v="1"/>
    <s v="Female"/>
    <n v="3"/>
    <n v="2"/>
    <s v="Manufacturing Director"/>
    <n v="3"/>
    <s v="Single"/>
    <n v="5042"/>
    <n v="0"/>
    <x v="1"/>
    <n v="13"/>
    <n v="3"/>
    <n v="4"/>
    <n v="0"/>
    <n v="10"/>
    <n v="2"/>
    <n v="1"/>
    <n v="9"/>
    <n v="2"/>
    <n v="3"/>
    <n v="8"/>
    <n v="0"/>
    <x v="0"/>
    <n v="3"/>
    <x v="0"/>
    <n v="2"/>
    <x v="0"/>
    <n v="3"/>
    <s v="Bachelor"/>
    <s v="High"/>
    <s v="Low"/>
    <s v="Bad"/>
  </r>
  <r>
    <n v="45"/>
    <s v="No"/>
    <s v="Travel_Rarely"/>
    <s v="Research &amp; Development"/>
    <n v="2"/>
    <n v="2"/>
    <s v="Other"/>
    <n v="1635"/>
    <n v="4"/>
    <s v="Female"/>
    <n v="2"/>
    <n v="2"/>
    <s v="Manufacturing Director"/>
    <n v="4"/>
    <s v="Divorced"/>
    <n v="5770"/>
    <n v="1"/>
    <x v="1"/>
    <n v="19"/>
    <n v="3"/>
    <n v="1"/>
    <n v="2"/>
    <n v="10"/>
    <n v="3"/>
    <n v="3"/>
    <n v="10"/>
    <n v="7"/>
    <n v="3"/>
    <n v="9"/>
    <n v="0"/>
    <x v="0"/>
    <n v="3"/>
    <x v="0"/>
    <n v="2"/>
    <x v="0"/>
    <n v="3"/>
    <s v="College"/>
    <s v="Very High"/>
    <s v="Very High"/>
    <s v="Better"/>
  </r>
  <r>
    <n v="38"/>
    <s v="No"/>
    <s v="Travel_Rarely"/>
    <s v="Research &amp; Development"/>
    <n v="2"/>
    <n v="2"/>
    <s v="Medical"/>
    <n v="1638"/>
    <n v="4"/>
    <s v="Female"/>
    <n v="2"/>
    <n v="3"/>
    <s v="Manufacturing Director"/>
    <n v="3"/>
    <s v="Married"/>
    <n v="7756"/>
    <n v="3"/>
    <x v="0"/>
    <n v="19"/>
    <n v="3"/>
    <n v="4"/>
    <n v="1"/>
    <n v="10"/>
    <n v="6"/>
    <n v="4"/>
    <n v="5"/>
    <n v="4"/>
    <n v="0"/>
    <n v="2"/>
    <n v="0"/>
    <x v="0"/>
    <n v="3"/>
    <x v="2"/>
    <n v="3"/>
    <x v="2"/>
    <n v="2"/>
    <s v="College"/>
    <s v="High"/>
    <s v="Very High"/>
    <s v="Best"/>
  </r>
  <r>
    <n v="35"/>
    <s v="Yes"/>
    <s v="Travel_Rarely"/>
    <s v="Sales"/>
    <n v="10"/>
    <n v="3"/>
    <s v="Medical"/>
    <n v="1639"/>
    <n v="4"/>
    <s v="Male"/>
    <n v="2"/>
    <n v="3"/>
    <s v="Sales Executive"/>
    <n v="1"/>
    <s v="Married"/>
    <n v="10306"/>
    <n v="9"/>
    <x v="1"/>
    <n v="17"/>
    <n v="3"/>
    <n v="3"/>
    <n v="0"/>
    <n v="15"/>
    <n v="3"/>
    <n v="3"/>
    <n v="13"/>
    <n v="12"/>
    <n v="6"/>
    <n v="0"/>
    <n v="1"/>
    <x v="2"/>
    <n v="2"/>
    <x v="3"/>
    <n v="4"/>
    <x v="3"/>
    <n v="4"/>
    <s v="Bachelor"/>
    <s v="Low"/>
    <s v="Very High"/>
    <s v="Better"/>
  </r>
  <r>
    <n v="37"/>
    <s v="No"/>
    <s v="Travel_Rarely"/>
    <s v="Research &amp; Development"/>
    <n v="10"/>
    <n v="3"/>
    <s v="Medical"/>
    <n v="1640"/>
    <n v="2"/>
    <s v="Female"/>
    <n v="3"/>
    <n v="1"/>
    <s v="Research Scientist"/>
    <n v="2"/>
    <s v="Married"/>
    <n v="3936"/>
    <n v="1"/>
    <x v="1"/>
    <n v="11"/>
    <n v="3"/>
    <n v="1"/>
    <n v="1"/>
    <n v="8"/>
    <n v="2"/>
    <n v="1"/>
    <n v="8"/>
    <n v="4"/>
    <n v="7"/>
    <n v="7"/>
    <n v="0"/>
    <x v="0"/>
    <n v="3"/>
    <x v="0"/>
    <n v="2"/>
    <x v="0"/>
    <n v="3"/>
    <s v="Bachelor"/>
    <s v="Medium"/>
    <s v="Medium"/>
    <s v="Bad"/>
  </r>
  <r>
    <n v="40"/>
    <s v="No"/>
    <s v="Travel_Rarely"/>
    <s v="Research &amp; Development"/>
    <n v="16"/>
    <n v="3"/>
    <s v="Life Sciences"/>
    <n v="1641"/>
    <n v="3"/>
    <s v="Female"/>
    <n v="3"/>
    <n v="3"/>
    <s v="Manufacturing Director"/>
    <n v="4"/>
    <s v="Single"/>
    <n v="7945"/>
    <n v="6"/>
    <x v="0"/>
    <n v="15"/>
    <n v="3"/>
    <n v="4"/>
    <n v="0"/>
    <n v="18"/>
    <n v="2"/>
    <n v="2"/>
    <n v="4"/>
    <n v="2"/>
    <n v="3"/>
    <n v="3"/>
    <n v="0"/>
    <x v="0"/>
    <n v="3"/>
    <x v="2"/>
    <n v="3"/>
    <x v="2"/>
    <n v="2"/>
    <s v="Bachelor"/>
    <s v="Very High"/>
    <s v="High"/>
    <s v="Good"/>
  </r>
  <r>
    <n v="44"/>
    <s v="No"/>
    <s v="Travel_Frequently"/>
    <s v="Human Resources"/>
    <n v="1"/>
    <n v="5"/>
    <s v="Human Resources"/>
    <n v="1642"/>
    <n v="1"/>
    <s v="Male"/>
    <n v="3"/>
    <n v="2"/>
    <s v="Human Resources"/>
    <n v="4"/>
    <s v="Married"/>
    <n v="5743"/>
    <n v="4"/>
    <x v="0"/>
    <n v="11"/>
    <n v="3"/>
    <n v="3"/>
    <n v="0"/>
    <n v="14"/>
    <n v="3"/>
    <n v="3"/>
    <n v="10"/>
    <n v="7"/>
    <n v="0"/>
    <n v="2"/>
    <n v="0"/>
    <x v="0"/>
    <n v="3"/>
    <x v="0"/>
    <n v="2"/>
    <x v="0"/>
    <n v="3"/>
    <s v="Doctor"/>
    <s v="Very High"/>
    <s v="Low"/>
    <s v="Better"/>
  </r>
  <r>
    <n v="48"/>
    <s v="No"/>
    <s v="Travel_Frequently"/>
    <s v="Research &amp; Development"/>
    <n v="4"/>
    <n v="5"/>
    <s v="Medical"/>
    <n v="1644"/>
    <n v="3"/>
    <s v="Male"/>
    <n v="2"/>
    <n v="4"/>
    <s v="Manager"/>
    <n v="4"/>
    <s v="Married"/>
    <n v="15202"/>
    <n v="2"/>
    <x v="1"/>
    <n v="25"/>
    <n v="4"/>
    <n v="2"/>
    <n v="1"/>
    <n v="23"/>
    <n v="3"/>
    <n v="3"/>
    <n v="2"/>
    <n v="2"/>
    <n v="2"/>
    <n v="2"/>
    <n v="0"/>
    <x v="1"/>
    <n v="4"/>
    <x v="3"/>
    <n v="4"/>
    <x v="1"/>
    <n v="1"/>
    <s v="Doctor"/>
    <s v="Very High"/>
    <s v="High"/>
    <s v="Better"/>
  </r>
  <r>
    <n v="35"/>
    <s v="Yes"/>
    <s v="Travel_Rarely"/>
    <s v="Sales"/>
    <n v="15"/>
    <n v="2"/>
    <s v="Medical"/>
    <n v="1645"/>
    <n v="1"/>
    <s v="Male"/>
    <n v="1"/>
    <n v="2"/>
    <s v="Sales Executive"/>
    <n v="4"/>
    <s v="Divorced"/>
    <n v="5440"/>
    <n v="6"/>
    <x v="0"/>
    <n v="14"/>
    <n v="3"/>
    <n v="4"/>
    <n v="2"/>
    <n v="7"/>
    <n v="2"/>
    <n v="2"/>
    <n v="2"/>
    <n v="2"/>
    <n v="2"/>
    <n v="2"/>
    <n v="1"/>
    <x v="2"/>
    <n v="2"/>
    <x v="0"/>
    <n v="2"/>
    <x v="1"/>
    <n v="1"/>
    <s v="College"/>
    <s v="Very High"/>
    <s v="Low"/>
    <s v="Good"/>
  </r>
  <r>
    <n v="24"/>
    <s v="No"/>
    <s v="Travel_Frequently"/>
    <s v="Research &amp; Development"/>
    <n v="2"/>
    <n v="1"/>
    <s v="Technical Degree"/>
    <n v="1646"/>
    <n v="1"/>
    <s v="Female"/>
    <n v="3"/>
    <n v="1"/>
    <s v="Research Scientist"/>
    <n v="4"/>
    <s v="Single"/>
    <n v="3760"/>
    <n v="1"/>
    <x v="0"/>
    <n v="13"/>
    <n v="3"/>
    <n v="3"/>
    <n v="0"/>
    <n v="6"/>
    <n v="2"/>
    <n v="3"/>
    <n v="6"/>
    <n v="3"/>
    <n v="1"/>
    <n v="3"/>
    <n v="0"/>
    <x v="4"/>
    <n v="1"/>
    <x v="0"/>
    <n v="2"/>
    <x v="0"/>
    <n v="3"/>
    <s v="Below College"/>
    <s v="Very High"/>
    <s v="Low"/>
    <s v="Better"/>
  </r>
  <r>
    <n v="27"/>
    <s v="No"/>
    <s v="Travel_Rarely"/>
    <s v="Research &amp; Development"/>
    <n v="8"/>
    <n v="3"/>
    <s v="Medical"/>
    <n v="1647"/>
    <n v="2"/>
    <s v="Female"/>
    <n v="4"/>
    <n v="1"/>
    <s v="Research Scientist"/>
    <n v="3"/>
    <s v="Married"/>
    <n v="3517"/>
    <n v="7"/>
    <x v="1"/>
    <n v="17"/>
    <n v="3"/>
    <n v="1"/>
    <n v="0"/>
    <n v="5"/>
    <n v="0"/>
    <n v="3"/>
    <n v="3"/>
    <n v="2"/>
    <n v="0"/>
    <n v="2"/>
    <n v="0"/>
    <x v="2"/>
    <n v="2"/>
    <x v="0"/>
    <n v="2"/>
    <x v="2"/>
    <n v="2"/>
    <s v="Bachelor"/>
    <s v="High"/>
    <s v="Medium"/>
    <s v="Better"/>
  </r>
  <r>
    <n v="27"/>
    <s v="No"/>
    <s v="Travel_Frequently"/>
    <s v="Research &amp; Development"/>
    <n v="2"/>
    <n v="3"/>
    <s v="Medical"/>
    <n v="1648"/>
    <n v="4"/>
    <s v="Male"/>
    <n v="3"/>
    <n v="1"/>
    <s v="Research Scientist"/>
    <n v="4"/>
    <s v="Single"/>
    <n v="2580"/>
    <n v="2"/>
    <x v="1"/>
    <n v="13"/>
    <n v="3"/>
    <n v="3"/>
    <n v="0"/>
    <n v="6"/>
    <n v="0"/>
    <n v="2"/>
    <n v="4"/>
    <n v="2"/>
    <n v="1"/>
    <n v="2"/>
    <n v="0"/>
    <x v="2"/>
    <n v="2"/>
    <x v="1"/>
    <n v="1"/>
    <x v="2"/>
    <n v="2"/>
    <s v="Bachelor"/>
    <s v="Very High"/>
    <s v="Very High"/>
    <s v="Good"/>
  </r>
  <r>
    <n v="40"/>
    <s v="Yes"/>
    <s v="Travel_Rarely"/>
    <s v="Research &amp; Development"/>
    <n v="7"/>
    <n v="3"/>
    <s v="Life Sciences"/>
    <n v="1649"/>
    <n v="1"/>
    <s v="Male"/>
    <n v="3"/>
    <n v="1"/>
    <s v="Laboratory Technician"/>
    <n v="1"/>
    <s v="Single"/>
    <n v="2166"/>
    <n v="3"/>
    <x v="0"/>
    <n v="14"/>
    <n v="3"/>
    <n v="2"/>
    <n v="0"/>
    <n v="10"/>
    <n v="3"/>
    <n v="1"/>
    <n v="4"/>
    <n v="2"/>
    <n v="0"/>
    <n v="3"/>
    <n v="1"/>
    <x v="0"/>
    <n v="3"/>
    <x v="1"/>
    <n v="1"/>
    <x v="2"/>
    <n v="2"/>
    <s v="Bachelor"/>
    <s v="Low"/>
    <s v="Low"/>
    <s v="Bad"/>
  </r>
  <r>
    <n v="29"/>
    <s v="No"/>
    <s v="Travel_Rarely"/>
    <s v="Sales"/>
    <n v="10"/>
    <n v="3"/>
    <s v="Medical"/>
    <n v="1650"/>
    <n v="3"/>
    <s v="Male"/>
    <n v="2"/>
    <n v="2"/>
    <s v="Sales Executive"/>
    <n v="3"/>
    <s v="Single"/>
    <n v="5869"/>
    <n v="9"/>
    <x v="1"/>
    <n v="11"/>
    <n v="3"/>
    <n v="3"/>
    <n v="0"/>
    <n v="8"/>
    <n v="2"/>
    <n v="3"/>
    <n v="5"/>
    <n v="2"/>
    <n v="1"/>
    <n v="4"/>
    <n v="0"/>
    <x v="2"/>
    <n v="2"/>
    <x v="0"/>
    <n v="2"/>
    <x v="2"/>
    <n v="2"/>
    <s v="Bachelor"/>
    <s v="High"/>
    <s v="High"/>
    <s v="Better"/>
  </r>
  <r>
    <n v="36"/>
    <s v="No"/>
    <s v="Travel_Rarely"/>
    <s v="Research &amp; Development"/>
    <n v="5"/>
    <n v="4"/>
    <s v="Life Sciences"/>
    <n v="1651"/>
    <n v="2"/>
    <s v="Female"/>
    <n v="3"/>
    <n v="3"/>
    <s v="Healthcare Representative"/>
    <n v="1"/>
    <s v="Married"/>
    <n v="8008"/>
    <n v="4"/>
    <x v="1"/>
    <n v="12"/>
    <n v="3"/>
    <n v="3"/>
    <n v="2"/>
    <n v="9"/>
    <n v="6"/>
    <n v="3"/>
    <n v="3"/>
    <n v="2"/>
    <n v="0"/>
    <n v="2"/>
    <n v="0"/>
    <x v="0"/>
    <n v="3"/>
    <x v="2"/>
    <n v="3"/>
    <x v="2"/>
    <n v="2"/>
    <s v="Master"/>
    <s v="Low"/>
    <s v="Medium"/>
    <s v="Better"/>
  </r>
  <r>
    <n v="25"/>
    <s v="No"/>
    <s v="Travel_Frequently"/>
    <s v="Research &amp; Development"/>
    <n v="2"/>
    <n v="1"/>
    <s v="Life Sciences"/>
    <n v="1653"/>
    <n v="4"/>
    <s v="Male"/>
    <n v="4"/>
    <n v="2"/>
    <s v="Manufacturing Director"/>
    <n v="3"/>
    <s v="Divorced"/>
    <n v="5206"/>
    <n v="1"/>
    <x v="1"/>
    <n v="17"/>
    <n v="3"/>
    <n v="3"/>
    <n v="2"/>
    <n v="7"/>
    <n v="6"/>
    <n v="3"/>
    <n v="7"/>
    <n v="7"/>
    <n v="0"/>
    <n v="7"/>
    <n v="0"/>
    <x v="4"/>
    <n v="1"/>
    <x v="0"/>
    <n v="2"/>
    <x v="0"/>
    <n v="3"/>
    <s v="Below College"/>
    <s v="High"/>
    <s v="Very High"/>
    <s v="Better"/>
  </r>
  <r>
    <n v="39"/>
    <s v="No"/>
    <s v="Travel_Rarely"/>
    <s v="Research &amp; Development"/>
    <n v="12"/>
    <n v="3"/>
    <s v="Medical"/>
    <n v="1654"/>
    <n v="4"/>
    <s v="Male"/>
    <n v="3"/>
    <n v="2"/>
    <s v="Manufacturing Director"/>
    <n v="2"/>
    <s v="Married"/>
    <n v="5295"/>
    <n v="4"/>
    <x v="1"/>
    <n v="21"/>
    <n v="4"/>
    <n v="3"/>
    <n v="0"/>
    <n v="7"/>
    <n v="3"/>
    <n v="3"/>
    <n v="5"/>
    <n v="4"/>
    <n v="1"/>
    <n v="0"/>
    <n v="0"/>
    <x v="0"/>
    <n v="3"/>
    <x v="0"/>
    <n v="2"/>
    <x v="2"/>
    <n v="2"/>
    <s v="Bachelor"/>
    <s v="Medium"/>
    <s v="Very High"/>
    <s v="Better"/>
  </r>
  <r>
    <n v="49"/>
    <s v="No"/>
    <s v="Travel_Rarely"/>
    <s v="Research &amp; Development"/>
    <n v="22"/>
    <n v="4"/>
    <s v="Other"/>
    <n v="1655"/>
    <n v="1"/>
    <s v="Female"/>
    <n v="3"/>
    <n v="4"/>
    <s v="Research Director"/>
    <n v="2"/>
    <s v="Married"/>
    <n v="16413"/>
    <n v="3"/>
    <x v="1"/>
    <n v="16"/>
    <n v="3"/>
    <n v="2"/>
    <n v="2"/>
    <n v="27"/>
    <n v="2"/>
    <n v="3"/>
    <n v="4"/>
    <n v="2"/>
    <n v="1"/>
    <n v="2"/>
    <n v="0"/>
    <x v="1"/>
    <n v="4"/>
    <x v="3"/>
    <n v="4"/>
    <x v="2"/>
    <n v="2"/>
    <s v="Master"/>
    <s v="Medium"/>
    <s v="Low"/>
    <s v="Better"/>
  </r>
  <r>
    <n v="50"/>
    <s v="No"/>
    <s v="Travel_Rarely"/>
    <s v="Research &amp; Development"/>
    <n v="17"/>
    <n v="5"/>
    <s v="Life Sciences"/>
    <n v="1656"/>
    <n v="4"/>
    <s v="Female"/>
    <n v="2"/>
    <n v="3"/>
    <s v="Research Director"/>
    <n v="1"/>
    <s v="Divorced"/>
    <n v="13269"/>
    <n v="5"/>
    <x v="1"/>
    <n v="15"/>
    <n v="3"/>
    <n v="3"/>
    <n v="3"/>
    <n v="19"/>
    <n v="3"/>
    <n v="3"/>
    <n v="14"/>
    <n v="11"/>
    <n v="1"/>
    <n v="11"/>
    <n v="0"/>
    <x v="1"/>
    <n v="4"/>
    <x v="3"/>
    <n v="4"/>
    <x v="3"/>
    <n v="4"/>
    <s v="Doctor"/>
    <s v="Low"/>
    <s v="Very High"/>
    <s v="Better"/>
  </r>
  <r>
    <n v="20"/>
    <s v="No"/>
    <s v="Travel_Rarely"/>
    <s v="Sales"/>
    <n v="2"/>
    <n v="3"/>
    <s v="Medical"/>
    <n v="1657"/>
    <n v="3"/>
    <s v="Female"/>
    <n v="3"/>
    <n v="1"/>
    <s v="Sales Representative"/>
    <n v="3"/>
    <s v="Single"/>
    <n v="2783"/>
    <n v="1"/>
    <x v="1"/>
    <n v="19"/>
    <n v="3"/>
    <n v="1"/>
    <n v="0"/>
    <n v="2"/>
    <n v="3"/>
    <n v="3"/>
    <n v="2"/>
    <n v="2"/>
    <n v="2"/>
    <n v="2"/>
    <n v="0"/>
    <x v="4"/>
    <n v="1"/>
    <x v="1"/>
    <n v="1"/>
    <x v="1"/>
    <n v="1"/>
    <s v="Bachelor"/>
    <s v="High"/>
    <s v="High"/>
    <s v="Better"/>
  </r>
  <r>
    <n v="34"/>
    <s v="No"/>
    <s v="Travel_Rarely"/>
    <s v="Research &amp; Development"/>
    <n v="3"/>
    <n v="3"/>
    <s v="Life Sciences"/>
    <n v="1658"/>
    <n v="4"/>
    <s v="Female"/>
    <n v="3"/>
    <n v="2"/>
    <s v="Research Scientist"/>
    <n v="2"/>
    <s v="Divorced"/>
    <n v="5433"/>
    <n v="1"/>
    <x v="1"/>
    <n v="12"/>
    <n v="3"/>
    <n v="3"/>
    <n v="1"/>
    <n v="11"/>
    <n v="2"/>
    <n v="3"/>
    <n v="11"/>
    <n v="8"/>
    <n v="7"/>
    <n v="9"/>
    <n v="0"/>
    <x v="2"/>
    <n v="2"/>
    <x v="0"/>
    <n v="2"/>
    <x v="3"/>
    <n v="4"/>
    <s v="Bachelor"/>
    <s v="Medium"/>
    <s v="Very High"/>
    <s v="Better"/>
  </r>
  <r>
    <n v="36"/>
    <s v="No"/>
    <s v="Travel_Rarely"/>
    <s v="Research &amp; Development"/>
    <n v="7"/>
    <n v="3"/>
    <s v="Life Sciences"/>
    <n v="1659"/>
    <n v="1"/>
    <s v="Male"/>
    <n v="3"/>
    <n v="1"/>
    <s v="Laboratory Technician"/>
    <n v="2"/>
    <s v="Single"/>
    <n v="2013"/>
    <n v="2"/>
    <x v="1"/>
    <n v="11"/>
    <n v="3"/>
    <n v="3"/>
    <n v="0"/>
    <n v="15"/>
    <n v="4"/>
    <n v="3"/>
    <n v="4"/>
    <n v="3"/>
    <n v="1"/>
    <n v="3"/>
    <n v="0"/>
    <x v="0"/>
    <n v="3"/>
    <x v="1"/>
    <n v="1"/>
    <x v="2"/>
    <n v="2"/>
    <s v="Bachelor"/>
    <s v="Medium"/>
    <s v="Low"/>
    <s v="Better"/>
  </r>
  <r>
    <n v="49"/>
    <s v="No"/>
    <s v="Travel_Rarely"/>
    <s v="Research &amp; Development"/>
    <n v="6"/>
    <n v="1"/>
    <s v="Life Sciences"/>
    <n v="1661"/>
    <n v="3"/>
    <s v="Female"/>
    <n v="2"/>
    <n v="4"/>
    <s v="Healthcare Representative"/>
    <n v="3"/>
    <s v="Married"/>
    <n v="13966"/>
    <n v="2"/>
    <x v="0"/>
    <n v="19"/>
    <n v="3"/>
    <n v="2"/>
    <n v="1"/>
    <n v="30"/>
    <n v="3"/>
    <n v="3"/>
    <n v="15"/>
    <n v="11"/>
    <n v="2"/>
    <n v="12"/>
    <n v="0"/>
    <x v="1"/>
    <n v="4"/>
    <x v="3"/>
    <n v="4"/>
    <x v="3"/>
    <n v="4"/>
    <s v="Below College"/>
    <s v="High"/>
    <s v="High"/>
    <s v="Better"/>
  </r>
  <r>
    <n v="36"/>
    <s v="No"/>
    <s v="Non-Travel"/>
    <s v="Research &amp; Development"/>
    <n v="1"/>
    <n v="4"/>
    <s v="Medical"/>
    <n v="1662"/>
    <n v="4"/>
    <s v="Female"/>
    <n v="2"/>
    <n v="2"/>
    <s v="Manufacturing Director"/>
    <n v="3"/>
    <s v="Married"/>
    <n v="4374"/>
    <n v="0"/>
    <x v="1"/>
    <n v="15"/>
    <n v="3"/>
    <n v="3"/>
    <n v="0"/>
    <n v="4"/>
    <n v="6"/>
    <n v="3"/>
    <n v="3"/>
    <n v="2"/>
    <n v="1"/>
    <n v="2"/>
    <n v="0"/>
    <x v="0"/>
    <n v="3"/>
    <x v="0"/>
    <n v="2"/>
    <x v="2"/>
    <n v="2"/>
    <s v="Master"/>
    <s v="High"/>
    <s v="Very High"/>
    <s v="Better"/>
  </r>
  <r>
    <n v="36"/>
    <s v="No"/>
    <s v="Travel_Rarely"/>
    <s v="Research &amp; Development"/>
    <n v="3"/>
    <n v="2"/>
    <s v="Life Sciences"/>
    <n v="1664"/>
    <n v="4"/>
    <s v="Male"/>
    <n v="4"/>
    <n v="2"/>
    <s v="Healthcare Representative"/>
    <n v="1"/>
    <s v="Divorced"/>
    <n v="6842"/>
    <n v="6"/>
    <x v="1"/>
    <n v="20"/>
    <n v="4"/>
    <n v="1"/>
    <n v="1"/>
    <n v="13"/>
    <n v="3"/>
    <n v="3"/>
    <n v="5"/>
    <n v="4"/>
    <n v="0"/>
    <n v="4"/>
    <n v="0"/>
    <x v="0"/>
    <n v="3"/>
    <x v="2"/>
    <n v="3"/>
    <x v="2"/>
    <n v="2"/>
    <s v="College"/>
    <s v="Low"/>
    <s v="Very High"/>
    <s v="Better"/>
  </r>
  <r>
    <n v="54"/>
    <s v="No"/>
    <s v="Travel_Rarely"/>
    <s v="Research &amp; Development"/>
    <n v="22"/>
    <n v="5"/>
    <s v="Medical"/>
    <n v="1665"/>
    <n v="2"/>
    <s v="Female"/>
    <n v="3"/>
    <n v="4"/>
    <s v="Manager"/>
    <n v="3"/>
    <s v="Married"/>
    <n v="17426"/>
    <n v="3"/>
    <x v="1"/>
    <n v="25"/>
    <n v="4"/>
    <n v="3"/>
    <n v="1"/>
    <n v="36"/>
    <n v="6"/>
    <n v="3"/>
    <n v="10"/>
    <n v="8"/>
    <n v="4"/>
    <n v="7"/>
    <n v="0"/>
    <x v="1"/>
    <n v="4"/>
    <x v="3"/>
    <n v="4"/>
    <x v="0"/>
    <n v="3"/>
    <s v="Doctor"/>
    <s v="High"/>
    <s v="Medium"/>
    <s v="Better"/>
  </r>
  <r>
    <n v="43"/>
    <s v="No"/>
    <s v="Travel_Rarely"/>
    <s v="Research &amp; Development"/>
    <n v="15"/>
    <n v="2"/>
    <s v="Life Sciences"/>
    <n v="1666"/>
    <n v="3"/>
    <s v="Male"/>
    <n v="2"/>
    <n v="4"/>
    <s v="Research Director"/>
    <n v="3"/>
    <s v="Married"/>
    <n v="17603"/>
    <n v="1"/>
    <x v="1"/>
    <n v="24"/>
    <n v="4"/>
    <n v="1"/>
    <n v="1"/>
    <n v="14"/>
    <n v="3"/>
    <n v="3"/>
    <n v="14"/>
    <n v="10"/>
    <n v="6"/>
    <n v="11"/>
    <n v="0"/>
    <x v="0"/>
    <n v="3"/>
    <x v="3"/>
    <n v="4"/>
    <x v="3"/>
    <n v="4"/>
    <s v="College"/>
    <s v="High"/>
    <s v="High"/>
    <s v="Better"/>
  </r>
  <r>
    <n v="35"/>
    <s v="Yes"/>
    <s v="Travel_Frequently"/>
    <s v="Sales"/>
    <n v="12"/>
    <n v="4"/>
    <s v="Other"/>
    <n v="1667"/>
    <n v="4"/>
    <s v="Male"/>
    <n v="3"/>
    <n v="2"/>
    <s v="Sales Executive"/>
    <n v="4"/>
    <s v="Single"/>
    <n v="4581"/>
    <n v="3"/>
    <x v="0"/>
    <n v="24"/>
    <n v="4"/>
    <n v="1"/>
    <n v="0"/>
    <n v="13"/>
    <n v="2"/>
    <n v="4"/>
    <n v="11"/>
    <n v="9"/>
    <n v="6"/>
    <n v="7"/>
    <n v="1"/>
    <x v="2"/>
    <n v="2"/>
    <x v="0"/>
    <n v="2"/>
    <x v="3"/>
    <n v="4"/>
    <s v="Master"/>
    <s v="Very High"/>
    <s v="Very High"/>
    <s v="Best"/>
  </r>
  <r>
    <n v="38"/>
    <s v="No"/>
    <s v="Travel_Frequently"/>
    <s v="Research &amp; Development"/>
    <n v="1"/>
    <n v="3"/>
    <s v="Life Sciences"/>
    <n v="1668"/>
    <n v="4"/>
    <s v="Male"/>
    <n v="3"/>
    <n v="2"/>
    <s v="Research Scientist"/>
    <n v="4"/>
    <s v="Married"/>
    <n v="4735"/>
    <n v="7"/>
    <x v="1"/>
    <n v="15"/>
    <n v="3"/>
    <n v="4"/>
    <n v="2"/>
    <n v="19"/>
    <n v="4"/>
    <n v="4"/>
    <n v="13"/>
    <n v="11"/>
    <n v="2"/>
    <n v="9"/>
    <n v="0"/>
    <x v="0"/>
    <n v="3"/>
    <x v="0"/>
    <n v="2"/>
    <x v="3"/>
    <n v="4"/>
    <s v="Bachelor"/>
    <s v="Very High"/>
    <s v="Very High"/>
    <s v="Best"/>
  </r>
  <r>
    <n v="29"/>
    <s v="No"/>
    <s v="Travel_Rarely"/>
    <s v="Sales"/>
    <n v="5"/>
    <n v="3"/>
    <s v="Medical"/>
    <n v="1669"/>
    <n v="1"/>
    <s v="Male"/>
    <n v="2"/>
    <n v="2"/>
    <s v="Sales Executive"/>
    <n v="2"/>
    <s v="Divorced"/>
    <n v="4187"/>
    <n v="1"/>
    <x v="0"/>
    <n v="13"/>
    <n v="3"/>
    <n v="2"/>
    <n v="1"/>
    <n v="10"/>
    <n v="3"/>
    <n v="2"/>
    <n v="10"/>
    <n v="0"/>
    <n v="0"/>
    <n v="9"/>
    <n v="0"/>
    <x v="2"/>
    <n v="2"/>
    <x v="0"/>
    <n v="2"/>
    <x v="0"/>
    <n v="3"/>
    <s v="Bachelor"/>
    <s v="Medium"/>
    <s v="Low"/>
    <s v="Good"/>
  </r>
  <r>
    <n v="33"/>
    <s v="No"/>
    <s v="Travel_Rarely"/>
    <s v="Sales"/>
    <n v="2"/>
    <n v="4"/>
    <s v="Medical"/>
    <n v="1670"/>
    <n v="4"/>
    <s v="Male"/>
    <n v="3"/>
    <n v="2"/>
    <s v="Sales Executive"/>
    <n v="4"/>
    <s v="Divorced"/>
    <n v="5505"/>
    <n v="1"/>
    <x v="1"/>
    <n v="14"/>
    <n v="3"/>
    <n v="3"/>
    <n v="2"/>
    <n v="6"/>
    <n v="5"/>
    <n v="3"/>
    <n v="6"/>
    <n v="2"/>
    <n v="0"/>
    <n v="4"/>
    <n v="0"/>
    <x v="2"/>
    <n v="2"/>
    <x v="0"/>
    <n v="2"/>
    <x v="0"/>
    <n v="3"/>
    <s v="Master"/>
    <s v="Very High"/>
    <s v="Very High"/>
    <s v="Better"/>
  </r>
  <r>
    <n v="32"/>
    <s v="No"/>
    <s v="Travel_Rarely"/>
    <s v="Research &amp; Development"/>
    <n v="2"/>
    <n v="3"/>
    <s v="Medical"/>
    <n v="1671"/>
    <n v="4"/>
    <s v="Male"/>
    <n v="3"/>
    <n v="2"/>
    <s v="Research Scientist"/>
    <n v="2"/>
    <s v="Divorced"/>
    <n v="5470"/>
    <n v="0"/>
    <x v="1"/>
    <n v="13"/>
    <n v="3"/>
    <n v="3"/>
    <n v="2"/>
    <n v="10"/>
    <n v="4"/>
    <n v="2"/>
    <n v="9"/>
    <n v="5"/>
    <n v="1"/>
    <n v="6"/>
    <n v="0"/>
    <x v="2"/>
    <n v="2"/>
    <x v="0"/>
    <n v="2"/>
    <x v="0"/>
    <n v="3"/>
    <s v="Bachelor"/>
    <s v="Medium"/>
    <s v="Very High"/>
    <s v="Good"/>
  </r>
  <r>
    <n v="31"/>
    <s v="No"/>
    <s v="Travel_Rarely"/>
    <s v="Sales"/>
    <n v="5"/>
    <n v="4"/>
    <s v="Life Sciences"/>
    <n v="1673"/>
    <n v="1"/>
    <s v="Female"/>
    <n v="3"/>
    <n v="2"/>
    <s v="Sales Executive"/>
    <n v="4"/>
    <s v="Married"/>
    <n v="5476"/>
    <n v="1"/>
    <x v="1"/>
    <n v="11"/>
    <n v="3"/>
    <n v="1"/>
    <n v="2"/>
    <n v="10"/>
    <n v="2"/>
    <n v="3"/>
    <n v="10"/>
    <n v="0"/>
    <n v="0"/>
    <n v="2"/>
    <n v="0"/>
    <x v="2"/>
    <n v="2"/>
    <x v="0"/>
    <n v="2"/>
    <x v="0"/>
    <n v="3"/>
    <s v="Master"/>
    <s v="Very High"/>
    <s v="Low"/>
    <s v="Better"/>
  </r>
  <r>
    <n v="49"/>
    <s v="No"/>
    <s v="Travel_Rarely"/>
    <s v="Research &amp; Development"/>
    <n v="16"/>
    <n v="3"/>
    <s v="Medical"/>
    <n v="1674"/>
    <n v="4"/>
    <s v="Female"/>
    <n v="3"/>
    <n v="1"/>
    <s v="Laboratory Technician"/>
    <n v="1"/>
    <s v="Divorced"/>
    <n v="2587"/>
    <n v="4"/>
    <x v="0"/>
    <n v="16"/>
    <n v="3"/>
    <n v="2"/>
    <n v="1"/>
    <n v="17"/>
    <n v="2"/>
    <n v="2"/>
    <n v="2"/>
    <n v="2"/>
    <n v="2"/>
    <n v="2"/>
    <n v="0"/>
    <x v="1"/>
    <n v="4"/>
    <x v="1"/>
    <n v="1"/>
    <x v="1"/>
    <n v="1"/>
    <s v="Bachelor"/>
    <s v="Low"/>
    <s v="Very High"/>
    <s v="Good"/>
  </r>
  <r>
    <n v="38"/>
    <s v="No"/>
    <s v="Travel_Frequently"/>
    <s v="Research &amp; Development"/>
    <n v="2"/>
    <n v="3"/>
    <s v="Medical"/>
    <n v="1675"/>
    <n v="4"/>
    <s v="Female"/>
    <n v="2"/>
    <n v="1"/>
    <s v="Laboratory Technician"/>
    <n v="2"/>
    <s v="Single"/>
    <n v="2440"/>
    <n v="1"/>
    <x v="1"/>
    <n v="22"/>
    <n v="4"/>
    <n v="2"/>
    <n v="0"/>
    <n v="4"/>
    <n v="3"/>
    <n v="3"/>
    <n v="4"/>
    <n v="3"/>
    <n v="3"/>
    <n v="3"/>
    <n v="0"/>
    <x v="0"/>
    <n v="3"/>
    <x v="1"/>
    <n v="1"/>
    <x v="2"/>
    <n v="2"/>
    <s v="Bachelor"/>
    <s v="Medium"/>
    <s v="Very High"/>
    <s v="Better"/>
  </r>
  <r>
    <n v="47"/>
    <s v="No"/>
    <s v="Travel_Rarely"/>
    <s v="Sales"/>
    <n v="2"/>
    <n v="4"/>
    <s v="Life Sciences"/>
    <n v="1676"/>
    <n v="2"/>
    <s v="Female"/>
    <n v="4"/>
    <n v="4"/>
    <s v="Manager"/>
    <n v="2"/>
    <s v="Divorced"/>
    <n v="15972"/>
    <n v="6"/>
    <x v="1"/>
    <n v="14"/>
    <n v="3"/>
    <n v="3"/>
    <n v="3"/>
    <n v="29"/>
    <n v="2"/>
    <n v="3"/>
    <n v="3"/>
    <n v="2"/>
    <n v="1"/>
    <n v="2"/>
    <n v="0"/>
    <x v="1"/>
    <n v="4"/>
    <x v="3"/>
    <n v="4"/>
    <x v="2"/>
    <n v="2"/>
    <s v="Master"/>
    <s v="Medium"/>
    <s v="Medium"/>
    <s v="Better"/>
  </r>
  <r>
    <n v="49"/>
    <s v="No"/>
    <s v="Travel_Rarely"/>
    <s v="Research &amp; Development"/>
    <n v="1"/>
    <n v="3"/>
    <s v="Life Sciences"/>
    <n v="1677"/>
    <n v="3"/>
    <s v="Male"/>
    <n v="3"/>
    <n v="4"/>
    <s v="Manager"/>
    <n v="3"/>
    <s v="Single"/>
    <n v="15379"/>
    <n v="4"/>
    <x v="1"/>
    <n v="14"/>
    <n v="3"/>
    <n v="1"/>
    <n v="0"/>
    <n v="23"/>
    <n v="2"/>
    <n v="3"/>
    <n v="8"/>
    <n v="7"/>
    <n v="0"/>
    <n v="0"/>
    <n v="0"/>
    <x v="1"/>
    <n v="4"/>
    <x v="3"/>
    <n v="4"/>
    <x v="0"/>
    <n v="3"/>
    <s v="Bachelor"/>
    <s v="High"/>
    <s v="High"/>
    <s v="Better"/>
  </r>
  <r>
    <n v="41"/>
    <s v="No"/>
    <s v="Travel_Rarely"/>
    <s v="Sales"/>
    <n v="23"/>
    <n v="2"/>
    <s v="Life Sciences"/>
    <n v="1678"/>
    <n v="4"/>
    <s v="Male"/>
    <n v="3"/>
    <n v="3"/>
    <s v="Sales Executive"/>
    <n v="3"/>
    <s v="Single"/>
    <n v="7082"/>
    <n v="3"/>
    <x v="0"/>
    <n v="16"/>
    <n v="3"/>
    <n v="4"/>
    <n v="0"/>
    <n v="21"/>
    <n v="2"/>
    <n v="3"/>
    <n v="2"/>
    <n v="0"/>
    <n v="0"/>
    <n v="2"/>
    <n v="0"/>
    <x v="0"/>
    <n v="3"/>
    <x v="2"/>
    <n v="3"/>
    <x v="1"/>
    <n v="1"/>
    <s v="College"/>
    <s v="High"/>
    <s v="Very High"/>
    <s v="Better"/>
  </r>
  <r>
    <n v="20"/>
    <s v="No"/>
    <s v="Travel_Rarely"/>
    <s v="Sales"/>
    <n v="9"/>
    <n v="1"/>
    <s v="Life Sciences"/>
    <n v="1680"/>
    <n v="4"/>
    <s v="Male"/>
    <n v="3"/>
    <n v="1"/>
    <s v="Sales Representative"/>
    <n v="1"/>
    <s v="Single"/>
    <n v="2728"/>
    <n v="1"/>
    <x v="1"/>
    <n v="11"/>
    <n v="3"/>
    <n v="1"/>
    <n v="0"/>
    <n v="2"/>
    <n v="3"/>
    <n v="3"/>
    <n v="2"/>
    <n v="2"/>
    <n v="0"/>
    <n v="2"/>
    <n v="0"/>
    <x v="4"/>
    <n v="1"/>
    <x v="1"/>
    <n v="1"/>
    <x v="1"/>
    <n v="1"/>
    <s v="Below College"/>
    <s v="Low"/>
    <s v="Very High"/>
    <s v="Better"/>
  </r>
  <r>
    <n v="33"/>
    <s v="No"/>
    <s v="Non-Travel"/>
    <s v="Sales"/>
    <n v="16"/>
    <n v="3"/>
    <s v="Life Sciences"/>
    <n v="1681"/>
    <n v="3"/>
    <s v="Female"/>
    <n v="3"/>
    <n v="2"/>
    <s v="Sales Executive"/>
    <n v="4"/>
    <s v="Divorced"/>
    <n v="5368"/>
    <n v="1"/>
    <x v="0"/>
    <n v="25"/>
    <n v="4"/>
    <n v="3"/>
    <n v="1"/>
    <n v="7"/>
    <n v="2"/>
    <n v="3"/>
    <n v="6"/>
    <n v="5"/>
    <n v="1"/>
    <n v="2"/>
    <n v="0"/>
    <x v="2"/>
    <n v="2"/>
    <x v="0"/>
    <n v="2"/>
    <x v="0"/>
    <n v="3"/>
    <s v="Bachelor"/>
    <s v="Very High"/>
    <s v="High"/>
    <s v="Better"/>
  </r>
  <r>
    <n v="36"/>
    <s v="No"/>
    <s v="Travel_Rarely"/>
    <s v="Research &amp; Development"/>
    <n v="26"/>
    <n v="4"/>
    <s v="Life Sciences"/>
    <n v="1682"/>
    <n v="1"/>
    <s v="Male"/>
    <n v="3"/>
    <n v="2"/>
    <s v="Healthcare Representative"/>
    <n v="3"/>
    <s v="Married"/>
    <n v="5347"/>
    <n v="6"/>
    <x v="1"/>
    <n v="14"/>
    <n v="3"/>
    <n v="2"/>
    <n v="2"/>
    <n v="10"/>
    <n v="2"/>
    <n v="2"/>
    <n v="3"/>
    <n v="2"/>
    <n v="0"/>
    <n v="2"/>
    <n v="0"/>
    <x v="0"/>
    <n v="3"/>
    <x v="0"/>
    <n v="2"/>
    <x v="2"/>
    <n v="2"/>
    <s v="Master"/>
    <s v="High"/>
    <s v="Low"/>
    <s v="Good"/>
  </r>
  <r>
    <n v="44"/>
    <s v="No"/>
    <s v="Travel_Rarely"/>
    <s v="Human Resources"/>
    <n v="1"/>
    <n v="3"/>
    <s v="Life Sciences"/>
    <n v="1683"/>
    <n v="3"/>
    <s v="Female"/>
    <n v="3"/>
    <n v="1"/>
    <s v="Human Resources"/>
    <n v="4"/>
    <s v="Divorced"/>
    <n v="3195"/>
    <n v="4"/>
    <x v="0"/>
    <n v="18"/>
    <n v="3"/>
    <n v="1"/>
    <n v="3"/>
    <n v="8"/>
    <n v="2"/>
    <n v="3"/>
    <n v="2"/>
    <n v="2"/>
    <n v="2"/>
    <n v="2"/>
    <n v="0"/>
    <x v="0"/>
    <n v="3"/>
    <x v="0"/>
    <n v="2"/>
    <x v="1"/>
    <n v="1"/>
    <s v="Bachelor"/>
    <s v="Very High"/>
    <s v="High"/>
    <s v="Better"/>
  </r>
  <r>
    <n v="23"/>
    <s v="Yes"/>
    <s v="Travel_Rarely"/>
    <s v="Research &amp; Development"/>
    <n v="8"/>
    <n v="1"/>
    <s v="Medical"/>
    <n v="1684"/>
    <n v="4"/>
    <s v="Male"/>
    <n v="2"/>
    <n v="1"/>
    <s v="Laboratory Technician"/>
    <n v="3"/>
    <s v="Single"/>
    <n v="3989"/>
    <n v="1"/>
    <x v="0"/>
    <n v="11"/>
    <n v="3"/>
    <n v="1"/>
    <n v="0"/>
    <n v="5"/>
    <n v="2"/>
    <n v="3"/>
    <n v="5"/>
    <n v="4"/>
    <n v="1"/>
    <n v="2"/>
    <n v="1"/>
    <x v="4"/>
    <n v="1"/>
    <x v="0"/>
    <n v="2"/>
    <x v="2"/>
    <n v="2"/>
    <s v="Below College"/>
    <s v="High"/>
    <s v="Very High"/>
    <s v="Better"/>
  </r>
  <r>
    <n v="38"/>
    <s v="No"/>
    <s v="Travel_Rarely"/>
    <s v="Research &amp; Development"/>
    <n v="4"/>
    <n v="2"/>
    <s v="Medical"/>
    <n v="1687"/>
    <n v="4"/>
    <s v="Female"/>
    <n v="3"/>
    <n v="1"/>
    <s v="Laboratory Technician"/>
    <n v="3"/>
    <s v="Married"/>
    <n v="3306"/>
    <n v="7"/>
    <x v="1"/>
    <n v="19"/>
    <n v="3"/>
    <n v="4"/>
    <n v="1"/>
    <n v="7"/>
    <n v="5"/>
    <n v="2"/>
    <n v="0"/>
    <n v="0"/>
    <n v="0"/>
    <n v="0"/>
    <n v="0"/>
    <x v="0"/>
    <n v="3"/>
    <x v="0"/>
    <n v="2"/>
    <x v="1"/>
    <n v="1"/>
    <s v="College"/>
    <s v="High"/>
    <s v="Very High"/>
    <s v="Good"/>
  </r>
  <r>
    <n v="53"/>
    <s v="No"/>
    <s v="Travel_Rarely"/>
    <s v="Research &amp; Development"/>
    <n v="24"/>
    <n v="4"/>
    <s v="Medical"/>
    <n v="1689"/>
    <n v="2"/>
    <s v="Male"/>
    <n v="4"/>
    <n v="3"/>
    <s v="Healthcare Representative"/>
    <n v="4"/>
    <s v="Married"/>
    <n v="7005"/>
    <n v="3"/>
    <x v="1"/>
    <n v="15"/>
    <n v="3"/>
    <n v="3"/>
    <n v="0"/>
    <n v="11"/>
    <n v="2"/>
    <n v="3"/>
    <n v="4"/>
    <n v="3"/>
    <n v="1"/>
    <n v="2"/>
    <n v="0"/>
    <x v="1"/>
    <n v="4"/>
    <x v="2"/>
    <n v="3"/>
    <x v="2"/>
    <n v="2"/>
    <s v="Master"/>
    <s v="Very High"/>
    <s v="Medium"/>
    <s v="Better"/>
  </r>
  <r>
    <n v="48"/>
    <s v="Yes"/>
    <s v="Travel_Frequently"/>
    <s v="Sales"/>
    <n v="7"/>
    <n v="2"/>
    <s v="Medical"/>
    <n v="1691"/>
    <n v="4"/>
    <s v="Female"/>
    <n v="3"/>
    <n v="1"/>
    <s v="Sales Representative"/>
    <n v="3"/>
    <s v="Married"/>
    <n v="2655"/>
    <n v="2"/>
    <x v="0"/>
    <n v="11"/>
    <n v="3"/>
    <n v="3"/>
    <n v="2"/>
    <n v="19"/>
    <n v="3"/>
    <n v="3"/>
    <n v="9"/>
    <n v="7"/>
    <n v="7"/>
    <n v="7"/>
    <n v="1"/>
    <x v="1"/>
    <n v="4"/>
    <x v="1"/>
    <n v="1"/>
    <x v="0"/>
    <n v="3"/>
    <s v="College"/>
    <s v="High"/>
    <s v="Very High"/>
    <s v="Better"/>
  </r>
  <r>
    <n v="32"/>
    <s v="Yes"/>
    <s v="Travel_Rarely"/>
    <s v="Research &amp; Development"/>
    <n v="2"/>
    <n v="4"/>
    <s v="Life Sciences"/>
    <n v="1692"/>
    <n v="4"/>
    <s v="Male"/>
    <n v="3"/>
    <n v="1"/>
    <s v="Laboratory Technician"/>
    <n v="2"/>
    <s v="Single"/>
    <n v="1393"/>
    <n v="1"/>
    <x v="1"/>
    <n v="12"/>
    <n v="3"/>
    <n v="1"/>
    <n v="0"/>
    <n v="1"/>
    <n v="2"/>
    <n v="3"/>
    <n v="1"/>
    <n v="0"/>
    <n v="0"/>
    <n v="0"/>
    <n v="1"/>
    <x v="2"/>
    <n v="2"/>
    <x v="1"/>
    <n v="1"/>
    <x v="1"/>
    <n v="1"/>
    <s v="Master"/>
    <s v="Medium"/>
    <s v="Very High"/>
    <s v="Better"/>
  </r>
  <r>
    <n v="26"/>
    <s v="No"/>
    <s v="Non-Travel"/>
    <s v="Research &amp; Development"/>
    <n v="7"/>
    <n v="3"/>
    <s v="Medical"/>
    <n v="1693"/>
    <n v="4"/>
    <s v="Male"/>
    <n v="3"/>
    <n v="1"/>
    <s v="Laboratory Technician"/>
    <n v="4"/>
    <s v="Single"/>
    <n v="2570"/>
    <n v="1"/>
    <x v="1"/>
    <n v="20"/>
    <n v="4"/>
    <n v="3"/>
    <n v="0"/>
    <n v="7"/>
    <n v="5"/>
    <n v="3"/>
    <n v="7"/>
    <n v="7"/>
    <n v="5"/>
    <n v="7"/>
    <n v="0"/>
    <x v="2"/>
    <n v="2"/>
    <x v="1"/>
    <n v="1"/>
    <x v="0"/>
    <n v="3"/>
    <s v="Bachelor"/>
    <s v="Very High"/>
    <s v="Very High"/>
    <s v="Better"/>
  </r>
  <r>
    <n v="55"/>
    <s v="No"/>
    <s v="Travel_Rarely"/>
    <s v="Research &amp; Development"/>
    <n v="22"/>
    <n v="3"/>
    <s v="Technical Degree"/>
    <n v="1694"/>
    <n v="1"/>
    <s v="Male"/>
    <n v="2"/>
    <n v="1"/>
    <s v="Research Scientist"/>
    <n v="2"/>
    <s v="Divorced"/>
    <n v="3537"/>
    <n v="5"/>
    <x v="1"/>
    <n v="12"/>
    <n v="3"/>
    <n v="4"/>
    <n v="1"/>
    <n v="8"/>
    <n v="1"/>
    <n v="3"/>
    <n v="4"/>
    <n v="2"/>
    <n v="1"/>
    <n v="2"/>
    <n v="0"/>
    <x v="1"/>
    <n v="4"/>
    <x v="0"/>
    <n v="2"/>
    <x v="2"/>
    <n v="2"/>
    <s v="Bachelor"/>
    <s v="Medium"/>
    <s v="Low"/>
    <s v="Better"/>
  </r>
  <r>
    <n v="34"/>
    <s v="No"/>
    <s v="Travel_Rarely"/>
    <s v="Research &amp; Development"/>
    <n v="5"/>
    <n v="2"/>
    <s v="Medical"/>
    <n v="1696"/>
    <n v="2"/>
    <s v="Male"/>
    <n v="2"/>
    <n v="2"/>
    <s v="Laboratory Technician"/>
    <n v="4"/>
    <s v="Married"/>
    <n v="3986"/>
    <n v="1"/>
    <x v="1"/>
    <n v="14"/>
    <n v="3"/>
    <n v="3"/>
    <n v="1"/>
    <n v="15"/>
    <n v="3"/>
    <n v="4"/>
    <n v="15"/>
    <n v="10"/>
    <n v="4"/>
    <n v="13"/>
    <n v="0"/>
    <x v="2"/>
    <n v="2"/>
    <x v="0"/>
    <n v="2"/>
    <x v="3"/>
    <n v="4"/>
    <s v="College"/>
    <s v="Very High"/>
    <s v="Medium"/>
    <s v="Best"/>
  </r>
  <r>
    <n v="60"/>
    <s v="No"/>
    <s v="Travel_Rarely"/>
    <s v="Research &amp; Development"/>
    <n v="1"/>
    <n v="4"/>
    <s v="Medical"/>
    <n v="1697"/>
    <n v="3"/>
    <s v="Male"/>
    <n v="1"/>
    <n v="3"/>
    <s v="Healthcare Representative"/>
    <n v="4"/>
    <s v="Divorced"/>
    <n v="10883"/>
    <n v="3"/>
    <x v="1"/>
    <n v="20"/>
    <n v="4"/>
    <n v="3"/>
    <n v="1"/>
    <n v="19"/>
    <n v="2"/>
    <n v="4"/>
    <n v="1"/>
    <n v="0"/>
    <n v="0"/>
    <n v="0"/>
    <n v="0"/>
    <x v="3"/>
    <n v="5"/>
    <x v="3"/>
    <n v="4"/>
    <x v="1"/>
    <n v="1"/>
    <s v="Master"/>
    <s v="Very High"/>
    <s v="High"/>
    <s v="Best"/>
  </r>
  <r>
    <n v="33"/>
    <s v="No"/>
    <s v="Travel_Rarely"/>
    <s v="Research &amp; Development"/>
    <n v="21"/>
    <n v="3"/>
    <s v="Medical"/>
    <n v="1698"/>
    <n v="2"/>
    <s v="Male"/>
    <n v="4"/>
    <n v="1"/>
    <s v="Laboratory Technician"/>
    <n v="2"/>
    <s v="Married"/>
    <n v="2028"/>
    <n v="1"/>
    <x v="1"/>
    <n v="18"/>
    <n v="3"/>
    <n v="4"/>
    <n v="3"/>
    <n v="14"/>
    <n v="6"/>
    <n v="3"/>
    <n v="14"/>
    <n v="11"/>
    <n v="2"/>
    <n v="13"/>
    <n v="0"/>
    <x v="2"/>
    <n v="2"/>
    <x v="1"/>
    <n v="1"/>
    <x v="3"/>
    <n v="4"/>
    <s v="Bachelor"/>
    <s v="Medium"/>
    <s v="Medium"/>
    <s v="Better"/>
  </r>
  <r>
    <n v="37"/>
    <s v="No"/>
    <s v="Travel_Frequently"/>
    <s v="Sales"/>
    <n v="1"/>
    <n v="4"/>
    <s v="Medical"/>
    <n v="1700"/>
    <n v="3"/>
    <s v="Male"/>
    <n v="1"/>
    <n v="2"/>
    <s v="Sales Executive"/>
    <n v="4"/>
    <s v="Divorced"/>
    <n v="9525"/>
    <n v="1"/>
    <x v="1"/>
    <n v="14"/>
    <n v="3"/>
    <n v="3"/>
    <n v="2"/>
    <n v="6"/>
    <n v="2"/>
    <n v="2"/>
    <n v="6"/>
    <n v="3"/>
    <n v="1"/>
    <n v="3"/>
    <n v="0"/>
    <x v="0"/>
    <n v="3"/>
    <x v="2"/>
    <n v="3"/>
    <x v="0"/>
    <n v="3"/>
    <s v="Master"/>
    <s v="Very High"/>
    <s v="High"/>
    <s v="Good"/>
  </r>
  <r>
    <n v="34"/>
    <s v="No"/>
    <s v="Travel_Rarely"/>
    <s v="Research &amp; Development"/>
    <n v="19"/>
    <n v="3"/>
    <s v="Life Sciences"/>
    <n v="1701"/>
    <n v="2"/>
    <s v="Female"/>
    <n v="2"/>
    <n v="1"/>
    <s v="Research Scientist"/>
    <n v="4"/>
    <s v="Married"/>
    <n v="2929"/>
    <n v="1"/>
    <x v="1"/>
    <n v="12"/>
    <n v="3"/>
    <n v="2"/>
    <n v="0"/>
    <n v="10"/>
    <n v="3"/>
    <n v="3"/>
    <n v="10"/>
    <n v="9"/>
    <n v="8"/>
    <n v="7"/>
    <n v="0"/>
    <x v="2"/>
    <n v="2"/>
    <x v="1"/>
    <n v="1"/>
    <x v="0"/>
    <n v="3"/>
    <s v="Bachelor"/>
    <s v="Very High"/>
    <s v="Medium"/>
    <s v="Better"/>
  </r>
  <r>
    <n v="23"/>
    <s v="Yes"/>
    <s v="Travel_Rarely"/>
    <s v="Sales"/>
    <n v="7"/>
    <n v="3"/>
    <s v="Life Sciences"/>
    <n v="1702"/>
    <n v="3"/>
    <s v="Male"/>
    <n v="3"/>
    <n v="1"/>
    <s v="Sales Representative"/>
    <n v="4"/>
    <s v="Divorced"/>
    <n v="2275"/>
    <n v="1"/>
    <x v="0"/>
    <n v="21"/>
    <n v="4"/>
    <n v="2"/>
    <n v="1"/>
    <n v="3"/>
    <n v="2"/>
    <n v="3"/>
    <n v="3"/>
    <n v="2"/>
    <n v="0"/>
    <n v="2"/>
    <n v="1"/>
    <x v="4"/>
    <n v="1"/>
    <x v="1"/>
    <n v="1"/>
    <x v="2"/>
    <n v="2"/>
    <s v="Bachelor"/>
    <s v="Very High"/>
    <s v="High"/>
    <s v="Better"/>
  </r>
  <r>
    <n v="44"/>
    <s v="No"/>
    <s v="Travel_Rarely"/>
    <s v="Research &amp; Development"/>
    <n v="2"/>
    <n v="3"/>
    <s v="Life Sciences"/>
    <n v="1703"/>
    <n v="3"/>
    <s v="Female"/>
    <n v="4"/>
    <n v="3"/>
    <s v="Healthcare Representative"/>
    <n v="4"/>
    <s v="Married"/>
    <n v="7879"/>
    <n v="1"/>
    <x v="0"/>
    <n v="19"/>
    <n v="3"/>
    <n v="2"/>
    <n v="1"/>
    <n v="9"/>
    <n v="2"/>
    <n v="3"/>
    <n v="8"/>
    <n v="7"/>
    <n v="6"/>
    <n v="7"/>
    <n v="0"/>
    <x v="0"/>
    <n v="3"/>
    <x v="2"/>
    <n v="3"/>
    <x v="0"/>
    <n v="3"/>
    <s v="Bachelor"/>
    <s v="Very High"/>
    <s v="High"/>
    <s v="Better"/>
  </r>
  <r>
    <n v="35"/>
    <s v="No"/>
    <s v="Travel_Frequently"/>
    <s v="Research &amp; Development"/>
    <n v="2"/>
    <n v="4"/>
    <s v="Medical"/>
    <n v="1704"/>
    <n v="1"/>
    <s v="Male"/>
    <n v="2"/>
    <n v="1"/>
    <s v="Research Scientist"/>
    <n v="4"/>
    <s v="Single"/>
    <n v="4930"/>
    <n v="0"/>
    <x v="0"/>
    <n v="14"/>
    <n v="3"/>
    <n v="3"/>
    <n v="0"/>
    <n v="6"/>
    <n v="2"/>
    <n v="4"/>
    <n v="5"/>
    <n v="4"/>
    <n v="1"/>
    <n v="4"/>
    <n v="0"/>
    <x v="2"/>
    <n v="2"/>
    <x v="0"/>
    <n v="2"/>
    <x v="2"/>
    <n v="2"/>
    <s v="Master"/>
    <s v="Very High"/>
    <s v="Low"/>
    <s v="Best"/>
  </r>
  <r>
    <n v="43"/>
    <s v="No"/>
    <s v="Travel_Rarely"/>
    <s v="Sales"/>
    <n v="2"/>
    <n v="3"/>
    <s v="Medical"/>
    <n v="1706"/>
    <n v="4"/>
    <s v="Male"/>
    <n v="3"/>
    <n v="2"/>
    <s v="Sales Executive"/>
    <n v="4"/>
    <s v="Married"/>
    <n v="7847"/>
    <n v="1"/>
    <x v="0"/>
    <n v="17"/>
    <n v="3"/>
    <n v="1"/>
    <n v="1"/>
    <n v="10"/>
    <n v="3"/>
    <n v="3"/>
    <n v="10"/>
    <n v="9"/>
    <n v="8"/>
    <n v="8"/>
    <n v="0"/>
    <x v="0"/>
    <n v="3"/>
    <x v="2"/>
    <n v="3"/>
    <x v="0"/>
    <n v="3"/>
    <s v="Bachelor"/>
    <s v="Very High"/>
    <s v="Very High"/>
    <s v="Better"/>
  </r>
  <r>
    <n v="24"/>
    <s v="No"/>
    <s v="Travel_Rarely"/>
    <s v="Research &amp; Development"/>
    <n v="9"/>
    <n v="3"/>
    <s v="Medical"/>
    <n v="1707"/>
    <n v="3"/>
    <s v="Male"/>
    <n v="4"/>
    <n v="1"/>
    <s v="Research Scientist"/>
    <n v="3"/>
    <s v="Married"/>
    <n v="4401"/>
    <n v="1"/>
    <x v="1"/>
    <n v="16"/>
    <n v="3"/>
    <n v="4"/>
    <n v="1"/>
    <n v="5"/>
    <n v="1"/>
    <n v="3"/>
    <n v="5"/>
    <n v="3"/>
    <n v="0"/>
    <n v="4"/>
    <n v="0"/>
    <x v="4"/>
    <n v="1"/>
    <x v="0"/>
    <n v="2"/>
    <x v="2"/>
    <n v="2"/>
    <s v="Bachelor"/>
    <s v="High"/>
    <s v="High"/>
    <s v="Better"/>
  </r>
  <r>
    <n v="41"/>
    <s v="No"/>
    <s v="Travel_Rarely"/>
    <s v="Sales"/>
    <n v="6"/>
    <n v="3"/>
    <s v="Marketing"/>
    <n v="1708"/>
    <n v="4"/>
    <s v="Male"/>
    <n v="3"/>
    <n v="3"/>
    <s v="Sales Executive"/>
    <n v="3"/>
    <s v="Single"/>
    <n v="9241"/>
    <n v="1"/>
    <x v="1"/>
    <n v="12"/>
    <n v="3"/>
    <n v="2"/>
    <n v="0"/>
    <n v="10"/>
    <n v="3"/>
    <n v="3"/>
    <n v="10"/>
    <n v="8"/>
    <n v="8"/>
    <n v="7"/>
    <n v="0"/>
    <x v="0"/>
    <n v="3"/>
    <x v="2"/>
    <n v="3"/>
    <x v="0"/>
    <n v="3"/>
    <s v="Bachelor"/>
    <s v="High"/>
    <s v="Very High"/>
    <s v="Better"/>
  </r>
  <r>
    <n v="29"/>
    <s v="No"/>
    <s v="Travel_Rarely"/>
    <s v="Research &amp; Development"/>
    <n v="9"/>
    <n v="4"/>
    <s v="Medical"/>
    <n v="1709"/>
    <n v="4"/>
    <s v="Female"/>
    <n v="3"/>
    <n v="1"/>
    <s v="Laboratory Technician"/>
    <n v="3"/>
    <s v="Married"/>
    <n v="2974"/>
    <n v="9"/>
    <x v="1"/>
    <n v="17"/>
    <n v="3"/>
    <n v="3"/>
    <n v="1"/>
    <n v="9"/>
    <n v="2"/>
    <n v="3"/>
    <n v="5"/>
    <n v="3"/>
    <n v="1"/>
    <n v="2"/>
    <n v="0"/>
    <x v="2"/>
    <n v="2"/>
    <x v="1"/>
    <n v="1"/>
    <x v="2"/>
    <n v="2"/>
    <s v="Master"/>
    <s v="High"/>
    <s v="Very High"/>
    <s v="Better"/>
  </r>
  <r>
    <n v="36"/>
    <s v="No"/>
    <s v="Travel_Rarely"/>
    <s v="Sales"/>
    <n v="2"/>
    <n v="4"/>
    <s v="Life Sciences"/>
    <n v="1710"/>
    <n v="3"/>
    <s v="Female"/>
    <n v="3"/>
    <n v="2"/>
    <s v="Sales Representative"/>
    <n v="4"/>
    <s v="Single"/>
    <n v="4502"/>
    <n v="3"/>
    <x v="1"/>
    <n v="15"/>
    <n v="3"/>
    <n v="3"/>
    <n v="0"/>
    <n v="17"/>
    <n v="2"/>
    <n v="2"/>
    <n v="13"/>
    <n v="7"/>
    <n v="6"/>
    <n v="7"/>
    <n v="0"/>
    <x v="0"/>
    <n v="3"/>
    <x v="0"/>
    <n v="2"/>
    <x v="3"/>
    <n v="4"/>
    <s v="Master"/>
    <s v="Very High"/>
    <s v="High"/>
    <s v="Good"/>
  </r>
  <r>
    <n v="45"/>
    <s v="No"/>
    <s v="Non-Travel"/>
    <s v="Research &amp; Development"/>
    <n v="1"/>
    <n v="1"/>
    <s v="Life Sciences"/>
    <n v="1712"/>
    <n v="3"/>
    <s v="Male"/>
    <n v="2"/>
    <n v="3"/>
    <s v="Healthcare Representative"/>
    <n v="3"/>
    <s v="Married"/>
    <n v="10748"/>
    <n v="3"/>
    <x v="1"/>
    <n v="23"/>
    <n v="4"/>
    <n v="4"/>
    <n v="1"/>
    <n v="25"/>
    <n v="3"/>
    <n v="2"/>
    <n v="23"/>
    <n v="15"/>
    <n v="14"/>
    <n v="4"/>
    <n v="0"/>
    <x v="0"/>
    <n v="3"/>
    <x v="3"/>
    <n v="4"/>
    <x v="3"/>
    <n v="4"/>
    <s v="Below College"/>
    <s v="High"/>
    <s v="High"/>
    <s v="Good"/>
  </r>
  <r>
    <n v="24"/>
    <s v="Yes"/>
    <s v="Travel_Rarely"/>
    <s v="Human Resources"/>
    <n v="22"/>
    <n v="1"/>
    <s v="Human Resources"/>
    <n v="1714"/>
    <n v="4"/>
    <s v="Male"/>
    <n v="1"/>
    <n v="1"/>
    <s v="Human Resources"/>
    <n v="3"/>
    <s v="Married"/>
    <n v="1555"/>
    <n v="1"/>
    <x v="1"/>
    <n v="11"/>
    <n v="3"/>
    <n v="3"/>
    <n v="1"/>
    <n v="1"/>
    <n v="2"/>
    <n v="3"/>
    <n v="1"/>
    <n v="0"/>
    <n v="0"/>
    <n v="0"/>
    <n v="1"/>
    <x v="4"/>
    <n v="1"/>
    <x v="1"/>
    <n v="1"/>
    <x v="1"/>
    <n v="1"/>
    <s v="Below College"/>
    <s v="High"/>
    <s v="Very High"/>
    <s v="Better"/>
  </r>
  <r>
    <n v="47"/>
    <s v="Yes"/>
    <s v="Travel_Frequently"/>
    <s v="Sales"/>
    <n v="9"/>
    <n v="3"/>
    <s v="Life Sciences"/>
    <n v="1716"/>
    <n v="3"/>
    <s v="Male"/>
    <n v="1"/>
    <n v="4"/>
    <s v="Sales Executive"/>
    <n v="3"/>
    <s v="Married"/>
    <n v="12936"/>
    <n v="7"/>
    <x v="1"/>
    <n v="11"/>
    <n v="3"/>
    <n v="3"/>
    <n v="0"/>
    <n v="25"/>
    <n v="3"/>
    <n v="1"/>
    <n v="23"/>
    <n v="5"/>
    <n v="14"/>
    <n v="10"/>
    <n v="1"/>
    <x v="1"/>
    <n v="4"/>
    <x v="3"/>
    <n v="4"/>
    <x v="3"/>
    <n v="4"/>
    <s v="Bachelor"/>
    <s v="High"/>
    <s v="High"/>
    <s v="Bad"/>
  </r>
  <r>
    <n v="26"/>
    <s v="No"/>
    <s v="Travel_Rarely"/>
    <s v="Research &amp; Development"/>
    <n v="17"/>
    <n v="4"/>
    <s v="Medical"/>
    <n v="1718"/>
    <n v="4"/>
    <s v="Male"/>
    <n v="1"/>
    <n v="1"/>
    <s v="Laboratory Technician"/>
    <n v="3"/>
    <s v="Married"/>
    <n v="2305"/>
    <n v="1"/>
    <x v="1"/>
    <n v="15"/>
    <n v="3"/>
    <n v="3"/>
    <n v="3"/>
    <n v="3"/>
    <n v="3"/>
    <n v="4"/>
    <n v="3"/>
    <n v="2"/>
    <n v="0"/>
    <n v="2"/>
    <n v="0"/>
    <x v="2"/>
    <n v="2"/>
    <x v="1"/>
    <n v="1"/>
    <x v="2"/>
    <n v="2"/>
    <s v="Master"/>
    <s v="High"/>
    <s v="Very High"/>
    <s v="Best"/>
  </r>
  <r>
    <n v="45"/>
    <s v="No"/>
    <s v="Travel_Rarely"/>
    <s v="Research &amp; Development"/>
    <n v="28"/>
    <n v="2"/>
    <s v="Technical Degree"/>
    <n v="1719"/>
    <n v="4"/>
    <s v="Female"/>
    <n v="2"/>
    <n v="4"/>
    <s v="Research Director"/>
    <n v="2"/>
    <s v="Single"/>
    <n v="16704"/>
    <n v="1"/>
    <x v="1"/>
    <n v="11"/>
    <n v="3"/>
    <n v="3"/>
    <n v="0"/>
    <n v="21"/>
    <n v="2"/>
    <n v="3"/>
    <n v="21"/>
    <n v="6"/>
    <n v="8"/>
    <n v="6"/>
    <n v="0"/>
    <x v="0"/>
    <n v="3"/>
    <x v="3"/>
    <n v="4"/>
    <x v="3"/>
    <n v="4"/>
    <s v="College"/>
    <s v="Medium"/>
    <s v="Very High"/>
    <s v="Better"/>
  </r>
  <r>
    <n v="32"/>
    <s v="No"/>
    <s v="Travel_Frequently"/>
    <s v="Research &amp; Development"/>
    <n v="10"/>
    <n v="3"/>
    <s v="Life Sciences"/>
    <n v="1720"/>
    <n v="1"/>
    <s v="Male"/>
    <n v="3"/>
    <n v="1"/>
    <s v="Research Scientist"/>
    <n v="3"/>
    <s v="Married"/>
    <n v="3433"/>
    <n v="6"/>
    <x v="1"/>
    <n v="13"/>
    <n v="3"/>
    <n v="1"/>
    <n v="1"/>
    <n v="10"/>
    <n v="3"/>
    <n v="2"/>
    <n v="5"/>
    <n v="2"/>
    <n v="1"/>
    <n v="3"/>
    <n v="0"/>
    <x v="2"/>
    <n v="2"/>
    <x v="0"/>
    <n v="2"/>
    <x v="2"/>
    <n v="2"/>
    <s v="Bachelor"/>
    <s v="High"/>
    <s v="Low"/>
    <s v="Good"/>
  </r>
  <r>
    <n v="31"/>
    <s v="No"/>
    <s v="Travel_Rarely"/>
    <s v="Research &amp; Development"/>
    <n v="2"/>
    <n v="4"/>
    <s v="Life Sciences"/>
    <n v="1721"/>
    <n v="2"/>
    <s v="Male"/>
    <n v="3"/>
    <n v="1"/>
    <s v="Laboratory Technician"/>
    <n v="3"/>
    <s v="Married"/>
    <n v="3477"/>
    <n v="1"/>
    <x v="1"/>
    <n v="14"/>
    <n v="3"/>
    <n v="4"/>
    <n v="1"/>
    <n v="6"/>
    <n v="2"/>
    <n v="4"/>
    <n v="5"/>
    <n v="2"/>
    <n v="0"/>
    <n v="3"/>
    <n v="0"/>
    <x v="2"/>
    <n v="2"/>
    <x v="0"/>
    <n v="2"/>
    <x v="2"/>
    <n v="2"/>
    <s v="Master"/>
    <s v="High"/>
    <s v="Medium"/>
    <s v="Best"/>
  </r>
  <r>
    <n v="41"/>
    <s v="No"/>
    <s v="Non-Travel"/>
    <s v="Human Resources"/>
    <n v="4"/>
    <n v="3"/>
    <s v="Human Resources"/>
    <n v="1722"/>
    <n v="3"/>
    <s v="Male"/>
    <n v="1"/>
    <n v="2"/>
    <s v="Human Resources"/>
    <n v="2"/>
    <s v="Married"/>
    <n v="6430"/>
    <n v="6"/>
    <x v="1"/>
    <n v="19"/>
    <n v="3"/>
    <n v="2"/>
    <n v="1"/>
    <n v="10"/>
    <n v="4"/>
    <n v="3"/>
    <n v="3"/>
    <n v="2"/>
    <n v="1"/>
    <n v="2"/>
    <n v="0"/>
    <x v="0"/>
    <n v="3"/>
    <x v="2"/>
    <n v="3"/>
    <x v="2"/>
    <n v="2"/>
    <s v="Bachelor"/>
    <s v="Medium"/>
    <s v="High"/>
    <s v="Better"/>
  </r>
  <r>
    <n v="40"/>
    <s v="No"/>
    <s v="Travel_Rarely"/>
    <s v="Research &amp; Development"/>
    <n v="8"/>
    <n v="2"/>
    <s v="Life Sciences"/>
    <n v="1724"/>
    <n v="2"/>
    <s v="Female"/>
    <n v="3"/>
    <n v="2"/>
    <s v="Manufacturing Director"/>
    <n v="1"/>
    <s v="Married"/>
    <n v="6516"/>
    <n v="2"/>
    <x v="0"/>
    <n v="16"/>
    <n v="3"/>
    <n v="2"/>
    <n v="1"/>
    <n v="18"/>
    <n v="3"/>
    <n v="3"/>
    <n v="1"/>
    <n v="0"/>
    <n v="0"/>
    <n v="0"/>
    <n v="0"/>
    <x v="0"/>
    <n v="3"/>
    <x v="2"/>
    <n v="3"/>
    <x v="1"/>
    <n v="1"/>
    <s v="College"/>
    <s v="Low"/>
    <s v="Medium"/>
    <s v="Better"/>
  </r>
  <r>
    <n v="24"/>
    <s v="No"/>
    <s v="Travel_Rarely"/>
    <s v="Research &amp; Development"/>
    <n v="29"/>
    <n v="1"/>
    <s v="Medical"/>
    <n v="1725"/>
    <n v="2"/>
    <s v="Male"/>
    <n v="3"/>
    <n v="1"/>
    <s v="Laboratory Technician"/>
    <n v="1"/>
    <s v="Divorced"/>
    <n v="3907"/>
    <n v="1"/>
    <x v="1"/>
    <n v="13"/>
    <n v="3"/>
    <n v="2"/>
    <n v="3"/>
    <n v="6"/>
    <n v="2"/>
    <n v="4"/>
    <n v="6"/>
    <n v="2"/>
    <n v="1"/>
    <n v="2"/>
    <n v="0"/>
    <x v="4"/>
    <n v="1"/>
    <x v="0"/>
    <n v="2"/>
    <x v="0"/>
    <n v="3"/>
    <s v="Below College"/>
    <s v="Low"/>
    <s v="Medium"/>
    <s v="Best"/>
  </r>
  <r>
    <n v="46"/>
    <s v="No"/>
    <s v="Travel_Rarely"/>
    <s v="Research &amp; Development"/>
    <n v="13"/>
    <n v="4"/>
    <s v="Life Sciences"/>
    <n v="1727"/>
    <n v="3"/>
    <s v="Male"/>
    <n v="3"/>
    <n v="2"/>
    <s v="Healthcare Representative"/>
    <n v="2"/>
    <s v="Single"/>
    <n v="5562"/>
    <n v="6"/>
    <x v="1"/>
    <n v="14"/>
    <n v="3"/>
    <n v="4"/>
    <n v="0"/>
    <n v="19"/>
    <n v="3"/>
    <n v="3"/>
    <n v="10"/>
    <n v="7"/>
    <n v="0"/>
    <n v="9"/>
    <n v="0"/>
    <x v="1"/>
    <n v="4"/>
    <x v="0"/>
    <n v="2"/>
    <x v="0"/>
    <n v="3"/>
    <s v="Master"/>
    <s v="Medium"/>
    <s v="High"/>
    <s v="Better"/>
  </r>
  <r>
    <n v="35"/>
    <s v="No"/>
    <s v="Travel_Rarely"/>
    <s v="Research &amp; Development"/>
    <n v="27"/>
    <n v="4"/>
    <s v="Life Sciences"/>
    <n v="1728"/>
    <n v="4"/>
    <s v="Male"/>
    <n v="3"/>
    <n v="2"/>
    <s v="Manufacturing Director"/>
    <n v="3"/>
    <s v="Married"/>
    <n v="6883"/>
    <n v="2"/>
    <x v="1"/>
    <n v="16"/>
    <n v="3"/>
    <n v="2"/>
    <n v="1"/>
    <n v="17"/>
    <n v="3"/>
    <n v="3"/>
    <n v="7"/>
    <n v="7"/>
    <n v="0"/>
    <n v="7"/>
    <n v="0"/>
    <x v="2"/>
    <n v="2"/>
    <x v="2"/>
    <n v="3"/>
    <x v="0"/>
    <n v="3"/>
    <s v="Master"/>
    <s v="High"/>
    <s v="Very High"/>
    <s v="Better"/>
  </r>
  <r>
    <n v="30"/>
    <s v="No"/>
    <s v="Travel_Rarely"/>
    <s v="Research &amp; Development"/>
    <n v="16"/>
    <n v="1"/>
    <s v="Life Sciences"/>
    <n v="1729"/>
    <n v="2"/>
    <s v="Male"/>
    <n v="3"/>
    <n v="1"/>
    <s v="Research Scientist"/>
    <n v="4"/>
    <s v="Married"/>
    <n v="2862"/>
    <n v="1"/>
    <x v="1"/>
    <n v="12"/>
    <n v="3"/>
    <n v="2"/>
    <n v="1"/>
    <n v="10"/>
    <n v="2"/>
    <n v="2"/>
    <n v="10"/>
    <n v="0"/>
    <n v="0"/>
    <n v="8"/>
    <n v="0"/>
    <x v="2"/>
    <n v="2"/>
    <x v="1"/>
    <n v="1"/>
    <x v="0"/>
    <n v="3"/>
    <s v="Below College"/>
    <s v="Very High"/>
    <s v="Medium"/>
    <s v="Good"/>
  </r>
  <r>
    <n v="47"/>
    <s v="No"/>
    <s v="Non-Travel"/>
    <s v="Sales"/>
    <n v="2"/>
    <n v="4"/>
    <s v="Marketing"/>
    <n v="1731"/>
    <n v="3"/>
    <s v="Male"/>
    <n v="3"/>
    <n v="2"/>
    <s v="Sales Executive"/>
    <n v="2"/>
    <s v="Married"/>
    <n v="4978"/>
    <n v="7"/>
    <x v="1"/>
    <n v="11"/>
    <n v="3"/>
    <n v="4"/>
    <n v="1"/>
    <n v="4"/>
    <n v="3"/>
    <n v="1"/>
    <n v="1"/>
    <n v="0"/>
    <n v="0"/>
    <n v="0"/>
    <n v="0"/>
    <x v="1"/>
    <n v="4"/>
    <x v="0"/>
    <n v="2"/>
    <x v="1"/>
    <n v="1"/>
    <s v="Master"/>
    <s v="Medium"/>
    <s v="High"/>
    <s v="Bad"/>
  </r>
  <r>
    <n v="46"/>
    <s v="No"/>
    <s v="Travel_Rarely"/>
    <s v="Sales"/>
    <n v="2"/>
    <n v="3"/>
    <s v="Life Sciences"/>
    <n v="1732"/>
    <n v="3"/>
    <s v="Male"/>
    <n v="3"/>
    <n v="3"/>
    <s v="Sales Executive"/>
    <n v="4"/>
    <s v="Divorced"/>
    <n v="10368"/>
    <n v="4"/>
    <x v="0"/>
    <n v="12"/>
    <n v="3"/>
    <n v="2"/>
    <n v="1"/>
    <n v="13"/>
    <n v="5"/>
    <n v="2"/>
    <n v="10"/>
    <n v="6"/>
    <n v="0"/>
    <n v="3"/>
    <n v="0"/>
    <x v="1"/>
    <n v="4"/>
    <x v="3"/>
    <n v="4"/>
    <x v="0"/>
    <n v="3"/>
    <s v="Bachelor"/>
    <s v="Very High"/>
    <s v="High"/>
    <s v="Good"/>
  </r>
  <r>
    <n v="36"/>
    <s v="Yes"/>
    <s v="Travel_Rarely"/>
    <s v="Sales"/>
    <n v="13"/>
    <n v="5"/>
    <s v="Marketing"/>
    <n v="1733"/>
    <n v="2"/>
    <s v="Male"/>
    <n v="2"/>
    <n v="2"/>
    <s v="Sales Executive"/>
    <n v="1"/>
    <s v="Divorced"/>
    <n v="6134"/>
    <n v="5"/>
    <x v="0"/>
    <n v="13"/>
    <n v="3"/>
    <n v="2"/>
    <n v="3"/>
    <n v="16"/>
    <n v="3"/>
    <n v="3"/>
    <n v="2"/>
    <n v="2"/>
    <n v="2"/>
    <n v="2"/>
    <n v="1"/>
    <x v="0"/>
    <n v="3"/>
    <x v="2"/>
    <n v="3"/>
    <x v="1"/>
    <n v="1"/>
    <s v="Doctor"/>
    <s v="Low"/>
    <s v="Medium"/>
    <s v="Better"/>
  </r>
  <r>
    <n v="32"/>
    <s v="Yes"/>
    <s v="Travel_Rarely"/>
    <s v="Sales"/>
    <n v="1"/>
    <n v="2"/>
    <s v="Life Sciences"/>
    <n v="1734"/>
    <n v="1"/>
    <s v="Male"/>
    <n v="1"/>
    <n v="2"/>
    <s v="Sales Executive"/>
    <n v="2"/>
    <s v="Single"/>
    <n v="6735"/>
    <n v="6"/>
    <x v="1"/>
    <n v="15"/>
    <n v="3"/>
    <n v="2"/>
    <n v="0"/>
    <n v="10"/>
    <n v="2"/>
    <n v="3"/>
    <n v="0"/>
    <n v="0"/>
    <n v="0"/>
    <n v="0"/>
    <n v="1"/>
    <x v="2"/>
    <n v="2"/>
    <x v="2"/>
    <n v="3"/>
    <x v="1"/>
    <n v="1"/>
    <s v="College"/>
    <s v="Medium"/>
    <s v="Low"/>
    <s v="Better"/>
  </r>
  <r>
    <n v="23"/>
    <s v="No"/>
    <s v="Travel_Rarely"/>
    <s v="Research &amp; Development"/>
    <n v="4"/>
    <n v="1"/>
    <s v="Medical"/>
    <n v="1735"/>
    <n v="3"/>
    <s v="Female"/>
    <n v="3"/>
    <n v="1"/>
    <s v="Laboratory Technician"/>
    <n v="2"/>
    <s v="Single"/>
    <n v="3295"/>
    <n v="1"/>
    <x v="1"/>
    <n v="13"/>
    <n v="3"/>
    <n v="3"/>
    <n v="0"/>
    <n v="3"/>
    <n v="3"/>
    <n v="1"/>
    <n v="3"/>
    <n v="2"/>
    <n v="1"/>
    <n v="2"/>
    <n v="0"/>
    <x v="4"/>
    <n v="1"/>
    <x v="0"/>
    <n v="2"/>
    <x v="2"/>
    <n v="2"/>
    <s v="Below College"/>
    <s v="Medium"/>
    <s v="High"/>
    <s v="Bad"/>
  </r>
  <r>
    <n v="31"/>
    <s v="No"/>
    <s v="Travel_Frequently"/>
    <s v="Research &amp; Development"/>
    <n v="24"/>
    <n v="1"/>
    <s v="Technical Degree"/>
    <n v="1736"/>
    <n v="4"/>
    <s v="Female"/>
    <n v="3"/>
    <n v="2"/>
    <s v="Manufacturing Director"/>
    <n v="4"/>
    <s v="Single"/>
    <n v="5238"/>
    <n v="2"/>
    <x v="1"/>
    <n v="20"/>
    <n v="4"/>
    <n v="4"/>
    <n v="0"/>
    <n v="9"/>
    <n v="3"/>
    <n v="2"/>
    <n v="5"/>
    <n v="4"/>
    <n v="1"/>
    <n v="4"/>
    <n v="0"/>
    <x v="2"/>
    <n v="2"/>
    <x v="0"/>
    <n v="2"/>
    <x v="2"/>
    <n v="2"/>
    <s v="Below College"/>
    <s v="Very High"/>
    <s v="Very High"/>
    <s v="Good"/>
  </r>
  <r>
    <n v="39"/>
    <s v="No"/>
    <s v="Non-Travel"/>
    <s v="Research &amp; Development"/>
    <n v="1"/>
    <n v="3"/>
    <s v="Life Sciences"/>
    <n v="1737"/>
    <n v="4"/>
    <s v="Male"/>
    <n v="3"/>
    <n v="2"/>
    <s v="Laboratory Technician"/>
    <n v="4"/>
    <s v="Married"/>
    <n v="6472"/>
    <n v="1"/>
    <x v="0"/>
    <n v="15"/>
    <n v="3"/>
    <n v="4"/>
    <n v="1"/>
    <n v="9"/>
    <n v="2"/>
    <n v="3"/>
    <n v="9"/>
    <n v="8"/>
    <n v="5"/>
    <n v="8"/>
    <n v="0"/>
    <x v="0"/>
    <n v="3"/>
    <x v="2"/>
    <n v="3"/>
    <x v="0"/>
    <n v="3"/>
    <s v="Bachelor"/>
    <s v="Very High"/>
    <s v="Very High"/>
    <s v="Better"/>
  </r>
  <r>
    <n v="32"/>
    <s v="No"/>
    <s v="Travel_Rarely"/>
    <s v="Sales"/>
    <n v="19"/>
    <n v="3"/>
    <s v="Life Sciences"/>
    <n v="1739"/>
    <n v="4"/>
    <s v="Male"/>
    <n v="1"/>
    <n v="3"/>
    <s v="Sales Executive"/>
    <n v="3"/>
    <s v="Married"/>
    <n v="9610"/>
    <n v="3"/>
    <x v="1"/>
    <n v="13"/>
    <n v="3"/>
    <n v="3"/>
    <n v="1"/>
    <n v="10"/>
    <n v="2"/>
    <n v="1"/>
    <n v="4"/>
    <n v="3"/>
    <n v="0"/>
    <n v="2"/>
    <n v="0"/>
    <x v="2"/>
    <n v="2"/>
    <x v="2"/>
    <n v="3"/>
    <x v="2"/>
    <n v="2"/>
    <s v="Bachelor"/>
    <s v="High"/>
    <s v="Very High"/>
    <s v="Bad"/>
  </r>
  <r>
    <n v="40"/>
    <s v="No"/>
    <s v="Travel_Rarely"/>
    <s v="Sales"/>
    <n v="7"/>
    <n v="4"/>
    <s v="Medical"/>
    <n v="1740"/>
    <n v="2"/>
    <s v="Male"/>
    <n v="3"/>
    <n v="5"/>
    <s v="Manager"/>
    <n v="2"/>
    <s v="Single"/>
    <n v="19833"/>
    <n v="1"/>
    <x v="1"/>
    <n v="14"/>
    <n v="3"/>
    <n v="2"/>
    <n v="0"/>
    <n v="21"/>
    <n v="3"/>
    <n v="2"/>
    <n v="21"/>
    <n v="8"/>
    <n v="12"/>
    <n v="8"/>
    <n v="0"/>
    <x v="0"/>
    <n v="3"/>
    <x v="3"/>
    <n v="4"/>
    <x v="3"/>
    <n v="4"/>
    <s v="Master"/>
    <s v="Medium"/>
    <s v="Medium"/>
    <s v="Good"/>
  </r>
  <r>
    <n v="45"/>
    <s v="No"/>
    <s v="Travel_Rarely"/>
    <s v="Human Resources"/>
    <n v="4"/>
    <n v="3"/>
    <s v="Life Sciences"/>
    <n v="1744"/>
    <n v="3"/>
    <s v="Female"/>
    <n v="1"/>
    <n v="3"/>
    <s v="Human Resources"/>
    <n v="3"/>
    <s v="Married"/>
    <n v="9756"/>
    <n v="4"/>
    <x v="1"/>
    <n v="21"/>
    <n v="4"/>
    <n v="3"/>
    <n v="2"/>
    <n v="9"/>
    <n v="2"/>
    <n v="4"/>
    <n v="5"/>
    <n v="0"/>
    <n v="0"/>
    <n v="3"/>
    <n v="0"/>
    <x v="0"/>
    <n v="3"/>
    <x v="2"/>
    <n v="3"/>
    <x v="2"/>
    <n v="2"/>
    <s v="Bachelor"/>
    <s v="High"/>
    <s v="High"/>
    <s v="Best"/>
  </r>
  <r>
    <n v="30"/>
    <s v="No"/>
    <s v="Travel_Frequently"/>
    <s v="Research &amp; Development"/>
    <n v="2"/>
    <n v="4"/>
    <s v="Technical Degree"/>
    <n v="1745"/>
    <n v="4"/>
    <s v="Female"/>
    <n v="2"/>
    <n v="1"/>
    <s v="Research Scientist"/>
    <n v="1"/>
    <s v="Single"/>
    <n v="4968"/>
    <n v="0"/>
    <x v="1"/>
    <n v="16"/>
    <n v="3"/>
    <n v="4"/>
    <n v="0"/>
    <n v="10"/>
    <n v="2"/>
    <n v="3"/>
    <n v="9"/>
    <n v="7"/>
    <n v="0"/>
    <n v="7"/>
    <n v="0"/>
    <x v="2"/>
    <n v="2"/>
    <x v="0"/>
    <n v="2"/>
    <x v="0"/>
    <n v="3"/>
    <s v="Master"/>
    <s v="Low"/>
    <s v="Very High"/>
    <s v="Better"/>
  </r>
  <r>
    <n v="24"/>
    <s v="No"/>
    <s v="Travel_Frequently"/>
    <s v="Human Resources"/>
    <n v="10"/>
    <n v="3"/>
    <s v="Medical"/>
    <n v="1746"/>
    <n v="1"/>
    <s v="Male"/>
    <n v="3"/>
    <n v="1"/>
    <s v="Human Resources"/>
    <n v="4"/>
    <s v="Married"/>
    <n v="2145"/>
    <n v="0"/>
    <x v="1"/>
    <n v="14"/>
    <n v="3"/>
    <n v="4"/>
    <n v="1"/>
    <n v="3"/>
    <n v="2"/>
    <n v="3"/>
    <n v="2"/>
    <n v="2"/>
    <n v="2"/>
    <n v="1"/>
    <n v="0"/>
    <x v="4"/>
    <n v="1"/>
    <x v="1"/>
    <n v="1"/>
    <x v="1"/>
    <n v="1"/>
    <s v="Bachelor"/>
    <s v="Very High"/>
    <s v="Low"/>
    <s v="Better"/>
  </r>
  <r>
    <n v="30"/>
    <s v="Yes"/>
    <s v="Travel_Frequently"/>
    <s v="Human Resources"/>
    <n v="8"/>
    <n v="3"/>
    <s v="Human Resources"/>
    <n v="1747"/>
    <n v="3"/>
    <s v="Female"/>
    <n v="2"/>
    <n v="1"/>
    <s v="Human Resources"/>
    <n v="4"/>
    <s v="Divorced"/>
    <n v="2180"/>
    <n v="6"/>
    <x v="1"/>
    <n v="11"/>
    <n v="3"/>
    <n v="3"/>
    <n v="1"/>
    <n v="6"/>
    <n v="0"/>
    <n v="2"/>
    <n v="4"/>
    <n v="2"/>
    <n v="1"/>
    <n v="2"/>
    <n v="1"/>
    <x v="2"/>
    <n v="2"/>
    <x v="1"/>
    <n v="1"/>
    <x v="2"/>
    <n v="2"/>
    <s v="Bachelor"/>
    <s v="Very High"/>
    <s v="High"/>
    <s v="Good"/>
  </r>
  <r>
    <n v="31"/>
    <s v="No"/>
    <s v="Travel_Rarely"/>
    <s v="Sales"/>
    <n v="5"/>
    <n v="3"/>
    <s v="Technical Degree"/>
    <n v="1749"/>
    <n v="1"/>
    <s v="Male"/>
    <n v="3"/>
    <n v="2"/>
    <s v="Sales Executive"/>
    <n v="3"/>
    <s v="Married"/>
    <n v="8346"/>
    <n v="1"/>
    <x v="1"/>
    <n v="19"/>
    <n v="3"/>
    <n v="3"/>
    <n v="1"/>
    <n v="6"/>
    <n v="3"/>
    <n v="3"/>
    <n v="5"/>
    <n v="2"/>
    <n v="0"/>
    <n v="2"/>
    <n v="0"/>
    <x v="2"/>
    <n v="2"/>
    <x v="2"/>
    <n v="3"/>
    <x v="2"/>
    <n v="2"/>
    <s v="Bachelor"/>
    <s v="High"/>
    <s v="Low"/>
    <s v="Better"/>
  </r>
  <r>
    <n v="27"/>
    <s v="No"/>
    <s v="Travel_Rarely"/>
    <s v="Research &amp; Development"/>
    <n v="8"/>
    <n v="3"/>
    <s v="Medical"/>
    <n v="1751"/>
    <n v="3"/>
    <s v="Female"/>
    <n v="3"/>
    <n v="1"/>
    <s v="Research Scientist"/>
    <n v="4"/>
    <s v="Single"/>
    <n v="3445"/>
    <n v="1"/>
    <x v="1"/>
    <n v="11"/>
    <n v="3"/>
    <n v="3"/>
    <n v="0"/>
    <n v="6"/>
    <n v="5"/>
    <n v="2"/>
    <n v="6"/>
    <n v="2"/>
    <n v="1"/>
    <n v="4"/>
    <n v="0"/>
    <x v="2"/>
    <n v="2"/>
    <x v="0"/>
    <n v="2"/>
    <x v="0"/>
    <n v="3"/>
    <s v="Bachelor"/>
    <s v="Very High"/>
    <s v="High"/>
    <s v="Good"/>
  </r>
  <r>
    <n v="29"/>
    <s v="Yes"/>
    <s v="Travel_Rarely"/>
    <s v="Sales"/>
    <n v="9"/>
    <n v="3"/>
    <s v="Marketing"/>
    <n v="1752"/>
    <n v="2"/>
    <s v="Female"/>
    <n v="1"/>
    <n v="1"/>
    <s v="Sales Representative"/>
    <n v="2"/>
    <s v="Single"/>
    <n v="2760"/>
    <n v="1"/>
    <x v="1"/>
    <n v="13"/>
    <n v="3"/>
    <n v="3"/>
    <n v="0"/>
    <n v="2"/>
    <n v="3"/>
    <n v="3"/>
    <n v="2"/>
    <n v="2"/>
    <n v="2"/>
    <n v="2"/>
    <n v="1"/>
    <x v="2"/>
    <n v="2"/>
    <x v="1"/>
    <n v="1"/>
    <x v="1"/>
    <n v="1"/>
    <s v="Bachelor"/>
    <s v="Medium"/>
    <s v="Medium"/>
    <s v="Better"/>
  </r>
  <r>
    <n v="29"/>
    <s v="No"/>
    <s v="Travel_Frequently"/>
    <s v="Research &amp; Development"/>
    <n v="1"/>
    <n v="3"/>
    <s v="Life Sciences"/>
    <n v="1753"/>
    <n v="4"/>
    <s v="Male"/>
    <n v="4"/>
    <n v="2"/>
    <s v="Healthcare Representative"/>
    <n v="3"/>
    <s v="Single"/>
    <n v="6294"/>
    <n v="8"/>
    <x v="0"/>
    <n v="12"/>
    <n v="3"/>
    <n v="4"/>
    <n v="0"/>
    <n v="10"/>
    <n v="5"/>
    <n v="4"/>
    <n v="3"/>
    <n v="2"/>
    <n v="0"/>
    <n v="2"/>
    <n v="0"/>
    <x v="2"/>
    <n v="2"/>
    <x v="2"/>
    <n v="3"/>
    <x v="2"/>
    <n v="2"/>
    <s v="Bachelor"/>
    <s v="High"/>
    <s v="Very High"/>
    <s v="Best"/>
  </r>
  <r>
    <n v="30"/>
    <s v="No"/>
    <s v="Travel_Rarely"/>
    <s v="Sales"/>
    <n v="15"/>
    <n v="2"/>
    <s v="Marketing"/>
    <n v="1754"/>
    <n v="3"/>
    <s v="Male"/>
    <n v="2"/>
    <n v="3"/>
    <s v="Sales Executive"/>
    <n v="1"/>
    <s v="Divorced"/>
    <n v="7140"/>
    <n v="2"/>
    <x v="1"/>
    <n v="11"/>
    <n v="3"/>
    <n v="1"/>
    <n v="1"/>
    <n v="12"/>
    <n v="2"/>
    <n v="3"/>
    <n v="7"/>
    <n v="7"/>
    <n v="1"/>
    <n v="7"/>
    <n v="0"/>
    <x v="2"/>
    <n v="2"/>
    <x v="2"/>
    <n v="3"/>
    <x v="0"/>
    <n v="3"/>
    <s v="College"/>
    <s v="Low"/>
    <s v="High"/>
    <s v="Better"/>
  </r>
  <r>
    <n v="34"/>
    <s v="No"/>
    <s v="Travel_Rarely"/>
    <s v="Research &amp; Development"/>
    <n v="2"/>
    <n v="4"/>
    <s v="Medical"/>
    <n v="1755"/>
    <n v="4"/>
    <s v="Male"/>
    <n v="4"/>
    <n v="1"/>
    <s v="Research Scientist"/>
    <n v="4"/>
    <s v="Married"/>
    <n v="2932"/>
    <n v="0"/>
    <x v="0"/>
    <n v="14"/>
    <n v="3"/>
    <n v="1"/>
    <n v="3"/>
    <n v="6"/>
    <n v="3"/>
    <n v="3"/>
    <n v="5"/>
    <n v="0"/>
    <n v="1"/>
    <n v="2"/>
    <n v="0"/>
    <x v="2"/>
    <n v="2"/>
    <x v="1"/>
    <n v="1"/>
    <x v="2"/>
    <n v="2"/>
    <s v="Master"/>
    <s v="Very High"/>
    <s v="Very High"/>
    <s v="Better"/>
  </r>
  <r>
    <n v="33"/>
    <s v="No"/>
    <s v="Non-Travel"/>
    <s v="Sales"/>
    <n v="2"/>
    <n v="3"/>
    <s v="Marketing"/>
    <n v="1756"/>
    <n v="4"/>
    <s v="Female"/>
    <n v="3"/>
    <n v="2"/>
    <s v="Sales Executive"/>
    <n v="2"/>
    <s v="Single"/>
    <n v="5147"/>
    <n v="8"/>
    <x v="1"/>
    <n v="15"/>
    <n v="3"/>
    <n v="4"/>
    <n v="0"/>
    <n v="13"/>
    <n v="2"/>
    <n v="2"/>
    <n v="11"/>
    <n v="7"/>
    <n v="1"/>
    <n v="7"/>
    <n v="0"/>
    <x v="2"/>
    <n v="2"/>
    <x v="0"/>
    <n v="2"/>
    <x v="3"/>
    <n v="4"/>
    <s v="Bachelor"/>
    <s v="Medium"/>
    <s v="Very High"/>
    <s v="Good"/>
  </r>
  <r>
    <n v="49"/>
    <s v="No"/>
    <s v="Travel_Rarely"/>
    <s v="Sales"/>
    <n v="11"/>
    <n v="4"/>
    <s v="Marketing"/>
    <n v="1757"/>
    <n v="4"/>
    <s v="Female"/>
    <n v="3"/>
    <n v="2"/>
    <s v="Sales Executive"/>
    <n v="4"/>
    <s v="Single"/>
    <n v="4507"/>
    <n v="3"/>
    <x v="1"/>
    <n v="12"/>
    <n v="3"/>
    <n v="3"/>
    <n v="0"/>
    <n v="8"/>
    <n v="1"/>
    <n v="4"/>
    <n v="5"/>
    <n v="1"/>
    <n v="0"/>
    <n v="4"/>
    <n v="0"/>
    <x v="1"/>
    <n v="4"/>
    <x v="0"/>
    <n v="2"/>
    <x v="2"/>
    <n v="2"/>
    <s v="Master"/>
    <s v="Very High"/>
    <s v="Very High"/>
    <s v="Best"/>
  </r>
  <r>
    <n v="33"/>
    <s v="Yes"/>
    <s v="Travel_Rarely"/>
    <s v="Sales"/>
    <n v="16"/>
    <n v="3"/>
    <s v="Life Sciences"/>
    <n v="1758"/>
    <n v="1"/>
    <s v="Female"/>
    <n v="3"/>
    <n v="3"/>
    <s v="Sales Executive"/>
    <n v="1"/>
    <s v="Single"/>
    <n v="8564"/>
    <n v="2"/>
    <x v="0"/>
    <n v="20"/>
    <n v="4"/>
    <n v="3"/>
    <n v="0"/>
    <n v="11"/>
    <n v="2"/>
    <n v="2"/>
    <n v="0"/>
    <n v="0"/>
    <n v="0"/>
    <n v="0"/>
    <n v="1"/>
    <x v="2"/>
    <n v="2"/>
    <x v="2"/>
    <n v="3"/>
    <x v="1"/>
    <n v="1"/>
    <s v="Bachelor"/>
    <s v="Low"/>
    <s v="Low"/>
    <s v="Good"/>
  </r>
  <r>
    <n v="38"/>
    <s v="No"/>
    <s v="Travel_Frequently"/>
    <s v="Research &amp; Development"/>
    <n v="2"/>
    <n v="2"/>
    <s v="Medical"/>
    <n v="1760"/>
    <n v="3"/>
    <s v="Female"/>
    <n v="2"/>
    <n v="1"/>
    <s v="Laboratory Technician"/>
    <n v="2"/>
    <s v="Married"/>
    <n v="2468"/>
    <n v="4"/>
    <x v="1"/>
    <n v="14"/>
    <n v="3"/>
    <n v="2"/>
    <n v="1"/>
    <n v="9"/>
    <n v="4"/>
    <n v="2"/>
    <n v="6"/>
    <n v="1"/>
    <n v="0"/>
    <n v="5"/>
    <n v="0"/>
    <x v="0"/>
    <n v="3"/>
    <x v="1"/>
    <n v="1"/>
    <x v="0"/>
    <n v="3"/>
    <s v="College"/>
    <s v="Medium"/>
    <s v="High"/>
    <s v="Good"/>
  </r>
  <r>
    <n v="31"/>
    <s v="Yes"/>
    <s v="Travel_Rarely"/>
    <s v="Sales"/>
    <n v="16"/>
    <n v="4"/>
    <s v="Marketing"/>
    <n v="1761"/>
    <n v="1"/>
    <s v="Male"/>
    <n v="3"/>
    <n v="3"/>
    <s v="Sales Executive"/>
    <n v="3"/>
    <s v="Married"/>
    <n v="8161"/>
    <n v="2"/>
    <x v="1"/>
    <n v="13"/>
    <n v="3"/>
    <n v="1"/>
    <n v="3"/>
    <n v="10"/>
    <n v="2"/>
    <n v="3"/>
    <n v="1"/>
    <n v="0"/>
    <n v="0"/>
    <n v="0"/>
    <n v="1"/>
    <x v="2"/>
    <n v="2"/>
    <x v="2"/>
    <n v="3"/>
    <x v="1"/>
    <n v="1"/>
    <s v="Master"/>
    <s v="High"/>
    <s v="Low"/>
    <s v="Better"/>
  </r>
  <r>
    <n v="29"/>
    <s v="No"/>
    <s v="Travel_Rarely"/>
    <s v="Research &amp; Development"/>
    <n v="4"/>
    <n v="3"/>
    <s v="Technical Degree"/>
    <n v="1762"/>
    <n v="4"/>
    <s v="Female"/>
    <n v="2"/>
    <n v="1"/>
    <s v="Research Scientist"/>
    <n v="1"/>
    <s v="Divorced"/>
    <n v="2109"/>
    <n v="1"/>
    <x v="1"/>
    <n v="13"/>
    <n v="3"/>
    <n v="3"/>
    <n v="1"/>
    <n v="1"/>
    <n v="2"/>
    <n v="3"/>
    <n v="1"/>
    <n v="0"/>
    <n v="0"/>
    <n v="0"/>
    <n v="0"/>
    <x v="2"/>
    <n v="2"/>
    <x v="1"/>
    <n v="1"/>
    <x v="1"/>
    <n v="1"/>
    <s v="Bachelor"/>
    <s v="Low"/>
    <s v="Very High"/>
    <s v="Better"/>
  </r>
  <r>
    <n v="30"/>
    <s v="No"/>
    <s v="Travel_Rarely"/>
    <s v="Research &amp; Development"/>
    <n v="16"/>
    <n v="3"/>
    <s v="Life Sciences"/>
    <n v="1763"/>
    <n v="3"/>
    <s v="Male"/>
    <n v="4"/>
    <n v="2"/>
    <s v="Healthcare Representative"/>
    <n v="3"/>
    <s v="Married"/>
    <n v="5294"/>
    <n v="3"/>
    <x v="1"/>
    <n v="16"/>
    <n v="3"/>
    <n v="3"/>
    <n v="1"/>
    <n v="10"/>
    <n v="3"/>
    <n v="3"/>
    <n v="7"/>
    <n v="0"/>
    <n v="1"/>
    <n v="7"/>
    <n v="0"/>
    <x v="2"/>
    <n v="2"/>
    <x v="0"/>
    <n v="2"/>
    <x v="0"/>
    <n v="3"/>
    <s v="Bachelor"/>
    <s v="High"/>
    <s v="High"/>
    <s v="Better"/>
  </r>
  <r>
    <n v="32"/>
    <s v="No"/>
    <s v="Non-Travel"/>
    <s v="Research &amp; Development"/>
    <n v="5"/>
    <n v="4"/>
    <s v="Technical Degree"/>
    <n v="1764"/>
    <n v="2"/>
    <s v="Male"/>
    <n v="3"/>
    <n v="1"/>
    <s v="Research Scientist"/>
    <n v="2"/>
    <s v="Single"/>
    <n v="2718"/>
    <n v="2"/>
    <x v="1"/>
    <n v="14"/>
    <n v="3"/>
    <n v="2"/>
    <n v="0"/>
    <n v="12"/>
    <n v="3"/>
    <n v="3"/>
    <n v="7"/>
    <n v="7"/>
    <n v="0"/>
    <n v="7"/>
    <n v="0"/>
    <x v="2"/>
    <n v="2"/>
    <x v="1"/>
    <n v="1"/>
    <x v="0"/>
    <n v="3"/>
    <s v="Master"/>
    <s v="Medium"/>
    <s v="Medium"/>
    <s v="Better"/>
  </r>
  <r>
    <n v="38"/>
    <s v="No"/>
    <s v="Travel_Rarely"/>
    <s v="Research &amp; Development"/>
    <n v="18"/>
    <n v="3"/>
    <s v="Medical"/>
    <n v="1766"/>
    <n v="2"/>
    <s v="Male"/>
    <n v="1"/>
    <n v="2"/>
    <s v="Healthcare Representative"/>
    <n v="4"/>
    <s v="Married"/>
    <n v="5811"/>
    <n v="3"/>
    <x v="0"/>
    <n v="16"/>
    <n v="3"/>
    <n v="3"/>
    <n v="1"/>
    <n v="15"/>
    <n v="2"/>
    <n v="3"/>
    <n v="1"/>
    <n v="0"/>
    <n v="1"/>
    <n v="0"/>
    <n v="0"/>
    <x v="0"/>
    <n v="3"/>
    <x v="0"/>
    <n v="2"/>
    <x v="1"/>
    <n v="1"/>
    <s v="Bachelor"/>
    <s v="Very High"/>
    <s v="Medium"/>
    <s v="Better"/>
  </r>
  <r>
    <n v="43"/>
    <s v="Yes"/>
    <s v="Travel_Frequently"/>
    <s v="Research &amp; Development"/>
    <n v="17"/>
    <n v="3"/>
    <s v="Technical Degree"/>
    <n v="1767"/>
    <n v="3"/>
    <s v="Male"/>
    <n v="2"/>
    <n v="1"/>
    <s v="Research Scientist"/>
    <n v="3"/>
    <s v="Married"/>
    <n v="2437"/>
    <n v="9"/>
    <x v="0"/>
    <n v="16"/>
    <n v="3"/>
    <n v="4"/>
    <n v="1"/>
    <n v="6"/>
    <n v="4"/>
    <n v="3"/>
    <n v="1"/>
    <n v="0"/>
    <n v="0"/>
    <n v="0"/>
    <n v="1"/>
    <x v="0"/>
    <n v="3"/>
    <x v="1"/>
    <n v="1"/>
    <x v="1"/>
    <n v="1"/>
    <s v="Bachelor"/>
    <s v="High"/>
    <s v="High"/>
    <s v="Better"/>
  </r>
  <r>
    <n v="42"/>
    <s v="No"/>
    <s v="Travel_Rarely"/>
    <s v="Research &amp; Development"/>
    <n v="12"/>
    <n v="3"/>
    <s v="Medical"/>
    <n v="1768"/>
    <n v="2"/>
    <s v="Male"/>
    <n v="3"/>
    <n v="1"/>
    <s v="Laboratory Technician"/>
    <n v="2"/>
    <s v="Divorced"/>
    <n v="2766"/>
    <n v="8"/>
    <x v="1"/>
    <n v="22"/>
    <n v="4"/>
    <n v="2"/>
    <n v="3"/>
    <n v="7"/>
    <n v="6"/>
    <n v="2"/>
    <n v="5"/>
    <n v="3"/>
    <n v="0"/>
    <n v="4"/>
    <n v="0"/>
    <x v="0"/>
    <n v="3"/>
    <x v="1"/>
    <n v="1"/>
    <x v="2"/>
    <n v="2"/>
    <s v="Bachelor"/>
    <s v="Medium"/>
    <s v="Medium"/>
    <s v="Good"/>
  </r>
  <r>
    <n v="55"/>
    <s v="No"/>
    <s v="Travel_Rarely"/>
    <s v="Research &amp; Development"/>
    <n v="2"/>
    <n v="3"/>
    <s v="Medical"/>
    <n v="1770"/>
    <n v="3"/>
    <s v="Male"/>
    <n v="2"/>
    <n v="5"/>
    <s v="Research Director"/>
    <n v="1"/>
    <s v="Married"/>
    <n v="19038"/>
    <n v="8"/>
    <x v="1"/>
    <n v="12"/>
    <n v="3"/>
    <n v="2"/>
    <n v="3"/>
    <n v="34"/>
    <n v="2"/>
    <n v="3"/>
    <n v="1"/>
    <n v="0"/>
    <n v="0"/>
    <n v="0"/>
    <n v="0"/>
    <x v="1"/>
    <n v="4"/>
    <x v="3"/>
    <n v="4"/>
    <x v="1"/>
    <n v="1"/>
    <s v="Bachelor"/>
    <s v="Low"/>
    <s v="High"/>
    <s v="Better"/>
  </r>
  <r>
    <n v="33"/>
    <s v="No"/>
    <s v="Non-Travel"/>
    <s v="Research &amp; Development"/>
    <n v="4"/>
    <n v="3"/>
    <s v="Technical Degree"/>
    <n v="1771"/>
    <n v="4"/>
    <s v="Male"/>
    <n v="3"/>
    <n v="2"/>
    <s v="Research Scientist"/>
    <n v="2"/>
    <s v="Divorced"/>
    <n v="3055"/>
    <n v="5"/>
    <x v="1"/>
    <n v="15"/>
    <n v="3"/>
    <n v="4"/>
    <n v="2"/>
    <n v="11"/>
    <n v="2"/>
    <n v="2"/>
    <n v="9"/>
    <n v="8"/>
    <n v="1"/>
    <n v="7"/>
    <n v="0"/>
    <x v="2"/>
    <n v="2"/>
    <x v="0"/>
    <n v="2"/>
    <x v="0"/>
    <n v="3"/>
    <s v="Bachelor"/>
    <s v="Medium"/>
    <s v="Very High"/>
    <s v="Good"/>
  </r>
  <r>
    <n v="41"/>
    <s v="No"/>
    <s v="Travel_Rarely"/>
    <s v="Research &amp; Development"/>
    <n v="9"/>
    <n v="4"/>
    <s v="Life Sciences"/>
    <n v="1772"/>
    <n v="3"/>
    <s v="Male"/>
    <n v="3"/>
    <n v="1"/>
    <s v="Laboratory Technician"/>
    <n v="1"/>
    <s v="Divorced"/>
    <n v="2289"/>
    <n v="1"/>
    <x v="1"/>
    <n v="20"/>
    <n v="4"/>
    <n v="2"/>
    <n v="2"/>
    <n v="5"/>
    <n v="2"/>
    <n v="3"/>
    <n v="5"/>
    <n v="3"/>
    <n v="0"/>
    <n v="4"/>
    <n v="0"/>
    <x v="0"/>
    <n v="3"/>
    <x v="1"/>
    <n v="1"/>
    <x v="2"/>
    <n v="2"/>
    <s v="Master"/>
    <s v="Low"/>
    <s v="High"/>
    <s v="Better"/>
  </r>
  <r>
    <n v="34"/>
    <s v="No"/>
    <s v="Non-Travel"/>
    <s v="Sales"/>
    <n v="10"/>
    <n v="3"/>
    <s v="Life Sciences"/>
    <n v="1774"/>
    <n v="4"/>
    <s v="Male"/>
    <n v="3"/>
    <n v="2"/>
    <s v="Sales Executive"/>
    <n v="3"/>
    <s v="Divorced"/>
    <n v="4001"/>
    <n v="1"/>
    <x v="0"/>
    <n v="14"/>
    <n v="3"/>
    <n v="3"/>
    <n v="1"/>
    <n v="15"/>
    <n v="3"/>
    <n v="3"/>
    <n v="15"/>
    <n v="14"/>
    <n v="0"/>
    <n v="7"/>
    <n v="0"/>
    <x v="2"/>
    <n v="2"/>
    <x v="0"/>
    <n v="2"/>
    <x v="3"/>
    <n v="4"/>
    <s v="Bachelor"/>
    <s v="High"/>
    <s v="Very High"/>
    <s v="Better"/>
  </r>
  <r>
    <n v="53"/>
    <s v="No"/>
    <s v="Non-Travel"/>
    <s v="Research &amp; Development"/>
    <n v="1"/>
    <n v="4"/>
    <s v="Medical"/>
    <n v="1775"/>
    <n v="1"/>
    <s v="Female"/>
    <n v="2"/>
    <n v="4"/>
    <s v="Manufacturing Director"/>
    <n v="3"/>
    <s v="Married"/>
    <n v="12965"/>
    <n v="4"/>
    <x v="0"/>
    <n v="20"/>
    <n v="4"/>
    <n v="4"/>
    <n v="3"/>
    <n v="27"/>
    <n v="2"/>
    <n v="2"/>
    <n v="3"/>
    <n v="2"/>
    <n v="0"/>
    <n v="2"/>
    <n v="0"/>
    <x v="1"/>
    <n v="4"/>
    <x v="3"/>
    <n v="4"/>
    <x v="2"/>
    <n v="2"/>
    <s v="Master"/>
    <s v="High"/>
    <s v="Low"/>
    <s v="Good"/>
  </r>
  <r>
    <n v="43"/>
    <s v="No"/>
    <s v="Travel_Rarely"/>
    <s v="Human Resources"/>
    <n v="2"/>
    <n v="3"/>
    <s v="Life Sciences"/>
    <n v="1778"/>
    <n v="2"/>
    <s v="Male"/>
    <n v="3"/>
    <n v="1"/>
    <s v="Human Resources"/>
    <n v="4"/>
    <s v="Single"/>
    <n v="3539"/>
    <n v="0"/>
    <x v="1"/>
    <n v="13"/>
    <n v="3"/>
    <n v="2"/>
    <n v="0"/>
    <n v="10"/>
    <n v="5"/>
    <n v="3"/>
    <n v="9"/>
    <n v="7"/>
    <n v="1"/>
    <n v="8"/>
    <n v="0"/>
    <x v="0"/>
    <n v="3"/>
    <x v="0"/>
    <n v="2"/>
    <x v="0"/>
    <n v="3"/>
    <s v="Bachelor"/>
    <s v="Very High"/>
    <s v="Medium"/>
    <s v="Better"/>
  </r>
  <r>
    <n v="34"/>
    <s v="No"/>
    <s v="Travel_Rarely"/>
    <s v="Sales"/>
    <n v="3"/>
    <n v="2"/>
    <s v="Life Sciences"/>
    <n v="1779"/>
    <n v="4"/>
    <s v="Female"/>
    <n v="1"/>
    <n v="2"/>
    <s v="Sales Executive"/>
    <n v="4"/>
    <s v="Single"/>
    <n v="6029"/>
    <n v="5"/>
    <x v="1"/>
    <n v="12"/>
    <n v="3"/>
    <n v="1"/>
    <n v="0"/>
    <n v="6"/>
    <n v="3"/>
    <n v="3"/>
    <n v="2"/>
    <n v="2"/>
    <n v="2"/>
    <n v="2"/>
    <n v="0"/>
    <x v="2"/>
    <n v="2"/>
    <x v="2"/>
    <n v="3"/>
    <x v="1"/>
    <n v="1"/>
    <s v="College"/>
    <s v="Very High"/>
    <s v="Very High"/>
    <s v="Better"/>
  </r>
  <r>
    <n v="21"/>
    <s v="Yes"/>
    <s v="Travel_Rarely"/>
    <s v="Sales"/>
    <n v="7"/>
    <n v="1"/>
    <s v="Marketing"/>
    <n v="1780"/>
    <n v="2"/>
    <s v="Male"/>
    <n v="3"/>
    <n v="1"/>
    <s v="Sales Representative"/>
    <n v="2"/>
    <s v="Single"/>
    <n v="2679"/>
    <n v="1"/>
    <x v="1"/>
    <n v="13"/>
    <n v="3"/>
    <n v="2"/>
    <n v="0"/>
    <n v="1"/>
    <n v="3"/>
    <n v="3"/>
    <n v="1"/>
    <n v="0"/>
    <n v="1"/>
    <n v="0"/>
    <n v="1"/>
    <x v="4"/>
    <n v="1"/>
    <x v="1"/>
    <n v="1"/>
    <x v="1"/>
    <n v="1"/>
    <s v="Below College"/>
    <s v="Medium"/>
    <s v="Medium"/>
    <s v="Better"/>
  </r>
  <r>
    <n v="38"/>
    <s v="No"/>
    <s v="Travel_Rarely"/>
    <s v="Research &amp; Development"/>
    <n v="6"/>
    <n v="2"/>
    <s v="Other"/>
    <n v="1782"/>
    <n v="4"/>
    <s v="Female"/>
    <n v="2"/>
    <n v="1"/>
    <s v="Laboratory Technician"/>
    <n v="3"/>
    <s v="Married"/>
    <n v="3702"/>
    <n v="1"/>
    <x v="1"/>
    <n v="11"/>
    <n v="3"/>
    <n v="2"/>
    <n v="1"/>
    <n v="5"/>
    <n v="3"/>
    <n v="3"/>
    <n v="5"/>
    <n v="4"/>
    <n v="0"/>
    <n v="4"/>
    <n v="0"/>
    <x v="0"/>
    <n v="3"/>
    <x v="0"/>
    <n v="2"/>
    <x v="2"/>
    <n v="2"/>
    <s v="College"/>
    <s v="High"/>
    <s v="Very High"/>
    <s v="Better"/>
  </r>
  <r>
    <n v="22"/>
    <s v="Yes"/>
    <s v="Travel_Rarely"/>
    <s v="Research &amp; Development"/>
    <n v="8"/>
    <n v="1"/>
    <s v="Medical"/>
    <n v="1783"/>
    <n v="3"/>
    <s v="Female"/>
    <n v="3"/>
    <n v="1"/>
    <s v="Laboratory Technician"/>
    <n v="1"/>
    <s v="Married"/>
    <n v="2398"/>
    <n v="1"/>
    <x v="0"/>
    <n v="17"/>
    <n v="3"/>
    <n v="3"/>
    <n v="0"/>
    <n v="1"/>
    <n v="6"/>
    <n v="3"/>
    <n v="1"/>
    <n v="0"/>
    <n v="0"/>
    <n v="0"/>
    <n v="1"/>
    <x v="4"/>
    <n v="1"/>
    <x v="1"/>
    <n v="1"/>
    <x v="1"/>
    <n v="1"/>
    <s v="Below College"/>
    <s v="Low"/>
    <s v="High"/>
    <s v="Better"/>
  </r>
  <r>
    <n v="31"/>
    <s v="No"/>
    <s v="Travel_Rarely"/>
    <s v="Sales"/>
    <n v="29"/>
    <n v="4"/>
    <s v="Marketing"/>
    <n v="1784"/>
    <n v="1"/>
    <s v="Female"/>
    <n v="2"/>
    <n v="2"/>
    <s v="Sales Executive"/>
    <n v="4"/>
    <s v="Married"/>
    <n v="5468"/>
    <n v="1"/>
    <x v="1"/>
    <n v="14"/>
    <n v="3"/>
    <n v="1"/>
    <n v="2"/>
    <n v="13"/>
    <n v="3"/>
    <n v="3"/>
    <n v="12"/>
    <n v="7"/>
    <n v="5"/>
    <n v="7"/>
    <n v="0"/>
    <x v="2"/>
    <n v="2"/>
    <x v="0"/>
    <n v="2"/>
    <x v="3"/>
    <n v="4"/>
    <s v="Master"/>
    <s v="Very High"/>
    <s v="Low"/>
    <s v="Better"/>
  </r>
  <r>
    <n v="51"/>
    <s v="No"/>
    <s v="Travel_Rarely"/>
    <s v="Research &amp; Development"/>
    <n v="3"/>
    <n v="3"/>
    <s v="Technical Degree"/>
    <n v="1786"/>
    <n v="1"/>
    <s v="Female"/>
    <n v="3"/>
    <n v="3"/>
    <s v="Manager"/>
    <n v="3"/>
    <s v="Married"/>
    <n v="13116"/>
    <n v="2"/>
    <x v="1"/>
    <n v="11"/>
    <n v="3"/>
    <n v="4"/>
    <n v="0"/>
    <n v="15"/>
    <n v="2"/>
    <n v="3"/>
    <n v="2"/>
    <n v="2"/>
    <n v="2"/>
    <n v="2"/>
    <n v="0"/>
    <x v="1"/>
    <n v="4"/>
    <x v="3"/>
    <n v="4"/>
    <x v="1"/>
    <n v="1"/>
    <s v="Bachelor"/>
    <s v="High"/>
    <s v="Low"/>
    <s v="Better"/>
  </r>
  <r>
    <n v="37"/>
    <s v="No"/>
    <s v="Travel_Rarely"/>
    <s v="Sales"/>
    <n v="9"/>
    <n v="2"/>
    <s v="Marketing"/>
    <n v="1787"/>
    <n v="2"/>
    <s v="Male"/>
    <n v="2"/>
    <n v="2"/>
    <s v="Sales Executive"/>
    <n v="2"/>
    <s v="Married"/>
    <n v="4189"/>
    <n v="1"/>
    <x v="1"/>
    <n v="14"/>
    <n v="3"/>
    <n v="1"/>
    <n v="2"/>
    <n v="5"/>
    <n v="2"/>
    <n v="3"/>
    <n v="5"/>
    <n v="2"/>
    <n v="0"/>
    <n v="3"/>
    <n v="0"/>
    <x v="0"/>
    <n v="3"/>
    <x v="0"/>
    <n v="2"/>
    <x v="2"/>
    <n v="2"/>
    <s v="College"/>
    <s v="Medium"/>
    <s v="Medium"/>
    <s v="Better"/>
  </r>
  <r>
    <n v="46"/>
    <s v="No"/>
    <s v="Travel_Rarely"/>
    <s v="Research &amp; Development"/>
    <n v="2"/>
    <n v="4"/>
    <s v="Medical"/>
    <n v="1789"/>
    <n v="3"/>
    <s v="Male"/>
    <n v="3"/>
    <n v="5"/>
    <s v="Research Director"/>
    <n v="4"/>
    <s v="Divorced"/>
    <n v="19328"/>
    <n v="7"/>
    <x v="0"/>
    <n v="17"/>
    <n v="3"/>
    <n v="3"/>
    <n v="1"/>
    <n v="24"/>
    <n v="3"/>
    <n v="3"/>
    <n v="2"/>
    <n v="1"/>
    <n v="2"/>
    <n v="2"/>
    <n v="0"/>
    <x v="1"/>
    <n v="4"/>
    <x v="3"/>
    <n v="4"/>
    <x v="1"/>
    <n v="1"/>
    <s v="Master"/>
    <s v="Very High"/>
    <s v="High"/>
    <s v="Better"/>
  </r>
  <r>
    <n v="36"/>
    <s v="No"/>
    <s v="Travel_Rarely"/>
    <s v="Research &amp; Development"/>
    <n v="10"/>
    <n v="3"/>
    <s v="Life Sciences"/>
    <n v="1790"/>
    <n v="4"/>
    <s v="Male"/>
    <n v="3"/>
    <n v="3"/>
    <s v="Healthcare Representative"/>
    <n v="1"/>
    <s v="Married"/>
    <n v="8321"/>
    <n v="7"/>
    <x v="0"/>
    <n v="13"/>
    <n v="3"/>
    <n v="4"/>
    <n v="1"/>
    <n v="15"/>
    <n v="1"/>
    <n v="3"/>
    <n v="12"/>
    <n v="8"/>
    <n v="5"/>
    <n v="7"/>
    <n v="0"/>
    <x v="0"/>
    <n v="3"/>
    <x v="2"/>
    <n v="3"/>
    <x v="3"/>
    <n v="4"/>
    <s v="Bachelor"/>
    <s v="Low"/>
    <s v="Very High"/>
    <s v="Better"/>
  </r>
  <r>
    <n v="44"/>
    <s v="Yes"/>
    <s v="Travel_Frequently"/>
    <s v="Research &amp; Development"/>
    <n v="1"/>
    <n v="2"/>
    <s v="Medical"/>
    <n v="1792"/>
    <n v="3"/>
    <s v="Male"/>
    <n v="3"/>
    <n v="1"/>
    <s v="Research Scientist"/>
    <n v="2"/>
    <s v="Divorced"/>
    <n v="2342"/>
    <n v="1"/>
    <x v="0"/>
    <n v="12"/>
    <n v="3"/>
    <n v="3"/>
    <n v="3"/>
    <n v="6"/>
    <n v="2"/>
    <n v="2"/>
    <n v="5"/>
    <n v="3"/>
    <n v="2"/>
    <n v="3"/>
    <n v="1"/>
    <x v="0"/>
    <n v="3"/>
    <x v="1"/>
    <n v="1"/>
    <x v="2"/>
    <n v="2"/>
    <s v="College"/>
    <s v="Medium"/>
    <s v="High"/>
    <s v="Good"/>
  </r>
  <r>
    <n v="37"/>
    <s v="No"/>
    <s v="Travel_Rarely"/>
    <s v="Human Resources"/>
    <n v="8"/>
    <n v="2"/>
    <s v="Other"/>
    <n v="1794"/>
    <n v="3"/>
    <s v="Male"/>
    <n v="3"/>
    <n v="2"/>
    <s v="Human Resources"/>
    <n v="2"/>
    <s v="Divorced"/>
    <n v="4071"/>
    <n v="2"/>
    <x v="1"/>
    <n v="13"/>
    <n v="3"/>
    <n v="3"/>
    <n v="0"/>
    <n v="19"/>
    <n v="4"/>
    <n v="2"/>
    <n v="10"/>
    <n v="0"/>
    <n v="4"/>
    <n v="7"/>
    <n v="0"/>
    <x v="0"/>
    <n v="3"/>
    <x v="0"/>
    <n v="2"/>
    <x v="0"/>
    <n v="3"/>
    <s v="College"/>
    <s v="Medium"/>
    <s v="High"/>
    <s v="Good"/>
  </r>
  <r>
    <n v="35"/>
    <s v="Yes"/>
    <s v="Travel_Rarely"/>
    <s v="Sales"/>
    <n v="27"/>
    <n v="3"/>
    <s v="Life Sciences"/>
    <n v="1797"/>
    <n v="3"/>
    <s v="Male"/>
    <n v="3"/>
    <n v="2"/>
    <s v="Sales Executive"/>
    <n v="4"/>
    <s v="Single"/>
    <n v="5813"/>
    <n v="1"/>
    <x v="0"/>
    <n v="18"/>
    <n v="3"/>
    <n v="4"/>
    <n v="0"/>
    <n v="10"/>
    <n v="2"/>
    <n v="3"/>
    <n v="10"/>
    <n v="7"/>
    <n v="7"/>
    <n v="7"/>
    <n v="1"/>
    <x v="2"/>
    <n v="2"/>
    <x v="0"/>
    <n v="2"/>
    <x v="0"/>
    <n v="3"/>
    <s v="Bachelor"/>
    <s v="Very High"/>
    <s v="High"/>
    <s v="Better"/>
  </r>
  <r>
    <n v="33"/>
    <s v="No"/>
    <s v="Travel_Rarely"/>
    <s v="Research &amp; Development"/>
    <n v="8"/>
    <n v="4"/>
    <s v="Life Sciences"/>
    <n v="1798"/>
    <n v="4"/>
    <s v="Male"/>
    <n v="4"/>
    <n v="1"/>
    <s v="Research Scientist"/>
    <n v="1"/>
    <s v="Married"/>
    <n v="3143"/>
    <n v="6"/>
    <x v="1"/>
    <n v="19"/>
    <n v="3"/>
    <n v="2"/>
    <n v="1"/>
    <n v="14"/>
    <n v="1"/>
    <n v="3"/>
    <n v="10"/>
    <n v="8"/>
    <n v="7"/>
    <n v="6"/>
    <n v="0"/>
    <x v="2"/>
    <n v="2"/>
    <x v="0"/>
    <n v="2"/>
    <x v="0"/>
    <n v="3"/>
    <s v="Master"/>
    <s v="Low"/>
    <s v="Very High"/>
    <s v="Better"/>
  </r>
  <r>
    <n v="28"/>
    <s v="No"/>
    <s v="Travel_Rarely"/>
    <s v="Research &amp; Development"/>
    <n v="1"/>
    <n v="3"/>
    <s v="Life Sciences"/>
    <n v="1799"/>
    <n v="3"/>
    <s v="Male"/>
    <n v="3"/>
    <n v="1"/>
    <s v="Research Scientist"/>
    <n v="4"/>
    <s v="Married"/>
    <n v="2044"/>
    <n v="1"/>
    <x v="1"/>
    <n v="11"/>
    <n v="3"/>
    <n v="3"/>
    <n v="1"/>
    <n v="5"/>
    <n v="6"/>
    <n v="4"/>
    <n v="5"/>
    <n v="3"/>
    <n v="0"/>
    <n v="3"/>
    <n v="0"/>
    <x v="2"/>
    <n v="2"/>
    <x v="1"/>
    <n v="1"/>
    <x v="2"/>
    <n v="2"/>
    <s v="Bachelor"/>
    <s v="Very High"/>
    <s v="High"/>
    <s v="Best"/>
  </r>
  <r>
    <n v="39"/>
    <s v="No"/>
    <s v="Travel_Rarely"/>
    <s v="Research &amp; Development"/>
    <n v="10"/>
    <n v="1"/>
    <s v="Medical"/>
    <n v="1800"/>
    <n v="3"/>
    <s v="Male"/>
    <n v="3"/>
    <n v="3"/>
    <s v="Research Director"/>
    <n v="3"/>
    <s v="Single"/>
    <n v="13464"/>
    <n v="7"/>
    <x v="1"/>
    <n v="21"/>
    <n v="4"/>
    <n v="3"/>
    <n v="0"/>
    <n v="9"/>
    <n v="3"/>
    <n v="3"/>
    <n v="4"/>
    <n v="3"/>
    <n v="2"/>
    <n v="2"/>
    <n v="0"/>
    <x v="0"/>
    <n v="3"/>
    <x v="3"/>
    <n v="4"/>
    <x v="2"/>
    <n v="2"/>
    <s v="Below College"/>
    <s v="High"/>
    <s v="High"/>
    <s v="Better"/>
  </r>
  <r>
    <n v="46"/>
    <s v="No"/>
    <s v="Non-Travel"/>
    <s v="Sales"/>
    <n v="26"/>
    <n v="2"/>
    <s v="Life Sciences"/>
    <n v="1801"/>
    <n v="2"/>
    <s v="Male"/>
    <n v="2"/>
    <n v="2"/>
    <s v="Sales Executive"/>
    <n v="2"/>
    <s v="Single"/>
    <n v="7991"/>
    <n v="8"/>
    <x v="1"/>
    <n v="15"/>
    <n v="3"/>
    <n v="3"/>
    <n v="0"/>
    <n v="6"/>
    <n v="3"/>
    <n v="3"/>
    <n v="2"/>
    <n v="2"/>
    <n v="2"/>
    <n v="2"/>
    <n v="0"/>
    <x v="1"/>
    <n v="4"/>
    <x v="2"/>
    <n v="3"/>
    <x v="1"/>
    <n v="1"/>
    <s v="College"/>
    <s v="Medium"/>
    <s v="Medium"/>
    <s v="Better"/>
  </r>
  <r>
    <n v="40"/>
    <s v="No"/>
    <s v="Travel_Rarely"/>
    <s v="Research &amp; Development"/>
    <n v="2"/>
    <n v="2"/>
    <s v="Life Sciences"/>
    <n v="1802"/>
    <n v="3"/>
    <s v="Female"/>
    <n v="3"/>
    <n v="1"/>
    <s v="Laboratory Technician"/>
    <n v="1"/>
    <s v="Married"/>
    <n v="3377"/>
    <n v="4"/>
    <x v="1"/>
    <n v="17"/>
    <n v="3"/>
    <n v="4"/>
    <n v="1"/>
    <n v="7"/>
    <n v="5"/>
    <n v="2"/>
    <n v="4"/>
    <n v="3"/>
    <n v="0"/>
    <n v="2"/>
    <n v="0"/>
    <x v="0"/>
    <n v="3"/>
    <x v="0"/>
    <n v="2"/>
    <x v="2"/>
    <n v="2"/>
    <s v="College"/>
    <s v="Low"/>
    <s v="High"/>
    <s v="Good"/>
  </r>
  <r>
    <n v="42"/>
    <s v="No"/>
    <s v="Travel_Rarely"/>
    <s v="Research &amp; Development"/>
    <n v="13"/>
    <n v="3"/>
    <s v="Medical"/>
    <n v="1803"/>
    <n v="2"/>
    <s v="Male"/>
    <n v="4"/>
    <n v="2"/>
    <s v="Healthcare Representative"/>
    <n v="1"/>
    <s v="Married"/>
    <n v="5538"/>
    <n v="5"/>
    <x v="1"/>
    <n v="18"/>
    <n v="3"/>
    <n v="3"/>
    <n v="2"/>
    <n v="10"/>
    <n v="2"/>
    <n v="2"/>
    <n v="0"/>
    <n v="0"/>
    <n v="0"/>
    <n v="0"/>
    <n v="0"/>
    <x v="0"/>
    <n v="3"/>
    <x v="0"/>
    <n v="2"/>
    <x v="1"/>
    <n v="1"/>
    <s v="Bachelor"/>
    <s v="Low"/>
    <s v="Medium"/>
    <s v="Good"/>
  </r>
  <r>
    <n v="35"/>
    <s v="No"/>
    <s v="Non-Travel"/>
    <s v="Research &amp; Development"/>
    <n v="2"/>
    <n v="2"/>
    <s v="Medical"/>
    <n v="1804"/>
    <n v="2"/>
    <s v="Male"/>
    <n v="3"/>
    <n v="2"/>
    <s v="Manufacturing Director"/>
    <n v="4"/>
    <s v="Divorced"/>
    <n v="5762"/>
    <n v="2"/>
    <x v="1"/>
    <n v="14"/>
    <n v="3"/>
    <n v="3"/>
    <n v="1"/>
    <n v="15"/>
    <n v="6"/>
    <n v="3"/>
    <n v="7"/>
    <n v="7"/>
    <n v="1"/>
    <n v="7"/>
    <n v="0"/>
    <x v="2"/>
    <n v="2"/>
    <x v="0"/>
    <n v="2"/>
    <x v="0"/>
    <n v="3"/>
    <s v="College"/>
    <s v="Very High"/>
    <s v="Medium"/>
    <s v="Better"/>
  </r>
  <r>
    <n v="38"/>
    <s v="No"/>
    <s v="Non-Travel"/>
    <s v="Human Resources"/>
    <n v="2"/>
    <n v="3"/>
    <s v="Human Resources"/>
    <n v="1805"/>
    <n v="1"/>
    <s v="Male"/>
    <n v="3"/>
    <n v="1"/>
    <s v="Human Resources"/>
    <n v="2"/>
    <s v="Divorced"/>
    <n v="2592"/>
    <n v="5"/>
    <x v="1"/>
    <n v="13"/>
    <n v="3"/>
    <n v="4"/>
    <n v="3"/>
    <n v="13"/>
    <n v="3"/>
    <n v="3"/>
    <n v="11"/>
    <n v="10"/>
    <n v="3"/>
    <n v="8"/>
    <n v="0"/>
    <x v="0"/>
    <n v="3"/>
    <x v="1"/>
    <n v="1"/>
    <x v="3"/>
    <n v="4"/>
    <s v="Bachelor"/>
    <s v="Medium"/>
    <s v="Low"/>
    <s v="Better"/>
  </r>
  <r>
    <n v="34"/>
    <s v="Yes"/>
    <s v="Travel_Frequently"/>
    <s v="Research &amp; Development"/>
    <n v="9"/>
    <n v="4"/>
    <s v="Life Sciences"/>
    <n v="1807"/>
    <n v="4"/>
    <s v="Male"/>
    <n v="3"/>
    <n v="2"/>
    <s v="Laboratory Technician"/>
    <n v="1"/>
    <s v="Married"/>
    <n v="5346"/>
    <n v="4"/>
    <x v="1"/>
    <n v="17"/>
    <n v="3"/>
    <n v="3"/>
    <n v="1"/>
    <n v="11"/>
    <n v="3"/>
    <n v="2"/>
    <n v="7"/>
    <n v="1"/>
    <n v="0"/>
    <n v="7"/>
    <n v="1"/>
    <x v="2"/>
    <n v="2"/>
    <x v="0"/>
    <n v="2"/>
    <x v="0"/>
    <n v="3"/>
    <s v="Master"/>
    <s v="Low"/>
    <s v="Very High"/>
    <s v="Good"/>
  </r>
  <r>
    <n v="37"/>
    <s v="Yes"/>
    <s v="Travel_Rarely"/>
    <s v="Research &amp; Development"/>
    <n v="10"/>
    <n v="4"/>
    <s v="Medical"/>
    <n v="1809"/>
    <n v="4"/>
    <s v="Male"/>
    <n v="3"/>
    <n v="2"/>
    <s v="Manufacturing Director"/>
    <n v="1"/>
    <s v="Single"/>
    <n v="4213"/>
    <n v="1"/>
    <x v="1"/>
    <n v="15"/>
    <n v="3"/>
    <n v="2"/>
    <n v="0"/>
    <n v="10"/>
    <n v="4"/>
    <n v="1"/>
    <n v="10"/>
    <n v="3"/>
    <n v="0"/>
    <n v="8"/>
    <n v="1"/>
    <x v="0"/>
    <n v="3"/>
    <x v="0"/>
    <n v="2"/>
    <x v="0"/>
    <n v="3"/>
    <s v="Master"/>
    <s v="Low"/>
    <s v="Very High"/>
    <s v="Bad"/>
  </r>
  <r>
    <n v="39"/>
    <s v="No"/>
    <s v="Travel_Frequently"/>
    <s v="Sales"/>
    <n v="20"/>
    <n v="3"/>
    <s v="Life Sciences"/>
    <n v="1812"/>
    <n v="3"/>
    <s v="Male"/>
    <n v="3"/>
    <n v="2"/>
    <s v="Sales Executive"/>
    <n v="4"/>
    <s v="Divorced"/>
    <n v="4127"/>
    <n v="2"/>
    <x v="1"/>
    <n v="18"/>
    <n v="3"/>
    <n v="4"/>
    <n v="1"/>
    <n v="7"/>
    <n v="6"/>
    <n v="3"/>
    <n v="2"/>
    <n v="1"/>
    <n v="2"/>
    <n v="2"/>
    <n v="0"/>
    <x v="0"/>
    <n v="3"/>
    <x v="0"/>
    <n v="2"/>
    <x v="1"/>
    <n v="1"/>
    <s v="Bachelor"/>
    <s v="Very High"/>
    <s v="High"/>
    <s v="Better"/>
  </r>
  <r>
    <n v="43"/>
    <s v="No"/>
    <s v="Non-Travel"/>
    <s v="Research &amp; Development"/>
    <n v="9"/>
    <n v="3"/>
    <s v="Life Sciences"/>
    <n v="1813"/>
    <n v="1"/>
    <s v="Male"/>
    <n v="3"/>
    <n v="1"/>
    <s v="Research Scientist"/>
    <n v="3"/>
    <s v="Single"/>
    <n v="2438"/>
    <n v="4"/>
    <x v="1"/>
    <n v="13"/>
    <n v="3"/>
    <n v="3"/>
    <n v="0"/>
    <n v="7"/>
    <n v="2"/>
    <n v="2"/>
    <n v="3"/>
    <n v="2"/>
    <n v="1"/>
    <n v="2"/>
    <n v="0"/>
    <x v="0"/>
    <n v="3"/>
    <x v="1"/>
    <n v="1"/>
    <x v="2"/>
    <n v="2"/>
    <s v="Bachelor"/>
    <s v="High"/>
    <s v="Low"/>
    <s v="Good"/>
  </r>
  <r>
    <n v="41"/>
    <s v="No"/>
    <s v="Travel_Rarely"/>
    <s v="Research &amp; Development"/>
    <n v="5"/>
    <n v="3"/>
    <s v="Life Sciences"/>
    <n v="1814"/>
    <n v="2"/>
    <s v="Male"/>
    <n v="4"/>
    <n v="2"/>
    <s v="Healthcare Representative"/>
    <n v="2"/>
    <s v="Single"/>
    <n v="6870"/>
    <n v="3"/>
    <x v="1"/>
    <n v="12"/>
    <n v="3"/>
    <n v="1"/>
    <n v="0"/>
    <n v="11"/>
    <n v="3"/>
    <n v="1"/>
    <n v="3"/>
    <n v="2"/>
    <n v="1"/>
    <n v="2"/>
    <n v="0"/>
    <x v="0"/>
    <n v="3"/>
    <x v="2"/>
    <n v="3"/>
    <x v="2"/>
    <n v="2"/>
    <s v="Bachelor"/>
    <s v="Medium"/>
    <s v="Medium"/>
    <s v="Bad"/>
  </r>
  <r>
    <n v="41"/>
    <s v="No"/>
    <s v="Travel_Rarely"/>
    <s v="Sales"/>
    <n v="4"/>
    <n v="1"/>
    <s v="Marketing"/>
    <n v="1815"/>
    <n v="3"/>
    <s v="Female"/>
    <n v="3"/>
    <n v="3"/>
    <s v="Sales Executive"/>
    <n v="3"/>
    <s v="Divorced"/>
    <n v="10447"/>
    <n v="0"/>
    <x v="0"/>
    <n v="13"/>
    <n v="3"/>
    <n v="4"/>
    <n v="1"/>
    <n v="23"/>
    <n v="3"/>
    <n v="4"/>
    <n v="22"/>
    <n v="14"/>
    <n v="13"/>
    <n v="5"/>
    <n v="0"/>
    <x v="0"/>
    <n v="3"/>
    <x v="3"/>
    <n v="4"/>
    <x v="3"/>
    <n v="4"/>
    <s v="Below College"/>
    <s v="High"/>
    <s v="High"/>
    <s v="Best"/>
  </r>
  <r>
    <n v="30"/>
    <s v="No"/>
    <s v="Travel_Rarely"/>
    <s v="Research &amp; Development"/>
    <n v="10"/>
    <n v="3"/>
    <s v="Medical"/>
    <n v="1816"/>
    <n v="1"/>
    <s v="Female"/>
    <n v="3"/>
    <n v="3"/>
    <s v="Manufacturing Director"/>
    <n v="3"/>
    <s v="Single"/>
    <n v="9667"/>
    <n v="9"/>
    <x v="1"/>
    <n v="14"/>
    <n v="3"/>
    <n v="2"/>
    <n v="0"/>
    <n v="9"/>
    <n v="3"/>
    <n v="3"/>
    <n v="7"/>
    <n v="7"/>
    <n v="0"/>
    <n v="2"/>
    <n v="0"/>
    <x v="2"/>
    <n v="2"/>
    <x v="2"/>
    <n v="3"/>
    <x v="0"/>
    <n v="3"/>
    <s v="Bachelor"/>
    <s v="High"/>
    <s v="Low"/>
    <s v="Better"/>
  </r>
  <r>
    <n v="26"/>
    <s v="Yes"/>
    <s v="Travel_Rarely"/>
    <s v="Human Resources"/>
    <n v="20"/>
    <n v="2"/>
    <s v="Medical"/>
    <n v="1818"/>
    <n v="4"/>
    <s v="Female"/>
    <n v="3"/>
    <n v="1"/>
    <s v="Human Resources"/>
    <n v="2"/>
    <s v="Married"/>
    <n v="2148"/>
    <n v="0"/>
    <x v="0"/>
    <n v="11"/>
    <n v="3"/>
    <n v="3"/>
    <n v="0"/>
    <n v="6"/>
    <n v="3"/>
    <n v="3"/>
    <n v="5"/>
    <n v="1"/>
    <n v="1"/>
    <n v="4"/>
    <n v="1"/>
    <x v="2"/>
    <n v="2"/>
    <x v="1"/>
    <n v="1"/>
    <x v="2"/>
    <n v="2"/>
    <s v="College"/>
    <s v="Medium"/>
    <s v="Very High"/>
    <s v="Better"/>
  </r>
  <r>
    <n v="46"/>
    <s v="Yes"/>
    <s v="Travel_Rarely"/>
    <s v="Research &amp; Development"/>
    <n v="21"/>
    <n v="2"/>
    <s v="Medical"/>
    <n v="1821"/>
    <n v="4"/>
    <s v="Female"/>
    <n v="3"/>
    <n v="2"/>
    <s v="Healthcare Representative"/>
    <n v="2"/>
    <s v="Married"/>
    <n v="8926"/>
    <n v="4"/>
    <x v="1"/>
    <n v="22"/>
    <n v="4"/>
    <n v="4"/>
    <n v="1"/>
    <n v="13"/>
    <n v="2"/>
    <n v="4"/>
    <n v="9"/>
    <n v="7"/>
    <n v="3"/>
    <n v="7"/>
    <n v="1"/>
    <x v="1"/>
    <n v="4"/>
    <x v="2"/>
    <n v="3"/>
    <x v="0"/>
    <n v="3"/>
    <s v="College"/>
    <s v="Medium"/>
    <s v="Very High"/>
    <s v="Best"/>
  </r>
  <r>
    <n v="40"/>
    <s v="No"/>
    <s v="Travel_Rarely"/>
    <s v="Research &amp; Development"/>
    <n v="1"/>
    <n v="3"/>
    <s v="Life Sciences"/>
    <n v="1822"/>
    <n v="3"/>
    <s v="Female"/>
    <n v="3"/>
    <n v="2"/>
    <s v="Healthcare Representative"/>
    <n v="4"/>
    <s v="Divorced"/>
    <n v="6513"/>
    <n v="4"/>
    <x v="1"/>
    <n v="17"/>
    <n v="3"/>
    <n v="4"/>
    <n v="1"/>
    <n v="12"/>
    <n v="3"/>
    <n v="3"/>
    <n v="5"/>
    <n v="3"/>
    <n v="0"/>
    <n v="3"/>
    <n v="0"/>
    <x v="0"/>
    <n v="3"/>
    <x v="2"/>
    <n v="3"/>
    <x v="2"/>
    <n v="2"/>
    <s v="Bachelor"/>
    <s v="Very High"/>
    <s v="High"/>
    <s v="Better"/>
  </r>
  <r>
    <n v="34"/>
    <s v="No"/>
    <s v="Travel_Rarely"/>
    <s v="Sales"/>
    <n v="8"/>
    <n v="2"/>
    <s v="Technical Degree"/>
    <n v="1823"/>
    <n v="2"/>
    <s v="Male"/>
    <n v="4"/>
    <n v="2"/>
    <s v="Sales Executive"/>
    <n v="3"/>
    <s v="Married"/>
    <n v="6799"/>
    <n v="1"/>
    <x v="1"/>
    <n v="21"/>
    <n v="4"/>
    <n v="3"/>
    <n v="2"/>
    <n v="10"/>
    <n v="5"/>
    <n v="3"/>
    <n v="10"/>
    <n v="8"/>
    <n v="4"/>
    <n v="8"/>
    <n v="0"/>
    <x v="2"/>
    <n v="2"/>
    <x v="2"/>
    <n v="3"/>
    <x v="0"/>
    <n v="3"/>
    <s v="College"/>
    <s v="High"/>
    <s v="Medium"/>
    <s v="Better"/>
  </r>
  <r>
    <n v="58"/>
    <s v="No"/>
    <s v="Non-Travel"/>
    <s v="Sales"/>
    <n v="2"/>
    <n v="3"/>
    <s v="Medical"/>
    <n v="1824"/>
    <n v="2"/>
    <s v="Male"/>
    <n v="3"/>
    <n v="4"/>
    <s v="Manager"/>
    <n v="2"/>
    <s v="Divorced"/>
    <n v="16291"/>
    <n v="4"/>
    <x v="1"/>
    <n v="22"/>
    <n v="4"/>
    <n v="4"/>
    <n v="1"/>
    <n v="37"/>
    <n v="0"/>
    <n v="2"/>
    <n v="16"/>
    <n v="9"/>
    <n v="14"/>
    <n v="14"/>
    <n v="0"/>
    <x v="3"/>
    <n v="5"/>
    <x v="3"/>
    <n v="4"/>
    <x v="3"/>
    <n v="4"/>
    <s v="Bachelor"/>
    <s v="Medium"/>
    <s v="Medium"/>
    <s v="Good"/>
  </r>
  <r>
    <n v="35"/>
    <s v="No"/>
    <s v="Travel_Rarely"/>
    <s v="Research &amp; Development"/>
    <n v="23"/>
    <n v="4"/>
    <s v="Medical"/>
    <n v="1826"/>
    <n v="2"/>
    <s v="Male"/>
    <n v="1"/>
    <n v="1"/>
    <s v="Laboratory Technician"/>
    <n v="3"/>
    <s v="Married"/>
    <n v="2705"/>
    <n v="0"/>
    <x v="1"/>
    <n v="16"/>
    <n v="3"/>
    <n v="2"/>
    <n v="1"/>
    <n v="6"/>
    <n v="2"/>
    <n v="4"/>
    <n v="5"/>
    <n v="4"/>
    <n v="0"/>
    <n v="3"/>
    <n v="0"/>
    <x v="2"/>
    <n v="2"/>
    <x v="1"/>
    <n v="1"/>
    <x v="2"/>
    <n v="2"/>
    <s v="Master"/>
    <s v="High"/>
    <s v="Medium"/>
    <s v="Best"/>
  </r>
  <r>
    <n v="47"/>
    <s v="No"/>
    <s v="Travel_Rarely"/>
    <s v="Research &amp; Development"/>
    <n v="4"/>
    <n v="3"/>
    <s v="Life Sciences"/>
    <n v="1827"/>
    <n v="3"/>
    <s v="Female"/>
    <n v="2"/>
    <n v="3"/>
    <s v="Manufacturing Director"/>
    <n v="2"/>
    <s v="Divorced"/>
    <n v="10333"/>
    <n v="8"/>
    <x v="0"/>
    <n v="12"/>
    <n v="3"/>
    <n v="3"/>
    <n v="1"/>
    <n v="28"/>
    <n v="4"/>
    <n v="3"/>
    <n v="22"/>
    <n v="11"/>
    <n v="14"/>
    <n v="10"/>
    <n v="0"/>
    <x v="1"/>
    <n v="4"/>
    <x v="3"/>
    <n v="4"/>
    <x v="3"/>
    <n v="4"/>
    <s v="Bachelor"/>
    <s v="Medium"/>
    <s v="High"/>
    <s v="Better"/>
  </r>
  <r>
    <n v="40"/>
    <s v="No"/>
    <s v="Travel_Rarely"/>
    <s v="Research &amp; Development"/>
    <n v="12"/>
    <n v="3"/>
    <s v="Life Sciences"/>
    <n v="1829"/>
    <n v="2"/>
    <s v="Female"/>
    <n v="3"/>
    <n v="2"/>
    <s v="Healthcare Representative"/>
    <n v="1"/>
    <s v="Divorced"/>
    <n v="4448"/>
    <n v="2"/>
    <x v="1"/>
    <n v="12"/>
    <n v="3"/>
    <n v="2"/>
    <n v="1"/>
    <n v="15"/>
    <n v="3"/>
    <n v="3"/>
    <n v="7"/>
    <n v="4"/>
    <n v="7"/>
    <n v="7"/>
    <n v="0"/>
    <x v="0"/>
    <n v="3"/>
    <x v="0"/>
    <n v="2"/>
    <x v="0"/>
    <n v="3"/>
    <s v="Bachelor"/>
    <s v="Low"/>
    <s v="Medium"/>
    <s v="Better"/>
  </r>
  <r>
    <n v="54"/>
    <s v="No"/>
    <s v="Travel_Rarely"/>
    <s v="Research &amp; Development"/>
    <n v="7"/>
    <n v="4"/>
    <s v="Medical"/>
    <n v="1830"/>
    <n v="4"/>
    <s v="Female"/>
    <n v="3"/>
    <n v="2"/>
    <s v="Research Scientist"/>
    <n v="4"/>
    <s v="Married"/>
    <n v="6854"/>
    <n v="4"/>
    <x v="1"/>
    <n v="15"/>
    <n v="3"/>
    <n v="2"/>
    <n v="1"/>
    <n v="14"/>
    <n v="2"/>
    <n v="2"/>
    <n v="7"/>
    <n v="1"/>
    <n v="1"/>
    <n v="7"/>
    <n v="0"/>
    <x v="1"/>
    <n v="4"/>
    <x v="2"/>
    <n v="3"/>
    <x v="0"/>
    <n v="3"/>
    <s v="Master"/>
    <s v="Very High"/>
    <s v="Very High"/>
    <s v="Good"/>
  </r>
  <r>
    <n v="31"/>
    <s v="No"/>
    <s v="Travel_Frequently"/>
    <s v="Sales"/>
    <n v="7"/>
    <n v="4"/>
    <s v="Marketing"/>
    <n v="1833"/>
    <n v="1"/>
    <s v="Female"/>
    <n v="3"/>
    <n v="3"/>
    <s v="Sales Executive"/>
    <n v="1"/>
    <s v="Married"/>
    <n v="9637"/>
    <n v="2"/>
    <x v="1"/>
    <n v="14"/>
    <n v="3"/>
    <n v="4"/>
    <n v="2"/>
    <n v="9"/>
    <n v="3"/>
    <n v="3"/>
    <n v="3"/>
    <n v="2"/>
    <n v="2"/>
    <n v="2"/>
    <n v="0"/>
    <x v="2"/>
    <n v="2"/>
    <x v="2"/>
    <n v="3"/>
    <x v="2"/>
    <n v="2"/>
    <s v="Master"/>
    <s v="Low"/>
    <s v="Low"/>
    <s v="Better"/>
  </r>
  <r>
    <n v="28"/>
    <s v="No"/>
    <s v="Travel_Rarely"/>
    <s v="Research &amp; Development"/>
    <n v="1"/>
    <n v="3"/>
    <s v="Medical"/>
    <n v="1834"/>
    <n v="3"/>
    <s v="Female"/>
    <n v="3"/>
    <n v="1"/>
    <s v="Research Scientist"/>
    <n v="1"/>
    <s v="Married"/>
    <n v="3591"/>
    <n v="1"/>
    <x v="1"/>
    <n v="25"/>
    <n v="4"/>
    <n v="3"/>
    <n v="1"/>
    <n v="3"/>
    <n v="3"/>
    <n v="3"/>
    <n v="3"/>
    <n v="2"/>
    <n v="1"/>
    <n v="2"/>
    <n v="0"/>
    <x v="2"/>
    <n v="2"/>
    <x v="0"/>
    <n v="2"/>
    <x v="2"/>
    <n v="2"/>
    <s v="Bachelor"/>
    <s v="Low"/>
    <s v="High"/>
    <s v="Better"/>
  </r>
  <r>
    <n v="38"/>
    <s v="No"/>
    <s v="Travel_Rarely"/>
    <s v="Sales"/>
    <n v="2"/>
    <n v="4"/>
    <s v="Marketing"/>
    <n v="1835"/>
    <n v="2"/>
    <s v="Female"/>
    <n v="1"/>
    <n v="2"/>
    <s v="Sales Representative"/>
    <n v="4"/>
    <s v="Married"/>
    <n v="5405"/>
    <n v="2"/>
    <x v="0"/>
    <n v="20"/>
    <n v="4"/>
    <n v="1"/>
    <n v="2"/>
    <n v="20"/>
    <n v="4"/>
    <n v="2"/>
    <n v="4"/>
    <n v="2"/>
    <n v="0"/>
    <n v="3"/>
    <n v="0"/>
    <x v="0"/>
    <n v="3"/>
    <x v="0"/>
    <n v="2"/>
    <x v="2"/>
    <n v="2"/>
    <s v="Master"/>
    <s v="Very High"/>
    <s v="Medium"/>
    <s v="Good"/>
  </r>
  <r>
    <n v="26"/>
    <s v="No"/>
    <s v="Travel_Rarely"/>
    <s v="Sales"/>
    <n v="10"/>
    <n v="3"/>
    <s v="Medical"/>
    <n v="1836"/>
    <n v="3"/>
    <s v="Male"/>
    <n v="3"/>
    <n v="2"/>
    <s v="Sales Executive"/>
    <n v="4"/>
    <s v="Single"/>
    <n v="4684"/>
    <n v="1"/>
    <x v="1"/>
    <n v="13"/>
    <n v="3"/>
    <n v="1"/>
    <n v="0"/>
    <n v="5"/>
    <n v="4"/>
    <n v="3"/>
    <n v="5"/>
    <n v="3"/>
    <n v="1"/>
    <n v="2"/>
    <n v="0"/>
    <x v="2"/>
    <n v="2"/>
    <x v="0"/>
    <n v="2"/>
    <x v="2"/>
    <n v="2"/>
    <s v="Bachelor"/>
    <s v="Very High"/>
    <s v="High"/>
    <s v="Better"/>
  </r>
  <r>
    <n v="58"/>
    <s v="No"/>
    <s v="Travel_Frequently"/>
    <s v="Research &amp; Development"/>
    <n v="15"/>
    <n v="4"/>
    <s v="Life Sciences"/>
    <n v="1837"/>
    <n v="1"/>
    <s v="Male"/>
    <n v="3"/>
    <n v="4"/>
    <s v="Research Director"/>
    <n v="3"/>
    <s v="Married"/>
    <n v="15787"/>
    <n v="2"/>
    <x v="0"/>
    <n v="14"/>
    <n v="3"/>
    <n v="2"/>
    <n v="0"/>
    <n v="23"/>
    <n v="3"/>
    <n v="3"/>
    <n v="2"/>
    <n v="2"/>
    <n v="2"/>
    <n v="2"/>
    <n v="0"/>
    <x v="3"/>
    <n v="5"/>
    <x v="3"/>
    <n v="4"/>
    <x v="1"/>
    <n v="1"/>
    <s v="Master"/>
    <s v="High"/>
    <s v="Low"/>
    <s v="Better"/>
  </r>
  <r>
    <n v="18"/>
    <s v="No"/>
    <s v="Non-Travel"/>
    <s v="Research &amp; Development"/>
    <n v="14"/>
    <n v="3"/>
    <s v="Medical"/>
    <n v="1839"/>
    <n v="2"/>
    <s v="Female"/>
    <n v="3"/>
    <n v="1"/>
    <s v="Research Scientist"/>
    <n v="3"/>
    <s v="Single"/>
    <n v="1514"/>
    <n v="1"/>
    <x v="1"/>
    <n v="16"/>
    <n v="3"/>
    <n v="3"/>
    <n v="0"/>
    <n v="0"/>
    <n v="4"/>
    <n v="1"/>
    <n v="0"/>
    <n v="0"/>
    <n v="0"/>
    <n v="0"/>
    <n v="0"/>
    <x v="4"/>
    <n v="1"/>
    <x v="1"/>
    <n v="1"/>
    <x v="1"/>
    <n v="1"/>
    <s v="Bachelor"/>
    <s v="High"/>
    <s v="Medium"/>
    <s v="Bad"/>
  </r>
  <r>
    <n v="31"/>
    <s v="Yes"/>
    <s v="Travel_Rarely"/>
    <s v="Human Resources"/>
    <n v="18"/>
    <n v="5"/>
    <s v="Human Resources"/>
    <n v="1842"/>
    <n v="4"/>
    <s v="Male"/>
    <n v="4"/>
    <n v="1"/>
    <s v="Human Resources"/>
    <n v="1"/>
    <s v="Married"/>
    <n v="2956"/>
    <n v="0"/>
    <x v="1"/>
    <n v="17"/>
    <n v="3"/>
    <n v="3"/>
    <n v="0"/>
    <n v="2"/>
    <n v="4"/>
    <n v="3"/>
    <n v="1"/>
    <n v="0"/>
    <n v="0"/>
    <n v="0"/>
    <n v="1"/>
    <x v="2"/>
    <n v="2"/>
    <x v="1"/>
    <n v="1"/>
    <x v="1"/>
    <n v="1"/>
    <s v="Doctor"/>
    <s v="Low"/>
    <s v="Very High"/>
    <s v="Better"/>
  </r>
  <r>
    <n v="29"/>
    <s v="Yes"/>
    <s v="Travel_Rarely"/>
    <s v="Human Resources"/>
    <n v="13"/>
    <n v="3"/>
    <s v="Human Resources"/>
    <n v="1844"/>
    <n v="1"/>
    <s v="Male"/>
    <n v="2"/>
    <n v="1"/>
    <s v="Human Resources"/>
    <n v="1"/>
    <s v="Divorced"/>
    <n v="2335"/>
    <n v="4"/>
    <x v="0"/>
    <n v="15"/>
    <n v="3"/>
    <n v="4"/>
    <n v="3"/>
    <n v="4"/>
    <n v="3"/>
    <n v="3"/>
    <n v="2"/>
    <n v="2"/>
    <n v="2"/>
    <n v="0"/>
    <n v="1"/>
    <x v="2"/>
    <n v="2"/>
    <x v="1"/>
    <n v="1"/>
    <x v="1"/>
    <n v="1"/>
    <s v="Bachelor"/>
    <s v="Low"/>
    <s v="Low"/>
    <s v="Better"/>
  </r>
  <r>
    <n v="45"/>
    <s v="No"/>
    <s v="Non-Travel"/>
    <s v="Sales"/>
    <n v="2"/>
    <n v="4"/>
    <s v="Life Sciences"/>
    <n v="1845"/>
    <n v="3"/>
    <s v="Female"/>
    <n v="3"/>
    <n v="2"/>
    <s v="Sales Executive"/>
    <n v="3"/>
    <s v="Married"/>
    <n v="5154"/>
    <n v="4"/>
    <x v="1"/>
    <n v="22"/>
    <n v="4"/>
    <n v="2"/>
    <n v="2"/>
    <n v="10"/>
    <n v="3"/>
    <n v="4"/>
    <n v="8"/>
    <n v="7"/>
    <n v="5"/>
    <n v="7"/>
    <n v="0"/>
    <x v="0"/>
    <n v="3"/>
    <x v="0"/>
    <n v="2"/>
    <x v="0"/>
    <n v="3"/>
    <s v="Master"/>
    <s v="High"/>
    <s v="High"/>
    <s v="Best"/>
  </r>
  <r>
    <n v="36"/>
    <s v="No"/>
    <s v="Travel_Rarely"/>
    <s v="Research &amp; Development"/>
    <n v="2"/>
    <n v="4"/>
    <s v="Other"/>
    <n v="1847"/>
    <n v="4"/>
    <s v="Female"/>
    <n v="3"/>
    <n v="2"/>
    <s v="Research Scientist"/>
    <n v="2"/>
    <s v="Married"/>
    <n v="6962"/>
    <n v="4"/>
    <x v="0"/>
    <n v="22"/>
    <n v="4"/>
    <n v="4"/>
    <n v="1"/>
    <n v="15"/>
    <n v="2"/>
    <n v="3"/>
    <n v="1"/>
    <n v="0"/>
    <n v="0"/>
    <n v="0"/>
    <n v="0"/>
    <x v="0"/>
    <n v="3"/>
    <x v="2"/>
    <n v="3"/>
    <x v="1"/>
    <n v="1"/>
    <s v="Master"/>
    <s v="Medium"/>
    <s v="Very High"/>
    <s v="Better"/>
  </r>
  <r>
    <n v="43"/>
    <s v="No"/>
    <s v="Travel_Frequently"/>
    <s v="Sales"/>
    <n v="2"/>
    <n v="4"/>
    <s v="Life Sciences"/>
    <n v="1849"/>
    <n v="1"/>
    <s v="Male"/>
    <n v="3"/>
    <n v="2"/>
    <s v="Sales Executive"/>
    <n v="4"/>
    <s v="Married"/>
    <n v="5675"/>
    <n v="1"/>
    <x v="1"/>
    <n v="20"/>
    <n v="4"/>
    <n v="3"/>
    <n v="1"/>
    <n v="7"/>
    <n v="5"/>
    <n v="3"/>
    <n v="7"/>
    <n v="7"/>
    <n v="7"/>
    <n v="7"/>
    <n v="0"/>
    <x v="0"/>
    <n v="3"/>
    <x v="0"/>
    <n v="2"/>
    <x v="0"/>
    <n v="3"/>
    <s v="Master"/>
    <s v="Very High"/>
    <s v="Low"/>
    <s v="Better"/>
  </r>
  <r>
    <n v="27"/>
    <s v="No"/>
    <s v="Travel_Frequently"/>
    <s v="Research &amp; Development"/>
    <n v="5"/>
    <n v="2"/>
    <s v="Life Sciences"/>
    <n v="1850"/>
    <n v="4"/>
    <s v="Female"/>
    <n v="3"/>
    <n v="1"/>
    <s v="Laboratory Technician"/>
    <n v="4"/>
    <s v="Single"/>
    <n v="2379"/>
    <n v="0"/>
    <x v="0"/>
    <n v="14"/>
    <n v="3"/>
    <n v="3"/>
    <n v="0"/>
    <n v="6"/>
    <n v="3"/>
    <n v="2"/>
    <n v="5"/>
    <n v="4"/>
    <n v="0"/>
    <n v="2"/>
    <n v="0"/>
    <x v="2"/>
    <n v="2"/>
    <x v="1"/>
    <n v="1"/>
    <x v="2"/>
    <n v="2"/>
    <s v="College"/>
    <s v="Very High"/>
    <s v="Very High"/>
    <s v="Good"/>
  </r>
  <r>
    <n v="29"/>
    <s v="No"/>
    <s v="Travel_Frequently"/>
    <s v="Research &amp; Development"/>
    <n v="20"/>
    <n v="1"/>
    <s v="Medical"/>
    <n v="1852"/>
    <n v="4"/>
    <s v="Male"/>
    <n v="3"/>
    <n v="1"/>
    <s v="Laboratory Technician"/>
    <n v="4"/>
    <s v="Married"/>
    <n v="3812"/>
    <n v="1"/>
    <x v="1"/>
    <n v="13"/>
    <n v="3"/>
    <n v="2"/>
    <n v="0"/>
    <n v="11"/>
    <n v="3"/>
    <n v="4"/>
    <n v="11"/>
    <n v="8"/>
    <n v="3"/>
    <n v="10"/>
    <n v="0"/>
    <x v="2"/>
    <n v="2"/>
    <x v="0"/>
    <n v="2"/>
    <x v="3"/>
    <n v="4"/>
    <s v="Below College"/>
    <s v="Very High"/>
    <s v="Very High"/>
    <s v="Best"/>
  </r>
  <r>
    <n v="32"/>
    <s v="No"/>
    <s v="Travel_Frequently"/>
    <s v="Sales"/>
    <n v="10"/>
    <n v="4"/>
    <s v="Marketing"/>
    <n v="1853"/>
    <n v="4"/>
    <s v="Male"/>
    <n v="3"/>
    <n v="2"/>
    <s v="Sales Executive"/>
    <n v="4"/>
    <s v="Single"/>
    <n v="4648"/>
    <n v="8"/>
    <x v="1"/>
    <n v="13"/>
    <n v="3"/>
    <n v="3"/>
    <n v="0"/>
    <n v="4"/>
    <n v="2"/>
    <n v="4"/>
    <n v="0"/>
    <n v="0"/>
    <n v="0"/>
    <n v="0"/>
    <n v="0"/>
    <x v="2"/>
    <n v="2"/>
    <x v="0"/>
    <n v="2"/>
    <x v="1"/>
    <n v="1"/>
    <s v="Master"/>
    <s v="Very High"/>
    <s v="Very High"/>
    <s v="Best"/>
  </r>
  <r>
    <n v="42"/>
    <s v="No"/>
    <s v="Non-Travel"/>
    <s v="Research &amp; Development"/>
    <n v="10"/>
    <n v="4"/>
    <s v="Technical Degree"/>
    <n v="1854"/>
    <n v="3"/>
    <s v="Male"/>
    <n v="3"/>
    <n v="1"/>
    <s v="Research Scientist"/>
    <n v="3"/>
    <s v="Married"/>
    <n v="2936"/>
    <n v="3"/>
    <x v="1"/>
    <n v="22"/>
    <n v="4"/>
    <n v="2"/>
    <n v="2"/>
    <n v="10"/>
    <n v="1"/>
    <n v="2"/>
    <n v="6"/>
    <n v="3"/>
    <n v="3"/>
    <n v="3"/>
    <n v="0"/>
    <x v="0"/>
    <n v="3"/>
    <x v="1"/>
    <n v="1"/>
    <x v="0"/>
    <n v="3"/>
    <s v="Master"/>
    <s v="High"/>
    <s v="High"/>
    <s v="Good"/>
  </r>
  <r>
    <n v="47"/>
    <s v="No"/>
    <s v="Travel_Rarely"/>
    <s v="Research &amp; Development"/>
    <n v="9"/>
    <n v="4"/>
    <s v="Life Sciences"/>
    <n v="1856"/>
    <n v="2"/>
    <s v="Female"/>
    <n v="3"/>
    <n v="1"/>
    <s v="Laboratory Technician"/>
    <n v="3"/>
    <s v="Single"/>
    <n v="2105"/>
    <n v="4"/>
    <x v="1"/>
    <n v="12"/>
    <n v="3"/>
    <n v="3"/>
    <n v="0"/>
    <n v="7"/>
    <n v="2"/>
    <n v="3"/>
    <n v="2"/>
    <n v="2"/>
    <n v="2"/>
    <n v="0"/>
    <n v="0"/>
    <x v="1"/>
    <n v="4"/>
    <x v="1"/>
    <n v="1"/>
    <x v="1"/>
    <n v="1"/>
    <s v="Master"/>
    <s v="High"/>
    <s v="Medium"/>
    <s v="Better"/>
  </r>
  <r>
    <n v="46"/>
    <s v="No"/>
    <s v="Travel_Rarely"/>
    <s v="Research &amp; Development"/>
    <n v="2"/>
    <n v="2"/>
    <s v="Life Sciences"/>
    <n v="1857"/>
    <n v="4"/>
    <s v="Male"/>
    <n v="3"/>
    <n v="3"/>
    <s v="Manufacturing Director"/>
    <n v="4"/>
    <s v="Divorced"/>
    <n v="8578"/>
    <n v="3"/>
    <x v="1"/>
    <n v="14"/>
    <n v="3"/>
    <n v="3"/>
    <n v="1"/>
    <n v="12"/>
    <n v="4"/>
    <n v="2"/>
    <n v="9"/>
    <n v="8"/>
    <n v="4"/>
    <n v="7"/>
    <n v="0"/>
    <x v="1"/>
    <n v="4"/>
    <x v="2"/>
    <n v="3"/>
    <x v="0"/>
    <n v="3"/>
    <s v="College"/>
    <s v="Very High"/>
    <s v="Very High"/>
    <s v="Good"/>
  </r>
  <r>
    <n v="28"/>
    <s v="No"/>
    <s v="Non-Travel"/>
    <s v="Human Resources"/>
    <n v="1"/>
    <n v="2"/>
    <s v="Life Sciences"/>
    <n v="1858"/>
    <n v="3"/>
    <s v="Male"/>
    <n v="3"/>
    <n v="1"/>
    <s v="Human Resources"/>
    <n v="4"/>
    <s v="Divorced"/>
    <n v="2706"/>
    <n v="1"/>
    <x v="1"/>
    <n v="15"/>
    <n v="3"/>
    <n v="2"/>
    <n v="1"/>
    <n v="3"/>
    <n v="2"/>
    <n v="3"/>
    <n v="3"/>
    <n v="2"/>
    <n v="2"/>
    <n v="2"/>
    <n v="0"/>
    <x v="2"/>
    <n v="2"/>
    <x v="1"/>
    <n v="1"/>
    <x v="2"/>
    <n v="2"/>
    <s v="College"/>
    <s v="Very High"/>
    <s v="High"/>
    <s v="Better"/>
  </r>
  <r>
    <n v="29"/>
    <s v="No"/>
    <s v="Travel_Rarely"/>
    <s v="Research &amp; Development"/>
    <n v="29"/>
    <n v="1"/>
    <s v="Life Sciences"/>
    <n v="1859"/>
    <n v="4"/>
    <s v="Male"/>
    <n v="1"/>
    <n v="2"/>
    <s v="Healthcare Representative"/>
    <n v="3"/>
    <s v="Divorced"/>
    <n v="6384"/>
    <n v="8"/>
    <x v="1"/>
    <n v="17"/>
    <n v="3"/>
    <n v="4"/>
    <n v="2"/>
    <n v="11"/>
    <n v="3"/>
    <n v="3"/>
    <n v="7"/>
    <n v="0"/>
    <n v="1"/>
    <n v="6"/>
    <n v="0"/>
    <x v="2"/>
    <n v="2"/>
    <x v="2"/>
    <n v="3"/>
    <x v="0"/>
    <n v="3"/>
    <s v="Below College"/>
    <s v="High"/>
    <s v="Very High"/>
    <s v="Better"/>
  </r>
  <r>
    <n v="42"/>
    <s v="No"/>
    <s v="Travel_Rarely"/>
    <s v="Research &amp; Development"/>
    <n v="8"/>
    <n v="3"/>
    <s v="Life Sciences"/>
    <n v="1860"/>
    <n v="4"/>
    <s v="Male"/>
    <n v="3"/>
    <n v="1"/>
    <s v="Laboratory Technician"/>
    <n v="3"/>
    <s v="Single"/>
    <n v="3968"/>
    <n v="4"/>
    <x v="1"/>
    <n v="13"/>
    <n v="3"/>
    <n v="4"/>
    <n v="0"/>
    <n v="8"/>
    <n v="3"/>
    <n v="3"/>
    <n v="0"/>
    <n v="0"/>
    <n v="0"/>
    <n v="0"/>
    <n v="0"/>
    <x v="0"/>
    <n v="3"/>
    <x v="0"/>
    <n v="2"/>
    <x v="1"/>
    <n v="1"/>
    <s v="Bachelor"/>
    <s v="High"/>
    <s v="Very High"/>
    <s v="Better"/>
  </r>
  <r>
    <n v="32"/>
    <s v="Yes"/>
    <s v="Travel_Rarely"/>
    <s v="Sales"/>
    <n v="2"/>
    <n v="4"/>
    <s v="Marketing"/>
    <n v="1862"/>
    <n v="3"/>
    <s v="Male"/>
    <n v="2"/>
    <n v="2"/>
    <s v="Sales Executive"/>
    <n v="2"/>
    <s v="Single"/>
    <n v="9907"/>
    <n v="7"/>
    <x v="0"/>
    <n v="12"/>
    <n v="3"/>
    <n v="3"/>
    <n v="0"/>
    <n v="7"/>
    <n v="3"/>
    <n v="2"/>
    <n v="2"/>
    <n v="2"/>
    <n v="2"/>
    <n v="2"/>
    <n v="1"/>
    <x v="2"/>
    <n v="2"/>
    <x v="2"/>
    <n v="3"/>
    <x v="1"/>
    <n v="1"/>
    <s v="Master"/>
    <s v="Medium"/>
    <s v="High"/>
    <s v="Good"/>
  </r>
  <r>
    <n v="46"/>
    <s v="No"/>
    <s v="Travel_Rarely"/>
    <s v="Sales"/>
    <n v="3"/>
    <n v="3"/>
    <s v="Technical Degree"/>
    <n v="1863"/>
    <n v="1"/>
    <s v="Female"/>
    <n v="4"/>
    <n v="4"/>
    <s v="Sales Executive"/>
    <n v="1"/>
    <s v="Divorced"/>
    <n v="13225"/>
    <n v="2"/>
    <x v="1"/>
    <n v="12"/>
    <n v="3"/>
    <n v="4"/>
    <n v="1"/>
    <n v="25"/>
    <n v="5"/>
    <n v="3"/>
    <n v="19"/>
    <n v="17"/>
    <n v="2"/>
    <n v="8"/>
    <n v="0"/>
    <x v="1"/>
    <n v="4"/>
    <x v="3"/>
    <n v="4"/>
    <x v="3"/>
    <n v="4"/>
    <s v="Bachelor"/>
    <s v="Low"/>
    <s v="Low"/>
    <s v="Better"/>
  </r>
  <r>
    <n v="27"/>
    <s v="No"/>
    <s v="Travel_Rarely"/>
    <s v="Sales"/>
    <n v="23"/>
    <n v="1"/>
    <s v="Medical"/>
    <n v="1864"/>
    <n v="2"/>
    <s v="Female"/>
    <n v="2"/>
    <n v="2"/>
    <s v="Sales Representative"/>
    <n v="3"/>
    <s v="Married"/>
    <n v="3540"/>
    <n v="1"/>
    <x v="1"/>
    <n v="21"/>
    <n v="4"/>
    <n v="4"/>
    <n v="1"/>
    <n v="9"/>
    <n v="5"/>
    <n v="3"/>
    <n v="9"/>
    <n v="8"/>
    <n v="5"/>
    <n v="8"/>
    <n v="0"/>
    <x v="2"/>
    <n v="2"/>
    <x v="0"/>
    <n v="2"/>
    <x v="0"/>
    <n v="3"/>
    <s v="Below College"/>
    <s v="High"/>
    <s v="Medium"/>
    <s v="Better"/>
  </r>
  <r>
    <n v="29"/>
    <s v="No"/>
    <s v="Travel_Rarely"/>
    <s v="Human Resources"/>
    <n v="6"/>
    <n v="1"/>
    <s v="Medical"/>
    <n v="1865"/>
    <n v="4"/>
    <s v="Male"/>
    <n v="2"/>
    <n v="1"/>
    <s v="Human Resources"/>
    <n v="2"/>
    <s v="Married"/>
    <n v="2804"/>
    <n v="1"/>
    <x v="1"/>
    <n v="11"/>
    <n v="3"/>
    <n v="4"/>
    <n v="0"/>
    <n v="1"/>
    <n v="3"/>
    <n v="3"/>
    <n v="1"/>
    <n v="0"/>
    <n v="0"/>
    <n v="0"/>
    <n v="0"/>
    <x v="2"/>
    <n v="2"/>
    <x v="1"/>
    <n v="1"/>
    <x v="1"/>
    <n v="1"/>
    <s v="Below College"/>
    <s v="Medium"/>
    <s v="Very High"/>
    <s v="Better"/>
  </r>
  <r>
    <n v="43"/>
    <s v="No"/>
    <s v="Travel_Rarely"/>
    <s v="Research &amp; Development"/>
    <n v="6"/>
    <n v="3"/>
    <s v="Medical"/>
    <n v="1866"/>
    <n v="1"/>
    <s v="Female"/>
    <n v="2"/>
    <n v="5"/>
    <s v="Manager"/>
    <n v="3"/>
    <s v="Married"/>
    <n v="19392"/>
    <n v="7"/>
    <x v="1"/>
    <n v="13"/>
    <n v="3"/>
    <n v="4"/>
    <n v="0"/>
    <n v="21"/>
    <n v="2"/>
    <n v="3"/>
    <n v="16"/>
    <n v="12"/>
    <n v="6"/>
    <n v="14"/>
    <n v="0"/>
    <x v="0"/>
    <n v="3"/>
    <x v="3"/>
    <n v="4"/>
    <x v="3"/>
    <n v="4"/>
    <s v="Bachelor"/>
    <s v="High"/>
    <s v="Low"/>
    <s v="Better"/>
  </r>
  <r>
    <n v="48"/>
    <s v="No"/>
    <s v="Travel_Rarely"/>
    <s v="Research &amp; Development"/>
    <n v="10"/>
    <n v="3"/>
    <s v="Life Sciences"/>
    <n v="1867"/>
    <n v="4"/>
    <s v="Male"/>
    <n v="2"/>
    <n v="5"/>
    <s v="Research Director"/>
    <n v="2"/>
    <s v="Married"/>
    <n v="19665"/>
    <n v="4"/>
    <x v="1"/>
    <n v="12"/>
    <n v="3"/>
    <n v="4"/>
    <n v="0"/>
    <n v="29"/>
    <n v="3"/>
    <n v="3"/>
    <n v="22"/>
    <n v="10"/>
    <n v="12"/>
    <n v="9"/>
    <n v="0"/>
    <x v="1"/>
    <n v="4"/>
    <x v="3"/>
    <n v="4"/>
    <x v="3"/>
    <n v="4"/>
    <s v="Bachelor"/>
    <s v="Medium"/>
    <s v="Very High"/>
    <s v="Better"/>
  </r>
  <r>
    <n v="29"/>
    <s v="Yes"/>
    <s v="Travel_Frequently"/>
    <s v="Research &amp; Development"/>
    <n v="24"/>
    <n v="2"/>
    <s v="Life Sciences"/>
    <n v="1868"/>
    <n v="4"/>
    <s v="Male"/>
    <n v="2"/>
    <n v="1"/>
    <s v="Research Scientist"/>
    <n v="4"/>
    <s v="Single"/>
    <n v="2439"/>
    <n v="1"/>
    <x v="0"/>
    <n v="24"/>
    <n v="4"/>
    <n v="2"/>
    <n v="0"/>
    <n v="1"/>
    <n v="3"/>
    <n v="2"/>
    <n v="1"/>
    <n v="0"/>
    <n v="1"/>
    <n v="0"/>
    <n v="1"/>
    <x v="2"/>
    <n v="2"/>
    <x v="1"/>
    <n v="1"/>
    <x v="1"/>
    <n v="1"/>
    <s v="College"/>
    <s v="Very High"/>
    <s v="Very High"/>
    <s v="Good"/>
  </r>
  <r>
    <n v="46"/>
    <s v="Yes"/>
    <s v="Travel_Rarely"/>
    <s v="Sales"/>
    <n v="10"/>
    <n v="3"/>
    <s v="Life Sciences"/>
    <n v="1869"/>
    <n v="3"/>
    <s v="Female"/>
    <n v="3"/>
    <n v="3"/>
    <s v="Sales Executive"/>
    <n v="2"/>
    <s v="Married"/>
    <n v="7314"/>
    <n v="5"/>
    <x v="1"/>
    <n v="21"/>
    <n v="4"/>
    <n v="3"/>
    <n v="3"/>
    <n v="14"/>
    <n v="2"/>
    <n v="3"/>
    <n v="8"/>
    <n v="7"/>
    <n v="0"/>
    <n v="7"/>
    <n v="1"/>
    <x v="1"/>
    <n v="4"/>
    <x v="2"/>
    <n v="3"/>
    <x v="0"/>
    <n v="3"/>
    <s v="Bachelor"/>
    <s v="Medium"/>
    <s v="High"/>
    <s v="Better"/>
  </r>
  <r>
    <n v="27"/>
    <s v="No"/>
    <s v="Travel_Frequently"/>
    <s v="Research &amp; Development"/>
    <n v="15"/>
    <n v="3"/>
    <s v="Life Sciences"/>
    <n v="1870"/>
    <n v="4"/>
    <s v="Female"/>
    <n v="2"/>
    <n v="1"/>
    <s v="Research Scientist"/>
    <n v="1"/>
    <s v="Married"/>
    <n v="4774"/>
    <n v="0"/>
    <x v="1"/>
    <n v="19"/>
    <n v="3"/>
    <n v="4"/>
    <n v="1"/>
    <n v="8"/>
    <n v="2"/>
    <n v="2"/>
    <n v="7"/>
    <n v="6"/>
    <n v="7"/>
    <n v="3"/>
    <n v="0"/>
    <x v="2"/>
    <n v="2"/>
    <x v="0"/>
    <n v="2"/>
    <x v="0"/>
    <n v="3"/>
    <s v="Bachelor"/>
    <s v="Low"/>
    <s v="Very High"/>
    <s v="Good"/>
  </r>
  <r>
    <n v="39"/>
    <s v="No"/>
    <s v="Travel_Rarely"/>
    <s v="Research &amp; Development"/>
    <n v="19"/>
    <n v="4"/>
    <s v="Other"/>
    <n v="1871"/>
    <n v="4"/>
    <s v="Male"/>
    <n v="3"/>
    <n v="2"/>
    <s v="Research Scientist"/>
    <n v="4"/>
    <s v="Divorced"/>
    <n v="3902"/>
    <n v="8"/>
    <x v="1"/>
    <n v="14"/>
    <n v="3"/>
    <n v="2"/>
    <n v="3"/>
    <n v="7"/>
    <n v="2"/>
    <n v="3"/>
    <n v="2"/>
    <n v="2"/>
    <n v="2"/>
    <n v="2"/>
    <n v="0"/>
    <x v="0"/>
    <n v="3"/>
    <x v="0"/>
    <n v="2"/>
    <x v="1"/>
    <n v="1"/>
    <s v="Master"/>
    <s v="Very High"/>
    <s v="Very High"/>
    <s v="Better"/>
  </r>
  <r>
    <n v="55"/>
    <s v="No"/>
    <s v="Travel_Rarely"/>
    <s v="Research &amp; Development"/>
    <n v="2"/>
    <n v="4"/>
    <s v="Technical Degree"/>
    <n v="1873"/>
    <n v="2"/>
    <s v="Male"/>
    <n v="2"/>
    <n v="1"/>
    <s v="Research Scientist"/>
    <n v="4"/>
    <s v="Married"/>
    <n v="2662"/>
    <n v="8"/>
    <x v="1"/>
    <n v="20"/>
    <n v="4"/>
    <n v="2"/>
    <n v="1"/>
    <n v="19"/>
    <n v="2"/>
    <n v="4"/>
    <n v="5"/>
    <n v="2"/>
    <n v="0"/>
    <n v="4"/>
    <n v="0"/>
    <x v="1"/>
    <n v="4"/>
    <x v="1"/>
    <n v="1"/>
    <x v="2"/>
    <n v="2"/>
    <s v="Master"/>
    <s v="Very High"/>
    <s v="Medium"/>
    <s v="Best"/>
  </r>
  <r>
    <n v="28"/>
    <s v="No"/>
    <s v="Travel_Rarely"/>
    <s v="Sales"/>
    <n v="3"/>
    <n v="3"/>
    <s v="Medical"/>
    <n v="1875"/>
    <n v="2"/>
    <s v="Female"/>
    <n v="3"/>
    <n v="1"/>
    <s v="Sales Representative"/>
    <n v="2"/>
    <s v="Married"/>
    <n v="2856"/>
    <n v="1"/>
    <x v="1"/>
    <n v="19"/>
    <n v="3"/>
    <n v="4"/>
    <n v="1"/>
    <n v="1"/>
    <n v="3"/>
    <n v="3"/>
    <n v="1"/>
    <n v="0"/>
    <n v="0"/>
    <n v="0"/>
    <n v="0"/>
    <x v="2"/>
    <n v="2"/>
    <x v="1"/>
    <n v="1"/>
    <x v="1"/>
    <n v="1"/>
    <s v="Bachelor"/>
    <s v="Medium"/>
    <s v="Medium"/>
    <s v="Better"/>
  </r>
  <r>
    <n v="30"/>
    <s v="Yes"/>
    <s v="Travel_Rarely"/>
    <s v="Sales"/>
    <n v="9"/>
    <n v="3"/>
    <s v="Medical"/>
    <n v="1876"/>
    <n v="2"/>
    <s v="Male"/>
    <n v="3"/>
    <n v="1"/>
    <s v="Sales Representative"/>
    <n v="4"/>
    <s v="Single"/>
    <n v="1081"/>
    <n v="1"/>
    <x v="1"/>
    <n v="13"/>
    <n v="3"/>
    <n v="3"/>
    <n v="0"/>
    <n v="1"/>
    <n v="3"/>
    <n v="2"/>
    <n v="1"/>
    <n v="0"/>
    <n v="0"/>
    <n v="0"/>
    <n v="1"/>
    <x v="2"/>
    <n v="2"/>
    <x v="1"/>
    <n v="1"/>
    <x v="1"/>
    <n v="1"/>
    <s v="Bachelor"/>
    <s v="Very High"/>
    <s v="Medium"/>
    <s v="Good"/>
  </r>
  <r>
    <n v="22"/>
    <s v="Yes"/>
    <s v="Travel_Rarely"/>
    <s v="Research &amp; Development"/>
    <n v="7"/>
    <n v="1"/>
    <s v="Life Sciences"/>
    <n v="1878"/>
    <n v="4"/>
    <s v="Male"/>
    <n v="3"/>
    <n v="1"/>
    <s v="Research Scientist"/>
    <n v="2"/>
    <s v="Single"/>
    <n v="2472"/>
    <n v="1"/>
    <x v="0"/>
    <n v="23"/>
    <n v="4"/>
    <n v="1"/>
    <n v="0"/>
    <n v="1"/>
    <n v="2"/>
    <n v="3"/>
    <n v="1"/>
    <n v="0"/>
    <n v="0"/>
    <n v="0"/>
    <n v="1"/>
    <x v="4"/>
    <n v="1"/>
    <x v="1"/>
    <n v="1"/>
    <x v="1"/>
    <n v="1"/>
    <s v="Below College"/>
    <s v="Medium"/>
    <s v="Very High"/>
    <s v="Better"/>
  </r>
  <r>
    <n v="36"/>
    <s v="No"/>
    <s v="Travel_Rarely"/>
    <s v="Sales"/>
    <n v="10"/>
    <n v="4"/>
    <s v="Technical Degree"/>
    <n v="1880"/>
    <n v="2"/>
    <s v="Female"/>
    <n v="2"/>
    <n v="2"/>
    <s v="Sales Executive"/>
    <n v="3"/>
    <s v="Married"/>
    <n v="5673"/>
    <n v="1"/>
    <x v="0"/>
    <n v="13"/>
    <n v="3"/>
    <n v="1"/>
    <n v="1"/>
    <n v="10"/>
    <n v="4"/>
    <n v="3"/>
    <n v="10"/>
    <n v="9"/>
    <n v="1"/>
    <n v="7"/>
    <n v="0"/>
    <x v="0"/>
    <n v="3"/>
    <x v="0"/>
    <n v="2"/>
    <x v="0"/>
    <n v="3"/>
    <s v="Master"/>
    <s v="High"/>
    <s v="Medium"/>
    <s v="Better"/>
  </r>
  <r>
    <n v="31"/>
    <s v="No"/>
    <s v="Travel_Rarely"/>
    <s v="Research &amp; Development"/>
    <n v="20"/>
    <n v="3"/>
    <s v="Life Sciences"/>
    <n v="1881"/>
    <n v="2"/>
    <s v="Male"/>
    <n v="3"/>
    <n v="2"/>
    <s v="Laboratory Technician"/>
    <n v="3"/>
    <s v="Divorced"/>
    <n v="4197"/>
    <n v="1"/>
    <x v="1"/>
    <n v="11"/>
    <n v="3"/>
    <n v="1"/>
    <n v="1"/>
    <n v="10"/>
    <n v="2"/>
    <n v="3"/>
    <n v="10"/>
    <n v="8"/>
    <n v="0"/>
    <n v="2"/>
    <n v="0"/>
    <x v="2"/>
    <n v="2"/>
    <x v="0"/>
    <n v="2"/>
    <x v="0"/>
    <n v="3"/>
    <s v="Bachelor"/>
    <s v="High"/>
    <s v="Medium"/>
    <s v="Better"/>
  </r>
  <r>
    <n v="34"/>
    <s v="No"/>
    <s v="Travel_Rarely"/>
    <s v="Sales"/>
    <n v="4"/>
    <n v="3"/>
    <s v="Life Sciences"/>
    <n v="1882"/>
    <n v="3"/>
    <s v="Male"/>
    <n v="3"/>
    <n v="3"/>
    <s v="Sales Executive"/>
    <n v="4"/>
    <s v="Married"/>
    <n v="9713"/>
    <n v="2"/>
    <x v="0"/>
    <n v="13"/>
    <n v="3"/>
    <n v="4"/>
    <n v="3"/>
    <n v="9"/>
    <n v="3"/>
    <n v="3"/>
    <n v="5"/>
    <n v="3"/>
    <n v="1"/>
    <n v="0"/>
    <n v="0"/>
    <x v="2"/>
    <n v="2"/>
    <x v="2"/>
    <n v="3"/>
    <x v="2"/>
    <n v="2"/>
    <s v="Bachelor"/>
    <s v="Very High"/>
    <s v="High"/>
    <s v="Better"/>
  </r>
  <r>
    <n v="29"/>
    <s v="No"/>
    <s v="Travel_Rarely"/>
    <s v="Research &amp; Development"/>
    <n v="7"/>
    <n v="3"/>
    <s v="Life Sciences"/>
    <n v="1883"/>
    <n v="4"/>
    <s v="Male"/>
    <n v="3"/>
    <n v="1"/>
    <s v="Laboratory Technician"/>
    <n v="1"/>
    <s v="Single"/>
    <n v="2062"/>
    <n v="3"/>
    <x v="1"/>
    <n v="14"/>
    <n v="3"/>
    <n v="2"/>
    <n v="0"/>
    <n v="11"/>
    <n v="2"/>
    <n v="3"/>
    <n v="3"/>
    <n v="2"/>
    <n v="1"/>
    <n v="2"/>
    <n v="0"/>
    <x v="2"/>
    <n v="2"/>
    <x v="1"/>
    <n v="1"/>
    <x v="2"/>
    <n v="2"/>
    <s v="Bachelor"/>
    <s v="Low"/>
    <s v="Very High"/>
    <s v="Better"/>
  </r>
  <r>
    <n v="37"/>
    <s v="No"/>
    <s v="Travel_Rarely"/>
    <s v="Research &amp; Development"/>
    <n v="7"/>
    <n v="4"/>
    <s v="Medical"/>
    <n v="1885"/>
    <n v="4"/>
    <s v="Male"/>
    <n v="3"/>
    <n v="2"/>
    <s v="Research Scientist"/>
    <n v="1"/>
    <s v="Married"/>
    <n v="4284"/>
    <n v="5"/>
    <x v="0"/>
    <n v="22"/>
    <n v="4"/>
    <n v="3"/>
    <n v="1"/>
    <n v="16"/>
    <n v="2"/>
    <n v="3"/>
    <n v="5"/>
    <n v="3"/>
    <n v="0"/>
    <n v="4"/>
    <n v="0"/>
    <x v="0"/>
    <n v="3"/>
    <x v="0"/>
    <n v="2"/>
    <x v="2"/>
    <n v="2"/>
    <s v="Master"/>
    <s v="Low"/>
    <s v="Very High"/>
    <s v="Better"/>
  </r>
  <r>
    <n v="35"/>
    <s v="No"/>
    <s v="Travel_Rarely"/>
    <s v="Research &amp; Development"/>
    <n v="16"/>
    <n v="2"/>
    <s v="Other"/>
    <n v="1886"/>
    <n v="4"/>
    <s v="Female"/>
    <n v="2"/>
    <n v="2"/>
    <s v="Manufacturing Director"/>
    <n v="2"/>
    <s v="Married"/>
    <n v="4788"/>
    <n v="0"/>
    <x v="0"/>
    <n v="11"/>
    <n v="3"/>
    <n v="4"/>
    <n v="0"/>
    <n v="4"/>
    <n v="2"/>
    <n v="3"/>
    <n v="3"/>
    <n v="2"/>
    <n v="0"/>
    <n v="2"/>
    <n v="0"/>
    <x v="2"/>
    <n v="2"/>
    <x v="0"/>
    <n v="2"/>
    <x v="2"/>
    <n v="2"/>
    <s v="College"/>
    <s v="Medium"/>
    <s v="Very High"/>
    <s v="Better"/>
  </r>
  <r>
    <n v="45"/>
    <s v="No"/>
    <s v="Travel_Rarely"/>
    <s v="Research &amp; Development"/>
    <n v="25"/>
    <n v="2"/>
    <s v="Life Sciences"/>
    <n v="1888"/>
    <n v="2"/>
    <s v="Female"/>
    <n v="2"/>
    <n v="2"/>
    <s v="Manufacturing Director"/>
    <n v="4"/>
    <s v="Married"/>
    <n v="5906"/>
    <n v="0"/>
    <x v="1"/>
    <n v="13"/>
    <n v="3"/>
    <n v="4"/>
    <n v="2"/>
    <n v="10"/>
    <n v="2"/>
    <n v="2"/>
    <n v="9"/>
    <n v="8"/>
    <n v="3"/>
    <n v="8"/>
    <n v="0"/>
    <x v="0"/>
    <n v="3"/>
    <x v="0"/>
    <n v="2"/>
    <x v="0"/>
    <n v="3"/>
    <s v="College"/>
    <s v="Very High"/>
    <s v="Medium"/>
    <s v="Good"/>
  </r>
  <r>
    <n v="36"/>
    <s v="No"/>
    <s v="Travel_Frequently"/>
    <s v="Human Resources"/>
    <n v="2"/>
    <n v="1"/>
    <s v="Human Resources"/>
    <n v="1890"/>
    <n v="2"/>
    <s v="Male"/>
    <n v="2"/>
    <n v="2"/>
    <s v="Human Resources"/>
    <n v="4"/>
    <s v="Single"/>
    <n v="3886"/>
    <n v="1"/>
    <x v="1"/>
    <n v="21"/>
    <n v="4"/>
    <n v="4"/>
    <n v="0"/>
    <n v="10"/>
    <n v="2"/>
    <n v="2"/>
    <n v="10"/>
    <n v="1"/>
    <n v="0"/>
    <n v="8"/>
    <n v="0"/>
    <x v="0"/>
    <n v="3"/>
    <x v="0"/>
    <n v="2"/>
    <x v="0"/>
    <n v="3"/>
    <s v="Below College"/>
    <s v="Very High"/>
    <s v="Medium"/>
    <s v="Good"/>
  </r>
  <r>
    <n v="40"/>
    <s v="No"/>
    <s v="Travel_Rarely"/>
    <s v="Research &amp; Development"/>
    <n v="1"/>
    <n v="4"/>
    <s v="Life Sciences"/>
    <n v="1892"/>
    <n v="1"/>
    <s v="Male"/>
    <n v="3"/>
    <n v="4"/>
    <s v="Manager"/>
    <n v="1"/>
    <s v="Divorced"/>
    <n v="16823"/>
    <n v="2"/>
    <x v="1"/>
    <n v="11"/>
    <n v="3"/>
    <n v="1"/>
    <n v="1"/>
    <n v="22"/>
    <n v="3"/>
    <n v="3"/>
    <n v="19"/>
    <n v="7"/>
    <n v="11"/>
    <n v="16"/>
    <n v="0"/>
    <x v="0"/>
    <n v="3"/>
    <x v="3"/>
    <n v="4"/>
    <x v="3"/>
    <n v="4"/>
    <s v="Master"/>
    <s v="Low"/>
    <s v="Low"/>
    <s v="Better"/>
  </r>
  <r>
    <n v="26"/>
    <s v="No"/>
    <s v="Travel_Rarely"/>
    <s v="Research &amp; Development"/>
    <n v="1"/>
    <n v="2"/>
    <s v="Life Sciences"/>
    <n v="1893"/>
    <n v="2"/>
    <s v="Female"/>
    <n v="2"/>
    <n v="1"/>
    <s v="Research Scientist"/>
    <n v="3"/>
    <s v="Married"/>
    <n v="2933"/>
    <n v="1"/>
    <x v="0"/>
    <n v="13"/>
    <n v="3"/>
    <n v="3"/>
    <n v="1"/>
    <n v="1"/>
    <n v="3"/>
    <n v="2"/>
    <n v="1"/>
    <n v="0"/>
    <n v="1"/>
    <n v="0"/>
    <n v="0"/>
    <x v="2"/>
    <n v="2"/>
    <x v="1"/>
    <n v="1"/>
    <x v="1"/>
    <n v="1"/>
    <s v="College"/>
    <s v="High"/>
    <s v="Medium"/>
    <s v="Good"/>
  </r>
  <r>
    <n v="27"/>
    <s v="No"/>
    <s v="Travel_Rarely"/>
    <s v="Sales"/>
    <n v="2"/>
    <n v="2"/>
    <s v="Medical"/>
    <n v="1898"/>
    <n v="1"/>
    <s v="Female"/>
    <n v="4"/>
    <n v="2"/>
    <s v="Sales Executive"/>
    <n v="3"/>
    <s v="Single"/>
    <n v="6500"/>
    <n v="0"/>
    <x v="1"/>
    <n v="14"/>
    <n v="3"/>
    <n v="2"/>
    <n v="0"/>
    <n v="9"/>
    <n v="5"/>
    <n v="2"/>
    <n v="8"/>
    <n v="7"/>
    <n v="0"/>
    <n v="7"/>
    <n v="0"/>
    <x v="2"/>
    <n v="2"/>
    <x v="2"/>
    <n v="3"/>
    <x v="0"/>
    <n v="3"/>
    <s v="College"/>
    <s v="High"/>
    <s v="Low"/>
    <s v="Good"/>
  </r>
  <r>
    <n v="48"/>
    <s v="No"/>
    <s v="Travel_Frequently"/>
    <s v="Research &amp; Development"/>
    <n v="22"/>
    <n v="3"/>
    <s v="Medical"/>
    <n v="1900"/>
    <n v="4"/>
    <s v="Female"/>
    <n v="3"/>
    <n v="4"/>
    <s v="Manager"/>
    <n v="4"/>
    <s v="Divorced"/>
    <n v="17174"/>
    <n v="3"/>
    <x v="1"/>
    <n v="11"/>
    <n v="3"/>
    <n v="2"/>
    <n v="1"/>
    <n v="24"/>
    <n v="3"/>
    <n v="3"/>
    <n v="22"/>
    <n v="17"/>
    <n v="4"/>
    <n v="7"/>
    <n v="0"/>
    <x v="1"/>
    <n v="4"/>
    <x v="3"/>
    <n v="4"/>
    <x v="3"/>
    <n v="4"/>
    <s v="Bachelor"/>
    <s v="Very High"/>
    <s v="Very High"/>
    <s v="Better"/>
  </r>
  <r>
    <n v="44"/>
    <s v="No"/>
    <s v="Travel_Rarely"/>
    <s v="Research &amp; Development"/>
    <n v="1"/>
    <n v="4"/>
    <s v="Life Sciences"/>
    <n v="1903"/>
    <n v="2"/>
    <s v="Male"/>
    <n v="4"/>
    <n v="2"/>
    <s v="Healthcare Representative"/>
    <n v="1"/>
    <s v="Married"/>
    <n v="5033"/>
    <n v="2"/>
    <x v="1"/>
    <n v="15"/>
    <n v="3"/>
    <n v="4"/>
    <n v="1"/>
    <n v="10"/>
    <n v="5"/>
    <n v="3"/>
    <n v="2"/>
    <n v="0"/>
    <n v="2"/>
    <n v="2"/>
    <n v="0"/>
    <x v="0"/>
    <n v="3"/>
    <x v="0"/>
    <n v="2"/>
    <x v="1"/>
    <n v="1"/>
    <s v="Master"/>
    <s v="Low"/>
    <s v="Medium"/>
    <s v="Better"/>
  </r>
  <r>
    <n v="34"/>
    <s v="Yes"/>
    <s v="Non-Travel"/>
    <s v="Research &amp; Development"/>
    <n v="16"/>
    <n v="4"/>
    <s v="Technical Degree"/>
    <n v="1905"/>
    <n v="4"/>
    <s v="Male"/>
    <n v="1"/>
    <n v="1"/>
    <s v="Research Scientist"/>
    <n v="1"/>
    <s v="Married"/>
    <n v="2307"/>
    <n v="1"/>
    <x v="0"/>
    <n v="23"/>
    <n v="4"/>
    <n v="2"/>
    <n v="1"/>
    <n v="5"/>
    <n v="2"/>
    <n v="3"/>
    <n v="5"/>
    <n v="2"/>
    <n v="3"/>
    <n v="0"/>
    <n v="1"/>
    <x v="2"/>
    <n v="2"/>
    <x v="1"/>
    <n v="1"/>
    <x v="2"/>
    <n v="2"/>
    <s v="Master"/>
    <s v="Low"/>
    <s v="Very High"/>
    <s v="Better"/>
  </r>
  <r>
    <n v="56"/>
    <s v="Yes"/>
    <s v="Travel_Rarely"/>
    <s v="Research &amp; Development"/>
    <n v="24"/>
    <n v="2"/>
    <s v="Life Sciences"/>
    <n v="1907"/>
    <n v="1"/>
    <s v="Male"/>
    <n v="3"/>
    <n v="1"/>
    <s v="Laboratory Technician"/>
    <n v="4"/>
    <s v="Single"/>
    <n v="2587"/>
    <n v="1"/>
    <x v="1"/>
    <n v="16"/>
    <n v="3"/>
    <n v="4"/>
    <n v="0"/>
    <n v="5"/>
    <n v="3"/>
    <n v="3"/>
    <n v="4"/>
    <n v="2"/>
    <n v="1"/>
    <n v="0"/>
    <n v="1"/>
    <x v="3"/>
    <n v="5"/>
    <x v="1"/>
    <n v="1"/>
    <x v="2"/>
    <n v="2"/>
    <s v="College"/>
    <s v="Very High"/>
    <s v="Low"/>
    <s v="Better"/>
  </r>
  <r>
    <n v="36"/>
    <s v="No"/>
    <s v="Travel_Rarely"/>
    <s v="Sales"/>
    <n v="17"/>
    <n v="2"/>
    <s v="Marketing"/>
    <n v="1908"/>
    <n v="3"/>
    <s v="Male"/>
    <n v="2"/>
    <n v="2"/>
    <s v="Sales Executive"/>
    <n v="2"/>
    <s v="Married"/>
    <n v="5507"/>
    <n v="2"/>
    <x v="1"/>
    <n v="16"/>
    <n v="3"/>
    <n v="3"/>
    <n v="2"/>
    <n v="12"/>
    <n v="1"/>
    <n v="1"/>
    <n v="4"/>
    <n v="2"/>
    <n v="1"/>
    <n v="3"/>
    <n v="0"/>
    <x v="0"/>
    <n v="3"/>
    <x v="0"/>
    <n v="2"/>
    <x v="2"/>
    <n v="2"/>
    <s v="College"/>
    <s v="Medium"/>
    <s v="High"/>
    <s v="Bad"/>
  </r>
  <r>
    <n v="41"/>
    <s v="No"/>
    <s v="Travel_Rarely"/>
    <s v="Sales"/>
    <n v="8"/>
    <n v="3"/>
    <s v="Marketing"/>
    <n v="1909"/>
    <n v="3"/>
    <s v="Female"/>
    <n v="3"/>
    <n v="2"/>
    <s v="Sales Executive"/>
    <n v="2"/>
    <s v="Married"/>
    <n v="4393"/>
    <n v="5"/>
    <x v="1"/>
    <n v="21"/>
    <n v="4"/>
    <n v="3"/>
    <n v="1"/>
    <n v="14"/>
    <n v="3"/>
    <n v="3"/>
    <n v="5"/>
    <n v="4"/>
    <n v="1"/>
    <n v="4"/>
    <n v="0"/>
    <x v="0"/>
    <n v="3"/>
    <x v="0"/>
    <n v="2"/>
    <x v="2"/>
    <n v="2"/>
    <s v="Bachelor"/>
    <s v="Medium"/>
    <s v="High"/>
    <s v="Better"/>
  </r>
  <r>
    <n v="42"/>
    <s v="No"/>
    <s v="Travel_Rarely"/>
    <s v="Research &amp; Development"/>
    <n v="6"/>
    <n v="3"/>
    <s v="Medical"/>
    <n v="1911"/>
    <n v="3"/>
    <s v="Male"/>
    <n v="3"/>
    <n v="3"/>
    <s v="Research Director"/>
    <n v="1"/>
    <s v="Married"/>
    <n v="13348"/>
    <n v="9"/>
    <x v="1"/>
    <n v="13"/>
    <n v="3"/>
    <n v="2"/>
    <n v="1"/>
    <n v="18"/>
    <n v="3"/>
    <n v="4"/>
    <n v="13"/>
    <n v="7"/>
    <n v="5"/>
    <n v="7"/>
    <n v="0"/>
    <x v="0"/>
    <n v="3"/>
    <x v="3"/>
    <n v="4"/>
    <x v="3"/>
    <n v="4"/>
    <s v="Bachelor"/>
    <s v="Low"/>
    <s v="High"/>
    <s v="Best"/>
  </r>
  <r>
    <n v="31"/>
    <s v="No"/>
    <s v="Travel_Rarely"/>
    <s v="Sales"/>
    <n v="10"/>
    <n v="2"/>
    <s v="Medical"/>
    <n v="1912"/>
    <n v="3"/>
    <s v="Female"/>
    <n v="3"/>
    <n v="2"/>
    <s v="Sales Executive"/>
    <n v="4"/>
    <s v="Divorced"/>
    <n v="6583"/>
    <n v="2"/>
    <x v="0"/>
    <n v="11"/>
    <n v="3"/>
    <n v="4"/>
    <n v="1"/>
    <n v="8"/>
    <n v="2"/>
    <n v="3"/>
    <n v="5"/>
    <n v="2"/>
    <n v="1"/>
    <n v="4"/>
    <n v="0"/>
    <x v="2"/>
    <n v="2"/>
    <x v="2"/>
    <n v="3"/>
    <x v="2"/>
    <n v="2"/>
    <s v="College"/>
    <s v="Very High"/>
    <s v="High"/>
    <s v="Better"/>
  </r>
  <r>
    <n v="34"/>
    <s v="No"/>
    <s v="Travel_Rarely"/>
    <s v="Sales"/>
    <n v="3"/>
    <n v="1"/>
    <s v="Medical"/>
    <n v="1915"/>
    <n v="4"/>
    <s v="Female"/>
    <n v="2"/>
    <n v="2"/>
    <s v="Sales Executive"/>
    <n v="4"/>
    <s v="Married"/>
    <n v="8103"/>
    <n v="3"/>
    <x v="0"/>
    <n v="12"/>
    <n v="3"/>
    <n v="3"/>
    <n v="0"/>
    <n v="9"/>
    <n v="3"/>
    <n v="2"/>
    <n v="4"/>
    <n v="2"/>
    <n v="0"/>
    <n v="1"/>
    <n v="0"/>
    <x v="2"/>
    <n v="2"/>
    <x v="2"/>
    <n v="3"/>
    <x v="2"/>
    <n v="2"/>
    <s v="Below College"/>
    <s v="Very High"/>
    <s v="Very High"/>
    <s v="Good"/>
  </r>
  <r>
    <n v="31"/>
    <s v="No"/>
    <s v="Travel_Rarely"/>
    <s v="Research &amp; Development"/>
    <n v="4"/>
    <n v="3"/>
    <s v="Medical"/>
    <n v="1916"/>
    <n v="1"/>
    <s v="Female"/>
    <n v="4"/>
    <n v="1"/>
    <s v="Laboratory Technician"/>
    <n v="3"/>
    <s v="Divorced"/>
    <n v="3978"/>
    <n v="8"/>
    <x v="1"/>
    <n v="12"/>
    <n v="3"/>
    <n v="2"/>
    <n v="1"/>
    <n v="4"/>
    <n v="0"/>
    <n v="2"/>
    <n v="2"/>
    <n v="2"/>
    <n v="2"/>
    <n v="2"/>
    <n v="0"/>
    <x v="2"/>
    <n v="2"/>
    <x v="0"/>
    <n v="2"/>
    <x v="1"/>
    <n v="1"/>
    <s v="Bachelor"/>
    <s v="High"/>
    <s v="Low"/>
    <s v="Good"/>
  </r>
  <r>
    <n v="26"/>
    <s v="No"/>
    <s v="Travel_Frequently"/>
    <s v="Research &amp; Development"/>
    <n v="6"/>
    <n v="3"/>
    <s v="Other"/>
    <n v="1918"/>
    <n v="3"/>
    <s v="Male"/>
    <n v="4"/>
    <n v="1"/>
    <s v="Laboratory Technician"/>
    <n v="4"/>
    <s v="Married"/>
    <n v="2544"/>
    <n v="0"/>
    <x v="1"/>
    <n v="18"/>
    <n v="3"/>
    <n v="1"/>
    <n v="1"/>
    <n v="8"/>
    <n v="3"/>
    <n v="3"/>
    <n v="7"/>
    <n v="7"/>
    <n v="7"/>
    <n v="7"/>
    <n v="0"/>
    <x v="2"/>
    <n v="2"/>
    <x v="1"/>
    <n v="1"/>
    <x v="0"/>
    <n v="3"/>
    <s v="Bachelor"/>
    <s v="Very High"/>
    <s v="High"/>
    <s v="Better"/>
  </r>
  <r>
    <n v="45"/>
    <s v="No"/>
    <s v="Travel_Frequently"/>
    <s v="Research &amp; Development"/>
    <n v="1"/>
    <n v="4"/>
    <s v="Medical"/>
    <n v="1922"/>
    <n v="2"/>
    <s v="Male"/>
    <n v="3"/>
    <n v="2"/>
    <s v="Healthcare Representative"/>
    <n v="3"/>
    <s v="Single"/>
    <n v="5399"/>
    <n v="4"/>
    <x v="1"/>
    <n v="12"/>
    <n v="3"/>
    <n v="3"/>
    <n v="0"/>
    <n v="12"/>
    <n v="3"/>
    <n v="3"/>
    <n v="4"/>
    <n v="2"/>
    <n v="0"/>
    <n v="3"/>
    <n v="0"/>
    <x v="0"/>
    <n v="3"/>
    <x v="0"/>
    <n v="2"/>
    <x v="2"/>
    <n v="2"/>
    <s v="Master"/>
    <s v="High"/>
    <s v="Medium"/>
    <s v="Better"/>
  </r>
  <r>
    <n v="33"/>
    <s v="No"/>
    <s v="Travel_Rarely"/>
    <s v="Sales"/>
    <n v="10"/>
    <n v="4"/>
    <s v="Marketing"/>
    <n v="1924"/>
    <n v="2"/>
    <s v="Male"/>
    <n v="3"/>
    <n v="2"/>
    <s v="Sales Executive"/>
    <n v="3"/>
    <s v="Single"/>
    <n v="5487"/>
    <n v="1"/>
    <x v="1"/>
    <n v="14"/>
    <n v="3"/>
    <n v="2"/>
    <n v="0"/>
    <n v="10"/>
    <n v="2"/>
    <n v="2"/>
    <n v="10"/>
    <n v="4"/>
    <n v="0"/>
    <n v="9"/>
    <n v="0"/>
    <x v="2"/>
    <n v="2"/>
    <x v="0"/>
    <n v="2"/>
    <x v="0"/>
    <n v="3"/>
    <s v="Master"/>
    <s v="High"/>
    <s v="Medium"/>
    <s v="Good"/>
  </r>
  <r>
    <n v="28"/>
    <s v="No"/>
    <s v="Travel_Frequently"/>
    <s v="Sales"/>
    <n v="1"/>
    <n v="2"/>
    <s v="Life Sciences"/>
    <n v="1927"/>
    <n v="3"/>
    <s v="Male"/>
    <n v="2"/>
    <n v="2"/>
    <s v="Sales Executive"/>
    <n v="4"/>
    <s v="Married"/>
    <n v="6834"/>
    <n v="1"/>
    <x v="0"/>
    <n v="12"/>
    <n v="3"/>
    <n v="3"/>
    <n v="1"/>
    <n v="7"/>
    <n v="2"/>
    <n v="3"/>
    <n v="7"/>
    <n v="7"/>
    <n v="0"/>
    <n v="7"/>
    <n v="0"/>
    <x v="2"/>
    <n v="2"/>
    <x v="2"/>
    <n v="3"/>
    <x v="0"/>
    <n v="3"/>
    <s v="College"/>
    <s v="Very High"/>
    <s v="High"/>
    <s v="Better"/>
  </r>
  <r>
    <n v="29"/>
    <s v="Yes"/>
    <s v="Travel_Frequently"/>
    <s v="Sales"/>
    <n v="24"/>
    <n v="3"/>
    <s v="Technical Degree"/>
    <n v="1928"/>
    <n v="3"/>
    <s v="Male"/>
    <n v="4"/>
    <n v="1"/>
    <s v="Sales Representative"/>
    <n v="1"/>
    <s v="Single"/>
    <n v="1091"/>
    <n v="1"/>
    <x v="1"/>
    <n v="17"/>
    <n v="3"/>
    <n v="4"/>
    <n v="0"/>
    <n v="1"/>
    <n v="3"/>
    <n v="3"/>
    <n v="1"/>
    <n v="0"/>
    <n v="0"/>
    <n v="0"/>
    <n v="1"/>
    <x v="2"/>
    <n v="2"/>
    <x v="1"/>
    <n v="1"/>
    <x v="1"/>
    <n v="1"/>
    <s v="Bachelor"/>
    <s v="Low"/>
    <s v="High"/>
    <s v="Better"/>
  </r>
  <r>
    <n v="39"/>
    <s v="No"/>
    <s v="Non-Travel"/>
    <s v="Sales"/>
    <n v="21"/>
    <n v="4"/>
    <s v="Life Sciences"/>
    <n v="1929"/>
    <n v="1"/>
    <s v="Female"/>
    <n v="1"/>
    <n v="2"/>
    <s v="Sales Executive"/>
    <n v="3"/>
    <s v="Married"/>
    <n v="5736"/>
    <n v="6"/>
    <x v="1"/>
    <n v="19"/>
    <n v="3"/>
    <n v="3"/>
    <n v="1"/>
    <n v="10"/>
    <n v="1"/>
    <n v="3"/>
    <n v="3"/>
    <n v="2"/>
    <n v="1"/>
    <n v="2"/>
    <n v="0"/>
    <x v="0"/>
    <n v="3"/>
    <x v="0"/>
    <n v="2"/>
    <x v="2"/>
    <n v="2"/>
    <s v="Master"/>
    <s v="High"/>
    <s v="Low"/>
    <s v="Better"/>
  </r>
  <r>
    <n v="27"/>
    <s v="No"/>
    <s v="Travel_Rarely"/>
    <s v="Research &amp; Development"/>
    <n v="2"/>
    <n v="4"/>
    <s v="Technical Degree"/>
    <n v="1931"/>
    <n v="2"/>
    <s v="Male"/>
    <n v="3"/>
    <n v="1"/>
    <s v="Research Scientist"/>
    <n v="2"/>
    <s v="Married"/>
    <n v="2226"/>
    <n v="1"/>
    <x v="1"/>
    <n v="11"/>
    <n v="3"/>
    <n v="3"/>
    <n v="1"/>
    <n v="6"/>
    <n v="3"/>
    <n v="2"/>
    <n v="5"/>
    <n v="3"/>
    <n v="1"/>
    <n v="2"/>
    <n v="0"/>
    <x v="2"/>
    <n v="2"/>
    <x v="1"/>
    <n v="1"/>
    <x v="2"/>
    <n v="2"/>
    <s v="Master"/>
    <s v="Medium"/>
    <s v="Medium"/>
    <s v="Good"/>
  </r>
  <r>
    <n v="34"/>
    <s v="No"/>
    <s v="Travel_Frequently"/>
    <s v="Research &amp; Development"/>
    <n v="22"/>
    <n v="4"/>
    <s v="Other"/>
    <n v="1932"/>
    <n v="3"/>
    <s v="Male"/>
    <n v="2"/>
    <n v="2"/>
    <s v="Research Scientist"/>
    <n v="4"/>
    <s v="Married"/>
    <n v="5747"/>
    <n v="1"/>
    <x v="0"/>
    <n v="15"/>
    <n v="3"/>
    <n v="2"/>
    <n v="0"/>
    <n v="16"/>
    <n v="3"/>
    <n v="3"/>
    <n v="15"/>
    <n v="10"/>
    <n v="6"/>
    <n v="11"/>
    <n v="0"/>
    <x v="2"/>
    <n v="2"/>
    <x v="0"/>
    <n v="2"/>
    <x v="3"/>
    <n v="4"/>
    <s v="Master"/>
    <s v="Very High"/>
    <s v="High"/>
    <s v="Better"/>
  </r>
  <r>
    <n v="28"/>
    <s v="Yes"/>
    <s v="Travel_Rarely"/>
    <s v="Sales"/>
    <n v="13"/>
    <n v="2"/>
    <s v="Marketing"/>
    <n v="1933"/>
    <n v="4"/>
    <s v="Female"/>
    <n v="3"/>
    <n v="2"/>
    <s v="Sales Executive"/>
    <n v="3"/>
    <s v="Single"/>
    <n v="9854"/>
    <n v="3"/>
    <x v="0"/>
    <n v="11"/>
    <n v="3"/>
    <n v="4"/>
    <n v="0"/>
    <n v="6"/>
    <n v="0"/>
    <n v="3"/>
    <n v="2"/>
    <n v="0"/>
    <n v="2"/>
    <n v="2"/>
    <n v="1"/>
    <x v="2"/>
    <n v="2"/>
    <x v="2"/>
    <n v="3"/>
    <x v="1"/>
    <n v="1"/>
    <s v="College"/>
    <s v="High"/>
    <s v="Very High"/>
    <s v="Better"/>
  </r>
  <r>
    <n v="47"/>
    <s v="No"/>
    <s v="Non-Travel"/>
    <s v="Research &amp; Development"/>
    <n v="14"/>
    <n v="4"/>
    <s v="Technical Degree"/>
    <n v="1934"/>
    <n v="3"/>
    <s v="Male"/>
    <n v="3"/>
    <n v="2"/>
    <s v="Research Scientist"/>
    <n v="2"/>
    <s v="Married"/>
    <n v="5467"/>
    <n v="8"/>
    <x v="1"/>
    <n v="18"/>
    <n v="3"/>
    <n v="3"/>
    <n v="1"/>
    <n v="16"/>
    <n v="4"/>
    <n v="4"/>
    <n v="8"/>
    <n v="7"/>
    <n v="1"/>
    <n v="7"/>
    <n v="0"/>
    <x v="1"/>
    <n v="4"/>
    <x v="0"/>
    <n v="2"/>
    <x v="0"/>
    <n v="3"/>
    <s v="Master"/>
    <s v="Medium"/>
    <s v="High"/>
    <s v="Best"/>
  </r>
  <r>
    <n v="56"/>
    <s v="No"/>
    <s v="Travel_Rarely"/>
    <s v="Sales"/>
    <n v="11"/>
    <n v="5"/>
    <s v="Marketing"/>
    <n v="1935"/>
    <n v="4"/>
    <s v="Female"/>
    <n v="2"/>
    <n v="2"/>
    <s v="Sales Executive"/>
    <n v="1"/>
    <s v="Married"/>
    <n v="5380"/>
    <n v="4"/>
    <x v="1"/>
    <n v="16"/>
    <n v="3"/>
    <n v="3"/>
    <n v="1"/>
    <n v="6"/>
    <n v="3"/>
    <n v="3"/>
    <n v="0"/>
    <n v="0"/>
    <n v="0"/>
    <n v="0"/>
    <n v="0"/>
    <x v="3"/>
    <n v="5"/>
    <x v="0"/>
    <n v="2"/>
    <x v="1"/>
    <n v="1"/>
    <s v="Doctor"/>
    <s v="Low"/>
    <s v="Very High"/>
    <s v="Better"/>
  </r>
  <r>
    <n v="39"/>
    <s v="No"/>
    <s v="Travel_Rarely"/>
    <s v="Research &amp; Development"/>
    <n v="9"/>
    <n v="2"/>
    <s v="Medical"/>
    <n v="1936"/>
    <n v="1"/>
    <s v="Male"/>
    <n v="3"/>
    <n v="2"/>
    <s v="Manufacturing Director"/>
    <n v="1"/>
    <s v="Married"/>
    <n v="5151"/>
    <n v="1"/>
    <x v="1"/>
    <n v="25"/>
    <n v="4"/>
    <n v="4"/>
    <n v="1"/>
    <n v="10"/>
    <n v="3"/>
    <n v="3"/>
    <n v="10"/>
    <n v="0"/>
    <n v="7"/>
    <n v="9"/>
    <n v="0"/>
    <x v="0"/>
    <n v="3"/>
    <x v="0"/>
    <n v="2"/>
    <x v="0"/>
    <n v="3"/>
    <s v="College"/>
    <s v="Low"/>
    <s v="Low"/>
    <s v="Better"/>
  </r>
  <r>
    <n v="38"/>
    <s v="No"/>
    <s v="Travel_Frequently"/>
    <s v="Research &amp; Development"/>
    <n v="8"/>
    <n v="3"/>
    <s v="Medical"/>
    <n v="1937"/>
    <n v="4"/>
    <s v="Female"/>
    <n v="2"/>
    <n v="2"/>
    <s v="Research Scientist"/>
    <n v="2"/>
    <s v="Divorced"/>
    <n v="2133"/>
    <n v="1"/>
    <x v="0"/>
    <n v="16"/>
    <n v="3"/>
    <n v="3"/>
    <n v="1"/>
    <n v="20"/>
    <n v="3"/>
    <n v="3"/>
    <n v="20"/>
    <n v="11"/>
    <n v="0"/>
    <n v="7"/>
    <n v="0"/>
    <x v="0"/>
    <n v="3"/>
    <x v="1"/>
    <n v="1"/>
    <x v="3"/>
    <n v="4"/>
    <s v="Bachelor"/>
    <s v="Medium"/>
    <s v="Very High"/>
    <s v="Better"/>
  </r>
  <r>
    <n v="58"/>
    <s v="No"/>
    <s v="Travel_Rarely"/>
    <s v="Sales"/>
    <n v="21"/>
    <n v="3"/>
    <s v="Life Sciences"/>
    <n v="1938"/>
    <n v="4"/>
    <s v="Female"/>
    <n v="3"/>
    <n v="4"/>
    <s v="Manager"/>
    <n v="4"/>
    <s v="Married"/>
    <n v="17875"/>
    <n v="4"/>
    <x v="0"/>
    <n v="13"/>
    <n v="3"/>
    <n v="3"/>
    <n v="1"/>
    <n v="29"/>
    <n v="2"/>
    <n v="2"/>
    <n v="1"/>
    <n v="0"/>
    <n v="0"/>
    <n v="0"/>
    <n v="0"/>
    <x v="3"/>
    <n v="5"/>
    <x v="3"/>
    <n v="4"/>
    <x v="1"/>
    <n v="1"/>
    <s v="Bachelor"/>
    <s v="Very High"/>
    <s v="Very High"/>
    <s v="Good"/>
  </r>
  <r>
    <n v="32"/>
    <s v="Yes"/>
    <s v="Travel_Frequently"/>
    <s v="Research &amp; Development"/>
    <n v="5"/>
    <n v="2"/>
    <s v="Life Sciences"/>
    <n v="1939"/>
    <n v="1"/>
    <s v="Female"/>
    <n v="4"/>
    <n v="1"/>
    <s v="Research Scientist"/>
    <n v="3"/>
    <s v="Single"/>
    <n v="2432"/>
    <n v="3"/>
    <x v="0"/>
    <n v="14"/>
    <n v="3"/>
    <n v="1"/>
    <n v="0"/>
    <n v="8"/>
    <n v="2"/>
    <n v="3"/>
    <n v="4"/>
    <n v="1"/>
    <n v="0"/>
    <n v="3"/>
    <n v="1"/>
    <x v="2"/>
    <n v="2"/>
    <x v="1"/>
    <n v="1"/>
    <x v="2"/>
    <n v="2"/>
    <s v="College"/>
    <s v="High"/>
    <s v="Low"/>
    <s v="Better"/>
  </r>
  <r>
    <n v="38"/>
    <s v="No"/>
    <s v="Travel_Rarely"/>
    <s v="Research &amp; Development"/>
    <n v="9"/>
    <n v="2"/>
    <s v="Life Sciences"/>
    <n v="1940"/>
    <n v="2"/>
    <s v="Male"/>
    <n v="3"/>
    <n v="1"/>
    <s v="Research Scientist"/>
    <n v="4"/>
    <s v="Divorced"/>
    <n v="4771"/>
    <n v="2"/>
    <x v="1"/>
    <n v="19"/>
    <n v="3"/>
    <n v="4"/>
    <n v="2"/>
    <n v="10"/>
    <n v="0"/>
    <n v="4"/>
    <n v="5"/>
    <n v="2"/>
    <n v="0"/>
    <n v="3"/>
    <n v="0"/>
    <x v="0"/>
    <n v="3"/>
    <x v="0"/>
    <n v="2"/>
    <x v="2"/>
    <n v="2"/>
    <s v="College"/>
    <s v="Very High"/>
    <s v="Medium"/>
    <s v="Best"/>
  </r>
  <r>
    <n v="49"/>
    <s v="No"/>
    <s v="Travel_Frequently"/>
    <s v="Research &amp; Development"/>
    <n v="2"/>
    <n v="1"/>
    <s v="Life Sciences"/>
    <n v="1941"/>
    <n v="2"/>
    <s v="Male"/>
    <n v="3"/>
    <n v="5"/>
    <s v="Research Director"/>
    <n v="4"/>
    <s v="Married"/>
    <n v="19161"/>
    <n v="3"/>
    <x v="1"/>
    <n v="15"/>
    <n v="3"/>
    <n v="4"/>
    <n v="0"/>
    <n v="28"/>
    <n v="3"/>
    <n v="3"/>
    <n v="5"/>
    <n v="4"/>
    <n v="4"/>
    <n v="3"/>
    <n v="0"/>
    <x v="1"/>
    <n v="4"/>
    <x v="3"/>
    <n v="4"/>
    <x v="2"/>
    <n v="2"/>
    <s v="Below College"/>
    <s v="Very High"/>
    <s v="Medium"/>
    <s v="Better"/>
  </r>
  <r>
    <n v="42"/>
    <s v="No"/>
    <s v="Travel_Rarely"/>
    <s v="Sales"/>
    <n v="12"/>
    <n v="4"/>
    <s v="Marketing"/>
    <n v="1943"/>
    <n v="2"/>
    <s v="Male"/>
    <n v="3"/>
    <n v="2"/>
    <s v="Sales Executive"/>
    <n v="4"/>
    <s v="Divorced"/>
    <n v="5087"/>
    <n v="3"/>
    <x v="0"/>
    <n v="12"/>
    <n v="3"/>
    <n v="3"/>
    <n v="2"/>
    <n v="14"/>
    <n v="4"/>
    <n v="3"/>
    <n v="0"/>
    <n v="0"/>
    <n v="0"/>
    <n v="0"/>
    <n v="0"/>
    <x v="0"/>
    <n v="3"/>
    <x v="0"/>
    <n v="2"/>
    <x v="1"/>
    <n v="1"/>
    <s v="Master"/>
    <s v="Very High"/>
    <s v="Medium"/>
    <s v="Better"/>
  </r>
  <r>
    <n v="27"/>
    <s v="Yes"/>
    <s v="Travel_Frequently"/>
    <s v="Human Resources"/>
    <n v="22"/>
    <n v="3"/>
    <s v="Human Resources"/>
    <n v="1944"/>
    <n v="1"/>
    <s v="Female"/>
    <n v="2"/>
    <n v="1"/>
    <s v="Human Resources"/>
    <n v="2"/>
    <s v="Married"/>
    <n v="2863"/>
    <n v="1"/>
    <x v="1"/>
    <n v="12"/>
    <n v="3"/>
    <n v="1"/>
    <n v="0"/>
    <n v="1"/>
    <n v="2"/>
    <n v="3"/>
    <n v="1"/>
    <n v="0"/>
    <n v="0"/>
    <n v="0"/>
    <n v="1"/>
    <x v="2"/>
    <n v="2"/>
    <x v="1"/>
    <n v="1"/>
    <x v="1"/>
    <n v="1"/>
    <s v="Bachelor"/>
    <s v="Medium"/>
    <s v="Low"/>
    <s v="Better"/>
  </r>
  <r>
    <n v="35"/>
    <s v="No"/>
    <s v="Travel_Rarely"/>
    <s v="Sales"/>
    <n v="18"/>
    <n v="4"/>
    <s v="Medical"/>
    <n v="1945"/>
    <n v="2"/>
    <s v="Male"/>
    <n v="3"/>
    <n v="2"/>
    <s v="Sales Executive"/>
    <n v="1"/>
    <s v="Married"/>
    <n v="5561"/>
    <n v="0"/>
    <x v="1"/>
    <n v="16"/>
    <n v="3"/>
    <n v="4"/>
    <n v="1"/>
    <n v="6"/>
    <n v="2"/>
    <n v="1"/>
    <n v="5"/>
    <n v="3"/>
    <n v="0"/>
    <n v="4"/>
    <n v="0"/>
    <x v="2"/>
    <n v="2"/>
    <x v="0"/>
    <n v="2"/>
    <x v="2"/>
    <n v="2"/>
    <s v="Master"/>
    <s v="Low"/>
    <s v="Medium"/>
    <s v="Bad"/>
  </r>
  <r>
    <n v="28"/>
    <s v="No"/>
    <s v="Non-Travel"/>
    <s v="Research &amp; Development"/>
    <n v="16"/>
    <n v="3"/>
    <s v="Medical"/>
    <n v="1947"/>
    <n v="3"/>
    <s v="Male"/>
    <n v="3"/>
    <n v="1"/>
    <s v="Research Scientist"/>
    <n v="3"/>
    <s v="Single"/>
    <n v="2144"/>
    <n v="1"/>
    <x v="1"/>
    <n v="14"/>
    <n v="3"/>
    <n v="3"/>
    <n v="0"/>
    <n v="5"/>
    <n v="3"/>
    <n v="2"/>
    <n v="5"/>
    <n v="3"/>
    <n v="1"/>
    <n v="4"/>
    <n v="0"/>
    <x v="2"/>
    <n v="2"/>
    <x v="1"/>
    <n v="1"/>
    <x v="2"/>
    <n v="2"/>
    <s v="Bachelor"/>
    <s v="High"/>
    <s v="High"/>
    <s v="Good"/>
  </r>
  <r>
    <n v="31"/>
    <s v="No"/>
    <s v="Non-Travel"/>
    <s v="Research &amp; Development"/>
    <n v="3"/>
    <n v="2"/>
    <s v="Medical"/>
    <n v="1948"/>
    <n v="3"/>
    <s v="Male"/>
    <n v="3"/>
    <n v="1"/>
    <s v="Research Scientist"/>
    <n v="1"/>
    <s v="Divorced"/>
    <n v="3065"/>
    <n v="1"/>
    <x v="0"/>
    <n v="13"/>
    <n v="3"/>
    <n v="4"/>
    <n v="1"/>
    <n v="4"/>
    <n v="3"/>
    <n v="4"/>
    <n v="4"/>
    <n v="2"/>
    <n v="2"/>
    <n v="3"/>
    <n v="0"/>
    <x v="2"/>
    <n v="2"/>
    <x v="0"/>
    <n v="2"/>
    <x v="2"/>
    <n v="2"/>
    <s v="College"/>
    <s v="Low"/>
    <s v="High"/>
    <s v="Best"/>
  </r>
  <r>
    <n v="36"/>
    <s v="No"/>
    <s v="Non-Travel"/>
    <s v="Research &amp; Development"/>
    <n v="9"/>
    <n v="4"/>
    <s v="Life Sciences"/>
    <n v="1949"/>
    <n v="1"/>
    <s v="Male"/>
    <n v="4"/>
    <n v="1"/>
    <s v="Laboratory Technician"/>
    <n v="2"/>
    <s v="Married"/>
    <n v="2810"/>
    <n v="1"/>
    <x v="1"/>
    <n v="22"/>
    <n v="4"/>
    <n v="2"/>
    <n v="0"/>
    <n v="5"/>
    <n v="3"/>
    <n v="3"/>
    <n v="5"/>
    <n v="4"/>
    <n v="0"/>
    <n v="2"/>
    <n v="0"/>
    <x v="0"/>
    <n v="3"/>
    <x v="1"/>
    <n v="1"/>
    <x v="2"/>
    <n v="2"/>
    <s v="Master"/>
    <s v="Medium"/>
    <s v="Low"/>
    <s v="Better"/>
  </r>
  <r>
    <n v="34"/>
    <s v="No"/>
    <s v="Travel_Rarely"/>
    <s v="Sales"/>
    <n v="1"/>
    <n v="3"/>
    <s v="Marketing"/>
    <n v="1950"/>
    <n v="1"/>
    <s v="Male"/>
    <n v="3"/>
    <n v="3"/>
    <s v="Sales Executive"/>
    <n v="4"/>
    <s v="Single"/>
    <n v="9888"/>
    <n v="1"/>
    <x v="1"/>
    <n v="21"/>
    <n v="4"/>
    <n v="1"/>
    <n v="0"/>
    <n v="14"/>
    <n v="3"/>
    <n v="2"/>
    <n v="14"/>
    <n v="8"/>
    <n v="2"/>
    <n v="1"/>
    <n v="0"/>
    <x v="2"/>
    <n v="2"/>
    <x v="2"/>
    <n v="3"/>
    <x v="3"/>
    <n v="4"/>
    <s v="Bachelor"/>
    <s v="Very High"/>
    <s v="Low"/>
    <s v="Good"/>
  </r>
  <r>
    <n v="34"/>
    <s v="No"/>
    <s v="Travel_Rarely"/>
    <s v="Sales"/>
    <n v="13"/>
    <n v="4"/>
    <s v="Medical"/>
    <n v="1951"/>
    <n v="4"/>
    <s v="Male"/>
    <n v="3"/>
    <n v="3"/>
    <s v="Sales Executive"/>
    <n v="3"/>
    <s v="Divorced"/>
    <n v="8628"/>
    <n v="1"/>
    <x v="1"/>
    <n v="18"/>
    <n v="3"/>
    <n v="3"/>
    <n v="1"/>
    <n v="9"/>
    <n v="2"/>
    <n v="2"/>
    <n v="8"/>
    <n v="7"/>
    <n v="1"/>
    <n v="1"/>
    <n v="0"/>
    <x v="2"/>
    <n v="2"/>
    <x v="2"/>
    <n v="3"/>
    <x v="0"/>
    <n v="3"/>
    <s v="Master"/>
    <s v="High"/>
    <s v="Very High"/>
    <s v="Good"/>
  </r>
  <r>
    <n v="26"/>
    <s v="No"/>
    <s v="Travel_Rarely"/>
    <s v="Research &amp; Development"/>
    <n v="1"/>
    <n v="3"/>
    <s v="Medical"/>
    <n v="1952"/>
    <n v="3"/>
    <s v="Male"/>
    <n v="3"/>
    <n v="1"/>
    <s v="Laboratory Technician"/>
    <n v="1"/>
    <s v="Single"/>
    <n v="2867"/>
    <n v="0"/>
    <x v="1"/>
    <n v="13"/>
    <n v="3"/>
    <n v="4"/>
    <n v="0"/>
    <n v="8"/>
    <n v="6"/>
    <n v="2"/>
    <n v="7"/>
    <n v="7"/>
    <n v="7"/>
    <n v="6"/>
    <n v="0"/>
    <x v="2"/>
    <n v="2"/>
    <x v="1"/>
    <n v="1"/>
    <x v="0"/>
    <n v="3"/>
    <s v="Bachelor"/>
    <s v="Low"/>
    <s v="High"/>
    <s v="Good"/>
  </r>
  <r>
    <n v="29"/>
    <s v="No"/>
    <s v="Travel_Rarely"/>
    <s v="Research &amp; Development"/>
    <n v="1"/>
    <n v="3"/>
    <s v="Life Sciences"/>
    <n v="1954"/>
    <n v="1"/>
    <s v="Male"/>
    <n v="3"/>
    <n v="2"/>
    <s v="Healthcare Representative"/>
    <n v="1"/>
    <s v="Married"/>
    <n v="5373"/>
    <n v="0"/>
    <x v="1"/>
    <n v="12"/>
    <n v="3"/>
    <n v="1"/>
    <n v="1"/>
    <n v="6"/>
    <n v="5"/>
    <n v="2"/>
    <n v="5"/>
    <n v="3"/>
    <n v="0"/>
    <n v="2"/>
    <n v="0"/>
    <x v="2"/>
    <n v="2"/>
    <x v="0"/>
    <n v="2"/>
    <x v="2"/>
    <n v="2"/>
    <s v="Bachelor"/>
    <s v="Low"/>
    <s v="Low"/>
    <s v="Good"/>
  </r>
  <r>
    <n v="32"/>
    <s v="No"/>
    <s v="Non-Travel"/>
    <s v="Research &amp; Development"/>
    <n v="15"/>
    <n v="4"/>
    <s v="Medical"/>
    <n v="1955"/>
    <n v="3"/>
    <s v="Female"/>
    <n v="3"/>
    <n v="2"/>
    <s v="Healthcare Representative"/>
    <n v="4"/>
    <s v="Divorced"/>
    <n v="6667"/>
    <n v="5"/>
    <x v="1"/>
    <n v="18"/>
    <n v="3"/>
    <n v="2"/>
    <n v="1"/>
    <n v="9"/>
    <n v="6"/>
    <n v="3"/>
    <n v="5"/>
    <n v="1"/>
    <n v="1"/>
    <n v="2"/>
    <n v="0"/>
    <x v="2"/>
    <n v="2"/>
    <x v="2"/>
    <n v="3"/>
    <x v="2"/>
    <n v="2"/>
    <s v="Master"/>
    <s v="Very High"/>
    <s v="High"/>
    <s v="Better"/>
  </r>
  <r>
    <n v="31"/>
    <s v="No"/>
    <s v="Travel_Frequently"/>
    <s v="Research &amp; Development"/>
    <n v="1"/>
    <n v="3"/>
    <s v="Life Sciences"/>
    <n v="1956"/>
    <n v="4"/>
    <s v="Male"/>
    <n v="1"/>
    <n v="2"/>
    <s v="Research Scientist"/>
    <n v="1"/>
    <s v="Married"/>
    <n v="5003"/>
    <n v="1"/>
    <x v="1"/>
    <n v="21"/>
    <n v="4"/>
    <n v="2"/>
    <n v="0"/>
    <n v="10"/>
    <n v="6"/>
    <n v="3"/>
    <n v="10"/>
    <n v="8"/>
    <n v="8"/>
    <n v="7"/>
    <n v="0"/>
    <x v="2"/>
    <n v="2"/>
    <x v="0"/>
    <n v="2"/>
    <x v="0"/>
    <n v="3"/>
    <s v="Bachelor"/>
    <s v="Low"/>
    <s v="Very High"/>
    <s v="Better"/>
  </r>
  <r>
    <n v="28"/>
    <s v="Yes"/>
    <s v="Travel_Rarely"/>
    <s v="Research &amp; Development"/>
    <n v="17"/>
    <n v="3"/>
    <s v="Technical Degree"/>
    <n v="1960"/>
    <n v="3"/>
    <s v="Male"/>
    <n v="2"/>
    <n v="1"/>
    <s v="Laboratory Technician"/>
    <n v="4"/>
    <s v="Divorced"/>
    <n v="2367"/>
    <n v="5"/>
    <x v="1"/>
    <n v="12"/>
    <n v="3"/>
    <n v="1"/>
    <n v="1"/>
    <n v="6"/>
    <n v="2"/>
    <n v="2"/>
    <n v="4"/>
    <n v="1"/>
    <n v="0"/>
    <n v="3"/>
    <n v="1"/>
    <x v="2"/>
    <n v="2"/>
    <x v="1"/>
    <n v="1"/>
    <x v="2"/>
    <n v="2"/>
    <s v="Bachelor"/>
    <s v="Very High"/>
    <s v="High"/>
    <s v="Good"/>
  </r>
  <r>
    <n v="38"/>
    <s v="No"/>
    <s v="Travel_Rarely"/>
    <s v="Sales"/>
    <n v="1"/>
    <n v="3"/>
    <s v="Life Sciences"/>
    <n v="1961"/>
    <n v="1"/>
    <s v="Male"/>
    <n v="2"/>
    <n v="1"/>
    <s v="Sales Representative"/>
    <n v="1"/>
    <s v="Single"/>
    <n v="2858"/>
    <n v="4"/>
    <x v="1"/>
    <n v="14"/>
    <n v="3"/>
    <n v="1"/>
    <n v="0"/>
    <n v="20"/>
    <n v="3"/>
    <n v="2"/>
    <n v="1"/>
    <n v="0"/>
    <n v="0"/>
    <n v="0"/>
    <n v="0"/>
    <x v="0"/>
    <n v="3"/>
    <x v="1"/>
    <n v="1"/>
    <x v="1"/>
    <n v="1"/>
    <s v="Bachelor"/>
    <s v="Low"/>
    <s v="Low"/>
    <s v="Good"/>
  </r>
  <r>
    <n v="35"/>
    <s v="No"/>
    <s v="Travel_Rarely"/>
    <s v="Sales"/>
    <n v="7"/>
    <n v="4"/>
    <s v="Life Sciences"/>
    <n v="1962"/>
    <n v="3"/>
    <s v="Female"/>
    <n v="3"/>
    <n v="2"/>
    <s v="Sales Executive"/>
    <n v="4"/>
    <s v="Married"/>
    <n v="5204"/>
    <n v="1"/>
    <x v="0"/>
    <n v="11"/>
    <n v="3"/>
    <n v="4"/>
    <n v="0"/>
    <n v="10"/>
    <n v="2"/>
    <n v="3"/>
    <n v="10"/>
    <n v="8"/>
    <n v="0"/>
    <n v="9"/>
    <n v="0"/>
    <x v="2"/>
    <n v="2"/>
    <x v="0"/>
    <n v="2"/>
    <x v="0"/>
    <n v="3"/>
    <s v="Master"/>
    <s v="Very High"/>
    <s v="High"/>
    <s v="Better"/>
  </r>
  <r>
    <n v="27"/>
    <s v="No"/>
    <s v="Travel_Rarely"/>
    <s v="Sales"/>
    <n v="9"/>
    <n v="3"/>
    <s v="Marketing"/>
    <n v="1965"/>
    <n v="4"/>
    <s v="Male"/>
    <n v="3"/>
    <n v="2"/>
    <s v="Sales Executive"/>
    <n v="4"/>
    <s v="Single"/>
    <n v="4105"/>
    <n v="1"/>
    <x v="1"/>
    <n v="14"/>
    <n v="3"/>
    <n v="1"/>
    <n v="0"/>
    <n v="7"/>
    <n v="5"/>
    <n v="3"/>
    <n v="7"/>
    <n v="7"/>
    <n v="0"/>
    <n v="7"/>
    <n v="0"/>
    <x v="2"/>
    <n v="2"/>
    <x v="0"/>
    <n v="2"/>
    <x v="0"/>
    <n v="3"/>
    <s v="Bachelor"/>
    <s v="Very High"/>
    <s v="Very High"/>
    <s v="Better"/>
  </r>
  <r>
    <n v="32"/>
    <s v="No"/>
    <s v="Travel_Rarely"/>
    <s v="Research &amp; Development"/>
    <n v="5"/>
    <n v="4"/>
    <s v="Life Sciences"/>
    <n v="1966"/>
    <n v="4"/>
    <s v="Male"/>
    <n v="2"/>
    <n v="2"/>
    <s v="Manufacturing Director"/>
    <n v="4"/>
    <s v="Single"/>
    <n v="9679"/>
    <n v="8"/>
    <x v="1"/>
    <n v="24"/>
    <n v="4"/>
    <n v="2"/>
    <n v="0"/>
    <n v="8"/>
    <n v="1"/>
    <n v="3"/>
    <n v="1"/>
    <n v="0"/>
    <n v="0"/>
    <n v="0"/>
    <n v="0"/>
    <x v="2"/>
    <n v="2"/>
    <x v="2"/>
    <n v="3"/>
    <x v="1"/>
    <n v="1"/>
    <s v="Master"/>
    <s v="Very High"/>
    <s v="Very High"/>
    <s v="Better"/>
  </r>
  <r>
    <n v="31"/>
    <s v="Yes"/>
    <s v="Travel_Frequently"/>
    <s v="Sales"/>
    <n v="26"/>
    <n v="4"/>
    <s v="Marketing"/>
    <n v="1967"/>
    <n v="1"/>
    <s v="Male"/>
    <n v="3"/>
    <n v="2"/>
    <s v="Sales Executive"/>
    <n v="4"/>
    <s v="Married"/>
    <n v="5617"/>
    <n v="1"/>
    <x v="0"/>
    <n v="11"/>
    <n v="3"/>
    <n v="3"/>
    <n v="0"/>
    <n v="10"/>
    <n v="4"/>
    <n v="3"/>
    <n v="10"/>
    <n v="7"/>
    <n v="0"/>
    <n v="8"/>
    <n v="1"/>
    <x v="2"/>
    <n v="2"/>
    <x v="0"/>
    <n v="2"/>
    <x v="0"/>
    <n v="3"/>
    <s v="Master"/>
    <s v="Very High"/>
    <s v="Low"/>
    <s v="Better"/>
  </r>
  <r>
    <n v="53"/>
    <s v="Yes"/>
    <s v="Travel_Rarely"/>
    <s v="Sales"/>
    <n v="24"/>
    <n v="4"/>
    <s v="Life Sciences"/>
    <n v="1968"/>
    <n v="1"/>
    <s v="Male"/>
    <n v="3"/>
    <n v="3"/>
    <s v="Sales Executive"/>
    <n v="1"/>
    <s v="Single"/>
    <n v="10448"/>
    <n v="6"/>
    <x v="0"/>
    <n v="13"/>
    <n v="3"/>
    <n v="2"/>
    <n v="0"/>
    <n v="15"/>
    <n v="2"/>
    <n v="2"/>
    <n v="2"/>
    <n v="2"/>
    <n v="2"/>
    <n v="2"/>
    <n v="1"/>
    <x v="1"/>
    <n v="4"/>
    <x v="3"/>
    <n v="4"/>
    <x v="1"/>
    <n v="1"/>
    <s v="Master"/>
    <s v="Low"/>
    <s v="Low"/>
    <s v="Good"/>
  </r>
  <r>
    <n v="54"/>
    <s v="No"/>
    <s v="Travel_Rarely"/>
    <s v="Research &amp; Development"/>
    <n v="9"/>
    <n v="2"/>
    <s v="Life Sciences"/>
    <n v="1969"/>
    <n v="1"/>
    <s v="Female"/>
    <n v="3"/>
    <n v="2"/>
    <s v="Research Scientist"/>
    <n v="3"/>
    <s v="Married"/>
    <n v="2897"/>
    <n v="3"/>
    <x v="1"/>
    <n v="11"/>
    <n v="3"/>
    <n v="3"/>
    <n v="2"/>
    <n v="9"/>
    <n v="6"/>
    <n v="2"/>
    <n v="4"/>
    <n v="3"/>
    <n v="2"/>
    <n v="3"/>
    <n v="0"/>
    <x v="1"/>
    <n v="4"/>
    <x v="1"/>
    <n v="1"/>
    <x v="2"/>
    <n v="2"/>
    <s v="College"/>
    <s v="High"/>
    <s v="Low"/>
    <s v="Good"/>
  </r>
  <r>
    <n v="33"/>
    <s v="No"/>
    <s v="Travel_Frequently"/>
    <s v="Research &amp; Development"/>
    <n v="7"/>
    <n v="2"/>
    <s v="Life Sciences"/>
    <n v="1970"/>
    <n v="4"/>
    <s v="Male"/>
    <n v="3"/>
    <n v="2"/>
    <s v="Healthcare Representative"/>
    <n v="3"/>
    <s v="Divorced"/>
    <n v="5968"/>
    <n v="1"/>
    <x v="1"/>
    <n v="20"/>
    <n v="4"/>
    <n v="3"/>
    <n v="3"/>
    <n v="9"/>
    <n v="2"/>
    <n v="3"/>
    <n v="9"/>
    <n v="7"/>
    <n v="2"/>
    <n v="8"/>
    <n v="0"/>
    <x v="2"/>
    <n v="2"/>
    <x v="0"/>
    <n v="2"/>
    <x v="0"/>
    <n v="3"/>
    <s v="College"/>
    <s v="High"/>
    <s v="Very High"/>
    <s v="Better"/>
  </r>
  <r>
    <n v="43"/>
    <s v="No"/>
    <s v="Travel_Rarely"/>
    <s v="Research &amp; Development"/>
    <n v="11"/>
    <n v="3"/>
    <s v="Life Sciences"/>
    <n v="1971"/>
    <n v="1"/>
    <s v="Male"/>
    <n v="3"/>
    <n v="3"/>
    <s v="Healthcare Representative"/>
    <n v="3"/>
    <s v="Married"/>
    <n v="7510"/>
    <n v="1"/>
    <x v="1"/>
    <n v="17"/>
    <n v="3"/>
    <n v="2"/>
    <n v="1"/>
    <n v="10"/>
    <n v="1"/>
    <n v="3"/>
    <n v="10"/>
    <n v="9"/>
    <n v="0"/>
    <n v="9"/>
    <n v="0"/>
    <x v="0"/>
    <n v="3"/>
    <x v="2"/>
    <n v="3"/>
    <x v="0"/>
    <n v="3"/>
    <s v="Bachelor"/>
    <s v="High"/>
    <s v="Low"/>
    <s v="Better"/>
  </r>
  <r>
    <n v="38"/>
    <s v="No"/>
    <s v="Travel_Frequently"/>
    <s v="Human Resources"/>
    <n v="1"/>
    <n v="4"/>
    <s v="Other"/>
    <n v="1972"/>
    <n v="4"/>
    <s v="Male"/>
    <n v="3"/>
    <n v="1"/>
    <s v="Human Resources"/>
    <n v="2"/>
    <s v="Married"/>
    <n v="2991"/>
    <n v="0"/>
    <x v="0"/>
    <n v="11"/>
    <n v="3"/>
    <n v="2"/>
    <n v="1"/>
    <n v="7"/>
    <n v="2"/>
    <n v="3"/>
    <n v="6"/>
    <n v="2"/>
    <n v="1"/>
    <n v="2"/>
    <n v="0"/>
    <x v="0"/>
    <n v="3"/>
    <x v="1"/>
    <n v="1"/>
    <x v="0"/>
    <n v="3"/>
    <s v="Master"/>
    <s v="Medium"/>
    <s v="Very High"/>
    <s v="Better"/>
  </r>
  <r>
    <n v="55"/>
    <s v="No"/>
    <s v="Travel_Rarely"/>
    <s v="Human Resources"/>
    <n v="26"/>
    <n v="4"/>
    <s v="Human Resources"/>
    <n v="1973"/>
    <n v="3"/>
    <s v="Male"/>
    <n v="4"/>
    <n v="5"/>
    <s v="Manager"/>
    <n v="2"/>
    <s v="Married"/>
    <n v="19636"/>
    <n v="4"/>
    <x v="0"/>
    <n v="18"/>
    <n v="3"/>
    <n v="1"/>
    <n v="1"/>
    <n v="35"/>
    <n v="0"/>
    <n v="3"/>
    <n v="10"/>
    <n v="9"/>
    <n v="1"/>
    <n v="4"/>
    <n v="0"/>
    <x v="1"/>
    <n v="4"/>
    <x v="3"/>
    <n v="4"/>
    <x v="0"/>
    <n v="3"/>
    <s v="Master"/>
    <s v="Medium"/>
    <s v="High"/>
    <s v="Better"/>
  </r>
  <r>
    <n v="31"/>
    <s v="No"/>
    <s v="Travel_Rarely"/>
    <s v="Research &amp; Development"/>
    <n v="2"/>
    <n v="1"/>
    <s v="Medical"/>
    <n v="1974"/>
    <n v="4"/>
    <s v="Female"/>
    <n v="1"/>
    <n v="1"/>
    <s v="Laboratory Technician"/>
    <n v="4"/>
    <s v="Divorced"/>
    <n v="1129"/>
    <n v="1"/>
    <x v="0"/>
    <n v="11"/>
    <n v="3"/>
    <n v="3"/>
    <n v="3"/>
    <n v="1"/>
    <n v="4"/>
    <n v="3"/>
    <n v="1"/>
    <n v="0"/>
    <n v="0"/>
    <n v="0"/>
    <n v="0"/>
    <x v="2"/>
    <n v="2"/>
    <x v="1"/>
    <n v="1"/>
    <x v="1"/>
    <n v="1"/>
    <s v="Below College"/>
    <s v="Very High"/>
    <s v="Very High"/>
    <s v="Better"/>
  </r>
  <r>
    <n v="39"/>
    <s v="No"/>
    <s v="Travel_Rarely"/>
    <s v="Sales"/>
    <n v="15"/>
    <n v="4"/>
    <s v="Marketing"/>
    <n v="1975"/>
    <n v="2"/>
    <s v="Male"/>
    <n v="3"/>
    <n v="4"/>
    <s v="Sales Executive"/>
    <n v="1"/>
    <s v="Single"/>
    <n v="13341"/>
    <n v="0"/>
    <x v="1"/>
    <n v="12"/>
    <n v="3"/>
    <n v="1"/>
    <n v="0"/>
    <n v="21"/>
    <n v="3"/>
    <n v="3"/>
    <n v="20"/>
    <n v="8"/>
    <n v="11"/>
    <n v="10"/>
    <n v="0"/>
    <x v="0"/>
    <n v="3"/>
    <x v="3"/>
    <n v="4"/>
    <x v="3"/>
    <n v="4"/>
    <s v="Master"/>
    <s v="Low"/>
    <s v="Medium"/>
    <s v="Better"/>
  </r>
  <r>
    <n v="42"/>
    <s v="No"/>
    <s v="Non-Travel"/>
    <s v="Research &amp; Development"/>
    <n v="23"/>
    <n v="2"/>
    <s v="Life Sciences"/>
    <n v="1976"/>
    <n v="4"/>
    <s v="Male"/>
    <n v="2"/>
    <n v="2"/>
    <s v="Research Scientist"/>
    <n v="3"/>
    <s v="Single"/>
    <n v="4332"/>
    <n v="1"/>
    <x v="1"/>
    <n v="12"/>
    <n v="3"/>
    <n v="4"/>
    <n v="0"/>
    <n v="20"/>
    <n v="2"/>
    <n v="3"/>
    <n v="20"/>
    <n v="9"/>
    <n v="3"/>
    <n v="7"/>
    <n v="0"/>
    <x v="0"/>
    <n v="3"/>
    <x v="0"/>
    <n v="2"/>
    <x v="3"/>
    <n v="4"/>
    <s v="College"/>
    <s v="High"/>
    <s v="Very High"/>
    <s v="Better"/>
  </r>
  <r>
    <n v="31"/>
    <s v="No"/>
    <s v="Non-Travel"/>
    <s v="Research &amp; Development"/>
    <n v="10"/>
    <n v="3"/>
    <s v="Medical"/>
    <n v="1979"/>
    <n v="3"/>
    <s v="Female"/>
    <n v="3"/>
    <n v="3"/>
    <s v="Research Director"/>
    <n v="3"/>
    <s v="Married"/>
    <n v="11031"/>
    <n v="4"/>
    <x v="1"/>
    <n v="20"/>
    <n v="4"/>
    <n v="3"/>
    <n v="1"/>
    <n v="13"/>
    <n v="2"/>
    <n v="4"/>
    <n v="11"/>
    <n v="7"/>
    <n v="4"/>
    <n v="8"/>
    <n v="0"/>
    <x v="2"/>
    <n v="2"/>
    <x v="3"/>
    <n v="4"/>
    <x v="3"/>
    <n v="4"/>
    <s v="Bachelor"/>
    <s v="High"/>
    <s v="High"/>
    <s v="Best"/>
  </r>
  <r>
    <n v="54"/>
    <s v="No"/>
    <s v="Travel_Rarely"/>
    <s v="Research &amp; Development"/>
    <n v="10"/>
    <n v="3"/>
    <s v="Medical"/>
    <n v="1980"/>
    <n v="3"/>
    <s v="Female"/>
    <n v="3"/>
    <n v="2"/>
    <s v="Manufacturing Director"/>
    <n v="1"/>
    <s v="Single"/>
    <n v="4440"/>
    <n v="6"/>
    <x v="0"/>
    <n v="19"/>
    <n v="3"/>
    <n v="4"/>
    <n v="0"/>
    <n v="9"/>
    <n v="3"/>
    <n v="3"/>
    <n v="5"/>
    <n v="2"/>
    <n v="1"/>
    <n v="4"/>
    <n v="0"/>
    <x v="1"/>
    <n v="4"/>
    <x v="0"/>
    <n v="2"/>
    <x v="2"/>
    <n v="2"/>
    <s v="Bachelor"/>
    <s v="Low"/>
    <s v="High"/>
    <s v="Better"/>
  </r>
  <r>
    <n v="24"/>
    <s v="No"/>
    <s v="Travel_Rarely"/>
    <s v="Research &amp; Development"/>
    <n v="1"/>
    <n v="2"/>
    <s v="Life Sciences"/>
    <n v="1981"/>
    <n v="2"/>
    <s v="Male"/>
    <n v="2"/>
    <n v="2"/>
    <s v="Healthcare Representative"/>
    <n v="3"/>
    <s v="Single"/>
    <n v="4617"/>
    <n v="1"/>
    <x v="1"/>
    <n v="12"/>
    <n v="3"/>
    <n v="2"/>
    <n v="0"/>
    <n v="4"/>
    <n v="2"/>
    <n v="2"/>
    <n v="4"/>
    <n v="3"/>
    <n v="1"/>
    <n v="2"/>
    <n v="0"/>
    <x v="4"/>
    <n v="1"/>
    <x v="0"/>
    <n v="2"/>
    <x v="2"/>
    <n v="2"/>
    <s v="College"/>
    <s v="High"/>
    <s v="Medium"/>
    <s v="Good"/>
  </r>
  <r>
    <n v="23"/>
    <s v="No"/>
    <s v="Travel_Rarely"/>
    <s v="Research &amp; Development"/>
    <n v="12"/>
    <n v="2"/>
    <s v="Other"/>
    <n v="1982"/>
    <n v="4"/>
    <s v="Male"/>
    <n v="3"/>
    <n v="1"/>
    <s v="Laboratory Technician"/>
    <n v="4"/>
    <s v="Single"/>
    <n v="2647"/>
    <n v="1"/>
    <x v="1"/>
    <n v="13"/>
    <n v="3"/>
    <n v="3"/>
    <n v="0"/>
    <n v="5"/>
    <n v="6"/>
    <n v="4"/>
    <n v="5"/>
    <n v="2"/>
    <n v="1"/>
    <n v="4"/>
    <n v="0"/>
    <x v="4"/>
    <n v="1"/>
    <x v="1"/>
    <n v="1"/>
    <x v="2"/>
    <n v="2"/>
    <s v="College"/>
    <s v="Very High"/>
    <s v="Very High"/>
    <s v="Best"/>
  </r>
  <r>
    <n v="40"/>
    <s v="No"/>
    <s v="Travel_Frequently"/>
    <s v="Research &amp; Development"/>
    <n v="11"/>
    <n v="3"/>
    <s v="Technical Degree"/>
    <n v="1985"/>
    <n v="4"/>
    <s v="Female"/>
    <n v="3"/>
    <n v="2"/>
    <s v="Laboratory Technician"/>
    <n v="3"/>
    <s v="Married"/>
    <n v="6323"/>
    <n v="1"/>
    <x v="1"/>
    <n v="11"/>
    <n v="3"/>
    <n v="1"/>
    <n v="1"/>
    <n v="10"/>
    <n v="2"/>
    <n v="4"/>
    <n v="10"/>
    <n v="9"/>
    <n v="9"/>
    <n v="4"/>
    <n v="0"/>
    <x v="0"/>
    <n v="3"/>
    <x v="2"/>
    <n v="3"/>
    <x v="0"/>
    <n v="3"/>
    <s v="Bachelor"/>
    <s v="High"/>
    <s v="Very High"/>
    <s v="Best"/>
  </r>
  <r>
    <n v="40"/>
    <s v="No"/>
    <s v="Travel_Rarely"/>
    <s v="Sales"/>
    <n v="2"/>
    <n v="2"/>
    <s v="Marketing"/>
    <n v="1986"/>
    <n v="2"/>
    <s v="Female"/>
    <n v="3"/>
    <n v="2"/>
    <s v="Sales Executive"/>
    <n v="2"/>
    <s v="Married"/>
    <n v="5677"/>
    <n v="3"/>
    <x v="1"/>
    <n v="14"/>
    <n v="3"/>
    <n v="3"/>
    <n v="1"/>
    <n v="15"/>
    <n v="4"/>
    <n v="3"/>
    <n v="11"/>
    <n v="8"/>
    <n v="5"/>
    <n v="10"/>
    <n v="0"/>
    <x v="0"/>
    <n v="3"/>
    <x v="0"/>
    <n v="2"/>
    <x v="3"/>
    <n v="4"/>
    <s v="College"/>
    <s v="Medium"/>
    <s v="Medium"/>
    <s v="Better"/>
  </r>
  <r>
    <n v="25"/>
    <s v="No"/>
    <s v="Travel_Rarely"/>
    <s v="Human Resources"/>
    <n v="2"/>
    <n v="3"/>
    <s v="Human Resources"/>
    <n v="1987"/>
    <n v="3"/>
    <s v="Female"/>
    <n v="3"/>
    <n v="1"/>
    <s v="Human Resources"/>
    <n v="2"/>
    <s v="Married"/>
    <n v="2187"/>
    <n v="4"/>
    <x v="1"/>
    <n v="14"/>
    <n v="3"/>
    <n v="3"/>
    <n v="0"/>
    <n v="6"/>
    <n v="3"/>
    <n v="3"/>
    <n v="2"/>
    <n v="0"/>
    <n v="1"/>
    <n v="2"/>
    <n v="0"/>
    <x v="4"/>
    <n v="1"/>
    <x v="1"/>
    <n v="1"/>
    <x v="1"/>
    <n v="1"/>
    <s v="Bachelor"/>
    <s v="Medium"/>
    <s v="High"/>
    <s v="Better"/>
  </r>
  <r>
    <n v="30"/>
    <s v="No"/>
    <s v="Travel_Rarely"/>
    <s v="Research &amp; Development"/>
    <n v="1"/>
    <n v="2"/>
    <s v="Medical"/>
    <n v="1989"/>
    <n v="4"/>
    <s v="Male"/>
    <n v="3"/>
    <n v="1"/>
    <s v="Laboratory Technician"/>
    <n v="2"/>
    <s v="Married"/>
    <n v="3748"/>
    <n v="1"/>
    <x v="1"/>
    <n v="13"/>
    <n v="3"/>
    <n v="3"/>
    <n v="0"/>
    <n v="12"/>
    <n v="6"/>
    <n v="2"/>
    <n v="12"/>
    <n v="8"/>
    <n v="1"/>
    <n v="7"/>
    <n v="0"/>
    <x v="2"/>
    <n v="2"/>
    <x v="0"/>
    <n v="2"/>
    <x v="3"/>
    <n v="4"/>
    <s v="College"/>
    <s v="Medium"/>
    <s v="Very High"/>
    <s v="Good"/>
  </r>
  <r>
    <n v="25"/>
    <s v="No"/>
    <s v="Travel_Rarely"/>
    <s v="Research &amp; Development"/>
    <n v="2"/>
    <n v="1"/>
    <s v="Other"/>
    <n v="1992"/>
    <n v="4"/>
    <s v="Male"/>
    <n v="3"/>
    <n v="1"/>
    <s v="Laboratory Technician"/>
    <n v="3"/>
    <s v="Divorced"/>
    <n v="3977"/>
    <n v="6"/>
    <x v="0"/>
    <n v="19"/>
    <n v="3"/>
    <n v="3"/>
    <n v="1"/>
    <n v="7"/>
    <n v="2"/>
    <n v="2"/>
    <n v="2"/>
    <n v="2"/>
    <n v="0"/>
    <n v="2"/>
    <n v="0"/>
    <x v="4"/>
    <n v="1"/>
    <x v="0"/>
    <n v="2"/>
    <x v="1"/>
    <n v="1"/>
    <s v="Below College"/>
    <s v="High"/>
    <s v="Very High"/>
    <s v="Good"/>
  </r>
  <r>
    <n v="47"/>
    <s v="No"/>
    <s v="Travel_Rarely"/>
    <s v="Research &amp; Development"/>
    <n v="25"/>
    <n v="3"/>
    <s v="Medical"/>
    <n v="1993"/>
    <n v="1"/>
    <s v="Male"/>
    <n v="3"/>
    <n v="3"/>
    <s v="Healthcare Representative"/>
    <n v="3"/>
    <s v="Single"/>
    <n v="8633"/>
    <n v="2"/>
    <x v="1"/>
    <n v="23"/>
    <n v="4"/>
    <n v="2"/>
    <n v="0"/>
    <n v="25"/>
    <n v="3"/>
    <n v="3"/>
    <n v="17"/>
    <n v="14"/>
    <n v="12"/>
    <n v="11"/>
    <n v="0"/>
    <x v="1"/>
    <n v="4"/>
    <x v="2"/>
    <n v="3"/>
    <x v="3"/>
    <n v="4"/>
    <s v="Bachelor"/>
    <s v="High"/>
    <s v="Low"/>
    <s v="Better"/>
  </r>
  <r>
    <n v="33"/>
    <s v="No"/>
    <s v="Non-Travel"/>
    <s v="Research &amp; Development"/>
    <n v="1"/>
    <n v="2"/>
    <s v="Medical"/>
    <n v="1994"/>
    <n v="2"/>
    <s v="Male"/>
    <n v="2"/>
    <n v="1"/>
    <s v="Laboratory Technician"/>
    <n v="3"/>
    <s v="Divorced"/>
    <n v="2008"/>
    <n v="1"/>
    <x v="1"/>
    <n v="12"/>
    <n v="3"/>
    <n v="3"/>
    <n v="3"/>
    <n v="1"/>
    <n v="2"/>
    <n v="2"/>
    <n v="1"/>
    <n v="1"/>
    <n v="0"/>
    <n v="0"/>
    <n v="0"/>
    <x v="2"/>
    <n v="2"/>
    <x v="1"/>
    <n v="1"/>
    <x v="1"/>
    <n v="1"/>
    <s v="College"/>
    <s v="High"/>
    <s v="Medium"/>
    <s v="Good"/>
  </r>
  <r>
    <n v="38"/>
    <s v="No"/>
    <s v="Travel_Rarely"/>
    <s v="Sales"/>
    <n v="1"/>
    <n v="4"/>
    <s v="Life Sciences"/>
    <n v="1995"/>
    <n v="4"/>
    <s v="Male"/>
    <n v="3"/>
    <n v="2"/>
    <s v="Sales Executive"/>
    <n v="2"/>
    <s v="Married"/>
    <n v="4440"/>
    <n v="0"/>
    <x v="1"/>
    <n v="15"/>
    <n v="3"/>
    <n v="1"/>
    <n v="2"/>
    <n v="16"/>
    <n v="3"/>
    <n v="3"/>
    <n v="15"/>
    <n v="13"/>
    <n v="5"/>
    <n v="8"/>
    <n v="0"/>
    <x v="0"/>
    <n v="3"/>
    <x v="0"/>
    <n v="2"/>
    <x v="3"/>
    <n v="4"/>
    <s v="Master"/>
    <s v="Medium"/>
    <s v="Very High"/>
    <s v="Better"/>
  </r>
  <r>
    <n v="31"/>
    <s v="No"/>
    <s v="Travel_Rarely"/>
    <s v="Sales"/>
    <n v="2"/>
    <n v="2"/>
    <s v="Life Sciences"/>
    <n v="1996"/>
    <n v="1"/>
    <s v="Male"/>
    <n v="3"/>
    <n v="1"/>
    <s v="Sales Representative"/>
    <n v="3"/>
    <s v="Married"/>
    <n v="3067"/>
    <n v="0"/>
    <x v="1"/>
    <n v="19"/>
    <n v="3"/>
    <n v="3"/>
    <n v="1"/>
    <n v="3"/>
    <n v="1"/>
    <n v="3"/>
    <n v="2"/>
    <n v="2"/>
    <n v="1"/>
    <n v="2"/>
    <n v="0"/>
    <x v="2"/>
    <n v="2"/>
    <x v="0"/>
    <n v="2"/>
    <x v="1"/>
    <n v="1"/>
    <s v="College"/>
    <s v="High"/>
    <s v="Low"/>
    <s v="Better"/>
  </r>
  <r>
    <n v="38"/>
    <s v="No"/>
    <s v="Travel_Frequently"/>
    <s v="Research &amp; Development"/>
    <n v="6"/>
    <n v="4"/>
    <s v="Life Sciences"/>
    <n v="1997"/>
    <n v="1"/>
    <s v="Male"/>
    <n v="2"/>
    <n v="2"/>
    <s v="Manufacturing Director"/>
    <n v="3"/>
    <s v="Married"/>
    <n v="5321"/>
    <n v="2"/>
    <x v="1"/>
    <n v="11"/>
    <n v="3"/>
    <n v="4"/>
    <n v="1"/>
    <n v="10"/>
    <n v="1"/>
    <n v="3"/>
    <n v="8"/>
    <n v="3"/>
    <n v="7"/>
    <n v="7"/>
    <n v="0"/>
    <x v="0"/>
    <n v="3"/>
    <x v="0"/>
    <n v="2"/>
    <x v="0"/>
    <n v="3"/>
    <s v="Master"/>
    <s v="High"/>
    <s v="Low"/>
    <s v="Better"/>
  </r>
  <r>
    <n v="42"/>
    <s v="No"/>
    <s v="Travel_Rarely"/>
    <s v="Research &amp; Development"/>
    <n v="18"/>
    <n v="4"/>
    <s v="Life Sciences"/>
    <n v="1998"/>
    <n v="4"/>
    <s v="Male"/>
    <n v="3"/>
    <n v="2"/>
    <s v="Research Scientist"/>
    <n v="1"/>
    <s v="Divorced"/>
    <n v="5410"/>
    <n v="6"/>
    <x v="0"/>
    <n v="17"/>
    <n v="3"/>
    <n v="3"/>
    <n v="1"/>
    <n v="9"/>
    <n v="3"/>
    <n v="2"/>
    <n v="4"/>
    <n v="3"/>
    <n v="1"/>
    <n v="2"/>
    <n v="0"/>
    <x v="0"/>
    <n v="3"/>
    <x v="0"/>
    <n v="2"/>
    <x v="2"/>
    <n v="2"/>
    <s v="Master"/>
    <s v="Low"/>
    <s v="Very High"/>
    <s v="Good"/>
  </r>
  <r>
    <n v="41"/>
    <s v="No"/>
    <s v="Travel_Rarely"/>
    <s v="Research &amp; Development"/>
    <n v="1"/>
    <n v="3"/>
    <s v="Life Sciences"/>
    <n v="1999"/>
    <n v="4"/>
    <s v="Male"/>
    <n v="3"/>
    <n v="1"/>
    <s v="Research Scientist"/>
    <n v="4"/>
    <s v="Married"/>
    <n v="2782"/>
    <n v="3"/>
    <x v="1"/>
    <n v="22"/>
    <n v="4"/>
    <n v="1"/>
    <n v="1"/>
    <n v="12"/>
    <n v="3"/>
    <n v="3"/>
    <n v="5"/>
    <n v="3"/>
    <n v="1"/>
    <n v="0"/>
    <n v="0"/>
    <x v="0"/>
    <n v="3"/>
    <x v="1"/>
    <n v="1"/>
    <x v="2"/>
    <n v="2"/>
    <s v="Bachelor"/>
    <s v="Very High"/>
    <s v="Very High"/>
    <s v="Better"/>
  </r>
  <r>
    <n v="47"/>
    <s v="No"/>
    <s v="Non-Travel"/>
    <s v="Research &amp; Development"/>
    <n v="1"/>
    <n v="1"/>
    <s v="Medical"/>
    <n v="2000"/>
    <n v="3"/>
    <s v="Female"/>
    <n v="3"/>
    <n v="3"/>
    <s v="Research Director"/>
    <n v="2"/>
    <s v="Married"/>
    <n v="11957"/>
    <n v="0"/>
    <x v="1"/>
    <n v="18"/>
    <n v="3"/>
    <n v="1"/>
    <n v="2"/>
    <n v="14"/>
    <n v="3"/>
    <n v="1"/>
    <n v="13"/>
    <n v="8"/>
    <n v="5"/>
    <n v="12"/>
    <n v="0"/>
    <x v="1"/>
    <n v="4"/>
    <x v="3"/>
    <n v="4"/>
    <x v="3"/>
    <n v="4"/>
    <s v="Below College"/>
    <s v="Medium"/>
    <s v="High"/>
    <s v="Bad"/>
  </r>
  <r>
    <n v="35"/>
    <s v="No"/>
    <s v="Travel_Rarely"/>
    <s v="Research &amp; Development"/>
    <n v="11"/>
    <n v="4"/>
    <s v="Medical"/>
    <n v="2003"/>
    <n v="4"/>
    <s v="Male"/>
    <n v="3"/>
    <n v="1"/>
    <s v="Laboratory Technician"/>
    <n v="3"/>
    <s v="Married"/>
    <n v="2660"/>
    <n v="7"/>
    <x v="0"/>
    <n v="11"/>
    <n v="3"/>
    <n v="3"/>
    <n v="1"/>
    <n v="5"/>
    <n v="3"/>
    <n v="3"/>
    <n v="2"/>
    <n v="2"/>
    <n v="2"/>
    <n v="2"/>
    <n v="0"/>
    <x v="2"/>
    <n v="2"/>
    <x v="1"/>
    <n v="1"/>
    <x v="1"/>
    <n v="1"/>
    <s v="Master"/>
    <s v="High"/>
    <s v="Very High"/>
    <s v="Better"/>
  </r>
  <r>
    <n v="22"/>
    <s v="No"/>
    <s v="Travel_Rarely"/>
    <s v="Research &amp; Development"/>
    <n v="1"/>
    <n v="2"/>
    <s v="Life Sciences"/>
    <n v="2007"/>
    <n v="4"/>
    <s v="Male"/>
    <n v="3"/>
    <n v="1"/>
    <s v="Research Scientist"/>
    <n v="3"/>
    <s v="Single"/>
    <n v="3375"/>
    <n v="0"/>
    <x v="1"/>
    <n v="12"/>
    <n v="3"/>
    <n v="4"/>
    <n v="0"/>
    <n v="4"/>
    <n v="2"/>
    <n v="4"/>
    <n v="3"/>
    <n v="2"/>
    <n v="1"/>
    <n v="2"/>
    <n v="0"/>
    <x v="4"/>
    <n v="1"/>
    <x v="0"/>
    <n v="2"/>
    <x v="2"/>
    <n v="2"/>
    <s v="College"/>
    <s v="High"/>
    <s v="Very High"/>
    <s v="Best"/>
  </r>
  <r>
    <n v="35"/>
    <s v="No"/>
    <s v="Travel_Rarely"/>
    <s v="Research &amp; Development"/>
    <n v="9"/>
    <n v="4"/>
    <s v="Medical"/>
    <n v="2008"/>
    <n v="2"/>
    <s v="Male"/>
    <n v="3"/>
    <n v="2"/>
    <s v="Research Scientist"/>
    <n v="3"/>
    <s v="Single"/>
    <n v="5098"/>
    <n v="1"/>
    <x v="1"/>
    <n v="19"/>
    <n v="3"/>
    <n v="2"/>
    <n v="0"/>
    <n v="10"/>
    <n v="5"/>
    <n v="3"/>
    <n v="10"/>
    <n v="7"/>
    <n v="0"/>
    <n v="8"/>
    <n v="0"/>
    <x v="2"/>
    <n v="2"/>
    <x v="0"/>
    <n v="2"/>
    <x v="0"/>
    <n v="3"/>
    <s v="Master"/>
    <s v="High"/>
    <s v="Medium"/>
    <s v="Better"/>
  </r>
  <r>
    <n v="33"/>
    <s v="No"/>
    <s v="Travel_Rarely"/>
    <s v="Research &amp; Development"/>
    <n v="15"/>
    <n v="2"/>
    <s v="Medical"/>
    <n v="2009"/>
    <n v="2"/>
    <s v="Female"/>
    <n v="3"/>
    <n v="2"/>
    <s v="Healthcare Representative"/>
    <n v="4"/>
    <s v="Married"/>
    <n v="4878"/>
    <n v="0"/>
    <x v="0"/>
    <n v="13"/>
    <n v="3"/>
    <n v="1"/>
    <n v="1"/>
    <n v="10"/>
    <n v="6"/>
    <n v="3"/>
    <n v="9"/>
    <n v="7"/>
    <n v="8"/>
    <n v="1"/>
    <n v="0"/>
    <x v="2"/>
    <n v="2"/>
    <x v="0"/>
    <n v="2"/>
    <x v="0"/>
    <n v="3"/>
    <s v="College"/>
    <s v="Very High"/>
    <s v="Medium"/>
    <s v="Better"/>
  </r>
  <r>
    <n v="32"/>
    <s v="No"/>
    <s v="Travel_Rarely"/>
    <s v="Research &amp; Development"/>
    <n v="29"/>
    <n v="4"/>
    <s v="Life Sciences"/>
    <n v="2010"/>
    <n v="3"/>
    <s v="Female"/>
    <n v="2"/>
    <n v="1"/>
    <s v="Laboratory Technician"/>
    <n v="2"/>
    <s v="Single"/>
    <n v="2837"/>
    <n v="1"/>
    <x v="1"/>
    <n v="13"/>
    <n v="3"/>
    <n v="3"/>
    <n v="0"/>
    <n v="6"/>
    <n v="3"/>
    <n v="3"/>
    <n v="6"/>
    <n v="2"/>
    <n v="4"/>
    <n v="1"/>
    <n v="0"/>
    <x v="2"/>
    <n v="2"/>
    <x v="1"/>
    <n v="1"/>
    <x v="0"/>
    <n v="3"/>
    <s v="Master"/>
    <s v="Medium"/>
    <s v="High"/>
    <s v="Better"/>
  </r>
  <r>
    <n v="40"/>
    <s v="No"/>
    <s v="Travel_Rarely"/>
    <s v="Research &amp; Development"/>
    <n v="1"/>
    <n v="4"/>
    <s v="Life Sciences"/>
    <n v="2012"/>
    <n v="1"/>
    <s v="Male"/>
    <n v="3"/>
    <n v="1"/>
    <s v="Laboratory Technician"/>
    <n v="4"/>
    <s v="Married"/>
    <n v="2406"/>
    <n v="8"/>
    <x v="1"/>
    <n v="19"/>
    <n v="3"/>
    <n v="3"/>
    <n v="2"/>
    <n v="8"/>
    <n v="3"/>
    <n v="2"/>
    <n v="1"/>
    <n v="0"/>
    <n v="0"/>
    <n v="0"/>
    <n v="0"/>
    <x v="0"/>
    <n v="3"/>
    <x v="1"/>
    <n v="1"/>
    <x v="1"/>
    <n v="1"/>
    <s v="Master"/>
    <s v="Very High"/>
    <s v="Low"/>
    <s v="Good"/>
  </r>
  <r>
    <n v="32"/>
    <s v="No"/>
    <s v="Travel_Rarely"/>
    <s v="Sales"/>
    <n v="1"/>
    <n v="4"/>
    <s v="Medical"/>
    <n v="2013"/>
    <n v="2"/>
    <s v="Male"/>
    <n v="2"/>
    <n v="1"/>
    <s v="Sales Representative"/>
    <n v="2"/>
    <s v="Married"/>
    <n v="2269"/>
    <n v="0"/>
    <x v="1"/>
    <n v="14"/>
    <n v="3"/>
    <n v="2"/>
    <n v="1"/>
    <n v="3"/>
    <n v="2"/>
    <n v="3"/>
    <n v="2"/>
    <n v="2"/>
    <n v="2"/>
    <n v="2"/>
    <n v="0"/>
    <x v="2"/>
    <n v="2"/>
    <x v="1"/>
    <n v="1"/>
    <x v="1"/>
    <n v="1"/>
    <s v="Master"/>
    <s v="Medium"/>
    <s v="Medium"/>
    <s v="Better"/>
  </r>
  <r>
    <n v="39"/>
    <s v="No"/>
    <s v="Travel_Rarely"/>
    <s v="Research &amp; Development"/>
    <n v="24"/>
    <n v="1"/>
    <s v="Life Sciences"/>
    <n v="2014"/>
    <n v="1"/>
    <s v="Male"/>
    <n v="3"/>
    <n v="2"/>
    <s v="Research Scientist"/>
    <n v="4"/>
    <s v="Single"/>
    <n v="4108"/>
    <n v="7"/>
    <x v="1"/>
    <n v="13"/>
    <n v="3"/>
    <n v="1"/>
    <n v="0"/>
    <n v="18"/>
    <n v="2"/>
    <n v="3"/>
    <n v="7"/>
    <n v="7"/>
    <n v="1"/>
    <n v="7"/>
    <n v="0"/>
    <x v="0"/>
    <n v="3"/>
    <x v="0"/>
    <n v="2"/>
    <x v="0"/>
    <n v="3"/>
    <s v="Below College"/>
    <s v="Very High"/>
    <s v="Low"/>
    <s v="Better"/>
  </r>
  <r>
    <n v="38"/>
    <s v="No"/>
    <s v="Travel_Rarely"/>
    <s v="Research &amp; Development"/>
    <n v="10"/>
    <n v="3"/>
    <s v="Medical"/>
    <n v="2015"/>
    <n v="2"/>
    <s v="Female"/>
    <n v="1"/>
    <n v="3"/>
    <s v="Research Director"/>
    <n v="3"/>
    <s v="Married"/>
    <n v="13206"/>
    <n v="3"/>
    <x v="1"/>
    <n v="12"/>
    <n v="3"/>
    <n v="1"/>
    <n v="1"/>
    <n v="20"/>
    <n v="3"/>
    <n v="3"/>
    <n v="18"/>
    <n v="16"/>
    <n v="1"/>
    <n v="11"/>
    <n v="0"/>
    <x v="0"/>
    <n v="3"/>
    <x v="3"/>
    <n v="4"/>
    <x v="3"/>
    <n v="4"/>
    <s v="Bachelor"/>
    <s v="High"/>
    <s v="Medium"/>
    <s v="Better"/>
  </r>
  <r>
    <n v="32"/>
    <s v="No"/>
    <s v="Travel_Rarely"/>
    <s v="Sales"/>
    <n v="1"/>
    <n v="4"/>
    <s v="Marketing"/>
    <n v="2016"/>
    <n v="3"/>
    <s v="Female"/>
    <n v="3"/>
    <n v="3"/>
    <s v="Sales Executive"/>
    <n v="4"/>
    <s v="Married"/>
    <n v="10422"/>
    <n v="1"/>
    <x v="1"/>
    <n v="19"/>
    <n v="3"/>
    <n v="3"/>
    <n v="2"/>
    <n v="14"/>
    <n v="3"/>
    <n v="3"/>
    <n v="14"/>
    <n v="10"/>
    <n v="5"/>
    <n v="7"/>
    <n v="0"/>
    <x v="2"/>
    <n v="2"/>
    <x v="3"/>
    <n v="4"/>
    <x v="3"/>
    <n v="4"/>
    <s v="Master"/>
    <s v="Very High"/>
    <s v="High"/>
    <s v="Better"/>
  </r>
  <r>
    <n v="37"/>
    <s v="No"/>
    <s v="Travel_Rarely"/>
    <s v="Research &amp; Development"/>
    <n v="10"/>
    <n v="3"/>
    <s v="Life Sciences"/>
    <n v="2017"/>
    <n v="3"/>
    <s v="Female"/>
    <n v="4"/>
    <n v="3"/>
    <s v="Research Director"/>
    <n v="4"/>
    <s v="Married"/>
    <n v="13744"/>
    <n v="1"/>
    <x v="0"/>
    <n v="25"/>
    <n v="4"/>
    <n v="1"/>
    <n v="1"/>
    <n v="16"/>
    <n v="2"/>
    <n v="3"/>
    <n v="16"/>
    <n v="11"/>
    <n v="6"/>
    <n v="8"/>
    <n v="0"/>
    <x v="0"/>
    <n v="3"/>
    <x v="3"/>
    <n v="4"/>
    <x v="3"/>
    <n v="4"/>
    <s v="Bachelor"/>
    <s v="Very High"/>
    <s v="High"/>
    <s v="Better"/>
  </r>
  <r>
    <n v="25"/>
    <s v="No"/>
    <s v="Travel_Rarely"/>
    <s v="Sales"/>
    <n v="8"/>
    <n v="2"/>
    <s v="Other"/>
    <n v="2018"/>
    <n v="1"/>
    <s v="Female"/>
    <n v="3"/>
    <n v="2"/>
    <s v="Sales Executive"/>
    <n v="3"/>
    <s v="Divorced"/>
    <n v="4907"/>
    <n v="0"/>
    <x v="0"/>
    <n v="22"/>
    <n v="4"/>
    <n v="2"/>
    <n v="1"/>
    <n v="6"/>
    <n v="3"/>
    <n v="2"/>
    <n v="5"/>
    <n v="3"/>
    <n v="0"/>
    <n v="4"/>
    <n v="0"/>
    <x v="4"/>
    <n v="1"/>
    <x v="0"/>
    <n v="2"/>
    <x v="2"/>
    <n v="2"/>
    <s v="College"/>
    <s v="High"/>
    <s v="Low"/>
    <s v="Good"/>
  </r>
  <r>
    <n v="52"/>
    <s v="No"/>
    <s v="Non-Travel"/>
    <s v="Sales"/>
    <n v="29"/>
    <n v="4"/>
    <s v="Life Sciences"/>
    <n v="2019"/>
    <n v="1"/>
    <s v="Male"/>
    <n v="3"/>
    <n v="1"/>
    <s v="Sales Representative"/>
    <n v="4"/>
    <s v="Divorced"/>
    <n v="3482"/>
    <n v="2"/>
    <x v="1"/>
    <n v="15"/>
    <n v="3"/>
    <n v="2"/>
    <n v="2"/>
    <n v="16"/>
    <n v="3"/>
    <n v="2"/>
    <n v="9"/>
    <n v="8"/>
    <n v="0"/>
    <n v="0"/>
    <n v="0"/>
    <x v="1"/>
    <n v="4"/>
    <x v="0"/>
    <n v="2"/>
    <x v="0"/>
    <n v="3"/>
    <s v="Master"/>
    <s v="Very High"/>
    <s v="Low"/>
    <s v="Good"/>
  </r>
  <r>
    <n v="44"/>
    <s v="No"/>
    <s v="Travel_Rarely"/>
    <s v="Research &amp; Development"/>
    <n v="1"/>
    <n v="3"/>
    <s v="Medical"/>
    <n v="2020"/>
    <n v="2"/>
    <s v="Male"/>
    <n v="3"/>
    <n v="1"/>
    <s v="Research Scientist"/>
    <n v="4"/>
    <s v="Single"/>
    <n v="2436"/>
    <n v="6"/>
    <x v="0"/>
    <n v="12"/>
    <n v="3"/>
    <n v="3"/>
    <n v="0"/>
    <n v="6"/>
    <n v="2"/>
    <n v="3"/>
    <n v="4"/>
    <n v="3"/>
    <n v="1"/>
    <n v="2"/>
    <n v="0"/>
    <x v="0"/>
    <n v="3"/>
    <x v="1"/>
    <n v="1"/>
    <x v="2"/>
    <n v="2"/>
    <s v="Bachelor"/>
    <s v="Very High"/>
    <s v="Medium"/>
    <s v="Better"/>
  </r>
  <r>
    <n v="21"/>
    <s v="No"/>
    <s v="Travel_Rarely"/>
    <s v="Sales"/>
    <n v="5"/>
    <n v="1"/>
    <s v="Medical"/>
    <n v="2021"/>
    <n v="3"/>
    <s v="Male"/>
    <n v="3"/>
    <n v="1"/>
    <s v="Sales Representative"/>
    <n v="1"/>
    <s v="Single"/>
    <n v="2380"/>
    <n v="1"/>
    <x v="0"/>
    <n v="11"/>
    <n v="3"/>
    <n v="4"/>
    <n v="0"/>
    <n v="2"/>
    <n v="6"/>
    <n v="3"/>
    <n v="2"/>
    <n v="2"/>
    <n v="1"/>
    <n v="2"/>
    <n v="0"/>
    <x v="4"/>
    <n v="1"/>
    <x v="1"/>
    <n v="1"/>
    <x v="1"/>
    <n v="1"/>
    <s v="Below College"/>
    <s v="Low"/>
    <s v="High"/>
    <s v="Better"/>
  </r>
  <r>
    <n v="39"/>
    <s v="No"/>
    <s v="Non-Travel"/>
    <s v="Research &amp; Development"/>
    <n v="9"/>
    <n v="3"/>
    <s v="Life Sciences"/>
    <n v="2022"/>
    <n v="4"/>
    <s v="Male"/>
    <n v="3"/>
    <n v="5"/>
    <s v="Manager"/>
    <n v="4"/>
    <s v="Single"/>
    <n v="19431"/>
    <n v="2"/>
    <x v="1"/>
    <n v="13"/>
    <n v="3"/>
    <n v="3"/>
    <n v="0"/>
    <n v="21"/>
    <n v="3"/>
    <n v="2"/>
    <n v="6"/>
    <n v="0"/>
    <n v="1"/>
    <n v="3"/>
    <n v="0"/>
    <x v="0"/>
    <n v="3"/>
    <x v="3"/>
    <n v="4"/>
    <x v="0"/>
    <n v="3"/>
    <s v="Bachelor"/>
    <s v="Very High"/>
    <s v="Very High"/>
    <s v="Good"/>
  </r>
  <r>
    <n v="23"/>
    <s v="Yes"/>
    <s v="Travel_Frequently"/>
    <s v="Sales"/>
    <n v="9"/>
    <n v="3"/>
    <s v="Marketing"/>
    <n v="2023"/>
    <n v="4"/>
    <s v="Male"/>
    <n v="3"/>
    <n v="1"/>
    <s v="Sales Representative"/>
    <n v="1"/>
    <s v="Married"/>
    <n v="1790"/>
    <n v="1"/>
    <x v="1"/>
    <n v="19"/>
    <n v="3"/>
    <n v="1"/>
    <n v="1"/>
    <n v="1"/>
    <n v="3"/>
    <n v="2"/>
    <n v="1"/>
    <n v="0"/>
    <n v="1"/>
    <n v="0"/>
    <n v="1"/>
    <x v="4"/>
    <n v="1"/>
    <x v="1"/>
    <n v="1"/>
    <x v="1"/>
    <n v="1"/>
    <s v="Bachelor"/>
    <s v="Low"/>
    <s v="Very High"/>
    <s v="Good"/>
  </r>
  <r>
    <n v="36"/>
    <s v="No"/>
    <s v="Travel_Rarely"/>
    <s v="Sales"/>
    <n v="3"/>
    <n v="3"/>
    <s v="Medical"/>
    <n v="2024"/>
    <n v="1"/>
    <s v="Female"/>
    <n v="2"/>
    <n v="3"/>
    <s v="Sales Executive"/>
    <n v="4"/>
    <s v="Married"/>
    <n v="7644"/>
    <n v="0"/>
    <x v="1"/>
    <n v="19"/>
    <n v="3"/>
    <n v="3"/>
    <n v="2"/>
    <n v="10"/>
    <n v="2"/>
    <n v="3"/>
    <n v="9"/>
    <n v="7"/>
    <n v="3"/>
    <n v="4"/>
    <n v="0"/>
    <x v="0"/>
    <n v="3"/>
    <x v="2"/>
    <n v="3"/>
    <x v="0"/>
    <n v="3"/>
    <s v="Bachelor"/>
    <s v="Very High"/>
    <s v="Low"/>
    <s v="Better"/>
  </r>
  <r>
    <n v="36"/>
    <s v="No"/>
    <s v="Travel_Frequently"/>
    <s v="Research &amp; Development"/>
    <n v="4"/>
    <n v="2"/>
    <s v="Life Sciences"/>
    <n v="2025"/>
    <n v="4"/>
    <s v="Female"/>
    <n v="3"/>
    <n v="2"/>
    <s v="Manufacturing Director"/>
    <n v="2"/>
    <s v="Divorced"/>
    <n v="5131"/>
    <n v="7"/>
    <x v="1"/>
    <n v="13"/>
    <n v="3"/>
    <n v="2"/>
    <n v="3"/>
    <n v="18"/>
    <n v="3"/>
    <n v="3"/>
    <n v="4"/>
    <n v="2"/>
    <n v="0"/>
    <n v="2"/>
    <n v="0"/>
    <x v="0"/>
    <n v="3"/>
    <x v="0"/>
    <n v="2"/>
    <x v="2"/>
    <n v="2"/>
    <s v="College"/>
    <s v="Medium"/>
    <s v="Very High"/>
    <s v="Better"/>
  </r>
  <r>
    <n v="56"/>
    <s v="No"/>
    <s v="Non-Travel"/>
    <s v="Research &amp; Development"/>
    <n v="1"/>
    <n v="4"/>
    <s v="Life Sciences"/>
    <n v="2026"/>
    <n v="3"/>
    <s v="Male"/>
    <n v="3"/>
    <n v="2"/>
    <s v="Healthcare Representative"/>
    <n v="3"/>
    <s v="Divorced"/>
    <n v="6306"/>
    <n v="1"/>
    <x v="1"/>
    <n v="21"/>
    <n v="4"/>
    <n v="1"/>
    <n v="1"/>
    <n v="13"/>
    <n v="2"/>
    <n v="2"/>
    <n v="13"/>
    <n v="12"/>
    <n v="1"/>
    <n v="9"/>
    <n v="0"/>
    <x v="3"/>
    <n v="5"/>
    <x v="2"/>
    <n v="3"/>
    <x v="3"/>
    <n v="4"/>
    <s v="Master"/>
    <s v="High"/>
    <s v="High"/>
    <s v="Good"/>
  </r>
  <r>
    <n v="29"/>
    <s v="Yes"/>
    <s v="Travel_Rarely"/>
    <s v="Research &amp; Development"/>
    <n v="1"/>
    <n v="4"/>
    <s v="Medical"/>
    <n v="2027"/>
    <n v="1"/>
    <s v="Male"/>
    <n v="3"/>
    <n v="1"/>
    <s v="Research Scientist"/>
    <n v="4"/>
    <s v="Married"/>
    <n v="4787"/>
    <n v="9"/>
    <x v="0"/>
    <n v="14"/>
    <n v="3"/>
    <n v="2"/>
    <n v="3"/>
    <n v="4"/>
    <n v="3"/>
    <n v="4"/>
    <n v="2"/>
    <n v="2"/>
    <n v="2"/>
    <n v="2"/>
    <n v="1"/>
    <x v="2"/>
    <n v="2"/>
    <x v="0"/>
    <n v="2"/>
    <x v="1"/>
    <n v="1"/>
    <s v="Master"/>
    <s v="Very High"/>
    <s v="Low"/>
    <s v="Best"/>
  </r>
  <r>
    <n v="42"/>
    <s v="No"/>
    <s v="Travel_Rarely"/>
    <s v="Research &amp; Development"/>
    <n v="2"/>
    <n v="3"/>
    <s v="Life Sciences"/>
    <n v="2031"/>
    <n v="1"/>
    <s v="Male"/>
    <n v="3"/>
    <n v="5"/>
    <s v="Manager"/>
    <n v="3"/>
    <s v="Married"/>
    <n v="18880"/>
    <n v="5"/>
    <x v="1"/>
    <n v="11"/>
    <n v="3"/>
    <n v="1"/>
    <n v="0"/>
    <n v="24"/>
    <n v="2"/>
    <n v="2"/>
    <n v="22"/>
    <n v="6"/>
    <n v="4"/>
    <n v="14"/>
    <n v="0"/>
    <x v="0"/>
    <n v="3"/>
    <x v="3"/>
    <n v="4"/>
    <x v="3"/>
    <n v="4"/>
    <s v="Bachelor"/>
    <s v="High"/>
    <s v="Low"/>
    <s v="Good"/>
  </r>
  <r>
    <n v="56"/>
    <s v="Yes"/>
    <s v="Travel_Rarely"/>
    <s v="Research &amp; Development"/>
    <n v="7"/>
    <n v="2"/>
    <s v="Technical Degree"/>
    <n v="2032"/>
    <n v="4"/>
    <s v="Male"/>
    <n v="3"/>
    <n v="1"/>
    <s v="Laboratory Technician"/>
    <n v="3"/>
    <s v="Married"/>
    <n v="2339"/>
    <n v="8"/>
    <x v="1"/>
    <n v="11"/>
    <n v="3"/>
    <n v="4"/>
    <n v="1"/>
    <n v="14"/>
    <n v="4"/>
    <n v="1"/>
    <n v="10"/>
    <n v="9"/>
    <n v="9"/>
    <n v="8"/>
    <n v="1"/>
    <x v="3"/>
    <n v="5"/>
    <x v="1"/>
    <n v="1"/>
    <x v="0"/>
    <n v="3"/>
    <s v="College"/>
    <s v="High"/>
    <s v="Very High"/>
    <s v="Bad"/>
  </r>
  <r>
    <n v="41"/>
    <s v="No"/>
    <s v="Travel_Rarely"/>
    <s v="Research &amp; Development"/>
    <n v="28"/>
    <n v="4"/>
    <s v="Life Sciences"/>
    <n v="2034"/>
    <n v="1"/>
    <s v="Female"/>
    <n v="2"/>
    <n v="4"/>
    <s v="Manufacturing Director"/>
    <n v="2"/>
    <s v="Married"/>
    <n v="13570"/>
    <n v="0"/>
    <x v="1"/>
    <n v="23"/>
    <n v="4"/>
    <n v="3"/>
    <n v="1"/>
    <n v="21"/>
    <n v="3"/>
    <n v="3"/>
    <n v="20"/>
    <n v="7"/>
    <n v="0"/>
    <n v="10"/>
    <n v="0"/>
    <x v="0"/>
    <n v="3"/>
    <x v="3"/>
    <n v="4"/>
    <x v="3"/>
    <n v="4"/>
    <s v="Master"/>
    <s v="Medium"/>
    <s v="Low"/>
    <s v="Better"/>
  </r>
  <r>
    <n v="34"/>
    <s v="No"/>
    <s v="Travel_Rarely"/>
    <s v="Sales"/>
    <n v="28"/>
    <n v="3"/>
    <s v="Marketing"/>
    <n v="2035"/>
    <n v="4"/>
    <s v="Female"/>
    <n v="2"/>
    <n v="2"/>
    <s v="Sales Executive"/>
    <n v="3"/>
    <s v="Married"/>
    <n v="6712"/>
    <n v="1"/>
    <x v="1"/>
    <n v="21"/>
    <n v="4"/>
    <n v="4"/>
    <n v="2"/>
    <n v="8"/>
    <n v="2"/>
    <n v="3"/>
    <n v="8"/>
    <n v="7"/>
    <n v="1"/>
    <n v="7"/>
    <n v="0"/>
    <x v="2"/>
    <n v="2"/>
    <x v="2"/>
    <n v="3"/>
    <x v="0"/>
    <n v="3"/>
    <s v="Bachelor"/>
    <s v="High"/>
    <s v="Very High"/>
    <s v="Better"/>
  </r>
  <r>
    <n v="36"/>
    <s v="No"/>
    <s v="Non-Travel"/>
    <s v="Sales"/>
    <n v="15"/>
    <n v="4"/>
    <s v="Marketing"/>
    <n v="2036"/>
    <n v="4"/>
    <s v="Male"/>
    <n v="1"/>
    <n v="2"/>
    <s v="Sales Executive"/>
    <n v="4"/>
    <s v="Divorced"/>
    <n v="5406"/>
    <n v="1"/>
    <x v="1"/>
    <n v="24"/>
    <n v="4"/>
    <n v="1"/>
    <n v="1"/>
    <n v="15"/>
    <n v="4"/>
    <n v="2"/>
    <n v="15"/>
    <n v="12"/>
    <n v="11"/>
    <n v="11"/>
    <n v="0"/>
    <x v="0"/>
    <n v="3"/>
    <x v="0"/>
    <n v="2"/>
    <x v="3"/>
    <n v="4"/>
    <s v="Master"/>
    <s v="Very High"/>
    <s v="Very High"/>
    <s v="Good"/>
  </r>
  <r>
    <n v="41"/>
    <s v="No"/>
    <s v="Travel_Rarely"/>
    <s v="Sales"/>
    <n v="3"/>
    <n v="3"/>
    <s v="Life Sciences"/>
    <n v="2037"/>
    <n v="3"/>
    <s v="Male"/>
    <n v="2"/>
    <n v="2"/>
    <s v="Sales Executive"/>
    <n v="2"/>
    <s v="Divorced"/>
    <n v="8938"/>
    <n v="2"/>
    <x v="1"/>
    <n v="11"/>
    <n v="3"/>
    <n v="3"/>
    <n v="1"/>
    <n v="14"/>
    <n v="5"/>
    <n v="3"/>
    <n v="5"/>
    <n v="4"/>
    <n v="0"/>
    <n v="4"/>
    <n v="0"/>
    <x v="0"/>
    <n v="3"/>
    <x v="2"/>
    <n v="3"/>
    <x v="2"/>
    <n v="2"/>
    <s v="Bachelor"/>
    <s v="Medium"/>
    <s v="High"/>
    <s v="Better"/>
  </r>
  <r>
    <n v="32"/>
    <s v="No"/>
    <s v="Travel_Rarely"/>
    <s v="Research &amp; Development"/>
    <n v="2"/>
    <n v="3"/>
    <s v="Technical Degree"/>
    <n v="2038"/>
    <n v="4"/>
    <s v="Male"/>
    <n v="3"/>
    <n v="1"/>
    <s v="Research Scientist"/>
    <n v="1"/>
    <s v="Single"/>
    <n v="2439"/>
    <n v="1"/>
    <x v="1"/>
    <n v="14"/>
    <n v="3"/>
    <n v="4"/>
    <n v="0"/>
    <n v="4"/>
    <n v="4"/>
    <n v="3"/>
    <n v="4"/>
    <n v="2"/>
    <n v="1"/>
    <n v="2"/>
    <n v="0"/>
    <x v="2"/>
    <n v="2"/>
    <x v="1"/>
    <n v="1"/>
    <x v="2"/>
    <n v="2"/>
    <s v="Bachelor"/>
    <s v="Low"/>
    <s v="Very High"/>
    <s v="Better"/>
  </r>
  <r>
    <n v="35"/>
    <s v="No"/>
    <s v="Travel_Rarely"/>
    <s v="Human Resources"/>
    <n v="26"/>
    <n v="4"/>
    <s v="Life Sciences"/>
    <n v="2040"/>
    <n v="3"/>
    <s v="Female"/>
    <n v="3"/>
    <n v="3"/>
    <s v="Human Resources"/>
    <n v="4"/>
    <s v="Single"/>
    <n v="8837"/>
    <n v="1"/>
    <x v="0"/>
    <n v="16"/>
    <n v="3"/>
    <n v="3"/>
    <n v="0"/>
    <n v="9"/>
    <n v="2"/>
    <n v="3"/>
    <n v="9"/>
    <n v="0"/>
    <n v="1"/>
    <n v="7"/>
    <n v="0"/>
    <x v="2"/>
    <n v="2"/>
    <x v="2"/>
    <n v="3"/>
    <x v="0"/>
    <n v="3"/>
    <s v="Master"/>
    <s v="Very High"/>
    <s v="High"/>
    <s v="Better"/>
  </r>
  <r>
    <n v="38"/>
    <s v="No"/>
    <s v="Travel_Rarely"/>
    <s v="Sales"/>
    <n v="10"/>
    <n v="2"/>
    <s v="Life Sciences"/>
    <n v="2041"/>
    <n v="1"/>
    <s v="Female"/>
    <n v="3"/>
    <n v="2"/>
    <s v="Sales Executive"/>
    <n v="4"/>
    <s v="Married"/>
    <n v="5343"/>
    <n v="1"/>
    <x v="1"/>
    <n v="11"/>
    <n v="3"/>
    <n v="3"/>
    <n v="1"/>
    <n v="10"/>
    <n v="1"/>
    <n v="3"/>
    <n v="10"/>
    <n v="7"/>
    <n v="1"/>
    <n v="9"/>
    <n v="0"/>
    <x v="0"/>
    <n v="3"/>
    <x v="0"/>
    <n v="2"/>
    <x v="0"/>
    <n v="3"/>
    <s v="College"/>
    <s v="Very High"/>
    <s v="Low"/>
    <s v="Better"/>
  </r>
  <r>
    <n v="50"/>
    <s v="Yes"/>
    <s v="Travel_Frequently"/>
    <s v="Sales"/>
    <n v="1"/>
    <n v="4"/>
    <s v="Life Sciences"/>
    <n v="2044"/>
    <n v="2"/>
    <s v="Male"/>
    <n v="3"/>
    <n v="2"/>
    <s v="Sales Executive"/>
    <n v="3"/>
    <s v="Divorced"/>
    <n v="6728"/>
    <n v="7"/>
    <x v="1"/>
    <n v="12"/>
    <n v="3"/>
    <n v="4"/>
    <n v="2"/>
    <n v="12"/>
    <n v="3"/>
    <n v="3"/>
    <n v="6"/>
    <n v="3"/>
    <n v="0"/>
    <n v="1"/>
    <n v="1"/>
    <x v="1"/>
    <n v="4"/>
    <x v="2"/>
    <n v="3"/>
    <x v="0"/>
    <n v="3"/>
    <s v="Master"/>
    <s v="High"/>
    <s v="Medium"/>
    <s v="Better"/>
  </r>
  <r>
    <n v="36"/>
    <s v="No"/>
    <s v="Travel_Rarely"/>
    <s v="Sales"/>
    <n v="11"/>
    <n v="4"/>
    <s v="Marketing"/>
    <n v="2045"/>
    <n v="2"/>
    <s v="Female"/>
    <n v="2"/>
    <n v="2"/>
    <s v="Sales Executive"/>
    <n v="4"/>
    <s v="Married"/>
    <n v="6652"/>
    <n v="4"/>
    <x v="1"/>
    <n v="13"/>
    <n v="3"/>
    <n v="1"/>
    <n v="1"/>
    <n v="8"/>
    <n v="2"/>
    <n v="2"/>
    <n v="6"/>
    <n v="3"/>
    <n v="0"/>
    <n v="0"/>
    <n v="0"/>
    <x v="0"/>
    <n v="3"/>
    <x v="2"/>
    <n v="3"/>
    <x v="0"/>
    <n v="3"/>
    <s v="Master"/>
    <s v="Very High"/>
    <s v="Medium"/>
    <s v="Good"/>
  </r>
  <r>
    <n v="45"/>
    <s v="No"/>
    <s v="Travel_Rarely"/>
    <s v="Sales"/>
    <n v="20"/>
    <n v="3"/>
    <s v="Life Sciences"/>
    <n v="2046"/>
    <n v="4"/>
    <s v="Female"/>
    <n v="3"/>
    <n v="2"/>
    <s v="Sales Executive"/>
    <n v="3"/>
    <s v="Single"/>
    <n v="4850"/>
    <n v="8"/>
    <x v="1"/>
    <n v="15"/>
    <n v="3"/>
    <n v="3"/>
    <n v="0"/>
    <n v="8"/>
    <n v="3"/>
    <n v="3"/>
    <n v="5"/>
    <n v="3"/>
    <n v="0"/>
    <n v="1"/>
    <n v="0"/>
    <x v="0"/>
    <n v="3"/>
    <x v="0"/>
    <n v="2"/>
    <x v="2"/>
    <n v="2"/>
    <s v="Bachelor"/>
    <s v="High"/>
    <s v="Very High"/>
    <s v="Better"/>
  </r>
  <r>
    <n v="40"/>
    <s v="No"/>
    <s v="Travel_Rarely"/>
    <s v="Research &amp; Development"/>
    <n v="2"/>
    <n v="4"/>
    <s v="Life Sciences"/>
    <n v="2048"/>
    <n v="3"/>
    <s v="Male"/>
    <n v="2"/>
    <n v="1"/>
    <s v="Research Scientist"/>
    <n v="3"/>
    <s v="Single"/>
    <n v="2809"/>
    <n v="2"/>
    <x v="1"/>
    <n v="14"/>
    <n v="3"/>
    <n v="4"/>
    <n v="0"/>
    <n v="8"/>
    <n v="2"/>
    <n v="3"/>
    <n v="2"/>
    <n v="2"/>
    <n v="2"/>
    <n v="2"/>
    <n v="0"/>
    <x v="0"/>
    <n v="3"/>
    <x v="1"/>
    <n v="1"/>
    <x v="1"/>
    <n v="1"/>
    <s v="Master"/>
    <s v="High"/>
    <s v="High"/>
    <s v="Better"/>
  </r>
  <r>
    <n v="35"/>
    <s v="No"/>
    <s v="Travel_Frequently"/>
    <s v="Research &amp; Development"/>
    <n v="18"/>
    <n v="4"/>
    <s v="Life Sciences"/>
    <n v="2049"/>
    <n v="3"/>
    <s v="Male"/>
    <n v="3"/>
    <n v="2"/>
    <s v="Healthcare Representative"/>
    <n v="3"/>
    <s v="Married"/>
    <n v="5689"/>
    <n v="1"/>
    <x v="0"/>
    <n v="14"/>
    <n v="3"/>
    <n v="4"/>
    <n v="2"/>
    <n v="10"/>
    <n v="2"/>
    <n v="4"/>
    <n v="10"/>
    <n v="2"/>
    <n v="0"/>
    <n v="2"/>
    <n v="0"/>
    <x v="2"/>
    <n v="2"/>
    <x v="0"/>
    <n v="2"/>
    <x v="0"/>
    <n v="3"/>
    <s v="Master"/>
    <s v="High"/>
    <s v="High"/>
    <s v="Best"/>
  </r>
  <r>
    <n v="40"/>
    <s v="No"/>
    <s v="Travel_Rarely"/>
    <s v="Research &amp; Development"/>
    <n v="2"/>
    <n v="4"/>
    <s v="Medical"/>
    <n v="2051"/>
    <n v="3"/>
    <s v="Female"/>
    <n v="3"/>
    <n v="1"/>
    <s v="Research Scientist"/>
    <n v="3"/>
    <s v="Married"/>
    <n v="2001"/>
    <n v="2"/>
    <x v="1"/>
    <n v="14"/>
    <n v="3"/>
    <n v="2"/>
    <n v="3"/>
    <n v="20"/>
    <n v="2"/>
    <n v="3"/>
    <n v="5"/>
    <n v="3"/>
    <n v="0"/>
    <n v="2"/>
    <n v="0"/>
    <x v="0"/>
    <n v="3"/>
    <x v="1"/>
    <n v="1"/>
    <x v="2"/>
    <n v="2"/>
    <s v="Master"/>
    <s v="High"/>
    <s v="High"/>
    <s v="Better"/>
  </r>
  <r>
    <n v="35"/>
    <s v="No"/>
    <s v="Travel_Rarely"/>
    <s v="Research &amp; Development"/>
    <n v="1"/>
    <n v="4"/>
    <s v="Life Sciences"/>
    <n v="2052"/>
    <n v="3"/>
    <s v="Female"/>
    <n v="1"/>
    <n v="1"/>
    <s v="Research Scientist"/>
    <n v="4"/>
    <s v="Married"/>
    <n v="2977"/>
    <n v="1"/>
    <x v="1"/>
    <n v="12"/>
    <n v="3"/>
    <n v="4"/>
    <n v="1"/>
    <n v="4"/>
    <n v="5"/>
    <n v="3"/>
    <n v="4"/>
    <n v="3"/>
    <n v="1"/>
    <n v="1"/>
    <n v="0"/>
    <x v="2"/>
    <n v="2"/>
    <x v="1"/>
    <n v="1"/>
    <x v="2"/>
    <n v="2"/>
    <s v="Master"/>
    <s v="Very High"/>
    <s v="High"/>
    <s v="Better"/>
  </r>
  <r>
    <n v="29"/>
    <s v="No"/>
    <s v="Travel_Rarely"/>
    <s v="Research &amp; Development"/>
    <n v="13"/>
    <n v="2"/>
    <s v="Other"/>
    <n v="2053"/>
    <n v="4"/>
    <s v="Male"/>
    <n v="2"/>
    <n v="2"/>
    <s v="Laboratory Technician"/>
    <n v="2"/>
    <s v="Married"/>
    <n v="4025"/>
    <n v="4"/>
    <x v="0"/>
    <n v="13"/>
    <n v="3"/>
    <n v="1"/>
    <n v="1"/>
    <n v="10"/>
    <n v="2"/>
    <n v="3"/>
    <n v="4"/>
    <n v="3"/>
    <n v="0"/>
    <n v="3"/>
    <n v="0"/>
    <x v="2"/>
    <n v="2"/>
    <x v="0"/>
    <n v="2"/>
    <x v="2"/>
    <n v="2"/>
    <s v="College"/>
    <s v="Medium"/>
    <s v="Very High"/>
    <s v="Better"/>
  </r>
  <r>
    <n v="29"/>
    <s v="No"/>
    <s v="Travel_Rarely"/>
    <s v="Research &amp; Development"/>
    <n v="28"/>
    <n v="4"/>
    <s v="Medical"/>
    <n v="2054"/>
    <n v="4"/>
    <s v="Female"/>
    <n v="2"/>
    <n v="1"/>
    <s v="Research Scientist"/>
    <n v="1"/>
    <s v="Single"/>
    <n v="3785"/>
    <n v="1"/>
    <x v="1"/>
    <n v="14"/>
    <n v="3"/>
    <n v="2"/>
    <n v="0"/>
    <n v="5"/>
    <n v="3"/>
    <n v="1"/>
    <n v="5"/>
    <n v="4"/>
    <n v="0"/>
    <n v="4"/>
    <n v="0"/>
    <x v="2"/>
    <n v="2"/>
    <x v="0"/>
    <n v="2"/>
    <x v="2"/>
    <n v="2"/>
    <s v="Master"/>
    <s v="Low"/>
    <s v="Very High"/>
    <s v="Bad"/>
  </r>
  <r>
    <n v="50"/>
    <s v="Yes"/>
    <s v="Travel_Rarely"/>
    <s v="Sales"/>
    <n v="28"/>
    <n v="3"/>
    <s v="Marketing"/>
    <n v="2055"/>
    <n v="4"/>
    <s v="Male"/>
    <n v="2"/>
    <n v="3"/>
    <s v="Sales Executive"/>
    <n v="1"/>
    <s v="Divorced"/>
    <n v="10854"/>
    <n v="4"/>
    <x v="0"/>
    <n v="13"/>
    <n v="3"/>
    <n v="2"/>
    <n v="1"/>
    <n v="20"/>
    <n v="3"/>
    <n v="3"/>
    <n v="3"/>
    <n v="2"/>
    <n v="2"/>
    <n v="0"/>
    <n v="1"/>
    <x v="1"/>
    <n v="4"/>
    <x v="3"/>
    <n v="4"/>
    <x v="2"/>
    <n v="2"/>
    <s v="Bachelor"/>
    <s v="Low"/>
    <s v="Very High"/>
    <s v="Better"/>
  </r>
  <r>
    <n v="39"/>
    <s v="No"/>
    <s v="Travel_Rarely"/>
    <s v="Sales"/>
    <n v="24"/>
    <n v="1"/>
    <s v="Marketing"/>
    <n v="2056"/>
    <n v="2"/>
    <s v="Female"/>
    <n v="2"/>
    <n v="4"/>
    <s v="Sales Executive"/>
    <n v="4"/>
    <s v="Married"/>
    <n v="12031"/>
    <n v="0"/>
    <x v="1"/>
    <n v="11"/>
    <n v="3"/>
    <n v="1"/>
    <n v="1"/>
    <n v="21"/>
    <n v="2"/>
    <n v="2"/>
    <n v="20"/>
    <n v="9"/>
    <n v="9"/>
    <n v="6"/>
    <n v="0"/>
    <x v="0"/>
    <n v="3"/>
    <x v="3"/>
    <n v="4"/>
    <x v="3"/>
    <n v="4"/>
    <s v="Below College"/>
    <s v="Very High"/>
    <s v="Medium"/>
    <s v="Good"/>
  </r>
  <r>
    <n v="31"/>
    <s v="No"/>
    <s v="Non-Travel"/>
    <s v="Research &amp; Development"/>
    <n v="5"/>
    <n v="3"/>
    <s v="Medical"/>
    <n v="2057"/>
    <n v="2"/>
    <s v="Male"/>
    <n v="3"/>
    <n v="2"/>
    <s v="Manufacturing Director"/>
    <n v="1"/>
    <s v="Single"/>
    <n v="9936"/>
    <n v="0"/>
    <x v="1"/>
    <n v="19"/>
    <n v="3"/>
    <n v="2"/>
    <n v="0"/>
    <n v="10"/>
    <n v="2"/>
    <n v="3"/>
    <n v="9"/>
    <n v="4"/>
    <n v="1"/>
    <n v="7"/>
    <n v="0"/>
    <x v="2"/>
    <n v="2"/>
    <x v="2"/>
    <n v="3"/>
    <x v="0"/>
    <n v="3"/>
    <s v="Bachelor"/>
    <s v="Low"/>
    <s v="Medium"/>
    <s v="Better"/>
  </r>
  <r>
    <n v="26"/>
    <s v="No"/>
    <s v="Travel_Rarely"/>
    <s v="Sales"/>
    <n v="5"/>
    <n v="3"/>
    <s v="Other"/>
    <n v="2060"/>
    <n v="4"/>
    <s v="Female"/>
    <n v="2"/>
    <n v="1"/>
    <s v="Sales Representative"/>
    <n v="3"/>
    <s v="Single"/>
    <n v="2966"/>
    <n v="0"/>
    <x v="1"/>
    <n v="18"/>
    <n v="3"/>
    <n v="4"/>
    <n v="0"/>
    <n v="5"/>
    <n v="2"/>
    <n v="3"/>
    <n v="4"/>
    <n v="2"/>
    <n v="0"/>
    <n v="0"/>
    <n v="0"/>
    <x v="2"/>
    <n v="2"/>
    <x v="1"/>
    <n v="1"/>
    <x v="2"/>
    <n v="2"/>
    <s v="Bachelor"/>
    <s v="High"/>
    <s v="Very High"/>
    <s v="Better"/>
  </r>
  <r>
    <n v="36"/>
    <s v="No"/>
    <s v="Travel_Frequently"/>
    <s v="Research &amp; Development"/>
    <n v="23"/>
    <n v="2"/>
    <s v="Medical"/>
    <n v="2061"/>
    <n v="3"/>
    <s v="Male"/>
    <n v="4"/>
    <n v="2"/>
    <s v="Laboratory Technician"/>
    <n v="4"/>
    <s v="Married"/>
    <n v="2571"/>
    <n v="4"/>
    <x v="1"/>
    <n v="17"/>
    <n v="3"/>
    <n v="3"/>
    <n v="1"/>
    <n v="17"/>
    <n v="3"/>
    <n v="3"/>
    <n v="5"/>
    <n v="2"/>
    <n v="0"/>
    <n v="3"/>
    <n v="0"/>
    <x v="0"/>
    <n v="3"/>
    <x v="1"/>
    <n v="1"/>
    <x v="2"/>
    <n v="2"/>
    <s v="College"/>
    <s v="Very High"/>
    <s v="High"/>
    <s v="Better"/>
  </r>
  <r>
    <n v="39"/>
    <s v="No"/>
    <s v="Travel_Rarely"/>
    <s v="Research &amp; Development"/>
    <n v="6"/>
    <n v="1"/>
    <s v="Medical"/>
    <n v="2062"/>
    <n v="4"/>
    <s v="Male"/>
    <n v="2"/>
    <n v="3"/>
    <s v="Healthcare Representative"/>
    <n v="1"/>
    <s v="Married"/>
    <n v="9991"/>
    <n v="4"/>
    <x v="1"/>
    <n v="15"/>
    <n v="3"/>
    <n v="1"/>
    <n v="1"/>
    <n v="9"/>
    <n v="5"/>
    <n v="3"/>
    <n v="7"/>
    <n v="7"/>
    <n v="1"/>
    <n v="7"/>
    <n v="0"/>
    <x v="0"/>
    <n v="3"/>
    <x v="2"/>
    <n v="3"/>
    <x v="0"/>
    <n v="3"/>
    <s v="Below College"/>
    <s v="Low"/>
    <s v="Very High"/>
    <s v="Better"/>
  </r>
  <r>
    <n v="27"/>
    <s v="No"/>
    <s v="Travel_Rarely"/>
    <s v="Research &amp; Development"/>
    <n v="4"/>
    <n v="3"/>
    <s v="Life Sciences"/>
    <n v="2064"/>
    <n v="2"/>
    <s v="Male"/>
    <n v="4"/>
    <n v="2"/>
    <s v="Manufacturing Director"/>
    <n v="2"/>
    <s v="Married"/>
    <n v="6142"/>
    <n v="1"/>
    <x v="0"/>
    <n v="20"/>
    <n v="4"/>
    <n v="2"/>
    <n v="1"/>
    <n v="6"/>
    <n v="0"/>
    <n v="3"/>
    <n v="6"/>
    <n v="2"/>
    <n v="0"/>
    <n v="3"/>
    <n v="0"/>
    <x v="2"/>
    <n v="2"/>
    <x v="2"/>
    <n v="3"/>
    <x v="0"/>
    <n v="3"/>
    <s v="Bachelor"/>
    <s v="Medium"/>
    <s v="Medium"/>
    <s v="Better"/>
  </r>
  <r>
    <n v="49"/>
    <s v="No"/>
    <s v="Travel_Frequently"/>
    <s v="Sales"/>
    <n v="2"/>
    <n v="3"/>
    <s v="Medical"/>
    <n v="2065"/>
    <n v="4"/>
    <s v="Male"/>
    <n v="2"/>
    <n v="2"/>
    <s v="Sales Executive"/>
    <n v="2"/>
    <s v="Married"/>
    <n v="5390"/>
    <n v="2"/>
    <x v="1"/>
    <n v="14"/>
    <n v="3"/>
    <n v="4"/>
    <n v="0"/>
    <n v="17"/>
    <n v="3"/>
    <n v="2"/>
    <n v="9"/>
    <n v="6"/>
    <n v="0"/>
    <n v="8"/>
    <n v="0"/>
    <x v="1"/>
    <n v="4"/>
    <x v="0"/>
    <n v="2"/>
    <x v="0"/>
    <n v="3"/>
    <s v="Bachelor"/>
    <s v="Medium"/>
    <s v="Very High"/>
    <s v="Good"/>
  </r>
  <r>
    <n v="34"/>
    <s v="No"/>
    <s v="Travel_Rarely"/>
    <s v="Research &amp; Development"/>
    <n v="8"/>
    <n v="3"/>
    <s v="Medical"/>
    <n v="2068"/>
    <n v="2"/>
    <s v="Male"/>
    <n v="4"/>
    <n v="2"/>
    <s v="Laboratory Technician"/>
    <n v="3"/>
    <s v="Married"/>
    <n v="4404"/>
    <n v="2"/>
    <x v="1"/>
    <n v="12"/>
    <n v="3"/>
    <n v="1"/>
    <n v="0"/>
    <n v="6"/>
    <n v="3"/>
    <n v="4"/>
    <n v="4"/>
    <n v="3"/>
    <n v="1"/>
    <n v="2"/>
    <n v="0"/>
    <x v="2"/>
    <n v="2"/>
    <x v="0"/>
    <n v="2"/>
    <x v="2"/>
    <n v="2"/>
    <s v="Bachelor"/>
    <s v="High"/>
    <s v="Medium"/>
    <s v="Bes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DB1D6C-10DB-43AC-9FF8-133401AD3EB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0" firstDataRow="1" firstDataCol="1"/>
  <pivotFields count="40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6">
        <item x="4"/>
        <item x="2"/>
        <item x="0"/>
        <item x="1"/>
        <item x="3"/>
        <item t="default"/>
      </items>
    </pivotField>
    <pivotField showAll="0"/>
    <pivotField showAll="0">
      <items count="5">
        <item x="1"/>
        <item x="3"/>
        <item x="0"/>
        <item x="2"/>
        <item t="default"/>
      </items>
    </pivotField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3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Attrition Flag" fld="29" baseField="0" baseItem="0"/>
    <dataField name="Count of EmployeeNumber" fld="7" subtotal="count" baseField="0" baseItem="1"/>
    <dataField name="Average of Attrition Flag2" fld="29" subtotal="average" baseField="0" baseItem="1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213385-DC6E-4989-86C6-1C50A8C97E77}" name="HR_Data" displayName="HR_Data" ref="A1:AT1471" totalsRowShown="0">
  <autoFilter ref="A1:AT1471" xr:uid="{E9213385-DC6E-4989-86C6-1C50A8C97E77}"/>
  <tableColumns count="46">
    <tableColumn id="1" xr3:uid="{DB4B6A5B-AA2A-43AA-A3FF-5207CCEB01D2}" name="Age"/>
    <tableColumn id="2" xr3:uid="{5EA1B543-8F56-4227-9437-205921907452}" name="Attrition"/>
    <tableColumn id="3" xr3:uid="{742F58AD-4468-427C-AF62-C01FC1CB3CF0}" name="BusinessTravel"/>
    <tableColumn id="5" xr3:uid="{58887AEE-0261-45C8-BFC1-3FBE8A415030}" name="Department"/>
    <tableColumn id="6" xr3:uid="{B3B790D3-A5DF-4EE5-9A9D-3D51742FD26C}" name="DistanceFromHome"/>
    <tableColumn id="7" xr3:uid="{0F2EB471-51C2-4258-9EFD-B98A23565AAD}" name="Education"/>
    <tableColumn id="8" xr3:uid="{EE8B400F-107A-446E-B440-30CC59EB46A1}" name="EducationField"/>
    <tableColumn id="10" xr3:uid="{4C72A20A-75C0-49BC-AF29-142AC94CA7E3}" name="EmployeeNumber"/>
    <tableColumn id="11" xr3:uid="{51009F1D-B0C3-445E-90E4-8721691B7989}" name="EnvironmentSatisfaction"/>
    <tableColumn id="12" xr3:uid="{5FBC1606-4382-4F35-B09C-1FB0C23D9F30}" name="Gender"/>
    <tableColumn id="14" xr3:uid="{307D0706-37B5-4BA4-A7C4-D712C9B44BB3}" name="JobInvolvement"/>
    <tableColumn id="15" xr3:uid="{E3905A3D-F9F8-432D-B25F-A2CE72E4A468}" name="JobLevel"/>
    <tableColumn id="16" xr3:uid="{AD0C2F70-9EC0-4499-B7E4-9715B930064B}" name="JobRole"/>
    <tableColumn id="17" xr3:uid="{84D72574-1B04-4AE3-A811-3D730877A84D}" name="JobSatisfaction"/>
    <tableColumn id="18" xr3:uid="{0BACF5CA-47ED-4FEA-A239-B061AA03B322}" name="MaritalStatus"/>
    <tableColumn id="19" xr3:uid="{2CE0BE0B-4CC9-4709-80D7-CBF7DAF8773E}" name="MonthlyIncome"/>
    <tableColumn id="21" xr3:uid="{BB2BD240-B1B9-4327-BC11-1CBB2F6172D8}" name="NumCompaniesWorked"/>
    <tableColumn id="23" xr3:uid="{317946C8-307C-48C2-8F76-6F7C70A43E74}" name="OverTime"/>
    <tableColumn id="24" xr3:uid="{B3BCB81C-A4AD-40AF-B8DE-94E843A18040}" name="PercentSalaryHike"/>
    <tableColumn id="25" xr3:uid="{303133C8-265A-46B6-86A3-11FEA822A290}" name="PerformanceRating"/>
    <tableColumn id="26" xr3:uid="{A5B6B47C-8F98-447F-B081-A3619E3C049F}" name="RelationshipSatisfaction"/>
    <tableColumn id="28" xr3:uid="{7222FF69-3DFE-411D-A022-37F5D5ADE2F9}" name="StockOptionLevel"/>
    <tableColumn id="29" xr3:uid="{7DCF5140-8DCF-4202-A365-F30BA3BD6FC0}" name="TotalWorkingYears"/>
    <tableColumn id="30" xr3:uid="{64D5ED75-0F0C-4956-8D96-0B050695C23F}" name="TrainingTimesLastYear"/>
    <tableColumn id="31" xr3:uid="{FEF1DB2C-0DDE-4DB7-AAFA-9254A290B479}" name="WorkLifeBalance"/>
    <tableColumn id="32" xr3:uid="{56D01B77-EAD3-49CE-ADF1-66F4CE6528BF}" name="YearsAtCompany"/>
    <tableColumn id="33" xr3:uid="{D3EA31A6-0FEF-4FB7-AD5C-B1B86AF44D33}" name="YearsInCurrentRole"/>
    <tableColumn id="34" xr3:uid="{8A3F4966-6B01-429C-92C5-213A288435BA}" name="YearsSinceLastPromotion"/>
    <tableColumn id="35" xr3:uid="{AC8E2BF0-C337-445D-8B0E-065D96477FC8}" name="YearsWithCurrManager"/>
    <tableColumn id="4" xr3:uid="{C9736232-83DC-4444-9BD4-180A589477EC}" name="Attrition Flag" dataDxfId="16">
      <calculatedColumnFormula>IF(HR_Data[[#This Row],[Attrition]]="Yes",1,0)</calculatedColumnFormula>
    </tableColumn>
    <tableColumn id="9" xr3:uid="{9670AE5B-98F6-4DD5-8CF7-809F0A4C3F00}" name="Age Group" dataDxfId="15">
      <calculatedColumnFormula>IF(HR_Data[[#This Row],[Age]]&lt;=25,"18-25",IF(HR_Data[[#This Row],[Age]]&lt;=35,"26-35",IF(HR_Data[[#This Row],[Age]]&lt;=45,"36-45",IF(HR_Data[[#This Row],[Age]]&lt;=55,"46-55","55+"))))</calculatedColumnFormula>
    </tableColumn>
    <tableColumn id="13" xr3:uid="{105D1C1F-F68D-4CB3-A239-342FA9706EE9}" name="Age Group Sort" dataDxfId="14">
      <calculatedColumnFormula>IF(HR_Data[[#This Row],[Age]]&lt;=25,1,IF(HR_Data[[#This Row],[Age]]&lt;=35,2,IF(HR_Data[[#This Row],[Age]]&lt;=45,3,IF(HR_Data[[#This Row],[Age]]&lt;=55,4,5))))</calculatedColumnFormula>
    </tableColumn>
    <tableColumn id="20" xr3:uid="{E9093648-71DB-4E4F-ABB9-3E81EAA737C7}" name="Income Band" dataDxfId="13">
      <calculatedColumnFormula>IF(HR_Data[[#This Row],[MonthlyIncome]]&lt;3000,"&lt;3K",IF(HR_Data[[#This Row],[MonthlyIncome]]&lt;6000,"3K-6K",IF(HR_Data[[#This Row],[MonthlyIncome]]&lt;10000,"6K-10K","10K+")))</calculatedColumnFormula>
    </tableColumn>
    <tableColumn id="22" xr3:uid="{8F704C56-4FDE-437C-88B4-26454994838E}" name="Income Band Sort" dataDxfId="12">
      <calculatedColumnFormula>IF(HR_Data[[#This Row],[MonthlyIncome]]&lt;3000,1,IF(HR_Data[[#This Row],[MonthlyIncome]]&lt;6000,2,IF(HR_Data[[#This Row],[MonthlyIncome]]&lt;10000,3,4)))</calculatedColumnFormula>
    </tableColumn>
    <tableColumn id="27" xr3:uid="{1CE88ACA-F493-42EB-B16B-8E9FB5CB2946}" name="Tenure Band" dataDxfId="11">
      <calculatedColumnFormula>IF(HR_Data[[#This Row],[YearsAtCompany]]&lt;=2,"0-2 Yrs",IF(HR_Data[[#This Row],[YearsAtCompany]]&lt;=5,"3-5 Yrs",IF(HR_Data[[#This Row],[YearsAtCompany]]&lt;=10,"6-10 Yrs","10+ Yrs")))</calculatedColumnFormula>
    </tableColumn>
    <tableColumn id="36" xr3:uid="{D0B4915D-35DC-4E45-9BA6-82299F8A286C}" name="Tenure Band Sort" dataDxfId="10">
      <calculatedColumnFormula>IF(HR_Data[[#This Row],[YearsAtCompany]]&lt;=2,1,IF(HR_Data[[#This Row],[YearsAtCompany]]&lt;=5,2,IF(HR_Data[[#This Row],[YearsAtCompany]]&lt;=10,3,4)))</calculatedColumnFormula>
    </tableColumn>
    <tableColumn id="37" xr3:uid="{DAF5C586-3D73-467B-8DEC-7B882BFED515}" name="Education Level" dataDxfId="9">
      <calculatedColumnFormula>CHOOSE(HR_Data[[#This Row],[Education]],"Below College","College","Bachelor","Master","Doctor")</calculatedColumnFormula>
    </tableColumn>
    <tableColumn id="38" xr3:uid="{2C3B3189-D7E9-4306-836E-CC96FF1D1BF3}" name="Job Satisfaction Level" dataDxfId="8">
      <calculatedColumnFormula>CHOOSE(HR_Data[[#This Row],[JobSatisfaction]],"Low","Medium","High","Very High")</calculatedColumnFormula>
    </tableColumn>
    <tableColumn id="39" xr3:uid="{7A46A03C-1C0E-4736-A41C-64325AB1B399}" name="Env Satisfaction Level" dataDxfId="7">
      <calculatedColumnFormula>CHOOSE(HR_Data[[#This Row],[EnvironmentSatisfaction]],"Low","Medium","High","Very High")</calculatedColumnFormula>
    </tableColumn>
    <tableColumn id="40" xr3:uid="{61D7F379-6335-4BCF-AC69-E8AE2616230E}" name="WorkLife Balance Level" dataDxfId="6">
      <calculatedColumnFormula>CHOOSE(HR_Data[[#This Row],[WorkLifeBalance]],"Bad","Good","Better","Best")</calculatedColumnFormula>
    </tableColumn>
    <tableColumn id="41" xr3:uid="{BF458684-CCBE-4978-8B3B-075AE8A19EB6}" name="Hike Band" dataDxfId="5">
      <calculatedColumnFormula>IF(HR_Data[[#This Row],[PercentSalaryHike]]&lt;=13,"11-13%",IF(HR_Data[[#This Row],[PercentSalaryHike]]&lt;=16,"14-16%",IF(HR_Data[[#This Row],[PercentSalaryHike]]&lt;=19,"17-19%","20-25%")))</calculatedColumnFormula>
    </tableColumn>
    <tableColumn id="42" xr3:uid="{727C5973-D115-4D12-AD7E-AD4DF9104655}" name="Hike Band Sort" dataDxfId="4">
      <calculatedColumnFormula>IF(HR_Data[[#This Row],[PercentSalaryHike]]&lt;=13,1,IF(HR_Data[[#This Row],[PercentSalaryHike]]&lt;=16,2,IF(HR_Data[[#This Row],[PercentSalaryHike]]&lt;=19,3,4)))</calculatedColumnFormula>
    </tableColumn>
    <tableColumn id="43" xr3:uid="{976CD1BD-3CBC-43CE-9626-5241AA96F737}" name="Distance Band" dataDxfId="0">
      <calculatedColumnFormula>IF(HR_Data[[#This Row],[DistanceFromHome]]&lt;=5,"1 to 5",IF(HR_Data[[#This Row],[DistanceFromHome]]&lt;=10,"6 to 10",IF(HR_Data[[#This Row],[DistanceFromHome]]&lt;=20,"11 to 20","21 to 29")))</calculatedColumnFormula>
    </tableColumn>
    <tableColumn id="44" xr3:uid="{ED53413C-232D-449C-8291-BC0C1BDEBBED}" name="Distance Band Sort" dataDxfId="3">
      <calculatedColumnFormula>IF(HR_Data[[#This Row],[DistanceFromHome]]&lt;=5,1,IF(HR_Data[[#This Row],[DistanceFromHome]]&lt;=10,2,IF(HR_Data[[#This Row],[DistanceFromHome]]&lt;=20,3,4)))</calculatedColumnFormula>
    </tableColumn>
    <tableColumn id="45" xr3:uid="{54CCE5D0-4B82-4E34-B38F-C09EC3A94C55}" name="Experience Band" dataDxfId="2">
      <calculatedColumnFormula>IF(HR_Data[[#This Row],[TotalWorkingYears]]&lt;=5,"0-5 Yrs",IF(HR_Data[[#This Row],[TotalWorkingYears]]&lt;=10,"6-10 Yrs",IF(HR_Data[[#This Row],[TotalWorkingYears]]&lt;=20,"11-20 Yrs","20+ Yrs")))</calculatedColumnFormula>
    </tableColumn>
    <tableColumn id="46" xr3:uid="{AFA6F78A-08E1-454E-954D-5E74515722BD}" name="Experience Band Sort" dataDxfId="1">
      <calculatedColumnFormula>IF(HR_Data[[#This Row],[TotalWorkingYears]]&lt;=5,1,IF(HR_Data[[#This Row],[TotalWorkingYears]]&lt;=10,2,IF(HR_Data[[#This Row],[TotalWorkingYears]]&lt;=20,3,4)))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C1132-BE6E-4670-A2BE-3E6D31361154}">
  <dimension ref="A1:AT1471"/>
  <sheetViews>
    <sheetView tabSelected="1" topLeftCell="AJ1" workbookViewId="0">
      <selection activeCell="AU6" sqref="AU6"/>
    </sheetView>
  </sheetViews>
  <sheetFormatPr defaultRowHeight="15" x14ac:dyDescent="0.25"/>
  <cols>
    <col min="2" max="2" width="10.5703125" customWidth="1"/>
    <col min="3" max="3" width="16.7109375" customWidth="1"/>
    <col min="4" max="4" width="14" customWidth="1"/>
    <col min="5" max="5" width="21.140625" customWidth="1"/>
    <col min="6" max="6" width="12.140625" customWidth="1"/>
    <col min="7" max="7" width="16.5703125" customWidth="1"/>
    <col min="8" max="8" width="19.42578125" customWidth="1"/>
    <col min="9" max="9" width="25.42578125" customWidth="1"/>
    <col min="10" max="10" width="9.85546875" customWidth="1"/>
    <col min="11" max="11" width="17.42578125" customWidth="1"/>
    <col min="12" max="12" width="11" customWidth="1"/>
    <col min="13" max="13" width="10.28515625" customWidth="1"/>
    <col min="14" max="14" width="16.85546875" customWidth="1"/>
    <col min="15" max="15" width="15" customWidth="1"/>
    <col min="16" max="16" width="17.140625" customWidth="1"/>
    <col min="17" max="17" width="24.7109375" customWidth="1"/>
    <col min="18" max="18" width="11.85546875" customWidth="1"/>
    <col min="19" max="19" width="19.7109375" customWidth="1"/>
    <col min="20" max="20" width="20.42578125" customWidth="1"/>
    <col min="21" max="21" width="25.28515625" customWidth="1"/>
    <col min="22" max="22" width="19.140625" customWidth="1"/>
    <col min="23" max="23" width="20" customWidth="1"/>
    <col min="24" max="24" width="23.42578125" customWidth="1"/>
    <col min="25" max="25" width="18.28515625" customWidth="1"/>
    <col min="26" max="26" width="18.5703125" customWidth="1"/>
    <col min="27" max="27" width="21" customWidth="1"/>
    <col min="28" max="28" width="26.28515625" customWidth="1"/>
    <col min="29" max="29" width="24" customWidth="1"/>
    <col min="30" max="30" width="14.7109375" bestFit="1" customWidth="1"/>
    <col min="31" max="31" width="12.5703125" bestFit="1" customWidth="1"/>
    <col min="32" max="32" width="16.85546875" bestFit="1" customWidth="1"/>
    <col min="33" max="33" width="14.85546875" bestFit="1" customWidth="1"/>
    <col min="34" max="34" width="19.140625" bestFit="1" customWidth="1"/>
    <col min="35" max="35" width="14.42578125" bestFit="1" customWidth="1"/>
    <col min="36" max="36" width="18.7109375" bestFit="1" customWidth="1"/>
    <col min="37" max="37" width="17.7109375" bestFit="1" customWidth="1"/>
    <col min="38" max="38" width="23" bestFit="1" customWidth="1"/>
    <col min="39" max="39" width="23.28515625" bestFit="1" customWidth="1"/>
    <col min="40" max="40" width="24.5703125" bestFit="1" customWidth="1"/>
    <col min="41" max="41" width="12.28515625" bestFit="1" customWidth="1"/>
    <col min="42" max="42" width="16.5703125" bestFit="1" customWidth="1"/>
    <col min="43" max="43" width="16.28515625" bestFit="1" customWidth="1"/>
    <col min="44" max="44" width="20.5703125" bestFit="1" customWidth="1"/>
    <col min="45" max="45" width="18.42578125" bestFit="1" customWidth="1"/>
    <col min="46" max="46" width="22.7109375" bestFit="1" customWidth="1"/>
  </cols>
  <sheetData>
    <row r="1" spans="1:4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55</v>
      </c>
      <c r="AE1" t="s">
        <v>56</v>
      </c>
      <c r="AF1" t="s">
        <v>57</v>
      </c>
      <c r="AG1" t="s">
        <v>58</v>
      </c>
      <c r="AH1" t="s">
        <v>59</v>
      </c>
      <c r="AI1" t="s">
        <v>60</v>
      </c>
      <c r="AJ1" t="s">
        <v>61</v>
      </c>
      <c r="AK1" t="s">
        <v>62</v>
      </c>
      <c r="AL1" t="s">
        <v>63</v>
      </c>
      <c r="AM1" t="s">
        <v>64</v>
      </c>
      <c r="AN1" t="s">
        <v>65</v>
      </c>
      <c r="AO1" t="s">
        <v>75</v>
      </c>
      <c r="AP1" t="s">
        <v>76</v>
      </c>
      <c r="AQ1" t="s">
        <v>77</v>
      </c>
      <c r="AR1" t="s">
        <v>78</v>
      </c>
      <c r="AS1" t="s">
        <v>79</v>
      </c>
      <c r="AT1" t="s">
        <v>80</v>
      </c>
    </row>
    <row r="2" spans="1:46" x14ac:dyDescent="0.25">
      <c r="A2">
        <v>41</v>
      </c>
      <c r="B2" t="s">
        <v>29</v>
      </c>
      <c r="C2" t="s">
        <v>30</v>
      </c>
      <c r="D2" t="s">
        <v>31</v>
      </c>
      <c r="E2">
        <v>1</v>
      </c>
      <c r="F2">
        <v>2</v>
      </c>
      <c r="G2" t="s">
        <v>32</v>
      </c>
      <c r="H2">
        <v>1</v>
      </c>
      <c r="I2">
        <v>2</v>
      </c>
      <c r="J2" t="s">
        <v>33</v>
      </c>
      <c r="K2">
        <v>3</v>
      </c>
      <c r="L2">
        <v>2</v>
      </c>
      <c r="M2" t="s">
        <v>34</v>
      </c>
      <c r="N2">
        <v>4</v>
      </c>
      <c r="O2" t="s">
        <v>35</v>
      </c>
      <c r="P2">
        <v>5993</v>
      </c>
      <c r="Q2">
        <v>8</v>
      </c>
      <c r="R2" t="s">
        <v>29</v>
      </c>
      <c r="S2">
        <v>11</v>
      </c>
      <c r="T2">
        <v>3</v>
      </c>
      <c r="U2">
        <v>1</v>
      </c>
      <c r="V2">
        <v>0</v>
      </c>
      <c r="W2">
        <v>8</v>
      </c>
      <c r="X2">
        <v>0</v>
      </c>
      <c r="Y2">
        <v>1</v>
      </c>
      <c r="Z2">
        <v>6</v>
      </c>
      <c r="AA2">
        <v>4</v>
      </c>
      <c r="AB2">
        <v>0</v>
      </c>
      <c r="AC2">
        <v>5</v>
      </c>
      <c r="AD2">
        <f>IF(HR_Data[[#This Row],[Attrition]]="Yes",1,0)</f>
        <v>1</v>
      </c>
      <c r="AE2" t="str">
        <f>IF(HR_Data[[#This Row],[Age]]&lt;=25,"18-25",IF(HR_Data[[#This Row],[Age]]&lt;=35,"26-35",IF(HR_Data[[#This Row],[Age]]&lt;=45,"36-45",IF(HR_Data[[#This Row],[Age]]&lt;=55,"46-55","55+"))))</f>
        <v>36-45</v>
      </c>
      <c r="AF2">
        <f>IF(HR_Data[[#This Row],[Age]]&lt;=25,1,IF(HR_Data[[#This Row],[Age]]&lt;=35,2,IF(HR_Data[[#This Row],[Age]]&lt;=45,3,IF(HR_Data[[#This Row],[Age]]&lt;=55,4,5))))</f>
        <v>3</v>
      </c>
      <c r="AG2" s="1" t="str">
        <f>IF(HR_Data[[#This Row],[MonthlyIncome]]&lt;3000,"&lt;3K",IF(HR_Data[[#This Row],[MonthlyIncome]]&lt;6000,"3K-6K",IF(HR_Data[[#This Row],[MonthlyIncome]]&lt;10000,"6K-10K","10K+")))</f>
        <v>3K-6K</v>
      </c>
      <c r="AH2" s="1">
        <f>IF(HR_Data[[#This Row],[MonthlyIncome]]&lt;3000,1,IF(HR_Data[[#This Row],[MonthlyIncome]]&lt;6000,2,IF(HR_Data[[#This Row],[MonthlyIncome]]&lt;10000,3,4)))</f>
        <v>2</v>
      </c>
      <c r="AI2" s="1" t="str">
        <f>IF(HR_Data[[#This Row],[YearsAtCompany]]&lt;=2,"0-2 Yrs",IF(HR_Data[[#This Row],[YearsAtCompany]]&lt;=5,"3-5 Yrs",IF(HR_Data[[#This Row],[YearsAtCompany]]&lt;=10,"6-10 Yrs","10+ Yrs")))</f>
        <v>6-10 Yrs</v>
      </c>
      <c r="AJ2" s="1">
        <f>IF(HR_Data[[#This Row],[YearsAtCompany]]&lt;=2,1,IF(HR_Data[[#This Row],[YearsAtCompany]]&lt;=5,2,IF(HR_Data[[#This Row],[YearsAtCompany]]&lt;=10,3,4)))</f>
        <v>3</v>
      </c>
      <c r="AK2" s="1" t="str">
        <f>CHOOSE(HR_Data[[#This Row],[Education]],"Below College","College","Bachelor","Master","Doctor")</f>
        <v>College</v>
      </c>
      <c r="AL2" s="1" t="str">
        <f>CHOOSE(HR_Data[[#This Row],[JobSatisfaction]],"Low","Medium","High","Very High")</f>
        <v>Very High</v>
      </c>
      <c r="AM2" s="1" t="str">
        <f>CHOOSE(HR_Data[[#This Row],[EnvironmentSatisfaction]],"Low","Medium","High","Very High")</f>
        <v>Medium</v>
      </c>
      <c r="AN2" s="1" t="str">
        <f>CHOOSE(HR_Data[[#This Row],[WorkLifeBalance]],"Bad","Good","Better","Best")</f>
        <v>Bad</v>
      </c>
      <c r="AO2" s="1" t="str">
        <f>IF(HR_Data[[#This Row],[PercentSalaryHike]]&lt;=13,"11-13%",IF(HR_Data[[#This Row],[PercentSalaryHike]]&lt;=16,"14-16%",IF(HR_Data[[#This Row],[PercentSalaryHike]]&lt;=19,"17-19%","20-25%")))</f>
        <v>11-13%</v>
      </c>
      <c r="AP2" s="1">
        <f>IF(HR_Data[[#This Row],[PercentSalaryHike]]&lt;=13,1,IF(HR_Data[[#This Row],[PercentSalaryHike]]&lt;=16,2,IF(HR_Data[[#This Row],[PercentSalaryHike]]&lt;=19,3,4)))</f>
        <v>1</v>
      </c>
      <c r="AQ2" s="1" t="str">
        <f>IF(HR_Data[[#This Row],[DistanceFromHome]]&lt;=5,"1 to 5",IF(HR_Data[[#This Row],[DistanceFromHome]]&lt;=10,"6 to 10",IF(HR_Data[[#This Row],[DistanceFromHome]]&lt;=20,"11 to 20","21 to 29")))</f>
        <v>1 to 5</v>
      </c>
      <c r="AR2">
        <f>IF(HR_Data[[#This Row],[DistanceFromHome]]&lt;=5,1,IF(HR_Data[[#This Row],[DistanceFromHome]]&lt;=10,2,IF(HR_Data[[#This Row],[DistanceFromHome]]&lt;=20,3,4)))</f>
        <v>1</v>
      </c>
      <c r="AS2" t="str">
        <f>IF(HR_Data[[#This Row],[TotalWorkingYears]]&lt;=5,"0-5 Yrs",IF(HR_Data[[#This Row],[TotalWorkingYears]]&lt;=10,"6-10 Yrs",IF(HR_Data[[#This Row],[TotalWorkingYears]]&lt;=20,"11-20 Yrs","20+ Yrs")))</f>
        <v>6-10 Yrs</v>
      </c>
      <c r="AT2" s="1">
        <f>IF(HR_Data[[#This Row],[TotalWorkingYears]]&lt;=5,1,IF(HR_Data[[#This Row],[TotalWorkingYears]]&lt;=10,2,IF(HR_Data[[#This Row],[TotalWorkingYears]]&lt;=20,3,4)))</f>
        <v>2</v>
      </c>
    </row>
    <row r="3" spans="1:46" x14ac:dyDescent="0.25">
      <c r="A3">
        <v>49</v>
      </c>
      <c r="B3" t="s">
        <v>36</v>
      </c>
      <c r="C3" t="s">
        <v>37</v>
      </c>
      <c r="D3" t="s">
        <v>38</v>
      </c>
      <c r="E3">
        <v>8</v>
      </c>
      <c r="F3">
        <v>1</v>
      </c>
      <c r="G3" t="s">
        <v>32</v>
      </c>
      <c r="H3">
        <v>2</v>
      </c>
      <c r="I3">
        <v>3</v>
      </c>
      <c r="J3" t="s">
        <v>39</v>
      </c>
      <c r="K3">
        <v>2</v>
      </c>
      <c r="L3">
        <v>2</v>
      </c>
      <c r="M3" t="s">
        <v>40</v>
      </c>
      <c r="N3">
        <v>2</v>
      </c>
      <c r="O3" t="s">
        <v>41</v>
      </c>
      <c r="P3">
        <v>5130</v>
      </c>
      <c r="Q3">
        <v>1</v>
      </c>
      <c r="R3" t="s">
        <v>36</v>
      </c>
      <c r="S3">
        <v>23</v>
      </c>
      <c r="T3">
        <v>4</v>
      </c>
      <c r="U3">
        <v>4</v>
      </c>
      <c r="V3">
        <v>1</v>
      </c>
      <c r="W3">
        <v>10</v>
      </c>
      <c r="X3">
        <v>3</v>
      </c>
      <c r="Y3">
        <v>3</v>
      </c>
      <c r="Z3">
        <v>10</v>
      </c>
      <c r="AA3">
        <v>7</v>
      </c>
      <c r="AB3">
        <v>1</v>
      </c>
      <c r="AC3">
        <v>7</v>
      </c>
      <c r="AD3">
        <f>IF(HR_Data[[#This Row],[Attrition]]="Yes",1,0)</f>
        <v>0</v>
      </c>
      <c r="AE3" t="str">
        <f>IF(HR_Data[[#This Row],[Age]]&lt;=25,"18-25",IF(HR_Data[[#This Row],[Age]]&lt;=35,"26-35",IF(HR_Data[[#This Row],[Age]]&lt;=45,"36-45",IF(HR_Data[[#This Row],[Age]]&lt;=55,"46-55","55+"))))</f>
        <v>46-55</v>
      </c>
      <c r="AF3">
        <f>IF(HR_Data[[#This Row],[Age]]&lt;=25,1,IF(HR_Data[[#This Row],[Age]]&lt;=35,2,IF(HR_Data[[#This Row],[Age]]&lt;=45,3,IF(HR_Data[[#This Row],[Age]]&lt;=55,4,5))))</f>
        <v>4</v>
      </c>
      <c r="AG3" s="1" t="str">
        <f>IF(HR_Data[[#This Row],[MonthlyIncome]]&lt;3000,"&lt;3K",IF(HR_Data[[#This Row],[MonthlyIncome]]&lt;6000,"3K-6K",IF(HR_Data[[#This Row],[MonthlyIncome]]&lt;10000,"6K-10K","10K+")))</f>
        <v>3K-6K</v>
      </c>
      <c r="AH3" s="1">
        <f>IF(HR_Data[[#This Row],[MonthlyIncome]]&lt;3000,1,IF(HR_Data[[#This Row],[MonthlyIncome]]&lt;6000,2,IF(HR_Data[[#This Row],[MonthlyIncome]]&lt;10000,3,4)))</f>
        <v>2</v>
      </c>
      <c r="AI3" s="1" t="str">
        <f>IF(HR_Data[[#This Row],[YearsAtCompany]]&lt;=2,"0-2 Yrs",IF(HR_Data[[#This Row],[YearsAtCompany]]&lt;=5,"3-5 Yrs",IF(HR_Data[[#This Row],[YearsAtCompany]]&lt;=10,"6-10 Yrs","10+ Yrs")))</f>
        <v>6-10 Yrs</v>
      </c>
      <c r="AJ3" s="1">
        <f>IF(HR_Data[[#This Row],[YearsAtCompany]]&lt;=2,1,IF(HR_Data[[#This Row],[YearsAtCompany]]&lt;=5,2,IF(HR_Data[[#This Row],[YearsAtCompany]]&lt;=10,3,4)))</f>
        <v>3</v>
      </c>
      <c r="AK3" s="1" t="str">
        <f>CHOOSE(HR_Data[[#This Row],[Education]],"Below College","College","Bachelor","Master","Doctor")</f>
        <v>Below College</v>
      </c>
      <c r="AL3" s="1" t="str">
        <f>CHOOSE(HR_Data[[#This Row],[JobSatisfaction]],"Low","Medium","High","Very High")</f>
        <v>Medium</v>
      </c>
      <c r="AM3" s="1" t="str">
        <f>CHOOSE(HR_Data[[#This Row],[EnvironmentSatisfaction]],"Low","Medium","High","Very High")</f>
        <v>High</v>
      </c>
      <c r="AN3" s="1" t="str">
        <f>CHOOSE(HR_Data[[#This Row],[WorkLifeBalance]],"Bad","Good","Better","Best")</f>
        <v>Better</v>
      </c>
      <c r="AO3" s="1" t="str">
        <f>IF(HR_Data[[#This Row],[PercentSalaryHike]]&lt;=13,"11-13%",IF(HR_Data[[#This Row],[PercentSalaryHike]]&lt;=16,"14-16%",IF(HR_Data[[#This Row],[PercentSalaryHike]]&lt;=19,"17-19%","20-25%")))</f>
        <v>20-25%</v>
      </c>
      <c r="AP3" s="1">
        <f>IF(HR_Data[[#This Row],[PercentSalaryHike]]&lt;=13,1,IF(HR_Data[[#This Row],[PercentSalaryHike]]&lt;=16,2,IF(HR_Data[[#This Row],[PercentSalaryHike]]&lt;=19,3,4)))</f>
        <v>4</v>
      </c>
      <c r="AQ3" s="1" t="str">
        <f>IF(HR_Data[[#This Row],[DistanceFromHome]]&lt;=5,"1 to 5",IF(HR_Data[[#This Row],[DistanceFromHome]]&lt;=10,"6 to 10",IF(HR_Data[[#This Row],[DistanceFromHome]]&lt;=20,"11 to 20","21 to 29")))</f>
        <v>6 to 10</v>
      </c>
      <c r="AR3" s="1">
        <f>IF(HR_Data[[#This Row],[DistanceFromHome]]&lt;=5,1,IF(HR_Data[[#This Row],[DistanceFromHome]]&lt;=10,2,IF(HR_Data[[#This Row],[DistanceFromHome]]&lt;=20,3,4)))</f>
        <v>2</v>
      </c>
      <c r="AS3" s="1" t="str">
        <f>IF(HR_Data[[#This Row],[TotalWorkingYears]]&lt;=5,"0-5 Yrs",IF(HR_Data[[#This Row],[TotalWorkingYears]]&lt;=10,"6-10 Yrs",IF(HR_Data[[#This Row],[TotalWorkingYears]]&lt;=20,"11-20 Yrs","20+ Yrs")))</f>
        <v>6-10 Yrs</v>
      </c>
      <c r="AT3" s="1">
        <f>IF(HR_Data[[#This Row],[TotalWorkingYears]]&lt;=5,1,IF(HR_Data[[#This Row],[TotalWorkingYears]]&lt;=10,2,IF(HR_Data[[#This Row],[TotalWorkingYears]]&lt;=20,3,4)))</f>
        <v>2</v>
      </c>
    </row>
    <row r="4" spans="1:46" x14ac:dyDescent="0.25">
      <c r="A4">
        <v>37</v>
      </c>
      <c r="B4" t="s">
        <v>29</v>
      </c>
      <c r="C4" t="s">
        <v>30</v>
      </c>
      <c r="D4" t="s">
        <v>38</v>
      </c>
      <c r="E4">
        <v>2</v>
      </c>
      <c r="F4">
        <v>2</v>
      </c>
      <c r="G4" t="s">
        <v>42</v>
      </c>
      <c r="H4">
        <v>4</v>
      </c>
      <c r="I4">
        <v>4</v>
      </c>
      <c r="J4" t="s">
        <v>39</v>
      </c>
      <c r="K4">
        <v>2</v>
      </c>
      <c r="L4">
        <v>1</v>
      </c>
      <c r="M4" t="s">
        <v>43</v>
      </c>
      <c r="N4">
        <v>3</v>
      </c>
      <c r="O4" t="s">
        <v>35</v>
      </c>
      <c r="P4">
        <v>2090</v>
      </c>
      <c r="Q4">
        <v>6</v>
      </c>
      <c r="R4" t="s">
        <v>29</v>
      </c>
      <c r="S4">
        <v>15</v>
      </c>
      <c r="T4">
        <v>3</v>
      </c>
      <c r="U4">
        <v>2</v>
      </c>
      <c r="V4">
        <v>0</v>
      </c>
      <c r="W4">
        <v>7</v>
      </c>
      <c r="X4">
        <v>3</v>
      </c>
      <c r="Y4">
        <v>3</v>
      </c>
      <c r="Z4">
        <v>0</v>
      </c>
      <c r="AA4">
        <v>0</v>
      </c>
      <c r="AB4">
        <v>0</v>
      </c>
      <c r="AC4">
        <v>0</v>
      </c>
      <c r="AD4">
        <f>IF(HR_Data[[#This Row],[Attrition]]="Yes",1,0)</f>
        <v>1</v>
      </c>
      <c r="AE4" t="str">
        <f>IF(HR_Data[[#This Row],[Age]]&lt;=25,"18-25",IF(HR_Data[[#This Row],[Age]]&lt;=35,"26-35",IF(HR_Data[[#This Row],[Age]]&lt;=45,"36-45",IF(HR_Data[[#This Row],[Age]]&lt;=55,"46-55","55+"))))</f>
        <v>36-45</v>
      </c>
      <c r="AF4">
        <f>IF(HR_Data[[#This Row],[Age]]&lt;=25,1,IF(HR_Data[[#This Row],[Age]]&lt;=35,2,IF(HR_Data[[#This Row],[Age]]&lt;=45,3,IF(HR_Data[[#This Row],[Age]]&lt;=55,4,5))))</f>
        <v>3</v>
      </c>
      <c r="AG4" s="1" t="str">
        <f>IF(HR_Data[[#This Row],[MonthlyIncome]]&lt;3000,"&lt;3K",IF(HR_Data[[#This Row],[MonthlyIncome]]&lt;6000,"3K-6K",IF(HR_Data[[#This Row],[MonthlyIncome]]&lt;10000,"6K-10K","10K+")))</f>
        <v>&lt;3K</v>
      </c>
      <c r="AH4" s="1">
        <f>IF(HR_Data[[#This Row],[MonthlyIncome]]&lt;3000,1,IF(HR_Data[[#This Row],[MonthlyIncome]]&lt;6000,2,IF(HR_Data[[#This Row],[MonthlyIncome]]&lt;10000,3,4)))</f>
        <v>1</v>
      </c>
      <c r="AI4" s="1" t="str">
        <f>IF(HR_Data[[#This Row],[YearsAtCompany]]&lt;=2,"0-2 Yrs",IF(HR_Data[[#This Row],[YearsAtCompany]]&lt;=5,"3-5 Yrs",IF(HR_Data[[#This Row],[YearsAtCompany]]&lt;=10,"6-10 Yrs","10+ Yrs")))</f>
        <v>0-2 Yrs</v>
      </c>
      <c r="AJ4" s="1">
        <f>IF(HR_Data[[#This Row],[YearsAtCompany]]&lt;=2,1,IF(HR_Data[[#This Row],[YearsAtCompany]]&lt;=5,2,IF(HR_Data[[#This Row],[YearsAtCompany]]&lt;=10,3,4)))</f>
        <v>1</v>
      </c>
      <c r="AK4" s="1" t="str">
        <f>CHOOSE(HR_Data[[#This Row],[Education]],"Below College","College","Bachelor","Master","Doctor")</f>
        <v>College</v>
      </c>
      <c r="AL4" s="1" t="str">
        <f>CHOOSE(HR_Data[[#This Row],[JobSatisfaction]],"Low","Medium","High","Very High")</f>
        <v>High</v>
      </c>
      <c r="AM4" s="1" t="str">
        <f>CHOOSE(HR_Data[[#This Row],[EnvironmentSatisfaction]],"Low","Medium","High","Very High")</f>
        <v>Very High</v>
      </c>
      <c r="AN4" s="1" t="str">
        <f>CHOOSE(HR_Data[[#This Row],[WorkLifeBalance]],"Bad","Good","Better","Best")</f>
        <v>Better</v>
      </c>
      <c r="AO4" s="1" t="str">
        <f>IF(HR_Data[[#This Row],[PercentSalaryHike]]&lt;=13,"11-13%",IF(HR_Data[[#This Row],[PercentSalaryHike]]&lt;=16,"14-16%",IF(HR_Data[[#This Row],[PercentSalaryHike]]&lt;=19,"17-19%","20-25%")))</f>
        <v>14-16%</v>
      </c>
      <c r="AP4" s="1">
        <f>IF(HR_Data[[#This Row],[PercentSalaryHike]]&lt;=13,1,IF(HR_Data[[#This Row],[PercentSalaryHike]]&lt;=16,2,IF(HR_Data[[#This Row],[PercentSalaryHike]]&lt;=19,3,4)))</f>
        <v>2</v>
      </c>
      <c r="AQ4" s="1" t="str">
        <f>IF(HR_Data[[#This Row],[DistanceFromHome]]&lt;=5,"1 to 5",IF(HR_Data[[#This Row],[DistanceFromHome]]&lt;=10,"6 to 10",IF(HR_Data[[#This Row],[DistanceFromHome]]&lt;=20,"11 to 20","21 to 29")))</f>
        <v>1 to 5</v>
      </c>
      <c r="AR4" s="1">
        <f>IF(HR_Data[[#This Row],[DistanceFromHome]]&lt;=5,1,IF(HR_Data[[#This Row],[DistanceFromHome]]&lt;=10,2,IF(HR_Data[[#This Row],[DistanceFromHome]]&lt;=20,3,4)))</f>
        <v>1</v>
      </c>
      <c r="AS4" s="1" t="str">
        <f>IF(HR_Data[[#This Row],[TotalWorkingYears]]&lt;=5,"0-5 Yrs",IF(HR_Data[[#This Row],[TotalWorkingYears]]&lt;=10,"6-10 Yrs",IF(HR_Data[[#This Row],[TotalWorkingYears]]&lt;=20,"11-20 Yrs","20+ Yrs")))</f>
        <v>6-10 Yrs</v>
      </c>
      <c r="AT4" s="1">
        <f>IF(HR_Data[[#This Row],[TotalWorkingYears]]&lt;=5,1,IF(HR_Data[[#This Row],[TotalWorkingYears]]&lt;=10,2,IF(HR_Data[[#This Row],[TotalWorkingYears]]&lt;=20,3,4)))</f>
        <v>2</v>
      </c>
    </row>
    <row r="5" spans="1:46" x14ac:dyDescent="0.25">
      <c r="A5">
        <v>33</v>
      </c>
      <c r="B5" t="s">
        <v>36</v>
      </c>
      <c r="C5" t="s">
        <v>37</v>
      </c>
      <c r="D5" t="s">
        <v>38</v>
      </c>
      <c r="E5">
        <v>3</v>
      </c>
      <c r="F5">
        <v>4</v>
      </c>
      <c r="G5" t="s">
        <v>32</v>
      </c>
      <c r="H5">
        <v>5</v>
      </c>
      <c r="I5">
        <v>4</v>
      </c>
      <c r="J5" t="s">
        <v>33</v>
      </c>
      <c r="K5">
        <v>3</v>
      </c>
      <c r="L5">
        <v>1</v>
      </c>
      <c r="M5" t="s">
        <v>40</v>
      </c>
      <c r="N5">
        <v>3</v>
      </c>
      <c r="O5" t="s">
        <v>41</v>
      </c>
      <c r="P5">
        <v>2909</v>
      </c>
      <c r="Q5">
        <v>1</v>
      </c>
      <c r="R5" t="s">
        <v>29</v>
      </c>
      <c r="S5">
        <v>11</v>
      </c>
      <c r="T5">
        <v>3</v>
      </c>
      <c r="U5">
        <v>3</v>
      </c>
      <c r="V5">
        <v>0</v>
      </c>
      <c r="W5">
        <v>8</v>
      </c>
      <c r="X5">
        <v>3</v>
      </c>
      <c r="Y5">
        <v>3</v>
      </c>
      <c r="Z5">
        <v>8</v>
      </c>
      <c r="AA5">
        <v>7</v>
      </c>
      <c r="AB5">
        <v>3</v>
      </c>
      <c r="AC5">
        <v>0</v>
      </c>
      <c r="AD5">
        <f>IF(HR_Data[[#This Row],[Attrition]]="Yes",1,0)</f>
        <v>0</v>
      </c>
      <c r="AE5" t="str">
        <f>IF(HR_Data[[#This Row],[Age]]&lt;=25,"18-25",IF(HR_Data[[#This Row],[Age]]&lt;=35,"26-35",IF(HR_Data[[#This Row],[Age]]&lt;=45,"36-45",IF(HR_Data[[#This Row],[Age]]&lt;=55,"46-55","55+"))))</f>
        <v>26-35</v>
      </c>
      <c r="AF5">
        <f>IF(HR_Data[[#This Row],[Age]]&lt;=25,1,IF(HR_Data[[#This Row],[Age]]&lt;=35,2,IF(HR_Data[[#This Row],[Age]]&lt;=45,3,IF(HR_Data[[#This Row],[Age]]&lt;=55,4,5))))</f>
        <v>2</v>
      </c>
      <c r="AG5" s="1" t="str">
        <f>IF(HR_Data[[#This Row],[MonthlyIncome]]&lt;3000,"&lt;3K",IF(HR_Data[[#This Row],[MonthlyIncome]]&lt;6000,"3K-6K",IF(HR_Data[[#This Row],[MonthlyIncome]]&lt;10000,"6K-10K","10K+")))</f>
        <v>&lt;3K</v>
      </c>
      <c r="AH5" s="1">
        <f>IF(HR_Data[[#This Row],[MonthlyIncome]]&lt;3000,1,IF(HR_Data[[#This Row],[MonthlyIncome]]&lt;6000,2,IF(HR_Data[[#This Row],[MonthlyIncome]]&lt;10000,3,4)))</f>
        <v>1</v>
      </c>
      <c r="AI5" s="1" t="str">
        <f>IF(HR_Data[[#This Row],[YearsAtCompany]]&lt;=2,"0-2 Yrs",IF(HR_Data[[#This Row],[YearsAtCompany]]&lt;=5,"3-5 Yrs",IF(HR_Data[[#This Row],[YearsAtCompany]]&lt;=10,"6-10 Yrs","10+ Yrs")))</f>
        <v>6-10 Yrs</v>
      </c>
      <c r="AJ5" s="1">
        <f>IF(HR_Data[[#This Row],[YearsAtCompany]]&lt;=2,1,IF(HR_Data[[#This Row],[YearsAtCompany]]&lt;=5,2,IF(HR_Data[[#This Row],[YearsAtCompany]]&lt;=10,3,4)))</f>
        <v>3</v>
      </c>
      <c r="AK5" s="1" t="str">
        <f>CHOOSE(HR_Data[[#This Row],[Education]],"Below College","College","Bachelor","Master","Doctor")</f>
        <v>Master</v>
      </c>
      <c r="AL5" s="1" t="str">
        <f>CHOOSE(HR_Data[[#This Row],[JobSatisfaction]],"Low","Medium","High","Very High")</f>
        <v>High</v>
      </c>
      <c r="AM5" s="1" t="str">
        <f>CHOOSE(HR_Data[[#This Row],[EnvironmentSatisfaction]],"Low","Medium","High","Very High")</f>
        <v>Very High</v>
      </c>
      <c r="AN5" s="1" t="str">
        <f>CHOOSE(HR_Data[[#This Row],[WorkLifeBalance]],"Bad","Good","Better","Best")</f>
        <v>Better</v>
      </c>
      <c r="AO5" s="1" t="str">
        <f>IF(HR_Data[[#This Row],[PercentSalaryHike]]&lt;=13,"11-13%",IF(HR_Data[[#This Row],[PercentSalaryHike]]&lt;=16,"14-16%",IF(HR_Data[[#This Row],[PercentSalaryHike]]&lt;=19,"17-19%","20-25%")))</f>
        <v>11-13%</v>
      </c>
      <c r="AP5" s="1">
        <f>IF(HR_Data[[#This Row],[PercentSalaryHike]]&lt;=13,1,IF(HR_Data[[#This Row],[PercentSalaryHike]]&lt;=16,2,IF(HR_Data[[#This Row],[PercentSalaryHike]]&lt;=19,3,4)))</f>
        <v>1</v>
      </c>
      <c r="AQ5" s="1" t="str">
        <f>IF(HR_Data[[#This Row],[DistanceFromHome]]&lt;=5,"1 to 5",IF(HR_Data[[#This Row],[DistanceFromHome]]&lt;=10,"6 to 10",IF(HR_Data[[#This Row],[DistanceFromHome]]&lt;=20,"11 to 20","21 to 29")))</f>
        <v>1 to 5</v>
      </c>
      <c r="AR5" s="1">
        <f>IF(HR_Data[[#This Row],[DistanceFromHome]]&lt;=5,1,IF(HR_Data[[#This Row],[DistanceFromHome]]&lt;=10,2,IF(HR_Data[[#This Row],[DistanceFromHome]]&lt;=20,3,4)))</f>
        <v>1</v>
      </c>
      <c r="AS5" s="1" t="str">
        <f>IF(HR_Data[[#This Row],[TotalWorkingYears]]&lt;=5,"0-5 Yrs",IF(HR_Data[[#This Row],[TotalWorkingYears]]&lt;=10,"6-10 Yrs",IF(HR_Data[[#This Row],[TotalWorkingYears]]&lt;=20,"11-20 Yrs","20+ Yrs")))</f>
        <v>6-10 Yrs</v>
      </c>
      <c r="AT5" s="1">
        <f>IF(HR_Data[[#This Row],[TotalWorkingYears]]&lt;=5,1,IF(HR_Data[[#This Row],[TotalWorkingYears]]&lt;=10,2,IF(HR_Data[[#This Row],[TotalWorkingYears]]&lt;=20,3,4)))</f>
        <v>2</v>
      </c>
    </row>
    <row r="6" spans="1:46" x14ac:dyDescent="0.25">
      <c r="A6">
        <v>27</v>
      </c>
      <c r="B6" t="s">
        <v>36</v>
      </c>
      <c r="C6" t="s">
        <v>30</v>
      </c>
      <c r="D6" t="s">
        <v>38</v>
      </c>
      <c r="E6">
        <v>2</v>
      </c>
      <c r="F6">
        <v>1</v>
      </c>
      <c r="G6" t="s">
        <v>44</v>
      </c>
      <c r="H6">
        <v>7</v>
      </c>
      <c r="I6">
        <v>1</v>
      </c>
      <c r="J6" t="s">
        <v>39</v>
      </c>
      <c r="K6">
        <v>3</v>
      </c>
      <c r="L6">
        <v>1</v>
      </c>
      <c r="M6" t="s">
        <v>43</v>
      </c>
      <c r="N6">
        <v>2</v>
      </c>
      <c r="O6" t="s">
        <v>41</v>
      </c>
      <c r="P6">
        <v>3468</v>
      </c>
      <c r="Q6">
        <v>9</v>
      </c>
      <c r="R6" t="s">
        <v>36</v>
      </c>
      <c r="S6">
        <v>12</v>
      </c>
      <c r="T6">
        <v>3</v>
      </c>
      <c r="U6">
        <v>4</v>
      </c>
      <c r="V6">
        <v>1</v>
      </c>
      <c r="W6">
        <v>6</v>
      </c>
      <c r="X6">
        <v>3</v>
      </c>
      <c r="Y6">
        <v>3</v>
      </c>
      <c r="Z6">
        <v>2</v>
      </c>
      <c r="AA6">
        <v>2</v>
      </c>
      <c r="AB6">
        <v>2</v>
      </c>
      <c r="AC6">
        <v>2</v>
      </c>
      <c r="AD6">
        <f>IF(HR_Data[[#This Row],[Attrition]]="Yes",1,0)</f>
        <v>0</v>
      </c>
      <c r="AE6" t="str">
        <f>IF(HR_Data[[#This Row],[Age]]&lt;=25,"18-25",IF(HR_Data[[#This Row],[Age]]&lt;=35,"26-35",IF(HR_Data[[#This Row],[Age]]&lt;=45,"36-45",IF(HR_Data[[#This Row],[Age]]&lt;=55,"46-55","55+"))))</f>
        <v>26-35</v>
      </c>
      <c r="AF6">
        <f>IF(HR_Data[[#This Row],[Age]]&lt;=25,1,IF(HR_Data[[#This Row],[Age]]&lt;=35,2,IF(HR_Data[[#This Row],[Age]]&lt;=45,3,IF(HR_Data[[#This Row],[Age]]&lt;=55,4,5))))</f>
        <v>2</v>
      </c>
      <c r="AG6" s="1" t="str">
        <f>IF(HR_Data[[#This Row],[MonthlyIncome]]&lt;3000,"&lt;3K",IF(HR_Data[[#This Row],[MonthlyIncome]]&lt;6000,"3K-6K",IF(HR_Data[[#This Row],[MonthlyIncome]]&lt;10000,"6K-10K","10K+")))</f>
        <v>3K-6K</v>
      </c>
      <c r="AH6" s="1">
        <f>IF(HR_Data[[#This Row],[MonthlyIncome]]&lt;3000,1,IF(HR_Data[[#This Row],[MonthlyIncome]]&lt;6000,2,IF(HR_Data[[#This Row],[MonthlyIncome]]&lt;10000,3,4)))</f>
        <v>2</v>
      </c>
      <c r="AI6" s="1" t="str">
        <f>IF(HR_Data[[#This Row],[YearsAtCompany]]&lt;=2,"0-2 Yrs",IF(HR_Data[[#This Row],[YearsAtCompany]]&lt;=5,"3-5 Yrs",IF(HR_Data[[#This Row],[YearsAtCompany]]&lt;=10,"6-10 Yrs","10+ Yrs")))</f>
        <v>0-2 Yrs</v>
      </c>
      <c r="AJ6" s="1">
        <f>IF(HR_Data[[#This Row],[YearsAtCompany]]&lt;=2,1,IF(HR_Data[[#This Row],[YearsAtCompany]]&lt;=5,2,IF(HR_Data[[#This Row],[YearsAtCompany]]&lt;=10,3,4)))</f>
        <v>1</v>
      </c>
      <c r="AK6" s="1" t="str">
        <f>CHOOSE(HR_Data[[#This Row],[Education]],"Below College","College","Bachelor","Master","Doctor")</f>
        <v>Below College</v>
      </c>
      <c r="AL6" s="1" t="str">
        <f>CHOOSE(HR_Data[[#This Row],[JobSatisfaction]],"Low","Medium","High","Very High")</f>
        <v>Medium</v>
      </c>
      <c r="AM6" s="1" t="str">
        <f>CHOOSE(HR_Data[[#This Row],[EnvironmentSatisfaction]],"Low","Medium","High","Very High")</f>
        <v>Low</v>
      </c>
      <c r="AN6" s="1" t="str">
        <f>CHOOSE(HR_Data[[#This Row],[WorkLifeBalance]],"Bad","Good","Better","Best")</f>
        <v>Better</v>
      </c>
      <c r="AO6" s="1" t="str">
        <f>IF(HR_Data[[#This Row],[PercentSalaryHike]]&lt;=13,"11-13%",IF(HR_Data[[#This Row],[PercentSalaryHike]]&lt;=16,"14-16%",IF(HR_Data[[#This Row],[PercentSalaryHike]]&lt;=19,"17-19%","20-25%")))</f>
        <v>11-13%</v>
      </c>
      <c r="AP6" s="1">
        <f>IF(HR_Data[[#This Row],[PercentSalaryHike]]&lt;=13,1,IF(HR_Data[[#This Row],[PercentSalaryHike]]&lt;=16,2,IF(HR_Data[[#This Row],[PercentSalaryHike]]&lt;=19,3,4)))</f>
        <v>1</v>
      </c>
      <c r="AQ6" s="1" t="str">
        <f>IF(HR_Data[[#This Row],[DistanceFromHome]]&lt;=5,"1 to 5",IF(HR_Data[[#This Row],[DistanceFromHome]]&lt;=10,"6 to 10",IF(HR_Data[[#This Row],[DistanceFromHome]]&lt;=20,"11 to 20","21 to 29")))</f>
        <v>1 to 5</v>
      </c>
      <c r="AR6" s="1">
        <f>IF(HR_Data[[#This Row],[DistanceFromHome]]&lt;=5,1,IF(HR_Data[[#This Row],[DistanceFromHome]]&lt;=10,2,IF(HR_Data[[#This Row],[DistanceFromHome]]&lt;=20,3,4)))</f>
        <v>1</v>
      </c>
      <c r="AS6" s="1" t="str">
        <f>IF(HR_Data[[#This Row],[TotalWorkingYears]]&lt;=5,"0-5 Yrs",IF(HR_Data[[#This Row],[TotalWorkingYears]]&lt;=10,"6-10 Yrs",IF(HR_Data[[#This Row],[TotalWorkingYears]]&lt;=20,"11-20 Yrs","20+ Yrs")))</f>
        <v>6-10 Yrs</v>
      </c>
      <c r="AT6" s="1">
        <f>IF(HR_Data[[#This Row],[TotalWorkingYears]]&lt;=5,1,IF(HR_Data[[#This Row],[TotalWorkingYears]]&lt;=10,2,IF(HR_Data[[#This Row],[TotalWorkingYears]]&lt;=20,3,4)))</f>
        <v>2</v>
      </c>
    </row>
    <row r="7" spans="1:46" x14ac:dyDescent="0.25">
      <c r="A7">
        <v>32</v>
      </c>
      <c r="B7" t="s">
        <v>36</v>
      </c>
      <c r="C7" t="s">
        <v>37</v>
      </c>
      <c r="D7" t="s">
        <v>38</v>
      </c>
      <c r="E7">
        <v>2</v>
      </c>
      <c r="F7">
        <v>2</v>
      </c>
      <c r="G7" t="s">
        <v>32</v>
      </c>
      <c r="H7">
        <v>8</v>
      </c>
      <c r="I7">
        <v>4</v>
      </c>
      <c r="J7" t="s">
        <v>39</v>
      </c>
      <c r="K7">
        <v>3</v>
      </c>
      <c r="L7">
        <v>1</v>
      </c>
      <c r="M7" t="s">
        <v>43</v>
      </c>
      <c r="N7">
        <v>4</v>
      </c>
      <c r="O7" t="s">
        <v>35</v>
      </c>
      <c r="P7">
        <v>3068</v>
      </c>
      <c r="Q7">
        <v>0</v>
      </c>
      <c r="R7" t="s">
        <v>36</v>
      </c>
      <c r="S7">
        <v>13</v>
      </c>
      <c r="T7">
        <v>3</v>
      </c>
      <c r="U7">
        <v>3</v>
      </c>
      <c r="V7">
        <v>0</v>
      </c>
      <c r="W7">
        <v>8</v>
      </c>
      <c r="X7">
        <v>2</v>
      </c>
      <c r="Y7">
        <v>2</v>
      </c>
      <c r="Z7">
        <v>7</v>
      </c>
      <c r="AA7">
        <v>7</v>
      </c>
      <c r="AB7">
        <v>3</v>
      </c>
      <c r="AC7">
        <v>6</v>
      </c>
      <c r="AD7">
        <f>IF(HR_Data[[#This Row],[Attrition]]="Yes",1,0)</f>
        <v>0</v>
      </c>
      <c r="AE7" t="str">
        <f>IF(HR_Data[[#This Row],[Age]]&lt;=25,"18-25",IF(HR_Data[[#This Row],[Age]]&lt;=35,"26-35",IF(HR_Data[[#This Row],[Age]]&lt;=45,"36-45",IF(HR_Data[[#This Row],[Age]]&lt;=55,"46-55","55+"))))</f>
        <v>26-35</v>
      </c>
      <c r="AF7">
        <f>IF(HR_Data[[#This Row],[Age]]&lt;=25,1,IF(HR_Data[[#This Row],[Age]]&lt;=35,2,IF(HR_Data[[#This Row],[Age]]&lt;=45,3,IF(HR_Data[[#This Row],[Age]]&lt;=55,4,5))))</f>
        <v>2</v>
      </c>
      <c r="AG7" s="1" t="str">
        <f>IF(HR_Data[[#This Row],[MonthlyIncome]]&lt;3000,"&lt;3K",IF(HR_Data[[#This Row],[MonthlyIncome]]&lt;6000,"3K-6K",IF(HR_Data[[#This Row],[MonthlyIncome]]&lt;10000,"6K-10K","10K+")))</f>
        <v>3K-6K</v>
      </c>
      <c r="AH7" s="1">
        <f>IF(HR_Data[[#This Row],[MonthlyIncome]]&lt;3000,1,IF(HR_Data[[#This Row],[MonthlyIncome]]&lt;6000,2,IF(HR_Data[[#This Row],[MonthlyIncome]]&lt;10000,3,4)))</f>
        <v>2</v>
      </c>
      <c r="AI7" s="1" t="str">
        <f>IF(HR_Data[[#This Row],[YearsAtCompany]]&lt;=2,"0-2 Yrs",IF(HR_Data[[#This Row],[YearsAtCompany]]&lt;=5,"3-5 Yrs",IF(HR_Data[[#This Row],[YearsAtCompany]]&lt;=10,"6-10 Yrs","10+ Yrs")))</f>
        <v>6-10 Yrs</v>
      </c>
      <c r="AJ7" s="1">
        <f>IF(HR_Data[[#This Row],[YearsAtCompany]]&lt;=2,1,IF(HR_Data[[#This Row],[YearsAtCompany]]&lt;=5,2,IF(HR_Data[[#This Row],[YearsAtCompany]]&lt;=10,3,4)))</f>
        <v>3</v>
      </c>
      <c r="AK7" s="1" t="str">
        <f>CHOOSE(HR_Data[[#This Row],[Education]],"Below College","College","Bachelor","Master","Doctor")</f>
        <v>College</v>
      </c>
      <c r="AL7" s="1" t="str">
        <f>CHOOSE(HR_Data[[#This Row],[JobSatisfaction]],"Low","Medium","High","Very High")</f>
        <v>Very High</v>
      </c>
      <c r="AM7" s="1" t="str">
        <f>CHOOSE(HR_Data[[#This Row],[EnvironmentSatisfaction]],"Low","Medium","High","Very High")</f>
        <v>Very High</v>
      </c>
      <c r="AN7" s="1" t="str">
        <f>CHOOSE(HR_Data[[#This Row],[WorkLifeBalance]],"Bad","Good","Better","Best")</f>
        <v>Good</v>
      </c>
      <c r="AO7" s="1" t="str">
        <f>IF(HR_Data[[#This Row],[PercentSalaryHike]]&lt;=13,"11-13%",IF(HR_Data[[#This Row],[PercentSalaryHike]]&lt;=16,"14-16%",IF(HR_Data[[#This Row],[PercentSalaryHike]]&lt;=19,"17-19%","20-25%")))</f>
        <v>11-13%</v>
      </c>
      <c r="AP7" s="1">
        <f>IF(HR_Data[[#This Row],[PercentSalaryHike]]&lt;=13,1,IF(HR_Data[[#This Row],[PercentSalaryHike]]&lt;=16,2,IF(HR_Data[[#This Row],[PercentSalaryHike]]&lt;=19,3,4)))</f>
        <v>1</v>
      </c>
      <c r="AQ7" s="1" t="str">
        <f>IF(HR_Data[[#This Row],[DistanceFromHome]]&lt;=5,"1 to 5",IF(HR_Data[[#This Row],[DistanceFromHome]]&lt;=10,"6 to 10",IF(HR_Data[[#This Row],[DistanceFromHome]]&lt;=20,"11 to 20","21 to 29")))</f>
        <v>1 to 5</v>
      </c>
      <c r="AR7" s="1">
        <f>IF(HR_Data[[#This Row],[DistanceFromHome]]&lt;=5,1,IF(HR_Data[[#This Row],[DistanceFromHome]]&lt;=10,2,IF(HR_Data[[#This Row],[DistanceFromHome]]&lt;=20,3,4)))</f>
        <v>1</v>
      </c>
      <c r="AS7" s="1" t="str">
        <f>IF(HR_Data[[#This Row],[TotalWorkingYears]]&lt;=5,"0-5 Yrs",IF(HR_Data[[#This Row],[TotalWorkingYears]]&lt;=10,"6-10 Yrs",IF(HR_Data[[#This Row],[TotalWorkingYears]]&lt;=20,"11-20 Yrs","20+ Yrs")))</f>
        <v>6-10 Yrs</v>
      </c>
      <c r="AT7" s="1">
        <f>IF(HR_Data[[#This Row],[TotalWorkingYears]]&lt;=5,1,IF(HR_Data[[#This Row],[TotalWorkingYears]]&lt;=10,2,IF(HR_Data[[#This Row],[TotalWorkingYears]]&lt;=20,3,4)))</f>
        <v>2</v>
      </c>
    </row>
    <row r="8" spans="1:46" x14ac:dyDescent="0.25">
      <c r="A8">
        <v>59</v>
      </c>
      <c r="B8" t="s">
        <v>36</v>
      </c>
      <c r="C8" t="s">
        <v>30</v>
      </c>
      <c r="D8" t="s">
        <v>38</v>
      </c>
      <c r="E8">
        <v>3</v>
      </c>
      <c r="F8">
        <v>3</v>
      </c>
      <c r="G8" t="s">
        <v>44</v>
      </c>
      <c r="H8">
        <v>10</v>
      </c>
      <c r="I8">
        <v>3</v>
      </c>
      <c r="J8" t="s">
        <v>33</v>
      </c>
      <c r="K8">
        <v>4</v>
      </c>
      <c r="L8">
        <v>1</v>
      </c>
      <c r="M8" t="s">
        <v>43</v>
      </c>
      <c r="N8">
        <v>1</v>
      </c>
      <c r="O8" t="s">
        <v>41</v>
      </c>
      <c r="P8">
        <v>2670</v>
      </c>
      <c r="Q8">
        <v>4</v>
      </c>
      <c r="R8" t="s">
        <v>29</v>
      </c>
      <c r="S8">
        <v>20</v>
      </c>
      <c r="T8">
        <v>4</v>
      </c>
      <c r="U8">
        <v>1</v>
      </c>
      <c r="V8">
        <v>3</v>
      </c>
      <c r="W8">
        <v>12</v>
      </c>
      <c r="X8">
        <v>3</v>
      </c>
      <c r="Y8">
        <v>2</v>
      </c>
      <c r="Z8">
        <v>1</v>
      </c>
      <c r="AA8">
        <v>0</v>
      </c>
      <c r="AB8">
        <v>0</v>
      </c>
      <c r="AC8">
        <v>0</v>
      </c>
      <c r="AD8">
        <f>IF(HR_Data[[#This Row],[Attrition]]="Yes",1,0)</f>
        <v>0</v>
      </c>
      <c r="AE8" t="str">
        <f>IF(HR_Data[[#This Row],[Age]]&lt;=25,"18-25",IF(HR_Data[[#This Row],[Age]]&lt;=35,"26-35",IF(HR_Data[[#This Row],[Age]]&lt;=45,"36-45",IF(HR_Data[[#This Row],[Age]]&lt;=55,"46-55","55+"))))</f>
        <v>55+</v>
      </c>
      <c r="AF8">
        <f>IF(HR_Data[[#This Row],[Age]]&lt;=25,1,IF(HR_Data[[#This Row],[Age]]&lt;=35,2,IF(HR_Data[[#This Row],[Age]]&lt;=45,3,IF(HR_Data[[#This Row],[Age]]&lt;=55,4,5))))</f>
        <v>5</v>
      </c>
      <c r="AG8" s="1" t="str">
        <f>IF(HR_Data[[#This Row],[MonthlyIncome]]&lt;3000,"&lt;3K",IF(HR_Data[[#This Row],[MonthlyIncome]]&lt;6000,"3K-6K",IF(HR_Data[[#This Row],[MonthlyIncome]]&lt;10000,"6K-10K","10K+")))</f>
        <v>&lt;3K</v>
      </c>
      <c r="AH8" s="1">
        <f>IF(HR_Data[[#This Row],[MonthlyIncome]]&lt;3000,1,IF(HR_Data[[#This Row],[MonthlyIncome]]&lt;6000,2,IF(HR_Data[[#This Row],[MonthlyIncome]]&lt;10000,3,4)))</f>
        <v>1</v>
      </c>
      <c r="AI8" s="1" t="str">
        <f>IF(HR_Data[[#This Row],[YearsAtCompany]]&lt;=2,"0-2 Yrs",IF(HR_Data[[#This Row],[YearsAtCompany]]&lt;=5,"3-5 Yrs",IF(HR_Data[[#This Row],[YearsAtCompany]]&lt;=10,"6-10 Yrs","10+ Yrs")))</f>
        <v>0-2 Yrs</v>
      </c>
      <c r="AJ8" s="1">
        <f>IF(HR_Data[[#This Row],[YearsAtCompany]]&lt;=2,1,IF(HR_Data[[#This Row],[YearsAtCompany]]&lt;=5,2,IF(HR_Data[[#This Row],[YearsAtCompany]]&lt;=10,3,4)))</f>
        <v>1</v>
      </c>
      <c r="AK8" s="1" t="str">
        <f>CHOOSE(HR_Data[[#This Row],[Education]],"Below College","College","Bachelor","Master","Doctor")</f>
        <v>Bachelor</v>
      </c>
      <c r="AL8" s="1" t="str">
        <f>CHOOSE(HR_Data[[#This Row],[JobSatisfaction]],"Low","Medium","High","Very High")</f>
        <v>Low</v>
      </c>
      <c r="AM8" s="1" t="str">
        <f>CHOOSE(HR_Data[[#This Row],[EnvironmentSatisfaction]],"Low","Medium","High","Very High")</f>
        <v>High</v>
      </c>
      <c r="AN8" s="1" t="str">
        <f>CHOOSE(HR_Data[[#This Row],[WorkLifeBalance]],"Bad","Good","Better","Best")</f>
        <v>Good</v>
      </c>
      <c r="AO8" s="1" t="str">
        <f>IF(HR_Data[[#This Row],[PercentSalaryHike]]&lt;=13,"11-13%",IF(HR_Data[[#This Row],[PercentSalaryHike]]&lt;=16,"14-16%",IF(HR_Data[[#This Row],[PercentSalaryHike]]&lt;=19,"17-19%","20-25%")))</f>
        <v>20-25%</v>
      </c>
      <c r="AP8" s="1">
        <f>IF(HR_Data[[#This Row],[PercentSalaryHike]]&lt;=13,1,IF(HR_Data[[#This Row],[PercentSalaryHike]]&lt;=16,2,IF(HR_Data[[#This Row],[PercentSalaryHike]]&lt;=19,3,4)))</f>
        <v>4</v>
      </c>
      <c r="AQ8" s="1" t="str">
        <f>IF(HR_Data[[#This Row],[DistanceFromHome]]&lt;=5,"1 to 5",IF(HR_Data[[#This Row],[DistanceFromHome]]&lt;=10,"6 to 10",IF(HR_Data[[#This Row],[DistanceFromHome]]&lt;=20,"11 to 20","21 to 29")))</f>
        <v>1 to 5</v>
      </c>
      <c r="AR8" s="1">
        <f>IF(HR_Data[[#This Row],[DistanceFromHome]]&lt;=5,1,IF(HR_Data[[#This Row],[DistanceFromHome]]&lt;=10,2,IF(HR_Data[[#This Row],[DistanceFromHome]]&lt;=20,3,4)))</f>
        <v>1</v>
      </c>
      <c r="AS8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8" s="1">
        <f>IF(HR_Data[[#This Row],[TotalWorkingYears]]&lt;=5,1,IF(HR_Data[[#This Row],[TotalWorkingYears]]&lt;=10,2,IF(HR_Data[[#This Row],[TotalWorkingYears]]&lt;=20,3,4)))</f>
        <v>3</v>
      </c>
    </row>
    <row r="9" spans="1:46" x14ac:dyDescent="0.25">
      <c r="A9">
        <v>30</v>
      </c>
      <c r="B9" t="s">
        <v>36</v>
      </c>
      <c r="C9" t="s">
        <v>30</v>
      </c>
      <c r="D9" t="s">
        <v>38</v>
      </c>
      <c r="E9">
        <v>24</v>
      </c>
      <c r="F9">
        <v>1</v>
      </c>
      <c r="G9" t="s">
        <v>32</v>
      </c>
      <c r="H9">
        <v>11</v>
      </c>
      <c r="I9">
        <v>4</v>
      </c>
      <c r="J9" t="s">
        <v>39</v>
      </c>
      <c r="K9">
        <v>3</v>
      </c>
      <c r="L9">
        <v>1</v>
      </c>
      <c r="M9" t="s">
        <v>43</v>
      </c>
      <c r="N9">
        <v>3</v>
      </c>
      <c r="O9" t="s">
        <v>45</v>
      </c>
      <c r="P9">
        <v>2693</v>
      </c>
      <c r="Q9">
        <v>1</v>
      </c>
      <c r="R9" t="s">
        <v>36</v>
      </c>
      <c r="S9">
        <v>22</v>
      </c>
      <c r="T9">
        <v>4</v>
      </c>
      <c r="U9">
        <v>2</v>
      </c>
      <c r="V9">
        <v>1</v>
      </c>
      <c r="W9">
        <v>1</v>
      </c>
      <c r="X9">
        <v>2</v>
      </c>
      <c r="Y9">
        <v>3</v>
      </c>
      <c r="Z9">
        <v>1</v>
      </c>
      <c r="AA9">
        <v>0</v>
      </c>
      <c r="AB9">
        <v>0</v>
      </c>
      <c r="AC9">
        <v>0</v>
      </c>
      <c r="AD9">
        <f>IF(HR_Data[[#This Row],[Attrition]]="Yes",1,0)</f>
        <v>0</v>
      </c>
      <c r="AE9" t="str">
        <f>IF(HR_Data[[#This Row],[Age]]&lt;=25,"18-25",IF(HR_Data[[#This Row],[Age]]&lt;=35,"26-35",IF(HR_Data[[#This Row],[Age]]&lt;=45,"36-45",IF(HR_Data[[#This Row],[Age]]&lt;=55,"46-55","55+"))))</f>
        <v>26-35</v>
      </c>
      <c r="AF9">
        <f>IF(HR_Data[[#This Row],[Age]]&lt;=25,1,IF(HR_Data[[#This Row],[Age]]&lt;=35,2,IF(HR_Data[[#This Row],[Age]]&lt;=45,3,IF(HR_Data[[#This Row],[Age]]&lt;=55,4,5))))</f>
        <v>2</v>
      </c>
      <c r="AG9" s="1" t="str">
        <f>IF(HR_Data[[#This Row],[MonthlyIncome]]&lt;3000,"&lt;3K",IF(HR_Data[[#This Row],[MonthlyIncome]]&lt;6000,"3K-6K",IF(HR_Data[[#This Row],[MonthlyIncome]]&lt;10000,"6K-10K","10K+")))</f>
        <v>&lt;3K</v>
      </c>
      <c r="AH9" s="1">
        <f>IF(HR_Data[[#This Row],[MonthlyIncome]]&lt;3000,1,IF(HR_Data[[#This Row],[MonthlyIncome]]&lt;6000,2,IF(HR_Data[[#This Row],[MonthlyIncome]]&lt;10000,3,4)))</f>
        <v>1</v>
      </c>
      <c r="AI9" s="1" t="str">
        <f>IF(HR_Data[[#This Row],[YearsAtCompany]]&lt;=2,"0-2 Yrs",IF(HR_Data[[#This Row],[YearsAtCompany]]&lt;=5,"3-5 Yrs",IF(HR_Data[[#This Row],[YearsAtCompany]]&lt;=10,"6-10 Yrs","10+ Yrs")))</f>
        <v>0-2 Yrs</v>
      </c>
      <c r="AJ9" s="1">
        <f>IF(HR_Data[[#This Row],[YearsAtCompany]]&lt;=2,1,IF(HR_Data[[#This Row],[YearsAtCompany]]&lt;=5,2,IF(HR_Data[[#This Row],[YearsAtCompany]]&lt;=10,3,4)))</f>
        <v>1</v>
      </c>
      <c r="AK9" s="1" t="str">
        <f>CHOOSE(HR_Data[[#This Row],[Education]],"Below College","College","Bachelor","Master","Doctor")</f>
        <v>Below College</v>
      </c>
      <c r="AL9" s="1" t="str">
        <f>CHOOSE(HR_Data[[#This Row],[JobSatisfaction]],"Low","Medium","High","Very High")</f>
        <v>High</v>
      </c>
      <c r="AM9" s="1" t="str">
        <f>CHOOSE(HR_Data[[#This Row],[EnvironmentSatisfaction]],"Low","Medium","High","Very High")</f>
        <v>Very High</v>
      </c>
      <c r="AN9" s="1" t="str">
        <f>CHOOSE(HR_Data[[#This Row],[WorkLifeBalance]],"Bad","Good","Better","Best")</f>
        <v>Better</v>
      </c>
      <c r="AO9" s="1" t="str">
        <f>IF(HR_Data[[#This Row],[PercentSalaryHike]]&lt;=13,"11-13%",IF(HR_Data[[#This Row],[PercentSalaryHike]]&lt;=16,"14-16%",IF(HR_Data[[#This Row],[PercentSalaryHike]]&lt;=19,"17-19%","20-25%")))</f>
        <v>20-25%</v>
      </c>
      <c r="AP9" s="1">
        <f>IF(HR_Data[[#This Row],[PercentSalaryHike]]&lt;=13,1,IF(HR_Data[[#This Row],[PercentSalaryHike]]&lt;=16,2,IF(HR_Data[[#This Row],[PercentSalaryHike]]&lt;=19,3,4)))</f>
        <v>4</v>
      </c>
      <c r="AQ9" s="1" t="str">
        <f>IF(HR_Data[[#This Row],[DistanceFromHome]]&lt;=5,"1 to 5",IF(HR_Data[[#This Row],[DistanceFromHome]]&lt;=10,"6 to 10",IF(HR_Data[[#This Row],[DistanceFromHome]]&lt;=20,"11 to 20","21 to 29")))</f>
        <v>21 to 29</v>
      </c>
      <c r="AR9" s="1">
        <f>IF(HR_Data[[#This Row],[DistanceFromHome]]&lt;=5,1,IF(HR_Data[[#This Row],[DistanceFromHome]]&lt;=10,2,IF(HR_Data[[#This Row],[DistanceFromHome]]&lt;=20,3,4)))</f>
        <v>4</v>
      </c>
      <c r="AS9" s="1" t="str">
        <f>IF(HR_Data[[#This Row],[TotalWorkingYears]]&lt;=5,"0-5 Yrs",IF(HR_Data[[#This Row],[TotalWorkingYears]]&lt;=10,"6-10 Yrs",IF(HR_Data[[#This Row],[TotalWorkingYears]]&lt;=20,"11-20 Yrs","20+ Yrs")))</f>
        <v>0-5 Yrs</v>
      </c>
      <c r="AT9" s="1">
        <f>IF(HR_Data[[#This Row],[TotalWorkingYears]]&lt;=5,1,IF(HR_Data[[#This Row],[TotalWorkingYears]]&lt;=10,2,IF(HR_Data[[#This Row],[TotalWorkingYears]]&lt;=20,3,4)))</f>
        <v>1</v>
      </c>
    </row>
    <row r="10" spans="1:46" x14ac:dyDescent="0.25">
      <c r="A10">
        <v>38</v>
      </c>
      <c r="B10" t="s">
        <v>36</v>
      </c>
      <c r="C10" t="s">
        <v>37</v>
      </c>
      <c r="D10" t="s">
        <v>38</v>
      </c>
      <c r="E10">
        <v>23</v>
      </c>
      <c r="F10">
        <v>3</v>
      </c>
      <c r="G10" t="s">
        <v>32</v>
      </c>
      <c r="H10">
        <v>12</v>
      </c>
      <c r="I10">
        <v>4</v>
      </c>
      <c r="J10" t="s">
        <v>39</v>
      </c>
      <c r="K10">
        <v>2</v>
      </c>
      <c r="L10">
        <v>3</v>
      </c>
      <c r="M10" t="s">
        <v>46</v>
      </c>
      <c r="N10">
        <v>3</v>
      </c>
      <c r="O10" t="s">
        <v>35</v>
      </c>
      <c r="P10">
        <v>9526</v>
      </c>
      <c r="Q10">
        <v>0</v>
      </c>
      <c r="R10" t="s">
        <v>36</v>
      </c>
      <c r="S10">
        <v>21</v>
      </c>
      <c r="T10">
        <v>4</v>
      </c>
      <c r="U10">
        <v>2</v>
      </c>
      <c r="V10">
        <v>0</v>
      </c>
      <c r="W10">
        <v>10</v>
      </c>
      <c r="X10">
        <v>2</v>
      </c>
      <c r="Y10">
        <v>3</v>
      </c>
      <c r="Z10">
        <v>9</v>
      </c>
      <c r="AA10">
        <v>7</v>
      </c>
      <c r="AB10">
        <v>1</v>
      </c>
      <c r="AC10">
        <v>8</v>
      </c>
      <c r="AD10">
        <f>IF(HR_Data[[#This Row],[Attrition]]="Yes",1,0)</f>
        <v>0</v>
      </c>
      <c r="AE10" t="str">
        <f>IF(HR_Data[[#This Row],[Age]]&lt;=25,"18-25",IF(HR_Data[[#This Row],[Age]]&lt;=35,"26-35",IF(HR_Data[[#This Row],[Age]]&lt;=45,"36-45",IF(HR_Data[[#This Row],[Age]]&lt;=55,"46-55","55+"))))</f>
        <v>36-45</v>
      </c>
      <c r="AF10">
        <f>IF(HR_Data[[#This Row],[Age]]&lt;=25,1,IF(HR_Data[[#This Row],[Age]]&lt;=35,2,IF(HR_Data[[#This Row],[Age]]&lt;=45,3,IF(HR_Data[[#This Row],[Age]]&lt;=55,4,5))))</f>
        <v>3</v>
      </c>
      <c r="AG10" s="1" t="str">
        <f>IF(HR_Data[[#This Row],[MonthlyIncome]]&lt;3000,"&lt;3K",IF(HR_Data[[#This Row],[MonthlyIncome]]&lt;6000,"3K-6K",IF(HR_Data[[#This Row],[MonthlyIncome]]&lt;10000,"6K-10K","10K+")))</f>
        <v>6K-10K</v>
      </c>
      <c r="AH10" s="1">
        <f>IF(HR_Data[[#This Row],[MonthlyIncome]]&lt;3000,1,IF(HR_Data[[#This Row],[MonthlyIncome]]&lt;6000,2,IF(HR_Data[[#This Row],[MonthlyIncome]]&lt;10000,3,4)))</f>
        <v>3</v>
      </c>
      <c r="AI10" s="1" t="str">
        <f>IF(HR_Data[[#This Row],[YearsAtCompany]]&lt;=2,"0-2 Yrs",IF(HR_Data[[#This Row],[YearsAtCompany]]&lt;=5,"3-5 Yrs",IF(HR_Data[[#This Row],[YearsAtCompany]]&lt;=10,"6-10 Yrs","10+ Yrs")))</f>
        <v>6-10 Yrs</v>
      </c>
      <c r="AJ10" s="1">
        <f>IF(HR_Data[[#This Row],[YearsAtCompany]]&lt;=2,1,IF(HR_Data[[#This Row],[YearsAtCompany]]&lt;=5,2,IF(HR_Data[[#This Row],[YearsAtCompany]]&lt;=10,3,4)))</f>
        <v>3</v>
      </c>
      <c r="AK10" s="1" t="str">
        <f>CHOOSE(HR_Data[[#This Row],[Education]],"Below College","College","Bachelor","Master","Doctor")</f>
        <v>Bachelor</v>
      </c>
      <c r="AL10" s="1" t="str">
        <f>CHOOSE(HR_Data[[#This Row],[JobSatisfaction]],"Low","Medium","High","Very High")</f>
        <v>High</v>
      </c>
      <c r="AM10" s="1" t="str">
        <f>CHOOSE(HR_Data[[#This Row],[EnvironmentSatisfaction]],"Low","Medium","High","Very High")</f>
        <v>Very High</v>
      </c>
      <c r="AN10" s="1" t="str">
        <f>CHOOSE(HR_Data[[#This Row],[WorkLifeBalance]],"Bad","Good","Better","Best")</f>
        <v>Better</v>
      </c>
      <c r="AO10" s="1" t="str">
        <f>IF(HR_Data[[#This Row],[PercentSalaryHike]]&lt;=13,"11-13%",IF(HR_Data[[#This Row],[PercentSalaryHike]]&lt;=16,"14-16%",IF(HR_Data[[#This Row],[PercentSalaryHike]]&lt;=19,"17-19%","20-25%")))</f>
        <v>20-25%</v>
      </c>
      <c r="AP10" s="1">
        <f>IF(HR_Data[[#This Row],[PercentSalaryHike]]&lt;=13,1,IF(HR_Data[[#This Row],[PercentSalaryHike]]&lt;=16,2,IF(HR_Data[[#This Row],[PercentSalaryHike]]&lt;=19,3,4)))</f>
        <v>4</v>
      </c>
      <c r="AQ10" s="1" t="str">
        <f>IF(HR_Data[[#This Row],[DistanceFromHome]]&lt;=5,"1 to 5",IF(HR_Data[[#This Row],[DistanceFromHome]]&lt;=10,"6 to 10",IF(HR_Data[[#This Row],[DistanceFromHome]]&lt;=20,"11 to 20","21 to 29")))</f>
        <v>21 to 29</v>
      </c>
      <c r="AR10" s="1">
        <f>IF(HR_Data[[#This Row],[DistanceFromHome]]&lt;=5,1,IF(HR_Data[[#This Row],[DistanceFromHome]]&lt;=10,2,IF(HR_Data[[#This Row],[DistanceFromHome]]&lt;=20,3,4)))</f>
        <v>4</v>
      </c>
      <c r="AS10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0" s="1">
        <f>IF(HR_Data[[#This Row],[TotalWorkingYears]]&lt;=5,1,IF(HR_Data[[#This Row],[TotalWorkingYears]]&lt;=10,2,IF(HR_Data[[#This Row],[TotalWorkingYears]]&lt;=20,3,4)))</f>
        <v>2</v>
      </c>
    </row>
    <row r="11" spans="1:46" x14ac:dyDescent="0.25">
      <c r="A11">
        <v>36</v>
      </c>
      <c r="B11" t="s">
        <v>36</v>
      </c>
      <c r="C11" t="s">
        <v>30</v>
      </c>
      <c r="D11" t="s">
        <v>38</v>
      </c>
      <c r="E11">
        <v>27</v>
      </c>
      <c r="F11">
        <v>3</v>
      </c>
      <c r="G11" t="s">
        <v>44</v>
      </c>
      <c r="H11">
        <v>13</v>
      </c>
      <c r="I11">
        <v>3</v>
      </c>
      <c r="J11" t="s">
        <v>39</v>
      </c>
      <c r="K11">
        <v>3</v>
      </c>
      <c r="L11">
        <v>2</v>
      </c>
      <c r="M11" t="s">
        <v>47</v>
      </c>
      <c r="N11">
        <v>3</v>
      </c>
      <c r="O11" t="s">
        <v>41</v>
      </c>
      <c r="P11">
        <v>5237</v>
      </c>
      <c r="Q11">
        <v>6</v>
      </c>
      <c r="R11" t="s">
        <v>36</v>
      </c>
      <c r="S11">
        <v>13</v>
      </c>
      <c r="T11">
        <v>3</v>
      </c>
      <c r="U11">
        <v>2</v>
      </c>
      <c r="V11">
        <v>2</v>
      </c>
      <c r="W11">
        <v>17</v>
      </c>
      <c r="X11">
        <v>3</v>
      </c>
      <c r="Y11">
        <v>2</v>
      </c>
      <c r="Z11">
        <v>7</v>
      </c>
      <c r="AA11">
        <v>7</v>
      </c>
      <c r="AB11">
        <v>7</v>
      </c>
      <c r="AC11">
        <v>7</v>
      </c>
      <c r="AD11">
        <f>IF(HR_Data[[#This Row],[Attrition]]="Yes",1,0)</f>
        <v>0</v>
      </c>
      <c r="AE11" t="str">
        <f>IF(HR_Data[[#This Row],[Age]]&lt;=25,"18-25",IF(HR_Data[[#This Row],[Age]]&lt;=35,"26-35",IF(HR_Data[[#This Row],[Age]]&lt;=45,"36-45",IF(HR_Data[[#This Row],[Age]]&lt;=55,"46-55","55+"))))</f>
        <v>36-45</v>
      </c>
      <c r="AF11">
        <f>IF(HR_Data[[#This Row],[Age]]&lt;=25,1,IF(HR_Data[[#This Row],[Age]]&lt;=35,2,IF(HR_Data[[#This Row],[Age]]&lt;=45,3,IF(HR_Data[[#This Row],[Age]]&lt;=55,4,5))))</f>
        <v>3</v>
      </c>
      <c r="AG11" s="1" t="str">
        <f>IF(HR_Data[[#This Row],[MonthlyIncome]]&lt;3000,"&lt;3K",IF(HR_Data[[#This Row],[MonthlyIncome]]&lt;6000,"3K-6K",IF(HR_Data[[#This Row],[MonthlyIncome]]&lt;10000,"6K-10K","10K+")))</f>
        <v>3K-6K</v>
      </c>
      <c r="AH11" s="1">
        <f>IF(HR_Data[[#This Row],[MonthlyIncome]]&lt;3000,1,IF(HR_Data[[#This Row],[MonthlyIncome]]&lt;6000,2,IF(HR_Data[[#This Row],[MonthlyIncome]]&lt;10000,3,4)))</f>
        <v>2</v>
      </c>
      <c r="AI11" s="1" t="str">
        <f>IF(HR_Data[[#This Row],[YearsAtCompany]]&lt;=2,"0-2 Yrs",IF(HR_Data[[#This Row],[YearsAtCompany]]&lt;=5,"3-5 Yrs",IF(HR_Data[[#This Row],[YearsAtCompany]]&lt;=10,"6-10 Yrs","10+ Yrs")))</f>
        <v>6-10 Yrs</v>
      </c>
      <c r="AJ11" s="1">
        <f>IF(HR_Data[[#This Row],[YearsAtCompany]]&lt;=2,1,IF(HR_Data[[#This Row],[YearsAtCompany]]&lt;=5,2,IF(HR_Data[[#This Row],[YearsAtCompany]]&lt;=10,3,4)))</f>
        <v>3</v>
      </c>
      <c r="AK11" s="1" t="str">
        <f>CHOOSE(HR_Data[[#This Row],[Education]],"Below College","College","Bachelor","Master","Doctor")</f>
        <v>Bachelor</v>
      </c>
      <c r="AL11" s="1" t="str">
        <f>CHOOSE(HR_Data[[#This Row],[JobSatisfaction]],"Low","Medium","High","Very High")</f>
        <v>High</v>
      </c>
      <c r="AM11" s="1" t="str">
        <f>CHOOSE(HR_Data[[#This Row],[EnvironmentSatisfaction]],"Low","Medium","High","Very High")</f>
        <v>High</v>
      </c>
      <c r="AN11" s="1" t="str">
        <f>CHOOSE(HR_Data[[#This Row],[WorkLifeBalance]],"Bad","Good","Better","Best")</f>
        <v>Good</v>
      </c>
      <c r="AO11" s="1" t="str">
        <f>IF(HR_Data[[#This Row],[PercentSalaryHike]]&lt;=13,"11-13%",IF(HR_Data[[#This Row],[PercentSalaryHike]]&lt;=16,"14-16%",IF(HR_Data[[#This Row],[PercentSalaryHike]]&lt;=19,"17-19%","20-25%")))</f>
        <v>11-13%</v>
      </c>
      <c r="AP11" s="1">
        <f>IF(HR_Data[[#This Row],[PercentSalaryHike]]&lt;=13,1,IF(HR_Data[[#This Row],[PercentSalaryHike]]&lt;=16,2,IF(HR_Data[[#This Row],[PercentSalaryHike]]&lt;=19,3,4)))</f>
        <v>1</v>
      </c>
      <c r="AQ11" s="1" t="str">
        <f>IF(HR_Data[[#This Row],[DistanceFromHome]]&lt;=5,"1 to 5",IF(HR_Data[[#This Row],[DistanceFromHome]]&lt;=10,"6 to 10",IF(HR_Data[[#This Row],[DistanceFromHome]]&lt;=20,"11 to 20","21 to 29")))</f>
        <v>21 to 29</v>
      </c>
      <c r="AR11" s="1">
        <f>IF(HR_Data[[#This Row],[DistanceFromHome]]&lt;=5,1,IF(HR_Data[[#This Row],[DistanceFromHome]]&lt;=10,2,IF(HR_Data[[#This Row],[DistanceFromHome]]&lt;=20,3,4)))</f>
        <v>4</v>
      </c>
      <c r="AS11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1" s="1">
        <f>IF(HR_Data[[#This Row],[TotalWorkingYears]]&lt;=5,1,IF(HR_Data[[#This Row],[TotalWorkingYears]]&lt;=10,2,IF(HR_Data[[#This Row],[TotalWorkingYears]]&lt;=20,3,4)))</f>
        <v>3</v>
      </c>
    </row>
    <row r="12" spans="1:46" x14ac:dyDescent="0.25">
      <c r="A12">
        <v>35</v>
      </c>
      <c r="B12" t="s">
        <v>36</v>
      </c>
      <c r="C12" t="s">
        <v>30</v>
      </c>
      <c r="D12" t="s">
        <v>38</v>
      </c>
      <c r="E12">
        <v>16</v>
      </c>
      <c r="F12">
        <v>3</v>
      </c>
      <c r="G12" t="s">
        <v>44</v>
      </c>
      <c r="H12">
        <v>14</v>
      </c>
      <c r="I12">
        <v>1</v>
      </c>
      <c r="J12" t="s">
        <v>39</v>
      </c>
      <c r="K12">
        <v>4</v>
      </c>
      <c r="L12">
        <v>1</v>
      </c>
      <c r="M12" t="s">
        <v>43</v>
      </c>
      <c r="N12">
        <v>2</v>
      </c>
      <c r="O12" t="s">
        <v>41</v>
      </c>
      <c r="P12">
        <v>2426</v>
      </c>
      <c r="Q12">
        <v>0</v>
      </c>
      <c r="R12" t="s">
        <v>36</v>
      </c>
      <c r="S12">
        <v>13</v>
      </c>
      <c r="T12">
        <v>3</v>
      </c>
      <c r="U12">
        <v>3</v>
      </c>
      <c r="V12">
        <v>1</v>
      </c>
      <c r="W12">
        <v>6</v>
      </c>
      <c r="X12">
        <v>5</v>
      </c>
      <c r="Y12">
        <v>3</v>
      </c>
      <c r="Z12">
        <v>5</v>
      </c>
      <c r="AA12">
        <v>4</v>
      </c>
      <c r="AB12">
        <v>0</v>
      </c>
      <c r="AC12">
        <v>3</v>
      </c>
      <c r="AD12">
        <f>IF(HR_Data[[#This Row],[Attrition]]="Yes",1,0)</f>
        <v>0</v>
      </c>
      <c r="AE12" t="str">
        <f>IF(HR_Data[[#This Row],[Age]]&lt;=25,"18-25",IF(HR_Data[[#This Row],[Age]]&lt;=35,"26-35",IF(HR_Data[[#This Row],[Age]]&lt;=45,"36-45",IF(HR_Data[[#This Row],[Age]]&lt;=55,"46-55","55+"))))</f>
        <v>26-35</v>
      </c>
      <c r="AF12">
        <f>IF(HR_Data[[#This Row],[Age]]&lt;=25,1,IF(HR_Data[[#This Row],[Age]]&lt;=35,2,IF(HR_Data[[#This Row],[Age]]&lt;=45,3,IF(HR_Data[[#This Row],[Age]]&lt;=55,4,5))))</f>
        <v>2</v>
      </c>
      <c r="AG12" s="1" t="str">
        <f>IF(HR_Data[[#This Row],[MonthlyIncome]]&lt;3000,"&lt;3K",IF(HR_Data[[#This Row],[MonthlyIncome]]&lt;6000,"3K-6K",IF(HR_Data[[#This Row],[MonthlyIncome]]&lt;10000,"6K-10K","10K+")))</f>
        <v>&lt;3K</v>
      </c>
      <c r="AH12" s="1">
        <f>IF(HR_Data[[#This Row],[MonthlyIncome]]&lt;3000,1,IF(HR_Data[[#This Row],[MonthlyIncome]]&lt;6000,2,IF(HR_Data[[#This Row],[MonthlyIncome]]&lt;10000,3,4)))</f>
        <v>1</v>
      </c>
      <c r="AI12" s="1" t="str">
        <f>IF(HR_Data[[#This Row],[YearsAtCompany]]&lt;=2,"0-2 Yrs",IF(HR_Data[[#This Row],[YearsAtCompany]]&lt;=5,"3-5 Yrs",IF(HR_Data[[#This Row],[YearsAtCompany]]&lt;=10,"6-10 Yrs","10+ Yrs")))</f>
        <v>3-5 Yrs</v>
      </c>
      <c r="AJ12" s="1">
        <f>IF(HR_Data[[#This Row],[YearsAtCompany]]&lt;=2,1,IF(HR_Data[[#This Row],[YearsAtCompany]]&lt;=5,2,IF(HR_Data[[#This Row],[YearsAtCompany]]&lt;=10,3,4)))</f>
        <v>2</v>
      </c>
      <c r="AK12" s="1" t="str">
        <f>CHOOSE(HR_Data[[#This Row],[Education]],"Below College","College","Bachelor","Master","Doctor")</f>
        <v>Bachelor</v>
      </c>
      <c r="AL12" s="1" t="str">
        <f>CHOOSE(HR_Data[[#This Row],[JobSatisfaction]],"Low","Medium","High","Very High")</f>
        <v>Medium</v>
      </c>
      <c r="AM12" s="1" t="str">
        <f>CHOOSE(HR_Data[[#This Row],[EnvironmentSatisfaction]],"Low","Medium","High","Very High")</f>
        <v>Low</v>
      </c>
      <c r="AN12" s="1" t="str">
        <f>CHOOSE(HR_Data[[#This Row],[WorkLifeBalance]],"Bad","Good","Better","Best")</f>
        <v>Better</v>
      </c>
      <c r="AO12" s="1" t="str">
        <f>IF(HR_Data[[#This Row],[PercentSalaryHike]]&lt;=13,"11-13%",IF(HR_Data[[#This Row],[PercentSalaryHike]]&lt;=16,"14-16%",IF(HR_Data[[#This Row],[PercentSalaryHike]]&lt;=19,"17-19%","20-25%")))</f>
        <v>11-13%</v>
      </c>
      <c r="AP12" s="1">
        <f>IF(HR_Data[[#This Row],[PercentSalaryHike]]&lt;=13,1,IF(HR_Data[[#This Row],[PercentSalaryHike]]&lt;=16,2,IF(HR_Data[[#This Row],[PercentSalaryHike]]&lt;=19,3,4)))</f>
        <v>1</v>
      </c>
      <c r="AQ12" s="1" t="str">
        <f>IF(HR_Data[[#This Row],[DistanceFromHome]]&lt;=5,"1 to 5",IF(HR_Data[[#This Row],[DistanceFromHome]]&lt;=10,"6 to 10",IF(HR_Data[[#This Row],[DistanceFromHome]]&lt;=20,"11 to 20","21 to 29")))</f>
        <v>11 to 20</v>
      </c>
      <c r="AR12" s="1">
        <f>IF(HR_Data[[#This Row],[DistanceFromHome]]&lt;=5,1,IF(HR_Data[[#This Row],[DistanceFromHome]]&lt;=10,2,IF(HR_Data[[#This Row],[DistanceFromHome]]&lt;=20,3,4)))</f>
        <v>3</v>
      </c>
      <c r="AS12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2" s="1">
        <f>IF(HR_Data[[#This Row],[TotalWorkingYears]]&lt;=5,1,IF(HR_Data[[#This Row],[TotalWorkingYears]]&lt;=10,2,IF(HR_Data[[#This Row],[TotalWorkingYears]]&lt;=20,3,4)))</f>
        <v>2</v>
      </c>
    </row>
    <row r="13" spans="1:46" x14ac:dyDescent="0.25">
      <c r="A13">
        <v>29</v>
      </c>
      <c r="B13" t="s">
        <v>36</v>
      </c>
      <c r="C13" t="s">
        <v>30</v>
      </c>
      <c r="D13" t="s">
        <v>38</v>
      </c>
      <c r="E13">
        <v>15</v>
      </c>
      <c r="F13">
        <v>2</v>
      </c>
      <c r="G13" t="s">
        <v>32</v>
      </c>
      <c r="H13">
        <v>15</v>
      </c>
      <c r="I13">
        <v>4</v>
      </c>
      <c r="J13" t="s">
        <v>33</v>
      </c>
      <c r="K13">
        <v>2</v>
      </c>
      <c r="L13">
        <v>2</v>
      </c>
      <c r="M13" t="s">
        <v>43</v>
      </c>
      <c r="N13">
        <v>3</v>
      </c>
      <c r="O13" t="s">
        <v>35</v>
      </c>
      <c r="P13">
        <v>4193</v>
      </c>
      <c r="Q13">
        <v>0</v>
      </c>
      <c r="R13" t="s">
        <v>29</v>
      </c>
      <c r="S13">
        <v>12</v>
      </c>
      <c r="T13">
        <v>3</v>
      </c>
      <c r="U13">
        <v>4</v>
      </c>
      <c r="V13">
        <v>0</v>
      </c>
      <c r="W13">
        <v>10</v>
      </c>
      <c r="X13">
        <v>3</v>
      </c>
      <c r="Y13">
        <v>3</v>
      </c>
      <c r="Z13">
        <v>9</v>
      </c>
      <c r="AA13">
        <v>5</v>
      </c>
      <c r="AB13">
        <v>0</v>
      </c>
      <c r="AC13">
        <v>8</v>
      </c>
      <c r="AD13">
        <f>IF(HR_Data[[#This Row],[Attrition]]="Yes",1,0)</f>
        <v>0</v>
      </c>
      <c r="AE13" t="str">
        <f>IF(HR_Data[[#This Row],[Age]]&lt;=25,"18-25",IF(HR_Data[[#This Row],[Age]]&lt;=35,"26-35",IF(HR_Data[[#This Row],[Age]]&lt;=45,"36-45",IF(HR_Data[[#This Row],[Age]]&lt;=55,"46-55","55+"))))</f>
        <v>26-35</v>
      </c>
      <c r="AF13">
        <f>IF(HR_Data[[#This Row],[Age]]&lt;=25,1,IF(HR_Data[[#This Row],[Age]]&lt;=35,2,IF(HR_Data[[#This Row],[Age]]&lt;=45,3,IF(HR_Data[[#This Row],[Age]]&lt;=55,4,5))))</f>
        <v>2</v>
      </c>
      <c r="AG13" s="1" t="str">
        <f>IF(HR_Data[[#This Row],[MonthlyIncome]]&lt;3000,"&lt;3K",IF(HR_Data[[#This Row],[MonthlyIncome]]&lt;6000,"3K-6K",IF(HR_Data[[#This Row],[MonthlyIncome]]&lt;10000,"6K-10K","10K+")))</f>
        <v>3K-6K</v>
      </c>
      <c r="AH13" s="1">
        <f>IF(HR_Data[[#This Row],[MonthlyIncome]]&lt;3000,1,IF(HR_Data[[#This Row],[MonthlyIncome]]&lt;6000,2,IF(HR_Data[[#This Row],[MonthlyIncome]]&lt;10000,3,4)))</f>
        <v>2</v>
      </c>
      <c r="AI13" s="1" t="str">
        <f>IF(HR_Data[[#This Row],[YearsAtCompany]]&lt;=2,"0-2 Yrs",IF(HR_Data[[#This Row],[YearsAtCompany]]&lt;=5,"3-5 Yrs",IF(HR_Data[[#This Row],[YearsAtCompany]]&lt;=10,"6-10 Yrs","10+ Yrs")))</f>
        <v>6-10 Yrs</v>
      </c>
      <c r="AJ13" s="1">
        <f>IF(HR_Data[[#This Row],[YearsAtCompany]]&lt;=2,1,IF(HR_Data[[#This Row],[YearsAtCompany]]&lt;=5,2,IF(HR_Data[[#This Row],[YearsAtCompany]]&lt;=10,3,4)))</f>
        <v>3</v>
      </c>
      <c r="AK13" s="1" t="str">
        <f>CHOOSE(HR_Data[[#This Row],[Education]],"Below College","College","Bachelor","Master","Doctor")</f>
        <v>College</v>
      </c>
      <c r="AL13" s="1" t="str">
        <f>CHOOSE(HR_Data[[#This Row],[JobSatisfaction]],"Low","Medium","High","Very High")</f>
        <v>High</v>
      </c>
      <c r="AM13" s="1" t="str">
        <f>CHOOSE(HR_Data[[#This Row],[EnvironmentSatisfaction]],"Low","Medium","High","Very High")</f>
        <v>Very High</v>
      </c>
      <c r="AN13" s="1" t="str">
        <f>CHOOSE(HR_Data[[#This Row],[WorkLifeBalance]],"Bad","Good","Better","Best")</f>
        <v>Better</v>
      </c>
      <c r="AO13" s="1" t="str">
        <f>IF(HR_Data[[#This Row],[PercentSalaryHike]]&lt;=13,"11-13%",IF(HR_Data[[#This Row],[PercentSalaryHike]]&lt;=16,"14-16%",IF(HR_Data[[#This Row],[PercentSalaryHike]]&lt;=19,"17-19%","20-25%")))</f>
        <v>11-13%</v>
      </c>
      <c r="AP13" s="1">
        <f>IF(HR_Data[[#This Row],[PercentSalaryHike]]&lt;=13,1,IF(HR_Data[[#This Row],[PercentSalaryHike]]&lt;=16,2,IF(HR_Data[[#This Row],[PercentSalaryHike]]&lt;=19,3,4)))</f>
        <v>1</v>
      </c>
      <c r="AQ13" s="1" t="str">
        <f>IF(HR_Data[[#This Row],[DistanceFromHome]]&lt;=5,"1 to 5",IF(HR_Data[[#This Row],[DistanceFromHome]]&lt;=10,"6 to 10",IF(HR_Data[[#This Row],[DistanceFromHome]]&lt;=20,"11 to 20","21 to 29")))</f>
        <v>11 to 20</v>
      </c>
      <c r="AR13" s="1">
        <f>IF(HR_Data[[#This Row],[DistanceFromHome]]&lt;=5,1,IF(HR_Data[[#This Row],[DistanceFromHome]]&lt;=10,2,IF(HR_Data[[#This Row],[DistanceFromHome]]&lt;=20,3,4)))</f>
        <v>3</v>
      </c>
      <c r="AS13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3" s="1">
        <f>IF(HR_Data[[#This Row],[TotalWorkingYears]]&lt;=5,1,IF(HR_Data[[#This Row],[TotalWorkingYears]]&lt;=10,2,IF(HR_Data[[#This Row],[TotalWorkingYears]]&lt;=20,3,4)))</f>
        <v>2</v>
      </c>
    </row>
    <row r="14" spans="1:46" x14ac:dyDescent="0.25">
      <c r="A14">
        <v>31</v>
      </c>
      <c r="B14" t="s">
        <v>36</v>
      </c>
      <c r="C14" t="s">
        <v>30</v>
      </c>
      <c r="D14" t="s">
        <v>38</v>
      </c>
      <c r="E14">
        <v>26</v>
      </c>
      <c r="F14">
        <v>1</v>
      </c>
      <c r="G14" t="s">
        <v>32</v>
      </c>
      <c r="H14">
        <v>16</v>
      </c>
      <c r="I14">
        <v>1</v>
      </c>
      <c r="J14" t="s">
        <v>39</v>
      </c>
      <c r="K14">
        <v>3</v>
      </c>
      <c r="L14">
        <v>1</v>
      </c>
      <c r="M14" t="s">
        <v>40</v>
      </c>
      <c r="N14">
        <v>3</v>
      </c>
      <c r="O14" t="s">
        <v>45</v>
      </c>
      <c r="P14">
        <v>2911</v>
      </c>
      <c r="Q14">
        <v>1</v>
      </c>
      <c r="R14" t="s">
        <v>36</v>
      </c>
      <c r="S14">
        <v>17</v>
      </c>
      <c r="T14">
        <v>3</v>
      </c>
      <c r="U14">
        <v>4</v>
      </c>
      <c r="V14">
        <v>1</v>
      </c>
      <c r="W14">
        <v>5</v>
      </c>
      <c r="X14">
        <v>1</v>
      </c>
      <c r="Y14">
        <v>2</v>
      </c>
      <c r="Z14">
        <v>5</v>
      </c>
      <c r="AA14">
        <v>2</v>
      </c>
      <c r="AB14">
        <v>4</v>
      </c>
      <c r="AC14">
        <v>3</v>
      </c>
      <c r="AD14">
        <f>IF(HR_Data[[#This Row],[Attrition]]="Yes",1,0)</f>
        <v>0</v>
      </c>
      <c r="AE14" t="str">
        <f>IF(HR_Data[[#This Row],[Age]]&lt;=25,"18-25",IF(HR_Data[[#This Row],[Age]]&lt;=35,"26-35",IF(HR_Data[[#This Row],[Age]]&lt;=45,"36-45",IF(HR_Data[[#This Row],[Age]]&lt;=55,"46-55","55+"))))</f>
        <v>26-35</v>
      </c>
      <c r="AF14">
        <f>IF(HR_Data[[#This Row],[Age]]&lt;=25,1,IF(HR_Data[[#This Row],[Age]]&lt;=35,2,IF(HR_Data[[#This Row],[Age]]&lt;=45,3,IF(HR_Data[[#This Row],[Age]]&lt;=55,4,5))))</f>
        <v>2</v>
      </c>
      <c r="AG14" s="1" t="str">
        <f>IF(HR_Data[[#This Row],[MonthlyIncome]]&lt;3000,"&lt;3K",IF(HR_Data[[#This Row],[MonthlyIncome]]&lt;6000,"3K-6K",IF(HR_Data[[#This Row],[MonthlyIncome]]&lt;10000,"6K-10K","10K+")))</f>
        <v>&lt;3K</v>
      </c>
      <c r="AH14" s="1">
        <f>IF(HR_Data[[#This Row],[MonthlyIncome]]&lt;3000,1,IF(HR_Data[[#This Row],[MonthlyIncome]]&lt;6000,2,IF(HR_Data[[#This Row],[MonthlyIncome]]&lt;10000,3,4)))</f>
        <v>1</v>
      </c>
      <c r="AI14" s="1" t="str">
        <f>IF(HR_Data[[#This Row],[YearsAtCompany]]&lt;=2,"0-2 Yrs",IF(HR_Data[[#This Row],[YearsAtCompany]]&lt;=5,"3-5 Yrs",IF(HR_Data[[#This Row],[YearsAtCompany]]&lt;=10,"6-10 Yrs","10+ Yrs")))</f>
        <v>3-5 Yrs</v>
      </c>
      <c r="AJ14" s="1">
        <f>IF(HR_Data[[#This Row],[YearsAtCompany]]&lt;=2,1,IF(HR_Data[[#This Row],[YearsAtCompany]]&lt;=5,2,IF(HR_Data[[#This Row],[YearsAtCompany]]&lt;=10,3,4)))</f>
        <v>2</v>
      </c>
      <c r="AK14" s="1" t="str">
        <f>CHOOSE(HR_Data[[#This Row],[Education]],"Below College","College","Bachelor","Master","Doctor")</f>
        <v>Below College</v>
      </c>
      <c r="AL14" s="1" t="str">
        <f>CHOOSE(HR_Data[[#This Row],[JobSatisfaction]],"Low","Medium","High","Very High")</f>
        <v>High</v>
      </c>
      <c r="AM14" s="1" t="str">
        <f>CHOOSE(HR_Data[[#This Row],[EnvironmentSatisfaction]],"Low","Medium","High","Very High")</f>
        <v>Low</v>
      </c>
      <c r="AN14" s="1" t="str">
        <f>CHOOSE(HR_Data[[#This Row],[WorkLifeBalance]],"Bad","Good","Better","Best")</f>
        <v>Good</v>
      </c>
      <c r="AO14" s="1" t="str">
        <f>IF(HR_Data[[#This Row],[PercentSalaryHike]]&lt;=13,"11-13%",IF(HR_Data[[#This Row],[PercentSalaryHike]]&lt;=16,"14-16%",IF(HR_Data[[#This Row],[PercentSalaryHike]]&lt;=19,"17-19%","20-25%")))</f>
        <v>17-19%</v>
      </c>
      <c r="AP14" s="1">
        <f>IF(HR_Data[[#This Row],[PercentSalaryHike]]&lt;=13,1,IF(HR_Data[[#This Row],[PercentSalaryHike]]&lt;=16,2,IF(HR_Data[[#This Row],[PercentSalaryHike]]&lt;=19,3,4)))</f>
        <v>3</v>
      </c>
      <c r="AQ14" s="1" t="str">
        <f>IF(HR_Data[[#This Row],[DistanceFromHome]]&lt;=5,"1 to 5",IF(HR_Data[[#This Row],[DistanceFromHome]]&lt;=10,"6 to 10",IF(HR_Data[[#This Row],[DistanceFromHome]]&lt;=20,"11 to 20","21 to 29")))</f>
        <v>21 to 29</v>
      </c>
      <c r="AR14" s="1">
        <f>IF(HR_Data[[#This Row],[DistanceFromHome]]&lt;=5,1,IF(HR_Data[[#This Row],[DistanceFromHome]]&lt;=10,2,IF(HR_Data[[#This Row],[DistanceFromHome]]&lt;=20,3,4)))</f>
        <v>4</v>
      </c>
      <c r="AS14" s="1" t="str">
        <f>IF(HR_Data[[#This Row],[TotalWorkingYears]]&lt;=5,"0-5 Yrs",IF(HR_Data[[#This Row],[TotalWorkingYears]]&lt;=10,"6-10 Yrs",IF(HR_Data[[#This Row],[TotalWorkingYears]]&lt;=20,"11-20 Yrs","20+ Yrs")))</f>
        <v>0-5 Yrs</v>
      </c>
      <c r="AT14" s="1">
        <f>IF(HR_Data[[#This Row],[TotalWorkingYears]]&lt;=5,1,IF(HR_Data[[#This Row],[TotalWorkingYears]]&lt;=10,2,IF(HR_Data[[#This Row],[TotalWorkingYears]]&lt;=20,3,4)))</f>
        <v>1</v>
      </c>
    </row>
    <row r="15" spans="1:46" x14ac:dyDescent="0.25">
      <c r="A15">
        <v>34</v>
      </c>
      <c r="B15" t="s">
        <v>36</v>
      </c>
      <c r="C15" t="s">
        <v>30</v>
      </c>
      <c r="D15" t="s">
        <v>38</v>
      </c>
      <c r="E15">
        <v>19</v>
      </c>
      <c r="F15">
        <v>2</v>
      </c>
      <c r="G15" t="s">
        <v>44</v>
      </c>
      <c r="H15">
        <v>18</v>
      </c>
      <c r="I15">
        <v>2</v>
      </c>
      <c r="J15" t="s">
        <v>39</v>
      </c>
      <c r="K15">
        <v>3</v>
      </c>
      <c r="L15">
        <v>1</v>
      </c>
      <c r="M15" t="s">
        <v>43</v>
      </c>
      <c r="N15">
        <v>4</v>
      </c>
      <c r="O15" t="s">
        <v>45</v>
      </c>
      <c r="P15">
        <v>2661</v>
      </c>
      <c r="Q15">
        <v>0</v>
      </c>
      <c r="R15" t="s">
        <v>36</v>
      </c>
      <c r="S15">
        <v>11</v>
      </c>
      <c r="T15">
        <v>3</v>
      </c>
      <c r="U15">
        <v>3</v>
      </c>
      <c r="V15">
        <v>1</v>
      </c>
      <c r="W15">
        <v>3</v>
      </c>
      <c r="X15">
        <v>2</v>
      </c>
      <c r="Y15">
        <v>3</v>
      </c>
      <c r="Z15">
        <v>2</v>
      </c>
      <c r="AA15">
        <v>2</v>
      </c>
      <c r="AB15">
        <v>1</v>
      </c>
      <c r="AC15">
        <v>2</v>
      </c>
      <c r="AD15">
        <f>IF(HR_Data[[#This Row],[Attrition]]="Yes",1,0)</f>
        <v>0</v>
      </c>
      <c r="AE15" t="str">
        <f>IF(HR_Data[[#This Row],[Age]]&lt;=25,"18-25",IF(HR_Data[[#This Row],[Age]]&lt;=35,"26-35",IF(HR_Data[[#This Row],[Age]]&lt;=45,"36-45",IF(HR_Data[[#This Row],[Age]]&lt;=55,"46-55","55+"))))</f>
        <v>26-35</v>
      </c>
      <c r="AF15">
        <f>IF(HR_Data[[#This Row],[Age]]&lt;=25,1,IF(HR_Data[[#This Row],[Age]]&lt;=35,2,IF(HR_Data[[#This Row],[Age]]&lt;=45,3,IF(HR_Data[[#This Row],[Age]]&lt;=55,4,5))))</f>
        <v>2</v>
      </c>
      <c r="AG15" s="1" t="str">
        <f>IF(HR_Data[[#This Row],[MonthlyIncome]]&lt;3000,"&lt;3K",IF(HR_Data[[#This Row],[MonthlyIncome]]&lt;6000,"3K-6K",IF(HR_Data[[#This Row],[MonthlyIncome]]&lt;10000,"6K-10K","10K+")))</f>
        <v>&lt;3K</v>
      </c>
      <c r="AH15" s="1">
        <f>IF(HR_Data[[#This Row],[MonthlyIncome]]&lt;3000,1,IF(HR_Data[[#This Row],[MonthlyIncome]]&lt;6000,2,IF(HR_Data[[#This Row],[MonthlyIncome]]&lt;10000,3,4)))</f>
        <v>1</v>
      </c>
      <c r="AI15" s="1" t="str">
        <f>IF(HR_Data[[#This Row],[YearsAtCompany]]&lt;=2,"0-2 Yrs",IF(HR_Data[[#This Row],[YearsAtCompany]]&lt;=5,"3-5 Yrs",IF(HR_Data[[#This Row],[YearsAtCompany]]&lt;=10,"6-10 Yrs","10+ Yrs")))</f>
        <v>0-2 Yrs</v>
      </c>
      <c r="AJ15" s="1">
        <f>IF(HR_Data[[#This Row],[YearsAtCompany]]&lt;=2,1,IF(HR_Data[[#This Row],[YearsAtCompany]]&lt;=5,2,IF(HR_Data[[#This Row],[YearsAtCompany]]&lt;=10,3,4)))</f>
        <v>1</v>
      </c>
      <c r="AK15" s="1" t="str">
        <f>CHOOSE(HR_Data[[#This Row],[Education]],"Below College","College","Bachelor","Master","Doctor")</f>
        <v>College</v>
      </c>
      <c r="AL15" s="1" t="str">
        <f>CHOOSE(HR_Data[[#This Row],[JobSatisfaction]],"Low","Medium","High","Very High")</f>
        <v>Very High</v>
      </c>
      <c r="AM15" s="1" t="str">
        <f>CHOOSE(HR_Data[[#This Row],[EnvironmentSatisfaction]],"Low","Medium","High","Very High")</f>
        <v>Medium</v>
      </c>
      <c r="AN15" s="1" t="str">
        <f>CHOOSE(HR_Data[[#This Row],[WorkLifeBalance]],"Bad","Good","Better","Best")</f>
        <v>Better</v>
      </c>
      <c r="AO15" s="1" t="str">
        <f>IF(HR_Data[[#This Row],[PercentSalaryHike]]&lt;=13,"11-13%",IF(HR_Data[[#This Row],[PercentSalaryHike]]&lt;=16,"14-16%",IF(HR_Data[[#This Row],[PercentSalaryHike]]&lt;=19,"17-19%","20-25%")))</f>
        <v>11-13%</v>
      </c>
      <c r="AP15" s="1">
        <f>IF(HR_Data[[#This Row],[PercentSalaryHike]]&lt;=13,1,IF(HR_Data[[#This Row],[PercentSalaryHike]]&lt;=16,2,IF(HR_Data[[#This Row],[PercentSalaryHike]]&lt;=19,3,4)))</f>
        <v>1</v>
      </c>
      <c r="AQ15" s="1" t="str">
        <f>IF(HR_Data[[#This Row],[DistanceFromHome]]&lt;=5,"1 to 5",IF(HR_Data[[#This Row],[DistanceFromHome]]&lt;=10,"6 to 10",IF(HR_Data[[#This Row],[DistanceFromHome]]&lt;=20,"11 to 20","21 to 29")))</f>
        <v>11 to 20</v>
      </c>
      <c r="AR15" s="1">
        <f>IF(HR_Data[[#This Row],[DistanceFromHome]]&lt;=5,1,IF(HR_Data[[#This Row],[DistanceFromHome]]&lt;=10,2,IF(HR_Data[[#This Row],[DistanceFromHome]]&lt;=20,3,4)))</f>
        <v>3</v>
      </c>
      <c r="AS15" s="1" t="str">
        <f>IF(HR_Data[[#This Row],[TotalWorkingYears]]&lt;=5,"0-5 Yrs",IF(HR_Data[[#This Row],[TotalWorkingYears]]&lt;=10,"6-10 Yrs",IF(HR_Data[[#This Row],[TotalWorkingYears]]&lt;=20,"11-20 Yrs","20+ Yrs")))</f>
        <v>0-5 Yrs</v>
      </c>
      <c r="AT15" s="1">
        <f>IF(HR_Data[[#This Row],[TotalWorkingYears]]&lt;=5,1,IF(HR_Data[[#This Row],[TotalWorkingYears]]&lt;=10,2,IF(HR_Data[[#This Row],[TotalWorkingYears]]&lt;=20,3,4)))</f>
        <v>1</v>
      </c>
    </row>
    <row r="16" spans="1:46" x14ac:dyDescent="0.25">
      <c r="A16">
        <v>28</v>
      </c>
      <c r="B16" t="s">
        <v>29</v>
      </c>
      <c r="C16" t="s">
        <v>30</v>
      </c>
      <c r="D16" t="s">
        <v>38</v>
      </c>
      <c r="E16">
        <v>24</v>
      </c>
      <c r="F16">
        <v>3</v>
      </c>
      <c r="G16" t="s">
        <v>32</v>
      </c>
      <c r="H16">
        <v>19</v>
      </c>
      <c r="I16">
        <v>3</v>
      </c>
      <c r="J16" t="s">
        <v>39</v>
      </c>
      <c r="K16">
        <v>2</v>
      </c>
      <c r="L16">
        <v>1</v>
      </c>
      <c r="M16" t="s">
        <v>43</v>
      </c>
      <c r="N16">
        <v>3</v>
      </c>
      <c r="O16" t="s">
        <v>35</v>
      </c>
      <c r="P16">
        <v>2028</v>
      </c>
      <c r="Q16">
        <v>5</v>
      </c>
      <c r="R16" t="s">
        <v>29</v>
      </c>
      <c r="S16">
        <v>14</v>
      </c>
      <c r="T16">
        <v>3</v>
      </c>
      <c r="U16">
        <v>2</v>
      </c>
      <c r="V16">
        <v>0</v>
      </c>
      <c r="W16">
        <v>6</v>
      </c>
      <c r="X16">
        <v>4</v>
      </c>
      <c r="Y16">
        <v>3</v>
      </c>
      <c r="Z16">
        <v>4</v>
      </c>
      <c r="AA16">
        <v>2</v>
      </c>
      <c r="AB16">
        <v>0</v>
      </c>
      <c r="AC16">
        <v>3</v>
      </c>
      <c r="AD16">
        <f>IF(HR_Data[[#This Row],[Attrition]]="Yes",1,0)</f>
        <v>1</v>
      </c>
      <c r="AE16" t="str">
        <f>IF(HR_Data[[#This Row],[Age]]&lt;=25,"18-25",IF(HR_Data[[#This Row],[Age]]&lt;=35,"26-35",IF(HR_Data[[#This Row],[Age]]&lt;=45,"36-45",IF(HR_Data[[#This Row],[Age]]&lt;=55,"46-55","55+"))))</f>
        <v>26-35</v>
      </c>
      <c r="AF16">
        <f>IF(HR_Data[[#This Row],[Age]]&lt;=25,1,IF(HR_Data[[#This Row],[Age]]&lt;=35,2,IF(HR_Data[[#This Row],[Age]]&lt;=45,3,IF(HR_Data[[#This Row],[Age]]&lt;=55,4,5))))</f>
        <v>2</v>
      </c>
      <c r="AG16" s="1" t="str">
        <f>IF(HR_Data[[#This Row],[MonthlyIncome]]&lt;3000,"&lt;3K",IF(HR_Data[[#This Row],[MonthlyIncome]]&lt;6000,"3K-6K",IF(HR_Data[[#This Row],[MonthlyIncome]]&lt;10000,"6K-10K","10K+")))</f>
        <v>&lt;3K</v>
      </c>
      <c r="AH16" s="1">
        <f>IF(HR_Data[[#This Row],[MonthlyIncome]]&lt;3000,1,IF(HR_Data[[#This Row],[MonthlyIncome]]&lt;6000,2,IF(HR_Data[[#This Row],[MonthlyIncome]]&lt;10000,3,4)))</f>
        <v>1</v>
      </c>
      <c r="AI16" s="1" t="str">
        <f>IF(HR_Data[[#This Row],[YearsAtCompany]]&lt;=2,"0-2 Yrs",IF(HR_Data[[#This Row],[YearsAtCompany]]&lt;=5,"3-5 Yrs",IF(HR_Data[[#This Row],[YearsAtCompany]]&lt;=10,"6-10 Yrs","10+ Yrs")))</f>
        <v>3-5 Yrs</v>
      </c>
      <c r="AJ16" s="1">
        <f>IF(HR_Data[[#This Row],[YearsAtCompany]]&lt;=2,1,IF(HR_Data[[#This Row],[YearsAtCompany]]&lt;=5,2,IF(HR_Data[[#This Row],[YearsAtCompany]]&lt;=10,3,4)))</f>
        <v>2</v>
      </c>
      <c r="AK16" s="1" t="str">
        <f>CHOOSE(HR_Data[[#This Row],[Education]],"Below College","College","Bachelor","Master","Doctor")</f>
        <v>Bachelor</v>
      </c>
      <c r="AL16" s="1" t="str">
        <f>CHOOSE(HR_Data[[#This Row],[JobSatisfaction]],"Low","Medium","High","Very High")</f>
        <v>High</v>
      </c>
      <c r="AM16" s="1" t="str">
        <f>CHOOSE(HR_Data[[#This Row],[EnvironmentSatisfaction]],"Low","Medium","High","Very High")</f>
        <v>High</v>
      </c>
      <c r="AN16" s="1" t="str">
        <f>CHOOSE(HR_Data[[#This Row],[WorkLifeBalance]],"Bad","Good","Better","Best")</f>
        <v>Better</v>
      </c>
      <c r="AO16" s="1" t="str">
        <f>IF(HR_Data[[#This Row],[PercentSalaryHike]]&lt;=13,"11-13%",IF(HR_Data[[#This Row],[PercentSalaryHike]]&lt;=16,"14-16%",IF(HR_Data[[#This Row],[PercentSalaryHike]]&lt;=19,"17-19%","20-25%")))</f>
        <v>14-16%</v>
      </c>
      <c r="AP16" s="1">
        <f>IF(HR_Data[[#This Row],[PercentSalaryHike]]&lt;=13,1,IF(HR_Data[[#This Row],[PercentSalaryHike]]&lt;=16,2,IF(HR_Data[[#This Row],[PercentSalaryHike]]&lt;=19,3,4)))</f>
        <v>2</v>
      </c>
      <c r="AQ16" s="1" t="str">
        <f>IF(HR_Data[[#This Row],[DistanceFromHome]]&lt;=5,"1 to 5",IF(HR_Data[[#This Row],[DistanceFromHome]]&lt;=10,"6 to 10",IF(HR_Data[[#This Row],[DistanceFromHome]]&lt;=20,"11 to 20","21 to 29")))</f>
        <v>21 to 29</v>
      </c>
      <c r="AR16" s="1">
        <f>IF(HR_Data[[#This Row],[DistanceFromHome]]&lt;=5,1,IF(HR_Data[[#This Row],[DistanceFromHome]]&lt;=10,2,IF(HR_Data[[#This Row],[DistanceFromHome]]&lt;=20,3,4)))</f>
        <v>4</v>
      </c>
      <c r="AS16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6" s="1">
        <f>IF(HR_Data[[#This Row],[TotalWorkingYears]]&lt;=5,1,IF(HR_Data[[#This Row],[TotalWorkingYears]]&lt;=10,2,IF(HR_Data[[#This Row],[TotalWorkingYears]]&lt;=20,3,4)))</f>
        <v>2</v>
      </c>
    </row>
    <row r="17" spans="1:46" x14ac:dyDescent="0.25">
      <c r="A17">
        <v>29</v>
      </c>
      <c r="B17" t="s">
        <v>36</v>
      </c>
      <c r="C17" t="s">
        <v>30</v>
      </c>
      <c r="D17" t="s">
        <v>38</v>
      </c>
      <c r="E17">
        <v>21</v>
      </c>
      <c r="F17">
        <v>4</v>
      </c>
      <c r="G17" t="s">
        <v>32</v>
      </c>
      <c r="H17">
        <v>20</v>
      </c>
      <c r="I17">
        <v>2</v>
      </c>
      <c r="J17" t="s">
        <v>33</v>
      </c>
      <c r="K17">
        <v>4</v>
      </c>
      <c r="L17">
        <v>3</v>
      </c>
      <c r="M17" t="s">
        <v>46</v>
      </c>
      <c r="N17">
        <v>1</v>
      </c>
      <c r="O17" t="s">
        <v>45</v>
      </c>
      <c r="P17">
        <v>9980</v>
      </c>
      <c r="Q17">
        <v>1</v>
      </c>
      <c r="R17" t="s">
        <v>36</v>
      </c>
      <c r="S17">
        <v>11</v>
      </c>
      <c r="T17">
        <v>3</v>
      </c>
      <c r="U17">
        <v>3</v>
      </c>
      <c r="V17">
        <v>1</v>
      </c>
      <c r="W17">
        <v>10</v>
      </c>
      <c r="X17">
        <v>1</v>
      </c>
      <c r="Y17">
        <v>3</v>
      </c>
      <c r="Z17">
        <v>10</v>
      </c>
      <c r="AA17">
        <v>9</v>
      </c>
      <c r="AB17">
        <v>8</v>
      </c>
      <c r="AC17">
        <v>8</v>
      </c>
      <c r="AD17">
        <f>IF(HR_Data[[#This Row],[Attrition]]="Yes",1,0)</f>
        <v>0</v>
      </c>
      <c r="AE17" t="str">
        <f>IF(HR_Data[[#This Row],[Age]]&lt;=25,"18-25",IF(HR_Data[[#This Row],[Age]]&lt;=35,"26-35",IF(HR_Data[[#This Row],[Age]]&lt;=45,"36-45",IF(HR_Data[[#This Row],[Age]]&lt;=55,"46-55","55+"))))</f>
        <v>26-35</v>
      </c>
      <c r="AF17">
        <f>IF(HR_Data[[#This Row],[Age]]&lt;=25,1,IF(HR_Data[[#This Row],[Age]]&lt;=35,2,IF(HR_Data[[#This Row],[Age]]&lt;=45,3,IF(HR_Data[[#This Row],[Age]]&lt;=55,4,5))))</f>
        <v>2</v>
      </c>
      <c r="AG17" s="1" t="str">
        <f>IF(HR_Data[[#This Row],[MonthlyIncome]]&lt;3000,"&lt;3K",IF(HR_Data[[#This Row],[MonthlyIncome]]&lt;6000,"3K-6K",IF(HR_Data[[#This Row],[MonthlyIncome]]&lt;10000,"6K-10K","10K+")))</f>
        <v>6K-10K</v>
      </c>
      <c r="AH17" s="1">
        <f>IF(HR_Data[[#This Row],[MonthlyIncome]]&lt;3000,1,IF(HR_Data[[#This Row],[MonthlyIncome]]&lt;6000,2,IF(HR_Data[[#This Row],[MonthlyIncome]]&lt;10000,3,4)))</f>
        <v>3</v>
      </c>
      <c r="AI17" s="1" t="str">
        <f>IF(HR_Data[[#This Row],[YearsAtCompany]]&lt;=2,"0-2 Yrs",IF(HR_Data[[#This Row],[YearsAtCompany]]&lt;=5,"3-5 Yrs",IF(HR_Data[[#This Row],[YearsAtCompany]]&lt;=10,"6-10 Yrs","10+ Yrs")))</f>
        <v>6-10 Yrs</v>
      </c>
      <c r="AJ17" s="1">
        <f>IF(HR_Data[[#This Row],[YearsAtCompany]]&lt;=2,1,IF(HR_Data[[#This Row],[YearsAtCompany]]&lt;=5,2,IF(HR_Data[[#This Row],[YearsAtCompany]]&lt;=10,3,4)))</f>
        <v>3</v>
      </c>
      <c r="AK17" s="1" t="str">
        <f>CHOOSE(HR_Data[[#This Row],[Education]],"Below College","College","Bachelor","Master","Doctor")</f>
        <v>Master</v>
      </c>
      <c r="AL17" s="1" t="str">
        <f>CHOOSE(HR_Data[[#This Row],[JobSatisfaction]],"Low","Medium","High","Very High")</f>
        <v>Low</v>
      </c>
      <c r="AM17" s="1" t="str">
        <f>CHOOSE(HR_Data[[#This Row],[EnvironmentSatisfaction]],"Low","Medium","High","Very High")</f>
        <v>Medium</v>
      </c>
      <c r="AN17" s="1" t="str">
        <f>CHOOSE(HR_Data[[#This Row],[WorkLifeBalance]],"Bad","Good","Better","Best")</f>
        <v>Better</v>
      </c>
      <c r="AO17" s="1" t="str">
        <f>IF(HR_Data[[#This Row],[PercentSalaryHike]]&lt;=13,"11-13%",IF(HR_Data[[#This Row],[PercentSalaryHike]]&lt;=16,"14-16%",IF(HR_Data[[#This Row],[PercentSalaryHike]]&lt;=19,"17-19%","20-25%")))</f>
        <v>11-13%</v>
      </c>
      <c r="AP17" s="1">
        <f>IF(HR_Data[[#This Row],[PercentSalaryHike]]&lt;=13,1,IF(HR_Data[[#This Row],[PercentSalaryHike]]&lt;=16,2,IF(HR_Data[[#This Row],[PercentSalaryHike]]&lt;=19,3,4)))</f>
        <v>1</v>
      </c>
      <c r="AQ17" s="1" t="str">
        <f>IF(HR_Data[[#This Row],[DistanceFromHome]]&lt;=5,"1 to 5",IF(HR_Data[[#This Row],[DistanceFromHome]]&lt;=10,"6 to 10",IF(HR_Data[[#This Row],[DistanceFromHome]]&lt;=20,"11 to 20","21 to 29")))</f>
        <v>21 to 29</v>
      </c>
      <c r="AR17" s="1">
        <f>IF(HR_Data[[#This Row],[DistanceFromHome]]&lt;=5,1,IF(HR_Data[[#This Row],[DistanceFromHome]]&lt;=10,2,IF(HR_Data[[#This Row],[DistanceFromHome]]&lt;=20,3,4)))</f>
        <v>4</v>
      </c>
      <c r="AS17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7" s="1">
        <f>IF(HR_Data[[#This Row],[TotalWorkingYears]]&lt;=5,1,IF(HR_Data[[#This Row],[TotalWorkingYears]]&lt;=10,2,IF(HR_Data[[#This Row],[TotalWorkingYears]]&lt;=20,3,4)))</f>
        <v>2</v>
      </c>
    </row>
    <row r="18" spans="1:46" x14ac:dyDescent="0.25">
      <c r="A18">
        <v>32</v>
      </c>
      <c r="B18" t="s">
        <v>36</v>
      </c>
      <c r="C18" t="s">
        <v>30</v>
      </c>
      <c r="D18" t="s">
        <v>38</v>
      </c>
      <c r="E18">
        <v>5</v>
      </c>
      <c r="F18">
        <v>2</v>
      </c>
      <c r="G18" t="s">
        <v>32</v>
      </c>
      <c r="H18">
        <v>21</v>
      </c>
      <c r="I18">
        <v>1</v>
      </c>
      <c r="J18" t="s">
        <v>39</v>
      </c>
      <c r="K18">
        <v>4</v>
      </c>
      <c r="L18">
        <v>1</v>
      </c>
      <c r="M18" t="s">
        <v>40</v>
      </c>
      <c r="N18">
        <v>2</v>
      </c>
      <c r="O18" t="s">
        <v>45</v>
      </c>
      <c r="P18">
        <v>3298</v>
      </c>
      <c r="Q18">
        <v>0</v>
      </c>
      <c r="R18" t="s">
        <v>29</v>
      </c>
      <c r="S18">
        <v>12</v>
      </c>
      <c r="T18">
        <v>3</v>
      </c>
      <c r="U18">
        <v>4</v>
      </c>
      <c r="V18">
        <v>2</v>
      </c>
      <c r="W18">
        <v>7</v>
      </c>
      <c r="X18">
        <v>5</v>
      </c>
      <c r="Y18">
        <v>2</v>
      </c>
      <c r="Z18">
        <v>6</v>
      </c>
      <c r="AA18">
        <v>2</v>
      </c>
      <c r="AB18">
        <v>0</v>
      </c>
      <c r="AC18">
        <v>5</v>
      </c>
      <c r="AD18">
        <f>IF(HR_Data[[#This Row],[Attrition]]="Yes",1,0)</f>
        <v>0</v>
      </c>
      <c r="AE18" t="str">
        <f>IF(HR_Data[[#This Row],[Age]]&lt;=25,"18-25",IF(HR_Data[[#This Row],[Age]]&lt;=35,"26-35",IF(HR_Data[[#This Row],[Age]]&lt;=45,"36-45",IF(HR_Data[[#This Row],[Age]]&lt;=55,"46-55","55+"))))</f>
        <v>26-35</v>
      </c>
      <c r="AF18">
        <f>IF(HR_Data[[#This Row],[Age]]&lt;=25,1,IF(HR_Data[[#This Row],[Age]]&lt;=35,2,IF(HR_Data[[#This Row],[Age]]&lt;=45,3,IF(HR_Data[[#This Row],[Age]]&lt;=55,4,5))))</f>
        <v>2</v>
      </c>
      <c r="AG18" s="1" t="str">
        <f>IF(HR_Data[[#This Row],[MonthlyIncome]]&lt;3000,"&lt;3K",IF(HR_Data[[#This Row],[MonthlyIncome]]&lt;6000,"3K-6K",IF(HR_Data[[#This Row],[MonthlyIncome]]&lt;10000,"6K-10K","10K+")))</f>
        <v>3K-6K</v>
      </c>
      <c r="AH18" s="1">
        <f>IF(HR_Data[[#This Row],[MonthlyIncome]]&lt;3000,1,IF(HR_Data[[#This Row],[MonthlyIncome]]&lt;6000,2,IF(HR_Data[[#This Row],[MonthlyIncome]]&lt;10000,3,4)))</f>
        <v>2</v>
      </c>
      <c r="AI18" s="1" t="str">
        <f>IF(HR_Data[[#This Row],[YearsAtCompany]]&lt;=2,"0-2 Yrs",IF(HR_Data[[#This Row],[YearsAtCompany]]&lt;=5,"3-5 Yrs",IF(HR_Data[[#This Row],[YearsAtCompany]]&lt;=10,"6-10 Yrs","10+ Yrs")))</f>
        <v>6-10 Yrs</v>
      </c>
      <c r="AJ18" s="1">
        <f>IF(HR_Data[[#This Row],[YearsAtCompany]]&lt;=2,1,IF(HR_Data[[#This Row],[YearsAtCompany]]&lt;=5,2,IF(HR_Data[[#This Row],[YearsAtCompany]]&lt;=10,3,4)))</f>
        <v>3</v>
      </c>
      <c r="AK18" s="1" t="str">
        <f>CHOOSE(HR_Data[[#This Row],[Education]],"Below College","College","Bachelor","Master","Doctor")</f>
        <v>College</v>
      </c>
      <c r="AL18" s="1" t="str">
        <f>CHOOSE(HR_Data[[#This Row],[JobSatisfaction]],"Low","Medium","High","Very High")</f>
        <v>Medium</v>
      </c>
      <c r="AM18" s="1" t="str">
        <f>CHOOSE(HR_Data[[#This Row],[EnvironmentSatisfaction]],"Low","Medium","High","Very High")</f>
        <v>Low</v>
      </c>
      <c r="AN18" s="1" t="str">
        <f>CHOOSE(HR_Data[[#This Row],[WorkLifeBalance]],"Bad","Good","Better","Best")</f>
        <v>Good</v>
      </c>
      <c r="AO18" s="1" t="str">
        <f>IF(HR_Data[[#This Row],[PercentSalaryHike]]&lt;=13,"11-13%",IF(HR_Data[[#This Row],[PercentSalaryHike]]&lt;=16,"14-16%",IF(HR_Data[[#This Row],[PercentSalaryHike]]&lt;=19,"17-19%","20-25%")))</f>
        <v>11-13%</v>
      </c>
      <c r="AP18" s="1">
        <f>IF(HR_Data[[#This Row],[PercentSalaryHike]]&lt;=13,1,IF(HR_Data[[#This Row],[PercentSalaryHike]]&lt;=16,2,IF(HR_Data[[#This Row],[PercentSalaryHike]]&lt;=19,3,4)))</f>
        <v>1</v>
      </c>
      <c r="AQ18" s="1" t="str">
        <f>IF(HR_Data[[#This Row],[DistanceFromHome]]&lt;=5,"1 to 5",IF(HR_Data[[#This Row],[DistanceFromHome]]&lt;=10,"6 to 10",IF(HR_Data[[#This Row],[DistanceFromHome]]&lt;=20,"11 to 20","21 to 29")))</f>
        <v>1 to 5</v>
      </c>
      <c r="AR18" s="1">
        <f>IF(HR_Data[[#This Row],[DistanceFromHome]]&lt;=5,1,IF(HR_Data[[#This Row],[DistanceFromHome]]&lt;=10,2,IF(HR_Data[[#This Row],[DistanceFromHome]]&lt;=20,3,4)))</f>
        <v>1</v>
      </c>
      <c r="AS18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8" s="1">
        <f>IF(HR_Data[[#This Row],[TotalWorkingYears]]&lt;=5,1,IF(HR_Data[[#This Row],[TotalWorkingYears]]&lt;=10,2,IF(HR_Data[[#This Row],[TotalWorkingYears]]&lt;=20,3,4)))</f>
        <v>2</v>
      </c>
    </row>
    <row r="19" spans="1:46" x14ac:dyDescent="0.25">
      <c r="A19">
        <v>22</v>
      </c>
      <c r="B19" t="s">
        <v>36</v>
      </c>
      <c r="C19" t="s">
        <v>48</v>
      </c>
      <c r="D19" t="s">
        <v>38</v>
      </c>
      <c r="E19">
        <v>16</v>
      </c>
      <c r="F19">
        <v>2</v>
      </c>
      <c r="G19" t="s">
        <v>44</v>
      </c>
      <c r="H19">
        <v>22</v>
      </c>
      <c r="I19">
        <v>4</v>
      </c>
      <c r="J19" t="s">
        <v>39</v>
      </c>
      <c r="K19">
        <v>4</v>
      </c>
      <c r="L19">
        <v>1</v>
      </c>
      <c r="M19" t="s">
        <v>43</v>
      </c>
      <c r="N19">
        <v>4</v>
      </c>
      <c r="O19" t="s">
        <v>45</v>
      </c>
      <c r="P19">
        <v>2935</v>
      </c>
      <c r="Q19">
        <v>1</v>
      </c>
      <c r="R19" t="s">
        <v>29</v>
      </c>
      <c r="S19">
        <v>13</v>
      </c>
      <c r="T19">
        <v>3</v>
      </c>
      <c r="U19">
        <v>2</v>
      </c>
      <c r="V19">
        <v>2</v>
      </c>
      <c r="W19">
        <v>1</v>
      </c>
      <c r="X19">
        <v>2</v>
      </c>
      <c r="Y19">
        <v>2</v>
      </c>
      <c r="Z19">
        <v>1</v>
      </c>
      <c r="AA19">
        <v>0</v>
      </c>
      <c r="AB19">
        <v>0</v>
      </c>
      <c r="AC19">
        <v>0</v>
      </c>
      <c r="AD19">
        <f>IF(HR_Data[[#This Row],[Attrition]]="Yes",1,0)</f>
        <v>0</v>
      </c>
      <c r="AE19" t="str">
        <f>IF(HR_Data[[#This Row],[Age]]&lt;=25,"18-25",IF(HR_Data[[#This Row],[Age]]&lt;=35,"26-35",IF(HR_Data[[#This Row],[Age]]&lt;=45,"36-45",IF(HR_Data[[#This Row],[Age]]&lt;=55,"46-55","55+"))))</f>
        <v>18-25</v>
      </c>
      <c r="AF19">
        <f>IF(HR_Data[[#This Row],[Age]]&lt;=25,1,IF(HR_Data[[#This Row],[Age]]&lt;=35,2,IF(HR_Data[[#This Row],[Age]]&lt;=45,3,IF(HR_Data[[#This Row],[Age]]&lt;=55,4,5))))</f>
        <v>1</v>
      </c>
      <c r="AG19" s="1" t="str">
        <f>IF(HR_Data[[#This Row],[MonthlyIncome]]&lt;3000,"&lt;3K",IF(HR_Data[[#This Row],[MonthlyIncome]]&lt;6000,"3K-6K",IF(HR_Data[[#This Row],[MonthlyIncome]]&lt;10000,"6K-10K","10K+")))</f>
        <v>&lt;3K</v>
      </c>
      <c r="AH19" s="1">
        <f>IF(HR_Data[[#This Row],[MonthlyIncome]]&lt;3000,1,IF(HR_Data[[#This Row],[MonthlyIncome]]&lt;6000,2,IF(HR_Data[[#This Row],[MonthlyIncome]]&lt;10000,3,4)))</f>
        <v>1</v>
      </c>
      <c r="AI19" s="1" t="str">
        <f>IF(HR_Data[[#This Row],[YearsAtCompany]]&lt;=2,"0-2 Yrs",IF(HR_Data[[#This Row],[YearsAtCompany]]&lt;=5,"3-5 Yrs",IF(HR_Data[[#This Row],[YearsAtCompany]]&lt;=10,"6-10 Yrs","10+ Yrs")))</f>
        <v>0-2 Yrs</v>
      </c>
      <c r="AJ19" s="1">
        <f>IF(HR_Data[[#This Row],[YearsAtCompany]]&lt;=2,1,IF(HR_Data[[#This Row],[YearsAtCompany]]&lt;=5,2,IF(HR_Data[[#This Row],[YearsAtCompany]]&lt;=10,3,4)))</f>
        <v>1</v>
      </c>
      <c r="AK19" s="1" t="str">
        <f>CHOOSE(HR_Data[[#This Row],[Education]],"Below College","College","Bachelor","Master","Doctor")</f>
        <v>College</v>
      </c>
      <c r="AL19" s="1" t="str">
        <f>CHOOSE(HR_Data[[#This Row],[JobSatisfaction]],"Low","Medium","High","Very High")</f>
        <v>Very High</v>
      </c>
      <c r="AM19" s="1" t="str">
        <f>CHOOSE(HR_Data[[#This Row],[EnvironmentSatisfaction]],"Low","Medium","High","Very High")</f>
        <v>Very High</v>
      </c>
      <c r="AN19" s="1" t="str">
        <f>CHOOSE(HR_Data[[#This Row],[WorkLifeBalance]],"Bad","Good","Better","Best")</f>
        <v>Good</v>
      </c>
      <c r="AO19" s="1" t="str">
        <f>IF(HR_Data[[#This Row],[PercentSalaryHike]]&lt;=13,"11-13%",IF(HR_Data[[#This Row],[PercentSalaryHike]]&lt;=16,"14-16%",IF(HR_Data[[#This Row],[PercentSalaryHike]]&lt;=19,"17-19%","20-25%")))</f>
        <v>11-13%</v>
      </c>
      <c r="AP19" s="1">
        <f>IF(HR_Data[[#This Row],[PercentSalaryHike]]&lt;=13,1,IF(HR_Data[[#This Row],[PercentSalaryHike]]&lt;=16,2,IF(HR_Data[[#This Row],[PercentSalaryHike]]&lt;=19,3,4)))</f>
        <v>1</v>
      </c>
      <c r="AQ19" s="1" t="str">
        <f>IF(HR_Data[[#This Row],[DistanceFromHome]]&lt;=5,"1 to 5",IF(HR_Data[[#This Row],[DistanceFromHome]]&lt;=10,"6 to 10",IF(HR_Data[[#This Row],[DistanceFromHome]]&lt;=20,"11 to 20","21 to 29")))</f>
        <v>11 to 20</v>
      </c>
      <c r="AR19" s="1">
        <f>IF(HR_Data[[#This Row],[DistanceFromHome]]&lt;=5,1,IF(HR_Data[[#This Row],[DistanceFromHome]]&lt;=10,2,IF(HR_Data[[#This Row],[DistanceFromHome]]&lt;=20,3,4)))</f>
        <v>3</v>
      </c>
      <c r="AS19" s="1" t="str">
        <f>IF(HR_Data[[#This Row],[TotalWorkingYears]]&lt;=5,"0-5 Yrs",IF(HR_Data[[#This Row],[TotalWorkingYears]]&lt;=10,"6-10 Yrs",IF(HR_Data[[#This Row],[TotalWorkingYears]]&lt;=20,"11-20 Yrs","20+ Yrs")))</f>
        <v>0-5 Yrs</v>
      </c>
      <c r="AT19" s="1">
        <f>IF(HR_Data[[#This Row],[TotalWorkingYears]]&lt;=5,1,IF(HR_Data[[#This Row],[TotalWorkingYears]]&lt;=10,2,IF(HR_Data[[#This Row],[TotalWorkingYears]]&lt;=20,3,4)))</f>
        <v>1</v>
      </c>
    </row>
    <row r="20" spans="1:46" x14ac:dyDescent="0.25">
      <c r="A20">
        <v>53</v>
      </c>
      <c r="B20" t="s">
        <v>36</v>
      </c>
      <c r="C20" t="s">
        <v>30</v>
      </c>
      <c r="D20" t="s">
        <v>31</v>
      </c>
      <c r="E20">
        <v>2</v>
      </c>
      <c r="F20">
        <v>4</v>
      </c>
      <c r="G20" t="s">
        <v>32</v>
      </c>
      <c r="H20">
        <v>23</v>
      </c>
      <c r="I20">
        <v>1</v>
      </c>
      <c r="J20" t="s">
        <v>33</v>
      </c>
      <c r="K20">
        <v>2</v>
      </c>
      <c r="L20">
        <v>4</v>
      </c>
      <c r="M20" t="s">
        <v>49</v>
      </c>
      <c r="N20">
        <v>4</v>
      </c>
      <c r="O20" t="s">
        <v>41</v>
      </c>
      <c r="P20">
        <v>15427</v>
      </c>
      <c r="Q20">
        <v>2</v>
      </c>
      <c r="R20" t="s">
        <v>36</v>
      </c>
      <c r="S20">
        <v>16</v>
      </c>
      <c r="T20">
        <v>3</v>
      </c>
      <c r="U20">
        <v>3</v>
      </c>
      <c r="V20">
        <v>0</v>
      </c>
      <c r="W20">
        <v>31</v>
      </c>
      <c r="X20">
        <v>3</v>
      </c>
      <c r="Y20">
        <v>3</v>
      </c>
      <c r="Z20">
        <v>25</v>
      </c>
      <c r="AA20">
        <v>8</v>
      </c>
      <c r="AB20">
        <v>3</v>
      </c>
      <c r="AC20">
        <v>7</v>
      </c>
      <c r="AD20">
        <f>IF(HR_Data[[#This Row],[Attrition]]="Yes",1,0)</f>
        <v>0</v>
      </c>
      <c r="AE20" t="str">
        <f>IF(HR_Data[[#This Row],[Age]]&lt;=25,"18-25",IF(HR_Data[[#This Row],[Age]]&lt;=35,"26-35",IF(HR_Data[[#This Row],[Age]]&lt;=45,"36-45",IF(HR_Data[[#This Row],[Age]]&lt;=55,"46-55","55+"))))</f>
        <v>46-55</v>
      </c>
      <c r="AF20">
        <f>IF(HR_Data[[#This Row],[Age]]&lt;=25,1,IF(HR_Data[[#This Row],[Age]]&lt;=35,2,IF(HR_Data[[#This Row],[Age]]&lt;=45,3,IF(HR_Data[[#This Row],[Age]]&lt;=55,4,5))))</f>
        <v>4</v>
      </c>
      <c r="AG20" s="1" t="str">
        <f>IF(HR_Data[[#This Row],[MonthlyIncome]]&lt;3000,"&lt;3K",IF(HR_Data[[#This Row],[MonthlyIncome]]&lt;6000,"3K-6K",IF(HR_Data[[#This Row],[MonthlyIncome]]&lt;10000,"6K-10K","10K+")))</f>
        <v>10K+</v>
      </c>
      <c r="AH20" s="1">
        <f>IF(HR_Data[[#This Row],[MonthlyIncome]]&lt;3000,1,IF(HR_Data[[#This Row],[MonthlyIncome]]&lt;6000,2,IF(HR_Data[[#This Row],[MonthlyIncome]]&lt;10000,3,4)))</f>
        <v>4</v>
      </c>
      <c r="AI20" s="1" t="str">
        <f>IF(HR_Data[[#This Row],[YearsAtCompany]]&lt;=2,"0-2 Yrs",IF(HR_Data[[#This Row],[YearsAtCompany]]&lt;=5,"3-5 Yrs",IF(HR_Data[[#This Row],[YearsAtCompany]]&lt;=10,"6-10 Yrs","10+ Yrs")))</f>
        <v>10+ Yrs</v>
      </c>
      <c r="AJ20" s="1">
        <f>IF(HR_Data[[#This Row],[YearsAtCompany]]&lt;=2,1,IF(HR_Data[[#This Row],[YearsAtCompany]]&lt;=5,2,IF(HR_Data[[#This Row],[YearsAtCompany]]&lt;=10,3,4)))</f>
        <v>4</v>
      </c>
      <c r="AK20" s="1" t="str">
        <f>CHOOSE(HR_Data[[#This Row],[Education]],"Below College","College","Bachelor","Master","Doctor")</f>
        <v>Master</v>
      </c>
      <c r="AL20" s="1" t="str">
        <f>CHOOSE(HR_Data[[#This Row],[JobSatisfaction]],"Low","Medium","High","Very High")</f>
        <v>Very High</v>
      </c>
      <c r="AM20" s="1" t="str">
        <f>CHOOSE(HR_Data[[#This Row],[EnvironmentSatisfaction]],"Low","Medium","High","Very High")</f>
        <v>Low</v>
      </c>
      <c r="AN20" s="1" t="str">
        <f>CHOOSE(HR_Data[[#This Row],[WorkLifeBalance]],"Bad","Good","Better","Best")</f>
        <v>Better</v>
      </c>
      <c r="AO20" s="1" t="str">
        <f>IF(HR_Data[[#This Row],[PercentSalaryHike]]&lt;=13,"11-13%",IF(HR_Data[[#This Row],[PercentSalaryHike]]&lt;=16,"14-16%",IF(HR_Data[[#This Row],[PercentSalaryHike]]&lt;=19,"17-19%","20-25%")))</f>
        <v>14-16%</v>
      </c>
      <c r="AP20" s="1">
        <f>IF(HR_Data[[#This Row],[PercentSalaryHike]]&lt;=13,1,IF(HR_Data[[#This Row],[PercentSalaryHike]]&lt;=16,2,IF(HR_Data[[#This Row],[PercentSalaryHike]]&lt;=19,3,4)))</f>
        <v>2</v>
      </c>
      <c r="AQ20" s="1" t="str">
        <f>IF(HR_Data[[#This Row],[DistanceFromHome]]&lt;=5,"1 to 5",IF(HR_Data[[#This Row],[DistanceFromHome]]&lt;=10,"6 to 10",IF(HR_Data[[#This Row],[DistanceFromHome]]&lt;=20,"11 to 20","21 to 29")))</f>
        <v>1 to 5</v>
      </c>
      <c r="AR20" s="1">
        <f>IF(HR_Data[[#This Row],[DistanceFromHome]]&lt;=5,1,IF(HR_Data[[#This Row],[DistanceFromHome]]&lt;=10,2,IF(HR_Data[[#This Row],[DistanceFromHome]]&lt;=20,3,4)))</f>
        <v>1</v>
      </c>
      <c r="AS20" s="1" t="str">
        <f>IF(HR_Data[[#This Row],[TotalWorkingYears]]&lt;=5,"0-5 Yrs",IF(HR_Data[[#This Row],[TotalWorkingYears]]&lt;=10,"6-10 Yrs",IF(HR_Data[[#This Row],[TotalWorkingYears]]&lt;=20,"11-20 Yrs","20+ Yrs")))</f>
        <v>20+ Yrs</v>
      </c>
      <c r="AT20" s="1">
        <f>IF(HR_Data[[#This Row],[TotalWorkingYears]]&lt;=5,1,IF(HR_Data[[#This Row],[TotalWorkingYears]]&lt;=10,2,IF(HR_Data[[#This Row],[TotalWorkingYears]]&lt;=20,3,4)))</f>
        <v>4</v>
      </c>
    </row>
    <row r="21" spans="1:46" x14ac:dyDescent="0.25">
      <c r="A21">
        <v>38</v>
      </c>
      <c r="B21" t="s">
        <v>36</v>
      </c>
      <c r="C21" t="s">
        <v>30</v>
      </c>
      <c r="D21" t="s">
        <v>38</v>
      </c>
      <c r="E21">
        <v>2</v>
      </c>
      <c r="F21">
        <v>3</v>
      </c>
      <c r="G21" t="s">
        <v>32</v>
      </c>
      <c r="H21">
        <v>24</v>
      </c>
      <c r="I21">
        <v>4</v>
      </c>
      <c r="J21" t="s">
        <v>39</v>
      </c>
      <c r="K21">
        <v>3</v>
      </c>
      <c r="L21">
        <v>1</v>
      </c>
      <c r="M21" t="s">
        <v>40</v>
      </c>
      <c r="N21">
        <v>4</v>
      </c>
      <c r="O21" t="s">
        <v>35</v>
      </c>
      <c r="P21">
        <v>3944</v>
      </c>
      <c r="Q21">
        <v>5</v>
      </c>
      <c r="R21" t="s">
        <v>29</v>
      </c>
      <c r="S21">
        <v>11</v>
      </c>
      <c r="T21">
        <v>3</v>
      </c>
      <c r="U21">
        <v>3</v>
      </c>
      <c r="V21">
        <v>0</v>
      </c>
      <c r="W21">
        <v>6</v>
      </c>
      <c r="X21">
        <v>3</v>
      </c>
      <c r="Y21">
        <v>3</v>
      </c>
      <c r="Z21">
        <v>3</v>
      </c>
      <c r="AA21">
        <v>2</v>
      </c>
      <c r="AB21">
        <v>1</v>
      </c>
      <c r="AC21">
        <v>2</v>
      </c>
      <c r="AD21">
        <f>IF(HR_Data[[#This Row],[Attrition]]="Yes",1,0)</f>
        <v>0</v>
      </c>
      <c r="AE21" t="str">
        <f>IF(HR_Data[[#This Row],[Age]]&lt;=25,"18-25",IF(HR_Data[[#This Row],[Age]]&lt;=35,"26-35",IF(HR_Data[[#This Row],[Age]]&lt;=45,"36-45",IF(HR_Data[[#This Row],[Age]]&lt;=55,"46-55","55+"))))</f>
        <v>36-45</v>
      </c>
      <c r="AF21">
        <f>IF(HR_Data[[#This Row],[Age]]&lt;=25,1,IF(HR_Data[[#This Row],[Age]]&lt;=35,2,IF(HR_Data[[#This Row],[Age]]&lt;=45,3,IF(HR_Data[[#This Row],[Age]]&lt;=55,4,5))))</f>
        <v>3</v>
      </c>
      <c r="AG21" s="1" t="str">
        <f>IF(HR_Data[[#This Row],[MonthlyIncome]]&lt;3000,"&lt;3K",IF(HR_Data[[#This Row],[MonthlyIncome]]&lt;6000,"3K-6K",IF(HR_Data[[#This Row],[MonthlyIncome]]&lt;10000,"6K-10K","10K+")))</f>
        <v>3K-6K</v>
      </c>
      <c r="AH21" s="1">
        <f>IF(HR_Data[[#This Row],[MonthlyIncome]]&lt;3000,1,IF(HR_Data[[#This Row],[MonthlyIncome]]&lt;6000,2,IF(HR_Data[[#This Row],[MonthlyIncome]]&lt;10000,3,4)))</f>
        <v>2</v>
      </c>
      <c r="AI21" s="1" t="str">
        <f>IF(HR_Data[[#This Row],[YearsAtCompany]]&lt;=2,"0-2 Yrs",IF(HR_Data[[#This Row],[YearsAtCompany]]&lt;=5,"3-5 Yrs",IF(HR_Data[[#This Row],[YearsAtCompany]]&lt;=10,"6-10 Yrs","10+ Yrs")))</f>
        <v>3-5 Yrs</v>
      </c>
      <c r="AJ21" s="1">
        <f>IF(HR_Data[[#This Row],[YearsAtCompany]]&lt;=2,1,IF(HR_Data[[#This Row],[YearsAtCompany]]&lt;=5,2,IF(HR_Data[[#This Row],[YearsAtCompany]]&lt;=10,3,4)))</f>
        <v>2</v>
      </c>
      <c r="AK21" s="1" t="str">
        <f>CHOOSE(HR_Data[[#This Row],[Education]],"Below College","College","Bachelor","Master","Doctor")</f>
        <v>Bachelor</v>
      </c>
      <c r="AL21" s="1" t="str">
        <f>CHOOSE(HR_Data[[#This Row],[JobSatisfaction]],"Low","Medium","High","Very High")</f>
        <v>Very High</v>
      </c>
      <c r="AM21" s="1" t="str">
        <f>CHOOSE(HR_Data[[#This Row],[EnvironmentSatisfaction]],"Low","Medium","High","Very High")</f>
        <v>Very High</v>
      </c>
      <c r="AN21" s="1" t="str">
        <f>CHOOSE(HR_Data[[#This Row],[WorkLifeBalance]],"Bad","Good","Better","Best")</f>
        <v>Better</v>
      </c>
      <c r="AO21" s="1" t="str">
        <f>IF(HR_Data[[#This Row],[PercentSalaryHike]]&lt;=13,"11-13%",IF(HR_Data[[#This Row],[PercentSalaryHike]]&lt;=16,"14-16%",IF(HR_Data[[#This Row],[PercentSalaryHike]]&lt;=19,"17-19%","20-25%")))</f>
        <v>11-13%</v>
      </c>
      <c r="AP21" s="1">
        <f>IF(HR_Data[[#This Row],[PercentSalaryHike]]&lt;=13,1,IF(HR_Data[[#This Row],[PercentSalaryHike]]&lt;=16,2,IF(HR_Data[[#This Row],[PercentSalaryHike]]&lt;=19,3,4)))</f>
        <v>1</v>
      </c>
      <c r="AQ21" s="1" t="str">
        <f>IF(HR_Data[[#This Row],[DistanceFromHome]]&lt;=5,"1 to 5",IF(HR_Data[[#This Row],[DistanceFromHome]]&lt;=10,"6 to 10",IF(HR_Data[[#This Row],[DistanceFromHome]]&lt;=20,"11 to 20","21 to 29")))</f>
        <v>1 to 5</v>
      </c>
      <c r="AR21" s="1">
        <f>IF(HR_Data[[#This Row],[DistanceFromHome]]&lt;=5,1,IF(HR_Data[[#This Row],[DistanceFromHome]]&lt;=10,2,IF(HR_Data[[#This Row],[DistanceFromHome]]&lt;=20,3,4)))</f>
        <v>1</v>
      </c>
      <c r="AS21" s="1" t="str">
        <f>IF(HR_Data[[#This Row],[TotalWorkingYears]]&lt;=5,"0-5 Yrs",IF(HR_Data[[#This Row],[TotalWorkingYears]]&lt;=10,"6-10 Yrs",IF(HR_Data[[#This Row],[TotalWorkingYears]]&lt;=20,"11-20 Yrs","20+ Yrs")))</f>
        <v>6-10 Yrs</v>
      </c>
      <c r="AT21" s="1">
        <f>IF(HR_Data[[#This Row],[TotalWorkingYears]]&lt;=5,1,IF(HR_Data[[#This Row],[TotalWorkingYears]]&lt;=10,2,IF(HR_Data[[#This Row],[TotalWorkingYears]]&lt;=20,3,4)))</f>
        <v>2</v>
      </c>
    </row>
    <row r="22" spans="1:46" x14ac:dyDescent="0.25">
      <c r="A22">
        <v>24</v>
      </c>
      <c r="B22" t="s">
        <v>36</v>
      </c>
      <c r="C22" t="s">
        <v>48</v>
      </c>
      <c r="D22" t="s">
        <v>38</v>
      </c>
      <c r="E22">
        <v>11</v>
      </c>
      <c r="F22">
        <v>2</v>
      </c>
      <c r="G22" t="s">
        <v>42</v>
      </c>
      <c r="H22">
        <v>26</v>
      </c>
      <c r="I22">
        <v>1</v>
      </c>
      <c r="J22" t="s">
        <v>33</v>
      </c>
      <c r="K22">
        <v>4</v>
      </c>
      <c r="L22">
        <v>2</v>
      </c>
      <c r="M22" t="s">
        <v>46</v>
      </c>
      <c r="N22">
        <v>3</v>
      </c>
      <c r="O22" t="s">
        <v>45</v>
      </c>
      <c r="P22">
        <v>4011</v>
      </c>
      <c r="Q22">
        <v>0</v>
      </c>
      <c r="R22" t="s">
        <v>36</v>
      </c>
      <c r="S22">
        <v>18</v>
      </c>
      <c r="T22">
        <v>3</v>
      </c>
      <c r="U22">
        <v>4</v>
      </c>
      <c r="V22">
        <v>1</v>
      </c>
      <c r="W22">
        <v>5</v>
      </c>
      <c r="X22">
        <v>5</v>
      </c>
      <c r="Y22">
        <v>2</v>
      </c>
      <c r="Z22">
        <v>4</v>
      </c>
      <c r="AA22">
        <v>2</v>
      </c>
      <c r="AB22">
        <v>1</v>
      </c>
      <c r="AC22">
        <v>3</v>
      </c>
      <c r="AD22">
        <f>IF(HR_Data[[#This Row],[Attrition]]="Yes",1,0)</f>
        <v>0</v>
      </c>
      <c r="AE22" t="str">
        <f>IF(HR_Data[[#This Row],[Age]]&lt;=25,"18-25",IF(HR_Data[[#This Row],[Age]]&lt;=35,"26-35",IF(HR_Data[[#This Row],[Age]]&lt;=45,"36-45",IF(HR_Data[[#This Row],[Age]]&lt;=55,"46-55","55+"))))</f>
        <v>18-25</v>
      </c>
      <c r="AF22">
        <f>IF(HR_Data[[#This Row],[Age]]&lt;=25,1,IF(HR_Data[[#This Row],[Age]]&lt;=35,2,IF(HR_Data[[#This Row],[Age]]&lt;=45,3,IF(HR_Data[[#This Row],[Age]]&lt;=55,4,5))))</f>
        <v>1</v>
      </c>
      <c r="AG22" s="1" t="str">
        <f>IF(HR_Data[[#This Row],[MonthlyIncome]]&lt;3000,"&lt;3K",IF(HR_Data[[#This Row],[MonthlyIncome]]&lt;6000,"3K-6K",IF(HR_Data[[#This Row],[MonthlyIncome]]&lt;10000,"6K-10K","10K+")))</f>
        <v>3K-6K</v>
      </c>
      <c r="AH22" s="1">
        <f>IF(HR_Data[[#This Row],[MonthlyIncome]]&lt;3000,1,IF(HR_Data[[#This Row],[MonthlyIncome]]&lt;6000,2,IF(HR_Data[[#This Row],[MonthlyIncome]]&lt;10000,3,4)))</f>
        <v>2</v>
      </c>
      <c r="AI22" s="1" t="str">
        <f>IF(HR_Data[[#This Row],[YearsAtCompany]]&lt;=2,"0-2 Yrs",IF(HR_Data[[#This Row],[YearsAtCompany]]&lt;=5,"3-5 Yrs",IF(HR_Data[[#This Row],[YearsAtCompany]]&lt;=10,"6-10 Yrs","10+ Yrs")))</f>
        <v>3-5 Yrs</v>
      </c>
      <c r="AJ22" s="1">
        <f>IF(HR_Data[[#This Row],[YearsAtCompany]]&lt;=2,1,IF(HR_Data[[#This Row],[YearsAtCompany]]&lt;=5,2,IF(HR_Data[[#This Row],[YearsAtCompany]]&lt;=10,3,4)))</f>
        <v>2</v>
      </c>
      <c r="AK22" s="1" t="str">
        <f>CHOOSE(HR_Data[[#This Row],[Education]],"Below College","College","Bachelor","Master","Doctor")</f>
        <v>College</v>
      </c>
      <c r="AL22" s="1" t="str">
        <f>CHOOSE(HR_Data[[#This Row],[JobSatisfaction]],"Low","Medium","High","Very High")</f>
        <v>High</v>
      </c>
      <c r="AM22" s="1" t="str">
        <f>CHOOSE(HR_Data[[#This Row],[EnvironmentSatisfaction]],"Low","Medium","High","Very High")</f>
        <v>Low</v>
      </c>
      <c r="AN22" s="1" t="str">
        <f>CHOOSE(HR_Data[[#This Row],[WorkLifeBalance]],"Bad","Good","Better","Best")</f>
        <v>Good</v>
      </c>
      <c r="AO22" s="1" t="str">
        <f>IF(HR_Data[[#This Row],[PercentSalaryHike]]&lt;=13,"11-13%",IF(HR_Data[[#This Row],[PercentSalaryHike]]&lt;=16,"14-16%",IF(HR_Data[[#This Row],[PercentSalaryHike]]&lt;=19,"17-19%","20-25%")))</f>
        <v>17-19%</v>
      </c>
      <c r="AP22" s="1">
        <f>IF(HR_Data[[#This Row],[PercentSalaryHike]]&lt;=13,1,IF(HR_Data[[#This Row],[PercentSalaryHike]]&lt;=16,2,IF(HR_Data[[#This Row],[PercentSalaryHike]]&lt;=19,3,4)))</f>
        <v>3</v>
      </c>
      <c r="AQ22" s="1" t="str">
        <f>IF(HR_Data[[#This Row],[DistanceFromHome]]&lt;=5,"1 to 5",IF(HR_Data[[#This Row],[DistanceFromHome]]&lt;=10,"6 to 10",IF(HR_Data[[#This Row],[DistanceFromHome]]&lt;=20,"11 to 20","21 to 29")))</f>
        <v>11 to 20</v>
      </c>
      <c r="AR22" s="1">
        <f>IF(HR_Data[[#This Row],[DistanceFromHome]]&lt;=5,1,IF(HR_Data[[#This Row],[DistanceFromHome]]&lt;=10,2,IF(HR_Data[[#This Row],[DistanceFromHome]]&lt;=20,3,4)))</f>
        <v>3</v>
      </c>
      <c r="AS22" s="1" t="str">
        <f>IF(HR_Data[[#This Row],[TotalWorkingYears]]&lt;=5,"0-5 Yrs",IF(HR_Data[[#This Row],[TotalWorkingYears]]&lt;=10,"6-10 Yrs",IF(HR_Data[[#This Row],[TotalWorkingYears]]&lt;=20,"11-20 Yrs","20+ Yrs")))</f>
        <v>0-5 Yrs</v>
      </c>
      <c r="AT22" s="1">
        <f>IF(HR_Data[[#This Row],[TotalWorkingYears]]&lt;=5,1,IF(HR_Data[[#This Row],[TotalWorkingYears]]&lt;=10,2,IF(HR_Data[[#This Row],[TotalWorkingYears]]&lt;=20,3,4)))</f>
        <v>1</v>
      </c>
    </row>
    <row r="23" spans="1:46" x14ac:dyDescent="0.25">
      <c r="A23">
        <v>36</v>
      </c>
      <c r="B23" t="s">
        <v>29</v>
      </c>
      <c r="C23" t="s">
        <v>30</v>
      </c>
      <c r="D23" t="s">
        <v>31</v>
      </c>
      <c r="E23">
        <v>9</v>
      </c>
      <c r="F23">
        <v>4</v>
      </c>
      <c r="G23" t="s">
        <v>32</v>
      </c>
      <c r="H23">
        <v>27</v>
      </c>
      <c r="I23">
        <v>3</v>
      </c>
      <c r="J23" t="s">
        <v>39</v>
      </c>
      <c r="K23">
        <v>2</v>
      </c>
      <c r="L23">
        <v>1</v>
      </c>
      <c r="M23" t="s">
        <v>50</v>
      </c>
      <c r="N23">
        <v>1</v>
      </c>
      <c r="O23" t="s">
        <v>35</v>
      </c>
      <c r="P23">
        <v>3407</v>
      </c>
      <c r="Q23">
        <v>7</v>
      </c>
      <c r="R23" t="s">
        <v>36</v>
      </c>
      <c r="S23">
        <v>23</v>
      </c>
      <c r="T23">
        <v>4</v>
      </c>
      <c r="U23">
        <v>2</v>
      </c>
      <c r="V23">
        <v>0</v>
      </c>
      <c r="W23">
        <v>10</v>
      </c>
      <c r="X23">
        <v>4</v>
      </c>
      <c r="Y23">
        <v>3</v>
      </c>
      <c r="Z23">
        <v>5</v>
      </c>
      <c r="AA23">
        <v>3</v>
      </c>
      <c r="AB23">
        <v>0</v>
      </c>
      <c r="AC23">
        <v>3</v>
      </c>
      <c r="AD23">
        <f>IF(HR_Data[[#This Row],[Attrition]]="Yes",1,0)</f>
        <v>1</v>
      </c>
      <c r="AE23" t="str">
        <f>IF(HR_Data[[#This Row],[Age]]&lt;=25,"18-25",IF(HR_Data[[#This Row],[Age]]&lt;=35,"26-35",IF(HR_Data[[#This Row],[Age]]&lt;=45,"36-45",IF(HR_Data[[#This Row],[Age]]&lt;=55,"46-55","55+"))))</f>
        <v>36-45</v>
      </c>
      <c r="AF23">
        <f>IF(HR_Data[[#This Row],[Age]]&lt;=25,1,IF(HR_Data[[#This Row],[Age]]&lt;=35,2,IF(HR_Data[[#This Row],[Age]]&lt;=45,3,IF(HR_Data[[#This Row],[Age]]&lt;=55,4,5))))</f>
        <v>3</v>
      </c>
      <c r="AG23" s="1" t="str">
        <f>IF(HR_Data[[#This Row],[MonthlyIncome]]&lt;3000,"&lt;3K",IF(HR_Data[[#This Row],[MonthlyIncome]]&lt;6000,"3K-6K",IF(HR_Data[[#This Row],[MonthlyIncome]]&lt;10000,"6K-10K","10K+")))</f>
        <v>3K-6K</v>
      </c>
      <c r="AH23" s="1">
        <f>IF(HR_Data[[#This Row],[MonthlyIncome]]&lt;3000,1,IF(HR_Data[[#This Row],[MonthlyIncome]]&lt;6000,2,IF(HR_Data[[#This Row],[MonthlyIncome]]&lt;10000,3,4)))</f>
        <v>2</v>
      </c>
      <c r="AI23" s="1" t="str">
        <f>IF(HR_Data[[#This Row],[YearsAtCompany]]&lt;=2,"0-2 Yrs",IF(HR_Data[[#This Row],[YearsAtCompany]]&lt;=5,"3-5 Yrs",IF(HR_Data[[#This Row],[YearsAtCompany]]&lt;=10,"6-10 Yrs","10+ Yrs")))</f>
        <v>3-5 Yrs</v>
      </c>
      <c r="AJ23" s="1">
        <f>IF(HR_Data[[#This Row],[YearsAtCompany]]&lt;=2,1,IF(HR_Data[[#This Row],[YearsAtCompany]]&lt;=5,2,IF(HR_Data[[#This Row],[YearsAtCompany]]&lt;=10,3,4)))</f>
        <v>2</v>
      </c>
      <c r="AK23" s="1" t="str">
        <f>CHOOSE(HR_Data[[#This Row],[Education]],"Below College","College","Bachelor","Master","Doctor")</f>
        <v>Master</v>
      </c>
      <c r="AL23" s="1" t="str">
        <f>CHOOSE(HR_Data[[#This Row],[JobSatisfaction]],"Low","Medium","High","Very High")</f>
        <v>Low</v>
      </c>
      <c r="AM23" s="1" t="str">
        <f>CHOOSE(HR_Data[[#This Row],[EnvironmentSatisfaction]],"Low","Medium","High","Very High")</f>
        <v>High</v>
      </c>
      <c r="AN23" s="1" t="str">
        <f>CHOOSE(HR_Data[[#This Row],[WorkLifeBalance]],"Bad","Good","Better","Best")</f>
        <v>Better</v>
      </c>
      <c r="AO23" s="1" t="str">
        <f>IF(HR_Data[[#This Row],[PercentSalaryHike]]&lt;=13,"11-13%",IF(HR_Data[[#This Row],[PercentSalaryHike]]&lt;=16,"14-16%",IF(HR_Data[[#This Row],[PercentSalaryHike]]&lt;=19,"17-19%","20-25%")))</f>
        <v>20-25%</v>
      </c>
      <c r="AP23" s="1">
        <f>IF(HR_Data[[#This Row],[PercentSalaryHike]]&lt;=13,1,IF(HR_Data[[#This Row],[PercentSalaryHike]]&lt;=16,2,IF(HR_Data[[#This Row],[PercentSalaryHike]]&lt;=19,3,4)))</f>
        <v>4</v>
      </c>
      <c r="AQ23" s="1" t="str">
        <f>IF(HR_Data[[#This Row],[DistanceFromHome]]&lt;=5,"1 to 5",IF(HR_Data[[#This Row],[DistanceFromHome]]&lt;=10,"6 to 10",IF(HR_Data[[#This Row],[DistanceFromHome]]&lt;=20,"11 to 20","21 to 29")))</f>
        <v>6 to 10</v>
      </c>
      <c r="AR23" s="1">
        <f>IF(HR_Data[[#This Row],[DistanceFromHome]]&lt;=5,1,IF(HR_Data[[#This Row],[DistanceFromHome]]&lt;=10,2,IF(HR_Data[[#This Row],[DistanceFromHome]]&lt;=20,3,4)))</f>
        <v>2</v>
      </c>
      <c r="AS23" s="1" t="str">
        <f>IF(HR_Data[[#This Row],[TotalWorkingYears]]&lt;=5,"0-5 Yrs",IF(HR_Data[[#This Row],[TotalWorkingYears]]&lt;=10,"6-10 Yrs",IF(HR_Data[[#This Row],[TotalWorkingYears]]&lt;=20,"11-20 Yrs","20+ Yrs")))</f>
        <v>6-10 Yrs</v>
      </c>
      <c r="AT23" s="1">
        <f>IF(HR_Data[[#This Row],[TotalWorkingYears]]&lt;=5,1,IF(HR_Data[[#This Row],[TotalWorkingYears]]&lt;=10,2,IF(HR_Data[[#This Row],[TotalWorkingYears]]&lt;=20,3,4)))</f>
        <v>2</v>
      </c>
    </row>
    <row r="24" spans="1:46" x14ac:dyDescent="0.25">
      <c r="A24">
        <v>34</v>
      </c>
      <c r="B24" t="s">
        <v>36</v>
      </c>
      <c r="C24" t="s">
        <v>30</v>
      </c>
      <c r="D24" t="s">
        <v>38</v>
      </c>
      <c r="E24">
        <v>7</v>
      </c>
      <c r="F24">
        <v>4</v>
      </c>
      <c r="G24" t="s">
        <v>32</v>
      </c>
      <c r="H24">
        <v>28</v>
      </c>
      <c r="I24">
        <v>1</v>
      </c>
      <c r="J24" t="s">
        <v>33</v>
      </c>
      <c r="K24">
        <v>3</v>
      </c>
      <c r="L24">
        <v>3</v>
      </c>
      <c r="M24" t="s">
        <v>51</v>
      </c>
      <c r="N24">
        <v>2</v>
      </c>
      <c r="O24" t="s">
        <v>35</v>
      </c>
      <c r="P24">
        <v>11994</v>
      </c>
      <c r="Q24">
        <v>0</v>
      </c>
      <c r="R24" t="s">
        <v>36</v>
      </c>
      <c r="S24">
        <v>11</v>
      </c>
      <c r="T24">
        <v>3</v>
      </c>
      <c r="U24">
        <v>3</v>
      </c>
      <c r="V24">
        <v>0</v>
      </c>
      <c r="W24">
        <v>13</v>
      </c>
      <c r="X24">
        <v>4</v>
      </c>
      <c r="Y24">
        <v>3</v>
      </c>
      <c r="Z24">
        <v>12</v>
      </c>
      <c r="AA24">
        <v>6</v>
      </c>
      <c r="AB24">
        <v>2</v>
      </c>
      <c r="AC24">
        <v>11</v>
      </c>
      <c r="AD24">
        <f>IF(HR_Data[[#This Row],[Attrition]]="Yes",1,0)</f>
        <v>0</v>
      </c>
      <c r="AE24" t="str">
        <f>IF(HR_Data[[#This Row],[Age]]&lt;=25,"18-25",IF(HR_Data[[#This Row],[Age]]&lt;=35,"26-35",IF(HR_Data[[#This Row],[Age]]&lt;=45,"36-45",IF(HR_Data[[#This Row],[Age]]&lt;=55,"46-55","55+"))))</f>
        <v>26-35</v>
      </c>
      <c r="AF24">
        <f>IF(HR_Data[[#This Row],[Age]]&lt;=25,1,IF(HR_Data[[#This Row],[Age]]&lt;=35,2,IF(HR_Data[[#This Row],[Age]]&lt;=45,3,IF(HR_Data[[#This Row],[Age]]&lt;=55,4,5))))</f>
        <v>2</v>
      </c>
      <c r="AG24" s="1" t="str">
        <f>IF(HR_Data[[#This Row],[MonthlyIncome]]&lt;3000,"&lt;3K",IF(HR_Data[[#This Row],[MonthlyIncome]]&lt;6000,"3K-6K",IF(HR_Data[[#This Row],[MonthlyIncome]]&lt;10000,"6K-10K","10K+")))</f>
        <v>10K+</v>
      </c>
      <c r="AH24" s="1">
        <f>IF(HR_Data[[#This Row],[MonthlyIncome]]&lt;3000,1,IF(HR_Data[[#This Row],[MonthlyIncome]]&lt;6000,2,IF(HR_Data[[#This Row],[MonthlyIncome]]&lt;10000,3,4)))</f>
        <v>4</v>
      </c>
      <c r="AI24" s="1" t="str">
        <f>IF(HR_Data[[#This Row],[YearsAtCompany]]&lt;=2,"0-2 Yrs",IF(HR_Data[[#This Row],[YearsAtCompany]]&lt;=5,"3-5 Yrs",IF(HR_Data[[#This Row],[YearsAtCompany]]&lt;=10,"6-10 Yrs","10+ Yrs")))</f>
        <v>10+ Yrs</v>
      </c>
      <c r="AJ24" s="1">
        <f>IF(HR_Data[[#This Row],[YearsAtCompany]]&lt;=2,1,IF(HR_Data[[#This Row],[YearsAtCompany]]&lt;=5,2,IF(HR_Data[[#This Row],[YearsAtCompany]]&lt;=10,3,4)))</f>
        <v>4</v>
      </c>
      <c r="AK24" s="1" t="str">
        <f>CHOOSE(HR_Data[[#This Row],[Education]],"Below College","College","Bachelor","Master","Doctor")</f>
        <v>Master</v>
      </c>
      <c r="AL24" s="1" t="str">
        <f>CHOOSE(HR_Data[[#This Row],[JobSatisfaction]],"Low","Medium","High","Very High")</f>
        <v>Medium</v>
      </c>
      <c r="AM24" s="1" t="str">
        <f>CHOOSE(HR_Data[[#This Row],[EnvironmentSatisfaction]],"Low","Medium","High","Very High")</f>
        <v>Low</v>
      </c>
      <c r="AN24" s="1" t="str">
        <f>CHOOSE(HR_Data[[#This Row],[WorkLifeBalance]],"Bad","Good","Better","Best")</f>
        <v>Better</v>
      </c>
      <c r="AO24" s="1" t="str">
        <f>IF(HR_Data[[#This Row],[PercentSalaryHike]]&lt;=13,"11-13%",IF(HR_Data[[#This Row],[PercentSalaryHike]]&lt;=16,"14-16%",IF(HR_Data[[#This Row],[PercentSalaryHike]]&lt;=19,"17-19%","20-25%")))</f>
        <v>11-13%</v>
      </c>
      <c r="AP24" s="1">
        <f>IF(HR_Data[[#This Row],[PercentSalaryHike]]&lt;=13,1,IF(HR_Data[[#This Row],[PercentSalaryHike]]&lt;=16,2,IF(HR_Data[[#This Row],[PercentSalaryHike]]&lt;=19,3,4)))</f>
        <v>1</v>
      </c>
      <c r="AQ24" s="1" t="str">
        <f>IF(HR_Data[[#This Row],[DistanceFromHome]]&lt;=5,"1 to 5",IF(HR_Data[[#This Row],[DistanceFromHome]]&lt;=10,"6 to 10",IF(HR_Data[[#This Row],[DistanceFromHome]]&lt;=20,"11 to 20","21 to 29")))</f>
        <v>6 to 10</v>
      </c>
      <c r="AR24" s="1">
        <f>IF(HR_Data[[#This Row],[DistanceFromHome]]&lt;=5,1,IF(HR_Data[[#This Row],[DistanceFromHome]]&lt;=10,2,IF(HR_Data[[#This Row],[DistanceFromHome]]&lt;=20,3,4)))</f>
        <v>2</v>
      </c>
      <c r="AS24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24" s="1">
        <f>IF(HR_Data[[#This Row],[TotalWorkingYears]]&lt;=5,1,IF(HR_Data[[#This Row],[TotalWorkingYears]]&lt;=10,2,IF(HR_Data[[#This Row],[TotalWorkingYears]]&lt;=20,3,4)))</f>
        <v>3</v>
      </c>
    </row>
    <row r="25" spans="1:46" x14ac:dyDescent="0.25">
      <c r="A25">
        <v>21</v>
      </c>
      <c r="B25" t="s">
        <v>36</v>
      </c>
      <c r="C25" t="s">
        <v>30</v>
      </c>
      <c r="D25" t="s">
        <v>38</v>
      </c>
      <c r="E25">
        <v>15</v>
      </c>
      <c r="F25">
        <v>2</v>
      </c>
      <c r="G25" t="s">
        <v>32</v>
      </c>
      <c r="H25">
        <v>30</v>
      </c>
      <c r="I25">
        <v>3</v>
      </c>
      <c r="J25" t="s">
        <v>39</v>
      </c>
      <c r="K25">
        <v>3</v>
      </c>
      <c r="L25">
        <v>1</v>
      </c>
      <c r="M25" t="s">
        <v>40</v>
      </c>
      <c r="N25">
        <v>4</v>
      </c>
      <c r="O25" t="s">
        <v>35</v>
      </c>
      <c r="P25">
        <v>1232</v>
      </c>
      <c r="Q25">
        <v>1</v>
      </c>
      <c r="R25" t="s">
        <v>36</v>
      </c>
      <c r="S25">
        <v>14</v>
      </c>
      <c r="T25">
        <v>3</v>
      </c>
      <c r="U25">
        <v>4</v>
      </c>
      <c r="V25">
        <v>0</v>
      </c>
      <c r="W25">
        <v>0</v>
      </c>
      <c r="X25">
        <v>6</v>
      </c>
      <c r="Y25">
        <v>3</v>
      </c>
      <c r="Z25">
        <v>0</v>
      </c>
      <c r="AA25">
        <v>0</v>
      </c>
      <c r="AB25">
        <v>0</v>
      </c>
      <c r="AC25">
        <v>0</v>
      </c>
      <c r="AD25">
        <f>IF(HR_Data[[#This Row],[Attrition]]="Yes",1,0)</f>
        <v>0</v>
      </c>
      <c r="AE25" t="str">
        <f>IF(HR_Data[[#This Row],[Age]]&lt;=25,"18-25",IF(HR_Data[[#This Row],[Age]]&lt;=35,"26-35",IF(HR_Data[[#This Row],[Age]]&lt;=45,"36-45",IF(HR_Data[[#This Row],[Age]]&lt;=55,"46-55","55+"))))</f>
        <v>18-25</v>
      </c>
      <c r="AF25">
        <f>IF(HR_Data[[#This Row],[Age]]&lt;=25,1,IF(HR_Data[[#This Row],[Age]]&lt;=35,2,IF(HR_Data[[#This Row],[Age]]&lt;=45,3,IF(HR_Data[[#This Row],[Age]]&lt;=55,4,5))))</f>
        <v>1</v>
      </c>
      <c r="AG25" s="1" t="str">
        <f>IF(HR_Data[[#This Row],[MonthlyIncome]]&lt;3000,"&lt;3K",IF(HR_Data[[#This Row],[MonthlyIncome]]&lt;6000,"3K-6K",IF(HR_Data[[#This Row],[MonthlyIncome]]&lt;10000,"6K-10K","10K+")))</f>
        <v>&lt;3K</v>
      </c>
      <c r="AH25" s="1">
        <f>IF(HR_Data[[#This Row],[MonthlyIncome]]&lt;3000,1,IF(HR_Data[[#This Row],[MonthlyIncome]]&lt;6000,2,IF(HR_Data[[#This Row],[MonthlyIncome]]&lt;10000,3,4)))</f>
        <v>1</v>
      </c>
      <c r="AI25" s="1" t="str">
        <f>IF(HR_Data[[#This Row],[YearsAtCompany]]&lt;=2,"0-2 Yrs",IF(HR_Data[[#This Row],[YearsAtCompany]]&lt;=5,"3-5 Yrs",IF(HR_Data[[#This Row],[YearsAtCompany]]&lt;=10,"6-10 Yrs","10+ Yrs")))</f>
        <v>0-2 Yrs</v>
      </c>
      <c r="AJ25" s="1">
        <f>IF(HR_Data[[#This Row],[YearsAtCompany]]&lt;=2,1,IF(HR_Data[[#This Row],[YearsAtCompany]]&lt;=5,2,IF(HR_Data[[#This Row],[YearsAtCompany]]&lt;=10,3,4)))</f>
        <v>1</v>
      </c>
      <c r="AK25" s="1" t="str">
        <f>CHOOSE(HR_Data[[#This Row],[Education]],"Below College","College","Bachelor","Master","Doctor")</f>
        <v>College</v>
      </c>
      <c r="AL25" s="1" t="str">
        <f>CHOOSE(HR_Data[[#This Row],[JobSatisfaction]],"Low","Medium","High","Very High")</f>
        <v>Very High</v>
      </c>
      <c r="AM25" s="1" t="str">
        <f>CHOOSE(HR_Data[[#This Row],[EnvironmentSatisfaction]],"Low","Medium","High","Very High")</f>
        <v>High</v>
      </c>
      <c r="AN25" s="1" t="str">
        <f>CHOOSE(HR_Data[[#This Row],[WorkLifeBalance]],"Bad","Good","Better","Best")</f>
        <v>Better</v>
      </c>
      <c r="AO25" s="1" t="str">
        <f>IF(HR_Data[[#This Row],[PercentSalaryHike]]&lt;=13,"11-13%",IF(HR_Data[[#This Row],[PercentSalaryHike]]&lt;=16,"14-16%",IF(HR_Data[[#This Row],[PercentSalaryHike]]&lt;=19,"17-19%","20-25%")))</f>
        <v>14-16%</v>
      </c>
      <c r="AP25" s="1">
        <f>IF(HR_Data[[#This Row],[PercentSalaryHike]]&lt;=13,1,IF(HR_Data[[#This Row],[PercentSalaryHike]]&lt;=16,2,IF(HR_Data[[#This Row],[PercentSalaryHike]]&lt;=19,3,4)))</f>
        <v>2</v>
      </c>
      <c r="AQ25" s="1" t="str">
        <f>IF(HR_Data[[#This Row],[DistanceFromHome]]&lt;=5,"1 to 5",IF(HR_Data[[#This Row],[DistanceFromHome]]&lt;=10,"6 to 10",IF(HR_Data[[#This Row],[DistanceFromHome]]&lt;=20,"11 to 20","21 to 29")))</f>
        <v>11 to 20</v>
      </c>
      <c r="AR25" s="1">
        <f>IF(HR_Data[[#This Row],[DistanceFromHome]]&lt;=5,1,IF(HR_Data[[#This Row],[DistanceFromHome]]&lt;=10,2,IF(HR_Data[[#This Row],[DistanceFromHome]]&lt;=20,3,4)))</f>
        <v>3</v>
      </c>
      <c r="AS25" s="1" t="str">
        <f>IF(HR_Data[[#This Row],[TotalWorkingYears]]&lt;=5,"0-5 Yrs",IF(HR_Data[[#This Row],[TotalWorkingYears]]&lt;=10,"6-10 Yrs",IF(HR_Data[[#This Row],[TotalWorkingYears]]&lt;=20,"11-20 Yrs","20+ Yrs")))</f>
        <v>0-5 Yrs</v>
      </c>
      <c r="AT25" s="1">
        <f>IF(HR_Data[[#This Row],[TotalWorkingYears]]&lt;=5,1,IF(HR_Data[[#This Row],[TotalWorkingYears]]&lt;=10,2,IF(HR_Data[[#This Row],[TotalWorkingYears]]&lt;=20,3,4)))</f>
        <v>1</v>
      </c>
    </row>
    <row r="26" spans="1:46" x14ac:dyDescent="0.25">
      <c r="A26">
        <v>34</v>
      </c>
      <c r="B26" t="s">
        <v>29</v>
      </c>
      <c r="C26" t="s">
        <v>30</v>
      </c>
      <c r="D26" t="s">
        <v>38</v>
      </c>
      <c r="E26">
        <v>6</v>
      </c>
      <c r="F26">
        <v>1</v>
      </c>
      <c r="G26" t="s">
        <v>44</v>
      </c>
      <c r="H26">
        <v>31</v>
      </c>
      <c r="I26">
        <v>2</v>
      </c>
      <c r="J26" t="s">
        <v>39</v>
      </c>
      <c r="K26">
        <v>3</v>
      </c>
      <c r="L26">
        <v>1</v>
      </c>
      <c r="M26" t="s">
        <v>40</v>
      </c>
      <c r="N26">
        <v>1</v>
      </c>
      <c r="O26" t="s">
        <v>35</v>
      </c>
      <c r="P26">
        <v>2960</v>
      </c>
      <c r="Q26">
        <v>2</v>
      </c>
      <c r="R26" t="s">
        <v>36</v>
      </c>
      <c r="S26">
        <v>11</v>
      </c>
      <c r="T26">
        <v>3</v>
      </c>
      <c r="U26">
        <v>3</v>
      </c>
      <c r="V26">
        <v>0</v>
      </c>
      <c r="W26">
        <v>8</v>
      </c>
      <c r="X26">
        <v>2</v>
      </c>
      <c r="Y26">
        <v>3</v>
      </c>
      <c r="Z26">
        <v>4</v>
      </c>
      <c r="AA26">
        <v>2</v>
      </c>
      <c r="AB26">
        <v>1</v>
      </c>
      <c r="AC26">
        <v>3</v>
      </c>
      <c r="AD26">
        <f>IF(HR_Data[[#This Row],[Attrition]]="Yes",1,0)</f>
        <v>1</v>
      </c>
      <c r="AE26" t="str">
        <f>IF(HR_Data[[#This Row],[Age]]&lt;=25,"18-25",IF(HR_Data[[#This Row],[Age]]&lt;=35,"26-35",IF(HR_Data[[#This Row],[Age]]&lt;=45,"36-45",IF(HR_Data[[#This Row],[Age]]&lt;=55,"46-55","55+"))))</f>
        <v>26-35</v>
      </c>
      <c r="AF26">
        <f>IF(HR_Data[[#This Row],[Age]]&lt;=25,1,IF(HR_Data[[#This Row],[Age]]&lt;=35,2,IF(HR_Data[[#This Row],[Age]]&lt;=45,3,IF(HR_Data[[#This Row],[Age]]&lt;=55,4,5))))</f>
        <v>2</v>
      </c>
      <c r="AG26" s="1" t="str">
        <f>IF(HR_Data[[#This Row],[MonthlyIncome]]&lt;3000,"&lt;3K",IF(HR_Data[[#This Row],[MonthlyIncome]]&lt;6000,"3K-6K",IF(HR_Data[[#This Row],[MonthlyIncome]]&lt;10000,"6K-10K","10K+")))</f>
        <v>&lt;3K</v>
      </c>
      <c r="AH26" s="1">
        <f>IF(HR_Data[[#This Row],[MonthlyIncome]]&lt;3000,1,IF(HR_Data[[#This Row],[MonthlyIncome]]&lt;6000,2,IF(HR_Data[[#This Row],[MonthlyIncome]]&lt;10000,3,4)))</f>
        <v>1</v>
      </c>
      <c r="AI26" s="1" t="str">
        <f>IF(HR_Data[[#This Row],[YearsAtCompany]]&lt;=2,"0-2 Yrs",IF(HR_Data[[#This Row],[YearsAtCompany]]&lt;=5,"3-5 Yrs",IF(HR_Data[[#This Row],[YearsAtCompany]]&lt;=10,"6-10 Yrs","10+ Yrs")))</f>
        <v>3-5 Yrs</v>
      </c>
      <c r="AJ26" s="1">
        <f>IF(HR_Data[[#This Row],[YearsAtCompany]]&lt;=2,1,IF(HR_Data[[#This Row],[YearsAtCompany]]&lt;=5,2,IF(HR_Data[[#This Row],[YearsAtCompany]]&lt;=10,3,4)))</f>
        <v>2</v>
      </c>
      <c r="AK26" s="1" t="str">
        <f>CHOOSE(HR_Data[[#This Row],[Education]],"Below College","College","Bachelor","Master","Doctor")</f>
        <v>Below College</v>
      </c>
      <c r="AL26" s="1" t="str">
        <f>CHOOSE(HR_Data[[#This Row],[JobSatisfaction]],"Low","Medium","High","Very High")</f>
        <v>Low</v>
      </c>
      <c r="AM26" s="1" t="str">
        <f>CHOOSE(HR_Data[[#This Row],[EnvironmentSatisfaction]],"Low","Medium","High","Very High")</f>
        <v>Medium</v>
      </c>
      <c r="AN26" s="1" t="str">
        <f>CHOOSE(HR_Data[[#This Row],[WorkLifeBalance]],"Bad","Good","Better","Best")</f>
        <v>Better</v>
      </c>
      <c r="AO26" s="1" t="str">
        <f>IF(HR_Data[[#This Row],[PercentSalaryHike]]&lt;=13,"11-13%",IF(HR_Data[[#This Row],[PercentSalaryHike]]&lt;=16,"14-16%",IF(HR_Data[[#This Row],[PercentSalaryHike]]&lt;=19,"17-19%","20-25%")))</f>
        <v>11-13%</v>
      </c>
      <c r="AP26" s="1">
        <f>IF(HR_Data[[#This Row],[PercentSalaryHike]]&lt;=13,1,IF(HR_Data[[#This Row],[PercentSalaryHike]]&lt;=16,2,IF(HR_Data[[#This Row],[PercentSalaryHike]]&lt;=19,3,4)))</f>
        <v>1</v>
      </c>
      <c r="AQ26" s="1" t="str">
        <f>IF(HR_Data[[#This Row],[DistanceFromHome]]&lt;=5,"1 to 5",IF(HR_Data[[#This Row],[DistanceFromHome]]&lt;=10,"6 to 10",IF(HR_Data[[#This Row],[DistanceFromHome]]&lt;=20,"11 to 20","21 to 29")))</f>
        <v>6 to 10</v>
      </c>
      <c r="AR26" s="1">
        <f>IF(HR_Data[[#This Row],[DistanceFromHome]]&lt;=5,1,IF(HR_Data[[#This Row],[DistanceFromHome]]&lt;=10,2,IF(HR_Data[[#This Row],[DistanceFromHome]]&lt;=20,3,4)))</f>
        <v>2</v>
      </c>
      <c r="AS26" s="1" t="str">
        <f>IF(HR_Data[[#This Row],[TotalWorkingYears]]&lt;=5,"0-5 Yrs",IF(HR_Data[[#This Row],[TotalWorkingYears]]&lt;=10,"6-10 Yrs",IF(HR_Data[[#This Row],[TotalWorkingYears]]&lt;=20,"11-20 Yrs","20+ Yrs")))</f>
        <v>6-10 Yrs</v>
      </c>
      <c r="AT26" s="1">
        <f>IF(HR_Data[[#This Row],[TotalWorkingYears]]&lt;=5,1,IF(HR_Data[[#This Row],[TotalWorkingYears]]&lt;=10,2,IF(HR_Data[[#This Row],[TotalWorkingYears]]&lt;=20,3,4)))</f>
        <v>2</v>
      </c>
    </row>
    <row r="27" spans="1:46" x14ac:dyDescent="0.25">
      <c r="A27">
        <v>53</v>
      </c>
      <c r="B27" t="s">
        <v>36</v>
      </c>
      <c r="C27" t="s">
        <v>30</v>
      </c>
      <c r="D27" t="s">
        <v>38</v>
      </c>
      <c r="E27">
        <v>5</v>
      </c>
      <c r="F27">
        <v>3</v>
      </c>
      <c r="G27" t="s">
        <v>42</v>
      </c>
      <c r="H27">
        <v>32</v>
      </c>
      <c r="I27">
        <v>3</v>
      </c>
      <c r="J27" t="s">
        <v>33</v>
      </c>
      <c r="K27">
        <v>3</v>
      </c>
      <c r="L27">
        <v>5</v>
      </c>
      <c r="M27" t="s">
        <v>49</v>
      </c>
      <c r="N27">
        <v>3</v>
      </c>
      <c r="O27" t="s">
        <v>45</v>
      </c>
      <c r="P27">
        <v>19094</v>
      </c>
      <c r="Q27">
        <v>4</v>
      </c>
      <c r="R27" t="s">
        <v>36</v>
      </c>
      <c r="S27">
        <v>11</v>
      </c>
      <c r="T27">
        <v>3</v>
      </c>
      <c r="U27">
        <v>4</v>
      </c>
      <c r="V27">
        <v>1</v>
      </c>
      <c r="W27">
        <v>26</v>
      </c>
      <c r="X27">
        <v>3</v>
      </c>
      <c r="Y27">
        <v>2</v>
      </c>
      <c r="Z27">
        <v>14</v>
      </c>
      <c r="AA27">
        <v>13</v>
      </c>
      <c r="AB27">
        <v>4</v>
      </c>
      <c r="AC27">
        <v>8</v>
      </c>
      <c r="AD27">
        <f>IF(HR_Data[[#This Row],[Attrition]]="Yes",1,0)</f>
        <v>0</v>
      </c>
      <c r="AE27" t="str">
        <f>IF(HR_Data[[#This Row],[Age]]&lt;=25,"18-25",IF(HR_Data[[#This Row],[Age]]&lt;=35,"26-35",IF(HR_Data[[#This Row],[Age]]&lt;=45,"36-45",IF(HR_Data[[#This Row],[Age]]&lt;=55,"46-55","55+"))))</f>
        <v>46-55</v>
      </c>
      <c r="AF27">
        <f>IF(HR_Data[[#This Row],[Age]]&lt;=25,1,IF(HR_Data[[#This Row],[Age]]&lt;=35,2,IF(HR_Data[[#This Row],[Age]]&lt;=45,3,IF(HR_Data[[#This Row],[Age]]&lt;=55,4,5))))</f>
        <v>4</v>
      </c>
      <c r="AG27" s="1" t="str">
        <f>IF(HR_Data[[#This Row],[MonthlyIncome]]&lt;3000,"&lt;3K",IF(HR_Data[[#This Row],[MonthlyIncome]]&lt;6000,"3K-6K",IF(HR_Data[[#This Row],[MonthlyIncome]]&lt;10000,"6K-10K","10K+")))</f>
        <v>10K+</v>
      </c>
      <c r="AH27" s="1">
        <f>IF(HR_Data[[#This Row],[MonthlyIncome]]&lt;3000,1,IF(HR_Data[[#This Row],[MonthlyIncome]]&lt;6000,2,IF(HR_Data[[#This Row],[MonthlyIncome]]&lt;10000,3,4)))</f>
        <v>4</v>
      </c>
      <c r="AI27" s="1" t="str">
        <f>IF(HR_Data[[#This Row],[YearsAtCompany]]&lt;=2,"0-2 Yrs",IF(HR_Data[[#This Row],[YearsAtCompany]]&lt;=5,"3-5 Yrs",IF(HR_Data[[#This Row],[YearsAtCompany]]&lt;=10,"6-10 Yrs","10+ Yrs")))</f>
        <v>10+ Yrs</v>
      </c>
      <c r="AJ27" s="1">
        <f>IF(HR_Data[[#This Row],[YearsAtCompany]]&lt;=2,1,IF(HR_Data[[#This Row],[YearsAtCompany]]&lt;=5,2,IF(HR_Data[[#This Row],[YearsAtCompany]]&lt;=10,3,4)))</f>
        <v>4</v>
      </c>
      <c r="AK27" s="1" t="str">
        <f>CHOOSE(HR_Data[[#This Row],[Education]],"Below College","College","Bachelor","Master","Doctor")</f>
        <v>Bachelor</v>
      </c>
      <c r="AL27" s="1" t="str">
        <f>CHOOSE(HR_Data[[#This Row],[JobSatisfaction]],"Low","Medium","High","Very High")</f>
        <v>High</v>
      </c>
      <c r="AM27" s="1" t="str">
        <f>CHOOSE(HR_Data[[#This Row],[EnvironmentSatisfaction]],"Low","Medium","High","Very High")</f>
        <v>High</v>
      </c>
      <c r="AN27" s="1" t="str">
        <f>CHOOSE(HR_Data[[#This Row],[WorkLifeBalance]],"Bad","Good","Better","Best")</f>
        <v>Good</v>
      </c>
      <c r="AO27" s="1" t="str">
        <f>IF(HR_Data[[#This Row],[PercentSalaryHike]]&lt;=13,"11-13%",IF(HR_Data[[#This Row],[PercentSalaryHike]]&lt;=16,"14-16%",IF(HR_Data[[#This Row],[PercentSalaryHike]]&lt;=19,"17-19%","20-25%")))</f>
        <v>11-13%</v>
      </c>
      <c r="AP27" s="1">
        <f>IF(HR_Data[[#This Row],[PercentSalaryHike]]&lt;=13,1,IF(HR_Data[[#This Row],[PercentSalaryHike]]&lt;=16,2,IF(HR_Data[[#This Row],[PercentSalaryHike]]&lt;=19,3,4)))</f>
        <v>1</v>
      </c>
      <c r="AQ27" s="1" t="str">
        <f>IF(HR_Data[[#This Row],[DistanceFromHome]]&lt;=5,"1 to 5",IF(HR_Data[[#This Row],[DistanceFromHome]]&lt;=10,"6 to 10",IF(HR_Data[[#This Row],[DistanceFromHome]]&lt;=20,"11 to 20","21 to 29")))</f>
        <v>1 to 5</v>
      </c>
      <c r="AR27" s="1">
        <f>IF(HR_Data[[#This Row],[DistanceFromHome]]&lt;=5,1,IF(HR_Data[[#This Row],[DistanceFromHome]]&lt;=10,2,IF(HR_Data[[#This Row],[DistanceFromHome]]&lt;=20,3,4)))</f>
        <v>1</v>
      </c>
      <c r="AS27" s="1" t="str">
        <f>IF(HR_Data[[#This Row],[TotalWorkingYears]]&lt;=5,"0-5 Yrs",IF(HR_Data[[#This Row],[TotalWorkingYears]]&lt;=10,"6-10 Yrs",IF(HR_Data[[#This Row],[TotalWorkingYears]]&lt;=20,"11-20 Yrs","20+ Yrs")))</f>
        <v>20+ Yrs</v>
      </c>
      <c r="AT27" s="1">
        <f>IF(HR_Data[[#This Row],[TotalWorkingYears]]&lt;=5,1,IF(HR_Data[[#This Row],[TotalWorkingYears]]&lt;=10,2,IF(HR_Data[[#This Row],[TotalWorkingYears]]&lt;=20,3,4)))</f>
        <v>4</v>
      </c>
    </row>
    <row r="28" spans="1:46" x14ac:dyDescent="0.25">
      <c r="A28">
        <v>32</v>
      </c>
      <c r="B28" t="s">
        <v>29</v>
      </c>
      <c r="C28" t="s">
        <v>37</v>
      </c>
      <c r="D28" t="s">
        <v>38</v>
      </c>
      <c r="E28">
        <v>16</v>
      </c>
      <c r="F28">
        <v>1</v>
      </c>
      <c r="G28" t="s">
        <v>32</v>
      </c>
      <c r="H28">
        <v>33</v>
      </c>
      <c r="I28">
        <v>2</v>
      </c>
      <c r="J28" t="s">
        <v>33</v>
      </c>
      <c r="K28">
        <v>1</v>
      </c>
      <c r="L28">
        <v>1</v>
      </c>
      <c r="M28" t="s">
        <v>40</v>
      </c>
      <c r="N28">
        <v>1</v>
      </c>
      <c r="O28" t="s">
        <v>35</v>
      </c>
      <c r="P28">
        <v>3919</v>
      </c>
      <c r="Q28">
        <v>1</v>
      </c>
      <c r="R28" t="s">
        <v>29</v>
      </c>
      <c r="S28">
        <v>22</v>
      </c>
      <c r="T28">
        <v>4</v>
      </c>
      <c r="U28">
        <v>2</v>
      </c>
      <c r="V28">
        <v>0</v>
      </c>
      <c r="W28">
        <v>10</v>
      </c>
      <c r="X28">
        <v>5</v>
      </c>
      <c r="Y28">
        <v>3</v>
      </c>
      <c r="Z28">
        <v>10</v>
      </c>
      <c r="AA28">
        <v>2</v>
      </c>
      <c r="AB28">
        <v>6</v>
      </c>
      <c r="AC28">
        <v>7</v>
      </c>
      <c r="AD28">
        <f>IF(HR_Data[[#This Row],[Attrition]]="Yes",1,0)</f>
        <v>1</v>
      </c>
      <c r="AE28" t="str">
        <f>IF(HR_Data[[#This Row],[Age]]&lt;=25,"18-25",IF(HR_Data[[#This Row],[Age]]&lt;=35,"26-35",IF(HR_Data[[#This Row],[Age]]&lt;=45,"36-45",IF(HR_Data[[#This Row],[Age]]&lt;=55,"46-55","55+"))))</f>
        <v>26-35</v>
      </c>
      <c r="AF28">
        <f>IF(HR_Data[[#This Row],[Age]]&lt;=25,1,IF(HR_Data[[#This Row],[Age]]&lt;=35,2,IF(HR_Data[[#This Row],[Age]]&lt;=45,3,IF(HR_Data[[#This Row],[Age]]&lt;=55,4,5))))</f>
        <v>2</v>
      </c>
      <c r="AG28" s="1" t="str">
        <f>IF(HR_Data[[#This Row],[MonthlyIncome]]&lt;3000,"&lt;3K",IF(HR_Data[[#This Row],[MonthlyIncome]]&lt;6000,"3K-6K",IF(HR_Data[[#This Row],[MonthlyIncome]]&lt;10000,"6K-10K","10K+")))</f>
        <v>3K-6K</v>
      </c>
      <c r="AH28" s="1">
        <f>IF(HR_Data[[#This Row],[MonthlyIncome]]&lt;3000,1,IF(HR_Data[[#This Row],[MonthlyIncome]]&lt;6000,2,IF(HR_Data[[#This Row],[MonthlyIncome]]&lt;10000,3,4)))</f>
        <v>2</v>
      </c>
      <c r="AI28" s="1" t="str">
        <f>IF(HR_Data[[#This Row],[YearsAtCompany]]&lt;=2,"0-2 Yrs",IF(HR_Data[[#This Row],[YearsAtCompany]]&lt;=5,"3-5 Yrs",IF(HR_Data[[#This Row],[YearsAtCompany]]&lt;=10,"6-10 Yrs","10+ Yrs")))</f>
        <v>6-10 Yrs</v>
      </c>
      <c r="AJ28" s="1">
        <f>IF(HR_Data[[#This Row],[YearsAtCompany]]&lt;=2,1,IF(HR_Data[[#This Row],[YearsAtCompany]]&lt;=5,2,IF(HR_Data[[#This Row],[YearsAtCompany]]&lt;=10,3,4)))</f>
        <v>3</v>
      </c>
      <c r="AK28" s="1" t="str">
        <f>CHOOSE(HR_Data[[#This Row],[Education]],"Below College","College","Bachelor","Master","Doctor")</f>
        <v>Below College</v>
      </c>
      <c r="AL28" s="1" t="str">
        <f>CHOOSE(HR_Data[[#This Row],[JobSatisfaction]],"Low","Medium","High","Very High")</f>
        <v>Low</v>
      </c>
      <c r="AM28" s="1" t="str">
        <f>CHOOSE(HR_Data[[#This Row],[EnvironmentSatisfaction]],"Low","Medium","High","Very High")</f>
        <v>Medium</v>
      </c>
      <c r="AN28" s="1" t="str">
        <f>CHOOSE(HR_Data[[#This Row],[WorkLifeBalance]],"Bad","Good","Better","Best")</f>
        <v>Better</v>
      </c>
      <c r="AO28" s="1" t="str">
        <f>IF(HR_Data[[#This Row],[PercentSalaryHike]]&lt;=13,"11-13%",IF(HR_Data[[#This Row],[PercentSalaryHike]]&lt;=16,"14-16%",IF(HR_Data[[#This Row],[PercentSalaryHike]]&lt;=19,"17-19%","20-25%")))</f>
        <v>20-25%</v>
      </c>
      <c r="AP28" s="1">
        <f>IF(HR_Data[[#This Row],[PercentSalaryHike]]&lt;=13,1,IF(HR_Data[[#This Row],[PercentSalaryHike]]&lt;=16,2,IF(HR_Data[[#This Row],[PercentSalaryHike]]&lt;=19,3,4)))</f>
        <v>4</v>
      </c>
      <c r="AQ28" s="1" t="str">
        <f>IF(HR_Data[[#This Row],[DistanceFromHome]]&lt;=5,"1 to 5",IF(HR_Data[[#This Row],[DistanceFromHome]]&lt;=10,"6 to 10",IF(HR_Data[[#This Row],[DistanceFromHome]]&lt;=20,"11 to 20","21 to 29")))</f>
        <v>11 to 20</v>
      </c>
      <c r="AR28" s="1">
        <f>IF(HR_Data[[#This Row],[DistanceFromHome]]&lt;=5,1,IF(HR_Data[[#This Row],[DistanceFromHome]]&lt;=10,2,IF(HR_Data[[#This Row],[DistanceFromHome]]&lt;=20,3,4)))</f>
        <v>3</v>
      </c>
      <c r="AS28" s="1" t="str">
        <f>IF(HR_Data[[#This Row],[TotalWorkingYears]]&lt;=5,"0-5 Yrs",IF(HR_Data[[#This Row],[TotalWorkingYears]]&lt;=10,"6-10 Yrs",IF(HR_Data[[#This Row],[TotalWorkingYears]]&lt;=20,"11-20 Yrs","20+ Yrs")))</f>
        <v>6-10 Yrs</v>
      </c>
      <c r="AT28" s="1">
        <f>IF(HR_Data[[#This Row],[TotalWorkingYears]]&lt;=5,1,IF(HR_Data[[#This Row],[TotalWorkingYears]]&lt;=10,2,IF(HR_Data[[#This Row],[TotalWorkingYears]]&lt;=20,3,4)))</f>
        <v>2</v>
      </c>
    </row>
    <row r="29" spans="1:46" x14ac:dyDescent="0.25">
      <c r="A29">
        <v>42</v>
      </c>
      <c r="B29" t="s">
        <v>36</v>
      </c>
      <c r="C29" t="s">
        <v>30</v>
      </c>
      <c r="D29" t="s">
        <v>31</v>
      </c>
      <c r="E29">
        <v>8</v>
      </c>
      <c r="F29">
        <v>4</v>
      </c>
      <c r="G29" t="s">
        <v>52</v>
      </c>
      <c r="H29">
        <v>35</v>
      </c>
      <c r="I29">
        <v>3</v>
      </c>
      <c r="J29" t="s">
        <v>39</v>
      </c>
      <c r="K29">
        <v>3</v>
      </c>
      <c r="L29">
        <v>2</v>
      </c>
      <c r="M29" t="s">
        <v>34</v>
      </c>
      <c r="N29">
        <v>2</v>
      </c>
      <c r="O29" t="s">
        <v>41</v>
      </c>
      <c r="P29">
        <v>6825</v>
      </c>
      <c r="Q29">
        <v>0</v>
      </c>
      <c r="R29" t="s">
        <v>36</v>
      </c>
      <c r="S29">
        <v>11</v>
      </c>
      <c r="T29">
        <v>3</v>
      </c>
      <c r="U29">
        <v>4</v>
      </c>
      <c r="V29">
        <v>1</v>
      </c>
      <c r="W29">
        <v>10</v>
      </c>
      <c r="X29">
        <v>2</v>
      </c>
      <c r="Y29">
        <v>3</v>
      </c>
      <c r="Z29">
        <v>9</v>
      </c>
      <c r="AA29">
        <v>7</v>
      </c>
      <c r="AB29">
        <v>4</v>
      </c>
      <c r="AC29">
        <v>2</v>
      </c>
      <c r="AD29">
        <f>IF(HR_Data[[#This Row],[Attrition]]="Yes",1,0)</f>
        <v>0</v>
      </c>
      <c r="AE29" t="str">
        <f>IF(HR_Data[[#This Row],[Age]]&lt;=25,"18-25",IF(HR_Data[[#This Row],[Age]]&lt;=35,"26-35",IF(HR_Data[[#This Row],[Age]]&lt;=45,"36-45",IF(HR_Data[[#This Row],[Age]]&lt;=55,"46-55","55+"))))</f>
        <v>36-45</v>
      </c>
      <c r="AF29">
        <f>IF(HR_Data[[#This Row],[Age]]&lt;=25,1,IF(HR_Data[[#This Row],[Age]]&lt;=35,2,IF(HR_Data[[#This Row],[Age]]&lt;=45,3,IF(HR_Data[[#This Row],[Age]]&lt;=55,4,5))))</f>
        <v>3</v>
      </c>
      <c r="AG29" s="1" t="str">
        <f>IF(HR_Data[[#This Row],[MonthlyIncome]]&lt;3000,"&lt;3K",IF(HR_Data[[#This Row],[MonthlyIncome]]&lt;6000,"3K-6K",IF(HR_Data[[#This Row],[MonthlyIncome]]&lt;10000,"6K-10K","10K+")))</f>
        <v>6K-10K</v>
      </c>
      <c r="AH29" s="1">
        <f>IF(HR_Data[[#This Row],[MonthlyIncome]]&lt;3000,1,IF(HR_Data[[#This Row],[MonthlyIncome]]&lt;6000,2,IF(HR_Data[[#This Row],[MonthlyIncome]]&lt;10000,3,4)))</f>
        <v>3</v>
      </c>
      <c r="AI29" s="1" t="str">
        <f>IF(HR_Data[[#This Row],[YearsAtCompany]]&lt;=2,"0-2 Yrs",IF(HR_Data[[#This Row],[YearsAtCompany]]&lt;=5,"3-5 Yrs",IF(HR_Data[[#This Row],[YearsAtCompany]]&lt;=10,"6-10 Yrs","10+ Yrs")))</f>
        <v>6-10 Yrs</v>
      </c>
      <c r="AJ29" s="1">
        <f>IF(HR_Data[[#This Row],[YearsAtCompany]]&lt;=2,1,IF(HR_Data[[#This Row],[YearsAtCompany]]&lt;=5,2,IF(HR_Data[[#This Row],[YearsAtCompany]]&lt;=10,3,4)))</f>
        <v>3</v>
      </c>
      <c r="AK29" s="1" t="str">
        <f>CHOOSE(HR_Data[[#This Row],[Education]],"Below College","College","Bachelor","Master","Doctor")</f>
        <v>Master</v>
      </c>
      <c r="AL29" s="1" t="str">
        <f>CHOOSE(HR_Data[[#This Row],[JobSatisfaction]],"Low","Medium","High","Very High")</f>
        <v>Medium</v>
      </c>
      <c r="AM29" s="1" t="str">
        <f>CHOOSE(HR_Data[[#This Row],[EnvironmentSatisfaction]],"Low","Medium","High","Very High")</f>
        <v>High</v>
      </c>
      <c r="AN29" s="1" t="str">
        <f>CHOOSE(HR_Data[[#This Row],[WorkLifeBalance]],"Bad","Good","Better","Best")</f>
        <v>Better</v>
      </c>
      <c r="AO29" s="1" t="str">
        <f>IF(HR_Data[[#This Row],[PercentSalaryHike]]&lt;=13,"11-13%",IF(HR_Data[[#This Row],[PercentSalaryHike]]&lt;=16,"14-16%",IF(HR_Data[[#This Row],[PercentSalaryHike]]&lt;=19,"17-19%","20-25%")))</f>
        <v>11-13%</v>
      </c>
      <c r="AP29" s="1">
        <f>IF(HR_Data[[#This Row],[PercentSalaryHike]]&lt;=13,1,IF(HR_Data[[#This Row],[PercentSalaryHike]]&lt;=16,2,IF(HR_Data[[#This Row],[PercentSalaryHike]]&lt;=19,3,4)))</f>
        <v>1</v>
      </c>
      <c r="AQ29" s="1" t="str">
        <f>IF(HR_Data[[#This Row],[DistanceFromHome]]&lt;=5,"1 to 5",IF(HR_Data[[#This Row],[DistanceFromHome]]&lt;=10,"6 to 10",IF(HR_Data[[#This Row],[DistanceFromHome]]&lt;=20,"11 to 20","21 to 29")))</f>
        <v>6 to 10</v>
      </c>
      <c r="AR29" s="1">
        <f>IF(HR_Data[[#This Row],[DistanceFromHome]]&lt;=5,1,IF(HR_Data[[#This Row],[DistanceFromHome]]&lt;=10,2,IF(HR_Data[[#This Row],[DistanceFromHome]]&lt;=20,3,4)))</f>
        <v>2</v>
      </c>
      <c r="AS29" s="1" t="str">
        <f>IF(HR_Data[[#This Row],[TotalWorkingYears]]&lt;=5,"0-5 Yrs",IF(HR_Data[[#This Row],[TotalWorkingYears]]&lt;=10,"6-10 Yrs",IF(HR_Data[[#This Row],[TotalWorkingYears]]&lt;=20,"11-20 Yrs","20+ Yrs")))</f>
        <v>6-10 Yrs</v>
      </c>
      <c r="AT29" s="1">
        <f>IF(HR_Data[[#This Row],[TotalWorkingYears]]&lt;=5,1,IF(HR_Data[[#This Row],[TotalWorkingYears]]&lt;=10,2,IF(HR_Data[[#This Row],[TotalWorkingYears]]&lt;=20,3,4)))</f>
        <v>2</v>
      </c>
    </row>
    <row r="30" spans="1:46" x14ac:dyDescent="0.25">
      <c r="A30">
        <v>44</v>
      </c>
      <c r="B30" t="s">
        <v>36</v>
      </c>
      <c r="C30" t="s">
        <v>30</v>
      </c>
      <c r="D30" t="s">
        <v>38</v>
      </c>
      <c r="E30">
        <v>7</v>
      </c>
      <c r="F30">
        <v>4</v>
      </c>
      <c r="G30" t="s">
        <v>44</v>
      </c>
      <c r="H30">
        <v>36</v>
      </c>
      <c r="I30">
        <v>1</v>
      </c>
      <c r="J30" t="s">
        <v>33</v>
      </c>
      <c r="K30">
        <v>2</v>
      </c>
      <c r="L30">
        <v>3</v>
      </c>
      <c r="M30" t="s">
        <v>47</v>
      </c>
      <c r="N30">
        <v>4</v>
      </c>
      <c r="O30" t="s">
        <v>41</v>
      </c>
      <c r="P30">
        <v>10248</v>
      </c>
      <c r="Q30">
        <v>3</v>
      </c>
      <c r="R30" t="s">
        <v>36</v>
      </c>
      <c r="S30">
        <v>14</v>
      </c>
      <c r="T30">
        <v>3</v>
      </c>
      <c r="U30">
        <v>4</v>
      </c>
      <c r="V30">
        <v>1</v>
      </c>
      <c r="W30">
        <v>24</v>
      </c>
      <c r="X30">
        <v>4</v>
      </c>
      <c r="Y30">
        <v>3</v>
      </c>
      <c r="Z30">
        <v>22</v>
      </c>
      <c r="AA30">
        <v>6</v>
      </c>
      <c r="AB30">
        <v>5</v>
      </c>
      <c r="AC30">
        <v>17</v>
      </c>
      <c r="AD30">
        <f>IF(HR_Data[[#This Row],[Attrition]]="Yes",1,0)</f>
        <v>0</v>
      </c>
      <c r="AE30" t="str">
        <f>IF(HR_Data[[#This Row],[Age]]&lt;=25,"18-25",IF(HR_Data[[#This Row],[Age]]&lt;=35,"26-35",IF(HR_Data[[#This Row],[Age]]&lt;=45,"36-45",IF(HR_Data[[#This Row],[Age]]&lt;=55,"46-55","55+"))))</f>
        <v>36-45</v>
      </c>
      <c r="AF30">
        <f>IF(HR_Data[[#This Row],[Age]]&lt;=25,1,IF(HR_Data[[#This Row],[Age]]&lt;=35,2,IF(HR_Data[[#This Row],[Age]]&lt;=45,3,IF(HR_Data[[#This Row],[Age]]&lt;=55,4,5))))</f>
        <v>3</v>
      </c>
      <c r="AG30" s="1" t="str">
        <f>IF(HR_Data[[#This Row],[MonthlyIncome]]&lt;3000,"&lt;3K",IF(HR_Data[[#This Row],[MonthlyIncome]]&lt;6000,"3K-6K",IF(HR_Data[[#This Row],[MonthlyIncome]]&lt;10000,"6K-10K","10K+")))</f>
        <v>10K+</v>
      </c>
      <c r="AH30" s="1">
        <f>IF(HR_Data[[#This Row],[MonthlyIncome]]&lt;3000,1,IF(HR_Data[[#This Row],[MonthlyIncome]]&lt;6000,2,IF(HR_Data[[#This Row],[MonthlyIncome]]&lt;10000,3,4)))</f>
        <v>4</v>
      </c>
      <c r="AI30" s="1" t="str">
        <f>IF(HR_Data[[#This Row],[YearsAtCompany]]&lt;=2,"0-2 Yrs",IF(HR_Data[[#This Row],[YearsAtCompany]]&lt;=5,"3-5 Yrs",IF(HR_Data[[#This Row],[YearsAtCompany]]&lt;=10,"6-10 Yrs","10+ Yrs")))</f>
        <v>10+ Yrs</v>
      </c>
      <c r="AJ30" s="1">
        <f>IF(HR_Data[[#This Row],[YearsAtCompany]]&lt;=2,1,IF(HR_Data[[#This Row],[YearsAtCompany]]&lt;=5,2,IF(HR_Data[[#This Row],[YearsAtCompany]]&lt;=10,3,4)))</f>
        <v>4</v>
      </c>
      <c r="AK30" s="1" t="str">
        <f>CHOOSE(HR_Data[[#This Row],[Education]],"Below College","College","Bachelor","Master","Doctor")</f>
        <v>Master</v>
      </c>
      <c r="AL30" s="1" t="str">
        <f>CHOOSE(HR_Data[[#This Row],[JobSatisfaction]],"Low","Medium","High","Very High")</f>
        <v>Very High</v>
      </c>
      <c r="AM30" s="1" t="str">
        <f>CHOOSE(HR_Data[[#This Row],[EnvironmentSatisfaction]],"Low","Medium","High","Very High")</f>
        <v>Low</v>
      </c>
      <c r="AN30" s="1" t="str">
        <f>CHOOSE(HR_Data[[#This Row],[WorkLifeBalance]],"Bad","Good","Better","Best")</f>
        <v>Better</v>
      </c>
      <c r="AO30" s="1" t="str">
        <f>IF(HR_Data[[#This Row],[PercentSalaryHike]]&lt;=13,"11-13%",IF(HR_Data[[#This Row],[PercentSalaryHike]]&lt;=16,"14-16%",IF(HR_Data[[#This Row],[PercentSalaryHike]]&lt;=19,"17-19%","20-25%")))</f>
        <v>14-16%</v>
      </c>
      <c r="AP30" s="1">
        <f>IF(HR_Data[[#This Row],[PercentSalaryHike]]&lt;=13,1,IF(HR_Data[[#This Row],[PercentSalaryHike]]&lt;=16,2,IF(HR_Data[[#This Row],[PercentSalaryHike]]&lt;=19,3,4)))</f>
        <v>2</v>
      </c>
      <c r="AQ30" s="1" t="str">
        <f>IF(HR_Data[[#This Row],[DistanceFromHome]]&lt;=5,"1 to 5",IF(HR_Data[[#This Row],[DistanceFromHome]]&lt;=10,"6 to 10",IF(HR_Data[[#This Row],[DistanceFromHome]]&lt;=20,"11 to 20","21 to 29")))</f>
        <v>6 to 10</v>
      </c>
      <c r="AR30" s="1">
        <f>IF(HR_Data[[#This Row],[DistanceFromHome]]&lt;=5,1,IF(HR_Data[[#This Row],[DistanceFromHome]]&lt;=10,2,IF(HR_Data[[#This Row],[DistanceFromHome]]&lt;=20,3,4)))</f>
        <v>2</v>
      </c>
      <c r="AS30" s="1" t="str">
        <f>IF(HR_Data[[#This Row],[TotalWorkingYears]]&lt;=5,"0-5 Yrs",IF(HR_Data[[#This Row],[TotalWorkingYears]]&lt;=10,"6-10 Yrs",IF(HR_Data[[#This Row],[TotalWorkingYears]]&lt;=20,"11-20 Yrs","20+ Yrs")))</f>
        <v>20+ Yrs</v>
      </c>
      <c r="AT30" s="1">
        <f>IF(HR_Data[[#This Row],[TotalWorkingYears]]&lt;=5,1,IF(HR_Data[[#This Row],[TotalWorkingYears]]&lt;=10,2,IF(HR_Data[[#This Row],[TotalWorkingYears]]&lt;=20,3,4)))</f>
        <v>4</v>
      </c>
    </row>
    <row r="31" spans="1:46" x14ac:dyDescent="0.25">
      <c r="A31">
        <v>46</v>
      </c>
      <c r="B31" t="s">
        <v>36</v>
      </c>
      <c r="C31" t="s">
        <v>30</v>
      </c>
      <c r="D31" t="s">
        <v>31</v>
      </c>
      <c r="E31">
        <v>2</v>
      </c>
      <c r="F31">
        <v>4</v>
      </c>
      <c r="G31" t="s">
        <v>52</v>
      </c>
      <c r="H31">
        <v>38</v>
      </c>
      <c r="I31">
        <v>2</v>
      </c>
      <c r="J31" t="s">
        <v>33</v>
      </c>
      <c r="K31">
        <v>3</v>
      </c>
      <c r="L31">
        <v>5</v>
      </c>
      <c r="M31" t="s">
        <v>49</v>
      </c>
      <c r="N31">
        <v>1</v>
      </c>
      <c r="O31" t="s">
        <v>35</v>
      </c>
      <c r="P31">
        <v>18947</v>
      </c>
      <c r="Q31">
        <v>3</v>
      </c>
      <c r="R31" t="s">
        <v>36</v>
      </c>
      <c r="S31">
        <v>12</v>
      </c>
      <c r="T31">
        <v>3</v>
      </c>
      <c r="U31">
        <v>4</v>
      </c>
      <c r="V31">
        <v>0</v>
      </c>
      <c r="W31">
        <v>22</v>
      </c>
      <c r="X31">
        <v>2</v>
      </c>
      <c r="Y31">
        <v>2</v>
      </c>
      <c r="Z31">
        <v>2</v>
      </c>
      <c r="AA31">
        <v>2</v>
      </c>
      <c r="AB31">
        <v>2</v>
      </c>
      <c r="AC31">
        <v>1</v>
      </c>
      <c r="AD31">
        <f>IF(HR_Data[[#This Row],[Attrition]]="Yes",1,0)</f>
        <v>0</v>
      </c>
      <c r="AE31" t="str">
        <f>IF(HR_Data[[#This Row],[Age]]&lt;=25,"18-25",IF(HR_Data[[#This Row],[Age]]&lt;=35,"26-35",IF(HR_Data[[#This Row],[Age]]&lt;=45,"36-45",IF(HR_Data[[#This Row],[Age]]&lt;=55,"46-55","55+"))))</f>
        <v>46-55</v>
      </c>
      <c r="AF31">
        <f>IF(HR_Data[[#This Row],[Age]]&lt;=25,1,IF(HR_Data[[#This Row],[Age]]&lt;=35,2,IF(HR_Data[[#This Row],[Age]]&lt;=45,3,IF(HR_Data[[#This Row],[Age]]&lt;=55,4,5))))</f>
        <v>4</v>
      </c>
      <c r="AG31" s="1" t="str">
        <f>IF(HR_Data[[#This Row],[MonthlyIncome]]&lt;3000,"&lt;3K",IF(HR_Data[[#This Row],[MonthlyIncome]]&lt;6000,"3K-6K",IF(HR_Data[[#This Row],[MonthlyIncome]]&lt;10000,"6K-10K","10K+")))</f>
        <v>10K+</v>
      </c>
      <c r="AH31" s="1">
        <f>IF(HR_Data[[#This Row],[MonthlyIncome]]&lt;3000,1,IF(HR_Data[[#This Row],[MonthlyIncome]]&lt;6000,2,IF(HR_Data[[#This Row],[MonthlyIncome]]&lt;10000,3,4)))</f>
        <v>4</v>
      </c>
      <c r="AI31" s="1" t="str">
        <f>IF(HR_Data[[#This Row],[YearsAtCompany]]&lt;=2,"0-2 Yrs",IF(HR_Data[[#This Row],[YearsAtCompany]]&lt;=5,"3-5 Yrs",IF(HR_Data[[#This Row],[YearsAtCompany]]&lt;=10,"6-10 Yrs","10+ Yrs")))</f>
        <v>0-2 Yrs</v>
      </c>
      <c r="AJ31" s="1">
        <f>IF(HR_Data[[#This Row],[YearsAtCompany]]&lt;=2,1,IF(HR_Data[[#This Row],[YearsAtCompany]]&lt;=5,2,IF(HR_Data[[#This Row],[YearsAtCompany]]&lt;=10,3,4)))</f>
        <v>1</v>
      </c>
      <c r="AK31" s="1" t="str">
        <f>CHOOSE(HR_Data[[#This Row],[Education]],"Below College","College","Bachelor","Master","Doctor")</f>
        <v>Master</v>
      </c>
      <c r="AL31" s="1" t="str">
        <f>CHOOSE(HR_Data[[#This Row],[JobSatisfaction]],"Low","Medium","High","Very High")</f>
        <v>Low</v>
      </c>
      <c r="AM31" s="1" t="str">
        <f>CHOOSE(HR_Data[[#This Row],[EnvironmentSatisfaction]],"Low","Medium","High","Very High")</f>
        <v>Medium</v>
      </c>
      <c r="AN31" s="1" t="str">
        <f>CHOOSE(HR_Data[[#This Row],[WorkLifeBalance]],"Bad","Good","Better","Best")</f>
        <v>Good</v>
      </c>
      <c r="AO31" s="1" t="str">
        <f>IF(HR_Data[[#This Row],[PercentSalaryHike]]&lt;=13,"11-13%",IF(HR_Data[[#This Row],[PercentSalaryHike]]&lt;=16,"14-16%",IF(HR_Data[[#This Row],[PercentSalaryHike]]&lt;=19,"17-19%","20-25%")))</f>
        <v>11-13%</v>
      </c>
      <c r="AP31" s="1">
        <f>IF(HR_Data[[#This Row],[PercentSalaryHike]]&lt;=13,1,IF(HR_Data[[#This Row],[PercentSalaryHike]]&lt;=16,2,IF(HR_Data[[#This Row],[PercentSalaryHike]]&lt;=19,3,4)))</f>
        <v>1</v>
      </c>
      <c r="AQ31" s="1" t="str">
        <f>IF(HR_Data[[#This Row],[DistanceFromHome]]&lt;=5,"1 to 5",IF(HR_Data[[#This Row],[DistanceFromHome]]&lt;=10,"6 to 10",IF(HR_Data[[#This Row],[DistanceFromHome]]&lt;=20,"11 to 20","21 to 29")))</f>
        <v>1 to 5</v>
      </c>
      <c r="AR31" s="1">
        <f>IF(HR_Data[[#This Row],[DistanceFromHome]]&lt;=5,1,IF(HR_Data[[#This Row],[DistanceFromHome]]&lt;=10,2,IF(HR_Data[[#This Row],[DistanceFromHome]]&lt;=20,3,4)))</f>
        <v>1</v>
      </c>
      <c r="AS31" s="1" t="str">
        <f>IF(HR_Data[[#This Row],[TotalWorkingYears]]&lt;=5,"0-5 Yrs",IF(HR_Data[[#This Row],[TotalWorkingYears]]&lt;=10,"6-10 Yrs",IF(HR_Data[[#This Row],[TotalWorkingYears]]&lt;=20,"11-20 Yrs","20+ Yrs")))</f>
        <v>20+ Yrs</v>
      </c>
      <c r="AT31" s="1">
        <f>IF(HR_Data[[#This Row],[TotalWorkingYears]]&lt;=5,1,IF(HR_Data[[#This Row],[TotalWorkingYears]]&lt;=10,2,IF(HR_Data[[#This Row],[TotalWorkingYears]]&lt;=20,3,4)))</f>
        <v>4</v>
      </c>
    </row>
    <row r="32" spans="1:46" x14ac:dyDescent="0.25">
      <c r="A32">
        <v>33</v>
      </c>
      <c r="B32" t="s">
        <v>36</v>
      </c>
      <c r="C32" t="s">
        <v>30</v>
      </c>
      <c r="D32" t="s">
        <v>38</v>
      </c>
      <c r="E32">
        <v>2</v>
      </c>
      <c r="F32">
        <v>3</v>
      </c>
      <c r="G32" t="s">
        <v>44</v>
      </c>
      <c r="H32">
        <v>39</v>
      </c>
      <c r="I32">
        <v>3</v>
      </c>
      <c r="J32" t="s">
        <v>39</v>
      </c>
      <c r="K32">
        <v>3</v>
      </c>
      <c r="L32">
        <v>1</v>
      </c>
      <c r="M32" t="s">
        <v>43</v>
      </c>
      <c r="N32">
        <v>4</v>
      </c>
      <c r="O32" t="s">
        <v>35</v>
      </c>
      <c r="P32">
        <v>2496</v>
      </c>
      <c r="Q32">
        <v>4</v>
      </c>
      <c r="R32" t="s">
        <v>36</v>
      </c>
      <c r="S32">
        <v>11</v>
      </c>
      <c r="T32">
        <v>3</v>
      </c>
      <c r="U32">
        <v>4</v>
      </c>
      <c r="V32">
        <v>0</v>
      </c>
      <c r="W32">
        <v>7</v>
      </c>
      <c r="X32">
        <v>3</v>
      </c>
      <c r="Y32">
        <v>3</v>
      </c>
      <c r="Z32">
        <v>1</v>
      </c>
      <c r="AA32">
        <v>1</v>
      </c>
      <c r="AB32">
        <v>0</v>
      </c>
      <c r="AC32">
        <v>0</v>
      </c>
      <c r="AD32">
        <f>IF(HR_Data[[#This Row],[Attrition]]="Yes",1,0)</f>
        <v>0</v>
      </c>
      <c r="AE32" t="str">
        <f>IF(HR_Data[[#This Row],[Age]]&lt;=25,"18-25",IF(HR_Data[[#This Row],[Age]]&lt;=35,"26-35",IF(HR_Data[[#This Row],[Age]]&lt;=45,"36-45",IF(HR_Data[[#This Row],[Age]]&lt;=55,"46-55","55+"))))</f>
        <v>26-35</v>
      </c>
      <c r="AF32">
        <f>IF(HR_Data[[#This Row],[Age]]&lt;=25,1,IF(HR_Data[[#This Row],[Age]]&lt;=35,2,IF(HR_Data[[#This Row],[Age]]&lt;=45,3,IF(HR_Data[[#This Row],[Age]]&lt;=55,4,5))))</f>
        <v>2</v>
      </c>
      <c r="AG32" s="1" t="str">
        <f>IF(HR_Data[[#This Row],[MonthlyIncome]]&lt;3000,"&lt;3K",IF(HR_Data[[#This Row],[MonthlyIncome]]&lt;6000,"3K-6K",IF(HR_Data[[#This Row],[MonthlyIncome]]&lt;10000,"6K-10K","10K+")))</f>
        <v>&lt;3K</v>
      </c>
      <c r="AH32" s="1">
        <f>IF(HR_Data[[#This Row],[MonthlyIncome]]&lt;3000,1,IF(HR_Data[[#This Row],[MonthlyIncome]]&lt;6000,2,IF(HR_Data[[#This Row],[MonthlyIncome]]&lt;10000,3,4)))</f>
        <v>1</v>
      </c>
      <c r="AI32" s="1" t="str">
        <f>IF(HR_Data[[#This Row],[YearsAtCompany]]&lt;=2,"0-2 Yrs",IF(HR_Data[[#This Row],[YearsAtCompany]]&lt;=5,"3-5 Yrs",IF(HR_Data[[#This Row],[YearsAtCompany]]&lt;=10,"6-10 Yrs","10+ Yrs")))</f>
        <v>0-2 Yrs</v>
      </c>
      <c r="AJ32" s="1">
        <f>IF(HR_Data[[#This Row],[YearsAtCompany]]&lt;=2,1,IF(HR_Data[[#This Row],[YearsAtCompany]]&lt;=5,2,IF(HR_Data[[#This Row],[YearsAtCompany]]&lt;=10,3,4)))</f>
        <v>1</v>
      </c>
      <c r="AK32" s="1" t="str">
        <f>CHOOSE(HR_Data[[#This Row],[Education]],"Below College","College","Bachelor","Master","Doctor")</f>
        <v>Bachelor</v>
      </c>
      <c r="AL32" s="1" t="str">
        <f>CHOOSE(HR_Data[[#This Row],[JobSatisfaction]],"Low","Medium","High","Very High")</f>
        <v>Very High</v>
      </c>
      <c r="AM32" s="1" t="str">
        <f>CHOOSE(HR_Data[[#This Row],[EnvironmentSatisfaction]],"Low","Medium","High","Very High")</f>
        <v>High</v>
      </c>
      <c r="AN32" s="1" t="str">
        <f>CHOOSE(HR_Data[[#This Row],[WorkLifeBalance]],"Bad","Good","Better","Best")</f>
        <v>Better</v>
      </c>
      <c r="AO32" s="1" t="str">
        <f>IF(HR_Data[[#This Row],[PercentSalaryHike]]&lt;=13,"11-13%",IF(HR_Data[[#This Row],[PercentSalaryHike]]&lt;=16,"14-16%",IF(HR_Data[[#This Row],[PercentSalaryHike]]&lt;=19,"17-19%","20-25%")))</f>
        <v>11-13%</v>
      </c>
      <c r="AP32" s="1">
        <f>IF(HR_Data[[#This Row],[PercentSalaryHike]]&lt;=13,1,IF(HR_Data[[#This Row],[PercentSalaryHike]]&lt;=16,2,IF(HR_Data[[#This Row],[PercentSalaryHike]]&lt;=19,3,4)))</f>
        <v>1</v>
      </c>
      <c r="AQ32" s="1" t="str">
        <f>IF(HR_Data[[#This Row],[DistanceFromHome]]&lt;=5,"1 to 5",IF(HR_Data[[#This Row],[DistanceFromHome]]&lt;=10,"6 to 10",IF(HR_Data[[#This Row],[DistanceFromHome]]&lt;=20,"11 to 20","21 to 29")))</f>
        <v>1 to 5</v>
      </c>
      <c r="AR32" s="1">
        <f>IF(HR_Data[[#This Row],[DistanceFromHome]]&lt;=5,1,IF(HR_Data[[#This Row],[DistanceFromHome]]&lt;=10,2,IF(HR_Data[[#This Row],[DistanceFromHome]]&lt;=20,3,4)))</f>
        <v>1</v>
      </c>
      <c r="AS32" s="1" t="str">
        <f>IF(HR_Data[[#This Row],[TotalWorkingYears]]&lt;=5,"0-5 Yrs",IF(HR_Data[[#This Row],[TotalWorkingYears]]&lt;=10,"6-10 Yrs",IF(HR_Data[[#This Row],[TotalWorkingYears]]&lt;=20,"11-20 Yrs","20+ Yrs")))</f>
        <v>6-10 Yrs</v>
      </c>
      <c r="AT32" s="1">
        <f>IF(HR_Data[[#This Row],[TotalWorkingYears]]&lt;=5,1,IF(HR_Data[[#This Row],[TotalWorkingYears]]&lt;=10,2,IF(HR_Data[[#This Row],[TotalWorkingYears]]&lt;=20,3,4)))</f>
        <v>2</v>
      </c>
    </row>
    <row r="33" spans="1:46" x14ac:dyDescent="0.25">
      <c r="A33">
        <v>44</v>
      </c>
      <c r="B33" t="s">
        <v>36</v>
      </c>
      <c r="C33" t="s">
        <v>30</v>
      </c>
      <c r="D33" t="s">
        <v>38</v>
      </c>
      <c r="E33">
        <v>10</v>
      </c>
      <c r="F33">
        <v>4</v>
      </c>
      <c r="G33" t="s">
        <v>42</v>
      </c>
      <c r="H33">
        <v>40</v>
      </c>
      <c r="I33">
        <v>4</v>
      </c>
      <c r="J33" t="s">
        <v>39</v>
      </c>
      <c r="K33">
        <v>3</v>
      </c>
      <c r="L33">
        <v>2</v>
      </c>
      <c r="M33" t="s">
        <v>47</v>
      </c>
      <c r="N33">
        <v>4</v>
      </c>
      <c r="O33" t="s">
        <v>41</v>
      </c>
      <c r="P33">
        <v>6465</v>
      </c>
      <c r="Q33">
        <v>2</v>
      </c>
      <c r="R33" t="s">
        <v>29</v>
      </c>
      <c r="S33">
        <v>13</v>
      </c>
      <c r="T33">
        <v>3</v>
      </c>
      <c r="U33">
        <v>4</v>
      </c>
      <c r="V33">
        <v>0</v>
      </c>
      <c r="W33">
        <v>9</v>
      </c>
      <c r="X33">
        <v>5</v>
      </c>
      <c r="Y33">
        <v>4</v>
      </c>
      <c r="Z33">
        <v>4</v>
      </c>
      <c r="AA33">
        <v>2</v>
      </c>
      <c r="AB33">
        <v>1</v>
      </c>
      <c r="AC33">
        <v>3</v>
      </c>
      <c r="AD33">
        <f>IF(HR_Data[[#This Row],[Attrition]]="Yes",1,0)</f>
        <v>0</v>
      </c>
      <c r="AE33" t="str">
        <f>IF(HR_Data[[#This Row],[Age]]&lt;=25,"18-25",IF(HR_Data[[#This Row],[Age]]&lt;=35,"26-35",IF(HR_Data[[#This Row],[Age]]&lt;=45,"36-45",IF(HR_Data[[#This Row],[Age]]&lt;=55,"46-55","55+"))))</f>
        <v>36-45</v>
      </c>
      <c r="AF33">
        <f>IF(HR_Data[[#This Row],[Age]]&lt;=25,1,IF(HR_Data[[#This Row],[Age]]&lt;=35,2,IF(HR_Data[[#This Row],[Age]]&lt;=45,3,IF(HR_Data[[#This Row],[Age]]&lt;=55,4,5))))</f>
        <v>3</v>
      </c>
      <c r="AG33" s="1" t="str">
        <f>IF(HR_Data[[#This Row],[MonthlyIncome]]&lt;3000,"&lt;3K",IF(HR_Data[[#This Row],[MonthlyIncome]]&lt;6000,"3K-6K",IF(HR_Data[[#This Row],[MonthlyIncome]]&lt;10000,"6K-10K","10K+")))</f>
        <v>6K-10K</v>
      </c>
      <c r="AH33" s="1">
        <f>IF(HR_Data[[#This Row],[MonthlyIncome]]&lt;3000,1,IF(HR_Data[[#This Row],[MonthlyIncome]]&lt;6000,2,IF(HR_Data[[#This Row],[MonthlyIncome]]&lt;10000,3,4)))</f>
        <v>3</v>
      </c>
      <c r="AI33" s="1" t="str">
        <f>IF(HR_Data[[#This Row],[YearsAtCompany]]&lt;=2,"0-2 Yrs",IF(HR_Data[[#This Row],[YearsAtCompany]]&lt;=5,"3-5 Yrs",IF(HR_Data[[#This Row],[YearsAtCompany]]&lt;=10,"6-10 Yrs","10+ Yrs")))</f>
        <v>3-5 Yrs</v>
      </c>
      <c r="AJ33" s="1">
        <f>IF(HR_Data[[#This Row],[YearsAtCompany]]&lt;=2,1,IF(HR_Data[[#This Row],[YearsAtCompany]]&lt;=5,2,IF(HR_Data[[#This Row],[YearsAtCompany]]&lt;=10,3,4)))</f>
        <v>2</v>
      </c>
      <c r="AK33" s="1" t="str">
        <f>CHOOSE(HR_Data[[#This Row],[Education]],"Below College","College","Bachelor","Master","Doctor")</f>
        <v>Master</v>
      </c>
      <c r="AL33" s="1" t="str">
        <f>CHOOSE(HR_Data[[#This Row],[JobSatisfaction]],"Low","Medium","High","Very High")</f>
        <v>Very High</v>
      </c>
      <c r="AM33" s="1" t="str">
        <f>CHOOSE(HR_Data[[#This Row],[EnvironmentSatisfaction]],"Low","Medium","High","Very High")</f>
        <v>Very High</v>
      </c>
      <c r="AN33" s="1" t="str">
        <f>CHOOSE(HR_Data[[#This Row],[WorkLifeBalance]],"Bad","Good","Better","Best")</f>
        <v>Best</v>
      </c>
      <c r="AO33" s="1" t="str">
        <f>IF(HR_Data[[#This Row],[PercentSalaryHike]]&lt;=13,"11-13%",IF(HR_Data[[#This Row],[PercentSalaryHike]]&lt;=16,"14-16%",IF(HR_Data[[#This Row],[PercentSalaryHike]]&lt;=19,"17-19%","20-25%")))</f>
        <v>11-13%</v>
      </c>
      <c r="AP33" s="1">
        <f>IF(HR_Data[[#This Row],[PercentSalaryHike]]&lt;=13,1,IF(HR_Data[[#This Row],[PercentSalaryHike]]&lt;=16,2,IF(HR_Data[[#This Row],[PercentSalaryHike]]&lt;=19,3,4)))</f>
        <v>1</v>
      </c>
      <c r="AQ33" s="1" t="str">
        <f>IF(HR_Data[[#This Row],[DistanceFromHome]]&lt;=5,"1 to 5",IF(HR_Data[[#This Row],[DistanceFromHome]]&lt;=10,"6 to 10",IF(HR_Data[[#This Row],[DistanceFromHome]]&lt;=20,"11 to 20","21 to 29")))</f>
        <v>6 to 10</v>
      </c>
      <c r="AR33" s="1">
        <f>IF(HR_Data[[#This Row],[DistanceFromHome]]&lt;=5,1,IF(HR_Data[[#This Row],[DistanceFromHome]]&lt;=10,2,IF(HR_Data[[#This Row],[DistanceFromHome]]&lt;=20,3,4)))</f>
        <v>2</v>
      </c>
      <c r="AS33" s="1" t="str">
        <f>IF(HR_Data[[#This Row],[TotalWorkingYears]]&lt;=5,"0-5 Yrs",IF(HR_Data[[#This Row],[TotalWorkingYears]]&lt;=10,"6-10 Yrs",IF(HR_Data[[#This Row],[TotalWorkingYears]]&lt;=20,"11-20 Yrs","20+ Yrs")))</f>
        <v>6-10 Yrs</v>
      </c>
      <c r="AT33" s="1">
        <f>IF(HR_Data[[#This Row],[TotalWorkingYears]]&lt;=5,1,IF(HR_Data[[#This Row],[TotalWorkingYears]]&lt;=10,2,IF(HR_Data[[#This Row],[TotalWorkingYears]]&lt;=20,3,4)))</f>
        <v>2</v>
      </c>
    </row>
    <row r="34" spans="1:46" x14ac:dyDescent="0.25">
      <c r="A34">
        <v>30</v>
      </c>
      <c r="B34" t="s">
        <v>36</v>
      </c>
      <c r="C34" t="s">
        <v>30</v>
      </c>
      <c r="D34" t="s">
        <v>38</v>
      </c>
      <c r="E34">
        <v>9</v>
      </c>
      <c r="F34">
        <v>2</v>
      </c>
      <c r="G34" t="s">
        <v>44</v>
      </c>
      <c r="H34">
        <v>41</v>
      </c>
      <c r="I34">
        <v>4</v>
      </c>
      <c r="J34" t="s">
        <v>39</v>
      </c>
      <c r="K34">
        <v>2</v>
      </c>
      <c r="L34">
        <v>1</v>
      </c>
      <c r="M34" t="s">
        <v>43</v>
      </c>
      <c r="N34">
        <v>3</v>
      </c>
      <c r="O34" t="s">
        <v>35</v>
      </c>
      <c r="P34">
        <v>2206</v>
      </c>
      <c r="Q34">
        <v>1</v>
      </c>
      <c r="R34" t="s">
        <v>36</v>
      </c>
      <c r="S34">
        <v>13</v>
      </c>
      <c r="T34">
        <v>3</v>
      </c>
      <c r="U34">
        <v>1</v>
      </c>
      <c r="V34">
        <v>0</v>
      </c>
      <c r="W34">
        <v>10</v>
      </c>
      <c r="X34">
        <v>5</v>
      </c>
      <c r="Y34">
        <v>3</v>
      </c>
      <c r="Z34">
        <v>10</v>
      </c>
      <c r="AA34">
        <v>0</v>
      </c>
      <c r="AB34">
        <v>1</v>
      </c>
      <c r="AC34">
        <v>8</v>
      </c>
      <c r="AD34">
        <f>IF(HR_Data[[#This Row],[Attrition]]="Yes",1,0)</f>
        <v>0</v>
      </c>
      <c r="AE34" t="str">
        <f>IF(HR_Data[[#This Row],[Age]]&lt;=25,"18-25",IF(HR_Data[[#This Row],[Age]]&lt;=35,"26-35",IF(HR_Data[[#This Row],[Age]]&lt;=45,"36-45",IF(HR_Data[[#This Row],[Age]]&lt;=55,"46-55","55+"))))</f>
        <v>26-35</v>
      </c>
      <c r="AF34">
        <f>IF(HR_Data[[#This Row],[Age]]&lt;=25,1,IF(HR_Data[[#This Row],[Age]]&lt;=35,2,IF(HR_Data[[#This Row],[Age]]&lt;=45,3,IF(HR_Data[[#This Row],[Age]]&lt;=55,4,5))))</f>
        <v>2</v>
      </c>
      <c r="AG34" s="1" t="str">
        <f>IF(HR_Data[[#This Row],[MonthlyIncome]]&lt;3000,"&lt;3K",IF(HR_Data[[#This Row],[MonthlyIncome]]&lt;6000,"3K-6K",IF(HR_Data[[#This Row],[MonthlyIncome]]&lt;10000,"6K-10K","10K+")))</f>
        <v>&lt;3K</v>
      </c>
      <c r="AH34" s="1">
        <f>IF(HR_Data[[#This Row],[MonthlyIncome]]&lt;3000,1,IF(HR_Data[[#This Row],[MonthlyIncome]]&lt;6000,2,IF(HR_Data[[#This Row],[MonthlyIncome]]&lt;10000,3,4)))</f>
        <v>1</v>
      </c>
      <c r="AI34" s="1" t="str">
        <f>IF(HR_Data[[#This Row],[YearsAtCompany]]&lt;=2,"0-2 Yrs",IF(HR_Data[[#This Row],[YearsAtCompany]]&lt;=5,"3-5 Yrs",IF(HR_Data[[#This Row],[YearsAtCompany]]&lt;=10,"6-10 Yrs","10+ Yrs")))</f>
        <v>6-10 Yrs</v>
      </c>
      <c r="AJ34" s="1">
        <f>IF(HR_Data[[#This Row],[YearsAtCompany]]&lt;=2,1,IF(HR_Data[[#This Row],[YearsAtCompany]]&lt;=5,2,IF(HR_Data[[#This Row],[YearsAtCompany]]&lt;=10,3,4)))</f>
        <v>3</v>
      </c>
      <c r="AK34" s="1" t="str">
        <f>CHOOSE(HR_Data[[#This Row],[Education]],"Below College","College","Bachelor","Master","Doctor")</f>
        <v>College</v>
      </c>
      <c r="AL34" s="1" t="str">
        <f>CHOOSE(HR_Data[[#This Row],[JobSatisfaction]],"Low","Medium","High","Very High")</f>
        <v>High</v>
      </c>
      <c r="AM34" s="1" t="str">
        <f>CHOOSE(HR_Data[[#This Row],[EnvironmentSatisfaction]],"Low","Medium","High","Very High")</f>
        <v>Very High</v>
      </c>
      <c r="AN34" s="1" t="str">
        <f>CHOOSE(HR_Data[[#This Row],[WorkLifeBalance]],"Bad","Good","Better","Best")</f>
        <v>Better</v>
      </c>
      <c r="AO34" s="1" t="str">
        <f>IF(HR_Data[[#This Row],[PercentSalaryHike]]&lt;=13,"11-13%",IF(HR_Data[[#This Row],[PercentSalaryHike]]&lt;=16,"14-16%",IF(HR_Data[[#This Row],[PercentSalaryHike]]&lt;=19,"17-19%","20-25%")))</f>
        <v>11-13%</v>
      </c>
      <c r="AP34" s="1">
        <f>IF(HR_Data[[#This Row],[PercentSalaryHike]]&lt;=13,1,IF(HR_Data[[#This Row],[PercentSalaryHike]]&lt;=16,2,IF(HR_Data[[#This Row],[PercentSalaryHike]]&lt;=19,3,4)))</f>
        <v>1</v>
      </c>
      <c r="AQ34" s="1" t="str">
        <f>IF(HR_Data[[#This Row],[DistanceFromHome]]&lt;=5,"1 to 5",IF(HR_Data[[#This Row],[DistanceFromHome]]&lt;=10,"6 to 10",IF(HR_Data[[#This Row],[DistanceFromHome]]&lt;=20,"11 to 20","21 to 29")))</f>
        <v>6 to 10</v>
      </c>
      <c r="AR34" s="1">
        <f>IF(HR_Data[[#This Row],[DistanceFromHome]]&lt;=5,1,IF(HR_Data[[#This Row],[DistanceFromHome]]&lt;=10,2,IF(HR_Data[[#This Row],[DistanceFromHome]]&lt;=20,3,4)))</f>
        <v>2</v>
      </c>
      <c r="AS34" s="1" t="str">
        <f>IF(HR_Data[[#This Row],[TotalWorkingYears]]&lt;=5,"0-5 Yrs",IF(HR_Data[[#This Row],[TotalWorkingYears]]&lt;=10,"6-10 Yrs",IF(HR_Data[[#This Row],[TotalWorkingYears]]&lt;=20,"11-20 Yrs","20+ Yrs")))</f>
        <v>6-10 Yrs</v>
      </c>
      <c r="AT34" s="1">
        <f>IF(HR_Data[[#This Row],[TotalWorkingYears]]&lt;=5,1,IF(HR_Data[[#This Row],[TotalWorkingYears]]&lt;=10,2,IF(HR_Data[[#This Row],[TotalWorkingYears]]&lt;=20,3,4)))</f>
        <v>2</v>
      </c>
    </row>
    <row r="35" spans="1:46" x14ac:dyDescent="0.25">
      <c r="A35">
        <v>39</v>
      </c>
      <c r="B35" t="s">
        <v>29</v>
      </c>
      <c r="C35" t="s">
        <v>30</v>
      </c>
      <c r="D35" t="s">
        <v>31</v>
      </c>
      <c r="E35">
        <v>5</v>
      </c>
      <c r="F35">
        <v>3</v>
      </c>
      <c r="G35" t="s">
        <v>53</v>
      </c>
      <c r="H35">
        <v>42</v>
      </c>
      <c r="I35">
        <v>4</v>
      </c>
      <c r="J35" t="s">
        <v>39</v>
      </c>
      <c r="K35">
        <v>3</v>
      </c>
      <c r="L35">
        <v>2</v>
      </c>
      <c r="M35" t="s">
        <v>50</v>
      </c>
      <c r="N35">
        <v>4</v>
      </c>
      <c r="O35" t="s">
        <v>41</v>
      </c>
      <c r="P35">
        <v>2086</v>
      </c>
      <c r="Q35">
        <v>3</v>
      </c>
      <c r="R35" t="s">
        <v>36</v>
      </c>
      <c r="S35">
        <v>14</v>
      </c>
      <c r="T35">
        <v>3</v>
      </c>
      <c r="U35">
        <v>3</v>
      </c>
      <c r="V35">
        <v>1</v>
      </c>
      <c r="W35">
        <v>19</v>
      </c>
      <c r="X35">
        <v>6</v>
      </c>
      <c r="Y35">
        <v>4</v>
      </c>
      <c r="Z35">
        <v>1</v>
      </c>
      <c r="AA35">
        <v>0</v>
      </c>
      <c r="AB35">
        <v>0</v>
      </c>
      <c r="AC35">
        <v>0</v>
      </c>
      <c r="AD35">
        <f>IF(HR_Data[[#This Row],[Attrition]]="Yes",1,0)</f>
        <v>1</v>
      </c>
      <c r="AE35" t="str">
        <f>IF(HR_Data[[#This Row],[Age]]&lt;=25,"18-25",IF(HR_Data[[#This Row],[Age]]&lt;=35,"26-35",IF(HR_Data[[#This Row],[Age]]&lt;=45,"36-45",IF(HR_Data[[#This Row],[Age]]&lt;=55,"46-55","55+"))))</f>
        <v>36-45</v>
      </c>
      <c r="AF35">
        <f>IF(HR_Data[[#This Row],[Age]]&lt;=25,1,IF(HR_Data[[#This Row],[Age]]&lt;=35,2,IF(HR_Data[[#This Row],[Age]]&lt;=45,3,IF(HR_Data[[#This Row],[Age]]&lt;=55,4,5))))</f>
        <v>3</v>
      </c>
      <c r="AG35" s="1" t="str">
        <f>IF(HR_Data[[#This Row],[MonthlyIncome]]&lt;3000,"&lt;3K",IF(HR_Data[[#This Row],[MonthlyIncome]]&lt;6000,"3K-6K",IF(HR_Data[[#This Row],[MonthlyIncome]]&lt;10000,"6K-10K","10K+")))</f>
        <v>&lt;3K</v>
      </c>
      <c r="AH35" s="1">
        <f>IF(HR_Data[[#This Row],[MonthlyIncome]]&lt;3000,1,IF(HR_Data[[#This Row],[MonthlyIncome]]&lt;6000,2,IF(HR_Data[[#This Row],[MonthlyIncome]]&lt;10000,3,4)))</f>
        <v>1</v>
      </c>
      <c r="AI35" s="1" t="str">
        <f>IF(HR_Data[[#This Row],[YearsAtCompany]]&lt;=2,"0-2 Yrs",IF(HR_Data[[#This Row],[YearsAtCompany]]&lt;=5,"3-5 Yrs",IF(HR_Data[[#This Row],[YearsAtCompany]]&lt;=10,"6-10 Yrs","10+ Yrs")))</f>
        <v>0-2 Yrs</v>
      </c>
      <c r="AJ35" s="1">
        <f>IF(HR_Data[[#This Row],[YearsAtCompany]]&lt;=2,1,IF(HR_Data[[#This Row],[YearsAtCompany]]&lt;=5,2,IF(HR_Data[[#This Row],[YearsAtCompany]]&lt;=10,3,4)))</f>
        <v>1</v>
      </c>
      <c r="AK35" s="1" t="str">
        <f>CHOOSE(HR_Data[[#This Row],[Education]],"Below College","College","Bachelor","Master","Doctor")</f>
        <v>Bachelor</v>
      </c>
      <c r="AL35" s="1" t="str">
        <f>CHOOSE(HR_Data[[#This Row],[JobSatisfaction]],"Low","Medium","High","Very High")</f>
        <v>Very High</v>
      </c>
      <c r="AM35" s="1" t="str">
        <f>CHOOSE(HR_Data[[#This Row],[EnvironmentSatisfaction]],"Low","Medium","High","Very High")</f>
        <v>Very High</v>
      </c>
      <c r="AN35" s="1" t="str">
        <f>CHOOSE(HR_Data[[#This Row],[WorkLifeBalance]],"Bad","Good","Better","Best")</f>
        <v>Best</v>
      </c>
      <c r="AO35" s="1" t="str">
        <f>IF(HR_Data[[#This Row],[PercentSalaryHike]]&lt;=13,"11-13%",IF(HR_Data[[#This Row],[PercentSalaryHike]]&lt;=16,"14-16%",IF(HR_Data[[#This Row],[PercentSalaryHike]]&lt;=19,"17-19%","20-25%")))</f>
        <v>14-16%</v>
      </c>
      <c r="AP35" s="1">
        <f>IF(HR_Data[[#This Row],[PercentSalaryHike]]&lt;=13,1,IF(HR_Data[[#This Row],[PercentSalaryHike]]&lt;=16,2,IF(HR_Data[[#This Row],[PercentSalaryHike]]&lt;=19,3,4)))</f>
        <v>2</v>
      </c>
      <c r="AQ35" s="1" t="str">
        <f>IF(HR_Data[[#This Row],[DistanceFromHome]]&lt;=5,"1 to 5",IF(HR_Data[[#This Row],[DistanceFromHome]]&lt;=10,"6 to 10",IF(HR_Data[[#This Row],[DistanceFromHome]]&lt;=20,"11 to 20","21 to 29")))</f>
        <v>1 to 5</v>
      </c>
      <c r="AR35" s="1">
        <f>IF(HR_Data[[#This Row],[DistanceFromHome]]&lt;=5,1,IF(HR_Data[[#This Row],[DistanceFromHome]]&lt;=10,2,IF(HR_Data[[#This Row],[DistanceFromHome]]&lt;=20,3,4)))</f>
        <v>1</v>
      </c>
      <c r="AS35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35" s="1">
        <f>IF(HR_Data[[#This Row],[TotalWorkingYears]]&lt;=5,1,IF(HR_Data[[#This Row],[TotalWorkingYears]]&lt;=10,2,IF(HR_Data[[#This Row],[TotalWorkingYears]]&lt;=20,3,4)))</f>
        <v>3</v>
      </c>
    </row>
    <row r="36" spans="1:46" x14ac:dyDescent="0.25">
      <c r="A36">
        <v>24</v>
      </c>
      <c r="B36" t="s">
        <v>29</v>
      </c>
      <c r="C36" t="s">
        <v>30</v>
      </c>
      <c r="D36" t="s">
        <v>38</v>
      </c>
      <c r="E36">
        <v>1</v>
      </c>
      <c r="F36">
        <v>3</v>
      </c>
      <c r="G36" t="s">
        <v>44</v>
      </c>
      <c r="H36">
        <v>45</v>
      </c>
      <c r="I36">
        <v>2</v>
      </c>
      <c r="J36" t="s">
        <v>39</v>
      </c>
      <c r="K36">
        <v>3</v>
      </c>
      <c r="L36">
        <v>1</v>
      </c>
      <c r="M36" t="s">
        <v>40</v>
      </c>
      <c r="N36">
        <v>4</v>
      </c>
      <c r="O36" t="s">
        <v>41</v>
      </c>
      <c r="P36">
        <v>2293</v>
      </c>
      <c r="Q36">
        <v>2</v>
      </c>
      <c r="R36" t="s">
        <v>29</v>
      </c>
      <c r="S36">
        <v>16</v>
      </c>
      <c r="T36">
        <v>3</v>
      </c>
      <c r="U36">
        <v>1</v>
      </c>
      <c r="V36">
        <v>1</v>
      </c>
      <c r="W36">
        <v>6</v>
      </c>
      <c r="X36">
        <v>2</v>
      </c>
      <c r="Y36">
        <v>2</v>
      </c>
      <c r="Z36">
        <v>2</v>
      </c>
      <c r="AA36">
        <v>0</v>
      </c>
      <c r="AB36">
        <v>2</v>
      </c>
      <c r="AC36">
        <v>0</v>
      </c>
      <c r="AD36">
        <f>IF(HR_Data[[#This Row],[Attrition]]="Yes",1,0)</f>
        <v>1</v>
      </c>
      <c r="AE36" t="str">
        <f>IF(HR_Data[[#This Row],[Age]]&lt;=25,"18-25",IF(HR_Data[[#This Row],[Age]]&lt;=35,"26-35",IF(HR_Data[[#This Row],[Age]]&lt;=45,"36-45",IF(HR_Data[[#This Row],[Age]]&lt;=55,"46-55","55+"))))</f>
        <v>18-25</v>
      </c>
      <c r="AF36">
        <f>IF(HR_Data[[#This Row],[Age]]&lt;=25,1,IF(HR_Data[[#This Row],[Age]]&lt;=35,2,IF(HR_Data[[#This Row],[Age]]&lt;=45,3,IF(HR_Data[[#This Row],[Age]]&lt;=55,4,5))))</f>
        <v>1</v>
      </c>
      <c r="AG36" s="1" t="str">
        <f>IF(HR_Data[[#This Row],[MonthlyIncome]]&lt;3000,"&lt;3K",IF(HR_Data[[#This Row],[MonthlyIncome]]&lt;6000,"3K-6K",IF(HR_Data[[#This Row],[MonthlyIncome]]&lt;10000,"6K-10K","10K+")))</f>
        <v>&lt;3K</v>
      </c>
      <c r="AH36" s="1">
        <f>IF(HR_Data[[#This Row],[MonthlyIncome]]&lt;3000,1,IF(HR_Data[[#This Row],[MonthlyIncome]]&lt;6000,2,IF(HR_Data[[#This Row],[MonthlyIncome]]&lt;10000,3,4)))</f>
        <v>1</v>
      </c>
      <c r="AI36" s="1" t="str">
        <f>IF(HR_Data[[#This Row],[YearsAtCompany]]&lt;=2,"0-2 Yrs",IF(HR_Data[[#This Row],[YearsAtCompany]]&lt;=5,"3-5 Yrs",IF(HR_Data[[#This Row],[YearsAtCompany]]&lt;=10,"6-10 Yrs","10+ Yrs")))</f>
        <v>0-2 Yrs</v>
      </c>
      <c r="AJ36" s="1">
        <f>IF(HR_Data[[#This Row],[YearsAtCompany]]&lt;=2,1,IF(HR_Data[[#This Row],[YearsAtCompany]]&lt;=5,2,IF(HR_Data[[#This Row],[YearsAtCompany]]&lt;=10,3,4)))</f>
        <v>1</v>
      </c>
      <c r="AK36" s="1" t="str">
        <f>CHOOSE(HR_Data[[#This Row],[Education]],"Below College","College","Bachelor","Master","Doctor")</f>
        <v>Bachelor</v>
      </c>
      <c r="AL36" s="1" t="str">
        <f>CHOOSE(HR_Data[[#This Row],[JobSatisfaction]],"Low","Medium","High","Very High")</f>
        <v>Very High</v>
      </c>
      <c r="AM36" s="1" t="str">
        <f>CHOOSE(HR_Data[[#This Row],[EnvironmentSatisfaction]],"Low","Medium","High","Very High")</f>
        <v>Medium</v>
      </c>
      <c r="AN36" s="1" t="str">
        <f>CHOOSE(HR_Data[[#This Row],[WorkLifeBalance]],"Bad","Good","Better","Best")</f>
        <v>Good</v>
      </c>
      <c r="AO36" s="1" t="str">
        <f>IF(HR_Data[[#This Row],[PercentSalaryHike]]&lt;=13,"11-13%",IF(HR_Data[[#This Row],[PercentSalaryHike]]&lt;=16,"14-16%",IF(HR_Data[[#This Row],[PercentSalaryHike]]&lt;=19,"17-19%","20-25%")))</f>
        <v>14-16%</v>
      </c>
      <c r="AP36" s="1">
        <f>IF(HR_Data[[#This Row],[PercentSalaryHike]]&lt;=13,1,IF(HR_Data[[#This Row],[PercentSalaryHike]]&lt;=16,2,IF(HR_Data[[#This Row],[PercentSalaryHike]]&lt;=19,3,4)))</f>
        <v>2</v>
      </c>
      <c r="AQ36" s="1" t="str">
        <f>IF(HR_Data[[#This Row],[DistanceFromHome]]&lt;=5,"1 to 5",IF(HR_Data[[#This Row],[DistanceFromHome]]&lt;=10,"6 to 10",IF(HR_Data[[#This Row],[DistanceFromHome]]&lt;=20,"11 to 20","21 to 29")))</f>
        <v>1 to 5</v>
      </c>
      <c r="AR36" s="1">
        <f>IF(HR_Data[[#This Row],[DistanceFromHome]]&lt;=5,1,IF(HR_Data[[#This Row],[DistanceFromHome]]&lt;=10,2,IF(HR_Data[[#This Row],[DistanceFromHome]]&lt;=20,3,4)))</f>
        <v>1</v>
      </c>
      <c r="AS36" s="1" t="str">
        <f>IF(HR_Data[[#This Row],[TotalWorkingYears]]&lt;=5,"0-5 Yrs",IF(HR_Data[[#This Row],[TotalWorkingYears]]&lt;=10,"6-10 Yrs",IF(HR_Data[[#This Row],[TotalWorkingYears]]&lt;=20,"11-20 Yrs","20+ Yrs")))</f>
        <v>6-10 Yrs</v>
      </c>
      <c r="AT36" s="1">
        <f>IF(HR_Data[[#This Row],[TotalWorkingYears]]&lt;=5,1,IF(HR_Data[[#This Row],[TotalWorkingYears]]&lt;=10,2,IF(HR_Data[[#This Row],[TotalWorkingYears]]&lt;=20,3,4)))</f>
        <v>2</v>
      </c>
    </row>
    <row r="37" spans="1:46" x14ac:dyDescent="0.25">
      <c r="A37">
        <v>43</v>
      </c>
      <c r="B37" t="s">
        <v>36</v>
      </c>
      <c r="C37" t="s">
        <v>30</v>
      </c>
      <c r="D37" t="s">
        <v>38</v>
      </c>
      <c r="E37">
        <v>2</v>
      </c>
      <c r="F37">
        <v>2</v>
      </c>
      <c r="G37" t="s">
        <v>44</v>
      </c>
      <c r="H37">
        <v>46</v>
      </c>
      <c r="I37">
        <v>4</v>
      </c>
      <c r="J37" t="s">
        <v>33</v>
      </c>
      <c r="K37">
        <v>4</v>
      </c>
      <c r="L37">
        <v>1</v>
      </c>
      <c r="M37" t="s">
        <v>40</v>
      </c>
      <c r="N37">
        <v>3</v>
      </c>
      <c r="O37" t="s">
        <v>45</v>
      </c>
      <c r="P37">
        <v>2645</v>
      </c>
      <c r="Q37">
        <v>1</v>
      </c>
      <c r="R37" t="s">
        <v>36</v>
      </c>
      <c r="S37">
        <v>12</v>
      </c>
      <c r="T37">
        <v>3</v>
      </c>
      <c r="U37">
        <v>4</v>
      </c>
      <c r="V37">
        <v>2</v>
      </c>
      <c r="W37">
        <v>6</v>
      </c>
      <c r="X37">
        <v>3</v>
      </c>
      <c r="Y37">
        <v>2</v>
      </c>
      <c r="Z37">
        <v>5</v>
      </c>
      <c r="AA37">
        <v>3</v>
      </c>
      <c r="AB37">
        <v>1</v>
      </c>
      <c r="AC37">
        <v>4</v>
      </c>
      <c r="AD37">
        <f>IF(HR_Data[[#This Row],[Attrition]]="Yes",1,0)</f>
        <v>0</v>
      </c>
      <c r="AE37" t="str">
        <f>IF(HR_Data[[#This Row],[Age]]&lt;=25,"18-25",IF(HR_Data[[#This Row],[Age]]&lt;=35,"26-35",IF(HR_Data[[#This Row],[Age]]&lt;=45,"36-45",IF(HR_Data[[#This Row],[Age]]&lt;=55,"46-55","55+"))))</f>
        <v>36-45</v>
      </c>
      <c r="AF37">
        <f>IF(HR_Data[[#This Row],[Age]]&lt;=25,1,IF(HR_Data[[#This Row],[Age]]&lt;=35,2,IF(HR_Data[[#This Row],[Age]]&lt;=45,3,IF(HR_Data[[#This Row],[Age]]&lt;=55,4,5))))</f>
        <v>3</v>
      </c>
      <c r="AG37" s="1" t="str">
        <f>IF(HR_Data[[#This Row],[MonthlyIncome]]&lt;3000,"&lt;3K",IF(HR_Data[[#This Row],[MonthlyIncome]]&lt;6000,"3K-6K",IF(HR_Data[[#This Row],[MonthlyIncome]]&lt;10000,"6K-10K","10K+")))</f>
        <v>&lt;3K</v>
      </c>
      <c r="AH37" s="1">
        <f>IF(HR_Data[[#This Row],[MonthlyIncome]]&lt;3000,1,IF(HR_Data[[#This Row],[MonthlyIncome]]&lt;6000,2,IF(HR_Data[[#This Row],[MonthlyIncome]]&lt;10000,3,4)))</f>
        <v>1</v>
      </c>
      <c r="AI37" s="1" t="str">
        <f>IF(HR_Data[[#This Row],[YearsAtCompany]]&lt;=2,"0-2 Yrs",IF(HR_Data[[#This Row],[YearsAtCompany]]&lt;=5,"3-5 Yrs",IF(HR_Data[[#This Row],[YearsAtCompany]]&lt;=10,"6-10 Yrs","10+ Yrs")))</f>
        <v>3-5 Yrs</v>
      </c>
      <c r="AJ37" s="1">
        <f>IF(HR_Data[[#This Row],[YearsAtCompany]]&lt;=2,1,IF(HR_Data[[#This Row],[YearsAtCompany]]&lt;=5,2,IF(HR_Data[[#This Row],[YearsAtCompany]]&lt;=10,3,4)))</f>
        <v>2</v>
      </c>
      <c r="AK37" s="1" t="str">
        <f>CHOOSE(HR_Data[[#This Row],[Education]],"Below College","College","Bachelor","Master","Doctor")</f>
        <v>College</v>
      </c>
      <c r="AL37" s="1" t="str">
        <f>CHOOSE(HR_Data[[#This Row],[JobSatisfaction]],"Low","Medium","High","Very High")</f>
        <v>High</v>
      </c>
      <c r="AM37" s="1" t="str">
        <f>CHOOSE(HR_Data[[#This Row],[EnvironmentSatisfaction]],"Low","Medium","High","Very High")</f>
        <v>Very High</v>
      </c>
      <c r="AN37" s="1" t="str">
        <f>CHOOSE(HR_Data[[#This Row],[WorkLifeBalance]],"Bad","Good","Better","Best")</f>
        <v>Good</v>
      </c>
      <c r="AO37" s="1" t="str">
        <f>IF(HR_Data[[#This Row],[PercentSalaryHike]]&lt;=13,"11-13%",IF(HR_Data[[#This Row],[PercentSalaryHike]]&lt;=16,"14-16%",IF(HR_Data[[#This Row],[PercentSalaryHike]]&lt;=19,"17-19%","20-25%")))</f>
        <v>11-13%</v>
      </c>
      <c r="AP37" s="1">
        <f>IF(HR_Data[[#This Row],[PercentSalaryHike]]&lt;=13,1,IF(HR_Data[[#This Row],[PercentSalaryHike]]&lt;=16,2,IF(HR_Data[[#This Row],[PercentSalaryHike]]&lt;=19,3,4)))</f>
        <v>1</v>
      </c>
      <c r="AQ37" s="1" t="str">
        <f>IF(HR_Data[[#This Row],[DistanceFromHome]]&lt;=5,"1 to 5",IF(HR_Data[[#This Row],[DistanceFromHome]]&lt;=10,"6 to 10",IF(HR_Data[[#This Row],[DistanceFromHome]]&lt;=20,"11 to 20","21 to 29")))</f>
        <v>1 to 5</v>
      </c>
      <c r="AR37" s="1">
        <f>IF(HR_Data[[#This Row],[DistanceFromHome]]&lt;=5,1,IF(HR_Data[[#This Row],[DistanceFromHome]]&lt;=10,2,IF(HR_Data[[#This Row],[DistanceFromHome]]&lt;=20,3,4)))</f>
        <v>1</v>
      </c>
      <c r="AS37" s="1" t="str">
        <f>IF(HR_Data[[#This Row],[TotalWorkingYears]]&lt;=5,"0-5 Yrs",IF(HR_Data[[#This Row],[TotalWorkingYears]]&lt;=10,"6-10 Yrs",IF(HR_Data[[#This Row],[TotalWorkingYears]]&lt;=20,"11-20 Yrs","20+ Yrs")))</f>
        <v>6-10 Yrs</v>
      </c>
      <c r="AT37" s="1">
        <f>IF(HR_Data[[#This Row],[TotalWorkingYears]]&lt;=5,1,IF(HR_Data[[#This Row],[TotalWorkingYears]]&lt;=10,2,IF(HR_Data[[#This Row],[TotalWorkingYears]]&lt;=20,3,4)))</f>
        <v>2</v>
      </c>
    </row>
    <row r="38" spans="1:46" x14ac:dyDescent="0.25">
      <c r="A38">
        <v>50</v>
      </c>
      <c r="B38" t="s">
        <v>29</v>
      </c>
      <c r="C38" t="s">
        <v>30</v>
      </c>
      <c r="D38" t="s">
        <v>31</v>
      </c>
      <c r="E38">
        <v>3</v>
      </c>
      <c r="F38">
        <v>2</v>
      </c>
      <c r="G38" t="s">
        <v>52</v>
      </c>
      <c r="H38">
        <v>47</v>
      </c>
      <c r="I38">
        <v>1</v>
      </c>
      <c r="J38" t="s">
        <v>39</v>
      </c>
      <c r="K38">
        <v>2</v>
      </c>
      <c r="L38">
        <v>1</v>
      </c>
      <c r="M38" t="s">
        <v>50</v>
      </c>
      <c r="N38">
        <v>3</v>
      </c>
      <c r="O38" t="s">
        <v>41</v>
      </c>
      <c r="P38">
        <v>2683</v>
      </c>
      <c r="Q38">
        <v>1</v>
      </c>
      <c r="R38" t="s">
        <v>29</v>
      </c>
      <c r="S38">
        <v>14</v>
      </c>
      <c r="T38">
        <v>3</v>
      </c>
      <c r="U38">
        <v>3</v>
      </c>
      <c r="V38">
        <v>0</v>
      </c>
      <c r="W38">
        <v>3</v>
      </c>
      <c r="X38">
        <v>2</v>
      </c>
      <c r="Y38">
        <v>3</v>
      </c>
      <c r="Z38">
        <v>3</v>
      </c>
      <c r="AA38">
        <v>2</v>
      </c>
      <c r="AB38">
        <v>0</v>
      </c>
      <c r="AC38">
        <v>2</v>
      </c>
      <c r="AD38">
        <f>IF(HR_Data[[#This Row],[Attrition]]="Yes",1,0)</f>
        <v>1</v>
      </c>
      <c r="AE38" t="str">
        <f>IF(HR_Data[[#This Row],[Age]]&lt;=25,"18-25",IF(HR_Data[[#This Row],[Age]]&lt;=35,"26-35",IF(HR_Data[[#This Row],[Age]]&lt;=45,"36-45",IF(HR_Data[[#This Row],[Age]]&lt;=55,"46-55","55+"))))</f>
        <v>46-55</v>
      </c>
      <c r="AF38">
        <f>IF(HR_Data[[#This Row],[Age]]&lt;=25,1,IF(HR_Data[[#This Row],[Age]]&lt;=35,2,IF(HR_Data[[#This Row],[Age]]&lt;=45,3,IF(HR_Data[[#This Row],[Age]]&lt;=55,4,5))))</f>
        <v>4</v>
      </c>
      <c r="AG38" s="1" t="str">
        <f>IF(HR_Data[[#This Row],[MonthlyIncome]]&lt;3000,"&lt;3K",IF(HR_Data[[#This Row],[MonthlyIncome]]&lt;6000,"3K-6K",IF(HR_Data[[#This Row],[MonthlyIncome]]&lt;10000,"6K-10K","10K+")))</f>
        <v>&lt;3K</v>
      </c>
      <c r="AH38" s="1">
        <f>IF(HR_Data[[#This Row],[MonthlyIncome]]&lt;3000,1,IF(HR_Data[[#This Row],[MonthlyIncome]]&lt;6000,2,IF(HR_Data[[#This Row],[MonthlyIncome]]&lt;10000,3,4)))</f>
        <v>1</v>
      </c>
      <c r="AI38" s="1" t="str">
        <f>IF(HR_Data[[#This Row],[YearsAtCompany]]&lt;=2,"0-2 Yrs",IF(HR_Data[[#This Row],[YearsAtCompany]]&lt;=5,"3-5 Yrs",IF(HR_Data[[#This Row],[YearsAtCompany]]&lt;=10,"6-10 Yrs","10+ Yrs")))</f>
        <v>3-5 Yrs</v>
      </c>
      <c r="AJ38" s="1">
        <f>IF(HR_Data[[#This Row],[YearsAtCompany]]&lt;=2,1,IF(HR_Data[[#This Row],[YearsAtCompany]]&lt;=5,2,IF(HR_Data[[#This Row],[YearsAtCompany]]&lt;=10,3,4)))</f>
        <v>2</v>
      </c>
      <c r="AK38" s="1" t="str">
        <f>CHOOSE(HR_Data[[#This Row],[Education]],"Below College","College","Bachelor","Master","Doctor")</f>
        <v>College</v>
      </c>
      <c r="AL38" s="1" t="str">
        <f>CHOOSE(HR_Data[[#This Row],[JobSatisfaction]],"Low","Medium","High","Very High")</f>
        <v>High</v>
      </c>
      <c r="AM38" s="1" t="str">
        <f>CHOOSE(HR_Data[[#This Row],[EnvironmentSatisfaction]],"Low","Medium","High","Very High")</f>
        <v>Low</v>
      </c>
      <c r="AN38" s="1" t="str">
        <f>CHOOSE(HR_Data[[#This Row],[WorkLifeBalance]],"Bad","Good","Better","Best")</f>
        <v>Better</v>
      </c>
      <c r="AO38" s="1" t="str">
        <f>IF(HR_Data[[#This Row],[PercentSalaryHike]]&lt;=13,"11-13%",IF(HR_Data[[#This Row],[PercentSalaryHike]]&lt;=16,"14-16%",IF(HR_Data[[#This Row],[PercentSalaryHike]]&lt;=19,"17-19%","20-25%")))</f>
        <v>14-16%</v>
      </c>
      <c r="AP38" s="1">
        <f>IF(HR_Data[[#This Row],[PercentSalaryHike]]&lt;=13,1,IF(HR_Data[[#This Row],[PercentSalaryHike]]&lt;=16,2,IF(HR_Data[[#This Row],[PercentSalaryHike]]&lt;=19,3,4)))</f>
        <v>2</v>
      </c>
      <c r="AQ38" s="1" t="str">
        <f>IF(HR_Data[[#This Row],[DistanceFromHome]]&lt;=5,"1 to 5",IF(HR_Data[[#This Row],[DistanceFromHome]]&lt;=10,"6 to 10",IF(HR_Data[[#This Row],[DistanceFromHome]]&lt;=20,"11 to 20","21 to 29")))</f>
        <v>1 to 5</v>
      </c>
      <c r="AR38" s="1">
        <f>IF(HR_Data[[#This Row],[DistanceFromHome]]&lt;=5,1,IF(HR_Data[[#This Row],[DistanceFromHome]]&lt;=10,2,IF(HR_Data[[#This Row],[DistanceFromHome]]&lt;=20,3,4)))</f>
        <v>1</v>
      </c>
      <c r="AS38" s="1" t="str">
        <f>IF(HR_Data[[#This Row],[TotalWorkingYears]]&lt;=5,"0-5 Yrs",IF(HR_Data[[#This Row],[TotalWorkingYears]]&lt;=10,"6-10 Yrs",IF(HR_Data[[#This Row],[TotalWorkingYears]]&lt;=20,"11-20 Yrs","20+ Yrs")))</f>
        <v>0-5 Yrs</v>
      </c>
      <c r="AT38" s="1">
        <f>IF(HR_Data[[#This Row],[TotalWorkingYears]]&lt;=5,1,IF(HR_Data[[#This Row],[TotalWorkingYears]]&lt;=10,2,IF(HR_Data[[#This Row],[TotalWorkingYears]]&lt;=20,3,4)))</f>
        <v>1</v>
      </c>
    </row>
    <row r="39" spans="1:46" x14ac:dyDescent="0.25">
      <c r="A39">
        <v>35</v>
      </c>
      <c r="B39" t="s">
        <v>36</v>
      </c>
      <c r="C39" t="s">
        <v>30</v>
      </c>
      <c r="D39" t="s">
        <v>31</v>
      </c>
      <c r="E39">
        <v>2</v>
      </c>
      <c r="F39">
        <v>3</v>
      </c>
      <c r="G39" t="s">
        <v>52</v>
      </c>
      <c r="H39">
        <v>49</v>
      </c>
      <c r="I39">
        <v>4</v>
      </c>
      <c r="J39" t="s">
        <v>33</v>
      </c>
      <c r="K39">
        <v>3</v>
      </c>
      <c r="L39">
        <v>1</v>
      </c>
      <c r="M39" t="s">
        <v>50</v>
      </c>
      <c r="N39">
        <v>4</v>
      </c>
      <c r="O39" t="s">
        <v>41</v>
      </c>
      <c r="P39">
        <v>2014</v>
      </c>
      <c r="Q39">
        <v>1</v>
      </c>
      <c r="R39" t="s">
        <v>36</v>
      </c>
      <c r="S39">
        <v>13</v>
      </c>
      <c r="T39">
        <v>3</v>
      </c>
      <c r="U39">
        <v>1</v>
      </c>
      <c r="V39">
        <v>0</v>
      </c>
      <c r="W39">
        <v>2</v>
      </c>
      <c r="X39">
        <v>3</v>
      </c>
      <c r="Y39">
        <v>3</v>
      </c>
      <c r="Z39">
        <v>2</v>
      </c>
      <c r="AA39">
        <v>2</v>
      </c>
      <c r="AB39">
        <v>2</v>
      </c>
      <c r="AC39">
        <v>2</v>
      </c>
      <c r="AD39">
        <f>IF(HR_Data[[#This Row],[Attrition]]="Yes",1,0)</f>
        <v>0</v>
      </c>
      <c r="AE39" t="str">
        <f>IF(HR_Data[[#This Row],[Age]]&lt;=25,"18-25",IF(HR_Data[[#This Row],[Age]]&lt;=35,"26-35",IF(HR_Data[[#This Row],[Age]]&lt;=45,"36-45",IF(HR_Data[[#This Row],[Age]]&lt;=55,"46-55","55+"))))</f>
        <v>26-35</v>
      </c>
      <c r="AF39">
        <f>IF(HR_Data[[#This Row],[Age]]&lt;=25,1,IF(HR_Data[[#This Row],[Age]]&lt;=35,2,IF(HR_Data[[#This Row],[Age]]&lt;=45,3,IF(HR_Data[[#This Row],[Age]]&lt;=55,4,5))))</f>
        <v>2</v>
      </c>
      <c r="AG39" s="1" t="str">
        <f>IF(HR_Data[[#This Row],[MonthlyIncome]]&lt;3000,"&lt;3K",IF(HR_Data[[#This Row],[MonthlyIncome]]&lt;6000,"3K-6K",IF(HR_Data[[#This Row],[MonthlyIncome]]&lt;10000,"6K-10K","10K+")))</f>
        <v>&lt;3K</v>
      </c>
      <c r="AH39" s="1">
        <f>IF(HR_Data[[#This Row],[MonthlyIncome]]&lt;3000,1,IF(HR_Data[[#This Row],[MonthlyIncome]]&lt;6000,2,IF(HR_Data[[#This Row],[MonthlyIncome]]&lt;10000,3,4)))</f>
        <v>1</v>
      </c>
      <c r="AI39" s="1" t="str">
        <f>IF(HR_Data[[#This Row],[YearsAtCompany]]&lt;=2,"0-2 Yrs",IF(HR_Data[[#This Row],[YearsAtCompany]]&lt;=5,"3-5 Yrs",IF(HR_Data[[#This Row],[YearsAtCompany]]&lt;=10,"6-10 Yrs","10+ Yrs")))</f>
        <v>0-2 Yrs</v>
      </c>
      <c r="AJ39" s="1">
        <f>IF(HR_Data[[#This Row],[YearsAtCompany]]&lt;=2,1,IF(HR_Data[[#This Row],[YearsAtCompany]]&lt;=5,2,IF(HR_Data[[#This Row],[YearsAtCompany]]&lt;=10,3,4)))</f>
        <v>1</v>
      </c>
      <c r="AK39" s="1" t="str">
        <f>CHOOSE(HR_Data[[#This Row],[Education]],"Below College","College","Bachelor","Master","Doctor")</f>
        <v>Bachelor</v>
      </c>
      <c r="AL39" s="1" t="str">
        <f>CHOOSE(HR_Data[[#This Row],[JobSatisfaction]],"Low","Medium","High","Very High")</f>
        <v>Very High</v>
      </c>
      <c r="AM39" s="1" t="str">
        <f>CHOOSE(HR_Data[[#This Row],[EnvironmentSatisfaction]],"Low","Medium","High","Very High")</f>
        <v>Very High</v>
      </c>
      <c r="AN39" s="1" t="str">
        <f>CHOOSE(HR_Data[[#This Row],[WorkLifeBalance]],"Bad","Good","Better","Best")</f>
        <v>Better</v>
      </c>
      <c r="AO39" s="1" t="str">
        <f>IF(HR_Data[[#This Row],[PercentSalaryHike]]&lt;=13,"11-13%",IF(HR_Data[[#This Row],[PercentSalaryHike]]&lt;=16,"14-16%",IF(HR_Data[[#This Row],[PercentSalaryHike]]&lt;=19,"17-19%","20-25%")))</f>
        <v>11-13%</v>
      </c>
      <c r="AP39" s="1">
        <f>IF(HR_Data[[#This Row],[PercentSalaryHike]]&lt;=13,1,IF(HR_Data[[#This Row],[PercentSalaryHike]]&lt;=16,2,IF(HR_Data[[#This Row],[PercentSalaryHike]]&lt;=19,3,4)))</f>
        <v>1</v>
      </c>
      <c r="AQ39" s="1" t="str">
        <f>IF(HR_Data[[#This Row],[DistanceFromHome]]&lt;=5,"1 to 5",IF(HR_Data[[#This Row],[DistanceFromHome]]&lt;=10,"6 to 10",IF(HR_Data[[#This Row],[DistanceFromHome]]&lt;=20,"11 to 20","21 to 29")))</f>
        <v>1 to 5</v>
      </c>
      <c r="AR39" s="1">
        <f>IF(HR_Data[[#This Row],[DistanceFromHome]]&lt;=5,1,IF(HR_Data[[#This Row],[DistanceFromHome]]&lt;=10,2,IF(HR_Data[[#This Row],[DistanceFromHome]]&lt;=20,3,4)))</f>
        <v>1</v>
      </c>
      <c r="AS39" s="1" t="str">
        <f>IF(HR_Data[[#This Row],[TotalWorkingYears]]&lt;=5,"0-5 Yrs",IF(HR_Data[[#This Row],[TotalWorkingYears]]&lt;=10,"6-10 Yrs",IF(HR_Data[[#This Row],[TotalWorkingYears]]&lt;=20,"11-20 Yrs","20+ Yrs")))</f>
        <v>0-5 Yrs</v>
      </c>
      <c r="AT39" s="1">
        <f>IF(HR_Data[[#This Row],[TotalWorkingYears]]&lt;=5,1,IF(HR_Data[[#This Row],[TotalWorkingYears]]&lt;=10,2,IF(HR_Data[[#This Row],[TotalWorkingYears]]&lt;=20,3,4)))</f>
        <v>1</v>
      </c>
    </row>
    <row r="40" spans="1:46" x14ac:dyDescent="0.25">
      <c r="A40">
        <v>36</v>
      </c>
      <c r="B40" t="s">
        <v>36</v>
      </c>
      <c r="C40" t="s">
        <v>30</v>
      </c>
      <c r="D40" t="s">
        <v>38</v>
      </c>
      <c r="E40">
        <v>5</v>
      </c>
      <c r="F40">
        <v>4</v>
      </c>
      <c r="G40" t="s">
        <v>32</v>
      </c>
      <c r="H40">
        <v>51</v>
      </c>
      <c r="I40">
        <v>2</v>
      </c>
      <c r="J40" t="s">
        <v>33</v>
      </c>
      <c r="K40">
        <v>2</v>
      </c>
      <c r="L40">
        <v>1</v>
      </c>
      <c r="M40" t="s">
        <v>40</v>
      </c>
      <c r="N40">
        <v>1</v>
      </c>
      <c r="O40" t="s">
        <v>41</v>
      </c>
      <c r="P40">
        <v>3419</v>
      </c>
      <c r="Q40">
        <v>9</v>
      </c>
      <c r="R40" t="s">
        <v>29</v>
      </c>
      <c r="S40">
        <v>14</v>
      </c>
      <c r="T40">
        <v>3</v>
      </c>
      <c r="U40">
        <v>4</v>
      </c>
      <c r="V40">
        <v>1</v>
      </c>
      <c r="W40">
        <v>6</v>
      </c>
      <c r="X40">
        <v>3</v>
      </c>
      <c r="Y40">
        <v>4</v>
      </c>
      <c r="Z40">
        <v>1</v>
      </c>
      <c r="AA40">
        <v>1</v>
      </c>
      <c r="AB40">
        <v>0</v>
      </c>
      <c r="AC40">
        <v>0</v>
      </c>
      <c r="AD40">
        <f>IF(HR_Data[[#This Row],[Attrition]]="Yes",1,0)</f>
        <v>0</v>
      </c>
      <c r="AE40" t="str">
        <f>IF(HR_Data[[#This Row],[Age]]&lt;=25,"18-25",IF(HR_Data[[#This Row],[Age]]&lt;=35,"26-35",IF(HR_Data[[#This Row],[Age]]&lt;=45,"36-45",IF(HR_Data[[#This Row],[Age]]&lt;=55,"46-55","55+"))))</f>
        <v>36-45</v>
      </c>
      <c r="AF40">
        <f>IF(HR_Data[[#This Row],[Age]]&lt;=25,1,IF(HR_Data[[#This Row],[Age]]&lt;=35,2,IF(HR_Data[[#This Row],[Age]]&lt;=45,3,IF(HR_Data[[#This Row],[Age]]&lt;=55,4,5))))</f>
        <v>3</v>
      </c>
      <c r="AG40" s="1" t="str">
        <f>IF(HR_Data[[#This Row],[MonthlyIncome]]&lt;3000,"&lt;3K",IF(HR_Data[[#This Row],[MonthlyIncome]]&lt;6000,"3K-6K",IF(HR_Data[[#This Row],[MonthlyIncome]]&lt;10000,"6K-10K","10K+")))</f>
        <v>3K-6K</v>
      </c>
      <c r="AH40" s="1">
        <f>IF(HR_Data[[#This Row],[MonthlyIncome]]&lt;3000,1,IF(HR_Data[[#This Row],[MonthlyIncome]]&lt;6000,2,IF(HR_Data[[#This Row],[MonthlyIncome]]&lt;10000,3,4)))</f>
        <v>2</v>
      </c>
      <c r="AI40" s="1" t="str">
        <f>IF(HR_Data[[#This Row],[YearsAtCompany]]&lt;=2,"0-2 Yrs",IF(HR_Data[[#This Row],[YearsAtCompany]]&lt;=5,"3-5 Yrs",IF(HR_Data[[#This Row],[YearsAtCompany]]&lt;=10,"6-10 Yrs","10+ Yrs")))</f>
        <v>0-2 Yrs</v>
      </c>
      <c r="AJ40" s="1">
        <f>IF(HR_Data[[#This Row],[YearsAtCompany]]&lt;=2,1,IF(HR_Data[[#This Row],[YearsAtCompany]]&lt;=5,2,IF(HR_Data[[#This Row],[YearsAtCompany]]&lt;=10,3,4)))</f>
        <v>1</v>
      </c>
      <c r="AK40" s="1" t="str">
        <f>CHOOSE(HR_Data[[#This Row],[Education]],"Below College","College","Bachelor","Master","Doctor")</f>
        <v>Master</v>
      </c>
      <c r="AL40" s="1" t="str">
        <f>CHOOSE(HR_Data[[#This Row],[JobSatisfaction]],"Low","Medium","High","Very High")</f>
        <v>Low</v>
      </c>
      <c r="AM40" s="1" t="str">
        <f>CHOOSE(HR_Data[[#This Row],[EnvironmentSatisfaction]],"Low","Medium","High","Very High")</f>
        <v>Medium</v>
      </c>
      <c r="AN40" s="1" t="str">
        <f>CHOOSE(HR_Data[[#This Row],[WorkLifeBalance]],"Bad","Good","Better","Best")</f>
        <v>Best</v>
      </c>
      <c r="AO40" s="1" t="str">
        <f>IF(HR_Data[[#This Row],[PercentSalaryHike]]&lt;=13,"11-13%",IF(HR_Data[[#This Row],[PercentSalaryHike]]&lt;=16,"14-16%",IF(HR_Data[[#This Row],[PercentSalaryHike]]&lt;=19,"17-19%","20-25%")))</f>
        <v>14-16%</v>
      </c>
      <c r="AP40" s="1">
        <f>IF(HR_Data[[#This Row],[PercentSalaryHike]]&lt;=13,1,IF(HR_Data[[#This Row],[PercentSalaryHike]]&lt;=16,2,IF(HR_Data[[#This Row],[PercentSalaryHike]]&lt;=19,3,4)))</f>
        <v>2</v>
      </c>
      <c r="AQ40" s="1" t="str">
        <f>IF(HR_Data[[#This Row],[DistanceFromHome]]&lt;=5,"1 to 5",IF(HR_Data[[#This Row],[DistanceFromHome]]&lt;=10,"6 to 10",IF(HR_Data[[#This Row],[DistanceFromHome]]&lt;=20,"11 to 20","21 to 29")))</f>
        <v>1 to 5</v>
      </c>
      <c r="AR40" s="1">
        <f>IF(HR_Data[[#This Row],[DistanceFromHome]]&lt;=5,1,IF(HR_Data[[#This Row],[DistanceFromHome]]&lt;=10,2,IF(HR_Data[[#This Row],[DistanceFromHome]]&lt;=20,3,4)))</f>
        <v>1</v>
      </c>
      <c r="AS40" s="1" t="str">
        <f>IF(HR_Data[[#This Row],[TotalWorkingYears]]&lt;=5,"0-5 Yrs",IF(HR_Data[[#This Row],[TotalWorkingYears]]&lt;=10,"6-10 Yrs",IF(HR_Data[[#This Row],[TotalWorkingYears]]&lt;=20,"11-20 Yrs","20+ Yrs")))</f>
        <v>6-10 Yrs</v>
      </c>
      <c r="AT40" s="1">
        <f>IF(HR_Data[[#This Row],[TotalWorkingYears]]&lt;=5,1,IF(HR_Data[[#This Row],[TotalWorkingYears]]&lt;=10,2,IF(HR_Data[[#This Row],[TotalWorkingYears]]&lt;=20,3,4)))</f>
        <v>2</v>
      </c>
    </row>
    <row r="41" spans="1:46" x14ac:dyDescent="0.25">
      <c r="A41">
        <v>33</v>
      </c>
      <c r="B41" t="s">
        <v>36</v>
      </c>
      <c r="C41" t="s">
        <v>37</v>
      </c>
      <c r="D41" t="s">
        <v>31</v>
      </c>
      <c r="E41">
        <v>1</v>
      </c>
      <c r="F41">
        <v>3</v>
      </c>
      <c r="G41" t="s">
        <v>32</v>
      </c>
      <c r="H41">
        <v>52</v>
      </c>
      <c r="I41">
        <v>3</v>
      </c>
      <c r="J41" t="s">
        <v>33</v>
      </c>
      <c r="K41">
        <v>4</v>
      </c>
      <c r="L41">
        <v>2</v>
      </c>
      <c r="M41" t="s">
        <v>34</v>
      </c>
      <c r="N41">
        <v>1</v>
      </c>
      <c r="O41" t="s">
        <v>41</v>
      </c>
      <c r="P41">
        <v>5376</v>
      </c>
      <c r="Q41">
        <v>2</v>
      </c>
      <c r="R41" t="s">
        <v>36</v>
      </c>
      <c r="S41">
        <v>19</v>
      </c>
      <c r="T41">
        <v>3</v>
      </c>
      <c r="U41">
        <v>1</v>
      </c>
      <c r="V41">
        <v>2</v>
      </c>
      <c r="W41">
        <v>10</v>
      </c>
      <c r="X41">
        <v>3</v>
      </c>
      <c r="Y41">
        <v>3</v>
      </c>
      <c r="Z41">
        <v>5</v>
      </c>
      <c r="AA41">
        <v>3</v>
      </c>
      <c r="AB41">
        <v>1</v>
      </c>
      <c r="AC41">
        <v>3</v>
      </c>
      <c r="AD41">
        <f>IF(HR_Data[[#This Row],[Attrition]]="Yes",1,0)</f>
        <v>0</v>
      </c>
      <c r="AE41" t="str">
        <f>IF(HR_Data[[#This Row],[Age]]&lt;=25,"18-25",IF(HR_Data[[#This Row],[Age]]&lt;=35,"26-35",IF(HR_Data[[#This Row],[Age]]&lt;=45,"36-45",IF(HR_Data[[#This Row],[Age]]&lt;=55,"46-55","55+"))))</f>
        <v>26-35</v>
      </c>
      <c r="AF41">
        <f>IF(HR_Data[[#This Row],[Age]]&lt;=25,1,IF(HR_Data[[#This Row],[Age]]&lt;=35,2,IF(HR_Data[[#This Row],[Age]]&lt;=45,3,IF(HR_Data[[#This Row],[Age]]&lt;=55,4,5))))</f>
        <v>2</v>
      </c>
      <c r="AG41" s="1" t="str">
        <f>IF(HR_Data[[#This Row],[MonthlyIncome]]&lt;3000,"&lt;3K",IF(HR_Data[[#This Row],[MonthlyIncome]]&lt;6000,"3K-6K",IF(HR_Data[[#This Row],[MonthlyIncome]]&lt;10000,"6K-10K","10K+")))</f>
        <v>3K-6K</v>
      </c>
      <c r="AH41" s="1">
        <f>IF(HR_Data[[#This Row],[MonthlyIncome]]&lt;3000,1,IF(HR_Data[[#This Row],[MonthlyIncome]]&lt;6000,2,IF(HR_Data[[#This Row],[MonthlyIncome]]&lt;10000,3,4)))</f>
        <v>2</v>
      </c>
      <c r="AI41" s="1" t="str">
        <f>IF(HR_Data[[#This Row],[YearsAtCompany]]&lt;=2,"0-2 Yrs",IF(HR_Data[[#This Row],[YearsAtCompany]]&lt;=5,"3-5 Yrs",IF(HR_Data[[#This Row],[YearsAtCompany]]&lt;=10,"6-10 Yrs","10+ Yrs")))</f>
        <v>3-5 Yrs</v>
      </c>
      <c r="AJ41" s="1">
        <f>IF(HR_Data[[#This Row],[YearsAtCompany]]&lt;=2,1,IF(HR_Data[[#This Row],[YearsAtCompany]]&lt;=5,2,IF(HR_Data[[#This Row],[YearsAtCompany]]&lt;=10,3,4)))</f>
        <v>2</v>
      </c>
      <c r="AK41" s="1" t="str">
        <f>CHOOSE(HR_Data[[#This Row],[Education]],"Below College","College","Bachelor","Master","Doctor")</f>
        <v>Bachelor</v>
      </c>
      <c r="AL41" s="1" t="str">
        <f>CHOOSE(HR_Data[[#This Row],[JobSatisfaction]],"Low","Medium","High","Very High")</f>
        <v>Low</v>
      </c>
      <c r="AM41" s="1" t="str">
        <f>CHOOSE(HR_Data[[#This Row],[EnvironmentSatisfaction]],"Low","Medium","High","Very High")</f>
        <v>High</v>
      </c>
      <c r="AN41" s="1" t="str">
        <f>CHOOSE(HR_Data[[#This Row],[WorkLifeBalance]],"Bad","Good","Better","Best")</f>
        <v>Better</v>
      </c>
      <c r="AO41" s="1" t="str">
        <f>IF(HR_Data[[#This Row],[PercentSalaryHike]]&lt;=13,"11-13%",IF(HR_Data[[#This Row],[PercentSalaryHike]]&lt;=16,"14-16%",IF(HR_Data[[#This Row],[PercentSalaryHike]]&lt;=19,"17-19%","20-25%")))</f>
        <v>17-19%</v>
      </c>
      <c r="AP41" s="1">
        <f>IF(HR_Data[[#This Row],[PercentSalaryHike]]&lt;=13,1,IF(HR_Data[[#This Row],[PercentSalaryHike]]&lt;=16,2,IF(HR_Data[[#This Row],[PercentSalaryHike]]&lt;=19,3,4)))</f>
        <v>3</v>
      </c>
      <c r="AQ41" s="1" t="str">
        <f>IF(HR_Data[[#This Row],[DistanceFromHome]]&lt;=5,"1 to 5",IF(HR_Data[[#This Row],[DistanceFromHome]]&lt;=10,"6 to 10",IF(HR_Data[[#This Row],[DistanceFromHome]]&lt;=20,"11 to 20","21 to 29")))</f>
        <v>1 to 5</v>
      </c>
      <c r="AR41" s="1">
        <f>IF(HR_Data[[#This Row],[DistanceFromHome]]&lt;=5,1,IF(HR_Data[[#This Row],[DistanceFromHome]]&lt;=10,2,IF(HR_Data[[#This Row],[DistanceFromHome]]&lt;=20,3,4)))</f>
        <v>1</v>
      </c>
      <c r="AS41" s="1" t="str">
        <f>IF(HR_Data[[#This Row],[TotalWorkingYears]]&lt;=5,"0-5 Yrs",IF(HR_Data[[#This Row],[TotalWorkingYears]]&lt;=10,"6-10 Yrs",IF(HR_Data[[#This Row],[TotalWorkingYears]]&lt;=20,"11-20 Yrs","20+ Yrs")))</f>
        <v>6-10 Yrs</v>
      </c>
      <c r="AT41" s="1">
        <f>IF(HR_Data[[#This Row],[TotalWorkingYears]]&lt;=5,1,IF(HR_Data[[#This Row],[TotalWorkingYears]]&lt;=10,2,IF(HR_Data[[#This Row],[TotalWorkingYears]]&lt;=20,3,4)))</f>
        <v>2</v>
      </c>
    </row>
    <row r="42" spans="1:46" x14ac:dyDescent="0.25">
      <c r="A42">
        <v>35</v>
      </c>
      <c r="B42" t="s">
        <v>36</v>
      </c>
      <c r="C42" t="s">
        <v>30</v>
      </c>
      <c r="D42" t="s">
        <v>38</v>
      </c>
      <c r="E42">
        <v>4</v>
      </c>
      <c r="F42">
        <v>2</v>
      </c>
      <c r="G42" t="s">
        <v>42</v>
      </c>
      <c r="H42">
        <v>53</v>
      </c>
      <c r="I42">
        <v>3</v>
      </c>
      <c r="J42" t="s">
        <v>39</v>
      </c>
      <c r="K42">
        <v>3</v>
      </c>
      <c r="L42">
        <v>1</v>
      </c>
      <c r="M42" t="s">
        <v>43</v>
      </c>
      <c r="N42">
        <v>4</v>
      </c>
      <c r="O42" t="s">
        <v>45</v>
      </c>
      <c r="P42">
        <v>1951</v>
      </c>
      <c r="Q42">
        <v>1</v>
      </c>
      <c r="R42" t="s">
        <v>36</v>
      </c>
      <c r="S42">
        <v>12</v>
      </c>
      <c r="T42">
        <v>3</v>
      </c>
      <c r="U42">
        <v>3</v>
      </c>
      <c r="V42">
        <v>1</v>
      </c>
      <c r="W42">
        <v>1</v>
      </c>
      <c r="X42">
        <v>3</v>
      </c>
      <c r="Y42">
        <v>3</v>
      </c>
      <c r="Z42">
        <v>1</v>
      </c>
      <c r="AA42">
        <v>0</v>
      </c>
      <c r="AB42">
        <v>0</v>
      </c>
      <c r="AC42">
        <v>0</v>
      </c>
      <c r="AD42">
        <f>IF(HR_Data[[#This Row],[Attrition]]="Yes",1,0)</f>
        <v>0</v>
      </c>
      <c r="AE42" t="str">
        <f>IF(HR_Data[[#This Row],[Age]]&lt;=25,"18-25",IF(HR_Data[[#This Row],[Age]]&lt;=35,"26-35",IF(HR_Data[[#This Row],[Age]]&lt;=45,"36-45",IF(HR_Data[[#This Row],[Age]]&lt;=55,"46-55","55+"))))</f>
        <v>26-35</v>
      </c>
      <c r="AF42">
        <f>IF(HR_Data[[#This Row],[Age]]&lt;=25,1,IF(HR_Data[[#This Row],[Age]]&lt;=35,2,IF(HR_Data[[#This Row],[Age]]&lt;=45,3,IF(HR_Data[[#This Row],[Age]]&lt;=55,4,5))))</f>
        <v>2</v>
      </c>
      <c r="AG42" s="1" t="str">
        <f>IF(HR_Data[[#This Row],[MonthlyIncome]]&lt;3000,"&lt;3K",IF(HR_Data[[#This Row],[MonthlyIncome]]&lt;6000,"3K-6K",IF(HR_Data[[#This Row],[MonthlyIncome]]&lt;10000,"6K-10K","10K+")))</f>
        <v>&lt;3K</v>
      </c>
      <c r="AH42" s="1">
        <f>IF(HR_Data[[#This Row],[MonthlyIncome]]&lt;3000,1,IF(HR_Data[[#This Row],[MonthlyIncome]]&lt;6000,2,IF(HR_Data[[#This Row],[MonthlyIncome]]&lt;10000,3,4)))</f>
        <v>1</v>
      </c>
      <c r="AI42" s="1" t="str">
        <f>IF(HR_Data[[#This Row],[YearsAtCompany]]&lt;=2,"0-2 Yrs",IF(HR_Data[[#This Row],[YearsAtCompany]]&lt;=5,"3-5 Yrs",IF(HR_Data[[#This Row],[YearsAtCompany]]&lt;=10,"6-10 Yrs","10+ Yrs")))</f>
        <v>0-2 Yrs</v>
      </c>
      <c r="AJ42" s="1">
        <f>IF(HR_Data[[#This Row],[YearsAtCompany]]&lt;=2,1,IF(HR_Data[[#This Row],[YearsAtCompany]]&lt;=5,2,IF(HR_Data[[#This Row],[YearsAtCompany]]&lt;=10,3,4)))</f>
        <v>1</v>
      </c>
      <c r="AK42" s="1" t="str">
        <f>CHOOSE(HR_Data[[#This Row],[Education]],"Below College","College","Bachelor","Master","Doctor")</f>
        <v>College</v>
      </c>
      <c r="AL42" s="1" t="str">
        <f>CHOOSE(HR_Data[[#This Row],[JobSatisfaction]],"Low","Medium","High","Very High")</f>
        <v>Very High</v>
      </c>
      <c r="AM42" s="1" t="str">
        <f>CHOOSE(HR_Data[[#This Row],[EnvironmentSatisfaction]],"Low","Medium","High","Very High")</f>
        <v>High</v>
      </c>
      <c r="AN42" s="1" t="str">
        <f>CHOOSE(HR_Data[[#This Row],[WorkLifeBalance]],"Bad","Good","Better","Best")</f>
        <v>Better</v>
      </c>
      <c r="AO42" s="1" t="str">
        <f>IF(HR_Data[[#This Row],[PercentSalaryHike]]&lt;=13,"11-13%",IF(HR_Data[[#This Row],[PercentSalaryHike]]&lt;=16,"14-16%",IF(HR_Data[[#This Row],[PercentSalaryHike]]&lt;=19,"17-19%","20-25%")))</f>
        <v>11-13%</v>
      </c>
      <c r="AP42" s="1">
        <f>IF(HR_Data[[#This Row],[PercentSalaryHike]]&lt;=13,1,IF(HR_Data[[#This Row],[PercentSalaryHike]]&lt;=16,2,IF(HR_Data[[#This Row],[PercentSalaryHike]]&lt;=19,3,4)))</f>
        <v>1</v>
      </c>
      <c r="AQ42" s="1" t="str">
        <f>IF(HR_Data[[#This Row],[DistanceFromHome]]&lt;=5,"1 to 5",IF(HR_Data[[#This Row],[DistanceFromHome]]&lt;=10,"6 to 10",IF(HR_Data[[#This Row],[DistanceFromHome]]&lt;=20,"11 to 20","21 to 29")))</f>
        <v>1 to 5</v>
      </c>
      <c r="AR42" s="1">
        <f>IF(HR_Data[[#This Row],[DistanceFromHome]]&lt;=5,1,IF(HR_Data[[#This Row],[DistanceFromHome]]&lt;=10,2,IF(HR_Data[[#This Row],[DistanceFromHome]]&lt;=20,3,4)))</f>
        <v>1</v>
      </c>
      <c r="AS42" s="1" t="str">
        <f>IF(HR_Data[[#This Row],[TotalWorkingYears]]&lt;=5,"0-5 Yrs",IF(HR_Data[[#This Row],[TotalWorkingYears]]&lt;=10,"6-10 Yrs",IF(HR_Data[[#This Row],[TotalWorkingYears]]&lt;=20,"11-20 Yrs","20+ Yrs")))</f>
        <v>0-5 Yrs</v>
      </c>
      <c r="AT42" s="1">
        <f>IF(HR_Data[[#This Row],[TotalWorkingYears]]&lt;=5,1,IF(HR_Data[[#This Row],[TotalWorkingYears]]&lt;=10,2,IF(HR_Data[[#This Row],[TotalWorkingYears]]&lt;=20,3,4)))</f>
        <v>1</v>
      </c>
    </row>
    <row r="43" spans="1:46" x14ac:dyDescent="0.25">
      <c r="A43">
        <v>27</v>
      </c>
      <c r="B43" t="s">
        <v>36</v>
      </c>
      <c r="C43" t="s">
        <v>30</v>
      </c>
      <c r="D43" t="s">
        <v>38</v>
      </c>
      <c r="E43">
        <v>2</v>
      </c>
      <c r="F43">
        <v>4</v>
      </c>
      <c r="G43" t="s">
        <v>32</v>
      </c>
      <c r="H43">
        <v>54</v>
      </c>
      <c r="I43">
        <v>4</v>
      </c>
      <c r="J43" t="s">
        <v>33</v>
      </c>
      <c r="K43">
        <v>3</v>
      </c>
      <c r="L43">
        <v>1</v>
      </c>
      <c r="M43" t="s">
        <v>43</v>
      </c>
      <c r="N43">
        <v>1</v>
      </c>
      <c r="O43" t="s">
        <v>45</v>
      </c>
      <c r="P43">
        <v>2341</v>
      </c>
      <c r="Q43">
        <v>1</v>
      </c>
      <c r="R43" t="s">
        <v>36</v>
      </c>
      <c r="S43">
        <v>13</v>
      </c>
      <c r="T43">
        <v>3</v>
      </c>
      <c r="U43">
        <v>4</v>
      </c>
      <c r="V43">
        <v>1</v>
      </c>
      <c r="W43">
        <v>1</v>
      </c>
      <c r="X43">
        <v>6</v>
      </c>
      <c r="Y43">
        <v>3</v>
      </c>
      <c r="Z43">
        <v>1</v>
      </c>
      <c r="AA43">
        <v>0</v>
      </c>
      <c r="AB43">
        <v>0</v>
      </c>
      <c r="AC43">
        <v>0</v>
      </c>
      <c r="AD43">
        <f>IF(HR_Data[[#This Row],[Attrition]]="Yes",1,0)</f>
        <v>0</v>
      </c>
      <c r="AE43" t="str">
        <f>IF(HR_Data[[#This Row],[Age]]&lt;=25,"18-25",IF(HR_Data[[#This Row],[Age]]&lt;=35,"26-35",IF(HR_Data[[#This Row],[Age]]&lt;=45,"36-45",IF(HR_Data[[#This Row],[Age]]&lt;=55,"46-55","55+"))))</f>
        <v>26-35</v>
      </c>
      <c r="AF43">
        <f>IF(HR_Data[[#This Row],[Age]]&lt;=25,1,IF(HR_Data[[#This Row],[Age]]&lt;=35,2,IF(HR_Data[[#This Row],[Age]]&lt;=45,3,IF(HR_Data[[#This Row],[Age]]&lt;=55,4,5))))</f>
        <v>2</v>
      </c>
      <c r="AG43" s="1" t="str">
        <f>IF(HR_Data[[#This Row],[MonthlyIncome]]&lt;3000,"&lt;3K",IF(HR_Data[[#This Row],[MonthlyIncome]]&lt;6000,"3K-6K",IF(HR_Data[[#This Row],[MonthlyIncome]]&lt;10000,"6K-10K","10K+")))</f>
        <v>&lt;3K</v>
      </c>
      <c r="AH43" s="1">
        <f>IF(HR_Data[[#This Row],[MonthlyIncome]]&lt;3000,1,IF(HR_Data[[#This Row],[MonthlyIncome]]&lt;6000,2,IF(HR_Data[[#This Row],[MonthlyIncome]]&lt;10000,3,4)))</f>
        <v>1</v>
      </c>
      <c r="AI43" s="1" t="str">
        <f>IF(HR_Data[[#This Row],[YearsAtCompany]]&lt;=2,"0-2 Yrs",IF(HR_Data[[#This Row],[YearsAtCompany]]&lt;=5,"3-5 Yrs",IF(HR_Data[[#This Row],[YearsAtCompany]]&lt;=10,"6-10 Yrs","10+ Yrs")))</f>
        <v>0-2 Yrs</v>
      </c>
      <c r="AJ43" s="1">
        <f>IF(HR_Data[[#This Row],[YearsAtCompany]]&lt;=2,1,IF(HR_Data[[#This Row],[YearsAtCompany]]&lt;=5,2,IF(HR_Data[[#This Row],[YearsAtCompany]]&lt;=10,3,4)))</f>
        <v>1</v>
      </c>
      <c r="AK43" s="1" t="str">
        <f>CHOOSE(HR_Data[[#This Row],[Education]],"Below College","College","Bachelor","Master","Doctor")</f>
        <v>Master</v>
      </c>
      <c r="AL43" s="1" t="str">
        <f>CHOOSE(HR_Data[[#This Row],[JobSatisfaction]],"Low","Medium","High","Very High")</f>
        <v>Low</v>
      </c>
      <c r="AM43" s="1" t="str">
        <f>CHOOSE(HR_Data[[#This Row],[EnvironmentSatisfaction]],"Low","Medium","High","Very High")</f>
        <v>Very High</v>
      </c>
      <c r="AN43" s="1" t="str">
        <f>CHOOSE(HR_Data[[#This Row],[WorkLifeBalance]],"Bad","Good","Better","Best")</f>
        <v>Better</v>
      </c>
      <c r="AO43" s="1" t="str">
        <f>IF(HR_Data[[#This Row],[PercentSalaryHike]]&lt;=13,"11-13%",IF(HR_Data[[#This Row],[PercentSalaryHike]]&lt;=16,"14-16%",IF(HR_Data[[#This Row],[PercentSalaryHike]]&lt;=19,"17-19%","20-25%")))</f>
        <v>11-13%</v>
      </c>
      <c r="AP43" s="1">
        <f>IF(HR_Data[[#This Row],[PercentSalaryHike]]&lt;=13,1,IF(HR_Data[[#This Row],[PercentSalaryHike]]&lt;=16,2,IF(HR_Data[[#This Row],[PercentSalaryHike]]&lt;=19,3,4)))</f>
        <v>1</v>
      </c>
      <c r="AQ43" s="1" t="str">
        <f>IF(HR_Data[[#This Row],[DistanceFromHome]]&lt;=5,"1 to 5",IF(HR_Data[[#This Row],[DistanceFromHome]]&lt;=10,"6 to 10",IF(HR_Data[[#This Row],[DistanceFromHome]]&lt;=20,"11 to 20","21 to 29")))</f>
        <v>1 to 5</v>
      </c>
      <c r="AR43" s="1">
        <f>IF(HR_Data[[#This Row],[DistanceFromHome]]&lt;=5,1,IF(HR_Data[[#This Row],[DistanceFromHome]]&lt;=10,2,IF(HR_Data[[#This Row],[DistanceFromHome]]&lt;=20,3,4)))</f>
        <v>1</v>
      </c>
      <c r="AS43" s="1" t="str">
        <f>IF(HR_Data[[#This Row],[TotalWorkingYears]]&lt;=5,"0-5 Yrs",IF(HR_Data[[#This Row],[TotalWorkingYears]]&lt;=10,"6-10 Yrs",IF(HR_Data[[#This Row],[TotalWorkingYears]]&lt;=20,"11-20 Yrs","20+ Yrs")))</f>
        <v>0-5 Yrs</v>
      </c>
      <c r="AT43" s="1">
        <f>IF(HR_Data[[#This Row],[TotalWorkingYears]]&lt;=5,1,IF(HR_Data[[#This Row],[TotalWorkingYears]]&lt;=10,2,IF(HR_Data[[#This Row],[TotalWorkingYears]]&lt;=20,3,4)))</f>
        <v>1</v>
      </c>
    </row>
    <row r="44" spans="1:46" x14ac:dyDescent="0.25">
      <c r="A44">
        <v>26</v>
      </c>
      <c r="B44" t="s">
        <v>29</v>
      </c>
      <c r="C44" t="s">
        <v>30</v>
      </c>
      <c r="D44" t="s">
        <v>38</v>
      </c>
      <c r="E44">
        <v>25</v>
      </c>
      <c r="F44">
        <v>3</v>
      </c>
      <c r="G44" t="s">
        <v>32</v>
      </c>
      <c r="H44">
        <v>55</v>
      </c>
      <c r="I44">
        <v>1</v>
      </c>
      <c r="J44" t="s">
        <v>39</v>
      </c>
      <c r="K44">
        <v>1</v>
      </c>
      <c r="L44">
        <v>1</v>
      </c>
      <c r="M44" t="s">
        <v>43</v>
      </c>
      <c r="N44">
        <v>3</v>
      </c>
      <c r="O44" t="s">
        <v>35</v>
      </c>
      <c r="P44">
        <v>2293</v>
      </c>
      <c r="Q44">
        <v>1</v>
      </c>
      <c r="R44" t="s">
        <v>36</v>
      </c>
      <c r="S44">
        <v>12</v>
      </c>
      <c r="T44">
        <v>3</v>
      </c>
      <c r="U44">
        <v>3</v>
      </c>
      <c r="V44">
        <v>0</v>
      </c>
      <c r="W44">
        <v>1</v>
      </c>
      <c r="X44">
        <v>2</v>
      </c>
      <c r="Y44">
        <v>2</v>
      </c>
      <c r="Z44">
        <v>1</v>
      </c>
      <c r="AA44">
        <v>0</v>
      </c>
      <c r="AB44">
        <v>0</v>
      </c>
      <c r="AC44">
        <v>1</v>
      </c>
      <c r="AD44">
        <f>IF(HR_Data[[#This Row],[Attrition]]="Yes",1,0)</f>
        <v>1</v>
      </c>
      <c r="AE44" t="str">
        <f>IF(HR_Data[[#This Row],[Age]]&lt;=25,"18-25",IF(HR_Data[[#This Row],[Age]]&lt;=35,"26-35",IF(HR_Data[[#This Row],[Age]]&lt;=45,"36-45",IF(HR_Data[[#This Row],[Age]]&lt;=55,"46-55","55+"))))</f>
        <v>26-35</v>
      </c>
      <c r="AF44">
        <f>IF(HR_Data[[#This Row],[Age]]&lt;=25,1,IF(HR_Data[[#This Row],[Age]]&lt;=35,2,IF(HR_Data[[#This Row],[Age]]&lt;=45,3,IF(HR_Data[[#This Row],[Age]]&lt;=55,4,5))))</f>
        <v>2</v>
      </c>
      <c r="AG44" s="1" t="str">
        <f>IF(HR_Data[[#This Row],[MonthlyIncome]]&lt;3000,"&lt;3K",IF(HR_Data[[#This Row],[MonthlyIncome]]&lt;6000,"3K-6K",IF(HR_Data[[#This Row],[MonthlyIncome]]&lt;10000,"6K-10K","10K+")))</f>
        <v>&lt;3K</v>
      </c>
      <c r="AH44" s="1">
        <f>IF(HR_Data[[#This Row],[MonthlyIncome]]&lt;3000,1,IF(HR_Data[[#This Row],[MonthlyIncome]]&lt;6000,2,IF(HR_Data[[#This Row],[MonthlyIncome]]&lt;10000,3,4)))</f>
        <v>1</v>
      </c>
      <c r="AI44" s="1" t="str">
        <f>IF(HR_Data[[#This Row],[YearsAtCompany]]&lt;=2,"0-2 Yrs",IF(HR_Data[[#This Row],[YearsAtCompany]]&lt;=5,"3-5 Yrs",IF(HR_Data[[#This Row],[YearsAtCompany]]&lt;=10,"6-10 Yrs","10+ Yrs")))</f>
        <v>0-2 Yrs</v>
      </c>
      <c r="AJ44" s="1">
        <f>IF(HR_Data[[#This Row],[YearsAtCompany]]&lt;=2,1,IF(HR_Data[[#This Row],[YearsAtCompany]]&lt;=5,2,IF(HR_Data[[#This Row],[YearsAtCompany]]&lt;=10,3,4)))</f>
        <v>1</v>
      </c>
      <c r="AK44" s="1" t="str">
        <f>CHOOSE(HR_Data[[#This Row],[Education]],"Below College","College","Bachelor","Master","Doctor")</f>
        <v>Bachelor</v>
      </c>
      <c r="AL44" s="1" t="str">
        <f>CHOOSE(HR_Data[[#This Row],[JobSatisfaction]],"Low","Medium","High","Very High")</f>
        <v>High</v>
      </c>
      <c r="AM44" s="1" t="str">
        <f>CHOOSE(HR_Data[[#This Row],[EnvironmentSatisfaction]],"Low","Medium","High","Very High")</f>
        <v>Low</v>
      </c>
      <c r="AN44" s="1" t="str">
        <f>CHOOSE(HR_Data[[#This Row],[WorkLifeBalance]],"Bad","Good","Better","Best")</f>
        <v>Good</v>
      </c>
      <c r="AO44" s="1" t="str">
        <f>IF(HR_Data[[#This Row],[PercentSalaryHike]]&lt;=13,"11-13%",IF(HR_Data[[#This Row],[PercentSalaryHike]]&lt;=16,"14-16%",IF(HR_Data[[#This Row],[PercentSalaryHike]]&lt;=19,"17-19%","20-25%")))</f>
        <v>11-13%</v>
      </c>
      <c r="AP44" s="1">
        <f>IF(HR_Data[[#This Row],[PercentSalaryHike]]&lt;=13,1,IF(HR_Data[[#This Row],[PercentSalaryHike]]&lt;=16,2,IF(HR_Data[[#This Row],[PercentSalaryHike]]&lt;=19,3,4)))</f>
        <v>1</v>
      </c>
      <c r="AQ44" s="1" t="str">
        <f>IF(HR_Data[[#This Row],[DistanceFromHome]]&lt;=5,"1 to 5",IF(HR_Data[[#This Row],[DistanceFromHome]]&lt;=10,"6 to 10",IF(HR_Data[[#This Row],[DistanceFromHome]]&lt;=20,"11 to 20","21 to 29")))</f>
        <v>21 to 29</v>
      </c>
      <c r="AR44" s="1">
        <f>IF(HR_Data[[#This Row],[DistanceFromHome]]&lt;=5,1,IF(HR_Data[[#This Row],[DistanceFromHome]]&lt;=10,2,IF(HR_Data[[#This Row],[DistanceFromHome]]&lt;=20,3,4)))</f>
        <v>4</v>
      </c>
      <c r="AS44" s="1" t="str">
        <f>IF(HR_Data[[#This Row],[TotalWorkingYears]]&lt;=5,"0-5 Yrs",IF(HR_Data[[#This Row],[TotalWorkingYears]]&lt;=10,"6-10 Yrs",IF(HR_Data[[#This Row],[TotalWorkingYears]]&lt;=20,"11-20 Yrs","20+ Yrs")))</f>
        <v>0-5 Yrs</v>
      </c>
      <c r="AT44" s="1">
        <f>IF(HR_Data[[#This Row],[TotalWorkingYears]]&lt;=5,1,IF(HR_Data[[#This Row],[TotalWorkingYears]]&lt;=10,2,IF(HR_Data[[#This Row],[TotalWorkingYears]]&lt;=20,3,4)))</f>
        <v>1</v>
      </c>
    </row>
    <row r="45" spans="1:46" x14ac:dyDescent="0.25">
      <c r="A45">
        <v>27</v>
      </c>
      <c r="B45" t="s">
        <v>36</v>
      </c>
      <c r="C45" t="s">
        <v>37</v>
      </c>
      <c r="D45" t="s">
        <v>31</v>
      </c>
      <c r="E45">
        <v>8</v>
      </c>
      <c r="F45">
        <v>3</v>
      </c>
      <c r="G45" t="s">
        <v>32</v>
      </c>
      <c r="H45">
        <v>56</v>
      </c>
      <c r="I45">
        <v>4</v>
      </c>
      <c r="J45" t="s">
        <v>39</v>
      </c>
      <c r="K45">
        <v>3</v>
      </c>
      <c r="L45">
        <v>3</v>
      </c>
      <c r="M45" t="s">
        <v>34</v>
      </c>
      <c r="N45">
        <v>3</v>
      </c>
      <c r="O45" t="s">
        <v>35</v>
      </c>
      <c r="P45">
        <v>8726</v>
      </c>
      <c r="Q45">
        <v>1</v>
      </c>
      <c r="R45" t="s">
        <v>36</v>
      </c>
      <c r="S45">
        <v>15</v>
      </c>
      <c r="T45">
        <v>3</v>
      </c>
      <c r="U45">
        <v>4</v>
      </c>
      <c r="V45">
        <v>0</v>
      </c>
      <c r="W45">
        <v>9</v>
      </c>
      <c r="X45">
        <v>0</v>
      </c>
      <c r="Y45">
        <v>3</v>
      </c>
      <c r="Z45">
        <v>9</v>
      </c>
      <c r="AA45">
        <v>8</v>
      </c>
      <c r="AB45">
        <v>1</v>
      </c>
      <c r="AC45">
        <v>7</v>
      </c>
      <c r="AD45">
        <f>IF(HR_Data[[#This Row],[Attrition]]="Yes",1,0)</f>
        <v>0</v>
      </c>
      <c r="AE45" t="str">
        <f>IF(HR_Data[[#This Row],[Age]]&lt;=25,"18-25",IF(HR_Data[[#This Row],[Age]]&lt;=35,"26-35",IF(HR_Data[[#This Row],[Age]]&lt;=45,"36-45",IF(HR_Data[[#This Row],[Age]]&lt;=55,"46-55","55+"))))</f>
        <v>26-35</v>
      </c>
      <c r="AF45">
        <f>IF(HR_Data[[#This Row],[Age]]&lt;=25,1,IF(HR_Data[[#This Row],[Age]]&lt;=35,2,IF(HR_Data[[#This Row],[Age]]&lt;=45,3,IF(HR_Data[[#This Row],[Age]]&lt;=55,4,5))))</f>
        <v>2</v>
      </c>
      <c r="AG45" s="1" t="str">
        <f>IF(HR_Data[[#This Row],[MonthlyIncome]]&lt;3000,"&lt;3K",IF(HR_Data[[#This Row],[MonthlyIncome]]&lt;6000,"3K-6K",IF(HR_Data[[#This Row],[MonthlyIncome]]&lt;10000,"6K-10K","10K+")))</f>
        <v>6K-10K</v>
      </c>
      <c r="AH45" s="1">
        <f>IF(HR_Data[[#This Row],[MonthlyIncome]]&lt;3000,1,IF(HR_Data[[#This Row],[MonthlyIncome]]&lt;6000,2,IF(HR_Data[[#This Row],[MonthlyIncome]]&lt;10000,3,4)))</f>
        <v>3</v>
      </c>
      <c r="AI45" s="1" t="str">
        <f>IF(HR_Data[[#This Row],[YearsAtCompany]]&lt;=2,"0-2 Yrs",IF(HR_Data[[#This Row],[YearsAtCompany]]&lt;=5,"3-5 Yrs",IF(HR_Data[[#This Row],[YearsAtCompany]]&lt;=10,"6-10 Yrs","10+ Yrs")))</f>
        <v>6-10 Yrs</v>
      </c>
      <c r="AJ45" s="1">
        <f>IF(HR_Data[[#This Row],[YearsAtCompany]]&lt;=2,1,IF(HR_Data[[#This Row],[YearsAtCompany]]&lt;=5,2,IF(HR_Data[[#This Row],[YearsAtCompany]]&lt;=10,3,4)))</f>
        <v>3</v>
      </c>
      <c r="AK45" s="1" t="str">
        <f>CHOOSE(HR_Data[[#This Row],[Education]],"Below College","College","Bachelor","Master","Doctor")</f>
        <v>Bachelor</v>
      </c>
      <c r="AL45" s="1" t="str">
        <f>CHOOSE(HR_Data[[#This Row],[JobSatisfaction]],"Low","Medium","High","Very High")</f>
        <v>High</v>
      </c>
      <c r="AM45" s="1" t="str">
        <f>CHOOSE(HR_Data[[#This Row],[EnvironmentSatisfaction]],"Low","Medium","High","Very High")</f>
        <v>Very High</v>
      </c>
      <c r="AN45" s="1" t="str">
        <f>CHOOSE(HR_Data[[#This Row],[WorkLifeBalance]],"Bad","Good","Better","Best")</f>
        <v>Better</v>
      </c>
      <c r="AO45" s="1" t="str">
        <f>IF(HR_Data[[#This Row],[PercentSalaryHike]]&lt;=13,"11-13%",IF(HR_Data[[#This Row],[PercentSalaryHike]]&lt;=16,"14-16%",IF(HR_Data[[#This Row],[PercentSalaryHike]]&lt;=19,"17-19%","20-25%")))</f>
        <v>14-16%</v>
      </c>
      <c r="AP45" s="1">
        <f>IF(HR_Data[[#This Row],[PercentSalaryHike]]&lt;=13,1,IF(HR_Data[[#This Row],[PercentSalaryHike]]&lt;=16,2,IF(HR_Data[[#This Row],[PercentSalaryHike]]&lt;=19,3,4)))</f>
        <v>2</v>
      </c>
      <c r="AQ45" s="1" t="str">
        <f>IF(HR_Data[[#This Row],[DistanceFromHome]]&lt;=5,"1 to 5",IF(HR_Data[[#This Row],[DistanceFromHome]]&lt;=10,"6 to 10",IF(HR_Data[[#This Row],[DistanceFromHome]]&lt;=20,"11 to 20","21 to 29")))</f>
        <v>6 to 10</v>
      </c>
      <c r="AR45" s="1">
        <f>IF(HR_Data[[#This Row],[DistanceFromHome]]&lt;=5,1,IF(HR_Data[[#This Row],[DistanceFromHome]]&lt;=10,2,IF(HR_Data[[#This Row],[DistanceFromHome]]&lt;=20,3,4)))</f>
        <v>2</v>
      </c>
      <c r="AS45" s="1" t="str">
        <f>IF(HR_Data[[#This Row],[TotalWorkingYears]]&lt;=5,"0-5 Yrs",IF(HR_Data[[#This Row],[TotalWorkingYears]]&lt;=10,"6-10 Yrs",IF(HR_Data[[#This Row],[TotalWorkingYears]]&lt;=20,"11-20 Yrs","20+ Yrs")))</f>
        <v>6-10 Yrs</v>
      </c>
      <c r="AT45" s="1">
        <f>IF(HR_Data[[#This Row],[TotalWorkingYears]]&lt;=5,1,IF(HR_Data[[#This Row],[TotalWorkingYears]]&lt;=10,2,IF(HR_Data[[#This Row],[TotalWorkingYears]]&lt;=20,3,4)))</f>
        <v>2</v>
      </c>
    </row>
    <row r="46" spans="1:46" x14ac:dyDescent="0.25">
      <c r="A46">
        <v>30</v>
      </c>
      <c r="B46" t="s">
        <v>36</v>
      </c>
      <c r="C46" t="s">
        <v>37</v>
      </c>
      <c r="D46" t="s">
        <v>38</v>
      </c>
      <c r="E46">
        <v>1</v>
      </c>
      <c r="F46">
        <v>2</v>
      </c>
      <c r="G46" t="s">
        <v>44</v>
      </c>
      <c r="H46">
        <v>57</v>
      </c>
      <c r="I46">
        <v>3</v>
      </c>
      <c r="J46" t="s">
        <v>33</v>
      </c>
      <c r="K46">
        <v>3</v>
      </c>
      <c r="L46">
        <v>2</v>
      </c>
      <c r="M46" t="s">
        <v>43</v>
      </c>
      <c r="N46">
        <v>4</v>
      </c>
      <c r="O46" t="s">
        <v>35</v>
      </c>
      <c r="P46">
        <v>4011</v>
      </c>
      <c r="Q46">
        <v>1</v>
      </c>
      <c r="R46" t="s">
        <v>36</v>
      </c>
      <c r="S46">
        <v>23</v>
      </c>
      <c r="T46">
        <v>4</v>
      </c>
      <c r="U46">
        <v>4</v>
      </c>
      <c r="V46">
        <v>0</v>
      </c>
      <c r="W46">
        <v>12</v>
      </c>
      <c r="X46">
        <v>2</v>
      </c>
      <c r="Y46">
        <v>3</v>
      </c>
      <c r="Z46">
        <v>12</v>
      </c>
      <c r="AA46">
        <v>8</v>
      </c>
      <c r="AB46">
        <v>3</v>
      </c>
      <c r="AC46">
        <v>7</v>
      </c>
      <c r="AD46">
        <f>IF(HR_Data[[#This Row],[Attrition]]="Yes",1,0)</f>
        <v>0</v>
      </c>
      <c r="AE46" t="str">
        <f>IF(HR_Data[[#This Row],[Age]]&lt;=25,"18-25",IF(HR_Data[[#This Row],[Age]]&lt;=35,"26-35",IF(HR_Data[[#This Row],[Age]]&lt;=45,"36-45",IF(HR_Data[[#This Row],[Age]]&lt;=55,"46-55","55+"))))</f>
        <v>26-35</v>
      </c>
      <c r="AF46">
        <f>IF(HR_Data[[#This Row],[Age]]&lt;=25,1,IF(HR_Data[[#This Row],[Age]]&lt;=35,2,IF(HR_Data[[#This Row],[Age]]&lt;=45,3,IF(HR_Data[[#This Row],[Age]]&lt;=55,4,5))))</f>
        <v>2</v>
      </c>
      <c r="AG46" s="1" t="str">
        <f>IF(HR_Data[[#This Row],[MonthlyIncome]]&lt;3000,"&lt;3K",IF(HR_Data[[#This Row],[MonthlyIncome]]&lt;6000,"3K-6K",IF(HR_Data[[#This Row],[MonthlyIncome]]&lt;10000,"6K-10K","10K+")))</f>
        <v>3K-6K</v>
      </c>
      <c r="AH46" s="1">
        <f>IF(HR_Data[[#This Row],[MonthlyIncome]]&lt;3000,1,IF(HR_Data[[#This Row],[MonthlyIncome]]&lt;6000,2,IF(HR_Data[[#This Row],[MonthlyIncome]]&lt;10000,3,4)))</f>
        <v>2</v>
      </c>
      <c r="AI46" s="1" t="str">
        <f>IF(HR_Data[[#This Row],[YearsAtCompany]]&lt;=2,"0-2 Yrs",IF(HR_Data[[#This Row],[YearsAtCompany]]&lt;=5,"3-5 Yrs",IF(HR_Data[[#This Row],[YearsAtCompany]]&lt;=10,"6-10 Yrs","10+ Yrs")))</f>
        <v>10+ Yrs</v>
      </c>
      <c r="AJ46" s="1">
        <f>IF(HR_Data[[#This Row],[YearsAtCompany]]&lt;=2,1,IF(HR_Data[[#This Row],[YearsAtCompany]]&lt;=5,2,IF(HR_Data[[#This Row],[YearsAtCompany]]&lt;=10,3,4)))</f>
        <v>4</v>
      </c>
      <c r="AK46" s="1" t="str">
        <f>CHOOSE(HR_Data[[#This Row],[Education]],"Below College","College","Bachelor","Master","Doctor")</f>
        <v>College</v>
      </c>
      <c r="AL46" s="1" t="str">
        <f>CHOOSE(HR_Data[[#This Row],[JobSatisfaction]],"Low","Medium","High","Very High")</f>
        <v>Very High</v>
      </c>
      <c r="AM46" s="1" t="str">
        <f>CHOOSE(HR_Data[[#This Row],[EnvironmentSatisfaction]],"Low","Medium","High","Very High")</f>
        <v>High</v>
      </c>
      <c r="AN46" s="1" t="str">
        <f>CHOOSE(HR_Data[[#This Row],[WorkLifeBalance]],"Bad","Good","Better","Best")</f>
        <v>Better</v>
      </c>
      <c r="AO46" s="1" t="str">
        <f>IF(HR_Data[[#This Row],[PercentSalaryHike]]&lt;=13,"11-13%",IF(HR_Data[[#This Row],[PercentSalaryHike]]&lt;=16,"14-16%",IF(HR_Data[[#This Row],[PercentSalaryHike]]&lt;=19,"17-19%","20-25%")))</f>
        <v>20-25%</v>
      </c>
      <c r="AP46" s="1">
        <f>IF(HR_Data[[#This Row],[PercentSalaryHike]]&lt;=13,1,IF(HR_Data[[#This Row],[PercentSalaryHike]]&lt;=16,2,IF(HR_Data[[#This Row],[PercentSalaryHike]]&lt;=19,3,4)))</f>
        <v>4</v>
      </c>
      <c r="AQ46" s="1" t="str">
        <f>IF(HR_Data[[#This Row],[DistanceFromHome]]&lt;=5,"1 to 5",IF(HR_Data[[#This Row],[DistanceFromHome]]&lt;=10,"6 to 10",IF(HR_Data[[#This Row],[DistanceFromHome]]&lt;=20,"11 to 20","21 to 29")))</f>
        <v>1 to 5</v>
      </c>
      <c r="AR46" s="1">
        <f>IF(HR_Data[[#This Row],[DistanceFromHome]]&lt;=5,1,IF(HR_Data[[#This Row],[DistanceFromHome]]&lt;=10,2,IF(HR_Data[[#This Row],[DistanceFromHome]]&lt;=20,3,4)))</f>
        <v>1</v>
      </c>
      <c r="AS46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46" s="1">
        <f>IF(HR_Data[[#This Row],[TotalWorkingYears]]&lt;=5,1,IF(HR_Data[[#This Row],[TotalWorkingYears]]&lt;=10,2,IF(HR_Data[[#This Row],[TotalWorkingYears]]&lt;=20,3,4)))</f>
        <v>3</v>
      </c>
    </row>
    <row r="47" spans="1:46" x14ac:dyDescent="0.25">
      <c r="A47">
        <v>41</v>
      </c>
      <c r="B47" t="s">
        <v>29</v>
      </c>
      <c r="C47" t="s">
        <v>30</v>
      </c>
      <c r="D47" t="s">
        <v>38</v>
      </c>
      <c r="E47">
        <v>12</v>
      </c>
      <c r="F47">
        <v>3</v>
      </c>
      <c r="G47" t="s">
        <v>53</v>
      </c>
      <c r="H47">
        <v>58</v>
      </c>
      <c r="I47">
        <v>2</v>
      </c>
      <c r="J47" t="s">
        <v>33</v>
      </c>
      <c r="K47">
        <v>3</v>
      </c>
      <c r="L47">
        <v>5</v>
      </c>
      <c r="M47" t="s">
        <v>51</v>
      </c>
      <c r="N47">
        <v>3</v>
      </c>
      <c r="O47" t="s">
        <v>41</v>
      </c>
      <c r="P47">
        <v>19545</v>
      </c>
      <c r="Q47">
        <v>1</v>
      </c>
      <c r="R47" t="s">
        <v>36</v>
      </c>
      <c r="S47">
        <v>12</v>
      </c>
      <c r="T47">
        <v>3</v>
      </c>
      <c r="U47">
        <v>4</v>
      </c>
      <c r="V47">
        <v>0</v>
      </c>
      <c r="W47">
        <v>23</v>
      </c>
      <c r="X47">
        <v>0</v>
      </c>
      <c r="Y47">
        <v>3</v>
      </c>
      <c r="Z47">
        <v>22</v>
      </c>
      <c r="AA47">
        <v>15</v>
      </c>
      <c r="AB47">
        <v>15</v>
      </c>
      <c r="AC47">
        <v>8</v>
      </c>
      <c r="AD47">
        <f>IF(HR_Data[[#This Row],[Attrition]]="Yes",1,0)</f>
        <v>1</v>
      </c>
      <c r="AE47" t="str">
        <f>IF(HR_Data[[#This Row],[Age]]&lt;=25,"18-25",IF(HR_Data[[#This Row],[Age]]&lt;=35,"26-35",IF(HR_Data[[#This Row],[Age]]&lt;=45,"36-45",IF(HR_Data[[#This Row],[Age]]&lt;=55,"46-55","55+"))))</f>
        <v>36-45</v>
      </c>
      <c r="AF47">
        <f>IF(HR_Data[[#This Row],[Age]]&lt;=25,1,IF(HR_Data[[#This Row],[Age]]&lt;=35,2,IF(HR_Data[[#This Row],[Age]]&lt;=45,3,IF(HR_Data[[#This Row],[Age]]&lt;=55,4,5))))</f>
        <v>3</v>
      </c>
      <c r="AG47" s="1" t="str">
        <f>IF(HR_Data[[#This Row],[MonthlyIncome]]&lt;3000,"&lt;3K",IF(HR_Data[[#This Row],[MonthlyIncome]]&lt;6000,"3K-6K",IF(HR_Data[[#This Row],[MonthlyIncome]]&lt;10000,"6K-10K","10K+")))</f>
        <v>10K+</v>
      </c>
      <c r="AH47" s="1">
        <f>IF(HR_Data[[#This Row],[MonthlyIncome]]&lt;3000,1,IF(HR_Data[[#This Row],[MonthlyIncome]]&lt;6000,2,IF(HR_Data[[#This Row],[MonthlyIncome]]&lt;10000,3,4)))</f>
        <v>4</v>
      </c>
      <c r="AI47" s="1" t="str">
        <f>IF(HR_Data[[#This Row],[YearsAtCompany]]&lt;=2,"0-2 Yrs",IF(HR_Data[[#This Row],[YearsAtCompany]]&lt;=5,"3-5 Yrs",IF(HR_Data[[#This Row],[YearsAtCompany]]&lt;=10,"6-10 Yrs","10+ Yrs")))</f>
        <v>10+ Yrs</v>
      </c>
      <c r="AJ47" s="1">
        <f>IF(HR_Data[[#This Row],[YearsAtCompany]]&lt;=2,1,IF(HR_Data[[#This Row],[YearsAtCompany]]&lt;=5,2,IF(HR_Data[[#This Row],[YearsAtCompany]]&lt;=10,3,4)))</f>
        <v>4</v>
      </c>
      <c r="AK47" s="1" t="str">
        <f>CHOOSE(HR_Data[[#This Row],[Education]],"Below College","College","Bachelor","Master","Doctor")</f>
        <v>Bachelor</v>
      </c>
      <c r="AL47" s="1" t="str">
        <f>CHOOSE(HR_Data[[#This Row],[JobSatisfaction]],"Low","Medium","High","Very High")</f>
        <v>High</v>
      </c>
      <c r="AM47" s="1" t="str">
        <f>CHOOSE(HR_Data[[#This Row],[EnvironmentSatisfaction]],"Low","Medium","High","Very High")</f>
        <v>Medium</v>
      </c>
      <c r="AN47" s="1" t="str">
        <f>CHOOSE(HR_Data[[#This Row],[WorkLifeBalance]],"Bad","Good","Better","Best")</f>
        <v>Better</v>
      </c>
      <c r="AO47" s="1" t="str">
        <f>IF(HR_Data[[#This Row],[PercentSalaryHike]]&lt;=13,"11-13%",IF(HR_Data[[#This Row],[PercentSalaryHike]]&lt;=16,"14-16%",IF(HR_Data[[#This Row],[PercentSalaryHike]]&lt;=19,"17-19%","20-25%")))</f>
        <v>11-13%</v>
      </c>
      <c r="AP47" s="1">
        <f>IF(HR_Data[[#This Row],[PercentSalaryHike]]&lt;=13,1,IF(HR_Data[[#This Row],[PercentSalaryHike]]&lt;=16,2,IF(HR_Data[[#This Row],[PercentSalaryHike]]&lt;=19,3,4)))</f>
        <v>1</v>
      </c>
      <c r="AQ47" s="1" t="str">
        <f>IF(HR_Data[[#This Row],[DistanceFromHome]]&lt;=5,"1 to 5",IF(HR_Data[[#This Row],[DistanceFromHome]]&lt;=10,"6 to 10",IF(HR_Data[[#This Row],[DistanceFromHome]]&lt;=20,"11 to 20","21 to 29")))</f>
        <v>11 to 20</v>
      </c>
      <c r="AR47" s="1">
        <f>IF(HR_Data[[#This Row],[DistanceFromHome]]&lt;=5,1,IF(HR_Data[[#This Row],[DistanceFromHome]]&lt;=10,2,IF(HR_Data[[#This Row],[DistanceFromHome]]&lt;=20,3,4)))</f>
        <v>3</v>
      </c>
      <c r="AS47" s="1" t="str">
        <f>IF(HR_Data[[#This Row],[TotalWorkingYears]]&lt;=5,"0-5 Yrs",IF(HR_Data[[#This Row],[TotalWorkingYears]]&lt;=10,"6-10 Yrs",IF(HR_Data[[#This Row],[TotalWorkingYears]]&lt;=20,"11-20 Yrs","20+ Yrs")))</f>
        <v>20+ Yrs</v>
      </c>
      <c r="AT47" s="1">
        <f>IF(HR_Data[[#This Row],[TotalWorkingYears]]&lt;=5,1,IF(HR_Data[[#This Row],[TotalWorkingYears]]&lt;=10,2,IF(HR_Data[[#This Row],[TotalWorkingYears]]&lt;=20,3,4)))</f>
        <v>4</v>
      </c>
    </row>
    <row r="48" spans="1:46" x14ac:dyDescent="0.25">
      <c r="A48">
        <v>34</v>
      </c>
      <c r="B48" t="s">
        <v>36</v>
      </c>
      <c r="C48" t="s">
        <v>48</v>
      </c>
      <c r="D48" t="s">
        <v>31</v>
      </c>
      <c r="E48">
        <v>23</v>
      </c>
      <c r="F48">
        <v>4</v>
      </c>
      <c r="G48" t="s">
        <v>52</v>
      </c>
      <c r="H48">
        <v>60</v>
      </c>
      <c r="I48">
        <v>2</v>
      </c>
      <c r="J48" t="s">
        <v>39</v>
      </c>
      <c r="K48">
        <v>3</v>
      </c>
      <c r="L48">
        <v>2</v>
      </c>
      <c r="M48" t="s">
        <v>34</v>
      </c>
      <c r="N48">
        <v>3</v>
      </c>
      <c r="O48" t="s">
        <v>35</v>
      </c>
      <c r="P48">
        <v>4568</v>
      </c>
      <c r="Q48">
        <v>0</v>
      </c>
      <c r="R48" t="s">
        <v>36</v>
      </c>
      <c r="S48">
        <v>20</v>
      </c>
      <c r="T48">
        <v>4</v>
      </c>
      <c r="U48">
        <v>3</v>
      </c>
      <c r="V48">
        <v>0</v>
      </c>
      <c r="W48">
        <v>10</v>
      </c>
      <c r="X48">
        <v>2</v>
      </c>
      <c r="Y48">
        <v>3</v>
      </c>
      <c r="Z48">
        <v>9</v>
      </c>
      <c r="AA48">
        <v>5</v>
      </c>
      <c r="AB48">
        <v>8</v>
      </c>
      <c r="AC48">
        <v>7</v>
      </c>
      <c r="AD48">
        <f>IF(HR_Data[[#This Row],[Attrition]]="Yes",1,0)</f>
        <v>0</v>
      </c>
      <c r="AE48" t="str">
        <f>IF(HR_Data[[#This Row],[Age]]&lt;=25,"18-25",IF(HR_Data[[#This Row],[Age]]&lt;=35,"26-35",IF(HR_Data[[#This Row],[Age]]&lt;=45,"36-45",IF(HR_Data[[#This Row],[Age]]&lt;=55,"46-55","55+"))))</f>
        <v>26-35</v>
      </c>
      <c r="AF48">
        <f>IF(HR_Data[[#This Row],[Age]]&lt;=25,1,IF(HR_Data[[#This Row],[Age]]&lt;=35,2,IF(HR_Data[[#This Row],[Age]]&lt;=45,3,IF(HR_Data[[#This Row],[Age]]&lt;=55,4,5))))</f>
        <v>2</v>
      </c>
      <c r="AG48" s="1" t="str">
        <f>IF(HR_Data[[#This Row],[MonthlyIncome]]&lt;3000,"&lt;3K",IF(HR_Data[[#This Row],[MonthlyIncome]]&lt;6000,"3K-6K",IF(HR_Data[[#This Row],[MonthlyIncome]]&lt;10000,"6K-10K","10K+")))</f>
        <v>3K-6K</v>
      </c>
      <c r="AH48" s="1">
        <f>IF(HR_Data[[#This Row],[MonthlyIncome]]&lt;3000,1,IF(HR_Data[[#This Row],[MonthlyIncome]]&lt;6000,2,IF(HR_Data[[#This Row],[MonthlyIncome]]&lt;10000,3,4)))</f>
        <v>2</v>
      </c>
      <c r="AI48" s="1" t="str">
        <f>IF(HR_Data[[#This Row],[YearsAtCompany]]&lt;=2,"0-2 Yrs",IF(HR_Data[[#This Row],[YearsAtCompany]]&lt;=5,"3-5 Yrs",IF(HR_Data[[#This Row],[YearsAtCompany]]&lt;=10,"6-10 Yrs","10+ Yrs")))</f>
        <v>6-10 Yrs</v>
      </c>
      <c r="AJ48" s="1">
        <f>IF(HR_Data[[#This Row],[YearsAtCompany]]&lt;=2,1,IF(HR_Data[[#This Row],[YearsAtCompany]]&lt;=5,2,IF(HR_Data[[#This Row],[YearsAtCompany]]&lt;=10,3,4)))</f>
        <v>3</v>
      </c>
      <c r="AK48" s="1" t="str">
        <f>CHOOSE(HR_Data[[#This Row],[Education]],"Below College","College","Bachelor","Master","Doctor")</f>
        <v>Master</v>
      </c>
      <c r="AL48" s="1" t="str">
        <f>CHOOSE(HR_Data[[#This Row],[JobSatisfaction]],"Low","Medium","High","Very High")</f>
        <v>High</v>
      </c>
      <c r="AM48" s="1" t="str">
        <f>CHOOSE(HR_Data[[#This Row],[EnvironmentSatisfaction]],"Low","Medium","High","Very High")</f>
        <v>Medium</v>
      </c>
      <c r="AN48" s="1" t="str">
        <f>CHOOSE(HR_Data[[#This Row],[WorkLifeBalance]],"Bad","Good","Better","Best")</f>
        <v>Better</v>
      </c>
      <c r="AO48" s="1" t="str">
        <f>IF(HR_Data[[#This Row],[PercentSalaryHike]]&lt;=13,"11-13%",IF(HR_Data[[#This Row],[PercentSalaryHike]]&lt;=16,"14-16%",IF(HR_Data[[#This Row],[PercentSalaryHike]]&lt;=19,"17-19%","20-25%")))</f>
        <v>20-25%</v>
      </c>
      <c r="AP48" s="1">
        <f>IF(HR_Data[[#This Row],[PercentSalaryHike]]&lt;=13,1,IF(HR_Data[[#This Row],[PercentSalaryHike]]&lt;=16,2,IF(HR_Data[[#This Row],[PercentSalaryHike]]&lt;=19,3,4)))</f>
        <v>4</v>
      </c>
      <c r="AQ48" s="1" t="str">
        <f>IF(HR_Data[[#This Row],[DistanceFromHome]]&lt;=5,"1 to 5",IF(HR_Data[[#This Row],[DistanceFromHome]]&lt;=10,"6 to 10",IF(HR_Data[[#This Row],[DistanceFromHome]]&lt;=20,"11 to 20","21 to 29")))</f>
        <v>21 to 29</v>
      </c>
      <c r="AR48" s="1">
        <f>IF(HR_Data[[#This Row],[DistanceFromHome]]&lt;=5,1,IF(HR_Data[[#This Row],[DistanceFromHome]]&lt;=10,2,IF(HR_Data[[#This Row],[DistanceFromHome]]&lt;=20,3,4)))</f>
        <v>4</v>
      </c>
      <c r="AS48" s="1" t="str">
        <f>IF(HR_Data[[#This Row],[TotalWorkingYears]]&lt;=5,"0-5 Yrs",IF(HR_Data[[#This Row],[TotalWorkingYears]]&lt;=10,"6-10 Yrs",IF(HR_Data[[#This Row],[TotalWorkingYears]]&lt;=20,"11-20 Yrs","20+ Yrs")))</f>
        <v>6-10 Yrs</v>
      </c>
      <c r="AT48" s="1">
        <f>IF(HR_Data[[#This Row],[TotalWorkingYears]]&lt;=5,1,IF(HR_Data[[#This Row],[TotalWorkingYears]]&lt;=10,2,IF(HR_Data[[#This Row],[TotalWorkingYears]]&lt;=20,3,4)))</f>
        <v>2</v>
      </c>
    </row>
    <row r="49" spans="1:46" x14ac:dyDescent="0.25">
      <c r="A49">
        <v>37</v>
      </c>
      <c r="B49" t="s">
        <v>36</v>
      </c>
      <c r="C49" t="s">
        <v>30</v>
      </c>
      <c r="D49" t="s">
        <v>38</v>
      </c>
      <c r="E49">
        <v>19</v>
      </c>
      <c r="F49">
        <v>2</v>
      </c>
      <c r="G49" t="s">
        <v>32</v>
      </c>
      <c r="H49">
        <v>61</v>
      </c>
      <c r="I49">
        <v>2</v>
      </c>
      <c r="J49" t="s">
        <v>39</v>
      </c>
      <c r="K49">
        <v>3</v>
      </c>
      <c r="L49">
        <v>1</v>
      </c>
      <c r="M49" t="s">
        <v>40</v>
      </c>
      <c r="N49">
        <v>2</v>
      </c>
      <c r="O49" t="s">
        <v>41</v>
      </c>
      <c r="P49">
        <v>3022</v>
      </c>
      <c r="Q49">
        <v>4</v>
      </c>
      <c r="R49" t="s">
        <v>36</v>
      </c>
      <c r="S49">
        <v>21</v>
      </c>
      <c r="T49">
        <v>4</v>
      </c>
      <c r="U49">
        <v>1</v>
      </c>
      <c r="V49">
        <v>0</v>
      </c>
      <c r="W49">
        <v>8</v>
      </c>
      <c r="X49">
        <v>1</v>
      </c>
      <c r="Y49">
        <v>3</v>
      </c>
      <c r="Z49">
        <v>1</v>
      </c>
      <c r="AA49">
        <v>0</v>
      </c>
      <c r="AB49">
        <v>0</v>
      </c>
      <c r="AC49">
        <v>0</v>
      </c>
      <c r="AD49">
        <f>IF(HR_Data[[#This Row],[Attrition]]="Yes",1,0)</f>
        <v>0</v>
      </c>
      <c r="AE49" t="str">
        <f>IF(HR_Data[[#This Row],[Age]]&lt;=25,"18-25",IF(HR_Data[[#This Row],[Age]]&lt;=35,"26-35",IF(HR_Data[[#This Row],[Age]]&lt;=45,"36-45",IF(HR_Data[[#This Row],[Age]]&lt;=55,"46-55","55+"))))</f>
        <v>36-45</v>
      </c>
      <c r="AF49">
        <f>IF(HR_Data[[#This Row],[Age]]&lt;=25,1,IF(HR_Data[[#This Row],[Age]]&lt;=35,2,IF(HR_Data[[#This Row],[Age]]&lt;=45,3,IF(HR_Data[[#This Row],[Age]]&lt;=55,4,5))))</f>
        <v>3</v>
      </c>
      <c r="AG49" s="1" t="str">
        <f>IF(HR_Data[[#This Row],[MonthlyIncome]]&lt;3000,"&lt;3K",IF(HR_Data[[#This Row],[MonthlyIncome]]&lt;6000,"3K-6K",IF(HR_Data[[#This Row],[MonthlyIncome]]&lt;10000,"6K-10K","10K+")))</f>
        <v>3K-6K</v>
      </c>
      <c r="AH49" s="1">
        <f>IF(HR_Data[[#This Row],[MonthlyIncome]]&lt;3000,1,IF(HR_Data[[#This Row],[MonthlyIncome]]&lt;6000,2,IF(HR_Data[[#This Row],[MonthlyIncome]]&lt;10000,3,4)))</f>
        <v>2</v>
      </c>
      <c r="AI49" s="1" t="str">
        <f>IF(HR_Data[[#This Row],[YearsAtCompany]]&lt;=2,"0-2 Yrs",IF(HR_Data[[#This Row],[YearsAtCompany]]&lt;=5,"3-5 Yrs",IF(HR_Data[[#This Row],[YearsAtCompany]]&lt;=10,"6-10 Yrs","10+ Yrs")))</f>
        <v>0-2 Yrs</v>
      </c>
      <c r="AJ49" s="1">
        <f>IF(HR_Data[[#This Row],[YearsAtCompany]]&lt;=2,1,IF(HR_Data[[#This Row],[YearsAtCompany]]&lt;=5,2,IF(HR_Data[[#This Row],[YearsAtCompany]]&lt;=10,3,4)))</f>
        <v>1</v>
      </c>
      <c r="AK49" s="1" t="str">
        <f>CHOOSE(HR_Data[[#This Row],[Education]],"Below College","College","Bachelor","Master","Doctor")</f>
        <v>College</v>
      </c>
      <c r="AL49" s="1" t="str">
        <f>CHOOSE(HR_Data[[#This Row],[JobSatisfaction]],"Low","Medium","High","Very High")</f>
        <v>Medium</v>
      </c>
      <c r="AM49" s="1" t="str">
        <f>CHOOSE(HR_Data[[#This Row],[EnvironmentSatisfaction]],"Low","Medium","High","Very High")</f>
        <v>Medium</v>
      </c>
      <c r="AN49" s="1" t="str">
        <f>CHOOSE(HR_Data[[#This Row],[WorkLifeBalance]],"Bad","Good","Better","Best")</f>
        <v>Better</v>
      </c>
      <c r="AO49" s="1" t="str">
        <f>IF(HR_Data[[#This Row],[PercentSalaryHike]]&lt;=13,"11-13%",IF(HR_Data[[#This Row],[PercentSalaryHike]]&lt;=16,"14-16%",IF(HR_Data[[#This Row],[PercentSalaryHike]]&lt;=19,"17-19%","20-25%")))</f>
        <v>20-25%</v>
      </c>
      <c r="AP49" s="1">
        <f>IF(HR_Data[[#This Row],[PercentSalaryHike]]&lt;=13,1,IF(HR_Data[[#This Row],[PercentSalaryHike]]&lt;=16,2,IF(HR_Data[[#This Row],[PercentSalaryHike]]&lt;=19,3,4)))</f>
        <v>4</v>
      </c>
      <c r="AQ49" s="1" t="str">
        <f>IF(HR_Data[[#This Row],[DistanceFromHome]]&lt;=5,"1 to 5",IF(HR_Data[[#This Row],[DistanceFromHome]]&lt;=10,"6 to 10",IF(HR_Data[[#This Row],[DistanceFromHome]]&lt;=20,"11 to 20","21 to 29")))</f>
        <v>11 to 20</v>
      </c>
      <c r="AR49" s="1">
        <f>IF(HR_Data[[#This Row],[DistanceFromHome]]&lt;=5,1,IF(HR_Data[[#This Row],[DistanceFromHome]]&lt;=10,2,IF(HR_Data[[#This Row],[DistanceFromHome]]&lt;=20,3,4)))</f>
        <v>3</v>
      </c>
      <c r="AS49" s="1" t="str">
        <f>IF(HR_Data[[#This Row],[TotalWorkingYears]]&lt;=5,"0-5 Yrs",IF(HR_Data[[#This Row],[TotalWorkingYears]]&lt;=10,"6-10 Yrs",IF(HR_Data[[#This Row],[TotalWorkingYears]]&lt;=20,"11-20 Yrs","20+ Yrs")))</f>
        <v>6-10 Yrs</v>
      </c>
      <c r="AT49" s="1">
        <f>IF(HR_Data[[#This Row],[TotalWorkingYears]]&lt;=5,1,IF(HR_Data[[#This Row],[TotalWorkingYears]]&lt;=10,2,IF(HR_Data[[#This Row],[TotalWorkingYears]]&lt;=20,3,4)))</f>
        <v>2</v>
      </c>
    </row>
    <row r="50" spans="1:46" x14ac:dyDescent="0.25">
      <c r="A50">
        <v>46</v>
      </c>
      <c r="B50" t="s">
        <v>36</v>
      </c>
      <c r="C50" t="s">
        <v>37</v>
      </c>
      <c r="D50" t="s">
        <v>31</v>
      </c>
      <c r="E50">
        <v>5</v>
      </c>
      <c r="F50">
        <v>4</v>
      </c>
      <c r="G50" t="s">
        <v>52</v>
      </c>
      <c r="H50">
        <v>62</v>
      </c>
      <c r="I50">
        <v>1</v>
      </c>
      <c r="J50" t="s">
        <v>39</v>
      </c>
      <c r="K50">
        <v>3</v>
      </c>
      <c r="L50">
        <v>2</v>
      </c>
      <c r="M50" t="s">
        <v>34</v>
      </c>
      <c r="N50">
        <v>4</v>
      </c>
      <c r="O50" t="s">
        <v>35</v>
      </c>
      <c r="P50">
        <v>5772</v>
      </c>
      <c r="Q50">
        <v>4</v>
      </c>
      <c r="R50" t="s">
        <v>29</v>
      </c>
      <c r="S50">
        <v>21</v>
      </c>
      <c r="T50">
        <v>4</v>
      </c>
      <c r="U50">
        <v>3</v>
      </c>
      <c r="V50">
        <v>0</v>
      </c>
      <c r="W50">
        <v>14</v>
      </c>
      <c r="X50">
        <v>4</v>
      </c>
      <c r="Y50">
        <v>3</v>
      </c>
      <c r="Z50">
        <v>9</v>
      </c>
      <c r="AA50">
        <v>6</v>
      </c>
      <c r="AB50">
        <v>0</v>
      </c>
      <c r="AC50">
        <v>8</v>
      </c>
      <c r="AD50">
        <f>IF(HR_Data[[#This Row],[Attrition]]="Yes",1,0)</f>
        <v>0</v>
      </c>
      <c r="AE50" t="str">
        <f>IF(HR_Data[[#This Row],[Age]]&lt;=25,"18-25",IF(HR_Data[[#This Row],[Age]]&lt;=35,"26-35",IF(HR_Data[[#This Row],[Age]]&lt;=45,"36-45",IF(HR_Data[[#This Row],[Age]]&lt;=55,"46-55","55+"))))</f>
        <v>46-55</v>
      </c>
      <c r="AF50">
        <f>IF(HR_Data[[#This Row],[Age]]&lt;=25,1,IF(HR_Data[[#This Row],[Age]]&lt;=35,2,IF(HR_Data[[#This Row],[Age]]&lt;=45,3,IF(HR_Data[[#This Row],[Age]]&lt;=55,4,5))))</f>
        <v>4</v>
      </c>
      <c r="AG50" s="1" t="str">
        <f>IF(HR_Data[[#This Row],[MonthlyIncome]]&lt;3000,"&lt;3K",IF(HR_Data[[#This Row],[MonthlyIncome]]&lt;6000,"3K-6K",IF(HR_Data[[#This Row],[MonthlyIncome]]&lt;10000,"6K-10K","10K+")))</f>
        <v>3K-6K</v>
      </c>
      <c r="AH50" s="1">
        <f>IF(HR_Data[[#This Row],[MonthlyIncome]]&lt;3000,1,IF(HR_Data[[#This Row],[MonthlyIncome]]&lt;6000,2,IF(HR_Data[[#This Row],[MonthlyIncome]]&lt;10000,3,4)))</f>
        <v>2</v>
      </c>
      <c r="AI50" s="1" t="str">
        <f>IF(HR_Data[[#This Row],[YearsAtCompany]]&lt;=2,"0-2 Yrs",IF(HR_Data[[#This Row],[YearsAtCompany]]&lt;=5,"3-5 Yrs",IF(HR_Data[[#This Row],[YearsAtCompany]]&lt;=10,"6-10 Yrs","10+ Yrs")))</f>
        <v>6-10 Yrs</v>
      </c>
      <c r="AJ50" s="1">
        <f>IF(HR_Data[[#This Row],[YearsAtCompany]]&lt;=2,1,IF(HR_Data[[#This Row],[YearsAtCompany]]&lt;=5,2,IF(HR_Data[[#This Row],[YearsAtCompany]]&lt;=10,3,4)))</f>
        <v>3</v>
      </c>
      <c r="AK50" s="1" t="str">
        <f>CHOOSE(HR_Data[[#This Row],[Education]],"Below College","College","Bachelor","Master","Doctor")</f>
        <v>Master</v>
      </c>
      <c r="AL50" s="1" t="str">
        <f>CHOOSE(HR_Data[[#This Row],[JobSatisfaction]],"Low","Medium","High","Very High")</f>
        <v>Very High</v>
      </c>
      <c r="AM50" s="1" t="str">
        <f>CHOOSE(HR_Data[[#This Row],[EnvironmentSatisfaction]],"Low","Medium","High","Very High")</f>
        <v>Low</v>
      </c>
      <c r="AN50" s="1" t="str">
        <f>CHOOSE(HR_Data[[#This Row],[WorkLifeBalance]],"Bad","Good","Better","Best")</f>
        <v>Better</v>
      </c>
      <c r="AO50" s="1" t="str">
        <f>IF(HR_Data[[#This Row],[PercentSalaryHike]]&lt;=13,"11-13%",IF(HR_Data[[#This Row],[PercentSalaryHike]]&lt;=16,"14-16%",IF(HR_Data[[#This Row],[PercentSalaryHike]]&lt;=19,"17-19%","20-25%")))</f>
        <v>20-25%</v>
      </c>
      <c r="AP50" s="1">
        <f>IF(HR_Data[[#This Row],[PercentSalaryHike]]&lt;=13,1,IF(HR_Data[[#This Row],[PercentSalaryHike]]&lt;=16,2,IF(HR_Data[[#This Row],[PercentSalaryHike]]&lt;=19,3,4)))</f>
        <v>4</v>
      </c>
      <c r="AQ50" s="1" t="str">
        <f>IF(HR_Data[[#This Row],[DistanceFromHome]]&lt;=5,"1 to 5",IF(HR_Data[[#This Row],[DistanceFromHome]]&lt;=10,"6 to 10",IF(HR_Data[[#This Row],[DistanceFromHome]]&lt;=20,"11 to 20","21 to 29")))</f>
        <v>1 to 5</v>
      </c>
      <c r="AR50" s="1">
        <f>IF(HR_Data[[#This Row],[DistanceFromHome]]&lt;=5,1,IF(HR_Data[[#This Row],[DistanceFromHome]]&lt;=10,2,IF(HR_Data[[#This Row],[DistanceFromHome]]&lt;=20,3,4)))</f>
        <v>1</v>
      </c>
      <c r="AS50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50" s="1">
        <f>IF(HR_Data[[#This Row],[TotalWorkingYears]]&lt;=5,1,IF(HR_Data[[#This Row],[TotalWorkingYears]]&lt;=10,2,IF(HR_Data[[#This Row],[TotalWorkingYears]]&lt;=20,3,4)))</f>
        <v>3</v>
      </c>
    </row>
    <row r="51" spans="1:46" x14ac:dyDescent="0.25">
      <c r="A51">
        <v>35</v>
      </c>
      <c r="B51" t="s">
        <v>36</v>
      </c>
      <c r="C51" t="s">
        <v>30</v>
      </c>
      <c r="D51" t="s">
        <v>38</v>
      </c>
      <c r="E51">
        <v>8</v>
      </c>
      <c r="F51">
        <v>1</v>
      </c>
      <c r="G51" t="s">
        <v>32</v>
      </c>
      <c r="H51">
        <v>63</v>
      </c>
      <c r="I51">
        <v>4</v>
      </c>
      <c r="J51" t="s">
        <v>39</v>
      </c>
      <c r="K51">
        <v>4</v>
      </c>
      <c r="L51">
        <v>1</v>
      </c>
      <c r="M51" t="s">
        <v>43</v>
      </c>
      <c r="N51">
        <v>4</v>
      </c>
      <c r="O51" t="s">
        <v>41</v>
      </c>
      <c r="P51">
        <v>2269</v>
      </c>
      <c r="Q51">
        <v>1</v>
      </c>
      <c r="R51" t="s">
        <v>36</v>
      </c>
      <c r="S51">
        <v>19</v>
      </c>
      <c r="T51">
        <v>3</v>
      </c>
      <c r="U51">
        <v>4</v>
      </c>
      <c r="V51">
        <v>0</v>
      </c>
      <c r="W51">
        <v>1</v>
      </c>
      <c r="X51">
        <v>2</v>
      </c>
      <c r="Y51">
        <v>3</v>
      </c>
      <c r="Z51">
        <v>1</v>
      </c>
      <c r="AA51">
        <v>0</v>
      </c>
      <c r="AB51">
        <v>0</v>
      </c>
      <c r="AC51">
        <v>1</v>
      </c>
      <c r="AD51">
        <f>IF(HR_Data[[#This Row],[Attrition]]="Yes",1,0)</f>
        <v>0</v>
      </c>
      <c r="AE51" t="str">
        <f>IF(HR_Data[[#This Row],[Age]]&lt;=25,"18-25",IF(HR_Data[[#This Row],[Age]]&lt;=35,"26-35",IF(HR_Data[[#This Row],[Age]]&lt;=45,"36-45",IF(HR_Data[[#This Row],[Age]]&lt;=55,"46-55","55+"))))</f>
        <v>26-35</v>
      </c>
      <c r="AF51">
        <f>IF(HR_Data[[#This Row],[Age]]&lt;=25,1,IF(HR_Data[[#This Row],[Age]]&lt;=35,2,IF(HR_Data[[#This Row],[Age]]&lt;=45,3,IF(HR_Data[[#This Row],[Age]]&lt;=55,4,5))))</f>
        <v>2</v>
      </c>
      <c r="AG51" s="1" t="str">
        <f>IF(HR_Data[[#This Row],[MonthlyIncome]]&lt;3000,"&lt;3K",IF(HR_Data[[#This Row],[MonthlyIncome]]&lt;6000,"3K-6K",IF(HR_Data[[#This Row],[MonthlyIncome]]&lt;10000,"6K-10K","10K+")))</f>
        <v>&lt;3K</v>
      </c>
      <c r="AH51" s="1">
        <f>IF(HR_Data[[#This Row],[MonthlyIncome]]&lt;3000,1,IF(HR_Data[[#This Row],[MonthlyIncome]]&lt;6000,2,IF(HR_Data[[#This Row],[MonthlyIncome]]&lt;10000,3,4)))</f>
        <v>1</v>
      </c>
      <c r="AI51" s="1" t="str">
        <f>IF(HR_Data[[#This Row],[YearsAtCompany]]&lt;=2,"0-2 Yrs",IF(HR_Data[[#This Row],[YearsAtCompany]]&lt;=5,"3-5 Yrs",IF(HR_Data[[#This Row],[YearsAtCompany]]&lt;=10,"6-10 Yrs","10+ Yrs")))</f>
        <v>0-2 Yrs</v>
      </c>
      <c r="AJ51" s="1">
        <f>IF(HR_Data[[#This Row],[YearsAtCompany]]&lt;=2,1,IF(HR_Data[[#This Row],[YearsAtCompany]]&lt;=5,2,IF(HR_Data[[#This Row],[YearsAtCompany]]&lt;=10,3,4)))</f>
        <v>1</v>
      </c>
      <c r="AK51" s="1" t="str">
        <f>CHOOSE(HR_Data[[#This Row],[Education]],"Below College","College","Bachelor","Master","Doctor")</f>
        <v>Below College</v>
      </c>
      <c r="AL51" s="1" t="str">
        <f>CHOOSE(HR_Data[[#This Row],[JobSatisfaction]],"Low","Medium","High","Very High")</f>
        <v>Very High</v>
      </c>
      <c r="AM51" s="1" t="str">
        <f>CHOOSE(HR_Data[[#This Row],[EnvironmentSatisfaction]],"Low","Medium","High","Very High")</f>
        <v>Very High</v>
      </c>
      <c r="AN51" s="1" t="str">
        <f>CHOOSE(HR_Data[[#This Row],[WorkLifeBalance]],"Bad","Good","Better","Best")</f>
        <v>Better</v>
      </c>
      <c r="AO51" s="1" t="str">
        <f>IF(HR_Data[[#This Row],[PercentSalaryHike]]&lt;=13,"11-13%",IF(HR_Data[[#This Row],[PercentSalaryHike]]&lt;=16,"14-16%",IF(HR_Data[[#This Row],[PercentSalaryHike]]&lt;=19,"17-19%","20-25%")))</f>
        <v>17-19%</v>
      </c>
      <c r="AP51" s="1">
        <f>IF(HR_Data[[#This Row],[PercentSalaryHike]]&lt;=13,1,IF(HR_Data[[#This Row],[PercentSalaryHike]]&lt;=16,2,IF(HR_Data[[#This Row],[PercentSalaryHike]]&lt;=19,3,4)))</f>
        <v>3</v>
      </c>
      <c r="AQ51" s="1" t="str">
        <f>IF(HR_Data[[#This Row],[DistanceFromHome]]&lt;=5,"1 to 5",IF(HR_Data[[#This Row],[DistanceFromHome]]&lt;=10,"6 to 10",IF(HR_Data[[#This Row],[DistanceFromHome]]&lt;=20,"11 to 20","21 to 29")))</f>
        <v>6 to 10</v>
      </c>
      <c r="AR51" s="1">
        <f>IF(HR_Data[[#This Row],[DistanceFromHome]]&lt;=5,1,IF(HR_Data[[#This Row],[DistanceFromHome]]&lt;=10,2,IF(HR_Data[[#This Row],[DistanceFromHome]]&lt;=20,3,4)))</f>
        <v>2</v>
      </c>
      <c r="AS51" s="1" t="str">
        <f>IF(HR_Data[[#This Row],[TotalWorkingYears]]&lt;=5,"0-5 Yrs",IF(HR_Data[[#This Row],[TotalWorkingYears]]&lt;=10,"6-10 Yrs",IF(HR_Data[[#This Row],[TotalWorkingYears]]&lt;=20,"11-20 Yrs","20+ Yrs")))</f>
        <v>0-5 Yrs</v>
      </c>
      <c r="AT51" s="1">
        <f>IF(HR_Data[[#This Row],[TotalWorkingYears]]&lt;=5,1,IF(HR_Data[[#This Row],[TotalWorkingYears]]&lt;=10,2,IF(HR_Data[[#This Row],[TotalWorkingYears]]&lt;=20,3,4)))</f>
        <v>1</v>
      </c>
    </row>
    <row r="52" spans="1:46" x14ac:dyDescent="0.25">
      <c r="A52">
        <v>48</v>
      </c>
      <c r="B52" t="s">
        <v>29</v>
      </c>
      <c r="C52" t="s">
        <v>30</v>
      </c>
      <c r="D52" t="s">
        <v>38</v>
      </c>
      <c r="E52">
        <v>1</v>
      </c>
      <c r="F52">
        <v>2</v>
      </c>
      <c r="G52" t="s">
        <v>32</v>
      </c>
      <c r="H52">
        <v>64</v>
      </c>
      <c r="I52">
        <v>1</v>
      </c>
      <c r="J52" t="s">
        <v>39</v>
      </c>
      <c r="K52">
        <v>2</v>
      </c>
      <c r="L52">
        <v>3</v>
      </c>
      <c r="M52" t="s">
        <v>43</v>
      </c>
      <c r="N52">
        <v>3</v>
      </c>
      <c r="O52" t="s">
        <v>35</v>
      </c>
      <c r="P52">
        <v>5381</v>
      </c>
      <c r="Q52">
        <v>9</v>
      </c>
      <c r="R52" t="s">
        <v>29</v>
      </c>
      <c r="S52">
        <v>13</v>
      </c>
      <c r="T52">
        <v>3</v>
      </c>
      <c r="U52">
        <v>4</v>
      </c>
      <c r="V52">
        <v>0</v>
      </c>
      <c r="W52">
        <v>23</v>
      </c>
      <c r="X52">
        <v>2</v>
      </c>
      <c r="Y52">
        <v>3</v>
      </c>
      <c r="Z52">
        <v>1</v>
      </c>
      <c r="AA52">
        <v>0</v>
      </c>
      <c r="AB52">
        <v>0</v>
      </c>
      <c r="AC52">
        <v>0</v>
      </c>
      <c r="AD52">
        <f>IF(HR_Data[[#This Row],[Attrition]]="Yes",1,0)</f>
        <v>1</v>
      </c>
      <c r="AE52" t="str">
        <f>IF(HR_Data[[#This Row],[Age]]&lt;=25,"18-25",IF(HR_Data[[#This Row],[Age]]&lt;=35,"26-35",IF(HR_Data[[#This Row],[Age]]&lt;=45,"36-45",IF(HR_Data[[#This Row],[Age]]&lt;=55,"46-55","55+"))))</f>
        <v>46-55</v>
      </c>
      <c r="AF52">
        <f>IF(HR_Data[[#This Row],[Age]]&lt;=25,1,IF(HR_Data[[#This Row],[Age]]&lt;=35,2,IF(HR_Data[[#This Row],[Age]]&lt;=45,3,IF(HR_Data[[#This Row],[Age]]&lt;=55,4,5))))</f>
        <v>4</v>
      </c>
      <c r="AG52" s="1" t="str">
        <f>IF(HR_Data[[#This Row],[MonthlyIncome]]&lt;3000,"&lt;3K",IF(HR_Data[[#This Row],[MonthlyIncome]]&lt;6000,"3K-6K",IF(HR_Data[[#This Row],[MonthlyIncome]]&lt;10000,"6K-10K","10K+")))</f>
        <v>3K-6K</v>
      </c>
      <c r="AH52" s="1">
        <f>IF(HR_Data[[#This Row],[MonthlyIncome]]&lt;3000,1,IF(HR_Data[[#This Row],[MonthlyIncome]]&lt;6000,2,IF(HR_Data[[#This Row],[MonthlyIncome]]&lt;10000,3,4)))</f>
        <v>2</v>
      </c>
      <c r="AI52" s="1" t="str">
        <f>IF(HR_Data[[#This Row],[YearsAtCompany]]&lt;=2,"0-2 Yrs",IF(HR_Data[[#This Row],[YearsAtCompany]]&lt;=5,"3-5 Yrs",IF(HR_Data[[#This Row],[YearsAtCompany]]&lt;=10,"6-10 Yrs","10+ Yrs")))</f>
        <v>0-2 Yrs</v>
      </c>
      <c r="AJ52" s="1">
        <f>IF(HR_Data[[#This Row],[YearsAtCompany]]&lt;=2,1,IF(HR_Data[[#This Row],[YearsAtCompany]]&lt;=5,2,IF(HR_Data[[#This Row],[YearsAtCompany]]&lt;=10,3,4)))</f>
        <v>1</v>
      </c>
      <c r="AK52" s="1" t="str">
        <f>CHOOSE(HR_Data[[#This Row],[Education]],"Below College","College","Bachelor","Master","Doctor")</f>
        <v>College</v>
      </c>
      <c r="AL52" s="1" t="str">
        <f>CHOOSE(HR_Data[[#This Row],[JobSatisfaction]],"Low","Medium","High","Very High")</f>
        <v>High</v>
      </c>
      <c r="AM52" s="1" t="str">
        <f>CHOOSE(HR_Data[[#This Row],[EnvironmentSatisfaction]],"Low","Medium","High","Very High")</f>
        <v>Low</v>
      </c>
      <c r="AN52" s="1" t="str">
        <f>CHOOSE(HR_Data[[#This Row],[WorkLifeBalance]],"Bad","Good","Better","Best")</f>
        <v>Better</v>
      </c>
      <c r="AO52" s="1" t="str">
        <f>IF(HR_Data[[#This Row],[PercentSalaryHike]]&lt;=13,"11-13%",IF(HR_Data[[#This Row],[PercentSalaryHike]]&lt;=16,"14-16%",IF(HR_Data[[#This Row],[PercentSalaryHike]]&lt;=19,"17-19%","20-25%")))</f>
        <v>11-13%</v>
      </c>
      <c r="AP52" s="1">
        <f>IF(HR_Data[[#This Row],[PercentSalaryHike]]&lt;=13,1,IF(HR_Data[[#This Row],[PercentSalaryHike]]&lt;=16,2,IF(HR_Data[[#This Row],[PercentSalaryHike]]&lt;=19,3,4)))</f>
        <v>1</v>
      </c>
      <c r="AQ52" s="1" t="str">
        <f>IF(HR_Data[[#This Row],[DistanceFromHome]]&lt;=5,"1 to 5",IF(HR_Data[[#This Row],[DistanceFromHome]]&lt;=10,"6 to 10",IF(HR_Data[[#This Row],[DistanceFromHome]]&lt;=20,"11 to 20","21 to 29")))</f>
        <v>1 to 5</v>
      </c>
      <c r="AR52" s="1">
        <f>IF(HR_Data[[#This Row],[DistanceFromHome]]&lt;=5,1,IF(HR_Data[[#This Row],[DistanceFromHome]]&lt;=10,2,IF(HR_Data[[#This Row],[DistanceFromHome]]&lt;=20,3,4)))</f>
        <v>1</v>
      </c>
      <c r="AS52" s="1" t="str">
        <f>IF(HR_Data[[#This Row],[TotalWorkingYears]]&lt;=5,"0-5 Yrs",IF(HR_Data[[#This Row],[TotalWorkingYears]]&lt;=10,"6-10 Yrs",IF(HR_Data[[#This Row],[TotalWorkingYears]]&lt;=20,"11-20 Yrs","20+ Yrs")))</f>
        <v>20+ Yrs</v>
      </c>
      <c r="AT52" s="1">
        <f>IF(HR_Data[[#This Row],[TotalWorkingYears]]&lt;=5,1,IF(HR_Data[[#This Row],[TotalWorkingYears]]&lt;=10,2,IF(HR_Data[[#This Row],[TotalWorkingYears]]&lt;=20,3,4)))</f>
        <v>4</v>
      </c>
    </row>
    <row r="53" spans="1:46" x14ac:dyDescent="0.25">
      <c r="A53">
        <v>28</v>
      </c>
      <c r="B53" t="s">
        <v>29</v>
      </c>
      <c r="C53" t="s">
        <v>30</v>
      </c>
      <c r="D53" t="s">
        <v>38</v>
      </c>
      <c r="E53">
        <v>5</v>
      </c>
      <c r="F53">
        <v>4</v>
      </c>
      <c r="G53" t="s">
        <v>53</v>
      </c>
      <c r="H53">
        <v>65</v>
      </c>
      <c r="I53">
        <v>3</v>
      </c>
      <c r="J53" t="s">
        <v>39</v>
      </c>
      <c r="K53">
        <v>3</v>
      </c>
      <c r="L53">
        <v>1</v>
      </c>
      <c r="M53" t="s">
        <v>43</v>
      </c>
      <c r="N53">
        <v>3</v>
      </c>
      <c r="O53" t="s">
        <v>35</v>
      </c>
      <c r="P53">
        <v>3441</v>
      </c>
      <c r="Q53">
        <v>1</v>
      </c>
      <c r="R53" t="s">
        <v>29</v>
      </c>
      <c r="S53">
        <v>13</v>
      </c>
      <c r="T53">
        <v>3</v>
      </c>
      <c r="U53">
        <v>3</v>
      </c>
      <c r="V53">
        <v>0</v>
      </c>
      <c r="W53">
        <v>2</v>
      </c>
      <c r="X53">
        <v>3</v>
      </c>
      <c r="Y53">
        <v>2</v>
      </c>
      <c r="Z53">
        <v>2</v>
      </c>
      <c r="AA53">
        <v>2</v>
      </c>
      <c r="AB53">
        <v>2</v>
      </c>
      <c r="AC53">
        <v>2</v>
      </c>
      <c r="AD53">
        <f>IF(HR_Data[[#This Row],[Attrition]]="Yes",1,0)</f>
        <v>1</v>
      </c>
      <c r="AE53" t="str">
        <f>IF(HR_Data[[#This Row],[Age]]&lt;=25,"18-25",IF(HR_Data[[#This Row],[Age]]&lt;=35,"26-35",IF(HR_Data[[#This Row],[Age]]&lt;=45,"36-45",IF(HR_Data[[#This Row],[Age]]&lt;=55,"46-55","55+"))))</f>
        <v>26-35</v>
      </c>
      <c r="AF53">
        <f>IF(HR_Data[[#This Row],[Age]]&lt;=25,1,IF(HR_Data[[#This Row],[Age]]&lt;=35,2,IF(HR_Data[[#This Row],[Age]]&lt;=45,3,IF(HR_Data[[#This Row],[Age]]&lt;=55,4,5))))</f>
        <v>2</v>
      </c>
      <c r="AG53" s="1" t="str">
        <f>IF(HR_Data[[#This Row],[MonthlyIncome]]&lt;3000,"&lt;3K",IF(HR_Data[[#This Row],[MonthlyIncome]]&lt;6000,"3K-6K",IF(HR_Data[[#This Row],[MonthlyIncome]]&lt;10000,"6K-10K","10K+")))</f>
        <v>3K-6K</v>
      </c>
      <c r="AH53" s="1">
        <f>IF(HR_Data[[#This Row],[MonthlyIncome]]&lt;3000,1,IF(HR_Data[[#This Row],[MonthlyIncome]]&lt;6000,2,IF(HR_Data[[#This Row],[MonthlyIncome]]&lt;10000,3,4)))</f>
        <v>2</v>
      </c>
      <c r="AI53" s="1" t="str">
        <f>IF(HR_Data[[#This Row],[YearsAtCompany]]&lt;=2,"0-2 Yrs",IF(HR_Data[[#This Row],[YearsAtCompany]]&lt;=5,"3-5 Yrs",IF(HR_Data[[#This Row],[YearsAtCompany]]&lt;=10,"6-10 Yrs","10+ Yrs")))</f>
        <v>0-2 Yrs</v>
      </c>
      <c r="AJ53" s="1">
        <f>IF(HR_Data[[#This Row],[YearsAtCompany]]&lt;=2,1,IF(HR_Data[[#This Row],[YearsAtCompany]]&lt;=5,2,IF(HR_Data[[#This Row],[YearsAtCompany]]&lt;=10,3,4)))</f>
        <v>1</v>
      </c>
      <c r="AK53" s="1" t="str">
        <f>CHOOSE(HR_Data[[#This Row],[Education]],"Below College","College","Bachelor","Master","Doctor")</f>
        <v>Master</v>
      </c>
      <c r="AL53" s="1" t="str">
        <f>CHOOSE(HR_Data[[#This Row],[JobSatisfaction]],"Low","Medium","High","Very High")</f>
        <v>High</v>
      </c>
      <c r="AM53" s="1" t="str">
        <f>CHOOSE(HR_Data[[#This Row],[EnvironmentSatisfaction]],"Low","Medium","High","Very High")</f>
        <v>High</v>
      </c>
      <c r="AN53" s="1" t="str">
        <f>CHOOSE(HR_Data[[#This Row],[WorkLifeBalance]],"Bad","Good","Better","Best")</f>
        <v>Good</v>
      </c>
      <c r="AO53" s="1" t="str">
        <f>IF(HR_Data[[#This Row],[PercentSalaryHike]]&lt;=13,"11-13%",IF(HR_Data[[#This Row],[PercentSalaryHike]]&lt;=16,"14-16%",IF(HR_Data[[#This Row],[PercentSalaryHike]]&lt;=19,"17-19%","20-25%")))</f>
        <v>11-13%</v>
      </c>
      <c r="AP53" s="1">
        <f>IF(HR_Data[[#This Row],[PercentSalaryHike]]&lt;=13,1,IF(HR_Data[[#This Row],[PercentSalaryHike]]&lt;=16,2,IF(HR_Data[[#This Row],[PercentSalaryHike]]&lt;=19,3,4)))</f>
        <v>1</v>
      </c>
      <c r="AQ53" s="1" t="str">
        <f>IF(HR_Data[[#This Row],[DistanceFromHome]]&lt;=5,"1 to 5",IF(HR_Data[[#This Row],[DistanceFromHome]]&lt;=10,"6 to 10",IF(HR_Data[[#This Row],[DistanceFromHome]]&lt;=20,"11 to 20","21 to 29")))</f>
        <v>1 to 5</v>
      </c>
      <c r="AR53" s="1">
        <f>IF(HR_Data[[#This Row],[DistanceFromHome]]&lt;=5,1,IF(HR_Data[[#This Row],[DistanceFromHome]]&lt;=10,2,IF(HR_Data[[#This Row],[DistanceFromHome]]&lt;=20,3,4)))</f>
        <v>1</v>
      </c>
      <c r="AS53" s="1" t="str">
        <f>IF(HR_Data[[#This Row],[TotalWorkingYears]]&lt;=5,"0-5 Yrs",IF(HR_Data[[#This Row],[TotalWorkingYears]]&lt;=10,"6-10 Yrs",IF(HR_Data[[#This Row],[TotalWorkingYears]]&lt;=20,"11-20 Yrs","20+ Yrs")))</f>
        <v>0-5 Yrs</v>
      </c>
      <c r="AT53" s="1">
        <f>IF(HR_Data[[#This Row],[TotalWorkingYears]]&lt;=5,1,IF(HR_Data[[#This Row],[TotalWorkingYears]]&lt;=10,2,IF(HR_Data[[#This Row],[TotalWorkingYears]]&lt;=20,3,4)))</f>
        <v>1</v>
      </c>
    </row>
    <row r="54" spans="1:46" x14ac:dyDescent="0.25">
      <c r="A54">
        <v>44</v>
      </c>
      <c r="B54" t="s">
        <v>36</v>
      </c>
      <c r="C54" t="s">
        <v>30</v>
      </c>
      <c r="D54" t="s">
        <v>31</v>
      </c>
      <c r="E54">
        <v>1</v>
      </c>
      <c r="F54">
        <v>5</v>
      </c>
      <c r="G54" t="s">
        <v>52</v>
      </c>
      <c r="H54">
        <v>68</v>
      </c>
      <c r="I54">
        <v>2</v>
      </c>
      <c r="J54" t="s">
        <v>33</v>
      </c>
      <c r="K54">
        <v>3</v>
      </c>
      <c r="L54">
        <v>2</v>
      </c>
      <c r="M54" t="s">
        <v>34</v>
      </c>
      <c r="N54">
        <v>1</v>
      </c>
      <c r="O54" t="s">
        <v>45</v>
      </c>
      <c r="P54">
        <v>5454</v>
      </c>
      <c r="Q54">
        <v>5</v>
      </c>
      <c r="R54" t="s">
        <v>29</v>
      </c>
      <c r="S54">
        <v>21</v>
      </c>
      <c r="T54">
        <v>4</v>
      </c>
      <c r="U54">
        <v>3</v>
      </c>
      <c r="V54">
        <v>1</v>
      </c>
      <c r="W54">
        <v>9</v>
      </c>
      <c r="X54">
        <v>2</v>
      </c>
      <c r="Y54">
        <v>2</v>
      </c>
      <c r="Z54">
        <v>4</v>
      </c>
      <c r="AA54">
        <v>3</v>
      </c>
      <c r="AB54">
        <v>1</v>
      </c>
      <c r="AC54">
        <v>3</v>
      </c>
      <c r="AD54">
        <f>IF(HR_Data[[#This Row],[Attrition]]="Yes",1,0)</f>
        <v>0</v>
      </c>
      <c r="AE54" t="str">
        <f>IF(HR_Data[[#This Row],[Age]]&lt;=25,"18-25",IF(HR_Data[[#This Row],[Age]]&lt;=35,"26-35",IF(HR_Data[[#This Row],[Age]]&lt;=45,"36-45",IF(HR_Data[[#This Row],[Age]]&lt;=55,"46-55","55+"))))</f>
        <v>36-45</v>
      </c>
      <c r="AF54">
        <f>IF(HR_Data[[#This Row],[Age]]&lt;=25,1,IF(HR_Data[[#This Row],[Age]]&lt;=35,2,IF(HR_Data[[#This Row],[Age]]&lt;=45,3,IF(HR_Data[[#This Row],[Age]]&lt;=55,4,5))))</f>
        <v>3</v>
      </c>
      <c r="AG54" s="1" t="str">
        <f>IF(HR_Data[[#This Row],[MonthlyIncome]]&lt;3000,"&lt;3K",IF(HR_Data[[#This Row],[MonthlyIncome]]&lt;6000,"3K-6K",IF(HR_Data[[#This Row],[MonthlyIncome]]&lt;10000,"6K-10K","10K+")))</f>
        <v>3K-6K</v>
      </c>
      <c r="AH54" s="1">
        <f>IF(HR_Data[[#This Row],[MonthlyIncome]]&lt;3000,1,IF(HR_Data[[#This Row],[MonthlyIncome]]&lt;6000,2,IF(HR_Data[[#This Row],[MonthlyIncome]]&lt;10000,3,4)))</f>
        <v>2</v>
      </c>
      <c r="AI54" s="1" t="str">
        <f>IF(HR_Data[[#This Row],[YearsAtCompany]]&lt;=2,"0-2 Yrs",IF(HR_Data[[#This Row],[YearsAtCompany]]&lt;=5,"3-5 Yrs",IF(HR_Data[[#This Row],[YearsAtCompany]]&lt;=10,"6-10 Yrs","10+ Yrs")))</f>
        <v>3-5 Yrs</v>
      </c>
      <c r="AJ54" s="1">
        <f>IF(HR_Data[[#This Row],[YearsAtCompany]]&lt;=2,1,IF(HR_Data[[#This Row],[YearsAtCompany]]&lt;=5,2,IF(HR_Data[[#This Row],[YearsAtCompany]]&lt;=10,3,4)))</f>
        <v>2</v>
      </c>
      <c r="AK54" s="1" t="str">
        <f>CHOOSE(HR_Data[[#This Row],[Education]],"Below College","College","Bachelor","Master","Doctor")</f>
        <v>Doctor</v>
      </c>
      <c r="AL54" s="1" t="str">
        <f>CHOOSE(HR_Data[[#This Row],[JobSatisfaction]],"Low","Medium","High","Very High")</f>
        <v>Low</v>
      </c>
      <c r="AM54" s="1" t="str">
        <f>CHOOSE(HR_Data[[#This Row],[EnvironmentSatisfaction]],"Low","Medium","High","Very High")</f>
        <v>Medium</v>
      </c>
      <c r="AN54" s="1" t="str">
        <f>CHOOSE(HR_Data[[#This Row],[WorkLifeBalance]],"Bad","Good","Better","Best")</f>
        <v>Good</v>
      </c>
      <c r="AO54" s="1" t="str">
        <f>IF(HR_Data[[#This Row],[PercentSalaryHike]]&lt;=13,"11-13%",IF(HR_Data[[#This Row],[PercentSalaryHike]]&lt;=16,"14-16%",IF(HR_Data[[#This Row],[PercentSalaryHike]]&lt;=19,"17-19%","20-25%")))</f>
        <v>20-25%</v>
      </c>
      <c r="AP54" s="1">
        <f>IF(HR_Data[[#This Row],[PercentSalaryHike]]&lt;=13,1,IF(HR_Data[[#This Row],[PercentSalaryHike]]&lt;=16,2,IF(HR_Data[[#This Row],[PercentSalaryHike]]&lt;=19,3,4)))</f>
        <v>4</v>
      </c>
      <c r="AQ54" s="1" t="str">
        <f>IF(HR_Data[[#This Row],[DistanceFromHome]]&lt;=5,"1 to 5",IF(HR_Data[[#This Row],[DistanceFromHome]]&lt;=10,"6 to 10",IF(HR_Data[[#This Row],[DistanceFromHome]]&lt;=20,"11 to 20","21 to 29")))</f>
        <v>1 to 5</v>
      </c>
      <c r="AR54" s="1">
        <f>IF(HR_Data[[#This Row],[DistanceFromHome]]&lt;=5,1,IF(HR_Data[[#This Row],[DistanceFromHome]]&lt;=10,2,IF(HR_Data[[#This Row],[DistanceFromHome]]&lt;=20,3,4)))</f>
        <v>1</v>
      </c>
      <c r="AS54" s="1" t="str">
        <f>IF(HR_Data[[#This Row],[TotalWorkingYears]]&lt;=5,"0-5 Yrs",IF(HR_Data[[#This Row],[TotalWorkingYears]]&lt;=10,"6-10 Yrs",IF(HR_Data[[#This Row],[TotalWorkingYears]]&lt;=20,"11-20 Yrs","20+ Yrs")))</f>
        <v>6-10 Yrs</v>
      </c>
      <c r="AT54" s="1">
        <f>IF(HR_Data[[#This Row],[TotalWorkingYears]]&lt;=5,1,IF(HR_Data[[#This Row],[TotalWorkingYears]]&lt;=10,2,IF(HR_Data[[#This Row],[TotalWorkingYears]]&lt;=20,3,4)))</f>
        <v>2</v>
      </c>
    </row>
    <row r="55" spans="1:46" x14ac:dyDescent="0.25">
      <c r="A55">
        <v>35</v>
      </c>
      <c r="B55" t="s">
        <v>36</v>
      </c>
      <c r="C55" t="s">
        <v>48</v>
      </c>
      <c r="D55" t="s">
        <v>38</v>
      </c>
      <c r="E55">
        <v>11</v>
      </c>
      <c r="F55">
        <v>2</v>
      </c>
      <c r="G55" t="s">
        <v>44</v>
      </c>
      <c r="H55">
        <v>70</v>
      </c>
      <c r="I55">
        <v>3</v>
      </c>
      <c r="J55" t="s">
        <v>39</v>
      </c>
      <c r="K55">
        <v>2</v>
      </c>
      <c r="L55">
        <v>3</v>
      </c>
      <c r="M55" t="s">
        <v>47</v>
      </c>
      <c r="N55">
        <v>1</v>
      </c>
      <c r="O55" t="s">
        <v>41</v>
      </c>
      <c r="P55">
        <v>9884</v>
      </c>
      <c r="Q55">
        <v>2</v>
      </c>
      <c r="R55" t="s">
        <v>29</v>
      </c>
      <c r="S55">
        <v>13</v>
      </c>
      <c r="T55">
        <v>3</v>
      </c>
      <c r="U55">
        <v>3</v>
      </c>
      <c r="V55">
        <v>1</v>
      </c>
      <c r="W55">
        <v>10</v>
      </c>
      <c r="X55">
        <v>3</v>
      </c>
      <c r="Y55">
        <v>3</v>
      </c>
      <c r="Z55">
        <v>4</v>
      </c>
      <c r="AA55">
        <v>0</v>
      </c>
      <c r="AB55">
        <v>2</v>
      </c>
      <c r="AC55">
        <v>3</v>
      </c>
      <c r="AD55">
        <f>IF(HR_Data[[#This Row],[Attrition]]="Yes",1,0)</f>
        <v>0</v>
      </c>
      <c r="AE55" t="str">
        <f>IF(HR_Data[[#This Row],[Age]]&lt;=25,"18-25",IF(HR_Data[[#This Row],[Age]]&lt;=35,"26-35",IF(HR_Data[[#This Row],[Age]]&lt;=45,"36-45",IF(HR_Data[[#This Row],[Age]]&lt;=55,"46-55","55+"))))</f>
        <v>26-35</v>
      </c>
      <c r="AF55">
        <f>IF(HR_Data[[#This Row],[Age]]&lt;=25,1,IF(HR_Data[[#This Row],[Age]]&lt;=35,2,IF(HR_Data[[#This Row],[Age]]&lt;=45,3,IF(HR_Data[[#This Row],[Age]]&lt;=55,4,5))))</f>
        <v>2</v>
      </c>
      <c r="AG55" s="1" t="str">
        <f>IF(HR_Data[[#This Row],[MonthlyIncome]]&lt;3000,"&lt;3K",IF(HR_Data[[#This Row],[MonthlyIncome]]&lt;6000,"3K-6K",IF(HR_Data[[#This Row],[MonthlyIncome]]&lt;10000,"6K-10K","10K+")))</f>
        <v>6K-10K</v>
      </c>
      <c r="AH55" s="1">
        <f>IF(HR_Data[[#This Row],[MonthlyIncome]]&lt;3000,1,IF(HR_Data[[#This Row],[MonthlyIncome]]&lt;6000,2,IF(HR_Data[[#This Row],[MonthlyIncome]]&lt;10000,3,4)))</f>
        <v>3</v>
      </c>
      <c r="AI55" s="1" t="str">
        <f>IF(HR_Data[[#This Row],[YearsAtCompany]]&lt;=2,"0-2 Yrs",IF(HR_Data[[#This Row],[YearsAtCompany]]&lt;=5,"3-5 Yrs",IF(HR_Data[[#This Row],[YearsAtCompany]]&lt;=10,"6-10 Yrs","10+ Yrs")))</f>
        <v>3-5 Yrs</v>
      </c>
      <c r="AJ55" s="1">
        <f>IF(HR_Data[[#This Row],[YearsAtCompany]]&lt;=2,1,IF(HR_Data[[#This Row],[YearsAtCompany]]&lt;=5,2,IF(HR_Data[[#This Row],[YearsAtCompany]]&lt;=10,3,4)))</f>
        <v>2</v>
      </c>
      <c r="AK55" s="1" t="str">
        <f>CHOOSE(HR_Data[[#This Row],[Education]],"Below College","College","Bachelor","Master","Doctor")</f>
        <v>College</v>
      </c>
      <c r="AL55" s="1" t="str">
        <f>CHOOSE(HR_Data[[#This Row],[JobSatisfaction]],"Low","Medium","High","Very High")</f>
        <v>Low</v>
      </c>
      <c r="AM55" s="1" t="str">
        <f>CHOOSE(HR_Data[[#This Row],[EnvironmentSatisfaction]],"Low","Medium","High","Very High")</f>
        <v>High</v>
      </c>
      <c r="AN55" s="1" t="str">
        <f>CHOOSE(HR_Data[[#This Row],[WorkLifeBalance]],"Bad","Good","Better","Best")</f>
        <v>Better</v>
      </c>
      <c r="AO55" s="1" t="str">
        <f>IF(HR_Data[[#This Row],[PercentSalaryHike]]&lt;=13,"11-13%",IF(HR_Data[[#This Row],[PercentSalaryHike]]&lt;=16,"14-16%",IF(HR_Data[[#This Row],[PercentSalaryHike]]&lt;=19,"17-19%","20-25%")))</f>
        <v>11-13%</v>
      </c>
      <c r="AP55" s="1">
        <f>IF(HR_Data[[#This Row],[PercentSalaryHike]]&lt;=13,1,IF(HR_Data[[#This Row],[PercentSalaryHike]]&lt;=16,2,IF(HR_Data[[#This Row],[PercentSalaryHike]]&lt;=19,3,4)))</f>
        <v>1</v>
      </c>
      <c r="AQ55" s="1" t="str">
        <f>IF(HR_Data[[#This Row],[DistanceFromHome]]&lt;=5,"1 to 5",IF(HR_Data[[#This Row],[DistanceFromHome]]&lt;=10,"6 to 10",IF(HR_Data[[#This Row],[DistanceFromHome]]&lt;=20,"11 to 20","21 to 29")))</f>
        <v>11 to 20</v>
      </c>
      <c r="AR55" s="1">
        <f>IF(HR_Data[[#This Row],[DistanceFromHome]]&lt;=5,1,IF(HR_Data[[#This Row],[DistanceFromHome]]&lt;=10,2,IF(HR_Data[[#This Row],[DistanceFromHome]]&lt;=20,3,4)))</f>
        <v>3</v>
      </c>
      <c r="AS55" s="1" t="str">
        <f>IF(HR_Data[[#This Row],[TotalWorkingYears]]&lt;=5,"0-5 Yrs",IF(HR_Data[[#This Row],[TotalWorkingYears]]&lt;=10,"6-10 Yrs",IF(HR_Data[[#This Row],[TotalWorkingYears]]&lt;=20,"11-20 Yrs","20+ Yrs")))</f>
        <v>6-10 Yrs</v>
      </c>
      <c r="AT55" s="1">
        <f>IF(HR_Data[[#This Row],[TotalWorkingYears]]&lt;=5,1,IF(HR_Data[[#This Row],[TotalWorkingYears]]&lt;=10,2,IF(HR_Data[[#This Row],[TotalWorkingYears]]&lt;=20,3,4)))</f>
        <v>2</v>
      </c>
    </row>
    <row r="56" spans="1:46" x14ac:dyDescent="0.25">
      <c r="A56">
        <v>26</v>
      </c>
      <c r="B56" t="s">
        <v>36</v>
      </c>
      <c r="C56" t="s">
        <v>30</v>
      </c>
      <c r="D56" t="s">
        <v>31</v>
      </c>
      <c r="E56">
        <v>23</v>
      </c>
      <c r="F56">
        <v>3</v>
      </c>
      <c r="G56" t="s">
        <v>52</v>
      </c>
      <c r="H56">
        <v>72</v>
      </c>
      <c r="I56">
        <v>3</v>
      </c>
      <c r="J56" t="s">
        <v>33</v>
      </c>
      <c r="K56">
        <v>2</v>
      </c>
      <c r="L56">
        <v>2</v>
      </c>
      <c r="M56" t="s">
        <v>34</v>
      </c>
      <c r="N56">
        <v>4</v>
      </c>
      <c r="O56" t="s">
        <v>41</v>
      </c>
      <c r="P56">
        <v>4157</v>
      </c>
      <c r="Q56">
        <v>7</v>
      </c>
      <c r="R56" t="s">
        <v>29</v>
      </c>
      <c r="S56">
        <v>19</v>
      </c>
      <c r="T56">
        <v>3</v>
      </c>
      <c r="U56">
        <v>3</v>
      </c>
      <c r="V56">
        <v>1</v>
      </c>
      <c r="W56">
        <v>5</v>
      </c>
      <c r="X56">
        <v>2</v>
      </c>
      <c r="Y56">
        <v>2</v>
      </c>
      <c r="Z56">
        <v>2</v>
      </c>
      <c r="AA56">
        <v>2</v>
      </c>
      <c r="AB56">
        <v>0</v>
      </c>
      <c r="AC56">
        <v>0</v>
      </c>
      <c r="AD56">
        <f>IF(HR_Data[[#This Row],[Attrition]]="Yes",1,0)</f>
        <v>0</v>
      </c>
      <c r="AE56" t="str">
        <f>IF(HR_Data[[#This Row],[Age]]&lt;=25,"18-25",IF(HR_Data[[#This Row],[Age]]&lt;=35,"26-35",IF(HR_Data[[#This Row],[Age]]&lt;=45,"36-45",IF(HR_Data[[#This Row],[Age]]&lt;=55,"46-55","55+"))))</f>
        <v>26-35</v>
      </c>
      <c r="AF56">
        <f>IF(HR_Data[[#This Row],[Age]]&lt;=25,1,IF(HR_Data[[#This Row],[Age]]&lt;=35,2,IF(HR_Data[[#This Row],[Age]]&lt;=45,3,IF(HR_Data[[#This Row],[Age]]&lt;=55,4,5))))</f>
        <v>2</v>
      </c>
      <c r="AG56" s="1" t="str">
        <f>IF(HR_Data[[#This Row],[MonthlyIncome]]&lt;3000,"&lt;3K",IF(HR_Data[[#This Row],[MonthlyIncome]]&lt;6000,"3K-6K",IF(HR_Data[[#This Row],[MonthlyIncome]]&lt;10000,"6K-10K","10K+")))</f>
        <v>3K-6K</v>
      </c>
      <c r="AH56" s="1">
        <f>IF(HR_Data[[#This Row],[MonthlyIncome]]&lt;3000,1,IF(HR_Data[[#This Row],[MonthlyIncome]]&lt;6000,2,IF(HR_Data[[#This Row],[MonthlyIncome]]&lt;10000,3,4)))</f>
        <v>2</v>
      </c>
      <c r="AI56" s="1" t="str">
        <f>IF(HR_Data[[#This Row],[YearsAtCompany]]&lt;=2,"0-2 Yrs",IF(HR_Data[[#This Row],[YearsAtCompany]]&lt;=5,"3-5 Yrs",IF(HR_Data[[#This Row],[YearsAtCompany]]&lt;=10,"6-10 Yrs","10+ Yrs")))</f>
        <v>0-2 Yrs</v>
      </c>
      <c r="AJ56" s="1">
        <f>IF(HR_Data[[#This Row],[YearsAtCompany]]&lt;=2,1,IF(HR_Data[[#This Row],[YearsAtCompany]]&lt;=5,2,IF(HR_Data[[#This Row],[YearsAtCompany]]&lt;=10,3,4)))</f>
        <v>1</v>
      </c>
      <c r="AK56" s="1" t="str">
        <f>CHOOSE(HR_Data[[#This Row],[Education]],"Below College","College","Bachelor","Master","Doctor")</f>
        <v>Bachelor</v>
      </c>
      <c r="AL56" s="1" t="str">
        <f>CHOOSE(HR_Data[[#This Row],[JobSatisfaction]],"Low","Medium","High","Very High")</f>
        <v>Very High</v>
      </c>
      <c r="AM56" s="1" t="str">
        <f>CHOOSE(HR_Data[[#This Row],[EnvironmentSatisfaction]],"Low","Medium","High","Very High")</f>
        <v>High</v>
      </c>
      <c r="AN56" s="1" t="str">
        <f>CHOOSE(HR_Data[[#This Row],[WorkLifeBalance]],"Bad","Good","Better","Best")</f>
        <v>Good</v>
      </c>
      <c r="AO56" s="1" t="str">
        <f>IF(HR_Data[[#This Row],[PercentSalaryHike]]&lt;=13,"11-13%",IF(HR_Data[[#This Row],[PercentSalaryHike]]&lt;=16,"14-16%",IF(HR_Data[[#This Row],[PercentSalaryHike]]&lt;=19,"17-19%","20-25%")))</f>
        <v>17-19%</v>
      </c>
      <c r="AP56" s="1">
        <f>IF(HR_Data[[#This Row],[PercentSalaryHike]]&lt;=13,1,IF(HR_Data[[#This Row],[PercentSalaryHike]]&lt;=16,2,IF(HR_Data[[#This Row],[PercentSalaryHike]]&lt;=19,3,4)))</f>
        <v>3</v>
      </c>
      <c r="AQ56" s="1" t="str">
        <f>IF(HR_Data[[#This Row],[DistanceFromHome]]&lt;=5,"1 to 5",IF(HR_Data[[#This Row],[DistanceFromHome]]&lt;=10,"6 to 10",IF(HR_Data[[#This Row],[DistanceFromHome]]&lt;=20,"11 to 20","21 to 29")))</f>
        <v>21 to 29</v>
      </c>
      <c r="AR56" s="1">
        <f>IF(HR_Data[[#This Row],[DistanceFromHome]]&lt;=5,1,IF(HR_Data[[#This Row],[DistanceFromHome]]&lt;=10,2,IF(HR_Data[[#This Row],[DistanceFromHome]]&lt;=20,3,4)))</f>
        <v>4</v>
      </c>
      <c r="AS56" s="1" t="str">
        <f>IF(HR_Data[[#This Row],[TotalWorkingYears]]&lt;=5,"0-5 Yrs",IF(HR_Data[[#This Row],[TotalWorkingYears]]&lt;=10,"6-10 Yrs",IF(HR_Data[[#This Row],[TotalWorkingYears]]&lt;=20,"11-20 Yrs","20+ Yrs")))</f>
        <v>0-5 Yrs</v>
      </c>
      <c r="AT56" s="1">
        <f>IF(HR_Data[[#This Row],[TotalWorkingYears]]&lt;=5,1,IF(HR_Data[[#This Row],[TotalWorkingYears]]&lt;=10,2,IF(HR_Data[[#This Row],[TotalWorkingYears]]&lt;=20,3,4)))</f>
        <v>1</v>
      </c>
    </row>
    <row r="57" spans="1:46" x14ac:dyDescent="0.25">
      <c r="A57">
        <v>33</v>
      </c>
      <c r="B57" t="s">
        <v>36</v>
      </c>
      <c r="C57" t="s">
        <v>37</v>
      </c>
      <c r="D57" t="s">
        <v>38</v>
      </c>
      <c r="E57">
        <v>1</v>
      </c>
      <c r="F57">
        <v>2</v>
      </c>
      <c r="G57" t="s">
        <v>32</v>
      </c>
      <c r="H57">
        <v>73</v>
      </c>
      <c r="I57">
        <v>1</v>
      </c>
      <c r="J57" t="s">
        <v>33</v>
      </c>
      <c r="K57">
        <v>3</v>
      </c>
      <c r="L57">
        <v>3</v>
      </c>
      <c r="M57" t="s">
        <v>51</v>
      </c>
      <c r="N57">
        <v>4</v>
      </c>
      <c r="O57" t="s">
        <v>35</v>
      </c>
      <c r="P57">
        <v>13458</v>
      </c>
      <c r="Q57">
        <v>1</v>
      </c>
      <c r="R57" t="s">
        <v>29</v>
      </c>
      <c r="S57">
        <v>12</v>
      </c>
      <c r="T57">
        <v>3</v>
      </c>
      <c r="U57">
        <v>3</v>
      </c>
      <c r="V57">
        <v>0</v>
      </c>
      <c r="W57">
        <v>15</v>
      </c>
      <c r="X57">
        <v>1</v>
      </c>
      <c r="Y57">
        <v>3</v>
      </c>
      <c r="Z57">
        <v>15</v>
      </c>
      <c r="AA57">
        <v>14</v>
      </c>
      <c r="AB57">
        <v>8</v>
      </c>
      <c r="AC57">
        <v>12</v>
      </c>
      <c r="AD57">
        <f>IF(HR_Data[[#This Row],[Attrition]]="Yes",1,0)</f>
        <v>0</v>
      </c>
      <c r="AE57" t="str">
        <f>IF(HR_Data[[#This Row],[Age]]&lt;=25,"18-25",IF(HR_Data[[#This Row],[Age]]&lt;=35,"26-35",IF(HR_Data[[#This Row],[Age]]&lt;=45,"36-45",IF(HR_Data[[#This Row],[Age]]&lt;=55,"46-55","55+"))))</f>
        <v>26-35</v>
      </c>
      <c r="AF57">
        <f>IF(HR_Data[[#This Row],[Age]]&lt;=25,1,IF(HR_Data[[#This Row],[Age]]&lt;=35,2,IF(HR_Data[[#This Row],[Age]]&lt;=45,3,IF(HR_Data[[#This Row],[Age]]&lt;=55,4,5))))</f>
        <v>2</v>
      </c>
      <c r="AG57" s="1" t="str">
        <f>IF(HR_Data[[#This Row],[MonthlyIncome]]&lt;3000,"&lt;3K",IF(HR_Data[[#This Row],[MonthlyIncome]]&lt;6000,"3K-6K",IF(HR_Data[[#This Row],[MonthlyIncome]]&lt;10000,"6K-10K","10K+")))</f>
        <v>10K+</v>
      </c>
      <c r="AH57" s="1">
        <f>IF(HR_Data[[#This Row],[MonthlyIncome]]&lt;3000,1,IF(HR_Data[[#This Row],[MonthlyIncome]]&lt;6000,2,IF(HR_Data[[#This Row],[MonthlyIncome]]&lt;10000,3,4)))</f>
        <v>4</v>
      </c>
      <c r="AI57" s="1" t="str">
        <f>IF(HR_Data[[#This Row],[YearsAtCompany]]&lt;=2,"0-2 Yrs",IF(HR_Data[[#This Row],[YearsAtCompany]]&lt;=5,"3-5 Yrs",IF(HR_Data[[#This Row],[YearsAtCompany]]&lt;=10,"6-10 Yrs","10+ Yrs")))</f>
        <v>10+ Yrs</v>
      </c>
      <c r="AJ57" s="1">
        <f>IF(HR_Data[[#This Row],[YearsAtCompany]]&lt;=2,1,IF(HR_Data[[#This Row],[YearsAtCompany]]&lt;=5,2,IF(HR_Data[[#This Row],[YearsAtCompany]]&lt;=10,3,4)))</f>
        <v>4</v>
      </c>
      <c r="AK57" s="1" t="str">
        <f>CHOOSE(HR_Data[[#This Row],[Education]],"Below College","College","Bachelor","Master","Doctor")</f>
        <v>College</v>
      </c>
      <c r="AL57" s="1" t="str">
        <f>CHOOSE(HR_Data[[#This Row],[JobSatisfaction]],"Low","Medium","High","Very High")</f>
        <v>Very High</v>
      </c>
      <c r="AM57" s="1" t="str">
        <f>CHOOSE(HR_Data[[#This Row],[EnvironmentSatisfaction]],"Low","Medium","High","Very High")</f>
        <v>Low</v>
      </c>
      <c r="AN57" s="1" t="str">
        <f>CHOOSE(HR_Data[[#This Row],[WorkLifeBalance]],"Bad","Good","Better","Best")</f>
        <v>Better</v>
      </c>
      <c r="AO57" s="1" t="str">
        <f>IF(HR_Data[[#This Row],[PercentSalaryHike]]&lt;=13,"11-13%",IF(HR_Data[[#This Row],[PercentSalaryHike]]&lt;=16,"14-16%",IF(HR_Data[[#This Row],[PercentSalaryHike]]&lt;=19,"17-19%","20-25%")))</f>
        <v>11-13%</v>
      </c>
      <c r="AP57" s="1">
        <f>IF(HR_Data[[#This Row],[PercentSalaryHike]]&lt;=13,1,IF(HR_Data[[#This Row],[PercentSalaryHike]]&lt;=16,2,IF(HR_Data[[#This Row],[PercentSalaryHike]]&lt;=19,3,4)))</f>
        <v>1</v>
      </c>
      <c r="AQ57" s="1" t="str">
        <f>IF(HR_Data[[#This Row],[DistanceFromHome]]&lt;=5,"1 to 5",IF(HR_Data[[#This Row],[DistanceFromHome]]&lt;=10,"6 to 10",IF(HR_Data[[#This Row],[DistanceFromHome]]&lt;=20,"11 to 20","21 to 29")))</f>
        <v>1 to 5</v>
      </c>
      <c r="AR57" s="1">
        <f>IF(HR_Data[[#This Row],[DistanceFromHome]]&lt;=5,1,IF(HR_Data[[#This Row],[DistanceFromHome]]&lt;=10,2,IF(HR_Data[[#This Row],[DistanceFromHome]]&lt;=20,3,4)))</f>
        <v>1</v>
      </c>
      <c r="AS57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57" s="1">
        <f>IF(HR_Data[[#This Row],[TotalWorkingYears]]&lt;=5,1,IF(HR_Data[[#This Row],[TotalWorkingYears]]&lt;=10,2,IF(HR_Data[[#This Row],[TotalWorkingYears]]&lt;=20,3,4)))</f>
        <v>3</v>
      </c>
    </row>
    <row r="58" spans="1:46" x14ac:dyDescent="0.25">
      <c r="A58">
        <v>35</v>
      </c>
      <c r="B58" t="s">
        <v>36</v>
      </c>
      <c r="C58" t="s">
        <v>37</v>
      </c>
      <c r="D58" t="s">
        <v>31</v>
      </c>
      <c r="E58">
        <v>18</v>
      </c>
      <c r="F58">
        <v>5</v>
      </c>
      <c r="G58" t="s">
        <v>32</v>
      </c>
      <c r="H58">
        <v>74</v>
      </c>
      <c r="I58">
        <v>2</v>
      </c>
      <c r="J58" t="s">
        <v>39</v>
      </c>
      <c r="K58">
        <v>3</v>
      </c>
      <c r="L58">
        <v>3</v>
      </c>
      <c r="M58" t="s">
        <v>34</v>
      </c>
      <c r="N58">
        <v>1</v>
      </c>
      <c r="O58" t="s">
        <v>41</v>
      </c>
      <c r="P58">
        <v>9069</v>
      </c>
      <c r="Q58">
        <v>1</v>
      </c>
      <c r="R58" t="s">
        <v>36</v>
      </c>
      <c r="S58">
        <v>22</v>
      </c>
      <c r="T58">
        <v>4</v>
      </c>
      <c r="U58">
        <v>4</v>
      </c>
      <c r="V58">
        <v>1</v>
      </c>
      <c r="W58">
        <v>9</v>
      </c>
      <c r="X58">
        <v>3</v>
      </c>
      <c r="Y58">
        <v>2</v>
      </c>
      <c r="Z58">
        <v>9</v>
      </c>
      <c r="AA58">
        <v>8</v>
      </c>
      <c r="AB58">
        <v>1</v>
      </c>
      <c r="AC58">
        <v>8</v>
      </c>
      <c r="AD58">
        <f>IF(HR_Data[[#This Row],[Attrition]]="Yes",1,0)</f>
        <v>0</v>
      </c>
      <c r="AE58" t="str">
        <f>IF(HR_Data[[#This Row],[Age]]&lt;=25,"18-25",IF(HR_Data[[#This Row],[Age]]&lt;=35,"26-35",IF(HR_Data[[#This Row],[Age]]&lt;=45,"36-45",IF(HR_Data[[#This Row],[Age]]&lt;=55,"46-55","55+"))))</f>
        <v>26-35</v>
      </c>
      <c r="AF58">
        <f>IF(HR_Data[[#This Row],[Age]]&lt;=25,1,IF(HR_Data[[#This Row],[Age]]&lt;=35,2,IF(HR_Data[[#This Row],[Age]]&lt;=45,3,IF(HR_Data[[#This Row],[Age]]&lt;=55,4,5))))</f>
        <v>2</v>
      </c>
      <c r="AG58" s="1" t="str">
        <f>IF(HR_Data[[#This Row],[MonthlyIncome]]&lt;3000,"&lt;3K",IF(HR_Data[[#This Row],[MonthlyIncome]]&lt;6000,"3K-6K",IF(HR_Data[[#This Row],[MonthlyIncome]]&lt;10000,"6K-10K","10K+")))</f>
        <v>6K-10K</v>
      </c>
      <c r="AH58" s="1">
        <f>IF(HR_Data[[#This Row],[MonthlyIncome]]&lt;3000,1,IF(HR_Data[[#This Row],[MonthlyIncome]]&lt;6000,2,IF(HR_Data[[#This Row],[MonthlyIncome]]&lt;10000,3,4)))</f>
        <v>3</v>
      </c>
      <c r="AI58" s="1" t="str">
        <f>IF(HR_Data[[#This Row],[YearsAtCompany]]&lt;=2,"0-2 Yrs",IF(HR_Data[[#This Row],[YearsAtCompany]]&lt;=5,"3-5 Yrs",IF(HR_Data[[#This Row],[YearsAtCompany]]&lt;=10,"6-10 Yrs","10+ Yrs")))</f>
        <v>6-10 Yrs</v>
      </c>
      <c r="AJ58" s="1">
        <f>IF(HR_Data[[#This Row],[YearsAtCompany]]&lt;=2,1,IF(HR_Data[[#This Row],[YearsAtCompany]]&lt;=5,2,IF(HR_Data[[#This Row],[YearsAtCompany]]&lt;=10,3,4)))</f>
        <v>3</v>
      </c>
      <c r="AK58" s="1" t="str">
        <f>CHOOSE(HR_Data[[#This Row],[Education]],"Below College","College","Bachelor","Master","Doctor")</f>
        <v>Doctor</v>
      </c>
      <c r="AL58" s="1" t="str">
        <f>CHOOSE(HR_Data[[#This Row],[JobSatisfaction]],"Low","Medium","High","Very High")</f>
        <v>Low</v>
      </c>
      <c r="AM58" s="1" t="str">
        <f>CHOOSE(HR_Data[[#This Row],[EnvironmentSatisfaction]],"Low","Medium","High","Very High")</f>
        <v>Medium</v>
      </c>
      <c r="AN58" s="1" t="str">
        <f>CHOOSE(HR_Data[[#This Row],[WorkLifeBalance]],"Bad","Good","Better","Best")</f>
        <v>Good</v>
      </c>
      <c r="AO58" s="1" t="str">
        <f>IF(HR_Data[[#This Row],[PercentSalaryHike]]&lt;=13,"11-13%",IF(HR_Data[[#This Row],[PercentSalaryHike]]&lt;=16,"14-16%",IF(HR_Data[[#This Row],[PercentSalaryHike]]&lt;=19,"17-19%","20-25%")))</f>
        <v>20-25%</v>
      </c>
      <c r="AP58" s="1">
        <f>IF(HR_Data[[#This Row],[PercentSalaryHike]]&lt;=13,1,IF(HR_Data[[#This Row],[PercentSalaryHike]]&lt;=16,2,IF(HR_Data[[#This Row],[PercentSalaryHike]]&lt;=19,3,4)))</f>
        <v>4</v>
      </c>
      <c r="AQ58" s="1" t="str">
        <f>IF(HR_Data[[#This Row],[DistanceFromHome]]&lt;=5,"1 to 5",IF(HR_Data[[#This Row],[DistanceFromHome]]&lt;=10,"6 to 10",IF(HR_Data[[#This Row],[DistanceFromHome]]&lt;=20,"11 to 20","21 to 29")))</f>
        <v>11 to 20</v>
      </c>
      <c r="AR58" s="1">
        <f>IF(HR_Data[[#This Row],[DistanceFromHome]]&lt;=5,1,IF(HR_Data[[#This Row],[DistanceFromHome]]&lt;=10,2,IF(HR_Data[[#This Row],[DistanceFromHome]]&lt;=20,3,4)))</f>
        <v>3</v>
      </c>
      <c r="AS58" s="1" t="str">
        <f>IF(HR_Data[[#This Row],[TotalWorkingYears]]&lt;=5,"0-5 Yrs",IF(HR_Data[[#This Row],[TotalWorkingYears]]&lt;=10,"6-10 Yrs",IF(HR_Data[[#This Row],[TotalWorkingYears]]&lt;=20,"11-20 Yrs","20+ Yrs")))</f>
        <v>6-10 Yrs</v>
      </c>
      <c r="AT58" s="1">
        <f>IF(HR_Data[[#This Row],[TotalWorkingYears]]&lt;=5,1,IF(HR_Data[[#This Row],[TotalWorkingYears]]&lt;=10,2,IF(HR_Data[[#This Row],[TotalWorkingYears]]&lt;=20,3,4)))</f>
        <v>2</v>
      </c>
    </row>
    <row r="59" spans="1:46" x14ac:dyDescent="0.25">
      <c r="A59">
        <v>35</v>
      </c>
      <c r="B59" t="s">
        <v>36</v>
      </c>
      <c r="C59" t="s">
        <v>30</v>
      </c>
      <c r="D59" t="s">
        <v>38</v>
      </c>
      <c r="E59">
        <v>23</v>
      </c>
      <c r="F59">
        <v>4</v>
      </c>
      <c r="G59" t="s">
        <v>44</v>
      </c>
      <c r="H59">
        <v>75</v>
      </c>
      <c r="I59">
        <v>3</v>
      </c>
      <c r="J59" t="s">
        <v>33</v>
      </c>
      <c r="K59">
        <v>3</v>
      </c>
      <c r="L59">
        <v>1</v>
      </c>
      <c r="M59" t="s">
        <v>43</v>
      </c>
      <c r="N59">
        <v>1</v>
      </c>
      <c r="O59" t="s">
        <v>41</v>
      </c>
      <c r="P59">
        <v>4014</v>
      </c>
      <c r="Q59">
        <v>3</v>
      </c>
      <c r="R59" t="s">
        <v>29</v>
      </c>
      <c r="S59">
        <v>15</v>
      </c>
      <c r="T59">
        <v>3</v>
      </c>
      <c r="U59">
        <v>3</v>
      </c>
      <c r="V59">
        <v>1</v>
      </c>
      <c r="W59">
        <v>4</v>
      </c>
      <c r="X59">
        <v>3</v>
      </c>
      <c r="Y59">
        <v>3</v>
      </c>
      <c r="Z59">
        <v>2</v>
      </c>
      <c r="AA59">
        <v>2</v>
      </c>
      <c r="AB59">
        <v>2</v>
      </c>
      <c r="AC59">
        <v>2</v>
      </c>
      <c r="AD59">
        <f>IF(HR_Data[[#This Row],[Attrition]]="Yes",1,0)</f>
        <v>0</v>
      </c>
      <c r="AE59" t="str">
        <f>IF(HR_Data[[#This Row],[Age]]&lt;=25,"18-25",IF(HR_Data[[#This Row],[Age]]&lt;=35,"26-35",IF(HR_Data[[#This Row],[Age]]&lt;=45,"36-45",IF(HR_Data[[#This Row],[Age]]&lt;=55,"46-55","55+"))))</f>
        <v>26-35</v>
      </c>
      <c r="AF59">
        <f>IF(HR_Data[[#This Row],[Age]]&lt;=25,1,IF(HR_Data[[#This Row],[Age]]&lt;=35,2,IF(HR_Data[[#This Row],[Age]]&lt;=45,3,IF(HR_Data[[#This Row],[Age]]&lt;=55,4,5))))</f>
        <v>2</v>
      </c>
      <c r="AG59" s="1" t="str">
        <f>IF(HR_Data[[#This Row],[MonthlyIncome]]&lt;3000,"&lt;3K",IF(HR_Data[[#This Row],[MonthlyIncome]]&lt;6000,"3K-6K",IF(HR_Data[[#This Row],[MonthlyIncome]]&lt;10000,"6K-10K","10K+")))</f>
        <v>3K-6K</v>
      </c>
      <c r="AH59" s="1">
        <f>IF(HR_Data[[#This Row],[MonthlyIncome]]&lt;3000,1,IF(HR_Data[[#This Row],[MonthlyIncome]]&lt;6000,2,IF(HR_Data[[#This Row],[MonthlyIncome]]&lt;10000,3,4)))</f>
        <v>2</v>
      </c>
      <c r="AI59" s="1" t="str">
        <f>IF(HR_Data[[#This Row],[YearsAtCompany]]&lt;=2,"0-2 Yrs",IF(HR_Data[[#This Row],[YearsAtCompany]]&lt;=5,"3-5 Yrs",IF(HR_Data[[#This Row],[YearsAtCompany]]&lt;=10,"6-10 Yrs","10+ Yrs")))</f>
        <v>0-2 Yrs</v>
      </c>
      <c r="AJ59" s="1">
        <f>IF(HR_Data[[#This Row],[YearsAtCompany]]&lt;=2,1,IF(HR_Data[[#This Row],[YearsAtCompany]]&lt;=5,2,IF(HR_Data[[#This Row],[YearsAtCompany]]&lt;=10,3,4)))</f>
        <v>1</v>
      </c>
      <c r="AK59" s="1" t="str">
        <f>CHOOSE(HR_Data[[#This Row],[Education]],"Below College","College","Bachelor","Master","Doctor")</f>
        <v>Master</v>
      </c>
      <c r="AL59" s="1" t="str">
        <f>CHOOSE(HR_Data[[#This Row],[JobSatisfaction]],"Low","Medium","High","Very High")</f>
        <v>Low</v>
      </c>
      <c r="AM59" s="1" t="str">
        <f>CHOOSE(HR_Data[[#This Row],[EnvironmentSatisfaction]],"Low","Medium","High","Very High")</f>
        <v>High</v>
      </c>
      <c r="AN59" s="1" t="str">
        <f>CHOOSE(HR_Data[[#This Row],[WorkLifeBalance]],"Bad","Good","Better","Best")</f>
        <v>Better</v>
      </c>
      <c r="AO59" s="1" t="str">
        <f>IF(HR_Data[[#This Row],[PercentSalaryHike]]&lt;=13,"11-13%",IF(HR_Data[[#This Row],[PercentSalaryHike]]&lt;=16,"14-16%",IF(HR_Data[[#This Row],[PercentSalaryHike]]&lt;=19,"17-19%","20-25%")))</f>
        <v>14-16%</v>
      </c>
      <c r="AP59" s="1">
        <f>IF(HR_Data[[#This Row],[PercentSalaryHike]]&lt;=13,1,IF(HR_Data[[#This Row],[PercentSalaryHike]]&lt;=16,2,IF(HR_Data[[#This Row],[PercentSalaryHike]]&lt;=19,3,4)))</f>
        <v>2</v>
      </c>
      <c r="AQ59" s="1" t="str">
        <f>IF(HR_Data[[#This Row],[DistanceFromHome]]&lt;=5,"1 to 5",IF(HR_Data[[#This Row],[DistanceFromHome]]&lt;=10,"6 to 10",IF(HR_Data[[#This Row],[DistanceFromHome]]&lt;=20,"11 to 20","21 to 29")))</f>
        <v>21 to 29</v>
      </c>
      <c r="AR59" s="1">
        <f>IF(HR_Data[[#This Row],[DistanceFromHome]]&lt;=5,1,IF(HR_Data[[#This Row],[DistanceFromHome]]&lt;=10,2,IF(HR_Data[[#This Row],[DistanceFromHome]]&lt;=20,3,4)))</f>
        <v>4</v>
      </c>
      <c r="AS59" s="1" t="str">
        <f>IF(HR_Data[[#This Row],[TotalWorkingYears]]&lt;=5,"0-5 Yrs",IF(HR_Data[[#This Row],[TotalWorkingYears]]&lt;=10,"6-10 Yrs",IF(HR_Data[[#This Row],[TotalWorkingYears]]&lt;=20,"11-20 Yrs","20+ Yrs")))</f>
        <v>0-5 Yrs</v>
      </c>
      <c r="AT59" s="1">
        <f>IF(HR_Data[[#This Row],[TotalWorkingYears]]&lt;=5,1,IF(HR_Data[[#This Row],[TotalWorkingYears]]&lt;=10,2,IF(HR_Data[[#This Row],[TotalWorkingYears]]&lt;=20,3,4)))</f>
        <v>1</v>
      </c>
    </row>
    <row r="60" spans="1:46" x14ac:dyDescent="0.25">
      <c r="A60">
        <v>31</v>
      </c>
      <c r="B60" t="s">
        <v>36</v>
      </c>
      <c r="C60" t="s">
        <v>30</v>
      </c>
      <c r="D60" t="s">
        <v>38</v>
      </c>
      <c r="E60">
        <v>7</v>
      </c>
      <c r="F60">
        <v>4</v>
      </c>
      <c r="G60" t="s">
        <v>32</v>
      </c>
      <c r="H60">
        <v>76</v>
      </c>
      <c r="I60">
        <v>4</v>
      </c>
      <c r="J60" t="s">
        <v>39</v>
      </c>
      <c r="K60">
        <v>3</v>
      </c>
      <c r="L60">
        <v>2</v>
      </c>
      <c r="M60" t="s">
        <v>43</v>
      </c>
      <c r="N60">
        <v>4</v>
      </c>
      <c r="O60" t="s">
        <v>45</v>
      </c>
      <c r="P60">
        <v>5915</v>
      </c>
      <c r="Q60">
        <v>3</v>
      </c>
      <c r="R60" t="s">
        <v>36</v>
      </c>
      <c r="S60">
        <v>22</v>
      </c>
      <c r="T60">
        <v>4</v>
      </c>
      <c r="U60">
        <v>4</v>
      </c>
      <c r="V60">
        <v>1</v>
      </c>
      <c r="W60">
        <v>10</v>
      </c>
      <c r="X60">
        <v>3</v>
      </c>
      <c r="Y60">
        <v>2</v>
      </c>
      <c r="Z60">
        <v>7</v>
      </c>
      <c r="AA60">
        <v>7</v>
      </c>
      <c r="AB60">
        <v>1</v>
      </c>
      <c r="AC60">
        <v>7</v>
      </c>
      <c r="AD60">
        <f>IF(HR_Data[[#This Row],[Attrition]]="Yes",1,0)</f>
        <v>0</v>
      </c>
      <c r="AE60" t="str">
        <f>IF(HR_Data[[#This Row],[Age]]&lt;=25,"18-25",IF(HR_Data[[#This Row],[Age]]&lt;=35,"26-35",IF(HR_Data[[#This Row],[Age]]&lt;=45,"36-45",IF(HR_Data[[#This Row],[Age]]&lt;=55,"46-55","55+"))))</f>
        <v>26-35</v>
      </c>
      <c r="AF60">
        <f>IF(HR_Data[[#This Row],[Age]]&lt;=25,1,IF(HR_Data[[#This Row],[Age]]&lt;=35,2,IF(HR_Data[[#This Row],[Age]]&lt;=45,3,IF(HR_Data[[#This Row],[Age]]&lt;=55,4,5))))</f>
        <v>2</v>
      </c>
      <c r="AG60" s="1" t="str">
        <f>IF(HR_Data[[#This Row],[MonthlyIncome]]&lt;3000,"&lt;3K",IF(HR_Data[[#This Row],[MonthlyIncome]]&lt;6000,"3K-6K",IF(HR_Data[[#This Row],[MonthlyIncome]]&lt;10000,"6K-10K","10K+")))</f>
        <v>3K-6K</v>
      </c>
      <c r="AH60" s="1">
        <f>IF(HR_Data[[#This Row],[MonthlyIncome]]&lt;3000,1,IF(HR_Data[[#This Row],[MonthlyIncome]]&lt;6000,2,IF(HR_Data[[#This Row],[MonthlyIncome]]&lt;10000,3,4)))</f>
        <v>2</v>
      </c>
      <c r="AI60" s="1" t="str">
        <f>IF(HR_Data[[#This Row],[YearsAtCompany]]&lt;=2,"0-2 Yrs",IF(HR_Data[[#This Row],[YearsAtCompany]]&lt;=5,"3-5 Yrs",IF(HR_Data[[#This Row],[YearsAtCompany]]&lt;=10,"6-10 Yrs","10+ Yrs")))</f>
        <v>6-10 Yrs</v>
      </c>
      <c r="AJ60" s="1">
        <f>IF(HR_Data[[#This Row],[YearsAtCompany]]&lt;=2,1,IF(HR_Data[[#This Row],[YearsAtCompany]]&lt;=5,2,IF(HR_Data[[#This Row],[YearsAtCompany]]&lt;=10,3,4)))</f>
        <v>3</v>
      </c>
      <c r="AK60" s="1" t="str">
        <f>CHOOSE(HR_Data[[#This Row],[Education]],"Below College","College","Bachelor","Master","Doctor")</f>
        <v>Master</v>
      </c>
      <c r="AL60" s="1" t="str">
        <f>CHOOSE(HR_Data[[#This Row],[JobSatisfaction]],"Low","Medium","High","Very High")</f>
        <v>Very High</v>
      </c>
      <c r="AM60" s="1" t="str">
        <f>CHOOSE(HR_Data[[#This Row],[EnvironmentSatisfaction]],"Low","Medium","High","Very High")</f>
        <v>Very High</v>
      </c>
      <c r="AN60" s="1" t="str">
        <f>CHOOSE(HR_Data[[#This Row],[WorkLifeBalance]],"Bad","Good","Better","Best")</f>
        <v>Good</v>
      </c>
      <c r="AO60" s="1" t="str">
        <f>IF(HR_Data[[#This Row],[PercentSalaryHike]]&lt;=13,"11-13%",IF(HR_Data[[#This Row],[PercentSalaryHike]]&lt;=16,"14-16%",IF(HR_Data[[#This Row],[PercentSalaryHike]]&lt;=19,"17-19%","20-25%")))</f>
        <v>20-25%</v>
      </c>
      <c r="AP60" s="1">
        <f>IF(HR_Data[[#This Row],[PercentSalaryHike]]&lt;=13,1,IF(HR_Data[[#This Row],[PercentSalaryHike]]&lt;=16,2,IF(HR_Data[[#This Row],[PercentSalaryHike]]&lt;=19,3,4)))</f>
        <v>4</v>
      </c>
      <c r="AQ60" s="1" t="str">
        <f>IF(HR_Data[[#This Row],[DistanceFromHome]]&lt;=5,"1 to 5",IF(HR_Data[[#This Row],[DistanceFromHome]]&lt;=10,"6 to 10",IF(HR_Data[[#This Row],[DistanceFromHome]]&lt;=20,"11 to 20","21 to 29")))</f>
        <v>6 to 10</v>
      </c>
      <c r="AR60" s="1">
        <f>IF(HR_Data[[#This Row],[DistanceFromHome]]&lt;=5,1,IF(HR_Data[[#This Row],[DistanceFromHome]]&lt;=10,2,IF(HR_Data[[#This Row],[DistanceFromHome]]&lt;=20,3,4)))</f>
        <v>2</v>
      </c>
      <c r="AS60" s="1" t="str">
        <f>IF(HR_Data[[#This Row],[TotalWorkingYears]]&lt;=5,"0-5 Yrs",IF(HR_Data[[#This Row],[TotalWorkingYears]]&lt;=10,"6-10 Yrs",IF(HR_Data[[#This Row],[TotalWorkingYears]]&lt;=20,"11-20 Yrs","20+ Yrs")))</f>
        <v>6-10 Yrs</v>
      </c>
      <c r="AT60" s="1">
        <f>IF(HR_Data[[#This Row],[TotalWorkingYears]]&lt;=5,1,IF(HR_Data[[#This Row],[TotalWorkingYears]]&lt;=10,2,IF(HR_Data[[#This Row],[TotalWorkingYears]]&lt;=20,3,4)))</f>
        <v>2</v>
      </c>
    </row>
    <row r="61" spans="1:46" x14ac:dyDescent="0.25">
      <c r="A61">
        <v>37</v>
      </c>
      <c r="B61" t="s">
        <v>36</v>
      </c>
      <c r="C61" t="s">
        <v>30</v>
      </c>
      <c r="D61" t="s">
        <v>38</v>
      </c>
      <c r="E61">
        <v>1</v>
      </c>
      <c r="F61">
        <v>4</v>
      </c>
      <c r="G61" t="s">
        <v>32</v>
      </c>
      <c r="H61">
        <v>77</v>
      </c>
      <c r="I61">
        <v>1</v>
      </c>
      <c r="J61" t="s">
        <v>39</v>
      </c>
      <c r="K61">
        <v>2</v>
      </c>
      <c r="L61">
        <v>2</v>
      </c>
      <c r="M61" t="s">
        <v>46</v>
      </c>
      <c r="N61">
        <v>3</v>
      </c>
      <c r="O61" t="s">
        <v>45</v>
      </c>
      <c r="P61">
        <v>5993</v>
      </c>
      <c r="Q61">
        <v>1</v>
      </c>
      <c r="R61" t="s">
        <v>36</v>
      </c>
      <c r="S61">
        <v>18</v>
      </c>
      <c r="T61">
        <v>3</v>
      </c>
      <c r="U61">
        <v>3</v>
      </c>
      <c r="V61">
        <v>1</v>
      </c>
      <c r="W61">
        <v>7</v>
      </c>
      <c r="X61">
        <v>2</v>
      </c>
      <c r="Y61">
        <v>4</v>
      </c>
      <c r="Z61">
        <v>7</v>
      </c>
      <c r="AA61">
        <v>5</v>
      </c>
      <c r="AB61">
        <v>0</v>
      </c>
      <c r="AC61">
        <v>7</v>
      </c>
      <c r="AD61">
        <f>IF(HR_Data[[#This Row],[Attrition]]="Yes",1,0)</f>
        <v>0</v>
      </c>
      <c r="AE61" t="str">
        <f>IF(HR_Data[[#This Row],[Age]]&lt;=25,"18-25",IF(HR_Data[[#This Row],[Age]]&lt;=35,"26-35",IF(HR_Data[[#This Row],[Age]]&lt;=45,"36-45",IF(HR_Data[[#This Row],[Age]]&lt;=55,"46-55","55+"))))</f>
        <v>36-45</v>
      </c>
      <c r="AF61">
        <f>IF(HR_Data[[#This Row],[Age]]&lt;=25,1,IF(HR_Data[[#This Row],[Age]]&lt;=35,2,IF(HR_Data[[#This Row],[Age]]&lt;=45,3,IF(HR_Data[[#This Row],[Age]]&lt;=55,4,5))))</f>
        <v>3</v>
      </c>
      <c r="AG61" s="1" t="str">
        <f>IF(HR_Data[[#This Row],[MonthlyIncome]]&lt;3000,"&lt;3K",IF(HR_Data[[#This Row],[MonthlyIncome]]&lt;6000,"3K-6K",IF(HR_Data[[#This Row],[MonthlyIncome]]&lt;10000,"6K-10K","10K+")))</f>
        <v>3K-6K</v>
      </c>
      <c r="AH61" s="1">
        <f>IF(HR_Data[[#This Row],[MonthlyIncome]]&lt;3000,1,IF(HR_Data[[#This Row],[MonthlyIncome]]&lt;6000,2,IF(HR_Data[[#This Row],[MonthlyIncome]]&lt;10000,3,4)))</f>
        <v>2</v>
      </c>
      <c r="AI61" s="1" t="str">
        <f>IF(HR_Data[[#This Row],[YearsAtCompany]]&lt;=2,"0-2 Yrs",IF(HR_Data[[#This Row],[YearsAtCompany]]&lt;=5,"3-5 Yrs",IF(HR_Data[[#This Row],[YearsAtCompany]]&lt;=10,"6-10 Yrs","10+ Yrs")))</f>
        <v>6-10 Yrs</v>
      </c>
      <c r="AJ61" s="1">
        <f>IF(HR_Data[[#This Row],[YearsAtCompany]]&lt;=2,1,IF(HR_Data[[#This Row],[YearsAtCompany]]&lt;=5,2,IF(HR_Data[[#This Row],[YearsAtCompany]]&lt;=10,3,4)))</f>
        <v>3</v>
      </c>
      <c r="AK61" s="1" t="str">
        <f>CHOOSE(HR_Data[[#This Row],[Education]],"Below College","College","Bachelor","Master","Doctor")</f>
        <v>Master</v>
      </c>
      <c r="AL61" s="1" t="str">
        <f>CHOOSE(HR_Data[[#This Row],[JobSatisfaction]],"Low","Medium","High","Very High")</f>
        <v>High</v>
      </c>
      <c r="AM61" s="1" t="str">
        <f>CHOOSE(HR_Data[[#This Row],[EnvironmentSatisfaction]],"Low","Medium","High","Very High")</f>
        <v>Low</v>
      </c>
      <c r="AN61" s="1" t="str">
        <f>CHOOSE(HR_Data[[#This Row],[WorkLifeBalance]],"Bad","Good","Better","Best")</f>
        <v>Best</v>
      </c>
      <c r="AO61" s="1" t="str">
        <f>IF(HR_Data[[#This Row],[PercentSalaryHike]]&lt;=13,"11-13%",IF(HR_Data[[#This Row],[PercentSalaryHike]]&lt;=16,"14-16%",IF(HR_Data[[#This Row],[PercentSalaryHike]]&lt;=19,"17-19%","20-25%")))</f>
        <v>17-19%</v>
      </c>
      <c r="AP61" s="1">
        <f>IF(HR_Data[[#This Row],[PercentSalaryHike]]&lt;=13,1,IF(HR_Data[[#This Row],[PercentSalaryHike]]&lt;=16,2,IF(HR_Data[[#This Row],[PercentSalaryHike]]&lt;=19,3,4)))</f>
        <v>3</v>
      </c>
      <c r="AQ61" s="1" t="str">
        <f>IF(HR_Data[[#This Row],[DistanceFromHome]]&lt;=5,"1 to 5",IF(HR_Data[[#This Row],[DistanceFromHome]]&lt;=10,"6 to 10",IF(HR_Data[[#This Row],[DistanceFromHome]]&lt;=20,"11 to 20","21 to 29")))</f>
        <v>1 to 5</v>
      </c>
      <c r="AR61" s="1">
        <f>IF(HR_Data[[#This Row],[DistanceFromHome]]&lt;=5,1,IF(HR_Data[[#This Row],[DistanceFromHome]]&lt;=10,2,IF(HR_Data[[#This Row],[DistanceFromHome]]&lt;=20,3,4)))</f>
        <v>1</v>
      </c>
      <c r="AS61" s="1" t="str">
        <f>IF(HR_Data[[#This Row],[TotalWorkingYears]]&lt;=5,"0-5 Yrs",IF(HR_Data[[#This Row],[TotalWorkingYears]]&lt;=10,"6-10 Yrs",IF(HR_Data[[#This Row],[TotalWorkingYears]]&lt;=20,"11-20 Yrs","20+ Yrs")))</f>
        <v>6-10 Yrs</v>
      </c>
      <c r="AT61" s="1">
        <f>IF(HR_Data[[#This Row],[TotalWorkingYears]]&lt;=5,1,IF(HR_Data[[#This Row],[TotalWorkingYears]]&lt;=10,2,IF(HR_Data[[#This Row],[TotalWorkingYears]]&lt;=20,3,4)))</f>
        <v>2</v>
      </c>
    </row>
    <row r="62" spans="1:46" x14ac:dyDescent="0.25">
      <c r="A62">
        <v>32</v>
      </c>
      <c r="B62" t="s">
        <v>36</v>
      </c>
      <c r="C62" t="s">
        <v>30</v>
      </c>
      <c r="D62" t="s">
        <v>38</v>
      </c>
      <c r="E62">
        <v>1</v>
      </c>
      <c r="F62">
        <v>3</v>
      </c>
      <c r="G62" t="s">
        <v>44</v>
      </c>
      <c r="H62">
        <v>78</v>
      </c>
      <c r="I62">
        <v>1</v>
      </c>
      <c r="J62" t="s">
        <v>39</v>
      </c>
      <c r="K62">
        <v>3</v>
      </c>
      <c r="L62">
        <v>2</v>
      </c>
      <c r="M62" t="s">
        <v>46</v>
      </c>
      <c r="N62">
        <v>4</v>
      </c>
      <c r="O62" t="s">
        <v>41</v>
      </c>
      <c r="P62">
        <v>6162</v>
      </c>
      <c r="Q62">
        <v>1</v>
      </c>
      <c r="R62" t="s">
        <v>29</v>
      </c>
      <c r="S62">
        <v>22</v>
      </c>
      <c r="T62">
        <v>4</v>
      </c>
      <c r="U62">
        <v>2</v>
      </c>
      <c r="V62">
        <v>1</v>
      </c>
      <c r="W62">
        <v>9</v>
      </c>
      <c r="X62">
        <v>3</v>
      </c>
      <c r="Y62">
        <v>3</v>
      </c>
      <c r="Z62">
        <v>9</v>
      </c>
      <c r="AA62">
        <v>8</v>
      </c>
      <c r="AB62">
        <v>7</v>
      </c>
      <c r="AC62">
        <v>8</v>
      </c>
      <c r="AD62">
        <f>IF(HR_Data[[#This Row],[Attrition]]="Yes",1,0)</f>
        <v>0</v>
      </c>
      <c r="AE62" t="str">
        <f>IF(HR_Data[[#This Row],[Age]]&lt;=25,"18-25",IF(HR_Data[[#This Row],[Age]]&lt;=35,"26-35",IF(HR_Data[[#This Row],[Age]]&lt;=45,"36-45",IF(HR_Data[[#This Row],[Age]]&lt;=55,"46-55","55+"))))</f>
        <v>26-35</v>
      </c>
      <c r="AF62">
        <f>IF(HR_Data[[#This Row],[Age]]&lt;=25,1,IF(HR_Data[[#This Row],[Age]]&lt;=35,2,IF(HR_Data[[#This Row],[Age]]&lt;=45,3,IF(HR_Data[[#This Row],[Age]]&lt;=55,4,5))))</f>
        <v>2</v>
      </c>
      <c r="AG62" s="1" t="str">
        <f>IF(HR_Data[[#This Row],[MonthlyIncome]]&lt;3000,"&lt;3K",IF(HR_Data[[#This Row],[MonthlyIncome]]&lt;6000,"3K-6K",IF(HR_Data[[#This Row],[MonthlyIncome]]&lt;10000,"6K-10K","10K+")))</f>
        <v>6K-10K</v>
      </c>
      <c r="AH62" s="1">
        <f>IF(HR_Data[[#This Row],[MonthlyIncome]]&lt;3000,1,IF(HR_Data[[#This Row],[MonthlyIncome]]&lt;6000,2,IF(HR_Data[[#This Row],[MonthlyIncome]]&lt;10000,3,4)))</f>
        <v>3</v>
      </c>
      <c r="AI62" s="1" t="str">
        <f>IF(HR_Data[[#This Row],[YearsAtCompany]]&lt;=2,"0-2 Yrs",IF(HR_Data[[#This Row],[YearsAtCompany]]&lt;=5,"3-5 Yrs",IF(HR_Data[[#This Row],[YearsAtCompany]]&lt;=10,"6-10 Yrs","10+ Yrs")))</f>
        <v>6-10 Yrs</v>
      </c>
      <c r="AJ62" s="1">
        <f>IF(HR_Data[[#This Row],[YearsAtCompany]]&lt;=2,1,IF(HR_Data[[#This Row],[YearsAtCompany]]&lt;=5,2,IF(HR_Data[[#This Row],[YearsAtCompany]]&lt;=10,3,4)))</f>
        <v>3</v>
      </c>
      <c r="AK62" s="1" t="str">
        <f>CHOOSE(HR_Data[[#This Row],[Education]],"Below College","College","Bachelor","Master","Doctor")</f>
        <v>Bachelor</v>
      </c>
      <c r="AL62" s="1" t="str">
        <f>CHOOSE(HR_Data[[#This Row],[JobSatisfaction]],"Low","Medium","High","Very High")</f>
        <v>Very High</v>
      </c>
      <c r="AM62" s="1" t="str">
        <f>CHOOSE(HR_Data[[#This Row],[EnvironmentSatisfaction]],"Low","Medium","High","Very High")</f>
        <v>Low</v>
      </c>
      <c r="AN62" s="1" t="str">
        <f>CHOOSE(HR_Data[[#This Row],[WorkLifeBalance]],"Bad","Good","Better","Best")</f>
        <v>Better</v>
      </c>
      <c r="AO62" s="1" t="str">
        <f>IF(HR_Data[[#This Row],[PercentSalaryHike]]&lt;=13,"11-13%",IF(HR_Data[[#This Row],[PercentSalaryHike]]&lt;=16,"14-16%",IF(HR_Data[[#This Row],[PercentSalaryHike]]&lt;=19,"17-19%","20-25%")))</f>
        <v>20-25%</v>
      </c>
      <c r="AP62" s="1">
        <f>IF(HR_Data[[#This Row],[PercentSalaryHike]]&lt;=13,1,IF(HR_Data[[#This Row],[PercentSalaryHike]]&lt;=16,2,IF(HR_Data[[#This Row],[PercentSalaryHike]]&lt;=19,3,4)))</f>
        <v>4</v>
      </c>
      <c r="AQ62" s="1" t="str">
        <f>IF(HR_Data[[#This Row],[DistanceFromHome]]&lt;=5,"1 to 5",IF(HR_Data[[#This Row],[DistanceFromHome]]&lt;=10,"6 to 10",IF(HR_Data[[#This Row],[DistanceFromHome]]&lt;=20,"11 to 20","21 to 29")))</f>
        <v>1 to 5</v>
      </c>
      <c r="AR62" s="1">
        <f>IF(HR_Data[[#This Row],[DistanceFromHome]]&lt;=5,1,IF(HR_Data[[#This Row],[DistanceFromHome]]&lt;=10,2,IF(HR_Data[[#This Row],[DistanceFromHome]]&lt;=20,3,4)))</f>
        <v>1</v>
      </c>
      <c r="AS62" s="1" t="str">
        <f>IF(HR_Data[[#This Row],[TotalWorkingYears]]&lt;=5,"0-5 Yrs",IF(HR_Data[[#This Row],[TotalWorkingYears]]&lt;=10,"6-10 Yrs",IF(HR_Data[[#This Row],[TotalWorkingYears]]&lt;=20,"11-20 Yrs","20+ Yrs")))</f>
        <v>6-10 Yrs</v>
      </c>
      <c r="AT62" s="1">
        <f>IF(HR_Data[[#This Row],[TotalWorkingYears]]&lt;=5,1,IF(HR_Data[[#This Row],[TotalWorkingYears]]&lt;=10,2,IF(HR_Data[[#This Row],[TotalWorkingYears]]&lt;=20,3,4)))</f>
        <v>2</v>
      </c>
    </row>
    <row r="63" spans="1:46" x14ac:dyDescent="0.25">
      <c r="A63">
        <v>38</v>
      </c>
      <c r="B63" t="s">
        <v>36</v>
      </c>
      <c r="C63" t="s">
        <v>37</v>
      </c>
      <c r="D63" t="s">
        <v>38</v>
      </c>
      <c r="E63">
        <v>29</v>
      </c>
      <c r="F63">
        <v>5</v>
      </c>
      <c r="G63" t="s">
        <v>32</v>
      </c>
      <c r="H63">
        <v>79</v>
      </c>
      <c r="I63">
        <v>4</v>
      </c>
      <c r="J63" t="s">
        <v>33</v>
      </c>
      <c r="K63">
        <v>3</v>
      </c>
      <c r="L63">
        <v>2</v>
      </c>
      <c r="M63" t="s">
        <v>43</v>
      </c>
      <c r="N63">
        <v>4</v>
      </c>
      <c r="O63" t="s">
        <v>35</v>
      </c>
      <c r="P63">
        <v>2406</v>
      </c>
      <c r="Q63">
        <v>1</v>
      </c>
      <c r="R63" t="s">
        <v>36</v>
      </c>
      <c r="S63">
        <v>11</v>
      </c>
      <c r="T63">
        <v>3</v>
      </c>
      <c r="U63">
        <v>4</v>
      </c>
      <c r="V63">
        <v>0</v>
      </c>
      <c r="W63">
        <v>10</v>
      </c>
      <c r="X63">
        <v>2</v>
      </c>
      <c r="Y63">
        <v>3</v>
      </c>
      <c r="Z63">
        <v>10</v>
      </c>
      <c r="AA63">
        <v>3</v>
      </c>
      <c r="AB63">
        <v>9</v>
      </c>
      <c r="AC63">
        <v>9</v>
      </c>
      <c r="AD63">
        <f>IF(HR_Data[[#This Row],[Attrition]]="Yes",1,0)</f>
        <v>0</v>
      </c>
      <c r="AE63" t="str">
        <f>IF(HR_Data[[#This Row],[Age]]&lt;=25,"18-25",IF(HR_Data[[#This Row],[Age]]&lt;=35,"26-35",IF(HR_Data[[#This Row],[Age]]&lt;=45,"36-45",IF(HR_Data[[#This Row],[Age]]&lt;=55,"46-55","55+"))))</f>
        <v>36-45</v>
      </c>
      <c r="AF63">
        <f>IF(HR_Data[[#This Row],[Age]]&lt;=25,1,IF(HR_Data[[#This Row],[Age]]&lt;=35,2,IF(HR_Data[[#This Row],[Age]]&lt;=45,3,IF(HR_Data[[#This Row],[Age]]&lt;=55,4,5))))</f>
        <v>3</v>
      </c>
      <c r="AG63" s="1" t="str">
        <f>IF(HR_Data[[#This Row],[MonthlyIncome]]&lt;3000,"&lt;3K",IF(HR_Data[[#This Row],[MonthlyIncome]]&lt;6000,"3K-6K",IF(HR_Data[[#This Row],[MonthlyIncome]]&lt;10000,"6K-10K","10K+")))</f>
        <v>&lt;3K</v>
      </c>
      <c r="AH63" s="1">
        <f>IF(HR_Data[[#This Row],[MonthlyIncome]]&lt;3000,1,IF(HR_Data[[#This Row],[MonthlyIncome]]&lt;6000,2,IF(HR_Data[[#This Row],[MonthlyIncome]]&lt;10000,3,4)))</f>
        <v>1</v>
      </c>
      <c r="AI63" s="1" t="str">
        <f>IF(HR_Data[[#This Row],[YearsAtCompany]]&lt;=2,"0-2 Yrs",IF(HR_Data[[#This Row],[YearsAtCompany]]&lt;=5,"3-5 Yrs",IF(HR_Data[[#This Row],[YearsAtCompany]]&lt;=10,"6-10 Yrs","10+ Yrs")))</f>
        <v>6-10 Yrs</v>
      </c>
      <c r="AJ63" s="1">
        <f>IF(HR_Data[[#This Row],[YearsAtCompany]]&lt;=2,1,IF(HR_Data[[#This Row],[YearsAtCompany]]&lt;=5,2,IF(HR_Data[[#This Row],[YearsAtCompany]]&lt;=10,3,4)))</f>
        <v>3</v>
      </c>
      <c r="AK63" s="1" t="str">
        <f>CHOOSE(HR_Data[[#This Row],[Education]],"Below College","College","Bachelor","Master","Doctor")</f>
        <v>Doctor</v>
      </c>
      <c r="AL63" s="1" t="str">
        <f>CHOOSE(HR_Data[[#This Row],[JobSatisfaction]],"Low","Medium","High","Very High")</f>
        <v>Very High</v>
      </c>
      <c r="AM63" s="1" t="str">
        <f>CHOOSE(HR_Data[[#This Row],[EnvironmentSatisfaction]],"Low","Medium","High","Very High")</f>
        <v>Very High</v>
      </c>
      <c r="AN63" s="1" t="str">
        <f>CHOOSE(HR_Data[[#This Row],[WorkLifeBalance]],"Bad","Good","Better","Best")</f>
        <v>Better</v>
      </c>
      <c r="AO63" s="1" t="str">
        <f>IF(HR_Data[[#This Row],[PercentSalaryHike]]&lt;=13,"11-13%",IF(HR_Data[[#This Row],[PercentSalaryHike]]&lt;=16,"14-16%",IF(HR_Data[[#This Row],[PercentSalaryHike]]&lt;=19,"17-19%","20-25%")))</f>
        <v>11-13%</v>
      </c>
      <c r="AP63" s="1">
        <f>IF(HR_Data[[#This Row],[PercentSalaryHike]]&lt;=13,1,IF(HR_Data[[#This Row],[PercentSalaryHike]]&lt;=16,2,IF(HR_Data[[#This Row],[PercentSalaryHike]]&lt;=19,3,4)))</f>
        <v>1</v>
      </c>
      <c r="AQ63" s="1" t="str">
        <f>IF(HR_Data[[#This Row],[DistanceFromHome]]&lt;=5,"1 to 5",IF(HR_Data[[#This Row],[DistanceFromHome]]&lt;=10,"6 to 10",IF(HR_Data[[#This Row],[DistanceFromHome]]&lt;=20,"11 to 20","21 to 29")))</f>
        <v>21 to 29</v>
      </c>
      <c r="AR63" s="1">
        <f>IF(HR_Data[[#This Row],[DistanceFromHome]]&lt;=5,1,IF(HR_Data[[#This Row],[DistanceFromHome]]&lt;=10,2,IF(HR_Data[[#This Row],[DistanceFromHome]]&lt;=20,3,4)))</f>
        <v>4</v>
      </c>
      <c r="AS63" s="1" t="str">
        <f>IF(HR_Data[[#This Row],[TotalWorkingYears]]&lt;=5,"0-5 Yrs",IF(HR_Data[[#This Row],[TotalWorkingYears]]&lt;=10,"6-10 Yrs",IF(HR_Data[[#This Row],[TotalWorkingYears]]&lt;=20,"11-20 Yrs","20+ Yrs")))</f>
        <v>6-10 Yrs</v>
      </c>
      <c r="AT63" s="1">
        <f>IF(HR_Data[[#This Row],[TotalWorkingYears]]&lt;=5,1,IF(HR_Data[[#This Row],[TotalWorkingYears]]&lt;=10,2,IF(HR_Data[[#This Row],[TotalWorkingYears]]&lt;=20,3,4)))</f>
        <v>2</v>
      </c>
    </row>
    <row r="64" spans="1:46" x14ac:dyDescent="0.25">
      <c r="A64">
        <v>50</v>
      </c>
      <c r="B64" t="s">
        <v>36</v>
      </c>
      <c r="C64" t="s">
        <v>30</v>
      </c>
      <c r="D64" t="s">
        <v>38</v>
      </c>
      <c r="E64">
        <v>7</v>
      </c>
      <c r="F64">
        <v>2</v>
      </c>
      <c r="G64" t="s">
        <v>44</v>
      </c>
      <c r="H64">
        <v>80</v>
      </c>
      <c r="I64">
        <v>2</v>
      </c>
      <c r="J64" t="s">
        <v>33</v>
      </c>
      <c r="K64">
        <v>2</v>
      </c>
      <c r="L64">
        <v>5</v>
      </c>
      <c r="M64" t="s">
        <v>51</v>
      </c>
      <c r="N64">
        <v>3</v>
      </c>
      <c r="O64" t="s">
        <v>45</v>
      </c>
      <c r="P64">
        <v>18740</v>
      </c>
      <c r="Q64">
        <v>5</v>
      </c>
      <c r="R64" t="s">
        <v>29</v>
      </c>
      <c r="S64">
        <v>12</v>
      </c>
      <c r="T64">
        <v>3</v>
      </c>
      <c r="U64">
        <v>4</v>
      </c>
      <c r="V64">
        <v>1</v>
      </c>
      <c r="W64">
        <v>29</v>
      </c>
      <c r="X64">
        <v>2</v>
      </c>
      <c r="Y64">
        <v>2</v>
      </c>
      <c r="Z64">
        <v>27</v>
      </c>
      <c r="AA64">
        <v>3</v>
      </c>
      <c r="AB64">
        <v>13</v>
      </c>
      <c r="AC64">
        <v>8</v>
      </c>
      <c r="AD64">
        <f>IF(HR_Data[[#This Row],[Attrition]]="Yes",1,0)</f>
        <v>0</v>
      </c>
      <c r="AE64" t="str">
        <f>IF(HR_Data[[#This Row],[Age]]&lt;=25,"18-25",IF(HR_Data[[#This Row],[Age]]&lt;=35,"26-35",IF(HR_Data[[#This Row],[Age]]&lt;=45,"36-45",IF(HR_Data[[#This Row],[Age]]&lt;=55,"46-55","55+"))))</f>
        <v>46-55</v>
      </c>
      <c r="AF64">
        <f>IF(HR_Data[[#This Row],[Age]]&lt;=25,1,IF(HR_Data[[#This Row],[Age]]&lt;=35,2,IF(HR_Data[[#This Row],[Age]]&lt;=45,3,IF(HR_Data[[#This Row],[Age]]&lt;=55,4,5))))</f>
        <v>4</v>
      </c>
      <c r="AG64" s="1" t="str">
        <f>IF(HR_Data[[#This Row],[MonthlyIncome]]&lt;3000,"&lt;3K",IF(HR_Data[[#This Row],[MonthlyIncome]]&lt;6000,"3K-6K",IF(HR_Data[[#This Row],[MonthlyIncome]]&lt;10000,"6K-10K","10K+")))</f>
        <v>10K+</v>
      </c>
      <c r="AH64" s="1">
        <f>IF(HR_Data[[#This Row],[MonthlyIncome]]&lt;3000,1,IF(HR_Data[[#This Row],[MonthlyIncome]]&lt;6000,2,IF(HR_Data[[#This Row],[MonthlyIncome]]&lt;10000,3,4)))</f>
        <v>4</v>
      </c>
      <c r="AI64" s="1" t="str">
        <f>IF(HR_Data[[#This Row],[YearsAtCompany]]&lt;=2,"0-2 Yrs",IF(HR_Data[[#This Row],[YearsAtCompany]]&lt;=5,"3-5 Yrs",IF(HR_Data[[#This Row],[YearsAtCompany]]&lt;=10,"6-10 Yrs","10+ Yrs")))</f>
        <v>10+ Yrs</v>
      </c>
      <c r="AJ64" s="1">
        <f>IF(HR_Data[[#This Row],[YearsAtCompany]]&lt;=2,1,IF(HR_Data[[#This Row],[YearsAtCompany]]&lt;=5,2,IF(HR_Data[[#This Row],[YearsAtCompany]]&lt;=10,3,4)))</f>
        <v>4</v>
      </c>
      <c r="AK64" s="1" t="str">
        <f>CHOOSE(HR_Data[[#This Row],[Education]],"Below College","College","Bachelor","Master","Doctor")</f>
        <v>College</v>
      </c>
      <c r="AL64" s="1" t="str">
        <f>CHOOSE(HR_Data[[#This Row],[JobSatisfaction]],"Low","Medium","High","Very High")</f>
        <v>High</v>
      </c>
      <c r="AM64" s="1" t="str">
        <f>CHOOSE(HR_Data[[#This Row],[EnvironmentSatisfaction]],"Low","Medium","High","Very High")</f>
        <v>Medium</v>
      </c>
      <c r="AN64" s="1" t="str">
        <f>CHOOSE(HR_Data[[#This Row],[WorkLifeBalance]],"Bad","Good","Better","Best")</f>
        <v>Good</v>
      </c>
      <c r="AO64" s="1" t="str">
        <f>IF(HR_Data[[#This Row],[PercentSalaryHike]]&lt;=13,"11-13%",IF(HR_Data[[#This Row],[PercentSalaryHike]]&lt;=16,"14-16%",IF(HR_Data[[#This Row],[PercentSalaryHike]]&lt;=19,"17-19%","20-25%")))</f>
        <v>11-13%</v>
      </c>
      <c r="AP64" s="1">
        <f>IF(HR_Data[[#This Row],[PercentSalaryHike]]&lt;=13,1,IF(HR_Data[[#This Row],[PercentSalaryHike]]&lt;=16,2,IF(HR_Data[[#This Row],[PercentSalaryHike]]&lt;=19,3,4)))</f>
        <v>1</v>
      </c>
      <c r="AQ64" s="1" t="str">
        <f>IF(HR_Data[[#This Row],[DistanceFromHome]]&lt;=5,"1 to 5",IF(HR_Data[[#This Row],[DistanceFromHome]]&lt;=10,"6 to 10",IF(HR_Data[[#This Row],[DistanceFromHome]]&lt;=20,"11 to 20","21 to 29")))</f>
        <v>6 to 10</v>
      </c>
      <c r="AR64" s="1">
        <f>IF(HR_Data[[#This Row],[DistanceFromHome]]&lt;=5,1,IF(HR_Data[[#This Row],[DistanceFromHome]]&lt;=10,2,IF(HR_Data[[#This Row],[DistanceFromHome]]&lt;=20,3,4)))</f>
        <v>2</v>
      </c>
      <c r="AS64" s="1" t="str">
        <f>IF(HR_Data[[#This Row],[TotalWorkingYears]]&lt;=5,"0-5 Yrs",IF(HR_Data[[#This Row],[TotalWorkingYears]]&lt;=10,"6-10 Yrs",IF(HR_Data[[#This Row],[TotalWorkingYears]]&lt;=20,"11-20 Yrs","20+ Yrs")))</f>
        <v>20+ Yrs</v>
      </c>
      <c r="AT64" s="1">
        <f>IF(HR_Data[[#This Row],[TotalWorkingYears]]&lt;=5,1,IF(HR_Data[[#This Row],[TotalWorkingYears]]&lt;=10,2,IF(HR_Data[[#This Row],[TotalWorkingYears]]&lt;=20,3,4)))</f>
        <v>4</v>
      </c>
    </row>
    <row r="65" spans="1:46" x14ac:dyDescent="0.25">
      <c r="A65">
        <v>59</v>
      </c>
      <c r="B65" t="s">
        <v>36</v>
      </c>
      <c r="C65" t="s">
        <v>30</v>
      </c>
      <c r="D65" t="s">
        <v>31</v>
      </c>
      <c r="E65">
        <v>25</v>
      </c>
      <c r="F65">
        <v>3</v>
      </c>
      <c r="G65" t="s">
        <v>32</v>
      </c>
      <c r="H65">
        <v>81</v>
      </c>
      <c r="I65">
        <v>1</v>
      </c>
      <c r="J65" t="s">
        <v>33</v>
      </c>
      <c r="K65">
        <v>3</v>
      </c>
      <c r="L65">
        <v>3</v>
      </c>
      <c r="M65" t="s">
        <v>34</v>
      </c>
      <c r="N65">
        <v>1</v>
      </c>
      <c r="O65" t="s">
        <v>35</v>
      </c>
      <c r="P65">
        <v>7637</v>
      </c>
      <c r="Q65">
        <v>7</v>
      </c>
      <c r="R65" t="s">
        <v>36</v>
      </c>
      <c r="S65">
        <v>11</v>
      </c>
      <c r="T65">
        <v>3</v>
      </c>
      <c r="U65">
        <v>4</v>
      </c>
      <c r="V65">
        <v>0</v>
      </c>
      <c r="W65">
        <v>28</v>
      </c>
      <c r="X65">
        <v>3</v>
      </c>
      <c r="Y65">
        <v>2</v>
      </c>
      <c r="Z65">
        <v>21</v>
      </c>
      <c r="AA65">
        <v>16</v>
      </c>
      <c r="AB65">
        <v>7</v>
      </c>
      <c r="AC65">
        <v>9</v>
      </c>
      <c r="AD65">
        <f>IF(HR_Data[[#This Row],[Attrition]]="Yes",1,0)</f>
        <v>0</v>
      </c>
      <c r="AE65" t="str">
        <f>IF(HR_Data[[#This Row],[Age]]&lt;=25,"18-25",IF(HR_Data[[#This Row],[Age]]&lt;=35,"26-35",IF(HR_Data[[#This Row],[Age]]&lt;=45,"36-45",IF(HR_Data[[#This Row],[Age]]&lt;=55,"46-55","55+"))))</f>
        <v>55+</v>
      </c>
      <c r="AF65">
        <f>IF(HR_Data[[#This Row],[Age]]&lt;=25,1,IF(HR_Data[[#This Row],[Age]]&lt;=35,2,IF(HR_Data[[#This Row],[Age]]&lt;=45,3,IF(HR_Data[[#This Row],[Age]]&lt;=55,4,5))))</f>
        <v>5</v>
      </c>
      <c r="AG65" s="1" t="str">
        <f>IF(HR_Data[[#This Row],[MonthlyIncome]]&lt;3000,"&lt;3K",IF(HR_Data[[#This Row],[MonthlyIncome]]&lt;6000,"3K-6K",IF(HR_Data[[#This Row],[MonthlyIncome]]&lt;10000,"6K-10K","10K+")))</f>
        <v>6K-10K</v>
      </c>
      <c r="AH65" s="1">
        <f>IF(HR_Data[[#This Row],[MonthlyIncome]]&lt;3000,1,IF(HR_Data[[#This Row],[MonthlyIncome]]&lt;6000,2,IF(HR_Data[[#This Row],[MonthlyIncome]]&lt;10000,3,4)))</f>
        <v>3</v>
      </c>
      <c r="AI65" s="1" t="str">
        <f>IF(HR_Data[[#This Row],[YearsAtCompany]]&lt;=2,"0-2 Yrs",IF(HR_Data[[#This Row],[YearsAtCompany]]&lt;=5,"3-5 Yrs",IF(HR_Data[[#This Row],[YearsAtCompany]]&lt;=10,"6-10 Yrs","10+ Yrs")))</f>
        <v>10+ Yrs</v>
      </c>
      <c r="AJ65" s="1">
        <f>IF(HR_Data[[#This Row],[YearsAtCompany]]&lt;=2,1,IF(HR_Data[[#This Row],[YearsAtCompany]]&lt;=5,2,IF(HR_Data[[#This Row],[YearsAtCompany]]&lt;=10,3,4)))</f>
        <v>4</v>
      </c>
      <c r="AK65" s="1" t="str">
        <f>CHOOSE(HR_Data[[#This Row],[Education]],"Below College","College","Bachelor","Master","Doctor")</f>
        <v>Bachelor</v>
      </c>
      <c r="AL65" s="1" t="str">
        <f>CHOOSE(HR_Data[[#This Row],[JobSatisfaction]],"Low","Medium","High","Very High")</f>
        <v>Low</v>
      </c>
      <c r="AM65" s="1" t="str">
        <f>CHOOSE(HR_Data[[#This Row],[EnvironmentSatisfaction]],"Low","Medium","High","Very High")</f>
        <v>Low</v>
      </c>
      <c r="AN65" s="1" t="str">
        <f>CHOOSE(HR_Data[[#This Row],[WorkLifeBalance]],"Bad","Good","Better","Best")</f>
        <v>Good</v>
      </c>
      <c r="AO65" s="1" t="str">
        <f>IF(HR_Data[[#This Row],[PercentSalaryHike]]&lt;=13,"11-13%",IF(HR_Data[[#This Row],[PercentSalaryHike]]&lt;=16,"14-16%",IF(HR_Data[[#This Row],[PercentSalaryHike]]&lt;=19,"17-19%","20-25%")))</f>
        <v>11-13%</v>
      </c>
      <c r="AP65" s="1">
        <f>IF(HR_Data[[#This Row],[PercentSalaryHike]]&lt;=13,1,IF(HR_Data[[#This Row],[PercentSalaryHike]]&lt;=16,2,IF(HR_Data[[#This Row],[PercentSalaryHike]]&lt;=19,3,4)))</f>
        <v>1</v>
      </c>
      <c r="AQ65" s="1" t="str">
        <f>IF(HR_Data[[#This Row],[DistanceFromHome]]&lt;=5,"1 to 5",IF(HR_Data[[#This Row],[DistanceFromHome]]&lt;=10,"6 to 10",IF(HR_Data[[#This Row],[DistanceFromHome]]&lt;=20,"11 to 20","21 to 29")))</f>
        <v>21 to 29</v>
      </c>
      <c r="AR65" s="1">
        <f>IF(HR_Data[[#This Row],[DistanceFromHome]]&lt;=5,1,IF(HR_Data[[#This Row],[DistanceFromHome]]&lt;=10,2,IF(HR_Data[[#This Row],[DistanceFromHome]]&lt;=20,3,4)))</f>
        <v>4</v>
      </c>
      <c r="AS65" s="1" t="str">
        <f>IF(HR_Data[[#This Row],[TotalWorkingYears]]&lt;=5,"0-5 Yrs",IF(HR_Data[[#This Row],[TotalWorkingYears]]&lt;=10,"6-10 Yrs",IF(HR_Data[[#This Row],[TotalWorkingYears]]&lt;=20,"11-20 Yrs","20+ Yrs")))</f>
        <v>20+ Yrs</v>
      </c>
      <c r="AT65" s="1">
        <f>IF(HR_Data[[#This Row],[TotalWorkingYears]]&lt;=5,1,IF(HR_Data[[#This Row],[TotalWorkingYears]]&lt;=10,2,IF(HR_Data[[#This Row],[TotalWorkingYears]]&lt;=20,3,4)))</f>
        <v>4</v>
      </c>
    </row>
    <row r="66" spans="1:46" x14ac:dyDescent="0.25">
      <c r="A66">
        <v>36</v>
      </c>
      <c r="B66" t="s">
        <v>36</v>
      </c>
      <c r="C66" t="s">
        <v>30</v>
      </c>
      <c r="D66" t="s">
        <v>38</v>
      </c>
      <c r="E66">
        <v>8</v>
      </c>
      <c r="F66">
        <v>3</v>
      </c>
      <c r="G66" t="s">
        <v>53</v>
      </c>
      <c r="H66">
        <v>83</v>
      </c>
      <c r="I66">
        <v>3</v>
      </c>
      <c r="J66" t="s">
        <v>33</v>
      </c>
      <c r="K66">
        <v>3</v>
      </c>
      <c r="L66">
        <v>3</v>
      </c>
      <c r="M66" t="s">
        <v>47</v>
      </c>
      <c r="N66">
        <v>3</v>
      </c>
      <c r="O66" t="s">
        <v>45</v>
      </c>
      <c r="P66">
        <v>10096</v>
      </c>
      <c r="Q66">
        <v>1</v>
      </c>
      <c r="R66" t="s">
        <v>36</v>
      </c>
      <c r="S66">
        <v>13</v>
      </c>
      <c r="T66">
        <v>3</v>
      </c>
      <c r="U66">
        <v>2</v>
      </c>
      <c r="V66">
        <v>3</v>
      </c>
      <c r="W66">
        <v>17</v>
      </c>
      <c r="X66">
        <v>2</v>
      </c>
      <c r="Y66">
        <v>3</v>
      </c>
      <c r="Z66">
        <v>17</v>
      </c>
      <c r="AA66">
        <v>14</v>
      </c>
      <c r="AB66">
        <v>12</v>
      </c>
      <c r="AC66">
        <v>8</v>
      </c>
      <c r="AD66">
        <f>IF(HR_Data[[#This Row],[Attrition]]="Yes",1,0)</f>
        <v>0</v>
      </c>
      <c r="AE66" t="str">
        <f>IF(HR_Data[[#This Row],[Age]]&lt;=25,"18-25",IF(HR_Data[[#This Row],[Age]]&lt;=35,"26-35",IF(HR_Data[[#This Row],[Age]]&lt;=45,"36-45",IF(HR_Data[[#This Row],[Age]]&lt;=55,"46-55","55+"))))</f>
        <v>36-45</v>
      </c>
      <c r="AF66">
        <f>IF(HR_Data[[#This Row],[Age]]&lt;=25,1,IF(HR_Data[[#This Row],[Age]]&lt;=35,2,IF(HR_Data[[#This Row],[Age]]&lt;=45,3,IF(HR_Data[[#This Row],[Age]]&lt;=55,4,5))))</f>
        <v>3</v>
      </c>
      <c r="AG66" s="1" t="str">
        <f>IF(HR_Data[[#This Row],[MonthlyIncome]]&lt;3000,"&lt;3K",IF(HR_Data[[#This Row],[MonthlyIncome]]&lt;6000,"3K-6K",IF(HR_Data[[#This Row],[MonthlyIncome]]&lt;10000,"6K-10K","10K+")))</f>
        <v>10K+</v>
      </c>
      <c r="AH66" s="1">
        <f>IF(HR_Data[[#This Row],[MonthlyIncome]]&lt;3000,1,IF(HR_Data[[#This Row],[MonthlyIncome]]&lt;6000,2,IF(HR_Data[[#This Row],[MonthlyIncome]]&lt;10000,3,4)))</f>
        <v>4</v>
      </c>
      <c r="AI66" s="1" t="str">
        <f>IF(HR_Data[[#This Row],[YearsAtCompany]]&lt;=2,"0-2 Yrs",IF(HR_Data[[#This Row],[YearsAtCompany]]&lt;=5,"3-5 Yrs",IF(HR_Data[[#This Row],[YearsAtCompany]]&lt;=10,"6-10 Yrs","10+ Yrs")))</f>
        <v>10+ Yrs</v>
      </c>
      <c r="AJ66" s="1">
        <f>IF(HR_Data[[#This Row],[YearsAtCompany]]&lt;=2,1,IF(HR_Data[[#This Row],[YearsAtCompany]]&lt;=5,2,IF(HR_Data[[#This Row],[YearsAtCompany]]&lt;=10,3,4)))</f>
        <v>4</v>
      </c>
      <c r="AK66" s="1" t="str">
        <f>CHOOSE(HR_Data[[#This Row],[Education]],"Below College","College","Bachelor","Master","Doctor")</f>
        <v>Bachelor</v>
      </c>
      <c r="AL66" s="1" t="str">
        <f>CHOOSE(HR_Data[[#This Row],[JobSatisfaction]],"Low","Medium","High","Very High")</f>
        <v>High</v>
      </c>
      <c r="AM66" s="1" t="str">
        <f>CHOOSE(HR_Data[[#This Row],[EnvironmentSatisfaction]],"Low","Medium","High","Very High")</f>
        <v>High</v>
      </c>
      <c r="AN66" s="1" t="str">
        <f>CHOOSE(HR_Data[[#This Row],[WorkLifeBalance]],"Bad","Good","Better","Best")</f>
        <v>Better</v>
      </c>
      <c r="AO66" s="1" t="str">
        <f>IF(HR_Data[[#This Row],[PercentSalaryHike]]&lt;=13,"11-13%",IF(HR_Data[[#This Row],[PercentSalaryHike]]&lt;=16,"14-16%",IF(HR_Data[[#This Row],[PercentSalaryHike]]&lt;=19,"17-19%","20-25%")))</f>
        <v>11-13%</v>
      </c>
      <c r="AP66" s="1">
        <f>IF(HR_Data[[#This Row],[PercentSalaryHike]]&lt;=13,1,IF(HR_Data[[#This Row],[PercentSalaryHike]]&lt;=16,2,IF(HR_Data[[#This Row],[PercentSalaryHike]]&lt;=19,3,4)))</f>
        <v>1</v>
      </c>
      <c r="AQ66" s="1" t="str">
        <f>IF(HR_Data[[#This Row],[DistanceFromHome]]&lt;=5,"1 to 5",IF(HR_Data[[#This Row],[DistanceFromHome]]&lt;=10,"6 to 10",IF(HR_Data[[#This Row],[DistanceFromHome]]&lt;=20,"11 to 20","21 to 29")))</f>
        <v>6 to 10</v>
      </c>
      <c r="AR66" s="1">
        <f>IF(HR_Data[[#This Row],[DistanceFromHome]]&lt;=5,1,IF(HR_Data[[#This Row],[DistanceFromHome]]&lt;=10,2,IF(HR_Data[[#This Row],[DistanceFromHome]]&lt;=20,3,4)))</f>
        <v>2</v>
      </c>
      <c r="AS66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66" s="1">
        <f>IF(HR_Data[[#This Row],[TotalWorkingYears]]&lt;=5,1,IF(HR_Data[[#This Row],[TotalWorkingYears]]&lt;=10,2,IF(HR_Data[[#This Row],[TotalWorkingYears]]&lt;=20,3,4)))</f>
        <v>3</v>
      </c>
    </row>
    <row r="67" spans="1:46" x14ac:dyDescent="0.25">
      <c r="A67">
        <v>55</v>
      </c>
      <c r="B67" t="s">
        <v>36</v>
      </c>
      <c r="C67" t="s">
        <v>30</v>
      </c>
      <c r="D67" t="s">
        <v>38</v>
      </c>
      <c r="E67">
        <v>8</v>
      </c>
      <c r="F67">
        <v>3</v>
      </c>
      <c r="G67" t="s">
        <v>44</v>
      </c>
      <c r="H67">
        <v>84</v>
      </c>
      <c r="I67">
        <v>4</v>
      </c>
      <c r="J67" t="s">
        <v>33</v>
      </c>
      <c r="K67">
        <v>3</v>
      </c>
      <c r="L67">
        <v>4</v>
      </c>
      <c r="M67" t="s">
        <v>49</v>
      </c>
      <c r="N67">
        <v>3</v>
      </c>
      <c r="O67" t="s">
        <v>45</v>
      </c>
      <c r="P67">
        <v>14756</v>
      </c>
      <c r="Q67">
        <v>2</v>
      </c>
      <c r="R67" t="s">
        <v>29</v>
      </c>
      <c r="S67">
        <v>14</v>
      </c>
      <c r="T67">
        <v>3</v>
      </c>
      <c r="U67">
        <v>3</v>
      </c>
      <c r="V67">
        <v>3</v>
      </c>
      <c r="W67">
        <v>21</v>
      </c>
      <c r="X67">
        <v>2</v>
      </c>
      <c r="Y67">
        <v>3</v>
      </c>
      <c r="Z67">
        <v>5</v>
      </c>
      <c r="AA67">
        <v>0</v>
      </c>
      <c r="AB67">
        <v>0</v>
      </c>
      <c r="AC67">
        <v>2</v>
      </c>
      <c r="AD67">
        <f>IF(HR_Data[[#This Row],[Attrition]]="Yes",1,0)</f>
        <v>0</v>
      </c>
      <c r="AE67" t="str">
        <f>IF(HR_Data[[#This Row],[Age]]&lt;=25,"18-25",IF(HR_Data[[#This Row],[Age]]&lt;=35,"26-35",IF(HR_Data[[#This Row],[Age]]&lt;=45,"36-45",IF(HR_Data[[#This Row],[Age]]&lt;=55,"46-55","55+"))))</f>
        <v>46-55</v>
      </c>
      <c r="AF67">
        <f>IF(HR_Data[[#This Row],[Age]]&lt;=25,1,IF(HR_Data[[#This Row],[Age]]&lt;=35,2,IF(HR_Data[[#This Row],[Age]]&lt;=45,3,IF(HR_Data[[#This Row],[Age]]&lt;=55,4,5))))</f>
        <v>4</v>
      </c>
      <c r="AG67" s="1" t="str">
        <f>IF(HR_Data[[#This Row],[MonthlyIncome]]&lt;3000,"&lt;3K",IF(HR_Data[[#This Row],[MonthlyIncome]]&lt;6000,"3K-6K",IF(HR_Data[[#This Row],[MonthlyIncome]]&lt;10000,"6K-10K","10K+")))</f>
        <v>10K+</v>
      </c>
      <c r="AH67" s="1">
        <f>IF(HR_Data[[#This Row],[MonthlyIncome]]&lt;3000,1,IF(HR_Data[[#This Row],[MonthlyIncome]]&lt;6000,2,IF(HR_Data[[#This Row],[MonthlyIncome]]&lt;10000,3,4)))</f>
        <v>4</v>
      </c>
      <c r="AI67" s="1" t="str">
        <f>IF(HR_Data[[#This Row],[YearsAtCompany]]&lt;=2,"0-2 Yrs",IF(HR_Data[[#This Row],[YearsAtCompany]]&lt;=5,"3-5 Yrs",IF(HR_Data[[#This Row],[YearsAtCompany]]&lt;=10,"6-10 Yrs","10+ Yrs")))</f>
        <v>3-5 Yrs</v>
      </c>
      <c r="AJ67" s="1">
        <f>IF(HR_Data[[#This Row],[YearsAtCompany]]&lt;=2,1,IF(HR_Data[[#This Row],[YearsAtCompany]]&lt;=5,2,IF(HR_Data[[#This Row],[YearsAtCompany]]&lt;=10,3,4)))</f>
        <v>2</v>
      </c>
      <c r="AK67" s="1" t="str">
        <f>CHOOSE(HR_Data[[#This Row],[Education]],"Below College","College","Bachelor","Master","Doctor")</f>
        <v>Bachelor</v>
      </c>
      <c r="AL67" s="1" t="str">
        <f>CHOOSE(HR_Data[[#This Row],[JobSatisfaction]],"Low","Medium","High","Very High")</f>
        <v>High</v>
      </c>
      <c r="AM67" s="1" t="str">
        <f>CHOOSE(HR_Data[[#This Row],[EnvironmentSatisfaction]],"Low","Medium","High","Very High")</f>
        <v>Very High</v>
      </c>
      <c r="AN67" s="1" t="str">
        <f>CHOOSE(HR_Data[[#This Row],[WorkLifeBalance]],"Bad","Good","Better","Best")</f>
        <v>Better</v>
      </c>
      <c r="AO67" s="1" t="str">
        <f>IF(HR_Data[[#This Row],[PercentSalaryHike]]&lt;=13,"11-13%",IF(HR_Data[[#This Row],[PercentSalaryHike]]&lt;=16,"14-16%",IF(HR_Data[[#This Row],[PercentSalaryHike]]&lt;=19,"17-19%","20-25%")))</f>
        <v>14-16%</v>
      </c>
      <c r="AP67" s="1">
        <f>IF(HR_Data[[#This Row],[PercentSalaryHike]]&lt;=13,1,IF(HR_Data[[#This Row],[PercentSalaryHike]]&lt;=16,2,IF(HR_Data[[#This Row],[PercentSalaryHike]]&lt;=19,3,4)))</f>
        <v>2</v>
      </c>
      <c r="AQ67" s="1" t="str">
        <f>IF(HR_Data[[#This Row],[DistanceFromHome]]&lt;=5,"1 to 5",IF(HR_Data[[#This Row],[DistanceFromHome]]&lt;=10,"6 to 10",IF(HR_Data[[#This Row],[DistanceFromHome]]&lt;=20,"11 to 20","21 to 29")))</f>
        <v>6 to 10</v>
      </c>
      <c r="AR67" s="1">
        <f>IF(HR_Data[[#This Row],[DistanceFromHome]]&lt;=5,1,IF(HR_Data[[#This Row],[DistanceFromHome]]&lt;=10,2,IF(HR_Data[[#This Row],[DistanceFromHome]]&lt;=20,3,4)))</f>
        <v>2</v>
      </c>
      <c r="AS67" s="1" t="str">
        <f>IF(HR_Data[[#This Row],[TotalWorkingYears]]&lt;=5,"0-5 Yrs",IF(HR_Data[[#This Row],[TotalWorkingYears]]&lt;=10,"6-10 Yrs",IF(HR_Data[[#This Row],[TotalWorkingYears]]&lt;=20,"11-20 Yrs","20+ Yrs")))</f>
        <v>20+ Yrs</v>
      </c>
      <c r="AT67" s="1">
        <f>IF(HR_Data[[#This Row],[TotalWorkingYears]]&lt;=5,1,IF(HR_Data[[#This Row],[TotalWorkingYears]]&lt;=10,2,IF(HR_Data[[#This Row],[TotalWorkingYears]]&lt;=20,3,4)))</f>
        <v>4</v>
      </c>
    </row>
    <row r="68" spans="1:46" x14ac:dyDescent="0.25">
      <c r="A68">
        <v>36</v>
      </c>
      <c r="B68" t="s">
        <v>36</v>
      </c>
      <c r="C68" t="s">
        <v>37</v>
      </c>
      <c r="D68" t="s">
        <v>38</v>
      </c>
      <c r="E68">
        <v>11</v>
      </c>
      <c r="F68">
        <v>3</v>
      </c>
      <c r="G68" t="s">
        <v>32</v>
      </c>
      <c r="H68">
        <v>85</v>
      </c>
      <c r="I68">
        <v>2</v>
      </c>
      <c r="J68" t="s">
        <v>39</v>
      </c>
      <c r="K68">
        <v>2</v>
      </c>
      <c r="L68">
        <v>2</v>
      </c>
      <c r="M68" t="s">
        <v>46</v>
      </c>
      <c r="N68">
        <v>2</v>
      </c>
      <c r="O68" t="s">
        <v>35</v>
      </c>
      <c r="P68">
        <v>6499</v>
      </c>
      <c r="Q68">
        <v>1</v>
      </c>
      <c r="R68" t="s">
        <v>36</v>
      </c>
      <c r="S68">
        <v>13</v>
      </c>
      <c r="T68">
        <v>3</v>
      </c>
      <c r="U68">
        <v>3</v>
      </c>
      <c r="V68">
        <v>0</v>
      </c>
      <c r="W68">
        <v>6</v>
      </c>
      <c r="X68">
        <v>3</v>
      </c>
      <c r="Y68">
        <v>3</v>
      </c>
      <c r="Z68">
        <v>6</v>
      </c>
      <c r="AA68">
        <v>5</v>
      </c>
      <c r="AB68">
        <v>0</v>
      </c>
      <c r="AC68">
        <v>3</v>
      </c>
      <c r="AD68">
        <f>IF(HR_Data[[#This Row],[Attrition]]="Yes",1,0)</f>
        <v>0</v>
      </c>
      <c r="AE68" t="str">
        <f>IF(HR_Data[[#This Row],[Age]]&lt;=25,"18-25",IF(HR_Data[[#This Row],[Age]]&lt;=35,"26-35",IF(HR_Data[[#This Row],[Age]]&lt;=45,"36-45",IF(HR_Data[[#This Row],[Age]]&lt;=55,"46-55","55+"))))</f>
        <v>36-45</v>
      </c>
      <c r="AF68">
        <f>IF(HR_Data[[#This Row],[Age]]&lt;=25,1,IF(HR_Data[[#This Row],[Age]]&lt;=35,2,IF(HR_Data[[#This Row],[Age]]&lt;=45,3,IF(HR_Data[[#This Row],[Age]]&lt;=55,4,5))))</f>
        <v>3</v>
      </c>
      <c r="AG68" s="1" t="str">
        <f>IF(HR_Data[[#This Row],[MonthlyIncome]]&lt;3000,"&lt;3K",IF(HR_Data[[#This Row],[MonthlyIncome]]&lt;6000,"3K-6K",IF(HR_Data[[#This Row],[MonthlyIncome]]&lt;10000,"6K-10K","10K+")))</f>
        <v>6K-10K</v>
      </c>
      <c r="AH68" s="1">
        <f>IF(HR_Data[[#This Row],[MonthlyIncome]]&lt;3000,1,IF(HR_Data[[#This Row],[MonthlyIncome]]&lt;6000,2,IF(HR_Data[[#This Row],[MonthlyIncome]]&lt;10000,3,4)))</f>
        <v>3</v>
      </c>
      <c r="AI68" s="1" t="str">
        <f>IF(HR_Data[[#This Row],[YearsAtCompany]]&lt;=2,"0-2 Yrs",IF(HR_Data[[#This Row],[YearsAtCompany]]&lt;=5,"3-5 Yrs",IF(HR_Data[[#This Row],[YearsAtCompany]]&lt;=10,"6-10 Yrs","10+ Yrs")))</f>
        <v>6-10 Yrs</v>
      </c>
      <c r="AJ68" s="1">
        <f>IF(HR_Data[[#This Row],[YearsAtCompany]]&lt;=2,1,IF(HR_Data[[#This Row],[YearsAtCompany]]&lt;=5,2,IF(HR_Data[[#This Row],[YearsAtCompany]]&lt;=10,3,4)))</f>
        <v>3</v>
      </c>
      <c r="AK68" s="1" t="str">
        <f>CHOOSE(HR_Data[[#This Row],[Education]],"Below College","College","Bachelor","Master","Doctor")</f>
        <v>Bachelor</v>
      </c>
      <c r="AL68" s="1" t="str">
        <f>CHOOSE(HR_Data[[#This Row],[JobSatisfaction]],"Low","Medium","High","Very High")</f>
        <v>Medium</v>
      </c>
      <c r="AM68" s="1" t="str">
        <f>CHOOSE(HR_Data[[#This Row],[EnvironmentSatisfaction]],"Low","Medium","High","Very High")</f>
        <v>Medium</v>
      </c>
      <c r="AN68" s="1" t="str">
        <f>CHOOSE(HR_Data[[#This Row],[WorkLifeBalance]],"Bad","Good","Better","Best")</f>
        <v>Better</v>
      </c>
      <c r="AO68" s="1" t="str">
        <f>IF(HR_Data[[#This Row],[PercentSalaryHike]]&lt;=13,"11-13%",IF(HR_Data[[#This Row],[PercentSalaryHike]]&lt;=16,"14-16%",IF(HR_Data[[#This Row],[PercentSalaryHike]]&lt;=19,"17-19%","20-25%")))</f>
        <v>11-13%</v>
      </c>
      <c r="AP68" s="1">
        <f>IF(HR_Data[[#This Row],[PercentSalaryHike]]&lt;=13,1,IF(HR_Data[[#This Row],[PercentSalaryHike]]&lt;=16,2,IF(HR_Data[[#This Row],[PercentSalaryHike]]&lt;=19,3,4)))</f>
        <v>1</v>
      </c>
      <c r="AQ68" s="1" t="str">
        <f>IF(HR_Data[[#This Row],[DistanceFromHome]]&lt;=5,"1 to 5",IF(HR_Data[[#This Row],[DistanceFromHome]]&lt;=10,"6 to 10",IF(HR_Data[[#This Row],[DistanceFromHome]]&lt;=20,"11 to 20","21 to 29")))</f>
        <v>11 to 20</v>
      </c>
      <c r="AR68" s="1">
        <f>IF(HR_Data[[#This Row],[DistanceFromHome]]&lt;=5,1,IF(HR_Data[[#This Row],[DistanceFromHome]]&lt;=10,2,IF(HR_Data[[#This Row],[DistanceFromHome]]&lt;=20,3,4)))</f>
        <v>3</v>
      </c>
      <c r="AS68" s="1" t="str">
        <f>IF(HR_Data[[#This Row],[TotalWorkingYears]]&lt;=5,"0-5 Yrs",IF(HR_Data[[#This Row],[TotalWorkingYears]]&lt;=10,"6-10 Yrs",IF(HR_Data[[#This Row],[TotalWorkingYears]]&lt;=20,"11-20 Yrs","20+ Yrs")))</f>
        <v>6-10 Yrs</v>
      </c>
      <c r="AT68" s="1">
        <f>IF(HR_Data[[#This Row],[TotalWorkingYears]]&lt;=5,1,IF(HR_Data[[#This Row],[TotalWorkingYears]]&lt;=10,2,IF(HR_Data[[#This Row],[TotalWorkingYears]]&lt;=20,3,4)))</f>
        <v>2</v>
      </c>
    </row>
    <row r="69" spans="1:46" x14ac:dyDescent="0.25">
      <c r="A69">
        <v>45</v>
      </c>
      <c r="B69" t="s">
        <v>36</v>
      </c>
      <c r="C69" t="s">
        <v>30</v>
      </c>
      <c r="D69" t="s">
        <v>38</v>
      </c>
      <c r="E69">
        <v>7</v>
      </c>
      <c r="F69">
        <v>3</v>
      </c>
      <c r="G69" t="s">
        <v>32</v>
      </c>
      <c r="H69">
        <v>86</v>
      </c>
      <c r="I69">
        <v>2</v>
      </c>
      <c r="J69" t="s">
        <v>39</v>
      </c>
      <c r="K69">
        <v>3</v>
      </c>
      <c r="L69">
        <v>3</v>
      </c>
      <c r="M69" t="s">
        <v>40</v>
      </c>
      <c r="N69">
        <v>1</v>
      </c>
      <c r="O69" t="s">
        <v>45</v>
      </c>
      <c r="P69">
        <v>9724</v>
      </c>
      <c r="Q69">
        <v>2</v>
      </c>
      <c r="R69" t="s">
        <v>36</v>
      </c>
      <c r="S69">
        <v>17</v>
      </c>
      <c r="T69">
        <v>3</v>
      </c>
      <c r="U69">
        <v>3</v>
      </c>
      <c r="V69">
        <v>1</v>
      </c>
      <c r="W69">
        <v>25</v>
      </c>
      <c r="X69">
        <v>2</v>
      </c>
      <c r="Y69">
        <v>3</v>
      </c>
      <c r="Z69">
        <v>1</v>
      </c>
      <c r="AA69">
        <v>0</v>
      </c>
      <c r="AB69">
        <v>0</v>
      </c>
      <c r="AC69">
        <v>0</v>
      </c>
      <c r="AD69">
        <f>IF(HR_Data[[#This Row],[Attrition]]="Yes",1,0)</f>
        <v>0</v>
      </c>
      <c r="AE69" t="str">
        <f>IF(HR_Data[[#This Row],[Age]]&lt;=25,"18-25",IF(HR_Data[[#This Row],[Age]]&lt;=35,"26-35",IF(HR_Data[[#This Row],[Age]]&lt;=45,"36-45",IF(HR_Data[[#This Row],[Age]]&lt;=55,"46-55","55+"))))</f>
        <v>36-45</v>
      </c>
      <c r="AF69">
        <f>IF(HR_Data[[#This Row],[Age]]&lt;=25,1,IF(HR_Data[[#This Row],[Age]]&lt;=35,2,IF(HR_Data[[#This Row],[Age]]&lt;=45,3,IF(HR_Data[[#This Row],[Age]]&lt;=55,4,5))))</f>
        <v>3</v>
      </c>
      <c r="AG69" s="1" t="str">
        <f>IF(HR_Data[[#This Row],[MonthlyIncome]]&lt;3000,"&lt;3K",IF(HR_Data[[#This Row],[MonthlyIncome]]&lt;6000,"3K-6K",IF(HR_Data[[#This Row],[MonthlyIncome]]&lt;10000,"6K-10K","10K+")))</f>
        <v>6K-10K</v>
      </c>
      <c r="AH69" s="1">
        <f>IF(HR_Data[[#This Row],[MonthlyIncome]]&lt;3000,1,IF(HR_Data[[#This Row],[MonthlyIncome]]&lt;6000,2,IF(HR_Data[[#This Row],[MonthlyIncome]]&lt;10000,3,4)))</f>
        <v>3</v>
      </c>
      <c r="AI69" s="1" t="str">
        <f>IF(HR_Data[[#This Row],[YearsAtCompany]]&lt;=2,"0-2 Yrs",IF(HR_Data[[#This Row],[YearsAtCompany]]&lt;=5,"3-5 Yrs",IF(HR_Data[[#This Row],[YearsAtCompany]]&lt;=10,"6-10 Yrs","10+ Yrs")))</f>
        <v>0-2 Yrs</v>
      </c>
      <c r="AJ69" s="1">
        <f>IF(HR_Data[[#This Row],[YearsAtCompany]]&lt;=2,1,IF(HR_Data[[#This Row],[YearsAtCompany]]&lt;=5,2,IF(HR_Data[[#This Row],[YearsAtCompany]]&lt;=10,3,4)))</f>
        <v>1</v>
      </c>
      <c r="AK69" s="1" t="str">
        <f>CHOOSE(HR_Data[[#This Row],[Education]],"Below College","College","Bachelor","Master","Doctor")</f>
        <v>Bachelor</v>
      </c>
      <c r="AL69" s="1" t="str">
        <f>CHOOSE(HR_Data[[#This Row],[JobSatisfaction]],"Low","Medium","High","Very High")</f>
        <v>Low</v>
      </c>
      <c r="AM69" s="1" t="str">
        <f>CHOOSE(HR_Data[[#This Row],[EnvironmentSatisfaction]],"Low","Medium","High","Very High")</f>
        <v>Medium</v>
      </c>
      <c r="AN69" s="1" t="str">
        <f>CHOOSE(HR_Data[[#This Row],[WorkLifeBalance]],"Bad","Good","Better","Best")</f>
        <v>Better</v>
      </c>
      <c r="AO69" s="1" t="str">
        <f>IF(HR_Data[[#This Row],[PercentSalaryHike]]&lt;=13,"11-13%",IF(HR_Data[[#This Row],[PercentSalaryHike]]&lt;=16,"14-16%",IF(HR_Data[[#This Row],[PercentSalaryHike]]&lt;=19,"17-19%","20-25%")))</f>
        <v>17-19%</v>
      </c>
      <c r="AP69" s="1">
        <f>IF(HR_Data[[#This Row],[PercentSalaryHike]]&lt;=13,1,IF(HR_Data[[#This Row],[PercentSalaryHike]]&lt;=16,2,IF(HR_Data[[#This Row],[PercentSalaryHike]]&lt;=19,3,4)))</f>
        <v>3</v>
      </c>
      <c r="AQ69" s="1" t="str">
        <f>IF(HR_Data[[#This Row],[DistanceFromHome]]&lt;=5,"1 to 5",IF(HR_Data[[#This Row],[DistanceFromHome]]&lt;=10,"6 to 10",IF(HR_Data[[#This Row],[DistanceFromHome]]&lt;=20,"11 to 20","21 to 29")))</f>
        <v>6 to 10</v>
      </c>
      <c r="AR69" s="1">
        <f>IF(HR_Data[[#This Row],[DistanceFromHome]]&lt;=5,1,IF(HR_Data[[#This Row],[DistanceFromHome]]&lt;=10,2,IF(HR_Data[[#This Row],[DistanceFromHome]]&lt;=20,3,4)))</f>
        <v>2</v>
      </c>
      <c r="AS69" s="1" t="str">
        <f>IF(HR_Data[[#This Row],[TotalWorkingYears]]&lt;=5,"0-5 Yrs",IF(HR_Data[[#This Row],[TotalWorkingYears]]&lt;=10,"6-10 Yrs",IF(HR_Data[[#This Row],[TotalWorkingYears]]&lt;=20,"11-20 Yrs","20+ Yrs")))</f>
        <v>20+ Yrs</v>
      </c>
      <c r="AT69" s="1">
        <f>IF(HR_Data[[#This Row],[TotalWorkingYears]]&lt;=5,1,IF(HR_Data[[#This Row],[TotalWorkingYears]]&lt;=10,2,IF(HR_Data[[#This Row],[TotalWorkingYears]]&lt;=20,3,4)))</f>
        <v>4</v>
      </c>
    </row>
    <row r="70" spans="1:46" x14ac:dyDescent="0.25">
      <c r="A70">
        <v>35</v>
      </c>
      <c r="B70" t="s">
        <v>36</v>
      </c>
      <c r="C70" t="s">
        <v>37</v>
      </c>
      <c r="D70" t="s">
        <v>38</v>
      </c>
      <c r="E70">
        <v>1</v>
      </c>
      <c r="F70">
        <v>3</v>
      </c>
      <c r="G70" t="s">
        <v>44</v>
      </c>
      <c r="H70">
        <v>88</v>
      </c>
      <c r="I70">
        <v>2</v>
      </c>
      <c r="J70" t="s">
        <v>39</v>
      </c>
      <c r="K70">
        <v>3</v>
      </c>
      <c r="L70">
        <v>1</v>
      </c>
      <c r="M70" t="s">
        <v>40</v>
      </c>
      <c r="N70">
        <v>1</v>
      </c>
      <c r="O70" t="s">
        <v>41</v>
      </c>
      <c r="P70">
        <v>2194</v>
      </c>
      <c r="Q70">
        <v>4</v>
      </c>
      <c r="R70" t="s">
        <v>36</v>
      </c>
      <c r="S70">
        <v>13</v>
      </c>
      <c r="T70">
        <v>3</v>
      </c>
      <c r="U70">
        <v>4</v>
      </c>
      <c r="V70">
        <v>1</v>
      </c>
      <c r="W70">
        <v>5</v>
      </c>
      <c r="X70">
        <v>2</v>
      </c>
      <c r="Y70">
        <v>2</v>
      </c>
      <c r="Z70">
        <v>3</v>
      </c>
      <c r="AA70">
        <v>2</v>
      </c>
      <c r="AB70">
        <v>1</v>
      </c>
      <c r="AC70">
        <v>2</v>
      </c>
      <c r="AD70">
        <f>IF(HR_Data[[#This Row],[Attrition]]="Yes",1,0)</f>
        <v>0</v>
      </c>
      <c r="AE70" t="str">
        <f>IF(HR_Data[[#This Row],[Age]]&lt;=25,"18-25",IF(HR_Data[[#This Row],[Age]]&lt;=35,"26-35",IF(HR_Data[[#This Row],[Age]]&lt;=45,"36-45",IF(HR_Data[[#This Row],[Age]]&lt;=55,"46-55","55+"))))</f>
        <v>26-35</v>
      </c>
      <c r="AF70">
        <f>IF(HR_Data[[#This Row],[Age]]&lt;=25,1,IF(HR_Data[[#This Row],[Age]]&lt;=35,2,IF(HR_Data[[#This Row],[Age]]&lt;=45,3,IF(HR_Data[[#This Row],[Age]]&lt;=55,4,5))))</f>
        <v>2</v>
      </c>
      <c r="AG70" s="1" t="str">
        <f>IF(HR_Data[[#This Row],[MonthlyIncome]]&lt;3000,"&lt;3K",IF(HR_Data[[#This Row],[MonthlyIncome]]&lt;6000,"3K-6K",IF(HR_Data[[#This Row],[MonthlyIncome]]&lt;10000,"6K-10K","10K+")))</f>
        <v>&lt;3K</v>
      </c>
      <c r="AH70" s="1">
        <f>IF(HR_Data[[#This Row],[MonthlyIncome]]&lt;3000,1,IF(HR_Data[[#This Row],[MonthlyIncome]]&lt;6000,2,IF(HR_Data[[#This Row],[MonthlyIncome]]&lt;10000,3,4)))</f>
        <v>1</v>
      </c>
      <c r="AI70" s="1" t="str">
        <f>IF(HR_Data[[#This Row],[YearsAtCompany]]&lt;=2,"0-2 Yrs",IF(HR_Data[[#This Row],[YearsAtCompany]]&lt;=5,"3-5 Yrs",IF(HR_Data[[#This Row],[YearsAtCompany]]&lt;=10,"6-10 Yrs","10+ Yrs")))</f>
        <v>3-5 Yrs</v>
      </c>
      <c r="AJ70" s="1">
        <f>IF(HR_Data[[#This Row],[YearsAtCompany]]&lt;=2,1,IF(HR_Data[[#This Row],[YearsAtCompany]]&lt;=5,2,IF(HR_Data[[#This Row],[YearsAtCompany]]&lt;=10,3,4)))</f>
        <v>2</v>
      </c>
      <c r="AK70" s="1" t="str">
        <f>CHOOSE(HR_Data[[#This Row],[Education]],"Below College","College","Bachelor","Master","Doctor")</f>
        <v>Bachelor</v>
      </c>
      <c r="AL70" s="1" t="str">
        <f>CHOOSE(HR_Data[[#This Row],[JobSatisfaction]],"Low","Medium","High","Very High")</f>
        <v>Low</v>
      </c>
      <c r="AM70" s="1" t="str">
        <f>CHOOSE(HR_Data[[#This Row],[EnvironmentSatisfaction]],"Low","Medium","High","Very High")</f>
        <v>Medium</v>
      </c>
      <c r="AN70" s="1" t="str">
        <f>CHOOSE(HR_Data[[#This Row],[WorkLifeBalance]],"Bad","Good","Better","Best")</f>
        <v>Good</v>
      </c>
      <c r="AO70" s="1" t="str">
        <f>IF(HR_Data[[#This Row],[PercentSalaryHike]]&lt;=13,"11-13%",IF(HR_Data[[#This Row],[PercentSalaryHike]]&lt;=16,"14-16%",IF(HR_Data[[#This Row],[PercentSalaryHike]]&lt;=19,"17-19%","20-25%")))</f>
        <v>11-13%</v>
      </c>
      <c r="AP70" s="1">
        <f>IF(HR_Data[[#This Row],[PercentSalaryHike]]&lt;=13,1,IF(HR_Data[[#This Row],[PercentSalaryHike]]&lt;=16,2,IF(HR_Data[[#This Row],[PercentSalaryHike]]&lt;=19,3,4)))</f>
        <v>1</v>
      </c>
      <c r="AQ70" s="1" t="str">
        <f>IF(HR_Data[[#This Row],[DistanceFromHome]]&lt;=5,"1 to 5",IF(HR_Data[[#This Row],[DistanceFromHome]]&lt;=10,"6 to 10",IF(HR_Data[[#This Row],[DistanceFromHome]]&lt;=20,"11 to 20","21 to 29")))</f>
        <v>1 to 5</v>
      </c>
      <c r="AR70" s="1">
        <f>IF(HR_Data[[#This Row],[DistanceFromHome]]&lt;=5,1,IF(HR_Data[[#This Row],[DistanceFromHome]]&lt;=10,2,IF(HR_Data[[#This Row],[DistanceFromHome]]&lt;=20,3,4)))</f>
        <v>1</v>
      </c>
      <c r="AS70" s="1" t="str">
        <f>IF(HR_Data[[#This Row],[TotalWorkingYears]]&lt;=5,"0-5 Yrs",IF(HR_Data[[#This Row],[TotalWorkingYears]]&lt;=10,"6-10 Yrs",IF(HR_Data[[#This Row],[TotalWorkingYears]]&lt;=20,"11-20 Yrs","20+ Yrs")))</f>
        <v>0-5 Yrs</v>
      </c>
      <c r="AT70" s="1">
        <f>IF(HR_Data[[#This Row],[TotalWorkingYears]]&lt;=5,1,IF(HR_Data[[#This Row],[TotalWorkingYears]]&lt;=10,2,IF(HR_Data[[#This Row],[TotalWorkingYears]]&lt;=20,3,4)))</f>
        <v>1</v>
      </c>
    </row>
    <row r="71" spans="1:46" x14ac:dyDescent="0.25">
      <c r="A71">
        <v>36</v>
      </c>
      <c r="B71" t="s">
        <v>29</v>
      </c>
      <c r="C71" t="s">
        <v>30</v>
      </c>
      <c r="D71" t="s">
        <v>38</v>
      </c>
      <c r="E71">
        <v>9</v>
      </c>
      <c r="F71">
        <v>3</v>
      </c>
      <c r="G71" t="s">
        <v>44</v>
      </c>
      <c r="H71">
        <v>90</v>
      </c>
      <c r="I71">
        <v>4</v>
      </c>
      <c r="J71" t="s">
        <v>39</v>
      </c>
      <c r="K71">
        <v>2</v>
      </c>
      <c r="L71">
        <v>1</v>
      </c>
      <c r="M71" t="s">
        <v>40</v>
      </c>
      <c r="N71">
        <v>3</v>
      </c>
      <c r="O71" t="s">
        <v>41</v>
      </c>
      <c r="P71">
        <v>3388</v>
      </c>
      <c r="Q71">
        <v>0</v>
      </c>
      <c r="R71" t="s">
        <v>29</v>
      </c>
      <c r="S71">
        <v>17</v>
      </c>
      <c r="T71">
        <v>3</v>
      </c>
      <c r="U71">
        <v>1</v>
      </c>
      <c r="V71">
        <v>1</v>
      </c>
      <c r="W71">
        <v>2</v>
      </c>
      <c r="X71">
        <v>0</v>
      </c>
      <c r="Y71">
        <v>2</v>
      </c>
      <c r="Z71">
        <v>1</v>
      </c>
      <c r="AA71">
        <v>0</v>
      </c>
      <c r="AB71">
        <v>0</v>
      </c>
      <c r="AC71">
        <v>0</v>
      </c>
      <c r="AD71">
        <f>IF(HR_Data[[#This Row],[Attrition]]="Yes",1,0)</f>
        <v>1</v>
      </c>
      <c r="AE71" t="str">
        <f>IF(HR_Data[[#This Row],[Age]]&lt;=25,"18-25",IF(HR_Data[[#This Row],[Age]]&lt;=35,"26-35",IF(HR_Data[[#This Row],[Age]]&lt;=45,"36-45",IF(HR_Data[[#This Row],[Age]]&lt;=55,"46-55","55+"))))</f>
        <v>36-45</v>
      </c>
      <c r="AF71">
        <f>IF(HR_Data[[#This Row],[Age]]&lt;=25,1,IF(HR_Data[[#This Row],[Age]]&lt;=35,2,IF(HR_Data[[#This Row],[Age]]&lt;=45,3,IF(HR_Data[[#This Row],[Age]]&lt;=55,4,5))))</f>
        <v>3</v>
      </c>
      <c r="AG71" s="1" t="str">
        <f>IF(HR_Data[[#This Row],[MonthlyIncome]]&lt;3000,"&lt;3K",IF(HR_Data[[#This Row],[MonthlyIncome]]&lt;6000,"3K-6K",IF(HR_Data[[#This Row],[MonthlyIncome]]&lt;10000,"6K-10K","10K+")))</f>
        <v>3K-6K</v>
      </c>
      <c r="AH71" s="1">
        <f>IF(HR_Data[[#This Row],[MonthlyIncome]]&lt;3000,1,IF(HR_Data[[#This Row],[MonthlyIncome]]&lt;6000,2,IF(HR_Data[[#This Row],[MonthlyIncome]]&lt;10000,3,4)))</f>
        <v>2</v>
      </c>
      <c r="AI71" s="1" t="str">
        <f>IF(HR_Data[[#This Row],[YearsAtCompany]]&lt;=2,"0-2 Yrs",IF(HR_Data[[#This Row],[YearsAtCompany]]&lt;=5,"3-5 Yrs",IF(HR_Data[[#This Row],[YearsAtCompany]]&lt;=10,"6-10 Yrs","10+ Yrs")))</f>
        <v>0-2 Yrs</v>
      </c>
      <c r="AJ71" s="1">
        <f>IF(HR_Data[[#This Row],[YearsAtCompany]]&lt;=2,1,IF(HR_Data[[#This Row],[YearsAtCompany]]&lt;=5,2,IF(HR_Data[[#This Row],[YearsAtCompany]]&lt;=10,3,4)))</f>
        <v>1</v>
      </c>
      <c r="AK71" s="1" t="str">
        <f>CHOOSE(HR_Data[[#This Row],[Education]],"Below College","College","Bachelor","Master","Doctor")</f>
        <v>Bachelor</v>
      </c>
      <c r="AL71" s="1" t="str">
        <f>CHOOSE(HR_Data[[#This Row],[JobSatisfaction]],"Low","Medium","High","Very High")</f>
        <v>High</v>
      </c>
      <c r="AM71" s="1" t="str">
        <f>CHOOSE(HR_Data[[#This Row],[EnvironmentSatisfaction]],"Low","Medium","High","Very High")</f>
        <v>Very High</v>
      </c>
      <c r="AN71" s="1" t="str">
        <f>CHOOSE(HR_Data[[#This Row],[WorkLifeBalance]],"Bad","Good","Better","Best")</f>
        <v>Good</v>
      </c>
      <c r="AO71" s="1" t="str">
        <f>IF(HR_Data[[#This Row],[PercentSalaryHike]]&lt;=13,"11-13%",IF(HR_Data[[#This Row],[PercentSalaryHike]]&lt;=16,"14-16%",IF(HR_Data[[#This Row],[PercentSalaryHike]]&lt;=19,"17-19%","20-25%")))</f>
        <v>17-19%</v>
      </c>
      <c r="AP71" s="1">
        <f>IF(HR_Data[[#This Row],[PercentSalaryHike]]&lt;=13,1,IF(HR_Data[[#This Row],[PercentSalaryHike]]&lt;=16,2,IF(HR_Data[[#This Row],[PercentSalaryHike]]&lt;=19,3,4)))</f>
        <v>3</v>
      </c>
      <c r="AQ71" s="1" t="str">
        <f>IF(HR_Data[[#This Row],[DistanceFromHome]]&lt;=5,"1 to 5",IF(HR_Data[[#This Row],[DistanceFromHome]]&lt;=10,"6 to 10",IF(HR_Data[[#This Row],[DistanceFromHome]]&lt;=20,"11 to 20","21 to 29")))</f>
        <v>6 to 10</v>
      </c>
      <c r="AR71" s="1">
        <f>IF(HR_Data[[#This Row],[DistanceFromHome]]&lt;=5,1,IF(HR_Data[[#This Row],[DistanceFromHome]]&lt;=10,2,IF(HR_Data[[#This Row],[DistanceFromHome]]&lt;=20,3,4)))</f>
        <v>2</v>
      </c>
      <c r="AS71" s="1" t="str">
        <f>IF(HR_Data[[#This Row],[TotalWorkingYears]]&lt;=5,"0-5 Yrs",IF(HR_Data[[#This Row],[TotalWorkingYears]]&lt;=10,"6-10 Yrs",IF(HR_Data[[#This Row],[TotalWorkingYears]]&lt;=20,"11-20 Yrs","20+ Yrs")))</f>
        <v>0-5 Yrs</v>
      </c>
      <c r="AT71" s="1">
        <f>IF(HR_Data[[#This Row],[TotalWorkingYears]]&lt;=5,1,IF(HR_Data[[#This Row],[TotalWorkingYears]]&lt;=10,2,IF(HR_Data[[#This Row],[TotalWorkingYears]]&lt;=20,3,4)))</f>
        <v>1</v>
      </c>
    </row>
    <row r="72" spans="1:46" x14ac:dyDescent="0.25">
      <c r="A72">
        <v>59</v>
      </c>
      <c r="B72" t="s">
        <v>36</v>
      </c>
      <c r="C72" t="s">
        <v>37</v>
      </c>
      <c r="D72" t="s">
        <v>31</v>
      </c>
      <c r="E72">
        <v>1</v>
      </c>
      <c r="F72">
        <v>1</v>
      </c>
      <c r="G72" t="s">
        <v>32</v>
      </c>
      <c r="H72">
        <v>91</v>
      </c>
      <c r="I72">
        <v>1</v>
      </c>
      <c r="J72" t="s">
        <v>33</v>
      </c>
      <c r="K72">
        <v>2</v>
      </c>
      <c r="L72">
        <v>2</v>
      </c>
      <c r="M72" t="s">
        <v>34</v>
      </c>
      <c r="N72">
        <v>3</v>
      </c>
      <c r="O72" t="s">
        <v>35</v>
      </c>
      <c r="P72">
        <v>5473</v>
      </c>
      <c r="Q72">
        <v>7</v>
      </c>
      <c r="R72" t="s">
        <v>36</v>
      </c>
      <c r="S72">
        <v>11</v>
      </c>
      <c r="T72">
        <v>3</v>
      </c>
      <c r="U72">
        <v>4</v>
      </c>
      <c r="V72">
        <v>0</v>
      </c>
      <c r="W72">
        <v>20</v>
      </c>
      <c r="X72">
        <v>2</v>
      </c>
      <c r="Y72">
        <v>2</v>
      </c>
      <c r="Z72">
        <v>4</v>
      </c>
      <c r="AA72">
        <v>3</v>
      </c>
      <c r="AB72">
        <v>1</v>
      </c>
      <c r="AC72">
        <v>3</v>
      </c>
      <c r="AD72">
        <f>IF(HR_Data[[#This Row],[Attrition]]="Yes",1,0)</f>
        <v>0</v>
      </c>
      <c r="AE72" t="str">
        <f>IF(HR_Data[[#This Row],[Age]]&lt;=25,"18-25",IF(HR_Data[[#This Row],[Age]]&lt;=35,"26-35",IF(HR_Data[[#This Row],[Age]]&lt;=45,"36-45",IF(HR_Data[[#This Row],[Age]]&lt;=55,"46-55","55+"))))</f>
        <v>55+</v>
      </c>
      <c r="AF72">
        <f>IF(HR_Data[[#This Row],[Age]]&lt;=25,1,IF(HR_Data[[#This Row],[Age]]&lt;=35,2,IF(HR_Data[[#This Row],[Age]]&lt;=45,3,IF(HR_Data[[#This Row],[Age]]&lt;=55,4,5))))</f>
        <v>5</v>
      </c>
      <c r="AG72" s="1" t="str">
        <f>IF(HR_Data[[#This Row],[MonthlyIncome]]&lt;3000,"&lt;3K",IF(HR_Data[[#This Row],[MonthlyIncome]]&lt;6000,"3K-6K",IF(HR_Data[[#This Row],[MonthlyIncome]]&lt;10000,"6K-10K","10K+")))</f>
        <v>3K-6K</v>
      </c>
      <c r="AH72" s="1">
        <f>IF(HR_Data[[#This Row],[MonthlyIncome]]&lt;3000,1,IF(HR_Data[[#This Row],[MonthlyIncome]]&lt;6000,2,IF(HR_Data[[#This Row],[MonthlyIncome]]&lt;10000,3,4)))</f>
        <v>2</v>
      </c>
      <c r="AI72" s="1" t="str">
        <f>IF(HR_Data[[#This Row],[YearsAtCompany]]&lt;=2,"0-2 Yrs",IF(HR_Data[[#This Row],[YearsAtCompany]]&lt;=5,"3-5 Yrs",IF(HR_Data[[#This Row],[YearsAtCompany]]&lt;=10,"6-10 Yrs","10+ Yrs")))</f>
        <v>3-5 Yrs</v>
      </c>
      <c r="AJ72" s="1">
        <f>IF(HR_Data[[#This Row],[YearsAtCompany]]&lt;=2,1,IF(HR_Data[[#This Row],[YearsAtCompany]]&lt;=5,2,IF(HR_Data[[#This Row],[YearsAtCompany]]&lt;=10,3,4)))</f>
        <v>2</v>
      </c>
      <c r="AK72" s="1" t="str">
        <f>CHOOSE(HR_Data[[#This Row],[Education]],"Below College","College","Bachelor","Master","Doctor")</f>
        <v>Below College</v>
      </c>
      <c r="AL72" s="1" t="str">
        <f>CHOOSE(HR_Data[[#This Row],[JobSatisfaction]],"Low","Medium","High","Very High")</f>
        <v>High</v>
      </c>
      <c r="AM72" s="1" t="str">
        <f>CHOOSE(HR_Data[[#This Row],[EnvironmentSatisfaction]],"Low","Medium","High","Very High")</f>
        <v>Low</v>
      </c>
      <c r="AN72" s="1" t="str">
        <f>CHOOSE(HR_Data[[#This Row],[WorkLifeBalance]],"Bad","Good","Better","Best")</f>
        <v>Good</v>
      </c>
      <c r="AO72" s="1" t="str">
        <f>IF(HR_Data[[#This Row],[PercentSalaryHike]]&lt;=13,"11-13%",IF(HR_Data[[#This Row],[PercentSalaryHike]]&lt;=16,"14-16%",IF(HR_Data[[#This Row],[PercentSalaryHike]]&lt;=19,"17-19%","20-25%")))</f>
        <v>11-13%</v>
      </c>
      <c r="AP72" s="1">
        <f>IF(HR_Data[[#This Row],[PercentSalaryHike]]&lt;=13,1,IF(HR_Data[[#This Row],[PercentSalaryHike]]&lt;=16,2,IF(HR_Data[[#This Row],[PercentSalaryHike]]&lt;=19,3,4)))</f>
        <v>1</v>
      </c>
      <c r="AQ72" s="1" t="str">
        <f>IF(HR_Data[[#This Row],[DistanceFromHome]]&lt;=5,"1 to 5",IF(HR_Data[[#This Row],[DistanceFromHome]]&lt;=10,"6 to 10",IF(HR_Data[[#This Row],[DistanceFromHome]]&lt;=20,"11 to 20","21 to 29")))</f>
        <v>1 to 5</v>
      </c>
      <c r="AR72" s="1">
        <f>IF(HR_Data[[#This Row],[DistanceFromHome]]&lt;=5,1,IF(HR_Data[[#This Row],[DistanceFromHome]]&lt;=10,2,IF(HR_Data[[#This Row],[DistanceFromHome]]&lt;=20,3,4)))</f>
        <v>1</v>
      </c>
      <c r="AS72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72" s="1">
        <f>IF(HR_Data[[#This Row],[TotalWorkingYears]]&lt;=5,1,IF(HR_Data[[#This Row],[TotalWorkingYears]]&lt;=10,2,IF(HR_Data[[#This Row],[TotalWorkingYears]]&lt;=20,3,4)))</f>
        <v>3</v>
      </c>
    </row>
    <row r="73" spans="1:46" x14ac:dyDescent="0.25">
      <c r="A73">
        <v>29</v>
      </c>
      <c r="B73" t="s">
        <v>36</v>
      </c>
      <c r="C73" t="s">
        <v>30</v>
      </c>
      <c r="D73" t="s">
        <v>38</v>
      </c>
      <c r="E73">
        <v>2</v>
      </c>
      <c r="F73">
        <v>3</v>
      </c>
      <c r="G73" t="s">
        <v>32</v>
      </c>
      <c r="H73">
        <v>94</v>
      </c>
      <c r="I73">
        <v>3</v>
      </c>
      <c r="J73" t="s">
        <v>39</v>
      </c>
      <c r="K73">
        <v>3</v>
      </c>
      <c r="L73">
        <v>1</v>
      </c>
      <c r="M73" t="s">
        <v>40</v>
      </c>
      <c r="N73">
        <v>2</v>
      </c>
      <c r="O73" t="s">
        <v>41</v>
      </c>
      <c r="P73">
        <v>2703</v>
      </c>
      <c r="Q73">
        <v>0</v>
      </c>
      <c r="R73" t="s">
        <v>36</v>
      </c>
      <c r="S73">
        <v>23</v>
      </c>
      <c r="T73">
        <v>4</v>
      </c>
      <c r="U73">
        <v>4</v>
      </c>
      <c r="V73">
        <v>1</v>
      </c>
      <c r="W73">
        <v>6</v>
      </c>
      <c r="X73">
        <v>3</v>
      </c>
      <c r="Y73">
        <v>3</v>
      </c>
      <c r="Z73">
        <v>5</v>
      </c>
      <c r="AA73">
        <v>4</v>
      </c>
      <c r="AB73">
        <v>0</v>
      </c>
      <c r="AC73">
        <v>4</v>
      </c>
      <c r="AD73">
        <f>IF(HR_Data[[#This Row],[Attrition]]="Yes",1,0)</f>
        <v>0</v>
      </c>
      <c r="AE73" t="str">
        <f>IF(HR_Data[[#This Row],[Age]]&lt;=25,"18-25",IF(HR_Data[[#This Row],[Age]]&lt;=35,"26-35",IF(HR_Data[[#This Row],[Age]]&lt;=45,"36-45",IF(HR_Data[[#This Row],[Age]]&lt;=55,"46-55","55+"))))</f>
        <v>26-35</v>
      </c>
      <c r="AF73">
        <f>IF(HR_Data[[#This Row],[Age]]&lt;=25,1,IF(HR_Data[[#This Row],[Age]]&lt;=35,2,IF(HR_Data[[#This Row],[Age]]&lt;=45,3,IF(HR_Data[[#This Row],[Age]]&lt;=55,4,5))))</f>
        <v>2</v>
      </c>
      <c r="AG73" s="1" t="str">
        <f>IF(HR_Data[[#This Row],[MonthlyIncome]]&lt;3000,"&lt;3K",IF(HR_Data[[#This Row],[MonthlyIncome]]&lt;6000,"3K-6K",IF(HR_Data[[#This Row],[MonthlyIncome]]&lt;10000,"6K-10K","10K+")))</f>
        <v>&lt;3K</v>
      </c>
      <c r="AH73" s="1">
        <f>IF(HR_Data[[#This Row],[MonthlyIncome]]&lt;3000,1,IF(HR_Data[[#This Row],[MonthlyIncome]]&lt;6000,2,IF(HR_Data[[#This Row],[MonthlyIncome]]&lt;10000,3,4)))</f>
        <v>1</v>
      </c>
      <c r="AI73" s="1" t="str">
        <f>IF(HR_Data[[#This Row],[YearsAtCompany]]&lt;=2,"0-2 Yrs",IF(HR_Data[[#This Row],[YearsAtCompany]]&lt;=5,"3-5 Yrs",IF(HR_Data[[#This Row],[YearsAtCompany]]&lt;=10,"6-10 Yrs","10+ Yrs")))</f>
        <v>3-5 Yrs</v>
      </c>
      <c r="AJ73" s="1">
        <f>IF(HR_Data[[#This Row],[YearsAtCompany]]&lt;=2,1,IF(HR_Data[[#This Row],[YearsAtCompany]]&lt;=5,2,IF(HR_Data[[#This Row],[YearsAtCompany]]&lt;=10,3,4)))</f>
        <v>2</v>
      </c>
      <c r="AK73" s="1" t="str">
        <f>CHOOSE(HR_Data[[#This Row],[Education]],"Below College","College","Bachelor","Master","Doctor")</f>
        <v>Bachelor</v>
      </c>
      <c r="AL73" s="1" t="str">
        <f>CHOOSE(HR_Data[[#This Row],[JobSatisfaction]],"Low","Medium","High","Very High")</f>
        <v>Medium</v>
      </c>
      <c r="AM73" s="1" t="str">
        <f>CHOOSE(HR_Data[[#This Row],[EnvironmentSatisfaction]],"Low","Medium","High","Very High")</f>
        <v>High</v>
      </c>
      <c r="AN73" s="1" t="str">
        <f>CHOOSE(HR_Data[[#This Row],[WorkLifeBalance]],"Bad","Good","Better","Best")</f>
        <v>Better</v>
      </c>
      <c r="AO73" s="1" t="str">
        <f>IF(HR_Data[[#This Row],[PercentSalaryHike]]&lt;=13,"11-13%",IF(HR_Data[[#This Row],[PercentSalaryHike]]&lt;=16,"14-16%",IF(HR_Data[[#This Row],[PercentSalaryHike]]&lt;=19,"17-19%","20-25%")))</f>
        <v>20-25%</v>
      </c>
      <c r="AP73" s="1">
        <f>IF(HR_Data[[#This Row],[PercentSalaryHike]]&lt;=13,1,IF(HR_Data[[#This Row],[PercentSalaryHike]]&lt;=16,2,IF(HR_Data[[#This Row],[PercentSalaryHike]]&lt;=19,3,4)))</f>
        <v>4</v>
      </c>
      <c r="AQ73" s="1" t="str">
        <f>IF(HR_Data[[#This Row],[DistanceFromHome]]&lt;=5,"1 to 5",IF(HR_Data[[#This Row],[DistanceFromHome]]&lt;=10,"6 to 10",IF(HR_Data[[#This Row],[DistanceFromHome]]&lt;=20,"11 to 20","21 to 29")))</f>
        <v>1 to 5</v>
      </c>
      <c r="AR73" s="1">
        <f>IF(HR_Data[[#This Row],[DistanceFromHome]]&lt;=5,1,IF(HR_Data[[#This Row],[DistanceFromHome]]&lt;=10,2,IF(HR_Data[[#This Row],[DistanceFromHome]]&lt;=20,3,4)))</f>
        <v>1</v>
      </c>
      <c r="AS73" s="1" t="str">
        <f>IF(HR_Data[[#This Row],[TotalWorkingYears]]&lt;=5,"0-5 Yrs",IF(HR_Data[[#This Row],[TotalWorkingYears]]&lt;=10,"6-10 Yrs",IF(HR_Data[[#This Row],[TotalWorkingYears]]&lt;=20,"11-20 Yrs","20+ Yrs")))</f>
        <v>6-10 Yrs</v>
      </c>
      <c r="AT73" s="1">
        <f>IF(HR_Data[[#This Row],[TotalWorkingYears]]&lt;=5,1,IF(HR_Data[[#This Row],[TotalWorkingYears]]&lt;=10,2,IF(HR_Data[[#This Row],[TotalWorkingYears]]&lt;=20,3,4)))</f>
        <v>2</v>
      </c>
    </row>
    <row r="74" spans="1:46" x14ac:dyDescent="0.25">
      <c r="A74">
        <v>31</v>
      </c>
      <c r="B74" t="s">
        <v>36</v>
      </c>
      <c r="C74" t="s">
        <v>30</v>
      </c>
      <c r="D74" t="s">
        <v>38</v>
      </c>
      <c r="E74">
        <v>1</v>
      </c>
      <c r="F74">
        <v>4</v>
      </c>
      <c r="G74" t="s">
        <v>44</v>
      </c>
      <c r="H74">
        <v>95</v>
      </c>
      <c r="I74">
        <v>3</v>
      </c>
      <c r="J74" t="s">
        <v>39</v>
      </c>
      <c r="K74">
        <v>3</v>
      </c>
      <c r="L74">
        <v>1</v>
      </c>
      <c r="M74" t="s">
        <v>40</v>
      </c>
      <c r="N74">
        <v>2</v>
      </c>
      <c r="O74" t="s">
        <v>35</v>
      </c>
      <c r="P74">
        <v>2501</v>
      </c>
      <c r="Q74">
        <v>1</v>
      </c>
      <c r="R74" t="s">
        <v>36</v>
      </c>
      <c r="S74">
        <v>17</v>
      </c>
      <c r="T74">
        <v>3</v>
      </c>
      <c r="U74">
        <v>2</v>
      </c>
      <c r="V74">
        <v>0</v>
      </c>
      <c r="W74">
        <v>1</v>
      </c>
      <c r="X74">
        <v>4</v>
      </c>
      <c r="Y74">
        <v>3</v>
      </c>
      <c r="Z74">
        <v>1</v>
      </c>
      <c r="AA74">
        <v>1</v>
      </c>
      <c r="AB74">
        <v>1</v>
      </c>
      <c r="AC74">
        <v>0</v>
      </c>
      <c r="AD74">
        <f>IF(HR_Data[[#This Row],[Attrition]]="Yes",1,0)</f>
        <v>0</v>
      </c>
      <c r="AE74" t="str">
        <f>IF(HR_Data[[#This Row],[Age]]&lt;=25,"18-25",IF(HR_Data[[#This Row],[Age]]&lt;=35,"26-35",IF(HR_Data[[#This Row],[Age]]&lt;=45,"36-45",IF(HR_Data[[#This Row],[Age]]&lt;=55,"46-55","55+"))))</f>
        <v>26-35</v>
      </c>
      <c r="AF74">
        <f>IF(HR_Data[[#This Row],[Age]]&lt;=25,1,IF(HR_Data[[#This Row],[Age]]&lt;=35,2,IF(HR_Data[[#This Row],[Age]]&lt;=45,3,IF(HR_Data[[#This Row],[Age]]&lt;=55,4,5))))</f>
        <v>2</v>
      </c>
      <c r="AG74" s="1" t="str">
        <f>IF(HR_Data[[#This Row],[MonthlyIncome]]&lt;3000,"&lt;3K",IF(HR_Data[[#This Row],[MonthlyIncome]]&lt;6000,"3K-6K",IF(HR_Data[[#This Row],[MonthlyIncome]]&lt;10000,"6K-10K","10K+")))</f>
        <v>&lt;3K</v>
      </c>
      <c r="AH74" s="1">
        <f>IF(HR_Data[[#This Row],[MonthlyIncome]]&lt;3000,1,IF(HR_Data[[#This Row],[MonthlyIncome]]&lt;6000,2,IF(HR_Data[[#This Row],[MonthlyIncome]]&lt;10000,3,4)))</f>
        <v>1</v>
      </c>
      <c r="AI74" s="1" t="str">
        <f>IF(HR_Data[[#This Row],[YearsAtCompany]]&lt;=2,"0-2 Yrs",IF(HR_Data[[#This Row],[YearsAtCompany]]&lt;=5,"3-5 Yrs",IF(HR_Data[[#This Row],[YearsAtCompany]]&lt;=10,"6-10 Yrs","10+ Yrs")))</f>
        <v>0-2 Yrs</v>
      </c>
      <c r="AJ74" s="1">
        <f>IF(HR_Data[[#This Row],[YearsAtCompany]]&lt;=2,1,IF(HR_Data[[#This Row],[YearsAtCompany]]&lt;=5,2,IF(HR_Data[[#This Row],[YearsAtCompany]]&lt;=10,3,4)))</f>
        <v>1</v>
      </c>
      <c r="AK74" s="1" t="str">
        <f>CHOOSE(HR_Data[[#This Row],[Education]],"Below College","College","Bachelor","Master","Doctor")</f>
        <v>Master</v>
      </c>
      <c r="AL74" s="1" t="str">
        <f>CHOOSE(HR_Data[[#This Row],[JobSatisfaction]],"Low","Medium","High","Very High")</f>
        <v>Medium</v>
      </c>
      <c r="AM74" s="1" t="str">
        <f>CHOOSE(HR_Data[[#This Row],[EnvironmentSatisfaction]],"Low","Medium","High","Very High")</f>
        <v>High</v>
      </c>
      <c r="AN74" s="1" t="str">
        <f>CHOOSE(HR_Data[[#This Row],[WorkLifeBalance]],"Bad","Good","Better","Best")</f>
        <v>Better</v>
      </c>
      <c r="AO74" s="1" t="str">
        <f>IF(HR_Data[[#This Row],[PercentSalaryHike]]&lt;=13,"11-13%",IF(HR_Data[[#This Row],[PercentSalaryHike]]&lt;=16,"14-16%",IF(HR_Data[[#This Row],[PercentSalaryHike]]&lt;=19,"17-19%","20-25%")))</f>
        <v>17-19%</v>
      </c>
      <c r="AP74" s="1">
        <f>IF(HR_Data[[#This Row],[PercentSalaryHike]]&lt;=13,1,IF(HR_Data[[#This Row],[PercentSalaryHike]]&lt;=16,2,IF(HR_Data[[#This Row],[PercentSalaryHike]]&lt;=19,3,4)))</f>
        <v>3</v>
      </c>
      <c r="AQ74" s="1" t="str">
        <f>IF(HR_Data[[#This Row],[DistanceFromHome]]&lt;=5,"1 to 5",IF(HR_Data[[#This Row],[DistanceFromHome]]&lt;=10,"6 to 10",IF(HR_Data[[#This Row],[DistanceFromHome]]&lt;=20,"11 to 20","21 to 29")))</f>
        <v>1 to 5</v>
      </c>
      <c r="AR74" s="1">
        <f>IF(HR_Data[[#This Row],[DistanceFromHome]]&lt;=5,1,IF(HR_Data[[#This Row],[DistanceFromHome]]&lt;=10,2,IF(HR_Data[[#This Row],[DistanceFromHome]]&lt;=20,3,4)))</f>
        <v>1</v>
      </c>
      <c r="AS74" s="1" t="str">
        <f>IF(HR_Data[[#This Row],[TotalWorkingYears]]&lt;=5,"0-5 Yrs",IF(HR_Data[[#This Row],[TotalWorkingYears]]&lt;=10,"6-10 Yrs",IF(HR_Data[[#This Row],[TotalWorkingYears]]&lt;=20,"11-20 Yrs","20+ Yrs")))</f>
        <v>0-5 Yrs</v>
      </c>
      <c r="AT74" s="1">
        <f>IF(HR_Data[[#This Row],[TotalWorkingYears]]&lt;=5,1,IF(HR_Data[[#This Row],[TotalWorkingYears]]&lt;=10,2,IF(HR_Data[[#This Row],[TotalWorkingYears]]&lt;=20,3,4)))</f>
        <v>1</v>
      </c>
    </row>
    <row r="75" spans="1:46" x14ac:dyDescent="0.25">
      <c r="A75">
        <v>32</v>
      </c>
      <c r="B75" t="s">
        <v>36</v>
      </c>
      <c r="C75" t="s">
        <v>30</v>
      </c>
      <c r="D75" t="s">
        <v>38</v>
      </c>
      <c r="E75">
        <v>1</v>
      </c>
      <c r="F75">
        <v>3</v>
      </c>
      <c r="G75" t="s">
        <v>32</v>
      </c>
      <c r="H75">
        <v>96</v>
      </c>
      <c r="I75">
        <v>2</v>
      </c>
      <c r="J75" t="s">
        <v>39</v>
      </c>
      <c r="K75">
        <v>3</v>
      </c>
      <c r="L75">
        <v>2</v>
      </c>
      <c r="M75" t="s">
        <v>40</v>
      </c>
      <c r="N75">
        <v>2</v>
      </c>
      <c r="O75" t="s">
        <v>41</v>
      </c>
      <c r="P75">
        <v>6220</v>
      </c>
      <c r="Q75">
        <v>1</v>
      </c>
      <c r="R75" t="s">
        <v>36</v>
      </c>
      <c r="S75">
        <v>17</v>
      </c>
      <c r="T75">
        <v>3</v>
      </c>
      <c r="U75">
        <v>2</v>
      </c>
      <c r="V75">
        <v>2</v>
      </c>
      <c r="W75">
        <v>10</v>
      </c>
      <c r="X75">
        <v>3</v>
      </c>
      <c r="Y75">
        <v>3</v>
      </c>
      <c r="Z75">
        <v>10</v>
      </c>
      <c r="AA75">
        <v>4</v>
      </c>
      <c r="AB75">
        <v>0</v>
      </c>
      <c r="AC75">
        <v>9</v>
      </c>
      <c r="AD75">
        <f>IF(HR_Data[[#This Row],[Attrition]]="Yes",1,0)</f>
        <v>0</v>
      </c>
      <c r="AE75" t="str">
        <f>IF(HR_Data[[#This Row],[Age]]&lt;=25,"18-25",IF(HR_Data[[#This Row],[Age]]&lt;=35,"26-35",IF(HR_Data[[#This Row],[Age]]&lt;=45,"36-45",IF(HR_Data[[#This Row],[Age]]&lt;=55,"46-55","55+"))))</f>
        <v>26-35</v>
      </c>
      <c r="AF75">
        <f>IF(HR_Data[[#This Row],[Age]]&lt;=25,1,IF(HR_Data[[#This Row],[Age]]&lt;=35,2,IF(HR_Data[[#This Row],[Age]]&lt;=45,3,IF(HR_Data[[#This Row],[Age]]&lt;=55,4,5))))</f>
        <v>2</v>
      </c>
      <c r="AG75" s="1" t="str">
        <f>IF(HR_Data[[#This Row],[MonthlyIncome]]&lt;3000,"&lt;3K",IF(HR_Data[[#This Row],[MonthlyIncome]]&lt;6000,"3K-6K",IF(HR_Data[[#This Row],[MonthlyIncome]]&lt;10000,"6K-10K","10K+")))</f>
        <v>6K-10K</v>
      </c>
      <c r="AH75" s="1">
        <f>IF(HR_Data[[#This Row],[MonthlyIncome]]&lt;3000,1,IF(HR_Data[[#This Row],[MonthlyIncome]]&lt;6000,2,IF(HR_Data[[#This Row],[MonthlyIncome]]&lt;10000,3,4)))</f>
        <v>3</v>
      </c>
      <c r="AI75" s="1" t="str">
        <f>IF(HR_Data[[#This Row],[YearsAtCompany]]&lt;=2,"0-2 Yrs",IF(HR_Data[[#This Row],[YearsAtCompany]]&lt;=5,"3-5 Yrs",IF(HR_Data[[#This Row],[YearsAtCompany]]&lt;=10,"6-10 Yrs","10+ Yrs")))</f>
        <v>6-10 Yrs</v>
      </c>
      <c r="AJ75" s="1">
        <f>IF(HR_Data[[#This Row],[YearsAtCompany]]&lt;=2,1,IF(HR_Data[[#This Row],[YearsAtCompany]]&lt;=5,2,IF(HR_Data[[#This Row],[YearsAtCompany]]&lt;=10,3,4)))</f>
        <v>3</v>
      </c>
      <c r="AK75" s="1" t="str">
        <f>CHOOSE(HR_Data[[#This Row],[Education]],"Below College","College","Bachelor","Master","Doctor")</f>
        <v>Bachelor</v>
      </c>
      <c r="AL75" s="1" t="str">
        <f>CHOOSE(HR_Data[[#This Row],[JobSatisfaction]],"Low","Medium","High","Very High")</f>
        <v>Medium</v>
      </c>
      <c r="AM75" s="1" t="str">
        <f>CHOOSE(HR_Data[[#This Row],[EnvironmentSatisfaction]],"Low","Medium","High","Very High")</f>
        <v>Medium</v>
      </c>
      <c r="AN75" s="1" t="str">
        <f>CHOOSE(HR_Data[[#This Row],[WorkLifeBalance]],"Bad","Good","Better","Best")</f>
        <v>Better</v>
      </c>
      <c r="AO75" s="1" t="str">
        <f>IF(HR_Data[[#This Row],[PercentSalaryHike]]&lt;=13,"11-13%",IF(HR_Data[[#This Row],[PercentSalaryHike]]&lt;=16,"14-16%",IF(HR_Data[[#This Row],[PercentSalaryHike]]&lt;=19,"17-19%","20-25%")))</f>
        <v>17-19%</v>
      </c>
      <c r="AP75" s="1">
        <f>IF(HR_Data[[#This Row],[PercentSalaryHike]]&lt;=13,1,IF(HR_Data[[#This Row],[PercentSalaryHike]]&lt;=16,2,IF(HR_Data[[#This Row],[PercentSalaryHike]]&lt;=19,3,4)))</f>
        <v>3</v>
      </c>
      <c r="AQ75" s="1" t="str">
        <f>IF(HR_Data[[#This Row],[DistanceFromHome]]&lt;=5,"1 to 5",IF(HR_Data[[#This Row],[DistanceFromHome]]&lt;=10,"6 to 10",IF(HR_Data[[#This Row],[DistanceFromHome]]&lt;=20,"11 to 20","21 to 29")))</f>
        <v>1 to 5</v>
      </c>
      <c r="AR75" s="1">
        <f>IF(HR_Data[[#This Row],[DistanceFromHome]]&lt;=5,1,IF(HR_Data[[#This Row],[DistanceFromHome]]&lt;=10,2,IF(HR_Data[[#This Row],[DistanceFromHome]]&lt;=20,3,4)))</f>
        <v>1</v>
      </c>
      <c r="AS75" s="1" t="str">
        <f>IF(HR_Data[[#This Row],[TotalWorkingYears]]&lt;=5,"0-5 Yrs",IF(HR_Data[[#This Row],[TotalWorkingYears]]&lt;=10,"6-10 Yrs",IF(HR_Data[[#This Row],[TotalWorkingYears]]&lt;=20,"11-20 Yrs","20+ Yrs")))</f>
        <v>6-10 Yrs</v>
      </c>
      <c r="AT75" s="1">
        <f>IF(HR_Data[[#This Row],[TotalWorkingYears]]&lt;=5,1,IF(HR_Data[[#This Row],[TotalWorkingYears]]&lt;=10,2,IF(HR_Data[[#This Row],[TotalWorkingYears]]&lt;=20,3,4)))</f>
        <v>2</v>
      </c>
    </row>
    <row r="76" spans="1:46" x14ac:dyDescent="0.25">
      <c r="A76">
        <v>36</v>
      </c>
      <c r="B76" t="s">
        <v>36</v>
      </c>
      <c r="C76" t="s">
        <v>30</v>
      </c>
      <c r="D76" t="s">
        <v>38</v>
      </c>
      <c r="E76">
        <v>6</v>
      </c>
      <c r="F76">
        <v>3</v>
      </c>
      <c r="G76" t="s">
        <v>32</v>
      </c>
      <c r="H76">
        <v>97</v>
      </c>
      <c r="I76">
        <v>2</v>
      </c>
      <c r="J76" t="s">
        <v>33</v>
      </c>
      <c r="K76">
        <v>4</v>
      </c>
      <c r="L76">
        <v>1</v>
      </c>
      <c r="M76" t="s">
        <v>43</v>
      </c>
      <c r="N76">
        <v>4</v>
      </c>
      <c r="O76" t="s">
        <v>41</v>
      </c>
      <c r="P76">
        <v>3038</v>
      </c>
      <c r="Q76">
        <v>3</v>
      </c>
      <c r="R76" t="s">
        <v>36</v>
      </c>
      <c r="S76">
        <v>12</v>
      </c>
      <c r="T76">
        <v>3</v>
      </c>
      <c r="U76">
        <v>2</v>
      </c>
      <c r="V76">
        <v>0</v>
      </c>
      <c r="W76">
        <v>5</v>
      </c>
      <c r="X76">
        <v>3</v>
      </c>
      <c r="Y76">
        <v>3</v>
      </c>
      <c r="Z76">
        <v>1</v>
      </c>
      <c r="AA76">
        <v>0</v>
      </c>
      <c r="AB76">
        <v>0</v>
      </c>
      <c r="AC76">
        <v>0</v>
      </c>
      <c r="AD76">
        <f>IF(HR_Data[[#This Row],[Attrition]]="Yes",1,0)</f>
        <v>0</v>
      </c>
      <c r="AE76" t="str">
        <f>IF(HR_Data[[#This Row],[Age]]&lt;=25,"18-25",IF(HR_Data[[#This Row],[Age]]&lt;=35,"26-35",IF(HR_Data[[#This Row],[Age]]&lt;=45,"36-45",IF(HR_Data[[#This Row],[Age]]&lt;=55,"46-55","55+"))))</f>
        <v>36-45</v>
      </c>
      <c r="AF76">
        <f>IF(HR_Data[[#This Row],[Age]]&lt;=25,1,IF(HR_Data[[#This Row],[Age]]&lt;=35,2,IF(HR_Data[[#This Row],[Age]]&lt;=45,3,IF(HR_Data[[#This Row],[Age]]&lt;=55,4,5))))</f>
        <v>3</v>
      </c>
      <c r="AG76" s="1" t="str">
        <f>IF(HR_Data[[#This Row],[MonthlyIncome]]&lt;3000,"&lt;3K",IF(HR_Data[[#This Row],[MonthlyIncome]]&lt;6000,"3K-6K",IF(HR_Data[[#This Row],[MonthlyIncome]]&lt;10000,"6K-10K","10K+")))</f>
        <v>3K-6K</v>
      </c>
      <c r="AH76" s="1">
        <f>IF(HR_Data[[#This Row],[MonthlyIncome]]&lt;3000,1,IF(HR_Data[[#This Row],[MonthlyIncome]]&lt;6000,2,IF(HR_Data[[#This Row],[MonthlyIncome]]&lt;10000,3,4)))</f>
        <v>2</v>
      </c>
      <c r="AI76" s="1" t="str">
        <f>IF(HR_Data[[#This Row],[YearsAtCompany]]&lt;=2,"0-2 Yrs",IF(HR_Data[[#This Row],[YearsAtCompany]]&lt;=5,"3-5 Yrs",IF(HR_Data[[#This Row],[YearsAtCompany]]&lt;=10,"6-10 Yrs","10+ Yrs")))</f>
        <v>0-2 Yrs</v>
      </c>
      <c r="AJ76" s="1">
        <f>IF(HR_Data[[#This Row],[YearsAtCompany]]&lt;=2,1,IF(HR_Data[[#This Row],[YearsAtCompany]]&lt;=5,2,IF(HR_Data[[#This Row],[YearsAtCompany]]&lt;=10,3,4)))</f>
        <v>1</v>
      </c>
      <c r="AK76" s="1" t="str">
        <f>CHOOSE(HR_Data[[#This Row],[Education]],"Below College","College","Bachelor","Master","Doctor")</f>
        <v>Bachelor</v>
      </c>
      <c r="AL76" s="1" t="str">
        <f>CHOOSE(HR_Data[[#This Row],[JobSatisfaction]],"Low","Medium","High","Very High")</f>
        <v>Very High</v>
      </c>
      <c r="AM76" s="1" t="str">
        <f>CHOOSE(HR_Data[[#This Row],[EnvironmentSatisfaction]],"Low","Medium","High","Very High")</f>
        <v>Medium</v>
      </c>
      <c r="AN76" s="1" t="str">
        <f>CHOOSE(HR_Data[[#This Row],[WorkLifeBalance]],"Bad","Good","Better","Best")</f>
        <v>Better</v>
      </c>
      <c r="AO76" s="1" t="str">
        <f>IF(HR_Data[[#This Row],[PercentSalaryHike]]&lt;=13,"11-13%",IF(HR_Data[[#This Row],[PercentSalaryHike]]&lt;=16,"14-16%",IF(HR_Data[[#This Row],[PercentSalaryHike]]&lt;=19,"17-19%","20-25%")))</f>
        <v>11-13%</v>
      </c>
      <c r="AP76" s="1">
        <f>IF(HR_Data[[#This Row],[PercentSalaryHike]]&lt;=13,1,IF(HR_Data[[#This Row],[PercentSalaryHike]]&lt;=16,2,IF(HR_Data[[#This Row],[PercentSalaryHike]]&lt;=19,3,4)))</f>
        <v>1</v>
      </c>
      <c r="AQ76" s="1" t="str">
        <f>IF(HR_Data[[#This Row],[DistanceFromHome]]&lt;=5,"1 to 5",IF(HR_Data[[#This Row],[DistanceFromHome]]&lt;=10,"6 to 10",IF(HR_Data[[#This Row],[DistanceFromHome]]&lt;=20,"11 to 20","21 to 29")))</f>
        <v>6 to 10</v>
      </c>
      <c r="AR76" s="1">
        <f>IF(HR_Data[[#This Row],[DistanceFromHome]]&lt;=5,1,IF(HR_Data[[#This Row],[DistanceFromHome]]&lt;=10,2,IF(HR_Data[[#This Row],[DistanceFromHome]]&lt;=20,3,4)))</f>
        <v>2</v>
      </c>
      <c r="AS76" s="1" t="str">
        <f>IF(HR_Data[[#This Row],[TotalWorkingYears]]&lt;=5,"0-5 Yrs",IF(HR_Data[[#This Row],[TotalWorkingYears]]&lt;=10,"6-10 Yrs",IF(HR_Data[[#This Row],[TotalWorkingYears]]&lt;=20,"11-20 Yrs","20+ Yrs")))</f>
        <v>0-5 Yrs</v>
      </c>
      <c r="AT76" s="1">
        <f>IF(HR_Data[[#This Row],[TotalWorkingYears]]&lt;=5,1,IF(HR_Data[[#This Row],[TotalWorkingYears]]&lt;=10,2,IF(HR_Data[[#This Row],[TotalWorkingYears]]&lt;=20,3,4)))</f>
        <v>1</v>
      </c>
    </row>
    <row r="77" spans="1:46" x14ac:dyDescent="0.25">
      <c r="A77">
        <v>31</v>
      </c>
      <c r="B77" t="s">
        <v>36</v>
      </c>
      <c r="C77" t="s">
        <v>30</v>
      </c>
      <c r="D77" t="s">
        <v>38</v>
      </c>
      <c r="E77">
        <v>8</v>
      </c>
      <c r="F77">
        <v>4</v>
      </c>
      <c r="G77" t="s">
        <v>32</v>
      </c>
      <c r="H77">
        <v>98</v>
      </c>
      <c r="I77">
        <v>3</v>
      </c>
      <c r="J77" t="s">
        <v>33</v>
      </c>
      <c r="K77">
        <v>3</v>
      </c>
      <c r="L77">
        <v>2</v>
      </c>
      <c r="M77" t="s">
        <v>46</v>
      </c>
      <c r="N77">
        <v>4</v>
      </c>
      <c r="O77" t="s">
        <v>35</v>
      </c>
      <c r="P77">
        <v>4424</v>
      </c>
      <c r="Q77">
        <v>1</v>
      </c>
      <c r="R77" t="s">
        <v>36</v>
      </c>
      <c r="S77">
        <v>23</v>
      </c>
      <c r="T77">
        <v>4</v>
      </c>
      <c r="U77">
        <v>4</v>
      </c>
      <c r="V77">
        <v>0</v>
      </c>
      <c r="W77">
        <v>11</v>
      </c>
      <c r="X77">
        <v>2</v>
      </c>
      <c r="Y77">
        <v>3</v>
      </c>
      <c r="Z77">
        <v>11</v>
      </c>
      <c r="AA77">
        <v>7</v>
      </c>
      <c r="AB77">
        <v>1</v>
      </c>
      <c r="AC77">
        <v>8</v>
      </c>
      <c r="AD77">
        <f>IF(HR_Data[[#This Row],[Attrition]]="Yes",1,0)</f>
        <v>0</v>
      </c>
      <c r="AE77" t="str">
        <f>IF(HR_Data[[#This Row],[Age]]&lt;=25,"18-25",IF(HR_Data[[#This Row],[Age]]&lt;=35,"26-35",IF(HR_Data[[#This Row],[Age]]&lt;=45,"36-45",IF(HR_Data[[#This Row],[Age]]&lt;=55,"46-55","55+"))))</f>
        <v>26-35</v>
      </c>
      <c r="AF77">
        <f>IF(HR_Data[[#This Row],[Age]]&lt;=25,1,IF(HR_Data[[#This Row],[Age]]&lt;=35,2,IF(HR_Data[[#This Row],[Age]]&lt;=45,3,IF(HR_Data[[#This Row],[Age]]&lt;=55,4,5))))</f>
        <v>2</v>
      </c>
      <c r="AG77" s="1" t="str">
        <f>IF(HR_Data[[#This Row],[MonthlyIncome]]&lt;3000,"&lt;3K",IF(HR_Data[[#This Row],[MonthlyIncome]]&lt;6000,"3K-6K",IF(HR_Data[[#This Row],[MonthlyIncome]]&lt;10000,"6K-10K","10K+")))</f>
        <v>3K-6K</v>
      </c>
      <c r="AH77" s="1">
        <f>IF(HR_Data[[#This Row],[MonthlyIncome]]&lt;3000,1,IF(HR_Data[[#This Row],[MonthlyIncome]]&lt;6000,2,IF(HR_Data[[#This Row],[MonthlyIncome]]&lt;10000,3,4)))</f>
        <v>2</v>
      </c>
      <c r="AI77" s="1" t="str">
        <f>IF(HR_Data[[#This Row],[YearsAtCompany]]&lt;=2,"0-2 Yrs",IF(HR_Data[[#This Row],[YearsAtCompany]]&lt;=5,"3-5 Yrs",IF(HR_Data[[#This Row],[YearsAtCompany]]&lt;=10,"6-10 Yrs","10+ Yrs")))</f>
        <v>10+ Yrs</v>
      </c>
      <c r="AJ77" s="1">
        <f>IF(HR_Data[[#This Row],[YearsAtCompany]]&lt;=2,1,IF(HR_Data[[#This Row],[YearsAtCompany]]&lt;=5,2,IF(HR_Data[[#This Row],[YearsAtCompany]]&lt;=10,3,4)))</f>
        <v>4</v>
      </c>
      <c r="AK77" s="1" t="str">
        <f>CHOOSE(HR_Data[[#This Row],[Education]],"Below College","College","Bachelor","Master","Doctor")</f>
        <v>Master</v>
      </c>
      <c r="AL77" s="1" t="str">
        <f>CHOOSE(HR_Data[[#This Row],[JobSatisfaction]],"Low","Medium","High","Very High")</f>
        <v>Very High</v>
      </c>
      <c r="AM77" s="1" t="str">
        <f>CHOOSE(HR_Data[[#This Row],[EnvironmentSatisfaction]],"Low","Medium","High","Very High")</f>
        <v>High</v>
      </c>
      <c r="AN77" s="1" t="str">
        <f>CHOOSE(HR_Data[[#This Row],[WorkLifeBalance]],"Bad","Good","Better","Best")</f>
        <v>Better</v>
      </c>
      <c r="AO77" s="1" t="str">
        <f>IF(HR_Data[[#This Row],[PercentSalaryHike]]&lt;=13,"11-13%",IF(HR_Data[[#This Row],[PercentSalaryHike]]&lt;=16,"14-16%",IF(HR_Data[[#This Row],[PercentSalaryHike]]&lt;=19,"17-19%","20-25%")))</f>
        <v>20-25%</v>
      </c>
      <c r="AP77" s="1">
        <f>IF(HR_Data[[#This Row],[PercentSalaryHike]]&lt;=13,1,IF(HR_Data[[#This Row],[PercentSalaryHike]]&lt;=16,2,IF(HR_Data[[#This Row],[PercentSalaryHike]]&lt;=19,3,4)))</f>
        <v>4</v>
      </c>
      <c r="AQ77" s="1" t="str">
        <f>IF(HR_Data[[#This Row],[DistanceFromHome]]&lt;=5,"1 to 5",IF(HR_Data[[#This Row],[DistanceFromHome]]&lt;=10,"6 to 10",IF(HR_Data[[#This Row],[DistanceFromHome]]&lt;=20,"11 to 20","21 to 29")))</f>
        <v>6 to 10</v>
      </c>
      <c r="AR77" s="1">
        <f>IF(HR_Data[[#This Row],[DistanceFromHome]]&lt;=5,1,IF(HR_Data[[#This Row],[DistanceFromHome]]&lt;=10,2,IF(HR_Data[[#This Row],[DistanceFromHome]]&lt;=20,3,4)))</f>
        <v>2</v>
      </c>
      <c r="AS77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77" s="1">
        <f>IF(HR_Data[[#This Row],[TotalWorkingYears]]&lt;=5,1,IF(HR_Data[[#This Row],[TotalWorkingYears]]&lt;=10,2,IF(HR_Data[[#This Row],[TotalWorkingYears]]&lt;=20,3,4)))</f>
        <v>3</v>
      </c>
    </row>
    <row r="78" spans="1:46" x14ac:dyDescent="0.25">
      <c r="A78">
        <v>35</v>
      </c>
      <c r="B78" t="s">
        <v>36</v>
      </c>
      <c r="C78" t="s">
        <v>30</v>
      </c>
      <c r="D78" t="s">
        <v>31</v>
      </c>
      <c r="E78">
        <v>1</v>
      </c>
      <c r="F78">
        <v>4</v>
      </c>
      <c r="G78" t="s">
        <v>52</v>
      </c>
      <c r="H78">
        <v>100</v>
      </c>
      <c r="I78">
        <v>3</v>
      </c>
      <c r="J78" t="s">
        <v>39</v>
      </c>
      <c r="K78">
        <v>2</v>
      </c>
      <c r="L78">
        <v>2</v>
      </c>
      <c r="M78" t="s">
        <v>34</v>
      </c>
      <c r="N78">
        <v>1</v>
      </c>
      <c r="O78" t="s">
        <v>35</v>
      </c>
      <c r="P78">
        <v>4312</v>
      </c>
      <c r="Q78">
        <v>0</v>
      </c>
      <c r="R78" t="s">
        <v>36</v>
      </c>
      <c r="S78">
        <v>14</v>
      </c>
      <c r="T78">
        <v>3</v>
      </c>
      <c r="U78">
        <v>2</v>
      </c>
      <c r="V78">
        <v>0</v>
      </c>
      <c r="W78">
        <v>16</v>
      </c>
      <c r="X78">
        <v>2</v>
      </c>
      <c r="Y78">
        <v>3</v>
      </c>
      <c r="Z78">
        <v>15</v>
      </c>
      <c r="AA78">
        <v>13</v>
      </c>
      <c r="AB78">
        <v>2</v>
      </c>
      <c r="AC78">
        <v>8</v>
      </c>
      <c r="AD78">
        <f>IF(HR_Data[[#This Row],[Attrition]]="Yes",1,0)</f>
        <v>0</v>
      </c>
      <c r="AE78" t="str">
        <f>IF(HR_Data[[#This Row],[Age]]&lt;=25,"18-25",IF(HR_Data[[#This Row],[Age]]&lt;=35,"26-35",IF(HR_Data[[#This Row],[Age]]&lt;=45,"36-45",IF(HR_Data[[#This Row],[Age]]&lt;=55,"46-55","55+"))))</f>
        <v>26-35</v>
      </c>
      <c r="AF78">
        <f>IF(HR_Data[[#This Row],[Age]]&lt;=25,1,IF(HR_Data[[#This Row],[Age]]&lt;=35,2,IF(HR_Data[[#This Row],[Age]]&lt;=45,3,IF(HR_Data[[#This Row],[Age]]&lt;=55,4,5))))</f>
        <v>2</v>
      </c>
      <c r="AG78" s="1" t="str">
        <f>IF(HR_Data[[#This Row],[MonthlyIncome]]&lt;3000,"&lt;3K",IF(HR_Data[[#This Row],[MonthlyIncome]]&lt;6000,"3K-6K",IF(HR_Data[[#This Row],[MonthlyIncome]]&lt;10000,"6K-10K","10K+")))</f>
        <v>3K-6K</v>
      </c>
      <c r="AH78" s="1">
        <f>IF(HR_Data[[#This Row],[MonthlyIncome]]&lt;3000,1,IF(HR_Data[[#This Row],[MonthlyIncome]]&lt;6000,2,IF(HR_Data[[#This Row],[MonthlyIncome]]&lt;10000,3,4)))</f>
        <v>2</v>
      </c>
      <c r="AI78" s="1" t="str">
        <f>IF(HR_Data[[#This Row],[YearsAtCompany]]&lt;=2,"0-2 Yrs",IF(HR_Data[[#This Row],[YearsAtCompany]]&lt;=5,"3-5 Yrs",IF(HR_Data[[#This Row],[YearsAtCompany]]&lt;=10,"6-10 Yrs","10+ Yrs")))</f>
        <v>10+ Yrs</v>
      </c>
      <c r="AJ78" s="1">
        <f>IF(HR_Data[[#This Row],[YearsAtCompany]]&lt;=2,1,IF(HR_Data[[#This Row],[YearsAtCompany]]&lt;=5,2,IF(HR_Data[[#This Row],[YearsAtCompany]]&lt;=10,3,4)))</f>
        <v>4</v>
      </c>
      <c r="AK78" s="1" t="str">
        <f>CHOOSE(HR_Data[[#This Row],[Education]],"Below College","College","Bachelor","Master","Doctor")</f>
        <v>Master</v>
      </c>
      <c r="AL78" s="1" t="str">
        <f>CHOOSE(HR_Data[[#This Row],[JobSatisfaction]],"Low","Medium","High","Very High")</f>
        <v>Low</v>
      </c>
      <c r="AM78" s="1" t="str">
        <f>CHOOSE(HR_Data[[#This Row],[EnvironmentSatisfaction]],"Low","Medium","High","Very High")</f>
        <v>High</v>
      </c>
      <c r="AN78" s="1" t="str">
        <f>CHOOSE(HR_Data[[#This Row],[WorkLifeBalance]],"Bad","Good","Better","Best")</f>
        <v>Better</v>
      </c>
      <c r="AO78" s="1" t="str">
        <f>IF(HR_Data[[#This Row],[PercentSalaryHike]]&lt;=13,"11-13%",IF(HR_Data[[#This Row],[PercentSalaryHike]]&lt;=16,"14-16%",IF(HR_Data[[#This Row],[PercentSalaryHike]]&lt;=19,"17-19%","20-25%")))</f>
        <v>14-16%</v>
      </c>
      <c r="AP78" s="1">
        <f>IF(HR_Data[[#This Row],[PercentSalaryHike]]&lt;=13,1,IF(HR_Data[[#This Row],[PercentSalaryHike]]&lt;=16,2,IF(HR_Data[[#This Row],[PercentSalaryHike]]&lt;=19,3,4)))</f>
        <v>2</v>
      </c>
      <c r="AQ78" s="1" t="str">
        <f>IF(HR_Data[[#This Row],[DistanceFromHome]]&lt;=5,"1 to 5",IF(HR_Data[[#This Row],[DistanceFromHome]]&lt;=10,"6 to 10",IF(HR_Data[[#This Row],[DistanceFromHome]]&lt;=20,"11 to 20","21 to 29")))</f>
        <v>1 to 5</v>
      </c>
      <c r="AR78" s="1">
        <f>IF(HR_Data[[#This Row],[DistanceFromHome]]&lt;=5,1,IF(HR_Data[[#This Row],[DistanceFromHome]]&lt;=10,2,IF(HR_Data[[#This Row],[DistanceFromHome]]&lt;=20,3,4)))</f>
        <v>1</v>
      </c>
      <c r="AS78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78" s="1">
        <f>IF(HR_Data[[#This Row],[TotalWorkingYears]]&lt;=5,1,IF(HR_Data[[#This Row],[TotalWorkingYears]]&lt;=10,2,IF(HR_Data[[#This Row],[TotalWorkingYears]]&lt;=20,3,4)))</f>
        <v>3</v>
      </c>
    </row>
    <row r="79" spans="1:46" x14ac:dyDescent="0.25">
      <c r="A79">
        <v>45</v>
      </c>
      <c r="B79" t="s">
        <v>36</v>
      </c>
      <c r="C79" t="s">
        <v>30</v>
      </c>
      <c r="D79" t="s">
        <v>38</v>
      </c>
      <c r="E79">
        <v>6</v>
      </c>
      <c r="F79">
        <v>4</v>
      </c>
      <c r="G79" t="s">
        <v>42</v>
      </c>
      <c r="H79">
        <v>101</v>
      </c>
      <c r="I79">
        <v>4</v>
      </c>
      <c r="J79" t="s">
        <v>39</v>
      </c>
      <c r="K79">
        <v>3</v>
      </c>
      <c r="L79">
        <v>3</v>
      </c>
      <c r="M79" t="s">
        <v>51</v>
      </c>
      <c r="N79">
        <v>1</v>
      </c>
      <c r="O79" t="s">
        <v>41</v>
      </c>
      <c r="P79">
        <v>13245</v>
      </c>
      <c r="Q79">
        <v>4</v>
      </c>
      <c r="R79" t="s">
        <v>29</v>
      </c>
      <c r="S79">
        <v>14</v>
      </c>
      <c r="T79">
        <v>3</v>
      </c>
      <c r="U79">
        <v>2</v>
      </c>
      <c r="V79">
        <v>0</v>
      </c>
      <c r="W79">
        <v>17</v>
      </c>
      <c r="X79">
        <v>3</v>
      </c>
      <c r="Y79">
        <v>4</v>
      </c>
      <c r="Z79">
        <v>0</v>
      </c>
      <c r="AA79">
        <v>0</v>
      </c>
      <c r="AB79">
        <v>0</v>
      </c>
      <c r="AC79">
        <v>0</v>
      </c>
      <c r="AD79">
        <f>IF(HR_Data[[#This Row],[Attrition]]="Yes",1,0)</f>
        <v>0</v>
      </c>
      <c r="AE79" t="str">
        <f>IF(HR_Data[[#This Row],[Age]]&lt;=25,"18-25",IF(HR_Data[[#This Row],[Age]]&lt;=35,"26-35",IF(HR_Data[[#This Row],[Age]]&lt;=45,"36-45",IF(HR_Data[[#This Row],[Age]]&lt;=55,"46-55","55+"))))</f>
        <v>36-45</v>
      </c>
      <c r="AF79">
        <f>IF(HR_Data[[#This Row],[Age]]&lt;=25,1,IF(HR_Data[[#This Row],[Age]]&lt;=35,2,IF(HR_Data[[#This Row],[Age]]&lt;=45,3,IF(HR_Data[[#This Row],[Age]]&lt;=55,4,5))))</f>
        <v>3</v>
      </c>
      <c r="AG79" s="1" t="str">
        <f>IF(HR_Data[[#This Row],[MonthlyIncome]]&lt;3000,"&lt;3K",IF(HR_Data[[#This Row],[MonthlyIncome]]&lt;6000,"3K-6K",IF(HR_Data[[#This Row],[MonthlyIncome]]&lt;10000,"6K-10K","10K+")))</f>
        <v>10K+</v>
      </c>
      <c r="AH79" s="1">
        <f>IF(HR_Data[[#This Row],[MonthlyIncome]]&lt;3000,1,IF(HR_Data[[#This Row],[MonthlyIncome]]&lt;6000,2,IF(HR_Data[[#This Row],[MonthlyIncome]]&lt;10000,3,4)))</f>
        <v>4</v>
      </c>
      <c r="AI79" s="1" t="str">
        <f>IF(HR_Data[[#This Row],[YearsAtCompany]]&lt;=2,"0-2 Yrs",IF(HR_Data[[#This Row],[YearsAtCompany]]&lt;=5,"3-5 Yrs",IF(HR_Data[[#This Row],[YearsAtCompany]]&lt;=10,"6-10 Yrs","10+ Yrs")))</f>
        <v>0-2 Yrs</v>
      </c>
      <c r="AJ79" s="1">
        <f>IF(HR_Data[[#This Row],[YearsAtCompany]]&lt;=2,1,IF(HR_Data[[#This Row],[YearsAtCompany]]&lt;=5,2,IF(HR_Data[[#This Row],[YearsAtCompany]]&lt;=10,3,4)))</f>
        <v>1</v>
      </c>
      <c r="AK79" s="1" t="str">
        <f>CHOOSE(HR_Data[[#This Row],[Education]],"Below College","College","Bachelor","Master","Doctor")</f>
        <v>Master</v>
      </c>
      <c r="AL79" s="1" t="str">
        <f>CHOOSE(HR_Data[[#This Row],[JobSatisfaction]],"Low","Medium","High","Very High")</f>
        <v>Low</v>
      </c>
      <c r="AM79" s="1" t="str">
        <f>CHOOSE(HR_Data[[#This Row],[EnvironmentSatisfaction]],"Low","Medium","High","Very High")</f>
        <v>Very High</v>
      </c>
      <c r="AN79" s="1" t="str">
        <f>CHOOSE(HR_Data[[#This Row],[WorkLifeBalance]],"Bad","Good","Better","Best")</f>
        <v>Best</v>
      </c>
      <c r="AO79" s="1" t="str">
        <f>IF(HR_Data[[#This Row],[PercentSalaryHike]]&lt;=13,"11-13%",IF(HR_Data[[#This Row],[PercentSalaryHike]]&lt;=16,"14-16%",IF(HR_Data[[#This Row],[PercentSalaryHike]]&lt;=19,"17-19%","20-25%")))</f>
        <v>14-16%</v>
      </c>
      <c r="AP79" s="1">
        <f>IF(HR_Data[[#This Row],[PercentSalaryHike]]&lt;=13,1,IF(HR_Data[[#This Row],[PercentSalaryHike]]&lt;=16,2,IF(HR_Data[[#This Row],[PercentSalaryHike]]&lt;=19,3,4)))</f>
        <v>2</v>
      </c>
      <c r="AQ79" s="1" t="str">
        <f>IF(HR_Data[[#This Row],[DistanceFromHome]]&lt;=5,"1 to 5",IF(HR_Data[[#This Row],[DistanceFromHome]]&lt;=10,"6 to 10",IF(HR_Data[[#This Row],[DistanceFromHome]]&lt;=20,"11 to 20","21 to 29")))</f>
        <v>6 to 10</v>
      </c>
      <c r="AR79" s="1">
        <f>IF(HR_Data[[#This Row],[DistanceFromHome]]&lt;=5,1,IF(HR_Data[[#This Row],[DistanceFromHome]]&lt;=10,2,IF(HR_Data[[#This Row],[DistanceFromHome]]&lt;=20,3,4)))</f>
        <v>2</v>
      </c>
      <c r="AS79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79" s="1">
        <f>IF(HR_Data[[#This Row],[TotalWorkingYears]]&lt;=5,1,IF(HR_Data[[#This Row],[TotalWorkingYears]]&lt;=10,2,IF(HR_Data[[#This Row],[TotalWorkingYears]]&lt;=20,3,4)))</f>
        <v>3</v>
      </c>
    </row>
    <row r="80" spans="1:46" x14ac:dyDescent="0.25">
      <c r="A80">
        <v>37</v>
      </c>
      <c r="B80" t="s">
        <v>36</v>
      </c>
      <c r="C80" t="s">
        <v>30</v>
      </c>
      <c r="D80" t="s">
        <v>38</v>
      </c>
      <c r="E80">
        <v>7</v>
      </c>
      <c r="F80">
        <v>4</v>
      </c>
      <c r="G80" t="s">
        <v>44</v>
      </c>
      <c r="H80">
        <v>102</v>
      </c>
      <c r="I80">
        <v>1</v>
      </c>
      <c r="J80" t="s">
        <v>39</v>
      </c>
      <c r="K80">
        <v>3</v>
      </c>
      <c r="L80">
        <v>3</v>
      </c>
      <c r="M80" t="s">
        <v>51</v>
      </c>
      <c r="N80">
        <v>3</v>
      </c>
      <c r="O80" t="s">
        <v>35</v>
      </c>
      <c r="P80">
        <v>13664</v>
      </c>
      <c r="Q80">
        <v>4</v>
      </c>
      <c r="R80" t="s">
        <v>36</v>
      </c>
      <c r="S80">
        <v>13</v>
      </c>
      <c r="T80">
        <v>3</v>
      </c>
      <c r="U80">
        <v>1</v>
      </c>
      <c r="V80">
        <v>0</v>
      </c>
      <c r="W80">
        <v>16</v>
      </c>
      <c r="X80">
        <v>3</v>
      </c>
      <c r="Y80">
        <v>4</v>
      </c>
      <c r="Z80">
        <v>5</v>
      </c>
      <c r="AA80">
        <v>2</v>
      </c>
      <c r="AB80">
        <v>0</v>
      </c>
      <c r="AC80">
        <v>2</v>
      </c>
      <c r="AD80">
        <f>IF(HR_Data[[#This Row],[Attrition]]="Yes",1,0)</f>
        <v>0</v>
      </c>
      <c r="AE80" t="str">
        <f>IF(HR_Data[[#This Row],[Age]]&lt;=25,"18-25",IF(HR_Data[[#This Row],[Age]]&lt;=35,"26-35",IF(HR_Data[[#This Row],[Age]]&lt;=45,"36-45",IF(HR_Data[[#This Row],[Age]]&lt;=55,"46-55","55+"))))</f>
        <v>36-45</v>
      </c>
      <c r="AF80">
        <f>IF(HR_Data[[#This Row],[Age]]&lt;=25,1,IF(HR_Data[[#This Row],[Age]]&lt;=35,2,IF(HR_Data[[#This Row],[Age]]&lt;=45,3,IF(HR_Data[[#This Row],[Age]]&lt;=55,4,5))))</f>
        <v>3</v>
      </c>
      <c r="AG80" s="1" t="str">
        <f>IF(HR_Data[[#This Row],[MonthlyIncome]]&lt;3000,"&lt;3K",IF(HR_Data[[#This Row],[MonthlyIncome]]&lt;6000,"3K-6K",IF(HR_Data[[#This Row],[MonthlyIncome]]&lt;10000,"6K-10K","10K+")))</f>
        <v>10K+</v>
      </c>
      <c r="AH80" s="1">
        <f>IF(HR_Data[[#This Row],[MonthlyIncome]]&lt;3000,1,IF(HR_Data[[#This Row],[MonthlyIncome]]&lt;6000,2,IF(HR_Data[[#This Row],[MonthlyIncome]]&lt;10000,3,4)))</f>
        <v>4</v>
      </c>
      <c r="AI80" s="1" t="str">
        <f>IF(HR_Data[[#This Row],[YearsAtCompany]]&lt;=2,"0-2 Yrs",IF(HR_Data[[#This Row],[YearsAtCompany]]&lt;=5,"3-5 Yrs",IF(HR_Data[[#This Row],[YearsAtCompany]]&lt;=10,"6-10 Yrs","10+ Yrs")))</f>
        <v>3-5 Yrs</v>
      </c>
      <c r="AJ80" s="1">
        <f>IF(HR_Data[[#This Row],[YearsAtCompany]]&lt;=2,1,IF(HR_Data[[#This Row],[YearsAtCompany]]&lt;=5,2,IF(HR_Data[[#This Row],[YearsAtCompany]]&lt;=10,3,4)))</f>
        <v>2</v>
      </c>
      <c r="AK80" s="1" t="str">
        <f>CHOOSE(HR_Data[[#This Row],[Education]],"Below College","College","Bachelor","Master","Doctor")</f>
        <v>Master</v>
      </c>
      <c r="AL80" s="1" t="str">
        <f>CHOOSE(HR_Data[[#This Row],[JobSatisfaction]],"Low","Medium","High","Very High")</f>
        <v>High</v>
      </c>
      <c r="AM80" s="1" t="str">
        <f>CHOOSE(HR_Data[[#This Row],[EnvironmentSatisfaction]],"Low","Medium","High","Very High")</f>
        <v>Low</v>
      </c>
      <c r="AN80" s="1" t="str">
        <f>CHOOSE(HR_Data[[#This Row],[WorkLifeBalance]],"Bad","Good","Better","Best")</f>
        <v>Best</v>
      </c>
      <c r="AO80" s="1" t="str">
        <f>IF(HR_Data[[#This Row],[PercentSalaryHike]]&lt;=13,"11-13%",IF(HR_Data[[#This Row],[PercentSalaryHike]]&lt;=16,"14-16%",IF(HR_Data[[#This Row],[PercentSalaryHike]]&lt;=19,"17-19%","20-25%")))</f>
        <v>11-13%</v>
      </c>
      <c r="AP80" s="1">
        <f>IF(HR_Data[[#This Row],[PercentSalaryHike]]&lt;=13,1,IF(HR_Data[[#This Row],[PercentSalaryHike]]&lt;=16,2,IF(HR_Data[[#This Row],[PercentSalaryHike]]&lt;=19,3,4)))</f>
        <v>1</v>
      </c>
      <c r="AQ80" s="1" t="str">
        <f>IF(HR_Data[[#This Row],[DistanceFromHome]]&lt;=5,"1 to 5",IF(HR_Data[[#This Row],[DistanceFromHome]]&lt;=10,"6 to 10",IF(HR_Data[[#This Row],[DistanceFromHome]]&lt;=20,"11 to 20","21 to 29")))</f>
        <v>6 to 10</v>
      </c>
      <c r="AR80" s="1">
        <f>IF(HR_Data[[#This Row],[DistanceFromHome]]&lt;=5,1,IF(HR_Data[[#This Row],[DistanceFromHome]]&lt;=10,2,IF(HR_Data[[#This Row],[DistanceFromHome]]&lt;=20,3,4)))</f>
        <v>2</v>
      </c>
      <c r="AS80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80" s="1">
        <f>IF(HR_Data[[#This Row],[TotalWorkingYears]]&lt;=5,1,IF(HR_Data[[#This Row],[TotalWorkingYears]]&lt;=10,2,IF(HR_Data[[#This Row],[TotalWorkingYears]]&lt;=20,3,4)))</f>
        <v>3</v>
      </c>
    </row>
    <row r="81" spans="1:46" x14ac:dyDescent="0.25">
      <c r="A81">
        <v>46</v>
      </c>
      <c r="B81" t="s">
        <v>36</v>
      </c>
      <c r="C81" t="s">
        <v>30</v>
      </c>
      <c r="D81" t="s">
        <v>54</v>
      </c>
      <c r="E81">
        <v>5</v>
      </c>
      <c r="F81">
        <v>2</v>
      </c>
      <c r="G81" t="s">
        <v>44</v>
      </c>
      <c r="H81">
        <v>103</v>
      </c>
      <c r="I81">
        <v>2</v>
      </c>
      <c r="J81" t="s">
        <v>39</v>
      </c>
      <c r="K81">
        <v>3</v>
      </c>
      <c r="L81">
        <v>2</v>
      </c>
      <c r="M81" t="s">
        <v>54</v>
      </c>
      <c r="N81">
        <v>2</v>
      </c>
      <c r="O81" t="s">
        <v>45</v>
      </c>
      <c r="P81">
        <v>5021</v>
      </c>
      <c r="Q81">
        <v>8</v>
      </c>
      <c r="R81" t="s">
        <v>29</v>
      </c>
      <c r="S81">
        <v>22</v>
      </c>
      <c r="T81">
        <v>4</v>
      </c>
      <c r="U81">
        <v>4</v>
      </c>
      <c r="V81">
        <v>1</v>
      </c>
      <c r="W81">
        <v>16</v>
      </c>
      <c r="X81">
        <v>2</v>
      </c>
      <c r="Y81">
        <v>3</v>
      </c>
      <c r="Z81">
        <v>4</v>
      </c>
      <c r="AA81">
        <v>2</v>
      </c>
      <c r="AB81">
        <v>0</v>
      </c>
      <c r="AC81">
        <v>2</v>
      </c>
      <c r="AD81">
        <f>IF(HR_Data[[#This Row],[Attrition]]="Yes",1,0)</f>
        <v>0</v>
      </c>
      <c r="AE81" t="str">
        <f>IF(HR_Data[[#This Row],[Age]]&lt;=25,"18-25",IF(HR_Data[[#This Row],[Age]]&lt;=35,"26-35",IF(HR_Data[[#This Row],[Age]]&lt;=45,"36-45",IF(HR_Data[[#This Row],[Age]]&lt;=55,"46-55","55+"))))</f>
        <v>46-55</v>
      </c>
      <c r="AF81">
        <f>IF(HR_Data[[#This Row],[Age]]&lt;=25,1,IF(HR_Data[[#This Row],[Age]]&lt;=35,2,IF(HR_Data[[#This Row],[Age]]&lt;=45,3,IF(HR_Data[[#This Row],[Age]]&lt;=55,4,5))))</f>
        <v>4</v>
      </c>
      <c r="AG81" s="1" t="str">
        <f>IF(HR_Data[[#This Row],[MonthlyIncome]]&lt;3000,"&lt;3K",IF(HR_Data[[#This Row],[MonthlyIncome]]&lt;6000,"3K-6K",IF(HR_Data[[#This Row],[MonthlyIncome]]&lt;10000,"6K-10K","10K+")))</f>
        <v>3K-6K</v>
      </c>
      <c r="AH81" s="1">
        <f>IF(HR_Data[[#This Row],[MonthlyIncome]]&lt;3000,1,IF(HR_Data[[#This Row],[MonthlyIncome]]&lt;6000,2,IF(HR_Data[[#This Row],[MonthlyIncome]]&lt;10000,3,4)))</f>
        <v>2</v>
      </c>
      <c r="AI81" s="1" t="str">
        <f>IF(HR_Data[[#This Row],[YearsAtCompany]]&lt;=2,"0-2 Yrs",IF(HR_Data[[#This Row],[YearsAtCompany]]&lt;=5,"3-5 Yrs",IF(HR_Data[[#This Row],[YearsAtCompany]]&lt;=10,"6-10 Yrs","10+ Yrs")))</f>
        <v>3-5 Yrs</v>
      </c>
      <c r="AJ81" s="1">
        <f>IF(HR_Data[[#This Row],[YearsAtCompany]]&lt;=2,1,IF(HR_Data[[#This Row],[YearsAtCompany]]&lt;=5,2,IF(HR_Data[[#This Row],[YearsAtCompany]]&lt;=10,3,4)))</f>
        <v>2</v>
      </c>
      <c r="AK81" s="1" t="str">
        <f>CHOOSE(HR_Data[[#This Row],[Education]],"Below College","College","Bachelor","Master","Doctor")</f>
        <v>College</v>
      </c>
      <c r="AL81" s="1" t="str">
        <f>CHOOSE(HR_Data[[#This Row],[JobSatisfaction]],"Low","Medium","High","Very High")</f>
        <v>Medium</v>
      </c>
      <c r="AM81" s="1" t="str">
        <f>CHOOSE(HR_Data[[#This Row],[EnvironmentSatisfaction]],"Low","Medium","High","Very High")</f>
        <v>Medium</v>
      </c>
      <c r="AN81" s="1" t="str">
        <f>CHOOSE(HR_Data[[#This Row],[WorkLifeBalance]],"Bad","Good","Better","Best")</f>
        <v>Better</v>
      </c>
      <c r="AO81" s="1" t="str">
        <f>IF(HR_Data[[#This Row],[PercentSalaryHike]]&lt;=13,"11-13%",IF(HR_Data[[#This Row],[PercentSalaryHike]]&lt;=16,"14-16%",IF(HR_Data[[#This Row],[PercentSalaryHike]]&lt;=19,"17-19%","20-25%")))</f>
        <v>20-25%</v>
      </c>
      <c r="AP81" s="1">
        <f>IF(HR_Data[[#This Row],[PercentSalaryHike]]&lt;=13,1,IF(HR_Data[[#This Row],[PercentSalaryHike]]&lt;=16,2,IF(HR_Data[[#This Row],[PercentSalaryHike]]&lt;=19,3,4)))</f>
        <v>4</v>
      </c>
      <c r="AQ81" s="1" t="str">
        <f>IF(HR_Data[[#This Row],[DistanceFromHome]]&lt;=5,"1 to 5",IF(HR_Data[[#This Row],[DistanceFromHome]]&lt;=10,"6 to 10",IF(HR_Data[[#This Row],[DistanceFromHome]]&lt;=20,"11 to 20","21 to 29")))</f>
        <v>1 to 5</v>
      </c>
      <c r="AR81" s="1">
        <f>IF(HR_Data[[#This Row],[DistanceFromHome]]&lt;=5,1,IF(HR_Data[[#This Row],[DistanceFromHome]]&lt;=10,2,IF(HR_Data[[#This Row],[DistanceFromHome]]&lt;=20,3,4)))</f>
        <v>1</v>
      </c>
      <c r="AS81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81" s="1">
        <f>IF(HR_Data[[#This Row],[TotalWorkingYears]]&lt;=5,1,IF(HR_Data[[#This Row],[TotalWorkingYears]]&lt;=10,2,IF(HR_Data[[#This Row],[TotalWorkingYears]]&lt;=20,3,4)))</f>
        <v>3</v>
      </c>
    </row>
    <row r="82" spans="1:46" x14ac:dyDescent="0.25">
      <c r="A82">
        <v>30</v>
      </c>
      <c r="B82" t="s">
        <v>36</v>
      </c>
      <c r="C82" t="s">
        <v>30</v>
      </c>
      <c r="D82" t="s">
        <v>38</v>
      </c>
      <c r="E82">
        <v>1</v>
      </c>
      <c r="F82">
        <v>1</v>
      </c>
      <c r="G82" t="s">
        <v>32</v>
      </c>
      <c r="H82">
        <v>104</v>
      </c>
      <c r="I82">
        <v>4</v>
      </c>
      <c r="J82" t="s">
        <v>39</v>
      </c>
      <c r="K82">
        <v>2</v>
      </c>
      <c r="L82">
        <v>2</v>
      </c>
      <c r="M82" t="s">
        <v>43</v>
      </c>
      <c r="N82">
        <v>4</v>
      </c>
      <c r="O82" t="s">
        <v>41</v>
      </c>
      <c r="P82">
        <v>5126</v>
      </c>
      <c r="Q82">
        <v>1</v>
      </c>
      <c r="R82" t="s">
        <v>29</v>
      </c>
      <c r="S82">
        <v>12</v>
      </c>
      <c r="T82">
        <v>3</v>
      </c>
      <c r="U82">
        <v>3</v>
      </c>
      <c r="V82">
        <v>2</v>
      </c>
      <c r="W82">
        <v>10</v>
      </c>
      <c r="X82">
        <v>1</v>
      </c>
      <c r="Y82">
        <v>2</v>
      </c>
      <c r="Z82">
        <v>10</v>
      </c>
      <c r="AA82">
        <v>8</v>
      </c>
      <c r="AB82">
        <v>3</v>
      </c>
      <c r="AC82">
        <v>0</v>
      </c>
      <c r="AD82">
        <f>IF(HR_Data[[#This Row],[Attrition]]="Yes",1,0)</f>
        <v>0</v>
      </c>
      <c r="AE82" t="str">
        <f>IF(HR_Data[[#This Row],[Age]]&lt;=25,"18-25",IF(HR_Data[[#This Row],[Age]]&lt;=35,"26-35",IF(HR_Data[[#This Row],[Age]]&lt;=45,"36-45",IF(HR_Data[[#This Row],[Age]]&lt;=55,"46-55","55+"))))</f>
        <v>26-35</v>
      </c>
      <c r="AF82">
        <f>IF(HR_Data[[#This Row],[Age]]&lt;=25,1,IF(HR_Data[[#This Row],[Age]]&lt;=35,2,IF(HR_Data[[#This Row],[Age]]&lt;=45,3,IF(HR_Data[[#This Row],[Age]]&lt;=55,4,5))))</f>
        <v>2</v>
      </c>
      <c r="AG82" s="1" t="str">
        <f>IF(HR_Data[[#This Row],[MonthlyIncome]]&lt;3000,"&lt;3K",IF(HR_Data[[#This Row],[MonthlyIncome]]&lt;6000,"3K-6K",IF(HR_Data[[#This Row],[MonthlyIncome]]&lt;10000,"6K-10K","10K+")))</f>
        <v>3K-6K</v>
      </c>
      <c r="AH82" s="1">
        <f>IF(HR_Data[[#This Row],[MonthlyIncome]]&lt;3000,1,IF(HR_Data[[#This Row],[MonthlyIncome]]&lt;6000,2,IF(HR_Data[[#This Row],[MonthlyIncome]]&lt;10000,3,4)))</f>
        <v>2</v>
      </c>
      <c r="AI82" s="1" t="str">
        <f>IF(HR_Data[[#This Row],[YearsAtCompany]]&lt;=2,"0-2 Yrs",IF(HR_Data[[#This Row],[YearsAtCompany]]&lt;=5,"3-5 Yrs",IF(HR_Data[[#This Row],[YearsAtCompany]]&lt;=10,"6-10 Yrs","10+ Yrs")))</f>
        <v>6-10 Yrs</v>
      </c>
      <c r="AJ82" s="1">
        <f>IF(HR_Data[[#This Row],[YearsAtCompany]]&lt;=2,1,IF(HR_Data[[#This Row],[YearsAtCompany]]&lt;=5,2,IF(HR_Data[[#This Row],[YearsAtCompany]]&lt;=10,3,4)))</f>
        <v>3</v>
      </c>
      <c r="AK82" s="1" t="str">
        <f>CHOOSE(HR_Data[[#This Row],[Education]],"Below College","College","Bachelor","Master","Doctor")</f>
        <v>Below College</v>
      </c>
      <c r="AL82" s="1" t="str">
        <f>CHOOSE(HR_Data[[#This Row],[JobSatisfaction]],"Low","Medium","High","Very High")</f>
        <v>Very High</v>
      </c>
      <c r="AM82" s="1" t="str">
        <f>CHOOSE(HR_Data[[#This Row],[EnvironmentSatisfaction]],"Low","Medium","High","Very High")</f>
        <v>Very High</v>
      </c>
      <c r="AN82" s="1" t="str">
        <f>CHOOSE(HR_Data[[#This Row],[WorkLifeBalance]],"Bad","Good","Better","Best")</f>
        <v>Good</v>
      </c>
      <c r="AO82" s="1" t="str">
        <f>IF(HR_Data[[#This Row],[PercentSalaryHike]]&lt;=13,"11-13%",IF(HR_Data[[#This Row],[PercentSalaryHike]]&lt;=16,"14-16%",IF(HR_Data[[#This Row],[PercentSalaryHike]]&lt;=19,"17-19%","20-25%")))</f>
        <v>11-13%</v>
      </c>
      <c r="AP82" s="1">
        <f>IF(HR_Data[[#This Row],[PercentSalaryHike]]&lt;=13,1,IF(HR_Data[[#This Row],[PercentSalaryHike]]&lt;=16,2,IF(HR_Data[[#This Row],[PercentSalaryHike]]&lt;=19,3,4)))</f>
        <v>1</v>
      </c>
      <c r="AQ82" s="1" t="str">
        <f>IF(HR_Data[[#This Row],[DistanceFromHome]]&lt;=5,"1 to 5",IF(HR_Data[[#This Row],[DistanceFromHome]]&lt;=10,"6 to 10",IF(HR_Data[[#This Row],[DistanceFromHome]]&lt;=20,"11 to 20","21 to 29")))</f>
        <v>1 to 5</v>
      </c>
      <c r="AR82" s="1">
        <f>IF(HR_Data[[#This Row],[DistanceFromHome]]&lt;=5,1,IF(HR_Data[[#This Row],[DistanceFromHome]]&lt;=10,2,IF(HR_Data[[#This Row],[DistanceFromHome]]&lt;=20,3,4)))</f>
        <v>1</v>
      </c>
      <c r="AS82" s="1" t="str">
        <f>IF(HR_Data[[#This Row],[TotalWorkingYears]]&lt;=5,"0-5 Yrs",IF(HR_Data[[#This Row],[TotalWorkingYears]]&lt;=10,"6-10 Yrs",IF(HR_Data[[#This Row],[TotalWorkingYears]]&lt;=20,"11-20 Yrs","20+ Yrs")))</f>
        <v>6-10 Yrs</v>
      </c>
      <c r="AT82" s="1">
        <f>IF(HR_Data[[#This Row],[TotalWorkingYears]]&lt;=5,1,IF(HR_Data[[#This Row],[TotalWorkingYears]]&lt;=10,2,IF(HR_Data[[#This Row],[TotalWorkingYears]]&lt;=20,3,4)))</f>
        <v>2</v>
      </c>
    </row>
    <row r="83" spans="1:46" x14ac:dyDescent="0.25">
      <c r="A83">
        <v>35</v>
      </c>
      <c r="B83" t="s">
        <v>36</v>
      </c>
      <c r="C83" t="s">
        <v>30</v>
      </c>
      <c r="D83" t="s">
        <v>38</v>
      </c>
      <c r="E83">
        <v>1</v>
      </c>
      <c r="F83">
        <v>3</v>
      </c>
      <c r="G83" t="s">
        <v>44</v>
      </c>
      <c r="H83">
        <v>105</v>
      </c>
      <c r="I83">
        <v>2</v>
      </c>
      <c r="J83" t="s">
        <v>39</v>
      </c>
      <c r="K83">
        <v>2</v>
      </c>
      <c r="L83">
        <v>1</v>
      </c>
      <c r="M83" t="s">
        <v>40</v>
      </c>
      <c r="N83">
        <v>3</v>
      </c>
      <c r="O83" t="s">
        <v>35</v>
      </c>
      <c r="P83">
        <v>2859</v>
      </c>
      <c r="Q83">
        <v>1</v>
      </c>
      <c r="R83" t="s">
        <v>36</v>
      </c>
      <c r="S83">
        <v>18</v>
      </c>
      <c r="T83">
        <v>3</v>
      </c>
      <c r="U83">
        <v>1</v>
      </c>
      <c r="V83">
        <v>0</v>
      </c>
      <c r="W83">
        <v>6</v>
      </c>
      <c r="X83">
        <v>3</v>
      </c>
      <c r="Y83">
        <v>3</v>
      </c>
      <c r="Z83">
        <v>6</v>
      </c>
      <c r="AA83">
        <v>4</v>
      </c>
      <c r="AB83">
        <v>0</v>
      </c>
      <c r="AC83">
        <v>4</v>
      </c>
      <c r="AD83">
        <f>IF(HR_Data[[#This Row],[Attrition]]="Yes",1,0)</f>
        <v>0</v>
      </c>
      <c r="AE83" t="str">
        <f>IF(HR_Data[[#This Row],[Age]]&lt;=25,"18-25",IF(HR_Data[[#This Row],[Age]]&lt;=35,"26-35",IF(HR_Data[[#This Row],[Age]]&lt;=45,"36-45",IF(HR_Data[[#This Row],[Age]]&lt;=55,"46-55","55+"))))</f>
        <v>26-35</v>
      </c>
      <c r="AF83">
        <f>IF(HR_Data[[#This Row],[Age]]&lt;=25,1,IF(HR_Data[[#This Row],[Age]]&lt;=35,2,IF(HR_Data[[#This Row],[Age]]&lt;=45,3,IF(HR_Data[[#This Row],[Age]]&lt;=55,4,5))))</f>
        <v>2</v>
      </c>
      <c r="AG83" s="1" t="str">
        <f>IF(HR_Data[[#This Row],[MonthlyIncome]]&lt;3000,"&lt;3K",IF(HR_Data[[#This Row],[MonthlyIncome]]&lt;6000,"3K-6K",IF(HR_Data[[#This Row],[MonthlyIncome]]&lt;10000,"6K-10K","10K+")))</f>
        <v>&lt;3K</v>
      </c>
      <c r="AH83" s="1">
        <f>IF(HR_Data[[#This Row],[MonthlyIncome]]&lt;3000,1,IF(HR_Data[[#This Row],[MonthlyIncome]]&lt;6000,2,IF(HR_Data[[#This Row],[MonthlyIncome]]&lt;10000,3,4)))</f>
        <v>1</v>
      </c>
      <c r="AI83" s="1" t="str">
        <f>IF(HR_Data[[#This Row],[YearsAtCompany]]&lt;=2,"0-2 Yrs",IF(HR_Data[[#This Row],[YearsAtCompany]]&lt;=5,"3-5 Yrs",IF(HR_Data[[#This Row],[YearsAtCompany]]&lt;=10,"6-10 Yrs","10+ Yrs")))</f>
        <v>6-10 Yrs</v>
      </c>
      <c r="AJ83" s="1">
        <f>IF(HR_Data[[#This Row],[YearsAtCompany]]&lt;=2,1,IF(HR_Data[[#This Row],[YearsAtCompany]]&lt;=5,2,IF(HR_Data[[#This Row],[YearsAtCompany]]&lt;=10,3,4)))</f>
        <v>3</v>
      </c>
      <c r="AK83" s="1" t="str">
        <f>CHOOSE(HR_Data[[#This Row],[Education]],"Below College","College","Bachelor","Master","Doctor")</f>
        <v>Bachelor</v>
      </c>
      <c r="AL83" s="1" t="str">
        <f>CHOOSE(HR_Data[[#This Row],[JobSatisfaction]],"Low","Medium","High","Very High")</f>
        <v>High</v>
      </c>
      <c r="AM83" s="1" t="str">
        <f>CHOOSE(HR_Data[[#This Row],[EnvironmentSatisfaction]],"Low","Medium","High","Very High")</f>
        <v>Medium</v>
      </c>
      <c r="AN83" s="1" t="str">
        <f>CHOOSE(HR_Data[[#This Row],[WorkLifeBalance]],"Bad","Good","Better","Best")</f>
        <v>Better</v>
      </c>
      <c r="AO83" s="1" t="str">
        <f>IF(HR_Data[[#This Row],[PercentSalaryHike]]&lt;=13,"11-13%",IF(HR_Data[[#This Row],[PercentSalaryHike]]&lt;=16,"14-16%",IF(HR_Data[[#This Row],[PercentSalaryHike]]&lt;=19,"17-19%","20-25%")))</f>
        <v>17-19%</v>
      </c>
      <c r="AP83" s="1">
        <f>IF(HR_Data[[#This Row],[PercentSalaryHike]]&lt;=13,1,IF(HR_Data[[#This Row],[PercentSalaryHike]]&lt;=16,2,IF(HR_Data[[#This Row],[PercentSalaryHike]]&lt;=19,3,4)))</f>
        <v>3</v>
      </c>
      <c r="AQ83" s="1" t="str">
        <f>IF(HR_Data[[#This Row],[DistanceFromHome]]&lt;=5,"1 to 5",IF(HR_Data[[#This Row],[DistanceFromHome]]&lt;=10,"6 to 10",IF(HR_Data[[#This Row],[DistanceFromHome]]&lt;=20,"11 to 20","21 to 29")))</f>
        <v>1 to 5</v>
      </c>
      <c r="AR83" s="1">
        <f>IF(HR_Data[[#This Row],[DistanceFromHome]]&lt;=5,1,IF(HR_Data[[#This Row],[DistanceFromHome]]&lt;=10,2,IF(HR_Data[[#This Row],[DistanceFromHome]]&lt;=20,3,4)))</f>
        <v>1</v>
      </c>
      <c r="AS83" s="1" t="str">
        <f>IF(HR_Data[[#This Row],[TotalWorkingYears]]&lt;=5,"0-5 Yrs",IF(HR_Data[[#This Row],[TotalWorkingYears]]&lt;=10,"6-10 Yrs",IF(HR_Data[[#This Row],[TotalWorkingYears]]&lt;=20,"11-20 Yrs","20+ Yrs")))</f>
        <v>6-10 Yrs</v>
      </c>
      <c r="AT83" s="1">
        <f>IF(HR_Data[[#This Row],[TotalWorkingYears]]&lt;=5,1,IF(HR_Data[[#This Row],[TotalWorkingYears]]&lt;=10,2,IF(HR_Data[[#This Row],[TotalWorkingYears]]&lt;=20,3,4)))</f>
        <v>2</v>
      </c>
    </row>
    <row r="84" spans="1:46" x14ac:dyDescent="0.25">
      <c r="A84">
        <v>55</v>
      </c>
      <c r="B84" t="s">
        <v>36</v>
      </c>
      <c r="C84" t="s">
        <v>30</v>
      </c>
      <c r="D84" t="s">
        <v>31</v>
      </c>
      <c r="E84">
        <v>1</v>
      </c>
      <c r="F84">
        <v>2</v>
      </c>
      <c r="G84" t="s">
        <v>32</v>
      </c>
      <c r="H84">
        <v>106</v>
      </c>
      <c r="I84">
        <v>1</v>
      </c>
      <c r="J84" t="s">
        <v>39</v>
      </c>
      <c r="K84">
        <v>3</v>
      </c>
      <c r="L84">
        <v>3</v>
      </c>
      <c r="M84" t="s">
        <v>34</v>
      </c>
      <c r="N84">
        <v>4</v>
      </c>
      <c r="O84" t="s">
        <v>41</v>
      </c>
      <c r="P84">
        <v>10239</v>
      </c>
      <c r="Q84">
        <v>3</v>
      </c>
      <c r="R84" t="s">
        <v>36</v>
      </c>
      <c r="S84">
        <v>14</v>
      </c>
      <c r="T84">
        <v>3</v>
      </c>
      <c r="U84">
        <v>4</v>
      </c>
      <c r="V84">
        <v>1</v>
      </c>
      <c r="W84">
        <v>24</v>
      </c>
      <c r="X84">
        <v>4</v>
      </c>
      <c r="Y84">
        <v>3</v>
      </c>
      <c r="Z84">
        <v>1</v>
      </c>
      <c r="AA84">
        <v>0</v>
      </c>
      <c r="AB84">
        <v>1</v>
      </c>
      <c r="AC84">
        <v>0</v>
      </c>
      <c r="AD84">
        <f>IF(HR_Data[[#This Row],[Attrition]]="Yes",1,0)</f>
        <v>0</v>
      </c>
      <c r="AE84" t="str">
        <f>IF(HR_Data[[#This Row],[Age]]&lt;=25,"18-25",IF(HR_Data[[#This Row],[Age]]&lt;=35,"26-35",IF(HR_Data[[#This Row],[Age]]&lt;=45,"36-45",IF(HR_Data[[#This Row],[Age]]&lt;=55,"46-55","55+"))))</f>
        <v>46-55</v>
      </c>
      <c r="AF84">
        <f>IF(HR_Data[[#This Row],[Age]]&lt;=25,1,IF(HR_Data[[#This Row],[Age]]&lt;=35,2,IF(HR_Data[[#This Row],[Age]]&lt;=45,3,IF(HR_Data[[#This Row],[Age]]&lt;=55,4,5))))</f>
        <v>4</v>
      </c>
      <c r="AG84" s="1" t="str">
        <f>IF(HR_Data[[#This Row],[MonthlyIncome]]&lt;3000,"&lt;3K",IF(HR_Data[[#This Row],[MonthlyIncome]]&lt;6000,"3K-6K",IF(HR_Data[[#This Row],[MonthlyIncome]]&lt;10000,"6K-10K","10K+")))</f>
        <v>10K+</v>
      </c>
      <c r="AH84" s="1">
        <f>IF(HR_Data[[#This Row],[MonthlyIncome]]&lt;3000,1,IF(HR_Data[[#This Row],[MonthlyIncome]]&lt;6000,2,IF(HR_Data[[#This Row],[MonthlyIncome]]&lt;10000,3,4)))</f>
        <v>4</v>
      </c>
      <c r="AI84" s="1" t="str">
        <f>IF(HR_Data[[#This Row],[YearsAtCompany]]&lt;=2,"0-2 Yrs",IF(HR_Data[[#This Row],[YearsAtCompany]]&lt;=5,"3-5 Yrs",IF(HR_Data[[#This Row],[YearsAtCompany]]&lt;=10,"6-10 Yrs","10+ Yrs")))</f>
        <v>0-2 Yrs</v>
      </c>
      <c r="AJ84" s="1">
        <f>IF(HR_Data[[#This Row],[YearsAtCompany]]&lt;=2,1,IF(HR_Data[[#This Row],[YearsAtCompany]]&lt;=5,2,IF(HR_Data[[#This Row],[YearsAtCompany]]&lt;=10,3,4)))</f>
        <v>1</v>
      </c>
      <c r="AK84" s="1" t="str">
        <f>CHOOSE(HR_Data[[#This Row],[Education]],"Below College","College","Bachelor","Master","Doctor")</f>
        <v>College</v>
      </c>
      <c r="AL84" s="1" t="str">
        <f>CHOOSE(HR_Data[[#This Row],[JobSatisfaction]],"Low","Medium","High","Very High")</f>
        <v>Very High</v>
      </c>
      <c r="AM84" s="1" t="str">
        <f>CHOOSE(HR_Data[[#This Row],[EnvironmentSatisfaction]],"Low","Medium","High","Very High")</f>
        <v>Low</v>
      </c>
      <c r="AN84" s="1" t="str">
        <f>CHOOSE(HR_Data[[#This Row],[WorkLifeBalance]],"Bad","Good","Better","Best")</f>
        <v>Better</v>
      </c>
      <c r="AO84" s="1" t="str">
        <f>IF(HR_Data[[#This Row],[PercentSalaryHike]]&lt;=13,"11-13%",IF(HR_Data[[#This Row],[PercentSalaryHike]]&lt;=16,"14-16%",IF(HR_Data[[#This Row],[PercentSalaryHike]]&lt;=19,"17-19%","20-25%")))</f>
        <v>14-16%</v>
      </c>
      <c r="AP84" s="1">
        <f>IF(HR_Data[[#This Row],[PercentSalaryHike]]&lt;=13,1,IF(HR_Data[[#This Row],[PercentSalaryHike]]&lt;=16,2,IF(HR_Data[[#This Row],[PercentSalaryHike]]&lt;=19,3,4)))</f>
        <v>2</v>
      </c>
      <c r="AQ84" s="1" t="str">
        <f>IF(HR_Data[[#This Row],[DistanceFromHome]]&lt;=5,"1 to 5",IF(HR_Data[[#This Row],[DistanceFromHome]]&lt;=10,"6 to 10",IF(HR_Data[[#This Row],[DistanceFromHome]]&lt;=20,"11 to 20","21 to 29")))</f>
        <v>1 to 5</v>
      </c>
      <c r="AR84" s="1">
        <f>IF(HR_Data[[#This Row],[DistanceFromHome]]&lt;=5,1,IF(HR_Data[[#This Row],[DistanceFromHome]]&lt;=10,2,IF(HR_Data[[#This Row],[DistanceFromHome]]&lt;=20,3,4)))</f>
        <v>1</v>
      </c>
      <c r="AS84" s="1" t="str">
        <f>IF(HR_Data[[#This Row],[TotalWorkingYears]]&lt;=5,"0-5 Yrs",IF(HR_Data[[#This Row],[TotalWorkingYears]]&lt;=10,"6-10 Yrs",IF(HR_Data[[#This Row],[TotalWorkingYears]]&lt;=20,"11-20 Yrs","20+ Yrs")))</f>
        <v>20+ Yrs</v>
      </c>
      <c r="AT84" s="1">
        <f>IF(HR_Data[[#This Row],[TotalWorkingYears]]&lt;=5,1,IF(HR_Data[[#This Row],[TotalWorkingYears]]&lt;=10,2,IF(HR_Data[[#This Row],[TotalWorkingYears]]&lt;=20,3,4)))</f>
        <v>4</v>
      </c>
    </row>
    <row r="85" spans="1:46" x14ac:dyDescent="0.25">
      <c r="A85">
        <v>38</v>
      </c>
      <c r="B85" t="s">
        <v>36</v>
      </c>
      <c r="C85" t="s">
        <v>48</v>
      </c>
      <c r="D85" t="s">
        <v>38</v>
      </c>
      <c r="E85">
        <v>6</v>
      </c>
      <c r="F85">
        <v>3</v>
      </c>
      <c r="G85" t="s">
        <v>44</v>
      </c>
      <c r="H85">
        <v>107</v>
      </c>
      <c r="I85">
        <v>2</v>
      </c>
      <c r="J85" t="s">
        <v>33</v>
      </c>
      <c r="K85">
        <v>1</v>
      </c>
      <c r="L85">
        <v>2</v>
      </c>
      <c r="M85" t="s">
        <v>40</v>
      </c>
      <c r="N85">
        <v>4</v>
      </c>
      <c r="O85" t="s">
        <v>45</v>
      </c>
      <c r="P85">
        <v>5329</v>
      </c>
      <c r="Q85">
        <v>7</v>
      </c>
      <c r="R85" t="s">
        <v>29</v>
      </c>
      <c r="S85">
        <v>12</v>
      </c>
      <c r="T85">
        <v>3</v>
      </c>
      <c r="U85">
        <v>4</v>
      </c>
      <c r="V85">
        <v>3</v>
      </c>
      <c r="W85">
        <v>17</v>
      </c>
      <c r="X85">
        <v>3</v>
      </c>
      <c r="Y85">
        <v>3</v>
      </c>
      <c r="Z85">
        <v>13</v>
      </c>
      <c r="AA85">
        <v>11</v>
      </c>
      <c r="AB85">
        <v>1</v>
      </c>
      <c r="AC85">
        <v>9</v>
      </c>
      <c r="AD85">
        <f>IF(HR_Data[[#This Row],[Attrition]]="Yes",1,0)</f>
        <v>0</v>
      </c>
      <c r="AE85" t="str">
        <f>IF(HR_Data[[#This Row],[Age]]&lt;=25,"18-25",IF(HR_Data[[#This Row],[Age]]&lt;=35,"26-35",IF(HR_Data[[#This Row],[Age]]&lt;=45,"36-45",IF(HR_Data[[#This Row],[Age]]&lt;=55,"46-55","55+"))))</f>
        <v>36-45</v>
      </c>
      <c r="AF85">
        <f>IF(HR_Data[[#This Row],[Age]]&lt;=25,1,IF(HR_Data[[#This Row],[Age]]&lt;=35,2,IF(HR_Data[[#This Row],[Age]]&lt;=45,3,IF(HR_Data[[#This Row],[Age]]&lt;=55,4,5))))</f>
        <v>3</v>
      </c>
      <c r="AG85" s="1" t="str">
        <f>IF(HR_Data[[#This Row],[MonthlyIncome]]&lt;3000,"&lt;3K",IF(HR_Data[[#This Row],[MonthlyIncome]]&lt;6000,"3K-6K",IF(HR_Data[[#This Row],[MonthlyIncome]]&lt;10000,"6K-10K","10K+")))</f>
        <v>3K-6K</v>
      </c>
      <c r="AH85" s="1">
        <f>IF(HR_Data[[#This Row],[MonthlyIncome]]&lt;3000,1,IF(HR_Data[[#This Row],[MonthlyIncome]]&lt;6000,2,IF(HR_Data[[#This Row],[MonthlyIncome]]&lt;10000,3,4)))</f>
        <v>2</v>
      </c>
      <c r="AI85" s="1" t="str">
        <f>IF(HR_Data[[#This Row],[YearsAtCompany]]&lt;=2,"0-2 Yrs",IF(HR_Data[[#This Row],[YearsAtCompany]]&lt;=5,"3-5 Yrs",IF(HR_Data[[#This Row],[YearsAtCompany]]&lt;=10,"6-10 Yrs","10+ Yrs")))</f>
        <v>10+ Yrs</v>
      </c>
      <c r="AJ85" s="1">
        <f>IF(HR_Data[[#This Row],[YearsAtCompany]]&lt;=2,1,IF(HR_Data[[#This Row],[YearsAtCompany]]&lt;=5,2,IF(HR_Data[[#This Row],[YearsAtCompany]]&lt;=10,3,4)))</f>
        <v>4</v>
      </c>
      <c r="AK85" s="1" t="str">
        <f>CHOOSE(HR_Data[[#This Row],[Education]],"Below College","College","Bachelor","Master","Doctor")</f>
        <v>Bachelor</v>
      </c>
      <c r="AL85" s="1" t="str">
        <f>CHOOSE(HR_Data[[#This Row],[JobSatisfaction]],"Low","Medium","High","Very High")</f>
        <v>Very High</v>
      </c>
      <c r="AM85" s="1" t="str">
        <f>CHOOSE(HR_Data[[#This Row],[EnvironmentSatisfaction]],"Low","Medium","High","Very High")</f>
        <v>Medium</v>
      </c>
      <c r="AN85" s="1" t="str">
        <f>CHOOSE(HR_Data[[#This Row],[WorkLifeBalance]],"Bad","Good","Better","Best")</f>
        <v>Better</v>
      </c>
      <c r="AO85" s="1" t="str">
        <f>IF(HR_Data[[#This Row],[PercentSalaryHike]]&lt;=13,"11-13%",IF(HR_Data[[#This Row],[PercentSalaryHike]]&lt;=16,"14-16%",IF(HR_Data[[#This Row],[PercentSalaryHike]]&lt;=19,"17-19%","20-25%")))</f>
        <v>11-13%</v>
      </c>
      <c r="AP85" s="1">
        <f>IF(HR_Data[[#This Row],[PercentSalaryHike]]&lt;=13,1,IF(HR_Data[[#This Row],[PercentSalaryHike]]&lt;=16,2,IF(HR_Data[[#This Row],[PercentSalaryHike]]&lt;=19,3,4)))</f>
        <v>1</v>
      </c>
      <c r="AQ85" s="1" t="str">
        <f>IF(HR_Data[[#This Row],[DistanceFromHome]]&lt;=5,"1 to 5",IF(HR_Data[[#This Row],[DistanceFromHome]]&lt;=10,"6 to 10",IF(HR_Data[[#This Row],[DistanceFromHome]]&lt;=20,"11 to 20","21 to 29")))</f>
        <v>6 to 10</v>
      </c>
      <c r="AR85" s="1">
        <f>IF(HR_Data[[#This Row],[DistanceFromHome]]&lt;=5,1,IF(HR_Data[[#This Row],[DistanceFromHome]]&lt;=10,2,IF(HR_Data[[#This Row],[DistanceFromHome]]&lt;=20,3,4)))</f>
        <v>2</v>
      </c>
      <c r="AS85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85" s="1">
        <f>IF(HR_Data[[#This Row],[TotalWorkingYears]]&lt;=5,1,IF(HR_Data[[#This Row],[TotalWorkingYears]]&lt;=10,2,IF(HR_Data[[#This Row],[TotalWorkingYears]]&lt;=20,3,4)))</f>
        <v>3</v>
      </c>
    </row>
    <row r="86" spans="1:46" x14ac:dyDescent="0.25">
      <c r="A86">
        <v>34</v>
      </c>
      <c r="B86" t="s">
        <v>36</v>
      </c>
      <c r="C86" t="s">
        <v>30</v>
      </c>
      <c r="D86" t="s">
        <v>38</v>
      </c>
      <c r="E86">
        <v>1</v>
      </c>
      <c r="F86">
        <v>2</v>
      </c>
      <c r="G86" t="s">
        <v>44</v>
      </c>
      <c r="H86">
        <v>110</v>
      </c>
      <c r="I86">
        <v>1</v>
      </c>
      <c r="J86" t="s">
        <v>39</v>
      </c>
      <c r="K86">
        <v>3</v>
      </c>
      <c r="L86">
        <v>2</v>
      </c>
      <c r="M86" t="s">
        <v>46</v>
      </c>
      <c r="N86">
        <v>2</v>
      </c>
      <c r="O86" t="s">
        <v>41</v>
      </c>
      <c r="P86">
        <v>4325</v>
      </c>
      <c r="Q86">
        <v>1</v>
      </c>
      <c r="R86" t="s">
        <v>36</v>
      </c>
      <c r="S86">
        <v>15</v>
      </c>
      <c r="T86">
        <v>3</v>
      </c>
      <c r="U86">
        <v>3</v>
      </c>
      <c r="V86">
        <v>0</v>
      </c>
      <c r="W86">
        <v>5</v>
      </c>
      <c r="X86">
        <v>2</v>
      </c>
      <c r="Y86">
        <v>3</v>
      </c>
      <c r="Z86">
        <v>5</v>
      </c>
      <c r="AA86">
        <v>2</v>
      </c>
      <c r="AB86">
        <v>1</v>
      </c>
      <c r="AC86">
        <v>3</v>
      </c>
      <c r="AD86">
        <f>IF(HR_Data[[#This Row],[Attrition]]="Yes",1,0)</f>
        <v>0</v>
      </c>
      <c r="AE86" t="str">
        <f>IF(HR_Data[[#This Row],[Age]]&lt;=25,"18-25",IF(HR_Data[[#This Row],[Age]]&lt;=35,"26-35",IF(HR_Data[[#This Row],[Age]]&lt;=45,"36-45",IF(HR_Data[[#This Row],[Age]]&lt;=55,"46-55","55+"))))</f>
        <v>26-35</v>
      </c>
      <c r="AF86">
        <f>IF(HR_Data[[#This Row],[Age]]&lt;=25,1,IF(HR_Data[[#This Row],[Age]]&lt;=35,2,IF(HR_Data[[#This Row],[Age]]&lt;=45,3,IF(HR_Data[[#This Row],[Age]]&lt;=55,4,5))))</f>
        <v>2</v>
      </c>
      <c r="AG86" s="1" t="str">
        <f>IF(HR_Data[[#This Row],[MonthlyIncome]]&lt;3000,"&lt;3K",IF(HR_Data[[#This Row],[MonthlyIncome]]&lt;6000,"3K-6K",IF(HR_Data[[#This Row],[MonthlyIncome]]&lt;10000,"6K-10K","10K+")))</f>
        <v>3K-6K</v>
      </c>
      <c r="AH86" s="1">
        <f>IF(HR_Data[[#This Row],[MonthlyIncome]]&lt;3000,1,IF(HR_Data[[#This Row],[MonthlyIncome]]&lt;6000,2,IF(HR_Data[[#This Row],[MonthlyIncome]]&lt;10000,3,4)))</f>
        <v>2</v>
      </c>
      <c r="AI86" s="1" t="str">
        <f>IF(HR_Data[[#This Row],[YearsAtCompany]]&lt;=2,"0-2 Yrs",IF(HR_Data[[#This Row],[YearsAtCompany]]&lt;=5,"3-5 Yrs",IF(HR_Data[[#This Row],[YearsAtCompany]]&lt;=10,"6-10 Yrs","10+ Yrs")))</f>
        <v>3-5 Yrs</v>
      </c>
      <c r="AJ86" s="1">
        <f>IF(HR_Data[[#This Row],[YearsAtCompany]]&lt;=2,1,IF(HR_Data[[#This Row],[YearsAtCompany]]&lt;=5,2,IF(HR_Data[[#This Row],[YearsAtCompany]]&lt;=10,3,4)))</f>
        <v>2</v>
      </c>
      <c r="AK86" s="1" t="str">
        <f>CHOOSE(HR_Data[[#This Row],[Education]],"Below College","College","Bachelor","Master","Doctor")</f>
        <v>College</v>
      </c>
      <c r="AL86" s="1" t="str">
        <f>CHOOSE(HR_Data[[#This Row],[JobSatisfaction]],"Low","Medium","High","Very High")</f>
        <v>Medium</v>
      </c>
      <c r="AM86" s="1" t="str">
        <f>CHOOSE(HR_Data[[#This Row],[EnvironmentSatisfaction]],"Low","Medium","High","Very High")</f>
        <v>Low</v>
      </c>
      <c r="AN86" s="1" t="str">
        <f>CHOOSE(HR_Data[[#This Row],[WorkLifeBalance]],"Bad","Good","Better","Best")</f>
        <v>Better</v>
      </c>
      <c r="AO86" s="1" t="str">
        <f>IF(HR_Data[[#This Row],[PercentSalaryHike]]&lt;=13,"11-13%",IF(HR_Data[[#This Row],[PercentSalaryHike]]&lt;=16,"14-16%",IF(HR_Data[[#This Row],[PercentSalaryHike]]&lt;=19,"17-19%","20-25%")))</f>
        <v>14-16%</v>
      </c>
      <c r="AP86" s="1">
        <f>IF(HR_Data[[#This Row],[PercentSalaryHike]]&lt;=13,1,IF(HR_Data[[#This Row],[PercentSalaryHike]]&lt;=16,2,IF(HR_Data[[#This Row],[PercentSalaryHike]]&lt;=19,3,4)))</f>
        <v>2</v>
      </c>
      <c r="AQ86" s="1" t="str">
        <f>IF(HR_Data[[#This Row],[DistanceFromHome]]&lt;=5,"1 to 5",IF(HR_Data[[#This Row],[DistanceFromHome]]&lt;=10,"6 to 10",IF(HR_Data[[#This Row],[DistanceFromHome]]&lt;=20,"11 to 20","21 to 29")))</f>
        <v>1 to 5</v>
      </c>
      <c r="AR86" s="1">
        <f>IF(HR_Data[[#This Row],[DistanceFromHome]]&lt;=5,1,IF(HR_Data[[#This Row],[DistanceFromHome]]&lt;=10,2,IF(HR_Data[[#This Row],[DistanceFromHome]]&lt;=20,3,4)))</f>
        <v>1</v>
      </c>
      <c r="AS86" s="1" t="str">
        <f>IF(HR_Data[[#This Row],[TotalWorkingYears]]&lt;=5,"0-5 Yrs",IF(HR_Data[[#This Row],[TotalWorkingYears]]&lt;=10,"6-10 Yrs",IF(HR_Data[[#This Row],[TotalWorkingYears]]&lt;=20,"11-20 Yrs","20+ Yrs")))</f>
        <v>0-5 Yrs</v>
      </c>
      <c r="AT86" s="1">
        <f>IF(HR_Data[[#This Row],[TotalWorkingYears]]&lt;=5,1,IF(HR_Data[[#This Row],[TotalWorkingYears]]&lt;=10,2,IF(HR_Data[[#This Row],[TotalWorkingYears]]&lt;=20,3,4)))</f>
        <v>1</v>
      </c>
    </row>
    <row r="87" spans="1:46" x14ac:dyDescent="0.25">
      <c r="A87">
        <v>56</v>
      </c>
      <c r="B87" t="s">
        <v>36</v>
      </c>
      <c r="C87" t="s">
        <v>30</v>
      </c>
      <c r="D87" t="s">
        <v>38</v>
      </c>
      <c r="E87">
        <v>7</v>
      </c>
      <c r="F87">
        <v>3</v>
      </c>
      <c r="G87" t="s">
        <v>32</v>
      </c>
      <c r="H87">
        <v>112</v>
      </c>
      <c r="I87">
        <v>4</v>
      </c>
      <c r="J87" t="s">
        <v>39</v>
      </c>
      <c r="K87">
        <v>1</v>
      </c>
      <c r="L87">
        <v>3</v>
      </c>
      <c r="M87" t="s">
        <v>46</v>
      </c>
      <c r="N87">
        <v>4</v>
      </c>
      <c r="O87" t="s">
        <v>35</v>
      </c>
      <c r="P87">
        <v>7260</v>
      </c>
      <c r="Q87">
        <v>4</v>
      </c>
      <c r="R87" t="s">
        <v>36</v>
      </c>
      <c r="S87">
        <v>11</v>
      </c>
      <c r="T87">
        <v>3</v>
      </c>
      <c r="U87">
        <v>1</v>
      </c>
      <c r="V87">
        <v>0</v>
      </c>
      <c r="W87">
        <v>37</v>
      </c>
      <c r="X87">
        <v>3</v>
      </c>
      <c r="Y87">
        <v>2</v>
      </c>
      <c r="Z87">
        <v>6</v>
      </c>
      <c r="AA87">
        <v>4</v>
      </c>
      <c r="AB87">
        <v>0</v>
      </c>
      <c r="AC87">
        <v>2</v>
      </c>
      <c r="AD87">
        <f>IF(HR_Data[[#This Row],[Attrition]]="Yes",1,0)</f>
        <v>0</v>
      </c>
      <c r="AE87" t="str">
        <f>IF(HR_Data[[#This Row],[Age]]&lt;=25,"18-25",IF(HR_Data[[#This Row],[Age]]&lt;=35,"26-35",IF(HR_Data[[#This Row],[Age]]&lt;=45,"36-45",IF(HR_Data[[#This Row],[Age]]&lt;=55,"46-55","55+"))))</f>
        <v>55+</v>
      </c>
      <c r="AF87">
        <f>IF(HR_Data[[#This Row],[Age]]&lt;=25,1,IF(HR_Data[[#This Row],[Age]]&lt;=35,2,IF(HR_Data[[#This Row],[Age]]&lt;=45,3,IF(HR_Data[[#This Row],[Age]]&lt;=55,4,5))))</f>
        <v>5</v>
      </c>
      <c r="AG87" s="1" t="str">
        <f>IF(HR_Data[[#This Row],[MonthlyIncome]]&lt;3000,"&lt;3K",IF(HR_Data[[#This Row],[MonthlyIncome]]&lt;6000,"3K-6K",IF(HR_Data[[#This Row],[MonthlyIncome]]&lt;10000,"6K-10K","10K+")))</f>
        <v>6K-10K</v>
      </c>
      <c r="AH87" s="1">
        <f>IF(HR_Data[[#This Row],[MonthlyIncome]]&lt;3000,1,IF(HR_Data[[#This Row],[MonthlyIncome]]&lt;6000,2,IF(HR_Data[[#This Row],[MonthlyIncome]]&lt;10000,3,4)))</f>
        <v>3</v>
      </c>
      <c r="AI87" s="1" t="str">
        <f>IF(HR_Data[[#This Row],[YearsAtCompany]]&lt;=2,"0-2 Yrs",IF(HR_Data[[#This Row],[YearsAtCompany]]&lt;=5,"3-5 Yrs",IF(HR_Data[[#This Row],[YearsAtCompany]]&lt;=10,"6-10 Yrs","10+ Yrs")))</f>
        <v>6-10 Yrs</v>
      </c>
      <c r="AJ87" s="1">
        <f>IF(HR_Data[[#This Row],[YearsAtCompany]]&lt;=2,1,IF(HR_Data[[#This Row],[YearsAtCompany]]&lt;=5,2,IF(HR_Data[[#This Row],[YearsAtCompany]]&lt;=10,3,4)))</f>
        <v>3</v>
      </c>
      <c r="AK87" s="1" t="str">
        <f>CHOOSE(HR_Data[[#This Row],[Education]],"Below College","College","Bachelor","Master","Doctor")</f>
        <v>Bachelor</v>
      </c>
      <c r="AL87" s="1" t="str">
        <f>CHOOSE(HR_Data[[#This Row],[JobSatisfaction]],"Low","Medium","High","Very High")</f>
        <v>Very High</v>
      </c>
      <c r="AM87" s="1" t="str">
        <f>CHOOSE(HR_Data[[#This Row],[EnvironmentSatisfaction]],"Low","Medium","High","Very High")</f>
        <v>Very High</v>
      </c>
      <c r="AN87" s="1" t="str">
        <f>CHOOSE(HR_Data[[#This Row],[WorkLifeBalance]],"Bad","Good","Better","Best")</f>
        <v>Good</v>
      </c>
      <c r="AO87" s="1" t="str">
        <f>IF(HR_Data[[#This Row],[PercentSalaryHike]]&lt;=13,"11-13%",IF(HR_Data[[#This Row],[PercentSalaryHike]]&lt;=16,"14-16%",IF(HR_Data[[#This Row],[PercentSalaryHike]]&lt;=19,"17-19%","20-25%")))</f>
        <v>11-13%</v>
      </c>
      <c r="AP87" s="1">
        <f>IF(HR_Data[[#This Row],[PercentSalaryHike]]&lt;=13,1,IF(HR_Data[[#This Row],[PercentSalaryHike]]&lt;=16,2,IF(HR_Data[[#This Row],[PercentSalaryHike]]&lt;=19,3,4)))</f>
        <v>1</v>
      </c>
      <c r="AQ87" s="1" t="str">
        <f>IF(HR_Data[[#This Row],[DistanceFromHome]]&lt;=5,"1 to 5",IF(HR_Data[[#This Row],[DistanceFromHome]]&lt;=10,"6 to 10",IF(HR_Data[[#This Row],[DistanceFromHome]]&lt;=20,"11 to 20","21 to 29")))</f>
        <v>6 to 10</v>
      </c>
      <c r="AR87" s="1">
        <f>IF(HR_Data[[#This Row],[DistanceFromHome]]&lt;=5,1,IF(HR_Data[[#This Row],[DistanceFromHome]]&lt;=10,2,IF(HR_Data[[#This Row],[DistanceFromHome]]&lt;=20,3,4)))</f>
        <v>2</v>
      </c>
      <c r="AS87" s="1" t="str">
        <f>IF(HR_Data[[#This Row],[TotalWorkingYears]]&lt;=5,"0-5 Yrs",IF(HR_Data[[#This Row],[TotalWorkingYears]]&lt;=10,"6-10 Yrs",IF(HR_Data[[#This Row],[TotalWorkingYears]]&lt;=20,"11-20 Yrs","20+ Yrs")))</f>
        <v>20+ Yrs</v>
      </c>
      <c r="AT87" s="1">
        <f>IF(HR_Data[[#This Row],[TotalWorkingYears]]&lt;=5,1,IF(HR_Data[[#This Row],[TotalWorkingYears]]&lt;=10,2,IF(HR_Data[[#This Row],[TotalWorkingYears]]&lt;=20,3,4)))</f>
        <v>4</v>
      </c>
    </row>
    <row r="88" spans="1:46" x14ac:dyDescent="0.25">
      <c r="A88">
        <v>23</v>
      </c>
      <c r="B88" t="s">
        <v>36</v>
      </c>
      <c r="C88" t="s">
        <v>30</v>
      </c>
      <c r="D88" t="s">
        <v>31</v>
      </c>
      <c r="E88">
        <v>2</v>
      </c>
      <c r="F88">
        <v>1</v>
      </c>
      <c r="G88" t="s">
        <v>53</v>
      </c>
      <c r="H88">
        <v>113</v>
      </c>
      <c r="I88">
        <v>3</v>
      </c>
      <c r="J88" t="s">
        <v>39</v>
      </c>
      <c r="K88">
        <v>3</v>
      </c>
      <c r="L88">
        <v>1</v>
      </c>
      <c r="M88" t="s">
        <v>50</v>
      </c>
      <c r="N88">
        <v>1</v>
      </c>
      <c r="O88" t="s">
        <v>45</v>
      </c>
      <c r="P88">
        <v>2322</v>
      </c>
      <c r="Q88">
        <v>3</v>
      </c>
      <c r="R88" t="s">
        <v>36</v>
      </c>
      <c r="S88">
        <v>13</v>
      </c>
      <c r="T88">
        <v>3</v>
      </c>
      <c r="U88">
        <v>3</v>
      </c>
      <c r="V88">
        <v>1</v>
      </c>
      <c r="W88">
        <v>3</v>
      </c>
      <c r="X88">
        <v>3</v>
      </c>
      <c r="Y88">
        <v>3</v>
      </c>
      <c r="Z88">
        <v>0</v>
      </c>
      <c r="AA88">
        <v>0</v>
      </c>
      <c r="AB88">
        <v>0</v>
      </c>
      <c r="AC88">
        <v>0</v>
      </c>
      <c r="AD88">
        <f>IF(HR_Data[[#This Row],[Attrition]]="Yes",1,0)</f>
        <v>0</v>
      </c>
      <c r="AE88" t="str">
        <f>IF(HR_Data[[#This Row],[Age]]&lt;=25,"18-25",IF(HR_Data[[#This Row],[Age]]&lt;=35,"26-35",IF(HR_Data[[#This Row],[Age]]&lt;=45,"36-45",IF(HR_Data[[#This Row],[Age]]&lt;=55,"46-55","55+"))))</f>
        <v>18-25</v>
      </c>
      <c r="AF88">
        <f>IF(HR_Data[[#This Row],[Age]]&lt;=25,1,IF(HR_Data[[#This Row],[Age]]&lt;=35,2,IF(HR_Data[[#This Row],[Age]]&lt;=45,3,IF(HR_Data[[#This Row],[Age]]&lt;=55,4,5))))</f>
        <v>1</v>
      </c>
      <c r="AG88" s="1" t="str">
        <f>IF(HR_Data[[#This Row],[MonthlyIncome]]&lt;3000,"&lt;3K",IF(HR_Data[[#This Row],[MonthlyIncome]]&lt;6000,"3K-6K",IF(HR_Data[[#This Row],[MonthlyIncome]]&lt;10000,"6K-10K","10K+")))</f>
        <v>&lt;3K</v>
      </c>
      <c r="AH88" s="1">
        <f>IF(HR_Data[[#This Row],[MonthlyIncome]]&lt;3000,1,IF(HR_Data[[#This Row],[MonthlyIncome]]&lt;6000,2,IF(HR_Data[[#This Row],[MonthlyIncome]]&lt;10000,3,4)))</f>
        <v>1</v>
      </c>
      <c r="AI88" s="1" t="str">
        <f>IF(HR_Data[[#This Row],[YearsAtCompany]]&lt;=2,"0-2 Yrs",IF(HR_Data[[#This Row],[YearsAtCompany]]&lt;=5,"3-5 Yrs",IF(HR_Data[[#This Row],[YearsAtCompany]]&lt;=10,"6-10 Yrs","10+ Yrs")))</f>
        <v>0-2 Yrs</v>
      </c>
      <c r="AJ88" s="1">
        <f>IF(HR_Data[[#This Row],[YearsAtCompany]]&lt;=2,1,IF(HR_Data[[#This Row],[YearsAtCompany]]&lt;=5,2,IF(HR_Data[[#This Row],[YearsAtCompany]]&lt;=10,3,4)))</f>
        <v>1</v>
      </c>
      <c r="AK88" s="1" t="str">
        <f>CHOOSE(HR_Data[[#This Row],[Education]],"Below College","College","Bachelor","Master","Doctor")</f>
        <v>Below College</v>
      </c>
      <c r="AL88" s="1" t="str">
        <f>CHOOSE(HR_Data[[#This Row],[JobSatisfaction]],"Low","Medium","High","Very High")</f>
        <v>Low</v>
      </c>
      <c r="AM88" s="1" t="str">
        <f>CHOOSE(HR_Data[[#This Row],[EnvironmentSatisfaction]],"Low","Medium","High","Very High")</f>
        <v>High</v>
      </c>
      <c r="AN88" s="1" t="str">
        <f>CHOOSE(HR_Data[[#This Row],[WorkLifeBalance]],"Bad","Good","Better","Best")</f>
        <v>Better</v>
      </c>
      <c r="AO88" s="1" t="str">
        <f>IF(HR_Data[[#This Row],[PercentSalaryHike]]&lt;=13,"11-13%",IF(HR_Data[[#This Row],[PercentSalaryHike]]&lt;=16,"14-16%",IF(HR_Data[[#This Row],[PercentSalaryHike]]&lt;=19,"17-19%","20-25%")))</f>
        <v>11-13%</v>
      </c>
      <c r="AP88" s="1">
        <f>IF(HR_Data[[#This Row],[PercentSalaryHike]]&lt;=13,1,IF(HR_Data[[#This Row],[PercentSalaryHike]]&lt;=16,2,IF(HR_Data[[#This Row],[PercentSalaryHike]]&lt;=19,3,4)))</f>
        <v>1</v>
      </c>
      <c r="AQ88" s="1" t="str">
        <f>IF(HR_Data[[#This Row],[DistanceFromHome]]&lt;=5,"1 to 5",IF(HR_Data[[#This Row],[DistanceFromHome]]&lt;=10,"6 to 10",IF(HR_Data[[#This Row],[DistanceFromHome]]&lt;=20,"11 to 20","21 to 29")))</f>
        <v>1 to 5</v>
      </c>
      <c r="AR88" s="1">
        <f>IF(HR_Data[[#This Row],[DistanceFromHome]]&lt;=5,1,IF(HR_Data[[#This Row],[DistanceFromHome]]&lt;=10,2,IF(HR_Data[[#This Row],[DistanceFromHome]]&lt;=20,3,4)))</f>
        <v>1</v>
      </c>
      <c r="AS88" s="1" t="str">
        <f>IF(HR_Data[[#This Row],[TotalWorkingYears]]&lt;=5,"0-5 Yrs",IF(HR_Data[[#This Row],[TotalWorkingYears]]&lt;=10,"6-10 Yrs",IF(HR_Data[[#This Row],[TotalWorkingYears]]&lt;=20,"11-20 Yrs","20+ Yrs")))</f>
        <v>0-5 Yrs</v>
      </c>
      <c r="AT88" s="1">
        <f>IF(HR_Data[[#This Row],[TotalWorkingYears]]&lt;=5,1,IF(HR_Data[[#This Row],[TotalWorkingYears]]&lt;=10,2,IF(HR_Data[[#This Row],[TotalWorkingYears]]&lt;=20,3,4)))</f>
        <v>1</v>
      </c>
    </row>
    <row r="89" spans="1:46" x14ac:dyDescent="0.25">
      <c r="A89">
        <v>51</v>
      </c>
      <c r="B89" t="s">
        <v>36</v>
      </c>
      <c r="C89" t="s">
        <v>30</v>
      </c>
      <c r="D89" t="s">
        <v>38</v>
      </c>
      <c r="E89">
        <v>9</v>
      </c>
      <c r="F89">
        <v>4</v>
      </c>
      <c r="G89" t="s">
        <v>32</v>
      </c>
      <c r="H89">
        <v>116</v>
      </c>
      <c r="I89">
        <v>4</v>
      </c>
      <c r="J89" t="s">
        <v>39</v>
      </c>
      <c r="K89">
        <v>3</v>
      </c>
      <c r="L89">
        <v>1</v>
      </c>
      <c r="M89" t="s">
        <v>43</v>
      </c>
      <c r="N89">
        <v>4</v>
      </c>
      <c r="O89" t="s">
        <v>41</v>
      </c>
      <c r="P89">
        <v>2075</v>
      </c>
      <c r="Q89">
        <v>3</v>
      </c>
      <c r="R89" t="s">
        <v>36</v>
      </c>
      <c r="S89">
        <v>23</v>
      </c>
      <c r="T89">
        <v>4</v>
      </c>
      <c r="U89">
        <v>2</v>
      </c>
      <c r="V89">
        <v>2</v>
      </c>
      <c r="W89">
        <v>10</v>
      </c>
      <c r="X89">
        <v>4</v>
      </c>
      <c r="Y89">
        <v>3</v>
      </c>
      <c r="Z89">
        <v>4</v>
      </c>
      <c r="AA89">
        <v>2</v>
      </c>
      <c r="AB89">
        <v>0</v>
      </c>
      <c r="AC89">
        <v>3</v>
      </c>
      <c r="AD89">
        <f>IF(HR_Data[[#This Row],[Attrition]]="Yes",1,0)</f>
        <v>0</v>
      </c>
      <c r="AE89" t="str">
        <f>IF(HR_Data[[#This Row],[Age]]&lt;=25,"18-25",IF(HR_Data[[#This Row],[Age]]&lt;=35,"26-35",IF(HR_Data[[#This Row],[Age]]&lt;=45,"36-45",IF(HR_Data[[#This Row],[Age]]&lt;=55,"46-55","55+"))))</f>
        <v>46-55</v>
      </c>
      <c r="AF89">
        <f>IF(HR_Data[[#This Row],[Age]]&lt;=25,1,IF(HR_Data[[#This Row],[Age]]&lt;=35,2,IF(HR_Data[[#This Row],[Age]]&lt;=45,3,IF(HR_Data[[#This Row],[Age]]&lt;=55,4,5))))</f>
        <v>4</v>
      </c>
      <c r="AG89" s="1" t="str">
        <f>IF(HR_Data[[#This Row],[MonthlyIncome]]&lt;3000,"&lt;3K",IF(HR_Data[[#This Row],[MonthlyIncome]]&lt;6000,"3K-6K",IF(HR_Data[[#This Row],[MonthlyIncome]]&lt;10000,"6K-10K","10K+")))</f>
        <v>&lt;3K</v>
      </c>
      <c r="AH89" s="1">
        <f>IF(HR_Data[[#This Row],[MonthlyIncome]]&lt;3000,1,IF(HR_Data[[#This Row],[MonthlyIncome]]&lt;6000,2,IF(HR_Data[[#This Row],[MonthlyIncome]]&lt;10000,3,4)))</f>
        <v>1</v>
      </c>
      <c r="AI89" s="1" t="str">
        <f>IF(HR_Data[[#This Row],[YearsAtCompany]]&lt;=2,"0-2 Yrs",IF(HR_Data[[#This Row],[YearsAtCompany]]&lt;=5,"3-5 Yrs",IF(HR_Data[[#This Row],[YearsAtCompany]]&lt;=10,"6-10 Yrs","10+ Yrs")))</f>
        <v>3-5 Yrs</v>
      </c>
      <c r="AJ89" s="1">
        <f>IF(HR_Data[[#This Row],[YearsAtCompany]]&lt;=2,1,IF(HR_Data[[#This Row],[YearsAtCompany]]&lt;=5,2,IF(HR_Data[[#This Row],[YearsAtCompany]]&lt;=10,3,4)))</f>
        <v>2</v>
      </c>
      <c r="AK89" s="1" t="str">
        <f>CHOOSE(HR_Data[[#This Row],[Education]],"Below College","College","Bachelor","Master","Doctor")</f>
        <v>Master</v>
      </c>
      <c r="AL89" s="1" t="str">
        <f>CHOOSE(HR_Data[[#This Row],[JobSatisfaction]],"Low","Medium","High","Very High")</f>
        <v>Very High</v>
      </c>
      <c r="AM89" s="1" t="str">
        <f>CHOOSE(HR_Data[[#This Row],[EnvironmentSatisfaction]],"Low","Medium","High","Very High")</f>
        <v>Very High</v>
      </c>
      <c r="AN89" s="1" t="str">
        <f>CHOOSE(HR_Data[[#This Row],[WorkLifeBalance]],"Bad","Good","Better","Best")</f>
        <v>Better</v>
      </c>
      <c r="AO89" s="1" t="str">
        <f>IF(HR_Data[[#This Row],[PercentSalaryHike]]&lt;=13,"11-13%",IF(HR_Data[[#This Row],[PercentSalaryHike]]&lt;=16,"14-16%",IF(HR_Data[[#This Row],[PercentSalaryHike]]&lt;=19,"17-19%","20-25%")))</f>
        <v>20-25%</v>
      </c>
      <c r="AP89" s="1">
        <f>IF(HR_Data[[#This Row],[PercentSalaryHike]]&lt;=13,1,IF(HR_Data[[#This Row],[PercentSalaryHike]]&lt;=16,2,IF(HR_Data[[#This Row],[PercentSalaryHike]]&lt;=19,3,4)))</f>
        <v>4</v>
      </c>
      <c r="AQ89" s="1" t="str">
        <f>IF(HR_Data[[#This Row],[DistanceFromHome]]&lt;=5,"1 to 5",IF(HR_Data[[#This Row],[DistanceFromHome]]&lt;=10,"6 to 10",IF(HR_Data[[#This Row],[DistanceFromHome]]&lt;=20,"11 to 20","21 to 29")))</f>
        <v>6 to 10</v>
      </c>
      <c r="AR89" s="1">
        <f>IF(HR_Data[[#This Row],[DistanceFromHome]]&lt;=5,1,IF(HR_Data[[#This Row],[DistanceFromHome]]&lt;=10,2,IF(HR_Data[[#This Row],[DistanceFromHome]]&lt;=20,3,4)))</f>
        <v>2</v>
      </c>
      <c r="AS89" s="1" t="str">
        <f>IF(HR_Data[[#This Row],[TotalWorkingYears]]&lt;=5,"0-5 Yrs",IF(HR_Data[[#This Row],[TotalWorkingYears]]&lt;=10,"6-10 Yrs",IF(HR_Data[[#This Row],[TotalWorkingYears]]&lt;=20,"11-20 Yrs","20+ Yrs")))</f>
        <v>6-10 Yrs</v>
      </c>
      <c r="AT89" s="1">
        <f>IF(HR_Data[[#This Row],[TotalWorkingYears]]&lt;=5,1,IF(HR_Data[[#This Row],[TotalWorkingYears]]&lt;=10,2,IF(HR_Data[[#This Row],[TotalWorkingYears]]&lt;=20,3,4)))</f>
        <v>2</v>
      </c>
    </row>
    <row r="90" spans="1:46" x14ac:dyDescent="0.25">
      <c r="A90">
        <v>30</v>
      </c>
      <c r="B90" t="s">
        <v>36</v>
      </c>
      <c r="C90" t="s">
        <v>30</v>
      </c>
      <c r="D90" t="s">
        <v>38</v>
      </c>
      <c r="E90">
        <v>2</v>
      </c>
      <c r="F90">
        <v>3</v>
      </c>
      <c r="G90" t="s">
        <v>32</v>
      </c>
      <c r="H90">
        <v>117</v>
      </c>
      <c r="I90">
        <v>3</v>
      </c>
      <c r="J90" t="s">
        <v>39</v>
      </c>
      <c r="K90">
        <v>2</v>
      </c>
      <c r="L90">
        <v>2</v>
      </c>
      <c r="M90" t="s">
        <v>47</v>
      </c>
      <c r="N90">
        <v>4</v>
      </c>
      <c r="O90" t="s">
        <v>41</v>
      </c>
      <c r="P90">
        <v>4152</v>
      </c>
      <c r="Q90">
        <v>1</v>
      </c>
      <c r="R90" t="s">
        <v>36</v>
      </c>
      <c r="S90">
        <v>19</v>
      </c>
      <c r="T90">
        <v>3</v>
      </c>
      <c r="U90">
        <v>1</v>
      </c>
      <c r="V90">
        <v>3</v>
      </c>
      <c r="W90">
        <v>11</v>
      </c>
      <c r="X90">
        <v>3</v>
      </c>
      <c r="Y90">
        <v>3</v>
      </c>
      <c r="Z90">
        <v>11</v>
      </c>
      <c r="AA90">
        <v>10</v>
      </c>
      <c r="AB90">
        <v>10</v>
      </c>
      <c r="AC90">
        <v>8</v>
      </c>
      <c r="AD90">
        <f>IF(HR_Data[[#This Row],[Attrition]]="Yes",1,0)</f>
        <v>0</v>
      </c>
      <c r="AE90" t="str">
        <f>IF(HR_Data[[#This Row],[Age]]&lt;=25,"18-25",IF(HR_Data[[#This Row],[Age]]&lt;=35,"26-35",IF(HR_Data[[#This Row],[Age]]&lt;=45,"36-45",IF(HR_Data[[#This Row],[Age]]&lt;=55,"46-55","55+"))))</f>
        <v>26-35</v>
      </c>
      <c r="AF90">
        <f>IF(HR_Data[[#This Row],[Age]]&lt;=25,1,IF(HR_Data[[#This Row],[Age]]&lt;=35,2,IF(HR_Data[[#This Row],[Age]]&lt;=45,3,IF(HR_Data[[#This Row],[Age]]&lt;=55,4,5))))</f>
        <v>2</v>
      </c>
      <c r="AG90" s="1" t="str">
        <f>IF(HR_Data[[#This Row],[MonthlyIncome]]&lt;3000,"&lt;3K",IF(HR_Data[[#This Row],[MonthlyIncome]]&lt;6000,"3K-6K",IF(HR_Data[[#This Row],[MonthlyIncome]]&lt;10000,"6K-10K","10K+")))</f>
        <v>3K-6K</v>
      </c>
      <c r="AH90" s="1">
        <f>IF(HR_Data[[#This Row],[MonthlyIncome]]&lt;3000,1,IF(HR_Data[[#This Row],[MonthlyIncome]]&lt;6000,2,IF(HR_Data[[#This Row],[MonthlyIncome]]&lt;10000,3,4)))</f>
        <v>2</v>
      </c>
      <c r="AI90" s="1" t="str">
        <f>IF(HR_Data[[#This Row],[YearsAtCompany]]&lt;=2,"0-2 Yrs",IF(HR_Data[[#This Row],[YearsAtCompany]]&lt;=5,"3-5 Yrs",IF(HR_Data[[#This Row],[YearsAtCompany]]&lt;=10,"6-10 Yrs","10+ Yrs")))</f>
        <v>10+ Yrs</v>
      </c>
      <c r="AJ90" s="1">
        <f>IF(HR_Data[[#This Row],[YearsAtCompany]]&lt;=2,1,IF(HR_Data[[#This Row],[YearsAtCompany]]&lt;=5,2,IF(HR_Data[[#This Row],[YearsAtCompany]]&lt;=10,3,4)))</f>
        <v>4</v>
      </c>
      <c r="AK90" s="1" t="str">
        <f>CHOOSE(HR_Data[[#This Row],[Education]],"Below College","College","Bachelor","Master","Doctor")</f>
        <v>Bachelor</v>
      </c>
      <c r="AL90" s="1" t="str">
        <f>CHOOSE(HR_Data[[#This Row],[JobSatisfaction]],"Low","Medium","High","Very High")</f>
        <v>Very High</v>
      </c>
      <c r="AM90" s="1" t="str">
        <f>CHOOSE(HR_Data[[#This Row],[EnvironmentSatisfaction]],"Low","Medium","High","Very High")</f>
        <v>High</v>
      </c>
      <c r="AN90" s="1" t="str">
        <f>CHOOSE(HR_Data[[#This Row],[WorkLifeBalance]],"Bad","Good","Better","Best")</f>
        <v>Better</v>
      </c>
      <c r="AO90" s="1" t="str">
        <f>IF(HR_Data[[#This Row],[PercentSalaryHike]]&lt;=13,"11-13%",IF(HR_Data[[#This Row],[PercentSalaryHike]]&lt;=16,"14-16%",IF(HR_Data[[#This Row],[PercentSalaryHike]]&lt;=19,"17-19%","20-25%")))</f>
        <v>17-19%</v>
      </c>
      <c r="AP90" s="1">
        <f>IF(HR_Data[[#This Row],[PercentSalaryHike]]&lt;=13,1,IF(HR_Data[[#This Row],[PercentSalaryHike]]&lt;=16,2,IF(HR_Data[[#This Row],[PercentSalaryHike]]&lt;=19,3,4)))</f>
        <v>3</v>
      </c>
      <c r="AQ90" s="1" t="str">
        <f>IF(HR_Data[[#This Row],[DistanceFromHome]]&lt;=5,"1 to 5",IF(HR_Data[[#This Row],[DistanceFromHome]]&lt;=10,"6 to 10",IF(HR_Data[[#This Row],[DistanceFromHome]]&lt;=20,"11 to 20","21 to 29")))</f>
        <v>1 to 5</v>
      </c>
      <c r="AR90" s="1">
        <f>IF(HR_Data[[#This Row],[DistanceFromHome]]&lt;=5,1,IF(HR_Data[[#This Row],[DistanceFromHome]]&lt;=10,2,IF(HR_Data[[#This Row],[DistanceFromHome]]&lt;=20,3,4)))</f>
        <v>1</v>
      </c>
      <c r="AS90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90" s="1">
        <f>IF(HR_Data[[#This Row],[TotalWorkingYears]]&lt;=5,1,IF(HR_Data[[#This Row],[TotalWorkingYears]]&lt;=10,2,IF(HR_Data[[#This Row],[TotalWorkingYears]]&lt;=20,3,4)))</f>
        <v>3</v>
      </c>
    </row>
    <row r="91" spans="1:46" x14ac:dyDescent="0.25">
      <c r="A91">
        <v>46</v>
      </c>
      <c r="B91" t="s">
        <v>29</v>
      </c>
      <c r="C91" t="s">
        <v>30</v>
      </c>
      <c r="D91" t="s">
        <v>31</v>
      </c>
      <c r="E91">
        <v>9</v>
      </c>
      <c r="F91">
        <v>2</v>
      </c>
      <c r="G91" t="s">
        <v>44</v>
      </c>
      <c r="H91">
        <v>118</v>
      </c>
      <c r="I91">
        <v>3</v>
      </c>
      <c r="J91" t="s">
        <v>39</v>
      </c>
      <c r="K91">
        <v>2</v>
      </c>
      <c r="L91">
        <v>3</v>
      </c>
      <c r="M91" t="s">
        <v>34</v>
      </c>
      <c r="N91">
        <v>4</v>
      </c>
      <c r="O91" t="s">
        <v>35</v>
      </c>
      <c r="P91">
        <v>9619</v>
      </c>
      <c r="Q91">
        <v>1</v>
      </c>
      <c r="R91" t="s">
        <v>36</v>
      </c>
      <c r="S91">
        <v>16</v>
      </c>
      <c r="T91">
        <v>3</v>
      </c>
      <c r="U91">
        <v>4</v>
      </c>
      <c r="V91">
        <v>0</v>
      </c>
      <c r="W91">
        <v>9</v>
      </c>
      <c r="X91">
        <v>3</v>
      </c>
      <c r="Y91">
        <v>3</v>
      </c>
      <c r="Z91">
        <v>9</v>
      </c>
      <c r="AA91">
        <v>8</v>
      </c>
      <c r="AB91">
        <v>4</v>
      </c>
      <c r="AC91">
        <v>7</v>
      </c>
      <c r="AD91">
        <f>IF(HR_Data[[#This Row],[Attrition]]="Yes",1,0)</f>
        <v>1</v>
      </c>
      <c r="AE91" t="str">
        <f>IF(HR_Data[[#This Row],[Age]]&lt;=25,"18-25",IF(HR_Data[[#This Row],[Age]]&lt;=35,"26-35",IF(HR_Data[[#This Row],[Age]]&lt;=45,"36-45",IF(HR_Data[[#This Row],[Age]]&lt;=55,"46-55","55+"))))</f>
        <v>46-55</v>
      </c>
      <c r="AF91">
        <f>IF(HR_Data[[#This Row],[Age]]&lt;=25,1,IF(HR_Data[[#This Row],[Age]]&lt;=35,2,IF(HR_Data[[#This Row],[Age]]&lt;=45,3,IF(HR_Data[[#This Row],[Age]]&lt;=55,4,5))))</f>
        <v>4</v>
      </c>
      <c r="AG91" s="1" t="str">
        <f>IF(HR_Data[[#This Row],[MonthlyIncome]]&lt;3000,"&lt;3K",IF(HR_Data[[#This Row],[MonthlyIncome]]&lt;6000,"3K-6K",IF(HR_Data[[#This Row],[MonthlyIncome]]&lt;10000,"6K-10K","10K+")))</f>
        <v>6K-10K</v>
      </c>
      <c r="AH91" s="1">
        <f>IF(HR_Data[[#This Row],[MonthlyIncome]]&lt;3000,1,IF(HR_Data[[#This Row],[MonthlyIncome]]&lt;6000,2,IF(HR_Data[[#This Row],[MonthlyIncome]]&lt;10000,3,4)))</f>
        <v>3</v>
      </c>
      <c r="AI91" s="1" t="str">
        <f>IF(HR_Data[[#This Row],[YearsAtCompany]]&lt;=2,"0-2 Yrs",IF(HR_Data[[#This Row],[YearsAtCompany]]&lt;=5,"3-5 Yrs",IF(HR_Data[[#This Row],[YearsAtCompany]]&lt;=10,"6-10 Yrs","10+ Yrs")))</f>
        <v>6-10 Yrs</v>
      </c>
      <c r="AJ91" s="1">
        <f>IF(HR_Data[[#This Row],[YearsAtCompany]]&lt;=2,1,IF(HR_Data[[#This Row],[YearsAtCompany]]&lt;=5,2,IF(HR_Data[[#This Row],[YearsAtCompany]]&lt;=10,3,4)))</f>
        <v>3</v>
      </c>
      <c r="AK91" s="1" t="str">
        <f>CHOOSE(HR_Data[[#This Row],[Education]],"Below College","College","Bachelor","Master","Doctor")</f>
        <v>College</v>
      </c>
      <c r="AL91" s="1" t="str">
        <f>CHOOSE(HR_Data[[#This Row],[JobSatisfaction]],"Low","Medium","High","Very High")</f>
        <v>Very High</v>
      </c>
      <c r="AM91" s="1" t="str">
        <f>CHOOSE(HR_Data[[#This Row],[EnvironmentSatisfaction]],"Low","Medium","High","Very High")</f>
        <v>High</v>
      </c>
      <c r="AN91" s="1" t="str">
        <f>CHOOSE(HR_Data[[#This Row],[WorkLifeBalance]],"Bad","Good","Better","Best")</f>
        <v>Better</v>
      </c>
      <c r="AO91" s="1" t="str">
        <f>IF(HR_Data[[#This Row],[PercentSalaryHike]]&lt;=13,"11-13%",IF(HR_Data[[#This Row],[PercentSalaryHike]]&lt;=16,"14-16%",IF(HR_Data[[#This Row],[PercentSalaryHike]]&lt;=19,"17-19%","20-25%")))</f>
        <v>14-16%</v>
      </c>
      <c r="AP91" s="1">
        <f>IF(HR_Data[[#This Row],[PercentSalaryHike]]&lt;=13,1,IF(HR_Data[[#This Row],[PercentSalaryHike]]&lt;=16,2,IF(HR_Data[[#This Row],[PercentSalaryHike]]&lt;=19,3,4)))</f>
        <v>2</v>
      </c>
      <c r="AQ91" s="1" t="str">
        <f>IF(HR_Data[[#This Row],[DistanceFromHome]]&lt;=5,"1 to 5",IF(HR_Data[[#This Row],[DistanceFromHome]]&lt;=10,"6 to 10",IF(HR_Data[[#This Row],[DistanceFromHome]]&lt;=20,"11 to 20","21 to 29")))</f>
        <v>6 to 10</v>
      </c>
      <c r="AR91" s="1">
        <f>IF(HR_Data[[#This Row],[DistanceFromHome]]&lt;=5,1,IF(HR_Data[[#This Row],[DistanceFromHome]]&lt;=10,2,IF(HR_Data[[#This Row],[DistanceFromHome]]&lt;=20,3,4)))</f>
        <v>2</v>
      </c>
      <c r="AS91" s="1" t="str">
        <f>IF(HR_Data[[#This Row],[TotalWorkingYears]]&lt;=5,"0-5 Yrs",IF(HR_Data[[#This Row],[TotalWorkingYears]]&lt;=10,"6-10 Yrs",IF(HR_Data[[#This Row],[TotalWorkingYears]]&lt;=20,"11-20 Yrs","20+ Yrs")))</f>
        <v>6-10 Yrs</v>
      </c>
      <c r="AT91" s="1">
        <f>IF(HR_Data[[#This Row],[TotalWorkingYears]]&lt;=5,1,IF(HR_Data[[#This Row],[TotalWorkingYears]]&lt;=10,2,IF(HR_Data[[#This Row],[TotalWorkingYears]]&lt;=20,3,4)))</f>
        <v>2</v>
      </c>
    </row>
    <row r="92" spans="1:46" x14ac:dyDescent="0.25">
      <c r="A92">
        <v>40</v>
      </c>
      <c r="B92" t="s">
        <v>36</v>
      </c>
      <c r="C92" t="s">
        <v>37</v>
      </c>
      <c r="D92" t="s">
        <v>38</v>
      </c>
      <c r="E92">
        <v>1</v>
      </c>
      <c r="F92">
        <v>4</v>
      </c>
      <c r="G92" t="s">
        <v>32</v>
      </c>
      <c r="H92">
        <v>119</v>
      </c>
      <c r="I92">
        <v>3</v>
      </c>
      <c r="J92" t="s">
        <v>39</v>
      </c>
      <c r="K92">
        <v>2</v>
      </c>
      <c r="L92">
        <v>4</v>
      </c>
      <c r="M92" t="s">
        <v>47</v>
      </c>
      <c r="N92">
        <v>2</v>
      </c>
      <c r="O92" t="s">
        <v>41</v>
      </c>
      <c r="P92">
        <v>13503</v>
      </c>
      <c r="Q92">
        <v>1</v>
      </c>
      <c r="R92" t="s">
        <v>36</v>
      </c>
      <c r="S92">
        <v>22</v>
      </c>
      <c r="T92">
        <v>4</v>
      </c>
      <c r="U92">
        <v>4</v>
      </c>
      <c r="V92">
        <v>1</v>
      </c>
      <c r="W92">
        <v>22</v>
      </c>
      <c r="X92">
        <v>3</v>
      </c>
      <c r="Y92">
        <v>2</v>
      </c>
      <c r="Z92">
        <v>22</v>
      </c>
      <c r="AA92">
        <v>3</v>
      </c>
      <c r="AB92">
        <v>11</v>
      </c>
      <c r="AC92">
        <v>11</v>
      </c>
      <c r="AD92">
        <f>IF(HR_Data[[#This Row],[Attrition]]="Yes",1,0)</f>
        <v>0</v>
      </c>
      <c r="AE92" t="str">
        <f>IF(HR_Data[[#This Row],[Age]]&lt;=25,"18-25",IF(HR_Data[[#This Row],[Age]]&lt;=35,"26-35",IF(HR_Data[[#This Row],[Age]]&lt;=45,"36-45",IF(HR_Data[[#This Row],[Age]]&lt;=55,"46-55","55+"))))</f>
        <v>36-45</v>
      </c>
      <c r="AF92">
        <f>IF(HR_Data[[#This Row],[Age]]&lt;=25,1,IF(HR_Data[[#This Row],[Age]]&lt;=35,2,IF(HR_Data[[#This Row],[Age]]&lt;=45,3,IF(HR_Data[[#This Row],[Age]]&lt;=55,4,5))))</f>
        <v>3</v>
      </c>
      <c r="AG92" s="1" t="str">
        <f>IF(HR_Data[[#This Row],[MonthlyIncome]]&lt;3000,"&lt;3K",IF(HR_Data[[#This Row],[MonthlyIncome]]&lt;6000,"3K-6K",IF(HR_Data[[#This Row],[MonthlyIncome]]&lt;10000,"6K-10K","10K+")))</f>
        <v>10K+</v>
      </c>
      <c r="AH92" s="1">
        <f>IF(HR_Data[[#This Row],[MonthlyIncome]]&lt;3000,1,IF(HR_Data[[#This Row],[MonthlyIncome]]&lt;6000,2,IF(HR_Data[[#This Row],[MonthlyIncome]]&lt;10000,3,4)))</f>
        <v>4</v>
      </c>
      <c r="AI92" s="1" t="str">
        <f>IF(HR_Data[[#This Row],[YearsAtCompany]]&lt;=2,"0-2 Yrs",IF(HR_Data[[#This Row],[YearsAtCompany]]&lt;=5,"3-5 Yrs",IF(HR_Data[[#This Row],[YearsAtCompany]]&lt;=10,"6-10 Yrs","10+ Yrs")))</f>
        <v>10+ Yrs</v>
      </c>
      <c r="AJ92" s="1">
        <f>IF(HR_Data[[#This Row],[YearsAtCompany]]&lt;=2,1,IF(HR_Data[[#This Row],[YearsAtCompany]]&lt;=5,2,IF(HR_Data[[#This Row],[YearsAtCompany]]&lt;=10,3,4)))</f>
        <v>4</v>
      </c>
      <c r="AK92" s="1" t="str">
        <f>CHOOSE(HR_Data[[#This Row],[Education]],"Below College","College","Bachelor","Master","Doctor")</f>
        <v>Master</v>
      </c>
      <c r="AL92" s="1" t="str">
        <f>CHOOSE(HR_Data[[#This Row],[JobSatisfaction]],"Low","Medium","High","Very High")</f>
        <v>Medium</v>
      </c>
      <c r="AM92" s="1" t="str">
        <f>CHOOSE(HR_Data[[#This Row],[EnvironmentSatisfaction]],"Low","Medium","High","Very High")</f>
        <v>High</v>
      </c>
      <c r="AN92" s="1" t="str">
        <f>CHOOSE(HR_Data[[#This Row],[WorkLifeBalance]],"Bad","Good","Better","Best")</f>
        <v>Good</v>
      </c>
      <c r="AO92" s="1" t="str">
        <f>IF(HR_Data[[#This Row],[PercentSalaryHike]]&lt;=13,"11-13%",IF(HR_Data[[#This Row],[PercentSalaryHike]]&lt;=16,"14-16%",IF(HR_Data[[#This Row],[PercentSalaryHike]]&lt;=19,"17-19%","20-25%")))</f>
        <v>20-25%</v>
      </c>
      <c r="AP92" s="1">
        <f>IF(HR_Data[[#This Row],[PercentSalaryHike]]&lt;=13,1,IF(HR_Data[[#This Row],[PercentSalaryHike]]&lt;=16,2,IF(HR_Data[[#This Row],[PercentSalaryHike]]&lt;=19,3,4)))</f>
        <v>4</v>
      </c>
      <c r="AQ92" s="1" t="str">
        <f>IF(HR_Data[[#This Row],[DistanceFromHome]]&lt;=5,"1 to 5",IF(HR_Data[[#This Row],[DistanceFromHome]]&lt;=10,"6 to 10",IF(HR_Data[[#This Row],[DistanceFromHome]]&lt;=20,"11 to 20","21 to 29")))</f>
        <v>1 to 5</v>
      </c>
      <c r="AR92" s="1">
        <f>IF(HR_Data[[#This Row],[DistanceFromHome]]&lt;=5,1,IF(HR_Data[[#This Row],[DistanceFromHome]]&lt;=10,2,IF(HR_Data[[#This Row],[DistanceFromHome]]&lt;=20,3,4)))</f>
        <v>1</v>
      </c>
      <c r="AS92" s="1" t="str">
        <f>IF(HR_Data[[#This Row],[TotalWorkingYears]]&lt;=5,"0-5 Yrs",IF(HR_Data[[#This Row],[TotalWorkingYears]]&lt;=10,"6-10 Yrs",IF(HR_Data[[#This Row],[TotalWorkingYears]]&lt;=20,"11-20 Yrs","20+ Yrs")))</f>
        <v>20+ Yrs</v>
      </c>
      <c r="AT92" s="1">
        <f>IF(HR_Data[[#This Row],[TotalWorkingYears]]&lt;=5,1,IF(HR_Data[[#This Row],[TotalWorkingYears]]&lt;=10,2,IF(HR_Data[[#This Row],[TotalWorkingYears]]&lt;=20,3,4)))</f>
        <v>4</v>
      </c>
    </row>
    <row r="93" spans="1:46" x14ac:dyDescent="0.25">
      <c r="A93">
        <v>51</v>
      </c>
      <c r="B93" t="s">
        <v>36</v>
      </c>
      <c r="C93" t="s">
        <v>30</v>
      </c>
      <c r="D93" t="s">
        <v>31</v>
      </c>
      <c r="E93">
        <v>21</v>
      </c>
      <c r="F93">
        <v>4</v>
      </c>
      <c r="G93" t="s">
        <v>52</v>
      </c>
      <c r="H93">
        <v>120</v>
      </c>
      <c r="I93">
        <v>3</v>
      </c>
      <c r="J93" t="s">
        <v>39</v>
      </c>
      <c r="K93">
        <v>3</v>
      </c>
      <c r="L93">
        <v>2</v>
      </c>
      <c r="M93" t="s">
        <v>34</v>
      </c>
      <c r="N93">
        <v>4</v>
      </c>
      <c r="O93" t="s">
        <v>35</v>
      </c>
      <c r="P93">
        <v>5441</v>
      </c>
      <c r="Q93">
        <v>0</v>
      </c>
      <c r="R93" t="s">
        <v>29</v>
      </c>
      <c r="S93">
        <v>22</v>
      </c>
      <c r="T93">
        <v>4</v>
      </c>
      <c r="U93">
        <v>4</v>
      </c>
      <c r="V93">
        <v>0</v>
      </c>
      <c r="W93">
        <v>11</v>
      </c>
      <c r="X93">
        <v>2</v>
      </c>
      <c r="Y93">
        <v>1</v>
      </c>
      <c r="Z93">
        <v>10</v>
      </c>
      <c r="AA93">
        <v>7</v>
      </c>
      <c r="AB93">
        <v>1</v>
      </c>
      <c r="AC93">
        <v>0</v>
      </c>
      <c r="AD93">
        <f>IF(HR_Data[[#This Row],[Attrition]]="Yes",1,0)</f>
        <v>0</v>
      </c>
      <c r="AE93" t="str">
        <f>IF(HR_Data[[#This Row],[Age]]&lt;=25,"18-25",IF(HR_Data[[#This Row],[Age]]&lt;=35,"26-35",IF(HR_Data[[#This Row],[Age]]&lt;=45,"36-45",IF(HR_Data[[#This Row],[Age]]&lt;=55,"46-55","55+"))))</f>
        <v>46-55</v>
      </c>
      <c r="AF93">
        <f>IF(HR_Data[[#This Row],[Age]]&lt;=25,1,IF(HR_Data[[#This Row],[Age]]&lt;=35,2,IF(HR_Data[[#This Row],[Age]]&lt;=45,3,IF(HR_Data[[#This Row],[Age]]&lt;=55,4,5))))</f>
        <v>4</v>
      </c>
      <c r="AG93" s="1" t="str">
        <f>IF(HR_Data[[#This Row],[MonthlyIncome]]&lt;3000,"&lt;3K",IF(HR_Data[[#This Row],[MonthlyIncome]]&lt;6000,"3K-6K",IF(HR_Data[[#This Row],[MonthlyIncome]]&lt;10000,"6K-10K","10K+")))</f>
        <v>3K-6K</v>
      </c>
      <c r="AH93" s="1">
        <f>IF(HR_Data[[#This Row],[MonthlyIncome]]&lt;3000,1,IF(HR_Data[[#This Row],[MonthlyIncome]]&lt;6000,2,IF(HR_Data[[#This Row],[MonthlyIncome]]&lt;10000,3,4)))</f>
        <v>2</v>
      </c>
      <c r="AI93" s="1" t="str">
        <f>IF(HR_Data[[#This Row],[YearsAtCompany]]&lt;=2,"0-2 Yrs",IF(HR_Data[[#This Row],[YearsAtCompany]]&lt;=5,"3-5 Yrs",IF(HR_Data[[#This Row],[YearsAtCompany]]&lt;=10,"6-10 Yrs","10+ Yrs")))</f>
        <v>6-10 Yrs</v>
      </c>
      <c r="AJ93" s="1">
        <f>IF(HR_Data[[#This Row],[YearsAtCompany]]&lt;=2,1,IF(HR_Data[[#This Row],[YearsAtCompany]]&lt;=5,2,IF(HR_Data[[#This Row],[YearsAtCompany]]&lt;=10,3,4)))</f>
        <v>3</v>
      </c>
      <c r="AK93" s="1" t="str">
        <f>CHOOSE(HR_Data[[#This Row],[Education]],"Below College","College","Bachelor","Master","Doctor")</f>
        <v>Master</v>
      </c>
      <c r="AL93" s="1" t="str">
        <f>CHOOSE(HR_Data[[#This Row],[JobSatisfaction]],"Low","Medium","High","Very High")</f>
        <v>Very High</v>
      </c>
      <c r="AM93" s="1" t="str">
        <f>CHOOSE(HR_Data[[#This Row],[EnvironmentSatisfaction]],"Low","Medium","High","Very High")</f>
        <v>High</v>
      </c>
      <c r="AN93" s="1" t="str">
        <f>CHOOSE(HR_Data[[#This Row],[WorkLifeBalance]],"Bad","Good","Better","Best")</f>
        <v>Bad</v>
      </c>
      <c r="AO93" s="1" t="str">
        <f>IF(HR_Data[[#This Row],[PercentSalaryHike]]&lt;=13,"11-13%",IF(HR_Data[[#This Row],[PercentSalaryHike]]&lt;=16,"14-16%",IF(HR_Data[[#This Row],[PercentSalaryHike]]&lt;=19,"17-19%","20-25%")))</f>
        <v>20-25%</v>
      </c>
      <c r="AP93" s="1">
        <f>IF(HR_Data[[#This Row],[PercentSalaryHike]]&lt;=13,1,IF(HR_Data[[#This Row],[PercentSalaryHike]]&lt;=16,2,IF(HR_Data[[#This Row],[PercentSalaryHike]]&lt;=19,3,4)))</f>
        <v>4</v>
      </c>
      <c r="AQ93" s="1" t="str">
        <f>IF(HR_Data[[#This Row],[DistanceFromHome]]&lt;=5,"1 to 5",IF(HR_Data[[#This Row],[DistanceFromHome]]&lt;=10,"6 to 10",IF(HR_Data[[#This Row],[DistanceFromHome]]&lt;=20,"11 to 20","21 to 29")))</f>
        <v>21 to 29</v>
      </c>
      <c r="AR93" s="1">
        <f>IF(HR_Data[[#This Row],[DistanceFromHome]]&lt;=5,1,IF(HR_Data[[#This Row],[DistanceFromHome]]&lt;=10,2,IF(HR_Data[[#This Row],[DistanceFromHome]]&lt;=20,3,4)))</f>
        <v>4</v>
      </c>
      <c r="AS93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93" s="1">
        <f>IF(HR_Data[[#This Row],[TotalWorkingYears]]&lt;=5,1,IF(HR_Data[[#This Row],[TotalWorkingYears]]&lt;=10,2,IF(HR_Data[[#This Row],[TotalWorkingYears]]&lt;=20,3,4)))</f>
        <v>3</v>
      </c>
    </row>
    <row r="94" spans="1:46" x14ac:dyDescent="0.25">
      <c r="A94">
        <v>30</v>
      </c>
      <c r="B94" t="s">
        <v>36</v>
      </c>
      <c r="C94" t="s">
        <v>30</v>
      </c>
      <c r="D94" t="s">
        <v>31</v>
      </c>
      <c r="E94">
        <v>4</v>
      </c>
      <c r="F94">
        <v>2</v>
      </c>
      <c r="G94" t="s">
        <v>44</v>
      </c>
      <c r="H94">
        <v>121</v>
      </c>
      <c r="I94">
        <v>3</v>
      </c>
      <c r="J94" t="s">
        <v>33</v>
      </c>
      <c r="K94">
        <v>2</v>
      </c>
      <c r="L94">
        <v>2</v>
      </c>
      <c r="M94" t="s">
        <v>34</v>
      </c>
      <c r="N94">
        <v>2</v>
      </c>
      <c r="O94" t="s">
        <v>45</v>
      </c>
      <c r="P94">
        <v>5209</v>
      </c>
      <c r="Q94">
        <v>1</v>
      </c>
      <c r="R94" t="s">
        <v>29</v>
      </c>
      <c r="S94">
        <v>12</v>
      </c>
      <c r="T94">
        <v>3</v>
      </c>
      <c r="U94">
        <v>2</v>
      </c>
      <c r="V94">
        <v>3</v>
      </c>
      <c r="W94">
        <v>11</v>
      </c>
      <c r="X94">
        <v>4</v>
      </c>
      <c r="Y94">
        <v>2</v>
      </c>
      <c r="Z94">
        <v>11</v>
      </c>
      <c r="AA94">
        <v>8</v>
      </c>
      <c r="AB94">
        <v>2</v>
      </c>
      <c r="AC94">
        <v>7</v>
      </c>
      <c r="AD94">
        <f>IF(HR_Data[[#This Row],[Attrition]]="Yes",1,0)</f>
        <v>0</v>
      </c>
      <c r="AE94" t="str">
        <f>IF(HR_Data[[#This Row],[Age]]&lt;=25,"18-25",IF(HR_Data[[#This Row],[Age]]&lt;=35,"26-35",IF(HR_Data[[#This Row],[Age]]&lt;=45,"36-45",IF(HR_Data[[#This Row],[Age]]&lt;=55,"46-55","55+"))))</f>
        <v>26-35</v>
      </c>
      <c r="AF94">
        <f>IF(HR_Data[[#This Row],[Age]]&lt;=25,1,IF(HR_Data[[#This Row],[Age]]&lt;=35,2,IF(HR_Data[[#This Row],[Age]]&lt;=45,3,IF(HR_Data[[#This Row],[Age]]&lt;=55,4,5))))</f>
        <v>2</v>
      </c>
      <c r="AG94" s="1" t="str">
        <f>IF(HR_Data[[#This Row],[MonthlyIncome]]&lt;3000,"&lt;3K",IF(HR_Data[[#This Row],[MonthlyIncome]]&lt;6000,"3K-6K",IF(HR_Data[[#This Row],[MonthlyIncome]]&lt;10000,"6K-10K","10K+")))</f>
        <v>3K-6K</v>
      </c>
      <c r="AH94" s="1">
        <f>IF(HR_Data[[#This Row],[MonthlyIncome]]&lt;3000,1,IF(HR_Data[[#This Row],[MonthlyIncome]]&lt;6000,2,IF(HR_Data[[#This Row],[MonthlyIncome]]&lt;10000,3,4)))</f>
        <v>2</v>
      </c>
      <c r="AI94" s="1" t="str">
        <f>IF(HR_Data[[#This Row],[YearsAtCompany]]&lt;=2,"0-2 Yrs",IF(HR_Data[[#This Row],[YearsAtCompany]]&lt;=5,"3-5 Yrs",IF(HR_Data[[#This Row],[YearsAtCompany]]&lt;=10,"6-10 Yrs","10+ Yrs")))</f>
        <v>10+ Yrs</v>
      </c>
      <c r="AJ94" s="1">
        <f>IF(HR_Data[[#This Row],[YearsAtCompany]]&lt;=2,1,IF(HR_Data[[#This Row],[YearsAtCompany]]&lt;=5,2,IF(HR_Data[[#This Row],[YearsAtCompany]]&lt;=10,3,4)))</f>
        <v>4</v>
      </c>
      <c r="AK94" s="1" t="str">
        <f>CHOOSE(HR_Data[[#This Row],[Education]],"Below College","College","Bachelor","Master","Doctor")</f>
        <v>College</v>
      </c>
      <c r="AL94" s="1" t="str">
        <f>CHOOSE(HR_Data[[#This Row],[JobSatisfaction]],"Low","Medium","High","Very High")</f>
        <v>Medium</v>
      </c>
      <c r="AM94" s="1" t="str">
        <f>CHOOSE(HR_Data[[#This Row],[EnvironmentSatisfaction]],"Low","Medium","High","Very High")</f>
        <v>High</v>
      </c>
      <c r="AN94" s="1" t="str">
        <f>CHOOSE(HR_Data[[#This Row],[WorkLifeBalance]],"Bad","Good","Better","Best")</f>
        <v>Good</v>
      </c>
      <c r="AO94" s="1" t="str">
        <f>IF(HR_Data[[#This Row],[PercentSalaryHike]]&lt;=13,"11-13%",IF(HR_Data[[#This Row],[PercentSalaryHike]]&lt;=16,"14-16%",IF(HR_Data[[#This Row],[PercentSalaryHike]]&lt;=19,"17-19%","20-25%")))</f>
        <v>11-13%</v>
      </c>
      <c r="AP94" s="1">
        <f>IF(HR_Data[[#This Row],[PercentSalaryHike]]&lt;=13,1,IF(HR_Data[[#This Row],[PercentSalaryHike]]&lt;=16,2,IF(HR_Data[[#This Row],[PercentSalaryHike]]&lt;=19,3,4)))</f>
        <v>1</v>
      </c>
      <c r="AQ94" s="1" t="str">
        <f>IF(HR_Data[[#This Row],[DistanceFromHome]]&lt;=5,"1 to 5",IF(HR_Data[[#This Row],[DistanceFromHome]]&lt;=10,"6 to 10",IF(HR_Data[[#This Row],[DistanceFromHome]]&lt;=20,"11 to 20","21 to 29")))</f>
        <v>1 to 5</v>
      </c>
      <c r="AR94" s="1">
        <f>IF(HR_Data[[#This Row],[DistanceFromHome]]&lt;=5,1,IF(HR_Data[[#This Row],[DistanceFromHome]]&lt;=10,2,IF(HR_Data[[#This Row],[DistanceFromHome]]&lt;=20,3,4)))</f>
        <v>1</v>
      </c>
      <c r="AS94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94" s="1">
        <f>IF(HR_Data[[#This Row],[TotalWorkingYears]]&lt;=5,1,IF(HR_Data[[#This Row],[TotalWorkingYears]]&lt;=10,2,IF(HR_Data[[#This Row],[TotalWorkingYears]]&lt;=20,3,4)))</f>
        <v>3</v>
      </c>
    </row>
    <row r="95" spans="1:46" x14ac:dyDescent="0.25">
      <c r="A95">
        <v>46</v>
      </c>
      <c r="B95" t="s">
        <v>36</v>
      </c>
      <c r="C95" t="s">
        <v>37</v>
      </c>
      <c r="D95" t="s">
        <v>38</v>
      </c>
      <c r="E95">
        <v>1</v>
      </c>
      <c r="F95">
        <v>3</v>
      </c>
      <c r="G95" t="s">
        <v>44</v>
      </c>
      <c r="H95">
        <v>124</v>
      </c>
      <c r="I95">
        <v>3</v>
      </c>
      <c r="J95" t="s">
        <v>39</v>
      </c>
      <c r="K95">
        <v>2</v>
      </c>
      <c r="L95">
        <v>3</v>
      </c>
      <c r="M95" t="s">
        <v>47</v>
      </c>
      <c r="N95">
        <v>1</v>
      </c>
      <c r="O95" t="s">
        <v>41</v>
      </c>
      <c r="P95">
        <v>10673</v>
      </c>
      <c r="Q95">
        <v>2</v>
      </c>
      <c r="R95" t="s">
        <v>29</v>
      </c>
      <c r="S95">
        <v>13</v>
      </c>
      <c r="T95">
        <v>3</v>
      </c>
      <c r="U95">
        <v>3</v>
      </c>
      <c r="V95">
        <v>1</v>
      </c>
      <c r="W95">
        <v>21</v>
      </c>
      <c r="X95">
        <v>5</v>
      </c>
      <c r="Y95">
        <v>2</v>
      </c>
      <c r="Z95">
        <v>10</v>
      </c>
      <c r="AA95">
        <v>9</v>
      </c>
      <c r="AB95">
        <v>9</v>
      </c>
      <c r="AC95">
        <v>5</v>
      </c>
      <c r="AD95">
        <f>IF(HR_Data[[#This Row],[Attrition]]="Yes",1,0)</f>
        <v>0</v>
      </c>
      <c r="AE95" t="str">
        <f>IF(HR_Data[[#This Row],[Age]]&lt;=25,"18-25",IF(HR_Data[[#This Row],[Age]]&lt;=35,"26-35",IF(HR_Data[[#This Row],[Age]]&lt;=45,"36-45",IF(HR_Data[[#This Row],[Age]]&lt;=55,"46-55","55+"))))</f>
        <v>46-55</v>
      </c>
      <c r="AF95">
        <f>IF(HR_Data[[#This Row],[Age]]&lt;=25,1,IF(HR_Data[[#This Row],[Age]]&lt;=35,2,IF(HR_Data[[#This Row],[Age]]&lt;=45,3,IF(HR_Data[[#This Row],[Age]]&lt;=55,4,5))))</f>
        <v>4</v>
      </c>
      <c r="AG95" s="1" t="str">
        <f>IF(HR_Data[[#This Row],[MonthlyIncome]]&lt;3000,"&lt;3K",IF(HR_Data[[#This Row],[MonthlyIncome]]&lt;6000,"3K-6K",IF(HR_Data[[#This Row],[MonthlyIncome]]&lt;10000,"6K-10K","10K+")))</f>
        <v>10K+</v>
      </c>
      <c r="AH95" s="1">
        <f>IF(HR_Data[[#This Row],[MonthlyIncome]]&lt;3000,1,IF(HR_Data[[#This Row],[MonthlyIncome]]&lt;6000,2,IF(HR_Data[[#This Row],[MonthlyIncome]]&lt;10000,3,4)))</f>
        <v>4</v>
      </c>
      <c r="AI95" s="1" t="str">
        <f>IF(HR_Data[[#This Row],[YearsAtCompany]]&lt;=2,"0-2 Yrs",IF(HR_Data[[#This Row],[YearsAtCompany]]&lt;=5,"3-5 Yrs",IF(HR_Data[[#This Row],[YearsAtCompany]]&lt;=10,"6-10 Yrs","10+ Yrs")))</f>
        <v>6-10 Yrs</v>
      </c>
      <c r="AJ95" s="1">
        <f>IF(HR_Data[[#This Row],[YearsAtCompany]]&lt;=2,1,IF(HR_Data[[#This Row],[YearsAtCompany]]&lt;=5,2,IF(HR_Data[[#This Row],[YearsAtCompany]]&lt;=10,3,4)))</f>
        <v>3</v>
      </c>
      <c r="AK95" s="1" t="str">
        <f>CHOOSE(HR_Data[[#This Row],[Education]],"Below College","College","Bachelor","Master","Doctor")</f>
        <v>Bachelor</v>
      </c>
      <c r="AL95" s="1" t="str">
        <f>CHOOSE(HR_Data[[#This Row],[JobSatisfaction]],"Low","Medium","High","Very High")</f>
        <v>Low</v>
      </c>
      <c r="AM95" s="1" t="str">
        <f>CHOOSE(HR_Data[[#This Row],[EnvironmentSatisfaction]],"Low","Medium","High","Very High")</f>
        <v>High</v>
      </c>
      <c r="AN95" s="1" t="str">
        <f>CHOOSE(HR_Data[[#This Row],[WorkLifeBalance]],"Bad","Good","Better","Best")</f>
        <v>Good</v>
      </c>
      <c r="AO95" s="1" t="str">
        <f>IF(HR_Data[[#This Row],[PercentSalaryHike]]&lt;=13,"11-13%",IF(HR_Data[[#This Row],[PercentSalaryHike]]&lt;=16,"14-16%",IF(HR_Data[[#This Row],[PercentSalaryHike]]&lt;=19,"17-19%","20-25%")))</f>
        <v>11-13%</v>
      </c>
      <c r="AP95" s="1">
        <f>IF(HR_Data[[#This Row],[PercentSalaryHike]]&lt;=13,1,IF(HR_Data[[#This Row],[PercentSalaryHike]]&lt;=16,2,IF(HR_Data[[#This Row],[PercentSalaryHike]]&lt;=19,3,4)))</f>
        <v>1</v>
      </c>
      <c r="AQ95" s="1" t="str">
        <f>IF(HR_Data[[#This Row],[DistanceFromHome]]&lt;=5,"1 to 5",IF(HR_Data[[#This Row],[DistanceFromHome]]&lt;=10,"6 to 10",IF(HR_Data[[#This Row],[DistanceFromHome]]&lt;=20,"11 to 20","21 to 29")))</f>
        <v>1 to 5</v>
      </c>
      <c r="AR95" s="1">
        <f>IF(HR_Data[[#This Row],[DistanceFromHome]]&lt;=5,1,IF(HR_Data[[#This Row],[DistanceFromHome]]&lt;=10,2,IF(HR_Data[[#This Row],[DistanceFromHome]]&lt;=20,3,4)))</f>
        <v>1</v>
      </c>
      <c r="AS95" s="1" t="str">
        <f>IF(HR_Data[[#This Row],[TotalWorkingYears]]&lt;=5,"0-5 Yrs",IF(HR_Data[[#This Row],[TotalWorkingYears]]&lt;=10,"6-10 Yrs",IF(HR_Data[[#This Row],[TotalWorkingYears]]&lt;=20,"11-20 Yrs","20+ Yrs")))</f>
        <v>20+ Yrs</v>
      </c>
      <c r="AT95" s="1">
        <f>IF(HR_Data[[#This Row],[TotalWorkingYears]]&lt;=5,1,IF(HR_Data[[#This Row],[TotalWorkingYears]]&lt;=10,2,IF(HR_Data[[#This Row],[TotalWorkingYears]]&lt;=20,3,4)))</f>
        <v>4</v>
      </c>
    </row>
    <row r="96" spans="1:46" x14ac:dyDescent="0.25">
      <c r="A96">
        <v>32</v>
      </c>
      <c r="B96" t="s">
        <v>36</v>
      </c>
      <c r="C96" t="s">
        <v>30</v>
      </c>
      <c r="D96" t="s">
        <v>31</v>
      </c>
      <c r="E96">
        <v>6</v>
      </c>
      <c r="F96">
        <v>4</v>
      </c>
      <c r="G96" t="s">
        <v>44</v>
      </c>
      <c r="H96">
        <v>125</v>
      </c>
      <c r="I96">
        <v>2</v>
      </c>
      <c r="J96" t="s">
        <v>39</v>
      </c>
      <c r="K96">
        <v>3</v>
      </c>
      <c r="L96">
        <v>2</v>
      </c>
      <c r="M96" t="s">
        <v>34</v>
      </c>
      <c r="N96">
        <v>3</v>
      </c>
      <c r="O96" t="s">
        <v>35</v>
      </c>
      <c r="P96">
        <v>5010</v>
      </c>
      <c r="Q96">
        <v>1</v>
      </c>
      <c r="R96" t="s">
        <v>36</v>
      </c>
      <c r="S96">
        <v>16</v>
      </c>
      <c r="T96">
        <v>3</v>
      </c>
      <c r="U96">
        <v>1</v>
      </c>
      <c r="V96">
        <v>0</v>
      </c>
      <c r="W96">
        <v>12</v>
      </c>
      <c r="X96">
        <v>0</v>
      </c>
      <c r="Y96">
        <v>3</v>
      </c>
      <c r="Z96">
        <v>11</v>
      </c>
      <c r="AA96">
        <v>8</v>
      </c>
      <c r="AB96">
        <v>5</v>
      </c>
      <c r="AC96">
        <v>7</v>
      </c>
      <c r="AD96">
        <f>IF(HR_Data[[#This Row],[Attrition]]="Yes",1,0)</f>
        <v>0</v>
      </c>
      <c r="AE96" t="str">
        <f>IF(HR_Data[[#This Row],[Age]]&lt;=25,"18-25",IF(HR_Data[[#This Row],[Age]]&lt;=35,"26-35",IF(HR_Data[[#This Row],[Age]]&lt;=45,"36-45",IF(HR_Data[[#This Row],[Age]]&lt;=55,"46-55","55+"))))</f>
        <v>26-35</v>
      </c>
      <c r="AF96">
        <f>IF(HR_Data[[#This Row],[Age]]&lt;=25,1,IF(HR_Data[[#This Row],[Age]]&lt;=35,2,IF(HR_Data[[#This Row],[Age]]&lt;=45,3,IF(HR_Data[[#This Row],[Age]]&lt;=55,4,5))))</f>
        <v>2</v>
      </c>
      <c r="AG96" s="1" t="str">
        <f>IF(HR_Data[[#This Row],[MonthlyIncome]]&lt;3000,"&lt;3K",IF(HR_Data[[#This Row],[MonthlyIncome]]&lt;6000,"3K-6K",IF(HR_Data[[#This Row],[MonthlyIncome]]&lt;10000,"6K-10K","10K+")))</f>
        <v>3K-6K</v>
      </c>
      <c r="AH96" s="1">
        <f>IF(HR_Data[[#This Row],[MonthlyIncome]]&lt;3000,1,IF(HR_Data[[#This Row],[MonthlyIncome]]&lt;6000,2,IF(HR_Data[[#This Row],[MonthlyIncome]]&lt;10000,3,4)))</f>
        <v>2</v>
      </c>
      <c r="AI96" s="1" t="str">
        <f>IF(HR_Data[[#This Row],[YearsAtCompany]]&lt;=2,"0-2 Yrs",IF(HR_Data[[#This Row],[YearsAtCompany]]&lt;=5,"3-5 Yrs",IF(HR_Data[[#This Row],[YearsAtCompany]]&lt;=10,"6-10 Yrs","10+ Yrs")))</f>
        <v>10+ Yrs</v>
      </c>
      <c r="AJ96" s="1">
        <f>IF(HR_Data[[#This Row],[YearsAtCompany]]&lt;=2,1,IF(HR_Data[[#This Row],[YearsAtCompany]]&lt;=5,2,IF(HR_Data[[#This Row],[YearsAtCompany]]&lt;=10,3,4)))</f>
        <v>4</v>
      </c>
      <c r="AK96" s="1" t="str">
        <f>CHOOSE(HR_Data[[#This Row],[Education]],"Below College","College","Bachelor","Master","Doctor")</f>
        <v>Master</v>
      </c>
      <c r="AL96" s="1" t="str">
        <f>CHOOSE(HR_Data[[#This Row],[JobSatisfaction]],"Low","Medium","High","Very High")</f>
        <v>High</v>
      </c>
      <c r="AM96" s="1" t="str">
        <f>CHOOSE(HR_Data[[#This Row],[EnvironmentSatisfaction]],"Low","Medium","High","Very High")</f>
        <v>Medium</v>
      </c>
      <c r="AN96" s="1" t="str">
        <f>CHOOSE(HR_Data[[#This Row],[WorkLifeBalance]],"Bad","Good","Better","Best")</f>
        <v>Better</v>
      </c>
      <c r="AO96" s="1" t="str">
        <f>IF(HR_Data[[#This Row],[PercentSalaryHike]]&lt;=13,"11-13%",IF(HR_Data[[#This Row],[PercentSalaryHike]]&lt;=16,"14-16%",IF(HR_Data[[#This Row],[PercentSalaryHike]]&lt;=19,"17-19%","20-25%")))</f>
        <v>14-16%</v>
      </c>
      <c r="AP96" s="1">
        <f>IF(HR_Data[[#This Row],[PercentSalaryHike]]&lt;=13,1,IF(HR_Data[[#This Row],[PercentSalaryHike]]&lt;=16,2,IF(HR_Data[[#This Row],[PercentSalaryHike]]&lt;=19,3,4)))</f>
        <v>2</v>
      </c>
      <c r="AQ96" s="1" t="str">
        <f>IF(HR_Data[[#This Row],[DistanceFromHome]]&lt;=5,"1 to 5",IF(HR_Data[[#This Row],[DistanceFromHome]]&lt;=10,"6 to 10",IF(HR_Data[[#This Row],[DistanceFromHome]]&lt;=20,"11 to 20","21 to 29")))</f>
        <v>6 to 10</v>
      </c>
      <c r="AR96" s="1">
        <f>IF(HR_Data[[#This Row],[DistanceFromHome]]&lt;=5,1,IF(HR_Data[[#This Row],[DistanceFromHome]]&lt;=10,2,IF(HR_Data[[#This Row],[DistanceFromHome]]&lt;=20,3,4)))</f>
        <v>2</v>
      </c>
      <c r="AS96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96" s="1">
        <f>IF(HR_Data[[#This Row],[TotalWorkingYears]]&lt;=5,1,IF(HR_Data[[#This Row],[TotalWorkingYears]]&lt;=10,2,IF(HR_Data[[#This Row],[TotalWorkingYears]]&lt;=20,3,4)))</f>
        <v>3</v>
      </c>
    </row>
    <row r="97" spans="1:46" x14ac:dyDescent="0.25">
      <c r="A97">
        <v>54</v>
      </c>
      <c r="B97" t="s">
        <v>36</v>
      </c>
      <c r="C97" t="s">
        <v>30</v>
      </c>
      <c r="D97" t="s">
        <v>38</v>
      </c>
      <c r="E97">
        <v>2</v>
      </c>
      <c r="F97">
        <v>4</v>
      </c>
      <c r="G97" t="s">
        <v>53</v>
      </c>
      <c r="H97">
        <v>126</v>
      </c>
      <c r="I97">
        <v>1</v>
      </c>
      <c r="J97" t="s">
        <v>33</v>
      </c>
      <c r="K97">
        <v>3</v>
      </c>
      <c r="L97">
        <v>3</v>
      </c>
      <c r="M97" t="s">
        <v>51</v>
      </c>
      <c r="N97">
        <v>3</v>
      </c>
      <c r="O97" t="s">
        <v>41</v>
      </c>
      <c r="P97">
        <v>13549</v>
      </c>
      <c r="Q97">
        <v>9</v>
      </c>
      <c r="R97" t="s">
        <v>36</v>
      </c>
      <c r="S97">
        <v>12</v>
      </c>
      <c r="T97">
        <v>3</v>
      </c>
      <c r="U97">
        <v>1</v>
      </c>
      <c r="V97">
        <v>1</v>
      </c>
      <c r="W97">
        <v>16</v>
      </c>
      <c r="X97">
        <v>5</v>
      </c>
      <c r="Y97">
        <v>1</v>
      </c>
      <c r="Z97">
        <v>4</v>
      </c>
      <c r="AA97">
        <v>3</v>
      </c>
      <c r="AB97">
        <v>0</v>
      </c>
      <c r="AC97">
        <v>3</v>
      </c>
      <c r="AD97">
        <f>IF(HR_Data[[#This Row],[Attrition]]="Yes",1,0)</f>
        <v>0</v>
      </c>
      <c r="AE97" t="str">
        <f>IF(HR_Data[[#This Row],[Age]]&lt;=25,"18-25",IF(HR_Data[[#This Row],[Age]]&lt;=35,"26-35",IF(HR_Data[[#This Row],[Age]]&lt;=45,"36-45",IF(HR_Data[[#This Row],[Age]]&lt;=55,"46-55","55+"))))</f>
        <v>46-55</v>
      </c>
      <c r="AF97">
        <f>IF(HR_Data[[#This Row],[Age]]&lt;=25,1,IF(HR_Data[[#This Row],[Age]]&lt;=35,2,IF(HR_Data[[#This Row],[Age]]&lt;=45,3,IF(HR_Data[[#This Row],[Age]]&lt;=55,4,5))))</f>
        <v>4</v>
      </c>
      <c r="AG97" s="1" t="str">
        <f>IF(HR_Data[[#This Row],[MonthlyIncome]]&lt;3000,"&lt;3K",IF(HR_Data[[#This Row],[MonthlyIncome]]&lt;6000,"3K-6K",IF(HR_Data[[#This Row],[MonthlyIncome]]&lt;10000,"6K-10K","10K+")))</f>
        <v>10K+</v>
      </c>
      <c r="AH97" s="1">
        <f>IF(HR_Data[[#This Row],[MonthlyIncome]]&lt;3000,1,IF(HR_Data[[#This Row],[MonthlyIncome]]&lt;6000,2,IF(HR_Data[[#This Row],[MonthlyIncome]]&lt;10000,3,4)))</f>
        <v>4</v>
      </c>
      <c r="AI97" s="1" t="str">
        <f>IF(HR_Data[[#This Row],[YearsAtCompany]]&lt;=2,"0-2 Yrs",IF(HR_Data[[#This Row],[YearsAtCompany]]&lt;=5,"3-5 Yrs",IF(HR_Data[[#This Row],[YearsAtCompany]]&lt;=10,"6-10 Yrs","10+ Yrs")))</f>
        <v>3-5 Yrs</v>
      </c>
      <c r="AJ97" s="1">
        <f>IF(HR_Data[[#This Row],[YearsAtCompany]]&lt;=2,1,IF(HR_Data[[#This Row],[YearsAtCompany]]&lt;=5,2,IF(HR_Data[[#This Row],[YearsAtCompany]]&lt;=10,3,4)))</f>
        <v>2</v>
      </c>
      <c r="AK97" s="1" t="str">
        <f>CHOOSE(HR_Data[[#This Row],[Education]],"Below College","College","Bachelor","Master","Doctor")</f>
        <v>Master</v>
      </c>
      <c r="AL97" s="1" t="str">
        <f>CHOOSE(HR_Data[[#This Row],[JobSatisfaction]],"Low","Medium","High","Very High")</f>
        <v>High</v>
      </c>
      <c r="AM97" s="1" t="str">
        <f>CHOOSE(HR_Data[[#This Row],[EnvironmentSatisfaction]],"Low","Medium","High","Very High")</f>
        <v>Low</v>
      </c>
      <c r="AN97" s="1" t="str">
        <f>CHOOSE(HR_Data[[#This Row],[WorkLifeBalance]],"Bad","Good","Better","Best")</f>
        <v>Bad</v>
      </c>
      <c r="AO97" s="1" t="str">
        <f>IF(HR_Data[[#This Row],[PercentSalaryHike]]&lt;=13,"11-13%",IF(HR_Data[[#This Row],[PercentSalaryHike]]&lt;=16,"14-16%",IF(HR_Data[[#This Row],[PercentSalaryHike]]&lt;=19,"17-19%","20-25%")))</f>
        <v>11-13%</v>
      </c>
      <c r="AP97" s="1">
        <f>IF(HR_Data[[#This Row],[PercentSalaryHike]]&lt;=13,1,IF(HR_Data[[#This Row],[PercentSalaryHike]]&lt;=16,2,IF(HR_Data[[#This Row],[PercentSalaryHike]]&lt;=19,3,4)))</f>
        <v>1</v>
      </c>
      <c r="AQ97" s="1" t="str">
        <f>IF(HR_Data[[#This Row],[DistanceFromHome]]&lt;=5,"1 to 5",IF(HR_Data[[#This Row],[DistanceFromHome]]&lt;=10,"6 to 10",IF(HR_Data[[#This Row],[DistanceFromHome]]&lt;=20,"11 to 20","21 to 29")))</f>
        <v>1 to 5</v>
      </c>
      <c r="AR97" s="1">
        <f>IF(HR_Data[[#This Row],[DistanceFromHome]]&lt;=5,1,IF(HR_Data[[#This Row],[DistanceFromHome]]&lt;=10,2,IF(HR_Data[[#This Row],[DistanceFromHome]]&lt;=20,3,4)))</f>
        <v>1</v>
      </c>
      <c r="AS97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97" s="1">
        <f>IF(HR_Data[[#This Row],[TotalWorkingYears]]&lt;=5,1,IF(HR_Data[[#This Row],[TotalWorkingYears]]&lt;=10,2,IF(HR_Data[[#This Row],[TotalWorkingYears]]&lt;=20,3,4)))</f>
        <v>3</v>
      </c>
    </row>
    <row r="98" spans="1:46" x14ac:dyDescent="0.25">
      <c r="A98">
        <v>24</v>
      </c>
      <c r="B98" t="s">
        <v>36</v>
      </c>
      <c r="C98" t="s">
        <v>30</v>
      </c>
      <c r="D98" t="s">
        <v>31</v>
      </c>
      <c r="E98">
        <v>3</v>
      </c>
      <c r="F98">
        <v>2</v>
      </c>
      <c r="G98" t="s">
        <v>42</v>
      </c>
      <c r="H98">
        <v>128</v>
      </c>
      <c r="I98">
        <v>1</v>
      </c>
      <c r="J98" t="s">
        <v>33</v>
      </c>
      <c r="K98">
        <v>3</v>
      </c>
      <c r="L98">
        <v>2</v>
      </c>
      <c r="M98" t="s">
        <v>34</v>
      </c>
      <c r="N98">
        <v>3</v>
      </c>
      <c r="O98" t="s">
        <v>41</v>
      </c>
      <c r="P98">
        <v>4999</v>
      </c>
      <c r="Q98">
        <v>0</v>
      </c>
      <c r="R98" t="s">
        <v>36</v>
      </c>
      <c r="S98">
        <v>21</v>
      </c>
      <c r="T98">
        <v>4</v>
      </c>
      <c r="U98">
        <v>1</v>
      </c>
      <c r="V98">
        <v>1</v>
      </c>
      <c r="W98">
        <v>4</v>
      </c>
      <c r="X98">
        <v>2</v>
      </c>
      <c r="Y98">
        <v>2</v>
      </c>
      <c r="Z98">
        <v>3</v>
      </c>
      <c r="AA98">
        <v>2</v>
      </c>
      <c r="AB98">
        <v>0</v>
      </c>
      <c r="AC98">
        <v>2</v>
      </c>
      <c r="AD98">
        <f>IF(HR_Data[[#This Row],[Attrition]]="Yes",1,0)</f>
        <v>0</v>
      </c>
      <c r="AE98" t="str">
        <f>IF(HR_Data[[#This Row],[Age]]&lt;=25,"18-25",IF(HR_Data[[#This Row],[Age]]&lt;=35,"26-35",IF(HR_Data[[#This Row],[Age]]&lt;=45,"36-45",IF(HR_Data[[#This Row],[Age]]&lt;=55,"46-55","55+"))))</f>
        <v>18-25</v>
      </c>
      <c r="AF98">
        <f>IF(HR_Data[[#This Row],[Age]]&lt;=25,1,IF(HR_Data[[#This Row],[Age]]&lt;=35,2,IF(HR_Data[[#This Row],[Age]]&lt;=45,3,IF(HR_Data[[#This Row],[Age]]&lt;=55,4,5))))</f>
        <v>1</v>
      </c>
      <c r="AG98" s="1" t="str">
        <f>IF(HR_Data[[#This Row],[MonthlyIncome]]&lt;3000,"&lt;3K",IF(HR_Data[[#This Row],[MonthlyIncome]]&lt;6000,"3K-6K",IF(HR_Data[[#This Row],[MonthlyIncome]]&lt;10000,"6K-10K","10K+")))</f>
        <v>3K-6K</v>
      </c>
      <c r="AH98" s="1">
        <f>IF(HR_Data[[#This Row],[MonthlyIncome]]&lt;3000,1,IF(HR_Data[[#This Row],[MonthlyIncome]]&lt;6000,2,IF(HR_Data[[#This Row],[MonthlyIncome]]&lt;10000,3,4)))</f>
        <v>2</v>
      </c>
      <c r="AI98" s="1" t="str">
        <f>IF(HR_Data[[#This Row],[YearsAtCompany]]&lt;=2,"0-2 Yrs",IF(HR_Data[[#This Row],[YearsAtCompany]]&lt;=5,"3-5 Yrs",IF(HR_Data[[#This Row],[YearsAtCompany]]&lt;=10,"6-10 Yrs","10+ Yrs")))</f>
        <v>3-5 Yrs</v>
      </c>
      <c r="AJ98" s="1">
        <f>IF(HR_Data[[#This Row],[YearsAtCompany]]&lt;=2,1,IF(HR_Data[[#This Row],[YearsAtCompany]]&lt;=5,2,IF(HR_Data[[#This Row],[YearsAtCompany]]&lt;=10,3,4)))</f>
        <v>2</v>
      </c>
      <c r="AK98" s="1" t="str">
        <f>CHOOSE(HR_Data[[#This Row],[Education]],"Below College","College","Bachelor","Master","Doctor")</f>
        <v>College</v>
      </c>
      <c r="AL98" s="1" t="str">
        <f>CHOOSE(HR_Data[[#This Row],[JobSatisfaction]],"Low","Medium","High","Very High")</f>
        <v>High</v>
      </c>
      <c r="AM98" s="1" t="str">
        <f>CHOOSE(HR_Data[[#This Row],[EnvironmentSatisfaction]],"Low","Medium","High","Very High")</f>
        <v>Low</v>
      </c>
      <c r="AN98" s="1" t="str">
        <f>CHOOSE(HR_Data[[#This Row],[WorkLifeBalance]],"Bad","Good","Better","Best")</f>
        <v>Good</v>
      </c>
      <c r="AO98" s="1" t="str">
        <f>IF(HR_Data[[#This Row],[PercentSalaryHike]]&lt;=13,"11-13%",IF(HR_Data[[#This Row],[PercentSalaryHike]]&lt;=16,"14-16%",IF(HR_Data[[#This Row],[PercentSalaryHike]]&lt;=19,"17-19%","20-25%")))</f>
        <v>20-25%</v>
      </c>
      <c r="AP98" s="1">
        <f>IF(HR_Data[[#This Row],[PercentSalaryHike]]&lt;=13,1,IF(HR_Data[[#This Row],[PercentSalaryHike]]&lt;=16,2,IF(HR_Data[[#This Row],[PercentSalaryHike]]&lt;=19,3,4)))</f>
        <v>4</v>
      </c>
      <c r="AQ98" s="1" t="str">
        <f>IF(HR_Data[[#This Row],[DistanceFromHome]]&lt;=5,"1 to 5",IF(HR_Data[[#This Row],[DistanceFromHome]]&lt;=10,"6 to 10",IF(HR_Data[[#This Row],[DistanceFromHome]]&lt;=20,"11 to 20","21 to 29")))</f>
        <v>1 to 5</v>
      </c>
      <c r="AR98" s="1">
        <f>IF(HR_Data[[#This Row],[DistanceFromHome]]&lt;=5,1,IF(HR_Data[[#This Row],[DistanceFromHome]]&lt;=10,2,IF(HR_Data[[#This Row],[DistanceFromHome]]&lt;=20,3,4)))</f>
        <v>1</v>
      </c>
      <c r="AS98" s="1" t="str">
        <f>IF(HR_Data[[#This Row],[TotalWorkingYears]]&lt;=5,"0-5 Yrs",IF(HR_Data[[#This Row],[TotalWorkingYears]]&lt;=10,"6-10 Yrs",IF(HR_Data[[#This Row],[TotalWorkingYears]]&lt;=20,"11-20 Yrs","20+ Yrs")))</f>
        <v>0-5 Yrs</v>
      </c>
      <c r="AT98" s="1">
        <f>IF(HR_Data[[#This Row],[TotalWorkingYears]]&lt;=5,1,IF(HR_Data[[#This Row],[TotalWorkingYears]]&lt;=10,2,IF(HR_Data[[#This Row],[TotalWorkingYears]]&lt;=20,3,4)))</f>
        <v>1</v>
      </c>
    </row>
    <row r="99" spans="1:46" x14ac:dyDescent="0.25">
      <c r="A99">
        <v>28</v>
      </c>
      <c r="B99" t="s">
        <v>36</v>
      </c>
      <c r="C99" t="s">
        <v>48</v>
      </c>
      <c r="D99" t="s">
        <v>31</v>
      </c>
      <c r="E99">
        <v>4</v>
      </c>
      <c r="F99">
        <v>3</v>
      </c>
      <c r="G99" t="s">
        <v>44</v>
      </c>
      <c r="H99">
        <v>129</v>
      </c>
      <c r="I99">
        <v>2</v>
      </c>
      <c r="J99" t="s">
        <v>39</v>
      </c>
      <c r="K99">
        <v>3</v>
      </c>
      <c r="L99">
        <v>2</v>
      </c>
      <c r="M99" t="s">
        <v>34</v>
      </c>
      <c r="N99">
        <v>3</v>
      </c>
      <c r="O99" t="s">
        <v>41</v>
      </c>
      <c r="P99">
        <v>4221</v>
      </c>
      <c r="Q99">
        <v>1</v>
      </c>
      <c r="R99" t="s">
        <v>36</v>
      </c>
      <c r="S99">
        <v>15</v>
      </c>
      <c r="T99">
        <v>3</v>
      </c>
      <c r="U99">
        <v>2</v>
      </c>
      <c r="V99">
        <v>0</v>
      </c>
      <c r="W99">
        <v>5</v>
      </c>
      <c r="X99">
        <v>3</v>
      </c>
      <c r="Y99">
        <v>4</v>
      </c>
      <c r="Z99">
        <v>5</v>
      </c>
      <c r="AA99">
        <v>4</v>
      </c>
      <c r="AB99">
        <v>0</v>
      </c>
      <c r="AC99">
        <v>4</v>
      </c>
      <c r="AD99">
        <f>IF(HR_Data[[#This Row],[Attrition]]="Yes",1,0)</f>
        <v>0</v>
      </c>
      <c r="AE99" t="str">
        <f>IF(HR_Data[[#This Row],[Age]]&lt;=25,"18-25",IF(HR_Data[[#This Row],[Age]]&lt;=35,"26-35",IF(HR_Data[[#This Row],[Age]]&lt;=45,"36-45",IF(HR_Data[[#This Row],[Age]]&lt;=55,"46-55","55+"))))</f>
        <v>26-35</v>
      </c>
      <c r="AF99">
        <f>IF(HR_Data[[#This Row],[Age]]&lt;=25,1,IF(HR_Data[[#This Row],[Age]]&lt;=35,2,IF(HR_Data[[#This Row],[Age]]&lt;=45,3,IF(HR_Data[[#This Row],[Age]]&lt;=55,4,5))))</f>
        <v>2</v>
      </c>
      <c r="AG99" s="1" t="str">
        <f>IF(HR_Data[[#This Row],[MonthlyIncome]]&lt;3000,"&lt;3K",IF(HR_Data[[#This Row],[MonthlyIncome]]&lt;6000,"3K-6K",IF(HR_Data[[#This Row],[MonthlyIncome]]&lt;10000,"6K-10K","10K+")))</f>
        <v>3K-6K</v>
      </c>
      <c r="AH99" s="1">
        <f>IF(HR_Data[[#This Row],[MonthlyIncome]]&lt;3000,1,IF(HR_Data[[#This Row],[MonthlyIncome]]&lt;6000,2,IF(HR_Data[[#This Row],[MonthlyIncome]]&lt;10000,3,4)))</f>
        <v>2</v>
      </c>
      <c r="AI99" s="1" t="str">
        <f>IF(HR_Data[[#This Row],[YearsAtCompany]]&lt;=2,"0-2 Yrs",IF(HR_Data[[#This Row],[YearsAtCompany]]&lt;=5,"3-5 Yrs",IF(HR_Data[[#This Row],[YearsAtCompany]]&lt;=10,"6-10 Yrs","10+ Yrs")))</f>
        <v>3-5 Yrs</v>
      </c>
      <c r="AJ99" s="1">
        <f>IF(HR_Data[[#This Row],[YearsAtCompany]]&lt;=2,1,IF(HR_Data[[#This Row],[YearsAtCompany]]&lt;=5,2,IF(HR_Data[[#This Row],[YearsAtCompany]]&lt;=10,3,4)))</f>
        <v>2</v>
      </c>
      <c r="AK99" s="1" t="str">
        <f>CHOOSE(HR_Data[[#This Row],[Education]],"Below College","College","Bachelor","Master","Doctor")</f>
        <v>Bachelor</v>
      </c>
      <c r="AL99" s="1" t="str">
        <f>CHOOSE(HR_Data[[#This Row],[JobSatisfaction]],"Low","Medium","High","Very High")</f>
        <v>High</v>
      </c>
      <c r="AM99" s="1" t="str">
        <f>CHOOSE(HR_Data[[#This Row],[EnvironmentSatisfaction]],"Low","Medium","High","Very High")</f>
        <v>Medium</v>
      </c>
      <c r="AN99" s="1" t="str">
        <f>CHOOSE(HR_Data[[#This Row],[WorkLifeBalance]],"Bad","Good","Better","Best")</f>
        <v>Best</v>
      </c>
      <c r="AO99" s="1" t="str">
        <f>IF(HR_Data[[#This Row],[PercentSalaryHike]]&lt;=13,"11-13%",IF(HR_Data[[#This Row],[PercentSalaryHike]]&lt;=16,"14-16%",IF(HR_Data[[#This Row],[PercentSalaryHike]]&lt;=19,"17-19%","20-25%")))</f>
        <v>14-16%</v>
      </c>
      <c r="AP99" s="1">
        <f>IF(HR_Data[[#This Row],[PercentSalaryHike]]&lt;=13,1,IF(HR_Data[[#This Row],[PercentSalaryHike]]&lt;=16,2,IF(HR_Data[[#This Row],[PercentSalaryHike]]&lt;=19,3,4)))</f>
        <v>2</v>
      </c>
      <c r="AQ99" s="1" t="str">
        <f>IF(HR_Data[[#This Row],[DistanceFromHome]]&lt;=5,"1 to 5",IF(HR_Data[[#This Row],[DistanceFromHome]]&lt;=10,"6 to 10",IF(HR_Data[[#This Row],[DistanceFromHome]]&lt;=20,"11 to 20","21 to 29")))</f>
        <v>1 to 5</v>
      </c>
      <c r="AR99" s="1">
        <f>IF(HR_Data[[#This Row],[DistanceFromHome]]&lt;=5,1,IF(HR_Data[[#This Row],[DistanceFromHome]]&lt;=10,2,IF(HR_Data[[#This Row],[DistanceFromHome]]&lt;=20,3,4)))</f>
        <v>1</v>
      </c>
      <c r="AS99" s="1" t="str">
        <f>IF(HR_Data[[#This Row],[TotalWorkingYears]]&lt;=5,"0-5 Yrs",IF(HR_Data[[#This Row],[TotalWorkingYears]]&lt;=10,"6-10 Yrs",IF(HR_Data[[#This Row],[TotalWorkingYears]]&lt;=20,"11-20 Yrs","20+ Yrs")))</f>
        <v>0-5 Yrs</v>
      </c>
      <c r="AT99" s="1">
        <f>IF(HR_Data[[#This Row],[TotalWorkingYears]]&lt;=5,1,IF(HR_Data[[#This Row],[TotalWorkingYears]]&lt;=10,2,IF(HR_Data[[#This Row],[TotalWorkingYears]]&lt;=20,3,4)))</f>
        <v>1</v>
      </c>
    </row>
    <row r="100" spans="1:46" x14ac:dyDescent="0.25">
      <c r="A100">
        <v>58</v>
      </c>
      <c r="B100" t="s">
        <v>36</v>
      </c>
      <c r="C100" t="s">
        <v>30</v>
      </c>
      <c r="D100" t="s">
        <v>31</v>
      </c>
      <c r="E100">
        <v>10</v>
      </c>
      <c r="F100">
        <v>4</v>
      </c>
      <c r="G100" t="s">
        <v>44</v>
      </c>
      <c r="H100">
        <v>131</v>
      </c>
      <c r="I100">
        <v>4</v>
      </c>
      <c r="J100" t="s">
        <v>39</v>
      </c>
      <c r="K100">
        <v>3</v>
      </c>
      <c r="L100">
        <v>4</v>
      </c>
      <c r="M100" t="s">
        <v>34</v>
      </c>
      <c r="N100">
        <v>3</v>
      </c>
      <c r="O100" t="s">
        <v>35</v>
      </c>
      <c r="P100">
        <v>13872</v>
      </c>
      <c r="Q100">
        <v>0</v>
      </c>
      <c r="R100" t="s">
        <v>36</v>
      </c>
      <c r="S100">
        <v>13</v>
      </c>
      <c r="T100">
        <v>3</v>
      </c>
      <c r="U100">
        <v>3</v>
      </c>
      <c r="V100">
        <v>0</v>
      </c>
      <c r="W100">
        <v>38</v>
      </c>
      <c r="X100">
        <v>1</v>
      </c>
      <c r="Y100">
        <v>2</v>
      </c>
      <c r="Z100">
        <v>37</v>
      </c>
      <c r="AA100">
        <v>10</v>
      </c>
      <c r="AB100">
        <v>1</v>
      </c>
      <c r="AC100">
        <v>8</v>
      </c>
      <c r="AD100">
        <f>IF(HR_Data[[#This Row],[Attrition]]="Yes",1,0)</f>
        <v>0</v>
      </c>
      <c r="AE100" t="str">
        <f>IF(HR_Data[[#This Row],[Age]]&lt;=25,"18-25",IF(HR_Data[[#This Row],[Age]]&lt;=35,"26-35",IF(HR_Data[[#This Row],[Age]]&lt;=45,"36-45",IF(HR_Data[[#This Row],[Age]]&lt;=55,"46-55","55+"))))</f>
        <v>55+</v>
      </c>
      <c r="AF100">
        <f>IF(HR_Data[[#This Row],[Age]]&lt;=25,1,IF(HR_Data[[#This Row],[Age]]&lt;=35,2,IF(HR_Data[[#This Row],[Age]]&lt;=45,3,IF(HR_Data[[#This Row],[Age]]&lt;=55,4,5))))</f>
        <v>5</v>
      </c>
      <c r="AG100" s="1" t="str">
        <f>IF(HR_Data[[#This Row],[MonthlyIncome]]&lt;3000,"&lt;3K",IF(HR_Data[[#This Row],[MonthlyIncome]]&lt;6000,"3K-6K",IF(HR_Data[[#This Row],[MonthlyIncome]]&lt;10000,"6K-10K","10K+")))</f>
        <v>10K+</v>
      </c>
      <c r="AH100" s="1">
        <f>IF(HR_Data[[#This Row],[MonthlyIncome]]&lt;3000,1,IF(HR_Data[[#This Row],[MonthlyIncome]]&lt;6000,2,IF(HR_Data[[#This Row],[MonthlyIncome]]&lt;10000,3,4)))</f>
        <v>4</v>
      </c>
      <c r="AI100" s="1" t="str">
        <f>IF(HR_Data[[#This Row],[YearsAtCompany]]&lt;=2,"0-2 Yrs",IF(HR_Data[[#This Row],[YearsAtCompany]]&lt;=5,"3-5 Yrs",IF(HR_Data[[#This Row],[YearsAtCompany]]&lt;=10,"6-10 Yrs","10+ Yrs")))</f>
        <v>10+ Yrs</v>
      </c>
      <c r="AJ100" s="1">
        <f>IF(HR_Data[[#This Row],[YearsAtCompany]]&lt;=2,1,IF(HR_Data[[#This Row],[YearsAtCompany]]&lt;=5,2,IF(HR_Data[[#This Row],[YearsAtCompany]]&lt;=10,3,4)))</f>
        <v>4</v>
      </c>
      <c r="AK100" s="1" t="str">
        <f>CHOOSE(HR_Data[[#This Row],[Education]],"Below College","College","Bachelor","Master","Doctor")</f>
        <v>Master</v>
      </c>
      <c r="AL100" s="1" t="str">
        <f>CHOOSE(HR_Data[[#This Row],[JobSatisfaction]],"Low","Medium","High","Very High")</f>
        <v>High</v>
      </c>
      <c r="AM100" s="1" t="str">
        <f>CHOOSE(HR_Data[[#This Row],[EnvironmentSatisfaction]],"Low","Medium","High","Very High")</f>
        <v>Very High</v>
      </c>
      <c r="AN100" s="1" t="str">
        <f>CHOOSE(HR_Data[[#This Row],[WorkLifeBalance]],"Bad","Good","Better","Best")</f>
        <v>Good</v>
      </c>
      <c r="AO100" s="1" t="str">
        <f>IF(HR_Data[[#This Row],[PercentSalaryHike]]&lt;=13,"11-13%",IF(HR_Data[[#This Row],[PercentSalaryHike]]&lt;=16,"14-16%",IF(HR_Data[[#This Row],[PercentSalaryHike]]&lt;=19,"17-19%","20-25%")))</f>
        <v>11-13%</v>
      </c>
      <c r="AP100" s="1">
        <f>IF(HR_Data[[#This Row],[PercentSalaryHike]]&lt;=13,1,IF(HR_Data[[#This Row],[PercentSalaryHike]]&lt;=16,2,IF(HR_Data[[#This Row],[PercentSalaryHike]]&lt;=19,3,4)))</f>
        <v>1</v>
      </c>
      <c r="AQ100" s="1" t="str">
        <f>IF(HR_Data[[#This Row],[DistanceFromHome]]&lt;=5,"1 to 5",IF(HR_Data[[#This Row],[DistanceFromHome]]&lt;=10,"6 to 10",IF(HR_Data[[#This Row],[DistanceFromHome]]&lt;=20,"11 to 20","21 to 29")))</f>
        <v>6 to 10</v>
      </c>
      <c r="AR100" s="1">
        <f>IF(HR_Data[[#This Row],[DistanceFromHome]]&lt;=5,1,IF(HR_Data[[#This Row],[DistanceFromHome]]&lt;=10,2,IF(HR_Data[[#This Row],[DistanceFromHome]]&lt;=20,3,4)))</f>
        <v>2</v>
      </c>
      <c r="AS100" s="1" t="str">
        <f>IF(HR_Data[[#This Row],[TotalWorkingYears]]&lt;=5,"0-5 Yrs",IF(HR_Data[[#This Row],[TotalWorkingYears]]&lt;=10,"6-10 Yrs",IF(HR_Data[[#This Row],[TotalWorkingYears]]&lt;=20,"11-20 Yrs","20+ Yrs")))</f>
        <v>20+ Yrs</v>
      </c>
      <c r="AT100" s="1">
        <f>IF(HR_Data[[#This Row],[TotalWorkingYears]]&lt;=5,1,IF(HR_Data[[#This Row],[TotalWorkingYears]]&lt;=10,2,IF(HR_Data[[#This Row],[TotalWorkingYears]]&lt;=20,3,4)))</f>
        <v>4</v>
      </c>
    </row>
    <row r="101" spans="1:46" x14ac:dyDescent="0.25">
      <c r="A101">
        <v>44</v>
      </c>
      <c r="B101" t="s">
        <v>36</v>
      </c>
      <c r="C101" t="s">
        <v>48</v>
      </c>
      <c r="D101" t="s">
        <v>38</v>
      </c>
      <c r="E101">
        <v>23</v>
      </c>
      <c r="F101">
        <v>3</v>
      </c>
      <c r="G101" t="s">
        <v>44</v>
      </c>
      <c r="H101">
        <v>132</v>
      </c>
      <c r="I101">
        <v>2</v>
      </c>
      <c r="J101" t="s">
        <v>39</v>
      </c>
      <c r="K101">
        <v>3</v>
      </c>
      <c r="L101">
        <v>2</v>
      </c>
      <c r="M101" t="s">
        <v>43</v>
      </c>
      <c r="N101">
        <v>2</v>
      </c>
      <c r="O101" t="s">
        <v>41</v>
      </c>
      <c r="P101">
        <v>2042</v>
      </c>
      <c r="Q101">
        <v>4</v>
      </c>
      <c r="R101" t="s">
        <v>36</v>
      </c>
      <c r="S101">
        <v>12</v>
      </c>
      <c r="T101">
        <v>3</v>
      </c>
      <c r="U101">
        <v>3</v>
      </c>
      <c r="V101">
        <v>1</v>
      </c>
      <c r="W101">
        <v>17</v>
      </c>
      <c r="X101">
        <v>3</v>
      </c>
      <c r="Y101">
        <v>4</v>
      </c>
      <c r="Z101">
        <v>3</v>
      </c>
      <c r="AA101">
        <v>2</v>
      </c>
      <c r="AB101">
        <v>1</v>
      </c>
      <c r="AC101">
        <v>2</v>
      </c>
      <c r="AD101">
        <f>IF(HR_Data[[#This Row],[Attrition]]="Yes",1,0)</f>
        <v>0</v>
      </c>
      <c r="AE101" t="str">
        <f>IF(HR_Data[[#This Row],[Age]]&lt;=25,"18-25",IF(HR_Data[[#This Row],[Age]]&lt;=35,"26-35",IF(HR_Data[[#This Row],[Age]]&lt;=45,"36-45",IF(HR_Data[[#This Row],[Age]]&lt;=55,"46-55","55+"))))</f>
        <v>36-45</v>
      </c>
      <c r="AF101">
        <f>IF(HR_Data[[#This Row],[Age]]&lt;=25,1,IF(HR_Data[[#This Row],[Age]]&lt;=35,2,IF(HR_Data[[#This Row],[Age]]&lt;=45,3,IF(HR_Data[[#This Row],[Age]]&lt;=55,4,5))))</f>
        <v>3</v>
      </c>
      <c r="AG101" s="1" t="str">
        <f>IF(HR_Data[[#This Row],[MonthlyIncome]]&lt;3000,"&lt;3K",IF(HR_Data[[#This Row],[MonthlyIncome]]&lt;6000,"3K-6K",IF(HR_Data[[#This Row],[MonthlyIncome]]&lt;10000,"6K-10K","10K+")))</f>
        <v>&lt;3K</v>
      </c>
      <c r="AH101" s="1">
        <f>IF(HR_Data[[#This Row],[MonthlyIncome]]&lt;3000,1,IF(HR_Data[[#This Row],[MonthlyIncome]]&lt;6000,2,IF(HR_Data[[#This Row],[MonthlyIncome]]&lt;10000,3,4)))</f>
        <v>1</v>
      </c>
      <c r="AI101" s="1" t="str">
        <f>IF(HR_Data[[#This Row],[YearsAtCompany]]&lt;=2,"0-2 Yrs",IF(HR_Data[[#This Row],[YearsAtCompany]]&lt;=5,"3-5 Yrs",IF(HR_Data[[#This Row],[YearsAtCompany]]&lt;=10,"6-10 Yrs","10+ Yrs")))</f>
        <v>3-5 Yrs</v>
      </c>
      <c r="AJ101" s="1">
        <f>IF(HR_Data[[#This Row],[YearsAtCompany]]&lt;=2,1,IF(HR_Data[[#This Row],[YearsAtCompany]]&lt;=5,2,IF(HR_Data[[#This Row],[YearsAtCompany]]&lt;=10,3,4)))</f>
        <v>2</v>
      </c>
      <c r="AK101" s="1" t="str">
        <f>CHOOSE(HR_Data[[#This Row],[Education]],"Below College","College","Bachelor","Master","Doctor")</f>
        <v>Bachelor</v>
      </c>
      <c r="AL101" s="1" t="str">
        <f>CHOOSE(HR_Data[[#This Row],[JobSatisfaction]],"Low","Medium","High","Very High")</f>
        <v>Medium</v>
      </c>
      <c r="AM101" s="1" t="str">
        <f>CHOOSE(HR_Data[[#This Row],[EnvironmentSatisfaction]],"Low","Medium","High","Very High")</f>
        <v>Medium</v>
      </c>
      <c r="AN101" s="1" t="str">
        <f>CHOOSE(HR_Data[[#This Row],[WorkLifeBalance]],"Bad","Good","Better","Best")</f>
        <v>Best</v>
      </c>
      <c r="AO101" s="1" t="str">
        <f>IF(HR_Data[[#This Row],[PercentSalaryHike]]&lt;=13,"11-13%",IF(HR_Data[[#This Row],[PercentSalaryHike]]&lt;=16,"14-16%",IF(HR_Data[[#This Row],[PercentSalaryHike]]&lt;=19,"17-19%","20-25%")))</f>
        <v>11-13%</v>
      </c>
      <c r="AP101" s="1">
        <f>IF(HR_Data[[#This Row],[PercentSalaryHike]]&lt;=13,1,IF(HR_Data[[#This Row],[PercentSalaryHike]]&lt;=16,2,IF(HR_Data[[#This Row],[PercentSalaryHike]]&lt;=19,3,4)))</f>
        <v>1</v>
      </c>
      <c r="AQ101" s="1" t="str">
        <f>IF(HR_Data[[#This Row],[DistanceFromHome]]&lt;=5,"1 to 5",IF(HR_Data[[#This Row],[DistanceFromHome]]&lt;=10,"6 to 10",IF(HR_Data[[#This Row],[DistanceFromHome]]&lt;=20,"11 to 20","21 to 29")))</f>
        <v>21 to 29</v>
      </c>
      <c r="AR101" s="1">
        <f>IF(HR_Data[[#This Row],[DistanceFromHome]]&lt;=5,1,IF(HR_Data[[#This Row],[DistanceFromHome]]&lt;=10,2,IF(HR_Data[[#This Row],[DistanceFromHome]]&lt;=20,3,4)))</f>
        <v>4</v>
      </c>
      <c r="AS101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01" s="1">
        <f>IF(HR_Data[[#This Row],[TotalWorkingYears]]&lt;=5,1,IF(HR_Data[[#This Row],[TotalWorkingYears]]&lt;=10,2,IF(HR_Data[[#This Row],[TotalWorkingYears]]&lt;=20,3,4)))</f>
        <v>3</v>
      </c>
    </row>
    <row r="102" spans="1:46" x14ac:dyDescent="0.25">
      <c r="A102">
        <v>37</v>
      </c>
      <c r="B102" t="s">
        <v>29</v>
      </c>
      <c r="C102" t="s">
        <v>30</v>
      </c>
      <c r="D102" t="s">
        <v>54</v>
      </c>
      <c r="E102">
        <v>6</v>
      </c>
      <c r="F102">
        <v>4</v>
      </c>
      <c r="G102" t="s">
        <v>54</v>
      </c>
      <c r="H102">
        <v>133</v>
      </c>
      <c r="I102">
        <v>3</v>
      </c>
      <c r="J102" t="s">
        <v>39</v>
      </c>
      <c r="K102">
        <v>3</v>
      </c>
      <c r="L102">
        <v>1</v>
      </c>
      <c r="M102" t="s">
        <v>54</v>
      </c>
      <c r="N102">
        <v>1</v>
      </c>
      <c r="O102" t="s">
        <v>45</v>
      </c>
      <c r="P102">
        <v>2073</v>
      </c>
      <c r="Q102">
        <v>4</v>
      </c>
      <c r="R102" t="s">
        <v>29</v>
      </c>
      <c r="S102">
        <v>22</v>
      </c>
      <c r="T102">
        <v>4</v>
      </c>
      <c r="U102">
        <v>4</v>
      </c>
      <c r="V102">
        <v>0</v>
      </c>
      <c r="W102">
        <v>7</v>
      </c>
      <c r="X102">
        <v>3</v>
      </c>
      <c r="Y102">
        <v>3</v>
      </c>
      <c r="Z102">
        <v>3</v>
      </c>
      <c r="AA102">
        <v>2</v>
      </c>
      <c r="AB102">
        <v>0</v>
      </c>
      <c r="AC102">
        <v>2</v>
      </c>
      <c r="AD102">
        <f>IF(HR_Data[[#This Row],[Attrition]]="Yes",1,0)</f>
        <v>1</v>
      </c>
      <c r="AE102" t="str">
        <f>IF(HR_Data[[#This Row],[Age]]&lt;=25,"18-25",IF(HR_Data[[#This Row],[Age]]&lt;=35,"26-35",IF(HR_Data[[#This Row],[Age]]&lt;=45,"36-45",IF(HR_Data[[#This Row],[Age]]&lt;=55,"46-55","55+"))))</f>
        <v>36-45</v>
      </c>
      <c r="AF102">
        <f>IF(HR_Data[[#This Row],[Age]]&lt;=25,1,IF(HR_Data[[#This Row],[Age]]&lt;=35,2,IF(HR_Data[[#This Row],[Age]]&lt;=45,3,IF(HR_Data[[#This Row],[Age]]&lt;=55,4,5))))</f>
        <v>3</v>
      </c>
      <c r="AG102" s="1" t="str">
        <f>IF(HR_Data[[#This Row],[MonthlyIncome]]&lt;3000,"&lt;3K",IF(HR_Data[[#This Row],[MonthlyIncome]]&lt;6000,"3K-6K",IF(HR_Data[[#This Row],[MonthlyIncome]]&lt;10000,"6K-10K","10K+")))</f>
        <v>&lt;3K</v>
      </c>
      <c r="AH102" s="1">
        <f>IF(HR_Data[[#This Row],[MonthlyIncome]]&lt;3000,1,IF(HR_Data[[#This Row],[MonthlyIncome]]&lt;6000,2,IF(HR_Data[[#This Row],[MonthlyIncome]]&lt;10000,3,4)))</f>
        <v>1</v>
      </c>
      <c r="AI102" s="1" t="str">
        <f>IF(HR_Data[[#This Row],[YearsAtCompany]]&lt;=2,"0-2 Yrs",IF(HR_Data[[#This Row],[YearsAtCompany]]&lt;=5,"3-5 Yrs",IF(HR_Data[[#This Row],[YearsAtCompany]]&lt;=10,"6-10 Yrs","10+ Yrs")))</f>
        <v>3-5 Yrs</v>
      </c>
      <c r="AJ102" s="1">
        <f>IF(HR_Data[[#This Row],[YearsAtCompany]]&lt;=2,1,IF(HR_Data[[#This Row],[YearsAtCompany]]&lt;=5,2,IF(HR_Data[[#This Row],[YearsAtCompany]]&lt;=10,3,4)))</f>
        <v>2</v>
      </c>
      <c r="AK102" s="1" t="str">
        <f>CHOOSE(HR_Data[[#This Row],[Education]],"Below College","College","Bachelor","Master","Doctor")</f>
        <v>Master</v>
      </c>
      <c r="AL102" s="1" t="str">
        <f>CHOOSE(HR_Data[[#This Row],[JobSatisfaction]],"Low","Medium","High","Very High")</f>
        <v>Low</v>
      </c>
      <c r="AM102" s="1" t="str">
        <f>CHOOSE(HR_Data[[#This Row],[EnvironmentSatisfaction]],"Low","Medium","High","Very High")</f>
        <v>High</v>
      </c>
      <c r="AN102" s="1" t="str">
        <f>CHOOSE(HR_Data[[#This Row],[WorkLifeBalance]],"Bad","Good","Better","Best")</f>
        <v>Better</v>
      </c>
      <c r="AO102" s="1" t="str">
        <f>IF(HR_Data[[#This Row],[PercentSalaryHike]]&lt;=13,"11-13%",IF(HR_Data[[#This Row],[PercentSalaryHike]]&lt;=16,"14-16%",IF(HR_Data[[#This Row],[PercentSalaryHike]]&lt;=19,"17-19%","20-25%")))</f>
        <v>20-25%</v>
      </c>
      <c r="AP102" s="1">
        <f>IF(HR_Data[[#This Row],[PercentSalaryHike]]&lt;=13,1,IF(HR_Data[[#This Row],[PercentSalaryHike]]&lt;=16,2,IF(HR_Data[[#This Row],[PercentSalaryHike]]&lt;=19,3,4)))</f>
        <v>4</v>
      </c>
      <c r="AQ102" s="1" t="str">
        <f>IF(HR_Data[[#This Row],[DistanceFromHome]]&lt;=5,"1 to 5",IF(HR_Data[[#This Row],[DistanceFromHome]]&lt;=10,"6 to 10",IF(HR_Data[[#This Row],[DistanceFromHome]]&lt;=20,"11 to 20","21 to 29")))</f>
        <v>6 to 10</v>
      </c>
      <c r="AR102" s="1">
        <f>IF(HR_Data[[#This Row],[DistanceFromHome]]&lt;=5,1,IF(HR_Data[[#This Row],[DistanceFromHome]]&lt;=10,2,IF(HR_Data[[#This Row],[DistanceFromHome]]&lt;=20,3,4)))</f>
        <v>2</v>
      </c>
      <c r="AS102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02" s="1">
        <f>IF(HR_Data[[#This Row],[TotalWorkingYears]]&lt;=5,1,IF(HR_Data[[#This Row],[TotalWorkingYears]]&lt;=10,2,IF(HR_Data[[#This Row],[TotalWorkingYears]]&lt;=20,3,4)))</f>
        <v>2</v>
      </c>
    </row>
    <row r="103" spans="1:46" x14ac:dyDescent="0.25">
      <c r="A103">
        <v>32</v>
      </c>
      <c r="B103" t="s">
        <v>36</v>
      </c>
      <c r="C103" t="s">
        <v>30</v>
      </c>
      <c r="D103" t="s">
        <v>38</v>
      </c>
      <c r="E103">
        <v>1</v>
      </c>
      <c r="F103">
        <v>1</v>
      </c>
      <c r="G103" t="s">
        <v>32</v>
      </c>
      <c r="H103">
        <v>134</v>
      </c>
      <c r="I103">
        <v>4</v>
      </c>
      <c r="J103" t="s">
        <v>39</v>
      </c>
      <c r="K103">
        <v>3</v>
      </c>
      <c r="L103">
        <v>1</v>
      </c>
      <c r="M103" t="s">
        <v>40</v>
      </c>
      <c r="N103">
        <v>1</v>
      </c>
      <c r="O103" t="s">
        <v>35</v>
      </c>
      <c r="P103">
        <v>2956</v>
      </c>
      <c r="Q103">
        <v>1</v>
      </c>
      <c r="R103" t="s">
        <v>36</v>
      </c>
      <c r="S103">
        <v>13</v>
      </c>
      <c r="T103">
        <v>3</v>
      </c>
      <c r="U103">
        <v>4</v>
      </c>
      <c r="V103">
        <v>0</v>
      </c>
      <c r="W103">
        <v>1</v>
      </c>
      <c r="X103">
        <v>2</v>
      </c>
      <c r="Y103">
        <v>3</v>
      </c>
      <c r="Z103">
        <v>1</v>
      </c>
      <c r="AA103">
        <v>0</v>
      </c>
      <c r="AB103">
        <v>0</v>
      </c>
      <c r="AC103">
        <v>0</v>
      </c>
      <c r="AD103">
        <f>IF(HR_Data[[#This Row],[Attrition]]="Yes",1,0)</f>
        <v>0</v>
      </c>
      <c r="AE103" t="str">
        <f>IF(HR_Data[[#This Row],[Age]]&lt;=25,"18-25",IF(HR_Data[[#This Row],[Age]]&lt;=35,"26-35",IF(HR_Data[[#This Row],[Age]]&lt;=45,"36-45",IF(HR_Data[[#This Row],[Age]]&lt;=55,"46-55","55+"))))</f>
        <v>26-35</v>
      </c>
      <c r="AF103">
        <f>IF(HR_Data[[#This Row],[Age]]&lt;=25,1,IF(HR_Data[[#This Row],[Age]]&lt;=35,2,IF(HR_Data[[#This Row],[Age]]&lt;=45,3,IF(HR_Data[[#This Row],[Age]]&lt;=55,4,5))))</f>
        <v>2</v>
      </c>
      <c r="AG103" s="1" t="str">
        <f>IF(HR_Data[[#This Row],[MonthlyIncome]]&lt;3000,"&lt;3K",IF(HR_Data[[#This Row],[MonthlyIncome]]&lt;6000,"3K-6K",IF(HR_Data[[#This Row],[MonthlyIncome]]&lt;10000,"6K-10K","10K+")))</f>
        <v>&lt;3K</v>
      </c>
      <c r="AH103" s="1">
        <f>IF(HR_Data[[#This Row],[MonthlyIncome]]&lt;3000,1,IF(HR_Data[[#This Row],[MonthlyIncome]]&lt;6000,2,IF(HR_Data[[#This Row],[MonthlyIncome]]&lt;10000,3,4)))</f>
        <v>1</v>
      </c>
      <c r="AI103" s="1" t="str">
        <f>IF(HR_Data[[#This Row],[YearsAtCompany]]&lt;=2,"0-2 Yrs",IF(HR_Data[[#This Row],[YearsAtCompany]]&lt;=5,"3-5 Yrs",IF(HR_Data[[#This Row],[YearsAtCompany]]&lt;=10,"6-10 Yrs","10+ Yrs")))</f>
        <v>0-2 Yrs</v>
      </c>
      <c r="AJ103" s="1">
        <f>IF(HR_Data[[#This Row],[YearsAtCompany]]&lt;=2,1,IF(HR_Data[[#This Row],[YearsAtCompany]]&lt;=5,2,IF(HR_Data[[#This Row],[YearsAtCompany]]&lt;=10,3,4)))</f>
        <v>1</v>
      </c>
      <c r="AK103" s="1" t="str">
        <f>CHOOSE(HR_Data[[#This Row],[Education]],"Below College","College","Bachelor","Master","Doctor")</f>
        <v>Below College</v>
      </c>
      <c r="AL103" s="1" t="str">
        <f>CHOOSE(HR_Data[[#This Row],[JobSatisfaction]],"Low","Medium","High","Very High")</f>
        <v>Low</v>
      </c>
      <c r="AM103" s="1" t="str">
        <f>CHOOSE(HR_Data[[#This Row],[EnvironmentSatisfaction]],"Low","Medium","High","Very High")</f>
        <v>Very High</v>
      </c>
      <c r="AN103" s="1" t="str">
        <f>CHOOSE(HR_Data[[#This Row],[WorkLifeBalance]],"Bad","Good","Better","Best")</f>
        <v>Better</v>
      </c>
      <c r="AO103" s="1" t="str">
        <f>IF(HR_Data[[#This Row],[PercentSalaryHike]]&lt;=13,"11-13%",IF(HR_Data[[#This Row],[PercentSalaryHike]]&lt;=16,"14-16%",IF(HR_Data[[#This Row],[PercentSalaryHike]]&lt;=19,"17-19%","20-25%")))</f>
        <v>11-13%</v>
      </c>
      <c r="AP103" s="1">
        <f>IF(HR_Data[[#This Row],[PercentSalaryHike]]&lt;=13,1,IF(HR_Data[[#This Row],[PercentSalaryHike]]&lt;=16,2,IF(HR_Data[[#This Row],[PercentSalaryHike]]&lt;=19,3,4)))</f>
        <v>1</v>
      </c>
      <c r="AQ103" s="1" t="str">
        <f>IF(HR_Data[[#This Row],[DistanceFromHome]]&lt;=5,"1 to 5",IF(HR_Data[[#This Row],[DistanceFromHome]]&lt;=10,"6 to 10",IF(HR_Data[[#This Row],[DistanceFromHome]]&lt;=20,"11 to 20","21 to 29")))</f>
        <v>1 to 5</v>
      </c>
      <c r="AR103" s="1">
        <f>IF(HR_Data[[#This Row],[DistanceFromHome]]&lt;=5,1,IF(HR_Data[[#This Row],[DistanceFromHome]]&lt;=10,2,IF(HR_Data[[#This Row],[DistanceFromHome]]&lt;=20,3,4)))</f>
        <v>1</v>
      </c>
      <c r="AS103" s="1" t="str">
        <f>IF(HR_Data[[#This Row],[TotalWorkingYears]]&lt;=5,"0-5 Yrs",IF(HR_Data[[#This Row],[TotalWorkingYears]]&lt;=10,"6-10 Yrs",IF(HR_Data[[#This Row],[TotalWorkingYears]]&lt;=20,"11-20 Yrs","20+ Yrs")))</f>
        <v>0-5 Yrs</v>
      </c>
      <c r="AT103" s="1">
        <f>IF(HR_Data[[#This Row],[TotalWorkingYears]]&lt;=5,1,IF(HR_Data[[#This Row],[TotalWorkingYears]]&lt;=10,2,IF(HR_Data[[#This Row],[TotalWorkingYears]]&lt;=20,3,4)))</f>
        <v>1</v>
      </c>
    </row>
    <row r="104" spans="1:46" x14ac:dyDescent="0.25">
      <c r="A104">
        <v>20</v>
      </c>
      <c r="B104" t="s">
        <v>29</v>
      </c>
      <c r="C104" t="s">
        <v>37</v>
      </c>
      <c r="D104" t="s">
        <v>38</v>
      </c>
      <c r="E104">
        <v>6</v>
      </c>
      <c r="F104">
        <v>3</v>
      </c>
      <c r="G104" t="s">
        <v>32</v>
      </c>
      <c r="H104">
        <v>137</v>
      </c>
      <c r="I104">
        <v>4</v>
      </c>
      <c r="J104" t="s">
        <v>33</v>
      </c>
      <c r="K104">
        <v>2</v>
      </c>
      <c r="L104">
        <v>1</v>
      </c>
      <c r="M104" t="s">
        <v>43</v>
      </c>
      <c r="N104">
        <v>4</v>
      </c>
      <c r="O104" t="s">
        <v>35</v>
      </c>
      <c r="P104">
        <v>2926</v>
      </c>
      <c r="Q104">
        <v>1</v>
      </c>
      <c r="R104" t="s">
        <v>29</v>
      </c>
      <c r="S104">
        <v>18</v>
      </c>
      <c r="T104">
        <v>3</v>
      </c>
      <c r="U104">
        <v>2</v>
      </c>
      <c r="V104">
        <v>0</v>
      </c>
      <c r="W104">
        <v>1</v>
      </c>
      <c r="X104">
        <v>5</v>
      </c>
      <c r="Y104">
        <v>3</v>
      </c>
      <c r="Z104">
        <v>1</v>
      </c>
      <c r="AA104">
        <v>0</v>
      </c>
      <c r="AB104">
        <v>1</v>
      </c>
      <c r="AC104">
        <v>0</v>
      </c>
      <c r="AD104">
        <f>IF(HR_Data[[#This Row],[Attrition]]="Yes",1,0)</f>
        <v>1</v>
      </c>
      <c r="AE104" t="str">
        <f>IF(HR_Data[[#This Row],[Age]]&lt;=25,"18-25",IF(HR_Data[[#This Row],[Age]]&lt;=35,"26-35",IF(HR_Data[[#This Row],[Age]]&lt;=45,"36-45",IF(HR_Data[[#This Row],[Age]]&lt;=55,"46-55","55+"))))</f>
        <v>18-25</v>
      </c>
      <c r="AF104">
        <f>IF(HR_Data[[#This Row],[Age]]&lt;=25,1,IF(HR_Data[[#This Row],[Age]]&lt;=35,2,IF(HR_Data[[#This Row],[Age]]&lt;=45,3,IF(HR_Data[[#This Row],[Age]]&lt;=55,4,5))))</f>
        <v>1</v>
      </c>
      <c r="AG104" s="1" t="str">
        <f>IF(HR_Data[[#This Row],[MonthlyIncome]]&lt;3000,"&lt;3K",IF(HR_Data[[#This Row],[MonthlyIncome]]&lt;6000,"3K-6K",IF(HR_Data[[#This Row],[MonthlyIncome]]&lt;10000,"6K-10K","10K+")))</f>
        <v>&lt;3K</v>
      </c>
      <c r="AH104" s="1">
        <f>IF(HR_Data[[#This Row],[MonthlyIncome]]&lt;3000,1,IF(HR_Data[[#This Row],[MonthlyIncome]]&lt;6000,2,IF(HR_Data[[#This Row],[MonthlyIncome]]&lt;10000,3,4)))</f>
        <v>1</v>
      </c>
      <c r="AI104" s="1" t="str">
        <f>IF(HR_Data[[#This Row],[YearsAtCompany]]&lt;=2,"0-2 Yrs",IF(HR_Data[[#This Row],[YearsAtCompany]]&lt;=5,"3-5 Yrs",IF(HR_Data[[#This Row],[YearsAtCompany]]&lt;=10,"6-10 Yrs","10+ Yrs")))</f>
        <v>0-2 Yrs</v>
      </c>
      <c r="AJ104" s="1">
        <f>IF(HR_Data[[#This Row],[YearsAtCompany]]&lt;=2,1,IF(HR_Data[[#This Row],[YearsAtCompany]]&lt;=5,2,IF(HR_Data[[#This Row],[YearsAtCompany]]&lt;=10,3,4)))</f>
        <v>1</v>
      </c>
      <c r="AK104" s="1" t="str">
        <f>CHOOSE(HR_Data[[#This Row],[Education]],"Below College","College","Bachelor","Master","Doctor")</f>
        <v>Bachelor</v>
      </c>
      <c r="AL104" s="1" t="str">
        <f>CHOOSE(HR_Data[[#This Row],[JobSatisfaction]],"Low","Medium","High","Very High")</f>
        <v>Very High</v>
      </c>
      <c r="AM104" s="1" t="str">
        <f>CHOOSE(HR_Data[[#This Row],[EnvironmentSatisfaction]],"Low","Medium","High","Very High")</f>
        <v>Very High</v>
      </c>
      <c r="AN104" s="1" t="str">
        <f>CHOOSE(HR_Data[[#This Row],[WorkLifeBalance]],"Bad","Good","Better","Best")</f>
        <v>Better</v>
      </c>
      <c r="AO104" s="1" t="str">
        <f>IF(HR_Data[[#This Row],[PercentSalaryHike]]&lt;=13,"11-13%",IF(HR_Data[[#This Row],[PercentSalaryHike]]&lt;=16,"14-16%",IF(HR_Data[[#This Row],[PercentSalaryHike]]&lt;=19,"17-19%","20-25%")))</f>
        <v>17-19%</v>
      </c>
      <c r="AP104" s="1">
        <f>IF(HR_Data[[#This Row],[PercentSalaryHike]]&lt;=13,1,IF(HR_Data[[#This Row],[PercentSalaryHike]]&lt;=16,2,IF(HR_Data[[#This Row],[PercentSalaryHike]]&lt;=19,3,4)))</f>
        <v>3</v>
      </c>
      <c r="AQ104" s="1" t="str">
        <f>IF(HR_Data[[#This Row],[DistanceFromHome]]&lt;=5,"1 to 5",IF(HR_Data[[#This Row],[DistanceFromHome]]&lt;=10,"6 to 10",IF(HR_Data[[#This Row],[DistanceFromHome]]&lt;=20,"11 to 20","21 to 29")))</f>
        <v>6 to 10</v>
      </c>
      <c r="AR104" s="1">
        <f>IF(HR_Data[[#This Row],[DistanceFromHome]]&lt;=5,1,IF(HR_Data[[#This Row],[DistanceFromHome]]&lt;=10,2,IF(HR_Data[[#This Row],[DistanceFromHome]]&lt;=20,3,4)))</f>
        <v>2</v>
      </c>
      <c r="AS104" s="1" t="str">
        <f>IF(HR_Data[[#This Row],[TotalWorkingYears]]&lt;=5,"0-5 Yrs",IF(HR_Data[[#This Row],[TotalWorkingYears]]&lt;=10,"6-10 Yrs",IF(HR_Data[[#This Row],[TotalWorkingYears]]&lt;=20,"11-20 Yrs","20+ Yrs")))</f>
        <v>0-5 Yrs</v>
      </c>
      <c r="AT104" s="1">
        <f>IF(HR_Data[[#This Row],[TotalWorkingYears]]&lt;=5,1,IF(HR_Data[[#This Row],[TotalWorkingYears]]&lt;=10,2,IF(HR_Data[[#This Row],[TotalWorkingYears]]&lt;=20,3,4)))</f>
        <v>1</v>
      </c>
    </row>
    <row r="105" spans="1:46" x14ac:dyDescent="0.25">
      <c r="A105">
        <v>34</v>
      </c>
      <c r="B105" t="s">
        <v>36</v>
      </c>
      <c r="C105" t="s">
        <v>30</v>
      </c>
      <c r="D105" t="s">
        <v>38</v>
      </c>
      <c r="E105">
        <v>6</v>
      </c>
      <c r="F105">
        <v>4</v>
      </c>
      <c r="G105" t="s">
        <v>42</v>
      </c>
      <c r="H105">
        <v>138</v>
      </c>
      <c r="I105">
        <v>1</v>
      </c>
      <c r="J105" t="s">
        <v>33</v>
      </c>
      <c r="K105">
        <v>3</v>
      </c>
      <c r="L105">
        <v>2</v>
      </c>
      <c r="M105" t="s">
        <v>40</v>
      </c>
      <c r="N105">
        <v>3</v>
      </c>
      <c r="O105" t="s">
        <v>35</v>
      </c>
      <c r="P105">
        <v>4809</v>
      </c>
      <c r="Q105">
        <v>1</v>
      </c>
      <c r="R105" t="s">
        <v>36</v>
      </c>
      <c r="S105">
        <v>14</v>
      </c>
      <c r="T105">
        <v>3</v>
      </c>
      <c r="U105">
        <v>3</v>
      </c>
      <c r="V105">
        <v>0</v>
      </c>
      <c r="W105">
        <v>16</v>
      </c>
      <c r="X105">
        <v>3</v>
      </c>
      <c r="Y105">
        <v>3</v>
      </c>
      <c r="Z105">
        <v>16</v>
      </c>
      <c r="AA105">
        <v>13</v>
      </c>
      <c r="AB105">
        <v>2</v>
      </c>
      <c r="AC105">
        <v>10</v>
      </c>
      <c r="AD105">
        <f>IF(HR_Data[[#This Row],[Attrition]]="Yes",1,0)</f>
        <v>0</v>
      </c>
      <c r="AE105" t="str">
        <f>IF(HR_Data[[#This Row],[Age]]&lt;=25,"18-25",IF(HR_Data[[#This Row],[Age]]&lt;=35,"26-35",IF(HR_Data[[#This Row],[Age]]&lt;=45,"36-45",IF(HR_Data[[#This Row],[Age]]&lt;=55,"46-55","55+"))))</f>
        <v>26-35</v>
      </c>
      <c r="AF105">
        <f>IF(HR_Data[[#This Row],[Age]]&lt;=25,1,IF(HR_Data[[#This Row],[Age]]&lt;=35,2,IF(HR_Data[[#This Row],[Age]]&lt;=45,3,IF(HR_Data[[#This Row],[Age]]&lt;=55,4,5))))</f>
        <v>2</v>
      </c>
      <c r="AG105" s="1" t="str">
        <f>IF(HR_Data[[#This Row],[MonthlyIncome]]&lt;3000,"&lt;3K",IF(HR_Data[[#This Row],[MonthlyIncome]]&lt;6000,"3K-6K",IF(HR_Data[[#This Row],[MonthlyIncome]]&lt;10000,"6K-10K","10K+")))</f>
        <v>3K-6K</v>
      </c>
      <c r="AH105" s="1">
        <f>IF(HR_Data[[#This Row],[MonthlyIncome]]&lt;3000,1,IF(HR_Data[[#This Row],[MonthlyIncome]]&lt;6000,2,IF(HR_Data[[#This Row],[MonthlyIncome]]&lt;10000,3,4)))</f>
        <v>2</v>
      </c>
      <c r="AI105" s="1" t="str">
        <f>IF(HR_Data[[#This Row],[YearsAtCompany]]&lt;=2,"0-2 Yrs",IF(HR_Data[[#This Row],[YearsAtCompany]]&lt;=5,"3-5 Yrs",IF(HR_Data[[#This Row],[YearsAtCompany]]&lt;=10,"6-10 Yrs","10+ Yrs")))</f>
        <v>10+ Yrs</v>
      </c>
      <c r="AJ105" s="1">
        <f>IF(HR_Data[[#This Row],[YearsAtCompany]]&lt;=2,1,IF(HR_Data[[#This Row],[YearsAtCompany]]&lt;=5,2,IF(HR_Data[[#This Row],[YearsAtCompany]]&lt;=10,3,4)))</f>
        <v>4</v>
      </c>
      <c r="AK105" s="1" t="str">
        <f>CHOOSE(HR_Data[[#This Row],[Education]],"Below College","College","Bachelor","Master","Doctor")</f>
        <v>Master</v>
      </c>
      <c r="AL105" s="1" t="str">
        <f>CHOOSE(HR_Data[[#This Row],[JobSatisfaction]],"Low","Medium","High","Very High")</f>
        <v>High</v>
      </c>
      <c r="AM105" s="1" t="str">
        <f>CHOOSE(HR_Data[[#This Row],[EnvironmentSatisfaction]],"Low","Medium","High","Very High")</f>
        <v>Low</v>
      </c>
      <c r="AN105" s="1" t="str">
        <f>CHOOSE(HR_Data[[#This Row],[WorkLifeBalance]],"Bad","Good","Better","Best")</f>
        <v>Better</v>
      </c>
      <c r="AO105" s="1" t="str">
        <f>IF(HR_Data[[#This Row],[PercentSalaryHike]]&lt;=13,"11-13%",IF(HR_Data[[#This Row],[PercentSalaryHike]]&lt;=16,"14-16%",IF(HR_Data[[#This Row],[PercentSalaryHike]]&lt;=19,"17-19%","20-25%")))</f>
        <v>14-16%</v>
      </c>
      <c r="AP105" s="1">
        <f>IF(HR_Data[[#This Row],[PercentSalaryHike]]&lt;=13,1,IF(HR_Data[[#This Row],[PercentSalaryHike]]&lt;=16,2,IF(HR_Data[[#This Row],[PercentSalaryHike]]&lt;=19,3,4)))</f>
        <v>2</v>
      </c>
      <c r="AQ105" s="1" t="str">
        <f>IF(HR_Data[[#This Row],[DistanceFromHome]]&lt;=5,"1 to 5",IF(HR_Data[[#This Row],[DistanceFromHome]]&lt;=10,"6 to 10",IF(HR_Data[[#This Row],[DistanceFromHome]]&lt;=20,"11 to 20","21 to 29")))</f>
        <v>6 to 10</v>
      </c>
      <c r="AR105" s="1">
        <f>IF(HR_Data[[#This Row],[DistanceFromHome]]&lt;=5,1,IF(HR_Data[[#This Row],[DistanceFromHome]]&lt;=10,2,IF(HR_Data[[#This Row],[DistanceFromHome]]&lt;=20,3,4)))</f>
        <v>2</v>
      </c>
      <c r="AS105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05" s="1">
        <f>IF(HR_Data[[#This Row],[TotalWorkingYears]]&lt;=5,1,IF(HR_Data[[#This Row],[TotalWorkingYears]]&lt;=10,2,IF(HR_Data[[#This Row],[TotalWorkingYears]]&lt;=20,3,4)))</f>
        <v>3</v>
      </c>
    </row>
    <row r="106" spans="1:46" x14ac:dyDescent="0.25">
      <c r="A106">
        <v>37</v>
      </c>
      <c r="B106" t="s">
        <v>36</v>
      </c>
      <c r="C106" t="s">
        <v>48</v>
      </c>
      <c r="D106" t="s">
        <v>38</v>
      </c>
      <c r="E106">
        <v>2</v>
      </c>
      <c r="F106">
        <v>2</v>
      </c>
      <c r="G106" t="s">
        <v>32</v>
      </c>
      <c r="H106">
        <v>139</v>
      </c>
      <c r="I106">
        <v>3</v>
      </c>
      <c r="J106" t="s">
        <v>39</v>
      </c>
      <c r="K106">
        <v>2</v>
      </c>
      <c r="L106">
        <v>2</v>
      </c>
      <c r="M106" t="s">
        <v>47</v>
      </c>
      <c r="N106">
        <v>4</v>
      </c>
      <c r="O106" t="s">
        <v>45</v>
      </c>
      <c r="P106">
        <v>5163</v>
      </c>
      <c r="Q106">
        <v>5</v>
      </c>
      <c r="R106" t="s">
        <v>36</v>
      </c>
      <c r="S106">
        <v>14</v>
      </c>
      <c r="T106">
        <v>3</v>
      </c>
      <c r="U106">
        <v>4</v>
      </c>
      <c r="V106">
        <v>1</v>
      </c>
      <c r="W106">
        <v>17</v>
      </c>
      <c r="X106">
        <v>2</v>
      </c>
      <c r="Y106">
        <v>4</v>
      </c>
      <c r="Z106">
        <v>1</v>
      </c>
      <c r="AA106">
        <v>0</v>
      </c>
      <c r="AB106">
        <v>0</v>
      </c>
      <c r="AC106">
        <v>0</v>
      </c>
      <c r="AD106">
        <f>IF(HR_Data[[#This Row],[Attrition]]="Yes",1,0)</f>
        <v>0</v>
      </c>
      <c r="AE106" t="str">
        <f>IF(HR_Data[[#This Row],[Age]]&lt;=25,"18-25",IF(HR_Data[[#This Row],[Age]]&lt;=35,"26-35",IF(HR_Data[[#This Row],[Age]]&lt;=45,"36-45",IF(HR_Data[[#This Row],[Age]]&lt;=55,"46-55","55+"))))</f>
        <v>36-45</v>
      </c>
      <c r="AF106">
        <f>IF(HR_Data[[#This Row],[Age]]&lt;=25,1,IF(HR_Data[[#This Row],[Age]]&lt;=35,2,IF(HR_Data[[#This Row],[Age]]&lt;=45,3,IF(HR_Data[[#This Row],[Age]]&lt;=55,4,5))))</f>
        <v>3</v>
      </c>
      <c r="AG106" s="1" t="str">
        <f>IF(HR_Data[[#This Row],[MonthlyIncome]]&lt;3000,"&lt;3K",IF(HR_Data[[#This Row],[MonthlyIncome]]&lt;6000,"3K-6K",IF(HR_Data[[#This Row],[MonthlyIncome]]&lt;10000,"6K-10K","10K+")))</f>
        <v>3K-6K</v>
      </c>
      <c r="AH106" s="1">
        <f>IF(HR_Data[[#This Row],[MonthlyIncome]]&lt;3000,1,IF(HR_Data[[#This Row],[MonthlyIncome]]&lt;6000,2,IF(HR_Data[[#This Row],[MonthlyIncome]]&lt;10000,3,4)))</f>
        <v>2</v>
      </c>
      <c r="AI106" s="1" t="str">
        <f>IF(HR_Data[[#This Row],[YearsAtCompany]]&lt;=2,"0-2 Yrs",IF(HR_Data[[#This Row],[YearsAtCompany]]&lt;=5,"3-5 Yrs",IF(HR_Data[[#This Row],[YearsAtCompany]]&lt;=10,"6-10 Yrs","10+ Yrs")))</f>
        <v>0-2 Yrs</v>
      </c>
      <c r="AJ106" s="1">
        <f>IF(HR_Data[[#This Row],[YearsAtCompany]]&lt;=2,1,IF(HR_Data[[#This Row],[YearsAtCompany]]&lt;=5,2,IF(HR_Data[[#This Row],[YearsAtCompany]]&lt;=10,3,4)))</f>
        <v>1</v>
      </c>
      <c r="AK106" s="1" t="str">
        <f>CHOOSE(HR_Data[[#This Row],[Education]],"Below College","College","Bachelor","Master","Doctor")</f>
        <v>College</v>
      </c>
      <c r="AL106" s="1" t="str">
        <f>CHOOSE(HR_Data[[#This Row],[JobSatisfaction]],"Low","Medium","High","Very High")</f>
        <v>Very High</v>
      </c>
      <c r="AM106" s="1" t="str">
        <f>CHOOSE(HR_Data[[#This Row],[EnvironmentSatisfaction]],"Low","Medium","High","Very High")</f>
        <v>High</v>
      </c>
      <c r="AN106" s="1" t="str">
        <f>CHOOSE(HR_Data[[#This Row],[WorkLifeBalance]],"Bad","Good","Better","Best")</f>
        <v>Best</v>
      </c>
      <c r="AO106" s="1" t="str">
        <f>IF(HR_Data[[#This Row],[PercentSalaryHike]]&lt;=13,"11-13%",IF(HR_Data[[#This Row],[PercentSalaryHike]]&lt;=16,"14-16%",IF(HR_Data[[#This Row],[PercentSalaryHike]]&lt;=19,"17-19%","20-25%")))</f>
        <v>14-16%</v>
      </c>
      <c r="AP106" s="1">
        <f>IF(HR_Data[[#This Row],[PercentSalaryHike]]&lt;=13,1,IF(HR_Data[[#This Row],[PercentSalaryHike]]&lt;=16,2,IF(HR_Data[[#This Row],[PercentSalaryHike]]&lt;=19,3,4)))</f>
        <v>2</v>
      </c>
      <c r="AQ106" s="1" t="str">
        <f>IF(HR_Data[[#This Row],[DistanceFromHome]]&lt;=5,"1 to 5",IF(HR_Data[[#This Row],[DistanceFromHome]]&lt;=10,"6 to 10",IF(HR_Data[[#This Row],[DistanceFromHome]]&lt;=20,"11 to 20","21 to 29")))</f>
        <v>1 to 5</v>
      </c>
      <c r="AR106" s="1">
        <f>IF(HR_Data[[#This Row],[DistanceFromHome]]&lt;=5,1,IF(HR_Data[[#This Row],[DistanceFromHome]]&lt;=10,2,IF(HR_Data[[#This Row],[DistanceFromHome]]&lt;=20,3,4)))</f>
        <v>1</v>
      </c>
      <c r="AS106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06" s="1">
        <f>IF(HR_Data[[#This Row],[TotalWorkingYears]]&lt;=5,1,IF(HR_Data[[#This Row],[TotalWorkingYears]]&lt;=10,2,IF(HR_Data[[#This Row],[TotalWorkingYears]]&lt;=20,3,4)))</f>
        <v>3</v>
      </c>
    </row>
    <row r="107" spans="1:46" x14ac:dyDescent="0.25">
      <c r="A107">
        <v>59</v>
      </c>
      <c r="B107" t="s">
        <v>36</v>
      </c>
      <c r="C107" t="s">
        <v>48</v>
      </c>
      <c r="D107" t="s">
        <v>54</v>
      </c>
      <c r="E107">
        <v>2</v>
      </c>
      <c r="F107">
        <v>4</v>
      </c>
      <c r="G107" t="s">
        <v>54</v>
      </c>
      <c r="H107">
        <v>140</v>
      </c>
      <c r="I107">
        <v>3</v>
      </c>
      <c r="J107" t="s">
        <v>33</v>
      </c>
      <c r="K107">
        <v>2</v>
      </c>
      <c r="L107">
        <v>5</v>
      </c>
      <c r="M107" t="s">
        <v>49</v>
      </c>
      <c r="N107">
        <v>4</v>
      </c>
      <c r="O107" t="s">
        <v>41</v>
      </c>
      <c r="P107">
        <v>18844</v>
      </c>
      <c r="Q107">
        <v>9</v>
      </c>
      <c r="R107" t="s">
        <v>36</v>
      </c>
      <c r="S107">
        <v>21</v>
      </c>
      <c r="T107">
        <v>4</v>
      </c>
      <c r="U107">
        <v>4</v>
      </c>
      <c r="V107">
        <v>1</v>
      </c>
      <c r="W107">
        <v>30</v>
      </c>
      <c r="X107">
        <v>3</v>
      </c>
      <c r="Y107">
        <v>3</v>
      </c>
      <c r="Z107">
        <v>3</v>
      </c>
      <c r="AA107">
        <v>2</v>
      </c>
      <c r="AB107">
        <v>2</v>
      </c>
      <c r="AC107">
        <v>2</v>
      </c>
      <c r="AD107">
        <f>IF(HR_Data[[#This Row],[Attrition]]="Yes",1,0)</f>
        <v>0</v>
      </c>
      <c r="AE107" t="str">
        <f>IF(HR_Data[[#This Row],[Age]]&lt;=25,"18-25",IF(HR_Data[[#This Row],[Age]]&lt;=35,"26-35",IF(HR_Data[[#This Row],[Age]]&lt;=45,"36-45",IF(HR_Data[[#This Row],[Age]]&lt;=55,"46-55","55+"))))</f>
        <v>55+</v>
      </c>
      <c r="AF107">
        <f>IF(HR_Data[[#This Row],[Age]]&lt;=25,1,IF(HR_Data[[#This Row],[Age]]&lt;=35,2,IF(HR_Data[[#This Row],[Age]]&lt;=45,3,IF(HR_Data[[#This Row],[Age]]&lt;=55,4,5))))</f>
        <v>5</v>
      </c>
      <c r="AG107" s="1" t="str">
        <f>IF(HR_Data[[#This Row],[MonthlyIncome]]&lt;3000,"&lt;3K",IF(HR_Data[[#This Row],[MonthlyIncome]]&lt;6000,"3K-6K",IF(HR_Data[[#This Row],[MonthlyIncome]]&lt;10000,"6K-10K","10K+")))</f>
        <v>10K+</v>
      </c>
      <c r="AH107" s="1">
        <f>IF(HR_Data[[#This Row],[MonthlyIncome]]&lt;3000,1,IF(HR_Data[[#This Row],[MonthlyIncome]]&lt;6000,2,IF(HR_Data[[#This Row],[MonthlyIncome]]&lt;10000,3,4)))</f>
        <v>4</v>
      </c>
      <c r="AI107" s="1" t="str">
        <f>IF(HR_Data[[#This Row],[YearsAtCompany]]&lt;=2,"0-2 Yrs",IF(HR_Data[[#This Row],[YearsAtCompany]]&lt;=5,"3-5 Yrs",IF(HR_Data[[#This Row],[YearsAtCompany]]&lt;=10,"6-10 Yrs","10+ Yrs")))</f>
        <v>3-5 Yrs</v>
      </c>
      <c r="AJ107" s="1">
        <f>IF(HR_Data[[#This Row],[YearsAtCompany]]&lt;=2,1,IF(HR_Data[[#This Row],[YearsAtCompany]]&lt;=5,2,IF(HR_Data[[#This Row],[YearsAtCompany]]&lt;=10,3,4)))</f>
        <v>2</v>
      </c>
      <c r="AK107" s="1" t="str">
        <f>CHOOSE(HR_Data[[#This Row],[Education]],"Below College","College","Bachelor","Master","Doctor")</f>
        <v>Master</v>
      </c>
      <c r="AL107" s="1" t="str">
        <f>CHOOSE(HR_Data[[#This Row],[JobSatisfaction]],"Low","Medium","High","Very High")</f>
        <v>Very High</v>
      </c>
      <c r="AM107" s="1" t="str">
        <f>CHOOSE(HR_Data[[#This Row],[EnvironmentSatisfaction]],"Low","Medium","High","Very High")</f>
        <v>High</v>
      </c>
      <c r="AN107" s="1" t="str">
        <f>CHOOSE(HR_Data[[#This Row],[WorkLifeBalance]],"Bad","Good","Better","Best")</f>
        <v>Better</v>
      </c>
      <c r="AO107" s="1" t="str">
        <f>IF(HR_Data[[#This Row],[PercentSalaryHike]]&lt;=13,"11-13%",IF(HR_Data[[#This Row],[PercentSalaryHike]]&lt;=16,"14-16%",IF(HR_Data[[#This Row],[PercentSalaryHike]]&lt;=19,"17-19%","20-25%")))</f>
        <v>20-25%</v>
      </c>
      <c r="AP107" s="1">
        <f>IF(HR_Data[[#This Row],[PercentSalaryHike]]&lt;=13,1,IF(HR_Data[[#This Row],[PercentSalaryHike]]&lt;=16,2,IF(HR_Data[[#This Row],[PercentSalaryHike]]&lt;=19,3,4)))</f>
        <v>4</v>
      </c>
      <c r="AQ107" s="1" t="str">
        <f>IF(HR_Data[[#This Row],[DistanceFromHome]]&lt;=5,"1 to 5",IF(HR_Data[[#This Row],[DistanceFromHome]]&lt;=10,"6 to 10",IF(HR_Data[[#This Row],[DistanceFromHome]]&lt;=20,"11 to 20","21 to 29")))</f>
        <v>1 to 5</v>
      </c>
      <c r="AR107" s="1">
        <f>IF(HR_Data[[#This Row],[DistanceFromHome]]&lt;=5,1,IF(HR_Data[[#This Row],[DistanceFromHome]]&lt;=10,2,IF(HR_Data[[#This Row],[DistanceFromHome]]&lt;=20,3,4)))</f>
        <v>1</v>
      </c>
      <c r="AS107" s="1" t="str">
        <f>IF(HR_Data[[#This Row],[TotalWorkingYears]]&lt;=5,"0-5 Yrs",IF(HR_Data[[#This Row],[TotalWorkingYears]]&lt;=10,"6-10 Yrs",IF(HR_Data[[#This Row],[TotalWorkingYears]]&lt;=20,"11-20 Yrs","20+ Yrs")))</f>
        <v>20+ Yrs</v>
      </c>
      <c r="AT107" s="1">
        <f>IF(HR_Data[[#This Row],[TotalWorkingYears]]&lt;=5,1,IF(HR_Data[[#This Row],[TotalWorkingYears]]&lt;=10,2,IF(HR_Data[[#This Row],[TotalWorkingYears]]&lt;=20,3,4)))</f>
        <v>4</v>
      </c>
    </row>
    <row r="108" spans="1:46" x14ac:dyDescent="0.25">
      <c r="A108">
        <v>50</v>
      </c>
      <c r="B108" t="s">
        <v>36</v>
      </c>
      <c r="C108" t="s">
        <v>37</v>
      </c>
      <c r="D108" t="s">
        <v>38</v>
      </c>
      <c r="E108">
        <v>1</v>
      </c>
      <c r="F108">
        <v>3</v>
      </c>
      <c r="G108" t="s">
        <v>32</v>
      </c>
      <c r="H108">
        <v>141</v>
      </c>
      <c r="I108">
        <v>1</v>
      </c>
      <c r="J108" t="s">
        <v>33</v>
      </c>
      <c r="K108">
        <v>3</v>
      </c>
      <c r="L108">
        <v>5</v>
      </c>
      <c r="M108" t="s">
        <v>51</v>
      </c>
      <c r="N108">
        <v>2</v>
      </c>
      <c r="O108" t="s">
        <v>41</v>
      </c>
      <c r="P108">
        <v>18172</v>
      </c>
      <c r="Q108">
        <v>3</v>
      </c>
      <c r="R108" t="s">
        <v>29</v>
      </c>
      <c r="S108">
        <v>19</v>
      </c>
      <c r="T108">
        <v>3</v>
      </c>
      <c r="U108">
        <v>1</v>
      </c>
      <c r="V108">
        <v>0</v>
      </c>
      <c r="W108">
        <v>28</v>
      </c>
      <c r="X108">
        <v>1</v>
      </c>
      <c r="Y108">
        <v>2</v>
      </c>
      <c r="Z108">
        <v>8</v>
      </c>
      <c r="AA108">
        <v>3</v>
      </c>
      <c r="AB108">
        <v>0</v>
      </c>
      <c r="AC108">
        <v>7</v>
      </c>
      <c r="AD108">
        <f>IF(HR_Data[[#This Row],[Attrition]]="Yes",1,0)</f>
        <v>0</v>
      </c>
      <c r="AE108" t="str">
        <f>IF(HR_Data[[#This Row],[Age]]&lt;=25,"18-25",IF(HR_Data[[#This Row],[Age]]&lt;=35,"26-35",IF(HR_Data[[#This Row],[Age]]&lt;=45,"36-45",IF(HR_Data[[#This Row],[Age]]&lt;=55,"46-55","55+"))))</f>
        <v>46-55</v>
      </c>
      <c r="AF108">
        <f>IF(HR_Data[[#This Row],[Age]]&lt;=25,1,IF(HR_Data[[#This Row],[Age]]&lt;=35,2,IF(HR_Data[[#This Row],[Age]]&lt;=45,3,IF(HR_Data[[#This Row],[Age]]&lt;=55,4,5))))</f>
        <v>4</v>
      </c>
      <c r="AG108" s="1" t="str">
        <f>IF(HR_Data[[#This Row],[MonthlyIncome]]&lt;3000,"&lt;3K",IF(HR_Data[[#This Row],[MonthlyIncome]]&lt;6000,"3K-6K",IF(HR_Data[[#This Row],[MonthlyIncome]]&lt;10000,"6K-10K","10K+")))</f>
        <v>10K+</v>
      </c>
      <c r="AH108" s="1">
        <f>IF(HR_Data[[#This Row],[MonthlyIncome]]&lt;3000,1,IF(HR_Data[[#This Row],[MonthlyIncome]]&lt;6000,2,IF(HR_Data[[#This Row],[MonthlyIncome]]&lt;10000,3,4)))</f>
        <v>4</v>
      </c>
      <c r="AI108" s="1" t="str">
        <f>IF(HR_Data[[#This Row],[YearsAtCompany]]&lt;=2,"0-2 Yrs",IF(HR_Data[[#This Row],[YearsAtCompany]]&lt;=5,"3-5 Yrs",IF(HR_Data[[#This Row],[YearsAtCompany]]&lt;=10,"6-10 Yrs","10+ Yrs")))</f>
        <v>6-10 Yrs</v>
      </c>
      <c r="AJ108" s="1">
        <f>IF(HR_Data[[#This Row],[YearsAtCompany]]&lt;=2,1,IF(HR_Data[[#This Row],[YearsAtCompany]]&lt;=5,2,IF(HR_Data[[#This Row],[YearsAtCompany]]&lt;=10,3,4)))</f>
        <v>3</v>
      </c>
      <c r="AK108" s="1" t="str">
        <f>CHOOSE(HR_Data[[#This Row],[Education]],"Below College","College","Bachelor","Master","Doctor")</f>
        <v>Bachelor</v>
      </c>
      <c r="AL108" s="1" t="str">
        <f>CHOOSE(HR_Data[[#This Row],[JobSatisfaction]],"Low","Medium","High","Very High")</f>
        <v>Medium</v>
      </c>
      <c r="AM108" s="1" t="str">
        <f>CHOOSE(HR_Data[[#This Row],[EnvironmentSatisfaction]],"Low","Medium","High","Very High")</f>
        <v>Low</v>
      </c>
      <c r="AN108" s="1" t="str">
        <f>CHOOSE(HR_Data[[#This Row],[WorkLifeBalance]],"Bad","Good","Better","Best")</f>
        <v>Good</v>
      </c>
      <c r="AO108" s="1" t="str">
        <f>IF(HR_Data[[#This Row],[PercentSalaryHike]]&lt;=13,"11-13%",IF(HR_Data[[#This Row],[PercentSalaryHike]]&lt;=16,"14-16%",IF(HR_Data[[#This Row],[PercentSalaryHike]]&lt;=19,"17-19%","20-25%")))</f>
        <v>17-19%</v>
      </c>
      <c r="AP108" s="1">
        <f>IF(HR_Data[[#This Row],[PercentSalaryHike]]&lt;=13,1,IF(HR_Data[[#This Row],[PercentSalaryHike]]&lt;=16,2,IF(HR_Data[[#This Row],[PercentSalaryHike]]&lt;=19,3,4)))</f>
        <v>3</v>
      </c>
      <c r="AQ108" s="1" t="str">
        <f>IF(HR_Data[[#This Row],[DistanceFromHome]]&lt;=5,"1 to 5",IF(HR_Data[[#This Row],[DistanceFromHome]]&lt;=10,"6 to 10",IF(HR_Data[[#This Row],[DistanceFromHome]]&lt;=20,"11 to 20","21 to 29")))</f>
        <v>1 to 5</v>
      </c>
      <c r="AR108" s="1">
        <f>IF(HR_Data[[#This Row],[DistanceFromHome]]&lt;=5,1,IF(HR_Data[[#This Row],[DistanceFromHome]]&lt;=10,2,IF(HR_Data[[#This Row],[DistanceFromHome]]&lt;=20,3,4)))</f>
        <v>1</v>
      </c>
      <c r="AS108" s="1" t="str">
        <f>IF(HR_Data[[#This Row],[TotalWorkingYears]]&lt;=5,"0-5 Yrs",IF(HR_Data[[#This Row],[TotalWorkingYears]]&lt;=10,"6-10 Yrs",IF(HR_Data[[#This Row],[TotalWorkingYears]]&lt;=20,"11-20 Yrs","20+ Yrs")))</f>
        <v>20+ Yrs</v>
      </c>
      <c r="AT108" s="1">
        <f>IF(HR_Data[[#This Row],[TotalWorkingYears]]&lt;=5,1,IF(HR_Data[[#This Row],[TotalWorkingYears]]&lt;=10,2,IF(HR_Data[[#This Row],[TotalWorkingYears]]&lt;=20,3,4)))</f>
        <v>4</v>
      </c>
    </row>
    <row r="109" spans="1:46" x14ac:dyDescent="0.25">
      <c r="A109">
        <v>25</v>
      </c>
      <c r="B109" t="s">
        <v>29</v>
      </c>
      <c r="C109" t="s">
        <v>30</v>
      </c>
      <c r="D109" t="s">
        <v>31</v>
      </c>
      <c r="E109">
        <v>5</v>
      </c>
      <c r="F109">
        <v>3</v>
      </c>
      <c r="G109" t="s">
        <v>52</v>
      </c>
      <c r="H109">
        <v>142</v>
      </c>
      <c r="I109">
        <v>3</v>
      </c>
      <c r="J109" t="s">
        <v>39</v>
      </c>
      <c r="K109">
        <v>2</v>
      </c>
      <c r="L109">
        <v>2</v>
      </c>
      <c r="M109" t="s">
        <v>34</v>
      </c>
      <c r="N109">
        <v>3</v>
      </c>
      <c r="O109" t="s">
        <v>35</v>
      </c>
      <c r="P109">
        <v>5744</v>
      </c>
      <c r="Q109">
        <v>1</v>
      </c>
      <c r="R109" t="s">
        <v>29</v>
      </c>
      <c r="S109">
        <v>11</v>
      </c>
      <c r="T109">
        <v>3</v>
      </c>
      <c r="U109">
        <v>4</v>
      </c>
      <c r="V109">
        <v>0</v>
      </c>
      <c r="W109">
        <v>6</v>
      </c>
      <c r="X109">
        <v>1</v>
      </c>
      <c r="Y109">
        <v>3</v>
      </c>
      <c r="Z109">
        <v>6</v>
      </c>
      <c r="AA109">
        <v>4</v>
      </c>
      <c r="AB109">
        <v>0</v>
      </c>
      <c r="AC109">
        <v>3</v>
      </c>
      <c r="AD109">
        <f>IF(HR_Data[[#This Row],[Attrition]]="Yes",1,0)</f>
        <v>1</v>
      </c>
      <c r="AE109" t="str">
        <f>IF(HR_Data[[#This Row],[Age]]&lt;=25,"18-25",IF(HR_Data[[#This Row],[Age]]&lt;=35,"26-35",IF(HR_Data[[#This Row],[Age]]&lt;=45,"36-45",IF(HR_Data[[#This Row],[Age]]&lt;=55,"46-55","55+"))))</f>
        <v>18-25</v>
      </c>
      <c r="AF109">
        <f>IF(HR_Data[[#This Row],[Age]]&lt;=25,1,IF(HR_Data[[#This Row],[Age]]&lt;=35,2,IF(HR_Data[[#This Row],[Age]]&lt;=45,3,IF(HR_Data[[#This Row],[Age]]&lt;=55,4,5))))</f>
        <v>1</v>
      </c>
      <c r="AG109" s="1" t="str">
        <f>IF(HR_Data[[#This Row],[MonthlyIncome]]&lt;3000,"&lt;3K",IF(HR_Data[[#This Row],[MonthlyIncome]]&lt;6000,"3K-6K",IF(HR_Data[[#This Row],[MonthlyIncome]]&lt;10000,"6K-10K","10K+")))</f>
        <v>3K-6K</v>
      </c>
      <c r="AH109" s="1">
        <f>IF(HR_Data[[#This Row],[MonthlyIncome]]&lt;3000,1,IF(HR_Data[[#This Row],[MonthlyIncome]]&lt;6000,2,IF(HR_Data[[#This Row],[MonthlyIncome]]&lt;10000,3,4)))</f>
        <v>2</v>
      </c>
      <c r="AI109" s="1" t="str">
        <f>IF(HR_Data[[#This Row],[YearsAtCompany]]&lt;=2,"0-2 Yrs",IF(HR_Data[[#This Row],[YearsAtCompany]]&lt;=5,"3-5 Yrs",IF(HR_Data[[#This Row],[YearsAtCompany]]&lt;=10,"6-10 Yrs","10+ Yrs")))</f>
        <v>6-10 Yrs</v>
      </c>
      <c r="AJ109" s="1">
        <f>IF(HR_Data[[#This Row],[YearsAtCompany]]&lt;=2,1,IF(HR_Data[[#This Row],[YearsAtCompany]]&lt;=5,2,IF(HR_Data[[#This Row],[YearsAtCompany]]&lt;=10,3,4)))</f>
        <v>3</v>
      </c>
      <c r="AK109" s="1" t="str">
        <f>CHOOSE(HR_Data[[#This Row],[Education]],"Below College","College","Bachelor","Master","Doctor")</f>
        <v>Bachelor</v>
      </c>
      <c r="AL109" s="1" t="str">
        <f>CHOOSE(HR_Data[[#This Row],[JobSatisfaction]],"Low","Medium","High","Very High")</f>
        <v>High</v>
      </c>
      <c r="AM109" s="1" t="str">
        <f>CHOOSE(HR_Data[[#This Row],[EnvironmentSatisfaction]],"Low","Medium","High","Very High")</f>
        <v>High</v>
      </c>
      <c r="AN109" s="1" t="str">
        <f>CHOOSE(HR_Data[[#This Row],[WorkLifeBalance]],"Bad","Good","Better","Best")</f>
        <v>Better</v>
      </c>
      <c r="AO109" s="1" t="str">
        <f>IF(HR_Data[[#This Row],[PercentSalaryHike]]&lt;=13,"11-13%",IF(HR_Data[[#This Row],[PercentSalaryHike]]&lt;=16,"14-16%",IF(HR_Data[[#This Row],[PercentSalaryHike]]&lt;=19,"17-19%","20-25%")))</f>
        <v>11-13%</v>
      </c>
      <c r="AP109" s="1">
        <f>IF(HR_Data[[#This Row],[PercentSalaryHike]]&lt;=13,1,IF(HR_Data[[#This Row],[PercentSalaryHike]]&lt;=16,2,IF(HR_Data[[#This Row],[PercentSalaryHike]]&lt;=19,3,4)))</f>
        <v>1</v>
      </c>
      <c r="AQ109" s="1" t="str">
        <f>IF(HR_Data[[#This Row],[DistanceFromHome]]&lt;=5,"1 to 5",IF(HR_Data[[#This Row],[DistanceFromHome]]&lt;=10,"6 to 10",IF(HR_Data[[#This Row],[DistanceFromHome]]&lt;=20,"11 to 20","21 to 29")))</f>
        <v>1 to 5</v>
      </c>
      <c r="AR109" s="1">
        <f>IF(HR_Data[[#This Row],[DistanceFromHome]]&lt;=5,1,IF(HR_Data[[#This Row],[DistanceFromHome]]&lt;=10,2,IF(HR_Data[[#This Row],[DistanceFromHome]]&lt;=20,3,4)))</f>
        <v>1</v>
      </c>
      <c r="AS109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09" s="1">
        <f>IF(HR_Data[[#This Row],[TotalWorkingYears]]&lt;=5,1,IF(HR_Data[[#This Row],[TotalWorkingYears]]&lt;=10,2,IF(HR_Data[[#This Row],[TotalWorkingYears]]&lt;=20,3,4)))</f>
        <v>2</v>
      </c>
    </row>
    <row r="110" spans="1:46" x14ac:dyDescent="0.25">
      <c r="A110">
        <v>25</v>
      </c>
      <c r="B110" t="s">
        <v>36</v>
      </c>
      <c r="C110" t="s">
        <v>30</v>
      </c>
      <c r="D110" t="s">
        <v>38</v>
      </c>
      <c r="E110">
        <v>7</v>
      </c>
      <c r="F110">
        <v>1</v>
      </c>
      <c r="G110" t="s">
        <v>44</v>
      </c>
      <c r="H110">
        <v>143</v>
      </c>
      <c r="I110">
        <v>4</v>
      </c>
      <c r="J110" t="s">
        <v>39</v>
      </c>
      <c r="K110">
        <v>2</v>
      </c>
      <c r="L110">
        <v>1</v>
      </c>
      <c r="M110" t="s">
        <v>40</v>
      </c>
      <c r="N110">
        <v>4</v>
      </c>
      <c r="O110" t="s">
        <v>41</v>
      </c>
      <c r="P110">
        <v>2889</v>
      </c>
      <c r="Q110">
        <v>1</v>
      </c>
      <c r="R110" t="s">
        <v>36</v>
      </c>
      <c r="S110">
        <v>11</v>
      </c>
      <c r="T110">
        <v>3</v>
      </c>
      <c r="U110">
        <v>3</v>
      </c>
      <c r="V110">
        <v>2</v>
      </c>
      <c r="W110">
        <v>2</v>
      </c>
      <c r="X110">
        <v>2</v>
      </c>
      <c r="Y110">
        <v>3</v>
      </c>
      <c r="Z110">
        <v>2</v>
      </c>
      <c r="AA110">
        <v>2</v>
      </c>
      <c r="AB110">
        <v>2</v>
      </c>
      <c r="AC110">
        <v>1</v>
      </c>
      <c r="AD110">
        <f>IF(HR_Data[[#This Row],[Attrition]]="Yes",1,0)</f>
        <v>0</v>
      </c>
      <c r="AE110" t="str">
        <f>IF(HR_Data[[#This Row],[Age]]&lt;=25,"18-25",IF(HR_Data[[#This Row],[Age]]&lt;=35,"26-35",IF(HR_Data[[#This Row],[Age]]&lt;=45,"36-45",IF(HR_Data[[#This Row],[Age]]&lt;=55,"46-55","55+"))))</f>
        <v>18-25</v>
      </c>
      <c r="AF110">
        <f>IF(HR_Data[[#This Row],[Age]]&lt;=25,1,IF(HR_Data[[#This Row],[Age]]&lt;=35,2,IF(HR_Data[[#This Row],[Age]]&lt;=45,3,IF(HR_Data[[#This Row],[Age]]&lt;=55,4,5))))</f>
        <v>1</v>
      </c>
      <c r="AG110" s="1" t="str">
        <f>IF(HR_Data[[#This Row],[MonthlyIncome]]&lt;3000,"&lt;3K",IF(HR_Data[[#This Row],[MonthlyIncome]]&lt;6000,"3K-6K",IF(HR_Data[[#This Row],[MonthlyIncome]]&lt;10000,"6K-10K","10K+")))</f>
        <v>&lt;3K</v>
      </c>
      <c r="AH110" s="1">
        <f>IF(HR_Data[[#This Row],[MonthlyIncome]]&lt;3000,1,IF(HR_Data[[#This Row],[MonthlyIncome]]&lt;6000,2,IF(HR_Data[[#This Row],[MonthlyIncome]]&lt;10000,3,4)))</f>
        <v>1</v>
      </c>
      <c r="AI110" s="1" t="str">
        <f>IF(HR_Data[[#This Row],[YearsAtCompany]]&lt;=2,"0-2 Yrs",IF(HR_Data[[#This Row],[YearsAtCompany]]&lt;=5,"3-5 Yrs",IF(HR_Data[[#This Row],[YearsAtCompany]]&lt;=10,"6-10 Yrs","10+ Yrs")))</f>
        <v>0-2 Yrs</v>
      </c>
      <c r="AJ110" s="1">
        <f>IF(HR_Data[[#This Row],[YearsAtCompany]]&lt;=2,1,IF(HR_Data[[#This Row],[YearsAtCompany]]&lt;=5,2,IF(HR_Data[[#This Row],[YearsAtCompany]]&lt;=10,3,4)))</f>
        <v>1</v>
      </c>
      <c r="AK110" s="1" t="str">
        <f>CHOOSE(HR_Data[[#This Row],[Education]],"Below College","College","Bachelor","Master","Doctor")</f>
        <v>Below College</v>
      </c>
      <c r="AL110" s="1" t="str">
        <f>CHOOSE(HR_Data[[#This Row],[JobSatisfaction]],"Low","Medium","High","Very High")</f>
        <v>Very High</v>
      </c>
      <c r="AM110" s="1" t="str">
        <f>CHOOSE(HR_Data[[#This Row],[EnvironmentSatisfaction]],"Low","Medium","High","Very High")</f>
        <v>Very High</v>
      </c>
      <c r="AN110" s="1" t="str">
        <f>CHOOSE(HR_Data[[#This Row],[WorkLifeBalance]],"Bad","Good","Better","Best")</f>
        <v>Better</v>
      </c>
      <c r="AO110" s="1" t="str">
        <f>IF(HR_Data[[#This Row],[PercentSalaryHike]]&lt;=13,"11-13%",IF(HR_Data[[#This Row],[PercentSalaryHike]]&lt;=16,"14-16%",IF(HR_Data[[#This Row],[PercentSalaryHike]]&lt;=19,"17-19%","20-25%")))</f>
        <v>11-13%</v>
      </c>
      <c r="AP110" s="1">
        <f>IF(HR_Data[[#This Row],[PercentSalaryHike]]&lt;=13,1,IF(HR_Data[[#This Row],[PercentSalaryHike]]&lt;=16,2,IF(HR_Data[[#This Row],[PercentSalaryHike]]&lt;=19,3,4)))</f>
        <v>1</v>
      </c>
      <c r="AQ110" s="1" t="str">
        <f>IF(HR_Data[[#This Row],[DistanceFromHome]]&lt;=5,"1 to 5",IF(HR_Data[[#This Row],[DistanceFromHome]]&lt;=10,"6 to 10",IF(HR_Data[[#This Row],[DistanceFromHome]]&lt;=20,"11 to 20","21 to 29")))</f>
        <v>6 to 10</v>
      </c>
      <c r="AR110" s="1">
        <f>IF(HR_Data[[#This Row],[DistanceFromHome]]&lt;=5,1,IF(HR_Data[[#This Row],[DistanceFromHome]]&lt;=10,2,IF(HR_Data[[#This Row],[DistanceFromHome]]&lt;=20,3,4)))</f>
        <v>2</v>
      </c>
      <c r="AS110" s="1" t="str">
        <f>IF(HR_Data[[#This Row],[TotalWorkingYears]]&lt;=5,"0-5 Yrs",IF(HR_Data[[#This Row],[TotalWorkingYears]]&lt;=10,"6-10 Yrs",IF(HR_Data[[#This Row],[TotalWorkingYears]]&lt;=20,"11-20 Yrs","20+ Yrs")))</f>
        <v>0-5 Yrs</v>
      </c>
      <c r="AT110" s="1">
        <f>IF(HR_Data[[#This Row],[TotalWorkingYears]]&lt;=5,1,IF(HR_Data[[#This Row],[TotalWorkingYears]]&lt;=10,2,IF(HR_Data[[#This Row],[TotalWorkingYears]]&lt;=20,3,4)))</f>
        <v>1</v>
      </c>
    </row>
    <row r="111" spans="1:46" x14ac:dyDescent="0.25">
      <c r="A111">
        <v>22</v>
      </c>
      <c r="B111" t="s">
        <v>36</v>
      </c>
      <c r="C111" t="s">
        <v>30</v>
      </c>
      <c r="D111" t="s">
        <v>38</v>
      </c>
      <c r="E111">
        <v>15</v>
      </c>
      <c r="F111">
        <v>3</v>
      </c>
      <c r="G111" t="s">
        <v>44</v>
      </c>
      <c r="H111">
        <v>144</v>
      </c>
      <c r="I111">
        <v>2</v>
      </c>
      <c r="J111" t="s">
        <v>33</v>
      </c>
      <c r="K111">
        <v>3</v>
      </c>
      <c r="L111">
        <v>1</v>
      </c>
      <c r="M111" t="s">
        <v>43</v>
      </c>
      <c r="N111">
        <v>4</v>
      </c>
      <c r="O111" t="s">
        <v>35</v>
      </c>
      <c r="P111">
        <v>2871</v>
      </c>
      <c r="Q111">
        <v>1</v>
      </c>
      <c r="R111" t="s">
        <v>36</v>
      </c>
      <c r="S111">
        <v>15</v>
      </c>
      <c r="T111">
        <v>3</v>
      </c>
      <c r="U111">
        <v>3</v>
      </c>
      <c r="V111">
        <v>0</v>
      </c>
      <c r="W111">
        <v>1</v>
      </c>
      <c r="X111">
        <v>5</v>
      </c>
      <c r="Y111">
        <v>3</v>
      </c>
      <c r="Z111">
        <v>0</v>
      </c>
      <c r="AA111">
        <v>0</v>
      </c>
      <c r="AB111">
        <v>0</v>
      </c>
      <c r="AC111">
        <v>0</v>
      </c>
      <c r="AD111">
        <f>IF(HR_Data[[#This Row],[Attrition]]="Yes",1,0)</f>
        <v>0</v>
      </c>
      <c r="AE111" t="str">
        <f>IF(HR_Data[[#This Row],[Age]]&lt;=25,"18-25",IF(HR_Data[[#This Row],[Age]]&lt;=35,"26-35",IF(HR_Data[[#This Row],[Age]]&lt;=45,"36-45",IF(HR_Data[[#This Row],[Age]]&lt;=55,"46-55","55+"))))</f>
        <v>18-25</v>
      </c>
      <c r="AF111">
        <f>IF(HR_Data[[#This Row],[Age]]&lt;=25,1,IF(HR_Data[[#This Row],[Age]]&lt;=35,2,IF(HR_Data[[#This Row],[Age]]&lt;=45,3,IF(HR_Data[[#This Row],[Age]]&lt;=55,4,5))))</f>
        <v>1</v>
      </c>
      <c r="AG111" s="1" t="str">
        <f>IF(HR_Data[[#This Row],[MonthlyIncome]]&lt;3000,"&lt;3K",IF(HR_Data[[#This Row],[MonthlyIncome]]&lt;6000,"3K-6K",IF(HR_Data[[#This Row],[MonthlyIncome]]&lt;10000,"6K-10K","10K+")))</f>
        <v>&lt;3K</v>
      </c>
      <c r="AH111" s="1">
        <f>IF(HR_Data[[#This Row],[MonthlyIncome]]&lt;3000,1,IF(HR_Data[[#This Row],[MonthlyIncome]]&lt;6000,2,IF(HR_Data[[#This Row],[MonthlyIncome]]&lt;10000,3,4)))</f>
        <v>1</v>
      </c>
      <c r="AI111" s="1" t="str">
        <f>IF(HR_Data[[#This Row],[YearsAtCompany]]&lt;=2,"0-2 Yrs",IF(HR_Data[[#This Row],[YearsAtCompany]]&lt;=5,"3-5 Yrs",IF(HR_Data[[#This Row],[YearsAtCompany]]&lt;=10,"6-10 Yrs","10+ Yrs")))</f>
        <v>0-2 Yrs</v>
      </c>
      <c r="AJ111" s="1">
        <f>IF(HR_Data[[#This Row],[YearsAtCompany]]&lt;=2,1,IF(HR_Data[[#This Row],[YearsAtCompany]]&lt;=5,2,IF(HR_Data[[#This Row],[YearsAtCompany]]&lt;=10,3,4)))</f>
        <v>1</v>
      </c>
      <c r="AK111" s="1" t="str">
        <f>CHOOSE(HR_Data[[#This Row],[Education]],"Below College","College","Bachelor","Master","Doctor")</f>
        <v>Bachelor</v>
      </c>
      <c r="AL111" s="1" t="str">
        <f>CHOOSE(HR_Data[[#This Row],[JobSatisfaction]],"Low","Medium","High","Very High")</f>
        <v>Very High</v>
      </c>
      <c r="AM111" s="1" t="str">
        <f>CHOOSE(HR_Data[[#This Row],[EnvironmentSatisfaction]],"Low","Medium","High","Very High")</f>
        <v>Medium</v>
      </c>
      <c r="AN111" s="1" t="str">
        <f>CHOOSE(HR_Data[[#This Row],[WorkLifeBalance]],"Bad","Good","Better","Best")</f>
        <v>Better</v>
      </c>
      <c r="AO111" s="1" t="str">
        <f>IF(HR_Data[[#This Row],[PercentSalaryHike]]&lt;=13,"11-13%",IF(HR_Data[[#This Row],[PercentSalaryHike]]&lt;=16,"14-16%",IF(HR_Data[[#This Row],[PercentSalaryHike]]&lt;=19,"17-19%","20-25%")))</f>
        <v>14-16%</v>
      </c>
      <c r="AP111" s="1">
        <f>IF(HR_Data[[#This Row],[PercentSalaryHike]]&lt;=13,1,IF(HR_Data[[#This Row],[PercentSalaryHike]]&lt;=16,2,IF(HR_Data[[#This Row],[PercentSalaryHike]]&lt;=19,3,4)))</f>
        <v>2</v>
      </c>
      <c r="AQ111" s="1" t="str">
        <f>IF(HR_Data[[#This Row],[DistanceFromHome]]&lt;=5,"1 to 5",IF(HR_Data[[#This Row],[DistanceFromHome]]&lt;=10,"6 to 10",IF(HR_Data[[#This Row],[DistanceFromHome]]&lt;=20,"11 to 20","21 to 29")))</f>
        <v>11 to 20</v>
      </c>
      <c r="AR111" s="1">
        <f>IF(HR_Data[[#This Row],[DistanceFromHome]]&lt;=5,1,IF(HR_Data[[#This Row],[DistanceFromHome]]&lt;=10,2,IF(HR_Data[[#This Row],[DistanceFromHome]]&lt;=20,3,4)))</f>
        <v>3</v>
      </c>
      <c r="AS111" s="1" t="str">
        <f>IF(HR_Data[[#This Row],[TotalWorkingYears]]&lt;=5,"0-5 Yrs",IF(HR_Data[[#This Row],[TotalWorkingYears]]&lt;=10,"6-10 Yrs",IF(HR_Data[[#This Row],[TotalWorkingYears]]&lt;=20,"11-20 Yrs","20+ Yrs")))</f>
        <v>0-5 Yrs</v>
      </c>
      <c r="AT111" s="1">
        <f>IF(HR_Data[[#This Row],[TotalWorkingYears]]&lt;=5,1,IF(HR_Data[[#This Row],[TotalWorkingYears]]&lt;=10,2,IF(HR_Data[[#This Row],[TotalWorkingYears]]&lt;=20,3,4)))</f>
        <v>1</v>
      </c>
    </row>
    <row r="112" spans="1:46" x14ac:dyDescent="0.25">
      <c r="A112">
        <v>51</v>
      </c>
      <c r="B112" t="s">
        <v>36</v>
      </c>
      <c r="C112" t="s">
        <v>37</v>
      </c>
      <c r="D112" t="s">
        <v>38</v>
      </c>
      <c r="E112">
        <v>1</v>
      </c>
      <c r="F112">
        <v>4</v>
      </c>
      <c r="G112" t="s">
        <v>44</v>
      </c>
      <c r="H112">
        <v>145</v>
      </c>
      <c r="I112">
        <v>1</v>
      </c>
      <c r="J112" t="s">
        <v>33</v>
      </c>
      <c r="K112">
        <v>2</v>
      </c>
      <c r="L112">
        <v>3</v>
      </c>
      <c r="M112" t="s">
        <v>47</v>
      </c>
      <c r="N112">
        <v>1</v>
      </c>
      <c r="O112" t="s">
        <v>35</v>
      </c>
      <c r="P112">
        <v>7484</v>
      </c>
      <c r="Q112">
        <v>3</v>
      </c>
      <c r="R112" t="s">
        <v>36</v>
      </c>
      <c r="S112">
        <v>20</v>
      </c>
      <c r="T112">
        <v>4</v>
      </c>
      <c r="U112">
        <v>3</v>
      </c>
      <c r="V112">
        <v>0</v>
      </c>
      <c r="W112">
        <v>23</v>
      </c>
      <c r="X112">
        <v>1</v>
      </c>
      <c r="Y112">
        <v>2</v>
      </c>
      <c r="Z112">
        <v>13</v>
      </c>
      <c r="AA112">
        <v>12</v>
      </c>
      <c r="AB112">
        <v>12</v>
      </c>
      <c r="AC112">
        <v>8</v>
      </c>
      <c r="AD112">
        <f>IF(HR_Data[[#This Row],[Attrition]]="Yes",1,0)</f>
        <v>0</v>
      </c>
      <c r="AE112" t="str">
        <f>IF(HR_Data[[#This Row],[Age]]&lt;=25,"18-25",IF(HR_Data[[#This Row],[Age]]&lt;=35,"26-35",IF(HR_Data[[#This Row],[Age]]&lt;=45,"36-45",IF(HR_Data[[#This Row],[Age]]&lt;=55,"46-55","55+"))))</f>
        <v>46-55</v>
      </c>
      <c r="AF112">
        <f>IF(HR_Data[[#This Row],[Age]]&lt;=25,1,IF(HR_Data[[#This Row],[Age]]&lt;=35,2,IF(HR_Data[[#This Row],[Age]]&lt;=45,3,IF(HR_Data[[#This Row],[Age]]&lt;=55,4,5))))</f>
        <v>4</v>
      </c>
      <c r="AG112" s="1" t="str">
        <f>IF(HR_Data[[#This Row],[MonthlyIncome]]&lt;3000,"&lt;3K",IF(HR_Data[[#This Row],[MonthlyIncome]]&lt;6000,"3K-6K",IF(HR_Data[[#This Row],[MonthlyIncome]]&lt;10000,"6K-10K","10K+")))</f>
        <v>6K-10K</v>
      </c>
      <c r="AH112" s="1">
        <f>IF(HR_Data[[#This Row],[MonthlyIncome]]&lt;3000,1,IF(HR_Data[[#This Row],[MonthlyIncome]]&lt;6000,2,IF(HR_Data[[#This Row],[MonthlyIncome]]&lt;10000,3,4)))</f>
        <v>3</v>
      </c>
      <c r="AI112" s="1" t="str">
        <f>IF(HR_Data[[#This Row],[YearsAtCompany]]&lt;=2,"0-2 Yrs",IF(HR_Data[[#This Row],[YearsAtCompany]]&lt;=5,"3-5 Yrs",IF(HR_Data[[#This Row],[YearsAtCompany]]&lt;=10,"6-10 Yrs","10+ Yrs")))</f>
        <v>10+ Yrs</v>
      </c>
      <c r="AJ112" s="1">
        <f>IF(HR_Data[[#This Row],[YearsAtCompany]]&lt;=2,1,IF(HR_Data[[#This Row],[YearsAtCompany]]&lt;=5,2,IF(HR_Data[[#This Row],[YearsAtCompany]]&lt;=10,3,4)))</f>
        <v>4</v>
      </c>
      <c r="AK112" s="1" t="str">
        <f>CHOOSE(HR_Data[[#This Row],[Education]],"Below College","College","Bachelor","Master","Doctor")</f>
        <v>Master</v>
      </c>
      <c r="AL112" s="1" t="str">
        <f>CHOOSE(HR_Data[[#This Row],[JobSatisfaction]],"Low","Medium","High","Very High")</f>
        <v>Low</v>
      </c>
      <c r="AM112" s="1" t="str">
        <f>CHOOSE(HR_Data[[#This Row],[EnvironmentSatisfaction]],"Low","Medium","High","Very High")</f>
        <v>Low</v>
      </c>
      <c r="AN112" s="1" t="str">
        <f>CHOOSE(HR_Data[[#This Row],[WorkLifeBalance]],"Bad","Good","Better","Best")</f>
        <v>Good</v>
      </c>
      <c r="AO112" s="1" t="str">
        <f>IF(HR_Data[[#This Row],[PercentSalaryHike]]&lt;=13,"11-13%",IF(HR_Data[[#This Row],[PercentSalaryHike]]&lt;=16,"14-16%",IF(HR_Data[[#This Row],[PercentSalaryHike]]&lt;=19,"17-19%","20-25%")))</f>
        <v>20-25%</v>
      </c>
      <c r="AP112" s="1">
        <f>IF(HR_Data[[#This Row],[PercentSalaryHike]]&lt;=13,1,IF(HR_Data[[#This Row],[PercentSalaryHike]]&lt;=16,2,IF(HR_Data[[#This Row],[PercentSalaryHike]]&lt;=19,3,4)))</f>
        <v>4</v>
      </c>
      <c r="AQ112" s="1" t="str">
        <f>IF(HR_Data[[#This Row],[DistanceFromHome]]&lt;=5,"1 to 5",IF(HR_Data[[#This Row],[DistanceFromHome]]&lt;=10,"6 to 10",IF(HR_Data[[#This Row],[DistanceFromHome]]&lt;=20,"11 to 20","21 to 29")))</f>
        <v>1 to 5</v>
      </c>
      <c r="AR112" s="1">
        <f>IF(HR_Data[[#This Row],[DistanceFromHome]]&lt;=5,1,IF(HR_Data[[#This Row],[DistanceFromHome]]&lt;=10,2,IF(HR_Data[[#This Row],[DistanceFromHome]]&lt;=20,3,4)))</f>
        <v>1</v>
      </c>
      <c r="AS112" s="1" t="str">
        <f>IF(HR_Data[[#This Row],[TotalWorkingYears]]&lt;=5,"0-5 Yrs",IF(HR_Data[[#This Row],[TotalWorkingYears]]&lt;=10,"6-10 Yrs",IF(HR_Data[[#This Row],[TotalWorkingYears]]&lt;=20,"11-20 Yrs","20+ Yrs")))</f>
        <v>20+ Yrs</v>
      </c>
      <c r="AT112" s="1">
        <f>IF(HR_Data[[#This Row],[TotalWorkingYears]]&lt;=5,1,IF(HR_Data[[#This Row],[TotalWorkingYears]]&lt;=10,2,IF(HR_Data[[#This Row],[TotalWorkingYears]]&lt;=20,3,4)))</f>
        <v>4</v>
      </c>
    </row>
    <row r="113" spans="1:46" x14ac:dyDescent="0.25">
      <c r="A113">
        <v>34</v>
      </c>
      <c r="B113" t="s">
        <v>29</v>
      </c>
      <c r="C113" t="s">
        <v>37</v>
      </c>
      <c r="D113" t="s">
        <v>38</v>
      </c>
      <c r="E113">
        <v>7</v>
      </c>
      <c r="F113">
        <v>3</v>
      </c>
      <c r="G113" t="s">
        <v>32</v>
      </c>
      <c r="H113">
        <v>147</v>
      </c>
      <c r="I113">
        <v>1</v>
      </c>
      <c r="J113" t="s">
        <v>39</v>
      </c>
      <c r="K113">
        <v>1</v>
      </c>
      <c r="L113">
        <v>2</v>
      </c>
      <c r="M113" t="s">
        <v>43</v>
      </c>
      <c r="N113">
        <v>3</v>
      </c>
      <c r="O113" t="s">
        <v>35</v>
      </c>
      <c r="P113">
        <v>6074</v>
      </c>
      <c r="Q113">
        <v>1</v>
      </c>
      <c r="R113" t="s">
        <v>29</v>
      </c>
      <c r="S113">
        <v>24</v>
      </c>
      <c r="T113">
        <v>4</v>
      </c>
      <c r="U113">
        <v>4</v>
      </c>
      <c r="V113">
        <v>0</v>
      </c>
      <c r="W113">
        <v>9</v>
      </c>
      <c r="X113">
        <v>3</v>
      </c>
      <c r="Y113">
        <v>3</v>
      </c>
      <c r="Z113">
        <v>9</v>
      </c>
      <c r="AA113">
        <v>7</v>
      </c>
      <c r="AB113">
        <v>0</v>
      </c>
      <c r="AC113">
        <v>6</v>
      </c>
      <c r="AD113">
        <f>IF(HR_Data[[#This Row],[Attrition]]="Yes",1,0)</f>
        <v>1</v>
      </c>
      <c r="AE113" t="str">
        <f>IF(HR_Data[[#This Row],[Age]]&lt;=25,"18-25",IF(HR_Data[[#This Row],[Age]]&lt;=35,"26-35",IF(HR_Data[[#This Row],[Age]]&lt;=45,"36-45",IF(HR_Data[[#This Row],[Age]]&lt;=55,"46-55","55+"))))</f>
        <v>26-35</v>
      </c>
      <c r="AF113">
        <f>IF(HR_Data[[#This Row],[Age]]&lt;=25,1,IF(HR_Data[[#This Row],[Age]]&lt;=35,2,IF(HR_Data[[#This Row],[Age]]&lt;=45,3,IF(HR_Data[[#This Row],[Age]]&lt;=55,4,5))))</f>
        <v>2</v>
      </c>
      <c r="AG113" s="1" t="str">
        <f>IF(HR_Data[[#This Row],[MonthlyIncome]]&lt;3000,"&lt;3K",IF(HR_Data[[#This Row],[MonthlyIncome]]&lt;6000,"3K-6K",IF(HR_Data[[#This Row],[MonthlyIncome]]&lt;10000,"6K-10K","10K+")))</f>
        <v>6K-10K</v>
      </c>
      <c r="AH113" s="1">
        <f>IF(HR_Data[[#This Row],[MonthlyIncome]]&lt;3000,1,IF(HR_Data[[#This Row],[MonthlyIncome]]&lt;6000,2,IF(HR_Data[[#This Row],[MonthlyIncome]]&lt;10000,3,4)))</f>
        <v>3</v>
      </c>
      <c r="AI113" s="1" t="str">
        <f>IF(HR_Data[[#This Row],[YearsAtCompany]]&lt;=2,"0-2 Yrs",IF(HR_Data[[#This Row],[YearsAtCompany]]&lt;=5,"3-5 Yrs",IF(HR_Data[[#This Row],[YearsAtCompany]]&lt;=10,"6-10 Yrs","10+ Yrs")))</f>
        <v>6-10 Yrs</v>
      </c>
      <c r="AJ113" s="1">
        <f>IF(HR_Data[[#This Row],[YearsAtCompany]]&lt;=2,1,IF(HR_Data[[#This Row],[YearsAtCompany]]&lt;=5,2,IF(HR_Data[[#This Row],[YearsAtCompany]]&lt;=10,3,4)))</f>
        <v>3</v>
      </c>
      <c r="AK113" s="1" t="str">
        <f>CHOOSE(HR_Data[[#This Row],[Education]],"Below College","College","Bachelor","Master","Doctor")</f>
        <v>Bachelor</v>
      </c>
      <c r="AL113" s="1" t="str">
        <f>CHOOSE(HR_Data[[#This Row],[JobSatisfaction]],"Low","Medium","High","Very High")</f>
        <v>High</v>
      </c>
      <c r="AM113" s="1" t="str">
        <f>CHOOSE(HR_Data[[#This Row],[EnvironmentSatisfaction]],"Low","Medium","High","Very High")</f>
        <v>Low</v>
      </c>
      <c r="AN113" s="1" t="str">
        <f>CHOOSE(HR_Data[[#This Row],[WorkLifeBalance]],"Bad","Good","Better","Best")</f>
        <v>Better</v>
      </c>
      <c r="AO113" s="1" t="str">
        <f>IF(HR_Data[[#This Row],[PercentSalaryHike]]&lt;=13,"11-13%",IF(HR_Data[[#This Row],[PercentSalaryHike]]&lt;=16,"14-16%",IF(HR_Data[[#This Row],[PercentSalaryHike]]&lt;=19,"17-19%","20-25%")))</f>
        <v>20-25%</v>
      </c>
      <c r="AP113" s="1">
        <f>IF(HR_Data[[#This Row],[PercentSalaryHike]]&lt;=13,1,IF(HR_Data[[#This Row],[PercentSalaryHike]]&lt;=16,2,IF(HR_Data[[#This Row],[PercentSalaryHike]]&lt;=19,3,4)))</f>
        <v>4</v>
      </c>
      <c r="AQ113" s="1" t="str">
        <f>IF(HR_Data[[#This Row],[DistanceFromHome]]&lt;=5,"1 to 5",IF(HR_Data[[#This Row],[DistanceFromHome]]&lt;=10,"6 to 10",IF(HR_Data[[#This Row],[DistanceFromHome]]&lt;=20,"11 to 20","21 to 29")))</f>
        <v>6 to 10</v>
      </c>
      <c r="AR113" s="1">
        <f>IF(HR_Data[[#This Row],[DistanceFromHome]]&lt;=5,1,IF(HR_Data[[#This Row],[DistanceFromHome]]&lt;=10,2,IF(HR_Data[[#This Row],[DistanceFromHome]]&lt;=20,3,4)))</f>
        <v>2</v>
      </c>
      <c r="AS113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13" s="1">
        <f>IF(HR_Data[[#This Row],[TotalWorkingYears]]&lt;=5,1,IF(HR_Data[[#This Row],[TotalWorkingYears]]&lt;=10,2,IF(HR_Data[[#This Row],[TotalWorkingYears]]&lt;=20,3,4)))</f>
        <v>2</v>
      </c>
    </row>
    <row r="114" spans="1:46" x14ac:dyDescent="0.25">
      <c r="A114">
        <v>54</v>
      </c>
      <c r="B114" t="s">
        <v>36</v>
      </c>
      <c r="C114" t="s">
        <v>48</v>
      </c>
      <c r="D114" t="s">
        <v>54</v>
      </c>
      <c r="E114">
        <v>26</v>
      </c>
      <c r="F114">
        <v>3</v>
      </c>
      <c r="G114" t="s">
        <v>54</v>
      </c>
      <c r="H114">
        <v>148</v>
      </c>
      <c r="I114">
        <v>4</v>
      </c>
      <c r="J114" t="s">
        <v>33</v>
      </c>
      <c r="K114">
        <v>4</v>
      </c>
      <c r="L114">
        <v>4</v>
      </c>
      <c r="M114" t="s">
        <v>49</v>
      </c>
      <c r="N114">
        <v>4</v>
      </c>
      <c r="O114" t="s">
        <v>35</v>
      </c>
      <c r="P114">
        <v>17328</v>
      </c>
      <c r="Q114">
        <v>2</v>
      </c>
      <c r="R114" t="s">
        <v>29</v>
      </c>
      <c r="S114">
        <v>12</v>
      </c>
      <c r="T114">
        <v>3</v>
      </c>
      <c r="U114">
        <v>3</v>
      </c>
      <c r="V114">
        <v>0</v>
      </c>
      <c r="W114">
        <v>23</v>
      </c>
      <c r="X114">
        <v>3</v>
      </c>
      <c r="Y114">
        <v>3</v>
      </c>
      <c r="Z114">
        <v>5</v>
      </c>
      <c r="AA114">
        <v>3</v>
      </c>
      <c r="AB114">
        <v>4</v>
      </c>
      <c r="AC114">
        <v>4</v>
      </c>
      <c r="AD114">
        <f>IF(HR_Data[[#This Row],[Attrition]]="Yes",1,0)</f>
        <v>0</v>
      </c>
      <c r="AE114" t="str">
        <f>IF(HR_Data[[#This Row],[Age]]&lt;=25,"18-25",IF(HR_Data[[#This Row],[Age]]&lt;=35,"26-35",IF(HR_Data[[#This Row],[Age]]&lt;=45,"36-45",IF(HR_Data[[#This Row],[Age]]&lt;=55,"46-55","55+"))))</f>
        <v>46-55</v>
      </c>
      <c r="AF114">
        <f>IF(HR_Data[[#This Row],[Age]]&lt;=25,1,IF(HR_Data[[#This Row],[Age]]&lt;=35,2,IF(HR_Data[[#This Row],[Age]]&lt;=45,3,IF(HR_Data[[#This Row],[Age]]&lt;=55,4,5))))</f>
        <v>4</v>
      </c>
      <c r="AG114" s="1" t="str">
        <f>IF(HR_Data[[#This Row],[MonthlyIncome]]&lt;3000,"&lt;3K",IF(HR_Data[[#This Row],[MonthlyIncome]]&lt;6000,"3K-6K",IF(HR_Data[[#This Row],[MonthlyIncome]]&lt;10000,"6K-10K","10K+")))</f>
        <v>10K+</v>
      </c>
      <c r="AH114" s="1">
        <f>IF(HR_Data[[#This Row],[MonthlyIncome]]&lt;3000,1,IF(HR_Data[[#This Row],[MonthlyIncome]]&lt;6000,2,IF(HR_Data[[#This Row],[MonthlyIncome]]&lt;10000,3,4)))</f>
        <v>4</v>
      </c>
      <c r="AI114" s="1" t="str">
        <f>IF(HR_Data[[#This Row],[YearsAtCompany]]&lt;=2,"0-2 Yrs",IF(HR_Data[[#This Row],[YearsAtCompany]]&lt;=5,"3-5 Yrs",IF(HR_Data[[#This Row],[YearsAtCompany]]&lt;=10,"6-10 Yrs","10+ Yrs")))</f>
        <v>3-5 Yrs</v>
      </c>
      <c r="AJ114" s="1">
        <f>IF(HR_Data[[#This Row],[YearsAtCompany]]&lt;=2,1,IF(HR_Data[[#This Row],[YearsAtCompany]]&lt;=5,2,IF(HR_Data[[#This Row],[YearsAtCompany]]&lt;=10,3,4)))</f>
        <v>2</v>
      </c>
      <c r="AK114" s="1" t="str">
        <f>CHOOSE(HR_Data[[#This Row],[Education]],"Below College","College","Bachelor","Master","Doctor")</f>
        <v>Bachelor</v>
      </c>
      <c r="AL114" s="1" t="str">
        <f>CHOOSE(HR_Data[[#This Row],[JobSatisfaction]],"Low","Medium","High","Very High")</f>
        <v>Very High</v>
      </c>
      <c r="AM114" s="1" t="str">
        <f>CHOOSE(HR_Data[[#This Row],[EnvironmentSatisfaction]],"Low","Medium","High","Very High")</f>
        <v>Very High</v>
      </c>
      <c r="AN114" s="1" t="str">
        <f>CHOOSE(HR_Data[[#This Row],[WorkLifeBalance]],"Bad","Good","Better","Best")</f>
        <v>Better</v>
      </c>
      <c r="AO114" s="1" t="str">
        <f>IF(HR_Data[[#This Row],[PercentSalaryHike]]&lt;=13,"11-13%",IF(HR_Data[[#This Row],[PercentSalaryHike]]&lt;=16,"14-16%",IF(HR_Data[[#This Row],[PercentSalaryHike]]&lt;=19,"17-19%","20-25%")))</f>
        <v>11-13%</v>
      </c>
      <c r="AP114" s="1">
        <f>IF(HR_Data[[#This Row],[PercentSalaryHike]]&lt;=13,1,IF(HR_Data[[#This Row],[PercentSalaryHike]]&lt;=16,2,IF(HR_Data[[#This Row],[PercentSalaryHike]]&lt;=19,3,4)))</f>
        <v>1</v>
      </c>
      <c r="AQ114" s="1" t="str">
        <f>IF(HR_Data[[#This Row],[DistanceFromHome]]&lt;=5,"1 to 5",IF(HR_Data[[#This Row],[DistanceFromHome]]&lt;=10,"6 to 10",IF(HR_Data[[#This Row],[DistanceFromHome]]&lt;=20,"11 to 20","21 to 29")))</f>
        <v>21 to 29</v>
      </c>
      <c r="AR114" s="1">
        <f>IF(HR_Data[[#This Row],[DistanceFromHome]]&lt;=5,1,IF(HR_Data[[#This Row],[DistanceFromHome]]&lt;=10,2,IF(HR_Data[[#This Row],[DistanceFromHome]]&lt;=20,3,4)))</f>
        <v>4</v>
      </c>
      <c r="AS114" s="1" t="str">
        <f>IF(HR_Data[[#This Row],[TotalWorkingYears]]&lt;=5,"0-5 Yrs",IF(HR_Data[[#This Row],[TotalWorkingYears]]&lt;=10,"6-10 Yrs",IF(HR_Data[[#This Row],[TotalWorkingYears]]&lt;=20,"11-20 Yrs","20+ Yrs")))</f>
        <v>20+ Yrs</v>
      </c>
      <c r="AT114" s="1">
        <f>IF(HR_Data[[#This Row],[TotalWorkingYears]]&lt;=5,1,IF(HR_Data[[#This Row],[TotalWorkingYears]]&lt;=10,2,IF(HR_Data[[#This Row],[TotalWorkingYears]]&lt;=20,3,4)))</f>
        <v>4</v>
      </c>
    </row>
    <row r="115" spans="1:46" x14ac:dyDescent="0.25">
      <c r="A115">
        <v>24</v>
      </c>
      <c r="B115" t="s">
        <v>36</v>
      </c>
      <c r="C115" t="s">
        <v>30</v>
      </c>
      <c r="D115" t="s">
        <v>38</v>
      </c>
      <c r="E115">
        <v>18</v>
      </c>
      <c r="F115">
        <v>1</v>
      </c>
      <c r="G115" t="s">
        <v>32</v>
      </c>
      <c r="H115">
        <v>150</v>
      </c>
      <c r="I115">
        <v>2</v>
      </c>
      <c r="J115" t="s">
        <v>39</v>
      </c>
      <c r="K115">
        <v>3</v>
      </c>
      <c r="L115">
        <v>1</v>
      </c>
      <c r="M115" t="s">
        <v>43</v>
      </c>
      <c r="N115">
        <v>3</v>
      </c>
      <c r="O115" t="s">
        <v>41</v>
      </c>
      <c r="P115">
        <v>2774</v>
      </c>
      <c r="Q115">
        <v>0</v>
      </c>
      <c r="R115" t="s">
        <v>36</v>
      </c>
      <c r="S115">
        <v>12</v>
      </c>
      <c r="T115">
        <v>3</v>
      </c>
      <c r="U115">
        <v>3</v>
      </c>
      <c r="V115">
        <v>1</v>
      </c>
      <c r="W115">
        <v>6</v>
      </c>
      <c r="X115">
        <v>2</v>
      </c>
      <c r="Y115">
        <v>3</v>
      </c>
      <c r="Z115">
        <v>5</v>
      </c>
      <c r="AA115">
        <v>3</v>
      </c>
      <c r="AB115">
        <v>1</v>
      </c>
      <c r="AC115">
        <v>2</v>
      </c>
      <c r="AD115">
        <f>IF(HR_Data[[#This Row],[Attrition]]="Yes",1,0)</f>
        <v>0</v>
      </c>
      <c r="AE115" t="str">
        <f>IF(HR_Data[[#This Row],[Age]]&lt;=25,"18-25",IF(HR_Data[[#This Row],[Age]]&lt;=35,"26-35",IF(HR_Data[[#This Row],[Age]]&lt;=45,"36-45",IF(HR_Data[[#This Row],[Age]]&lt;=55,"46-55","55+"))))</f>
        <v>18-25</v>
      </c>
      <c r="AF115">
        <f>IF(HR_Data[[#This Row],[Age]]&lt;=25,1,IF(HR_Data[[#This Row],[Age]]&lt;=35,2,IF(HR_Data[[#This Row],[Age]]&lt;=45,3,IF(HR_Data[[#This Row],[Age]]&lt;=55,4,5))))</f>
        <v>1</v>
      </c>
      <c r="AG115" s="1" t="str">
        <f>IF(HR_Data[[#This Row],[MonthlyIncome]]&lt;3000,"&lt;3K",IF(HR_Data[[#This Row],[MonthlyIncome]]&lt;6000,"3K-6K",IF(HR_Data[[#This Row],[MonthlyIncome]]&lt;10000,"6K-10K","10K+")))</f>
        <v>&lt;3K</v>
      </c>
      <c r="AH115" s="1">
        <f>IF(HR_Data[[#This Row],[MonthlyIncome]]&lt;3000,1,IF(HR_Data[[#This Row],[MonthlyIncome]]&lt;6000,2,IF(HR_Data[[#This Row],[MonthlyIncome]]&lt;10000,3,4)))</f>
        <v>1</v>
      </c>
      <c r="AI115" s="1" t="str">
        <f>IF(HR_Data[[#This Row],[YearsAtCompany]]&lt;=2,"0-2 Yrs",IF(HR_Data[[#This Row],[YearsAtCompany]]&lt;=5,"3-5 Yrs",IF(HR_Data[[#This Row],[YearsAtCompany]]&lt;=10,"6-10 Yrs","10+ Yrs")))</f>
        <v>3-5 Yrs</v>
      </c>
      <c r="AJ115" s="1">
        <f>IF(HR_Data[[#This Row],[YearsAtCompany]]&lt;=2,1,IF(HR_Data[[#This Row],[YearsAtCompany]]&lt;=5,2,IF(HR_Data[[#This Row],[YearsAtCompany]]&lt;=10,3,4)))</f>
        <v>2</v>
      </c>
      <c r="AK115" s="1" t="str">
        <f>CHOOSE(HR_Data[[#This Row],[Education]],"Below College","College","Bachelor","Master","Doctor")</f>
        <v>Below College</v>
      </c>
      <c r="AL115" s="1" t="str">
        <f>CHOOSE(HR_Data[[#This Row],[JobSatisfaction]],"Low","Medium","High","Very High")</f>
        <v>High</v>
      </c>
      <c r="AM115" s="1" t="str">
        <f>CHOOSE(HR_Data[[#This Row],[EnvironmentSatisfaction]],"Low","Medium","High","Very High")</f>
        <v>Medium</v>
      </c>
      <c r="AN115" s="1" t="str">
        <f>CHOOSE(HR_Data[[#This Row],[WorkLifeBalance]],"Bad","Good","Better","Best")</f>
        <v>Better</v>
      </c>
      <c r="AO115" s="1" t="str">
        <f>IF(HR_Data[[#This Row],[PercentSalaryHike]]&lt;=13,"11-13%",IF(HR_Data[[#This Row],[PercentSalaryHike]]&lt;=16,"14-16%",IF(HR_Data[[#This Row],[PercentSalaryHike]]&lt;=19,"17-19%","20-25%")))</f>
        <v>11-13%</v>
      </c>
      <c r="AP115" s="1">
        <f>IF(HR_Data[[#This Row],[PercentSalaryHike]]&lt;=13,1,IF(HR_Data[[#This Row],[PercentSalaryHike]]&lt;=16,2,IF(HR_Data[[#This Row],[PercentSalaryHike]]&lt;=19,3,4)))</f>
        <v>1</v>
      </c>
      <c r="AQ115" s="1" t="str">
        <f>IF(HR_Data[[#This Row],[DistanceFromHome]]&lt;=5,"1 to 5",IF(HR_Data[[#This Row],[DistanceFromHome]]&lt;=10,"6 to 10",IF(HR_Data[[#This Row],[DistanceFromHome]]&lt;=20,"11 to 20","21 to 29")))</f>
        <v>11 to 20</v>
      </c>
      <c r="AR115" s="1">
        <f>IF(HR_Data[[#This Row],[DistanceFromHome]]&lt;=5,1,IF(HR_Data[[#This Row],[DistanceFromHome]]&lt;=10,2,IF(HR_Data[[#This Row],[DistanceFromHome]]&lt;=20,3,4)))</f>
        <v>3</v>
      </c>
      <c r="AS115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15" s="1">
        <f>IF(HR_Data[[#This Row],[TotalWorkingYears]]&lt;=5,1,IF(HR_Data[[#This Row],[TotalWorkingYears]]&lt;=10,2,IF(HR_Data[[#This Row],[TotalWorkingYears]]&lt;=20,3,4)))</f>
        <v>2</v>
      </c>
    </row>
    <row r="116" spans="1:46" x14ac:dyDescent="0.25">
      <c r="A116">
        <v>34</v>
      </c>
      <c r="B116" t="s">
        <v>36</v>
      </c>
      <c r="C116" t="s">
        <v>30</v>
      </c>
      <c r="D116" t="s">
        <v>38</v>
      </c>
      <c r="E116">
        <v>6</v>
      </c>
      <c r="F116">
        <v>4</v>
      </c>
      <c r="G116" t="s">
        <v>32</v>
      </c>
      <c r="H116">
        <v>151</v>
      </c>
      <c r="I116">
        <v>3</v>
      </c>
      <c r="J116" t="s">
        <v>33</v>
      </c>
      <c r="K116">
        <v>2</v>
      </c>
      <c r="L116">
        <v>2</v>
      </c>
      <c r="M116" t="s">
        <v>40</v>
      </c>
      <c r="N116">
        <v>2</v>
      </c>
      <c r="O116" t="s">
        <v>45</v>
      </c>
      <c r="P116">
        <v>4505</v>
      </c>
      <c r="Q116">
        <v>6</v>
      </c>
      <c r="R116" t="s">
        <v>36</v>
      </c>
      <c r="S116">
        <v>15</v>
      </c>
      <c r="T116">
        <v>3</v>
      </c>
      <c r="U116">
        <v>3</v>
      </c>
      <c r="V116">
        <v>1</v>
      </c>
      <c r="W116">
        <v>12</v>
      </c>
      <c r="X116">
        <v>3</v>
      </c>
      <c r="Y116">
        <v>3</v>
      </c>
      <c r="Z116">
        <v>1</v>
      </c>
      <c r="AA116">
        <v>0</v>
      </c>
      <c r="AB116">
        <v>0</v>
      </c>
      <c r="AC116">
        <v>0</v>
      </c>
      <c r="AD116">
        <f>IF(HR_Data[[#This Row],[Attrition]]="Yes",1,0)</f>
        <v>0</v>
      </c>
      <c r="AE116" t="str">
        <f>IF(HR_Data[[#This Row],[Age]]&lt;=25,"18-25",IF(HR_Data[[#This Row],[Age]]&lt;=35,"26-35",IF(HR_Data[[#This Row],[Age]]&lt;=45,"36-45",IF(HR_Data[[#This Row],[Age]]&lt;=55,"46-55","55+"))))</f>
        <v>26-35</v>
      </c>
      <c r="AF116">
        <f>IF(HR_Data[[#This Row],[Age]]&lt;=25,1,IF(HR_Data[[#This Row],[Age]]&lt;=35,2,IF(HR_Data[[#This Row],[Age]]&lt;=45,3,IF(HR_Data[[#This Row],[Age]]&lt;=55,4,5))))</f>
        <v>2</v>
      </c>
      <c r="AG116" s="1" t="str">
        <f>IF(HR_Data[[#This Row],[MonthlyIncome]]&lt;3000,"&lt;3K",IF(HR_Data[[#This Row],[MonthlyIncome]]&lt;6000,"3K-6K",IF(HR_Data[[#This Row],[MonthlyIncome]]&lt;10000,"6K-10K","10K+")))</f>
        <v>3K-6K</v>
      </c>
      <c r="AH116" s="1">
        <f>IF(HR_Data[[#This Row],[MonthlyIncome]]&lt;3000,1,IF(HR_Data[[#This Row],[MonthlyIncome]]&lt;6000,2,IF(HR_Data[[#This Row],[MonthlyIncome]]&lt;10000,3,4)))</f>
        <v>2</v>
      </c>
      <c r="AI116" s="1" t="str">
        <f>IF(HR_Data[[#This Row],[YearsAtCompany]]&lt;=2,"0-2 Yrs",IF(HR_Data[[#This Row],[YearsAtCompany]]&lt;=5,"3-5 Yrs",IF(HR_Data[[#This Row],[YearsAtCompany]]&lt;=10,"6-10 Yrs","10+ Yrs")))</f>
        <v>0-2 Yrs</v>
      </c>
      <c r="AJ116" s="1">
        <f>IF(HR_Data[[#This Row],[YearsAtCompany]]&lt;=2,1,IF(HR_Data[[#This Row],[YearsAtCompany]]&lt;=5,2,IF(HR_Data[[#This Row],[YearsAtCompany]]&lt;=10,3,4)))</f>
        <v>1</v>
      </c>
      <c r="AK116" s="1" t="str">
        <f>CHOOSE(HR_Data[[#This Row],[Education]],"Below College","College","Bachelor","Master","Doctor")</f>
        <v>Master</v>
      </c>
      <c r="AL116" s="1" t="str">
        <f>CHOOSE(HR_Data[[#This Row],[JobSatisfaction]],"Low","Medium","High","Very High")</f>
        <v>Medium</v>
      </c>
      <c r="AM116" s="1" t="str">
        <f>CHOOSE(HR_Data[[#This Row],[EnvironmentSatisfaction]],"Low","Medium","High","Very High")</f>
        <v>High</v>
      </c>
      <c r="AN116" s="1" t="str">
        <f>CHOOSE(HR_Data[[#This Row],[WorkLifeBalance]],"Bad","Good","Better","Best")</f>
        <v>Better</v>
      </c>
      <c r="AO116" s="1" t="str">
        <f>IF(HR_Data[[#This Row],[PercentSalaryHike]]&lt;=13,"11-13%",IF(HR_Data[[#This Row],[PercentSalaryHike]]&lt;=16,"14-16%",IF(HR_Data[[#This Row],[PercentSalaryHike]]&lt;=19,"17-19%","20-25%")))</f>
        <v>14-16%</v>
      </c>
      <c r="AP116" s="1">
        <f>IF(HR_Data[[#This Row],[PercentSalaryHike]]&lt;=13,1,IF(HR_Data[[#This Row],[PercentSalaryHike]]&lt;=16,2,IF(HR_Data[[#This Row],[PercentSalaryHike]]&lt;=19,3,4)))</f>
        <v>2</v>
      </c>
      <c r="AQ116" s="1" t="str">
        <f>IF(HR_Data[[#This Row],[DistanceFromHome]]&lt;=5,"1 to 5",IF(HR_Data[[#This Row],[DistanceFromHome]]&lt;=10,"6 to 10",IF(HR_Data[[#This Row],[DistanceFromHome]]&lt;=20,"11 to 20","21 to 29")))</f>
        <v>6 to 10</v>
      </c>
      <c r="AR116" s="1">
        <f>IF(HR_Data[[#This Row],[DistanceFromHome]]&lt;=5,1,IF(HR_Data[[#This Row],[DistanceFromHome]]&lt;=10,2,IF(HR_Data[[#This Row],[DistanceFromHome]]&lt;=20,3,4)))</f>
        <v>2</v>
      </c>
      <c r="AS116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16" s="1">
        <f>IF(HR_Data[[#This Row],[TotalWorkingYears]]&lt;=5,1,IF(HR_Data[[#This Row],[TotalWorkingYears]]&lt;=10,2,IF(HR_Data[[#This Row],[TotalWorkingYears]]&lt;=20,3,4)))</f>
        <v>3</v>
      </c>
    </row>
    <row r="117" spans="1:46" x14ac:dyDescent="0.25">
      <c r="A117">
        <v>37</v>
      </c>
      <c r="B117" t="s">
        <v>36</v>
      </c>
      <c r="C117" t="s">
        <v>30</v>
      </c>
      <c r="D117" t="s">
        <v>31</v>
      </c>
      <c r="E117">
        <v>3</v>
      </c>
      <c r="F117">
        <v>3</v>
      </c>
      <c r="G117" t="s">
        <v>32</v>
      </c>
      <c r="H117">
        <v>152</v>
      </c>
      <c r="I117">
        <v>3</v>
      </c>
      <c r="J117" t="s">
        <v>39</v>
      </c>
      <c r="K117">
        <v>3</v>
      </c>
      <c r="L117">
        <v>3</v>
      </c>
      <c r="M117" t="s">
        <v>34</v>
      </c>
      <c r="N117">
        <v>4</v>
      </c>
      <c r="O117" t="s">
        <v>35</v>
      </c>
      <c r="P117">
        <v>7428</v>
      </c>
      <c r="Q117">
        <v>2</v>
      </c>
      <c r="R117" t="s">
        <v>36</v>
      </c>
      <c r="S117">
        <v>12</v>
      </c>
      <c r="T117">
        <v>3</v>
      </c>
      <c r="U117">
        <v>1</v>
      </c>
      <c r="V117">
        <v>0</v>
      </c>
      <c r="W117">
        <v>12</v>
      </c>
      <c r="X117">
        <v>3</v>
      </c>
      <c r="Y117">
        <v>3</v>
      </c>
      <c r="Z117">
        <v>5</v>
      </c>
      <c r="AA117">
        <v>3</v>
      </c>
      <c r="AB117">
        <v>1</v>
      </c>
      <c r="AC117">
        <v>3</v>
      </c>
      <c r="AD117">
        <f>IF(HR_Data[[#This Row],[Attrition]]="Yes",1,0)</f>
        <v>0</v>
      </c>
      <c r="AE117" t="str">
        <f>IF(HR_Data[[#This Row],[Age]]&lt;=25,"18-25",IF(HR_Data[[#This Row],[Age]]&lt;=35,"26-35",IF(HR_Data[[#This Row],[Age]]&lt;=45,"36-45",IF(HR_Data[[#This Row],[Age]]&lt;=55,"46-55","55+"))))</f>
        <v>36-45</v>
      </c>
      <c r="AF117">
        <f>IF(HR_Data[[#This Row],[Age]]&lt;=25,1,IF(HR_Data[[#This Row],[Age]]&lt;=35,2,IF(HR_Data[[#This Row],[Age]]&lt;=45,3,IF(HR_Data[[#This Row],[Age]]&lt;=55,4,5))))</f>
        <v>3</v>
      </c>
      <c r="AG117" s="1" t="str">
        <f>IF(HR_Data[[#This Row],[MonthlyIncome]]&lt;3000,"&lt;3K",IF(HR_Data[[#This Row],[MonthlyIncome]]&lt;6000,"3K-6K",IF(HR_Data[[#This Row],[MonthlyIncome]]&lt;10000,"6K-10K","10K+")))</f>
        <v>6K-10K</v>
      </c>
      <c r="AH117" s="1">
        <f>IF(HR_Data[[#This Row],[MonthlyIncome]]&lt;3000,1,IF(HR_Data[[#This Row],[MonthlyIncome]]&lt;6000,2,IF(HR_Data[[#This Row],[MonthlyIncome]]&lt;10000,3,4)))</f>
        <v>3</v>
      </c>
      <c r="AI117" s="1" t="str">
        <f>IF(HR_Data[[#This Row],[YearsAtCompany]]&lt;=2,"0-2 Yrs",IF(HR_Data[[#This Row],[YearsAtCompany]]&lt;=5,"3-5 Yrs",IF(HR_Data[[#This Row],[YearsAtCompany]]&lt;=10,"6-10 Yrs","10+ Yrs")))</f>
        <v>3-5 Yrs</v>
      </c>
      <c r="AJ117" s="1">
        <f>IF(HR_Data[[#This Row],[YearsAtCompany]]&lt;=2,1,IF(HR_Data[[#This Row],[YearsAtCompany]]&lt;=5,2,IF(HR_Data[[#This Row],[YearsAtCompany]]&lt;=10,3,4)))</f>
        <v>2</v>
      </c>
      <c r="AK117" s="1" t="str">
        <f>CHOOSE(HR_Data[[#This Row],[Education]],"Below College","College","Bachelor","Master","Doctor")</f>
        <v>Bachelor</v>
      </c>
      <c r="AL117" s="1" t="str">
        <f>CHOOSE(HR_Data[[#This Row],[JobSatisfaction]],"Low","Medium","High","Very High")</f>
        <v>Very High</v>
      </c>
      <c r="AM117" s="1" t="str">
        <f>CHOOSE(HR_Data[[#This Row],[EnvironmentSatisfaction]],"Low","Medium","High","Very High")</f>
        <v>High</v>
      </c>
      <c r="AN117" s="1" t="str">
        <f>CHOOSE(HR_Data[[#This Row],[WorkLifeBalance]],"Bad","Good","Better","Best")</f>
        <v>Better</v>
      </c>
      <c r="AO117" s="1" t="str">
        <f>IF(HR_Data[[#This Row],[PercentSalaryHike]]&lt;=13,"11-13%",IF(HR_Data[[#This Row],[PercentSalaryHike]]&lt;=16,"14-16%",IF(HR_Data[[#This Row],[PercentSalaryHike]]&lt;=19,"17-19%","20-25%")))</f>
        <v>11-13%</v>
      </c>
      <c r="AP117" s="1">
        <f>IF(HR_Data[[#This Row],[PercentSalaryHike]]&lt;=13,1,IF(HR_Data[[#This Row],[PercentSalaryHike]]&lt;=16,2,IF(HR_Data[[#This Row],[PercentSalaryHike]]&lt;=19,3,4)))</f>
        <v>1</v>
      </c>
      <c r="AQ117" s="1" t="str">
        <f>IF(HR_Data[[#This Row],[DistanceFromHome]]&lt;=5,"1 to 5",IF(HR_Data[[#This Row],[DistanceFromHome]]&lt;=10,"6 to 10",IF(HR_Data[[#This Row],[DistanceFromHome]]&lt;=20,"11 to 20","21 to 29")))</f>
        <v>1 to 5</v>
      </c>
      <c r="AR117" s="1">
        <f>IF(HR_Data[[#This Row],[DistanceFromHome]]&lt;=5,1,IF(HR_Data[[#This Row],[DistanceFromHome]]&lt;=10,2,IF(HR_Data[[#This Row],[DistanceFromHome]]&lt;=20,3,4)))</f>
        <v>1</v>
      </c>
      <c r="AS117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17" s="1">
        <f>IF(HR_Data[[#This Row],[TotalWorkingYears]]&lt;=5,1,IF(HR_Data[[#This Row],[TotalWorkingYears]]&lt;=10,2,IF(HR_Data[[#This Row],[TotalWorkingYears]]&lt;=20,3,4)))</f>
        <v>3</v>
      </c>
    </row>
    <row r="118" spans="1:46" x14ac:dyDescent="0.25">
      <c r="A118">
        <v>34</v>
      </c>
      <c r="B118" t="s">
        <v>36</v>
      </c>
      <c r="C118" t="s">
        <v>30</v>
      </c>
      <c r="D118" t="s">
        <v>38</v>
      </c>
      <c r="E118">
        <v>5</v>
      </c>
      <c r="F118">
        <v>3</v>
      </c>
      <c r="G118" t="s">
        <v>44</v>
      </c>
      <c r="H118">
        <v>153</v>
      </c>
      <c r="I118">
        <v>3</v>
      </c>
      <c r="J118" t="s">
        <v>33</v>
      </c>
      <c r="K118">
        <v>2</v>
      </c>
      <c r="L118">
        <v>3</v>
      </c>
      <c r="M118" t="s">
        <v>49</v>
      </c>
      <c r="N118">
        <v>1</v>
      </c>
      <c r="O118" t="s">
        <v>35</v>
      </c>
      <c r="P118">
        <v>11631</v>
      </c>
      <c r="Q118">
        <v>2</v>
      </c>
      <c r="R118" t="s">
        <v>36</v>
      </c>
      <c r="S118">
        <v>12</v>
      </c>
      <c r="T118">
        <v>3</v>
      </c>
      <c r="U118">
        <v>4</v>
      </c>
      <c r="V118">
        <v>0</v>
      </c>
      <c r="W118">
        <v>14</v>
      </c>
      <c r="X118">
        <v>6</v>
      </c>
      <c r="Y118">
        <v>3</v>
      </c>
      <c r="Z118">
        <v>11</v>
      </c>
      <c r="AA118">
        <v>10</v>
      </c>
      <c r="AB118">
        <v>5</v>
      </c>
      <c r="AC118">
        <v>8</v>
      </c>
      <c r="AD118">
        <f>IF(HR_Data[[#This Row],[Attrition]]="Yes",1,0)</f>
        <v>0</v>
      </c>
      <c r="AE118" t="str">
        <f>IF(HR_Data[[#This Row],[Age]]&lt;=25,"18-25",IF(HR_Data[[#This Row],[Age]]&lt;=35,"26-35",IF(HR_Data[[#This Row],[Age]]&lt;=45,"36-45",IF(HR_Data[[#This Row],[Age]]&lt;=55,"46-55","55+"))))</f>
        <v>26-35</v>
      </c>
      <c r="AF118">
        <f>IF(HR_Data[[#This Row],[Age]]&lt;=25,1,IF(HR_Data[[#This Row],[Age]]&lt;=35,2,IF(HR_Data[[#This Row],[Age]]&lt;=45,3,IF(HR_Data[[#This Row],[Age]]&lt;=55,4,5))))</f>
        <v>2</v>
      </c>
      <c r="AG118" s="1" t="str">
        <f>IF(HR_Data[[#This Row],[MonthlyIncome]]&lt;3000,"&lt;3K",IF(HR_Data[[#This Row],[MonthlyIncome]]&lt;6000,"3K-6K",IF(HR_Data[[#This Row],[MonthlyIncome]]&lt;10000,"6K-10K","10K+")))</f>
        <v>10K+</v>
      </c>
      <c r="AH118" s="1">
        <f>IF(HR_Data[[#This Row],[MonthlyIncome]]&lt;3000,1,IF(HR_Data[[#This Row],[MonthlyIncome]]&lt;6000,2,IF(HR_Data[[#This Row],[MonthlyIncome]]&lt;10000,3,4)))</f>
        <v>4</v>
      </c>
      <c r="AI118" s="1" t="str">
        <f>IF(HR_Data[[#This Row],[YearsAtCompany]]&lt;=2,"0-2 Yrs",IF(HR_Data[[#This Row],[YearsAtCompany]]&lt;=5,"3-5 Yrs",IF(HR_Data[[#This Row],[YearsAtCompany]]&lt;=10,"6-10 Yrs","10+ Yrs")))</f>
        <v>10+ Yrs</v>
      </c>
      <c r="AJ118" s="1">
        <f>IF(HR_Data[[#This Row],[YearsAtCompany]]&lt;=2,1,IF(HR_Data[[#This Row],[YearsAtCompany]]&lt;=5,2,IF(HR_Data[[#This Row],[YearsAtCompany]]&lt;=10,3,4)))</f>
        <v>4</v>
      </c>
      <c r="AK118" s="1" t="str">
        <f>CHOOSE(HR_Data[[#This Row],[Education]],"Below College","College","Bachelor","Master","Doctor")</f>
        <v>Bachelor</v>
      </c>
      <c r="AL118" s="1" t="str">
        <f>CHOOSE(HR_Data[[#This Row],[JobSatisfaction]],"Low","Medium","High","Very High")</f>
        <v>Low</v>
      </c>
      <c r="AM118" s="1" t="str">
        <f>CHOOSE(HR_Data[[#This Row],[EnvironmentSatisfaction]],"Low","Medium","High","Very High")</f>
        <v>High</v>
      </c>
      <c r="AN118" s="1" t="str">
        <f>CHOOSE(HR_Data[[#This Row],[WorkLifeBalance]],"Bad","Good","Better","Best")</f>
        <v>Better</v>
      </c>
      <c r="AO118" s="1" t="str">
        <f>IF(HR_Data[[#This Row],[PercentSalaryHike]]&lt;=13,"11-13%",IF(HR_Data[[#This Row],[PercentSalaryHike]]&lt;=16,"14-16%",IF(HR_Data[[#This Row],[PercentSalaryHike]]&lt;=19,"17-19%","20-25%")))</f>
        <v>11-13%</v>
      </c>
      <c r="AP118" s="1">
        <f>IF(HR_Data[[#This Row],[PercentSalaryHike]]&lt;=13,1,IF(HR_Data[[#This Row],[PercentSalaryHike]]&lt;=16,2,IF(HR_Data[[#This Row],[PercentSalaryHike]]&lt;=19,3,4)))</f>
        <v>1</v>
      </c>
      <c r="AQ118" s="1" t="str">
        <f>IF(HR_Data[[#This Row],[DistanceFromHome]]&lt;=5,"1 to 5",IF(HR_Data[[#This Row],[DistanceFromHome]]&lt;=10,"6 to 10",IF(HR_Data[[#This Row],[DistanceFromHome]]&lt;=20,"11 to 20","21 to 29")))</f>
        <v>1 to 5</v>
      </c>
      <c r="AR118" s="1">
        <f>IF(HR_Data[[#This Row],[DistanceFromHome]]&lt;=5,1,IF(HR_Data[[#This Row],[DistanceFromHome]]&lt;=10,2,IF(HR_Data[[#This Row],[DistanceFromHome]]&lt;=20,3,4)))</f>
        <v>1</v>
      </c>
      <c r="AS118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18" s="1">
        <f>IF(HR_Data[[#This Row],[TotalWorkingYears]]&lt;=5,1,IF(HR_Data[[#This Row],[TotalWorkingYears]]&lt;=10,2,IF(HR_Data[[#This Row],[TotalWorkingYears]]&lt;=20,3,4)))</f>
        <v>3</v>
      </c>
    </row>
    <row r="119" spans="1:46" x14ac:dyDescent="0.25">
      <c r="A119">
        <v>36</v>
      </c>
      <c r="B119" t="s">
        <v>36</v>
      </c>
      <c r="C119" t="s">
        <v>37</v>
      </c>
      <c r="D119" t="s">
        <v>31</v>
      </c>
      <c r="E119">
        <v>11</v>
      </c>
      <c r="F119">
        <v>2</v>
      </c>
      <c r="G119" t="s">
        <v>53</v>
      </c>
      <c r="H119">
        <v>154</v>
      </c>
      <c r="I119">
        <v>2</v>
      </c>
      <c r="J119" t="s">
        <v>33</v>
      </c>
      <c r="K119">
        <v>3</v>
      </c>
      <c r="L119">
        <v>3</v>
      </c>
      <c r="M119" t="s">
        <v>34</v>
      </c>
      <c r="N119">
        <v>4</v>
      </c>
      <c r="O119" t="s">
        <v>41</v>
      </c>
      <c r="P119">
        <v>9738</v>
      </c>
      <c r="Q119">
        <v>0</v>
      </c>
      <c r="R119" t="s">
        <v>36</v>
      </c>
      <c r="S119">
        <v>14</v>
      </c>
      <c r="T119">
        <v>3</v>
      </c>
      <c r="U119">
        <v>3</v>
      </c>
      <c r="V119">
        <v>1</v>
      </c>
      <c r="W119">
        <v>10</v>
      </c>
      <c r="X119">
        <v>6</v>
      </c>
      <c r="Y119">
        <v>3</v>
      </c>
      <c r="Z119">
        <v>9</v>
      </c>
      <c r="AA119">
        <v>7</v>
      </c>
      <c r="AB119">
        <v>2</v>
      </c>
      <c r="AC119">
        <v>8</v>
      </c>
      <c r="AD119">
        <f>IF(HR_Data[[#This Row],[Attrition]]="Yes",1,0)</f>
        <v>0</v>
      </c>
      <c r="AE119" t="str">
        <f>IF(HR_Data[[#This Row],[Age]]&lt;=25,"18-25",IF(HR_Data[[#This Row],[Age]]&lt;=35,"26-35",IF(HR_Data[[#This Row],[Age]]&lt;=45,"36-45",IF(HR_Data[[#This Row],[Age]]&lt;=55,"46-55","55+"))))</f>
        <v>36-45</v>
      </c>
      <c r="AF119">
        <f>IF(HR_Data[[#This Row],[Age]]&lt;=25,1,IF(HR_Data[[#This Row],[Age]]&lt;=35,2,IF(HR_Data[[#This Row],[Age]]&lt;=45,3,IF(HR_Data[[#This Row],[Age]]&lt;=55,4,5))))</f>
        <v>3</v>
      </c>
      <c r="AG119" s="1" t="str">
        <f>IF(HR_Data[[#This Row],[MonthlyIncome]]&lt;3000,"&lt;3K",IF(HR_Data[[#This Row],[MonthlyIncome]]&lt;6000,"3K-6K",IF(HR_Data[[#This Row],[MonthlyIncome]]&lt;10000,"6K-10K","10K+")))</f>
        <v>6K-10K</v>
      </c>
      <c r="AH119" s="1">
        <f>IF(HR_Data[[#This Row],[MonthlyIncome]]&lt;3000,1,IF(HR_Data[[#This Row],[MonthlyIncome]]&lt;6000,2,IF(HR_Data[[#This Row],[MonthlyIncome]]&lt;10000,3,4)))</f>
        <v>3</v>
      </c>
      <c r="AI119" s="1" t="str">
        <f>IF(HR_Data[[#This Row],[YearsAtCompany]]&lt;=2,"0-2 Yrs",IF(HR_Data[[#This Row],[YearsAtCompany]]&lt;=5,"3-5 Yrs",IF(HR_Data[[#This Row],[YearsAtCompany]]&lt;=10,"6-10 Yrs","10+ Yrs")))</f>
        <v>6-10 Yrs</v>
      </c>
      <c r="AJ119" s="1">
        <f>IF(HR_Data[[#This Row],[YearsAtCompany]]&lt;=2,1,IF(HR_Data[[#This Row],[YearsAtCompany]]&lt;=5,2,IF(HR_Data[[#This Row],[YearsAtCompany]]&lt;=10,3,4)))</f>
        <v>3</v>
      </c>
      <c r="AK119" s="1" t="str">
        <f>CHOOSE(HR_Data[[#This Row],[Education]],"Below College","College","Bachelor","Master","Doctor")</f>
        <v>College</v>
      </c>
      <c r="AL119" s="1" t="str">
        <f>CHOOSE(HR_Data[[#This Row],[JobSatisfaction]],"Low","Medium","High","Very High")</f>
        <v>Very High</v>
      </c>
      <c r="AM119" s="1" t="str">
        <f>CHOOSE(HR_Data[[#This Row],[EnvironmentSatisfaction]],"Low","Medium","High","Very High")</f>
        <v>Medium</v>
      </c>
      <c r="AN119" s="1" t="str">
        <f>CHOOSE(HR_Data[[#This Row],[WorkLifeBalance]],"Bad","Good","Better","Best")</f>
        <v>Better</v>
      </c>
      <c r="AO119" s="1" t="str">
        <f>IF(HR_Data[[#This Row],[PercentSalaryHike]]&lt;=13,"11-13%",IF(HR_Data[[#This Row],[PercentSalaryHike]]&lt;=16,"14-16%",IF(HR_Data[[#This Row],[PercentSalaryHike]]&lt;=19,"17-19%","20-25%")))</f>
        <v>14-16%</v>
      </c>
      <c r="AP119" s="1">
        <f>IF(HR_Data[[#This Row],[PercentSalaryHike]]&lt;=13,1,IF(HR_Data[[#This Row],[PercentSalaryHike]]&lt;=16,2,IF(HR_Data[[#This Row],[PercentSalaryHike]]&lt;=19,3,4)))</f>
        <v>2</v>
      </c>
      <c r="AQ119" s="1" t="str">
        <f>IF(HR_Data[[#This Row],[DistanceFromHome]]&lt;=5,"1 to 5",IF(HR_Data[[#This Row],[DistanceFromHome]]&lt;=10,"6 to 10",IF(HR_Data[[#This Row],[DistanceFromHome]]&lt;=20,"11 to 20","21 to 29")))</f>
        <v>11 to 20</v>
      </c>
      <c r="AR119" s="1">
        <f>IF(HR_Data[[#This Row],[DistanceFromHome]]&lt;=5,1,IF(HR_Data[[#This Row],[DistanceFromHome]]&lt;=10,2,IF(HR_Data[[#This Row],[DistanceFromHome]]&lt;=20,3,4)))</f>
        <v>3</v>
      </c>
      <c r="AS119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19" s="1">
        <f>IF(HR_Data[[#This Row],[TotalWorkingYears]]&lt;=5,1,IF(HR_Data[[#This Row],[TotalWorkingYears]]&lt;=10,2,IF(HR_Data[[#This Row],[TotalWorkingYears]]&lt;=20,3,4)))</f>
        <v>2</v>
      </c>
    </row>
    <row r="120" spans="1:46" x14ac:dyDescent="0.25">
      <c r="A120">
        <v>36</v>
      </c>
      <c r="B120" t="s">
        <v>36</v>
      </c>
      <c r="C120" t="s">
        <v>30</v>
      </c>
      <c r="D120" t="s">
        <v>38</v>
      </c>
      <c r="E120">
        <v>3</v>
      </c>
      <c r="F120">
        <v>2</v>
      </c>
      <c r="G120" t="s">
        <v>32</v>
      </c>
      <c r="H120">
        <v>155</v>
      </c>
      <c r="I120">
        <v>1</v>
      </c>
      <c r="J120" t="s">
        <v>33</v>
      </c>
      <c r="K120">
        <v>3</v>
      </c>
      <c r="L120">
        <v>1</v>
      </c>
      <c r="M120" t="s">
        <v>43</v>
      </c>
      <c r="N120">
        <v>4</v>
      </c>
      <c r="O120" t="s">
        <v>45</v>
      </c>
      <c r="P120">
        <v>2835</v>
      </c>
      <c r="Q120">
        <v>5</v>
      </c>
      <c r="R120" t="s">
        <v>36</v>
      </c>
      <c r="S120">
        <v>22</v>
      </c>
      <c r="T120">
        <v>4</v>
      </c>
      <c r="U120">
        <v>1</v>
      </c>
      <c r="V120">
        <v>1</v>
      </c>
      <c r="W120">
        <v>7</v>
      </c>
      <c r="X120">
        <v>2</v>
      </c>
      <c r="Y120">
        <v>3</v>
      </c>
      <c r="Z120">
        <v>1</v>
      </c>
      <c r="AA120">
        <v>0</v>
      </c>
      <c r="AB120">
        <v>0</v>
      </c>
      <c r="AC120">
        <v>0</v>
      </c>
      <c r="AD120">
        <f>IF(HR_Data[[#This Row],[Attrition]]="Yes",1,0)</f>
        <v>0</v>
      </c>
      <c r="AE120" t="str">
        <f>IF(HR_Data[[#This Row],[Age]]&lt;=25,"18-25",IF(HR_Data[[#This Row],[Age]]&lt;=35,"26-35",IF(HR_Data[[#This Row],[Age]]&lt;=45,"36-45",IF(HR_Data[[#This Row],[Age]]&lt;=55,"46-55","55+"))))</f>
        <v>36-45</v>
      </c>
      <c r="AF120">
        <f>IF(HR_Data[[#This Row],[Age]]&lt;=25,1,IF(HR_Data[[#This Row],[Age]]&lt;=35,2,IF(HR_Data[[#This Row],[Age]]&lt;=45,3,IF(HR_Data[[#This Row],[Age]]&lt;=55,4,5))))</f>
        <v>3</v>
      </c>
      <c r="AG120" s="1" t="str">
        <f>IF(HR_Data[[#This Row],[MonthlyIncome]]&lt;3000,"&lt;3K",IF(HR_Data[[#This Row],[MonthlyIncome]]&lt;6000,"3K-6K",IF(HR_Data[[#This Row],[MonthlyIncome]]&lt;10000,"6K-10K","10K+")))</f>
        <v>&lt;3K</v>
      </c>
      <c r="AH120" s="1">
        <f>IF(HR_Data[[#This Row],[MonthlyIncome]]&lt;3000,1,IF(HR_Data[[#This Row],[MonthlyIncome]]&lt;6000,2,IF(HR_Data[[#This Row],[MonthlyIncome]]&lt;10000,3,4)))</f>
        <v>1</v>
      </c>
      <c r="AI120" s="1" t="str">
        <f>IF(HR_Data[[#This Row],[YearsAtCompany]]&lt;=2,"0-2 Yrs",IF(HR_Data[[#This Row],[YearsAtCompany]]&lt;=5,"3-5 Yrs",IF(HR_Data[[#This Row],[YearsAtCompany]]&lt;=10,"6-10 Yrs","10+ Yrs")))</f>
        <v>0-2 Yrs</v>
      </c>
      <c r="AJ120" s="1">
        <f>IF(HR_Data[[#This Row],[YearsAtCompany]]&lt;=2,1,IF(HR_Data[[#This Row],[YearsAtCompany]]&lt;=5,2,IF(HR_Data[[#This Row],[YearsAtCompany]]&lt;=10,3,4)))</f>
        <v>1</v>
      </c>
      <c r="AK120" s="1" t="str">
        <f>CHOOSE(HR_Data[[#This Row],[Education]],"Below College","College","Bachelor","Master","Doctor")</f>
        <v>College</v>
      </c>
      <c r="AL120" s="1" t="str">
        <f>CHOOSE(HR_Data[[#This Row],[JobSatisfaction]],"Low","Medium","High","Very High")</f>
        <v>Very High</v>
      </c>
      <c r="AM120" s="1" t="str">
        <f>CHOOSE(HR_Data[[#This Row],[EnvironmentSatisfaction]],"Low","Medium","High","Very High")</f>
        <v>Low</v>
      </c>
      <c r="AN120" s="1" t="str">
        <f>CHOOSE(HR_Data[[#This Row],[WorkLifeBalance]],"Bad","Good","Better","Best")</f>
        <v>Better</v>
      </c>
      <c r="AO120" s="1" t="str">
        <f>IF(HR_Data[[#This Row],[PercentSalaryHike]]&lt;=13,"11-13%",IF(HR_Data[[#This Row],[PercentSalaryHike]]&lt;=16,"14-16%",IF(HR_Data[[#This Row],[PercentSalaryHike]]&lt;=19,"17-19%","20-25%")))</f>
        <v>20-25%</v>
      </c>
      <c r="AP120" s="1">
        <f>IF(HR_Data[[#This Row],[PercentSalaryHike]]&lt;=13,1,IF(HR_Data[[#This Row],[PercentSalaryHike]]&lt;=16,2,IF(HR_Data[[#This Row],[PercentSalaryHike]]&lt;=19,3,4)))</f>
        <v>4</v>
      </c>
      <c r="AQ120" s="1" t="str">
        <f>IF(HR_Data[[#This Row],[DistanceFromHome]]&lt;=5,"1 to 5",IF(HR_Data[[#This Row],[DistanceFromHome]]&lt;=10,"6 to 10",IF(HR_Data[[#This Row],[DistanceFromHome]]&lt;=20,"11 to 20","21 to 29")))</f>
        <v>1 to 5</v>
      </c>
      <c r="AR120" s="1">
        <f>IF(HR_Data[[#This Row],[DistanceFromHome]]&lt;=5,1,IF(HR_Data[[#This Row],[DistanceFromHome]]&lt;=10,2,IF(HR_Data[[#This Row],[DistanceFromHome]]&lt;=20,3,4)))</f>
        <v>1</v>
      </c>
      <c r="AS120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20" s="1">
        <f>IF(HR_Data[[#This Row],[TotalWorkingYears]]&lt;=5,1,IF(HR_Data[[#This Row],[TotalWorkingYears]]&lt;=10,2,IF(HR_Data[[#This Row],[TotalWorkingYears]]&lt;=20,3,4)))</f>
        <v>2</v>
      </c>
    </row>
    <row r="121" spans="1:46" x14ac:dyDescent="0.25">
      <c r="A121">
        <v>43</v>
      </c>
      <c r="B121" t="s">
        <v>36</v>
      </c>
      <c r="C121" t="s">
        <v>37</v>
      </c>
      <c r="D121" t="s">
        <v>31</v>
      </c>
      <c r="E121">
        <v>26</v>
      </c>
      <c r="F121">
        <v>2</v>
      </c>
      <c r="G121" t="s">
        <v>32</v>
      </c>
      <c r="H121">
        <v>158</v>
      </c>
      <c r="I121">
        <v>3</v>
      </c>
      <c r="J121" t="s">
        <v>39</v>
      </c>
      <c r="K121">
        <v>3</v>
      </c>
      <c r="L121">
        <v>4</v>
      </c>
      <c r="M121" t="s">
        <v>49</v>
      </c>
      <c r="N121">
        <v>4</v>
      </c>
      <c r="O121" t="s">
        <v>41</v>
      </c>
      <c r="P121">
        <v>16959</v>
      </c>
      <c r="Q121">
        <v>1</v>
      </c>
      <c r="R121" t="s">
        <v>29</v>
      </c>
      <c r="S121">
        <v>12</v>
      </c>
      <c r="T121">
        <v>3</v>
      </c>
      <c r="U121">
        <v>4</v>
      </c>
      <c r="V121">
        <v>2</v>
      </c>
      <c r="W121">
        <v>25</v>
      </c>
      <c r="X121">
        <v>3</v>
      </c>
      <c r="Y121">
        <v>4</v>
      </c>
      <c r="Z121">
        <v>25</v>
      </c>
      <c r="AA121">
        <v>12</v>
      </c>
      <c r="AB121">
        <v>4</v>
      </c>
      <c r="AC121">
        <v>12</v>
      </c>
      <c r="AD121">
        <f>IF(HR_Data[[#This Row],[Attrition]]="Yes",1,0)</f>
        <v>0</v>
      </c>
      <c r="AE121" t="str">
        <f>IF(HR_Data[[#This Row],[Age]]&lt;=25,"18-25",IF(HR_Data[[#This Row],[Age]]&lt;=35,"26-35",IF(HR_Data[[#This Row],[Age]]&lt;=45,"36-45",IF(HR_Data[[#This Row],[Age]]&lt;=55,"46-55","55+"))))</f>
        <v>36-45</v>
      </c>
      <c r="AF121">
        <f>IF(HR_Data[[#This Row],[Age]]&lt;=25,1,IF(HR_Data[[#This Row],[Age]]&lt;=35,2,IF(HR_Data[[#This Row],[Age]]&lt;=45,3,IF(HR_Data[[#This Row],[Age]]&lt;=55,4,5))))</f>
        <v>3</v>
      </c>
      <c r="AG121" s="1" t="str">
        <f>IF(HR_Data[[#This Row],[MonthlyIncome]]&lt;3000,"&lt;3K",IF(HR_Data[[#This Row],[MonthlyIncome]]&lt;6000,"3K-6K",IF(HR_Data[[#This Row],[MonthlyIncome]]&lt;10000,"6K-10K","10K+")))</f>
        <v>10K+</v>
      </c>
      <c r="AH121" s="1">
        <f>IF(HR_Data[[#This Row],[MonthlyIncome]]&lt;3000,1,IF(HR_Data[[#This Row],[MonthlyIncome]]&lt;6000,2,IF(HR_Data[[#This Row],[MonthlyIncome]]&lt;10000,3,4)))</f>
        <v>4</v>
      </c>
      <c r="AI121" s="1" t="str">
        <f>IF(HR_Data[[#This Row],[YearsAtCompany]]&lt;=2,"0-2 Yrs",IF(HR_Data[[#This Row],[YearsAtCompany]]&lt;=5,"3-5 Yrs",IF(HR_Data[[#This Row],[YearsAtCompany]]&lt;=10,"6-10 Yrs","10+ Yrs")))</f>
        <v>10+ Yrs</v>
      </c>
      <c r="AJ121" s="1">
        <f>IF(HR_Data[[#This Row],[YearsAtCompany]]&lt;=2,1,IF(HR_Data[[#This Row],[YearsAtCompany]]&lt;=5,2,IF(HR_Data[[#This Row],[YearsAtCompany]]&lt;=10,3,4)))</f>
        <v>4</v>
      </c>
      <c r="AK121" s="1" t="str">
        <f>CHOOSE(HR_Data[[#This Row],[Education]],"Below College","College","Bachelor","Master","Doctor")</f>
        <v>College</v>
      </c>
      <c r="AL121" s="1" t="str">
        <f>CHOOSE(HR_Data[[#This Row],[JobSatisfaction]],"Low","Medium","High","Very High")</f>
        <v>Very High</v>
      </c>
      <c r="AM121" s="1" t="str">
        <f>CHOOSE(HR_Data[[#This Row],[EnvironmentSatisfaction]],"Low","Medium","High","Very High")</f>
        <v>High</v>
      </c>
      <c r="AN121" s="1" t="str">
        <f>CHOOSE(HR_Data[[#This Row],[WorkLifeBalance]],"Bad","Good","Better","Best")</f>
        <v>Best</v>
      </c>
      <c r="AO121" s="1" t="str">
        <f>IF(HR_Data[[#This Row],[PercentSalaryHike]]&lt;=13,"11-13%",IF(HR_Data[[#This Row],[PercentSalaryHike]]&lt;=16,"14-16%",IF(HR_Data[[#This Row],[PercentSalaryHike]]&lt;=19,"17-19%","20-25%")))</f>
        <v>11-13%</v>
      </c>
      <c r="AP121" s="1">
        <f>IF(HR_Data[[#This Row],[PercentSalaryHike]]&lt;=13,1,IF(HR_Data[[#This Row],[PercentSalaryHike]]&lt;=16,2,IF(HR_Data[[#This Row],[PercentSalaryHike]]&lt;=19,3,4)))</f>
        <v>1</v>
      </c>
      <c r="AQ121" s="1" t="str">
        <f>IF(HR_Data[[#This Row],[DistanceFromHome]]&lt;=5,"1 to 5",IF(HR_Data[[#This Row],[DistanceFromHome]]&lt;=10,"6 to 10",IF(HR_Data[[#This Row],[DistanceFromHome]]&lt;=20,"11 to 20","21 to 29")))</f>
        <v>21 to 29</v>
      </c>
      <c r="AR121" s="1">
        <f>IF(HR_Data[[#This Row],[DistanceFromHome]]&lt;=5,1,IF(HR_Data[[#This Row],[DistanceFromHome]]&lt;=10,2,IF(HR_Data[[#This Row],[DistanceFromHome]]&lt;=20,3,4)))</f>
        <v>4</v>
      </c>
      <c r="AS121" s="1" t="str">
        <f>IF(HR_Data[[#This Row],[TotalWorkingYears]]&lt;=5,"0-5 Yrs",IF(HR_Data[[#This Row],[TotalWorkingYears]]&lt;=10,"6-10 Yrs",IF(HR_Data[[#This Row],[TotalWorkingYears]]&lt;=20,"11-20 Yrs","20+ Yrs")))</f>
        <v>20+ Yrs</v>
      </c>
      <c r="AT121" s="1">
        <f>IF(HR_Data[[#This Row],[TotalWorkingYears]]&lt;=5,1,IF(HR_Data[[#This Row],[TotalWorkingYears]]&lt;=10,2,IF(HR_Data[[#This Row],[TotalWorkingYears]]&lt;=20,3,4)))</f>
        <v>4</v>
      </c>
    </row>
    <row r="122" spans="1:46" x14ac:dyDescent="0.25">
      <c r="A122">
        <v>30</v>
      </c>
      <c r="B122" t="s">
        <v>36</v>
      </c>
      <c r="C122" t="s">
        <v>37</v>
      </c>
      <c r="D122" t="s">
        <v>38</v>
      </c>
      <c r="E122">
        <v>23</v>
      </c>
      <c r="F122">
        <v>3</v>
      </c>
      <c r="G122" t="s">
        <v>32</v>
      </c>
      <c r="H122">
        <v>159</v>
      </c>
      <c r="I122">
        <v>1</v>
      </c>
      <c r="J122" t="s">
        <v>39</v>
      </c>
      <c r="K122">
        <v>1</v>
      </c>
      <c r="L122">
        <v>1</v>
      </c>
      <c r="M122" t="s">
        <v>40</v>
      </c>
      <c r="N122">
        <v>3</v>
      </c>
      <c r="O122" t="s">
        <v>45</v>
      </c>
      <c r="P122">
        <v>2613</v>
      </c>
      <c r="Q122">
        <v>1</v>
      </c>
      <c r="R122" t="s">
        <v>36</v>
      </c>
      <c r="S122">
        <v>25</v>
      </c>
      <c r="T122">
        <v>4</v>
      </c>
      <c r="U122">
        <v>3</v>
      </c>
      <c r="V122">
        <v>3</v>
      </c>
      <c r="W122">
        <v>10</v>
      </c>
      <c r="X122">
        <v>2</v>
      </c>
      <c r="Y122">
        <v>2</v>
      </c>
      <c r="Z122">
        <v>10</v>
      </c>
      <c r="AA122">
        <v>7</v>
      </c>
      <c r="AB122">
        <v>0</v>
      </c>
      <c r="AC122">
        <v>9</v>
      </c>
      <c r="AD122">
        <f>IF(HR_Data[[#This Row],[Attrition]]="Yes",1,0)</f>
        <v>0</v>
      </c>
      <c r="AE122" t="str">
        <f>IF(HR_Data[[#This Row],[Age]]&lt;=25,"18-25",IF(HR_Data[[#This Row],[Age]]&lt;=35,"26-35",IF(HR_Data[[#This Row],[Age]]&lt;=45,"36-45",IF(HR_Data[[#This Row],[Age]]&lt;=55,"46-55","55+"))))</f>
        <v>26-35</v>
      </c>
      <c r="AF122">
        <f>IF(HR_Data[[#This Row],[Age]]&lt;=25,1,IF(HR_Data[[#This Row],[Age]]&lt;=35,2,IF(HR_Data[[#This Row],[Age]]&lt;=45,3,IF(HR_Data[[#This Row],[Age]]&lt;=55,4,5))))</f>
        <v>2</v>
      </c>
      <c r="AG122" s="1" t="str">
        <f>IF(HR_Data[[#This Row],[MonthlyIncome]]&lt;3000,"&lt;3K",IF(HR_Data[[#This Row],[MonthlyIncome]]&lt;6000,"3K-6K",IF(HR_Data[[#This Row],[MonthlyIncome]]&lt;10000,"6K-10K","10K+")))</f>
        <v>&lt;3K</v>
      </c>
      <c r="AH122" s="1">
        <f>IF(HR_Data[[#This Row],[MonthlyIncome]]&lt;3000,1,IF(HR_Data[[#This Row],[MonthlyIncome]]&lt;6000,2,IF(HR_Data[[#This Row],[MonthlyIncome]]&lt;10000,3,4)))</f>
        <v>1</v>
      </c>
      <c r="AI122" s="1" t="str">
        <f>IF(HR_Data[[#This Row],[YearsAtCompany]]&lt;=2,"0-2 Yrs",IF(HR_Data[[#This Row],[YearsAtCompany]]&lt;=5,"3-5 Yrs",IF(HR_Data[[#This Row],[YearsAtCompany]]&lt;=10,"6-10 Yrs","10+ Yrs")))</f>
        <v>6-10 Yrs</v>
      </c>
      <c r="AJ122" s="1">
        <f>IF(HR_Data[[#This Row],[YearsAtCompany]]&lt;=2,1,IF(HR_Data[[#This Row],[YearsAtCompany]]&lt;=5,2,IF(HR_Data[[#This Row],[YearsAtCompany]]&lt;=10,3,4)))</f>
        <v>3</v>
      </c>
      <c r="AK122" s="1" t="str">
        <f>CHOOSE(HR_Data[[#This Row],[Education]],"Below College","College","Bachelor","Master","Doctor")</f>
        <v>Bachelor</v>
      </c>
      <c r="AL122" s="1" t="str">
        <f>CHOOSE(HR_Data[[#This Row],[JobSatisfaction]],"Low","Medium","High","Very High")</f>
        <v>High</v>
      </c>
      <c r="AM122" s="1" t="str">
        <f>CHOOSE(HR_Data[[#This Row],[EnvironmentSatisfaction]],"Low","Medium","High","Very High")</f>
        <v>Low</v>
      </c>
      <c r="AN122" s="1" t="str">
        <f>CHOOSE(HR_Data[[#This Row],[WorkLifeBalance]],"Bad","Good","Better","Best")</f>
        <v>Good</v>
      </c>
      <c r="AO122" s="1" t="str">
        <f>IF(HR_Data[[#This Row],[PercentSalaryHike]]&lt;=13,"11-13%",IF(HR_Data[[#This Row],[PercentSalaryHike]]&lt;=16,"14-16%",IF(HR_Data[[#This Row],[PercentSalaryHike]]&lt;=19,"17-19%","20-25%")))</f>
        <v>20-25%</v>
      </c>
      <c r="AP122" s="1">
        <f>IF(HR_Data[[#This Row],[PercentSalaryHike]]&lt;=13,1,IF(HR_Data[[#This Row],[PercentSalaryHike]]&lt;=16,2,IF(HR_Data[[#This Row],[PercentSalaryHike]]&lt;=19,3,4)))</f>
        <v>4</v>
      </c>
      <c r="AQ122" s="1" t="str">
        <f>IF(HR_Data[[#This Row],[DistanceFromHome]]&lt;=5,"1 to 5",IF(HR_Data[[#This Row],[DistanceFromHome]]&lt;=10,"6 to 10",IF(HR_Data[[#This Row],[DistanceFromHome]]&lt;=20,"11 to 20","21 to 29")))</f>
        <v>21 to 29</v>
      </c>
      <c r="AR122" s="1">
        <f>IF(HR_Data[[#This Row],[DistanceFromHome]]&lt;=5,1,IF(HR_Data[[#This Row],[DistanceFromHome]]&lt;=10,2,IF(HR_Data[[#This Row],[DistanceFromHome]]&lt;=20,3,4)))</f>
        <v>4</v>
      </c>
      <c r="AS122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22" s="1">
        <f>IF(HR_Data[[#This Row],[TotalWorkingYears]]&lt;=5,1,IF(HR_Data[[#This Row],[TotalWorkingYears]]&lt;=10,2,IF(HR_Data[[#This Row],[TotalWorkingYears]]&lt;=20,3,4)))</f>
        <v>2</v>
      </c>
    </row>
    <row r="123" spans="1:46" x14ac:dyDescent="0.25">
      <c r="A123">
        <v>33</v>
      </c>
      <c r="B123" t="s">
        <v>36</v>
      </c>
      <c r="C123" t="s">
        <v>48</v>
      </c>
      <c r="D123" t="s">
        <v>31</v>
      </c>
      <c r="E123">
        <v>22</v>
      </c>
      <c r="F123">
        <v>2</v>
      </c>
      <c r="G123" t="s">
        <v>52</v>
      </c>
      <c r="H123">
        <v>160</v>
      </c>
      <c r="I123">
        <v>3</v>
      </c>
      <c r="J123" t="s">
        <v>39</v>
      </c>
      <c r="K123">
        <v>3</v>
      </c>
      <c r="L123">
        <v>2</v>
      </c>
      <c r="M123" t="s">
        <v>34</v>
      </c>
      <c r="N123">
        <v>2</v>
      </c>
      <c r="O123" t="s">
        <v>41</v>
      </c>
      <c r="P123">
        <v>6146</v>
      </c>
      <c r="Q123">
        <v>0</v>
      </c>
      <c r="R123" t="s">
        <v>36</v>
      </c>
      <c r="S123">
        <v>13</v>
      </c>
      <c r="T123">
        <v>3</v>
      </c>
      <c r="U123">
        <v>1</v>
      </c>
      <c r="V123">
        <v>1</v>
      </c>
      <c r="W123">
        <v>8</v>
      </c>
      <c r="X123">
        <v>2</v>
      </c>
      <c r="Y123">
        <v>4</v>
      </c>
      <c r="Z123">
        <v>7</v>
      </c>
      <c r="AA123">
        <v>7</v>
      </c>
      <c r="AB123">
        <v>0</v>
      </c>
      <c r="AC123">
        <v>7</v>
      </c>
      <c r="AD123">
        <f>IF(HR_Data[[#This Row],[Attrition]]="Yes",1,0)</f>
        <v>0</v>
      </c>
      <c r="AE123" t="str">
        <f>IF(HR_Data[[#This Row],[Age]]&lt;=25,"18-25",IF(HR_Data[[#This Row],[Age]]&lt;=35,"26-35",IF(HR_Data[[#This Row],[Age]]&lt;=45,"36-45",IF(HR_Data[[#This Row],[Age]]&lt;=55,"46-55","55+"))))</f>
        <v>26-35</v>
      </c>
      <c r="AF123">
        <f>IF(HR_Data[[#This Row],[Age]]&lt;=25,1,IF(HR_Data[[#This Row],[Age]]&lt;=35,2,IF(HR_Data[[#This Row],[Age]]&lt;=45,3,IF(HR_Data[[#This Row],[Age]]&lt;=55,4,5))))</f>
        <v>2</v>
      </c>
      <c r="AG123" s="1" t="str">
        <f>IF(HR_Data[[#This Row],[MonthlyIncome]]&lt;3000,"&lt;3K",IF(HR_Data[[#This Row],[MonthlyIncome]]&lt;6000,"3K-6K",IF(HR_Data[[#This Row],[MonthlyIncome]]&lt;10000,"6K-10K","10K+")))</f>
        <v>6K-10K</v>
      </c>
      <c r="AH123" s="1">
        <f>IF(HR_Data[[#This Row],[MonthlyIncome]]&lt;3000,1,IF(HR_Data[[#This Row],[MonthlyIncome]]&lt;6000,2,IF(HR_Data[[#This Row],[MonthlyIncome]]&lt;10000,3,4)))</f>
        <v>3</v>
      </c>
      <c r="AI123" s="1" t="str">
        <f>IF(HR_Data[[#This Row],[YearsAtCompany]]&lt;=2,"0-2 Yrs",IF(HR_Data[[#This Row],[YearsAtCompany]]&lt;=5,"3-5 Yrs",IF(HR_Data[[#This Row],[YearsAtCompany]]&lt;=10,"6-10 Yrs","10+ Yrs")))</f>
        <v>6-10 Yrs</v>
      </c>
      <c r="AJ123" s="1">
        <f>IF(HR_Data[[#This Row],[YearsAtCompany]]&lt;=2,1,IF(HR_Data[[#This Row],[YearsAtCompany]]&lt;=5,2,IF(HR_Data[[#This Row],[YearsAtCompany]]&lt;=10,3,4)))</f>
        <v>3</v>
      </c>
      <c r="AK123" s="1" t="str">
        <f>CHOOSE(HR_Data[[#This Row],[Education]],"Below College","College","Bachelor","Master","Doctor")</f>
        <v>College</v>
      </c>
      <c r="AL123" s="1" t="str">
        <f>CHOOSE(HR_Data[[#This Row],[JobSatisfaction]],"Low","Medium","High","Very High")</f>
        <v>Medium</v>
      </c>
      <c r="AM123" s="1" t="str">
        <f>CHOOSE(HR_Data[[#This Row],[EnvironmentSatisfaction]],"Low","Medium","High","Very High")</f>
        <v>High</v>
      </c>
      <c r="AN123" s="1" t="str">
        <f>CHOOSE(HR_Data[[#This Row],[WorkLifeBalance]],"Bad","Good","Better","Best")</f>
        <v>Best</v>
      </c>
      <c r="AO123" s="1" t="str">
        <f>IF(HR_Data[[#This Row],[PercentSalaryHike]]&lt;=13,"11-13%",IF(HR_Data[[#This Row],[PercentSalaryHike]]&lt;=16,"14-16%",IF(HR_Data[[#This Row],[PercentSalaryHike]]&lt;=19,"17-19%","20-25%")))</f>
        <v>11-13%</v>
      </c>
      <c r="AP123" s="1">
        <f>IF(HR_Data[[#This Row],[PercentSalaryHike]]&lt;=13,1,IF(HR_Data[[#This Row],[PercentSalaryHike]]&lt;=16,2,IF(HR_Data[[#This Row],[PercentSalaryHike]]&lt;=19,3,4)))</f>
        <v>1</v>
      </c>
      <c r="AQ123" s="1" t="str">
        <f>IF(HR_Data[[#This Row],[DistanceFromHome]]&lt;=5,"1 to 5",IF(HR_Data[[#This Row],[DistanceFromHome]]&lt;=10,"6 to 10",IF(HR_Data[[#This Row],[DistanceFromHome]]&lt;=20,"11 to 20","21 to 29")))</f>
        <v>21 to 29</v>
      </c>
      <c r="AR123" s="1">
        <f>IF(HR_Data[[#This Row],[DistanceFromHome]]&lt;=5,1,IF(HR_Data[[#This Row],[DistanceFromHome]]&lt;=10,2,IF(HR_Data[[#This Row],[DistanceFromHome]]&lt;=20,3,4)))</f>
        <v>4</v>
      </c>
      <c r="AS123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23" s="1">
        <f>IF(HR_Data[[#This Row],[TotalWorkingYears]]&lt;=5,1,IF(HR_Data[[#This Row],[TotalWorkingYears]]&lt;=10,2,IF(HR_Data[[#This Row],[TotalWorkingYears]]&lt;=20,3,4)))</f>
        <v>2</v>
      </c>
    </row>
    <row r="124" spans="1:46" x14ac:dyDescent="0.25">
      <c r="A124">
        <v>56</v>
      </c>
      <c r="B124" t="s">
        <v>29</v>
      </c>
      <c r="C124" t="s">
        <v>30</v>
      </c>
      <c r="D124" t="s">
        <v>38</v>
      </c>
      <c r="E124">
        <v>14</v>
      </c>
      <c r="F124">
        <v>4</v>
      </c>
      <c r="G124" t="s">
        <v>32</v>
      </c>
      <c r="H124">
        <v>161</v>
      </c>
      <c r="I124">
        <v>2</v>
      </c>
      <c r="J124" t="s">
        <v>33</v>
      </c>
      <c r="K124">
        <v>3</v>
      </c>
      <c r="L124">
        <v>1</v>
      </c>
      <c r="M124" t="s">
        <v>40</v>
      </c>
      <c r="N124">
        <v>2</v>
      </c>
      <c r="O124" t="s">
        <v>41</v>
      </c>
      <c r="P124">
        <v>4963</v>
      </c>
      <c r="Q124">
        <v>9</v>
      </c>
      <c r="R124" t="s">
        <v>29</v>
      </c>
      <c r="S124">
        <v>18</v>
      </c>
      <c r="T124">
        <v>3</v>
      </c>
      <c r="U124">
        <v>1</v>
      </c>
      <c r="V124">
        <v>3</v>
      </c>
      <c r="W124">
        <v>7</v>
      </c>
      <c r="X124">
        <v>2</v>
      </c>
      <c r="Y124">
        <v>3</v>
      </c>
      <c r="Z124">
        <v>5</v>
      </c>
      <c r="AA124">
        <v>4</v>
      </c>
      <c r="AB124">
        <v>4</v>
      </c>
      <c r="AC124">
        <v>3</v>
      </c>
      <c r="AD124">
        <f>IF(HR_Data[[#This Row],[Attrition]]="Yes",1,0)</f>
        <v>1</v>
      </c>
      <c r="AE124" t="str">
        <f>IF(HR_Data[[#This Row],[Age]]&lt;=25,"18-25",IF(HR_Data[[#This Row],[Age]]&lt;=35,"26-35",IF(HR_Data[[#This Row],[Age]]&lt;=45,"36-45",IF(HR_Data[[#This Row],[Age]]&lt;=55,"46-55","55+"))))</f>
        <v>55+</v>
      </c>
      <c r="AF124">
        <f>IF(HR_Data[[#This Row],[Age]]&lt;=25,1,IF(HR_Data[[#This Row],[Age]]&lt;=35,2,IF(HR_Data[[#This Row],[Age]]&lt;=45,3,IF(HR_Data[[#This Row],[Age]]&lt;=55,4,5))))</f>
        <v>5</v>
      </c>
      <c r="AG124" s="1" t="str">
        <f>IF(HR_Data[[#This Row],[MonthlyIncome]]&lt;3000,"&lt;3K",IF(HR_Data[[#This Row],[MonthlyIncome]]&lt;6000,"3K-6K",IF(HR_Data[[#This Row],[MonthlyIncome]]&lt;10000,"6K-10K","10K+")))</f>
        <v>3K-6K</v>
      </c>
      <c r="AH124" s="1">
        <f>IF(HR_Data[[#This Row],[MonthlyIncome]]&lt;3000,1,IF(HR_Data[[#This Row],[MonthlyIncome]]&lt;6000,2,IF(HR_Data[[#This Row],[MonthlyIncome]]&lt;10000,3,4)))</f>
        <v>2</v>
      </c>
      <c r="AI124" s="1" t="str">
        <f>IF(HR_Data[[#This Row],[YearsAtCompany]]&lt;=2,"0-2 Yrs",IF(HR_Data[[#This Row],[YearsAtCompany]]&lt;=5,"3-5 Yrs",IF(HR_Data[[#This Row],[YearsAtCompany]]&lt;=10,"6-10 Yrs","10+ Yrs")))</f>
        <v>3-5 Yrs</v>
      </c>
      <c r="AJ124" s="1">
        <f>IF(HR_Data[[#This Row],[YearsAtCompany]]&lt;=2,1,IF(HR_Data[[#This Row],[YearsAtCompany]]&lt;=5,2,IF(HR_Data[[#This Row],[YearsAtCompany]]&lt;=10,3,4)))</f>
        <v>2</v>
      </c>
      <c r="AK124" s="1" t="str">
        <f>CHOOSE(HR_Data[[#This Row],[Education]],"Below College","College","Bachelor","Master","Doctor")</f>
        <v>Master</v>
      </c>
      <c r="AL124" s="1" t="str">
        <f>CHOOSE(HR_Data[[#This Row],[JobSatisfaction]],"Low","Medium","High","Very High")</f>
        <v>Medium</v>
      </c>
      <c r="AM124" s="1" t="str">
        <f>CHOOSE(HR_Data[[#This Row],[EnvironmentSatisfaction]],"Low","Medium","High","Very High")</f>
        <v>Medium</v>
      </c>
      <c r="AN124" s="1" t="str">
        <f>CHOOSE(HR_Data[[#This Row],[WorkLifeBalance]],"Bad","Good","Better","Best")</f>
        <v>Better</v>
      </c>
      <c r="AO124" s="1" t="str">
        <f>IF(HR_Data[[#This Row],[PercentSalaryHike]]&lt;=13,"11-13%",IF(HR_Data[[#This Row],[PercentSalaryHike]]&lt;=16,"14-16%",IF(HR_Data[[#This Row],[PercentSalaryHike]]&lt;=19,"17-19%","20-25%")))</f>
        <v>17-19%</v>
      </c>
      <c r="AP124" s="1">
        <f>IF(HR_Data[[#This Row],[PercentSalaryHike]]&lt;=13,1,IF(HR_Data[[#This Row],[PercentSalaryHike]]&lt;=16,2,IF(HR_Data[[#This Row],[PercentSalaryHike]]&lt;=19,3,4)))</f>
        <v>3</v>
      </c>
      <c r="AQ124" s="1" t="str">
        <f>IF(HR_Data[[#This Row],[DistanceFromHome]]&lt;=5,"1 to 5",IF(HR_Data[[#This Row],[DistanceFromHome]]&lt;=10,"6 to 10",IF(HR_Data[[#This Row],[DistanceFromHome]]&lt;=20,"11 to 20","21 to 29")))</f>
        <v>11 to 20</v>
      </c>
      <c r="AR124" s="1">
        <f>IF(HR_Data[[#This Row],[DistanceFromHome]]&lt;=5,1,IF(HR_Data[[#This Row],[DistanceFromHome]]&lt;=10,2,IF(HR_Data[[#This Row],[DistanceFromHome]]&lt;=20,3,4)))</f>
        <v>3</v>
      </c>
      <c r="AS124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24" s="1">
        <f>IF(HR_Data[[#This Row],[TotalWorkingYears]]&lt;=5,1,IF(HR_Data[[#This Row],[TotalWorkingYears]]&lt;=10,2,IF(HR_Data[[#This Row],[TotalWorkingYears]]&lt;=20,3,4)))</f>
        <v>2</v>
      </c>
    </row>
    <row r="125" spans="1:46" x14ac:dyDescent="0.25">
      <c r="A125">
        <v>51</v>
      </c>
      <c r="B125" t="s">
        <v>36</v>
      </c>
      <c r="C125" t="s">
        <v>30</v>
      </c>
      <c r="D125" t="s">
        <v>38</v>
      </c>
      <c r="E125">
        <v>6</v>
      </c>
      <c r="F125">
        <v>3</v>
      </c>
      <c r="G125" t="s">
        <v>32</v>
      </c>
      <c r="H125">
        <v>162</v>
      </c>
      <c r="I125">
        <v>1</v>
      </c>
      <c r="J125" t="s">
        <v>39</v>
      </c>
      <c r="K125">
        <v>3</v>
      </c>
      <c r="L125">
        <v>5</v>
      </c>
      <c r="M125" t="s">
        <v>51</v>
      </c>
      <c r="N125">
        <v>3</v>
      </c>
      <c r="O125" t="s">
        <v>35</v>
      </c>
      <c r="P125">
        <v>19537</v>
      </c>
      <c r="Q125">
        <v>7</v>
      </c>
      <c r="R125" t="s">
        <v>36</v>
      </c>
      <c r="S125">
        <v>13</v>
      </c>
      <c r="T125">
        <v>3</v>
      </c>
      <c r="U125">
        <v>3</v>
      </c>
      <c r="V125">
        <v>0</v>
      </c>
      <c r="W125">
        <v>23</v>
      </c>
      <c r="X125">
        <v>5</v>
      </c>
      <c r="Y125">
        <v>3</v>
      </c>
      <c r="Z125">
        <v>20</v>
      </c>
      <c r="AA125">
        <v>18</v>
      </c>
      <c r="AB125">
        <v>15</v>
      </c>
      <c r="AC125">
        <v>15</v>
      </c>
      <c r="AD125">
        <f>IF(HR_Data[[#This Row],[Attrition]]="Yes",1,0)</f>
        <v>0</v>
      </c>
      <c r="AE125" t="str">
        <f>IF(HR_Data[[#This Row],[Age]]&lt;=25,"18-25",IF(HR_Data[[#This Row],[Age]]&lt;=35,"26-35",IF(HR_Data[[#This Row],[Age]]&lt;=45,"36-45",IF(HR_Data[[#This Row],[Age]]&lt;=55,"46-55","55+"))))</f>
        <v>46-55</v>
      </c>
      <c r="AF125">
        <f>IF(HR_Data[[#This Row],[Age]]&lt;=25,1,IF(HR_Data[[#This Row],[Age]]&lt;=35,2,IF(HR_Data[[#This Row],[Age]]&lt;=45,3,IF(HR_Data[[#This Row],[Age]]&lt;=55,4,5))))</f>
        <v>4</v>
      </c>
      <c r="AG125" s="1" t="str">
        <f>IF(HR_Data[[#This Row],[MonthlyIncome]]&lt;3000,"&lt;3K",IF(HR_Data[[#This Row],[MonthlyIncome]]&lt;6000,"3K-6K",IF(HR_Data[[#This Row],[MonthlyIncome]]&lt;10000,"6K-10K","10K+")))</f>
        <v>10K+</v>
      </c>
      <c r="AH125" s="1">
        <f>IF(HR_Data[[#This Row],[MonthlyIncome]]&lt;3000,1,IF(HR_Data[[#This Row],[MonthlyIncome]]&lt;6000,2,IF(HR_Data[[#This Row],[MonthlyIncome]]&lt;10000,3,4)))</f>
        <v>4</v>
      </c>
      <c r="AI125" s="1" t="str">
        <f>IF(HR_Data[[#This Row],[YearsAtCompany]]&lt;=2,"0-2 Yrs",IF(HR_Data[[#This Row],[YearsAtCompany]]&lt;=5,"3-5 Yrs",IF(HR_Data[[#This Row],[YearsAtCompany]]&lt;=10,"6-10 Yrs","10+ Yrs")))</f>
        <v>10+ Yrs</v>
      </c>
      <c r="AJ125" s="1">
        <f>IF(HR_Data[[#This Row],[YearsAtCompany]]&lt;=2,1,IF(HR_Data[[#This Row],[YearsAtCompany]]&lt;=5,2,IF(HR_Data[[#This Row],[YearsAtCompany]]&lt;=10,3,4)))</f>
        <v>4</v>
      </c>
      <c r="AK125" s="1" t="str">
        <f>CHOOSE(HR_Data[[#This Row],[Education]],"Below College","College","Bachelor","Master","Doctor")</f>
        <v>Bachelor</v>
      </c>
      <c r="AL125" s="1" t="str">
        <f>CHOOSE(HR_Data[[#This Row],[JobSatisfaction]],"Low","Medium","High","Very High")</f>
        <v>High</v>
      </c>
      <c r="AM125" s="1" t="str">
        <f>CHOOSE(HR_Data[[#This Row],[EnvironmentSatisfaction]],"Low","Medium","High","Very High")</f>
        <v>Low</v>
      </c>
      <c r="AN125" s="1" t="str">
        <f>CHOOSE(HR_Data[[#This Row],[WorkLifeBalance]],"Bad","Good","Better","Best")</f>
        <v>Better</v>
      </c>
      <c r="AO125" s="1" t="str">
        <f>IF(HR_Data[[#This Row],[PercentSalaryHike]]&lt;=13,"11-13%",IF(HR_Data[[#This Row],[PercentSalaryHike]]&lt;=16,"14-16%",IF(HR_Data[[#This Row],[PercentSalaryHike]]&lt;=19,"17-19%","20-25%")))</f>
        <v>11-13%</v>
      </c>
      <c r="AP125" s="1">
        <f>IF(HR_Data[[#This Row],[PercentSalaryHike]]&lt;=13,1,IF(HR_Data[[#This Row],[PercentSalaryHike]]&lt;=16,2,IF(HR_Data[[#This Row],[PercentSalaryHike]]&lt;=19,3,4)))</f>
        <v>1</v>
      </c>
      <c r="AQ125" s="1" t="str">
        <f>IF(HR_Data[[#This Row],[DistanceFromHome]]&lt;=5,"1 to 5",IF(HR_Data[[#This Row],[DistanceFromHome]]&lt;=10,"6 to 10",IF(HR_Data[[#This Row],[DistanceFromHome]]&lt;=20,"11 to 20","21 to 29")))</f>
        <v>6 to 10</v>
      </c>
      <c r="AR125" s="1">
        <f>IF(HR_Data[[#This Row],[DistanceFromHome]]&lt;=5,1,IF(HR_Data[[#This Row],[DistanceFromHome]]&lt;=10,2,IF(HR_Data[[#This Row],[DistanceFromHome]]&lt;=20,3,4)))</f>
        <v>2</v>
      </c>
      <c r="AS125" s="1" t="str">
        <f>IF(HR_Data[[#This Row],[TotalWorkingYears]]&lt;=5,"0-5 Yrs",IF(HR_Data[[#This Row],[TotalWorkingYears]]&lt;=10,"6-10 Yrs",IF(HR_Data[[#This Row],[TotalWorkingYears]]&lt;=20,"11-20 Yrs","20+ Yrs")))</f>
        <v>20+ Yrs</v>
      </c>
      <c r="AT125" s="1">
        <f>IF(HR_Data[[#This Row],[TotalWorkingYears]]&lt;=5,1,IF(HR_Data[[#This Row],[TotalWorkingYears]]&lt;=10,2,IF(HR_Data[[#This Row],[TotalWorkingYears]]&lt;=20,3,4)))</f>
        <v>4</v>
      </c>
    </row>
    <row r="126" spans="1:46" x14ac:dyDescent="0.25">
      <c r="A126">
        <v>31</v>
      </c>
      <c r="B126" t="s">
        <v>29</v>
      </c>
      <c r="C126" t="s">
        <v>30</v>
      </c>
      <c r="D126" t="s">
        <v>31</v>
      </c>
      <c r="E126">
        <v>6</v>
      </c>
      <c r="F126">
        <v>4</v>
      </c>
      <c r="G126" t="s">
        <v>32</v>
      </c>
      <c r="H126">
        <v>163</v>
      </c>
      <c r="I126">
        <v>2</v>
      </c>
      <c r="J126" t="s">
        <v>39</v>
      </c>
      <c r="K126">
        <v>1</v>
      </c>
      <c r="L126">
        <v>2</v>
      </c>
      <c r="M126" t="s">
        <v>34</v>
      </c>
      <c r="N126">
        <v>3</v>
      </c>
      <c r="O126" t="s">
        <v>41</v>
      </c>
      <c r="P126">
        <v>6172</v>
      </c>
      <c r="Q126">
        <v>4</v>
      </c>
      <c r="R126" t="s">
        <v>29</v>
      </c>
      <c r="S126">
        <v>18</v>
      </c>
      <c r="T126">
        <v>3</v>
      </c>
      <c r="U126">
        <v>2</v>
      </c>
      <c r="V126">
        <v>0</v>
      </c>
      <c r="W126">
        <v>12</v>
      </c>
      <c r="X126">
        <v>3</v>
      </c>
      <c r="Y126">
        <v>2</v>
      </c>
      <c r="Z126">
        <v>7</v>
      </c>
      <c r="AA126">
        <v>7</v>
      </c>
      <c r="AB126">
        <v>7</v>
      </c>
      <c r="AC126">
        <v>7</v>
      </c>
      <c r="AD126">
        <f>IF(HR_Data[[#This Row],[Attrition]]="Yes",1,0)</f>
        <v>1</v>
      </c>
      <c r="AE126" t="str">
        <f>IF(HR_Data[[#This Row],[Age]]&lt;=25,"18-25",IF(HR_Data[[#This Row],[Age]]&lt;=35,"26-35",IF(HR_Data[[#This Row],[Age]]&lt;=45,"36-45",IF(HR_Data[[#This Row],[Age]]&lt;=55,"46-55","55+"))))</f>
        <v>26-35</v>
      </c>
      <c r="AF126">
        <f>IF(HR_Data[[#This Row],[Age]]&lt;=25,1,IF(HR_Data[[#This Row],[Age]]&lt;=35,2,IF(HR_Data[[#This Row],[Age]]&lt;=45,3,IF(HR_Data[[#This Row],[Age]]&lt;=55,4,5))))</f>
        <v>2</v>
      </c>
      <c r="AG126" s="1" t="str">
        <f>IF(HR_Data[[#This Row],[MonthlyIncome]]&lt;3000,"&lt;3K",IF(HR_Data[[#This Row],[MonthlyIncome]]&lt;6000,"3K-6K",IF(HR_Data[[#This Row],[MonthlyIncome]]&lt;10000,"6K-10K","10K+")))</f>
        <v>6K-10K</v>
      </c>
      <c r="AH126" s="1">
        <f>IF(HR_Data[[#This Row],[MonthlyIncome]]&lt;3000,1,IF(HR_Data[[#This Row],[MonthlyIncome]]&lt;6000,2,IF(HR_Data[[#This Row],[MonthlyIncome]]&lt;10000,3,4)))</f>
        <v>3</v>
      </c>
      <c r="AI126" s="1" t="str">
        <f>IF(HR_Data[[#This Row],[YearsAtCompany]]&lt;=2,"0-2 Yrs",IF(HR_Data[[#This Row],[YearsAtCompany]]&lt;=5,"3-5 Yrs",IF(HR_Data[[#This Row],[YearsAtCompany]]&lt;=10,"6-10 Yrs","10+ Yrs")))</f>
        <v>6-10 Yrs</v>
      </c>
      <c r="AJ126" s="1">
        <f>IF(HR_Data[[#This Row],[YearsAtCompany]]&lt;=2,1,IF(HR_Data[[#This Row],[YearsAtCompany]]&lt;=5,2,IF(HR_Data[[#This Row],[YearsAtCompany]]&lt;=10,3,4)))</f>
        <v>3</v>
      </c>
      <c r="AK126" s="1" t="str">
        <f>CHOOSE(HR_Data[[#This Row],[Education]],"Below College","College","Bachelor","Master","Doctor")</f>
        <v>Master</v>
      </c>
      <c r="AL126" s="1" t="str">
        <f>CHOOSE(HR_Data[[#This Row],[JobSatisfaction]],"Low","Medium","High","Very High")</f>
        <v>High</v>
      </c>
      <c r="AM126" s="1" t="str">
        <f>CHOOSE(HR_Data[[#This Row],[EnvironmentSatisfaction]],"Low","Medium","High","Very High")</f>
        <v>Medium</v>
      </c>
      <c r="AN126" s="1" t="str">
        <f>CHOOSE(HR_Data[[#This Row],[WorkLifeBalance]],"Bad","Good","Better","Best")</f>
        <v>Good</v>
      </c>
      <c r="AO126" s="1" t="str">
        <f>IF(HR_Data[[#This Row],[PercentSalaryHike]]&lt;=13,"11-13%",IF(HR_Data[[#This Row],[PercentSalaryHike]]&lt;=16,"14-16%",IF(HR_Data[[#This Row],[PercentSalaryHike]]&lt;=19,"17-19%","20-25%")))</f>
        <v>17-19%</v>
      </c>
      <c r="AP126" s="1">
        <f>IF(HR_Data[[#This Row],[PercentSalaryHike]]&lt;=13,1,IF(HR_Data[[#This Row],[PercentSalaryHike]]&lt;=16,2,IF(HR_Data[[#This Row],[PercentSalaryHike]]&lt;=19,3,4)))</f>
        <v>3</v>
      </c>
      <c r="AQ126" s="1" t="str">
        <f>IF(HR_Data[[#This Row],[DistanceFromHome]]&lt;=5,"1 to 5",IF(HR_Data[[#This Row],[DistanceFromHome]]&lt;=10,"6 to 10",IF(HR_Data[[#This Row],[DistanceFromHome]]&lt;=20,"11 to 20","21 to 29")))</f>
        <v>6 to 10</v>
      </c>
      <c r="AR126" s="1">
        <f>IF(HR_Data[[#This Row],[DistanceFromHome]]&lt;=5,1,IF(HR_Data[[#This Row],[DistanceFromHome]]&lt;=10,2,IF(HR_Data[[#This Row],[DistanceFromHome]]&lt;=20,3,4)))</f>
        <v>2</v>
      </c>
      <c r="AS126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26" s="1">
        <f>IF(HR_Data[[#This Row],[TotalWorkingYears]]&lt;=5,1,IF(HR_Data[[#This Row],[TotalWorkingYears]]&lt;=10,2,IF(HR_Data[[#This Row],[TotalWorkingYears]]&lt;=20,3,4)))</f>
        <v>3</v>
      </c>
    </row>
    <row r="127" spans="1:46" x14ac:dyDescent="0.25">
      <c r="A127">
        <v>26</v>
      </c>
      <c r="B127" t="s">
        <v>36</v>
      </c>
      <c r="C127" t="s">
        <v>30</v>
      </c>
      <c r="D127" t="s">
        <v>38</v>
      </c>
      <c r="E127">
        <v>6</v>
      </c>
      <c r="F127">
        <v>3</v>
      </c>
      <c r="G127" t="s">
        <v>42</v>
      </c>
      <c r="H127">
        <v>164</v>
      </c>
      <c r="I127">
        <v>3</v>
      </c>
      <c r="J127" t="s">
        <v>33</v>
      </c>
      <c r="K127">
        <v>2</v>
      </c>
      <c r="L127">
        <v>1</v>
      </c>
      <c r="M127" t="s">
        <v>40</v>
      </c>
      <c r="N127">
        <v>2</v>
      </c>
      <c r="O127" t="s">
        <v>41</v>
      </c>
      <c r="P127">
        <v>2368</v>
      </c>
      <c r="Q127">
        <v>1</v>
      </c>
      <c r="R127" t="s">
        <v>36</v>
      </c>
      <c r="S127">
        <v>19</v>
      </c>
      <c r="T127">
        <v>3</v>
      </c>
      <c r="U127">
        <v>3</v>
      </c>
      <c r="V127">
        <v>0</v>
      </c>
      <c r="W127">
        <v>5</v>
      </c>
      <c r="X127">
        <v>3</v>
      </c>
      <c r="Y127">
        <v>2</v>
      </c>
      <c r="Z127">
        <v>5</v>
      </c>
      <c r="AA127">
        <v>4</v>
      </c>
      <c r="AB127">
        <v>4</v>
      </c>
      <c r="AC127">
        <v>3</v>
      </c>
      <c r="AD127">
        <f>IF(HR_Data[[#This Row],[Attrition]]="Yes",1,0)</f>
        <v>0</v>
      </c>
      <c r="AE127" t="str">
        <f>IF(HR_Data[[#This Row],[Age]]&lt;=25,"18-25",IF(HR_Data[[#This Row],[Age]]&lt;=35,"26-35",IF(HR_Data[[#This Row],[Age]]&lt;=45,"36-45",IF(HR_Data[[#This Row],[Age]]&lt;=55,"46-55","55+"))))</f>
        <v>26-35</v>
      </c>
      <c r="AF127">
        <f>IF(HR_Data[[#This Row],[Age]]&lt;=25,1,IF(HR_Data[[#This Row],[Age]]&lt;=35,2,IF(HR_Data[[#This Row],[Age]]&lt;=45,3,IF(HR_Data[[#This Row],[Age]]&lt;=55,4,5))))</f>
        <v>2</v>
      </c>
      <c r="AG127" s="1" t="str">
        <f>IF(HR_Data[[#This Row],[MonthlyIncome]]&lt;3000,"&lt;3K",IF(HR_Data[[#This Row],[MonthlyIncome]]&lt;6000,"3K-6K",IF(HR_Data[[#This Row],[MonthlyIncome]]&lt;10000,"6K-10K","10K+")))</f>
        <v>&lt;3K</v>
      </c>
      <c r="AH127" s="1">
        <f>IF(HR_Data[[#This Row],[MonthlyIncome]]&lt;3000,1,IF(HR_Data[[#This Row],[MonthlyIncome]]&lt;6000,2,IF(HR_Data[[#This Row],[MonthlyIncome]]&lt;10000,3,4)))</f>
        <v>1</v>
      </c>
      <c r="AI127" s="1" t="str">
        <f>IF(HR_Data[[#This Row],[YearsAtCompany]]&lt;=2,"0-2 Yrs",IF(HR_Data[[#This Row],[YearsAtCompany]]&lt;=5,"3-5 Yrs",IF(HR_Data[[#This Row],[YearsAtCompany]]&lt;=10,"6-10 Yrs","10+ Yrs")))</f>
        <v>3-5 Yrs</v>
      </c>
      <c r="AJ127" s="1">
        <f>IF(HR_Data[[#This Row],[YearsAtCompany]]&lt;=2,1,IF(HR_Data[[#This Row],[YearsAtCompany]]&lt;=5,2,IF(HR_Data[[#This Row],[YearsAtCompany]]&lt;=10,3,4)))</f>
        <v>2</v>
      </c>
      <c r="AK127" s="1" t="str">
        <f>CHOOSE(HR_Data[[#This Row],[Education]],"Below College","College","Bachelor","Master","Doctor")</f>
        <v>Bachelor</v>
      </c>
      <c r="AL127" s="1" t="str">
        <f>CHOOSE(HR_Data[[#This Row],[JobSatisfaction]],"Low","Medium","High","Very High")</f>
        <v>Medium</v>
      </c>
      <c r="AM127" s="1" t="str">
        <f>CHOOSE(HR_Data[[#This Row],[EnvironmentSatisfaction]],"Low","Medium","High","Very High")</f>
        <v>High</v>
      </c>
      <c r="AN127" s="1" t="str">
        <f>CHOOSE(HR_Data[[#This Row],[WorkLifeBalance]],"Bad","Good","Better","Best")</f>
        <v>Good</v>
      </c>
      <c r="AO127" s="1" t="str">
        <f>IF(HR_Data[[#This Row],[PercentSalaryHike]]&lt;=13,"11-13%",IF(HR_Data[[#This Row],[PercentSalaryHike]]&lt;=16,"14-16%",IF(HR_Data[[#This Row],[PercentSalaryHike]]&lt;=19,"17-19%","20-25%")))</f>
        <v>17-19%</v>
      </c>
      <c r="AP127" s="1">
        <f>IF(HR_Data[[#This Row],[PercentSalaryHike]]&lt;=13,1,IF(HR_Data[[#This Row],[PercentSalaryHike]]&lt;=16,2,IF(HR_Data[[#This Row],[PercentSalaryHike]]&lt;=19,3,4)))</f>
        <v>3</v>
      </c>
      <c r="AQ127" s="1" t="str">
        <f>IF(HR_Data[[#This Row],[DistanceFromHome]]&lt;=5,"1 to 5",IF(HR_Data[[#This Row],[DistanceFromHome]]&lt;=10,"6 to 10",IF(HR_Data[[#This Row],[DistanceFromHome]]&lt;=20,"11 to 20","21 to 29")))</f>
        <v>6 to 10</v>
      </c>
      <c r="AR127" s="1">
        <f>IF(HR_Data[[#This Row],[DistanceFromHome]]&lt;=5,1,IF(HR_Data[[#This Row],[DistanceFromHome]]&lt;=10,2,IF(HR_Data[[#This Row],[DistanceFromHome]]&lt;=20,3,4)))</f>
        <v>2</v>
      </c>
      <c r="AS127" s="1" t="str">
        <f>IF(HR_Data[[#This Row],[TotalWorkingYears]]&lt;=5,"0-5 Yrs",IF(HR_Data[[#This Row],[TotalWorkingYears]]&lt;=10,"6-10 Yrs",IF(HR_Data[[#This Row],[TotalWorkingYears]]&lt;=20,"11-20 Yrs","20+ Yrs")))</f>
        <v>0-5 Yrs</v>
      </c>
      <c r="AT127" s="1">
        <f>IF(HR_Data[[#This Row],[TotalWorkingYears]]&lt;=5,1,IF(HR_Data[[#This Row],[TotalWorkingYears]]&lt;=10,2,IF(HR_Data[[#This Row],[TotalWorkingYears]]&lt;=20,3,4)))</f>
        <v>1</v>
      </c>
    </row>
    <row r="128" spans="1:46" x14ac:dyDescent="0.25">
      <c r="A128">
        <v>58</v>
      </c>
      <c r="B128" t="s">
        <v>29</v>
      </c>
      <c r="C128" t="s">
        <v>30</v>
      </c>
      <c r="D128" t="s">
        <v>38</v>
      </c>
      <c r="E128">
        <v>23</v>
      </c>
      <c r="F128">
        <v>4</v>
      </c>
      <c r="G128" t="s">
        <v>44</v>
      </c>
      <c r="H128">
        <v>165</v>
      </c>
      <c r="I128">
        <v>4</v>
      </c>
      <c r="J128" t="s">
        <v>33</v>
      </c>
      <c r="K128">
        <v>3</v>
      </c>
      <c r="L128">
        <v>3</v>
      </c>
      <c r="M128" t="s">
        <v>47</v>
      </c>
      <c r="N128">
        <v>4</v>
      </c>
      <c r="O128" t="s">
        <v>41</v>
      </c>
      <c r="P128">
        <v>10312</v>
      </c>
      <c r="Q128">
        <v>1</v>
      </c>
      <c r="R128" t="s">
        <v>36</v>
      </c>
      <c r="S128">
        <v>12</v>
      </c>
      <c r="T128">
        <v>3</v>
      </c>
      <c r="U128">
        <v>4</v>
      </c>
      <c r="V128">
        <v>1</v>
      </c>
      <c r="W128">
        <v>40</v>
      </c>
      <c r="X128">
        <v>3</v>
      </c>
      <c r="Y128">
        <v>2</v>
      </c>
      <c r="Z128">
        <v>40</v>
      </c>
      <c r="AA128">
        <v>10</v>
      </c>
      <c r="AB128">
        <v>15</v>
      </c>
      <c r="AC128">
        <v>6</v>
      </c>
      <c r="AD128">
        <f>IF(HR_Data[[#This Row],[Attrition]]="Yes",1,0)</f>
        <v>1</v>
      </c>
      <c r="AE128" t="str">
        <f>IF(HR_Data[[#This Row],[Age]]&lt;=25,"18-25",IF(HR_Data[[#This Row],[Age]]&lt;=35,"26-35",IF(HR_Data[[#This Row],[Age]]&lt;=45,"36-45",IF(HR_Data[[#This Row],[Age]]&lt;=55,"46-55","55+"))))</f>
        <v>55+</v>
      </c>
      <c r="AF128">
        <f>IF(HR_Data[[#This Row],[Age]]&lt;=25,1,IF(HR_Data[[#This Row],[Age]]&lt;=35,2,IF(HR_Data[[#This Row],[Age]]&lt;=45,3,IF(HR_Data[[#This Row],[Age]]&lt;=55,4,5))))</f>
        <v>5</v>
      </c>
      <c r="AG128" s="1" t="str">
        <f>IF(HR_Data[[#This Row],[MonthlyIncome]]&lt;3000,"&lt;3K",IF(HR_Data[[#This Row],[MonthlyIncome]]&lt;6000,"3K-6K",IF(HR_Data[[#This Row],[MonthlyIncome]]&lt;10000,"6K-10K","10K+")))</f>
        <v>10K+</v>
      </c>
      <c r="AH128" s="1">
        <f>IF(HR_Data[[#This Row],[MonthlyIncome]]&lt;3000,1,IF(HR_Data[[#This Row],[MonthlyIncome]]&lt;6000,2,IF(HR_Data[[#This Row],[MonthlyIncome]]&lt;10000,3,4)))</f>
        <v>4</v>
      </c>
      <c r="AI128" s="1" t="str">
        <f>IF(HR_Data[[#This Row],[YearsAtCompany]]&lt;=2,"0-2 Yrs",IF(HR_Data[[#This Row],[YearsAtCompany]]&lt;=5,"3-5 Yrs",IF(HR_Data[[#This Row],[YearsAtCompany]]&lt;=10,"6-10 Yrs","10+ Yrs")))</f>
        <v>10+ Yrs</v>
      </c>
      <c r="AJ128" s="1">
        <f>IF(HR_Data[[#This Row],[YearsAtCompany]]&lt;=2,1,IF(HR_Data[[#This Row],[YearsAtCompany]]&lt;=5,2,IF(HR_Data[[#This Row],[YearsAtCompany]]&lt;=10,3,4)))</f>
        <v>4</v>
      </c>
      <c r="AK128" s="1" t="str">
        <f>CHOOSE(HR_Data[[#This Row],[Education]],"Below College","College","Bachelor","Master","Doctor")</f>
        <v>Master</v>
      </c>
      <c r="AL128" s="1" t="str">
        <f>CHOOSE(HR_Data[[#This Row],[JobSatisfaction]],"Low","Medium","High","Very High")</f>
        <v>Very High</v>
      </c>
      <c r="AM128" s="1" t="str">
        <f>CHOOSE(HR_Data[[#This Row],[EnvironmentSatisfaction]],"Low","Medium","High","Very High")</f>
        <v>Very High</v>
      </c>
      <c r="AN128" s="1" t="str">
        <f>CHOOSE(HR_Data[[#This Row],[WorkLifeBalance]],"Bad","Good","Better","Best")</f>
        <v>Good</v>
      </c>
      <c r="AO128" s="1" t="str">
        <f>IF(HR_Data[[#This Row],[PercentSalaryHike]]&lt;=13,"11-13%",IF(HR_Data[[#This Row],[PercentSalaryHike]]&lt;=16,"14-16%",IF(HR_Data[[#This Row],[PercentSalaryHike]]&lt;=19,"17-19%","20-25%")))</f>
        <v>11-13%</v>
      </c>
      <c r="AP128" s="1">
        <f>IF(HR_Data[[#This Row],[PercentSalaryHike]]&lt;=13,1,IF(HR_Data[[#This Row],[PercentSalaryHike]]&lt;=16,2,IF(HR_Data[[#This Row],[PercentSalaryHike]]&lt;=19,3,4)))</f>
        <v>1</v>
      </c>
      <c r="AQ128" s="1" t="str">
        <f>IF(HR_Data[[#This Row],[DistanceFromHome]]&lt;=5,"1 to 5",IF(HR_Data[[#This Row],[DistanceFromHome]]&lt;=10,"6 to 10",IF(HR_Data[[#This Row],[DistanceFromHome]]&lt;=20,"11 to 20","21 to 29")))</f>
        <v>21 to 29</v>
      </c>
      <c r="AR128" s="1">
        <f>IF(HR_Data[[#This Row],[DistanceFromHome]]&lt;=5,1,IF(HR_Data[[#This Row],[DistanceFromHome]]&lt;=10,2,IF(HR_Data[[#This Row],[DistanceFromHome]]&lt;=20,3,4)))</f>
        <v>4</v>
      </c>
      <c r="AS128" s="1" t="str">
        <f>IF(HR_Data[[#This Row],[TotalWorkingYears]]&lt;=5,"0-5 Yrs",IF(HR_Data[[#This Row],[TotalWorkingYears]]&lt;=10,"6-10 Yrs",IF(HR_Data[[#This Row],[TotalWorkingYears]]&lt;=20,"11-20 Yrs","20+ Yrs")))</f>
        <v>20+ Yrs</v>
      </c>
      <c r="AT128" s="1">
        <f>IF(HR_Data[[#This Row],[TotalWorkingYears]]&lt;=5,1,IF(HR_Data[[#This Row],[TotalWorkingYears]]&lt;=10,2,IF(HR_Data[[#This Row],[TotalWorkingYears]]&lt;=20,3,4)))</f>
        <v>4</v>
      </c>
    </row>
    <row r="129" spans="1:46" x14ac:dyDescent="0.25">
      <c r="A129">
        <v>19</v>
      </c>
      <c r="B129" t="s">
        <v>29</v>
      </c>
      <c r="C129" t="s">
        <v>30</v>
      </c>
      <c r="D129" t="s">
        <v>31</v>
      </c>
      <c r="E129">
        <v>22</v>
      </c>
      <c r="F129">
        <v>1</v>
      </c>
      <c r="G129" t="s">
        <v>52</v>
      </c>
      <c r="H129">
        <v>167</v>
      </c>
      <c r="I129">
        <v>4</v>
      </c>
      <c r="J129" t="s">
        <v>39</v>
      </c>
      <c r="K129">
        <v>3</v>
      </c>
      <c r="L129">
        <v>1</v>
      </c>
      <c r="M129" t="s">
        <v>50</v>
      </c>
      <c r="N129">
        <v>3</v>
      </c>
      <c r="O129" t="s">
        <v>35</v>
      </c>
      <c r="P129">
        <v>1675</v>
      </c>
      <c r="Q129">
        <v>1</v>
      </c>
      <c r="R129" t="s">
        <v>29</v>
      </c>
      <c r="S129">
        <v>19</v>
      </c>
      <c r="T129">
        <v>3</v>
      </c>
      <c r="U129">
        <v>4</v>
      </c>
      <c r="V129">
        <v>0</v>
      </c>
      <c r="W129">
        <v>0</v>
      </c>
      <c r="X129">
        <v>2</v>
      </c>
      <c r="Y129">
        <v>2</v>
      </c>
      <c r="Z129">
        <v>0</v>
      </c>
      <c r="AA129">
        <v>0</v>
      </c>
      <c r="AB129">
        <v>0</v>
      </c>
      <c r="AC129">
        <v>0</v>
      </c>
      <c r="AD129">
        <f>IF(HR_Data[[#This Row],[Attrition]]="Yes",1,0)</f>
        <v>1</v>
      </c>
      <c r="AE129" t="str">
        <f>IF(HR_Data[[#This Row],[Age]]&lt;=25,"18-25",IF(HR_Data[[#This Row],[Age]]&lt;=35,"26-35",IF(HR_Data[[#This Row],[Age]]&lt;=45,"36-45",IF(HR_Data[[#This Row],[Age]]&lt;=55,"46-55","55+"))))</f>
        <v>18-25</v>
      </c>
      <c r="AF129">
        <f>IF(HR_Data[[#This Row],[Age]]&lt;=25,1,IF(HR_Data[[#This Row],[Age]]&lt;=35,2,IF(HR_Data[[#This Row],[Age]]&lt;=45,3,IF(HR_Data[[#This Row],[Age]]&lt;=55,4,5))))</f>
        <v>1</v>
      </c>
      <c r="AG129" s="1" t="str">
        <f>IF(HR_Data[[#This Row],[MonthlyIncome]]&lt;3000,"&lt;3K",IF(HR_Data[[#This Row],[MonthlyIncome]]&lt;6000,"3K-6K",IF(HR_Data[[#This Row],[MonthlyIncome]]&lt;10000,"6K-10K","10K+")))</f>
        <v>&lt;3K</v>
      </c>
      <c r="AH129" s="1">
        <f>IF(HR_Data[[#This Row],[MonthlyIncome]]&lt;3000,1,IF(HR_Data[[#This Row],[MonthlyIncome]]&lt;6000,2,IF(HR_Data[[#This Row],[MonthlyIncome]]&lt;10000,3,4)))</f>
        <v>1</v>
      </c>
      <c r="AI129" s="1" t="str">
        <f>IF(HR_Data[[#This Row],[YearsAtCompany]]&lt;=2,"0-2 Yrs",IF(HR_Data[[#This Row],[YearsAtCompany]]&lt;=5,"3-5 Yrs",IF(HR_Data[[#This Row],[YearsAtCompany]]&lt;=10,"6-10 Yrs","10+ Yrs")))</f>
        <v>0-2 Yrs</v>
      </c>
      <c r="AJ129" s="1">
        <f>IF(HR_Data[[#This Row],[YearsAtCompany]]&lt;=2,1,IF(HR_Data[[#This Row],[YearsAtCompany]]&lt;=5,2,IF(HR_Data[[#This Row],[YearsAtCompany]]&lt;=10,3,4)))</f>
        <v>1</v>
      </c>
      <c r="AK129" s="1" t="str">
        <f>CHOOSE(HR_Data[[#This Row],[Education]],"Below College","College","Bachelor","Master","Doctor")</f>
        <v>Below College</v>
      </c>
      <c r="AL129" s="1" t="str">
        <f>CHOOSE(HR_Data[[#This Row],[JobSatisfaction]],"Low","Medium","High","Very High")</f>
        <v>High</v>
      </c>
      <c r="AM129" s="1" t="str">
        <f>CHOOSE(HR_Data[[#This Row],[EnvironmentSatisfaction]],"Low","Medium","High","Very High")</f>
        <v>Very High</v>
      </c>
      <c r="AN129" s="1" t="str">
        <f>CHOOSE(HR_Data[[#This Row],[WorkLifeBalance]],"Bad","Good","Better","Best")</f>
        <v>Good</v>
      </c>
      <c r="AO129" s="1" t="str">
        <f>IF(HR_Data[[#This Row],[PercentSalaryHike]]&lt;=13,"11-13%",IF(HR_Data[[#This Row],[PercentSalaryHike]]&lt;=16,"14-16%",IF(HR_Data[[#This Row],[PercentSalaryHike]]&lt;=19,"17-19%","20-25%")))</f>
        <v>17-19%</v>
      </c>
      <c r="AP129" s="1">
        <f>IF(HR_Data[[#This Row],[PercentSalaryHike]]&lt;=13,1,IF(HR_Data[[#This Row],[PercentSalaryHike]]&lt;=16,2,IF(HR_Data[[#This Row],[PercentSalaryHike]]&lt;=19,3,4)))</f>
        <v>3</v>
      </c>
      <c r="AQ129" s="1" t="str">
        <f>IF(HR_Data[[#This Row],[DistanceFromHome]]&lt;=5,"1 to 5",IF(HR_Data[[#This Row],[DistanceFromHome]]&lt;=10,"6 to 10",IF(HR_Data[[#This Row],[DistanceFromHome]]&lt;=20,"11 to 20","21 to 29")))</f>
        <v>21 to 29</v>
      </c>
      <c r="AR129" s="1">
        <f>IF(HR_Data[[#This Row],[DistanceFromHome]]&lt;=5,1,IF(HR_Data[[#This Row],[DistanceFromHome]]&lt;=10,2,IF(HR_Data[[#This Row],[DistanceFromHome]]&lt;=20,3,4)))</f>
        <v>4</v>
      </c>
      <c r="AS129" s="1" t="str">
        <f>IF(HR_Data[[#This Row],[TotalWorkingYears]]&lt;=5,"0-5 Yrs",IF(HR_Data[[#This Row],[TotalWorkingYears]]&lt;=10,"6-10 Yrs",IF(HR_Data[[#This Row],[TotalWorkingYears]]&lt;=20,"11-20 Yrs","20+ Yrs")))</f>
        <v>0-5 Yrs</v>
      </c>
      <c r="AT129" s="1">
        <f>IF(HR_Data[[#This Row],[TotalWorkingYears]]&lt;=5,1,IF(HR_Data[[#This Row],[TotalWorkingYears]]&lt;=10,2,IF(HR_Data[[#This Row],[TotalWorkingYears]]&lt;=20,3,4)))</f>
        <v>1</v>
      </c>
    </row>
    <row r="130" spans="1:46" x14ac:dyDescent="0.25">
      <c r="A130">
        <v>22</v>
      </c>
      <c r="B130" t="s">
        <v>36</v>
      </c>
      <c r="C130" t="s">
        <v>30</v>
      </c>
      <c r="D130" t="s">
        <v>38</v>
      </c>
      <c r="E130">
        <v>2</v>
      </c>
      <c r="F130">
        <v>1</v>
      </c>
      <c r="G130" t="s">
        <v>53</v>
      </c>
      <c r="H130">
        <v>169</v>
      </c>
      <c r="I130">
        <v>3</v>
      </c>
      <c r="J130" t="s">
        <v>39</v>
      </c>
      <c r="K130">
        <v>3</v>
      </c>
      <c r="L130">
        <v>1</v>
      </c>
      <c r="M130" t="s">
        <v>43</v>
      </c>
      <c r="N130">
        <v>4</v>
      </c>
      <c r="O130" t="s">
        <v>41</v>
      </c>
      <c r="P130">
        <v>2523</v>
      </c>
      <c r="Q130">
        <v>0</v>
      </c>
      <c r="R130" t="s">
        <v>36</v>
      </c>
      <c r="S130">
        <v>14</v>
      </c>
      <c r="T130">
        <v>3</v>
      </c>
      <c r="U130">
        <v>3</v>
      </c>
      <c r="V130">
        <v>1</v>
      </c>
      <c r="W130">
        <v>3</v>
      </c>
      <c r="X130">
        <v>2</v>
      </c>
      <c r="Y130">
        <v>3</v>
      </c>
      <c r="Z130">
        <v>2</v>
      </c>
      <c r="AA130">
        <v>1</v>
      </c>
      <c r="AB130">
        <v>2</v>
      </c>
      <c r="AC130">
        <v>1</v>
      </c>
      <c r="AD130">
        <f>IF(HR_Data[[#This Row],[Attrition]]="Yes",1,0)</f>
        <v>0</v>
      </c>
      <c r="AE130" t="str">
        <f>IF(HR_Data[[#This Row],[Age]]&lt;=25,"18-25",IF(HR_Data[[#This Row],[Age]]&lt;=35,"26-35",IF(HR_Data[[#This Row],[Age]]&lt;=45,"36-45",IF(HR_Data[[#This Row],[Age]]&lt;=55,"46-55","55+"))))</f>
        <v>18-25</v>
      </c>
      <c r="AF130">
        <f>IF(HR_Data[[#This Row],[Age]]&lt;=25,1,IF(HR_Data[[#This Row],[Age]]&lt;=35,2,IF(HR_Data[[#This Row],[Age]]&lt;=45,3,IF(HR_Data[[#This Row],[Age]]&lt;=55,4,5))))</f>
        <v>1</v>
      </c>
      <c r="AG130" s="1" t="str">
        <f>IF(HR_Data[[#This Row],[MonthlyIncome]]&lt;3000,"&lt;3K",IF(HR_Data[[#This Row],[MonthlyIncome]]&lt;6000,"3K-6K",IF(HR_Data[[#This Row],[MonthlyIncome]]&lt;10000,"6K-10K","10K+")))</f>
        <v>&lt;3K</v>
      </c>
      <c r="AH130" s="1">
        <f>IF(HR_Data[[#This Row],[MonthlyIncome]]&lt;3000,1,IF(HR_Data[[#This Row],[MonthlyIncome]]&lt;6000,2,IF(HR_Data[[#This Row],[MonthlyIncome]]&lt;10000,3,4)))</f>
        <v>1</v>
      </c>
      <c r="AI130" s="1" t="str">
        <f>IF(HR_Data[[#This Row],[YearsAtCompany]]&lt;=2,"0-2 Yrs",IF(HR_Data[[#This Row],[YearsAtCompany]]&lt;=5,"3-5 Yrs",IF(HR_Data[[#This Row],[YearsAtCompany]]&lt;=10,"6-10 Yrs","10+ Yrs")))</f>
        <v>0-2 Yrs</v>
      </c>
      <c r="AJ130" s="1">
        <f>IF(HR_Data[[#This Row],[YearsAtCompany]]&lt;=2,1,IF(HR_Data[[#This Row],[YearsAtCompany]]&lt;=5,2,IF(HR_Data[[#This Row],[YearsAtCompany]]&lt;=10,3,4)))</f>
        <v>1</v>
      </c>
      <c r="AK130" s="1" t="str">
        <f>CHOOSE(HR_Data[[#This Row],[Education]],"Below College","College","Bachelor","Master","Doctor")</f>
        <v>Below College</v>
      </c>
      <c r="AL130" s="1" t="str">
        <f>CHOOSE(HR_Data[[#This Row],[JobSatisfaction]],"Low","Medium","High","Very High")</f>
        <v>Very High</v>
      </c>
      <c r="AM130" s="1" t="str">
        <f>CHOOSE(HR_Data[[#This Row],[EnvironmentSatisfaction]],"Low","Medium","High","Very High")</f>
        <v>High</v>
      </c>
      <c r="AN130" s="1" t="str">
        <f>CHOOSE(HR_Data[[#This Row],[WorkLifeBalance]],"Bad","Good","Better","Best")</f>
        <v>Better</v>
      </c>
      <c r="AO130" s="1" t="str">
        <f>IF(HR_Data[[#This Row],[PercentSalaryHike]]&lt;=13,"11-13%",IF(HR_Data[[#This Row],[PercentSalaryHike]]&lt;=16,"14-16%",IF(HR_Data[[#This Row],[PercentSalaryHike]]&lt;=19,"17-19%","20-25%")))</f>
        <v>14-16%</v>
      </c>
      <c r="AP130" s="1">
        <f>IF(HR_Data[[#This Row],[PercentSalaryHike]]&lt;=13,1,IF(HR_Data[[#This Row],[PercentSalaryHike]]&lt;=16,2,IF(HR_Data[[#This Row],[PercentSalaryHike]]&lt;=19,3,4)))</f>
        <v>2</v>
      </c>
      <c r="AQ130" s="1" t="str">
        <f>IF(HR_Data[[#This Row],[DistanceFromHome]]&lt;=5,"1 to 5",IF(HR_Data[[#This Row],[DistanceFromHome]]&lt;=10,"6 to 10",IF(HR_Data[[#This Row],[DistanceFromHome]]&lt;=20,"11 to 20","21 to 29")))</f>
        <v>1 to 5</v>
      </c>
      <c r="AR130" s="1">
        <f>IF(HR_Data[[#This Row],[DistanceFromHome]]&lt;=5,1,IF(HR_Data[[#This Row],[DistanceFromHome]]&lt;=10,2,IF(HR_Data[[#This Row],[DistanceFromHome]]&lt;=20,3,4)))</f>
        <v>1</v>
      </c>
      <c r="AS130" s="1" t="str">
        <f>IF(HR_Data[[#This Row],[TotalWorkingYears]]&lt;=5,"0-5 Yrs",IF(HR_Data[[#This Row],[TotalWorkingYears]]&lt;=10,"6-10 Yrs",IF(HR_Data[[#This Row],[TotalWorkingYears]]&lt;=20,"11-20 Yrs","20+ Yrs")))</f>
        <v>0-5 Yrs</v>
      </c>
      <c r="AT130" s="1">
        <f>IF(HR_Data[[#This Row],[TotalWorkingYears]]&lt;=5,1,IF(HR_Data[[#This Row],[TotalWorkingYears]]&lt;=10,2,IF(HR_Data[[#This Row],[TotalWorkingYears]]&lt;=20,3,4)))</f>
        <v>1</v>
      </c>
    </row>
    <row r="131" spans="1:46" x14ac:dyDescent="0.25">
      <c r="A131">
        <v>49</v>
      </c>
      <c r="B131" t="s">
        <v>36</v>
      </c>
      <c r="C131" t="s">
        <v>30</v>
      </c>
      <c r="D131" t="s">
        <v>38</v>
      </c>
      <c r="E131">
        <v>20</v>
      </c>
      <c r="F131">
        <v>4</v>
      </c>
      <c r="G131" t="s">
        <v>44</v>
      </c>
      <c r="H131">
        <v>170</v>
      </c>
      <c r="I131">
        <v>3</v>
      </c>
      <c r="J131" t="s">
        <v>33</v>
      </c>
      <c r="K131">
        <v>3</v>
      </c>
      <c r="L131">
        <v>2</v>
      </c>
      <c r="M131" t="s">
        <v>46</v>
      </c>
      <c r="N131">
        <v>1</v>
      </c>
      <c r="O131" t="s">
        <v>41</v>
      </c>
      <c r="P131">
        <v>6567</v>
      </c>
      <c r="Q131">
        <v>1</v>
      </c>
      <c r="R131" t="s">
        <v>36</v>
      </c>
      <c r="S131">
        <v>14</v>
      </c>
      <c r="T131">
        <v>3</v>
      </c>
      <c r="U131">
        <v>3</v>
      </c>
      <c r="V131">
        <v>0</v>
      </c>
      <c r="W131">
        <v>16</v>
      </c>
      <c r="X131">
        <v>2</v>
      </c>
      <c r="Y131">
        <v>2</v>
      </c>
      <c r="Z131">
        <v>15</v>
      </c>
      <c r="AA131">
        <v>11</v>
      </c>
      <c r="AB131">
        <v>5</v>
      </c>
      <c r="AC131">
        <v>11</v>
      </c>
      <c r="AD131">
        <f>IF(HR_Data[[#This Row],[Attrition]]="Yes",1,0)</f>
        <v>0</v>
      </c>
      <c r="AE131" t="str">
        <f>IF(HR_Data[[#This Row],[Age]]&lt;=25,"18-25",IF(HR_Data[[#This Row],[Age]]&lt;=35,"26-35",IF(HR_Data[[#This Row],[Age]]&lt;=45,"36-45",IF(HR_Data[[#This Row],[Age]]&lt;=55,"46-55","55+"))))</f>
        <v>46-55</v>
      </c>
      <c r="AF131">
        <f>IF(HR_Data[[#This Row],[Age]]&lt;=25,1,IF(HR_Data[[#This Row],[Age]]&lt;=35,2,IF(HR_Data[[#This Row],[Age]]&lt;=45,3,IF(HR_Data[[#This Row],[Age]]&lt;=55,4,5))))</f>
        <v>4</v>
      </c>
      <c r="AG131" s="1" t="str">
        <f>IF(HR_Data[[#This Row],[MonthlyIncome]]&lt;3000,"&lt;3K",IF(HR_Data[[#This Row],[MonthlyIncome]]&lt;6000,"3K-6K",IF(HR_Data[[#This Row],[MonthlyIncome]]&lt;10000,"6K-10K","10K+")))</f>
        <v>6K-10K</v>
      </c>
      <c r="AH131" s="1">
        <f>IF(HR_Data[[#This Row],[MonthlyIncome]]&lt;3000,1,IF(HR_Data[[#This Row],[MonthlyIncome]]&lt;6000,2,IF(HR_Data[[#This Row],[MonthlyIncome]]&lt;10000,3,4)))</f>
        <v>3</v>
      </c>
      <c r="AI131" s="1" t="str">
        <f>IF(HR_Data[[#This Row],[YearsAtCompany]]&lt;=2,"0-2 Yrs",IF(HR_Data[[#This Row],[YearsAtCompany]]&lt;=5,"3-5 Yrs",IF(HR_Data[[#This Row],[YearsAtCompany]]&lt;=10,"6-10 Yrs","10+ Yrs")))</f>
        <v>10+ Yrs</v>
      </c>
      <c r="AJ131" s="1">
        <f>IF(HR_Data[[#This Row],[YearsAtCompany]]&lt;=2,1,IF(HR_Data[[#This Row],[YearsAtCompany]]&lt;=5,2,IF(HR_Data[[#This Row],[YearsAtCompany]]&lt;=10,3,4)))</f>
        <v>4</v>
      </c>
      <c r="AK131" s="1" t="str">
        <f>CHOOSE(HR_Data[[#This Row],[Education]],"Below College","College","Bachelor","Master","Doctor")</f>
        <v>Master</v>
      </c>
      <c r="AL131" s="1" t="str">
        <f>CHOOSE(HR_Data[[#This Row],[JobSatisfaction]],"Low","Medium","High","Very High")</f>
        <v>Low</v>
      </c>
      <c r="AM131" s="1" t="str">
        <f>CHOOSE(HR_Data[[#This Row],[EnvironmentSatisfaction]],"Low","Medium","High","Very High")</f>
        <v>High</v>
      </c>
      <c r="AN131" s="1" t="str">
        <f>CHOOSE(HR_Data[[#This Row],[WorkLifeBalance]],"Bad","Good","Better","Best")</f>
        <v>Good</v>
      </c>
      <c r="AO131" s="1" t="str">
        <f>IF(HR_Data[[#This Row],[PercentSalaryHike]]&lt;=13,"11-13%",IF(HR_Data[[#This Row],[PercentSalaryHike]]&lt;=16,"14-16%",IF(HR_Data[[#This Row],[PercentSalaryHike]]&lt;=19,"17-19%","20-25%")))</f>
        <v>14-16%</v>
      </c>
      <c r="AP131" s="1">
        <f>IF(HR_Data[[#This Row],[PercentSalaryHike]]&lt;=13,1,IF(HR_Data[[#This Row],[PercentSalaryHike]]&lt;=16,2,IF(HR_Data[[#This Row],[PercentSalaryHike]]&lt;=19,3,4)))</f>
        <v>2</v>
      </c>
      <c r="AQ131" s="1" t="str">
        <f>IF(HR_Data[[#This Row],[DistanceFromHome]]&lt;=5,"1 to 5",IF(HR_Data[[#This Row],[DistanceFromHome]]&lt;=10,"6 to 10",IF(HR_Data[[#This Row],[DistanceFromHome]]&lt;=20,"11 to 20","21 to 29")))</f>
        <v>11 to 20</v>
      </c>
      <c r="AR131" s="1">
        <f>IF(HR_Data[[#This Row],[DistanceFromHome]]&lt;=5,1,IF(HR_Data[[#This Row],[DistanceFromHome]]&lt;=10,2,IF(HR_Data[[#This Row],[DistanceFromHome]]&lt;=20,3,4)))</f>
        <v>3</v>
      </c>
      <c r="AS131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31" s="1">
        <f>IF(HR_Data[[#This Row],[TotalWorkingYears]]&lt;=5,1,IF(HR_Data[[#This Row],[TotalWorkingYears]]&lt;=10,2,IF(HR_Data[[#This Row],[TotalWorkingYears]]&lt;=20,3,4)))</f>
        <v>3</v>
      </c>
    </row>
    <row r="132" spans="1:46" x14ac:dyDescent="0.25">
      <c r="A132">
        <v>43</v>
      </c>
      <c r="B132" t="s">
        <v>36</v>
      </c>
      <c r="C132" t="s">
        <v>37</v>
      </c>
      <c r="D132" t="s">
        <v>38</v>
      </c>
      <c r="E132">
        <v>28</v>
      </c>
      <c r="F132">
        <v>3</v>
      </c>
      <c r="G132" t="s">
        <v>44</v>
      </c>
      <c r="H132">
        <v>171</v>
      </c>
      <c r="I132">
        <v>2</v>
      </c>
      <c r="J132" t="s">
        <v>33</v>
      </c>
      <c r="K132">
        <v>4</v>
      </c>
      <c r="L132">
        <v>1</v>
      </c>
      <c r="M132" t="s">
        <v>40</v>
      </c>
      <c r="N132">
        <v>3</v>
      </c>
      <c r="O132" t="s">
        <v>35</v>
      </c>
      <c r="P132">
        <v>4739</v>
      </c>
      <c r="Q132">
        <v>4</v>
      </c>
      <c r="R132" t="s">
        <v>36</v>
      </c>
      <c r="S132">
        <v>12</v>
      </c>
      <c r="T132">
        <v>3</v>
      </c>
      <c r="U132">
        <v>4</v>
      </c>
      <c r="V132">
        <v>0</v>
      </c>
      <c r="W132">
        <v>18</v>
      </c>
      <c r="X132">
        <v>2</v>
      </c>
      <c r="Y132">
        <v>3</v>
      </c>
      <c r="Z132">
        <v>3</v>
      </c>
      <c r="AA132">
        <v>2</v>
      </c>
      <c r="AB132">
        <v>1</v>
      </c>
      <c r="AC132">
        <v>2</v>
      </c>
      <c r="AD132">
        <f>IF(HR_Data[[#This Row],[Attrition]]="Yes",1,0)</f>
        <v>0</v>
      </c>
      <c r="AE132" t="str">
        <f>IF(HR_Data[[#This Row],[Age]]&lt;=25,"18-25",IF(HR_Data[[#This Row],[Age]]&lt;=35,"26-35",IF(HR_Data[[#This Row],[Age]]&lt;=45,"36-45",IF(HR_Data[[#This Row],[Age]]&lt;=55,"46-55","55+"))))</f>
        <v>36-45</v>
      </c>
      <c r="AF132">
        <f>IF(HR_Data[[#This Row],[Age]]&lt;=25,1,IF(HR_Data[[#This Row],[Age]]&lt;=35,2,IF(HR_Data[[#This Row],[Age]]&lt;=45,3,IF(HR_Data[[#This Row],[Age]]&lt;=55,4,5))))</f>
        <v>3</v>
      </c>
      <c r="AG132" s="1" t="str">
        <f>IF(HR_Data[[#This Row],[MonthlyIncome]]&lt;3000,"&lt;3K",IF(HR_Data[[#This Row],[MonthlyIncome]]&lt;6000,"3K-6K",IF(HR_Data[[#This Row],[MonthlyIncome]]&lt;10000,"6K-10K","10K+")))</f>
        <v>3K-6K</v>
      </c>
      <c r="AH132" s="1">
        <f>IF(HR_Data[[#This Row],[MonthlyIncome]]&lt;3000,1,IF(HR_Data[[#This Row],[MonthlyIncome]]&lt;6000,2,IF(HR_Data[[#This Row],[MonthlyIncome]]&lt;10000,3,4)))</f>
        <v>2</v>
      </c>
      <c r="AI132" s="1" t="str">
        <f>IF(HR_Data[[#This Row],[YearsAtCompany]]&lt;=2,"0-2 Yrs",IF(HR_Data[[#This Row],[YearsAtCompany]]&lt;=5,"3-5 Yrs",IF(HR_Data[[#This Row],[YearsAtCompany]]&lt;=10,"6-10 Yrs","10+ Yrs")))</f>
        <v>3-5 Yrs</v>
      </c>
      <c r="AJ132" s="1">
        <f>IF(HR_Data[[#This Row],[YearsAtCompany]]&lt;=2,1,IF(HR_Data[[#This Row],[YearsAtCompany]]&lt;=5,2,IF(HR_Data[[#This Row],[YearsAtCompany]]&lt;=10,3,4)))</f>
        <v>2</v>
      </c>
      <c r="AK132" s="1" t="str">
        <f>CHOOSE(HR_Data[[#This Row],[Education]],"Below College","College","Bachelor","Master","Doctor")</f>
        <v>Bachelor</v>
      </c>
      <c r="AL132" s="1" t="str">
        <f>CHOOSE(HR_Data[[#This Row],[JobSatisfaction]],"Low","Medium","High","Very High")</f>
        <v>High</v>
      </c>
      <c r="AM132" s="1" t="str">
        <f>CHOOSE(HR_Data[[#This Row],[EnvironmentSatisfaction]],"Low","Medium","High","Very High")</f>
        <v>Medium</v>
      </c>
      <c r="AN132" s="1" t="str">
        <f>CHOOSE(HR_Data[[#This Row],[WorkLifeBalance]],"Bad","Good","Better","Best")</f>
        <v>Better</v>
      </c>
      <c r="AO132" s="1" t="str">
        <f>IF(HR_Data[[#This Row],[PercentSalaryHike]]&lt;=13,"11-13%",IF(HR_Data[[#This Row],[PercentSalaryHike]]&lt;=16,"14-16%",IF(HR_Data[[#This Row],[PercentSalaryHike]]&lt;=19,"17-19%","20-25%")))</f>
        <v>11-13%</v>
      </c>
      <c r="AP132" s="1">
        <f>IF(HR_Data[[#This Row],[PercentSalaryHike]]&lt;=13,1,IF(HR_Data[[#This Row],[PercentSalaryHike]]&lt;=16,2,IF(HR_Data[[#This Row],[PercentSalaryHike]]&lt;=19,3,4)))</f>
        <v>1</v>
      </c>
      <c r="AQ132" s="1" t="str">
        <f>IF(HR_Data[[#This Row],[DistanceFromHome]]&lt;=5,"1 to 5",IF(HR_Data[[#This Row],[DistanceFromHome]]&lt;=10,"6 to 10",IF(HR_Data[[#This Row],[DistanceFromHome]]&lt;=20,"11 to 20","21 to 29")))</f>
        <v>21 to 29</v>
      </c>
      <c r="AR132" s="1">
        <f>IF(HR_Data[[#This Row],[DistanceFromHome]]&lt;=5,1,IF(HR_Data[[#This Row],[DistanceFromHome]]&lt;=10,2,IF(HR_Data[[#This Row],[DistanceFromHome]]&lt;=20,3,4)))</f>
        <v>4</v>
      </c>
      <c r="AS132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32" s="1">
        <f>IF(HR_Data[[#This Row],[TotalWorkingYears]]&lt;=5,1,IF(HR_Data[[#This Row],[TotalWorkingYears]]&lt;=10,2,IF(HR_Data[[#This Row],[TotalWorkingYears]]&lt;=20,3,4)))</f>
        <v>3</v>
      </c>
    </row>
    <row r="133" spans="1:46" x14ac:dyDescent="0.25">
      <c r="A133">
        <v>50</v>
      </c>
      <c r="B133" t="s">
        <v>36</v>
      </c>
      <c r="C133" t="s">
        <v>37</v>
      </c>
      <c r="D133" t="s">
        <v>31</v>
      </c>
      <c r="E133">
        <v>12</v>
      </c>
      <c r="F133">
        <v>3</v>
      </c>
      <c r="G133" t="s">
        <v>52</v>
      </c>
      <c r="H133">
        <v>174</v>
      </c>
      <c r="I133">
        <v>3</v>
      </c>
      <c r="J133" t="s">
        <v>33</v>
      </c>
      <c r="K133">
        <v>3</v>
      </c>
      <c r="L133">
        <v>3</v>
      </c>
      <c r="M133" t="s">
        <v>34</v>
      </c>
      <c r="N133">
        <v>4</v>
      </c>
      <c r="O133" t="s">
        <v>35</v>
      </c>
      <c r="P133">
        <v>9208</v>
      </c>
      <c r="Q133">
        <v>4</v>
      </c>
      <c r="R133" t="s">
        <v>36</v>
      </c>
      <c r="S133">
        <v>11</v>
      </c>
      <c r="T133">
        <v>3</v>
      </c>
      <c r="U133">
        <v>4</v>
      </c>
      <c r="V133">
        <v>0</v>
      </c>
      <c r="W133">
        <v>16</v>
      </c>
      <c r="X133">
        <v>3</v>
      </c>
      <c r="Y133">
        <v>3</v>
      </c>
      <c r="Z133">
        <v>2</v>
      </c>
      <c r="AA133">
        <v>2</v>
      </c>
      <c r="AB133">
        <v>2</v>
      </c>
      <c r="AC133">
        <v>1</v>
      </c>
      <c r="AD133">
        <f>IF(HR_Data[[#This Row],[Attrition]]="Yes",1,0)</f>
        <v>0</v>
      </c>
      <c r="AE133" t="str">
        <f>IF(HR_Data[[#This Row],[Age]]&lt;=25,"18-25",IF(HR_Data[[#This Row],[Age]]&lt;=35,"26-35",IF(HR_Data[[#This Row],[Age]]&lt;=45,"36-45",IF(HR_Data[[#This Row],[Age]]&lt;=55,"46-55","55+"))))</f>
        <v>46-55</v>
      </c>
      <c r="AF133">
        <f>IF(HR_Data[[#This Row],[Age]]&lt;=25,1,IF(HR_Data[[#This Row],[Age]]&lt;=35,2,IF(HR_Data[[#This Row],[Age]]&lt;=45,3,IF(HR_Data[[#This Row],[Age]]&lt;=55,4,5))))</f>
        <v>4</v>
      </c>
      <c r="AG133" s="1" t="str">
        <f>IF(HR_Data[[#This Row],[MonthlyIncome]]&lt;3000,"&lt;3K",IF(HR_Data[[#This Row],[MonthlyIncome]]&lt;6000,"3K-6K",IF(HR_Data[[#This Row],[MonthlyIncome]]&lt;10000,"6K-10K","10K+")))</f>
        <v>6K-10K</v>
      </c>
      <c r="AH133" s="1">
        <f>IF(HR_Data[[#This Row],[MonthlyIncome]]&lt;3000,1,IF(HR_Data[[#This Row],[MonthlyIncome]]&lt;6000,2,IF(HR_Data[[#This Row],[MonthlyIncome]]&lt;10000,3,4)))</f>
        <v>3</v>
      </c>
      <c r="AI133" s="1" t="str">
        <f>IF(HR_Data[[#This Row],[YearsAtCompany]]&lt;=2,"0-2 Yrs",IF(HR_Data[[#This Row],[YearsAtCompany]]&lt;=5,"3-5 Yrs",IF(HR_Data[[#This Row],[YearsAtCompany]]&lt;=10,"6-10 Yrs","10+ Yrs")))</f>
        <v>0-2 Yrs</v>
      </c>
      <c r="AJ133" s="1">
        <f>IF(HR_Data[[#This Row],[YearsAtCompany]]&lt;=2,1,IF(HR_Data[[#This Row],[YearsAtCompany]]&lt;=5,2,IF(HR_Data[[#This Row],[YearsAtCompany]]&lt;=10,3,4)))</f>
        <v>1</v>
      </c>
      <c r="AK133" s="1" t="str">
        <f>CHOOSE(HR_Data[[#This Row],[Education]],"Below College","College","Bachelor","Master","Doctor")</f>
        <v>Bachelor</v>
      </c>
      <c r="AL133" s="1" t="str">
        <f>CHOOSE(HR_Data[[#This Row],[JobSatisfaction]],"Low","Medium","High","Very High")</f>
        <v>Very High</v>
      </c>
      <c r="AM133" s="1" t="str">
        <f>CHOOSE(HR_Data[[#This Row],[EnvironmentSatisfaction]],"Low","Medium","High","Very High")</f>
        <v>High</v>
      </c>
      <c r="AN133" s="1" t="str">
        <f>CHOOSE(HR_Data[[#This Row],[WorkLifeBalance]],"Bad","Good","Better","Best")</f>
        <v>Better</v>
      </c>
      <c r="AO133" s="1" t="str">
        <f>IF(HR_Data[[#This Row],[PercentSalaryHike]]&lt;=13,"11-13%",IF(HR_Data[[#This Row],[PercentSalaryHike]]&lt;=16,"14-16%",IF(HR_Data[[#This Row],[PercentSalaryHike]]&lt;=19,"17-19%","20-25%")))</f>
        <v>11-13%</v>
      </c>
      <c r="AP133" s="1">
        <f>IF(HR_Data[[#This Row],[PercentSalaryHike]]&lt;=13,1,IF(HR_Data[[#This Row],[PercentSalaryHike]]&lt;=16,2,IF(HR_Data[[#This Row],[PercentSalaryHike]]&lt;=19,3,4)))</f>
        <v>1</v>
      </c>
      <c r="AQ133" s="1" t="str">
        <f>IF(HR_Data[[#This Row],[DistanceFromHome]]&lt;=5,"1 to 5",IF(HR_Data[[#This Row],[DistanceFromHome]]&lt;=10,"6 to 10",IF(HR_Data[[#This Row],[DistanceFromHome]]&lt;=20,"11 to 20","21 to 29")))</f>
        <v>11 to 20</v>
      </c>
      <c r="AR133" s="1">
        <f>IF(HR_Data[[#This Row],[DistanceFromHome]]&lt;=5,1,IF(HR_Data[[#This Row],[DistanceFromHome]]&lt;=10,2,IF(HR_Data[[#This Row],[DistanceFromHome]]&lt;=20,3,4)))</f>
        <v>3</v>
      </c>
      <c r="AS133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33" s="1">
        <f>IF(HR_Data[[#This Row],[TotalWorkingYears]]&lt;=5,1,IF(HR_Data[[#This Row],[TotalWorkingYears]]&lt;=10,2,IF(HR_Data[[#This Row],[TotalWorkingYears]]&lt;=20,3,4)))</f>
        <v>3</v>
      </c>
    </row>
    <row r="134" spans="1:46" x14ac:dyDescent="0.25">
      <c r="A134">
        <v>31</v>
      </c>
      <c r="B134" t="s">
        <v>29</v>
      </c>
      <c r="C134" t="s">
        <v>30</v>
      </c>
      <c r="D134" t="s">
        <v>31</v>
      </c>
      <c r="E134">
        <v>20</v>
      </c>
      <c r="F134">
        <v>3</v>
      </c>
      <c r="G134" t="s">
        <v>32</v>
      </c>
      <c r="H134">
        <v>175</v>
      </c>
      <c r="I134">
        <v>2</v>
      </c>
      <c r="J134" t="s">
        <v>33</v>
      </c>
      <c r="K134">
        <v>1</v>
      </c>
      <c r="L134">
        <v>2</v>
      </c>
      <c r="M134" t="s">
        <v>34</v>
      </c>
      <c r="N134">
        <v>3</v>
      </c>
      <c r="O134" t="s">
        <v>41</v>
      </c>
      <c r="P134">
        <v>4559</v>
      </c>
      <c r="Q134">
        <v>3</v>
      </c>
      <c r="R134" t="s">
        <v>29</v>
      </c>
      <c r="S134">
        <v>11</v>
      </c>
      <c r="T134">
        <v>3</v>
      </c>
      <c r="U134">
        <v>3</v>
      </c>
      <c r="V134">
        <v>1</v>
      </c>
      <c r="W134">
        <v>4</v>
      </c>
      <c r="X134">
        <v>2</v>
      </c>
      <c r="Y134">
        <v>3</v>
      </c>
      <c r="Z134">
        <v>2</v>
      </c>
      <c r="AA134">
        <v>2</v>
      </c>
      <c r="AB134">
        <v>2</v>
      </c>
      <c r="AC134">
        <v>2</v>
      </c>
      <c r="AD134">
        <f>IF(HR_Data[[#This Row],[Attrition]]="Yes",1,0)</f>
        <v>1</v>
      </c>
      <c r="AE134" t="str">
        <f>IF(HR_Data[[#This Row],[Age]]&lt;=25,"18-25",IF(HR_Data[[#This Row],[Age]]&lt;=35,"26-35",IF(HR_Data[[#This Row],[Age]]&lt;=45,"36-45",IF(HR_Data[[#This Row],[Age]]&lt;=55,"46-55","55+"))))</f>
        <v>26-35</v>
      </c>
      <c r="AF134">
        <f>IF(HR_Data[[#This Row],[Age]]&lt;=25,1,IF(HR_Data[[#This Row],[Age]]&lt;=35,2,IF(HR_Data[[#This Row],[Age]]&lt;=45,3,IF(HR_Data[[#This Row],[Age]]&lt;=55,4,5))))</f>
        <v>2</v>
      </c>
      <c r="AG134" s="1" t="str">
        <f>IF(HR_Data[[#This Row],[MonthlyIncome]]&lt;3000,"&lt;3K",IF(HR_Data[[#This Row],[MonthlyIncome]]&lt;6000,"3K-6K",IF(HR_Data[[#This Row],[MonthlyIncome]]&lt;10000,"6K-10K","10K+")))</f>
        <v>3K-6K</v>
      </c>
      <c r="AH134" s="1">
        <f>IF(HR_Data[[#This Row],[MonthlyIncome]]&lt;3000,1,IF(HR_Data[[#This Row],[MonthlyIncome]]&lt;6000,2,IF(HR_Data[[#This Row],[MonthlyIncome]]&lt;10000,3,4)))</f>
        <v>2</v>
      </c>
      <c r="AI134" s="1" t="str">
        <f>IF(HR_Data[[#This Row],[YearsAtCompany]]&lt;=2,"0-2 Yrs",IF(HR_Data[[#This Row],[YearsAtCompany]]&lt;=5,"3-5 Yrs",IF(HR_Data[[#This Row],[YearsAtCompany]]&lt;=10,"6-10 Yrs","10+ Yrs")))</f>
        <v>0-2 Yrs</v>
      </c>
      <c r="AJ134" s="1">
        <f>IF(HR_Data[[#This Row],[YearsAtCompany]]&lt;=2,1,IF(HR_Data[[#This Row],[YearsAtCompany]]&lt;=5,2,IF(HR_Data[[#This Row],[YearsAtCompany]]&lt;=10,3,4)))</f>
        <v>1</v>
      </c>
      <c r="AK134" s="1" t="str">
        <f>CHOOSE(HR_Data[[#This Row],[Education]],"Below College","College","Bachelor","Master","Doctor")</f>
        <v>Bachelor</v>
      </c>
      <c r="AL134" s="1" t="str">
        <f>CHOOSE(HR_Data[[#This Row],[JobSatisfaction]],"Low","Medium","High","Very High")</f>
        <v>High</v>
      </c>
      <c r="AM134" s="1" t="str">
        <f>CHOOSE(HR_Data[[#This Row],[EnvironmentSatisfaction]],"Low","Medium","High","Very High")</f>
        <v>Medium</v>
      </c>
      <c r="AN134" s="1" t="str">
        <f>CHOOSE(HR_Data[[#This Row],[WorkLifeBalance]],"Bad","Good","Better","Best")</f>
        <v>Better</v>
      </c>
      <c r="AO134" s="1" t="str">
        <f>IF(HR_Data[[#This Row],[PercentSalaryHike]]&lt;=13,"11-13%",IF(HR_Data[[#This Row],[PercentSalaryHike]]&lt;=16,"14-16%",IF(HR_Data[[#This Row],[PercentSalaryHike]]&lt;=19,"17-19%","20-25%")))</f>
        <v>11-13%</v>
      </c>
      <c r="AP134" s="1">
        <f>IF(HR_Data[[#This Row],[PercentSalaryHike]]&lt;=13,1,IF(HR_Data[[#This Row],[PercentSalaryHike]]&lt;=16,2,IF(HR_Data[[#This Row],[PercentSalaryHike]]&lt;=19,3,4)))</f>
        <v>1</v>
      </c>
      <c r="AQ134" s="1" t="str">
        <f>IF(HR_Data[[#This Row],[DistanceFromHome]]&lt;=5,"1 to 5",IF(HR_Data[[#This Row],[DistanceFromHome]]&lt;=10,"6 to 10",IF(HR_Data[[#This Row],[DistanceFromHome]]&lt;=20,"11 to 20","21 to 29")))</f>
        <v>11 to 20</v>
      </c>
      <c r="AR134" s="1">
        <f>IF(HR_Data[[#This Row],[DistanceFromHome]]&lt;=5,1,IF(HR_Data[[#This Row],[DistanceFromHome]]&lt;=10,2,IF(HR_Data[[#This Row],[DistanceFromHome]]&lt;=20,3,4)))</f>
        <v>3</v>
      </c>
      <c r="AS134" s="1" t="str">
        <f>IF(HR_Data[[#This Row],[TotalWorkingYears]]&lt;=5,"0-5 Yrs",IF(HR_Data[[#This Row],[TotalWorkingYears]]&lt;=10,"6-10 Yrs",IF(HR_Data[[#This Row],[TotalWorkingYears]]&lt;=20,"11-20 Yrs","20+ Yrs")))</f>
        <v>0-5 Yrs</v>
      </c>
      <c r="AT134" s="1">
        <f>IF(HR_Data[[#This Row],[TotalWorkingYears]]&lt;=5,1,IF(HR_Data[[#This Row],[TotalWorkingYears]]&lt;=10,2,IF(HR_Data[[#This Row],[TotalWorkingYears]]&lt;=20,3,4)))</f>
        <v>1</v>
      </c>
    </row>
    <row r="135" spans="1:46" x14ac:dyDescent="0.25">
      <c r="A135">
        <v>41</v>
      </c>
      <c r="B135" t="s">
        <v>36</v>
      </c>
      <c r="C135" t="s">
        <v>30</v>
      </c>
      <c r="D135" t="s">
        <v>31</v>
      </c>
      <c r="E135">
        <v>9</v>
      </c>
      <c r="F135">
        <v>1</v>
      </c>
      <c r="G135" t="s">
        <v>32</v>
      </c>
      <c r="H135">
        <v>176</v>
      </c>
      <c r="I135">
        <v>3</v>
      </c>
      <c r="J135" t="s">
        <v>39</v>
      </c>
      <c r="K135">
        <v>3</v>
      </c>
      <c r="L135">
        <v>3</v>
      </c>
      <c r="M135" t="s">
        <v>34</v>
      </c>
      <c r="N135">
        <v>3</v>
      </c>
      <c r="O135" t="s">
        <v>45</v>
      </c>
      <c r="P135">
        <v>8189</v>
      </c>
      <c r="Q135">
        <v>3</v>
      </c>
      <c r="R135" t="s">
        <v>29</v>
      </c>
      <c r="S135">
        <v>13</v>
      </c>
      <c r="T135">
        <v>3</v>
      </c>
      <c r="U135">
        <v>3</v>
      </c>
      <c r="V135">
        <v>1</v>
      </c>
      <c r="W135">
        <v>12</v>
      </c>
      <c r="X135">
        <v>2</v>
      </c>
      <c r="Y135">
        <v>3</v>
      </c>
      <c r="Z135">
        <v>9</v>
      </c>
      <c r="AA135">
        <v>7</v>
      </c>
      <c r="AB135">
        <v>0</v>
      </c>
      <c r="AC135">
        <v>7</v>
      </c>
      <c r="AD135">
        <f>IF(HR_Data[[#This Row],[Attrition]]="Yes",1,0)</f>
        <v>0</v>
      </c>
      <c r="AE135" t="str">
        <f>IF(HR_Data[[#This Row],[Age]]&lt;=25,"18-25",IF(HR_Data[[#This Row],[Age]]&lt;=35,"26-35",IF(HR_Data[[#This Row],[Age]]&lt;=45,"36-45",IF(HR_Data[[#This Row],[Age]]&lt;=55,"46-55","55+"))))</f>
        <v>36-45</v>
      </c>
      <c r="AF135">
        <f>IF(HR_Data[[#This Row],[Age]]&lt;=25,1,IF(HR_Data[[#This Row],[Age]]&lt;=35,2,IF(HR_Data[[#This Row],[Age]]&lt;=45,3,IF(HR_Data[[#This Row],[Age]]&lt;=55,4,5))))</f>
        <v>3</v>
      </c>
      <c r="AG135" s="1" t="str">
        <f>IF(HR_Data[[#This Row],[MonthlyIncome]]&lt;3000,"&lt;3K",IF(HR_Data[[#This Row],[MonthlyIncome]]&lt;6000,"3K-6K",IF(HR_Data[[#This Row],[MonthlyIncome]]&lt;10000,"6K-10K","10K+")))</f>
        <v>6K-10K</v>
      </c>
      <c r="AH135" s="1">
        <f>IF(HR_Data[[#This Row],[MonthlyIncome]]&lt;3000,1,IF(HR_Data[[#This Row],[MonthlyIncome]]&lt;6000,2,IF(HR_Data[[#This Row],[MonthlyIncome]]&lt;10000,3,4)))</f>
        <v>3</v>
      </c>
      <c r="AI135" s="1" t="str">
        <f>IF(HR_Data[[#This Row],[YearsAtCompany]]&lt;=2,"0-2 Yrs",IF(HR_Data[[#This Row],[YearsAtCompany]]&lt;=5,"3-5 Yrs",IF(HR_Data[[#This Row],[YearsAtCompany]]&lt;=10,"6-10 Yrs","10+ Yrs")))</f>
        <v>6-10 Yrs</v>
      </c>
      <c r="AJ135" s="1">
        <f>IF(HR_Data[[#This Row],[YearsAtCompany]]&lt;=2,1,IF(HR_Data[[#This Row],[YearsAtCompany]]&lt;=5,2,IF(HR_Data[[#This Row],[YearsAtCompany]]&lt;=10,3,4)))</f>
        <v>3</v>
      </c>
      <c r="AK135" s="1" t="str">
        <f>CHOOSE(HR_Data[[#This Row],[Education]],"Below College","College","Bachelor","Master","Doctor")</f>
        <v>Below College</v>
      </c>
      <c r="AL135" s="1" t="str">
        <f>CHOOSE(HR_Data[[#This Row],[JobSatisfaction]],"Low","Medium","High","Very High")</f>
        <v>High</v>
      </c>
      <c r="AM135" s="1" t="str">
        <f>CHOOSE(HR_Data[[#This Row],[EnvironmentSatisfaction]],"Low","Medium","High","Very High")</f>
        <v>High</v>
      </c>
      <c r="AN135" s="1" t="str">
        <f>CHOOSE(HR_Data[[#This Row],[WorkLifeBalance]],"Bad","Good","Better","Best")</f>
        <v>Better</v>
      </c>
      <c r="AO135" s="1" t="str">
        <f>IF(HR_Data[[#This Row],[PercentSalaryHike]]&lt;=13,"11-13%",IF(HR_Data[[#This Row],[PercentSalaryHike]]&lt;=16,"14-16%",IF(HR_Data[[#This Row],[PercentSalaryHike]]&lt;=19,"17-19%","20-25%")))</f>
        <v>11-13%</v>
      </c>
      <c r="AP135" s="1">
        <f>IF(HR_Data[[#This Row],[PercentSalaryHike]]&lt;=13,1,IF(HR_Data[[#This Row],[PercentSalaryHike]]&lt;=16,2,IF(HR_Data[[#This Row],[PercentSalaryHike]]&lt;=19,3,4)))</f>
        <v>1</v>
      </c>
      <c r="AQ135" s="1" t="str">
        <f>IF(HR_Data[[#This Row],[DistanceFromHome]]&lt;=5,"1 to 5",IF(HR_Data[[#This Row],[DistanceFromHome]]&lt;=10,"6 to 10",IF(HR_Data[[#This Row],[DistanceFromHome]]&lt;=20,"11 to 20","21 to 29")))</f>
        <v>6 to 10</v>
      </c>
      <c r="AR135" s="1">
        <f>IF(HR_Data[[#This Row],[DistanceFromHome]]&lt;=5,1,IF(HR_Data[[#This Row],[DistanceFromHome]]&lt;=10,2,IF(HR_Data[[#This Row],[DistanceFromHome]]&lt;=20,3,4)))</f>
        <v>2</v>
      </c>
      <c r="AS135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35" s="1">
        <f>IF(HR_Data[[#This Row],[TotalWorkingYears]]&lt;=5,1,IF(HR_Data[[#This Row],[TotalWorkingYears]]&lt;=10,2,IF(HR_Data[[#This Row],[TotalWorkingYears]]&lt;=20,3,4)))</f>
        <v>3</v>
      </c>
    </row>
    <row r="136" spans="1:46" x14ac:dyDescent="0.25">
      <c r="A136">
        <v>26</v>
      </c>
      <c r="B136" t="s">
        <v>36</v>
      </c>
      <c r="C136" t="s">
        <v>30</v>
      </c>
      <c r="D136" t="s">
        <v>54</v>
      </c>
      <c r="E136">
        <v>25</v>
      </c>
      <c r="F136">
        <v>1</v>
      </c>
      <c r="G136" t="s">
        <v>32</v>
      </c>
      <c r="H136">
        <v>177</v>
      </c>
      <c r="I136">
        <v>3</v>
      </c>
      <c r="J136" t="s">
        <v>33</v>
      </c>
      <c r="K136">
        <v>3</v>
      </c>
      <c r="L136">
        <v>1</v>
      </c>
      <c r="M136" t="s">
        <v>54</v>
      </c>
      <c r="N136">
        <v>3</v>
      </c>
      <c r="O136" t="s">
        <v>41</v>
      </c>
      <c r="P136">
        <v>2942</v>
      </c>
      <c r="Q136">
        <v>1</v>
      </c>
      <c r="R136" t="s">
        <v>36</v>
      </c>
      <c r="S136">
        <v>23</v>
      </c>
      <c r="T136">
        <v>4</v>
      </c>
      <c r="U136">
        <v>4</v>
      </c>
      <c r="V136">
        <v>1</v>
      </c>
      <c r="W136">
        <v>8</v>
      </c>
      <c r="X136">
        <v>3</v>
      </c>
      <c r="Y136">
        <v>3</v>
      </c>
      <c r="Z136">
        <v>8</v>
      </c>
      <c r="AA136">
        <v>7</v>
      </c>
      <c r="AB136">
        <v>5</v>
      </c>
      <c r="AC136">
        <v>7</v>
      </c>
      <c r="AD136">
        <f>IF(HR_Data[[#This Row],[Attrition]]="Yes",1,0)</f>
        <v>0</v>
      </c>
      <c r="AE136" t="str">
        <f>IF(HR_Data[[#This Row],[Age]]&lt;=25,"18-25",IF(HR_Data[[#This Row],[Age]]&lt;=35,"26-35",IF(HR_Data[[#This Row],[Age]]&lt;=45,"36-45",IF(HR_Data[[#This Row],[Age]]&lt;=55,"46-55","55+"))))</f>
        <v>26-35</v>
      </c>
      <c r="AF136">
        <f>IF(HR_Data[[#This Row],[Age]]&lt;=25,1,IF(HR_Data[[#This Row],[Age]]&lt;=35,2,IF(HR_Data[[#This Row],[Age]]&lt;=45,3,IF(HR_Data[[#This Row],[Age]]&lt;=55,4,5))))</f>
        <v>2</v>
      </c>
      <c r="AG136" s="1" t="str">
        <f>IF(HR_Data[[#This Row],[MonthlyIncome]]&lt;3000,"&lt;3K",IF(HR_Data[[#This Row],[MonthlyIncome]]&lt;6000,"3K-6K",IF(HR_Data[[#This Row],[MonthlyIncome]]&lt;10000,"6K-10K","10K+")))</f>
        <v>&lt;3K</v>
      </c>
      <c r="AH136" s="1">
        <f>IF(HR_Data[[#This Row],[MonthlyIncome]]&lt;3000,1,IF(HR_Data[[#This Row],[MonthlyIncome]]&lt;6000,2,IF(HR_Data[[#This Row],[MonthlyIncome]]&lt;10000,3,4)))</f>
        <v>1</v>
      </c>
      <c r="AI136" s="1" t="str">
        <f>IF(HR_Data[[#This Row],[YearsAtCompany]]&lt;=2,"0-2 Yrs",IF(HR_Data[[#This Row],[YearsAtCompany]]&lt;=5,"3-5 Yrs",IF(HR_Data[[#This Row],[YearsAtCompany]]&lt;=10,"6-10 Yrs","10+ Yrs")))</f>
        <v>6-10 Yrs</v>
      </c>
      <c r="AJ136" s="1">
        <f>IF(HR_Data[[#This Row],[YearsAtCompany]]&lt;=2,1,IF(HR_Data[[#This Row],[YearsAtCompany]]&lt;=5,2,IF(HR_Data[[#This Row],[YearsAtCompany]]&lt;=10,3,4)))</f>
        <v>3</v>
      </c>
      <c r="AK136" s="1" t="str">
        <f>CHOOSE(HR_Data[[#This Row],[Education]],"Below College","College","Bachelor","Master","Doctor")</f>
        <v>Below College</v>
      </c>
      <c r="AL136" s="1" t="str">
        <f>CHOOSE(HR_Data[[#This Row],[JobSatisfaction]],"Low","Medium","High","Very High")</f>
        <v>High</v>
      </c>
      <c r="AM136" s="1" t="str">
        <f>CHOOSE(HR_Data[[#This Row],[EnvironmentSatisfaction]],"Low","Medium","High","Very High")</f>
        <v>High</v>
      </c>
      <c r="AN136" s="1" t="str">
        <f>CHOOSE(HR_Data[[#This Row],[WorkLifeBalance]],"Bad","Good","Better","Best")</f>
        <v>Better</v>
      </c>
      <c r="AO136" s="1" t="str">
        <f>IF(HR_Data[[#This Row],[PercentSalaryHike]]&lt;=13,"11-13%",IF(HR_Data[[#This Row],[PercentSalaryHike]]&lt;=16,"14-16%",IF(HR_Data[[#This Row],[PercentSalaryHike]]&lt;=19,"17-19%","20-25%")))</f>
        <v>20-25%</v>
      </c>
      <c r="AP136" s="1">
        <f>IF(HR_Data[[#This Row],[PercentSalaryHike]]&lt;=13,1,IF(HR_Data[[#This Row],[PercentSalaryHike]]&lt;=16,2,IF(HR_Data[[#This Row],[PercentSalaryHike]]&lt;=19,3,4)))</f>
        <v>4</v>
      </c>
      <c r="AQ136" s="1" t="str">
        <f>IF(HR_Data[[#This Row],[DistanceFromHome]]&lt;=5,"1 to 5",IF(HR_Data[[#This Row],[DistanceFromHome]]&lt;=10,"6 to 10",IF(HR_Data[[#This Row],[DistanceFromHome]]&lt;=20,"11 to 20","21 to 29")))</f>
        <v>21 to 29</v>
      </c>
      <c r="AR136" s="1">
        <f>IF(HR_Data[[#This Row],[DistanceFromHome]]&lt;=5,1,IF(HR_Data[[#This Row],[DistanceFromHome]]&lt;=10,2,IF(HR_Data[[#This Row],[DistanceFromHome]]&lt;=20,3,4)))</f>
        <v>4</v>
      </c>
      <c r="AS136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36" s="1">
        <f>IF(HR_Data[[#This Row],[TotalWorkingYears]]&lt;=5,1,IF(HR_Data[[#This Row],[TotalWorkingYears]]&lt;=10,2,IF(HR_Data[[#This Row],[TotalWorkingYears]]&lt;=20,3,4)))</f>
        <v>2</v>
      </c>
    </row>
    <row r="137" spans="1:46" x14ac:dyDescent="0.25">
      <c r="A137">
        <v>36</v>
      </c>
      <c r="B137" t="s">
        <v>36</v>
      </c>
      <c r="C137" t="s">
        <v>30</v>
      </c>
      <c r="D137" t="s">
        <v>38</v>
      </c>
      <c r="E137">
        <v>6</v>
      </c>
      <c r="F137">
        <v>2</v>
      </c>
      <c r="G137" t="s">
        <v>44</v>
      </c>
      <c r="H137">
        <v>178</v>
      </c>
      <c r="I137">
        <v>2</v>
      </c>
      <c r="J137" t="s">
        <v>39</v>
      </c>
      <c r="K137">
        <v>3</v>
      </c>
      <c r="L137">
        <v>2</v>
      </c>
      <c r="M137" t="s">
        <v>46</v>
      </c>
      <c r="N137">
        <v>2</v>
      </c>
      <c r="O137" t="s">
        <v>45</v>
      </c>
      <c r="P137">
        <v>4941</v>
      </c>
      <c r="Q137">
        <v>6</v>
      </c>
      <c r="R137" t="s">
        <v>36</v>
      </c>
      <c r="S137">
        <v>20</v>
      </c>
      <c r="T137">
        <v>4</v>
      </c>
      <c r="U137">
        <v>4</v>
      </c>
      <c r="V137">
        <v>2</v>
      </c>
      <c r="W137">
        <v>7</v>
      </c>
      <c r="X137">
        <v>0</v>
      </c>
      <c r="Y137">
        <v>3</v>
      </c>
      <c r="Z137">
        <v>3</v>
      </c>
      <c r="AA137">
        <v>2</v>
      </c>
      <c r="AB137">
        <v>0</v>
      </c>
      <c r="AC137">
        <v>1</v>
      </c>
      <c r="AD137">
        <f>IF(HR_Data[[#This Row],[Attrition]]="Yes",1,0)</f>
        <v>0</v>
      </c>
      <c r="AE137" t="str">
        <f>IF(HR_Data[[#This Row],[Age]]&lt;=25,"18-25",IF(HR_Data[[#This Row],[Age]]&lt;=35,"26-35",IF(HR_Data[[#This Row],[Age]]&lt;=45,"36-45",IF(HR_Data[[#This Row],[Age]]&lt;=55,"46-55","55+"))))</f>
        <v>36-45</v>
      </c>
      <c r="AF137">
        <f>IF(HR_Data[[#This Row],[Age]]&lt;=25,1,IF(HR_Data[[#This Row],[Age]]&lt;=35,2,IF(HR_Data[[#This Row],[Age]]&lt;=45,3,IF(HR_Data[[#This Row],[Age]]&lt;=55,4,5))))</f>
        <v>3</v>
      </c>
      <c r="AG137" s="1" t="str">
        <f>IF(HR_Data[[#This Row],[MonthlyIncome]]&lt;3000,"&lt;3K",IF(HR_Data[[#This Row],[MonthlyIncome]]&lt;6000,"3K-6K",IF(HR_Data[[#This Row],[MonthlyIncome]]&lt;10000,"6K-10K","10K+")))</f>
        <v>3K-6K</v>
      </c>
      <c r="AH137" s="1">
        <f>IF(HR_Data[[#This Row],[MonthlyIncome]]&lt;3000,1,IF(HR_Data[[#This Row],[MonthlyIncome]]&lt;6000,2,IF(HR_Data[[#This Row],[MonthlyIncome]]&lt;10000,3,4)))</f>
        <v>2</v>
      </c>
      <c r="AI137" s="1" t="str">
        <f>IF(HR_Data[[#This Row],[YearsAtCompany]]&lt;=2,"0-2 Yrs",IF(HR_Data[[#This Row],[YearsAtCompany]]&lt;=5,"3-5 Yrs",IF(HR_Data[[#This Row],[YearsAtCompany]]&lt;=10,"6-10 Yrs","10+ Yrs")))</f>
        <v>3-5 Yrs</v>
      </c>
      <c r="AJ137" s="1">
        <f>IF(HR_Data[[#This Row],[YearsAtCompany]]&lt;=2,1,IF(HR_Data[[#This Row],[YearsAtCompany]]&lt;=5,2,IF(HR_Data[[#This Row],[YearsAtCompany]]&lt;=10,3,4)))</f>
        <v>2</v>
      </c>
      <c r="AK137" s="1" t="str">
        <f>CHOOSE(HR_Data[[#This Row],[Education]],"Below College","College","Bachelor","Master","Doctor")</f>
        <v>College</v>
      </c>
      <c r="AL137" s="1" t="str">
        <f>CHOOSE(HR_Data[[#This Row],[JobSatisfaction]],"Low","Medium","High","Very High")</f>
        <v>Medium</v>
      </c>
      <c r="AM137" s="1" t="str">
        <f>CHOOSE(HR_Data[[#This Row],[EnvironmentSatisfaction]],"Low","Medium","High","Very High")</f>
        <v>Medium</v>
      </c>
      <c r="AN137" s="1" t="str">
        <f>CHOOSE(HR_Data[[#This Row],[WorkLifeBalance]],"Bad","Good","Better","Best")</f>
        <v>Better</v>
      </c>
      <c r="AO137" s="1" t="str">
        <f>IF(HR_Data[[#This Row],[PercentSalaryHike]]&lt;=13,"11-13%",IF(HR_Data[[#This Row],[PercentSalaryHike]]&lt;=16,"14-16%",IF(HR_Data[[#This Row],[PercentSalaryHike]]&lt;=19,"17-19%","20-25%")))</f>
        <v>20-25%</v>
      </c>
      <c r="AP137" s="1">
        <f>IF(HR_Data[[#This Row],[PercentSalaryHike]]&lt;=13,1,IF(HR_Data[[#This Row],[PercentSalaryHike]]&lt;=16,2,IF(HR_Data[[#This Row],[PercentSalaryHike]]&lt;=19,3,4)))</f>
        <v>4</v>
      </c>
      <c r="AQ137" s="1" t="str">
        <f>IF(HR_Data[[#This Row],[DistanceFromHome]]&lt;=5,"1 to 5",IF(HR_Data[[#This Row],[DistanceFromHome]]&lt;=10,"6 to 10",IF(HR_Data[[#This Row],[DistanceFromHome]]&lt;=20,"11 to 20","21 to 29")))</f>
        <v>6 to 10</v>
      </c>
      <c r="AR137" s="1">
        <f>IF(HR_Data[[#This Row],[DistanceFromHome]]&lt;=5,1,IF(HR_Data[[#This Row],[DistanceFromHome]]&lt;=10,2,IF(HR_Data[[#This Row],[DistanceFromHome]]&lt;=20,3,4)))</f>
        <v>2</v>
      </c>
      <c r="AS137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37" s="1">
        <f>IF(HR_Data[[#This Row],[TotalWorkingYears]]&lt;=5,1,IF(HR_Data[[#This Row],[TotalWorkingYears]]&lt;=10,2,IF(HR_Data[[#This Row],[TotalWorkingYears]]&lt;=20,3,4)))</f>
        <v>2</v>
      </c>
    </row>
    <row r="138" spans="1:46" x14ac:dyDescent="0.25">
      <c r="A138">
        <v>51</v>
      </c>
      <c r="B138" t="s">
        <v>29</v>
      </c>
      <c r="C138" t="s">
        <v>37</v>
      </c>
      <c r="D138" t="s">
        <v>38</v>
      </c>
      <c r="E138">
        <v>8</v>
      </c>
      <c r="F138">
        <v>4</v>
      </c>
      <c r="G138" t="s">
        <v>32</v>
      </c>
      <c r="H138">
        <v>179</v>
      </c>
      <c r="I138">
        <v>1</v>
      </c>
      <c r="J138" t="s">
        <v>39</v>
      </c>
      <c r="K138">
        <v>1</v>
      </c>
      <c r="L138">
        <v>3</v>
      </c>
      <c r="M138" t="s">
        <v>46</v>
      </c>
      <c r="N138">
        <v>4</v>
      </c>
      <c r="O138" t="s">
        <v>35</v>
      </c>
      <c r="P138">
        <v>10650</v>
      </c>
      <c r="Q138">
        <v>2</v>
      </c>
      <c r="R138" t="s">
        <v>36</v>
      </c>
      <c r="S138">
        <v>15</v>
      </c>
      <c r="T138">
        <v>3</v>
      </c>
      <c r="U138">
        <v>4</v>
      </c>
      <c r="V138">
        <v>0</v>
      </c>
      <c r="W138">
        <v>18</v>
      </c>
      <c r="X138">
        <v>2</v>
      </c>
      <c r="Y138">
        <v>3</v>
      </c>
      <c r="Z138">
        <v>4</v>
      </c>
      <c r="AA138">
        <v>2</v>
      </c>
      <c r="AB138">
        <v>0</v>
      </c>
      <c r="AC138">
        <v>3</v>
      </c>
      <c r="AD138">
        <f>IF(HR_Data[[#This Row],[Attrition]]="Yes",1,0)</f>
        <v>1</v>
      </c>
      <c r="AE138" t="str">
        <f>IF(HR_Data[[#This Row],[Age]]&lt;=25,"18-25",IF(HR_Data[[#This Row],[Age]]&lt;=35,"26-35",IF(HR_Data[[#This Row],[Age]]&lt;=45,"36-45",IF(HR_Data[[#This Row],[Age]]&lt;=55,"46-55","55+"))))</f>
        <v>46-55</v>
      </c>
      <c r="AF138">
        <f>IF(HR_Data[[#This Row],[Age]]&lt;=25,1,IF(HR_Data[[#This Row],[Age]]&lt;=35,2,IF(HR_Data[[#This Row],[Age]]&lt;=45,3,IF(HR_Data[[#This Row],[Age]]&lt;=55,4,5))))</f>
        <v>4</v>
      </c>
      <c r="AG138" s="1" t="str">
        <f>IF(HR_Data[[#This Row],[MonthlyIncome]]&lt;3000,"&lt;3K",IF(HR_Data[[#This Row],[MonthlyIncome]]&lt;6000,"3K-6K",IF(HR_Data[[#This Row],[MonthlyIncome]]&lt;10000,"6K-10K","10K+")))</f>
        <v>10K+</v>
      </c>
      <c r="AH138" s="1">
        <f>IF(HR_Data[[#This Row],[MonthlyIncome]]&lt;3000,1,IF(HR_Data[[#This Row],[MonthlyIncome]]&lt;6000,2,IF(HR_Data[[#This Row],[MonthlyIncome]]&lt;10000,3,4)))</f>
        <v>4</v>
      </c>
      <c r="AI138" s="1" t="str">
        <f>IF(HR_Data[[#This Row],[YearsAtCompany]]&lt;=2,"0-2 Yrs",IF(HR_Data[[#This Row],[YearsAtCompany]]&lt;=5,"3-5 Yrs",IF(HR_Data[[#This Row],[YearsAtCompany]]&lt;=10,"6-10 Yrs","10+ Yrs")))</f>
        <v>3-5 Yrs</v>
      </c>
      <c r="AJ138" s="1">
        <f>IF(HR_Data[[#This Row],[YearsAtCompany]]&lt;=2,1,IF(HR_Data[[#This Row],[YearsAtCompany]]&lt;=5,2,IF(HR_Data[[#This Row],[YearsAtCompany]]&lt;=10,3,4)))</f>
        <v>2</v>
      </c>
      <c r="AK138" s="1" t="str">
        <f>CHOOSE(HR_Data[[#This Row],[Education]],"Below College","College","Bachelor","Master","Doctor")</f>
        <v>Master</v>
      </c>
      <c r="AL138" s="1" t="str">
        <f>CHOOSE(HR_Data[[#This Row],[JobSatisfaction]],"Low","Medium","High","Very High")</f>
        <v>Very High</v>
      </c>
      <c r="AM138" s="1" t="str">
        <f>CHOOSE(HR_Data[[#This Row],[EnvironmentSatisfaction]],"Low","Medium","High","Very High")</f>
        <v>Low</v>
      </c>
      <c r="AN138" s="1" t="str">
        <f>CHOOSE(HR_Data[[#This Row],[WorkLifeBalance]],"Bad","Good","Better","Best")</f>
        <v>Better</v>
      </c>
      <c r="AO138" s="1" t="str">
        <f>IF(HR_Data[[#This Row],[PercentSalaryHike]]&lt;=13,"11-13%",IF(HR_Data[[#This Row],[PercentSalaryHike]]&lt;=16,"14-16%",IF(HR_Data[[#This Row],[PercentSalaryHike]]&lt;=19,"17-19%","20-25%")))</f>
        <v>14-16%</v>
      </c>
      <c r="AP138" s="1">
        <f>IF(HR_Data[[#This Row],[PercentSalaryHike]]&lt;=13,1,IF(HR_Data[[#This Row],[PercentSalaryHike]]&lt;=16,2,IF(HR_Data[[#This Row],[PercentSalaryHike]]&lt;=19,3,4)))</f>
        <v>2</v>
      </c>
      <c r="AQ138" s="1" t="str">
        <f>IF(HR_Data[[#This Row],[DistanceFromHome]]&lt;=5,"1 to 5",IF(HR_Data[[#This Row],[DistanceFromHome]]&lt;=10,"6 to 10",IF(HR_Data[[#This Row],[DistanceFromHome]]&lt;=20,"11 to 20","21 to 29")))</f>
        <v>6 to 10</v>
      </c>
      <c r="AR138" s="1">
        <f>IF(HR_Data[[#This Row],[DistanceFromHome]]&lt;=5,1,IF(HR_Data[[#This Row],[DistanceFromHome]]&lt;=10,2,IF(HR_Data[[#This Row],[DistanceFromHome]]&lt;=20,3,4)))</f>
        <v>2</v>
      </c>
      <c r="AS138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38" s="1">
        <f>IF(HR_Data[[#This Row],[TotalWorkingYears]]&lt;=5,1,IF(HR_Data[[#This Row],[TotalWorkingYears]]&lt;=10,2,IF(HR_Data[[#This Row],[TotalWorkingYears]]&lt;=20,3,4)))</f>
        <v>3</v>
      </c>
    </row>
    <row r="139" spans="1:46" x14ac:dyDescent="0.25">
      <c r="A139">
        <v>39</v>
      </c>
      <c r="B139" t="s">
        <v>36</v>
      </c>
      <c r="C139" t="s">
        <v>30</v>
      </c>
      <c r="D139" t="s">
        <v>31</v>
      </c>
      <c r="E139">
        <v>4</v>
      </c>
      <c r="F139">
        <v>4</v>
      </c>
      <c r="G139" t="s">
        <v>32</v>
      </c>
      <c r="H139">
        <v>182</v>
      </c>
      <c r="I139">
        <v>4</v>
      </c>
      <c r="J139" t="s">
        <v>33</v>
      </c>
      <c r="K139">
        <v>2</v>
      </c>
      <c r="L139">
        <v>2</v>
      </c>
      <c r="M139" t="s">
        <v>34</v>
      </c>
      <c r="N139">
        <v>3</v>
      </c>
      <c r="O139" t="s">
        <v>41</v>
      </c>
      <c r="P139">
        <v>5902</v>
      </c>
      <c r="Q139">
        <v>4</v>
      </c>
      <c r="R139" t="s">
        <v>36</v>
      </c>
      <c r="S139">
        <v>14</v>
      </c>
      <c r="T139">
        <v>3</v>
      </c>
      <c r="U139">
        <v>3</v>
      </c>
      <c r="V139">
        <v>1</v>
      </c>
      <c r="W139">
        <v>17</v>
      </c>
      <c r="X139">
        <v>1</v>
      </c>
      <c r="Y139">
        <v>4</v>
      </c>
      <c r="Z139">
        <v>15</v>
      </c>
      <c r="AA139">
        <v>11</v>
      </c>
      <c r="AB139">
        <v>5</v>
      </c>
      <c r="AC139">
        <v>9</v>
      </c>
      <c r="AD139">
        <f>IF(HR_Data[[#This Row],[Attrition]]="Yes",1,0)</f>
        <v>0</v>
      </c>
      <c r="AE139" t="str">
        <f>IF(HR_Data[[#This Row],[Age]]&lt;=25,"18-25",IF(HR_Data[[#This Row],[Age]]&lt;=35,"26-35",IF(HR_Data[[#This Row],[Age]]&lt;=45,"36-45",IF(HR_Data[[#This Row],[Age]]&lt;=55,"46-55","55+"))))</f>
        <v>36-45</v>
      </c>
      <c r="AF139">
        <f>IF(HR_Data[[#This Row],[Age]]&lt;=25,1,IF(HR_Data[[#This Row],[Age]]&lt;=35,2,IF(HR_Data[[#This Row],[Age]]&lt;=45,3,IF(HR_Data[[#This Row],[Age]]&lt;=55,4,5))))</f>
        <v>3</v>
      </c>
      <c r="AG139" s="1" t="str">
        <f>IF(HR_Data[[#This Row],[MonthlyIncome]]&lt;3000,"&lt;3K",IF(HR_Data[[#This Row],[MonthlyIncome]]&lt;6000,"3K-6K",IF(HR_Data[[#This Row],[MonthlyIncome]]&lt;10000,"6K-10K","10K+")))</f>
        <v>3K-6K</v>
      </c>
      <c r="AH139" s="1">
        <f>IF(HR_Data[[#This Row],[MonthlyIncome]]&lt;3000,1,IF(HR_Data[[#This Row],[MonthlyIncome]]&lt;6000,2,IF(HR_Data[[#This Row],[MonthlyIncome]]&lt;10000,3,4)))</f>
        <v>2</v>
      </c>
      <c r="AI139" s="1" t="str">
        <f>IF(HR_Data[[#This Row],[YearsAtCompany]]&lt;=2,"0-2 Yrs",IF(HR_Data[[#This Row],[YearsAtCompany]]&lt;=5,"3-5 Yrs",IF(HR_Data[[#This Row],[YearsAtCompany]]&lt;=10,"6-10 Yrs","10+ Yrs")))</f>
        <v>10+ Yrs</v>
      </c>
      <c r="AJ139" s="1">
        <f>IF(HR_Data[[#This Row],[YearsAtCompany]]&lt;=2,1,IF(HR_Data[[#This Row],[YearsAtCompany]]&lt;=5,2,IF(HR_Data[[#This Row],[YearsAtCompany]]&lt;=10,3,4)))</f>
        <v>4</v>
      </c>
      <c r="AK139" s="1" t="str">
        <f>CHOOSE(HR_Data[[#This Row],[Education]],"Below College","College","Bachelor","Master","Doctor")</f>
        <v>Master</v>
      </c>
      <c r="AL139" s="1" t="str">
        <f>CHOOSE(HR_Data[[#This Row],[JobSatisfaction]],"Low","Medium","High","Very High")</f>
        <v>High</v>
      </c>
      <c r="AM139" s="1" t="str">
        <f>CHOOSE(HR_Data[[#This Row],[EnvironmentSatisfaction]],"Low","Medium","High","Very High")</f>
        <v>Very High</v>
      </c>
      <c r="AN139" s="1" t="str">
        <f>CHOOSE(HR_Data[[#This Row],[WorkLifeBalance]],"Bad","Good","Better","Best")</f>
        <v>Best</v>
      </c>
      <c r="AO139" s="1" t="str">
        <f>IF(HR_Data[[#This Row],[PercentSalaryHike]]&lt;=13,"11-13%",IF(HR_Data[[#This Row],[PercentSalaryHike]]&lt;=16,"14-16%",IF(HR_Data[[#This Row],[PercentSalaryHike]]&lt;=19,"17-19%","20-25%")))</f>
        <v>14-16%</v>
      </c>
      <c r="AP139" s="1">
        <f>IF(HR_Data[[#This Row],[PercentSalaryHike]]&lt;=13,1,IF(HR_Data[[#This Row],[PercentSalaryHike]]&lt;=16,2,IF(HR_Data[[#This Row],[PercentSalaryHike]]&lt;=19,3,4)))</f>
        <v>2</v>
      </c>
      <c r="AQ139" s="1" t="str">
        <f>IF(HR_Data[[#This Row],[DistanceFromHome]]&lt;=5,"1 to 5",IF(HR_Data[[#This Row],[DistanceFromHome]]&lt;=10,"6 to 10",IF(HR_Data[[#This Row],[DistanceFromHome]]&lt;=20,"11 to 20","21 to 29")))</f>
        <v>1 to 5</v>
      </c>
      <c r="AR139" s="1">
        <f>IF(HR_Data[[#This Row],[DistanceFromHome]]&lt;=5,1,IF(HR_Data[[#This Row],[DistanceFromHome]]&lt;=10,2,IF(HR_Data[[#This Row],[DistanceFromHome]]&lt;=20,3,4)))</f>
        <v>1</v>
      </c>
      <c r="AS139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39" s="1">
        <f>IF(HR_Data[[#This Row],[TotalWorkingYears]]&lt;=5,1,IF(HR_Data[[#This Row],[TotalWorkingYears]]&lt;=10,2,IF(HR_Data[[#This Row],[TotalWorkingYears]]&lt;=20,3,4)))</f>
        <v>3</v>
      </c>
    </row>
    <row r="140" spans="1:46" x14ac:dyDescent="0.25">
      <c r="A140">
        <v>25</v>
      </c>
      <c r="B140" t="s">
        <v>36</v>
      </c>
      <c r="C140" t="s">
        <v>30</v>
      </c>
      <c r="D140" t="s">
        <v>31</v>
      </c>
      <c r="E140">
        <v>28</v>
      </c>
      <c r="F140">
        <v>3</v>
      </c>
      <c r="G140" t="s">
        <v>32</v>
      </c>
      <c r="H140">
        <v>183</v>
      </c>
      <c r="I140">
        <v>1</v>
      </c>
      <c r="J140" t="s">
        <v>39</v>
      </c>
      <c r="K140">
        <v>2</v>
      </c>
      <c r="L140">
        <v>2</v>
      </c>
      <c r="M140" t="s">
        <v>34</v>
      </c>
      <c r="N140">
        <v>3</v>
      </c>
      <c r="O140" t="s">
        <v>41</v>
      </c>
      <c r="P140">
        <v>8639</v>
      </c>
      <c r="Q140">
        <v>2</v>
      </c>
      <c r="R140" t="s">
        <v>36</v>
      </c>
      <c r="S140">
        <v>18</v>
      </c>
      <c r="T140">
        <v>3</v>
      </c>
      <c r="U140">
        <v>4</v>
      </c>
      <c r="V140">
        <v>0</v>
      </c>
      <c r="W140">
        <v>6</v>
      </c>
      <c r="X140">
        <v>3</v>
      </c>
      <c r="Y140">
        <v>3</v>
      </c>
      <c r="Z140">
        <v>2</v>
      </c>
      <c r="AA140">
        <v>2</v>
      </c>
      <c r="AB140">
        <v>2</v>
      </c>
      <c r="AC140">
        <v>2</v>
      </c>
      <c r="AD140">
        <f>IF(HR_Data[[#This Row],[Attrition]]="Yes",1,0)</f>
        <v>0</v>
      </c>
      <c r="AE140" t="str">
        <f>IF(HR_Data[[#This Row],[Age]]&lt;=25,"18-25",IF(HR_Data[[#This Row],[Age]]&lt;=35,"26-35",IF(HR_Data[[#This Row],[Age]]&lt;=45,"36-45",IF(HR_Data[[#This Row],[Age]]&lt;=55,"46-55","55+"))))</f>
        <v>18-25</v>
      </c>
      <c r="AF140">
        <f>IF(HR_Data[[#This Row],[Age]]&lt;=25,1,IF(HR_Data[[#This Row],[Age]]&lt;=35,2,IF(HR_Data[[#This Row],[Age]]&lt;=45,3,IF(HR_Data[[#This Row],[Age]]&lt;=55,4,5))))</f>
        <v>1</v>
      </c>
      <c r="AG140" s="1" t="str">
        <f>IF(HR_Data[[#This Row],[MonthlyIncome]]&lt;3000,"&lt;3K",IF(HR_Data[[#This Row],[MonthlyIncome]]&lt;6000,"3K-6K",IF(HR_Data[[#This Row],[MonthlyIncome]]&lt;10000,"6K-10K","10K+")))</f>
        <v>6K-10K</v>
      </c>
      <c r="AH140" s="1">
        <f>IF(HR_Data[[#This Row],[MonthlyIncome]]&lt;3000,1,IF(HR_Data[[#This Row],[MonthlyIncome]]&lt;6000,2,IF(HR_Data[[#This Row],[MonthlyIncome]]&lt;10000,3,4)))</f>
        <v>3</v>
      </c>
      <c r="AI140" s="1" t="str">
        <f>IF(HR_Data[[#This Row],[YearsAtCompany]]&lt;=2,"0-2 Yrs",IF(HR_Data[[#This Row],[YearsAtCompany]]&lt;=5,"3-5 Yrs",IF(HR_Data[[#This Row],[YearsAtCompany]]&lt;=10,"6-10 Yrs","10+ Yrs")))</f>
        <v>0-2 Yrs</v>
      </c>
      <c r="AJ140" s="1">
        <f>IF(HR_Data[[#This Row],[YearsAtCompany]]&lt;=2,1,IF(HR_Data[[#This Row],[YearsAtCompany]]&lt;=5,2,IF(HR_Data[[#This Row],[YearsAtCompany]]&lt;=10,3,4)))</f>
        <v>1</v>
      </c>
      <c r="AK140" s="1" t="str">
        <f>CHOOSE(HR_Data[[#This Row],[Education]],"Below College","College","Bachelor","Master","Doctor")</f>
        <v>Bachelor</v>
      </c>
      <c r="AL140" s="1" t="str">
        <f>CHOOSE(HR_Data[[#This Row],[JobSatisfaction]],"Low","Medium","High","Very High")</f>
        <v>High</v>
      </c>
      <c r="AM140" s="1" t="str">
        <f>CHOOSE(HR_Data[[#This Row],[EnvironmentSatisfaction]],"Low","Medium","High","Very High")</f>
        <v>Low</v>
      </c>
      <c r="AN140" s="1" t="str">
        <f>CHOOSE(HR_Data[[#This Row],[WorkLifeBalance]],"Bad","Good","Better","Best")</f>
        <v>Better</v>
      </c>
      <c r="AO140" s="1" t="str">
        <f>IF(HR_Data[[#This Row],[PercentSalaryHike]]&lt;=13,"11-13%",IF(HR_Data[[#This Row],[PercentSalaryHike]]&lt;=16,"14-16%",IF(HR_Data[[#This Row],[PercentSalaryHike]]&lt;=19,"17-19%","20-25%")))</f>
        <v>17-19%</v>
      </c>
      <c r="AP140" s="1">
        <f>IF(HR_Data[[#This Row],[PercentSalaryHike]]&lt;=13,1,IF(HR_Data[[#This Row],[PercentSalaryHike]]&lt;=16,2,IF(HR_Data[[#This Row],[PercentSalaryHike]]&lt;=19,3,4)))</f>
        <v>3</v>
      </c>
      <c r="AQ140" s="1" t="str">
        <f>IF(HR_Data[[#This Row],[DistanceFromHome]]&lt;=5,"1 to 5",IF(HR_Data[[#This Row],[DistanceFromHome]]&lt;=10,"6 to 10",IF(HR_Data[[#This Row],[DistanceFromHome]]&lt;=20,"11 to 20","21 to 29")))</f>
        <v>21 to 29</v>
      </c>
      <c r="AR140" s="1">
        <f>IF(HR_Data[[#This Row],[DistanceFromHome]]&lt;=5,1,IF(HR_Data[[#This Row],[DistanceFromHome]]&lt;=10,2,IF(HR_Data[[#This Row],[DistanceFromHome]]&lt;=20,3,4)))</f>
        <v>4</v>
      </c>
      <c r="AS140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40" s="1">
        <f>IF(HR_Data[[#This Row],[TotalWorkingYears]]&lt;=5,1,IF(HR_Data[[#This Row],[TotalWorkingYears]]&lt;=10,2,IF(HR_Data[[#This Row],[TotalWorkingYears]]&lt;=20,3,4)))</f>
        <v>2</v>
      </c>
    </row>
    <row r="141" spans="1:46" x14ac:dyDescent="0.25">
      <c r="A141">
        <v>30</v>
      </c>
      <c r="B141" t="s">
        <v>36</v>
      </c>
      <c r="C141" t="s">
        <v>30</v>
      </c>
      <c r="D141" t="s">
        <v>54</v>
      </c>
      <c r="E141">
        <v>9</v>
      </c>
      <c r="F141">
        <v>3</v>
      </c>
      <c r="G141" t="s">
        <v>54</v>
      </c>
      <c r="H141">
        <v>184</v>
      </c>
      <c r="I141">
        <v>3</v>
      </c>
      <c r="J141" t="s">
        <v>39</v>
      </c>
      <c r="K141">
        <v>3</v>
      </c>
      <c r="L141">
        <v>2</v>
      </c>
      <c r="M141" t="s">
        <v>54</v>
      </c>
      <c r="N141">
        <v>4</v>
      </c>
      <c r="O141" t="s">
        <v>41</v>
      </c>
      <c r="P141">
        <v>6347</v>
      </c>
      <c r="Q141">
        <v>0</v>
      </c>
      <c r="R141" t="s">
        <v>29</v>
      </c>
      <c r="S141">
        <v>19</v>
      </c>
      <c r="T141">
        <v>3</v>
      </c>
      <c r="U141">
        <v>4</v>
      </c>
      <c r="V141">
        <v>0</v>
      </c>
      <c r="W141">
        <v>12</v>
      </c>
      <c r="X141">
        <v>2</v>
      </c>
      <c r="Y141">
        <v>1</v>
      </c>
      <c r="Z141">
        <v>11</v>
      </c>
      <c r="AA141">
        <v>9</v>
      </c>
      <c r="AB141">
        <v>4</v>
      </c>
      <c r="AC141">
        <v>7</v>
      </c>
      <c r="AD141">
        <f>IF(HR_Data[[#This Row],[Attrition]]="Yes",1,0)</f>
        <v>0</v>
      </c>
      <c r="AE141" t="str">
        <f>IF(HR_Data[[#This Row],[Age]]&lt;=25,"18-25",IF(HR_Data[[#This Row],[Age]]&lt;=35,"26-35",IF(HR_Data[[#This Row],[Age]]&lt;=45,"36-45",IF(HR_Data[[#This Row],[Age]]&lt;=55,"46-55","55+"))))</f>
        <v>26-35</v>
      </c>
      <c r="AF141">
        <f>IF(HR_Data[[#This Row],[Age]]&lt;=25,1,IF(HR_Data[[#This Row],[Age]]&lt;=35,2,IF(HR_Data[[#This Row],[Age]]&lt;=45,3,IF(HR_Data[[#This Row],[Age]]&lt;=55,4,5))))</f>
        <v>2</v>
      </c>
      <c r="AG141" s="1" t="str">
        <f>IF(HR_Data[[#This Row],[MonthlyIncome]]&lt;3000,"&lt;3K",IF(HR_Data[[#This Row],[MonthlyIncome]]&lt;6000,"3K-6K",IF(HR_Data[[#This Row],[MonthlyIncome]]&lt;10000,"6K-10K","10K+")))</f>
        <v>6K-10K</v>
      </c>
      <c r="AH141" s="1">
        <f>IF(HR_Data[[#This Row],[MonthlyIncome]]&lt;3000,1,IF(HR_Data[[#This Row],[MonthlyIncome]]&lt;6000,2,IF(HR_Data[[#This Row],[MonthlyIncome]]&lt;10000,3,4)))</f>
        <v>3</v>
      </c>
      <c r="AI141" s="1" t="str">
        <f>IF(HR_Data[[#This Row],[YearsAtCompany]]&lt;=2,"0-2 Yrs",IF(HR_Data[[#This Row],[YearsAtCompany]]&lt;=5,"3-5 Yrs",IF(HR_Data[[#This Row],[YearsAtCompany]]&lt;=10,"6-10 Yrs","10+ Yrs")))</f>
        <v>10+ Yrs</v>
      </c>
      <c r="AJ141" s="1">
        <f>IF(HR_Data[[#This Row],[YearsAtCompany]]&lt;=2,1,IF(HR_Data[[#This Row],[YearsAtCompany]]&lt;=5,2,IF(HR_Data[[#This Row],[YearsAtCompany]]&lt;=10,3,4)))</f>
        <v>4</v>
      </c>
      <c r="AK141" s="1" t="str">
        <f>CHOOSE(HR_Data[[#This Row],[Education]],"Below College","College","Bachelor","Master","Doctor")</f>
        <v>Bachelor</v>
      </c>
      <c r="AL141" s="1" t="str">
        <f>CHOOSE(HR_Data[[#This Row],[JobSatisfaction]],"Low","Medium","High","Very High")</f>
        <v>Very High</v>
      </c>
      <c r="AM141" s="1" t="str">
        <f>CHOOSE(HR_Data[[#This Row],[EnvironmentSatisfaction]],"Low","Medium","High","Very High")</f>
        <v>High</v>
      </c>
      <c r="AN141" s="1" t="str">
        <f>CHOOSE(HR_Data[[#This Row],[WorkLifeBalance]],"Bad","Good","Better","Best")</f>
        <v>Bad</v>
      </c>
      <c r="AO141" s="1" t="str">
        <f>IF(HR_Data[[#This Row],[PercentSalaryHike]]&lt;=13,"11-13%",IF(HR_Data[[#This Row],[PercentSalaryHike]]&lt;=16,"14-16%",IF(HR_Data[[#This Row],[PercentSalaryHike]]&lt;=19,"17-19%","20-25%")))</f>
        <v>17-19%</v>
      </c>
      <c r="AP141" s="1">
        <f>IF(HR_Data[[#This Row],[PercentSalaryHike]]&lt;=13,1,IF(HR_Data[[#This Row],[PercentSalaryHike]]&lt;=16,2,IF(HR_Data[[#This Row],[PercentSalaryHike]]&lt;=19,3,4)))</f>
        <v>3</v>
      </c>
      <c r="AQ141" s="1" t="str">
        <f>IF(HR_Data[[#This Row],[DistanceFromHome]]&lt;=5,"1 to 5",IF(HR_Data[[#This Row],[DistanceFromHome]]&lt;=10,"6 to 10",IF(HR_Data[[#This Row],[DistanceFromHome]]&lt;=20,"11 to 20","21 to 29")))</f>
        <v>6 to 10</v>
      </c>
      <c r="AR141" s="1">
        <f>IF(HR_Data[[#This Row],[DistanceFromHome]]&lt;=5,1,IF(HR_Data[[#This Row],[DistanceFromHome]]&lt;=10,2,IF(HR_Data[[#This Row],[DistanceFromHome]]&lt;=20,3,4)))</f>
        <v>2</v>
      </c>
      <c r="AS141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41" s="1">
        <f>IF(HR_Data[[#This Row],[TotalWorkingYears]]&lt;=5,1,IF(HR_Data[[#This Row],[TotalWorkingYears]]&lt;=10,2,IF(HR_Data[[#This Row],[TotalWorkingYears]]&lt;=20,3,4)))</f>
        <v>3</v>
      </c>
    </row>
    <row r="142" spans="1:46" x14ac:dyDescent="0.25">
      <c r="A142">
        <v>32</v>
      </c>
      <c r="B142" t="s">
        <v>29</v>
      </c>
      <c r="C142" t="s">
        <v>30</v>
      </c>
      <c r="D142" t="s">
        <v>38</v>
      </c>
      <c r="E142">
        <v>9</v>
      </c>
      <c r="F142">
        <v>3</v>
      </c>
      <c r="G142" t="s">
        <v>44</v>
      </c>
      <c r="H142">
        <v>190</v>
      </c>
      <c r="I142">
        <v>1</v>
      </c>
      <c r="J142" t="s">
        <v>33</v>
      </c>
      <c r="K142">
        <v>3</v>
      </c>
      <c r="L142">
        <v>1</v>
      </c>
      <c r="M142" t="s">
        <v>43</v>
      </c>
      <c r="N142">
        <v>1</v>
      </c>
      <c r="O142" t="s">
        <v>35</v>
      </c>
      <c r="P142">
        <v>4200</v>
      </c>
      <c r="Q142">
        <v>7</v>
      </c>
      <c r="R142" t="s">
        <v>36</v>
      </c>
      <c r="S142">
        <v>22</v>
      </c>
      <c r="T142">
        <v>4</v>
      </c>
      <c r="U142">
        <v>1</v>
      </c>
      <c r="V142">
        <v>0</v>
      </c>
      <c r="W142">
        <v>10</v>
      </c>
      <c r="X142">
        <v>2</v>
      </c>
      <c r="Y142">
        <v>4</v>
      </c>
      <c r="Z142">
        <v>5</v>
      </c>
      <c r="AA142">
        <v>4</v>
      </c>
      <c r="AB142">
        <v>0</v>
      </c>
      <c r="AC142">
        <v>4</v>
      </c>
      <c r="AD142">
        <f>IF(HR_Data[[#This Row],[Attrition]]="Yes",1,0)</f>
        <v>1</v>
      </c>
      <c r="AE142" t="str">
        <f>IF(HR_Data[[#This Row],[Age]]&lt;=25,"18-25",IF(HR_Data[[#This Row],[Age]]&lt;=35,"26-35",IF(HR_Data[[#This Row],[Age]]&lt;=45,"36-45",IF(HR_Data[[#This Row],[Age]]&lt;=55,"46-55","55+"))))</f>
        <v>26-35</v>
      </c>
      <c r="AF142">
        <f>IF(HR_Data[[#This Row],[Age]]&lt;=25,1,IF(HR_Data[[#This Row],[Age]]&lt;=35,2,IF(HR_Data[[#This Row],[Age]]&lt;=45,3,IF(HR_Data[[#This Row],[Age]]&lt;=55,4,5))))</f>
        <v>2</v>
      </c>
      <c r="AG142" s="1" t="str">
        <f>IF(HR_Data[[#This Row],[MonthlyIncome]]&lt;3000,"&lt;3K",IF(HR_Data[[#This Row],[MonthlyIncome]]&lt;6000,"3K-6K",IF(HR_Data[[#This Row],[MonthlyIncome]]&lt;10000,"6K-10K","10K+")))</f>
        <v>3K-6K</v>
      </c>
      <c r="AH142" s="1">
        <f>IF(HR_Data[[#This Row],[MonthlyIncome]]&lt;3000,1,IF(HR_Data[[#This Row],[MonthlyIncome]]&lt;6000,2,IF(HR_Data[[#This Row],[MonthlyIncome]]&lt;10000,3,4)))</f>
        <v>2</v>
      </c>
      <c r="AI142" s="1" t="str">
        <f>IF(HR_Data[[#This Row],[YearsAtCompany]]&lt;=2,"0-2 Yrs",IF(HR_Data[[#This Row],[YearsAtCompany]]&lt;=5,"3-5 Yrs",IF(HR_Data[[#This Row],[YearsAtCompany]]&lt;=10,"6-10 Yrs","10+ Yrs")))</f>
        <v>3-5 Yrs</v>
      </c>
      <c r="AJ142" s="1">
        <f>IF(HR_Data[[#This Row],[YearsAtCompany]]&lt;=2,1,IF(HR_Data[[#This Row],[YearsAtCompany]]&lt;=5,2,IF(HR_Data[[#This Row],[YearsAtCompany]]&lt;=10,3,4)))</f>
        <v>2</v>
      </c>
      <c r="AK142" s="1" t="str">
        <f>CHOOSE(HR_Data[[#This Row],[Education]],"Below College","College","Bachelor","Master","Doctor")</f>
        <v>Bachelor</v>
      </c>
      <c r="AL142" s="1" t="str">
        <f>CHOOSE(HR_Data[[#This Row],[JobSatisfaction]],"Low","Medium","High","Very High")</f>
        <v>Low</v>
      </c>
      <c r="AM142" s="1" t="str">
        <f>CHOOSE(HR_Data[[#This Row],[EnvironmentSatisfaction]],"Low","Medium","High","Very High")</f>
        <v>Low</v>
      </c>
      <c r="AN142" s="1" t="str">
        <f>CHOOSE(HR_Data[[#This Row],[WorkLifeBalance]],"Bad","Good","Better","Best")</f>
        <v>Best</v>
      </c>
      <c r="AO142" s="1" t="str">
        <f>IF(HR_Data[[#This Row],[PercentSalaryHike]]&lt;=13,"11-13%",IF(HR_Data[[#This Row],[PercentSalaryHike]]&lt;=16,"14-16%",IF(HR_Data[[#This Row],[PercentSalaryHike]]&lt;=19,"17-19%","20-25%")))</f>
        <v>20-25%</v>
      </c>
      <c r="AP142" s="1">
        <f>IF(HR_Data[[#This Row],[PercentSalaryHike]]&lt;=13,1,IF(HR_Data[[#This Row],[PercentSalaryHike]]&lt;=16,2,IF(HR_Data[[#This Row],[PercentSalaryHike]]&lt;=19,3,4)))</f>
        <v>4</v>
      </c>
      <c r="AQ142" s="1" t="str">
        <f>IF(HR_Data[[#This Row],[DistanceFromHome]]&lt;=5,"1 to 5",IF(HR_Data[[#This Row],[DistanceFromHome]]&lt;=10,"6 to 10",IF(HR_Data[[#This Row],[DistanceFromHome]]&lt;=20,"11 to 20","21 to 29")))</f>
        <v>6 to 10</v>
      </c>
      <c r="AR142" s="1">
        <f>IF(HR_Data[[#This Row],[DistanceFromHome]]&lt;=5,1,IF(HR_Data[[#This Row],[DistanceFromHome]]&lt;=10,2,IF(HR_Data[[#This Row],[DistanceFromHome]]&lt;=20,3,4)))</f>
        <v>2</v>
      </c>
      <c r="AS142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42" s="1">
        <f>IF(HR_Data[[#This Row],[TotalWorkingYears]]&lt;=5,1,IF(HR_Data[[#This Row],[TotalWorkingYears]]&lt;=10,2,IF(HR_Data[[#This Row],[TotalWorkingYears]]&lt;=20,3,4)))</f>
        <v>2</v>
      </c>
    </row>
    <row r="143" spans="1:46" x14ac:dyDescent="0.25">
      <c r="A143">
        <v>45</v>
      </c>
      <c r="B143" t="s">
        <v>36</v>
      </c>
      <c r="C143" t="s">
        <v>30</v>
      </c>
      <c r="D143" t="s">
        <v>38</v>
      </c>
      <c r="E143">
        <v>29</v>
      </c>
      <c r="F143">
        <v>3</v>
      </c>
      <c r="G143" t="s">
        <v>44</v>
      </c>
      <c r="H143">
        <v>192</v>
      </c>
      <c r="I143">
        <v>3</v>
      </c>
      <c r="J143" t="s">
        <v>39</v>
      </c>
      <c r="K143">
        <v>3</v>
      </c>
      <c r="L143">
        <v>1</v>
      </c>
      <c r="M143" t="s">
        <v>40</v>
      </c>
      <c r="N143">
        <v>4</v>
      </c>
      <c r="O143" t="s">
        <v>35</v>
      </c>
      <c r="P143">
        <v>3452</v>
      </c>
      <c r="Q143">
        <v>5</v>
      </c>
      <c r="R143" t="s">
        <v>36</v>
      </c>
      <c r="S143">
        <v>13</v>
      </c>
      <c r="T143">
        <v>3</v>
      </c>
      <c r="U143">
        <v>2</v>
      </c>
      <c r="V143">
        <v>0</v>
      </c>
      <c r="W143">
        <v>9</v>
      </c>
      <c r="X143">
        <v>2</v>
      </c>
      <c r="Y143">
        <v>2</v>
      </c>
      <c r="Z143">
        <v>6</v>
      </c>
      <c r="AA143">
        <v>5</v>
      </c>
      <c r="AB143">
        <v>0</v>
      </c>
      <c r="AC143">
        <v>3</v>
      </c>
      <c r="AD143">
        <f>IF(HR_Data[[#This Row],[Attrition]]="Yes",1,0)</f>
        <v>0</v>
      </c>
      <c r="AE143" t="str">
        <f>IF(HR_Data[[#This Row],[Age]]&lt;=25,"18-25",IF(HR_Data[[#This Row],[Age]]&lt;=35,"26-35",IF(HR_Data[[#This Row],[Age]]&lt;=45,"36-45",IF(HR_Data[[#This Row],[Age]]&lt;=55,"46-55","55+"))))</f>
        <v>36-45</v>
      </c>
      <c r="AF143">
        <f>IF(HR_Data[[#This Row],[Age]]&lt;=25,1,IF(HR_Data[[#This Row],[Age]]&lt;=35,2,IF(HR_Data[[#This Row],[Age]]&lt;=45,3,IF(HR_Data[[#This Row],[Age]]&lt;=55,4,5))))</f>
        <v>3</v>
      </c>
      <c r="AG143" s="1" t="str">
        <f>IF(HR_Data[[#This Row],[MonthlyIncome]]&lt;3000,"&lt;3K",IF(HR_Data[[#This Row],[MonthlyIncome]]&lt;6000,"3K-6K",IF(HR_Data[[#This Row],[MonthlyIncome]]&lt;10000,"6K-10K","10K+")))</f>
        <v>3K-6K</v>
      </c>
      <c r="AH143" s="1">
        <f>IF(HR_Data[[#This Row],[MonthlyIncome]]&lt;3000,1,IF(HR_Data[[#This Row],[MonthlyIncome]]&lt;6000,2,IF(HR_Data[[#This Row],[MonthlyIncome]]&lt;10000,3,4)))</f>
        <v>2</v>
      </c>
      <c r="AI143" s="1" t="str">
        <f>IF(HR_Data[[#This Row],[YearsAtCompany]]&lt;=2,"0-2 Yrs",IF(HR_Data[[#This Row],[YearsAtCompany]]&lt;=5,"3-5 Yrs",IF(HR_Data[[#This Row],[YearsAtCompany]]&lt;=10,"6-10 Yrs","10+ Yrs")))</f>
        <v>6-10 Yrs</v>
      </c>
      <c r="AJ143" s="1">
        <f>IF(HR_Data[[#This Row],[YearsAtCompany]]&lt;=2,1,IF(HR_Data[[#This Row],[YearsAtCompany]]&lt;=5,2,IF(HR_Data[[#This Row],[YearsAtCompany]]&lt;=10,3,4)))</f>
        <v>3</v>
      </c>
      <c r="AK143" s="1" t="str">
        <f>CHOOSE(HR_Data[[#This Row],[Education]],"Below College","College","Bachelor","Master","Doctor")</f>
        <v>Bachelor</v>
      </c>
      <c r="AL143" s="1" t="str">
        <f>CHOOSE(HR_Data[[#This Row],[JobSatisfaction]],"Low","Medium","High","Very High")</f>
        <v>Very High</v>
      </c>
      <c r="AM143" s="1" t="str">
        <f>CHOOSE(HR_Data[[#This Row],[EnvironmentSatisfaction]],"Low","Medium","High","Very High")</f>
        <v>High</v>
      </c>
      <c r="AN143" s="1" t="str">
        <f>CHOOSE(HR_Data[[#This Row],[WorkLifeBalance]],"Bad","Good","Better","Best")</f>
        <v>Good</v>
      </c>
      <c r="AO143" s="1" t="str">
        <f>IF(HR_Data[[#This Row],[PercentSalaryHike]]&lt;=13,"11-13%",IF(HR_Data[[#This Row],[PercentSalaryHike]]&lt;=16,"14-16%",IF(HR_Data[[#This Row],[PercentSalaryHike]]&lt;=19,"17-19%","20-25%")))</f>
        <v>11-13%</v>
      </c>
      <c r="AP143" s="1">
        <f>IF(HR_Data[[#This Row],[PercentSalaryHike]]&lt;=13,1,IF(HR_Data[[#This Row],[PercentSalaryHike]]&lt;=16,2,IF(HR_Data[[#This Row],[PercentSalaryHike]]&lt;=19,3,4)))</f>
        <v>1</v>
      </c>
      <c r="AQ143" s="1" t="str">
        <f>IF(HR_Data[[#This Row],[DistanceFromHome]]&lt;=5,"1 to 5",IF(HR_Data[[#This Row],[DistanceFromHome]]&lt;=10,"6 to 10",IF(HR_Data[[#This Row],[DistanceFromHome]]&lt;=20,"11 to 20","21 to 29")))</f>
        <v>21 to 29</v>
      </c>
      <c r="AR143" s="1">
        <f>IF(HR_Data[[#This Row],[DistanceFromHome]]&lt;=5,1,IF(HR_Data[[#This Row],[DistanceFromHome]]&lt;=10,2,IF(HR_Data[[#This Row],[DistanceFromHome]]&lt;=20,3,4)))</f>
        <v>4</v>
      </c>
      <c r="AS143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43" s="1">
        <f>IF(HR_Data[[#This Row],[TotalWorkingYears]]&lt;=5,1,IF(HR_Data[[#This Row],[TotalWorkingYears]]&lt;=10,2,IF(HR_Data[[#This Row],[TotalWorkingYears]]&lt;=20,3,4)))</f>
        <v>2</v>
      </c>
    </row>
    <row r="144" spans="1:46" x14ac:dyDescent="0.25">
      <c r="A144">
        <v>38</v>
      </c>
      <c r="B144" t="s">
        <v>36</v>
      </c>
      <c r="C144" t="s">
        <v>30</v>
      </c>
      <c r="D144" t="s">
        <v>38</v>
      </c>
      <c r="E144">
        <v>3</v>
      </c>
      <c r="F144">
        <v>5</v>
      </c>
      <c r="G144" t="s">
        <v>53</v>
      </c>
      <c r="H144">
        <v>193</v>
      </c>
      <c r="I144">
        <v>4</v>
      </c>
      <c r="J144" t="s">
        <v>33</v>
      </c>
      <c r="K144">
        <v>3</v>
      </c>
      <c r="L144">
        <v>2</v>
      </c>
      <c r="M144" t="s">
        <v>40</v>
      </c>
      <c r="N144">
        <v>3</v>
      </c>
      <c r="O144" t="s">
        <v>35</v>
      </c>
      <c r="P144">
        <v>4317</v>
      </c>
      <c r="Q144">
        <v>3</v>
      </c>
      <c r="R144" t="s">
        <v>29</v>
      </c>
      <c r="S144">
        <v>20</v>
      </c>
      <c r="T144">
        <v>4</v>
      </c>
      <c r="U144">
        <v>2</v>
      </c>
      <c r="V144">
        <v>0</v>
      </c>
      <c r="W144">
        <v>19</v>
      </c>
      <c r="X144">
        <v>2</v>
      </c>
      <c r="Y144">
        <v>3</v>
      </c>
      <c r="Z144">
        <v>3</v>
      </c>
      <c r="AA144">
        <v>2</v>
      </c>
      <c r="AB144">
        <v>2</v>
      </c>
      <c r="AC144">
        <v>2</v>
      </c>
      <c r="AD144">
        <f>IF(HR_Data[[#This Row],[Attrition]]="Yes",1,0)</f>
        <v>0</v>
      </c>
      <c r="AE144" t="str">
        <f>IF(HR_Data[[#This Row],[Age]]&lt;=25,"18-25",IF(HR_Data[[#This Row],[Age]]&lt;=35,"26-35",IF(HR_Data[[#This Row],[Age]]&lt;=45,"36-45",IF(HR_Data[[#This Row],[Age]]&lt;=55,"46-55","55+"))))</f>
        <v>36-45</v>
      </c>
      <c r="AF144">
        <f>IF(HR_Data[[#This Row],[Age]]&lt;=25,1,IF(HR_Data[[#This Row],[Age]]&lt;=35,2,IF(HR_Data[[#This Row],[Age]]&lt;=45,3,IF(HR_Data[[#This Row],[Age]]&lt;=55,4,5))))</f>
        <v>3</v>
      </c>
      <c r="AG144" s="1" t="str">
        <f>IF(HR_Data[[#This Row],[MonthlyIncome]]&lt;3000,"&lt;3K",IF(HR_Data[[#This Row],[MonthlyIncome]]&lt;6000,"3K-6K",IF(HR_Data[[#This Row],[MonthlyIncome]]&lt;10000,"6K-10K","10K+")))</f>
        <v>3K-6K</v>
      </c>
      <c r="AH144" s="1">
        <f>IF(HR_Data[[#This Row],[MonthlyIncome]]&lt;3000,1,IF(HR_Data[[#This Row],[MonthlyIncome]]&lt;6000,2,IF(HR_Data[[#This Row],[MonthlyIncome]]&lt;10000,3,4)))</f>
        <v>2</v>
      </c>
      <c r="AI144" s="1" t="str">
        <f>IF(HR_Data[[#This Row],[YearsAtCompany]]&lt;=2,"0-2 Yrs",IF(HR_Data[[#This Row],[YearsAtCompany]]&lt;=5,"3-5 Yrs",IF(HR_Data[[#This Row],[YearsAtCompany]]&lt;=10,"6-10 Yrs","10+ Yrs")))</f>
        <v>3-5 Yrs</v>
      </c>
      <c r="AJ144" s="1">
        <f>IF(HR_Data[[#This Row],[YearsAtCompany]]&lt;=2,1,IF(HR_Data[[#This Row],[YearsAtCompany]]&lt;=5,2,IF(HR_Data[[#This Row],[YearsAtCompany]]&lt;=10,3,4)))</f>
        <v>2</v>
      </c>
      <c r="AK144" s="1" t="str">
        <f>CHOOSE(HR_Data[[#This Row],[Education]],"Below College","College","Bachelor","Master","Doctor")</f>
        <v>Doctor</v>
      </c>
      <c r="AL144" s="1" t="str">
        <f>CHOOSE(HR_Data[[#This Row],[JobSatisfaction]],"Low","Medium","High","Very High")</f>
        <v>High</v>
      </c>
      <c r="AM144" s="1" t="str">
        <f>CHOOSE(HR_Data[[#This Row],[EnvironmentSatisfaction]],"Low","Medium","High","Very High")</f>
        <v>Very High</v>
      </c>
      <c r="AN144" s="1" t="str">
        <f>CHOOSE(HR_Data[[#This Row],[WorkLifeBalance]],"Bad","Good","Better","Best")</f>
        <v>Better</v>
      </c>
      <c r="AO144" s="1" t="str">
        <f>IF(HR_Data[[#This Row],[PercentSalaryHike]]&lt;=13,"11-13%",IF(HR_Data[[#This Row],[PercentSalaryHike]]&lt;=16,"14-16%",IF(HR_Data[[#This Row],[PercentSalaryHike]]&lt;=19,"17-19%","20-25%")))</f>
        <v>20-25%</v>
      </c>
      <c r="AP144" s="1">
        <f>IF(HR_Data[[#This Row],[PercentSalaryHike]]&lt;=13,1,IF(HR_Data[[#This Row],[PercentSalaryHike]]&lt;=16,2,IF(HR_Data[[#This Row],[PercentSalaryHike]]&lt;=19,3,4)))</f>
        <v>4</v>
      </c>
      <c r="AQ144" s="1" t="str">
        <f>IF(HR_Data[[#This Row],[DistanceFromHome]]&lt;=5,"1 to 5",IF(HR_Data[[#This Row],[DistanceFromHome]]&lt;=10,"6 to 10",IF(HR_Data[[#This Row],[DistanceFromHome]]&lt;=20,"11 to 20","21 to 29")))</f>
        <v>1 to 5</v>
      </c>
      <c r="AR144" s="1">
        <f>IF(HR_Data[[#This Row],[DistanceFromHome]]&lt;=5,1,IF(HR_Data[[#This Row],[DistanceFromHome]]&lt;=10,2,IF(HR_Data[[#This Row],[DistanceFromHome]]&lt;=20,3,4)))</f>
        <v>1</v>
      </c>
      <c r="AS144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44" s="1">
        <f>IF(HR_Data[[#This Row],[TotalWorkingYears]]&lt;=5,1,IF(HR_Data[[#This Row],[TotalWorkingYears]]&lt;=10,2,IF(HR_Data[[#This Row],[TotalWorkingYears]]&lt;=20,3,4)))</f>
        <v>3</v>
      </c>
    </row>
    <row r="145" spans="1:46" x14ac:dyDescent="0.25">
      <c r="A145">
        <v>30</v>
      </c>
      <c r="B145" t="s">
        <v>36</v>
      </c>
      <c r="C145" t="s">
        <v>30</v>
      </c>
      <c r="D145" t="s">
        <v>38</v>
      </c>
      <c r="E145">
        <v>18</v>
      </c>
      <c r="F145">
        <v>3</v>
      </c>
      <c r="G145" t="s">
        <v>32</v>
      </c>
      <c r="H145">
        <v>194</v>
      </c>
      <c r="I145">
        <v>1</v>
      </c>
      <c r="J145" t="s">
        <v>33</v>
      </c>
      <c r="K145">
        <v>3</v>
      </c>
      <c r="L145">
        <v>1</v>
      </c>
      <c r="M145" t="s">
        <v>40</v>
      </c>
      <c r="N145">
        <v>3</v>
      </c>
      <c r="O145" t="s">
        <v>35</v>
      </c>
      <c r="P145">
        <v>2632</v>
      </c>
      <c r="Q145">
        <v>1</v>
      </c>
      <c r="R145" t="s">
        <v>36</v>
      </c>
      <c r="S145">
        <v>14</v>
      </c>
      <c r="T145">
        <v>3</v>
      </c>
      <c r="U145">
        <v>3</v>
      </c>
      <c r="V145">
        <v>0</v>
      </c>
      <c r="W145">
        <v>5</v>
      </c>
      <c r="X145">
        <v>4</v>
      </c>
      <c r="Y145">
        <v>2</v>
      </c>
      <c r="Z145">
        <v>5</v>
      </c>
      <c r="AA145">
        <v>4</v>
      </c>
      <c r="AB145">
        <v>0</v>
      </c>
      <c r="AC145">
        <v>4</v>
      </c>
      <c r="AD145">
        <f>IF(HR_Data[[#This Row],[Attrition]]="Yes",1,0)</f>
        <v>0</v>
      </c>
      <c r="AE145" t="str">
        <f>IF(HR_Data[[#This Row],[Age]]&lt;=25,"18-25",IF(HR_Data[[#This Row],[Age]]&lt;=35,"26-35",IF(HR_Data[[#This Row],[Age]]&lt;=45,"36-45",IF(HR_Data[[#This Row],[Age]]&lt;=55,"46-55","55+"))))</f>
        <v>26-35</v>
      </c>
      <c r="AF145">
        <f>IF(HR_Data[[#This Row],[Age]]&lt;=25,1,IF(HR_Data[[#This Row],[Age]]&lt;=35,2,IF(HR_Data[[#This Row],[Age]]&lt;=45,3,IF(HR_Data[[#This Row],[Age]]&lt;=55,4,5))))</f>
        <v>2</v>
      </c>
      <c r="AG145" s="1" t="str">
        <f>IF(HR_Data[[#This Row],[MonthlyIncome]]&lt;3000,"&lt;3K",IF(HR_Data[[#This Row],[MonthlyIncome]]&lt;6000,"3K-6K",IF(HR_Data[[#This Row],[MonthlyIncome]]&lt;10000,"6K-10K","10K+")))</f>
        <v>&lt;3K</v>
      </c>
      <c r="AH145" s="1">
        <f>IF(HR_Data[[#This Row],[MonthlyIncome]]&lt;3000,1,IF(HR_Data[[#This Row],[MonthlyIncome]]&lt;6000,2,IF(HR_Data[[#This Row],[MonthlyIncome]]&lt;10000,3,4)))</f>
        <v>1</v>
      </c>
      <c r="AI145" s="1" t="str">
        <f>IF(HR_Data[[#This Row],[YearsAtCompany]]&lt;=2,"0-2 Yrs",IF(HR_Data[[#This Row],[YearsAtCompany]]&lt;=5,"3-5 Yrs",IF(HR_Data[[#This Row],[YearsAtCompany]]&lt;=10,"6-10 Yrs","10+ Yrs")))</f>
        <v>3-5 Yrs</v>
      </c>
      <c r="AJ145" s="1">
        <f>IF(HR_Data[[#This Row],[YearsAtCompany]]&lt;=2,1,IF(HR_Data[[#This Row],[YearsAtCompany]]&lt;=5,2,IF(HR_Data[[#This Row],[YearsAtCompany]]&lt;=10,3,4)))</f>
        <v>2</v>
      </c>
      <c r="AK145" s="1" t="str">
        <f>CHOOSE(HR_Data[[#This Row],[Education]],"Below College","College","Bachelor","Master","Doctor")</f>
        <v>Bachelor</v>
      </c>
      <c r="AL145" s="1" t="str">
        <f>CHOOSE(HR_Data[[#This Row],[JobSatisfaction]],"Low","Medium","High","Very High")</f>
        <v>High</v>
      </c>
      <c r="AM145" s="1" t="str">
        <f>CHOOSE(HR_Data[[#This Row],[EnvironmentSatisfaction]],"Low","Medium","High","Very High")</f>
        <v>Low</v>
      </c>
      <c r="AN145" s="1" t="str">
        <f>CHOOSE(HR_Data[[#This Row],[WorkLifeBalance]],"Bad","Good","Better","Best")</f>
        <v>Good</v>
      </c>
      <c r="AO145" s="1" t="str">
        <f>IF(HR_Data[[#This Row],[PercentSalaryHike]]&lt;=13,"11-13%",IF(HR_Data[[#This Row],[PercentSalaryHike]]&lt;=16,"14-16%",IF(HR_Data[[#This Row],[PercentSalaryHike]]&lt;=19,"17-19%","20-25%")))</f>
        <v>14-16%</v>
      </c>
      <c r="AP145" s="1">
        <f>IF(HR_Data[[#This Row],[PercentSalaryHike]]&lt;=13,1,IF(HR_Data[[#This Row],[PercentSalaryHike]]&lt;=16,2,IF(HR_Data[[#This Row],[PercentSalaryHike]]&lt;=19,3,4)))</f>
        <v>2</v>
      </c>
      <c r="AQ145" s="1" t="str">
        <f>IF(HR_Data[[#This Row],[DistanceFromHome]]&lt;=5,"1 to 5",IF(HR_Data[[#This Row],[DistanceFromHome]]&lt;=10,"6 to 10",IF(HR_Data[[#This Row],[DistanceFromHome]]&lt;=20,"11 to 20","21 to 29")))</f>
        <v>11 to 20</v>
      </c>
      <c r="AR145" s="1">
        <f>IF(HR_Data[[#This Row],[DistanceFromHome]]&lt;=5,1,IF(HR_Data[[#This Row],[DistanceFromHome]]&lt;=10,2,IF(HR_Data[[#This Row],[DistanceFromHome]]&lt;=20,3,4)))</f>
        <v>3</v>
      </c>
      <c r="AS145" s="1" t="str">
        <f>IF(HR_Data[[#This Row],[TotalWorkingYears]]&lt;=5,"0-5 Yrs",IF(HR_Data[[#This Row],[TotalWorkingYears]]&lt;=10,"6-10 Yrs",IF(HR_Data[[#This Row],[TotalWorkingYears]]&lt;=20,"11-20 Yrs","20+ Yrs")))</f>
        <v>0-5 Yrs</v>
      </c>
      <c r="AT145" s="1">
        <f>IF(HR_Data[[#This Row],[TotalWorkingYears]]&lt;=5,1,IF(HR_Data[[#This Row],[TotalWorkingYears]]&lt;=10,2,IF(HR_Data[[#This Row],[TotalWorkingYears]]&lt;=20,3,4)))</f>
        <v>1</v>
      </c>
    </row>
    <row r="146" spans="1:46" x14ac:dyDescent="0.25">
      <c r="A146">
        <v>32</v>
      </c>
      <c r="B146" t="s">
        <v>36</v>
      </c>
      <c r="C146" t="s">
        <v>37</v>
      </c>
      <c r="D146" t="s">
        <v>31</v>
      </c>
      <c r="E146">
        <v>9</v>
      </c>
      <c r="F146">
        <v>2</v>
      </c>
      <c r="G146" t="s">
        <v>44</v>
      </c>
      <c r="H146">
        <v>195</v>
      </c>
      <c r="I146">
        <v>4</v>
      </c>
      <c r="J146" t="s">
        <v>39</v>
      </c>
      <c r="K146">
        <v>1</v>
      </c>
      <c r="L146">
        <v>2</v>
      </c>
      <c r="M146" t="s">
        <v>34</v>
      </c>
      <c r="N146">
        <v>4</v>
      </c>
      <c r="O146" t="s">
        <v>45</v>
      </c>
      <c r="P146">
        <v>4668</v>
      </c>
      <c r="Q146">
        <v>0</v>
      </c>
      <c r="R146" t="s">
        <v>36</v>
      </c>
      <c r="S146">
        <v>17</v>
      </c>
      <c r="T146">
        <v>3</v>
      </c>
      <c r="U146">
        <v>4</v>
      </c>
      <c r="V146">
        <v>3</v>
      </c>
      <c r="W146">
        <v>9</v>
      </c>
      <c r="X146">
        <v>2</v>
      </c>
      <c r="Y146">
        <v>4</v>
      </c>
      <c r="Z146">
        <v>8</v>
      </c>
      <c r="AA146">
        <v>7</v>
      </c>
      <c r="AB146">
        <v>0</v>
      </c>
      <c r="AC146">
        <v>7</v>
      </c>
      <c r="AD146">
        <f>IF(HR_Data[[#This Row],[Attrition]]="Yes",1,0)</f>
        <v>0</v>
      </c>
      <c r="AE146" t="str">
        <f>IF(HR_Data[[#This Row],[Age]]&lt;=25,"18-25",IF(HR_Data[[#This Row],[Age]]&lt;=35,"26-35",IF(HR_Data[[#This Row],[Age]]&lt;=45,"36-45",IF(HR_Data[[#This Row],[Age]]&lt;=55,"46-55","55+"))))</f>
        <v>26-35</v>
      </c>
      <c r="AF146">
        <f>IF(HR_Data[[#This Row],[Age]]&lt;=25,1,IF(HR_Data[[#This Row],[Age]]&lt;=35,2,IF(HR_Data[[#This Row],[Age]]&lt;=45,3,IF(HR_Data[[#This Row],[Age]]&lt;=55,4,5))))</f>
        <v>2</v>
      </c>
      <c r="AG146" s="1" t="str">
        <f>IF(HR_Data[[#This Row],[MonthlyIncome]]&lt;3000,"&lt;3K",IF(HR_Data[[#This Row],[MonthlyIncome]]&lt;6000,"3K-6K",IF(HR_Data[[#This Row],[MonthlyIncome]]&lt;10000,"6K-10K","10K+")))</f>
        <v>3K-6K</v>
      </c>
      <c r="AH146" s="1">
        <f>IF(HR_Data[[#This Row],[MonthlyIncome]]&lt;3000,1,IF(HR_Data[[#This Row],[MonthlyIncome]]&lt;6000,2,IF(HR_Data[[#This Row],[MonthlyIncome]]&lt;10000,3,4)))</f>
        <v>2</v>
      </c>
      <c r="AI146" s="1" t="str">
        <f>IF(HR_Data[[#This Row],[YearsAtCompany]]&lt;=2,"0-2 Yrs",IF(HR_Data[[#This Row],[YearsAtCompany]]&lt;=5,"3-5 Yrs",IF(HR_Data[[#This Row],[YearsAtCompany]]&lt;=10,"6-10 Yrs","10+ Yrs")))</f>
        <v>6-10 Yrs</v>
      </c>
      <c r="AJ146" s="1">
        <f>IF(HR_Data[[#This Row],[YearsAtCompany]]&lt;=2,1,IF(HR_Data[[#This Row],[YearsAtCompany]]&lt;=5,2,IF(HR_Data[[#This Row],[YearsAtCompany]]&lt;=10,3,4)))</f>
        <v>3</v>
      </c>
      <c r="AK146" s="1" t="str">
        <f>CHOOSE(HR_Data[[#This Row],[Education]],"Below College","College","Bachelor","Master","Doctor")</f>
        <v>College</v>
      </c>
      <c r="AL146" s="1" t="str">
        <f>CHOOSE(HR_Data[[#This Row],[JobSatisfaction]],"Low","Medium","High","Very High")</f>
        <v>Very High</v>
      </c>
      <c r="AM146" s="1" t="str">
        <f>CHOOSE(HR_Data[[#This Row],[EnvironmentSatisfaction]],"Low","Medium","High","Very High")</f>
        <v>Very High</v>
      </c>
      <c r="AN146" s="1" t="str">
        <f>CHOOSE(HR_Data[[#This Row],[WorkLifeBalance]],"Bad","Good","Better","Best")</f>
        <v>Best</v>
      </c>
      <c r="AO146" s="1" t="str">
        <f>IF(HR_Data[[#This Row],[PercentSalaryHike]]&lt;=13,"11-13%",IF(HR_Data[[#This Row],[PercentSalaryHike]]&lt;=16,"14-16%",IF(HR_Data[[#This Row],[PercentSalaryHike]]&lt;=19,"17-19%","20-25%")))</f>
        <v>17-19%</v>
      </c>
      <c r="AP146" s="1">
        <f>IF(HR_Data[[#This Row],[PercentSalaryHike]]&lt;=13,1,IF(HR_Data[[#This Row],[PercentSalaryHike]]&lt;=16,2,IF(HR_Data[[#This Row],[PercentSalaryHike]]&lt;=19,3,4)))</f>
        <v>3</v>
      </c>
      <c r="AQ146" s="1" t="str">
        <f>IF(HR_Data[[#This Row],[DistanceFromHome]]&lt;=5,"1 to 5",IF(HR_Data[[#This Row],[DistanceFromHome]]&lt;=10,"6 to 10",IF(HR_Data[[#This Row],[DistanceFromHome]]&lt;=20,"11 to 20","21 to 29")))</f>
        <v>6 to 10</v>
      </c>
      <c r="AR146" s="1">
        <f>IF(HR_Data[[#This Row],[DistanceFromHome]]&lt;=5,1,IF(HR_Data[[#This Row],[DistanceFromHome]]&lt;=10,2,IF(HR_Data[[#This Row],[DistanceFromHome]]&lt;=20,3,4)))</f>
        <v>2</v>
      </c>
      <c r="AS146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46" s="1">
        <f>IF(HR_Data[[#This Row],[TotalWorkingYears]]&lt;=5,1,IF(HR_Data[[#This Row],[TotalWorkingYears]]&lt;=10,2,IF(HR_Data[[#This Row],[TotalWorkingYears]]&lt;=20,3,4)))</f>
        <v>2</v>
      </c>
    </row>
    <row r="147" spans="1:46" x14ac:dyDescent="0.25">
      <c r="A147">
        <v>30</v>
      </c>
      <c r="B147" t="s">
        <v>36</v>
      </c>
      <c r="C147" t="s">
        <v>30</v>
      </c>
      <c r="D147" t="s">
        <v>38</v>
      </c>
      <c r="E147">
        <v>5</v>
      </c>
      <c r="F147">
        <v>3</v>
      </c>
      <c r="G147" t="s">
        <v>53</v>
      </c>
      <c r="H147">
        <v>197</v>
      </c>
      <c r="I147">
        <v>4</v>
      </c>
      <c r="J147" t="s">
        <v>33</v>
      </c>
      <c r="K147">
        <v>3</v>
      </c>
      <c r="L147">
        <v>1</v>
      </c>
      <c r="M147" t="s">
        <v>40</v>
      </c>
      <c r="N147">
        <v>1</v>
      </c>
      <c r="O147" t="s">
        <v>45</v>
      </c>
      <c r="P147">
        <v>3204</v>
      </c>
      <c r="Q147">
        <v>5</v>
      </c>
      <c r="R147" t="s">
        <v>36</v>
      </c>
      <c r="S147">
        <v>14</v>
      </c>
      <c r="T147">
        <v>3</v>
      </c>
      <c r="U147">
        <v>4</v>
      </c>
      <c r="V147">
        <v>1</v>
      </c>
      <c r="W147">
        <v>8</v>
      </c>
      <c r="X147">
        <v>3</v>
      </c>
      <c r="Y147">
        <v>3</v>
      </c>
      <c r="Z147">
        <v>3</v>
      </c>
      <c r="AA147">
        <v>2</v>
      </c>
      <c r="AB147">
        <v>2</v>
      </c>
      <c r="AC147">
        <v>2</v>
      </c>
      <c r="AD147">
        <f>IF(HR_Data[[#This Row],[Attrition]]="Yes",1,0)</f>
        <v>0</v>
      </c>
      <c r="AE147" t="str">
        <f>IF(HR_Data[[#This Row],[Age]]&lt;=25,"18-25",IF(HR_Data[[#This Row],[Age]]&lt;=35,"26-35",IF(HR_Data[[#This Row],[Age]]&lt;=45,"36-45",IF(HR_Data[[#This Row],[Age]]&lt;=55,"46-55","55+"))))</f>
        <v>26-35</v>
      </c>
      <c r="AF147">
        <f>IF(HR_Data[[#This Row],[Age]]&lt;=25,1,IF(HR_Data[[#This Row],[Age]]&lt;=35,2,IF(HR_Data[[#This Row],[Age]]&lt;=45,3,IF(HR_Data[[#This Row],[Age]]&lt;=55,4,5))))</f>
        <v>2</v>
      </c>
      <c r="AG147" s="1" t="str">
        <f>IF(HR_Data[[#This Row],[MonthlyIncome]]&lt;3000,"&lt;3K",IF(HR_Data[[#This Row],[MonthlyIncome]]&lt;6000,"3K-6K",IF(HR_Data[[#This Row],[MonthlyIncome]]&lt;10000,"6K-10K","10K+")))</f>
        <v>3K-6K</v>
      </c>
      <c r="AH147" s="1">
        <f>IF(HR_Data[[#This Row],[MonthlyIncome]]&lt;3000,1,IF(HR_Data[[#This Row],[MonthlyIncome]]&lt;6000,2,IF(HR_Data[[#This Row],[MonthlyIncome]]&lt;10000,3,4)))</f>
        <v>2</v>
      </c>
      <c r="AI147" s="1" t="str">
        <f>IF(HR_Data[[#This Row],[YearsAtCompany]]&lt;=2,"0-2 Yrs",IF(HR_Data[[#This Row],[YearsAtCompany]]&lt;=5,"3-5 Yrs",IF(HR_Data[[#This Row],[YearsAtCompany]]&lt;=10,"6-10 Yrs","10+ Yrs")))</f>
        <v>3-5 Yrs</v>
      </c>
      <c r="AJ147" s="1">
        <f>IF(HR_Data[[#This Row],[YearsAtCompany]]&lt;=2,1,IF(HR_Data[[#This Row],[YearsAtCompany]]&lt;=5,2,IF(HR_Data[[#This Row],[YearsAtCompany]]&lt;=10,3,4)))</f>
        <v>2</v>
      </c>
      <c r="AK147" s="1" t="str">
        <f>CHOOSE(HR_Data[[#This Row],[Education]],"Below College","College","Bachelor","Master","Doctor")</f>
        <v>Bachelor</v>
      </c>
      <c r="AL147" s="1" t="str">
        <f>CHOOSE(HR_Data[[#This Row],[JobSatisfaction]],"Low","Medium","High","Very High")</f>
        <v>Low</v>
      </c>
      <c r="AM147" s="1" t="str">
        <f>CHOOSE(HR_Data[[#This Row],[EnvironmentSatisfaction]],"Low","Medium","High","Very High")</f>
        <v>Very High</v>
      </c>
      <c r="AN147" s="1" t="str">
        <f>CHOOSE(HR_Data[[#This Row],[WorkLifeBalance]],"Bad","Good","Better","Best")</f>
        <v>Better</v>
      </c>
      <c r="AO147" s="1" t="str">
        <f>IF(HR_Data[[#This Row],[PercentSalaryHike]]&lt;=13,"11-13%",IF(HR_Data[[#This Row],[PercentSalaryHike]]&lt;=16,"14-16%",IF(HR_Data[[#This Row],[PercentSalaryHike]]&lt;=19,"17-19%","20-25%")))</f>
        <v>14-16%</v>
      </c>
      <c r="AP147" s="1">
        <f>IF(HR_Data[[#This Row],[PercentSalaryHike]]&lt;=13,1,IF(HR_Data[[#This Row],[PercentSalaryHike]]&lt;=16,2,IF(HR_Data[[#This Row],[PercentSalaryHike]]&lt;=19,3,4)))</f>
        <v>2</v>
      </c>
      <c r="AQ147" s="1" t="str">
        <f>IF(HR_Data[[#This Row],[DistanceFromHome]]&lt;=5,"1 to 5",IF(HR_Data[[#This Row],[DistanceFromHome]]&lt;=10,"6 to 10",IF(HR_Data[[#This Row],[DistanceFromHome]]&lt;=20,"11 to 20","21 to 29")))</f>
        <v>1 to 5</v>
      </c>
      <c r="AR147" s="1">
        <f>IF(HR_Data[[#This Row],[DistanceFromHome]]&lt;=5,1,IF(HR_Data[[#This Row],[DistanceFromHome]]&lt;=10,2,IF(HR_Data[[#This Row],[DistanceFromHome]]&lt;=20,3,4)))</f>
        <v>1</v>
      </c>
      <c r="AS147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47" s="1">
        <f>IF(HR_Data[[#This Row],[TotalWorkingYears]]&lt;=5,1,IF(HR_Data[[#This Row],[TotalWorkingYears]]&lt;=10,2,IF(HR_Data[[#This Row],[TotalWorkingYears]]&lt;=20,3,4)))</f>
        <v>2</v>
      </c>
    </row>
    <row r="148" spans="1:46" x14ac:dyDescent="0.25">
      <c r="A148">
        <v>30</v>
      </c>
      <c r="B148" t="s">
        <v>36</v>
      </c>
      <c r="C148" t="s">
        <v>30</v>
      </c>
      <c r="D148" t="s">
        <v>38</v>
      </c>
      <c r="E148">
        <v>2</v>
      </c>
      <c r="F148">
        <v>1</v>
      </c>
      <c r="G148" t="s">
        <v>44</v>
      </c>
      <c r="H148">
        <v>198</v>
      </c>
      <c r="I148">
        <v>2</v>
      </c>
      <c r="J148" t="s">
        <v>39</v>
      </c>
      <c r="K148">
        <v>2</v>
      </c>
      <c r="L148">
        <v>1</v>
      </c>
      <c r="M148" t="s">
        <v>43</v>
      </c>
      <c r="N148">
        <v>4</v>
      </c>
      <c r="O148" t="s">
        <v>35</v>
      </c>
      <c r="P148">
        <v>2720</v>
      </c>
      <c r="Q148">
        <v>0</v>
      </c>
      <c r="R148" t="s">
        <v>36</v>
      </c>
      <c r="S148">
        <v>13</v>
      </c>
      <c r="T148">
        <v>3</v>
      </c>
      <c r="U148">
        <v>4</v>
      </c>
      <c r="V148">
        <v>0</v>
      </c>
      <c r="W148">
        <v>6</v>
      </c>
      <c r="X148">
        <v>3</v>
      </c>
      <c r="Y148">
        <v>3</v>
      </c>
      <c r="Z148">
        <v>5</v>
      </c>
      <c r="AA148">
        <v>3</v>
      </c>
      <c r="AB148">
        <v>1</v>
      </c>
      <c r="AC148">
        <v>2</v>
      </c>
      <c r="AD148">
        <f>IF(HR_Data[[#This Row],[Attrition]]="Yes",1,0)</f>
        <v>0</v>
      </c>
      <c r="AE148" t="str">
        <f>IF(HR_Data[[#This Row],[Age]]&lt;=25,"18-25",IF(HR_Data[[#This Row],[Age]]&lt;=35,"26-35",IF(HR_Data[[#This Row],[Age]]&lt;=45,"36-45",IF(HR_Data[[#This Row],[Age]]&lt;=55,"46-55","55+"))))</f>
        <v>26-35</v>
      </c>
      <c r="AF148">
        <f>IF(HR_Data[[#This Row],[Age]]&lt;=25,1,IF(HR_Data[[#This Row],[Age]]&lt;=35,2,IF(HR_Data[[#This Row],[Age]]&lt;=45,3,IF(HR_Data[[#This Row],[Age]]&lt;=55,4,5))))</f>
        <v>2</v>
      </c>
      <c r="AG148" s="1" t="str">
        <f>IF(HR_Data[[#This Row],[MonthlyIncome]]&lt;3000,"&lt;3K",IF(HR_Data[[#This Row],[MonthlyIncome]]&lt;6000,"3K-6K",IF(HR_Data[[#This Row],[MonthlyIncome]]&lt;10000,"6K-10K","10K+")))</f>
        <v>&lt;3K</v>
      </c>
      <c r="AH148" s="1">
        <f>IF(HR_Data[[#This Row],[MonthlyIncome]]&lt;3000,1,IF(HR_Data[[#This Row],[MonthlyIncome]]&lt;6000,2,IF(HR_Data[[#This Row],[MonthlyIncome]]&lt;10000,3,4)))</f>
        <v>1</v>
      </c>
      <c r="AI148" s="1" t="str">
        <f>IF(HR_Data[[#This Row],[YearsAtCompany]]&lt;=2,"0-2 Yrs",IF(HR_Data[[#This Row],[YearsAtCompany]]&lt;=5,"3-5 Yrs",IF(HR_Data[[#This Row],[YearsAtCompany]]&lt;=10,"6-10 Yrs","10+ Yrs")))</f>
        <v>3-5 Yrs</v>
      </c>
      <c r="AJ148" s="1">
        <f>IF(HR_Data[[#This Row],[YearsAtCompany]]&lt;=2,1,IF(HR_Data[[#This Row],[YearsAtCompany]]&lt;=5,2,IF(HR_Data[[#This Row],[YearsAtCompany]]&lt;=10,3,4)))</f>
        <v>2</v>
      </c>
      <c r="AK148" s="1" t="str">
        <f>CHOOSE(HR_Data[[#This Row],[Education]],"Below College","College","Bachelor","Master","Doctor")</f>
        <v>Below College</v>
      </c>
      <c r="AL148" s="1" t="str">
        <f>CHOOSE(HR_Data[[#This Row],[JobSatisfaction]],"Low","Medium","High","Very High")</f>
        <v>Very High</v>
      </c>
      <c r="AM148" s="1" t="str">
        <f>CHOOSE(HR_Data[[#This Row],[EnvironmentSatisfaction]],"Low","Medium","High","Very High")</f>
        <v>Medium</v>
      </c>
      <c r="AN148" s="1" t="str">
        <f>CHOOSE(HR_Data[[#This Row],[WorkLifeBalance]],"Bad","Good","Better","Best")</f>
        <v>Better</v>
      </c>
      <c r="AO148" s="1" t="str">
        <f>IF(HR_Data[[#This Row],[PercentSalaryHike]]&lt;=13,"11-13%",IF(HR_Data[[#This Row],[PercentSalaryHike]]&lt;=16,"14-16%",IF(HR_Data[[#This Row],[PercentSalaryHike]]&lt;=19,"17-19%","20-25%")))</f>
        <v>11-13%</v>
      </c>
      <c r="AP148" s="1">
        <f>IF(HR_Data[[#This Row],[PercentSalaryHike]]&lt;=13,1,IF(HR_Data[[#This Row],[PercentSalaryHike]]&lt;=16,2,IF(HR_Data[[#This Row],[PercentSalaryHike]]&lt;=19,3,4)))</f>
        <v>1</v>
      </c>
      <c r="AQ148" s="1" t="str">
        <f>IF(HR_Data[[#This Row],[DistanceFromHome]]&lt;=5,"1 to 5",IF(HR_Data[[#This Row],[DistanceFromHome]]&lt;=10,"6 to 10",IF(HR_Data[[#This Row],[DistanceFromHome]]&lt;=20,"11 to 20","21 to 29")))</f>
        <v>1 to 5</v>
      </c>
      <c r="AR148" s="1">
        <f>IF(HR_Data[[#This Row],[DistanceFromHome]]&lt;=5,1,IF(HR_Data[[#This Row],[DistanceFromHome]]&lt;=10,2,IF(HR_Data[[#This Row],[DistanceFromHome]]&lt;=20,3,4)))</f>
        <v>1</v>
      </c>
      <c r="AS148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48" s="1">
        <f>IF(HR_Data[[#This Row],[TotalWorkingYears]]&lt;=5,1,IF(HR_Data[[#This Row],[TotalWorkingYears]]&lt;=10,2,IF(HR_Data[[#This Row],[TotalWorkingYears]]&lt;=20,3,4)))</f>
        <v>2</v>
      </c>
    </row>
    <row r="149" spans="1:46" x14ac:dyDescent="0.25">
      <c r="A149">
        <v>41</v>
      </c>
      <c r="B149" t="s">
        <v>36</v>
      </c>
      <c r="C149" t="s">
        <v>37</v>
      </c>
      <c r="D149" t="s">
        <v>38</v>
      </c>
      <c r="E149">
        <v>10</v>
      </c>
      <c r="F149">
        <v>3</v>
      </c>
      <c r="G149" t="s">
        <v>32</v>
      </c>
      <c r="H149">
        <v>199</v>
      </c>
      <c r="I149">
        <v>4</v>
      </c>
      <c r="J149" t="s">
        <v>39</v>
      </c>
      <c r="K149">
        <v>2</v>
      </c>
      <c r="L149">
        <v>4</v>
      </c>
      <c r="M149" t="s">
        <v>49</v>
      </c>
      <c r="N149">
        <v>1</v>
      </c>
      <c r="O149" t="s">
        <v>45</v>
      </c>
      <c r="P149">
        <v>17181</v>
      </c>
      <c r="Q149">
        <v>4</v>
      </c>
      <c r="R149" t="s">
        <v>36</v>
      </c>
      <c r="S149">
        <v>13</v>
      </c>
      <c r="T149">
        <v>3</v>
      </c>
      <c r="U149">
        <v>2</v>
      </c>
      <c r="V149">
        <v>1</v>
      </c>
      <c r="W149">
        <v>21</v>
      </c>
      <c r="X149">
        <v>2</v>
      </c>
      <c r="Y149">
        <v>2</v>
      </c>
      <c r="Z149">
        <v>7</v>
      </c>
      <c r="AA149">
        <v>6</v>
      </c>
      <c r="AB149">
        <v>7</v>
      </c>
      <c r="AC149">
        <v>7</v>
      </c>
      <c r="AD149">
        <f>IF(HR_Data[[#This Row],[Attrition]]="Yes",1,0)</f>
        <v>0</v>
      </c>
      <c r="AE149" t="str">
        <f>IF(HR_Data[[#This Row],[Age]]&lt;=25,"18-25",IF(HR_Data[[#This Row],[Age]]&lt;=35,"26-35",IF(HR_Data[[#This Row],[Age]]&lt;=45,"36-45",IF(HR_Data[[#This Row],[Age]]&lt;=55,"46-55","55+"))))</f>
        <v>36-45</v>
      </c>
      <c r="AF149">
        <f>IF(HR_Data[[#This Row],[Age]]&lt;=25,1,IF(HR_Data[[#This Row],[Age]]&lt;=35,2,IF(HR_Data[[#This Row],[Age]]&lt;=45,3,IF(HR_Data[[#This Row],[Age]]&lt;=55,4,5))))</f>
        <v>3</v>
      </c>
      <c r="AG149" s="1" t="str">
        <f>IF(HR_Data[[#This Row],[MonthlyIncome]]&lt;3000,"&lt;3K",IF(HR_Data[[#This Row],[MonthlyIncome]]&lt;6000,"3K-6K",IF(HR_Data[[#This Row],[MonthlyIncome]]&lt;10000,"6K-10K","10K+")))</f>
        <v>10K+</v>
      </c>
      <c r="AH149" s="1">
        <f>IF(HR_Data[[#This Row],[MonthlyIncome]]&lt;3000,1,IF(HR_Data[[#This Row],[MonthlyIncome]]&lt;6000,2,IF(HR_Data[[#This Row],[MonthlyIncome]]&lt;10000,3,4)))</f>
        <v>4</v>
      </c>
      <c r="AI149" s="1" t="str">
        <f>IF(HR_Data[[#This Row],[YearsAtCompany]]&lt;=2,"0-2 Yrs",IF(HR_Data[[#This Row],[YearsAtCompany]]&lt;=5,"3-5 Yrs",IF(HR_Data[[#This Row],[YearsAtCompany]]&lt;=10,"6-10 Yrs","10+ Yrs")))</f>
        <v>6-10 Yrs</v>
      </c>
      <c r="AJ149" s="1">
        <f>IF(HR_Data[[#This Row],[YearsAtCompany]]&lt;=2,1,IF(HR_Data[[#This Row],[YearsAtCompany]]&lt;=5,2,IF(HR_Data[[#This Row],[YearsAtCompany]]&lt;=10,3,4)))</f>
        <v>3</v>
      </c>
      <c r="AK149" s="1" t="str">
        <f>CHOOSE(HR_Data[[#This Row],[Education]],"Below College","College","Bachelor","Master","Doctor")</f>
        <v>Bachelor</v>
      </c>
      <c r="AL149" s="1" t="str">
        <f>CHOOSE(HR_Data[[#This Row],[JobSatisfaction]],"Low","Medium","High","Very High")</f>
        <v>Low</v>
      </c>
      <c r="AM149" s="1" t="str">
        <f>CHOOSE(HR_Data[[#This Row],[EnvironmentSatisfaction]],"Low","Medium","High","Very High")</f>
        <v>Very High</v>
      </c>
      <c r="AN149" s="1" t="str">
        <f>CHOOSE(HR_Data[[#This Row],[WorkLifeBalance]],"Bad","Good","Better","Best")</f>
        <v>Good</v>
      </c>
      <c r="AO149" s="1" t="str">
        <f>IF(HR_Data[[#This Row],[PercentSalaryHike]]&lt;=13,"11-13%",IF(HR_Data[[#This Row],[PercentSalaryHike]]&lt;=16,"14-16%",IF(HR_Data[[#This Row],[PercentSalaryHike]]&lt;=19,"17-19%","20-25%")))</f>
        <v>11-13%</v>
      </c>
      <c r="AP149" s="1">
        <f>IF(HR_Data[[#This Row],[PercentSalaryHike]]&lt;=13,1,IF(HR_Data[[#This Row],[PercentSalaryHike]]&lt;=16,2,IF(HR_Data[[#This Row],[PercentSalaryHike]]&lt;=19,3,4)))</f>
        <v>1</v>
      </c>
      <c r="AQ149" s="1" t="str">
        <f>IF(HR_Data[[#This Row],[DistanceFromHome]]&lt;=5,"1 to 5",IF(HR_Data[[#This Row],[DistanceFromHome]]&lt;=10,"6 to 10",IF(HR_Data[[#This Row],[DistanceFromHome]]&lt;=20,"11 to 20","21 to 29")))</f>
        <v>6 to 10</v>
      </c>
      <c r="AR149" s="1">
        <f>IF(HR_Data[[#This Row],[DistanceFromHome]]&lt;=5,1,IF(HR_Data[[#This Row],[DistanceFromHome]]&lt;=10,2,IF(HR_Data[[#This Row],[DistanceFromHome]]&lt;=20,3,4)))</f>
        <v>2</v>
      </c>
      <c r="AS149" s="1" t="str">
        <f>IF(HR_Data[[#This Row],[TotalWorkingYears]]&lt;=5,"0-5 Yrs",IF(HR_Data[[#This Row],[TotalWorkingYears]]&lt;=10,"6-10 Yrs",IF(HR_Data[[#This Row],[TotalWorkingYears]]&lt;=20,"11-20 Yrs","20+ Yrs")))</f>
        <v>20+ Yrs</v>
      </c>
      <c r="AT149" s="1">
        <f>IF(HR_Data[[#This Row],[TotalWorkingYears]]&lt;=5,1,IF(HR_Data[[#This Row],[TotalWorkingYears]]&lt;=10,2,IF(HR_Data[[#This Row],[TotalWorkingYears]]&lt;=20,3,4)))</f>
        <v>4</v>
      </c>
    </row>
    <row r="150" spans="1:46" x14ac:dyDescent="0.25">
      <c r="A150">
        <v>41</v>
      </c>
      <c r="B150" t="s">
        <v>36</v>
      </c>
      <c r="C150" t="s">
        <v>30</v>
      </c>
      <c r="D150" t="s">
        <v>38</v>
      </c>
      <c r="E150">
        <v>9</v>
      </c>
      <c r="F150">
        <v>4</v>
      </c>
      <c r="G150" t="s">
        <v>32</v>
      </c>
      <c r="H150">
        <v>200</v>
      </c>
      <c r="I150">
        <v>3</v>
      </c>
      <c r="J150" t="s">
        <v>39</v>
      </c>
      <c r="K150">
        <v>3</v>
      </c>
      <c r="L150">
        <v>1</v>
      </c>
      <c r="M150" t="s">
        <v>43</v>
      </c>
      <c r="N150">
        <v>1</v>
      </c>
      <c r="O150" t="s">
        <v>41</v>
      </c>
      <c r="P150">
        <v>2238</v>
      </c>
      <c r="Q150">
        <v>2</v>
      </c>
      <c r="R150" t="s">
        <v>36</v>
      </c>
      <c r="S150">
        <v>21</v>
      </c>
      <c r="T150">
        <v>4</v>
      </c>
      <c r="U150">
        <v>4</v>
      </c>
      <c r="V150">
        <v>1</v>
      </c>
      <c r="W150">
        <v>7</v>
      </c>
      <c r="X150">
        <v>2</v>
      </c>
      <c r="Y150">
        <v>3</v>
      </c>
      <c r="Z150">
        <v>5</v>
      </c>
      <c r="AA150">
        <v>0</v>
      </c>
      <c r="AB150">
        <v>1</v>
      </c>
      <c r="AC150">
        <v>4</v>
      </c>
      <c r="AD150">
        <f>IF(HR_Data[[#This Row],[Attrition]]="Yes",1,0)</f>
        <v>0</v>
      </c>
      <c r="AE150" t="str">
        <f>IF(HR_Data[[#This Row],[Age]]&lt;=25,"18-25",IF(HR_Data[[#This Row],[Age]]&lt;=35,"26-35",IF(HR_Data[[#This Row],[Age]]&lt;=45,"36-45",IF(HR_Data[[#This Row],[Age]]&lt;=55,"46-55","55+"))))</f>
        <v>36-45</v>
      </c>
      <c r="AF150">
        <f>IF(HR_Data[[#This Row],[Age]]&lt;=25,1,IF(HR_Data[[#This Row],[Age]]&lt;=35,2,IF(HR_Data[[#This Row],[Age]]&lt;=45,3,IF(HR_Data[[#This Row],[Age]]&lt;=55,4,5))))</f>
        <v>3</v>
      </c>
      <c r="AG150" s="1" t="str">
        <f>IF(HR_Data[[#This Row],[MonthlyIncome]]&lt;3000,"&lt;3K",IF(HR_Data[[#This Row],[MonthlyIncome]]&lt;6000,"3K-6K",IF(HR_Data[[#This Row],[MonthlyIncome]]&lt;10000,"6K-10K","10K+")))</f>
        <v>&lt;3K</v>
      </c>
      <c r="AH150" s="1">
        <f>IF(HR_Data[[#This Row],[MonthlyIncome]]&lt;3000,1,IF(HR_Data[[#This Row],[MonthlyIncome]]&lt;6000,2,IF(HR_Data[[#This Row],[MonthlyIncome]]&lt;10000,3,4)))</f>
        <v>1</v>
      </c>
      <c r="AI150" s="1" t="str">
        <f>IF(HR_Data[[#This Row],[YearsAtCompany]]&lt;=2,"0-2 Yrs",IF(HR_Data[[#This Row],[YearsAtCompany]]&lt;=5,"3-5 Yrs",IF(HR_Data[[#This Row],[YearsAtCompany]]&lt;=10,"6-10 Yrs","10+ Yrs")))</f>
        <v>3-5 Yrs</v>
      </c>
      <c r="AJ150" s="1">
        <f>IF(HR_Data[[#This Row],[YearsAtCompany]]&lt;=2,1,IF(HR_Data[[#This Row],[YearsAtCompany]]&lt;=5,2,IF(HR_Data[[#This Row],[YearsAtCompany]]&lt;=10,3,4)))</f>
        <v>2</v>
      </c>
      <c r="AK150" s="1" t="str">
        <f>CHOOSE(HR_Data[[#This Row],[Education]],"Below College","College","Bachelor","Master","Doctor")</f>
        <v>Master</v>
      </c>
      <c r="AL150" s="1" t="str">
        <f>CHOOSE(HR_Data[[#This Row],[JobSatisfaction]],"Low","Medium","High","Very High")</f>
        <v>Low</v>
      </c>
      <c r="AM150" s="1" t="str">
        <f>CHOOSE(HR_Data[[#This Row],[EnvironmentSatisfaction]],"Low","Medium","High","Very High")</f>
        <v>High</v>
      </c>
      <c r="AN150" s="1" t="str">
        <f>CHOOSE(HR_Data[[#This Row],[WorkLifeBalance]],"Bad","Good","Better","Best")</f>
        <v>Better</v>
      </c>
      <c r="AO150" s="1" t="str">
        <f>IF(HR_Data[[#This Row],[PercentSalaryHike]]&lt;=13,"11-13%",IF(HR_Data[[#This Row],[PercentSalaryHike]]&lt;=16,"14-16%",IF(HR_Data[[#This Row],[PercentSalaryHike]]&lt;=19,"17-19%","20-25%")))</f>
        <v>20-25%</v>
      </c>
      <c r="AP150" s="1">
        <f>IF(HR_Data[[#This Row],[PercentSalaryHike]]&lt;=13,1,IF(HR_Data[[#This Row],[PercentSalaryHike]]&lt;=16,2,IF(HR_Data[[#This Row],[PercentSalaryHike]]&lt;=19,3,4)))</f>
        <v>4</v>
      </c>
      <c r="AQ150" s="1" t="str">
        <f>IF(HR_Data[[#This Row],[DistanceFromHome]]&lt;=5,"1 to 5",IF(HR_Data[[#This Row],[DistanceFromHome]]&lt;=10,"6 to 10",IF(HR_Data[[#This Row],[DistanceFromHome]]&lt;=20,"11 to 20","21 to 29")))</f>
        <v>6 to 10</v>
      </c>
      <c r="AR150" s="1">
        <f>IF(HR_Data[[#This Row],[DistanceFromHome]]&lt;=5,1,IF(HR_Data[[#This Row],[DistanceFromHome]]&lt;=10,2,IF(HR_Data[[#This Row],[DistanceFromHome]]&lt;=20,3,4)))</f>
        <v>2</v>
      </c>
      <c r="AS150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50" s="1">
        <f>IF(HR_Data[[#This Row],[TotalWorkingYears]]&lt;=5,1,IF(HR_Data[[#This Row],[TotalWorkingYears]]&lt;=10,2,IF(HR_Data[[#This Row],[TotalWorkingYears]]&lt;=20,3,4)))</f>
        <v>2</v>
      </c>
    </row>
    <row r="151" spans="1:46" x14ac:dyDescent="0.25">
      <c r="A151">
        <v>19</v>
      </c>
      <c r="B151" t="s">
        <v>36</v>
      </c>
      <c r="C151" t="s">
        <v>30</v>
      </c>
      <c r="D151" t="s">
        <v>38</v>
      </c>
      <c r="E151">
        <v>3</v>
      </c>
      <c r="F151">
        <v>1</v>
      </c>
      <c r="G151" t="s">
        <v>44</v>
      </c>
      <c r="H151">
        <v>201</v>
      </c>
      <c r="I151">
        <v>2</v>
      </c>
      <c r="J151" t="s">
        <v>33</v>
      </c>
      <c r="K151">
        <v>3</v>
      </c>
      <c r="L151">
        <v>1</v>
      </c>
      <c r="M151" t="s">
        <v>43</v>
      </c>
      <c r="N151">
        <v>2</v>
      </c>
      <c r="O151" t="s">
        <v>35</v>
      </c>
      <c r="P151">
        <v>1483</v>
      </c>
      <c r="Q151">
        <v>1</v>
      </c>
      <c r="R151" t="s">
        <v>36</v>
      </c>
      <c r="S151">
        <v>14</v>
      </c>
      <c r="T151">
        <v>3</v>
      </c>
      <c r="U151">
        <v>4</v>
      </c>
      <c r="V151">
        <v>0</v>
      </c>
      <c r="W151">
        <v>1</v>
      </c>
      <c r="X151">
        <v>3</v>
      </c>
      <c r="Y151">
        <v>3</v>
      </c>
      <c r="Z151">
        <v>1</v>
      </c>
      <c r="AA151">
        <v>0</v>
      </c>
      <c r="AB151">
        <v>0</v>
      </c>
      <c r="AC151">
        <v>0</v>
      </c>
      <c r="AD151">
        <f>IF(HR_Data[[#This Row],[Attrition]]="Yes",1,0)</f>
        <v>0</v>
      </c>
      <c r="AE151" t="str">
        <f>IF(HR_Data[[#This Row],[Age]]&lt;=25,"18-25",IF(HR_Data[[#This Row],[Age]]&lt;=35,"26-35",IF(HR_Data[[#This Row],[Age]]&lt;=45,"36-45",IF(HR_Data[[#This Row],[Age]]&lt;=55,"46-55","55+"))))</f>
        <v>18-25</v>
      </c>
      <c r="AF151">
        <f>IF(HR_Data[[#This Row],[Age]]&lt;=25,1,IF(HR_Data[[#This Row],[Age]]&lt;=35,2,IF(HR_Data[[#This Row],[Age]]&lt;=45,3,IF(HR_Data[[#This Row],[Age]]&lt;=55,4,5))))</f>
        <v>1</v>
      </c>
      <c r="AG151" s="1" t="str">
        <f>IF(HR_Data[[#This Row],[MonthlyIncome]]&lt;3000,"&lt;3K",IF(HR_Data[[#This Row],[MonthlyIncome]]&lt;6000,"3K-6K",IF(HR_Data[[#This Row],[MonthlyIncome]]&lt;10000,"6K-10K","10K+")))</f>
        <v>&lt;3K</v>
      </c>
      <c r="AH151" s="1">
        <f>IF(HR_Data[[#This Row],[MonthlyIncome]]&lt;3000,1,IF(HR_Data[[#This Row],[MonthlyIncome]]&lt;6000,2,IF(HR_Data[[#This Row],[MonthlyIncome]]&lt;10000,3,4)))</f>
        <v>1</v>
      </c>
      <c r="AI151" s="1" t="str">
        <f>IF(HR_Data[[#This Row],[YearsAtCompany]]&lt;=2,"0-2 Yrs",IF(HR_Data[[#This Row],[YearsAtCompany]]&lt;=5,"3-5 Yrs",IF(HR_Data[[#This Row],[YearsAtCompany]]&lt;=10,"6-10 Yrs","10+ Yrs")))</f>
        <v>0-2 Yrs</v>
      </c>
      <c r="AJ151" s="1">
        <f>IF(HR_Data[[#This Row],[YearsAtCompany]]&lt;=2,1,IF(HR_Data[[#This Row],[YearsAtCompany]]&lt;=5,2,IF(HR_Data[[#This Row],[YearsAtCompany]]&lt;=10,3,4)))</f>
        <v>1</v>
      </c>
      <c r="AK151" s="1" t="str">
        <f>CHOOSE(HR_Data[[#This Row],[Education]],"Below College","College","Bachelor","Master","Doctor")</f>
        <v>Below College</v>
      </c>
      <c r="AL151" s="1" t="str">
        <f>CHOOSE(HR_Data[[#This Row],[JobSatisfaction]],"Low","Medium","High","Very High")</f>
        <v>Medium</v>
      </c>
      <c r="AM151" s="1" t="str">
        <f>CHOOSE(HR_Data[[#This Row],[EnvironmentSatisfaction]],"Low","Medium","High","Very High")</f>
        <v>Medium</v>
      </c>
      <c r="AN151" s="1" t="str">
        <f>CHOOSE(HR_Data[[#This Row],[WorkLifeBalance]],"Bad","Good","Better","Best")</f>
        <v>Better</v>
      </c>
      <c r="AO151" s="1" t="str">
        <f>IF(HR_Data[[#This Row],[PercentSalaryHike]]&lt;=13,"11-13%",IF(HR_Data[[#This Row],[PercentSalaryHike]]&lt;=16,"14-16%",IF(HR_Data[[#This Row],[PercentSalaryHike]]&lt;=19,"17-19%","20-25%")))</f>
        <v>14-16%</v>
      </c>
      <c r="AP151" s="1">
        <f>IF(HR_Data[[#This Row],[PercentSalaryHike]]&lt;=13,1,IF(HR_Data[[#This Row],[PercentSalaryHike]]&lt;=16,2,IF(HR_Data[[#This Row],[PercentSalaryHike]]&lt;=19,3,4)))</f>
        <v>2</v>
      </c>
      <c r="AQ151" s="1" t="str">
        <f>IF(HR_Data[[#This Row],[DistanceFromHome]]&lt;=5,"1 to 5",IF(HR_Data[[#This Row],[DistanceFromHome]]&lt;=10,"6 to 10",IF(HR_Data[[#This Row],[DistanceFromHome]]&lt;=20,"11 to 20","21 to 29")))</f>
        <v>1 to 5</v>
      </c>
      <c r="AR151" s="1">
        <f>IF(HR_Data[[#This Row],[DistanceFromHome]]&lt;=5,1,IF(HR_Data[[#This Row],[DistanceFromHome]]&lt;=10,2,IF(HR_Data[[#This Row],[DistanceFromHome]]&lt;=20,3,4)))</f>
        <v>1</v>
      </c>
      <c r="AS151" s="1" t="str">
        <f>IF(HR_Data[[#This Row],[TotalWorkingYears]]&lt;=5,"0-5 Yrs",IF(HR_Data[[#This Row],[TotalWorkingYears]]&lt;=10,"6-10 Yrs",IF(HR_Data[[#This Row],[TotalWorkingYears]]&lt;=20,"11-20 Yrs","20+ Yrs")))</f>
        <v>0-5 Yrs</v>
      </c>
      <c r="AT151" s="1">
        <f>IF(HR_Data[[#This Row],[TotalWorkingYears]]&lt;=5,1,IF(HR_Data[[#This Row],[TotalWorkingYears]]&lt;=10,2,IF(HR_Data[[#This Row],[TotalWorkingYears]]&lt;=20,3,4)))</f>
        <v>1</v>
      </c>
    </row>
    <row r="152" spans="1:46" x14ac:dyDescent="0.25">
      <c r="A152">
        <v>40</v>
      </c>
      <c r="B152" t="s">
        <v>36</v>
      </c>
      <c r="C152" t="s">
        <v>37</v>
      </c>
      <c r="D152" t="s">
        <v>38</v>
      </c>
      <c r="E152">
        <v>26</v>
      </c>
      <c r="F152">
        <v>3</v>
      </c>
      <c r="G152" t="s">
        <v>44</v>
      </c>
      <c r="H152">
        <v>202</v>
      </c>
      <c r="I152">
        <v>2</v>
      </c>
      <c r="J152" t="s">
        <v>33</v>
      </c>
      <c r="K152">
        <v>3</v>
      </c>
      <c r="L152">
        <v>2</v>
      </c>
      <c r="M152" t="s">
        <v>40</v>
      </c>
      <c r="N152">
        <v>2</v>
      </c>
      <c r="O152" t="s">
        <v>45</v>
      </c>
      <c r="P152">
        <v>5605</v>
      </c>
      <c r="Q152">
        <v>1</v>
      </c>
      <c r="R152" t="s">
        <v>36</v>
      </c>
      <c r="S152">
        <v>11</v>
      </c>
      <c r="T152">
        <v>3</v>
      </c>
      <c r="U152">
        <v>1</v>
      </c>
      <c r="V152">
        <v>1</v>
      </c>
      <c r="W152">
        <v>20</v>
      </c>
      <c r="X152">
        <v>2</v>
      </c>
      <c r="Y152">
        <v>3</v>
      </c>
      <c r="Z152">
        <v>20</v>
      </c>
      <c r="AA152">
        <v>7</v>
      </c>
      <c r="AB152">
        <v>2</v>
      </c>
      <c r="AC152">
        <v>13</v>
      </c>
      <c r="AD152">
        <f>IF(HR_Data[[#This Row],[Attrition]]="Yes",1,0)</f>
        <v>0</v>
      </c>
      <c r="AE152" t="str">
        <f>IF(HR_Data[[#This Row],[Age]]&lt;=25,"18-25",IF(HR_Data[[#This Row],[Age]]&lt;=35,"26-35",IF(HR_Data[[#This Row],[Age]]&lt;=45,"36-45",IF(HR_Data[[#This Row],[Age]]&lt;=55,"46-55","55+"))))</f>
        <v>36-45</v>
      </c>
      <c r="AF152">
        <f>IF(HR_Data[[#This Row],[Age]]&lt;=25,1,IF(HR_Data[[#This Row],[Age]]&lt;=35,2,IF(HR_Data[[#This Row],[Age]]&lt;=45,3,IF(HR_Data[[#This Row],[Age]]&lt;=55,4,5))))</f>
        <v>3</v>
      </c>
      <c r="AG152" s="1" t="str">
        <f>IF(HR_Data[[#This Row],[MonthlyIncome]]&lt;3000,"&lt;3K",IF(HR_Data[[#This Row],[MonthlyIncome]]&lt;6000,"3K-6K",IF(HR_Data[[#This Row],[MonthlyIncome]]&lt;10000,"6K-10K","10K+")))</f>
        <v>3K-6K</v>
      </c>
      <c r="AH152" s="1">
        <f>IF(HR_Data[[#This Row],[MonthlyIncome]]&lt;3000,1,IF(HR_Data[[#This Row],[MonthlyIncome]]&lt;6000,2,IF(HR_Data[[#This Row],[MonthlyIncome]]&lt;10000,3,4)))</f>
        <v>2</v>
      </c>
      <c r="AI152" s="1" t="str">
        <f>IF(HR_Data[[#This Row],[YearsAtCompany]]&lt;=2,"0-2 Yrs",IF(HR_Data[[#This Row],[YearsAtCompany]]&lt;=5,"3-5 Yrs",IF(HR_Data[[#This Row],[YearsAtCompany]]&lt;=10,"6-10 Yrs","10+ Yrs")))</f>
        <v>10+ Yrs</v>
      </c>
      <c r="AJ152" s="1">
        <f>IF(HR_Data[[#This Row],[YearsAtCompany]]&lt;=2,1,IF(HR_Data[[#This Row],[YearsAtCompany]]&lt;=5,2,IF(HR_Data[[#This Row],[YearsAtCompany]]&lt;=10,3,4)))</f>
        <v>4</v>
      </c>
      <c r="AK152" s="1" t="str">
        <f>CHOOSE(HR_Data[[#This Row],[Education]],"Below College","College","Bachelor","Master","Doctor")</f>
        <v>Bachelor</v>
      </c>
      <c r="AL152" s="1" t="str">
        <f>CHOOSE(HR_Data[[#This Row],[JobSatisfaction]],"Low","Medium","High","Very High")</f>
        <v>Medium</v>
      </c>
      <c r="AM152" s="1" t="str">
        <f>CHOOSE(HR_Data[[#This Row],[EnvironmentSatisfaction]],"Low","Medium","High","Very High")</f>
        <v>Medium</v>
      </c>
      <c r="AN152" s="1" t="str">
        <f>CHOOSE(HR_Data[[#This Row],[WorkLifeBalance]],"Bad","Good","Better","Best")</f>
        <v>Better</v>
      </c>
      <c r="AO152" s="1" t="str">
        <f>IF(HR_Data[[#This Row],[PercentSalaryHike]]&lt;=13,"11-13%",IF(HR_Data[[#This Row],[PercentSalaryHike]]&lt;=16,"14-16%",IF(HR_Data[[#This Row],[PercentSalaryHike]]&lt;=19,"17-19%","20-25%")))</f>
        <v>11-13%</v>
      </c>
      <c r="AP152" s="1">
        <f>IF(HR_Data[[#This Row],[PercentSalaryHike]]&lt;=13,1,IF(HR_Data[[#This Row],[PercentSalaryHike]]&lt;=16,2,IF(HR_Data[[#This Row],[PercentSalaryHike]]&lt;=19,3,4)))</f>
        <v>1</v>
      </c>
      <c r="AQ152" s="1" t="str">
        <f>IF(HR_Data[[#This Row],[DistanceFromHome]]&lt;=5,"1 to 5",IF(HR_Data[[#This Row],[DistanceFromHome]]&lt;=10,"6 to 10",IF(HR_Data[[#This Row],[DistanceFromHome]]&lt;=20,"11 to 20","21 to 29")))</f>
        <v>21 to 29</v>
      </c>
      <c r="AR152" s="1">
        <f>IF(HR_Data[[#This Row],[DistanceFromHome]]&lt;=5,1,IF(HR_Data[[#This Row],[DistanceFromHome]]&lt;=10,2,IF(HR_Data[[#This Row],[DistanceFromHome]]&lt;=20,3,4)))</f>
        <v>4</v>
      </c>
      <c r="AS152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52" s="1">
        <f>IF(HR_Data[[#This Row],[TotalWorkingYears]]&lt;=5,1,IF(HR_Data[[#This Row],[TotalWorkingYears]]&lt;=10,2,IF(HR_Data[[#This Row],[TotalWorkingYears]]&lt;=20,3,4)))</f>
        <v>3</v>
      </c>
    </row>
    <row r="153" spans="1:46" x14ac:dyDescent="0.25">
      <c r="A153">
        <v>35</v>
      </c>
      <c r="B153" t="s">
        <v>36</v>
      </c>
      <c r="C153" t="s">
        <v>30</v>
      </c>
      <c r="D153" t="s">
        <v>31</v>
      </c>
      <c r="E153">
        <v>1</v>
      </c>
      <c r="F153">
        <v>5</v>
      </c>
      <c r="G153" t="s">
        <v>52</v>
      </c>
      <c r="H153">
        <v>204</v>
      </c>
      <c r="I153">
        <v>3</v>
      </c>
      <c r="J153" t="s">
        <v>39</v>
      </c>
      <c r="K153">
        <v>3</v>
      </c>
      <c r="L153">
        <v>3</v>
      </c>
      <c r="M153" t="s">
        <v>34</v>
      </c>
      <c r="N153">
        <v>2</v>
      </c>
      <c r="O153" t="s">
        <v>41</v>
      </c>
      <c r="P153">
        <v>7295</v>
      </c>
      <c r="Q153">
        <v>1</v>
      </c>
      <c r="R153" t="s">
        <v>36</v>
      </c>
      <c r="S153">
        <v>13</v>
      </c>
      <c r="T153">
        <v>3</v>
      </c>
      <c r="U153">
        <v>1</v>
      </c>
      <c r="V153">
        <v>2</v>
      </c>
      <c r="W153">
        <v>10</v>
      </c>
      <c r="X153">
        <v>3</v>
      </c>
      <c r="Y153">
        <v>3</v>
      </c>
      <c r="Z153">
        <v>10</v>
      </c>
      <c r="AA153">
        <v>8</v>
      </c>
      <c r="AB153">
        <v>0</v>
      </c>
      <c r="AC153">
        <v>6</v>
      </c>
      <c r="AD153">
        <f>IF(HR_Data[[#This Row],[Attrition]]="Yes",1,0)</f>
        <v>0</v>
      </c>
      <c r="AE153" t="str">
        <f>IF(HR_Data[[#This Row],[Age]]&lt;=25,"18-25",IF(HR_Data[[#This Row],[Age]]&lt;=35,"26-35",IF(HR_Data[[#This Row],[Age]]&lt;=45,"36-45",IF(HR_Data[[#This Row],[Age]]&lt;=55,"46-55","55+"))))</f>
        <v>26-35</v>
      </c>
      <c r="AF153">
        <f>IF(HR_Data[[#This Row],[Age]]&lt;=25,1,IF(HR_Data[[#This Row],[Age]]&lt;=35,2,IF(HR_Data[[#This Row],[Age]]&lt;=45,3,IF(HR_Data[[#This Row],[Age]]&lt;=55,4,5))))</f>
        <v>2</v>
      </c>
      <c r="AG153" s="1" t="str">
        <f>IF(HR_Data[[#This Row],[MonthlyIncome]]&lt;3000,"&lt;3K",IF(HR_Data[[#This Row],[MonthlyIncome]]&lt;6000,"3K-6K",IF(HR_Data[[#This Row],[MonthlyIncome]]&lt;10000,"6K-10K","10K+")))</f>
        <v>6K-10K</v>
      </c>
      <c r="AH153" s="1">
        <f>IF(HR_Data[[#This Row],[MonthlyIncome]]&lt;3000,1,IF(HR_Data[[#This Row],[MonthlyIncome]]&lt;6000,2,IF(HR_Data[[#This Row],[MonthlyIncome]]&lt;10000,3,4)))</f>
        <v>3</v>
      </c>
      <c r="AI153" s="1" t="str">
        <f>IF(HR_Data[[#This Row],[YearsAtCompany]]&lt;=2,"0-2 Yrs",IF(HR_Data[[#This Row],[YearsAtCompany]]&lt;=5,"3-5 Yrs",IF(HR_Data[[#This Row],[YearsAtCompany]]&lt;=10,"6-10 Yrs","10+ Yrs")))</f>
        <v>6-10 Yrs</v>
      </c>
      <c r="AJ153" s="1">
        <f>IF(HR_Data[[#This Row],[YearsAtCompany]]&lt;=2,1,IF(HR_Data[[#This Row],[YearsAtCompany]]&lt;=5,2,IF(HR_Data[[#This Row],[YearsAtCompany]]&lt;=10,3,4)))</f>
        <v>3</v>
      </c>
      <c r="AK153" s="1" t="str">
        <f>CHOOSE(HR_Data[[#This Row],[Education]],"Below College","College","Bachelor","Master","Doctor")</f>
        <v>Doctor</v>
      </c>
      <c r="AL153" s="1" t="str">
        <f>CHOOSE(HR_Data[[#This Row],[JobSatisfaction]],"Low","Medium","High","Very High")</f>
        <v>Medium</v>
      </c>
      <c r="AM153" s="1" t="str">
        <f>CHOOSE(HR_Data[[#This Row],[EnvironmentSatisfaction]],"Low","Medium","High","Very High")</f>
        <v>High</v>
      </c>
      <c r="AN153" s="1" t="str">
        <f>CHOOSE(HR_Data[[#This Row],[WorkLifeBalance]],"Bad","Good","Better","Best")</f>
        <v>Better</v>
      </c>
      <c r="AO153" s="1" t="str">
        <f>IF(HR_Data[[#This Row],[PercentSalaryHike]]&lt;=13,"11-13%",IF(HR_Data[[#This Row],[PercentSalaryHike]]&lt;=16,"14-16%",IF(HR_Data[[#This Row],[PercentSalaryHike]]&lt;=19,"17-19%","20-25%")))</f>
        <v>11-13%</v>
      </c>
      <c r="AP153" s="1">
        <f>IF(HR_Data[[#This Row],[PercentSalaryHike]]&lt;=13,1,IF(HR_Data[[#This Row],[PercentSalaryHike]]&lt;=16,2,IF(HR_Data[[#This Row],[PercentSalaryHike]]&lt;=19,3,4)))</f>
        <v>1</v>
      </c>
      <c r="AQ153" s="1" t="str">
        <f>IF(HR_Data[[#This Row],[DistanceFromHome]]&lt;=5,"1 to 5",IF(HR_Data[[#This Row],[DistanceFromHome]]&lt;=10,"6 to 10",IF(HR_Data[[#This Row],[DistanceFromHome]]&lt;=20,"11 to 20","21 to 29")))</f>
        <v>1 to 5</v>
      </c>
      <c r="AR153" s="1">
        <f>IF(HR_Data[[#This Row],[DistanceFromHome]]&lt;=5,1,IF(HR_Data[[#This Row],[DistanceFromHome]]&lt;=10,2,IF(HR_Data[[#This Row],[DistanceFromHome]]&lt;=20,3,4)))</f>
        <v>1</v>
      </c>
      <c r="AS153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53" s="1">
        <f>IF(HR_Data[[#This Row],[TotalWorkingYears]]&lt;=5,1,IF(HR_Data[[#This Row],[TotalWorkingYears]]&lt;=10,2,IF(HR_Data[[#This Row],[TotalWorkingYears]]&lt;=20,3,4)))</f>
        <v>2</v>
      </c>
    </row>
    <row r="154" spans="1:46" x14ac:dyDescent="0.25">
      <c r="A154">
        <v>53</v>
      </c>
      <c r="B154" t="s">
        <v>36</v>
      </c>
      <c r="C154" t="s">
        <v>30</v>
      </c>
      <c r="D154" t="s">
        <v>31</v>
      </c>
      <c r="E154">
        <v>6</v>
      </c>
      <c r="F154">
        <v>2</v>
      </c>
      <c r="G154" t="s">
        <v>52</v>
      </c>
      <c r="H154">
        <v>205</v>
      </c>
      <c r="I154">
        <v>2</v>
      </c>
      <c r="J154" t="s">
        <v>39</v>
      </c>
      <c r="K154">
        <v>3</v>
      </c>
      <c r="L154">
        <v>2</v>
      </c>
      <c r="M154" t="s">
        <v>50</v>
      </c>
      <c r="N154">
        <v>3</v>
      </c>
      <c r="O154" t="s">
        <v>41</v>
      </c>
      <c r="P154">
        <v>2306</v>
      </c>
      <c r="Q154">
        <v>2</v>
      </c>
      <c r="R154" t="s">
        <v>29</v>
      </c>
      <c r="S154">
        <v>20</v>
      </c>
      <c r="T154">
        <v>4</v>
      </c>
      <c r="U154">
        <v>4</v>
      </c>
      <c r="V154">
        <v>1</v>
      </c>
      <c r="W154">
        <v>13</v>
      </c>
      <c r="X154">
        <v>3</v>
      </c>
      <c r="Y154">
        <v>1</v>
      </c>
      <c r="Z154">
        <v>7</v>
      </c>
      <c r="AA154">
        <v>7</v>
      </c>
      <c r="AB154">
        <v>4</v>
      </c>
      <c r="AC154">
        <v>5</v>
      </c>
      <c r="AD154">
        <f>IF(HR_Data[[#This Row],[Attrition]]="Yes",1,0)</f>
        <v>0</v>
      </c>
      <c r="AE154" t="str">
        <f>IF(HR_Data[[#This Row],[Age]]&lt;=25,"18-25",IF(HR_Data[[#This Row],[Age]]&lt;=35,"26-35",IF(HR_Data[[#This Row],[Age]]&lt;=45,"36-45",IF(HR_Data[[#This Row],[Age]]&lt;=55,"46-55","55+"))))</f>
        <v>46-55</v>
      </c>
      <c r="AF154">
        <f>IF(HR_Data[[#This Row],[Age]]&lt;=25,1,IF(HR_Data[[#This Row],[Age]]&lt;=35,2,IF(HR_Data[[#This Row],[Age]]&lt;=45,3,IF(HR_Data[[#This Row],[Age]]&lt;=55,4,5))))</f>
        <v>4</v>
      </c>
      <c r="AG154" s="1" t="str">
        <f>IF(HR_Data[[#This Row],[MonthlyIncome]]&lt;3000,"&lt;3K",IF(HR_Data[[#This Row],[MonthlyIncome]]&lt;6000,"3K-6K",IF(HR_Data[[#This Row],[MonthlyIncome]]&lt;10000,"6K-10K","10K+")))</f>
        <v>&lt;3K</v>
      </c>
      <c r="AH154" s="1">
        <f>IF(HR_Data[[#This Row],[MonthlyIncome]]&lt;3000,1,IF(HR_Data[[#This Row],[MonthlyIncome]]&lt;6000,2,IF(HR_Data[[#This Row],[MonthlyIncome]]&lt;10000,3,4)))</f>
        <v>1</v>
      </c>
      <c r="AI154" s="1" t="str">
        <f>IF(HR_Data[[#This Row],[YearsAtCompany]]&lt;=2,"0-2 Yrs",IF(HR_Data[[#This Row],[YearsAtCompany]]&lt;=5,"3-5 Yrs",IF(HR_Data[[#This Row],[YearsAtCompany]]&lt;=10,"6-10 Yrs","10+ Yrs")))</f>
        <v>6-10 Yrs</v>
      </c>
      <c r="AJ154" s="1">
        <f>IF(HR_Data[[#This Row],[YearsAtCompany]]&lt;=2,1,IF(HR_Data[[#This Row],[YearsAtCompany]]&lt;=5,2,IF(HR_Data[[#This Row],[YearsAtCompany]]&lt;=10,3,4)))</f>
        <v>3</v>
      </c>
      <c r="AK154" s="1" t="str">
        <f>CHOOSE(HR_Data[[#This Row],[Education]],"Below College","College","Bachelor","Master","Doctor")</f>
        <v>College</v>
      </c>
      <c r="AL154" s="1" t="str">
        <f>CHOOSE(HR_Data[[#This Row],[JobSatisfaction]],"Low","Medium","High","Very High")</f>
        <v>High</v>
      </c>
      <c r="AM154" s="1" t="str">
        <f>CHOOSE(HR_Data[[#This Row],[EnvironmentSatisfaction]],"Low","Medium","High","Very High")</f>
        <v>Medium</v>
      </c>
      <c r="AN154" s="1" t="str">
        <f>CHOOSE(HR_Data[[#This Row],[WorkLifeBalance]],"Bad","Good","Better","Best")</f>
        <v>Bad</v>
      </c>
      <c r="AO154" s="1" t="str">
        <f>IF(HR_Data[[#This Row],[PercentSalaryHike]]&lt;=13,"11-13%",IF(HR_Data[[#This Row],[PercentSalaryHike]]&lt;=16,"14-16%",IF(HR_Data[[#This Row],[PercentSalaryHike]]&lt;=19,"17-19%","20-25%")))</f>
        <v>20-25%</v>
      </c>
      <c r="AP154" s="1">
        <f>IF(HR_Data[[#This Row],[PercentSalaryHike]]&lt;=13,1,IF(HR_Data[[#This Row],[PercentSalaryHike]]&lt;=16,2,IF(HR_Data[[#This Row],[PercentSalaryHike]]&lt;=19,3,4)))</f>
        <v>4</v>
      </c>
      <c r="AQ154" s="1" t="str">
        <f>IF(HR_Data[[#This Row],[DistanceFromHome]]&lt;=5,"1 to 5",IF(HR_Data[[#This Row],[DistanceFromHome]]&lt;=10,"6 to 10",IF(HR_Data[[#This Row],[DistanceFromHome]]&lt;=20,"11 to 20","21 to 29")))</f>
        <v>6 to 10</v>
      </c>
      <c r="AR154" s="1">
        <f>IF(HR_Data[[#This Row],[DistanceFromHome]]&lt;=5,1,IF(HR_Data[[#This Row],[DistanceFromHome]]&lt;=10,2,IF(HR_Data[[#This Row],[DistanceFromHome]]&lt;=20,3,4)))</f>
        <v>2</v>
      </c>
      <c r="AS154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54" s="1">
        <f>IF(HR_Data[[#This Row],[TotalWorkingYears]]&lt;=5,1,IF(HR_Data[[#This Row],[TotalWorkingYears]]&lt;=10,2,IF(HR_Data[[#This Row],[TotalWorkingYears]]&lt;=20,3,4)))</f>
        <v>3</v>
      </c>
    </row>
    <row r="155" spans="1:46" x14ac:dyDescent="0.25">
      <c r="A155">
        <v>45</v>
      </c>
      <c r="B155" t="s">
        <v>36</v>
      </c>
      <c r="C155" t="s">
        <v>30</v>
      </c>
      <c r="D155" t="s">
        <v>38</v>
      </c>
      <c r="E155">
        <v>9</v>
      </c>
      <c r="F155">
        <v>3</v>
      </c>
      <c r="G155" t="s">
        <v>32</v>
      </c>
      <c r="H155">
        <v>206</v>
      </c>
      <c r="I155">
        <v>2</v>
      </c>
      <c r="J155" t="s">
        <v>39</v>
      </c>
      <c r="K155">
        <v>3</v>
      </c>
      <c r="L155">
        <v>2</v>
      </c>
      <c r="M155" t="s">
        <v>43</v>
      </c>
      <c r="N155">
        <v>2</v>
      </c>
      <c r="O155" t="s">
        <v>45</v>
      </c>
      <c r="P155">
        <v>2348</v>
      </c>
      <c r="Q155">
        <v>8</v>
      </c>
      <c r="R155" t="s">
        <v>36</v>
      </c>
      <c r="S155">
        <v>18</v>
      </c>
      <c r="T155">
        <v>3</v>
      </c>
      <c r="U155">
        <v>3</v>
      </c>
      <c r="V155">
        <v>1</v>
      </c>
      <c r="W155">
        <v>20</v>
      </c>
      <c r="X155">
        <v>2</v>
      </c>
      <c r="Y155">
        <v>1</v>
      </c>
      <c r="Z155">
        <v>17</v>
      </c>
      <c r="AA155">
        <v>9</v>
      </c>
      <c r="AB155">
        <v>0</v>
      </c>
      <c r="AC155">
        <v>15</v>
      </c>
      <c r="AD155">
        <f>IF(HR_Data[[#This Row],[Attrition]]="Yes",1,0)</f>
        <v>0</v>
      </c>
      <c r="AE155" t="str">
        <f>IF(HR_Data[[#This Row],[Age]]&lt;=25,"18-25",IF(HR_Data[[#This Row],[Age]]&lt;=35,"26-35",IF(HR_Data[[#This Row],[Age]]&lt;=45,"36-45",IF(HR_Data[[#This Row],[Age]]&lt;=55,"46-55","55+"))))</f>
        <v>36-45</v>
      </c>
      <c r="AF155">
        <f>IF(HR_Data[[#This Row],[Age]]&lt;=25,1,IF(HR_Data[[#This Row],[Age]]&lt;=35,2,IF(HR_Data[[#This Row],[Age]]&lt;=45,3,IF(HR_Data[[#This Row],[Age]]&lt;=55,4,5))))</f>
        <v>3</v>
      </c>
      <c r="AG155" s="1" t="str">
        <f>IF(HR_Data[[#This Row],[MonthlyIncome]]&lt;3000,"&lt;3K",IF(HR_Data[[#This Row],[MonthlyIncome]]&lt;6000,"3K-6K",IF(HR_Data[[#This Row],[MonthlyIncome]]&lt;10000,"6K-10K","10K+")))</f>
        <v>&lt;3K</v>
      </c>
      <c r="AH155" s="1">
        <f>IF(HR_Data[[#This Row],[MonthlyIncome]]&lt;3000,1,IF(HR_Data[[#This Row],[MonthlyIncome]]&lt;6000,2,IF(HR_Data[[#This Row],[MonthlyIncome]]&lt;10000,3,4)))</f>
        <v>1</v>
      </c>
      <c r="AI155" s="1" t="str">
        <f>IF(HR_Data[[#This Row],[YearsAtCompany]]&lt;=2,"0-2 Yrs",IF(HR_Data[[#This Row],[YearsAtCompany]]&lt;=5,"3-5 Yrs",IF(HR_Data[[#This Row],[YearsAtCompany]]&lt;=10,"6-10 Yrs","10+ Yrs")))</f>
        <v>10+ Yrs</v>
      </c>
      <c r="AJ155" s="1">
        <f>IF(HR_Data[[#This Row],[YearsAtCompany]]&lt;=2,1,IF(HR_Data[[#This Row],[YearsAtCompany]]&lt;=5,2,IF(HR_Data[[#This Row],[YearsAtCompany]]&lt;=10,3,4)))</f>
        <v>4</v>
      </c>
      <c r="AK155" s="1" t="str">
        <f>CHOOSE(HR_Data[[#This Row],[Education]],"Below College","College","Bachelor","Master","Doctor")</f>
        <v>Bachelor</v>
      </c>
      <c r="AL155" s="1" t="str">
        <f>CHOOSE(HR_Data[[#This Row],[JobSatisfaction]],"Low","Medium","High","Very High")</f>
        <v>Medium</v>
      </c>
      <c r="AM155" s="1" t="str">
        <f>CHOOSE(HR_Data[[#This Row],[EnvironmentSatisfaction]],"Low","Medium","High","Very High")</f>
        <v>Medium</v>
      </c>
      <c r="AN155" s="1" t="str">
        <f>CHOOSE(HR_Data[[#This Row],[WorkLifeBalance]],"Bad","Good","Better","Best")</f>
        <v>Bad</v>
      </c>
      <c r="AO155" s="1" t="str">
        <f>IF(HR_Data[[#This Row],[PercentSalaryHike]]&lt;=13,"11-13%",IF(HR_Data[[#This Row],[PercentSalaryHike]]&lt;=16,"14-16%",IF(HR_Data[[#This Row],[PercentSalaryHike]]&lt;=19,"17-19%","20-25%")))</f>
        <v>17-19%</v>
      </c>
      <c r="AP155" s="1">
        <f>IF(HR_Data[[#This Row],[PercentSalaryHike]]&lt;=13,1,IF(HR_Data[[#This Row],[PercentSalaryHike]]&lt;=16,2,IF(HR_Data[[#This Row],[PercentSalaryHike]]&lt;=19,3,4)))</f>
        <v>3</v>
      </c>
      <c r="AQ155" s="1" t="str">
        <f>IF(HR_Data[[#This Row],[DistanceFromHome]]&lt;=5,"1 to 5",IF(HR_Data[[#This Row],[DistanceFromHome]]&lt;=10,"6 to 10",IF(HR_Data[[#This Row],[DistanceFromHome]]&lt;=20,"11 to 20","21 to 29")))</f>
        <v>6 to 10</v>
      </c>
      <c r="AR155" s="1">
        <f>IF(HR_Data[[#This Row],[DistanceFromHome]]&lt;=5,1,IF(HR_Data[[#This Row],[DistanceFromHome]]&lt;=10,2,IF(HR_Data[[#This Row],[DistanceFromHome]]&lt;=20,3,4)))</f>
        <v>2</v>
      </c>
      <c r="AS155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55" s="1">
        <f>IF(HR_Data[[#This Row],[TotalWorkingYears]]&lt;=5,1,IF(HR_Data[[#This Row],[TotalWorkingYears]]&lt;=10,2,IF(HR_Data[[#This Row],[TotalWorkingYears]]&lt;=20,3,4)))</f>
        <v>3</v>
      </c>
    </row>
    <row r="156" spans="1:46" x14ac:dyDescent="0.25">
      <c r="A156">
        <v>32</v>
      </c>
      <c r="B156" t="s">
        <v>36</v>
      </c>
      <c r="C156" t="s">
        <v>37</v>
      </c>
      <c r="D156" t="s">
        <v>31</v>
      </c>
      <c r="E156">
        <v>8</v>
      </c>
      <c r="F156">
        <v>3</v>
      </c>
      <c r="G156" t="s">
        <v>52</v>
      </c>
      <c r="H156">
        <v>207</v>
      </c>
      <c r="I156">
        <v>2</v>
      </c>
      <c r="J156" t="s">
        <v>33</v>
      </c>
      <c r="K156">
        <v>3</v>
      </c>
      <c r="L156">
        <v>3</v>
      </c>
      <c r="M156" t="s">
        <v>34</v>
      </c>
      <c r="N156">
        <v>4</v>
      </c>
      <c r="O156" t="s">
        <v>35</v>
      </c>
      <c r="P156">
        <v>8998</v>
      </c>
      <c r="Q156">
        <v>1</v>
      </c>
      <c r="R156" t="s">
        <v>36</v>
      </c>
      <c r="S156">
        <v>14</v>
      </c>
      <c r="T156">
        <v>3</v>
      </c>
      <c r="U156">
        <v>4</v>
      </c>
      <c r="V156">
        <v>0</v>
      </c>
      <c r="W156">
        <v>9</v>
      </c>
      <c r="X156">
        <v>2</v>
      </c>
      <c r="Y156">
        <v>3</v>
      </c>
      <c r="Z156">
        <v>9</v>
      </c>
      <c r="AA156">
        <v>8</v>
      </c>
      <c r="AB156">
        <v>3</v>
      </c>
      <c r="AC156">
        <v>7</v>
      </c>
      <c r="AD156">
        <f>IF(HR_Data[[#This Row],[Attrition]]="Yes",1,0)</f>
        <v>0</v>
      </c>
      <c r="AE156" t="str">
        <f>IF(HR_Data[[#This Row],[Age]]&lt;=25,"18-25",IF(HR_Data[[#This Row],[Age]]&lt;=35,"26-35",IF(HR_Data[[#This Row],[Age]]&lt;=45,"36-45",IF(HR_Data[[#This Row],[Age]]&lt;=55,"46-55","55+"))))</f>
        <v>26-35</v>
      </c>
      <c r="AF156">
        <f>IF(HR_Data[[#This Row],[Age]]&lt;=25,1,IF(HR_Data[[#This Row],[Age]]&lt;=35,2,IF(HR_Data[[#This Row],[Age]]&lt;=45,3,IF(HR_Data[[#This Row],[Age]]&lt;=55,4,5))))</f>
        <v>2</v>
      </c>
      <c r="AG156" s="1" t="str">
        <f>IF(HR_Data[[#This Row],[MonthlyIncome]]&lt;3000,"&lt;3K",IF(HR_Data[[#This Row],[MonthlyIncome]]&lt;6000,"3K-6K",IF(HR_Data[[#This Row],[MonthlyIncome]]&lt;10000,"6K-10K","10K+")))</f>
        <v>6K-10K</v>
      </c>
      <c r="AH156" s="1">
        <f>IF(HR_Data[[#This Row],[MonthlyIncome]]&lt;3000,1,IF(HR_Data[[#This Row],[MonthlyIncome]]&lt;6000,2,IF(HR_Data[[#This Row],[MonthlyIncome]]&lt;10000,3,4)))</f>
        <v>3</v>
      </c>
      <c r="AI156" s="1" t="str">
        <f>IF(HR_Data[[#This Row],[YearsAtCompany]]&lt;=2,"0-2 Yrs",IF(HR_Data[[#This Row],[YearsAtCompany]]&lt;=5,"3-5 Yrs",IF(HR_Data[[#This Row],[YearsAtCompany]]&lt;=10,"6-10 Yrs","10+ Yrs")))</f>
        <v>6-10 Yrs</v>
      </c>
      <c r="AJ156" s="1">
        <f>IF(HR_Data[[#This Row],[YearsAtCompany]]&lt;=2,1,IF(HR_Data[[#This Row],[YearsAtCompany]]&lt;=5,2,IF(HR_Data[[#This Row],[YearsAtCompany]]&lt;=10,3,4)))</f>
        <v>3</v>
      </c>
      <c r="AK156" s="1" t="str">
        <f>CHOOSE(HR_Data[[#This Row],[Education]],"Below College","College","Bachelor","Master","Doctor")</f>
        <v>Bachelor</v>
      </c>
      <c r="AL156" s="1" t="str">
        <f>CHOOSE(HR_Data[[#This Row],[JobSatisfaction]],"Low","Medium","High","Very High")</f>
        <v>Very High</v>
      </c>
      <c r="AM156" s="1" t="str">
        <f>CHOOSE(HR_Data[[#This Row],[EnvironmentSatisfaction]],"Low","Medium","High","Very High")</f>
        <v>Medium</v>
      </c>
      <c r="AN156" s="1" t="str">
        <f>CHOOSE(HR_Data[[#This Row],[WorkLifeBalance]],"Bad","Good","Better","Best")</f>
        <v>Better</v>
      </c>
      <c r="AO156" s="1" t="str">
        <f>IF(HR_Data[[#This Row],[PercentSalaryHike]]&lt;=13,"11-13%",IF(HR_Data[[#This Row],[PercentSalaryHike]]&lt;=16,"14-16%",IF(HR_Data[[#This Row],[PercentSalaryHike]]&lt;=19,"17-19%","20-25%")))</f>
        <v>14-16%</v>
      </c>
      <c r="AP156" s="1">
        <f>IF(HR_Data[[#This Row],[PercentSalaryHike]]&lt;=13,1,IF(HR_Data[[#This Row],[PercentSalaryHike]]&lt;=16,2,IF(HR_Data[[#This Row],[PercentSalaryHike]]&lt;=19,3,4)))</f>
        <v>2</v>
      </c>
      <c r="AQ156" s="1" t="str">
        <f>IF(HR_Data[[#This Row],[DistanceFromHome]]&lt;=5,"1 to 5",IF(HR_Data[[#This Row],[DistanceFromHome]]&lt;=10,"6 to 10",IF(HR_Data[[#This Row],[DistanceFromHome]]&lt;=20,"11 to 20","21 to 29")))</f>
        <v>6 to 10</v>
      </c>
      <c r="AR156" s="1">
        <f>IF(HR_Data[[#This Row],[DistanceFromHome]]&lt;=5,1,IF(HR_Data[[#This Row],[DistanceFromHome]]&lt;=10,2,IF(HR_Data[[#This Row],[DistanceFromHome]]&lt;=20,3,4)))</f>
        <v>2</v>
      </c>
      <c r="AS156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56" s="1">
        <f>IF(HR_Data[[#This Row],[TotalWorkingYears]]&lt;=5,1,IF(HR_Data[[#This Row],[TotalWorkingYears]]&lt;=10,2,IF(HR_Data[[#This Row],[TotalWorkingYears]]&lt;=20,3,4)))</f>
        <v>2</v>
      </c>
    </row>
    <row r="157" spans="1:46" x14ac:dyDescent="0.25">
      <c r="A157">
        <v>29</v>
      </c>
      <c r="B157" t="s">
        <v>36</v>
      </c>
      <c r="C157" t="s">
        <v>48</v>
      </c>
      <c r="D157" t="s">
        <v>38</v>
      </c>
      <c r="E157">
        <v>1</v>
      </c>
      <c r="F157">
        <v>1</v>
      </c>
      <c r="G157" t="s">
        <v>53</v>
      </c>
      <c r="H157">
        <v>208</v>
      </c>
      <c r="I157">
        <v>4</v>
      </c>
      <c r="J157" t="s">
        <v>39</v>
      </c>
      <c r="K157">
        <v>3</v>
      </c>
      <c r="L157">
        <v>2</v>
      </c>
      <c r="M157" t="s">
        <v>46</v>
      </c>
      <c r="N157">
        <v>3</v>
      </c>
      <c r="O157" t="s">
        <v>41</v>
      </c>
      <c r="P157">
        <v>4319</v>
      </c>
      <c r="Q157">
        <v>1</v>
      </c>
      <c r="R157" t="s">
        <v>36</v>
      </c>
      <c r="S157">
        <v>13</v>
      </c>
      <c r="T157">
        <v>3</v>
      </c>
      <c r="U157">
        <v>1</v>
      </c>
      <c r="V157">
        <v>1</v>
      </c>
      <c r="W157">
        <v>10</v>
      </c>
      <c r="X157">
        <v>1</v>
      </c>
      <c r="Y157">
        <v>3</v>
      </c>
      <c r="Z157">
        <v>10</v>
      </c>
      <c r="AA157">
        <v>7</v>
      </c>
      <c r="AB157">
        <v>0</v>
      </c>
      <c r="AC157">
        <v>9</v>
      </c>
      <c r="AD157">
        <f>IF(HR_Data[[#This Row],[Attrition]]="Yes",1,0)</f>
        <v>0</v>
      </c>
      <c r="AE157" t="str">
        <f>IF(HR_Data[[#This Row],[Age]]&lt;=25,"18-25",IF(HR_Data[[#This Row],[Age]]&lt;=35,"26-35",IF(HR_Data[[#This Row],[Age]]&lt;=45,"36-45",IF(HR_Data[[#This Row],[Age]]&lt;=55,"46-55","55+"))))</f>
        <v>26-35</v>
      </c>
      <c r="AF157">
        <f>IF(HR_Data[[#This Row],[Age]]&lt;=25,1,IF(HR_Data[[#This Row],[Age]]&lt;=35,2,IF(HR_Data[[#This Row],[Age]]&lt;=45,3,IF(HR_Data[[#This Row],[Age]]&lt;=55,4,5))))</f>
        <v>2</v>
      </c>
      <c r="AG157" s="1" t="str">
        <f>IF(HR_Data[[#This Row],[MonthlyIncome]]&lt;3000,"&lt;3K",IF(HR_Data[[#This Row],[MonthlyIncome]]&lt;6000,"3K-6K",IF(HR_Data[[#This Row],[MonthlyIncome]]&lt;10000,"6K-10K","10K+")))</f>
        <v>3K-6K</v>
      </c>
      <c r="AH157" s="1">
        <f>IF(HR_Data[[#This Row],[MonthlyIncome]]&lt;3000,1,IF(HR_Data[[#This Row],[MonthlyIncome]]&lt;6000,2,IF(HR_Data[[#This Row],[MonthlyIncome]]&lt;10000,3,4)))</f>
        <v>2</v>
      </c>
      <c r="AI157" s="1" t="str">
        <f>IF(HR_Data[[#This Row],[YearsAtCompany]]&lt;=2,"0-2 Yrs",IF(HR_Data[[#This Row],[YearsAtCompany]]&lt;=5,"3-5 Yrs",IF(HR_Data[[#This Row],[YearsAtCompany]]&lt;=10,"6-10 Yrs","10+ Yrs")))</f>
        <v>6-10 Yrs</v>
      </c>
      <c r="AJ157" s="1">
        <f>IF(HR_Data[[#This Row],[YearsAtCompany]]&lt;=2,1,IF(HR_Data[[#This Row],[YearsAtCompany]]&lt;=5,2,IF(HR_Data[[#This Row],[YearsAtCompany]]&lt;=10,3,4)))</f>
        <v>3</v>
      </c>
      <c r="AK157" s="1" t="str">
        <f>CHOOSE(HR_Data[[#This Row],[Education]],"Below College","College","Bachelor","Master","Doctor")</f>
        <v>Below College</v>
      </c>
      <c r="AL157" s="1" t="str">
        <f>CHOOSE(HR_Data[[#This Row],[JobSatisfaction]],"Low","Medium","High","Very High")</f>
        <v>High</v>
      </c>
      <c r="AM157" s="1" t="str">
        <f>CHOOSE(HR_Data[[#This Row],[EnvironmentSatisfaction]],"Low","Medium","High","Very High")</f>
        <v>Very High</v>
      </c>
      <c r="AN157" s="1" t="str">
        <f>CHOOSE(HR_Data[[#This Row],[WorkLifeBalance]],"Bad","Good","Better","Best")</f>
        <v>Better</v>
      </c>
      <c r="AO157" s="1" t="str">
        <f>IF(HR_Data[[#This Row],[PercentSalaryHike]]&lt;=13,"11-13%",IF(HR_Data[[#This Row],[PercentSalaryHike]]&lt;=16,"14-16%",IF(HR_Data[[#This Row],[PercentSalaryHike]]&lt;=19,"17-19%","20-25%")))</f>
        <v>11-13%</v>
      </c>
      <c r="AP157" s="1">
        <f>IF(HR_Data[[#This Row],[PercentSalaryHike]]&lt;=13,1,IF(HR_Data[[#This Row],[PercentSalaryHike]]&lt;=16,2,IF(HR_Data[[#This Row],[PercentSalaryHike]]&lt;=19,3,4)))</f>
        <v>1</v>
      </c>
      <c r="AQ157" s="1" t="str">
        <f>IF(HR_Data[[#This Row],[DistanceFromHome]]&lt;=5,"1 to 5",IF(HR_Data[[#This Row],[DistanceFromHome]]&lt;=10,"6 to 10",IF(HR_Data[[#This Row],[DistanceFromHome]]&lt;=20,"11 to 20","21 to 29")))</f>
        <v>1 to 5</v>
      </c>
      <c r="AR157" s="1">
        <f>IF(HR_Data[[#This Row],[DistanceFromHome]]&lt;=5,1,IF(HR_Data[[#This Row],[DistanceFromHome]]&lt;=10,2,IF(HR_Data[[#This Row],[DistanceFromHome]]&lt;=20,3,4)))</f>
        <v>1</v>
      </c>
      <c r="AS157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57" s="1">
        <f>IF(HR_Data[[#This Row],[TotalWorkingYears]]&lt;=5,1,IF(HR_Data[[#This Row],[TotalWorkingYears]]&lt;=10,2,IF(HR_Data[[#This Row],[TotalWorkingYears]]&lt;=20,3,4)))</f>
        <v>2</v>
      </c>
    </row>
    <row r="158" spans="1:46" x14ac:dyDescent="0.25">
      <c r="A158">
        <v>51</v>
      </c>
      <c r="B158" t="s">
        <v>36</v>
      </c>
      <c r="C158" t="s">
        <v>30</v>
      </c>
      <c r="D158" t="s">
        <v>38</v>
      </c>
      <c r="E158">
        <v>7</v>
      </c>
      <c r="F158">
        <v>4</v>
      </c>
      <c r="G158" t="s">
        <v>44</v>
      </c>
      <c r="H158">
        <v>211</v>
      </c>
      <c r="I158">
        <v>2</v>
      </c>
      <c r="J158" t="s">
        <v>39</v>
      </c>
      <c r="K158">
        <v>2</v>
      </c>
      <c r="L158">
        <v>2</v>
      </c>
      <c r="M158" t="s">
        <v>46</v>
      </c>
      <c r="N158">
        <v>3</v>
      </c>
      <c r="O158" t="s">
        <v>41</v>
      </c>
      <c r="P158">
        <v>6132</v>
      </c>
      <c r="Q158">
        <v>2</v>
      </c>
      <c r="R158" t="s">
        <v>36</v>
      </c>
      <c r="S158">
        <v>17</v>
      </c>
      <c r="T158">
        <v>3</v>
      </c>
      <c r="U158">
        <v>3</v>
      </c>
      <c r="V158">
        <v>0</v>
      </c>
      <c r="W158">
        <v>10</v>
      </c>
      <c r="X158">
        <v>2</v>
      </c>
      <c r="Y158">
        <v>3</v>
      </c>
      <c r="Z158">
        <v>1</v>
      </c>
      <c r="AA158">
        <v>0</v>
      </c>
      <c r="AB158">
        <v>0</v>
      </c>
      <c r="AC158">
        <v>0</v>
      </c>
      <c r="AD158">
        <f>IF(HR_Data[[#This Row],[Attrition]]="Yes",1,0)</f>
        <v>0</v>
      </c>
      <c r="AE158" t="str">
        <f>IF(HR_Data[[#This Row],[Age]]&lt;=25,"18-25",IF(HR_Data[[#This Row],[Age]]&lt;=35,"26-35",IF(HR_Data[[#This Row],[Age]]&lt;=45,"36-45",IF(HR_Data[[#This Row],[Age]]&lt;=55,"46-55","55+"))))</f>
        <v>46-55</v>
      </c>
      <c r="AF158">
        <f>IF(HR_Data[[#This Row],[Age]]&lt;=25,1,IF(HR_Data[[#This Row],[Age]]&lt;=35,2,IF(HR_Data[[#This Row],[Age]]&lt;=45,3,IF(HR_Data[[#This Row],[Age]]&lt;=55,4,5))))</f>
        <v>4</v>
      </c>
      <c r="AG158" s="1" t="str">
        <f>IF(HR_Data[[#This Row],[MonthlyIncome]]&lt;3000,"&lt;3K",IF(HR_Data[[#This Row],[MonthlyIncome]]&lt;6000,"3K-6K",IF(HR_Data[[#This Row],[MonthlyIncome]]&lt;10000,"6K-10K","10K+")))</f>
        <v>6K-10K</v>
      </c>
      <c r="AH158" s="1">
        <f>IF(HR_Data[[#This Row],[MonthlyIncome]]&lt;3000,1,IF(HR_Data[[#This Row],[MonthlyIncome]]&lt;6000,2,IF(HR_Data[[#This Row],[MonthlyIncome]]&lt;10000,3,4)))</f>
        <v>3</v>
      </c>
      <c r="AI158" s="1" t="str">
        <f>IF(HR_Data[[#This Row],[YearsAtCompany]]&lt;=2,"0-2 Yrs",IF(HR_Data[[#This Row],[YearsAtCompany]]&lt;=5,"3-5 Yrs",IF(HR_Data[[#This Row],[YearsAtCompany]]&lt;=10,"6-10 Yrs","10+ Yrs")))</f>
        <v>0-2 Yrs</v>
      </c>
      <c r="AJ158" s="1">
        <f>IF(HR_Data[[#This Row],[YearsAtCompany]]&lt;=2,1,IF(HR_Data[[#This Row],[YearsAtCompany]]&lt;=5,2,IF(HR_Data[[#This Row],[YearsAtCompany]]&lt;=10,3,4)))</f>
        <v>1</v>
      </c>
      <c r="AK158" s="1" t="str">
        <f>CHOOSE(HR_Data[[#This Row],[Education]],"Below College","College","Bachelor","Master","Doctor")</f>
        <v>Master</v>
      </c>
      <c r="AL158" s="1" t="str">
        <f>CHOOSE(HR_Data[[#This Row],[JobSatisfaction]],"Low","Medium","High","Very High")</f>
        <v>High</v>
      </c>
      <c r="AM158" s="1" t="str">
        <f>CHOOSE(HR_Data[[#This Row],[EnvironmentSatisfaction]],"Low","Medium","High","Very High")</f>
        <v>Medium</v>
      </c>
      <c r="AN158" s="1" t="str">
        <f>CHOOSE(HR_Data[[#This Row],[WorkLifeBalance]],"Bad","Good","Better","Best")</f>
        <v>Better</v>
      </c>
      <c r="AO158" s="1" t="str">
        <f>IF(HR_Data[[#This Row],[PercentSalaryHike]]&lt;=13,"11-13%",IF(HR_Data[[#This Row],[PercentSalaryHike]]&lt;=16,"14-16%",IF(HR_Data[[#This Row],[PercentSalaryHike]]&lt;=19,"17-19%","20-25%")))</f>
        <v>17-19%</v>
      </c>
      <c r="AP158" s="1">
        <f>IF(HR_Data[[#This Row],[PercentSalaryHike]]&lt;=13,1,IF(HR_Data[[#This Row],[PercentSalaryHike]]&lt;=16,2,IF(HR_Data[[#This Row],[PercentSalaryHike]]&lt;=19,3,4)))</f>
        <v>3</v>
      </c>
      <c r="AQ158" s="1" t="str">
        <f>IF(HR_Data[[#This Row],[DistanceFromHome]]&lt;=5,"1 to 5",IF(HR_Data[[#This Row],[DistanceFromHome]]&lt;=10,"6 to 10",IF(HR_Data[[#This Row],[DistanceFromHome]]&lt;=20,"11 to 20","21 to 29")))</f>
        <v>6 to 10</v>
      </c>
      <c r="AR158" s="1">
        <f>IF(HR_Data[[#This Row],[DistanceFromHome]]&lt;=5,1,IF(HR_Data[[#This Row],[DistanceFromHome]]&lt;=10,2,IF(HR_Data[[#This Row],[DistanceFromHome]]&lt;=20,3,4)))</f>
        <v>2</v>
      </c>
      <c r="AS158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58" s="1">
        <f>IF(HR_Data[[#This Row],[TotalWorkingYears]]&lt;=5,1,IF(HR_Data[[#This Row],[TotalWorkingYears]]&lt;=10,2,IF(HR_Data[[#This Row],[TotalWorkingYears]]&lt;=20,3,4)))</f>
        <v>2</v>
      </c>
    </row>
    <row r="159" spans="1:46" x14ac:dyDescent="0.25">
      <c r="A159">
        <v>58</v>
      </c>
      <c r="B159" t="s">
        <v>36</v>
      </c>
      <c r="C159" t="s">
        <v>30</v>
      </c>
      <c r="D159" t="s">
        <v>38</v>
      </c>
      <c r="E159">
        <v>9</v>
      </c>
      <c r="F159">
        <v>3</v>
      </c>
      <c r="G159" t="s">
        <v>44</v>
      </c>
      <c r="H159">
        <v>214</v>
      </c>
      <c r="I159">
        <v>2</v>
      </c>
      <c r="J159" t="s">
        <v>33</v>
      </c>
      <c r="K159">
        <v>2</v>
      </c>
      <c r="L159">
        <v>1</v>
      </c>
      <c r="M159" t="s">
        <v>40</v>
      </c>
      <c r="N159">
        <v>2</v>
      </c>
      <c r="O159" t="s">
        <v>41</v>
      </c>
      <c r="P159">
        <v>3346</v>
      </c>
      <c r="Q159">
        <v>4</v>
      </c>
      <c r="R159" t="s">
        <v>29</v>
      </c>
      <c r="S159">
        <v>20</v>
      </c>
      <c r="T159">
        <v>4</v>
      </c>
      <c r="U159">
        <v>2</v>
      </c>
      <c r="V159">
        <v>1</v>
      </c>
      <c r="W159">
        <v>9</v>
      </c>
      <c r="X159">
        <v>3</v>
      </c>
      <c r="Y159">
        <v>2</v>
      </c>
      <c r="Z159">
        <v>1</v>
      </c>
      <c r="AA159">
        <v>0</v>
      </c>
      <c r="AB159">
        <v>0</v>
      </c>
      <c r="AC159">
        <v>0</v>
      </c>
      <c r="AD159">
        <f>IF(HR_Data[[#This Row],[Attrition]]="Yes",1,0)</f>
        <v>0</v>
      </c>
      <c r="AE159" t="str">
        <f>IF(HR_Data[[#This Row],[Age]]&lt;=25,"18-25",IF(HR_Data[[#This Row],[Age]]&lt;=35,"26-35",IF(HR_Data[[#This Row],[Age]]&lt;=45,"36-45",IF(HR_Data[[#This Row],[Age]]&lt;=55,"46-55","55+"))))</f>
        <v>55+</v>
      </c>
      <c r="AF159">
        <f>IF(HR_Data[[#This Row],[Age]]&lt;=25,1,IF(HR_Data[[#This Row],[Age]]&lt;=35,2,IF(HR_Data[[#This Row],[Age]]&lt;=45,3,IF(HR_Data[[#This Row],[Age]]&lt;=55,4,5))))</f>
        <v>5</v>
      </c>
      <c r="AG159" s="1" t="str">
        <f>IF(HR_Data[[#This Row],[MonthlyIncome]]&lt;3000,"&lt;3K",IF(HR_Data[[#This Row],[MonthlyIncome]]&lt;6000,"3K-6K",IF(HR_Data[[#This Row],[MonthlyIncome]]&lt;10000,"6K-10K","10K+")))</f>
        <v>3K-6K</v>
      </c>
      <c r="AH159" s="1">
        <f>IF(HR_Data[[#This Row],[MonthlyIncome]]&lt;3000,1,IF(HR_Data[[#This Row],[MonthlyIncome]]&lt;6000,2,IF(HR_Data[[#This Row],[MonthlyIncome]]&lt;10000,3,4)))</f>
        <v>2</v>
      </c>
      <c r="AI159" s="1" t="str">
        <f>IF(HR_Data[[#This Row],[YearsAtCompany]]&lt;=2,"0-2 Yrs",IF(HR_Data[[#This Row],[YearsAtCompany]]&lt;=5,"3-5 Yrs",IF(HR_Data[[#This Row],[YearsAtCompany]]&lt;=10,"6-10 Yrs","10+ Yrs")))</f>
        <v>0-2 Yrs</v>
      </c>
      <c r="AJ159" s="1">
        <f>IF(HR_Data[[#This Row],[YearsAtCompany]]&lt;=2,1,IF(HR_Data[[#This Row],[YearsAtCompany]]&lt;=5,2,IF(HR_Data[[#This Row],[YearsAtCompany]]&lt;=10,3,4)))</f>
        <v>1</v>
      </c>
      <c r="AK159" s="1" t="str">
        <f>CHOOSE(HR_Data[[#This Row],[Education]],"Below College","College","Bachelor","Master","Doctor")</f>
        <v>Bachelor</v>
      </c>
      <c r="AL159" s="1" t="str">
        <f>CHOOSE(HR_Data[[#This Row],[JobSatisfaction]],"Low","Medium","High","Very High")</f>
        <v>Medium</v>
      </c>
      <c r="AM159" s="1" t="str">
        <f>CHOOSE(HR_Data[[#This Row],[EnvironmentSatisfaction]],"Low","Medium","High","Very High")</f>
        <v>Medium</v>
      </c>
      <c r="AN159" s="1" t="str">
        <f>CHOOSE(HR_Data[[#This Row],[WorkLifeBalance]],"Bad","Good","Better","Best")</f>
        <v>Good</v>
      </c>
      <c r="AO159" s="1" t="str">
        <f>IF(HR_Data[[#This Row],[PercentSalaryHike]]&lt;=13,"11-13%",IF(HR_Data[[#This Row],[PercentSalaryHike]]&lt;=16,"14-16%",IF(HR_Data[[#This Row],[PercentSalaryHike]]&lt;=19,"17-19%","20-25%")))</f>
        <v>20-25%</v>
      </c>
      <c r="AP159" s="1">
        <f>IF(HR_Data[[#This Row],[PercentSalaryHike]]&lt;=13,1,IF(HR_Data[[#This Row],[PercentSalaryHike]]&lt;=16,2,IF(HR_Data[[#This Row],[PercentSalaryHike]]&lt;=19,3,4)))</f>
        <v>4</v>
      </c>
      <c r="AQ159" s="1" t="str">
        <f>IF(HR_Data[[#This Row],[DistanceFromHome]]&lt;=5,"1 to 5",IF(HR_Data[[#This Row],[DistanceFromHome]]&lt;=10,"6 to 10",IF(HR_Data[[#This Row],[DistanceFromHome]]&lt;=20,"11 to 20","21 to 29")))</f>
        <v>6 to 10</v>
      </c>
      <c r="AR159" s="1">
        <f>IF(HR_Data[[#This Row],[DistanceFromHome]]&lt;=5,1,IF(HR_Data[[#This Row],[DistanceFromHome]]&lt;=10,2,IF(HR_Data[[#This Row],[DistanceFromHome]]&lt;=20,3,4)))</f>
        <v>2</v>
      </c>
      <c r="AS159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59" s="1">
        <f>IF(HR_Data[[#This Row],[TotalWorkingYears]]&lt;=5,1,IF(HR_Data[[#This Row],[TotalWorkingYears]]&lt;=10,2,IF(HR_Data[[#This Row],[TotalWorkingYears]]&lt;=20,3,4)))</f>
        <v>2</v>
      </c>
    </row>
    <row r="160" spans="1:46" x14ac:dyDescent="0.25">
      <c r="A160">
        <v>40</v>
      </c>
      <c r="B160" t="s">
        <v>36</v>
      </c>
      <c r="C160" t="s">
        <v>30</v>
      </c>
      <c r="D160" t="s">
        <v>31</v>
      </c>
      <c r="E160">
        <v>4</v>
      </c>
      <c r="F160">
        <v>4</v>
      </c>
      <c r="G160" t="s">
        <v>52</v>
      </c>
      <c r="H160">
        <v>215</v>
      </c>
      <c r="I160">
        <v>3</v>
      </c>
      <c r="J160" t="s">
        <v>39</v>
      </c>
      <c r="K160">
        <v>2</v>
      </c>
      <c r="L160">
        <v>3</v>
      </c>
      <c r="M160" t="s">
        <v>34</v>
      </c>
      <c r="N160">
        <v>4</v>
      </c>
      <c r="O160" t="s">
        <v>41</v>
      </c>
      <c r="P160">
        <v>10855</v>
      </c>
      <c r="Q160">
        <v>7</v>
      </c>
      <c r="R160" t="s">
        <v>36</v>
      </c>
      <c r="S160">
        <v>11</v>
      </c>
      <c r="T160">
        <v>3</v>
      </c>
      <c r="U160">
        <v>1</v>
      </c>
      <c r="V160">
        <v>1</v>
      </c>
      <c r="W160">
        <v>15</v>
      </c>
      <c r="X160">
        <v>2</v>
      </c>
      <c r="Y160">
        <v>2</v>
      </c>
      <c r="Z160">
        <v>12</v>
      </c>
      <c r="AA160">
        <v>11</v>
      </c>
      <c r="AB160">
        <v>2</v>
      </c>
      <c r="AC160">
        <v>11</v>
      </c>
      <c r="AD160">
        <f>IF(HR_Data[[#This Row],[Attrition]]="Yes",1,0)</f>
        <v>0</v>
      </c>
      <c r="AE160" t="str">
        <f>IF(HR_Data[[#This Row],[Age]]&lt;=25,"18-25",IF(HR_Data[[#This Row],[Age]]&lt;=35,"26-35",IF(HR_Data[[#This Row],[Age]]&lt;=45,"36-45",IF(HR_Data[[#This Row],[Age]]&lt;=55,"46-55","55+"))))</f>
        <v>36-45</v>
      </c>
      <c r="AF160">
        <f>IF(HR_Data[[#This Row],[Age]]&lt;=25,1,IF(HR_Data[[#This Row],[Age]]&lt;=35,2,IF(HR_Data[[#This Row],[Age]]&lt;=45,3,IF(HR_Data[[#This Row],[Age]]&lt;=55,4,5))))</f>
        <v>3</v>
      </c>
      <c r="AG160" s="1" t="str">
        <f>IF(HR_Data[[#This Row],[MonthlyIncome]]&lt;3000,"&lt;3K",IF(HR_Data[[#This Row],[MonthlyIncome]]&lt;6000,"3K-6K",IF(HR_Data[[#This Row],[MonthlyIncome]]&lt;10000,"6K-10K","10K+")))</f>
        <v>10K+</v>
      </c>
      <c r="AH160" s="1">
        <f>IF(HR_Data[[#This Row],[MonthlyIncome]]&lt;3000,1,IF(HR_Data[[#This Row],[MonthlyIncome]]&lt;6000,2,IF(HR_Data[[#This Row],[MonthlyIncome]]&lt;10000,3,4)))</f>
        <v>4</v>
      </c>
      <c r="AI160" s="1" t="str">
        <f>IF(HR_Data[[#This Row],[YearsAtCompany]]&lt;=2,"0-2 Yrs",IF(HR_Data[[#This Row],[YearsAtCompany]]&lt;=5,"3-5 Yrs",IF(HR_Data[[#This Row],[YearsAtCompany]]&lt;=10,"6-10 Yrs","10+ Yrs")))</f>
        <v>10+ Yrs</v>
      </c>
      <c r="AJ160" s="1">
        <f>IF(HR_Data[[#This Row],[YearsAtCompany]]&lt;=2,1,IF(HR_Data[[#This Row],[YearsAtCompany]]&lt;=5,2,IF(HR_Data[[#This Row],[YearsAtCompany]]&lt;=10,3,4)))</f>
        <v>4</v>
      </c>
      <c r="AK160" s="1" t="str">
        <f>CHOOSE(HR_Data[[#This Row],[Education]],"Below College","College","Bachelor","Master","Doctor")</f>
        <v>Master</v>
      </c>
      <c r="AL160" s="1" t="str">
        <f>CHOOSE(HR_Data[[#This Row],[JobSatisfaction]],"Low","Medium","High","Very High")</f>
        <v>Very High</v>
      </c>
      <c r="AM160" s="1" t="str">
        <f>CHOOSE(HR_Data[[#This Row],[EnvironmentSatisfaction]],"Low","Medium","High","Very High")</f>
        <v>High</v>
      </c>
      <c r="AN160" s="1" t="str">
        <f>CHOOSE(HR_Data[[#This Row],[WorkLifeBalance]],"Bad","Good","Better","Best")</f>
        <v>Good</v>
      </c>
      <c r="AO160" s="1" t="str">
        <f>IF(HR_Data[[#This Row],[PercentSalaryHike]]&lt;=13,"11-13%",IF(HR_Data[[#This Row],[PercentSalaryHike]]&lt;=16,"14-16%",IF(HR_Data[[#This Row],[PercentSalaryHike]]&lt;=19,"17-19%","20-25%")))</f>
        <v>11-13%</v>
      </c>
      <c r="AP160" s="1">
        <f>IF(HR_Data[[#This Row],[PercentSalaryHike]]&lt;=13,1,IF(HR_Data[[#This Row],[PercentSalaryHike]]&lt;=16,2,IF(HR_Data[[#This Row],[PercentSalaryHike]]&lt;=19,3,4)))</f>
        <v>1</v>
      </c>
      <c r="AQ160" s="1" t="str">
        <f>IF(HR_Data[[#This Row],[DistanceFromHome]]&lt;=5,"1 to 5",IF(HR_Data[[#This Row],[DistanceFromHome]]&lt;=10,"6 to 10",IF(HR_Data[[#This Row],[DistanceFromHome]]&lt;=20,"11 to 20","21 to 29")))</f>
        <v>1 to 5</v>
      </c>
      <c r="AR160" s="1">
        <f>IF(HR_Data[[#This Row],[DistanceFromHome]]&lt;=5,1,IF(HR_Data[[#This Row],[DistanceFromHome]]&lt;=10,2,IF(HR_Data[[#This Row],[DistanceFromHome]]&lt;=20,3,4)))</f>
        <v>1</v>
      </c>
      <c r="AS160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60" s="1">
        <f>IF(HR_Data[[#This Row],[TotalWorkingYears]]&lt;=5,1,IF(HR_Data[[#This Row],[TotalWorkingYears]]&lt;=10,2,IF(HR_Data[[#This Row],[TotalWorkingYears]]&lt;=20,3,4)))</f>
        <v>3</v>
      </c>
    </row>
    <row r="161" spans="1:46" x14ac:dyDescent="0.25">
      <c r="A161">
        <v>34</v>
      </c>
      <c r="B161" t="s">
        <v>36</v>
      </c>
      <c r="C161" t="s">
        <v>37</v>
      </c>
      <c r="D161" t="s">
        <v>31</v>
      </c>
      <c r="E161">
        <v>2</v>
      </c>
      <c r="F161">
        <v>4</v>
      </c>
      <c r="G161" t="s">
        <v>52</v>
      </c>
      <c r="H161">
        <v>216</v>
      </c>
      <c r="I161">
        <v>3</v>
      </c>
      <c r="J161" t="s">
        <v>33</v>
      </c>
      <c r="K161">
        <v>3</v>
      </c>
      <c r="L161">
        <v>1</v>
      </c>
      <c r="M161" t="s">
        <v>50</v>
      </c>
      <c r="N161">
        <v>3</v>
      </c>
      <c r="O161" t="s">
        <v>41</v>
      </c>
      <c r="P161">
        <v>2231</v>
      </c>
      <c r="Q161">
        <v>6</v>
      </c>
      <c r="R161" t="s">
        <v>36</v>
      </c>
      <c r="S161">
        <v>18</v>
      </c>
      <c r="T161">
        <v>3</v>
      </c>
      <c r="U161">
        <v>4</v>
      </c>
      <c r="V161">
        <v>1</v>
      </c>
      <c r="W161">
        <v>6</v>
      </c>
      <c r="X161">
        <v>3</v>
      </c>
      <c r="Y161">
        <v>3</v>
      </c>
      <c r="Z161">
        <v>4</v>
      </c>
      <c r="AA161">
        <v>3</v>
      </c>
      <c r="AB161">
        <v>1</v>
      </c>
      <c r="AC161">
        <v>2</v>
      </c>
      <c r="AD161">
        <f>IF(HR_Data[[#This Row],[Attrition]]="Yes",1,0)</f>
        <v>0</v>
      </c>
      <c r="AE161" t="str">
        <f>IF(HR_Data[[#This Row],[Age]]&lt;=25,"18-25",IF(HR_Data[[#This Row],[Age]]&lt;=35,"26-35",IF(HR_Data[[#This Row],[Age]]&lt;=45,"36-45",IF(HR_Data[[#This Row],[Age]]&lt;=55,"46-55","55+"))))</f>
        <v>26-35</v>
      </c>
      <c r="AF161">
        <f>IF(HR_Data[[#This Row],[Age]]&lt;=25,1,IF(HR_Data[[#This Row],[Age]]&lt;=35,2,IF(HR_Data[[#This Row],[Age]]&lt;=45,3,IF(HR_Data[[#This Row],[Age]]&lt;=55,4,5))))</f>
        <v>2</v>
      </c>
      <c r="AG161" s="1" t="str">
        <f>IF(HR_Data[[#This Row],[MonthlyIncome]]&lt;3000,"&lt;3K",IF(HR_Data[[#This Row],[MonthlyIncome]]&lt;6000,"3K-6K",IF(HR_Data[[#This Row],[MonthlyIncome]]&lt;10000,"6K-10K","10K+")))</f>
        <v>&lt;3K</v>
      </c>
      <c r="AH161" s="1">
        <f>IF(HR_Data[[#This Row],[MonthlyIncome]]&lt;3000,1,IF(HR_Data[[#This Row],[MonthlyIncome]]&lt;6000,2,IF(HR_Data[[#This Row],[MonthlyIncome]]&lt;10000,3,4)))</f>
        <v>1</v>
      </c>
      <c r="AI161" s="1" t="str">
        <f>IF(HR_Data[[#This Row],[YearsAtCompany]]&lt;=2,"0-2 Yrs",IF(HR_Data[[#This Row],[YearsAtCompany]]&lt;=5,"3-5 Yrs",IF(HR_Data[[#This Row],[YearsAtCompany]]&lt;=10,"6-10 Yrs","10+ Yrs")))</f>
        <v>3-5 Yrs</v>
      </c>
      <c r="AJ161" s="1">
        <f>IF(HR_Data[[#This Row],[YearsAtCompany]]&lt;=2,1,IF(HR_Data[[#This Row],[YearsAtCompany]]&lt;=5,2,IF(HR_Data[[#This Row],[YearsAtCompany]]&lt;=10,3,4)))</f>
        <v>2</v>
      </c>
      <c r="AK161" s="1" t="str">
        <f>CHOOSE(HR_Data[[#This Row],[Education]],"Below College","College","Bachelor","Master","Doctor")</f>
        <v>Master</v>
      </c>
      <c r="AL161" s="1" t="str">
        <f>CHOOSE(HR_Data[[#This Row],[JobSatisfaction]],"Low","Medium","High","Very High")</f>
        <v>High</v>
      </c>
      <c r="AM161" s="1" t="str">
        <f>CHOOSE(HR_Data[[#This Row],[EnvironmentSatisfaction]],"Low","Medium","High","Very High")</f>
        <v>High</v>
      </c>
      <c r="AN161" s="1" t="str">
        <f>CHOOSE(HR_Data[[#This Row],[WorkLifeBalance]],"Bad","Good","Better","Best")</f>
        <v>Better</v>
      </c>
      <c r="AO161" s="1" t="str">
        <f>IF(HR_Data[[#This Row],[PercentSalaryHike]]&lt;=13,"11-13%",IF(HR_Data[[#This Row],[PercentSalaryHike]]&lt;=16,"14-16%",IF(HR_Data[[#This Row],[PercentSalaryHike]]&lt;=19,"17-19%","20-25%")))</f>
        <v>17-19%</v>
      </c>
      <c r="AP161" s="1">
        <f>IF(HR_Data[[#This Row],[PercentSalaryHike]]&lt;=13,1,IF(HR_Data[[#This Row],[PercentSalaryHike]]&lt;=16,2,IF(HR_Data[[#This Row],[PercentSalaryHike]]&lt;=19,3,4)))</f>
        <v>3</v>
      </c>
      <c r="AQ161" s="1" t="str">
        <f>IF(HR_Data[[#This Row],[DistanceFromHome]]&lt;=5,"1 to 5",IF(HR_Data[[#This Row],[DistanceFromHome]]&lt;=10,"6 to 10",IF(HR_Data[[#This Row],[DistanceFromHome]]&lt;=20,"11 to 20","21 to 29")))</f>
        <v>1 to 5</v>
      </c>
      <c r="AR161" s="1">
        <f>IF(HR_Data[[#This Row],[DistanceFromHome]]&lt;=5,1,IF(HR_Data[[#This Row],[DistanceFromHome]]&lt;=10,2,IF(HR_Data[[#This Row],[DistanceFromHome]]&lt;=20,3,4)))</f>
        <v>1</v>
      </c>
      <c r="AS161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61" s="1">
        <f>IF(HR_Data[[#This Row],[TotalWorkingYears]]&lt;=5,1,IF(HR_Data[[#This Row],[TotalWorkingYears]]&lt;=10,2,IF(HR_Data[[#This Row],[TotalWorkingYears]]&lt;=20,3,4)))</f>
        <v>2</v>
      </c>
    </row>
    <row r="162" spans="1:46" x14ac:dyDescent="0.25">
      <c r="A162">
        <v>22</v>
      </c>
      <c r="B162" t="s">
        <v>36</v>
      </c>
      <c r="C162" t="s">
        <v>30</v>
      </c>
      <c r="D162" t="s">
        <v>38</v>
      </c>
      <c r="E162">
        <v>19</v>
      </c>
      <c r="F162">
        <v>1</v>
      </c>
      <c r="G162" t="s">
        <v>44</v>
      </c>
      <c r="H162">
        <v>217</v>
      </c>
      <c r="I162">
        <v>3</v>
      </c>
      <c r="J162" t="s">
        <v>39</v>
      </c>
      <c r="K162">
        <v>3</v>
      </c>
      <c r="L162">
        <v>1</v>
      </c>
      <c r="M162" t="s">
        <v>40</v>
      </c>
      <c r="N162">
        <v>4</v>
      </c>
      <c r="O162" t="s">
        <v>41</v>
      </c>
      <c r="P162">
        <v>2323</v>
      </c>
      <c r="Q162">
        <v>1</v>
      </c>
      <c r="R162" t="s">
        <v>36</v>
      </c>
      <c r="S162">
        <v>24</v>
      </c>
      <c r="T162">
        <v>4</v>
      </c>
      <c r="U162">
        <v>1</v>
      </c>
      <c r="V162">
        <v>2</v>
      </c>
      <c r="W162">
        <v>2</v>
      </c>
      <c r="X162">
        <v>6</v>
      </c>
      <c r="Y162">
        <v>3</v>
      </c>
      <c r="Z162">
        <v>2</v>
      </c>
      <c r="AA162">
        <v>2</v>
      </c>
      <c r="AB162">
        <v>2</v>
      </c>
      <c r="AC162">
        <v>2</v>
      </c>
      <c r="AD162">
        <f>IF(HR_Data[[#This Row],[Attrition]]="Yes",1,0)</f>
        <v>0</v>
      </c>
      <c r="AE162" t="str">
        <f>IF(HR_Data[[#This Row],[Age]]&lt;=25,"18-25",IF(HR_Data[[#This Row],[Age]]&lt;=35,"26-35",IF(HR_Data[[#This Row],[Age]]&lt;=45,"36-45",IF(HR_Data[[#This Row],[Age]]&lt;=55,"46-55","55+"))))</f>
        <v>18-25</v>
      </c>
      <c r="AF162">
        <f>IF(HR_Data[[#This Row],[Age]]&lt;=25,1,IF(HR_Data[[#This Row],[Age]]&lt;=35,2,IF(HR_Data[[#This Row],[Age]]&lt;=45,3,IF(HR_Data[[#This Row],[Age]]&lt;=55,4,5))))</f>
        <v>1</v>
      </c>
      <c r="AG162" s="1" t="str">
        <f>IF(HR_Data[[#This Row],[MonthlyIncome]]&lt;3000,"&lt;3K",IF(HR_Data[[#This Row],[MonthlyIncome]]&lt;6000,"3K-6K",IF(HR_Data[[#This Row],[MonthlyIncome]]&lt;10000,"6K-10K","10K+")))</f>
        <v>&lt;3K</v>
      </c>
      <c r="AH162" s="1">
        <f>IF(HR_Data[[#This Row],[MonthlyIncome]]&lt;3000,1,IF(HR_Data[[#This Row],[MonthlyIncome]]&lt;6000,2,IF(HR_Data[[#This Row],[MonthlyIncome]]&lt;10000,3,4)))</f>
        <v>1</v>
      </c>
      <c r="AI162" s="1" t="str">
        <f>IF(HR_Data[[#This Row],[YearsAtCompany]]&lt;=2,"0-2 Yrs",IF(HR_Data[[#This Row],[YearsAtCompany]]&lt;=5,"3-5 Yrs",IF(HR_Data[[#This Row],[YearsAtCompany]]&lt;=10,"6-10 Yrs","10+ Yrs")))</f>
        <v>0-2 Yrs</v>
      </c>
      <c r="AJ162" s="1">
        <f>IF(HR_Data[[#This Row],[YearsAtCompany]]&lt;=2,1,IF(HR_Data[[#This Row],[YearsAtCompany]]&lt;=5,2,IF(HR_Data[[#This Row],[YearsAtCompany]]&lt;=10,3,4)))</f>
        <v>1</v>
      </c>
      <c r="AK162" s="1" t="str">
        <f>CHOOSE(HR_Data[[#This Row],[Education]],"Below College","College","Bachelor","Master","Doctor")</f>
        <v>Below College</v>
      </c>
      <c r="AL162" s="1" t="str">
        <f>CHOOSE(HR_Data[[#This Row],[JobSatisfaction]],"Low","Medium","High","Very High")</f>
        <v>Very High</v>
      </c>
      <c r="AM162" s="1" t="str">
        <f>CHOOSE(HR_Data[[#This Row],[EnvironmentSatisfaction]],"Low","Medium","High","Very High")</f>
        <v>High</v>
      </c>
      <c r="AN162" s="1" t="str">
        <f>CHOOSE(HR_Data[[#This Row],[WorkLifeBalance]],"Bad","Good","Better","Best")</f>
        <v>Better</v>
      </c>
      <c r="AO162" s="1" t="str">
        <f>IF(HR_Data[[#This Row],[PercentSalaryHike]]&lt;=13,"11-13%",IF(HR_Data[[#This Row],[PercentSalaryHike]]&lt;=16,"14-16%",IF(HR_Data[[#This Row],[PercentSalaryHike]]&lt;=19,"17-19%","20-25%")))</f>
        <v>20-25%</v>
      </c>
      <c r="AP162" s="1">
        <f>IF(HR_Data[[#This Row],[PercentSalaryHike]]&lt;=13,1,IF(HR_Data[[#This Row],[PercentSalaryHike]]&lt;=16,2,IF(HR_Data[[#This Row],[PercentSalaryHike]]&lt;=19,3,4)))</f>
        <v>4</v>
      </c>
      <c r="AQ162" s="1" t="str">
        <f>IF(HR_Data[[#This Row],[DistanceFromHome]]&lt;=5,"1 to 5",IF(HR_Data[[#This Row],[DistanceFromHome]]&lt;=10,"6 to 10",IF(HR_Data[[#This Row],[DistanceFromHome]]&lt;=20,"11 to 20","21 to 29")))</f>
        <v>11 to 20</v>
      </c>
      <c r="AR162" s="1">
        <f>IF(HR_Data[[#This Row],[DistanceFromHome]]&lt;=5,1,IF(HR_Data[[#This Row],[DistanceFromHome]]&lt;=10,2,IF(HR_Data[[#This Row],[DistanceFromHome]]&lt;=20,3,4)))</f>
        <v>3</v>
      </c>
      <c r="AS162" s="1" t="str">
        <f>IF(HR_Data[[#This Row],[TotalWorkingYears]]&lt;=5,"0-5 Yrs",IF(HR_Data[[#This Row],[TotalWorkingYears]]&lt;=10,"6-10 Yrs",IF(HR_Data[[#This Row],[TotalWorkingYears]]&lt;=20,"11-20 Yrs","20+ Yrs")))</f>
        <v>0-5 Yrs</v>
      </c>
      <c r="AT162" s="1">
        <f>IF(HR_Data[[#This Row],[TotalWorkingYears]]&lt;=5,1,IF(HR_Data[[#This Row],[TotalWorkingYears]]&lt;=10,2,IF(HR_Data[[#This Row],[TotalWorkingYears]]&lt;=20,3,4)))</f>
        <v>1</v>
      </c>
    </row>
    <row r="163" spans="1:46" x14ac:dyDescent="0.25">
      <c r="A163">
        <v>27</v>
      </c>
      <c r="B163" t="s">
        <v>36</v>
      </c>
      <c r="C163" t="s">
        <v>48</v>
      </c>
      <c r="D163" t="s">
        <v>38</v>
      </c>
      <c r="E163">
        <v>9</v>
      </c>
      <c r="F163">
        <v>3</v>
      </c>
      <c r="G163" t="s">
        <v>44</v>
      </c>
      <c r="H163">
        <v>218</v>
      </c>
      <c r="I163">
        <v>4</v>
      </c>
      <c r="J163" t="s">
        <v>39</v>
      </c>
      <c r="K163">
        <v>3</v>
      </c>
      <c r="L163">
        <v>1</v>
      </c>
      <c r="M163" t="s">
        <v>40</v>
      </c>
      <c r="N163">
        <v>2</v>
      </c>
      <c r="O163" t="s">
        <v>45</v>
      </c>
      <c r="P163">
        <v>2024</v>
      </c>
      <c r="Q163">
        <v>6</v>
      </c>
      <c r="R163" t="s">
        <v>36</v>
      </c>
      <c r="S163">
        <v>18</v>
      </c>
      <c r="T163">
        <v>3</v>
      </c>
      <c r="U163">
        <v>4</v>
      </c>
      <c r="V163">
        <v>1</v>
      </c>
      <c r="W163">
        <v>6</v>
      </c>
      <c r="X163">
        <v>1</v>
      </c>
      <c r="Y163">
        <v>1</v>
      </c>
      <c r="Z163">
        <v>2</v>
      </c>
      <c r="AA163">
        <v>2</v>
      </c>
      <c r="AB163">
        <v>2</v>
      </c>
      <c r="AC163">
        <v>2</v>
      </c>
      <c r="AD163">
        <f>IF(HR_Data[[#This Row],[Attrition]]="Yes",1,0)</f>
        <v>0</v>
      </c>
      <c r="AE163" t="str">
        <f>IF(HR_Data[[#This Row],[Age]]&lt;=25,"18-25",IF(HR_Data[[#This Row],[Age]]&lt;=35,"26-35",IF(HR_Data[[#This Row],[Age]]&lt;=45,"36-45",IF(HR_Data[[#This Row],[Age]]&lt;=55,"46-55","55+"))))</f>
        <v>26-35</v>
      </c>
      <c r="AF163">
        <f>IF(HR_Data[[#This Row],[Age]]&lt;=25,1,IF(HR_Data[[#This Row],[Age]]&lt;=35,2,IF(HR_Data[[#This Row],[Age]]&lt;=45,3,IF(HR_Data[[#This Row],[Age]]&lt;=55,4,5))))</f>
        <v>2</v>
      </c>
      <c r="AG163" s="1" t="str">
        <f>IF(HR_Data[[#This Row],[MonthlyIncome]]&lt;3000,"&lt;3K",IF(HR_Data[[#This Row],[MonthlyIncome]]&lt;6000,"3K-6K",IF(HR_Data[[#This Row],[MonthlyIncome]]&lt;10000,"6K-10K","10K+")))</f>
        <v>&lt;3K</v>
      </c>
      <c r="AH163" s="1">
        <f>IF(HR_Data[[#This Row],[MonthlyIncome]]&lt;3000,1,IF(HR_Data[[#This Row],[MonthlyIncome]]&lt;6000,2,IF(HR_Data[[#This Row],[MonthlyIncome]]&lt;10000,3,4)))</f>
        <v>1</v>
      </c>
      <c r="AI163" s="1" t="str">
        <f>IF(HR_Data[[#This Row],[YearsAtCompany]]&lt;=2,"0-2 Yrs",IF(HR_Data[[#This Row],[YearsAtCompany]]&lt;=5,"3-5 Yrs",IF(HR_Data[[#This Row],[YearsAtCompany]]&lt;=10,"6-10 Yrs","10+ Yrs")))</f>
        <v>0-2 Yrs</v>
      </c>
      <c r="AJ163" s="1">
        <f>IF(HR_Data[[#This Row],[YearsAtCompany]]&lt;=2,1,IF(HR_Data[[#This Row],[YearsAtCompany]]&lt;=5,2,IF(HR_Data[[#This Row],[YearsAtCompany]]&lt;=10,3,4)))</f>
        <v>1</v>
      </c>
      <c r="AK163" s="1" t="str">
        <f>CHOOSE(HR_Data[[#This Row],[Education]],"Below College","College","Bachelor","Master","Doctor")</f>
        <v>Bachelor</v>
      </c>
      <c r="AL163" s="1" t="str">
        <f>CHOOSE(HR_Data[[#This Row],[JobSatisfaction]],"Low","Medium","High","Very High")</f>
        <v>Medium</v>
      </c>
      <c r="AM163" s="1" t="str">
        <f>CHOOSE(HR_Data[[#This Row],[EnvironmentSatisfaction]],"Low","Medium","High","Very High")</f>
        <v>Very High</v>
      </c>
      <c r="AN163" s="1" t="str">
        <f>CHOOSE(HR_Data[[#This Row],[WorkLifeBalance]],"Bad","Good","Better","Best")</f>
        <v>Bad</v>
      </c>
      <c r="AO163" s="1" t="str">
        <f>IF(HR_Data[[#This Row],[PercentSalaryHike]]&lt;=13,"11-13%",IF(HR_Data[[#This Row],[PercentSalaryHike]]&lt;=16,"14-16%",IF(HR_Data[[#This Row],[PercentSalaryHike]]&lt;=19,"17-19%","20-25%")))</f>
        <v>17-19%</v>
      </c>
      <c r="AP163" s="1">
        <f>IF(HR_Data[[#This Row],[PercentSalaryHike]]&lt;=13,1,IF(HR_Data[[#This Row],[PercentSalaryHike]]&lt;=16,2,IF(HR_Data[[#This Row],[PercentSalaryHike]]&lt;=19,3,4)))</f>
        <v>3</v>
      </c>
      <c r="AQ163" s="1" t="str">
        <f>IF(HR_Data[[#This Row],[DistanceFromHome]]&lt;=5,"1 to 5",IF(HR_Data[[#This Row],[DistanceFromHome]]&lt;=10,"6 to 10",IF(HR_Data[[#This Row],[DistanceFromHome]]&lt;=20,"11 to 20","21 to 29")))</f>
        <v>6 to 10</v>
      </c>
      <c r="AR163" s="1">
        <f>IF(HR_Data[[#This Row],[DistanceFromHome]]&lt;=5,1,IF(HR_Data[[#This Row],[DistanceFromHome]]&lt;=10,2,IF(HR_Data[[#This Row],[DistanceFromHome]]&lt;=20,3,4)))</f>
        <v>2</v>
      </c>
      <c r="AS163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63" s="1">
        <f>IF(HR_Data[[#This Row],[TotalWorkingYears]]&lt;=5,1,IF(HR_Data[[#This Row],[TotalWorkingYears]]&lt;=10,2,IF(HR_Data[[#This Row],[TotalWorkingYears]]&lt;=20,3,4)))</f>
        <v>2</v>
      </c>
    </row>
    <row r="164" spans="1:46" x14ac:dyDescent="0.25">
      <c r="A164">
        <v>28</v>
      </c>
      <c r="B164" t="s">
        <v>36</v>
      </c>
      <c r="C164" t="s">
        <v>30</v>
      </c>
      <c r="D164" t="s">
        <v>38</v>
      </c>
      <c r="E164">
        <v>21</v>
      </c>
      <c r="F164">
        <v>3</v>
      </c>
      <c r="G164" t="s">
        <v>44</v>
      </c>
      <c r="H164">
        <v>221</v>
      </c>
      <c r="I164">
        <v>3</v>
      </c>
      <c r="J164" t="s">
        <v>39</v>
      </c>
      <c r="K164">
        <v>3</v>
      </c>
      <c r="L164">
        <v>1</v>
      </c>
      <c r="M164" t="s">
        <v>40</v>
      </c>
      <c r="N164">
        <v>4</v>
      </c>
      <c r="O164" t="s">
        <v>41</v>
      </c>
      <c r="P164">
        <v>2713</v>
      </c>
      <c r="Q164">
        <v>1</v>
      </c>
      <c r="R164" t="s">
        <v>36</v>
      </c>
      <c r="S164">
        <v>11</v>
      </c>
      <c r="T164">
        <v>3</v>
      </c>
      <c r="U164">
        <v>3</v>
      </c>
      <c r="V164">
        <v>1</v>
      </c>
      <c r="W164">
        <v>5</v>
      </c>
      <c r="X164">
        <v>2</v>
      </c>
      <c r="Y164">
        <v>1</v>
      </c>
      <c r="Z164">
        <v>5</v>
      </c>
      <c r="AA164">
        <v>2</v>
      </c>
      <c r="AB164">
        <v>0</v>
      </c>
      <c r="AC164">
        <v>2</v>
      </c>
      <c r="AD164">
        <f>IF(HR_Data[[#This Row],[Attrition]]="Yes",1,0)</f>
        <v>0</v>
      </c>
      <c r="AE164" t="str">
        <f>IF(HR_Data[[#This Row],[Age]]&lt;=25,"18-25",IF(HR_Data[[#This Row],[Age]]&lt;=35,"26-35",IF(HR_Data[[#This Row],[Age]]&lt;=45,"36-45",IF(HR_Data[[#This Row],[Age]]&lt;=55,"46-55","55+"))))</f>
        <v>26-35</v>
      </c>
      <c r="AF164">
        <f>IF(HR_Data[[#This Row],[Age]]&lt;=25,1,IF(HR_Data[[#This Row],[Age]]&lt;=35,2,IF(HR_Data[[#This Row],[Age]]&lt;=45,3,IF(HR_Data[[#This Row],[Age]]&lt;=55,4,5))))</f>
        <v>2</v>
      </c>
      <c r="AG164" s="1" t="str">
        <f>IF(HR_Data[[#This Row],[MonthlyIncome]]&lt;3000,"&lt;3K",IF(HR_Data[[#This Row],[MonthlyIncome]]&lt;6000,"3K-6K",IF(HR_Data[[#This Row],[MonthlyIncome]]&lt;10000,"6K-10K","10K+")))</f>
        <v>&lt;3K</v>
      </c>
      <c r="AH164" s="1">
        <f>IF(HR_Data[[#This Row],[MonthlyIncome]]&lt;3000,1,IF(HR_Data[[#This Row],[MonthlyIncome]]&lt;6000,2,IF(HR_Data[[#This Row],[MonthlyIncome]]&lt;10000,3,4)))</f>
        <v>1</v>
      </c>
      <c r="AI164" s="1" t="str">
        <f>IF(HR_Data[[#This Row],[YearsAtCompany]]&lt;=2,"0-2 Yrs",IF(HR_Data[[#This Row],[YearsAtCompany]]&lt;=5,"3-5 Yrs",IF(HR_Data[[#This Row],[YearsAtCompany]]&lt;=10,"6-10 Yrs","10+ Yrs")))</f>
        <v>3-5 Yrs</v>
      </c>
      <c r="AJ164" s="1">
        <f>IF(HR_Data[[#This Row],[YearsAtCompany]]&lt;=2,1,IF(HR_Data[[#This Row],[YearsAtCompany]]&lt;=5,2,IF(HR_Data[[#This Row],[YearsAtCompany]]&lt;=10,3,4)))</f>
        <v>2</v>
      </c>
      <c r="AK164" s="1" t="str">
        <f>CHOOSE(HR_Data[[#This Row],[Education]],"Below College","College","Bachelor","Master","Doctor")</f>
        <v>Bachelor</v>
      </c>
      <c r="AL164" s="1" t="str">
        <f>CHOOSE(HR_Data[[#This Row],[JobSatisfaction]],"Low","Medium","High","Very High")</f>
        <v>Very High</v>
      </c>
      <c r="AM164" s="1" t="str">
        <f>CHOOSE(HR_Data[[#This Row],[EnvironmentSatisfaction]],"Low","Medium","High","Very High")</f>
        <v>High</v>
      </c>
      <c r="AN164" s="1" t="str">
        <f>CHOOSE(HR_Data[[#This Row],[WorkLifeBalance]],"Bad","Good","Better","Best")</f>
        <v>Bad</v>
      </c>
      <c r="AO164" s="1" t="str">
        <f>IF(HR_Data[[#This Row],[PercentSalaryHike]]&lt;=13,"11-13%",IF(HR_Data[[#This Row],[PercentSalaryHike]]&lt;=16,"14-16%",IF(HR_Data[[#This Row],[PercentSalaryHike]]&lt;=19,"17-19%","20-25%")))</f>
        <v>11-13%</v>
      </c>
      <c r="AP164" s="1">
        <f>IF(HR_Data[[#This Row],[PercentSalaryHike]]&lt;=13,1,IF(HR_Data[[#This Row],[PercentSalaryHike]]&lt;=16,2,IF(HR_Data[[#This Row],[PercentSalaryHike]]&lt;=19,3,4)))</f>
        <v>1</v>
      </c>
      <c r="AQ164" s="1" t="str">
        <f>IF(HR_Data[[#This Row],[DistanceFromHome]]&lt;=5,"1 to 5",IF(HR_Data[[#This Row],[DistanceFromHome]]&lt;=10,"6 to 10",IF(HR_Data[[#This Row],[DistanceFromHome]]&lt;=20,"11 to 20","21 to 29")))</f>
        <v>21 to 29</v>
      </c>
      <c r="AR164" s="1">
        <f>IF(HR_Data[[#This Row],[DistanceFromHome]]&lt;=5,1,IF(HR_Data[[#This Row],[DistanceFromHome]]&lt;=10,2,IF(HR_Data[[#This Row],[DistanceFromHome]]&lt;=20,3,4)))</f>
        <v>4</v>
      </c>
      <c r="AS164" s="1" t="str">
        <f>IF(HR_Data[[#This Row],[TotalWorkingYears]]&lt;=5,"0-5 Yrs",IF(HR_Data[[#This Row],[TotalWorkingYears]]&lt;=10,"6-10 Yrs",IF(HR_Data[[#This Row],[TotalWorkingYears]]&lt;=20,"11-20 Yrs","20+ Yrs")))</f>
        <v>0-5 Yrs</v>
      </c>
      <c r="AT164" s="1">
        <f>IF(HR_Data[[#This Row],[TotalWorkingYears]]&lt;=5,1,IF(HR_Data[[#This Row],[TotalWorkingYears]]&lt;=10,2,IF(HR_Data[[#This Row],[TotalWorkingYears]]&lt;=20,3,4)))</f>
        <v>1</v>
      </c>
    </row>
    <row r="165" spans="1:46" x14ac:dyDescent="0.25">
      <c r="A165">
        <v>57</v>
      </c>
      <c r="B165" t="s">
        <v>36</v>
      </c>
      <c r="C165" t="s">
        <v>30</v>
      </c>
      <c r="D165" t="s">
        <v>38</v>
      </c>
      <c r="E165">
        <v>24</v>
      </c>
      <c r="F165">
        <v>2</v>
      </c>
      <c r="G165" t="s">
        <v>32</v>
      </c>
      <c r="H165">
        <v>223</v>
      </c>
      <c r="I165">
        <v>3</v>
      </c>
      <c r="J165" t="s">
        <v>39</v>
      </c>
      <c r="K165">
        <v>4</v>
      </c>
      <c r="L165">
        <v>3</v>
      </c>
      <c r="M165" t="s">
        <v>47</v>
      </c>
      <c r="N165">
        <v>4</v>
      </c>
      <c r="O165" t="s">
        <v>45</v>
      </c>
      <c r="P165">
        <v>9439</v>
      </c>
      <c r="Q165">
        <v>3</v>
      </c>
      <c r="R165" t="s">
        <v>29</v>
      </c>
      <c r="S165">
        <v>16</v>
      </c>
      <c r="T165">
        <v>3</v>
      </c>
      <c r="U165">
        <v>2</v>
      </c>
      <c r="V165">
        <v>1</v>
      </c>
      <c r="W165">
        <v>12</v>
      </c>
      <c r="X165">
        <v>2</v>
      </c>
      <c r="Y165">
        <v>1</v>
      </c>
      <c r="Z165">
        <v>5</v>
      </c>
      <c r="AA165">
        <v>3</v>
      </c>
      <c r="AB165">
        <v>1</v>
      </c>
      <c r="AC165">
        <v>4</v>
      </c>
      <c r="AD165">
        <f>IF(HR_Data[[#This Row],[Attrition]]="Yes",1,0)</f>
        <v>0</v>
      </c>
      <c r="AE165" t="str">
        <f>IF(HR_Data[[#This Row],[Age]]&lt;=25,"18-25",IF(HR_Data[[#This Row],[Age]]&lt;=35,"26-35",IF(HR_Data[[#This Row],[Age]]&lt;=45,"36-45",IF(HR_Data[[#This Row],[Age]]&lt;=55,"46-55","55+"))))</f>
        <v>55+</v>
      </c>
      <c r="AF165">
        <f>IF(HR_Data[[#This Row],[Age]]&lt;=25,1,IF(HR_Data[[#This Row],[Age]]&lt;=35,2,IF(HR_Data[[#This Row],[Age]]&lt;=45,3,IF(HR_Data[[#This Row],[Age]]&lt;=55,4,5))))</f>
        <v>5</v>
      </c>
      <c r="AG165" s="1" t="str">
        <f>IF(HR_Data[[#This Row],[MonthlyIncome]]&lt;3000,"&lt;3K",IF(HR_Data[[#This Row],[MonthlyIncome]]&lt;6000,"3K-6K",IF(HR_Data[[#This Row],[MonthlyIncome]]&lt;10000,"6K-10K","10K+")))</f>
        <v>6K-10K</v>
      </c>
      <c r="AH165" s="1">
        <f>IF(HR_Data[[#This Row],[MonthlyIncome]]&lt;3000,1,IF(HR_Data[[#This Row],[MonthlyIncome]]&lt;6000,2,IF(HR_Data[[#This Row],[MonthlyIncome]]&lt;10000,3,4)))</f>
        <v>3</v>
      </c>
      <c r="AI165" s="1" t="str">
        <f>IF(HR_Data[[#This Row],[YearsAtCompany]]&lt;=2,"0-2 Yrs",IF(HR_Data[[#This Row],[YearsAtCompany]]&lt;=5,"3-5 Yrs",IF(HR_Data[[#This Row],[YearsAtCompany]]&lt;=10,"6-10 Yrs","10+ Yrs")))</f>
        <v>3-5 Yrs</v>
      </c>
      <c r="AJ165" s="1">
        <f>IF(HR_Data[[#This Row],[YearsAtCompany]]&lt;=2,1,IF(HR_Data[[#This Row],[YearsAtCompany]]&lt;=5,2,IF(HR_Data[[#This Row],[YearsAtCompany]]&lt;=10,3,4)))</f>
        <v>2</v>
      </c>
      <c r="AK165" s="1" t="str">
        <f>CHOOSE(HR_Data[[#This Row],[Education]],"Below College","College","Bachelor","Master","Doctor")</f>
        <v>College</v>
      </c>
      <c r="AL165" s="1" t="str">
        <f>CHOOSE(HR_Data[[#This Row],[JobSatisfaction]],"Low","Medium","High","Very High")</f>
        <v>Very High</v>
      </c>
      <c r="AM165" s="1" t="str">
        <f>CHOOSE(HR_Data[[#This Row],[EnvironmentSatisfaction]],"Low","Medium","High","Very High")</f>
        <v>High</v>
      </c>
      <c r="AN165" s="1" t="str">
        <f>CHOOSE(HR_Data[[#This Row],[WorkLifeBalance]],"Bad","Good","Better","Best")</f>
        <v>Bad</v>
      </c>
      <c r="AO165" s="1" t="str">
        <f>IF(HR_Data[[#This Row],[PercentSalaryHike]]&lt;=13,"11-13%",IF(HR_Data[[#This Row],[PercentSalaryHike]]&lt;=16,"14-16%",IF(HR_Data[[#This Row],[PercentSalaryHike]]&lt;=19,"17-19%","20-25%")))</f>
        <v>14-16%</v>
      </c>
      <c r="AP165" s="1">
        <f>IF(HR_Data[[#This Row],[PercentSalaryHike]]&lt;=13,1,IF(HR_Data[[#This Row],[PercentSalaryHike]]&lt;=16,2,IF(HR_Data[[#This Row],[PercentSalaryHike]]&lt;=19,3,4)))</f>
        <v>2</v>
      </c>
      <c r="AQ165" s="1" t="str">
        <f>IF(HR_Data[[#This Row],[DistanceFromHome]]&lt;=5,"1 to 5",IF(HR_Data[[#This Row],[DistanceFromHome]]&lt;=10,"6 to 10",IF(HR_Data[[#This Row],[DistanceFromHome]]&lt;=20,"11 to 20","21 to 29")))</f>
        <v>21 to 29</v>
      </c>
      <c r="AR165" s="1">
        <f>IF(HR_Data[[#This Row],[DistanceFromHome]]&lt;=5,1,IF(HR_Data[[#This Row],[DistanceFromHome]]&lt;=10,2,IF(HR_Data[[#This Row],[DistanceFromHome]]&lt;=20,3,4)))</f>
        <v>4</v>
      </c>
      <c r="AS165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65" s="1">
        <f>IF(HR_Data[[#This Row],[TotalWorkingYears]]&lt;=5,1,IF(HR_Data[[#This Row],[TotalWorkingYears]]&lt;=10,2,IF(HR_Data[[#This Row],[TotalWorkingYears]]&lt;=20,3,4)))</f>
        <v>3</v>
      </c>
    </row>
    <row r="166" spans="1:46" x14ac:dyDescent="0.25">
      <c r="A166">
        <v>27</v>
      </c>
      <c r="B166" t="s">
        <v>36</v>
      </c>
      <c r="C166" t="s">
        <v>48</v>
      </c>
      <c r="D166" t="s">
        <v>38</v>
      </c>
      <c r="E166">
        <v>3</v>
      </c>
      <c r="F166">
        <v>3</v>
      </c>
      <c r="G166" t="s">
        <v>44</v>
      </c>
      <c r="H166">
        <v>224</v>
      </c>
      <c r="I166">
        <v>3</v>
      </c>
      <c r="J166" t="s">
        <v>39</v>
      </c>
      <c r="K166">
        <v>2</v>
      </c>
      <c r="L166">
        <v>1</v>
      </c>
      <c r="M166" t="s">
        <v>40</v>
      </c>
      <c r="N166">
        <v>3</v>
      </c>
      <c r="O166" t="s">
        <v>45</v>
      </c>
      <c r="P166">
        <v>2566</v>
      </c>
      <c r="Q166">
        <v>1</v>
      </c>
      <c r="R166" t="s">
        <v>29</v>
      </c>
      <c r="S166">
        <v>15</v>
      </c>
      <c r="T166">
        <v>3</v>
      </c>
      <c r="U166">
        <v>4</v>
      </c>
      <c r="V166">
        <v>1</v>
      </c>
      <c r="W166">
        <v>1</v>
      </c>
      <c r="X166">
        <v>2</v>
      </c>
      <c r="Y166">
        <v>2</v>
      </c>
      <c r="Z166">
        <v>1</v>
      </c>
      <c r="AA166">
        <v>1</v>
      </c>
      <c r="AB166">
        <v>0</v>
      </c>
      <c r="AC166">
        <v>1</v>
      </c>
      <c r="AD166">
        <f>IF(HR_Data[[#This Row],[Attrition]]="Yes",1,0)</f>
        <v>0</v>
      </c>
      <c r="AE166" t="str">
        <f>IF(HR_Data[[#This Row],[Age]]&lt;=25,"18-25",IF(HR_Data[[#This Row],[Age]]&lt;=35,"26-35",IF(HR_Data[[#This Row],[Age]]&lt;=45,"36-45",IF(HR_Data[[#This Row],[Age]]&lt;=55,"46-55","55+"))))</f>
        <v>26-35</v>
      </c>
      <c r="AF166">
        <f>IF(HR_Data[[#This Row],[Age]]&lt;=25,1,IF(HR_Data[[#This Row],[Age]]&lt;=35,2,IF(HR_Data[[#This Row],[Age]]&lt;=45,3,IF(HR_Data[[#This Row],[Age]]&lt;=55,4,5))))</f>
        <v>2</v>
      </c>
      <c r="AG166" s="1" t="str">
        <f>IF(HR_Data[[#This Row],[MonthlyIncome]]&lt;3000,"&lt;3K",IF(HR_Data[[#This Row],[MonthlyIncome]]&lt;6000,"3K-6K",IF(HR_Data[[#This Row],[MonthlyIncome]]&lt;10000,"6K-10K","10K+")))</f>
        <v>&lt;3K</v>
      </c>
      <c r="AH166" s="1">
        <f>IF(HR_Data[[#This Row],[MonthlyIncome]]&lt;3000,1,IF(HR_Data[[#This Row],[MonthlyIncome]]&lt;6000,2,IF(HR_Data[[#This Row],[MonthlyIncome]]&lt;10000,3,4)))</f>
        <v>1</v>
      </c>
      <c r="AI166" s="1" t="str">
        <f>IF(HR_Data[[#This Row],[YearsAtCompany]]&lt;=2,"0-2 Yrs",IF(HR_Data[[#This Row],[YearsAtCompany]]&lt;=5,"3-5 Yrs",IF(HR_Data[[#This Row],[YearsAtCompany]]&lt;=10,"6-10 Yrs","10+ Yrs")))</f>
        <v>0-2 Yrs</v>
      </c>
      <c r="AJ166" s="1">
        <f>IF(HR_Data[[#This Row],[YearsAtCompany]]&lt;=2,1,IF(HR_Data[[#This Row],[YearsAtCompany]]&lt;=5,2,IF(HR_Data[[#This Row],[YearsAtCompany]]&lt;=10,3,4)))</f>
        <v>1</v>
      </c>
      <c r="AK166" s="1" t="str">
        <f>CHOOSE(HR_Data[[#This Row],[Education]],"Below College","College","Bachelor","Master","Doctor")</f>
        <v>Bachelor</v>
      </c>
      <c r="AL166" s="1" t="str">
        <f>CHOOSE(HR_Data[[#This Row],[JobSatisfaction]],"Low","Medium","High","Very High")</f>
        <v>High</v>
      </c>
      <c r="AM166" s="1" t="str">
        <f>CHOOSE(HR_Data[[#This Row],[EnvironmentSatisfaction]],"Low","Medium","High","Very High")</f>
        <v>High</v>
      </c>
      <c r="AN166" s="1" t="str">
        <f>CHOOSE(HR_Data[[#This Row],[WorkLifeBalance]],"Bad","Good","Better","Best")</f>
        <v>Good</v>
      </c>
      <c r="AO166" s="1" t="str">
        <f>IF(HR_Data[[#This Row],[PercentSalaryHike]]&lt;=13,"11-13%",IF(HR_Data[[#This Row],[PercentSalaryHike]]&lt;=16,"14-16%",IF(HR_Data[[#This Row],[PercentSalaryHike]]&lt;=19,"17-19%","20-25%")))</f>
        <v>14-16%</v>
      </c>
      <c r="AP166" s="1">
        <f>IF(HR_Data[[#This Row],[PercentSalaryHike]]&lt;=13,1,IF(HR_Data[[#This Row],[PercentSalaryHike]]&lt;=16,2,IF(HR_Data[[#This Row],[PercentSalaryHike]]&lt;=19,3,4)))</f>
        <v>2</v>
      </c>
      <c r="AQ166" s="1" t="str">
        <f>IF(HR_Data[[#This Row],[DistanceFromHome]]&lt;=5,"1 to 5",IF(HR_Data[[#This Row],[DistanceFromHome]]&lt;=10,"6 to 10",IF(HR_Data[[#This Row],[DistanceFromHome]]&lt;=20,"11 to 20","21 to 29")))</f>
        <v>1 to 5</v>
      </c>
      <c r="AR166" s="1">
        <f>IF(HR_Data[[#This Row],[DistanceFromHome]]&lt;=5,1,IF(HR_Data[[#This Row],[DistanceFromHome]]&lt;=10,2,IF(HR_Data[[#This Row],[DistanceFromHome]]&lt;=20,3,4)))</f>
        <v>1</v>
      </c>
      <c r="AS166" s="1" t="str">
        <f>IF(HR_Data[[#This Row],[TotalWorkingYears]]&lt;=5,"0-5 Yrs",IF(HR_Data[[#This Row],[TotalWorkingYears]]&lt;=10,"6-10 Yrs",IF(HR_Data[[#This Row],[TotalWorkingYears]]&lt;=20,"11-20 Yrs","20+ Yrs")))</f>
        <v>0-5 Yrs</v>
      </c>
      <c r="AT166" s="1">
        <f>IF(HR_Data[[#This Row],[TotalWorkingYears]]&lt;=5,1,IF(HR_Data[[#This Row],[TotalWorkingYears]]&lt;=10,2,IF(HR_Data[[#This Row],[TotalWorkingYears]]&lt;=20,3,4)))</f>
        <v>1</v>
      </c>
    </row>
    <row r="167" spans="1:46" x14ac:dyDescent="0.25">
      <c r="A167">
        <v>50</v>
      </c>
      <c r="B167" t="s">
        <v>36</v>
      </c>
      <c r="C167" t="s">
        <v>30</v>
      </c>
      <c r="D167" t="s">
        <v>38</v>
      </c>
      <c r="E167">
        <v>11</v>
      </c>
      <c r="F167">
        <v>3</v>
      </c>
      <c r="G167" t="s">
        <v>32</v>
      </c>
      <c r="H167">
        <v>226</v>
      </c>
      <c r="I167">
        <v>3</v>
      </c>
      <c r="J167" t="s">
        <v>33</v>
      </c>
      <c r="K167">
        <v>3</v>
      </c>
      <c r="L167">
        <v>5</v>
      </c>
      <c r="M167" t="s">
        <v>49</v>
      </c>
      <c r="N167">
        <v>2</v>
      </c>
      <c r="O167" t="s">
        <v>35</v>
      </c>
      <c r="P167">
        <v>19926</v>
      </c>
      <c r="Q167">
        <v>3</v>
      </c>
      <c r="R167" t="s">
        <v>36</v>
      </c>
      <c r="S167">
        <v>15</v>
      </c>
      <c r="T167">
        <v>3</v>
      </c>
      <c r="U167">
        <v>2</v>
      </c>
      <c r="V167">
        <v>0</v>
      </c>
      <c r="W167">
        <v>21</v>
      </c>
      <c r="X167">
        <v>5</v>
      </c>
      <c r="Y167">
        <v>3</v>
      </c>
      <c r="Z167">
        <v>5</v>
      </c>
      <c r="AA167">
        <v>4</v>
      </c>
      <c r="AB167">
        <v>4</v>
      </c>
      <c r="AC167">
        <v>4</v>
      </c>
      <c r="AD167">
        <f>IF(HR_Data[[#This Row],[Attrition]]="Yes",1,0)</f>
        <v>0</v>
      </c>
      <c r="AE167" t="str">
        <f>IF(HR_Data[[#This Row],[Age]]&lt;=25,"18-25",IF(HR_Data[[#This Row],[Age]]&lt;=35,"26-35",IF(HR_Data[[#This Row],[Age]]&lt;=45,"36-45",IF(HR_Data[[#This Row],[Age]]&lt;=55,"46-55","55+"))))</f>
        <v>46-55</v>
      </c>
      <c r="AF167">
        <f>IF(HR_Data[[#This Row],[Age]]&lt;=25,1,IF(HR_Data[[#This Row],[Age]]&lt;=35,2,IF(HR_Data[[#This Row],[Age]]&lt;=45,3,IF(HR_Data[[#This Row],[Age]]&lt;=55,4,5))))</f>
        <v>4</v>
      </c>
      <c r="AG167" s="1" t="str">
        <f>IF(HR_Data[[#This Row],[MonthlyIncome]]&lt;3000,"&lt;3K",IF(HR_Data[[#This Row],[MonthlyIncome]]&lt;6000,"3K-6K",IF(HR_Data[[#This Row],[MonthlyIncome]]&lt;10000,"6K-10K","10K+")))</f>
        <v>10K+</v>
      </c>
      <c r="AH167" s="1">
        <f>IF(HR_Data[[#This Row],[MonthlyIncome]]&lt;3000,1,IF(HR_Data[[#This Row],[MonthlyIncome]]&lt;6000,2,IF(HR_Data[[#This Row],[MonthlyIncome]]&lt;10000,3,4)))</f>
        <v>4</v>
      </c>
      <c r="AI167" s="1" t="str">
        <f>IF(HR_Data[[#This Row],[YearsAtCompany]]&lt;=2,"0-2 Yrs",IF(HR_Data[[#This Row],[YearsAtCompany]]&lt;=5,"3-5 Yrs",IF(HR_Data[[#This Row],[YearsAtCompany]]&lt;=10,"6-10 Yrs","10+ Yrs")))</f>
        <v>3-5 Yrs</v>
      </c>
      <c r="AJ167" s="1">
        <f>IF(HR_Data[[#This Row],[YearsAtCompany]]&lt;=2,1,IF(HR_Data[[#This Row],[YearsAtCompany]]&lt;=5,2,IF(HR_Data[[#This Row],[YearsAtCompany]]&lt;=10,3,4)))</f>
        <v>2</v>
      </c>
      <c r="AK167" s="1" t="str">
        <f>CHOOSE(HR_Data[[#This Row],[Education]],"Below College","College","Bachelor","Master","Doctor")</f>
        <v>Bachelor</v>
      </c>
      <c r="AL167" s="1" t="str">
        <f>CHOOSE(HR_Data[[#This Row],[JobSatisfaction]],"Low","Medium","High","Very High")</f>
        <v>Medium</v>
      </c>
      <c r="AM167" s="1" t="str">
        <f>CHOOSE(HR_Data[[#This Row],[EnvironmentSatisfaction]],"Low","Medium","High","Very High")</f>
        <v>High</v>
      </c>
      <c r="AN167" s="1" t="str">
        <f>CHOOSE(HR_Data[[#This Row],[WorkLifeBalance]],"Bad","Good","Better","Best")</f>
        <v>Better</v>
      </c>
      <c r="AO167" s="1" t="str">
        <f>IF(HR_Data[[#This Row],[PercentSalaryHike]]&lt;=13,"11-13%",IF(HR_Data[[#This Row],[PercentSalaryHike]]&lt;=16,"14-16%",IF(HR_Data[[#This Row],[PercentSalaryHike]]&lt;=19,"17-19%","20-25%")))</f>
        <v>14-16%</v>
      </c>
      <c r="AP167" s="1">
        <f>IF(HR_Data[[#This Row],[PercentSalaryHike]]&lt;=13,1,IF(HR_Data[[#This Row],[PercentSalaryHike]]&lt;=16,2,IF(HR_Data[[#This Row],[PercentSalaryHike]]&lt;=19,3,4)))</f>
        <v>2</v>
      </c>
      <c r="AQ167" s="1" t="str">
        <f>IF(HR_Data[[#This Row],[DistanceFromHome]]&lt;=5,"1 to 5",IF(HR_Data[[#This Row],[DistanceFromHome]]&lt;=10,"6 to 10",IF(HR_Data[[#This Row],[DistanceFromHome]]&lt;=20,"11 to 20","21 to 29")))</f>
        <v>11 to 20</v>
      </c>
      <c r="AR167" s="1">
        <f>IF(HR_Data[[#This Row],[DistanceFromHome]]&lt;=5,1,IF(HR_Data[[#This Row],[DistanceFromHome]]&lt;=10,2,IF(HR_Data[[#This Row],[DistanceFromHome]]&lt;=20,3,4)))</f>
        <v>3</v>
      </c>
      <c r="AS167" s="1" t="str">
        <f>IF(HR_Data[[#This Row],[TotalWorkingYears]]&lt;=5,"0-5 Yrs",IF(HR_Data[[#This Row],[TotalWorkingYears]]&lt;=10,"6-10 Yrs",IF(HR_Data[[#This Row],[TotalWorkingYears]]&lt;=20,"11-20 Yrs","20+ Yrs")))</f>
        <v>20+ Yrs</v>
      </c>
      <c r="AT167" s="1">
        <f>IF(HR_Data[[#This Row],[TotalWorkingYears]]&lt;=5,1,IF(HR_Data[[#This Row],[TotalWorkingYears]]&lt;=10,2,IF(HR_Data[[#This Row],[TotalWorkingYears]]&lt;=20,3,4)))</f>
        <v>4</v>
      </c>
    </row>
    <row r="168" spans="1:46" x14ac:dyDescent="0.25">
      <c r="A168">
        <v>41</v>
      </c>
      <c r="B168" t="s">
        <v>36</v>
      </c>
      <c r="C168" t="s">
        <v>30</v>
      </c>
      <c r="D168" t="s">
        <v>38</v>
      </c>
      <c r="E168">
        <v>14</v>
      </c>
      <c r="F168">
        <v>3</v>
      </c>
      <c r="G168" t="s">
        <v>32</v>
      </c>
      <c r="H168">
        <v>227</v>
      </c>
      <c r="I168">
        <v>1</v>
      </c>
      <c r="J168" t="s">
        <v>39</v>
      </c>
      <c r="K168">
        <v>3</v>
      </c>
      <c r="L168">
        <v>1</v>
      </c>
      <c r="M168" t="s">
        <v>40</v>
      </c>
      <c r="N168">
        <v>3</v>
      </c>
      <c r="O168" t="s">
        <v>45</v>
      </c>
      <c r="P168">
        <v>2451</v>
      </c>
      <c r="Q168">
        <v>4</v>
      </c>
      <c r="R168" t="s">
        <v>36</v>
      </c>
      <c r="S168">
        <v>12</v>
      </c>
      <c r="T168">
        <v>3</v>
      </c>
      <c r="U168">
        <v>1</v>
      </c>
      <c r="V168">
        <v>1</v>
      </c>
      <c r="W168">
        <v>13</v>
      </c>
      <c r="X168">
        <v>2</v>
      </c>
      <c r="Y168">
        <v>3</v>
      </c>
      <c r="Z168">
        <v>9</v>
      </c>
      <c r="AA168">
        <v>8</v>
      </c>
      <c r="AB168">
        <v>1</v>
      </c>
      <c r="AC168">
        <v>8</v>
      </c>
      <c r="AD168">
        <f>IF(HR_Data[[#This Row],[Attrition]]="Yes",1,0)</f>
        <v>0</v>
      </c>
      <c r="AE168" t="str">
        <f>IF(HR_Data[[#This Row],[Age]]&lt;=25,"18-25",IF(HR_Data[[#This Row],[Age]]&lt;=35,"26-35",IF(HR_Data[[#This Row],[Age]]&lt;=45,"36-45",IF(HR_Data[[#This Row],[Age]]&lt;=55,"46-55","55+"))))</f>
        <v>36-45</v>
      </c>
      <c r="AF168">
        <f>IF(HR_Data[[#This Row],[Age]]&lt;=25,1,IF(HR_Data[[#This Row],[Age]]&lt;=35,2,IF(HR_Data[[#This Row],[Age]]&lt;=45,3,IF(HR_Data[[#This Row],[Age]]&lt;=55,4,5))))</f>
        <v>3</v>
      </c>
      <c r="AG168" s="1" t="str">
        <f>IF(HR_Data[[#This Row],[MonthlyIncome]]&lt;3000,"&lt;3K",IF(HR_Data[[#This Row],[MonthlyIncome]]&lt;6000,"3K-6K",IF(HR_Data[[#This Row],[MonthlyIncome]]&lt;10000,"6K-10K","10K+")))</f>
        <v>&lt;3K</v>
      </c>
      <c r="AH168" s="1">
        <f>IF(HR_Data[[#This Row],[MonthlyIncome]]&lt;3000,1,IF(HR_Data[[#This Row],[MonthlyIncome]]&lt;6000,2,IF(HR_Data[[#This Row],[MonthlyIncome]]&lt;10000,3,4)))</f>
        <v>1</v>
      </c>
      <c r="AI168" s="1" t="str">
        <f>IF(HR_Data[[#This Row],[YearsAtCompany]]&lt;=2,"0-2 Yrs",IF(HR_Data[[#This Row],[YearsAtCompany]]&lt;=5,"3-5 Yrs",IF(HR_Data[[#This Row],[YearsAtCompany]]&lt;=10,"6-10 Yrs","10+ Yrs")))</f>
        <v>6-10 Yrs</v>
      </c>
      <c r="AJ168" s="1">
        <f>IF(HR_Data[[#This Row],[YearsAtCompany]]&lt;=2,1,IF(HR_Data[[#This Row],[YearsAtCompany]]&lt;=5,2,IF(HR_Data[[#This Row],[YearsAtCompany]]&lt;=10,3,4)))</f>
        <v>3</v>
      </c>
      <c r="AK168" s="1" t="str">
        <f>CHOOSE(HR_Data[[#This Row],[Education]],"Below College","College","Bachelor","Master","Doctor")</f>
        <v>Bachelor</v>
      </c>
      <c r="AL168" s="1" t="str">
        <f>CHOOSE(HR_Data[[#This Row],[JobSatisfaction]],"Low","Medium","High","Very High")</f>
        <v>High</v>
      </c>
      <c r="AM168" s="1" t="str">
        <f>CHOOSE(HR_Data[[#This Row],[EnvironmentSatisfaction]],"Low","Medium","High","Very High")</f>
        <v>Low</v>
      </c>
      <c r="AN168" s="1" t="str">
        <f>CHOOSE(HR_Data[[#This Row],[WorkLifeBalance]],"Bad","Good","Better","Best")</f>
        <v>Better</v>
      </c>
      <c r="AO168" s="1" t="str">
        <f>IF(HR_Data[[#This Row],[PercentSalaryHike]]&lt;=13,"11-13%",IF(HR_Data[[#This Row],[PercentSalaryHike]]&lt;=16,"14-16%",IF(HR_Data[[#This Row],[PercentSalaryHike]]&lt;=19,"17-19%","20-25%")))</f>
        <v>11-13%</v>
      </c>
      <c r="AP168" s="1">
        <f>IF(HR_Data[[#This Row],[PercentSalaryHike]]&lt;=13,1,IF(HR_Data[[#This Row],[PercentSalaryHike]]&lt;=16,2,IF(HR_Data[[#This Row],[PercentSalaryHike]]&lt;=19,3,4)))</f>
        <v>1</v>
      </c>
      <c r="AQ168" s="1" t="str">
        <f>IF(HR_Data[[#This Row],[DistanceFromHome]]&lt;=5,"1 to 5",IF(HR_Data[[#This Row],[DistanceFromHome]]&lt;=10,"6 to 10",IF(HR_Data[[#This Row],[DistanceFromHome]]&lt;=20,"11 to 20","21 to 29")))</f>
        <v>11 to 20</v>
      </c>
      <c r="AR168" s="1">
        <f>IF(HR_Data[[#This Row],[DistanceFromHome]]&lt;=5,1,IF(HR_Data[[#This Row],[DistanceFromHome]]&lt;=10,2,IF(HR_Data[[#This Row],[DistanceFromHome]]&lt;=20,3,4)))</f>
        <v>3</v>
      </c>
      <c r="AS168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68" s="1">
        <f>IF(HR_Data[[#This Row],[TotalWorkingYears]]&lt;=5,1,IF(HR_Data[[#This Row],[TotalWorkingYears]]&lt;=10,2,IF(HR_Data[[#This Row],[TotalWorkingYears]]&lt;=20,3,4)))</f>
        <v>3</v>
      </c>
    </row>
    <row r="169" spans="1:46" x14ac:dyDescent="0.25">
      <c r="A169">
        <v>30</v>
      </c>
      <c r="B169" t="s">
        <v>36</v>
      </c>
      <c r="C169" t="s">
        <v>30</v>
      </c>
      <c r="D169" t="s">
        <v>31</v>
      </c>
      <c r="E169">
        <v>5</v>
      </c>
      <c r="F169">
        <v>3</v>
      </c>
      <c r="G169" t="s">
        <v>32</v>
      </c>
      <c r="H169">
        <v>228</v>
      </c>
      <c r="I169">
        <v>2</v>
      </c>
      <c r="J169" t="s">
        <v>33</v>
      </c>
      <c r="K169">
        <v>3</v>
      </c>
      <c r="L169">
        <v>3</v>
      </c>
      <c r="M169" t="s">
        <v>34</v>
      </c>
      <c r="N169">
        <v>4</v>
      </c>
      <c r="O169" t="s">
        <v>41</v>
      </c>
      <c r="P169">
        <v>9419</v>
      </c>
      <c r="Q169">
        <v>2</v>
      </c>
      <c r="R169" t="s">
        <v>36</v>
      </c>
      <c r="S169">
        <v>12</v>
      </c>
      <c r="T169">
        <v>3</v>
      </c>
      <c r="U169">
        <v>3</v>
      </c>
      <c r="V169">
        <v>1</v>
      </c>
      <c r="W169">
        <v>12</v>
      </c>
      <c r="X169">
        <v>2</v>
      </c>
      <c r="Y169">
        <v>3</v>
      </c>
      <c r="Z169">
        <v>10</v>
      </c>
      <c r="AA169">
        <v>9</v>
      </c>
      <c r="AB169">
        <v>7</v>
      </c>
      <c r="AC169">
        <v>4</v>
      </c>
      <c r="AD169">
        <f>IF(HR_Data[[#This Row],[Attrition]]="Yes",1,0)</f>
        <v>0</v>
      </c>
      <c r="AE169" t="str">
        <f>IF(HR_Data[[#This Row],[Age]]&lt;=25,"18-25",IF(HR_Data[[#This Row],[Age]]&lt;=35,"26-35",IF(HR_Data[[#This Row],[Age]]&lt;=45,"36-45",IF(HR_Data[[#This Row],[Age]]&lt;=55,"46-55","55+"))))</f>
        <v>26-35</v>
      </c>
      <c r="AF169">
        <f>IF(HR_Data[[#This Row],[Age]]&lt;=25,1,IF(HR_Data[[#This Row],[Age]]&lt;=35,2,IF(HR_Data[[#This Row],[Age]]&lt;=45,3,IF(HR_Data[[#This Row],[Age]]&lt;=55,4,5))))</f>
        <v>2</v>
      </c>
      <c r="AG169" s="1" t="str">
        <f>IF(HR_Data[[#This Row],[MonthlyIncome]]&lt;3000,"&lt;3K",IF(HR_Data[[#This Row],[MonthlyIncome]]&lt;6000,"3K-6K",IF(HR_Data[[#This Row],[MonthlyIncome]]&lt;10000,"6K-10K","10K+")))</f>
        <v>6K-10K</v>
      </c>
      <c r="AH169" s="1">
        <f>IF(HR_Data[[#This Row],[MonthlyIncome]]&lt;3000,1,IF(HR_Data[[#This Row],[MonthlyIncome]]&lt;6000,2,IF(HR_Data[[#This Row],[MonthlyIncome]]&lt;10000,3,4)))</f>
        <v>3</v>
      </c>
      <c r="AI169" s="1" t="str">
        <f>IF(HR_Data[[#This Row],[YearsAtCompany]]&lt;=2,"0-2 Yrs",IF(HR_Data[[#This Row],[YearsAtCompany]]&lt;=5,"3-5 Yrs",IF(HR_Data[[#This Row],[YearsAtCompany]]&lt;=10,"6-10 Yrs","10+ Yrs")))</f>
        <v>6-10 Yrs</v>
      </c>
      <c r="AJ169" s="1">
        <f>IF(HR_Data[[#This Row],[YearsAtCompany]]&lt;=2,1,IF(HR_Data[[#This Row],[YearsAtCompany]]&lt;=5,2,IF(HR_Data[[#This Row],[YearsAtCompany]]&lt;=10,3,4)))</f>
        <v>3</v>
      </c>
      <c r="AK169" s="1" t="str">
        <f>CHOOSE(HR_Data[[#This Row],[Education]],"Below College","College","Bachelor","Master","Doctor")</f>
        <v>Bachelor</v>
      </c>
      <c r="AL169" s="1" t="str">
        <f>CHOOSE(HR_Data[[#This Row],[JobSatisfaction]],"Low","Medium","High","Very High")</f>
        <v>Very High</v>
      </c>
      <c r="AM169" s="1" t="str">
        <f>CHOOSE(HR_Data[[#This Row],[EnvironmentSatisfaction]],"Low","Medium","High","Very High")</f>
        <v>Medium</v>
      </c>
      <c r="AN169" s="1" t="str">
        <f>CHOOSE(HR_Data[[#This Row],[WorkLifeBalance]],"Bad","Good","Better","Best")</f>
        <v>Better</v>
      </c>
      <c r="AO169" s="1" t="str">
        <f>IF(HR_Data[[#This Row],[PercentSalaryHike]]&lt;=13,"11-13%",IF(HR_Data[[#This Row],[PercentSalaryHike]]&lt;=16,"14-16%",IF(HR_Data[[#This Row],[PercentSalaryHike]]&lt;=19,"17-19%","20-25%")))</f>
        <v>11-13%</v>
      </c>
      <c r="AP169" s="1">
        <f>IF(HR_Data[[#This Row],[PercentSalaryHike]]&lt;=13,1,IF(HR_Data[[#This Row],[PercentSalaryHike]]&lt;=16,2,IF(HR_Data[[#This Row],[PercentSalaryHike]]&lt;=19,3,4)))</f>
        <v>1</v>
      </c>
      <c r="AQ169" s="1" t="str">
        <f>IF(HR_Data[[#This Row],[DistanceFromHome]]&lt;=5,"1 to 5",IF(HR_Data[[#This Row],[DistanceFromHome]]&lt;=10,"6 to 10",IF(HR_Data[[#This Row],[DistanceFromHome]]&lt;=20,"11 to 20","21 to 29")))</f>
        <v>1 to 5</v>
      </c>
      <c r="AR169" s="1">
        <f>IF(HR_Data[[#This Row],[DistanceFromHome]]&lt;=5,1,IF(HR_Data[[#This Row],[DistanceFromHome]]&lt;=10,2,IF(HR_Data[[#This Row],[DistanceFromHome]]&lt;=20,3,4)))</f>
        <v>1</v>
      </c>
      <c r="AS169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69" s="1">
        <f>IF(HR_Data[[#This Row],[TotalWorkingYears]]&lt;=5,1,IF(HR_Data[[#This Row],[TotalWorkingYears]]&lt;=10,2,IF(HR_Data[[#This Row],[TotalWorkingYears]]&lt;=20,3,4)))</f>
        <v>3</v>
      </c>
    </row>
    <row r="170" spans="1:46" x14ac:dyDescent="0.25">
      <c r="A170">
        <v>38</v>
      </c>
      <c r="B170" t="s">
        <v>36</v>
      </c>
      <c r="C170" t="s">
        <v>30</v>
      </c>
      <c r="D170" t="s">
        <v>31</v>
      </c>
      <c r="E170">
        <v>1</v>
      </c>
      <c r="F170">
        <v>4</v>
      </c>
      <c r="G170" t="s">
        <v>32</v>
      </c>
      <c r="H170">
        <v>230</v>
      </c>
      <c r="I170">
        <v>1</v>
      </c>
      <c r="J170" t="s">
        <v>33</v>
      </c>
      <c r="K170">
        <v>2</v>
      </c>
      <c r="L170">
        <v>2</v>
      </c>
      <c r="M170" t="s">
        <v>34</v>
      </c>
      <c r="N170">
        <v>4</v>
      </c>
      <c r="O170" t="s">
        <v>35</v>
      </c>
      <c r="P170">
        <v>8686</v>
      </c>
      <c r="Q170">
        <v>4</v>
      </c>
      <c r="R170" t="s">
        <v>36</v>
      </c>
      <c r="S170">
        <v>22</v>
      </c>
      <c r="T170">
        <v>4</v>
      </c>
      <c r="U170">
        <v>3</v>
      </c>
      <c r="V170">
        <v>0</v>
      </c>
      <c r="W170">
        <v>12</v>
      </c>
      <c r="X170">
        <v>2</v>
      </c>
      <c r="Y170">
        <v>4</v>
      </c>
      <c r="Z170">
        <v>8</v>
      </c>
      <c r="AA170">
        <v>3</v>
      </c>
      <c r="AB170">
        <v>0</v>
      </c>
      <c r="AC170">
        <v>7</v>
      </c>
      <c r="AD170">
        <f>IF(HR_Data[[#This Row],[Attrition]]="Yes",1,0)</f>
        <v>0</v>
      </c>
      <c r="AE170" t="str">
        <f>IF(HR_Data[[#This Row],[Age]]&lt;=25,"18-25",IF(HR_Data[[#This Row],[Age]]&lt;=35,"26-35",IF(HR_Data[[#This Row],[Age]]&lt;=45,"36-45",IF(HR_Data[[#This Row],[Age]]&lt;=55,"46-55","55+"))))</f>
        <v>36-45</v>
      </c>
      <c r="AF170">
        <f>IF(HR_Data[[#This Row],[Age]]&lt;=25,1,IF(HR_Data[[#This Row],[Age]]&lt;=35,2,IF(HR_Data[[#This Row],[Age]]&lt;=45,3,IF(HR_Data[[#This Row],[Age]]&lt;=55,4,5))))</f>
        <v>3</v>
      </c>
      <c r="AG170" s="1" t="str">
        <f>IF(HR_Data[[#This Row],[MonthlyIncome]]&lt;3000,"&lt;3K",IF(HR_Data[[#This Row],[MonthlyIncome]]&lt;6000,"3K-6K",IF(HR_Data[[#This Row],[MonthlyIncome]]&lt;10000,"6K-10K","10K+")))</f>
        <v>6K-10K</v>
      </c>
      <c r="AH170" s="1">
        <f>IF(HR_Data[[#This Row],[MonthlyIncome]]&lt;3000,1,IF(HR_Data[[#This Row],[MonthlyIncome]]&lt;6000,2,IF(HR_Data[[#This Row],[MonthlyIncome]]&lt;10000,3,4)))</f>
        <v>3</v>
      </c>
      <c r="AI170" s="1" t="str">
        <f>IF(HR_Data[[#This Row],[YearsAtCompany]]&lt;=2,"0-2 Yrs",IF(HR_Data[[#This Row],[YearsAtCompany]]&lt;=5,"3-5 Yrs",IF(HR_Data[[#This Row],[YearsAtCompany]]&lt;=10,"6-10 Yrs","10+ Yrs")))</f>
        <v>6-10 Yrs</v>
      </c>
      <c r="AJ170" s="1">
        <f>IF(HR_Data[[#This Row],[YearsAtCompany]]&lt;=2,1,IF(HR_Data[[#This Row],[YearsAtCompany]]&lt;=5,2,IF(HR_Data[[#This Row],[YearsAtCompany]]&lt;=10,3,4)))</f>
        <v>3</v>
      </c>
      <c r="AK170" s="1" t="str">
        <f>CHOOSE(HR_Data[[#This Row],[Education]],"Below College","College","Bachelor","Master","Doctor")</f>
        <v>Master</v>
      </c>
      <c r="AL170" s="1" t="str">
        <f>CHOOSE(HR_Data[[#This Row],[JobSatisfaction]],"Low","Medium","High","Very High")</f>
        <v>Very High</v>
      </c>
      <c r="AM170" s="1" t="str">
        <f>CHOOSE(HR_Data[[#This Row],[EnvironmentSatisfaction]],"Low","Medium","High","Very High")</f>
        <v>Low</v>
      </c>
      <c r="AN170" s="1" t="str">
        <f>CHOOSE(HR_Data[[#This Row],[WorkLifeBalance]],"Bad","Good","Better","Best")</f>
        <v>Best</v>
      </c>
      <c r="AO170" s="1" t="str">
        <f>IF(HR_Data[[#This Row],[PercentSalaryHike]]&lt;=13,"11-13%",IF(HR_Data[[#This Row],[PercentSalaryHike]]&lt;=16,"14-16%",IF(HR_Data[[#This Row],[PercentSalaryHike]]&lt;=19,"17-19%","20-25%")))</f>
        <v>20-25%</v>
      </c>
      <c r="AP170" s="1">
        <f>IF(HR_Data[[#This Row],[PercentSalaryHike]]&lt;=13,1,IF(HR_Data[[#This Row],[PercentSalaryHike]]&lt;=16,2,IF(HR_Data[[#This Row],[PercentSalaryHike]]&lt;=19,3,4)))</f>
        <v>4</v>
      </c>
      <c r="AQ170" s="1" t="str">
        <f>IF(HR_Data[[#This Row],[DistanceFromHome]]&lt;=5,"1 to 5",IF(HR_Data[[#This Row],[DistanceFromHome]]&lt;=10,"6 to 10",IF(HR_Data[[#This Row],[DistanceFromHome]]&lt;=20,"11 to 20","21 to 29")))</f>
        <v>1 to 5</v>
      </c>
      <c r="AR170" s="1">
        <f>IF(HR_Data[[#This Row],[DistanceFromHome]]&lt;=5,1,IF(HR_Data[[#This Row],[DistanceFromHome]]&lt;=10,2,IF(HR_Data[[#This Row],[DistanceFromHome]]&lt;=20,3,4)))</f>
        <v>1</v>
      </c>
      <c r="AS170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70" s="1">
        <f>IF(HR_Data[[#This Row],[TotalWorkingYears]]&lt;=5,1,IF(HR_Data[[#This Row],[TotalWorkingYears]]&lt;=10,2,IF(HR_Data[[#This Row],[TotalWorkingYears]]&lt;=20,3,4)))</f>
        <v>3</v>
      </c>
    </row>
    <row r="171" spans="1:46" x14ac:dyDescent="0.25">
      <c r="A171">
        <v>32</v>
      </c>
      <c r="B171" t="s">
        <v>36</v>
      </c>
      <c r="C171" t="s">
        <v>30</v>
      </c>
      <c r="D171" t="s">
        <v>38</v>
      </c>
      <c r="E171">
        <v>6</v>
      </c>
      <c r="F171">
        <v>5</v>
      </c>
      <c r="G171" t="s">
        <v>32</v>
      </c>
      <c r="H171">
        <v>231</v>
      </c>
      <c r="I171">
        <v>3</v>
      </c>
      <c r="J171" t="s">
        <v>39</v>
      </c>
      <c r="K171">
        <v>3</v>
      </c>
      <c r="L171">
        <v>1</v>
      </c>
      <c r="M171" t="s">
        <v>40</v>
      </c>
      <c r="N171">
        <v>3</v>
      </c>
      <c r="O171" t="s">
        <v>35</v>
      </c>
      <c r="P171">
        <v>3038</v>
      </c>
      <c r="Q171">
        <v>3</v>
      </c>
      <c r="R171" t="s">
        <v>36</v>
      </c>
      <c r="S171">
        <v>20</v>
      </c>
      <c r="T171">
        <v>4</v>
      </c>
      <c r="U171">
        <v>1</v>
      </c>
      <c r="V171">
        <v>0</v>
      </c>
      <c r="W171">
        <v>8</v>
      </c>
      <c r="X171">
        <v>2</v>
      </c>
      <c r="Y171">
        <v>3</v>
      </c>
      <c r="Z171">
        <v>5</v>
      </c>
      <c r="AA171">
        <v>4</v>
      </c>
      <c r="AB171">
        <v>1</v>
      </c>
      <c r="AC171">
        <v>4</v>
      </c>
      <c r="AD171">
        <f>IF(HR_Data[[#This Row],[Attrition]]="Yes",1,0)</f>
        <v>0</v>
      </c>
      <c r="AE171" t="str">
        <f>IF(HR_Data[[#This Row],[Age]]&lt;=25,"18-25",IF(HR_Data[[#This Row],[Age]]&lt;=35,"26-35",IF(HR_Data[[#This Row],[Age]]&lt;=45,"36-45",IF(HR_Data[[#This Row],[Age]]&lt;=55,"46-55","55+"))))</f>
        <v>26-35</v>
      </c>
      <c r="AF171">
        <f>IF(HR_Data[[#This Row],[Age]]&lt;=25,1,IF(HR_Data[[#This Row],[Age]]&lt;=35,2,IF(HR_Data[[#This Row],[Age]]&lt;=45,3,IF(HR_Data[[#This Row],[Age]]&lt;=55,4,5))))</f>
        <v>2</v>
      </c>
      <c r="AG171" s="1" t="str">
        <f>IF(HR_Data[[#This Row],[MonthlyIncome]]&lt;3000,"&lt;3K",IF(HR_Data[[#This Row],[MonthlyIncome]]&lt;6000,"3K-6K",IF(HR_Data[[#This Row],[MonthlyIncome]]&lt;10000,"6K-10K","10K+")))</f>
        <v>3K-6K</v>
      </c>
      <c r="AH171" s="1">
        <f>IF(HR_Data[[#This Row],[MonthlyIncome]]&lt;3000,1,IF(HR_Data[[#This Row],[MonthlyIncome]]&lt;6000,2,IF(HR_Data[[#This Row],[MonthlyIncome]]&lt;10000,3,4)))</f>
        <v>2</v>
      </c>
      <c r="AI171" s="1" t="str">
        <f>IF(HR_Data[[#This Row],[YearsAtCompany]]&lt;=2,"0-2 Yrs",IF(HR_Data[[#This Row],[YearsAtCompany]]&lt;=5,"3-5 Yrs",IF(HR_Data[[#This Row],[YearsAtCompany]]&lt;=10,"6-10 Yrs","10+ Yrs")))</f>
        <v>3-5 Yrs</v>
      </c>
      <c r="AJ171" s="1">
        <f>IF(HR_Data[[#This Row],[YearsAtCompany]]&lt;=2,1,IF(HR_Data[[#This Row],[YearsAtCompany]]&lt;=5,2,IF(HR_Data[[#This Row],[YearsAtCompany]]&lt;=10,3,4)))</f>
        <v>2</v>
      </c>
      <c r="AK171" s="1" t="str">
        <f>CHOOSE(HR_Data[[#This Row],[Education]],"Below College","College","Bachelor","Master","Doctor")</f>
        <v>Doctor</v>
      </c>
      <c r="AL171" s="1" t="str">
        <f>CHOOSE(HR_Data[[#This Row],[JobSatisfaction]],"Low","Medium","High","Very High")</f>
        <v>High</v>
      </c>
      <c r="AM171" s="1" t="str">
        <f>CHOOSE(HR_Data[[#This Row],[EnvironmentSatisfaction]],"Low","Medium","High","Very High")</f>
        <v>High</v>
      </c>
      <c r="AN171" s="1" t="str">
        <f>CHOOSE(HR_Data[[#This Row],[WorkLifeBalance]],"Bad","Good","Better","Best")</f>
        <v>Better</v>
      </c>
      <c r="AO171" s="1" t="str">
        <f>IF(HR_Data[[#This Row],[PercentSalaryHike]]&lt;=13,"11-13%",IF(HR_Data[[#This Row],[PercentSalaryHike]]&lt;=16,"14-16%",IF(HR_Data[[#This Row],[PercentSalaryHike]]&lt;=19,"17-19%","20-25%")))</f>
        <v>20-25%</v>
      </c>
      <c r="AP171" s="1">
        <f>IF(HR_Data[[#This Row],[PercentSalaryHike]]&lt;=13,1,IF(HR_Data[[#This Row],[PercentSalaryHike]]&lt;=16,2,IF(HR_Data[[#This Row],[PercentSalaryHike]]&lt;=19,3,4)))</f>
        <v>4</v>
      </c>
      <c r="AQ171" s="1" t="str">
        <f>IF(HR_Data[[#This Row],[DistanceFromHome]]&lt;=5,"1 to 5",IF(HR_Data[[#This Row],[DistanceFromHome]]&lt;=10,"6 to 10",IF(HR_Data[[#This Row],[DistanceFromHome]]&lt;=20,"11 to 20","21 to 29")))</f>
        <v>6 to 10</v>
      </c>
      <c r="AR171" s="1">
        <f>IF(HR_Data[[#This Row],[DistanceFromHome]]&lt;=5,1,IF(HR_Data[[#This Row],[DistanceFromHome]]&lt;=10,2,IF(HR_Data[[#This Row],[DistanceFromHome]]&lt;=20,3,4)))</f>
        <v>2</v>
      </c>
      <c r="AS171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71" s="1">
        <f>IF(HR_Data[[#This Row],[TotalWorkingYears]]&lt;=5,1,IF(HR_Data[[#This Row],[TotalWorkingYears]]&lt;=10,2,IF(HR_Data[[#This Row],[TotalWorkingYears]]&lt;=20,3,4)))</f>
        <v>2</v>
      </c>
    </row>
    <row r="172" spans="1:46" x14ac:dyDescent="0.25">
      <c r="A172">
        <v>27</v>
      </c>
      <c r="B172" t="s">
        <v>36</v>
      </c>
      <c r="C172" t="s">
        <v>30</v>
      </c>
      <c r="D172" t="s">
        <v>38</v>
      </c>
      <c r="E172">
        <v>17</v>
      </c>
      <c r="F172">
        <v>3</v>
      </c>
      <c r="G172" t="s">
        <v>53</v>
      </c>
      <c r="H172">
        <v>233</v>
      </c>
      <c r="I172">
        <v>3</v>
      </c>
      <c r="J172" t="s">
        <v>39</v>
      </c>
      <c r="K172">
        <v>3</v>
      </c>
      <c r="L172">
        <v>1</v>
      </c>
      <c r="M172" t="s">
        <v>40</v>
      </c>
      <c r="N172">
        <v>2</v>
      </c>
      <c r="O172" t="s">
        <v>41</v>
      </c>
      <c r="P172">
        <v>3058</v>
      </c>
      <c r="Q172">
        <v>0</v>
      </c>
      <c r="R172" t="s">
        <v>29</v>
      </c>
      <c r="S172">
        <v>16</v>
      </c>
      <c r="T172">
        <v>3</v>
      </c>
      <c r="U172">
        <v>4</v>
      </c>
      <c r="V172">
        <v>1</v>
      </c>
      <c r="W172">
        <v>6</v>
      </c>
      <c r="X172">
        <v>3</v>
      </c>
      <c r="Y172">
        <v>2</v>
      </c>
      <c r="Z172">
        <v>5</v>
      </c>
      <c r="AA172">
        <v>2</v>
      </c>
      <c r="AB172">
        <v>1</v>
      </c>
      <c r="AC172">
        <v>1</v>
      </c>
      <c r="AD172">
        <f>IF(HR_Data[[#This Row],[Attrition]]="Yes",1,0)</f>
        <v>0</v>
      </c>
      <c r="AE172" t="str">
        <f>IF(HR_Data[[#This Row],[Age]]&lt;=25,"18-25",IF(HR_Data[[#This Row],[Age]]&lt;=35,"26-35",IF(HR_Data[[#This Row],[Age]]&lt;=45,"36-45",IF(HR_Data[[#This Row],[Age]]&lt;=55,"46-55","55+"))))</f>
        <v>26-35</v>
      </c>
      <c r="AF172">
        <f>IF(HR_Data[[#This Row],[Age]]&lt;=25,1,IF(HR_Data[[#This Row],[Age]]&lt;=35,2,IF(HR_Data[[#This Row],[Age]]&lt;=45,3,IF(HR_Data[[#This Row],[Age]]&lt;=55,4,5))))</f>
        <v>2</v>
      </c>
      <c r="AG172" s="1" t="str">
        <f>IF(HR_Data[[#This Row],[MonthlyIncome]]&lt;3000,"&lt;3K",IF(HR_Data[[#This Row],[MonthlyIncome]]&lt;6000,"3K-6K",IF(HR_Data[[#This Row],[MonthlyIncome]]&lt;10000,"6K-10K","10K+")))</f>
        <v>3K-6K</v>
      </c>
      <c r="AH172" s="1">
        <f>IF(HR_Data[[#This Row],[MonthlyIncome]]&lt;3000,1,IF(HR_Data[[#This Row],[MonthlyIncome]]&lt;6000,2,IF(HR_Data[[#This Row],[MonthlyIncome]]&lt;10000,3,4)))</f>
        <v>2</v>
      </c>
      <c r="AI172" s="1" t="str">
        <f>IF(HR_Data[[#This Row],[YearsAtCompany]]&lt;=2,"0-2 Yrs",IF(HR_Data[[#This Row],[YearsAtCompany]]&lt;=5,"3-5 Yrs",IF(HR_Data[[#This Row],[YearsAtCompany]]&lt;=10,"6-10 Yrs","10+ Yrs")))</f>
        <v>3-5 Yrs</v>
      </c>
      <c r="AJ172" s="1">
        <f>IF(HR_Data[[#This Row],[YearsAtCompany]]&lt;=2,1,IF(HR_Data[[#This Row],[YearsAtCompany]]&lt;=5,2,IF(HR_Data[[#This Row],[YearsAtCompany]]&lt;=10,3,4)))</f>
        <v>2</v>
      </c>
      <c r="AK172" s="1" t="str">
        <f>CHOOSE(HR_Data[[#This Row],[Education]],"Below College","College","Bachelor","Master","Doctor")</f>
        <v>Bachelor</v>
      </c>
      <c r="AL172" s="1" t="str">
        <f>CHOOSE(HR_Data[[#This Row],[JobSatisfaction]],"Low","Medium","High","Very High")</f>
        <v>Medium</v>
      </c>
      <c r="AM172" s="1" t="str">
        <f>CHOOSE(HR_Data[[#This Row],[EnvironmentSatisfaction]],"Low","Medium","High","Very High")</f>
        <v>High</v>
      </c>
      <c r="AN172" s="1" t="str">
        <f>CHOOSE(HR_Data[[#This Row],[WorkLifeBalance]],"Bad","Good","Better","Best")</f>
        <v>Good</v>
      </c>
      <c r="AO172" s="1" t="str">
        <f>IF(HR_Data[[#This Row],[PercentSalaryHike]]&lt;=13,"11-13%",IF(HR_Data[[#This Row],[PercentSalaryHike]]&lt;=16,"14-16%",IF(HR_Data[[#This Row],[PercentSalaryHike]]&lt;=19,"17-19%","20-25%")))</f>
        <v>14-16%</v>
      </c>
      <c r="AP172" s="1">
        <f>IF(HR_Data[[#This Row],[PercentSalaryHike]]&lt;=13,1,IF(HR_Data[[#This Row],[PercentSalaryHike]]&lt;=16,2,IF(HR_Data[[#This Row],[PercentSalaryHike]]&lt;=19,3,4)))</f>
        <v>2</v>
      </c>
      <c r="AQ172" s="1" t="str">
        <f>IF(HR_Data[[#This Row],[DistanceFromHome]]&lt;=5,"1 to 5",IF(HR_Data[[#This Row],[DistanceFromHome]]&lt;=10,"6 to 10",IF(HR_Data[[#This Row],[DistanceFromHome]]&lt;=20,"11 to 20","21 to 29")))</f>
        <v>11 to 20</v>
      </c>
      <c r="AR172" s="1">
        <f>IF(HR_Data[[#This Row],[DistanceFromHome]]&lt;=5,1,IF(HR_Data[[#This Row],[DistanceFromHome]]&lt;=10,2,IF(HR_Data[[#This Row],[DistanceFromHome]]&lt;=20,3,4)))</f>
        <v>3</v>
      </c>
      <c r="AS172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72" s="1">
        <f>IF(HR_Data[[#This Row],[TotalWorkingYears]]&lt;=5,1,IF(HR_Data[[#This Row],[TotalWorkingYears]]&lt;=10,2,IF(HR_Data[[#This Row],[TotalWorkingYears]]&lt;=20,3,4)))</f>
        <v>2</v>
      </c>
    </row>
    <row r="173" spans="1:46" x14ac:dyDescent="0.25">
      <c r="A173">
        <v>19</v>
      </c>
      <c r="B173" t="s">
        <v>29</v>
      </c>
      <c r="C173" t="s">
        <v>37</v>
      </c>
      <c r="D173" t="s">
        <v>31</v>
      </c>
      <c r="E173">
        <v>1</v>
      </c>
      <c r="F173">
        <v>1</v>
      </c>
      <c r="G173" t="s">
        <v>53</v>
      </c>
      <c r="H173">
        <v>235</v>
      </c>
      <c r="I173">
        <v>3</v>
      </c>
      <c r="J173" t="s">
        <v>33</v>
      </c>
      <c r="K173">
        <v>1</v>
      </c>
      <c r="L173">
        <v>1</v>
      </c>
      <c r="M173" t="s">
        <v>50</v>
      </c>
      <c r="N173">
        <v>1</v>
      </c>
      <c r="O173" t="s">
        <v>35</v>
      </c>
      <c r="P173">
        <v>2325</v>
      </c>
      <c r="Q173">
        <v>0</v>
      </c>
      <c r="R173" t="s">
        <v>36</v>
      </c>
      <c r="S173">
        <v>21</v>
      </c>
      <c r="T173">
        <v>4</v>
      </c>
      <c r="U173">
        <v>1</v>
      </c>
      <c r="V173">
        <v>0</v>
      </c>
      <c r="W173">
        <v>1</v>
      </c>
      <c r="X173">
        <v>5</v>
      </c>
      <c r="Y173">
        <v>4</v>
      </c>
      <c r="Z173">
        <v>0</v>
      </c>
      <c r="AA173">
        <v>0</v>
      </c>
      <c r="AB173">
        <v>0</v>
      </c>
      <c r="AC173">
        <v>0</v>
      </c>
      <c r="AD173">
        <f>IF(HR_Data[[#This Row],[Attrition]]="Yes",1,0)</f>
        <v>1</v>
      </c>
      <c r="AE173" t="str">
        <f>IF(HR_Data[[#This Row],[Age]]&lt;=25,"18-25",IF(HR_Data[[#This Row],[Age]]&lt;=35,"26-35",IF(HR_Data[[#This Row],[Age]]&lt;=45,"36-45",IF(HR_Data[[#This Row],[Age]]&lt;=55,"46-55","55+"))))</f>
        <v>18-25</v>
      </c>
      <c r="AF173">
        <f>IF(HR_Data[[#This Row],[Age]]&lt;=25,1,IF(HR_Data[[#This Row],[Age]]&lt;=35,2,IF(HR_Data[[#This Row],[Age]]&lt;=45,3,IF(HR_Data[[#This Row],[Age]]&lt;=55,4,5))))</f>
        <v>1</v>
      </c>
      <c r="AG173" s="1" t="str">
        <f>IF(HR_Data[[#This Row],[MonthlyIncome]]&lt;3000,"&lt;3K",IF(HR_Data[[#This Row],[MonthlyIncome]]&lt;6000,"3K-6K",IF(HR_Data[[#This Row],[MonthlyIncome]]&lt;10000,"6K-10K","10K+")))</f>
        <v>&lt;3K</v>
      </c>
      <c r="AH173" s="1">
        <f>IF(HR_Data[[#This Row],[MonthlyIncome]]&lt;3000,1,IF(HR_Data[[#This Row],[MonthlyIncome]]&lt;6000,2,IF(HR_Data[[#This Row],[MonthlyIncome]]&lt;10000,3,4)))</f>
        <v>1</v>
      </c>
      <c r="AI173" s="1" t="str">
        <f>IF(HR_Data[[#This Row],[YearsAtCompany]]&lt;=2,"0-2 Yrs",IF(HR_Data[[#This Row],[YearsAtCompany]]&lt;=5,"3-5 Yrs",IF(HR_Data[[#This Row],[YearsAtCompany]]&lt;=10,"6-10 Yrs","10+ Yrs")))</f>
        <v>0-2 Yrs</v>
      </c>
      <c r="AJ173" s="1">
        <f>IF(HR_Data[[#This Row],[YearsAtCompany]]&lt;=2,1,IF(HR_Data[[#This Row],[YearsAtCompany]]&lt;=5,2,IF(HR_Data[[#This Row],[YearsAtCompany]]&lt;=10,3,4)))</f>
        <v>1</v>
      </c>
      <c r="AK173" s="1" t="str">
        <f>CHOOSE(HR_Data[[#This Row],[Education]],"Below College","College","Bachelor","Master","Doctor")</f>
        <v>Below College</v>
      </c>
      <c r="AL173" s="1" t="str">
        <f>CHOOSE(HR_Data[[#This Row],[JobSatisfaction]],"Low","Medium","High","Very High")</f>
        <v>Low</v>
      </c>
      <c r="AM173" s="1" t="str">
        <f>CHOOSE(HR_Data[[#This Row],[EnvironmentSatisfaction]],"Low","Medium","High","Very High")</f>
        <v>High</v>
      </c>
      <c r="AN173" s="1" t="str">
        <f>CHOOSE(HR_Data[[#This Row],[WorkLifeBalance]],"Bad","Good","Better","Best")</f>
        <v>Best</v>
      </c>
      <c r="AO173" s="1" t="str">
        <f>IF(HR_Data[[#This Row],[PercentSalaryHike]]&lt;=13,"11-13%",IF(HR_Data[[#This Row],[PercentSalaryHike]]&lt;=16,"14-16%",IF(HR_Data[[#This Row],[PercentSalaryHike]]&lt;=19,"17-19%","20-25%")))</f>
        <v>20-25%</v>
      </c>
      <c r="AP173" s="1">
        <f>IF(HR_Data[[#This Row],[PercentSalaryHike]]&lt;=13,1,IF(HR_Data[[#This Row],[PercentSalaryHike]]&lt;=16,2,IF(HR_Data[[#This Row],[PercentSalaryHike]]&lt;=19,3,4)))</f>
        <v>4</v>
      </c>
      <c r="AQ173" s="1" t="str">
        <f>IF(HR_Data[[#This Row],[DistanceFromHome]]&lt;=5,"1 to 5",IF(HR_Data[[#This Row],[DistanceFromHome]]&lt;=10,"6 to 10",IF(HR_Data[[#This Row],[DistanceFromHome]]&lt;=20,"11 to 20","21 to 29")))</f>
        <v>1 to 5</v>
      </c>
      <c r="AR173" s="1">
        <f>IF(HR_Data[[#This Row],[DistanceFromHome]]&lt;=5,1,IF(HR_Data[[#This Row],[DistanceFromHome]]&lt;=10,2,IF(HR_Data[[#This Row],[DistanceFromHome]]&lt;=20,3,4)))</f>
        <v>1</v>
      </c>
      <c r="AS173" s="1" t="str">
        <f>IF(HR_Data[[#This Row],[TotalWorkingYears]]&lt;=5,"0-5 Yrs",IF(HR_Data[[#This Row],[TotalWorkingYears]]&lt;=10,"6-10 Yrs",IF(HR_Data[[#This Row],[TotalWorkingYears]]&lt;=20,"11-20 Yrs","20+ Yrs")))</f>
        <v>0-5 Yrs</v>
      </c>
      <c r="AT173" s="1">
        <f>IF(HR_Data[[#This Row],[TotalWorkingYears]]&lt;=5,1,IF(HR_Data[[#This Row],[TotalWorkingYears]]&lt;=10,2,IF(HR_Data[[#This Row],[TotalWorkingYears]]&lt;=20,3,4)))</f>
        <v>1</v>
      </c>
    </row>
    <row r="174" spans="1:46" x14ac:dyDescent="0.25">
      <c r="A174">
        <v>36</v>
      </c>
      <c r="B174" t="s">
        <v>36</v>
      </c>
      <c r="C174" t="s">
        <v>37</v>
      </c>
      <c r="D174" t="s">
        <v>38</v>
      </c>
      <c r="E174">
        <v>3</v>
      </c>
      <c r="F174">
        <v>2</v>
      </c>
      <c r="G174" t="s">
        <v>44</v>
      </c>
      <c r="H174">
        <v>238</v>
      </c>
      <c r="I174">
        <v>4</v>
      </c>
      <c r="J174" t="s">
        <v>39</v>
      </c>
      <c r="K174">
        <v>3</v>
      </c>
      <c r="L174">
        <v>1</v>
      </c>
      <c r="M174" t="s">
        <v>43</v>
      </c>
      <c r="N174">
        <v>2</v>
      </c>
      <c r="O174" t="s">
        <v>35</v>
      </c>
      <c r="P174">
        <v>2088</v>
      </c>
      <c r="Q174">
        <v>4</v>
      </c>
      <c r="R174" t="s">
        <v>36</v>
      </c>
      <c r="S174">
        <v>12</v>
      </c>
      <c r="T174">
        <v>3</v>
      </c>
      <c r="U174">
        <v>3</v>
      </c>
      <c r="V174">
        <v>0</v>
      </c>
      <c r="W174">
        <v>13</v>
      </c>
      <c r="X174">
        <v>3</v>
      </c>
      <c r="Y174">
        <v>2</v>
      </c>
      <c r="Z174">
        <v>8</v>
      </c>
      <c r="AA174">
        <v>7</v>
      </c>
      <c r="AB174">
        <v>7</v>
      </c>
      <c r="AC174">
        <v>2</v>
      </c>
      <c r="AD174">
        <f>IF(HR_Data[[#This Row],[Attrition]]="Yes",1,0)</f>
        <v>0</v>
      </c>
      <c r="AE174" t="str">
        <f>IF(HR_Data[[#This Row],[Age]]&lt;=25,"18-25",IF(HR_Data[[#This Row],[Age]]&lt;=35,"26-35",IF(HR_Data[[#This Row],[Age]]&lt;=45,"36-45",IF(HR_Data[[#This Row],[Age]]&lt;=55,"46-55","55+"))))</f>
        <v>36-45</v>
      </c>
      <c r="AF174">
        <f>IF(HR_Data[[#This Row],[Age]]&lt;=25,1,IF(HR_Data[[#This Row],[Age]]&lt;=35,2,IF(HR_Data[[#This Row],[Age]]&lt;=45,3,IF(HR_Data[[#This Row],[Age]]&lt;=55,4,5))))</f>
        <v>3</v>
      </c>
      <c r="AG174" s="1" t="str">
        <f>IF(HR_Data[[#This Row],[MonthlyIncome]]&lt;3000,"&lt;3K",IF(HR_Data[[#This Row],[MonthlyIncome]]&lt;6000,"3K-6K",IF(HR_Data[[#This Row],[MonthlyIncome]]&lt;10000,"6K-10K","10K+")))</f>
        <v>&lt;3K</v>
      </c>
      <c r="AH174" s="1">
        <f>IF(HR_Data[[#This Row],[MonthlyIncome]]&lt;3000,1,IF(HR_Data[[#This Row],[MonthlyIncome]]&lt;6000,2,IF(HR_Data[[#This Row],[MonthlyIncome]]&lt;10000,3,4)))</f>
        <v>1</v>
      </c>
      <c r="AI174" s="1" t="str">
        <f>IF(HR_Data[[#This Row],[YearsAtCompany]]&lt;=2,"0-2 Yrs",IF(HR_Data[[#This Row],[YearsAtCompany]]&lt;=5,"3-5 Yrs",IF(HR_Data[[#This Row],[YearsAtCompany]]&lt;=10,"6-10 Yrs","10+ Yrs")))</f>
        <v>6-10 Yrs</v>
      </c>
      <c r="AJ174" s="1">
        <f>IF(HR_Data[[#This Row],[YearsAtCompany]]&lt;=2,1,IF(HR_Data[[#This Row],[YearsAtCompany]]&lt;=5,2,IF(HR_Data[[#This Row],[YearsAtCompany]]&lt;=10,3,4)))</f>
        <v>3</v>
      </c>
      <c r="AK174" s="1" t="str">
        <f>CHOOSE(HR_Data[[#This Row],[Education]],"Below College","College","Bachelor","Master","Doctor")</f>
        <v>College</v>
      </c>
      <c r="AL174" s="1" t="str">
        <f>CHOOSE(HR_Data[[#This Row],[JobSatisfaction]],"Low","Medium","High","Very High")</f>
        <v>Medium</v>
      </c>
      <c r="AM174" s="1" t="str">
        <f>CHOOSE(HR_Data[[#This Row],[EnvironmentSatisfaction]],"Low","Medium","High","Very High")</f>
        <v>Very High</v>
      </c>
      <c r="AN174" s="1" t="str">
        <f>CHOOSE(HR_Data[[#This Row],[WorkLifeBalance]],"Bad","Good","Better","Best")</f>
        <v>Good</v>
      </c>
      <c r="AO174" s="1" t="str">
        <f>IF(HR_Data[[#This Row],[PercentSalaryHike]]&lt;=13,"11-13%",IF(HR_Data[[#This Row],[PercentSalaryHike]]&lt;=16,"14-16%",IF(HR_Data[[#This Row],[PercentSalaryHike]]&lt;=19,"17-19%","20-25%")))</f>
        <v>11-13%</v>
      </c>
      <c r="AP174" s="1">
        <f>IF(HR_Data[[#This Row],[PercentSalaryHike]]&lt;=13,1,IF(HR_Data[[#This Row],[PercentSalaryHike]]&lt;=16,2,IF(HR_Data[[#This Row],[PercentSalaryHike]]&lt;=19,3,4)))</f>
        <v>1</v>
      </c>
      <c r="AQ174" s="1" t="str">
        <f>IF(HR_Data[[#This Row],[DistanceFromHome]]&lt;=5,"1 to 5",IF(HR_Data[[#This Row],[DistanceFromHome]]&lt;=10,"6 to 10",IF(HR_Data[[#This Row],[DistanceFromHome]]&lt;=20,"11 to 20","21 to 29")))</f>
        <v>1 to 5</v>
      </c>
      <c r="AR174" s="1">
        <f>IF(HR_Data[[#This Row],[DistanceFromHome]]&lt;=5,1,IF(HR_Data[[#This Row],[DistanceFromHome]]&lt;=10,2,IF(HR_Data[[#This Row],[DistanceFromHome]]&lt;=20,3,4)))</f>
        <v>1</v>
      </c>
      <c r="AS174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74" s="1">
        <f>IF(HR_Data[[#This Row],[TotalWorkingYears]]&lt;=5,1,IF(HR_Data[[#This Row],[TotalWorkingYears]]&lt;=10,2,IF(HR_Data[[#This Row],[TotalWorkingYears]]&lt;=20,3,4)))</f>
        <v>3</v>
      </c>
    </row>
    <row r="175" spans="1:46" x14ac:dyDescent="0.25">
      <c r="A175">
        <v>30</v>
      </c>
      <c r="B175" t="s">
        <v>36</v>
      </c>
      <c r="C175" t="s">
        <v>48</v>
      </c>
      <c r="D175" t="s">
        <v>38</v>
      </c>
      <c r="E175">
        <v>9</v>
      </c>
      <c r="F175">
        <v>3</v>
      </c>
      <c r="G175" t="s">
        <v>44</v>
      </c>
      <c r="H175">
        <v>239</v>
      </c>
      <c r="I175">
        <v>3</v>
      </c>
      <c r="J175" t="s">
        <v>39</v>
      </c>
      <c r="K175">
        <v>3</v>
      </c>
      <c r="L175">
        <v>2</v>
      </c>
      <c r="M175" t="s">
        <v>43</v>
      </c>
      <c r="N175">
        <v>1</v>
      </c>
      <c r="O175" t="s">
        <v>45</v>
      </c>
      <c r="P175">
        <v>3072</v>
      </c>
      <c r="Q175">
        <v>1</v>
      </c>
      <c r="R175" t="s">
        <v>36</v>
      </c>
      <c r="S175">
        <v>11</v>
      </c>
      <c r="T175">
        <v>3</v>
      </c>
      <c r="U175">
        <v>3</v>
      </c>
      <c r="V175">
        <v>2</v>
      </c>
      <c r="W175">
        <v>12</v>
      </c>
      <c r="X175">
        <v>4</v>
      </c>
      <c r="Y175">
        <v>3</v>
      </c>
      <c r="Z175">
        <v>12</v>
      </c>
      <c r="AA175">
        <v>9</v>
      </c>
      <c r="AB175">
        <v>6</v>
      </c>
      <c r="AC175">
        <v>10</v>
      </c>
      <c r="AD175">
        <f>IF(HR_Data[[#This Row],[Attrition]]="Yes",1,0)</f>
        <v>0</v>
      </c>
      <c r="AE175" t="str">
        <f>IF(HR_Data[[#This Row],[Age]]&lt;=25,"18-25",IF(HR_Data[[#This Row],[Age]]&lt;=35,"26-35",IF(HR_Data[[#This Row],[Age]]&lt;=45,"36-45",IF(HR_Data[[#This Row],[Age]]&lt;=55,"46-55","55+"))))</f>
        <v>26-35</v>
      </c>
      <c r="AF175">
        <f>IF(HR_Data[[#This Row],[Age]]&lt;=25,1,IF(HR_Data[[#This Row],[Age]]&lt;=35,2,IF(HR_Data[[#This Row],[Age]]&lt;=45,3,IF(HR_Data[[#This Row],[Age]]&lt;=55,4,5))))</f>
        <v>2</v>
      </c>
      <c r="AG175" s="1" t="str">
        <f>IF(HR_Data[[#This Row],[MonthlyIncome]]&lt;3000,"&lt;3K",IF(HR_Data[[#This Row],[MonthlyIncome]]&lt;6000,"3K-6K",IF(HR_Data[[#This Row],[MonthlyIncome]]&lt;10000,"6K-10K","10K+")))</f>
        <v>3K-6K</v>
      </c>
      <c r="AH175" s="1">
        <f>IF(HR_Data[[#This Row],[MonthlyIncome]]&lt;3000,1,IF(HR_Data[[#This Row],[MonthlyIncome]]&lt;6000,2,IF(HR_Data[[#This Row],[MonthlyIncome]]&lt;10000,3,4)))</f>
        <v>2</v>
      </c>
      <c r="AI175" s="1" t="str">
        <f>IF(HR_Data[[#This Row],[YearsAtCompany]]&lt;=2,"0-2 Yrs",IF(HR_Data[[#This Row],[YearsAtCompany]]&lt;=5,"3-5 Yrs",IF(HR_Data[[#This Row],[YearsAtCompany]]&lt;=10,"6-10 Yrs","10+ Yrs")))</f>
        <v>10+ Yrs</v>
      </c>
      <c r="AJ175" s="1">
        <f>IF(HR_Data[[#This Row],[YearsAtCompany]]&lt;=2,1,IF(HR_Data[[#This Row],[YearsAtCompany]]&lt;=5,2,IF(HR_Data[[#This Row],[YearsAtCompany]]&lt;=10,3,4)))</f>
        <v>4</v>
      </c>
      <c r="AK175" s="1" t="str">
        <f>CHOOSE(HR_Data[[#This Row],[Education]],"Below College","College","Bachelor","Master","Doctor")</f>
        <v>Bachelor</v>
      </c>
      <c r="AL175" s="1" t="str">
        <f>CHOOSE(HR_Data[[#This Row],[JobSatisfaction]],"Low","Medium","High","Very High")</f>
        <v>Low</v>
      </c>
      <c r="AM175" s="1" t="str">
        <f>CHOOSE(HR_Data[[#This Row],[EnvironmentSatisfaction]],"Low","Medium","High","Very High")</f>
        <v>High</v>
      </c>
      <c r="AN175" s="1" t="str">
        <f>CHOOSE(HR_Data[[#This Row],[WorkLifeBalance]],"Bad","Good","Better","Best")</f>
        <v>Better</v>
      </c>
      <c r="AO175" s="1" t="str">
        <f>IF(HR_Data[[#This Row],[PercentSalaryHike]]&lt;=13,"11-13%",IF(HR_Data[[#This Row],[PercentSalaryHike]]&lt;=16,"14-16%",IF(HR_Data[[#This Row],[PercentSalaryHike]]&lt;=19,"17-19%","20-25%")))</f>
        <v>11-13%</v>
      </c>
      <c r="AP175" s="1">
        <f>IF(HR_Data[[#This Row],[PercentSalaryHike]]&lt;=13,1,IF(HR_Data[[#This Row],[PercentSalaryHike]]&lt;=16,2,IF(HR_Data[[#This Row],[PercentSalaryHike]]&lt;=19,3,4)))</f>
        <v>1</v>
      </c>
      <c r="AQ175" s="1" t="str">
        <f>IF(HR_Data[[#This Row],[DistanceFromHome]]&lt;=5,"1 to 5",IF(HR_Data[[#This Row],[DistanceFromHome]]&lt;=10,"6 to 10",IF(HR_Data[[#This Row],[DistanceFromHome]]&lt;=20,"11 to 20","21 to 29")))</f>
        <v>6 to 10</v>
      </c>
      <c r="AR175" s="1">
        <f>IF(HR_Data[[#This Row],[DistanceFromHome]]&lt;=5,1,IF(HR_Data[[#This Row],[DistanceFromHome]]&lt;=10,2,IF(HR_Data[[#This Row],[DistanceFromHome]]&lt;=20,3,4)))</f>
        <v>2</v>
      </c>
      <c r="AS175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75" s="1">
        <f>IF(HR_Data[[#This Row],[TotalWorkingYears]]&lt;=5,1,IF(HR_Data[[#This Row],[TotalWorkingYears]]&lt;=10,2,IF(HR_Data[[#This Row],[TotalWorkingYears]]&lt;=20,3,4)))</f>
        <v>3</v>
      </c>
    </row>
    <row r="176" spans="1:46" x14ac:dyDescent="0.25">
      <c r="A176">
        <v>45</v>
      </c>
      <c r="B176" t="s">
        <v>36</v>
      </c>
      <c r="C176" t="s">
        <v>30</v>
      </c>
      <c r="D176" t="s">
        <v>31</v>
      </c>
      <c r="E176">
        <v>4</v>
      </c>
      <c r="F176">
        <v>2</v>
      </c>
      <c r="G176" t="s">
        <v>32</v>
      </c>
      <c r="H176">
        <v>240</v>
      </c>
      <c r="I176">
        <v>3</v>
      </c>
      <c r="J176" t="s">
        <v>33</v>
      </c>
      <c r="K176">
        <v>3</v>
      </c>
      <c r="L176">
        <v>2</v>
      </c>
      <c r="M176" t="s">
        <v>34</v>
      </c>
      <c r="N176">
        <v>1</v>
      </c>
      <c r="O176" t="s">
        <v>45</v>
      </c>
      <c r="P176">
        <v>5006</v>
      </c>
      <c r="Q176">
        <v>4</v>
      </c>
      <c r="R176" t="s">
        <v>29</v>
      </c>
      <c r="S176">
        <v>11</v>
      </c>
      <c r="T176">
        <v>3</v>
      </c>
      <c r="U176">
        <v>1</v>
      </c>
      <c r="V176">
        <v>1</v>
      </c>
      <c r="W176">
        <v>9</v>
      </c>
      <c r="X176">
        <v>3</v>
      </c>
      <c r="Y176">
        <v>4</v>
      </c>
      <c r="Z176">
        <v>5</v>
      </c>
      <c r="AA176">
        <v>4</v>
      </c>
      <c r="AB176">
        <v>0</v>
      </c>
      <c r="AC176">
        <v>3</v>
      </c>
      <c r="AD176">
        <f>IF(HR_Data[[#This Row],[Attrition]]="Yes",1,0)</f>
        <v>0</v>
      </c>
      <c r="AE176" t="str">
        <f>IF(HR_Data[[#This Row],[Age]]&lt;=25,"18-25",IF(HR_Data[[#This Row],[Age]]&lt;=35,"26-35",IF(HR_Data[[#This Row],[Age]]&lt;=45,"36-45",IF(HR_Data[[#This Row],[Age]]&lt;=55,"46-55","55+"))))</f>
        <v>36-45</v>
      </c>
      <c r="AF176">
        <f>IF(HR_Data[[#This Row],[Age]]&lt;=25,1,IF(HR_Data[[#This Row],[Age]]&lt;=35,2,IF(HR_Data[[#This Row],[Age]]&lt;=45,3,IF(HR_Data[[#This Row],[Age]]&lt;=55,4,5))))</f>
        <v>3</v>
      </c>
      <c r="AG176" s="1" t="str">
        <f>IF(HR_Data[[#This Row],[MonthlyIncome]]&lt;3000,"&lt;3K",IF(HR_Data[[#This Row],[MonthlyIncome]]&lt;6000,"3K-6K",IF(HR_Data[[#This Row],[MonthlyIncome]]&lt;10000,"6K-10K","10K+")))</f>
        <v>3K-6K</v>
      </c>
      <c r="AH176" s="1">
        <f>IF(HR_Data[[#This Row],[MonthlyIncome]]&lt;3000,1,IF(HR_Data[[#This Row],[MonthlyIncome]]&lt;6000,2,IF(HR_Data[[#This Row],[MonthlyIncome]]&lt;10000,3,4)))</f>
        <v>2</v>
      </c>
      <c r="AI176" s="1" t="str">
        <f>IF(HR_Data[[#This Row],[YearsAtCompany]]&lt;=2,"0-2 Yrs",IF(HR_Data[[#This Row],[YearsAtCompany]]&lt;=5,"3-5 Yrs",IF(HR_Data[[#This Row],[YearsAtCompany]]&lt;=10,"6-10 Yrs","10+ Yrs")))</f>
        <v>3-5 Yrs</v>
      </c>
      <c r="AJ176" s="1">
        <f>IF(HR_Data[[#This Row],[YearsAtCompany]]&lt;=2,1,IF(HR_Data[[#This Row],[YearsAtCompany]]&lt;=5,2,IF(HR_Data[[#This Row],[YearsAtCompany]]&lt;=10,3,4)))</f>
        <v>2</v>
      </c>
      <c r="AK176" s="1" t="str">
        <f>CHOOSE(HR_Data[[#This Row],[Education]],"Below College","College","Bachelor","Master","Doctor")</f>
        <v>College</v>
      </c>
      <c r="AL176" s="1" t="str">
        <f>CHOOSE(HR_Data[[#This Row],[JobSatisfaction]],"Low","Medium","High","Very High")</f>
        <v>Low</v>
      </c>
      <c r="AM176" s="1" t="str">
        <f>CHOOSE(HR_Data[[#This Row],[EnvironmentSatisfaction]],"Low","Medium","High","Very High")</f>
        <v>High</v>
      </c>
      <c r="AN176" s="1" t="str">
        <f>CHOOSE(HR_Data[[#This Row],[WorkLifeBalance]],"Bad","Good","Better","Best")</f>
        <v>Best</v>
      </c>
      <c r="AO176" s="1" t="str">
        <f>IF(HR_Data[[#This Row],[PercentSalaryHike]]&lt;=13,"11-13%",IF(HR_Data[[#This Row],[PercentSalaryHike]]&lt;=16,"14-16%",IF(HR_Data[[#This Row],[PercentSalaryHike]]&lt;=19,"17-19%","20-25%")))</f>
        <v>11-13%</v>
      </c>
      <c r="AP176" s="1">
        <f>IF(HR_Data[[#This Row],[PercentSalaryHike]]&lt;=13,1,IF(HR_Data[[#This Row],[PercentSalaryHike]]&lt;=16,2,IF(HR_Data[[#This Row],[PercentSalaryHike]]&lt;=19,3,4)))</f>
        <v>1</v>
      </c>
      <c r="AQ176" s="1" t="str">
        <f>IF(HR_Data[[#This Row],[DistanceFromHome]]&lt;=5,"1 to 5",IF(HR_Data[[#This Row],[DistanceFromHome]]&lt;=10,"6 to 10",IF(HR_Data[[#This Row],[DistanceFromHome]]&lt;=20,"11 to 20","21 to 29")))</f>
        <v>1 to 5</v>
      </c>
      <c r="AR176" s="1">
        <f>IF(HR_Data[[#This Row],[DistanceFromHome]]&lt;=5,1,IF(HR_Data[[#This Row],[DistanceFromHome]]&lt;=10,2,IF(HR_Data[[#This Row],[DistanceFromHome]]&lt;=20,3,4)))</f>
        <v>1</v>
      </c>
      <c r="AS176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76" s="1">
        <f>IF(HR_Data[[#This Row],[TotalWorkingYears]]&lt;=5,1,IF(HR_Data[[#This Row],[TotalWorkingYears]]&lt;=10,2,IF(HR_Data[[#This Row],[TotalWorkingYears]]&lt;=20,3,4)))</f>
        <v>2</v>
      </c>
    </row>
    <row r="177" spans="1:46" x14ac:dyDescent="0.25">
      <c r="A177">
        <v>56</v>
      </c>
      <c r="B177" t="s">
        <v>36</v>
      </c>
      <c r="C177" t="s">
        <v>30</v>
      </c>
      <c r="D177" t="s">
        <v>38</v>
      </c>
      <c r="E177">
        <v>8</v>
      </c>
      <c r="F177">
        <v>3</v>
      </c>
      <c r="G177" t="s">
        <v>32</v>
      </c>
      <c r="H177">
        <v>241</v>
      </c>
      <c r="I177">
        <v>3</v>
      </c>
      <c r="J177" t="s">
        <v>33</v>
      </c>
      <c r="K177">
        <v>3</v>
      </c>
      <c r="L177">
        <v>1</v>
      </c>
      <c r="M177" t="s">
        <v>40</v>
      </c>
      <c r="N177">
        <v>1</v>
      </c>
      <c r="O177" t="s">
        <v>45</v>
      </c>
      <c r="P177">
        <v>4257</v>
      </c>
      <c r="Q177">
        <v>4</v>
      </c>
      <c r="R177" t="s">
        <v>29</v>
      </c>
      <c r="S177">
        <v>18</v>
      </c>
      <c r="T177">
        <v>3</v>
      </c>
      <c r="U177">
        <v>3</v>
      </c>
      <c r="V177">
        <v>1</v>
      </c>
      <c r="W177">
        <v>19</v>
      </c>
      <c r="X177">
        <v>3</v>
      </c>
      <c r="Y177">
        <v>3</v>
      </c>
      <c r="Z177">
        <v>2</v>
      </c>
      <c r="AA177">
        <v>2</v>
      </c>
      <c r="AB177">
        <v>2</v>
      </c>
      <c r="AC177">
        <v>2</v>
      </c>
      <c r="AD177">
        <f>IF(HR_Data[[#This Row],[Attrition]]="Yes",1,0)</f>
        <v>0</v>
      </c>
      <c r="AE177" t="str">
        <f>IF(HR_Data[[#This Row],[Age]]&lt;=25,"18-25",IF(HR_Data[[#This Row],[Age]]&lt;=35,"26-35",IF(HR_Data[[#This Row],[Age]]&lt;=45,"36-45",IF(HR_Data[[#This Row],[Age]]&lt;=55,"46-55","55+"))))</f>
        <v>55+</v>
      </c>
      <c r="AF177">
        <f>IF(HR_Data[[#This Row],[Age]]&lt;=25,1,IF(HR_Data[[#This Row],[Age]]&lt;=35,2,IF(HR_Data[[#This Row],[Age]]&lt;=45,3,IF(HR_Data[[#This Row],[Age]]&lt;=55,4,5))))</f>
        <v>5</v>
      </c>
      <c r="AG177" s="1" t="str">
        <f>IF(HR_Data[[#This Row],[MonthlyIncome]]&lt;3000,"&lt;3K",IF(HR_Data[[#This Row],[MonthlyIncome]]&lt;6000,"3K-6K",IF(HR_Data[[#This Row],[MonthlyIncome]]&lt;10000,"6K-10K","10K+")))</f>
        <v>3K-6K</v>
      </c>
      <c r="AH177" s="1">
        <f>IF(HR_Data[[#This Row],[MonthlyIncome]]&lt;3000,1,IF(HR_Data[[#This Row],[MonthlyIncome]]&lt;6000,2,IF(HR_Data[[#This Row],[MonthlyIncome]]&lt;10000,3,4)))</f>
        <v>2</v>
      </c>
      <c r="AI177" s="1" t="str">
        <f>IF(HR_Data[[#This Row],[YearsAtCompany]]&lt;=2,"0-2 Yrs",IF(HR_Data[[#This Row],[YearsAtCompany]]&lt;=5,"3-5 Yrs",IF(HR_Data[[#This Row],[YearsAtCompany]]&lt;=10,"6-10 Yrs","10+ Yrs")))</f>
        <v>0-2 Yrs</v>
      </c>
      <c r="AJ177" s="1">
        <f>IF(HR_Data[[#This Row],[YearsAtCompany]]&lt;=2,1,IF(HR_Data[[#This Row],[YearsAtCompany]]&lt;=5,2,IF(HR_Data[[#This Row],[YearsAtCompany]]&lt;=10,3,4)))</f>
        <v>1</v>
      </c>
      <c r="AK177" s="1" t="str">
        <f>CHOOSE(HR_Data[[#This Row],[Education]],"Below College","College","Bachelor","Master","Doctor")</f>
        <v>Bachelor</v>
      </c>
      <c r="AL177" s="1" t="str">
        <f>CHOOSE(HR_Data[[#This Row],[JobSatisfaction]],"Low","Medium","High","Very High")</f>
        <v>Low</v>
      </c>
      <c r="AM177" s="1" t="str">
        <f>CHOOSE(HR_Data[[#This Row],[EnvironmentSatisfaction]],"Low","Medium","High","Very High")</f>
        <v>High</v>
      </c>
      <c r="AN177" s="1" t="str">
        <f>CHOOSE(HR_Data[[#This Row],[WorkLifeBalance]],"Bad","Good","Better","Best")</f>
        <v>Better</v>
      </c>
      <c r="AO177" s="1" t="str">
        <f>IF(HR_Data[[#This Row],[PercentSalaryHike]]&lt;=13,"11-13%",IF(HR_Data[[#This Row],[PercentSalaryHike]]&lt;=16,"14-16%",IF(HR_Data[[#This Row],[PercentSalaryHike]]&lt;=19,"17-19%","20-25%")))</f>
        <v>17-19%</v>
      </c>
      <c r="AP177" s="1">
        <f>IF(HR_Data[[#This Row],[PercentSalaryHike]]&lt;=13,1,IF(HR_Data[[#This Row],[PercentSalaryHike]]&lt;=16,2,IF(HR_Data[[#This Row],[PercentSalaryHike]]&lt;=19,3,4)))</f>
        <v>3</v>
      </c>
      <c r="AQ177" s="1" t="str">
        <f>IF(HR_Data[[#This Row],[DistanceFromHome]]&lt;=5,"1 to 5",IF(HR_Data[[#This Row],[DistanceFromHome]]&lt;=10,"6 to 10",IF(HR_Data[[#This Row],[DistanceFromHome]]&lt;=20,"11 to 20","21 to 29")))</f>
        <v>6 to 10</v>
      </c>
      <c r="AR177" s="1">
        <f>IF(HR_Data[[#This Row],[DistanceFromHome]]&lt;=5,1,IF(HR_Data[[#This Row],[DistanceFromHome]]&lt;=10,2,IF(HR_Data[[#This Row],[DistanceFromHome]]&lt;=20,3,4)))</f>
        <v>2</v>
      </c>
      <c r="AS177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77" s="1">
        <f>IF(HR_Data[[#This Row],[TotalWorkingYears]]&lt;=5,1,IF(HR_Data[[#This Row],[TotalWorkingYears]]&lt;=10,2,IF(HR_Data[[#This Row],[TotalWorkingYears]]&lt;=20,3,4)))</f>
        <v>3</v>
      </c>
    </row>
    <row r="178" spans="1:46" x14ac:dyDescent="0.25">
      <c r="A178">
        <v>33</v>
      </c>
      <c r="B178" t="s">
        <v>36</v>
      </c>
      <c r="C178" t="s">
        <v>30</v>
      </c>
      <c r="D178" t="s">
        <v>38</v>
      </c>
      <c r="E178">
        <v>2</v>
      </c>
      <c r="F178">
        <v>3</v>
      </c>
      <c r="G178" t="s">
        <v>32</v>
      </c>
      <c r="H178">
        <v>242</v>
      </c>
      <c r="I178">
        <v>3</v>
      </c>
      <c r="J178" t="s">
        <v>39</v>
      </c>
      <c r="K178">
        <v>3</v>
      </c>
      <c r="L178">
        <v>1</v>
      </c>
      <c r="M178" t="s">
        <v>40</v>
      </c>
      <c r="N178">
        <v>4</v>
      </c>
      <c r="O178" t="s">
        <v>35</v>
      </c>
      <c r="P178">
        <v>2500</v>
      </c>
      <c r="Q178">
        <v>0</v>
      </c>
      <c r="R178" t="s">
        <v>36</v>
      </c>
      <c r="S178">
        <v>14</v>
      </c>
      <c r="T178">
        <v>3</v>
      </c>
      <c r="U178">
        <v>1</v>
      </c>
      <c r="V178">
        <v>0</v>
      </c>
      <c r="W178">
        <v>4</v>
      </c>
      <c r="X178">
        <v>2</v>
      </c>
      <c r="Y178">
        <v>4</v>
      </c>
      <c r="Z178">
        <v>3</v>
      </c>
      <c r="AA178">
        <v>1</v>
      </c>
      <c r="AB178">
        <v>0</v>
      </c>
      <c r="AC178">
        <v>2</v>
      </c>
      <c r="AD178">
        <f>IF(HR_Data[[#This Row],[Attrition]]="Yes",1,0)</f>
        <v>0</v>
      </c>
      <c r="AE178" t="str">
        <f>IF(HR_Data[[#This Row],[Age]]&lt;=25,"18-25",IF(HR_Data[[#This Row],[Age]]&lt;=35,"26-35",IF(HR_Data[[#This Row],[Age]]&lt;=45,"36-45",IF(HR_Data[[#This Row],[Age]]&lt;=55,"46-55","55+"))))</f>
        <v>26-35</v>
      </c>
      <c r="AF178">
        <f>IF(HR_Data[[#This Row],[Age]]&lt;=25,1,IF(HR_Data[[#This Row],[Age]]&lt;=35,2,IF(HR_Data[[#This Row],[Age]]&lt;=45,3,IF(HR_Data[[#This Row],[Age]]&lt;=55,4,5))))</f>
        <v>2</v>
      </c>
      <c r="AG178" s="1" t="str">
        <f>IF(HR_Data[[#This Row],[MonthlyIncome]]&lt;3000,"&lt;3K",IF(HR_Data[[#This Row],[MonthlyIncome]]&lt;6000,"3K-6K",IF(HR_Data[[#This Row],[MonthlyIncome]]&lt;10000,"6K-10K","10K+")))</f>
        <v>&lt;3K</v>
      </c>
      <c r="AH178" s="1">
        <f>IF(HR_Data[[#This Row],[MonthlyIncome]]&lt;3000,1,IF(HR_Data[[#This Row],[MonthlyIncome]]&lt;6000,2,IF(HR_Data[[#This Row],[MonthlyIncome]]&lt;10000,3,4)))</f>
        <v>1</v>
      </c>
      <c r="AI178" s="1" t="str">
        <f>IF(HR_Data[[#This Row],[YearsAtCompany]]&lt;=2,"0-2 Yrs",IF(HR_Data[[#This Row],[YearsAtCompany]]&lt;=5,"3-5 Yrs",IF(HR_Data[[#This Row],[YearsAtCompany]]&lt;=10,"6-10 Yrs","10+ Yrs")))</f>
        <v>3-5 Yrs</v>
      </c>
      <c r="AJ178" s="1">
        <f>IF(HR_Data[[#This Row],[YearsAtCompany]]&lt;=2,1,IF(HR_Data[[#This Row],[YearsAtCompany]]&lt;=5,2,IF(HR_Data[[#This Row],[YearsAtCompany]]&lt;=10,3,4)))</f>
        <v>2</v>
      </c>
      <c r="AK178" s="1" t="str">
        <f>CHOOSE(HR_Data[[#This Row],[Education]],"Below College","College","Bachelor","Master","Doctor")</f>
        <v>Bachelor</v>
      </c>
      <c r="AL178" s="1" t="str">
        <f>CHOOSE(HR_Data[[#This Row],[JobSatisfaction]],"Low","Medium","High","Very High")</f>
        <v>Very High</v>
      </c>
      <c r="AM178" s="1" t="str">
        <f>CHOOSE(HR_Data[[#This Row],[EnvironmentSatisfaction]],"Low","Medium","High","Very High")</f>
        <v>High</v>
      </c>
      <c r="AN178" s="1" t="str">
        <f>CHOOSE(HR_Data[[#This Row],[WorkLifeBalance]],"Bad","Good","Better","Best")</f>
        <v>Best</v>
      </c>
      <c r="AO178" s="1" t="str">
        <f>IF(HR_Data[[#This Row],[PercentSalaryHike]]&lt;=13,"11-13%",IF(HR_Data[[#This Row],[PercentSalaryHike]]&lt;=16,"14-16%",IF(HR_Data[[#This Row],[PercentSalaryHike]]&lt;=19,"17-19%","20-25%")))</f>
        <v>14-16%</v>
      </c>
      <c r="AP178" s="1">
        <f>IF(HR_Data[[#This Row],[PercentSalaryHike]]&lt;=13,1,IF(HR_Data[[#This Row],[PercentSalaryHike]]&lt;=16,2,IF(HR_Data[[#This Row],[PercentSalaryHike]]&lt;=19,3,4)))</f>
        <v>2</v>
      </c>
      <c r="AQ178" s="1" t="str">
        <f>IF(HR_Data[[#This Row],[DistanceFromHome]]&lt;=5,"1 to 5",IF(HR_Data[[#This Row],[DistanceFromHome]]&lt;=10,"6 to 10",IF(HR_Data[[#This Row],[DistanceFromHome]]&lt;=20,"11 to 20","21 to 29")))</f>
        <v>1 to 5</v>
      </c>
      <c r="AR178" s="1">
        <f>IF(HR_Data[[#This Row],[DistanceFromHome]]&lt;=5,1,IF(HR_Data[[#This Row],[DistanceFromHome]]&lt;=10,2,IF(HR_Data[[#This Row],[DistanceFromHome]]&lt;=20,3,4)))</f>
        <v>1</v>
      </c>
      <c r="AS178" s="1" t="str">
        <f>IF(HR_Data[[#This Row],[TotalWorkingYears]]&lt;=5,"0-5 Yrs",IF(HR_Data[[#This Row],[TotalWorkingYears]]&lt;=10,"6-10 Yrs",IF(HR_Data[[#This Row],[TotalWorkingYears]]&lt;=20,"11-20 Yrs","20+ Yrs")))</f>
        <v>0-5 Yrs</v>
      </c>
      <c r="AT178" s="1">
        <f>IF(HR_Data[[#This Row],[TotalWorkingYears]]&lt;=5,1,IF(HR_Data[[#This Row],[TotalWorkingYears]]&lt;=10,2,IF(HR_Data[[#This Row],[TotalWorkingYears]]&lt;=20,3,4)))</f>
        <v>1</v>
      </c>
    </row>
    <row r="179" spans="1:46" x14ac:dyDescent="0.25">
      <c r="A179">
        <v>19</v>
      </c>
      <c r="B179" t="s">
        <v>29</v>
      </c>
      <c r="C179" t="s">
        <v>30</v>
      </c>
      <c r="D179" t="s">
        <v>38</v>
      </c>
      <c r="E179">
        <v>2</v>
      </c>
      <c r="F179">
        <v>3</v>
      </c>
      <c r="G179" t="s">
        <v>32</v>
      </c>
      <c r="H179">
        <v>243</v>
      </c>
      <c r="I179">
        <v>2</v>
      </c>
      <c r="J179" t="s">
        <v>39</v>
      </c>
      <c r="K179">
        <v>2</v>
      </c>
      <c r="L179">
        <v>1</v>
      </c>
      <c r="M179" t="s">
        <v>43</v>
      </c>
      <c r="N179">
        <v>4</v>
      </c>
      <c r="O179" t="s">
        <v>35</v>
      </c>
      <c r="P179">
        <v>1102</v>
      </c>
      <c r="Q179">
        <v>1</v>
      </c>
      <c r="R179" t="s">
        <v>36</v>
      </c>
      <c r="S179">
        <v>22</v>
      </c>
      <c r="T179">
        <v>4</v>
      </c>
      <c r="U179">
        <v>3</v>
      </c>
      <c r="V179">
        <v>0</v>
      </c>
      <c r="W179">
        <v>1</v>
      </c>
      <c r="X179">
        <v>3</v>
      </c>
      <c r="Y179">
        <v>2</v>
      </c>
      <c r="Z179">
        <v>1</v>
      </c>
      <c r="AA179">
        <v>0</v>
      </c>
      <c r="AB179">
        <v>1</v>
      </c>
      <c r="AC179">
        <v>0</v>
      </c>
      <c r="AD179">
        <f>IF(HR_Data[[#This Row],[Attrition]]="Yes",1,0)</f>
        <v>1</v>
      </c>
      <c r="AE179" t="str">
        <f>IF(HR_Data[[#This Row],[Age]]&lt;=25,"18-25",IF(HR_Data[[#This Row],[Age]]&lt;=35,"26-35",IF(HR_Data[[#This Row],[Age]]&lt;=45,"36-45",IF(HR_Data[[#This Row],[Age]]&lt;=55,"46-55","55+"))))</f>
        <v>18-25</v>
      </c>
      <c r="AF179">
        <f>IF(HR_Data[[#This Row],[Age]]&lt;=25,1,IF(HR_Data[[#This Row],[Age]]&lt;=35,2,IF(HR_Data[[#This Row],[Age]]&lt;=45,3,IF(HR_Data[[#This Row],[Age]]&lt;=55,4,5))))</f>
        <v>1</v>
      </c>
      <c r="AG179" s="1" t="str">
        <f>IF(HR_Data[[#This Row],[MonthlyIncome]]&lt;3000,"&lt;3K",IF(HR_Data[[#This Row],[MonthlyIncome]]&lt;6000,"3K-6K",IF(HR_Data[[#This Row],[MonthlyIncome]]&lt;10000,"6K-10K","10K+")))</f>
        <v>&lt;3K</v>
      </c>
      <c r="AH179" s="1">
        <f>IF(HR_Data[[#This Row],[MonthlyIncome]]&lt;3000,1,IF(HR_Data[[#This Row],[MonthlyIncome]]&lt;6000,2,IF(HR_Data[[#This Row],[MonthlyIncome]]&lt;10000,3,4)))</f>
        <v>1</v>
      </c>
      <c r="AI179" s="1" t="str">
        <f>IF(HR_Data[[#This Row],[YearsAtCompany]]&lt;=2,"0-2 Yrs",IF(HR_Data[[#This Row],[YearsAtCompany]]&lt;=5,"3-5 Yrs",IF(HR_Data[[#This Row],[YearsAtCompany]]&lt;=10,"6-10 Yrs","10+ Yrs")))</f>
        <v>0-2 Yrs</v>
      </c>
      <c r="AJ179" s="1">
        <f>IF(HR_Data[[#This Row],[YearsAtCompany]]&lt;=2,1,IF(HR_Data[[#This Row],[YearsAtCompany]]&lt;=5,2,IF(HR_Data[[#This Row],[YearsAtCompany]]&lt;=10,3,4)))</f>
        <v>1</v>
      </c>
      <c r="AK179" s="1" t="str">
        <f>CHOOSE(HR_Data[[#This Row],[Education]],"Below College","College","Bachelor","Master","Doctor")</f>
        <v>Bachelor</v>
      </c>
      <c r="AL179" s="1" t="str">
        <f>CHOOSE(HR_Data[[#This Row],[JobSatisfaction]],"Low","Medium","High","Very High")</f>
        <v>Very High</v>
      </c>
      <c r="AM179" s="1" t="str">
        <f>CHOOSE(HR_Data[[#This Row],[EnvironmentSatisfaction]],"Low","Medium","High","Very High")</f>
        <v>Medium</v>
      </c>
      <c r="AN179" s="1" t="str">
        <f>CHOOSE(HR_Data[[#This Row],[WorkLifeBalance]],"Bad","Good","Better","Best")</f>
        <v>Good</v>
      </c>
      <c r="AO179" s="1" t="str">
        <f>IF(HR_Data[[#This Row],[PercentSalaryHike]]&lt;=13,"11-13%",IF(HR_Data[[#This Row],[PercentSalaryHike]]&lt;=16,"14-16%",IF(HR_Data[[#This Row],[PercentSalaryHike]]&lt;=19,"17-19%","20-25%")))</f>
        <v>20-25%</v>
      </c>
      <c r="AP179" s="1">
        <f>IF(HR_Data[[#This Row],[PercentSalaryHike]]&lt;=13,1,IF(HR_Data[[#This Row],[PercentSalaryHike]]&lt;=16,2,IF(HR_Data[[#This Row],[PercentSalaryHike]]&lt;=19,3,4)))</f>
        <v>4</v>
      </c>
      <c r="AQ179" s="1" t="str">
        <f>IF(HR_Data[[#This Row],[DistanceFromHome]]&lt;=5,"1 to 5",IF(HR_Data[[#This Row],[DistanceFromHome]]&lt;=10,"6 to 10",IF(HR_Data[[#This Row],[DistanceFromHome]]&lt;=20,"11 to 20","21 to 29")))</f>
        <v>1 to 5</v>
      </c>
      <c r="AR179" s="1">
        <f>IF(HR_Data[[#This Row],[DistanceFromHome]]&lt;=5,1,IF(HR_Data[[#This Row],[DistanceFromHome]]&lt;=10,2,IF(HR_Data[[#This Row],[DistanceFromHome]]&lt;=20,3,4)))</f>
        <v>1</v>
      </c>
      <c r="AS179" s="1" t="str">
        <f>IF(HR_Data[[#This Row],[TotalWorkingYears]]&lt;=5,"0-5 Yrs",IF(HR_Data[[#This Row],[TotalWorkingYears]]&lt;=10,"6-10 Yrs",IF(HR_Data[[#This Row],[TotalWorkingYears]]&lt;=20,"11-20 Yrs","20+ Yrs")))</f>
        <v>0-5 Yrs</v>
      </c>
      <c r="AT179" s="1">
        <f>IF(HR_Data[[#This Row],[TotalWorkingYears]]&lt;=5,1,IF(HR_Data[[#This Row],[TotalWorkingYears]]&lt;=10,2,IF(HR_Data[[#This Row],[TotalWorkingYears]]&lt;=20,3,4)))</f>
        <v>1</v>
      </c>
    </row>
    <row r="180" spans="1:46" x14ac:dyDescent="0.25">
      <c r="A180">
        <v>46</v>
      </c>
      <c r="B180" t="s">
        <v>36</v>
      </c>
      <c r="C180" t="s">
        <v>30</v>
      </c>
      <c r="D180" t="s">
        <v>31</v>
      </c>
      <c r="E180">
        <v>1</v>
      </c>
      <c r="F180">
        <v>2</v>
      </c>
      <c r="G180" t="s">
        <v>52</v>
      </c>
      <c r="H180">
        <v>244</v>
      </c>
      <c r="I180">
        <v>2</v>
      </c>
      <c r="J180" t="s">
        <v>33</v>
      </c>
      <c r="K180">
        <v>3</v>
      </c>
      <c r="L180">
        <v>3</v>
      </c>
      <c r="M180" t="s">
        <v>34</v>
      </c>
      <c r="N180">
        <v>1</v>
      </c>
      <c r="O180" t="s">
        <v>45</v>
      </c>
      <c r="P180">
        <v>10453</v>
      </c>
      <c r="Q180">
        <v>1</v>
      </c>
      <c r="R180" t="s">
        <v>36</v>
      </c>
      <c r="S180">
        <v>25</v>
      </c>
      <c r="T180">
        <v>4</v>
      </c>
      <c r="U180">
        <v>3</v>
      </c>
      <c r="V180">
        <v>3</v>
      </c>
      <c r="W180">
        <v>24</v>
      </c>
      <c r="X180">
        <v>2</v>
      </c>
      <c r="Y180">
        <v>3</v>
      </c>
      <c r="Z180">
        <v>24</v>
      </c>
      <c r="AA180">
        <v>13</v>
      </c>
      <c r="AB180">
        <v>15</v>
      </c>
      <c r="AC180">
        <v>7</v>
      </c>
      <c r="AD180">
        <f>IF(HR_Data[[#This Row],[Attrition]]="Yes",1,0)</f>
        <v>0</v>
      </c>
      <c r="AE180" t="str">
        <f>IF(HR_Data[[#This Row],[Age]]&lt;=25,"18-25",IF(HR_Data[[#This Row],[Age]]&lt;=35,"26-35",IF(HR_Data[[#This Row],[Age]]&lt;=45,"36-45",IF(HR_Data[[#This Row],[Age]]&lt;=55,"46-55","55+"))))</f>
        <v>46-55</v>
      </c>
      <c r="AF180">
        <f>IF(HR_Data[[#This Row],[Age]]&lt;=25,1,IF(HR_Data[[#This Row],[Age]]&lt;=35,2,IF(HR_Data[[#This Row],[Age]]&lt;=45,3,IF(HR_Data[[#This Row],[Age]]&lt;=55,4,5))))</f>
        <v>4</v>
      </c>
      <c r="AG180" s="1" t="str">
        <f>IF(HR_Data[[#This Row],[MonthlyIncome]]&lt;3000,"&lt;3K",IF(HR_Data[[#This Row],[MonthlyIncome]]&lt;6000,"3K-6K",IF(HR_Data[[#This Row],[MonthlyIncome]]&lt;10000,"6K-10K","10K+")))</f>
        <v>10K+</v>
      </c>
      <c r="AH180" s="1">
        <f>IF(HR_Data[[#This Row],[MonthlyIncome]]&lt;3000,1,IF(HR_Data[[#This Row],[MonthlyIncome]]&lt;6000,2,IF(HR_Data[[#This Row],[MonthlyIncome]]&lt;10000,3,4)))</f>
        <v>4</v>
      </c>
      <c r="AI180" s="1" t="str">
        <f>IF(HR_Data[[#This Row],[YearsAtCompany]]&lt;=2,"0-2 Yrs",IF(HR_Data[[#This Row],[YearsAtCompany]]&lt;=5,"3-5 Yrs",IF(HR_Data[[#This Row],[YearsAtCompany]]&lt;=10,"6-10 Yrs","10+ Yrs")))</f>
        <v>10+ Yrs</v>
      </c>
      <c r="AJ180" s="1">
        <f>IF(HR_Data[[#This Row],[YearsAtCompany]]&lt;=2,1,IF(HR_Data[[#This Row],[YearsAtCompany]]&lt;=5,2,IF(HR_Data[[#This Row],[YearsAtCompany]]&lt;=10,3,4)))</f>
        <v>4</v>
      </c>
      <c r="AK180" s="1" t="str">
        <f>CHOOSE(HR_Data[[#This Row],[Education]],"Below College","College","Bachelor","Master","Doctor")</f>
        <v>College</v>
      </c>
      <c r="AL180" s="1" t="str">
        <f>CHOOSE(HR_Data[[#This Row],[JobSatisfaction]],"Low","Medium","High","Very High")</f>
        <v>Low</v>
      </c>
      <c r="AM180" s="1" t="str">
        <f>CHOOSE(HR_Data[[#This Row],[EnvironmentSatisfaction]],"Low","Medium","High","Very High")</f>
        <v>Medium</v>
      </c>
      <c r="AN180" s="1" t="str">
        <f>CHOOSE(HR_Data[[#This Row],[WorkLifeBalance]],"Bad","Good","Better","Best")</f>
        <v>Better</v>
      </c>
      <c r="AO180" s="1" t="str">
        <f>IF(HR_Data[[#This Row],[PercentSalaryHike]]&lt;=13,"11-13%",IF(HR_Data[[#This Row],[PercentSalaryHike]]&lt;=16,"14-16%",IF(HR_Data[[#This Row],[PercentSalaryHike]]&lt;=19,"17-19%","20-25%")))</f>
        <v>20-25%</v>
      </c>
      <c r="AP180" s="1">
        <f>IF(HR_Data[[#This Row],[PercentSalaryHike]]&lt;=13,1,IF(HR_Data[[#This Row],[PercentSalaryHike]]&lt;=16,2,IF(HR_Data[[#This Row],[PercentSalaryHike]]&lt;=19,3,4)))</f>
        <v>4</v>
      </c>
      <c r="AQ180" s="1" t="str">
        <f>IF(HR_Data[[#This Row],[DistanceFromHome]]&lt;=5,"1 to 5",IF(HR_Data[[#This Row],[DistanceFromHome]]&lt;=10,"6 to 10",IF(HR_Data[[#This Row],[DistanceFromHome]]&lt;=20,"11 to 20","21 to 29")))</f>
        <v>1 to 5</v>
      </c>
      <c r="AR180" s="1">
        <f>IF(HR_Data[[#This Row],[DistanceFromHome]]&lt;=5,1,IF(HR_Data[[#This Row],[DistanceFromHome]]&lt;=10,2,IF(HR_Data[[#This Row],[DistanceFromHome]]&lt;=20,3,4)))</f>
        <v>1</v>
      </c>
      <c r="AS180" s="1" t="str">
        <f>IF(HR_Data[[#This Row],[TotalWorkingYears]]&lt;=5,"0-5 Yrs",IF(HR_Data[[#This Row],[TotalWorkingYears]]&lt;=10,"6-10 Yrs",IF(HR_Data[[#This Row],[TotalWorkingYears]]&lt;=20,"11-20 Yrs","20+ Yrs")))</f>
        <v>20+ Yrs</v>
      </c>
      <c r="AT180" s="1">
        <f>IF(HR_Data[[#This Row],[TotalWorkingYears]]&lt;=5,1,IF(HR_Data[[#This Row],[TotalWorkingYears]]&lt;=10,2,IF(HR_Data[[#This Row],[TotalWorkingYears]]&lt;=20,3,4)))</f>
        <v>4</v>
      </c>
    </row>
    <row r="181" spans="1:46" x14ac:dyDescent="0.25">
      <c r="A181">
        <v>38</v>
      </c>
      <c r="B181" t="s">
        <v>36</v>
      </c>
      <c r="C181" t="s">
        <v>30</v>
      </c>
      <c r="D181" t="s">
        <v>38</v>
      </c>
      <c r="E181">
        <v>9</v>
      </c>
      <c r="F181">
        <v>2</v>
      </c>
      <c r="G181" t="s">
        <v>32</v>
      </c>
      <c r="H181">
        <v>245</v>
      </c>
      <c r="I181">
        <v>3</v>
      </c>
      <c r="J181" t="s">
        <v>33</v>
      </c>
      <c r="K181">
        <v>3</v>
      </c>
      <c r="L181">
        <v>1</v>
      </c>
      <c r="M181" t="s">
        <v>43</v>
      </c>
      <c r="N181">
        <v>4</v>
      </c>
      <c r="O181" t="s">
        <v>35</v>
      </c>
      <c r="P181">
        <v>2288</v>
      </c>
      <c r="Q181">
        <v>1</v>
      </c>
      <c r="R181" t="s">
        <v>36</v>
      </c>
      <c r="S181">
        <v>12</v>
      </c>
      <c r="T181">
        <v>3</v>
      </c>
      <c r="U181">
        <v>3</v>
      </c>
      <c r="V181">
        <v>0</v>
      </c>
      <c r="W181">
        <v>2</v>
      </c>
      <c r="X181">
        <v>3</v>
      </c>
      <c r="Y181">
        <v>3</v>
      </c>
      <c r="Z181">
        <v>2</v>
      </c>
      <c r="AA181">
        <v>2</v>
      </c>
      <c r="AB181">
        <v>2</v>
      </c>
      <c r="AC181">
        <v>1</v>
      </c>
      <c r="AD181">
        <f>IF(HR_Data[[#This Row],[Attrition]]="Yes",1,0)</f>
        <v>0</v>
      </c>
      <c r="AE181" t="str">
        <f>IF(HR_Data[[#This Row],[Age]]&lt;=25,"18-25",IF(HR_Data[[#This Row],[Age]]&lt;=35,"26-35",IF(HR_Data[[#This Row],[Age]]&lt;=45,"36-45",IF(HR_Data[[#This Row],[Age]]&lt;=55,"46-55","55+"))))</f>
        <v>36-45</v>
      </c>
      <c r="AF181">
        <f>IF(HR_Data[[#This Row],[Age]]&lt;=25,1,IF(HR_Data[[#This Row],[Age]]&lt;=35,2,IF(HR_Data[[#This Row],[Age]]&lt;=45,3,IF(HR_Data[[#This Row],[Age]]&lt;=55,4,5))))</f>
        <v>3</v>
      </c>
      <c r="AG181" s="1" t="str">
        <f>IF(HR_Data[[#This Row],[MonthlyIncome]]&lt;3000,"&lt;3K",IF(HR_Data[[#This Row],[MonthlyIncome]]&lt;6000,"3K-6K",IF(HR_Data[[#This Row],[MonthlyIncome]]&lt;10000,"6K-10K","10K+")))</f>
        <v>&lt;3K</v>
      </c>
      <c r="AH181" s="1">
        <f>IF(HR_Data[[#This Row],[MonthlyIncome]]&lt;3000,1,IF(HR_Data[[#This Row],[MonthlyIncome]]&lt;6000,2,IF(HR_Data[[#This Row],[MonthlyIncome]]&lt;10000,3,4)))</f>
        <v>1</v>
      </c>
      <c r="AI181" s="1" t="str">
        <f>IF(HR_Data[[#This Row],[YearsAtCompany]]&lt;=2,"0-2 Yrs",IF(HR_Data[[#This Row],[YearsAtCompany]]&lt;=5,"3-5 Yrs",IF(HR_Data[[#This Row],[YearsAtCompany]]&lt;=10,"6-10 Yrs","10+ Yrs")))</f>
        <v>0-2 Yrs</v>
      </c>
      <c r="AJ181" s="1">
        <f>IF(HR_Data[[#This Row],[YearsAtCompany]]&lt;=2,1,IF(HR_Data[[#This Row],[YearsAtCompany]]&lt;=5,2,IF(HR_Data[[#This Row],[YearsAtCompany]]&lt;=10,3,4)))</f>
        <v>1</v>
      </c>
      <c r="AK181" s="1" t="str">
        <f>CHOOSE(HR_Data[[#This Row],[Education]],"Below College","College","Bachelor","Master","Doctor")</f>
        <v>College</v>
      </c>
      <c r="AL181" s="1" t="str">
        <f>CHOOSE(HR_Data[[#This Row],[JobSatisfaction]],"Low","Medium","High","Very High")</f>
        <v>Very High</v>
      </c>
      <c r="AM181" s="1" t="str">
        <f>CHOOSE(HR_Data[[#This Row],[EnvironmentSatisfaction]],"Low","Medium","High","Very High")</f>
        <v>High</v>
      </c>
      <c r="AN181" s="1" t="str">
        <f>CHOOSE(HR_Data[[#This Row],[WorkLifeBalance]],"Bad","Good","Better","Best")</f>
        <v>Better</v>
      </c>
      <c r="AO181" s="1" t="str">
        <f>IF(HR_Data[[#This Row],[PercentSalaryHike]]&lt;=13,"11-13%",IF(HR_Data[[#This Row],[PercentSalaryHike]]&lt;=16,"14-16%",IF(HR_Data[[#This Row],[PercentSalaryHike]]&lt;=19,"17-19%","20-25%")))</f>
        <v>11-13%</v>
      </c>
      <c r="AP181" s="1">
        <f>IF(HR_Data[[#This Row],[PercentSalaryHike]]&lt;=13,1,IF(HR_Data[[#This Row],[PercentSalaryHike]]&lt;=16,2,IF(HR_Data[[#This Row],[PercentSalaryHike]]&lt;=19,3,4)))</f>
        <v>1</v>
      </c>
      <c r="AQ181" s="1" t="str">
        <f>IF(HR_Data[[#This Row],[DistanceFromHome]]&lt;=5,"1 to 5",IF(HR_Data[[#This Row],[DistanceFromHome]]&lt;=10,"6 to 10",IF(HR_Data[[#This Row],[DistanceFromHome]]&lt;=20,"11 to 20","21 to 29")))</f>
        <v>6 to 10</v>
      </c>
      <c r="AR181" s="1">
        <f>IF(HR_Data[[#This Row],[DistanceFromHome]]&lt;=5,1,IF(HR_Data[[#This Row],[DistanceFromHome]]&lt;=10,2,IF(HR_Data[[#This Row],[DistanceFromHome]]&lt;=20,3,4)))</f>
        <v>2</v>
      </c>
      <c r="AS181" s="1" t="str">
        <f>IF(HR_Data[[#This Row],[TotalWorkingYears]]&lt;=5,"0-5 Yrs",IF(HR_Data[[#This Row],[TotalWorkingYears]]&lt;=10,"6-10 Yrs",IF(HR_Data[[#This Row],[TotalWorkingYears]]&lt;=20,"11-20 Yrs","20+ Yrs")))</f>
        <v>0-5 Yrs</v>
      </c>
      <c r="AT181" s="1">
        <f>IF(HR_Data[[#This Row],[TotalWorkingYears]]&lt;=5,1,IF(HR_Data[[#This Row],[TotalWorkingYears]]&lt;=10,2,IF(HR_Data[[#This Row],[TotalWorkingYears]]&lt;=20,3,4)))</f>
        <v>1</v>
      </c>
    </row>
    <row r="182" spans="1:46" x14ac:dyDescent="0.25">
      <c r="A182">
        <v>31</v>
      </c>
      <c r="B182" t="s">
        <v>36</v>
      </c>
      <c r="C182" t="s">
        <v>30</v>
      </c>
      <c r="D182" t="s">
        <v>38</v>
      </c>
      <c r="E182">
        <v>12</v>
      </c>
      <c r="F182">
        <v>1</v>
      </c>
      <c r="G182" t="s">
        <v>44</v>
      </c>
      <c r="H182">
        <v>246</v>
      </c>
      <c r="I182">
        <v>3</v>
      </c>
      <c r="J182" t="s">
        <v>33</v>
      </c>
      <c r="K182">
        <v>3</v>
      </c>
      <c r="L182">
        <v>1</v>
      </c>
      <c r="M182" t="s">
        <v>40</v>
      </c>
      <c r="N182">
        <v>4</v>
      </c>
      <c r="O182" t="s">
        <v>41</v>
      </c>
      <c r="P182">
        <v>3929</v>
      </c>
      <c r="Q182">
        <v>8</v>
      </c>
      <c r="R182" t="s">
        <v>29</v>
      </c>
      <c r="S182">
        <v>23</v>
      </c>
      <c r="T182">
        <v>4</v>
      </c>
      <c r="U182">
        <v>3</v>
      </c>
      <c r="V182">
        <v>1</v>
      </c>
      <c r="W182">
        <v>7</v>
      </c>
      <c r="X182">
        <v>0</v>
      </c>
      <c r="Y182">
        <v>3</v>
      </c>
      <c r="Z182">
        <v>4</v>
      </c>
      <c r="AA182">
        <v>2</v>
      </c>
      <c r="AB182">
        <v>0</v>
      </c>
      <c r="AC182">
        <v>2</v>
      </c>
      <c r="AD182">
        <f>IF(HR_Data[[#This Row],[Attrition]]="Yes",1,0)</f>
        <v>0</v>
      </c>
      <c r="AE182" t="str">
        <f>IF(HR_Data[[#This Row],[Age]]&lt;=25,"18-25",IF(HR_Data[[#This Row],[Age]]&lt;=35,"26-35",IF(HR_Data[[#This Row],[Age]]&lt;=45,"36-45",IF(HR_Data[[#This Row],[Age]]&lt;=55,"46-55","55+"))))</f>
        <v>26-35</v>
      </c>
      <c r="AF182">
        <f>IF(HR_Data[[#This Row],[Age]]&lt;=25,1,IF(HR_Data[[#This Row],[Age]]&lt;=35,2,IF(HR_Data[[#This Row],[Age]]&lt;=45,3,IF(HR_Data[[#This Row],[Age]]&lt;=55,4,5))))</f>
        <v>2</v>
      </c>
      <c r="AG182" s="1" t="str">
        <f>IF(HR_Data[[#This Row],[MonthlyIncome]]&lt;3000,"&lt;3K",IF(HR_Data[[#This Row],[MonthlyIncome]]&lt;6000,"3K-6K",IF(HR_Data[[#This Row],[MonthlyIncome]]&lt;10000,"6K-10K","10K+")))</f>
        <v>3K-6K</v>
      </c>
      <c r="AH182" s="1">
        <f>IF(HR_Data[[#This Row],[MonthlyIncome]]&lt;3000,1,IF(HR_Data[[#This Row],[MonthlyIncome]]&lt;6000,2,IF(HR_Data[[#This Row],[MonthlyIncome]]&lt;10000,3,4)))</f>
        <v>2</v>
      </c>
      <c r="AI182" s="1" t="str">
        <f>IF(HR_Data[[#This Row],[YearsAtCompany]]&lt;=2,"0-2 Yrs",IF(HR_Data[[#This Row],[YearsAtCompany]]&lt;=5,"3-5 Yrs",IF(HR_Data[[#This Row],[YearsAtCompany]]&lt;=10,"6-10 Yrs","10+ Yrs")))</f>
        <v>3-5 Yrs</v>
      </c>
      <c r="AJ182" s="1">
        <f>IF(HR_Data[[#This Row],[YearsAtCompany]]&lt;=2,1,IF(HR_Data[[#This Row],[YearsAtCompany]]&lt;=5,2,IF(HR_Data[[#This Row],[YearsAtCompany]]&lt;=10,3,4)))</f>
        <v>2</v>
      </c>
      <c r="AK182" s="1" t="str">
        <f>CHOOSE(HR_Data[[#This Row],[Education]],"Below College","College","Bachelor","Master","Doctor")</f>
        <v>Below College</v>
      </c>
      <c r="AL182" s="1" t="str">
        <f>CHOOSE(HR_Data[[#This Row],[JobSatisfaction]],"Low","Medium","High","Very High")</f>
        <v>Very High</v>
      </c>
      <c r="AM182" s="1" t="str">
        <f>CHOOSE(HR_Data[[#This Row],[EnvironmentSatisfaction]],"Low","Medium","High","Very High")</f>
        <v>High</v>
      </c>
      <c r="AN182" s="1" t="str">
        <f>CHOOSE(HR_Data[[#This Row],[WorkLifeBalance]],"Bad","Good","Better","Best")</f>
        <v>Better</v>
      </c>
      <c r="AO182" s="1" t="str">
        <f>IF(HR_Data[[#This Row],[PercentSalaryHike]]&lt;=13,"11-13%",IF(HR_Data[[#This Row],[PercentSalaryHike]]&lt;=16,"14-16%",IF(HR_Data[[#This Row],[PercentSalaryHike]]&lt;=19,"17-19%","20-25%")))</f>
        <v>20-25%</v>
      </c>
      <c r="AP182" s="1">
        <f>IF(HR_Data[[#This Row],[PercentSalaryHike]]&lt;=13,1,IF(HR_Data[[#This Row],[PercentSalaryHike]]&lt;=16,2,IF(HR_Data[[#This Row],[PercentSalaryHike]]&lt;=19,3,4)))</f>
        <v>4</v>
      </c>
      <c r="AQ182" s="1" t="str">
        <f>IF(HR_Data[[#This Row],[DistanceFromHome]]&lt;=5,"1 to 5",IF(HR_Data[[#This Row],[DistanceFromHome]]&lt;=10,"6 to 10",IF(HR_Data[[#This Row],[DistanceFromHome]]&lt;=20,"11 to 20","21 to 29")))</f>
        <v>11 to 20</v>
      </c>
      <c r="AR182" s="1">
        <f>IF(HR_Data[[#This Row],[DistanceFromHome]]&lt;=5,1,IF(HR_Data[[#This Row],[DistanceFromHome]]&lt;=10,2,IF(HR_Data[[#This Row],[DistanceFromHome]]&lt;=20,3,4)))</f>
        <v>3</v>
      </c>
      <c r="AS182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82" s="1">
        <f>IF(HR_Data[[#This Row],[TotalWorkingYears]]&lt;=5,1,IF(HR_Data[[#This Row],[TotalWorkingYears]]&lt;=10,2,IF(HR_Data[[#This Row],[TotalWorkingYears]]&lt;=20,3,4)))</f>
        <v>2</v>
      </c>
    </row>
    <row r="183" spans="1:46" x14ac:dyDescent="0.25">
      <c r="A183">
        <v>34</v>
      </c>
      <c r="B183" t="s">
        <v>36</v>
      </c>
      <c r="C183" t="s">
        <v>30</v>
      </c>
      <c r="D183" t="s">
        <v>38</v>
      </c>
      <c r="E183">
        <v>27</v>
      </c>
      <c r="F183">
        <v>2</v>
      </c>
      <c r="G183" t="s">
        <v>44</v>
      </c>
      <c r="H183">
        <v>247</v>
      </c>
      <c r="I183">
        <v>4</v>
      </c>
      <c r="J183" t="s">
        <v>33</v>
      </c>
      <c r="K183">
        <v>3</v>
      </c>
      <c r="L183">
        <v>1</v>
      </c>
      <c r="M183" t="s">
        <v>40</v>
      </c>
      <c r="N183">
        <v>2</v>
      </c>
      <c r="O183" t="s">
        <v>35</v>
      </c>
      <c r="P183">
        <v>2311</v>
      </c>
      <c r="Q183">
        <v>2</v>
      </c>
      <c r="R183" t="s">
        <v>36</v>
      </c>
      <c r="S183">
        <v>15</v>
      </c>
      <c r="T183">
        <v>3</v>
      </c>
      <c r="U183">
        <v>4</v>
      </c>
      <c r="V183">
        <v>0</v>
      </c>
      <c r="W183">
        <v>9</v>
      </c>
      <c r="X183">
        <v>3</v>
      </c>
      <c r="Y183">
        <v>3</v>
      </c>
      <c r="Z183">
        <v>3</v>
      </c>
      <c r="AA183">
        <v>2</v>
      </c>
      <c r="AB183">
        <v>1</v>
      </c>
      <c r="AC183">
        <v>2</v>
      </c>
      <c r="AD183">
        <f>IF(HR_Data[[#This Row],[Attrition]]="Yes",1,0)</f>
        <v>0</v>
      </c>
      <c r="AE183" t="str">
        <f>IF(HR_Data[[#This Row],[Age]]&lt;=25,"18-25",IF(HR_Data[[#This Row],[Age]]&lt;=35,"26-35",IF(HR_Data[[#This Row],[Age]]&lt;=45,"36-45",IF(HR_Data[[#This Row],[Age]]&lt;=55,"46-55","55+"))))</f>
        <v>26-35</v>
      </c>
      <c r="AF183">
        <f>IF(HR_Data[[#This Row],[Age]]&lt;=25,1,IF(HR_Data[[#This Row],[Age]]&lt;=35,2,IF(HR_Data[[#This Row],[Age]]&lt;=45,3,IF(HR_Data[[#This Row],[Age]]&lt;=55,4,5))))</f>
        <v>2</v>
      </c>
      <c r="AG183" s="1" t="str">
        <f>IF(HR_Data[[#This Row],[MonthlyIncome]]&lt;3000,"&lt;3K",IF(HR_Data[[#This Row],[MonthlyIncome]]&lt;6000,"3K-6K",IF(HR_Data[[#This Row],[MonthlyIncome]]&lt;10000,"6K-10K","10K+")))</f>
        <v>&lt;3K</v>
      </c>
      <c r="AH183" s="1">
        <f>IF(HR_Data[[#This Row],[MonthlyIncome]]&lt;3000,1,IF(HR_Data[[#This Row],[MonthlyIncome]]&lt;6000,2,IF(HR_Data[[#This Row],[MonthlyIncome]]&lt;10000,3,4)))</f>
        <v>1</v>
      </c>
      <c r="AI183" s="1" t="str">
        <f>IF(HR_Data[[#This Row],[YearsAtCompany]]&lt;=2,"0-2 Yrs",IF(HR_Data[[#This Row],[YearsAtCompany]]&lt;=5,"3-5 Yrs",IF(HR_Data[[#This Row],[YearsAtCompany]]&lt;=10,"6-10 Yrs","10+ Yrs")))</f>
        <v>3-5 Yrs</v>
      </c>
      <c r="AJ183" s="1">
        <f>IF(HR_Data[[#This Row],[YearsAtCompany]]&lt;=2,1,IF(HR_Data[[#This Row],[YearsAtCompany]]&lt;=5,2,IF(HR_Data[[#This Row],[YearsAtCompany]]&lt;=10,3,4)))</f>
        <v>2</v>
      </c>
      <c r="AK183" s="1" t="str">
        <f>CHOOSE(HR_Data[[#This Row],[Education]],"Below College","College","Bachelor","Master","Doctor")</f>
        <v>College</v>
      </c>
      <c r="AL183" s="1" t="str">
        <f>CHOOSE(HR_Data[[#This Row],[JobSatisfaction]],"Low","Medium","High","Very High")</f>
        <v>Medium</v>
      </c>
      <c r="AM183" s="1" t="str">
        <f>CHOOSE(HR_Data[[#This Row],[EnvironmentSatisfaction]],"Low","Medium","High","Very High")</f>
        <v>Very High</v>
      </c>
      <c r="AN183" s="1" t="str">
        <f>CHOOSE(HR_Data[[#This Row],[WorkLifeBalance]],"Bad","Good","Better","Best")</f>
        <v>Better</v>
      </c>
      <c r="AO183" s="1" t="str">
        <f>IF(HR_Data[[#This Row],[PercentSalaryHike]]&lt;=13,"11-13%",IF(HR_Data[[#This Row],[PercentSalaryHike]]&lt;=16,"14-16%",IF(HR_Data[[#This Row],[PercentSalaryHike]]&lt;=19,"17-19%","20-25%")))</f>
        <v>14-16%</v>
      </c>
      <c r="AP183" s="1">
        <f>IF(HR_Data[[#This Row],[PercentSalaryHike]]&lt;=13,1,IF(HR_Data[[#This Row],[PercentSalaryHike]]&lt;=16,2,IF(HR_Data[[#This Row],[PercentSalaryHike]]&lt;=19,3,4)))</f>
        <v>2</v>
      </c>
      <c r="AQ183" s="1" t="str">
        <f>IF(HR_Data[[#This Row],[DistanceFromHome]]&lt;=5,"1 to 5",IF(HR_Data[[#This Row],[DistanceFromHome]]&lt;=10,"6 to 10",IF(HR_Data[[#This Row],[DistanceFromHome]]&lt;=20,"11 to 20","21 to 29")))</f>
        <v>21 to 29</v>
      </c>
      <c r="AR183" s="1">
        <f>IF(HR_Data[[#This Row],[DistanceFromHome]]&lt;=5,1,IF(HR_Data[[#This Row],[DistanceFromHome]]&lt;=10,2,IF(HR_Data[[#This Row],[DistanceFromHome]]&lt;=20,3,4)))</f>
        <v>4</v>
      </c>
      <c r="AS183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83" s="1">
        <f>IF(HR_Data[[#This Row],[TotalWorkingYears]]&lt;=5,1,IF(HR_Data[[#This Row],[TotalWorkingYears]]&lt;=10,2,IF(HR_Data[[#This Row],[TotalWorkingYears]]&lt;=20,3,4)))</f>
        <v>2</v>
      </c>
    </row>
    <row r="184" spans="1:46" x14ac:dyDescent="0.25">
      <c r="A184">
        <v>41</v>
      </c>
      <c r="B184" t="s">
        <v>29</v>
      </c>
      <c r="C184" t="s">
        <v>30</v>
      </c>
      <c r="D184" t="s">
        <v>31</v>
      </c>
      <c r="E184">
        <v>20</v>
      </c>
      <c r="F184">
        <v>2</v>
      </c>
      <c r="G184" t="s">
        <v>52</v>
      </c>
      <c r="H184">
        <v>248</v>
      </c>
      <c r="I184">
        <v>2</v>
      </c>
      <c r="J184" t="s">
        <v>33</v>
      </c>
      <c r="K184">
        <v>3</v>
      </c>
      <c r="L184">
        <v>1</v>
      </c>
      <c r="M184" t="s">
        <v>50</v>
      </c>
      <c r="N184">
        <v>2</v>
      </c>
      <c r="O184" t="s">
        <v>35</v>
      </c>
      <c r="P184">
        <v>3140</v>
      </c>
      <c r="Q184">
        <v>1</v>
      </c>
      <c r="R184" t="s">
        <v>29</v>
      </c>
      <c r="S184">
        <v>22</v>
      </c>
      <c r="T184">
        <v>4</v>
      </c>
      <c r="U184">
        <v>4</v>
      </c>
      <c r="V184">
        <v>0</v>
      </c>
      <c r="W184">
        <v>4</v>
      </c>
      <c r="X184">
        <v>5</v>
      </c>
      <c r="Y184">
        <v>2</v>
      </c>
      <c r="Z184">
        <v>4</v>
      </c>
      <c r="AA184">
        <v>3</v>
      </c>
      <c r="AB184">
        <v>0</v>
      </c>
      <c r="AC184">
        <v>2</v>
      </c>
      <c r="AD184">
        <f>IF(HR_Data[[#This Row],[Attrition]]="Yes",1,0)</f>
        <v>1</v>
      </c>
      <c r="AE184" t="str">
        <f>IF(HR_Data[[#This Row],[Age]]&lt;=25,"18-25",IF(HR_Data[[#This Row],[Age]]&lt;=35,"26-35",IF(HR_Data[[#This Row],[Age]]&lt;=45,"36-45",IF(HR_Data[[#This Row],[Age]]&lt;=55,"46-55","55+"))))</f>
        <v>36-45</v>
      </c>
      <c r="AF184">
        <f>IF(HR_Data[[#This Row],[Age]]&lt;=25,1,IF(HR_Data[[#This Row],[Age]]&lt;=35,2,IF(HR_Data[[#This Row],[Age]]&lt;=45,3,IF(HR_Data[[#This Row],[Age]]&lt;=55,4,5))))</f>
        <v>3</v>
      </c>
      <c r="AG184" s="1" t="str">
        <f>IF(HR_Data[[#This Row],[MonthlyIncome]]&lt;3000,"&lt;3K",IF(HR_Data[[#This Row],[MonthlyIncome]]&lt;6000,"3K-6K",IF(HR_Data[[#This Row],[MonthlyIncome]]&lt;10000,"6K-10K","10K+")))</f>
        <v>3K-6K</v>
      </c>
      <c r="AH184" s="1">
        <f>IF(HR_Data[[#This Row],[MonthlyIncome]]&lt;3000,1,IF(HR_Data[[#This Row],[MonthlyIncome]]&lt;6000,2,IF(HR_Data[[#This Row],[MonthlyIncome]]&lt;10000,3,4)))</f>
        <v>2</v>
      </c>
      <c r="AI184" s="1" t="str">
        <f>IF(HR_Data[[#This Row],[YearsAtCompany]]&lt;=2,"0-2 Yrs",IF(HR_Data[[#This Row],[YearsAtCompany]]&lt;=5,"3-5 Yrs",IF(HR_Data[[#This Row],[YearsAtCompany]]&lt;=10,"6-10 Yrs","10+ Yrs")))</f>
        <v>3-5 Yrs</v>
      </c>
      <c r="AJ184" s="1">
        <f>IF(HR_Data[[#This Row],[YearsAtCompany]]&lt;=2,1,IF(HR_Data[[#This Row],[YearsAtCompany]]&lt;=5,2,IF(HR_Data[[#This Row],[YearsAtCompany]]&lt;=10,3,4)))</f>
        <v>2</v>
      </c>
      <c r="AK184" s="1" t="str">
        <f>CHOOSE(HR_Data[[#This Row],[Education]],"Below College","College","Bachelor","Master","Doctor")</f>
        <v>College</v>
      </c>
      <c r="AL184" s="1" t="str">
        <f>CHOOSE(HR_Data[[#This Row],[JobSatisfaction]],"Low","Medium","High","Very High")</f>
        <v>Medium</v>
      </c>
      <c r="AM184" s="1" t="str">
        <f>CHOOSE(HR_Data[[#This Row],[EnvironmentSatisfaction]],"Low","Medium","High","Very High")</f>
        <v>Medium</v>
      </c>
      <c r="AN184" s="1" t="str">
        <f>CHOOSE(HR_Data[[#This Row],[WorkLifeBalance]],"Bad","Good","Better","Best")</f>
        <v>Good</v>
      </c>
      <c r="AO184" s="1" t="str">
        <f>IF(HR_Data[[#This Row],[PercentSalaryHike]]&lt;=13,"11-13%",IF(HR_Data[[#This Row],[PercentSalaryHike]]&lt;=16,"14-16%",IF(HR_Data[[#This Row],[PercentSalaryHike]]&lt;=19,"17-19%","20-25%")))</f>
        <v>20-25%</v>
      </c>
      <c r="AP184" s="1">
        <f>IF(HR_Data[[#This Row],[PercentSalaryHike]]&lt;=13,1,IF(HR_Data[[#This Row],[PercentSalaryHike]]&lt;=16,2,IF(HR_Data[[#This Row],[PercentSalaryHike]]&lt;=19,3,4)))</f>
        <v>4</v>
      </c>
      <c r="AQ184" s="1" t="str">
        <f>IF(HR_Data[[#This Row],[DistanceFromHome]]&lt;=5,"1 to 5",IF(HR_Data[[#This Row],[DistanceFromHome]]&lt;=10,"6 to 10",IF(HR_Data[[#This Row],[DistanceFromHome]]&lt;=20,"11 to 20","21 to 29")))</f>
        <v>11 to 20</v>
      </c>
      <c r="AR184" s="1">
        <f>IF(HR_Data[[#This Row],[DistanceFromHome]]&lt;=5,1,IF(HR_Data[[#This Row],[DistanceFromHome]]&lt;=10,2,IF(HR_Data[[#This Row],[DistanceFromHome]]&lt;=20,3,4)))</f>
        <v>3</v>
      </c>
      <c r="AS184" s="1" t="str">
        <f>IF(HR_Data[[#This Row],[TotalWorkingYears]]&lt;=5,"0-5 Yrs",IF(HR_Data[[#This Row],[TotalWorkingYears]]&lt;=10,"6-10 Yrs",IF(HR_Data[[#This Row],[TotalWorkingYears]]&lt;=20,"11-20 Yrs","20+ Yrs")))</f>
        <v>0-5 Yrs</v>
      </c>
      <c r="AT184" s="1">
        <f>IF(HR_Data[[#This Row],[TotalWorkingYears]]&lt;=5,1,IF(HR_Data[[#This Row],[TotalWorkingYears]]&lt;=10,2,IF(HR_Data[[#This Row],[TotalWorkingYears]]&lt;=20,3,4)))</f>
        <v>1</v>
      </c>
    </row>
    <row r="185" spans="1:46" x14ac:dyDescent="0.25">
      <c r="A185">
        <v>50</v>
      </c>
      <c r="B185" t="s">
        <v>36</v>
      </c>
      <c r="C185" t="s">
        <v>30</v>
      </c>
      <c r="D185" t="s">
        <v>38</v>
      </c>
      <c r="E185">
        <v>1</v>
      </c>
      <c r="F185">
        <v>3</v>
      </c>
      <c r="G185" t="s">
        <v>44</v>
      </c>
      <c r="H185">
        <v>249</v>
      </c>
      <c r="I185">
        <v>3</v>
      </c>
      <c r="J185" t="s">
        <v>39</v>
      </c>
      <c r="K185">
        <v>2</v>
      </c>
      <c r="L185">
        <v>1</v>
      </c>
      <c r="M185" t="s">
        <v>43</v>
      </c>
      <c r="N185">
        <v>3</v>
      </c>
      <c r="O185" t="s">
        <v>41</v>
      </c>
      <c r="P185">
        <v>3690</v>
      </c>
      <c r="Q185">
        <v>2</v>
      </c>
      <c r="R185" t="s">
        <v>36</v>
      </c>
      <c r="S185">
        <v>15</v>
      </c>
      <c r="T185">
        <v>3</v>
      </c>
      <c r="U185">
        <v>4</v>
      </c>
      <c r="V185">
        <v>1</v>
      </c>
      <c r="W185">
        <v>5</v>
      </c>
      <c r="X185">
        <v>2</v>
      </c>
      <c r="Y185">
        <v>2</v>
      </c>
      <c r="Z185">
        <v>3</v>
      </c>
      <c r="AA185">
        <v>2</v>
      </c>
      <c r="AB185">
        <v>0</v>
      </c>
      <c r="AC185">
        <v>2</v>
      </c>
      <c r="AD185">
        <f>IF(HR_Data[[#This Row],[Attrition]]="Yes",1,0)</f>
        <v>0</v>
      </c>
      <c r="AE185" t="str">
        <f>IF(HR_Data[[#This Row],[Age]]&lt;=25,"18-25",IF(HR_Data[[#This Row],[Age]]&lt;=35,"26-35",IF(HR_Data[[#This Row],[Age]]&lt;=45,"36-45",IF(HR_Data[[#This Row],[Age]]&lt;=55,"46-55","55+"))))</f>
        <v>46-55</v>
      </c>
      <c r="AF185">
        <f>IF(HR_Data[[#This Row],[Age]]&lt;=25,1,IF(HR_Data[[#This Row],[Age]]&lt;=35,2,IF(HR_Data[[#This Row],[Age]]&lt;=45,3,IF(HR_Data[[#This Row],[Age]]&lt;=55,4,5))))</f>
        <v>4</v>
      </c>
      <c r="AG185" s="1" t="str">
        <f>IF(HR_Data[[#This Row],[MonthlyIncome]]&lt;3000,"&lt;3K",IF(HR_Data[[#This Row],[MonthlyIncome]]&lt;6000,"3K-6K",IF(HR_Data[[#This Row],[MonthlyIncome]]&lt;10000,"6K-10K","10K+")))</f>
        <v>3K-6K</v>
      </c>
      <c r="AH185" s="1">
        <f>IF(HR_Data[[#This Row],[MonthlyIncome]]&lt;3000,1,IF(HR_Data[[#This Row],[MonthlyIncome]]&lt;6000,2,IF(HR_Data[[#This Row],[MonthlyIncome]]&lt;10000,3,4)))</f>
        <v>2</v>
      </c>
      <c r="AI185" s="1" t="str">
        <f>IF(HR_Data[[#This Row],[YearsAtCompany]]&lt;=2,"0-2 Yrs",IF(HR_Data[[#This Row],[YearsAtCompany]]&lt;=5,"3-5 Yrs",IF(HR_Data[[#This Row],[YearsAtCompany]]&lt;=10,"6-10 Yrs","10+ Yrs")))</f>
        <v>3-5 Yrs</v>
      </c>
      <c r="AJ185" s="1">
        <f>IF(HR_Data[[#This Row],[YearsAtCompany]]&lt;=2,1,IF(HR_Data[[#This Row],[YearsAtCompany]]&lt;=5,2,IF(HR_Data[[#This Row],[YearsAtCompany]]&lt;=10,3,4)))</f>
        <v>2</v>
      </c>
      <c r="AK185" s="1" t="str">
        <f>CHOOSE(HR_Data[[#This Row],[Education]],"Below College","College","Bachelor","Master","Doctor")</f>
        <v>Bachelor</v>
      </c>
      <c r="AL185" s="1" t="str">
        <f>CHOOSE(HR_Data[[#This Row],[JobSatisfaction]],"Low","Medium","High","Very High")</f>
        <v>High</v>
      </c>
      <c r="AM185" s="1" t="str">
        <f>CHOOSE(HR_Data[[#This Row],[EnvironmentSatisfaction]],"Low","Medium","High","Very High")</f>
        <v>High</v>
      </c>
      <c r="AN185" s="1" t="str">
        <f>CHOOSE(HR_Data[[#This Row],[WorkLifeBalance]],"Bad","Good","Better","Best")</f>
        <v>Good</v>
      </c>
      <c r="AO185" s="1" t="str">
        <f>IF(HR_Data[[#This Row],[PercentSalaryHike]]&lt;=13,"11-13%",IF(HR_Data[[#This Row],[PercentSalaryHike]]&lt;=16,"14-16%",IF(HR_Data[[#This Row],[PercentSalaryHike]]&lt;=19,"17-19%","20-25%")))</f>
        <v>14-16%</v>
      </c>
      <c r="AP185" s="1">
        <f>IF(HR_Data[[#This Row],[PercentSalaryHike]]&lt;=13,1,IF(HR_Data[[#This Row],[PercentSalaryHike]]&lt;=16,2,IF(HR_Data[[#This Row],[PercentSalaryHike]]&lt;=19,3,4)))</f>
        <v>2</v>
      </c>
      <c r="AQ185" s="1" t="str">
        <f>IF(HR_Data[[#This Row],[DistanceFromHome]]&lt;=5,"1 to 5",IF(HR_Data[[#This Row],[DistanceFromHome]]&lt;=10,"6 to 10",IF(HR_Data[[#This Row],[DistanceFromHome]]&lt;=20,"11 to 20","21 to 29")))</f>
        <v>1 to 5</v>
      </c>
      <c r="AR185" s="1">
        <f>IF(HR_Data[[#This Row],[DistanceFromHome]]&lt;=5,1,IF(HR_Data[[#This Row],[DistanceFromHome]]&lt;=10,2,IF(HR_Data[[#This Row],[DistanceFromHome]]&lt;=20,3,4)))</f>
        <v>1</v>
      </c>
      <c r="AS185" s="1" t="str">
        <f>IF(HR_Data[[#This Row],[TotalWorkingYears]]&lt;=5,"0-5 Yrs",IF(HR_Data[[#This Row],[TotalWorkingYears]]&lt;=10,"6-10 Yrs",IF(HR_Data[[#This Row],[TotalWorkingYears]]&lt;=20,"11-20 Yrs","20+ Yrs")))</f>
        <v>0-5 Yrs</v>
      </c>
      <c r="AT185" s="1">
        <f>IF(HR_Data[[#This Row],[TotalWorkingYears]]&lt;=5,1,IF(HR_Data[[#This Row],[TotalWorkingYears]]&lt;=10,2,IF(HR_Data[[#This Row],[TotalWorkingYears]]&lt;=20,3,4)))</f>
        <v>1</v>
      </c>
    </row>
    <row r="186" spans="1:46" x14ac:dyDescent="0.25">
      <c r="A186">
        <v>53</v>
      </c>
      <c r="B186" t="s">
        <v>36</v>
      </c>
      <c r="C186" t="s">
        <v>30</v>
      </c>
      <c r="D186" t="s">
        <v>38</v>
      </c>
      <c r="E186">
        <v>13</v>
      </c>
      <c r="F186">
        <v>2</v>
      </c>
      <c r="G186" t="s">
        <v>44</v>
      </c>
      <c r="H186">
        <v>250</v>
      </c>
      <c r="I186">
        <v>4</v>
      </c>
      <c r="J186" t="s">
        <v>33</v>
      </c>
      <c r="K186">
        <v>4</v>
      </c>
      <c r="L186">
        <v>2</v>
      </c>
      <c r="M186" t="s">
        <v>46</v>
      </c>
      <c r="N186">
        <v>1</v>
      </c>
      <c r="O186" t="s">
        <v>45</v>
      </c>
      <c r="P186">
        <v>4450</v>
      </c>
      <c r="Q186">
        <v>1</v>
      </c>
      <c r="R186" t="s">
        <v>36</v>
      </c>
      <c r="S186">
        <v>11</v>
      </c>
      <c r="T186">
        <v>3</v>
      </c>
      <c r="U186">
        <v>3</v>
      </c>
      <c r="V186">
        <v>2</v>
      </c>
      <c r="W186">
        <v>5</v>
      </c>
      <c r="X186">
        <v>3</v>
      </c>
      <c r="Y186">
        <v>3</v>
      </c>
      <c r="Z186">
        <v>4</v>
      </c>
      <c r="AA186">
        <v>2</v>
      </c>
      <c r="AB186">
        <v>1</v>
      </c>
      <c r="AC186">
        <v>3</v>
      </c>
      <c r="AD186">
        <f>IF(HR_Data[[#This Row],[Attrition]]="Yes",1,0)</f>
        <v>0</v>
      </c>
      <c r="AE186" t="str">
        <f>IF(HR_Data[[#This Row],[Age]]&lt;=25,"18-25",IF(HR_Data[[#This Row],[Age]]&lt;=35,"26-35",IF(HR_Data[[#This Row],[Age]]&lt;=45,"36-45",IF(HR_Data[[#This Row],[Age]]&lt;=55,"46-55","55+"))))</f>
        <v>46-55</v>
      </c>
      <c r="AF186">
        <f>IF(HR_Data[[#This Row],[Age]]&lt;=25,1,IF(HR_Data[[#This Row],[Age]]&lt;=35,2,IF(HR_Data[[#This Row],[Age]]&lt;=45,3,IF(HR_Data[[#This Row],[Age]]&lt;=55,4,5))))</f>
        <v>4</v>
      </c>
      <c r="AG186" s="1" t="str">
        <f>IF(HR_Data[[#This Row],[MonthlyIncome]]&lt;3000,"&lt;3K",IF(HR_Data[[#This Row],[MonthlyIncome]]&lt;6000,"3K-6K",IF(HR_Data[[#This Row],[MonthlyIncome]]&lt;10000,"6K-10K","10K+")))</f>
        <v>3K-6K</v>
      </c>
      <c r="AH186" s="1">
        <f>IF(HR_Data[[#This Row],[MonthlyIncome]]&lt;3000,1,IF(HR_Data[[#This Row],[MonthlyIncome]]&lt;6000,2,IF(HR_Data[[#This Row],[MonthlyIncome]]&lt;10000,3,4)))</f>
        <v>2</v>
      </c>
      <c r="AI186" s="1" t="str">
        <f>IF(HR_Data[[#This Row],[YearsAtCompany]]&lt;=2,"0-2 Yrs",IF(HR_Data[[#This Row],[YearsAtCompany]]&lt;=5,"3-5 Yrs",IF(HR_Data[[#This Row],[YearsAtCompany]]&lt;=10,"6-10 Yrs","10+ Yrs")))</f>
        <v>3-5 Yrs</v>
      </c>
      <c r="AJ186" s="1">
        <f>IF(HR_Data[[#This Row],[YearsAtCompany]]&lt;=2,1,IF(HR_Data[[#This Row],[YearsAtCompany]]&lt;=5,2,IF(HR_Data[[#This Row],[YearsAtCompany]]&lt;=10,3,4)))</f>
        <v>2</v>
      </c>
      <c r="AK186" s="1" t="str">
        <f>CHOOSE(HR_Data[[#This Row],[Education]],"Below College","College","Bachelor","Master","Doctor")</f>
        <v>College</v>
      </c>
      <c r="AL186" s="1" t="str">
        <f>CHOOSE(HR_Data[[#This Row],[JobSatisfaction]],"Low","Medium","High","Very High")</f>
        <v>Low</v>
      </c>
      <c r="AM186" s="1" t="str">
        <f>CHOOSE(HR_Data[[#This Row],[EnvironmentSatisfaction]],"Low","Medium","High","Very High")</f>
        <v>Very High</v>
      </c>
      <c r="AN186" s="1" t="str">
        <f>CHOOSE(HR_Data[[#This Row],[WorkLifeBalance]],"Bad","Good","Better","Best")</f>
        <v>Better</v>
      </c>
      <c r="AO186" s="1" t="str">
        <f>IF(HR_Data[[#This Row],[PercentSalaryHike]]&lt;=13,"11-13%",IF(HR_Data[[#This Row],[PercentSalaryHike]]&lt;=16,"14-16%",IF(HR_Data[[#This Row],[PercentSalaryHike]]&lt;=19,"17-19%","20-25%")))</f>
        <v>11-13%</v>
      </c>
      <c r="AP186" s="1">
        <f>IF(HR_Data[[#This Row],[PercentSalaryHike]]&lt;=13,1,IF(HR_Data[[#This Row],[PercentSalaryHike]]&lt;=16,2,IF(HR_Data[[#This Row],[PercentSalaryHike]]&lt;=19,3,4)))</f>
        <v>1</v>
      </c>
      <c r="AQ186" s="1" t="str">
        <f>IF(HR_Data[[#This Row],[DistanceFromHome]]&lt;=5,"1 to 5",IF(HR_Data[[#This Row],[DistanceFromHome]]&lt;=10,"6 to 10",IF(HR_Data[[#This Row],[DistanceFromHome]]&lt;=20,"11 to 20","21 to 29")))</f>
        <v>11 to 20</v>
      </c>
      <c r="AR186" s="1">
        <f>IF(HR_Data[[#This Row],[DistanceFromHome]]&lt;=5,1,IF(HR_Data[[#This Row],[DistanceFromHome]]&lt;=10,2,IF(HR_Data[[#This Row],[DistanceFromHome]]&lt;=20,3,4)))</f>
        <v>3</v>
      </c>
      <c r="AS186" s="1" t="str">
        <f>IF(HR_Data[[#This Row],[TotalWorkingYears]]&lt;=5,"0-5 Yrs",IF(HR_Data[[#This Row],[TotalWorkingYears]]&lt;=10,"6-10 Yrs",IF(HR_Data[[#This Row],[TotalWorkingYears]]&lt;=20,"11-20 Yrs","20+ Yrs")))</f>
        <v>0-5 Yrs</v>
      </c>
      <c r="AT186" s="1">
        <f>IF(HR_Data[[#This Row],[TotalWorkingYears]]&lt;=5,1,IF(HR_Data[[#This Row],[TotalWorkingYears]]&lt;=10,2,IF(HR_Data[[#This Row],[TotalWorkingYears]]&lt;=20,3,4)))</f>
        <v>1</v>
      </c>
    </row>
    <row r="187" spans="1:46" x14ac:dyDescent="0.25">
      <c r="A187">
        <v>33</v>
      </c>
      <c r="B187" t="s">
        <v>36</v>
      </c>
      <c r="C187" t="s">
        <v>30</v>
      </c>
      <c r="D187" t="s">
        <v>38</v>
      </c>
      <c r="E187">
        <v>14</v>
      </c>
      <c r="F187">
        <v>3</v>
      </c>
      <c r="G187" t="s">
        <v>44</v>
      </c>
      <c r="H187">
        <v>252</v>
      </c>
      <c r="I187">
        <v>4</v>
      </c>
      <c r="J187" t="s">
        <v>33</v>
      </c>
      <c r="K187">
        <v>3</v>
      </c>
      <c r="L187">
        <v>1</v>
      </c>
      <c r="M187" t="s">
        <v>40</v>
      </c>
      <c r="N187">
        <v>2</v>
      </c>
      <c r="O187" t="s">
        <v>41</v>
      </c>
      <c r="P187">
        <v>2756</v>
      </c>
      <c r="Q187">
        <v>1</v>
      </c>
      <c r="R187" t="s">
        <v>36</v>
      </c>
      <c r="S187">
        <v>13</v>
      </c>
      <c r="T187">
        <v>3</v>
      </c>
      <c r="U187">
        <v>4</v>
      </c>
      <c r="V187">
        <v>1</v>
      </c>
      <c r="W187">
        <v>8</v>
      </c>
      <c r="X187">
        <v>5</v>
      </c>
      <c r="Y187">
        <v>3</v>
      </c>
      <c r="Z187">
        <v>8</v>
      </c>
      <c r="AA187">
        <v>7</v>
      </c>
      <c r="AB187">
        <v>1</v>
      </c>
      <c r="AC187">
        <v>6</v>
      </c>
      <c r="AD187">
        <f>IF(HR_Data[[#This Row],[Attrition]]="Yes",1,0)</f>
        <v>0</v>
      </c>
      <c r="AE187" t="str">
        <f>IF(HR_Data[[#This Row],[Age]]&lt;=25,"18-25",IF(HR_Data[[#This Row],[Age]]&lt;=35,"26-35",IF(HR_Data[[#This Row],[Age]]&lt;=45,"36-45",IF(HR_Data[[#This Row],[Age]]&lt;=55,"46-55","55+"))))</f>
        <v>26-35</v>
      </c>
      <c r="AF187">
        <f>IF(HR_Data[[#This Row],[Age]]&lt;=25,1,IF(HR_Data[[#This Row],[Age]]&lt;=35,2,IF(HR_Data[[#This Row],[Age]]&lt;=45,3,IF(HR_Data[[#This Row],[Age]]&lt;=55,4,5))))</f>
        <v>2</v>
      </c>
      <c r="AG187" s="1" t="str">
        <f>IF(HR_Data[[#This Row],[MonthlyIncome]]&lt;3000,"&lt;3K",IF(HR_Data[[#This Row],[MonthlyIncome]]&lt;6000,"3K-6K",IF(HR_Data[[#This Row],[MonthlyIncome]]&lt;10000,"6K-10K","10K+")))</f>
        <v>&lt;3K</v>
      </c>
      <c r="AH187" s="1">
        <f>IF(HR_Data[[#This Row],[MonthlyIncome]]&lt;3000,1,IF(HR_Data[[#This Row],[MonthlyIncome]]&lt;6000,2,IF(HR_Data[[#This Row],[MonthlyIncome]]&lt;10000,3,4)))</f>
        <v>1</v>
      </c>
      <c r="AI187" s="1" t="str">
        <f>IF(HR_Data[[#This Row],[YearsAtCompany]]&lt;=2,"0-2 Yrs",IF(HR_Data[[#This Row],[YearsAtCompany]]&lt;=5,"3-5 Yrs",IF(HR_Data[[#This Row],[YearsAtCompany]]&lt;=10,"6-10 Yrs","10+ Yrs")))</f>
        <v>6-10 Yrs</v>
      </c>
      <c r="AJ187" s="1">
        <f>IF(HR_Data[[#This Row],[YearsAtCompany]]&lt;=2,1,IF(HR_Data[[#This Row],[YearsAtCompany]]&lt;=5,2,IF(HR_Data[[#This Row],[YearsAtCompany]]&lt;=10,3,4)))</f>
        <v>3</v>
      </c>
      <c r="AK187" s="1" t="str">
        <f>CHOOSE(HR_Data[[#This Row],[Education]],"Below College","College","Bachelor","Master","Doctor")</f>
        <v>Bachelor</v>
      </c>
      <c r="AL187" s="1" t="str">
        <f>CHOOSE(HR_Data[[#This Row],[JobSatisfaction]],"Low","Medium","High","Very High")</f>
        <v>Medium</v>
      </c>
      <c r="AM187" s="1" t="str">
        <f>CHOOSE(HR_Data[[#This Row],[EnvironmentSatisfaction]],"Low","Medium","High","Very High")</f>
        <v>Very High</v>
      </c>
      <c r="AN187" s="1" t="str">
        <f>CHOOSE(HR_Data[[#This Row],[WorkLifeBalance]],"Bad","Good","Better","Best")</f>
        <v>Better</v>
      </c>
      <c r="AO187" s="1" t="str">
        <f>IF(HR_Data[[#This Row],[PercentSalaryHike]]&lt;=13,"11-13%",IF(HR_Data[[#This Row],[PercentSalaryHike]]&lt;=16,"14-16%",IF(HR_Data[[#This Row],[PercentSalaryHike]]&lt;=19,"17-19%","20-25%")))</f>
        <v>11-13%</v>
      </c>
      <c r="AP187" s="1">
        <f>IF(HR_Data[[#This Row],[PercentSalaryHike]]&lt;=13,1,IF(HR_Data[[#This Row],[PercentSalaryHike]]&lt;=16,2,IF(HR_Data[[#This Row],[PercentSalaryHike]]&lt;=19,3,4)))</f>
        <v>1</v>
      </c>
      <c r="AQ187" s="1" t="str">
        <f>IF(HR_Data[[#This Row],[DistanceFromHome]]&lt;=5,"1 to 5",IF(HR_Data[[#This Row],[DistanceFromHome]]&lt;=10,"6 to 10",IF(HR_Data[[#This Row],[DistanceFromHome]]&lt;=20,"11 to 20","21 to 29")))</f>
        <v>11 to 20</v>
      </c>
      <c r="AR187" s="1">
        <f>IF(HR_Data[[#This Row],[DistanceFromHome]]&lt;=5,1,IF(HR_Data[[#This Row],[DistanceFromHome]]&lt;=10,2,IF(HR_Data[[#This Row],[DistanceFromHome]]&lt;=20,3,4)))</f>
        <v>3</v>
      </c>
      <c r="AS187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87" s="1">
        <f>IF(HR_Data[[#This Row],[TotalWorkingYears]]&lt;=5,1,IF(HR_Data[[#This Row],[TotalWorkingYears]]&lt;=10,2,IF(HR_Data[[#This Row],[TotalWorkingYears]]&lt;=20,3,4)))</f>
        <v>2</v>
      </c>
    </row>
    <row r="188" spans="1:46" x14ac:dyDescent="0.25">
      <c r="A188">
        <v>40</v>
      </c>
      <c r="B188" t="s">
        <v>36</v>
      </c>
      <c r="C188" t="s">
        <v>30</v>
      </c>
      <c r="D188" t="s">
        <v>38</v>
      </c>
      <c r="E188">
        <v>4</v>
      </c>
      <c r="F188">
        <v>1</v>
      </c>
      <c r="G188" t="s">
        <v>44</v>
      </c>
      <c r="H188">
        <v>253</v>
      </c>
      <c r="I188">
        <v>4</v>
      </c>
      <c r="J188" t="s">
        <v>33</v>
      </c>
      <c r="K188">
        <v>3</v>
      </c>
      <c r="L188">
        <v>5</v>
      </c>
      <c r="M188" t="s">
        <v>49</v>
      </c>
      <c r="N188">
        <v>3</v>
      </c>
      <c r="O188" t="s">
        <v>41</v>
      </c>
      <c r="P188">
        <v>19033</v>
      </c>
      <c r="Q188">
        <v>1</v>
      </c>
      <c r="R188" t="s">
        <v>36</v>
      </c>
      <c r="S188">
        <v>14</v>
      </c>
      <c r="T188">
        <v>3</v>
      </c>
      <c r="U188">
        <v>2</v>
      </c>
      <c r="V188">
        <v>1</v>
      </c>
      <c r="W188">
        <v>21</v>
      </c>
      <c r="X188">
        <v>2</v>
      </c>
      <c r="Y188">
        <v>3</v>
      </c>
      <c r="Z188">
        <v>20</v>
      </c>
      <c r="AA188">
        <v>8</v>
      </c>
      <c r="AB188">
        <v>9</v>
      </c>
      <c r="AC188">
        <v>9</v>
      </c>
      <c r="AD188">
        <f>IF(HR_Data[[#This Row],[Attrition]]="Yes",1,0)</f>
        <v>0</v>
      </c>
      <c r="AE188" t="str">
        <f>IF(HR_Data[[#This Row],[Age]]&lt;=25,"18-25",IF(HR_Data[[#This Row],[Age]]&lt;=35,"26-35",IF(HR_Data[[#This Row],[Age]]&lt;=45,"36-45",IF(HR_Data[[#This Row],[Age]]&lt;=55,"46-55","55+"))))</f>
        <v>36-45</v>
      </c>
      <c r="AF188">
        <f>IF(HR_Data[[#This Row],[Age]]&lt;=25,1,IF(HR_Data[[#This Row],[Age]]&lt;=35,2,IF(HR_Data[[#This Row],[Age]]&lt;=45,3,IF(HR_Data[[#This Row],[Age]]&lt;=55,4,5))))</f>
        <v>3</v>
      </c>
      <c r="AG188" s="1" t="str">
        <f>IF(HR_Data[[#This Row],[MonthlyIncome]]&lt;3000,"&lt;3K",IF(HR_Data[[#This Row],[MonthlyIncome]]&lt;6000,"3K-6K",IF(HR_Data[[#This Row],[MonthlyIncome]]&lt;10000,"6K-10K","10K+")))</f>
        <v>10K+</v>
      </c>
      <c r="AH188" s="1">
        <f>IF(HR_Data[[#This Row],[MonthlyIncome]]&lt;3000,1,IF(HR_Data[[#This Row],[MonthlyIncome]]&lt;6000,2,IF(HR_Data[[#This Row],[MonthlyIncome]]&lt;10000,3,4)))</f>
        <v>4</v>
      </c>
      <c r="AI188" s="1" t="str">
        <f>IF(HR_Data[[#This Row],[YearsAtCompany]]&lt;=2,"0-2 Yrs",IF(HR_Data[[#This Row],[YearsAtCompany]]&lt;=5,"3-5 Yrs",IF(HR_Data[[#This Row],[YearsAtCompany]]&lt;=10,"6-10 Yrs","10+ Yrs")))</f>
        <v>10+ Yrs</v>
      </c>
      <c r="AJ188" s="1">
        <f>IF(HR_Data[[#This Row],[YearsAtCompany]]&lt;=2,1,IF(HR_Data[[#This Row],[YearsAtCompany]]&lt;=5,2,IF(HR_Data[[#This Row],[YearsAtCompany]]&lt;=10,3,4)))</f>
        <v>4</v>
      </c>
      <c r="AK188" s="1" t="str">
        <f>CHOOSE(HR_Data[[#This Row],[Education]],"Below College","College","Bachelor","Master","Doctor")</f>
        <v>Below College</v>
      </c>
      <c r="AL188" s="1" t="str">
        <f>CHOOSE(HR_Data[[#This Row],[JobSatisfaction]],"Low","Medium","High","Very High")</f>
        <v>High</v>
      </c>
      <c r="AM188" s="1" t="str">
        <f>CHOOSE(HR_Data[[#This Row],[EnvironmentSatisfaction]],"Low","Medium","High","Very High")</f>
        <v>Very High</v>
      </c>
      <c r="AN188" s="1" t="str">
        <f>CHOOSE(HR_Data[[#This Row],[WorkLifeBalance]],"Bad","Good","Better","Best")</f>
        <v>Better</v>
      </c>
      <c r="AO188" s="1" t="str">
        <f>IF(HR_Data[[#This Row],[PercentSalaryHike]]&lt;=13,"11-13%",IF(HR_Data[[#This Row],[PercentSalaryHike]]&lt;=16,"14-16%",IF(HR_Data[[#This Row],[PercentSalaryHike]]&lt;=19,"17-19%","20-25%")))</f>
        <v>14-16%</v>
      </c>
      <c r="AP188" s="1">
        <f>IF(HR_Data[[#This Row],[PercentSalaryHike]]&lt;=13,1,IF(HR_Data[[#This Row],[PercentSalaryHike]]&lt;=16,2,IF(HR_Data[[#This Row],[PercentSalaryHike]]&lt;=19,3,4)))</f>
        <v>2</v>
      </c>
      <c r="AQ188" s="1" t="str">
        <f>IF(HR_Data[[#This Row],[DistanceFromHome]]&lt;=5,"1 to 5",IF(HR_Data[[#This Row],[DistanceFromHome]]&lt;=10,"6 to 10",IF(HR_Data[[#This Row],[DistanceFromHome]]&lt;=20,"11 to 20","21 to 29")))</f>
        <v>1 to 5</v>
      </c>
      <c r="AR188" s="1">
        <f>IF(HR_Data[[#This Row],[DistanceFromHome]]&lt;=5,1,IF(HR_Data[[#This Row],[DistanceFromHome]]&lt;=10,2,IF(HR_Data[[#This Row],[DistanceFromHome]]&lt;=20,3,4)))</f>
        <v>1</v>
      </c>
      <c r="AS188" s="1" t="str">
        <f>IF(HR_Data[[#This Row],[TotalWorkingYears]]&lt;=5,"0-5 Yrs",IF(HR_Data[[#This Row],[TotalWorkingYears]]&lt;=10,"6-10 Yrs",IF(HR_Data[[#This Row],[TotalWorkingYears]]&lt;=20,"11-20 Yrs","20+ Yrs")))</f>
        <v>20+ Yrs</v>
      </c>
      <c r="AT188" s="1">
        <f>IF(HR_Data[[#This Row],[TotalWorkingYears]]&lt;=5,1,IF(HR_Data[[#This Row],[TotalWorkingYears]]&lt;=10,2,IF(HR_Data[[#This Row],[TotalWorkingYears]]&lt;=20,3,4)))</f>
        <v>4</v>
      </c>
    </row>
    <row r="189" spans="1:46" x14ac:dyDescent="0.25">
      <c r="A189">
        <v>55</v>
      </c>
      <c r="B189" t="s">
        <v>36</v>
      </c>
      <c r="C189" t="s">
        <v>30</v>
      </c>
      <c r="D189" t="s">
        <v>38</v>
      </c>
      <c r="E189">
        <v>14</v>
      </c>
      <c r="F189">
        <v>4</v>
      </c>
      <c r="G189" t="s">
        <v>44</v>
      </c>
      <c r="H189">
        <v>254</v>
      </c>
      <c r="I189">
        <v>3</v>
      </c>
      <c r="J189" t="s">
        <v>39</v>
      </c>
      <c r="K189">
        <v>4</v>
      </c>
      <c r="L189">
        <v>5</v>
      </c>
      <c r="M189" t="s">
        <v>51</v>
      </c>
      <c r="N189">
        <v>2</v>
      </c>
      <c r="O189" t="s">
        <v>35</v>
      </c>
      <c r="P189">
        <v>18722</v>
      </c>
      <c r="Q189">
        <v>8</v>
      </c>
      <c r="R189" t="s">
        <v>36</v>
      </c>
      <c r="S189">
        <v>11</v>
      </c>
      <c r="T189">
        <v>3</v>
      </c>
      <c r="U189">
        <v>4</v>
      </c>
      <c r="V189">
        <v>0</v>
      </c>
      <c r="W189">
        <v>36</v>
      </c>
      <c r="X189">
        <v>3</v>
      </c>
      <c r="Y189">
        <v>3</v>
      </c>
      <c r="Z189">
        <v>24</v>
      </c>
      <c r="AA189">
        <v>15</v>
      </c>
      <c r="AB189">
        <v>2</v>
      </c>
      <c r="AC189">
        <v>15</v>
      </c>
      <c r="AD189">
        <f>IF(HR_Data[[#This Row],[Attrition]]="Yes",1,0)</f>
        <v>0</v>
      </c>
      <c r="AE189" t="str">
        <f>IF(HR_Data[[#This Row],[Age]]&lt;=25,"18-25",IF(HR_Data[[#This Row],[Age]]&lt;=35,"26-35",IF(HR_Data[[#This Row],[Age]]&lt;=45,"36-45",IF(HR_Data[[#This Row],[Age]]&lt;=55,"46-55","55+"))))</f>
        <v>46-55</v>
      </c>
      <c r="AF189">
        <f>IF(HR_Data[[#This Row],[Age]]&lt;=25,1,IF(HR_Data[[#This Row],[Age]]&lt;=35,2,IF(HR_Data[[#This Row],[Age]]&lt;=45,3,IF(HR_Data[[#This Row],[Age]]&lt;=55,4,5))))</f>
        <v>4</v>
      </c>
      <c r="AG189" s="1" t="str">
        <f>IF(HR_Data[[#This Row],[MonthlyIncome]]&lt;3000,"&lt;3K",IF(HR_Data[[#This Row],[MonthlyIncome]]&lt;6000,"3K-6K",IF(HR_Data[[#This Row],[MonthlyIncome]]&lt;10000,"6K-10K","10K+")))</f>
        <v>10K+</v>
      </c>
      <c r="AH189" s="1">
        <f>IF(HR_Data[[#This Row],[MonthlyIncome]]&lt;3000,1,IF(HR_Data[[#This Row],[MonthlyIncome]]&lt;6000,2,IF(HR_Data[[#This Row],[MonthlyIncome]]&lt;10000,3,4)))</f>
        <v>4</v>
      </c>
      <c r="AI189" s="1" t="str">
        <f>IF(HR_Data[[#This Row],[YearsAtCompany]]&lt;=2,"0-2 Yrs",IF(HR_Data[[#This Row],[YearsAtCompany]]&lt;=5,"3-5 Yrs",IF(HR_Data[[#This Row],[YearsAtCompany]]&lt;=10,"6-10 Yrs","10+ Yrs")))</f>
        <v>10+ Yrs</v>
      </c>
      <c r="AJ189" s="1">
        <f>IF(HR_Data[[#This Row],[YearsAtCompany]]&lt;=2,1,IF(HR_Data[[#This Row],[YearsAtCompany]]&lt;=5,2,IF(HR_Data[[#This Row],[YearsAtCompany]]&lt;=10,3,4)))</f>
        <v>4</v>
      </c>
      <c r="AK189" s="1" t="str">
        <f>CHOOSE(HR_Data[[#This Row],[Education]],"Below College","College","Bachelor","Master","Doctor")</f>
        <v>Master</v>
      </c>
      <c r="AL189" s="1" t="str">
        <f>CHOOSE(HR_Data[[#This Row],[JobSatisfaction]],"Low","Medium","High","Very High")</f>
        <v>Medium</v>
      </c>
      <c r="AM189" s="1" t="str">
        <f>CHOOSE(HR_Data[[#This Row],[EnvironmentSatisfaction]],"Low","Medium","High","Very High")</f>
        <v>High</v>
      </c>
      <c r="AN189" s="1" t="str">
        <f>CHOOSE(HR_Data[[#This Row],[WorkLifeBalance]],"Bad","Good","Better","Best")</f>
        <v>Better</v>
      </c>
      <c r="AO189" s="1" t="str">
        <f>IF(HR_Data[[#This Row],[PercentSalaryHike]]&lt;=13,"11-13%",IF(HR_Data[[#This Row],[PercentSalaryHike]]&lt;=16,"14-16%",IF(HR_Data[[#This Row],[PercentSalaryHike]]&lt;=19,"17-19%","20-25%")))</f>
        <v>11-13%</v>
      </c>
      <c r="AP189" s="1">
        <f>IF(HR_Data[[#This Row],[PercentSalaryHike]]&lt;=13,1,IF(HR_Data[[#This Row],[PercentSalaryHike]]&lt;=16,2,IF(HR_Data[[#This Row],[PercentSalaryHike]]&lt;=19,3,4)))</f>
        <v>1</v>
      </c>
      <c r="AQ189" s="1" t="str">
        <f>IF(HR_Data[[#This Row],[DistanceFromHome]]&lt;=5,"1 to 5",IF(HR_Data[[#This Row],[DistanceFromHome]]&lt;=10,"6 to 10",IF(HR_Data[[#This Row],[DistanceFromHome]]&lt;=20,"11 to 20","21 to 29")))</f>
        <v>11 to 20</v>
      </c>
      <c r="AR189" s="1">
        <f>IF(HR_Data[[#This Row],[DistanceFromHome]]&lt;=5,1,IF(HR_Data[[#This Row],[DistanceFromHome]]&lt;=10,2,IF(HR_Data[[#This Row],[DistanceFromHome]]&lt;=20,3,4)))</f>
        <v>3</v>
      </c>
      <c r="AS189" s="1" t="str">
        <f>IF(HR_Data[[#This Row],[TotalWorkingYears]]&lt;=5,"0-5 Yrs",IF(HR_Data[[#This Row],[TotalWorkingYears]]&lt;=10,"6-10 Yrs",IF(HR_Data[[#This Row],[TotalWorkingYears]]&lt;=20,"11-20 Yrs","20+ Yrs")))</f>
        <v>20+ Yrs</v>
      </c>
      <c r="AT189" s="1">
        <f>IF(HR_Data[[#This Row],[TotalWorkingYears]]&lt;=5,1,IF(HR_Data[[#This Row],[TotalWorkingYears]]&lt;=10,2,IF(HR_Data[[#This Row],[TotalWorkingYears]]&lt;=20,3,4)))</f>
        <v>4</v>
      </c>
    </row>
    <row r="190" spans="1:46" x14ac:dyDescent="0.25">
      <c r="A190">
        <v>34</v>
      </c>
      <c r="B190" t="s">
        <v>36</v>
      </c>
      <c r="C190" t="s">
        <v>37</v>
      </c>
      <c r="D190" t="s">
        <v>38</v>
      </c>
      <c r="E190">
        <v>2</v>
      </c>
      <c r="F190">
        <v>1</v>
      </c>
      <c r="G190" t="s">
        <v>32</v>
      </c>
      <c r="H190">
        <v>256</v>
      </c>
      <c r="I190">
        <v>4</v>
      </c>
      <c r="J190" t="s">
        <v>39</v>
      </c>
      <c r="K190">
        <v>2</v>
      </c>
      <c r="L190">
        <v>2</v>
      </c>
      <c r="M190" t="s">
        <v>46</v>
      </c>
      <c r="N190">
        <v>3</v>
      </c>
      <c r="O190" t="s">
        <v>41</v>
      </c>
      <c r="P190">
        <v>9547</v>
      </c>
      <c r="Q190">
        <v>1</v>
      </c>
      <c r="R190" t="s">
        <v>36</v>
      </c>
      <c r="S190">
        <v>17</v>
      </c>
      <c r="T190">
        <v>3</v>
      </c>
      <c r="U190">
        <v>3</v>
      </c>
      <c r="V190">
        <v>0</v>
      </c>
      <c r="W190">
        <v>10</v>
      </c>
      <c r="X190">
        <v>2</v>
      </c>
      <c r="Y190">
        <v>2</v>
      </c>
      <c r="Z190">
        <v>10</v>
      </c>
      <c r="AA190">
        <v>9</v>
      </c>
      <c r="AB190">
        <v>1</v>
      </c>
      <c r="AC190">
        <v>9</v>
      </c>
      <c r="AD190">
        <f>IF(HR_Data[[#This Row],[Attrition]]="Yes",1,0)</f>
        <v>0</v>
      </c>
      <c r="AE190" t="str">
        <f>IF(HR_Data[[#This Row],[Age]]&lt;=25,"18-25",IF(HR_Data[[#This Row],[Age]]&lt;=35,"26-35",IF(HR_Data[[#This Row],[Age]]&lt;=45,"36-45",IF(HR_Data[[#This Row],[Age]]&lt;=55,"46-55","55+"))))</f>
        <v>26-35</v>
      </c>
      <c r="AF190">
        <f>IF(HR_Data[[#This Row],[Age]]&lt;=25,1,IF(HR_Data[[#This Row],[Age]]&lt;=35,2,IF(HR_Data[[#This Row],[Age]]&lt;=45,3,IF(HR_Data[[#This Row],[Age]]&lt;=55,4,5))))</f>
        <v>2</v>
      </c>
      <c r="AG190" s="1" t="str">
        <f>IF(HR_Data[[#This Row],[MonthlyIncome]]&lt;3000,"&lt;3K",IF(HR_Data[[#This Row],[MonthlyIncome]]&lt;6000,"3K-6K",IF(HR_Data[[#This Row],[MonthlyIncome]]&lt;10000,"6K-10K","10K+")))</f>
        <v>6K-10K</v>
      </c>
      <c r="AH190" s="1">
        <f>IF(HR_Data[[#This Row],[MonthlyIncome]]&lt;3000,1,IF(HR_Data[[#This Row],[MonthlyIncome]]&lt;6000,2,IF(HR_Data[[#This Row],[MonthlyIncome]]&lt;10000,3,4)))</f>
        <v>3</v>
      </c>
      <c r="AI190" s="1" t="str">
        <f>IF(HR_Data[[#This Row],[YearsAtCompany]]&lt;=2,"0-2 Yrs",IF(HR_Data[[#This Row],[YearsAtCompany]]&lt;=5,"3-5 Yrs",IF(HR_Data[[#This Row],[YearsAtCompany]]&lt;=10,"6-10 Yrs","10+ Yrs")))</f>
        <v>6-10 Yrs</v>
      </c>
      <c r="AJ190" s="1">
        <f>IF(HR_Data[[#This Row],[YearsAtCompany]]&lt;=2,1,IF(HR_Data[[#This Row],[YearsAtCompany]]&lt;=5,2,IF(HR_Data[[#This Row],[YearsAtCompany]]&lt;=10,3,4)))</f>
        <v>3</v>
      </c>
      <c r="AK190" s="1" t="str">
        <f>CHOOSE(HR_Data[[#This Row],[Education]],"Below College","College","Bachelor","Master","Doctor")</f>
        <v>Below College</v>
      </c>
      <c r="AL190" s="1" t="str">
        <f>CHOOSE(HR_Data[[#This Row],[JobSatisfaction]],"Low","Medium","High","Very High")</f>
        <v>High</v>
      </c>
      <c r="AM190" s="1" t="str">
        <f>CHOOSE(HR_Data[[#This Row],[EnvironmentSatisfaction]],"Low","Medium","High","Very High")</f>
        <v>Very High</v>
      </c>
      <c r="AN190" s="1" t="str">
        <f>CHOOSE(HR_Data[[#This Row],[WorkLifeBalance]],"Bad","Good","Better","Best")</f>
        <v>Good</v>
      </c>
      <c r="AO190" s="1" t="str">
        <f>IF(HR_Data[[#This Row],[PercentSalaryHike]]&lt;=13,"11-13%",IF(HR_Data[[#This Row],[PercentSalaryHike]]&lt;=16,"14-16%",IF(HR_Data[[#This Row],[PercentSalaryHike]]&lt;=19,"17-19%","20-25%")))</f>
        <v>17-19%</v>
      </c>
      <c r="AP190" s="1">
        <f>IF(HR_Data[[#This Row],[PercentSalaryHike]]&lt;=13,1,IF(HR_Data[[#This Row],[PercentSalaryHike]]&lt;=16,2,IF(HR_Data[[#This Row],[PercentSalaryHike]]&lt;=19,3,4)))</f>
        <v>3</v>
      </c>
      <c r="AQ190" s="1" t="str">
        <f>IF(HR_Data[[#This Row],[DistanceFromHome]]&lt;=5,"1 to 5",IF(HR_Data[[#This Row],[DistanceFromHome]]&lt;=10,"6 to 10",IF(HR_Data[[#This Row],[DistanceFromHome]]&lt;=20,"11 to 20","21 to 29")))</f>
        <v>1 to 5</v>
      </c>
      <c r="AR190" s="1">
        <f>IF(HR_Data[[#This Row],[DistanceFromHome]]&lt;=5,1,IF(HR_Data[[#This Row],[DistanceFromHome]]&lt;=10,2,IF(HR_Data[[#This Row],[DistanceFromHome]]&lt;=20,3,4)))</f>
        <v>1</v>
      </c>
      <c r="AS190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90" s="1">
        <f>IF(HR_Data[[#This Row],[TotalWorkingYears]]&lt;=5,1,IF(HR_Data[[#This Row],[TotalWorkingYears]]&lt;=10,2,IF(HR_Data[[#This Row],[TotalWorkingYears]]&lt;=20,3,4)))</f>
        <v>2</v>
      </c>
    </row>
    <row r="191" spans="1:46" x14ac:dyDescent="0.25">
      <c r="A191">
        <v>51</v>
      </c>
      <c r="B191" t="s">
        <v>36</v>
      </c>
      <c r="C191" t="s">
        <v>30</v>
      </c>
      <c r="D191" t="s">
        <v>38</v>
      </c>
      <c r="E191">
        <v>3</v>
      </c>
      <c r="F191">
        <v>3</v>
      </c>
      <c r="G191" t="s">
        <v>44</v>
      </c>
      <c r="H191">
        <v>258</v>
      </c>
      <c r="I191">
        <v>4</v>
      </c>
      <c r="J191" t="s">
        <v>33</v>
      </c>
      <c r="K191">
        <v>3</v>
      </c>
      <c r="L191">
        <v>4</v>
      </c>
      <c r="M191" t="s">
        <v>47</v>
      </c>
      <c r="N191">
        <v>2</v>
      </c>
      <c r="O191" t="s">
        <v>35</v>
      </c>
      <c r="P191">
        <v>13734</v>
      </c>
      <c r="Q191">
        <v>3</v>
      </c>
      <c r="R191" t="s">
        <v>36</v>
      </c>
      <c r="S191">
        <v>18</v>
      </c>
      <c r="T191">
        <v>3</v>
      </c>
      <c r="U191">
        <v>3</v>
      </c>
      <c r="V191">
        <v>0</v>
      </c>
      <c r="W191">
        <v>21</v>
      </c>
      <c r="X191">
        <v>6</v>
      </c>
      <c r="Y191">
        <v>3</v>
      </c>
      <c r="Z191">
        <v>7</v>
      </c>
      <c r="AA191">
        <v>7</v>
      </c>
      <c r="AB191">
        <v>1</v>
      </c>
      <c r="AC191">
        <v>0</v>
      </c>
      <c r="AD191">
        <f>IF(HR_Data[[#This Row],[Attrition]]="Yes",1,0)</f>
        <v>0</v>
      </c>
      <c r="AE191" t="str">
        <f>IF(HR_Data[[#This Row],[Age]]&lt;=25,"18-25",IF(HR_Data[[#This Row],[Age]]&lt;=35,"26-35",IF(HR_Data[[#This Row],[Age]]&lt;=45,"36-45",IF(HR_Data[[#This Row],[Age]]&lt;=55,"46-55","55+"))))</f>
        <v>46-55</v>
      </c>
      <c r="AF191">
        <f>IF(HR_Data[[#This Row],[Age]]&lt;=25,1,IF(HR_Data[[#This Row],[Age]]&lt;=35,2,IF(HR_Data[[#This Row],[Age]]&lt;=45,3,IF(HR_Data[[#This Row],[Age]]&lt;=55,4,5))))</f>
        <v>4</v>
      </c>
      <c r="AG191" s="1" t="str">
        <f>IF(HR_Data[[#This Row],[MonthlyIncome]]&lt;3000,"&lt;3K",IF(HR_Data[[#This Row],[MonthlyIncome]]&lt;6000,"3K-6K",IF(HR_Data[[#This Row],[MonthlyIncome]]&lt;10000,"6K-10K","10K+")))</f>
        <v>10K+</v>
      </c>
      <c r="AH191" s="1">
        <f>IF(HR_Data[[#This Row],[MonthlyIncome]]&lt;3000,1,IF(HR_Data[[#This Row],[MonthlyIncome]]&lt;6000,2,IF(HR_Data[[#This Row],[MonthlyIncome]]&lt;10000,3,4)))</f>
        <v>4</v>
      </c>
      <c r="AI191" s="1" t="str">
        <f>IF(HR_Data[[#This Row],[YearsAtCompany]]&lt;=2,"0-2 Yrs",IF(HR_Data[[#This Row],[YearsAtCompany]]&lt;=5,"3-5 Yrs",IF(HR_Data[[#This Row],[YearsAtCompany]]&lt;=10,"6-10 Yrs","10+ Yrs")))</f>
        <v>6-10 Yrs</v>
      </c>
      <c r="AJ191" s="1">
        <f>IF(HR_Data[[#This Row],[YearsAtCompany]]&lt;=2,1,IF(HR_Data[[#This Row],[YearsAtCompany]]&lt;=5,2,IF(HR_Data[[#This Row],[YearsAtCompany]]&lt;=10,3,4)))</f>
        <v>3</v>
      </c>
      <c r="AK191" s="1" t="str">
        <f>CHOOSE(HR_Data[[#This Row],[Education]],"Below College","College","Bachelor","Master","Doctor")</f>
        <v>Bachelor</v>
      </c>
      <c r="AL191" s="1" t="str">
        <f>CHOOSE(HR_Data[[#This Row],[JobSatisfaction]],"Low","Medium","High","Very High")</f>
        <v>Medium</v>
      </c>
      <c r="AM191" s="1" t="str">
        <f>CHOOSE(HR_Data[[#This Row],[EnvironmentSatisfaction]],"Low","Medium","High","Very High")</f>
        <v>Very High</v>
      </c>
      <c r="AN191" s="1" t="str">
        <f>CHOOSE(HR_Data[[#This Row],[WorkLifeBalance]],"Bad","Good","Better","Best")</f>
        <v>Better</v>
      </c>
      <c r="AO191" s="1" t="str">
        <f>IF(HR_Data[[#This Row],[PercentSalaryHike]]&lt;=13,"11-13%",IF(HR_Data[[#This Row],[PercentSalaryHike]]&lt;=16,"14-16%",IF(HR_Data[[#This Row],[PercentSalaryHike]]&lt;=19,"17-19%","20-25%")))</f>
        <v>17-19%</v>
      </c>
      <c r="AP191" s="1">
        <f>IF(HR_Data[[#This Row],[PercentSalaryHike]]&lt;=13,1,IF(HR_Data[[#This Row],[PercentSalaryHike]]&lt;=16,2,IF(HR_Data[[#This Row],[PercentSalaryHike]]&lt;=19,3,4)))</f>
        <v>3</v>
      </c>
      <c r="AQ191" s="1" t="str">
        <f>IF(HR_Data[[#This Row],[DistanceFromHome]]&lt;=5,"1 to 5",IF(HR_Data[[#This Row],[DistanceFromHome]]&lt;=10,"6 to 10",IF(HR_Data[[#This Row],[DistanceFromHome]]&lt;=20,"11 to 20","21 to 29")))</f>
        <v>1 to 5</v>
      </c>
      <c r="AR191" s="1">
        <f>IF(HR_Data[[#This Row],[DistanceFromHome]]&lt;=5,1,IF(HR_Data[[#This Row],[DistanceFromHome]]&lt;=10,2,IF(HR_Data[[#This Row],[DistanceFromHome]]&lt;=20,3,4)))</f>
        <v>1</v>
      </c>
      <c r="AS191" s="1" t="str">
        <f>IF(HR_Data[[#This Row],[TotalWorkingYears]]&lt;=5,"0-5 Yrs",IF(HR_Data[[#This Row],[TotalWorkingYears]]&lt;=10,"6-10 Yrs",IF(HR_Data[[#This Row],[TotalWorkingYears]]&lt;=20,"11-20 Yrs","20+ Yrs")))</f>
        <v>20+ Yrs</v>
      </c>
      <c r="AT191" s="1">
        <f>IF(HR_Data[[#This Row],[TotalWorkingYears]]&lt;=5,1,IF(HR_Data[[#This Row],[TotalWorkingYears]]&lt;=10,2,IF(HR_Data[[#This Row],[TotalWorkingYears]]&lt;=20,3,4)))</f>
        <v>4</v>
      </c>
    </row>
    <row r="192" spans="1:46" x14ac:dyDescent="0.25">
      <c r="A192">
        <v>52</v>
      </c>
      <c r="B192" t="s">
        <v>36</v>
      </c>
      <c r="C192" t="s">
        <v>30</v>
      </c>
      <c r="D192" t="s">
        <v>38</v>
      </c>
      <c r="E192">
        <v>1</v>
      </c>
      <c r="F192">
        <v>4</v>
      </c>
      <c r="G192" t="s">
        <v>32</v>
      </c>
      <c r="H192">
        <v>259</v>
      </c>
      <c r="I192">
        <v>3</v>
      </c>
      <c r="J192" t="s">
        <v>39</v>
      </c>
      <c r="K192">
        <v>2</v>
      </c>
      <c r="L192">
        <v>5</v>
      </c>
      <c r="M192" t="s">
        <v>49</v>
      </c>
      <c r="N192">
        <v>3</v>
      </c>
      <c r="O192" t="s">
        <v>41</v>
      </c>
      <c r="P192">
        <v>19999</v>
      </c>
      <c r="Q192">
        <v>0</v>
      </c>
      <c r="R192" t="s">
        <v>36</v>
      </c>
      <c r="S192">
        <v>14</v>
      </c>
      <c r="T192">
        <v>3</v>
      </c>
      <c r="U192">
        <v>1</v>
      </c>
      <c r="V192">
        <v>1</v>
      </c>
      <c r="W192">
        <v>34</v>
      </c>
      <c r="X192">
        <v>5</v>
      </c>
      <c r="Y192">
        <v>3</v>
      </c>
      <c r="Z192">
        <v>33</v>
      </c>
      <c r="AA192">
        <v>18</v>
      </c>
      <c r="AB192">
        <v>11</v>
      </c>
      <c r="AC192">
        <v>9</v>
      </c>
      <c r="AD192">
        <f>IF(HR_Data[[#This Row],[Attrition]]="Yes",1,0)</f>
        <v>0</v>
      </c>
      <c r="AE192" t="str">
        <f>IF(HR_Data[[#This Row],[Age]]&lt;=25,"18-25",IF(HR_Data[[#This Row],[Age]]&lt;=35,"26-35",IF(HR_Data[[#This Row],[Age]]&lt;=45,"36-45",IF(HR_Data[[#This Row],[Age]]&lt;=55,"46-55","55+"))))</f>
        <v>46-55</v>
      </c>
      <c r="AF192">
        <f>IF(HR_Data[[#This Row],[Age]]&lt;=25,1,IF(HR_Data[[#This Row],[Age]]&lt;=35,2,IF(HR_Data[[#This Row],[Age]]&lt;=45,3,IF(HR_Data[[#This Row],[Age]]&lt;=55,4,5))))</f>
        <v>4</v>
      </c>
      <c r="AG192" s="1" t="str">
        <f>IF(HR_Data[[#This Row],[MonthlyIncome]]&lt;3000,"&lt;3K",IF(HR_Data[[#This Row],[MonthlyIncome]]&lt;6000,"3K-6K",IF(HR_Data[[#This Row],[MonthlyIncome]]&lt;10000,"6K-10K","10K+")))</f>
        <v>10K+</v>
      </c>
      <c r="AH192" s="1">
        <f>IF(HR_Data[[#This Row],[MonthlyIncome]]&lt;3000,1,IF(HR_Data[[#This Row],[MonthlyIncome]]&lt;6000,2,IF(HR_Data[[#This Row],[MonthlyIncome]]&lt;10000,3,4)))</f>
        <v>4</v>
      </c>
      <c r="AI192" s="1" t="str">
        <f>IF(HR_Data[[#This Row],[YearsAtCompany]]&lt;=2,"0-2 Yrs",IF(HR_Data[[#This Row],[YearsAtCompany]]&lt;=5,"3-5 Yrs",IF(HR_Data[[#This Row],[YearsAtCompany]]&lt;=10,"6-10 Yrs","10+ Yrs")))</f>
        <v>10+ Yrs</v>
      </c>
      <c r="AJ192" s="1">
        <f>IF(HR_Data[[#This Row],[YearsAtCompany]]&lt;=2,1,IF(HR_Data[[#This Row],[YearsAtCompany]]&lt;=5,2,IF(HR_Data[[#This Row],[YearsAtCompany]]&lt;=10,3,4)))</f>
        <v>4</v>
      </c>
      <c r="AK192" s="1" t="str">
        <f>CHOOSE(HR_Data[[#This Row],[Education]],"Below College","College","Bachelor","Master","Doctor")</f>
        <v>Master</v>
      </c>
      <c r="AL192" s="1" t="str">
        <f>CHOOSE(HR_Data[[#This Row],[JobSatisfaction]],"Low","Medium","High","Very High")</f>
        <v>High</v>
      </c>
      <c r="AM192" s="1" t="str">
        <f>CHOOSE(HR_Data[[#This Row],[EnvironmentSatisfaction]],"Low","Medium","High","Very High")</f>
        <v>High</v>
      </c>
      <c r="AN192" s="1" t="str">
        <f>CHOOSE(HR_Data[[#This Row],[WorkLifeBalance]],"Bad","Good","Better","Best")</f>
        <v>Better</v>
      </c>
      <c r="AO192" s="1" t="str">
        <f>IF(HR_Data[[#This Row],[PercentSalaryHike]]&lt;=13,"11-13%",IF(HR_Data[[#This Row],[PercentSalaryHike]]&lt;=16,"14-16%",IF(HR_Data[[#This Row],[PercentSalaryHike]]&lt;=19,"17-19%","20-25%")))</f>
        <v>14-16%</v>
      </c>
      <c r="AP192" s="1">
        <f>IF(HR_Data[[#This Row],[PercentSalaryHike]]&lt;=13,1,IF(HR_Data[[#This Row],[PercentSalaryHike]]&lt;=16,2,IF(HR_Data[[#This Row],[PercentSalaryHike]]&lt;=19,3,4)))</f>
        <v>2</v>
      </c>
      <c r="AQ192" s="1" t="str">
        <f>IF(HR_Data[[#This Row],[DistanceFromHome]]&lt;=5,"1 to 5",IF(HR_Data[[#This Row],[DistanceFromHome]]&lt;=10,"6 to 10",IF(HR_Data[[#This Row],[DistanceFromHome]]&lt;=20,"11 to 20","21 to 29")))</f>
        <v>1 to 5</v>
      </c>
      <c r="AR192" s="1">
        <f>IF(HR_Data[[#This Row],[DistanceFromHome]]&lt;=5,1,IF(HR_Data[[#This Row],[DistanceFromHome]]&lt;=10,2,IF(HR_Data[[#This Row],[DistanceFromHome]]&lt;=20,3,4)))</f>
        <v>1</v>
      </c>
      <c r="AS192" s="1" t="str">
        <f>IF(HR_Data[[#This Row],[TotalWorkingYears]]&lt;=5,"0-5 Yrs",IF(HR_Data[[#This Row],[TotalWorkingYears]]&lt;=10,"6-10 Yrs",IF(HR_Data[[#This Row],[TotalWorkingYears]]&lt;=20,"11-20 Yrs","20+ Yrs")))</f>
        <v>20+ Yrs</v>
      </c>
      <c r="AT192" s="1">
        <f>IF(HR_Data[[#This Row],[TotalWorkingYears]]&lt;=5,1,IF(HR_Data[[#This Row],[TotalWorkingYears]]&lt;=10,2,IF(HR_Data[[#This Row],[TotalWorkingYears]]&lt;=20,3,4)))</f>
        <v>4</v>
      </c>
    </row>
    <row r="193" spans="1:46" x14ac:dyDescent="0.25">
      <c r="A193">
        <v>27</v>
      </c>
      <c r="B193" t="s">
        <v>36</v>
      </c>
      <c r="C193" t="s">
        <v>30</v>
      </c>
      <c r="D193" t="s">
        <v>38</v>
      </c>
      <c r="E193">
        <v>9</v>
      </c>
      <c r="F193">
        <v>3</v>
      </c>
      <c r="G193" t="s">
        <v>44</v>
      </c>
      <c r="H193">
        <v>260</v>
      </c>
      <c r="I193">
        <v>4</v>
      </c>
      <c r="J193" t="s">
        <v>33</v>
      </c>
      <c r="K193">
        <v>3</v>
      </c>
      <c r="L193">
        <v>1</v>
      </c>
      <c r="M193" t="s">
        <v>40</v>
      </c>
      <c r="N193">
        <v>2</v>
      </c>
      <c r="O193" t="s">
        <v>35</v>
      </c>
      <c r="P193">
        <v>2279</v>
      </c>
      <c r="Q193">
        <v>1</v>
      </c>
      <c r="R193" t="s">
        <v>36</v>
      </c>
      <c r="S193">
        <v>16</v>
      </c>
      <c r="T193">
        <v>3</v>
      </c>
      <c r="U193">
        <v>4</v>
      </c>
      <c r="V193">
        <v>0</v>
      </c>
      <c r="W193">
        <v>7</v>
      </c>
      <c r="X193">
        <v>2</v>
      </c>
      <c r="Y193">
        <v>2</v>
      </c>
      <c r="Z193">
        <v>7</v>
      </c>
      <c r="AA193">
        <v>7</v>
      </c>
      <c r="AB193">
        <v>0</v>
      </c>
      <c r="AC193">
        <v>3</v>
      </c>
      <c r="AD193">
        <f>IF(HR_Data[[#This Row],[Attrition]]="Yes",1,0)</f>
        <v>0</v>
      </c>
      <c r="AE193" t="str">
        <f>IF(HR_Data[[#This Row],[Age]]&lt;=25,"18-25",IF(HR_Data[[#This Row],[Age]]&lt;=35,"26-35",IF(HR_Data[[#This Row],[Age]]&lt;=45,"36-45",IF(HR_Data[[#This Row],[Age]]&lt;=55,"46-55","55+"))))</f>
        <v>26-35</v>
      </c>
      <c r="AF193">
        <f>IF(HR_Data[[#This Row],[Age]]&lt;=25,1,IF(HR_Data[[#This Row],[Age]]&lt;=35,2,IF(HR_Data[[#This Row],[Age]]&lt;=45,3,IF(HR_Data[[#This Row],[Age]]&lt;=55,4,5))))</f>
        <v>2</v>
      </c>
      <c r="AG193" s="1" t="str">
        <f>IF(HR_Data[[#This Row],[MonthlyIncome]]&lt;3000,"&lt;3K",IF(HR_Data[[#This Row],[MonthlyIncome]]&lt;6000,"3K-6K",IF(HR_Data[[#This Row],[MonthlyIncome]]&lt;10000,"6K-10K","10K+")))</f>
        <v>&lt;3K</v>
      </c>
      <c r="AH193" s="1">
        <f>IF(HR_Data[[#This Row],[MonthlyIncome]]&lt;3000,1,IF(HR_Data[[#This Row],[MonthlyIncome]]&lt;6000,2,IF(HR_Data[[#This Row],[MonthlyIncome]]&lt;10000,3,4)))</f>
        <v>1</v>
      </c>
      <c r="AI193" s="1" t="str">
        <f>IF(HR_Data[[#This Row],[YearsAtCompany]]&lt;=2,"0-2 Yrs",IF(HR_Data[[#This Row],[YearsAtCompany]]&lt;=5,"3-5 Yrs",IF(HR_Data[[#This Row],[YearsAtCompany]]&lt;=10,"6-10 Yrs","10+ Yrs")))</f>
        <v>6-10 Yrs</v>
      </c>
      <c r="AJ193" s="1">
        <f>IF(HR_Data[[#This Row],[YearsAtCompany]]&lt;=2,1,IF(HR_Data[[#This Row],[YearsAtCompany]]&lt;=5,2,IF(HR_Data[[#This Row],[YearsAtCompany]]&lt;=10,3,4)))</f>
        <v>3</v>
      </c>
      <c r="AK193" s="1" t="str">
        <f>CHOOSE(HR_Data[[#This Row],[Education]],"Below College","College","Bachelor","Master","Doctor")</f>
        <v>Bachelor</v>
      </c>
      <c r="AL193" s="1" t="str">
        <f>CHOOSE(HR_Data[[#This Row],[JobSatisfaction]],"Low","Medium","High","Very High")</f>
        <v>Medium</v>
      </c>
      <c r="AM193" s="1" t="str">
        <f>CHOOSE(HR_Data[[#This Row],[EnvironmentSatisfaction]],"Low","Medium","High","Very High")</f>
        <v>Very High</v>
      </c>
      <c r="AN193" s="1" t="str">
        <f>CHOOSE(HR_Data[[#This Row],[WorkLifeBalance]],"Bad","Good","Better","Best")</f>
        <v>Good</v>
      </c>
      <c r="AO193" s="1" t="str">
        <f>IF(HR_Data[[#This Row],[PercentSalaryHike]]&lt;=13,"11-13%",IF(HR_Data[[#This Row],[PercentSalaryHike]]&lt;=16,"14-16%",IF(HR_Data[[#This Row],[PercentSalaryHike]]&lt;=19,"17-19%","20-25%")))</f>
        <v>14-16%</v>
      </c>
      <c r="AP193" s="1">
        <f>IF(HR_Data[[#This Row],[PercentSalaryHike]]&lt;=13,1,IF(HR_Data[[#This Row],[PercentSalaryHike]]&lt;=16,2,IF(HR_Data[[#This Row],[PercentSalaryHike]]&lt;=19,3,4)))</f>
        <v>2</v>
      </c>
      <c r="AQ193" s="1" t="str">
        <f>IF(HR_Data[[#This Row],[DistanceFromHome]]&lt;=5,"1 to 5",IF(HR_Data[[#This Row],[DistanceFromHome]]&lt;=10,"6 to 10",IF(HR_Data[[#This Row],[DistanceFromHome]]&lt;=20,"11 to 20","21 to 29")))</f>
        <v>6 to 10</v>
      </c>
      <c r="AR193" s="1">
        <f>IF(HR_Data[[#This Row],[DistanceFromHome]]&lt;=5,1,IF(HR_Data[[#This Row],[DistanceFromHome]]&lt;=10,2,IF(HR_Data[[#This Row],[DistanceFromHome]]&lt;=20,3,4)))</f>
        <v>2</v>
      </c>
      <c r="AS193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93" s="1">
        <f>IF(HR_Data[[#This Row],[TotalWorkingYears]]&lt;=5,1,IF(HR_Data[[#This Row],[TotalWorkingYears]]&lt;=10,2,IF(HR_Data[[#This Row],[TotalWorkingYears]]&lt;=20,3,4)))</f>
        <v>2</v>
      </c>
    </row>
    <row r="194" spans="1:46" x14ac:dyDescent="0.25">
      <c r="A194">
        <v>35</v>
      </c>
      <c r="B194" t="s">
        <v>29</v>
      </c>
      <c r="C194" t="s">
        <v>30</v>
      </c>
      <c r="D194" t="s">
        <v>38</v>
      </c>
      <c r="E194">
        <v>23</v>
      </c>
      <c r="F194">
        <v>2</v>
      </c>
      <c r="G194" t="s">
        <v>32</v>
      </c>
      <c r="H194">
        <v>261</v>
      </c>
      <c r="I194">
        <v>2</v>
      </c>
      <c r="J194" t="s">
        <v>39</v>
      </c>
      <c r="K194">
        <v>2</v>
      </c>
      <c r="L194">
        <v>2</v>
      </c>
      <c r="M194" t="s">
        <v>46</v>
      </c>
      <c r="N194">
        <v>3</v>
      </c>
      <c r="O194" t="s">
        <v>41</v>
      </c>
      <c r="P194">
        <v>5916</v>
      </c>
      <c r="Q194">
        <v>3</v>
      </c>
      <c r="R194" t="s">
        <v>29</v>
      </c>
      <c r="S194">
        <v>13</v>
      </c>
      <c r="T194">
        <v>3</v>
      </c>
      <c r="U194">
        <v>1</v>
      </c>
      <c r="V194">
        <v>0</v>
      </c>
      <c r="W194">
        <v>8</v>
      </c>
      <c r="X194">
        <v>1</v>
      </c>
      <c r="Y194">
        <v>3</v>
      </c>
      <c r="Z194">
        <v>1</v>
      </c>
      <c r="AA194">
        <v>0</v>
      </c>
      <c r="AB194">
        <v>0</v>
      </c>
      <c r="AC194">
        <v>1</v>
      </c>
      <c r="AD194">
        <f>IF(HR_Data[[#This Row],[Attrition]]="Yes",1,0)</f>
        <v>1</v>
      </c>
      <c r="AE194" t="str">
        <f>IF(HR_Data[[#This Row],[Age]]&lt;=25,"18-25",IF(HR_Data[[#This Row],[Age]]&lt;=35,"26-35",IF(HR_Data[[#This Row],[Age]]&lt;=45,"36-45",IF(HR_Data[[#This Row],[Age]]&lt;=55,"46-55","55+"))))</f>
        <v>26-35</v>
      </c>
      <c r="AF194">
        <f>IF(HR_Data[[#This Row],[Age]]&lt;=25,1,IF(HR_Data[[#This Row],[Age]]&lt;=35,2,IF(HR_Data[[#This Row],[Age]]&lt;=45,3,IF(HR_Data[[#This Row],[Age]]&lt;=55,4,5))))</f>
        <v>2</v>
      </c>
      <c r="AG194" s="1" t="str">
        <f>IF(HR_Data[[#This Row],[MonthlyIncome]]&lt;3000,"&lt;3K",IF(HR_Data[[#This Row],[MonthlyIncome]]&lt;6000,"3K-6K",IF(HR_Data[[#This Row],[MonthlyIncome]]&lt;10000,"6K-10K","10K+")))</f>
        <v>3K-6K</v>
      </c>
      <c r="AH194" s="1">
        <f>IF(HR_Data[[#This Row],[MonthlyIncome]]&lt;3000,1,IF(HR_Data[[#This Row],[MonthlyIncome]]&lt;6000,2,IF(HR_Data[[#This Row],[MonthlyIncome]]&lt;10000,3,4)))</f>
        <v>2</v>
      </c>
      <c r="AI194" s="1" t="str">
        <f>IF(HR_Data[[#This Row],[YearsAtCompany]]&lt;=2,"0-2 Yrs",IF(HR_Data[[#This Row],[YearsAtCompany]]&lt;=5,"3-5 Yrs",IF(HR_Data[[#This Row],[YearsAtCompany]]&lt;=10,"6-10 Yrs","10+ Yrs")))</f>
        <v>0-2 Yrs</v>
      </c>
      <c r="AJ194" s="1">
        <f>IF(HR_Data[[#This Row],[YearsAtCompany]]&lt;=2,1,IF(HR_Data[[#This Row],[YearsAtCompany]]&lt;=5,2,IF(HR_Data[[#This Row],[YearsAtCompany]]&lt;=10,3,4)))</f>
        <v>1</v>
      </c>
      <c r="AK194" s="1" t="str">
        <f>CHOOSE(HR_Data[[#This Row],[Education]],"Below College","College","Bachelor","Master","Doctor")</f>
        <v>College</v>
      </c>
      <c r="AL194" s="1" t="str">
        <f>CHOOSE(HR_Data[[#This Row],[JobSatisfaction]],"Low","Medium","High","Very High")</f>
        <v>High</v>
      </c>
      <c r="AM194" s="1" t="str">
        <f>CHOOSE(HR_Data[[#This Row],[EnvironmentSatisfaction]],"Low","Medium","High","Very High")</f>
        <v>Medium</v>
      </c>
      <c r="AN194" s="1" t="str">
        <f>CHOOSE(HR_Data[[#This Row],[WorkLifeBalance]],"Bad","Good","Better","Best")</f>
        <v>Better</v>
      </c>
      <c r="AO194" s="1" t="str">
        <f>IF(HR_Data[[#This Row],[PercentSalaryHike]]&lt;=13,"11-13%",IF(HR_Data[[#This Row],[PercentSalaryHike]]&lt;=16,"14-16%",IF(HR_Data[[#This Row],[PercentSalaryHike]]&lt;=19,"17-19%","20-25%")))</f>
        <v>11-13%</v>
      </c>
      <c r="AP194" s="1">
        <f>IF(HR_Data[[#This Row],[PercentSalaryHike]]&lt;=13,1,IF(HR_Data[[#This Row],[PercentSalaryHike]]&lt;=16,2,IF(HR_Data[[#This Row],[PercentSalaryHike]]&lt;=19,3,4)))</f>
        <v>1</v>
      </c>
      <c r="AQ194" s="1" t="str">
        <f>IF(HR_Data[[#This Row],[DistanceFromHome]]&lt;=5,"1 to 5",IF(HR_Data[[#This Row],[DistanceFromHome]]&lt;=10,"6 to 10",IF(HR_Data[[#This Row],[DistanceFromHome]]&lt;=20,"11 to 20","21 to 29")))</f>
        <v>21 to 29</v>
      </c>
      <c r="AR194" s="1">
        <f>IF(HR_Data[[#This Row],[DistanceFromHome]]&lt;=5,1,IF(HR_Data[[#This Row],[DistanceFromHome]]&lt;=10,2,IF(HR_Data[[#This Row],[DistanceFromHome]]&lt;=20,3,4)))</f>
        <v>4</v>
      </c>
      <c r="AS194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94" s="1">
        <f>IF(HR_Data[[#This Row],[TotalWorkingYears]]&lt;=5,1,IF(HR_Data[[#This Row],[TotalWorkingYears]]&lt;=10,2,IF(HR_Data[[#This Row],[TotalWorkingYears]]&lt;=20,3,4)))</f>
        <v>2</v>
      </c>
    </row>
    <row r="195" spans="1:46" x14ac:dyDescent="0.25">
      <c r="A195">
        <v>43</v>
      </c>
      <c r="B195" t="s">
        <v>36</v>
      </c>
      <c r="C195" t="s">
        <v>48</v>
      </c>
      <c r="D195" t="s">
        <v>38</v>
      </c>
      <c r="E195">
        <v>7</v>
      </c>
      <c r="F195">
        <v>3</v>
      </c>
      <c r="G195" t="s">
        <v>44</v>
      </c>
      <c r="H195">
        <v>262</v>
      </c>
      <c r="I195">
        <v>4</v>
      </c>
      <c r="J195" t="s">
        <v>39</v>
      </c>
      <c r="K195">
        <v>4</v>
      </c>
      <c r="L195">
        <v>1</v>
      </c>
      <c r="M195" t="s">
        <v>40</v>
      </c>
      <c r="N195">
        <v>4</v>
      </c>
      <c r="O195" t="s">
        <v>45</v>
      </c>
      <c r="P195">
        <v>2089</v>
      </c>
      <c r="Q195">
        <v>4</v>
      </c>
      <c r="R195" t="s">
        <v>36</v>
      </c>
      <c r="S195">
        <v>14</v>
      </c>
      <c r="T195">
        <v>3</v>
      </c>
      <c r="U195">
        <v>4</v>
      </c>
      <c r="V195">
        <v>3</v>
      </c>
      <c r="W195">
        <v>7</v>
      </c>
      <c r="X195">
        <v>3</v>
      </c>
      <c r="Y195">
        <v>4</v>
      </c>
      <c r="Z195">
        <v>5</v>
      </c>
      <c r="AA195">
        <v>4</v>
      </c>
      <c r="AB195">
        <v>2</v>
      </c>
      <c r="AC195">
        <v>2</v>
      </c>
      <c r="AD195">
        <f>IF(HR_Data[[#This Row],[Attrition]]="Yes",1,0)</f>
        <v>0</v>
      </c>
      <c r="AE195" t="str">
        <f>IF(HR_Data[[#This Row],[Age]]&lt;=25,"18-25",IF(HR_Data[[#This Row],[Age]]&lt;=35,"26-35",IF(HR_Data[[#This Row],[Age]]&lt;=45,"36-45",IF(HR_Data[[#This Row],[Age]]&lt;=55,"46-55","55+"))))</f>
        <v>36-45</v>
      </c>
      <c r="AF195">
        <f>IF(HR_Data[[#This Row],[Age]]&lt;=25,1,IF(HR_Data[[#This Row],[Age]]&lt;=35,2,IF(HR_Data[[#This Row],[Age]]&lt;=45,3,IF(HR_Data[[#This Row],[Age]]&lt;=55,4,5))))</f>
        <v>3</v>
      </c>
      <c r="AG195" s="1" t="str">
        <f>IF(HR_Data[[#This Row],[MonthlyIncome]]&lt;3000,"&lt;3K",IF(HR_Data[[#This Row],[MonthlyIncome]]&lt;6000,"3K-6K",IF(HR_Data[[#This Row],[MonthlyIncome]]&lt;10000,"6K-10K","10K+")))</f>
        <v>&lt;3K</v>
      </c>
      <c r="AH195" s="1">
        <f>IF(HR_Data[[#This Row],[MonthlyIncome]]&lt;3000,1,IF(HR_Data[[#This Row],[MonthlyIncome]]&lt;6000,2,IF(HR_Data[[#This Row],[MonthlyIncome]]&lt;10000,3,4)))</f>
        <v>1</v>
      </c>
      <c r="AI195" s="1" t="str">
        <f>IF(HR_Data[[#This Row],[YearsAtCompany]]&lt;=2,"0-2 Yrs",IF(HR_Data[[#This Row],[YearsAtCompany]]&lt;=5,"3-5 Yrs",IF(HR_Data[[#This Row],[YearsAtCompany]]&lt;=10,"6-10 Yrs","10+ Yrs")))</f>
        <v>3-5 Yrs</v>
      </c>
      <c r="AJ195" s="1">
        <f>IF(HR_Data[[#This Row],[YearsAtCompany]]&lt;=2,1,IF(HR_Data[[#This Row],[YearsAtCompany]]&lt;=5,2,IF(HR_Data[[#This Row],[YearsAtCompany]]&lt;=10,3,4)))</f>
        <v>2</v>
      </c>
      <c r="AK195" s="1" t="str">
        <f>CHOOSE(HR_Data[[#This Row],[Education]],"Below College","College","Bachelor","Master","Doctor")</f>
        <v>Bachelor</v>
      </c>
      <c r="AL195" s="1" t="str">
        <f>CHOOSE(HR_Data[[#This Row],[JobSatisfaction]],"Low","Medium","High","Very High")</f>
        <v>Very High</v>
      </c>
      <c r="AM195" s="1" t="str">
        <f>CHOOSE(HR_Data[[#This Row],[EnvironmentSatisfaction]],"Low","Medium","High","Very High")</f>
        <v>Very High</v>
      </c>
      <c r="AN195" s="1" t="str">
        <f>CHOOSE(HR_Data[[#This Row],[WorkLifeBalance]],"Bad","Good","Better","Best")</f>
        <v>Best</v>
      </c>
      <c r="AO195" s="1" t="str">
        <f>IF(HR_Data[[#This Row],[PercentSalaryHike]]&lt;=13,"11-13%",IF(HR_Data[[#This Row],[PercentSalaryHike]]&lt;=16,"14-16%",IF(HR_Data[[#This Row],[PercentSalaryHike]]&lt;=19,"17-19%","20-25%")))</f>
        <v>14-16%</v>
      </c>
      <c r="AP195" s="1">
        <f>IF(HR_Data[[#This Row],[PercentSalaryHike]]&lt;=13,1,IF(HR_Data[[#This Row],[PercentSalaryHike]]&lt;=16,2,IF(HR_Data[[#This Row],[PercentSalaryHike]]&lt;=19,3,4)))</f>
        <v>2</v>
      </c>
      <c r="AQ195" s="1" t="str">
        <f>IF(HR_Data[[#This Row],[DistanceFromHome]]&lt;=5,"1 to 5",IF(HR_Data[[#This Row],[DistanceFromHome]]&lt;=10,"6 to 10",IF(HR_Data[[#This Row],[DistanceFromHome]]&lt;=20,"11 to 20","21 to 29")))</f>
        <v>6 to 10</v>
      </c>
      <c r="AR195" s="1">
        <f>IF(HR_Data[[#This Row],[DistanceFromHome]]&lt;=5,1,IF(HR_Data[[#This Row],[DistanceFromHome]]&lt;=10,2,IF(HR_Data[[#This Row],[DistanceFromHome]]&lt;=20,3,4)))</f>
        <v>2</v>
      </c>
      <c r="AS195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95" s="1">
        <f>IF(HR_Data[[#This Row],[TotalWorkingYears]]&lt;=5,1,IF(HR_Data[[#This Row],[TotalWorkingYears]]&lt;=10,2,IF(HR_Data[[#This Row],[TotalWorkingYears]]&lt;=20,3,4)))</f>
        <v>2</v>
      </c>
    </row>
    <row r="196" spans="1:46" x14ac:dyDescent="0.25">
      <c r="A196">
        <v>45</v>
      </c>
      <c r="B196" t="s">
        <v>36</v>
      </c>
      <c r="C196" t="s">
        <v>48</v>
      </c>
      <c r="D196" t="s">
        <v>38</v>
      </c>
      <c r="E196">
        <v>2</v>
      </c>
      <c r="F196">
        <v>2</v>
      </c>
      <c r="G196" t="s">
        <v>44</v>
      </c>
      <c r="H196">
        <v>264</v>
      </c>
      <c r="I196">
        <v>1</v>
      </c>
      <c r="J196" t="s">
        <v>39</v>
      </c>
      <c r="K196">
        <v>2</v>
      </c>
      <c r="L196">
        <v>4</v>
      </c>
      <c r="M196" t="s">
        <v>49</v>
      </c>
      <c r="N196">
        <v>4</v>
      </c>
      <c r="O196" t="s">
        <v>41</v>
      </c>
      <c r="P196">
        <v>16792</v>
      </c>
      <c r="Q196">
        <v>9</v>
      </c>
      <c r="R196" t="s">
        <v>36</v>
      </c>
      <c r="S196">
        <v>23</v>
      </c>
      <c r="T196">
        <v>4</v>
      </c>
      <c r="U196">
        <v>4</v>
      </c>
      <c r="V196">
        <v>1</v>
      </c>
      <c r="W196">
        <v>22</v>
      </c>
      <c r="X196">
        <v>1</v>
      </c>
      <c r="Y196">
        <v>3</v>
      </c>
      <c r="Z196">
        <v>20</v>
      </c>
      <c r="AA196">
        <v>8</v>
      </c>
      <c r="AB196">
        <v>11</v>
      </c>
      <c r="AC196">
        <v>8</v>
      </c>
      <c r="AD196">
        <f>IF(HR_Data[[#This Row],[Attrition]]="Yes",1,0)</f>
        <v>0</v>
      </c>
      <c r="AE196" t="str">
        <f>IF(HR_Data[[#This Row],[Age]]&lt;=25,"18-25",IF(HR_Data[[#This Row],[Age]]&lt;=35,"26-35",IF(HR_Data[[#This Row],[Age]]&lt;=45,"36-45",IF(HR_Data[[#This Row],[Age]]&lt;=55,"46-55","55+"))))</f>
        <v>36-45</v>
      </c>
      <c r="AF196">
        <f>IF(HR_Data[[#This Row],[Age]]&lt;=25,1,IF(HR_Data[[#This Row],[Age]]&lt;=35,2,IF(HR_Data[[#This Row],[Age]]&lt;=45,3,IF(HR_Data[[#This Row],[Age]]&lt;=55,4,5))))</f>
        <v>3</v>
      </c>
      <c r="AG196" s="1" t="str">
        <f>IF(HR_Data[[#This Row],[MonthlyIncome]]&lt;3000,"&lt;3K",IF(HR_Data[[#This Row],[MonthlyIncome]]&lt;6000,"3K-6K",IF(HR_Data[[#This Row],[MonthlyIncome]]&lt;10000,"6K-10K","10K+")))</f>
        <v>10K+</v>
      </c>
      <c r="AH196" s="1">
        <f>IF(HR_Data[[#This Row],[MonthlyIncome]]&lt;3000,1,IF(HR_Data[[#This Row],[MonthlyIncome]]&lt;6000,2,IF(HR_Data[[#This Row],[MonthlyIncome]]&lt;10000,3,4)))</f>
        <v>4</v>
      </c>
      <c r="AI196" s="1" t="str">
        <f>IF(HR_Data[[#This Row],[YearsAtCompany]]&lt;=2,"0-2 Yrs",IF(HR_Data[[#This Row],[YearsAtCompany]]&lt;=5,"3-5 Yrs",IF(HR_Data[[#This Row],[YearsAtCompany]]&lt;=10,"6-10 Yrs","10+ Yrs")))</f>
        <v>10+ Yrs</v>
      </c>
      <c r="AJ196" s="1">
        <f>IF(HR_Data[[#This Row],[YearsAtCompany]]&lt;=2,1,IF(HR_Data[[#This Row],[YearsAtCompany]]&lt;=5,2,IF(HR_Data[[#This Row],[YearsAtCompany]]&lt;=10,3,4)))</f>
        <v>4</v>
      </c>
      <c r="AK196" s="1" t="str">
        <f>CHOOSE(HR_Data[[#This Row],[Education]],"Below College","College","Bachelor","Master","Doctor")</f>
        <v>College</v>
      </c>
      <c r="AL196" s="1" t="str">
        <f>CHOOSE(HR_Data[[#This Row],[JobSatisfaction]],"Low","Medium","High","Very High")</f>
        <v>Very High</v>
      </c>
      <c r="AM196" s="1" t="str">
        <f>CHOOSE(HR_Data[[#This Row],[EnvironmentSatisfaction]],"Low","Medium","High","Very High")</f>
        <v>Low</v>
      </c>
      <c r="AN196" s="1" t="str">
        <f>CHOOSE(HR_Data[[#This Row],[WorkLifeBalance]],"Bad","Good","Better","Best")</f>
        <v>Better</v>
      </c>
      <c r="AO196" s="1" t="str">
        <f>IF(HR_Data[[#This Row],[PercentSalaryHike]]&lt;=13,"11-13%",IF(HR_Data[[#This Row],[PercentSalaryHike]]&lt;=16,"14-16%",IF(HR_Data[[#This Row],[PercentSalaryHike]]&lt;=19,"17-19%","20-25%")))</f>
        <v>20-25%</v>
      </c>
      <c r="AP196" s="1">
        <f>IF(HR_Data[[#This Row],[PercentSalaryHike]]&lt;=13,1,IF(HR_Data[[#This Row],[PercentSalaryHike]]&lt;=16,2,IF(HR_Data[[#This Row],[PercentSalaryHike]]&lt;=19,3,4)))</f>
        <v>4</v>
      </c>
      <c r="AQ196" s="1" t="str">
        <f>IF(HR_Data[[#This Row],[DistanceFromHome]]&lt;=5,"1 to 5",IF(HR_Data[[#This Row],[DistanceFromHome]]&lt;=10,"6 to 10",IF(HR_Data[[#This Row],[DistanceFromHome]]&lt;=20,"11 to 20","21 to 29")))</f>
        <v>1 to 5</v>
      </c>
      <c r="AR196" s="1">
        <f>IF(HR_Data[[#This Row],[DistanceFromHome]]&lt;=5,1,IF(HR_Data[[#This Row],[DistanceFromHome]]&lt;=10,2,IF(HR_Data[[#This Row],[DistanceFromHome]]&lt;=20,3,4)))</f>
        <v>1</v>
      </c>
      <c r="AS196" s="1" t="str">
        <f>IF(HR_Data[[#This Row],[TotalWorkingYears]]&lt;=5,"0-5 Yrs",IF(HR_Data[[#This Row],[TotalWorkingYears]]&lt;=10,"6-10 Yrs",IF(HR_Data[[#This Row],[TotalWorkingYears]]&lt;=20,"11-20 Yrs","20+ Yrs")))</f>
        <v>20+ Yrs</v>
      </c>
      <c r="AT196" s="1">
        <f>IF(HR_Data[[#This Row],[TotalWorkingYears]]&lt;=5,1,IF(HR_Data[[#This Row],[TotalWorkingYears]]&lt;=10,2,IF(HR_Data[[#This Row],[TotalWorkingYears]]&lt;=20,3,4)))</f>
        <v>4</v>
      </c>
    </row>
    <row r="197" spans="1:46" x14ac:dyDescent="0.25">
      <c r="A197">
        <v>37</v>
      </c>
      <c r="B197" t="s">
        <v>36</v>
      </c>
      <c r="C197" t="s">
        <v>30</v>
      </c>
      <c r="D197" t="s">
        <v>38</v>
      </c>
      <c r="E197">
        <v>21</v>
      </c>
      <c r="F197">
        <v>3</v>
      </c>
      <c r="G197" t="s">
        <v>32</v>
      </c>
      <c r="H197">
        <v>267</v>
      </c>
      <c r="I197">
        <v>2</v>
      </c>
      <c r="J197" t="s">
        <v>39</v>
      </c>
      <c r="K197">
        <v>4</v>
      </c>
      <c r="L197">
        <v>1</v>
      </c>
      <c r="M197" t="s">
        <v>40</v>
      </c>
      <c r="N197">
        <v>1</v>
      </c>
      <c r="O197" t="s">
        <v>41</v>
      </c>
      <c r="P197">
        <v>3564</v>
      </c>
      <c r="Q197">
        <v>1</v>
      </c>
      <c r="R197" t="s">
        <v>29</v>
      </c>
      <c r="S197">
        <v>12</v>
      </c>
      <c r="T197">
        <v>3</v>
      </c>
      <c r="U197">
        <v>1</v>
      </c>
      <c r="V197">
        <v>1</v>
      </c>
      <c r="W197">
        <v>8</v>
      </c>
      <c r="X197">
        <v>3</v>
      </c>
      <c r="Y197">
        <v>2</v>
      </c>
      <c r="Z197">
        <v>8</v>
      </c>
      <c r="AA197">
        <v>7</v>
      </c>
      <c r="AB197">
        <v>1</v>
      </c>
      <c r="AC197">
        <v>7</v>
      </c>
      <c r="AD197">
        <f>IF(HR_Data[[#This Row],[Attrition]]="Yes",1,0)</f>
        <v>0</v>
      </c>
      <c r="AE197" t="str">
        <f>IF(HR_Data[[#This Row],[Age]]&lt;=25,"18-25",IF(HR_Data[[#This Row],[Age]]&lt;=35,"26-35",IF(HR_Data[[#This Row],[Age]]&lt;=45,"36-45",IF(HR_Data[[#This Row],[Age]]&lt;=55,"46-55","55+"))))</f>
        <v>36-45</v>
      </c>
      <c r="AF197">
        <f>IF(HR_Data[[#This Row],[Age]]&lt;=25,1,IF(HR_Data[[#This Row],[Age]]&lt;=35,2,IF(HR_Data[[#This Row],[Age]]&lt;=45,3,IF(HR_Data[[#This Row],[Age]]&lt;=55,4,5))))</f>
        <v>3</v>
      </c>
      <c r="AG197" s="1" t="str">
        <f>IF(HR_Data[[#This Row],[MonthlyIncome]]&lt;3000,"&lt;3K",IF(HR_Data[[#This Row],[MonthlyIncome]]&lt;6000,"3K-6K",IF(HR_Data[[#This Row],[MonthlyIncome]]&lt;10000,"6K-10K","10K+")))</f>
        <v>3K-6K</v>
      </c>
      <c r="AH197" s="1">
        <f>IF(HR_Data[[#This Row],[MonthlyIncome]]&lt;3000,1,IF(HR_Data[[#This Row],[MonthlyIncome]]&lt;6000,2,IF(HR_Data[[#This Row],[MonthlyIncome]]&lt;10000,3,4)))</f>
        <v>2</v>
      </c>
      <c r="AI197" s="1" t="str">
        <f>IF(HR_Data[[#This Row],[YearsAtCompany]]&lt;=2,"0-2 Yrs",IF(HR_Data[[#This Row],[YearsAtCompany]]&lt;=5,"3-5 Yrs",IF(HR_Data[[#This Row],[YearsAtCompany]]&lt;=10,"6-10 Yrs","10+ Yrs")))</f>
        <v>6-10 Yrs</v>
      </c>
      <c r="AJ197" s="1">
        <f>IF(HR_Data[[#This Row],[YearsAtCompany]]&lt;=2,1,IF(HR_Data[[#This Row],[YearsAtCompany]]&lt;=5,2,IF(HR_Data[[#This Row],[YearsAtCompany]]&lt;=10,3,4)))</f>
        <v>3</v>
      </c>
      <c r="AK197" s="1" t="str">
        <f>CHOOSE(HR_Data[[#This Row],[Education]],"Below College","College","Bachelor","Master","Doctor")</f>
        <v>Bachelor</v>
      </c>
      <c r="AL197" s="1" t="str">
        <f>CHOOSE(HR_Data[[#This Row],[JobSatisfaction]],"Low","Medium","High","Very High")</f>
        <v>Low</v>
      </c>
      <c r="AM197" s="1" t="str">
        <f>CHOOSE(HR_Data[[#This Row],[EnvironmentSatisfaction]],"Low","Medium","High","Very High")</f>
        <v>Medium</v>
      </c>
      <c r="AN197" s="1" t="str">
        <f>CHOOSE(HR_Data[[#This Row],[WorkLifeBalance]],"Bad","Good","Better","Best")</f>
        <v>Good</v>
      </c>
      <c r="AO197" s="1" t="str">
        <f>IF(HR_Data[[#This Row],[PercentSalaryHike]]&lt;=13,"11-13%",IF(HR_Data[[#This Row],[PercentSalaryHike]]&lt;=16,"14-16%",IF(HR_Data[[#This Row],[PercentSalaryHike]]&lt;=19,"17-19%","20-25%")))</f>
        <v>11-13%</v>
      </c>
      <c r="AP197" s="1">
        <f>IF(HR_Data[[#This Row],[PercentSalaryHike]]&lt;=13,1,IF(HR_Data[[#This Row],[PercentSalaryHike]]&lt;=16,2,IF(HR_Data[[#This Row],[PercentSalaryHike]]&lt;=19,3,4)))</f>
        <v>1</v>
      </c>
      <c r="AQ197" s="1" t="str">
        <f>IF(HR_Data[[#This Row],[DistanceFromHome]]&lt;=5,"1 to 5",IF(HR_Data[[#This Row],[DistanceFromHome]]&lt;=10,"6 to 10",IF(HR_Data[[#This Row],[DistanceFromHome]]&lt;=20,"11 to 20","21 to 29")))</f>
        <v>21 to 29</v>
      </c>
      <c r="AR197" s="1">
        <f>IF(HR_Data[[#This Row],[DistanceFromHome]]&lt;=5,1,IF(HR_Data[[#This Row],[DistanceFromHome]]&lt;=10,2,IF(HR_Data[[#This Row],[DistanceFromHome]]&lt;=20,3,4)))</f>
        <v>4</v>
      </c>
      <c r="AS197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97" s="1">
        <f>IF(HR_Data[[#This Row],[TotalWorkingYears]]&lt;=5,1,IF(HR_Data[[#This Row],[TotalWorkingYears]]&lt;=10,2,IF(HR_Data[[#This Row],[TotalWorkingYears]]&lt;=20,3,4)))</f>
        <v>2</v>
      </c>
    </row>
    <row r="198" spans="1:46" x14ac:dyDescent="0.25">
      <c r="A198">
        <v>35</v>
      </c>
      <c r="B198" t="s">
        <v>36</v>
      </c>
      <c r="C198" t="s">
        <v>37</v>
      </c>
      <c r="D198" t="s">
        <v>38</v>
      </c>
      <c r="E198">
        <v>2</v>
      </c>
      <c r="F198">
        <v>3</v>
      </c>
      <c r="G198" t="s">
        <v>44</v>
      </c>
      <c r="H198">
        <v>269</v>
      </c>
      <c r="I198">
        <v>2</v>
      </c>
      <c r="J198" t="s">
        <v>33</v>
      </c>
      <c r="K198">
        <v>3</v>
      </c>
      <c r="L198">
        <v>2</v>
      </c>
      <c r="M198" t="s">
        <v>43</v>
      </c>
      <c r="N198">
        <v>2</v>
      </c>
      <c r="O198" t="s">
        <v>35</v>
      </c>
      <c r="P198">
        <v>4425</v>
      </c>
      <c r="Q198">
        <v>5</v>
      </c>
      <c r="R198" t="s">
        <v>36</v>
      </c>
      <c r="S198">
        <v>11</v>
      </c>
      <c r="T198">
        <v>3</v>
      </c>
      <c r="U198">
        <v>4</v>
      </c>
      <c r="V198">
        <v>0</v>
      </c>
      <c r="W198">
        <v>10</v>
      </c>
      <c r="X198">
        <v>5</v>
      </c>
      <c r="Y198">
        <v>3</v>
      </c>
      <c r="Z198">
        <v>6</v>
      </c>
      <c r="AA198">
        <v>2</v>
      </c>
      <c r="AB198">
        <v>1</v>
      </c>
      <c r="AC198">
        <v>2</v>
      </c>
      <c r="AD198">
        <f>IF(HR_Data[[#This Row],[Attrition]]="Yes",1,0)</f>
        <v>0</v>
      </c>
      <c r="AE198" t="str">
        <f>IF(HR_Data[[#This Row],[Age]]&lt;=25,"18-25",IF(HR_Data[[#This Row],[Age]]&lt;=35,"26-35",IF(HR_Data[[#This Row],[Age]]&lt;=45,"36-45",IF(HR_Data[[#This Row],[Age]]&lt;=55,"46-55","55+"))))</f>
        <v>26-35</v>
      </c>
      <c r="AF198">
        <f>IF(HR_Data[[#This Row],[Age]]&lt;=25,1,IF(HR_Data[[#This Row],[Age]]&lt;=35,2,IF(HR_Data[[#This Row],[Age]]&lt;=45,3,IF(HR_Data[[#This Row],[Age]]&lt;=55,4,5))))</f>
        <v>2</v>
      </c>
      <c r="AG198" s="1" t="str">
        <f>IF(HR_Data[[#This Row],[MonthlyIncome]]&lt;3000,"&lt;3K",IF(HR_Data[[#This Row],[MonthlyIncome]]&lt;6000,"3K-6K",IF(HR_Data[[#This Row],[MonthlyIncome]]&lt;10000,"6K-10K","10K+")))</f>
        <v>3K-6K</v>
      </c>
      <c r="AH198" s="1">
        <f>IF(HR_Data[[#This Row],[MonthlyIncome]]&lt;3000,1,IF(HR_Data[[#This Row],[MonthlyIncome]]&lt;6000,2,IF(HR_Data[[#This Row],[MonthlyIncome]]&lt;10000,3,4)))</f>
        <v>2</v>
      </c>
      <c r="AI198" s="1" t="str">
        <f>IF(HR_Data[[#This Row],[YearsAtCompany]]&lt;=2,"0-2 Yrs",IF(HR_Data[[#This Row],[YearsAtCompany]]&lt;=5,"3-5 Yrs",IF(HR_Data[[#This Row],[YearsAtCompany]]&lt;=10,"6-10 Yrs","10+ Yrs")))</f>
        <v>6-10 Yrs</v>
      </c>
      <c r="AJ198" s="1">
        <f>IF(HR_Data[[#This Row],[YearsAtCompany]]&lt;=2,1,IF(HR_Data[[#This Row],[YearsAtCompany]]&lt;=5,2,IF(HR_Data[[#This Row],[YearsAtCompany]]&lt;=10,3,4)))</f>
        <v>3</v>
      </c>
      <c r="AK198" s="1" t="str">
        <f>CHOOSE(HR_Data[[#This Row],[Education]],"Below College","College","Bachelor","Master","Doctor")</f>
        <v>Bachelor</v>
      </c>
      <c r="AL198" s="1" t="str">
        <f>CHOOSE(HR_Data[[#This Row],[JobSatisfaction]],"Low","Medium","High","Very High")</f>
        <v>Medium</v>
      </c>
      <c r="AM198" s="1" t="str">
        <f>CHOOSE(HR_Data[[#This Row],[EnvironmentSatisfaction]],"Low","Medium","High","Very High")</f>
        <v>Medium</v>
      </c>
      <c r="AN198" s="1" t="str">
        <f>CHOOSE(HR_Data[[#This Row],[WorkLifeBalance]],"Bad","Good","Better","Best")</f>
        <v>Better</v>
      </c>
      <c r="AO198" s="1" t="str">
        <f>IF(HR_Data[[#This Row],[PercentSalaryHike]]&lt;=13,"11-13%",IF(HR_Data[[#This Row],[PercentSalaryHike]]&lt;=16,"14-16%",IF(HR_Data[[#This Row],[PercentSalaryHike]]&lt;=19,"17-19%","20-25%")))</f>
        <v>11-13%</v>
      </c>
      <c r="AP198" s="1">
        <f>IF(HR_Data[[#This Row],[PercentSalaryHike]]&lt;=13,1,IF(HR_Data[[#This Row],[PercentSalaryHike]]&lt;=16,2,IF(HR_Data[[#This Row],[PercentSalaryHike]]&lt;=19,3,4)))</f>
        <v>1</v>
      </c>
      <c r="AQ198" s="1" t="str">
        <f>IF(HR_Data[[#This Row],[DistanceFromHome]]&lt;=5,"1 to 5",IF(HR_Data[[#This Row],[DistanceFromHome]]&lt;=10,"6 to 10",IF(HR_Data[[#This Row],[DistanceFromHome]]&lt;=20,"11 to 20","21 to 29")))</f>
        <v>1 to 5</v>
      </c>
      <c r="AR198" s="1">
        <f>IF(HR_Data[[#This Row],[DistanceFromHome]]&lt;=5,1,IF(HR_Data[[#This Row],[DistanceFromHome]]&lt;=10,2,IF(HR_Data[[#This Row],[DistanceFromHome]]&lt;=20,3,4)))</f>
        <v>1</v>
      </c>
      <c r="AS198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98" s="1">
        <f>IF(HR_Data[[#This Row],[TotalWorkingYears]]&lt;=5,1,IF(HR_Data[[#This Row],[TotalWorkingYears]]&lt;=10,2,IF(HR_Data[[#This Row],[TotalWorkingYears]]&lt;=20,3,4)))</f>
        <v>2</v>
      </c>
    </row>
    <row r="199" spans="1:46" x14ac:dyDescent="0.25">
      <c r="A199">
        <v>42</v>
      </c>
      <c r="B199" t="s">
        <v>36</v>
      </c>
      <c r="C199" t="s">
        <v>48</v>
      </c>
      <c r="D199" t="s">
        <v>38</v>
      </c>
      <c r="E199">
        <v>21</v>
      </c>
      <c r="F199">
        <v>2</v>
      </c>
      <c r="G199" t="s">
        <v>44</v>
      </c>
      <c r="H199">
        <v>270</v>
      </c>
      <c r="I199">
        <v>3</v>
      </c>
      <c r="J199" t="s">
        <v>33</v>
      </c>
      <c r="K199">
        <v>3</v>
      </c>
      <c r="L199">
        <v>2</v>
      </c>
      <c r="M199" t="s">
        <v>46</v>
      </c>
      <c r="N199">
        <v>3</v>
      </c>
      <c r="O199" t="s">
        <v>45</v>
      </c>
      <c r="P199">
        <v>5265</v>
      </c>
      <c r="Q199">
        <v>2</v>
      </c>
      <c r="R199" t="s">
        <v>36</v>
      </c>
      <c r="S199">
        <v>16</v>
      </c>
      <c r="T199">
        <v>3</v>
      </c>
      <c r="U199">
        <v>2</v>
      </c>
      <c r="V199">
        <v>1</v>
      </c>
      <c r="W199">
        <v>11</v>
      </c>
      <c r="X199">
        <v>5</v>
      </c>
      <c r="Y199">
        <v>3</v>
      </c>
      <c r="Z199">
        <v>5</v>
      </c>
      <c r="AA199">
        <v>3</v>
      </c>
      <c r="AB199">
        <v>0</v>
      </c>
      <c r="AC199">
        <v>2</v>
      </c>
      <c r="AD199">
        <f>IF(HR_Data[[#This Row],[Attrition]]="Yes",1,0)</f>
        <v>0</v>
      </c>
      <c r="AE199" t="str">
        <f>IF(HR_Data[[#This Row],[Age]]&lt;=25,"18-25",IF(HR_Data[[#This Row],[Age]]&lt;=35,"26-35",IF(HR_Data[[#This Row],[Age]]&lt;=45,"36-45",IF(HR_Data[[#This Row],[Age]]&lt;=55,"46-55","55+"))))</f>
        <v>36-45</v>
      </c>
      <c r="AF199">
        <f>IF(HR_Data[[#This Row],[Age]]&lt;=25,1,IF(HR_Data[[#This Row],[Age]]&lt;=35,2,IF(HR_Data[[#This Row],[Age]]&lt;=45,3,IF(HR_Data[[#This Row],[Age]]&lt;=55,4,5))))</f>
        <v>3</v>
      </c>
      <c r="AG199" s="1" t="str">
        <f>IF(HR_Data[[#This Row],[MonthlyIncome]]&lt;3000,"&lt;3K",IF(HR_Data[[#This Row],[MonthlyIncome]]&lt;6000,"3K-6K",IF(HR_Data[[#This Row],[MonthlyIncome]]&lt;10000,"6K-10K","10K+")))</f>
        <v>3K-6K</v>
      </c>
      <c r="AH199" s="1">
        <f>IF(HR_Data[[#This Row],[MonthlyIncome]]&lt;3000,1,IF(HR_Data[[#This Row],[MonthlyIncome]]&lt;6000,2,IF(HR_Data[[#This Row],[MonthlyIncome]]&lt;10000,3,4)))</f>
        <v>2</v>
      </c>
      <c r="AI199" s="1" t="str">
        <f>IF(HR_Data[[#This Row],[YearsAtCompany]]&lt;=2,"0-2 Yrs",IF(HR_Data[[#This Row],[YearsAtCompany]]&lt;=5,"3-5 Yrs",IF(HR_Data[[#This Row],[YearsAtCompany]]&lt;=10,"6-10 Yrs","10+ Yrs")))</f>
        <v>3-5 Yrs</v>
      </c>
      <c r="AJ199" s="1">
        <f>IF(HR_Data[[#This Row],[YearsAtCompany]]&lt;=2,1,IF(HR_Data[[#This Row],[YearsAtCompany]]&lt;=5,2,IF(HR_Data[[#This Row],[YearsAtCompany]]&lt;=10,3,4)))</f>
        <v>2</v>
      </c>
      <c r="AK199" s="1" t="str">
        <f>CHOOSE(HR_Data[[#This Row],[Education]],"Below College","College","Bachelor","Master","Doctor")</f>
        <v>College</v>
      </c>
      <c r="AL199" s="1" t="str">
        <f>CHOOSE(HR_Data[[#This Row],[JobSatisfaction]],"Low","Medium","High","Very High")</f>
        <v>High</v>
      </c>
      <c r="AM199" s="1" t="str">
        <f>CHOOSE(HR_Data[[#This Row],[EnvironmentSatisfaction]],"Low","Medium","High","Very High")</f>
        <v>High</v>
      </c>
      <c r="AN199" s="1" t="str">
        <f>CHOOSE(HR_Data[[#This Row],[WorkLifeBalance]],"Bad","Good","Better","Best")</f>
        <v>Better</v>
      </c>
      <c r="AO199" s="1" t="str">
        <f>IF(HR_Data[[#This Row],[PercentSalaryHike]]&lt;=13,"11-13%",IF(HR_Data[[#This Row],[PercentSalaryHike]]&lt;=16,"14-16%",IF(HR_Data[[#This Row],[PercentSalaryHike]]&lt;=19,"17-19%","20-25%")))</f>
        <v>14-16%</v>
      </c>
      <c r="AP199" s="1">
        <f>IF(HR_Data[[#This Row],[PercentSalaryHike]]&lt;=13,1,IF(HR_Data[[#This Row],[PercentSalaryHike]]&lt;=16,2,IF(HR_Data[[#This Row],[PercentSalaryHike]]&lt;=19,3,4)))</f>
        <v>2</v>
      </c>
      <c r="AQ199" s="1" t="str">
        <f>IF(HR_Data[[#This Row],[DistanceFromHome]]&lt;=5,"1 to 5",IF(HR_Data[[#This Row],[DistanceFromHome]]&lt;=10,"6 to 10",IF(HR_Data[[#This Row],[DistanceFromHome]]&lt;=20,"11 to 20","21 to 29")))</f>
        <v>21 to 29</v>
      </c>
      <c r="AR199" s="1">
        <f>IF(HR_Data[[#This Row],[DistanceFromHome]]&lt;=5,1,IF(HR_Data[[#This Row],[DistanceFromHome]]&lt;=10,2,IF(HR_Data[[#This Row],[DistanceFromHome]]&lt;=20,3,4)))</f>
        <v>4</v>
      </c>
      <c r="AS199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99" s="1">
        <f>IF(HR_Data[[#This Row],[TotalWorkingYears]]&lt;=5,1,IF(HR_Data[[#This Row],[TotalWorkingYears]]&lt;=10,2,IF(HR_Data[[#This Row],[TotalWorkingYears]]&lt;=20,3,4)))</f>
        <v>3</v>
      </c>
    </row>
    <row r="200" spans="1:46" x14ac:dyDescent="0.25">
      <c r="A200">
        <v>38</v>
      </c>
      <c r="B200" t="s">
        <v>36</v>
      </c>
      <c r="C200" t="s">
        <v>30</v>
      </c>
      <c r="D200" t="s">
        <v>38</v>
      </c>
      <c r="E200">
        <v>2</v>
      </c>
      <c r="F200">
        <v>4</v>
      </c>
      <c r="G200" t="s">
        <v>32</v>
      </c>
      <c r="H200">
        <v>271</v>
      </c>
      <c r="I200">
        <v>4</v>
      </c>
      <c r="J200" t="s">
        <v>39</v>
      </c>
      <c r="K200">
        <v>3</v>
      </c>
      <c r="L200">
        <v>2</v>
      </c>
      <c r="M200" t="s">
        <v>46</v>
      </c>
      <c r="N200">
        <v>3</v>
      </c>
      <c r="O200" t="s">
        <v>41</v>
      </c>
      <c r="P200">
        <v>6553</v>
      </c>
      <c r="Q200">
        <v>9</v>
      </c>
      <c r="R200" t="s">
        <v>36</v>
      </c>
      <c r="S200">
        <v>14</v>
      </c>
      <c r="T200">
        <v>3</v>
      </c>
      <c r="U200">
        <v>2</v>
      </c>
      <c r="V200">
        <v>0</v>
      </c>
      <c r="W200">
        <v>14</v>
      </c>
      <c r="X200">
        <v>3</v>
      </c>
      <c r="Y200">
        <v>3</v>
      </c>
      <c r="Z200">
        <v>1</v>
      </c>
      <c r="AA200">
        <v>0</v>
      </c>
      <c r="AB200">
        <v>0</v>
      </c>
      <c r="AC200">
        <v>0</v>
      </c>
      <c r="AD200">
        <f>IF(HR_Data[[#This Row],[Attrition]]="Yes",1,0)</f>
        <v>0</v>
      </c>
      <c r="AE200" t="str">
        <f>IF(HR_Data[[#This Row],[Age]]&lt;=25,"18-25",IF(HR_Data[[#This Row],[Age]]&lt;=35,"26-35",IF(HR_Data[[#This Row],[Age]]&lt;=45,"36-45",IF(HR_Data[[#This Row],[Age]]&lt;=55,"46-55","55+"))))</f>
        <v>36-45</v>
      </c>
      <c r="AF200">
        <f>IF(HR_Data[[#This Row],[Age]]&lt;=25,1,IF(HR_Data[[#This Row],[Age]]&lt;=35,2,IF(HR_Data[[#This Row],[Age]]&lt;=45,3,IF(HR_Data[[#This Row],[Age]]&lt;=55,4,5))))</f>
        <v>3</v>
      </c>
      <c r="AG200" s="1" t="str">
        <f>IF(HR_Data[[#This Row],[MonthlyIncome]]&lt;3000,"&lt;3K",IF(HR_Data[[#This Row],[MonthlyIncome]]&lt;6000,"3K-6K",IF(HR_Data[[#This Row],[MonthlyIncome]]&lt;10000,"6K-10K","10K+")))</f>
        <v>6K-10K</v>
      </c>
      <c r="AH200" s="1">
        <f>IF(HR_Data[[#This Row],[MonthlyIncome]]&lt;3000,1,IF(HR_Data[[#This Row],[MonthlyIncome]]&lt;6000,2,IF(HR_Data[[#This Row],[MonthlyIncome]]&lt;10000,3,4)))</f>
        <v>3</v>
      </c>
      <c r="AI200" s="1" t="str">
        <f>IF(HR_Data[[#This Row],[YearsAtCompany]]&lt;=2,"0-2 Yrs",IF(HR_Data[[#This Row],[YearsAtCompany]]&lt;=5,"3-5 Yrs",IF(HR_Data[[#This Row],[YearsAtCompany]]&lt;=10,"6-10 Yrs","10+ Yrs")))</f>
        <v>0-2 Yrs</v>
      </c>
      <c r="AJ200" s="1">
        <f>IF(HR_Data[[#This Row],[YearsAtCompany]]&lt;=2,1,IF(HR_Data[[#This Row],[YearsAtCompany]]&lt;=5,2,IF(HR_Data[[#This Row],[YearsAtCompany]]&lt;=10,3,4)))</f>
        <v>1</v>
      </c>
      <c r="AK200" s="1" t="str">
        <f>CHOOSE(HR_Data[[#This Row],[Education]],"Below College","College","Bachelor","Master","Doctor")</f>
        <v>Master</v>
      </c>
      <c r="AL200" s="1" t="str">
        <f>CHOOSE(HR_Data[[#This Row],[JobSatisfaction]],"Low","Medium","High","Very High")</f>
        <v>High</v>
      </c>
      <c r="AM200" s="1" t="str">
        <f>CHOOSE(HR_Data[[#This Row],[EnvironmentSatisfaction]],"Low","Medium","High","Very High")</f>
        <v>Very High</v>
      </c>
      <c r="AN200" s="1" t="str">
        <f>CHOOSE(HR_Data[[#This Row],[WorkLifeBalance]],"Bad","Good","Better","Best")</f>
        <v>Better</v>
      </c>
      <c r="AO200" s="1" t="str">
        <f>IF(HR_Data[[#This Row],[PercentSalaryHike]]&lt;=13,"11-13%",IF(HR_Data[[#This Row],[PercentSalaryHike]]&lt;=16,"14-16%",IF(HR_Data[[#This Row],[PercentSalaryHike]]&lt;=19,"17-19%","20-25%")))</f>
        <v>14-16%</v>
      </c>
      <c r="AP200" s="1">
        <f>IF(HR_Data[[#This Row],[PercentSalaryHike]]&lt;=13,1,IF(HR_Data[[#This Row],[PercentSalaryHike]]&lt;=16,2,IF(HR_Data[[#This Row],[PercentSalaryHike]]&lt;=19,3,4)))</f>
        <v>2</v>
      </c>
      <c r="AQ200" s="1" t="str">
        <f>IF(HR_Data[[#This Row],[DistanceFromHome]]&lt;=5,"1 to 5",IF(HR_Data[[#This Row],[DistanceFromHome]]&lt;=10,"6 to 10",IF(HR_Data[[#This Row],[DistanceFromHome]]&lt;=20,"11 to 20","21 to 29")))</f>
        <v>1 to 5</v>
      </c>
      <c r="AR200" s="1">
        <f>IF(HR_Data[[#This Row],[DistanceFromHome]]&lt;=5,1,IF(HR_Data[[#This Row],[DistanceFromHome]]&lt;=10,2,IF(HR_Data[[#This Row],[DistanceFromHome]]&lt;=20,3,4)))</f>
        <v>1</v>
      </c>
      <c r="AS200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200" s="1">
        <f>IF(HR_Data[[#This Row],[TotalWorkingYears]]&lt;=5,1,IF(HR_Data[[#This Row],[TotalWorkingYears]]&lt;=10,2,IF(HR_Data[[#This Row],[TotalWorkingYears]]&lt;=20,3,4)))</f>
        <v>3</v>
      </c>
    </row>
    <row r="201" spans="1:46" x14ac:dyDescent="0.25">
      <c r="A201">
        <v>38</v>
      </c>
      <c r="B201" t="s">
        <v>36</v>
      </c>
      <c r="C201" t="s">
        <v>30</v>
      </c>
      <c r="D201" t="s">
        <v>38</v>
      </c>
      <c r="E201">
        <v>29</v>
      </c>
      <c r="F201">
        <v>3</v>
      </c>
      <c r="G201" t="s">
        <v>53</v>
      </c>
      <c r="H201">
        <v>273</v>
      </c>
      <c r="I201">
        <v>4</v>
      </c>
      <c r="J201" t="s">
        <v>39</v>
      </c>
      <c r="K201">
        <v>3</v>
      </c>
      <c r="L201">
        <v>2</v>
      </c>
      <c r="M201" t="s">
        <v>46</v>
      </c>
      <c r="N201">
        <v>4</v>
      </c>
      <c r="O201" t="s">
        <v>41</v>
      </c>
      <c r="P201">
        <v>6261</v>
      </c>
      <c r="Q201">
        <v>3</v>
      </c>
      <c r="R201" t="s">
        <v>36</v>
      </c>
      <c r="S201">
        <v>18</v>
      </c>
      <c r="T201">
        <v>3</v>
      </c>
      <c r="U201">
        <v>1</v>
      </c>
      <c r="V201">
        <v>1</v>
      </c>
      <c r="W201">
        <v>9</v>
      </c>
      <c r="X201">
        <v>3</v>
      </c>
      <c r="Y201">
        <v>1</v>
      </c>
      <c r="Z201">
        <v>7</v>
      </c>
      <c r="AA201">
        <v>7</v>
      </c>
      <c r="AB201">
        <v>1</v>
      </c>
      <c r="AC201">
        <v>7</v>
      </c>
      <c r="AD201">
        <f>IF(HR_Data[[#This Row],[Attrition]]="Yes",1,0)</f>
        <v>0</v>
      </c>
      <c r="AE201" t="str">
        <f>IF(HR_Data[[#This Row],[Age]]&lt;=25,"18-25",IF(HR_Data[[#This Row],[Age]]&lt;=35,"26-35",IF(HR_Data[[#This Row],[Age]]&lt;=45,"36-45",IF(HR_Data[[#This Row],[Age]]&lt;=55,"46-55","55+"))))</f>
        <v>36-45</v>
      </c>
      <c r="AF201">
        <f>IF(HR_Data[[#This Row],[Age]]&lt;=25,1,IF(HR_Data[[#This Row],[Age]]&lt;=35,2,IF(HR_Data[[#This Row],[Age]]&lt;=45,3,IF(HR_Data[[#This Row],[Age]]&lt;=55,4,5))))</f>
        <v>3</v>
      </c>
      <c r="AG201" s="1" t="str">
        <f>IF(HR_Data[[#This Row],[MonthlyIncome]]&lt;3000,"&lt;3K",IF(HR_Data[[#This Row],[MonthlyIncome]]&lt;6000,"3K-6K",IF(HR_Data[[#This Row],[MonthlyIncome]]&lt;10000,"6K-10K","10K+")))</f>
        <v>6K-10K</v>
      </c>
      <c r="AH201" s="1">
        <f>IF(HR_Data[[#This Row],[MonthlyIncome]]&lt;3000,1,IF(HR_Data[[#This Row],[MonthlyIncome]]&lt;6000,2,IF(HR_Data[[#This Row],[MonthlyIncome]]&lt;10000,3,4)))</f>
        <v>3</v>
      </c>
      <c r="AI201" s="1" t="str">
        <f>IF(HR_Data[[#This Row],[YearsAtCompany]]&lt;=2,"0-2 Yrs",IF(HR_Data[[#This Row],[YearsAtCompany]]&lt;=5,"3-5 Yrs",IF(HR_Data[[#This Row],[YearsAtCompany]]&lt;=10,"6-10 Yrs","10+ Yrs")))</f>
        <v>6-10 Yrs</v>
      </c>
      <c r="AJ201" s="1">
        <f>IF(HR_Data[[#This Row],[YearsAtCompany]]&lt;=2,1,IF(HR_Data[[#This Row],[YearsAtCompany]]&lt;=5,2,IF(HR_Data[[#This Row],[YearsAtCompany]]&lt;=10,3,4)))</f>
        <v>3</v>
      </c>
      <c r="AK201" s="1" t="str">
        <f>CHOOSE(HR_Data[[#This Row],[Education]],"Below College","College","Bachelor","Master","Doctor")</f>
        <v>Bachelor</v>
      </c>
      <c r="AL201" s="1" t="str">
        <f>CHOOSE(HR_Data[[#This Row],[JobSatisfaction]],"Low","Medium","High","Very High")</f>
        <v>Very High</v>
      </c>
      <c r="AM201" s="1" t="str">
        <f>CHOOSE(HR_Data[[#This Row],[EnvironmentSatisfaction]],"Low","Medium","High","Very High")</f>
        <v>Very High</v>
      </c>
      <c r="AN201" s="1" t="str">
        <f>CHOOSE(HR_Data[[#This Row],[WorkLifeBalance]],"Bad","Good","Better","Best")</f>
        <v>Bad</v>
      </c>
      <c r="AO201" s="1" t="str">
        <f>IF(HR_Data[[#This Row],[PercentSalaryHike]]&lt;=13,"11-13%",IF(HR_Data[[#This Row],[PercentSalaryHike]]&lt;=16,"14-16%",IF(HR_Data[[#This Row],[PercentSalaryHike]]&lt;=19,"17-19%","20-25%")))</f>
        <v>17-19%</v>
      </c>
      <c r="AP201" s="1">
        <f>IF(HR_Data[[#This Row],[PercentSalaryHike]]&lt;=13,1,IF(HR_Data[[#This Row],[PercentSalaryHike]]&lt;=16,2,IF(HR_Data[[#This Row],[PercentSalaryHike]]&lt;=19,3,4)))</f>
        <v>3</v>
      </c>
      <c r="AQ201" s="1" t="str">
        <f>IF(HR_Data[[#This Row],[DistanceFromHome]]&lt;=5,"1 to 5",IF(HR_Data[[#This Row],[DistanceFromHome]]&lt;=10,"6 to 10",IF(HR_Data[[#This Row],[DistanceFromHome]]&lt;=20,"11 to 20","21 to 29")))</f>
        <v>21 to 29</v>
      </c>
      <c r="AR201" s="1">
        <f>IF(HR_Data[[#This Row],[DistanceFromHome]]&lt;=5,1,IF(HR_Data[[#This Row],[DistanceFromHome]]&lt;=10,2,IF(HR_Data[[#This Row],[DistanceFromHome]]&lt;=20,3,4)))</f>
        <v>4</v>
      </c>
      <c r="AS201" s="1" t="str">
        <f>IF(HR_Data[[#This Row],[TotalWorkingYears]]&lt;=5,"0-5 Yrs",IF(HR_Data[[#This Row],[TotalWorkingYears]]&lt;=10,"6-10 Yrs",IF(HR_Data[[#This Row],[TotalWorkingYears]]&lt;=20,"11-20 Yrs","20+ Yrs")))</f>
        <v>6-10 Yrs</v>
      </c>
      <c r="AT201" s="1">
        <f>IF(HR_Data[[#This Row],[TotalWorkingYears]]&lt;=5,1,IF(HR_Data[[#This Row],[TotalWorkingYears]]&lt;=10,2,IF(HR_Data[[#This Row],[TotalWorkingYears]]&lt;=20,3,4)))</f>
        <v>2</v>
      </c>
    </row>
    <row r="202" spans="1:46" x14ac:dyDescent="0.25">
      <c r="A202">
        <v>27</v>
      </c>
      <c r="B202" t="s">
        <v>36</v>
      </c>
      <c r="C202" t="s">
        <v>37</v>
      </c>
      <c r="D202" t="s">
        <v>38</v>
      </c>
      <c r="E202">
        <v>1</v>
      </c>
      <c r="F202">
        <v>1</v>
      </c>
      <c r="G202" t="s">
        <v>53</v>
      </c>
      <c r="H202">
        <v>274</v>
      </c>
      <c r="I202">
        <v>3</v>
      </c>
      <c r="J202" t="s">
        <v>39</v>
      </c>
      <c r="K202">
        <v>2</v>
      </c>
      <c r="L202">
        <v>2</v>
      </c>
      <c r="M202" t="s">
        <v>46</v>
      </c>
      <c r="N202">
        <v>1</v>
      </c>
      <c r="O202" t="s">
        <v>41</v>
      </c>
      <c r="P202">
        <v>4298</v>
      </c>
      <c r="Q202">
        <v>5</v>
      </c>
      <c r="R202" t="s">
        <v>36</v>
      </c>
      <c r="S202">
        <v>19</v>
      </c>
      <c r="T202">
        <v>3</v>
      </c>
      <c r="U202">
        <v>3</v>
      </c>
      <c r="V202">
        <v>1</v>
      </c>
      <c r="W202">
        <v>6</v>
      </c>
      <c r="X202">
        <v>1</v>
      </c>
      <c r="Y202">
        <v>3</v>
      </c>
      <c r="Z202">
        <v>2</v>
      </c>
      <c r="AA202">
        <v>2</v>
      </c>
      <c r="AB202">
        <v>2</v>
      </c>
      <c r="AC202">
        <v>0</v>
      </c>
      <c r="AD202">
        <f>IF(HR_Data[[#This Row],[Attrition]]="Yes",1,0)</f>
        <v>0</v>
      </c>
      <c r="AE202" t="str">
        <f>IF(HR_Data[[#This Row],[Age]]&lt;=25,"18-25",IF(HR_Data[[#This Row],[Age]]&lt;=35,"26-35",IF(HR_Data[[#This Row],[Age]]&lt;=45,"36-45",IF(HR_Data[[#This Row],[Age]]&lt;=55,"46-55","55+"))))</f>
        <v>26-35</v>
      </c>
      <c r="AF202">
        <f>IF(HR_Data[[#This Row],[Age]]&lt;=25,1,IF(HR_Data[[#This Row],[Age]]&lt;=35,2,IF(HR_Data[[#This Row],[Age]]&lt;=45,3,IF(HR_Data[[#This Row],[Age]]&lt;=55,4,5))))</f>
        <v>2</v>
      </c>
      <c r="AG202" s="1" t="str">
        <f>IF(HR_Data[[#This Row],[MonthlyIncome]]&lt;3000,"&lt;3K",IF(HR_Data[[#This Row],[MonthlyIncome]]&lt;6000,"3K-6K",IF(HR_Data[[#This Row],[MonthlyIncome]]&lt;10000,"6K-10K","10K+")))</f>
        <v>3K-6K</v>
      </c>
      <c r="AH202" s="1">
        <f>IF(HR_Data[[#This Row],[MonthlyIncome]]&lt;3000,1,IF(HR_Data[[#This Row],[MonthlyIncome]]&lt;6000,2,IF(HR_Data[[#This Row],[MonthlyIncome]]&lt;10000,3,4)))</f>
        <v>2</v>
      </c>
      <c r="AI202" s="1" t="str">
        <f>IF(HR_Data[[#This Row],[YearsAtCompany]]&lt;=2,"0-2 Yrs",IF(HR_Data[[#This Row],[YearsAtCompany]]&lt;=5,"3-5 Yrs",IF(HR_Data[[#This Row],[YearsAtCompany]]&lt;=10,"6-10 Yrs","10+ Yrs")))</f>
        <v>0-2 Yrs</v>
      </c>
      <c r="AJ202" s="1">
        <f>IF(HR_Data[[#This Row],[YearsAtCompany]]&lt;=2,1,IF(HR_Data[[#This Row],[YearsAtCompany]]&lt;=5,2,IF(HR_Data[[#This Row],[YearsAtCompany]]&lt;=10,3,4)))</f>
        <v>1</v>
      </c>
      <c r="AK202" s="1" t="str">
        <f>CHOOSE(HR_Data[[#This Row],[Education]],"Below College","College","Bachelor","Master","Doctor")</f>
        <v>Below College</v>
      </c>
      <c r="AL202" s="1" t="str">
        <f>CHOOSE(HR_Data[[#This Row],[JobSatisfaction]],"Low","Medium","High","Very High")</f>
        <v>Low</v>
      </c>
      <c r="AM202" s="1" t="str">
        <f>CHOOSE(HR_Data[[#This Row],[EnvironmentSatisfaction]],"Low","Medium","High","Very High")</f>
        <v>High</v>
      </c>
      <c r="AN202" s="1" t="str">
        <f>CHOOSE(HR_Data[[#This Row],[WorkLifeBalance]],"Bad","Good","Better","Best")</f>
        <v>Better</v>
      </c>
      <c r="AO202" s="1" t="str">
        <f>IF(HR_Data[[#This Row],[PercentSalaryHike]]&lt;=13,"11-13%",IF(HR_Data[[#This Row],[PercentSalaryHike]]&lt;=16,"14-16%",IF(HR_Data[[#This Row],[PercentSalaryHike]]&lt;=19,"17-19%","20-25%")))</f>
        <v>17-19%</v>
      </c>
      <c r="AP202" s="1">
        <f>IF(HR_Data[[#This Row],[PercentSalaryHike]]&lt;=13,1,IF(HR_Data[[#This Row],[PercentSalaryHike]]&lt;=16,2,IF(HR_Data[[#This Row],[PercentSalaryHike]]&lt;=19,3,4)))</f>
        <v>3</v>
      </c>
      <c r="AQ202" s="1" t="str">
        <f>IF(HR_Data[[#This Row],[DistanceFromHome]]&lt;=5,"1 to 5",IF(HR_Data[[#This Row],[DistanceFromHome]]&lt;=10,"6 to 10",IF(HR_Data[[#This Row],[DistanceFromHome]]&lt;=20,"11 to 20","21 to 29")))</f>
        <v>1 to 5</v>
      </c>
      <c r="AR202" s="1">
        <f>IF(HR_Data[[#This Row],[DistanceFromHome]]&lt;=5,1,IF(HR_Data[[#This Row],[DistanceFromHome]]&lt;=10,2,IF(HR_Data[[#This Row],[DistanceFromHome]]&lt;=20,3,4)))</f>
        <v>1</v>
      </c>
      <c r="AS202" s="1" t="str">
        <f>IF(HR_Data[[#This Row],[TotalWorkingYears]]&lt;=5,"0-5 Yrs",IF(HR_Data[[#This Row],[TotalWorkingYears]]&lt;=10,"6-10 Yrs",IF(HR_Data[[#This Row],[TotalWorkingYears]]&lt;=20,"11-20 Yrs","20+ Yrs")))</f>
        <v>6-10 Yrs</v>
      </c>
      <c r="AT202" s="1">
        <f>IF(HR_Data[[#This Row],[TotalWorkingYears]]&lt;=5,1,IF(HR_Data[[#This Row],[TotalWorkingYears]]&lt;=10,2,IF(HR_Data[[#This Row],[TotalWorkingYears]]&lt;=20,3,4)))</f>
        <v>2</v>
      </c>
    </row>
    <row r="203" spans="1:46" x14ac:dyDescent="0.25">
      <c r="A203">
        <v>49</v>
      </c>
      <c r="B203" t="s">
        <v>36</v>
      </c>
      <c r="C203" t="s">
        <v>48</v>
      </c>
      <c r="D203" t="s">
        <v>38</v>
      </c>
      <c r="E203">
        <v>18</v>
      </c>
      <c r="F203">
        <v>4</v>
      </c>
      <c r="G203" t="s">
        <v>32</v>
      </c>
      <c r="H203">
        <v>275</v>
      </c>
      <c r="I203">
        <v>4</v>
      </c>
      <c r="J203" t="s">
        <v>39</v>
      </c>
      <c r="K203">
        <v>3</v>
      </c>
      <c r="L203">
        <v>2</v>
      </c>
      <c r="M203" t="s">
        <v>46</v>
      </c>
      <c r="N203">
        <v>4</v>
      </c>
      <c r="O203" t="s">
        <v>45</v>
      </c>
      <c r="P203">
        <v>6804</v>
      </c>
      <c r="Q203">
        <v>1</v>
      </c>
      <c r="R203" t="s">
        <v>29</v>
      </c>
      <c r="S203">
        <v>15</v>
      </c>
      <c r="T203">
        <v>3</v>
      </c>
      <c r="U203">
        <v>1</v>
      </c>
      <c r="V203">
        <v>2</v>
      </c>
      <c r="W203">
        <v>7</v>
      </c>
      <c r="X203">
        <v>0</v>
      </c>
      <c r="Y203">
        <v>3</v>
      </c>
      <c r="Z203">
        <v>7</v>
      </c>
      <c r="AA203">
        <v>7</v>
      </c>
      <c r="AB203">
        <v>1</v>
      </c>
      <c r="AC203">
        <v>7</v>
      </c>
      <c r="AD203">
        <f>IF(HR_Data[[#This Row],[Attrition]]="Yes",1,0)</f>
        <v>0</v>
      </c>
      <c r="AE203" t="str">
        <f>IF(HR_Data[[#This Row],[Age]]&lt;=25,"18-25",IF(HR_Data[[#This Row],[Age]]&lt;=35,"26-35",IF(HR_Data[[#This Row],[Age]]&lt;=45,"36-45",IF(HR_Data[[#This Row],[Age]]&lt;=55,"46-55","55+"))))</f>
        <v>46-55</v>
      </c>
      <c r="AF203">
        <f>IF(HR_Data[[#This Row],[Age]]&lt;=25,1,IF(HR_Data[[#This Row],[Age]]&lt;=35,2,IF(HR_Data[[#This Row],[Age]]&lt;=45,3,IF(HR_Data[[#This Row],[Age]]&lt;=55,4,5))))</f>
        <v>4</v>
      </c>
      <c r="AG203" s="1" t="str">
        <f>IF(HR_Data[[#This Row],[MonthlyIncome]]&lt;3000,"&lt;3K",IF(HR_Data[[#This Row],[MonthlyIncome]]&lt;6000,"3K-6K",IF(HR_Data[[#This Row],[MonthlyIncome]]&lt;10000,"6K-10K","10K+")))</f>
        <v>6K-10K</v>
      </c>
      <c r="AH203" s="1">
        <f>IF(HR_Data[[#This Row],[MonthlyIncome]]&lt;3000,1,IF(HR_Data[[#This Row],[MonthlyIncome]]&lt;6000,2,IF(HR_Data[[#This Row],[MonthlyIncome]]&lt;10000,3,4)))</f>
        <v>3</v>
      </c>
      <c r="AI203" s="1" t="str">
        <f>IF(HR_Data[[#This Row],[YearsAtCompany]]&lt;=2,"0-2 Yrs",IF(HR_Data[[#This Row],[YearsAtCompany]]&lt;=5,"3-5 Yrs",IF(HR_Data[[#This Row],[YearsAtCompany]]&lt;=10,"6-10 Yrs","10+ Yrs")))</f>
        <v>6-10 Yrs</v>
      </c>
      <c r="AJ203" s="1">
        <f>IF(HR_Data[[#This Row],[YearsAtCompany]]&lt;=2,1,IF(HR_Data[[#This Row],[YearsAtCompany]]&lt;=5,2,IF(HR_Data[[#This Row],[YearsAtCompany]]&lt;=10,3,4)))</f>
        <v>3</v>
      </c>
      <c r="AK203" s="1" t="str">
        <f>CHOOSE(HR_Data[[#This Row],[Education]],"Below College","College","Bachelor","Master","Doctor")</f>
        <v>Master</v>
      </c>
      <c r="AL203" s="1" t="str">
        <f>CHOOSE(HR_Data[[#This Row],[JobSatisfaction]],"Low","Medium","High","Very High")</f>
        <v>Very High</v>
      </c>
      <c r="AM203" s="1" t="str">
        <f>CHOOSE(HR_Data[[#This Row],[EnvironmentSatisfaction]],"Low","Medium","High","Very High")</f>
        <v>Very High</v>
      </c>
      <c r="AN203" s="1" t="str">
        <f>CHOOSE(HR_Data[[#This Row],[WorkLifeBalance]],"Bad","Good","Better","Best")</f>
        <v>Better</v>
      </c>
      <c r="AO203" s="1" t="str">
        <f>IF(HR_Data[[#This Row],[PercentSalaryHike]]&lt;=13,"11-13%",IF(HR_Data[[#This Row],[PercentSalaryHike]]&lt;=16,"14-16%",IF(HR_Data[[#This Row],[PercentSalaryHike]]&lt;=19,"17-19%","20-25%")))</f>
        <v>14-16%</v>
      </c>
      <c r="AP203" s="1">
        <f>IF(HR_Data[[#This Row],[PercentSalaryHike]]&lt;=13,1,IF(HR_Data[[#This Row],[PercentSalaryHike]]&lt;=16,2,IF(HR_Data[[#This Row],[PercentSalaryHike]]&lt;=19,3,4)))</f>
        <v>2</v>
      </c>
      <c r="AQ203" s="1" t="str">
        <f>IF(HR_Data[[#This Row],[DistanceFromHome]]&lt;=5,"1 to 5",IF(HR_Data[[#This Row],[DistanceFromHome]]&lt;=10,"6 to 10",IF(HR_Data[[#This Row],[DistanceFromHome]]&lt;=20,"11 to 20","21 to 29")))</f>
        <v>11 to 20</v>
      </c>
      <c r="AR203" s="1">
        <f>IF(HR_Data[[#This Row],[DistanceFromHome]]&lt;=5,1,IF(HR_Data[[#This Row],[DistanceFromHome]]&lt;=10,2,IF(HR_Data[[#This Row],[DistanceFromHome]]&lt;=20,3,4)))</f>
        <v>3</v>
      </c>
      <c r="AS203" s="1" t="str">
        <f>IF(HR_Data[[#This Row],[TotalWorkingYears]]&lt;=5,"0-5 Yrs",IF(HR_Data[[#This Row],[TotalWorkingYears]]&lt;=10,"6-10 Yrs",IF(HR_Data[[#This Row],[TotalWorkingYears]]&lt;=20,"11-20 Yrs","20+ Yrs")))</f>
        <v>6-10 Yrs</v>
      </c>
      <c r="AT203" s="1">
        <f>IF(HR_Data[[#This Row],[TotalWorkingYears]]&lt;=5,1,IF(HR_Data[[#This Row],[TotalWorkingYears]]&lt;=10,2,IF(HR_Data[[#This Row],[TotalWorkingYears]]&lt;=20,3,4)))</f>
        <v>2</v>
      </c>
    </row>
    <row r="204" spans="1:46" x14ac:dyDescent="0.25">
      <c r="A204">
        <v>34</v>
      </c>
      <c r="B204" t="s">
        <v>36</v>
      </c>
      <c r="C204" t="s">
        <v>37</v>
      </c>
      <c r="D204" t="s">
        <v>38</v>
      </c>
      <c r="E204">
        <v>10</v>
      </c>
      <c r="F204">
        <v>4</v>
      </c>
      <c r="G204" t="s">
        <v>44</v>
      </c>
      <c r="H204">
        <v>277</v>
      </c>
      <c r="I204">
        <v>4</v>
      </c>
      <c r="J204" t="s">
        <v>39</v>
      </c>
      <c r="K204">
        <v>3</v>
      </c>
      <c r="L204">
        <v>1</v>
      </c>
      <c r="M204" t="s">
        <v>40</v>
      </c>
      <c r="N204">
        <v>3</v>
      </c>
      <c r="O204" t="s">
        <v>45</v>
      </c>
      <c r="P204">
        <v>3815</v>
      </c>
      <c r="Q204">
        <v>1</v>
      </c>
      <c r="R204" t="s">
        <v>29</v>
      </c>
      <c r="S204">
        <v>17</v>
      </c>
      <c r="T204">
        <v>3</v>
      </c>
      <c r="U204">
        <v>4</v>
      </c>
      <c r="V204">
        <v>1</v>
      </c>
      <c r="W204">
        <v>5</v>
      </c>
      <c r="X204">
        <v>4</v>
      </c>
      <c r="Y204">
        <v>4</v>
      </c>
      <c r="Z204">
        <v>5</v>
      </c>
      <c r="AA204">
        <v>3</v>
      </c>
      <c r="AB204">
        <v>2</v>
      </c>
      <c r="AC204">
        <v>0</v>
      </c>
      <c r="AD204">
        <f>IF(HR_Data[[#This Row],[Attrition]]="Yes",1,0)</f>
        <v>0</v>
      </c>
      <c r="AE204" t="str">
        <f>IF(HR_Data[[#This Row],[Age]]&lt;=25,"18-25",IF(HR_Data[[#This Row],[Age]]&lt;=35,"26-35",IF(HR_Data[[#This Row],[Age]]&lt;=45,"36-45",IF(HR_Data[[#This Row],[Age]]&lt;=55,"46-55","55+"))))</f>
        <v>26-35</v>
      </c>
      <c r="AF204">
        <f>IF(HR_Data[[#This Row],[Age]]&lt;=25,1,IF(HR_Data[[#This Row],[Age]]&lt;=35,2,IF(HR_Data[[#This Row],[Age]]&lt;=45,3,IF(HR_Data[[#This Row],[Age]]&lt;=55,4,5))))</f>
        <v>2</v>
      </c>
      <c r="AG204" s="1" t="str">
        <f>IF(HR_Data[[#This Row],[MonthlyIncome]]&lt;3000,"&lt;3K",IF(HR_Data[[#This Row],[MonthlyIncome]]&lt;6000,"3K-6K",IF(HR_Data[[#This Row],[MonthlyIncome]]&lt;10000,"6K-10K","10K+")))</f>
        <v>3K-6K</v>
      </c>
      <c r="AH204" s="1">
        <f>IF(HR_Data[[#This Row],[MonthlyIncome]]&lt;3000,1,IF(HR_Data[[#This Row],[MonthlyIncome]]&lt;6000,2,IF(HR_Data[[#This Row],[MonthlyIncome]]&lt;10000,3,4)))</f>
        <v>2</v>
      </c>
      <c r="AI204" s="1" t="str">
        <f>IF(HR_Data[[#This Row],[YearsAtCompany]]&lt;=2,"0-2 Yrs",IF(HR_Data[[#This Row],[YearsAtCompany]]&lt;=5,"3-5 Yrs",IF(HR_Data[[#This Row],[YearsAtCompany]]&lt;=10,"6-10 Yrs","10+ Yrs")))</f>
        <v>3-5 Yrs</v>
      </c>
      <c r="AJ204" s="1">
        <f>IF(HR_Data[[#This Row],[YearsAtCompany]]&lt;=2,1,IF(HR_Data[[#This Row],[YearsAtCompany]]&lt;=5,2,IF(HR_Data[[#This Row],[YearsAtCompany]]&lt;=10,3,4)))</f>
        <v>2</v>
      </c>
      <c r="AK204" s="1" t="str">
        <f>CHOOSE(HR_Data[[#This Row],[Education]],"Below College","College","Bachelor","Master","Doctor")</f>
        <v>Master</v>
      </c>
      <c r="AL204" s="1" t="str">
        <f>CHOOSE(HR_Data[[#This Row],[JobSatisfaction]],"Low","Medium","High","Very High")</f>
        <v>High</v>
      </c>
      <c r="AM204" s="1" t="str">
        <f>CHOOSE(HR_Data[[#This Row],[EnvironmentSatisfaction]],"Low","Medium","High","Very High")</f>
        <v>Very High</v>
      </c>
      <c r="AN204" s="1" t="str">
        <f>CHOOSE(HR_Data[[#This Row],[WorkLifeBalance]],"Bad","Good","Better","Best")</f>
        <v>Best</v>
      </c>
      <c r="AO204" s="1" t="str">
        <f>IF(HR_Data[[#This Row],[PercentSalaryHike]]&lt;=13,"11-13%",IF(HR_Data[[#This Row],[PercentSalaryHike]]&lt;=16,"14-16%",IF(HR_Data[[#This Row],[PercentSalaryHike]]&lt;=19,"17-19%","20-25%")))</f>
        <v>17-19%</v>
      </c>
      <c r="AP204" s="1">
        <f>IF(HR_Data[[#This Row],[PercentSalaryHike]]&lt;=13,1,IF(HR_Data[[#This Row],[PercentSalaryHike]]&lt;=16,2,IF(HR_Data[[#This Row],[PercentSalaryHike]]&lt;=19,3,4)))</f>
        <v>3</v>
      </c>
      <c r="AQ204" s="1" t="str">
        <f>IF(HR_Data[[#This Row],[DistanceFromHome]]&lt;=5,"1 to 5",IF(HR_Data[[#This Row],[DistanceFromHome]]&lt;=10,"6 to 10",IF(HR_Data[[#This Row],[DistanceFromHome]]&lt;=20,"11 to 20","21 to 29")))</f>
        <v>6 to 10</v>
      </c>
      <c r="AR204" s="1">
        <f>IF(HR_Data[[#This Row],[DistanceFromHome]]&lt;=5,1,IF(HR_Data[[#This Row],[DistanceFromHome]]&lt;=10,2,IF(HR_Data[[#This Row],[DistanceFromHome]]&lt;=20,3,4)))</f>
        <v>2</v>
      </c>
      <c r="AS204" s="1" t="str">
        <f>IF(HR_Data[[#This Row],[TotalWorkingYears]]&lt;=5,"0-5 Yrs",IF(HR_Data[[#This Row],[TotalWorkingYears]]&lt;=10,"6-10 Yrs",IF(HR_Data[[#This Row],[TotalWorkingYears]]&lt;=20,"11-20 Yrs","20+ Yrs")))</f>
        <v>0-5 Yrs</v>
      </c>
      <c r="AT204" s="1">
        <f>IF(HR_Data[[#This Row],[TotalWorkingYears]]&lt;=5,1,IF(HR_Data[[#This Row],[TotalWorkingYears]]&lt;=10,2,IF(HR_Data[[#This Row],[TotalWorkingYears]]&lt;=20,3,4)))</f>
        <v>1</v>
      </c>
    </row>
    <row r="205" spans="1:46" x14ac:dyDescent="0.25">
      <c r="A205">
        <v>40</v>
      </c>
      <c r="B205" t="s">
        <v>36</v>
      </c>
      <c r="C205" t="s">
        <v>30</v>
      </c>
      <c r="D205" t="s">
        <v>38</v>
      </c>
      <c r="E205">
        <v>19</v>
      </c>
      <c r="F205">
        <v>2</v>
      </c>
      <c r="G205" t="s">
        <v>44</v>
      </c>
      <c r="H205">
        <v>281</v>
      </c>
      <c r="I205">
        <v>3</v>
      </c>
      <c r="J205" t="s">
        <v>39</v>
      </c>
      <c r="K205">
        <v>3</v>
      </c>
      <c r="L205">
        <v>2</v>
      </c>
      <c r="M205" t="s">
        <v>43</v>
      </c>
      <c r="N205">
        <v>4</v>
      </c>
      <c r="O205" t="s">
        <v>41</v>
      </c>
      <c r="P205">
        <v>2741</v>
      </c>
      <c r="Q205">
        <v>8</v>
      </c>
      <c r="R205" t="s">
        <v>29</v>
      </c>
      <c r="S205">
        <v>15</v>
      </c>
      <c r="T205">
        <v>3</v>
      </c>
      <c r="U205">
        <v>3</v>
      </c>
      <c r="V205">
        <v>1</v>
      </c>
      <c r="W205">
        <v>15</v>
      </c>
      <c r="X205">
        <v>2</v>
      </c>
      <c r="Y205">
        <v>4</v>
      </c>
      <c r="Z205">
        <v>7</v>
      </c>
      <c r="AA205">
        <v>2</v>
      </c>
      <c r="AB205">
        <v>3</v>
      </c>
      <c r="AC205">
        <v>7</v>
      </c>
      <c r="AD205">
        <f>IF(HR_Data[[#This Row],[Attrition]]="Yes",1,0)</f>
        <v>0</v>
      </c>
      <c r="AE205" t="str">
        <f>IF(HR_Data[[#This Row],[Age]]&lt;=25,"18-25",IF(HR_Data[[#This Row],[Age]]&lt;=35,"26-35",IF(HR_Data[[#This Row],[Age]]&lt;=45,"36-45",IF(HR_Data[[#This Row],[Age]]&lt;=55,"46-55","55+"))))</f>
        <v>36-45</v>
      </c>
      <c r="AF205">
        <f>IF(HR_Data[[#This Row],[Age]]&lt;=25,1,IF(HR_Data[[#This Row],[Age]]&lt;=35,2,IF(HR_Data[[#This Row],[Age]]&lt;=45,3,IF(HR_Data[[#This Row],[Age]]&lt;=55,4,5))))</f>
        <v>3</v>
      </c>
      <c r="AG205" s="1" t="str">
        <f>IF(HR_Data[[#This Row],[MonthlyIncome]]&lt;3000,"&lt;3K",IF(HR_Data[[#This Row],[MonthlyIncome]]&lt;6000,"3K-6K",IF(HR_Data[[#This Row],[MonthlyIncome]]&lt;10000,"6K-10K","10K+")))</f>
        <v>&lt;3K</v>
      </c>
      <c r="AH205" s="1">
        <f>IF(HR_Data[[#This Row],[MonthlyIncome]]&lt;3000,1,IF(HR_Data[[#This Row],[MonthlyIncome]]&lt;6000,2,IF(HR_Data[[#This Row],[MonthlyIncome]]&lt;10000,3,4)))</f>
        <v>1</v>
      </c>
      <c r="AI205" s="1" t="str">
        <f>IF(HR_Data[[#This Row],[YearsAtCompany]]&lt;=2,"0-2 Yrs",IF(HR_Data[[#This Row],[YearsAtCompany]]&lt;=5,"3-5 Yrs",IF(HR_Data[[#This Row],[YearsAtCompany]]&lt;=10,"6-10 Yrs","10+ Yrs")))</f>
        <v>6-10 Yrs</v>
      </c>
      <c r="AJ205" s="1">
        <f>IF(HR_Data[[#This Row],[YearsAtCompany]]&lt;=2,1,IF(HR_Data[[#This Row],[YearsAtCompany]]&lt;=5,2,IF(HR_Data[[#This Row],[YearsAtCompany]]&lt;=10,3,4)))</f>
        <v>3</v>
      </c>
      <c r="AK205" s="1" t="str">
        <f>CHOOSE(HR_Data[[#This Row],[Education]],"Below College","College","Bachelor","Master","Doctor")</f>
        <v>College</v>
      </c>
      <c r="AL205" s="1" t="str">
        <f>CHOOSE(HR_Data[[#This Row],[JobSatisfaction]],"Low","Medium","High","Very High")</f>
        <v>Very High</v>
      </c>
      <c r="AM205" s="1" t="str">
        <f>CHOOSE(HR_Data[[#This Row],[EnvironmentSatisfaction]],"Low","Medium","High","Very High")</f>
        <v>High</v>
      </c>
      <c r="AN205" s="1" t="str">
        <f>CHOOSE(HR_Data[[#This Row],[WorkLifeBalance]],"Bad","Good","Better","Best")</f>
        <v>Best</v>
      </c>
      <c r="AO205" s="1" t="str">
        <f>IF(HR_Data[[#This Row],[PercentSalaryHike]]&lt;=13,"11-13%",IF(HR_Data[[#This Row],[PercentSalaryHike]]&lt;=16,"14-16%",IF(HR_Data[[#This Row],[PercentSalaryHike]]&lt;=19,"17-19%","20-25%")))</f>
        <v>14-16%</v>
      </c>
      <c r="AP205" s="1">
        <f>IF(HR_Data[[#This Row],[PercentSalaryHike]]&lt;=13,1,IF(HR_Data[[#This Row],[PercentSalaryHike]]&lt;=16,2,IF(HR_Data[[#This Row],[PercentSalaryHike]]&lt;=19,3,4)))</f>
        <v>2</v>
      </c>
      <c r="AQ205" s="1" t="str">
        <f>IF(HR_Data[[#This Row],[DistanceFromHome]]&lt;=5,"1 to 5",IF(HR_Data[[#This Row],[DistanceFromHome]]&lt;=10,"6 to 10",IF(HR_Data[[#This Row],[DistanceFromHome]]&lt;=20,"11 to 20","21 to 29")))</f>
        <v>11 to 20</v>
      </c>
      <c r="AR205" s="1">
        <f>IF(HR_Data[[#This Row],[DistanceFromHome]]&lt;=5,1,IF(HR_Data[[#This Row],[DistanceFromHome]]&lt;=10,2,IF(HR_Data[[#This Row],[DistanceFromHome]]&lt;=20,3,4)))</f>
        <v>3</v>
      </c>
      <c r="AS205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205" s="1">
        <f>IF(HR_Data[[#This Row],[TotalWorkingYears]]&lt;=5,1,IF(HR_Data[[#This Row],[TotalWorkingYears]]&lt;=10,2,IF(HR_Data[[#This Row],[TotalWorkingYears]]&lt;=20,3,4)))</f>
        <v>3</v>
      </c>
    </row>
    <row r="206" spans="1:46" x14ac:dyDescent="0.25">
      <c r="A206">
        <v>38</v>
      </c>
      <c r="B206" t="s">
        <v>29</v>
      </c>
      <c r="C206" t="s">
        <v>30</v>
      </c>
      <c r="D206" t="s">
        <v>38</v>
      </c>
      <c r="E206">
        <v>29</v>
      </c>
      <c r="F206">
        <v>1</v>
      </c>
      <c r="G206" t="s">
        <v>44</v>
      </c>
      <c r="H206">
        <v>282</v>
      </c>
      <c r="I206">
        <v>2</v>
      </c>
      <c r="J206" t="s">
        <v>39</v>
      </c>
      <c r="K206">
        <v>3</v>
      </c>
      <c r="L206">
        <v>2</v>
      </c>
      <c r="M206" t="s">
        <v>47</v>
      </c>
      <c r="N206">
        <v>1</v>
      </c>
      <c r="O206" t="s">
        <v>41</v>
      </c>
      <c r="P206">
        <v>6673</v>
      </c>
      <c r="Q206">
        <v>7</v>
      </c>
      <c r="R206" t="s">
        <v>29</v>
      </c>
      <c r="S206">
        <v>19</v>
      </c>
      <c r="T206">
        <v>3</v>
      </c>
      <c r="U206">
        <v>2</v>
      </c>
      <c r="V206">
        <v>0</v>
      </c>
      <c r="W206">
        <v>17</v>
      </c>
      <c r="X206">
        <v>2</v>
      </c>
      <c r="Y206">
        <v>3</v>
      </c>
      <c r="Z206">
        <v>1</v>
      </c>
      <c r="AA206">
        <v>0</v>
      </c>
      <c r="AB206">
        <v>0</v>
      </c>
      <c r="AC206">
        <v>0</v>
      </c>
      <c r="AD206">
        <f>IF(HR_Data[[#This Row],[Attrition]]="Yes",1,0)</f>
        <v>1</v>
      </c>
      <c r="AE206" t="str">
        <f>IF(HR_Data[[#This Row],[Age]]&lt;=25,"18-25",IF(HR_Data[[#This Row],[Age]]&lt;=35,"26-35",IF(HR_Data[[#This Row],[Age]]&lt;=45,"36-45",IF(HR_Data[[#This Row],[Age]]&lt;=55,"46-55","55+"))))</f>
        <v>36-45</v>
      </c>
      <c r="AF206">
        <f>IF(HR_Data[[#This Row],[Age]]&lt;=25,1,IF(HR_Data[[#This Row],[Age]]&lt;=35,2,IF(HR_Data[[#This Row],[Age]]&lt;=45,3,IF(HR_Data[[#This Row],[Age]]&lt;=55,4,5))))</f>
        <v>3</v>
      </c>
      <c r="AG206" s="1" t="str">
        <f>IF(HR_Data[[#This Row],[MonthlyIncome]]&lt;3000,"&lt;3K",IF(HR_Data[[#This Row],[MonthlyIncome]]&lt;6000,"3K-6K",IF(HR_Data[[#This Row],[MonthlyIncome]]&lt;10000,"6K-10K","10K+")))</f>
        <v>6K-10K</v>
      </c>
      <c r="AH206" s="1">
        <f>IF(HR_Data[[#This Row],[MonthlyIncome]]&lt;3000,1,IF(HR_Data[[#This Row],[MonthlyIncome]]&lt;6000,2,IF(HR_Data[[#This Row],[MonthlyIncome]]&lt;10000,3,4)))</f>
        <v>3</v>
      </c>
      <c r="AI206" s="1" t="str">
        <f>IF(HR_Data[[#This Row],[YearsAtCompany]]&lt;=2,"0-2 Yrs",IF(HR_Data[[#This Row],[YearsAtCompany]]&lt;=5,"3-5 Yrs",IF(HR_Data[[#This Row],[YearsAtCompany]]&lt;=10,"6-10 Yrs","10+ Yrs")))</f>
        <v>0-2 Yrs</v>
      </c>
      <c r="AJ206" s="1">
        <f>IF(HR_Data[[#This Row],[YearsAtCompany]]&lt;=2,1,IF(HR_Data[[#This Row],[YearsAtCompany]]&lt;=5,2,IF(HR_Data[[#This Row],[YearsAtCompany]]&lt;=10,3,4)))</f>
        <v>1</v>
      </c>
      <c r="AK206" s="1" t="str">
        <f>CHOOSE(HR_Data[[#This Row],[Education]],"Below College","College","Bachelor","Master","Doctor")</f>
        <v>Below College</v>
      </c>
      <c r="AL206" s="1" t="str">
        <f>CHOOSE(HR_Data[[#This Row],[JobSatisfaction]],"Low","Medium","High","Very High")</f>
        <v>Low</v>
      </c>
      <c r="AM206" s="1" t="str">
        <f>CHOOSE(HR_Data[[#This Row],[EnvironmentSatisfaction]],"Low","Medium","High","Very High")</f>
        <v>Medium</v>
      </c>
      <c r="AN206" s="1" t="str">
        <f>CHOOSE(HR_Data[[#This Row],[WorkLifeBalance]],"Bad","Good","Better","Best")</f>
        <v>Better</v>
      </c>
      <c r="AO206" s="1" t="str">
        <f>IF(HR_Data[[#This Row],[PercentSalaryHike]]&lt;=13,"11-13%",IF(HR_Data[[#This Row],[PercentSalaryHike]]&lt;=16,"14-16%",IF(HR_Data[[#This Row],[PercentSalaryHike]]&lt;=19,"17-19%","20-25%")))</f>
        <v>17-19%</v>
      </c>
      <c r="AP206" s="1">
        <f>IF(HR_Data[[#This Row],[PercentSalaryHike]]&lt;=13,1,IF(HR_Data[[#This Row],[PercentSalaryHike]]&lt;=16,2,IF(HR_Data[[#This Row],[PercentSalaryHike]]&lt;=19,3,4)))</f>
        <v>3</v>
      </c>
      <c r="AQ206" s="1" t="str">
        <f>IF(HR_Data[[#This Row],[DistanceFromHome]]&lt;=5,"1 to 5",IF(HR_Data[[#This Row],[DistanceFromHome]]&lt;=10,"6 to 10",IF(HR_Data[[#This Row],[DistanceFromHome]]&lt;=20,"11 to 20","21 to 29")))</f>
        <v>21 to 29</v>
      </c>
      <c r="AR206" s="1">
        <f>IF(HR_Data[[#This Row],[DistanceFromHome]]&lt;=5,1,IF(HR_Data[[#This Row],[DistanceFromHome]]&lt;=10,2,IF(HR_Data[[#This Row],[DistanceFromHome]]&lt;=20,3,4)))</f>
        <v>4</v>
      </c>
      <c r="AS206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206" s="1">
        <f>IF(HR_Data[[#This Row],[TotalWorkingYears]]&lt;=5,1,IF(HR_Data[[#This Row],[TotalWorkingYears]]&lt;=10,2,IF(HR_Data[[#This Row],[TotalWorkingYears]]&lt;=20,3,4)))</f>
        <v>3</v>
      </c>
    </row>
    <row r="207" spans="1:46" x14ac:dyDescent="0.25">
      <c r="A207">
        <v>29</v>
      </c>
      <c r="B207" t="s">
        <v>29</v>
      </c>
      <c r="C207" t="s">
        <v>30</v>
      </c>
      <c r="D207" t="s">
        <v>31</v>
      </c>
      <c r="E207">
        <v>27</v>
      </c>
      <c r="F207">
        <v>3</v>
      </c>
      <c r="G207" t="s">
        <v>52</v>
      </c>
      <c r="H207">
        <v>283</v>
      </c>
      <c r="I207">
        <v>2</v>
      </c>
      <c r="J207" t="s">
        <v>33</v>
      </c>
      <c r="K207">
        <v>3</v>
      </c>
      <c r="L207">
        <v>3</v>
      </c>
      <c r="M207" t="s">
        <v>34</v>
      </c>
      <c r="N207">
        <v>4</v>
      </c>
      <c r="O207" t="s">
        <v>41</v>
      </c>
      <c r="P207">
        <v>7639</v>
      </c>
      <c r="Q207">
        <v>1</v>
      </c>
      <c r="R207" t="s">
        <v>36</v>
      </c>
      <c r="S207">
        <v>22</v>
      </c>
      <c r="T207">
        <v>4</v>
      </c>
      <c r="U207">
        <v>4</v>
      </c>
      <c r="V207">
        <v>3</v>
      </c>
      <c r="W207">
        <v>10</v>
      </c>
      <c r="X207">
        <v>3</v>
      </c>
      <c r="Y207">
        <v>2</v>
      </c>
      <c r="Z207">
        <v>10</v>
      </c>
      <c r="AA207">
        <v>4</v>
      </c>
      <c r="AB207">
        <v>1</v>
      </c>
      <c r="AC207">
        <v>9</v>
      </c>
      <c r="AD207">
        <f>IF(HR_Data[[#This Row],[Attrition]]="Yes",1,0)</f>
        <v>1</v>
      </c>
      <c r="AE207" t="str">
        <f>IF(HR_Data[[#This Row],[Age]]&lt;=25,"18-25",IF(HR_Data[[#This Row],[Age]]&lt;=35,"26-35",IF(HR_Data[[#This Row],[Age]]&lt;=45,"36-45",IF(HR_Data[[#This Row],[Age]]&lt;=55,"46-55","55+"))))</f>
        <v>26-35</v>
      </c>
      <c r="AF207">
        <f>IF(HR_Data[[#This Row],[Age]]&lt;=25,1,IF(HR_Data[[#This Row],[Age]]&lt;=35,2,IF(HR_Data[[#This Row],[Age]]&lt;=45,3,IF(HR_Data[[#This Row],[Age]]&lt;=55,4,5))))</f>
        <v>2</v>
      </c>
      <c r="AG207" s="1" t="str">
        <f>IF(HR_Data[[#This Row],[MonthlyIncome]]&lt;3000,"&lt;3K",IF(HR_Data[[#This Row],[MonthlyIncome]]&lt;6000,"3K-6K",IF(HR_Data[[#This Row],[MonthlyIncome]]&lt;10000,"6K-10K","10K+")))</f>
        <v>6K-10K</v>
      </c>
      <c r="AH207" s="1">
        <f>IF(HR_Data[[#This Row],[MonthlyIncome]]&lt;3000,1,IF(HR_Data[[#This Row],[MonthlyIncome]]&lt;6000,2,IF(HR_Data[[#This Row],[MonthlyIncome]]&lt;10000,3,4)))</f>
        <v>3</v>
      </c>
      <c r="AI207" s="1" t="str">
        <f>IF(HR_Data[[#This Row],[YearsAtCompany]]&lt;=2,"0-2 Yrs",IF(HR_Data[[#This Row],[YearsAtCompany]]&lt;=5,"3-5 Yrs",IF(HR_Data[[#This Row],[YearsAtCompany]]&lt;=10,"6-10 Yrs","10+ Yrs")))</f>
        <v>6-10 Yrs</v>
      </c>
      <c r="AJ207" s="1">
        <f>IF(HR_Data[[#This Row],[YearsAtCompany]]&lt;=2,1,IF(HR_Data[[#This Row],[YearsAtCompany]]&lt;=5,2,IF(HR_Data[[#This Row],[YearsAtCompany]]&lt;=10,3,4)))</f>
        <v>3</v>
      </c>
      <c r="AK207" s="1" t="str">
        <f>CHOOSE(HR_Data[[#This Row],[Education]],"Below College","College","Bachelor","Master","Doctor")</f>
        <v>Bachelor</v>
      </c>
      <c r="AL207" s="1" t="str">
        <f>CHOOSE(HR_Data[[#This Row],[JobSatisfaction]],"Low","Medium","High","Very High")</f>
        <v>Very High</v>
      </c>
      <c r="AM207" s="1" t="str">
        <f>CHOOSE(HR_Data[[#This Row],[EnvironmentSatisfaction]],"Low","Medium","High","Very High")</f>
        <v>Medium</v>
      </c>
      <c r="AN207" s="1" t="str">
        <f>CHOOSE(HR_Data[[#This Row],[WorkLifeBalance]],"Bad","Good","Better","Best")</f>
        <v>Good</v>
      </c>
      <c r="AO207" s="1" t="str">
        <f>IF(HR_Data[[#This Row],[PercentSalaryHike]]&lt;=13,"11-13%",IF(HR_Data[[#This Row],[PercentSalaryHike]]&lt;=16,"14-16%",IF(HR_Data[[#This Row],[PercentSalaryHike]]&lt;=19,"17-19%","20-25%")))</f>
        <v>20-25%</v>
      </c>
      <c r="AP207" s="1">
        <f>IF(HR_Data[[#This Row],[PercentSalaryHike]]&lt;=13,1,IF(HR_Data[[#This Row],[PercentSalaryHike]]&lt;=16,2,IF(HR_Data[[#This Row],[PercentSalaryHike]]&lt;=19,3,4)))</f>
        <v>4</v>
      </c>
      <c r="AQ207" s="1" t="str">
        <f>IF(HR_Data[[#This Row],[DistanceFromHome]]&lt;=5,"1 to 5",IF(HR_Data[[#This Row],[DistanceFromHome]]&lt;=10,"6 to 10",IF(HR_Data[[#This Row],[DistanceFromHome]]&lt;=20,"11 to 20","21 to 29")))</f>
        <v>21 to 29</v>
      </c>
      <c r="AR207" s="1">
        <f>IF(HR_Data[[#This Row],[DistanceFromHome]]&lt;=5,1,IF(HR_Data[[#This Row],[DistanceFromHome]]&lt;=10,2,IF(HR_Data[[#This Row],[DistanceFromHome]]&lt;=20,3,4)))</f>
        <v>4</v>
      </c>
      <c r="AS207" s="1" t="str">
        <f>IF(HR_Data[[#This Row],[TotalWorkingYears]]&lt;=5,"0-5 Yrs",IF(HR_Data[[#This Row],[TotalWorkingYears]]&lt;=10,"6-10 Yrs",IF(HR_Data[[#This Row],[TotalWorkingYears]]&lt;=20,"11-20 Yrs","20+ Yrs")))</f>
        <v>6-10 Yrs</v>
      </c>
      <c r="AT207" s="1">
        <f>IF(HR_Data[[#This Row],[TotalWorkingYears]]&lt;=5,1,IF(HR_Data[[#This Row],[TotalWorkingYears]]&lt;=10,2,IF(HR_Data[[#This Row],[TotalWorkingYears]]&lt;=20,3,4)))</f>
        <v>2</v>
      </c>
    </row>
    <row r="208" spans="1:46" x14ac:dyDescent="0.25">
      <c r="A208">
        <v>22</v>
      </c>
      <c r="B208" t="s">
        <v>36</v>
      </c>
      <c r="C208" t="s">
        <v>30</v>
      </c>
      <c r="D208" t="s">
        <v>38</v>
      </c>
      <c r="E208">
        <v>5</v>
      </c>
      <c r="F208">
        <v>3</v>
      </c>
      <c r="G208" t="s">
        <v>32</v>
      </c>
      <c r="H208">
        <v>284</v>
      </c>
      <c r="I208">
        <v>4</v>
      </c>
      <c r="J208" t="s">
        <v>39</v>
      </c>
      <c r="K208">
        <v>4</v>
      </c>
      <c r="L208">
        <v>1</v>
      </c>
      <c r="M208" t="s">
        <v>40</v>
      </c>
      <c r="N208">
        <v>2</v>
      </c>
      <c r="O208" t="s">
        <v>45</v>
      </c>
      <c r="P208">
        <v>2328</v>
      </c>
      <c r="Q208">
        <v>1</v>
      </c>
      <c r="R208" t="s">
        <v>29</v>
      </c>
      <c r="S208">
        <v>16</v>
      </c>
      <c r="T208">
        <v>3</v>
      </c>
      <c r="U208">
        <v>1</v>
      </c>
      <c r="V208">
        <v>1</v>
      </c>
      <c r="W208">
        <v>4</v>
      </c>
      <c r="X208">
        <v>2</v>
      </c>
      <c r="Y208">
        <v>2</v>
      </c>
      <c r="Z208">
        <v>4</v>
      </c>
      <c r="AA208">
        <v>2</v>
      </c>
      <c r="AB208">
        <v>2</v>
      </c>
      <c r="AC208">
        <v>2</v>
      </c>
      <c r="AD208">
        <f>IF(HR_Data[[#This Row],[Attrition]]="Yes",1,0)</f>
        <v>0</v>
      </c>
      <c r="AE208" t="str">
        <f>IF(HR_Data[[#This Row],[Age]]&lt;=25,"18-25",IF(HR_Data[[#This Row],[Age]]&lt;=35,"26-35",IF(HR_Data[[#This Row],[Age]]&lt;=45,"36-45",IF(HR_Data[[#This Row],[Age]]&lt;=55,"46-55","55+"))))</f>
        <v>18-25</v>
      </c>
      <c r="AF208">
        <f>IF(HR_Data[[#This Row],[Age]]&lt;=25,1,IF(HR_Data[[#This Row],[Age]]&lt;=35,2,IF(HR_Data[[#This Row],[Age]]&lt;=45,3,IF(HR_Data[[#This Row],[Age]]&lt;=55,4,5))))</f>
        <v>1</v>
      </c>
      <c r="AG208" s="1" t="str">
        <f>IF(HR_Data[[#This Row],[MonthlyIncome]]&lt;3000,"&lt;3K",IF(HR_Data[[#This Row],[MonthlyIncome]]&lt;6000,"3K-6K",IF(HR_Data[[#This Row],[MonthlyIncome]]&lt;10000,"6K-10K","10K+")))</f>
        <v>&lt;3K</v>
      </c>
      <c r="AH208" s="1">
        <f>IF(HR_Data[[#This Row],[MonthlyIncome]]&lt;3000,1,IF(HR_Data[[#This Row],[MonthlyIncome]]&lt;6000,2,IF(HR_Data[[#This Row],[MonthlyIncome]]&lt;10000,3,4)))</f>
        <v>1</v>
      </c>
      <c r="AI208" s="1" t="str">
        <f>IF(HR_Data[[#This Row],[YearsAtCompany]]&lt;=2,"0-2 Yrs",IF(HR_Data[[#This Row],[YearsAtCompany]]&lt;=5,"3-5 Yrs",IF(HR_Data[[#This Row],[YearsAtCompany]]&lt;=10,"6-10 Yrs","10+ Yrs")))</f>
        <v>3-5 Yrs</v>
      </c>
      <c r="AJ208" s="1">
        <f>IF(HR_Data[[#This Row],[YearsAtCompany]]&lt;=2,1,IF(HR_Data[[#This Row],[YearsAtCompany]]&lt;=5,2,IF(HR_Data[[#This Row],[YearsAtCompany]]&lt;=10,3,4)))</f>
        <v>2</v>
      </c>
      <c r="AK208" s="1" t="str">
        <f>CHOOSE(HR_Data[[#This Row],[Education]],"Below College","College","Bachelor","Master","Doctor")</f>
        <v>Bachelor</v>
      </c>
      <c r="AL208" s="1" t="str">
        <f>CHOOSE(HR_Data[[#This Row],[JobSatisfaction]],"Low","Medium","High","Very High")</f>
        <v>Medium</v>
      </c>
      <c r="AM208" s="1" t="str">
        <f>CHOOSE(HR_Data[[#This Row],[EnvironmentSatisfaction]],"Low","Medium","High","Very High")</f>
        <v>Very High</v>
      </c>
      <c r="AN208" s="1" t="str">
        <f>CHOOSE(HR_Data[[#This Row],[WorkLifeBalance]],"Bad","Good","Better","Best")</f>
        <v>Good</v>
      </c>
      <c r="AO208" s="1" t="str">
        <f>IF(HR_Data[[#This Row],[PercentSalaryHike]]&lt;=13,"11-13%",IF(HR_Data[[#This Row],[PercentSalaryHike]]&lt;=16,"14-16%",IF(HR_Data[[#This Row],[PercentSalaryHike]]&lt;=19,"17-19%","20-25%")))</f>
        <v>14-16%</v>
      </c>
      <c r="AP208" s="1">
        <f>IF(HR_Data[[#This Row],[PercentSalaryHike]]&lt;=13,1,IF(HR_Data[[#This Row],[PercentSalaryHike]]&lt;=16,2,IF(HR_Data[[#This Row],[PercentSalaryHike]]&lt;=19,3,4)))</f>
        <v>2</v>
      </c>
      <c r="AQ208" s="1" t="str">
        <f>IF(HR_Data[[#This Row],[DistanceFromHome]]&lt;=5,"1 to 5",IF(HR_Data[[#This Row],[DistanceFromHome]]&lt;=10,"6 to 10",IF(HR_Data[[#This Row],[DistanceFromHome]]&lt;=20,"11 to 20","21 to 29")))</f>
        <v>1 to 5</v>
      </c>
      <c r="AR208" s="1">
        <f>IF(HR_Data[[#This Row],[DistanceFromHome]]&lt;=5,1,IF(HR_Data[[#This Row],[DistanceFromHome]]&lt;=10,2,IF(HR_Data[[#This Row],[DistanceFromHome]]&lt;=20,3,4)))</f>
        <v>1</v>
      </c>
      <c r="AS208" s="1" t="str">
        <f>IF(HR_Data[[#This Row],[TotalWorkingYears]]&lt;=5,"0-5 Yrs",IF(HR_Data[[#This Row],[TotalWorkingYears]]&lt;=10,"6-10 Yrs",IF(HR_Data[[#This Row],[TotalWorkingYears]]&lt;=20,"11-20 Yrs","20+ Yrs")))</f>
        <v>0-5 Yrs</v>
      </c>
      <c r="AT208" s="1">
        <f>IF(HR_Data[[#This Row],[TotalWorkingYears]]&lt;=5,1,IF(HR_Data[[#This Row],[TotalWorkingYears]]&lt;=10,2,IF(HR_Data[[#This Row],[TotalWorkingYears]]&lt;=20,3,4)))</f>
        <v>1</v>
      </c>
    </row>
    <row r="209" spans="1:46" x14ac:dyDescent="0.25">
      <c r="A209">
        <v>36</v>
      </c>
      <c r="B209" t="s">
        <v>36</v>
      </c>
      <c r="C209" t="s">
        <v>37</v>
      </c>
      <c r="D209" t="s">
        <v>38</v>
      </c>
      <c r="E209">
        <v>18</v>
      </c>
      <c r="F209">
        <v>1</v>
      </c>
      <c r="G209" t="s">
        <v>44</v>
      </c>
      <c r="H209">
        <v>286</v>
      </c>
      <c r="I209">
        <v>2</v>
      </c>
      <c r="J209" t="s">
        <v>33</v>
      </c>
      <c r="K209">
        <v>3</v>
      </c>
      <c r="L209">
        <v>1</v>
      </c>
      <c r="M209" t="s">
        <v>43</v>
      </c>
      <c r="N209">
        <v>4</v>
      </c>
      <c r="O209" t="s">
        <v>35</v>
      </c>
      <c r="P209">
        <v>2153</v>
      </c>
      <c r="Q209">
        <v>1</v>
      </c>
      <c r="R209" t="s">
        <v>36</v>
      </c>
      <c r="S209">
        <v>13</v>
      </c>
      <c r="T209">
        <v>3</v>
      </c>
      <c r="U209">
        <v>1</v>
      </c>
      <c r="V209">
        <v>0</v>
      </c>
      <c r="W209">
        <v>8</v>
      </c>
      <c r="X209">
        <v>2</v>
      </c>
      <c r="Y209">
        <v>3</v>
      </c>
      <c r="Z209">
        <v>8</v>
      </c>
      <c r="AA209">
        <v>1</v>
      </c>
      <c r="AB209">
        <v>1</v>
      </c>
      <c r="AC209">
        <v>7</v>
      </c>
      <c r="AD209">
        <f>IF(HR_Data[[#This Row],[Attrition]]="Yes",1,0)</f>
        <v>0</v>
      </c>
      <c r="AE209" t="str">
        <f>IF(HR_Data[[#This Row],[Age]]&lt;=25,"18-25",IF(HR_Data[[#This Row],[Age]]&lt;=35,"26-35",IF(HR_Data[[#This Row],[Age]]&lt;=45,"36-45",IF(HR_Data[[#This Row],[Age]]&lt;=55,"46-55","55+"))))</f>
        <v>36-45</v>
      </c>
      <c r="AF209">
        <f>IF(HR_Data[[#This Row],[Age]]&lt;=25,1,IF(HR_Data[[#This Row],[Age]]&lt;=35,2,IF(HR_Data[[#This Row],[Age]]&lt;=45,3,IF(HR_Data[[#This Row],[Age]]&lt;=55,4,5))))</f>
        <v>3</v>
      </c>
      <c r="AG209" s="1" t="str">
        <f>IF(HR_Data[[#This Row],[MonthlyIncome]]&lt;3000,"&lt;3K",IF(HR_Data[[#This Row],[MonthlyIncome]]&lt;6000,"3K-6K",IF(HR_Data[[#This Row],[MonthlyIncome]]&lt;10000,"6K-10K","10K+")))</f>
        <v>&lt;3K</v>
      </c>
      <c r="AH209" s="1">
        <f>IF(HR_Data[[#This Row],[MonthlyIncome]]&lt;3000,1,IF(HR_Data[[#This Row],[MonthlyIncome]]&lt;6000,2,IF(HR_Data[[#This Row],[MonthlyIncome]]&lt;10000,3,4)))</f>
        <v>1</v>
      </c>
      <c r="AI209" s="1" t="str">
        <f>IF(HR_Data[[#This Row],[YearsAtCompany]]&lt;=2,"0-2 Yrs",IF(HR_Data[[#This Row],[YearsAtCompany]]&lt;=5,"3-5 Yrs",IF(HR_Data[[#This Row],[YearsAtCompany]]&lt;=10,"6-10 Yrs","10+ Yrs")))</f>
        <v>6-10 Yrs</v>
      </c>
      <c r="AJ209" s="1">
        <f>IF(HR_Data[[#This Row],[YearsAtCompany]]&lt;=2,1,IF(HR_Data[[#This Row],[YearsAtCompany]]&lt;=5,2,IF(HR_Data[[#This Row],[YearsAtCompany]]&lt;=10,3,4)))</f>
        <v>3</v>
      </c>
      <c r="AK209" s="1" t="str">
        <f>CHOOSE(HR_Data[[#This Row],[Education]],"Below College","College","Bachelor","Master","Doctor")</f>
        <v>Below College</v>
      </c>
      <c r="AL209" s="1" t="str">
        <f>CHOOSE(HR_Data[[#This Row],[JobSatisfaction]],"Low","Medium","High","Very High")</f>
        <v>Very High</v>
      </c>
      <c r="AM209" s="1" t="str">
        <f>CHOOSE(HR_Data[[#This Row],[EnvironmentSatisfaction]],"Low","Medium","High","Very High")</f>
        <v>Medium</v>
      </c>
      <c r="AN209" s="1" t="str">
        <f>CHOOSE(HR_Data[[#This Row],[WorkLifeBalance]],"Bad","Good","Better","Best")</f>
        <v>Better</v>
      </c>
      <c r="AO209" s="1" t="str">
        <f>IF(HR_Data[[#This Row],[PercentSalaryHike]]&lt;=13,"11-13%",IF(HR_Data[[#This Row],[PercentSalaryHike]]&lt;=16,"14-16%",IF(HR_Data[[#This Row],[PercentSalaryHike]]&lt;=19,"17-19%","20-25%")))</f>
        <v>11-13%</v>
      </c>
      <c r="AP209" s="1">
        <f>IF(HR_Data[[#This Row],[PercentSalaryHike]]&lt;=13,1,IF(HR_Data[[#This Row],[PercentSalaryHike]]&lt;=16,2,IF(HR_Data[[#This Row],[PercentSalaryHike]]&lt;=19,3,4)))</f>
        <v>1</v>
      </c>
      <c r="AQ209" s="1" t="str">
        <f>IF(HR_Data[[#This Row],[DistanceFromHome]]&lt;=5,"1 to 5",IF(HR_Data[[#This Row],[DistanceFromHome]]&lt;=10,"6 to 10",IF(HR_Data[[#This Row],[DistanceFromHome]]&lt;=20,"11 to 20","21 to 29")))</f>
        <v>11 to 20</v>
      </c>
      <c r="AR209" s="1">
        <f>IF(HR_Data[[#This Row],[DistanceFromHome]]&lt;=5,1,IF(HR_Data[[#This Row],[DistanceFromHome]]&lt;=10,2,IF(HR_Data[[#This Row],[DistanceFromHome]]&lt;=20,3,4)))</f>
        <v>3</v>
      </c>
      <c r="AS209" s="1" t="str">
        <f>IF(HR_Data[[#This Row],[TotalWorkingYears]]&lt;=5,"0-5 Yrs",IF(HR_Data[[#This Row],[TotalWorkingYears]]&lt;=10,"6-10 Yrs",IF(HR_Data[[#This Row],[TotalWorkingYears]]&lt;=20,"11-20 Yrs","20+ Yrs")))</f>
        <v>6-10 Yrs</v>
      </c>
      <c r="AT209" s="1">
        <f>IF(HR_Data[[#This Row],[TotalWorkingYears]]&lt;=5,1,IF(HR_Data[[#This Row],[TotalWorkingYears]]&lt;=10,2,IF(HR_Data[[#This Row],[TotalWorkingYears]]&lt;=20,3,4)))</f>
        <v>2</v>
      </c>
    </row>
    <row r="210" spans="1:46" x14ac:dyDescent="0.25">
      <c r="A210">
        <v>40</v>
      </c>
      <c r="B210" t="s">
        <v>36</v>
      </c>
      <c r="C210" t="s">
        <v>48</v>
      </c>
      <c r="D210" t="s">
        <v>38</v>
      </c>
      <c r="E210">
        <v>9</v>
      </c>
      <c r="F210">
        <v>5</v>
      </c>
      <c r="G210" t="s">
        <v>32</v>
      </c>
      <c r="H210">
        <v>287</v>
      </c>
      <c r="I210">
        <v>4</v>
      </c>
      <c r="J210" t="s">
        <v>39</v>
      </c>
      <c r="K210">
        <v>2</v>
      </c>
      <c r="L210">
        <v>2</v>
      </c>
      <c r="M210" t="s">
        <v>47</v>
      </c>
      <c r="N210">
        <v>4</v>
      </c>
      <c r="O210" t="s">
        <v>41</v>
      </c>
      <c r="P210">
        <v>4876</v>
      </c>
      <c r="Q210">
        <v>9</v>
      </c>
      <c r="R210" t="s">
        <v>36</v>
      </c>
      <c r="S210">
        <v>14</v>
      </c>
      <c r="T210">
        <v>3</v>
      </c>
      <c r="U210">
        <v>4</v>
      </c>
      <c r="V210">
        <v>1</v>
      </c>
      <c r="W210">
        <v>5</v>
      </c>
      <c r="X210">
        <v>5</v>
      </c>
      <c r="Y210">
        <v>1</v>
      </c>
      <c r="Z210">
        <v>3</v>
      </c>
      <c r="AA210">
        <v>2</v>
      </c>
      <c r="AB210">
        <v>0</v>
      </c>
      <c r="AC210">
        <v>2</v>
      </c>
      <c r="AD210">
        <f>IF(HR_Data[[#This Row],[Attrition]]="Yes",1,0)</f>
        <v>0</v>
      </c>
      <c r="AE210" t="str">
        <f>IF(HR_Data[[#This Row],[Age]]&lt;=25,"18-25",IF(HR_Data[[#This Row],[Age]]&lt;=35,"26-35",IF(HR_Data[[#This Row],[Age]]&lt;=45,"36-45",IF(HR_Data[[#This Row],[Age]]&lt;=55,"46-55","55+"))))</f>
        <v>36-45</v>
      </c>
      <c r="AF210">
        <f>IF(HR_Data[[#This Row],[Age]]&lt;=25,1,IF(HR_Data[[#This Row],[Age]]&lt;=35,2,IF(HR_Data[[#This Row],[Age]]&lt;=45,3,IF(HR_Data[[#This Row],[Age]]&lt;=55,4,5))))</f>
        <v>3</v>
      </c>
      <c r="AG210" s="1" t="str">
        <f>IF(HR_Data[[#This Row],[MonthlyIncome]]&lt;3000,"&lt;3K",IF(HR_Data[[#This Row],[MonthlyIncome]]&lt;6000,"3K-6K",IF(HR_Data[[#This Row],[MonthlyIncome]]&lt;10000,"6K-10K","10K+")))</f>
        <v>3K-6K</v>
      </c>
      <c r="AH210" s="1">
        <f>IF(HR_Data[[#This Row],[MonthlyIncome]]&lt;3000,1,IF(HR_Data[[#This Row],[MonthlyIncome]]&lt;6000,2,IF(HR_Data[[#This Row],[MonthlyIncome]]&lt;10000,3,4)))</f>
        <v>2</v>
      </c>
      <c r="AI210" s="1" t="str">
        <f>IF(HR_Data[[#This Row],[YearsAtCompany]]&lt;=2,"0-2 Yrs",IF(HR_Data[[#This Row],[YearsAtCompany]]&lt;=5,"3-5 Yrs",IF(HR_Data[[#This Row],[YearsAtCompany]]&lt;=10,"6-10 Yrs","10+ Yrs")))</f>
        <v>3-5 Yrs</v>
      </c>
      <c r="AJ210" s="1">
        <f>IF(HR_Data[[#This Row],[YearsAtCompany]]&lt;=2,1,IF(HR_Data[[#This Row],[YearsAtCompany]]&lt;=5,2,IF(HR_Data[[#This Row],[YearsAtCompany]]&lt;=10,3,4)))</f>
        <v>2</v>
      </c>
      <c r="AK210" s="1" t="str">
        <f>CHOOSE(HR_Data[[#This Row],[Education]],"Below College","College","Bachelor","Master","Doctor")</f>
        <v>Doctor</v>
      </c>
      <c r="AL210" s="1" t="str">
        <f>CHOOSE(HR_Data[[#This Row],[JobSatisfaction]],"Low","Medium","High","Very High")</f>
        <v>Very High</v>
      </c>
      <c r="AM210" s="1" t="str">
        <f>CHOOSE(HR_Data[[#This Row],[EnvironmentSatisfaction]],"Low","Medium","High","Very High")</f>
        <v>Very High</v>
      </c>
      <c r="AN210" s="1" t="str">
        <f>CHOOSE(HR_Data[[#This Row],[WorkLifeBalance]],"Bad","Good","Better","Best")</f>
        <v>Bad</v>
      </c>
      <c r="AO210" s="1" t="str">
        <f>IF(HR_Data[[#This Row],[PercentSalaryHike]]&lt;=13,"11-13%",IF(HR_Data[[#This Row],[PercentSalaryHike]]&lt;=16,"14-16%",IF(HR_Data[[#This Row],[PercentSalaryHike]]&lt;=19,"17-19%","20-25%")))</f>
        <v>14-16%</v>
      </c>
      <c r="AP210" s="1">
        <f>IF(HR_Data[[#This Row],[PercentSalaryHike]]&lt;=13,1,IF(HR_Data[[#This Row],[PercentSalaryHike]]&lt;=16,2,IF(HR_Data[[#This Row],[PercentSalaryHike]]&lt;=19,3,4)))</f>
        <v>2</v>
      </c>
      <c r="AQ210" s="1" t="str">
        <f>IF(HR_Data[[#This Row],[DistanceFromHome]]&lt;=5,"1 to 5",IF(HR_Data[[#This Row],[DistanceFromHome]]&lt;=10,"6 to 10",IF(HR_Data[[#This Row],[DistanceFromHome]]&lt;=20,"11 to 20","21 to 29")))</f>
        <v>6 to 10</v>
      </c>
      <c r="AR210" s="1">
        <f>IF(HR_Data[[#This Row],[DistanceFromHome]]&lt;=5,1,IF(HR_Data[[#This Row],[DistanceFromHome]]&lt;=10,2,IF(HR_Data[[#This Row],[DistanceFromHome]]&lt;=20,3,4)))</f>
        <v>2</v>
      </c>
      <c r="AS210" s="1" t="str">
        <f>IF(HR_Data[[#This Row],[TotalWorkingYears]]&lt;=5,"0-5 Yrs",IF(HR_Data[[#This Row],[TotalWorkingYears]]&lt;=10,"6-10 Yrs",IF(HR_Data[[#This Row],[TotalWorkingYears]]&lt;=20,"11-20 Yrs","20+ Yrs")))</f>
        <v>0-5 Yrs</v>
      </c>
      <c r="AT210" s="1">
        <f>IF(HR_Data[[#This Row],[TotalWorkingYears]]&lt;=5,1,IF(HR_Data[[#This Row],[TotalWorkingYears]]&lt;=10,2,IF(HR_Data[[#This Row],[TotalWorkingYears]]&lt;=20,3,4)))</f>
        <v>1</v>
      </c>
    </row>
    <row r="211" spans="1:46" x14ac:dyDescent="0.25">
      <c r="A211">
        <v>46</v>
      </c>
      <c r="B211" t="s">
        <v>36</v>
      </c>
      <c r="C211" t="s">
        <v>30</v>
      </c>
      <c r="D211" t="s">
        <v>38</v>
      </c>
      <c r="E211">
        <v>1</v>
      </c>
      <c r="F211">
        <v>4</v>
      </c>
      <c r="G211" t="s">
        <v>44</v>
      </c>
      <c r="H211">
        <v>288</v>
      </c>
      <c r="I211">
        <v>4</v>
      </c>
      <c r="J211" t="s">
        <v>39</v>
      </c>
      <c r="K211">
        <v>3</v>
      </c>
      <c r="L211">
        <v>3</v>
      </c>
      <c r="M211" t="s">
        <v>47</v>
      </c>
      <c r="N211">
        <v>1</v>
      </c>
      <c r="O211" t="s">
        <v>45</v>
      </c>
      <c r="P211">
        <v>9396</v>
      </c>
      <c r="Q211">
        <v>7</v>
      </c>
      <c r="R211" t="s">
        <v>36</v>
      </c>
      <c r="S211">
        <v>16</v>
      </c>
      <c r="T211">
        <v>3</v>
      </c>
      <c r="U211">
        <v>3</v>
      </c>
      <c r="V211">
        <v>1</v>
      </c>
      <c r="W211">
        <v>17</v>
      </c>
      <c r="X211">
        <v>3</v>
      </c>
      <c r="Y211">
        <v>3</v>
      </c>
      <c r="Z211">
        <v>4</v>
      </c>
      <c r="AA211">
        <v>2</v>
      </c>
      <c r="AB211">
        <v>0</v>
      </c>
      <c r="AC211">
        <v>3</v>
      </c>
      <c r="AD211">
        <f>IF(HR_Data[[#This Row],[Attrition]]="Yes",1,0)</f>
        <v>0</v>
      </c>
      <c r="AE211" t="str">
        <f>IF(HR_Data[[#This Row],[Age]]&lt;=25,"18-25",IF(HR_Data[[#This Row],[Age]]&lt;=35,"26-35",IF(HR_Data[[#This Row],[Age]]&lt;=45,"36-45",IF(HR_Data[[#This Row],[Age]]&lt;=55,"46-55","55+"))))</f>
        <v>46-55</v>
      </c>
      <c r="AF211">
        <f>IF(HR_Data[[#This Row],[Age]]&lt;=25,1,IF(HR_Data[[#This Row],[Age]]&lt;=35,2,IF(HR_Data[[#This Row],[Age]]&lt;=45,3,IF(HR_Data[[#This Row],[Age]]&lt;=55,4,5))))</f>
        <v>4</v>
      </c>
      <c r="AG211" s="1" t="str">
        <f>IF(HR_Data[[#This Row],[MonthlyIncome]]&lt;3000,"&lt;3K",IF(HR_Data[[#This Row],[MonthlyIncome]]&lt;6000,"3K-6K",IF(HR_Data[[#This Row],[MonthlyIncome]]&lt;10000,"6K-10K","10K+")))</f>
        <v>6K-10K</v>
      </c>
      <c r="AH211" s="1">
        <f>IF(HR_Data[[#This Row],[MonthlyIncome]]&lt;3000,1,IF(HR_Data[[#This Row],[MonthlyIncome]]&lt;6000,2,IF(HR_Data[[#This Row],[MonthlyIncome]]&lt;10000,3,4)))</f>
        <v>3</v>
      </c>
      <c r="AI211" s="1" t="str">
        <f>IF(HR_Data[[#This Row],[YearsAtCompany]]&lt;=2,"0-2 Yrs",IF(HR_Data[[#This Row],[YearsAtCompany]]&lt;=5,"3-5 Yrs",IF(HR_Data[[#This Row],[YearsAtCompany]]&lt;=10,"6-10 Yrs","10+ Yrs")))</f>
        <v>3-5 Yrs</v>
      </c>
      <c r="AJ211" s="1">
        <f>IF(HR_Data[[#This Row],[YearsAtCompany]]&lt;=2,1,IF(HR_Data[[#This Row],[YearsAtCompany]]&lt;=5,2,IF(HR_Data[[#This Row],[YearsAtCompany]]&lt;=10,3,4)))</f>
        <v>2</v>
      </c>
      <c r="AK211" s="1" t="str">
        <f>CHOOSE(HR_Data[[#This Row],[Education]],"Below College","College","Bachelor","Master","Doctor")</f>
        <v>Master</v>
      </c>
      <c r="AL211" s="1" t="str">
        <f>CHOOSE(HR_Data[[#This Row],[JobSatisfaction]],"Low","Medium","High","Very High")</f>
        <v>Low</v>
      </c>
      <c r="AM211" s="1" t="str">
        <f>CHOOSE(HR_Data[[#This Row],[EnvironmentSatisfaction]],"Low","Medium","High","Very High")</f>
        <v>Very High</v>
      </c>
      <c r="AN211" s="1" t="str">
        <f>CHOOSE(HR_Data[[#This Row],[WorkLifeBalance]],"Bad","Good","Better","Best")</f>
        <v>Better</v>
      </c>
      <c r="AO211" s="1" t="str">
        <f>IF(HR_Data[[#This Row],[PercentSalaryHike]]&lt;=13,"11-13%",IF(HR_Data[[#This Row],[PercentSalaryHike]]&lt;=16,"14-16%",IF(HR_Data[[#This Row],[PercentSalaryHike]]&lt;=19,"17-19%","20-25%")))</f>
        <v>14-16%</v>
      </c>
      <c r="AP211" s="1">
        <f>IF(HR_Data[[#This Row],[PercentSalaryHike]]&lt;=13,1,IF(HR_Data[[#This Row],[PercentSalaryHike]]&lt;=16,2,IF(HR_Data[[#This Row],[PercentSalaryHike]]&lt;=19,3,4)))</f>
        <v>2</v>
      </c>
      <c r="AQ211" s="1" t="str">
        <f>IF(HR_Data[[#This Row],[DistanceFromHome]]&lt;=5,"1 to 5",IF(HR_Data[[#This Row],[DistanceFromHome]]&lt;=10,"6 to 10",IF(HR_Data[[#This Row],[DistanceFromHome]]&lt;=20,"11 to 20","21 to 29")))</f>
        <v>1 to 5</v>
      </c>
      <c r="AR211" s="1">
        <f>IF(HR_Data[[#This Row],[DistanceFromHome]]&lt;=5,1,IF(HR_Data[[#This Row],[DistanceFromHome]]&lt;=10,2,IF(HR_Data[[#This Row],[DistanceFromHome]]&lt;=20,3,4)))</f>
        <v>1</v>
      </c>
      <c r="AS211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211" s="1">
        <f>IF(HR_Data[[#This Row],[TotalWorkingYears]]&lt;=5,1,IF(HR_Data[[#This Row],[TotalWorkingYears]]&lt;=10,2,IF(HR_Data[[#This Row],[TotalWorkingYears]]&lt;=20,3,4)))</f>
        <v>3</v>
      </c>
    </row>
    <row r="212" spans="1:46" x14ac:dyDescent="0.25">
      <c r="A212">
        <v>32</v>
      </c>
      <c r="B212" t="s">
        <v>29</v>
      </c>
      <c r="C212" t="s">
        <v>30</v>
      </c>
      <c r="D212" t="s">
        <v>31</v>
      </c>
      <c r="E212">
        <v>4</v>
      </c>
      <c r="F212">
        <v>4</v>
      </c>
      <c r="G212" t="s">
        <v>44</v>
      </c>
      <c r="H212">
        <v>291</v>
      </c>
      <c r="I212">
        <v>4</v>
      </c>
      <c r="J212" t="s">
        <v>39</v>
      </c>
      <c r="K212">
        <v>1</v>
      </c>
      <c r="L212">
        <v>3</v>
      </c>
      <c r="M212" t="s">
        <v>34</v>
      </c>
      <c r="N212">
        <v>4</v>
      </c>
      <c r="O212" t="s">
        <v>41</v>
      </c>
      <c r="P212">
        <v>10400</v>
      </c>
      <c r="Q212">
        <v>1</v>
      </c>
      <c r="R212" t="s">
        <v>36</v>
      </c>
      <c r="S212">
        <v>11</v>
      </c>
      <c r="T212">
        <v>3</v>
      </c>
      <c r="U212">
        <v>3</v>
      </c>
      <c r="V212">
        <v>0</v>
      </c>
      <c r="W212">
        <v>14</v>
      </c>
      <c r="X212">
        <v>2</v>
      </c>
      <c r="Y212">
        <v>2</v>
      </c>
      <c r="Z212">
        <v>14</v>
      </c>
      <c r="AA212">
        <v>8</v>
      </c>
      <c r="AB212">
        <v>9</v>
      </c>
      <c r="AC212">
        <v>8</v>
      </c>
      <c r="AD212">
        <f>IF(HR_Data[[#This Row],[Attrition]]="Yes",1,0)</f>
        <v>1</v>
      </c>
      <c r="AE212" t="str">
        <f>IF(HR_Data[[#This Row],[Age]]&lt;=25,"18-25",IF(HR_Data[[#This Row],[Age]]&lt;=35,"26-35",IF(HR_Data[[#This Row],[Age]]&lt;=45,"36-45",IF(HR_Data[[#This Row],[Age]]&lt;=55,"46-55","55+"))))</f>
        <v>26-35</v>
      </c>
      <c r="AF212">
        <f>IF(HR_Data[[#This Row],[Age]]&lt;=25,1,IF(HR_Data[[#This Row],[Age]]&lt;=35,2,IF(HR_Data[[#This Row],[Age]]&lt;=45,3,IF(HR_Data[[#This Row],[Age]]&lt;=55,4,5))))</f>
        <v>2</v>
      </c>
      <c r="AG212" s="1" t="str">
        <f>IF(HR_Data[[#This Row],[MonthlyIncome]]&lt;3000,"&lt;3K",IF(HR_Data[[#This Row],[MonthlyIncome]]&lt;6000,"3K-6K",IF(HR_Data[[#This Row],[MonthlyIncome]]&lt;10000,"6K-10K","10K+")))</f>
        <v>10K+</v>
      </c>
      <c r="AH212" s="1">
        <f>IF(HR_Data[[#This Row],[MonthlyIncome]]&lt;3000,1,IF(HR_Data[[#This Row],[MonthlyIncome]]&lt;6000,2,IF(HR_Data[[#This Row],[MonthlyIncome]]&lt;10000,3,4)))</f>
        <v>4</v>
      </c>
      <c r="AI212" s="1" t="str">
        <f>IF(HR_Data[[#This Row],[YearsAtCompany]]&lt;=2,"0-2 Yrs",IF(HR_Data[[#This Row],[YearsAtCompany]]&lt;=5,"3-5 Yrs",IF(HR_Data[[#This Row],[YearsAtCompany]]&lt;=10,"6-10 Yrs","10+ Yrs")))</f>
        <v>10+ Yrs</v>
      </c>
      <c r="AJ212" s="1">
        <f>IF(HR_Data[[#This Row],[YearsAtCompany]]&lt;=2,1,IF(HR_Data[[#This Row],[YearsAtCompany]]&lt;=5,2,IF(HR_Data[[#This Row],[YearsAtCompany]]&lt;=10,3,4)))</f>
        <v>4</v>
      </c>
      <c r="AK212" s="1" t="str">
        <f>CHOOSE(HR_Data[[#This Row],[Education]],"Below College","College","Bachelor","Master","Doctor")</f>
        <v>Master</v>
      </c>
      <c r="AL212" s="1" t="str">
        <f>CHOOSE(HR_Data[[#This Row],[JobSatisfaction]],"Low","Medium","High","Very High")</f>
        <v>Very High</v>
      </c>
      <c r="AM212" s="1" t="str">
        <f>CHOOSE(HR_Data[[#This Row],[EnvironmentSatisfaction]],"Low","Medium","High","Very High")</f>
        <v>Very High</v>
      </c>
      <c r="AN212" s="1" t="str">
        <f>CHOOSE(HR_Data[[#This Row],[WorkLifeBalance]],"Bad","Good","Better","Best")</f>
        <v>Good</v>
      </c>
      <c r="AO212" s="1" t="str">
        <f>IF(HR_Data[[#This Row],[PercentSalaryHike]]&lt;=13,"11-13%",IF(HR_Data[[#This Row],[PercentSalaryHike]]&lt;=16,"14-16%",IF(HR_Data[[#This Row],[PercentSalaryHike]]&lt;=19,"17-19%","20-25%")))</f>
        <v>11-13%</v>
      </c>
      <c r="AP212" s="1">
        <f>IF(HR_Data[[#This Row],[PercentSalaryHike]]&lt;=13,1,IF(HR_Data[[#This Row],[PercentSalaryHike]]&lt;=16,2,IF(HR_Data[[#This Row],[PercentSalaryHike]]&lt;=19,3,4)))</f>
        <v>1</v>
      </c>
      <c r="AQ212" s="1" t="str">
        <f>IF(HR_Data[[#This Row],[DistanceFromHome]]&lt;=5,"1 to 5",IF(HR_Data[[#This Row],[DistanceFromHome]]&lt;=10,"6 to 10",IF(HR_Data[[#This Row],[DistanceFromHome]]&lt;=20,"11 to 20","21 to 29")))</f>
        <v>1 to 5</v>
      </c>
      <c r="AR212" s="1">
        <f>IF(HR_Data[[#This Row],[DistanceFromHome]]&lt;=5,1,IF(HR_Data[[#This Row],[DistanceFromHome]]&lt;=10,2,IF(HR_Data[[#This Row],[DistanceFromHome]]&lt;=20,3,4)))</f>
        <v>1</v>
      </c>
      <c r="AS212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212" s="1">
        <f>IF(HR_Data[[#This Row],[TotalWorkingYears]]&lt;=5,1,IF(HR_Data[[#This Row],[TotalWorkingYears]]&lt;=10,2,IF(HR_Data[[#This Row],[TotalWorkingYears]]&lt;=20,3,4)))</f>
        <v>3</v>
      </c>
    </row>
    <row r="213" spans="1:46" x14ac:dyDescent="0.25">
      <c r="A213">
        <v>30</v>
      </c>
      <c r="B213" t="s">
        <v>36</v>
      </c>
      <c r="C213" t="s">
        <v>48</v>
      </c>
      <c r="D213" t="s">
        <v>38</v>
      </c>
      <c r="E213">
        <v>1</v>
      </c>
      <c r="F213">
        <v>1</v>
      </c>
      <c r="G213" t="s">
        <v>32</v>
      </c>
      <c r="H213">
        <v>292</v>
      </c>
      <c r="I213">
        <v>3</v>
      </c>
      <c r="J213" t="s">
        <v>39</v>
      </c>
      <c r="K213">
        <v>2</v>
      </c>
      <c r="L213">
        <v>3</v>
      </c>
      <c r="M213" t="s">
        <v>46</v>
      </c>
      <c r="N213">
        <v>3</v>
      </c>
      <c r="O213" t="s">
        <v>35</v>
      </c>
      <c r="P213">
        <v>8474</v>
      </c>
      <c r="Q213">
        <v>1</v>
      </c>
      <c r="R213" t="s">
        <v>36</v>
      </c>
      <c r="S213">
        <v>22</v>
      </c>
      <c r="T213">
        <v>4</v>
      </c>
      <c r="U213">
        <v>3</v>
      </c>
      <c r="V213">
        <v>0</v>
      </c>
      <c r="W213">
        <v>12</v>
      </c>
      <c r="X213">
        <v>2</v>
      </c>
      <c r="Y213">
        <v>3</v>
      </c>
      <c r="Z213">
        <v>11</v>
      </c>
      <c r="AA213">
        <v>8</v>
      </c>
      <c r="AB213">
        <v>5</v>
      </c>
      <c r="AC213">
        <v>8</v>
      </c>
      <c r="AD213">
        <f>IF(HR_Data[[#This Row],[Attrition]]="Yes",1,0)</f>
        <v>0</v>
      </c>
      <c r="AE213" t="str">
        <f>IF(HR_Data[[#This Row],[Age]]&lt;=25,"18-25",IF(HR_Data[[#This Row],[Age]]&lt;=35,"26-35",IF(HR_Data[[#This Row],[Age]]&lt;=45,"36-45",IF(HR_Data[[#This Row],[Age]]&lt;=55,"46-55","55+"))))</f>
        <v>26-35</v>
      </c>
      <c r="AF213">
        <f>IF(HR_Data[[#This Row],[Age]]&lt;=25,1,IF(HR_Data[[#This Row],[Age]]&lt;=35,2,IF(HR_Data[[#This Row],[Age]]&lt;=45,3,IF(HR_Data[[#This Row],[Age]]&lt;=55,4,5))))</f>
        <v>2</v>
      </c>
      <c r="AG213" s="1" t="str">
        <f>IF(HR_Data[[#This Row],[MonthlyIncome]]&lt;3000,"&lt;3K",IF(HR_Data[[#This Row],[MonthlyIncome]]&lt;6000,"3K-6K",IF(HR_Data[[#This Row],[MonthlyIncome]]&lt;10000,"6K-10K","10K+")))</f>
        <v>6K-10K</v>
      </c>
      <c r="AH213" s="1">
        <f>IF(HR_Data[[#This Row],[MonthlyIncome]]&lt;3000,1,IF(HR_Data[[#This Row],[MonthlyIncome]]&lt;6000,2,IF(HR_Data[[#This Row],[MonthlyIncome]]&lt;10000,3,4)))</f>
        <v>3</v>
      </c>
      <c r="AI213" s="1" t="str">
        <f>IF(HR_Data[[#This Row],[YearsAtCompany]]&lt;=2,"0-2 Yrs",IF(HR_Data[[#This Row],[YearsAtCompany]]&lt;=5,"3-5 Yrs",IF(HR_Data[[#This Row],[YearsAtCompany]]&lt;=10,"6-10 Yrs","10+ Yrs")))</f>
        <v>10+ Yrs</v>
      </c>
      <c r="AJ213" s="1">
        <f>IF(HR_Data[[#This Row],[YearsAtCompany]]&lt;=2,1,IF(HR_Data[[#This Row],[YearsAtCompany]]&lt;=5,2,IF(HR_Data[[#This Row],[YearsAtCompany]]&lt;=10,3,4)))</f>
        <v>4</v>
      </c>
      <c r="AK213" s="1" t="str">
        <f>CHOOSE(HR_Data[[#This Row],[Education]],"Below College","College","Bachelor","Master","Doctor")</f>
        <v>Below College</v>
      </c>
      <c r="AL213" s="1" t="str">
        <f>CHOOSE(HR_Data[[#This Row],[JobSatisfaction]],"Low","Medium","High","Very High")</f>
        <v>High</v>
      </c>
      <c r="AM213" s="1" t="str">
        <f>CHOOSE(HR_Data[[#This Row],[EnvironmentSatisfaction]],"Low","Medium","High","Very High")</f>
        <v>High</v>
      </c>
      <c r="AN213" s="1" t="str">
        <f>CHOOSE(HR_Data[[#This Row],[WorkLifeBalance]],"Bad","Good","Better","Best")</f>
        <v>Better</v>
      </c>
      <c r="AO213" s="1" t="str">
        <f>IF(HR_Data[[#This Row],[PercentSalaryHike]]&lt;=13,"11-13%",IF(HR_Data[[#This Row],[PercentSalaryHike]]&lt;=16,"14-16%",IF(HR_Data[[#This Row],[PercentSalaryHike]]&lt;=19,"17-19%","20-25%")))</f>
        <v>20-25%</v>
      </c>
      <c r="AP213" s="1">
        <f>IF(HR_Data[[#This Row],[PercentSalaryHike]]&lt;=13,1,IF(HR_Data[[#This Row],[PercentSalaryHike]]&lt;=16,2,IF(HR_Data[[#This Row],[PercentSalaryHike]]&lt;=19,3,4)))</f>
        <v>4</v>
      </c>
      <c r="AQ213" s="1" t="str">
        <f>IF(HR_Data[[#This Row],[DistanceFromHome]]&lt;=5,"1 to 5",IF(HR_Data[[#This Row],[DistanceFromHome]]&lt;=10,"6 to 10",IF(HR_Data[[#This Row],[DistanceFromHome]]&lt;=20,"11 to 20","21 to 29")))</f>
        <v>1 to 5</v>
      </c>
      <c r="AR213" s="1">
        <f>IF(HR_Data[[#This Row],[DistanceFromHome]]&lt;=5,1,IF(HR_Data[[#This Row],[DistanceFromHome]]&lt;=10,2,IF(HR_Data[[#This Row],[DistanceFromHome]]&lt;=20,3,4)))</f>
        <v>1</v>
      </c>
      <c r="AS213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213" s="1">
        <f>IF(HR_Data[[#This Row],[TotalWorkingYears]]&lt;=5,1,IF(HR_Data[[#This Row],[TotalWorkingYears]]&lt;=10,2,IF(HR_Data[[#This Row],[TotalWorkingYears]]&lt;=20,3,4)))</f>
        <v>3</v>
      </c>
    </row>
    <row r="214" spans="1:46" x14ac:dyDescent="0.25">
      <c r="A214">
        <v>27</v>
      </c>
      <c r="B214" t="s">
        <v>36</v>
      </c>
      <c r="C214" t="s">
        <v>37</v>
      </c>
      <c r="D214" t="s">
        <v>31</v>
      </c>
      <c r="E214">
        <v>20</v>
      </c>
      <c r="F214">
        <v>3</v>
      </c>
      <c r="G214" t="s">
        <v>32</v>
      </c>
      <c r="H214">
        <v>293</v>
      </c>
      <c r="I214">
        <v>4</v>
      </c>
      <c r="J214" t="s">
        <v>33</v>
      </c>
      <c r="K214">
        <v>3</v>
      </c>
      <c r="L214">
        <v>2</v>
      </c>
      <c r="M214" t="s">
        <v>34</v>
      </c>
      <c r="N214">
        <v>3</v>
      </c>
      <c r="O214" t="s">
        <v>35</v>
      </c>
      <c r="P214">
        <v>9981</v>
      </c>
      <c r="Q214">
        <v>1</v>
      </c>
      <c r="R214" t="s">
        <v>36</v>
      </c>
      <c r="S214">
        <v>14</v>
      </c>
      <c r="T214">
        <v>3</v>
      </c>
      <c r="U214">
        <v>4</v>
      </c>
      <c r="V214">
        <v>0</v>
      </c>
      <c r="W214">
        <v>7</v>
      </c>
      <c r="X214">
        <v>2</v>
      </c>
      <c r="Y214">
        <v>3</v>
      </c>
      <c r="Z214">
        <v>7</v>
      </c>
      <c r="AA214">
        <v>7</v>
      </c>
      <c r="AB214">
        <v>0</v>
      </c>
      <c r="AC214">
        <v>7</v>
      </c>
      <c r="AD214">
        <f>IF(HR_Data[[#This Row],[Attrition]]="Yes",1,0)</f>
        <v>0</v>
      </c>
      <c r="AE214" t="str">
        <f>IF(HR_Data[[#This Row],[Age]]&lt;=25,"18-25",IF(HR_Data[[#This Row],[Age]]&lt;=35,"26-35",IF(HR_Data[[#This Row],[Age]]&lt;=45,"36-45",IF(HR_Data[[#This Row],[Age]]&lt;=55,"46-55","55+"))))</f>
        <v>26-35</v>
      </c>
      <c r="AF214">
        <f>IF(HR_Data[[#This Row],[Age]]&lt;=25,1,IF(HR_Data[[#This Row],[Age]]&lt;=35,2,IF(HR_Data[[#This Row],[Age]]&lt;=45,3,IF(HR_Data[[#This Row],[Age]]&lt;=55,4,5))))</f>
        <v>2</v>
      </c>
      <c r="AG214" s="1" t="str">
        <f>IF(HR_Data[[#This Row],[MonthlyIncome]]&lt;3000,"&lt;3K",IF(HR_Data[[#This Row],[MonthlyIncome]]&lt;6000,"3K-6K",IF(HR_Data[[#This Row],[MonthlyIncome]]&lt;10000,"6K-10K","10K+")))</f>
        <v>6K-10K</v>
      </c>
      <c r="AH214" s="1">
        <f>IF(HR_Data[[#This Row],[MonthlyIncome]]&lt;3000,1,IF(HR_Data[[#This Row],[MonthlyIncome]]&lt;6000,2,IF(HR_Data[[#This Row],[MonthlyIncome]]&lt;10000,3,4)))</f>
        <v>3</v>
      </c>
      <c r="AI214" s="1" t="str">
        <f>IF(HR_Data[[#This Row],[YearsAtCompany]]&lt;=2,"0-2 Yrs",IF(HR_Data[[#This Row],[YearsAtCompany]]&lt;=5,"3-5 Yrs",IF(HR_Data[[#This Row],[YearsAtCompany]]&lt;=10,"6-10 Yrs","10+ Yrs")))</f>
        <v>6-10 Yrs</v>
      </c>
      <c r="AJ214" s="1">
        <f>IF(HR_Data[[#This Row],[YearsAtCompany]]&lt;=2,1,IF(HR_Data[[#This Row],[YearsAtCompany]]&lt;=5,2,IF(HR_Data[[#This Row],[YearsAtCompany]]&lt;=10,3,4)))</f>
        <v>3</v>
      </c>
      <c r="AK214" s="1" t="str">
        <f>CHOOSE(HR_Data[[#This Row],[Education]],"Below College","College","Bachelor","Master","Doctor")</f>
        <v>Bachelor</v>
      </c>
      <c r="AL214" s="1" t="str">
        <f>CHOOSE(HR_Data[[#This Row],[JobSatisfaction]],"Low","Medium","High","Very High")</f>
        <v>High</v>
      </c>
      <c r="AM214" s="1" t="str">
        <f>CHOOSE(HR_Data[[#This Row],[EnvironmentSatisfaction]],"Low","Medium","High","Very High")</f>
        <v>Very High</v>
      </c>
      <c r="AN214" s="1" t="str">
        <f>CHOOSE(HR_Data[[#This Row],[WorkLifeBalance]],"Bad","Good","Better","Best")</f>
        <v>Better</v>
      </c>
      <c r="AO214" s="1" t="str">
        <f>IF(HR_Data[[#This Row],[PercentSalaryHike]]&lt;=13,"11-13%",IF(HR_Data[[#This Row],[PercentSalaryHike]]&lt;=16,"14-16%",IF(HR_Data[[#This Row],[PercentSalaryHike]]&lt;=19,"17-19%","20-25%")))</f>
        <v>14-16%</v>
      </c>
      <c r="AP214" s="1">
        <f>IF(HR_Data[[#This Row],[PercentSalaryHike]]&lt;=13,1,IF(HR_Data[[#This Row],[PercentSalaryHike]]&lt;=16,2,IF(HR_Data[[#This Row],[PercentSalaryHike]]&lt;=19,3,4)))</f>
        <v>2</v>
      </c>
      <c r="AQ214" s="1" t="str">
        <f>IF(HR_Data[[#This Row],[DistanceFromHome]]&lt;=5,"1 to 5",IF(HR_Data[[#This Row],[DistanceFromHome]]&lt;=10,"6 to 10",IF(HR_Data[[#This Row],[DistanceFromHome]]&lt;=20,"11 to 20","21 to 29")))</f>
        <v>11 to 20</v>
      </c>
      <c r="AR214" s="1">
        <f>IF(HR_Data[[#This Row],[DistanceFromHome]]&lt;=5,1,IF(HR_Data[[#This Row],[DistanceFromHome]]&lt;=10,2,IF(HR_Data[[#This Row],[DistanceFromHome]]&lt;=20,3,4)))</f>
        <v>3</v>
      </c>
      <c r="AS214" s="1" t="str">
        <f>IF(HR_Data[[#This Row],[TotalWorkingYears]]&lt;=5,"0-5 Yrs",IF(HR_Data[[#This Row],[TotalWorkingYears]]&lt;=10,"6-10 Yrs",IF(HR_Data[[#This Row],[TotalWorkingYears]]&lt;=20,"11-20 Yrs","20+ Yrs")))</f>
        <v>6-10 Yrs</v>
      </c>
      <c r="AT214" s="1">
        <f>IF(HR_Data[[#This Row],[TotalWorkingYears]]&lt;=5,1,IF(HR_Data[[#This Row],[TotalWorkingYears]]&lt;=10,2,IF(HR_Data[[#This Row],[TotalWorkingYears]]&lt;=20,3,4)))</f>
        <v>2</v>
      </c>
    </row>
    <row r="215" spans="1:46" x14ac:dyDescent="0.25">
      <c r="A215">
        <v>51</v>
      </c>
      <c r="B215" t="s">
        <v>36</v>
      </c>
      <c r="C215" t="s">
        <v>30</v>
      </c>
      <c r="D215" t="s">
        <v>38</v>
      </c>
      <c r="E215">
        <v>8</v>
      </c>
      <c r="F215">
        <v>4</v>
      </c>
      <c r="G215" t="s">
        <v>32</v>
      </c>
      <c r="H215">
        <v>296</v>
      </c>
      <c r="I215">
        <v>2</v>
      </c>
      <c r="J215" t="s">
        <v>39</v>
      </c>
      <c r="K215">
        <v>2</v>
      </c>
      <c r="L215">
        <v>3</v>
      </c>
      <c r="M215" t="s">
        <v>51</v>
      </c>
      <c r="N215">
        <v>2</v>
      </c>
      <c r="O215" t="s">
        <v>41</v>
      </c>
      <c r="P215">
        <v>12490</v>
      </c>
      <c r="Q215">
        <v>5</v>
      </c>
      <c r="R215" t="s">
        <v>36</v>
      </c>
      <c r="S215">
        <v>16</v>
      </c>
      <c r="T215">
        <v>3</v>
      </c>
      <c r="U215">
        <v>4</v>
      </c>
      <c r="V215">
        <v>2</v>
      </c>
      <c r="W215">
        <v>16</v>
      </c>
      <c r="X215">
        <v>5</v>
      </c>
      <c r="Y215">
        <v>1</v>
      </c>
      <c r="Z215">
        <v>10</v>
      </c>
      <c r="AA215">
        <v>9</v>
      </c>
      <c r="AB215">
        <v>4</v>
      </c>
      <c r="AC215">
        <v>7</v>
      </c>
      <c r="AD215">
        <f>IF(HR_Data[[#This Row],[Attrition]]="Yes",1,0)</f>
        <v>0</v>
      </c>
      <c r="AE215" t="str">
        <f>IF(HR_Data[[#This Row],[Age]]&lt;=25,"18-25",IF(HR_Data[[#This Row],[Age]]&lt;=35,"26-35",IF(HR_Data[[#This Row],[Age]]&lt;=45,"36-45",IF(HR_Data[[#This Row],[Age]]&lt;=55,"46-55","55+"))))</f>
        <v>46-55</v>
      </c>
      <c r="AF215">
        <f>IF(HR_Data[[#This Row],[Age]]&lt;=25,1,IF(HR_Data[[#This Row],[Age]]&lt;=35,2,IF(HR_Data[[#This Row],[Age]]&lt;=45,3,IF(HR_Data[[#This Row],[Age]]&lt;=55,4,5))))</f>
        <v>4</v>
      </c>
      <c r="AG215" s="1" t="str">
        <f>IF(HR_Data[[#This Row],[MonthlyIncome]]&lt;3000,"&lt;3K",IF(HR_Data[[#This Row],[MonthlyIncome]]&lt;6000,"3K-6K",IF(HR_Data[[#This Row],[MonthlyIncome]]&lt;10000,"6K-10K","10K+")))</f>
        <v>10K+</v>
      </c>
      <c r="AH215" s="1">
        <f>IF(HR_Data[[#This Row],[MonthlyIncome]]&lt;3000,1,IF(HR_Data[[#This Row],[MonthlyIncome]]&lt;6000,2,IF(HR_Data[[#This Row],[MonthlyIncome]]&lt;10000,3,4)))</f>
        <v>4</v>
      </c>
      <c r="AI215" s="1" t="str">
        <f>IF(HR_Data[[#This Row],[YearsAtCompany]]&lt;=2,"0-2 Yrs",IF(HR_Data[[#This Row],[YearsAtCompany]]&lt;=5,"3-5 Yrs",IF(HR_Data[[#This Row],[YearsAtCompany]]&lt;=10,"6-10 Yrs","10+ Yrs")))</f>
        <v>6-10 Yrs</v>
      </c>
      <c r="AJ215" s="1">
        <f>IF(HR_Data[[#This Row],[YearsAtCompany]]&lt;=2,1,IF(HR_Data[[#This Row],[YearsAtCompany]]&lt;=5,2,IF(HR_Data[[#This Row],[YearsAtCompany]]&lt;=10,3,4)))</f>
        <v>3</v>
      </c>
      <c r="AK215" s="1" t="str">
        <f>CHOOSE(HR_Data[[#This Row],[Education]],"Below College","College","Bachelor","Master","Doctor")</f>
        <v>Master</v>
      </c>
      <c r="AL215" s="1" t="str">
        <f>CHOOSE(HR_Data[[#This Row],[JobSatisfaction]],"Low","Medium","High","Very High")</f>
        <v>Medium</v>
      </c>
      <c r="AM215" s="1" t="str">
        <f>CHOOSE(HR_Data[[#This Row],[EnvironmentSatisfaction]],"Low","Medium","High","Very High")</f>
        <v>Medium</v>
      </c>
      <c r="AN215" s="1" t="str">
        <f>CHOOSE(HR_Data[[#This Row],[WorkLifeBalance]],"Bad","Good","Better","Best")</f>
        <v>Bad</v>
      </c>
      <c r="AO215" s="1" t="str">
        <f>IF(HR_Data[[#This Row],[PercentSalaryHike]]&lt;=13,"11-13%",IF(HR_Data[[#This Row],[PercentSalaryHike]]&lt;=16,"14-16%",IF(HR_Data[[#This Row],[PercentSalaryHike]]&lt;=19,"17-19%","20-25%")))</f>
        <v>14-16%</v>
      </c>
      <c r="AP215" s="1">
        <f>IF(HR_Data[[#This Row],[PercentSalaryHike]]&lt;=13,1,IF(HR_Data[[#This Row],[PercentSalaryHike]]&lt;=16,2,IF(HR_Data[[#This Row],[PercentSalaryHike]]&lt;=19,3,4)))</f>
        <v>2</v>
      </c>
      <c r="AQ215" s="1" t="str">
        <f>IF(HR_Data[[#This Row],[DistanceFromHome]]&lt;=5,"1 to 5",IF(HR_Data[[#This Row],[DistanceFromHome]]&lt;=10,"6 to 10",IF(HR_Data[[#This Row],[DistanceFromHome]]&lt;=20,"11 to 20","21 to 29")))</f>
        <v>6 to 10</v>
      </c>
      <c r="AR215" s="1">
        <f>IF(HR_Data[[#This Row],[DistanceFromHome]]&lt;=5,1,IF(HR_Data[[#This Row],[DistanceFromHome]]&lt;=10,2,IF(HR_Data[[#This Row],[DistanceFromHome]]&lt;=20,3,4)))</f>
        <v>2</v>
      </c>
      <c r="AS215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215" s="1">
        <f>IF(HR_Data[[#This Row],[TotalWorkingYears]]&lt;=5,1,IF(HR_Data[[#This Row],[TotalWorkingYears]]&lt;=10,2,IF(HR_Data[[#This Row],[TotalWorkingYears]]&lt;=20,3,4)))</f>
        <v>3</v>
      </c>
    </row>
    <row r="216" spans="1:46" x14ac:dyDescent="0.25">
      <c r="A216">
        <v>30</v>
      </c>
      <c r="B216" t="s">
        <v>29</v>
      </c>
      <c r="C216" t="s">
        <v>30</v>
      </c>
      <c r="D216" t="s">
        <v>38</v>
      </c>
      <c r="E216">
        <v>3</v>
      </c>
      <c r="F216">
        <v>3</v>
      </c>
      <c r="G216" t="s">
        <v>53</v>
      </c>
      <c r="H216">
        <v>297</v>
      </c>
      <c r="I216">
        <v>4</v>
      </c>
      <c r="J216" t="s">
        <v>33</v>
      </c>
      <c r="K216">
        <v>3</v>
      </c>
      <c r="L216">
        <v>1</v>
      </c>
      <c r="M216" t="s">
        <v>40</v>
      </c>
      <c r="N216">
        <v>1</v>
      </c>
      <c r="O216" t="s">
        <v>35</v>
      </c>
      <c r="P216">
        <v>2657</v>
      </c>
      <c r="Q216">
        <v>5</v>
      </c>
      <c r="R216" t="s">
        <v>29</v>
      </c>
      <c r="S216">
        <v>11</v>
      </c>
      <c r="T216">
        <v>3</v>
      </c>
      <c r="U216">
        <v>3</v>
      </c>
      <c r="V216">
        <v>0</v>
      </c>
      <c r="W216">
        <v>8</v>
      </c>
      <c r="X216">
        <v>5</v>
      </c>
      <c r="Y216">
        <v>3</v>
      </c>
      <c r="Z216">
        <v>5</v>
      </c>
      <c r="AA216">
        <v>2</v>
      </c>
      <c r="AB216">
        <v>0</v>
      </c>
      <c r="AC216">
        <v>4</v>
      </c>
      <c r="AD216">
        <f>IF(HR_Data[[#This Row],[Attrition]]="Yes",1,0)</f>
        <v>1</v>
      </c>
      <c r="AE216" t="str">
        <f>IF(HR_Data[[#This Row],[Age]]&lt;=25,"18-25",IF(HR_Data[[#This Row],[Age]]&lt;=35,"26-35",IF(HR_Data[[#This Row],[Age]]&lt;=45,"36-45",IF(HR_Data[[#This Row],[Age]]&lt;=55,"46-55","55+"))))</f>
        <v>26-35</v>
      </c>
      <c r="AF216">
        <f>IF(HR_Data[[#This Row],[Age]]&lt;=25,1,IF(HR_Data[[#This Row],[Age]]&lt;=35,2,IF(HR_Data[[#This Row],[Age]]&lt;=45,3,IF(HR_Data[[#This Row],[Age]]&lt;=55,4,5))))</f>
        <v>2</v>
      </c>
      <c r="AG216" s="1" t="str">
        <f>IF(HR_Data[[#This Row],[MonthlyIncome]]&lt;3000,"&lt;3K",IF(HR_Data[[#This Row],[MonthlyIncome]]&lt;6000,"3K-6K",IF(HR_Data[[#This Row],[MonthlyIncome]]&lt;10000,"6K-10K","10K+")))</f>
        <v>&lt;3K</v>
      </c>
      <c r="AH216" s="1">
        <f>IF(HR_Data[[#This Row],[MonthlyIncome]]&lt;3000,1,IF(HR_Data[[#This Row],[MonthlyIncome]]&lt;6000,2,IF(HR_Data[[#This Row],[MonthlyIncome]]&lt;10000,3,4)))</f>
        <v>1</v>
      </c>
      <c r="AI216" s="1" t="str">
        <f>IF(HR_Data[[#This Row],[YearsAtCompany]]&lt;=2,"0-2 Yrs",IF(HR_Data[[#This Row],[YearsAtCompany]]&lt;=5,"3-5 Yrs",IF(HR_Data[[#This Row],[YearsAtCompany]]&lt;=10,"6-10 Yrs","10+ Yrs")))</f>
        <v>3-5 Yrs</v>
      </c>
      <c r="AJ216" s="1">
        <f>IF(HR_Data[[#This Row],[YearsAtCompany]]&lt;=2,1,IF(HR_Data[[#This Row],[YearsAtCompany]]&lt;=5,2,IF(HR_Data[[#This Row],[YearsAtCompany]]&lt;=10,3,4)))</f>
        <v>2</v>
      </c>
      <c r="AK216" s="1" t="str">
        <f>CHOOSE(HR_Data[[#This Row],[Education]],"Below College","College","Bachelor","Master","Doctor")</f>
        <v>Bachelor</v>
      </c>
      <c r="AL216" s="1" t="str">
        <f>CHOOSE(HR_Data[[#This Row],[JobSatisfaction]],"Low","Medium","High","Very High")</f>
        <v>Low</v>
      </c>
      <c r="AM216" s="1" t="str">
        <f>CHOOSE(HR_Data[[#This Row],[EnvironmentSatisfaction]],"Low","Medium","High","Very High")</f>
        <v>Very High</v>
      </c>
      <c r="AN216" s="1" t="str">
        <f>CHOOSE(HR_Data[[#This Row],[WorkLifeBalance]],"Bad","Good","Better","Best")</f>
        <v>Better</v>
      </c>
      <c r="AO216" s="1" t="str">
        <f>IF(HR_Data[[#This Row],[PercentSalaryHike]]&lt;=13,"11-13%",IF(HR_Data[[#This Row],[PercentSalaryHike]]&lt;=16,"14-16%",IF(HR_Data[[#This Row],[PercentSalaryHike]]&lt;=19,"17-19%","20-25%")))</f>
        <v>11-13%</v>
      </c>
      <c r="AP216" s="1">
        <f>IF(HR_Data[[#This Row],[PercentSalaryHike]]&lt;=13,1,IF(HR_Data[[#This Row],[PercentSalaryHike]]&lt;=16,2,IF(HR_Data[[#This Row],[PercentSalaryHike]]&lt;=19,3,4)))</f>
        <v>1</v>
      </c>
      <c r="AQ216" s="1" t="str">
        <f>IF(HR_Data[[#This Row],[DistanceFromHome]]&lt;=5,"1 to 5",IF(HR_Data[[#This Row],[DistanceFromHome]]&lt;=10,"6 to 10",IF(HR_Data[[#This Row],[DistanceFromHome]]&lt;=20,"11 to 20","21 to 29")))</f>
        <v>1 to 5</v>
      </c>
      <c r="AR216" s="1">
        <f>IF(HR_Data[[#This Row],[DistanceFromHome]]&lt;=5,1,IF(HR_Data[[#This Row],[DistanceFromHome]]&lt;=10,2,IF(HR_Data[[#This Row],[DistanceFromHome]]&lt;=20,3,4)))</f>
        <v>1</v>
      </c>
      <c r="AS216" s="1" t="str">
        <f>IF(HR_Data[[#This Row],[TotalWorkingYears]]&lt;=5,"0-5 Yrs",IF(HR_Data[[#This Row],[TotalWorkingYears]]&lt;=10,"6-10 Yrs",IF(HR_Data[[#This Row],[TotalWorkingYears]]&lt;=20,"11-20 Yrs","20+ Yrs")))</f>
        <v>6-10 Yrs</v>
      </c>
      <c r="AT216" s="1">
        <f>IF(HR_Data[[#This Row],[TotalWorkingYears]]&lt;=5,1,IF(HR_Data[[#This Row],[TotalWorkingYears]]&lt;=10,2,IF(HR_Data[[#This Row],[TotalWorkingYears]]&lt;=20,3,4)))</f>
        <v>2</v>
      </c>
    </row>
    <row r="217" spans="1:46" x14ac:dyDescent="0.25">
      <c r="A217">
        <v>41</v>
      </c>
      <c r="B217" t="s">
        <v>36</v>
      </c>
      <c r="C217" t="s">
        <v>30</v>
      </c>
      <c r="D217" t="s">
        <v>31</v>
      </c>
      <c r="E217">
        <v>6</v>
      </c>
      <c r="F217">
        <v>3</v>
      </c>
      <c r="G217" t="s">
        <v>32</v>
      </c>
      <c r="H217">
        <v>298</v>
      </c>
      <c r="I217">
        <v>4</v>
      </c>
      <c r="J217" t="s">
        <v>33</v>
      </c>
      <c r="K217">
        <v>3</v>
      </c>
      <c r="L217">
        <v>3</v>
      </c>
      <c r="M217" t="s">
        <v>49</v>
      </c>
      <c r="N217">
        <v>4</v>
      </c>
      <c r="O217" t="s">
        <v>35</v>
      </c>
      <c r="P217">
        <v>13591</v>
      </c>
      <c r="Q217">
        <v>3</v>
      </c>
      <c r="R217" t="s">
        <v>29</v>
      </c>
      <c r="S217">
        <v>18</v>
      </c>
      <c r="T217">
        <v>3</v>
      </c>
      <c r="U217">
        <v>3</v>
      </c>
      <c r="V217">
        <v>0</v>
      </c>
      <c r="W217">
        <v>16</v>
      </c>
      <c r="X217">
        <v>3</v>
      </c>
      <c r="Y217">
        <v>3</v>
      </c>
      <c r="Z217">
        <v>1</v>
      </c>
      <c r="AA217">
        <v>0</v>
      </c>
      <c r="AB217">
        <v>0</v>
      </c>
      <c r="AC217">
        <v>0</v>
      </c>
      <c r="AD217">
        <f>IF(HR_Data[[#This Row],[Attrition]]="Yes",1,0)</f>
        <v>0</v>
      </c>
      <c r="AE217" t="str">
        <f>IF(HR_Data[[#This Row],[Age]]&lt;=25,"18-25",IF(HR_Data[[#This Row],[Age]]&lt;=35,"26-35",IF(HR_Data[[#This Row],[Age]]&lt;=45,"36-45",IF(HR_Data[[#This Row],[Age]]&lt;=55,"46-55","55+"))))</f>
        <v>36-45</v>
      </c>
      <c r="AF217">
        <f>IF(HR_Data[[#This Row],[Age]]&lt;=25,1,IF(HR_Data[[#This Row],[Age]]&lt;=35,2,IF(HR_Data[[#This Row],[Age]]&lt;=45,3,IF(HR_Data[[#This Row],[Age]]&lt;=55,4,5))))</f>
        <v>3</v>
      </c>
      <c r="AG217" s="1" t="str">
        <f>IF(HR_Data[[#This Row],[MonthlyIncome]]&lt;3000,"&lt;3K",IF(HR_Data[[#This Row],[MonthlyIncome]]&lt;6000,"3K-6K",IF(HR_Data[[#This Row],[MonthlyIncome]]&lt;10000,"6K-10K","10K+")))</f>
        <v>10K+</v>
      </c>
      <c r="AH217" s="1">
        <f>IF(HR_Data[[#This Row],[MonthlyIncome]]&lt;3000,1,IF(HR_Data[[#This Row],[MonthlyIncome]]&lt;6000,2,IF(HR_Data[[#This Row],[MonthlyIncome]]&lt;10000,3,4)))</f>
        <v>4</v>
      </c>
      <c r="AI217" s="1" t="str">
        <f>IF(HR_Data[[#This Row],[YearsAtCompany]]&lt;=2,"0-2 Yrs",IF(HR_Data[[#This Row],[YearsAtCompany]]&lt;=5,"3-5 Yrs",IF(HR_Data[[#This Row],[YearsAtCompany]]&lt;=10,"6-10 Yrs","10+ Yrs")))</f>
        <v>0-2 Yrs</v>
      </c>
      <c r="AJ217" s="1">
        <f>IF(HR_Data[[#This Row],[YearsAtCompany]]&lt;=2,1,IF(HR_Data[[#This Row],[YearsAtCompany]]&lt;=5,2,IF(HR_Data[[#This Row],[YearsAtCompany]]&lt;=10,3,4)))</f>
        <v>1</v>
      </c>
      <c r="AK217" s="1" t="str">
        <f>CHOOSE(HR_Data[[#This Row],[Education]],"Below College","College","Bachelor","Master","Doctor")</f>
        <v>Bachelor</v>
      </c>
      <c r="AL217" s="1" t="str">
        <f>CHOOSE(HR_Data[[#This Row],[JobSatisfaction]],"Low","Medium","High","Very High")</f>
        <v>Very High</v>
      </c>
      <c r="AM217" s="1" t="str">
        <f>CHOOSE(HR_Data[[#This Row],[EnvironmentSatisfaction]],"Low","Medium","High","Very High")</f>
        <v>Very High</v>
      </c>
      <c r="AN217" s="1" t="str">
        <f>CHOOSE(HR_Data[[#This Row],[WorkLifeBalance]],"Bad","Good","Better","Best")</f>
        <v>Better</v>
      </c>
      <c r="AO217" s="1" t="str">
        <f>IF(HR_Data[[#This Row],[PercentSalaryHike]]&lt;=13,"11-13%",IF(HR_Data[[#This Row],[PercentSalaryHike]]&lt;=16,"14-16%",IF(HR_Data[[#This Row],[PercentSalaryHike]]&lt;=19,"17-19%","20-25%")))</f>
        <v>17-19%</v>
      </c>
      <c r="AP217" s="1">
        <f>IF(HR_Data[[#This Row],[PercentSalaryHike]]&lt;=13,1,IF(HR_Data[[#This Row],[PercentSalaryHike]]&lt;=16,2,IF(HR_Data[[#This Row],[PercentSalaryHike]]&lt;=19,3,4)))</f>
        <v>3</v>
      </c>
      <c r="AQ217" s="1" t="str">
        <f>IF(HR_Data[[#This Row],[DistanceFromHome]]&lt;=5,"1 to 5",IF(HR_Data[[#This Row],[DistanceFromHome]]&lt;=10,"6 to 10",IF(HR_Data[[#This Row],[DistanceFromHome]]&lt;=20,"11 to 20","21 to 29")))</f>
        <v>6 to 10</v>
      </c>
      <c r="AR217" s="1">
        <f>IF(HR_Data[[#This Row],[DistanceFromHome]]&lt;=5,1,IF(HR_Data[[#This Row],[DistanceFromHome]]&lt;=10,2,IF(HR_Data[[#This Row],[DistanceFromHome]]&lt;=20,3,4)))</f>
        <v>2</v>
      </c>
      <c r="AS217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217" s="1">
        <f>IF(HR_Data[[#This Row],[TotalWorkingYears]]&lt;=5,1,IF(HR_Data[[#This Row],[TotalWorkingYears]]&lt;=10,2,IF(HR_Data[[#This Row],[TotalWorkingYears]]&lt;=20,3,4)))</f>
        <v>3</v>
      </c>
    </row>
    <row r="218" spans="1:46" x14ac:dyDescent="0.25">
      <c r="A218">
        <v>30</v>
      </c>
      <c r="B218" t="s">
        <v>29</v>
      </c>
      <c r="C218" t="s">
        <v>37</v>
      </c>
      <c r="D218" t="s">
        <v>31</v>
      </c>
      <c r="E218">
        <v>26</v>
      </c>
      <c r="F218">
        <v>4</v>
      </c>
      <c r="G218" t="s">
        <v>52</v>
      </c>
      <c r="H218">
        <v>299</v>
      </c>
      <c r="I218">
        <v>3</v>
      </c>
      <c r="J218" t="s">
        <v>33</v>
      </c>
      <c r="K218">
        <v>2</v>
      </c>
      <c r="L218">
        <v>2</v>
      </c>
      <c r="M218" t="s">
        <v>34</v>
      </c>
      <c r="N218">
        <v>1</v>
      </c>
      <c r="O218" t="s">
        <v>35</v>
      </c>
      <c r="P218">
        <v>6696</v>
      </c>
      <c r="Q218">
        <v>5</v>
      </c>
      <c r="R218" t="s">
        <v>36</v>
      </c>
      <c r="S218">
        <v>15</v>
      </c>
      <c r="T218">
        <v>3</v>
      </c>
      <c r="U218">
        <v>3</v>
      </c>
      <c r="V218">
        <v>0</v>
      </c>
      <c r="W218">
        <v>9</v>
      </c>
      <c r="X218">
        <v>5</v>
      </c>
      <c r="Y218">
        <v>2</v>
      </c>
      <c r="Z218">
        <v>6</v>
      </c>
      <c r="AA218">
        <v>3</v>
      </c>
      <c r="AB218">
        <v>0</v>
      </c>
      <c r="AC218">
        <v>1</v>
      </c>
      <c r="AD218">
        <f>IF(HR_Data[[#This Row],[Attrition]]="Yes",1,0)</f>
        <v>1</v>
      </c>
      <c r="AE218" t="str">
        <f>IF(HR_Data[[#This Row],[Age]]&lt;=25,"18-25",IF(HR_Data[[#This Row],[Age]]&lt;=35,"26-35",IF(HR_Data[[#This Row],[Age]]&lt;=45,"36-45",IF(HR_Data[[#This Row],[Age]]&lt;=55,"46-55","55+"))))</f>
        <v>26-35</v>
      </c>
      <c r="AF218">
        <f>IF(HR_Data[[#This Row],[Age]]&lt;=25,1,IF(HR_Data[[#This Row],[Age]]&lt;=35,2,IF(HR_Data[[#This Row],[Age]]&lt;=45,3,IF(HR_Data[[#This Row],[Age]]&lt;=55,4,5))))</f>
        <v>2</v>
      </c>
      <c r="AG218" s="1" t="str">
        <f>IF(HR_Data[[#This Row],[MonthlyIncome]]&lt;3000,"&lt;3K",IF(HR_Data[[#This Row],[MonthlyIncome]]&lt;6000,"3K-6K",IF(HR_Data[[#This Row],[MonthlyIncome]]&lt;10000,"6K-10K","10K+")))</f>
        <v>6K-10K</v>
      </c>
      <c r="AH218" s="1">
        <f>IF(HR_Data[[#This Row],[MonthlyIncome]]&lt;3000,1,IF(HR_Data[[#This Row],[MonthlyIncome]]&lt;6000,2,IF(HR_Data[[#This Row],[MonthlyIncome]]&lt;10000,3,4)))</f>
        <v>3</v>
      </c>
      <c r="AI218" s="1" t="str">
        <f>IF(HR_Data[[#This Row],[YearsAtCompany]]&lt;=2,"0-2 Yrs",IF(HR_Data[[#This Row],[YearsAtCompany]]&lt;=5,"3-5 Yrs",IF(HR_Data[[#This Row],[YearsAtCompany]]&lt;=10,"6-10 Yrs","10+ Yrs")))</f>
        <v>6-10 Yrs</v>
      </c>
      <c r="AJ218" s="1">
        <f>IF(HR_Data[[#This Row],[YearsAtCompany]]&lt;=2,1,IF(HR_Data[[#This Row],[YearsAtCompany]]&lt;=5,2,IF(HR_Data[[#This Row],[YearsAtCompany]]&lt;=10,3,4)))</f>
        <v>3</v>
      </c>
      <c r="AK218" s="1" t="str">
        <f>CHOOSE(HR_Data[[#This Row],[Education]],"Below College","College","Bachelor","Master","Doctor")</f>
        <v>Master</v>
      </c>
      <c r="AL218" s="1" t="str">
        <f>CHOOSE(HR_Data[[#This Row],[JobSatisfaction]],"Low","Medium","High","Very High")</f>
        <v>Low</v>
      </c>
      <c r="AM218" s="1" t="str">
        <f>CHOOSE(HR_Data[[#This Row],[EnvironmentSatisfaction]],"Low","Medium","High","Very High")</f>
        <v>High</v>
      </c>
      <c r="AN218" s="1" t="str">
        <f>CHOOSE(HR_Data[[#This Row],[WorkLifeBalance]],"Bad","Good","Better","Best")</f>
        <v>Good</v>
      </c>
      <c r="AO218" s="1" t="str">
        <f>IF(HR_Data[[#This Row],[PercentSalaryHike]]&lt;=13,"11-13%",IF(HR_Data[[#This Row],[PercentSalaryHike]]&lt;=16,"14-16%",IF(HR_Data[[#This Row],[PercentSalaryHike]]&lt;=19,"17-19%","20-25%")))</f>
        <v>14-16%</v>
      </c>
      <c r="AP218" s="1">
        <f>IF(HR_Data[[#This Row],[PercentSalaryHike]]&lt;=13,1,IF(HR_Data[[#This Row],[PercentSalaryHike]]&lt;=16,2,IF(HR_Data[[#This Row],[PercentSalaryHike]]&lt;=19,3,4)))</f>
        <v>2</v>
      </c>
      <c r="AQ218" s="1" t="str">
        <f>IF(HR_Data[[#This Row],[DistanceFromHome]]&lt;=5,"1 to 5",IF(HR_Data[[#This Row],[DistanceFromHome]]&lt;=10,"6 to 10",IF(HR_Data[[#This Row],[DistanceFromHome]]&lt;=20,"11 to 20","21 to 29")))</f>
        <v>21 to 29</v>
      </c>
      <c r="AR218" s="1">
        <f>IF(HR_Data[[#This Row],[DistanceFromHome]]&lt;=5,1,IF(HR_Data[[#This Row],[DistanceFromHome]]&lt;=10,2,IF(HR_Data[[#This Row],[DistanceFromHome]]&lt;=20,3,4)))</f>
        <v>4</v>
      </c>
      <c r="AS218" s="1" t="str">
        <f>IF(HR_Data[[#This Row],[TotalWorkingYears]]&lt;=5,"0-5 Yrs",IF(HR_Data[[#This Row],[TotalWorkingYears]]&lt;=10,"6-10 Yrs",IF(HR_Data[[#This Row],[TotalWorkingYears]]&lt;=20,"11-20 Yrs","20+ Yrs")))</f>
        <v>6-10 Yrs</v>
      </c>
      <c r="AT218" s="1">
        <f>IF(HR_Data[[#This Row],[TotalWorkingYears]]&lt;=5,1,IF(HR_Data[[#This Row],[TotalWorkingYears]]&lt;=10,2,IF(HR_Data[[#This Row],[TotalWorkingYears]]&lt;=20,3,4)))</f>
        <v>2</v>
      </c>
    </row>
    <row r="219" spans="1:46" x14ac:dyDescent="0.25">
      <c r="A219">
        <v>29</v>
      </c>
      <c r="B219" t="s">
        <v>29</v>
      </c>
      <c r="C219" t="s">
        <v>30</v>
      </c>
      <c r="D219" t="s">
        <v>38</v>
      </c>
      <c r="E219">
        <v>1</v>
      </c>
      <c r="F219">
        <v>3</v>
      </c>
      <c r="G219" t="s">
        <v>53</v>
      </c>
      <c r="H219">
        <v>300</v>
      </c>
      <c r="I219">
        <v>3</v>
      </c>
      <c r="J219" t="s">
        <v>39</v>
      </c>
      <c r="K219">
        <v>3</v>
      </c>
      <c r="L219">
        <v>1</v>
      </c>
      <c r="M219" t="s">
        <v>40</v>
      </c>
      <c r="N219">
        <v>3</v>
      </c>
      <c r="O219" t="s">
        <v>35</v>
      </c>
      <c r="P219">
        <v>2058</v>
      </c>
      <c r="Q219">
        <v>0</v>
      </c>
      <c r="R219" t="s">
        <v>36</v>
      </c>
      <c r="S219">
        <v>14</v>
      </c>
      <c r="T219">
        <v>3</v>
      </c>
      <c r="U219">
        <v>4</v>
      </c>
      <c r="V219">
        <v>0</v>
      </c>
      <c r="W219">
        <v>7</v>
      </c>
      <c r="X219">
        <v>1</v>
      </c>
      <c r="Y219">
        <v>2</v>
      </c>
      <c r="Z219">
        <v>6</v>
      </c>
      <c r="AA219">
        <v>2</v>
      </c>
      <c r="AB219">
        <v>1</v>
      </c>
      <c r="AC219">
        <v>5</v>
      </c>
      <c r="AD219">
        <f>IF(HR_Data[[#This Row],[Attrition]]="Yes",1,0)</f>
        <v>1</v>
      </c>
      <c r="AE219" t="str">
        <f>IF(HR_Data[[#This Row],[Age]]&lt;=25,"18-25",IF(HR_Data[[#This Row],[Age]]&lt;=35,"26-35",IF(HR_Data[[#This Row],[Age]]&lt;=45,"36-45",IF(HR_Data[[#This Row],[Age]]&lt;=55,"46-55","55+"))))</f>
        <v>26-35</v>
      </c>
      <c r="AF219">
        <f>IF(HR_Data[[#This Row],[Age]]&lt;=25,1,IF(HR_Data[[#This Row],[Age]]&lt;=35,2,IF(HR_Data[[#This Row],[Age]]&lt;=45,3,IF(HR_Data[[#This Row],[Age]]&lt;=55,4,5))))</f>
        <v>2</v>
      </c>
      <c r="AG219" s="1" t="str">
        <f>IF(HR_Data[[#This Row],[MonthlyIncome]]&lt;3000,"&lt;3K",IF(HR_Data[[#This Row],[MonthlyIncome]]&lt;6000,"3K-6K",IF(HR_Data[[#This Row],[MonthlyIncome]]&lt;10000,"6K-10K","10K+")))</f>
        <v>&lt;3K</v>
      </c>
      <c r="AH219" s="1">
        <f>IF(HR_Data[[#This Row],[MonthlyIncome]]&lt;3000,1,IF(HR_Data[[#This Row],[MonthlyIncome]]&lt;6000,2,IF(HR_Data[[#This Row],[MonthlyIncome]]&lt;10000,3,4)))</f>
        <v>1</v>
      </c>
      <c r="AI219" s="1" t="str">
        <f>IF(HR_Data[[#This Row],[YearsAtCompany]]&lt;=2,"0-2 Yrs",IF(HR_Data[[#This Row],[YearsAtCompany]]&lt;=5,"3-5 Yrs",IF(HR_Data[[#This Row],[YearsAtCompany]]&lt;=10,"6-10 Yrs","10+ Yrs")))</f>
        <v>6-10 Yrs</v>
      </c>
      <c r="AJ219" s="1">
        <f>IF(HR_Data[[#This Row],[YearsAtCompany]]&lt;=2,1,IF(HR_Data[[#This Row],[YearsAtCompany]]&lt;=5,2,IF(HR_Data[[#This Row],[YearsAtCompany]]&lt;=10,3,4)))</f>
        <v>3</v>
      </c>
      <c r="AK219" s="1" t="str">
        <f>CHOOSE(HR_Data[[#This Row],[Education]],"Below College","College","Bachelor","Master","Doctor")</f>
        <v>Bachelor</v>
      </c>
      <c r="AL219" s="1" t="str">
        <f>CHOOSE(HR_Data[[#This Row],[JobSatisfaction]],"Low","Medium","High","Very High")</f>
        <v>High</v>
      </c>
      <c r="AM219" s="1" t="str">
        <f>CHOOSE(HR_Data[[#This Row],[EnvironmentSatisfaction]],"Low","Medium","High","Very High")</f>
        <v>High</v>
      </c>
      <c r="AN219" s="1" t="str">
        <f>CHOOSE(HR_Data[[#This Row],[WorkLifeBalance]],"Bad","Good","Better","Best")</f>
        <v>Good</v>
      </c>
      <c r="AO219" s="1" t="str">
        <f>IF(HR_Data[[#This Row],[PercentSalaryHike]]&lt;=13,"11-13%",IF(HR_Data[[#This Row],[PercentSalaryHike]]&lt;=16,"14-16%",IF(HR_Data[[#This Row],[PercentSalaryHike]]&lt;=19,"17-19%","20-25%")))</f>
        <v>14-16%</v>
      </c>
      <c r="AP219" s="1">
        <f>IF(HR_Data[[#This Row],[PercentSalaryHike]]&lt;=13,1,IF(HR_Data[[#This Row],[PercentSalaryHike]]&lt;=16,2,IF(HR_Data[[#This Row],[PercentSalaryHike]]&lt;=19,3,4)))</f>
        <v>2</v>
      </c>
      <c r="AQ219" s="1" t="str">
        <f>IF(HR_Data[[#This Row],[DistanceFromHome]]&lt;=5,"1 to 5",IF(HR_Data[[#This Row],[DistanceFromHome]]&lt;=10,"6 to 10",IF(HR_Data[[#This Row],[DistanceFromHome]]&lt;=20,"11 to 20","21 to 29")))</f>
        <v>1 to 5</v>
      </c>
      <c r="AR219" s="1">
        <f>IF(HR_Data[[#This Row],[DistanceFromHome]]&lt;=5,1,IF(HR_Data[[#This Row],[DistanceFromHome]]&lt;=10,2,IF(HR_Data[[#This Row],[DistanceFromHome]]&lt;=20,3,4)))</f>
        <v>1</v>
      </c>
      <c r="AS219" s="1" t="str">
        <f>IF(HR_Data[[#This Row],[TotalWorkingYears]]&lt;=5,"0-5 Yrs",IF(HR_Data[[#This Row],[TotalWorkingYears]]&lt;=10,"6-10 Yrs",IF(HR_Data[[#This Row],[TotalWorkingYears]]&lt;=20,"11-20 Yrs","20+ Yrs")))</f>
        <v>6-10 Yrs</v>
      </c>
      <c r="AT219" s="1">
        <f>IF(HR_Data[[#This Row],[TotalWorkingYears]]&lt;=5,1,IF(HR_Data[[#This Row],[TotalWorkingYears]]&lt;=10,2,IF(HR_Data[[#This Row],[TotalWorkingYears]]&lt;=20,3,4)))</f>
        <v>2</v>
      </c>
    </row>
    <row r="220" spans="1:46" x14ac:dyDescent="0.25">
      <c r="A220">
        <v>45</v>
      </c>
      <c r="B220" t="s">
        <v>36</v>
      </c>
      <c r="C220" t="s">
        <v>48</v>
      </c>
      <c r="D220" t="s">
        <v>31</v>
      </c>
      <c r="E220">
        <v>6</v>
      </c>
      <c r="F220">
        <v>3</v>
      </c>
      <c r="G220" t="s">
        <v>44</v>
      </c>
      <c r="H220">
        <v>302</v>
      </c>
      <c r="I220">
        <v>4</v>
      </c>
      <c r="J220" t="s">
        <v>33</v>
      </c>
      <c r="K220">
        <v>2</v>
      </c>
      <c r="L220">
        <v>3</v>
      </c>
      <c r="M220" t="s">
        <v>34</v>
      </c>
      <c r="N220">
        <v>4</v>
      </c>
      <c r="O220" t="s">
        <v>35</v>
      </c>
      <c r="P220">
        <v>8865</v>
      </c>
      <c r="Q220">
        <v>6</v>
      </c>
      <c r="R220" t="s">
        <v>36</v>
      </c>
      <c r="S220">
        <v>12</v>
      </c>
      <c r="T220">
        <v>3</v>
      </c>
      <c r="U220">
        <v>4</v>
      </c>
      <c r="V220">
        <v>0</v>
      </c>
      <c r="W220">
        <v>23</v>
      </c>
      <c r="X220">
        <v>2</v>
      </c>
      <c r="Y220">
        <v>3</v>
      </c>
      <c r="Z220">
        <v>19</v>
      </c>
      <c r="AA220">
        <v>7</v>
      </c>
      <c r="AB220">
        <v>12</v>
      </c>
      <c r="AC220">
        <v>8</v>
      </c>
      <c r="AD220">
        <f>IF(HR_Data[[#This Row],[Attrition]]="Yes",1,0)</f>
        <v>0</v>
      </c>
      <c r="AE220" t="str">
        <f>IF(HR_Data[[#This Row],[Age]]&lt;=25,"18-25",IF(HR_Data[[#This Row],[Age]]&lt;=35,"26-35",IF(HR_Data[[#This Row],[Age]]&lt;=45,"36-45",IF(HR_Data[[#This Row],[Age]]&lt;=55,"46-55","55+"))))</f>
        <v>36-45</v>
      </c>
      <c r="AF220">
        <f>IF(HR_Data[[#This Row],[Age]]&lt;=25,1,IF(HR_Data[[#This Row],[Age]]&lt;=35,2,IF(HR_Data[[#This Row],[Age]]&lt;=45,3,IF(HR_Data[[#This Row],[Age]]&lt;=55,4,5))))</f>
        <v>3</v>
      </c>
      <c r="AG220" s="1" t="str">
        <f>IF(HR_Data[[#This Row],[MonthlyIncome]]&lt;3000,"&lt;3K",IF(HR_Data[[#This Row],[MonthlyIncome]]&lt;6000,"3K-6K",IF(HR_Data[[#This Row],[MonthlyIncome]]&lt;10000,"6K-10K","10K+")))</f>
        <v>6K-10K</v>
      </c>
      <c r="AH220" s="1">
        <f>IF(HR_Data[[#This Row],[MonthlyIncome]]&lt;3000,1,IF(HR_Data[[#This Row],[MonthlyIncome]]&lt;6000,2,IF(HR_Data[[#This Row],[MonthlyIncome]]&lt;10000,3,4)))</f>
        <v>3</v>
      </c>
      <c r="AI220" s="1" t="str">
        <f>IF(HR_Data[[#This Row],[YearsAtCompany]]&lt;=2,"0-2 Yrs",IF(HR_Data[[#This Row],[YearsAtCompany]]&lt;=5,"3-5 Yrs",IF(HR_Data[[#This Row],[YearsAtCompany]]&lt;=10,"6-10 Yrs","10+ Yrs")))</f>
        <v>10+ Yrs</v>
      </c>
      <c r="AJ220" s="1">
        <f>IF(HR_Data[[#This Row],[YearsAtCompany]]&lt;=2,1,IF(HR_Data[[#This Row],[YearsAtCompany]]&lt;=5,2,IF(HR_Data[[#This Row],[YearsAtCompany]]&lt;=10,3,4)))</f>
        <v>4</v>
      </c>
      <c r="AK220" s="1" t="str">
        <f>CHOOSE(HR_Data[[#This Row],[Education]],"Below College","College","Bachelor","Master","Doctor")</f>
        <v>Bachelor</v>
      </c>
      <c r="AL220" s="1" t="str">
        <f>CHOOSE(HR_Data[[#This Row],[JobSatisfaction]],"Low","Medium","High","Very High")</f>
        <v>Very High</v>
      </c>
      <c r="AM220" s="1" t="str">
        <f>CHOOSE(HR_Data[[#This Row],[EnvironmentSatisfaction]],"Low","Medium","High","Very High")</f>
        <v>Very High</v>
      </c>
      <c r="AN220" s="1" t="str">
        <f>CHOOSE(HR_Data[[#This Row],[WorkLifeBalance]],"Bad","Good","Better","Best")</f>
        <v>Better</v>
      </c>
      <c r="AO220" s="1" t="str">
        <f>IF(HR_Data[[#This Row],[PercentSalaryHike]]&lt;=13,"11-13%",IF(HR_Data[[#This Row],[PercentSalaryHike]]&lt;=16,"14-16%",IF(HR_Data[[#This Row],[PercentSalaryHike]]&lt;=19,"17-19%","20-25%")))</f>
        <v>11-13%</v>
      </c>
      <c r="AP220" s="1">
        <f>IF(HR_Data[[#This Row],[PercentSalaryHike]]&lt;=13,1,IF(HR_Data[[#This Row],[PercentSalaryHike]]&lt;=16,2,IF(HR_Data[[#This Row],[PercentSalaryHike]]&lt;=19,3,4)))</f>
        <v>1</v>
      </c>
      <c r="AQ220" s="1" t="str">
        <f>IF(HR_Data[[#This Row],[DistanceFromHome]]&lt;=5,"1 to 5",IF(HR_Data[[#This Row],[DistanceFromHome]]&lt;=10,"6 to 10",IF(HR_Data[[#This Row],[DistanceFromHome]]&lt;=20,"11 to 20","21 to 29")))</f>
        <v>6 to 10</v>
      </c>
      <c r="AR220" s="1">
        <f>IF(HR_Data[[#This Row],[DistanceFromHome]]&lt;=5,1,IF(HR_Data[[#This Row],[DistanceFromHome]]&lt;=10,2,IF(HR_Data[[#This Row],[DistanceFromHome]]&lt;=20,3,4)))</f>
        <v>2</v>
      </c>
      <c r="AS220" s="1" t="str">
        <f>IF(HR_Data[[#This Row],[TotalWorkingYears]]&lt;=5,"0-5 Yrs",IF(HR_Data[[#This Row],[TotalWorkingYears]]&lt;=10,"6-10 Yrs",IF(HR_Data[[#This Row],[TotalWorkingYears]]&lt;=20,"11-20 Yrs","20+ Yrs")))</f>
        <v>20+ Yrs</v>
      </c>
      <c r="AT220" s="1">
        <f>IF(HR_Data[[#This Row],[TotalWorkingYears]]&lt;=5,1,IF(HR_Data[[#This Row],[TotalWorkingYears]]&lt;=10,2,IF(HR_Data[[#This Row],[TotalWorkingYears]]&lt;=20,3,4)))</f>
        <v>4</v>
      </c>
    </row>
    <row r="221" spans="1:46" x14ac:dyDescent="0.25">
      <c r="A221">
        <v>54</v>
      </c>
      <c r="B221" t="s">
        <v>36</v>
      </c>
      <c r="C221" t="s">
        <v>30</v>
      </c>
      <c r="D221" t="s">
        <v>31</v>
      </c>
      <c r="E221">
        <v>3</v>
      </c>
      <c r="F221">
        <v>3</v>
      </c>
      <c r="G221" t="s">
        <v>52</v>
      </c>
      <c r="H221">
        <v>303</v>
      </c>
      <c r="I221">
        <v>4</v>
      </c>
      <c r="J221" t="s">
        <v>33</v>
      </c>
      <c r="K221">
        <v>3</v>
      </c>
      <c r="L221">
        <v>2</v>
      </c>
      <c r="M221" t="s">
        <v>34</v>
      </c>
      <c r="N221">
        <v>1</v>
      </c>
      <c r="O221" t="s">
        <v>41</v>
      </c>
      <c r="P221">
        <v>5940</v>
      </c>
      <c r="Q221">
        <v>2</v>
      </c>
      <c r="R221" t="s">
        <v>36</v>
      </c>
      <c r="S221">
        <v>14</v>
      </c>
      <c r="T221">
        <v>3</v>
      </c>
      <c r="U221">
        <v>4</v>
      </c>
      <c r="V221">
        <v>1</v>
      </c>
      <c r="W221">
        <v>16</v>
      </c>
      <c r="X221">
        <v>4</v>
      </c>
      <c r="Y221">
        <v>3</v>
      </c>
      <c r="Z221">
        <v>6</v>
      </c>
      <c r="AA221">
        <v>2</v>
      </c>
      <c r="AB221">
        <v>0</v>
      </c>
      <c r="AC221">
        <v>5</v>
      </c>
      <c r="AD221">
        <f>IF(HR_Data[[#This Row],[Attrition]]="Yes",1,0)</f>
        <v>0</v>
      </c>
      <c r="AE221" t="str">
        <f>IF(HR_Data[[#This Row],[Age]]&lt;=25,"18-25",IF(HR_Data[[#This Row],[Age]]&lt;=35,"26-35",IF(HR_Data[[#This Row],[Age]]&lt;=45,"36-45",IF(HR_Data[[#This Row],[Age]]&lt;=55,"46-55","55+"))))</f>
        <v>46-55</v>
      </c>
      <c r="AF221">
        <f>IF(HR_Data[[#This Row],[Age]]&lt;=25,1,IF(HR_Data[[#This Row],[Age]]&lt;=35,2,IF(HR_Data[[#This Row],[Age]]&lt;=45,3,IF(HR_Data[[#This Row],[Age]]&lt;=55,4,5))))</f>
        <v>4</v>
      </c>
      <c r="AG221" s="1" t="str">
        <f>IF(HR_Data[[#This Row],[MonthlyIncome]]&lt;3000,"&lt;3K",IF(HR_Data[[#This Row],[MonthlyIncome]]&lt;6000,"3K-6K",IF(HR_Data[[#This Row],[MonthlyIncome]]&lt;10000,"6K-10K","10K+")))</f>
        <v>3K-6K</v>
      </c>
      <c r="AH221" s="1">
        <f>IF(HR_Data[[#This Row],[MonthlyIncome]]&lt;3000,1,IF(HR_Data[[#This Row],[MonthlyIncome]]&lt;6000,2,IF(HR_Data[[#This Row],[MonthlyIncome]]&lt;10000,3,4)))</f>
        <v>2</v>
      </c>
      <c r="AI221" s="1" t="str">
        <f>IF(HR_Data[[#This Row],[YearsAtCompany]]&lt;=2,"0-2 Yrs",IF(HR_Data[[#This Row],[YearsAtCompany]]&lt;=5,"3-5 Yrs",IF(HR_Data[[#This Row],[YearsAtCompany]]&lt;=10,"6-10 Yrs","10+ Yrs")))</f>
        <v>6-10 Yrs</v>
      </c>
      <c r="AJ221" s="1">
        <f>IF(HR_Data[[#This Row],[YearsAtCompany]]&lt;=2,1,IF(HR_Data[[#This Row],[YearsAtCompany]]&lt;=5,2,IF(HR_Data[[#This Row],[YearsAtCompany]]&lt;=10,3,4)))</f>
        <v>3</v>
      </c>
      <c r="AK221" s="1" t="str">
        <f>CHOOSE(HR_Data[[#This Row],[Education]],"Below College","College","Bachelor","Master","Doctor")</f>
        <v>Bachelor</v>
      </c>
      <c r="AL221" s="1" t="str">
        <f>CHOOSE(HR_Data[[#This Row],[JobSatisfaction]],"Low","Medium","High","Very High")</f>
        <v>Low</v>
      </c>
      <c r="AM221" s="1" t="str">
        <f>CHOOSE(HR_Data[[#This Row],[EnvironmentSatisfaction]],"Low","Medium","High","Very High")</f>
        <v>Very High</v>
      </c>
      <c r="AN221" s="1" t="str">
        <f>CHOOSE(HR_Data[[#This Row],[WorkLifeBalance]],"Bad","Good","Better","Best")</f>
        <v>Better</v>
      </c>
      <c r="AO221" s="1" t="str">
        <f>IF(HR_Data[[#This Row],[PercentSalaryHike]]&lt;=13,"11-13%",IF(HR_Data[[#This Row],[PercentSalaryHike]]&lt;=16,"14-16%",IF(HR_Data[[#This Row],[PercentSalaryHike]]&lt;=19,"17-19%","20-25%")))</f>
        <v>14-16%</v>
      </c>
      <c r="AP221" s="1">
        <f>IF(HR_Data[[#This Row],[PercentSalaryHike]]&lt;=13,1,IF(HR_Data[[#This Row],[PercentSalaryHike]]&lt;=16,2,IF(HR_Data[[#This Row],[PercentSalaryHike]]&lt;=19,3,4)))</f>
        <v>2</v>
      </c>
      <c r="AQ221" s="1" t="str">
        <f>IF(HR_Data[[#This Row],[DistanceFromHome]]&lt;=5,"1 to 5",IF(HR_Data[[#This Row],[DistanceFromHome]]&lt;=10,"6 to 10",IF(HR_Data[[#This Row],[DistanceFromHome]]&lt;=20,"11 to 20","21 to 29")))</f>
        <v>1 to 5</v>
      </c>
      <c r="AR221" s="1">
        <f>IF(HR_Data[[#This Row],[DistanceFromHome]]&lt;=5,1,IF(HR_Data[[#This Row],[DistanceFromHome]]&lt;=10,2,IF(HR_Data[[#This Row],[DistanceFromHome]]&lt;=20,3,4)))</f>
        <v>1</v>
      </c>
      <c r="AS221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221" s="1">
        <f>IF(HR_Data[[#This Row],[TotalWorkingYears]]&lt;=5,1,IF(HR_Data[[#This Row],[TotalWorkingYears]]&lt;=10,2,IF(HR_Data[[#This Row],[TotalWorkingYears]]&lt;=20,3,4)))</f>
        <v>3</v>
      </c>
    </row>
    <row r="222" spans="1:46" x14ac:dyDescent="0.25">
      <c r="A222">
        <v>36</v>
      </c>
      <c r="B222" t="s">
        <v>36</v>
      </c>
      <c r="C222" t="s">
        <v>30</v>
      </c>
      <c r="D222" t="s">
        <v>38</v>
      </c>
      <c r="E222">
        <v>5</v>
      </c>
      <c r="F222">
        <v>2</v>
      </c>
      <c r="G222" t="s">
        <v>32</v>
      </c>
      <c r="H222">
        <v>304</v>
      </c>
      <c r="I222">
        <v>4</v>
      </c>
      <c r="J222" t="s">
        <v>39</v>
      </c>
      <c r="K222">
        <v>3</v>
      </c>
      <c r="L222">
        <v>2</v>
      </c>
      <c r="M222" t="s">
        <v>43</v>
      </c>
      <c r="N222">
        <v>2</v>
      </c>
      <c r="O222" t="s">
        <v>35</v>
      </c>
      <c r="P222">
        <v>5914</v>
      </c>
      <c r="Q222">
        <v>8</v>
      </c>
      <c r="R222" t="s">
        <v>36</v>
      </c>
      <c r="S222">
        <v>16</v>
      </c>
      <c r="T222">
        <v>3</v>
      </c>
      <c r="U222">
        <v>4</v>
      </c>
      <c r="V222">
        <v>0</v>
      </c>
      <c r="W222">
        <v>16</v>
      </c>
      <c r="X222">
        <v>3</v>
      </c>
      <c r="Y222">
        <v>4</v>
      </c>
      <c r="Z222">
        <v>13</v>
      </c>
      <c r="AA222">
        <v>11</v>
      </c>
      <c r="AB222">
        <v>3</v>
      </c>
      <c r="AC222">
        <v>7</v>
      </c>
      <c r="AD222">
        <f>IF(HR_Data[[#This Row],[Attrition]]="Yes",1,0)</f>
        <v>0</v>
      </c>
      <c r="AE222" t="str">
        <f>IF(HR_Data[[#This Row],[Age]]&lt;=25,"18-25",IF(HR_Data[[#This Row],[Age]]&lt;=35,"26-35",IF(HR_Data[[#This Row],[Age]]&lt;=45,"36-45",IF(HR_Data[[#This Row],[Age]]&lt;=55,"46-55","55+"))))</f>
        <v>36-45</v>
      </c>
      <c r="AF222">
        <f>IF(HR_Data[[#This Row],[Age]]&lt;=25,1,IF(HR_Data[[#This Row],[Age]]&lt;=35,2,IF(HR_Data[[#This Row],[Age]]&lt;=45,3,IF(HR_Data[[#This Row],[Age]]&lt;=55,4,5))))</f>
        <v>3</v>
      </c>
      <c r="AG222" s="1" t="str">
        <f>IF(HR_Data[[#This Row],[MonthlyIncome]]&lt;3000,"&lt;3K",IF(HR_Data[[#This Row],[MonthlyIncome]]&lt;6000,"3K-6K",IF(HR_Data[[#This Row],[MonthlyIncome]]&lt;10000,"6K-10K","10K+")))</f>
        <v>3K-6K</v>
      </c>
      <c r="AH222" s="1">
        <f>IF(HR_Data[[#This Row],[MonthlyIncome]]&lt;3000,1,IF(HR_Data[[#This Row],[MonthlyIncome]]&lt;6000,2,IF(HR_Data[[#This Row],[MonthlyIncome]]&lt;10000,3,4)))</f>
        <v>2</v>
      </c>
      <c r="AI222" s="1" t="str">
        <f>IF(HR_Data[[#This Row],[YearsAtCompany]]&lt;=2,"0-2 Yrs",IF(HR_Data[[#This Row],[YearsAtCompany]]&lt;=5,"3-5 Yrs",IF(HR_Data[[#This Row],[YearsAtCompany]]&lt;=10,"6-10 Yrs","10+ Yrs")))</f>
        <v>10+ Yrs</v>
      </c>
      <c r="AJ222" s="1">
        <f>IF(HR_Data[[#This Row],[YearsAtCompany]]&lt;=2,1,IF(HR_Data[[#This Row],[YearsAtCompany]]&lt;=5,2,IF(HR_Data[[#This Row],[YearsAtCompany]]&lt;=10,3,4)))</f>
        <v>4</v>
      </c>
      <c r="AK222" s="1" t="str">
        <f>CHOOSE(HR_Data[[#This Row],[Education]],"Below College","College","Bachelor","Master","Doctor")</f>
        <v>College</v>
      </c>
      <c r="AL222" s="1" t="str">
        <f>CHOOSE(HR_Data[[#This Row],[JobSatisfaction]],"Low","Medium","High","Very High")</f>
        <v>Medium</v>
      </c>
      <c r="AM222" s="1" t="str">
        <f>CHOOSE(HR_Data[[#This Row],[EnvironmentSatisfaction]],"Low","Medium","High","Very High")</f>
        <v>Very High</v>
      </c>
      <c r="AN222" s="1" t="str">
        <f>CHOOSE(HR_Data[[#This Row],[WorkLifeBalance]],"Bad","Good","Better","Best")</f>
        <v>Best</v>
      </c>
      <c r="AO222" s="1" t="str">
        <f>IF(HR_Data[[#This Row],[PercentSalaryHike]]&lt;=13,"11-13%",IF(HR_Data[[#This Row],[PercentSalaryHike]]&lt;=16,"14-16%",IF(HR_Data[[#This Row],[PercentSalaryHike]]&lt;=19,"17-19%","20-25%")))</f>
        <v>14-16%</v>
      </c>
      <c r="AP222" s="1">
        <f>IF(HR_Data[[#This Row],[PercentSalaryHike]]&lt;=13,1,IF(HR_Data[[#This Row],[PercentSalaryHike]]&lt;=16,2,IF(HR_Data[[#This Row],[PercentSalaryHike]]&lt;=19,3,4)))</f>
        <v>2</v>
      </c>
      <c r="AQ222" s="1" t="str">
        <f>IF(HR_Data[[#This Row],[DistanceFromHome]]&lt;=5,"1 to 5",IF(HR_Data[[#This Row],[DistanceFromHome]]&lt;=10,"6 to 10",IF(HR_Data[[#This Row],[DistanceFromHome]]&lt;=20,"11 to 20","21 to 29")))</f>
        <v>1 to 5</v>
      </c>
      <c r="AR222" s="1">
        <f>IF(HR_Data[[#This Row],[DistanceFromHome]]&lt;=5,1,IF(HR_Data[[#This Row],[DistanceFromHome]]&lt;=10,2,IF(HR_Data[[#This Row],[DistanceFromHome]]&lt;=20,3,4)))</f>
        <v>1</v>
      </c>
      <c r="AS222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222" s="1">
        <f>IF(HR_Data[[#This Row],[TotalWorkingYears]]&lt;=5,1,IF(HR_Data[[#This Row],[TotalWorkingYears]]&lt;=10,2,IF(HR_Data[[#This Row],[TotalWorkingYears]]&lt;=20,3,4)))</f>
        <v>3</v>
      </c>
    </row>
    <row r="223" spans="1:46" x14ac:dyDescent="0.25">
      <c r="A223">
        <v>33</v>
      </c>
      <c r="B223" t="s">
        <v>36</v>
      </c>
      <c r="C223" t="s">
        <v>30</v>
      </c>
      <c r="D223" t="s">
        <v>38</v>
      </c>
      <c r="E223">
        <v>4</v>
      </c>
      <c r="F223">
        <v>4</v>
      </c>
      <c r="G223" t="s">
        <v>44</v>
      </c>
      <c r="H223">
        <v>305</v>
      </c>
      <c r="I223">
        <v>3</v>
      </c>
      <c r="J223" t="s">
        <v>33</v>
      </c>
      <c r="K223">
        <v>2</v>
      </c>
      <c r="L223">
        <v>1</v>
      </c>
      <c r="M223" t="s">
        <v>40</v>
      </c>
      <c r="N223">
        <v>2</v>
      </c>
      <c r="O223" t="s">
        <v>41</v>
      </c>
      <c r="P223">
        <v>2622</v>
      </c>
      <c r="Q223">
        <v>6</v>
      </c>
      <c r="R223" t="s">
        <v>36</v>
      </c>
      <c r="S223">
        <v>21</v>
      </c>
      <c r="T223">
        <v>4</v>
      </c>
      <c r="U223">
        <v>4</v>
      </c>
      <c r="V223">
        <v>0</v>
      </c>
      <c r="W223">
        <v>7</v>
      </c>
      <c r="X223">
        <v>3</v>
      </c>
      <c r="Y223">
        <v>3</v>
      </c>
      <c r="Z223">
        <v>3</v>
      </c>
      <c r="AA223">
        <v>2</v>
      </c>
      <c r="AB223">
        <v>1</v>
      </c>
      <c r="AC223">
        <v>1</v>
      </c>
      <c r="AD223">
        <f>IF(HR_Data[[#This Row],[Attrition]]="Yes",1,0)</f>
        <v>0</v>
      </c>
      <c r="AE223" t="str">
        <f>IF(HR_Data[[#This Row],[Age]]&lt;=25,"18-25",IF(HR_Data[[#This Row],[Age]]&lt;=35,"26-35",IF(HR_Data[[#This Row],[Age]]&lt;=45,"36-45",IF(HR_Data[[#This Row],[Age]]&lt;=55,"46-55","55+"))))</f>
        <v>26-35</v>
      </c>
      <c r="AF223">
        <f>IF(HR_Data[[#This Row],[Age]]&lt;=25,1,IF(HR_Data[[#This Row],[Age]]&lt;=35,2,IF(HR_Data[[#This Row],[Age]]&lt;=45,3,IF(HR_Data[[#This Row],[Age]]&lt;=55,4,5))))</f>
        <v>2</v>
      </c>
      <c r="AG223" s="1" t="str">
        <f>IF(HR_Data[[#This Row],[MonthlyIncome]]&lt;3000,"&lt;3K",IF(HR_Data[[#This Row],[MonthlyIncome]]&lt;6000,"3K-6K",IF(HR_Data[[#This Row],[MonthlyIncome]]&lt;10000,"6K-10K","10K+")))</f>
        <v>&lt;3K</v>
      </c>
      <c r="AH223" s="1">
        <f>IF(HR_Data[[#This Row],[MonthlyIncome]]&lt;3000,1,IF(HR_Data[[#This Row],[MonthlyIncome]]&lt;6000,2,IF(HR_Data[[#This Row],[MonthlyIncome]]&lt;10000,3,4)))</f>
        <v>1</v>
      </c>
      <c r="AI223" s="1" t="str">
        <f>IF(HR_Data[[#This Row],[YearsAtCompany]]&lt;=2,"0-2 Yrs",IF(HR_Data[[#This Row],[YearsAtCompany]]&lt;=5,"3-5 Yrs",IF(HR_Data[[#This Row],[YearsAtCompany]]&lt;=10,"6-10 Yrs","10+ Yrs")))</f>
        <v>3-5 Yrs</v>
      </c>
      <c r="AJ223" s="1">
        <f>IF(HR_Data[[#This Row],[YearsAtCompany]]&lt;=2,1,IF(HR_Data[[#This Row],[YearsAtCompany]]&lt;=5,2,IF(HR_Data[[#This Row],[YearsAtCompany]]&lt;=10,3,4)))</f>
        <v>2</v>
      </c>
      <c r="AK223" s="1" t="str">
        <f>CHOOSE(HR_Data[[#This Row],[Education]],"Below College","College","Bachelor","Master","Doctor")</f>
        <v>Master</v>
      </c>
      <c r="AL223" s="1" t="str">
        <f>CHOOSE(HR_Data[[#This Row],[JobSatisfaction]],"Low","Medium","High","Very High")</f>
        <v>Medium</v>
      </c>
      <c r="AM223" s="1" t="str">
        <f>CHOOSE(HR_Data[[#This Row],[EnvironmentSatisfaction]],"Low","Medium","High","Very High")</f>
        <v>High</v>
      </c>
      <c r="AN223" s="1" t="str">
        <f>CHOOSE(HR_Data[[#This Row],[WorkLifeBalance]],"Bad","Good","Better","Best")</f>
        <v>Better</v>
      </c>
      <c r="AO223" s="1" t="str">
        <f>IF(HR_Data[[#This Row],[PercentSalaryHike]]&lt;=13,"11-13%",IF(HR_Data[[#This Row],[PercentSalaryHike]]&lt;=16,"14-16%",IF(HR_Data[[#This Row],[PercentSalaryHike]]&lt;=19,"17-19%","20-25%")))</f>
        <v>20-25%</v>
      </c>
      <c r="AP223" s="1">
        <f>IF(HR_Data[[#This Row],[PercentSalaryHike]]&lt;=13,1,IF(HR_Data[[#This Row],[PercentSalaryHike]]&lt;=16,2,IF(HR_Data[[#This Row],[PercentSalaryHike]]&lt;=19,3,4)))</f>
        <v>4</v>
      </c>
      <c r="AQ223" s="1" t="str">
        <f>IF(HR_Data[[#This Row],[DistanceFromHome]]&lt;=5,"1 to 5",IF(HR_Data[[#This Row],[DistanceFromHome]]&lt;=10,"6 to 10",IF(HR_Data[[#This Row],[DistanceFromHome]]&lt;=20,"11 to 20","21 to 29")))</f>
        <v>1 to 5</v>
      </c>
      <c r="AR223" s="1">
        <f>IF(HR_Data[[#This Row],[DistanceFromHome]]&lt;=5,1,IF(HR_Data[[#This Row],[DistanceFromHome]]&lt;=10,2,IF(HR_Data[[#This Row],[DistanceFromHome]]&lt;=20,3,4)))</f>
        <v>1</v>
      </c>
      <c r="AS223" s="1" t="str">
        <f>IF(HR_Data[[#This Row],[TotalWorkingYears]]&lt;=5,"0-5 Yrs",IF(HR_Data[[#This Row],[TotalWorkingYears]]&lt;=10,"6-10 Yrs",IF(HR_Data[[#This Row],[TotalWorkingYears]]&lt;=20,"11-20 Yrs","20+ Yrs")))</f>
        <v>6-10 Yrs</v>
      </c>
      <c r="AT223" s="1">
        <f>IF(HR_Data[[#This Row],[TotalWorkingYears]]&lt;=5,1,IF(HR_Data[[#This Row],[TotalWorkingYears]]&lt;=10,2,IF(HR_Data[[#This Row],[TotalWorkingYears]]&lt;=20,3,4)))</f>
        <v>2</v>
      </c>
    </row>
    <row r="224" spans="1:46" x14ac:dyDescent="0.25">
      <c r="A224">
        <v>37</v>
      </c>
      <c r="B224" t="s">
        <v>36</v>
      </c>
      <c r="C224" t="s">
        <v>37</v>
      </c>
      <c r="D224" t="s">
        <v>38</v>
      </c>
      <c r="E224">
        <v>11</v>
      </c>
      <c r="F224">
        <v>3</v>
      </c>
      <c r="G224" t="s">
        <v>42</v>
      </c>
      <c r="H224">
        <v>306</v>
      </c>
      <c r="I224">
        <v>2</v>
      </c>
      <c r="J224" t="s">
        <v>39</v>
      </c>
      <c r="K224">
        <v>3</v>
      </c>
      <c r="L224">
        <v>3</v>
      </c>
      <c r="M224" t="s">
        <v>51</v>
      </c>
      <c r="N224">
        <v>4</v>
      </c>
      <c r="O224" t="s">
        <v>45</v>
      </c>
      <c r="P224">
        <v>12185</v>
      </c>
      <c r="Q224">
        <v>1</v>
      </c>
      <c r="R224" t="s">
        <v>29</v>
      </c>
      <c r="S224">
        <v>14</v>
      </c>
      <c r="T224">
        <v>3</v>
      </c>
      <c r="U224">
        <v>3</v>
      </c>
      <c r="V224">
        <v>3</v>
      </c>
      <c r="W224">
        <v>10</v>
      </c>
      <c r="X224">
        <v>1</v>
      </c>
      <c r="Y224">
        <v>3</v>
      </c>
      <c r="Z224">
        <v>10</v>
      </c>
      <c r="AA224">
        <v>8</v>
      </c>
      <c r="AB224">
        <v>0</v>
      </c>
      <c r="AC224">
        <v>7</v>
      </c>
      <c r="AD224">
        <f>IF(HR_Data[[#This Row],[Attrition]]="Yes",1,0)</f>
        <v>0</v>
      </c>
      <c r="AE224" t="str">
        <f>IF(HR_Data[[#This Row],[Age]]&lt;=25,"18-25",IF(HR_Data[[#This Row],[Age]]&lt;=35,"26-35",IF(HR_Data[[#This Row],[Age]]&lt;=45,"36-45",IF(HR_Data[[#This Row],[Age]]&lt;=55,"46-55","55+"))))</f>
        <v>36-45</v>
      </c>
      <c r="AF224">
        <f>IF(HR_Data[[#This Row],[Age]]&lt;=25,1,IF(HR_Data[[#This Row],[Age]]&lt;=35,2,IF(HR_Data[[#This Row],[Age]]&lt;=45,3,IF(HR_Data[[#This Row],[Age]]&lt;=55,4,5))))</f>
        <v>3</v>
      </c>
      <c r="AG224" s="1" t="str">
        <f>IF(HR_Data[[#This Row],[MonthlyIncome]]&lt;3000,"&lt;3K",IF(HR_Data[[#This Row],[MonthlyIncome]]&lt;6000,"3K-6K",IF(HR_Data[[#This Row],[MonthlyIncome]]&lt;10000,"6K-10K","10K+")))</f>
        <v>10K+</v>
      </c>
      <c r="AH224" s="1">
        <f>IF(HR_Data[[#This Row],[MonthlyIncome]]&lt;3000,1,IF(HR_Data[[#This Row],[MonthlyIncome]]&lt;6000,2,IF(HR_Data[[#This Row],[MonthlyIncome]]&lt;10000,3,4)))</f>
        <v>4</v>
      </c>
      <c r="AI224" s="1" t="str">
        <f>IF(HR_Data[[#This Row],[YearsAtCompany]]&lt;=2,"0-2 Yrs",IF(HR_Data[[#This Row],[YearsAtCompany]]&lt;=5,"3-5 Yrs",IF(HR_Data[[#This Row],[YearsAtCompany]]&lt;=10,"6-10 Yrs","10+ Yrs")))</f>
        <v>6-10 Yrs</v>
      </c>
      <c r="AJ224" s="1">
        <f>IF(HR_Data[[#This Row],[YearsAtCompany]]&lt;=2,1,IF(HR_Data[[#This Row],[YearsAtCompany]]&lt;=5,2,IF(HR_Data[[#This Row],[YearsAtCompany]]&lt;=10,3,4)))</f>
        <v>3</v>
      </c>
      <c r="AK224" s="1" t="str">
        <f>CHOOSE(HR_Data[[#This Row],[Education]],"Below College","College","Bachelor","Master","Doctor")</f>
        <v>Bachelor</v>
      </c>
      <c r="AL224" s="1" t="str">
        <f>CHOOSE(HR_Data[[#This Row],[JobSatisfaction]],"Low","Medium","High","Very High")</f>
        <v>Very High</v>
      </c>
      <c r="AM224" s="1" t="str">
        <f>CHOOSE(HR_Data[[#This Row],[EnvironmentSatisfaction]],"Low","Medium","High","Very High")</f>
        <v>Medium</v>
      </c>
      <c r="AN224" s="1" t="str">
        <f>CHOOSE(HR_Data[[#This Row],[WorkLifeBalance]],"Bad","Good","Better","Best")</f>
        <v>Better</v>
      </c>
      <c r="AO224" s="1" t="str">
        <f>IF(HR_Data[[#This Row],[PercentSalaryHike]]&lt;=13,"11-13%",IF(HR_Data[[#This Row],[PercentSalaryHike]]&lt;=16,"14-16%",IF(HR_Data[[#This Row],[PercentSalaryHike]]&lt;=19,"17-19%","20-25%")))</f>
        <v>14-16%</v>
      </c>
      <c r="AP224" s="1">
        <f>IF(HR_Data[[#This Row],[PercentSalaryHike]]&lt;=13,1,IF(HR_Data[[#This Row],[PercentSalaryHike]]&lt;=16,2,IF(HR_Data[[#This Row],[PercentSalaryHike]]&lt;=19,3,4)))</f>
        <v>2</v>
      </c>
      <c r="AQ224" s="1" t="str">
        <f>IF(HR_Data[[#This Row],[DistanceFromHome]]&lt;=5,"1 to 5",IF(HR_Data[[#This Row],[DistanceFromHome]]&lt;=10,"6 to 10",IF(HR_Data[[#This Row],[DistanceFromHome]]&lt;=20,"11 to 20","21 to 29")))</f>
        <v>11 to 20</v>
      </c>
      <c r="AR224" s="1">
        <f>IF(HR_Data[[#This Row],[DistanceFromHome]]&lt;=5,1,IF(HR_Data[[#This Row],[DistanceFromHome]]&lt;=10,2,IF(HR_Data[[#This Row],[DistanceFromHome]]&lt;=20,3,4)))</f>
        <v>3</v>
      </c>
      <c r="AS224" s="1" t="str">
        <f>IF(HR_Data[[#This Row],[TotalWorkingYears]]&lt;=5,"0-5 Yrs",IF(HR_Data[[#This Row],[TotalWorkingYears]]&lt;=10,"6-10 Yrs",IF(HR_Data[[#This Row],[TotalWorkingYears]]&lt;=20,"11-20 Yrs","20+ Yrs")))</f>
        <v>6-10 Yrs</v>
      </c>
      <c r="AT224" s="1">
        <f>IF(HR_Data[[#This Row],[TotalWorkingYears]]&lt;=5,1,IF(HR_Data[[#This Row],[TotalWorkingYears]]&lt;=10,2,IF(HR_Data[[#This Row],[TotalWorkingYears]]&lt;=20,3,4)))</f>
        <v>2</v>
      </c>
    </row>
    <row r="225" spans="1:46" x14ac:dyDescent="0.25">
      <c r="A225">
        <v>38</v>
      </c>
      <c r="B225" t="s">
        <v>36</v>
      </c>
      <c r="C225" t="s">
        <v>30</v>
      </c>
      <c r="D225" t="s">
        <v>31</v>
      </c>
      <c r="E225">
        <v>3</v>
      </c>
      <c r="F225">
        <v>3</v>
      </c>
      <c r="G225" t="s">
        <v>32</v>
      </c>
      <c r="H225">
        <v>307</v>
      </c>
      <c r="I225">
        <v>1</v>
      </c>
      <c r="J225" t="s">
        <v>39</v>
      </c>
      <c r="K225">
        <v>3</v>
      </c>
      <c r="L225">
        <v>3</v>
      </c>
      <c r="M225" t="s">
        <v>34</v>
      </c>
      <c r="N225">
        <v>3</v>
      </c>
      <c r="O225" t="s">
        <v>45</v>
      </c>
      <c r="P225">
        <v>10609</v>
      </c>
      <c r="Q225">
        <v>0</v>
      </c>
      <c r="R225" t="s">
        <v>36</v>
      </c>
      <c r="S225">
        <v>12</v>
      </c>
      <c r="T225">
        <v>3</v>
      </c>
      <c r="U225">
        <v>3</v>
      </c>
      <c r="V225">
        <v>2</v>
      </c>
      <c r="W225">
        <v>17</v>
      </c>
      <c r="X225">
        <v>6</v>
      </c>
      <c r="Y225">
        <v>2</v>
      </c>
      <c r="Z225">
        <v>16</v>
      </c>
      <c r="AA225">
        <v>10</v>
      </c>
      <c r="AB225">
        <v>5</v>
      </c>
      <c r="AC225">
        <v>13</v>
      </c>
      <c r="AD225">
        <f>IF(HR_Data[[#This Row],[Attrition]]="Yes",1,0)</f>
        <v>0</v>
      </c>
      <c r="AE225" t="str">
        <f>IF(HR_Data[[#This Row],[Age]]&lt;=25,"18-25",IF(HR_Data[[#This Row],[Age]]&lt;=35,"26-35",IF(HR_Data[[#This Row],[Age]]&lt;=45,"36-45",IF(HR_Data[[#This Row],[Age]]&lt;=55,"46-55","55+"))))</f>
        <v>36-45</v>
      </c>
      <c r="AF225">
        <f>IF(HR_Data[[#This Row],[Age]]&lt;=25,1,IF(HR_Data[[#This Row],[Age]]&lt;=35,2,IF(HR_Data[[#This Row],[Age]]&lt;=45,3,IF(HR_Data[[#This Row],[Age]]&lt;=55,4,5))))</f>
        <v>3</v>
      </c>
      <c r="AG225" s="1" t="str">
        <f>IF(HR_Data[[#This Row],[MonthlyIncome]]&lt;3000,"&lt;3K",IF(HR_Data[[#This Row],[MonthlyIncome]]&lt;6000,"3K-6K",IF(HR_Data[[#This Row],[MonthlyIncome]]&lt;10000,"6K-10K","10K+")))</f>
        <v>10K+</v>
      </c>
      <c r="AH225" s="1">
        <f>IF(HR_Data[[#This Row],[MonthlyIncome]]&lt;3000,1,IF(HR_Data[[#This Row],[MonthlyIncome]]&lt;6000,2,IF(HR_Data[[#This Row],[MonthlyIncome]]&lt;10000,3,4)))</f>
        <v>4</v>
      </c>
      <c r="AI225" s="1" t="str">
        <f>IF(HR_Data[[#This Row],[YearsAtCompany]]&lt;=2,"0-2 Yrs",IF(HR_Data[[#This Row],[YearsAtCompany]]&lt;=5,"3-5 Yrs",IF(HR_Data[[#This Row],[YearsAtCompany]]&lt;=10,"6-10 Yrs","10+ Yrs")))</f>
        <v>10+ Yrs</v>
      </c>
      <c r="AJ225" s="1">
        <f>IF(HR_Data[[#This Row],[YearsAtCompany]]&lt;=2,1,IF(HR_Data[[#This Row],[YearsAtCompany]]&lt;=5,2,IF(HR_Data[[#This Row],[YearsAtCompany]]&lt;=10,3,4)))</f>
        <v>4</v>
      </c>
      <c r="AK225" s="1" t="str">
        <f>CHOOSE(HR_Data[[#This Row],[Education]],"Below College","College","Bachelor","Master","Doctor")</f>
        <v>Bachelor</v>
      </c>
      <c r="AL225" s="1" t="str">
        <f>CHOOSE(HR_Data[[#This Row],[JobSatisfaction]],"Low","Medium","High","Very High")</f>
        <v>High</v>
      </c>
      <c r="AM225" s="1" t="str">
        <f>CHOOSE(HR_Data[[#This Row],[EnvironmentSatisfaction]],"Low","Medium","High","Very High")</f>
        <v>Low</v>
      </c>
      <c r="AN225" s="1" t="str">
        <f>CHOOSE(HR_Data[[#This Row],[WorkLifeBalance]],"Bad","Good","Better","Best")</f>
        <v>Good</v>
      </c>
      <c r="AO225" s="1" t="str">
        <f>IF(HR_Data[[#This Row],[PercentSalaryHike]]&lt;=13,"11-13%",IF(HR_Data[[#This Row],[PercentSalaryHike]]&lt;=16,"14-16%",IF(HR_Data[[#This Row],[PercentSalaryHike]]&lt;=19,"17-19%","20-25%")))</f>
        <v>11-13%</v>
      </c>
      <c r="AP225" s="1">
        <f>IF(HR_Data[[#This Row],[PercentSalaryHike]]&lt;=13,1,IF(HR_Data[[#This Row],[PercentSalaryHike]]&lt;=16,2,IF(HR_Data[[#This Row],[PercentSalaryHike]]&lt;=19,3,4)))</f>
        <v>1</v>
      </c>
      <c r="AQ225" s="1" t="str">
        <f>IF(HR_Data[[#This Row],[DistanceFromHome]]&lt;=5,"1 to 5",IF(HR_Data[[#This Row],[DistanceFromHome]]&lt;=10,"6 to 10",IF(HR_Data[[#This Row],[DistanceFromHome]]&lt;=20,"11 to 20","21 to 29")))</f>
        <v>1 to 5</v>
      </c>
      <c r="AR225" s="1">
        <f>IF(HR_Data[[#This Row],[DistanceFromHome]]&lt;=5,1,IF(HR_Data[[#This Row],[DistanceFromHome]]&lt;=10,2,IF(HR_Data[[#This Row],[DistanceFromHome]]&lt;=20,3,4)))</f>
        <v>1</v>
      </c>
      <c r="AS225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225" s="1">
        <f>IF(HR_Data[[#This Row],[TotalWorkingYears]]&lt;=5,1,IF(HR_Data[[#This Row],[TotalWorkingYears]]&lt;=10,2,IF(HR_Data[[#This Row],[TotalWorkingYears]]&lt;=20,3,4)))</f>
        <v>3</v>
      </c>
    </row>
    <row r="226" spans="1:46" x14ac:dyDescent="0.25">
      <c r="A226">
        <v>31</v>
      </c>
      <c r="B226" t="s">
        <v>36</v>
      </c>
      <c r="C226" t="s">
        <v>48</v>
      </c>
      <c r="D226" t="s">
        <v>38</v>
      </c>
      <c r="E226">
        <v>1</v>
      </c>
      <c r="F226">
        <v>4</v>
      </c>
      <c r="G226" t="s">
        <v>44</v>
      </c>
      <c r="H226">
        <v>308</v>
      </c>
      <c r="I226">
        <v>3</v>
      </c>
      <c r="J226" t="s">
        <v>39</v>
      </c>
      <c r="K226">
        <v>1</v>
      </c>
      <c r="L226">
        <v>2</v>
      </c>
      <c r="M226" t="s">
        <v>46</v>
      </c>
      <c r="N226">
        <v>3</v>
      </c>
      <c r="O226" t="s">
        <v>41</v>
      </c>
      <c r="P226">
        <v>4345</v>
      </c>
      <c r="Q226">
        <v>0</v>
      </c>
      <c r="R226" t="s">
        <v>36</v>
      </c>
      <c r="S226">
        <v>12</v>
      </c>
      <c r="T226">
        <v>3</v>
      </c>
      <c r="U226">
        <v>4</v>
      </c>
      <c r="V226">
        <v>1</v>
      </c>
      <c r="W226">
        <v>6</v>
      </c>
      <c r="X226">
        <v>2</v>
      </c>
      <c r="Y226">
        <v>3</v>
      </c>
      <c r="Z226">
        <v>5</v>
      </c>
      <c r="AA226">
        <v>4</v>
      </c>
      <c r="AB226">
        <v>1</v>
      </c>
      <c r="AC226">
        <v>4</v>
      </c>
      <c r="AD226">
        <f>IF(HR_Data[[#This Row],[Attrition]]="Yes",1,0)</f>
        <v>0</v>
      </c>
      <c r="AE226" t="str">
        <f>IF(HR_Data[[#This Row],[Age]]&lt;=25,"18-25",IF(HR_Data[[#This Row],[Age]]&lt;=35,"26-35",IF(HR_Data[[#This Row],[Age]]&lt;=45,"36-45",IF(HR_Data[[#This Row],[Age]]&lt;=55,"46-55","55+"))))</f>
        <v>26-35</v>
      </c>
      <c r="AF226">
        <f>IF(HR_Data[[#This Row],[Age]]&lt;=25,1,IF(HR_Data[[#This Row],[Age]]&lt;=35,2,IF(HR_Data[[#This Row],[Age]]&lt;=45,3,IF(HR_Data[[#This Row],[Age]]&lt;=55,4,5))))</f>
        <v>2</v>
      </c>
      <c r="AG226" s="1" t="str">
        <f>IF(HR_Data[[#This Row],[MonthlyIncome]]&lt;3000,"&lt;3K",IF(HR_Data[[#This Row],[MonthlyIncome]]&lt;6000,"3K-6K",IF(HR_Data[[#This Row],[MonthlyIncome]]&lt;10000,"6K-10K","10K+")))</f>
        <v>3K-6K</v>
      </c>
      <c r="AH226" s="1">
        <f>IF(HR_Data[[#This Row],[MonthlyIncome]]&lt;3000,1,IF(HR_Data[[#This Row],[MonthlyIncome]]&lt;6000,2,IF(HR_Data[[#This Row],[MonthlyIncome]]&lt;10000,3,4)))</f>
        <v>2</v>
      </c>
      <c r="AI226" s="1" t="str">
        <f>IF(HR_Data[[#This Row],[YearsAtCompany]]&lt;=2,"0-2 Yrs",IF(HR_Data[[#This Row],[YearsAtCompany]]&lt;=5,"3-5 Yrs",IF(HR_Data[[#This Row],[YearsAtCompany]]&lt;=10,"6-10 Yrs","10+ Yrs")))</f>
        <v>3-5 Yrs</v>
      </c>
      <c r="AJ226" s="1">
        <f>IF(HR_Data[[#This Row],[YearsAtCompany]]&lt;=2,1,IF(HR_Data[[#This Row],[YearsAtCompany]]&lt;=5,2,IF(HR_Data[[#This Row],[YearsAtCompany]]&lt;=10,3,4)))</f>
        <v>2</v>
      </c>
      <c r="AK226" s="1" t="str">
        <f>CHOOSE(HR_Data[[#This Row],[Education]],"Below College","College","Bachelor","Master","Doctor")</f>
        <v>Master</v>
      </c>
      <c r="AL226" s="1" t="str">
        <f>CHOOSE(HR_Data[[#This Row],[JobSatisfaction]],"Low","Medium","High","Very High")</f>
        <v>High</v>
      </c>
      <c r="AM226" s="1" t="str">
        <f>CHOOSE(HR_Data[[#This Row],[EnvironmentSatisfaction]],"Low","Medium","High","Very High")</f>
        <v>High</v>
      </c>
      <c r="AN226" s="1" t="str">
        <f>CHOOSE(HR_Data[[#This Row],[WorkLifeBalance]],"Bad","Good","Better","Best")</f>
        <v>Better</v>
      </c>
      <c r="AO226" s="1" t="str">
        <f>IF(HR_Data[[#This Row],[PercentSalaryHike]]&lt;=13,"11-13%",IF(HR_Data[[#This Row],[PercentSalaryHike]]&lt;=16,"14-16%",IF(HR_Data[[#This Row],[PercentSalaryHike]]&lt;=19,"17-19%","20-25%")))</f>
        <v>11-13%</v>
      </c>
      <c r="AP226" s="1">
        <f>IF(HR_Data[[#This Row],[PercentSalaryHike]]&lt;=13,1,IF(HR_Data[[#This Row],[PercentSalaryHike]]&lt;=16,2,IF(HR_Data[[#This Row],[PercentSalaryHike]]&lt;=19,3,4)))</f>
        <v>1</v>
      </c>
      <c r="AQ226" s="1" t="str">
        <f>IF(HR_Data[[#This Row],[DistanceFromHome]]&lt;=5,"1 to 5",IF(HR_Data[[#This Row],[DistanceFromHome]]&lt;=10,"6 to 10",IF(HR_Data[[#This Row],[DistanceFromHome]]&lt;=20,"11 to 20","21 to 29")))</f>
        <v>1 to 5</v>
      </c>
      <c r="AR226" s="1">
        <f>IF(HR_Data[[#This Row],[DistanceFromHome]]&lt;=5,1,IF(HR_Data[[#This Row],[DistanceFromHome]]&lt;=10,2,IF(HR_Data[[#This Row],[DistanceFromHome]]&lt;=20,3,4)))</f>
        <v>1</v>
      </c>
      <c r="AS226" s="1" t="str">
        <f>IF(HR_Data[[#This Row],[TotalWorkingYears]]&lt;=5,"0-5 Yrs",IF(HR_Data[[#This Row],[TotalWorkingYears]]&lt;=10,"6-10 Yrs",IF(HR_Data[[#This Row],[TotalWorkingYears]]&lt;=20,"11-20 Yrs","20+ Yrs")))</f>
        <v>6-10 Yrs</v>
      </c>
      <c r="AT226" s="1">
        <f>IF(HR_Data[[#This Row],[TotalWorkingYears]]&lt;=5,1,IF(HR_Data[[#This Row],[TotalWorkingYears]]&lt;=10,2,IF(HR_Data[[#This Row],[TotalWorkingYears]]&lt;=20,3,4)))</f>
        <v>2</v>
      </c>
    </row>
    <row r="227" spans="1:46" x14ac:dyDescent="0.25">
      <c r="A227">
        <v>59</v>
      </c>
      <c r="B227" t="s">
        <v>36</v>
      </c>
      <c r="C227" t="s">
        <v>30</v>
      </c>
      <c r="D227" t="s">
        <v>38</v>
      </c>
      <c r="E227">
        <v>3</v>
      </c>
      <c r="F227">
        <v>3</v>
      </c>
      <c r="G227" t="s">
        <v>32</v>
      </c>
      <c r="H227">
        <v>309</v>
      </c>
      <c r="I227">
        <v>3</v>
      </c>
      <c r="J227" t="s">
        <v>39</v>
      </c>
      <c r="K227">
        <v>2</v>
      </c>
      <c r="L227">
        <v>1</v>
      </c>
      <c r="M227" t="s">
        <v>40</v>
      </c>
      <c r="N227">
        <v>4</v>
      </c>
      <c r="O227" t="s">
        <v>41</v>
      </c>
      <c r="P227">
        <v>2177</v>
      </c>
      <c r="Q227">
        <v>3</v>
      </c>
      <c r="R227" t="s">
        <v>36</v>
      </c>
      <c r="S227">
        <v>17</v>
      </c>
      <c r="T227">
        <v>3</v>
      </c>
      <c r="U227">
        <v>1</v>
      </c>
      <c r="V227">
        <v>1</v>
      </c>
      <c r="W227">
        <v>7</v>
      </c>
      <c r="X227">
        <v>6</v>
      </c>
      <c r="Y227">
        <v>3</v>
      </c>
      <c r="Z227">
        <v>1</v>
      </c>
      <c r="AA227">
        <v>0</v>
      </c>
      <c r="AB227">
        <v>0</v>
      </c>
      <c r="AC227">
        <v>0</v>
      </c>
      <c r="AD227">
        <f>IF(HR_Data[[#This Row],[Attrition]]="Yes",1,0)</f>
        <v>0</v>
      </c>
      <c r="AE227" t="str">
        <f>IF(HR_Data[[#This Row],[Age]]&lt;=25,"18-25",IF(HR_Data[[#This Row],[Age]]&lt;=35,"26-35",IF(HR_Data[[#This Row],[Age]]&lt;=45,"36-45",IF(HR_Data[[#This Row],[Age]]&lt;=55,"46-55","55+"))))</f>
        <v>55+</v>
      </c>
      <c r="AF227">
        <f>IF(HR_Data[[#This Row],[Age]]&lt;=25,1,IF(HR_Data[[#This Row],[Age]]&lt;=35,2,IF(HR_Data[[#This Row],[Age]]&lt;=45,3,IF(HR_Data[[#This Row],[Age]]&lt;=55,4,5))))</f>
        <v>5</v>
      </c>
      <c r="AG227" s="1" t="str">
        <f>IF(HR_Data[[#This Row],[MonthlyIncome]]&lt;3000,"&lt;3K",IF(HR_Data[[#This Row],[MonthlyIncome]]&lt;6000,"3K-6K",IF(HR_Data[[#This Row],[MonthlyIncome]]&lt;10000,"6K-10K","10K+")))</f>
        <v>&lt;3K</v>
      </c>
      <c r="AH227" s="1">
        <f>IF(HR_Data[[#This Row],[MonthlyIncome]]&lt;3000,1,IF(HR_Data[[#This Row],[MonthlyIncome]]&lt;6000,2,IF(HR_Data[[#This Row],[MonthlyIncome]]&lt;10000,3,4)))</f>
        <v>1</v>
      </c>
      <c r="AI227" s="1" t="str">
        <f>IF(HR_Data[[#This Row],[YearsAtCompany]]&lt;=2,"0-2 Yrs",IF(HR_Data[[#This Row],[YearsAtCompany]]&lt;=5,"3-5 Yrs",IF(HR_Data[[#This Row],[YearsAtCompany]]&lt;=10,"6-10 Yrs","10+ Yrs")))</f>
        <v>0-2 Yrs</v>
      </c>
      <c r="AJ227" s="1">
        <f>IF(HR_Data[[#This Row],[YearsAtCompany]]&lt;=2,1,IF(HR_Data[[#This Row],[YearsAtCompany]]&lt;=5,2,IF(HR_Data[[#This Row],[YearsAtCompany]]&lt;=10,3,4)))</f>
        <v>1</v>
      </c>
      <c r="AK227" s="1" t="str">
        <f>CHOOSE(HR_Data[[#This Row],[Education]],"Below College","College","Bachelor","Master","Doctor")</f>
        <v>Bachelor</v>
      </c>
      <c r="AL227" s="1" t="str">
        <f>CHOOSE(HR_Data[[#This Row],[JobSatisfaction]],"Low","Medium","High","Very High")</f>
        <v>Very High</v>
      </c>
      <c r="AM227" s="1" t="str">
        <f>CHOOSE(HR_Data[[#This Row],[EnvironmentSatisfaction]],"Low","Medium","High","Very High")</f>
        <v>High</v>
      </c>
      <c r="AN227" s="1" t="str">
        <f>CHOOSE(HR_Data[[#This Row],[WorkLifeBalance]],"Bad","Good","Better","Best")</f>
        <v>Better</v>
      </c>
      <c r="AO227" s="1" t="str">
        <f>IF(HR_Data[[#This Row],[PercentSalaryHike]]&lt;=13,"11-13%",IF(HR_Data[[#This Row],[PercentSalaryHike]]&lt;=16,"14-16%",IF(HR_Data[[#This Row],[PercentSalaryHike]]&lt;=19,"17-19%","20-25%")))</f>
        <v>17-19%</v>
      </c>
      <c r="AP227" s="1">
        <f>IF(HR_Data[[#This Row],[PercentSalaryHike]]&lt;=13,1,IF(HR_Data[[#This Row],[PercentSalaryHike]]&lt;=16,2,IF(HR_Data[[#This Row],[PercentSalaryHike]]&lt;=19,3,4)))</f>
        <v>3</v>
      </c>
      <c r="AQ227" s="1" t="str">
        <f>IF(HR_Data[[#This Row],[DistanceFromHome]]&lt;=5,"1 to 5",IF(HR_Data[[#This Row],[DistanceFromHome]]&lt;=10,"6 to 10",IF(HR_Data[[#This Row],[DistanceFromHome]]&lt;=20,"11 to 20","21 to 29")))</f>
        <v>1 to 5</v>
      </c>
      <c r="AR227" s="1">
        <f>IF(HR_Data[[#This Row],[DistanceFromHome]]&lt;=5,1,IF(HR_Data[[#This Row],[DistanceFromHome]]&lt;=10,2,IF(HR_Data[[#This Row],[DistanceFromHome]]&lt;=20,3,4)))</f>
        <v>1</v>
      </c>
      <c r="AS227" s="1" t="str">
        <f>IF(HR_Data[[#This Row],[TotalWorkingYears]]&lt;=5,"0-5 Yrs",IF(HR_Data[[#This Row],[TotalWorkingYears]]&lt;=10,"6-10 Yrs",IF(HR_Data[[#This Row],[TotalWorkingYears]]&lt;=20,"11-20 Yrs","20+ Yrs")))</f>
        <v>6-10 Yrs</v>
      </c>
      <c r="AT227" s="1">
        <f>IF(HR_Data[[#This Row],[TotalWorkingYears]]&lt;=5,1,IF(HR_Data[[#This Row],[TotalWorkingYears]]&lt;=10,2,IF(HR_Data[[#This Row],[TotalWorkingYears]]&lt;=20,3,4)))</f>
        <v>2</v>
      </c>
    </row>
    <row r="228" spans="1:46" x14ac:dyDescent="0.25">
      <c r="A228">
        <v>37</v>
      </c>
      <c r="B228" t="s">
        <v>36</v>
      </c>
      <c r="C228" t="s">
        <v>37</v>
      </c>
      <c r="D228" t="s">
        <v>31</v>
      </c>
      <c r="E228">
        <v>4</v>
      </c>
      <c r="F228">
        <v>4</v>
      </c>
      <c r="G228" t="s">
        <v>52</v>
      </c>
      <c r="H228">
        <v>311</v>
      </c>
      <c r="I228">
        <v>1</v>
      </c>
      <c r="J228" t="s">
        <v>39</v>
      </c>
      <c r="K228">
        <v>3</v>
      </c>
      <c r="L228">
        <v>1</v>
      </c>
      <c r="M228" t="s">
        <v>50</v>
      </c>
      <c r="N228">
        <v>4</v>
      </c>
      <c r="O228" t="s">
        <v>45</v>
      </c>
      <c r="P228">
        <v>2793</v>
      </c>
      <c r="Q228">
        <v>4</v>
      </c>
      <c r="R228" t="s">
        <v>36</v>
      </c>
      <c r="S228">
        <v>17</v>
      </c>
      <c r="T228">
        <v>3</v>
      </c>
      <c r="U228">
        <v>3</v>
      </c>
      <c r="V228">
        <v>1</v>
      </c>
      <c r="W228">
        <v>13</v>
      </c>
      <c r="X228">
        <v>2</v>
      </c>
      <c r="Y228">
        <v>3</v>
      </c>
      <c r="Z228">
        <v>9</v>
      </c>
      <c r="AA228">
        <v>8</v>
      </c>
      <c r="AB228">
        <v>5</v>
      </c>
      <c r="AC228">
        <v>8</v>
      </c>
      <c r="AD228">
        <f>IF(HR_Data[[#This Row],[Attrition]]="Yes",1,0)</f>
        <v>0</v>
      </c>
      <c r="AE228" t="str">
        <f>IF(HR_Data[[#This Row],[Age]]&lt;=25,"18-25",IF(HR_Data[[#This Row],[Age]]&lt;=35,"26-35",IF(HR_Data[[#This Row],[Age]]&lt;=45,"36-45",IF(HR_Data[[#This Row],[Age]]&lt;=55,"46-55","55+"))))</f>
        <v>36-45</v>
      </c>
      <c r="AF228">
        <f>IF(HR_Data[[#This Row],[Age]]&lt;=25,1,IF(HR_Data[[#This Row],[Age]]&lt;=35,2,IF(HR_Data[[#This Row],[Age]]&lt;=45,3,IF(HR_Data[[#This Row],[Age]]&lt;=55,4,5))))</f>
        <v>3</v>
      </c>
      <c r="AG228" s="1" t="str">
        <f>IF(HR_Data[[#This Row],[MonthlyIncome]]&lt;3000,"&lt;3K",IF(HR_Data[[#This Row],[MonthlyIncome]]&lt;6000,"3K-6K",IF(HR_Data[[#This Row],[MonthlyIncome]]&lt;10000,"6K-10K","10K+")))</f>
        <v>&lt;3K</v>
      </c>
      <c r="AH228" s="1">
        <f>IF(HR_Data[[#This Row],[MonthlyIncome]]&lt;3000,1,IF(HR_Data[[#This Row],[MonthlyIncome]]&lt;6000,2,IF(HR_Data[[#This Row],[MonthlyIncome]]&lt;10000,3,4)))</f>
        <v>1</v>
      </c>
      <c r="AI228" s="1" t="str">
        <f>IF(HR_Data[[#This Row],[YearsAtCompany]]&lt;=2,"0-2 Yrs",IF(HR_Data[[#This Row],[YearsAtCompany]]&lt;=5,"3-5 Yrs",IF(HR_Data[[#This Row],[YearsAtCompany]]&lt;=10,"6-10 Yrs","10+ Yrs")))</f>
        <v>6-10 Yrs</v>
      </c>
      <c r="AJ228" s="1">
        <f>IF(HR_Data[[#This Row],[YearsAtCompany]]&lt;=2,1,IF(HR_Data[[#This Row],[YearsAtCompany]]&lt;=5,2,IF(HR_Data[[#This Row],[YearsAtCompany]]&lt;=10,3,4)))</f>
        <v>3</v>
      </c>
      <c r="AK228" s="1" t="str">
        <f>CHOOSE(HR_Data[[#This Row],[Education]],"Below College","College","Bachelor","Master","Doctor")</f>
        <v>Master</v>
      </c>
      <c r="AL228" s="1" t="str">
        <f>CHOOSE(HR_Data[[#This Row],[JobSatisfaction]],"Low","Medium","High","Very High")</f>
        <v>Very High</v>
      </c>
      <c r="AM228" s="1" t="str">
        <f>CHOOSE(HR_Data[[#This Row],[EnvironmentSatisfaction]],"Low","Medium","High","Very High")</f>
        <v>Low</v>
      </c>
      <c r="AN228" s="1" t="str">
        <f>CHOOSE(HR_Data[[#This Row],[WorkLifeBalance]],"Bad","Good","Better","Best")</f>
        <v>Better</v>
      </c>
      <c r="AO228" s="1" t="str">
        <f>IF(HR_Data[[#This Row],[PercentSalaryHike]]&lt;=13,"11-13%",IF(HR_Data[[#This Row],[PercentSalaryHike]]&lt;=16,"14-16%",IF(HR_Data[[#This Row],[PercentSalaryHike]]&lt;=19,"17-19%","20-25%")))</f>
        <v>17-19%</v>
      </c>
      <c r="AP228" s="1">
        <f>IF(HR_Data[[#This Row],[PercentSalaryHike]]&lt;=13,1,IF(HR_Data[[#This Row],[PercentSalaryHike]]&lt;=16,2,IF(HR_Data[[#This Row],[PercentSalaryHike]]&lt;=19,3,4)))</f>
        <v>3</v>
      </c>
      <c r="AQ228" s="1" t="str">
        <f>IF(HR_Data[[#This Row],[DistanceFromHome]]&lt;=5,"1 to 5",IF(HR_Data[[#This Row],[DistanceFromHome]]&lt;=10,"6 to 10",IF(HR_Data[[#This Row],[DistanceFromHome]]&lt;=20,"11 to 20","21 to 29")))</f>
        <v>1 to 5</v>
      </c>
      <c r="AR228" s="1">
        <f>IF(HR_Data[[#This Row],[DistanceFromHome]]&lt;=5,1,IF(HR_Data[[#This Row],[DistanceFromHome]]&lt;=10,2,IF(HR_Data[[#This Row],[DistanceFromHome]]&lt;=20,3,4)))</f>
        <v>1</v>
      </c>
      <c r="AS228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228" s="1">
        <f>IF(HR_Data[[#This Row],[TotalWorkingYears]]&lt;=5,1,IF(HR_Data[[#This Row],[TotalWorkingYears]]&lt;=10,2,IF(HR_Data[[#This Row],[TotalWorkingYears]]&lt;=20,3,4)))</f>
        <v>3</v>
      </c>
    </row>
    <row r="229" spans="1:46" x14ac:dyDescent="0.25">
      <c r="A229">
        <v>29</v>
      </c>
      <c r="B229" t="s">
        <v>36</v>
      </c>
      <c r="C229" t="s">
        <v>37</v>
      </c>
      <c r="D229" t="s">
        <v>31</v>
      </c>
      <c r="E229">
        <v>1</v>
      </c>
      <c r="F229">
        <v>1</v>
      </c>
      <c r="G229" t="s">
        <v>44</v>
      </c>
      <c r="H229">
        <v>312</v>
      </c>
      <c r="I229">
        <v>2</v>
      </c>
      <c r="J229" t="s">
        <v>33</v>
      </c>
      <c r="K229">
        <v>3</v>
      </c>
      <c r="L229">
        <v>3</v>
      </c>
      <c r="M229" t="s">
        <v>34</v>
      </c>
      <c r="N229">
        <v>4</v>
      </c>
      <c r="O229" t="s">
        <v>41</v>
      </c>
      <c r="P229">
        <v>7918</v>
      </c>
      <c r="Q229">
        <v>1</v>
      </c>
      <c r="R229" t="s">
        <v>36</v>
      </c>
      <c r="S229">
        <v>14</v>
      </c>
      <c r="T229">
        <v>3</v>
      </c>
      <c r="U229">
        <v>4</v>
      </c>
      <c r="V229">
        <v>1</v>
      </c>
      <c r="W229">
        <v>11</v>
      </c>
      <c r="X229">
        <v>5</v>
      </c>
      <c r="Y229">
        <v>3</v>
      </c>
      <c r="Z229">
        <v>11</v>
      </c>
      <c r="AA229">
        <v>10</v>
      </c>
      <c r="AB229">
        <v>4</v>
      </c>
      <c r="AC229">
        <v>1</v>
      </c>
      <c r="AD229">
        <f>IF(HR_Data[[#This Row],[Attrition]]="Yes",1,0)</f>
        <v>0</v>
      </c>
      <c r="AE229" t="str">
        <f>IF(HR_Data[[#This Row],[Age]]&lt;=25,"18-25",IF(HR_Data[[#This Row],[Age]]&lt;=35,"26-35",IF(HR_Data[[#This Row],[Age]]&lt;=45,"36-45",IF(HR_Data[[#This Row],[Age]]&lt;=55,"46-55","55+"))))</f>
        <v>26-35</v>
      </c>
      <c r="AF229">
        <f>IF(HR_Data[[#This Row],[Age]]&lt;=25,1,IF(HR_Data[[#This Row],[Age]]&lt;=35,2,IF(HR_Data[[#This Row],[Age]]&lt;=45,3,IF(HR_Data[[#This Row],[Age]]&lt;=55,4,5))))</f>
        <v>2</v>
      </c>
      <c r="AG229" s="1" t="str">
        <f>IF(HR_Data[[#This Row],[MonthlyIncome]]&lt;3000,"&lt;3K",IF(HR_Data[[#This Row],[MonthlyIncome]]&lt;6000,"3K-6K",IF(HR_Data[[#This Row],[MonthlyIncome]]&lt;10000,"6K-10K","10K+")))</f>
        <v>6K-10K</v>
      </c>
      <c r="AH229" s="1">
        <f>IF(HR_Data[[#This Row],[MonthlyIncome]]&lt;3000,1,IF(HR_Data[[#This Row],[MonthlyIncome]]&lt;6000,2,IF(HR_Data[[#This Row],[MonthlyIncome]]&lt;10000,3,4)))</f>
        <v>3</v>
      </c>
      <c r="AI229" s="1" t="str">
        <f>IF(HR_Data[[#This Row],[YearsAtCompany]]&lt;=2,"0-2 Yrs",IF(HR_Data[[#This Row],[YearsAtCompany]]&lt;=5,"3-5 Yrs",IF(HR_Data[[#This Row],[YearsAtCompany]]&lt;=10,"6-10 Yrs","10+ Yrs")))</f>
        <v>10+ Yrs</v>
      </c>
      <c r="AJ229" s="1">
        <f>IF(HR_Data[[#This Row],[YearsAtCompany]]&lt;=2,1,IF(HR_Data[[#This Row],[YearsAtCompany]]&lt;=5,2,IF(HR_Data[[#This Row],[YearsAtCompany]]&lt;=10,3,4)))</f>
        <v>4</v>
      </c>
      <c r="AK229" s="1" t="str">
        <f>CHOOSE(HR_Data[[#This Row],[Education]],"Below College","College","Bachelor","Master","Doctor")</f>
        <v>Below College</v>
      </c>
      <c r="AL229" s="1" t="str">
        <f>CHOOSE(HR_Data[[#This Row],[JobSatisfaction]],"Low","Medium","High","Very High")</f>
        <v>Very High</v>
      </c>
      <c r="AM229" s="1" t="str">
        <f>CHOOSE(HR_Data[[#This Row],[EnvironmentSatisfaction]],"Low","Medium","High","Very High")</f>
        <v>Medium</v>
      </c>
      <c r="AN229" s="1" t="str">
        <f>CHOOSE(HR_Data[[#This Row],[WorkLifeBalance]],"Bad","Good","Better","Best")</f>
        <v>Better</v>
      </c>
      <c r="AO229" s="1" t="str">
        <f>IF(HR_Data[[#This Row],[PercentSalaryHike]]&lt;=13,"11-13%",IF(HR_Data[[#This Row],[PercentSalaryHike]]&lt;=16,"14-16%",IF(HR_Data[[#This Row],[PercentSalaryHike]]&lt;=19,"17-19%","20-25%")))</f>
        <v>14-16%</v>
      </c>
      <c r="AP229" s="1">
        <f>IF(HR_Data[[#This Row],[PercentSalaryHike]]&lt;=13,1,IF(HR_Data[[#This Row],[PercentSalaryHike]]&lt;=16,2,IF(HR_Data[[#This Row],[PercentSalaryHike]]&lt;=19,3,4)))</f>
        <v>2</v>
      </c>
      <c r="AQ229" s="1" t="str">
        <f>IF(HR_Data[[#This Row],[DistanceFromHome]]&lt;=5,"1 to 5",IF(HR_Data[[#This Row],[DistanceFromHome]]&lt;=10,"6 to 10",IF(HR_Data[[#This Row],[DistanceFromHome]]&lt;=20,"11 to 20","21 to 29")))</f>
        <v>1 to 5</v>
      </c>
      <c r="AR229" s="1">
        <f>IF(HR_Data[[#This Row],[DistanceFromHome]]&lt;=5,1,IF(HR_Data[[#This Row],[DistanceFromHome]]&lt;=10,2,IF(HR_Data[[#This Row],[DistanceFromHome]]&lt;=20,3,4)))</f>
        <v>1</v>
      </c>
      <c r="AS229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229" s="1">
        <f>IF(HR_Data[[#This Row],[TotalWorkingYears]]&lt;=5,1,IF(HR_Data[[#This Row],[TotalWorkingYears]]&lt;=10,2,IF(HR_Data[[#This Row],[TotalWorkingYears]]&lt;=20,3,4)))</f>
        <v>3</v>
      </c>
    </row>
    <row r="230" spans="1:46" x14ac:dyDescent="0.25">
      <c r="A230">
        <v>35</v>
      </c>
      <c r="B230" t="s">
        <v>36</v>
      </c>
      <c r="C230" t="s">
        <v>37</v>
      </c>
      <c r="D230" t="s">
        <v>31</v>
      </c>
      <c r="E230">
        <v>1</v>
      </c>
      <c r="F230">
        <v>3</v>
      </c>
      <c r="G230" t="s">
        <v>52</v>
      </c>
      <c r="H230">
        <v>314</v>
      </c>
      <c r="I230">
        <v>3</v>
      </c>
      <c r="J230" t="s">
        <v>33</v>
      </c>
      <c r="K230">
        <v>3</v>
      </c>
      <c r="L230">
        <v>3</v>
      </c>
      <c r="M230" t="s">
        <v>34</v>
      </c>
      <c r="N230">
        <v>3</v>
      </c>
      <c r="O230" t="s">
        <v>35</v>
      </c>
      <c r="P230">
        <v>8789</v>
      </c>
      <c r="Q230">
        <v>1</v>
      </c>
      <c r="R230" t="s">
        <v>36</v>
      </c>
      <c r="S230">
        <v>14</v>
      </c>
      <c r="T230">
        <v>3</v>
      </c>
      <c r="U230">
        <v>1</v>
      </c>
      <c r="V230">
        <v>0</v>
      </c>
      <c r="W230">
        <v>10</v>
      </c>
      <c r="X230">
        <v>3</v>
      </c>
      <c r="Y230">
        <v>4</v>
      </c>
      <c r="Z230">
        <v>10</v>
      </c>
      <c r="AA230">
        <v>7</v>
      </c>
      <c r="AB230">
        <v>0</v>
      </c>
      <c r="AC230">
        <v>8</v>
      </c>
      <c r="AD230">
        <f>IF(HR_Data[[#This Row],[Attrition]]="Yes",1,0)</f>
        <v>0</v>
      </c>
      <c r="AE230" t="str">
        <f>IF(HR_Data[[#This Row],[Age]]&lt;=25,"18-25",IF(HR_Data[[#This Row],[Age]]&lt;=35,"26-35",IF(HR_Data[[#This Row],[Age]]&lt;=45,"36-45",IF(HR_Data[[#This Row],[Age]]&lt;=55,"46-55","55+"))))</f>
        <v>26-35</v>
      </c>
      <c r="AF230">
        <f>IF(HR_Data[[#This Row],[Age]]&lt;=25,1,IF(HR_Data[[#This Row],[Age]]&lt;=35,2,IF(HR_Data[[#This Row],[Age]]&lt;=45,3,IF(HR_Data[[#This Row],[Age]]&lt;=55,4,5))))</f>
        <v>2</v>
      </c>
      <c r="AG230" s="1" t="str">
        <f>IF(HR_Data[[#This Row],[MonthlyIncome]]&lt;3000,"&lt;3K",IF(HR_Data[[#This Row],[MonthlyIncome]]&lt;6000,"3K-6K",IF(HR_Data[[#This Row],[MonthlyIncome]]&lt;10000,"6K-10K","10K+")))</f>
        <v>6K-10K</v>
      </c>
      <c r="AH230" s="1">
        <f>IF(HR_Data[[#This Row],[MonthlyIncome]]&lt;3000,1,IF(HR_Data[[#This Row],[MonthlyIncome]]&lt;6000,2,IF(HR_Data[[#This Row],[MonthlyIncome]]&lt;10000,3,4)))</f>
        <v>3</v>
      </c>
      <c r="AI230" s="1" t="str">
        <f>IF(HR_Data[[#This Row],[YearsAtCompany]]&lt;=2,"0-2 Yrs",IF(HR_Data[[#This Row],[YearsAtCompany]]&lt;=5,"3-5 Yrs",IF(HR_Data[[#This Row],[YearsAtCompany]]&lt;=10,"6-10 Yrs","10+ Yrs")))</f>
        <v>6-10 Yrs</v>
      </c>
      <c r="AJ230" s="1">
        <f>IF(HR_Data[[#This Row],[YearsAtCompany]]&lt;=2,1,IF(HR_Data[[#This Row],[YearsAtCompany]]&lt;=5,2,IF(HR_Data[[#This Row],[YearsAtCompany]]&lt;=10,3,4)))</f>
        <v>3</v>
      </c>
      <c r="AK230" s="1" t="str">
        <f>CHOOSE(HR_Data[[#This Row],[Education]],"Below College","College","Bachelor","Master","Doctor")</f>
        <v>Bachelor</v>
      </c>
      <c r="AL230" s="1" t="str">
        <f>CHOOSE(HR_Data[[#This Row],[JobSatisfaction]],"Low","Medium","High","Very High")</f>
        <v>High</v>
      </c>
      <c r="AM230" s="1" t="str">
        <f>CHOOSE(HR_Data[[#This Row],[EnvironmentSatisfaction]],"Low","Medium","High","Very High")</f>
        <v>High</v>
      </c>
      <c r="AN230" s="1" t="str">
        <f>CHOOSE(HR_Data[[#This Row],[WorkLifeBalance]],"Bad","Good","Better","Best")</f>
        <v>Best</v>
      </c>
      <c r="AO230" s="1" t="str">
        <f>IF(HR_Data[[#This Row],[PercentSalaryHike]]&lt;=13,"11-13%",IF(HR_Data[[#This Row],[PercentSalaryHike]]&lt;=16,"14-16%",IF(HR_Data[[#This Row],[PercentSalaryHike]]&lt;=19,"17-19%","20-25%")))</f>
        <v>14-16%</v>
      </c>
      <c r="AP230" s="1">
        <f>IF(HR_Data[[#This Row],[PercentSalaryHike]]&lt;=13,1,IF(HR_Data[[#This Row],[PercentSalaryHike]]&lt;=16,2,IF(HR_Data[[#This Row],[PercentSalaryHike]]&lt;=19,3,4)))</f>
        <v>2</v>
      </c>
      <c r="AQ230" s="1" t="str">
        <f>IF(HR_Data[[#This Row],[DistanceFromHome]]&lt;=5,"1 to 5",IF(HR_Data[[#This Row],[DistanceFromHome]]&lt;=10,"6 to 10",IF(HR_Data[[#This Row],[DistanceFromHome]]&lt;=20,"11 to 20","21 to 29")))</f>
        <v>1 to 5</v>
      </c>
      <c r="AR230" s="1">
        <f>IF(HR_Data[[#This Row],[DistanceFromHome]]&lt;=5,1,IF(HR_Data[[#This Row],[DistanceFromHome]]&lt;=10,2,IF(HR_Data[[#This Row],[DistanceFromHome]]&lt;=20,3,4)))</f>
        <v>1</v>
      </c>
      <c r="AS230" s="1" t="str">
        <f>IF(HR_Data[[#This Row],[TotalWorkingYears]]&lt;=5,"0-5 Yrs",IF(HR_Data[[#This Row],[TotalWorkingYears]]&lt;=10,"6-10 Yrs",IF(HR_Data[[#This Row],[TotalWorkingYears]]&lt;=20,"11-20 Yrs","20+ Yrs")))</f>
        <v>6-10 Yrs</v>
      </c>
      <c r="AT230" s="1">
        <f>IF(HR_Data[[#This Row],[TotalWorkingYears]]&lt;=5,1,IF(HR_Data[[#This Row],[TotalWorkingYears]]&lt;=10,2,IF(HR_Data[[#This Row],[TotalWorkingYears]]&lt;=20,3,4)))</f>
        <v>2</v>
      </c>
    </row>
    <row r="231" spans="1:46" x14ac:dyDescent="0.25">
      <c r="A231">
        <v>29</v>
      </c>
      <c r="B231" t="s">
        <v>29</v>
      </c>
      <c r="C231" t="s">
        <v>30</v>
      </c>
      <c r="D231" t="s">
        <v>38</v>
      </c>
      <c r="E231">
        <v>18</v>
      </c>
      <c r="F231">
        <v>1</v>
      </c>
      <c r="G231" t="s">
        <v>44</v>
      </c>
      <c r="H231">
        <v>315</v>
      </c>
      <c r="I231">
        <v>3</v>
      </c>
      <c r="J231" t="s">
        <v>39</v>
      </c>
      <c r="K231">
        <v>2</v>
      </c>
      <c r="L231">
        <v>1</v>
      </c>
      <c r="M231" t="s">
        <v>40</v>
      </c>
      <c r="N231">
        <v>4</v>
      </c>
      <c r="O231" t="s">
        <v>35</v>
      </c>
      <c r="P231">
        <v>2389</v>
      </c>
      <c r="Q231">
        <v>1</v>
      </c>
      <c r="R231" t="s">
        <v>29</v>
      </c>
      <c r="S231">
        <v>13</v>
      </c>
      <c r="T231">
        <v>3</v>
      </c>
      <c r="U231">
        <v>3</v>
      </c>
      <c r="V231">
        <v>0</v>
      </c>
      <c r="W231">
        <v>4</v>
      </c>
      <c r="X231">
        <v>3</v>
      </c>
      <c r="Y231">
        <v>2</v>
      </c>
      <c r="Z231">
        <v>4</v>
      </c>
      <c r="AA231">
        <v>3</v>
      </c>
      <c r="AB231">
        <v>0</v>
      </c>
      <c r="AC231">
        <v>1</v>
      </c>
      <c r="AD231">
        <f>IF(HR_Data[[#This Row],[Attrition]]="Yes",1,0)</f>
        <v>1</v>
      </c>
      <c r="AE231" t="str">
        <f>IF(HR_Data[[#This Row],[Age]]&lt;=25,"18-25",IF(HR_Data[[#This Row],[Age]]&lt;=35,"26-35",IF(HR_Data[[#This Row],[Age]]&lt;=45,"36-45",IF(HR_Data[[#This Row],[Age]]&lt;=55,"46-55","55+"))))</f>
        <v>26-35</v>
      </c>
      <c r="AF231">
        <f>IF(HR_Data[[#This Row],[Age]]&lt;=25,1,IF(HR_Data[[#This Row],[Age]]&lt;=35,2,IF(HR_Data[[#This Row],[Age]]&lt;=45,3,IF(HR_Data[[#This Row],[Age]]&lt;=55,4,5))))</f>
        <v>2</v>
      </c>
      <c r="AG231" s="1" t="str">
        <f>IF(HR_Data[[#This Row],[MonthlyIncome]]&lt;3000,"&lt;3K",IF(HR_Data[[#This Row],[MonthlyIncome]]&lt;6000,"3K-6K",IF(HR_Data[[#This Row],[MonthlyIncome]]&lt;10000,"6K-10K","10K+")))</f>
        <v>&lt;3K</v>
      </c>
      <c r="AH231" s="1">
        <f>IF(HR_Data[[#This Row],[MonthlyIncome]]&lt;3000,1,IF(HR_Data[[#This Row],[MonthlyIncome]]&lt;6000,2,IF(HR_Data[[#This Row],[MonthlyIncome]]&lt;10000,3,4)))</f>
        <v>1</v>
      </c>
      <c r="AI231" s="1" t="str">
        <f>IF(HR_Data[[#This Row],[YearsAtCompany]]&lt;=2,"0-2 Yrs",IF(HR_Data[[#This Row],[YearsAtCompany]]&lt;=5,"3-5 Yrs",IF(HR_Data[[#This Row],[YearsAtCompany]]&lt;=10,"6-10 Yrs","10+ Yrs")))</f>
        <v>3-5 Yrs</v>
      </c>
      <c r="AJ231" s="1">
        <f>IF(HR_Data[[#This Row],[YearsAtCompany]]&lt;=2,1,IF(HR_Data[[#This Row],[YearsAtCompany]]&lt;=5,2,IF(HR_Data[[#This Row],[YearsAtCompany]]&lt;=10,3,4)))</f>
        <v>2</v>
      </c>
      <c r="AK231" s="1" t="str">
        <f>CHOOSE(HR_Data[[#This Row],[Education]],"Below College","College","Bachelor","Master","Doctor")</f>
        <v>Below College</v>
      </c>
      <c r="AL231" s="1" t="str">
        <f>CHOOSE(HR_Data[[#This Row],[JobSatisfaction]],"Low","Medium","High","Very High")</f>
        <v>Very High</v>
      </c>
      <c r="AM231" s="1" t="str">
        <f>CHOOSE(HR_Data[[#This Row],[EnvironmentSatisfaction]],"Low","Medium","High","Very High")</f>
        <v>High</v>
      </c>
      <c r="AN231" s="1" t="str">
        <f>CHOOSE(HR_Data[[#This Row],[WorkLifeBalance]],"Bad","Good","Better","Best")</f>
        <v>Good</v>
      </c>
      <c r="AO231" s="1" t="str">
        <f>IF(HR_Data[[#This Row],[PercentSalaryHike]]&lt;=13,"11-13%",IF(HR_Data[[#This Row],[PercentSalaryHike]]&lt;=16,"14-16%",IF(HR_Data[[#This Row],[PercentSalaryHike]]&lt;=19,"17-19%","20-25%")))</f>
        <v>11-13%</v>
      </c>
      <c r="AP231" s="1">
        <f>IF(HR_Data[[#This Row],[PercentSalaryHike]]&lt;=13,1,IF(HR_Data[[#This Row],[PercentSalaryHike]]&lt;=16,2,IF(HR_Data[[#This Row],[PercentSalaryHike]]&lt;=19,3,4)))</f>
        <v>1</v>
      </c>
      <c r="AQ231" s="1" t="str">
        <f>IF(HR_Data[[#This Row],[DistanceFromHome]]&lt;=5,"1 to 5",IF(HR_Data[[#This Row],[DistanceFromHome]]&lt;=10,"6 to 10",IF(HR_Data[[#This Row],[DistanceFromHome]]&lt;=20,"11 to 20","21 to 29")))</f>
        <v>11 to 20</v>
      </c>
      <c r="AR231" s="1">
        <f>IF(HR_Data[[#This Row],[DistanceFromHome]]&lt;=5,1,IF(HR_Data[[#This Row],[DistanceFromHome]]&lt;=10,2,IF(HR_Data[[#This Row],[DistanceFromHome]]&lt;=20,3,4)))</f>
        <v>3</v>
      </c>
      <c r="AS231" s="1" t="str">
        <f>IF(HR_Data[[#This Row],[TotalWorkingYears]]&lt;=5,"0-5 Yrs",IF(HR_Data[[#This Row],[TotalWorkingYears]]&lt;=10,"6-10 Yrs",IF(HR_Data[[#This Row],[TotalWorkingYears]]&lt;=20,"11-20 Yrs","20+ Yrs")))</f>
        <v>0-5 Yrs</v>
      </c>
      <c r="AT231" s="1">
        <f>IF(HR_Data[[#This Row],[TotalWorkingYears]]&lt;=5,1,IF(HR_Data[[#This Row],[TotalWorkingYears]]&lt;=10,2,IF(HR_Data[[#This Row],[TotalWorkingYears]]&lt;=20,3,4)))</f>
        <v>1</v>
      </c>
    </row>
    <row r="232" spans="1:46" x14ac:dyDescent="0.25">
      <c r="A232">
        <v>52</v>
      </c>
      <c r="B232" t="s">
        <v>36</v>
      </c>
      <c r="C232" t="s">
        <v>30</v>
      </c>
      <c r="D232" t="s">
        <v>38</v>
      </c>
      <c r="E232">
        <v>2</v>
      </c>
      <c r="F232">
        <v>3</v>
      </c>
      <c r="G232" t="s">
        <v>32</v>
      </c>
      <c r="H232">
        <v>316</v>
      </c>
      <c r="I232">
        <v>3</v>
      </c>
      <c r="J232" t="s">
        <v>33</v>
      </c>
      <c r="K232">
        <v>2</v>
      </c>
      <c r="L232">
        <v>1</v>
      </c>
      <c r="M232" t="s">
        <v>43</v>
      </c>
      <c r="N232">
        <v>4</v>
      </c>
      <c r="O232" t="s">
        <v>35</v>
      </c>
      <c r="P232">
        <v>3212</v>
      </c>
      <c r="Q232">
        <v>7</v>
      </c>
      <c r="R232" t="s">
        <v>36</v>
      </c>
      <c r="S232">
        <v>15</v>
      </c>
      <c r="T232">
        <v>3</v>
      </c>
      <c r="U232">
        <v>2</v>
      </c>
      <c r="V232">
        <v>0</v>
      </c>
      <c r="W232">
        <v>6</v>
      </c>
      <c r="X232">
        <v>3</v>
      </c>
      <c r="Y232">
        <v>2</v>
      </c>
      <c r="Z232">
        <v>2</v>
      </c>
      <c r="AA232">
        <v>2</v>
      </c>
      <c r="AB232">
        <v>2</v>
      </c>
      <c r="AC232">
        <v>2</v>
      </c>
      <c r="AD232">
        <f>IF(HR_Data[[#This Row],[Attrition]]="Yes",1,0)</f>
        <v>0</v>
      </c>
      <c r="AE232" t="str">
        <f>IF(HR_Data[[#This Row],[Age]]&lt;=25,"18-25",IF(HR_Data[[#This Row],[Age]]&lt;=35,"26-35",IF(HR_Data[[#This Row],[Age]]&lt;=45,"36-45",IF(HR_Data[[#This Row],[Age]]&lt;=55,"46-55","55+"))))</f>
        <v>46-55</v>
      </c>
      <c r="AF232">
        <f>IF(HR_Data[[#This Row],[Age]]&lt;=25,1,IF(HR_Data[[#This Row],[Age]]&lt;=35,2,IF(HR_Data[[#This Row],[Age]]&lt;=45,3,IF(HR_Data[[#This Row],[Age]]&lt;=55,4,5))))</f>
        <v>4</v>
      </c>
      <c r="AG232" s="1" t="str">
        <f>IF(HR_Data[[#This Row],[MonthlyIncome]]&lt;3000,"&lt;3K",IF(HR_Data[[#This Row],[MonthlyIncome]]&lt;6000,"3K-6K",IF(HR_Data[[#This Row],[MonthlyIncome]]&lt;10000,"6K-10K","10K+")))</f>
        <v>3K-6K</v>
      </c>
      <c r="AH232" s="1">
        <f>IF(HR_Data[[#This Row],[MonthlyIncome]]&lt;3000,1,IF(HR_Data[[#This Row],[MonthlyIncome]]&lt;6000,2,IF(HR_Data[[#This Row],[MonthlyIncome]]&lt;10000,3,4)))</f>
        <v>2</v>
      </c>
      <c r="AI232" s="1" t="str">
        <f>IF(HR_Data[[#This Row],[YearsAtCompany]]&lt;=2,"0-2 Yrs",IF(HR_Data[[#This Row],[YearsAtCompany]]&lt;=5,"3-5 Yrs",IF(HR_Data[[#This Row],[YearsAtCompany]]&lt;=10,"6-10 Yrs","10+ Yrs")))</f>
        <v>0-2 Yrs</v>
      </c>
      <c r="AJ232" s="1">
        <f>IF(HR_Data[[#This Row],[YearsAtCompany]]&lt;=2,1,IF(HR_Data[[#This Row],[YearsAtCompany]]&lt;=5,2,IF(HR_Data[[#This Row],[YearsAtCompany]]&lt;=10,3,4)))</f>
        <v>1</v>
      </c>
      <c r="AK232" s="1" t="str">
        <f>CHOOSE(HR_Data[[#This Row],[Education]],"Below College","College","Bachelor","Master","Doctor")</f>
        <v>Bachelor</v>
      </c>
      <c r="AL232" s="1" t="str">
        <f>CHOOSE(HR_Data[[#This Row],[JobSatisfaction]],"Low","Medium","High","Very High")</f>
        <v>Very High</v>
      </c>
      <c r="AM232" s="1" t="str">
        <f>CHOOSE(HR_Data[[#This Row],[EnvironmentSatisfaction]],"Low","Medium","High","Very High")</f>
        <v>High</v>
      </c>
      <c r="AN232" s="1" t="str">
        <f>CHOOSE(HR_Data[[#This Row],[WorkLifeBalance]],"Bad","Good","Better","Best")</f>
        <v>Good</v>
      </c>
      <c r="AO232" s="1" t="str">
        <f>IF(HR_Data[[#This Row],[PercentSalaryHike]]&lt;=13,"11-13%",IF(HR_Data[[#This Row],[PercentSalaryHike]]&lt;=16,"14-16%",IF(HR_Data[[#This Row],[PercentSalaryHike]]&lt;=19,"17-19%","20-25%")))</f>
        <v>14-16%</v>
      </c>
      <c r="AP232" s="1">
        <f>IF(HR_Data[[#This Row],[PercentSalaryHike]]&lt;=13,1,IF(HR_Data[[#This Row],[PercentSalaryHike]]&lt;=16,2,IF(HR_Data[[#This Row],[PercentSalaryHike]]&lt;=19,3,4)))</f>
        <v>2</v>
      </c>
      <c r="AQ232" s="1" t="str">
        <f>IF(HR_Data[[#This Row],[DistanceFromHome]]&lt;=5,"1 to 5",IF(HR_Data[[#This Row],[DistanceFromHome]]&lt;=10,"6 to 10",IF(HR_Data[[#This Row],[DistanceFromHome]]&lt;=20,"11 to 20","21 to 29")))</f>
        <v>1 to 5</v>
      </c>
      <c r="AR232" s="1">
        <f>IF(HR_Data[[#This Row],[DistanceFromHome]]&lt;=5,1,IF(HR_Data[[#This Row],[DistanceFromHome]]&lt;=10,2,IF(HR_Data[[#This Row],[DistanceFromHome]]&lt;=20,3,4)))</f>
        <v>1</v>
      </c>
      <c r="AS232" s="1" t="str">
        <f>IF(HR_Data[[#This Row],[TotalWorkingYears]]&lt;=5,"0-5 Yrs",IF(HR_Data[[#This Row],[TotalWorkingYears]]&lt;=10,"6-10 Yrs",IF(HR_Data[[#This Row],[TotalWorkingYears]]&lt;=20,"11-20 Yrs","20+ Yrs")))</f>
        <v>6-10 Yrs</v>
      </c>
      <c r="AT232" s="1">
        <f>IF(HR_Data[[#This Row],[TotalWorkingYears]]&lt;=5,1,IF(HR_Data[[#This Row],[TotalWorkingYears]]&lt;=10,2,IF(HR_Data[[#This Row],[TotalWorkingYears]]&lt;=20,3,4)))</f>
        <v>2</v>
      </c>
    </row>
    <row r="233" spans="1:46" x14ac:dyDescent="0.25">
      <c r="A233">
        <v>42</v>
      </c>
      <c r="B233" t="s">
        <v>36</v>
      </c>
      <c r="C233" t="s">
        <v>30</v>
      </c>
      <c r="D233" t="s">
        <v>38</v>
      </c>
      <c r="E233">
        <v>4</v>
      </c>
      <c r="F233">
        <v>2</v>
      </c>
      <c r="G233" t="s">
        <v>53</v>
      </c>
      <c r="H233">
        <v>319</v>
      </c>
      <c r="I233">
        <v>3</v>
      </c>
      <c r="J233" t="s">
        <v>39</v>
      </c>
      <c r="K233">
        <v>3</v>
      </c>
      <c r="L233">
        <v>5</v>
      </c>
      <c r="M233" t="s">
        <v>49</v>
      </c>
      <c r="N233">
        <v>4</v>
      </c>
      <c r="O233" t="s">
        <v>41</v>
      </c>
      <c r="P233">
        <v>19232</v>
      </c>
      <c r="Q233">
        <v>1</v>
      </c>
      <c r="R233" t="s">
        <v>36</v>
      </c>
      <c r="S233">
        <v>11</v>
      </c>
      <c r="T233">
        <v>3</v>
      </c>
      <c r="U233">
        <v>4</v>
      </c>
      <c r="V233">
        <v>0</v>
      </c>
      <c r="W233">
        <v>22</v>
      </c>
      <c r="X233">
        <v>3</v>
      </c>
      <c r="Y233">
        <v>3</v>
      </c>
      <c r="Z233">
        <v>22</v>
      </c>
      <c r="AA233">
        <v>17</v>
      </c>
      <c r="AB233">
        <v>11</v>
      </c>
      <c r="AC233">
        <v>15</v>
      </c>
      <c r="AD233">
        <f>IF(HR_Data[[#This Row],[Attrition]]="Yes",1,0)</f>
        <v>0</v>
      </c>
      <c r="AE233" t="str">
        <f>IF(HR_Data[[#This Row],[Age]]&lt;=25,"18-25",IF(HR_Data[[#This Row],[Age]]&lt;=35,"26-35",IF(HR_Data[[#This Row],[Age]]&lt;=45,"36-45",IF(HR_Data[[#This Row],[Age]]&lt;=55,"46-55","55+"))))</f>
        <v>36-45</v>
      </c>
      <c r="AF233">
        <f>IF(HR_Data[[#This Row],[Age]]&lt;=25,1,IF(HR_Data[[#This Row],[Age]]&lt;=35,2,IF(HR_Data[[#This Row],[Age]]&lt;=45,3,IF(HR_Data[[#This Row],[Age]]&lt;=55,4,5))))</f>
        <v>3</v>
      </c>
      <c r="AG233" s="1" t="str">
        <f>IF(HR_Data[[#This Row],[MonthlyIncome]]&lt;3000,"&lt;3K",IF(HR_Data[[#This Row],[MonthlyIncome]]&lt;6000,"3K-6K",IF(HR_Data[[#This Row],[MonthlyIncome]]&lt;10000,"6K-10K","10K+")))</f>
        <v>10K+</v>
      </c>
      <c r="AH233" s="1">
        <f>IF(HR_Data[[#This Row],[MonthlyIncome]]&lt;3000,1,IF(HR_Data[[#This Row],[MonthlyIncome]]&lt;6000,2,IF(HR_Data[[#This Row],[MonthlyIncome]]&lt;10000,3,4)))</f>
        <v>4</v>
      </c>
      <c r="AI233" s="1" t="str">
        <f>IF(HR_Data[[#This Row],[YearsAtCompany]]&lt;=2,"0-2 Yrs",IF(HR_Data[[#This Row],[YearsAtCompany]]&lt;=5,"3-5 Yrs",IF(HR_Data[[#This Row],[YearsAtCompany]]&lt;=10,"6-10 Yrs","10+ Yrs")))</f>
        <v>10+ Yrs</v>
      </c>
      <c r="AJ233" s="1">
        <f>IF(HR_Data[[#This Row],[YearsAtCompany]]&lt;=2,1,IF(HR_Data[[#This Row],[YearsAtCompany]]&lt;=5,2,IF(HR_Data[[#This Row],[YearsAtCompany]]&lt;=10,3,4)))</f>
        <v>4</v>
      </c>
      <c r="AK233" s="1" t="str">
        <f>CHOOSE(HR_Data[[#This Row],[Education]],"Below College","College","Bachelor","Master","Doctor")</f>
        <v>College</v>
      </c>
      <c r="AL233" s="1" t="str">
        <f>CHOOSE(HR_Data[[#This Row],[JobSatisfaction]],"Low","Medium","High","Very High")</f>
        <v>Very High</v>
      </c>
      <c r="AM233" s="1" t="str">
        <f>CHOOSE(HR_Data[[#This Row],[EnvironmentSatisfaction]],"Low","Medium","High","Very High")</f>
        <v>High</v>
      </c>
      <c r="AN233" s="1" t="str">
        <f>CHOOSE(HR_Data[[#This Row],[WorkLifeBalance]],"Bad","Good","Better","Best")</f>
        <v>Better</v>
      </c>
      <c r="AO233" s="1" t="str">
        <f>IF(HR_Data[[#This Row],[PercentSalaryHike]]&lt;=13,"11-13%",IF(HR_Data[[#This Row],[PercentSalaryHike]]&lt;=16,"14-16%",IF(HR_Data[[#This Row],[PercentSalaryHike]]&lt;=19,"17-19%","20-25%")))</f>
        <v>11-13%</v>
      </c>
      <c r="AP233" s="1">
        <f>IF(HR_Data[[#This Row],[PercentSalaryHike]]&lt;=13,1,IF(HR_Data[[#This Row],[PercentSalaryHike]]&lt;=16,2,IF(HR_Data[[#This Row],[PercentSalaryHike]]&lt;=19,3,4)))</f>
        <v>1</v>
      </c>
      <c r="AQ233" s="1" t="str">
        <f>IF(HR_Data[[#This Row],[DistanceFromHome]]&lt;=5,"1 to 5",IF(HR_Data[[#This Row],[DistanceFromHome]]&lt;=10,"6 to 10",IF(HR_Data[[#This Row],[DistanceFromHome]]&lt;=20,"11 to 20","21 to 29")))</f>
        <v>1 to 5</v>
      </c>
      <c r="AR233" s="1">
        <f>IF(HR_Data[[#This Row],[DistanceFromHome]]&lt;=5,1,IF(HR_Data[[#This Row],[DistanceFromHome]]&lt;=10,2,IF(HR_Data[[#This Row],[DistanceFromHome]]&lt;=20,3,4)))</f>
        <v>1</v>
      </c>
      <c r="AS233" s="1" t="str">
        <f>IF(HR_Data[[#This Row],[TotalWorkingYears]]&lt;=5,"0-5 Yrs",IF(HR_Data[[#This Row],[TotalWorkingYears]]&lt;=10,"6-10 Yrs",IF(HR_Data[[#This Row],[TotalWorkingYears]]&lt;=20,"11-20 Yrs","20+ Yrs")))</f>
        <v>20+ Yrs</v>
      </c>
      <c r="AT233" s="1">
        <f>IF(HR_Data[[#This Row],[TotalWorkingYears]]&lt;=5,1,IF(HR_Data[[#This Row],[TotalWorkingYears]]&lt;=10,2,IF(HR_Data[[#This Row],[TotalWorkingYears]]&lt;=20,3,4)))</f>
        <v>4</v>
      </c>
    </row>
    <row r="234" spans="1:46" x14ac:dyDescent="0.25">
      <c r="A234">
        <v>59</v>
      </c>
      <c r="B234" t="s">
        <v>36</v>
      </c>
      <c r="C234" t="s">
        <v>30</v>
      </c>
      <c r="D234" t="s">
        <v>54</v>
      </c>
      <c r="E234">
        <v>6</v>
      </c>
      <c r="F234">
        <v>2</v>
      </c>
      <c r="G234" t="s">
        <v>44</v>
      </c>
      <c r="H234">
        <v>321</v>
      </c>
      <c r="I234">
        <v>2</v>
      </c>
      <c r="J234" t="s">
        <v>39</v>
      </c>
      <c r="K234">
        <v>3</v>
      </c>
      <c r="L234">
        <v>1</v>
      </c>
      <c r="M234" t="s">
        <v>54</v>
      </c>
      <c r="N234">
        <v>3</v>
      </c>
      <c r="O234" t="s">
        <v>41</v>
      </c>
      <c r="P234">
        <v>2267</v>
      </c>
      <c r="Q234">
        <v>8</v>
      </c>
      <c r="R234" t="s">
        <v>36</v>
      </c>
      <c r="S234">
        <v>17</v>
      </c>
      <c r="T234">
        <v>3</v>
      </c>
      <c r="U234">
        <v>4</v>
      </c>
      <c r="V234">
        <v>0</v>
      </c>
      <c r="W234">
        <v>7</v>
      </c>
      <c r="X234">
        <v>2</v>
      </c>
      <c r="Y234">
        <v>2</v>
      </c>
      <c r="Z234">
        <v>2</v>
      </c>
      <c r="AA234">
        <v>2</v>
      </c>
      <c r="AB234">
        <v>2</v>
      </c>
      <c r="AC234">
        <v>2</v>
      </c>
      <c r="AD234">
        <f>IF(HR_Data[[#This Row],[Attrition]]="Yes",1,0)</f>
        <v>0</v>
      </c>
      <c r="AE234" t="str">
        <f>IF(HR_Data[[#This Row],[Age]]&lt;=25,"18-25",IF(HR_Data[[#This Row],[Age]]&lt;=35,"26-35",IF(HR_Data[[#This Row],[Age]]&lt;=45,"36-45",IF(HR_Data[[#This Row],[Age]]&lt;=55,"46-55","55+"))))</f>
        <v>55+</v>
      </c>
      <c r="AF234">
        <f>IF(HR_Data[[#This Row],[Age]]&lt;=25,1,IF(HR_Data[[#This Row],[Age]]&lt;=35,2,IF(HR_Data[[#This Row],[Age]]&lt;=45,3,IF(HR_Data[[#This Row],[Age]]&lt;=55,4,5))))</f>
        <v>5</v>
      </c>
      <c r="AG234" s="1" t="str">
        <f>IF(HR_Data[[#This Row],[MonthlyIncome]]&lt;3000,"&lt;3K",IF(HR_Data[[#This Row],[MonthlyIncome]]&lt;6000,"3K-6K",IF(HR_Data[[#This Row],[MonthlyIncome]]&lt;10000,"6K-10K","10K+")))</f>
        <v>&lt;3K</v>
      </c>
      <c r="AH234" s="1">
        <f>IF(HR_Data[[#This Row],[MonthlyIncome]]&lt;3000,1,IF(HR_Data[[#This Row],[MonthlyIncome]]&lt;6000,2,IF(HR_Data[[#This Row],[MonthlyIncome]]&lt;10000,3,4)))</f>
        <v>1</v>
      </c>
      <c r="AI234" s="1" t="str">
        <f>IF(HR_Data[[#This Row],[YearsAtCompany]]&lt;=2,"0-2 Yrs",IF(HR_Data[[#This Row],[YearsAtCompany]]&lt;=5,"3-5 Yrs",IF(HR_Data[[#This Row],[YearsAtCompany]]&lt;=10,"6-10 Yrs","10+ Yrs")))</f>
        <v>0-2 Yrs</v>
      </c>
      <c r="AJ234" s="1">
        <f>IF(HR_Data[[#This Row],[YearsAtCompany]]&lt;=2,1,IF(HR_Data[[#This Row],[YearsAtCompany]]&lt;=5,2,IF(HR_Data[[#This Row],[YearsAtCompany]]&lt;=10,3,4)))</f>
        <v>1</v>
      </c>
      <c r="AK234" s="1" t="str">
        <f>CHOOSE(HR_Data[[#This Row],[Education]],"Below College","College","Bachelor","Master","Doctor")</f>
        <v>College</v>
      </c>
      <c r="AL234" s="1" t="str">
        <f>CHOOSE(HR_Data[[#This Row],[JobSatisfaction]],"Low","Medium","High","Very High")</f>
        <v>High</v>
      </c>
      <c r="AM234" s="1" t="str">
        <f>CHOOSE(HR_Data[[#This Row],[EnvironmentSatisfaction]],"Low","Medium","High","Very High")</f>
        <v>Medium</v>
      </c>
      <c r="AN234" s="1" t="str">
        <f>CHOOSE(HR_Data[[#This Row],[WorkLifeBalance]],"Bad","Good","Better","Best")</f>
        <v>Good</v>
      </c>
      <c r="AO234" s="1" t="str">
        <f>IF(HR_Data[[#This Row],[PercentSalaryHike]]&lt;=13,"11-13%",IF(HR_Data[[#This Row],[PercentSalaryHike]]&lt;=16,"14-16%",IF(HR_Data[[#This Row],[PercentSalaryHike]]&lt;=19,"17-19%","20-25%")))</f>
        <v>17-19%</v>
      </c>
      <c r="AP234" s="1">
        <f>IF(HR_Data[[#This Row],[PercentSalaryHike]]&lt;=13,1,IF(HR_Data[[#This Row],[PercentSalaryHike]]&lt;=16,2,IF(HR_Data[[#This Row],[PercentSalaryHike]]&lt;=19,3,4)))</f>
        <v>3</v>
      </c>
      <c r="AQ234" s="1" t="str">
        <f>IF(HR_Data[[#This Row],[DistanceFromHome]]&lt;=5,"1 to 5",IF(HR_Data[[#This Row],[DistanceFromHome]]&lt;=10,"6 to 10",IF(HR_Data[[#This Row],[DistanceFromHome]]&lt;=20,"11 to 20","21 to 29")))</f>
        <v>6 to 10</v>
      </c>
      <c r="AR234" s="1">
        <f>IF(HR_Data[[#This Row],[DistanceFromHome]]&lt;=5,1,IF(HR_Data[[#This Row],[DistanceFromHome]]&lt;=10,2,IF(HR_Data[[#This Row],[DistanceFromHome]]&lt;=20,3,4)))</f>
        <v>2</v>
      </c>
      <c r="AS234" s="1" t="str">
        <f>IF(HR_Data[[#This Row],[TotalWorkingYears]]&lt;=5,"0-5 Yrs",IF(HR_Data[[#This Row],[TotalWorkingYears]]&lt;=10,"6-10 Yrs",IF(HR_Data[[#This Row],[TotalWorkingYears]]&lt;=20,"11-20 Yrs","20+ Yrs")))</f>
        <v>6-10 Yrs</v>
      </c>
      <c r="AT234" s="1">
        <f>IF(HR_Data[[#This Row],[TotalWorkingYears]]&lt;=5,1,IF(HR_Data[[#This Row],[TotalWorkingYears]]&lt;=10,2,IF(HR_Data[[#This Row],[TotalWorkingYears]]&lt;=20,3,4)))</f>
        <v>2</v>
      </c>
    </row>
    <row r="235" spans="1:46" x14ac:dyDescent="0.25">
      <c r="A235">
        <v>50</v>
      </c>
      <c r="B235" t="s">
        <v>36</v>
      </c>
      <c r="C235" t="s">
        <v>30</v>
      </c>
      <c r="D235" t="s">
        <v>31</v>
      </c>
      <c r="E235">
        <v>1</v>
      </c>
      <c r="F235">
        <v>4</v>
      </c>
      <c r="G235" t="s">
        <v>44</v>
      </c>
      <c r="H235">
        <v>323</v>
      </c>
      <c r="I235">
        <v>4</v>
      </c>
      <c r="J235" t="s">
        <v>33</v>
      </c>
      <c r="K235">
        <v>3</v>
      </c>
      <c r="L235">
        <v>5</v>
      </c>
      <c r="M235" t="s">
        <v>49</v>
      </c>
      <c r="N235">
        <v>4</v>
      </c>
      <c r="O235" t="s">
        <v>45</v>
      </c>
      <c r="P235">
        <v>19517</v>
      </c>
      <c r="Q235">
        <v>3</v>
      </c>
      <c r="R235" t="s">
        <v>36</v>
      </c>
      <c r="S235">
        <v>11</v>
      </c>
      <c r="T235">
        <v>3</v>
      </c>
      <c r="U235">
        <v>3</v>
      </c>
      <c r="V235">
        <v>1</v>
      </c>
      <c r="W235">
        <v>32</v>
      </c>
      <c r="X235">
        <v>3</v>
      </c>
      <c r="Y235">
        <v>2</v>
      </c>
      <c r="Z235">
        <v>7</v>
      </c>
      <c r="AA235">
        <v>0</v>
      </c>
      <c r="AB235">
        <v>0</v>
      </c>
      <c r="AC235">
        <v>6</v>
      </c>
      <c r="AD235">
        <f>IF(HR_Data[[#This Row],[Attrition]]="Yes",1,0)</f>
        <v>0</v>
      </c>
      <c r="AE235" t="str">
        <f>IF(HR_Data[[#This Row],[Age]]&lt;=25,"18-25",IF(HR_Data[[#This Row],[Age]]&lt;=35,"26-35",IF(HR_Data[[#This Row],[Age]]&lt;=45,"36-45",IF(HR_Data[[#This Row],[Age]]&lt;=55,"46-55","55+"))))</f>
        <v>46-55</v>
      </c>
      <c r="AF235">
        <f>IF(HR_Data[[#This Row],[Age]]&lt;=25,1,IF(HR_Data[[#This Row],[Age]]&lt;=35,2,IF(HR_Data[[#This Row],[Age]]&lt;=45,3,IF(HR_Data[[#This Row],[Age]]&lt;=55,4,5))))</f>
        <v>4</v>
      </c>
      <c r="AG235" s="1" t="str">
        <f>IF(HR_Data[[#This Row],[MonthlyIncome]]&lt;3000,"&lt;3K",IF(HR_Data[[#This Row],[MonthlyIncome]]&lt;6000,"3K-6K",IF(HR_Data[[#This Row],[MonthlyIncome]]&lt;10000,"6K-10K","10K+")))</f>
        <v>10K+</v>
      </c>
      <c r="AH235" s="1">
        <f>IF(HR_Data[[#This Row],[MonthlyIncome]]&lt;3000,1,IF(HR_Data[[#This Row],[MonthlyIncome]]&lt;6000,2,IF(HR_Data[[#This Row],[MonthlyIncome]]&lt;10000,3,4)))</f>
        <v>4</v>
      </c>
      <c r="AI235" s="1" t="str">
        <f>IF(HR_Data[[#This Row],[YearsAtCompany]]&lt;=2,"0-2 Yrs",IF(HR_Data[[#This Row],[YearsAtCompany]]&lt;=5,"3-5 Yrs",IF(HR_Data[[#This Row],[YearsAtCompany]]&lt;=10,"6-10 Yrs","10+ Yrs")))</f>
        <v>6-10 Yrs</v>
      </c>
      <c r="AJ235" s="1">
        <f>IF(HR_Data[[#This Row],[YearsAtCompany]]&lt;=2,1,IF(HR_Data[[#This Row],[YearsAtCompany]]&lt;=5,2,IF(HR_Data[[#This Row],[YearsAtCompany]]&lt;=10,3,4)))</f>
        <v>3</v>
      </c>
      <c r="AK235" s="1" t="str">
        <f>CHOOSE(HR_Data[[#This Row],[Education]],"Below College","College","Bachelor","Master","Doctor")</f>
        <v>Master</v>
      </c>
      <c r="AL235" s="1" t="str">
        <f>CHOOSE(HR_Data[[#This Row],[JobSatisfaction]],"Low","Medium","High","Very High")</f>
        <v>Very High</v>
      </c>
      <c r="AM235" s="1" t="str">
        <f>CHOOSE(HR_Data[[#This Row],[EnvironmentSatisfaction]],"Low","Medium","High","Very High")</f>
        <v>Very High</v>
      </c>
      <c r="AN235" s="1" t="str">
        <f>CHOOSE(HR_Data[[#This Row],[WorkLifeBalance]],"Bad","Good","Better","Best")</f>
        <v>Good</v>
      </c>
      <c r="AO235" s="1" t="str">
        <f>IF(HR_Data[[#This Row],[PercentSalaryHike]]&lt;=13,"11-13%",IF(HR_Data[[#This Row],[PercentSalaryHike]]&lt;=16,"14-16%",IF(HR_Data[[#This Row],[PercentSalaryHike]]&lt;=19,"17-19%","20-25%")))</f>
        <v>11-13%</v>
      </c>
      <c r="AP235" s="1">
        <f>IF(HR_Data[[#This Row],[PercentSalaryHike]]&lt;=13,1,IF(HR_Data[[#This Row],[PercentSalaryHike]]&lt;=16,2,IF(HR_Data[[#This Row],[PercentSalaryHike]]&lt;=19,3,4)))</f>
        <v>1</v>
      </c>
      <c r="AQ235" s="1" t="str">
        <f>IF(HR_Data[[#This Row],[DistanceFromHome]]&lt;=5,"1 to 5",IF(HR_Data[[#This Row],[DistanceFromHome]]&lt;=10,"6 to 10",IF(HR_Data[[#This Row],[DistanceFromHome]]&lt;=20,"11 to 20","21 to 29")))</f>
        <v>1 to 5</v>
      </c>
      <c r="AR235" s="1">
        <f>IF(HR_Data[[#This Row],[DistanceFromHome]]&lt;=5,1,IF(HR_Data[[#This Row],[DistanceFromHome]]&lt;=10,2,IF(HR_Data[[#This Row],[DistanceFromHome]]&lt;=20,3,4)))</f>
        <v>1</v>
      </c>
      <c r="AS235" s="1" t="str">
        <f>IF(HR_Data[[#This Row],[TotalWorkingYears]]&lt;=5,"0-5 Yrs",IF(HR_Data[[#This Row],[TotalWorkingYears]]&lt;=10,"6-10 Yrs",IF(HR_Data[[#This Row],[TotalWorkingYears]]&lt;=20,"11-20 Yrs","20+ Yrs")))</f>
        <v>20+ Yrs</v>
      </c>
      <c r="AT235" s="1">
        <f>IF(HR_Data[[#This Row],[TotalWorkingYears]]&lt;=5,1,IF(HR_Data[[#This Row],[TotalWorkingYears]]&lt;=10,2,IF(HR_Data[[#This Row],[TotalWorkingYears]]&lt;=20,3,4)))</f>
        <v>4</v>
      </c>
    </row>
    <row r="236" spans="1:46" x14ac:dyDescent="0.25">
      <c r="A236">
        <v>33</v>
      </c>
      <c r="B236" t="s">
        <v>29</v>
      </c>
      <c r="C236" t="s">
        <v>30</v>
      </c>
      <c r="D236" t="s">
        <v>38</v>
      </c>
      <c r="E236">
        <v>14</v>
      </c>
      <c r="F236">
        <v>3</v>
      </c>
      <c r="G236" t="s">
        <v>44</v>
      </c>
      <c r="H236">
        <v>325</v>
      </c>
      <c r="I236">
        <v>3</v>
      </c>
      <c r="J236" t="s">
        <v>39</v>
      </c>
      <c r="K236">
        <v>3</v>
      </c>
      <c r="L236">
        <v>1</v>
      </c>
      <c r="M236" t="s">
        <v>43</v>
      </c>
      <c r="N236">
        <v>4</v>
      </c>
      <c r="O236" t="s">
        <v>41</v>
      </c>
      <c r="P236">
        <v>2436</v>
      </c>
      <c r="Q236">
        <v>5</v>
      </c>
      <c r="R236" t="s">
        <v>29</v>
      </c>
      <c r="S236">
        <v>13</v>
      </c>
      <c r="T236">
        <v>3</v>
      </c>
      <c r="U236">
        <v>3</v>
      </c>
      <c r="V236">
        <v>1</v>
      </c>
      <c r="W236">
        <v>8</v>
      </c>
      <c r="X236">
        <v>2</v>
      </c>
      <c r="Y236">
        <v>1</v>
      </c>
      <c r="Z236">
        <v>5</v>
      </c>
      <c r="AA236">
        <v>4</v>
      </c>
      <c r="AB236">
        <v>0</v>
      </c>
      <c r="AC236">
        <v>4</v>
      </c>
      <c r="AD236">
        <f>IF(HR_Data[[#This Row],[Attrition]]="Yes",1,0)</f>
        <v>1</v>
      </c>
      <c r="AE236" t="str">
        <f>IF(HR_Data[[#This Row],[Age]]&lt;=25,"18-25",IF(HR_Data[[#This Row],[Age]]&lt;=35,"26-35",IF(HR_Data[[#This Row],[Age]]&lt;=45,"36-45",IF(HR_Data[[#This Row],[Age]]&lt;=55,"46-55","55+"))))</f>
        <v>26-35</v>
      </c>
      <c r="AF236">
        <f>IF(HR_Data[[#This Row],[Age]]&lt;=25,1,IF(HR_Data[[#This Row],[Age]]&lt;=35,2,IF(HR_Data[[#This Row],[Age]]&lt;=45,3,IF(HR_Data[[#This Row],[Age]]&lt;=55,4,5))))</f>
        <v>2</v>
      </c>
      <c r="AG236" s="1" t="str">
        <f>IF(HR_Data[[#This Row],[MonthlyIncome]]&lt;3000,"&lt;3K",IF(HR_Data[[#This Row],[MonthlyIncome]]&lt;6000,"3K-6K",IF(HR_Data[[#This Row],[MonthlyIncome]]&lt;10000,"6K-10K","10K+")))</f>
        <v>&lt;3K</v>
      </c>
      <c r="AH236" s="1">
        <f>IF(HR_Data[[#This Row],[MonthlyIncome]]&lt;3000,1,IF(HR_Data[[#This Row],[MonthlyIncome]]&lt;6000,2,IF(HR_Data[[#This Row],[MonthlyIncome]]&lt;10000,3,4)))</f>
        <v>1</v>
      </c>
      <c r="AI236" s="1" t="str">
        <f>IF(HR_Data[[#This Row],[YearsAtCompany]]&lt;=2,"0-2 Yrs",IF(HR_Data[[#This Row],[YearsAtCompany]]&lt;=5,"3-5 Yrs",IF(HR_Data[[#This Row],[YearsAtCompany]]&lt;=10,"6-10 Yrs","10+ Yrs")))</f>
        <v>3-5 Yrs</v>
      </c>
      <c r="AJ236" s="1">
        <f>IF(HR_Data[[#This Row],[YearsAtCompany]]&lt;=2,1,IF(HR_Data[[#This Row],[YearsAtCompany]]&lt;=5,2,IF(HR_Data[[#This Row],[YearsAtCompany]]&lt;=10,3,4)))</f>
        <v>2</v>
      </c>
      <c r="AK236" s="1" t="str">
        <f>CHOOSE(HR_Data[[#This Row],[Education]],"Below College","College","Bachelor","Master","Doctor")</f>
        <v>Bachelor</v>
      </c>
      <c r="AL236" s="1" t="str">
        <f>CHOOSE(HR_Data[[#This Row],[JobSatisfaction]],"Low","Medium","High","Very High")</f>
        <v>Very High</v>
      </c>
      <c r="AM236" s="1" t="str">
        <f>CHOOSE(HR_Data[[#This Row],[EnvironmentSatisfaction]],"Low","Medium","High","Very High")</f>
        <v>High</v>
      </c>
      <c r="AN236" s="1" t="str">
        <f>CHOOSE(HR_Data[[#This Row],[WorkLifeBalance]],"Bad","Good","Better","Best")</f>
        <v>Bad</v>
      </c>
      <c r="AO236" s="1" t="str">
        <f>IF(HR_Data[[#This Row],[PercentSalaryHike]]&lt;=13,"11-13%",IF(HR_Data[[#This Row],[PercentSalaryHike]]&lt;=16,"14-16%",IF(HR_Data[[#This Row],[PercentSalaryHike]]&lt;=19,"17-19%","20-25%")))</f>
        <v>11-13%</v>
      </c>
      <c r="AP236" s="1">
        <f>IF(HR_Data[[#This Row],[PercentSalaryHike]]&lt;=13,1,IF(HR_Data[[#This Row],[PercentSalaryHike]]&lt;=16,2,IF(HR_Data[[#This Row],[PercentSalaryHike]]&lt;=19,3,4)))</f>
        <v>1</v>
      </c>
      <c r="AQ236" s="1" t="str">
        <f>IF(HR_Data[[#This Row],[DistanceFromHome]]&lt;=5,"1 to 5",IF(HR_Data[[#This Row],[DistanceFromHome]]&lt;=10,"6 to 10",IF(HR_Data[[#This Row],[DistanceFromHome]]&lt;=20,"11 to 20","21 to 29")))</f>
        <v>11 to 20</v>
      </c>
      <c r="AR236" s="1">
        <f>IF(HR_Data[[#This Row],[DistanceFromHome]]&lt;=5,1,IF(HR_Data[[#This Row],[DistanceFromHome]]&lt;=10,2,IF(HR_Data[[#This Row],[DistanceFromHome]]&lt;=20,3,4)))</f>
        <v>3</v>
      </c>
      <c r="AS236" s="1" t="str">
        <f>IF(HR_Data[[#This Row],[TotalWorkingYears]]&lt;=5,"0-5 Yrs",IF(HR_Data[[#This Row],[TotalWorkingYears]]&lt;=10,"6-10 Yrs",IF(HR_Data[[#This Row],[TotalWorkingYears]]&lt;=20,"11-20 Yrs","20+ Yrs")))</f>
        <v>6-10 Yrs</v>
      </c>
      <c r="AT236" s="1">
        <f>IF(HR_Data[[#This Row],[TotalWorkingYears]]&lt;=5,1,IF(HR_Data[[#This Row],[TotalWorkingYears]]&lt;=10,2,IF(HR_Data[[#This Row],[TotalWorkingYears]]&lt;=20,3,4)))</f>
        <v>2</v>
      </c>
    </row>
    <row r="237" spans="1:46" x14ac:dyDescent="0.25">
      <c r="A237">
        <v>43</v>
      </c>
      <c r="B237" t="s">
        <v>36</v>
      </c>
      <c r="C237" t="s">
        <v>30</v>
      </c>
      <c r="D237" t="s">
        <v>31</v>
      </c>
      <c r="E237">
        <v>16</v>
      </c>
      <c r="F237">
        <v>3</v>
      </c>
      <c r="G237" t="s">
        <v>52</v>
      </c>
      <c r="H237">
        <v>327</v>
      </c>
      <c r="I237">
        <v>4</v>
      </c>
      <c r="J237" t="s">
        <v>33</v>
      </c>
      <c r="K237">
        <v>3</v>
      </c>
      <c r="L237">
        <v>4</v>
      </c>
      <c r="M237" t="s">
        <v>49</v>
      </c>
      <c r="N237">
        <v>4</v>
      </c>
      <c r="O237" t="s">
        <v>41</v>
      </c>
      <c r="P237">
        <v>16064</v>
      </c>
      <c r="Q237">
        <v>5</v>
      </c>
      <c r="R237" t="s">
        <v>29</v>
      </c>
      <c r="S237">
        <v>22</v>
      </c>
      <c r="T237">
        <v>4</v>
      </c>
      <c r="U237">
        <v>3</v>
      </c>
      <c r="V237">
        <v>1</v>
      </c>
      <c r="W237">
        <v>22</v>
      </c>
      <c r="X237">
        <v>3</v>
      </c>
      <c r="Y237">
        <v>3</v>
      </c>
      <c r="Z237">
        <v>17</v>
      </c>
      <c r="AA237">
        <v>13</v>
      </c>
      <c r="AB237">
        <v>1</v>
      </c>
      <c r="AC237">
        <v>9</v>
      </c>
      <c r="AD237">
        <f>IF(HR_Data[[#This Row],[Attrition]]="Yes",1,0)</f>
        <v>0</v>
      </c>
      <c r="AE237" t="str">
        <f>IF(HR_Data[[#This Row],[Age]]&lt;=25,"18-25",IF(HR_Data[[#This Row],[Age]]&lt;=35,"26-35",IF(HR_Data[[#This Row],[Age]]&lt;=45,"36-45",IF(HR_Data[[#This Row],[Age]]&lt;=55,"46-55","55+"))))</f>
        <v>36-45</v>
      </c>
      <c r="AF237">
        <f>IF(HR_Data[[#This Row],[Age]]&lt;=25,1,IF(HR_Data[[#This Row],[Age]]&lt;=35,2,IF(HR_Data[[#This Row],[Age]]&lt;=45,3,IF(HR_Data[[#This Row],[Age]]&lt;=55,4,5))))</f>
        <v>3</v>
      </c>
      <c r="AG237" s="1" t="str">
        <f>IF(HR_Data[[#This Row],[MonthlyIncome]]&lt;3000,"&lt;3K",IF(HR_Data[[#This Row],[MonthlyIncome]]&lt;6000,"3K-6K",IF(HR_Data[[#This Row],[MonthlyIncome]]&lt;10000,"6K-10K","10K+")))</f>
        <v>10K+</v>
      </c>
      <c r="AH237" s="1">
        <f>IF(HR_Data[[#This Row],[MonthlyIncome]]&lt;3000,1,IF(HR_Data[[#This Row],[MonthlyIncome]]&lt;6000,2,IF(HR_Data[[#This Row],[MonthlyIncome]]&lt;10000,3,4)))</f>
        <v>4</v>
      </c>
      <c r="AI237" s="1" t="str">
        <f>IF(HR_Data[[#This Row],[YearsAtCompany]]&lt;=2,"0-2 Yrs",IF(HR_Data[[#This Row],[YearsAtCompany]]&lt;=5,"3-5 Yrs",IF(HR_Data[[#This Row],[YearsAtCompany]]&lt;=10,"6-10 Yrs","10+ Yrs")))</f>
        <v>10+ Yrs</v>
      </c>
      <c r="AJ237" s="1">
        <f>IF(HR_Data[[#This Row],[YearsAtCompany]]&lt;=2,1,IF(HR_Data[[#This Row],[YearsAtCompany]]&lt;=5,2,IF(HR_Data[[#This Row],[YearsAtCompany]]&lt;=10,3,4)))</f>
        <v>4</v>
      </c>
      <c r="AK237" s="1" t="str">
        <f>CHOOSE(HR_Data[[#This Row],[Education]],"Below College","College","Bachelor","Master","Doctor")</f>
        <v>Bachelor</v>
      </c>
      <c r="AL237" s="1" t="str">
        <f>CHOOSE(HR_Data[[#This Row],[JobSatisfaction]],"Low","Medium","High","Very High")</f>
        <v>Very High</v>
      </c>
      <c r="AM237" s="1" t="str">
        <f>CHOOSE(HR_Data[[#This Row],[EnvironmentSatisfaction]],"Low","Medium","High","Very High")</f>
        <v>Very High</v>
      </c>
      <c r="AN237" s="1" t="str">
        <f>CHOOSE(HR_Data[[#This Row],[WorkLifeBalance]],"Bad","Good","Better","Best")</f>
        <v>Better</v>
      </c>
      <c r="AO237" s="1" t="str">
        <f>IF(HR_Data[[#This Row],[PercentSalaryHike]]&lt;=13,"11-13%",IF(HR_Data[[#This Row],[PercentSalaryHike]]&lt;=16,"14-16%",IF(HR_Data[[#This Row],[PercentSalaryHike]]&lt;=19,"17-19%","20-25%")))</f>
        <v>20-25%</v>
      </c>
      <c r="AP237" s="1">
        <f>IF(HR_Data[[#This Row],[PercentSalaryHike]]&lt;=13,1,IF(HR_Data[[#This Row],[PercentSalaryHike]]&lt;=16,2,IF(HR_Data[[#This Row],[PercentSalaryHike]]&lt;=19,3,4)))</f>
        <v>4</v>
      </c>
      <c r="AQ237" s="1" t="str">
        <f>IF(HR_Data[[#This Row],[DistanceFromHome]]&lt;=5,"1 to 5",IF(HR_Data[[#This Row],[DistanceFromHome]]&lt;=10,"6 to 10",IF(HR_Data[[#This Row],[DistanceFromHome]]&lt;=20,"11 to 20","21 to 29")))</f>
        <v>11 to 20</v>
      </c>
      <c r="AR237" s="1">
        <f>IF(HR_Data[[#This Row],[DistanceFromHome]]&lt;=5,1,IF(HR_Data[[#This Row],[DistanceFromHome]]&lt;=10,2,IF(HR_Data[[#This Row],[DistanceFromHome]]&lt;=20,3,4)))</f>
        <v>3</v>
      </c>
      <c r="AS237" s="1" t="str">
        <f>IF(HR_Data[[#This Row],[TotalWorkingYears]]&lt;=5,"0-5 Yrs",IF(HR_Data[[#This Row],[TotalWorkingYears]]&lt;=10,"6-10 Yrs",IF(HR_Data[[#This Row],[TotalWorkingYears]]&lt;=20,"11-20 Yrs","20+ Yrs")))</f>
        <v>20+ Yrs</v>
      </c>
      <c r="AT237" s="1">
        <f>IF(HR_Data[[#This Row],[TotalWorkingYears]]&lt;=5,1,IF(HR_Data[[#This Row],[TotalWorkingYears]]&lt;=10,2,IF(HR_Data[[#This Row],[TotalWorkingYears]]&lt;=20,3,4)))</f>
        <v>4</v>
      </c>
    </row>
    <row r="238" spans="1:46" x14ac:dyDescent="0.25">
      <c r="A238">
        <v>33</v>
      </c>
      <c r="B238" t="s">
        <v>29</v>
      </c>
      <c r="C238" t="s">
        <v>30</v>
      </c>
      <c r="D238" t="s">
        <v>38</v>
      </c>
      <c r="E238">
        <v>2</v>
      </c>
      <c r="F238">
        <v>2</v>
      </c>
      <c r="G238" t="s">
        <v>32</v>
      </c>
      <c r="H238">
        <v>328</v>
      </c>
      <c r="I238">
        <v>1</v>
      </c>
      <c r="J238" t="s">
        <v>33</v>
      </c>
      <c r="K238">
        <v>3</v>
      </c>
      <c r="L238">
        <v>1</v>
      </c>
      <c r="M238" t="s">
        <v>43</v>
      </c>
      <c r="N238">
        <v>1</v>
      </c>
      <c r="O238" t="s">
        <v>41</v>
      </c>
      <c r="P238">
        <v>2707</v>
      </c>
      <c r="Q238">
        <v>7</v>
      </c>
      <c r="R238" t="s">
        <v>36</v>
      </c>
      <c r="S238">
        <v>20</v>
      </c>
      <c r="T238">
        <v>4</v>
      </c>
      <c r="U238">
        <v>1</v>
      </c>
      <c r="V238">
        <v>0</v>
      </c>
      <c r="W238">
        <v>13</v>
      </c>
      <c r="X238">
        <v>3</v>
      </c>
      <c r="Y238">
        <v>4</v>
      </c>
      <c r="Z238">
        <v>9</v>
      </c>
      <c r="AA238">
        <v>7</v>
      </c>
      <c r="AB238">
        <v>1</v>
      </c>
      <c r="AC238">
        <v>7</v>
      </c>
      <c r="AD238">
        <f>IF(HR_Data[[#This Row],[Attrition]]="Yes",1,0)</f>
        <v>1</v>
      </c>
      <c r="AE238" t="str">
        <f>IF(HR_Data[[#This Row],[Age]]&lt;=25,"18-25",IF(HR_Data[[#This Row],[Age]]&lt;=35,"26-35",IF(HR_Data[[#This Row],[Age]]&lt;=45,"36-45",IF(HR_Data[[#This Row],[Age]]&lt;=55,"46-55","55+"))))</f>
        <v>26-35</v>
      </c>
      <c r="AF238">
        <f>IF(HR_Data[[#This Row],[Age]]&lt;=25,1,IF(HR_Data[[#This Row],[Age]]&lt;=35,2,IF(HR_Data[[#This Row],[Age]]&lt;=45,3,IF(HR_Data[[#This Row],[Age]]&lt;=55,4,5))))</f>
        <v>2</v>
      </c>
      <c r="AG238" s="1" t="str">
        <f>IF(HR_Data[[#This Row],[MonthlyIncome]]&lt;3000,"&lt;3K",IF(HR_Data[[#This Row],[MonthlyIncome]]&lt;6000,"3K-6K",IF(HR_Data[[#This Row],[MonthlyIncome]]&lt;10000,"6K-10K","10K+")))</f>
        <v>&lt;3K</v>
      </c>
      <c r="AH238" s="1">
        <f>IF(HR_Data[[#This Row],[MonthlyIncome]]&lt;3000,1,IF(HR_Data[[#This Row],[MonthlyIncome]]&lt;6000,2,IF(HR_Data[[#This Row],[MonthlyIncome]]&lt;10000,3,4)))</f>
        <v>1</v>
      </c>
      <c r="AI238" s="1" t="str">
        <f>IF(HR_Data[[#This Row],[YearsAtCompany]]&lt;=2,"0-2 Yrs",IF(HR_Data[[#This Row],[YearsAtCompany]]&lt;=5,"3-5 Yrs",IF(HR_Data[[#This Row],[YearsAtCompany]]&lt;=10,"6-10 Yrs","10+ Yrs")))</f>
        <v>6-10 Yrs</v>
      </c>
      <c r="AJ238" s="1">
        <f>IF(HR_Data[[#This Row],[YearsAtCompany]]&lt;=2,1,IF(HR_Data[[#This Row],[YearsAtCompany]]&lt;=5,2,IF(HR_Data[[#This Row],[YearsAtCompany]]&lt;=10,3,4)))</f>
        <v>3</v>
      </c>
      <c r="AK238" s="1" t="str">
        <f>CHOOSE(HR_Data[[#This Row],[Education]],"Below College","College","Bachelor","Master","Doctor")</f>
        <v>College</v>
      </c>
      <c r="AL238" s="1" t="str">
        <f>CHOOSE(HR_Data[[#This Row],[JobSatisfaction]],"Low","Medium","High","Very High")</f>
        <v>Low</v>
      </c>
      <c r="AM238" s="1" t="str">
        <f>CHOOSE(HR_Data[[#This Row],[EnvironmentSatisfaction]],"Low","Medium","High","Very High")</f>
        <v>Low</v>
      </c>
      <c r="AN238" s="1" t="str">
        <f>CHOOSE(HR_Data[[#This Row],[WorkLifeBalance]],"Bad","Good","Better","Best")</f>
        <v>Best</v>
      </c>
      <c r="AO238" s="1" t="str">
        <f>IF(HR_Data[[#This Row],[PercentSalaryHike]]&lt;=13,"11-13%",IF(HR_Data[[#This Row],[PercentSalaryHike]]&lt;=16,"14-16%",IF(HR_Data[[#This Row],[PercentSalaryHike]]&lt;=19,"17-19%","20-25%")))</f>
        <v>20-25%</v>
      </c>
      <c r="AP238" s="1">
        <f>IF(HR_Data[[#This Row],[PercentSalaryHike]]&lt;=13,1,IF(HR_Data[[#This Row],[PercentSalaryHike]]&lt;=16,2,IF(HR_Data[[#This Row],[PercentSalaryHike]]&lt;=19,3,4)))</f>
        <v>4</v>
      </c>
      <c r="AQ238" s="1" t="str">
        <f>IF(HR_Data[[#This Row],[DistanceFromHome]]&lt;=5,"1 to 5",IF(HR_Data[[#This Row],[DistanceFromHome]]&lt;=10,"6 to 10",IF(HR_Data[[#This Row],[DistanceFromHome]]&lt;=20,"11 to 20","21 to 29")))</f>
        <v>1 to 5</v>
      </c>
      <c r="AR238" s="1">
        <f>IF(HR_Data[[#This Row],[DistanceFromHome]]&lt;=5,1,IF(HR_Data[[#This Row],[DistanceFromHome]]&lt;=10,2,IF(HR_Data[[#This Row],[DistanceFromHome]]&lt;=20,3,4)))</f>
        <v>1</v>
      </c>
      <c r="AS238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238" s="1">
        <f>IF(HR_Data[[#This Row],[TotalWorkingYears]]&lt;=5,1,IF(HR_Data[[#This Row],[TotalWorkingYears]]&lt;=10,2,IF(HR_Data[[#This Row],[TotalWorkingYears]]&lt;=20,3,4)))</f>
        <v>3</v>
      </c>
    </row>
    <row r="239" spans="1:46" x14ac:dyDescent="0.25">
      <c r="A239">
        <v>52</v>
      </c>
      <c r="B239" t="s">
        <v>36</v>
      </c>
      <c r="C239" t="s">
        <v>48</v>
      </c>
      <c r="D239" t="s">
        <v>31</v>
      </c>
      <c r="E239">
        <v>2</v>
      </c>
      <c r="F239">
        <v>4</v>
      </c>
      <c r="G239" t="s">
        <v>32</v>
      </c>
      <c r="H239">
        <v>329</v>
      </c>
      <c r="I239">
        <v>1</v>
      </c>
      <c r="J239" t="s">
        <v>39</v>
      </c>
      <c r="K239">
        <v>2</v>
      </c>
      <c r="L239">
        <v>5</v>
      </c>
      <c r="M239" t="s">
        <v>49</v>
      </c>
      <c r="N239">
        <v>3</v>
      </c>
      <c r="O239" t="s">
        <v>35</v>
      </c>
      <c r="P239">
        <v>19068</v>
      </c>
      <c r="Q239">
        <v>1</v>
      </c>
      <c r="R239" t="s">
        <v>29</v>
      </c>
      <c r="S239">
        <v>18</v>
      </c>
      <c r="T239">
        <v>3</v>
      </c>
      <c r="U239">
        <v>4</v>
      </c>
      <c r="V239">
        <v>0</v>
      </c>
      <c r="W239">
        <v>33</v>
      </c>
      <c r="X239">
        <v>2</v>
      </c>
      <c r="Y239">
        <v>4</v>
      </c>
      <c r="Z239">
        <v>33</v>
      </c>
      <c r="AA239">
        <v>7</v>
      </c>
      <c r="AB239">
        <v>15</v>
      </c>
      <c r="AC239">
        <v>12</v>
      </c>
      <c r="AD239">
        <f>IF(HR_Data[[#This Row],[Attrition]]="Yes",1,0)</f>
        <v>0</v>
      </c>
      <c r="AE239" t="str">
        <f>IF(HR_Data[[#This Row],[Age]]&lt;=25,"18-25",IF(HR_Data[[#This Row],[Age]]&lt;=35,"26-35",IF(HR_Data[[#This Row],[Age]]&lt;=45,"36-45",IF(HR_Data[[#This Row],[Age]]&lt;=55,"46-55","55+"))))</f>
        <v>46-55</v>
      </c>
      <c r="AF239">
        <f>IF(HR_Data[[#This Row],[Age]]&lt;=25,1,IF(HR_Data[[#This Row],[Age]]&lt;=35,2,IF(HR_Data[[#This Row],[Age]]&lt;=45,3,IF(HR_Data[[#This Row],[Age]]&lt;=55,4,5))))</f>
        <v>4</v>
      </c>
      <c r="AG239" s="1" t="str">
        <f>IF(HR_Data[[#This Row],[MonthlyIncome]]&lt;3000,"&lt;3K",IF(HR_Data[[#This Row],[MonthlyIncome]]&lt;6000,"3K-6K",IF(HR_Data[[#This Row],[MonthlyIncome]]&lt;10000,"6K-10K","10K+")))</f>
        <v>10K+</v>
      </c>
      <c r="AH239" s="1">
        <f>IF(HR_Data[[#This Row],[MonthlyIncome]]&lt;3000,1,IF(HR_Data[[#This Row],[MonthlyIncome]]&lt;6000,2,IF(HR_Data[[#This Row],[MonthlyIncome]]&lt;10000,3,4)))</f>
        <v>4</v>
      </c>
      <c r="AI239" s="1" t="str">
        <f>IF(HR_Data[[#This Row],[YearsAtCompany]]&lt;=2,"0-2 Yrs",IF(HR_Data[[#This Row],[YearsAtCompany]]&lt;=5,"3-5 Yrs",IF(HR_Data[[#This Row],[YearsAtCompany]]&lt;=10,"6-10 Yrs","10+ Yrs")))</f>
        <v>10+ Yrs</v>
      </c>
      <c r="AJ239" s="1">
        <f>IF(HR_Data[[#This Row],[YearsAtCompany]]&lt;=2,1,IF(HR_Data[[#This Row],[YearsAtCompany]]&lt;=5,2,IF(HR_Data[[#This Row],[YearsAtCompany]]&lt;=10,3,4)))</f>
        <v>4</v>
      </c>
      <c r="AK239" s="1" t="str">
        <f>CHOOSE(HR_Data[[#This Row],[Education]],"Below College","College","Bachelor","Master","Doctor")</f>
        <v>Master</v>
      </c>
      <c r="AL239" s="1" t="str">
        <f>CHOOSE(HR_Data[[#This Row],[JobSatisfaction]],"Low","Medium","High","Very High")</f>
        <v>High</v>
      </c>
      <c r="AM239" s="1" t="str">
        <f>CHOOSE(HR_Data[[#This Row],[EnvironmentSatisfaction]],"Low","Medium","High","Very High")</f>
        <v>Low</v>
      </c>
      <c r="AN239" s="1" t="str">
        <f>CHOOSE(HR_Data[[#This Row],[WorkLifeBalance]],"Bad","Good","Better","Best")</f>
        <v>Best</v>
      </c>
      <c r="AO239" s="1" t="str">
        <f>IF(HR_Data[[#This Row],[PercentSalaryHike]]&lt;=13,"11-13%",IF(HR_Data[[#This Row],[PercentSalaryHike]]&lt;=16,"14-16%",IF(HR_Data[[#This Row],[PercentSalaryHike]]&lt;=19,"17-19%","20-25%")))</f>
        <v>17-19%</v>
      </c>
      <c r="AP239" s="1">
        <f>IF(HR_Data[[#This Row],[PercentSalaryHike]]&lt;=13,1,IF(HR_Data[[#This Row],[PercentSalaryHike]]&lt;=16,2,IF(HR_Data[[#This Row],[PercentSalaryHike]]&lt;=19,3,4)))</f>
        <v>3</v>
      </c>
      <c r="AQ239" s="1" t="str">
        <f>IF(HR_Data[[#This Row],[DistanceFromHome]]&lt;=5,"1 to 5",IF(HR_Data[[#This Row],[DistanceFromHome]]&lt;=10,"6 to 10",IF(HR_Data[[#This Row],[DistanceFromHome]]&lt;=20,"11 to 20","21 to 29")))</f>
        <v>1 to 5</v>
      </c>
      <c r="AR239" s="1">
        <f>IF(HR_Data[[#This Row],[DistanceFromHome]]&lt;=5,1,IF(HR_Data[[#This Row],[DistanceFromHome]]&lt;=10,2,IF(HR_Data[[#This Row],[DistanceFromHome]]&lt;=20,3,4)))</f>
        <v>1</v>
      </c>
      <c r="AS239" s="1" t="str">
        <f>IF(HR_Data[[#This Row],[TotalWorkingYears]]&lt;=5,"0-5 Yrs",IF(HR_Data[[#This Row],[TotalWorkingYears]]&lt;=10,"6-10 Yrs",IF(HR_Data[[#This Row],[TotalWorkingYears]]&lt;=20,"11-20 Yrs","20+ Yrs")))</f>
        <v>20+ Yrs</v>
      </c>
      <c r="AT239" s="1">
        <f>IF(HR_Data[[#This Row],[TotalWorkingYears]]&lt;=5,1,IF(HR_Data[[#This Row],[TotalWorkingYears]]&lt;=10,2,IF(HR_Data[[#This Row],[TotalWorkingYears]]&lt;=20,3,4)))</f>
        <v>4</v>
      </c>
    </row>
    <row r="240" spans="1:46" x14ac:dyDescent="0.25">
      <c r="A240">
        <v>32</v>
      </c>
      <c r="B240" t="s">
        <v>36</v>
      </c>
      <c r="C240" t="s">
        <v>30</v>
      </c>
      <c r="D240" t="s">
        <v>31</v>
      </c>
      <c r="E240">
        <v>4</v>
      </c>
      <c r="F240">
        <v>2</v>
      </c>
      <c r="G240" t="s">
        <v>32</v>
      </c>
      <c r="H240">
        <v>330</v>
      </c>
      <c r="I240">
        <v>3</v>
      </c>
      <c r="J240" t="s">
        <v>33</v>
      </c>
      <c r="K240">
        <v>3</v>
      </c>
      <c r="L240">
        <v>1</v>
      </c>
      <c r="M240" t="s">
        <v>50</v>
      </c>
      <c r="N240">
        <v>2</v>
      </c>
      <c r="O240" t="s">
        <v>41</v>
      </c>
      <c r="P240">
        <v>3931</v>
      </c>
      <c r="Q240">
        <v>2</v>
      </c>
      <c r="R240" t="s">
        <v>36</v>
      </c>
      <c r="S240">
        <v>11</v>
      </c>
      <c r="T240">
        <v>3</v>
      </c>
      <c r="U240">
        <v>1</v>
      </c>
      <c r="V240">
        <v>1</v>
      </c>
      <c r="W240">
        <v>6</v>
      </c>
      <c r="X240">
        <v>5</v>
      </c>
      <c r="Y240">
        <v>3</v>
      </c>
      <c r="Z240">
        <v>4</v>
      </c>
      <c r="AA240">
        <v>3</v>
      </c>
      <c r="AB240">
        <v>1</v>
      </c>
      <c r="AC240">
        <v>2</v>
      </c>
      <c r="AD240">
        <f>IF(HR_Data[[#This Row],[Attrition]]="Yes",1,0)</f>
        <v>0</v>
      </c>
      <c r="AE240" t="str">
        <f>IF(HR_Data[[#This Row],[Age]]&lt;=25,"18-25",IF(HR_Data[[#This Row],[Age]]&lt;=35,"26-35",IF(HR_Data[[#This Row],[Age]]&lt;=45,"36-45",IF(HR_Data[[#This Row],[Age]]&lt;=55,"46-55","55+"))))</f>
        <v>26-35</v>
      </c>
      <c r="AF240">
        <f>IF(HR_Data[[#This Row],[Age]]&lt;=25,1,IF(HR_Data[[#This Row],[Age]]&lt;=35,2,IF(HR_Data[[#This Row],[Age]]&lt;=45,3,IF(HR_Data[[#This Row],[Age]]&lt;=55,4,5))))</f>
        <v>2</v>
      </c>
      <c r="AG240" s="1" t="str">
        <f>IF(HR_Data[[#This Row],[MonthlyIncome]]&lt;3000,"&lt;3K",IF(HR_Data[[#This Row],[MonthlyIncome]]&lt;6000,"3K-6K",IF(HR_Data[[#This Row],[MonthlyIncome]]&lt;10000,"6K-10K","10K+")))</f>
        <v>3K-6K</v>
      </c>
      <c r="AH240" s="1">
        <f>IF(HR_Data[[#This Row],[MonthlyIncome]]&lt;3000,1,IF(HR_Data[[#This Row],[MonthlyIncome]]&lt;6000,2,IF(HR_Data[[#This Row],[MonthlyIncome]]&lt;10000,3,4)))</f>
        <v>2</v>
      </c>
      <c r="AI240" s="1" t="str">
        <f>IF(HR_Data[[#This Row],[YearsAtCompany]]&lt;=2,"0-2 Yrs",IF(HR_Data[[#This Row],[YearsAtCompany]]&lt;=5,"3-5 Yrs",IF(HR_Data[[#This Row],[YearsAtCompany]]&lt;=10,"6-10 Yrs","10+ Yrs")))</f>
        <v>3-5 Yrs</v>
      </c>
      <c r="AJ240" s="1">
        <f>IF(HR_Data[[#This Row],[YearsAtCompany]]&lt;=2,1,IF(HR_Data[[#This Row],[YearsAtCompany]]&lt;=5,2,IF(HR_Data[[#This Row],[YearsAtCompany]]&lt;=10,3,4)))</f>
        <v>2</v>
      </c>
      <c r="AK240" s="1" t="str">
        <f>CHOOSE(HR_Data[[#This Row],[Education]],"Below College","College","Bachelor","Master","Doctor")</f>
        <v>College</v>
      </c>
      <c r="AL240" s="1" t="str">
        <f>CHOOSE(HR_Data[[#This Row],[JobSatisfaction]],"Low","Medium","High","Very High")</f>
        <v>Medium</v>
      </c>
      <c r="AM240" s="1" t="str">
        <f>CHOOSE(HR_Data[[#This Row],[EnvironmentSatisfaction]],"Low","Medium","High","Very High")</f>
        <v>High</v>
      </c>
      <c r="AN240" s="1" t="str">
        <f>CHOOSE(HR_Data[[#This Row],[WorkLifeBalance]],"Bad","Good","Better","Best")</f>
        <v>Better</v>
      </c>
      <c r="AO240" s="1" t="str">
        <f>IF(HR_Data[[#This Row],[PercentSalaryHike]]&lt;=13,"11-13%",IF(HR_Data[[#This Row],[PercentSalaryHike]]&lt;=16,"14-16%",IF(HR_Data[[#This Row],[PercentSalaryHike]]&lt;=19,"17-19%","20-25%")))</f>
        <v>11-13%</v>
      </c>
      <c r="AP240" s="1">
        <f>IF(HR_Data[[#This Row],[PercentSalaryHike]]&lt;=13,1,IF(HR_Data[[#This Row],[PercentSalaryHike]]&lt;=16,2,IF(HR_Data[[#This Row],[PercentSalaryHike]]&lt;=19,3,4)))</f>
        <v>1</v>
      </c>
      <c r="AQ240" s="1" t="str">
        <f>IF(HR_Data[[#This Row],[DistanceFromHome]]&lt;=5,"1 to 5",IF(HR_Data[[#This Row],[DistanceFromHome]]&lt;=10,"6 to 10",IF(HR_Data[[#This Row],[DistanceFromHome]]&lt;=20,"11 to 20","21 to 29")))</f>
        <v>1 to 5</v>
      </c>
      <c r="AR240" s="1">
        <f>IF(HR_Data[[#This Row],[DistanceFromHome]]&lt;=5,1,IF(HR_Data[[#This Row],[DistanceFromHome]]&lt;=10,2,IF(HR_Data[[#This Row],[DistanceFromHome]]&lt;=20,3,4)))</f>
        <v>1</v>
      </c>
      <c r="AS240" s="1" t="str">
        <f>IF(HR_Data[[#This Row],[TotalWorkingYears]]&lt;=5,"0-5 Yrs",IF(HR_Data[[#This Row],[TotalWorkingYears]]&lt;=10,"6-10 Yrs",IF(HR_Data[[#This Row],[TotalWorkingYears]]&lt;=20,"11-20 Yrs","20+ Yrs")))</f>
        <v>6-10 Yrs</v>
      </c>
      <c r="AT240" s="1">
        <f>IF(HR_Data[[#This Row],[TotalWorkingYears]]&lt;=5,1,IF(HR_Data[[#This Row],[TotalWorkingYears]]&lt;=10,2,IF(HR_Data[[#This Row],[TotalWorkingYears]]&lt;=20,3,4)))</f>
        <v>2</v>
      </c>
    </row>
    <row r="241" spans="1:46" x14ac:dyDescent="0.25">
      <c r="A241">
        <v>32</v>
      </c>
      <c r="B241" t="s">
        <v>29</v>
      </c>
      <c r="C241" t="s">
        <v>30</v>
      </c>
      <c r="D241" t="s">
        <v>38</v>
      </c>
      <c r="E241">
        <v>1</v>
      </c>
      <c r="F241">
        <v>3</v>
      </c>
      <c r="G241" t="s">
        <v>32</v>
      </c>
      <c r="H241">
        <v>331</v>
      </c>
      <c r="I241">
        <v>4</v>
      </c>
      <c r="J241" t="s">
        <v>39</v>
      </c>
      <c r="K241">
        <v>2</v>
      </c>
      <c r="L241">
        <v>1</v>
      </c>
      <c r="M241" t="s">
        <v>43</v>
      </c>
      <c r="N241">
        <v>3</v>
      </c>
      <c r="O241" t="s">
        <v>35</v>
      </c>
      <c r="P241">
        <v>3730</v>
      </c>
      <c r="Q241">
        <v>0</v>
      </c>
      <c r="R241" t="s">
        <v>29</v>
      </c>
      <c r="S241">
        <v>14</v>
      </c>
      <c r="T241">
        <v>3</v>
      </c>
      <c r="U241">
        <v>4</v>
      </c>
      <c r="V241">
        <v>0</v>
      </c>
      <c r="W241">
        <v>4</v>
      </c>
      <c r="X241">
        <v>2</v>
      </c>
      <c r="Y241">
        <v>1</v>
      </c>
      <c r="Z241">
        <v>3</v>
      </c>
      <c r="AA241">
        <v>2</v>
      </c>
      <c r="AB241">
        <v>1</v>
      </c>
      <c r="AC241">
        <v>2</v>
      </c>
      <c r="AD241">
        <f>IF(HR_Data[[#This Row],[Attrition]]="Yes",1,0)</f>
        <v>1</v>
      </c>
      <c r="AE241" t="str">
        <f>IF(HR_Data[[#This Row],[Age]]&lt;=25,"18-25",IF(HR_Data[[#This Row],[Age]]&lt;=35,"26-35",IF(HR_Data[[#This Row],[Age]]&lt;=45,"36-45",IF(HR_Data[[#This Row],[Age]]&lt;=55,"46-55","55+"))))</f>
        <v>26-35</v>
      </c>
      <c r="AF241">
        <f>IF(HR_Data[[#This Row],[Age]]&lt;=25,1,IF(HR_Data[[#This Row],[Age]]&lt;=35,2,IF(HR_Data[[#This Row],[Age]]&lt;=45,3,IF(HR_Data[[#This Row],[Age]]&lt;=55,4,5))))</f>
        <v>2</v>
      </c>
      <c r="AG241" s="1" t="str">
        <f>IF(HR_Data[[#This Row],[MonthlyIncome]]&lt;3000,"&lt;3K",IF(HR_Data[[#This Row],[MonthlyIncome]]&lt;6000,"3K-6K",IF(HR_Data[[#This Row],[MonthlyIncome]]&lt;10000,"6K-10K","10K+")))</f>
        <v>3K-6K</v>
      </c>
      <c r="AH241" s="1">
        <f>IF(HR_Data[[#This Row],[MonthlyIncome]]&lt;3000,1,IF(HR_Data[[#This Row],[MonthlyIncome]]&lt;6000,2,IF(HR_Data[[#This Row],[MonthlyIncome]]&lt;10000,3,4)))</f>
        <v>2</v>
      </c>
      <c r="AI241" s="1" t="str">
        <f>IF(HR_Data[[#This Row],[YearsAtCompany]]&lt;=2,"0-2 Yrs",IF(HR_Data[[#This Row],[YearsAtCompany]]&lt;=5,"3-5 Yrs",IF(HR_Data[[#This Row],[YearsAtCompany]]&lt;=10,"6-10 Yrs","10+ Yrs")))</f>
        <v>3-5 Yrs</v>
      </c>
      <c r="AJ241" s="1">
        <f>IF(HR_Data[[#This Row],[YearsAtCompany]]&lt;=2,1,IF(HR_Data[[#This Row],[YearsAtCompany]]&lt;=5,2,IF(HR_Data[[#This Row],[YearsAtCompany]]&lt;=10,3,4)))</f>
        <v>2</v>
      </c>
      <c r="AK241" s="1" t="str">
        <f>CHOOSE(HR_Data[[#This Row],[Education]],"Below College","College","Bachelor","Master","Doctor")</f>
        <v>Bachelor</v>
      </c>
      <c r="AL241" s="1" t="str">
        <f>CHOOSE(HR_Data[[#This Row],[JobSatisfaction]],"Low","Medium","High","Very High")</f>
        <v>High</v>
      </c>
      <c r="AM241" s="1" t="str">
        <f>CHOOSE(HR_Data[[#This Row],[EnvironmentSatisfaction]],"Low","Medium","High","Very High")</f>
        <v>Very High</v>
      </c>
      <c r="AN241" s="1" t="str">
        <f>CHOOSE(HR_Data[[#This Row],[WorkLifeBalance]],"Bad","Good","Better","Best")</f>
        <v>Bad</v>
      </c>
      <c r="AO241" s="1" t="str">
        <f>IF(HR_Data[[#This Row],[PercentSalaryHike]]&lt;=13,"11-13%",IF(HR_Data[[#This Row],[PercentSalaryHike]]&lt;=16,"14-16%",IF(HR_Data[[#This Row],[PercentSalaryHike]]&lt;=19,"17-19%","20-25%")))</f>
        <v>14-16%</v>
      </c>
      <c r="AP241" s="1">
        <f>IF(HR_Data[[#This Row],[PercentSalaryHike]]&lt;=13,1,IF(HR_Data[[#This Row],[PercentSalaryHike]]&lt;=16,2,IF(HR_Data[[#This Row],[PercentSalaryHike]]&lt;=19,3,4)))</f>
        <v>2</v>
      </c>
      <c r="AQ241" s="1" t="str">
        <f>IF(HR_Data[[#This Row],[DistanceFromHome]]&lt;=5,"1 to 5",IF(HR_Data[[#This Row],[DistanceFromHome]]&lt;=10,"6 to 10",IF(HR_Data[[#This Row],[DistanceFromHome]]&lt;=20,"11 to 20","21 to 29")))</f>
        <v>1 to 5</v>
      </c>
      <c r="AR241" s="1">
        <f>IF(HR_Data[[#This Row],[DistanceFromHome]]&lt;=5,1,IF(HR_Data[[#This Row],[DistanceFromHome]]&lt;=10,2,IF(HR_Data[[#This Row],[DistanceFromHome]]&lt;=20,3,4)))</f>
        <v>1</v>
      </c>
      <c r="AS241" s="1" t="str">
        <f>IF(HR_Data[[#This Row],[TotalWorkingYears]]&lt;=5,"0-5 Yrs",IF(HR_Data[[#This Row],[TotalWorkingYears]]&lt;=10,"6-10 Yrs",IF(HR_Data[[#This Row],[TotalWorkingYears]]&lt;=20,"11-20 Yrs","20+ Yrs")))</f>
        <v>0-5 Yrs</v>
      </c>
      <c r="AT241" s="1">
        <f>IF(HR_Data[[#This Row],[TotalWorkingYears]]&lt;=5,1,IF(HR_Data[[#This Row],[TotalWorkingYears]]&lt;=10,2,IF(HR_Data[[#This Row],[TotalWorkingYears]]&lt;=20,3,4)))</f>
        <v>1</v>
      </c>
    </row>
    <row r="242" spans="1:46" x14ac:dyDescent="0.25">
      <c r="A242">
        <v>39</v>
      </c>
      <c r="B242" t="s">
        <v>36</v>
      </c>
      <c r="C242" t="s">
        <v>30</v>
      </c>
      <c r="D242" t="s">
        <v>38</v>
      </c>
      <c r="E242">
        <v>1</v>
      </c>
      <c r="F242">
        <v>4</v>
      </c>
      <c r="G242" t="s">
        <v>44</v>
      </c>
      <c r="H242">
        <v>332</v>
      </c>
      <c r="I242">
        <v>3</v>
      </c>
      <c r="J242" t="s">
        <v>33</v>
      </c>
      <c r="K242">
        <v>3</v>
      </c>
      <c r="L242">
        <v>1</v>
      </c>
      <c r="M242" t="s">
        <v>43</v>
      </c>
      <c r="N242">
        <v>3</v>
      </c>
      <c r="O242" t="s">
        <v>45</v>
      </c>
      <c r="P242">
        <v>2232</v>
      </c>
      <c r="Q242">
        <v>7</v>
      </c>
      <c r="R242" t="s">
        <v>36</v>
      </c>
      <c r="S242">
        <v>14</v>
      </c>
      <c r="T242">
        <v>3</v>
      </c>
      <c r="U242">
        <v>3</v>
      </c>
      <c r="V242">
        <v>3</v>
      </c>
      <c r="W242">
        <v>7</v>
      </c>
      <c r="X242">
        <v>1</v>
      </c>
      <c r="Y242">
        <v>3</v>
      </c>
      <c r="Z242">
        <v>3</v>
      </c>
      <c r="AA242">
        <v>2</v>
      </c>
      <c r="AB242">
        <v>1</v>
      </c>
      <c r="AC242">
        <v>2</v>
      </c>
      <c r="AD242">
        <f>IF(HR_Data[[#This Row],[Attrition]]="Yes",1,0)</f>
        <v>0</v>
      </c>
      <c r="AE242" t="str">
        <f>IF(HR_Data[[#This Row],[Age]]&lt;=25,"18-25",IF(HR_Data[[#This Row],[Age]]&lt;=35,"26-35",IF(HR_Data[[#This Row],[Age]]&lt;=45,"36-45",IF(HR_Data[[#This Row],[Age]]&lt;=55,"46-55","55+"))))</f>
        <v>36-45</v>
      </c>
      <c r="AF242">
        <f>IF(HR_Data[[#This Row],[Age]]&lt;=25,1,IF(HR_Data[[#This Row],[Age]]&lt;=35,2,IF(HR_Data[[#This Row],[Age]]&lt;=45,3,IF(HR_Data[[#This Row],[Age]]&lt;=55,4,5))))</f>
        <v>3</v>
      </c>
      <c r="AG242" s="1" t="str">
        <f>IF(HR_Data[[#This Row],[MonthlyIncome]]&lt;3000,"&lt;3K",IF(HR_Data[[#This Row],[MonthlyIncome]]&lt;6000,"3K-6K",IF(HR_Data[[#This Row],[MonthlyIncome]]&lt;10000,"6K-10K","10K+")))</f>
        <v>&lt;3K</v>
      </c>
      <c r="AH242" s="1">
        <f>IF(HR_Data[[#This Row],[MonthlyIncome]]&lt;3000,1,IF(HR_Data[[#This Row],[MonthlyIncome]]&lt;6000,2,IF(HR_Data[[#This Row],[MonthlyIncome]]&lt;10000,3,4)))</f>
        <v>1</v>
      </c>
      <c r="AI242" s="1" t="str">
        <f>IF(HR_Data[[#This Row],[YearsAtCompany]]&lt;=2,"0-2 Yrs",IF(HR_Data[[#This Row],[YearsAtCompany]]&lt;=5,"3-5 Yrs",IF(HR_Data[[#This Row],[YearsAtCompany]]&lt;=10,"6-10 Yrs","10+ Yrs")))</f>
        <v>3-5 Yrs</v>
      </c>
      <c r="AJ242" s="1">
        <f>IF(HR_Data[[#This Row],[YearsAtCompany]]&lt;=2,1,IF(HR_Data[[#This Row],[YearsAtCompany]]&lt;=5,2,IF(HR_Data[[#This Row],[YearsAtCompany]]&lt;=10,3,4)))</f>
        <v>2</v>
      </c>
      <c r="AK242" s="1" t="str">
        <f>CHOOSE(HR_Data[[#This Row],[Education]],"Below College","College","Bachelor","Master","Doctor")</f>
        <v>Master</v>
      </c>
      <c r="AL242" s="1" t="str">
        <f>CHOOSE(HR_Data[[#This Row],[JobSatisfaction]],"Low","Medium","High","Very High")</f>
        <v>High</v>
      </c>
      <c r="AM242" s="1" t="str">
        <f>CHOOSE(HR_Data[[#This Row],[EnvironmentSatisfaction]],"Low","Medium","High","Very High")</f>
        <v>High</v>
      </c>
      <c r="AN242" s="1" t="str">
        <f>CHOOSE(HR_Data[[#This Row],[WorkLifeBalance]],"Bad","Good","Better","Best")</f>
        <v>Better</v>
      </c>
      <c r="AO242" s="1" t="str">
        <f>IF(HR_Data[[#This Row],[PercentSalaryHike]]&lt;=13,"11-13%",IF(HR_Data[[#This Row],[PercentSalaryHike]]&lt;=16,"14-16%",IF(HR_Data[[#This Row],[PercentSalaryHike]]&lt;=19,"17-19%","20-25%")))</f>
        <v>14-16%</v>
      </c>
      <c r="AP242" s="1">
        <f>IF(HR_Data[[#This Row],[PercentSalaryHike]]&lt;=13,1,IF(HR_Data[[#This Row],[PercentSalaryHike]]&lt;=16,2,IF(HR_Data[[#This Row],[PercentSalaryHike]]&lt;=19,3,4)))</f>
        <v>2</v>
      </c>
      <c r="AQ242" s="1" t="str">
        <f>IF(HR_Data[[#This Row],[DistanceFromHome]]&lt;=5,"1 to 5",IF(HR_Data[[#This Row],[DistanceFromHome]]&lt;=10,"6 to 10",IF(HR_Data[[#This Row],[DistanceFromHome]]&lt;=20,"11 to 20","21 to 29")))</f>
        <v>1 to 5</v>
      </c>
      <c r="AR242" s="1">
        <f>IF(HR_Data[[#This Row],[DistanceFromHome]]&lt;=5,1,IF(HR_Data[[#This Row],[DistanceFromHome]]&lt;=10,2,IF(HR_Data[[#This Row],[DistanceFromHome]]&lt;=20,3,4)))</f>
        <v>1</v>
      </c>
      <c r="AS242" s="1" t="str">
        <f>IF(HR_Data[[#This Row],[TotalWorkingYears]]&lt;=5,"0-5 Yrs",IF(HR_Data[[#This Row],[TotalWorkingYears]]&lt;=10,"6-10 Yrs",IF(HR_Data[[#This Row],[TotalWorkingYears]]&lt;=20,"11-20 Yrs","20+ Yrs")))</f>
        <v>6-10 Yrs</v>
      </c>
      <c r="AT242" s="1">
        <f>IF(HR_Data[[#This Row],[TotalWorkingYears]]&lt;=5,1,IF(HR_Data[[#This Row],[TotalWorkingYears]]&lt;=10,2,IF(HR_Data[[#This Row],[TotalWorkingYears]]&lt;=20,3,4)))</f>
        <v>2</v>
      </c>
    </row>
    <row r="243" spans="1:46" x14ac:dyDescent="0.25">
      <c r="A243">
        <v>32</v>
      </c>
      <c r="B243" t="s">
        <v>36</v>
      </c>
      <c r="C243" t="s">
        <v>48</v>
      </c>
      <c r="D243" t="s">
        <v>31</v>
      </c>
      <c r="E243">
        <v>26</v>
      </c>
      <c r="F243">
        <v>4</v>
      </c>
      <c r="G243" t="s">
        <v>52</v>
      </c>
      <c r="H243">
        <v>333</v>
      </c>
      <c r="I243">
        <v>3</v>
      </c>
      <c r="J243" t="s">
        <v>39</v>
      </c>
      <c r="K243">
        <v>3</v>
      </c>
      <c r="L243">
        <v>2</v>
      </c>
      <c r="M243" t="s">
        <v>34</v>
      </c>
      <c r="N243">
        <v>4</v>
      </c>
      <c r="O243" t="s">
        <v>41</v>
      </c>
      <c r="P243">
        <v>4465</v>
      </c>
      <c r="Q243">
        <v>0</v>
      </c>
      <c r="R243" t="s">
        <v>36</v>
      </c>
      <c r="S243">
        <v>18</v>
      </c>
      <c r="T243">
        <v>3</v>
      </c>
      <c r="U243">
        <v>1</v>
      </c>
      <c r="V243">
        <v>0</v>
      </c>
      <c r="W243">
        <v>4</v>
      </c>
      <c r="X243">
        <v>2</v>
      </c>
      <c r="Y243">
        <v>3</v>
      </c>
      <c r="Z243">
        <v>3</v>
      </c>
      <c r="AA243">
        <v>2</v>
      </c>
      <c r="AB243">
        <v>2</v>
      </c>
      <c r="AC243">
        <v>2</v>
      </c>
      <c r="AD243">
        <f>IF(HR_Data[[#This Row],[Attrition]]="Yes",1,0)</f>
        <v>0</v>
      </c>
      <c r="AE243" t="str">
        <f>IF(HR_Data[[#This Row],[Age]]&lt;=25,"18-25",IF(HR_Data[[#This Row],[Age]]&lt;=35,"26-35",IF(HR_Data[[#This Row],[Age]]&lt;=45,"36-45",IF(HR_Data[[#This Row],[Age]]&lt;=55,"46-55","55+"))))</f>
        <v>26-35</v>
      </c>
      <c r="AF243">
        <f>IF(HR_Data[[#This Row],[Age]]&lt;=25,1,IF(HR_Data[[#This Row],[Age]]&lt;=35,2,IF(HR_Data[[#This Row],[Age]]&lt;=45,3,IF(HR_Data[[#This Row],[Age]]&lt;=55,4,5))))</f>
        <v>2</v>
      </c>
      <c r="AG243" s="1" t="str">
        <f>IF(HR_Data[[#This Row],[MonthlyIncome]]&lt;3000,"&lt;3K",IF(HR_Data[[#This Row],[MonthlyIncome]]&lt;6000,"3K-6K",IF(HR_Data[[#This Row],[MonthlyIncome]]&lt;10000,"6K-10K","10K+")))</f>
        <v>3K-6K</v>
      </c>
      <c r="AH243" s="1">
        <f>IF(HR_Data[[#This Row],[MonthlyIncome]]&lt;3000,1,IF(HR_Data[[#This Row],[MonthlyIncome]]&lt;6000,2,IF(HR_Data[[#This Row],[MonthlyIncome]]&lt;10000,3,4)))</f>
        <v>2</v>
      </c>
      <c r="AI243" s="1" t="str">
        <f>IF(HR_Data[[#This Row],[YearsAtCompany]]&lt;=2,"0-2 Yrs",IF(HR_Data[[#This Row],[YearsAtCompany]]&lt;=5,"3-5 Yrs",IF(HR_Data[[#This Row],[YearsAtCompany]]&lt;=10,"6-10 Yrs","10+ Yrs")))</f>
        <v>3-5 Yrs</v>
      </c>
      <c r="AJ243" s="1">
        <f>IF(HR_Data[[#This Row],[YearsAtCompany]]&lt;=2,1,IF(HR_Data[[#This Row],[YearsAtCompany]]&lt;=5,2,IF(HR_Data[[#This Row],[YearsAtCompany]]&lt;=10,3,4)))</f>
        <v>2</v>
      </c>
      <c r="AK243" s="1" t="str">
        <f>CHOOSE(HR_Data[[#This Row],[Education]],"Below College","College","Bachelor","Master","Doctor")</f>
        <v>Master</v>
      </c>
      <c r="AL243" s="1" t="str">
        <f>CHOOSE(HR_Data[[#This Row],[JobSatisfaction]],"Low","Medium","High","Very High")</f>
        <v>Very High</v>
      </c>
      <c r="AM243" s="1" t="str">
        <f>CHOOSE(HR_Data[[#This Row],[EnvironmentSatisfaction]],"Low","Medium","High","Very High")</f>
        <v>High</v>
      </c>
      <c r="AN243" s="1" t="str">
        <f>CHOOSE(HR_Data[[#This Row],[WorkLifeBalance]],"Bad","Good","Better","Best")</f>
        <v>Better</v>
      </c>
      <c r="AO243" s="1" t="str">
        <f>IF(HR_Data[[#This Row],[PercentSalaryHike]]&lt;=13,"11-13%",IF(HR_Data[[#This Row],[PercentSalaryHike]]&lt;=16,"14-16%",IF(HR_Data[[#This Row],[PercentSalaryHike]]&lt;=19,"17-19%","20-25%")))</f>
        <v>17-19%</v>
      </c>
      <c r="AP243" s="1">
        <f>IF(HR_Data[[#This Row],[PercentSalaryHike]]&lt;=13,1,IF(HR_Data[[#This Row],[PercentSalaryHike]]&lt;=16,2,IF(HR_Data[[#This Row],[PercentSalaryHike]]&lt;=19,3,4)))</f>
        <v>3</v>
      </c>
      <c r="AQ243" s="1" t="str">
        <f>IF(HR_Data[[#This Row],[DistanceFromHome]]&lt;=5,"1 to 5",IF(HR_Data[[#This Row],[DistanceFromHome]]&lt;=10,"6 to 10",IF(HR_Data[[#This Row],[DistanceFromHome]]&lt;=20,"11 to 20","21 to 29")))</f>
        <v>21 to 29</v>
      </c>
      <c r="AR243" s="1">
        <f>IF(HR_Data[[#This Row],[DistanceFromHome]]&lt;=5,1,IF(HR_Data[[#This Row],[DistanceFromHome]]&lt;=10,2,IF(HR_Data[[#This Row],[DistanceFromHome]]&lt;=20,3,4)))</f>
        <v>4</v>
      </c>
      <c r="AS243" s="1" t="str">
        <f>IF(HR_Data[[#This Row],[TotalWorkingYears]]&lt;=5,"0-5 Yrs",IF(HR_Data[[#This Row],[TotalWorkingYears]]&lt;=10,"6-10 Yrs",IF(HR_Data[[#This Row],[TotalWorkingYears]]&lt;=20,"11-20 Yrs","20+ Yrs")))</f>
        <v>0-5 Yrs</v>
      </c>
      <c r="AT243" s="1">
        <f>IF(HR_Data[[#This Row],[TotalWorkingYears]]&lt;=5,1,IF(HR_Data[[#This Row],[TotalWorkingYears]]&lt;=10,2,IF(HR_Data[[#This Row],[TotalWorkingYears]]&lt;=20,3,4)))</f>
        <v>1</v>
      </c>
    </row>
    <row r="244" spans="1:46" x14ac:dyDescent="0.25">
      <c r="A244">
        <v>41</v>
      </c>
      <c r="B244" t="s">
        <v>36</v>
      </c>
      <c r="C244" t="s">
        <v>30</v>
      </c>
      <c r="D244" t="s">
        <v>38</v>
      </c>
      <c r="E244">
        <v>19</v>
      </c>
      <c r="F244">
        <v>2</v>
      </c>
      <c r="G244" t="s">
        <v>32</v>
      </c>
      <c r="H244">
        <v>334</v>
      </c>
      <c r="I244">
        <v>3</v>
      </c>
      <c r="J244" t="s">
        <v>39</v>
      </c>
      <c r="K244">
        <v>3</v>
      </c>
      <c r="L244">
        <v>2</v>
      </c>
      <c r="M244" t="s">
        <v>40</v>
      </c>
      <c r="N244">
        <v>1</v>
      </c>
      <c r="O244" t="s">
        <v>45</v>
      </c>
      <c r="P244">
        <v>3072</v>
      </c>
      <c r="Q244">
        <v>2</v>
      </c>
      <c r="R244" t="s">
        <v>36</v>
      </c>
      <c r="S244">
        <v>16</v>
      </c>
      <c r="T244">
        <v>3</v>
      </c>
      <c r="U244">
        <v>1</v>
      </c>
      <c r="V244">
        <v>2</v>
      </c>
      <c r="W244">
        <v>17</v>
      </c>
      <c r="X244">
        <v>2</v>
      </c>
      <c r="Y244">
        <v>2</v>
      </c>
      <c r="Z244">
        <v>1</v>
      </c>
      <c r="AA244">
        <v>0</v>
      </c>
      <c r="AB244">
        <v>0</v>
      </c>
      <c r="AC244">
        <v>0</v>
      </c>
      <c r="AD244">
        <f>IF(HR_Data[[#This Row],[Attrition]]="Yes",1,0)</f>
        <v>0</v>
      </c>
      <c r="AE244" t="str">
        <f>IF(HR_Data[[#This Row],[Age]]&lt;=25,"18-25",IF(HR_Data[[#This Row],[Age]]&lt;=35,"26-35",IF(HR_Data[[#This Row],[Age]]&lt;=45,"36-45",IF(HR_Data[[#This Row],[Age]]&lt;=55,"46-55","55+"))))</f>
        <v>36-45</v>
      </c>
      <c r="AF244">
        <f>IF(HR_Data[[#This Row],[Age]]&lt;=25,1,IF(HR_Data[[#This Row],[Age]]&lt;=35,2,IF(HR_Data[[#This Row],[Age]]&lt;=45,3,IF(HR_Data[[#This Row],[Age]]&lt;=55,4,5))))</f>
        <v>3</v>
      </c>
      <c r="AG244" s="1" t="str">
        <f>IF(HR_Data[[#This Row],[MonthlyIncome]]&lt;3000,"&lt;3K",IF(HR_Data[[#This Row],[MonthlyIncome]]&lt;6000,"3K-6K",IF(HR_Data[[#This Row],[MonthlyIncome]]&lt;10000,"6K-10K","10K+")))</f>
        <v>3K-6K</v>
      </c>
      <c r="AH244" s="1">
        <f>IF(HR_Data[[#This Row],[MonthlyIncome]]&lt;3000,1,IF(HR_Data[[#This Row],[MonthlyIncome]]&lt;6000,2,IF(HR_Data[[#This Row],[MonthlyIncome]]&lt;10000,3,4)))</f>
        <v>2</v>
      </c>
      <c r="AI244" s="1" t="str">
        <f>IF(HR_Data[[#This Row],[YearsAtCompany]]&lt;=2,"0-2 Yrs",IF(HR_Data[[#This Row],[YearsAtCompany]]&lt;=5,"3-5 Yrs",IF(HR_Data[[#This Row],[YearsAtCompany]]&lt;=10,"6-10 Yrs","10+ Yrs")))</f>
        <v>0-2 Yrs</v>
      </c>
      <c r="AJ244" s="1">
        <f>IF(HR_Data[[#This Row],[YearsAtCompany]]&lt;=2,1,IF(HR_Data[[#This Row],[YearsAtCompany]]&lt;=5,2,IF(HR_Data[[#This Row],[YearsAtCompany]]&lt;=10,3,4)))</f>
        <v>1</v>
      </c>
      <c r="AK244" s="1" t="str">
        <f>CHOOSE(HR_Data[[#This Row],[Education]],"Below College","College","Bachelor","Master","Doctor")</f>
        <v>College</v>
      </c>
      <c r="AL244" s="1" t="str">
        <f>CHOOSE(HR_Data[[#This Row],[JobSatisfaction]],"Low","Medium","High","Very High")</f>
        <v>Low</v>
      </c>
      <c r="AM244" s="1" t="str">
        <f>CHOOSE(HR_Data[[#This Row],[EnvironmentSatisfaction]],"Low","Medium","High","Very High")</f>
        <v>High</v>
      </c>
      <c r="AN244" s="1" t="str">
        <f>CHOOSE(HR_Data[[#This Row],[WorkLifeBalance]],"Bad","Good","Better","Best")</f>
        <v>Good</v>
      </c>
      <c r="AO244" s="1" t="str">
        <f>IF(HR_Data[[#This Row],[PercentSalaryHike]]&lt;=13,"11-13%",IF(HR_Data[[#This Row],[PercentSalaryHike]]&lt;=16,"14-16%",IF(HR_Data[[#This Row],[PercentSalaryHike]]&lt;=19,"17-19%","20-25%")))</f>
        <v>14-16%</v>
      </c>
      <c r="AP244" s="1">
        <f>IF(HR_Data[[#This Row],[PercentSalaryHike]]&lt;=13,1,IF(HR_Data[[#This Row],[PercentSalaryHike]]&lt;=16,2,IF(HR_Data[[#This Row],[PercentSalaryHike]]&lt;=19,3,4)))</f>
        <v>2</v>
      </c>
      <c r="AQ244" s="1" t="str">
        <f>IF(HR_Data[[#This Row],[DistanceFromHome]]&lt;=5,"1 to 5",IF(HR_Data[[#This Row],[DistanceFromHome]]&lt;=10,"6 to 10",IF(HR_Data[[#This Row],[DistanceFromHome]]&lt;=20,"11 to 20","21 to 29")))</f>
        <v>11 to 20</v>
      </c>
      <c r="AR244" s="1">
        <f>IF(HR_Data[[#This Row],[DistanceFromHome]]&lt;=5,1,IF(HR_Data[[#This Row],[DistanceFromHome]]&lt;=10,2,IF(HR_Data[[#This Row],[DistanceFromHome]]&lt;=20,3,4)))</f>
        <v>3</v>
      </c>
      <c r="AS244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244" s="1">
        <f>IF(HR_Data[[#This Row],[TotalWorkingYears]]&lt;=5,1,IF(HR_Data[[#This Row],[TotalWorkingYears]]&lt;=10,2,IF(HR_Data[[#This Row],[TotalWorkingYears]]&lt;=20,3,4)))</f>
        <v>3</v>
      </c>
    </row>
    <row r="245" spans="1:46" x14ac:dyDescent="0.25">
      <c r="A245">
        <v>40</v>
      </c>
      <c r="B245" t="s">
        <v>36</v>
      </c>
      <c r="C245" t="s">
        <v>30</v>
      </c>
      <c r="D245" t="s">
        <v>38</v>
      </c>
      <c r="E245">
        <v>24</v>
      </c>
      <c r="F245">
        <v>2</v>
      </c>
      <c r="G245" t="s">
        <v>53</v>
      </c>
      <c r="H245">
        <v>335</v>
      </c>
      <c r="I245">
        <v>1</v>
      </c>
      <c r="J245" t="s">
        <v>39</v>
      </c>
      <c r="K245">
        <v>3</v>
      </c>
      <c r="L245">
        <v>2</v>
      </c>
      <c r="M245" t="s">
        <v>40</v>
      </c>
      <c r="N245">
        <v>4</v>
      </c>
      <c r="O245" t="s">
        <v>45</v>
      </c>
      <c r="P245">
        <v>3319</v>
      </c>
      <c r="Q245">
        <v>1</v>
      </c>
      <c r="R245" t="s">
        <v>36</v>
      </c>
      <c r="S245">
        <v>17</v>
      </c>
      <c r="T245">
        <v>3</v>
      </c>
      <c r="U245">
        <v>1</v>
      </c>
      <c r="V245">
        <v>2</v>
      </c>
      <c r="W245">
        <v>9</v>
      </c>
      <c r="X245">
        <v>3</v>
      </c>
      <c r="Y245">
        <v>3</v>
      </c>
      <c r="Z245">
        <v>9</v>
      </c>
      <c r="AA245">
        <v>8</v>
      </c>
      <c r="AB245">
        <v>4</v>
      </c>
      <c r="AC245">
        <v>7</v>
      </c>
      <c r="AD245">
        <f>IF(HR_Data[[#This Row],[Attrition]]="Yes",1,0)</f>
        <v>0</v>
      </c>
      <c r="AE245" t="str">
        <f>IF(HR_Data[[#This Row],[Age]]&lt;=25,"18-25",IF(HR_Data[[#This Row],[Age]]&lt;=35,"26-35",IF(HR_Data[[#This Row],[Age]]&lt;=45,"36-45",IF(HR_Data[[#This Row],[Age]]&lt;=55,"46-55","55+"))))</f>
        <v>36-45</v>
      </c>
      <c r="AF245">
        <f>IF(HR_Data[[#This Row],[Age]]&lt;=25,1,IF(HR_Data[[#This Row],[Age]]&lt;=35,2,IF(HR_Data[[#This Row],[Age]]&lt;=45,3,IF(HR_Data[[#This Row],[Age]]&lt;=55,4,5))))</f>
        <v>3</v>
      </c>
      <c r="AG245" s="1" t="str">
        <f>IF(HR_Data[[#This Row],[MonthlyIncome]]&lt;3000,"&lt;3K",IF(HR_Data[[#This Row],[MonthlyIncome]]&lt;6000,"3K-6K",IF(HR_Data[[#This Row],[MonthlyIncome]]&lt;10000,"6K-10K","10K+")))</f>
        <v>3K-6K</v>
      </c>
      <c r="AH245" s="1">
        <f>IF(HR_Data[[#This Row],[MonthlyIncome]]&lt;3000,1,IF(HR_Data[[#This Row],[MonthlyIncome]]&lt;6000,2,IF(HR_Data[[#This Row],[MonthlyIncome]]&lt;10000,3,4)))</f>
        <v>2</v>
      </c>
      <c r="AI245" s="1" t="str">
        <f>IF(HR_Data[[#This Row],[YearsAtCompany]]&lt;=2,"0-2 Yrs",IF(HR_Data[[#This Row],[YearsAtCompany]]&lt;=5,"3-5 Yrs",IF(HR_Data[[#This Row],[YearsAtCompany]]&lt;=10,"6-10 Yrs","10+ Yrs")))</f>
        <v>6-10 Yrs</v>
      </c>
      <c r="AJ245" s="1">
        <f>IF(HR_Data[[#This Row],[YearsAtCompany]]&lt;=2,1,IF(HR_Data[[#This Row],[YearsAtCompany]]&lt;=5,2,IF(HR_Data[[#This Row],[YearsAtCompany]]&lt;=10,3,4)))</f>
        <v>3</v>
      </c>
      <c r="AK245" s="1" t="str">
        <f>CHOOSE(HR_Data[[#This Row],[Education]],"Below College","College","Bachelor","Master","Doctor")</f>
        <v>College</v>
      </c>
      <c r="AL245" s="1" t="str">
        <f>CHOOSE(HR_Data[[#This Row],[JobSatisfaction]],"Low","Medium","High","Very High")</f>
        <v>Very High</v>
      </c>
      <c r="AM245" s="1" t="str">
        <f>CHOOSE(HR_Data[[#This Row],[EnvironmentSatisfaction]],"Low","Medium","High","Very High")</f>
        <v>Low</v>
      </c>
      <c r="AN245" s="1" t="str">
        <f>CHOOSE(HR_Data[[#This Row],[WorkLifeBalance]],"Bad","Good","Better","Best")</f>
        <v>Better</v>
      </c>
      <c r="AO245" s="1" t="str">
        <f>IF(HR_Data[[#This Row],[PercentSalaryHike]]&lt;=13,"11-13%",IF(HR_Data[[#This Row],[PercentSalaryHike]]&lt;=16,"14-16%",IF(HR_Data[[#This Row],[PercentSalaryHike]]&lt;=19,"17-19%","20-25%")))</f>
        <v>17-19%</v>
      </c>
      <c r="AP245" s="1">
        <f>IF(HR_Data[[#This Row],[PercentSalaryHike]]&lt;=13,1,IF(HR_Data[[#This Row],[PercentSalaryHike]]&lt;=16,2,IF(HR_Data[[#This Row],[PercentSalaryHike]]&lt;=19,3,4)))</f>
        <v>3</v>
      </c>
      <c r="AQ245" s="1" t="str">
        <f>IF(HR_Data[[#This Row],[DistanceFromHome]]&lt;=5,"1 to 5",IF(HR_Data[[#This Row],[DistanceFromHome]]&lt;=10,"6 to 10",IF(HR_Data[[#This Row],[DistanceFromHome]]&lt;=20,"11 to 20","21 to 29")))</f>
        <v>21 to 29</v>
      </c>
      <c r="AR245" s="1">
        <f>IF(HR_Data[[#This Row],[DistanceFromHome]]&lt;=5,1,IF(HR_Data[[#This Row],[DistanceFromHome]]&lt;=10,2,IF(HR_Data[[#This Row],[DistanceFromHome]]&lt;=20,3,4)))</f>
        <v>4</v>
      </c>
      <c r="AS245" s="1" t="str">
        <f>IF(HR_Data[[#This Row],[TotalWorkingYears]]&lt;=5,"0-5 Yrs",IF(HR_Data[[#This Row],[TotalWorkingYears]]&lt;=10,"6-10 Yrs",IF(HR_Data[[#This Row],[TotalWorkingYears]]&lt;=20,"11-20 Yrs","20+ Yrs")))</f>
        <v>6-10 Yrs</v>
      </c>
      <c r="AT245" s="1">
        <f>IF(HR_Data[[#This Row],[TotalWorkingYears]]&lt;=5,1,IF(HR_Data[[#This Row],[TotalWorkingYears]]&lt;=10,2,IF(HR_Data[[#This Row],[TotalWorkingYears]]&lt;=20,3,4)))</f>
        <v>2</v>
      </c>
    </row>
    <row r="246" spans="1:46" x14ac:dyDescent="0.25">
      <c r="A246">
        <v>45</v>
      </c>
      <c r="B246" t="s">
        <v>36</v>
      </c>
      <c r="C246" t="s">
        <v>30</v>
      </c>
      <c r="D246" t="s">
        <v>38</v>
      </c>
      <c r="E246">
        <v>1</v>
      </c>
      <c r="F246">
        <v>3</v>
      </c>
      <c r="G246" t="s">
        <v>42</v>
      </c>
      <c r="H246">
        <v>336</v>
      </c>
      <c r="I246">
        <v>3</v>
      </c>
      <c r="J246" t="s">
        <v>39</v>
      </c>
      <c r="K246">
        <v>4</v>
      </c>
      <c r="L246">
        <v>5</v>
      </c>
      <c r="M246" t="s">
        <v>49</v>
      </c>
      <c r="N246">
        <v>4</v>
      </c>
      <c r="O246" t="s">
        <v>41</v>
      </c>
      <c r="P246">
        <v>19202</v>
      </c>
      <c r="Q246">
        <v>0</v>
      </c>
      <c r="R246" t="s">
        <v>36</v>
      </c>
      <c r="S246">
        <v>11</v>
      </c>
      <c r="T246">
        <v>3</v>
      </c>
      <c r="U246">
        <v>3</v>
      </c>
      <c r="V246">
        <v>1</v>
      </c>
      <c r="W246">
        <v>25</v>
      </c>
      <c r="X246">
        <v>2</v>
      </c>
      <c r="Y246">
        <v>3</v>
      </c>
      <c r="Z246">
        <v>24</v>
      </c>
      <c r="AA246">
        <v>0</v>
      </c>
      <c r="AB246">
        <v>1</v>
      </c>
      <c r="AC246">
        <v>7</v>
      </c>
      <c r="AD246">
        <f>IF(HR_Data[[#This Row],[Attrition]]="Yes",1,0)</f>
        <v>0</v>
      </c>
      <c r="AE246" t="str">
        <f>IF(HR_Data[[#This Row],[Age]]&lt;=25,"18-25",IF(HR_Data[[#This Row],[Age]]&lt;=35,"26-35",IF(HR_Data[[#This Row],[Age]]&lt;=45,"36-45",IF(HR_Data[[#This Row],[Age]]&lt;=55,"46-55","55+"))))</f>
        <v>36-45</v>
      </c>
      <c r="AF246">
        <f>IF(HR_Data[[#This Row],[Age]]&lt;=25,1,IF(HR_Data[[#This Row],[Age]]&lt;=35,2,IF(HR_Data[[#This Row],[Age]]&lt;=45,3,IF(HR_Data[[#This Row],[Age]]&lt;=55,4,5))))</f>
        <v>3</v>
      </c>
      <c r="AG246" s="1" t="str">
        <f>IF(HR_Data[[#This Row],[MonthlyIncome]]&lt;3000,"&lt;3K",IF(HR_Data[[#This Row],[MonthlyIncome]]&lt;6000,"3K-6K",IF(HR_Data[[#This Row],[MonthlyIncome]]&lt;10000,"6K-10K","10K+")))</f>
        <v>10K+</v>
      </c>
      <c r="AH246" s="1">
        <f>IF(HR_Data[[#This Row],[MonthlyIncome]]&lt;3000,1,IF(HR_Data[[#This Row],[MonthlyIncome]]&lt;6000,2,IF(HR_Data[[#This Row],[MonthlyIncome]]&lt;10000,3,4)))</f>
        <v>4</v>
      </c>
      <c r="AI246" s="1" t="str">
        <f>IF(HR_Data[[#This Row],[YearsAtCompany]]&lt;=2,"0-2 Yrs",IF(HR_Data[[#This Row],[YearsAtCompany]]&lt;=5,"3-5 Yrs",IF(HR_Data[[#This Row],[YearsAtCompany]]&lt;=10,"6-10 Yrs","10+ Yrs")))</f>
        <v>10+ Yrs</v>
      </c>
      <c r="AJ246" s="1">
        <f>IF(HR_Data[[#This Row],[YearsAtCompany]]&lt;=2,1,IF(HR_Data[[#This Row],[YearsAtCompany]]&lt;=5,2,IF(HR_Data[[#This Row],[YearsAtCompany]]&lt;=10,3,4)))</f>
        <v>4</v>
      </c>
      <c r="AK246" s="1" t="str">
        <f>CHOOSE(HR_Data[[#This Row],[Education]],"Below College","College","Bachelor","Master","Doctor")</f>
        <v>Bachelor</v>
      </c>
      <c r="AL246" s="1" t="str">
        <f>CHOOSE(HR_Data[[#This Row],[JobSatisfaction]],"Low","Medium","High","Very High")</f>
        <v>Very High</v>
      </c>
      <c r="AM246" s="1" t="str">
        <f>CHOOSE(HR_Data[[#This Row],[EnvironmentSatisfaction]],"Low","Medium","High","Very High")</f>
        <v>High</v>
      </c>
      <c r="AN246" s="1" t="str">
        <f>CHOOSE(HR_Data[[#This Row],[WorkLifeBalance]],"Bad","Good","Better","Best")</f>
        <v>Better</v>
      </c>
      <c r="AO246" s="1" t="str">
        <f>IF(HR_Data[[#This Row],[PercentSalaryHike]]&lt;=13,"11-13%",IF(HR_Data[[#This Row],[PercentSalaryHike]]&lt;=16,"14-16%",IF(HR_Data[[#This Row],[PercentSalaryHike]]&lt;=19,"17-19%","20-25%")))</f>
        <v>11-13%</v>
      </c>
      <c r="AP246" s="1">
        <f>IF(HR_Data[[#This Row],[PercentSalaryHike]]&lt;=13,1,IF(HR_Data[[#This Row],[PercentSalaryHike]]&lt;=16,2,IF(HR_Data[[#This Row],[PercentSalaryHike]]&lt;=19,3,4)))</f>
        <v>1</v>
      </c>
      <c r="AQ246" s="1" t="str">
        <f>IF(HR_Data[[#This Row],[DistanceFromHome]]&lt;=5,"1 to 5",IF(HR_Data[[#This Row],[DistanceFromHome]]&lt;=10,"6 to 10",IF(HR_Data[[#This Row],[DistanceFromHome]]&lt;=20,"11 to 20","21 to 29")))</f>
        <v>1 to 5</v>
      </c>
      <c r="AR246" s="1">
        <f>IF(HR_Data[[#This Row],[DistanceFromHome]]&lt;=5,1,IF(HR_Data[[#This Row],[DistanceFromHome]]&lt;=10,2,IF(HR_Data[[#This Row],[DistanceFromHome]]&lt;=20,3,4)))</f>
        <v>1</v>
      </c>
      <c r="AS246" s="1" t="str">
        <f>IF(HR_Data[[#This Row],[TotalWorkingYears]]&lt;=5,"0-5 Yrs",IF(HR_Data[[#This Row],[TotalWorkingYears]]&lt;=10,"6-10 Yrs",IF(HR_Data[[#This Row],[TotalWorkingYears]]&lt;=20,"11-20 Yrs","20+ Yrs")))</f>
        <v>20+ Yrs</v>
      </c>
      <c r="AT246" s="1">
        <f>IF(HR_Data[[#This Row],[TotalWorkingYears]]&lt;=5,1,IF(HR_Data[[#This Row],[TotalWorkingYears]]&lt;=10,2,IF(HR_Data[[#This Row],[TotalWorkingYears]]&lt;=20,3,4)))</f>
        <v>4</v>
      </c>
    </row>
    <row r="247" spans="1:46" x14ac:dyDescent="0.25">
      <c r="A247">
        <v>31</v>
      </c>
      <c r="B247" t="s">
        <v>36</v>
      </c>
      <c r="C247" t="s">
        <v>37</v>
      </c>
      <c r="D247" t="s">
        <v>38</v>
      </c>
      <c r="E247">
        <v>3</v>
      </c>
      <c r="F247">
        <v>4</v>
      </c>
      <c r="G247" t="s">
        <v>44</v>
      </c>
      <c r="H247">
        <v>337</v>
      </c>
      <c r="I247">
        <v>2</v>
      </c>
      <c r="J247" t="s">
        <v>39</v>
      </c>
      <c r="K247">
        <v>3</v>
      </c>
      <c r="L247">
        <v>3</v>
      </c>
      <c r="M247" t="s">
        <v>51</v>
      </c>
      <c r="N247">
        <v>3</v>
      </c>
      <c r="O247" t="s">
        <v>45</v>
      </c>
      <c r="P247">
        <v>13675</v>
      </c>
      <c r="Q247">
        <v>9</v>
      </c>
      <c r="R247" t="s">
        <v>36</v>
      </c>
      <c r="S247">
        <v>12</v>
      </c>
      <c r="T247">
        <v>3</v>
      </c>
      <c r="U247">
        <v>1</v>
      </c>
      <c r="V247">
        <v>1</v>
      </c>
      <c r="W247">
        <v>9</v>
      </c>
      <c r="X247">
        <v>3</v>
      </c>
      <c r="Y247">
        <v>3</v>
      </c>
      <c r="Z247">
        <v>2</v>
      </c>
      <c r="AA247">
        <v>2</v>
      </c>
      <c r="AB247">
        <v>2</v>
      </c>
      <c r="AC247">
        <v>2</v>
      </c>
      <c r="AD247">
        <f>IF(HR_Data[[#This Row],[Attrition]]="Yes",1,0)</f>
        <v>0</v>
      </c>
      <c r="AE247" t="str">
        <f>IF(HR_Data[[#This Row],[Age]]&lt;=25,"18-25",IF(HR_Data[[#This Row],[Age]]&lt;=35,"26-35",IF(HR_Data[[#This Row],[Age]]&lt;=45,"36-45",IF(HR_Data[[#This Row],[Age]]&lt;=55,"46-55","55+"))))</f>
        <v>26-35</v>
      </c>
      <c r="AF247">
        <f>IF(HR_Data[[#This Row],[Age]]&lt;=25,1,IF(HR_Data[[#This Row],[Age]]&lt;=35,2,IF(HR_Data[[#This Row],[Age]]&lt;=45,3,IF(HR_Data[[#This Row],[Age]]&lt;=55,4,5))))</f>
        <v>2</v>
      </c>
      <c r="AG247" s="1" t="str">
        <f>IF(HR_Data[[#This Row],[MonthlyIncome]]&lt;3000,"&lt;3K",IF(HR_Data[[#This Row],[MonthlyIncome]]&lt;6000,"3K-6K",IF(HR_Data[[#This Row],[MonthlyIncome]]&lt;10000,"6K-10K","10K+")))</f>
        <v>10K+</v>
      </c>
      <c r="AH247" s="1">
        <f>IF(HR_Data[[#This Row],[MonthlyIncome]]&lt;3000,1,IF(HR_Data[[#This Row],[MonthlyIncome]]&lt;6000,2,IF(HR_Data[[#This Row],[MonthlyIncome]]&lt;10000,3,4)))</f>
        <v>4</v>
      </c>
      <c r="AI247" s="1" t="str">
        <f>IF(HR_Data[[#This Row],[YearsAtCompany]]&lt;=2,"0-2 Yrs",IF(HR_Data[[#This Row],[YearsAtCompany]]&lt;=5,"3-5 Yrs",IF(HR_Data[[#This Row],[YearsAtCompany]]&lt;=10,"6-10 Yrs","10+ Yrs")))</f>
        <v>0-2 Yrs</v>
      </c>
      <c r="AJ247" s="1">
        <f>IF(HR_Data[[#This Row],[YearsAtCompany]]&lt;=2,1,IF(HR_Data[[#This Row],[YearsAtCompany]]&lt;=5,2,IF(HR_Data[[#This Row],[YearsAtCompany]]&lt;=10,3,4)))</f>
        <v>1</v>
      </c>
      <c r="AK247" s="1" t="str">
        <f>CHOOSE(HR_Data[[#This Row],[Education]],"Below College","College","Bachelor","Master","Doctor")</f>
        <v>Master</v>
      </c>
      <c r="AL247" s="1" t="str">
        <f>CHOOSE(HR_Data[[#This Row],[JobSatisfaction]],"Low","Medium","High","Very High")</f>
        <v>High</v>
      </c>
      <c r="AM247" s="1" t="str">
        <f>CHOOSE(HR_Data[[#This Row],[EnvironmentSatisfaction]],"Low","Medium","High","Very High")</f>
        <v>Medium</v>
      </c>
      <c r="AN247" s="1" t="str">
        <f>CHOOSE(HR_Data[[#This Row],[WorkLifeBalance]],"Bad","Good","Better","Best")</f>
        <v>Better</v>
      </c>
      <c r="AO247" s="1" t="str">
        <f>IF(HR_Data[[#This Row],[PercentSalaryHike]]&lt;=13,"11-13%",IF(HR_Data[[#This Row],[PercentSalaryHike]]&lt;=16,"14-16%",IF(HR_Data[[#This Row],[PercentSalaryHike]]&lt;=19,"17-19%","20-25%")))</f>
        <v>11-13%</v>
      </c>
      <c r="AP247" s="1">
        <f>IF(HR_Data[[#This Row],[PercentSalaryHike]]&lt;=13,1,IF(HR_Data[[#This Row],[PercentSalaryHike]]&lt;=16,2,IF(HR_Data[[#This Row],[PercentSalaryHike]]&lt;=19,3,4)))</f>
        <v>1</v>
      </c>
      <c r="AQ247" s="1" t="str">
        <f>IF(HR_Data[[#This Row],[DistanceFromHome]]&lt;=5,"1 to 5",IF(HR_Data[[#This Row],[DistanceFromHome]]&lt;=10,"6 to 10",IF(HR_Data[[#This Row],[DistanceFromHome]]&lt;=20,"11 to 20","21 to 29")))</f>
        <v>1 to 5</v>
      </c>
      <c r="AR247" s="1">
        <f>IF(HR_Data[[#This Row],[DistanceFromHome]]&lt;=5,1,IF(HR_Data[[#This Row],[DistanceFromHome]]&lt;=10,2,IF(HR_Data[[#This Row],[DistanceFromHome]]&lt;=20,3,4)))</f>
        <v>1</v>
      </c>
      <c r="AS247" s="1" t="str">
        <f>IF(HR_Data[[#This Row],[TotalWorkingYears]]&lt;=5,"0-5 Yrs",IF(HR_Data[[#This Row],[TotalWorkingYears]]&lt;=10,"6-10 Yrs",IF(HR_Data[[#This Row],[TotalWorkingYears]]&lt;=20,"11-20 Yrs","20+ Yrs")))</f>
        <v>6-10 Yrs</v>
      </c>
      <c r="AT247" s="1">
        <f>IF(HR_Data[[#This Row],[TotalWorkingYears]]&lt;=5,1,IF(HR_Data[[#This Row],[TotalWorkingYears]]&lt;=10,2,IF(HR_Data[[#This Row],[TotalWorkingYears]]&lt;=20,3,4)))</f>
        <v>2</v>
      </c>
    </row>
    <row r="248" spans="1:46" x14ac:dyDescent="0.25">
      <c r="A248">
        <v>33</v>
      </c>
      <c r="B248" t="s">
        <v>36</v>
      </c>
      <c r="C248" t="s">
        <v>30</v>
      </c>
      <c r="D248" t="s">
        <v>38</v>
      </c>
      <c r="E248">
        <v>5</v>
      </c>
      <c r="F248">
        <v>4</v>
      </c>
      <c r="G248" t="s">
        <v>32</v>
      </c>
      <c r="H248">
        <v>338</v>
      </c>
      <c r="I248">
        <v>3</v>
      </c>
      <c r="J248" t="s">
        <v>33</v>
      </c>
      <c r="K248">
        <v>2</v>
      </c>
      <c r="L248">
        <v>1</v>
      </c>
      <c r="M248" t="s">
        <v>40</v>
      </c>
      <c r="N248">
        <v>4</v>
      </c>
      <c r="O248" t="s">
        <v>41</v>
      </c>
      <c r="P248">
        <v>2911</v>
      </c>
      <c r="Q248">
        <v>1</v>
      </c>
      <c r="R248" t="s">
        <v>36</v>
      </c>
      <c r="S248">
        <v>13</v>
      </c>
      <c r="T248">
        <v>3</v>
      </c>
      <c r="U248">
        <v>3</v>
      </c>
      <c r="V248">
        <v>1</v>
      </c>
      <c r="W248">
        <v>2</v>
      </c>
      <c r="X248">
        <v>2</v>
      </c>
      <c r="Y248">
        <v>2</v>
      </c>
      <c r="Z248">
        <v>2</v>
      </c>
      <c r="AA248">
        <v>2</v>
      </c>
      <c r="AB248">
        <v>0</v>
      </c>
      <c r="AC248">
        <v>2</v>
      </c>
      <c r="AD248">
        <f>IF(HR_Data[[#This Row],[Attrition]]="Yes",1,0)</f>
        <v>0</v>
      </c>
      <c r="AE248" t="str">
        <f>IF(HR_Data[[#This Row],[Age]]&lt;=25,"18-25",IF(HR_Data[[#This Row],[Age]]&lt;=35,"26-35",IF(HR_Data[[#This Row],[Age]]&lt;=45,"36-45",IF(HR_Data[[#This Row],[Age]]&lt;=55,"46-55","55+"))))</f>
        <v>26-35</v>
      </c>
      <c r="AF248">
        <f>IF(HR_Data[[#This Row],[Age]]&lt;=25,1,IF(HR_Data[[#This Row],[Age]]&lt;=35,2,IF(HR_Data[[#This Row],[Age]]&lt;=45,3,IF(HR_Data[[#This Row],[Age]]&lt;=55,4,5))))</f>
        <v>2</v>
      </c>
      <c r="AG248" s="1" t="str">
        <f>IF(HR_Data[[#This Row],[MonthlyIncome]]&lt;3000,"&lt;3K",IF(HR_Data[[#This Row],[MonthlyIncome]]&lt;6000,"3K-6K",IF(HR_Data[[#This Row],[MonthlyIncome]]&lt;10000,"6K-10K","10K+")))</f>
        <v>&lt;3K</v>
      </c>
      <c r="AH248" s="1">
        <f>IF(HR_Data[[#This Row],[MonthlyIncome]]&lt;3000,1,IF(HR_Data[[#This Row],[MonthlyIncome]]&lt;6000,2,IF(HR_Data[[#This Row],[MonthlyIncome]]&lt;10000,3,4)))</f>
        <v>1</v>
      </c>
      <c r="AI248" s="1" t="str">
        <f>IF(HR_Data[[#This Row],[YearsAtCompany]]&lt;=2,"0-2 Yrs",IF(HR_Data[[#This Row],[YearsAtCompany]]&lt;=5,"3-5 Yrs",IF(HR_Data[[#This Row],[YearsAtCompany]]&lt;=10,"6-10 Yrs","10+ Yrs")))</f>
        <v>0-2 Yrs</v>
      </c>
      <c r="AJ248" s="1">
        <f>IF(HR_Data[[#This Row],[YearsAtCompany]]&lt;=2,1,IF(HR_Data[[#This Row],[YearsAtCompany]]&lt;=5,2,IF(HR_Data[[#This Row],[YearsAtCompany]]&lt;=10,3,4)))</f>
        <v>1</v>
      </c>
      <c r="AK248" s="1" t="str">
        <f>CHOOSE(HR_Data[[#This Row],[Education]],"Below College","College","Bachelor","Master","Doctor")</f>
        <v>Master</v>
      </c>
      <c r="AL248" s="1" t="str">
        <f>CHOOSE(HR_Data[[#This Row],[JobSatisfaction]],"Low","Medium","High","Very High")</f>
        <v>Very High</v>
      </c>
      <c r="AM248" s="1" t="str">
        <f>CHOOSE(HR_Data[[#This Row],[EnvironmentSatisfaction]],"Low","Medium","High","Very High")</f>
        <v>High</v>
      </c>
      <c r="AN248" s="1" t="str">
        <f>CHOOSE(HR_Data[[#This Row],[WorkLifeBalance]],"Bad","Good","Better","Best")</f>
        <v>Good</v>
      </c>
      <c r="AO248" s="1" t="str">
        <f>IF(HR_Data[[#This Row],[PercentSalaryHike]]&lt;=13,"11-13%",IF(HR_Data[[#This Row],[PercentSalaryHike]]&lt;=16,"14-16%",IF(HR_Data[[#This Row],[PercentSalaryHike]]&lt;=19,"17-19%","20-25%")))</f>
        <v>11-13%</v>
      </c>
      <c r="AP248" s="1">
        <f>IF(HR_Data[[#This Row],[PercentSalaryHike]]&lt;=13,1,IF(HR_Data[[#This Row],[PercentSalaryHike]]&lt;=16,2,IF(HR_Data[[#This Row],[PercentSalaryHike]]&lt;=19,3,4)))</f>
        <v>1</v>
      </c>
      <c r="AQ248" s="1" t="str">
        <f>IF(HR_Data[[#This Row],[DistanceFromHome]]&lt;=5,"1 to 5",IF(HR_Data[[#This Row],[DistanceFromHome]]&lt;=10,"6 to 10",IF(HR_Data[[#This Row],[DistanceFromHome]]&lt;=20,"11 to 20","21 to 29")))</f>
        <v>1 to 5</v>
      </c>
      <c r="AR248" s="1">
        <f>IF(HR_Data[[#This Row],[DistanceFromHome]]&lt;=5,1,IF(HR_Data[[#This Row],[DistanceFromHome]]&lt;=10,2,IF(HR_Data[[#This Row],[DistanceFromHome]]&lt;=20,3,4)))</f>
        <v>1</v>
      </c>
      <c r="AS248" s="1" t="str">
        <f>IF(HR_Data[[#This Row],[TotalWorkingYears]]&lt;=5,"0-5 Yrs",IF(HR_Data[[#This Row],[TotalWorkingYears]]&lt;=10,"6-10 Yrs",IF(HR_Data[[#This Row],[TotalWorkingYears]]&lt;=20,"11-20 Yrs","20+ Yrs")))</f>
        <v>0-5 Yrs</v>
      </c>
      <c r="AT248" s="1">
        <f>IF(HR_Data[[#This Row],[TotalWorkingYears]]&lt;=5,1,IF(HR_Data[[#This Row],[TotalWorkingYears]]&lt;=10,2,IF(HR_Data[[#This Row],[TotalWorkingYears]]&lt;=20,3,4)))</f>
        <v>1</v>
      </c>
    </row>
    <row r="249" spans="1:46" x14ac:dyDescent="0.25">
      <c r="A249">
        <v>34</v>
      </c>
      <c r="B249" t="s">
        <v>36</v>
      </c>
      <c r="C249" t="s">
        <v>30</v>
      </c>
      <c r="D249" t="s">
        <v>38</v>
      </c>
      <c r="E249">
        <v>2</v>
      </c>
      <c r="F249">
        <v>4</v>
      </c>
      <c r="G249" t="s">
        <v>32</v>
      </c>
      <c r="H249">
        <v>339</v>
      </c>
      <c r="I249">
        <v>4</v>
      </c>
      <c r="J249" t="s">
        <v>39</v>
      </c>
      <c r="K249">
        <v>2</v>
      </c>
      <c r="L249">
        <v>2</v>
      </c>
      <c r="M249" t="s">
        <v>46</v>
      </c>
      <c r="N249">
        <v>1</v>
      </c>
      <c r="O249" t="s">
        <v>41</v>
      </c>
      <c r="P249">
        <v>5957</v>
      </c>
      <c r="Q249">
        <v>6</v>
      </c>
      <c r="R249" t="s">
        <v>36</v>
      </c>
      <c r="S249">
        <v>13</v>
      </c>
      <c r="T249">
        <v>3</v>
      </c>
      <c r="U249">
        <v>2</v>
      </c>
      <c r="V249">
        <v>1</v>
      </c>
      <c r="W249">
        <v>13</v>
      </c>
      <c r="X249">
        <v>3</v>
      </c>
      <c r="Y249">
        <v>3</v>
      </c>
      <c r="Z249">
        <v>11</v>
      </c>
      <c r="AA249">
        <v>9</v>
      </c>
      <c r="AB249">
        <v>5</v>
      </c>
      <c r="AC249">
        <v>9</v>
      </c>
      <c r="AD249">
        <f>IF(HR_Data[[#This Row],[Attrition]]="Yes",1,0)</f>
        <v>0</v>
      </c>
      <c r="AE249" t="str">
        <f>IF(HR_Data[[#This Row],[Age]]&lt;=25,"18-25",IF(HR_Data[[#This Row],[Age]]&lt;=35,"26-35",IF(HR_Data[[#This Row],[Age]]&lt;=45,"36-45",IF(HR_Data[[#This Row],[Age]]&lt;=55,"46-55","55+"))))</f>
        <v>26-35</v>
      </c>
      <c r="AF249">
        <f>IF(HR_Data[[#This Row],[Age]]&lt;=25,1,IF(HR_Data[[#This Row],[Age]]&lt;=35,2,IF(HR_Data[[#This Row],[Age]]&lt;=45,3,IF(HR_Data[[#This Row],[Age]]&lt;=55,4,5))))</f>
        <v>2</v>
      </c>
      <c r="AG249" s="1" t="str">
        <f>IF(HR_Data[[#This Row],[MonthlyIncome]]&lt;3000,"&lt;3K",IF(HR_Data[[#This Row],[MonthlyIncome]]&lt;6000,"3K-6K",IF(HR_Data[[#This Row],[MonthlyIncome]]&lt;10000,"6K-10K","10K+")))</f>
        <v>3K-6K</v>
      </c>
      <c r="AH249" s="1">
        <f>IF(HR_Data[[#This Row],[MonthlyIncome]]&lt;3000,1,IF(HR_Data[[#This Row],[MonthlyIncome]]&lt;6000,2,IF(HR_Data[[#This Row],[MonthlyIncome]]&lt;10000,3,4)))</f>
        <v>2</v>
      </c>
      <c r="AI249" s="1" t="str">
        <f>IF(HR_Data[[#This Row],[YearsAtCompany]]&lt;=2,"0-2 Yrs",IF(HR_Data[[#This Row],[YearsAtCompany]]&lt;=5,"3-5 Yrs",IF(HR_Data[[#This Row],[YearsAtCompany]]&lt;=10,"6-10 Yrs","10+ Yrs")))</f>
        <v>10+ Yrs</v>
      </c>
      <c r="AJ249" s="1">
        <f>IF(HR_Data[[#This Row],[YearsAtCompany]]&lt;=2,1,IF(HR_Data[[#This Row],[YearsAtCompany]]&lt;=5,2,IF(HR_Data[[#This Row],[YearsAtCompany]]&lt;=10,3,4)))</f>
        <v>4</v>
      </c>
      <c r="AK249" s="1" t="str">
        <f>CHOOSE(HR_Data[[#This Row],[Education]],"Below College","College","Bachelor","Master","Doctor")</f>
        <v>Master</v>
      </c>
      <c r="AL249" s="1" t="str">
        <f>CHOOSE(HR_Data[[#This Row],[JobSatisfaction]],"Low","Medium","High","Very High")</f>
        <v>Low</v>
      </c>
      <c r="AM249" s="1" t="str">
        <f>CHOOSE(HR_Data[[#This Row],[EnvironmentSatisfaction]],"Low","Medium","High","Very High")</f>
        <v>Very High</v>
      </c>
      <c r="AN249" s="1" t="str">
        <f>CHOOSE(HR_Data[[#This Row],[WorkLifeBalance]],"Bad","Good","Better","Best")</f>
        <v>Better</v>
      </c>
      <c r="AO249" s="1" t="str">
        <f>IF(HR_Data[[#This Row],[PercentSalaryHike]]&lt;=13,"11-13%",IF(HR_Data[[#This Row],[PercentSalaryHike]]&lt;=16,"14-16%",IF(HR_Data[[#This Row],[PercentSalaryHike]]&lt;=19,"17-19%","20-25%")))</f>
        <v>11-13%</v>
      </c>
      <c r="AP249" s="1">
        <f>IF(HR_Data[[#This Row],[PercentSalaryHike]]&lt;=13,1,IF(HR_Data[[#This Row],[PercentSalaryHike]]&lt;=16,2,IF(HR_Data[[#This Row],[PercentSalaryHike]]&lt;=19,3,4)))</f>
        <v>1</v>
      </c>
      <c r="AQ249" s="1" t="str">
        <f>IF(HR_Data[[#This Row],[DistanceFromHome]]&lt;=5,"1 to 5",IF(HR_Data[[#This Row],[DistanceFromHome]]&lt;=10,"6 to 10",IF(HR_Data[[#This Row],[DistanceFromHome]]&lt;=20,"11 to 20","21 to 29")))</f>
        <v>1 to 5</v>
      </c>
      <c r="AR249" s="1">
        <f>IF(HR_Data[[#This Row],[DistanceFromHome]]&lt;=5,1,IF(HR_Data[[#This Row],[DistanceFromHome]]&lt;=10,2,IF(HR_Data[[#This Row],[DistanceFromHome]]&lt;=20,3,4)))</f>
        <v>1</v>
      </c>
      <c r="AS249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249" s="1">
        <f>IF(HR_Data[[#This Row],[TotalWorkingYears]]&lt;=5,1,IF(HR_Data[[#This Row],[TotalWorkingYears]]&lt;=10,2,IF(HR_Data[[#This Row],[TotalWorkingYears]]&lt;=20,3,4)))</f>
        <v>3</v>
      </c>
    </row>
    <row r="250" spans="1:46" x14ac:dyDescent="0.25">
      <c r="A250">
        <v>37</v>
      </c>
      <c r="B250" t="s">
        <v>36</v>
      </c>
      <c r="C250" t="s">
        <v>30</v>
      </c>
      <c r="D250" t="s">
        <v>38</v>
      </c>
      <c r="E250">
        <v>1</v>
      </c>
      <c r="F250">
        <v>2</v>
      </c>
      <c r="G250" t="s">
        <v>44</v>
      </c>
      <c r="H250">
        <v>340</v>
      </c>
      <c r="I250">
        <v>3</v>
      </c>
      <c r="J250" t="s">
        <v>33</v>
      </c>
      <c r="K250">
        <v>2</v>
      </c>
      <c r="L250">
        <v>1</v>
      </c>
      <c r="M250" t="s">
        <v>40</v>
      </c>
      <c r="N250">
        <v>1</v>
      </c>
      <c r="O250" t="s">
        <v>41</v>
      </c>
      <c r="P250">
        <v>3920</v>
      </c>
      <c r="Q250">
        <v>2</v>
      </c>
      <c r="R250" t="s">
        <v>36</v>
      </c>
      <c r="S250">
        <v>14</v>
      </c>
      <c r="T250">
        <v>3</v>
      </c>
      <c r="U250">
        <v>1</v>
      </c>
      <c r="V250">
        <v>1</v>
      </c>
      <c r="W250">
        <v>17</v>
      </c>
      <c r="X250">
        <v>2</v>
      </c>
      <c r="Y250">
        <v>2</v>
      </c>
      <c r="Z250">
        <v>3</v>
      </c>
      <c r="AA250">
        <v>1</v>
      </c>
      <c r="AB250">
        <v>0</v>
      </c>
      <c r="AC250">
        <v>2</v>
      </c>
      <c r="AD250">
        <f>IF(HR_Data[[#This Row],[Attrition]]="Yes",1,0)</f>
        <v>0</v>
      </c>
      <c r="AE250" t="str">
        <f>IF(HR_Data[[#This Row],[Age]]&lt;=25,"18-25",IF(HR_Data[[#This Row],[Age]]&lt;=35,"26-35",IF(HR_Data[[#This Row],[Age]]&lt;=45,"36-45",IF(HR_Data[[#This Row],[Age]]&lt;=55,"46-55","55+"))))</f>
        <v>36-45</v>
      </c>
      <c r="AF250">
        <f>IF(HR_Data[[#This Row],[Age]]&lt;=25,1,IF(HR_Data[[#This Row],[Age]]&lt;=35,2,IF(HR_Data[[#This Row],[Age]]&lt;=45,3,IF(HR_Data[[#This Row],[Age]]&lt;=55,4,5))))</f>
        <v>3</v>
      </c>
      <c r="AG250" s="1" t="str">
        <f>IF(HR_Data[[#This Row],[MonthlyIncome]]&lt;3000,"&lt;3K",IF(HR_Data[[#This Row],[MonthlyIncome]]&lt;6000,"3K-6K",IF(HR_Data[[#This Row],[MonthlyIncome]]&lt;10000,"6K-10K","10K+")))</f>
        <v>3K-6K</v>
      </c>
      <c r="AH250" s="1">
        <f>IF(HR_Data[[#This Row],[MonthlyIncome]]&lt;3000,1,IF(HR_Data[[#This Row],[MonthlyIncome]]&lt;6000,2,IF(HR_Data[[#This Row],[MonthlyIncome]]&lt;10000,3,4)))</f>
        <v>2</v>
      </c>
      <c r="AI250" s="1" t="str">
        <f>IF(HR_Data[[#This Row],[YearsAtCompany]]&lt;=2,"0-2 Yrs",IF(HR_Data[[#This Row],[YearsAtCompany]]&lt;=5,"3-5 Yrs",IF(HR_Data[[#This Row],[YearsAtCompany]]&lt;=10,"6-10 Yrs","10+ Yrs")))</f>
        <v>3-5 Yrs</v>
      </c>
      <c r="AJ250" s="1">
        <f>IF(HR_Data[[#This Row],[YearsAtCompany]]&lt;=2,1,IF(HR_Data[[#This Row],[YearsAtCompany]]&lt;=5,2,IF(HR_Data[[#This Row],[YearsAtCompany]]&lt;=10,3,4)))</f>
        <v>2</v>
      </c>
      <c r="AK250" s="1" t="str">
        <f>CHOOSE(HR_Data[[#This Row],[Education]],"Below College","College","Bachelor","Master","Doctor")</f>
        <v>College</v>
      </c>
      <c r="AL250" s="1" t="str">
        <f>CHOOSE(HR_Data[[#This Row],[JobSatisfaction]],"Low","Medium","High","Very High")</f>
        <v>Low</v>
      </c>
      <c r="AM250" s="1" t="str">
        <f>CHOOSE(HR_Data[[#This Row],[EnvironmentSatisfaction]],"Low","Medium","High","Very High")</f>
        <v>High</v>
      </c>
      <c r="AN250" s="1" t="str">
        <f>CHOOSE(HR_Data[[#This Row],[WorkLifeBalance]],"Bad","Good","Better","Best")</f>
        <v>Good</v>
      </c>
      <c r="AO250" s="1" t="str">
        <f>IF(HR_Data[[#This Row],[PercentSalaryHike]]&lt;=13,"11-13%",IF(HR_Data[[#This Row],[PercentSalaryHike]]&lt;=16,"14-16%",IF(HR_Data[[#This Row],[PercentSalaryHike]]&lt;=19,"17-19%","20-25%")))</f>
        <v>14-16%</v>
      </c>
      <c r="AP250" s="1">
        <f>IF(HR_Data[[#This Row],[PercentSalaryHike]]&lt;=13,1,IF(HR_Data[[#This Row],[PercentSalaryHike]]&lt;=16,2,IF(HR_Data[[#This Row],[PercentSalaryHike]]&lt;=19,3,4)))</f>
        <v>2</v>
      </c>
      <c r="AQ250" s="1" t="str">
        <f>IF(HR_Data[[#This Row],[DistanceFromHome]]&lt;=5,"1 to 5",IF(HR_Data[[#This Row],[DistanceFromHome]]&lt;=10,"6 to 10",IF(HR_Data[[#This Row],[DistanceFromHome]]&lt;=20,"11 to 20","21 to 29")))</f>
        <v>1 to 5</v>
      </c>
      <c r="AR250" s="1">
        <f>IF(HR_Data[[#This Row],[DistanceFromHome]]&lt;=5,1,IF(HR_Data[[#This Row],[DistanceFromHome]]&lt;=10,2,IF(HR_Data[[#This Row],[DistanceFromHome]]&lt;=20,3,4)))</f>
        <v>1</v>
      </c>
      <c r="AS250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250" s="1">
        <f>IF(HR_Data[[#This Row],[TotalWorkingYears]]&lt;=5,1,IF(HR_Data[[#This Row],[TotalWorkingYears]]&lt;=10,2,IF(HR_Data[[#This Row],[TotalWorkingYears]]&lt;=20,3,4)))</f>
        <v>3</v>
      </c>
    </row>
    <row r="251" spans="1:46" x14ac:dyDescent="0.25">
      <c r="A251">
        <v>45</v>
      </c>
      <c r="B251" t="s">
        <v>36</v>
      </c>
      <c r="C251" t="s">
        <v>37</v>
      </c>
      <c r="D251" t="s">
        <v>38</v>
      </c>
      <c r="E251">
        <v>7</v>
      </c>
      <c r="F251">
        <v>4</v>
      </c>
      <c r="G251" t="s">
        <v>32</v>
      </c>
      <c r="H251">
        <v>341</v>
      </c>
      <c r="I251">
        <v>1</v>
      </c>
      <c r="J251" t="s">
        <v>39</v>
      </c>
      <c r="K251">
        <v>4</v>
      </c>
      <c r="L251">
        <v>2</v>
      </c>
      <c r="M251" t="s">
        <v>46</v>
      </c>
      <c r="N251">
        <v>3</v>
      </c>
      <c r="O251" t="s">
        <v>41</v>
      </c>
      <c r="P251">
        <v>6434</v>
      </c>
      <c r="Q251">
        <v>4</v>
      </c>
      <c r="R251" t="s">
        <v>36</v>
      </c>
      <c r="S251">
        <v>17</v>
      </c>
      <c r="T251">
        <v>3</v>
      </c>
      <c r="U251">
        <v>4</v>
      </c>
      <c r="V251">
        <v>1</v>
      </c>
      <c r="W251">
        <v>9</v>
      </c>
      <c r="X251">
        <v>1</v>
      </c>
      <c r="Y251">
        <v>3</v>
      </c>
      <c r="Z251">
        <v>3</v>
      </c>
      <c r="AA251">
        <v>2</v>
      </c>
      <c r="AB251">
        <v>0</v>
      </c>
      <c r="AC251">
        <v>2</v>
      </c>
      <c r="AD251">
        <f>IF(HR_Data[[#This Row],[Attrition]]="Yes",1,0)</f>
        <v>0</v>
      </c>
      <c r="AE251" t="str">
        <f>IF(HR_Data[[#This Row],[Age]]&lt;=25,"18-25",IF(HR_Data[[#This Row],[Age]]&lt;=35,"26-35",IF(HR_Data[[#This Row],[Age]]&lt;=45,"36-45",IF(HR_Data[[#This Row],[Age]]&lt;=55,"46-55","55+"))))</f>
        <v>36-45</v>
      </c>
      <c r="AF251">
        <f>IF(HR_Data[[#This Row],[Age]]&lt;=25,1,IF(HR_Data[[#This Row],[Age]]&lt;=35,2,IF(HR_Data[[#This Row],[Age]]&lt;=45,3,IF(HR_Data[[#This Row],[Age]]&lt;=55,4,5))))</f>
        <v>3</v>
      </c>
      <c r="AG251" s="1" t="str">
        <f>IF(HR_Data[[#This Row],[MonthlyIncome]]&lt;3000,"&lt;3K",IF(HR_Data[[#This Row],[MonthlyIncome]]&lt;6000,"3K-6K",IF(HR_Data[[#This Row],[MonthlyIncome]]&lt;10000,"6K-10K","10K+")))</f>
        <v>6K-10K</v>
      </c>
      <c r="AH251" s="1">
        <f>IF(HR_Data[[#This Row],[MonthlyIncome]]&lt;3000,1,IF(HR_Data[[#This Row],[MonthlyIncome]]&lt;6000,2,IF(HR_Data[[#This Row],[MonthlyIncome]]&lt;10000,3,4)))</f>
        <v>3</v>
      </c>
      <c r="AI251" s="1" t="str">
        <f>IF(HR_Data[[#This Row],[YearsAtCompany]]&lt;=2,"0-2 Yrs",IF(HR_Data[[#This Row],[YearsAtCompany]]&lt;=5,"3-5 Yrs",IF(HR_Data[[#This Row],[YearsAtCompany]]&lt;=10,"6-10 Yrs","10+ Yrs")))</f>
        <v>3-5 Yrs</v>
      </c>
      <c r="AJ251" s="1">
        <f>IF(HR_Data[[#This Row],[YearsAtCompany]]&lt;=2,1,IF(HR_Data[[#This Row],[YearsAtCompany]]&lt;=5,2,IF(HR_Data[[#This Row],[YearsAtCompany]]&lt;=10,3,4)))</f>
        <v>2</v>
      </c>
      <c r="AK251" s="1" t="str">
        <f>CHOOSE(HR_Data[[#This Row],[Education]],"Below College","College","Bachelor","Master","Doctor")</f>
        <v>Master</v>
      </c>
      <c r="AL251" s="1" t="str">
        <f>CHOOSE(HR_Data[[#This Row],[JobSatisfaction]],"Low","Medium","High","Very High")</f>
        <v>High</v>
      </c>
      <c r="AM251" s="1" t="str">
        <f>CHOOSE(HR_Data[[#This Row],[EnvironmentSatisfaction]],"Low","Medium","High","Very High")</f>
        <v>Low</v>
      </c>
      <c r="AN251" s="1" t="str">
        <f>CHOOSE(HR_Data[[#This Row],[WorkLifeBalance]],"Bad","Good","Better","Best")</f>
        <v>Better</v>
      </c>
      <c r="AO251" s="1" t="str">
        <f>IF(HR_Data[[#This Row],[PercentSalaryHike]]&lt;=13,"11-13%",IF(HR_Data[[#This Row],[PercentSalaryHike]]&lt;=16,"14-16%",IF(HR_Data[[#This Row],[PercentSalaryHike]]&lt;=19,"17-19%","20-25%")))</f>
        <v>17-19%</v>
      </c>
      <c r="AP251" s="1">
        <f>IF(HR_Data[[#This Row],[PercentSalaryHike]]&lt;=13,1,IF(HR_Data[[#This Row],[PercentSalaryHike]]&lt;=16,2,IF(HR_Data[[#This Row],[PercentSalaryHike]]&lt;=19,3,4)))</f>
        <v>3</v>
      </c>
      <c r="AQ251" s="1" t="str">
        <f>IF(HR_Data[[#This Row],[DistanceFromHome]]&lt;=5,"1 to 5",IF(HR_Data[[#This Row],[DistanceFromHome]]&lt;=10,"6 to 10",IF(HR_Data[[#This Row],[DistanceFromHome]]&lt;=20,"11 to 20","21 to 29")))</f>
        <v>6 to 10</v>
      </c>
      <c r="AR251" s="1">
        <f>IF(HR_Data[[#This Row],[DistanceFromHome]]&lt;=5,1,IF(HR_Data[[#This Row],[DistanceFromHome]]&lt;=10,2,IF(HR_Data[[#This Row],[DistanceFromHome]]&lt;=20,3,4)))</f>
        <v>2</v>
      </c>
      <c r="AS251" s="1" t="str">
        <f>IF(HR_Data[[#This Row],[TotalWorkingYears]]&lt;=5,"0-5 Yrs",IF(HR_Data[[#This Row],[TotalWorkingYears]]&lt;=10,"6-10 Yrs",IF(HR_Data[[#This Row],[TotalWorkingYears]]&lt;=20,"11-20 Yrs","20+ Yrs")))</f>
        <v>6-10 Yrs</v>
      </c>
      <c r="AT251" s="1">
        <f>IF(HR_Data[[#This Row],[TotalWorkingYears]]&lt;=5,1,IF(HR_Data[[#This Row],[TotalWorkingYears]]&lt;=10,2,IF(HR_Data[[#This Row],[TotalWorkingYears]]&lt;=20,3,4)))</f>
        <v>2</v>
      </c>
    </row>
    <row r="252" spans="1:46" x14ac:dyDescent="0.25">
      <c r="A252">
        <v>37</v>
      </c>
      <c r="B252" t="s">
        <v>29</v>
      </c>
      <c r="C252" t="s">
        <v>37</v>
      </c>
      <c r="D252" t="s">
        <v>38</v>
      </c>
      <c r="E252">
        <v>10</v>
      </c>
      <c r="F252">
        <v>3</v>
      </c>
      <c r="G252" t="s">
        <v>44</v>
      </c>
      <c r="H252">
        <v>342</v>
      </c>
      <c r="I252">
        <v>1</v>
      </c>
      <c r="J252" t="s">
        <v>39</v>
      </c>
      <c r="K252">
        <v>3</v>
      </c>
      <c r="L252">
        <v>3</v>
      </c>
      <c r="M252" t="s">
        <v>46</v>
      </c>
      <c r="N252">
        <v>3</v>
      </c>
      <c r="O252" t="s">
        <v>45</v>
      </c>
      <c r="P252">
        <v>10048</v>
      </c>
      <c r="Q252">
        <v>6</v>
      </c>
      <c r="R252" t="s">
        <v>36</v>
      </c>
      <c r="S252">
        <v>11</v>
      </c>
      <c r="T252">
        <v>3</v>
      </c>
      <c r="U252">
        <v>2</v>
      </c>
      <c r="V252">
        <v>2</v>
      </c>
      <c r="W252">
        <v>17</v>
      </c>
      <c r="X252">
        <v>5</v>
      </c>
      <c r="Y252">
        <v>3</v>
      </c>
      <c r="Z252">
        <v>1</v>
      </c>
      <c r="AA252">
        <v>0</v>
      </c>
      <c r="AB252">
        <v>0</v>
      </c>
      <c r="AC252">
        <v>0</v>
      </c>
      <c r="AD252">
        <f>IF(HR_Data[[#This Row],[Attrition]]="Yes",1,0)</f>
        <v>1</v>
      </c>
      <c r="AE252" t="str">
        <f>IF(HR_Data[[#This Row],[Age]]&lt;=25,"18-25",IF(HR_Data[[#This Row],[Age]]&lt;=35,"26-35",IF(HR_Data[[#This Row],[Age]]&lt;=45,"36-45",IF(HR_Data[[#This Row],[Age]]&lt;=55,"46-55","55+"))))</f>
        <v>36-45</v>
      </c>
      <c r="AF252">
        <f>IF(HR_Data[[#This Row],[Age]]&lt;=25,1,IF(HR_Data[[#This Row],[Age]]&lt;=35,2,IF(HR_Data[[#This Row],[Age]]&lt;=45,3,IF(HR_Data[[#This Row],[Age]]&lt;=55,4,5))))</f>
        <v>3</v>
      </c>
      <c r="AG252" s="1" t="str">
        <f>IF(HR_Data[[#This Row],[MonthlyIncome]]&lt;3000,"&lt;3K",IF(HR_Data[[#This Row],[MonthlyIncome]]&lt;6000,"3K-6K",IF(HR_Data[[#This Row],[MonthlyIncome]]&lt;10000,"6K-10K","10K+")))</f>
        <v>10K+</v>
      </c>
      <c r="AH252" s="1">
        <f>IF(HR_Data[[#This Row],[MonthlyIncome]]&lt;3000,1,IF(HR_Data[[#This Row],[MonthlyIncome]]&lt;6000,2,IF(HR_Data[[#This Row],[MonthlyIncome]]&lt;10000,3,4)))</f>
        <v>4</v>
      </c>
      <c r="AI252" s="1" t="str">
        <f>IF(HR_Data[[#This Row],[YearsAtCompany]]&lt;=2,"0-2 Yrs",IF(HR_Data[[#This Row],[YearsAtCompany]]&lt;=5,"3-5 Yrs",IF(HR_Data[[#This Row],[YearsAtCompany]]&lt;=10,"6-10 Yrs","10+ Yrs")))</f>
        <v>0-2 Yrs</v>
      </c>
      <c r="AJ252" s="1">
        <f>IF(HR_Data[[#This Row],[YearsAtCompany]]&lt;=2,1,IF(HR_Data[[#This Row],[YearsAtCompany]]&lt;=5,2,IF(HR_Data[[#This Row],[YearsAtCompany]]&lt;=10,3,4)))</f>
        <v>1</v>
      </c>
      <c r="AK252" s="1" t="str">
        <f>CHOOSE(HR_Data[[#This Row],[Education]],"Below College","College","Bachelor","Master","Doctor")</f>
        <v>Bachelor</v>
      </c>
      <c r="AL252" s="1" t="str">
        <f>CHOOSE(HR_Data[[#This Row],[JobSatisfaction]],"Low","Medium","High","Very High")</f>
        <v>High</v>
      </c>
      <c r="AM252" s="1" t="str">
        <f>CHOOSE(HR_Data[[#This Row],[EnvironmentSatisfaction]],"Low","Medium","High","Very High")</f>
        <v>Low</v>
      </c>
      <c r="AN252" s="1" t="str">
        <f>CHOOSE(HR_Data[[#This Row],[WorkLifeBalance]],"Bad","Good","Better","Best")</f>
        <v>Better</v>
      </c>
      <c r="AO252" s="1" t="str">
        <f>IF(HR_Data[[#This Row],[PercentSalaryHike]]&lt;=13,"11-13%",IF(HR_Data[[#This Row],[PercentSalaryHike]]&lt;=16,"14-16%",IF(HR_Data[[#This Row],[PercentSalaryHike]]&lt;=19,"17-19%","20-25%")))</f>
        <v>11-13%</v>
      </c>
      <c r="AP252" s="1">
        <f>IF(HR_Data[[#This Row],[PercentSalaryHike]]&lt;=13,1,IF(HR_Data[[#This Row],[PercentSalaryHike]]&lt;=16,2,IF(HR_Data[[#This Row],[PercentSalaryHike]]&lt;=19,3,4)))</f>
        <v>1</v>
      </c>
      <c r="AQ252" s="1" t="str">
        <f>IF(HR_Data[[#This Row],[DistanceFromHome]]&lt;=5,"1 to 5",IF(HR_Data[[#This Row],[DistanceFromHome]]&lt;=10,"6 to 10",IF(HR_Data[[#This Row],[DistanceFromHome]]&lt;=20,"11 to 20","21 to 29")))</f>
        <v>6 to 10</v>
      </c>
      <c r="AR252" s="1">
        <f>IF(HR_Data[[#This Row],[DistanceFromHome]]&lt;=5,1,IF(HR_Data[[#This Row],[DistanceFromHome]]&lt;=10,2,IF(HR_Data[[#This Row],[DistanceFromHome]]&lt;=20,3,4)))</f>
        <v>2</v>
      </c>
      <c r="AS252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252" s="1">
        <f>IF(HR_Data[[#This Row],[TotalWorkingYears]]&lt;=5,1,IF(HR_Data[[#This Row],[TotalWorkingYears]]&lt;=10,2,IF(HR_Data[[#This Row],[TotalWorkingYears]]&lt;=20,3,4)))</f>
        <v>3</v>
      </c>
    </row>
    <row r="253" spans="1:46" x14ac:dyDescent="0.25">
      <c r="A253">
        <v>39</v>
      </c>
      <c r="B253" t="s">
        <v>36</v>
      </c>
      <c r="C253" t="s">
        <v>37</v>
      </c>
      <c r="D253" t="s">
        <v>38</v>
      </c>
      <c r="E253">
        <v>2</v>
      </c>
      <c r="F253">
        <v>4</v>
      </c>
      <c r="G253" t="s">
        <v>53</v>
      </c>
      <c r="H253">
        <v>343</v>
      </c>
      <c r="I253">
        <v>3</v>
      </c>
      <c r="J253" t="s">
        <v>33</v>
      </c>
      <c r="K253">
        <v>3</v>
      </c>
      <c r="L253">
        <v>3</v>
      </c>
      <c r="M253" t="s">
        <v>47</v>
      </c>
      <c r="N253">
        <v>3</v>
      </c>
      <c r="O253" t="s">
        <v>35</v>
      </c>
      <c r="P253">
        <v>10938</v>
      </c>
      <c r="Q253">
        <v>0</v>
      </c>
      <c r="R253" t="s">
        <v>36</v>
      </c>
      <c r="S253">
        <v>25</v>
      </c>
      <c r="T253">
        <v>4</v>
      </c>
      <c r="U253">
        <v>4</v>
      </c>
      <c r="V253">
        <v>0</v>
      </c>
      <c r="W253">
        <v>20</v>
      </c>
      <c r="X253">
        <v>1</v>
      </c>
      <c r="Y253">
        <v>3</v>
      </c>
      <c r="Z253">
        <v>19</v>
      </c>
      <c r="AA253">
        <v>6</v>
      </c>
      <c r="AB253">
        <v>11</v>
      </c>
      <c r="AC253">
        <v>8</v>
      </c>
      <c r="AD253">
        <f>IF(HR_Data[[#This Row],[Attrition]]="Yes",1,0)</f>
        <v>0</v>
      </c>
      <c r="AE253" t="str">
        <f>IF(HR_Data[[#This Row],[Age]]&lt;=25,"18-25",IF(HR_Data[[#This Row],[Age]]&lt;=35,"26-35",IF(HR_Data[[#This Row],[Age]]&lt;=45,"36-45",IF(HR_Data[[#This Row],[Age]]&lt;=55,"46-55","55+"))))</f>
        <v>36-45</v>
      </c>
      <c r="AF253">
        <f>IF(HR_Data[[#This Row],[Age]]&lt;=25,1,IF(HR_Data[[#This Row],[Age]]&lt;=35,2,IF(HR_Data[[#This Row],[Age]]&lt;=45,3,IF(HR_Data[[#This Row],[Age]]&lt;=55,4,5))))</f>
        <v>3</v>
      </c>
      <c r="AG253" s="1" t="str">
        <f>IF(HR_Data[[#This Row],[MonthlyIncome]]&lt;3000,"&lt;3K",IF(HR_Data[[#This Row],[MonthlyIncome]]&lt;6000,"3K-6K",IF(HR_Data[[#This Row],[MonthlyIncome]]&lt;10000,"6K-10K","10K+")))</f>
        <v>10K+</v>
      </c>
      <c r="AH253" s="1">
        <f>IF(HR_Data[[#This Row],[MonthlyIncome]]&lt;3000,1,IF(HR_Data[[#This Row],[MonthlyIncome]]&lt;6000,2,IF(HR_Data[[#This Row],[MonthlyIncome]]&lt;10000,3,4)))</f>
        <v>4</v>
      </c>
      <c r="AI253" s="1" t="str">
        <f>IF(HR_Data[[#This Row],[YearsAtCompany]]&lt;=2,"0-2 Yrs",IF(HR_Data[[#This Row],[YearsAtCompany]]&lt;=5,"3-5 Yrs",IF(HR_Data[[#This Row],[YearsAtCompany]]&lt;=10,"6-10 Yrs","10+ Yrs")))</f>
        <v>10+ Yrs</v>
      </c>
      <c r="AJ253" s="1">
        <f>IF(HR_Data[[#This Row],[YearsAtCompany]]&lt;=2,1,IF(HR_Data[[#This Row],[YearsAtCompany]]&lt;=5,2,IF(HR_Data[[#This Row],[YearsAtCompany]]&lt;=10,3,4)))</f>
        <v>4</v>
      </c>
      <c r="AK253" s="1" t="str">
        <f>CHOOSE(HR_Data[[#This Row],[Education]],"Below College","College","Bachelor","Master","Doctor")</f>
        <v>Master</v>
      </c>
      <c r="AL253" s="1" t="str">
        <f>CHOOSE(HR_Data[[#This Row],[JobSatisfaction]],"Low","Medium","High","Very High")</f>
        <v>High</v>
      </c>
      <c r="AM253" s="1" t="str">
        <f>CHOOSE(HR_Data[[#This Row],[EnvironmentSatisfaction]],"Low","Medium","High","Very High")</f>
        <v>High</v>
      </c>
      <c r="AN253" s="1" t="str">
        <f>CHOOSE(HR_Data[[#This Row],[WorkLifeBalance]],"Bad","Good","Better","Best")</f>
        <v>Better</v>
      </c>
      <c r="AO253" s="1" t="str">
        <f>IF(HR_Data[[#This Row],[PercentSalaryHike]]&lt;=13,"11-13%",IF(HR_Data[[#This Row],[PercentSalaryHike]]&lt;=16,"14-16%",IF(HR_Data[[#This Row],[PercentSalaryHike]]&lt;=19,"17-19%","20-25%")))</f>
        <v>20-25%</v>
      </c>
      <c r="AP253" s="1">
        <f>IF(HR_Data[[#This Row],[PercentSalaryHike]]&lt;=13,1,IF(HR_Data[[#This Row],[PercentSalaryHike]]&lt;=16,2,IF(HR_Data[[#This Row],[PercentSalaryHike]]&lt;=19,3,4)))</f>
        <v>4</v>
      </c>
      <c r="AQ253" s="1" t="str">
        <f>IF(HR_Data[[#This Row],[DistanceFromHome]]&lt;=5,"1 to 5",IF(HR_Data[[#This Row],[DistanceFromHome]]&lt;=10,"6 to 10",IF(HR_Data[[#This Row],[DistanceFromHome]]&lt;=20,"11 to 20","21 to 29")))</f>
        <v>1 to 5</v>
      </c>
      <c r="AR253" s="1">
        <f>IF(HR_Data[[#This Row],[DistanceFromHome]]&lt;=5,1,IF(HR_Data[[#This Row],[DistanceFromHome]]&lt;=10,2,IF(HR_Data[[#This Row],[DistanceFromHome]]&lt;=20,3,4)))</f>
        <v>1</v>
      </c>
      <c r="AS253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253" s="1">
        <f>IF(HR_Data[[#This Row],[TotalWorkingYears]]&lt;=5,1,IF(HR_Data[[#This Row],[TotalWorkingYears]]&lt;=10,2,IF(HR_Data[[#This Row],[TotalWorkingYears]]&lt;=20,3,4)))</f>
        <v>3</v>
      </c>
    </row>
    <row r="254" spans="1:46" x14ac:dyDescent="0.25">
      <c r="A254">
        <v>29</v>
      </c>
      <c r="B254" t="s">
        <v>36</v>
      </c>
      <c r="C254" t="s">
        <v>30</v>
      </c>
      <c r="D254" t="s">
        <v>38</v>
      </c>
      <c r="E254">
        <v>15</v>
      </c>
      <c r="F254">
        <v>3</v>
      </c>
      <c r="G254" t="s">
        <v>32</v>
      </c>
      <c r="H254">
        <v>346</v>
      </c>
      <c r="I254">
        <v>3</v>
      </c>
      <c r="J254" t="s">
        <v>39</v>
      </c>
      <c r="K254">
        <v>3</v>
      </c>
      <c r="L254">
        <v>1</v>
      </c>
      <c r="M254" t="s">
        <v>40</v>
      </c>
      <c r="N254">
        <v>4</v>
      </c>
      <c r="O254" t="s">
        <v>35</v>
      </c>
      <c r="P254">
        <v>2340</v>
      </c>
      <c r="Q254">
        <v>1</v>
      </c>
      <c r="R254" t="s">
        <v>36</v>
      </c>
      <c r="S254">
        <v>19</v>
      </c>
      <c r="T254">
        <v>3</v>
      </c>
      <c r="U254">
        <v>1</v>
      </c>
      <c r="V254">
        <v>0</v>
      </c>
      <c r="W254">
        <v>6</v>
      </c>
      <c r="X254">
        <v>1</v>
      </c>
      <c r="Y254">
        <v>3</v>
      </c>
      <c r="Z254">
        <v>6</v>
      </c>
      <c r="AA254">
        <v>5</v>
      </c>
      <c r="AB254">
        <v>1</v>
      </c>
      <c r="AC254">
        <v>5</v>
      </c>
      <c r="AD254">
        <f>IF(HR_Data[[#This Row],[Attrition]]="Yes",1,0)</f>
        <v>0</v>
      </c>
      <c r="AE254" t="str">
        <f>IF(HR_Data[[#This Row],[Age]]&lt;=25,"18-25",IF(HR_Data[[#This Row],[Age]]&lt;=35,"26-35",IF(HR_Data[[#This Row],[Age]]&lt;=45,"36-45",IF(HR_Data[[#This Row],[Age]]&lt;=55,"46-55","55+"))))</f>
        <v>26-35</v>
      </c>
      <c r="AF254">
        <f>IF(HR_Data[[#This Row],[Age]]&lt;=25,1,IF(HR_Data[[#This Row],[Age]]&lt;=35,2,IF(HR_Data[[#This Row],[Age]]&lt;=45,3,IF(HR_Data[[#This Row],[Age]]&lt;=55,4,5))))</f>
        <v>2</v>
      </c>
      <c r="AG254" s="1" t="str">
        <f>IF(HR_Data[[#This Row],[MonthlyIncome]]&lt;3000,"&lt;3K",IF(HR_Data[[#This Row],[MonthlyIncome]]&lt;6000,"3K-6K",IF(HR_Data[[#This Row],[MonthlyIncome]]&lt;10000,"6K-10K","10K+")))</f>
        <v>&lt;3K</v>
      </c>
      <c r="AH254" s="1">
        <f>IF(HR_Data[[#This Row],[MonthlyIncome]]&lt;3000,1,IF(HR_Data[[#This Row],[MonthlyIncome]]&lt;6000,2,IF(HR_Data[[#This Row],[MonthlyIncome]]&lt;10000,3,4)))</f>
        <v>1</v>
      </c>
      <c r="AI254" s="1" t="str">
        <f>IF(HR_Data[[#This Row],[YearsAtCompany]]&lt;=2,"0-2 Yrs",IF(HR_Data[[#This Row],[YearsAtCompany]]&lt;=5,"3-5 Yrs",IF(HR_Data[[#This Row],[YearsAtCompany]]&lt;=10,"6-10 Yrs","10+ Yrs")))</f>
        <v>6-10 Yrs</v>
      </c>
      <c r="AJ254" s="1">
        <f>IF(HR_Data[[#This Row],[YearsAtCompany]]&lt;=2,1,IF(HR_Data[[#This Row],[YearsAtCompany]]&lt;=5,2,IF(HR_Data[[#This Row],[YearsAtCompany]]&lt;=10,3,4)))</f>
        <v>3</v>
      </c>
      <c r="AK254" s="1" t="str">
        <f>CHOOSE(HR_Data[[#This Row],[Education]],"Below College","College","Bachelor","Master","Doctor")</f>
        <v>Bachelor</v>
      </c>
      <c r="AL254" s="1" t="str">
        <f>CHOOSE(HR_Data[[#This Row],[JobSatisfaction]],"Low","Medium","High","Very High")</f>
        <v>Very High</v>
      </c>
      <c r="AM254" s="1" t="str">
        <f>CHOOSE(HR_Data[[#This Row],[EnvironmentSatisfaction]],"Low","Medium","High","Very High")</f>
        <v>High</v>
      </c>
      <c r="AN254" s="1" t="str">
        <f>CHOOSE(HR_Data[[#This Row],[WorkLifeBalance]],"Bad","Good","Better","Best")</f>
        <v>Better</v>
      </c>
      <c r="AO254" s="1" t="str">
        <f>IF(HR_Data[[#This Row],[PercentSalaryHike]]&lt;=13,"11-13%",IF(HR_Data[[#This Row],[PercentSalaryHike]]&lt;=16,"14-16%",IF(HR_Data[[#This Row],[PercentSalaryHike]]&lt;=19,"17-19%","20-25%")))</f>
        <v>17-19%</v>
      </c>
      <c r="AP254" s="1">
        <f>IF(HR_Data[[#This Row],[PercentSalaryHike]]&lt;=13,1,IF(HR_Data[[#This Row],[PercentSalaryHike]]&lt;=16,2,IF(HR_Data[[#This Row],[PercentSalaryHike]]&lt;=19,3,4)))</f>
        <v>3</v>
      </c>
      <c r="AQ254" s="1" t="str">
        <f>IF(HR_Data[[#This Row],[DistanceFromHome]]&lt;=5,"1 to 5",IF(HR_Data[[#This Row],[DistanceFromHome]]&lt;=10,"6 to 10",IF(HR_Data[[#This Row],[DistanceFromHome]]&lt;=20,"11 to 20","21 to 29")))</f>
        <v>11 to 20</v>
      </c>
      <c r="AR254" s="1">
        <f>IF(HR_Data[[#This Row],[DistanceFromHome]]&lt;=5,1,IF(HR_Data[[#This Row],[DistanceFromHome]]&lt;=10,2,IF(HR_Data[[#This Row],[DistanceFromHome]]&lt;=20,3,4)))</f>
        <v>3</v>
      </c>
      <c r="AS254" s="1" t="str">
        <f>IF(HR_Data[[#This Row],[TotalWorkingYears]]&lt;=5,"0-5 Yrs",IF(HR_Data[[#This Row],[TotalWorkingYears]]&lt;=10,"6-10 Yrs",IF(HR_Data[[#This Row],[TotalWorkingYears]]&lt;=20,"11-20 Yrs","20+ Yrs")))</f>
        <v>6-10 Yrs</v>
      </c>
      <c r="AT254" s="1">
        <f>IF(HR_Data[[#This Row],[TotalWorkingYears]]&lt;=5,1,IF(HR_Data[[#This Row],[TotalWorkingYears]]&lt;=10,2,IF(HR_Data[[#This Row],[TotalWorkingYears]]&lt;=20,3,4)))</f>
        <v>2</v>
      </c>
    </row>
    <row r="255" spans="1:46" x14ac:dyDescent="0.25">
      <c r="A255">
        <v>42</v>
      </c>
      <c r="B255" t="s">
        <v>36</v>
      </c>
      <c r="C255" t="s">
        <v>30</v>
      </c>
      <c r="D255" t="s">
        <v>38</v>
      </c>
      <c r="E255">
        <v>17</v>
      </c>
      <c r="F255">
        <v>2</v>
      </c>
      <c r="G255" t="s">
        <v>32</v>
      </c>
      <c r="H255">
        <v>347</v>
      </c>
      <c r="I255">
        <v>4</v>
      </c>
      <c r="J255" t="s">
        <v>33</v>
      </c>
      <c r="K255">
        <v>4</v>
      </c>
      <c r="L255">
        <v>2</v>
      </c>
      <c r="M255" t="s">
        <v>40</v>
      </c>
      <c r="N255">
        <v>1</v>
      </c>
      <c r="O255" t="s">
        <v>35</v>
      </c>
      <c r="P255">
        <v>6545</v>
      </c>
      <c r="Q255">
        <v>3</v>
      </c>
      <c r="R255" t="s">
        <v>29</v>
      </c>
      <c r="S255">
        <v>13</v>
      </c>
      <c r="T255">
        <v>3</v>
      </c>
      <c r="U255">
        <v>3</v>
      </c>
      <c r="V255">
        <v>0</v>
      </c>
      <c r="W255">
        <v>10</v>
      </c>
      <c r="X255">
        <v>1</v>
      </c>
      <c r="Y255">
        <v>3</v>
      </c>
      <c r="Z255">
        <v>3</v>
      </c>
      <c r="AA255">
        <v>2</v>
      </c>
      <c r="AB255">
        <v>0</v>
      </c>
      <c r="AC255">
        <v>2</v>
      </c>
      <c r="AD255">
        <f>IF(HR_Data[[#This Row],[Attrition]]="Yes",1,0)</f>
        <v>0</v>
      </c>
      <c r="AE255" t="str">
        <f>IF(HR_Data[[#This Row],[Age]]&lt;=25,"18-25",IF(HR_Data[[#This Row],[Age]]&lt;=35,"26-35",IF(HR_Data[[#This Row],[Age]]&lt;=45,"36-45",IF(HR_Data[[#This Row],[Age]]&lt;=55,"46-55","55+"))))</f>
        <v>36-45</v>
      </c>
      <c r="AF255">
        <f>IF(HR_Data[[#This Row],[Age]]&lt;=25,1,IF(HR_Data[[#This Row],[Age]]&lt;=35,2,IF(HR_Data[[#This Row],[Age]]&lt;=45,3,IF(HR_Data[[#This Row],[Age]]&lt;=55,4,5))))</f>
        <v>3</v>
      </c>
      <c r="AG255" s="1" t="str">
        <f>IF(HR_Data[[#This Row],[MonthlyIncome]]&lt;3000,"&lt;3K",IF(HR_Data[[#This Row],[MonthlyIncome]]&lt;6000,"3K-6K",IF(HR_Data[[#This Row],[MonthlyIncome]]&lt;10000,"6K-10K","10K+")))</f>
        <v>6K-10K</v>
      </c>
      <c r="AH255" s="1">
        <f>IF(HR_Data[[#This Row],[MonthlyIncome]]&lt;3000,1,IF(HR_Data[[#This Row],[MonthlyIncome]]&lt;6000,2,IF(HR_Data[[#This Row],[MonthlyIncome]]&lt;10000,3,4)))</f>
        <v>3</v>
      </c>
      <c r="AI255" s="1" t="str">
        <f>IF(HR_Data[[#This Row],[YearsAtCompany]]&lt;=2,"0-2 Yrs",IF(HR_Data[[#This Row],[YearsAtCompany]]&lt;=5,"3-5 Yrs",IF(HR_Data[[#This Row],[YearsAtCompany]]&lt;=10,"6-10 Yrs","10+ Yrs")))</f>
        <v>3-5 Yrs</v>
      </c>
      <c r="AJ255" s="1">
        <f>IF(HR_Data[[#This Row],[YearsAtCompany]]&lt;=2,1,IF(HR_Data[[#This Row],[YearsAtCompany]]&lt;=5,2,IF(HR_Data[[#This Row],[YearsAtCompany]]&lt;=10,3,4)))</f>
        <v>2</v>
      </c>
      <c r="AK255" s="1" t="str">
        <f>CHOOSE(HR_Data[[#This Row],[Education]],"Below College","College","Bachelor","Master","Doctor")</f>
        <v>College</v>
      </c>
      <c r="AL255" s="1" t="str">
        <f>CHOOSE(HR_Data[[#This Row],[JobSatisfaction]],"Low","Medium","High","Very High")</f>
        <v>Low</v>
      </c>
      <c r="AM255" s="1" t="str">
        <f>CHOOSE(HR_Data[[#This Row],[EnvironmentSatisfaction]],"Low","Medium","High","Very High")</f>
        <v>Very High</v>
      </c>
      <c r="AN255" s="1" t="str">
        <f>CHOOSE(HR_Data[[#This Row],[WorkLifeBalance]],"Bad","Good","Better","Best")</f>
        <v>Better</v>
      </c>
      <c r="AO255" s="1" t="str">
        <f>IF(HR_Data[[#This Row],[PercentSalaryHike]]&lt;=13,"11-13%",IF(HR_Data[[#This Row],[PercentSalaryHike]]&lt;=16,"14-16%",IF(HR_Data[[#This Row],[PercentSalaryHike]]&lt;=19,"17-19%","20-25%")))</f>
        <v>11-13%</v>
      </c>
      <c r="AP255" s="1">
        <f>IF(HR_Data[[#This Row],[PercentSalaryHike]]&lt;=13,1,IF(HR_Data[[#This Row],[PercentSalaryHike]]&lt;=16,2,IF(HR_Data[[#This Row],[PercentSalaryHike]]&lt;=19,3,4)))</f>
        <v>1</v>
      </c>
      <c r="AQ255" s="1" t="str">
        <f>IF(HR_Data[[#This Row],[DistanceFromHome]]&lt;=5,"1 to 5",IF(HR_Data[[#This Row],[DistanceFromHome]]&lt;=10,"6 to 10",IF(HR_Data[[#This Row],[DistanceFromHome]]&lt;=20,"11 to 20","21 to 29")))</f>
        <v>11 to 20</v>
      </c>
      <c r="AR255" s="1">
        <f>IF(HR_Data[[#This Row],[DistanceFromHome]]&lt;=5,1,IF(HR_Data[[#This Row],[DistanceFromHome]]&lt;=10,2,IF(HR_Data[[#This Row],[DistanceFromHome]]&lt;=20,3,4)))</f>
        <v>3</v>
      </c>
      <c r="AS255" s="1" t="str">
        <f>IF(HR_Data[[#This Row],[TotalWorkingYears]]&lt;=5,"0-5 Yrs",IF(HR_Data[[#This Row],[TotalWorkingYears]]&lt;=10,"6-10 Yrs",IF(HR_Data[[#This Row],[TotalWorkingYears]]&lt;=20,"11-20 Yrs","20+ Yrs")))</f>
        <v>6-10 Yrs</v>
      </c>
      <c r="AT255" s="1">
        <f>IF(HR_Data[[#This Row],[TotalWorkingYears]]&lt;=5,1,IF(HR_Data[[#This Row],[TotalWorkingYears]]&lt;=10,2,IF(HR_Data[[#This Row],[TotalWorkingYears]]&lt;=20,3,4)))</f>
        <v>2</v>
      </c>
    </row>
    <row r="256" spans="1:46" x14ac:dyDescent="0.25">
      <c r="A256">
        <v>29</v>
      </c>
      <c r="B256" t="s">
        <v>36</v>
      </c>
      <c r="C256" t="s">
        <v>30</v>
      </c>
      <c r="D256" t="s">
        <v>31</v>
      </c>
      <c r="E256">
        <v>20</v>
      </c>
      <c r="F256">
        <v>2</v>
      </c>
      <c r="G256" t="s">
        <v>52</v>
      </c>
      <c r="H256">
        <v>349</v>
      </c>
      <c r="I256">
        <v>4</v>
      </c>
      <c r="J256" t="s">
        <v>39</v>
      </c>
      <c r="K256">
        <v>3</v>
      </c>
      <c r="L256">
        <v>2</v>
      </c>
      <c r="M256" t="s">
        <v>34</v>
      </c>
      <c r="N256">
        <v>4</v>
      </c>
      <c r="O256" t="s">
        <v>45</v>
      </c>
      <c r="P256">
        <v>6931</v>
      </c>
      <c r="Q256">
        <v>2</v>
      </c>
      <c r="R256" t="s">
        <v>36</v>
      </c>
      <c r="S256">
        <v>14</v>
      </c>
      <c r="T256">
        <v>3</v>
      </c>
      <c r="U256">
        <v>4</v>
      </c>
      <c r="V256">
        <v>1</v>
      </c>
      <c r="W256">
        <v>10</v>
      </c>
      <c r="X256">
        <v>2</v>
      </c>
      <c r="Y256">
        <v>3</v>
      </c>
      <c r="Z256">
        <v>3</v>
      </c>
      <c r="AA256">
        <v>2</v>
      </c>
      <c r="AB256">
        <v>0</v>
      </c>
      <c r="AC256">
        <v>2</v>
      </c>
      <c r="AD256">
        <f>IF(HR_Data[[#This Row],[Attrition]]="Yes",1,0)</f>
        <v>0</v>
      </c>
      <c r="AE256" t="str">
        <f>IF(HR_Data[[#This Row],[Age]]&lt;=25,"18-25",IF(HR_Data[[#This Row],[Age]]&lt;=35,"26-35",IF(HR_Data[[#This Row],[Age]]&lt;=45,"36-45",IF(HR_Data[[#This Row],[Age]]&lt;=55,"46-55","55+"))))</f>
        <v>26-35</v>
      </c>
      <c r="AF256">
        <f>IF(HR_Data[[#This Row],[Age]]&lt;=25,1,IF(HR_Data[[#This Row],[Age]]&lt;=35,2,IF(HR_Data[[#This Row],[Age]]&lt;=45,3,IF(HR_Data[[#This Row],[Age]]&lt;=55,4,5))))</f>
        <v>2</v>
      </c>
      <c r="AG256" s="1" t="str">
        <f>IF(HR_Data[[#This Row],[MonthlyIncome]]&lt;3000,"&lt;3K",IF(HR_Data[[#This Row],[MonthlyIncome]]&lt;6000,"3K-6K",IF(HR_Data[[#This Row],[MonthlyIncome]]&lt;10000,"6K-10K","10K+")))</f>
        <v>6K-10K</v>
      </c>
      <c r="AH256" s="1">
        <f>IF(HR_Data[[#This Row],[MonthlyIncome]]&lt;3000,1,IF(HR_Data[[#This Row],[MonthlyIncome]]&lt;6000,2,IF(HR_Data[[#This Row],[MonthlyIncome]]&lt;10000,3,4)))</f>
        <v>3</v>
      </c>
      <c r="AI256" s="1" t="str">
        <f>IF(HR_Data[[#This Row],[YearsAtCompany]]&lt;=2,"0-2 Yrs",IF(HR_Data[[#This Row],[YearsAtCompany]]&lt;=5,"3-5 Yrs",IF(HR_Data[[#This Row],[YearsAtCompany]]&lt;=10,"6-10 Yrs","10+ Yrs")))</f>
        <v>3-5 Yrs</v>
      </c>
      <c r="AJ256" s="1">
        <f>IF(HR_Data[[#This Row],[YearsAtCompany]]&lt;=2,1,IF(HR_Data[[#This Row],[YearsAtCompany]]&lt;=5,2,IF(HR_Data[[#This Row],[YearsAtCompany]]&lt;=10,3,4)))</f>
        <v>2</v>
      </c>
      <c r="AK256" s="1" t="str">
        <f>CHOOSE(HR_Data[[#This Row],[Education]],"Below College","College","Bachelor","Master","Doctor")</f>
        <v>College</v>
      </c>
      <c r="AL256" s="1" t="str">
        <f>CHOOSE(HR_Data[[#This Row],[JobSatisfaction]],"Low","Medium","High","Very High")</f>
        <v>Very High</v>
      </c>
      <c r="AM256" s="1" t="str">
        <f>CHOOSE(HR_Data[[#This Row],[EnvironmentSatisfaction]],"Low","Medium","High","Very High")</f>
        <v>Very High</v>
      </c>
      <c r="AN256" s="1" t="str">
        <f>CHOOSE(HR_Data[[#This Row],[WorkLifeBalance]],"Bad","Good","Better","Best")</f>
        <v>Better</v>
      </c>
      <c r="AO256" s="1" t="str">
        <f>IF(HR_Data[[#This Row],[PercentSalaryHike]]&lt;=13,"11-13%",IF(HR_Data[[#This Row],[PercentSalaryHike]]&lt;=16,"14-16%",IF(HR_Data[[#This Row],[PercentSalaryHike]]&lt;=19,"17-19%","20-25%")))</f>
        <v>14-16%</v>
      </c>
      <c r="AP256" s="1">
        <f>IF(HR_Data[[#This Row],[PercentSalaryHike]]&lt;=13,1,IF(HR_Data[[#This Row],[PercentSalaryHike]]&lt;=16,2,IF(HR_Data[[#This Row],[PercentSalaryHike]]&lt;=19,3,4)))</f>
        <v>2</v>
      </c>
      <c r="AQ256" s="1" t="str">
        <f>IF(HR_Data[[#This Row],[DistanceFromHome]]&lt;=5,"1 to 5",IF(HR_Data[[#This Row],[DistanceFromHome]]&lt;=10,"6 to 10",IF(HR_Data[[#This Row],[DistanceFromHome]]&lt;=20,"11 to 20","21 to 29")))</f>
        <v>11 to 20</v>
      </c>
      <c r="AR256" s="1">
        <f>IF(HR_Data[[#This Row],[DistanceFromHome]]&lt;=5,1,IF(HR_Data[[#This Row],[DistanceFromHome]]&lt;=10,2,IF(HR_Data[[#This Row],[DistanceFromHome]]&lt;=20,3,4)))</f>
        <v>3</v>
      </c>
      <c r="AS256" s="1" t="str">
        <f>IF(HR_Data[[#This Row],[TotalWorkingYears]]&lt;=5,"0-5 Yrs",IF(HR_Data[[#This Row],[TotalWorkingYears]]&lt;=10,"6-10 Yrs",IF(HR_Data[[#This Row],[TotalWorkingYears]]&lt;=20,"11-20 Yrs","20+ Yrs")))</f>
        <v>6-10 Yrs</v>
      </c>
      <c r="AT256" s="1">
        <f>IF(HR_Data[[#This Row],[TotalWorkingYears]]&lt;=5,1,IF(HR_Data[[#This Row],[TotalWorkingYears]]&lt;=10,2,IF(HR_Data[[#This Row],[TotalWorkingYears]]&lt;=20,3,4)))</f>
        <v>2</v>
      </c>
    </row>
    <row r="257" spans="1:46" x14ac:dyDescent="0.25">
      <c r="A257">
        <v>25</v>
      </c>
      <c r="B257" t="s">
        <v>36</v>
      </c>
      <c r="C257" t="s">
        <v>30</v>
      </c>
      <c r="D257" t="s">
        <v>38</v>
      </c>
      <c r="E257">
        <v>1</v>
      </c>
      <c r="F257">
        <v>3</v>
      </c>
      <c r="G257" t="s">
        <v>32</v>
      </c>
      <c r="H257">
        <v>350</v>
      </c>
      <c r="I257">
        <v>1</v>
      </c>
      <c r="J257" t="s">
        <v>33</v>
      </c>
      <c r="K257">
        <v>3</v>
      </c>
      <c r="L257">
        <v>2</v>
      </c>
      <c r="M257" t="s">
        <v>46</v>
      </c>
      <c r="N257">
        <v>3</v>
      </c>
      <c r="O257" t="s">
        <v>41</v>
      </c>
      <c r="P257">
        <v>4898</v>
      </c>
      <c r="Q257">
        <v>0</v>
      </c>
      <c r="R257" t="s">
        <v>36</v>
      </c>
      <c r="S257">
        <v>12</v>
      </c>
      <c r="T257">
        <v>3</v>
      </c>
      <c r="U257">
        <v>4</v>
      </c>
      <c r="V257">
        <v>2</v>
      </c>
      <c r="W257">
        <v>5</v>
      </c>
      <c r="X257">
        <v>3</v>
      </c>
      <c r="Y257">
        <v>3</v>
      </c>
      <c r="Z257">
        <v>4</v>
      </c>
      <c r="AA257">
        <v>2</v>
      </c>
      <c r="AB257">
        <v>1</v>
      </c>
      <c r="AC257">
        <v>2</v>
      </c>
      <c r="AD257">
        <f>IF(HR_Data[[#This Row],[Attrition]]="Yes",1,0)</f>
        <v>0</v>
      </c>
      <c r="AE257" t="str">
        <f>IF(HR_Data[[#This Row],[Age]]&lt;=25,"18-25",IF(HR_Data[[#This Row],[Age]]&lt;=35,"26-35",IF(HR_Data[[#This Row],[Age]]&lt;=45,"36-45",IF(HR_Data[[#This Row],[Age]]&lt;=55,"46-55","55+"))))</f>
        <v>18-25</v>
      </c>
      <c r="AF257">
        <f>IF(HR_Data[[#This Row],[Age]]&lt;=25,1,IF(HR_Data[[#This Row],[Age]]&lt;=35,2,IF(HR_Data[[#This Row],[Age]]&lt;=45,3,IF(HR_Data[[#This Row],[Age]]&lt;=55,4,5))))</f>
        <v>1</v>
      </c>
      <c r="AG257" s="1" t="str">
        <f>IF(HR_Data[[#This Row],[MonthlyIncome]]&lt;3000,"&lt;3K",IF(HR_Data[[#This Row],[MonthlyIncome]]&lt;6000,"3K-6K",IF(HR_Data[[#This Row],[MonthlyIncome]]&lt;10000,"6K-10K","10K+")))</f>
        <v>3K-6K</v>
      </c>
      <c r="AH257" s="1">
        <f>IF(HR_Data[[#This Row],[MonthlyIncome]]&lt;3000,1,IF(HR_Data[[#This Row],[MonthlyIncome]]&lt;6000,2,IF(HR_Data[[#This Row],[MonthlyIncome]]&lt;10000,3,4)))</f>
        <v>2</v>
      </c>
      <c r="AI257" s="1" t="str">
        <f>IF(HR_Data[[#This Row],[YearsAtCompany]]&lt;=2,"0-2 Yrs",IF(HR_Data[[#This Row],[YearsAtCompany]]&lt;=5,"3-5 Yrs",IF(HR_Data[[#This Row],[YearsAtCompany]]&lt;=10,"6-10 Yrs","10+ Yrs")))</f>
        <v>3-5 Yrs</v>
      </c>
      <c r="AJ257" s="1">
        <f>IF(HR_Data[[#This Row],[YearsAtCompany]]&lt;=2,1,IF(HR_Data[[#This Row],[YearsAtCompany]]&lt;=5,2,IF(HR_Data[[#This Row],[YearsAtCompany]]&lt;=10,3,4)))</f>
        <v>2</v>
      </c>
      <c r="AK257" s="1" t="str">
        <f>CHOOSE(HR_Data[[#This Row],[Education]],"Below College","College","Bachelor","Master","Doctor")</f>
        <v>Bachelor</v>
      </c>
      <c r="AL257" s="1" t="str">
        <f>CHOOSE(HR_Data[[#This Row],[JobSatisfaction]],"Low","Medium","High","Very High")</f>
        <v>High</v>
      </c>
      <c r="AM257" s="1" t="str">
        <f>CHOOSE(HR_Data[[#This Row],[EnvironmentSatisfaction]],"Low","Medium","High","Very High")</f>
        <v>Low</v>
      </c>
      <c r="AN257" s="1" t="str">
        <f>CHOOSE(HR_Data[[#This Row],[WorkLifeBalance]],"Bad","Good","Better","Best")</f>
        <v>Better</v>
      </c>
      <c r="AO257" s="1" t="str">
        <f>IF(HR_Data[[#This Row],[PercentSalaryHike]]&lt;=13,"11-13%",IF(HR_Data[[#This Row],[PercentSalaryHike]]&lt;=16,"14-16%",IF(HR_Data[[#This Row],[PercentSalaryHike]]&lt;=19,"17-19%","20-25%")))</f>
        <v>11-13%</v>
      </c>
      <c r="AP257" s="1">
        <f>IF(HR_Data[[#This Row],[PercentSalaryHike]]&lt;=13,1,IF(HR_Data[[#This Row],[PercentSalaryHike]]&lt;=16,2,IF(HR_Data[[#This Row],[PercentSalaryHike]]&lt;=19,3,4)))</f>
        <v>1</v>
      </c>
      <c r="AQ257" s="1" t="str">
        <f>IF(HR_Data[[#This Row],[DistanceFromHome]]&lt;=5,"1 to 5",IF(HR_Data[[#This Row],[DistanceFromHome]]&lt;=10,"6 to 10",IF(HR_Data[[#This Row],[DistanceFromHome]]&lt;=20,"11 to 20","21 to 29")))</f>
        <v>1 to 5</v>
      </c>
      <c r="AR257" s="1">
        <f>IF(HR_Data[[#This Row],[DistanceFromHome]]&lt;=5,1,IF(HR_Data[[#This Row],[DistanceFromHome]]&lt;=10,2,IF(HR_Data[[#This Row],[DistanceFromHome]]&lt;=20,3,4)))</f>
        <v>1</v>
      </c>
      <c r="AS257" s="1" t="str">
        <f>IF(HR_Data[[#This Row],[TotalWorkingYears]]&lt;=5,"0-5 Yrs",IF(HR_Data[[#This Row],[TotalWorkingYears]]&lt;=10,"6-10 Yrs",IF(HR_Data[[#This Row],[TotalWorkingYears]]&lt;=20,"11-20 Yrs","20+ Yrs")))</f>
        <v>0-5 Yrs</v>
      </c>
      <c r="AT257" s="1">
        <f>IF(HR_Data[[#This Row],[TotalWorkingYears]]&lt;=5,1,IF(HR_Data[[#This Row],[TotalWorkingYears]]&lt;=10,2,IF(HR_Data[[#This Row],[TotalWorkingYears]]&lt;=20,3,4)))</f>
        <v>1</v>
      </c>
    </row>
    <row r="258" spans="1:46" x14ac:dyDescent="0.25">
      <c r="A258">
        <v>42</v>
      </c>
      <c r="B258" t="s">
        <v>36</v>
      </c>
      <c r="C258" t="s">
        <v>30</v>
      </c>
      <c r="D258" t="s">
        <v>38</v>
      </c>
      <c r="E258">
        <v>2</v>
      </c>
      <c r="F258">
        <v>3</v>
      </c>
      <c r="G258" t="s">
        <v>44</v>
      </c>
      <c r="H258">
        <v>351</v>
      </c>
      <c r="I258">
        <v>4</v>
      </c>
      <c r="J258" t="s">
        <v>33</v>
      </c>
      <c r="K258">
        <v>2</v>
      </c>
      <c r="L258">
        <v>1</v>
      </c>
      <c r="M258" t="s">
        <v>43</v>
      </c>
      <c r="N258">
        <v>1</v>
      </c>
      <c r="O258" t="s">
        <v>45</v>
      </c>
      <c r="P258">
        <v>2593</v>
      </c>
      <c r="Q258">
        <v>0</v>
      </c>
      <c r="R258" t="s">
        <v>29</v>
      </c>
      <c r="S258">
        <v>11</v>
      </c>
      <c r="T258">
        <v>3</v>
      </c>
      <c r="U258">
        <v>3</v>
      </c>
      <c r="V258">
        <v>1</v>
      </c>
      <c r="W258">
        <v>10</v>
      </c>
      <c r="X258">
        <v>4</v>
      </c>
      <c r="Y258">
        <v>3</v>
      </c>
      <c r="Z258">
        <v>9</v>
      </c>
      <c r="AA258">
        <v>6</v>
      </c>
      <c r="AB258">
        <v>7</v>
      </c>
      <c r="AC258">
        <v>8</v>
      </c>
      <c r="AD258">
        <f>IF(HR_Data[[#This Row],[Attrition]]="Yes",1,0)</f>
        <v>0</v>
      </c>
      <c r="AE258" t="str">
        <f>IF(HR_Data[[#This Row],[Age]]&lt;=25,"18-25",IF(HR_Data[[#This Row],[Age]]&lt;=35,"26-35",IF(HR_Data[[#This Row],[Age]]&lt;=45,"36-45",IF(HR_Data[[#This Row],[Age]]&lt;=55,"46-55","55+"))))</f>
        <v>36-45</v>
      </c>
      <c r="AF258">
        <f>IF(HR_Data[[#This Row],[Age]]&lt;=25,1,IF(HR_Data[[#This Row],[Age]]&lt;=35,2,IF(HR_Data[[#This Row],[Age]]&lt;=45,3,IF(HR_Data[[#This Row],[Age]]&lt;=55,4,5))))</f>
        <v>3</v>
      </c>
      <c r="AG258" s="1" t="str">
        <f>IF(HR_Data[[#This Row],[MonthlyIncome]]&lt;3000,"&lt;3K",IF(HR_Data[[#This Row],[MonthlyIncome]]&lt;6000,"3K-6K",IF(HR_Data[[#This Row],[MonthlyIncome]]&lt;10000,"6K-10K","10K+")))</f>
        <v>&lt;3K</v>
      </c>
      <c r="AH258" s="1">
        <f>IF(HR_Data[[#This Row],[MonthlyIncome]]&lt;3000,1,IF(HR_Data[[#This Row],[MonthlyIncome]]&lt;6000,2,IF(HR_Data[[#This Row],[MonthlyIncome]]&lt;10000,3,4)))</f>
        <v>1</v>
      </c>
      <c r="AI258" s="1" t="str">
        <f>IF(HR_Data[[#This Row],[YearsAtCompany]]&lt;=2,"0-2 Yrs",IF(HR_Data[[#This Row],[YearsAtCompany]]&lt;=5,"3-5 Yrs",IF(HR_Data[[#This Row],[YearsAtCompany]]&lt;=10,"6-10 Yrs","10+ Yrs")))</f>
        <v>6-10 Yrs</v>
      </c>
      <c r="AJ258" s="1">
        <f>IF(HR_Data[[#This Row],[YearsAtCompany]]&lt;=2,1,IF(HR_Data[[#This Row],[YearsAtCompany]]&lt;=5,2,IF(HR_Data[[#This Row],[YearsAtCompany]]&lt;=10,3,4)))</f>
        <v>3</v>
      </c>
      <c r="AK258" s="1" t="str">
        <f>CHOOSE(HR_Data[[#This Row],[Education]],"Below College","College","Bachelor","Master","Doctor")</f>
        <v>Bachelor</v>
      </c>
      <c r="AL258" s="1" t="str">
        <f>CHOOSE(HR_Data[[#This Row],[JobSatisfaction]],"Low","Medium","High","Very High")</f>
        <v>Low</v>
      </c>
      <c r="AM258" s="1" t="str">
        <f>CHOOSE(HR_Data[[#This Row],[EnvironmentSatisfaction]],"Low","Medium","High","Very High")</f>
        <v>Very High</v>
      </c>
      <c r="AN258" s="1" t="str">
        <f>CHOOSE(HR_Data[[#This Row],[WorkLifeBalance]],"Bad","Good","Better","Best")</f>
        <v>Better</v>
      </c>
      <c r="AO258" s="1" t="str">
        <f>IF(HR_Data[[#This Row],[PercentSalaryHike]]&lt;=13,"11-13%",IF(HR_Data[[#This Row],[PercentSalaryHike]]&lt;=16,"14-16%",IF(HR_Data[[#This Row],[PercentSalaryHike]]&lt;=19,"17-19%","20-25%")))</f>
        <v>11-13%</v>
      </c>
      <c r="AP258" s="1">
        <f>IF(HR_Data[[#This Row],[PercentSalaryHike]]&lt;=13,1,IF(HR_Data[[#This Row],[PercentSalaryHike]]&lt;=16,2,IF(HR_Data[[#This Row],[PercentSalaryHike]]&lt;=19,3,4)))</f>
        <v>1</v>
      </c>
      <c r="AQ258" s="1" t="str">
        <f>IF(HR_Data[[#This Row],[DistanceFromHome]]&lt;=5,"1 to 5",IF(HR_Data[[#This Row],[DistanceFromHome]]&lt;=10,"6 to 10",IF(HR_Data[[#This Row],[DistanceFromHome]]&lt;=20,"11 to 20","21 to 29")))</f>
        <v>1 to 5</v>
      </c>
      <c r="AR258" s="1">
        <f>IF(HR_Data[[#This Row],[DistanceFromHome]]&lt;=5,1,IF(HR_Data[[#This Row],[DistanceFromHome]]&lt;=10,2,IF(HR_Data[[#This Row],[DistanceFromHome]]&lt;=20,3,4)))</f>
        <v>1</v>
      </c>
      <c r="AS258" s="1" t="str">
        <f>IF(HR_Data[[#This Row],[TotalWorkingYears]]&lt;=5,"0-5 Yrs",IF(HR_Data[[#This Row],[TotalWorkingYears]]&lt;=10,"6-10 Yrs",IF(HR_Data[[#This Row],[TotalWorkingYears]]&lt;=20,"11-20 Yrs","20+ Yrs")))</f>
        <v>6-10 Yrs</v>
      </c>
      <c r="AT258" s="1">
        <f>IF(HR_Data[[#This Row],[TotalWorkingYears]]&lt;=5,1,IF(HR_Data[[#This Row],[TotalWorkingYears]]&lt;=10,2,IF(HR_Data[[#This Row],[TotalWorkingYears]]&lt;=20,3,4)))</f>
        <v>2</v>
      </c>
    </row>
    <row r="259" spans="1:46" x14ac:dyDescent="0.25">
      <c r="A259">
        <v>40</v>
      </c>
      <c r="B259" t="s">
        <v>36</v>
      </c>
      <c r="C259" t="s">
        <v>30</v>
      </c>
      <c r="D259" t="s">
        <v>38</v>
      </c>
      <c r="E259">
        <v>2</v>
      </c>
      <c r="F259">
        <v>2</v>
      </c>
      <c r="G259" t="s">
        <v>44</v>
      </c>
      <c r="H259">
        <v>352</v>
      </c>
      <c r="I259">
        <v>1</v>
      </c>
      <c r="J259" t="s">
        <v>39</v>
      </c>
      <c r="K259">
        <v>3</v>
      </c>
      <c r="L259">
        <v>5</v>
      </c>
      <c r="M259" t="s">
        <v>51</v>
      </c>
      <c r="N259">
        <v>3</v>
      </c>
      <c r="O259" t="s">
        <v>45</v>
      </c>
      <c r="P259">
        <v>19436</v>
      </c>
      <c r="Q259">
        <v>0</v>
      </c>
      <c r="R259" t="s">
        <v>36</v>
      </c>
      <c r="S259">
        <v>19</v>
      </c>
      <c r="T259">
        <v>3</v>
      </c>
      <c r="U259">
        <v>4</v>
      </c>
      <c r="V259">
        <v>1</v>
      </c>
      <c r="W259">
        <v>22</v>
      </c>
      <c r="X259">
        <v>5</v>
      </c>
      <c r="Y259">
        <v>3</v>
      </c>
      <c r="Z259">
        <v>21</v>
      </c>
      <c r="AA259">
        <v>7</v>
      </c>
      <c r="AB259">
        <v>3</v>
      </c>
      <c r="AC259">
        <v>9</v>
      </c>
      <c r="AD259">
        <f>IF(HR_Data[[#This Row],[Attrition]]="Yes",1,0)</f>
        <v>0</v>
      </c>
      <c r="AE259" t="str">
        <f>IF(HR_Data[[#This Row],[Age]]&lt;=25,"18-25",IF(HR_Data[[#This Row],[Age]]&lt;=35,"26-35",IF(HR_Data[[#This Row],[Age]]&lt;=45,"36-45",IF(HR_Data[[#This Row],[Age]]&lt;=55,"46-55","55+"))))</f>
        <v>36-45</v>
      </c>
      <c r="AF259">
        <f>IF(HR_Data[[#This Row],[Age]]&lt;=25,1,IF(HR_Data[[#This Row],[Age]]&lt;=35,2,IF(HR_Data[[#This Row],[Age]]&lt;=45,3,IF(HR_Data[[#This Row],[Age]]&lt;=55,4,5))))</f>
        <v>3</v>
      </c>
      <c r="AG259" s="1" t="str">
        <f>IF(HR_Data[[#This Row],[MonthlyIncome]]&lt;3000,"&lt;3K",IF(HR_Data[[#This Row],[MonthlyIncome]]&lt;6000,"3K-6K",IF(HR_Data[[#This Row],[MonthlyIncome]]&lt;10000,"6K-10K","10K+")))</f>
        <v>10K+</v>
      </c>
      <c r="AH259" s="1">
        <f>IF(HR_Data[[#This Row],[MonthlyIncome]]&lt;3000,1,IF(HR_Data[[#This Row],[MonthlyIncome]]&lt;6000,2,IF(HR_Data[[#This Row],[MonthlyIncome]]&lt;10000,3,4)))</f>
        <v>4</v>
      </c>
      <c r="AI259" s="1" t="str">
        <f>IF(HR_Data[[#This Row],[YearsAtCompany]]&lt;=2,"0-2 Yrs",IF(HR_Data[[#This Row],[YearsAtCompany]]&lt;=5,"3-5 Yrs",IF(HR_Data[[#This Row],[YearsAtCompany]]&lt;=10,"6-10 Yrs","10+ Yrs")))</f>
        <v>10+ Yrs</v>
      </c>
      <c r="AJ259" s="1">
        <f>IF(HR_Data[[#This Row],[YearsAtCompany]]&lt;=2,1,IF(HR_Data[[#This Row],[YearsAtCompany]]&lt;=5,2,IF(HR_Data[[#This Row],[YearsAtCompany]]&lt;=10,3,4)))</f>
        <v>4</v>
      </c>
      <c r="AK259" s="1" t="str">
        <f>CHOOSE(HR_Data[[#This Row],[Education]],"Below College","College","Bachelor","Master","Doctor")</f>
        <v>College</v>
      </c>
      <c r="AL259" s="1" t="str">
        <f>CHOOSE(HR_Data[[#This Row],[JobSatisfaction]],"Low","Medium","High","Very High")</f>
        <v>High</v>
      </c>
      <c r="AM259" s="1" t="str">
        <f>CHOOSE(HR_Data[[#This Row],[EnvironmentSatisfaction]],"Low","Medium","High","Very High")</f>
        <v>Low</v>
      </c>
      <c r="AN259" s="1" t="str">
        <f>CHOOSE(HR_Data[[#This Row],[WorkLifeBalance]],"Bad","Good","Better","Best")</f>
        <v>Better</v>
      </c>
      <c r="AO259" s="1" t="str">
        <f>IF(HR_Data[[#This Row],[PercentSalaryHike]]&lt;=13,"11-13%",IF(HR_Data[[#This Row],[PercentSalaryHike]]&lt;=16,"14-16%",IF(HR_Data[[#This Row],[PercentSalaryHike]]&lt;=19,"17-19%","20-25%")))</f>
        <v>17-19%</v>
      </c>
      <c r="AP259" s="1">
        <f>IF(HR_Data[[#This Row],[PercentSalaryHike]]&lt;=13,1,IF(HR_Data[[#This Row],[PercentSalaryHike]]&lt;=16,2,IF(HR_Data[[#This Row],[PercentSalaryHike]]&lt;=19,3,4)))</f>
        <v>3</v>
      </c>
      <c r="AQ259" s="1" t="str">
        <f>IF(HR_Data[[#This Row],[DistanceFromHome]]&lt;=5,"1 to 5",IF(HR_Data[[#This Row],[DistanceFromHome]]&lt;=10,"6 to 10",IF(HR_Data[[#This Row],[DistanceFromHome]]&lt;=20,"11 to 20","21 to 29")))</f>
        <v>1 to 5</v>
      </c>
      <c r="AR259" s="1">
        <f>IF(HR_Data[[#This Row],[DistanceFromHome]]&lt;=5,1,IF(HR_Data[[#This Row],[DistanceFromHome]]&lt;=10,2,IF(HR_Data[[#This Row],[DistanceFromHome]]&lt;=20,3,4)))</f>
        <v>1</v>
      </c>
      <c r="AS259" s="1" t="str">
        <f>IF(HR_Data[[#This Row],[TotalWorkingYears]]&lt;=5,"0-5 Yrs",IF(HR_Data[[#This Row],[TotalWorkingYears]]&lt;=10,"6-10 Yrs",IF(HR_Data[[#This Row],[TotalWorkingYears]]&lt;=20,"11-20 Yrs","20+ Yrs")))</f>
        <v>20+ Yrs</v>
      </c>
      <c r="AT259" s="1">
        <f>IF(HR_Data[[#This Row],[TotalWorkingYears]]&lt;=5,1,IF(HR_Data[[#This Row],[TotalWorkingYears]]&lt;=10,2,IF(HR_Data[[#This Row],[TotalWorkingYears]]&lt;=20,3,4)))</f>
        <v>4</v>
      </c>
    </row>
    <row r="260" spans="1:46" x14ac:dyDescent="0.25">
      <c r="A260">
        <v>51</v>
      </c>
      <c r="B260" t="s">
        <v>36</v>
      </c>
      <c r="C260" t="s">
        <v>30</v>
      </c>
      <c r="D260" t="s">
        <v>38</v>
      </c>
      <c r="E260">
        <v>1</v>
      </c>
      <c r="F260">
        <v>3</v>
      </c>
      <c r="G260" t="s">
        <v>32</v>
      </c>
      <c r="H260">
        <v>353</v>
      </c>
      <c r="I260">
        <v>3</v>
      </c>
      <c r="J260" t="s">
        <v>39</v>
      </c>
      <c r="K260">
        <v>3</v>
      </c>
      <c r="L260">
        <v>1</v>
      </c>
      <c r="M260" t="s">
        <v>40</v>
      </c>
      <c r="N260">
        <v>4</v>
      </c>
      <c r="O260" t="s">
        <v>41</v>
      </c>
      <c r="P260">
        <v>2723</v>
      </c>
      <c r="Q260">
        <v>1</v>
      </c>
      <c r="R260" t="s">
        <v>36</v>
      </c>
      <c r="S260">
        <v>11</v>
      </c>
      <c r="T260">
        <v>3</v>
      </c>
      <c r="U260">
        <v>2</v>
      </c>
      <c r="V260">
        <v>0</v>
      </c>
      <c r="W260">
        <v>1</v>
      </c>
      <c r="X260">
        <v>0</v>
      </c>
      <c r="Y260">
        <v>2</v>
      </c>
      <c r="Z260">
        <v>1</v>
      </c>
      <c r="AA260">
        <v>0</v>
      </c>
      <c r="AB260">
        <v>0</v>
      </c>
      <c r="AC260">
        <v>0</v>
      </c>
      <c r="AD260">
        <f>IF(HR_Data[[#This Row],[Attrition]]="Yes",1,0)</f>
        <v>0</v>
      </c>
      <c r="AE260" t="str">
        <f>IF(HR_Data[[#This Row],[Age]]&lt;=25,"18-25",IF(HR_Data[[#This Row],[Age]]&lt;=35,"26-35",IF(HR_Data[[#This Row],[Age]]&lt;=45,"36-45",IF(HR_Data[[#This Row],[Age]]&lt;=55,"46-55","55+"))))</f>
        <v>46-55</v>
      </c>
      <c r="AF260">
        <f>IF(HR_Data[[#This Row],[Age]]&lt;=25,1,IF(HR_Data[[#This Row],[Age]]&lt;=35,2,IF(HR_Data[[#This Row],[Age]]&lt;=45,3,IF(HR_Data[[#This Row],[Age]]&lt;=55,4,5))))</f>
        <v>4</v>
      </c>
      <c r="AG260" s="1" t="str">
        <f>IF(HR_Data[[#This Row],[MonthlyIncome]]&lt;3000,"&lt;3K",IF(HR_Data[[#This Row],[MonthlyIncome]]&lt;6000,"3K-6K",IF(HR_Data[[#This Row],[MonthlyIncome]]&lt;10000,"6K-10K","10K+")))</f>
        <v>&lt;3K</v>
      </c>
      <c r="AH260" s="1">
        <f>IF(HR_Data[[#This Row],[MonthlyIncome]]&lt;3000,1,IF(HR_Data[[#This Row],[MonthlyIncome]]&lt;6000,2,IF(HR_Data[[#This Row],[MonthlyIncome]]&lt;10000,3,4)))</f>
        <v>1</v>
      </c>
      <c r="AI260" s="1" t="str">
        <f>IF(HR_Data[[#This Row],[YearsAtCompany]]&lt;=2,"0-2 Yrs",IF(HR_Data[[#This Row],[YearsAtCompany]]&lt;=5,"3-5 Yrs",IF(HR_Data[[#This Row],[YearsAtCompany]]&lt;=10,"6-10 Yrs","10+ Yrs")))</f>
        <v>0-2 Yrs</v>
      </c>
      <c r="AJ260" s="1">
        <f>IF(HR_Data[[#This Row],[YearsAtCompany]]&lt;=2,1,IF(HR_Data[[#This Row],[YearsAtCompany]]&lt;=5,2,IF(HR_Data[[#This Row],[YearsAtCompany]]&lt;=10,3,4)))</f>
        <v>1</v>
      </c>
      <c r="AK260" s="1" t="str">
        <f>CHOOSE(HR_Data[[#This Row],[Education]],"Below College","College","Bachelor","Master","Doctor")</f>
        <v>Bachelor</v>
      </c>
      <c r="AL260" s="1" t="str">
        <f>CHOOSE(HR_Data[[#This Row],[JobSatisfaction]],"Low","Medium","High","Very High")</f>
        <v>Very High</v>
      </c>
      <c r="AM260" s="1" t="str">
        <f>CHOOSE(HR_Data[[#This Row],[EnvironmentSatisfaction]],"Low","Medium","High","Very High")</f>
        <v>High</v>
      </c>
      <c r="AN260" s="1" t="str">
        <f>CHOOSE(HR_Data[[#This Row],[WorkLifeBalance]],"Bad","Good","Better","Best")</f>
        <v>Good</v>
      </c>
      <c r="AO260" s="1" t="str">
        <f>IF(HR_Data[[#This Row],[PercentSalaryHike]]&lt;=13,"11-13%",IF(HR_Data[[#This Row],[PercentSalaryHike]]&lt;=16,"14-16%",IF(HR_Data[[#This Row],[PercentSalaryHike]]&lt;=19,"17-19%","20-25%")))</f>
        <v>11-13%</v>
      </c>
      <c r="AP260" s="1">
        <f>IF(HR_Data[[#This Row],[PercentSalaryHike]]&lt;=13,1,IF(HR_Data[[#This Row],[PercentSalaryHike]]&lt;=16,2,IF(HR_Data[[#This Row],[PercentSalaryHike]]&lt;=19,3,4)))</f>
        <v>1</v>
      </c>
      <c r="AQ260" s="1" t="str">
        <f>IF(HR_Data[[#This Row],[DistanceFromHome]]&lt;=5,"1 to 5",IF(HR_Data[[#This Row],[DistanceFromHome]]&lt;=10,"6 to 10",IF(HR_Data[[#This Row],[DistanceFromHome]]&lt;=20,"11 to 20","21 to 29")))</f>
        <v>1 to 5</v>
      </c>
      <c r="AR260" s="1">
        <f>IF(HR_Data[[#This Row],[DistanceFromHome]]&lt;=5,1,IF(HR_Data[[#This Row],[DistanceFromHome]]&lt;=10,2,IF(HR_Data[[#This Row],[DistanceFromHome]]&lt;=20,3,4)))</f>
        <v>1</v>
      </c>
      <c r="AS260" s="1" t="str">
        <f>IF(HR_Data[[#This Row],[TotalWorkingYears]]&lt;=5,"0-5 Yrs",IF(HR_Data[[#This Row],[TotalWorkingYears]]&lt;=10,"6-10 Yrs",IF(HR_Data[[#This Row],[TotalWorkingYears]]&lt;=20,"11-20 Yrs","20+ Yrs")))</f>
        <v>0-5 Yrs</v>
      </c>
      <c r="AT260" s="1">
        <f>IF(HR_Data[[#This Row],[TotalWorkingYears]]&lt;=5,1,IF(HR_Data[[#This Row],[TotalWorkingYears]]&lt;=10,2,IF(HR_Data[[#This Row],[TotalWorkingYears]]&lt;=20,3,4)))</f>
        <v>1</v>
      </c>
    </row>
    <row r="261" spans="1:46" x14ac:dyDescent="0.25">
      <c r="A261">
        <v>31</v>
      </c>
      <c r="B261" t="s">
        <v>29</v>
      </c>
      <c r="C261" t="s">
        <v>37</v>
      </c>
      <c r="D261" t="s">
        <v>38</v>
      </c>
      <c r="E261">
        <v>29</v>
      </c>
      <c r="F261">
        <v>2</v>
      </c>
      <c r="G261" t="s">
        <v>44</v>
      </c>
      <c r="H261">
        <v>355</v>
      </c>
      <c r="I261">
        <v>3</v>
      </c>
      <c r="J261" t="s">
        <v>39</v>
      </c>
      <c r="K261">
        <v>2</v>
      </c>
      <c r="L261">
        <v>1</v>
      </c>
      <c r="M261" t="s">
        <v>43</v>
      </c>
      <c r="N261">
        <v>2</v>
      </c>
      <c r="O261" t="s">
        <v>35</v>
      </c>
      <c r="P261">
        <v>3479</v>
      </c>
      <c r="Q261">
        <v>0</v>
      </c>
      <c r="R261" t="s">
        <v>36</v>
      </c>
      <c r="S261">
        <v>11</v>
      </c>
      <c r="T261">
        <v>3</v>
      </c>
      <c r="U261">
        <v>2</v>
      </c>
      <c r="V261">
        <v>0</v>
      </c>
      <c r="W261">
        <v>6</v>
      </c>
      <c r="X261">
        <v>2</v>
      </c>
      <c r="Y261">
        <v>4</v>
      </c>
      <c r="Z261">
        <v>5</v>
      </c>
      <c r="AA261">
        <v>4</v>
      </c>
      <c r="AB261">
        <v>1</v>
      </c>
      <c r="AC261">
        <v>4</v>
      </c>
      <c r="AD261">
        <f>IF(HR_Data[[#This Row],[Attrition]]="Yes",1,0)</f>
        <v>1</v>
      </c>
      <c r="AE261" t="str">
        <f>IF(HR_Data[[#This Row],[Age]]&lt;=25,"18-25",IF(HR_Data[[#This Row],[Age]]&lt;=35,"26-35",IF(HR_Data[[#This Row],[Age]]&lt;=45,"36-45",IF(HR_Data[[#This Row],[Age]]&lt;=55,"46-55","55+"))))</f>
        <v>26-35</v>
      </c>
      <c r="AF261">
        <f>IF(HR_Data[[#This Row],[Age]]&lt;=25,1,IF(HR_Data[[#This Row],[Age]]&lt;=35,2,IF(HR_Data[[#This Row],[Age]]&lt;=45,3,IF(HR_Data[[#This Row],[Age]]&lt;=55,4,5))))</f>
        <v>2</v>
      </c>
      <c r="AG261" s="1" t="str">
        <f>IF(HR_Data[[#This Row],[MonthlyIncome]]&lt;3000,"&lt;3K",IF(HR_Data[[#This Row],[MonthlyIncome]]&lt;6000,"3K-6K",IF(HR_Data[[#This Row],[MonthlyIncome]]&lt;10000,"6K-10K","10K+")))</f>
        <v>3K-6K</v>
      </c>
      <c r="AH261" s="1">
        <f>IF(HR_Data[[#This Row],[MonthlyIncome]]&lt;3000,1,IF(HR_Data[[#This Row],[MonthlyIncome]]&lt;6000,2,IF(HR_Data[[#This Row],[MonthlyIncome]]&lt;10000,3,4)))</f>
        <v>2</v>
      </c>
      <c r="AI261" s="1" t="str">
        <f>IF(HR_Data[[#This Row],[YearsAtCompany]]&lt;=2,"0-2 Yrs",IF(HR_Data[[#This Row],[YearsAtCompany]]&lt;=5,"3-5 Yrs",IF(HR_Data[[#This Row],[YearsAtCompany]]&lt;=10,"6-10 Yrs","10+ Yrs")))</f>
        <v>3-5 Yrs</v>
      </c>
      <c r="AJ261" s="1">
        <f>IF(HR_Data[[#This Row],[YearsAtCompany]]&lt;=2,1,IF(HR_Data[[#This Row],[YearsAtCompany]]&lt;=5,2,IF(HR_Data[[#This Row],[YearsAtCompany]]&lt;=10,3,4)))</f>
        <v>2</v>
      </c>
      <c r="AK261" s="1" t="str">
        <f>CHOOSE(HR_Data[[#This Row],[Education]],"Below College","College","Bachelor","Master","Doctor")</f>
        <v>College</v>
      </c>
      <c r="AL261" s="1" t="str">
        <f>CHOOSE(HR_Data[[#This Row],[JobSatisfaction]],"Low","Medium","High","Very High")</f>
        <v>Medium</v>
      </c>
      <c r="AM261" s="1" t="str">
        <f>CHOOSE(HR_Data[[#This Row],[EnvironmentSatisfaction]],"Low","Medium","High","Very High")</f>
        <v>High</v>
      </c>
      <c r="AN261" s="1" t="str">
        <f>CHOOSE(HR_Data[[#This Row],[WorkLifeBalance]],"Bad","Good","Better","Best")</f>
        <v>Best</v>
      </c>
      <c r="AO261" s="1" t="str">
        <f>IF(HR_Data[[#This Row],[PercentSalaryHike]]&lt;=13,"11-13%",IF(HR_Data[[#This Row],[PercentSalaryHike]]&lt;=16,"14-16%",IF(HR_Data[[#This Row],[PercentSalaryHike]]&lt;=19,"17-19%","20-25%")))</f>
        <v>11-13%</v>
      </c>
      <c r="AP261" s="1">
        <f>IF(HR_Data[[#This Row],[PercentSalaryHike]]&lt;=13,1,IF(HR_Data[[#This Row],[PercentSalaryHike]]&lt;=16,2,IF(HR_Data[[#This Row],[PercentSalaryHike]]&lt;=19,3,4)))</f>
        <v>1</v>
      </c>
      <c r="AQ261" s="1" t="str">
        <f>IF(HR_Data[[#This Row],[DistanceFromHome]]&lt;=5,"1 to 5",IF(HR_Data[[#This Row],[DistanceFromHome]]&lt;=10,"6 to 10",IF(HR_Data[[#This Row],[DistanceFromHome]]&lt;=20,"11 to 20","21 to 29")))</f>
        <v>21 to 29</v>
      </c>
      <c r="AR261" s="1">
        <f>IF(HR_Data[[#This Row],[DistanceFromHome]]&lt;=5,1,IF(HR_Data[[#This Row],[DistanceFromHome]]&lt;=10,2,IF(HR_Data[[#This Row],[DistanceFromHome]]&lt;=20,3,4)))</f>
        <v>4</v>
      </c>
      <c r="AS261" s="1" t="str">
        <f>IF(HR_Data[[#This Row],[TotalWorkingYears]]&lt;=5,"0-5 Yrs",IF(HR_Data[[#This Row],[TotalWorkingYears]]&lt;=10,"6-10 Yrs",IF(HR_Data[[#This Row],[TotalWorkingYears]]&lt;=20,"11-20 Yrs","20+ Yrs")))</f>
        <v>6-10 Yrs</v>
      </c>
      <c r="AT261" s="1">
        <f>IF(HR_Data[[#This Row],[TotalWorkingYears]]&lt;=5,1,IF(HR_Data[[#This Row],[TotalWorkingYears]]&lt;=10,2,IF(HR_Data[[#This Row],[TotalWorkingYears]]&lt;=20,3,4)))</f>
        <v>2</v>
      </c>
    </row>
    <row r="262" spans="1:46" x14ac:dyDescent="0.25">
      <c r="A262">
        <v>32</v>
      </c>
      <c r="B262" t="s">
        <v>36</v>
      </c>
      <c r="C262" t="s">
        <v>37</v>
      </c>
      <c r="D262" t="s">
        <v>38</v>
      </c>
      <c r="E262">
        <v>7</v>
      </c>
      <c r="F262">
        <v>3</v>
      </c>
      <c r="G262" t="s">
        <v>32</v>
      </c>
      <c r="H262">
        <v>359</v>
      </c>
      <c r="I262">
        <v>2</v>
      </c>
      <c r="J262" t="s">
        <v>39</v>
      </c>
      <c r="K262">
        <v>4</v>
      </c>
      <c r="L262">
        <v>1</v>
      </c>
      <c r="M262" t="s">
        <v>43</v>
      </c>
      <c r="N262">
        <v>2</v>
      </c>
      <c r="O262" t="s">
        <v>41</v>
      </c>
      <c r="P262">
        <v>2794</v>
      </c>
      <c r="Q262">
        <v>1</v>
      </c>
      <c r="R262" t="s">
        <v>36</v>
      </c>
      <c r="S262">
        <v>20</v>
      </c>
      <c r="T262">
        <v>4</v>
      </c>
      <c r="U262">
        <v>3</v>
      </c>
      <c r="V262">
        <v>0</v>
      </c>
      <c r="W262">
        <v>5</v>
      </c>
      <c r="X262">
        <v>3</v>
      </c>
      <c r="Y262">
        <v>1</v>
      </c>
      <c r="Z262">
        <v>5</v>
      </c>
      <c r="AA262">
        <v>1</v>
      </c>
      <c r="AB262">
        <v>0</v>
      </c>
      <c r="AC262">
        <v>3</v>
      </c>
      <c r="AD262">
        <f>IF(HR_Data[[#This Row],[Attrition]]="Yes",1,0)</f>
        <v>0</v>
      </c>
      <c r="AE262" t="str">
        <f>IF(HR_Data[[#This Row],[Age]]&lt;=25,"18-25",IF(HR_Data[[#This Row],[Age]]&lt;=35,"26-35",IF(HR_Data[[#This Row],[Age]]&lt;=45,"36-45",IF(HR_Data[[#This Row],[Age]]&lt;=55,"46-55","55+"))))</f>
        <v>26-35</v>
      </c>
      <c r="AF262">
        <f>IF(HR_Data[[#This Row],[Age]]&lt;=25,1,IF(HR_Data[[#This Row],[Age]]&lt;=35,2,IF(HR_Data[[#This Row],[Age]]&lt;=45,3,IF(HR_Data[[#This Row],[Age]]&lt;=55,4,5))))</f>
        <v>2</v>
      </c>
      <c r="AG262" s="1" t="str">
        <f>IF(HR_Data[[#This Row],[MonthlyIncome]]&lt;3000,"&lt;3K",IF(HR_Data[[#This Row],[MonthlyIncome]]&lt;6000,"3K-6K",IF(HR_Data[[#This Row],[MonthlyIncome]]&lt;10000,"6K-10K","10K+")))</f>
        <v>&lt;3K</v>
      </c>
      <c r="AH262" s="1">
        <f>IF(HR_Data[[#This Row],[MonthlyIncome]]&lt;3000,1,IF(HR_Data[[#This Row],[MonthlyIncome]]&lt;6000,2,IF(HR_Data[[#This Row],[MonthlyIncome]]&lt;10000,3,4)))</f>
        <v>1</v>
      </c>
      <c r="AI262" s="1" t="str">
        <f>IF(HR_Data[[#This Row],[YearsAtCompany]]&lt;=2,"0-2 Yrs",IF(HR_Data[[#This Row],[YearsAtCompany]]&lt;=5,"3-5 Yrs",IF(HR_Data[[#This Row],[YearsAtCompany]]&lt;=10,"6-10 Yrs","10+ Yrs")))</f>
        <v>3-5 Yrs</v>
      </c>
      <c r="AJ262" s="1">
        <f>IF(HR_Data[[#This Row],[YearsAtCompany]]&lt;=2,1,IF(HR_Data[[#This Row],[YearsAtCompany]]&lt;=5,2,IF(HR_Data[[#This Row],[YearsAtCompany]]&lt;=10,3,4)))</f>
        <v>2</v>
      </c>
      <c r="AK262" s="1" t="str">
        <f>CHOOSE(HR_Data[[#This Row],[Education]],"Below College","College","Bachelor","Master","Doctor")</f>
        <v>Bachelor</v>
      </c>
      <c r="AL262" s="1" t="str">
        <f>CHOOSE(HR_Data[[#This Row],[JobSatisfaction]],"Low","Medium","High","Very High")</f>
        <v>Medium</v>
      </c>
      <c r="AM262" s="1" t="str">
        <f>CHOOSE(HR_Data[[#This Row],[EnvironmentSatisfaction]],"Low","Medium","High","Very High")</f>
        <v>Medium</v>
      </c>
      <c r="AN262" s="1" t="str">
        <f>CHOOSE(HR_Data[[#This Row],[WorkLifeBalance]],"Bad","Good","Better","Best")</f>
        <v>Bad</v>
      </c>
      <c r="AO262" s="1" t="str">
        <f>IF(HR_Data[[#This Row],[PercentSalaryHike]]&lt;=13,"11-13%",IF(HR_Data[[#This Row],[PercentSalaryHike]]&lt;=16,"14-16%",IF(HR_Data[[#This Row],[PercentSalaryHike]]&lt;=19,"17-19%","20-25%")))</f>
        <v>20-25%</v>
      </c>
      <c r="AP262" s="1">
        <f>IF(HR_Data[[#This Row],[PercentSalaryHike]]&lt;=13,1,IF(HR_Data[[#This Row],[PercentSalaryHike]]&lt;=16,2,IF(HR_Data[[#This Row],[PercentSalaryHike]]&lt;=19,3,4)))</f>
        <v>4</v>
      </c>
      <c r="AQ262" s="1" t="str">
        <f>IF(HR_Data[[#This Row],[DistanceFromHome]]&lt;=5,"1 to 5",IF(HR_Data[[#This Row],[DistanceFromHome]]&lt;=10,"6 to 10",IF(HR_Data[[#This Row],[DistanceFromHome]]&lt;=20,"11 to 20","21 to 29")))</f>
        <v>6 to 10</v>
      </c>
      <c r="AR262" s="1">
        <f>IF(HR_Data[[#This Row],[DistanceFromHome]]&lt;=5,1,IF(HR_Data[[#This Row],[DistanceFromHome]]&lt;=10,2,IF(HR_Data[[#This Row],[DistanceFromHome]]&lt;=20,3,4)))</f>
        <v>2</v>
      </c>
      <c r="AS262" s="1" t="str">
        <f>IF(HR_Data[[#This Row],[TotalWorkingYears]]&lt;=5,"0-5 Yrs",IF(HR_Data[[#This Row],[TotalWorkingYears]]&lt;=10,"6-10 Yrs",IF(HR_Data[[#This Row],[TotalWorkingYears]]&lt;=20,"11-20 Yrs","20+ Yrs")))</f>
        <v>0-5 Yrs</v>
      </c>
      <c r="AT262" s="1">
        <f>IF(HR_Data[[#This Row],[TotalWorkingYears]]&lt;=5,1,IF(HR_Data[[#This Row],[TotalWorkingYears]]&lt;=10,2,IF(HR_Data[[#This Row],[TotalWorkingYears]]&lt;=20,3,4)))</f>
        <v>1</v>
      </c>
    </row>
    <row r="263" spans="1:46" x14ac:dyDescent="0.25">
      <c r="A263">
        <v>38</v>
      </c>
      <c r="B263" t="s">
        <v>36</v>
      </c>
      <c r="C263" t="s">
        <v>48</v>
      </c>
      <c r="D263" t="s">
        <v>31</v>
      </c>
      <c r="E263">
        <v>2</v>
      </c>
      <c r="F263">
        <v>2</v>
      </c>
      <c r="G263" t="s">
        <v>32</v>
      </c>
      <c r="H263">
        <v>361</v>
      </c>
      <c r="I263">
        <v>4</v>
      </c>
      <c r="J263" t="s">
        <v>39</v>
      </c>
      <c r="K263">
        <v>2</v>
      </c>
      <c r="L263">
        <v>2</v>
      </c>
      <c r="M263" t="s">
        <v>34</v>
      </c>
      <c r="N263">
        <v>4</v>
      </c>
      <c r="O263" t="s">
        <v>41</v>
      </c>
      <c r="P263">
        <v>5249</v>
      </c>
      <c r="Q263">
        <v>3</v>
      </c>
      <c r="R263" t="s">
        <v>36</v>
      </c>
      <c r="S263">
        <v>18</v>
      </c>
      <c r="T263">
        <v>3</v>
      </c>
      <c r="U263">
        <v>4</v>
      </c>
      <c r="V263">
        <v>1</v>
      </c>
      <c r="W263">
        <v>13</v>
      </c>
      <c r="X263">
        <v>0</v>
      </c>
      <c r="Y263">
        <v>3</v>
      </c>
      <c r="Z263">
        <v>8</v>
      </c>
      <c r="AA263">
        <v>7</v>
      </c>
      <c r="AB263">
        <v>7</v>
      </c>
      <c r="AC263">
        <v>5</v>
      </c>
      <c r="AD263">
        <f>IF(HR_Data[[#This Row],[Attrition]]="Yes",1,0)</f>
        <v>0</v>
      </c>
      <c r="AE263" t="str">
        <f>IF(HR_Data[[#This Row],[Age]]&lt;=25,"18-25",IF(HR_Data[[#This Row],[Age]]&lt;=35,"26-35",IF(HR_Data[[#This Row],[Age]]&lt;=45,"36-45",IF(HR_Data[[#This Row],[Age]]&lt;=55,"46-55","55+"))))</f>
        <v>36-45</v>
      </c>
      <c r="AF263">
        <f>IF(HR_Data[[#This Row],[Age]]&lt;=25,1,IF(HR_Data[[#This Row],[Age]]&lt;=35,2,IF(HR_Data[[#This Row],[Age]]&lt;=45,3,IF(HR_Data[[#This Row],[Age]]&lt;=55,4,5))))</f>
        <v>3</v>
      </c>
      <c r="AG263" s="1" t="str">
        <f>IF(HR_Data[[#This Row],[MonthlyIncome]]&lt;3000,"&lt;3K",IF(HR_Data[[#This Row],[MonthlyIncome]]&lt;6000,"3K-6K",IF(HR_Data[[#This Row],[MonthlyIncome]]&lt;10000,"6K-10K","10K+")))</f>
        <v>3K-6K</v>
      </c>
      <c r="AH263" s="1">
        <f>IF(HR_Data[[#This Row],[MonthlyIncome]]&lt;3000,1,IF(HR_Data[[#This Row],[MonthlyIncome]]&lt;6000,2,IF(HR_Data[[#This Row],[MonthlyIncome]]&lt;10000,3,4)))</f>
        <v>2</v>
      </c>
      <c r="AI263" s="1" t="str">
        <f>IF(HR_Data[[#This Row],[YearsAtCompany]]&lt;=2,"0-2 Yrs",IF(HR_Data[[#This Row],[YearsAtCompany]]&lt;=5,"3-5 Yrs",IF(HR_Data[[#This Row],[YearsAtCompany]]&lt;=10,"6-10 Yrs","10+ Yrs")))</f>
        <v>6-10 Yrs</v>
      </c>
      <c r="AJ263" s="1">
        <f>IF(HR_Data[[#This Row],[YearsAtCompany]]&lt;=2,1,IF(HR_Data[[#This Row],[YearsAtCompany]]&lt;=5,2,IF(HR_Data[[#This Row],[YearsAtCompany]]&lt;=10,3,4)))</f>
        <v>3</v>
      </c>
      <c r="AK263" s="1" t="str">
        <f>CHOOSE(HR_Data[[#This Row],[Education]],"Below College","College","Bachelor","Master","Doctor")</f>
        <v>College</v>
      </c>
      <c r="AL263" s="1" t="str">
        <f>CHOOSE(HR_Data[[#This Row],[JobSatisfaction]],"Low","Medium","High","Very High")</f>
        <v>Very High</v>
      </c>
      <c r="AM263" s="1" t="str">
        <f>CHOOSE(HR_Data[[#This Row],[EnvironmentSatisfaction]],"Low","Medium","High","Very High")</f>
        <v>Very High</v>
      </c>
      <c r="AN263" s="1" t="str">
        <f>CHOOSE(HR_Data[[#This Row],[WorkLifeBalance]],"Bad","Good","Better","Best")</f>
        <v>Better</v>
      </c>
      <c r="AO263" s="1" t="str">
        <f>IF(HR_Data[[#This Row],[PercentSalaryHike]]&lt;=13,"11-13%",IF(HR_Data[[#This Row],[PercentSalaryHike]]&lt;=16,"14-16%",IF(HR_Data[[#This Row],[PercentSalaryHike]]&lt;=19,"17-19%","20-25%")))</f>
        <v>17-19%</v>
      </c>
      <c r="AP263" s="1">
        <f>IF(HR_Data[[#This Row],[PercentSalaryHike]]&lt;=13,1,IF(HR_Data[[#This Row],[PercentSalaryHike]]&lt;=16,2,IF(HR_Data[[#This Row],[PercentSalaryHike]]&lt;=19,3,4)))</f>
        <v>3</v>
      </c>
      <c r="AQ263" s="1" t="str">
        <f>IF(HR_Data[[#This Row],[DistanceFromHome]]&lt;=5,"1 to 5",IF(HR_Data[[#This Row],[DistanceFromHome]]&lt;=10,"6 to 10",IF(HR_Data[[#This Row],[DistanceFromHome]]&lt;=20,"11 to 20","21 to 29")))</f>
        <v>1 to 5</v>
      </c>
      <c r="AR263" s="1">
        <f>IF(HR_Data[[#This Row],[DistanceFromHome]]&lt;=5,1,IF(HR_Data[[#This Row],[DistanceFromHome]]&lt;=10,2,IF(HR_Data[[#This Row],[DistanceFromHome]]&lt;=20,3,4)))</f>
        <v>1</v>
      </c>
      <c r="AS263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263" s="1">
        <f>IF(HR_Data[[#This Row],[TotalWorkingYears]]&lt;=5,1,IF(HR_Data[[#This Row],[TotalWorkingYears]]&lt;=10,2,IF(HR_Data[[#This Row],[TotalWorkingYears]]&lt;=20,3,4)))</f>
        <v>3</v>
      </c>
    </row>
    <row r="264" spans="1:46" x14ac:dyDescent="0.25">
      <c r="A264">
        <v>32</v>
      </c>
      <c r="B264" t="s">
        <v>36</v>
      </c>
      <c r="C264" t="s">
        <v>30</v>
      </c>
      <c r="D264" t="s">
        <v>38</v>
      </c>
      <c r="E264">
        <v>2</v>
      </c>
      <c r="F264">
        <v>1</v>
      </c>
      <c r="G264" t="s">
        <v>53</v>
      </c>
      <c r="H264">
        <v>362</v>
      </c>
      <c r="I264">
        <v>4</v>
      </c>
      <c r="J264" t="s">
        <v>39</v>
      </c>
      <c r="K264">
        <v>2</v>
      </c>
      <c r="L264">
        <v>2</v>
      </c>
      <c r="M264" t="s">
        <v>43</v>
      </c>
      <c r="N264">
        <v>1</v>
      </c>
      <c r="O264" t="s">
        <v>35</v>
      </c>
      <c r="P264">
        <v>2176</v>
      </c>
      <c r="Q264">
        <v>4</v>
      </c>
      <c r="R264" t="s">
        <v>36</v>
      </c>
      <c r="S264">
        <v>13</v>
      </c>
      <c r="T264">
        <v>3</v>
      </c>
      <c r="U264">
        <v>4</v>
      </c>
      <c r="V264">
        <v>0</v>
      </c>
      <c r="W264">
        <v>9</v>
      </c>
      <c r="X264">
        <v>5</v>
      </c>
      <c r="Y264">
        <v>3</v>
      </c>
      <c r="Z264">
        <v>6</v>
      </c>
      <c r="AA264">
        <v>2</v>
      </c>
      <c r="AB264">
        <v>0</v>
      </c>
      <c r="AC264">
        <v>4</v>
      </c>
      <c r="AD264">
        <f>IF(HR_Data[[#This Row],[Attrition]]="Yes",1,0)</f>
        <v>0</v>
      </c>
      <c r="AE264" t="str">
        <f>IF(HR_Data[[#This Row],[Age]]&lt;=25,"18-25",IF(HR_Data[[#This Row],[Age]]&lt;=35,"26-35",IF(HR_Data[[#This Row],[Age]]&lt;=45,"36-45",IF(HR_Data[[#This Row],[Age]]&lt;=55,"46-55","55+"))))</f>
        <v>26-35</v>
      </c>
      <c r="AF264">
        <f>IF(HR_Data[[#This Row],[Age]]&lt;=25,1,IF(HR_Data[[#This Row],[Age]]&lt;=35,2,IF(HR_Data[[#This Row],[Age]]&lt;=45,3,IF(HR_Data[[#This Row],[Age]]&lt;=55,4,5))))</f>
        <v>2</v>
      </c>
      <c r="AG264" s="1" t="str">
        <f>IF(HR_Data[[#This Row],[MonthlyIncome]]&lt;3000,"&lt;3K",IF(HR_Data[[#This Row],[MonthlyIncome]]&lt;6000,"3K-6K",IF(HR_Data[[#This Row],[MonthlyIncome]]&lt;10000,"6K-10K","10K+")))</f>
        <v>&lt;3K</v>
      </c>
      <c r="AH264" s="1">
        <f>IF(HR_Data[[#This Row],[MonthlyIncome]]&lt;3000,1,IF(HR_Data[[#This Row],[MonthlyIncome]]&lt;6000,2,IF(HR_Data[[#This Row],[MonthlyIncome]]&lt;10000,3,4)))</f>
        <v>1</v>
      </c>
      <c r="AI264" s="1" t="str">
        <f>IF(HR_Data[[#This Row],[YearsAtCompany]]&lt;=2,"0-2 Yrs",IF(HR_Data[[#This Row],[YearsAtCompany]]&lt;=5,"3-5 Yrs",IF(HR_Data[[#This Row],[YearsAtCompany]]&lt;=10,"6-10 Yrs","10+ Yrs")))</f>
        <v>6-10 Yrs</v>
      </c>
      <c r="AJ264" s="1">
        <f>IF(HR_Data[[#This Row],[YearsAtCompany]]&lt;=2,1,IF(HR_Data[[#This Row],[YearsAtCompany]]&lt;=5,2,IF(HR_Data[[#This Row],[YearsAtCompany]]&lt;=10,3,4)))</f>
        <v>3</v>
      </c>
      <c r="AK264" s="1" t="str">
        <f>CHOOSE(HR_Data[[#This Row],[Education]],"Below College","College","Bachelor","Master","Doctor")</f>
        <v>Below College</v>
      </c>
      <c r="AL264" s="1" t="str">
        <f>CHOOSE(HR_Data[[#This Row],[JobSatisfaction]],"Low","Medium","High","Very High")</f>
        <v>Low</v>
      </c>
      <c r="AM264" s="1" t="str">
        <f>CHOOSE(HR_Data[[#This Row],[EnvironmentSatisfaction]],"Low","Medium","High","Very High")</f>
        <v>Very High</v>
      </c>
      <c r="AN264" s="1" t="str">
        <f>CHOOSE(HR_Data[[#This Row],[WorkLifeBalance]],"Bad","Good","Better","Best")</f>
        <v>Better</v>
      </c>
      <c r="AO264" s="1" t="str">
        <f>IF(HR_Data[[#This Row],[PercentSalaryHike]]&lt;=13,"11-13%",IF(HR_Data[[#This Row],[PercentSalaryHike]]&lt;=16,"14-16%",IF(HR_Data[[#This Row],[PercentSalaryHike]]&lt;=19,"17-19%","20-25%")))</f>
        <v>11-13%</v>
      </c>
      <c r="AP264" s="1">
        <f>IF(HR_Data[[#This Row],[PercentSalaryHike]]&lt;=13,1,IF(HR_Data[[#This Row],[PercentSalaryHike]]&lt;=16,2,IF(HR_Data[[#This Row],[PercentSalaryHike]]&lt;=19,3,4)))</f>
        <v>1</v>
      </c>
      <c r="AQ264" s="1" t="str">
        <f>IF(HR_Data[[#This Row],[DistanceFromHome]]&lt;=5,"1 to 5",IF(HR_Data[[#This Row],[DistanceFromHome]]&lt;=10,"6 to 10",IF(HR_Data[[#This Row],[DistanceFromHome]]&lt;=20,"11 to 20","21 to 29")))</f>
        <v>1 to 5</v>
      </c>
      <c r="AR264" s="1">
        <f>IF(HR_Data[[#This Row],[DistanceFromHome]]&lt;=5,1,IF(HR_Data[[#This Row],[DistanceFromHome]]&lt;=10,2,IF(HR_Data[[#This Row],[DistanceFromHome]]&lt;=20,3,4)))</f>
        <v>1</v>
      </c>
      <c r="AS264" s="1" t="str">
        <f>IF(HR_Data[[#This Row],[TotalWorkingYears]]&lt;=5,"0-5 Yrs",IF(HR_Data[[#This Row],[TotalWorkingYears]]&lt;=10,"6-10 Yrs",IF(HR_Data[[#This Row],[TotalWorkingYears]]&lt;=20,"11-20 Yrs","20+ Yrs")))</f>
        <v>6-10 Yrs</v>
      </c>
      <c r="AT264" s="1">
        <f>IF(HR_Data[[#This Row],[TotalWorkingYears]]&lt;=5,1,IF(HR_Data[[#This Row],[TotalWorkingYears]]&lt;=10,2,IF(HR_Data[[#This Row],[TotalWorkingYears]]&lt;=20,3,4)))</f>
        <v>2</v>
      </c>
    </row>
    <row r="265" spans="1:46" x14ac:dyDescent="0.25">
      <c r="A265">
        <v>46</v>
      </c>
      <c r="B265" t="s">
        <v>36</v>
      </c>
      <c r="C265" t="s">
        <v>30</v>
      </c>
      <c r="D265" t="s">
        <v>31</v>
      </c>
      <c r="E265">
        <v>2</v>
      </c>
      <c r="F265">
        <v>3</v>
      </c>
      <c r="G265" t="s">
        <v>53</v>
      </c>
      <c r="H265">
        <v>363</v>
      </c>
      <c r="I265">
        <v>3</v>
      </c>
      <c r="J265" t="s">
        <v>33</v>
      </c>
      <c r="K265">
        <v>1</v>
      </c>
      <c r="L265">
        <v>4</v>
      </c>
      <c r="M265" t="s">
        <v>49</v>
      </c>
      <c r="N265">
        <v>2</v>
      </c>
      <c r="O265" t="s">
        <v>41</v>
      </c>
      <c r="P265">
        <v>16872</v>
      </c>
      <c r="Q265">
        <v>3</v>
      </c>
      <c r="R265" t="s">
        <v>29</v>
      </c>
      <c r="S265">
        <v>12</v>
      </c>
      <c r="T265">
        <v>3</v>
      </c>
      <c r="U265">
        <v>2</v>
      </c>
      <c r="V265">
        <v>1</v>
      </c>
      <c r="W265">
        <v>28</v>
      </c>
      <c r="X265">
        <v>2</v>
      </c>
      <c r="Y265">
        <v>2</v>
      </c>
      <c r="Z265">
        <v>7</v>
      </c>
      <c r="AA265">
        <v>7</v>
      </c>
      <c r="AB265">
        <v>7</v>
      </c>
      <c r="AC265">
        <v>7</v>
      </c>
      <c r="AD265">
        <f>IF(HR_Data[[#This Row],[Attrition]]="Yes",1,0)</f>
        <v>0</v>
      </c>
      <c r="AE265" t="str">
        <f>IF(HR_Data[[#This Row],[Age]]&lt;=25,"18-25",IF(HR_Data[[#This Row],[Age]]&lt;=35,"26-35",IF(HR_Data[[#This Row],[Age]]&lt;=45,"36-45",IF(HR_Data[[#This Row],[Age]]&lt;=55,"46-55","55+"))))</f>
        <v>46-55</v>
      </c>
      <c r="AF265">
        <f>IF(HR_Data[[#This Row],[Age]]&lt;=25,1,IF(HR_Data[[#This Row],[Age]]&lt;=35,2,IF(HR_Data[[#This Row],[Age]]&lt;=45,3,IF(HR_Data[[#This Row],[Age]]&lt;=55,4,5))))</f>
        <v>4</v>
      </c>
      <c r="AG265" s="1" t="str">
        <f>IF(HR_Data[[#This Row],[MonthlyIncome]]&lt;3000,"&lt;3K",IF(HR_Data[[#This Row],[MonthlyIncome]]&lt;6000,"3K-6K",IF(HR_Data[[#This Row],[MonthlyIncome]]&lt;10000,"6K-10K","10K+")))</f>
        <v>10K+</v>
      </c>
      <c r="AH265" s="1">
        <f>IF(HR_Data[[#This Row],[MonthlyIncome]]&lt;3000,1,IF(HR_Data[[#This Row],[MonthlyIncome]]&lt;6000,2,IF(HR_Data[[#This Row],[MonthlyIncome]]&lt;10000,3,4)))</f>
        <v>4</v>
      </c>
      <c r="AI265" s="1" t="str">
        <f>IF(HR_Data[[#This Row],[YearsAtCompany]]&lt;=2,"0-2 Yrs",IF(HR_Data[[#This Row],[YearsAtCompany]]&lt;=5,"3-5 Yrs",IF(HR_Data[[#This Row],[YearsAtCompany]]&lt;=10,"6-10 Yrs","10+ Yrs")))</f>
        <v>6-10 Yrs</v>
      </c>
      <c r="AJ265" s="1">
        <f>IF(HR_Data[[#This Row],[YearsAtCompany]]&lt;=2,1,IF(HR_Data[[#This Row],[YearsAtCompany]]&lt;=5,2,IF(HR_Data[[#This Row],[YearsAtCompany]]&lt;=10,3,4)))</f>
        <v>3</v>
      </c>
      <c r="AK265" s="1" t="str">
        <f>CHOOSE(HR_Data[[#This Row],[Education]],"Below College","College","Bachelor","Master","Doctor")</f>
        <v>Bachelor</v>
      </c>
      <c r="AL265" s="1" t="str">
        <f>CHOOSE(HR_Data[[#This Row],[JobSatisfaction]],"Low","Medium","High","Very High")</f>
        <v>Medium</v>
      </c>
      <c r="AM265" s="1" t="str">
        <f>CHOOSE(HR_Data[[#This Row],[EnvironmentSatisfaction]],"Low","Medium","High","Very High")</f>
        <v>High</v>
      </c>
      <c r="AN265" s="1" t="str">
        <f>CHOOSE(HR_Data[[#This Row],[WorkLifeBalance]],"Bad","Good","Better","Best")</f>
        <v>Good</v>
      </c>
      <c r="AO265" s="1" t="str">
        <f>IF(HR_Data[[#This Row],[PercentSalaryHike]]&lt;=13,"11-13%",IF(HR_Data[[#This Row],[PercentSalaryHike]]&lt;=16,"14-16%",IF(HR_Data[[#This Row],[PercentSalaryHike]]&lt;=19,"17-19%","20-25%")))</f>
        <v>11-13%</v>
      </c>
      <c r="AP265" s="1">
        <f>IF(HR_Data[[#This Row],[PercentSalaryHike]]&lt;=13,1,IF(HR_Data[[#This Row],[PercentSalaryHike]]&lt;=16,2,IF(HR_Data[[#This Row],[PercentSalaryHike]]&lt;=19,3,4)))</f>
        <v>1</v>
      </c>
      <c r="AQ265" s="1" t="str">
        <f>IF(HR_Data[[#This Row],[DistanceFromHome]]&lt;=5,"1 to 5",IF(HR_Data[[#This Row],[DistanceFromHome]]&lt;=10,"6 to 10",IF(HR_Data[[#This Row],[DistanceFromHome]]&lt;=20,"11 to 20","21 to 29")))</f>
        <v>1 to 5</v>
      </c>
      <c r="AR265" s="1">
        <f>IF(HR_Data[[#This Row],[DistanceFromHome]]&lt;=5,1,IF(HR_Data[[#This Row],[DistanceFromHome]]&lt;=10,2,IF(HR_Data[[#This Row],[DistanceFromHome]]&lt;=20,3,4)))</f>
        <v>1</v>
      </c>
      <c r="AS265" s="1" t="str">
        <f>IF(HR_Data[[#This Row],[TotalWorkingYears]]&lt;=5,"0-5 Yrs",IF(HR_Data[[#This Row],[TotalWorkingYears]]&lt;=10,"6-10 Yrs",IF(HR_Data[[#This Row],[TotalWorkingYears]]&lt;=20,"11-20 Yrs","20+ Yrs")))</f>
        <v>20+ Yrs</v>
      </c>
      <c r="AT265" s="1">
        <f>IF(HR_Data[[#This Row],[TotalWorkingYears]]&lt;=5,1,IF(HR_Data[[#This Row],[TotalWorkingYears]]&lt;=10,2,IF(HR_Data[[#This Row],[TotalWorkingYears]]&lt;=20,3,4)))</f>
        <v>4</v>
      </c>
    </row>
    <row r="266" spans="1:46" x14ac:dyDescent="0.25">
      <c r="A266">
        <v>28</v>
      </c>
      <c r="B266" t="s">
        <v>29</v>
      </c>
      <c r="C266" t="s">
        <v>30</v>
      </c>
      <c r="D266" t="s">
        <v>38</v>
      </c>
      <c r="E266">
        <v>2</v>
      </c>
      <c r="F266">
        <v>4</v>
      </c>
      <c r="G266" t="s">
        <v>32</v>
      </c>
      <c r="H266">
        <v>364</v>
      </c>
      <c r="I266">
        <v>1</v>
      </c>
      <c r="J266" t="s">
        <v>39</v>
      </c>
      <c r="K266">
        <v>3</v>
      </c>
      <c r="L266">
        <v>1</v>
      </c>
      <c r="M266" t="s">
        <v>43</v>
      </c>
      <c r="N266">
        <v>3</v>
      </c>
      <c r="O266" t="s">
        <v>35</v>
      </c>
      <c r="P266">
        <v>3485</v>
      </c>
      <c r="Q266">
        <v>2</v>
      </c>
      <c r="R266" t="s">
        <v>36</v>
      </c>
      <c r="S266">
        <v>11</v>
      </c>
      <c r="T266">
        <v>3</v>
      </c>
      <c r="U266">
        <v>3</v>
      </c>
      <c r="V266">
        <v>0</v>
      </c>
      <c r="W266">
        <v>5</v>
      </c>
      <c r="X266">
        <v>5</v>
      </c>
      <c r="Y266">
        <v>1</v>
      </c>
      <c r="Z266">
        <v>0</v>
      </c>
      <c r="AA266">
        <v>0</v>
      </c>
      <c r="AB266">
        <v>0</v>
      </c>
      <c r="AC266">
        <v>0</v>
      </c>
      <c r="AD266">
        <f>IF(HR_Data[[#This Row],[Attrition]]="Yes",1,0)</f>
        <v>1</v>
      </c>
      <c r="AE266" t="str">
        <f>IF(HR_Data[[#This Row],[Age]]&lt;=25,"18-25",IF(HR_Data[[#This Row],[Age]]&lt;=35,"26-35",IF(HR_Data[[#This Row],[Age]]&lt;=45,"36-45",IF(HR_Data[[#This Row],[Age]]&lt;=55,"46-55","55+"))))</f>
        <v>26-35</v>
      </c>
      <c r="AF266">
        <f>IF(HR_Data[[#This Row],[Age]]&lt;=25,1,IF(HR_Data[[#This Row],[Age]]&lt;=35,2,IF(HR_Data[[#This Row],[Age]]&lt;=45,3,IF(HR_Data[[#This Row],[Age]]&lt;=55,4,5))))</f>
        <v>2</v>
      </c>
      <c r="AG266" s="1" t="str">
        <f>IF(HR_Data[[#This Row],[MonthlyIncome]]&lt;3000,"&lt;3K",IF(HR_Data[[#This Row],[MonthlyIncome]]&lt;6000,"3K-6K",IF(HR_Data[[#This Row],[MonthlyIncome]]&lt;10000,"6K-10K","10K+")))</f>
        <v>3K-6K</v>
      </c>
      <c r="AH266" s="1">
        <f>IF(HR_Data[[#This Row],[MonthlyIncome]]&lt;3000,1,IF(HR_Data[[#This Row],[MonthlyIncome]]&lt;6000,2,IF(HR_Data[[#This Row],[MonthlyIncome]]&lt;10000,3,4)))</f>
        <v>2</v>
      </c>
      <c r="AI266" s="1" t="str">
        <f>IF(HR_Data[[#This Row],[YearsAtCompany]]&lt;=2,"0-2 Yrs",IF(HR_Data[[#This Row],[YearsAtCompany]]&lt;=5,"3-5 Yrs",IF(HR_Data[[#This Row],[YearsAtCompany]]&lt;=10,"6-10 Yrs","10+ Yrs")))</f>
        <v>0-2 Yrs</v>
      </c>
      <c r="AJ266" s="1">
        <f>IF(HR_Data[[#This Row],[YearsAtCompany]]&lt;=2,1,IF(HR_Data[[#This Row],[YearsAtCompany]]&lt;=5,2,IF(HR_Data[[#This Row],[YearsAtCompany]]&lt;=10,3,4)))</f>
        <v>1</v>
      </c>
      <c r="AK266" s="1" t="str">
        <f>CHOOSE(HR_Data[[#This Row],[Education]],"Below College","College","Bachelor","Master","Doctor")</f>
        <v>Master</v>
      </c>
      <c r="AL266" s="1" t="str">
        <f>CHOOSE(HR_Data[[#This Row],[JobSatisfaction]],"Low","Medium","High","Very High")</f>
        <v>High</v>
      </c>
      <c r="AM266" s="1" t="str">
        <f>CHOOSE(HR_Data[[#This Row],[EnvironmentSatisfaction]],"Low","Medium","High","Very High")</f>
        <v>Low</v>
      </c>
      <c r="AN266" s="1" t="str">
        <f>CHOOSE(HR_Data[[#This Row],[WorkLifeBalance]],"Bad","Good","Better","Best")</f>
        <v>Bad</v>
      </c>
      <c r="AO266" s="1" t="str">
        <f>IF(HR_Data[[#This Row],[PercentSalaryHike]]&lt;=13,"11-13%",IF(HR_Data[[#This Row],[PercentSalaryHike]]&lt;=16,"14-16%",IF(HR_Data[[#This Row],[PercentSalaryHike]]&lt;=19,"17-19%","20-25%")))</f>
        <v>11-13%</v>
      </c>
      <c r="AP266" s="1">
        <f>IF(HR_Data[[#This Row],[PercentSalaryHike]]&lt;=13,1,IF(HR_Data[[#This Row],[PercentSalaryHike]]&lt;=16,2,IF(HR_Data[[#This Row],[PercentSalaryHike]]&lt;=19,3,4)))</f>
        <v>1</v>
      </c>
      <c r="AQ266" s="1" t="str">
        <f>IF(HR_Data[[#This Row],[DistanceFromHome]]&lt;=5,"1 to 5",IF(HR_Data[[#This Row],[DistanceFromHome]]&lt;=10,"6 to 10",IF(HR_Data[[#This Row],[DistanceFromHome]]&lt;=20,"11 to 20","21 to 29")))</f>
        <v>1 to 5</v>
      </c>
      <c r="AR266" s="1">
        <f>IF(HR_Data[[#This Row],[DistanceFromHome]]&lt;=5,1,IF(HR_Data[[#This Row],[DistanceFromHome]]&lt;=10,2,IF(HR_Data[[#This Row],[DistanceFromHome]]&lt;=20,3,4)))</f>
        <v>1</v>
      </c>
      <c r="AS266" s="1" t="str">
        <f>IF(HR_Data[[#This Row],[TotalWorkingYears]]&lt;=5,"0-5 Yrs",IF(HR_Data[[#This Row],[TotalWorkingYears]]&lt;=10,"6-10 Yrs",IF(HR_Data[[#This Row],[TotalWorkingYears]]&lt;=20,"11-20 Yrs","20+ Yrs")))</f>
        <v>0-5 Yrs</v>
      </c>
      <c r="AT266" s="1">
        <f>IF(HR_Data[[#This Row],[TotalWorkingYears]]&lt;=5,1,IF(HR_Data[[#This Row],[TotalWorkingYears]]&lt;=10,2,IF(HR_Data[[#This Row],[TotalWorkingYears]]&lt;=20,3,4)))</f>
        <v>1</v>
      </c>
    </row>
    <row r="267" spans="1:46" x14ac:dyDescent="0.25">
      <c r="A267">
        <v>29</v>
      </c>
      <c r="B267" t="s">
        <v>36</v>
      </c>
      <c r="C267" t="s">
        <v>30</v>
      </c>
      <c r="D267" t="s">
        <v>31</v>
      </c>
      <c r="E267">
        <v>2</v>
      </c>
      <c r="F267">
        <v>3</v>
      </c>
      <c r="G267" t="s">
        <v>44</v>
      </c>
      <c r="H267">
        <v>366</v>
      </c>
      <c r="I267">
        <v>1</v>
      </c>
      <c r="J267" t="s">
        <v>39</v>
      </c>
      <c r="K267">
        <v>2</v>
      </c>
      <c r="L267">
        <v>2</v>
      </c>
      <c r="M267" t="s">
        <v>34</v>
      </c>
      <c r="N267">
        <v>2</v>
      </c>
      <c r="O267" t="s">
        <v>41</v>
      </c>
      <c r="P267">
        <v>6644</v>
      </c>
      <c r="Q267">
        <v>2</v>
      </c>
      <c r="R267" t="s">
        <v>36</v>
      </c>
      <c r="S267">
        <v>19</v>
      </c>
      <c r="T267">
        <v>3</v>
      </c>
      <c r="U267">
        <v>2</v>
      </c>
      <c r="V267">
        <v>2</v>
      </c>
      <c r="W267">
        <v>10</v>
      </c>
      <c r="X267">
        <v>2</v>
      </c>
      <c r="Y267">
        <v>3</v>
      </c>
      <c r="Z267">
        <v>0</v>
      </c>
      <c r="AA267">
        <v>0</v>
      </c>
      <c r="AB267">
        <v>0</v>
      </c>
      <c r="AC267">
        <v>0</v>
      </c>
      <c r="AD267">
        <f>IF(HR_Data[[#This Row],[Attrition]]="Yes",1,0)</f>
        <v>0</v>
      </c>
      <c r="AE267" t="str">
        <f>IF(HR_Data[[#This Row],[Age]]&lt;=25,"18-25",IF(HR_Data[[#This Row],[Age]]&lt;=35,"26-35",IF(HR_Data[[#This Row],[Age]]&lt;=45,"36-45",IF(HR_Data[[#This Row],[Age]]&lt;=55,"46-55","55+"))))</f>
        <v>26-35</v>
      </c>
      <c r="AF267">
        <f>IF(HR_Data[[#This Row],[Age]]&lt;=25,1,IF(HR_Data[[#This Row],[Age]]&lt;=35,2,IF(HR_Data[[#This Row],[Age]]&lt;=45,3,IF(HR_Data[[#This Row],[Age]]&lt;=55,4,5))))</f>
        <v>2</v>
      </c>
      <c r="AG267" s="1" t="str">
        <f>IF(HR_Data[[#This Row],[MonthlyIncome]]&lt;3000,"&lt;3K",IF(HR_Data[[#This Row],[MonthlyIncome]]&lt;6000,"3K-6K",IF(HR_Data[[#This Row],[MonthlyIncome]]&lt;10000,"6K-10K","10K+")))</f>
        <v>6K-10K</v>
      </c>
      <c r="AH267" s="1">
        <f>IF(HR_Data[[#This Row],[MonthlyIncome]]&lt;3000,1,IF(HR_Data[[#This Row],[MonthlyIncome]]&lt;6000,2,IF(HR_Data[[#This Row],[MonthlyIncome]]&lt;10000,3,4)))</f>
        <v>3</v>
      </c>
      <c r="AI267" s="1" t="str">
        <f>IF(HR_Data[[#This Row],[YearsAtCompany]]&lt;=2,"0-2 Yrs",IF(HR_Data[[#This Row],[YearsAtCompany]]&lt;=5,"3-5 Yrs",IF(HR_Data[[#This Row],[YearsAtCompany]]&lt;=10,"6-10 Yrs","10+ Yrs")))</f>
        <v>0-2 Yrs</v>
      </c>
      <c r="AJ267" s="1">
        <f>IF(HR_Data[[#This Row],[YearsAtCompany]]&lt;=2,1,IF(HR_Data[[#This Row],[YearsAtCompany]]&lt;=5,2,IF(HR_Data[[#This Row],[YearsAtCompany]]&lt;=10,3,4)))</f>
        <v>1</v>
      </c>
      <c r="AK267" s="1" t="str">
        <f>CHOOSE(HR_Data[[#This Row],[Education]],"Below College","College","Bachelor","Master","Doctor")</f>
        <v>Bachelor</v>
      </c>
      <c r="AL267" s="1" t="str">
        <f>CHOOSE(HR_Data[[#This Row],[JobSatisfaction]],"Low","Medium","High","Very High")</f>
        <v>Medium</v>
      </c>
      <c r="AM267" s="1" t="str">
        <f>CHOOSE(HR_Data[[#This Row],[EnvironmentSatisfaction]],"Low","Medium","High","Very High")</f>
        <v>Low</v>
      </c>
      <c r="AN267" s="1" t="str">
        <f>CHOOSE(HR_Data[[#This Row],[WorkLifeBalance]],"Bad","Good","Better","Best")</f>
        <v>Better</v>
      </c>
      <c r="AO267" s="1" t="str">
        <f>IF(HR_Data[[#This Row],[PercentSalaryHike]]&lt;=13,"11-13%",IF(HR_Data[[#This Row],[PercentSalaryHike]]&lt;=16,"14-16%",IF(HR_Data[[#This Row],[PercentSalaryHike]]&lt;=19,"17-19%","20-25%")))</f>
        <v>17-19%</v>
      </c>
      <c r="AP267" s="1">
        <f>IF(HR_Data[[#This Row],[PercentSalaryHike]]&lt;=13,1,IF(HR_Data[[#This Row],[PercentSalaryHike]]&lt;=16,2,IF(HR_Data[[#This Row],[PercentSalaryHike]]&lt;=19,3,4)))</f>
        <v>3</v>
      </c>
      <c r="AQ267" s="1" t="str">
        <f>IF(HR_Data[[#This Row],[DistanceFromHome]]&lt;=5,"1 to 5",IF(HR_Data[[#This Row],[DistanceFromHome]]&lt;=10,"6 to 10",IF(HR_Data[[#This Row],[DistanceFromHome]]&lt;=20,"11 to 20","21 to 29")))</f>
        <v>1 to 5</v>
      </c>
      <c r="AR267" s="1">
        <f>IF(HR_Data[[#This Row],[DistanceFromHome]]&lt;=5,1,IF(HR_Data[[#This Row],[DistanceFromHome]]&lt;=10,2,IF(HR_Data[[#This Row],[DistanceFromHome]]&lt;=20,3,4)))</f>
        <v>1</v>
      </c>
      <c r="AS267" s="1" t="str">
        <f>IF(HR_Data[[#This Row],[TotalWorkingYears]]&lt;=5,"0-5 Yrs",IF(HR_Data[[#This Row],[TotalWorkingYears]]&lt;=10,"6-10 Yrs",IF(HR_Data[[#This Row],[TotalWorkingYears]]&lt;=20,"11-20 Yrs","20+ Yrs")))</f>
        <v>6-10 Yrs</v>
      </c>
      <c r="AT267" s="1">
        <f>IF(HR_Data[[#This Row],[TotalWorkingYears]]&lt;=5,1,IF(HR_Data[[#This Row],[TotalWorkingYears]]&lt;=10,2,IF(HR_Data[[#This Row],[TotalWorkingYears]]&lt;=20,3,4)))</f>
        <v>2</v>
      </c>
    </row>
    <row r="268" spans="1:46" x14ac:dyDescent="0.25">
      <c r="A268">
        <v>31</v>
      </c>
      <c r="B268" t="s">
        <v>36</v>
      </c>
      <c r="C268" t="s">
        <v>30</v>
      </c>
      <c r="D268" t="s">
        <v>38</v>
      </c>
      <c r="E268">
        <v>23</v>
      </c>
      <c r="F268">
        <v>3</v>
      </c>
      <c r="G268" t="s">
        <v>44</v>
      </c>
      <c r="H268">
        <v>367</v>
      </c>
      <c r="I268">
        <v>2</v>
      </c>
      <c r="J268" t="s">
        <v>39</v>
      </c>
      <c r="K268">
        <v>2</v>
      </c>
      <c r="L268">
        <v>2</v>
      </c>
      <c r="M268" t="s">
        <v>47</v>
      </c>
      <c r="N268">
        <v>4</v>
      </c>
      <c r="O268" t="s">
        <v>41</v>
      </c>
      <c r="P268">
        <v>5582</v>
      </c>
      <c r="Q268">
        <v>0</v>
      </c>
      <c r="R268" t="s">
        <v>36</v>
      </c>
      <c r="S268">
        <v>21</v>
      </c>
      <c r="T268">
        <v>4</v>
      </c>
      <c r="U268">
        <v>2</v>
      </c>
      <c r="V268">
        <v>1</v>
      </c>
      <c r="W268">
        <v>10</v>
      </c>
      <c r="X268">
        <v>2</v>
      </c>
      <c r="Y268">
        <v>3</v>
      </c>
      <c r="Z268">
        <v>9</v>
      </c>
      <c r="AA268">
        <v>0</v>
      </c>
      <c r="AB268">
        <v>7</v>
      </c>
      <c r="AC268">
        <v>8</v>
      </c>
      <c r="AD268">
        <f>IF(HR_Data[[#This Row],[Attrition]]="Yes",1,0)</f>
        <v>0</v>
      </c>
      <c r="AE268" t="str">
        <f>IF(HR_Data[[#This Row],[Age]]&lt;=25,"18-25",IF(HR_Data[[#This Row],[Age]]&lt;=35,"26-35",IF(HR_Data[[#This Row],[Age]]&lt;=45,"36-45",IF(HR_Data[[#This Row],[Age]]&lt;=55,"46-55","55+"))))</f>
        <v>26-35</v>
      </c>
      <c r="AF268">
        <f>IF(HR_Data[[#This Row],[Age]]&lt;=25,1,IF(HR_Data[[#This Row],[Age]]&lt;=35,2,IF(HR_Data[[#This Row],[Age]]&lt;=45,3,IF(HR_Data[[#This Row],[Age]]&lt;=55,4,5))))</f>
        <v>2</v>
      </c>
      <c r="AG268" s="1" t="str">
        <f>IF(HR_Data[[#This Row],[MonthlyIncome]]&lt;3000,"&lt;3K",IF(HR_Data[[#This Row],[MonthlyIncome]]&lt;6000,"3K-6K",IF(HR_Data[[#This Row],[MonthlyIncome]]&lt;10000,"6K-10K","10K+")))</f>
        <v>3K-6K</v>
      </c>
      <c r="AH268" s="1">
        <f>IF(HR_Data[[#This Row],[MonthlyIncome]]&lt;3000,1,IF(HR_Data[[#This Row],[MonthlyIncome]]&lt;6000,2,IF(HR_Data[[#This Row],[MonthlyIncome]]&lt;10000,3,4)))</f>
        <v>2</v>
      </c>
      <c r="AI268" s="1" t="str">
        <f>IF(HR_Data[[#This Row],[YearsAtCompany]]&lt;=2,"0-2 Yrs",IF(HR_Data[[#This Row],[YearsAtCompany]]&lt;=5,"3-5 Yrs",IF(HR_Data[[#This Row],[YearsAtCompany]]&lt;=10,"6-10 Yrs","10+ Yrs")))</f>
        <v>6-10 Yrs</v>
      </c>
      <c r="AJ268" s="1">
        <f>IF(HR_Data[[#This Row],[YearsAtCompany]]&lt;=2,1,IF(HR_Data[[#This Row],[YearsAtCompany]]&lt;=5,2,IF(HR_Data[[#This Row],[YearsAtCompany]]&lt;=10,3,4)))</f>
        <v>3</v>
      </c>
      <c r="AK268" s="1" t="str">
        <f>CHOOSE(HR_Data[[#This Row],[Education]],"Below College","College","Bachelor","Master","Doctor")</f>
        <v>Bachelor</v>
      </c>
      <c r="AL268" s="1" t="str">
        <f>CHOOSE(HR_Data[[#This Row],[JobSatisfaction]],"Low","Medium","High","Very High")</f>
        <v>Very High</v>
      </c>
      <c r="AM268" s="1" t="str">
        <f>CHOOSE(HR_Data[[#This Row],[EnvironmentSatisfaction]],"Low","Medium","High","Very High")</f>
        <v>Medium</v>
      </c>
      <c r="AN268" s="1" t="str">
        <f>CHOOSE(HR_Data[[#This Row],[WorkLifeBalance]],"Bad","Good","Better","Best")</f>
        <v>Better</v>
      </c>
      <c r="AO268" s="1" t="str">
        <f>IF(HR_Data[[#This Row],[PercentSalaryHike]]&lt;=13,"11-13%",IF(HR_Data[[#This Row],[PercentSalaryHike]]&lt;=16,"14-16%",IF(HR_Data[[#This Row],[PercentSalaryHike]]&lt;=19,"17-19%","20-25%")))</f>
        <v>20-25%</v>
      </c>
      <c r="AP268" s="1">
        <f>IF(HR_Data[[#This Row],[PercentSalaryHike]]&lt;=13,1,IF(HR_Data[[#This Row],[PercentSalaryHike]]&lt;=16,2,IF(HR_Data[[#This Row],[PercentSalaryHike]]&lt;=19,3,4)))</f>
        <v>4</v>
      </c>
      <c r="AQ268" s="1" t="str">
        <f>IF(HR_Data[[#This Row],[DistanceFromHome]]&lt;=5,"1 to 5",IF(HR_Data[[#This Row],[DistanceFromHome]]&lt;=10,"6 to 10",IF(HR_Data[[#This Row],[DistanceFromHome]]&lt;=20,"11 to 20","21 to 29")))</f>
        <v>21 to 29</v>
      </c>
      <c r="AR268" s="1">
        <f>IF(HR_Data[[#This Row],[DistanceFromHome]]&lt;=5,1,IF(HR_Data[[#This Row],[DistanceFromHome]]&lt;=10,2,IF(HR_Data[[#This Row],[DistanceFromHome]]&lt;=20,3,4)))</f>
        <v>4</v>
      </c>
      <c r="AS268" s="1" t="str">
        <f>IF(HR_Data[[#This Row],[TotalWorkingYears]]&lt;=5,"0-5 Yrs",IF(HR_Data[[#This Row],[TotalWorkingYears]]&lt;=10,"6-10 Yrs",IF(HR_Data[[#This Row],[TotalWorkingYears]]&lt;=20,"11-20 Yrs","20+ Yrs")))</f>
        <v>6-10 Yrs</v>
      </c>
      <c r="AT268" s="1">
        <f>IF(HR_Data[[#This Row],[TotalWorkingYears]]&lt;=5,1,IF(HR_Data[[#This Row],[TotalWorkingYears]]&lt;=10,2,IF(HR_Data[[#This Row],[TotalWorkingYears]]&lt;=20,3,4)))</f>
        <v>2</v>
      </c>
    </row>
    <row r="269" spans="1:46" x14ac:dyDescent="0.25">
      <c r="A269">
        <v>25</v>
      </c>
      <c r="B269" t="s">
        <v>36</v>
      </c>
      <c r="C269" t="s">
        <v>48</v>
      </c>
      <c r="D269" t="s">
        <v>38</v>
      </c>
      <c r="E269">
        <v>5</v>
      </c>
      <c r="F269">
        <v>2</v>
      </c>
      <c r="G269" t="s">
        <v>32</v>
      </c>
      <c r="H269">
        <v>369</v>
      </c>
      <c r="I269">
        <v>2</v>
      </c>
      <c r="J269" t="s">
        <v>39</v>
      </c>
      <c r="K269">
        <v>4</v>
      </c>
      <c r="L269">
        <v>2</v>
      </c>
      <c r="M269" t="s">
        <v>47</v>
      </c>
      <c r="N269">
        <v>1</v>
      </c>
      <c r="O269" t="s">
        <v>45</v>
      </c>
      <c r="P269">
        <v>4000</v>
      </c>
      <c r="Q269">
        <v>1</v>
      </c>
      <c r="R269" t="s">
        <v>36</v>
      </c>
      <c r="S269">
        <v>12</v>
      </c>
      <c r="T269">
        <v>3</v>
      </c>
      <c r="U269">
        <v>4</v>
      </c>
      <c r="V269">
        <v>2</v>
      </c>
      <c r="W269">
        <v>6</v>
      </c>
      <c r="X269">
        <v>2</v>
      </c>
      <c r="Y269">
        <v>3</v>
      </c>
      <c r="Z269">
        <v>6</v>
      </c>
      <c r="AA269">
        <v>3</v>
      </c>
      <c r="AB269">
        <v>1</v>
      </c>
      <c r="AC269">
        <v>5</v>
      </c>
      <c r="AD269">
        <f>IF(HR_Data[[#This Row],[Attrition]]="Yes",1,0)</f>
        <v>0</v>
      </c>
      <c r="AE269" t="str">
        <f>IF(HR_Data[[#This Row],[Age]]&lt;=25,"18-25",IF(HR_Data[[#This Row],[Age]]&lt;=35,"26-35",IF(HR_Data[[#This Row],[Age]]&lt;=45,"36-45",IF(HR_Data[[#This Row],[Age]]&lt;=55,"46-55","55+"))))</f>
        <v>18-25</v>
      </c>
      <c r="AF269">
        <f>IF(HR_Data[[#This Row],[Age]]&lt;=25,1,IF(HR_Data[[#This Row],[Age]]&lt;=35,2,IF(HR_Data[[#This Row],[Age]]&lt;=45,3,IF(HR_Data[[#This Row],[Age]]&lt;=55,4,5))))</f>
        <v>1</v>
      </c>
      <c r="AG269" s="1" t="str">
        <f>IF(HR_Data[[#This Row],[MonthlyIncome]]&lt;3000,"&lt;3K",IF(HR_Data[[#This Row],[MonthlyIncome]]&lt;6000,"3K-6K",IF(HR_Data[[#This Row],[MonthlyIncome]]&lt;10000,"6K-10K","10K+")))</f>
        <v>3K-6K</v>
      </c>
      <c r="AH269" s="1">
        <f>IF(HR_Data[[#This Row],[MonthlyIncome]]&lt;3000,1,IF(HR_Data[[#This Row],[MonthlyIncome]]&lt;6000,2,IF(HR_Data[[#This Row],[MonthlyIncome]]&lt;10000,3,4)))</f>
        <v>2</v>
      </c>
      <c r="AI269" s="1" t="str">
        <f>IF(HR_Data[[#This Row],[YearsAtCompany]]&lt;=2,"0-2 Yrs",IF(HR_Data[[#This Row],[YearsAtCompany]]&lt;=5,"3-5 Yrs",IF(HR_Data[[#This Row],[YearsAtCompany]]&lt;=10,"6-10 Yrs","10+ Yrs")))</f>
        <v>6-10 Yrs</v>
      </c>
      <c r="AJ269" s="1">
        <f>IF(HR_Data[[#This Row],[YearsAtCompany]]&lt;=2,1,IF(HR_Data[[#This Row],[YearsAtCompany]]&lt;=5,2,IF(HR_Data[[#This Row],[YearsAtCompany]]&lt;=10,3,4)))</f>
        <v>3</v>
      </c>
      <c r="AK269" s="1" t="str">
        <f>CHOOSE(HR_Data[[#This Row],[Education]],"Below College","College","Bachelor","Master","Doctor")</f>
        <v>College</v>
      </c>
      <c r="AL269" s="1" t="str">
        <f>CHOOSE(HR_Data[[#This Row],[JobSatisfaction]],"Low","Medium","High","Very High")</f>
        <v>Low</v>
      </c>
      <c r="AM269" s="1" t="str">
        <f>CHOOSE(HR_Data[[#This Row],[EnvironmentSatisfaction]],"Low","Medium","High","Very High")</f>
        <v>Medium</v>
      </c>
      <c r="AN269" s="1" t="str">
        <f>CHOOSE(HR_Data[[#This Row],[WorkLifeBalance]],"Bad","Good","Better","Best")</f>
        <v>Better</v>
      </c>
      <c r="AO269" s="1" t="str">
        <f>IF(HR_Data[[#This Row],[PercentSalaryHike]]&lt;=13,"11-13%",IF(HR_Data[[#This Row],[PercentSalaryHike]]&lt;=16,"14-16%",IF(HR_Data[[#This Row],[PercentSalaryHike]]&lt;=19,"17-19%","20-25%")))</f>
        <v>11-13%</v>
      </c>
      <c r="AP269" s="1">
        <f>IF(HR_Data[[#This Row],[PercentSalaryHike]]&lt;=13,1,IF(HR_Data[[#This Row],[PercentSalaryHike]]&lt;=16,2,IF(HR_Data[[#This Row],[PercentSalaryHike]]&lt;=19,3,4)))</f>
        <v>1</v>
      </c>
      <c r="AQ269" s="1" t="str">
        <f>IF(HR_Data[[#This Row],[DistanceFromHome]]&lt;=5,"1 to 5",IF(HR_Data[[#This Row],[DistanceFromHome]]&lt;=10,"6 to 10",IF(HR_Data[[#This Row],[DistanceFromHome]]&lt;=20,"11 to 20","21 to 29")))</f>
        <v>1 to 5</v>
      </c>
      <c r="AR269" s="1">
        <f>IF(HR_Data[[#This Row],[DistanceFromHome]]&lt;=5,1,IF(HR_Data[[#This Row],[DistanceFromHome]]&lt;=10,2,IF(HR_Data[[#This Row],[DistanceFromHome]]&lt;=20,3,4)))</f>
        <v>1</v>
      </c>
      <c r="AS269" s="1" t="str">
        <f>IF(HR_Data[[#This Row],[TotalWorkingYears]]&lt;=5,"0-5 Yrs",IF(HR_Data[[#This Row],[TotalWorkingYears]]&lt;=10,"6-10 Yrs",IF(HR_Data[[#This Row],[TotalWorkingYears]]&lt;=20,"11-20 Yrs","20+ Yrs")))</f>
        <v>6-10 Yrs</v>
      </c>
      <c r="AT269" s="1">
        <f>IF(HR_Data[[#This Row],[TotalWorkingYears]]&lt;=5,1,IF(HR_Data[[#This Row],[TotalWorkingYears]]&lt;=10,2,IF(HR_Data[[#This Row],[TotalWorkingYears]]&lt;=20,3,4)))</f>
        <v>2</v>
      </c>
    </row>
    <row r="270" spans="1:46" x14ac:dyDescent="0.25">
      <c r="A270">
        <v>45</v>
      </c>
      <c r="B270" t="s">
        <v>36</v>
      </c>
      <c r="C270" t="s">
        <v>30</v>
      </c>
      <c r="D270" t="s">
        <v>38</v>
      </c>
      <c r="E270">
        <v>20</v>
      </c>
      <c r="F270">
        <v>2</v>
      </c>
      <c r="G270" t="s">
        <v>44</v>
      </c>
      <c r="H270">
        <v>372</v>
      </c>
      <c r="I270">
        <v>3</v>
      </c>
      <c r="J270" t="s">
        <v>39</v>
      </c>
      <c r="K270">
        <v>3</v>
      </c>
      <c r="L270">
        <v>4</v>
      </c>
      <c r="M270" t="s">
        <v>47</v>
      </c>
      <c r="N270">
        <v>4</v>
      </c>
      <c r="O270" t="s">
        <v>41</v>
      </c>
      <c r="P270">
        <v>13496</v>
      </c>
      <c r="Q270">
        <v>0</v>
      </c>
      <c r="R270" t="s">
        <v>29</v>
      </c>
      <c r="S270">
        <v>14</v>
      </c>
      <c r="T270">
        <v>3</v>
      </c>
      <c r="U270">
        <v>2</v>
      </c>
      <c r="V270">
        <v>0</v>
      </c>
      <c r="W270">
        <v>21</v>
      </c>
      <c r="X270">
        <v>2</v>
      </c>
      <c r="Y270">
        <v>3</v>
      </c>
      <c r="Z270">
        <v>20</v>
      </c>
      <c r="AA270">
        <v>7</v>
      </c>
      <c r="AB270">
        <v>4</v>
      </c>
      <c r="AC270">
        <v>10</v>
      </c>
      <c r="AD270">
        <f>IF(HR_Data[[#This Row],[Attrition]]="Yes",1,0)</f>
        <v>0</v>
      </c>
      <c r="AE270" t="str">
        <f>IF(HR_Data[[#This Row],[Age]]&lt;=25,"18-25",IF(HR_Data[[#This Row],[Age]]&lt;=35,"26-35",IF(HR_Data[[#This Row],[Age]]&lt;=45,"36-45",IF(HR_Data[[#This Row],[Age]]&lt;=55,"46-55","55+"))))</f>
        <v>36-45</v>
      </c>
      <c r="AF270">
        <f>IF(HR_Data[[#This Row],[Age]]&lt;=25,1,IF(HR_Data[[#This Row],[Age]]&lt;=35,2,IF(HR_Data[[#This Row],[Age]]&lt;=45,3,IF(HR_Data[[#This Row],[Age]]&lt;=55,4,5))))</f>
        <v>3</v>
      </c>
      <c r="AG270" s="1" t="str">
        <f>IF(HR_Data[[#This Row],[MonthlyIncome]]&lt;3000,"&lt;3K",IF(HR_Data[[#This Row],[MonthlyIncome]]&lt;6000,"3K-6K",IF(HR_Data[[#This Row],[MonthlyIncome]]&lt;10000,"6K-10K","10K+")))</f>
        <v>10K+</v>
      </c>
      <c r="AH270" s="1">
        <f>IF(HR_Data[[#This Row],[MonthlyIncome]]&lt;3000,1,IF(HR_Data[[#This Row],[MonthlyIncome]]&lt;6000,2,IF(HR_Data[[#This Row],[MonthlyIncome]]&lt;10000,3,4)))</f>
        <v>4</v>
      </c>
      <c r="AI270" s="1" t="str">
        <f>IF(HR_Data[[#This Row],[YearsAtCompany]]&lt;=2,"0-2 Yrs",IF(HR_Data[[#This Row],[YearsAtCompany]]&lt;=5,"3-5 Yrs",IF(HR_Data[[#This Row],[YearsAtCompany]]&lt;=10,"6-10 Yrs","10+ Yrs")))</f>
        <v>10+ Yrs</v>
      </c>
      <c r="AJ270" s="1">
        <f>IF(HR_Data[[#This Row],[YearsAtCompany]]&lt;=2,1,IF(HR_Data[[#This Row],[YearsAtCompany]]&lt;=5,2,IF(HR_Data[[#This Row],[YearsAtCompany]]&lt;=10,3,4)))</f>
        <v>4</v>
      </c>
      <c r="AK270" s="1" t="str">
        <f>CHOOSE(HR_Data[[#This Row],[Education]],"Below College","College","Bachelor","Master","Doctor")</f>
        <v>College</v>
      </c>
      <c r="AL270" s="1" t="str">
        <f>CHOOSE(HR_Data[[#This Row],[JobSatisfaction]],"Low","Medium","High","Very High")</f>
        <v>Very High</v>
      </c>
      <c r="AM270" s="1" t="str">
        <f>CHOOSE(HR_Data[[#This Row],[EnvironmentSatisfaction]],"Low","Medium","High","Very High")</f>
        <v>High</v>
      </c>
      <c r="AN270" s="1" t="str">
        <f>CHOOSE(HR_Data[[#This Row],[WorkLifeBalance]],"Bad","Good","Better","Best")</f>
        <v>Better</v>
      </c>
      <c r="AO270" s="1" t="str">
        <f>IF(HR_Data[[#This Row],[PercentSalaryHike]]&lt;=13,"11-13%",IF(HR_Data[[#This Row],[PercentSalaryHike]]&lt;=16,"14-16%",IF(HR_Data[[#This Row],[PercentSalaryHike]]&lt;=19,"17-19%","20-25%")))</f>
        <v>14-16%</v>
      </c>
      <c r="AP270" s="1">
        <f>IF(HR_Data[[#This Row],[PercentSalaryHike]]&lt;=13,1,IF(HR_Data[[#This Row],[PercentSalaryHike]]&lt;=16,2,IF(HR_Data[[#This Row],[PercentSalaryHike]]&lt;=19,3,4)))</f>
        <v>2</v>
      </c>
      <c r="AQ270" s="1" t="str">
        <f>IF(HR_Data[[#This Row],[DistanceFromHome]]&lt;=5,"1 to 5",IF(HR_Data[[#This Row],[DistanceFromHome]]&lt;=10,"6 to 10",IF(HR_Data[[#This Row],[DistanceFromHome]]&lt;=20,"11 to 20","21 to 29")))</f>
        <v>11 to 20</v>
      </c>
      <c r="AR270" s="1">
        <f>IF(HR_Data[[#This Row],[DistanceFromHome]]&lt;=5,1,IF(HR_Data[[#This Row],[DistanceFromHome]]&lt;=10,2,IF(HR_Data[[#This Row],[DistanceFromHome]]&lt;=20,3,4)))</f>
        <v>3</v>
      </c>
      <c r="AS270" s="1" t="str">
        <f>IF(HR_Data[[#This Row],[TotalWorkingYears]]&lt;=5,"0-5 Yrs",IF(HR_Data[[#This Row],[TotalWorkingYears]]&lt;=10,"6-10 Yrs",IF(HR_Data[[#This Row],[TotalWorkingYears]]&lt;=20,"11-20 Yrs","20+ Yrs")))</f>
        <v>20+ Yrs</v>
      </c>
      <c r="AT270" s="1">
        <f>IF(HR_Data[[#This Row],[TotalWorkingYears]]&lt;=5,1,IF(HR_Data[[#This Row],[TotalWorkingYears]]&lt;=10,2,IF(HR_Data[[#This Row],[TotalWorkingYears]]&lt;=20,3,4)))</f>
        <v>4</v>
      </c>
    </row>
    <row r="271" spans="1:46" x14ac:dyDescent="0.25">
      <c r="A271">
        <v>36</v>
      </c>
      <c r="B271" t="s">
        <v>36</v>
      </c>
      <c r="C271" t="s">
        <v>30</v>
      </c>
      <c r="D271" t="s">
        <v>38</v>
      </c>
      <c r="E271">
        <v>6</v>
      </c>
      <c r="F271">
        <v>3</v>
      </c>
      <c r="G271" t="s">
        <v>32</v>
      </c>
      <c r="H271">
        <v>373</v>
      </c>
      <c r="I271">
        <v>4</v>
      </c>
      <c r="J271" t="s">
        <v>39</v>
      </c>
      <c r="K271">
        <v>3</v>
      </c>
      <c r="L271">
        <v>1</v>
      </c>
      <c r="M271" t="s">
        <v>43</v>
      </c>
      <c r="N271">
        <v>4</v>
      </c>
      <c r="O271" t="s">
        <v>41</v>
      </c>
      <c r="P271">
        <v>3210</v>
      </c>
      <c r="Q271">
        <v>0</v>
      </c>
      <c r="R271" t="s">
        <v>36</v>
      </c>
      <c r="S271">
        <v>11</v>
      </c>
      <c r="T271">
        <v>3</v>
      </c>
      <c r="U271">
        <v>3</v>
      </c>
      <c r="V271">
        <v>1</v>
      </c>
      <c r="W271">
        <v>16</v>
      </c>
      <c r="X271">
        <v>4</v>
      </c>
      <c r="Y271">
        <v>3</v>
      </c>
      <c r="Z271">
        <v>15</v>
      </c>
      <c r="AA271">
        <v>13</v>
      </c>
      <c r="AB271">
        <v>10</v>
      </c>
      <c r="AC271">
        <v>11</v>
      </c>
      <c r="AD271">
        <f>IF(HR_Data[[#This Row],[Attrition]]="Yes",1,0)</f>
        <v>0</v>
      </c>
      <c r="AE271" t="str">
        <f>IF(HR_Data[[#This Row],[Age]]&lt;=25,"18-25",IF(HR_Data[[#This Row],[Age]]&lt;=35,"26-35",IF(HR_Data[[#This Row],[Age]]&lt;=45,"36-45",IF(HR_Data[[#This Row],[Age]]&lt;=55,"46-55","55+"))))</f>
        <v>36-45</v>
      </c>
      <c r="AF271">
        <f>IF(HR_Data[[#This Row],[Age]]&lt;=25,1,IF(HR_Data[[#This Row],[Age]]&lt;=35,2,IF(HR_Data[[#This Row],[Age]]&lt;=45,3,IF(HR_Data[[#This Row],[Age]]&lt;=55,4,5))))</f>
        <v>3</v>
      </c>
      <c r="AG271" s="1" t="str">
        <f>IF(HR_Data[[#This Row],[MonthlyIncome]]&lt;3000,"&lt;3K",IF(HR_Data[[#This Row],[MonthlyIncome]]&lt;6000,"3K-6K",IF(HR_Data[[#This Row],[MonthlyIncome]]&lt;10000,"6K-10K","10K+")))</f>
        <v>3K-6K</v>
      </c>
      <c r="AH271" s="1">
        <f>IF(HR_Data[[#This Row],[MonthlyIncome]]&lt;3000,1,IF(HR_Data[[#This Row],[MonthlyIncome]]&lt;6000,2,IF(HR_Data[[#This Row],[MonthlyIncome]]&lt;10000,3,4)))</f>
        <v>2</v>
      </c>
      <c r="AI271" s="1" t="str">
        <f>IF(HR_Data[[#This Row],[YearsAtCompany]]&lt;=2,"0-2 Yrs",IF(HR_Data[[#This Row],[YearsAtCompany]]&lt;=5,"3-5 Yrs",IF(HR_Data[[#This Row],[YearsAtCompany]]&lt;=10,"6-10 Yrs","10+ Yrs")))</f>
        <v>10+ Yrs</v>
      </c>
      <c r="AJ271" s="1">
        <f>IF(HR_Data[[#This Row],[YearsAtCompany]]&lt;=2,1,IF(HR_Data[[#This Row],[YearsAtCompany]]&lt;=5,2,IF(HR_Data[[#This Row],[YearsAtCompany]]&lt;=10,3,4)))</f>
        <v>4</v>
      </c>
      <c r="AK271" s="1" t="str">
        <f>CHOOSE(HR_Data[[#This Row],[Education]],"Below College","College","Bachelor","Master","Doctor")</f>
        <v>Bachelor</v>
      </c>
      <c r="AL271" s="1" t="str">
        <f>CHOOSE(HR_Data[[#This Row],[JobSatisfaction]],"Low","Medium","High","Very High")</f>
        <v>Very High</v>
      </c>
      <c r="AM271" s="1" t="str">
        <f>CHOOSE(HR_Data[[#This Row],[EnvironmentSatisfaction]],"Low","Medium","High","Very High")</f>
        <v>Very High</v>
      </c>
      <c r="AN271" s="1" t="str">
        <f>CHOOSE(HR_Data[[#This Row],[WorkLifeBalance]],"Bad","Good","Better","Best")</f>
        <v>Better</v>
      </c>
      <c r="AO271" s="1" t="str">
        <f>IF(HR_Data[[#This Row],[PercentSalaryHike]]&lt;=13,"11-13%",IF(HR_Data[[#This Row],[PercentSalaryHike]]&lt;=16,"14-16%",IF(HR_Data[[#This Row],[PercentSalaryHike]]&lt;=19,"17-19%","20-25%")))</f>
        <v>11-13%</v>
      </c>
      <c r="AP271" s="1">
        <f>IF(HR_Data[[#This Row],[PercentSalaryHike]]&lt;=13,1,IF(HR_Data[[#This Row],[PercentSalaryHike]]&lt;=16,2,IF(HR_Data[[#This Row],[PercentSalaryHike]]&lt;=19,3,4)))</f>
        <v>1</v>
      </c>
      <c r="AQ271" s="1" t="str">
        <f>IF(HR_Data[[#This Row],[DistanceFromHome]]&lt;=5,"1 to 5",IF(HR_Data[[#This Row],[DistanceFromHome]]&lt;=10,"6 to 10",IF(HR_Data[[#This Row],[DistanceFromHome]]&lt;=20,"11 to 20","21 to 29")))</f>
        <v>6 to 10</v>
      </c>
      <c r="AR271" s="1">
        <f>IF(HR_Data[[#This Row],[DistanceFromHome]]&lt;=5,1,IF(HR_Data[[#This Row],[DistanceFromHome]]&lt;=10,2,IF(HR_Data[[#This Row],[DistanceFromHome]]&lt;=20,3,4)))</f>
        <v>2</v>
      </c>
      <c r="AS271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271" s="1">
        <f>IF(HR_Data[[#This Row],[TotalWorkingYears]]&lt;=5,1,IF(HR_Data[[#This Row],[TotalWorkingYears]]&lt;=10,2,IF(HR_Data[[#This Row],[TotalWorkingYears]]&lt;=20,3,4)))</f>
        <v>3</v>
      </c>
    </row>
    <row r="272" spans="1:46" x14ac:dyDescent="0.25">
      <c r="A272">
        <v>55</v>
      </c>
      <c r="B272" t="s">
        <v>36</v>
      </c>
      <c r="C272" t="s">
        <v>30</v>
      </c>
      <c r="D272" t="s">
        <v>38</v>
      </c>
      <c r="E272">
        <v>1</v>
      </c>
      <c r="F272">
        <v>3</v>
      </c>
      <c r="G272" t="s">
        <v>44</v>
      </c>
      <c r="H272">
        <v>374</v>
      </c>
      <c r="I272">
        <v>4</v>
      </c>
      <c r="J272" t="s">
        <v>39</v>
      </c>
      <c r="K272">
        <v>3</v>
      </c>
      <c r="L272">
        <v>5</v>
      </c>
      <c r="M272" t="s">
        <v>49</v>
      </c>
      <c r="N272">
        <v>1</v>
      </c>
      <c r="O272" t="s">
        <v>35</v>
      </c>
      <c r="P272">
        <v>19045</v>
      </c>
      <c r="Q272">
        <v>0</v>
      </c>
      <c r="R272" t="s">
        <v>29</v>
      </c>
      <c r="S272">
        <v>14</v>
      </c>
      <c r="T272">
        <v>3</v>
      </c>
      <c r="U272">
        <v>3</v>
      </c>
      <c r="V272">
        <v>0</v>
      </c>
      <c r="W272">
        <v>37</v>
      </c>
      <c r="X272">
        <v>2</v>
      </c>
      <c r="Y272">
        <v>3</v>
      </c>
      <c r="Z272">
        <v>36</v>
      </c>
      <c r="AA272">
        <v>10</v>
      </c>
      <c r="AB272">
        <v>4</v>
      </c>
      <c r="AC272">
        <v>13</v>
      </c>
      <c r="AD272">
        <f>IF(HR_Data[[#This Row],[Attrition]]="Yes",1,0)</f>
        <v>0</v>
      </c>
      <c r="AE272" t="str">
        <f>IF(HR_Data[[#This Row],[Age]]&lt;=25,"18-25",IF(HR_Data[[#This Row],[Age]]&lt;=35,"26-35",IF(HR_Data[[#This Row],[Age]]&lt;=45,"36-45",IF(HR_Data[[#This Row],[Age]]&lt;=55,"46-55","55+"))))</f>
        <v>46-55</v>
      </c>
      <c r="AF272">
        <f>IF(HR_Data[[#This Row],[Age]]&lt;=25,1,IF(HR_Data[[#This Row],[Age]]&lt;=35,2,IF(HR_Data[[#This Row],[Age]]&lt;=45,3,IF(HR_Data[[#This Row],[Age]]&lt;=55,4,5))))</f>
        <v>4</v>
      </c>
      <c r="AG272" s="1" t="str">
        <f>IF(HR_Data[[#This Row],[MonthlyIncome]]&lt;3000,"&lt;3K",IF(HR_Data[[#This Row],[MonthlyIncome]]&lt;6000,"3K-6K",IF(HR_Data[[#This Row],[MonthlyIncome]]&lt;10000,"6K-10K","10K+")))</f>
        <v>10K+</v>
      </c>
      <c r="AH272" s="1">
        <f>IF(HR_Data[[#This Row],[MonthlyIncome]]&lt;3000,1,IF(HR_Data[[#This Row],[MonthlyIncome]]&lt;6000,2,IF(HR_Data[[#This Row],[MonthlyIncome]]&lt;10000,3,4)))</f>
        <v>4</v>
      </c>
      <c r="AI272" s="1" t="str">
        <f>IF(HR_Data[[#This Row],[YearsAtCompany]]&lt;=2,"0-2 Yrs",IF(HR_Data[[#This Row],[YearsAtCompany]]&lt;=5,"3-5 Yrs",IF(HR_Data[[#This Row],[YearsAtCompany]]&lt;=10,"6-10 Yrs","10+ Yrs")))</f>
        <v>10+ Yrs</v>
      </c>
      <c r="AJ272" s="1">
        <f>IF(HR_Data[[#This Row],[YearsAtCompany]]&lt;=2,1,IF(HR_Data[[#This Row],[YearsAtCompany]]&lt;=5,2,IF(HR_Data[[#This Row],[YearsAtCompany]]&lt;=10,3,4)))</f>
        <v>4</v>
      </c>
      <c r="AK272" s="1" t="str">
        <f>CHOOSE(HR_Data[[#This Row],[Education]],"Below College","College","Bachelor","Master","Doctor")</f>
        <v>Bachelor</v>
      </c>
      <c r="AL272" s="1" t="str">
        <f>CHOOSE(HR_Data[[#This Row],[JobSatisfaction]],"Low","Medium","High","Very High")</f>
        <v>Low</v>
      </c>
      <c r="AM272" s="1" t="str">
        <f>CHOOSE(HR_Data[[#This Row],[EnvironmentSatisfaction]],"Low","Medium","High","Very High")</f>
        <v>Very High</v>
      </c>
      <c r="AN272" s="1" t="str">
        <f>CHOOSE(HR_Data[[#This Row],[WorkLifeBalance]],"Bad","Good","Better","Best")</f>
        <v>Better</v>
      </c>
      <c r="AO272" s="1" t="str">
        <f>IF(HR_Data[[#This Row],[PercentSalaryHike]]&lt;=13,"11-13%",IF(HR_Data[[#This Row],[PercentSalaryHike]]&lt;=16,"14-16%",IF(HR_Data[[#This Row],[PercentSalaryHike]]&lt;=19,"17-19%","20-25%")))</f>
        <v>14-16%</v>
      </c>
      <c r="AP272" s="1">
        <f>IF(HR_Data[[#This Row],[PercentSalaryHike]]&lt;=13,1,IF(HR_Data[[#This Row],[PercentSalaryHike]]&lt;=16,2,IF(HR_Data[[#This Row],[PercentSalaryHike]]&lt;=19,3,4)))</f>
        <v>2</v>
      </c>
      <c r="AQ272" s="1" t="str">
        <f>IF(HR_Data[[#This Row],[DistanceFromHome]]&lt;=5,"1 to 5",IF(HR_Data[[#This Row],[DistanceFromHome]]&lt;=10,"6 to 10",IF(HR_Data[[#This Row],[DistanceFromHome]]&lt;=20,"11 to 20","21 to 29")))</f>
        <v>1 to 5</v>
      </c>
      <c r="AR272" s="1">
        <f>IF(HR_Data[[#This Row],[DistanceFromHome]]&lt;=5,1,IF(HR_Data[[#This Row],[DistanceFromHome]]&lt;=10,2,IF(HR_Data[[#This Row],[DistanceFromHome]]&lt;=20,3,4)))</f>
        <v>1</v>
      </c>
      <c r="AS272" s="1" t="str">
        <f>IF(HR_Data[[#This Row],[TotalWorkingYears]]&lt;=5,"0-5 Yrs",IF(HR_Data[[#This Row],[TotalWorkingYears]]&lt;=10,"6-10 Yrs",IF(HR_Data[[#This Row],[TotalWorkingYears]]&lt;=20,"11-20 Yrs","20+ Yrs")))</f>
        <v>20+ Yrs</v>
      </c>
      <c r="AT272" s="1">
        <f>IF(HR_Data[[#This Row],[TotalWorkingYears]]&lt;=5,1,IF(HR_Data[[#This Row],[TotalWorkingYears]]&lt;=10,2,IF(HR_Data[[#This Row],[TotalWorkingYears]]&lt;=20,3,4)))</f>
        <v>4</v>
      </c>
    </row>
    <row r="273" spans="1:46" x14ac:dyDescent="0.25">
      <c r="A273">
        <v>47</v>
      </c>
      <c r="B273" t="s">
        <v>29</v>
      </c>
      <c r="C273" t="s">
        <v>48</v>
      </c>
      <c r="D273" t="s">
        <v>38</v>
      </c>
      <c r="E273">
        <v>29</v>
      </c>
      <c r="F273">
        <v>4</v>
      </c>
      <c r="G273" t="s">
        <v>32</v>
      </c>
      <c r="H273">
        <v>376</v>
      </c>
      <c r="I273">
        <v>1</v>
      </c>
      <c r="J273" t="s">
        <v>39</v>
      </c>
      <c r="K273">
        <v>3</v>
      </c>
      <c r="L273">
        <v>3</v>
      </c>
      <c r="M273" t="s">
        <v>49</v>
      </c>
      <c r="N273">
        <v>2</v>
      </c>
      <c r="O273" t="s">
        <v>41</v>
      </c>
      <c r="P273">
        <v>11849</v>
      </c>
      <c r="Q273">
        <v>1</v>
      </c>
      <c r="R273" t="s">
        <v>29</v>
      </c>
      <c r="S273">
        <v>12</v>
      </c>
      <c r="T273">
        <v>3</v>
      </c>
      <c r="U273">
        <v>4</v>
      </c>
      <c r="V273">
        <v>1</v>
      </c>
      <c r="W273">
        <v>10</v>
      </c>
      <c r="X273">
        <v>2</v>
      </c>
      <c r="Y273">
        <v>2</v>
      </c>
      <c r="Z273">
        <v>10</v>
      </c>
      <c r="AA273">
        <v>7</v>
      </c>
      <c r="AB273">
        <v>9</v>
      </c>
      <c r="AC273">
        <v>9</v>
      </c>
      <c r="AD273">
        <f>IF(HR_Data[[#This Row],[Attrition]]="Yes",1,0)</f>
        <v>1</v>
      </c>
      <c r="AE273" t="str">
        <f>IF(HR_Data[[#This Row],[Age]]&lt;=25,"18-25",IF(HR_Data[[#This Row],[Age]]&lt;=35,"26-35",IF(HR_Data[[#This Row],[Age]]&lt;=45,"36-45",IF(HR_Data[[#This Row],[Age]]&lt;=55,"46-55","55+"))))</f>
        <v>46-55</v>
      </c>
      <c r="AF273">
        <f>IF(HR_Data[[#This Row],[Age]]&lt;=25,1,IF(HR_Data[[#This Row],[Age]]&lt;=35,2,IF(HR_Data[[#This Row],[Age]]&lt;=45,3,IF(HR_Data[[#This Row],[Age]]&lt;=55,4,5))))</f>
        <v>4</v>
      </c>
      <c r="AG273" s="1" t="str">
        <f>IF(HR_Data[[#This Row],[MonthlyIncome]]&lt;3000,"&lt;3K",IF(HR_Data[[#This Row],[MonthlyIncome]]&lt;6000,"3K-6K",IF(HR_Data[[#This Row],[MonthlyIncome]]&lt;10000,"6K-10K","10K+")))</f>
        <v>10K+</v>
      </c>
      <c r="AH273" s="1">
        <f>IF(HR_Data[[#This Row],[MonthlyIncome]]&lt;3000,1,IF(HR_Data[[#This Row],[MonthlyIncome]]&lt;6000,2,IF(HR_Data[[#This Row],[MonthlyIncome]]&lt;10000,3,4)))</f>
        <v>4</v>
      </c>
      <c r="AI273" s="1" t="str">
        <f>IF(HR_Data[[#This Row],[YearsAtCompany]]&lt;=2,"0-2 Yrs",IF(HR_Data[[#This Row],[YearsAtCompany]]&lt;=5,"3-5 Yrs",IF(HR_Data[[#This Row],[YearsAtCompany]]&lt;=10,"6-10 Yrs","10+ Yrs")))</f>
        <v>6-10 Yrs</v>
      </c>
      <c r="AJ273" s="1">
        <f>IF(HR_Data[[#This Row],[YearsAtCompany]]&lt;=2,1,IF(HR_Data[[#This Row],[YearsAtCompany]]&lt;=5,2,IF(HR_Data[[#This Row],[YearsAtCompany]]&lt;=10,3,4)))</f>
        <v>3</v>
      </c>
      <c r="AK273" s="1" t="str">
        <f>CHOOSE(HR_Data[[#This Row],[Education]],"Below College","College","Bachelor","Master","Doctor")</f>
        <v>Master</v>
      </c>
      <c r="AL273" s="1" t="str">
        <f>CHOOSE(HR_Data[[#This Row],[JobSatisfaction]],"Low","Medium","High","Very High")</f>
        <v>Medium</v>
      </c>
      <c r="AM273" s="1" t="str">
        <f>CHOOSE(HR_Data[[#This Row],[EnvironmentSatisfaction]],"Low","Medium","High","Very High")</f>
        <v>Low</v>
      </c>
      <c r="AN273" s="1" t="str">
        <f>CHOOSE(HR_Data[[#This Row],[WorkLifeBalance]],"Bad","Good","Better","Best")</f>
        <v>Good</v>
      </c>
      <c r="AO273" s="1" t="str">
        <f>IF(HR_Data[[#This Row],[PercentSalaryHike]]&lt;=13,"11-13%",IF(HR_Data[[#This Row],[PercentSalaryHike]]&lt;=16,"14-16%",IF(HR_Data[[#This Row],[PercentSalaryHike]]&lt;=19,"17-19%","20-25%")))</f>
        <v>11-13%</v>
      </c>
      <c r="AP273" s="1">
        <f>IF(HR_Data[[#This Row],[PercentSalaryHike]]&lt;=13,1,IF(HR_Data[[#This Row],[PercentSalaryHike]]&lt;=16,2,IF(HR_Data[[#This Row],[PercentSalaryHike]]&lt;=19,3,4)))</f>
        <v>1</v>
      </c>
      <c r="AQ273" s="1" t="str">
        <f>IF(HR_Data[[#This Row],[DistanceFromHome]]&lt;=5,"1 to 5",IF(HR_Data[[#This Row],[DistanceFromHome]]&lt;=10,"6 to 10",IF(HR_Data[[#This Row],[DistanceFromHome]]&lt;=20,"11 to 20","21 to 29")))</f>
        <v>21 to 29</v>
      </c>
      <c r="AR273" s="1">
        <f>IF(HR_Data[[#This Row],[DistanceFromHome]]&lt;=5,1,IF(HR_Data[[#This Row],[DistanceFromHome]]&lt;=10,2,IF(HR_Data[[#This Row],[DistanceFromHome]]&lt;=20,3,4)))</f>
        <v>4</v>
      </c>
      <c r="AS273" s="1" t="str">
        <f>IF(HR_Data[[#This Row],[TotalWorkingYears]]&lt;=5,"0-5 Yrs",IF(HR_Data[[#This Row],[TotalWorkingYears]]&lt;=10,"6-10 Yrs",IF(HR_Data[[#This Row],[TotalWorkingYears]]&lt;=20,"11-20 Yrs","20+ Yrs")))</f>
        <v>6-10 Yrs</v>
      </c>
      <c r="AT273" s="1">
        <f>IF(HR_Data[[#This Row],[TotalWorkingYears]]&lt;=5,1,IF(HR_Data[[#This Row],[TotalWorkingYears]]&lt;=10,2,IF(HR_Data[[#This Row],[TotalWorkingYears]]&lt;=20,3,4)))</f>
        <v>2</v>
      </c>
    </row>
    <row r="274" spans="1:46" x14ac:dyDescent="0.25">
      <c r="A274">
        <v>28</v>
      </c>
      <c r="B274" t="s">
        <v>36</v>
      </c>
      <c r="C274" t="s">
        <v>30</v>
      </c>
      <c r="D274" t="s">
        <v>38</v>
      </c>
      <c r="E274">
        <v>9</v>
      </c>
      <c r="F274">
        <v>3</v>
      </c>
      <c r="G274" t="s">
        <v>44</v>
      </c>
      <c r="H274">
        <v>377</v>
      </c>
      <c r="I274">
        <v>4</v>
      </c>
      <c r="J274" t="s">
        <v>39</v>
      </c>
      <c r="K274">
        <v>3</v>
      </c>
      <c r="L274">
        <v>1</v>
      </c>
      <c r="M274" t="s">
        <v>40</v>
      </c>
      <c r="N274">
        <v>4</v>
      </c>
      <c r="O274" t="s">
        <v>41</v>
      </c>
      <c r="P274">
        <v>2070</v>
      </c>
      <c r="Q274">
        <v>1</v>
      </c>
      <c r="R274" t="s">
        <v>36</v>
      </c>
      <c r="S274">
        <v>23</v>
      </c>
      <c r="T274">
        <v>4</v>
      </c>
      <c r="U274">
        <v>4</v>
      </c>
      <c r="V274">
        <v>1</v>
      </c>
      <c r="W274">
        <v>5</v>
      </c>
      <c r="X274">
        <v>3</v>
      </c>
      <c r="Y274">
        <v>2</v>
      </c>
      <c r="Z274">
        <v>5</v>
      </c>
      <c r="AA274">
        <v>2</v>
      </c>
      <c r="AB274">
        <v>0</v>
      </c>
      <c r="AC274">
        <v>4</v>
      </c>
      <c r="AD274">
        <f>IF(HR_Data[[#This Row],[Attrition]]="Yes",1,0)</f>
        <v>0</v>
      </c>
      <c r="AE274" t="str">
        <f>IF(HR_Data[[#This Row],[Age]]&lt;=25,"18-25",IF(HR_Data[[#This Row],[Age]]&lt;=35,"26-35",IF(HR_Data[[#This Row],[Age]]&lt;=45,"36-45",IF(HR_Data[[#This Row],[Age]]&lt;=55,"46-55","55+"))))</f>
        <v>26-35</v>
      </c>
      <c r="AF274">
        <f>IF(HR_Data[[#This Row],[Age]]&lt;=25,1,IF(HR_Data[[#This Row],[Age]]&lt;=35,2,IF(HR_Data[[#This Row],[Age]]&lt;=45,3,IF(HR_Data[[#This Row],[Age]]&lt;=55,4,5))))</f>
        <v>2</v>
      </c>
      <c r="AG274" s="1" t="str">
        <f>IF(HR_Data[[#This Row],[MonthlyIncome]]&lt;3000,"&lt;3K",IF(HR_Data[[#This Row],[MonthlyIncome]]&lt;6000,"3K-6K",IF(HR_Data[[#This Row],[MonthlyIncome]]&lt;10000,"6K-10K","10K+")))</f>
        <v>&lt;3K</v>
      </c>
      <c r="AH274" s="1">
        <f>IF(HR_Data[[#This Row],[MonthlyIncome]]&lt;3000,1,IF(HR_Data[[#This Row],[MonthlyIncome]]&lt;6000,2,IF(HR_Data[[#This Row],[MonthlyIncome]]&lt;10000,3,4)))</f>
        <v>1</v>
      </c>
      <c r="AI274" s="1" t="str">
        <f>IF(HR_Data[[#This Row],[YearsAtCompany]]&lt;=2,"0-2 Yrs",IF(HR_Data[[#This Row],[YearsAtCompany]]&lt;=5,"3-5 Yrs",IF(HR_Data[[#This Row],[YearsAtCompany]]&lt;=10,"6-10 Yrs","10+ Yrs")))</f>
        <v>3-5 Yrs</v>
      </c>
      <c r="AJ274" s="1">
        <f>IF(HR_Data[[#This Row],[YearsAtCompany]]&lt;=2,1,IF(HR_Data[[#This Row],[YearsAtCompany]]&lt;=5,2,IF(HR_Data[[#This Row],[YearsAtCompany]]&lt;=10,3,4)))</f>
        <v>2</v>
      </c>
      <c r="AK274" s="1" t="str">
        <f>CHOOSE(HR_Data[[#This Row],[Education]],"Below College","College","Bachelor","Master","Doctor")</f>
        <v>Bachelor</v>
      </c>
      <c r="AL274" s="1" t="str">
        <f>CHOOSE(HR_Data[[#This Row],[JobSatisfaction]],"Low","Medium","High","Very High")</f>
        <v>Very High</v>
      </c>
      <c r="AM274" s="1" t="str">
        <f>CHOOSE(HR_Data[[#This Row],[EnvironmentSatisfaction]],"Low","Medium","High","Very High")</f>
        <v>Very High</v>
      </c>
      <c r="AN274" s="1" t="str">
        <f>CHOOSE(HR_Data[[#This Row],[WorkLifeBalance]],"Bad","Good","Better","Best")</f>
        <v>Good</v>
      </c>
      <c r="AO274" s="1" t="str">
        <f>IF(HR_Data[[#This Row],[PercentSalaryHike]]&lt;=13,"11-13%",IF(HR_Data[[#This Row],[PercentSalaryHike]]&lt;=16,"14-16%",IF(HR_Data[[#This Row],[PercentSalaryHike]]&lt;=19,"17-19%","20-25%")))</f>
        <v>20-25%</v>
      </c>
      <c r="AP274" s="1">
        <f>IF(HR_Data[[#This Row],[PercentSalaryHike]]&lt;=13,1,IF(HR_Data[[#This Row],[PercentSalaryHike]]&lt;=16,2,IF(HR_Data[[#This Row],[PercentSalaryHike]]&lt;=19,3,4)))</f>
        <v>4</v>
      </c>
      <c r="AQ274" s="1" t="str">
        <f>IF(HR_Data[[#This Row],[DistanceFromHome]]&lt;=5,"1 to 5",IF(HR_Data[[#This Row],[DistanceFromHome]]&lt;=10,"6 to 10",IF(HR_Data[[#This Row],[DistanceFromHome]]&lt;=20,"11 to 20","21 to 29")))</f>
        <v>6 to 10</v>
      </c>
      <c r="AR274" s="1">
        <f>IF(HR_Data[[#This Row],[DistanceFromHome]]&lt;=5,1,IF(HR_Data[[#This Row],[DistanceFromHome]]&lt;=10,2,IF(HR_Data[[#This Row],[DistanceFromHome]]&lt;=20,3,4)))</f>
        <v>2</v>
      </c>
      <c r="AS274" s="1" t="str">
        <f>IF(HR_Data[[#This Row],[TotalWorkingYears]]&lt;=5,"0-5 Yrs",IF(HR_Data[[#This Row],[TotalWorkingYears]]&lt;=10,"6-10 Yrs",IF(HR_Data[[#This Row],[TotalWorkingYears]]&lt;=20,"11-20 Yrs","20+ Yrs")))</f>
        <v>0-5 Yrs</v>
      </c>
      <c r="AT274" s="1">
        <f>IF(HR_Data[[#This Row],[TotalWorkingYears]]&lt;=5,1,IF(HR_Data[[#This Row],[TotalWorkingYears]]&lt;=10,2,IF(HR_Data[[#This Row],[TotalWorkingYears]]&lt;=20,3,4)))</f>
        <v>1</v>
      </c>
    </row>
    <row r="275" spans="1:46" x14ac:dyDescent="0.25">
      <c r="A275">
        <v>37</v>
      </c>
      <c r="B275" t="s">
        <v>36</v>
      </c>
      <c r="C275" t="s">
        <v>30</v>
      </c>
      <c r="D275" t="s">
        <v>31</v>
      </c>
      <c r="E275">
        <v>6</v>
      </c>
      <c r="F275">
        <v>4</v>
      </c>
      <c r="G275" t="s">
        <v>44</v>
      </c>
      <c r="H275">
        <v>378</v>
      </c>
      <c r="I275">
        <v>3</v>
      </c>
      <c r="J275" t="s">
        <v>39</v>
      </c>
      <c r="K275">
        <v>3</v>
      </c>
      <c r="L275">
        <v>2</v>
      </c>
      <c r="M275" t="s">
        <v>34</v>
      </c>
      <c r="N275">
        <v>4</v>
      </c>
      <c r="O275" t="s">
        <v>41</v>
      </c>
      <c r="P275">
        <v>6502</v>
      </c>
      <c r="Q275">
        <v>4</v>
      </c>
      <c r="R275" t="s">
        <v>36</v>
      </c>
      <c r="S275">
        <v>14</v>
      </c>
      <c r="T275">
        <v>3</v>
      </c>
      <c r="U275">
        <v>2</v>
      </c>
      <c r="V275">
        <v>1</v>
      </c>
      <c r="W275">
        <v>7</v>
      </c>
      <c r="X275">
        <v>5</v>
      </c>
      <c r="Y275">
        <v>4</v>
      </c>
      <c r="Z275">
        <v>5</v>
      </c>
      <c r="AA275">
        <v>4</v>
      </c>
      <c r="AB275">
        <v>0</v>
      </c>
      <c r="AC275">
        <v>1</v>
      </c>
      <c r="AD275">
        <f>IF(HR_Data[[#This Row],[Attrition]]="Yes",1,0)</f>
        <v>0</v>
      </c>
      <c r="AE275" t="str">
        <f>IF(HR_Data[[#This Row],[Age]]&lt;=25,"18-25",IF(HR_Data[[#This Row],[Age]]&lt;=35,"26-35",IF(HR_Data[[#This Row],[Age]]&lt;=45,"36-45",IF(HR_Data[[#This Row],[Age]]&lt;=55,"46-55","55+"))))</f>
        <v>36-45</v>
      </c>
      <c r="AF275">
        <f>IF(HR_Data[[#This Row],[Age]]&lt;=25,1,IF(HR_Data[[#This Row],[Age]]&lt;=35,2,IF(HR_Data[[#This Row],[Age]]&lt;=45,3,IF(HR_Data[[#This Row],[Age]]&lt;=55,4,5))))</f>
        <v>3</v>
      </c>
      <c r="AG275" s="1" t="str">
        <f>IF(HR_Data[[#This Row],[MonthlyIncome]]&lt;3000,"&lt;3K",IF(HR_Data[[#This Row],[MonthlyIncome]]&lt;6000,"3K-6K",IF(HR_Data[[#This Row],[MonthlyIncome]]&lt;10000,"6K-10K","10K+")))</f>
        <v>6K-10K</v>
      </c>
      <c r="AH275" s="1">
        <f>IF(HR_Data[[#This Row],[MonthlyIncome]]&lt;3000,1,IF(HR_Data[[#This Row],[MonthlyIncome]]&lt;6000,2,IF(HR_Data[[#This Row],[MonthlyIncome]]&lt;10000,3,4)))</f>
        <v>3</v>
      </c>
      <c r="AI275" s="1" t="str">
        <f>IF(HR_Data[[#This Row],[YearsAtCompany]]&lt;=2,"0-2 Yrs",IF(HR_Data[[#This Row],[YearsAtCompany]]&lt;=5,"3-5 Yrs",IF(HR_Data[[#This Row],[YearsAtCompany]]&lt;=10,"6-10 Yrs","10+ Yrs")))</f>
        <v>3-5 Yrs</v>
      </c>
      <c r="AJ275" s="1">
        <f>IF(HR_Data[[#This Row],[YearsAtCompany]]&lt;=2,1,IF(HR_Data[[#This Row],[YearsAtCompany]]&lt;=5,2,IF(HR_Data[[#This Row],[YearsAtCompany]]&lt;=10,3,4)))</f>
        <v>2</v>
      </c>
      <c r="AK275" s="1" t="str">
        <f>CHOOSE(HR_Data[[#This Row],[Education]],"Below College","College","Bachelor","Master","Doctor")</f>
        <v>Master</v>
      </c>
      <c r="AL275" s="1" t="str">
        <f>CHOOSE(HR_Data[[#This Row],[JobSatisfaction]],"Low","Medium","High","Very High")</f>
        <v>Very High</v>
      </c>
      <c r="AM275" s="1" t="str">
        <f>CHOOSE(HR_Data[[#This Row],[EnvironmentSatisfaction]],"Low","Medium","High","Very High")</f>
        <v>High</v>
      </c>
      <c r="AN275" s="1" t="str">
        <f>CHOOSE(HR_Data[[#This Row],[WorkLifeBalance]],"Bad","Good","Better","Best")</f>
        <v>Best</v>
      </c>
      <c r="AO275" s="1" t="str">
        <f>IF(HR_Data[[#This Row],[PercentSalaryHike]]&lt;=13,"11-13%",IF(HR_Data[[#This Row],[PercentSalaryHike]]&lt;=16,"14-16%",IF(HR_Data[[#This Row],[PercentSalaryHike]]&lt;=19,"17-19%","20-25%")))</f>
        <v>14-16%</v>
      </c>
      <c r="AP275" s="1">
        <f>IF(HR_Data[[#This Row],[PercentSalaryHike]]&lt;=13,1,IF(HR_Data[[#This Row],[PercentSalaryHike]]&lt;=16,2,IF(HR_Data[[#This Row],[PercentSalaryHike]]&lt;=19,3,4)))</f>
        <v>2</v>
      </c>
      <c r="AQ275" s="1" t="str">
        <f>IF(HR_Data[[#This Row],[DistanceFromHome]]&lt;=5,"1 to 5",IF(HR_Data[[#This Row],[DistanceFromHome]]&lt;=10,"6 to 10",IF(HR_Data[[#This Row],[DistanceFromHome]]&lt;=20,"11 to 20","21 to 29")))</f>
        <v>6 to 10</v>
      </c>
      <c r="AR275" s="1">
        <f>IF(HR_Data[[#This Row],[DistanceFromHome]]&lt;=5,1,IF(HR_Data[[#This Row],[DistanceFromHome]]&lt;=10,2,IF(HR_Data[[#This Row],[DistanceFromHome]]&lt;=20,3,4)))</f>
        <v>2</v>
      </c>
      <c r="AS275" s="1" t="str">
        <f>IF(HR_Data[[#This Row],[TotalWorkingYears]]&lt;=5,"0-5 Yrs",IF(HR_Data[[#This Row],[TotalWorkingYears]]&lt;=10,"6-10 Yrs",IF(HR_Data[[#This Row],[TotalWorkingYears]]&lt;=20,"11-20 Yrs","20+ Yrs")))</f>
        <v>6-10 Yrs</v>
      </c>
      <c r="AT275" s="1">
        <f>IF(HR_Data[[#This Row],[TotalWorkingYears]]&lt;=5,1,IF(HR_Data[[#This Row],[TotalWorkingYears]]&lt;=10,2,IF(HR_Data[[#This Row],[TotalWorkingYears]]&lt;=20,3,4)))</f>
        <v>2</v>
      </c>
    </row>
    <row r="276" spans="1:46" x14ac:dyDescent="0.25">
      <c r="A276">
        <v>21</v>
      </c>
      <c r="B276" t="s">
        <v>36</v>
      </c>
      <c r="C276" t="s">
        <v>30</v>
      </c>
      <c r="D276" t="s">
        <v>38</v>
      </c>
      <c r="E276">
        <v>3</v>
      </c>
      <c r="F276">
        <v>2</v>
      </c>
      <c r="G276" t="s">
        <v>44</v>
      </c>
      <c r="H276">
        <v>379</v>
      </c>
      <c r="I276">
        <v>4</v>
      </c>
      <c r="J276" t="s">
        <v>39</v>
      </c>
      <c r="K276">
        <v>2</v>
      </c>
      <c r="L276">
        <v>1</v>
      </c>
      <c r="M276" t="s">
        <v>40</v>
      </c>
      <c r="N276">
        <v>3</v>
      </c>
      <c r="O276" t="s">
        <v>35</v>
      </c>
      <c r="P276">
        <v>3230</v>
      </c>
      <c r="Q276">
        <v>1</v>
      </c>
      <c r="R276" t="s">
        <v>36</v>
      </c>
      <c r="S276">
        <v>17</v>
      </c>
      <c r="T276">
        <v>3</v>
      </c>
      <c r="U276">
        <v>1</v>
      </c>
      <c r="V276">
        <v>0</v>
      </c>
      <c r="W276">
        <v>3</v>
      </c>
      <c r="X276">
        <v>4</v>
      </c>
      <c r="Y276">
        <v>4</v>
      </c>
      <c r="Z276">
        <v>3</v>
      </c>
      <c r="AA276">
        <v>2</v>
      </c>
      <c r="AB276">
        <v>1</v>
      </c>
      <c r="AC276">
        <v>0</v>
      </c>
      <c r="AD276">
        <f>IF(HR_Data[[#This Row],[Attrition]]="Yes",1,0)</f>
        <v>0</v>
      </c>
      <c r="AE276" t="str">
        <f>IF(HR_Data[[#This Row],[Age]]&lt;=25,"18-25",IF(HR_Data[[#This Row],[Age]]&lt;=35,"26-35",IF(HR_Data[[#This Row],[Age]]&lt;=45,"36-45",IF(HR_Data[[#This Row],[Age]]&lt;=55,"46-55","55+"))))</f>
        <v>18-25</v>
      </c>
      <c r="AF276">
        <f>IF(HR_Data[[#This Row],[Age]]&lt;=25,1,IF(HR_Data[[#This Row],[Age]]&lt;=35,2,IF(HR_Data[[#This Row],[Age]]&lt;=45,3,IF(HR_Data[[#This Row],[Age]]&lt;=55,4,5))))</f>
        <v>1</v>
      </c>
      <c r="AG276" s="1" t="str">
        <f>IF(HR_Data[[#This Row],[MonthlyIncome]]&lt;3000,"&lt;3K",IF(HR_Data[[#This Row],[MonthlyIncome]]&lt;6000,"3K-6K",IF(HR_Data[[#This Row],[MonthlyIncome]]&lt;10000,"6K-10K","10K+")))</f>
        <v>3K-6K</v>
      </c>
      <c r="AH276" s="1">
        <f>IF(HR_Data[[#This Row],[MonthlyIncome]]&lt;3000,1,IF(HR_Data[[#This Row],[MonthlyIncome]]&lt;6000,2,IF(HR_Data[[#This Row],[MonthlyIncome]]&lt;10000,3,4)))</f>
        <v>2</v>
      </c>
      <c r="AI276" s="1" t="str">
        <f>IF(HR_Data[[#This Row],[YearsAtCompany]]&lt;=2,"0-2 Yrs",IF(HR_Data[[#This Row],[YearsAtCompany]]&lt;=5,"3-5 Yrs",IF(HR_Data[[#This Row],[YearsAtCompany]]&lt;=10,"6-10 Yrs","10+ Yrs")))</f>
        <v>3-5 Yrs</v>
      </c>
      <c r="AJ276" s="1">
        <f>IF(HR_Data[[#This Row],[YearsAtCompany]]&lt;=2,1,IF(HR_Data[[#This Row],[YearsAtCompany]]&lt;=5,2,IF(HR_Data[[#This Row],[YearsAtCompany]]&lt;=10,3,4)))</f>
        <v>2</v>
      </c>
      <c r="AK276" s="1" t="str">
        <f>CHOOSE(HR_Data[[#This Row],[Education]],"Below College","College","Bachelor","Master","Doctor")</f>
        <v>College</v>
      </c>
      <c r="AL276" s="1" t="str">
        <f>CHOOSE(HR_Data[[#This Row],[JobSatisfaction]],"Low","Medium","High","Very High")</f>
        <v>High</v>
      </c>
      <c r="AM276" s="1" t="str">
        <f>CHOOSE(HR_Data[[#This Row],[EnvironmentSatisfaction]],"Low","Medium","High","Very High")</f>
        <v>Very High</v>
      </c>
      <c r="AN276" s="1" t="str">
        <f>CHOOSE(HR_Data[[#This Row],[WorkLifeBalance]],"Bad","Good","Better","Best")</f>
        <v>Best</v>
      </c>
      <c r="AO276" s="1" t="str">
        <f>IF(HR_Data[[#This Row],[PercentSalaryHike]]&lt;=13,"11-13%",IF(HR_Data[[#This Row],[PercentSalaryHike]]&lt;=16,"14-16%",IF(HR_Data[[#This Row],[PercentSalaryHike]]&lt;=19,"17-19%","20-25%")))</f>
        <v>17-19%</v>
      </c>
      <c r="AP276" s="1">
        <f>IF(HR_Data[[#This Row],[PercentSalaryHike]]&lt;=13,1,IF(HR_Data[[#This Row],[PercentSalaryHike]]&lt;=16,2,IF(HR_Data[[#This Row],[PercentSalaryHike]]&lt;=19,3,4)))</f>
        <v>3</v>
      </c>
      <c r="AQ276" s="1" t="str">
        <f>IF(HR_Data[[#This Row],[DistanceFromHome]]&lt;=5,"1 to 5",IF(HR_Data[[#This Row],[DistanceFromHome]]&lt;=10,"6 to 10",IF(HR_Data[[#This Row],[DistanceFromHome]]&lt;=20,"11 to 20","21 to 29")))</f>
        <v>1 to 5</v>
      </c>
      <c r="AR276" s="1">
        <f>IF(HR_Data[[#This Row],[DistanceFromHome]]&lt;=5,1,IF(HR_Data[[#This Row],[DistanceFromHome]]&lt;=10,2,IF(HR_Data[[#This Row],[DistanceFromHome]]&lt;=20,3,4)))</f>
        <v>1</v>
      </c>
      <c r="AS276" s="1" t="str">
        <f>IF(HR_Data[[#This Row],[TotalWorkingYears]]&lt;=5,"0-5 Yrs",IF(HR_Data[[#This Row],[TotalWorkingYears]]&lt;=10,"6-10 Yrs",IF(HR_Data[[#This Row],[TotalWorkingYears]]&lt;=20,"11-20 Yrs","20+ Yrs")))</f>
        <v>0-5 Yrs</v>
      </c>
      <c r="AT276" s="1">
        <f>IF(HR_Data[[#This Row],[TotalWorkingYears]]&lt;=5,1,IF(HR_Data[[#This Row],[TotalWorkingYears]]&lt;=10,2,IF(HR_Data[[#This Row],[TotalWorkingYears]]&lt;=20,3,4)))</f>
        <v>1</v>
      </c>
    </row>
    <row r="277" spans="1:46" x14ac:dyDescent="0.25">
      <c r="A277">
        <v>37</v>
      </c>
      <c r="B277" t="s">
        <v>36</v>
      </c>
      <c r="C277" t="s">
        <v>48</v>
      </c>
      <c r="D277" t="s">
        <v>38</v>
      </c>
      <c r="E277">
        <v>1</v>
      </c>
      <c r="F277">
        <v>4</v>
      </c>
      <c r="G277" t="s">
        <v>44</v>
      </c>
      <c r="H277">
        <v>380</v>
      </c>
      <c r="I277">
        <v>1</v>
      </c>
      <c r="J277" t="s">
        <v>33</v>
      </c>
      <c r="K277">
        <v>3</v>
      </c>
      <c r="L277">
        <v>3</v>
      </c>
      <c r="M277" t="s">
        <v>51</v>
      </c>
      <c r="N277">
        <v>4</v>
      </c>
      <c r="O277" t="s">
        <v>45</v>
      </c>
      <c r="P277">
        <v>13603</v>
      </c>
      <c r="Q277">
        <v>2</v>
      </c>
      <c r="R277" t="s">
        <v>29</v>
      </c>
      <c r="S277">
        <v>18</v>
      </c>
      <c r="T277">
        <v>3</v>
      </c>
      <c r="U277">
        <v>1</v>
      </c>
      <c r="V277">
        <v>2</v>
      </c>
      <c r="W277">
        <v>15</v>
      </c>
      <c r="X277">
        <v>2</v>
      </c>
      <c r="Y277">
        <v>3</v>
      </c>
      <c r="Z277">
        <v>5</v>
      </c>
      <c r="AA277">
        <v>2</v>
      </c>
      <c r="AB277">
        <v>0</v>
      </c>
      <c r="AC277">
        <v>2</v>
      </c>
      <c r="AD277">
        <f>IF(HR_Data[[#This Row],[Attrition]]="Yes",1,0)</f>
        <v>0</v>
      </c>
      <c r="AE277" t="str">
        <f>IF(HR_Data[[#This Row],[Age]]&lt;=25,"18-25",IF(HR_Data[[#This Row],[Age]]&lt;=35,"26-35",IF(HR_Data[[#This Row],[Age]]&lt;=45,"36-45",IF(HR_Data[[#This Row],[Age]]&lt;=55,"46-55","55+"))))</f>
        <v>36-45</v>
      </c>
      <c r="AF277">
        <f>IF(HR_Data[[#This Row],[Age]]&lt;=25,1,IF(HR_Data[[#This Row],[Age]]&lt;=35,2,IF(HR_Data[[#This Row],[Age]]&lt;=45,3,IF(HR_Data[[#This Row],[Age]]&lt;=55,4,5))))</f>
        <v>3</v>
      </c>
      <c r="AG277" s="1" t="str">
        <f>IF(HR_Data[[#This Row],[MonthlyIncome]]&lt;3000,"&lt;3K",IF(HR_Data[[#This Row],[MonthlyIncome]]&lt;6000,"3K-6K",IF(HR_Data[[#This Row],[MonthlyIncome]]&lt;10000,"6K-10K","10K+")))</f>
        <v>10K+</v>
      </c>
      <c r="AH277" s="1">
        <f>IF(HR_Data[[#This Row],[MonthlyIncome]]&lt;3000,1,IF(HR_Data[[#This Row],[MonthlyIncome]]&lt;6000,2,IF(HR_Data[[#This Row],[MonthlyIncome]]&lt;10000,3,4)))</f>
        <v>4</v>
      </c>
      <c r="AI277" s="1" t="str">
        <f>IF(HR_Data[[#This Row],[YearsAtCompany]]&lt;=2,"0-2 Yrs",IF(HR_Data[[#This Row],[YearsAtCompany]]&lt;=5,"3-5 Yrs",IF(HR_Data[[#This Row],[YearsAtCompany]]&lt;=10,"6-10 Yrs","10+ Yrs")))</f>
        <v>3-5 Yrs</v>
      </c>
      <c r="AJ277" s="1">
        <f>IF(HR_Data[[#This Row],[YearsAtCompany]]&lt;=2,1,IF(HR_Data[[#This Row],[YearsAtCompany]]&lt;=5,2,IF(HR_Data[[#This Row],[YearsAtCompany]]&lt;=10,3,4)))</f>
        <v>2</v>
      </c>
      <c r="AK277" s="1" t="str">
        <f>CHOOSE(HR_Data[[#This Row],[Education]],"Below College","College","Bachelor","Master","Doctor")</f>
        <v>Master</v>
      </c>
      <c r="AL277" s="1" t="str">
        <f>CHOOSE(HR_Data[[#This Row],[JobSatisfaction]],"Low","Medium","High","Very High")</f>
        <v>Very High</v>
      </c>
      <c r="AM277" s="1" t="str">
        <f>CHOOSE(HR_Data[[#This Row],[EnvironmentSatisfaction]],"Low","Medium","High","Very High")</f>
        <v>Low</v>
      </c>
      <c r="AN277" s="1" t="str">
        <f>CHOOSE(HR_Data[[#This Row],[WorkLifeBalance]],"Bad","Good","Better","Best")</f>
        <v>Better</v>
      </c>
      <c r="AO277" s="1" t="str">
        <f>IF(HR_Data[[#This Row],[PercentSalaryHike]]&lt;=13,"11-13%",IF(HR_Data[[#This Row],[PercentSalaryHike]]&lt;=16,"14-16%",IF(HR_Data[[#This Row],[PercentSalaryHike]]&lt;=19,"17-19%","20-25%")))</f>
        <v>17-19%</v>
      </c>
      <c r="AP277" s="1">
        <f>IF(HR_Data[[#This Row],[PercentSalaryHike]]&lt;=13,1,IF(HR_Data[[#This Row],[PercentSalaryHike]]&lt;=16,2,IF(HR_Data[[#This Row],[PercentSalaryHike]]&lt;=19,3,4)))</f>
        <v>3</v>
      </c>
      <c r="AQ277" s="1" t="str">
        <f>IF(HR_Data[[#This Row],[DistanceFromHome]]&lt;=5,"1 to 5",IF(HR_Data[[#This Row],[DistanceFromHome]]&lt;=10,"6 to 10",IF(HR_Data[[#This Row],[DistanceFromHome]]&lt;=20,"11 to 20","21 to 29")))</f>
        <v>1 to 5</v>
      </c>
      <c r="AR277" s="1">
        <f>IF(HR_Data[[#This Row],[DistanceFromHome]]&lt;=5,1,IF(HR_Data[[#This Row],[DistanceFromHome]]&lt;=10,2,IF(HR_Data[[#This Row],[DistanceFromHome]]&lt;=20,3,4)))</f>
        <v>1</v>
      </c>
      <c r="AS277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277" s="1">
        <f>IF(HR_Data[[#This Row],[TotalWorkingYears]]&lt;=5,1,IF(HR_Data[[#This Row],[TotalWorkingYears]]&lt;=10,2,IF(HR_Data[[#This Row],[TotalWorkingYears]]&lt;=20,3,4)))</f>
        <v>3</v>
      </c>
    </row>
    <row r="278" spans="1:46" x14ac:dyDescent="0.25">
      <c r="A278">
        <v>35</v>
      </c>
      <c r="B278" t="s">
        <v>36</v>
      </c>
      <c r="C278" t="s">
        <v>30</v>
      </c>
      <c r="D278" t="s">
        <v>38</v>
      </c>
      <c r="E278">
        <v>22</v>
      </c>
      <c r="F278">
        <v>3</v>
      </c>
      <c r="G278" t="s">
        <v>32</v>
      </c>
      <c r="H278">
        <v>381</v>
      </c>
      <c r="I278">
        <v>2</v>
      </c>
      <c r="J278" t="s">
        <v>33</v>
      </c>
      <c r="K278">
        <v>4</v>
      </c>
      <c r="L278">
        <v>3</v>
      </c>
      <c r="M278" t="s">
        <v>49</v>
      </c>
      <c r="N278">
        <v>2</v>
      </c>
      <c r="O278" t="s">
        <v>45</v>
      </c>
      <c r="P278">
        <v>11996</v>
      </c>
      <c r="Q278">
        <v>7</v>
      </c>
      <c r="R278" t="s">
        <v>36</v>
      </c>
      <c r="S278">
        <v>18</v>
      </c>
      <c r="T278">
        <v>3</v>
      </c>
      <c r="U278">
        <v>2</v>
      </c>
      <c r="V278">
        <v>1</v>
      </c>
      <c r="W278">
        <v>10</v>
      </c>
      <c r="X278">
        <v>6</v>
      </c>
      <c r="Y278">
        <v>2</v>
      </c>
      <c r="Z278">
        <v>7</v>
      </c>
      <c r="AA278">
        <v>7</v>
      </c>
      <c r="AB278">
        <v>6</v>
      </c>
      <c r="AC278">
        <v>2</v>
      </c>
      <c r="AD278">
        <f>IF(HR_Data[[#This Row],[Attrition]]="Yes",1,0)</f>
        <v>0</v>
      </c>
      <c r="AE278" t="str">
        <f>IF(HR_Data[[#This Row],[Age]]&lt;=25,"18-25",IF(HR_Data[[#This Row],[Age]]&lt;=35,"26-35",IF(HR_Data[[#This Row],[Age]]&lt;=45,"36-45",IF(HR_Data[[#This Row],[Age]]&lt;=55,"46-55","55+"))))</f>
        <v>26-35</v>
      </c>
      <c r="AF278">
        <f>IF(HR_Data[[#This Row],[Age]]&lt;=25,1,IF(HR_Data[[#This Row],[Age]]&lt;=35,2,IF(HR_Data[[#This Row],[Age]]&lt;=45,3,IF(HR_Data[[#This Row],[Age]]&lt;=55,4,5))))</f>
        <v>2</v>
      </c>
      <c r="AG278" s="1" t="str">
        <f>IF(HR_Data[[#This Row],[MonthlyIncome]]&lt;3000,"&lt;3K",IF(HR_Data[[#This Row],[MonthlyIncome]]&lt;6000,"3K-6K",IF(HR_Data[[#This Row],[MonthlyIncome]]&lt;10000,"6K-10K","10K+")))</f>
        <v>10K+</v>
      </c>
      <c r="AH278" s="1">
        <f>IF(HR_Data[[#This Row],[MonthlyIncome]]&lt;3000,1,IF(HR_Data[[#This Row],[MonthlyIncome]]&lt;6000,2,IF(HR_Data[[#This Row],[MonthlyIncome]]&lt;10000,3,4)))</f>
        <v>4</v>
      </c>
      <c r="AI278" s="1" t="str">
        <f>IF(HR_Data[[#This Row],[YearsAtCompany]]&lt;=2,"0-2 Yrs",IF(HR_Data[[#This Row],[YearsAtCompany]]&lt;=5,"3-5 Yrs",IF(HR_Data[[#This Row],[YearsAtCompany]]&lt;=10,"6-10 Yrs","10+ Yrs")))</f>
        <v>6-10 Yrs</v>
      </c>
      <c r="AJ278" s="1">
        <f>IF(HR_Data[[#This Row],[YearsAtCompany]]&lt;=2,1,IF(HR_Data[[#This Row],[YearsAtCompany]]&lt;=5,2,IF(HR_Data[[#This Row],[YearsAtCompany]]&lt;=10,3,4)))</f>
        <v>3</v>
      </c>
      <c r="AK278" s="1" t="str">
        <f>CHOOSE(HR_Data[[#This Row],[Education]],"Below College","College","Bachelor","Master","Doctor")</f>
        <v>Bachelor</v>
      </c>
      <c r="AL278" s="1" t="str">
        <f>CHOOSE(HR_Data[[#This Row],[JobSatisfaction]],"Low","Medium","High","Very High")</f>
        <v>Medium</v>
      </c>
      <c r="AM278" s="1" t="str">
        <f>CHOOSE(HR_Data[[#This Row],[EnvironmentSatisfaction]],"Low","Medium","High","Very High")</f>
        <v>Medium</v>
      </c>
      <c r="AN278" s="1" t="str">
        <f>CHOOSE(HR_Data[[#This Row],[WorkLifeBalance]],"Bad","Good","Better","Best")</f>
        <v>Good</v>
      </c>
      <c r="AO278" s="1" t="str">
        <f>IF(HR_Data[[#This Row],[PercentSalaryHike]]&lt;=13,"11-13%",IF(HR_Data[[#This Row],[PercentSalaryHike]]&lt;=16,"14-16%",IF(HR_Data[[#This Row],[PercentSalaryHike]]&lt;=19,"17-19%","20-25%")))</f>
        <v>17-19%</v>
      </c>
      <c r="AP278" s="1">
        <f>IF(HR_Data[[#This Row],[PercentSalaryHike]]&lt;=13,1,IF(HR_Data[[#This Row],[PercentSalaryHike]]&lt;=16,2,IF(HR_Data[[#This Row],[PercentSalaryHike]]&lt;=19,3,4)))</f>
        <v>3</v>
      </c>
      <c r="AQ278" s="1" t="str">
        <f>IF(HR_Data[[#This Row],[DistanceFromHome]]&lt;=5,"1 to 5",IF(HR_Data[[#This Row],[DistanceFromHome]]&lt;=10,"6 to 10",IF(HR_Data[[#This Row],[DistanceFromHome]]&lt;=20,"11 to 20","21 to 29")))</f>
        <v>21 to 29</v>
      </c>
      <c r="AR278" s="1">
        <f>IF(HR_Data[[#This Row],[DistanceFromHome]]&lt;=5,1,IF(HR_Data[[#This Row],[DistanceFromHome]]&lt;=10,2,IF(HR_Data[[#This Row],[DistanceFromHome]]&lt;=20,3,4)))</f>
        <v>4</v>
      </c>
      <c r="AS278" s="1" t="str">
        <f>IF(HR_Data[[#This Row],[TotalWorkingYears]]&lt;=5,"0-5 Yrs",IF(HR_Data[[#This Row],[TotalWorkingYears]]&lt;=10,"6-10 Yrs",IF(HR_Data[[#This Row],[TotalWorkingYears]]&lt;=20,"11-20 Yrs","20+ Yrs")))</f>
        <v>6-10 Yrs</v>
      </c>
      <c r="AT278" s="1">
        <f>IF(HR_Data[[#This Row],[TotalWorkingYears]]&lt;=5,1,IF(HR_Data[[#This Row],[TotalWorkingYears]]&lt;=10,2,IF(HR_Data[[#This Row],[TotalWorkingYears]]&lt;=20,3,4)))</f>
        <v>2</v>
      </c>
    </row>
    <row r="279" spans="1:46" x14ac:dyDescent="0.25">
      <c r="A279">
        <v>38</v>
      </c>
      <c r="B279" t="s">
        <v>36</v>
      </c>
      <c r="C279" t="s">
        <v>30</v>
      </c>
      <c r="D279" t="s">
        <v>31</v>
      </c>
      <c r="E279">
        <v>7</v>
      </c>
      <c r="F279">
        <v>2</v>
      </c>
      <c r="G279" t="s">
        <v>44</v>
      </c>
      <c r="H279">
        <v>382</v>
      </c>
      <c r="I279">
        <v>1</v>
      </c>
      <c r="J279" t="s">
        <v>33</v>
      </c>
      <c r="K279">
        <v>4</v>
      </c>
      <c r="L279">
        <v>2</v>
      </c>
      <c r="M279" t="s">
        <v>34</v>
      </c>
      <c r="N279">
        <v>1</v>
      </c>
      <c r="O279" t="s">
        <v>45</v>
      </c>
      <c r="P279">
        <v>5605</v>
      </c>
      <c r="Q279">
        <v>1</v>
      </c>
      <c r="R279" t="s">
        <v>29</v>
      </c>
      <c r="S279">
        <v>24</v>
      </c>
      <c r="T279">
        <v>4</v>
      </c>
      <c r="U279">
        <v>3</v>
      </c>
      <c r="V279">
        <v>1</v>
      </c>
      <c r="W279">
        <v>8</v>
      </c>
      <c r="X279">
        <v>3</v>
      </c>
      <c r="Y279">
        <v>3</v>
      </c>
      <c r="Z279">
        <v>8</v>
      </c>
      <c r="AA279">
        <v>0</v>
      </c>
      <c r="AB279">
        <v>7</v>
      </c>
      <c r="AC279">
        <v>7</v>
      </c>
      <c r="AD279">
        <f>IF(HR_Data[[#This Row],[Attrition]]="Yes",1,0)</f>
        <v>0</v>
      </c>
      <c r="AE279" t="str">
        <f>IF(HR_Data[[#This Row],[Age]]&lt;=25,"18-25",IF(HR_Data[[#This Row],[Age]]&lt;=35,"26-35",IF(HR_Data[[#This Row],[Age]]&lt;=45,"36-45",IF(HR_Data[[#This Row],[Age]]&lt;=55,"46-55","55+"))))</f>
        <v>36-45</v>
      </c>
      <c r="AF279">
        <f>IF(HR_Data[[#This Row],[Age]]&lt;=25,1,IF(HR_Data[[#This Row],[Age]]&lt;=35,2,IF(HR_Data[[#This Row],[Age]]&lt;=45,3,IF(HR_Data[[#This Row],[Age]]&lt;=55,4,5))))</f>
        <v>3</v>
      </c>
      <c r="AG279" s="1" t="str">
        <f>IF(HR_Data[[#This Row],[MonthlyIncome]]&lt;3000,"&lt;3K",IF(HR_Data[[#This Row],[MonthlyIncome]]&lt;6000,"3K-6K",IF(HR_Data[[#This Row],[MonthlyIncome]]&lt;10000,"6K-10K","10K+")))</f>
        <v>3K-6K</v>
      </c>
      <c r="AH279" s="1">
        <f>IF(HR_Data[[#This Row],[MonthlyIncome]]&lt;3000,1,IF(HR_Data[[#This Row],[MonthlyIncome]]&lt;6000,2,IF(HR_Data[[#This Row],[MonthlyIncome]]&lt;10000,3,4)))</f>
        <v>2</v>
      </c>
      <c r="AI279" s="1" t="str">
        <f>IF(HR_Data[[#This Row],[YearsAtCompany]]&lt;=2,"0-2 Yrs",IF(HR_Data[[#This Row],[YearsAtCompany]]&lt;=5,"3-5 Yrs",IF(HR_Data[[#This Row],[YearsAtCompany]]&lt;=10,"6-10 Yrs","10+ Yrs")))</f>
        <v>6-10 Yrs</v>
      </c>
      <c r="AJ279" s="1">
        <f>IF(HR_Data[[#This Row],[YearsAtCompany]]&lt;=2,1,IF(HR_Data[[#This Row],[YearsAtCompany]]&lt;=5,2,IF(HR_Data[[#This Row],[YearsAtCompany]]&lt;=10,3,4)))</f>
        <v>3</v>
      </c>
      <c r="AK279" s="1" t="str">
        <f>CHOOSE(HR_Data[[#This Row],[Education]],"Below College","College","Bachelor","Master","Doctor")</f>
        <v>College</v>
      </c>
      <c r="AL279" s="1" t="str">
        <f>CHOOSE(HR_Data[[#This Row],[JobSatisfaction]],"Low","Medium","High","Very High")</f>
        <v>Low</v>
      </c>
      <c r="AM279" s="1" t="str">
        <f>CHOOSE(HR_Data[[#This Row],[EnvironmentSatisfaction]],"Low","Medium","High","Very High")</f>
        <v>Low</v>
      </c>
      <c r="AN279" s="1" t="str">
        <f>CHOOSE(HR_Data[[#This Row],[WorkLifeBalance]],"Bad","Good","Better","Best")</f>
        <v>Better</v>
      </c>
      <c r="AO279" s="1" t="str">
        <f>IF(HR_Data[[#This Row],[PercentSalaryHike]]&lt;=13,"11-13%",IF(HR_Data[[#This Row],[PercentSalaryHike]]&lt;=16,"14-16%",IF(HR_Data[[#This Row],[PercentSalaryHike]]&lt;=19,"17-19%","20-25%")))</f>
        <v>20-25%</v>
      </c>
      <c r="AP279" s="1">
        <f>IF(HR_Data[[#This Row],[PercentSalaryHike]]&lt;=13,1,IF(HR_Data[[#This Row],[PercentSalaryHike]]&lt;=16,2,IF(HR_Data[[#This Row],[PercentSalaryHike]]&lt;=19,3,4)))</f>
        <v>4</v>
      </c>
      <c r="AQ279" s="1" t="str">
        <f>IF(HR_Data[[#This Row],[DistanceFromHome]]&lt;=5,"1 to 5",IF(HR_Data[[#This Row],[DistanceFromHome]]&lt;=10,"6 to 10",IF(HR_Data[[#This Row],[DistanceFromHome]]&lt;=20,"11 to 20","21 to 29")))</f>
        <v>6 to 10</v>
      </c>
      <c r="AR279" s="1">
        <f>IF(HR_Data[[#This Row],[DistanceFromHome]]&lt;=5,1,IF(HR_Data[[#This Row],[DistanceFromHome]]&lt;=10,2,IF(HR_Data[[#This Row],[DistanceFromHome]]&lt;=20,3,4)))</f>
        <v>2</v>
      </c>
      <c r="AS279" s="1" t="str">
        <f>IF(HR_Data[[#This Row],[TotalWorkingYears]]&lt;=5,"0-5 Yrs",IF(HR_Data[[#This Row],[TotalWorkingYears]]&lt;=10,"6-10 Yrs",IF(HR_Data[[#This Row],[TotalWorkingYears]]&lt;=20,"11-20 Yrs","20+ Yrs")))</f>
        <v>6-10 Yrs</v>
      </c>
      <c r="AT279" s="1">
        <f>IF(HR_Data[[#This Row],[TotalWorkingYears]]&lt;=5,1,IF(HR_Data[[#This Row],[TotalWorkingYears]]&lt;=10,2,IF(HR_Data[[#This Row],[TotalWorkingYears]]&lt;=20,3,4)))</f>
        <v>2</v>
      </c>
    </row>
    <row r="280" spans="1:46" x14ac:dyDescent="0.25">
      <c r="A280">
        <v>26</v>
      </c>
      <c r="B280" t="s">
        <v>36</v>
      </c>
      <c r="C280" t="s">
        <v>37</v>
      </c>
      <c r="D280" t="s">
        <v>38</v>
      </c>
      <c r="E280">
        <v>1</v>
      </c>
      <c r="F280">
        <v>3</v>
      </c>
      <c r="G280" t="s">
        <v>32</v>
      </c>
      <c r="H280">
        <v>384</v>
      </c>
      <c r="I280">
        <v>3</v>
      </c>
      <c r="J280" t="s">
        <v>33</v>
      </c>
      <c r="K280">
        <v>3</v>
      </c>
      <c r="L280">
        <v>2</v>
      </c>
      <c r="M280" t="s">
        <v>46</v>
      </c>
      <c r="N280">
        <v>2</v>
      </c>
      <c r="O280" t="s">
        <v>45</v>
      </c>
      <c r="P280">
        <v>6397</v>
      </c>
      <c r="Q280">
        <v>1</v>
      </c>
      <c r="R280" t="s">
        <v>36</v>
      </c>
      <c r="S280">
        <v>20</v>
      </c>
      <c r="T280">
        <v>4</v>
      </c>
      <c r="U280">
        <v>1</v>
      </c>
      <c r="V280">
        <v>1</v>
      </c>
      <c r="W280">
        <v>6</v>
      </c>
      <c r="X280">
        <v>6</v>
      </c>
      <c r="Y280">
        <v>1</v>
      </c>
      <c r="Z280">
        <v>6</v>
      </c>
      <c r="AA280">
        <v>5</v>
      </c>
      <c r="AB280">
        <v>1</v>
      </c>
      <c r="AC280">
        <v>4</v>
      </c>
      <c r="AD280">
        <f>IF(HR_Data[[#This Row],[Attrition]]="Yes",1,0)</f>
        <v>0</v>
      </c>
      <c r="AE280" t="str">
        <f>IF(HR_Data[[#This Row],[Age]]&lt;=25,"18-25",IF(HR_Data[[#This Row],[Age]]&lt;=35,"26-35",IF(HR_Data[[#This Row],[Age]]&lt;=45,"36-45",IF(HR_Data[[#This Row],[Age]]&lt;=55,"46-55","55+"))))</f>
        <v>26-35</v>
      </c>
      <c r="AF280">
        <f>IF(HR_Data[[#This Row],[Age]]&lt;=25,1,IF(HR_Data[[#This Row],[Age]]&lt;=35,2,IF(HR_Data[[#This Row],[Age]]&lt;=45,3,IF(HR_Data[[#This Row],[Age]]&lt;=55,4,5))))</f>
        <v>2</v>
      </c>
      <c r="AG280" s="1" t="str">
        <f>IF(HR_Data[[#This Row],[MonthlyIncome]]&lt;3000,"&lt;3K",IF(HR_Data[[#This Row],[MonthlyIncome]]&lt;6000,"3K-6K",IF(HR_Data[[#This Row],[MonthlyIncome]]&lt;10000,"6K-10K","10K+")))</f>
        <v>6K-10K</v>
      </c>
      <c r="AH280" s="1">
        <f>IF(HR_Data[[#This Row],[MonthlyIncome]]&lt;3000,1,IF(HR_Data[[#This Row],[MonthlyIncome]]&lt;6000,2,IF(HR_Data[[#This Row],[MonthlyIncome]]&lt;10000,3,4)))</f>
        <v>3</v>
      </c>
      <c r="AI280" s="1" t="str">
        <f>IF(HR_Data[[#This Row],[YearsAtCompany]]&lt;=2,"0-2 Yrs",IF(HR_Data[[#This Row],[YearsAtCompany]]&lt;=5,"3-5 Yrs",IF(HR_Data[[#This Row],[YearsAtCompany]]&lt;=10,"6-10 Yrs","10+ Yrs")))</f>
        <v>6-10 Yrs</v>
      </c>
      <c r="AJ280" s="1">
        <f>IF(HR_Data[[#This Row],[YearsAtCompany]]&lt;=2,1,IF(HR_Data[[#This Row],[YearsAtCompany]]&lt;=5,2,IF(HR_Data[[#This Row],[YearsAtCompany]]&lt;=10,3,4)))</f>
        <v>3</v>
      </c>
      <c r="AK280" s="1" t="str">
        <f>CHOOSE(HR_Data[[#This Row],[Education]],"Below College","College","Bachelor","Master","Doctor")</f>
        <v>Bachelor</v>
      </c>
      <c r="AL280" s="1" t="str">
        <f>CHOOSE(HR_Data[[#This Row],[JobSatisfaction]],"Low","Medium","High","Very High")</f>
        <v>Medium</v>
      </c>
      <c r="AM280" s="1" t="str">
        <f>CHOOSE(HR_Data[[#This Row],[EnvironmentSatisfaction]],"Low","Medium","High","Very High")</f>
        <v>High</v>
      </c>
      <c r="AN280" s="1" t="str">
        <f>CHOOSE(HR_Data[[#This Row],[WorkLifeBalance]],"Bad","Good","Better","Best")</f>
        <v>Bad</v>
      </c>
      <c r="AO280" s="1" t="str">
        <f>IF(HR_Data[[#This Row],[PercentSalaryHike]]&lt;=13,"11-13%",IF(HR_Data[[#This Row],[PercentSalaryHike]]&lt;=16,"14-16%",IF(HR_Data[[#This Row],[PercentSalaryHike]]&lt;=19,"17-19%","20-25%")))</f>
        <v>20-25%</v>
      </c>
      <c r="AP280" s="1">
        <f>IF(HR_Data[[#This Row],[PercentSalaryHike]]&lt;=13,1,IF(HR_Data[[#This Row],[PercentSalaryHike]]&lt;=16,2,IF(HR_Data[[#This Row],[PercentSalaryHike]]&lt;=19,3,4)))</f>
        <v>4</v>
      </c>
      <c r="AQ280" s="1" t="str">
        <f>IF(HR_Data[[#This Row],[DistanceFromHome]]&lt;=5,"1 to 5",IF(HR_Data[[#This Row],[DistanceFromHome]]&lt;=10,"6 to 10",IF(HR_Data[[#This Row],[DistanceFromHome]]&lt;=20,"11 to 20","21 to 29")))</f>
        <v>1 to 5</v>
      </c>
      <c r="AR280" s="1">
        <f>IF(HR_Data[[#This Row],[DistanceFromHome]]&lt;=5,1,IF(HR_Data[[#This Row],[DistanceFromHome]]&lt;=10,2,IF(HR_Data[[#This Row],[DistanceFromHome]]&lt;=20,3,4)))</f>
        <v>1</v>
      </c>
      <c r="AS280" s="1" t="str">
        <f>IF(HR_Data[[#This Row],[TotalWorkingYears]]&lt;=5,"0-5 Yrs",IF(HR_Data[[#This Row],[TotalWorkingYears]]&lt;=10,"6-10 Yrs",IF(HR_Data[[#This Row],[TotalWorkingYears]]&lt;=20,"11-20 Yrs","20+ Yrs")))</f>
        <v>6-10 Yrs</v>
      </c>
      <c r="AT280" s="1">
        <f>IF(HR_Data[[#This Row],[TotalWorkingYears]]&lt;=5,1,IF(HR_Data[[#This Row],[TotalWorkingYears]]&lt;=10,2,IF(HR_Data[[#This Row],[TotalWorkingYears]]&lt;=20,3,4)))</f>
        <v>2</v>
      </c>
    </row>
    <row r="281" spans="1:46" x14ac:dyDescent="0.25">
      <c r="A281">
        <v>50</v>
      </c>
      <c r="B281" t="s">
        <v>36</v>
      </c>
      <c r="C281" t="s">
        <v>30</v>
      </c>
      <c r="D281" t="s">
        <v>38</v>
      </c>
      <c r="E281">
        <v>4</v>
      </c>
      <c r="F281">
        <v>1</v>
      </c>
      <c r="G281" t="s">
        <v>32</v>
      </c>
      <c r="H281">
        <v>385</v>
      </c>
      <c r="I281">
        <v>1</v>
      </c>
      <c r="J281" t="s">
        <v>39</v>
      </c>
      <c r="K281">
        <v>3</v>
      </c>
      <c r="L281">
        <v>5</v>
      </c>
      <c r="M281" t="s">
        <v>51</v>
      </c>
      <c r="N281">
        <v>2</v>
      </c>
      <c r="O281" t="s">
        <v>45</v>
      </c>
      <c r="P281">
        <v>19144</v>
      </c>
      <c r="Q281">
        <v>3</v>
      </c>
      <c r="R281" t="s">
        <v>36</v>
      </c>
      <c r="S281">
        <v>14</v>
      </c>
      <c r="T281">
        <v>3</v>
      </c>
      <c r="U281">
        <v>1</v>
      </c>
      <c r="V281">
        <v>2</v>
      </c>
      <c r="W281">
        <v>28</v>
      </c>
      <c r="X281">
        <v>4</v>
      </c>
      <c r="Y281">
        <v>2</v>
      </c>
      <c r="Z281">
        <v>10</v>
      </c>
      <c r="AA281">
        <v>4</v>
      </c>
      <c r="AB281">
        <v>1</v>
      </c>
      <c r="AC281">
        <v>6</v>
      </c>
      <c r="AD281">
        <f>IF(HR_Data[[#This Row],[Attrition]]="Yes",1,0)</f>
        <v>0</v>
      </c>
      <c r="AE281" t="str">
        <f>IF(HR_Data[[#This Row],[Age]]&lt;=25,"18-25",IF(HR_Data[[#This Row],[Age]]&lt;=35,"26-35",IF(HR_Data[[#This Row],[Age]]&lt;=45,"36-45",IF(HR_Data[[#This Row],[Age]]&lt;=55,"46-55","55+"))))</f>
        <v>46-55</v>
      </c>
      <c r="AF281">
        <f>IF(HR_Data[[#This Row],[Age]]&lt;=25,1,IF(HR_Data[[#This Row],[Age]]&lt;=35,2,IF(HR_Data[[#This Row],[Age]]&lt;=45,3,IF(HR_Data[[#This Row],[Age]]&lt;=55,4,5))))</f>
        <v>4</v>
      </c>
      <c r="AG281" s="1" t="str">
        <f>IF(HR_Data[[#This Row],[MonthlyIncome]]&lt;3000,"&lt;3K",IF(HR_Data[[#This Row],[MonthlyIncome]]&lt;6000,"3K-6K",IF(HR_Data[[#This Row],[MonthlyIncome]]&lt;10000,"6K-10K","10K+")))</f>
        <v>10K+</v>
      </c>
      <c r="AH281" s="1">
        <f>IF(HR_Data[[#This Row],[MonthlyIncome]]&lt;3000,1,IF(HR_Data[[#This Row],[MonthlyIncome]]&lt;6000,2,IF(HR_Data[[#This Row],[MonthlyIncome]]&lt;10000,3,4)))</f>
        <v>4</v>
      </c>
      <c r="AI281" s="1" t="str">
        <f>IF(HR_Data[[#This Row],[YearsAtCompany]]&lt;=2,"0-2 Yrs",IF(HR_Data[[#This Row],[YearsAtCompany]]&lt;=5,"3-5 Yrs",IF(HR_Data[[#This Row],[YearsAtCompany]]&lt;=10,"6-10 Yrs","10+ Yrs")))</f>
        <v>6-10 Yrs</v>
      </c>
      <c r="AJ281" s="1">
        <f>IF(HR_Data[[#This Row],[YearsAtCompany]]&lt;=2,1,IF(HR_Data[[#This Row],[YearsAtCompany]]&lt;=5,2,IF(HR_Data[[#This Row],[YearsAtCompany]]&lt;=10,3,4)))</f>
        <v>3</v>
      </c>
      <c r="AK281" s="1" t="str">
        <f>CHOOSE(HR_Data[[#This Row],[Education]],"Below College","College","Bachelor","Master","Doctor")</f>
        <v>Below College</v>
      </c>
      <c r="AL281" s="1" t="str">
        <f>CHOOSE(HR_Data[[#This Row],[JobSatisfaction]],"Low","Medium","High","Very High")</f>
        <v>Medium</v>
      </c>
      <c r="AM281" s="1" t="str">
        <f>CHOOSE(HR_Data[[#This Row],[EnvironmentSatisfaction]],"Low","Medium","High","Very High")</f>
        <v>Low</v>
      </c>
      <c r="AN281" s="1" t="str">
        <f>CHOOSE(HR_Data[[#This Row],[WorkLifeBalance]],"Bad","Good","Better","Best")</f>
        <v>Good</v>
      </c>
      <c r="AO281" s="1" t="str">
        <f>IF(HR_Data[[#This Row],[PercentSalaryHike]]&lt;=13,"11-13%",IF(HR_Data[[#This Row],[PercentSalaryHike]]&lt;=16,"14-16%",IF(HR_Data[[#This Row],[PercentSalaryHike]]&lt;=19,"17-19%","20-25%")))</f>
        <v>14-16%</v>
      </c>
      <c r="AP281" s="1">
        <f>IF(HR_Data[[#This Row],[PercentSalaryHike]]&lt;=13,1,IF(HR_Data[[#This Row],[PercentSalaryHike]]&lt;=16,2,IF(HR_Data[[#This Row],[PercentSalaryHike]]&lt;=19,3,4)))</f>
        <v>2</v>
      </c>
      <c r="AQ281" s="1" t="str">
        <f>IF(HR_Data[[#This Row],[DistanceFromHome]]&lt;=5,"1 to 5",IF(HR_Data[[#This Row],[DistanceFromHome]]&lt;=10,"6 to 10",IF(HR_Data[[#This Row],[DistanceFromHome]]&lt;=20,"11 to 20","21 to 29")))</f>
        <v>1 to 5</v>
      </c>
      <c r="AR281" s="1">
        <f>IF(HR_Data[[#This Row],[DistanceFromHome]]&lt;=5,1,IF(HR_Data[[#This Row],[DistanceFromHome]]&lt;=10,2,IF(HR_Data[[#This Row],[DistanceFromHome]]&lt;=20,3,4)))</f>
        <v>1</v>
      </c>
      <c r="AS281" s="1" t="str">
        <f>IF(HR_Data[[#This Row],[TotalWorkingYears]]&lt;=5,"0-5 Yrs",IF(HR_Data[[#This Row],[TotalWorkingYears]]&lt;=10,"6-10 Yrs",IF(HR_Data[[#This Row],[TotalWorkingYears]]&lt;=20,"11-20 Yrs","20+ Yrs")))</f>
        <v>20+ Yrs</v>
      </c>
      <c r="AT281" s="1">
        <f>IF(HR_Data[[#This Row],[TotalWorkingYears]]&lt;=5,1,IF(HR_Data[[#This Row],[TotalWorkingYears]]&lt;=10,2,IF(HR_Data[[#This Row],[TotalWorkingYears]]&lt;=20,3,4)))</f>
        <v>4</v>
      </c>
    </row>
    <row r="282" spans="1:46" x14ac:dyDescent="0.25">
      <c r="A282">
        <v>53</v>
      </c>
      <c r="B282" t="s">
        <v>36</v>
      </c>
      <c r="C282" t="s">
        <v>30</v>
      </c>
      <c r="D282" t="s">
        <v>38</v>
      </c>
      <c r="E282">
        <v>3</v>
      </c>
      <c r="F282">
        <v>4</v>
      </c>
      <c r="G282" t="s">
        <v>44</v>
      </c>
      <c r="H282">
        <v>386</v>
      </c>
      <c r="I282">
        <v>3</v>
      </c>
      <c r="J282" t="s">
        <v>39</v>
      </c>
      <c r="K282">
        <v>3</v>
      </c>
      <c r="L282">
        <v>4</v>
      </c>
      <c r="M282" t="s">
        <v>51</v>
      </c>
      <c r="N282">
        <v>3</v>
      </c>
      <c r="O282" t="s">
        <v>41</v>
      </c>
      <c r="P282">
        <v>17584</v>
      </c>
      <c r="Q282">
        <v>3</v>
      </c>
      <c r="R282" t="s">
        <v>29</v>
      </c>
      <c r="S282">
        <v>16</v>
      </c>
      <c r="T282">
        <v>3</v>
      </c>
      <c r="U282">
        <v>4</v>
      </c>
      <c r="V282">
        <v>3</v>
      </c>
      <c r="W282">
        <v>21</v>
      </c>
      <c r="X282">
        <v>5</v>
      </c>
      <c r="Y282">
        <v>2</v>
      </c>
      <c r="Z282">
        <v>5</v>
      </c>
      <c r="AA282">
        <v>3</v>
      </c>
      <c r="AB282">
        <v>1</v>
      </c>
      <c r="AC282">
        <v>3</v>
      </c>
      <c r="AD282">
        <f>IF(HR_Data[[#This Row],[Attrition]]="Yes",1,0)</f>
        <v>0</v>
      </c>
      <c r="AE282" t="str">
        <f>IF(HR_Data[[#This Row],[Age]]&lt;=25,"18-25",IF(HR_Data[[#This Row],[Age]]&lt;=35,"26-35",IF(HR_Data[[#This Row],[Age]]&lt;=45,"36-45",IF(HR_Data[[#This Row],[Age]]&lt;=55,"46-55","55+"))))</f>
        <v>46-55</v>
      </c>
      <c r="AF282">
        <f>IF(HR_Data[[#This Row],[Age]]&lt;=25,1,IF(HR_Data[[#This Row],[Age]]&lt;=35,2,IF(HR_Data[[#This Row],[Age]]&lt;=45,3,IF(HR_Data[[#This Row],[Age]]&lt;=55,4,5))))</f>
        <v>4</v>
      </c>
      <c r="AG282" s="1" t="str">
        <f>IF(HR_Data[[#This Row],[MonthlyIncome]]&lt;3000,"&lt;3K",IF(HR_Data[[#This Row],[MonthlyIncome]]&lt;6000,"3K-6K",IF(HR_Data[[#This Row],[MonthlyIncome]]&lt;10000,"6K-10K","10K+")))</f>
        <v>10K+</v>
      </c>
      <c r="AH282" s="1">
        <f>IF(HR_Data[[#This Row],[MonthlyIncome]]&lt;3000,1,IF(HR_Data[[#This Row],[MonthlyIncome]]&lt;6000,2,IF(HR_Data[[#This Row],[MonthlyIncome]]&lt;10000,3,4)))</f>
        <v>4</v>
      </c>
      <c r="AI282" s="1" t="str">
        <f>IF(HR_Data[[#This Row],[YearsAtCompany]]&lt;=2,"0-2 Yrs",IF(HR_Data[[#This Row],[YearsAtCompany]]&lt;=5,"3-5 Yrs",IF(HR_Data[[#This Row],[YearsAtCompany]]&lt;=10,"6-10 Yrs","10+ Yrs")))</f>
        <v>3-5 Yrs</v>
      </c>
      <c r="AJ282" s="1">
        <f>IF(HR_Data[[#This Row],[YearsAtCompany]]&lt;=2,1,IF(HR_Data[[#This Row],[YearsAtCompany]]&lt;=5,2,IF(HR_Data[[#This Row],[YearsAtCompany]]&lt;=10,3,4)))</f>
        <v>2</v>
      </c>
      <c r="AK282" s="1" t="str">
        <f>CHOOSE(HR_Data[[#This Row],[Education]],"Below College","College","Bachelor","Master","Doctor")</f>
        <v>Master</v>
      </c>
      <c r="AL282" s="1" t="str">
        <f>CHOOSE(HR_Data[[#This Row],[JobSatisfaction]],"Low","Medium","High","Very High")</f>
        <v>High</v>
      </c>
      <c r="AM282" s="1" t="str">
        <f>CHOOSE(HR_Data[[#This Row],[EnvironmentSatisfaction]],"Low","Medium","High","Very High")</f>
        <v>High</v>
      </c>
      <c r="AN282" s="1" t="str">
        <f>CHOOSE(HR_Data[[#This Row],[WorkLifeBalance]],"Bad","Good","Better","Best")</f>
        <v>Good</v>
      </c>
      <c r="AO282" s="1" t="str">
        <f>IF(HR_Data[[#This Row],[PercentSalaryHike]]&lt;=13,"11-13%",IF(HR_Data[[#This Row],[PercentSalaryHike]]&lt;=16,"14-16%",IF(HR_Data[[#This Row],[PercentSalaryHike]]&lt;=19,"17-19%","20-25%")))</f>
        <v>14-16%</v>
      </c>
      <c r="AP282" s="1">
        <f>IF(HR_Data[[#This Row],[PercentSalaryHike]]&lt;=13,1,IF(HR_Data[[#This Row],[PercentSalaryHike]]&lt;=16,2,IF(HR_Data[[#This Row],[PercentSalaryHike]]&lt;=19,3,4)))</f>
        <v>2</v>
      </c>
      <c r="AQ282" s="1" t="str">
        <f>IF(HR_Data[[#This Row],[DistanceFromHome]]&lt;=5,"1 to 5",IF(HR_Data[[#This Row],[DistanceFromHome]]&lt;=10,"6 to 10",IF(HR_Data[[#This Row],[DistanceFromHome]]&lt;=20,"11 to 20","21 to 29")))</f>
        <v>1 to 5</v>
      </c>
      <c r="AR282" s="1">
        <f>IF(HR_Data[[#This Row],[DistanceFromHome]]&lt;=5,1,IF(HR_Data[[#This Row],[DistanceFromHome]]&lt;=10,2,IF(HR_Data[[#This Row],[DistanceFromHome]]&lt;=20,3,4)))</f>
        <v>1</v>
      </c>
      <c r="AS282" s="1" t="str">
        <f>IF(HR_Data[[#This Row],[TotalWorkingYears]]&lt;=5,"0-5 Yrs",IF(HR_Data[[#This Row],[TotalWorkingYears]]&lt;=10,"6-10 Yrs",IF(HR_Data[[#This Row],[TotalWorkingYears]]&lt;=20,"11-20 Yrs","20+ Yrs")))</f>
        <v>20+ Yrs</v>
      </c>
      <c r="AT282" s="1">
        <f>IF(HR_Data[[#This Row],[TotalWorkingYears]]&lt;=5,1,IF(HR_Data[[#This Row],[TotalWorkingYears]]&lt;=10,2,IF(HR_Data[[#This Row],[TotalWorkingYears]]&lt;=20,3,4)))</f>
        <v>4</v>
      </c>
    </row>
    <row r="283" spans="1:46" x14ac:dyDescent="0.25">
      <c r="A283">
        <v>42</v>
      </c>
      <c r="B283" t="s">
        <v>36</v>
      </c>
      <c r="C283" t="s">
        <v>30</v>
      </c>
      <c r="D283" t="s">
        <v>31</v>
      </c>
      <c r="E283">
        <v>1</v>
      </c>
      <c r="F283">
        <v>1</v>
      </c>
      <c r="G283" t="s">
        <v>32</v>
      </c>
      <c r="H283">
        <v>387</v>
      </c>
      <c r="I283">
        <v>2</v>
      </c>
      <c r="J283" t="s">
        <v>39</v>
      </c>
      <c r="K283">
        <v>3</v>
      </c>
      <c r="L283">
        <v>2</v>
      </c>
      <c r="M283" t="s">
        <v>34</v>
      </c>
      <c r="N283">
        <v>3</v>
      </c>
      <c r="O283" t="s">
        <v>41</v>
      </c>
      <c r="P283">
        <v>4907</v>
      </c>
      <c r="Q283">
        <v>1</v>
      </c>
      <c r="R283" t="s">
        <v>36</v>
      </c>
      <c r="S283">
        <v>25</v>
      </c>
      <c r="T283">
        <v>4</v>
      </c>
      <c r="U283">
        <v>3</v>
      </c>
      <c r="V283">
        <v>0</v>
      </c>
      <c r="W283">
        <v>20</v>
      </c>
      <c r="X283">
        <v>3</v>
      </c>
      <c r="Y283">
        <v>3</v>
      </c>
      <c r="Z283">
        <v>20</v>
      </c>
      <c r="AA283">
        <v>16</v>
      </c>
      <c r="AB283">
        <v>11</v>
      </c>
      <c r="AC283">
        <v>6</v>
      </c>
      <c r="AD283">
        <f>IF(HR_Data[[#This Row],[Attrition]]="Yes",1,0)</f>
        <v>0</v>
      </c>
      <c r="AE283" t="str">
        <f>IF(HR_Data[[#This Row],[Age]]&lt;=25,"18-25",IF(HR_Data[[#This Row],[Age]]&lt;=35,"26-35",IF(HR_Data[[#This Row],[Age]]&lt;=45,"36-45",IF(HR_Data[[#This Row],[Age]]&lt;=55,"46-55","55+"))))</f>
        <v>36-45</v>
      </c>
      <c r="AF283">
        <f>IF(HR_Data[[#This Row],[Age]]&lt;=25,1,IF(HR_Data[[#This Row],[Age]]&lt;=35,2,IF(HR_Data[[#This Row],[Age]]&lt;=45,3,IF(HR_Data[[#This Row],[Age]]&lt;=55,4,5))))</f>
        <v>3</v>
      </c>
      <c r="AG283" s="1" t="str">
        <f>IF(HR_Data[[#This Row],[MonthlyIncome]]&lt;3000,"&lt;3K",IF(HR_Data[[#This Row],[MonthlyIncome]]&lt;6000,"3K-6K",IF(HR_Data[[#This Row],[MonthlyIncome]]&lt;10000,"6K-10K","10K+")))</f>
        <v>3K-6K</v>
      </c>
      <c r="AH283" s="1">
        <f>IF(HR_Data[[#This Row],[MonthlyIncome]]&lt;3000,1,IF(HR_Data[[#This Row],[MonthlyIncome]]&lt;6000,2,IF(HR_Data[[#This Row],[MonthlyIncome]]&lt;10000,3,4)))</f>
        <v>2</v>
      </c>
      <c r="AI283" s="1" t="str">
        <f>IF(HR_Data[[#This Row],[YearsAtCompany]]&lt;=2,"0-2 Yrs",IF(HR_Data[[#This Row],[YearsAtCompany]]&lt;=5,"3-5 Yrs",IF(HR_Data[[#This Row],[YearsAtCompany]]&lt;=10,"6-10 Yrs","10+ Yrs")))</f>
        <v>10+ Yrs</v>
      </c>
      <c r="AJ283" s="1">
        <f>IF(HR_Data[[#This Row],[YearsAtCompany]]&lt;=2,1,IF(HR_Data[[#This Row],[YearsAtCompany]]&lt;=5,2,IF(HR_Data[[#This Row],[YearsAtCompany]]&lt;=10,3,4)))</f>
        <v>4</v>
      </c>
      <c r="AK283" s="1" t="str">
        <f>CHOOSE(HR_Data[[#This Row],[Education]],"Below College","College","Bachelor","Master","Doctor")</f>
        <v>Below College</v>
      </c>
      <c r="AL283" s="1" t="str">
        <f>CHOOSE(HR_Data[[#This Row],[JobSatisfaction]],"Low","Medium","High","Very High")</f>
        <v>High</v>
      </c>
      <c r="AM283" s="1" t="str">
        <f>CHOOSE(HR_Data[[#This Row],[EnvironmentSatisfaction]],"Low","Medium","High","Very High")</f>
        <v>Medium</v>
      </c>
      <c r="AN283" s="1" t="str">
        <f>CHOOSE(HR_Data[[#This Row],[WorkLifeBalance]],"Bad","Good","Better","Best")</f>
        <v>Better</v>
      </c>
      <c r="AO283" s="1" t="str">
        <f>IF(HR_Data[[#This Row],[PercentSalaryHike]]&lt;=13,"11-13%",IF(HR_Data[[#This Row],[PercentSalaryHike]]&lt;=16,"14-16%",IF(HR_Data[[#This Row],[PercentSalaryHike]]&lt;=19,"17-19%","20-25%")))</f>
        <v>20-25%</v>
      </c>
      <c r="AP283" s="1">
        <f>IF(HR_Data[[#This Row],[PercentSalaryHike]]&lt;=13,1,IF(HR_Data[[#This Row],[PercentSalaryHike]]&lt;=16,2,IF(HR_Data[[#This Row],[PercentSalaryHike]]&lt;=19,3,4)))</f>
        <v>4</v>
      </c>
      <c r="AQ283" s="1" t="str">
        <f>IF(HR_Data[[#This Row],[DistanceFromHome]]&lt;=5,"1 to 5",IF(HR_Data[[#This Row],[DistanceFromHome]]&lt;=10,"6 to 10",IF(HR_Data[[#This Row],[DistanceFromHome]]&lt;=20,"11 to 20","21 to 29")))</f>
        <v>1 to 5</v>
      </c>
      <c r="AR283" s="1">
        <f>IF(HR_Data[[#This Row],[DistanceFromHome]]&lt;=5,1,IF(HR_Data[[#This Row],[DistanceFromHome]]&lt;=10,2,IF(HR_Data[[#This Row],[DistanceFromHome]]&lt;=20,3,4)))</f>
        <v>1</v>
      </c>
      <c r="AS283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283" s="1">
        <f>IF(HR_Data[[#This Row],[TotalWorkingYears]]&lt;=5,1,IF(HR_Data[[#This Row],[TotalWorkingYears]]&lt;=10,2,IF(HR_Data[[#This Row],[TotalWorkingYears]]&lt;=20,3,4)))</f>
        <v>3</v>
      </c>
    </row>
    <row r="284" spans="1:46" x14ac:dyDescent="0.25">
      <c r="A284">
        <v>29</v>
      </c>
      <c r="B284" t="s">
        <v>36</v>
      </c>
      <c r="C284" t="s">
        <v>37</v>
      </c>
      <c r="D284" t="s">
        <v>31</v>
      </c>
      <c r="E284">
        <v>2</v>
      </c>
      <c r="F284">
        <v>2</v>
      </c>
      <c r="G284" t="s">
        <v>32</v>
      </c>
      <c r="H284">
        <v>388</v>
      </c>
      <c r="I284">
        <v>2</v>
      </c>
      <c r="J284" t="s">
        <v>39</v>
      </c>
      <c r="K284">
        <v>3</v>
      </c>
      <c r="L284">
        <v>2</v>
      </c>
      <c r="M284" t="s">
        <v>34</v>
      </c>
      <c r="N284">
        <v>4</v>
      </c>
      <c r="O284" t="s">
        <v>35</v>
      </c>
      <c r="P284">
        <v>4554</v>
      </c>
      <c r="Q284">
        <v>1</v>
      </c>
      <c r="R284" t="s">
        <v>36</v>
      </c>
      <c r="S284">
        <v>18</v>
      </c>
      <c r="T284">
        <v>3</v>
      </c>
      <c r="U284">
        <v>1</v>
      </c>
      <c r="V284">
        <v>0</v>
      </c>
      <c r="W284">
        <v>10</v>
      </c>
      <c r="X284">
        <v>3</v>
      </c>
      <c r="Y284">
        <v>2</v>
      </c>
      <c r="Z284">
        <v>10</v>
      </c>
      <c r="AA284">
        <v>7</v>
      </c>
      <c r="AB284">
        <v>0</v>
      </c>
      <c r="AC284">
        <v>9</v>
      </c>
      <c r="AD284">
        <f>IF(HR_Data[[#This Row],[Attrition]]="Yes",1,0)</f>
        <v>0</v>
      </c>
      <c r="AE284" t="str">
        <f>IF(HR_Data[[#This Row],[Age]]&lt;=25,"18-25",IF(HR_Data[[#This Row],[Age]]&lt;=35,"26-35",IF(HR_Data[[#This Row],[Age]]&lt;=45,"36-45",IF(HR_Data[[#This Row],[Age]]&lt;=55,"46-55","55+"))))</f>
        <v>26-35</v>
      </c>
      <c r="AF284">
        <f>IF(HR_Data[[#This Row],[Age]]&lt;=25,1,IF(HR_Data[[#This Row],[Age]]&lt;=35,2,IF(HR_Data[[#This Row],[Age]]&lt;=45,3,IF(HR_Data[[#This Row],[Age]]&lt;=55,4,5))))</f>
        <v>2</v>
      </c>
      <c r="AG284" s="1" t="str">
        <f>IF(HR_Data[[#This Row],[MonthlyIncome]]&lt;3000,"&lt;3K",IF(HR_Data[[#This Row],[MonthlyIncome]]&lt;6000,"3K-6K",IF(HR_Data[[#This Row],[MonthlyIncome]]&lt;10000,"6K-10K","10K+")))</f>
        <v>3K-6K</v>
      </c>
      <c r="AH284" s="1">
        <f>IF(HR_Data[[#This Row],[MonthlyIncome]]&lt;3000,1,IF(HR_Data[[#This Row],[MonthlyIncome]]&lt;6000,2,IF(HR_Data[[#This Row],[MonthlyIncome]]&lt;10000,3,4)))</f>
        <v>2</v>
      </c>
      <c r="AI284" s="1" t="str">
        <f>IF(HR_Data[[#This Row],[YearsAtCompany]]&lt;=2,"0-2 Yrs",IF(HR_Data[[#This Row],[YearsAtCompany]]&lt;=5,"3-5 Yrs",IF(HR_Data[[#This Row],[YearsAtCompany]]&lt;=10,"6-10 Yrs","10+ Yrs")))</f>
        <v>6-10 Yrs</v>
      </c>
      <c r="AJ284" s="1">
        <f>IF(HR_Data[[#This Row],[YearsAtCompany]]&lt;=2,1,IF(HR_Data[[#This Row],[YearsAtCompany]]&lt;=5,2,IF(HR_Data[[#This Row],[YearsAtCompany]]&lt;=10,3,4)))</f>
        <v>3</v>
      </c>
      <c r="AK284" s="1" t="str">
        <f>CHOOSE(HR_Data[[#This Row],[Education]],"Below College","College","Bachelor","Master","Doctor")</f>
        <v>College</v>
      </c>
      <c r="AL284" s="1" t="str">
        <f>CHOOSE(HR_Data[[#This Row],[JobSatisfaction]],"Low","Medium","High","Very High")</f>
        <v>Very High</v>
      </c>
      <c r="AM284" s="1" t="str">
        <f>CHOOSE(HR_Data[[#This Row],[EnvironmentSatisfaction]],"Low","Medium","High","Very High")</f>
        <v>Medium</v>
      </c>
      <c r="AN284" s="1" t="str">
        <f>CHOOSE(HR_Data[[#This Row],[WorkLifeBalance]],"Bad","Good","Better","Best")</f>
        <v>Good</v>
      </c>
      <c r="AO284" s="1" t="str">
        <f>IF(HR_Data[[#This Row],[PercentSalaryHike]]&lt;=13,"11-13%",IF(HR_Data[[#This Row],[PercentSalaryHike]]&lt;=16,"14-16%",IF(HR_Data[[#This Row],[PercentSalaryHike]]&lt;=19,"17-19%","20-25%")))</f>
        <v>17-19%</v>
      </c>
      <c r="AP284" s="1">
        <f>IF(HR_Data[[#This Row],[PercentSalaryHike]]&lt;=13,1,IF(HR_Data[[#This Row],[PercentSalaryHike]]&lt;=16,2,IF(HR_Data[[#This Row],[PercentSalaryHike]]&lt;=19,3,4)))</f>
        <v>3</v>
      </c>
      <c r="AQ284" s="1" t="str">
        <f>IF(HR_Data[[#This Row],[DistanceFromHome]]&lt;=5,"1 to 5",IF(HR_Data[[#This Row],[DistanceFromHome]]&lt;=10,"6 to 10",IF(HR_Data[[#This Row],[DistanceFromHome]]&lt;=20,"11 to 20","21 to 29")))</f>
        <v>1 to 5</v>
      </c>
      <c r="AR284" s="1">
        <f>IF(HR_Data[[#This Row],[DistanceFromHome]]&lt;=5,1,IF(HR_Data[[#This Row],[DistanceFromHome]]&lt;=10,2,IF(HR_Data[[#This Row],[DistanceFromHome]]&lt;=20,3,4)))</f>
        <v>1</v>
      </c>
      <c r="AS284" s="1" t="str">
        <f>IF(HR_Data[[#This Row],[TotalWorkingYears]]&lt;=5,"0-5 Yrs",IF(HR_Data[[#This Row],[TotalWorkingYears]]&lt;=10,"6-10 Yrs",IF(HR_Data[[#This Row],[TotalWorkingYears]]&lt;=20,"11-20 Yrs","20+ Yrs")))</f>
        <v>6-10 Yrs</v>
      </c>
      <c r="AT284" s="1">
        <f>IF(HR_Data[[#This Row],[TotalWorkingYears]]&lt;=5,1,IF(HR_Data[[#This Row],[TotalWorkingYears]]&lt;=10,2,IF(HR_Data[[#This Row],[TotalWorkingYears]]&lt;=20,3,4)))</f>
        <v>2</v>
      </c>
    </row>
    <row r="285" spans="1:46" x14ac:dyDescent="0.25">
      <c r="A285">
        <v>55</v>
      </c>
      <c r="B285" t="s">
        <v>36</v>
      </c>
      <c r="C285" t="s">
        <v>30</v>
      </c>
      <c r="D285" t="s">
        <v>38</v>
      </c>
      <c r="E285">
        <v>20</v>
      </c>
      <c r="F285">
        <v>2</v>
      </c>
      <c r="G285" t="s">
        <v>53</v>
      </c>
      <c r="H285">
        <v>389</v>
      </c>
      <c r="I285">
        <v>2</v>
      </c>
      <c r="J285" t="s">
        <v>39</v>
      </c>
      <c r="K285">
        <v>3</v>
      </c>
      <c r="L285">
        <v>2</v>
      </c>
      <c r="M285" t="s">
        <v>43</v>
      </c>
      <c r="N285">
        <v>4</v>
      </c>
      <c r="O285" t="s">
        <v>41</v>
      </c>
      <c r="P285">
        <v>5415</v>
      </c>
      <c r="Q285">
        <v>3</v>
      </c>
      <c r="R285" t="s">
        <v>29</v>
      </c>
      <c r="S285">
        <v>19</v>
      </c>
      <c r="T285">
        <v>3</v>
      </c>
      <c r="U285">
        <v>4</v>
      </c>
      <c r="V285">
        <v>1</v>
      </c>
      <c r="W285">
        <v>12</v>
      </c>
      <c r="X285">
        <v>4</v>
      </c>
      <c r="Y285">
        <v>3</v>
      </c>
      <c r="Z285">
        <v>10</v>
      </c>
      <c r="AA285">
        <v>7</v>
      </c>
      <c r="AB285">
        <v>0</v>
      </c>
      <c r="AC285">
        <v>8</v>
      </c>
      <c r="AD285">
        <f>IF(HR_Data[[#This Row],[Attrition]]="Yes",1,0)</f>
        <v>0</v>
      </c>
      <c r="AE285" t="str">
        <f>IF(HR_Data[[#This Row],[Age]]&lt;=25,"18-25",IF(HR_Data[[#This Row],[Age]]&lt;=35,"26-35",IF(HR_Data[[#This Row],[Age]]&lt;=45,"36-45",IF(HR_Data[[#This Row],[Age]]&lt;=55,"46-55","55+"))))</f>
        <v>46-55</v>
      </c>
      <c r="AF285">
        <f>IF(HR_Data[[#This Row],[Age]]&lt;=25,1,IF(HR_Data[[#This Row],[Age]]&lt;=35,2,IF(HR_Data[[#This Row],[Age]]&lt;=45,3,IF(HR_Data[[#This Row],[Age]]&lt;=55,4,5))))</f>
        <v>4</v>
      </c>
      <c r="AG285" s="1" t="str">
        <f>IF(HR_Data[[#This Row],[MonthlyIncome]]&lt;3000,"&lt;3K",IF(HR_Data[[#This Row],[MonthlyIncome]]&lt;6000,"3K-6K",IF(HR_Data[[#This Row],[MonthlyIncome]]&lt;10000,"6K-10K","10K+")))</f>
        <v>3K-6K</v>
      </c>
      <c r="AH285" s="1">
        <f>IF(HR_Data[[#This Row],[MonthlyIncome]]&lt;3000,1,IF(HR_Data[[#This Row],[MonthlyIncome]]&lt;6000,2,IF(HR_Data[[#This Row],[MonthlyIncome]]&lt;10000,3,4)))</f>
        <v>2</v>
      </c>
      <c r="AI285" s="1" t="str">
        <f>IF(HR_Data[[#This Row],[YearsAtCompany]]&lt;=2,"0-2 Yrs",IF(HR_Data[[#This Row],[YearsAtCompany]]&lt;=5,"3-5 Yrs",IF(HR_Data[[#This Row],[YearsAtCompany]]&lt;=10,"6-10 Yrs","10+ Yrs")))</f>
        <v>6-10 Yrs</v>
      </c>
      <c r="AJ285" s="1">
        <f>IF(HR_Data[[#This Row],[YearsAtCompany]]&lt;=2,1,IF(HR_Data[[#This Row],[YearsAtCompany]]&lt;=5,2,IF(HR_Data[[#This Row],[YearsAtCompany]]&lt;=10,3,4)))</f>
        <v>3</v>
      </c>
      <c r="AK285" s="1" t="str">
        <f>CHOOSE(HR_Data[[#This Row],[Education]],"Below College","College","Bachelor","Master","Doctor")</f>
        <v>College</v>
      </c>
      <c r="AL285" s="1" t="str">
        <f>CHOOSE(HR_Data[[#This Row],[JobSatisfaction]],"Low","Medium","High","Very High")</f>
        <v>Very High</v>
      </c>
      <c r="AM285" s="1" t="str">
        <f>CHOOSE(HR_Data[[#This Row],[EnvironmentSatisfaction]],"Low","Medium","High","Very High")</f>
        <v>Medium</v>
      </c>
      <c r="AN285" s="1" t="str">
        <f>CHOOSE(HR_Data[[#This Row],[WorkLifeBalance]],"Bad","Good","Better","Best")</f>
        <v>Better</v>
      </c>
      <c r="AO285" s="1" t="str">
        <f>IF(HR_Data[[#This Row],[PercentSalaryHike]]&lt;=13,"11-13%",IF(HR_Data[[#This Row],[PercentSalaryHike]]&lt;=16,"14-16%",IF(HR_Data[[#This Row],[PercentSalaryHike]]&lt;=19,"17-19%","20-25%")))</f>
        <v>17-19%</v>
      </c>
      <c r="AP285" s="1">
        <f>IF(HR_Data[[#This Row],[PercentSalaryHike]]&lt;=13,1,IF(HR_Data[[#This Row],[PercentSalaryHike]]&lt;=16,2,IF(HR_Data[[#This Row],[PercentSalaryHike]]&lt;=19,3,4)))</f>
        <v>3</v>
      </c>
      <c r="AQ285" s="1" t="str">
        <f>IF(HR_Data[[#This Row],[DistanceFromHome]]&lt;=5,"1 to 5",IF(HR_Data[[#This Row],[DistanceFromHome]]&lt;=10,"6 to 10",IF(HR_Data[[#This Row],[DistanceFromHome]]&lt;=20,"11 to 20","21 to 29")))</f>
        <v>11 to 20</v>
      </c>
      <c r="AR285" s="1">
        <f>IF(HR_Data[[#This Row],[DistanceFromHome]]&lt;=5,1,IF(HR_Data[[#This Row],[DistanceFromHome]]&lt;=10,2,IF(HR_Data[[#This Row],[DistanceFromHome]]&lt;=20,3,4)))</f>
        <v>3</v>
      </c>
      <c r="AS285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285" s="1">
        <f>IF(HR_Data[[#This Row],[TotalWorkingYears]]&lt;=5,1,IF(HR_Data[[#This Row],[TotalWorkingYears]]&lt;=10,2,IF(HR_Data[[#This Row],[TotalWorkingYears]]&lt;=20,3,4)))</f>
        <v>3</v>
      </c>
    </row>
    <row r="286" spans="1:46" x14ac:dyDescent="0.25">
      <c r="A286">
        <v>26</v>
      </c>
      <c r="B286" t="s">
        <v>36</v>
      </c>
      <c r="C286" t="s">
        <v>37</v>
      </c>
      <c r="D286" t="s">
        <v>38</v>
      </c>
      <c r="E286">
        <v>11</v>
      </c>
      <c r="F286">
        <v>2</v>
      </c>
      <c r="G286" t="s">
        <v>44</v>
      </c>
      <c r="H286">
        <v>390</v>
      </c>
      <c r="I286">
        <v>1</v>
      </c>
      <c r="J286" t="s">
        <v>39</v>
      </c>
      <c r="K286">
        <v>3</v>
      </c>
      <c r="L286">
        <v>2</v>
      </c>
      <c r="M286" t="s">
        <v>47</v>
      </c>
      <c r="N286">
        <v>1</v>
      </c>
      <c r="O286" t="s">
        <v>41</v>
      </c>
      <c r="P286">
        <v>4741</v>
      </c>
      <c r="Q286">
        <v>1</v>
      </c>
      <c r="R286" t="s">
        <v>29</v>
      </c>
      <c r="S286">
        <v>13</v>
      </c>
      <c r="T286">
        <v>3</v>
      </c>
      <c r="U286">
        <v>3</v>
      </c>
      <c r="V286">
        <v>1</v>
      </c>
      <c r="W286">
        <v>5</v>
      </c>
      <c r="X286">
        <v>3</v>
      </c>
      <c r="Y286">
        <v>3</v>
      </c>
      <c r="Z286">
        <v>5</v>
      </c>
      <c r="AA286">
        <v>3</v>
      </c>
      <c r="AB286">
        <v>3</v>
      </c>
      <c r="AC286">
        <v>3</v>
      </c>
      <c r="AD286">
        <f>IF(HR_Data[[#This Row],[Attrition]]="Yes",1,0)</f>
        <v>0</v>
      </c>
      <c r="AE286" t="str">
        <f>IF(HR_Data[[#This Row],[Age]]&lt;=25,"18-25",IF(HR_Data[[#This Row],[Age]]&lt;=35,"26-35",IF(HR_Data[[#This Row],[Age]]&lt;=45,"36-45",IF(HR_Data[[#This Row],[Age]]&lt;=55,"46-55","55+"))))</f>
        <v>26-35</v>
      </c>
      <c r="AF286">
        <f>IF(HR_Data[[#This Row],[Age]]&lt;=25,1,IF(HR_Data[[#This Row],[Age]]&lt;=35,2,IF(HR_Data[[#This Row],[Age]]&lt;=45,3,IF(HR_Data[[#This Row],[Age]]&lt;=55,4,5))))</f>
        <v>2</v>
      </c>
      <c r="AG286" s="1" t="str">
        <f>IF(HR_Data[[#This Row],[MonthlyIncome]]&lt;3000,"&lt;3K",IF(HR_Data[[#This Row],[MonthlyIncome]]&lt;6000,"3K-6K",IF(HR_Data[[#This Row],[MonthlyIncome]]&lt;10000,"6K-10K","10K+")))</f>
        <v>3K-6K</v>
      </c>
      <c r="AH286" s="1">
        <f>IF(HR_Data[[#This Row],[MonthlyIncome]]&lt;3000,1,IF(HR_Data[[#This Row],[MonthlyIncome]]&lt;6000,2,IF(HR_Data[[#This Row],[MonthlyIncome]]&lt;10000,3,4)))</f>
        <v>2</v>
      </c>
      <c r="AI286" s="1" t="str">
        <f>IF(HR_Data[[#This Row],[YearsAtCompany]]&lt;=2,"0-2 Yrs",IF(HR_Data[[#This Row],[YearsAtCompany]]&lt;=5,"3-5 Yrs",IF(HR_Data[[#This Row],[YearsAtCompany]]&lt;=10,"6-10 Yrs","10+ Yrs")))</f>
        <v>3-5 Yrs</v>
      </c>
      <c r="AJ286" s="1">
        <f>IF(HR_Data[[#This Row],[YearsAtCompany]]&lt;=2,1,IF(HR_Data[[#This Row],[YearsAtCompany]]&lt;=5,2,IF(HR_Data[[#This Row],[YearsAtCompany]]&lt;=10,3,4)))</f>
        <v>2</v>
      </c>
      <c r="AK286" s="1" t="str">
        <f>CHOOSE(HR_Data[[#This Row],[Education]],"Below College","College","Bachelor","Master","Doctor")</f>
        <v>College</v>
      </c>
      <c r="AL286" s="1" t="str">
        <f>CHOOSE(HR_Data[[#This Row],[JobSatisfaction]],"Low","Medium","High","Very High")</f>
        <v>Low</v>
      </c>
      <c r="AM286" s="1" t="str">
        <f>CHOOSE(HR_Data[[#This Row],[EnvironmentSatisfaction]],"Low","Medium","High","Very High")</f>
        <v>Low</v>
      </c>
      <c r="AN286" s="1" t="str">
        <f>CHOOSE(HR_Data[[#This Row],[WorkLifeBalance]],"Bad","Good","Better","Best")</f>
        <v>Better</v>
      </c>
      <c r="AO286" s="1" t="str">
        <f>IF(HR_Data[[#This Row],[PercentSalaryHike]]&lt;=13,"11-13%",IF(HR_Data[[#This Row],[PercentSalaryHike]]&lt;=16,"14-16%",IF(HR_Data[[#This Row],[PercentSalaryHike]]&lt;=19,"17-19%","20-25%")))</f>
        <v>11-13%</v>
      </c>
      <c r="AP286" s="1">
        <f>IF(HR_Data[[#This Row],[PercentSalaryHike]]&lt;=13,1,IF(HR_Data[[#This Row],[PercentSalaryHike]]&lt;=16,2,IF(HR_Data[[#This Row],[PercentSalaryHike]]&lt;=19,3,4)))</f>
        <v>1</v>
      </c>
      <c r="AQ286" s="1" t="str">
        <f>IF(HR_Data[[#This Row],[DistanceFromHome]]&lt;=5,"1 to 5",IF(HR_Data[[#This Row],[DistanceFromHome]]&lt;=10,"6 to 10",IF(HR_Data[[#This Row],[DistanceFromHome]]&lt;=20,"11 to 20","21 to 29")))</f>
        <v>11 to 20</v>
      </c>
      <c r="AR286" s="1">
        <f>IF(HR_Data[[#This Row],[DistanceFromHome]]&lt;=5,1,IF(HR_Data[[#This Row],[DistanceFromHome]]&lt;=10,2,IF(HR_Data[[#This Row],[DistanceFromHome]]&lt;=20,3,4)))</f>
        <v>3</v>
      </c>
      <c r="AS286" s="1" t="str">
        <f>IF(HR_Data[[#This Row],[TotalWorkingYears]]&lt;=5,"0-5 Yrs",IF(HR_Data[[#This Row],[TotalWorkingYears]]&lt;=10,"6-10 Yrs",IF(HR_Data[[#This Row],[TotalWorkingYears]]&lt;=20,"11-20 Yrs","20+ Yrs")))</f>
        <v>0-5 Yrs</v>
      </c>
      <c r="AT286" s="1">
        <f>IF(HR_Data[[#This Row],[TotalWorkingYears]]&lt;=5,1,IF(HR_Data[[#This Row],[TotalWorkingYears]]&lt;=10,2,IF(HR_Data[[#This Row],[TotalWorkingYears]]&lt;=20,3,4)))</f>
        <v>1</v>
      </c>
    </row>
    <row r="287" spans="1:46" x14ac:dyDescent="0.25">
      <c r="A287">
        <v>37</v>
      </c>
      <c r="B287" t="s">
        <v>36</v>
      </c>
      <c r="C287" t="s">
        <v>30</v>
      </c>
      <c r="D287" t="s">
        <v>38</v>
      </c>
      <c r="E287">
        <v>1</v>
      </c>
      <c r="F287">
        <v>3</v>
      </c>
      <c r="G287" t="s">
        <v>32</v>
      </c>
      <c r="H287">
        <v>391</v>
      </c>
      <c r="I287">
        <v>4</v>
      </c>
      <c r="J287" t="s">
        <v>33</v>
      </c>
      <c r="K287">
        <v>3</v>
      </c>
      <c r="L287">
        <v>1</v>
      </c>
      <c r="M287" t="s">
        <v>40</v>
      </c>
      <c r="N287">
        <v>4</v>
      </c>
      <c r="O287" t="s">
        <v>35</v>
      </c>
      <c r="P287">
        <v>2115</v>
      </c>
      <c r="Q287">
        <v>1</v>
      </c>
      <c r="R287" t="s">
        <v>36</v>
      </c>
      <c r="S287">
        <v>12</v>
      </c>
      <c r="T287">
        <v>3</v>
      </c>
      <c r="U287">
        <v>2</v>
      </c>
      <c r="V287">
        <v>0</v>
      </c>
      <c r="W287">
        <v>17</v>
      </c>
      <c r="X287">
        <v>3</v>
      </c>
      <c r="Y287">
        <v>3</v>
      </c>
      <c r="Z287">
        <v>17</v>
      </c>
      <c r="AA287">
        <v>12</v>
      </c>
      <c r="AB287">
        <v>5</v>
      </c>
      <c r="AC287">
        <v>7</v>
      </c>
      <c r="AD287">
        <f>IF(HR_Data[[#This Row],[Attrition]]="Yes",1,0)</f>
        <v>0</v>
      </c>
      <c r="AE287" t="str">
        <f>IF(HR_Data[[#This Row],[Age]]&lt;=25,"18-25",IF(HR_Data[[#This Row],[Age]]&lt;=35,"26-35",IF(HR_Data[[#This Row],[Age]]&lt;=45,"36-45",IF(HR_Data[[#This Row],[Age]]&lt;=55,"46-55","55+"))))</f>
        <v>36-45</v>
      </c>
      <c r="AF287">
        <f>IF(HR_Data[[#This Row],[Age]]&lt;=25,1,IF(HR_Data[[#This Row],[Age]]&lt;=35,2,IF(HR_Data[[#This Row],[Age]]&lt;=45,3,IF(HR_Data[[#This Row],[Age]]&lt;=55,4,5))))</f>
        <v>3</v>
      </c>
      <c r="AG287" s="1" t="str">
        <f>IF(HR_Data[[#This Row],[MonthlyIncome]]&lt;3000,"&lt;3K",IF(HR_Data[[#This Row],[MonthlyIncome]]&lt;6000,"3K-6K",IF(HR_Data[[#This Row],[MonthlyIncome]]&lt;10000,"6K-10K","10K+")))</f>
        <v>&lt;3K</v>
      </c>
      <c r="AH287" s="1">
        <f>IF(HR_Data[[#This Row],[MonthlyIncome]]&lt;3000,1,IF(HR_Data[[#This Row],[MonthlyIncome]]&lt;6000,2,IF(HR_Data[[#This Row],[MonthlyIncome]]&lt;10000,3,4)))</f>
        <v>1</v>
      </c>
      <c r="AI287" s="1" t="str">
        <f>IF(HR_Data[[#This Row],[YearsAtCompany]]&lt;=2,"0-2 Yrs",IF(HR_Data[[#This Row],[YearsAtCompany]]&lt;=5,"3-5 Yrs",IF(HR_Data[[#This Row],[YearsAtCompany]]&lt;=10,"6-10 Yrs","10+ Yrs")))</f>
        <v>10+ Yrs</v>
      </c>
      <c r="AJ287" s="1">
        <f>IF(HR_Data[[#This Row],[YearsAtCompany]]&lt;=2,1,IF(HR_Data[[#This Row],[YearsAtCompany]]&lt;=5,2,IF(HR_Data[[#This Row],[YearsAtCompany]]&lt;=10,3,4)))</f>
        <v>4</v>
      </c>
      <c r="AK287" s="1" t="str">
        <f>CHOOSE(HR_Data[[#This Row],[Education]],"Below College","College","Bachelor","Master","Doctor")</f>
        <v>Bachelor</v>
      </c>
      <c r="AL287" s="1" t="str">
        <f>CHOOSE(HR_Data[[#This Row],[JobSatisfaction]],"Low","Medium","High","Very High")</f>
        <v>Very High</v>
      </c>
      <c r="AM287" s="1" t="str">
        <f>CHOOSE(HR_Data[[#This Row],[EnvironmentSatisfaction]],"Low","Medium","High","Very High")</f>
        <v>Very High</v>
      </c>
      <c r="AN287" s="1" t="str">
        <f>CHOOSE(HR_Data[[#This Row],[WorkLifeBalance]],"Bad","Good","Better","Best")</f>
        <v>Better</v>
      </c>
      <c r="AO287" s="1" t="str">
        <f>IF(HR_Data[[#This Row],[PercentSalaryHike]]&lt;=13,"11-13%",IF(HR_Data[[#This Row],[PercentSalaryHike]]&lt;=16,"14-16%",IF(HR_Data[[#This Row],[PercentSalaryHike]]&lt;=19,"17-19%","20-25%")))</f>
        <v>11-13%</v>
      </c>
      <c r="AP287" s="1">
        <f>IF(HR_Data[[#This Row],[PercentSalaryHike]]&lt;=13,1,IF(HR_Data[[#This Row],[PercentSalaryHike]]&lt;=16,2,IF(HR_Data[[#This Row],[PercentSalaryHike]]&lt;=19,3,4)))</f>
        <v>1</v>
      </c>
      <c r="AQ287" s="1" t="str">
        <f>IF(HR_Data[[#This Row],[DistanceFromHome]]&lt;=5,"1 to 5",IF(HR_Data[[#This Row],[DistanceFromHome]]&lt;=10,"6 to 10",IF(HR_Data[[#This Row],[DistanceFromHome]]&lt;=20,"11 to 20","21 to 29")))</f>
        <v>1 to 5</v>
      </c>
      <c r="AR287" s="1">
        <f>IF(HR_Data[[#This Row],[DistanceFromHome]]&lt;=5,1,IF(HR_Data[[#This Row],[DistanceFromHome]]&lt;=10,2,IF(HR_Data[[#This Row],[DistanceFromHome]]&lt;=20,3,4)))</f>
        <v>1</v>
      </c>
      <c r="AS287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287" s="1">
        <f>IF(HR_Data[[#This Row],[TotalWorkingYears]]&lt;=5,1,IF(HR_Data[[#This Row],[TotalWorkingYears]]&lt;=10,2,IF(HR_Data[[#This Row],[TotalWorkingYears]]&lt;=20,3,4)))</f>
        <v>3</v>
      </c>
    </row>
    <row r="288" spans="1:46" x14ac:dyDescent="0.25">
      <c r="A288">
        <v>44</v>
      </c>
      <c r="B288" t="s">
        <v>29</v>
      </c>
      <c r="C288" t="s">
        <v>37</v>
      </c>
      <c r="D288" t="s">
        <v>38</v>
      </c>
      <c r="E288">
        <v>24</v>
      </c>
      <c r="F288">
        <v>3</v>
      </c>
      <c r="G288" t="s">
        <v>32</v>
      </c>
      <c r="H288">
        <v>392</v>
      </c>
      <c r="I288">
        <v>4</v>
      </c>
      <c r="J288" t="s">
        <v>39</v>
      </c>
      <c r="K288">
        <v>3</v>
      </c>
      <c r="L288">
        <v>1</v>
      </c>
      <c r="M288" t="s">
        <v>43</v>
      </c>
      <c r="N288">
        <v>3</v>
      </c>
      <c r="O288" t="s">
        <v>45</v>
      </c>
      <c r="P288">
        <v>3161</v>
      </c>
      <c r="Q288">
        <v>3</v>
      </c>
      <c r="R288" t="s">
        <v>29</v>
      </c>
      <c r="S288">
        <v>22</v>
      </c>
      <c r="T288">
        <v>4</v>
      </c>
      <c r="U288">
        <v>4</v>
      </c>
      <c r="V288">
        <v>1</v>
      </c>
      <c r="W288">
        <v>19</v>
      </c>
      <c r="X288">
        <v>0</v>
      </c>
      <c r="Y288">
        <v>1</v>
      </c>
      <c r="Z288">
        <v>1</v>
      </c>
      <c r="AA288">
        <v>0</v>
      </c>
      <c r="AB288">
        <v>0</v>
      </c>
      <c r="AC288">
        <v>0</v>
      </c>
      <c r="AD288">
        <f>IF(HR_Data[[#This Row],[Attrition]]="Yes",1,0)</f>
        <v>1</v>
      </c>
      <c r="AE288" t="str">
        <f>IF(HR_Data[[#This Row],[Age]]&lt;=25,"18-25",IF(HR_Data[[#This Row],[Age]]&lt;=35,"26-35",IF(HR_Data[[#This Row],[Age]]&lt;=45,"36-45",IF(HR_Data[[#This Row],[Age]]&lt;=55,"46-55","55+"))))</f>
        <v>36-45</v>
      </c>
      <c r="AF288">
        <f>IF(HR_Data[[#This Row],[Age]]&lt;=25,1,IF(HR_Data[[#This Row],[Age]]&lt;=35,2,IF(HR_Data[[#This Row],[Age]]&lt;=45,3,IF(HR_Data[[#This Row],[Age]]&lt;=55,4,5))))</f>
        <v>3</v>
      </c>
      <c r="AG288" s="1" t="str">
        <f>IF(HR_Data[[#This Row],[MonthlyIncome]]&lt;3000,"&lt;3K",IF(HR_Data[[#This Row],[MonthlyIncome]]&lt;6000,"3K-6K",IF(HR_Data[[#This Row],[MonthlyIncome]]&lt;10000,"6K-10K","10K+")))</f>
        <v>3K-6K</v>
      </c>
      <c r="AH288" s="1">
        <f>IF(HR_Data[[#This Row],[MonthlyIncome]]&lt;3000,1,IF(HR_Data[[#This Row],[MonthlyIncome]]&lt;6000,2,IF(HR_Data[[#This Row],[MonthlyIncome]]&lt;10000,3,4)))</f>
        <v>2</v>
      </c>
      <c r="AI288" s="1" t="str">
        <f>IF(HR_Data[[#This Row],[YearsAtCompany]]&lt;=2,"0-2 Yrs",IF(HR_Data[[#This Row],[YearsAtCompany]]&lt;=5,"3-5 Yrs",IF(HR_Data[[#This Row],[YearsAtCompany]]&lt;=10,"6-10 Yrs","10+ Yrs")))</f>
        <v>0-2 Yrs</v>
      </c>
      <c r="AJ288" s="1">
        <f>IF(HR_Data[[#This Row],[YearsAtCompany]]&lt;=2,1,IF(HR_Data[[#This Row],[YearsAtCompany]]&lt;=5,2,IF(HR_Data[[#This Row],[YearsAtCompany]]&lt;=10,3,4)))</f>
        <v>1</v>
      </c>
      <c r="AK288" s="1" t="str">
        <f>CHOOSE(HR_Data[[#This Row],[Education]],"Below College","College","Bachelor","Master","Doctor")</f>
        <v>Bachelor</v>
      </c>
      <c r="AL288" s="1" t="str">
        <f>CHOOSE(HR_Data[[#This Row],[JobSatisfaction]],"Low","Medium","High","Very High")</f>
        <v>High</v>
      </c>
      <c r="AM288" s="1" t="str">
        <f>CHOOSE(HR_Data[[#This Row],[EnvironmentSatisfaction]],"Low","Medium","High","Very High")</f>
        <v>Very High</v>
      </c>
      <c r="AN288" s="1" t="str">
        <f>CHOOSE(HR_Data[[#This Row],[WorkLifeBalance]],"Bad","Good","Better","Best")</f>
        <v>Bad</v>
      </c>
      <c r="AO288" s="1" t="str">
        <f>IF(HR_Data[[#This Row],[PercentSalaryHike]]&lt;=13,"11-13%",IF(HR_Data[[#This Row],[PercentSalaryHike]]&lt;=16,"14-16%",IF(HR_Data[[#This Row],[PercentSalaryHike]]&lt;=19,"17-19%","20-25%")))</f>
        <v>20-25%</v>
      </c>
      <c r="AP288" s="1">
        <f>IF(HR_Data[[#This Row],[PercentSalaryHike]]&lt;=13,1,IF(HR_Data[[#This Row],[PercentSalaryHike]]&lt;=16,2,IF(HR_Data[[#This Row],[PercentSalaryHike]]&lt;=19,3,4)))</f>
        <v>4</v>
      </c>
      <c r="AQ288" s="1" t="str">
        <f>IF(HR_Data[[#This Row],[DistanceFromHome]]&lt;=5,"1 to 5",IF(HR_Data[[#This Row],[DistanceFromHome]]&lt;=10,"6 to 10",IF(HR_Data[[#This Row],[DistanceFromHome]]&lt;=20,"11 to 20","21 to 29")))</f>
        <v>21 to 29</v>
      </c>
      <c r="AR288" s="1">
        <f>IF(HR_Data[[#This Row],[DistanceFromHome]]&lt;=5,1,IF(HR_Data[[#This Row],[DistanceFromHome]]&lt;=10,2,IF(HR_Data[[#This Row],[DistanceFromHome]]&lt;=20,3,4)))</f>
        <v>4</v>
      </c>
      <c r="AS288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288" s="1">
        <f>IF(HR_Data[[#This Row],[TotalWorkingYears]]&lt;=5,1,IF(HR_Data[[#This Row],[TotalWorkingYears]]&lt;=10,2,IF(HR_Data[[#This Row],[TotalWorkingYears]]&lt;=20,3,4)))</f>
        <v>3</v>
      </c>
    </row>
    <row r="289" spans="1:46" x14ac:dyDescent="0.25">
      <c r="A289">
        <v>38</v>
      </c>
      <c r="B289" t="s">
        <v>36</v>
      </c>
      <c r="C289" t="s">
        <v>30</v>
      </c>
      <c r="D289" t="s">
        <v>38</v>
      </c>
      <c r="E289">
        <v>23</v>
      </c>
      <c r="F289">
        <v>4</v>
      </c>
      <c r="G289" t="s">
        <v>32</v>
      </c>
      <c r="H289">
        <v>393</v>
      </c>
      <c r="I289">
        <v>4</v>
      </c>
      <c r="J289" t="s">
        <v>39</v>
      </c>
      <c r="K289">
        <v>3</v>
      </c>
      <c r="L289">
        <v>2</v>
      </c>
      <c r="M289" t="s">
        <v>47</v>
      </c>
      <c r="N289">
        <v>4</v>
      </c>
      <c r="O289" t="s">
        <v>45</v>
      </c>
      <c r="P289">
        <v>5745</v>
      </c>
      <c r="Q289">
        <v>9</v>
      </c>
      <c r="R289" t="s">
        <v>36</v>
      </c>
      <c r="S289">
        <v>14</v>
      </c>
      <c r="T289">
        <v>3</v>
      </c>
      <c r="U289">
        <v>2</v>
      </c>
      <c r="V289">
        <v>1</v>
      </c>
      <c r="W289">
        <v>10</v>
      </c>
      <c r="X289">
        <v>2</v>
      </c>
      <c r="Y289">
        <v>3</v>
      </c>
      <c r="Z289">
        <v>2</v>
      </c>
      <c r="AA289">
        <v>2</v>
      </c>
      <c r="AB289">
        <v>1</v>
      </c>
      <c r="AC289">
        <v>2</v>
      </c>
      <c r="AD289">
        <f>IF(HR_Data[[#This Row],[Attrition]]="Yes",1,0)</f>
        <v>0</v>
      </c>
      <c r="AE289" t="str">
        <f>IF(HR_Data[[#This Row],[Age]]&lt;=25,"18-25",IF(HR_Data[[#This Row],[Age]]&lt;=35,"26-35",IF(HR_Data[[#This Row],[Age]]&lt;=45,"36-45",IF(HR_Data[[#This Row],[Age]]&lt;=55,"46-55","55+"))))</f>
        <v>36-45</v>
      </c>
      <c r="AF289">
        <f>IF(HR_Data[[#This Row],[Age]]&lt;=25,1,IF(HR_Data[[#This Row],[Age]]&lt;=35,2,IF(HR_Data[[#This Row],[Age]]&lt;=45,3,IF(HR_Data[[#This Row],[Age]]&lt;=55,4,5))))</f>
        <v>3</v>
      </c>
      <c r="AG289" s="1" t="str">
        <f>IF(HR_Data[[#This Row],[MonthlyIncome]]&lt;3000,"&lt;3K",IF(HR_Data[[#This Row],[MonthlyIncome]]&lt;6000,"3K-6K",IF(HR_Data[[#This Row],[MonthlyIncome]]&lt;10000,"6K-10K","10K+")))</f>
        <v>3K-6K</v>
      </c>
      <c r="AH289" s="1">
        <f>IF(HR_Data[[#This Row],[MonthlyIncome]]&lt;3000,1,IF(HR_Data[[#This Row],[MonthlyIncome]]&lt;6000,2,IF(HR_Data[[#This Row],[MonthlyIncome]]&lt;10000,3,4)))</f>
        <v>2</v>
      </c>
      <c r="AI289" s="1" t="str">
        <f>IF(HR_Data[[#This Row],[YearsAtCompany]]&lt;=2,"0-2 Yrs",IF(HR_Data[[#This Row],[YearsAtCompany]]&lt;=5,"3-5 Yrs",IF(HR_Data[[#This Row],[YearsAtCompany]]&lt;=10,"6-10 Yrs","10+ Yrs")))</f>
        <v>0-2 Yrs</v>
      </c>
      <c r="AJ289" s="1">
        <f>IF(HR_Data[[#This Row],[YearsAtCompany]]&lt;=2,1,IF(HR_Data[[#This Row],[YearsAtCompany]]&lt;=5,2,IF(HR_Data[[#This Row],[YearsAtCompany]]&lt;=10,3,4)))</f>
        <v>1</v>
      </c>
      <c r="AK289" s="1" t="str">
        <f>CHOOSE(HR_Data[[#This Row],[Education]],"Below College","College","Bachelor","Master","Doctor")</f>
        <v>Master</v>
      </c>
      <c r="AL289" s="1" t="str">
        <f>CHOOSE(HR_Data[[#This Row],[JobSatisfaction]],"Low","Medium","High","Very High")</f>
        <v>Very High</v>
      </c>
      <c r="AM289" s="1" t="str">
        <f>CHOOSE(HR_Data[[#This Row],[EnvironmentSatisfaction]],"Low","Medium","High","Very High")</f>
        <v>Very High</v>
      </c>
      <c r="AN289" s="1" t="str">
        <f>CHOOSE(HR_Data[[#This Row],[WorkLifeBalance]],"Bad","Good","Better","Best")</f>
        <v>Better</v>
      </c>
      <c r="AO289" s="1" t="str">
        <f>IF(HR_Data[[#This Row],[PercentSalaryHike]]&lt;=13,"11-13%",IF(HR_Data[[#This Row],[PercentSalaryHike]]&lt;=16,"14-16%",IF(HR_Data[[#This Row],[PercentSalaryHike]]&lt;=19,"17-19%","20-25%")))</f>
        <v>14-16%</v>
      </c>
      <c r="AP289" s="1">
        <f>IF(HR_Data[[#This Row],[PercentSalaryHike]]&lt;=13,1,IF(HR_Data[[#This Row],[PercentSalaryHike]]&lt;=16,2,IF(HR_Data[[#This Row],[PercentSalaryHike]]&lt;=19,3,4)))</f>
        <v>2</v>
      </c>
      <c r="AQ289" s="1" t="str">
        <f>IF(HR_Data[[#This Row],[DistanceFromHome]]&lt;=5,"1 to 5",IF(HR_Data[[#This Row],[DistanceFromHome]]&lt;=10,"6 to 10",IF(HR_Data[[#This Row],[DistanceFromHome]]&lt;=20,"11 to 20","21 to 29")))</f>
        <v>21 to 29</v>
      </c>
      <c r="AR289" s="1">
        <f>IF(HR_Data[[#This Row],[DistanceFromHome]]&lt;=5,1,IF(HR_Data[[#This Row],[DistanceFromHome]]&lt;=10,2,IF(HR_Data[[#This Row],[DistanceFromHome]]&lt;=20,3,4)))</f>
        <v>4</v>
      </c>
      <c r="AS289" s="1" t="str">
        <f>IF(HR_Data[[#This Row],[TotalWorkingYears]]&lt;=5,"0-5 Yrs",IF(HR_Data[[#This Row],[TotalWorkingYears]]&lt;=10,"6-10 Yrs",IF(HR_Data[[#This Row],[TotalWorkingYears]]&lt;=20,"11-20 Yrs","20+ Yrs")))</f>
        <v>6-10 Yrs</v>
      </c>
      <c r="AT289" s="1">
        <f>IF(HR_Data[[#This Row],[TotalWorkingYears]]&lt;=5,1,IF(HR_Data[[#This Row],[TotalWorkingYears]]&lt;=10,2,IF(HR_Data[[#This Row],[TotalWorkingYears]]&lt;=20,3,4)))</f>
        <v>2</v>
      </c>
    </row>
    <row r="290" spans="1:46" x14ac:dyDescent="0.25">
      <c r="A290">
        <v>26</v>
      </c>
      <c r="B290" t="s">
        <v>29</v>
      </c>
      <c r="C290" t="s">
        <v>30</v>
      </c>
      <c r="D290" t="s">
        <v>38</v>
      </c>
      <c r="E290">
        <v>16</v>
      </c>
      <c r="F290">
        <v>4</v>
      </c>
      <c r="G290" t="s">
        <v>44</v>
      </c>
      <c r="H290">
        <v>394</v>
      </c>
      <c r="I290">
        <v>1</v>
      </c>
      <c r="J290" t="s">
        <v>39</v>
      </c>
      <c r="K290">
        <v>3</v>
      </c>
      <c r="L290">
        <v>1</v>
      </c>
      <c r="M290" t="s">
        <v>43</v>
      </c>
      <c r="N290">
        <v>2</v>
      </c>
      <c r="O290" t="s">
        <v>45</v>
      </c>
      <c r="P290">
        <v>2373</v>
      </c>
      <c r="Q290">
        <v>2</v>
      </c>
      <c r="R290" t="s">
        <v>29</v>
      </c>
      <c r="S290">
        <v>13</v>
      </c>
      <c r="T290">
        <v>3</v>
      </c>
      <c r="U290">
        <v>4</v>
      </c>
      <c r="V290">
        <v>1</v>
      </c>
      <c r="W290">
        <v>5</v>
      </c>
      <c r="X290">
        <v>2</v>
      </c>
      <c r="Y290">
        <v>3</v>
      </c>
      <c r="Z290">
        <v>3</v>
      </c>
      <c r="AA290">
        <v>2</v>
      </c>
      <c r="AB290">
        <v>0</v>
      </c>
      <c r="AC290">
        <v>2</v>
      </c>
      <c r="AD290">
        <f>IF(HR_Data[[#This Row],[Attrition]]="Yes",1,0)</f>
        <v>1</v>
      </c>
      <c r="AE290" t="str">
        <f>IF(HR_Data[[#This Row],[Age]]&lt;=25,"18-25",IF(HR_Data[[#This Row],[Age]]&lt;=35,"26-35",IF(HR_Data[[#This Row],[Age]]&lt;=45,"36-45",IF(HR_Data[[#This Row],[Age]]&lt;=55,"46-55","55+"))))</f>
        <v>26-35</v>
      </c>
      <c r="AF290">
        <f>IF(HR_Data[[#This Row],[Age]]&lt;=25,1,IF(HR_Data[[#This Row],[Age]]&lt;=35,2,IF(HR_Data[[#This Row],[Age]]&lt;=45,3,IF(HR_Data[[#This Row],[Age]]&lt;=55,4,5))))</f>
        <v>2</v>
      </c>
      <c r="AG290" s="1" t="str">
        <f>IF(HR_Data[[#This Row],[MonthlyIncome]]&lt;3000,"&lt;3K",IF(HR_Data[[#This Row],[MonthlyIncome]]&lt;6000,"3K-6K",IF(HR_Data[[#This Row],[MonthlyIncome]]&lt;10000,"6K-10K","10K+")))</f>
        <v>&lt;3K</v>
      </c>
      <c r="AH290" s="1">
        <f>IF(HR_Data[[#This Row],[MonthlyIncome]]&lt;3000,1,IF(HR_Data[[#This Row],[MonthlyIncome]]&lt;6000,2,IF(HR_Data[[#This Row],[MonthlyIncome]]&lt;10000,3,4)))</f>
        <v>1</v>
      </c>
      <c r="AI290" s="1" t="str">
        <f>IF(HR_Data[[#This Row],[YearsAtCompany]]&lt;=2,"0-2 Yrs",IF(HR_Data[[#This Row],[YearsAtCompany]]&lt;=5,"3-5 Yrs",IF(HR_Data[[#This Row],[YearsAtCompany]]&lt;=10,"6-10 Yrs","10+ Yrs")))</f>
        <v>3-5 Yrs</v>
      </c>
      <c r="AJ290" s="1">
        <f>IF(HR_Data[[#This Row],[YearsAtCompany]]&lt;=2,1,IF(HR_Data[[#This Row],[YearsAtCompany]]&lt;=5,2,IF(HR_Data[[#This Row],[YearsAtCompany]]&lt;=10,3,4)))</f>
        <v>2</v>
      </c>
      <c r="AK290" s="1" t="str">
        <f>CHOOSE(HR_Data[[#This Row],[Education]],"Below College","College","Bachelor","Master","Doctor")</f>
        <v>Master</v>
      </c>
      <c r="AL290" s="1" t="str">
        <f>CHOOSE(HR_Data[[#This Row],[JobSatisfaction]],"Low","Medium","High","Very High")</f>
        <v>Medium</v>
      </c>
      <c r="AM290" s="1" t="str">
        <f>CHOOSE(HR_Data[[#This Row],[EnvironmentSatisfaction]],"Low","Medium","High","Very High")</f>
        <v>Low</v>
      </c>
      <c r="AN290" s="1" t="str">
        <f>CHOOSE(HR_Data[[#This Row],[WorkLifeBalance]],"Bad","Good","Better","Best")</f>
        <v>Better</v>
      </c>
      <c r="AO290" s="1" t="str">
        <f>IF(HR_Data[[#This Row],[PercentSalaryHike]]&lt;=13,"11-13%",IF(HR_Data[[#This Row],[PercentSalaryHike]]&lt;=16,"14-16%",IF(HR_Data[[#This Row],[PercentSalaryHike]]&lt;=19,"17-19%","20-25%")))</f>
        <v>11-13%</v>
      </c>
      <c r="AP290" s="1">
        <f>IF(HR_Data[[#This Row],[PercentSalaryHike]]&lt;=13,1,IF(HR_Data[[#This Row],[PercentSalaryHike]]&lt;=16,2,IF(HR_Data[[#This Row],[PercentSalaryHike]]&lt;=19,3,4)))</f>
        <v>1</v>
      </c>
      <c r="AQ290" s="1" t="str">
        <f>IF(HR_Data[[#This Row],[DistanceFromHome]]&lt;=5,"1 to 5",IF(HR_Data[[#This Row],[DistanceFromHome]]&lt;=10,"6 to 10",IF(HR_Data[[#This Row],[DistanceFromHome]]&lt;=20,"11 to 20","21 to 29")))</f>
        <v>11 to 20</v>
      </c>
      <c r="AR290" s="1">
        <f>IF(HR_Data[[#This Row],[DistanceFromHome]]&lt;=5,1,IF(HR_Data[[#This Row],[DistanceFromHome]]&lt;=10,2,IF(HR_Data[[#This Row],[DistanceFromHome]]&lt;=20,3,4)))</f>
        <v>3</v>
      </c>
      <c r="AS290" s="1" t="str">
        <f>IF(HR_Data[[#This Row],[TotalWorkingYears]]&lt;=5,"0-5 Yrs",IF(HR_Data[[#This Row],[TotalWorkingYears]]&lt;=10,"6-10 Yrs",IF(HR_Data[[#This Row],[TotalWorkingYears]]&lt;=20,"11-20 Yrs","20+ Yrs")))</f>
        <v>0-5 Yrs</v>
      </c>
      <c r="AT290" s="1">
        <f>IF(HR_Data[[#This Row],[TotalWorkingYears]]&lt;=5,1,IF(HR_Data[[#This Row],[TotalWorkingYears]]&lt;=10,2,IF(HR_Data[[#This Row],[TotalWorkingYears]]&lt;=20,3,4)))</f>
        <v>1</v>
      </c>
    </row>
    <row r="291" spans="1:46" x14ac:dyDescent="0.25">
      <c r="A291">
        <v>28</v>
      </c>
      <c r="B291" t="s">
        <v>36</v>
      </c>
      <c r="C291" t="s">
        <v>30</v>
      </c>
      <c r="D291" t="s">
        <v>38</v>
      </c>
      <c r="E291">
        <v>8</v>
      </c>
      <c r="F291">
        <v>2</v>
      </c>
      <c r="G291" t="s">
        <v>32</v>
      </c>
      <c r="H291">
        <v>395</v>
      </c>
      <c r="I291">
        <v>4</v>
      </c>
      <c r="J291" t="s">
        <v>33</v>
      </c>
      <c r="K291">
        <v>3</v>
      </c>
      <c r="L291">
        <v>1</v>
      </c>
      <c r="M291" t="s">
        <v>40</v>
      </c>
      <c r="N291">
        <v>4</v>
      </c>
      <c r="O291" t="s">
        <v>35</v>
      </c>
      <c r="P291">
        <v>3310</v>
      </c>
      <c r="Q291">
        <v>1</v>
      </c>
      <c r="R291" t="s">
        <v>36</v>
      </c>
      <c r="S291">
        <v>21</v>
      </c>
      <c r="T291">
        <v>4</v>
      </c>
      <c r="U291">
        <v>4</v>
      </c>
      <c r="V291">
        <v>0</v>
      </c>
      <c r="W291">
        <v>5</v>
      </c>
      <c r="X291">
        <v>3</v>
      </c>
      <c r="Y291">
        <v>3</v>
      </c>
      <c r="Z291">
        <v>5</v>
      </c>
      <c r="AA291">
        <v>3</v>
      </c>
      <c r="AB291">
        <v>0</v>
      </c>
      <c r="AC291">
        <v>2</v>
      </c>
      <c r="AD291">
        <f>IF(HR_Data[[#This Row],[Attrition]]="Yes",1,0)</f>
        <v>0</v>
      </c>
      <c r="AE291" t="str">
        <f>IF(HR_Data[[#This Row],[Age]]&lt;=25,"18-25",IF(HR_Data[[#This Row],[Age]]&lt;=35,"26-35",IF(HR_Data[[#This Row],[Age]]&lt;=45,"36-45",IF(HR_Data[[#This Row],[Age]]&lt;=55,"46-55","55+"))))</f>
        <v>26-35</v>
      </c>
      <c r="AF291">
        <f>IF(HR_Data[[#This Row],[Age]]&lt;=25,1,IF(HR_Data[[#This Row],[Age]]&lt;=35,2,IF(HR_Data[[#This Row],[Age]]&lt;=45,3,IF(HR_Data[[#This Row],[Age]]&lt;=55,4,5))))</f>
        <v>2</v>
      </c>
      <c r="AG291" s="1" t="str">
        <f>IF(HR_Data[[#This Row],[MonthlyIncome]]&lt;3000,"&lt;3K",IF(HR_Data[[#This Row],[MonthlyIncome]]&lt;6000,"3K-6K",IF(HR_Data[[#This Row],[MonthlyIncome]]&lt;10000,"6K-10K","10K+")))</f>
        <v>3K-6K</v>
      </c>
      <c r="AH291" s="1">
        <f>IF(HR_Data[[#This Row],[MonthlyIncome]]&lt;3000,1,IF(HR_Data[[#This Row],[MonthlyIncome]]&lt;6000,2,IF(HR_Data[[#This Row],[MonthlyIncome]]&lt;10000,3,4)))</f>
        <v>2</v>
      </c>
      <c r="AI291" s="1" t="str">
        <f>IF(HR_Data[[#This Row],[YearsAtCompany]]&lt;=2,"0-2 Yrs",IF(HR_Data[[#This Row],[YearsAtCompany]]&lt;=5,"3-5 Yrs",IF(HR_Data[[#This Row],[YearsAtCompany]]&lt;=10,"6-10 Yrs","10+ Yrs")))</f>
        <v>3-5 Yrs</v>
      </c>
      <c r="AJ291" s="1">
        <f>IF(HR_Data[[#This Row],[YearsAtCompany]]&lt;=2,1,IF(HR_Data[[#This Row],[YearsAtCompany]]&lt;=5,2,IF(HR_Data[[#This Row],[YearsAtCompany]]&lt;=10,3,4)))</f>
        <v>2</v>
      </c>
      <c r="AK291" s="1" t="str">
        <f>CHOOSE(HR_Data[[#This Row],[Education]],"Below College","College","Bachelor","Master","Doctor")</f>
        <v>College</v>
      </c>
      <c r="AL291" s="1" t="str">
        <f>CHOOSE(HR_Data[[#This Row],[JobSatisfaction]],"Low","Medium","High","Very High")</f>
        <v>Very High</v>
      </c>
      <c r="AM291" s="1" t="str">
        <f>CHOOSE(HR_Data[[#This Row],[EnvironmentSatisfaction]],"Low","Medium","High","Very High")</f>
        <v>Very High</v>
      </c>
      <c r="AN291" s="1" t="str">
        <f>CHOOSE(HR_Data[[#This Row],[WorkLifeBalance]],"Bad","Good","Better","Best")</f>
        <v>Better</v>
      </c>
      <c r="AO291" s="1" t="str">
        <f>IF(HR_Data[[#This Row],[PercentSalaryHike]]&lt;=13,"11-13%",IF(HR_Data[[#This Row],[PercentSalaryHike]]&lt;=16,"14-16%",IF(HR_Data[[#This Row],[PercentSalaryHike]]&lt;=19,"17-19%","20-25%")))</f>
        <v>20-25%</v>
      </c>
      <c r="AP291" s="1">
        <f>IF(HR_Data[[#This Row],[PercentSalaryHike]]&lt;=13,1,IF(HR_Data[[#This Row],[PercentSalaryHike]]&lt;=16,2,IF(HR_Data[[#This Row],[PercentSalaryHike]]&lt;=19,3,4)))</f>
        <v>4</v>
      </c>
      <c r="AQ291" s="1" t="str">
        <f>IF(HR_Data[[#This Row],[DistanceFromHome]]&lt;=5,"1 to 5",IF(HR_Data[[#This Row],[DistanceFromHome]]&lt;=10,"6 to 10",IF(HR_Data[[#This Row],[DistanceFromHome]]&lt;=20,"11 to 20","21 to 29")))</f>
        <v>6 to 10</v>
      </c>
      <c r="AR291" s="1">
        <f>IF(HR_Data[[#This Row],[DistanceFromHome]]&lt;=5,1,IF(HR_Data[[#This Row],[DistanceFromHome]]&lt;=10,2,IF(HR_Data[[#This Row],[DistanceFromHome]]&lt;=20,3,4)))</f>
        <v>2</v>
      </c>
      <c r="AS291" s="1" t="str">
        <f>IF(HR_Data[[#This Row],[TotalWorkingYears]]&lt;=5,"0-5 Yrs",IF(HR_Data[[#This Row],[TotalWorkingYears]]&lt;=10,"6-10 Yrs",IF(HR_Data[[#This Row],[TotalWorkingYears]]&lt;=20,"11-20 Yrs","20+ Yrs")))</f>
        <v>0-5 Yrs</v>
      </c>
      <c r="AT291" s="1">
        <f>IF(HR_Data[[#This Row],[TotalWorkingYears]]&lt;=5,1,IF(HR_Data[[#This Row],[TotalWorkingYears]]&lt;=10,2,IF(HR_Data[[#This Row],[TotalWorkingYears]]&lt;=20,3,4)))</f>
        <v>1</v>
      </c>
    </row>
    <row r="292" spans="1:46" x14ac:dyDescent="0.25">
      <c r="A292">
        <v>49</v>
      </c>
      <c r="B292" t="s">
        <v>36</v>
      </c>
      <c r="C292" t="s">
        <v>37</v>
      </c>
      <c r="D292" t="s">
        <v>38</v>
      </c>
      <c r="E292">
        <v>10</v>
      </c>
      <c r="F292">
        <v>4</v>
      </c>
      <c r="G292" t="s">
        <v>32</v>
      </c>
      <c r="H292">
        <v>396</v>
      </c>
      <c r="I292">
        <v>3</v>
      </c>
      <c r="J292" t="s">
        <v>33</v>
      </c>
      <c r="K292">
        <v>3</v>
      </c>
      <c r="L292">
        <v>5</v>
      </c>
      <c r="M292" t="s">
        <v>51</v>
      </c>
      <c r="N292">
        <v>1</v>
      </c>
      <c r="O292" t="s">
        <v>35</v>
      </c>
      <c r="P292">
        <v>18665</v>
      </c>
      <c r="Q292">
        <v>9</v>
      </c>
      <c r="R292" t="s">
        <v>29</v>
      </c>
      <c r="S292">
        <v>11</v>
      </c>
      <c r="T292">
        <v>3</v>
      </c>
      <c r="U292">
        <v>4</v>
      </c>
      <c r="V292">
        <v>0</v>
      </c>
      <c r="W292">
        <v>22</v>
      </c>
      <c r="X292">
        <v>4</v>
      </c>
      <c r="Y292">
        <v>3</v>
      </c>
      <c r="Z292">
        <v>3</v>
      </c>
      <c r="AA292">
        <v>2</v>
      </c>
      <c r="AB292">
        <v>1</v>
      </c>
      <c r="AC292">
        <v>2</v>
      </c>
      <c r="AD292">
        <f>IF(HR_Data[[#This Row],[Attrition]]="Yes",1,0)</f>
        <v>0</v>
      </c>
      <c r="AE292" t="str">
        <f>IF(HR_Data[[#This Row],[Age]]&lt;=25,"18-25",IF(HR_Data[[#This Row],[Age]]&lt;=35,"26-35",IF(HR_Data[[#This Row],[Age]]&lt;=45,"36-45",IF(HR_Data[[#This Row],[Age]]&lt;=55,"46-55","55+"))))</f>
        <v>46-55</v>
      </c>
      <c r="AF292">
        <f>IF(HR_Data[[#This Row],[Age]]&lt;=25,1,IF(HR_Data[[#This Row],[Age]]&lt;=35,2,IF(HR_Data[[#This Row],[Age]]&lt;=45,3,IF(HR_Data[[#This Row],[Age]]&lt;=55,4,5))))</f>
        <v>4</v>
      </c>
      <c r="AG292" s="1" t="str">
        <f>IF(HR_Data[[#This Row],[MonthlyIncome]]&lt;3000,"&lt;3K",IF(HR_Data[[#This Row],[MonthlyIncome]]&lt;6000,"3K-6K",IF(HR_Data[[#This Row],[MonthlyIncome]]&lt;10000,"6K-10K","10K+")))</f>
        <v>10K+</v>
      </c>
      <c r="AH292" s="1">
        <f>IF(HR_Data[[#This Row],[MonthlyIncome]]&lt;3000,1,IF(HR_Data[[#This Row],[MonthlyIncome]]&lt;6000,2,IF(HR_Data[[#This Row],[MonthlyIncome]]&lt;10000,3,4)))</f>
        <v>4</v>
      </c>
      <c r="AI292" s="1" t="str">
        <f>IF(HR_Data[[#This Row],[YearsAtCompany]]&lt;=2,"0-2 Yrs",IF(HR_Data[[#This Row],[YearsAtCompany]]&lt;=5,"3-5 Yrs",IF(HR_Data[[#This Row],[YearsAtCompany]]&lt;=10,"6-10 Yrs","10+ Yrs")))</f>
        <v>3-5 Yrs</v>
      </c>
      <c r="AJ292" s="1">
        <f>IF(HR_Data[[#This Row],[YearsAtCompany]]&lt;=2,1,IF(HR_Data[[#This Row],[YearsAtCompany]]&lt;=5,2,IF(HR_Data[[#This Row],[YearsAtCompany]]&lt;=10,3,4)))</f>
        <v>2</v>
      </c>
      <c r="AK292" s="1" t="str">
        <f>CHOOSE(HR_Data[[#This Row],[Education]],"Below College","College","Bachelor","Master","Doctor")</f>
        <v>Master</v>
      </c>
      <c r="AL292" s="1" t="str">
        <f>CHOOSE(HR_Data[[#This Row],[JobSatisfaction]],"Low","Medium","High","Very High")</f>
        <v>Low</v>
      </c>
      <c r="AM292" s="1" t="str">
        <f>CHOOSE(HR_Data[[#This Row],[EnvironmentSatisfaction]],"Low","Medium","High","Very High")</f>
        <v>High</v>
      </c>
      <c r="AN292" s="1" t="str">
        <f>CHOOSE(HR_Data[[#This Row],[WorkLifeBalance]],"Bad","Good","Better","Best")</f>
        <v>Better</v>
      </c>
      <c r="AO292" s="1" t="str">
        <f>IF(HR_Data[[#This Row],[PercentSalaryHike]]&lt;=13,"11-13%",IF(HR_Data[[#This Row],[PercentSalaryHike]]&lt;=16,"14-16%",IF(HR_Data[[#This Row],[PercentSalaryHike]]&lt;=19,"17-19%","20-25%")))</f>
        <v>11-13%</v>
      </c>
      <c r="AP292" s="1">
        <f>IF(HR_Data[[#This Row],[PercentSalaryHike]]&lt;=13,1,IF(HR_Data[[#This Row],[PercentSalaryHike]]&lt;=16,2,IF(HR_Data[[#This Row],[PercentSalaryHike]]&lt;=19,3,4)))</f>
        <v>1</v>
      </c>
      <c r="AQ292" s="1" t="str">
        <f>IF(HR_Data[[#This Row],[DistanceFromHome]]&lt;=5,"1 to 5",IF(HR_Data[[#This Row],[DistanceFromHome]]&lt;=10,"6 to 10",IF(HR_Data[[#This Row],[DistanceFromHome]]&lt;=20,"11 to 20","21 to 29")))</f>
        <v>6 to 10</v>
      </c>
      <c r="AR292" s="1">
        <f>IF(HR_Data[[#This Row],[DistanceFromHome]]&lt;=5,1,IF(HR_Data[[#This Row],[DistanceFromHome]]&lt;=10,2,IF(HR_Data[[#This Row],[DistanceFromHome]]&lt;=20,3,4)))</f>
        <v>2</v>
      </c>
      <c r="AS292" s="1" t="str">
        <f>IF(HR_Data[[#This Row],[TotalWorkingYears]]&lt;=5,"0-5 Yrs",IF(HR_Data[[#This Row],[TotalWorkingYears]]&lt;=10,"6-10 Yrs",IF(HR_Data[[#This Row],[TotalWorkingYears]]&lt;=20,"11-20 Yrs","20+ Yrs")))</f>
        <v>20+ Yrs</v>
      </c>
      <c r="AT292" s="1">
        <f>IF(HR_Data[[#This Row],[TotalWorkingYears]]&lt;=5,1,IF(HR_Data[[#This Row],[TotalWorkingYears]]&lt;=10,2,IF(HR_Data[[#This Row],[TotalWorkingYears]]&lt;=20,3,4)))</f>
        <v>4</v>
      </c>
    </row>
    <row r="293" spans="1:46" x14ac:dyDescent="0.25">
      <c r="A293">
        <v>36</v>
      </c>
      <c r="B293" t="s">
        <v>36</v>
      </c>
      <c r="C293" t="s">
        <v>30</v>
      </c>
      <c r="D293" t="s">
        <v>38</v>
      </c>
      <c r="E293">
        <v>3</v>
      </c>
      <c r="F293">
        <v>3</v>
      </c>
      <c r="G293" t="s">
        <v>53</v>
      </c>
      <c r="H293">
        <v>397</v>
      </c>
      <c r="I293">
        <v>3</v>
      </c>
      <c r="J293" t="s">
        <v>39</v>
      </c>
      <c r="K293">
        <v>3</v>
      </c>
      <c r="L293">
        <v>2</v>
      </c>
      <c r="M293" t="s">
        <v>40</v>
      </c>
      <c r="N293">
        <v>2</v>
      </c>
      <c r="O293" t="s">
        <v>35</v>
      </c>
      <c r="P293">
        <v>4485</v>
      </c>
      <c r="Q293">
        <v>4</v>
      </c>
      <c r="R293" t="s">
        <v>36</v>
      </c>
      <c r="S293">
        <v>12</v>
      </c>
      <c r="T293">
        <v>3</v>
      </c>
      <c r="U293">
        <v>4</v>
      </c>
      <c r="V293">
        <v>0</v>
      </c>
      <c r="W293">
        <v>10</v>
      </c>
      <c r="X293">
        <v>2</v>
      </c>
      <c r="Y293">
        <v>3</v>
      </c>
      <c r="Z293">
        <v>8</v>
      </c>
      <c r="AA293">
        <v>0</v>
      </c>
      <c r="AB293">
        <v>7</v>
      </c>
      <c r="AC293">
        <v>7</v>
      </c>
      <c r="AD293">
        <f>IF(HR_Data[[#This Row],[Attrition]]="Yes",1,0)</f>
        <v>0</v>
      </c>
      <c r="AE293" t="str">
        <f>IF(HR_Data[[#This Row],[Age]]&lt;=25,"18-25",IF(HR_Data[[#This Row],[Age]]&lt;=35,"26-35",IF(HR_Data[[#This Row],[Age]]&lt;=45,"36-45",IF(HR_Data[[#This Row],[Age]]&lt;=55,"46-55","55+"))))</f>
        <v>36-45</v>
      </c>
      <c r="AF293">
        <f>IF(HR_Data[[#This Row],[Age]]&lt;=25,1,IF(HR_Data[[#This Row],[Age]]&lt;=35,2,IF(HR_Data[[#This Row],[Age]]&lt;=45,3,IF(HR_Data[[#This Row],[Age]]&lt;=55,4,5))))</f>
        <v>3</v>
      </c>
      <c r="AG293" s="1" t="str">
        <f>IF(HR_Data[[#This Row],[MonthlyIncome]]&lt;3000,"&lt;3K",IF(HR_Data[[#This Row],[MonthlyIncome]]&lt;6000,"3K-6K",IF(HR_Data[[#This Row],[MonthlyIncome]]&lt;10000,"6K-10K","10K+")))</f>
        <v>3K-6K</v>
      </c>
      <c r="AH293" s="1">
        <f>IF(HR_Data[[#This Row],[MonthlyIncome]]&lt;3000,1,IF(HR_Data[[#This Row],[MonthlyIncome]]&lt;6000,2,IF(HR_Data[[#This Row],[MonthlyIncome]]&lt;10000,3,4)))</f>
        <v>2</v>
      </c>
      <c r="AI293" s="1" t="str">
        <f>IF(HR_Data[[#This Row],[YearsAtCompany]]&lt;=2,"0-2 Yrs",IF(HR_Data[[#This Row],[YearsAtCompany]]&lt;=5,"3-5 Yrs",IF(HR_Data[[#This Row],[YearsAtCompany]]&lt;=10,"6-10 Yrs","10+ Yrs")))</f>
        <v>6-10 Yrs</v>
      </c>
      <c r="AJ293" s="1">
        <f>IF(HR_Data[[#This Row],[YearsAtCompany]]&lt;=2,1,IF(HR_Data[[#This Row],[YearsAtCompany]]&lt;=5,2,IF(HR_Data[[#This Row],[YearsAtCompany]]&lt;=10,3,4)))</f>
        <v>3</v>
      </c>
      <c r="AK293" s="1" t="str">
        <f>CHOOSE(HR_Data[[#This Row],[Education]],"Below College","College","Bachelor","Master","Doctor")</f>
        <v>Bachelor</v>
      </c>
      <c r="AL293" s="1" t="str">
        <f>CHOOSE(HR_Data[[#This Row],[JobSatisfaction]],"Low","Medium","High","Very High")</f>
        <v>Medium</v>
      </c>
      <c r="AM293" s="1" t="str">
        <f>CHOOSE(HR_Data[[#This Row],[EnvironmentSatisfaction]],"Low","Medium","High","Very High")</f>
        <v>High</v>
      </c>
      <c r="AN293" s="1" t="str">
        <f>CHOOSE(HR_Data[[#This Row],[WorkLifeBalance]],"Bad","Good","Better","Best")</f>
        <v>Better</v>
      </c>
      <c r="AO293" s="1" t="str">
        <f>IF(HR_Data[[#This Row],[PercentSalaryHike]]&lt;=13,"11-13%",IF(HR_Data[[#This Row],[PercentSalaryHike]]&lt;=16,"14-16%",IF(HR_Data[[#This Row],[PercentSalaryHike]]&lt;=19,"17-19%","20-25%")))</f>
        <v>11-13%</v>
      </c>
      <c r="AP293" s="1">
        <f>IF(HR_Data[[#This Row],[PercentSalaryHike]]&lt;=13,1,IF(HR_Data[[#This Row],[PercentSalaryHike]]&lt;=16,2,IF(HR_Data[[#This Row],[PercentSalaryHike]]&lt;=19,3,4)))</f>
        <v>1</v>
      </c>
      <c r="AQ293" s="1" t="str">
        <f>IF(HR_Data[[#This Row],[DistanceFromHome]]&lt;=5,"1 to 5",IF(HR_Data[[#This Row],[DistanceFromHome]]&lt;=10,"6 to 10",IF(HR_Data[[#This Row],[DistanceFromHome]]&lt;=20,"11 to 20","21 to 29")))</f>
        <v>1 to 5</v>
      </c>
      <c r="AR293" s="1">
        <f>IF(HR_Data[[#This Row],[DistanceFromHome]]&lt;=5,1,IF(HR_Data[[#This Row],[DistanceFromHome]]&lt;=10,2,IF(HR_Data[[#This Row],[DistanceFromHome]]&lt;=20,3,4)))</f>
        <v>1</v>
      </c>
      <c r="AS293" s="1" t="str">
        <f>IF(HR_Data[[#This Row],[TotalWorkingYears]]&lt;=5,"0-5 Yrs",IF(HR_Data[[#This Row],[TotalWorkingYears]]&lt;=10,"6-10 Yrs",IF(HR_Data[[#This Row],[TotalWorkingYears]]&lt;=20,"11-20 Yrs","20+ Yrs")))</f>
        <v>6-10 Yrs</v>
      </c>
      <c r="AT293" s="1">
        <f>IF(HR_Data[[#This Row],[TotalWorkingYears]]&lt;=5,1,IF(HR_Data[[#This Row],[TotalWorkingYears]]&lt;=10,2,IF(HR_Data[[#This Row],[TotalWorkingYears]]&lt;=20,3,4)))</f>
        <v>2</v>
      </c>
    </row>
    <row r="294" spans="1:46" x14ac:dyDescent="0.25">
      <c r="A294">
        <v>31</v>
      </c>
      <c r="B294" t="s">
        <v>36</v>
      </c>
      <c r="C294" t="s">
        <v>37</v>
      </c>
      <c r="D294" t="s">
        <v>31</v>
      </c>
      <c r="E294">
        <v>5</v>
      </c>
      <c r="F294">
        <v>3</v>
      </c>
      <c r="G294" t="s">
        <v>52</v>
      </c>
      <c r="H294">
        <v>399</v>
      </c>
      <c r="I294">
        <v>4</v>
      </c>
      <c r="J294" t="s">
        <v>33</v>
      </c>
      <c r="K294">
        <v>3</v>
      </c>
      <c r="L294">
        <v>1</v>
      </c>
      <c r="M294" t="s">
        <v>50</v>
      </c>
      <c r="N294">
        <v>2</v>
      </c>
      <c r="O294" t="s">
        <v>45</v>
      </c>
      <c r="P294">
        <v>2789</v>
      </c>
      <c r="Q294">
        <v>1</v>
      </c>
      <c r="R294" t="s">
        <v>36</v>
      </c>
      <c r="S294">
        <v>11</v>
      </c>
      <c r="T294">
        <v>3</v>
      </c>
      <c r="U294">
        <v>3</v>
      </c>
      <c r="V294">
        <v>1</v>
      </c>
      <c r="W294">
        <v>2</v>
      </c>
      <c r="X294">
        <v>5</v>
      </c>
      <c r="Y294">
        <v>2</v>
      </c>
      <c r="Z294">
        <v>2</v>
      </c>
      <c r="AA294">
        <v>2</v>
      </c>
      <c r="AB294">
        <v>2</v>
      </c>
      <c r="AC294">
        <v>2</v>
      </c>
      <c r="AD294">
        <f>IF(HR_Data[[#This Row],[Attrition]]="Yes",1,0)</f>
        <v>0</v>
      </c>
      <c r="AE294" t="str">
        <f>IF(HR_Data[[#This Row],[Age]]&lt;=25,"18-25",IF(HR_Data[[#This Row],[Age]]&lt;=35,"26-35",IF(HR_Data[[#This Row],[Age]]&lt;=45,"36-45",IF(HR_Data[[#This Row],[Age]]&lt;=55,"46-55","55+"))))</f>
        <v>26-35</v>
      </c>
      <c r="AF294">
        <f>IF(HR_Data[[#This Row],[Age]]&lt;=25,1,IF(HR_Data[[#This Row],[Age]]&lt;=35,2,IF(HR_Data[[#This Row],[Age]]&lt;=45,3,IF(HR_Data[[#This Row],[Age]]&lt;=55,4,5))))</f>
        <v>2</v>
      </c>
      <c r="AG294" s="1" t="str">
        <f>IF(HR_Data[[#This Row],[MonthlyIncome]]&lt;3000,"&lt;3K",IF(HR_Data[[#This Row],[MonthlyIncome]]&lt;6000,"3K-6K",IF(HR_Data[[#This Row],[MonthlyIncome]]&lt;10000,"6K-10K","10K+")))</f>
        <v>&lt;3K</v>
      </c>
      <c r="AH294" s="1">
        <f>IF(HR_Data[[#This Row],[MonthlyIncome]]&lt;3000,1,IF(HR_Data[[#This Row],[MonthlyIncome]]&lt;6000,2,IF(HR_Data[[#This Row],[MonthlyIncome]]&lt;10000,3,4)))</f>
        <v>1</v>
      </c>
      <c r="AI294" s="1" t="str">
        <f>IF(HR_Data[[#This Row],[YearsAtCompany]]&lt;=2,"0-2 Yrs",IF(HR_Data[[#This Row],[YearsAtCompany]]&lt;=5,"3-5 Yrs",IF(HR_Data[[#This Row],[YearsAtCompany]]&lt;=10,"6-10 Yrs","10+ Yrs")))</f>
        <v>0-2 Yrs</v>
      </c>
      <c r="AJ294" s="1">
        <f>IF(HR_Data[[#This Row],[YearsAtCompany]]&lt;=2,1,IF(HR_Data[[#This Row],[YearsAtCompany]]&lt;=5,2,IF(HR_Data[[#This Row],[YearsAtCompany]]&lt;=10,3,4)))</f>
        <v>1</v>
      </c>
      <c r="AK294" s="1" t="str">
        <f>CHOOSE(HR_Data[[#This Row],[Education]],"Below College","College","Bachelor","Master","Doctor")</f>
        <v>Bachelor</v>
      </c>
      <c r="AL294" s="1" t="str">
        <f>CHOOSE(HR_Data[[#This Row],[JobSatisfaction]],"Low","Medium","High","Very High")</f>
        <v>Medium</v>
      </c>
      <c r="AM294" s="1" t="str">
        <f>CHOOSE(HR_Data[[#This Row],[EnvironmentSatisfaction]],"Low","Medium","High","Very High")</f>
        <v>Very High</v>
      </c>
      <c r="AN294" s="1" t="str">
        <f>CHOOSE(HR_Data[[#This Row],[WorkLifeBalance]],"Bad","Good","Better","Best")</f>
        <v>Good</v>
      </c>
      <c r="AO294" s="1" t="str">
        <f>IF(HR_Data[[#This Row],[PercentSalaryHike]]&lt;=13,"11-13%",IF(HR_Data[[#This Row],[PercentSalaryHike]]&lt;=16,"14-16%",IF(HR_Data[[#This Row],[PercentSalaryHike]]&lt;=19,"17-19%","20-25%")))</f>
        <v>11-13%</v>
      </c>
      <c r="AP294" s="1">
        <f>IF(HR_Data[[#This Row],[PercentSalaryHike]]&lt;=13,1,IF(HR_Data[[#This Row],[PercentSalaryHike]]&lt;=16,2,IF(HR_Data[[#This Row],[PercentSalaryHike]]&lt;=19,3,4)))</f>
        <v>1</v>
      </c>
      <c r="AQ294" s="1" t="str">
        <f>IF(HR_Data[[#This Row],[DistanceFromHome]]&lt;=5,"1 to 5",IF(HR_Data[[#This Row],[DistanceFromHome]]&lt;=10,"6 to 10",IF(HR_Data[[#This Row],[DistanceFromHome]]&lt;=20,"11 to 20","21 to 29")))</f>
        <v>1 to 5</v>
      </c>
      <c r="AR294" s="1">
        <f>IF(HR_Data[[#This Row],[DistanceFromHome]]&lt;=5,1,IF(HR_Data[[#This Row],[DistanceFromHome]]&lt;=10,2,IF(HR_Data[[#This Row],[DistanceFromHome]]&lt;=20,3,4)))</f>
        <v>1</v>
      </c>
      <c r="AS294" s="1" t="str">
        <f>IF(HR_Data[[#This Row],[TotalWorkingYears]]&lt;=5,"0-5 Yrs",IF(HR_Data[[#This Row],[TotalWorkingYears]]&lt;=10,"6-10 Yrs",IF(HR_Data[[#This Row],[TotalWorkingYears]]&lt;=20,"11-20 Yrs","20+ Yrs")))</f>
        <v>0-5 Yrs</v>
      </c>
      <c r="AT294" s="1">
        <f>IF(HR_Data[[#This Row],[TotalWorkingYears]]&lt;=5,1,IF(HR_Data[[#This Row],[TotalWorkingYears]]&lt;=10,2,IF(HR_Data[[#This Row],[TotalWorkingYears]]&lt;=20,3,4)))</f>
        <v>1</v>
      </c>
    </row>
    <row r="295" spans="1:46" x14ac:dyDescent="0.25">
      <c r="A295">
        <v>26</v>
      </c>
      <c r="B295" t="s">
        <v>29</v>
      </c>
      <c r="C295" t="s">
        <v>30</v>
      </c>
      <c r="D295" t="s">
        <v>31</v>
      </c>
      <c r="E295">
        <v>4</v>
      </c>
      <c r="F295">
        <v>4</v>
      </c>
      <c r="G295" t="s">
        <v>52</v>
      </c>
      <c r="H295">
        <v>401</v>
      </c>
      <c r="I295">
        <v>4</v>
      </c>
      <c r="J295" t="s">
        <v>39</v>
      </c>
      <c r="K295">
        <v>2</v>
      </c>
      <c r="L295">
        <v>2</v>
      </c>
      <c r="M295" t="s">
        <v>34</v>
      </c>
      <c r="N295">
        <v>4</v>
      </c>
      <c r="O295" t="s">
        <v>35</v>
      </c>
      <c r="P295">
        <v>5828</v>
      </c>
      <c r="Q295">
        <v>1</v>
      </c>
      <c r="R295" t="s">
        <v>29</v>
      </c>
      <c r="S295">
        <v>12</v>
      </c>
      <c r="T295">
        <v>3</v>
      </c>
      <c r="U295">
        <v>2</v>
      </c>
      <c r="V295">
        <v>0</v>
      </c>
      <c r="W295">
        <v>8</v>
      </c>
      <c r="X295">
        <v>0</v>
      </c>
      <c r="Y295">
        <v>3</v>
      </c>
      <c r="Z295">
        <v>8</v>
      </c>
      <c r="AA295">
        <v>7</v>
      </c>
      <c r="AB295">
        <v>7</v>
      </c>
      <c r="AC295">
        <v>4</v>
      </c>
      <c r="AD295">
        <f>IF(HR_Data[[#This Row],[Attrition]]="Yes",1,0)</f>
        <v>1</v>
      </c>
      <c r="AE295" t="str">
        <f>IF(HR_Data[[#This Row],[Age]]&lt;=25,"18-25",IF(HR_Data[[#This Row],[Age]]&lt;=35,"26-35",IF(HR_Data[[#This Row],[Age]]&lt;=45,"36-45",IF(HR_Data[[#This Row],[Age]]&lt;=55,"46-55","55+"))))</f>
        <v>26-35</v>
      </c>
      <c r="AF295">
        <f>IF(HR_Data[[#This Row],[Age]]&lt;=25,1,IF(HR_Data[[#This Row],[Age]]&lt;=35,2,IF(HR_Data[[#This Row],[Age]]&lt;=45,3,IF(HR_Data[[#This Row],[Age]]&lt;=55,4,5))))</f>
        <v>2</v>
      </c>
      <c r="AG295" s="1" t="str">
        <f>IF(HR_Data[[#This Row],[MonthlyIncome]]&lt;3000,"&lt;3K",IF(HR_Data[[#This Row],[MonthlyIncome]]&lt;6000,"3K-6K",IF(HR_Data[[#This Row],[MonthlyIncome]]&lt;10000,"6K-10K","10K+")))</f>
        <v>3K-6K</v>
      </c>
      <c r="AH295" s="1">
        <f>IF(HR_Data[[#This Row],[MonthlyIncome]]&lt;3000,1,IF(HR_Data[[#This Row],[MonthlyIncome]]&lt;6000,2,IF(HR_Data[[#This Row],[MonthlyIncome]]&lt;10000,3,4)))</f>
        <v>2</v>
      </c>
      <c r="AI295" s="1" t="str">
        <f>IF(HR_Data[[#This Row],[YearsAtCompany]]&lt;=2,"0-2 Yrs",IF(HR_Data[[#This Row],[YearsAtCompany]]&lt;=5,"3-5 Yrs",IF(HR_Data[[#This Row],[YearsAtCompany]]&lt;=10,"6-10 Yrs","10+ Yrs")))</f>
        <v>6-10 Yrs</v>
      </c>
      <c r="AJ295" s="1">
        <f>IF(HR_Data[[#This Row],[YearsAtCompany]]&lt;=2,1,IF(HR_Data[[#This Row],[YearsAtCompany]]&lt;=5,2,IF(HR_Data[[#This Row],[YearsAtCompany]]&lt;=10,3,4)))</f>
        <v>3</v>
      </c>
      <c r="AK295" s="1" t="str">
        <f>CHOOSE(HR_Data[[#This Row],[Education]],"Below College","College","Bachelor","Master","Doctor")</f>
        <v>Master</v>
      </c>
      <c r="AL295" s="1" t="str">
        <f>CHOOSE(HR_Data[[#This Row],[JobSatisfaction]],"Low","Medium","High","Very High")</f>
        <v>Very High</v>
      </c>
      <c r="AM295" s="1" t="str">
        <f>CHOOSE(HR_Data[[#This Row],[EnvironmentSatisfaction]],"Low","Medium","High","Very High")</f>
        <v>Very High</v>
      </c>
      <c r="AN295" s="1" t="str">
        <f>CHOOSE(HR_Data[[#This Row],[WorkLifeBalance]],"Bad","Good","Better","Best")</f>
        <v>Better</v>
      </c>
      <c r="AO295" s="1" t="str">
        <f>IF(HR_Data[[#This Row],[PercentSalaryHike]]&lt;=13,"11-13%",IF(HR_Data[[#This Row],[PercentSalaryHike]]&lt;=16,"14-16%",IF(HR_Data[[#This Row],[PercentSalaryHike]]&lt;=19,"17-19%","20-25%")))</f>
        <v>11-13%</v>
      </c>
      <c r="AP295" s="1">
        <f>IF(HR_Data[[#This Row],[PercentSalaryHike]]&lt;=13,1,IF(HR_Data[[#This Row],[PercentSalaryHike]]&lt;=16,2,IF(HR_Data[[#This Row],[PercentSalaryHike]]&lt;=19,3,4)))</f>
        <v>1</v>
      </c>
      <c r="AQ295" s="1" t="str">
        <f>IF(HR_Data[[#This Row],[DistanceFromHome]]&lt;=5,"1 to 5",IF(HR_Data[[#This Row],[DistanceFromHome]]&lt;=10,"6 to 10",IF(HR_Data[[#This Row],[DistanceFromHome]]&lt;=20,"11 to 20","21 to 29")))</f>
        <v>1 to 5</v>
      </c>
      <c r="AR295" s="1">
        <f>IF(HR_Data[[#This Row],[DistanceFromHome]]&lt;=5,1,IF(HR_Data[[#This Row],[DistanceFromHome]]&lt;=10,2,IF(HR_Data[[#This Row],[DistanceFromHome]]&lt;=20,3,4)))</f>
        <v>1</v>
      </c>
      <c r="AS295" s="1" t="str">
        <f>IF(HR_Data[[#This Row],[TotalWorkingYears]]&lt;=5,"0-5 Yrs",IF(HR_Data[[#This Row],[TotalWorkingYears]]&lt;=10,"6-10 Yrs",IF(HR_Data[[#This Row],[TotalWorkingYears]]&lt;=20,"11-20 Yrs","20+ Yrs")))</f>
        <v>6-10 Yrs</v>
      </c>
      <c r="AT295" s="1">
        <f>IF(HR_Data[[#This Row],[TotalWorkingYears]]&lt;=5,1,IF(HR_Data[[#This Row],[TotalWorkingYears]]&lt;=10,2,IF(HR_Data[[#This Row],[TotalWorkingYears]]&lt;=20,3,4)))</f>
        <v>2</v>
      </c>
    </row>
    <row r="296" spans="1:46" x14ac:dyDescent="0.25">
      <c r="A296">
        <v>37</v>
      </c>
      <c r="B296" t="s">
        <v>36</v>
      </c>
      <c r="C296" t="s">
        <v>37</v>
      </c>
      <c r="D296" t="s">
        <v>38</v>
      </c>
      <c r="E296">
        <v>9</v>
      </c>
      <c r="F296">
        <v>3</v>
      </c>
      <c r="G296" t="s">
        <v>44</v>
      </c>
      <c r="H296">
        <v>403</v>
      </c>
      <c r="I296">
        <v>2</v>
      </c>
      <c r="J296" t="s">
        <v>39</v>
      </c>
      <c r="K296">
        <v>3</v>
      </c>
      <c r="L296">
        <v>1</v>
      </c>
      <c r="M296" t="s">
        <v>40</v>
      </c>
      <c r="N296">
        <v>4</v>
      </c>
      <c r="O296" t="s">
        <v>41</v>
      </c>
      <c r="P296">
        <v>2326</v>
      </c>
      <c r="Q296">
        <v>1</v>
      </c>
      <c r="R296" t="s">
        <v>29</v>
      </c>
      <c r="S296">
        <v>12</v>
      </c>
      <c r="T296">
        <v>3</v>
      </c>
      <c r="U296">
        <v>3</v>
      </c>
      <c r="V296">
        <v>3</v>
      </c>
      <c r="W296">
        <v>4</v>
      </c>
      <c r="X296">
        <v>3</v>
      </c>
      <c r="Y296">
        <v>2</v>
      </c>
      <c r="Z296">
        <v>4</v>
      </c>
      <c r="AA296">
        <v>2</v>
      </c>
      <c r="AB296">
        <v>1</v>
      </c>
      <c r="AC296">
        <v>2</v>
      </c>
      <c r="AD296">
        <f>IF(HR_Data[[#This Row],[Attrition]]="Yes",1,0)</f>
        <v>0</v>
      </c>
      <c r="AE296" t="str">
        <f>IF(HR_Data[[#This Row],[Age]]&lt;=25,"18-25",IF(HR_Data[[#This Row],[Age]]&lt;=35,"26-35",IF(HR_Data[[#This Row],[Age]]&lt;=45,"36-45",IF(HR_Data[[#This Row],[Age]]&lt;=55,"46-55","55+"))))</f>
        <v>36-45</v>
      </c>
      <c r="AF296">
        <f>IF(HR_Data[[#This Row],[Age]]&lt;=25,1,IF(HR_Data[[#This Row],[Age]]&lt;=35,2,IF(HR_Data[[#This Row],[Age]]&lt;=45,3,IF(HR_Data[[#This Row],[Age]]&lt;=55,4,5))))</f>
        <v>3</v>
      </c>
      <c r="AG296" s="1" t="str">
        <f>IF(HR_Data[[#This Row],[MonthlyIncome]]&lt;3000,"&lt;3K",IF(HR_Data[[#This Row],[MonthlyIncome]]&lt;6000,"3K-6K",IF(HR_Data[[#This Row],[MonthlyIncome]]&lt;10000,"6K-10K","10K+")))</f>
        <v>&lt;3K</v>
      </c>
      <c r="AH296" s="1">
        <f>IF(HR_Data[[#This Row],[MonthlyIncome]]&lt;3000,1,IF(HR_Data[[#This Row],[MonthlyIncome]]&lt;6000,2,IF(HR_Data[[#This Row],[MonthlyIncome]]&lt;10000,3,4)))</f>
        <v>1</v>
      </c>
      <c r="AI296" s="1" t="str">
        <f>IF(HR_Data[[#This Row],[YearsAtCompany]]&lt;=2,"0-2 Yrs",IF(HR_Data[[#This Row],[YearsAtCompany]]&lt;=5,"3-5 Yrs",IF(HR_Data[[#This Row],[YearsAtCompany]]&lt;=10,"6-10 Yrs","10+ Yrs")))</f>
        <v>3-5 Yrs</v>
      </c>
      <c r="AJ296" s="1">
        <f>IF(HR_Data[[#This Row],[YearsAtCompany]]&lt;=2,1,IF(HR_Data[[#This Row],[YearsAtCompany]]&lt;=5,2,IF(HR_Data[[#This Row],[YearsAtCompany]]&lt;=10,3,4)))</f>
        <v>2</v>
      </c>
      <c r="AK296" s="1" t="str">
        <f>CHOOSE(HR_Data[[#This Row],[Education]],"Below College","College","Bachelor","Master","Doctor")</f>
        <v>Bachelor</v>
      </c>
      <c r="AL296" s="1" t="str">
        <f>CHOOSE(HR_Data[[#This Row],[JobSatisfaction]],"Low","Medium","High","Very High")</f>
        <v>Very High</v>
      </c>
      <c r="AM296" s="1" t="str">
        <f>CHOOSE(HR_Data[[#This Row],[EnvironmentSatisfaction]],"Low","Medium","High","Very High")</f>
        <v>Medium</v>
      </c>
      <c r="AN296" s="1" t="str">
        <f>CHOOSE(HR_Data[[#This Row],[WorkLifeBalance]],"Bad","Good","Better","Best")</f>
        <v>Good</v>
      </c>
      <c r="AO296" s="1" t="str">
        <f>IF(HR_Data[[#This Row],[PercentSalaryHike]]&lt;=13,"11-13%",IF(HR_Data[[#This Row],[PercentSalaryHike]]&lt;=16,"14-16%",IF(HR_Data[[#This Row],[PercentSalaryHike]]&lt;=19,"17-19%","20-25%")))</f>
        <v>11-13%</v>
      </c>
      <c r="AP296" s="1">
        <f>IF(HR_Data[[#This Row],[PercentSalaryHike]]&lt;=13,1,IF(HR_Data[[#This Row],[PercentSalaryHike]]&lt;=16,2,IF(HR_Data[[#This Row],[PercentSalaryHike]]&lt;=19,3,4)))</f>
        <v>1</v>
      </c>
      <c r="AQ296" s="1" t="str">
        <f>IF(HR_Data[[#This Row],[DistanceFromHome]]&lt;=5,"1 to 5",IF(HR_Data[[#This Row],[DistanceFromHome]]&lt;=10,"6 to 10",IF(HR_Data[[#This Row],[DistanceFromHome]]&lt;=20,"11 to 20","21 to 29")))</f>
        <v>6 to 10</v>
      </c>
      <c r="AR296" s="1">
        <f>IF(HR_Data[[#This Row],[DistanceFromHome]]&lt;=5,1,IF(HR_Data[[#This Row],[DistanceFromHome]]&lt;=10,2,IF(HR_Data[[#This Row],[DistanceFromHome]]&lt;=20,3,4)))</f>
        <v>2</v>
      </c>
      <c r="AS296" s="1" t="str">
        <f>IF(HR_Data[[#This Row],[TotalWorkingYears]]&lt;=5,"0-5 Yrs",IF(HR_Data[[#This Row],[TotalWorkingYears]]&lt;=10,"6-10 Yrs",IF(HR_Data[[#This Row],[TotalWorkingYears]]&lt;=20,"11-20 Yrs","20+ Yrs")))</f>
        <v>0-5 Yrs</v>
      </c>
      <c r="AT296" s="1">
        <f>IF(HR_Data[[#This Row],[TotalWorkingYears]]&lt;=5,1,IF(HR_Data[[#This Row],[TotalWorkingYears]]&lt;=10,2,IF(HR_Data[[#This Row],[TotalWorkingYears]]&lt;=20,3,4)))</f>
        <v>1</v>
      </c>
    </row>
    <row r="297" spans="1:46" x14ac:dyDescent="0.25">
      <c r="A297">
        <v>42</v>
      </c>
      <c r="B297" t="s">
        <v>36</v>
      </c>
      <c r="C297" t="s">
        <v>37</v>
      </c>
      <c r="D297" t="s">
        <v>31</v>
      </c>
      <c r="E297">
        <v>26</v>
      </c>
      <c r="F297">
        <v>3</v>
      </c>
      <c r="G297" t="s">
        <v>52</v>
      </c>
      <c r="H297">
        <v>404</v>
      </c>
      <c r="I297">
        <v>3</v>
      </c>
      <c r="J297" t="s">
        <v>33</v>
      </c>
      <c r="K297">
        <v>3</v>
      </c>
      <c r="L297">
        <v>4</v>
      </c>
      <c r="M297" t="s">
        <v>34</v>
      </c>
      <c r="N297">
        <v>2</v>
      </c>
      <c r="O297" t="s">
        <v>41</v>
      </c>
      <c r="P297">
        <v>13525</v>
      </c>
      <c r="Q297">
        <v>5</v>
      </c>
      <c r="R297" t="s">
        <v>36</v>
      </c>
      <c r="S297">
        <v>14</v>
      </c>
      <c r="T297">
        <v>3</v>
      </c>
      <c r="U297">
        <v>4</v>
      </c>
      <c r="V297">
        <v>1</v>
      </c>
      <c r="W297">
        <v>23</v>
      </c>
      <c r="X297">
        <v>2</v>
      </c>
      <c r="Y297">
        <v>4</v>
      </c>
      <c r="Z297">
        <v>20</v>
      </c>
      <c r="AA297">
        <v>4</v>
      </c>
      <c r="AB297">
        <v>4</v>
      </c>
      <c r="AC297">
        <v>8</v>
      </c>
      <c r="AD297">
        <f>IF(HR_Data[[#This Row],[Attrition]]="Yes",1,0)</f>
        <v>0</v>
      </c>
      <c r="AE297" t="str">
        <f>IF(HR_Data[[#This Row],[Age]]&lt;=25,"18-25",IF(HR_Data[[#This Row],[Age]]&lt;=35,"26-35",IF(HR_Data[[#This Row],[Age]]&lt;=45,"36-45",IF(HR_Data[[#This Row],[Age]]&lt;=55,"46-55","55+"))))</f>
        <v>36-45</v>
      </c>
      <c r="AF297">
        <f>IF(HR_Data[[#This Row],[Age]]&lt;=25,1,IF(HR_Data[[#This Row],[Age]]&lt;=35,2,IF(HR_Data[[#This Row],[Age]]&lt;=45,3,IF(HR_Data[[#This Row],[Age]]&lt;=55,4,5))))</f>
        <v>3</v>
      </c>
      <c r="AG297" s="1" t="str">
        <f>IF(HR_Data[[#This Row],[MonthlyIncome]]&lt;3000,"&lt;3K",IF(HR_Data[[#This Row],[MonthlyIncome]]&lt;6000,"3K-6K",IF(HR_Data[[#This Row],[MonthlyIncome]]&lt;10000,"6K-10K","10K+")))</f>
        <v>10K+</v>
      </c>
      <c r="AH297" s="1">
        <f>IF(HR_Data[[#This Row],[MonthlyIncome]]&lt;3000,1,IF(HR_Data[[#This Row],[MonthlyIncome]]&lt;6000,2,IF(HR_Data[[#This Row],[MonthlyIncome]]&lt;10000,3,4)))</f>
        <v>4</v>
      </c>
      <c r="AI297" s="1" t="str">
        <f>IF(HR_Data[[#This Row],[YearsAtCompany]]&lt;=2,"0-2 Yrs",IF(HR_Data[[#This Row],[YearsAtCompany]]&lt;=5,"3-5 Yrs",IF(HR_Data[[#This Row],[YearsAtCompany]]&lt;=10,"6-10 Yrs","10+ Yrs")))</f>
        <v>10+ Yrs</v>
      </c>
      <c r="AJ297" s="1">
        <f>IF(HR_Data[[#This Row],[YearsAtCompany]]&lt;=2,1,IF(HR_Data[[#This Row],[YearsAtCompany]]&lt;=5,2,IF(HR_Data[[#This Row],[YearsAtCompany]]&lt;=10,3,4)))</f>
        <v>4</v>
      </c>
      <c r="AK297" s="1" t="str">
        <f>CHOOSE(HR_Data[[#This Row],[Education]],"Below College","College","Bachelor","Master","Doctor")</f>
        <v>Bachelor</v>
      </c>
      <c r="AL297" s="1" t="str">
        <f>CHOOSE(HR_Data[[#This Row],[JobSatisfaction]],"Low","Medium","High","Very High")</f>
        <v>Medium</v>
      </c>
      <c r="AM297" s="1" t="str">
        <f>CHOOSE(HR_Data[[#This Row],[EnvironmentSatisfaction]],"Low","Medium","High","Very High")</f>
        <v>High</v>
      </c>
      <c r="AN297" s="1" t="str">
        <f>CHOOSE(HR_Data[[#This Row],[WorkLifeBalance]],"Bad","Good","Better","Best")</f>
        <v>Best</v>
      </c>
      <c r="AO297" s="1" t="str">
        <f>IF(HR_Data[[#This Row],[PercentSalaryHike]]&lt;=13,"11-13%",IF(HR_Data[[#This Row],[PercentSalaryHike]]&lt;=16,"14-16%",IF(HR_Data[[#This Row],[PercentSalaryHike]]&lt;=19,"17-19%","20-25%")))</f>
        <v>14-16%</v>
      </c>
      <c r="AP297" s="1">
        <f>IF(HR_Data[[#This Row],[PercentSalaryHike]]&lt;=13,1,IF(HR_Data[[#This Row],[PercentSalaryHike]]&lt;=16,2,IF(HR_Data[[#This Row],[PercentSalaryHike]]&lt;=19,3,4)))</f>
        <v>2</v>
      </c>
      <c r="AQ297" s="1" t="str">
        <f>IF(HR_Data[[#This Row],[DistanceFromHome]]&lt;=5,"1 to 5",IF(HR_Data[[#This Row],[DistanceFromHome]]&lt;=10,"6 to 10",IF(HR_Data[[#This Row],[DistanceFromHome]]&lt;=20,"11 to 20","21 to 29")))</f>
        <v>21 to 29</v>
      </c>
      <c r="AR297" s="1">
        <f>IF(HR_Data[[#This Row],[DistanceFromHome]]&lt;=5,1,IF(HR_Data[[#This Row],[DistanceFromHome]]&lt;=10,2,IF(HR_Data[[#This Row],[DistanceFromHome]]&lt;=20,3,4)))</f>
        <v>4</v>
      </c>
      <c r="AS297" s="1" t="str">
        <f>IF(HR_Data[[#This Row],[TotalWorkingYears]]&lt;=5,"0-5 Yrs",IF(HR_Data[[#This Row],[TotalWorkingYears]]&lt;=10,"6-10 Yrs",IF(HR_Data[[#This Row],[TotalWorkingYears]]&lt;=20,"11-20 Yrs","20+ Yrs")))</f>
        <v>20+ Yrs</v>
      </c>
      <c r="AT297" s="1">
        <f>IF(HR_Data[[#This Row],[TotalWorkingYears]]&lt;=5,1,IF(HR_Data[[#This Row],[TotalWorkingYears]]&lt;=10,2,IF(HR_Data[[#This Row],[TotalWorkingYears]]&lt;=20,3,4)))</f>
        <v>4</v>
      </c>
    </row>
    <row r="298" spans="1:46" x14ac:dyDescent="0.25">
      <c r="A298">
        <v>18</v>
      </c>
      <c r="B298" t="s">
        <v>29</v>
      </c>
      <c r="C298" t="s">
        <v>30</v>
      </c>
      <c r="D298" t="s">
        <v>38</v>
      </c>
      <c r="E298">
        <v>3</v>
      </c>
      <c r="F298">
        <v>3</v>
      </c>
      <c r="G298" t="s">
        <v>32</v>
      </c>
      <c r="H298">
        <v>405</v>
      </c>
      <c r="I298">
        <v>3</v>
      </c>
      <c r="J298" t="s">
        <v>39</v>
      </c>
      <c r="K298">
        <v>3</v>
      </c>
      <c r="L298">
        <v>1</v>
      </c>
      <c r="M298" t="s">
        <v>43</v>
      </c>
      <c r="N298">
        <v>3</v>
      </c>
      <c r="O298" t="s">
        <v>35</v>
      </c>
      <c r="P298">
        <v>1420</v>
      </c>
      <c r="Q298">
        <v>1</v>
      </c>
      <c r="R298" t="s">
        <v>36</v>
      </c>
      <c r="S298">
        <v>13</v>
      </c>
      <c r="T298">
        <v>3</v>
      </c>
      <c r="U298">
        <v>3</v>
      </c>
      <c r="V298">
        <v>0</v>
      </c>
      <c r="W298">
        <v>0</v>
      </c>
      <c r="X298">
        <v>2</v>
      </c>
      <c r="Y298">
        <v>3</v>
      </c>
      <c r="Z298">
        <v>0</v>
      </c>
      <c r="AA298">
        <v>0</v>
      </c>
      <c r="AB298">
        <v>0</v>
      </c>
      <c r="AC298">
        <v>0</v>
      </c>
      <c r="AD298">
        <f>IF(HR_Data[[#This Row],[Attrition]]="Yes",1,0)</f>
        <v>1</v>
      </c>
      <c r="AE298" t="str">
        <f>IF(HR_Data[[#This Row],[Age]]&lt;=25,"18-25",IF(HR_Data[[#This Row],[Age]]&lt;=35,"26-35",IF(HR_Data[[#This Row],[Age]]&lt;=45,"36-45",IF(HR_Data[[#This Row],[Age]]&lt;=55,"46-55","55+"))))</f>
        <v>18-25</v>
      </c>
      <c r="AF298">
        <f>IF(HR_Data[[#This Row],[Age]]&lt;=25,1,IF(HR_Data[[#This Row],[Age]]&lt;=35,2,IF(HR_Data[[#This Row],[Age]]&lt;=45,3,IF(HR_Data[[#This Row],[Age]]&lt;=55,4,5))))</f>
        <v>1</v>
      </c>
      <c r="AG298" s="1" t="str">
        <f>IF(HR_Data[[#This Row],[MonthlyIncome]]&lt;3000,"&lt;3K",IF(HR_Data[[#This Row],[MonthlyIncome]]&lt;6000,"3K-6K",IF(HR_Data[[#This Row],[MonthlyIncome]]&lt;10000,"6K-10K","10K+")))</f>
        <v>&lt;3K</v>
      </c>
      <c r="AH298" s="1">
        <f>IF(HR_Data[[#This Row],[MonthlyIncome]]&lt;3000,1,IF(HR_Data[[#This Row],[MonthlyIncome]]&lt;6000,2,IF(HR_Data[[#This Row],[MonthlyIncome]]&lt;10000,3,4)))</f>
        <v>1</v>
      </c>
      <c r="AI298" s="1" t="str">
        <f>IF(HR_Data[[#This Row],[YearsAtCompany]]&lt;=2,"0-2 Yrs",IF(HR_Data[[#This Row],[YearsAtCompany]]&lt;=5,"3-5 Yrs",IF(HR_Data[[#This Row],[YearsAtCompany]]&lt;=10,"6-10 Yrs","10+ Yrs")))</f>
        <v>0-2 Yrs</v>
      </c>
      <c r="AJ298" s="1">
        <f>IF(HR_Data[[#This Row],[YearsAtCompany]]&lt;=2,1,IF(HR_Data[[#This Row],[YearsAtCompany]]&lt;=5,2,IF(HR_Data[[#This Row],[YearsAtCompany]]&lt;=10,3,4)))</f>
        <v>1</v>
      </c>
      <c r="AK298" s="1" t="str">
        <f>CHOOSE(HR_Data[[#This Row],[Education]],"Below College","College","Bachelor","Master","Doctor")</f>
        <v>Bachelor</v>
      </c>
      <c r="AL298" s="1" t="str">
        <f>CHOOSE(HR_Data[[#This Row],[JobSatisfaction]],"Low","Medium","High","Very High")</f>
        <v>High</v>
      </c>
      <c r="AM298" s="1" t="str">
        <f>CHOOSE(HR_Data[[#This Row],[EnvironmentSatisfaction]],"Low","Medium","High","Very High")</f>
        <v>High</v>
      </c>
      <c r="AN298" s="1" t="str">
        <f>CHOOSE(HR_Data[[#This Row],[WorkLifeBalance]],"Bad","Good","Better","Best")</f>
        <v>Better</v>
      </c>
      <c r="AO298" s="1" t="str">
        <f>IF(HR_Data[[#This Row],[PercentSalaryHike]]&lt;=13,"11-13%",IF(HR_Data[[#This Row],[PercentSalaryHike]]&lt;=16,"14-16%",IF(HR_Data[[#This Row],[PercentSalaryHike]]&lt;=19,"17-19%","20-25%")))</f>
        <v>11-13%</v>
      </c>
      <c r="AP298" s="1">
        <f>IF(HR_Data[[#This Row],[PercentSalaryHike]]&lt;=13,1,IF(HR_Data[[#This Row],[PercentSalaryHike]]&lt;=16,2,IF(HR_Data[[#This Row],[PercentSalaryHike]]&lt;=19,3,4)))</f>
        <v>1</v>
      </c>
      <c r="AQ298" s="1" t="str">
        <f>IF(HR_Data[[#This Row],[DistanceFromHome]]&lt;=5,"1 to 5",IF(HR_Data[[#This Row],[DistanceFromHome]]&lt;=10,"6 to 10",IF(HR_Data[[#This Row],[DistanceFromHome]]&lt;=20,"11 to 20","21 to 29")))</f>
        <v>1 to 5</v>
      </c>
      <c r="AR298" s="1">
        <f>IF(HR_Data[[#This Row],[DistanceFromHome]]&lt;=5,1,IF(HR_Data[[#This Row],[DistanceFromHome]]&lt;=10,2,IF(HR_Data[[#This Row],[DistanceFromHome]]&lt;=20,3,4)))</f>
        <v>1</v>
      </c>
      <c r="AS298" s="1" t="str">
        <f>IF(HR_Data[[#This Row],[TotalWorkingYears]]&lt;=5,"0-5 Yrs",IF(HR_Data[[#This Row],[TotalWorkingYears]]&lt;=10,"6-10 Yrs",IF(HR_Data[[#This Row],[TotalWorkingYears]]&lt;=20,"11-20 Yrs","20+ Yrs")))</f>
        <v>0-5 Yrs</v>
      </c>
      <c r="AT298" s="1">
        <f>IF(HR_Data[[#This Row],[TotalWorkingYears]]&lt;=5,1,IF(HR_Data[[#This Row],[TotalWorkingYears]]&lt;=10,2,IF(HR_Data[[#This Row],[TotalWorkingYears]]&lt;=20,3,4)))</f>
        <v>1</v>
      </c>
    </row>
    <row r="299" spans="1:46" x14ac:dyDescent="0.25">
      <c r="A299">
        <v>35</v>
      </c>
      <c r="B299" t="s">
        <v>36</v>
      </c>
      <c r="C299" t="s">
        <v>30</v>
      </c>
      <c r="D299" t="s">
        <v>31</v>
      </c>
      <c r="E299">
        <v>16</v>
      </c>
      <c r="F299">
        <v>3</v>
      </c>
      <c r="G299" t="s">
        <v>52</v>
      </c>
      <c r="H299">
        <v>406</v>
      </c>
      <c r="I299">
        <v>3</v>
      </c>
      <c r="J299" t="s">
        <v>39</v>
      </c>
      <c r="K299">
        <v>3</v>
      </c>
      <c r="L299">
        <v>3</v>
      </c>
      <c r="M299" t="s">
        <v>34</v>
      </c>
      <c r="N299">
        <v>2</v>
      </c>
      <c r="O299" t="s">
        <v>41</v>
      </c>
      <c r="P299">
        <v>8020</v>
      </c>
      <c r="Q299">
        <v>0</v>
      </c>
      <c r="R299" t="s">
        <v>36</v>
      </c>
      <c r="S299">
        <v>15</v>
      </c>
      <c r="T299">
        <v>3</v>
      </c>
      <c r="U299">
        <v>3</v>
      </c>
      <c r="V299">
        <v>2</v>
      </c>
      <c r="W299">
        <v>12</v>
      </c>
      <c r="X299">
        <v>3</v>
      </c>
      <c r="Y299">
        <v>2</v>
      </c>
      <c r="Z299">
        <v>11</v>
      </c>
      <c r="AA299">
        <v>9</v>
      </c>
      <c r="AB299">
        <v>6</v>
      </c>
      <c r="AC299">
        <v>9</v>
      </c>
      <c r="AD299">
        <f>IF(HR_Data[[#This Row],[Attrition]]="Yes",1,0)</f>
        <v>0</v>
      </c>
      <c r="AE299" t="str">
        <f>IF(HR_Data[[#This Row],[Age]]&lt;=25,"18-25",IF(HR_Data[[#This Row],[Age]]&lt;=35,"26-35",IF(HR_Data[[#This Row],[Age]]&lt;=45,"36-45",IF(HR_Data[[#This Row],[Age]]&lt;=55,"46-55","55+"))))</f>
        <v>26-35</v>
      </c>
      <c r="AF299">
        <f>IF(HR_Data[[#This Row],[Age]]&lt;=25,1,IF(HR_Data[[#This Row],[Age]]&lt;=35,2,IF(HR_Data[[#This Row],[Age]]&lt;=45,3,IF(HR_Data[[#This Row],[Age]]&lt;=55,4,5))))</f>
        <v>2</v>
      </c>
      <c r="AG299" s="1" t="str">
        <f>IF(HR_Data[[#This Row],[MonthlyIncome]]&lt;3000,"&lt;3K",IF(HR_Data[[#This Row],[MonthlyIncome]]&lt;6000,"3K-6K",IF(HR_Data[[#This Row],[MonthlyIncome]]&lt;10000,"6K-10K","10K+")))</f>
        <v>6K-10K</v>
      </c>
      <c r="AH299" s="1">
        <f>IF(HR_Data[[#This Row],[MonthlyIncome]]&lt;3000,1,IF(HR_Data[[#This Row],[MonthlyIncome]]&lt;6000,2,IF(HR_Data[[#This Row],[MonthlyIncome]]&lt;10000,3,4)))</f>
        <v>3</v>
      </c>
      <c r="AI299" s="1" t="str">
        <f>IF(HR_Data[[#This Row],[YearsAtCompany]]&lt;=2,"0-2 Yrs",IF(HR_Data[[#This Row],[YearsAtCompany]]&lt;=5,"3-5 Yrs",IF(HR_Data[[#This Row],[YearsAtCompany]]&lt;=10,"6-10 Yrs","10+ Yrs")))</f>
        <v>10+ Yrs</v>
      </c>
      <c r="AJ299" s="1">
        <f>IF(HR_Data[[#This Row],[YearsAtCompany]]&lt;=2,1,IF(HR_Data[[#This Row],[YearsAtCompany]]&lt;=5,2,IF(HR_Data[[#This Row],[YearsAtCompany]]&lt;=10,3,4)))</f>
        <v>4</v>
      </c>
      <c r="AK299" s="1" t="str">
        <f>CHOOSE(HR_Data[[#This Row],[Education]],"Below College","College","Bachelor","Master","Doctor")</f>
        <v>Bachelor</v>
      </c>
      <c r="AL299" s="1" t="str">
        <f>CHOOSE(HR_Data[[#This Row],[JobSatisfaction]],"Low","Medium","High","Very High")</f>
        <v>Medium</v>
      </c>
      <c r="AM299" s="1" t="str">
        <f>CHOOSE(HR_Data[[#This Row],[EnvironmentSatisfaction]],"Low","Medium","High","Very High")</f>
        <v>High</v>
      </c>
      <c r="AN299" s="1" t="str">
        <f>CHOOSE(HR_Data[[#This Row],[WorkLifeBalance]],"Bad","Good","Better","Best")</f>
        <v>Good</v>
      </c>
      <c r="AO299" s="1" t="str">
        <f>IF(HR_Data[[#This Row],[PercentSalaryHike]]&lt;=13,"11-13%",IF(HR_Data[[#This Row],[PercentSalaryHike]]&lt;=16,"14-16%",IF(HR_Data[[#This Row],[PercentSalaryHike]]&lt;=19,"17-19%","20-25%")))</f>
        <v>14-16%</v>
      </c>
      <c r="AP299" s="1">
        <f>IF(HR_Data[[#This Row],[PercentSalaryHike]]&lt;=13,1,IF(HR_Data[[#This Row],[PercentSalaryHike]]&lt;=16,2,IF(HR_Data[[#This Row],[PercentSalaryHike]]&lt;=19,3,4)))</f>
        <v>2</v>
      </c>
      <c r="AQ299" s="1" t="str">
        <f>IF(HR_Data[[#This Row],[DistanceFromHome]]&lt;=5,"1 to 5",IF(HR_Data[[#This Row],[DistanceFromHome]]&lt;=10,"6 to 10",IF(HR_Data[[#This Row],[DistanceFromHome]]&lt;=20,"11 to 20","21 to 29")))</f>
        <v>11 to 20</v>
      </c>
      <c r="AR299" s="1">
        <f>IF(HR_Data[[#This Row],[DistanceFromHome]]&lt;=5,1,IF(HR_Data[[#This Row],[DistanceFromHome]]&lt;=10,2,IF(HR_Data[[#This Row],[DistanceFromHome]]&lt;=20,3,4)))</f>
        <v>3</v>
      </c>
      <c r="AS299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299" s="1">
        <f>IF(HR_Data[[#This Row],[TotalWorkingYears]]&lt;=5,1,IF(HR_Data[[#This Row],[TotalWorkingYears]]&lt;=10,2,IF(HR_Data[[#This Row],[TotalWorkingYears]]&lt;=20,3,4)))</f>
        <v>3</v>
      </c>
    </row>
    <row r="300" spans="1:46" x14ac:dyDescent="0.25">
      <c r="A300">
        <v>36</v>
      </c>
      <c r="B300" t="s">
        <v>36</v>
      </c>
      <c r="C300" t="s">
        <v>37</v>
      </c>
      <c r="D300" t="s">
        <v>38</v>
      </c>
      <c r="E300">
        <v>18</v>
      </c>
      <c r="F300">
        <v>4</v>
      </c>
      <c r="G300" t="s">
        <v>32</v>
      </c>
      <c r="H300">
        <v>407</v>
      </c>
      <c r="I300">
        <v>3</v>
      </c>
      <c r="J300" t="s">
        <v>39</v>
      </c>
      <c r="K300">
        <v>4</v>
      </c>
      <c r="L300">
        <v>1</v>
      </c>
      <c r="M300" t="s">
        <v>43</v>
      </c>
      <c r="N300">
        <v>4</v>
      </c>
      <c r="O300" t="s">
        <v>41</v>
      </c>
      <c r="P300">
        <v>3688</v>
      </c>
      <c r="Q300">
        <v>4</v>
      </c>
      <c r="R300" t="s">
        <v>36</v>
      </c>
      <c r="S300">
        <v>18</v>
      </c>
      <c r="T300">
        <v>3</v>
      </c>
      <c r="U300">
        <v>4</v>
      </c>
      <c r="V300">
        <v>2</v>
      </c>
      <c r="W300">
        <v>4</v>
      </c>
      <c r="X300">
        <v>2</v>
      </c>
      <c r="Y300">
        <v>3</v>
      </c>
      <c r="Z300">
        <v>1</v>
      </c>
      <c r="AA300">
        <v>0</v>
      </c>
      <c r="AB300">
        <v>0</v>
      </c>
      <c r="AC300">
        <v>0</v>
      </c>
      <c r="AD300">
        <f>IF(HR_Data[[#This Row],[Attrition]]="Yes",1,0)</f>
        <v>0</v>
      </c>
      <c r="AE300" t="str">
        <f>IF(HR_Data[[#This Row],[Age]]&lt;=25,"18-25",IF(HR_Data[[#This Row],[Age]]&lt;=35,"26-35",IF(HR_Data[[#This Row],[Age]]&lt;=45,"36-45",IF(HR_Data[[#This Row],[Age]]&lt;=55,"46-55","55+"))))</f>
        <v>36-45</v>
      </c>
      <c r="AF300">
        <f>IF(HR_Data[[#This Row],[Age]]&lt;=25,1,IF(HR_Data[[#This Row],[Age]]&lt;=35,2,IF(HR_Data[[#This Row],[Age]]&lt;=45,3,IF(HR_Data[[#This Row],[Age]]&lt;=55,4,5))))</f>
        <v>3</v>
      </c>
      <c r="AG300" s="1" t="str">
        <f>IF(HR_Data[[#This Row],[MonthlyIncome]]&lt;3000,"&lt;3K",IF(HR_Data[[#This Row],[MonthlyIncome]]&lt;6000,"3K-6K",IF(HR_Data[[#This Row],[MonthlyIncome]]&lt;10000,"6K-10K","10K+")))</f>
        <v>3K-6K</v>
      </c>
      <c r="AH300" s="1">
        <f>IF(HR_Data[[#This Row],[MonthlyIncome]]&lt;3000,1,IF(HR_Data[[#This Row],[MonthlyIncome]]&lt;6000,2,IF(HR_Data[[#This Row],[MonthlyIncome]]&lt;10000,3,4)))</f>
        <v>2</v>
      </c>
      <c r="AI300" s="1" t="str">
        <f>IF(HR_Data[[#This Row],[YearsAtCompany]]&lt;=2,"0-2 Yrs",IF(HR_Data[[#This Row],[YearsAtCompany]]&lt;=5,"3-5 Yrs",IF(HR_Data[[#This Row],[YearsAtCompany]]&lt;=10,"6-10 Yrs","10+ Yrs")))</f>
        <v>0-2 Yrs</v>
      </c>
      <c r="AJ300" s="1">
        <f>IF(HR_Data[[#This Row],[YearsAtCompany]]&lt;=2,1,IF(HR_Data[[#This Row],[YearsAtCompany]]&lt;=5,2,IF(HR_Data[[#This Row],[YearsAtCompany]]&lt;=10,3,4)))</f>
        <v>1</v>
      </c>
      <c r="AK300" s="1" t="str">
        <f>CHOOSE(HR_Data[[#This Row],[Education]],"Below College","College","Bachelor","Master","Doctor")</f>
        <v>Master</v>
      </c>
      <c r="AL300" s="1" t="str">
        <f>CHOOSE(HR_Data[[#This Row],[JobSatisfaction]],"Low","Medium","High","Very High")</f>
        <v>Very High</v>
      </c>
      <c r="AM300" s="1" t="str">
        <f>CHOOSE(HR_Data[[#This Row],[EnvironmentSatisfaction]],"Low","Medium","High","Very High")</f>
        <v>High</v>
      </c>
      <c r="AN300" s="1" t="str">
        <f>CHOOSE(HR_Data[[#This Row],[WorkLifeBalance]],"Bad","Good","Better","Best")</f>
        <v>Better</v>
      </c>
      <c r="AO300" s="1" t="str">
        <f>IF(HR_Data[[#This Row],[PercentSalaryHike]]&lt;=13,"11-13%",IF(HR_Data[[#This Row],[PercentSalaryHike]]&lt;=16,"14-16%",IF(HR_Data[[#This Row],[PercentSalaryHike]]&lt;=19,"17-19%","20-25%")))</f>
        <v>17-19%</v>
      </c>
      <c r="AP300" s="1">
        <f>IF(HR_Data[[#This Row],[PercentSalaryHike]]&lt;=13,1,IF(HR_Data[[#This Row],[PercentSalaryHike]]&lt;=16,2,IF(HR_Data[[#This Row],[PercentSalaryHike]]&lt;=19,3,4)))</f>
        <v>3</v>
      </c>
      <c r="AQ300" s="1" t="str">
        <f>IF(HR_Data[[#This Row],[DistanceFromHome]]&lt;=5,"1 to 5",IF(HR_Data[[#This Row],[DistanceFromHome]]&lt;=10,"6 to 10",IF(HR_Data[[#This Row],[DistanceFromHome]]&lt;=20,"11 to 20","21 to 29")))</f>
        <v>11 to 20</v>
      </c>
      <c r="AR300" s="1">
        <f>IF(HR_Data[[#This Row],[DistanceFromHome]]&lt;=5,1,IF(HR_Data[[#This Row],[DistanceFromHome]]&lt;=10,2,IF(HR_Data[[#This Row],[DistanceFromHome]]&lt;=20,3,4)))</f>
        <v>3</v>
      </c>
      <c r="AS300" s="1" t="str">
        <f>IF(HR_Data[[#This Row],[TotalWorkingYears]]&lt;=5,"0-5 Yrs",IF(HR_Data[[#This Row],[TotalWorkingYears]]&lt;=10,"6-10 Yrs",IF(HR_Data[[#This Row],[TotalWorkingYears]]&lt;=20,"11-20 Yrs","20+ Yrs")))</f>
        <v>0-5 Yrs</v>
      </c>
      <c r="AT300" s="1">
        <f>IF(HR_Data[[#This Row],[TotalWorkingYears]]&lt;=5,1,IF(HR_Data[[#This Row],[TotalWorkingYears]]&lt;=10,2,IF(HR_Data[[#This Row],[TotalWorkingYears]]&lt;=20,3,4)))</f>
        <v>1</v>
      </c>
    </row>
    <row r="301" spans="1:46" x14ac:dyDescent="0.25">
      <c r="A301">
        <v>51</v>
      </c>
      <c r="B301" t="s">
        <v>36</v>
      </c>
      <c r="C301" t="s">
        <v>30</v>
      </c>
      <c r="D301" t="s">
        <v>38</v>
      </c>
      <c r="E301">
        <v>2</v>
      </c>
      <c r="F301">
        <v>3</v>
      </c>
      <c r="G301" t="s">
        <v>44</v>
      </c>
      <c r="H301">
        <v>408</v>
      </c>
      <c r="I301">
        <v>4</v>
      </c>
      <c r="J301" t="s">
        <v>39</v>
      </c>
      <c r="K301">
        <v>1</v>
      </c>
      <c r="L301">
        <v>2</v>
      </c>
      <c r="M301" t="s">
        <v>46</v>
      </c>
      <c r="N301">
        <v>2</v>
      </c>
      <c r="O301" t="s">
        <v>45</v>
      </c>
      <c r="P301">
        <v>5482</v>
      </c>
      <c r="Q301">
        <v>5</v>
      </c>
      <c r="R301" t="s">
        <v>36</v>
      </c>
      <c r="S301">
        <v>18</v>
      </c>
      <c r="T301">
        <v>3</v>
      </c>
      <c r="U301">
        <v>4</v>
      </c>
      <c r="V301">
        <v>1</v>
      </c>
      <c r="W301">
        <v>13</v>
      </c>
      <c r="X301">
        <v>3</v>
      </c>
      <c r="Y301">
        <v>3</v>
      </c>
      <c r="Z301">
        <v>4</v>
      </c>
      <c r="AA301">
        <v>1</v>
      </c>
      <c r="AB301">
        <v>1</v>
      </c>
      <c r="AC301">
        <v>2</v>
      </c>
      <c r="AD301">
        <f>IF(HR_Data[[#This Row],[Attrition]]="Yes",1,0)</f>
        <v>0</v>
      </c>
      <c r="AE301" t="str">
        <f>IF(HR_Data[[#This Row],[Age]]&lt;=25,"18-25",IF(HR_Data[[#This Row],[Age]]&lt;=35,"26-35",IF(HR_Data[[#This Row],[Age]]&lt;=45,"36-45",IF(HR_Data[[#This Row],[Age]]&lt;=55,"46-55","55+"))))</f>
        <v>46-55</v>
      </c>
      <c r="AF301">
        <f>IF(HR_Data[[#This Row],[Age]]&lt;=25,1,IF(HR_Data[[#This Row],[Age]]&lt;=35,2,IF(HR_Data[[#This Row],[Age]]&lt;=45,3,IF(HR_Data[[#This Row],[Age]]&lt;=55,4,5))))</f>
        <v>4</v>
      </c>
      <c r="AG301" s="1" t="str">
        <f>IF(HR_Data[[#This Row],[MonthlyIncome]]&lt;3000,"&lt;3K",IF(HR_Data[[#This Row],[MonthlyIncome]]&lt;6000,"3K-6K",IF(HR_Data[[#This Row],[MonthlyIncome]]&lt;10000,"6K-10K","10K+")))</f>
        <v>3K-6K</v>
      </c>
      <c r="AH301" s="1">
        <f>IF(HR_Data[[#This Row],[MonthlyIncome]]&lt;3000,1,IF(HR_Data[[#This Row],[MonthlyIncome]]&lt;6000,2,IF(HR_Data[[#This Row],[MonthlyIncome]]&lt;10000,3,4)))</f>
        <v>2</v>
      </c>
      <c r="AI301" s="1" t="str">
        <f>IF(HR_Data[[#This Row],[YearsAtCompany]]&lt;=2,"0-2 Yrs",IF(HR_Data[[#This Row],[YearsAtCompany]]&lt;=5,"3-5 Yrs",IF(HR_Data[[#This Row],[YearsAtCompany]]&lt;=10,"6-10 Yrs","10+ Yrs")))</f>
        <v>3-5 Yrs</v>
      </c>
      <c r="AJ301" s="1">
        <f>IF(HR_Data[[#This Row],[YearsAtCompany]]&lt;=2,1,IF(HR_Data[[#This Row],[YearsAtCompany]]&lt;=5,2,IF(HR_Data[[#This Row],[YearsAtCompany]]&lt;=10,3,4)))</f>
        <v>2</v>
      </c>
      <c r="AK301" s="1" t="str">
        <f>CHOOSE(HR_Data[[#This Row],[Education]],"Below College","College","Bachelor","Master","Doctor")</f>
        <v>Bachelor</v>
      </c>
      <c r="AL301" s="1" t="str">
        <f>CHOOSE(HR_Data[[#This Row],[JobSatisfaction]],"Low","Medium","High","Very High")</f>
        <v>Medium</v>
      </c>
      <c r="AM301" s="1" t="str">
        <f>CHOOSE(HR_Data[[#This Row],[EnvironmentSatisfaction]],"Low","Medium","High","Very High")</f>
        <v>Very High</v>
      </c>
      <c r="AN301" s="1" t="str">
        <f>CHOOSE(HR_Data[[#This Row],[WorkLifeBalance]],"Bad","Good","Better","Best")</f>
        <v>Better</v>
      </c>
      <c r="AO301" s="1" t="str">
        <f>IF(HR_Data[[#This Row],[PercentSalaryHike]]&lt;=13,"11-13%",IF(HR_Data[[#This Row],[PercentSalaryHike]]&lt;=16,"14-16%",IF(HR_Data[[#This Row],[PercentSalaryHike]]&lt;=19,"17-19%","20-25%")))</f>
        <v>17-19%</v>
      </c>
      <c r="AP301" s="1">
        <f>IF(HR_Data[[#This Row],[PercentSalaryHike]]&lt;=13,1,IF(HR_Data[[#This Row],[PercentSalaryHike]]&lt;=16,2,IF(HR_Data[[#This Row],[PercentSalaryHike]]&lt;=19,3,4)))</f>
        <v>3</v>
      </c>
      <c r="AQ301" s="1" t="str">
        <f>IF(HR_Data[[#This Row],[DistanceFromHome]]&lt;=5,"1 to 5",IF(HR_Data[[#This Row],[DistanceFromHome]]&lt;=10,"6 to 10",IF(HR_Data[[#This Row],[DistanceFromHome]]&lt;=20,"11 to 20","21 to 29")))</f>
        <v>1 to 5</v>
      </c>
      <c r="AR301" s="1">
        <f>IF(HR_Data[[#This Row],[DistanceFromHome]]&lt;=5,1,IF(HR_Data[[#This Row],[DistanceFromHome]]&lt;=10,2,IF(HR_Data[[#This Row],[DistanceFromHome]]&lt;=20,3,4)))</f>
        <v>1</v>
      </c>
      <c r="AS301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301" s="1">
        <f>IF(HR_Data[[#This Row],[TotalWorkingYears]]&lt;=5,1,IF(HR_Data[[#This Row],[TotalWorkingYears]]&lt;=10,2,IF(HR_Data[[#This Row],[TotalWorkingYears]]&lt;=20,3,4)))</f>
        <v>3</v>
      </c>
    </row>
    <row r="302" spans="1:46" x14ac:dyDescent="0.25">
      <c r="A302">
        <v>41</v>
      </c>
      <c r="B302" t="s">
        <v>36</v>
      </c>
      <c r="C302" t="s">
        <v>30</v>
      </c>
      <c r="D302" t="s">
        <v>31</v>
      </c>
      <c r="E302">
        <v>2</v>
      </c>
      <c r="F302">
        <v>4</v>
      </c>
      <c r="G302" t="s">
        <v>32</v>
      </c>
      <c r="H302">
        <v>410</v>
      </c>
      <c r="I302">
        <v>4</v>
      </c>
      <c r="J302" t="s">
        <v>39</v>
      </c>
      <c r="K302">
        <v>3</v>
      </c>
      <c r="L302">
        <v>4</v>
      </c>
      <c r="M302" t="s">
        <v>49</v>
      </c>
      <c r="N302">
        <v>2</v>
      </c>
      <c r="O302" t="s">
        <v>35</v>
      </c>
      <c r="P302">
        <v>16015</v>
      </c>
      <c r="Q302">
        <v>1</v>
      </c>
      <c r="R302" t="s">
        <v>36</v>
      </c>
      <c r="S302">
        <v>19</v>
      </c>
      <c r="T302">
        <v>3</v>
      </c>
      <c r="U302">
        <v>2</v>
      </c>
      <c r="V302">
        <v>0</v>
      </c>
      <c r="W302">
        <v>22</v>
      </c>
      <c r="X302">
        <v>2</v>
      </c>
      <c r="Y302">
        <v>3</v>
      </c>
      <c r="Z302">
        <v>22</v>
      </c>
      <c r="AA302">
        <v>10</v>
      </c>
      <c r="AB302">
        <v>0</v>
      </c>
      <c r="AC302">
        <v>4</v>
      </c>
      <c r="AD302">
        <f>IF(HR_Data[[#This Row],[Attrition]]="Yes",1,0)</f>
        <v>0</v>
      </c>
      <c r="AE302" t="str">
        <f>IF(HR_Data[[#This Row],[Age]]&lt;=25,"18-25",IF(HR_Data[[#This Row],[Age]]&lt;=35,"26-35",IF(HR_Data[[#This Row],[Age]]&lt;=45,"36-45",IF(HR_Data[[#This Row],[Age]]&lt;=55,"46-55","55+"))))</f>
        <v>36-45</v>
      </c>
      <c r="AF302">
        <f>IF(HR_Data[[#This Row],[Age]]&lt;=25,1,IF(HR_Data[[#This Row],[Age]]&lt;=35,2,IF(HR_Data[[#This Row],[Age]]&lt;=45,3,IF(HR_Data[[#This Row],[Age]]&lt;=55,4,5))))</f>
        <v>3</v>
      </c>
      <c r="AG302" s="1" t="str">
        <f>IF(HR_Data[[#This Row],[MonthlyIncome]]&lt;3000,"&lt;3K",IF(HR_Data[[#This Row],[MonthlyIncome]]&lt;6000,"3K-6K",IF(HR_Data[[#This Row],[MonthlyIncome]]&lt;10000,"6K-10K","10K+")))</f>
        <v>10K+</v>
      </c>
      <c r="AH302" s="1">
        <f>IF(HR_Data[[#This Row],[MonthlyIncome]]&lt;3000,1,IF(HR_Data[[#This Row],[MonthlyIncome]]&lt;6000,2,IF(HR_Data[[#This Row],[MonthlyIncome]]&lt;10000,3,4)))</f>
        <v>4</v>
      </c>
      <c r="AI302" s="1" t="str">
        <f>IF(HR_Data[[#This Row],[YearsAtCompany]]&lt;=2,"0-2 Yrs",IF(HR_Data[[#This Row],[YearsAtCompany]]&lt;=5,"3-5 Yrs",IF(HR_Data[[#This Row],[YearsAtCompany]]&lt;=10,"6-10 Yrs","10+ Yrs")))</f>
        <v>10+ Yrs</v>
      </c>
      <c r="AJ302" s="1">
        <f>IF(HR_Data[[#This Row],[YearsAtCompany]]&lt;=2,1,IF(HR_Data[[#This Row],[YearsAtCompany]]&lt;=5,2,IF(HR_Data[[#This Row],[YearsAtCompany]]&lt;=10,3,4)))</f>
        <v>4</v>
      </c>
      <c r="AK302" s="1" t="str">
        <f>CHOOSE(HR_Data[[#This Row],[Education]],"Below College","College","Bachelor","Master","Doctor")</f>
        <v>Master</v>
      </c>
      <c r="AL302" s="1" t="str">
        <f>CHOOSE(HR_Data[[#This Row],[JobSatisfaction]],"Low","Medium","High","Very High")</f>
        <v>Medium</v>
      </c>
      <c r="AM302" s="1" t="str">
        <f>CHOOSE(HR_Data[[#This Row],[EnvironmentSatisfaction]],"Low","Medium","High","Very High")</f>
        <v>Very High</v>
      </c>
      <c r="AN302" s="1" t="str">
        <f>CHOOSE(HR_Data[[#This Row],[WorkLifeBalance]],"Bad","Good","Better","Best")</f>
        <v>Better</v>
      </c>
      <c r="AO302" s="1" t="str">
        <f>IF(HR_Data[[#This Row],[PercentSalaryHike]]&lt;=13,"11-13%",IF(HR_Data[[#This Row],[PercentSalaryHike]]&lt;=16,"14-16%",IF(HR_Data[[#This Row],[PercentSalaryHike]]&lt;=19,"17-19%","20-25%")))</f>
        <v>17-19%</v>
      </c>
      <c r="AP302" s="1">
        <f>IF(HR_Data[[#This Row],[PercentSalaryHike]]&lt;=13,1,IF(HR_Data[[#This Row],[PercentSalaryHike]]&lt;=16,2,IF(HR_Data[[#This Row],[PercentSalaryHike]]&lt;=19,3,4)))</f>
        <v>3</v>
      </c>
      <c r="AQ302" s="1" t="str">
        <f>IF(HR_Data[[#This Row],[DistanceFromHome]]&lt;=5,"1 to 5",IF(HR_Data[[#This Row],[DistanceFromHome]]&lt;=10,"6 to 10",IF(HR_Data[[#This Row],[DistanceFromHome]]&lt;=20,"11 to 20","21 to 29")))</f>
        <v>1 to 5</v>
      </c>
      <c r="AR302" s="1">
        <f>IF(HR_Data[[#This Row],[DistanceFromHome]]&lt;=5,1,IF(HR_Data[[#This Row],[DistanceFromHome]]&lt;=10,2,IF(HR_Data[[#This Row],[DistanceFromHome]]&lt;=20,3,4)))</f>
        <v>1</v>
      </c>
      <c r="AS302" s="1" t="str">
        <f>IF(HR_Data[[#This Row],[TotalWorkingYears]]&lt;=5,"0-5 Yrs",IF(HR_Data[[#This Row],[TotalWorkingYears]]&lt;=10,"6-10 Yrs",IF(HR_Data[[#This Row],[TotalWorkingYears]]&lt;=20,"11-20 Yrs","20+ Yrs")))</f>
        <v>20+ Yrs</v>
      </c>
      <c r="AT302" s="1">
        <f>IF(HR_Data[[#This Row],[TotalWorkingYears]]&lt;=5,1,IF(HR_Data[[#This Row],[TotalWorkingYears]]&lt;=10,2,IF(HR_Data[[#This Row],[TotalWorkingYears]]&lt;=20,3,4)))</f>
        <v>4</v>
      </c>
    </row>
    <row r="303" spans="1:46" x14ac:dyDescent="0.25">
      <c r="A303">
        <v>18</v>
      </c>
      <c r="B303" t="s">
        <v>36</v>
      </c>
      <c r="C303" t="s">
        <v>30</v>
      </c>
      <c r="D303" t="s">
        <v>31</v>
      </c>
      <c r="E303">
        <v>10</v>
      </c>
      <c r="F303">
        <v>3</v>
      </c>
      <c r="G303" t="s">
        <v>44</v>
      </c>
      <c r="H303">
        <v>411</v>
      </c>
      <c r="I303">
        <v>4</v>
      </c>
      <c r="J303" t="s">
        <v>33</v>
      </c>
      <c r="K303">
        <v>2</v>
      </c>
      <c r="L303">
        <v>1</v>
      </c>
      <c r="M303" t="s">
        <v>50</v>
      </c>
      <c r="N303">
        <v>3</v>
      </c>
      <c r="O303" t="s">
        <v>35</v>
      </c>
      <c r="P303">
        <v>1200</v>
      </c>
      <c r="Q303">
        <v>1</v>
      </c>
      <c r="R303" t="s">
        <v>36</v>
      </c>
      <c r="S303">
        <v>12</v>
      </c>
      <c r="T303">
        <v>3</v>
      </c>
      <c r="U303">
        <v>1</v>
      </c>
      <c r="V303">
        <v>0</v>
      </c>
      <c r="W303">
        <v>0</v>
      </c>
      <c r="X303">
        <v>2</v>
      </c>
      <c r="Y303">
        <v>3</v>
      </c>
      <c r="Z303">
        <v>0</v>
      </c>
      <c r="AA303">
        <v>0</v>
      </c>
      <c r="AB303">
        <v>0</v>
      </c>
      <c r="AC303">
        <v>0</v>
      </c>
      <c r="AD303">
        <f>IF(HR_Data[[#This Row],[Attrition]]="Yes",1,0)</f>
        <v>0</v>
      </c>
      <c r="AE303" t="str">
        <f>IF(HR_Data[[#This Row],[Age]]&lt;=25,"18-25",IF(HR_Data[[#This Row],[Age]]&lt;=35,"26-35",IF(HR_Data[[#This Row],[Age]]&lt;=45,"36-45",IF(HR_Data[[#This Row],[Age]]&lt;=55,"46-55","55+"))))</f>
        <v>18-25</v>
      </c>
      <c r="AF303">
        <f>IF(HR_Data[[#This Row],[Age]]&lt;=25,1,IF(HR_Data[[#This Row],[Age]]&lt;=35,2,IF(HR_Data[[#This Row],[Age]]&lt;=45,3,IF(HR_Data[[#This Row],[Age]]&lt;=55,4,5))))</f>
        <v>1</v>
      </c>
      <c r="AG303" s="1" t="str">
        <f>IF(HR_Data[[#This Row],[MonthlyIncome]]&lt;3000,"&lt;3K",IF(HR_Data[[#This Row],[MonthlyIncome]]&lt;6000,"3K-6K",IF(HR_Data[[#This Row],[MonthlyIncome]]&lt;10000,"6K-10K","10K+")))</f>
        <v>&lt;3K</v>
      </c>
      <c r="AH303" s="1">
        <f>IF(HR_Data[[#This Row],[MonthlyIncome]]&lt;3000,1,IF(HR_Data[[#This Row],[MonthlyIncome]]&lt;6000,2,IF(HR_Data[[#This Row],[MonthlyIncome]]&lt;10000,3,4)))</f>
        <v>1</v>
      </c>
      <c r="AI303" s="1" t="str">
        <f>IF(HR_Data[[#This Row],[YearsAtCompany]]&lt;=2,"0-2 Yrs",IF(HR_Data[[#This Row],[YearsAtCompany]]&lt;=5,"3-5 Yrs",IF(HR_Data[[#This Row],[YearsAtCompany]]&lt;=10,"6-10 Yrs","10+ Yrs")))</f>
        <v>0-2 Yrs</v>
      </c>
      <c r="AJ303" s="1">
        <f>IF(HR_Data[[#This Row],[YearsAtCompany]]&lt;=2,1,IF(HR_Data[[#This Row],[YearsAtCompany]]&lt;=5,2,IF(HR_Data[[#This Row],[YearsAtCompany]]&lt;=10,3,4)))</f>
        <v>1</v>
      </c>
      <c r="AK303" s="1" t="str">
        <f>CHOOSE(HR_Data[[#This Row],[Education]],"Below College","College","Bachelor","Master","Doctor")</f>
        <v>Bachelor</v>
      </c>
      <c r="AL303" s="1" t="str">
        <f>CHOOSE(HR_Data[[#This Row],[JobSatisfaction]],"Low","Medium","High","Very High")</f>
        <v>High</v>
      </c>
      <c r="AM303" s="1" t="str">
        <f>CHOOSE(HR_Data[[#This Row],[EnvironmentSatisfaction]],"Low","Medium","High","Very High")</f>
        <v>Very High</v>
      </c>
      <c r="AN303" s="1" t="str">
        <f>CHOOSE(HR_Data[[#This Row],[WorkLifeBalance]],"Bad","Good","Better","Best")</f>
        <v>Better</v>
      </c>
      <c r="AO303" s="1" t="str">
        <f>IF(HR_Data[[#This Row],[PercentSalaryHike]]&lt;=13,"11-13%",IF(HR_Data[[#This Row],[PercentSalaryHike]]&lt;=16,"14-16%",IF(HR_Data[[#This Row],[PercentSalaryHike]]&lt;=19,"17-19%","20-25%")))</f>
        <v>11-13%</v>
      </c>
      <c r="AP303" s="1">
        <f>IF(HR_Data[[#This Row],[PercentSalaryHike]]&lt;=13,1,IF(HR_Data[[#This Row],[PercentSalaryHike]]&lt;=16,2,IF(HR_Data[[#This Row],[PercentSalaryHike]]&lt;=19,3,4)))</f>
        <v>1</v>
      </c>
      <c r="AQ303" s="1" t="str">
        <f>IF(HR_Data[[#This Row],[DistanceFromHome]]&lt;=5,"1 to 5",IF(HR_Data[[#This Row],[DistanceFromHome]]&lt;=10,"6 to 10",IF(HR_Data[[#This Row],[DistanceFromHome]]&lt;=20,"11 to 20","21 to 29")))</f>
        <v>6 to 10</v>
      </c>
      <c r="AR303" s="1">
        <f>IF(HR_Data[[#This Row],[DistanceFromHome]]&lt;=5,1,IF(HR_Data[[#This Row],[DistanceFromHome]]&lt;=10,2,IF(HR_Data[[#This Row],[DistanceFromHome]]&lt;=20,3,4)))</f>
        <v>2</v>
      </c>
      <c r="AS303" s="1" t="str">
        <f>IF(HR_Data[[#This Row],[TotalWorkingYears]]&lt;=5,"0-5 Yrs",IF(HR_Data[[#This Row],[TotalWorkingYears]]&lt;=10,"6-10 Yrs",IF(HR_Data[[#This Row],[TotalWorkingYears]]&lt;=20,"11-20 Yrs","20+ Yrs")))</f>
        <v>0-5 Yrs</v>
      </c>
      <c r="AT303" s="1">
        <f>IF(HR_Data[[#This Row],[TotalWorkingYears]]&lt;=5,1,IF(HR_Data[[#This Row],[TotalWorkingYears]]&lt;=10,2,IF(HR_Data[[#This Row],[TotalWorkingYears]]&lt;=20,3,4)))</f>
        <v>1</v>
      </c>
    </row>
    <row r="304" spans="1:46" x14ac:dyDescent="0.25">
      <c r="A304">
        <v>28</v>
      </c>
      <c r="B304" t="s">
        <v>36</v>
      </c>
      <c r="C304" t="s">
        <v>30</v>
      </c>
      <c r="D304" t="s">
        <v>38</v>
      </c>
      <c r="E304">
        <v>16</v>
      </c>
      <c r="F304">
        <v>2</v>
      </c>
      <c r="G304" t="s">
        <v>44</v>
      </c>
      <c r="H304">
        <v>412</v>
      </c>
      <c r="I304">
        <v>2</v>
      </c>
      <c r="J304" t="s">
        <v>39</v>
      </c>
      <c r="K304">
        <v>4</v>
      </c>
      <c r="L304">
        <v>2</v>
      </c>
      <c r="M304" t="s">
        <v>47</v>
      </c>
      <c r="N304">
        <v>1</v>
      </c>
      <c r="O304" t="s">
        <v>35</v>
      </c>
      <c r="P304">
        <v>5661</v>
      </c>
      <c r="Q304">
        <v>0</v>
      </c>
      <c r="R304" t="s">
        <v>36</v>
      </c>
      <c r="S304">
        <v>19</v>
      </c>
      <c r="T304">
        <v>3</v>
      </c>
      <c r="U304">
        <v>3</v>
      </c>
      <c r="V304">
        <v>0</v>
      </c>
      <c r="W304">
        <v>9</v>
      </c>
      <c r="X304">
        <v>2</v>
      </c>
      <c r="Y304">
        <v>3</v>
      </c>
      <c r="Z304">
        <v>8</v>
      </c>
      <c r="AA304">
        <v>3</v>
      </c>
      <c r="AB304">
        <v>0</v>
      </c>
      <c r="AC304">
        <v>7</v>
      </c>
      <c r="AD304">
        <f>IF(HR_Data[[#This Row],[Attrition]]="Yes",1,0)</f>
        <v>0</v>
      </c>
      <c r="AE304" t="str">
        <f>IF(HR_Data[[#This Row],[Age]]&lt;=25,"18-25",IF(HR_Data[[#This Row],[Age]]&lt;=35,"26-35",IF(HR_Data[[#This Row],[Age]]&lt;=45,"36-45",IF(HR_Data[[#This Row],[Age]]&lt;=55,"46-55","55+"))))</f>
        <v>26-35</v>
      </c>
      <c r="AF304">
        <f>IF(HR_Data[[#This Row],[Age]]&lt;=25,1,IF(HR_Data[[#This Row],[Age]]&lt;=35,2,IF(HR_Data[[#This Row],[Age]]&lt;=45,3,IF(HR_Data[[#This Row],[Age]]&lt;=55,4,5))))</f>
        <v>2</v>
      </c>
      <c r="AG304" s="1" t="str">
        <f>IF(HR_Data[[#This Row],[MonthlyIncome]]&lt;3000,"&lt;3K",IF(HR_Data[[#This Row],[MonthlyIncome]]&lt;6000,"3K-6K",IF(HR_Data[[#This Row],[MonthlyIncome]]&lt;10000,"6K-10K","10K+")))</f>
        <v>3K-6K</v>
      </c>
      <c r="AH304" s="1">
        <f>IF(HR_Data[[#This Row],[MonthlyIncome]]&lt;3000,1,IF(HR_Data[[#This Row],[MonthlyIncome]]&lt;6000,2,IF(HR_Data[[#This Row],[MonthlyIncome]]&lt;10000,3,4)))</f>
        <v>2</v>
      </c>
      <c r="AI304" s="1" t="str">
        <f>IF(HR_Data[[#This Row],[YearsAtCompany]]&lt;=2,"0-2 Yrs",IF(HR_Data[[#This Row],[YearsAtCompany]]&lt;=5,"3-5 Yrs",IF(HR_Data[[#This Row],[YearsAtCompany]]&lt;=10,"6-10 Yrs","10+ Yrs")))</f>
        <v>6-10 Yrs</v>
      </c>
      <c r="AJ304" s="1">
        <f>IF(HR_Data[[#This Row],[YearsAtCompany]]&lt;=2,1,IF(HR_Data[[#This Row],[YearsAtCompany]]&lt;=5,2,IF(HR_Data[[#This Row],[YearsAtCompany]]&lt;=10,3,4)))</f>
        <v>3</v>
      </c>
      <c r="AK304" s="1" t="str">
        <f>CHOOSE(HR_Data[[#This Row],[Education]],"Below College","College","Bachelor","Master","Doctor")</f>
        <v>College</v>
      </c>
      <c r="AL304" s="1" t="str">
        <f>CHOOSE(HR_Data[[#This Row],[JobSatisfaction]],"Low","Medium","High","Very High")</f>
        <v>Low</v>
      </c>
      <c r="AM304" s="1" t="str">
        <f>CHOOSE(HR_Data[[#This Row],[EnvironmentSatisfaction]],"Low","Medium","High","Very High")</f>
        <v>Medium</v>
      </c>
      <c r="AN304" s="1" t="str">
        <f>CHOOSE(HR_Data[[#This Row],[WorkLifeBalance]],"Bad","Good","Better","Best")</f>
        <v>Better</v>
      </c>
      <c r="AO304" s="1" t="str">
        <f>IF(HR_Data[[#This Row],[PercentSalaryHike]]&lt;=13,"11-13%",IF(HR_Data[[#This Row],[PercentSalaryHike]]&lt;=16,"14-16%",IF(HR_Data[[#This Row],[PercentSalaryHike]]&lt;=19,"17-19%","20-25%")))</f>
        <v>17-19%</v>
      </c>
      <c r="AP304" s="1">
        <f>IF(HR_Data[[#This Row],[PercentSalaryHike]]&lt;=13,1,IF(HR_Data[[#This Row],[PercentSalaryHike]]&lt;=16,2,IF(HR_Data[[#This Row],[PercentSalaryHike]]&lt;=19,3,4)))</f>
        <v>3</v>
      </c>
      <c r="AQ304" s="1" t="str">
        <f>IF(HR_Data[[#This Row],[DistanceFromHome]]&lt;=5,"1 to 5",IF(HR_Data[[#This Row],[DistanceFromHome]]&lt;=10,"6 to 10",IF(HR_Data[[#This Row],[DistanceFromHome]]&lt;=20,"11 to 20","21 to 29")))</f>
        <v>11 to 20</v>
      </c>
      <c r="AR304" s="1">
        <f>IF(HR_Data[[#This Row],[DistanceFromHome]]&lt;=5,1,IF(HR_Data[[#This Row],[DistanceFromHome]]&lt;=10,2,IF(HR_Data[[#This Row],[DistanceFromHome]]&lt;=20,3,4)))</f>
        <v>3</v>
      </c>
      <c r="AS304" s="1" t="str">
        <f>IF(HR_Data[[#This Row],[TotalWorkingYears]]&lt;=5,"0-5 Yrs",IF(HR_Data[[#This Row],[TotalWorkingYears]]&lt;=10,"6-10 Yrs",IF(HR_Data[[#This Row],[TotalWorkingYears]]&lt;=20,"11-20 Yrs","20+ Yrs")))</f>
        <v>6-10 Yrs</v>
      </c>
      <c r="AT304" s="1">
        <f>IF(HR_Data[[#This Row],[TotalWorkingYears]]&lt;=5,1,IF(HR_Data[[#This Row],[TotalWorkingYears]]&lt;=10,2,IF(HR_Data[[#This Row],[TotalWorkingYears]]&lt;=20,3,4)))</f>
        <v>2</v>
      </c>
    </row>
    <row r="305" spans="1:46" x14ac:dyDescent="0.25">
      <c r="A305">
        <v>31</v>
      </c>
      <c r="B305" t="s">
        <v>36</v>
      </c>
      <c r="C305" t="s">
        <v>30</v>
      </c>
      <c r="D305" t="s">
        <v>31</v>
      </c>
      <c r="E305">
        <v>7</v>
      </c>
      <c r="F305">
        <v>3</v>
      </c>
      <c r="G305" t="s">
        <v>53</v>
      </c>
      <c r="H305">
        <v>416</v>
      </c>
      <c r="I305">
        <v>2</v>
      </c>
      <c r="J305" t="s">
        <v>39</v>
      </c>
      <c r="K305">
        <v>4</v>
      </c>
      <c r="L305">
        <v>2</v>
      </c>
      <c r="M305" t="s">
        <v>34</v>
      </c>
      <c r="N305">
        <v>4</v>
      </c>
      <c r="O305" t="s">
        <v>41</v>
      </c>
      <c r="P305">
        <v>6929</v>
      </c>
      <c r="Q305">
        <v>4</v>
      </c>
      <c r="R305" t="s">
        <v>36</v>
      </c>
      <c r="S305">
        <v>11</v>
      </c>
      <c r="T305">
        <v>3</v>
      </c>
      <c r="U305">
        <v>2</v>
      </c>
      <c r="V305">
        <v>1</v>
      </c>
      <c r="W305">
        <v>10</v>
      </c>
      <c r="X305">
        <v>3</v>
      </c>
      <c r="Y305">
        <v>2</v>
      </c>
      <c r="Z305">
        <v>8</v>
      </c>
      <c r="AA305">
        <v>7</v>
      </c>
      <c r="AB305">
        <v>7</v>
      </c>
      <c r="AC305">
        <v>7</v>
      </c>
      <c r="AD305">
        <f>IF(HR_Data[[#This Row],[Attrition]]="Yes",1,0)</f>
        <v>0</v>
      </c>
      <c r="AE305" t="str">
        <f>IF(HR_Data[[#This Row],[Age]]&lt;=25,"18-25",IF(HR_Data[[#This Row],[Age]]&lt;=35,"26-35",IF(HR_Data[[#This Row],[Age]]&lt;=45,"36-45",IF(HR_Data[[#This Row],[Age]]&lt;=55,"46-55","55+"))))</f>
        <v>26-35</v>
      </c>
      <c r="AF305">
        <f>IF(HR_Data[[#This Row],[Age]]&lt;=25,1,IF(HR_Data[[#This Row],[Age]]&lt;=35,2,IF(HR_Data[[#This Row],[Age]]&lt;=45,3,IF(HR_Data[[#This Row],[Age]]&lt;=55,4,5))))</f>
        <v>2</v>
      </c>
      <c r="AG305" s="1" t="str">
        <f>IF(HR_Data[[#This Row],[MonthlyIncome]]&lt;3000,"&lt;3K",IF(HR_Data[[#This Row],[MonthlyIncome]]&lt;6000,"3K-6K",IF(HR_Data[[#This Row],[MonthlyIncome]]&lt;10000,"6K-10K","10K+")))</f>
        <v>6K-10K</v>
      </c>
      <c r="AH305" s="1">
        <f>IF(HR_Data[[#This Row],[MonthlyIncome]]&lt;3000,1,IF(HR_Data[[#This Row],[MonthlyIncome]]&lt;6000,2,IF(HR_Data[[#This Row],[MonthlyIncome]]&lt;10000,3,4)))</f>
        <v>3</v>
      </c>
      <c r="AI305" s="1" t="str">
        <f>IF(HR_Data[[#This Row],[YearsAtCompany]]&lt;=2,"0-2 Yrs",IF(HR_Data[[#This Row],[YearsAtCompany]]&lt;=5,"3-5 Yrs",IF(HR_Data[[#This Row],[YearsAtCompany]]&lt;=10,"6-10 Yrs","10+ Yrs")))</f>
        <v>6-10 Yrs</v>
      </c>
      <c r="AJ305" s="1">
        <f>IF(HR_Data[[#This Row],[YearsAtCompany]]&lt;=2,1,IF(HR_Data[[#This Row],[YearsAtCompany]]&lt;=5,2,IF(HR_Data[[#This Row],[YearsAtCompany]]&lt;=10,3,4)))</f>
        <v>3</v>
      </c>
      <c r="AK305" s="1" t="str">
        <f>CHOOSE(HR_Data[[#This Row],[Education]],"Below College","College","Bachelor","Master","Doctor")</f>
        <v>Bachelor</v>
      </c>
      <c r="AL305" s="1" t="str">
        <f>CHOOSE(HR_Data[[#This Row],[JobSatisfaction]],"Low","Medium","High","Very High")</f>
        <v>Very High</v>
      </c>
      <c r="AM305" s="1" t="str">
        <f>CHOOSE(HR_Data[[#This Row],[EnvironmentSatisfaction]],"Low","Medium","High","Very High")</f>
        <v>Medium</v>
      </c>
      <c r="AN305" s="1" t="str">
        <f>CHOOSE(HR_Data[[#This Row],[WorkLifeBalance]],"Bad","Good","Better","Best")</f>
        <v>Good</v>
      </c>
      <c r="AO305" s="1" t="str">
        <f>IF(HR_Data[[#This Row],[PercentSalaryHike]]&lt;=13,"11-13%",IF(HR_Data[[#This Row],[PercentSalaryHike]]&lt;=16,"14-16%",IF(HR_Data[[#This Row],[PercentSalaryHike]]&lt;=19,"17-19%","20-25%")))</f>
        <v>11-13%</v>
      </c>
      <c r="AP305" s="1">
        <f>IF(HR_Data[[#This Row],[PercentSalaryHike]]&lt;=13,1,IF(HR_Data[[#This Row],[PercentSalaryHike]]&lt;=16,2,IF(HR_Data[[#This Row],[PercentSalaryHike]]&lt;=19,3,4)))</f>
        <v>1</v>
      </c>
      <c r="AQ305" s="1" t="str">
        <f>IF(HR_Data[[#This Row],[DistanceFromHome]]&lt;=5,"1 to 5",IF(HR_Data[[#This Row],[DistanceFromHome]]&lt;=10,"6 to 10",IF(HR_Data[[#This Row],[DistanceFromHome]]&lt;=20,"11 to 20","21 to 29")))</f>
        <v>6 to 10</v>
      </c>
      <c r="AR305" s="1">
        <f>IF(HR_Data[[#This Row],[DistanceFromHome]]&lt;=5,1,IF(HR_Data[[#This Row],[DistanceFromHome]]&lt;=10,2,IF(HR_Data[[#This Row],[DistanceFromHome]]&lt;=20,3,4)))</f>
        <v>2</v>
      </c>
      <c r="AS305" s="1" t="str">
        <f>IF(HR_Data[[#This Row],[TotalWorkingYears]]&lt;=5,"0-5 Yrs",IF(HR_Data[[#This Row],[TotalWorkingYears]]&lt;=10,"6-10 Yrs",IF(HR_Data[[#This Row],[TotalWorkingYears]]&lt;=20,"11-20 Yrs","20+ Yrs")))</f>
        <v>6-10 Yrs</v>
      </c>
      <c r="AT305" s="1">
        <f>IF(HR_Data[[#This Row],[TotalWorkingYears]]&lt;=5,1,IF(HR_Data[[#This Row],[TotalWorkingYears]]&lt;=10,2,IF(HR_Data[[#This Row],[TotalWorkingYears]]&lt;=20,3,4)))</f>
        <v>2</v>
      </c>
    </row>
    <row r="306" spans="1:46" x14ac:dyDescent="0.25">
      <c r="A306">
        <v>39</v>
      </c>
      <c r="B306" t="s">
        <v>36</v>
      </c>
      <c r="C306" t="s">
        <v>30</v>
      </c>
      <c r="D306" t="s">
        <v>38</v>
      </c>
      <c r="E306">
        <v>1</v>
      </c>
      <c r="F306">
        <v>3</v>
      </c>
      <c r="G306" t="s">
        <v>44</v>
      </c>
      <c r="H306">
        <v>417</v>
      </c>
      <c r="I306">
        <v>3</v>
      </c>
      <c r="J306" t="s">
        <v>39</v>
      </c>
      <c r="K306">
        <v>4</v>
      </c>
      <c r="L306">
        <v>3</v>
      </c>
      <c r="M306" t="s">
        <v>47</v>
      </c>
      <c r="N306">
        <v>4</v>
      </c>
      <c r="O306" t="s">
        <v>45</v>
      </c>
      <c r="P306">
        <v>9613</v>
      </c>
      <c r="Q306">
        <v>0</v>
      </c>
      <c r="R306" t="s">
        <v>36</v>
      </c>
      <c r="S306">
        <v>17</v>
      </c>
      <c r="T306">
        <v>3</v>
      </c>
      <c r="U306">
        <v>1</v>
      </c>
      <c r="V306">
        <v>3</v>
      </c>
      <c r="W306">
        <v>19</v>
      </c>
      <c r="X306">
        <v>5</v>
      </c>
      <c r="Y306">
        <v>2</v>
      </c>
      <c r="Z306">
        <v>18</v>
      </c>
      <c r="AA306">
        <v>10</v>
      </c>
      <c r="AB306">
        <v>3</v>
      </c>
      <c r="AC306">
        <v>7</v>
      </c>
      <c r="AD306">
        <f>IF(HR_Data[[#This Row],[Attrition]]="Yes",1,0)</f>
        <v>0</v>
      </c>
      <c r="AE306" t="str">
        <f>IF(HR_Data[[#This Row],[Age]]&lt;=25,"18-25",IF(HR_Data[[#This Row],[Age]]&lt;=35,"26-35",IF(HR_Data[[#This Row],[Age]]&lt;=45,"36-45",IF(HR_Data[[#This Row],[Age]]&lt;=55,"46-55","55+"))))</f>
        <v>36-45</v>
      </c>
      <c r="AF306">
        <f>IF(HR_Data[[#This Row],[Age]]&lt;=25,1,IF(HR_Data[[#This Row],[Age]]&lt;=35,2,IF(HR_Data[[#This Row],[Age]]&lt;=45,3,IF(HR_Data[[#This Row],[Age]]&lt;=55,4,5))))</f>
        <v>3</v>
      </c>
      <c r="AG306" s="1" t="str">
        <f>IF(HR_Data[[#This Row],[MonthlyIncome]]&lt;3000,"&lt;3K",IF(HR_Data[[#This Row],[MonthlyIncome]]&lt;6000,"3K-6K",IF(HR_Data[[#This Row],[MonthlyIncome]]&lt;10000,"6K-10K","10K+")))</f>
        <v>6K-10K</v>
      </c>
      <c r="AH306" s="1">
        <f>IF(HR_Data[[#This Row],[MonthlyIncome]]&lt;3000,1,IF(HR_Data[[#This Row],[MonthlyIncome]]&lt;6000,2,IF(HR_Data[[#This Row],[MonthlyIncome]]&lt;10000,3,4)))</f>
        <v>3</v>
      </c>
      <c r="AI306" s="1" t="str">
        <f>IF(HR_Data[[#This Row],[YearsAtCompany]]&lt;=2,"0-2 Yrs",IF(HR_Data[[#This Row],[YearsAtCompany]]&lt;=5,"3-5 Yrs",IF(HR_Data[[#This Row],[YearsAtCompany]]&lt;=10,"6-10 Yrs","10+ Yrs")))</f>
        <v>10+ Yrs</v>
      </c>
      <c r="AJ306" s="1">
        <f>IF(HR_Data[[#This Row],[YearsAtCompany]]&lt;=2,1,IF(HR_Data[[#This Row],[YearsAtCompany]]&lt;=5,2,IF(HR_Data[[#This Row],[YearsAtCompany]]&lt;=10,3,4)))</f>
        <v>4</v>
      </c>
      <c r="AK306" s="1" t="str">
        <f>CHOOSE(HR_Data[[#This Row],[Education]],"Below College","College","Bachelor","Master","Doctor")</f>
        <v>Bachelor</v>
      </c>
      <c r="AL306" s="1" t="str">
        <f>CHOOSE(HR_Data[[#This Row],[JobSatisfaction]],"Low","Medium","High","Very High")</f>
        <v>Very High</v>
      </c>
      <c r="AM306" s="1" t="str">
        <f>CHOOSE(HR_Data[[#This Row],[EnvironmentSatisfaction]],"Low","Medium","High","Very High")</f>
        <v>High</v>
      </c>
      <c r="AN306" s="1" t="str">
        <f>CHOOSE(HR_Data[[#This Row],[WorkLifeBalance]],"Bad","Good","Better","Best")</f>
        <v>Good</v>
      </c>
      <c r="AO306" s="1" t="str">
        <f>IF(HR_Data[[#This Row],[PercentSalaryHike]]&lt;=13,"11-13%",IF(HR_Data[[#This Row],[PercentSalaryHike]]&lt;=16,"14-16%",IF(HR_Data[[#This Row],[PercentSalaryHike]]&lt;=19,"17-19%","20-25%")))</f>
        <v>17-19%</v>
      </c>
      <c r="AP306" s="1">
        <f>IF(HR_Data[[#This Row],[PercentSalaryHike]]&lt;=13,1,IF(HR_Data[[#This Row],[PercentSalaryHike]]&lt;=16,2,IF(HR_Data[[#This Row],[PercentSalaryHike]]&lt;=19,3,4)))</f>
        <v>3</v>
      </c>
      <c r="AQ306" s="1" t="str">
        <f>IF(HR_Data[[#This Row],[DistanceFromHome]]&lt;=5,"1 to 5",IF(HR_Data[[#This Row],[DistanceFromHome]]&lt;=10,"6 to 10",IF(HR_Data[[#This Row],[DistanceFromHome]]&lt;=20,"11 to 20","21 to 29")))</f>
        <v>1 to 5</v>
      </c>
      <c r="AR306" s="1">
        <f>IF(HR_Data[[#This Row],[DistanceFromHome]]&lt;=5,1,IF(HR_Data[[#This Row],[DistanceFromHome]]&lt;=10,2,IF(HR_Data[[#This Row],[DistanceFromHome]]&lt;=20,3,4)))</f>
        <v>1</v>
      </c>
      <c r="AS306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306" s="1">
        <f>IF(HR_Data[[#This Row],[TotalWorkingYears]]&lt;=5,1,IF(HR_Data[[#This Row],[TotalWorkingYears]]&lt;=10,2,IF(HR_Data[[#This Row],[TotalWorkingYears]]&lt;=20,3,4)))</f>
        <v>3</v>
      </c>
    </row>
    <row r="307" spans="1:46" x14ac:dyDescent="0.25">
      <c r="A307">
        <v>36</v>
      </c>
      <c r="B307" t="s">
        <v>36</v>
      </c>
      <c r="C307" t="s">
        <v>48</v>
      </c>
      <c r="D307" t="s">
        <v>38</v>
      </c>
      <c r="E307">
        <v>24</v>
      </c>
      <c r="F307">
        <v>4</v>
      </c>
      <c r="G307" t="s">
        <v>32</v>
      </c>
      <c r="H307">
        <v>419</v>
      </c>
      <c r="I307">
        <v>2</v>
      </c>
      <c r="J307" t="s">
        <v>33</v>
      </c>
      <c r="K307">
        <v>3</v>
      </c>
      <c r="L307">
        <v>2</v>
      </c>
      <c r="M307" t="s">
        <v>43</v>
      </c>
      <c r="N307">
        <v>2</v>
      </c>
      <c r="O307" t="s">
        <v>41</v>
      </c>
      <c r="P307">
        <v>5674</v>
      </c>
      <c r="Q307">
        <v>7</v>
      </c>
      <c r="R307" t="s">
        <v>36</v>
      </c>
      <c r="S307">
        <v>15</v>
      </c>
      <c r="T307">
        <v>3</v>
      </c>
      <c r="U307">
        <v>3</v>
      </c>
      <c r="V307">
        <v>1</v>
      </c>
      <c r="W307">
        <v>11</v>
      </c>
      <c r="X307">
        <v>3</v>
      </c>
      <c r="Y307">
        <v>3</v>
      </c>
      <c r="Z307">
        <v>9</v>
      </c>
      <c r="AA307">
        <v>8</v>
      </c>
      <c r="AB307">
        <v>0</v>
      </c>
      <c r="AC307">
        <v>8</v>
      </c>
      <c r="AD307">
        <f>IF(HR_Data[[#This Row],[Attrition]]="Yes",1,0)</f>
        <v>0</v>
      </c>
      <c r="AE307" t="str">
        <f>IF(HR_Data[[#This Row],[Age]]&lt;=25,"18-25",IF(HR_Data[[#This Row],[Age]]&lt;=35,"26-35",IF(HR_Data[[#This Row],[Age]]&lt;=45,"36-45",IF(HR_Data[[#This Row],[Age]]&lt;=55,"46-55","55+"))))</f>
        <v>36-45</v>
      </c>
      <c r="AF307">
        <f>IF(HR_Data[[#This Row],[Age]]&lt;=25,1,IF(HR_Data[[#This Row],[Age]]&lt;=35,2,IF(HR_Data[[#This Row],[Age]]&lt;=45,3,IF(HR_Data[[#This Row],[Age]]&lt;=55,4,5))))</f>
        <v>3</v>
      </c>
      <c r="AG307" s="1" t="str">
        <f>IF(HR_Data[[#This Row],[MonthlyIncome]]&lt;3000,"&lt;3K",IF(HR_Data[[#This Row],[MonthlyIncome]]&lt;6000,"3K-6K",IF(HR_Data[[#This Row],[MonthlyIncome]]&lt;10000,"6K-10K","10K+")))</f>
        <v>3K-6K</v>
      </c>
      <c r="AH307" s="1">
        <f>IF(HR_Data[[#This Row],[MonthlyIncome]]&lt;3000,1,IF(HR_Data[[#This Row],[MonthlyIncome]]&lt;6000,2,IF(HR_Data[[#This Row],[MonthlyIncome]]&lt;10000,3,4)))</f>
        <v>2</v>
      </c>
      <c r="AI307" s="1" t="str">
        <f>IF(HR_Data[[#This Row],[YearsAtCompany]]&lt;=2,"0-2 Yrs",IF(HR_Data[[#This Row],[YearsAtCompany]]&lt;=5,"3-5 Yrs",IF(HR_Data[[#This Row],[YearsAtCompany]]&lt;=10,"6-10 Yrs","10+ Yrs")))</f>
        <v>6-10 Yrs</v>
      </c>
      <c r="AJ307" s="1">
        <f>IF(HR_Data[[#This Row],[YearsAtCompany]]&lt;=2,1,IF(HR_Data[[#This Row],[YearsAtCompany]]&lt;=5,2,IF(HR_Data[[#This Row],[YearsAtCompany]]&lt;=10,3,4)))</f>
        <v>3</v>
      </c>
      <c r="AK307" s="1" t="str">
        <f>CHOOSE(HR_Data[[#This Row],[Education]],"Below College","College","Bachelor","Master","Doctor")</f>
        <v>Master</v>
      </c>
      <c r="AL307" s="1" t="str">
        <f>CHOOSE(HR_Data[[#This Row],[JobSatisfaction]],"Low","Medium","High","Very High")</f>
        <v>Medium</v>
      </c>
      <c r="AM307" s="1" t="str">
        <f>CHOOSE(HR_Data[[#This Row],[EnvironmentSatisfaction]],"Low","Medium","High","Very High")</f>
        <v>Medium</v>
      </c>
      <c r="AN307" s="1" t="str">
        <f>CHOOSE(HR_Data[[#This Row],[WorkLifeBalance]],"Bad","Good","Better","Best")</f>
        <v>Better</v>
      </c>
      <c r="AO307" s="1" t="str">
        <f>IF(HR_Data[[#This Row],[PercentSalaryHike]]&lt;=13,"11-13%",IF(HR_Data[[#This Row],[PercentSalaryHike]]&lt;=16,"14-16%",IF(HR_Data[[#This Row],[PercentSalaryHike]]&lt;=19,"17-19%","20-25%")))</f>
        <v>14-16%</v>
      </c>
      <c r="AP307" s="1">
        <f>IF(HR_Data[[#This Row],[PercentSalaryHike]]&lt;=13,1,IF(HR_Data[[#This Row],[PercentSalaryHike]]&lt;=16,2,IF(HR_Data[[#This Row],[PercentSalaryHike]]&lt;=19,3,4)))</f>
        <v>2</v>
      </c>
      <c r="AQ307" s="1" t="str">
        <f>IF(HR_Data[[#This Row],[DistanceFromHome]]&lt;=5,"1 to 5",IF(HR_Data[[#This Row],[DistanceFromHome]]&lt;=10,"6 to 10",IF(HR_Data[[#This Row],[DistanceFromHome]]&lt;=20,"11 to 20","21 to 29")))</f>
        <v>21 to 29</v>
      </c>
      <c r="AR307" s="1">
        <f>IF(HR_Data[[#This Row],[DistanceFromHome]]&lt;=5,1,IF(HR_Data[[#This Row],[DistanceFromHome]]&lt;=10,2,IF(HR_Data[[#This Row],[DistanceFromHome]]&lt;=20,3,4)))</f>
        <v>4</v>
      </c>
      <c r="AS307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307" s="1">
        <f>IF(HR_Data[[#This Row],[TotalWorkingYears]]&lt;=5,1,IF(HR_Data[[#This Row],[TotalWorkingYears]]&lt;=10,2,IF(HR_Data[[#This Row],[TotalWorkingYears]]&lt;=20,3,4)))</f>
        <v>3</v>
      </c>
    </row>
    <row r="308" spans="1:46" x14ac:dyDescent="0.25">
      <c r="A308">
        <v>32</v>
      </c>
      <c r="B308" t="s">
        <v>36</v>
      </c>
      <c r="C308" t="s">
        <v>30</v>
      </c>
      <c r="D308" t="s">
        <v>31</v>
      </c>
      <c r="E308">
        <v>7</v>
      </c>
      <c r="F308">
        <v>3</v>
      </c>
      <c r="G308" t="s">
        <v>32</v>
      </c>
      <c r="H308">
        <v>420</v>
      </c>
      <c r="I308">
        <v>4</v>
      </c>
      <c r="J308" t="s">
        <v>39</v>
      </c>
      <c r="K308">
        <v>2</v>
      </c>
      <c r="L308">
        <v>2</v>
      </c>
      <c r="M308" t="s">
        <v>34</v>
      </c>
      <c r="N308">
        <v>3</v>
      </c>
      <c r="O308" t="s">
        <v>41</v>
      </c>
      <c r="P308">
        <v>5484</v>
      </c>
      <c r="Q308">
        <v>1</v>
      </c>
      <c r="R308" t="s">
        <v>36</v>
      </c>
      <c r="S308">
        <v>14</v>
      </c>
      <c r="T308">
        <v>3</v>
      </c>
      <c r="U308">
        <v>3</v>
      </c>
      <c r="V308">
        <v>1</v>
      </c>
      <c r="W308">
        <v>13</v>
      </c>
      <c r="X308">
        <v>3</v>
      </c>
      <c r="Y308">
        <v>2</v>
      </c>
      <c r="Z308">
        <v>13</v>
      </c>
      <c r="AA308">
        <v>8</v>
      </c>
      <c r="AB308">
        <v>4</v>
      </c>
      <c r="AC308">
        <v>8</v>
      </c>
      <c r="AD308">
        <f>IF(HR_Data[[#This Row],[Attrition]]="Yes",1,0)</f>
        <v>0</v>
      </c>
      <c r="AE308" t="str">
        <f>IF(HR_Data[[#This Row],[Age]]&lt;=25,"18-25",IF(HR_Data[[#This Row],[Age]]&lt;=35,"26-35",IF(HR_Data[[#This Row],[Age]]&lt;=45,"36-45",IF(HR_Data[[#This Row],[Age]]&lt;=55,"46-55","55+"))))</f>
        <v>26-35</v>
      </c>
      <c r="AF308">
        <f>IF(HR_Data[[#This Row],[Age]]&lt;=25,1,IF(HR_Data[[#This Row],[Age]]&lt;=35,2,IF(HR_Data[[#This Row],[Age]]&lt;=45,3,IF(HR_Data[[#This Row],[Age]]&lt;=55,4,5))))</f>
        <v>2</v>
      </c>
      <c r="AG308" s="1" t="str">
        <f>IF(HR_Data[[#This Row],[MonthlyIncome]]&lt;3000,"&lt;3K",IF(HR_Data[[#This Row],[MonthlyIncome]]&lt;6000,"3K-6K",IF(HR_Data[[#This Row],[MonthlyIncome]]&lt;10000,"6K-10K","10K+")))</f>
        <v>3K-6K</v>
      </c>
      <c r="AH308" s="1">
        <f>IF(HR_Data[[#This Row],[MonthlyIncome]]&lt;3000,1,IF(HR_Data[[#This Row],[MonthlyIncome]]&lt;6000,2,IF(HR_Data[[#This Row],[MonthlyIncome]]&lt;10000,3,4)))</f>
        <v>2</v>
      </c>
      <c r="AI308" s="1" t="str">
        <f>IF(HR_Data[[#This Row],[YearsAtCompany]]&lt;=2,"0-2 Yrs",IF(HR_Data[[#This Row],[YearsAtCompany]]&lt;=5,"3-5 Yrs",IF(HR_Data[[#This Row],[YearsAtCompany]]&lt;=10,"6-10 Yrs","10+ Yrs")))</f>
        <v>10+ Yrs</v>
      </c>
      <c r="AJ308" s="1">
        <f>IF(HR_Data[[#This Row],[YearsAtCompany]]&lt;=2,1,IF(HR_Data[[#This Row],[YearsAtCompany]]&lt;=5,2,IF(HR_Data[[#This Row],[YearsAtCompany]]&lt;=10,3,4)))</f>
        <v>4</v>
      </c>
      <c r="AK308" s="1" t="str">
        <f>CHOOSE(HR_Data[[#This Row],[Education]],"Below College","College","Bachelor","Master","Doctor")</f>
        <v>Bachelor</v>
      </c>
      <c r="AL308" s="1" t="str">
        <f>CHOOSE(HR_Data[[#This Row],[JobSatisfaction]],"Low","Medium","High","Very High")</f>
        <v>High</v>
      </c>
      <c r="AM308" s="1" t="str">
        <f>CHOOSE(HR_Data[[#This Row],[EnvironmentSatisfaction]],"Low","Medium","High","Very High")</f>
        <v>Very High</v>
      </c>
      <c r="AN308" s="1" t="str">
        <f>CHOOSE(HR_Data[[#This Row],[WorkLifeBalance]],"Bad","Good","Better","Best")</f>
        <v>Good</v>
      </c>
      <c r="AO308" s="1" t="str">
        <f>IF(HR_Data[[#This Row],[PercentSalaryHike]]&lt;=13,"11-13%",IF(HR_Data[[#This Row],[PercentSalaryHike]]&lt;=16,"14-16%",IF(HR_Data[[#This Row],[PercentSalaryHike]]&lt;=19,"17-19%","20-25%")))</f>
        <v>14-16%</v>
      </c>
      <c r="AP308" s="1">
        <f>IF(HR_Data[[#This Row],[PercentSalaryHike]]&lt;=13,1,IF(HR_Data[[#This Row],[PercentSalaryHike]]&lt;=16,2,IF(HR_Data[[#This Row],[PercentSalaryHike]]&lt;=19,3,4)))</f>
        <v>2</v>
      </c>
      <c r="AQ308" s="1" t="str">
        <f>IF(HR_Data[[#This Row],[DistanceFromHome]]&lt;=5,"1 to 5",IF(HR_Data[[#This Row],[DistanceFromHome]]&lt;=10,"6 to 10",IF(HR_Data[[#This Row],[DistanceFromHome]]&lt;=20,"11 to 20","21 to 29")))</f>
        <v>6 to 10</v>
      </c>
      <c r="AR308" s="1">
        <f>IF(HR_Data[[#This Row],[DistanceFromHome]]&lt;=5,1,IF(HR_Data[[#This Row],[DistanceFromHome]]&lt;=10,2,IF(HR_Data[[#This Row],[DistanceFromHome]]&lt;=20,3,4)))</f>
        <v>2</v>
      </c>
      <c r="AS308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308" s="1">
        <f>IF(HR_Data[[#This Row],[TotalWorkingYears]]&lt;=5,1,IF(HR_Data[[#This Row],[TotalWorkingYears]]&lt;=10,2,IF(HR_Data[[#This Row],[TotalWorkingYears]]&lt;=20,3,4)))</f>
        <v>3</v>
      </c>
    </row>
    <row r="309" spans="1:46" x14ac:dyDescent="0.25">
      <c r="A309">
        <v>38</v>
      </c>
      <c r="B309" t="s">
        <v>36</v>
      </c>
      <c r="C309" t="s">
        <v>30</v>
      </c>
      <c r="D309" t="s">
        <v>38</v>
      </c>
      <c r="E309">
        <v>25</v>
      </c>
      <c r="F309">
        <v>2</v>
      </c>
      <c r="G309" t="s">
        <v>32</v>
      </c>
      <c r="H309">
        <v>421</v>
      </c>
      <c r="I309">
        <v>1</v>
      </c>
      <c r="J309" t="s">
        <v>33</v>
      </c>
      <c r="K309">
        <v>2</v>
      </c>
      <c r="L309">
        <v>3</v>
      </c>
      <c r="M309" t="s">
        <v>51</v>
      </c>
      <c r="N309">
        <v>2</v>
      </c>
      <c r="O309" t="s">
        <v>41</v>
      </c>
      <c r="P309">
        <v>12061</v>
      </c>
      <c r="Q309">
        <v>3</v>
      </c>
      <c r="R309" t="s">
        <v>36</v>
      </c>
      <c r="S309">
        <v>17</v>
      </c>
      <c r="T309">
        <v>3</v>
      </c>
      <c r="U309">
        <v>3</v>
      </c>
      <c r="V309">
        <v>1</v>
      </c>
      <c r="W309">
        <v>19</v>
      </c>
      <c r="X309">
        <v>2</v>
      </c>
      <c r="Y309">
        <v>3</v>
      </c>
      <c r="Z309">
        <v>10</v>
      </c>
      <c r="AA309">
        <v>8</v>
      </c>
      <c r="AB309">
        <v>0</v>
      </c>
      <c r="AC309">
        <v>1</v>
      </c>
      <c r="AD309">
        <f>IF(HR_Data[[#This Row],[Attrition]]="Yes",1,0)</f>
        <v>0</v>
      </c>
      <c r="AE309" t="str">
        <f>IF(HR_Data[[#This Row],[Age]]&lt;=25,"18-25",IF(HR_Data[[#This Row],[Age]]&lt;=35,"26-35",IF(HR_Data[[#This Row],[Age]]&lt;=45,"36-45",IF(HR_Data[[#This Row],[Age]]&lt;=55,"46-55","55+"))))</f>
        <v>36-45</v>
      </c>
      <c r="AF309">
        <f>IF(HR_Data[[#This Row],[Age]]&lt;=25,1,IF(HR_Data[[#This Row],[Age]]&lt;=35,2,IF(HR_Data[[#This Row],[Age]]&lt;=45,3,IF(HR_Data[[#This Row],[Age]]&lt;=55,4,5))))</f>
        <v>3</v>
      </c>
      <c r="AG309" s="1" t="str">
        <f>IF(HR_Data[[#This Row],[MonthlyIncome]]&lt;3000,"&lt;3K",IF(HR_Data[[#This Row],[MonthlyIncome]]&lt;6000,"3K-6K",IF(HR_Data[[#This Row],[MonthlyIncome]]&lt;10000,"6K-10K","10K+")))</f>
        <v>10K+</v>
      </c>
      <c r="AH309" s="1">
        <f>IF(HR_Data[[#This Row],[MonthlyIncome]]&lt;3000,1,IF(HR_Data[[#This Row],[MonthlyIncome]]&lt;6000,2,IF(HR_Data[[#This Row],[MonthlyIncome]]&lt;10000,3,4)))</f>
        <v>4</v>
      </c>
      <c r="AI309" s="1" t="str">
        <f>IF(HR_Data[[#This Row],[YearsAtCompany]]&lt;=2,"0-2 Yrs",IF(HR_Data[[#This Row],[YearsAtCompany]]&lt;=5,"3-5 Yrs",IF(HR_Data[[#This Row],[YearsAtCompany]]&lt;=10,"6-10 Yrs","10+ Yrs")))</f>
        <v>6-10 Yrs</v>
      </c>
      <c r="AJ309" s="1">
        <f>IF(HR_Data[[#This Row],[YearsAtCompany]]&lt;=2,1,IF(HR_Data[[#This Row],[YearsAtCompany]]&lt;=5,2,IF(HR_Data[[#This Row],[YearsAtCompany]]&lt;=10,3,4)))</f>
        <v>3</v>
      </c>
      <c r="AK309" s="1" t="str">
        <f>CHOOSE(HR_Data[[#This Row],[Education]],"Below College","College","Bachelor","Master","Doctor")</f>
        <v>College</v>
      </c>
      <c r="AL309" s="1" t="str">
        <f>CHOOSE(HR_Data[[#This Row],[JobSatisfaction]],"Low","Medium","High","Very High")</f>
        <v>Medium</v>
      </c>
      <c r="AM309" s="1" t="str">
        <f>CHOOSE(HR_Data[[#This Row],[EnvironmentSatisfaction]],"Low","Medium","High","Very High")</f>
        <v>Low</v>
      </c>
      <c r="AN309" s="1" t="str">
        <f>CHOOSE(HR_Data[[#This Row],[WorkLifeBalance]],"Bad","Good","Better","Best")</f>
        <v>Better</v>
      </c>
      <c r="AO309" s="1" t="str">
        <f>IF(HR_Data[[#This Row],[PercentSalaryHike]]&lt;=13,"11-13%",IF(HR_Data[[#This Row],[PercentSalaryHike]]&lt;=16,"14-16%",IF(HR_Data[[#This Row],[PercentSalaryHike]]&lt;=19,"17-19%","20-25%")))</f>
        <v>17-19%</v>
      </c>
      <c r="AP309" s="1">
        <f>IF(HR_Data[[#This Row],[PercentSalaryHike]]&lt;=13,1,IF(HR_Data[[#This Row],[PercentSalaryHike]]&lt;=16,2,IF(HR_Data[[#This Row],[PercentSalaryHike]]&lt;=19,3,4)))</f>
        <v>3</v>
      </c>
      <c r="AQ309" s="1" t="str">
        <f>IF(HR_Data[[#This Row],[DistanceFromHome]]&lt;=5,"1 to 5",IF(HR_Data[[#This Row],[DistanceFromHome]]&lt;=10,"6 to 10",IF(HR_Data[[#This Row],[DistanceFromHome]]&lt;=20,"11 to 20","21 to 29")))</f>
        <v>21 to 29</v>
      </c>
      <c r="AR309" s="1">
        <f>IF(HR_Data[[#This Row],[DistanceFromHome]]&lt;=5,1,IF(HR_Data[[#This Row],[DistanceFromHome]]&lt;=10,2,IF(HR_Data[[#This Row],[DistanceFromHome]]&lt;=20,3,4)))</f>
        <v>4</v>
      </c>
      <c r="AS309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309" s="1">
        <f>IF(HR_Data[[#This Row],[TotalWorkingYears]]&lt;=5,1,IF(HR_Data[[#This Row],[TotalWorkingYears]]&lt;=10,2,IF(HR_Data[[#This Row],[TotalWorkingYears]]&lt;=20,3,4)))</f>
        <v>3</v>
      </c>
    </row>
    <row r="310" spans="1:46" x14ac:dyDescent="0.25">
      <c r="A310">
        <v>58</v>
      </c>
      <c r="B310" t="s">
        <v>36</v>
      </c>
      <c r="C310" t="s">
        <v>48</v>
      </c>
      <c r="D310" t="s">
        <v>38</v>
      </c>
      <c r="E310">
        <v>1</v>
      </c>
      <c r="F310">
        <v>4</v>
      </c>
      <c r="G310" t="s">
        <v>32</v>
      </c>
      <c r="H310">
        <v>422</v>
      </c>
      <c r="I310">
        <v>4</v>
      </c>
      <c r="J310" t="s">
        <v>39</v>
      </c>
      <c r="K310">
        <v>1</v>
      </c>
      <c r="L310">
        <v>2</v>
      </c>
      <c r="M310" t="s">
        <v>47</v>
      </c>
      <c r="N310">
        <v>3</v>
      </c>
      <c r="O310" t="s">
        <v>45</v>
      </c>
      <c r="P310">
        <v>5660</v>
      </c>
      <c r="Q310">
        <v>2</v>
      </c>
      <c r="R310" t="s">
        <v>29</v>
      </c>
      <c r="S310">
        <v>13</v>
      </c>
      <c r="T310">
        <v>3</v>
      </c>
      <c r="U310">
        <v>4</v>
      </c>
      <c r="V310">
        <v>1</v>
      </c>
      <c r="W310">
        <v>12</v>
      </c>
      <c r="X310">
        <v>2</v>
      </c>
      <c r="Y310">
        <v>3</v>
      </c>
      <c r="Z310">
        <v>5</v>
      </c>
      <c r="AA310">
        <v>3</v>
      </c>
      <c r="AB310">
        <v>1</v>
      </c>
      <c r="AC310">
        <v>2</v>
      </c>
      <c r="AD310">
        <f>IF(HR_Data[[#This Row],[Attrition]]="Yes",1,0)</f>
        <v>0</v>
      </c>
      <c r="AE310" t="str">
        <f>IF(HR_Data[[#This Row],[Age]]&lt;=25,"18-25",IF(HR_Data[[#This Row],[Age]]&lt;=35,"26-35",IF(HR_Data[[#This Row],[Age]]&lt;=45,"36-45",IF(HR_Data[[#This Row],[Age]]&lt;=55,"46-55","55+"))))</f>
        <v>55+</v>
      </c>
      <c r="AF310">
        <f>IF(HR_Data[[#This Row],[Age]]&lt;=25,1,IF(HR_Data[[#This Row],[Age]]&lt;=35,2,IF(HR_Data[[#This Row],[Age]]&lt;=45,3,IF(HR_Data[[#This Row],[Age]]&lt;=55,4,5))))</f>
        <v>5</v>
      </c>
      <c r="AG310" s="1" t="str">
        <f>IF(HR_Data[[#This Row],[MonthlyIncome]]&lt;3000,"&lt;3K",IF(HR_Data[[#This Row],[MonthlyIncome]]&lt;6000,"3K-6K",IF(HR_Data[[#This Row],[MonthlyIncome]]&lt;10000,"6K-10K","10K+")))</f>
        <v>3K-6K</v>
      </c>
      <c r="AH310" s="1">
        <f>IF(HR_Data[[#This Row],[MonthlyIncome]]&lt;3000,1,IF(HR_Data[[#This Row],[MonthlyIncome]]&lt;6000,2,IF(HR_Data[[#This Row],[MonthlyIncome]]&lt;10000,3,4)))</f>
        <v>2</v>
      </c>
      <c r="AI310" s="1" t="str">
        <f>IF(HR_Data[[#This Row],[YearsAtCompany]]&lt;=2,"0-2 Yrs",IF(HR_Data[[#This Row],[YearsAtCompany]]&lt;=5,"3-5 Yrs",IF(HR_Data[[#This Row],[YearsAtCompany]]&lt;=10,"6-10 Yrs","10+ Yrs")))</f>
        <v>3-5 Yrs</v>
      </c>
      <c r="AJ310" s="1">
        <f>IF(HR_Data[[#This Row],[YearsAtCompany]]&lt;=2,1,IF(HR_Data[[#This Row],[YearsAtCompany]]&lt;=5,2,IF(HR_Data[[#This Row],[YearsAtCompany]]&lt;=10,3,4)))</f>
        <v>2</v>
      </c>
      <c r="AK310" s="1" t="str">
        <f>CHOOSE(HR_Data[[#This Row],[Education]],"Below College","College","Bachelor","Master","Doctor")</f>
        <v>Master</v>
      </c>
      <c r="AL310" s="1" t="str">
        <f>CHOOSE(HR_Data[[#This Row],[JobSatisfaction]],"Low","Medium","High","Very High")</f>
        <v>High</v>
      </c>
      <c r="AM310" s="1" t="str">
        <f>CHOOSE(HR_Data[[#This Row],[EnvironmentSatisfaction]],"Low","Medium","High","Very High")</f>
        <v>Very High</v>
      </c>
      <c r="AN310" s="1" t="str">
        <f>CHOOSE(HR_Data[[#This Row],[WorkLifeBalance]],"Bad","Good","Better","Best")</f>
        <v>Better</v>
      </c>
      <c r="AO310" s="1" t="str">
        <f>IF(HR_Data[[#This Row],[PercentSalaryHike]]&lt;=13,"11-13%",IF(HR_Data[[#This Row],[PercentSalaryHike]]&lt;=16,"14-16%",IF(HR_Data[[#This Row],[PercentSalaryHike]]&lt;=19,"17-19%","20-25%")))</f>
        <v>11-13%</v>
      </c>
      <c r="AP310" s="1">
        <f>IF(HR_Data[[#This Row],[PercentSalaryHike]]&lt;=13,1,IF(HR_Data[[#This Row],[PercentSalaryHike]]&lt;=16,2,IF(HR_Data[[#This Row],[PercentSalaryHike]]&lt;=19,3,4)))</f>
        <v>1</v>
      </c>
      <c r="AQ310" s="1" t="str">
        <f>IF(HR_Data[[#This Row],[DistanceFromHome]]&lt;=5,"1 to 5",IF(HR_Data[[#This Row],[DistanceFromHome]]&lt;=10,"6 to 10",IF(HR_Data[[#This Row],[DistanceFromHome]]&lt;=20,"11 to 20","21 to 29")))</f>
        <v>1 to 5</v>
      </c>
      <c r="AR310" s="1">
        <f>IF(HR_Data[[#This Row],[DistanceFromHome]]&lt;=5,1,IF(HR_Data[[#This Row],[DistanceFromHome]]&lt;=10,2,IF(HR_Data[[#This Row],[DistanceFromHome]]&lt;=20,3,4)))</f>
        <v>1</v>
      </c>
      <c r="AS310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310" s="1">
        <f>IF(HR_Data[[#This Row],[TotalWorkingYears]]&lt;=5,1,IF(HR_Data[[#This Row],[TotalWorkingYears]]&lt;=10,2,IF(HR_Data[[#This Row],[TotalWorkingYears]]&lt;=20,3,4)))</f>
        <v>3</v>
      </c>
    </row>
    <row r="311" spans="1:46" x14ac:dyDescent="0.25">
      <c r="A311">
        <v>31</v>
      </c>
      <c r="B311" t="s">
        <v>36</v>
      </c>
      <c r="C311" t="s">
        <v>30</v>
      </c>
      <c r="D311" t="s">
        <v>38</v>
      </c>
      <c r="E311">
        <v>5</v>
      </c>
      <c r="F311">
        <v>4</v>
      </c>
      <c r="G311" t="s">
        <v>53</v>
      </c>
      <c r="H311">
        <v>423</v>
      </c>
      <c r="I311">
        <v>3</v>
      </c>
      <c r="J311" t="s">
        <v>39</v>
      </c>
      <c r="K311">
        <v>3</v>
      </c>
      <c r="L311">
        <v>1</v>
      </c>
      <c r="M311" t="s">
        <v>40</v>
      </c>
      <c r="N311">
        <v>4</v>
      </c>
      <c r="O311" t="s">
        <v>41</v>
      </c>
      <c r="P311">
        <v>4821</v>
      </c>
      <c r="Q311">
        <v>0</v>
      </c>
      <c r="R311" t="s">
        <v>29</v>
      </c>
      <c r="S311">
        <v>12</v>
      </c>
      <c r="T311">
        <v>3</v>
      </c>
      <c r="U311">
        <v>3</v>
      </c>
      <c r="V311">
        <v>1</v>
      </c>
      <c r="W311">
        <v>6</v>
      </c>
      <c r="X311">
        <v>4</v>
      </c>
      <c r="Y311">
        <v>3</v>
      </c>
      <c r="Z311">
        <v>5</v>
      </c>
      <c r="AA311">
        <v>2</v>
      </c>
      <c r="AB311">
        <v>0</v>
      </c>
      <c r="AC311">
        <v>3</v>
      </c>
      <c r="AD311">
        <f>IF(HR_Data[[#This Row],[Attrition]]="Yes",1,0)</f>
        <v>0</v>
      </c>
      <c r="AE311" t="str">
        <f>IF(HR_Data[[#This Row],[Age]]&lt;=25,"18-25",IF(HR_Data[[#This Row],[Age]]&lt;=35,"26-35",IF(HR_Data[[#This Row],[Age]]&lt;=45,"36-45",IF(HR_Data[[#This Row],[Age]]&lt;=55,"46-55","55+"))))</f>
        <v>26-35</v>
      </c>
      <c r="AF311">
        <f>IF(HR_Data[[#This Row],[Age]]&lt;=25,1,IF(HR_Data[[#This Row],[Age]]&lt;=35,2,IF(HR_Data[[#This Row],[Age]]&lt;=45,3,IF(HR_Data[[#This Row],[Age]]&lt;=55,4,5))))</f>
        <v>2</v>
      </c>
      <c r="AG311" s="1" t="str">
        <f>IF(HR_Data[[#This Row],[MonthlyIncome]]&lt;3000,"&lt;3K",IF(HR_Data[[#This Row],[MonthlyIncome]]&lt;6000,"3K-6K",IF(HR_Data[[#This Row],[MonthlyIncome]]&lt;10000,"6K-10K","10K+")))</f>
        <v>3K-6K</v>
      </c>
      <c r="AH311" s="1">
        <f>IF(HR_Data[[#This Row],[MonthlyIncome]]&lt;3000,1,IF(HR_Data[[#This Row],[MonthlyIncome]]&lt;6000,2,IF(HR_Data[[#This Row],[MonthlyIncome]]&lt;10000,3,4)))</f>
        <v>2</v>
      </c>
      <c r="AI311" s="1" t="str">
        <f>IF(HR_Data[[#This Row],[YearsAtCompany]]&lt;=2,"0-2 Yrs",IF(HR_Data[[#This Row],[YearsAtCompany]]&lt;=5,"3-5 Yrs",IF(HR_Data[[#This Row],[YearsAtCompany]]&lt;=10,"6-10 Yrs","10+ Yrs")))</f>
        <v>3-5 Yrs</v>
      </c>
      <c r="AJ311" s="1">
        <f>IF(HR_Data[[#This Row],[YearsAtCompany]]&lt;=2,1,IF(HR_Data[[#This Row],[YearsAtCompany]]&lt;=5,2,IF(HR_Data[[#This Row],[YearsAtCompany]]&lt;=10,3,4)))</f>
        <v>2</v>
      </c>
      <c r="AK311" s="1" t="str">
        <f>CHOOSE(HR_Data[[#This Row],[Education]],"Below College","College","Bachelor","Master","Doctor")</f>
        <v>Master</v>
      </c>
      <c r="AL311" s="1" t="str">
        <f>CHOOSE(HR_Data[[#This Row],[JobSatisfaction]],"Low","Medium","High","Very High")</f>
        <v>Very High</v>
      </c>
      <c r="AM311" s="1" t="str">
        <f>CHOOSE(HR_Data[[#This Row],[EnvironmentSatisfaction]],"Low","Medium","High","Very High")</f>
        <v>High</v>
      </c>
      <c r="AN311" s="1" t="str">
        <f>CHOOSE(HR_Data[[#This Row],[WorkLifeBalance]],"Bad","Good","Better","Best")</f>
        <v>Better</v>
      </c>
      <c r="AO311" s="1" t="str">
        <f>IF(HR_Data[[#This Row],[PercentSalaryHike]]&lt;=13,"11-13%",IF(HR_Data[[#This Row],[PercentSalaryHike]]&lt;=16,"14-16%",IF(HR_Data[[#This Row],[PercentSalaryHike]]&lt;=19,"17-19%","20-25%")))</f>
        <v>11-13%</v>
      </c>
      <c r="AP311" s="1">
        <f>IF(HR_Data[[#This Row],[PercentSalaryHike]]&lt;=13,1,IF(HR_Data[[#This Row],[PercentSalaryHike]]&lt;=16,2,IF(HR_Data[[#This Row],[PercentSalaryHike]]&lt;=19,3,4)))</f>
        <v>1</v>
      </c>
      <c r="AQ311" s="1" t="str">
        <f>IF(HR_Data[[#This Row],[DistanceFromHome]]&lt;=5,"1 to 5",IF(HR_Data[[#This Row],[DistanceFromHome]]&lt;=10,"6 to 10",IF(HR_Data[[#This Row],[DistanceFromHome]]&lt;=20,"11 to 20","21 to 29")))</f>
        <v>1 to 5</v>
      </c>
      <c r="AR311" s="1">
        <f>IF(HR_Data[[#This Row],[DistanceFromHome]]&lt;=5,1,IF(HR_Data[[#This Row],[DistanceFromHome]]&lt;=10,2,IF(HR_Data[[#This Row],[DistanceFromHome]]&lt;=20,3,4)))</f>
        <v>1</v>
      </c>
      <c r="AS311" s="1" t="str">
        <f>IF(HR_Data[[#This Row],[TotalWorkingYears]]&lt;=5,"0-5 Yrs",IF(HR_Data[[#This Row],[TotalWorkingYears]]&lt;=10,"6-10 Yrs",IF(HR_Data[[#This Row],[TotalWorkingYears]]&lt;=20,"11-20 Yrs","20+ Yrs")))</f>
        <v>6-10 Yrs</v>
      </c>
      <c r="AT311" s="1">
        <f>IF(HR_Data[[#This Row],[TotalWorkingYears]]&lt;=5,1,IF(HR_Data[[#This Row],[TotalWorkingYears]]&lt;=10,2,IF(HR_Data[[#This Row],[TotalWorkingYears]]&lt;=20,3,4)))</f>
        <v>2</v>
      </c>
    </row>
    <row r="312" spans="1:46" x14ac:dyDescent="0.25">
      <c r="A312">
        <v>31</v>
      </c>
      <c r="B312" t="s">
        <v>36</v>
      </c>
      <c r="C312" t="s">
        <v>30</v>
      </c>
      <c r="D312" t="s">
        <v>54</v>
      </c>
      <c r="E312">
        <v>2</v>
      </c>
      <c r="F312">
        <v>3</v>
      </c>
      <c r="G312" t="s">
        <v>54</v>
      </c>
      <c r="H312">
        <v>424</v>
      </c>
      <c r="I312">
        <v>1</v>
      </c>
      <c r="J312" t="s">
        <v>39</v>
      </c>
      <c r="K312">
        <v>2</v>
      </c>
      <c r="L312">
        <v>2</v>
      </c>
      <c r="M312" t="s">
        <v>54</v>
      </c>
      <c r="N312">
        <v>1</v>
      </c>
      <c r="O312" t="s">
        <v>41</v>
      </c>
      <c r="P312">
        <v>6410</v>
      </c>
      <c r="Q312">
        <v>3</v>
      </c>
      <c r="R312" t="s">
        <v>36</v>
      </c>
      <c r="S312">
        <v>12</v>
      </c>
      <c r="T312">
        <v>3</v>
      </c>
      <c r="U312">
        <v>4</v>
      </c>
      <c r="V312">
        <v>0</v>
      </c>
      <c r="W312">
        <v>9</v>
      </c>
      <c r="X312">
        <v>1</v>
      </c>
      <c r="Y312">
        <v>3</v>
      </c>
      <c r="Z312">
        <v>2</v>
      </c>
      <c r="AA312">
        <v>2</v>
      </c>
      <c r="AB312">
        <v>1</v>
      </c>
      <c r="AC312">
        <v>0</v>
      </c>
      <c r="AD312">
        <f>IF(HR_Data[[#This Row],[Attrition]]="Yes",1,0)</f>
        <v>0</v>
      </c>
      <c r="AE312" t="str">
        <f>IF(HR_Data[[#This Row],[Age]]&lt;=25,"18-25",IF(HR_Data[[#This Row],[Age]]&lt;=35,"26-35",IF(HR_Data[[#This Row],[Age]]&lt;=45,"36-45",IF(HR_Data[[#This Row],[Age]]&lt;=55,"46-55","55+"))))</f>
        <v>26-35</v>
      </c>
      <c r="AF312">
        <f>IF(HR_Data[[#This Row],[Age]]&lt;=25,1,IF(HR_Data[[#This Row],[Age]]&lt;=35,2,IF(HR_Data[[#This Row],[Age]]&lt;=45,3,IF(HR_Data[[#This Row],[Age]]&lt;=55,4,5))))</f>
        <v>2</v>
      </c>
      <c r="AG312" s="1" t="str">
        <f>IF(HR_Data[[#This Row],[MonthlyIncome]]&lt;3000,"&lt;3K",IF(HR_Data[[#This Row],[MonthlyIncome]]&lt;6000,"3K-6K",IF(HR_Data[[#This Row],[MonthlyIncome]]&lt;10000,"6K-10K","10K+")))</f>
        <v>6K-10K</v>
      </c>
      <c r="AH312" s="1">
        <f>IF(HR_Data[[#This Row],[MonthlyIncome]]&lt;3000,1,IF(HR_Data[[#This Row],[MonthlyIncome]]&lt;6000,2,IF(HR_Data[[#This Row],[MonthlyIncome]]&lt;10000,3,4)))</f>
        <v>3</v>
      </c>
      <c r="AI312" s="1" t="str">
        <f>IF(HR_Data[[#This Row],[YearsAtCompany]]&lt;=2,"0-2 Yrs",IF(HR_Data[[#This Row],[YearsAtCompany]]&lt;=5,"3-5 Yrs",IF(HR_Data[[#This Row],[YearsAtCompany]]&lt;=10,"6-10 Yrs","10+ Yrs")))</f>
        <v>0-2 Yrs</v>
      </c>
      <c r="AJ312" s="1">
        <f>IF(HR_Data[[#This Row],[YearsAtCompany]]&lt;=2,1,IF(HR_Data[[#This Row],[YearsAtCompany]]&lt;=5,2,IF(HR_Data[[#This Row],[YearsAtCompany]]&lt;=10,3,4)))</f>
        <v>1</v>
      </c>
      <c r="AK312" s="1" t="str">
        <f>CHOOSE(HR_Data[[#This Row],[Education]],"Below College","College","Bachelor","Master","Doctor")</f>
        <v>Bachelor</v>
      </c>
      <c r="AL312" s="1" t="str">
        <f>CHOOSE(HR_Data[[#This Row],[JobSatisfaction]],"Low","Medium","High","Very High")</f>
        <v>Low</v>
      </c>
      <c r="AM312" s="1" t="str">
        <f>CHOOSE(HR_Data[[#This Row],[EnvironmentSatisfaction]],"Low","Medium","High","Very High")</f>
        <v>Low</v>
      </c>
      <c r="AN312" s="1" t="str">
        <f>CHOOSE(HR_Data[[#This Row],[WorkLifeBalance]],"Bad","Good","Better","Best")</f>
        <v>Better</v>
      </c>
      <c r="AO312" s="1" t="str">
        <f>IF(HR_Data[[#This Row],[PercentSalaryHike]]&lt;=13,"11-13%",IF(HR_Data[[#This Row],[PercentSalaryHike]]&lt;=16,"14-16%",IF(HR_Data[[#This Row],[PercentSalaryHike]]&lt;=19,"17-19%","20-25%")))</f>
        <v>11-13%</v>
      </c>
      <c r="AP312" s="1">
        <f>IF(HR_Data[[#This Row],[PercentSalaryHike]]&lt;=13,1,IF(HR_Data[[#This Row],[PercentSalaryHike]]&lt;=16,2,IF(HR_Data[[#This Row],[PercentSalaryHike]]&lt;=19,3,4)))</f>
        <v>1</v>
      </c>
      <c r="AQ312" s="1" t="str">
        <f>IF(HR_Data[[#This Row],[DistanceFromHome]]&lt;=5,"1 to 5",IF(HR_Data[[#This Row],[DistanceFromHome]]&lt;=10,"6 to 10",IF(HR_Data[[#This Row],[DistanceFromHome]]&lt;=20,"11 to 20","21 to 29")))</f>
        <v>1 to 5</v>
      </c>
      <c r="AR312" s="1">
        <f>IF(HR_Data[[#This Row],[DistanceFromHome]]&lt;=5,1,IF(HR_Data[[#This Row],[DistanceFromHome]]&lt;=10,2,IF(HR_Data[[#This Row],[DistanceFromHome]]&lt;=20,3,4)))</f>
        <v>1</v>
      </c>
      <c r="AS312" s="1" t="str">
        <f>IF(HR_Data[[#This Row],[TotalWorkingYears]]&lt;=5,"0-5 Yrs",IF(HR_Data[[#This Row],[TotalWorkingYears]]&lt;=10,"6-10 Yrs",IF(HR_Data[[#This Row],[TotalWorkingYears]]&lt;=20,"11-20 Yrs","20+ Yrs")))</f>
        <v>6-10 Yrs</v>
      </c>
      <c r="AT312" s="1">
        <f>IF(HR_Data[[#This Row],[TotalWorkingYears]]&lt;=5,1,IF(HR_Data[[#This Row],[TotalWorkingYears]]&lt;=10,2,IF(HR_Data[[#This Row],[TotalWorkingYears]]&lt;=20,3,4)))</f>
        <v>2</v>
      </c>
    </row>
    <row r="313" spans="1:46" x14ac:dyDescent="0.25">
      <c r="A313">
        <v>45</v>
      </c>
      <c r="B313" t="s">
        <v>36</v>
      </c>
      <c r="C313" t="s">
        <v>37</v>
      </c>
      <c r="D313" t="s">
        <v>38</v>
      </c>
      <c r="E313">
        <v>7</v>
      </c>
      <c r="F313">
        <v>3</v>
      </c>
      <c r="G313" t="s">
        <v>32</v>
      </c>
      <c r="H313">
        <v>425</v>
      </c>
      <c r="I313">
        <v>1</v>
      </c>
      <c r="J313" t="s">
        <v>39</v>
      </c>
      <c r="K313">
        <v>3</v>
      </c>
      <c r="L313">
        <v>3</v>
      </c>
      <c r="M313" t="s">
        <v>43</v>
      </c>
      <c r="N313">
        <v>1</v>
      </c>
      <c r="O313" t="s">
        <v>45</v>
      </c>
      <c r="P313">
        <v>5210</v>
      </c>
      <c r="Q313">
        <v>1</v>
      </c>
      <c r="R313" t="s">
        <v>36</v>
      </c>
      <c r="S313">
        <v>18</v>
      </c>
      <c r="T313">
        <v>3</v>
      </c>
      <c r="U313">
        <v>1</v>
      </c>
      <c r="V313">
        <v>1</v>
      </c>
      <c r="W313">
        <v>24</v>
      </c>
      <c r="X313">
        <v>2</v>
      </c>
      <c r="Y313">
        <v>3</v>
      </c>
      <c r="Z313">
        <v>24</v>
      </c>
      <c r="AA313">
        <v>9</v>
      </c>
      <c r="AB313">
        <v>9</v>
      </c>
      <c r="AC313">
        <v>11</v>
      </c>
      <c r="AD313">
        <f>IF(HR_Data[[#This Row],[Attrition]]="Yes",1,0)</f>
        <v>0</v>
      </c>
      <c r="AE313" t="str">
        <f>IF(HR_Data[[#This Row],[Age]]&lt;=25,"18-25",IF(HR_Data[[#This Row],[Age]]&lt;=35,"26-35",IF(HR_Data[[#This Row],[Age]]&lt;=45,"36-45",IF(HR_Data[[#This Row],[Age]]&lt;=55,"46-55","55+"))))</f>
        <v>36-45</v>
      </c>
      <c r="AF313">
        <f>IF(HR_Data[[#This Row],[Age]]&lt;=25,1,IF(HR_Data[[#This Row],[Age]]&lt;=35,2,IF(HR_Data[[#This Row],[Age]]&lt;=45,3,IF(HR_Data[[#This Row],[Age]]&lt;=55,4,5))))</f>
        <v>3</v>
      </c>
      <c r="AG313" s="1" t="str">
        <f>IF(HR_Data[[#This Row],[MonthlyIncome]]&lt;3000,"&lt;3K",IF(HR_Data[[#This Row],[MonthlyIncome]]&lt;6000,"3K-6K",IF(HR_Data[[#This Row],[MonthlyIncome]]&lt;10000,"6K-10K","10K+")))</f>
        <v>3K-6K</v>
      </c>
      <c r="AH313" s="1">
        <f>IF(HR_Data[[#This Row],[MonthlyIncome]]&lt;3000,1,IF(HR_Data[[#This Row],[MonthlyIncome]]&lt;6000,2,IF(HR_Data[[#This Row],[MonthlyIncome]]&lt;10000,3,4)))</f>
        <v>2</v>
      </c>
      <c r="AI313" s="1" t="str">
        <f>IF(HR_Data[[#This Row],[YearsAtCompany]]&lt;=2,"0-2 Yrs",IF(HR_Data[[#This Row],[YearsAtCompany]]&lt;=5,"3-5 Yrs",IF(HR_Data[[#This Row],[YearsAtCompany]]&lt;=10,"6-10 Yrs","10+ Yrs")))</f>
        <v>10+ Yrs</v>
      </c>
      <c r="AJ313" s="1">
        <f>IF(HR_Data[[#This Row],[YearsAtCompany]]&lt;=2,1,IF(HR_Data[[#This Row],[YearsAtCompany]]&lt;=5,2,IF(HR_Data[[#This Row],[YearsAtCompany]]&lt;=10,3,4)))</f>
        <v>4</v>
      </c>
      <c r="AK313" s="1" t="str">
        <f>CHOOSE(HR_Data[[#This Row],[Education]],"Below College","College","Bachelor","Master","Doctor")</f>
        <v>Bachelor</v>
      </c>
      <c r="AL313" s="1" t="str">
        <f>CHOOSE(HR_Data[[#This Row],[JobSatisfaction]],"Low","Medium","High","Very High")</f>
        <v>Low</v>
      </c>
      <c r="AM313" s="1" t="str">
        <f>CHOOSE(HR_Data[[#This Row],[EnvironmentSatisfaction]],"Low","Medium","High","Very High")</f>
        <v>Low</v>
      </c>
      <c r="AN313" s="1" t="str">
        <f>CHOOSE(HR_Data[[#This Row],[WorkLifeBalance]],"Bad","Good","Better","Best")</f>
        <v>Better</v>
      </c>
      <c r="AO313" s="1" t="str">
        <f>IF(HR_Data[[#This Row],[PercentSalaryHike]]&lt;=13,"11-13%",IF(HR_Data[[#This Row],[PercentSalaryHike]]&lt;=16,"14-16%",IF(HR_Data[[#This Row],[PercentSalaryHike]]&lt;=19,"17-19%","20-25%")))</f>
        <v>17-19%</v>
      </c>
      <c r="AP313" s="1">
        <f>IF(HR_Data[[#This Row],[PercentSalaryHike]]&lt;=13,1,IF(HR_Data[[#This Row],[PercentSalaryHike]]&lt;=16,2,IF(HR_Data[[#This Row],[PercentSalaryHike]]&lt;=19,3,4)))</f>
        <v>3</v>
      </c>
      <c r="AQ313" s="1" t="str">
        <f>IF(HR_Data[[#This Row],[DistanceFromHome]]&lt;=5,"1 to 5",IF(HR_Data[[#This Row],[DistanceFromHome]]&lt;=10,"6 to 10",IF(HR_Data[[#This Row],[DistanceFromHome]]&lt;=20,"11 to 20","21 to 29")))</f>
        <v>6 to 10</v>
      </c>
      <c r="AR313" s="1">
        <f>IF(HR_Data[[#This Row],[DistanceFromHome]]&lt;=5,1,IF(HR_Data[[#This Row],[DistanceFromHome]]&lt;=10,2,IF(HR_Data[[#This Row],[DistanceFromHome]]&lt;=20,3,4)))</f>
        <v>2</v>
      </c>
      <c r="AS313" s="1" t="str">
        <f>IF(HR_Data[[#This Row],[TotalWorkingYears]]&lt;=5,"0-5 Yrs",IF(HR_Data[[#This Row],[TotalWorkingYears]]&lt;=10,"6-10 Yrs",IF(HR_Data[[#This Row],[TotalWorkingYears]]&lt;=20,"11-20 Yrs","20+ Yrs")))</f>
        <v>20+ Yrs</v>
      </c>
      <c r="AT313" s="1">
        <f>IF(HR_Data[[#This Row],[TotalWorkingYears]]&lt;=5,1,IF(HR_Data[[#This Row],[TotalWorkingYears]]&lt;=10,2,IF(HR_Data[[#This Row],[TotalWorkingYears]]&lt;=20,3,4)))</f>
        <v>4</v>
      </c>
    </row>
    <row r="314" spans="1:46" x14ac:dyDescent="0.25">
      <c r="A314">
        <v>31</v>
      </c>
      <c r="B314" t="s">
        <v>36</v>
      </c>
      <c r="C314" t="s">
        <v>30</v>
      </c>
      <c r="D314" t="s">
        <v>38</v>
      </c>
      <c r="E314">
        <v>2</v>
      </c>
      <c r="F314">
        <v>4</v>
      </c>
      <c r="G314" t="s">
        <v>32</v>
      </c>
      <c r="H314">
        <v>426</v>
      </c>
      <c r="I314">
        <v>3</v>
      </c>
      <c r="J314" t="s">
        <v>39</v>
      </c>
      <c r="K314">
        <v>3</v>
      </c>
      <c r="L314">
        <v>1</v>
      </c>
      <c r="M314" t="s">
        <v>40</v>
      </c>
      <c r="N314">
        <v>4</v>
      </c>
      <c r="O314" t="s">
        <v>45</v>
      </c>
      <c r="P314">
        <v>2695</v>
      </c>
      <c r="Q314">
        <v>0</v>
      </c>
      <c r="R314" t="s">
        <v>29</v>
      </c>
      <c r="S314">
        <v>18</v>
      </c>
      <c r="T314">
        <v>3</v>
      </c>
      <c r="U314">
        <v>2</v>
      </c>
      <c r="V314">
        <v>1</v>
      </c>
      <c r="W314">
        <v>3</v>
      </c>
      <c r="X314">
        <v>2</v>
      </c>
      <c r="Y314">
        <v>1</v>
      </c>
      <c r="Z314">
        <v>2</v>
      </c>
      <c r="AA314">
        <v>2</v>
      </c>
      <c r="AB314">
        <v>2</v>
      </c>
      <c r="AC314">
        <v>2</v>
      </c>
      <c r="AD314">
        <f>IF(HR_Data[[#This Row],[Attrition]]="Yes",1,0)</f>
        <v>0</v>
      </c>
      <c r="AE314" t="str">
        <f>IF(HR_Data[[#This Row],[Age]]&lt;=25,"18-25",IF(HR_Data[[#This Row],[Age]]&lt;=35,"26-35",IF(HR_Data[[#This Row],[Age]]&lt;=45,"36-45",IF(HR_Data[[#This Row],[Age]]&lt;=55,"46-55","55+"))))</f>
        <v>26-35</v>
      </c>
      <c r="AF314">
        <f>IF(HR_Data[[#This Row],[Age]]&lt;=25,1,IF(HR_Data[[#This Row],[Age]]&lt;=35,2,IF(HR_Data[[#This Row],[Age]]&lt;=45,3,IF(HR_Data[[#This Row],[Age]]&lt;=55,4,5))))</f>
        <v>2</v>
      </c>
      <c r="AG314" s="1" t="str">
        <f>IF(HR_Data[[#This Row],[MonthlyIncome]]&lt;3000,"&lt;3K",IF(HR_Data[[#This Row],[MonthlyIncome]]&lt;6000,"3K-6K",IF(HR_Data[[#This Row],[MonthlyIncome]]&lt;10000,"6K-10K","10K+")))</f>
        <v>&lt;3K</v>
      </c>
      <c r="AH314" s="1">
        <f>IF(HR_Data[[#This Row],[MonthlyIncome]]&lt;3000,1,IF(HR_Data[[#This Row],[MonthlyIncome]]&lt;6000,2,IF(HR_Data[[#This Row],[MonthlyIncome]]&lt;10000,3,4)))</f>
        <v>1</v>
      </c>
      <c r="AI314" s="1" t="str">
        <f>IF(HR_Data[[#This Row],[YearsAtCompany]]&lt;=2,"0-2 Yrs",IF(HR_Data[[#This Row],[YearsAtCompany]]&lt;=5,"3-5 Yrs",IF(HR_Data[[#This Row],[YearsAtCompany]]&lt;=10,"6-10 Yrs","10+ Yrs")))</f>
        <v>0-2 Yrs</v>
      </c>
      <c r="AJ314" s="1">
        <f>IF(HR_Data[[#This Row],[YearsAtCompany]]&lt;=2,1,IF(HR_Data[[#This Row],[YearsAtCompany]]&lt;=5,2,IF(HR_Data[[#This Row],[YearsAtCompany]]&lt;=10,3,4)))</f>
        <v>1</v>
      </c>
      <c r="AK314" s="1" t="str">
        <f>CHOOSE(HR_Data[[#This Row],[Education]],"Below College","College","Bachelor","Master","Doctor")</f>
        <v>Master</v>
      </c>
      <c r="AL314" s="1" t="str">
        <f>CHOOSE(HR_Data[[#This Row],[JobSatisfaction]],"Low","Medium","High","Very High")</f>
        <v>Very High</v>
      </c>
      <c r="AM314" s="1" t="str">
        <f>CHOOSE(HR_Data[[#This Row],[EnvironmentSatisfaction]],"Low","Medium","High","Very High")</f>
        <v>High</v>
      </c>
      <c r="AN314" s="1" t="str">
        <f>CHOOSE(HR_Data[[#This Row],[WorkLifeBalance]],"Bad","Good","Better","Best")</f>
        <v>Bad</v>
      </c>
      <c r="AO314" s="1" t="str">
        <f>IF(HR_Data[[#This Row],[PercentSalaryHike]]&lt;=13,"11-13%",IF(HR_Data[[#This Row],[PercentSalaryHike]]&lt;=16,"14-16%",IF(HR_Data[[#This Row],[PercentSalaryHike]]&lt;=19,"17-19%","20-25%")))</f>
        <v>17-19%</v>
      </c>
      <c r="AP314" s="1">
        <f>IF(HR_Data[[#This Row],[PercentSalaryHike]]&lt;=13,1,IF(HR_Data[[#This Row],[PercentSalaryHike]]&lt;=16,2,IF(HR_Data[[#This Row],[PercentSalaryHike]]&lt;=19,3,4)))</f>
        <v>3</v>
      </c>
      <c r="AQ314" s="1" t="str">
        <f>IF(HR_Data[[#This Row],[DistanceFromHome]]&lt;=5,"1 to 5",IF(HR_Data[[#This Row],[DistanceFromHome]]&lt;=10,"6 to 10",IF(HR_Data[[#This Row],[DistanceFromHome]]&lt;=20,"11 to 20","21 to 29")))</f>
        <v>1 to 5</v>
      </c>
      <c r="AR314" s="1">
        <f>IF(HR_Data[[#This Row],[DistanceFromHome]]&lt;=5,1,IF(HR_Data[[#This Row],[DistanceFromHome]]&lt;=10,2,IF(HR_Data[[#This Row],[DistanceFromHome]]&lt;=20,3,4)))</f>
        <v>1</v>
      </c>
      <c r="AS314" s="1" t="str">
        <f>IF(HR_Data[[#This Row],[TotalWorkingYears]]&lt;=5,"0-5 Yrs",IF(HR_Data[[#This Row],[TotalWorkingYears]]&lt;=10,"6-10 Yrs",IF(HR_Data[[#This Row],[TotalWorkingYears]]&lt;=20,"11-20 Yrs","20+ Yrs")))</f>
        <v>0-5 Yrs</v>
      </c>
      <c r="AT314" s="1">
        <f>IF(HR_Data[[#This Row],[TotalWorkingYears]]&lt;=5,1,IF(HR_Data[[#This Row],[TotalWorkingYears]]&lt;=10,2,IF(HR_Data[[#This Row],[TotalWorkingYears]]&lt;=20,3,4)))</f>
        <v>1</v>
      </c>
    </row>
    <row r="315" spans="1:46" x14ac:dyDescent="0.25">
      <c r="A315">
        <v>33</v>
      </c>
      <c r="B315" t="s">
        <v>36</v>
      </c>
      <c r="C315" t="s">
        <v>37</v>
      </c>
      <c r="D315" t="s">
        <v>38</v>
      </c>
      <c r="E315">
        <v>5</v>
      </c>
      <c r="F315">
        <v>4</v>
      </c>
      <c r="G315" t="s">
        <v>32</v>
      </c>
      <c r="H315">
        <v>428</v>
      </c>
      <c r="I315">
        <v>4</v>
      </c>
      <c r="J315" t="s">
        <v>33</v>
      </c>
      <c r="K315">
        <v>3</v>
      </c>
      <c r="L315">
        <v>3</v>
      </c>
      <c r="M315" t="s">
        <v>49</v>
      </c>
      <c r="N315">
        <v>2</v>
      </c>
      <c r="O315" t="s">
        <v>41</v>
      </c>
      <c r="P315">
        <v>11878</v>
      </c>
      <c r="Q315">
        <v>6</v>
      </c>
      <c r="R315" t="s">
        <v>36</v>
      </c>
      <c r="S315">
        <v>11</v>
      </c>
      <c r="T315">
        <v>3</v>
      </c>
      <c r="U315">
        <v>2</v>
      </c>
      <c r="V315">
        <v>2</v>
      </c>
      <c r="W315">
        <v>12</v>
      </c>
      <c r="X315">
        <v>2</v>
      </c>
      <c r="Y315">
        <v>3</v>
      </c>
      <c r="Z315">
        <v>10</v>
      </c>
      <c r="AA315">
        <v>6</v>
      </c>
      <c r="AB315">
        <v>8</v>
      </c>
      <c r="AC315">
        <v>8</v>
      </c>
      <c r="AD315">
        <f>IF(HR_Data[[#This Row],[Attrition]]="Yes",1,0)</f>
        <v>0</v>
      </c>
      <c r="AE315" t="str">
        <f>IF(HR_Data[[#This Row],[Age]]&lt;=25,"18-25",IF(HR_Data[[#This Row],[Age]]&lt;=35,"26-35",IF(HR_Data[[#This Row],[Age]]&lt;=45,"36-45",IF(HR_Data[[#This Row],[Age]]&lt;=55,"46-55","55+"))))</f>
        <v>26-35</v>
      </c>
      <c r="AF315">
        <f>IF(HR_Data[[#This Row],[Age]]&lt;=25,1,IF(HR_Data[[#This Row],[Age]]&lt;=35,2,IF(HR_Data[[#This Row],[Age]]&lt;=45,3,IF(HR_Data[[#This Row],[Age]]&lt;=55,4,5))))</f>
        <v>2</v>
      </c>
      <c r="AG315" s="1" t="str">
        <f>IF(HR_Data[[#This Row],[MonthlyIncome]]&lt;3000,"&lt;3K",IF(HR_Data[[#This Row],[MonthlyIncome]]&lt;6000,"3K-6K",IF(HR_Data[[#This Row],[MonthlyIncome]]&lt;10000,"6K-10K","10K+")))</f>
        <v>10K+</v>
      </c>
      <c r="AH315" s="1">
        <f>IF(HR_Data[[#This Row],[MonthlyIncome]]&lt;3000,1,IF(HR_Data[[#This Row],[MonthlyIncome]]&lt;6000,2,IF(HR_Data[[#This Row],[MonthlyIncome]]&lt;10000,3,4)))</f>
        <v>4</v>
      </c>
      <c r="AI315" s="1" t="str">
        <f>IF(HR_Data[[#This Row],[YearsAtCompany]]&lt;=2,"0-2 Yrs",IF(HR_Data[[#This Row],[YearsAtCompany]]&lt;=5,"3-5 Yrs",IF(HR_Data[[#This Row],[YearsAtCompany]]&lt;=10,"6-10 Yrs","10+ Yrs")))</f>
        <v>6-10 Yrs</v>
      </c>
      <c r="AJ315" s="1">
        <f>IF(HR_Data[[#This Row],[YearsAtCompany]]&lt;=2,1,IF(HR_Data[[#This Row],[YearsAtCompany]]&lt;=5,2,IF(HR_Data[[#This Row],[YearsAtCompany]]&lt;=10,3,4)))</f>
        <v>3</v>
      </c>
      <c r="AK315" s="1" t="str">
        <f>CHOOSE(HR_Data[[#This Row],[Education]],"Below College","College","Bachelor","Master","Doctor")</f>
        <v>Master</v>
      </c>
      <c r="AL315" s="1" t="str">
        <f>CHOOSE(HR_Data[[#This Row],[JobSatisfaction]],"Low","Medium","High","Very High")</f>
        <v>Medium</v>
      </c>
      <c r="AM315" s="1" t="str">
        <f>CHOOSE(HR_Data[[#This Row],[EnvironmentSatisfaction]],"Low","Medium","High","Very High")</f>
        <v>Very High</v>
      </c>
      <c r="AN315" s="1" t="str">
        <f>CHOOSE(HR_Data[[#This Row],[WorkLifeBalance]],"Bad","Good","Better","Best")</f>
        <v>Better</v>
      </c>
      <c r="AO315" s="1" t="str">
        <f>IF(HR_Data[[#This Row],[PercentSalaryHike]]&lt;=13,"11-13%",IF(HR_Data[[#This Row],[PercentSalaryHike]]&lt;=16,"14-16%",IF(HR_Data[[#This Row],[PercentSalaryHike]]&lt;=19,"17-19%","20-25%")))</f>
        <v>11-13%</v>
      </c>
      <c r="AP315" s="1">
        <f>IF(HR_Data[[#This Row],[PercentSalaryHike]]&lt;=13,1,IF(HR_Data[[#This Row],[PercentSalaryHike]]&lt;=16,2,IF(HR_Data[[#This Row],[PercentSalaryHike]]&lt;=19,3,4)))</f>
        <v>1</v>
      </c>
      <c r="AQ315" s="1" t="str">
        <f>IF(HR_Data[[#This Row],[DistanceFromHome]]&lt;=5,"1 to 5",IF(HR_Data[[#This Row],[DistanceFromHome]]&lt;=10,"6 to 10",IF(HR_Data[[#This Row],[DistanceFromHome]]&lt;=20,"11 to 20","21 to 29")))</f>
        <v>1 to 5</v>
      </c>
      <c r="AR315" s="1">
        <f>IF(HR_Data[[#This Row],[DistanceFromHome]]&lt;=5,1,IF(HR_Data[[#This Row],[DistanceFromHome]]&lt;=10,2,IF(HR_Data[[#This Row],[DistanceFromHome]]&lt;=20,3,4)))</f>
        <v>1</v>
      </c>
      <c r="AS315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315" s="1">
        <f>IF(HR_Data[[#This Row],[TotalWorkingYears]]&lt;=5,1,IF(HR_Data[[#This Row],[TotalWorkingYears]]&lt;=10,2,IF(HR_Data[[#This Row],[TotalWorkingYears]]&lt;=20,3,4)))</f>
        <v>3</v>
      </c>
    </row>
    <row r="316" spans="1:46" x14ac:dyDescent="0.25">
      <c r="A316">
        <v>39</v>
      </c>
      <c r="B316" t="s">
        <v>36</v>
      </c>
      <c r="C316" t="s">
        <v>30</v>
      </c>
      <c r="D316" t="s">
        <v>38</v>
      </c>
      <c r="E316">
        <v>10</v>
      </c>
      <c r="F316">
        <v>1</v>
      </c>
      <c r="G316" t="s">
        <v>44</v>
      </c>
      <c r="H316">
        <v>429</v>
      </c>
      <c r="I316">
        <v>3</v>
      </c>
      <c r="J316" t="s">
        <v>39</v>
      </c>
      <c r="K316">
        <v>3</v>
      </c>
      <c r="L316">
        <v>4</v>
      </c>
      <c r="M316" t="s">
        <v>49</v>
      </c>
      <c r="N316">
        <v>1</v>
      </c>
      <c r="O316" t="s">
        <v>41</v>
      </c>
      <c r="P316">
        <v>17068</v>
      </c>
      <c r="Q316">
        <v>1</v>
      </c>
      <c r="R316" t="s">
        <v>29</v>
      </c>
      <c r="S316">
        <v>14</v>
      </c>
      <c r="T316">
        <v>3</v>
      </c>
      <c r="U316">
        <v>4</v>
      </c>
      <c r="V316">
        <v>0</v>
      </c>
      <c r="W316">
        <v>21</v>
      </c>
      <c r="X316">
        <v>3</v>
      </c>
      <c r="Y316">
        <v>3</v>
      </c>
      <c r="Z316">
        <v>21</v>
      </c>
      <c r="AA316">
        <v>9</v>
      </c>
      <c r="AB316">
        <v>11</v>
      </c>
      <c r="AC316">
        <v>10</v>
      </c>
      <c r="AD316">
        <f>IF(HR_Data[[#This Row],[Attrition]]="Yes",1,0)</f>
        <v>0</v>
      </c>
      <c r="AE316" t="str">
        <f>IF(HR_Data[[#This Row],[Age]]&lt;=25,"18-25",IF(HR_Data[[#This Row],[Age]]&lt;=35,"26-35",IF(HR_Data[[#This Row],[Age]]&lt;=45,"36-45",IF(HR_Data[[#This Row],[Age]]&lt;=55,"46-55","55+"))))</f>
        <v>36-45</v>
      </c>
      <c r="AF316">
        <f>IF(HR_Data[[#This Row],[Age]]&lt;=25,1,IF(HR_Data[[#This Row],[Age]]&lt;=35,2,IF(HR_Data[[#This Row],[Age]]&lt;=45,3,IF(HR_Data[[#This Row],[Age]]&lt;=55,4,5))))</f>
        <v>3</v>
      </c>
      <c r="AG316" s="1" t="str">
        <f>IF(HR_Data[[#This Row],[MonthlyIncome]]&lt;3000,"&lt;3K",IF(HR_Data[[#This Row],[MonthlyIncome]]&lt;6000,"3K-6K",IF(HR_Data[[#This Row],[MonthlyIncome]]&lt;10000,"6K-10K","10K+")))</f>
        <v>10K+</v>
      </c>
      <c r="AH316" s="1">
        <f>IF(HR_Data[[#This Row],[MonthlyIncome]]&lt;3000,1,IF(HR_Data[[#This Row],[MonthlyIncome]]&lt;6000,2,IF(HR_Data[[#This Row],[MonthlyIncome]]&lt;10000,3,4)))</f>
        <v>4</v>
      </c>
      <c r="AI316" s="1" t="str">
        <f>IF(HR_Data[[#This Row],[YearsAtCompany]]&lt;=2,"0-2 Yrs",IF(HR_Data[[#This Row],[YearsAtCompany]]&lt;=5,"3-5 Yrs",IF(HR_Data[[#This Row],[YearsAtCompany]]&lt;=10,"6-10 Yrs","10+ Yrs")))</f>
        <v>10+ Yrs</v>
      </c>
      <c r="AJ316" s="1">
        <f>IF(HR_Data[[#This Row],[YearsAtCompany]]&lt;=2,1,IF(HR_Data[[#This Row],[YearsAtCompany]]&lt;=5,2,IF(HR_Data[[#This Row],[YearsAtCompany]]&lt;=10,3,4)))</f>
        <v>4</v>
      </c>
      <c r="AK316" s="1" t="str">
        <f>CHOOSE(HR_Data[[#This Row],[Education]],"Below College","College","Bachelor","Master","Doctor")</f>
        <v>Below College</v>
      </c>
      <c r="AL316" s="1" t="str">
        <f>CHOOSE(HR_Data[[#This Row],[JobSatisfaction]],"Low","Medium","High","Very High")</f>
        <v>Low</v>
      </c>
      <c r="AM316" s="1" t="str">
        <f>CHOOSE(HR_Data[[#This Row],[EnvironmentSatisfaction]],"Low","Medium","High","Very High")</f>
        <v>High</v>
      </c>
      <c r="AN316" s="1" t="str">
        <f>CHOOSE(HR_Data[[#This Row],[WorkLifeBalance]],"Bad","Good","Better","Best")</f>
        <v>Better</v>
      </c>
      <c r="AO316" s="1" t="str">
        <f>IF(HR_Data[[#This Row],[PercentSalaryHike]]&lt;=13,"11-13%",IF(HR_Data[[#This Row],[PercentSalaryHike]]&lt;=16,"14-16%",IF(HR_Data[[#This Row],[PercentSalaryHike]]&lt;=19,"17-19%","20-25%")))</f>
        <v>14-16%</v>
      </c>
      <c r="AP316" s="1">
        <f>IF(HR_Data[[#This Row],[PercentSalaryHike]]&lt;=13,1,IF(HR_Data[[#This Row],[PercentSalaryHike]]&lt;=16,2,IF(HR_Data[[#This Row],[PercentSalaryHike]]&lt;=19,3,4)))</f>
        <v>2</v>
      </c>
      <c r="AQ316" s="1" t="str">
        <f>IF(HR_Data[[#This Row],[DistanceFromHome]]&lt;=5,"1 to 5",IF(HR_Data[[#This Row],[DistanceFromHome]]&lt;=10,"6 to 10",IF(HR_Data[[#This Row],[DistanceFromHome]]&lt;=20,"11 to 20","21 to 29")))</f>
        <v>6 to 10</v>
      </c>
      <c r="AR316" s="1">
        <f>IF(HR_Data[[#This Row],[DistanceFromHome]]&lt;=5,1,IF(HR_Data[[#This Row],[DistanceFromHome]]&lt;=10,2,IF(HR_Data[[#This Row],[DistanceFromHome]]&lt;=20,3,4)))</f>
        <v>2</v>
      </c>
      <c r="AS316" s="1" t="str">
        <f>IF(HR_Data[[#This Row],[TotalWorkingYears]]&lt;=5,"0-5 Yrs",IF(HR_Data[[#This Row],[TotalWorkingYears]]&lt;=10,"6-10 Yrs",IF(HR_Data[[#This Row],[TotalWorkingYears]]&lt;=20,"11-20 Yrs","20+ Yrs")))</f>
        <v>20+ Yrs</v>
      </c>
      <c r="AT316" s="1">
        <f>IF(HR_Data[[#This Row],[TotalWorkingYears]]&lt;=5,1,IF(HR_Data[[#This Row],[TotalWorkingYears]]&lt;=10,2,IF(HR_Data[[#This Row],[TotalWorkingYears]]&lt;=20,3,4)))</f>
        <v>4</v>
      </c>
    </row>
    <row r="317" spans="1:46" x14ac:dyDescent="0.25">
      <c r="A317">
        <v>43</v>
      </c>
      <c r="B317" t="s">
        <v>36</v>
      </c>
      <c r="C317" t="s">
        <v>37</v>
      </c>
      <c r="D317" t="s">
        <v>38</v>
      </c>
      <c r="E317">
        <v>10</v>
      </c>
      <c r="F317">
        <v>4</v>
      </c>
      <c r="G317" t="s">
        <v>32</v>
      </c>
      <c r="H317">
        <v>430</v>
      </c>
      <c r="I317">
        <v>3</v>
      </c>
      <c r="J317" t="s">
        <v>33</v>
      </c>
      <c r="K317">
        <v>3</v>
      </c>
      <c r="L317">
        <v>1</v>
      </c>
      <c r="M317" t="s">
        <v>43</v>
      </c>
      <c r="N317">
        <v>4</v>
      </c>
      <c r="O317" t="s">
        <v>35</v>
      </c>
      <c r="P317">
        <v>2455</v>
      </c>
      <c r="Q317">
        <v>0</v>
      </c>
      <c r="R317" t="s">
        <v>36</v>
      </c>
      <c r="S317">
        <v>19</v>
      </c>
      <c r="T317">
        <v>3</v>
      </c>
      <c r="U317">
        <v>1</v>
      </c>
      <c r="V317">
        <v>0</v>
      </c>
      <c r="W317">
        <v>9</v>
      </c>
      <c r="X317">
        <v>5</v>
      </c>
      <c r="Y317">
        <v>3</v>
      </c>
      <c r="Z317">
        <v>8</v>
      </c>
      <c r="AA317">
        <v>7</v>
      </c>
      <c r="AB317">
        <v>1</v>
      </c>
      <c r="AC317">
        <v>7</v>
      </c>
      <c r="AD317">
        <f>IF(HR_Data[[#This Row],[Attrition]]="Yes",1,0)</f>
        <v>0</v>
      </c>
      <c r="AE317" t="str">
        <f>IF(HR_Data[[#This Row],[Age]]&lt;=25,"18-25",IF(HR_Data[[#This Row],[Age]]&lt;=35,"26-35",IF(HR_Data[[#This Row],[Age]]&lt;=45,"36-45",IF(HR_Data[[#This Row],[Age]]&lt;=55,"46-55","55+"))))</f>
        <v>36-45</v>
      </c>
      <c r="AF317">
        <f>IF(HR_Data[[#This Row],[Age]]&lt;=25,1,IF(HR_Data[[#This Row],[Age]]&lt;=35,2,IF(HR_Data[[#This Row],[Age]]&lt;=45,3,IF(HR_Data[[#This Row],[Age]]&lt;=55,4,5))))</f>
        <v>3</v>
      </c>
      <c r="AG317" s="1" t="str">
        <f>IF(HR_Data[[#This Row],[MonthlyIncome]]&lt;3000,"&lt;3K",IF(HR_Data[[#This Row],[MonthlyIncome]]&lt;6000,"3K-6K",IF(HR_Data[[#This Row],[MonthlyIncome]]&lt;10000,"6K-10K","10K+")))</f>
        <v>&lt;3K</v>
      </c>
      <c r="AH317" s="1">
        <f>IF(HR_Data[[#This Row],[MonthlyIncome]]&lt;3000,1,IF(HR_Data[[#This Row],[MonthlyIncome]]&lt;6000,2,IF(HR_Data[[#This Row],[MonthlyIncome]]&lt;10000,3,4)))</f>
        <v>1</v>
      </c>
      <c r="AI317" s="1" t="str">
        <f>IF(HR_Data[[#This Row],[YearsAtCompany]]&lt;=2,"0-2 Yrs",IF(HR_Data[[#This Row],[YearsAtCompany]]&lt;=5,"3-5 Yrs",IF(HR_Data[[#This Row],[YearsAtCompany]]&lt;=10,"6-10 Yrs","10+ Yrs")))</f>
        <v>6-10 Yrs</v>
      </c>
      <c r="AJ317" s="1">
        <f>IF(HR_Data[[#This Row],[YearsAtCompany]]&lt;=2,1,IF(HR_Data[[#This Row],[YearsAtCompany]]&lt;=5,2,IF(HR_Data[[#This Row],[YearsAtCompany]]&lt;=10,3,4)))</f>
        <v>3</v>
      </c>
      <c r="AK317" s="1" t="str">
        <f>CHOOSE(HR_Data[[#This Row],[Education]],"Below College","College","Bachelor","Master","Doctor")</f>
        <v>Master</v>
      </c>
      <c r="AL317" s="1" t="str">
        <f>CHOOSE(HR_Data[[#This Row],[JobSatisfaction]],"Low","Medium","High","Very High")</f>
        <v>Very High</v>
      </c>
      <c r="AM317" s="1" t="str">
        <f>CHOOSE(HR_Data[[#This Row],[EnvironmentSatisfaction]],"Low","Medium","High","Very High")</f>
        <v>High</v>
      </c>
      <c r="AN317" s="1" t="str">
        <f>CHOOSE(HR_Data[[#This Row],[WorkLifeBalance]],"Bad","Good","Better","Best")</f>
        <v>Better</v>
      </c>
      <c r="AO317" s="1" t="str">
        <f>IF(HR_Data[[#This Row],[PercentSalaryHike]]&lt;=13,"11-13%",IF(HR_Data[[#This Row],[PercentSalaryHike]]&lt;=16,"14-16%",IF(HR_Data[[#This Row],[PercentSalaryHike]]&lt;=19,"17-19%","20-25%")))</f>
        <v>17-19%</v>
      </c>
      <c r="AP317" s="1">
        <f>IF(HR_Data[[#This Row],[PercentSalaryHike]]&lt;=13,1,IF(HR_Data[[#This Row],[PercentSalaryHike]]&lt;=16,2,IF(HR_Data[[#This Row],[PercentSalaryHike]]&lt;=19,3,4)))</f>
        <v>3</v>
      </c>
      <c r="AQ317" s="1" t="str">
        <f>IF(HR_Data[[#This Row],[DistanceFromHome]]&lt;=5,"1 to 5",IF(HR_Data[[#This Row],[DistanceFromHome]]&lt;=10,"6 to 10",IF(HR_Data[[#This Row],[DistanceFromHome]]&lt;=20,"11 to 20","21 to 29")))</f>
        <v>6 to 10</v>
      </c>
      <c r="AR317" s="1">
        <f>IF(HR_Data[[#This Row],[DistanceFromHome]]&lt;=5,1,IF(HR_Data[[#This Row],[DistanceFromHome]]&lt;=10,2,IF(HR_Data[[#This Row],[DistanceFromHome]]&lt;=20,3,4)))</f>
        <v>2</v>
      </c>
      <c r="AS317" s="1" t="str">
        <f>IF(HR_Data[[#This Row],[TotalWorkingYears]]&lt;=5,"0-5 Yrs",IF(HR_Data[[#This Row],[TotalWorkingYears]]&lt;=10,"6-10 Yrs",IF(HR_Data[[#This Row],[TotalWorkingYears]]&lt;=20,"11-20 Yrs","20+ Yrs")))</f>
        <v>6-10 Yrs</v>
      </c>
      <c r="AT317" s="1">
        <f>IF(HR_Data[[#This Row],[TotalWorkingYears]]&lt;=5,1,IF(HR_Data[[#This Row],[TotalWorkingYears]]&lt;=10,2,IF(HR_Data[[#This Row],[TotalWorkingYears]]&lt;=20,3,4)))</f>
        <v>2</v>
      </c>
    </row>
    <row r="318" spans="1:46" x14ac:dyDescent="0.25">
      <c r="A318">
        <v>49</v>
      </c>
      <c r="B318" t="s">
        <v>36</v>
      </c>
      <c r="C318" t="s">
        <v>30</v>
      </c>
      <c r="D318" t="s">
        <v>38</v>
      </c>
      <c r="E318">
        <v>1</v>
      </c>
      <c r="F318">
        <v>2</v>
      </c>
      <c r="G318" t="s">
        <v>53</v>
      </c>
      <c r="H318">
        <v>431</v>
      </c>
      <c r="I318">
        <v>3</v>
      </c>
      <c r="J318" t="s">
        <v>33</v>
      </c>
      <c r="K318">
        <v>2</v>
      </c>
      <c r="L318">
        <v>4</v>
      </c>
      <c r="M318" t="s">
        <v>47</v>
      </c>
      <c r="N318">
        <v>3</v>
      </c>
      <c r="O318" t="s">
        <v>35</v>
      </c>
      <c r="P318">
        <v>13964</v>
      </c>
      <c r="Q318">
        <v>7</v>
      </c>
      <c r="R318" t="s">
        <v>29</v>
      </c>
      <c r="S318">
        <v>12</v>
      </c>
      <c r="T318">
        <v>3</v>
      </c>
      <c r="U318">
        <v>4</v>
      </c>
      <c r="V318">
        <v>0</v>
      </c>
      <c r="W318">
        <v>25</v>
      </c>
      <c r="X318">
        <v>2</v>
      </c>
      <c r="Y318">
        <v>3</v>
      </c>
      <c r="Z318">
        <v>7</v>
      </c>
      <c r="AA318">
        <v>1</v>
      </c>
      <c r="AB318">
        <v>0</v>
      </c>
      <c r="AC318">
        <v>7</v>
      </c>
      <c r="AD318">
        <f>IF(HR_Data[[#This Row],[Attrition]]="Yes",1,0)</f>
        <v>0</v>
      </c>
      <c r="AE318" t="str">
        <f>IF(HR_Data[[#This Row],[Age]]&lt;=25,"18-25",IF(HR_Data[[#This Row],[Age]]&lt;=35,"26-35",IF(HR_Data[[#This Row],[Age]]&lt;=45,"36-45",IF(HR_Data[[#This Row],[Age]]&lt;=55,"46-55","55+"))))</f>
        <v>46-55</v>
      </c>
      <c r="AF318">
        <f>IF(HR_Data[[#This Row],[Age]]&lt;=25,1,IF(HR_Data[[#This Row],[Age]]&lt;=35,2,IF(HR_Data[[#This Row],[Age]]&lt;=45,3,IF(HR_Data[[#This Row],[Age]]&lt;=55,4,5))))</f>
        <v>4</v>
      </c>
      <c r="AG318" s="1" t="str">
        <f>IF(HR_Data[[#This Row],[MonthlyIncome]]&lt;3000,"&lt;3K",IF(HR_Data[[#This Row],[MonthlyIncome]]&lt;6000,"3K-6K",IF(HR_Data[[#This Row],[MonthlyIncome]]&lt;10000,"6K-10K","10K+")))</f>
        <v>10K+</v>
      </c>
      <c r="AH318" s="1">
        <f>IF(HR_Data[[#This Row],[MonthlyIncome]]&lt;3000,1,IF(HR_Data[[#This Row],[MonthlyIncome]]&lt;6000,2,IF(HR_Data[[#This Row],[MonthlyIncome]]&lt;10000,3,4)))</f>
        <v>4</v>
      </c>
      <c r="AI318" s="1" t="str">
        <f>IF(HR_Data[[#This Row],[YearsAtCompany]]&lt;=2,"0-2 Yrs",IF(HR_Data[[#This Row],[YearsAtCompany]]&lt;=5,"3-5 Yrs",IF(HR_Data[[#This Row],[YearsAtCompany]]&lt;=10,"6-10 Yrs","10+ Yrs")))</f>
        <v>6-10 Yrs</v>
      </c>
      <c r="AJ318" s="1">
        <f>IF(HR_Data[[#This Row],[YearsAtCompany]]&lt;=2,1,IF(HR_Data[[#This Row],[YearsAtCompany]]&lt;=5,2,IF(HR_Data[[#This Row],[YearsAtCompany]]&lt;=10,3,4)))</f>
        <v>3</v>
      </c>
      <c r="AK318" s="1" t="str">
        <f>CHOOSE(HR_Data[[#This Row],[Education]],"Below College","College","Bachelor","Master","Doctor")</f>
        <v>College</v>
      </c>
      <c r="AL318" s="1" t="str">
        <f>CHOOSE(HR_Data[[#This Row],[JobSatisfaction]],"Low","Medium","High","Very High")</f>
        <v>High</v>
      </c>
      <c r="AM318" s="1" t="str">
        <f>CHOOSE(HR_Data[[#This Row],[EnvironmentSatisfaction]],"Low","Medium","High","Very High")</f>
        <v>High</v>
      </c>
      <c r="AN318" s="1" t="str">
        <f>CHOOSE(HR_Data[[#This Row],[WorkLifeBalance]],"Bad","Good","Better","Best")</f>
        <v>Better</v>
      </c>
      <c r="AO318" s="1" t="str">
        <f>IF(HR_Data[[#This Row],[PercentSalaryHike]]&lt;=13,"11-13%",IF(HR_Data[[#This Row],[PercentSalaryHike]]&lt;=16,"14-16%",IF(HR_Data[[#This Row],[PercentSalaryHike]]&lt;=19,"17-19%","20-25%")))</f>
        <v>11-13%</v>
      </c>
      <c r="AP318" s="1">
        <f>IF(HR_Data[[#This Row],[PercentSalaryHike]]&lt;=13,1,IF(HR_Data[[#This Row],[PercentSalaryHike]]&lt;=16,2,IF(HR_Data[[#This Row],[PercentSalaryHike]]&lt;=19,3,4)))</f>
        <v>1</v>
      </c>
      <c r="AQ318" s="1" t="str">
        <f>IF(HR_Data[[#This Row],[DistanceFromHome]]&lt;=5,"1 to 5",IF(HR_Data[[#This Row],[DistanceFromHome]]&lt;=10,"6 to 10",IF(HR_Data[[#This Row],[DistanceFromHome]]&lt;=20,"11 to 20","21 to 29")))</f>
        <v>1 to 5</v>
      </c>
      <c r="AR318" s="1">
        <f>IF(HR_Data[[#This Row],[DistanceFromHome]]&lt;=5,1,IF(HR_Data[[#This Row],[DistanceFromHome]]&lt;=10,2,IF(HR_Data[[#This Row],[DistanceFromHome]]&lt;=20,3,4)))</f>
        <v>1</v>
      </c>
      <c r="AS318" s="1" t="str">
        <f>IF(HR_Data[[#This Row],[TotalWorkingYears]]&lt;=5,"0-5 Yrs",IF(HR_Data[[#This Row],[TotalWorkingYears]]&lt;=10,"6-10 Yrs",IF(HR_Data[[#This Row],[TotalWorkingYears]]&lt;=20,"11-20 Yrs","20+ Yrs")))</f>
        <v>20+ Yrs</v>
      </c>
      <c r="AT318" s="1">
        <f>IF(HR_Data[[#This Row],[TotalWorkingYears]]&lt;=5,1,IF(HR_Data[[#This Row],[TotalWorkingYears]]&lt;=10,2,IF(HR_Data[[#This Row],[TotalWorkingYears]]&lt;=20,3,4)))</f>
        <v>4</v>
      </c>
    </row>
    <row r="319" spans="1:46" x14ac:dyDescent="0.25">
      <c r="A319">
        <v>52</v>
      </c>
      <c r="B319" t="s">
        <v>29</v>
      </c>
      <c r="C319" t="s">
        <v>30</v>
      </c>
      <c r="D319" t="s">
        <v>38</v>
      </c>
      <c r="E319">
        <v>8</v>
      </c>
      <c r="F319">
        <v>4</v>
      </c>
      <c r="G319" t="s">
        <v>44</v>
      </c>
      <c r="H319">
        <v>433</v>
      </c>
      <c r="I319">
        <v>3</v>
      </c>
      <c r="J319" t="s">
        <v>39</v>
      </c>
      <c r="K319">
        <v>2</v>
      </c>
      <c r="L319">
        <v>2</v>
      </c>
      <c r="M319" t="s">
        <v>40</v>
      </c>
      <c r="N319">
        <v>2</v>
      </c>
      <c r="O319" t="s">
        <v>41</v>
      </c>
      <c r="P319">
        <v>4941</v>
      </c>
      <c r="Q319">
        <v>2</v>
      </c>
      <c r="R319" t="s">
        <v>36</v>
      </c>
      <c r="S319">
        <v>15</v>
      </c>
      <c r="T319">
        <v>3</v>
      </c>
      <c r="U319">
        <v>1</v>
      </c>
      <c r="V319">
        <v>0</v>
      </c>
      <c r="W319">
        <v>11</v>
      </c>
      <c r="X319">
        <v>3</v>
      </c>
      <c r="Y319">
        <v>2</v>
      </c>
      <c r="Z319">
        <v>8</v>
      </c>
      <c r="AA319">
        <v>2</v>
      </c>
      <c r="AB319">
        <v>7</v>
      </c>
      <c r="AC319">
        <v>7</v>
      </c>
      <c r="AD319">
        <f>IF(HR_Data[[#This Row],[Attrition]]="Yes",1,0)</f>
        <v>1</v>
      </c>
      <c r="AE319" t="str">
        <f>IF(HR_Data[[#This Row],[Age]]&lt;=25,"18-25",IF(HR_Data[[#This Row],[Age]]&lt;=35,"26-35",IF(HR_Data[[#This Row],[Age]]&lt;=45,"36-45",IF(HR_Data[[#This Row],[Age]]&lt;=55,"46-55","55+"))))</f>
        <v>46-55</v>
      </c>
      <c r="AF319">
        <f>IF(HR_Data[[#This Row],[Age]]&lt;=25,1,IF(HR_Data[[#This Row],[Age]]&lt;=35,2,IF(HR_Data[[#This Row],[Age]]&lt;=45,3,IF(HR_Data[[#This Row],[Age]]&lt;=55,4,5))))</f>
        <v>4</v>
      </c>
      <c r="AG319" s="1" t="str">
        <f>IF(HR_Data[[#This Row],[MonthlyIncome]]&lt;3000,"&lt;3K",IF(HR_Data[[#This Row],[MonthlyIncome]]&lt;6000,"3K-6K",IF(HR_Data[[#This Row],[MonthlyIncome]]&lt;10000,"6K-10K","10K+")))</f>
        <v>3K-6K</v>
      </c>
      <c r="AH319" s="1">
        <f>IF(HR_Data[[#This Row],[MonthlyIncome]]&lt;3000,1,IF(HR_Data[[#This Row],[MonthlyIncome]]&lt;6000,2,IF(HR_Data[[#This Row],[MonthlyIncome]]&lt;10000,3,4)))</f>
        <v>2</v>
      </c>
      <c r="AI319" s="1" t="str">
        <f>IF(HR_Data[[#This Row],[YearsAtCompany]]&lt;=2,"0-2 Yrs",IF(HR_Data[[#This Row],[YearsAtCompany]]&lt;=5,"3-5 Yrs",IF(HR_Data[[#This Row],[YearsAtCompany]]&lt;=10,"6-10 Yrs","10+ Yrs")))</f>
        <v>6-10 Yrs</v>
      </c>
      <c r="AJ319" s="1">
        <f>IF(HR_Data[[#This Row],[YearsAtCompany]]&lt;=2,1,IF(HR_Data[[#This Row],[YearsAtCompany]]&lt;=5,2,IF(HR_Data[[#This Row],[YearsAtCompany]]&lt;=10,3,4)))</f>
        <v>3</v>
      </c>
      <c r="AK319" s="1" t="str">
        <f>CHOOSE(HR_Data[[#This Row],[Education]],"Below College","College","Bachelor","Master","Doctor")</f>
        <v>Master</v>
      </c>
      <c r="AL319" s="1" t="str">
        <f>CHOOSE(HR_Data[[#This Row],[JobSatisfaction]],"Low","Medium","High","Very High")</f>
        <v>Medium</v>
      </c>
      <c r="AM319" s="1" t="str">
        <f>CHOOSE(HR_Data[[#This Row],[EnvironmentSatisfaction]],"Low","Medium","High","Very High")</f>
        <v>High</v>
      </c>
      <c r="AN319" s="1" t="str">
        <f>CHOOSE(HR_Data[[#This Row],[WorkLifeBalance]],"Bad","Good","Better","Best")</f>
        <v>Good</v>
      </c>
      <c r="AO319" s="1" t="str">
        <f>IF(HR_Data[[#This Row],[PercentSalaryHike]]&lt;=13,"11-13%",IF(HR_Data[[#This Row],[PercentSalaryHike]]&lt;=16,"14-16%",IF(HR_Data[[#This Row],[PercentSalaryHike]]&lt;=19,"17-19%","20-25%")))</f>
        <v>14-16%</v>
      </c>
      <c r="AP319" s="1">
        <f>IF(HR_Data[[#This Row],[PercentSalaryHike]]&lt;=13,1,IF(HR_Data[[#This Row],[PercentSalaryHike]]&lt;=16,2,IF(HR_Data[[#This Row],[PercentSalaryHike]]&lt;=19,3,4)))</f>
        <v>2</v>
      </c>
      <c r="AQ319" s="1" t="str">
        <f>IF(HR_Data[[#This Row],[DistanceFromHome]]&lt;=5,"1 to 5",IF(HR_Data[[#This Row],[DistanceFromHome]]&lt;=10,"6 to 10",IF(HR_Data[[#This Row],[DistanceFromHome]]&lt;=20,"11 to 20","21 to 29")))</f>
        <v>6 to 10</v>
      </c>
      <c r="AR319" s="1">
        <f>IF(HR_Data[[#This Row],[DistanceFromHome]]&lt;=5,1,IF(HR_Data[[#This Row],[DistanceFromHome]]&lt;=10,2,IF(HR_Data[[#This Row],[DistanceFromHome]]&lt;=20,3,4)))</f>
        <v>2</v>
      </c>
      <c r="AS319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319" s="1">
        <f>IF(HR_Data[[#This Row],[TotalWorkingYears]]&lt;=5,1,IF(HR_Data[[#This Row],[TotalWorkingYears]]&lt;=10,2,IF(HR_Data[[#This Row],[TotalWorkingYears]]&lt;=20,3,4)))</f>
        <v>3</v>
      </c>
    </row>
    <row r="320" spans="1:46" x14ac:dyDescent="0.25">
      <c r="A320">
        <v>27</v>
      </c>
      <c r="B320" t="s">
        <v>36</v>
      </c>
      <c r="C320" t="s">
        <v>30</v>
      </c>
      <c r="D320" t="s">
        <v>38</v>
      </c>
      <c r="E320">
        <v>5</v>
      </c>
      <c r="F320">
        <v>3</v>
      </c>
      <c r="G320" t="s">
        <v>32</v>
      </c>
      <c r="H320">
        <v>434</v>
      </c>
      <c r="I320">
        <v>3</v>
      </c>
      <c r="J320" t="s">
        <v>33</v>
      </c>
      <c r="K320">
        <v>3</v>
      </c>
      <c r="L320">
        <v>1</v>
      </c>
      <c r="M320" t="s">
        <v>40</v>
      </c>
      <c r="N320">
        <v>2</v>
      </c>
      <c r="O320" t="s">
        <v>35</v>
      </c>
      <c r="P320">
        <v>2478</v>
      </c>
      <c r="Q320">
        <v>1</v>
      </c>
      <c r="R320" t="s">
        <v>29</v>
      </c>
      <c r="S320">
        <v>12</v>
      </c>
      <c r="T320">
        <v>3</v>
      </c>
      <c r="U320">
        <v>2</v>
      </c>
      <c r="V320">
        <v>0</v>
      </c>
      <c r="W320">
        <v>4</v>
      </c>
      <c r="X320">
        <v>2</v>
      </c>
      <c r="Y320">
        <v>2</v>
      </c>
      <c r="Z320">
        <v>4</v>
      </c>
      <c r="AA320">
        <v>3</v>
      </c>
      <c r="AB320">
        <v>1</v>
      </c>
      <c r="AC320">
        <v>2</v>
      </c>
      <c r="AD320">
        <f>IF(HR_Data[[#This Row],[Attrition]]="Yes",1,0)</f>
        <v>0</v>
      </c>
      <c r="AE320" t="str">
        <f>IF(HR_Data[[#This Row],[Age]]&lt;=25,"18-25",IF(HR_Data[[#This Row],[Age]]&lt;=35,"26-35",IF(HR_Data[[#This Row],[Age]]&lt;=45,"36-45",IF(HR_Data[[#This Row],[Age]]&lt;=55,"46-55","55+"))))</f>
        <v>26-35</v>
      </c>
      <c r="AF320">
        <f>IF(HR_Data[[#This Row],[Age]]&lt;=25,1,IF(HR_Data[[#This Row],[Age]]&lt;=35,2,IF(HR_Data[[#This Row],[Age]]&lt;=45,3,IF(HR_Data[[#This Row],[Age]]&lt;=55,4,5))))</f>
        <v>2</v>
      </c>
      <c r="AG320" s="1" t="str">
        <f>IF(HR_Data[[#This Row],[MonthlyIncome]]&lt;3000,"&lt;3K",IF(HR_Data[[#This Row],[MonthlyIncome]]&lt;6000,"3K-6K",IF(HR_Data[[#This Row],[MonthlyIncome]]&lt;10000,"6K-10K","10K+")))</f>
        <v>&lt;3K</v>
      </c>
      <c r="AH320" s="1">
        <f>IF(HR_Data[[#This Row],[MonthlyIncome]]&lt;3000,1,IF(HR_Data[[#This Row],[MonthlyIncome]]&lt;6000,2,IF(HR_Data[[#This Row],[MonthlyIncome]]&lt;10000,3,4)))</f>
        <v>1</v>
      </c>
      <c r="AI320" s="1" t="str">
        <f>IF(HR_Data[[#This Row],[YearsAtCompany]]&lt;=2,"0-2 Yrs",IF(HR_Data[[#This Row],[YearsAtCompany]]&lt;=5,"3-5 Yrs",IF(HR_Data[[#This Row],[YearsAtCompany]]&lt;=10,"6-10 Yrs","10+ Yrs")))</f>
        <v>3-5 Yrs</v>
      </c>
      <c r="AJ320" s="1">
        <f>IF(HR_Data[[#This Row],[YearsAtCompany]]&lt;=2,1,IF(HR_Data[[#This Row],[YearsAtCompany]]&lt;=5,2,IF(HR_Data[[#This Row],[YearsAtCompany]]&lt;=10,3,4)))</f>
        <v>2</v>
      </c>
      <c r="AK320" s="1" t="str">
        <f>CHOOSE(HR_Data[[#This Row],[Education]],"Below College","College","Bachelor","Master","Doctor")</f>
        <v>Bachelor</v>
      </c>
      <c r="AL320" s="1" t="str">
        <f>CHOOSE(HR_Data[[#This Row],[JobSatisfaction]],"Low","Medium","High","Very High")</f>
        <v>Medium</v>
      </c>
      <c r="AM320" s="1" t="str">
        <f>CHOOSE(HR_Data[[#This Row],[EnvironmentSatisfaction]],"Low","Medium","High","Very High")</f>
        <v>High</v>
      </c>
      <c r="AN320" s="1" t="str">
        <f>CHOOSE(HR_Data[[#This Row],[WorkLifeBalance]],"Bad","Good","Better","Best")</f>
        <v>Good</v>
      </c>
      <c r="AO320" s="1" t="str">
        <f>IF(HR_Data[[#This Row],[PercentSalaryHike]]&lt;=13,"11-13%",IF(HR_Data[[#This Row],[PercentSalaryHike]]&lt;=16,"14-16%",IF(HR_Data[[#This Row],[PercentSalaryHike]]&lt;=19,"17-19%","20-25%")))</f>
        <v>11-13%</v>
      </c>
      <c r="AP320" s="1">
        <f>IF(HR_Data[[#This Row],[PercentSalaryHike]]&lt;=13,1,IF(HR_Data[[#This Row],[PercentSalaryHike]]&lt;=16,2,IF(HR_Data[[#This Row],[PercentSalaryHike]]&lt;=19,3,4)))</f>
        <v>1</v>
      </c>
      <c r="AQ320" s="1" t="str">
        <f>IF(HR_Data[[#This Row],[DistanceFromHome]]&lt;=5,"1 to 5",IF(HR_Data[[#This Row],[DistanceFromHome]]&lt;=10,"6 to 10",IF(HR_Data[[#This Row],[DistanceFromHome]]&lt;=20,"11 to 20","21 to 29")))</f>
        <v>1 to 5</v>
      </c>
      <c r="AR320" s="1">
        <f>IF(HR_Data[[#This Row],[DistanceFromHome]]&lt;=5,1,IF(HR_Data[[#This Row],[DistanceFromHome]]&lt;=10,2,IF(HR_Data[[#This Row],[DistanceFromHome]]&lt;=20,3,4)))</f>
        <v>1</v>
      </c>
      <c r="AS320" s="1" t="str">
        <f>IF(HR_Data[[#This Row],[TotalWorkingYears]]&lt;=5,"0-5 Yrs",IF(HR_Data[[#This Row],[TotalWorkingYears]]&lt;=10,"6-10 Yrs",IF(HR_Data[[#This Row],[TotalWorkingYears]]&lt;=20,"11-20 Yrs","20+ Yrs")))</f>
        <v>0-5 Yrs</v>
      </c>
      <c r="AT320" s="1">
        <f>IF(HR_Data[[#This Row],[TotalWorkingYears]]&lt;=5,1,IF(HR_Data[[#This Row],[TotalWorkingYears]]&lt;=10,2,IF(HR_Data[[#This Row],[TotalWorkingYears]]&lt;=20,3,4)))</f>
        <v>1</v>
      </c>
    </row>
    <row r="321" spans="1:46" x14ac:dyDescent="0.25">
      <c r="A321">
        <v>32</v>
      </c>
      <c r="B321" t="s">
        <v>36</v>
      </c>
      <c r="C321" t="s">
        <v>30</v>
      </c>
      <c r="D321" t="s">
        <v>31</v>
      </c>
      <c r="E321">
        <v>8</v>
      </c>
      <c r="F321">
        <v>2</v>
      </c>
      <c r="G321" t="s">
        <v>53</v>
      </c>
      <c r="H321">
        <v>436</v>
      </c>
      <c r="I321">
        <v>3</v>
      </c>
      <c r="J321" t="s">
        <v>33</v>
      </c>
      <c r="K321">
        <v>2</v>
      </c>
      <c r="L321">
        <v>2</v>
      </c>
      <c r="M321" t="s">
        <v>34</v>
      </c>
      <c r="N321">
        <v>2</v>
      </c>
      <c r="O321" t="s">
        <v>41</v>
      </c>
      <c r="P321">
        <v>5228</v>
      </c>
      <c r="Q321">
        <v>1</v>
      </c>
      <c r="R321" t="s">
        <v>29</v>
      </c>
      <c r="S321">
        <v>11</v>
      </c>
      <c r="T321">
        <v>3</v>
      </c>
      <c r="U321">
        <v>4</v>
      </c>
      <c r="V321">
        <v>0</v>
      </c>
      <c r="W321">
        <v>13</v>
      </c>
      <c r="X321">
        <v>2</v>
      </c>
      <c r="Y321">
        <v>3</v>
      </c>
      <c r="Z321">
        <v>13</v>
      </c>
      <c r="AA321">
        <v>12</v>
      </c>
      <c r="AB321">
        <v>11</v>
      </c>
      <c r="AC321">
        <v>9</v>
      </c>
      <c r="AD321">
        <f>IF(HR_Data[[#This Row],[Attrition]]="Yes",1,0)</f>
        <v>0</v>
      </c>
      <c r="AE321" t="str">
        <f>IF(HR_Data[[#This Row],[Age]]&lt;=25,"18-25",IF(HR_Data[[#This Row],[Age]]&lt;=35,"26-35",IF(HR_Data[[#This Row],[Age]]&lt;=45,"36-45",IF(HR_Data[[#This Row],[Age]]&lt;=55,"46-55","55+"))))</f>
        <v>26-35</v>
      </c>
      <c r="AF321">
        <f>IF(HR_Data[[#This Row],[Age]]&lt;=25,1,IF(HR_Data[[#This Row],[Age]]&lt;=35,2,IF(HR_Data[[#This Row],[Age]]&lt;=45,3,IF(HR_Data[[#This Row],[Age]]&lt;=55,4,5))))</f>
        <v>2</v>
      </c>
      <c r="AG321" s="1" t="str">
        <f>IF(HR_Data[[#This Row],[MonthlyIncome]]&lt;3000,"&lt;3K",IF(HR_Data[[#This Row],[MonthlyIncome]]&lt;6000,"3K-6K",IF(HR_Data[[#This Row],[MonthlyIncome]]&lt;10000,"6K-10K","10K+")))</f>
        <v>3K-6K</v>
      </c>
      <c r="AH321" s="1">
        <f>IF(HR_Data[[#This Row],[MonthlyIncome]]&lt;3000,1,IF(HR_Data[[#This Row],[MonthlyIncome]]&lt;6000,2,IF(HR_Data[[#This Row],[MonthlyIncome]]&lt;10000,3,4)))</f>
        <v>2</v>
      </c>
      <c r="AI321" s="1" t="str">
        <f>IF(HR_Data[[#This Row],[YearsAtCompany]]&lt;=2,"0-2 Yrs",IF(HR_Data[[#This Row],[YearsAtCompany]]&lt;=5,"3-5 Yrs",IF(HR_Data[[#This Row],[YearsAtCompany]]&lt;=10,"6-10 Yrs","10+ Yrs")))</f>
        <v>10+ Yrs</v>
      </c>
      <c r="AJ321" s="1">
        <f>IF(HR_Data[[#This Row],[YearsAtCompany]]&lt;=2,1,IF(HR_Data[[#This Row],[YearsAtCompany]]&lt;=5,2,IF(HR_Data[[#This Row],[YearsAtCompany]]&lt;=10,3,4)))</f>
        <v>4</v>
      </c>
      <c r="AK321" s="1" t="str">
        <f>CHOOSE(HR_Data[[#This Row],[Education]],"Below College","College","Bachelor","Master","Doctor")</f>
        <v>College</v>
      </c>
      <c r="AL321" s="1" t="str">
        <f>CHOOSE(HR_Data[[#This Row],[JobSatisfaction]],"Low","Medium","High","Very High")</f>
        <v>Medium</v>
      </c>
      <c r="AM321" s="1" t="str">
        <f>CHOOSE(HR_Data[[#This Row],[EnvironmentSatisfaction]],"Low","Medium","High","Very High")</f>
        <v>High</v>
      </c>
      <c r="AN321" s="1" t="str">
        <f>CHOOSE(HR_Data[[#This Row],[WorkLifeBalance]],"Bad","Good","Better","Best")</f>
        <v>Better</v>
      </c>
      <c r="AO321" s="1" t="str">
        <f>IF(HR_Data[[#This Row],[PercentSalaryHike]]&lt;=13,"11-13%",IF(HR_Data[[#This Row],[PercentSalaryHike]]&lt;=16,"14-16%",IF(HR_Data[[#This Row],[PercentSalaryHike]]&lt;=19,"17-19%","20-25%")))</f>
        <v>11-13%</v>
      </c>
      <c r="AP321" s="1">
        <f>IF(HR_Data[[#This Row],[PercentSalaryHike]]&lt;=13,1,IF(HR_Data[[#This Row],[PercentSalaryHike]]&lt;=16,2,IF(HR_Data[[#This Row],[PercentSalaryHike]]&lt;=19,3,4)))</f>
        <v>1</v>
      </c>
      <c r="AQ321" s="1" t="str">
        <f>IF(HR_Data[[#This Row],[DistanceFromHome]]&lt;=5,"1 to 5",IF(HR_Data[[#This Row],[DistanceFromHome]]&lt;=10,"6 to 10",IF(HR_Data[[#This Row],[DistanceFromHome]]&lt;=20,"11 to 20","21 to 29")))</f>
        <v>6 to 10</v>
      </c>
      <c r="AR321" s="1">
        <f>IF(HR_Data[[#This Row],[DistanceFromHome]]&lt;=5,1,IF(HR_Data[[#This Row],[DistanceFromHome]]&lt;=10,2,IF(HR_Data[[#This Row],[DistanceFromHome]]&lt;=20,3,4)))</f>
        <v>2</v>
      </c>
      <c r="AS321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321" s="1">
        <f>IF(HR_Data[[#This Row],[TotalWorkingYears]]&lt;=5,1,IF(HR_Data[[#This Row],[TotalWorkingYears]]&lt;=10,2,IF(HR_Data[[#This Row],[TotalWorkingYears]]&lt;=20,3,4)))</f>
        <v>3</v>
      </c>
    </row>
    <row r="322" spans="1:46" x14ac:dyDescent="0.25">
      <c r="A322">
        <v>27</v>
      </c>
      <c r="B322" t="s">
        <v>36</v>
      </c>
      <c r="C322" t="s">
        <v>30</v>
      </c>
      <c r="D322" t="s">
        <v>31</v>
      </c>
      <c r="E322">
        <v>2</v>
      </c>
      <c r="F322">
        <v>3</v>
      </c>
      <c r="G322" t="s">
        <v>32</v>
      </c>
      <c r="H322">
        <v>437</v>
      </c>
      <c r="I322">
        <v>4</v>
      </c>
      <c r="J322" t="s">
        <v>39</v>
      </c>
      <c r="K322">
        <v>3</v>
      </c>
      <c r="L322">
        <v>2</v>
      </c>
      <c r="M322" t="s">
        <v>34</v>
      </c>
      <c r="N322">
        <v>3</v>
      </c>
      <c r="O322" t="s">
        <v>35</v>
      </c>
      <c r="P322">
        <v>4478</v>
      </c>
      <c r="Q322">
        <v>1</v>
      </c>
      <c r="R322" t="s">
        <v>29</v>
      </c>
      <c r="S322">
        <v>11</v>
      </c>
      <c r="T322">
        <v>3</v>
      </c>
      <c r="U322">
        <v>1</v>
      </c>
      <c r="V322">
        <v>0</v>
      </c>
      <c r="W322">
        <v>5</v>
      </c>
      <c r="X322">
        <v>3</v>
      </c>
      <c r="Y322">
        <v>3</v>
      </c>
      <c r="Z322">
        <v>5</v>
      </c>
      <c r="AA322">
        <v>4</v>
      </c>
      <c r="AB322">
        <v>0</v>
      </c>
      <c r="AC322">
        <v>4</v>
      </c>
      <c r="AD322">
        <f>IF(HR_Data[[#This Row],[Attrition]]="Yes",1,0)</f>
        <v>0</v>
      </c>
      <c r="AE322" t="str">
        <f>IF(HR_Data[[#This Row],[Age]]&lt;=25,"18-25",IF(HR_Data[[#This Row],[Age]]&lt;=35,"26-35",IF(HR_Data[[#This Row],[Age]]&lt;=45,"36-45",IF(HR_Data[[#This Row],[Age]]&lt;=55,"46-55","55+"))))</f>
        <v>26-35</v>
      </c>
      <c r="AF322">
        <f>IF(HR_Data[[#This Row],[Age]]&lt;=25,1,IF(HR_Data[[#This Row],[Age]]&lt;=35,2,IF(HR_Data[[#This Row],[Age]]&lt;=45,3,IF(HR_Data[[#This Row],[Age]]&lt;=55,4,5))))</f>
        <v>2</v>
      </c>
      <c r="AG322" s="1" t="str">
        <f>IF(HR_Data[[#This Row],[MonthlyIncome]]&lt;3000,"&lt;3K",IF(HR_Data[[#This Row],[MonthlyIncome]]&lt;6000,"3K-6K",IF(HR_Data[[#This Row],[MonthlyIncome]]&lt;10000,"6K-10K","10K+")))</f>
        <v>3K-6K</v>
      </c>
      <c r="AH322" s="1">
        <f>IF(HR_Data[[#This Row],[MonthlyIncome]]&lt;3000,1,IF(HR_Data[[#This Row],[MonthlyIncome]]&lt;6000,2,IF(HR_Data[[#This Row],[MonthlyIncome]]&lt;10000,3,4)))</f>
        <v>2</v>
      </c>
      <c r="AI322" s="1" t="str">
        <f>IF(HR_Data[[#This Row],[YearsAtCompany]]&lt;=2,"0-2 Yrs",IF(HR_Data[[#This Row],[YearsAtCompany]]&lt;=5,"3-5 Yrs",IF(HR_Data[[#This Row],[YearsAtCompany]]&lt;=10,"6-10 Yrs","10+ Yrs")))</f>
        <v>3-5 Yrs</v>
      </c>
      <c r="AJ322" s="1">
        <f>IF(HR_Data[[#This Row],[YearsAtCompany]]&lt;=2,1,IF(HR_Data[[#This Row],[YearsAtCompany]]&lt;=5,2,IF(HR_Data[[#This Row],[YearsAtCompany]]&lt;=10,3,4)))</f>
        <v>2</v>
      </c>
      <c r="AK322" s="1" t="str">
        <f>CHOOSE(HR_Data[[#This Row],[Education]],"Below College","College","Bachelor","Master","Doctor")</f>
        <v>Bachelor</v>
      </c>
      <c r="AL322" s="1" t="str">
        <f>CHOOSE(HR_Data[[#This Row],[JobSatisfaction]],"Low","Medium","High","Very High")</f>
        <v>High</v>
      </c>
      <c r="AM322" s="1" t="str">
        <f>CHOOSE(HR_Data[[#This Row],[EnvironmentSatisfaction]],"Low","Medium","High","Very High")</f>
        <v>Very High</v>
      </c>
      <c r="AN322" s="1" t="str">
        <f>CHOOSE(HR_Data[[#This Row],[WorkLifeBalance]],"Bad","Good","Better","Best")</f>
        <v>Better</v>
      </c>
      <c r="AO322" s="1" t="str">
        <f>IF(HR_Data[[#This Row],[PercentSalaryHike]]&lt;=13,"11-13%",IF(HR_Data[[#This Row],[PercentSalaryHike]]&lt;=16,"14-16%",IF(HR_Data[[#This Row],[PercentSalaryHike]]&lt;=19,"17-19%","20-25%")))</f>
        <v>11-13%</v>
      </c>
      <c r="AP322" s="1">
        <f>IF(HR_Data[[#This Row],[PercentSalaryHike]]&lt;=13,1,IF(HR_Data[[#This Row],[PercentSalaryHike]]&lt;=16,2,IF(HR_Data[[#This Row],[PercentSalaryHike]]&lt;=19,3,4)))</f>
        <v>1</v>
      </c>
      <c r="AQ322" s="1" t="str">
        <f>IF(HR_Data[[#This Row],[DistanceFromHome]]&lt;=5,"1 to 5",IF(HR_Data[[#This Row],[DistanceFromHome]]&lt;=10,"6 to 10",IF(HR_Data[[#This Row],[DistanceFromHome]]&lt;=20,"11 to 20","21 to 29")))</f>
        <v>1 to 5</v>
      </c>
      <c r="AR322" s="1">
        <f>IF(HR_Data[[#This Row],[DistanceFromHome]]&lt;=5,1,IF(HR_Data[[#This Row],[DistanceFromHome]]&lt;=10,2,IF(HR_Data[[#This Row],[DistanceFromHome]]&lt;=20,3,4)))</f>
        <v>1</v>
      </c>
      <c r="AS322" s="1" t="str">
        <f>IF(HR_Data[[#This Row],[TotalWorkingYears]]&lt;=5,"0-5 Yrs",IF(HR_Data[[#This Row],[TotalWorkingYears]]&lt;=10,"6-10 Yrs",IF(HR_Data[[#This Row],[TotalWorkingYears]]&lt;=20,"11-20 Yrs","20+ Yrs")))</f>
        <v>0-5 Yrs</v>
      </c>
      <c r="AT322" s="1">
        <f>IF(HR_Data[[#This Row],[TotalWorkingYears]]&lt;=5,1,IF(HR_Data[[#This Row],[TotalWorkingYears]]&lt;=10,2,IF(HR_Data[[#This Row],[TotalWorkingYears]]&lt;=20,3,4)))</f>
        <v>1</v>
      </c>
    </row>
    <row r="323" spans="1:46" x14ac:dyDescent="0.25">
      <c r="A323">
        <v>31</v>
      </c>
      <c r="B323" t="s">
        <v>36</v>
      </c>
      <c r="C323" t="s">
        <v>30</v>
      </c>
      <c r="D323" t="s">
        <v>31</v>
      </c>
      <c r="E323">
        <v>7</v>
      </c>
      <c r="F323">
        <v>3</v>
      </c>
      <c r="G323" t="s">
        <v>52</v>
      </c>
      <c r="H323">
        <v>438</v>
      </c>
      <c r="I323">
        <v>4</v>
      </c>
      <c r="J323" t="s">
        <v>39</v>
      </c>
      <c r="K323">
        <v>3</v>
      </c>
      <c r="L323">
        <v>2</v>
      </c>
      <c r="M323" t="s">
        <v>34</v>
      </c>
      <c r="N323">
        <v>4</v>
      </c>
      <c r="O323" t="s">
        <v>45</v>
      </c>
      <c r="P323">
        <v>7547</v>
      </c>
      <c r="Q323">
        <v>4</v>
      </c>
      <c r="R323" t="s">
        <v>36</v>
      </c>
      <c r="S323">
        <v>12</v>
      </c>
      <c r="T323">
        <v>3</v>
      </c>
      <c r="U323">
        <v>4</v>
      </c>
      <c r="V323">
        <v>3</v>
      </c>
      <c r="W323">
        <v>13</v>
      </c>
      <c r="X323">
        <v>3</v>
      </c>
      <c r="Y323">
        <v>3</v>
      </c>
      <c r="Z323">
        <v>7</v>
      </c>
      <c r="AA323">
        <v>7</v>
      </c>
      <c r="AB323">
        <v>1</v>
      </c>
      <c r="AC323">
        <v>7</v>
      </c>
      <c r="AD323">
        <f>IF(HR_Data[[#This Row],[Attrition]]="Yes",1,0)</f>
        <v>0</v>
      </c>
      <c r="AE323" t="str">
        <f>IF(HR_Data[[#This Row],[Age]]&lt;=25,"18-25",IF(HR_Data[[#This Row],[Age]]&lt;=35,"26-35",IF(HR_Data[[#This Row],[Age]]&lt;=45,"36-45",IF(HR_Data[[#This Row],[Age]]&lt;=55,"46-55","55+"))))</f>
        <v>26-35</v>
      </c>
      <c r="AF323">
        <f>IF(HR_Data[[#This Row],[Age]]&lt;=25,1,IF(HR_Data[[#This Row],[Age]]&lt;=35,2,IF(HR_Data[[#This Row],[Age]]&lt;=45,3,IF(HR_Data[[#This Row],[Age]]&lt;=55,4,5))))</f>
        <v>2</v>
      </c>
      <c r="AG323" s="1" t="str">
        <f>IF(HR_Data[[#This Row],[MonthlyIncome]]&lt;3000,"&lt;3K",IF(HR_Data[[#This Row],[MonthlyIncome]]&lt;6000,"3K-6K",IF(HR_Data[[#This Row],[MonthlyIncome]]&lt;10000,"6K-10K","10K+")))</f>
        <v>6K-10K</v>
      </c>
      <c r="AH323" s="1">
        <f>IF(HR_Data[[#This Row],[MonthlyIncome]]&lt;3000,1,IF(HR_Data[[#This Row],[MonthlyIncome]]&lt;6000,2,IF(HR_Data[[#This Row],[MonthlyIncome]]&lt;10000,3,4)))</f>
        <v>3</v>
      </c>
      <c r="AI323" s="1" t="str">
        <f>IF(HR_Data[[#This Row],[YearsAtCompany]]&lt;=2,"0-2 Yrs",IF(HR_Data[[#This Row],[YearsAtCompany]]&lt;=5,"3-5 Yrs",IF(HR_Data[[#This Row],[YearsAtCompany]]&lt;=10,"6-10 Yrs","10+ Yrs")))</f>
        <v>6-10 Yrs</v>
      </c>
      <c r="AJ323" s="1">
        <f>IF(HR_Data[[#This Row],[YearsAtCompany]]&lt;=2,1,IF(HR_Data[[#This Row],[YearsAtCompany]]&lt;=5,2,IF(HR_Data[[#This Row],[YearsAtCompany]]&lt;=10,3,4)))</f>
        <v>3</v>
      </c>
      <c r="AK323" s="1" t="str">
        <f>CHOOSE(HR_Data[[#This Row],[Education]],"Below College","College","Bachelor","Master","Doctor")</f>
        <v>Bachelor</v>
      </c>
      <c r="AL323" s="1" t="str">
        <f>CHOOSE(HR_Data[[#This Row],[JobSatisfaction]],"Low","Medium","High","Very High")</f>
        <v>Very High</v>
      </c>
      <c r="AM323" s="1" t="str">
        <f>CHOOSE(HR_Data[[#This Row],[EnvironmentSatisfaction]],"Low","Medium","High","Very High")</f>
        <v>Very High</v>
      </c>
      <c r="AN323" s="1" t="str">
        <f>CHOOSE(HR_Data[[#This Row],[WorkLifeBalance]],"Bad","Good","Better","Best")</f>
        <v>Better</v>
      </c>
      <c r="AO323" s="1" t="str">
        <f>IF(HR_Data[[#This Row],[PercentSalaryHike]]&lt;=13,"11-13%",IF(HR_Data[[#This Row],[PercentSalaryHike]]&lt;=16,"14-16%",IF(HR_Data[[#This Row],[PercentSalaryHike]]&lt;=19,"17-19%","20-25%")))</f>
        <v>11-13%</v>
      </c>
      <c r="AP323" s="1">
        <f>IF(HR_Data[[#This Row],[PercentSalaryHike]]&lt;=13,1,IF(HR_Data[[#This Row],[PercentSalaryHike]]&lt;=16,2,IF(HR_Data[[#This Row],[PercentSalaryHike]]&lt;=19,3,4)))</f>
        <v>1</v>
      </c>
      <c r="AQ323" s="1" t="str">
        <f>IF(HR_Data[[#This Row],[DistanceFromHome]]&lt;=5,"1 to 5",IF(HR_Data[[#This Row],[DistanceFromHome]]&lt;=10,"6 to 10",IF(HR_Data[[#This Row],[DistanceFromHome]]&lt;=20,"11 to 20","21 to 29")))</f>
        <v>6 to 10</v>
      </c>
      <c r="AR323" s="1">
        <f>IF(HR_Data[[#This Row],[DistanceFromHome]]&lt;=5,1,IF(HR_Data[[#This Row],[DistanceFromHome]]&lt;=10,2,IF(HR_Data[[#This Row],[DistanceFromHome]]&lt;=20,3,4)))</f>
        <v>2</v>
      </c>
      <c r="AS323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323" s="1">
        <f>IF(HR_Data[[#This Row],[TotalWorkingYears]]&lt;=5,1,IF(HR_Data[[#This Row],[TotalWorkingYears]]&lt;=10,2,IF(HR_Data[[#This Row],[TotalWorkingYears]]&lt;=20,3,4)))</f>
        <v>3</v>
      </c>
    </row>
    <row r="324" spans="1:46" x14ac:dyDescent="0.25">
      <c r="A324">
        <v>32</v>
      </c>
      <c r="B324" t="s">
        <v>36</v>
      </c>
      <c r="C324" t="s">
        <v>30</v>
      </c>
      <c r="D324" t="s">
        <v>38</v>
      </c>
      <c r="E324">
        <v>2</v>
      </c>
      <c r="F324">
        <v>4</v>
      </c>
      <c r="G324" t="s">
        <v>44</v>
      </c>
      <c r="H324">
        <v>439</v>
      </c>
      <c r="I324">
        <v>1</v>
      </c>
      <c r="J324" t="s">
        <v>33</v>
      </c>
      <c r="K324">
        <v>4</v>
      </c>
      <c r="L324">
        <v>2</v>
      </c>
      <c r="M324" t="s">
        <v>40</v>
      </c>
      <c r="N324">
        <v>4</v>
      </c>
      <c r="O324" t="s">
        <v>35</v>
      </c>
      <c r="P324">
        <v>5055</v>
      </c>
      <c r="Q324">
        <v>7</v>
      </c>
      <c r="R324" t="s">
        <v>36</v>
      </c>
      <c r="S324">
        <v>16</v>
      </c>
      <c r="T324">
        <v>3</v>
      </c>
      <c r="U324">
        <v>3</v>
      </c>
      <c r="V324">
        <v>0</v>
      </c>
      <c r="W324">
        <v>10</v>
      </c>
      <c r="X324">
        <v>0</v>
      </c>
      <c r="Y324">
        <v>2</v>
      </c>
      <c r="Z324">
        <v>7</v>
      </c>
      <c r="AA324">
        <v>7</v>
      </c>
      <c r="AB324">
        <v>0</v>
      </c>
      <c r="AC324">
        <v>7</v>
      </c>
      <c r="AD324">
        <f>IF(HR_Data[[#This Row],[Attrition]]="Yes",1,0)</f>
        <v>0</v>
      </c>
      <c r="AE324" t="str">
        <f>IF(HR_Data[[#This Row],[Age]]&lt;=25,"18-25",IF(HR_Data[[#This Row],[Age]]&lt;=35,"26-35",IF(HR_Data[[#This Row],[Age]]&lt;=45,"36-45",IF(HR_Data[[#This Row],[Age]]&lt;=55,"46-55","55+"))))</f>
        <v>26-35</v>
      </c>
      <c r="AF324">
        <f>IF(HR_Data[[#This Row],[Age]]&lt;=25,1,IF(HR_Data[[#This Row],[Age]]&lt;=35,2,IF(HR_Data[[#This Row],[Age]]&lt;=45,3,IF(HR_Data[[#This Row],[Age]]&lt;=55,4,5))))</f>
        <v>2</v>
      </c>
      <c r="AG324" s="1" t="str">
        <f>IF(HR_Data[[#This Row],[MonthlyIncome]]&lt;3000,"&lt;3K",IF(HR_Data[[#This Row],[MonthlyIncome]]&lt;6000,"3K-6K",IF(HR_Data[[#This Row],[MonthlyIncome]]&lt;10000,"6K-10K","10K+")))</f>
        <v>3K-6K</v>
      </c>
      <c r="AH324" s="1">
        <f>IF(HR_Data[[#This Row],[MonthlyIncome]]&lt;3000,1,IF(HR_Data[[#This Row],[MonthlyIncome]]&lt;6000,2,IF(HR_Data[[#This Row],[MonthlyIncome]]&lt;10000,3,4)))</f>
        <v>2</v>
      </c>
      <c r="AI324" s="1" t="str">
        <f>IF(HR_Data[[#This Row],[YearsAtCompany]]&lt;=2,"0-2 Yrs",IF(HR_Data[[#This Row],[YearsAtCompany]]&lt;=5,"3-5 Yrs",IF(HR_Data[[#This Row],[YearsAtCompany]]&lt;=10,"6-10 Yrs","10+ Yrs")))</f>
        <v>6-10 Yrs</v>
      </c>
      <c r="AJ324" s="1">
        <f>IF(HR_Data[[#This Row],[YearsAtCompany]]&lt;=2,1,IF(HR_Data[[#This Row],[YearsAtCompany]]&lt;=5,2,IF(HR_Data[[#This Row],[YearsAtCompany]]&lt;=10,3,4)))</f>
        <v>3</v>
      </c>
      <c r="AK324" s="1" t="str">
        <f>CHOOSE(HR_Data[[#This Row],[Education]],"Below College","College","Bachelor","Master","Doctor")</f>
        <v>Master</v>
      </c>
      <c r="AL324" s="1" t="str">
        <f>CHOOSE(HR_Data[[#This Row],[JobSatisfaction]],"Low","Medium","High","Very High")</f>
        <v>Very High</v>
      </c>
      <c r="AM324" s="1" t="str">
        <f>CHOOSE(HR_Data[[#This Row],[EnvironmentSatisfaction]],"Low","Medium","High","Very High")</f>
        <v>Low</v>
      </c>
      <c r="AN324" s="1" t="str">
        <f>CHOOSE(HR_Data[[#This Row],[WorkLifeBalance]],"Bad","Good","Better","Best")</f>
        <v>Good</v>
      </c>
      <c r="AO324" s="1" t="str">
        <f>IF(HR_Data[[#This Row],[PercentSalaryHike]]&lt;=13,"11-13%",IF(HR_Data[[#This Row],[PercentSalaryHike]]&lt;=16,"14-16%",IF(HR_Data[[#This Row],[PercentSalaryHike]]&lt;=19,"17-19%","20-25%")))</f>
        <v>14-16%</v>
      </c>
      <c r="AP324" s="1">
        <f>IF(HR_Data[[#This Row],[PercentSalaryHike]]&lt;=13,1,IF(HR_Data[[#This Row],[PercentSalaryHike]]&lt;=16,2,IF(HR_Data[[#This Row],[PercentSalaryHike]]&lt;=19,3,4)))</f>
        <v>2</v>
      </c>
      <c r="AQ324" s="1" t="str">
        <f>IF(HR_Data[[#This Row],[DistanceFromHome]]&lt;=5,"1 to 5",IF(HR_Data[[#This Row],[DistanceFromHome]]&lt;=10,"6 to 10",IF(HR_Data[[#This Row],[DistanceFromHome]]&lt;=20,"11 to 20","21 to 29")))</f>
        <v>1 to 5</v>
      </c>
      <c r="AR324" s="1">
        <f>IF(HR_Data[[#This Row],[DistanceFromHome]]&lt;=5,1,IF(HR_Data[[#This Row],[DistanceFromHome]]&lt;=10,2,IF(HR_Data[[#This Row],[DistanceFromHome]]&lt;=20,3,4)))</f>
        <v>1</v>
      </c>
      <c r="AS324" s="1" t="str">
        <f>IF(HR_Data[[#This Row],[TotalWorkingYears]]&lt;=5,"0-5 Yrs",IF(HR_Data[[#This Row],[TotalWorkingYears]]&lt;=10,"6-10 Yrs",IF(HR_Data[[#This Row],[TotalWorkingYears]]&lt;=20,"11-20 Yrs","20+ Yrs")))</f>
        <v>6-10 Yrs</v>
      </c>
      <c r="AT324" s="1">
        <f>IF(HR_Data[[#This Row],[TotalWorkingYears]]&lt;=5,1,IF(HR_Data[[#This Row],[TotalWorkingYears]]&lt;=10,2,IF(HR_Data[[#This Row],[TotalWorkingYears]]&lt;=20,3,4)))</f>
        <v>2</v>
      </c>
    </row>
    <row r="325" spans="1:46" x14ac:dyDescent="0.25">
      <c r="A325">
        <v>28</v>
      </c>
      <c r="B325" t="s">
        <v>29</v>
      </c>
      <c r="C325" t="s">
        <v>30</v>
      </c>
      <c r="D325" t="s">
        <v>38</v>
      </c>
      <c r="E325">
        <v>2</v>
      </c>
      <c r="F325">
        <v>4</v>
      </c>
      <c r="G325" t="s">
        <v>44</v>
      </c>
      <c r="H325">
        <v>440</v>
      </c>
      <c r="I325">
        <v>1</v>
      </c>
      <c r="J325" t="s">
        <v>39</v>
      </c>
      <c r="K325">
        <v>1</v>
      </c>
      <c r="L325">
        <v>1</v>
      </c>
      <c r="M325" t="s">
        <v>40</v>
      </c>
      <c r="N325">
        <v>4</v>
      </c>
      <c r="O325" t="s">
        <v>41</v>
      </c>
      <c r="P325">
        <v>3464</v>
      </c>
      <c r="Q325">
        <v>5</v>
      </c>
      <c r="R325" t="s">
        <v>29</v>
      </c>
      <c r="S325">
        <v>13</v>
      </c>
      <c r="T325">
        <v>3</v>
      </c>
      <c r="U325">
        <v>4</v>
      </c>
      <c r="V325">
        <v>0</v>
      </c>
      <c r="W325">
        <v>5</v>
      </c>
      <c r="X325">
        <v>4</v>
      </c>
      <c r="Y325">
        <v>2</v>
      </c>
      <c r="Z325">
        <v>3</v>
      </c>
      <c r="AA325">
        <v>2</v>
      </c>
      <c r="AB325">
        <v>2</v>
      </c>
      <c r="AC325">
        <v>2</v>
      </c>
      <c r="AD325">
        <f>IF(HR_Data[[#This Row],[Attrition]]="Yes",1,0)</f>
        <v>1</v>
      </c>
      <c r="AE325" t="str">
        <f>IF(HR_Data[[#This Row],[Age]]&lt;=25,"18-25",IF(HR_Data[[#This Row],[Age]]&lt;=35,"26-35",IF(HR_Data[[#This Row],[Age]]&lt;=45,"36-45",IF(HR_Data[[#This Row],[Age]]&lt;=55,"46-55","55+"))))</f>
        <v>26-35</v>
      </c>
      <c r="AF325">
        <f>IF(HR_Data[[#This Row],[Age]]&lt;=25,1,IF(HR_Data[[#This Row],[Age]]&lt;=35,2,IF(HR_Data[[#This Row],[Age]]&lt;=45,3,IF(HR_Data[[#This Row],[Age]]&lt;=55,4,5))))</f>
        <v>2</v>
      </c>
      <c r="AG325" s="1" t="str">
        <f>IF(HR_Data[[#This Row],[MonthlyIncome]]&lt;3000,"&lt;3K",IF(HR_Data[[#This Row],[MonthlyIncome]]&lt;6000,"3K-6K",IF(HR_Data[[#This Row],[MonthlyIncome]]&lt;10000,"6K-10K","10K+")))</f>
        <v>3K-6K</v>
      </c>
      <c r="AH325" s="1">
        <f>IF(HR_Data[[#This Row],[MonthlyIncome]]&lt;3000,1,IF(HR_Data[[#This Row],[MonthlyIncome]]&lt;6000,2,IF(HR_Data[[#This Row],[MonthlyIncome]]&lt;10000,3,4)))</f>
        <v>2</v>
      </c>
      <c r="AI325" s="1" t="str">
        <f>IF(HR_Data[[#This Row],[YearsAtCompany]]&lt;=2,"0-2 Yrs",IF(HR_Data[[#This Row],[YearsAtCompany]]&lt;=5,"3-5 Yrs",IF(HR_Data[[#This Row],[YearsAtCompany]]&lt;=10,"6-10 Yrs","10+ Yrs")))</f>
        <v>3-5 Yrs</v>
      </c>
      <c r="AJ325" s="1">
        <f>IF(HR_Data[[#This Row],[YearsAtCompany]]&lt;=2,1,IF(HR_Data[[#This Row],[YearsAtCompany]]&lt;=5,2,IF(HR_Data[[#This Row],[YearsAtCompany]]&lt;=10,3,4)))</f>
        <v>2</v>
      </c>
      <c r="AK325" s="1" t="str">
        <f>CHOOSE(HR_Data[[#This Row],[Education]],"Below College","College","Bachelor","Master","Doctor")</f>
        <v>Master</v>
      </c>
      <c r="AL325" s="1" t="str">
        <f>CHOOSE(HR_Data[[#This Row],[JobSatisfaction]],"Low","Medium","High","Very High")</f>
        <v>Very High</v>
      </c>
      <c r="AM325" s="1" t="str">
        <f>CHOOSE(HR_Data[[#This Row],[EnvironmentSatisfaction]],"Low","Medium","High","Very High")</f>
        <v>Low</v>
      </c>
      <c r="AN325" s="1" t="str">
        <f>CHOOSE(HR_Data[[#This Row],[WorkLifeBalance]],"Bad","Good","Better","Best")</f>
        <v>Good</v>
      </c>
      <c r="AO325" s="1" t="str">
        <f>IF(HR_Data[[#This Row],[PercentSalaryHike]]&lt;=13,"11-13%",IF(HR_Data[[#This Row],[PercentSalaryHike]]&lt;=16,"14-16%",IF(HR_Data[[#This Row],[PercentSalaryHike]]&lt;=19,"17-19%","20-25%")))</f>
        <v>11-13%</v>
      </c>
      <c r="AP325" s="1">
        <f>IF(HR_Data[[#This Row],[PercentSalaryHike]]&lt;=13,1,IF(HR_Data[[#This Row],[PercentSalaryHike]]&lt;=16,2,IF(HR_Data[[#This Row],[PercentSalaryHike]]&lt;=19,3,4)))</f>
        <v>1</v>
      </c>
      <c r="AQ325" s="1" t="str">
        <f>IF(HR_Data[[#This Row],[DistanceFromHome]]&lt;=5,"1 to 5",IF(HR_Data[[#This Row],[DistanceFromHome]]&lt;=10,"6 to 10",IF(HR_Data[[#This Row],[DistanceFromHome]]&lt;=20,"11 to 20","21 to 29")))</f>
        <v>1 to 5</v>
      </c>
      <c r="AR325" s="1">
        <f>IF(HR_Data[[#This Row],[DistanceFromHome]]&lt;=5,1,IF(HR_Data[[#This Row],[DistanceFromHome]]&lt;=10,2,IF(HR_Data[[#This Row],[DistanceFromHome]]&lt;=20,3,4)))</f>
        <v>1</v>
      </c>
      <c r="AS325" s="1" t="str">
        <f>IF(HR_Data[[#This Row],[TotalWorkingYears]]&lt;=5,"0-5 Yrs",IF(HR_Data[[#This Row],[TotalWorkingYears]]&lt;=10,"6-10 Yrs",IF(HR_Data[[#This Row],[TotalWorkingYears]]&lt;=20,"11-20 Yrs","20+ Yrs")))</f>
        <v>0-5 Yrs</v>
      </c>
      <c r="AT325" s="1">
        <f>IF(HR_Data[[#This Row],[TotalWorkingYears]]&lt;=5,1,IF(HR_Data[[#This Row],[TotalWorkingYears]]&lt;=10,2,IF(HR_Data[[#This Row],[TotalWorkingYears]]&lt;=20,3,4)))</f>
        <v>1</v>
      </c>
    </row>
    <row r="326" spans="1:46" x14ac:dyDescent="0.25">
      <c r="A326">
        <v>30</v>
      </c>
      <c r="B326" t="s">
        <v>36</v>
      </c>
      <c r="C326" t="s">
        <v>30</v>
      </c>
      <c r="D326" t="s">
        <v>38</v>
      </c>
      <c r="E326">
        <v>28</v>
      </c>
      <c r="F326">
        <v>2</v>
      </c>
      <c r="G326" t="s">
        <v>44</v>
      </c>
      <c r="H326">
        <v>441</v>
      </c>
      <c r="I326">
        <v>4</v>
      </c>
      <c r="J326" t="s">
        <v>33</v>
      </c>
      <c r="K326">
        <v>3</v>
      </c>
      <c r="L326">
        <v>2</v>
      </c>
      <c r="M326" t="s">
        <v>40</v>
      </c>
      <c r="N326">
        <v>4</v>
      </c>
      <c r="O326" t="s">
        <v>41</v>
      </c>
      <c r="P326">
        <v>5775</v>
      </c>
      <c r="Q326">
        <v>1</v>
      </c>
      <c r="R326" t="s">
        <v>36</v>
      </c>
      <c r="S326">
        <v>13</v>
      </c>
      <c r="T326">
        <v>3</v>
      </c>
      <c r="U326">
        <v>4</v>
      </c>
      <c r="V326">
        <v>2</v>
      </c>
      <c r="W326">
        <v>11</v>
      </c>
      <c r="X326">
        <v>2</v>
      </c>
      <c r="Y326">
        <v>3</v>
      </c>
      <c r="Z326">
        <v>10</v>
      </c>
      <c r="AA326">
        <v>8</v>
      </c>
      <c r="AB326">
        <v>1</v>
      </c>
      <c r="AC326">
        <v>9</v>
      </c>
      <c r="AD326">
        <f>IF(HR_Data[[#This Row],[Attrition]]="Yes",1,0)</f>
        <v>0</v>
      </c>
      <c r="AE326" t="str">
        <f>IF(HR_Data[[#This Row],[Age]]&lt;=25,"18-25",IF(HR_Data[[#This Row],[Age]]&lt;=35,"26-35",IF(HR_Data[[#This Row],[Age]]&lt;=45,"36-45",IF(HR_Data[[#This Row],[Age]]&lt;=55,"46-55","55+"))))</f>
        <v>26-35</v>
      </c>
      <c r="AF326">
        <f>IF(HR_Data[[#This Row],[Age]]&lt;=25,1,IF(HR_Data[[#This Row],[Age]]&lt;=35,2,IF(HR_Data[[#This Row],[Age]]&lt;=45,3,IF(HR_Data[[#This Row],[Age]]&lt;=55,4,5))))</f>
        <v>2</v>
      </c>
      <c r="AG326" s="1" t="str">
        <f>IF(HR_Data[[#This Row],[MonthlyIncome]]&lt;3000,"&lt;3K",IF(HR_Data[[#This Row],[MonthlyIncome]]&lt;6000,"3K-6K",IF(HR_Data[[#This Row],[MonthlyIncome]]&lt;10000,"6K-10K","10K+")))</f>
        <v>3K-6K</v>
      </c>
      <c r="AH326" s="1">
        <f>IF(HR_Data[[#This Row],[MonthlyIncome]]&lt;3000,1,IF(HR_Data[[#This Row],[MonthlyIncome]]&lt;6000,2,IF(HR_Data[[#This Row],[MonthlyIncome]]&lt;10000,3,4)))</f>
        <v>2</v>
      </c>
      <c r="AI326" s="1" t="str">
        <f>IF(HR_Data[[#This Row],[YearsAtCompany]]&lt;=2,"0-2 Yrs",IF(HR_Data[[#This Row],[YearsAtCompany]]&lt;=5,"3-5 Yrs",IF(HR_Data[[#This Row],[YearsAtCompany]]&lt;=10,"6-10 Yrs","10+ Yrs")))</f>
        <v>6-10 Yrs</v>
      </c>
      <c r="AJ326" s="1">
        <f>IF(HR_Data[[#This Row],[YearsAtCompany]]&lt;=2,1,IF(HR_Data[[#This Row],[YearsAtCompany]]&lt;=5,2,IF(HR_Data[[#This Row],[YearsAtCompany]]&lt;=10,3,4)))</f>
        <v>3</v>
      </c>
      <c r="AK326" s="1" t="str">
        <f>CHOOSE(HR_Data[[#This Row],[Education]],"Below College","College","Bachelor","Master","Doctor")</f>
        <v>College</v>
      </c>
      <c r="AL326" s="1" t="str">
        <f>CHOOSE(HR_Data[[#This Row],[JobSatisfaction]],"Low","Medium","High","Very High")</f>
        <v>Very High</v>
      </c>
      <c r="AM326" s="1" t="str">
        <f>CHOOSE(HR_Data[[#This Row],[EnvironmentSatisfaction]],"Low","Medium","High","Very High")</f>
        <v>Very High</v>
      </c>
      <c r="AN326" s="1" t="str">
        <f>CHOOSE(HR_Data[[#This Row],[WorkLifeBalance]],"Bad","Good","Better","Best")</f>
        <v>Better</v>
      </c>
      <c r="AO326" s="1" t="str">
        <f>IF(HR_Data[[#This Row],[PercentSalaryHike]]&lt;=13,"11-13%",IF(HR_Data[[#This Row],[PercentSalaryHike]]&lt;=16,"14-16%",IF(HR_Data[[#This Row],[PercentSalaryHike]]&lt;=19,"17-19%","20-25%")))</f>
        <v>11-13%</v>
      </c>
      <c r="AP326" s="1">
        <f>IF(HR_Data[[#This Row],[PercentSalaryHike]]&lt;=13,1,IF(HR_Data[[#This Row],[PercentSalaryHike]]&lt;=16,2,IF(HR_Data[[#This Row],[PercentSalaryHike]]&lt;=19,3,4)))</f>
        <v>1</v>
      </c>
      <c r="AQ326" s="1" t="str">
        <f>IF(HR_Data[[#This Row],[DistanceFromHome]]&lt;=5,"1 to 5",IF(HR_Data[[#This Row],[DistanceFromHome]]&lt;=10,"6 to 10",IF(HR_Data[[#This Row],[DistanceFromHome]]&lt;=20,"11 to 20","21 to 29")))</f>
        <v>21 to 29</v>
      </c>
      <c r="AR326" s="1">
        <f>IF(HR_Data[[#This Row],[DistanceFromHome]]&lt;=5,1,IF(HR_Data[[#This Row],[DistanceFromHome]]&lt;=10,2,IF(HR_Data[[#This Row],[DistanceFromHome]]&lt;=20,3,4)))</f>
        <v>4</v>
      </c>
      <c r="AS326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326" s="1">
        <f>IF(HR_Data[[#This Row],[TotalWorkingYears]]&lt;=5,1,IF(HR_Data[[#This Row],[TotalWorkingYears]]&lt;=10,2,IF(HR_Data[[#This Row],[TotalWorkingYears]]&lt;=20,3,4)))</f>
        <v>3</v>
      </c>
    </row>
    <row r="327" spans="1:46" x14ac:dyDescent="0.25">
      <c r="A327">
        <v>31</v>
      </c>
      <c r="B327" t="s">
        <v>36</v>
      </c>
      <c r="C327" t="s">
        <v>37</v>
      </c>
      <c r="D327" t="s">
        <v>38</v>
      </c>
      <c r="E327">
        <v>7</v>
      </c>
      <c r="F327">
        <v>2</v>
      </c>
      <c r="G327" t="s">
        <v>32</v>
      </c>
      <c r="H327">
        <v>442</v>
      </c>
      <c r="I327">
        <v>3</v>
      </c>
      <c r="J327" t="s">
        <v>33</v>
      </c>
      <c r="K327">
        <v>2</v>
      </c>
      <c r="L327">
        <v>3</v>
      </c>
      <c r="M327" t="s">
        <v>46</v>
      </c>
      <c r="N327">
        <v>3</v>
      </c>
      <c r="O327" t="s">
        <v>41</v>
      </c>
      <c r="P327">
        <v>8943</v>
      </c>
      <c r="Q327">
        <v>1</v>
      </c>
      <c r="R327" t="s">
        <v>36</v>
      </c>
      <c r="S327">
        <v>24</v>
      </c>
      <c r="T327">
        <v>4</v>
      </c>
      <c r="U327">
        <v>1</v>
      </c>
      <c r="V327">
        <v>1</v>
      </c>
      <c r="W327">
        <v>10</v>
      </c>
      <c r="X327">
        <v>2</v>
      </c>
      <c r="Y327">
        <v>3</v>
      </c>
      <c r="Z327">
        <v>10</v>
      </c>
      <c r="AA327">
        <v>9</v>
      </c>
      <c r="AB327">
        <v>8</v>
      </c>
      <c r="AC327">
        <v>9</v>
      </c>
      <c r="AD327">
        <f>IF(HR_Data[[#This Row],[Attrition]]="Yes",1,0)</f>
        <v>0</v>
      </c>
      <c r="AE327" t="str">
        <f>IF(HR_Data[[#This Row],[Age]]&lt;=25,"18-25",IF(HR_Data[[#This Row],[Age]]&lt;=35,"26-35",IF(HR_Data[[#This Row],[Age]]&lt;=45,"36-45",IF(HR_Data[[#This Row],[Age]]&lt;=55,"46-55","55+"))))</f>
        <v>26-35</v>
      </c>
      <c r="AF327">
        <f>IF(HR_Data[[#This Row],[Age]]&lt;=25,1,IF(HR_Data[[#This Row],[Age]]&lt;=35,2,IF(HR_Data[[#This Row],[Age]]&lt;=45,3,IF(HR_Data[[#This Row],[Age]]&lt;=55,4,5))))</f>
        <v>2</v>
      </c>
      <c r="AG327" s="1" t="str">
        <f>IF(HR_Data[[#This Row],[MonthlyIncome]]&lt;3000,"&lt;3K",IF(HR_Data[[#This Row],[MonthlyIncome]]&lt;6000,"3K-6K",IF(HR_Data[[#This Row],[MonthlyIncome]]&lt;10000,"6K-10K","10K+")))</f>
        <v>6K-10K</v>
      </c>
      <c r="AH327" s="1">
        <f>IF(HR_Data[[#This Row],[MonthlyIncome]]&lt;3000,1,IF(HR_Data[[#This Row],[MonthlyIncome]]&lt;6000,2,IF(HR_Data[[#This Row],[MonthlyIncome]]&lt;10000,3,4)))</f>
        <v>3</v>
      </c>
      <c r="AI327" s="1" t="str">
        <f>IF(HR_Data[[#This Row],[YearsAtCompany]]&lt;=2,"0-2 Yrs",IF(HR_Data[[#This Row],[YearsAtCompany]]&lt;=5,"3-5 Yrs",IF(HR_Data[[#This Row],[YearsAtCompany]]&lt;=10,"6-10 Yrs","10+ Yrs")))</f>
        <v>6-10 Yrs</v>
      </c>
      <c r="AJ327" s="1">
        <f>IF(HR_Data[[#This Row],[YearsAtCompany]]&lt;=2,1,IF(HR_Data[[#This Row],[YearsAtCompany]]&lt;=5,2,IF(HR_Data[[#This Row],[YearsAtCompany]]&lt;=10,3,4)))</f>
        <v>3</v>
      </c>
      <c r="AK327" s="1" t="str">
        <f>CHOOSE(HR_Data[[#This Row],[Education]],"Below College","College","Bachelor","Master","Doctor")</f>
        <v>College</v>
      </c>
      <c r="AL327" s="1" t="str">
        <f>CHOOSE(HR_Data[[#This Row],[JobSatisfaction]],"Low","Medium","High","Very High")</f>
        <v>High</v>
      </c>
      <c r="AM327" s="1" t="str">
        <f>CHOOSE(HR_Data[[#This Row],[EnvironmentSatisfaction]],"Low","Medium","High","Very High")</f>
        <v>High</v>
      </c>
      <c r="AN327" s="1" t="str">
        <f>CHOOSE(HR_Data[[#This Row],[WorkLifeBalance]],"Bad","Good","Better","Best")</f>
        <v>Better</v>
      </c>
      <c r="AO327" s="1" t="str">
        <f>IF(HR_Data[[#This Row],[PercentSalaryHike]]&lt;=13,"11-13%",IF(HR_Data[[#This Row],[PercentSalaryHike]]&lt;=16,"14-16%",IF(HR_Data[[#This Row],[PercentSalaryHike]]&lt;=19,"17-19%","20-25%")))</f>
        <v>20-25%</v>
      </c>
      <c r="AP327" s="1">
        <f>IF(HR_Data[[#This Row],[PercentSalaryHike]]&lt;=13,1,IF(HR_Data[[#This Row],[PercentSalaryHike]]&lt;=16,2,IF(HR_Data[[#This Row],[PercentSalaryHike]]&lt;=19,3,4)))</f>
        <v>4</v>
      </c>
      <c r="AQ327" s="1" t="str">
        <f>IF(HR_Data[[#This Row],[DistanceFromHome]]&lt;=5,"1 to 5",IF(HR_Data[[#This Row],[DistanceFromHome]]&lt;=10,"6 to 10",IF(HR_Data[[#This Row],[DistanceFromHome]]&lt;=20,"11 to 20","21 to 29")))</f>
        <v>6 to 10</v>
      </c>
      <c r="AR327" s="1">
        <f>IF(HR_Data[[#This Row],[DistanceFromHome]]&lt;=5,1,IF(HR_Data[[#This Row],[DistanceFromHome]]&lt;=10,2,IF(HR_Data[[#This Row],[DistanceFromHome]]&lt;=20,3,4)))</f>
        <v>2</v>
      </c>
      <c r="AS327" s="1" t="str">
        <f>IF(HR_Data[[#This Row],[TotalWorkingYears]]&lt;=5,"0-5 Yrs",IF(HR_Data[[#This Row],[TotalWorkingYears]]&lt;=10,"6-10 Yrs",IF(HR_Data[[#This Row],[TotalWorkingYears]]&lt;=20,"11-20 Yrs","20+ Yrs")))</f>
        <v>6-10 Yrs</v>
      </c>
      <c r="AT327" s="1">
        <f>IF(HR_Data[[#This Row],[TotalWorkingYears]]&lt;=5,1,IF(HR_Data[[#This Row],[TotalWorkingYears]]&lt;=10,2,IF(HR_Data[[#This Row],[TotalWorkingYears]]&lt;=20,3,4)))</f>
        <v>2</v>
      </c>
    </row>
    <row r="328" spans="1:46" x14ac:dyDescent="0.25">
      <c r="A328">
        <v>39</v>
      </c>
      <c r="B328" t="s">
        <v>36</v>
      </c>
      <c r="C328" t="s">
        <v>37</v>
      </c>
      <c r="D328" t="s">
        <v>38</v>
      </c>
      <c r="E328">
        <v>7</v>
      </c>
      <c r="F328">
        <v>2</v>
      </c>
      <c r="G328" t="s">
        <v>44</v>
      </c>
      <c r="H328">
        <v>444</v>
      </c>
      <c r="I328">
        <v>3</v>
      </c>
      <c r="J328" t="s">
        <v>39</v>
      </c>
      <c r="K328">
        <v>2</v>
      </c>
      <c r="L328">
        <v>5</v>
      </c>
      <c r="M328" t="s">
        <v>49</v>
      </c>
      <c r="N328">
        <v>4</v>
      </c>
      <c r="O328" t="s">
        <v>41</v>
      </c>
      <c r="P328">
        <v>19272</v>
      </c>
      <c r="Q328">
        <v>1</v>
      </c>
      <c r="R328" t="s">
        <v>36</v>
      </c>
      <c r="S328">
        <v>15</v>
      </c>
      <c r="T328">
        <v>3</v>
      </c>
      <c r="U328">
        <v>1</v>
      </c>
      <c r="V328">
        <v>1</v>
      </c>
      <c r="W328">
        <v>21</v>
      </c>
      <c r="X328">
        <v>2</v>
      </c>
      <c r="Y328">
        <v>3</v>
      </c>
      <c r="Z328">
        <v>21</v>
      </c>
      <c r="AA328">
        <v>9</v>
      </c>
      <c r="AB328">
        <v>13</v>
      </c>
      <c r="AC328">
        <v>3</v>
      </c>
      <c r="AD328">
        <f>IF(HR_Data[[#This Row],[Attrition]]="Yes",1,0)</f>
        <v>0</v>
      </c>
      <c r="AE328" t="str">
        <f>IF(HR_Data[[#This Row],[Age]]&lt;=25,"18-25",IF(HR_Data[[#This Row],[Age]]&lt;=35,"26-35",IF(HR_Data[[#This Row],[Age]]&lt;=45,"36-45",IF(HR_Data[[#This Row],[Age]]&lt;=55,"46-55","55+"))))</f>
        <v>36-45</v>
      </c>
      <c r="AF328">
        <f>IF(HR_Data[[#This Row],[Age]]&lt;=25,1,IF(HR_Data[[#This Row],[Age]]&lt;=35,2,IF(HR_Data[[#This Row],[Age]]&lt;=45,3,IF(HR_Data[[#This Row],[Age]]&lt;=55,4,5))))</f>
        <v>3</v>
      </c>
      <c r="AG328" s="1" t="str">
        <f>IF(HR_Data[[#This Row],[MonthlyIncome]]&lt;3000,"&lt;3K",IF(HR_Data[[#This Row],[MonthlyIncome]]&lt;6000,"3K-6K",IF(HR_Data[[#This Row],[MonthlyIncome]]&lt;10000,"6K-10K","10K+")))</f>
        <v>10K+</v>
      </c>
      <c r="AH328" s="1">
        <f>IF(HR_Data[[#This Row],[MonthlyIncome]]&lt;3000,1,IF(HR_Data[[#This Row],[MonthlyIncome]]&lt;6000,2,IF(HR_Data[[#This Row],[MonthlyIncome]]&lt;10000,3,4)))</f>
        <v>4</v>
      </c>
      <c r="AI328" s="1" t="str">
        <f>IF(HR_Data[[#This Row],[YearsAtCompany]]&lt;=2,"0-2 Yrs",IF(HR_Data[[#This Row],[YearsAtCompany]]&lt;=5,"3-5 Yrs",IF(HR_Data[[#This Row],[YearsAtCompany]]&lt;=10,"6-10 Yrs","10+ Yrs")))</f>
        <v>10+ Yrs</v>
      </c>
      <c r="AJ328" s="1">
        <f>IF(HR_Data[[#This Row],[YearsAtCompany]]&lt;=2,1,IF(HR_Data[[#This Row],[YearsAtCompany]]&lt;=5,2,IF(HR_Data[[#This Row],[YearsAtCompany]]&lt;=10,3,4)))</f>
        <v>4</v>
      </c>
      <c r="AK328" s="1" t="str">
        <f>CHOOSE(HR_Data[[#This Row],[Education]],"Below College","College","Bachelor","Master","Doctor")</f>
        <v>College</v>
      </c>
      <c r="AL328" s="1" t="str">
        <f>CHOOSE(HR_Data[[#This Row],[JobSatisfaction]],"Low","Medium","High","Very High")</f>
        <v>Very High</v>
      </c>
      <c r="AM328" s="1" t="str">
        <f>CHOOSE(HR_Data[[#This Row],[EnvironmentSatisfaction]],"Low","Medium","High","Very High")</f>
        <v>High</v>
      </c>
      <c r="AN328" s="1" t="str">
        <f>CHOOSE(HR_Data[[#This Row],[WorkLifeBalance]],"Bad","Good","Better","Best")</f>
        <v>Better</v>
      </c>
      <c r="AO328" s="1" t="str">
        <f>IF(HR_Data[[#This Row],[PercentSalaryHike]]&lt;=13,"11-13%",IF(HR_Data[[#This Row],[PercentSalaryHike]]&lt;=16,"14-16%",IF(HR_Data[[#This Row],[PercentSalaryHike]]&lt;=19,"17-19%","20-25%")))</f>
        <v>14-16%</v>
      </c>
      <c r="AP328" s="1">
        <f>IF(HR_Data[[#This Row],[PercentSalaryHike]]&lt;=13,1,IF(HR_Data[[#This Row],[PercentSalaryHike]]&lt;=16,2,IF(HR_Data[[#This Row],[PercentSalaryHike]]&lt;=19,3,4)))</f>
        <v>2</v>
      </c>
      <c r="AQ328" s="1" t="str">
        <f>IF(HR_Data[[#This Row],[DistanceFromHome]]&lt;=5,"1 to 5",IF(HR_Data[[#This Row],[DistanceFromHome]]&lt;=10,"6 to 10",IF(HR_Data[[#This Row],[DistanceFromHome]]&lt;=20,"11 to 20","21 to 29")))</f>
        <v>6 to 10</v>
      </c>
      <c r="AR328" s="1">
        <f>IF(HR_Data[[#This Row],[DistanceFromHome]]&lt;=5,1,IF(HR_Data[[#This Row],[DistanceFromHome]]&lt;=10,2,IF(HR_Data[[#This Row],[DistanceFromHome]]&lt;=20,3,4)))</f>
        <v>2</v>
      </c>
      <c r="AS328" s="1" t="str">
        <f>IF(HR_Data[[#This Row],[TotalWorkingYears]]&lt;=5,"0-5 Yrs",IF(HR_Data[[#This Row],[TotalWorkingYears]]&lt;=10,"6-10 Yrs",IF(HR_Data[[#This Row],[TotalWorkingYears]]&lt;=20,"11-20 Yrs","20+ Yrs")))</f>
        <v>20+ Yrs</v>
      </c>
      <c r="AT328" s="1">
        <f>IF(HR_Data[[#This Row],[TotalWorkingYears]]&lt;=5,1,IF(HR_Data[[#This Row],[TotalWorkingYears]]&lt;=10,2,IF(HR_Data[[#This Row],[TotalWorkingYears]]&lt;=20,3,4)))</f>
        <v>4</v>
      </c>
    </row>
    <row r="329" spans="1:46" x14ac:dyDescent="0.25">
      <c r="A329">
        <v>39</v>
      </c>
      <c r="B329" t="s">
        <v>29</v>
      </c>
      <c r="C329" t="s">
        <v>30</v>
      </c>
      <c r="D329" t="s">
        <v>31</v>
      </c>
      <c r="E329">
        <v>3</v>
      </c>
      <c r="F329">
        <v>2</v>
      </c>
      <c r="G329" t="s">
        <v>44</v>
      </c>
      <c r="H329">
        <v>445</v>
      </c>
      <c r="I329">
        <v>4</v>
      </c>
      <c r="J329" t="s">
        <v>33</v>
      </c>
      <c r="K329">
        <v>3</v>
      </c>
      <c r="L329">
        <v>2</v>
      </c>
      <c r="M329" t="s">
        <v>34</v>
      </c>
      <c r="N329">
        <v>3</v>
      </c>
      <c r="O329" t="s">
        <v>41</v>
      </c>
      <c r="P329">
        <v>5238</v>
      </c>
      <c r="Q329">
        <v>4</v>
      </c>
      <c r="R329" t="s">
        <v>29</v>
      </c>
      <c r="S329">
        <v>18</v>
      </c>
      <c r="T329">
        <v>3</v>
      </c>
      <c r="U329">
        <v>1</v>
      </c>
      <c r="V329">
        <v>0</v>
      </c>
      <c r="W329">
        <v>12</v>
      </c>
      <c r="X329">
        <v>3</v>
      </c>
      <c r="Y329">
        <v>2</v>
      </c>
      <c r="Z329">
        <v>1</v>
      </c>
      <c r="AA329">
        <v>0</v>
      </c>
      <c r="AB329">
        <v>0</v>
      </c>
      <c r="AC329">
        <v>0</v>
      </c>
      <c r="AD329">
        <f>IF(HR_Data[[#This Row],[Attrition]]="Yes",1,0)</f>
        <v>1</v>
      </c>
      <c r="AE329" t="str">
        <f>IF(HR_Data[[#This Row],[Age]]&lt;=25,"18-25",IF(HR_Data[[#This Row],[Age]]&lt;=35,"26-35",IF(HR_Data[[#This Row],[Age]]&lt;=45,"36-45",IF(HR_Data[[#This Row],[Age]]&lt;=55,"46-55","55+"))))</f>
        <v>36-45</v>
      </c>
      <c r="AF329">
        <f>IF(HR_Data[[#This Row],[Age]]&lt;=25,1,IF(HR_Data[[#This Row],[Age]]&lt;=35,2,IF(HR_Data[[#This Row],[Age]]&lt;=45,3,IF(HR_Data[[#This Row],[Age]]&lt;=55,4,5))))</f>
        <v>3</v>
      </c>
      <c r="AG329" s="1" t="str">
        <f>IF(HR_Data[[#This Row],[MonthlyIncome]]&lt;3000,"&lt;3K",IF(HR_Data[[#This Row],[MonthlyIncome]]&lt;6000,"3K-6K",IF(HR_Data[[#This Row],[MonthlyIncome]]&lt;10000,"6K-10K","10K+")))</f>
        <v>3K-6K</v>
      </c>
      <c r="AH329" s="1">
        <f>IF(HR_Data[[#This Row],[MonthlyIncome]]&lt;3000,1,IF(HR_Data[[#This Row],[MonthlyIncome]]&lt;6000,2,IF(HR_Data[[#This Row],[MonthlyIncome]]&lt;10000,3,4)))</f>
        <v>2</v>
      </c>
      <c r="AI329" s="1" t="str">
        <f>IF(HR_Data[[#This Row],[YearsAtCompany]]&lt;=2,"0-2 Yrs",IF(HR_Data[[#This Row],[YearsAtCompany]]&lt;=5,"3-5 Yrs",IF(HR_Data[[#This Row],[YearsAtCompany]]&lt;=10,"6-10 Yrs","10+ Yrs")))</f>
        <v>0-2 Yrs</v>
      </c>
      <c r="AJ329" s="1">
        <f>IF(HR_Data[[#This Row],[YearsAtCompany]]&lt;=2,1,IF(HR_Data[[#This Row],[YearsAtCompany]]&lt;=5,2,IF(HR_Data[[#This Row],[YearsAtCompany]]&lt;=10,3,4)))</f>
        <v>1</v>
      </c>
      <c r="AK329" s="1" t="str">
        <f>CHOOSE(HR_Data[[#This Row],[Education]],"Below College","College","Bachelor","Master","Doctor")</f>
        <v>College</v>
      </c>
      <c r="AL329" s="1" t="str">
        <f>CHOOSE(HR_Data[[#This Row],[JobSatisfaction]],"Low","Medium","High","Very High")</f>
        <v>High</v>
      </c>
      <c r="AM329" s="1" t="str">
        <f>CHOOSE(HR_Data[[#This Row],[EnvironmentSatisfaction]],"Low","Medium","High","Very High")</f>
        <v>Very High</v>
      </c>
      <c r="AN329" s="1" t="str">
        <f>CHOOSE(HR_Data[[#This Row],[WorkLifeBalance]],"Bad","Good","Better","Best")</f>
        <v>Good</v>
      </c>
      <c r="AO329" s="1" t="str">
        <f>IF(HR_Data[[#This Row],[PercentSalaryHike]]&lt;=13,"11-13%",IF(HR_Data[[#This Row],[PercentSalaryHike]]&lt;=16,"14-16%",IF(HR_Data[[#This Row],[PercentSalaryHike]]&lt;=19,"17-19%","20-25%")))</f>
        <v>17-19%</v>
      </c>
      <c r="AP329" s="1">
        <f>IF(HR_Data[[#This Row],[PercentSalaryHike]]&lt;=13,1,IF(HR_Data[[#This Row],[PercentSalaryHike]]&lt;=16,2,IF(HR_Data[[#This Row],[PercentSalaryHike]]&lt;=19,3,4)))</f>
        <v>3</v>
      </c>
      <c r="AQ329" s="1" t="str">
        <f>IF(HR_Data[[#This Row],[DistanceFromHome]]&lt;=5,"1 to 5",IF(HR_Data[[#This Row],[DistanceFromHome]]&lt;=10,"6 to 10",IF(HR_Data[[#This Row],[DistanceFromHome]]&lt;=20,"11 to 20","21 to 29")))</f>
        <v>1 to 5</v>
      </c>
      <c r="AR329" s="1">
        <f>IF(HR_Data[[#This Row],[DistanceFromHome]]&lt;=5,1,IF(HR_Data[[#This Row],[DistanceFromHome]]&lt;=10,2,IF(HR_Data[[#This Row],[DistanceFromHome]]&lt;=20,3,4)))</f>
        <v>1</v>
      </c>
      <c r="AS329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329" s="1">
        <f>IF(HR_Data[[#This Row],[TotalWorkingYears]]&lt;=5,1,IF(HR_Data[[#This Row],[TotalWorkingYears]]&lt;=10,2,IF(HR_Data[[#This Row],[TotalWorkingYears]]&lt;=20,3,4)))</f>
        <v>3</v>
      </c>
    </row>
    <row r="330" spans="1:46" x14ac:dyDescent="0.25">
      <c r="A330">
        <v>33</v>
      </c>
      <c r="B330" t="s">
        <v>36</v>
      </c>
      <c r="C330" t="s">
        <v>37</v>
      </c>
      <c r="D330" t="s">
        <v>31</v>
      </c>
      <c r="E330">
        <v>10</v>
      </c>
      <c r="F330">
        <v>3</v>
      </c>
      <c r="G330" t="s">
        <v>52</v>
      </c>
      <c r="H330">
        <v>446</v>
      </c>
      <c r="I330">
        <v>2</v>
      </c>
      <c r="J330" t="s">
        <v>39</v>
      </c>
      <c r="K330">
        <v>2</v>
      </c>
      <c r="L330">
        <v>2</v>
      </c>
      <c r="M330" t="s">
        <v>34</v>
      </c>
      <c r="N330">
        <v>4</v>
      </c>
      <c r="O330" t="s">
        <v>35</v>
      </c>
      <c r="P330">
        <v>4682</v>
      </c>
      <c r="Q330">
        <v>3</v>
      </c>
      <c r="R330" t="s">
        <v>36</v>
      </c>
      <c r="S330">
        <v>14</v>
      </c>
      <c r="T330">
        <v>3</v>
      </c>
      <c r="U330">
        <v>3</v>
      </c>
      <c r="V330">
        <v>0</v>
      </c>
      <c r="W330">
        <v>9</v>
      </c>
      <c r="X330">
        <v>6</v>
      </c>
      <c r="Y330">
        <v>2</v>
      </c>
      <c r="Z330">
        <v>7</v>
      </c>
      <c r="AA330">
        <v>7</v>
      </c>
      <c r="AB330">
        <v>0</v>
      </c>
      <c r="AC330">
        <v>1</v>
      </c>
      <c r="AD330">
        <f>IF(HR_Data[[#This Row],[Attrition]]="Yes",1,0)</f>
        <v>0</v>
      </c>
      <c r="AE330" t="str">
        <f>IF(HR_Data[[#This Row],[Age]]&lt;=25,"18-25",IF(HR_Data[[#This Row],[Age]]&lt;=35,"26-35",IF(HR_Data[[#This Row],[Age]]&lt;=45,"36-45",IF(HR_Data[[#This Row],[Age]]&lt;=55,"46-55","55+"))))</f>
        <v>26-35</v>
      </c>
      <c r="AF330">
        <f>IF(HR_Data[[#This Row],[Age]]&lt;=25,1,IF(HR_Data[[#This Row],[Age]]&lt;=35,2,IF(HR_Data[[#This Row],[Age]]&lt;=45,3,IF(HR_Data[[#This Row],[Age]]&lt;=55,4,5))))</f>
        <v>2</v>
      </c>
      <c r="AG330" s="1" t="str">
        <f>IF(HR_Data[[#This Row],[MonthlyIncome]]&lt;3000,"&lt;3K",IF(HR_Data[[#This Row],[MonthlyIncome]]&lt;6000,"3K-6K",IF(HR_Data[[#This Row],[MonthlyIncome]]&lt;10000,"6K-10K","10K+")))</f>
        <v>3K-6K</v>
      </c>
      <c r="AH330" s="1">
        <f>IF(HR_Data[[#This Row],[MonthlyIncome]]&lt;3000,1,IF(HR_Data[[#This Row],[MonthlyIncome]]&lt;6000,2,IF(HR_Data[[#This Row],[MonthlyIncome]]&lt;10000,3,4)))</f>
        <v>2</v>
      </c>
      <c r="AI330" s="1" t="str">
        <f>IF(HR_Data[[#This Row],[YearsAtCompany]]&lt;=2,"0-2 Yrs",IF(HR_Data[[#This Row],[YearsAtCompany]]&lt;=5,"3-5 Yrs",IF(HR_Data[[#This Row],[YearsAtCompany]]&lt;=10,"6-10 Yrs","10+ Yrs")))</f>
        <v>6-10 Yrs</v>
      </c>
      <c r="AJ330" s="1">
        <f>IF(HR_Data[[#This Row],[YearsAtCompany]]&lt;=2,1,IF(HR_Data[[#This Row],[YearsAtCompany]]&lt;=5,2,IF(HR_Data[[#This Row],[YearsAtCompany]]&lt;=10,3,4)))</f>
        <v>3</v>
      </c>
      <c r="AK330" s="1" t="str">
        <f>CHOOSE(HR_Data[[#This Row],[Education]],"Below College","College","Bachelor","Master","Doctor")</f>
        <v>Bachelor</v>
      </c>
      <c r="AL330" s="1" t="str">
        <f>CHOOSE(HR_Data[[#This Row],[JobSatisfaction]],"Low","Medium","High","Very High")</f>
        <v>Very High</v>
      </c>
      <c r="AM330" s="1" t="str">
        <f>CHOOSE(HR_Data[[#This Row],[EnvironmentSatisfaction]],"Low","Medium","High","Very High")</f>
        <v>Medium</v>
      </c>
      <c r="AN330" s="1" t="str">
        <f>CHOOSE(HR_Data[[#This Row],[WorkLifeBalance]],"Bad","Good","Better","Best")</f>
        <v>Good</v>
      </c>
      <c r="AO330" s="1" t="str">
        <f>IF(HR_Data[[#This Row],[PercentSalaryHike]]&lt;=13,"11-13%",IF(HR_Data[[#This Row],[PercentSalaryHike]]&lt;=16,"14-16%",IF(HR_Data[[#This Row],[PercentSalaryHike]]&lt;=19,"17-19%","20-25%")))</f>
        <v>14-16%</v>
      </c>
      <c r="AP330" s="1">
        <f>IF(HR_Data[[#This Row],[PercentSalaryHike]]&lt;=13,1,IF(HR_Data[[#This Row],[PercentSalaryHike]]&lt;=16,2,IF(HR_Data[[#This Row],[PercentSalaryHike]]&lt;=19,3,4)))</f>
        <v>2</v>
      </c>
      <c r="AQ330" s="1" t="str">
        <f>IF(HR_Data[[#This Row],[DistanceFromHome]]&lt;=5,"1 to 5",IF(HR_Data[[#This Row],[DistanceFromHome]]&lt;=10,"6 to 10",IF(HR_Data[[#This Row],[DistanceFromHome]]&lt;=20,"11 to 20","21 to 29")))</f>
        <v>6 to 10</v>
      </c>
      <c r="AR330" s="1">
        <f>IF(HR_Data[[#This Row],[DistanceFromHome]]&lt;=5,1,IF(HR_Data[[#This Row],[DistanceFromHome]]&lt;=10,2,IF(HR_Data[[#This Row],[DistanceFromHome]]&lt;=20,3,4)))</f>
        <v>2</v>
      </c>
      <c r="AS330" s="1" t="str">
        <f>IF(HR_Data[[#This Row],[TotalWorkingYears]]&lt;=5,"0-5 Yrs",IF(HR_Data[[#This Row],[TotalWorkingYears]]&lt;=10,"6-10 Yrs",IF(HR_Data[[#This Row],[TotalWorkingYears]]&lt;=20,"11-20 Yrs","20+ Yrs")))</f>
        <v>6-10 Yrs</v>
      </c>
      <c r="AT330" s="1">
        <f>IF(HR_Data[[#This Row],[TotalWorkingYears]]&lt;=5,1,IF(HR_Data[[#This Row],[TotalWorkingYears]]&lt;=10,2,IF(HR_Data[[#This Row],[TotalWorkingYears]]&lt;=20,3,4)))</f>
        <v>2</v>
      </c>
    </row>
    <row r="331" spans="1:46" x14ac:dyDescent="0.25">
      <c r="A331">
        <v>47</v>
      </c>
      <c r="B331" t="s">
        <v>36</v>
      </c>
      <c r="C331" t="s">
        <v>30</v>
      </c>
      <c r="D331" t="s">
        <v>38</v>
      </c>
      <c r="E331">
        <v>5</v>
      </c>
      <c r="F331">
        <v>5</v>
      </c>
      <c r="G331" t="s">
        <v>32</v>
      </c>
      <c r="H331">
        <v>447</v>
      </c>
      <c r="I331">
        <v>4</v>
      </c>
      <c r="J331" t="s">
        <v>39</v>
      </c>
      <c r="K331">
        <v>3</v>
      </c>
      <c r="L331">
        <v>5</v>
      </c>
      <c r="M331" t="s">
        <v>51</v>
      </c>
      <c r="N331">
        <v>3</v>
      </c>
      <c r="O331" t="s">
        <v>41</v>
      </c>
      <c r="P331">
        <v>18300</v>
      </c>
      <c r="Q331">
        <v>4</v>
      </c>
      <c r="R331" t="s">
        <v>36</v>
      </c>
      <c r="S331">
        <v>11</v>
      </c>
      <c r="T331">
        <v>3</v>
      </c>
      <c r="U331">
        <v>2</v>
      </c>
      <c r="V331">
        <v>1</v>
      </c>
      <c r="W331">
        <v>21</v>
      </c>
      <c r="X331">
        <v>2</v>
      </c>
      <c r="Y331">
        <v>3</v>
      </c>
      <c r="Z331">
        <v>3</v>
      </c>
      <c r="AA331">
        <v>2</v>
      </c>
      <c r="AB331">
        <v>1</v>
      </c>
      <c r="AC331">
        <v>1</v>
      </c>
      <c r="AD331">
        <f>IF(HR_Data[[#This Row],[Attrition]]="Yes",1,0)</f>
        <v>0</v>
      </c>
      <c r="AE331" t="str">
        <f>IF(HR_Data[[#This Row],[Age]]&lt;=25,"18-25",IF(HR_Data[[#This Row],[Age]]&lt;=35,"26-35",IF(HR_Data[[#This Row],[Age]]&lt;=45,"36-45",IF(HR_Data[[#This Row],[Age]]&lt;=55,"46-55","55+"))))</f>
        <v>46-55</v>
      </c>
      <c r="AF331">
        <f>IF(HR_Data[[#This Row],[Age]]&lt;=25,1,IF(HR_Data[[#This Row],[Age]]&lt;=35,2,IF(HR_Data[[#This Row],[Age]]&lt;=45,3,IF(HR_Data[[#This Row],[Age]]&lt;=55,4,5))))</f>
        <v>4</v>
      </c>
      <c r="AG331" s="1" t="str">
        <f>IF(HR_Data[[#This Row],[MonthlyIncome]]&lt;3000,"&lt;3K",IF(HR_Data[[#This Row],[MonthlyIncome]]&lt;6000,"3K-6K",IF(HR_Data[[#This Row],[MonthlyIncome]]&lt;10000,"6K-10K","10K+")))</f>
        <v>10K+</v>
      </c>
      <c r="AH331" s="1">
        <f>IF(HR_Data[[#This Row],[MonthlyIncome]]&lt;3000,1,IF(HR_Data[[#This Row],[MonthlyIncome]]&lt;6000,2,IF(HR_Data[[#This Row],[MonthlyIncome]]&lt;10000,3,4)))</f>
        <v>4</v>
      </c>
      <c r="AI331" s="1" t="str">
        <f>IF(HR_Data[[#This Row],[YearsAtCompany]]&lt;=2,"0-2 Yrs",IF(HR_Data[[#This Row],[YearsAtCompany]]&lt;=5,"3-5 Yrs",IF(HR_Data[[#This Row],[YearsAtCompany]]&lt;=10,"6-10 Yrs","10+ Yrs")))</f>
        <v>3-5 Yrs</v>
      </c>
      <c r="AJ331" s="1">
        <f>IF(HR_Data[[#This Row],[YearsAtCompany]]&lt;=2,1,IF(HR_Data[[#This Row],[YearsAtCompany]]&lt;=5,2,IF(HR_Data[[#This Row],[YearsAtCompany]]&lt;=10,3,4)))</f>
        <v>2</v>
      </c>
      <c r="AK331" s="1" t="str">
        <f>CHOOSE(HR_Data[[#This Row],[Education]],"Below College","College","Bachelor","Master","Doctor")</f>
        <v>Doctor</v>
      </c>
      <c r="AL331" s="1" t="str">
        <f>CHOOSE(HR_Data[[#This Row],[JobSatisfaction]],"Low","Medium","High","Very High")</f>
        <v>High</v>
      </c>
      <c r="AM331" s="1" t="str">
        <f>CHOOSE(HR_Data[[#This Row],[EnvironmentSatisfaction]],"Low","Medium","High","Very High")</f>
        <v>Very High</v>
      </c>
      <c r="AN331" s="1" t="str">
        <f>CHOOSE(HR_Data[[#This Row],[WorkLifeBalance]],"Bad","Good","Better","Best")</f>
        <v>Better</v>
      </c>
      <c r="AO331" s="1" t="str">
        <f>IF(HR_Data[[#This Row],[PercentSalaryHike]]&lt;=13,"11-13%",IF(HR_Data[[#This Row],[PercentSalaryHike]]&lt;=16,"14-16%",IF(HR_Data[[#This Row],[PercentSalaryHike]]&lt;=19,"17-19%","20-25%")))</f>
        <v>11-13%</v>
      </c>
      <c r="AP331" s="1">
        <f>IF(HR_Data[[#This Row],[PercentSalaryHike]]&lt;=13,1,IF(HR_Data[[#This Row],[PercentSalaryHike]]&lt;=16,2,IF(HR_Data[[#This Row],[PercentSalaryHike]]&lt;=19,3,4)))</f>
        <v>1</v>
      </c>
      <c r="AQ331" s="1" t="str">
        <f>IF(HR_Data[[#This Row],[DistanceFromHome]]&lt;=5,"1 to 5",IF(HR_Data[[#This Row],[DistanceFromHome]]&lt;=10,"6 to 10",IF(HR_Data[[#This Row],[DistanceFromHome]]&lt;=20,"11 to 20","21 to 29")))</f>
        <v>1 to 5</v>
      </c>
      <c r="AR331" s="1">
        <f>IF(HR_Data[[#This Row],[DistanceFromHome]]&lt;=5,1,IF(HR_Data[[#This Row],[DistanceFromHome]]&lt;=10,2,IF(HR_Data[[#This Row],[DistanceFromHome]]&lt;=20,3,4)))</f>
        <v>1</v>
      </c>
      <c r="AS331" s="1" t="str">
        <f>IF(HR_Data[[#This Row],[TotalWorkingYears]]&lt;=5,"0-5 Yrs",IF(HR_Data[[#This Row],[TotalWorkingYears]]&lt;=10,"6-10 Yrs",IF(HR_Data[[#This Row],[TotalWorkingYears]]&lt;=20,"11-20 Yrs","20+ Yrs")))</f>
        <v>20+ Yrs</v>
      </c>
      <c r="AT331" s="1">
        <f>IF(HR_Data[[#This Row],[TotalWorkingYears]]&lt;=5,1,IF(HR_Data[[#This Row],[TotalWorkingYears]]&lt;=10,2,IF(HR_Data[[#This Row],[TotalWorkingYears]]&lt;=20,3,4)))</f>
        <v>4</v>
      </c>
    </row>
    <row r="332" spans="1:46" x14ac:dyDescent="0.25">
      <c r="A332">
        <v>43</v>
      </c>
      <c r="B332" t="s">
        <v>36</v>
      </c>
      <c r="C332" t="s">
        <v>37</v>
      </c>
      <c r="D332" t="s">
        <v>38</v>
      </c>
      <c r="E332">
        <v>10</v>
      </c>
      <c r="F332">
        <v>4</v>
      </c>
      <c r="G332" t="s">
        <v>32</v>
      </c>
      <c r="H332">
        <v>448</v>
      </c>
      <c r="I332">
        <v>3</v>
      </c>
      <c r="J332" t="s">
        <v>33</v>
      </c>
      <c r="K332">
        <v>2</v>
      </c>
      <c r="L332">
        <v>2</v>
      </c>
      <c r="M332" t="s">
        <v>43</v>
      </c>
      <c r="N332">
        <v>3</v>
      </c>
      <c r="O332" t="s">
        <v>45</v>
      </c>
      <c r="P332">
        <v>5257</v>
      </c>
      <c r="Q332">
        <v>1</v>
      </c>
      <c r="R332" t="s">
        <v>36</v>
      </c>
      <c r="S332">
        <v>11</v>
      </c>
      <c r="T332">
        <v>3</v>
      </c>
      <c r="U332">
        <v>2</v>
      </c>
      <c r="V332">
        <v>1</v>
      </c>
      <c r="W332">
        <v>9</v>
      </c>
      <c r="X332">
        <v>3</v>
      </c>
      <c r="Y332">
        <v>4</v>
      </c>
      <c r="Z332">
        <v>9</v>
      </c>
      <c r="AA332">
        <v>7</v>
      </c>
      <c r="AB332">
        <v>0</v>
      </c>
      <c r="AC332">
        <v>0</v>
      </c>
      <c r="AD332">
        <f>IF(HR_Data[[#This Row],[Attrition]]="Yes",1,0)</f>
        <v>0</v>
      </c>
      <c r="AE332" t="str">
        <f>IF(HR_Data[[#This Row],[Age]]&lt;=25,"18-25",IF(HR_Data[[#This Row],[Age]]&lt;=35,"26-35",IF(HR_Data[[#This Row],[Age]]&lt;=45,"36-45",IF(HR_Data[[#This Row],[Age]]&lt;=55,"46-55","55+"))))</f>
        <v>36-45</v>
      </c>
      <c r="AF332">
        <f>IF(HR_Data[[#This Row],[Age]]&lt;=25,1,IF(HR_Data[[#This Row],[Age]]&lt;=35,2,IF(HR_Data[[#This Row],[Age]]&lt;=45,3,IF(HR_Data[[#This Row],[Age]]&lt;=55,4,5))))</f>
        <v>3</v>
      </c>
      <c r="AG332" s="1" t="str">
        <f>IF(HR_Data[[#This Row],[MonthlyIncome]]&lt;3000,"&lt;3K",IF(HR_Data[[#This Row],[MonthlyIncome]]&lt;6000,"3K-6K",IF(HR_Data[[#This Row],[MonthlyIncome]]&lt;10000,"6K-10K","10K+")))</f>
        <v>3K-6K</v>
      </c>
      <c r="AH332" s="1">
        <f>IF(HR_Data[[#This Row],[MonthlyIncome]]&lt;3000,1,IF(HR_Data[[#This Row],[MonthlyIncome]]&lt;6000,2,IF(HR_Data[[#This Row],[MonthlyIncome]]&lt;10000,3,4)))</f>
        <v>2</v>
      </c>
      <c r="AI332" s="1" t="str">
        <f>IF(HR_Data[[#This Row],[YearsAtCompany]]&lt;=2,"0-2 Yrs",IF(HR_Data[[#This Row],[YearsAtCompany]]&lt;=5,"3-5 Yrs",IF(HR_Data[[#This Row],[YearsAtCompany]]&lt;=10,"6-10 Yrs","10+ Yrs")))</f>
        <v>6-10 Yrs</v>
      </c>
      <c r="AJ332" s="1">
        <f>IF(HR_Data[[#This Row],[YearsAtCompany]]&lt;=2,1,IF(HR_Data[[#This Row],[YearsAtCompany]]&lt;=5,2,IF(HR_Data[[#This Row],[YearsAtCompany]]&lt;=10,3,4)))</f>
        <v>3</v>
      </c>
      <c r="AK332" s="1" t="str">
        <f>CHOOSE(HR_Data[[#This Row],[Education]],"Below College","College","Bachelor","Master","Doctor")</f>
        <v>Master</v>
      </c>
      <c r="AL332" s="1" t="str">
        <f>CHOOSE(HR_Data[[#This Row],[JobSatisfaction]],"Low","Medium","High","Very High")</f>
        <v>High</v>
      </c>
      <c r="AM332" s="1" t="str">
        <f>CHOOSE(HR_Data[[#This Row],[EnvironmentSatisfaction]],"Low","Medium","High","Very High")</f>
        <v>High</v>
      </c>
      <c r="AN332" s="1" t="str">
        <f>CHOOSE(HR_Data[[#This Row],[WorkLifeBalance]],"Bad","Good","Better","Best")</f>
        <v>Best</v>
      </c>
      <c r="AO332" s="1" t="str">
        <f>IF(HR_Data[[#This Row],[PercentSalaryHike]]&lt;=13,"11-13%",IF(HR_Data[[#This Row],[PercentSalaryHike]]&lt;=16,"14-16%",IF(HR_Data[[#This Row],[PercentSalaryHike]]&lt;=19,"17-19%","20-25%")))</f>
        <v>11-13%</v>
      </c>
      <c r="AP332" s="1">
        <f>IF(HR_Data[[#This Row],[PercentSalaryHike]]&lt;=13,1,IF(HR_Data[[#This Row],[PercentSalaryHike]]&lt;=16,2,IF(HR_Data[[#This Row],[PercentSalaryHike]]&lt;=19,3,4)))</f>
        <v>1</v>
      </c>
      <c r="AQ332" s="1" t="str">
        <f>IF(HR_Data[[#This Row],[DistanceFromHome]]&lt;=5,"1 to 5",IF(HR_Data[[#This Row],[DistanceFromHome]]&lt;=10,"6 to 10",IF(HR_Data[[#This Row],[DistanceFromHome]]&lt;=20,"11 to 20","21 to 29")))</f>
        <v>6 to 10</v>
      </c>
      <c r="AR332" s="1">
        <f>IF(HR_Data[[#This Row],[DistanceFromHome]]&lt;=5,1,IF(HR_Data[[#This Row],[DistanceFromHome]]&lt;=10,2,IF(HR_Data[[#This Row],[DistanceFromHome]]&lt;=20,3,4)))</f>
        <v>2</v>
      </c>
      <c r="AS332" s="1" t="str">
        <f>IF(HR_Data[[#This Row],[TotalWorkingYears]]&lt;=5,"0-5 Yrs",IF(HR_Data[[#This Row],[TotalWorkingYears]]&lt;=10,"6-10 Yrs",IF(HR_Data[[#This Row],[TotalWorkingYears]]&lt;=20,"11-20 Yrs","20+ Yrs")))</f>
        <v>6-10 Yrs</v>
      </c>
      <c r="AT332" s="1">
        <f>IF(HR_Data[[#This Row],[TotalWorkingYears]]&lt;=5,1,IF(HR_Data[[#This Row],[TotalWorkingYears]]&lt;=10,2,IF(HR_Data[[#This Row],[TotalWorkingYears]]&lt;=20,3,4)))</f>
        <v>2</v>
      </c>
    </row>
    <row r="333" spans="1:46" x14ac:dyDescent="0.25">
      <c r="A333">
        <v>27</v>
      </c>
      <c r="B333" t="s">
        <v>36</v>
      </c>
      <c r="C333" t="s">
        <v>48</v>
      </c>
      <c r="D333" t="s">
        <v>31</v>
      </c>
      <c r="E333">
        <v>1</v>
      </c>
      <c r="F333">
        <v>1</v>
      </c>
      <c r="G333" t="s">
        <v>52</v>
      </c>
      <c r="H333">
        <v>449</v>
      </c>
      <c r="I333">
        <v>3</v>
      </c>
      <c r="J333" t="s">
        <v>39</v>
      </c>
      <c r="K333">
        <v>3</v>
      </c>
      <c r="L333">
        <v>2</v>
      </c>
      <c r="M333" t="s">
        <v>34</v>
      </c>
      <c r="N333">
        <v>2</v>
      </c>
      <c r="O333" t="s">
        <v>41</v>
      </c>
      <c r="P333">
        <v>6349</v>
      </c>
      <c r="Q333">
        <v>0</v>
      </c>
      <c r="R333" t="s">
        <v>29</v>
      </c>
      <c r="S333">
        <v>13</v>
      </c>
      <c r="T333">
        <v>3</v>
      </c>
      <c r="U333">
        <v>4</v>
      </c>
      <c r="V333">
        <v>1</v>
      </c>
      <c r="W333">
        <v>6</v>
      </c>
      <c r="X333">
        <v>0</v>
      </c>
      <c r="Y333">
        <v>3</v>
      </c>
      <c r="Z333">
        <v>5</v>
      </c>
      <c r="AA333">
        <v>4</v>
      </c>
      <c r="AB333">
        <v>1</v>
      </c>
      <c r="AC333">
        <v>4</v>
      </c>
      <c r="AD333">
        <f>IF(HR_Data[[#This Row],[Attrition]]="Yes",1,0)</f>
        <v>0</v>
      </c>
      <c r="AE333" t="str">
        <f>IF(HR_Data[[#This Row],[Age]]&lt;=25,"18-25",IF(HR_Data[[#This Row],[Age]]&lt;=35,"26-35",IF(HR_Data[[#This Row],[Age]]&lt;=45,"36-45",IF(HR_Data[[#This Row],[Age]]&lt;=55,"46-55","55+"))))</f>
        <v>26-35</v>
      </c>
      <c r="AF333">
        <f>IF(HR_Data[[#This Row],[Age]]&lt;=25,1,IF(HR_Data[[#This Row],[Age]]&lt;=35,2,IF(HR_Data[[#This Row],[Age]]&lt;=45,3,IF(HR_Data[[#This Row],[Age]]&lt;=55,4,5))))</f>
        <v>2</v>
      </c>
      <c r="AG333" s="1" t="str">
        <f>IF(HR_Data[[#This Row],[MonthlyIncome]]&lt;3000,"&lt;3K",IF(HR_Data[[#This Row],[MonthlyIncome]]&lt;6000,"3K-6K",IF(HR_Data[[#This Row],[MonthlyIncome]]&lt;10000,"6K-10K","10K+")))</f>
        <v>6K-10K</v>
      </c>
      <c r="AH333" s="1">
        <f>IF(HR_Data[[#This Row],[MonthlyIncome]]&lt;3000,1,IF(HR_Data[[#This Row],[MonthlyIncome]]&lt;6000,2,IF(HR_Data[[#This Row],[MonthlyIncome]]&lt;10000,3,4)))</f>
        <v>3</v>
      </c>
      <c r="AI333" s="1" t="str">
        <f>IF(HR_Data[[#This Row],[YearsAtCompany]]&lt;=2,"0-2 Yrs",IF(HR_Data[[#This Row],[YearsAtCompany]]&lt;=5,"3-5 Yrs",IF(HR_Data[[#This Row],[YearsAtCompany]]&lt;=10,"6-10 Yrs","10+ Yrs")))</f>
        <v>3-5 Yrs</v>
      </c>
      <c r="AJ333" s="1">
        <f>IF(HR_Data[[#This Row],[YearsAtCompany]]&lt;=2,1,IF(HR_Data[[#This Row],[YearsAtCompany]]&lt;=5,2,IF(HR_Data[[#This Row],[YearsAtCompany]]&lt;=10,3,4)))</f>
        <v>2</v>
      </c>
      <c r="AK333" s="1" t="str">
        <f>CHOOSE(HR_Data[[#This Row],[Education]],"Below College","College","Bachelor","Master","Doctor")</f>
        <v>Below College</v>
      </c>
      <c r="AL333" s="1" t="str">
        <f>CHOOSE(HR_Data[[#This Row],[JobSatisfaction]],"Low","Medium","High","Very High")</f>
        <v>Medium</v>
      </c>
      <c r="AM333" s="1" t="str">
        <f>CHOOSE(HR_Data[[#This Row],[EnvironmentSatisfaction]],"Low","Medium","High","Very High")</f>
        <v>High</v>
      </c>
      <c r="AN333" s="1" t="str">
        <f>CHOOSE(HR_Data[[#This Row],[WorkLifeBalance]],"Bad","Good","Better","Best")</f>
        <v>Better</v>
      </c>
      <c r="AO333" s="1" t="str">
        <f>IF(HR_Data[[#This Row],[PercentSalaryHike]]&lt;=13,"11-13%",IF(HR_Data[[#This Row],[PercentSalaryHike]]&lt;=16,"14-16%",IF(HR_Data[[#This Row],[PercentSalaryHike]]&lt;=19,"17-19%","20-25%")))</f>
        <v>11-13%</v>
      </c>
      <c r="AP333" s="1">
        <f>IF(HR_Data[[#This Row],[PercentSalaryHike]]&lt;=13,1,IF(HR_Data[[#This Row],[PercentSalaryHike]]&lt;=16,2,IF(HR_Data[[#This Row],[PercentSalaryHike]]&lt;=19,3,4)))</f>
        <v>1</v>
      </c>
      <c r="AQ333" s="1" t="str">
        <f>IF(HR_Data[[#This Row],[DistanceFromHome]]&lt;=5,"1 to 5",IF(HR_Data[[#This Row],[DistanceFromHome]]&lt;=10,"6 to 10",IF(HR_Data[[#This Row],[DistanceFromHome]]&lt;=20,"11 to 20","21 to 29")))</f>
        <v>1 to 5</v>
      </c>
      <c r="AR333" s="1">
        <f>IF(HR_Data[[#This Row],[DistanceFromHome]]&lt;=5,1,IF(HR_Data[[#This Row],[DistanceFromHome]]&lt;=10,2,IF(HR_Data[[#This Row],[DistanceFromHome]]&lt;=20,3,4)))</f>
        <v>1</v>
      </c>
      <c r="AS333" s="1" t="str">
        <f>IF(HR_Data[[#This Row],[TotalWorkingYears]]&lt;=5,"0-5 Yrs",IF(HR_Data[[#This Row],[TotalWorkingYears]]&lt;=10,"6-10 Yrs",IF(HR_Data[[#This Row],[TotalWorkingYears]]&lt;=20,"11-20 Yrs","20+ Yrs")))</f>
        <v>6-10 Yrs</v>
      </c>
      <c r="AT333" s="1">
        <f>IF(HR_Data[[#This Row],[TotalWorkingYears]]&lt;=5,1,IF(HR_Data[[#This Row],[TotalWorkingYears]]&lt;=10,2,IF(HR_Data[[#This Row],[TotalWorkingYears]]&lt;=20,3,4)))</f>
        <v>2</v>
      </c>
    </row>
    <row r="334" spans="1:46" x14ac:dyDescent="0.25">
      <c r="A334">
        <v>54</v>
      </c>
      <c r="B334" t="s">
        <v>36</v>
      </c>
      <c r="C334" t="s">
        <v>37</v>
      </c>
      <c r="D334" t="s">
        <v>38</v>
      </c>
      <c r="E334">
        <v>20</v>
      </c>
      <c r="F334">
        <v>4</v>
      </c>
      <c r="G334" t="s">
        <v>32</v>
      </c>
      <c r="H334">
        <v>450</v>
      </c>
      <c r="I334">
        <v>4</v>
      </c>
      <c r="J334" t="s">
        <v>33</v>
      </c>
      <c r="K334">
        <v>3</v>
      </c>
      <c r="L334">
        <v>2</v>
      </c>
      <c r="M334" t="s">
        <v>40</v>
      </c>
      <c r="N334">
        <v>3</v>
      </c>
      <c r="O334" t="s">
        <v>35</v>
      </c>
      <c r="P334">
        <v>4869</v>
      </c>
      <c r="Q334">
        <v>3</v>
      </c>
      <c r="R334" t="s">
        <v>36</v>
      </c>
      <c r="S334">
        <v>12</v>
      </c>
      <c r="T334">
        <v>3</v>
      </c>
      <c r="U334">
        <v>4</v>
      </c>
      <c r="V334">
        <v>0</v>
      </c>
      <c r="W334">
        <v>20</v>
      </c>
      <c r="X334">
        <v>4</v>
      </c>
      <c r="Y334">
        <v>2</v>
      </c>
      <c r="Z334">
        <v>4</v>
      </c>
      <c r="AA334">
        <v>3</v>
      </c>
      <c r="AB334">
        <v>0</v>
      </c>
      <c r="AC334">
        <v>3</v>
      </c>
      <c r="AD334">
        <f>IF(HR_Data[[#This Row],[Attrition]]="Yes",1,0)</f>
        <v>0</v>
      </c>
      <c r="AE334" t="str">
        <f>IF(HR_Data[[#This Row],[Age]]&lt;=25,"18-25",IF(HR_Data[[#This Row],[Age]]&lt;=35,"26-35",IF(HR_Data[[#This Row],[Age]]&lt;=45,"36-45",IF(HR_Data[[#This Row],[Age]]&lt;=55,"46-55","55+"))))</f>
        <v>46-55</v>
      </c>
      <c r="AF334">
        <f>IF(HR_Data[[#This Row],[Age]]&lt;=25,1,IF(HR_Data[[#This Row],[Age]]&lt;=35,2,IF(HR_Data[[#This Row],[Age]]&lt;=45,3,IF(HR_Data[[#This Row],[Age]]&lt;=55,4,5))))</f>
        <v>4</v>
      </c>
      <c r="AG334" s="1" t="str">
        <f>IF(HR_Data[[#This Row],[MonthlyIncome]]&lt;3000,"&lt;3K",IF(HR_Data[[#This Row],[MonthlyIncome]]&lt;6000,"3K-6K",IF(HR_Data[[#This Row],[MonthlyIncome]]&lt;10000,"6K-10K","10K+")))</f>
        <v>3K-6K</v>
      </c>
      <c r="AH334" s="1">
        <f>IF(HR_Data[[#This Row],[MonthlyIncome]]&lt;3000,1,IF(HR_Data[[#This Row],[MonthlyIncome]]&lt;6000,2,IF(HR_Data[[#This Row],[MonthlyIncome]]&lt;10000,3,4)))</f>
        <v>2</v>
      </c>
      <c r="AI334" s="1" t="str">
        <f>IF(HR_Data[[#This Row],[YearsAtCompany]]&lt;=2,"0-2 Yrs",IF(HR_Data[[#This Row],[YearsAtCompany]]&lt;=5,"3-5 Yrs",IF(HR_Data[[#This Row],[YearsAtCompany]]&lt;=10,"6-10 Yrs","10+ Yrs")))</f>
        <v>3-5 Yrs</v>
      </c>
      <c r="AJ334" s="1">
        <f>IF(HR_Data[[#This Row],[YearsAtCompany]]&lt;=2,1,IF(HR_Data[[#This Row],[YearsAtCompany]]&lt;=5,2,IF(HR_Data[[#This Row],[YearsAtCompany]]&lt;=10,3,4)))</f>
        <v>2</v>
      </c>
      <c r="AK334" s="1" t="str">
        <f>CHOOSE(HR_Data[[#This Row],[Education]],"Below College","College","Bachelor","Master","Doctor")</f>
        <v>Master</v>
      </c>
      <c r="AL334" s="1" t="str">
        <f>CHOOSE(HR_Data[[#This Row],[JobSatisfaction]],"Low","Medium","High","Very High")</f>
        <v>High</v>
      </c>
      <c r="AM334" s="1" t="str">
        <f>CHOOSE(HR_Data[[#This Row],[EnvironmentSatisfaction]],"Low","Medium","High","Very High")</f>
        <v>Very High</v>
      </c>
      <c r="AN334" s="1" t="str">
        <f>CHOOSE(HR_Data[[#This Row],[WorkLifeBalance]],"Bad","Good","Better","Best")</f>
        <v>Good</v>
      </c>
      <c r="AO334" s="1" t="str">
        <f>IF(HR_Data[[#This Row],[PercentSalaryHike]]&lt;=13,"11-13%",IF(HR_Data[[#This Row],[PercentSalaryHike]]&lt;=16,"14-16%",IF(HR_Data[[#This Row],[PercentSalaryHike]]&lt;=19,"17-19%","20-25%")))</f>
        <v>11-13%</v>
      </c>
      <c r="AP334" s="1">
        <f>IF(HR_Data[[#This Row],[PercentSalaryHike]]&lt;=13,1,IF(HR_Data[[#This Row],[PercentSalaryHike]]&lt;=16,2,IF(HR_Data[[#This Row],[PercentSalaryHike]]&lt;=19,3,4)))</f>
        <v>1</v>
      </c>
      <c r="AQ334" s="1" t="str">
        <f>IF(HR_Data[[#This Row],[DistanceFromHome]]&lt;=5,"1 to 5",IF(HR_Data[[#This Row],[DistanceFromHome]]&lt;=10,"6 to 10",IF(HR_Data[[#This Row],[DistanceFromHome]]&lt;=20,"11 to 20","21 to 29")))</f>
        <v>11 to 20</v>
      </c>
      <c r="AR334" s="1">
        <f>IF(HR_Data[[#This Row],[DistanceFromHome]]&lt;=5,1,IF(HR_Data[[#This Row],[DistanceFromHome]]&lt;=10,2,IF(HR_Data[[#This Row],[DistanceFromHome]]&lt;=20,3,4)))</f>
        <v>3</v>
      </c>
      <c r="AS334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334" s="1">
        <f>IF(HR_Data[[#This Row],[TotalWorkingYears]]&lt;=5,1,IF(HR_Data[[#This Row],[TotalWorkingYears]]&lt;=10,2,IF(HR_Data[[#This Row],[TotalWorkingYears]]&lt;=20,3,4)))</f>
        <v>3</v>
      </c>
    </row>
    <row r="335" spans="1:46" x14ac:dyDescent="0.25">
      <c r="A335">
        <v>43</v>
      </c>
      <c r="B335" t="s">
        <v>36</v>
      </c>
      <c r="C335" t="s">
        <v>30</v>
      </c>
      <c r="D335" t="s">
        <v>38</v>
      </c>
      <c r="E335">
        <v>7</v>
      </c>
      <c r="F335">
        <v>3</v>
      </c>
      <c r="G335" t="s">
        <v>32</v>
      </c>
      <c r="H335">
        <v>451</v>
      </c>
      <c r="I335">
        <v>3</v>
      </c>
      <c r="J335" t="s">
        <v>33</v>
      </c>
      <c r="K335">
        <v>3</v>
      </c>
      <c r="L335">
        <v>3</v>
      </c>
      <c r="M335" t="s">
        <v>47</v>
      </c>
      <c r="N335">
        <v>1</v>
      </c>
      <c r="O335" t="s">
        <v>41</v>
      </c>
      <c r="P335">
        <v>9985</v>
      </c>
      <c r="Q335">
        <v>8</v>
      </c>
      <c r="R335" t="s">
        <v>36</v>
      </c>
      <c r="S335">
        <v>16</v>
      </c>
      <c r="T335">
        <v>3</v>
      </c>
      <c r="U335">
        <v>1</v>
      </c>
      <c r="V335">
        <v>1</v>
      </c>
      <c r="W335">
        <v>10</v>
      </c>
      <c r="X335">
        <v>1</v>
      </c>
      <c r="Y335">
        <v>2</v>
      </c>
      <c r="Z335">
        <v>1</v>
      </c>
      <c r="AA335">
        <v>0</v>
      </c>
      <c r="AB335">
        <v>0</v>
      </c>
      <c r="AC335">
        <v>0</v>
      </c>
      <c r="AD335">
        <f>IF(HR_Data[[#This Row],[Attrition]]="Yes",1,0)</f>
        <v>0</v>
      </c>
      <c r="AE335" t="str">
        <f>IF(HR_Data[[#This Row],[Age]]&lt;=25,"18-25",IF(HR_Data[[#This Row],[Age]]&lt;=35,"26-35",IF(HR_Data[[#This Row],[Age]]&lt;=45,"36-45",IF(HR_Data[[#This Row],[Age]]&lt;=55,"46-55","55+"))))</f>
        <v>36-45</v>
      </c>
      <c r="AF335">
        <f>IF(HR_Data[[#This Row],[Age]]&lt;=25,1,IF(HR_Data[[#This Row],[Age]]&lt;=35,2,IF(HR_Data[[#This Row],[Age]]&lt;=45,3,IF(HR_Data[[#This Row],[Age]]&lt;=55,4,5))))</f>
        <v>3</v>
      </c>
      <c r="AG335" s="1" t="str">
        <f>IF(HR_Data[[#This Row],[MonthlyIncome]]&lt;3000,"&lt;3K",IF(HR_Data[[#This Row],[MonthlyIncome]]&lt;6000,"3K-6K",IF(HR_Data[[#This Row],[MonthlyIncome]]&lt;10000,"6K-10K","10K+")))</f>
        <v>6K-10K</v>
      </c>
      <c r="AH335" s="1">
        <f>IF(HR_Data[[#This Row],[MonthlyIncome]]&lt;3000,1,IF(HR_Data[[#This Row],[MonthlyIncome]]&lt;6000,2,IF(HR_Data[[#This Row],[MonthlyIncome]]&lt;10000,3,4)))</f>
        <v>3</v>
      </c>
      <c r="AI335" s="1" t="str">
        <f>IF(HR_Data[[#This Row],[YearsAtCompany]]&lt;=2,"0-2 Yrs",IF(HR_Data[[#This Row],[YearsAtCompany]]&lt;=5,"3-5 Yrs",IF(HR_Data[[#This Row],[YearsAtCompany]]&lt;=10,"6-10 Yrs","10+ Yrs")))</f>
        <v>0-2 Yrs</v>
      </c>
      <c r="AJ335" s="1">
        <f>IF(HR_Data[[#This Row],[YearsAtCompany]]&lt;=2,1,IF(HR_Data[[#This Row],[YearsAtCompany]]&lt;=5,2,IF(HR_Data[[#This Row],[YearsAtCompany]]&lt;=10,3,4)))</f>
        <v>1</v>
      </c>
      <c r="AK335" s="1" t="str">
        <f>CHOOSE(HR_Data[[#This Row],[Education]],"Below College","College","Bachelor","Master","Doctor")</f>
        <v>Bachelor</v>
      </c>
      <c r="AL335" s="1" t="str">
        <f>CHOOSE(HR_Data[[#This Row],[JobSatisfaction]],"Low","Medium","High","Very High")</f>
        <v>Low</v>
      </c>
      <c r="AM335" s="1" t="str">
        <f>CHOOSE(HR_Data[[#This Row],[EnvironmentSatisfaction]],"Low","Medium","High","Very High")</f>
        <v>High</v>
      </c>
      <c r="AN335" s="1" t="str">
        <f>CHOOSE(HR_Data[[#This Row],[WorkLifeBalance]],"Bad","Good","Better","Best")</f>
        <v>Good</v>
      </c>
      <c r="AO335" s="1" t="str">
        <f>IF(HR_Data[[#This Row],[PercentSalaryHike]]&lt;=13,"11-13%",IF(HR_Data[[#This Row],[PercentSalaryHike]]&lt;=16,"14-16%",IF(HR_Data[[#This Row],[PercentSalaryHike]]&lt;=19,"17-19%","20-25%")))</f>
        <v>14-16%</v>
      </c>
      <c r="AP335" s="1">
        <f>IF(HR_Data[[#This Row],[PercentSalaryHike]]&lt;=13,1,IF(HR_Data[[#This Row],[PercentSalaryHike]]&lt;=16,2,IF(HR_Data[[#This Row],[PercentSalaryHike]]&lt;=19,3,4)))</f>
        <v>2</v>
      </c>
      <c r="AQ335" s="1" t="str">
        <f>IF(HR_Data[[#This Row],[DistanceFromHome]]&lt;=5,"1 to 5",IF(HR_Data[[#This Row],[DistanceFromHome]]&lt;=10,"6 to 10",IF(HR_Data[[#This Row],[DistanceFromHome]]&lt;=20,"11 to 20","21 to 29")))</f>
        <v>6 to 10</v>
      </c>
      <c r="AR335" s="1">
        <f>IF(HR_Data[[#This Row],[DistanceFromHome]]&lt;=5,1,IF(HR_Data[[#This Row],[DistanceFromHome]]&lt;=10,2,IF(HR_Data[[#This Row],[DistanceFromHome]]&lt;=20,3,4)))</f>
        <v>2</v>
      </c>
      <c r="AS335" s="1" t="str">
        <f>IF(HR_Data[[#This Row],[TotalWorkingYears]]&lt;=5,"0-5 Yrs",IF(HR_Data[[#This Row],[TotalWorkingYears]]&lt;=10,"6-10 Yrs",IF(HR_Data[[#This Row],[TotalWorkingYears]]&lt;=20,"11-20 Yrs","20+ Yrs")))</f>
        <v>6-10 Yrs</v>
      </c>
      <c r="AT335" s="1">
        <f>IF(HR_Data[[#This Row],[TotalWorkingYears]]&lt;=5,1,IF(HR_Data[[#This Row],[TotalWorkingYears]]&lt;=10,2,IF(HR_Data[[#This Row],[TotalWorkingYears]]&lt;=20,3,4)))</f>
        <v>2</v>
      </c>
    </row>
    <row r="336" spans="1:46" x14ac:dyDescent="0.25">
      <c r="A336">
        <v>45</v>
      </c>
      <c r="B336" t="s">
        <v>36</v>
      </c>
      <c r="C336" t="s">
        <v>30</v>
      </c>
      <c r="D336" t="s">
        <v>38</v>
      </c>
      <c r="E336">
        <v>8</v>
      </c>
      <c r="F336">
        <v>4</v>
      </c>
      <c r="G336" t="s">
        <v>42</v>
      </c>
      <c r="H336">
        <v>452</v>
      </c>
      <c r="I336">
        <v>4</v>
      </c>
      <c r="J336" t="s">
        <v>39</v>
      </c>
      <c r="K336">
        <v>3</v>
      </c>
      <c r="L336">
        <v>2</v>
      </c>
      <c r="M336" t="s">
        <v>40</v>
      </c>
      <c r="N336">
        <v>4</v>
      </c>
      <c r="O336" t="s">
        <v>41</v>
      </c>
      <c r="P336">
        <v>3697</v>
      </c>
      <c r="Q336">
        <v>9</v>
      </c>
      <c r="R336" t="s">
        <v>36</v>
      </c>
      <c r="S336">
        <v>14</v>
      </c>
      <c r="T336">
        <v>3</v>
      </c>
      <c r="U336">
        <v>1</v>
      </c>
      <c r="V336">
        <v>2</v>
      </c>
      <c r="W336">
        <v>12</v>
      </c>
      <c r="X336">
        <v>3</v>
      </c>
      <c r="Y336">
        <v>3</v>
      </c>
      <c r="Z336">
        <v>10</v>
      </c>
      <c r="AA336">
        <v>9</v>
      </c>
      <c r="AB336">
        <v>9</v>
      </c>
      <c r="AC336">
        <v>8</v>
      </c>
      <c r="AD336">
        <f>IF(HR_Data[[#This Row],[Attrition]]="Yes",1,0)</f>
        <v>0</v>
      </c>
      <c r="AE336" t="str">
        <f>IF(HR_Data[[#This Row],[Age]]&lt;=25,"18-25",IF(HR_Data[[#This Row],[Age]]&lt;=35,"26-35",IF(HR_Data[[#This Row],[Age]]&lt;=45,"36-45",IF(HR_Data[[#This Row],[Age]]&lt;=55,"46-55","55+"))))</f>
        <v>36-45</v>
      </c>
      <c r="AF336">
        <f>IF(HR_Data[[#This Row],[Age]]&lt;=25,1,IF(HR_Data[[#This Row],[Age]]&lt;=35,2,IF(HR_Data[[#This Row],[Age]]&lt;=45,3,IF(HR_Data[[#This Row],[Age]]&lt;=55,4,5))))</f>
        <v>3</v>
      </c>
      <c r="AG336" s="1" t="str">
        <f>IF(HR_Data[[#This Row],[MonthlyIncome]]&lt;3000,"&lt;3K",IF(HR_Data[[#This Row],[MonthlyIncome]]&lt;6000,"3K-6K",IF(HR_Data[[#This Row],[MonthlyIncome]]&lt;10000,"6K-10K","10K+")))</f>
        <v>3K-6K</v>
      </c>
      <c r="AH336" s="1">
        <f>IF(HR_Data[[#This Row],[MonthlyIncome]]&lt;3000,1,IF(HR_Data[[#This Row],[MonthlyIncome]]&lt;6000,2,IF(HR_Data[[#This Row],[MonthlyIncome]]&lt;10000,3,4)))</f>
        <v>2</v>
      </c>
      <c r="AI336" s="1" t="str">
        <f>IF(HR_Data[[#This Row],[YearsAtCompany]]&lt;=2,"0-2 Yrs",IF(HR_Data[[#This Row],[YearsAtCompany]]&lt;=5,"3-5 Yrs",IF(HR_Data[[#This Row],[YearsAtCompany]]&lt;=10,"6-10 Yrs","10+ Yrs")))</f>
        <v>6-10 Yrs</v>
      </c>
      <c r="AJ336" s="1">
        <f>IF(HR_Data[[#This Row],[YearsAtCompany]]&lt;=2,1,IF(HR_Data[[#This Row],[YearsAtCompany]]&lt;=5,2,IF(HR_Data[[#This Row],[YearsAtCompany]]&lt;=10,3,4)))</f>
        <v>3</v>
      </c>
      <c r="AK336" s="1" t="str">
        <f>CHOOSE(HR_Data[[#This Row],[Education]],"Below College","College","Bachelor","Master","Doctor")</f>
        <v>Master</v>
      </c>
      <c r="AL336" s="1" t="str">
        <f>CHOOSE(HR_Data[[#This Row],[JobSatisfaction]],"Low","Medium","High","Very High")</f>
        <v>Very High</v>
      </c>
      <c r="AM336" s="1" t="str">
        <f>CHOOSE(HR_Data[[#This Row],[EnvironmentSatisfaction]],"Low","Medium","High","Very High")</f>
        <v>Very High</v>
      </c>
      <c r="AN336" s="1" t="str">
        <f>CHOOSE(HR_Data[[#This Row],[WorkLifeBalance]],"Bad","Good","Better","Best")</f>
        <v>Better</v>
      </c>
      <c r="AO336" s="1" t="str">
        <f>IF(HR_Data[[#This Row],[PercentSalaryHike]]&lt;=13,"11-13%",IF(HR_Data[[#This Row],[PercentSalaryHike]]&lt;=16,"14-16%",IF(HR_Data[[#This Row],[PercentSalaryHike]]&lt;=19,"17-19%","20-25%")))</f>
        <v>14-16%</v>
      </c>
      <c r="AP336" s="1">
        <f>IF(HR_Data[[#This Row],[PercentSalaryHike]]&lt;=13,1,IF(HR_Data[[#This Row],[PercentSalaryHike]]&lt;=16,2,IF(HR_Data[[#This Row],[PercentSalaryHike]]&lt;=19,3,4)))</f>
        <v>2</v>
      </c>
      <c r="AQ336" s="1" t="str">
        <f>IF(HR_Data[[#This Row],[DistanceFromHome]]&lt;=5,"1 to 5",IF(HR_Data[[#This Row],[DistanceFromHome]]&lt;=10,"6 to 10",IF(HR_Data[[#This Row],[DistanceFromHome]]&lt;=20,"11 to 20","21 to 29")))</f>
        <v>6 to 10</v>
      </c>
      <c r="AR336" s="1">
        <f>IF(HR_Data[[#This Row],[DistanceFromHome]]&lt;=5,1,IF(HR_Data[[#This Row],[DistanceFromHome]]&lt;=10,2,IF(HR_Data[[#This Row],[DistanceFromHome]]&lt;=20,3,4)))</f>
        <v>2</v>
      </c>
      <c r="AS336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336" s="1">
        <f>IF(HR_Data[[#This Row],[TotalWorkingYears]]&lt;=5,1,IF(HR_Data[[#This Row],[TotalWorkingYears]]&lt;=10,2,IF(HR_Data[[#This Row],[TotalWorkingYears]]&lt;=20,3,4)))</f>
        <v>3</v>
      </c>
    </row>
    <row r="337" spans="1:46" x14ac:dyDescent="0.25">
      <c r="A337">
        <v>40</v>
      </c>
      <c r="B337" t="s">
        <v>36</v>
      </c>
      <c r="C337" t="s">
        <v>30</v>
      </c>
      <c r="D337" t="s">
        <v>31</v>
      </c>
      <c r="E337">
        <v>1</v>
      </c>
      <c r="F337">
        <v>2</v>
      </c>
      <c r="G337" t="s">
        <v>44</v>
      </c>
      <c r="H337">
        <v>453</v>
      </c>
      <c r="I337">
        <v>2</v>
      </c>
      <c r="J337" t="s">
        <v>39</v>
      </c>
      <c r="K337">
        <v>1</v>
      </c>
      <c r="L337">
        <v>2</v>
      </c>
      <c r="M337" t="s">
        <v>34</v>
      </c>
      <c r="N337">
        <v>4</v>
      </c>
      <c r="O337" t="s">
        <v>41</v>
      </c>
      <c r="P337">
        <v>7457</v>
      </c>
      <c r="Q337">
        <v>2</v>
      </c>
      <c r="R337" t="s">
        <v>29</v>
      </c>
      <c r="S337">
        <v>22</v>
      </c>
      <c r="T337">
        <v>4</v>
      </c>
      <c r="U337">
        <v>3</v>
      </c>
      <c r="V337">
        <v>3</v>
      </c>
      <c r="W337">
        <v>6</v>
      </c>
      <c r="X337">
        <v>2</v>
      </c>
      <c r="Y337">
        <v>2</v>
      </c>
      <c r="Z337">
        <v>4</v>
      </c>
      <c r="AA337">
        <v>3</v>
      </c>
      <c r="AB337">
        <v>0</v>
      </c>
      <c r="AC337">
        <v>2</v>
      </c>
      <c r="AD337">
        <f>IF(HR_Data[[#This Row],[Attrition]]="Yes",1,0)</f>
        <v>0</v>
      </c>
      <c r="AE337" t="str">
        <f>IF(HR_Data[[#This Row],[Age]]&lt;=25,"18-25",IF(HR_Data[[#This Row],[Age]]&lt;=35,"26-35",IF(HR_Data[[#This Row],[Age]]&lt;=45,"36-45",IF(HR_Data[[#This Row],[Age]]&lt;=55,"46-55","55+"))))</f>
        <v>36-45</v>
      </c>
      <c r="AF337">
        <f>IF(HR_Data[[#This Row],[Age]]&lt;=25,1,IF(HR_Data[[#This Row],[Age]]&lt;=35,2,IF(HR_Data[[#This Row],[Age]]&lt;=45,3,IF(HR_Data[[#This Row],[Age]]&lt;=55,4,5))))</f>
        <v>3</v>
      </c>
      <c r="AG337" s="1" t="str">
        <f>IF(HR_Data[[#This Row],[MonthlyIncome]]&lt;3000,"&lt;3K",IF(HR_Data[[#This Row],[MonthlyIncome]]&lt;6000,"3K-6K",IF(HR_Data[[#This Row],[MonthlyIncome]]&lt;10000,"6K-10K","10K+")))</f>
        <v>6K-10K</v>
      </c>
      <c r="AH337" s="1">
        <f>IF(HR_Data[[#This Row],[MonthlyIncome]]&lt;3000,1,IF(HR_Data[[#This Row],[MonthlyIncome]]&lt;6000,2,IF(HR_Data[[#This Row],[MonthlyIncome]]&lt;10000,3,4)))</f>
        <v>3</v>
      </c>
      <c r="AI337" s="1" t="str">
        <f>IF(HR_Data[[#This Row],[YearsAtCompany]]&lt;=2,"0-2 Yrs",IF(HR_Data[[#This Row],[YearsAtCompany]]&lt;=5,"3-5 Yrs",IF(HR_Data[[#This Row],[YearsAtCompany]]&lt;=10,"6-10 Yrs","10+ Yrs")))</f>
        <v>3-5 Yrs</v>
      </c>
      <c r="AJ337" s="1">
        <f>IF(HR_Data[[#This Row],[YearsAtCompany]]&lt;=2,1,IF(HR_Data[[#This Row],[YearsAtCompany]]&lt;=5,2,IF(HR_Data[[#This Row],[YearsAtCompany]]&lt;=10,3,4)))</f>
        <v>2</v>
      </c>
      <c r="AK337" s="1" t="str">
        <f>CHOOSE(HR_Data[[#This Row],[Education]],"Below College","College","Bachelor","Master","Doctor")</f>
        <v>College</v>
      </c>
      <c r="AL337" s="1" t="str">
        <f>CHOOSE(HR_Data[[#This Row],[JobSatisfaction]],"Low","Medium","High","Very High")</f>
        <v>Very High</v>
      </c>
      <c r="AM337" s="1" t="str">
        <f>CHOOSE(HR_Data[[#This Row],[EnvironmentSatisfaction]],"Low","Medium","High","Very High")</f>
        <v>Medium</v>
      </c>
      <c r="AN337" s="1" t="str">
        <f>CHOOSE(HR_Data[[#This Row],[WorkLifeBalance]],"Bad","Good","Better","Best")</f>
        <v>Good</v>
      </c>
      <c r="AO337" s="1" t="str">
        <f>IF(HR_Data[[#This Row],[PercentSalaryHike]]&lt;=13,"11-13%",IF(HR_Data[[#This Row],[PercentSalaryHike]]&lt;=16,"14-16%",IF(HR_Data[[#This Row],[PercentSalaryHike]]&lt;=19,"17-19%","20-25%")))</f>
        <v>20-25%</v>
      </c>
      <c r="AP337" s="1">
        <f>IF(HR_Data[[#This Row],[PercentSalaryHike]]&lt;=13,1,IF(HR_Data[[#This Row],[PercentSalaryHike]]&lt;=16,2,IF(HR_Data[[#This Row],[PercentSalaryHike]]&lt;=19,3,4)))</f>
        <v>4</v>
      </c>
      <c r="AQ337" s="1" t="str">
        <f>IF(HR_Data[[#This Row],[DistanceFromHome]]&lt;=5,"1 to 5",IF(HR_Data[[#This Row],[DistanceFromHome]]&lt;=10,"6 to 10",IF(HR_Data[[#This Row],[DistanceFromHome]]&lt;=20,"11 to 20","21 to 29")))</f>
        <v>1 to 5</v>
      </c>
      <c r="AR337" s="1">
        <f>IF(HR_Data[[#This Row],[DistanceFromHome]]&lt;=5,1,IF(HR_Data[[#This Row],[DistanceFromHome]]&lt;=10,2,IF(HR_Data[[#This Row],[DistanceFromHome]]&lt;=20,3,4)))</f>
        <v>1</v>
      </c>
      <c r="AS337" s="1" t="str">
        <f>IF(HR_Data[[#This Row],[TotalWorkingYears]]&lt;=5,"0-5 Yrs",IF(HR_Data[[#This Row],[TotalWorkingYears]]&lt;=10,"6-10 Yrs",IF(HR_Data[[#This Row],[TotalWorkingYears]]&lt;=20,"11-20 Yrs","20+ Yrs")))</f>
        <v>6-10 Yrs</v>
      </c>
      <c r="AT337" s="1">
        <f>IF(HR_Data[[#This Row],[TotalWorkingYears]]&lt;=5,1,IF(HR_Data[[#This Row],[TotalWorkingYears]]&lt;=10,2,IF(HR_Data[[#This Row],[TotalWorkingYears]]&lt;=20,3,4)))</f>
        <v>2</v>
      </c>
    </row>
    <row r="338" spans="1:46" x14ac:dyDescent="0.25">
      <c r="A338">
        <v>29</v>
      </c>
      <c r="B338" t="s">
        <v>29</v>
      </c>
      <c r="C338" t="s">
        <v>30</v>
      </c>
      <c r="D338" t="s">
        <v>38</v>
      </c>
      <c r="E338">
        <v>8</v>
      </c>
      <c r="F338">
        <v>4</v>
      </c>
      <c r="G338" t="s">
        <v>42</v>
      </c>
      <c r="H338">
        <v>454</v>
      </c>
      <c r="I338">
        <v>2</v>
      </c>
      <c r="J338" t="s">
        <v>39</v>
      </c>
      <c r="K338">
        <v>1</v>
      </c>
      <c r="L338">
        <v>1</v>
      </c>
      <c r="M338" t="s">
        <v>43</v>
      </c>
      <c r="N338">
        <v>1</v>
      </c>
      <c r="O338" t="s">
        <v>41</v>
      </c>
      <c r="P338">
        <v>2119</v>
      </c>
      <c r="Q338">
        <v>1</v>
      </c>
      <c r="R338" t="s">
        <v>29</v>
      </c>
      <c r="S338">
        <v>11</v>
      </c>
      <c r="T338">
        <v>3</v>
      </c>
      <c r="U338">
        <v>4</v>
      </c>
      <c r="V338">
        <v>0</v>
      </c>
      <c r="W338">
        <v>7</v>
      </c>
      <c r="X338">
        <v>4</v>
      </c>
      <c r="Y338">
        <v>2</v>
      </c>
      <c r="Z338">
        <v>7</v>
      </c>
      <c r="AA338">
        <v>7</v>
      </c>
      <c r="AB338">
        <v>0</v>
      </c>
      <c r="AC338">
        <v>7</v>
      </c>
      <c r="AD338">
        <f>IF(HR_Data[[#This Row],[Attrition]]="Yes",1,0)</f>
        <v>1</v>
      </c>
      <c r="AE338" t="str">
        <f>IF(HR_Data[[#This Row],[Age]]&lt;=25,"18-25",IF(HR_Data[[#This Row],[Age]]&lt;=35,"26-35",IF(HR_Data[[#This Row],[Age]]&lt;=45,"36-45",IF(HR_Data[[#This Row],[Age]]&lt;=55,"46-55","55+"))))</f>
        <v>26-35</v>
      </c>
      <c r="AF338">
        <f>IF(HR_Data[[#This Row],[Age]]&lt;=25,1,IF(HR_Data[[#This Row],[Age]]&lt;=35,2,IF(HR_Data[[#This Row],[Age]]&lt;=45,3,IF(HR_Data[[#This Row],[Age]]&lt;=55,4,5))))</f>
        <v>2</v>
      </c>
      <c r="AG338" s="1" t="str">
        <f>IF(HR_Data[[#This Row],[MonthlyIncome]]&lt;3000,"&lt;3K",IF(HR_Data[[#This Row],[MonthlyIncome]]&lt;6000,"3K-6K",IF(HR_Data[[#This Row],[MonthlyIncome]]&lt;10000,"6K-10K","10K+")))</f>
        <v>&lt;3K</v>
      </c>
      <c r="AH338" s="1">
        <f>IF(HR_Data[[#This Row],[MonthlyIncome]]&lt;3000,1,IF(HR_Data[[#This Row],[MonthlyIncome]]&lt;6000,2,IF(HR_Data[[#This Row],[MonthlyIncome]]&lt;10000,3,4)))</f>
        <v>1</v>
      </c>
      <c r="AI338" s="1" t="str">
        <f>IF(HR_Data[[#This Row],[YearsAtCompany]]&lt;=2,"0-2 Yrs",IF(HR_Data[[#This Row],[YearsAtCompany]]&lt;=5,"3-5 Yrs",IF(HR_Data[[#This Row],[YearsAtCompany]]&lt;=10,"6-10 Yrs","10+ Yrs")))</f>
        <v>6-10 Yrs</v>
      </c>
      <c r="AJ338" s="1">
        <f>IF(HR_Data[[#This Row],[YearsAtCompany]]&lt;=2,1,IF(HR_Data[[#This Row],[YearsAtCompany]]&lt;=5,2,IF(HR_Data[[#This Row],[YearsAtCompany]]&lt;=10,3,4)))</f>
        <v>3</v>
      </c>
      <c r="AK338" s="1" t="str">
        <f>CHOOSE(HR_Data[[#This Row],[Education]],"Below College","College","Bachelor","Master","Doctor")</f>
        <v>Master</v>
      </c>
      <c r="AL338" s="1" t="str">
        <f>CHOOSE(HR_Data[[#This Row],[JobSatisfaction]],"Low","Medium","High","Very High")</f>
        <v>Low</v>
      </c>
      <c r="AM338" s="1" t="str">
        <f>CHOOSE(HR_Data[[#This Row],[EnvironmentSatisfaction]],"Low","Medium","High","Very High")</f>
        <v>Medium</v>
      </c>
      <c r="AN338" s="1" t="str">
        <f>CHOOSE(HR_Data[[#This Row],[WorkLifeBalance]],"Bad","Good","Better","Best")</f>
        <v>Good</v>
      </c>
      <c r="AO338" s="1" t="str">
        <f>IF(HR_Data[[#This Row],[PercentSalaryHike]]&lt;=13,"11-13%",IF(HR_Data[[#This Row],[PercentSalaryHike]]&lt;=16,"14-16%",IF(HR_Data[[#This Row],[PercentSalaryHike]]&lt;=19,"17-19%","20-25%")))</f>
        <v>11-13%</v>
      </c>
      <c r="AP338" s="1">
        <f>IF(HR_Data[[#This Row],[PercentSalaryHike]]&lt;=13,1,IF(HR_Data[[#This Row],[PercentSalaryHike]]&lt;=16,2,IF(HR_Data[[#This Row],[PercentSalaryHike]]&lt;=19,3,4)))</f>
        <v>1</v>
      </c>
      <c r="AQ338" s="1" t="str">
        <f>IF(HR_Data[[#This Row],[DistanceFromHome]]&lt;=5,"1 to 5",IF(HR_Data[[#This Row],[DistanceFromHome]]&lt;=10,"6 to 10",IF(HR_Data[[#This Row],[DistanceFromHome]]&lt;=20,"11 to 20","21 to 29")))</f>
        <v>6 to 10</v>
      </c>
      <c r="AR338" s="1">
        <f>IF(HR_Data[[#This Row],[DistanceFromHome]]&lt;=5,1,IF(HR_Data[[#This Row],[DistanceFromHome]]&lt;=10,2,IF(HR_Data[[#This Row],[DistanceFromHome]]&lt;=20,3,4)))</f>
        <v>2</v>
      </c>
      <c r="AS338" s="1" t="str">
        <f>IF(HR_Data[[#This Row],[TotalWorkingYears]]&lt;=5,"0-5 Yrs",IF(HR_Data[[#This Row],[TotalWorkingYears]]&lt;=10,"6-10 Yrs",IF(HR_Data[[#This Row],[TotalWorkingYears]]&lt;=20,"11-20 Yrs","20+ Yrs")))</f>
        <v>6-10 Yrs</v>
      </c>
      <c r="AT338" s="1">
        <f>IF(HR_Data[[#This Row],[TotalWorkingYears]]&lt;=5,1,IF(HR_Data[[#This Row],[TotalWorkingYears]]&lt;=10,2,IF(HR_Data[[#This Row],[TotalWorkingYears]]&lt;=20,3,4)))</f>
        <v>2</v>
      </c>
    </row>
    <row r="339" spans="1:46" x14ac:dyDescent="0.25">
      <c r="A339">
        <v>29</v>
      </c>
      <c r="B339" t="s">
        <v>36</v>
      </c>
      <c r="C339" t="s">
        <v>30</v>
      </c>
      <c r="D339" t="s">
        <v>38</v>
      </c>
      <c r="E339">
        <v>9</v>
      </c>
      <c r="F339">
        <v>5</v>
      </c>
      <c r="G339" t="s">
        <v>42</v>
      </c>
      <c r="H339">
        <v>455</v>
      </c>
      <c r="I339">
        <v>2</v>
      </c>
      <c r="J339" t="s">
        <v>39</v>
      </c>
      <c r="K339">
        <v>2</v>
      </c>
      <c r="L339">
        <v>1</v>
      </c>
      <c r="M339" t="s">
        <v>43</v>
      </c>
      <c r="N339">
        <v>4</v>
      </c>
      <c r="O339" t="s">
        <v>35</v>
      </c>
      <c r="P339">
        <v>3983</v>
      </c>
      <c r="Q339">
        <v>0</v>
      </c>
      <c r="R339" t="s">
        <v>36</v>
      </c>
      <c r="S339">
        <v>17</v>
      </c>
      <c r="T339">
        <v>3</v>
      </c>
      <c r="U339">
        <v>3</v>
      </c>
      <c r="V339">
        <v>0</v>
      </c>
      <c r="W339">
        <v>4</v>
      </c>
      <c r="X339">
        <v>2</v>
      </c>
      <c r="Y339">
        <v>3</v>
      </c>
      <c r="Z339">
        <v>3</v>
      </c>
      <c r="AA339">
        <v>2</v>
      </c>
      <c r="AB339">
        <v>2</v>
      </c>
      <c r="AC339">
        <v>2</v>
      </c>
      <c r="AD339">
        <f>IF(HR_Data[[#This Row],[Attrition]]="Yes",1,0)</f>
        <v>0</v>
      </c>
      <c r="AE339" t="str">
        <f>IF(HR_Data[[#This Row],[Age]]&lt;=25,"18-25",IF(HR_Data[[#This Row],[Age]]&lt;=35,"26-35",IF(HR_Data[[#This Row],[Age]]&lt;=45,"36-45",IF(HR_Data[[#This Row],[Age]]&lt;=55,"46-55","55+"))))</f>
        <v>26-35</v>
      </c>
      <c r="AF339">
        <f>IF(HR_Data[[#This Row],[Age]]&lt;=25,1,IF(HR_Data[[#This Row],[Age]]&lt;=35,2,IF(HR_Data[[#This Row],[Age]]&lt;=45,3,IF(HR_Data[[#This Row],[Age]]&lt;=55,4,5))))</f>
        <v>2</v>
      </c>
      <c r="AG339" s="1" t="str">
        <f>IF(HR_Data[[#This Row],[MonthlyIncome]]&lt;3000,"&lt;3K",IF(HR_Data[[#This Row],[MonthlyIncome]]&lt;6000,"3K-6K",IF(HR_Data[[#This Row],[MonthlyIncome]]&lt;10000,"6K-10K","10K+")))</f>
        <v>3K-6K</v>
      </c>
      <c r="AH339" s="1">
        <f>IF(HR_Data[[#This Row],[MonthlyIncome]]&lt;3000,1,IF(HR_Data[[#This Row],[MonthlyIncome]]&lt;6000,2,IF(HR_Data[[#This Row],[MonthlyIncome]]&lt;10000,3,4)))</f>
        <v>2</v>
      </c>
      <c r="AI339" s="1" t="str">
        <f>IF(HR_Data[[#This Row],[YearsAtCompany]]&lt;=2,"0-2 Yrs",IF(HR_Data[[#This Row],[YearsAtCompany]]&lt;=5,"3-5 Yrs",IF(HR_Data[[#This Row],[YearsAtCompany]]&lt;=10,"6-10 Yrs","10+ Yrs")))</f>
        <v>3-5 Yrs</v>
      </c>
      <c r="AJ339" s="1">
        <f>IF(HR_Data[[#This Row],[YearsAtCompany]]&lt;=2,1,IF(HR_Data[[#This Row],[YearsAtCompany]]&lt;=5,2,IF(HR_Data[[#This Row],[YearsAtCompany]]&lt;=10,3,4)))</f>
        <v>2</v>
      </c>
      <c r="AK339" s="1" t="str">
        <f>CHOOSE(HR_Data[[#This Row],[Education]],"Below College","College","Bachelor","Master","Doctor")</f>
        <v>Doctor</v>
      </c>
      <c r="AL339" s="1" t="str">
        <f>CHOOSE(HR_Data[[#This Row],[JobSatisfaction]],"Low","Medium","High","Very High")</f>
        <v>Very High</v>
      </c>
      <c r="AM339" s="1" t="str">
        <f>CHOOSE(HR_Data[[#This Row],[EnvironmentSatisfaction]],"Low","Medium","High","Very High")</f>
        <v>Medium</v>
      </c>
      <c r="AN339" s="1" t="str">
        <f>CHOOSE(HR_Data[[#This Row],[WorkLifeBalance]],"Bad","Good","Better","Best")</f>
        <v>Better</v>
      </c>
      <c r="AO339" s="1" t="str">
        <f>IF(HR_Data[[#This Row],[PercentSalaryHike]]&lt;=13,"11-13%",IF(HR_Data[[#This Row],[PercentSalaryHike]]&lt;=16,"14-16%",IF(HR_Data[[#This Row],[PercentSalaryHike]]&lt;=19,"17-19%","20-25%")))</f>
        <v>17-19%</v>
      </c>
      <c r="AP339" s="1">
        <f>IF(HR_Data[[#This Row],[PercentSalaryHike]]&lt;=13,1,IF(HR_Data[[#This Row],[PercentSalaryHike]]&lt;=16,2,IF(HR_Data[[#This Row],[PercentSalaryHike]]&lt;=19,3,4)))</f>
        <v>3</v>
      </c>
      <c r="AQ339" s="1" t="str">
        <f>IF(HR_Data[[#This Row],[DistanceFromHome]]&lt;=5,"1 to 5",IF(HR_Data[[#This Row],[DistanceFromHome]]&lt;=10,"6 to 10",IF(HR_Data[[#This Row],[DistanceFromHome]]&lt;=20,"11 to 20","21 to 29")))</f>
        <v>6 to 10</v>
      </c>
      <c r="AR339" s="1">
        <f>IF(HR_Data[[#This Row],[DistanceFromHome]]&lt;=5,1,IF(HR_Data[[#This Row],[DistanceFromHome]]&lt;=10,2,IF(HR_Data[[#This Row],[DistanceFromHome]]&lt;=20,3,4)))</f>
        <v>2</v>
      </c>
      <c r="AS339" s="1" t="str">
        <f>IF(HR_Data[[#This Row],[TotalWorkingYears]]&lt;=5,"0-5 Yrs",IF(HR_Data[[#This Row],[TotalWorkingYears]]&lt;=10,"6-10 Yrs",IF(HR_Data[[#This Row],[TotalWorkingYears]]&lt;=20,"11-20 Yrs","20+ Yrs")))</f>
        <v>0-5 Yrs</v>
      </c>
      <c r="AT339" s="1">
        <f>IF(HR_Data[[#This Row],[TotalWorkingYears]]&lt;=5,1,IF(HR_Data[[#This Row],[TotalWorkingYears]]&lt;=10,2,IF(HR_Data[[#This Row],[TotalWorkingYears]]&lt;=20,3,4)))</f>
        <v>1</v>
      </c>
    </row>
    <row r="340" spans="1:46" x14ac:dyDescent="0.25">
      <c r="A340">
        <v>30</v>
      </c>
      <c r="B340" t="s">
        <v>36</v>
      </c>
      <c r="C340" t="s">
        <v>30</v>
      </c>
      <c r="D340" t="s">
        <v>31</v>
      </c>
      <c r="E340">
        <v>5</v>
      </c>
      <c r="F340">
        <v>3</v>
      </c>
      <c r="G340" t="s">
        <v>52</v>
      </c>
      <c r="H340">
        <v>456</v>
      </c>
      <c r="I340">
        <v>4</v>
      </c>
      <c r="J340" t="s">
        <v>33</v>
      </c>
      <c r="K340">
        <v>2</v>
      </c>
      <c r="L340">
        <v>2</v>
      </c>
      <c r="M340" t="s">
        <v>34</v>
      </c>
      <c r="N340">
        <v>3</v>
      </c>
      <c r="O340" t="s">
        <v>45</v>
      </c>
      <c r="P340">
        <v>6118</v>
      </c>
      <c r="Q340">
        <v>1</v>
      </c>
      <c r="R340" t="s">
        <v>36</v>
      </c>
      <c r="S340">
        <v>13</v>
      </c>
      <c r="T340">
        <v>3</v>
      </c>
      <c r="U340">
        <v>3</v>
      </c>
      <c r="V340">
        <v>3</v>
      </c>
      <c r="W340">
        <v>10</v>
      </c>
      <c r="X340">
        <v>2</v>
      </c>
      <c r="Y340">
        <v>3</v>
      </c>
      <c r="Z340">
        <v>10</v>
      </c>
      <c r="AA340">
        <v>9</v>
      </c>
      <c r="AB340">
        <v>1</v>
      </c>
      <c r="AC340">
        <v>2</v>
      </c>
      <c r="AD340">
        <f>IF(HR_Data[[#This Row],[Attrition]]="Yes",1,0)</f>
        <v>0</v>
      </c>
      <c r="AE340" t="str">
        <f>IF(HR_Data[[#This Row],[Age]]&lt;=25,"18-25",IF(HR_Data[[#This Row],[Age]]&lt;=35,"26-35",IF(HR_Data[[#This Row],[Age]]&lt;=45,"36-45",IF(HR_Data[[#This Row],[Age]]&lt;=55,"46-55","55+"))))</f>
        <v>26-35</v>
      </c>
      <c r="AF340">
        <f>IF(HR_Data[[#This Row],[Age]]&lt;=25,1,IF(HR_Data[[#This Row],[Age]]&lt;=35,2,IF(HR_Data[[#This Row],[Age]]&lt;=45,3,IF(HR_Data[[#This Row],[Age]]&lt;=55,4,5))))</f>
        <v>2</v>
      </c>
      <c r="AG340" s="1" t="str">
        <f>IF(HR_Data[[#This Row],[MonthlyIncome]]&lt;3000,"&lt;3K",IF(HR_Data[[#This Row],[MonthlyIncome]]&lt;6000,"3K-6K",IF(HR_Data[[#This Row],[MonthlyIncome]]&lt;10000,"6K-10K","10K+")))</f>
        <v>6K-10K</v>
      </c>
      <c r="AH340" s="1">
        <f>IF(HR_Data[[#This Row],[MonthlyIncome]]&lt;3000,1,IF(HR_Data[[#This Row],[MonthlyIncome]]&lt;6000,2,IF(HR_Data[[#This Row],[MonthlyIncome]]&lt;10000,3,4)))</f>
        <v>3</v>
      </c>
      <c r="AI340" s="1" t="str">
        <f>IF(HR_Data[[#This Row],[YearsAtCompany]]&lt;=2,"0-2 Yrs",IF(HR_Data[[#This Row],[YearsAtCompany]]&lt;=5,"3-5 Yrs",IF(HR_Data[[#This Row],[YearsAtCompany]]&lt;=10,"6-10 Yrs","10+ Yrs")))</f>
        <v>6-10 Yrs</v>
      </c>
      <c r="AJ340" s="1">
        <f>IF(HR_Data[[#This Row],[YearsAtCompany]]&lt;=2,1,IF(HR_Data[[#This Row],[YearsAtCompany]]&lt;=5,2,IF(HR_Data[[#This Row],[YearsAtCompany]]&lt;=10,3,4)))</f>
        <v>3</v>
      </c>
      <c r="AK340" s="1" t="str">
        <f>CHOOSE(HR_Data[[#This Row],[Education]],"Below College","College","Bachelor","Master","Doctor")</f>
        <v>Bachelor</v>
      </c>
      <c r="AL340" s="1" t="str">
        <f>CHOOSE(HR_Data[[#This Row],[JobSatisfaction]],"Low","Medium","High","Very High")</f>
        <v>High</v>
      </c>
      <c r="AM340" s="1" t="str">
        <f>CHOOSE(HR_Data[[#This Row],[EnvironmentSatisfaction]],"Low","Medium","High","Very High")</f>
        <v>Very High</v>
      </c>
      <c r="AN340" s="1" t="str">
        <f>CHOOSE(HR_Data[[#This Row],[WorkLifeBalance]],"Bad","Good","Better","Best")</f>
        <v>Better</v>
      </c>
      <c r="AO340" s="1" t="str">
        <f>IF(HR_Data[[#This Row],[PercentSalaryHike]]&lt;=13,"11-13%",IF(HR_Data[[#This Row],[PercentSalaryHike]]&lt;=16,"14-16%",IF(HR_Data[[#This Row],[PercentSalaryHike]]&lt;=19,"17-19%","20-25%")))</f>
        <v>11-13%</v>
      </c>
      <c r="AP340" s="1">
        <f>IF(HR_Data[[#This Row],[PercentSalaryHike]]&lt;=13,1,IF(HR_Data[[#This Row],[PercentSalaryHike]]&lt;=16,2,IF(HR_Data[[#This Row],[PercentSalaryHike]]&lt;=19,3,4)))</f>
        <v>1</v>
      </c>
      <c r="AQ340" s="1" t="str">
        <f>IF(HR_Data[[#This Row],[DistanceFromHome]]&lt;=5,"1 to 5",IF(HR_Data[[#This Row],[DistanceFromHome]]&lt;=10,"6 to 10",IF(HR_Data[[#This Row],[DistanceFromHome]]&lt;=20,"11 to 20","21 to 29")))</f>
        <v>1 to 5</v>
      </c>
      <c r="AR340" s="1">
        <f>IF(HR_Data[[#This Row],[DistanceFromHome]]&lt;=5,1,IF(HR_Data[[#This Row],[DistanceFromHome]]&lt;=10,2,IF(HR_Data[[#This Row],[DistanceFromHome]]&lt;=20,3,4)))</f>
        <v>1</v>
      </c>
      <c r="AS340" s="1" t="str">
        <f>IF(HR_Data[[#This Row],[TotalWorkingYears]]&lt;=5,"0-5 Yrs",IF(HR_Data[[#This Row],[TotalWorkingYears]]&lt;=10,"6-10 Yrs",IF(HR_Data[[#This Row],[TotalWorkingYears]]&lt;=20,"11-20 Yrs","20+ Yrs")))</f>
        <v>6-10 Yrs</v>
      </c>
      <c r="AT340" s="1">
        <f>IF(HR_Data[[#This Row],[TotalWorkingYears]]&lt;=5,1,IF(HR_Data[[#This Row],[TotalWorkingYears]]&lt;=10,2,IF(HR_Data[[#This Row],[TotalWorkingYears]]&lt;=20,3,4)))</f>
        <v>2</v>
      </c>
    </row>
    <row r="341" spans="1:46" x14ac:dyDescent="0.25">
      <c r="A341">
        <v>27</v>
      </c>
      <c r="B341" t="s">
        <v>36</v>
      </c>
      <c r="C341" t="s">
        <v>30</v>
      </c>
      <c r="D341" t="s">
        <v>31</v>
      </c>
      <c r="E341">
        <v>8</v>
      </c>
      <c r="F341">
        <v>4</v>
      </c>
      <c r="G341" t="s">
        <v>52</v>
      </c>
      <c r="H341">
        <v>458</v>
      </c>
      <c r="I341">
        <v>2</v>
      </c>
      <c r="J341" t="s">
        <v>33</v>
      </c>
      <c r="K341">
        <v>3</v>
      </c>
      <c r="L341">
        <v>2</v>
      </c>
      <c r="M341" t="s">
        <v>34</v>
      </c>
      <c r="N341">
        <v>2</v>
      </c>
      <c r="O341" t="s">
        <v>41</v>
      </c>
      <c r="P341">
        <v>6214</v>
      </c>
      <c r="Q341">
        <v>1</v>
      </c>
      <c r="R341" t="s">
        <v>36</v>
      </c>
      <c r="S341">
        <v>18</v>
      </c>
      <c r="T341">
        <v>3</v>
      </c>
      <c r="U341">
        <v>1</v>
      </c>
      <c r="V341">
        <v>1</v>
      </c>
      <c r="W341">
        <v>8</v>
      </c>
      <c r="X341">
        <v>3</v>
      </c>
      <c r="Y341">
        <v>3</v>
      </c>
      <c r="Z341">
        <v>8</v>
      </c>
      <c r="AA341">
        <v>7</v>
      </c>
      <c r="AB341">
        <v>0</v>
      </c>
      <c r="AC341">
        <v>7</v>
      </c>
      <c r="AD341">
        <f>IF(HR_Data[[#This Row],[Attrition]]="Yes",1,0)</f>
        <v>0</v>
      </c>
      <c r="AE341" t="str">
        <f>IF(HR_Data[[#This Row],[Age]]&lt;=25,"18-25",IF(HR_Data[[#This Row],[Age]]&lt;=35,"26-35",IF(HR_Data[[#This Row],[Age]]&lt;=45,"36-45",IF(HR_Data[[#This Row],[Age]]&lt;=55,"46-55","55+"))))</f>
        <v>26-35</v>
      </c>
      <c r="AF341">
        <f>IF(HR_Data[[#This Row],[Age]]&lt;=25,1,IF(HR_Data[[#This Row],[Age]]&lt;=35,2,IF(HR_Data[[#This Row],[Age]]&lt;=45,3,IF(HR_Data[[#This Row],[Age]]&lt;=55,4,5))))</f>
        <v>2</v>
      </c>
      <c r="AG341" s="1" t="str">
        <f>IF(HR_Data[[#This Row],[MonthlyIncome]]&lt;3000,"&lt;3K",IF(HR_Data[[#This Row],[MonthlyIncome]]&lt;6000,"3K-6K",IF(HR_Data[[#This Row],[MonthlyIncome]]&lt;10000,"6K-10K","10K+")))</f>
        <v>6K-10K</v>
      </c>
      <c r="AH341" s="1">
        <f>IF(HR_Data[[#This Row],[MonthlyIncome]]&lt;3000,1,IF(HR_Data[[#This Row],[MonthlyIncome]]&lt;6000,2,IF(HR_Data[[#This Row],[MonthlyIncome]]&lt;10000,3,4)))</f>
        <v>3</v>
      </c>
      <c r="AI341" s="1" t="str">
        <f>IF(HR_Data[[#This Row],[YearsAtCompany]]&lt;=2,"0-2 Yrs",IF(HR_Data[[#This Row],[YearsAtCompany]]&lt;=5,"3-5 Yrs",IF(HR_Data[[#This Row],[YearsAtCompany]]&lt;=10,"6-10 Yrs","10+ Yrs")))</f>
        <v>6-10 Yrs</v>
      </c>
      <c r="AJ341" s="1">
        <f>IF(HR_Data[[#This Row],[YearsAtCompany]]&lt;=2,1,IF(HR_Data[[#This Row],[YearsAtCompany]]&lt;=5,2,IF(HR_Data[[#This Row],[YearsAtCompany]]&lt;=10,3,4)))</f>
        <v>3</v>
      </c>
      <c r="AK341" s="1" t="str">
        <f>CHOOSE(HR_Data[[#This Row],[Education]],"Below College","College","Bachelor","Master","Doctor")</f>
        <v>Master</v>
      </c>
      <c r="AL341" s="1" t="str">
        <f>CHOOSE(HR_Data[[#This Row],[JobSatisfaction]],"Low","Medium","High","Very High")</f>
        <v>Medium</v>
      </c>
      <c r="AM341" s="1" t="str">
        <f>CHOOSE(HR_Data[[#This Row],[EnvironmentSatisfaction]],"Low","Medium","High","Very High")</f>
        <v>Medium</v>
      </c>
      <c r="AN341" s="1" t="str">
        <f>CHOOSE(HR_Data[[#This Row],[WorkLifeBalance]],"Bad","Good","Better","Best")</f>
        <v>Better</v>
      </c>
      <c r="AO341" s="1" t="str">
        <f>IF(HR_Data[[#This Row],[PercentSalaryHike]]&lt;=13,"11-13%",IF(HR_Data[[#This Row],[PercentSalaryHike]]&lt;=16,"14-16%",IF(HR_Data[[#This Row],[PercentSalaryHike]]&lt;=19,"17-19%","20-25%")))</f>
        <v>17-19%</v>
      </c>
      <c r="AP341" s="1">
        <f>IF(HR_Data[[#This Row],[PercentSalaryHike]]&lt;=13,1,IF(HR_Data[[#This Row],[PercentSalaryHike]]&lt;=16,2,IF(HR_Data[[#This Row],[PercentSalaryHike]]&lt;=19,3,4)))</f>
        <v>3</v>
      </c>
      <c r="AQ341" s="1" t="str">
        <f>IF(HR_Data[[#This Row],[DistanceFromHome]]&lt;=5,"1 to 5",IF(HR_Data[[#This Row],[DistanceFromHome]]&lt;=10,"6 to 10",IF(HR_Data[[#This Row],[DistanceFromHome]]&lt;=20,"11 to 20","21 to 29")))</f>
        <v>6 to 10</v>
      </c>
      <c r="AR341" s="1">
        <f>IF(HR_Data[[#This Row],[DistanceFromHome]]&lt;=5,1,IF(HR_Data[[#This Row],[DistanceFromHome]]&lt;=10,2,IF(HR_Data[[#This Row],[DistanceFromHome]]&lt;=20,3,4)))</f>
        <v>2</v>
      </c>
      <c r="AS341" s="1" t="str">
        <f>IF(HR_Data[[#This Row],[TotalWorkingYears]]&lt;=5,"0-5 Yrs",IF(HR_Data[[#This Row],[TotalWorkingYears]]&lt;=10,"6-10 Yrs",IF(HR_Data[[#This Row],[TotalWorkingYears]]&lt;=20,"11-20 Yrs","20+ Yrs")))</f>
        <v>6-10 Yrs</v>
      </c>
      <c r="AT341" s="1">
        <f>IF(HR_Data[[#This Row],[TotalWorkingYears]]&lt;=5,1,IF(HR_Data[[#This Row],[TotalWorkingYears]]&lt;=10,2,IF(HR_Data[[#This Row],[TotalWorkingYears]]&lt;=20,3,4)))</f>
        <v>2</v>
      </c>
    </row>
    <row r="342" spans="1:46" x14ac:dyDescent="0.25">
      <c r="A342">
        <v>37</v>
      </c>
      <c r="B342" t="s">
        <v>36</v>
      </c>
      <c r="C342" t="s">
        <v>30</v>
      </c>
      <c r="D342" t="s">
        <v>38</v>
      </c>
      <c r="E342">
        <v>5</v>
      </c>
      <c r="F342">
        <v>2</v>
      </c>
      <c r="G342" t="s">
        <v>44</v>
      </c>
      <c r="H342">
        <v>460</v>
      </c>
      <c r="I342">
        <v>4</v>
      </c>
      <c r="J342" t="s">
        <v>39</v>
      </c>
      <c r="K342">
        <v>3</v>
      </c>
      <c r="L342">
        <v>2</v>
      </c>
      <c r="M342" t="s">
        <v>46</v>
      </c>
      <c r="N342">
        <v>4</v>
      </c>
      <c r="O342" t="s">
        <v>45</v>
      </c>
      <c r="P342">
        <v>6347</v>
      </c>
      <c r="Q342">
        <v>7</v>
      </c>
      <c r="R342" t="s">
        <v>36</v>
      </c>
      <c r="S342">
        <v>16</v>
      </c>
      <c r="T342">
        <v>3</v>
      </c>
      <c r="U342">
        <v>3</v>
      </c>
      <c r="V342">
        <v>2</v>
      </c>
      <c r="W342">
        <v>8</v>
      </c>
      <c r="X342">
        <v>2</v>
      </c>
      <c r="Y342">
        <v>2</v>
      </c>
      <c r="Z342">
        <v>6</v>
      </c>
      <c r="AA342">
        <v>2</v>
      </c>
      <c r="AB342">
        <v>0</v>
      </c>
      <c r="AC342">
        <v>4</v>
      </c>
      <c r="AD342">
        <f>IF(HR_Data[[#This Row],[Attrition]]="Yes",1,0)</f>
        <v>0</v>
      </c>
      <c r="AE342" t="str">
        <f>IF(HR_Data[[#This Row],[Age]]&lt;=25,"18-25",IF(HR_Data[[#This Row],[Age]]&lt;=35,"26-35",IF(HR_Data[[#This Row],[Age]]&lt;=45,"36-45",IF(HR_Data[[#This Row],[Age]]&lt;=55,"46-55","55+"))))</f>
        <v>36-45</v>
      </c>
      <c r="AF342">
        <f>IF(HR_Data[[#This Row],[Age]]&lt;=25,1,IF(HR_Data[[#This Row],[Age]]&lt;=35,2,IF(HR_Data[[#This Row],[Age]]&lt;=45,3,IF(HR_Data[[#This Row],[Age]]&lt;=55,4,5))))</f>
        <v>3</v>
      </c>
      <c r="AG342" s="1" t="str">
        <f>IF(HR_Data[[#This Row],[MonthlyIncome]]&lt;3000,"&lt;3K",IF(HR_Data[[#This Row],[MonthlyIncome]]&lt;6000,"3K-6K",IF(HR_Data[[#This Row],[MonthlyIncome]]&lt;10000,"6K-10K","10K+")))</f>
        <v>6K-10K</v>
      </c>
      <c r="AH342" s="1">
        <f>IF(HR_Data[[#This Row],[MonthlyIncome]]&lt;3000,1,IF(HR_Data[[#This Row],[MonthlyIncome]]&lt;6000,2,IF(HR_Data[[#This Row],[MonthlyIncome]]&lt;10000,3,4)))</f>
        <v>3</v>
      </c>
      <c r="AI342" s="1" t="str">
        <f>IF(HR_Data[[#This Row],[YearsAtCompany]]&lt;=2,"0-2 Yrs",IF(HR_Data[[#This Row],[YearsAtCompany]]&lt;=5,"3-5 Yrs",IF(HR_Data[[#This Row],[YearsAtCompany]]&lt;=10,"6-10 Yrs","10+ Yrs")))</f>
        <v>6-10 Yrs</v>
      </c>
      <c r="AJ342" s="1">
        <f>IF(HR_Data[[#This Row],[YearsAtCompany]]&lt;=2,1,IF(HR_Data[[#This Row],[YearsAtCompany]]&lt;=5,2,IF(HR_Data[[#This Row],[YearsAtCompany]]&lt;=10,3,4)))</f>
        <v>3</v>
      </c>
      <c r="AK342" s="1" t="str">
        <f>CHOOSE(HR_Data[[#This Row],[Education]],"Below College","College","Bachelor","Master","Doctor")</f>
        <v>College</v>
      </c>
      <c r="AL342" s="1" t="str">
        <f>CHOOSE(HR_Data[[#This Row],[JobSatisfaction]],"Low","Medium","High","Very High")</f>
        <v>Very High</v>
      </c>
      <c r="AM342" s="1" t="str">
        <f>CHOOSE(HR_Data[[#This Row],[EnvironmentSatisfaction]],"Low","Medium","High","Very High")</f>
        <v>Very High</v>
      </c>
      <c r="AN342" s="1" t="str">
        <f>CHOOSE(HR_Data[[#This Row],[WorkLifeBalance]],"Bad","Good","Better","Best")</f>
        <v>Good</v>
      </c>
      <c r="AO342" s="1" t="str">
        <f>IF(HR_Data[[#This Row],[PercentSalaryHike]]&lt;=13,"11-13%",IF(HR_Data[[#This Row],[PercentSalaryHike]]&lt;=16,"14-16%",IF(HR_Data[[#This Row],[PercentSalaryHike]]&lt;=19,"17-19%","20-25%")))</f>
        <v>14-16%</v>
      </c>
      <c r="AP342" s="1">
        <f>IF(HR_Data[[#This Row],[PercentSalaryHike]]&lt;=13,1,IF(HR_Data[[#This Row],[PercentSalaryHike]]&lt;=16,2,IF(HR_Data[[#This Row],[PercentSalaryHike]]&lt;=19,3,4)))</f>
        <v>2</v>
      </c>
      <c r="AQ342" s="1" t="str">
        <f>IF(HR_Data[[#This Row],[DistanceFromHome]]&lt;=5,"1 to 5",IF(HR_Data[[#This Row],[DistanceFromHome]]&lt;=10,"6 to 10",IF(HR_Data[[#This Row],[DistanceFromHome]]&lt;=20,"11 to 20","21 to 29")))</f>
        <v>1 to 5</v>
      </c>
      <c r="AR342" s="1">
        <f>IF(HR_Data[[#This Row],[DistanceFromHome]]&lt;=5,1,IF(HR_Data[[#This Row],[DistanceFromHome]]&lt;=10,2,IF(HR_Data[[#This Row],[DistanceFromHome]]&lt;=20,3,4)))</f>
        <v>1</v>
      </c>
      <c r="AS342" s="1" t="str">
        <f>IF(HR_Data[[#This Row],[TotalWorkingYears]]&lt;=5,"0-5 Yrs",IF(HR_Data[[#This Row],[TotalWorkingYears]]&lt;=10,"6-10 Yrs",IF(HR_Data[[#This Row],[TotalWorkingYears]]&lt;=20,"11-20 Yrs","20+ Yrs")))</f>
        <v>6-10 Yrs</v>
      </c>
      <c r="AT342" s="1">
        <f>IF(HR_Data[[#This Row],[TotalWorkingYears]]&lt;=5,1,IF(HR_Data[[#This Row],[TotalWorkingYears]]&lt;=10,2,IF(HR_Data[[#This Row],[TotalWorkingYears]]&lt;=20,3,4)))</f>
        <v>2</v>
      </c>
    </row>
    <row r="343" spans="1:46" x14ac:dyDescent="0.25">
      <c r="A343">
        <v>38</v>
      </c>
      <c r="B343" t="s">
        <v>36</v>
      </c>
      <c r="C343" t="s">
        <v>30</v>
      </c>
      <c r="D343" t="s">
        <v>38</v>
      </c>
      <c r="E343">
        <v>15</v>
      </c>
      <c r="F343">
        <v>2</v>
      </c>
      <c r="G343" t="s">
        <v>32</v>
      </c>
      <c r="H343">
        <v>461</v>
      </c>
      <c r="I343">
        <v>3</v>
      </c>
      <c r="J343" t="s">
        <v>39</v>
      </c>
      <c r="K343">
        <v>2</v>
      </c>
      <c r="L343">
        <v>3</v>
      </c>
      <c r="M343" t="s">
        <v>51</v>
      </c>
      <c r="N343">
        <v>4</v>
      </c>
      <c r="O343" t="s">
        <v>45</v>
      </c>
      <c r="P343">
        <v>11510</v>
      </c>
      <c r="Q343">
        <v>0</v>
      </c>
      <c r="R343" t="s">
        <v>29</v>
      </c>
      <c r="S343">
        <v>14</v>
      </c>
      <c r="T343">
        <v>3</v>
      </c>
      <c r="U343">
        <v>2</v>
      </c>
      <c r="V343">
        <v>1</v>
      </c>
      <c r="W343">
        <v>12</v>
      </c>
      <c r="X343">
        <v>3</v>
      </c>
      <c r="Y343">
        <v>3</v>
      </c>
      <c r="Z343">
        <v>11</v>
      </c>
      <c r="AA343">
        <v>10</v>
      </c>
      <c r="AB343">
        <v>2</v>
      </c>
      <c r="AC343">
        <v>9</v>
      </c>
      <c r="AD343">
        <f>IF(HR_Data[[#This Row],[Attrition]]="Yes",1,0)</f>
        <v>0</v>
      </c>
      <c r="AE343" t="str">
        <f>IF(HR_Data[[#This Row],[Age]]&lt;=25,"18-25",IF(HR_Data[[#This Row],[Age]]&lt;=35,"26-35",IF(HR_Data[[#This Row],[Age]]&lt;=45,"36-45",IF(HR_Data[[#This Row],[Age]]&lt;=55,"46-55","55+"))))</f>
        <v>36-45</v>
      </c>
      <c r="AF343">
        <f>IF(HR_Data[[#This Row],[Age]]&lt;=25,1,IF(HR_Data[[#This Row],[Age]]&lt;=35,2,IF(HR_Data[[#This Row],[Age]]&lt;=45,3,IF(HR_Data[[#This Row],[Age]]&lt;=55,4,5))))</f>
        <v>3</v>
      </c>
      <c r="AG343" s="1" t="str">
        <f>IF(HR_Data[[#This Row],[MonthlyIncome]]&lt;3000,"&lt;3K",IF(HR_Data[[#This Row],[MonthlyIncome]]&lt;6000,"3K-6K",IF(HR_Data[[#This Row],[MonthlyIncome]]&lt;10000,"6K-10K","10K+")))</f>
        <v>10K+</v>
      </c>
      <c r="AH343" s="1">
        <f>IF(HR_Data[[#This Row],[MonthlyIncome]]&lt;3000,1,IF(HR_Data[[#This Row],[MonthlyIncome]]&lt;6000,2,IF(HR_Data[[#This Row],[MonthlyIncome]]&lt;10000,3,4)))</f>
        <v>4</v>
      </c>
      <c r="AI343" s="1" t="str">
        <f>IF(HR_Data[[#This Row],[YearsAtCompany]]&lt;=2,"0-2 Yrs",IF(HR_Data[[#This Row],[YearsAtCompany]]&lt;=5,"3-5 Yrs",IF(HR_Data[[#This Row],[YearsAtCompany]]&lt;=10,"6-10 Yrs","10+ Yrs")))</f>
        <v>10+ Yrs</v>
      </c>
      <c r="AJ343" s="1">
        <f>IF(HR_Data[[#This Row],[YearsAtCompany]]&lt;=2,1,IF(HR_Data[[#This Row],[YearsAtCompany]]&lt;=5,2,IF(HR_Data[[#This Row],[YearsAtCompany]]&lt;=10,3,4)))</f>
        <v>4</v>
      </c>
      <c r="AK343" s="1" t="str">
        <f>CHOOSE(HR_Data[[#This Row],[Education]],"Below College","College","Bachelor","Master","Doctor")</f>
        <v>College</v>
      </c>
      <c r="AL343" s="1" t="str">
        <f>CHOOSE(HR_Data[[#This Row],[JobSatisfaction]],"Low","Medium","High","Very High")</f>
        <v>Very High</v>
      </c>
      <c r="AM343" s="1" t="str">
        <f>CHOOSE(HR_Data[[#This Row],[EnvironmentSatisfaction]],"Low","Medium","High","Very High")</f>
        <v>High</v>
      </c>
      <c r="AN343" s="1" t="str">
        <f>CHOOSE(HR_Data[[#This Row],[WorkLifeBalance]],"Bad","Good","Better","Best")</f>
        <v>Better</v>
      </c>
      <c r="AO343" s="1" t="str">
        <f>IF(HR_Data[[#This Row],[PercentSalaryHike]]&lt;=13,"11-13%",IF(HR_Data[[#This Row],[PercentSalaryHike]]&lt;=16,"14-16%",IF(HR_Data[[#This Row],[PercentSalaryHike]]&lt;=19,"17-19%","20-25%")))</f>
        <v>14-16%</v>
      </c>
      <c r="AP343" s="1">
        <f>IF(HR_Data[[#This Row],[PercentSalaryHike]]&lt;=13,1,IF(HR_Data[[#This Row],[PercentSalaryHike]]&lt;=16,2,IF(HR_Data[[#This Row],[PercentSalaryHike]]&lt;=19,3,4)))</f>
        <v>2</v>
      </c>
      <c r="AQ343" s="1" t="str">
        <f>IF(HR_Data[[#This Row],[DistanceFromHome]]&lt;=5,"1 to 5",IF(HR_Data[[#This Row],[DistanceFromHome]]&lt;=10,"6 to 10",IF(HR_Data[[#This Row],[DistanceFromHome]]&lt;=20,"11 to 20","21 to 29")))</f>
        <v>11 to 20</v>
      </c>
      <c r="AR343" s="1">
        <f>IF(HR_Data[[#This Row],[DistanceFromHome]]&lt;=5,1,IF(HR_Data[[#This Row],[DistanceFromHome]]&lt;=10,2,IF(HR_Data[[#This Row],[DistanceFromHome]]&lt;=20,3,4)))</f>
        <v>3</v>
      </c>
      <c r="AS343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343" s="1">
        <f>IF(HR_Data[[#This Row],[TotalWorkingYears]]&lt;=5,1,IF(HR_Data[[#This Row],[TotalWorkingYears]]&lt;=10,2,IF(HR_Data[[#This Row],[TotalWorkingYears]]&lt;=20,3,4)))</f>
        <v>3</v>
      </c>
    </row>
    <row r="344" spans="1:46" x14ac:dyDescent="0.25">
      <c r="A344">
        <v>31</v>
      </c>
      <c r="B344" t="s">
        <v>36</v>
      </c>
      <c r="C344" t="s">
        <v>30</v>
      </c>
      <c r="D344" t="s">
        <v>38</v>
      </c>
      <c r="E344">
        <v>7</v>
      </c>
      <c r="F344">
        <v>4</v>
      </c>
      <c r="G344" t="s">
        <v>44</v>
      </c>
      <c r="H344">
        <v>462</v>
      </c>
      <c r="I344">
        <v>3</v>
      </c>
      <c r="J344" t="s">
        <v>33</v>
      </c>
      <c r="K344">
        <v>3</v>
      </c>
      <c r="L344">
        <v>3</v>
      </c>
      <c r="M344" t="s">
        <v>46</v>
      </c>
      <c r="N344">
        <v>4</v>
      </c>
      <c r="O344" t="s">
        <v>35</v>
      </c>
      <c r="P344">
        <v>7143</v>
      </c>
      <c r="Q344">
        <v>1</v>
      </c>
      <c r="R344" t="s">
        <v>29</v>
      </c>
      <c r="S344">
        <v>14</v>
      </c>
      <c r="T344">
        <v>3</v>
      </c>
      <c r="U344">
        <v>3</v>
      </c>
      <c r="V344">
        <v>0</v>
      </c>
      <c r="W344">
        <v>11</v>
      </c>
      <c r="X344">
        <v>2</v>
      </c>
      <c r="Y344">
        <v>2</v>
      </c>
      <c r="Z344">
        <v>11</v>
      </c>
      <c r="AA344">
        <v>9</v>
      </c>
      <c r="AB344">
        <v>4</v>
      </c>
      <c r="AC344">
        <v>10</v>
      </c>
      <c r="AD344">
        <f>IF(HR_Data[[#This Row],[Attrition]]="Yes",1,0)</f>
        <v>0</v>
      </c>
      <c r="AE344" t="str">
        <f>IF(HR_Data[[#This Row],[Age]]&lt;=25,"18-25",IF(HR_Data[[#This Row],[Age]]&lt;=35,"26-35",IF(HR_Data[[#This Row],[Age]]&lt;=45,"36-45",IF(HR_Data[[#This Row],[Age]]&lt;=55,"46-55","55+"))))</f>
        <v>26-35</v>
      </c>
      <c r="AF344">
        <f>IF(HR_Data[[#This Row],[Age]]&lt;=25,1,IF(HR_Data[[#This Row],[Age]]&lt;=35,2,IF(HR_Data[[#This Row],[Age]]&lt;=45,3,IF(HR_Data[[#This Row],[Age]]&lt;=55,4,5))))</f>
        <v>2</v>
      </c>
      <c r="AG344" s="1" t="str">
        <f>IF(HR_Data[[#This Row],[MonthlyIncome]]&lt;3000,"&lt;3K",IF(HR_Data[[#This Row],[MonthlyIncome]]&lt;6000,"3K-6K",IF(HR_Data[[#This Row],[MonthlyIncome]]&lt;10000,"6K-10K","10K+")))</f>
        <v>6K-10K</v>
      </c>
      <c r="AH344" s="1">
        <f>IF(HR_Data[[#This Row],[MonthlyIncome]]&lt;3000,1,IF(HR_Data[[#This Row],[MonthlyIncome]]&lt;6000,2,IF(HR_Data[[#This Row],[MonthlyIncome]]&lt;10000,3,4)))</f>
        <v>3</v>
      </c>
      <c r="AI344" s="1" t="str">
        <f>IF(HR_Data[[#This Row],[YearsAtCompany]]&lt;=2,"0-2 Yrs",IF(HR_Data[[#This Row],[YearsAtCompany]]&lt;=5,"3-5 Yrs",IF(HR_Data[[#This Row],[YearsAtCompany]]&lt;=10,"6-10 Yrs","10+ Yrs")))</f>
        <v>10+ Yrs</v>
      </c>
      <c r="AJ344" s="1">
        <f>IF(HR_Data[[#This Row],[YearsAtCompany]]&lt;=2,1,IF(HR_Data[[#This Row],[YearsAtCompany]]&lt;=5,2,IF(HR_Data[[#This Row],[YearsAtCompany]]&lt;=10,3,4)))</f>
        <v>4</v>
      </c>
      <c r="AK344" s="1" t="str">
        <f>CHOOSE(HR_Data[[#This Row],[Education]],"Below College","College","Bachelor","Master","Doctor")</f>
        <v>Master</v>
      </c>
      <c r="AL344" s="1" t="str">
        <f>CHOOSE(HR_Data[[#This Row],[JobSatisfaction]],"Low","Medium","High","Very High")</f>
        <v>Very High</v>
      </c>
      <c r="AM344" s="1" t="str">
        <f>CHOOSE(HR_Data[[#This Row],[EnvironmentSatisfaction]],"Low","Medium","High","Very High")</f>
        <v>High</v>
      </c>
      <c r="AN344" s="1" t="str">
        <f>CHOOSE(HR_Data[[#This Row],[WorkLifeBalance]],"Bad","Good","Better","Best")</f>
        <v>Good</v>
      </c>
      <c r="AO344" s="1" t="str">
        <f>IF(HR_Data[[#This Row],[PercentSalaryHike]]&lt;=13,"11-13%",IF(HR_Data[[#This Row],[PercentSalaryHike]]&lt;=16,"14-16%",IF(HR_Data[[#This Row],[PercentSalaryHike]]&lt;=19,"17-19%","20-25%")))</f>
        <v>14-16%</v>
      </c>
      <c r="AP344" s="1">
        <f>IF(HR_Data[[#This Row],[PercentSalaryHike]]&lt;=13,1,IF(HR_Data[[#This Row],[PercentSalaryHike]]&lt;=16,2,IF(HR_Data[[#This Row],[PercentSalaryHike]]&lt;=19,3,4)))</f>
        <v>2</v>
      </c>
      <c r="AQ344" s="1" t="str">
        <f>IF(HR_Data[[#This Row],[DistanceFromHome]]&lt;=5,"1 to 5",IF(HR_Data[[#This Row],[DistanceFromHome]]&lt;=10,"6 to 10",IF(HR_Data[[#This Row],[DistanceFromHome]]&lt;=20,"11 to 20","21 to 29")))</f>
        <v>6 to 10</v>
      </c>
      <c r="AR344" s="1">
        <f>IF(HR_Data[[#This Row],[DistanceFromHome]]&lt;=5,1,IF(HR_Data[[#This Row],[DistanceFromHome]]&lt;=10,2,IF(HR_Data[[#This Row],[DistanceFromHome]]&lt;=20,3,4)))</f>
        <v>2</v>
      </c>
      <c r="AS344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344" s="1">
        <f>IF(HR_Data[[#This Row],[TotalWorkingYears]]&lt;=5,1,IF(HR_Data[[#This Row],[TotalWorkingYears]]&lt;=10,2,IF(HR_Data[[#This Row],[TotalWorkingYears]]&lt;=20,3,4)))</f>
        <v>3</v>
      </c>
    </row>
    <row r="345" spans="1:46" x14ac:dyDescent="0.25">
      <c r="A345">
        <v>29</v>
      </c>
      <c r="B345" t="s">
        <v>36</v>
      </c>
      <c r="C345" t="s">
        <v>30</v>
      </c>
      <c r="D345" t="s">
        <v>31</v>
      </c>
      <c r="E345">
        <v>10</v>
      </c>
      <c r="F345">
        <v>1</v>
      </c>
      <c r="G345" t="s">
        <v>52</v>
      </c>
      <c r="H345">
        <v>463</v>
      </c>
      <c r="I345">
        <v>4</v>
      </c>
      <c r="J345" t="s">
        <v>33</v>
      </c>
      <c r="K345">
        <v>2</v>
      </c>
      <c r="L345">
        <v>2</v>
      </c>
      <c r="M345" t="s">
        <v>34</v>
      </c>
      <c r="N345">
        <v>2</v>
      </c>
      <c r="O345" t="s">
        <v>45</v>
      </c>
      <c r="P345">
        <v>8268</v>
      </c>
      <c r="Q345">
        <v>1</v>
      </c>
      <c r="R345" t="s">
        <v>29</v>
      </c>
      <c r="S345">
        <v>14</v>
      </c>
      <c r="T345">
        <v>3</v>
      </c>
      <c r="U345">
        <v>1</v>
      </c>
      <c r="V345">
        <v>2</v>
      </c>
      <c r="W345">
        <v>7</v>
      </c>
      <c r="X345">
        <v>2</v>
      </c>
      <c r="Y345">
        <v>3</v>
      </c>
      <c r="Z345">
        <v>7</v>
      </c>
      <c r="AA345">
        <v>7</v>
      </c>
      <c r="AB345">
        <v>1</v>
      </c>
      <c r="AC345">
        <v>7</v>
      </c>
      <c r="AD345">
        <f>IF(HR_Data[[#This Row],[Attrition]]="Yes",1,0)</f>
        <v>0</v>
      </c>
      <c r="AE345" t="str">
        <f>IF(HR_Data[[#This Row],[Age]]&lt;=25,"18-25",IF(HR_Data[[#This Row],[Age]]&lt;=35,"26-35",IF(HR_Data[[#This Row],[Age]]&lt;=45,"36-45",IF(HR_Data[[#This Row],[Age]]&lt;=55,"46-55","55+"))))</f>
        <v>26-35</v>
      </c>
      <c r="AF345">
        <f>IF(HR_Data[[#This Row],[Age]]&lt;=25,1,IF(HR_Data[[#This Row],[Age]]&lt;=35,2,IF(HR_Data[[#This Row],[Age]]&lt;=45,3,IF(HR_Data[[#This Row],[Age]]&lt;=55,4,5))))</f>
        <v>2</v>
      </c>
      <c r="AG345" s="1" t="str">
        <f>IF(HR_Data[[#This Row],[MonthlyIncome]]&lt;3000,"&lt;3K",IF(HR_Data[[#This Row],[MonthlyIncome]]&lt;6000,"3K-6K",IF(HR_Data[[#This Row],[MonthlyIncome]]&lt;10000,"6K-10K","10K+")))</f>
        <v>6K-10K</v>
      </c>
      <c r="AH345" s="1">
        <f>IF(HR_Data[[#This Row],[MonthlyIncome]]&lt;3000,1,IF(HR_Data[[#This Row],[MonthlyIncome]]&lt;6000,2,IF(HR_Data[[#This Row],[MonthlyIncome]]&lt;10000,3,4)))</f>
        <v>3</v>
      </c>
      <c r="AI345" s="1" t="str">
        <f>IF(HR_Data[[#This Row],[YearsAtCompany]]&lt;=2,"0-2 Yrs",IF(HR_Data[[#This Row],[YearsAtCompany]]&lt;=5,"3-5 Yrs",IF(HR_Data[[#This Row],[YearsAtCompany]]&lt;=10,"6-10 Yrs","10+ Yrs")))</f>
        <v>6-10 Yrs</v>
      </c>
      <c r="AJ345" s="1">
        <f>IF(HR_Data[[#This Row],[YearsAtCompany]]&lt;=2,1,IF(HR_Data[[#This Row],[YearsAtCompany]]&lt;=5,2,IF(HR_Data[[#This Row],[YearsAtCompany]]&lt;=10,3,4)))</f>
        <v>3</v>
      </c>
      <c r="AK345" s="1" t="str">
        <f>CHOOSE(HR_Data[[#This Row],[Education]],"Below College","College","Bachelor","Master","Doctor")</f>
        <v>Below College</v>
      </c>
      <c r="AL345" s="1" t="str">
        <f>CHOOSE(HR_Data[[#This Row],[JobSatisfaction]],"Low","Medium","High","Very High")</f>
        <v>Medium</v>
      </c>
      <c r="AM345" s="1" t="str">
        <f>CHOOSE(HR_Data[[#This Row],[EnvironmentSatisfaction]],"Low","Medium","High","Very High")</f>
        <v>Very High</v>
      </c>
      <c r="AN345" s="1" t="str">
        <f>CHOOSE(HR_Data[[#This Row],[WorkLifeBalance]],"Bad","Good","Better","Best")</f>
        <v>Better</v>
      </c>
      <c r="AO345" s="1" t="str">
        <f>IF(HR_Data[[#This Row],[PercentSalaryHike]]&lt;=13,"11-13%",IF(HR_Data[[#This Row],[PercentSalaryHike]]&lt;=16,"14-16%",IF(HR_Data[[#This Row],[PercentSalaryHike]]&lt;=19,"17-19%","20-25%")))</f>
        <v>14-16%</v>
      </c>
      <c r="AP345" s="1">
        <f>IF(HR_Data[[#This Row],[PercentSalaryHike]]&lt;=13,1,IF(HR_Data[[#This Row],[PercentSalaryHike]]&lt;=16,2,IF(HR_Data[[#This Row],[PercentSalaryHike]]&lt;=19,3,4)))</f>
        <v>2</v>
      </c>
      <c r="AQ345" s="1" t="str">
        <f>IF(HR_Data[[#This Row],[DistanceFromHome]]&lt;=5,"1 to 5",IF(HR_Data[[#This Row],[DistanceFromHome]]&lt;=10,"6 to 10",IF(HR_Data[[#This Row],[DistanceFromHome]]&lt;=20,"11 to 20","21 to 29")))</f>
        <v>6 to 10</v>
      </c>
      <c r="AR345" s="1">
        <f>IF(HR_Data[[#This Row],[DistanceFromHome]]&lt;=5,1,IF(HR_Data[[#This Row],[DistanceFromHome]]&lt;=10,2,IF(HR_Data[[#This Row],[DistanceFromHome]]&lt;=20,3,4)))</f>
        <v>2</v>
      </c>
      <c r="AS345" s="1" t="str">
        <f>IF(HR_Data[[#This Row],[TotalWorkingYears]]&lt;=5,"0-5 Yrs",IF(HR_Data[[#This Row],[TotalWorkingYears]]&lt;=10,"6-10 Yrs",IF(HR_Data[[#This Row],[TotalWorkingYears]]&lt;=20,"11-20 Yrs","20+ Yrs")))</f>
        <v>6-10 Yrs</v>
      </c>
      <c r="AT345" s="1">
        <f>IF(HR_Data[[#This Row],[TotalWorkingYears]]&lt;=5,1,IF(HR_Data[[#This Row],[TotalWorkingYears]]&lt;=10,2,IF(HR_Data[[#This Row],[TotalWorkingYears]]&lt;=20,3,4)))</f>
        <v>2</v>
      </c>
    </row>
    <row r="346" spans="1:46" x14ac:dyDescent="0.25">
      <c r="A346">
        <v>35</v>
      </c>
      <c r="B346" t="s">
        <v>36</v>
      </c>
      <c r="C346" t="s">
        <v>30</v>
      </c>
      <c r="D346" t="s">
        <v>38</v>
      </c>
      <c r="E346">
        <v>5</v>
      </c>
      <c r="F346">
        <v>4</v>
      </c>
      <c r="G346" t="s">
        <v>53</v>
      </c>
      <c r="H346">
        <v>464</v>
      </c>
      <c r="I346">
        <v>3</v>
      </c>
      <c r="J346" t="s">
        <v>39</v>
      </c>
      <c r="K346">
        <v>3</v>
      </c>
      <c r="L346">
        <v>3</v>
      </c>
      <c r="M346" t="s">
        <v>46</v>
      </c>
      <c r="N346">
        <v>2</v>
      </c>
      <c r="O346" t="s">
        <v>35</v>
      </c>
      <c r="P346">
        <v>8095</v>
      </c>
      <c r="Q346">
        <v>0</v>
      </c>
      <c r="R346" t="s">
        <v>36</v>
      </c>
      <c r="S346">
        <v>13</v>
      </c>
      <c r="T346">
        <v>3</v>
      </c>
      <c r="U346">
        <v>4</v>
      </c>
      <c r="V346">
        <v>0</v>
      </c>
      <c r="W346">
        <v>17</v>
      </c>
      <c r="X346">
        <v>5</v>
      </c>
      <c r="Y346">
        <v>3</v>
      </c>
      <c r="Z346">
        <v>16</v>
      </c>
      <c r="AA346">
        <v>6</v>
      </c>
      <c r="AB346">
        <v>0</v>
      </c>
      <c r="AC346">
        <v>13</v>
      </c>
      <c r="AD346">
        <f>IF(HR_Data[[#This Row],[Attrition]]="Yes",1,0)</f>
        <v>0</v>
      </c>
      <c r="AE346" t="str">
        <f>IF(HR_Data[[#This Row],[Age]]&lt;=25,"18-25",IF(HR_Data[[#This Row],[Age]]&lt;=35,"26-35",IF(HR_Data[[#This Row],[Age]]&lt;=45,"36-45",IF(HR_Data[[#This Row],[Age]]&lt;=55,"46-55","55+"))))</f>
        <v>26-35</v>
      </c>
      <c r="AF346">
        <f>IF(HR_Data[[#This Row],[Age]]&lt;=25,1,IF(HR_Data[[#This Row],[Age]]&lt;=35,2,IF(HR_Data[[#This Row],[Age]]&lt;=45,3,IF(HR_Data[[#This Row],[Age]]&lt;=55,4,5))))</f>
        <v>2</v>
      </c>
      <c r="AG346" s="1" t="str">
        <f>IF(HR_Data[[#This Row],[MonthlyIncome]]&lt;3000,"&lt;3K",IF(HR_Data[[#This Row],[MonthlyIncome]]&lt;6000,"3K-6K",IF(HR_Data[[#This Row],[MonthlyIncome]]&lt;10000,"6K-10K","10K+")))</f>
        <v>6K-10K</v>
      </c>
      <c r="AH346" s="1">
        <f>IF(HR_Data[[#This Row],[MonthlyIncome]]&lt;3000,1,IF(HR_Data[[#This Row],[MonthlyIncome]]&lt;6000,2,IF(HR_Data[[#This Row],[MonthlyIncome]]&lt;10000,3,4)))</f>
        <v>3</v>
      </c>
      <c r="AI346" s="1" t="str">
        <f>IF(HR_Data[[#This Row],[YearsAtCompany]]&lt;=2,"0-2 Yrs",IF(HR_Data[[#This Row],[YearsAtCompany]]&lt;=5,"3-5 Yrs",IF(HR_Data[[#This Row],[YearsAtCompany]]&lt;=10,"6-10 Yrs","10+ Yrs")))</f>
        <v>10+ Yrs</v>
      </c>
      <c r="AJ346" s="1">
        <f>IF(HR_Data[[#This Row],[YearsAtCompany]]&lt;=2,1,IF(HR_Data[[#This Row],[YearsAtCompany]]&lt;=5,2,IF(HR_Data[[#This Row],[YearsAtCompany]]&lt;=10,3,4)))</f>
        <v>4</v>
      </c>
      <c r="AK346" s="1" t="str">
        <f>CHOOSE(HR_Data[[#This Row],[Education]],"Below College","College","Bachelor","Master","Doctor")</f>
        <v>Master</v>
      </c>
      <c r="AL346" s="1" t="str">
        <f>CHOOSE(HR_Data[[#This Row],[JobSatisfaction]],"Low","Medium","High","Very High")</f>
        <v>Medium</v>
      </c>
      <c r="AM346" s="1" t="str">
        <f>CHOOSE(HR_Data[[#This Row],[EnvironmentSatisfaction]],"Low","Medium","High","Very High")</f>
        <v>High</v>
      </c>
      <c r="AN346" s="1" t="str">
        <f>CHOOSE(HR_Data[[#This Row],[WorkLifeBalance]],"Bad","Good","Better","Best")</f>
        <v>Better</v>
      </c>
      <c r="AO346" s="1" t="str">
        <f>IF(HR_Data[[#This Row],[PercentSalaryHike]]&lt;=13,"11-13%",IF(HR_Data[[#This Row],[PercentSalaryHike]]&lt;=16,"14-16%",IF(HR_Data[[#This Row],[PercentSalaryHike]]&lt;=19,"17-19%","20-25%")))</f>
        <v>11-13%</v>
      </c>
      <c r="AP346" s="1">
        <f>IF(HR_Data[[#This Row],[PercentSalaryHike]]&lt;=13,1,IF(HR_Data[[#This Row],[PercentSalaryHike]]&lt;=16,2,IF(HR_Data[[#This Row],[PercentSalaryHike]]&lt;=19,3,4)))</f>
        <v>1</v>
      </c>
      <c r="AQ346" s="1" t="str">
        <f>IF(HR_Data[[#This Row],[DistanceFromHome]]&lt;=5,"1 to 5",IF(HR_Data[[#This Row],[DistanceFromHome]]&lt;=10,"6 to 10",IF(HR_Data[[#This Row],[DistanceFromHome]]&lt;=20,"11 to 20","21 to 29")))</f>
        <v>1 to 5</v>
      </c>
      <c r="AR346" s="1">
        <f>IF(HR_Data[[#This Row],[DistanceFromHome]]&lt;=5,1,IF(HR_Data[[#This Row],[DistanceFromHome]]&lt;=10,2,IF(HR_Data[[#This Row],[DistanceFromHome]]&lt;=20,3,4)))</f>
        <v>1</v>
      </c>
      <c r="AS346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346" s="1">
        <f>IF(HR_Data[[#This Row],[TotalWorkingYears]]&lt;=5,1,IF(HR_Data[[#This Row],[TotalWorkingYears]]&lt;=10,2,IF(HR_Data[[#This Row],[TotalWorkingYears]]&lt;=20,3,4)))</f>
        <v>3</v>
      </c>
    </row>
    <row r="347" spans="1:46" x14ac:dyDescent="0.25">
      <c r="A347">
        <v>23</v>
      </c>
      <c r="B347" t="s">
        <v>36</v>
      </c>
      <c r="C347" t="s">
        <v>30</v>
      </c>
      <c r="D347" t="s">
        <v>38</v>
      </c>
      <c r="E347">
        <v>26</v>
      </c>
      <c r="F347">
        <v>1</v>
      </c>
      <c r="G347" t="s">
        <v>32</v>
      </c>
      <c r="H347">
        <v>465</v>
      </c>
      <c r="I347">
        <v>3</v>
      </c>
      <c r="J347" t="s">
        <v>39</v>
      </c>
      <c r="K347">
        <v>3</v>
      </c>
      <c r="L347">
        <v>1</v>
      </c>
      <c r="M347" t="s">
        <v>40</v>
      </c>
      <c r="N347">
        <v>4</v>
      </c>
      <c r="O347" t="s">
        <v>45</v>
      </c>
      <c r="P347">
        <v>2904</v>
      </c>
      <c r="Q347">
        <v>1</v>
      </c>
      <c r="R347" t="s">
        <v>36</v>
      </c>
      <c r="S347">
        <v>12</v>
      </c>
      <c r="T347">
        <v>3</v>
      </c>
      <c r="U347">
        <v>3</v>
      </c>
      <c r="V347">
        <v>2</v>
      </c>
      <c r="W347">
        <v>4</v>
      </c>
      <c r="X347">
        <v>2</v>
      </c>
      <c r="Y347">
        <v>2</v>
      </c>
      <c r="Z347">
        <v>4</v>
      </c>
      <c r="AA347">
        <v>2</v>
      </c>
      <c r="AB347">
        <v>0</v>
      </c>
      <c r="AC347">
        <v>2</v>
      </c>
      <c r="AD347">
        <f>IF(HR_Data[[#This Row],[Attrition]]="Yes",1,0)</f>
        <v>0</v>
      </c>
      <c r="AE347" t="str">
        <f>IF(HR_Data[[#This Row],[Age]]&lt;=25,"18-25",IF(HR_Data[[#This Row],[Age]]&lt;=35,"26-35",IF(HR_Data[[#This Row],[Age]]&lt;=45,"36-45",IF(HR_Data[[#This Row],[Age]]&lt;=55,"46-55","55+"))))</f>
        <v>18-25</v>
      </c>
      <c r="AF347">
        <f>IF(HR_Data[[#This Row],[Age]]&lt;=25,1,IF(HR_Data[[#This Row],[Age]]&lt;=35,2,IF(HR_Data[[#This Row],[Age]]&lt;=45,3,IF(HR_Data[[#This Row],[Age]]&lt;=55,4,5))))</f>
        <v>1</v>
      </c>
      <c r="AG347" s="1" t="str">
        <f>IF(HR_Data[[#This Row],[MonthlyIncome]]&lt;3000,"&lt;3K",IF(HR_Data[[#This Row],[MonthlyIncome]]&lt;6000,"3K-6K",IF(HR_Data[[#This Row],[MonthlyIncome]]&lt;10000,"6K-10K","10K+")))</f>
        <v>&lt;3K</v>
      </c>
      <c r="AH347" s="1">
        <f>IF(HR_Data[[#This Row],[MonthlyIncome]]&lt;3000,1,IF(HR_Data[[#This Row],[MonthlyIncome]]&lt;6000,2,IF(HR_Data[[#This Row],[MonthlyIncome]]&lt;10000,3,4)))</f>
        <v>1</v>
      </c>
      <c r="AI347" s="1" t="str">
        <f>IF(HR_Data[[#This Row],[YearsAtCompany]]&lt;=2,"0-2 Yrs",IF(HR_Data[[#This Row],[YearsAtCompany]]&lt;=5,"3-5 Yrs",IF(HR_Data[[#This Row],[YearsAtCompany]]&lt;=10,"6-10 Yrs","10+ Yrs")))</f>
        <v>3-5 Yrs</v>
      </c>
      <c r="AJ347" s="1">
        <f>IF(HR_Data[[#This Row],[YearsAtCompany]]&lt;=2,1,IF(HR_Data[[#This Row],[YearsAtCompany]]&lt;=5,2,IF(HR_Data[[#This Row],[YearsAtCompany]]&lt;=10,3,4)))</f>
        <v>2</v>
      </c>
      <c r="AK347" s="1" t="str">
        <f>CHOOSE(HR_Data[[#This Row],[Education]],"Below College","College","Bachelor","Master","Doctor")</f>
        <v>Below College</v>
      </c>
      <c r="AL347" s="1" t="str">
        <f>CHOOSE(HR_Data[[#This Row],[JobSatisfaction]],"Low","Medium","High","Very High")</f>
        <v>Very High</v>
      </c>
      <c r="AM347" s="1" t="str">
        <f>CHOOSE(HR_Data[[#This Row],[EnvironmentSatisfaction]],"Low","Medium","High","Very High")</f>
        <v>High</v>
      </c>
      <c r="AN347" s="1" t="str">
        <f>CHOOSE(HR_Data[[#This Row],[WorkLifeBalance]],"Bad","Good","Better","Best")</f>
        <v>Good</v>
      </c>
      <c r="AO347" s="1" t="str">
        <f>IF(HR_Data[[#This Row],[PercentSalaryHike]]&lt;=13,"11-13%",IF(HR_Data[[#This Row],[PercentSalaryHike]]&lt;=16,"14-16%",IF(HR_Data[[#This Row],[PercentSalaryHike]]&lt;=19,"17-19%","20-25%")))</f>
        <v>11-13%</v>
      </c>
      <c r="AP347" s="1">
        <f>IF(HR_Data[[#This Row],[PercentSalaryHike]]&lt;=13,1,IF(HR_Data[[#This Row],[PercentSalaryHike]]&lt;=16,2,IF(HR_Data[[#This Row],[PercentSalaryHike]]&lt;=19,3,4)))</f>
        <v>1</v>
      </c>
      <c r="AQ347" s="1" t="str">
        <f>IF(HR_Data[[#This Row],[DistanceFromHome]]&lt;=5,"1 to 5",IF(HR_Data[[#This Row],[DistanceFromHome]]&lt;=10,"6 to 10",IF(HR_Data[[#This Row],[DistanceFromHome]]&lt;=20,"11 to 20","21 to 29")))</f>
        <v>21 to 29</v>
      </c>
      <c r="AR347" s="1">
        <f>IF(HR_Data[[#This Row],[DistanceFromHome]]&lt;=5,1,IF(HR_Data[[#This Row],[DistanceFromHome]]&lt;=10,2,IF(HR_Data[[#This Row],[DistanceFromHome]]&lt;=20,3,4)))</f>
        <v>4</v>
      </c>
      <c r="AS347" s="1" t="str">
        <f>IF(HR_Data[[#This Row],[TotalWorkingYears]]&lt;=5,"0-5 Yrs",IF(HR_Data[[#This Row],[TotalWorkingYears]]&lt;=10,"6-10 Yrs",IF(HR_Data[[#This Row],[TotalWorkingYears]]&lt;=20,"11-20 Yrs","20+ Yrs")))</f>
        <v>0-5 Yrs</v>
      </c>
      <c r="AT347" s="1">
        <f>IF(HR_Data[[#This Row],[TotalWorkingYears]]&lt;=5,1,IF(HR_Data[[#This Row],[TotalWorkingYears]]&lt;=10,2,IF(HR_Data[[#This Row],[TotalWorkingYears]]&lt;=20,3,4)))</f>
        <v>1</v>
      </c>
    </row>
    <row r="348" spans="1:46" x14ac:dyDescent="0.25">
      <c r="A348">
        <v>41</v>
      </c>
      <c r="B348" t="s">
        <v>36</v>
      </c>
      <c r="C348" t="s">
        <v>30</v>
      </c>
      <c r="D348" t="s">
        <v>38</v>
      </c>
      <c r="E348">
        <v>6</v>
      </c>
      <c r="F348">
        <v>3</v>
      </c>
      <c r="G348" t="s">
        <v>44</v>
      </c>
      <c r="H348">
        <v>466</v>
      </c>
      <c r="I348">
        <v>4</v>
      </c>
      <c r="J348" t="s">
        <v>39</v>
      </c>
      <c r="K348">
        <v>2</v>
      </c>
      <c r="L348">
        <v>2</v>
      </c>
      <c r="M348" t="s">
        <v>46</v>
      </c>
      <c r="N348">
        <v>2</v>
      </c>
      <c r="O348" t="s">
        <v>35</v>
      </c>
      <c r="P348">
        <v>6032</v>
      </c>
      <c r="Q348">
        <v>6</v>
      </c>
      <c r="R348" t="s">
        <v>29</v>
      </c>
      <c r="S348">
        <v>15</v>
      </c>
      <c r="T348">
        <v>3</v>
      </c>
      <c r="U348">
        <v>4</v>
      </c>
      <c r="V348">
        <v>0</v>
      </c>
      <c r="W348">
        <v>8</v>
      </c>
      <c r="X348">
        <v>3</v>
      </c>
      <c r="Y348">
        <v>3</v>
      </c>
      <c r="Z348">
        <v>5</v>
      </c>
      <c r="AA348">
        <v>4</v>
      </c>
      <c r="AB348">
        <v>1</v>
      </c>
      <c r="AC348">
        <v>2</v>
      </c>
      <c r="AD348">
        <f>IF(HR_Data[[#This Row],[Attrition]]="Yes",1,0)</f>
        <v>0</v>
      </c>
      <c r="AE348" t="str">
        <f>IF(HR_Data[[#This Row],[Age]]&lt;=25,"18-25",IF(HR_Data[[#This Row],[Age]]&lt;=35,"26-35",IF(HR_Data[[#This Row],[Age]]&lt;=45,"36-45",IF(HR_Data[[#This Row],[Age]]&lt;=55,"46-55","55+"))))</f>
        <v>36-45</v>
      </c>
      <c r="AF348">
        <f>IF(HR_Data[[#This Row],[Age]]&lt;=25,1,IF(HR_Data[[#This Row],[Age]]&lt;=35,2,IF(HR_Data[[#This Row],[Age]]&lt;=45,3,IF(HR_Data[[#This Row],[Age]]&lt;=55,4,5))))</f>
        <v>3</v>
      </c>
      <c r="AG348" s="1" t="str">
        <f>IF(HR_Data[[#This Row],[MonthlyIncome]]&lt;3000,"&lt;3K",IF(HR_Data[[#This Row],[MonthlyIncome]]&lt;6000,"3K-6K",IF(HR_Data[[#This Row],[MonthlyIncome]]&lt;10000,"6K-10K","10K+")))</f>
        <v>6K-10K</v>
      </c>
      <c r="AH348" s="1">
        <f>IF(HR_Data[[#This Row],[MonthlyIncome]]&lt;3000,1,IF(HR_Data[[#This Row],[MonthlyIncome]]&lt;6000,2,IF(HR_Data[[#This Row],[MonthlyIncome]]&lt;10000,3,4)))</f>
        <v>3</v>
      </c>
      <c r="AI348" s="1" t="str">
        <f>IF(HR_Data[[#This Row],[YearsAtCompany]]&lt;=2,"0-2 Yrs",IF(HR_Data[[#This Row],[YearsAtCompany]]&lt;=5,"3-5 Yrs",IF(HR_Data[[#This Row],[YearsAtCompany]]&lt;=10,"6-10 Yrs","10+ Yrs")))</f>
        <v>3-5 Yrs</v>
      </c>
      <c r="AJ348" s="1">
        <f>IF(HR_Data[[#This Row],[YearsAtCompany]]&lt;=2,1,IF(HR_Data[[#This Row],[YearsAtCompany]]&lt;=5,2,IF(HR_Data[[#This Row],[YearsAtCompany]]&lt;=10,3,4)))</f>
        <v>2</v>
      </c>
      <c r="AK348" s="1" t="str">
        <f>CHOOSE(HR_Data[[#This Row],[Education]],"Below College","College","Bachelor","Master","Doctor")</f>
        <v>Bachelor</v>
      </c>
      <c r="AL348" s="1" t="str">
        <f>CHOOSE(HR_Data[[#This Row],[JobSatisfaction]],"Low","Medium","High","Very High")</f>
        <v>Medium</v>
      </c>
      <c r="AM348" s="1" t="str">
        <f>CHOOSE(HR_Data[[#This Row],[EnvironmentSatisfaction]],"Low","Medium","High","Very High")</f>
        <v>Very High</v>
      </c>
      <c r="AN348" s="1" t="str">
        <f>CHOOSE(HR_Data[[#This Row],[WorkLifeBalance]],"Bad","Good","Better","Best")</f>
        <v>Better</v>
      </c>
      <c r="AO348" s="1" t="str">
        <f>IF(HR_Data[[#This Row],[PercentSalaryHike]]&lt;=13,"11-13%",IF(HR_Data[[#This Row],[PercentSalaryHike]]&lt;=16,"14-16%",IF(HR_Data[[#This Row],[PercentSalaryHike]]&lt;=19,"17-19%","20-25%")))</f>
        <v>14-16%</v>
      </c>
      <c r="AP348" s="1">
        <f>IF(HR_Data[[#This Row],[PercentSalaryHike]]&lt;=13,1,IF(HR_Data[[#This Row],[PercentSalaryHike]]&lt;=16,2,IF(HR_Data[[#This Row],[PercentSalaryHike]]&lt;=19,3,4)))</f>
        <v>2</v>
      </c>
      <c r="AQ348" s="1" t="str">
        <f>IF(HR_Data[[#This Row],[DistanceFromHome]]&lt;=5,"1 to 5",IF(HR_Data[[#This Row],[DistanceFromHome]]&lt;=10,"6 to 10",IF(HR_Data[[#This Row],[DistanceFromHome]]&lt;=20,"11 to 20","21 to 29")))</f>
        <v>6 to 10</v>
      </c>
      <c r="AR348" s="1">
        <f>IF(HR_Data[[#This Row],[DistanceFromHome]]&lt;=5,1,IF(HR_Data[[#This Row],[DistanceFromHome]]&lt;=10,2,IF(HR_Data[[#This Row],[DistanceFromHome]]&lt;=20,3,4)))</f>
        <v>2</v>
      </c>
      <c r="AS348" s="1" t="str">
        <f>IF(HR_Data[[#This Row],[TotalWorkingYears]]&lt;=5,"0-5 Yrs",IF(HR_Data[[#This Row],[TotalWorkingYears]]&lt;=10,"6-10 Yrs",IF(HR_Data[[#This Row],[TotalWorkingYears]]&lt;=20,"11-20 Yrs","20+ Yrs")))</f>
        <v>6-10 Yrs</v>
      </c>
      <c r="AT348" s="1">
        <f>IF(HR_Data[[#This Row],[TotalWorkingYears]]&lt;=5,1,IF(HR_Data[[#This Row],[TotalWorkingYears]]&lt;=10,2,IF(HR_Data[[#This Row],[TotalWorkingYears]]&lt;=20,3,4)))</f>
        <v>2</v>
      </c>
    </row>
    <row r="349" spans="1:46" x14ac:dyDescent="0.25">
      <c r="A349">
        <v>47</v>
      </c>
      <c r="B349" t="s">
        <v>36</v>
      </c>
      <c r="C349" t="s">
        <v>37</v>
      </c>
      <c r="D349" t="s">
        <v>31</v>
      </c>
      <c r="E349">
        <v>4</v>
      </c>
      <c r="F349">
        <v>1</v>
      </c>
      <c r="G349" t="s">
        <v>44</v>
      </c>
      <c r="H349">
        <v>467</v>
      </c>
      <c r="I349">
        <v>2</v>
      </c>
      <c r="J349" t="s">
        <v>39</v>
      </c>
      <c r="K349">
        <v>3</v>
      </c>
      <c r="L349">
        <v>2</v>
      </c>
      <c r="M349" t="s">
        <v>50</v>
      </c>
      <c r="N349">
        <v>3</v>
      </c>
      <c r="O349" t="s">
        <v>35</v>
      </c>
      <c r="P349">
        <v>2976</v>
      </c>
      <c r="Q349">
        <v>3</v>
      </c>
      <c r="R349" t="s">
        <v>36</v>
      </c>
      <c r="S349">
        <v>19</v>
      </c>
      <c r="T349">
        <v>3</v>
      </c>
      <c r="U349">
        <v>1</v>
      </c>
      <c r="V349">
        <v>0</v>
      </c>
      <c r="W349">
        <v>5</v>
      </c>
      <c r="X349">
        <v>3</v>
      </c>
      <c r="Y349">
        <v>3</v>
      </c>
      <c r="Z349">
        <v>0</v>
      </c>
      <c r="AA349">
        <v>0</v>
      </c>
      <c r="AB349">
        <v>0</v>
      </c>
      <c r="AC349">
        <v>0</v>
      </c>
      <c r="AD349">
        <f>IF(HR_Data[[#This Row],[Attrition]]="Yes",1,0)</f>
        <v>0</v>
      </c>
      <c r="AE349" t="str">
        <f>IF(HR_Data[[#This Row],[Age]]&lt;=25,"18-25",IF(HR_Data[[#This Row],[Age]]&lt;=35,"26-35",IF(HR_Data[[#This Row],[Age]]&lt;=45,"36-45",IF(HR_Data[[#This Row],[Age]]&lt;=55,"46-55","55+"))))</f>
        <v>46-55</v>
      </c>
      <c r="AF349">
        <f>IF(HR_Data[[#This Row],[Age]]&lt;=25,1,IF(HR_Data[[#This Row],[Age]]&lt;=35,2,IF(HR_Data[[#This Row],[Age]]&lt;=45,3,IF(HR_Data[[#This Row],[Age]]&lt;=55,4,5))))</f>
        <v>4</v>
      </c>
      <c r="AG349" s="1" t="str">
        <f>IF(HR_Data[[#This Row],[MonthlyIncome]]&lt;3000,"&lt;3K",IF(HR_Data[[#This Row],[MonthlyIncome]]&lt;6000,"3K-6K",IF(HR_Data[[#This Row],[MonthlyIncome]]&lt;10000,"6K-10K","10K+")))</f>
        <v>&lt;3K</v>
      </c>
      <c r="AH349" s="1">
        <f>IF(HR_Data[[#This Row],[MonthlyIncome]]&lt;3000,1,IF(HR_Data[[#This Row],[MonthlyIncome]]&lt;6000,2,IF(HR_Data[[#This Row],[MonthlyIncome]]&lt;10000,3,4)))</f>
        <v>1</v>
      </c>
      <c r="AI349" s="1" t="str">
        <f>IF(HR_Data[[#This Row],[YearsAtCompany]]&lt;=2,"0-2 Yrs",IF(HR_Data[[#This Row],[YearsAtCompany]]&lt;=5,"3-5 Yrs",IF(HR_Data[[#This Row],[YearsAtCompany]]&lt;=10,"6-10 Yrs","10+ Yrs")))</f>
        <v>0-2 Yrs</v>
      </c>
      <c r="AJ349" s="1">
        <f>IF(HR_Data[[#This Row],[YearsAtCompany]]&lt;=2,1,IF(HR_Data[[#This Row],[YearsAtCompany]]&lt;=5,2,IF(HR_Data[[#This Row],[YearsAtCompany]]&lt;=10,3,4)))</f>
        <v>1</v>
      </c>
      <c r="AK349" s="1" t="str">
        <f>CHOOSE(HR_Data[[#This Row],[Education]],"Below College","College","Bachelor","Master","Doctor")</f>
        <v>Below College</v>
      </c>
      <c r="AL349" s="1" t="str">
        <f>CHOOSE(HR_Data[[#This Row],[JobSatisfaction]],"Low","Medium","High","Very High")</f>
        <v>High</v>
      </c>
      <c r="AM349" s="1" t="str">
        <f>CHOOSE(HR_Data[[#This Row],[EnvironmentSatisfaction]],"Low","Medium","High","Very High")</f>
        <v>Medium</v>
      </c>
      <c r="AN349" s="1" t="str">
        <f>CHOOSE(HR_Data[[#This Row],[WorkLifeBalance]],"Bad","Good","Better","Best")</f>
        <v>Better</v>
      </c>
      <c r="AO349" s="1" t="str">
        <f>IF(HR_Data[[#This Row],[PercentSalaryHike]]&lt;=13,"11-13%",IF(HR_Data[[#This Row],[PercentSalaryHike]]&lt;=16,"14-16%",IF(HR_Data[[#This Row],[PercentSalaryHike]]&lt;=19,"17-19%","20-25%")))</f>
        <v>17-19%</v>
      </c>
      <c r="AP349" s="1">
        <f>IF(HR_Data[[#This Row],[PercentSalaryHike]]&lt;=13,1,IF(HR_Data[[#This Row],[PercentSalaryHike]]&lt;=16,2,IF(HR_Data[[#This Row],[PercentSalaryHike]]&lt;=19,3,4)))</f>
        <v>3</v>
      </c>
      <c r="AQ349" s="1" t="str">
        <f>IF(HR_Data[[#This Row],[DistanceFromHome]]&lt;=5,"1 to 5",IF(HR_Data[[#This Row],[DistanceFromHome]]&lt;=10,"6 to 10",IF(HR_Data[[#This Row],[DistanceFromHome]]&lt;=20,"11 to 20","21 to 29")))</f>
        <v>1 to 5</v>
      </c>
      <c r="AR349" s="1">
        <f>IF(HR_Data[[#This Row],[DistanceFromHome]]&lt;=5,1,IF(HR_Data[[#This Row],[DistanceFromHome]]&lt;=10,2,IF(HR_Data[[#This Row],[DistanceFromHome]]&lt;=20,3,4)))</f>
        <v>1</v>
      </c>
      <c r="AS349" s="1" t="str">
        <f>IF(HR_Data[[#This Row],[TotalWorkingYears]]&lt;=5,"0-5 Yrs",IF(HR_Data[[#This Row],[TotalWorkingYears]]&lt;=10,"6-10 Yrs",IF(HR_Data[[#This Row],[TotalWorkingYears]]&lt;=20,"11-20 Yrs","20+ Yrs")))</f>
        <v>0-5 Yrs</v>
      </c>
      <c r="AT349" s="1">
        <f>IF(HR_Data[[#This Row],[TotalWorkingYears]]&lt;=5,1,IF(HR_Data[[#This Row],[TotalWorkingYears]]&lt;=10,2,IF(HR_Data[[#This Row],[TotalWorkingYears]]&lt;=20,3,4)))</f>
        <v>1</v>
      </c>
    </row>
    <row r="350" spans="1:46" x14ac:dyDescent="0.25">
      <c r="A350">
        <v>42</v>
      </c>
      <c r="B350" t="s">
        <v>36</v>
      </c>
      <c r="C350" t="s">
        <v>30</v>
      </c>
      <c r="D350" t="s">
        <v>38</v>
      </c>
      <c r="E350">
        <v>23</v>
      </c>
      <c r="F350">
        <v>5</v>
      </c>
      <c r="G350" t="s">
        <v>32</v>
      </c>
      <c r="H350">
        <v>468</v>
      </c>
      <c r="I350">
        <v>1</v>
      </c>
      <c r="J350" t="s">
        <v>33</v>
      </c>
      <c r="K350">
        <v>3</v>
      </c>
      <c r="L350">
        <v>4</v>
      </c>
      <c r="M350" t="s">
        <v>51</v>
      </c>
      <c r="N350">
        <v>4</v>
      </c>
      <c r="O350" t="s">
        <v>35</v>
      </c>
      <c r="P350">
        <v>15992</v>
      </c>
      <c r="Q350">
        <v>2</v>
      </c>
      <c r="R350" t="s">
        <v>36</v>
      </c>
      <c r="S350">
        <v>14</v>
      </c>
      <c r="T350">
        <v>3</v>
      </c>
      <c r="U350">
        <v>2</v>
      </c>
      <c r="V350">
        <v>0</v>
      </c>
      <c r="W350">
        <v>16</v>
      </c>
      <c r="X350">
        <v>2</v>
      </c>
      <c r="Y350">
        <v>3</v>
      </c>
      <c r="Z350">
        <v>1</v>
      </c>
      <c r="AA350">
        <v>0</v>
      </c>
      <c r="AB350">
        <v>0</v>
      </c>
      <c r="AC350">
        <v>0</v>
      </c>
      <c r="AD350">
        <f>IF(HR_Data[[#This Row],[Attrition]]="Yes",1,0)</f>
        <v>0</v>
      </c>
      <c r="AE350" t="str">
        <f>IF(HR_Data[[#This Row],[Age]]&lt;=25,"18-25",IF(HR_Data[[#This Row],[Age]]&lt;=35,"26-35",IF(HR_Data[[#This Row],[Age]]&lt;=45,"36-45",IF(HR_Data[[#This Row],[Age]]&lt;=55,"46-55","55+"))))</f>
        <v>36-45</v>
      </c>
      <c r="AF350">
        <f>IF(HR_Data[[#This Row],[Age]]&lt;=25,1,IF(HR_Data[[#This Row],[Age]]&lt;=35,2,IF(HR_Data[[#This Row],[Age]]&lt;=45,3,IF(HR_Data[[#This Row],[Age]]&lt;=55,4,5))))</f>
        <v>3</v>
      </c>
      <c r="AG350" s="1" t="str">
        <f>IF(HR_Data[[#This Row],[MonthlyIncome]]&lt;3000,"&lt;3K",IF(HR_Data[[#This Row],[MonthlyIncome]]&lt;6000,"3K-6K",IF(HR_Data[[#This Row],[MonthlyIncome]]&lt;10000,"6K-10K","10K+")))</f>
        <v>10K+</v>
      </c>
      <c r="AH350" s="1">
        <f>IF(HR_Data[[#This Row],[MonthlyIncome]]&lt;3000,1,IF(HR_Data[[#This Row],[MonthlyIncome]]&lt;6000,2,IF(HR_Data[[#This Row],[MonthlyIncome]]&lt;10000,3,4)))</f>
        <v>4</v>
      </c>
      <c r="AI350" s="1" t="str">
        <f>IF(HR_Data[[#This Row],[YearsAtCompany]]&lt;=2,"0-2 Yrs",IF(HR_Data[[#This Row],[YearsAtCompany]]&lt;=5,"3-5 Yrs",IF(HR_Data[[#This Row],[YearsAtCompany]]&lt;=10,"6-10 Yrs","10+ Yrs")))</f>
        <v>0-2 Yrs</v>
      </c>
      <c r="AJ350" s="1">
        <f>IF(HR_Data[[#This Row],[YearsAtCompany]]&lt;=2,1,IF(HR_Data[[#This Row],[YearsAtCompany]]&lt;=5,2,IF(HR_Data[[#This Row],[YearsAtCompany]]&lt;=10,3,4)))</f>
        <v>1</v>
      </c>
      <c r="AK350" s="1" t="str">
        <f>CHOOSE(HR_Data[[#This Row],[Education]],"Below College","College","Bachelor","Master","Doctor")</f>
        <v>Doctor</v>
      </c>
      <c r="AL350" s="1" t="str">
        <f>CHOOSE(HR_Data[[#This Row],[JobSatisfaction]],"Low","Medium","High","Very High")</f>
        <v>Very High</v>
      </c>
      <c r="AM350" s="1" t="str">
        <f>CHOOSE(HR_Data[[#This Row],[EnvironmentSatisfaction]],"Low","Medium","High","Very High")</f>
        <v>Low</v>
      </c>
      <c r="AN350" s="1" t="str">
        <f>CHOOSE(HR_Data[[#This Row],[WorkLifeBalance]],"Bad","Good","Better","Best")</f>
        <v>Better</v>
      </c>
      <c r="AO350" s="1" t="str">
        <f>IF(HR_Data[[#This Row],[PercentSalaryHike]]&lt;=13,"11-13%",IF(HR_Data[[#This Row],[PercentSalaryHike]]&lt;=16,"14-16%",IF(HR_Data[[#This Row],[PercentSalaryHike]]&lt;=19,"17-19%","20-25%")))</f>
        <v>14-16%</v>
      </c>
      <c r="AP350" s="1">
        <f>IF(HR_Data[[#This Row],[PercentSalaryHike]]&lt;=13,1,IF(HR_Data[[#This Row],[PercentSalaryHike]]&lt;=16,2,IF(HR_Data[[#This Row],[PercentSalaryHike]]&lt;=19,3,4)))</f>
        <v>2</v>
      </c>
      <c r="AQ350" s="1" t="str">
        <f>IF(HR_Data[[#This Row],[DistanceFromHome]]&lt;=5,"1 to 5",IF(HR_Data[[#This Row],[DistanceFromHome]]&lt;=10,"6 to 10",IF(HR_Data[[#This Row],[DistanceFromHome]]&lt;=20,"11 to 20","21 to 29")))</f>
        <v>21 to 29</v>
      </c>
      <c r="AR350" s="1">
        <f>IF(HR_Data[[#This Row],[DistanceFromHome]]&lt;=5,1,IF(HR_Data[[#This Row],[DistanceFromHome]]&lt;=10,2,IF(HR_Data[[#This Row],[DistanceFromHome]]&lt;=20,3,4)))</f>
        <v>4</v>
      </c>
      <c r="AS350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350" s="1">
        <f>IF(HR_Data[[#This Row],[TotalWorkingYears]]&lt;=5,1,IF(HR_Data[[#This Row],[TotalWorkingYears]]&lt;=10,2,IF(HR_Data[[#This Row],[TotalWorkingYears]]&lt;=20,3,4)))</f>
        <v>3</v>
      </c>
    </row>
    <row r="351" spans="1:46" x14ac:dyDescent="0.25">
      <c r="A351">
        <v>29</v>
      </c>
      <c r="B351" t="s">
        <v>36</v>
      </c>
      <c r="C351" t="s">
        <v>48</v>
      </c>
      <c r="D351" t="s">
        <v>31</v>
      </c>
      <c r="E351">
        <v>2</v>
      </c>
      <c r="F351">
        <v>3</v>
      </c>
      <c r="G351" t="s">
        <v>32</v>
      </c>
      <c r="H351">
        <v>469</v>
      </c>
      <c r="I351">
        <v>4</v>
      </c>
      <c r="J351" t="s">
        <v>39</v>
      </c>
      <c r="K351">
        <v>3</v>
      </c>
      <c r="L351">
        <v>2</v>
      </c>
      <c r="M351" t="s">
        <v>34</v>
      </c>
      <c r="N351">
        <v>3</v>
      </c>
      <c r="O351" t="s">
        <v>41</v>
      </c>
      <c r="P351">
        <v>4649</v>
      </c>
      <c r="Q351">
        <v>1</v>
      </c>
      <c r="R351" t="s">
        <v>36</v>
      </c>
      <c r="S351">
        <v>14</v>
      </c>
      <c r="T351">
        <v>3</v>
      </c>
      <c r="U351">
        <v>1</v>
      </c>
      <c r="V351">
        <v>1</v>
      </c>
      <c r="W351">
        <v>4</v>
      </c>
      <c r="X351">
        <v>3</v>
      </c>
      <c r="Y351">
        <v>2</v>
      </c>
      <c r="Z351">
        <v>4</v>
      </c>
      <c r="AA351">
        <v>3</v>
      </c>
      <c r="AB351">
        <v>0</v>
      </c>
      <c r="AC351">
        <v>2</v>
      </c>
      <c r="AD351">
        <f>IF(HR_Data[[#This Row],[Attrition]]="Yes",1,0)</f>
        <v>0</v>
      </c>
      <c r="AE351" t="str">
        <f>IF(HR_Data[[#This Row],[Age]]&lt;=25,"18-25",IF(HR_Data[[#This Row],[Age]]&lt;=35,"26-35",IF(HR_Data[[#This Row],[Age]]&lt;=45,"36-45",IF(HR_Data[[#This Row],[Age]]&lt;=55,"46-55","55+"))))</f>
        <v>26-35</v>
      </c>
      <c r="AF351">
        <f>IF(HR_Data[[#This Row],[Age]]&lt;=25,1,IF(HR_Data[[#This Row],[Age]]&lt;=35,2,IF(HR_Data[[#This Row],[Age]]&lt;=45,3,IF(HR_Data[[#This Row],[Age]]&lt;=55,4,5))))</f>
        <v>2</v>
      </c>
      <c r="AG351" s="1" t="str">
        <f>IF(HR_Data[[#This Row],[MonthlyIncome]]&lt;3000,"&lt;3K",IF(HR_Data[[#This Row],[MonthlyIncome]]&lt;6000,"3K-6K",IF(HR_Data[[#This Row],[MonthlyIncome]]&lt;10000,"6K-10K","10K+")))</f>
        <v>3K-6K</v>
      </c>
      <c r="AH351" s="1">
        <f>IF(HR_Data[[#This Row],[MonthlyIncome]]&lt;3000,1,IF(HR_Data[[#This Row],[MonthlyIncome]]&lt;6000,2,IF(HR_Data[[#This Row],[MonthlyIncome]]&lt;10000,3,4)))</f>
        <v>2</v>
      </c>
      <c r="AI351" s="1" t="str">
        <f>IF(HR_Data[[#This Row],[YearsAtCompany]]&lt;=2,"0-2 Yrs",IF(HR_Data[[#This Row],[YearsAtCompany]]&lt;=5,"3-5 Yrs",IF(HR_Data[[#This Row],[YearsAtCompany]]&lt;=10,"6-10 Yrs","10+ Yrs")))</f>
        <v>3-5 Yrs</v>
      </c>
      <c r="AJ351" s="1">
        <f>IF(HR_Data[[#This Row],[YearsAtCompany]]&lt;=2,1,IF(HR_Data[[#This Row],[YearsAtCompany]]&lt;=5,2,IF(HR_Data[[#This Row],[YearsAtCompany]]&lt;=10,3,4)))</f>
        <v>2</v>
      </c>
      <c r="AK351" s="1" t="str">
        <f>CHOOSE(HR_Data[[#This Row],[Education]],"Below College","College","Bachelor","Master","Doctor")</f>
        <v>Bachelor</v>
      </c>
      <c r="AL351" s="1" t="str">
        <f>CHOOSE(HR_Data[[#This Row],[JobSatisfaction]],"Low","Medium","High","Very High")</f>
        <v>High</v>
      </c>
      <c r="AM351" s="1" t="str">
        <f>CHOOSE(HR_Data[[#This Row],[EnvironmentSatisfaction]],"Low","Medium","High","Very High")</f>
        <v>Very High</v>
      </c>
      <c r="AN351" s="1" t="str">
        <f>CHOOSE(HR_Data[[#This Row],[WorkLifeBalance]],"Bad","Good","Better","Best")</f>
        <v>Good</v>
      </c>
      <c r="AO351" s="1" t="str">
        <f>IF(HR_Data[[#This Row],[PercentSalaryHike]]&lt;=13,"11-13%",IF(HR_Data[[#This Row],[PercentSalaryHike]]&lt;=16,"14-16%",IF(HR_Data[[#This Row],[PercentSalaryHike]]&lt;=19,"17-19%","20-25%")))</f>
        <v>14-16%</v>
      </c>
      <c r="AP351" s="1">
        <f>IF(HR_Data[[#This Row],[PercentSalaryHike]]&lt;=13,1,IF(HR_Data[[#This Row],[PercentSalaryHike]]&lt;=16,2,IF(HR_Data[[#This Row],[PercentSalaryHike]]&lt;=19,3,4)))</f>
        <v>2</v>
      </c>
      <c r="AQ351" s="1" t="str">
        <f>IF(HR_Data[[#This Row],[DistanceFromHome]]&lt;=5,"1 to 5",IF(HR_Data[[#This Row],[DistanceFromHome]]&lt;=10,"6 to 10",IF(HR_Data[[#This Row],[DistanceFromHome]]&lt;=20,"11 to 20","21 to 29")))</f>
        <v>1 to 5</v>
      </c>
      <c r="AR351" s="1">
        <f>IF(HR_Data[[#This Row],[DistanceFromHome]]&lt;=5,1,IF(HR_Data[[#This Row],[DistanceFromHome]]&lt;=10,2,IF(HR_Data[[#This Row],[DistanceFromHome]]&lt;=20,3,4)))</f>
        <v>1</v>
      </c>
      <c r="AS351" s="1" t="str">
        <f>IF(HR_Data[[#This Row],[TotalWorkingYears]]&lt;=5,"0-5 Yrs",IF(HR_Data[[#This Row],[TotalWorkingYears]]&lt;=10,"6-10 Yrs",IF(HR_Data[[#This Row],[TotalWorkingYears]]&lt;=20,"11-20 Yrs","20+ Yrs")))</f>
        <v>0-5 Yrs</v>
      </c>
      <c r="AT351" s="1">
        <f>IF(HR_Data[[#This Row],[TotalWorkingYears]]&lt;=5,1,IF(HR_Data[[#This Row],[TotalWorkingYears]]&lt;=10,2,IF(HR_Data[[#This Row],[TotalWorkingYears]]&lt;=20,3,4)))</f>
        <v>1</v>
      </c>
    </row>
    <row r="352" spans="1:46" x14ac:dyDescent="0.25">
      <c r="A352">
        <v>42</v>
      </c>
      <c r="B352" t="s">
        <v>36</v>
      </c>
      <c r="C352" t="s">
        <v>30</v>
      </c>
      <c r="D352" t="s">
        <v>54</v>
      </c>
      <c r="E352">
        <v>2</v>
      </c>
      <c r="F352">
        <v>1</v>
      </c>
      <c r="G352" t="s">
        <v>53</v>
      </c>
      <c r="H352">
        <v>470</v>
      </c>
      <c r="I352">
        <v>3</v>
      </c>
      <c r="J352" t="s">
        <v>39</v>
      </c>
      <c r="K352">
        <v>3</v>
      </c>
      <c r="L352">
        <v>1</v>
      </c>
      <c r="M352" t="s">
        <v>54</v>
      </c>
      <c r="N352">
        <v>3</v>
      </c>
      <c r="O352" t="s">
        <v>45</v>
      </c>
      <c r="P352">
        <v>2696</v>
      </c>
      <c r="Q352">
        <v>0</v>
      </c>
      <c r="R352" t="s">
        <v>29</v>
      </c>
      <c r="S352">
        <v>11</v>
      </c>
      <c r="T352">
        <v>3</v>
      </c>
      <c r="U352">
        <v>3</v>
      </c>
      <c r="V352">
        <v>1</v>
      </c>
      <c r="W352">
        <v>4</v>
      </c>
      <c r="X352">
        <v>5</v>
      </c>
      <c r="Y352">
        <v>3</v>
      </c>
      <c r="Z352">
        <v>3</v>
      </c>
      <c r="AA352">
        <v>2</v>
      </c>
      <c r="AB352">
        <v>1</v>
      </c>
      <c r="AC352">
        <v>0</v>
      </c>
      <c r="AD352">
        <f>IF(HR_Data[[#This Row],[Attrition]]="Yes",1,0)</f>
        <v>0</v>
      </c>
      <c r="AE352" t="str">
        <f>IF(HR_Data[[#This Row],[Age]]&lt;=25,"18-25",IF(HR_Data[[#This Row],[Age]]&lt;=35,"26-35",IF(HR_Data[[#This Row],[Age]]&lt;=45,"36-45",IF(HR_Data[[#This Row],[Age]]&lt;=55,"46-55","55+"))))</f>
        <v>36-45</v>
      </c>
      <c r="AF352">
        <f>IF(HR_Data[[#This Row],[Age]]&lt;=25,1,IF(HR_Data[[#This Row],[Age]]&lt;=35,2,IF(HR_Data[[#This Row],[Age]]&lt;=45,3,IF(HR_Data[[#This Row],[Age]]&lt;=55,4,5))))</f>
        <v>3</v>
      </c>
      <c r="AG352" s="1" t="str">
        <f>IF(HR_Data[[#This Row],[MonthlyIncome]]&lt;3000,"&lt;3K",IF(HR_Data[[#This Row],[MonthlyIncome]]&lt;6000,"3K-6K",IF(HR_Data[[#This Row],[MonthlyIncome]]&lt;10000,"6K-10K","10K+")))</f>
        <v>&lt;3K</v>
      </c>
      <c r="AH352" s="1">
        <f>IF(HR_Data[[#This Row],[MonthlyIncome]]&lt;3000,1,IF(HR_Data[[#This Row],[MonthlyIncome]]&lt;6000,2,IF(HR_Data[[#This Row],[MonthlyIncome]]&lt;10000,3,4)))</f>
        <v>1</v>
      </c>
      <c r="AI352" s="1" t="str">
        <f>IF(HR_Data[[#This Row],[YearsAtCompany]]&lt;=2,"0-2 Yrs",IF(HR_Data[[#This Row],[YearsAtCompany]]&lt;=5,"3-5 Yrs",IF(HR_Data[[#This Row],[YearsAtCompany]]&lt;=10,"6-10 Yrs","10+ Yrs")))</f>
        <v>3-5 Yrs</v>
      </c>
      <c r="AJ352" s="1">
        <f>IF(HR_Data[[#This Row],[YearsAtCompany]]&lt;=2,1,IF(HR_Data[[#This Row],[YearsAtCompany]]&lt;=5,2,IF(HR_Data[[#This Row],[YearsAtCompany]]&lt;=10,3,4)))</f>
        <v>2</v>
      </c>
      <c r="AK352" s="1" t="str">
        <f>CHOOSE(HR_Data[[#This Row],[Education]],"Below College","College","Bachelor","Master","Doctor")</f>
        <v>Below College</v>
      </c>
      <c r="AL352" s="1" t="str">
        <f>CHOOSE(HR_Data[[#This Row],[JobSatisfaction]],"Low","Medium","High","Very High")</f>
        <v>High</v>
      </c>
      <c r="AM352" s="1" t="str">
        <f>CHOOSE(HR_Data[[#This Row],[EnvironmentSatisfaction]],"Low","Medium","High","Very High")</f>
        <v>High</v>
      </c>
      <c r="AN352" s="1" t="str">
        <f>CHOOSE(HR_Data[[#This Row],[WorkLifeBalance]],"Bad","Good","Better","Best")</f>
        <v>Better</v>
      </c>
      <c r="AO352" s="1" t="str">
        <f>IF(HR_Data[[#This Row],[PercentSalaryHike]]&lt;=13,"11-13%",IF(HR_Data[[#This Row],[PercentSalaryHike]]&lt;=16,"14-16%",IF(HR_Data[[#This Row],[PercentSalaryHike]]&lt;=19,"17-19%","20-25%")))</f>
        <v>11-13%</v>
      </c>
      <c r="AP352" s="1">
        <f>IF(HR_Data[[#This Row],[PercentSalaryHike]]&lt;=13,1,IF(HR_Data[[#This Row],[PercentSalaryHike]]&lt;=16,2,IF(HR_Data[[#This Row],[PercentSalaryHike]]&lt;=19,3,4)))</f>
        <v>1</v>
      </c>
      <c r="AQ352" s="1" t="str">
        <f>IF(HR_Data[[#This Row],[DistanceFromHome]]&lt;=5,"1 to 5",IF(HR_Data[[#This Row],[DistanceFromHome]]&lt;=10,"6 to 10",IF(HR_Data[[#This Row],[DistanceFromHome]]&lt;=20,"11 to 20","21 to 29")))</f>
        <v>1 to 5</v>
      </c>
      <c r="AR352" s="1">
        <f>IF(HR_Data[[#This Row],[DistanceFromHome]]&lt;=5,1,IF(HR_Data[[#This Row],[DistanceFromHome]]&lt;=10,2,IF(HR_Data[[#This Row],[DistanceFromHome]]&lt;=20,3,4)))</f>
        <v>1</v>
      </c>
      <c r="AS352" s="1" t="str">
        <f>IF(HR_Data[[#This Row],[TotalWorkingYears]]&lt;=5,"0-5 Yrs",IF(HR_Data[[#This Row],[TotalWorkingYears]]&lt;=10,"6-10 Yrs",IF(HR_Data[[#This Row],[TotalWorkingYears]]&lt;=20,"11-20 Yrs","20+ Yrs")))</f>
        <v>0-5 Yrs</v>
      </c>
      <c r="AT352" s="1">
        <f>IF(HR_Data[[#This Row],[TotalWorkingYears]]&lt;=5,1,IF(HR_Data[[#This Row],[TotalWorkingYears]]&lt;=10,2,IF(HR_Data[[#This Row],[TotalWorkingYears]]&lt;=20,3,4)))</f>
        <v>1</v>
      </c>
    </row>
    <row r="353" spans="1:46" x14ac:dyDescent="0.25">
      <c r="A353">
        <v>32</v>
      </c>
      <c r="B353" t="s">
        <v>36</v>
      </c>
      <c r="C353" t="s">
        <v>30</v>
      </c>
      <c r="D353" t="s">
        <v>38</v>
      </c>
      <c r="E353">
        <v>2</v>
      </c>
      <c r="F353">
        <v>3</v>
      </c>
      <c r="G353" t="s">
        <v>44</v>
      </c>
      <c r="H353">
        <v>471</v>
      </c>
      <c r="I353">
        <v>3</v>
      </c>
      <c r="J353" t="s">
        <v>33</v>
      </c>
      <c r="K353">
        <v>3</v>
      </c>
      <c r="L353">
        <v>1</v>
      </c>
      <c r="M353" t="s">
        <v>43</v>
      </c>
      <c r="N353">
        <v>2</v>
      </c>
      <c r="O353" t="s">
        <v>41</v>
      </c>
      <c r="P353">
        <v>2370</v>
      </c>
      <c r="Q353">
        <v>1</v>
      </c>
      <c r="R353" t="s">
        <v>36</v>
      </c>
      <c r="S353">
        <v>13</v>
      </c>
      <c r="T353">
        <v>3</v>
      </c>
      <c r="U353">
        <v>3</v>
      </c>
      <c r="V353">
        <v>1</v>
      </c>
      <c r="W353">
        <v>8</v>
      </c>
      <c r="X353">
        <v>4</v>
      </c>
      <c r="Y353">
        <v>3</v>
      </c>
      <c r="Z353">
        <v>8</v>
      </c>
      <c r="AA353">
        <v>0</v>
      </c>
      <c r="AB353">
        <v>0</v>
      </c>
      <c r="AC353">
        <v>7</v>
      </c>
      <c r="AD353">
        <f>IF(HR_Data[[#This Row],[Attrition]]="Yes",1,0)</f>
        <v>0</v>
      </c>
      <c r="AE353" t="str">
        <f>IF(HR_Data[[#This Row],[Age]]&lt;=25,"18-25",IF(HR_Data[[#This Row],[Age]]&lt;=35,"26-35",IF(HR_Data[[#This Row],[Age]]&lt;=45,"36-45",IF(HR_Data[[#This Row],[Age]]&lt;=55,"46-55","55+"))))</f>
        <v>26-35</v>
      </c>
      <c r="AF353">
        <f>IF(HR_Data[[#This Row],[Age]]&lt;=25,1,IF(HR_Data[[#This Row],[Age]]&lt;=35,2,IF(HR_Data[[#This Row],[Age]]&lt;=45,3,IF(HR_Data[[#This Row],[Age]]&lt;=55,4,5))))</f>
        <v>2</v>
      </c>
      <c r="AG353" s="1" t="str">
        <f>IF(HR_Data[[#This Row],[MonthlyIncome]]&lt;3000,"&lt;3K",IF(HR_Data[[#This Row],[MonthlyIncome]]&lt;6000,"3K-6K",IF(HR_Data[[#This Row],[MonthlyIncome]]&lt;10000,"6K-10K","10K+")))</f>
        <v>&lt;3K</v>
      </c>
      <c r="AH353" s="1">
        <f>IF(HR_Data[[#This Row],[MonthlyIncome]]&lt;3000,1,IF(HR_Data[[#This Row],[MonthlyIncome]]&lt;6000,2,IF(HR_Data[[#This Row],[MonthlyIncome]]&lt;10000,3,4)))</f>
        <v>1</v>
      </c>
      <c r="AI353" s="1" t="str">
        <f>IF(HR_Data[[#This Row],[YearsAtCompany]]&lt;=2,"0-2 Yrs",IF(HR_Data[[#This Row],[YearsAtCompany]]&lt;=5,"3-5 Yrs",IF(HR_Data[[#This Row],[YearsAtCompany]]&lt;=10,"6-10 Yrs","10+ Yrs")))</f>
        <v>6-10 Yrs</v>
      </c>
      <c r="AJ353" s="1">
        <f>IF(HR_Data[[#This Row],[YearsAtCompany]]&lt;=2,1,IF(HR_Data[[#This Row],[YearsAtCompany]]&lt;=5,2,IF(HR_Data[[#This Row],[YearsAtCompany]]&lt;=10,3,4)))</f>
        <v>3</v>
      </c>
      <c r="AK353" s="1" t="str">
        <f>CHOOSE(HR_Data[[#This Row],[Education]],"Below College","College","Bachelor","Master","Doctor")</f>
        <v>Bachelor</v>
      </c>
      <c r="AL353" s="1" t="str">
        <f>CHOOSE(HR_Data[[#This Row],[JobSatisfaction]],"Low","Medium","High","Very High")</f>
        <v>Medium</v>
      </c>
      <c r="AM353" s="1" t="str">
        <f>CHOOSE(HR_Data[[#This Row],[EnvironmentSatisfaction]],"Low","Medium","High","Very High")</f>
        <v>High</v>
      </c>
      <c r="AN353" s="1" t="str">
        <f>CHOOSE(HR_Data[[#This Row],[WorkLifeBalance]],"Bad","Good","Better","Best")</f>
        <v>Better</v>
      </c>
      <c r="AO353" s="1" t="str">
        <f>IF(HR_Data[[#This Row],[PercentSalaryHike]]&lt;=13,"11-13%",IF(HR_Data[[#This Row],[PercentSalaryHike]]&lt;=16,"14-16%",IF(HR_Data[[#This Row],[PercentSalaryHike]]&lt;=19,"17-19%","20-25%")))</f>
        <v>11-13%</v>
      </c>
      <c r="AP353" s="1">
        <f>IF(HR_Data[[#This Row],[PercentSalaryHike]]&lt;=13,1,IF(HR_Data[[#This Row],[PercentSalaryHike]]&lt;=16,2,IF(HR_Data[[#This Row],[PercentSalaryHike]]&lt;=19,3,4)))</f>
        <v>1</v>
      </c>
      <c r="AQ353" s="1" t="str">
        <f>IF(HR_Data[[#This Row],[DistanceFromHome]]&lt;=5,"1 to 5",IF(HR_Data[[#This Row],[DistanceFromHome]]&lt;=10,"6 to 10",IF(HR_Data[[#This Row],[DistanceFromHome]]&lt;=20,"11 to 20","21 to 29")))</f>
        <v>1 to 5</v>
      </c>
      <c r="AR353" s="1">
        <f>IF(HR_Data[[#This Row],[DistanceFromHome]]&lt;=5,1,IF(HR_Data[[#This Row],[DistanceFromHome]]&lt;=10,2,IF(HR_Data[[#This Row],[DistanceFromHome]]&lt;=20,3,4)))</f>
        <v>1</v>
      </c>
      <c r="AS353" s="1" t="str">
        <f>IF(HR_Data[[#This Row],[TotalWorkingYears]]&lt;=5,"0-5 Yrs",IF(HR_Data[[#This Row],[TotalWorkingYears]]&lt;=10,"6-10 Yrs",IF(HR_Data[[#This Row],[TotalWorkingYears]]&lt;=20,"11-20 Yrs","20+ Yrs")))</f>
        <v>6-10 Yrs</v>
      </c>
      <c r="AT353" s="1">
        <f>IF(HR_Data[[#This Row],[TotalWorkingYears]]&lt;=5,1,IF(HR_Data[[#This Row],[TotalWorkingYears]]&lt;=10,2,IF(HR_Data[[#This Row],[TotalWorkingYears]]&lt;=20,3,4)))</f>
        <v>2</v>
      </c>
    </row>
    <row r="354" spans="1:46" x14ac:dyDescent="0.25">
      <c r="A354">
        <v>48</v>
      </c>
      <c r="B354" t="s">
        <v>36</v>
      </c>
      <c r="C354" t="s">
        <v>30</v>
      </c>
      <c r="D354" t="s">
        <v>31</v>
      </c>
      <c r="E354">
        <v>29</v>
      </c>
      <c r="F354">
        <v>1</v>
      </c>
      <c r="G354" t="s">
        <v>44</v>
      </c>
      <c r="H354">
        <v>473</v>
      </c>
      <c r="I354">
        <v>1</v>
      </c>
      <c r="J354" t="s">
        <v>33</v>
      </c>
      <c r="K354">
        <v>3</v>
      </c>
      <c r="L354">
        <v>3</v>
      </c>
      <c r="M354" t="s">
        <v>49</v>
      </c>
      <c r="N354">
        <v>3</v>
      </c>
      <c r="O354" t="s">
        <v>41</v>
      </c>
      <c r="P354">
        <v>12504</v>
      </c>
      <c r="Q354">
        <v>3</v>
      </c>
      <c r="R354" t="s">
        <v>36</v>
      </c>
      <c r="S354">
        <v>21</v>
      </c>
      <c r="T354">
        <v>4</v>
      </c>
      <c r="U354">
        <v>2</v>
      </c>
      <c r="V354">
        <v>1</v>
      </c>
      <c r="W354">
        <v>15</v>
      </c>
      <c r="X354">
        <v>3</v>
      </c>
      <c r="Y354">
        <v>1</v>
      </c>
      <c r="Z354">
        <v>0</v>
      </c>
      <c r="AA354">
        <v>0</v>
      </c>
      <c r="AB354">
        <v>0</v>
      </c>
      <c r="AC354">
        <v>0</v>
      </c>
      <c r="AD354">
        <f>IF(HR_Data[[#This Row],[Attrition]]="Yes",1,0)</f>
        <v>0</v>
      </c>
      <c r="AE354" t="str">
        <f>IF(HR_Data[[#This Row],[Age]]&lt;=25,"18-25",IF(HR_Data[[#This Row],[Age]]&lt;=35,"26-35",IF(HR_Data[[#This Row],[Age]]&lt;=45,"36-45",IF(HR_Data[[#This Row],[Age]]&lt;=55,"46-55","55+"))))</f>
        <v>46-55</v>
      </c>
      <c r="AF354">
        <f>IF(HR_Data[[#This Row],[Age]]&lt;=25,1,IF(HR_Data[[#This Row],[Age]]&lt;=35,2,IF(HR_Data[[#This Row],[Age]]&lt;=45,3,IF(HR_Data[[#This Row],[Age]]&lt;=55,4,5))))</f>
        <v>4</v>
      </c>
      <c r="AG354" s="1" t="str">
        <f>IF(HR_Data[[#This Row],[MonthlyIncome]]&lt;3000,"&lt;3K",IF(HR_Data[[#This Row],[MonthlyIncome]]&lt;6000,"3K-6K",IF(HR_Data[[#This Row],[MonthlyIncome]]&lt;10000,"6K-10K","10K+")))</f>
        <v>10K+</v>
      </c>
      <c r="AH354" s="1">
        <f>IF(HR_Data[[#This Row],[MonthlyIncome]]&lt;3000,1,IF(HR_Data[[#This Row],[MonthlyIncome]]&lt;6000,2,IF(HR_Data[[#This Row],[MonthlyIncome]]&lt;10000,3,4)))</f>
        <v>4</v>
      </c>
      <c r="AI354" s="1" t="str">
        <f>IF(HR_Data[[#This Row],[YearsAtCompany]]&lt;=2,"0-2 Yrs",IF(HR_Data[[#This Row],[YearsAtCompany]]&lt;=5,"3-5 Yrs",IF(HR_Data[[#This Row],[YearsAtCompany]]&lt;=10,"6-10 Yrs","10+ Yrs")))</f>
        <v>0-2 Yrs</v>
      </c>
      <c r="AJ354" s="1">
        <f>IF(HR_Data[[#This Row],[YearsAtCompany]]&lt;=2,1,IF(HR_Data[[#This Row],[YearsAtCompany]]&lt;=5,2,IF(HR_Data[[#This Row],[YearsAtCompany]]&lt;=10,3,4)))</f>
        <v>1</v>
      </c>
      <c r="AK354" s="1" t="str">
        <f>CHOOSE(HR_Data[[#This Row],[Education]],"Below College","College","Bachelor","Master","Doctor")</f>
        <v>Below College</v>
      </c>
      <c r="AL354" s="1" t="str">
        <f>CHOOSE(HR_Data[[#This Row],[JobSatisfaction]],"Low","Medium","High","Very High")</f>
        <v>High</v>
      </c>
      <c r="AM354" s="1" t="str">
        <f>CHOOSE(HR_Data[[#This Row],[EnvironmentSatisfaction]],"Low","Medium","High","Very High")</f>
        <v>Low</v>
      </c>
      <c r="AN354" s="1" t="str">
        <f>CHOOSE(HR_Data[[#This Row],[WorkLifeBalance]],"Bad","Good","Better","Best")</f>
        <v>Bad</v>
      </c>
      <c r="AO354" s="1" t="str">
        <f>IF(HR_Data[[#This Row],[PercentSalaryHike]]&lt;=13,"11-13%",IF(HR_Data[[#This Row],[PercentSalaryHike]]&lt;=16,"14-16%",IF(HR_Data[[#This Row],[PercentSalaryHike]]&lt;=19,"17-19%","20-25%")))</f>
        <v>20-25%</v>
      </c>
      <c r="AP354" s="1">
        <f>IF(HR_Data[[#This Row],[PercentSalaryHike]]&lt;=13,1,IF(HR_Data[[#This Row],[PercentSalaryHike]]&lt;=16,2,IF(HR_Data[[#This Row],[PercentSalaryHike]]&lt;=19,3,4)))</f>
        <v>4</v>
      </c>
      <c r="AQ354" s="1" t="str">
        <f>IF(HR_Data[[#This Row],[DistanceFromHome]]&lt;=5,"1 to 5",IF(HR_Data[[#This Row],[DistanceFromHome]]&lt;=10,"6 to 10",IF(HR_Data[[#This Row],[DistanceFromHome]]&lt;=20,"11 to 20","21 to 29")))</f>
        <v>21 to 29</v>
      </c>
      <c r="AR354" s="1">
        <f>IF(HR_Data[[#This Row],[DistanceFromHome]]&lt;=5,1,IF(HR_Data[[#This Row],[DistanceFromHome]]&lt;=10,2,IF(HR_Data[[#This Row],[DistanceFromHome]]&lt;=20,3,4)))</f>
        <v>4</v>
      </c>
      <c r="AS354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354" s="1">
        <f>IF(HR_Data[[#This Row],[TotalWorkingYears]]&lt;=5,1,IF(HR_Data[[#This Row],[TotalWorkingYears]]&lt;=10,2,IF(HR_Data[[#This Row],[TotalWorkingYears]]&lt;=20,3,4)))</f>
        <v>3</v>
      </c>
    </row>
    <row r="355" spans="1:46" x14ac:dyDescent="0.25">
      <c r="A355">
        <v>37</v>
      </c>
      <c r="B355" t="s">
        <v>36</v>
      </c>
      <c r="C355" t="s">
        <v>30</v>
      </c>
      <c r="D355" t="s">
        <v>38</v>
      </c>
      <c r="E355">
        <v>6</v>
      </c>
      <c r="F355">
        <v>3</v>
      </c>
      <c r="G355" t="s">
        <v>44</v>
      </c>
      <c r="H355">
        <v>474</v>
      </c>
      <c r="I355">
        <v>3</v>
      </c>
      <c r="J355" t="s">
        <v>39</v>
      </c>
      <c r="K355">
        <v>4</v>
      </c>
      <c r="L355">
        <v>2</v>
      </c>
      <c r="M355" t="s">
        <v>40</v>
      </c>
      <c r="N355">
        <v>1</v>
      </c>
      <c r="O355" t="s">
        <v>45</v>
      </c>
      <c r="P355">
        <v>5974</v>
      </c>
      <c r="Q355">
        <v>4</v>
      </c>
      <c r="R355" t="s">
        <v>29</v>
      </c>
      <c r="S355">
        <v>13</v>
      </c>
      <c r="T355">
        <v>3</v>
      </c>
      <c r="U355">
        <v>1</v>
      </c>
      <c r="V355">
        <v>2</v>
      </c>
      <c r="W355">
        <v>13</v>
      </c>
      <c r="X355">
        <v>2</v>
      </c>
      <c r="Y355">
        <v>3</v>
      </c>
      <c r="Z355">
        <v>7</v>
      </c>
      <c r="AA355">
        <v>7</v>
      </c>
      <c r="AB355">
        <v>6</v>
      </c>
      <c r="AC355">
        <v>7</v>
      </c>
      <c r="AD355">
        <f>IF(HR_Data[[#This Row],[Attrition]]="Yes",1,0)</f>
        <v>0</v>
      </c>
      <c r="AE355" t="str">
        <f>IF(HR_Data[[#This Row],[Age]]&lt;=25,"18-25",IF(HR_Data[[#This Row],[Age]]&lt;=35,"26-35",IF(HR_Data[[#This Row],[Age]]&lt;=45,"36-45",IF(HR_Data[[#This Row],[Age]]&lt;=55,"46-55","55+"))))</f>
        <v>36-45</v>
      </c>
      <c r="AF355">
        <f>IF(HR_Data[[#This Row],[Age]]&lt;=25,1,IF(HR_Data[[#This Row],[Age]]&lt;=35,2,IF(HR_Data[[#This Row],[Age]]&lt;=45,3,IF(HR_Data[[#This Row],[Age]]&lt;=55,4,5))))</f>
        <v>3</v>
      </c>
      <c r="AG355" s="1" t="str">
        <f>IF(HR_Data[[#This Row],[MonthlyIncome]]&lt;3000,"&lt;3K",IF(HR_Data[[#This Row],[MonthlyIncome]]&lt;6000,"3K-6K",IF(HR_Data[[#This Row],[MonthlyIncome]]&lt;10000,"6K-10K","10K+")))</f>
        <v>3K-6K</v>
      </c>
      <c r="AH355" s="1">
        <f>IF(HR_Data[[#This Row],[MonthlyIncome]]&lt;3000,1,IF(HR_Data[[#This Row],[MonthlyIncome]]&lt;6000,2,IF(HR_Data[[#This Row],[MonthlyIncome]]&lt;10000,3,4)))</f>
        <v>2</v>
      </c>
      <c r="AI355" s="1" t="str">
        <f>IF(HR_Data[[#This Row],[YearsAtCompany]]&lt;=2,"0-2 Yrs",IF(HR_Data[[#This Row],[YearsAtCompany]]&lt;=5,"3-5 Yrs",IF(HR_Data[[#This Row],[YearsAtCompany]]&lt;=10,"6-10 Yrs","10+ Yrs")))</f>
        <v>6-10 Yrs</v>
      </c>
      <c r="AJ355" s="1">
        <f>IF(HR_Data[[#This Row],[YearsAtCompany]]&lt;=2,1,IF(HR_Data[[#This Row],[YearsAtCompany]]&lt;=5,2,IF(HR_Data[[#This Row],[YearsAtCompany]]&lt;=10,3,4)))</f>
        <v>3</v>
      </c>
      <c r="AK355" s="1" t="str">
        <f>CHOOSE(HR_Data[[#This Row],[Education]],"Below College","College","Bachelor","Master","Doctor")</f>
        <v>Bachelor</v>
      </c>
      <c r="AL355" s="1" t="str">
        <f>CHOOSE(HR_Data[[#This Row],[JobSatisfaction]],"Low","Medium","High","Very High")</f>
        <v>Low</v>
      </c>
      <c r="AM355" s="1" t="str">
        <f>CHOOSE(HR_Data[[#This Row],[EnvironmentSatisfaction]],"Low","Medium","High","Very High")</f>
        <v>High</v>
      </c>
      <c r="AN355" s="1" t="str">
        <f>CHOOSE(HR_Data[[#This Row],[WorkLifeBalance]],"Bad","Good","Better","Best")</f>
        <v>Better</v>
      </c>
      <c r="AO355" s="1" t="str">
        <f>IF(HR_Data[[#This Row],[PercentSalaryHike]]&lt;=13,"11-13%",IF(HR_Data[[#This Row],[PercentSalaryHike]]&lt;=16,"14-16%",IF(HR_Data[[#This Row],[PercentSalaryHike]]&lt;=19,"17-19%","20-25%")))</f>
        <v>11-13%</v>
      </c>
      <c r="AP355" s="1">
        <f>IF(HR_Data[[#This Row],[PercentSalaryHike]]&lt;=13,1,IF(HR_Data[[#This Row],[PercentSalaryHike]]&lt;=16,2,IF(HR_Data[[#This Row],[PercentSalaryHike]]&lt;=19,3,4)))</f>
        <v>1</v>
      </c>
      <c r="AQ355" s="1" t="str">
        <f>IF(HR_Data[[#This Row],[DistanceFromHome]]&lt;=5,"1 to 5",IF(HR_Data[[#This Row],[DistanceFromHome]]&lt;=10,"6 to 10",IF(HR_Data[[#This Row],[DistanceFromHome]]&lt;=20,"11 to 20","21 to 29")))</f>
        <v>6 to 10</v>
      </c>
      <c r="AR355" s="1">
        <f>IF(HR_Data[[#This Row],[DistanceFromHome]]&lt;=5,1,IF(HR_Data[[#This Row],[DistanceFromHome]]&lt;=10,2,IF(HR_Data[[#This Row],[DistanceFromHome]]&lt;=20,3,4)))</f>
        <v>2</v>
      </c>
      <c r="AS355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355" s="1">
        <f>IF(HR_Data[[#This Row],[TotalWorkingYears]]&lt;=5,1,IF(HR_Data[[#This Row],[TotalWorkingYears]]&lt;=10,2,IF(HR_Data[[#This Row],[TotalWorkingYears]]&lt;=20,3,4)))</f>
        <v>3</v>
      </c>
    </row>
    <row r="356" spans="1:46" x14ac:dyDescent="0.25">
      <c r="A356">
        <v>30</v>
      </c>
      <c r="B356" t="s">
        <v>36</v>
      </c>
      <c r="C356" t="s">
        <v>48</v>
      </c>
      <c r="D356" t="s">
        <v>31</v>
      </c>
      <c r="E356">
        <v>25</v>
      </c>
      <c r="F356">
        <v>2</v>
      </c>
      <c r="G356" t="s">
        <v>53</v>
      </c>
      <c r="H356">
        <v>475</v>
      </c>
      <c r="I356">
        <v>4</v>
      </c>
      <c r="J356" t="s">
        <v>33</v>
      </c>
      <c r="K356">
        <v>3</v>
      </c>
      <c r="L356">
        <v>2</v>
      </c>
      <c r="M356" t="s">
        <v>34</v>
      </c>
      <c r="N356">
        <v>3</v>
      </c>
      <c r="O356" t="s">
        <v>41</v>
      </c>
      <c r="P356">
        <v>4736</v>
      </c>
      <c r="Q356">
        <v>7</v>
      </c>
      <c r="R356" t="s">
        <v>29</v>
      </c>
      <c r="S356">
        <v>12</v>
      </c>
      <c r="T356">
        <v>3</v>
      </c>
      <c r="U356">
        <v>2</v>
      </c>
      <c r="V356">
        <v>1</v>
      </c>
      <c r="W356">
        <v>4</v>
      </c>
      <c r="X356">
        <v>2</v>
      </c>
      <c r="Y356">
        <v>4</v>
      </c>
      <c r="Z356">
        <v>2</v>
      </c>
      <c r="AA356">
        <v>2</v>
      </c>
      <c r="AB356">
        <v>2</v>
      </c>
      <c r="AC356">
        <v>2</v>
      </c>
      <c r="AD356">
        <f>IF(HR_Data[[#This Row],[Attrition]]="Yes",1,0)</f>
        <v>0</v>
      </c>
      <c r="AE356" t="str">
        <f>IF(HR_Data[[#This Row],[Age]]&lt;=25,"18-25",IF(HR_Data[[#This Row],[Age]]&lt;=35,"26-35",IF(HR_Data[[#This Row],[Age]]&lt;=45,"36-45",IF(HR_Data[[#This Row],[Age]]&lt;=55,"46-55","55+"))))</f>
        <v>26-35</v>
      </c>
      <c r="AF356">
        <f>IF(HR_Data[[#This Row],[Age]]&lt;=25,1,IF(HR_Data[[#This Row],[Age]]&lt;=35,2,IF(HR_Data[[#This Row],[Age]]&lt;=45,3,IF(HR_Data[[#This Row],[Age]]&lt;=55,4,5))))</f>
        <v>2</v>
      </c>
      <c r="AG356" s="1" t="str">
        <f>IF(HR_Data[[#This Row],[MonthlyIncome]]&lt;3000,"&lt;3K",IF(HR_Data[[#This Row],[MonthlyIncome]]&lt;6000,"3K-6K",IF(HR_Data[[#This Row],[MonthlyIncome]]&lt;10000,"6K-10K","10K+")))</f>
        <v>3K-6K</v>
      </c>
      <c r="AH356" s="1">
        <f>IF(HR_Data[[#This Row],[MonthlyIncome]]&lt;3000,1,IF(HR_Data[[#This Row],[MonthlyIncome]]&lt;6000,2,IF(HR_Data[[#This Row],[MonthlyIncome]]&lt;10000,3,4)))</f>
        <v>2</v>
      </c>
      <c r="AI356" s="1" t="str">
        <f>IF(HR_Data[[#This Row],[YearsAtCompany]]&lt;=2,"0-2 Yrs",IF(HR_Data[[#This Row],[YearsAtCompany]]&lt;=5,"3-5 Yrs",IF(HR_Data[[#This Row],[YearsAtCompany]]&lt;=10,"6-10 Yrs","10+ Yrs")))</f>
        <v>0-2 Yrs</v>
      </c>
      <c r="AJ356" s="1">
        <f>IF(HR_Data[[#This Row],[YearsAtCompany]]&lt;=2,1,IF(HR_Data[[#This Row],[YearsAtCompany]]&lt;=5,2,IF(HR_Data[[#This Row],[YearsAtCompany]]&lt;=10,3,4)))</f>
        <v>1</v>
      </c>
      <c r="AK356" s="1" t="str">
        <f>CHOOSE(HR_Data[[#This Row],[Education]],"Below College","College","Bachelor","Master","Doctor")</f>
        <v>College</v>
      </c>
      <c r="AL356" s="1" t="str">
        <f>CHOOSE(HR_Data[[#This Row],[JobSatisfaction]],"Low","Medium","High","Very High")</f>
        <v>High</v>
      </c>
      <c r="AM356" s="1" t="str">
        <f>CHOOSE(HR_Data[[#This Row],[EnvironmentSatisfaction]],"Low","Medium","High","Very High")</f>
        <v>Very High</v>
      </c>
      <c r="AN356" s="1" t="str">
        <f>CHOOSE(HR_Data[[#This Row],[WorkLifeBalance]],"Bad","Good","Better","Best")</f>
        <v>Best</v>
      </c>
      <c r="AO356" s="1" t="str">
        <f>IF(HR_Data[[#This Row],[PercentSalaryHike]]&lt;=13,"11-13%",IF(HR_Data[[#This Row],[PercentSalaryHike]]&lt;=16,"14-16%",IF(HR_Data[[#This Row],[PercentSalaryHike]]&lt;=19,"17-19%","20-25%")))</f>
        <v>11-13%</v>
      </c>
      <c r="AP356" s="1">
        <f>IF(HR_Data[[#This Row],[PercentSalaryHike]]&lt;=13,1,IF(HR_Data[[#This Row],[PercentSalaryHike]]&lt;=16,2,IF(HR_Data[[#This Row],[PercentSalaryHike]]&lt;=19,3,4)))</f>
        <v>1</v>
      </c>
      <c r="AQ356" s="1" t="str">
        <f>IF(HR_Data[[#This Row],[DistanceFromHome]]&lt;=5,"1 to 5",IF(HR_Data[[#This Row],[DistanceFromHome]]&lt;=10,"6 to 10",IF(HR_Data[[#This Row],[DistanceFromHome]]&lt;=20,"11 to 20","21 to 29")))</f>
        <v>21 to 29</v>
      </c>
      <c r="AR356" s="1">
        <f>IF(HR_Data[[#This Row],[DistanceFromHome]]&lt;=5,1,IF(HR_Data[[#This Row],[DistanceFromHome]]&lt;=10,2,IF(HR_Data[[#This Row],[DistanceFromHome]]&lt;=20,3,4)))</f>
        <v>4</v>
      </c>
      <c r="AS356" s="1" t="str">
        <f>IF(HR_Data[[#This Row],[TotalWorkingYears]]&lt;=5,"0-5 Yrs",IF(HR_Data[[#This Row],[TotalWorkingYears]]&lt;=10,"6-10 Yrs",IF(HR_Data[[#This Row],[TotalWorkingYears]]&lt;=20,"11-20 Yrs","20+ Yrs")))</f>
        <v>0-5 Yrs</v>
      </c>
      <c r="AT356" s="1">
        <f>IF(HR_Data[[#This Row],[TotalWorkingYears]]&lt;=5,1,IF(HR_Data[[#This Row],[TotalWorkingYears]]&lt;=10,2,IF(HR_Data[[#This Row],[TotalWorkingYears]]&lt;=20,3,4)))</f>
        <v>1</v>
      </c>
    </row>
    <row r="357" spans="1:46" x14ac:dyDescent="0.25">
      <c r="A357">
        <v>26</v>
      </c>
      <c r="B357" t="s">
        <v>36</v>
      </c>
      <c r="C357" t="s">
        <v>30</v>
      </c>
      <c r="D357" t="s">
        <v>31</v>
      </c>
      <c r="E357">
        <v>1</v>
      </c>
      <c r="F357">
        <v>3</v>
      </c>
      <c r="G357" t="s">
        <v>32</v>
      </c>
      <c r="H357">
        <v>476</v>
      </c>
      <c r="I357">
        <v>3</v>
      </c>
      <c r="J357" t="s">
        <v>39</v>
      </c>
      <c r="K357">
        <v>3</v>
      </c>
      <c r="L357">
        <v>2</v>
      </c>
      <c r="M357" t="s">
        <v>34</v>
      </c>
      <c r="N357">
        <v>3</v>
      </c>
      <c r="O357" t="s">
        <v>41</v>
      </c>
      <c r="P357">
        <v>5296</v>
      </c>
      <c r="Q357">
        <v>1</v>
      </c>
      <c r="R357" t="s">
        <v>36</v>
      </c>
      <c r="S357">
        <v>17</v>
      </c>
      <c r="T357">
        <v>3</v>
      </c>
      <c r="U357">
        <v>2</v>
      </c>
      <c r="V357">
        <v>1</v>
      </c>
      <c r="W357">
        <v>8</v>
      </c>
      <c r="X357">
        <v>3</v>
      </c>
      <c r="Y357">
        <v>3</v>
      </c>
      <c r="Z357">
        <v>8</v>
      </c>
      <c r="AA357">
        <v>7</v>
      </c>
      <c r="AB357">
        <v>7</v>
      </c>
      <c r="AC357">
        <v>7</v>
      </c>
      <c r="AD357">
        <f>IF(HR_Data[[#This Row],[Attrition]]="Yes",1,0)</f>
        <v>0</v>
      </c>
      <c r="AE357" t="str">
        <f>IF(HR_Data[[#This Row],[Age]]&lt;=25,"18-25",IF(HR_Data[[#This Row],[Age]]&lt;=35,"26-35",IF(HR_Data[[#This Row],[Age]]&lt;=45,"36-45",IF(HR_Data[[#This Row],[Age]]&lt;=55,"46-55","55+"))))</f>
        <v>26-35</v>
      </c>
      <c r="AF357">
        <f>IF(HR_Data[[#This Row],[Age]]&lt;=25,1,IF(HR_Data[[#This Row],[Age]]&lt;=35,2,IF(HR_Data[[#This Row],[Age]]&lt;=45,3,IF(HR_Data[[#This Row],[Age]]&lt;=55,4,5))))</f>
        <v>2</v>
      </c>
      <c r="AG357" s="1" t="str">
        <f>IF(HR_Data[[#This Row],[MonthlyIncome]]&lt;3000,"&lt;3K",IF(HR_Data[[#This Row],[MonthlyIncome]]&lt;6000,"3K-6K",IF(HR_Data[[#This Row],[MonthlyIncome]]&lt;10000,"6K-10K","10K+")))</f>
        <v>3K-6K</v>
      </c>
      <c r="AH357" s="1">
        <f>IF(HR_Data[[#This Row],[MonthlyIncome]]&lt;3000,1,IF(HR_Data[[#This Row],[MonthlyIncome]]&lt;6000,2,IF(HR_Data[[#This Row],[MonthlyIncome]]&lt;10000,3,4)))</f>
        <v>2</v>
      </c>
      <c r="AI357" s="1" t="str">
        <f>IF(HR_Data[[#This Row],[YearsAtCompany]]&lt;=2,"0-2 Yrs",IF(HR_Data[[#This Row],[YearsAtCompany]]&lt;=5,"3-5 Yrs",IF(HR_Data[[#This Row],[YearsAtCompany]]&lt;=10,"6-10 Yrs","10+ Yrs")))</f>
        <v>6-10 Yrs</v>
      </c>
      <c r="AJ357" s="1">
        <f>IF(HR_Data[[#This Row],[YearsAtCompany]]&lt;=2,1,IF(HR_Data[[#This Row],[YearsAtCompany]]&lt;=5,2,IF(HR_Data[[#This Row],[YearsAtCompany]]&lt;=10,3,4)))</f>
        <v>3</v>
      </c>
      <c r="AK357" s="1" t="str">
        <f>CHOOSE(HR_Data[[#This Row],[Education]],"Below College","College","Bachelor","Master","Doctor")</f>
        <v>Bachelor</v>
      </c>
      <c r="AL357" s="1" t="str">
        <f>CHOOSE(HR_Data[[#This Row],[JobSatisfaction]],"Low","Medium","High","Very High")</f>
        <v>High</v>
      </c>
      <c r="AM357" s="1" t="str">
        <f>CHOOSE(HR_Data[[#This Row],[EnvironmentSatisfaction]],"Low","Medium","High","Very High")</f>
        <v>High</v>
      </c>
      <c r="AN357" s="1" t="str">
        <f>CHOOSE(HR_Data[[#This Row],[WorkLifeBalance]],"Bad","Good","Better","Best")</f>
        <v>Better</v>
      </c>
      <c r="AO357" s="1" t="str">
        <f>IF(HR_Data[[#This Row],[PercentSalaryHike]]&lt;=13,"11-13%",IF(HR_Data[[#This Row],[PercentSalaryHike]]&lt;=16,"14-16%",IF(HR_Data[[#This Row],[PercentSalaryHike]]&lt;=19,"17-19%","20-25%")))</f>
        <v>17-19%</v>
      </c>
      <c r="AP357" s="1">
        <f>IF(HR_Data[[#This Row],[PercentSalaryHike]]&lt;=13,1,IF(HR_Data[[#This Row],[PercentSalaryHike]]&lt;=16,2,IF(HR_Data[[#This Row],[PercentSalaryHike]]&lt;=19,3,4)))</f>
        <v>3</v>
      </c>
      <c r="AQ357" s="1" t="str">
        <f>IF(HR_Data[[#This Row],[DistanceFromHome]]&lt;=5,"1 to 5",IF(HR_Data[[#This Row],[DistanceFromHome]]&lt;=10,"6 to 10",IF(HR_Data[[#This Row],[DistanceFromHome]]&lt;=20,"11 to 20","21 to 29")))</f>
        <v>1 to 5</v>
      </c>
      <c r="AR357" s="1">
        <f>IF(HR_Data[[#This Row],[DistanceFromHome]]&lt;=5,1,IF(HR_Data[[#This Row],[DistanceFromHome]]&lt;=10,2,IF(HR_Data[[#This Row],[DistanceFromHome]]&lt;=20,3,4)))</f>
        <v>1</v>
      </c>
      <c r="AS357" s="1" t="str">
        <f>IF(HR_Data[[#This Row],[TotalWorkingYears]]&lt;=5,"0-5 Yrs",IF(HR_Data[[#This Row],[TotalWorkingYears]]&lt;=10,"6-10 Yrs",IF(HR_Data[[#This Row],[TotalWorkingYears]]&lt;=20,"11-20 Yrs","20+ Yrs")))</f>
        <v>6-10 Yrs</v>
      </c>
      <c r="AT357" s="1">
        <f>IF(HR_Data[[#This Row],[TotalWorkingYears]]&lt;=5,1,IF(HR_Data[[#This Row],[TotalWorkingYears]]&lt;=10,2,IF(HR_Data[[#This Row],[TotalWorkingYears]]&lt;=20,3,4)))</f>
        <v>2</v>
      </c>
    </row>
    <row r="358" spans="1:46" x14ac:dyDescent="0.25">
      <c r="A358">
        <v>42</v>
      </c>
      <c r="B358" t="s">
        <v>36</v>
      </c>
      <c r="C358" t="s">
        <v>30</v>
      </c>
      <c r="D358" t="s">
        <v>38</v>
      </c>
      <c r="E358">
        <v>2</v>
      </c>
      <c r="F358">
        <v>4</v>
      </c>
      <c r="G358" t="s">
        <v>42</v>
      </c>
      <c r="H358">
        <v>477</v>
      </c>
      <c r="I358">
        <v>1</v>
      </c>
      <c r="J358" t="s">
        <v>39</v>
      </c>
      <c r="K358">
        <v>2</v>
      </c>
      <c r="L358">
        <v>2</v>
      </c>
      <c r="M358" t="s">
        <v>47</v>
      </c>
      <c r="N358">
        <v>4</v>
      </c>
      <c r="O358" t="s">
        <v>35</v>
      </c>
      <c r="P358">
        <v>6781</v>
      </c>
      <c r="Q358">
        <v>3</v>
      </c>
      <c r="R358" t="s">
        <v>36</v>
      </c>
      <c r="S358">
        <v>23</v>
      </c>
      <c r="T358">
        <v>4</v>
      </c>
      <c r="U358">
        <v>2</v>
      </c>
      <c r="V358">
        <v>0</v>
      </c>
      <c r="W358">
        <v>14</v>
      </c>
      <c r="X358">
        <v>6</v>
      </c>
      <c r="Y358">
        <v>3</v>
      </c>
      <c r="Z358">
        <v>1</v>
      </c>
      <c r="AA358">
        <v>0</v>
      </c>
      <c r="AB358">
        <v>0</v>
      </c>
      <c r="AC358">
        <v>0</v>
      </c>
      <c r="AD358">
        <f>IF(HR_Data[[#This Row],[Attrition]]="Yes",1,0)</f>
        <v>0</v>
      </c>
      <c r="AE358" t="str">
        <f>IF(HR_Data[[#This Row],[Age]]&lt;=25,"18-25",IF(HR_Data[[#This Row],[Age]]&lt;=35,"26-35",IF(HR_Data[[#This Row],[Age]]&lt;=45,"36-45",IF(HR_Data[[#This Row],[Age]]&lt;=55,"46-55","55+"))))</f>
        <v>36-45</v>
      </c>
      <c r="AF358">
        <f>IF(HR_Data[[#This Row],[Age]]&lt;=25,1,IF(HR_Data[[#This Row],[Age]]&lt;=35,2,IF(HR_Data[[#This Row],[Age]]&lt;=45,3,IF(HR_Data[[#This Row],[Age]]&lt;=55,4,5))))</f>
        <v>3</v>
      </c>
      <c r="AG358" s="1" t="str">
        <f>IF(HR_Data[[#This Row],[MonthlyIncome]]&lt;3000,"&lt;3K",IF(HR_Data[[#This Row],[MonthlyIncome]]&lt;6000,"3K-6K",IF(HR_Data[[#This Row],[MonthlyIncome]]&lt;10000,"6K-10K","10K+")))</f>
        <v>6K-10K</v>
      </c>
      <c r="AH358" s="1">
        <f>IF(HR_Data[[#This Row],[MonthlyIncome]]&lt;3000,1,IF(HR_Data[[#This Row],[MonthlyIncome]]&lt;6000,2,IF(HR_Data[[#This Row],[MonthlyIncome]]&lt;10000,3,4)))</f>
        <v>3</v>
      </c>
      <c r="AI358" s="1" t="str">
        <f>IF(HR_Data[[#This Row],[YearsAtCompany]]&lt;=2,"0-2 Yrs",IF(HR_Data[[#This Row],[YearsAtCompany]]&lt;=5,"3-5 Yrs",IF(HR_Data[[#This Row],[YearsAtCompany]]&lt;=10,"6-10 Yrs","10+ Yrs")))</f>
        <v>0-2 Yrs</v>
      </c>
      <c r="AJ358" s="1">
        <f>IF(HR_Data[[#This Row],[YearsAtCompany]]&lt;=2,1,IF(HR_Data[[#This Row],[YearsAtCompany]]&lt;=5,2,IF(HR_Data[[#This Row],[YearsAtCompany]]&lt;=10,3,4)))</f>
        <v>1</v>
      </c>
      <c r="AK358" s="1" t="str">
        <f>CHOOSE(HR_Data[[#This Row],[Education]],"Below College","College","Bachelor","Master","Doctor")</f>
        <v>Master</v>
      </c>
      <c r="AL358" s="1" t="str">
        <f>CHOOSE(HR_Data[[#This Row],[JobSatisfaction]],"Low","Medium","High","Very High")</f>
        <v>Very High</v>
      </c>
      <c r="AM358" s="1" t="str">
        <f>CHOOSE(HR_Data[[#This Row],[EnvironmentSatisfaction]],"Low","Medium","High","Very High")</f>
        <v>Low</v>
      </c>
      <c r="AN358" s="1" t="str">
        <f>CHOOSE(HR_Data[[#This Row],[WorkLifeBalance]],"Bad","Good","Better","Best")</f>
        <v>Better</v>
      </c>
      <c r="AO358" s="1" t="str">
        <f>IF(HR_Data[[#This Row],[PercentSalaryHike]]&lt;=13,"11-13%",IF(HR_Data[[#This Row],[PercentSalaryHike]]&lt;=16,"14-16%",IF(HR_Data[[#This Row],[PercentSalaryHike]]&lt;=19,"17-19%","20-25%")))</f>
        <v>20-25%</v>
      </c>
      <c r="AP358" s="1">
        <f>IF(HR_Data[[#This Row],[PercentSalaryHike]]&lt;=13,1,IF(HR_Data[[#This Row],[PercentSalaryHike]]&lt;=16,2,IF(HR_Data[[#This Row],[PercentSalaryHike]]&lt;=19,3,4)))</f>
        <v>4</v>
      </c>
      <c r="AQ358" s="1" t="str">
        <f>IF(HR_Data[[#This Row],[DistanceFromHome]]&lt;=5,"1 to 5",IF(HR_Data[[#This Row],[DistanceFromHome]]&lt;=10,"6 to 10",IF(HR_Data[[#This Row],[DistanceFromHome]]&lt;=20,"11 to 20","21 to 29")))</f>
        <v>1 to 5</v>
      </c>
      <c r="AR358" s="1">
        <f>IF(HR_Data[[#This Row],[DistanceFromHome]]&lt;=5,1,IF(HR_Data[[#This Row],[DistanceFromHome]]&lt;=10,2,IF(HR_Data[[#This Row],[DistanceFromHome]]&lt;=20,3,4)))</f>
        <v>1</v>
      </c>
      <c r="AS358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358" s="1">
        <f>IF(HR_Data[[#This Row],[TotalWorkingYears]]&lt;=5,1,IF(HR_Data[[#This Row],[TotalWorkingYears]]&lt;=10,2,IF(HR_Data[[#This Row],[TotalWorkingYears]]&lt;=20,3,4)))</f>
        <v>3</v>
      </c>
    </row>
    <row r="359" spans="1:46" x14ac:dyDescent="0.25">
      <c r="A359">
        <v>21</v>
      </c>
      <c r="B359" t="s">
        <v>29</v>
      </c>
      <c r="C359" t="s">
        <v>37</v>
      </c>
      <c r="D359" t="s">
        <v>31</v>
      </c>
      <c r="E359">
        <v>1</v>
      </c>
      <c r="F359">
        <v>1</v>
      </c>
      <c r="G359" t="s">
        <v>53</v>
      </c>
      <c r="H359">
        <v>478</v>
      </c>
      <c r="I359">
        <v>1</v>
      </c>
      <c r="J359" t="s">
        <v>33</v>
      </c>
      <c r="K359">
        <v>2</v>
      </c>
      <c r="L359">
        <v>1</v>
      </c>
      <c r="M359" t="s">
        <v>50</v>
      </c>
      <c r="N359">
        <v>2</v>
      </c>
      <c r="O359" t="s">
        <v>35</v>
      </c>
      <c r="P359">
        <v>2174</v>
      </c>
      <c r="Q359">
        <v>1</v>
      </c>
      <c r="R359" t="s">
        <v>29</v>
      </c>
      <c r="S359">
        <v>11</v>
      </c>
      <c r="T359">
        <v>3</v>
      </c>
      <c r="U359">
        <v>3</v>
      </c>
      <c r="V359">
        <v>0</v>
      </c>
      <c r="W359">
        <v>3</v>
      </c>
      <c r="X359">
        <v>3</v>
      </c>
      <c r="Y359">
        <v>3</v>
      </c>
      <c r="Z359">
        <v>3</v>
      </c>
      <c r="AA359">
        <v>2</v>
      </c>
      <c r="AB359">
        <v>1</v>
      </c>
      <c r="AC359">
        <v>2</v>
      </c>
      <c r="AD359">
        <f>IF(HR_Data[[#This Row],[Attrition]]="Yes",1,0)</f>
        <v>1</v>
      </c>
      <c r="AE359" t="str">
        <f>IF(HR_Data[[#This Row],[Age]]&lt;=25,"18-25",IF(HR_Data[[#This Row],[Age]]&lt;=35,"26-35",IF(HR_Data[[#This Row],[Age]]&lt;=45,"36-45",IF(HR_Data[[#This Row],[Age]]&lt;=55,"46-55","55+"))))</f>
        <v>18-25</v>
      </c>
      <c r="AF359">
        <f>IF(HR_Data[[#This Row],[Age]]&lt;=25,1,IF(HR_Data[[#This Row],[Age]]&lt;=35,2,IF(HR_Data[[#This Row],[Age]]&lt;=45,3,IF(HR_Data[[#This Row],[Age]]&lt;=55,4,5))))</f>
        <v>1</v>
      </c>
      <c r="AG359" s="1" t="str">
        <f>IF(HR_Data[[#This Row],[MonthlyIncome]]&lt;3000,"&lt;3K",IF(HR_Data[[#This Row],[MonthlyIncome]]&lt;6000,"3K-6K",IF(HR_Data[[#This Row],[MonthlyIncome]]&lt;10000,"6K-10K","10K+")))</f>
        <v>&lt;3K</v>
      </c>
      <c r="AH359" s="1">
        <f>IF(HR_Data[[#This Row],[MonthlyIncome]]&lt;3000,1,IF(HR_Data[[#This Row],[MonthlyIncome]]&lt;6000,2,IF(HR_Data[[#This Row],[MonthlyIncome]]&lt;10000,3,4)))</f>
        <v>1</v>
      </c>
      <c r="AI359" s="1" t="str">
        <f>IF(HR_Data[[#This Row],[YearsAtCompany]]&lt;=2,"0-2 Yrs",IF(HR_Data[[#This Row],[YearsAtCompany]]&lt;=5,"3-5 Yrs",IF(HR_Data[[#This Row],[YearsAtCompany]]&lt;=10,"6-10 Yrs","10+ Yrs")))</f>
        <v>3-5 Yrs</v>
      </c>
      <c r="AJ359" s="1">
        <f>IF(HR_Data[[#This Row],[YearsAtCompany]]&lt;=2,1,IF(HR_Data[[#This Row],[YearsAtCompany]]&lt;=5,2,IF(HR_Data[[#This Row],[YearsAtCompany]]&lt;=10,3,4)))</f>
        <v>2</v>
      </c>
      <c r="AK359" s="1" t="str">
        <f>CHOOSE(HR_Data[[#This Row],[Education]],"Below College","College","Bachelor","Master","Doctor")</f>
        <v>Below College</v>
      </c>
      <c r="AL359" s="1" t="str">
        <f>CHOOSE(HR_Data[[#This Row],[JobSatisfaction]],"Low","Medium","High","Very High")</f>
        <v>Medium</v>
      </c>
      <c r="AM359" s="1" t="str">
        <f>CHOOSE(HR_Data[[#This Row],[EnvironmentSatisfaction]],"Low","Medium","High","Very High")</f>
        <v>Low</v>
      </c>
      <c r="AN359" s="1" t="str">
        <f>CHOOSE(HR_Data[[#This Row],[WorkLifeBalance]],"Bad","Good","Better","Best")</f>
        <v>Better</v>
      </c>
      <c r="AO359" s="1" t="str">
        <f>IF(HR_Data[[#This Row],[PercentSalaryHike]]&lt;=13,"11-13%",IF(HR_Data[[#This Row],[PercentSalaryHike]]&lt;=16,"14-16%",IF(HR_Data[[#This Row],[PercentSalaryHike]]&lt;=19,"17-19%","20-25%")))</f>
        <v>11-13%</v>
      </c>
      <c r="AP359" s="1">
        <f>IF(HR_Data[[#This Row],[PercentSalaryHike]]&lt;=13,1,IF(HR_Data[[#This Row],[PercentSalaryHike]]&lt;=16,2,IF(HR_Data[[#This Row],[PercentSalaryHike]]&lt;=19,3,4)))</f>
        <v>1</v>
      </c>
      <c r="AQ359" s="1" t="str">
        <f>IF(HR_Data[[#This Row],[DistanceFromHome]]&lt;=5,"1 to 5",IF(HR_Data[[#This Row],[DistanceFromHome]]&lt;=10,"6 to 10",IF(HR_Data[[#This Row],[DistanceFromHome]]&lt;=20,"11 to 20","21 to 29")))</f>
        <v>1 to 5</v>
      </c>
      <c r="AR359" s="1">
        <f>IF(HR_Data[[#This Row],[DistanceFromHome]]&lt;=5,1,IF(HR_Data[[#This Row],[DistanceFromHome]]&lt;=10,2,IF(HR_Data[[#This Row],[DistanceFromHome]]&lt;=20,3,4)))</f>
        <v>1</v>
      </c>
      <c r="AS359" s="1" t="str">
        <f>IF(HR_Data[[#This Row],[TotalWorkingYears]]&lt;=5,"0-5 Yrs",IF(HR_Data[[#This Row],[TotalWorkingYears]]&lt;=10,"6-10 Yrs",IF(HR_Data[[#This Row],[TotalWorkingYears]]&lt;=20,"11-20 Yrs","20+ Yrs")))</f>
        <v>0-5 Yrs</v>
      </c>
      <c r="AT359" s="1">
        <f>IF(HR_Data[[#This Row],[TotalWorkingYears]]&lt;=5,1,IF(HR_Data[[#This Row],[TotalWorkingYears]]&lt;=10,2,IF(HR_Data[[#This Row],[TotalWorkingYears]]&lt;=20,3,4)))</f>
        <v>1</v>
      </c>
    </row>
    <row r="360" spans="1:46" x14ac:dyDescent="0.25">
      <c r="A360">
        <v>36</v>
      </c>
      <c r="B360" t="s">
        <v>36</v>
      </c>
      <c r="C360" t="s">
        <v>48</v>
      </c>
      <c r="D360" t="s">
        <v>31</v>
      </c>
      <c r="E360">
        <v>1</v>
      </c>
      <c r="F360">
        <v>5</v>
      </c>
      <c r="G360" t="s">
        <v>44</v>
      </c>
      <c r="H360">
        <v>479</v>
      </c>
      <c r="I360">
        <v>4</v>
      </c>
      <c r="J360" t="s">
        <v>33</v>
      </c>
      <c r="K360">
        <v>3</v>
      </c>
      <c r="L360">
        <v>2</v>
      </c>
      <c r="M360" t="s">
        <v>34</v>
      </c>
      <c r="N360">
        <v>4</v>
      </c>
      <c r="O360" t="s">
        <v>35</v>
      </c>
      <c r="P360">
        <v>6653</v>
      </c>
      <c r="Q360">
        <v>4</v>
      </c>
      <c r="R360" t="s">
        <v>36</v>
      </c>
      <c r="S360">
        <v>15</v>
      </c>
      <c r="T360">
        <v>3</v>
      </c>
      <c r="U360">
        <v>2</v>
      </c>
      <c r="V360">
        <v>0</v>
      </c>
      <c r="W360">
        <v>7</v>
      </c>
      <c r="X360">
        <v>6</v>
      </c>
      <c r="Y360">
        <v>3</v>
      </c>
      <c r="Z360">
        <v>1</v>
      </c>
      <c r="AA360">
        <v>0</v>
      </c>
      <c r="AB360">
        <v>0</v>
      </c>
      <c r="AC360">
        <v>0</v>
      </c>
      <c r="AD360">
        <f>IF(HR_Data[[#This Row],[Attrition]]="Yes",1,0)</f>
        <v>0</v>
      </c>
      <c r="AE360" t="str">
        <f>IF(HR_Data[[#This Row],[Age]]&lt;=25,"18-25",IF(HR_Data[[#This Row],[Age]]&lt;=35,"26-35",IF(HR_Data[[#This Row],[Age]]&lt;=45,"36-45",IF(HR_Data[[#This Row],[Age]]&lt;=55,"46-55","55+"))))</f>
        <v>36-45</v>
      </c>
      <c r="AF360">
        <f>IF(HR_Data[[#This Row],[Age]]&lt;=25,1,IF(HR_Data[[#This Row],[Age]]&lt;=35,2,IF(HR_Data[[#This Row],[Age]]&lt;=45,3,IF(HR_Data[[#This Row],[Age]]&lt;=55,4,5))))</f>
        <v>3</v>
      </c>
      <c r="AG360" s="1" t="str">
        <f>IF(HR_Data[[#This Row],[MonthlyIncome]]&lt;3000,"&lt;3K",IF(HR_Data[[#This Row],[MonthlyIncome]]&lt;6000,"3K-6K",IF(HR_Data[[#This Row],[MonthlyIncome]]&lt;10000,"6K-10K","10K+")))</f>
        <v>6K-10K</v>
      </c>
      <c r="AH360" s="1">
        <f>IF(HR_Data[[#This Row],[MonthlyIncome]]&lt;3000,1,IF(HR_Data[[#This Row],[MonthlyIncome]]&lt;6000,2,IF(HR_Data[[#This Row],[MonthlyIncome]]&lt;10000,3,4)))</f>
        <v>3</v>
      </c>
      <c r="AI360" s="1" t="str">
        <f>IF(HR_Data[[#This Row],[YearsAtCompany]]&lt;=2,"0-2 Yrs",IF(HR_Data[[#This Row],[YearsAtCompany]]&lt;=5,"3-5 Yrs",IF(HR_Data[[#This Row],[YearsAtCompany]]&lt;=10,"6-10 Yrs","10+ Yrs")))</f>
        <v>0-2 Yrs</v>
      </c>
      <c r="AJ360" s="1">
        <f>IF(HR_Data[[#This Row],[YearsAtCompany]]&lt;=2,1,IF(HR_Data[[#This Row],[YearsAtCompany]]&lt;=5,2,IF(HR_Data[[#This Row],[YearsAtCompany]]&lt;=10,3,4)))</f>
        <v>1</v>
      </c>
      <c r="AK360" s="1" t="str">
        <f>CHOOSE(HR_Data[[#This Row],[Education]],"Below College","College","Bachelor","Master","Doctor")</f>
        <v>Doctor</v>
      </c>
      <c r="AL360" s="1" t="str">
        <f>CHOOSE(HR_Data[[#This Row],[JobSatisfaction]],"Low","Medium","High","Very High")</f>
        <v>Very High</v>
      </c>
      <c r="AM360" s="1" t="str">
        <f>CHOOSE(HR_Data[[#This Row],[EnvironmentSatisfaction]],"Low","Medium","High","Very High")</f>
        <v>Very High</v>
      </c>
      <c r="AN360" s="1" t="str">
        <f>CHOOSE(HR_Data[[#This Row],[WorkLifeBalance]],"Bad","Good","Better","Best")</f>
        <v>Better</v>
      </c>
      <c r="AO360" s="1" t="str">
        <f>IF(HR_Data[[#This Row],[PercentSalaryHike]]&lt;=13,"11-13%",IF(HR_Data[[#This Row],[PercentSalaryHike]]&lt;=16,"14-16%",IF(HR_Data[[#This Row],[PercentSalaryHike]]&lt;=19,"17-19%","20-25%")))</f>
        <v>14-16%</v>
      </c>
      <c r="AP360" s="1">
        <f>IF(HR_Data[[#This Row],[PercentSalaryHike]]&lt;=13,1,IF(HR_Data[[#This Row],[PercentSalaryHike]]&lt;=16,2,IF(HR_Data[[#This Row],[PercentSalaryHike]]&lt;=19,3,4)))</f>
        <v>2</v>
      </c>
      <c r="AQ360" s="1" t="str">
        <f>IF(HR_Data[[#This Row],[DistanceFromHome]]&lt;=5,"1 to 5",IF(HR_Data[[#This Row],[DistanceFromHome]]&lt;=10,"6 to 10",IF(HR_Data[[#This Row],[DistanceFromHome]]&lt;=20,"11 to 20","21 to 29")))</f>
        <v>1 to 5</v>
      </c>
      <c r="AR360" s="1">
        <f>IF(HR_Data[[#This Row],[DistanceFromHome]]&lt;=5,1,IF(HR_Data[[#This Row],[DistanceFromHome]]&lt;=10,2,IF(HR_Data[[#This Row],[DistanceFromHome]]&lt;=20,3,4)))</f>
        <v>1</v>
      </c>
      <c r="AS360" s="1" t="str">
        <f>IF(HR_Data[[#This Row],[TotalWorkingYears]]&lt;=5,"0-5 Yrs",IF(HR_Data[[#This Row],[TotalWorkingYears]]&lt;=10,"6-10 Yrs",IF(HR_Data[[#This Row],[TotalWorkingYears]]&lt;=20,"11-20 Yrs","20+ Yrs")))</f>
        <v>6-10 Yrs</v>
      </c>
      <c r="AT360" s="1">
        <f>IF(HR_Data[[#This Row],[TotalWorkingYears]]&lt;=5,1,IF(HR_Data[[#This Row],[TotalWorkingYears]]&lt;=10,2,IF(HR_Data[[#This Row],[TotalWorkingYears]]&lt;=20,3,4)))</f>
        <v>2</v>
      </c>
    </row>
    <row r="361" spans="1:46" x14ac:dyDescent="0.25">
      <c r="A361">
        <v>36</v>
      </c>
      <c r="B361" t="s">
        <v>36</v>
      </c>
      <c r="C361" t="s">
        <v>37</v>
      </c>
      <c r="D361" t="s">
        <v>31</v>
      </c>
      <c r="E361">
        <v>3</v>
      </c>
      <c r="F361">
        <v>4</v>
      </c>
      <c r="G361" t="s">
        <v>44</v>
      </c>
      <c r="H361">
        <v>481</v>
      </c>
      <c r="I361">
        <v>1</v>
      </c>
      <c r="J361" t="s">
        <v>39</v>
      </c>
      <c r="K361">
        <v>2</v>
      </c>
      <c r="L361">
        <v>3</v>
      </c>
      <c r="M361" t="s">
        <v>34</v>
      </c>
      <c r="N361">
        <v>4</v>
      </c>
      <c r="O361" t="s">
        <v>41</v>
      </c>
      <c r="P361">
        <v>9699</v>
      </c>
      <c r="Q361">
        <v>4</v>
      </c>
      <c r="R361" t="s">
        <v>36</v>
      </c>
      <c r="S361">
        <v>11</v>
      </c>
      <c r="T361">
        <v>3</v>
      </c>
      <c r="U361">
        <v>1</v>
      </c>
      <c r="V361">
        <v>1</v>
      </c>
      <c r="W361">
        <v>16</v>
      </c>
      <c r="X361">
        <v>2</v>
      </c>
      <c r="Y361">
        <v>3</v>
      </c>
      <c r="Z361">
        <v>13</v>
      </c>
      <c r="AA361">
        <v>9</v>
      </c>
      <c r="AB361">
        <v>1</v>
      </c>
      <c r="AC361">
        <v>12</v>
      </c>
      <c r="AD361">
        <f>IF(HR_Data[[#This Row],[Attrition]]="Yes",1,0)</f>
        <v>0</v>
      </c>
      <c r="AE361" t="str">
        <f>IF(HR_Data[[#This Row],[Age]]&lt;=25,"18-25",IF(HR_Data[[#This Row],[Age]]&lt;=35,"26-35",IF(HR_Data[[#This Row],[Age]]&lt;=45,"36-45",IF(HR_Data[[#This Row],[Age]]&lt;=55,"46-55","55+"))))</f>
        <v>36-45</v>
      </c>
      <c r="AF361">
        <f>IF(HR_Data[[#This Row],[Age]]&lt;=25,1,IF(HR_Data[[#This Row],[Age]]&lt;=35,2,IF(HR_Data[[#This Row],[Age]]&lt;=45,3,IF(HR_Data[[#This Row],[Age]]&lt;=55,4,5))))</f>
        <v>3</v>
      </c>
      <c r="AG361" s="1" t="str">
        <f>IF(HR_Data[[#This Row],[MonthlyIncome]]&lt;3000,"&lt;3K",IF(HR_Data[[#This Row],[MonthlyIncome]]&lt;6000,"3K-6K",IF(HR_Data[[#This Row],[MonthlyIncome]]&lt;10000,"6K-10K","10K+")))</f>
        <v>6K-10K</v>
      </c>
      <c r="AH361" s="1">
        <f>IF(HR_Data[[#This Row],[MonthlyIncome]]&lt;3000,1,IF(HR_Data[[#This Row],[MonthlyIncome]]&lt;6000,2,IF(HR_Data[[#This Row],[MonthlyIncome]]&lt;10000,3,4)))</f>
        <v>3</v>
      </c>
      <c r="AI361" s="1" t="str">
        <f>IF(HR_Data[[#This Row],[YearsAtCompany]]&lt;=2,"0-2 Yrs",IF(HR_Data[[#This Row],[YearsAtCompany]]&lt;=5,"3-5 Yrs",IF(HR_Data[[#This Row],[YearsAtCompany]]&lt;=10,"6-10 Yrs","10+ Yrs")))</f>
        <v>10+ Yrs</v>
      </c>
      <c r="AJ361" s="1">
        <f>IF(HR_Data[[#This Row],[YearsAtCompany]]&lt;=2,1,IF(HR_Data[[#This Row],[YearsAtCompany]]&lt;=5,2,IF(HR_Data[[#This Row],[YearsAtCompany]]&lt;=10,3,4)))</f>
        <v>4</v>
      </c>
      <c r="AK361" s="1" t="str">
        <f>CHOOSE(HR_Data[[#This Row],[Education]],"Below College","College","Bachelor","Master","Doctor")</f>
        <v>Master</v>
      </c>
      <c r="AL361" s="1" t="str">
        <f>CHOOSE(HR_Data[[#This Row],[JobSatisfaction]],"Low","Medium","High","Very High")</f>
        <v>Very High</v>
      </c>
      <c r="AM361" s="1" t="str">
        <f>CHOOSE(HR_Data[[#This Row],[EnvironmentSatisfaction]],"Low","Medium","High","Very High")</f>
        <v>Low</v>
      </c>
      <c r="AN361" s="1" t="str">
        <f>CHOOSE(HR_Data[[#This Row],[WorkLifeBalance]],"Bad","Good","Better","Best")</f>
        <v>Better</v>
      </c>
      <c r="AO361" s="1" t="str">
        <f>IF(HR_Data[[#This Row],[PercentSalaryHike]]&lt;=13,"11-13%",IF(HR_Data[[#This Row],[PercentSalaryHike]]&lt;=16,"14-16%",IF(HR_Data[[#This Row],[PercentSalaryHike]]&lt;=19,"17-19%","20-25%")))</f>
        <v>11-13%</v>
      </c>
      <c r="AP361" s="1">
        <f>IF(HR_Data[[#This Row],[PercentSalaryHike]]&lt;=13,1,IF(HR_Data[[#This Row],[PercentSalaryHike]]&lt;=16,2,IF(HR_Data[[#This Row],[PercentSalaryHike]]&lt;=19,3,4)))</f>
        <v>1</v>
      </c>
      <c r="AQ361" s="1" t="str">
        <f>IF(HR_Data[[#This Row],[DistanceFromHome]]&lt;=5,"1 to 5",IF(HR_Data[[#This Row],[DistanceFromHome]]&lt;=10,"6 to 10",IF(HR_Data[[#This Row],[DistanceFromHome]]&lt;=20,"11 to 20","21 to 29")))</f>
        <v>1 to 5</v>
      </c>
      <c r="AR361" s="1">
        <f>IF(HR_Data[[#This Row],[DistanceFromHome]]&lt;=5,1,IF(HR_Data[[#This Row],[DistanceFromHome]]&lt;=10,2,IF(HR_Data[[#This Row],[DistanceFromHome]]&lt;=20,3,4)))</f>
        <v>1</v>
      </c>
      <c r="AS361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361" s="1">
        <f>IF(HR_Data[[#This Row],[TotalWorkingYears]]&lt;=5,1,IF(HR_Data[[#This Row],[TotalWorkingYears]]&lt;=10,2,IF(HR_Data[[#This Row],[TotalWorkingYears]]&lt;=20,3,4)))</f>
        <v>3</v>
      </c>
    </row>
    <row r="362" spans="1:46" x14ac:dyDescent="0.25">
      <c r="A362">
        <v>57</v>
      </c>
      <c r="B362" t="s">
        <v>36</v>
      </c>
      <c r="C362" t="s">
        <v>30</v>
      </c>
      <c r="D362" t="s">
        <v>38</v>
      </c>
      <c r="E362">
        <v>1</v>
      </c>
      <c r="F362">
        <v>4</v>
      </c>
      <c r="G362" t="s">
        <v>44</v>
      </c>
      <c r="H362">
        <v>482</v>
      </c>
      <c r="I362">
        <v>4</v>
      </c>
      <c r="J362" t="s">
        <v>39</v>
      </c>
      <c r="K362">
        <v>3</v>
      </c>
      <c r="L362">
        <v>2</v>
      </c>
      <c r="M362" t="s">
        <v>47</v>
      </c>
      <c r="N362">
        <v>3</v>
      </c>
      <c r="O362" t="s">
        <v>41</v>
      </c>
      <c r="P362">
        <v>6755</v>
      </c>
      <c r="Q362">
        <v>2</v>
      </c>
      <c r="R362" t="s">
        <v>36</v>
      </c>
      <c r="S362">
        <v>11</v>
      </c>
      <c r="T362">
        <v>3</v>
      </c>
      <c r="U362">
        <v>3</v>
      </c>
      <c r="V362">
        <v>0</v>
      </c>
      <c r="W362">
        <v>15</v>
      </c>
      <c r="X362">
        <v>2</v>
      </c>
      <c r="Y362">
        <v>3</v>
      </c>
      <c r="Z362">
        <v>3</v>
      </c>
      <c r="AA362">
        <v>2</v>
      </c>
      <c r="AB362">
        <v>1</v>
      </c>
      <c r="AC362">
        <v>2</v>
      </c>
      <c r="AD362">
        <f>IF(HR_Data[[#This Row],[Attrition]]="Yes",1,0)</f>
        <v>0</v>
      </c>
      <c r="AE362" t="str">
        <f>IF(HR_Data[[#This Row],[Age]]&lt;=25,"18-25",IF(HR_Data[[#This Row],[Age]]&lt;=35,"26-35",IF(HR_Data[[#This Row],[Age]]&lt;=45,"36-45",IF(HR_Data[[#This Row],[Age]]&lt;=55,"46-55","55+"))))</f>
        <v>55+</v>
      </c>
      <c r="AF362">
        <f>IF(HR_Data[[#This Row],[Age]]&lt;=25,1,IF(HR_Data[[#This Row],[Age]]&lt;=35,2,IF(HR_Data[[#This Row],[Age]]&lt;=45,3,IF(HR_Data[[#This Row],[Age]]&lt;=55,4,5))))</f>
        <v>5</v>
      </c>
      <c r="AG362" s="1" t="str">
        <f>IF(HR_Data[[#This Row],[MonthlyIncome]]&lt;3000,"&lt;3K",IF(HR_Data[[#This Row],[MonthlyIncome]]&lt;6000,"3K-6K",IF(HR_Data[[#This Row],[MonthlyIncome]]&lt;10000,"6K-10K","10K+")))</f>
        <v>6K-10K</v>
      </c>
      <c r="AH362" s="1">
        <f>IF(HR_Data[[#This Row],[MonthlyIncome]]&lt;3000,1,IF(HR_Data[[#This Row],[MonthlyIncome]]&lt;6000,2,IF(HR_Data[[#This Row],[MonthlyIncome]]&lt;10000,3,4)))</f>
        <v>3</v>
      </c>
      <c r="AI362" s="1" t="str">
        <f>IF(HR_Data[[#This Row],[YearsAtCompany]]&lt;=2,"0-2 Yrs",IF(HR_Data[[#This Row],[YearsAtCompany]]&lt;=5,"3-5 Yrs",IF(HR_Data[[#This Row],[YearsAtCompany]]&lt;=10,"6-10 Yrs","10+ Yrs")))</f>
        <v>3-5 Yrs</v>
      </c>
      <c r="AJ362" s="1">
        <f>IF(HR_Data[[#This Row],[YearsAtCompany]]&lt;=2,1,IF(HR_Data[[#This Row],[YearsAtCompany]]&lt;=5,2,IF(HR_Data[[#This Row],[YearsAtCompany]]&lt;=10,3,4)))</f>
        <v>2</v>
      </c>
      <c r="AK362" s="1" t="str">
        <f>CHOOSE(HR_Data[[#This Row],[Education]],"Below College","College","Bachelor","Master","Doctor")</f>
        <v>Master</v>
      </c>
      <c r="AL362" s="1" t="str">
        <f>CHOOSE(HR_Data[[#This Row],[JobSatisfaction]],"Low","Medium","High","Very High")</f>
        <v>High</v>
      </c>
      <c r="AM362" s="1" t="str">
        <f>CHOOSE(HR_Data[[#This Row],[EnvironmentSatisfaction]],"Low","Medium","High","Very High")</f>
        <v>Very High</v>
      </c>
      <c r="AN362" s="1" t="str">
        <f>CHOOSE(HR_Data[[#This Row],[WorkLifeBalance]],"Bad","Good","Better","Best")</f>
        <v>Better</v>
      </c>
      <c r="AO362" s="1" t="str">
        <f>IF(HR_Data[[#This Row],[PercentSalaryHike]]&lt;=13,"11-13%",IF(HR_Data[[#This Row],[PercentSalaryHike]]&lt;=16,"14-16%",IF(HR_Data[[#This Row],[PercentSalaryHike]]&lt;=19,"17-19%","20-25%")))</f>
        <v>11-13%</v>
      </c>
      <c r="AP362" s="1">
        <f>IF(HR_Data[[#This Row],[PercentSalaryHike]]&lt;=13,1,IF(HR_Data[[#This Row],[PercentSalaryHike]]&lt;=16,2,IF(HR_Data[[#This Row],[PercentSalaryHike]]&lt;=19,3,4)))</f>
        <v>1</v>
      </c>
      <c r="AQ362" s="1" t="str">
        <f>IF(HR_Data[[#This Row],[DistanceFromHome]]&lt;=5,"1 to 5",IF(HR_Data[[#This Row],[DistanceFromHome]]&lt;=10,"6 to 10",IF(HR_Data[[#This Row],[DistanceFromHome]]&lt;=20,"11 to 20","21 to 29")))</f>
        <v>1 to 5</v>
      </c>
      <c r="AR362" s="1">
        <f>IF(HR_Data[[#This Row],[DistanceFromHome]]&lt;=5,1,IF(HR_Data[[#This Row],[DistanceFromHome]]&lt;=10,2,IF(HR_Data[[#This Row],[DistanceFromHome]]&lt;=20,3,4)))</f>
        <v>1</v>
      </c>
      <c r="AS362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362" s="1">
        <f>IF(HR_Data[[#This Row],[TotalWorkingYears]]&lt;=5,1,IF(HR_Data[[#This Row],[TotalWorkingYears]]&lt;=10,2,IF(HR_Data[[#This Row],[TotalWorkingYears]]&lt;=20,3,4)))</f>
        <v>3</v>
      </c>
    </row>
    <row r="363" spans="1:46" x14ac:dyDescent="0.25">
      <c r="A363">
        <v>40</v>
      </c>
      <c r="B363" t="s">
        <v>36</v>
      </c>
      <c r="C363" t="s">
        <v>30</v>
      </c>
      <c r="D363" t="s">
        <v>38</v>
      </c>
      <c r="E363">
        <v>10</v>
      </c>
      <c r="F363">
        <v>4</v>
      </c>
      <c r="G363" t="s">
        <v>32</v>
      </c>
      <c r="H363">
        <v>483</v>
      </c>
      <c r="I363">
        <v>4</v>
      </c>
      <c r="J363" t="s">
        <v>33</v>
      </c>
      <c r="K363">
        <v>4</v>
      </c>
      <c r="L363">
        <v>1</v>
      </c>
      <c r="M363" t="s">
        <v>43</v>
      </c>
      <c r="N363">
        <v>3</v>
      </c>
      <c r="O363" t="s">
        <v>41</v>
      </c>
      <c r="P363">
        <v>2213</v>
      </c>
      <c r="Q363">
        <v>3</v>
      </c>
      <c r="R363" t="s">
        <v>29</v>
      </c>
      <c r="S363">
        <v>13</v>
      </c>
      <c r="T363">
        <v>3</v>
      </c>
      <c r="U363">
        <v>3</v>
      </c>
      <c r="V363">
        <v>1</v>
      </c>
      <c r="W363">
        <v>10</v>
      </c>
      <c r="X363">
        <v>3</v>
      </c>
      <c r="Y363">
        <v>3</v>
      </c>
      <c r="Z363">
        <v>7</v>
      </c>
      <c r="AA363">
        <v>7</v>
      </c>
      <c r="AB363">
        <v>1</v>
      </c>
      <c r="AC363">
        <v>7</v>
      </c>
      <c r="AD363">
        <f>IF(HR_Data[[#This Row],[Attrition]]="Yes",1,0)</f>
        <v>0</v>
      </c>
      <c r="AE363" t="str">
        <f>IF(HR_Data[[#This Row],[Age]]&lt;=25,"18-25",IF(HR_Data[[#This Row],[Age]]&lt;=35,"26-35",IF(HR_Data[[#This Row],[Age]]&lt;=45,"36-45",IF(HR_Data[[#This Row],[Age]]&lt;=55,"46-55","55+"))))</f>
        <v>36-45</v>
      </c>
      <c r="AF363">
        <f>IF(HR_Data[[#This Row],[Age]]&lt;=25,1,IF(HR_Data[[#This Row],[Age]]&lt;=35,2,IF(HR_Data[[#This Row],[Age]]&lt;=45,3,IF(HR_Data[[#This Row],[Age]]&lt;=55,4,5))))</f>
        <v>3</v>
      </c>
      <c r="AG363" s="1" t="str">
        <f>IF(HR_Data[[#This Row],[MonthlyIncome]]&lt;3000,"&lt;3K",IF(HR_Data[[#This Row],[MonthlyIncome]]&lt;6000,"3K-6K",IF(HR_Data[[#This Row],[MonthlyIncome]]&lt;10000,"6K-10K","10K+")))</f>
        <v>&lt;3K</v>
      </c>
      <c r="AH363" s="1">
        <f>IF(HR_Data[[#This Row],[MonthlyIncome]]&lt;3000,1,IF(HR_Data[[#This Row],[MonthlyIncome]]&lt;6000,2,IF(HR_Data[[#This Row],[MonthlyIncome]]&lt;10000,3,4)))</f>
        <v>1</v>
      </c>
      <c r="AI363" s="1" t="str">
        <f>IF(HR_Data[[#This Row],[YearsAtCompany]]&lt;=2,"0-2 Yrs",IF(HR_Data[[#This Row],[YearsAtCompany]]&lt;=5,"3-5 Yrs",IF(HR_Data[[#This Row],[YearsAtCompany]]&lt;=10,"6-10 Yrs","10+ Yrs")))</f>
        <v>6-10 Yrs</v>
      </c>
      <c r="AJ363" s="1">
        <f>IF(HR_Data[[#This Row],[YearsAtCompany]]&lt;=2,1,IF(HR_Data[[#This Row],[YearsAtCompany]]&lt;=5,2,IF(HR_Data[[#This Row],[YearsAtCompany]]&lt;=10,3,4)))</f>
        <v>3</v>
      </c>
      <c r="AK363" s="1" t="str">
        <f>CHOOSE(HR_Data[[#This Row],[Education]],"Below College","College","Bachelor","Master","Doctor")</f>
        <v>Master</v>
      </c>
      <c r="AL363" s="1" t="str">
        <f>CHOOSE(HR_Data[[#This Row],[JobSatisfaction]],"Low","Medium","High","Very High")</f>
        <v>High</v>
      </c>
      <c r="AM363" s="1" t="str">
        <f>CHOOSE(HR_Data[[#This Row],[EnvironmentSatisfaction]],"Low","Medium","High","Very High")</f>
        <v>Very High</v>
      </c>
      <c r="AN363" s="1" t="str">
        <f>CHOOSE(HR_Data[[#This Row],[WorkLifeBalance]],"Bad","Good","Better","Best")</f>
        <v>Better</v>
      </c>
      <c r="AO363" s="1" t="str">
        <f>IF(HR_Data[[#This Row],[PercentSalaryHike]]&lt;=13,"11-13%",IF(HR_Data[[#This Row],[PercentSalaryHike]]&lt;=16,"14-16%",IF(HR_Data[[#This Row],[PercentSalaryHike]]&lt;=19,"17-19%","20-25%")))</f>
        <v>11-13%</v>
      </c>
      <c r="AP363" s="1">
        <f>IF(HR_Data[[#This Row],[PercentSalaryHike]]&lt;=13,1,IF(HR_Data[[#This Row],[PercentSalaryHike]]&lt;=16,2,IF(HR_Data[[#This Row],[PercentSalaryHike]]&lt;=19,3,4)))</f>
        <v>1</v>
      </c>
      <c r="AQ363" s="1" t="str">
        <f>IF(HR_Data[[#This Row],[DistanceFromHome]]&lt;=5,"1 to 5",IF(HR_Data[[#This Row],[DistanceFromHome]]&lt;=10,"6 to 10",IF(HR_Data[[#This Row],[DistanceFromHome]]&lt;=20,"11 to 20","21 to 29")))</f>
        <v>6 to 10</v>
      </c>
      <c r="AR363" s="1">
        <f>IF(HR_Data[[#This Row],[DistanceFromHome]]&lt;=5,1,IF(HR_Data[[#This Row],[DistanceFromHome]]&lt;=10,2,IF(HR_Data[[#This Row],[DistanceFromHome]]&lt;=20,3,4)))</f>
        <v>2</v>
      </c>
      <c r="AS363" s="1" t="str">
        <f>IF(HR_Data[[#This Row],[TotalWorkingYears]]&lt;=5,"0-5 Yrs",IF(HR_Data[[#This Row],[TotalWorkingYears]]&lt;=10,"6-10 Yrs",IF(HR_Data[[#This Row],[TotalWorkingYears]]&lt;=20,"11-20 Yrs","20+ Yrs")))</f>
        <v>6-10 Yrs</v>
      </c>
      <c r="AT363" s="1">
        <f>IF(HR_Data[[#This Row],[TotalWorkingYears]]&lt;=5,1,IF(HR_Data[[#This Row],[TotalWorkingYears]]&lt;=10,2,IF(HR_Data[[#This Row],[TotalWorkingYears]]&lt;=20,3,4)))</f>
        <v>2</v>
      </c>
    </row>
    <row r="364" spans="1:46" x14ac:dyDescent="0.25">
      <c r="A364">
        <v>21</v>
      </c>
      <c r="B364" t="s">
        <v>36</v>
      </c>
      <c r="C364" t="s">
        <v>48</v>
      </c>
      <c r="D364" t="s">
        <v>31</v>
      </c>
      <c r="E364">
        <v>9</v>
      </c>
      <c r="F364">
        <v>2</v>
      </c>
      <c r="G364" t="s">
        <v>44</v>
      </c>
      <c r="H364">
        <v>484</v>
      </c>
      <c r="I364">
        <v>1</v>
      </c>
      <c r="J364" t="s">
        <v>39</v>
      </c>
      <c r="K364">
        <v>3</v>
      </c>
      <c r="L364">
        <v>1</v>
      </c>
      <c r="M364" t="s">
        <v>50</v>
      </c>
      <c r="N364">
        <v>4</v>
      </c>
      <c r="O364" t="s">
        <v>35</v>
      </c>
      <c r="P364">
        <v>2610</v>
      </c>
      <c r="Q364">
        <v>1</v>
      </c>
      <c r="R364" t="s">
        <v>36</v>
      </c>
      <c r="S364">
        <v>24</v>
      </c>
      <c r="T364">
        <v>4</v>
      </c>
      <c r="U364">
        <v>3</v>
      </c>
      <c r="V364">
        <v>0</v>
      </c>
      <c r="W364">
        <v>3</v>
      </c>
      <c r="X364">
        <v>3</v>
      </c>
      <c r="Y364">
        <v>2</v>
      </c>
      <c r="Z364">
        <v>3</v>
      </c>
      <c r="AA364">
        <v>2</v>
      </c>
      <c r="AB364">
        <v>2</v>
      </c>
      <c r="AC364">
        <v>2</v>
      </c>
      <c r="AD364">
        <f>IF(HR_Data[[#This Row],[Attrition]]="Yes",1,0)</f>
        <v>0</v>
      </c>
      <c r="AE364" t="str">
        <f>IF(HR_Data[[#This Row],[Age]]&lt;=25,"18-25",IF(HR_Data[[#This Row],[Age]]&lt;=35,"26-35",IF(HR_Data[[#This Row],[Age]]&lt;=45,"36-45",IF(HR_Data[[#This Row],[Age]]&lt;=55,"46-55","55+"))))</f>
        <v>18-25</v>
      </c>
      <c r="AF364">
        <f>IF(HR_Data[[#This Row],[Age]]&lt;=25,1,IF(HR_Data[[#This Row],[Age]]&lt;=35,2,IF(HR_Data[[#This Row],[Age]]&lt;=45,3,IF(HR_Data[[#This Row],[Age]]&lt;=55,4,5))))</f>
        <v>1</v>
      </c>
      <c r="AG364" s="1" t="str">
        <f>IF(HR_Data[[#This Row],[MonthlyIncome]]&lt;3000,"&lt;3K",IF(HR_Data[[#This Row],[MonthlyIncome]]&lt;6000,"3K-6K",IF(HR_Data[[#This Row],[MonthlyIncome]]&lt;10000,"6K-10K","10K+")))</f>
        <v>&lt;3K</v>
      </c>
      <c r="AH364" s="1">
        <f>IF(HR_Data[[#This Row],[MonthlyIncome]]&lt;3000,1,IF(HR_Data[[#This Row],[MonthlyIncome]]&lt;6000,2,IF(HR_Data[[#This Row],[MonthlyIncome]]&lt;10000,3,4)))</f>
        <v>1</v>
      </c>
      <c r="AI364" s="1" t="str">
        <f>IF(HR_Data[[#This Row],[YearsAtCompany]]&lt;=2,"0-2 Yrs",IF(HR_Data[[#This Row],[YearsAtCompany]]&lt;=5,"3-5 Yrs",IF(HR_Data[[#This Row],[YearsAtCompany]]&lt;=10,"6-10 Yrs","10+ Yrs")))</f>
        <v>3-5 Yrs</v>
      </c>
      <c r="AJ364" s="1">
        <f>IF(HR_Data[[#This Row],[YearsAtCompany]]&lt;=2,1,IF(HR_Data[[#This Row],[YearsAtCompany]]&lt;=5,2,IF(HR_Data[[#This Row],[YearsAtCompany]]&lt;=10,3,4)))</f>
        <v>2</v>
      </c>
      <c r="AK364" s="1" t="str">
        <f>CHOOSE(HR_Data[[#This Row],[Education]],"Below College","College","Bachelor","Master","Doctor")</f>
        <v>College</v>
      </c>
      <c r="AL364" s="1" t="str">
        <f>CHOOSE(HR_Data[[#This Row],[JobSatisfaction]],"Low","Medium","High","Very High")</f>
        <v>Very High</v>
      </c>
      <c r="AM364" s="1" t="str">
        <f>CHOOSE(HR_Data[[#This Row],[EnvironmentSatisfaction]],"Low","Medium","High","Very High")</f>
        <v>Low</v>
      </c>
      <c r="AN364" s="1" t="str">
        <f>CHOOSE(HR_Data[[#This Row],[WorkLifeBalance]],"Bad","Good","Better","Best")</f>
        <v>Good</v>
      </c>
      <c r="AO364" s="1" t="str">
        <f>IF(HR_Data[[#This Row],[PercentSalaryHike]]&lt;=13,"11-13%",IF(HR_Data[[#This Row],[PercentSalaryHike]]&lt;=16,"14-16%",IF(HR_Data[[#This Row],[PercentSalaryHike]]&lt;=19,"17-19%","20-25%")))</f>
        <v>20-25%</v>
      </c>
      <c r="AP364" s="1">
        <f>IF(HR_Data[[#This Row],[PercentSalaryHike]]&lt;=13,1,IF(HR_Data[[#This Row],[PercentSalaryHike]]&lt;=16,2,IF(HR_Data[[#This Row],[PercentSalaryHike]]&lt;=19,3,4)))</f>
        <v>4</v>
      </c>
      <c r="AQ364" s="1" t="str">
        <f>IF(HR_Data[[#This Row],[DistanceFromHome]]&lt;=5,"1 to 5",IF(HR_Data[[#This Row],[DistanceFromHome]]&lt;=10,"6 to 10",IF(HR_Data[[#This Row],[DistanceFromHome]]&lt;=20,"11 to 20","21 to 29")))</f>
        <v>6 to 10</v>
      </c>
      <c r="AR364" s="1">
        <f>IF(HR_Data[[#This Row],[DistanceFromHome]]&lt;=5,1,IF(HR_Data[[#This Row],[DistanceFromHome]]&lt;=10,2,IF(HR_Data[[#This Row],[DistanceFromHome]]&lt;=20,3,4)))</f>
        <v>2</v>
      </c>
      <c r="AS364" s="1" t="str">
        <f>IF(HR_Data[[#This Row],[TotalWorkingYears]]&lt;=5,"0-5 Yrs",IF(HR_Data[[#This Row],[TotalWorkingYears]]&lt;=10,"6-10 Yrs",IF(HR_Data[[#This Row],[TotalWorkingYears]]&lt;=20,"11-20 Yrs","20+ Yrs")))</f>
        <v>0-5 Yrs</v>
      </c>
      <c r="AT364" s="1">
        <f>IF(HR_Data[[#This Row],[TotalWorkingYears]]&lt;=5,1,IF(HR_Data[[#This Row],[TotalWorkingYears]]&lt;=10,2,IF(HR_Data[[#This Row],[TotalWorkingYears]]&lt;=20,3,4)))</f>
        <v>1</v>
      </c>
    </row>
    <row r="365" spans="1:46" x14ac:dyDescent="0.25">
      <c r="A365">
        <v>33</v>
      </c>
      <c r="B365" t="s">
        <v>29</v>
      </c>
      <c r="C365" t="s">
        <v>30</v>
      </c>
      <c r="D365" t="s">
        <v>31</v>
      </c>
      <c r="E365">
        <v>5</v>
      </c>
      <c r="F365">
        <v>3</v>
      </c>
      <c r="G365" t="s">
        <v>52</v>
      </c>
      <c r="H365">
        <v>485</v>
      </c>
      <c r="I365">
        <v>4</v>
      </c>
      <c r="J365" t="s">
        <v>33</v>
      </c>
      <c r="K365">
        <v>3</v>
      </c>
      <c r="L365">
        <v>1</v>
      </c>
      <c r="M365" t="s">
        <v>50</v>
      </c>
      <c r="N365">
        <v>3</v>
      </c>
      <c r="O365" t="s">
        <v>35</v>
      </c>
      <c r="P365">
        <v>2851</v>
      </c>
      <c r="Q365">
        <v>1</v>
      </c>
      <c r="R365" t="s">
        <v>29</v>
      </c>
      <c r="S365">
        <v>13</v>
      </c>
      <c r="T365">
        <v>3</v>
      </c>
      <c r="U365">
        <v>2</v>
      </c>
      <c r="V365">
        <v>0</v>
      </c>
      <c r="W365">
        <v>1</v>
      </c>
      <c r="X365">
        <v>2</v>
      </c>
      <c r="Y365">
        <v>3</v>
      </c>
      <c r="Z365">
        <v>1</v>
      </c>
      <c r="AA365">
        <v>0</v>
      </c>
      <c r="AB365">
        <v>0</v>
      </c>
      <c r="AC365">
        <v>0</v>
      </c>
      <c r="AD365">
        <f>IF(HR_Data[[#This Row],[Attrition]]="Yes",1,0)</f>
        <v>1</v>
      </c>
      <c r="AE365" t="str">
        <f>IF(HR_Data[[#This Row],[Age]]&lt;=25,"18-25",IF(HR_Data[[#This Row],[Age]]&lt;=35,"26-35",IF(HR_Data[[#This Row],[Age]]&lt;=45,"36-45",IF(HR_Data[[#This Row],[Age]]&lt;=55,"46-55","55+"))))</f>
        <v>26-35</v>
      </c>
      <c r="AF365">
        <f>IF(HR_Data[[#This Row],[Age]]&lt;=25,1,IF(HR_Data[[#This Row],[Age]]&lt;=35,2,IF(HR_Data[[#This Row],[Age]]&lt;=45,3,IF(HR_Data[[#This Row],[Age]]&lt;=55,4,5))))</f>
        <v>2</v>
      </c>
      <c r="AG365" s="1" t="str">
        <f>IF(HR_Data[[#This Row],[MonthlyIncome]]&lt;3000,"&lt;3K",IF(HR_Data[[#This Row],[MonthlyIncome]]&lt;6000,"3K-6K",IF(HR_Data[[#This Row],[MonthlyIncome]]&lt;10000,"6K-10K","10K+")))</f>
        <v>&lt;3K</v>
      </c>
      <c r="AH365" s="1">
        <f>IF(HR_Data[[#This Row],[MonthlyIncome]]&lt;3000,1,IF(HR_Data[[#This Row],[MonthlyIncome]]&lt;6000,2,IF(HR_Data[[#This Row],[MonthlyIncome]]&lt;10000,3,4)))</f>
        <v>1</v>
      </c>
      <c r="AI365" s="1" t="str">
        <f>IF(HR_Data[[#This Row],[YearsAtCompany]]&lt;=2,"0-2 Yrs",IF(HR_Data[[#This Row],[YearsAtCompany]]&lt;=5,"3-5 Yrs",IF(HR_Data[[#This Row],[YearsAtCompany]]&lt;=10,"6-10 Yrs","10+ Yrs")))</f>
        <v>0-2 Yrs</v>
      </c>
      <c r="AJ365" s="1">
        <f>IF(HR_Data[[#This Row],[YearsAtCompany]]&lt;=2,1,IF(HR_Data[[#This Row],[YearsAtCompany]]&lt;=5,2,IF(HR_Data[[#This Row],[YearsAtCompany]]&lt;=10,3,4)))</f>
        <v>1</v>
      </c>
      <c r="AK365" s="1" t="str">
        <f>CHOOSE(HR_Data[[#This Row],[Education]],"Below College","College","Bachelor","Master","Doctor")</f>
        <v>Bachelor</v>
      </c>
      <c r="AL365" s="1" t="str">
        <f>CHOOSE(HR_Data[[#This Row],[JobSatisfaction]],"Low","Medium","High","Very High")</f>
        <v>High</v>
      </c>
      <c r="AM365" s="1" t="str">
        <f>CHOOSE(HR_Data[[#This Row],[EnvironmentSatisfaction]],"Low","Medium","High","Very High")</f>
        <v>Very High</v>
      </c>
      <c r="AN365" s="1" t="str">
        <f>CHOOSE(HR_Data[[#This Row],[WorkLifeBalance]],"Bad","Good","Better","Best")</f>
        <v>Better</v>
      </c>
      <c r="AO365" s="1" t="str">
        <f>IF(HR_Data[[#This Row],[PercentSalaryHike]]&lt;=13,"11-13%",IF(HR_Data[[#This Row],[PercentSalaryHike]]&lt;=16,"14-16%",IF(HR_Data[[#This Row],[PercentSalaryHike]]&lt;=19,"17-19%","20-25%")))</f>
        <v>11-13%</v>
      </c>
      <c r="AP365" s="1">
        <f>IF(HR_Data[[#This Row],[PercentSalaryHike]]&lt;=13,1,IF(HR_Data[[#This Row],[PercentSalaryHike]]&lt;=16,2,IF(HR_Data[[#This Row],[PercentSalaryHike]]&lt;=19,3,4)))</f>
        <v>1</v>
      </c>
      <c r="AQ365" s="1" t="str">
        <f>IF(HR_Data[[#This Row],[DistanceFromHome]]&lt;=5,"1 to 5",IF(HR_Data[[#This Row],[DistanceFromHome]]&lt;=10,"6 to 10",IF(HR_Data[[#This Row],[DistanceFromHome]]&lt;=20,"11 to 20","21 to 29")))</f>
        <v>1 to 5</v>
      </c>
      <c r="AR365" s="1">
        <f>IF(HR_Data[[#This Row],[DistanceFromHome]]&lt;=5,1,IF(HR_Data[[#This Row],[DistanceFromHome]]&lt;=10,2,IF(HR_Data[[#This Row],[DistanceFromHome]]&lt;=20,3,4)))</f>
        <v>1</v>
      </c>
      <c r="AS365" s="1" t="str">
        <f>IF(HR_Data[[#This Row],[TotalWorkingYears]]&lt;=5,"0-5 Yrs",IF(HR_Data[[#This Row],[TotalWorkingYears]]&lt;=10,"6-10 Yrs",IF(HR_Data[[#This Row],[TotalWorkingYears]]&lt;=20,"11-20 Yrs","20+ Yrs")))</f>
        <v>0-5 Yrs</v>
      </c>
      <c r="AT365" s="1">
        <f>IF(HR_Data[[#This Row],[TotalWorkingYears]]&lt;=5,1,IF(HR_Data[[#This Row],[TotalWorkingYears]]&lt;=10,2,IF(HR_Data[[#This Row],[TotalWorkingYears]]&lt;=20,3,4)))</f>
        <v>1</v>
      </c>
    </row>
    <row r="366" spans="1:46" x14ac:dyDescent="0.25">
      <c r="A366">
        <v>37</v>
      </c>
      <c r="B366" t="s">
        <v>36</v>
      </c>
      <c r="C366" t="s">
        <v>30</v>
      </c>
      <c r="D366" t="s">
        <v>38</v>
      </c>
      <c r="E366">
        <v>10</v>
      </c>
      <c r="F366">
        <v>3</v>
      </c>
      <c r="G366" t="s">
        <v>44</v>
      </c>
      <c r="H366">
        <v>486</v>
      </c>
      <c r="I366">
        <v>3</v>
      </c>
      <c r="J366" t="s">
        <v>33</v>
      </c>
      <c r="K366">
        <v>3</v>
      </c>
      <c r="L366">
        <v>1</v>
      </c>
      <c r="M366" t="s">
        <v>43</v>
      </c>
      <c r="N366">
        <v>1</v>
      </c>
      <c r="O366" t="s">
        <v>41</v>
      </c>
      <c r="P366">
        <v>3452</v>
      </c>
      <c r="Q366">
        <v>6</v>
      </c>
      <c r="R366" t="s">
        <v>36</v>
      </c>
      <c r="S366">
        <v>20</v>
      </c>
      <c r="T366">
        <v>4</v>
      </c>
      <c r="U366">
        <v>2</v>
      </c>
      <c r="V366">
        <v>1</v>
      </c>
      <c r="W366">
        <v>17</v>
      </c>
      <c r="X366">
        <v>3</v>
      </c>
      <c r="Y366">
        <v>3</v>
      </c>
      <c r="Z366">
        <v>5</v>
      </c>
      <c r="AA366">
        <v>4</v>
      </c>
      <c r="AB366">
        <v>0</v>
      </c>
      <c r="AC366">
        <v>3</v>
      </c>
      <c r="AD366">
        <f>IF(HR_Data[[#This Row],[Attrition]]="Yes",1,0)</f>
        <v>0</v>
      </c>
      <c r="AE366" t="str">
        <f>IF(HR_Data[[#This Row],[Age]]&lt;=25,"18-25",IF(HR_Data[[#This Row],[Age]]&lt;=35,"26-35",IF(HR_Data[[#This Row],[Age]]&lt;=45,"36-45",IF(HR_Data[[#This Row],[Age]]&lt;=55,"46-55","55+"))))</f>
        <v>36-45</v>
      </c>
      <c r="AF366">
        <f>IF(HR_Data[[#This Row],[Age]]&lt;=25,1,IF(HR_Data[[#This Row],[Age]]&lt;=35,2,IF(HR_Data[[#This Row],[Age]]&lt;=45,3,IF(HR_Data[[#This Row],[Age]]&lt;=55,4,5))))</f>
        <v>3</v>
      </c>
      <c r="AG366" s="1" t="str">
        <f>IF(HR_Data[[#This Row],[MonthlyIncome]]&lt;3000,"&lt;3K",IF(HR_Data[[#This Row],[MonthlyIncome]]&lt;6000,"3K-6K",IF(HR_Data[[#This Row],[MonthlyIncome]]&lt;10000,"6K-10K","10K+")))</f>
        <v>3K-6K</v>
      </c>
      <c r="AH366" s="1">
        <f>IF(HR_Data[[#This Row],[MonthlyIncome]]&lt;3000,1,IF(HR_Data[[#This Row],[MonthlyIncome]]&lt;6000,2,IF(HR_Data[[#This Row],[MonthlyIncome]]&lt;10000,3,4)))</f>
        <v>2</v>
      </c>
      <c r="AI366" s="1" t="str">
        <f>IF(HR_Data[[#This Row],[YearsAtCompany]]&lt;=2,"0-2 Yrs",IF(HR_Data[[#This Row],[YearsAtCompany]]&lt;=5,"3-5 Yrs",IF(HR_Data[[#This Row],[YearsAtCompany]]&lt;=10,"6-10 Yrs","10+ Yrs")))</f>
        <v>3-5 Yrs</v>
      </c>
      <c r="AJ366" s="1">
        <f>IF(HR_Data[[#This Row],[YearsAtCompany]]&lt;=2,1,IF(HR_Data[[#This Row],[YearsAtCompany]]&lt;=5,2,IF(HR_Data[[#This Row],[YearsAtCompany]]&lt;=10,3,4)))</f>
        <v>2</v>
      </c>
      <c r="AK366" s="1" t="str">
        <f>CHOOSE(HR_Data[[#This Row],[Education]],"Below College","College","Bachelor","Master","Doctor")</f>
        <v>Bachelor</v>
      </c>
      <c r="AL366" s="1" t="str">
        <f>CHOOSE(HR_Data[[#This Row],[JobSatisfaction]],"Low","Medium","High","Very High")</f>
        <v>Low</v>
      </c>
      <c r="AM366" s="1" t="str">
        <f>CHOOSE(HR_Data[[#This Row],[EnvironmentSatisfaction]],"Low","Medium","High","Very High")</f>
        <v>High</v>
      </c>
      <c r="AN366" s="1" t="str">
        <f>CHOOSE(HR_Data[[#This Row],[WorkLifeBalance]],"Bad","Good","Better","Best")</f>
        <v>Better</v>
      </c>
      <c r="AO366" s="1" t="str">
        <f>IF(HR_Data[[#This Row],[PercentSalaryHike]]&lt;=13,"11-13%",IF(HR_Data[[#This Row],[PercentSalaryHike]]&lt;=16,"14-16%",IF(HR_Data[[#This Row],[PercentSalaryHike]]&lt;=19,"17-19%","20-25%")))</f>
        <v>20-25%</v>
      </c>
      <c r="AP366" s="1">
        <f>IF(HR_Data[[#This Row],[PercentSalaryHike]]&lt;=13,1,IF(HR_Data[[#This Row],[PercentSalaryHike]]&lt;=16,2,IF(HR_Data[[#This Row],[PercentSalaryHike]]&lt;=19,3,4)))</f>
        <v>4</v>
      </c>
      <c r="AQ366" s="1" t="str">
        <f>IF(HR_Data[[#This Row],[DistanceFromHome]]&lt;=5,"1 to 5",IF(HR_Data[[#This Row],[DistanceFromHome]]&lt;=10,"6 to 10",IF(HR_Data[[#This Row],[DistanceFromHome]]&lt;=20,"11 to 20","21 to 29")))</f>
        <v>6 to 10</v>
      </c>
      <c r="AR366" s="1">
        <f>IF(HR_Data[[#This Row],[DistanceFromHome]]&lt;=5,1,IF(HR_Data[[#This Row],[DistanceFromHome]]&lt;=10,2,IF(HR_Data[[#This Row],[DistanceFromHome]]&lt;=20,3,4)))</f>
        <v>2</v>
      </c>
      <c r="AS366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366" s="1">
        <f>IF(HR_Data[[#This Row],[TotalWorkingYears]]&lt;=5,1,IF(HR_Data[[#This Row],[TotalWorkingYears]]&lt;=10,2,IF(HR_Data[[#This Row],[TotalWorkingYears]]&lt;=20,3,4)))</f>
        <v>3</v>
      </c>
    </row>
    <row r="367" spans="1:46" x14ac:dyDescent="0.25">
      <c r="A367">
        <v>46</v>
      </c>
      <c r="B367" t="s">
        <v>36</v>
      </c>
      <c r="C367" t="s">
        <v>48</v>
      </c>
      <c r="D367" t="s">
        <v>38</v>
      </c>
      <c r="E367">
        <v>7</v>
      </c>
      <c r="F367">
        <v>4</v>
      </c>
      <c r="G367" t="s">
        <v>44</v>
      </c>
      <c r="H367">
        <v>487</v>
      </c>
      <c r="I367">
        <v>3</v>
      </c>
      <c r="J367" t="s">
        <v>33</v>
      </c>
      <c r="K367">
        <v>3</v>
      </c>
      <c r="L367">
        <v>2</v>
      </c>
      <c r="M367" t="s">
        <v>46</v>
      </c>
      <c r="N367">
        <v>3</v>
      </c>
      <c r="O367" t="s">
        <v>41</v>
      </c>
      <c r="P367">
        <v>5258</v>
      </c>
      <c r="Q367">
        <v>2</v>
      </c>
      <c r="R367" t="s">
        <v>36</v>
      </c>
      <c r="S367">
        <v>14</v>
      </c>
      <c r="T367">
        <v>3</v>
      </c>
      <c r="U367">
        <v>3</v>
      </c>
      <c r="V367">
        <v>0</v>
      </c>
      <c r="W367">
        <v>7</v>
      </c>
      <c r="X367">
        <v>2</v>
      </c>
      <c r="Y367">
        <v>4</v>
      </c>
      <c r="Z367">
        <v>1</v>
      </c>
      <c r="AA367">
        <v>0</v>
      </c>
      <c r="AB367">
        <v>0</v>
      </c>
      <c r="AC367">
        <v>0</v>
      </c>
      <c r="AD367">
        <f>IF(HR_Data[[#This Row],[Attrition]]="Yes",1,0)</f>
        <v>0</v>
      </c>
      <c r="AE367" t="str">
        <f>IF(HR_Data[[#This Row],[Age]]&lt;=25,"18-25",IF(HR_Data[[#This Row],[Age]]&lt;=35,"26-35",IF(HR_Data[[#This Row],[Age]]&lt;=45,"36-45",IF(HR_Data[[#This Row],[Age]]&lt;=55,"46-55","55+"))))</f>
        <v>46-55</v>
      </c>
      <c r="AF367">
        <f>IF(HR_Data[[#This Row],[Age]]&lt;=25,1,IF(HR_Data[[#This Row],[Age]]&lt;=35,2,IF(HR_Data[[#This Row],[Age]]&lt;=45,3,IF(HR_Data[[#This Row],[Age]]&lt;=55,4,5))))</f>
        <v>4</v>
      </c>
      <c r="AG367" s="1" t="str">
        <f>IF(HR_Data[[#This Row],[MonthlyIncome]]&lt;3000,"&lt;3K",IF(HR_Data[[#This Row],[MonthlyIncome]]&lt;6000,"3K-6K",IF(HR_Data[[#This Row],[MonthlyIncome]]&lt;10000,"6K-10K","10K+")))</f>
        <v>3K-6K</v>
      </c>
      <c r="AH367" s="1">
        <f>IF(HR_Data[[#This Row],[MonthlyIncome]]&lt;3000,1,IF(HR_Data[[#This Row],[MonthlyIncome]]&lt;6000,2,IF(HR_Data[[#This Row],[MonthlyIncome]]&lt;10000,3,4)))</f>
        <v>2</v>
      </c>
      <c r="AI367" s="1" t="str">
        <f>IF(HR_Data[[#This Row],[YearsAtCompany]]&lt;=2,"0-2 Yrs",IF(HR_Data[[#This Row],[YearsAtCompany]]&lt;=5,"3-5 Yrs",IF(HR_Data[[#This Row],[YearsAtCompany]]&lt;=10,"6-10 Yrs","10+ Yrs")))</f>
        <v>0-2 Yrs</v>
      </c>
      <c r="AJ367" s="1">
        <f>IF(HR_Data[[#This Row],[YearsAtCompany]]&lt;=2,1,IF(HR_Data[[#This Row],[YearsAtCompany]]&lt;=5,2,IF(HR_Data[[#This Row],[YearsAtCompany]]&lt;=10,3,4)))</f>
        <v>1</v>
      </c>
      <c r="AK367" s="1" t="str">
        <f>CHOOSE(HR_Data[[#This Row],[Education]],"Below College","College","Bachelor","Master","Doctor")</f>
        <v>Master</v>
      </c>
      <c r="AL367" s="1" t="str">
        <f>CHOOSE(HR_Data[[#This Row],[JobSatisfaction]],"Low","Medium","High","Very High")</f>
        <v>High</v>
      </c>
      <c r="AM367" s="1" t="str">
        <f>CHOOSE(HR_Data[[#This Row],[EnvironmentSatisfaction]],"Low","Medium","High","Very High")</f>
        <v>High</v>
      </c>
      <c r="AN367" s="1" t="str">
        <f>CHOOSE(HR_Data[[#This Row],[WorkLifeBalance]],"Bad","Good","Better","Best")</f>
        <v>Best</v>
      </c>
      <c r="AO367" s="1" t="str">
        <f>IF(HR_Data[[#This Row],[PercentSalaryHike]]&lt;=13,"11-13%",IF(HR_Data[[#This Row],[PercentSalaryHike]]&lt;=16,"14-16%",IF(HR_Data[[#This Row],[PercentSalaryHike]]&lt;=19,"17-19%","20-25%")))</f>
        <v>14-16%</v>
      </c>
      <c r="AP367" s="1">
        <f>IF(HR_Data[[#This Row],[PercentSalaryHike]]&lt;=13,1,IF(HR_Data[[#This Row],[PercentSalaryHike]]&lt;=16,2,IF(HR_Data[[#This Row],[PercentSalaryHike]]&lt;=19,3,4)))</f>
        <v>2</v>
      </c>
      <c r="AQ367" s="1" t="str">
        <f>IF(HR_Data[[#This Row],[DistanceFromHome]]&lt;=5,"1 to 5",IF(HR_Data[[#This Row],[DistanceFromHome]]&lt;=10,"6 to 10",IF(HR_Data[[#This Row],[DistanceFromHome]]&lt;=20,"11 to 20","21 to 29")))</f>
        <v>6 to 10</v>
      </c>
      <c r="AR367" s="1">
        <f>IF(HR_Data[[#This Row],[DistanceFromHome]]&lt;=5,1,IF(HR_Data[[#This Row],[DistanceFromHome]]&lt;=10,2,IF(HR_Data[[#This Row],[DistanceFromHome]]&lt;=20,3,4)))</f>
        <v>2</v>
      </c>
      <c r="AS367" s="1" t="str">
        <f>IF(HR_Data[[#This Row],[TotalWorkingYears]]&lt;=5,"0-5 Yrs",IF(HR_Data[[#This Row],[TotalWorkingYears]]&lt;=10,"6-10 Yrs",IF(HR_Data[[#This Row],[TotalWorkingYears]]&lt;=20,"11-20 Yrs","20+ Yrs")))</f>
        <v>6-10 Yrs</v>
      </c>
      <c r="AT367" s="1">
        <f>IF(HR_Data[[#This Row],[TotalWorkingYears]]&lt;=5,1,IF(HR_Data[[#This Row],[TotalWorkingYears]]&lt;=10,2,IF(HR_Data[[#This Row],[TotalWorkingYears]]&lt;=20,3,4)))</f>
        <v>2</v>
      </c>
    </row>
    <row r="368" spans="1:46" x14ac:dyDescent="0.25">
      <c r="A368">
        <v>41</v>
      </c>
      <c r="B368" t="s">
        <v>29</v>
      </c>
      <c r="C368" t="s">
        <v>37</v>
      </c>
      <c r="D368" t="s">
        <v>31</v>
      </c>
      <c r="E368">
        <v>4</v>
      </c>
      <c r="F368">
        <v>3</v>
      </c>
      <c r="G368" t="s">
        <v>52</v>
      </c>
      <c r="H368">
        <v>488</v>
      </c>
      <c r="I368">
        <v>1</v>
      </c>
      <c r="J368" t="s">
        <v>39</v>
      </c>
      <c r="K368">
        <v>3</v>
      </c>
      <c r="L368">
        <v>2</v>
      </c>
      <c r="M368" t="s">
        <v>34</v>
      </c>
      <c r="N368">
        <v>2</v>
      </c>
      <c r="O368" t="s">
        <v>35</v>
      </c>
      <c r="P368">
        <v>9355</v>
      </c>
      <c r="Q368">
        <v>1</v>
      </c>
      <c r="R368" t="s">
        <v>36</v>
      </c>
      <c r="S368">
        <v>18</v>
      </c>
      <c r="T368">
        <v>3</v>
      </c>
      <c r="U368">
        <v>3</v>
      </c>
      <c r="V368">
        <v>0</v>
      </c>
      <c r="W368">
        <v>8</v>
      </c>
      <c r="X368">
        <v>5</v>
      </c>
      <c r="Y368">
        <v>3</v>
      </c>
      <c r="Z368">
        <v>8</v>
      </c>
      <c r="AA368">
        <v>7</v>
      </c>
      <c r="AB368">
        <v>7</v>
      </c>
      <c r="AC368">
        <v>7</v>
      </c>
      <c r="AD368">
        <f>IF(HR_Data[[#This Row],[Attrition]]="Yes",1,0)</f>
        <v>1</v>
      </c>
      <c r="AE368" t="str">
        <f>IF(HR_Data[[#This Row],[Age]]&lt;=25,"18-25",IF(HR_Data[[#This Row],[Age]]&lt;=35,"26-35",IF(HR_Data[[#This Row],[Age]]&lt;=45,"36-45",IF(HR_Data[[#This Row],[Age]]&lt;=55,"46-55","55+"))))</f>
        <v>36-45</v>
      </c>
      <c r="AF368">
        <f>IF(HR_Data[[#This Row],[Age]]&lt;=25,1,IF(HR_Data[[#This Row],[Age]]&lt;=35,2,IF(HR_Data[[#This Row],[Age]]&lt;=45,3,IF(HR_Data[[#This Row],[Age]]&lt;=55,4,5))))</f>
        <v>3</v>
      </c>
      <c r="AG368" s="1" t="str">
        <f>IF(HR_Data[[#This Row],[MonthlyIncome]]&lt;3000,"&lt;3K",IF(HR_Data[[#This Row],[MonthlyIncome]]&lt;6000,"3K-6K",IF(HR_Data[[#This Row],[MonthlyIncome]]&lt;10000,"6K-10K","10K+")))</f>
        <v>6K-10K</v>
      </c>
      <c r="AH368" s="1">
        <f>IF(HR_Data[[#This Row],[MonthlyIncome]]&lt;3000,1,IF(HR_Data[[#This Row],[MonthlyIncome]]&lt;6000,2,IF(HR_Data[[#This Row],[MonthlyIncome]]&lt;10000,3,4)))</f>
        <v>3</v>
      </c>
      <c r="AI368" s="1" t="str">
        <f>IF(HR_Data[[#This Row],[YearsAtCompany]]&lt;=2,"0-2 Yrs",IF(HR_Data[[#This Row],[YearsAtCompany]]&lt;=5,"3-5 Yrs",IF(HR_Data[[#This Row],[YearsAtCompany]]&lt;=10,"6-10 Yrs","10+ Yrs")))</f>
        <v>6-10 Yrs</v>
      </c>
      <c r="AJ368" s="1">
        <f>IF(HR_Data[[#This Row],[YearsAtCompany]]&lt;=2,1,IF(HR_Data[[#This Row],[YearsAtCompany]]&lt;=5,2,IF(HR_Data[[#This Row],[YearsAtCompany]]&lt;=10,3,4)))</f>
        <v>3</v>
      </c>
      <c r="AK368" s="1" t="str">
        <f>CHOOSE(HR_Data[[#This Row],[Education]],"Below College","College","Bachelor","Master","Doctor")</f>
        <v>Bachelor</v>
      </c>
      <c r="AL368" s="1" t="str">
        <f>CHOOSE(HR_Data[[#This Row],[JobSatisfaction]],"Low","Medium","High","Very High")</f>
        <v>Medium</v>
      </c>
      <c r="AM368" s="1" t="str">
        <f>CHOOSE(HR_Data[[#This Row],[EnvironmentSatisfaction]],"Low","Medium","High","Very High")</f>
        <v>Low</v>
      </c>
      <c r="AN368" s="1" t="str">
        <f>CHOOSE(HR_Data[[#This Row],[WorkLifeBalance]],"Bad","Good","Better","Best")</f>
        <v>Better</v>
      </c>
      <c r="AO368" s="1" t="str">
        <f>IF(HR_Data[[#This Row],[PercentSalaryHike]]&lt;=13,"11-13%",IF(HR_Data[[#This Row],[PercentSalaryHike]]&lt;=16,"14-16%",IF(HR_Data[[#This Row],[PercentSalaryHike]]&lt;=19,"17-19%","20-25%")))</f>
        <v>17-19%</v>
      </c>
      <c r="AP368" s="1">
        <f>IF(HR_Data[[#This Row],[PercentSalaryHike]]&lt;=13,1,IF(HR_Data[[#This Row],[PercentSalaryHike]]&lt;=16,2,IF(HR_Data[[#This Row],[PercentSalaryHike]]&lt;=19,3,4)))</f>
        <v>3</v>
      </c>
      <c r="AQ368" s="1" t="str">
        <f>IF(HR_Data[[#This Row],[DistanceFromHome]]&lt;=5,"1 to 5",IF(HR_Data[[#This Row],[DistanceFromHome]]&lt;=10,"6 to 10",IF(HR_Data[[#This Row],[DistanceFromHome]]&lt;=20,"11 to 20","21 to 29")))</f>
        <v>1 to 5</v>
      </c>
      <c r="AR368" s="1">
        <f>IF(HR_Data[[#This Row],[DistanceFromHome]]&lt;=5,1,IF(HR_Data[[#This Row],[DistanceFromHome]]&lt;=10,2,IF(HR_Data[[#This Row],[DistanceFromHome]]&lt;=20,3,4)))</f>
        <v>1</v>
      </c>
      <c r="AS368" s="1" t="str">
        <f>IF(HR_Data[[#This Row],[TotalWorkingYears]]&lt;=5,"0-5 Yrs",IF(HR_Data[[#This Row],[TotalWorkingYears]]&lt;=10,"6-10 Yrs",IF(HR_Data[[#This Row],[TotalWorkingYears]]&lt;=20,"11-20 Yrs","20+ Yrs")))</f>
        <v>6-10 Yrs</v>
      </c>
      <c r="AT368" s="1">
        <f>IF(HR_Data[[#This Row],[TotalWorkingYears]]&lt;=5,1,IF(HR_Data[[#This Row],[TotalWorkingYears]]&lt;=10,2,IF(HR_Data[[#This Row],[TotalWorkingYears]]&lt;=20,3,4)))</f>
        <v>2</v>
      </c>
    </row>
    <row r="369" spans="1:46" x14ac:dyDescent="0.25">
      <c r="A369">
        <v>50</v>
      </c>
      <c r="B369" t="s">
        <v>36</v>
      </c>
      <c r="C369" t="s">
        <v>30</v>
      </c>
      <c r="D369" t="s">
        <v>38</v>
      </c>
      <c r="E369">
        <v>10</v>
      </c>
      <c r="F369">
        <v>3</v>
      </c>
      <c r="G369" t="s">
        <v>53</v>
      </c>
      <c r="H369">
        <v>491</v>
      </c>
      <c r="I369">
        <v>4</v>
      </c>
      <c r="J369" t="s">
        <v>39</v>
      </c>
      <c r="K369">
        <v>2</v>
      </c>
      <c r="L369">
        <v>3</v>
      </c>
      <c r="M369" t="s">
        <v>47</v>
      </c>
      <c r="N369">
        <v>4</v>
      </c>
      <c r="O369" t="s">
        <v>35</v>
      </c>
      <c r="P369">
        <v>10496</v>
      </c>
      <c r="Q369">
        <v>6</v>
      </c>
      <c r="R369" t="s">
        <v>36</v>
      </c>
      <c r="S369">
        <v>15</v>
      </c>
      <c r="T369">
        <v>3</v>
      </c>
      <c r="U369">
        <v>4</v>
      </c>
      <c r="V369">
        <v>0</v>
      </c>
      <c r="W369">
        <v>20</v>
      </c>
      <c r="X369">
        <v>2</v>
      </c>
      <c r="Y369">
        <v>3</v>
      </c>
      <c r="Z369">
        <v>4</v>
      </c>
      <c r="AA369">
        <v>3</v>
      </c>
      <c r="AB369">
        <v>1</v>
      </c>
      <c r="AC369">
        <v>3</v>
      </c>
      <c r="AD369">
        <f>IF(HR_Data[[#This Row],[Attrition]]="Yes",1,0)</f>
        <v>0</v>
      </c>
      <c r="AE369" t="str">
        <f>IF(HR_Data[[#This Row],[Age]]&lt;=25,"18-25",IF(HR_Data[[#This Row],[Age]]&lt;=35,"26-35",IF(HR_Data[[#This Row],[Age]]&lt;=45,"36-45",IF(HR_Data[[#This Row],[Age]]&lt;=55,"46-55","55+"))))</f>
        <v>46-55</v>
      </c>
      <c r="AF369">
        <f>IF(HR_Data[[#This Row],[Age]]&lt;=25,1,IF(HR_Data[[#This Row],[Age]]&lt;=35,2,IF(HR_Data[[#This Row],[Age]]&lt;=45,3,IF(HR_Data[[#This Row],[Age]]&lt;=55,4,5))))</f>
        <v>4</v>
      </c>
      <c r="AG369" s="1" t="str">
        <f>IF(HR_Data[[#This Row],[MonthlyIncome]]&lt;3000,"&lt;3K",IF(HR_Data[[#This Row],[MonthlyIncome]]&lt;6000,"3K-6K",IF(HR_Data[[#This Row],[MonthlyIncome]]&lt;10000,"6K-10K","10K+")))</f>
        <v>10K+</v>
      </c>
      <c r="AH369" s="1">
        <f>IF(HR_Data[[#This Row],[MonthlyIncome]]&lt;3000,1,IF(HR_Data[[#This Row],[MonthlyIncome]]&lt;6000,2,IF(HR_Data[[#This Row],[MonthlyIncome]]&lt;10000,3,4)))</f>
        <v>4</v>
      </c>
      <c r="AI369" s="1" t="str">
        <f>IF(HR_Data[[#This Row],[YearsAtCompany]]&lt;=2,"0-2 Yrs",IF(HR_Data[[#This Row],[YearsAtCompany]]&lt;=5,"3-5 Yrs",IF(HR_Data[[#This Row],[YearsAtCompany]]&lt;=10,"6-10 Yrs","10+ Yrs")))</f>
        <v>3-5 Yrs</v>
      </c>
      <c r="AJ369" s="1">
        <f>IF(HR_Data[[#This Row],[YearsAtCompany]]&lt;=2,1,IF(HR_Data[[#This Row],[YearsAtCompany]]&lt;=5,2,IF(HR_Data[[#This Row],[YearsAtCompany]]&lt;=10,3,4)))</f>
        <v>2</v>
      </c>
      <c r="AK369" s="1" t="str">
        <f>CHOOSE(HR_Data[[#This Row],[Education]],"Below College","College","Bachelor","Master","Doctor")</f>
        <v>Bachelor</v>
      </c>
      <c r="AL369" s="1" t="str">
        <f>CHOOSE(HR_Data[[#This Row],[JobSatisfaction]],"Low","Medium","High","Very High")</f>
        <v>Very High</v>
      </c>
      <c r="AM369" s="1" t="str">
        <f>CHOOSE(HR_Data[[#This Row],[EnvironmentSatisfaction]],"Low","Medium","High","Very High")</f>
        <v>Very High</v>
      </c>
      <c r="AN369" s="1" t="str">
        <f>CHOOSE(HR_Data[[#This Row],[WorkLifeBalance]],"Bad","Good","Better","Best")</f>
        <v>Better</v>
      </c>
      <c r="AO369" s="1" t="str">
        <f>IF(HR_Data[[#This Row],[PercentSalaryHike]]&lt;=13,"11-13%",IF(HR_Data[[#This Row],[PercentSalaryHike]]&lt;=16,"14-16%",IF(HR_Data[[#This Row],[PercentSalaryHike]]&lt;=19,"17-19%","20-25%")))</f>
        <v>14-16%</v>
      </c>
      <c r="AP369" s="1">
        <f>IF(HR_Data[[#This Row],[PercentSalaryHike]]&lt;=13,1,IF(HR_Data[[#This Row],[PercentSalaryHike]]&lt;=16,2,IF(HR_Data[[#This Row],[PercentSalaryHike]]&lt;=19,3,4)))</f>
        <v>2</v>
      </c>
      <c r="AQ369" s="1" t="str">
        <f>IF(HR_Data[[#This Row],[DistanceFromHome]]&lt;=5,"1 to 5",IF(HR_Data[[#This Row],[DistanceFromHome]]&lt;=10,"6 to 10",IF(HR_Data[[#This Row],[DistanceFromHome]]&lt;=20,"11 to 20","21 to 29")))</f>
        <v>6 to 10</v>
      </c>
      <c r="AR369" s="1">
        <f>IF(HR_Data[[#This Row],[DistanceFromHome]]&lt;=5,1,IF(HR_Data[[#This Row],[DistanceFromHome]]&lt;=10,2,IF(HR_Data[[#This Row],[DistanceFromHome]]&lt;=20,3,4)))</f>
        <v>2</v>
      </c>
      <c r="AS369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369" s="1">
        <f>IF(HR_Data[[#This Row],[TotalWorkingYears]]&lt;=5,1,IF(HR_Data[[#This Row],[TotalWorkingYears]]&lt;=10,2,IF(HR_Data[[#This Row],[TotalWorkingYears]]&lt;=20,3,4)))</f>
        <v>3</v>
      </c>
    </row>
    <row r="370" spans="1:46" x14ac:dyDescent="0.25">
      <c r="A370">
        <v>40</v>
      </c>
      <c r="B370" t="s">
        <v>29</v>
      </c>
      <c r="C370" t="s">
        <v>30</v>
      </c>
      <c r="D370" t="s">
        <v>31</v>
      </c>
      <c r="E370">
        <v>22</v>
      </c>
      <c r="F370">
        <v>2</v>
      </c>
      <c r="G370" t="s">
        <v>52</v>
      </c>
      <c r="H370">
        <v>492</v>
      </c>
      <c r="I370">
        <v>3</v>
      </c>
      <c r="J370" t="s">
        <v>39</v>
      </c>
      <c r="K370">
        <v>2</v>
      </c>
      <c r="L370">
        <v>2</v>
      </c>
      <c r="M370" t="s">
        <v>34</v>
      </c>
      <c r="N370">
        <v>3</v>
      </c>
      <c r="O370" t="s">
        <v>41</v>
      </c>
      <c r="P370">
        <v>6380</v>
      </c>
      <c r="Q370">
        <v>2</v>
      </c>
      <c r="R370" t="s">
        <v>29</v>
      </c>
      <c r="S370">
        <v>12</v>
      </c>
      <c r="T370">
        <v>3</v>
      </c>
      <c r="U370">
        <v>1</v>
      </c>
      <c r="V370">
        <v>2</v>
      </c>
      <c r="W370">
        <v>8</v>
      </c>
      <c r="X370">
        <v>6</v>
      </c>
      <c r="Y370">
        <v>3</v>
      </c>
      <c r="Z370">
        <v>6</v>
      </c>
      <c r="AA370">
        <v>4</v>
      </c>
      <c r="AB370">
        <v>1</v>
      </c>
      <c r="AC370">
        <v>0</v>
      </c>
      <c r="AD370">
        <f>IF(HR_Data[[#This Row],[Attrition]]="Yes",1,0)</f>
        <v>1</v>
      </c>
      <c r="AE370" t="str">
        <f>IF(HR_Data[[#This Row],[Age]]&lt;=25,"18-25",IF(HR_Data[[#This Row],[Age]]&lt;=35,"26-35",IF(HR_Data[[#This Row],[Age]]&lt;=45,"36-45",IF(HR_Data[[#This Row],[Age]]&lt;=55,"46-55","55+"))))</f>
        <v>36-45</v>
      </c>
      <c r="AF370">
        <f>IF(HR_Data[[#This Row],[Age]]&lt;=25,1,IF(HR_Data[[#This Row],[Age]]&lt;=35,2,IF(HR_Data[[#This Row],[Age]]&lt;=45,3,IF(HR_Data[[#This Row],[Age]]&lt;=55,4,5))))</f>
        <v>3</v>
      </c>
      <c r="AG370" s="1" t="str">
        <f>IF(HR_Data[[#This Row],[MonthlyIncome]]&lt;3000,"&lt;3K",IF(HR_Data[[#This Row],[MonthlyIncome]]&lt;6000,"3K-6K",IF(HR_Data[[#This Row],[MonthlyIncome]]&lt;10000,"6K-10K","10K+")))</f>
        <v>6K-10K</v>
      </c>
      <c r="AH370" s="1">
        <f>IF(HR_Data[[#This Row],[MonthlyIncome]]&lt;3000,1,IF(HR_Data[[#This Row],[MonthlyIncome]]&lt;6000,2,IF(HR_Data[[#This Row],[MonthlyIncome]]&lt;10000,3,4)))</f>
        <v>3</v>
      </c>
      <c r="AI370" s="1" t="str">
        <f>IF(HR_Data[[#This Row],[YearsAtCompany]]&lt;=2,"0-2 Yrs",IF(HR_Data[[#This Row],[YearsAtCompany]]&lt;=5,"3-5 Yrs",IF(HR_Data[[#This Row],[YearsAtCompany]]&lt;=10,"6-10 Yrs","10+ Yrs")))</f>
        <v>6-10 Yrs</v>
      </c>
      <c r="AJ370" s="1">
        <f>IF(HR_Data[[#This Row],[YearsAtCompany]]&lt;=2,1,IF(HR_Data[[#This Row],[YearsAtCompany]]&lt;=5,2,IF(HR_Data[[#This Row],[YearsAtCompany]]&lt;=10,3,4)))</f>
        <v>3</v>
      </c>
      <c r="AK370" s="1" t="str">
        <f>CHOOSE(HR_Data[[#This Row],[Education]],"Below College","College","Bachelor","Master","Doctor")</f>
        <v>College</v>
      </c>
      <c r="AL370" s="1" t="str">
        <f>CHOOSE(HR_Data[[#This Row],[JobSatisfaction]],"Low","Medium","High","Very High")</f>
        <v>High</v>
      </c>
      <c r="AM370" s="1" t="str">
        <f>CHOOSE(HR_Data[[#This Row],[EnvironmentSatisfaction]],"Low","Medium","High","Very High")</f>
        <v>High</v>
      </c>
      <c r="AN370" s="1" t="str">
        <f>CHOOSE(HR_Data[[#This Row],[WorkLifeBalance]],"Bad","Good","Better","Best")</f>
        <v>Better</v>
      </c>
      <c r="AO370" s="1" t="str">
        <f>IF(HR_Data[[#This Row],[PercentSalaryHike]]&lt;=13,"11-13%",IF(HR_Data[[#This Row],[PercentSalaryHike]]&lt;=16,"14-16%",IF(HR_Data[[#This Row],[PercentSalaryHike]]&lt;=19,"17-19%","20-25%")))</f>
        <v>11-13%</v>
      </c>
      <c r="AP370" s="1">
        <f>IF(HR_Data[[#This Row],[PercentSalaryHike]]&lt;=13,1,IF(HR_Data[[#This Row],[PercentSalaryHike]]&lt;=16,2,IF(HR_Data[[#This Row],[PercentSalaryHike]]&lt;=19,3,4)))</f>
        <v>1</v>
      </c>
      <c r="AQ370" s="1" t="str">
        <f>IF(HR_Data[[#This Row],[DistanceFromHome]]&lt;=5,"1 to 5",IF(HR_Data[[#This Row],[DistanceFromHome]]&lt;=10,"6 to 10",IF(HR_Data[[#This Row],[DistanceFromHome]]&lt;=20,"11 to 20","21 to 29")))</f>
        <v>21 to 29</v>
      </c>
      <c r="AR370" s="1">
        <f>IF(HR_Data[[#This Row],[DistanceFromHome]]&lt;=5,1,IF(HR_Data[[#This Row],[DistanceFromHome]]&lt;=10,2,IF(HR_Data[[#This Row],[DistanceFromHome]]&lt;=20,3,4)))</f>
        <v>4</v>
      </c>
      <c r="AS370" s="1" t="str">
        <f>IF(HR_Data[[#This Row],[TotalWorkingYears]]&lt;=5,"0-5 Yrs",IF(HR_Data[[#This Row],[TotalWorkingYears]]&lt;=10,"6-10 Yrs",IF(HR_Data[[#This Row],[TotalWorkingYears]]&lt;=20,"11-20 Yrs","20+ Yrs")))</f>
        <v>6-10 Yrs</v>
      </c>
      <c r="AT370" s="1">
        <f>IF(HR_Data[[#This Row],[TotalWorkingYears]]&lt;=5,1,IF(HR_Data[[#This Row],[TotalWorkingYears]]&lt;=10,2,IF(HR_Data[[#This Row],[TotalWorkingYears]]&lt;=20,3,4)))</f>
        <v>2</v>
      </c>
    </row>
    <row r="371" spans="1:46" x14ac:dyDescent="0.25">
      <c r="A371">
        <v>31</v>
      </c>
      <c r="B371" t="s">
        <v>36</v>
      </c>
      <c r="C371" t="s">
        <v>30</v>
      </c>
      <c r="D371" t="s">
        <v>38</v>
      </c>
      <c r="E371">
        <v>9</v>
      </c>
      <c r="F371">
        <v>4</v>
      </c>
      <c r="G371" t="s">
        <v>32</v>
      </c>
      <c r="H371">
        <v>493</v>
      </c>
      <c r="I371">
        <v>3</v>
      </c>
      <c r="J371" t="s">
        <v>39</v>
      </c>
      <c r="K371">
        <v>2</v>
      </c>
      <c r="L371">
        <v>1</v>
      </c>
      <c r="M371" t="s">
        <v>40</v>
      </c>
      <c r="N371">
        <v>2</v>
      </c>
      <c r="O371" t="s">
        <v>35</v>
      </c>
      <c r="P371">
        <v>2657</v>
      </c>
      <c r="Q371">
        <v>0</v>
      </c>
      <c r="R371" t="s">
        <v>29</v>
      </c>
      <c r="S371">
        <v>16</v>
      </c>
      <c r="T371">
        <v>3</v>
      </c>
      <c r="U371">
        <v>4</v>
      </c>
      <c r="V371">
        <v>0</v>
      </c>
      <c r="W371">
        <v>3</v>
      </c>
      <c r="X371">
        <v>5</v>
      </c>
      <c r="Y371">
        <v>3</v>
      </c>
      <c r="Z371">
        <v>2</v>
      </c>
      <c r="AA371">
        <v>2</v>
      </c>
      <c r="AB371">
        <v>2</v>
      </c>
      <c r="AC371">
        <v>2</v>
      </c>
      <c r="AD371">
        <f>IF(HR_Data[[#This Row],[Attrition]]="Yes",1,0)</f>
        <v>0</v>
      </c>
      <c r="AE371" t="str">
        <f>IF(HR_Data[[#This Row],[Age]]&lt;=25,"18-25",IF(HR_Data[[#This Row],[Age]]&lt;=35,"26-35",IF(HR_Data[[#This Row],[Age]]&lt;=45,"36-45",IF(HR_Data[[#This Row],[Age]]&lt;=55,"46-55","55+"))))</f>
        <v>26-35</v>
      </c>
      <c r="AF371">
        <f>IF(HR_Data[[#This Row],[Age]]&lt;=25,1,IF(HR_Data[[#This Row],[Age]]&lt;=35,2,IF(HR_Data[[#This Row],[Age]]&lt;=45,3,IF(HR_Data[[#This Row],[Age]]&lt;=55,4,5))))</f>
        <v>2</v>
      </c>
      <c r="AG371" s="1" t="str">
        <f>IF(HR_Data[[#This Row],[MonthlyIncome]]&lt;3000,"&lt;3K",IF(HR_Data[[#This Row],[MonthlyIncome]]&lt;6000,"3K-6K",IF(HR_Data[[#This Row],[MonthlyIncome]]&lt;10000,"6K-10K","10K+")))</f>
        <v>&lt;3K</v>
      </c>
      <c r="AH371" s="1">
        <f>IF(HR_Data[[#This Row],[MonthlyIncome]]&lt;3000,1,IF(HR_Data[[#This Row],[MonthlyIncome]]&lt;6000,2,IF(HR_Data[[#This Row],[MonthlyIncome]]&lt;10000,3,4)))</f>
        <v>1</v>
      </c>
      <c r="AI371" s="1" t="str">
        <f>IF(HR_Data[[#This Row],[YearsAtCompany]]&lt;=2,"0-2 Yrs",IF(HR_Data[[#This Row],[YearsAtCompany]]&lt;=5,"3-5 Yrs",IF(HR_Data[[#This Row],[YearsAtCompany]]&lt;=10,"6-10 Yrs","10+ Yrs")))</f>
        <v>0-2 Yrs</v>
      </c>
      <c r="AJ371" s="1">
        <f>IF(HR_Data[[#This Row],[YearsAtCompany]]&lt;=2,1,IF(HR_Data[[#This Row],[YearsAtCompany]]&lt;=5,2,IF(HR_Data[[#This Row],[YearsAtCompany]]&lt;=10,3,4)))</f>
        <v>1</v>
      </c>
      <c r="AK371" s="1" t="str">
        <f>CHOOSE(HR_Data[[#This Row],[Education]],"Below College","College","Bachelor","Master","Doctor")</f>
        <v>Master</v>
      </c>
      <c r="AL371" s="1" t="str">
        <f>CHOOSE(HR_Data[[#This Row],[JobSatisfaction]],"Low","Medium","High","Very High")</f>
        <v>Medium</v>
      </c>
      <c r="AM371" s="1" t="str">
        <f>CHOOSE(HR_Data[[#This Row],[EnvironmentSatisfaction]],"Low","Medium","High","Very High")</f>
        <v>High</v>
      </c>
      <c r="AN371" s="1" t="str">
        <f>CHOOSE(HR_Data[[#This Row],[WorkLifeBalance]],"Bad","Good","Better","Best")</f>
        <v>Better</v>
      </c>
      <c r="AO371" s="1" t="str">
        <f>IF(HR_Data[[#This Row],[PercentSalaryHike]]&lt;=13,"11-13%",IF(HR_Data[[#This Row],[PercentSalaryHike]]&lt;=16,"14-16%",IF(HR_Data[[#This Row],[PercentSalaryHike]]&lt;=19,"17-19%","20-25%")))</f>
        <v>14-16%</v>
      </c>
      <c r="AP371" s="1">
        <f>IF(HR_Data[[#This Row],[PercentSalaryHike]]&lt;=13,1,IF(HR_Data[[#This Row],[PercentSalaryHike]]&lt;=16,2,IF(HR_Data[[#This Row],[PercentSalaryHike]]&lt;=19,3,4)))</f>
        <v>2</v>
      </c>
      <c r="AQ371" s="1" t="str">
        <f>IF(HR_Data[[#This Row],[DistanceFromHome]]&lt;=5,"1 to 5",IF(HR_Data[[#This Row],[DistanceFromHome]]&lt;=10,"6 to 10",IF(HR_Data[[#This Row],[DistanceFromHome]]&lt;=20,"11 to 20","21 to 29")))</f>
        <v>6 to 10</v>
      </c>
      <c r="AR371" s="1">
        <f>IF(HR_Data[[#This Row],[DistanceFromHome]]&lt;=5,1,IF(HR_Data[[#This Row],[DistanceFromHome]]&lt;=10,2,IF(HR_Data[[#This Row],[DistanceFromHome]]&lt;=20,3,4)))</f>
        <v>2</v>
      </c>
      <c r="AS371" s="1" t="str">
        <f>IF(HR_Data[[#This Row],[TotalWorkingYears]]&lt;=5,"0-5 Yrs",IF(HR_Data[[#This Row],[TotalWorkingYears]]&lt;=10,"6-10 Yrs",IF(HR_Data[[#This Row],[TotalWorkingYears]]&lt;=20,"11-20 Yrs","20+ Yrs")))</f>
        <v>0-5 Yrs</v>
      </c>
      <c r="AT371" s="1">
        <f>IF(HR_Data[[#This Row],[TotalWorkingYears]]&lt;=5,1,IF(HR_Data[[#This Row],[TotalWorkingYears]]&lt;=10,2,IF(HR_Data[[#This Row],[TotalWorkingYears]]&lt;=20,3,4)))</f>
        <v>1</v>
      </c>
    </row>
    <row r="372" spans="1:46" x14ac:dyDescent="0.25">
      <c r="A372">
        <v>21</v>
      </c>
      <c r="B372" t="s">
        <v>29</v>
      </c>
      <c r="C372" t="s">
        <v>30</v>
      </c>
      <c r="D372" t="s">
        <v>31</v>
      </c>
      <c r="E372">
        <v>12</v>
      </c>
      <c r="F372">
        <v>3</v>
      </c>
      <c r="G372" t="s">
        <v>32</v>
      </c>
      <c r="H372">
        <v>494</v>
      </c>
      <c r="I372">
        <v>3</v>
      </c>
      <c r="J372" t="s">
        <v>33</v>
      </c>
      <c r="K372">
        <v>4</v>
      </c>
      <c r="L372">
        <v>1</v>
      </c>
      <c r="M372" t="s">
        <v>50</v>
      </c>
      <c r="N372">
        <v>2</v>
      </c>
      <c r="O372" t="s">
        <v>35</v>
      </c>
      <c r="P372">
        <v>2716</v>
      </c>
      <c r="Q372">
        <v>1</v>
      </c>
      <c r="R372" t="s">
        <v>36</v>
      </c>
      <c r="S372">
        <v>15</v>
      </c>
      <c r="T372">
        <v>3</v>
      </c>
      <c r="U372">
        <v>4</v>
      </c>
      <c r="V372">
        <v>0</v>
      </c>
      <c r="W372">
        <v>1</v>
      </c>
      <c r="X372">
        <v>0</v>
      </c>
      <c r="Y372">
        <v>3</v>
      </c>
      <c r="Z372">
        <v>1</v>
      </c>
      <c r="AA372">
        <v>0</v>
      </c>
      <c r="AB372">
        <v>0</v>
      </c>
      <c r="AC372">
        <v>0</v>
      </c>
      <c r="AD372">
        <f>IF(HR_Data[[#This Row],[Attrition]]="Yes",1,0)</f>
        <v>1</v>
      </c>
      <c r="AE372" t="str">
        <f>IF(HR_Data[[#This Row],[Age]]&lt;=25,"18-25",IF(HR_Data[[#This Row],[Age]]&lt;=35,"26-35",IF(HR_Data[[#This Row],[Age]]&lt;=45,"36-45",IF(HR_Data[[#This Row],[Age]]&lt;=55,"46-55","55+"))))</f>
        <v>18-25</v>
      </c>
      <c r="AF372">
        <f>IF(HR_Data[[#This Row],[Age]]&lt;=25,1,IF(HR_Data[[#This Row],[Age]]&lt;=35,2,IF(HR_Data[[#This Row],[Age]]&lt;=45,3,IF(HR_Data[[#This Row],[Age]]&lt;=55,4,5))))</f>
        <v>1</v>
      </c>
      <c r="AG372" s="1" t="str">
        <f>IF(HR_Data[[#This Row],[MonthlyIncome]]&lt;3000,"&lt;3K",IF(HR_Data[[#This Row],[MonthlyIncome]]&lt;6000,"3K-6K",IF(HR_Data[[#This Row],[MonthlyIncome]]&lt;10000,"6K-10K","10K+")))</f>
        <v>&lt;3K</v>
      </c>
      <c r="AH372" s="1">
        <f>IF(HR_Data[[#This Row],[MonthlyIncome]]&lt;3000,1,IF(HR_Data[[#This Row],[MonthlyIncome]]&lt;6000,2,IF(HR_Data[[#This Row],[MonthlyIncome]]&lt;10000,3,4)))</f>
        <v>1</v>
      </c>
      <c r="AI372" s="1" t="str">
        <f>IF(HR_Data[[#This Row],[YearsAtCompany]]&lt;=2,"0-2 Yrs",IF(HR_Data[[#This Row],[YearsAtCompany]]&lt;=5,"3-5 Yrs",IF(HR_Data[[#This Row],[YearsAtCompany]]&lt;=10,"6-10 Yrs","10+ Yrs")))</f>
        <v>0-2 Yrs</v>
      </c>
      <c r="AJ372" s="1">
        <f>IF(HR_Data[[#This Row],[YearsAtCompany]]&lt;=2,1,IF(HR_Data[[#This Row],[YearsAtCompany]]&lt;=5,2,IF(HR_Data[[#This Row],[YearsAtCompany]]&lt;=10,3,4)))</f>
        <v>1</v>
      </c>
      <c r="AK372" s="1" t="str">
        <f>CHOOSE(HR_Data[[#This Row],[Education]],"Below College","College","Bachelor","Master","Doctor")</f>
        <v>Bachelor</v>
      </c>
      <c r="AL372" s="1" t="str">
        <f>CHOOSE(HR_Data[[#This Row],[JobSatisfaction]],"Low","Medium","High","Very High")</f>
        <v>Medium</v>
      </c>
      <c r="AM372" s="1" t="str">
        <f>CHOOSE(HR_Data[[#This Row],[EnvironmentSatisfaction]],"Low","Medium","High","Very High")</f>
        <v>High</v>
      </c>
      <c r="AN372" s="1" t="str">
        <f>CHOOSE(HR_Data[[#This Row],[WorkLifeBalance]],"Bad","Good","Better","Best")</f>
        <v>Better</v>
      </c>
      <c r="AO372" s="1" t="str">
        <f>IF(HR_Data[[#This Row],[PercentSalaryHike]]&lt;=13,"11-13%",IF(HR_Data[[#This Row],[PercentSalaryHike]]&lt;=16,"14-16%",IF(HR_Data[[#This Row],[PercentSalaryHike]]&lt;=19,"17-19%","20-25%")))</f>
        <v>14-16%</v>
      </c>
      <c r="AP372" s="1">
        <f>IF(HR_Data[[#This Row],[PercentSalaryHike]]&lt;=13,1,IF(HR_Data[[#This Row],[PercentSalaryHike]]&lt;=16,2,IF(HR_Data[[#This Row],[PercentSalaryHike]]&lt;=19,3,4)))</f>
        <v>2</v>
      </c>
      <c r="AQ372" s="1" t="str">
        <f>IF(HR_Data[[#This Row],[DistanceFromHome]]&lt;=5,"1 to 5",IF(HR_Data[[#This Row],[DistanceFromHome]]&lt;=10,"6 to 10",IF(HR_Data[[#This Row],[DistanceFromHome]]&lt;=20,"11 to 20","21 to 29")))</f>
        <v>11 to 20</v>
      </c>
      <c r="AR372" s="1">
        <f>IF(HR_Data[[#This Row],[DistanceFromHome]]&lt;=5,1,IF(HR_Data[[#This Row],[DistanceFromHome]]&lt;=10,2,IF(HR_Data[[#This Row],[DistanceFromHome]]&lt;=20,3,4)))</f>
        <v>3</v>
      </c>
      <c r="AS372" s="1" t="str">
        <f>IF(HR_Data[[#This Row],[TotalWorkingYears]]&lt;=5,"0-5 Yrs",IF(HR_Data[[#This Row],[TotalWorkingYears]]&lt;=10,"6-10 Yrs",IF(HR_Data[[#This Row],[TotalWorkingYears]]&lt;=20,"11-20 Yrs","20+ Yrs")))</f>
        <v>0-5 Yrs</v>
      </c>
      <c r="AT372" s="1">
        <f>IF(HR_Data[[#This Row],[TotalWorkingYears]]&lt;=5,1,IF(HR_Data[[#This Row],[TotalWorkingYears]]&lt;=10,2,IF(HR_Data[[#This Row],[TotalWorkingYears]]&lt;=20,3,4)))</f>
        <v>1</v>
      </c>
    </row>
    <row r="373" spans="1:46" x14ac:dyDescent="0.25">
      <c r="A373">
        <v>29</v>
      </c>
      <c r="B373" t="s">
        <v>36</v>
      </c>
      <c r="C373" t="s">
        <v>30</v>
      </c>
      <c r="D373" t="s">
        <v>38</v>
      </c>
      <c r="E373">
        <v>23</v>
      </c>
      <c r="F373">
        <v>3</v>
      </c>
      <c r="G373" t="s">
        <v>32</v>
      </c>
      <c r="H373">
        <v>495</v>
      </c>
      <c r="I373">
        <v>4</v>
      </c>
      <c r="J373" t="s">
        <v>39</v>
      </c>
      <c r="K373">
        <v>3</v>
      </c>
      <c r="L373">
        <v>1</v>
      </c>
      <c r="M373" t="s">
        <v>40</v>
      </c>
      <c r="N373">
        <v>4</v>
      </c>
      <c r="O373" t="s">
        <v>35</v>
      </c>
      <c r="P373">
        <v>2201</v>
      </c>
      <c r="Q373">
        <v>9</v>
      </c>
      <c r="R373" t="s">
        <v>36</v>
      </c>
      <c r="S373">
        <v>16</v>
      </c>
      <c r="T373">
        <v>3</v>
      </c>
      <c r="U373">
        <v>4</v>
      </c>
      <c r="V373">
        <v>0</v>
      </c>
      <c r="W373">
        <v>6</v>
      </c>
      <c r="X373">
        <v>4</v>
      </c>
      <c r="Y373">
        <v>3</v>
      </c>
      <c r="Z373">
        <v>3</v>
      </c>
      <c r="AA373">
        <v>2</v>
      </c>
      <c r="AB373">
        <v>1</v>
      </c>
      <c r="AC373">
        <v>2</v>
      </c>
      <c r="AD373">
        <f>IF(HR_Data[[#This Row],[Attrition]]="Yes",1,0)</f>
        <v>0</v>
      </c>
      <c r="AE373" t="str">
        <f>IF(HR_Data[[#This Row],[Age]]&lt;=25,"18-25",IF(HR_Data[[#This Row],[Age]]&lt;=35,"26-35",IF(HR_Data[[#This Row],[Age]]&lt;=45,"36-45",IF(HR_Data[[#This Row],[Age]]&lt;=55,"46-55","55+"))))</f>
        <v>26-35</v>
      </c>
      <c r="AF373">
        <f>IF(HR_Data[[#This Row],[Age]]&lt;=25,1,IF(HR_Data[[#This Row],[Age]]&lt;=35,2,IF(HR_Data[[#This Row],[Age]]&lt;=45,3,IF(HR_Data[[#This Row],[Age]]&lt;=55,4,5))))</f>
        <v>2</v>
      </c>
      <c r="AG373" s="1" t="str">
        <f>IF(HR_Data[[#This Row],[MonthlyIncome]]&lt;3000,"&lt;3K",IF(HR_Data[[#This Row],[MonthlyIncome]]&lt;6000,"3K-6K",IF(HR_Data[[#This Row],[MonthlyIncome]]&lt;10000,"6K-10K","10K+")))</f>
        <v>&lt;3K</v>
      </c>
      <c r="AH373" s="1">
        <f>IF(HR_Data[[#This Row],[MonthlyIncome]]&lt;3000,1,IF(HR_Data[[#This Row],[MonthlyIncome]]&lt;6000,2,IF(HR_Data[[#This Row],[MonthlyIncome]]&lt;10000,3,4)))</f>
        <v>1</v>
      </c>
      <c r="AI373" s="1" t="str">
        <f>IF(HR_Data[[#This Row],[YearsAtCompany]]&lt;=2,"0-2 Yrs",IF(HR_Data[[#This Row],[YearsAtCompany]]&lt;=5,"3-5 Yrs",IF(HR_Data[[#This Row],[YearsAtCompany]]&lt;=10,"6-10 Yrs","10+ Yrs")))</f>
        <v>3-5 Yrs</v>
      </c>
      <c r="AJ373" s="1">
        <f>IF(HR_Data[[#This Row],[YearsAtCompany]]&lt;=2,1,IF(HR_Data[[#This Row],[YearsAtCompany]]&lt;=5,2,IF(HR_Data[[#This Row],[YearsAtCompany]]&lt;=10,3,4)))</f>
        <v>2</v>
      </c>
      <c r="AK373" s="1" t="str">
        <f>CHOOSE(HR_Data[[#This Row],[Education]],"Below College","College","Bachelor","Master","Doctor")</f>
        <v>Bachelor</v>
      </c>
      <c r="AL373" s="1" t="str">
        <f>CHOOSE(HR_Data[[#This Row],[JobSatisfaction]],"Low","Medium","High","Very High")</f>
        <v>Very High</v>
      </c>
      <c r="AM373" s="1" t="str">
        <f>CHOOSE(HR_Data[[#This Row],[EnvironmentSatisfaction]],"Low","Medium","High","Very High")</f>
        <v>Very High</v>
      </c>
      <c r="AN373" s="1" t="str">
        <f>CHOOSE(HR_Data[[#This Row],[WorkLifeBalance]],"Bad","Good","Better","Best")</f>
        <v>Better</v>
      </c>
      <c r="AO373" s="1" t="str">
        <f>IF(HR_Data[[#This Row],[PercentSalaryHike]]&lt;=13,"11-13%",IF(HR_Data[[#This Row],[PercentSalaryHike]]&lt;=16,"14-16%",IF(HR_Data[[#This Row],[PercentSalaryHike]]&lt;=19,"17-19%","20-25%")))</f>
        <v>14-16%</v>
      </c>
      <c r="AP373" s="1">
        <f>IF(HR_Data[[#This Row],[PercentSalaryHike]]&lt;=13,1,IF(HR_Data[[#This Row],[PercentSalaryHike]]&lt;=16,2,IF(HR_Data[[#This Row],[PercentSalaryHike]]&lt;=19,3,4)))</f>
        <v>2</v>
      </c>
      <c r="AQ373" s="1" t="str">
        <f>IF(HR_Data[[#This Row],[DistanceFromHome]]&lt;=5,"1 to 5",IF(HR_Data[[#This Row],[DistanceFromHome]]&lt;=10,"6 to 10",IF(HR_Data[[#This Row],[DistanceFromHome]]&lt;=20,"11 to 20","21 to 29")))</f>
        <v>21 to 29</v>
      </c>
      <c r="AR373" s="1">
        <f>IF(HR_Data[[#This Row],[DistanceFromHome]]&lt;=5,1,IF(HR_Data[[#This Row],[DistanceFromHome]]&lt;=10,2,IF(HR_Data[[#This Row],[DistanceFromHome]]&lt;=20,3,4)))</f>
        <v>4</v>
      </c>
      <c r="AS373" s="1" t="str">
        <f>IF(HR_Data[[#This Row],[TotalWorkingYears]]&lt;=5,"0-5 Yrs",IF(HR_Data[[#This Row],[TotalWorkingYears]]&lt;=10,"6-10 Yrs",IF(HR_Data[[#This Row],[TotalWorkingYears]]&lt;=20,"11-20 Yrs","20+ Yrs")))</f>
        <v>6-10 Yrs</v>
      </c>
      <c r="AT373" s="1">
        <f>IF(HR_Data[[#This Row],[TotalWorkingYears]]&lt;=5,1,IF(HR_Data[[#This Row],[TotalWorkingYears]]&lt;=10,2,IF(HR_Data[[#This Row],[TotalWorkingYears]]&lt;=20,3,4)))</f>
        <v>2</v>
      </c>
    </row>
    <row r="374" spans="1:46" x14ac:dyDescent="0.25">
      <c r="A374">
        <v>35</v>
      </c>
      <c r="B374" t="s">
        <v>36</v>
      </c>
      <c r="C374" t="s">
        <v>30</v>
      </c>
      <c r="D374" t="s">
        <v>38</v>
      </c>
      <c r="E374">
        <v>9</v>
      </c>
      <c r="F374">
        <v>4</v>
      </c>
      <c r="G374" t="s">
        <v>32</v>
      </c>
      <c r="H374">
        <v>496</v>
      </c>
      <c r="I374">
        <v>3</v>
      </c>
      <c r="J374" t="s">
        <v>39</v>
      </c>
      <c r="K374">
        <v>2</v>
      </c>
      <c r="L374">
        <v>2</v>
      </c>
      <c r="M374" t="s">
        <v>47</v>
      </c>
      <c r="N374">
        <v>2</v>
      </c>
      <c r="O374" t="s">
        <v>35</v>
      </c>
      <c r="P374">
        <v>6540</v>
      </c>
      <c r="Q374">
        <v>9</v>
      </c>
      <c r="R374" t="s">
        <v>36</v>
      </c>
      <c r="S374">
        <v>19</v>
      </c>
      <c r="T374">
        <v>3</v>
      </c>
      <c r="U374">
        <v>3</v>
      </c>
      <c r="V374">
        <v>0</v>
      </c>
      <c r="W374">
        <v>10</v>
      </c>
      <c r="X374">
        <v>5</v>
      </c>
      <c r="Y374">
        <v>3</v>
      </c>
      <c r="Z374">
        <v>1</v>
      </c>
      <c r="AA374">
        <v>1</v>
      </c>
      <c r="AB374">
        <v>0</v>
      </c>
      <c r="AC374">
        <v>0</v>
      </c>
      <c r="AD374">
        <f>IF(HR_Data[[#This Row],[Attrition]]="Yes",1,0)</f>
        <v>0</v>
      </c>
      <c r="AE374" t="str">
        <f>IF(HR_Data[[#This Row],[Age]]&lt;=25,"18-25",IF(HR_Data[[#This Row],[Age]]&lt;=35,"26-35",IF(HR_Data[[#This Row],[Age]]&lt;=45,"36-45",IF(HR_Data[[#This Row],[Age]]&lt;=55,"46-55","55+"))))</f>
        <v>26-35</v>
      </c>
      <c r="AF374">
        <f>IF(HR_Data[[#This Row],[Age]]&lt;=25,1,IF(HR_Data[[#This Row],[Age]]&lt;=35,2,IF(HR_Data[[#This Row],[Age]]&lt;=45,3,IF(HR_Data[[#This Row],[Age]]&lt;=55,4,5))))</f>
        <v>2</v>
      </c>
      <c r="AG374" s="1" t="str">
        <f>IF(HR_Data[[#This Row],[MonthlyIncome]]&lt;3000,"&lt;3K",IF(HR_Data[[#This Row],[MonthlyIncome]]&lt;6000,"3K-6K",IF(HR_Data[[#This Row],[MonthlyIncome]]&lt;10000,"6K-10K","10K+")))</f>
        <v>6K-10K</v>
      </c>
      <c r="AH374" s="1">
        <f>IF(HR_Data[[#This Row],[MonthlyIncome]]&lt;3000,1,IF(HR_Data[[#This Row],[MonthlyIncome]]&lt;6000,2,IF(HR_Data[[#This Row],[MonthlyIncome]]&lt;10000,3,4)))</f>
        <v>3</v>
      </c>
      <c r="AI374" s="1" t="str">
        <f>IF(HR_Data[[#This Row],[YearsAtCompany]]&lt;=2,"0-2 Yrs",IF(HR_Data[[#This Row],[YearsAtCompany]]&lt;=5,"3-5 Yrs",IF(HR_Data[[#This Row],[YearsAtCompany]]&lt;=10,"6-10 Yrs","10+ Yrs")))</f>
        <v>0-2 Yrs</v>
      </c>
      <c r="AJ374" s="1">
        <f>IF(HR_Data[[#This Row],[YearsAtCompany]]&lt;=2,1,IF(HR_Data[[#This Row],[YearsAtCompany]]&lt;=5,2,IF(HR_Data[[#This Row],[YearsAtCompany]]&lt;=10,3,4)))</f>
        <v>1</v>
      </c>
      <c r="AK374" s="1" t="str">
        <f>CHOOSE(HR_Data[[#This Row],[Education]],"Below College","College","Bachelor","Master","Doctor")</f>
        <v>Master</v>
      </c>
      <c r="AL374" s="1" t="str">
        <f>CHOOSE(HR_Data[[#This Row],[JobSatisfaction]],"Low","Medium","High","Very High")</f>
        <v>Medium</v>
      </c>
      <c r="AM374" s="1" t="str">
        <f>CHOOSE(HR_Data[[#This Row],[EnvironmentSatisfaction]],"Low","Medium","High","Very High")</f>
        <v>High</v>
      </c>
      <c r="AN374" s="1" t="str">
        <f>CHOOSE(HR_Data[[#This Row],[WorkLifeBalance]],"Bad","Good","Better","Best")</f>
        <v>Better</v>
      </c>
      <c r="AO374" s="1" t="str">
        <f>IF(HR_Data[[#This Row],[PercentSalaryHike]]&lt;=13,"11-13%",IF(HR_Data[[#This Row],[PercentSalaryHike]]&lt;=16,"14-16%",IF(HR_Data[[#This Row],[PercentSalaryHike]]&lt;=19,"17-19%","20-25%")))</f>
        <v>17-19%</v>
      </c>
      <c r="AP374" s="1">
        <f>IF(HR_Data[[#This Row],[PercentSalaryHike]]&lt;=13,1,IF(HR_Data[[#This Row],[PercentSalaryHike]]&lt;=16,2,IF(HR_Data[[#This Row],[PercentSalaryHike]]&lt;=19,3,4)))</f>
        <v>3</v>
      </c>
      <c r="AQ374" s="1" t="str">
        <f>IF(HR_Data[[#This Row],[DistanceFromHome]]&lt;=5,"1 to 5",IF(HR_Data[[#This Row],[DistanceFromHome]]&lt;=10,"6 to 10",IF(HR_Data[[#This Row],[DistanceFromHome]]&lt;=20,"11 to 20","21 to 29")))</f>
        <v>6 to 10</v>
      </c>
      <c r="AR374" s="1">
        <f>IF(HR_Data[[#This Row],[DistanceFromHome]]&lt;=5,1,IF(HR_Data[[#This Row],[DistanceFromHome]]&lt;=10,2,IF(HR_Data[[#This Row],[DistanceFromHome]]&lt;=20,3,4)))</f>
        <v>2</v>
      </c>
      <c r="AS374" s="1" t="str">
        <f>IF(HR_Data[[#This Row],[TotalWorkingYears]]&lt;=5,"0-5 Yrs",IF(HR_Data[[#This Row],[TotalWorkingYears]]&lt;=10,"6-10 Yrs",IF(HR_Data[[#This Row],[TotalWorkingYears]]&lt;=20,"11-20 Yrs","20+ Yrs")))</f>
        <v>6-10 Yrs</v>
      </c>
      <c r="AT374" s="1">
        <f>IF(HR_Data[[#This Row],[TotalWorkingYears]]&lt;=5,1,IF(HR_Data[[#This Row],[TotalWorkingYears]]&lt;=10,2,IF(HR_Data[[#This Row],[TotalWorkingYears]]&lt;=20,3,4)))</f>
        <v>2</v>
      </c>
    </row>
    <row r="375" spans="1:46" x14ac:dyDescent="0.25">
      <c r="A375">
        <v>27</v>
      </c>
      <c r="B375" t="s">
        <v>36</v>
      </c>
      <c r="C375" t="s">
        <v>30</v>
      </c>
      <c r="D375" t="s">
        <v>38</v>
      </c>
      <c r="E375">
        <v>1</v>
      </c>
      <c r="F375">
        <v>2</v>
      </c>
      <c r="G375" t="s">
        <v>44</v>
      </c>
      <c r="H375">
        <v>497</v>
      </c>
      <c r="I375">
        <v>4</v>
      </c>
      <c r="J375" t="s">
        <v>39</v>
      </c>
      <c r="K375">
        <v>3</v>
      </c>
      <c r="L375">
        <v>1</v>
      </c>
      <c r="M375" t="s">
        <v>43</v>
      </c>
      <c r="N375">
        <v>2</v>
      </c>
      <c r="O375" t="s">
        <v>45</v>
      </c>
      <c r="P375">
        <v>3816</v>
      </c>
      <c r="Q375">
        <v>1</v>
      </c>
      <c r="R375" t="s">
        <v>36</v>
      </c>
      <c r="S375">
        <v>11</v>
      </c>
      <c r="T375">
        <v>3</v>
      </c>
      <c r="U375">
        <v>2</v>
      </c>
      <c r="V375">
        <v>1</v>
      </c>
      <c r="W375">
        <v>5</v>
      </c>
      <c r="X375">
        <v>2</v>
      </c>
      <c r="Y375">
        <v>3</v>
      </c>
      <c r="Z375">
        <v>5</v>
      </c>
      <c r="AA375">
        <v>2</v>
      </c>
      <c r="AB375">
        <v>0</v>
      </c>
      <c r="AC375">
        <v>4</v>
      </c>
      <c r="AD375">
        <f>IF(HR_Data[[#This Row],[Attrition]]="Yes",1,0)</f>
        <v>0</v>
      </c>
      <c r="AE375" t="str">
        <f>IF(HR_Data[[#This Row],[Age]]&lt;=25,"18-25",IF(HR_Data[[#This Row],[Age]]&lt;=35,"26-35",IF(HR_Data[[#This Row],[Age]]&lt;=45,"36-45",IF(HR_Data[[#This Row],[Age]]&lt;=55,"46-55","55+"))))</f>
        <v>26-35</v>
      </c>
      <c r="AF375">
        <f>IF(HR_Data[[#This Row],[Age]]&lt;=25,1,IF(HR_Data[[#This Row],[Age]]&lt;=35,2,IF(HR_Data[[#This Row],[Age]]&lt;=45,3,IF(HR_Data[[#This Row],[Age]]&lt;=55,4,5))))</f>
        <v>2</v>
      </c>
      <c r="AG375" s="1" t="str">
        <f>IF(HR_Data[[#This Row],[MonthlyIncome]]&lt;3000,"&lt;3K",IF(HR_Data[[#This Row],[MonthlyIncome]]&lt;6000,"3K-6K",IF(HR_Data[[#This Row],[MonthlyIncome]]&lt;10000,"6K-10K","10K+")))</f>
        <v>3K-6K</v>
      </c>
      <c r="AH375" s="1">
        <f>IF(HR_Data[[#This Row],[MonthlyIncome]]&lt;3000,1,IF(HR_Data[[#This Row],[MonthlyIncome]]&lt;6000,2,IF(HR_Data[[#This Row],[MonthlyIncome]]&lt;10000,3,4)))</f>
        <v>2</v>
      </c>
      <c r="AI375" s="1" t="str">
        <f>IF(HR_Data[[#This Row],[YearsAtCompany]]&lt;=2,"0-2 Yrs",IF(HR_Data[[#This Row],[YearsAtCompany]]&lt;=5,"3-5 Yrs",IF(HR_Data[[#This Row],[YearsAtCompany]]&lt;=10,"6-10 Yrs","10+ Yrs")))</f>
        <v>3-5 Yrs</v>
      </c>
      <c r="AJ375" s="1">
        <f>IF(HR_Data[[#This Row],[YearsAtCompany]]&lt;=2,1,IF(HR_Data[[#This Row],[YearsAtCompany]]&lt;=5,2,IF(HR_Data[[#This Row],[YearsAtCompany]]&lt;=10,3,4)))</f>
        <v>2</v>
      </c>
      <c r="AK375" s="1" t="str">
        <f>CHOOSE(HR_Data[[#This Row],[Education]],"Below College","College","Bachelor","Master","Doctor")</f>
        <v>College</v>
      </c>
      <c r="AL375" s="1" t="str">
        <f>CHOOSE(HR_Data[[#This Row],[JobSatisfaction]],"Low","Medium","High","Very High")</f>
        <v>Medium</v>
      </c>
      <c r="AM375" s="1" t="str">
        <f>CHOOSE(HR_Data[[#This Row],[EnvironmentSatisfaction]],"Low","Medium","High","Very High")</f>
        <v>Very High</v>
      </c>
      <c r="AN375" s="1" t="str">
        <f>CHOOSE(HR_Data[[#This Row],[WorkLifeBalance]],"Bad","Good","Better","Best")</f>
        <v>Better</v>
      </c>
      <c r="AO375" s="1" t="str">
        <f>IF(HR_Data[[#This Row],[PercentSalaryHike]]&lt;=13,"11-13%",IF(HR_Data[[#This Row],[PercentSalaryHike]]&lt;=16,"14-16%",IF(HR_Data[[#This Row],[PercentSalaryHike]]&lt;=19,"17-19%","20-25%")))</f>
        <v>11-13%</v>
      </c>
      <c r="AP375" s="1">
        <f>IF(HR_Data[[#This Row],[PercentSalaryHike]]&lt;=13,1,IF(HR_Data[[#This Row],[PercentSalaryHike]]&lt;=16,2,IF(HR_Data[[#This Row],[PercentSalaryHike]]&lt;=19,3,4)))</f>
        <v>1</v>
      </c>
      <c r="AQ375" s="1" t="str">
        <f>IF(HR_Data[[#This Row],[DistanceFromHome]]&lt;=5,"1 to 5",IF(HR_Data[[#This Row],[DistanceFromHome]]&lt;=10,"6 to 10",IF(HR_Data[[#This Row],[DistanceFromHome]]&lt;=20,"11 to 20","21 to 29")))</f>
        <v>1 to 5</v>
      </c>
      <c r="AR375" s="1">
        <f>IF(HR_Data[[#This Row],[DistanceFromHome]]&lt;=5,1,IF(HR_Data[[#This Row],[DistanceFromHome]]&lt;=10,2,IF(HR_Data[[#This Row],[DistanceFromHome]]&lt;=20,3,4)))</f>
        <v>1</v>
      </c>
      <c r="AS375" s="1" t="str">
        <f>IF(HR_Data[[#This Row],[TotalWorkingYears]]&lt;=5,"0-5 Yrs",IF(HR_Data[[#This Row],[TotalWorkingYears]]&lt;=10,"6-10 Yrs",IF(HR_Data[[#This Row],[TotalWorkingYears]]&lt;=20,"11-20 Yrs","20+ Yrs")))</f>
        <v>0-5 Yrs</v>
      </c>
      <c r="AT375" s="1">
        <f>IF(HR_Data[[#This Row],[TotalWorkingYears]]&lt;=5,1,IF(HR_Data[[#This Row],[TotalWorkingYears]]&lt;=10,2,IF(HR_Data[[#This Row],[TotalWorkingYears]]&lt;=20,3,4)))</f>
        <v>1</v>
      </c>
    </row>
    <row r="376" spans="1:46" x14ac:dyDescent="0.25">
      <c r="A376">
        <v>28</v>
      </c>
      <c r="B376" t="s">
        <v>36</v>
      </c>
      <c r="C376" t="s">
        <v>30</v>
      </c>
      <c r="D376" t="s">
        <v>31</v>
      </c>
      <c r="E376">
        <v>9</v>
      </c>
      <c r="F376">
        <v>4</v>
      </c>
      <c r="G376" t="s">
        <v>32</v>
      </c>
      <c r="H376">
        <v>498</v>
      </c>
      <c r="I376">
        <v>2</v>
      </c>
      <c r="J376" t="s">
        <v>39</v>
      </c>
      <c r="K376">
        <v>3</v>
      </c>
      <c r="L376">
        <v>2</v>
      </c>
      <c r="M376" t="s">
        <v>34</v>
      </c>
      <c r="N376">
        <v>4</v>
      </c>
      <c r="O376" t="s">
        <v>35</v>
      </c>
      <c r="P376">
        <v>5253</v>
      </c>
      <c r="Q376">
        <v>1</v>
      </c>
      <c r="R376" t="s">
        <v>36</v>
      </c>
      <c r="S376">
        <v>16</v>
      </c>
      <c r="T376">
        <v>3</v>
      </c>
      <c r="U376">
        <v>4</v>
      </c>
      <c r="V376">
        <v>0</v>
      </c>
      <c r="W376">
        <v>7</v>
      </c>
      <c r="X376">
        <v>1</v>
      </c>
      <c r="Y376">
        <v>3</v>
      </c>
      <c r="Z376">
        <v>7</v>
      </c>
      <c r="AA376">
        <v>5</v>
      </c>
      <c r="AB376">
        <v>0</v>
      </c>
      <c r="AC376">
        <v>7</v>
      </c>
      <c r="AD376">
        <f>IF(HR_Data[[#This Row],[Attrition]]="Yes",1,0)</f>
        <v>0</v>
      </c>
      <c r="AE376" t="str">
        <f>IF(HR_Data[[#This Row],[Age]]&lt;=25,"18-25",IF(HR_Data[[#This Row],[Age]]&lt;=35,"26-35",IF(HR_Data[[#This Row],[Age]]&lt;=45,"36-45",IF(HR_Data[[#This Row],[Age]]&lt;=55,"46-55","55+"))))</f>
        <v>26-35</v>
      </c>
      <c r="AF376">
        <f>IF(HR_Data[[#This Row],[Age]]&lt;=25,1,IF(HR_Data[[#This Row],[Age]]&lt;=35,2,IF(HR_Data[[#This Row],[Age]]&lt;=45,3,IF(HR_Data[[#This Row],[Age]]&lt;=55,4,5))))</f>
        <v>2</v>
      </c>
      <c r="AG376" s="1" t="str">
        <f>IF(HR_Data[[#This Row],[MonthlyIncome]]&lt;3000,"&lt;3K",IF(HR_Data[[#This Row],[MonthlyIncome]]&lt;6000,"3K-6K",IF(HR_Data[[#This Row],[MonthlyIncome]]&lt;10000,"6K-10K","10K+")))</f>
        <v>3K-6K</v>
      </c>
      <c r="AH376" s="1">
        <f>IF(HR_Data[[#This Row],[MonthlyIncome]]&lt;3000,1,IF(HR_Data[[#This Row],[MonthlyIncome]]&lt;6000,2,IF(HR_Data[[#This Row],[MonthlyIncome]]&lt;10000,3,4)))</f>
        <v>2</v>
      </c>
      <c r="AI376" s="1" t="str">
        <f>IF(HR_Data[[#This Row],[YearsAtCompany]]&lt;=2,"0-2 Yrs",IF(HR_Data[[#This Row],[YearsAtCompany]]&lt;=5,"3-5 Yrs",IF(HR_Data[[#This Row],[YearsAtCompany]]&lt;=10,"6-10 Yrs","10+ Yrs")))</f>
        <v>6-10 Yrs</v>
      </c>
      <c r="AJ376" s="1">
        <f>IF(HR_Data[[#This Row],[YearsAtCompany]]&lt;=2,1,IF(HR_Data[[#This Row],[YearsAtCompany]]&lt;=5,2,IF(HR_Data[[#This Row],[YearsAtCompany]]&lt;=10,3,4)))</f>
        <v>3</v>
      </c>
      <c r="AK376" s="1" t="str">
        <f>CHOOSE(HR_Data[[#This Row],[Education]],"Below College","College","Bachelor","Master","Doctor")</f>
        <v>Master</v>
      </c>
      <c r="AL376" s="1" t="str">
        <f>CHOOSE(HR_Data[[#This Row],[JobSatisfaction]],"Low","Medium","High","Very High")</f>
        <v>Very High</v>
      </c>
      <c r="AM376" s="1" t="str">
        <f>CHOOSE(HR_Data[[#This Row],[EnvironmentSatisfaction]],"Low","Medium","High","Very High")</f>
        <v>Medium</v>
      </c>
      <c r="AN376" s="1" t="str">
        <f>CHOOSE(HR_Data[[#This Row],[WorkLifeBalance]],"Bad","Good","Better","Best")</f>
        <v>Better</v>
      </c>
      <c r="AO376" s="1" t="str">
        <f>IF(HR_Data[[#This Row],[PercentSalaryHike]]&lt;=13,"11-13%",IF(HR_Data[[#This Row],[PercentSalaryHike]]&lt;=16,"14-16%",IF(HR_Data[[#This Row],[PercentSalaryHike]]&lt;=19,"17-19%","20-25%")))</f>
        <v>14-16%</v>
      </c>
      <c r="AP376" s="1">
        <f>IF(HR_Data[[#This Row],[PercentSalaryHike]]&lt;=13,1,IF(HR_Data[[#This Row],[PercentSalaryHike]]&lt;=16,2,IF(HR_Data[[#This Row],[PercentSalaryHike]]&lt;=19,3,4)))</f>
        <v>2</v>
      </c>
      <c r="AQ376" s="1" t="str">
        <f>IF(HR_Data[[#This Row],[DistanceFromHome]]&lt;=5,"1 to 5",IF(HR_Data[[#This Row],[DistanceFromHome]]&lt;=10,"6 to 10",IF(HR_Data[[#This Row],[DistanceFromHome]]&lt;=20,"11 to 20","21 to 29")))</f>
        <v>6 to 10</v>
      </c>
      <c r="AR376" s="1">
        <f>IF(HR_Data[[#This Row],[DistanceFromHome]]&lt;=5,1,IF(HR_Data[[#This Row],[DistanceFromHome]]&lt;=10,2,IF(HR_Data[[#This Row],[DistanceFromHome]]&lt;=20,3,4)))</f>
        <v>2</v>
      </c>
      <c r="AS376" s="1" t="str">
        <f>IF(HR_Data[[#This Row],[TotalWorkingYears]]&lt;=5,"0-5 Yrs",IF(HR_Data[[#This Row],[TotalWorkingYears]]&lt;=10,"6-10 Yrs",IF(HR_Data[[#This Row],[TotalWorkingYears]]&lt;=20,"11-20 Yrs","20+ Yrs")))</f>
        <v>6-10 Yrs</v>
      </c>
      <c r="AT376" s="1">
        <f>IF(HR_Data[[#This Row],[TotalWorkingYears]]&lt;=5,1,IF(HR_Data[[#This Row],[TotalWorkingYears]]&lt;=10,2,IF(HR_Data[[#This Row],[TotalWorkingYears]]&lt;=20,3,4)))</f>
        <v>2</v>
      </c>
    </row>
    <row r="377" spans="1:46" x14ac:dyDescent="0.25">
      <c r="A377">
        <v>49</v>
      </c>
      <c r="B377" t="s">
        <v>36</v>
      </c>
      <c r="C377" t="s">
        <v>30</v>
      </c>
      <c r="D377" t="s">
        <v>38</v>
      </c>
      <c r="E377">
        <v>7</v>
      </c>
      <c r="F377">
        <v>3</v>
      </c>
      <c r="G377" t="s">
        <v>42</v>
      </c>
      <c r="H377">
        <v>499</v>
      </c>
      <c r="I377">
        <v>2</v>
      </c>
      <c r="J377" t="s">
        <v>39</v>
      </c>
      <c r="K377">
        <v>2</v>
      </c>
      <c r="L377">
        <v>3</v>
      </c>
      <c r="M377" t="s">
        <v>47</v>
      </c>
      <c r="N377">
        <v>3</v>
      </c>
      <c r="O377" t="s">
        <v>35</v>
      </c>
      <c r="P377">
        <v>10965</v>
      </c>
      <c r="Q377">
        <v>8</v>
      </c>
      <c r="R377" t="s">
        <v>36</v>
      </c>
      <c r="S377">
        <v>24</v>
      </c>
      <c r="T377">
        <v>4</v>
      </c>
      <c r="U377">
        <v>3</v>
      </c>
      <c r="V377">
        <v>0</v>
      </c>
      <c r="W377">
        <v>26</v>
      </c>
      <c r="X377">
        <v>2</v>
      </c>
      <c r="Y377">
        <v>3</v>
      </c>
      <c r="Z377">
        <v>5</v>
      </c>
      <c r="AA377">
        <v>2</v>
      </c>
      <c r="AB377">
        <v>0</v>
      </c>
      <c r="AC377">
        <v>0</v>
      </c>
      <c r="AD377">
        <f>IF(HR_Data[[#This Row],[Attrition]]="Yes",1,0)</f>
        <v>0</v>
      </c>
      <c r="AE377" t="str">
        <f>IF(HR_Data[[#This Row],[Age]]&lt;=25,"18-25",IF(HR_Data[[#This Row],[Age]]&lt;=35,"26-35",IF(HR_Data[[#This Row],[Age]]&lt;=45,"36-45",IF(HR_Data[[#This Row],[Age]]&lt;=55,"46-55","55+"))))</f>
        <v>46-55</v>
      </c>
      <c r="AF377">
        <f>IF(HR_Data[[#This Row],[Age]]&lt;=25,1,IF(HR_Data[[#This Row],[Age]]&lt;=35,2,IF(HR_Data[[#This Row],[Age]]&lt;=45,3,IF(HR_Data[[#This Row],[Age]]&lt;=55,4,5))))</f>
        <v>4</v>
      </c>
      <c r="AG377" s="1" t="str">
        <f>IF(HR_Data[[#This Row],[MonthlyIncome]]&lt;3000,"&lt;3K",IF(HR_Data[[#This Row],[MonthlyIncome]]&lt;6000,"3K-6K",IF(HR_Data[[#This Row],[MonthlyIncome]]&lt;10000,"6K-10K","10K+")))</f>
        <v>10K+</v>
      </c>
      <c r="AH377" s="1">
        <f>IF(HR_Data[[#This Row],[MonthlyIncome]]&lt;3000,1,IF(HR_Data[[#This Row],[MonthlyIncome]]&lt;6000,2,IF(HR_Data[[#This Row],[MonthlyIncome]]&lt;10000,3,4)))</f>
        <v>4</v>
      </c>
      <c r="AI377" s="1" t="str">
        <f>IF(HR_Data[[#This Row],[YearsAtCompany]]&lt;=2,"0-2 Yrs",IF(HR_Data[[#This Row],[YearsAtCompany]]&lt;=5,"3-5 Yrs",IF(HR_Data[[#This Row],[YearsAtCompany]]&lt;=10,"6-10 Yrs","10+ Yrs")))</f>
        <v>3-5 Yrs</v>
      </c>
      <c r="AJ377" s="1">
        <f>IF(HR_Data[[#This Row],[YearsAtCompany]]&lt;=2,1,IF(HR_Data[[#This Row],[YearsAtCompany]]&lt;=5,2,IF(HR_Data[[#This Row],[YearsAtCompany]]&lt;=10,3,4)))</f>
        <v>2</v>
      </c>
      <c r="AK377" s="1" t="str">
        <f>CHOOSE(HR_Data[[#This Row],[Education]],"Below College","College","Bachelor","Master","Doctor")</f>
        <v>Bachelor</v>
      </c>
      <c r="AL377" s="1" t="str">
        <f>CHOOSE(HR_Data[[#This Row],[JobSatisfaction]],"Low","Medium","High","Very High")</f>
        <v>High</v>
      </c>
      <c r="AM377" s="1" t="str">
        <f>CHOOSE(HR_Data[[#This Row],[EnvironmentSatisfaction]],"Low","Medium","High","Very High")</f>
        <v>Medium</v>
      </c>
      <c r="AN377" s="1" t="str">
        <f>CHOOSE(HR_Data[[#This Row],[WorkLifeBalance]],"Bad","Good","Better","Best")</f>
        <v>Better</v>
      </c>
      <c r="AO377" s="1" t="str">
        <f>IF(HR_Data[[#This Row],[PercentSalaryHike]]&lt;=13,"11-13%",IF(HR_Data[[#This Row],[PercentSalaryHike]]&lt;=16,"14-16%",IF(HR_Data[[#This Row],[PercentSalaryHike]]&lt;=19,"17-19%","20-25%")))</f>
        <v>20-25%</v>
      </c>
      <c r="AP377" s="1">
        <f>IF(HR_Data[[#This Row],[PercentSalaryHike]]&lt;=13,1,IF(HR_Data[[#This Row],[PercentSalaryHike]]&lt;=16,2,IF(HR_Data[[#This Row],[PercentSalaryHike]]&lt;=19,3,4)))</f>
        <v>4</v>
      </c>
      <c r="AQ377" s="1" t="str">
        <f>IF(HR_Data[[#This Row],[DistanceFromHome]]&lt;=5,"1 to 5",IF(HR_Data[[#This Row],[DistanceFromHome]]&lt;=10,"6 to 10",IF(HR_Data[[#This Row],[DistanceFromHome]]&lt;=20,"11 to 20","21 to 29")))</f>
        <v>6 to 10</v>
      </c>
      <c r="AR377" s="1">
        <f>IF(HR_Data[[#This Row],[DistanceFromHome]]&lt;=5,1,IF(HR_Data[[#This Row],[DistanceFromHome]]&lt;=10,2,IF(HR_Data[[#This Row],[DistanceFromHome]]&lt;=20,3,4)))</f>
        <v>2</v>
      </c>
      <c r="AS377" s="1" t="str">
        <f>IF(HR_Data[[#This Row],[TotalWorkingYears]]&lt;=5,"0-5 Yrs",IF(HR_Data[[#This Row],[TotalWorkingYears]]&lt;=10,"6-10 Yrs",IF(HR_Data[[#This Row],[TotalWorkingYears]]&lt;=20,"11-20 Yrs","20+ Yrs")))</f>
        <v>20+ Yrs</v>
      </c>
      <c r="AT377" s="1">
        <f>IF(HR_Data[[#This Row],[TotalWorkingYears]]&lt;=5,1,IF(HR_Data[[#This Row],[TotalWorkingYears]]&lt;=10,2,IF(HR_Data[[#This Row],[TotalWorkingYears]]&lt;=20,3,4)))</f>
        <v>4</v>
      </c>
    </row>
    <row r="378" spans="1:46" x14ac:dyDescent="0.25">
      <c r="A378">
        <v>51</v>
      </c>
      <c r="B378" t="s">
        <v>36</v>
      </c>
      <c r="C378" t="s">
        <v>30</v>
      </c>
      <c r="D378" t="s">
        <v>31</v>
      </c>
      <c r="E378">
        <v>14</v>
      </c>
      <c r="F378">
        <v>2</v>
      </c>
      <c r="G378" t="s">
        <v>32</v>
      </c>
      <c r="H378">
        <v>500</v>
      </c>
      <c r="I378">
        <v>3</v>
      </c>
      <c r="J378" t="s">
        <v>33</v>
      </c>
      <c r="K378">
        <v>3</v>
      </c>
      <c r="L378">
        <v>2</v>
      </c>
      <c r="M378" t="s">
        <v>34</v>
      </c>
      <c r="N378">
        <v>4</v>
      </c>
      <c r="O378" t="s">
        <v>41</v>
      </c>
      <c r="P378">
        <v>4936</v>
      </c>
      <c r="Q378">
        <v>4</v>
      </c>
      <c r="R378" t="s">
        <v>36</v>
      </c>
      <c r="S378">
        <v>11</v>
      </c>
      <c r="T378">
        <v>3</v>
      </c>
      <c r="U378">
        <v>3</v>
      </c>
      <c r="V378">
        <v>1</v>
      </c>
      <c r="W378">
        <v>18</v>
      </c>
      <c r="X378">
        <v>2</v>
      </c>
      <c r="Y378">
        <v>2</v>
      </c>
      <c r="Z378">
        <v>7</v>
      </c>
      <c r="AA378">
        <v>7</v>
      </c>
      <c r="AB378">
        <v>0</v>
      </c>
      <c r="AC378">
        <v>7</v>
      </c>
      <c r="AD378">
        <f>IF(HR_Data[[#This Row],[Attrition]]="Yes",1,0)</f>
        <v>0</v>
      </c>
      <c r="AE378" t="str">
        <f>IF(HR_Data[[#This Row],[Age]]&lt;=25,"18-25",IF(HR_Data[[#This Row],[Age]]&lt;=35,"26-35",IF(HR_Data[[#This Row],[Age]]&lt;=45,"36-45",IF(HR_Data[[#This Row],[Age]]&lt;=55,"46-55","55+"))))</f>
        <v>46-55</v>
      </c>
      <c r="AF378">
        <f>IF(HR_Data[[#This Row],[Age]]&lt;=25,1,IF(HR_Data[[#This Row],[Age]]&lt;=35,2,IF(HR_Data[[#This Row],[Age]]&lt;=45,3,IF(HR_Data[[#This Row],[Age]]&lt;=55,4,5))))</f>
        <v>4</v>
      </c>
      <c r="AG378" s="1" t="str">
        <f>IF(HR_Data[[#This Row],[MonthlyIncome]]&lt;3000,"&lt;3K",IF(HR_Data[[#This Row],[MonthlyIncome]]&lt;6000,"3K-6K",IF(HR_Data[[#This Row],[MonthlyIncome]]&lt;10000,"6K-10K","10K+")))</f>
        <v>3K-6K</v>
      </c>
      <c r="AH378" s="1">
        <f>IF(HR_Data[[#This Row],[MonthlyIncome]]&lt;3000,1,IF(HR_Data[[#This Row],[MonthlyIncome]]&lt;6000,2,IF(HR_Data[[#This Row],[MonthlyIncome]]&lt;10000,3,4)))</f>
        <v>2</v>
      </c>
      <c r="AI378" s="1" t="str">
        <f>IF(HR_Data[[#This Row],[YearsAtCompany]]&lt;=2,"0-2 Yrs",IF(HR_Data[[#This Row],[YearsAtCompany]]&lt;=5,"3-5 Yrs",IF(HR_Data[[#This Row],[YearsAtCompany]]&lt;=10,"6-10 Yrs","10+ Yrs")))</f>
        <v>6-10 Yrs</v>
      </c>
      <c r="AJ378" s="1">
        <f>IF(HR_Data[[#This Row],[YearsAtCompany]]&lt;=2,1,IF(HR_Data[[#This Row],[YearsAtCompany]]&lt;=5,2,IF(HR_Data[[#This Row],[YearsAtCompany]]&lt;=10,3,4)))</f>
        <v>3</v>
      </c>
      <c r="AK378" s="1" t="str">
        <f>CHOOSE(HR_Data[[#This Row],[Education]],"Below College","College","Bachelor","Master","Doctor")</f>
        <v>College</v>
      </c>
      <c r="AL378" s="1" t="str">
        <f>CHOOSE(HR_Data[[#This Row],[JobSatisfaction]],"Low","Medium","High","Very High")</f>
        <v>Very High</v>
      </c>
      <c r="AM378" s="1" t="str">
        <f>CHOOSE(HR_Data[[#This Row],[EnvironmentSatisfaction]],"Low","Medium","High","Very High")</f>
        <v>High</v>
      </c>
      <c r="AN378" s="1" t="str">
        <f>CHOOSE(HR_Data[[#This Row],[WorkLifeBalance]],"Bad","Good","Better","Best")</f>
        <v>Good</v>
      </c>
      <c r="AO378" s="1" t="str">
        <f>IF(HR_Data[[#This Row],[PercentSalaryHike]]&lt;=13,"11-13%",IF(HR_Data[[#This Row],[PercentSalaryHike]]&lt;=16,"14-16%",IF(HR_Data[[#This Row],[PercentSalaryHike]]&lt;=19,"17-19%","20-25%")))</f>
        <v>11-13%</v>
      </c>
      <c r="AP378" s="1">
        <f>IF(HR_Data[[#This Row],[PercentSalaryHike]]&lt;=13,1,IF(HR_Data[[#This Row],[PercentSalaryHike]]&lt;=16,2,IF(HR_Data[[#This Row],[PercentSalaryHike]]&lt;=19,3,4)))</f>
        <v>1</v>
      </c>
      <c r="AQ378" s="1" t="str">
        <f>IF(HR_Data[[#This Row],[DistanceFromHome]]&lt;=5,"1 to 5",IF(HR_Data[[#This Row],[DistanceFromHome]]&lt;=10,"6 to 10",IF(HR_Data[[#This Row],[DistanceFromHome]]&lt;=20,"11 to 20","21 to 29")))</f>
        <v>11 to 20</v>
      </c>
      <c r="AR378" s="1">
        <f>IF(HR_Data[[#This Row],[DistanceFromHome]]&lt;=5,1,IF(HR_Data[[#This Row],[DistanceFromHome]]&lt;=10,2,IF(HR_Data[[#This Row],[DistanceFromHome]]&lt;=20,3,4)))</f>
        <v>3</v>
      </c>
      <c r="AS378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378" s="1">
        <f>IF(HR_Data[[#This Row],[TotalWorkingYears]]&lt;=5,1,IF(HR_Data[[#This Row],[TotalWorkingYears]]&lt;=10,2,IF(HR_Data[[#This Row],[TotalWorkingYears]]&lt;=20,3,4)))</f>
        <v>3</v>
      </c>
    </row>
    <row r="379" spans="1:46" x14ac:dyDescent="0.25">
      <c r="A379">
        <v>36</v>
      </c>
      <c r="B379" t="s">
        <v>36</v>
      </c>
      <c r="C379" t="s">
        <v>30</v>
      </c>
      <c r="D379" t="s">
        <v>38</v>
      </c>
      <c r="E379">
        <v>2</v>
      </c>
      <c r="F379">
        <v>3</v>
      </c>
      <c r="G379" t="s">
        <v>32</v>
      </c>
      <c r="H379">
        <v>501</v>
      </c>
      <c r="I379">
        <v>4</v>
      </c>
      <c r="J379" t="s">
        <v>33</v>
      </c>
      <c r="K379">
        <v>3</v>
      </c>
      <c r="L379">
        <v>1</v>
      </c>
      <c r="M379" t="s">
        <v>40</v>
      </c>
      <c r="N379">
        <v>3</v>
      </c>
      <c r="O379" t="s">
        <v>41</v>
      </c>
      <c r="P379">
        <v>2543</v>
      </c>
      <c r="Q379">
        <v>4</v>
      </c>
      <c r="R379" t="s">
        <v>36</v>
      </c>
      <c r="S379">
        <v>13</v>
      </c>
      <c r="T379">
        <v>3</v>
      </c>
      <c r="U379">
        <v>2</v>
      </c>
      <c r="V379">
        <v>1</v>
      </c>
      <c r="W379">
        <v>6</v>
      </c>
      <c r="X379">
        <v>3</v>
      </c>
      <c r="Y379">
        <v>3</v>
      </c>
      <c r="Z379">
        <v>2</v>
      </c>
      <c r="AA379">
        <v>2</v>
      </c>
      <c r="AB379">
        <v>2</v>
      </c>
      <c r="AC379">
        <v>2</v>
      </c>
      <c r="AD379">
        <f>IF(HR_Data[[#This Row],[Attrition]]="Yes",1,0)</f>
        <v>0</v>
      </c>
      <c r="AE379" t="str">
        <f>IF(HR_Data[[#This Row],[Age]]&lt;=25,"18-25",IF(HR_Data[[#This Row],[Age]]&lt;=35,"26-35",IF(HR_Data[[#This Row],[Age]]&lt;=45,"36-45",IF(HR_Data[[#This Row],[Age]]&lt;=55,"46-55","55+"))))</f>
        <v>36-45</v>
      </c>
      <c r="AF379">
        <f>IF(HR_Data[[#This Row],[Age]]&lt;=25,1,IF(HR_Data[[#This Row],[Age]]&lt;=35,2,IF(HR_Data[[#This Row],[Age]]&lt;=45,3,IF(HR_Data[[#This Row],[Age]]&lt;=55,4,5))))</f>
        <v>3</v>
      </c>
      <c r="AG379" s="1" t="str">
        <f>IF(HR_Data[[#This Row],[MonthlyIncome]]&lt;3000,"&lt;3K",IF(HR_Data[[#This Row],[MonthlyIncome]]&lt;6000,"3K-6K",IF(HR_Data[[#This Row],[MonthlyIncome]]&lt;10000,"6K-10K","10K+")))</f>
        <v>&lt;3K</v>
      </c>
      <c r="AH379" s="1">
        <f>IF(HR_Data[[#This Row],[MonthlyIncome]]&lt;3000,1,IF(HR_Data[[#This Row],[MonthlyIncome]]&lt;6000,2,IF(HR_Data[[#This Row],[MonthlyIncome]]&lt;10000,3,4)))</f>
        <v>1</v>
      </c>
      <c r="AI379" s="1" t="str">
        <f>IF(HR_Data[[#This Row],[YearsAtCompany]]&lt;=2,"0-2 Yrs",IF(HR_Data[[#This Row],[YearsAtCompany]]&lt;=5,"3-5 Yrs",IF(HR_Data[[#This Row],[YearsAtCompany]]&lt;=10,"6-10 Yrs","10+ Yrs")))</f>
        <v>0-2 Yrs</v>
      </c>
      <c r="AJ379" s="1">
        <f>IF(HR_Data[[#This Row],[YearsAtCompany]]&lt;=2,1,IF(HR_Data[[#This Row],[YearsAtCompany]]&lt;=5,2,IF(HR_Data[[#This Row],[YearsAtCompany]]&lt;=10,3,4)))</f>
        <v>1</v>
      </c>
      <c r="AK379" s="1" t="str">
        <f>CHOOSE(HR_Data[[#This Row],[Education]],"Below College","College","Bachelor","Master","Doctor")</f>
        <v>Bachelor</v>
      </c>
      <c r="AL379" s="1" t="str">
        <f>CHOOSE(HR_Data[[#This Row],[JobSatisfaction]],"Low","Medium","High","Very High")</f>
        <v>High</v>
      </c>
      <c r="AM379" s="1" t="str">
        <f>CHOOSE(HR_Data[[#This Row],[EnvironmentSatisfaction]],"Low","Medium","High","Very High")</f>
        <v>Very High</v>
      </c>
      <c r="AN379" s="1" t="str">
        <f>CHOOSE(HR_Data[[#This Row],[WorkLifeBalance]],"Bad","Good","Better","Best")</f>
        <v>Better</v>
      </c>
      <c r="AO379" s="1" t="str">
        <f>IF(HR_Data[[#This Row],[PercentSalaryHike]]&lt;=13,"11-13%",IF(HR_Data[[#This Row],[PercentSalaryHike]]&lt;=16,"14-16%",IF(HR_Data[[#This Row],[PercentSalaryHike]]&lt;=19,"17-19%","20-25%")))</f>
        <v>11-13%</v>
      </c>
      <c r="AP379" s="1">
        <f>IF(HR_Data[[#This Row],[PercentSalaryHike]]&lt;=13,1,IF(HR_Data[[#This Row],[PercentSalaryHike]]&lt;=16,2,IF(HR_Data[[#This Row],[PercentSalaryHike]]&lt;=19,3,4)))</f>
        <v>1</v>
      </c>
      <c r="AQ379" s="1" t="str">
        <f>IF(HR_Data[[#This Row],[DistanceFromHome]]&lt;=5,"1 to 5",IF(HR_Data[[#This Row],[DistanceFromHome]]&lt;=10,"6 to 10",IF(HR_Data[[#This Row],[DistanceFromHome]]&lt;=20,"11 to 20","21 to 29")))</f>
        <v>1 to 5</v>
      </c>
      <c r="AR379" s="1">
        <f>IF(HR_Data[[#This Row],[DistanceFromHome]]&lt;=5,1,IF(HR_Data[[#This Row],[DistanceFromHome]]&lt;=10,2,IF(HR_Data[[#This Row],[DistanceFromHome]]&lt;=20,3,4)))</f>
        <v>1</v>
      </c>
      <c r="AS379" s="1" t="str">
        <f>IF(HR_Data[[#This Row],[TotalWorkingYears]]&lt;=5,"0-5 Yrs",IF(HR_Data[[#This Row],[TotalWorkingYears]]&lt;=10,"6-10 Yrs",IF(HR_Data[[#This Row],[TotalWorkingYears]]&lt;=20,"11-20 Yrs","20+ Yrs")))</f>
        <v>6-10 Yrs</v>
      </c>
      <c r="AT379" s="1">
        <f>IF(HR_Data[[#This Row],[TotalWorkingYears]]&lt;=5,1,IF(HR_Data[[#This Row],[TotalWorkingYears]]&lt;=10,2,IF(HR_Data[[#This Row],[TotalWorkingYears]]&lt;=20,3,4)))</f>
        <v>2</v>
      </c>
    </row>
    <row r="380" spans="1:46" x14ac:dyDescent="0.25">
      <c r="A380">
        <v>34</v>
      </c>
      <c r="B380" t="s">
        <v>29</v>
      </c>
      <c r="C380" t="s">
        <v>48</v>
      </c>
      <c r="D380" t="s">
        <v>31</v>
      </c>
      <c r="E380">
        <v>19</v>
      </c>
      <c r="F380">
        <v>3</v>
      </c>
      <c r="G380" t="s">
        <v>52</v>
      </c>
      <c r="H380">
        <v>502</v>
      </c>
      <c r="I380">
        <v>1</v>
      </c>
      <c r="J380" t="s">
        <v>39</v>
      </c>
      <c r="K380">
        <v>4</v>
      </c>
      <c r="L380">
        <v>2</v>
      </c>
      <c r="M380" t="s">
        <v>34</v>
      </c>
      <c r="N380">
        <v>4</v>
      </c>
      <c r="O380" t="s">
        <v>35</v>
      </c>
      <c r="P380">
        <v>5304</v>
      </c>
      <c r="Q380">
        <v>8</v>
      </c>
      <c r="R380" t="s">
        <v>29</v>
      </c>
      <c r="S380">
        <v>13</v>
      </c>
      <c r="T380">
        <v>3</v>
      </c>
      <c r="U380">
        <v>2</v>
      </c>
      <c r="V380">
        <v>0</v>
      </c>
      <c r="W380">
        <v>9</v>
      </c>
      <c r="X380">
        <v>3</v>
      </c>
      <c r="Y380">
        <v>2</v>
      </c>
      <c r="Z380">
        <v>5</v>
      </c>
      <c r="AA380">
        <v>2</v>
      </c>
      <c r="AB380">
        <v>0</v>
      </c>
      <c r="AC380">
        <v>4</v>
      </c>
      <c r="AD380">
        <f>IF(HR_Data[[#This Row],[Attrition]]="Yes",1,0)</f>
        <v>1</v>
      </c>
      <c r="AE380" t="str">
        <f>IF(HR_Data[[#This Row],[Age]]&lt;=25,"18-25",IF(HR_Data[[#This Row],[Age]]&lt;=35,"26-35",IF(HR_Data[[#This Row],[Age]]&lt;=45,"36-45",IF(HR_Data[[#This Row],[Age]]&lt;=55,"46-55","55+"))))</f>
        <v>26-35</v>
      </c>
      <c r="AF380">
        <f>IF(HR_Data[[#This Row],[Age]]&lt;=25,1,IF(HR_Data[[#This Row],[Age]]&lt;=35,2,IF(HR_Data[[#This Row],[Age]]&lt;=45,3,IF(HR_Data[[#This Row],[Age]]&lt;=55,4,5))))</f>
        <v>2</v>
      </c>
      <c r="AG380" s="1" t="str">
        <f>IF(HR_Data[[#This Row],[MonthlyIncome]]&lt;3000,"&lt;3K",IF(HR_Data[[#This Row],[MonthlyIncome]]&lt;6000,"3K-6K",IF(HR_Data[[#This Row],[MonthlyIncome]]&lt;10000,"6K-10K","10K+")))</f>
        <v>3K-6K</v>
      </c>
      <c r="AH380" s="1">
        <f>IF(HR_Data[[#This Row],[MonthlyIncome]]&lt;3000,1,IF(HR_Data[[#This Row],[MonthlyIncome]]&lt;6000,2,IF(HR_Data[[#This Row],[MonthlyIncome]]&lt;10000,3,4)))</f>
        <v>2</v>
      </c>
      <c r="AI380" s="1" t="str">
        <f>IF(HR_Data[[#This Row],[YearsAtCompany]]&lt;=2,"0-2 Yrs",IF(HR_Data[[#This Row],[YearsAtCompany]]&lt;=5,"3-5 Yrs",IF(HR_Data[[#This Row],[YearsAtCompany]]&lt;=10,"6-10 Yrs","10+ Yrs")))</f>
        <v>3-5 Yrs</v>
      </c>
      <c r="AJ380" s="1">
        <f>IF(HR_Data[[#This Row],[YearsAtCompany]]&lt;=2,1,IF(HR_Data[[#This Row],[YearsAtCompany]]&lt;=5,2,IF(HR_Data[[#This Row],[YearsAtCompany]]&lt;=10,3,4)))</f>
        <v>2</v>
      </c>
      <c r="AK380" s="1" t="str">
        <f>CHOOSE(HR_Data[[#This Row],[Education]],"Below College","College","Bachelor","Master","Doctor")</f>
        <v>Bachelor</v>
      </c>
      <c r="AL380" s="1" t="str">
        <f>CHOOSE(HR_Data[[#This Row],[JobSatisfaction]],"Low","Medium","High","Very High")</f>
        <v>Very High</v>
      </c>
      <c r="AM380" s="1" t="str">
        <f>CHOOSE(HR_Data[[#This Row],[EnvironmentSatisfaction]],"Low","Medium","High","Very High")</f>
        <v>Low</v>
      </c>
      <c r="AN380" s="1" t="str">
        <f>CHOOSE(HR_Data[[#This Row],[WorkLifeBalance]],"Bad","Good","Better","Best")</f>
        <v>Good</v>
      </c>
      <c r="AO380" s="1" t="str">
        <f>IF(HR_Data[[#This Row],[PercentSalaryHike]]&lt;=13,"11-13%",IF(HR_Data[[#This Row],[PercentSalaryHike]]&lt;=16,"14-16%",IF(HR_Data[[#This Row],[PercentSalaryHike]]&lt;=19,"17-19%","20-25%")))</f>
        <v>11-13%</v>
      </c>
      <c r="AP380" s="1">
        <f>IF(HR_Data[[#This Row],[PercentSalaryHike]]&lt;=13,1,IF(HR_Data[[#This Row],[PercentSalaryHike]]&lt;=16,2,IF(HR_Data[[#This Row],[PercentSalaryHike]]&lt;=19,3,4)))</f>
        <v>1</v>
      </c>
      <c r="AQ380" s="1" t="str">
        <f>IF(HR_Data[[#This Row],[DistanceFromHome]]&lt;=5,"1 to 5",IF(HR_Data[[#This Row],[DistanceFromHome]]&lt;=10,"6 to 10",IF(HR_Data[[#This Row],[DistanceFromHome]]&lt;=20,"11 to 20","21 to 29")))</f>
        <v>11 to 20</v>
      </c>
      <c r="AR380" s="1">
        <f>IF(HR_Data[[#This Row],[DistanceFromHome]]&lt;=5,1,IF(HR_Data[[#This Row],[DistanceFromHome]]&lt;=10,2,IF(HR_Data[[#This Row],[DistanceFromHome]]&lt;=20,3,4)))</f>
        <v>3</v>
      </c>
      <c r="AS380" s="1" t="str">
        <f>IF(HR_Data[[#This Row],[TotalWorkingYears]]&lt;=5,"0-5 Yrs",IF(HR_Data[[#This Row],[TotalWorkingYears]]&lt;=10,"6-10 Yrs",IF(HR_Data[[#This Row],[TotalWorkingYears]]&lt;=20,"11-20 Yrs","20+ Yrs")))</f>
        <v>6-10 Yrs</v>
      </c>
      <c r="AT380" s="1">
        <f>IF(HR_Data[[#This Row],[TotalWorkingYears]]&lt;=5,1,IF(HR_Data[[#This Row],[TotalWorkingYears]]&lt;=10,2,IF(HR_Data[[#This Row],[TotalWorkingYears]]&lt;=20,3,4)))</f>
        <v>2</v>
      </c>
    </row>
    <row r="381" spans="1:46" x14ac:dyDescent="0.25">
      <c r="A381">
        <v>55</v>
      </c>
      <c r="B381" t="s">
        <v>36</v>
      </c>
      <c r="C381" t="s">
        <v>30</v>
      </c>
      <c r="D381" t="s">
        <v>38</v>
      </c>
      <c r="E381">
        <v>2</v>
      </c>
      <c r="F381">
        <v>3</v>
      </c>
      <c r="G381" t="s">
        <v>32</v>
      </c>
      <c r="H381">
        <v>505</v>
      </c>
      <c r="I381">
        <v>3</v>
      </c>
      <c r="J381" t="s">
        <v>33</v>
      </c>
      <c r="K381">
        <v>3</v>
      </c>
      <c r="L381">
        <v>4</v>
      </c>
      <c r="M381" t="s">
        <v>49</v>
      </c>
      <c r="N381">
        <v>4</v>
      </c>
      <c r="O381" t="s">
        <v>35</v>
      </c>
      <c r="P381">
        <v>16659</v>
      </c>
      <c r="Q381">
        <v>2</v>
      </c>
      <c r="R381" t="s">
        <v>29</v>
      </c>
      <c r="S381">
        <v>13</v>
      </c>
      <c r="T381">
        <v>3</v>
      </c>
      <c r="U381">
        <v>3</v>
      </c>
      <c r="V381">
        <v>0</v>
      </c>
      <c r="W381">
        <v>30</v>
      </c>
      <c r="X381">
        <v>2</v>
      </c>
      <c r="Y381">
        <v>3</v>
      </c>
      <c r="Z381">
        <v>5</v>
      </c>
      <c r="AA381">
        <v>4</v>
      </c>
      <c r="AB381">
        <v>1</v>
      </c>
      <c r="AC381">
        <v>2</v>
      </c>
      <c r="AD381">
        <f>IF(HR_Data[[#This Row],[Attrition]]="Yes",1,0)</f>
        <v>0</v>
      </c>
      <c r="AE381" t="str">
        <f>IF(HR_Data[[#This Row],[Age]]&lt;=25,"18-25",IF(HR_Data[[#This Row],[Age]]&lt;=35,"26-35",IF(HR_Data[[#This Row],[Age]]&lt;=45,"36-45",IF(HR_Data[[#This Row],[Age]]&lt;=55,"46-55","55+"))))</f>
        <v>46-55</v>
      </c>
      <c r="AF381">
        <f>IF(HR_Data[[#This Row],[Age]]&lt;=25,1,IF(HR_Data[[#This Row],[Age]]&lt;=35,2,IF(HR_Data[[#This Row],[Age]]&lt;=45,3,IF(HR_Data[[#This Row],[Age]]&lt;=55,4,5))))</f>
        <v>4</v>
      </c>
      <c r="AG381" s="1" t="str">
        <f>IF(HR_Data[[#This Row],[MonthlyIncome]]&lt;3000,"&lt;3K",IF(HR_Data[[#This Row],[MonthlyIncome]]&lt;6000,"3K-6K",IF(HR_Data[[#This Row],[MonthlyIncome]]&lt;10000,"6K-10K","10K+")))</f>
        <v>10K+</v>
      </c>
      <c r="AH381" s="1">
        <f>IF(HR_Data[[#This Row],[MonthlyIncome]]&lt;3000,1,IF(HR_Data[[#This Row],[MonthlyIncome]]&lt;6000,2,IF(HR_Data[[#This Row],[MonthlyIncome]]&lt;10000,3,4)))</f>
        <v>4</v>
      </c>
      <c r="AI381" s="1" t="str">
        <f>IF(HR_Data[[#This Row],[YearsAtCompany]]&lt;=2,"0-2 Yrs",IF(HR_Data[[#This Row],[YearsAtCompany]]&lt;=5,"3-5 Yrs",IF(HR_Data[[#This Row],[YearsAtCompany]]&lt;=10,"6-10 Yrs","10+ Yrs")))</f>
        <v>3-5 Yrs</v>
      </c>
      <c r="AJ381" s="1">
        <f>IF(HR_Data[[#This Row],[YearsAtCompany]]&lt;=2,1,IF(HR_Data[[#This Row],[YearsAtCompany]]&lt;=5,2,IF(HR_Data[[#This Row],[YearsAtCompany]]&lt;=10,3,4)))</f>
        <v>2</v>
      </c>
      <c r="AK381" s="1" t="str">
        <f>CHOOSE(HR_Data[[#This Row],[Education]],"Below College","College","Bachelor","Master","Doctor")</f>
        <v>Bachelor</v>
      </c>
      <c r="AL381" s="1" t="str">
        <f>CHOOSE(HR_Data[[#This Row],[JobSatisfaction]],"Low","Medium","High","Very High")</f>
        <v>Very High</v>
      </c>
      <c r="AM381" s="1" t="str">
        <f>CHOOSE(HR_Data[[#This Row],[EnvironmentSatisfaction]],"Low","Medium","High","Very High")</f>
        <v>High</v>
      </c>
      <c r="AN381" s="1" t="str">
        <f>CHOOSE(HR_Data[[#This Row],[WorkLifeBalance]],"Bad","Good","Better","Best")</f>
        <v>Better</v>
      </c>
      <c r="AO381" s="1" t="str">
        <f>IF(HR_Data[[#This Row],[PercentSalaryHike]]&lt;=13,"11-13%",IF(HR_Data[[#This Row],[PercentSalaryHike]]&lt;=16,"14-16%",IF(HR_Data[[#This Row],[PercentSalaryHike]]&lt;=19,"17-19%","20-25%")))</f>
        <v>11-13%</v>
      </c>
      <c r="AP381" s="1">
        <f>IF(HR_Data[[#This Row],[PercentSalaryHike]]&lt;=13,1,IF(HR_Data[[#This Row],[PercentSalaryHike]]&lt;=16,2,IF(HR_Data[[#This Row],[PercentSalaryHike]]&lt;=19,3,4)))</f>
        <v>1</v>
      </c>
      <c r="AQ381" s="1" t="str">
        <f>IF(HR_Data[[#This Row],[DistanceFromHome]]&lt;=5,"1 to 5",IF(HR_Data[[#This Row],[DistanceFromHome]]&lt;=10,"6 to 10",IF(HR_Data[[#This Row],[DistanceFromHome]]&lt;=20,"11 to 20","21 to 29")))</f>
        <v>1 to 5</v>
      </c>
      <c r="AR381" s="1">
        <f>IF(HR_Data[[#This Row],[DistanceFromHome]]&lt;=5,1,IF(HR_Data[[#This Row],[DistanceFromHome]]&lt;=10,2,IF(HR_Data[[#This Row],[DistanceFromHome]]&lt;=20,3,4)))</f>
        <v>1</v>
      </c>
      <c r="AS381" s="1" t="str">
        <f>IF(HR_Data[[#This Row],[TotalWorkingYears]]&lt;=5,"0-5 Yrs",IF(HR_Data[[#This Row],[TotalWorkingYears]]&lt;=10,"6-10 Yrs",IF(HR_Data[[#This Row],[TotalWorkingYears]]&lt;=20,"11-20 Yrs","20+ Yrs")))</f>
        <v>20+ Yrs</v>
      </c>
      <c r="AT381" s="1">
        <f>IF(HR_Data[[#This Row],[TotalWorkingYears]]&lt;=5,1,IF(HR_Data[[#This Row],[TotalWorkingYears]]&lt;=10,2,IF(HR_Data[[#This Row],[TotalWorkingYears]]&lt;=20,3,4)))</f>
        <v>4</v>
      </c>
    </row>
    <row r="382" spans="1:46" x14ac:dyDescent="0.25">
      <c r="A382">
        <v>24</v>
      </c>
      <c r="B382" t="s">
        <v>36</v>
      </c>
      <c r="C382" t="s">
        <v>30</v>
      </c>
      <c r="D382" t="s">
        <v>31</v>
      </c>
      <c r="E382">
        <v>10</v>
      </c>
      <c r="F382">
        <v>4</v>
      </c>
      <c r="G382" t="s">
        <v>52</v>
      </c>
      <c r="H382">
        <v>507</v>
      </c>
      <c r="I382">
        <v>4</v>
      </c>
      <c r="J382" t="s">
        <v>33</v>
      </c>
      <c r="K382">
        <v>3</v>
      </c>
      <c r="L382">
        <v>2</v>
      </c>
      <c r="M382" t="s">
        <v>34</v>
      </c>
      <c r="N382">
        <v>3</v>
      </c>
      <c r="O382" t="s">
        <v>45</v>
      </c>
      <c r="P382">
        <v>4260</v>
      </c>
      <c r="Q382">
        <v>1</v>
      </c>
      <c r="R382" t="s">
        <v>29</v>
      </c>
      <c r="S382">
        <v>12</v>
      </c>
      <c r="T382">
        <v>3</v>
      </c>
      <c r="U382">
        <v>4</v>
      </c>
      <c r="V382">
        <v>1</v>
      </c>
      <c r="W382">
        <v>5</v>
      </c>
      <c r="X382">
        <v>2</v>
      </c>
      <c r="Y382">
        <v>4</v>
      </c>
      <c r="Z382">
        <v>5</v>
      </c>
      <c r="AA382">
        <v>2</v>
      </c>
      <c r="AB382">
        <v>0</v>
      </c>
      <c r="AC382">
        <v>3</v>
      </c>
      <c r="AD382">
        <f>IF(HR_Data[[#This Row],[Attrition]]="Yes",1,0)</f>
        <v>0</v>
      </c>
      <c r="AE382" t="str">
        <f>IF(HR_Data[[#This Row],[Age]]&lt;=25,"18-25",IF(HR_Data[[#This Row],[Age]]&lt;=35,"26-35",IF(HR_Data[[#This Row],[Age]]&lt;=45,"36-45",IF(HR_Data[[#This Row],[Age]]&lt;=55,"46-55","55+"))))</f>
        <v>18-25</v>
      </c>
      <c r="AF382">
        <f>IF(HR_Data[[#This Row],[Age]]&lt;=25,1,IF(HR_Data[[#This Row],[Age]]&lt;=35,2,IF(HR_Data[[#This Row],[Age]]&lt;=45,3,IF(HR_Data[[#This Row],[Age]]&lt;=55,4,5))))</f>
        <v>1</v>
      </c>
      <c r="AG382" s="1" t="str">
        <f>IF(HR_Data[[#This Row],[MonthlyIncome]]&lt;3000,"&lt;3K",IF(HR_Data[[#This Row],[MonthlyIncome]]&lt;6000,"3K-6K",IF(HR_Data[[#This Row],[MonthlyIncome]]&lt;10000,"6K-10K","10K+")))</f>
        <v>3K-6K</v>
      </c>
      <c r="AH382" s="1">
        <f>IF(HR_Data[[#This Row],[MonthlyIncome]]&lt;3000,1,IF(HR_Data[[#This Row],[MonthlyIncome]]&lt;6000,2,IF(HR_Data[[#This Row],[MonthlyIncome]]&lt;10000,3,4)))</f>
        <v>2</v>
      </c>
      <c r="AI382" s="1" t="str">
        <f>IF(HR_Data[[#This Row],[YearsAtCompany]]&lt;=2,"0-2 Yrs",IF(HR_Data[[#This Row],[YearsAtCompany]]&lt;=5,"3-5 Yrs",IF(HR_Data[[#This Row],[YearsAtCompany]]&lt;=10,"6-10 Yrs","10+ Yrs")))</f>
        <v>3-5 Yrs</v>
      </c>
      <c r="AJ382" s="1">
        <f>IF(HR_Data[[#This Row],[YearsAtCompany]]&lt;=2,1,IF(HR_Data[[#This Row],[YearsAtCompany]]&lt;=5,2,IF(HR_Data[[#This Row],[YearsAtCompany]]&lt;=10,3,4)))</f>
        <v>2</v>
      </c>
      <c r="AK382" s="1" t="str">
        <f>CHOOSE(HR_Data[[#This Row],[Education]],"Below College","College","Bachelor","Master","Doctor")</f>
        <v>Master</v>
      </c>
      <c r="AL382" s="1" t="str">
        <f>CHOOSE(HR_Data[[#This Row],[JobSatisfaction]],"Low","Medium","High","Very High")</f>
        <v>High</v>
      </c>
      <c r="AM382" s="1" t="str">
        <f>CHOOSE(HR_Data[[#This Row],[EnvironmentSatisfaction]],"Low","Medium","High","Very High")</f>
        <v>Very High</v>
      </c>
      <c r="AN382" s="1" t="str">
        <f>CHOOSE(HR_Data[[#This Row],[WorkLifeBalance]],"Bad","Good","Better","Best")</f>
        <v>Best</v>
      </c>
      <c r="AO382" s="1" t="str">
        <f>IF(HR_Data[[#This Row],[PercentSalaryHike]]&lt;=13,"11-13%",IF(HR_Data[[#This Row],[PercentSalaryHike]]&lt;=16,"14-16%",IF(HR_Data[[#This Row],[PercentSalaryHike]]&lt;=19,"17-19%","20-25%")))</f>
        <v>11-13%</v>
      </c>
      <c r="AP382" s="1">
        <f>IF(HR_Data[[#This Row],[PercentSalaryHike]]&lt;=13,1,IF(HR_Data[[#This Row],[PercentSalaryHike]]&lt;=16,2,IF(HR_Data[[#This Row],[PercentSalaryHike]]&lt;=19,3,4)))</f>
        <v>1</v>
      </c>
      <c r="AQ382" s="1" t="str">
        <f>IF(HR_Data[[#This Row],[DistanceFromHome]]&lt;=5,"1 to 5",IF(HR_Data[[#This Row],[DistanceFromHome]]&lt;=10,"6 to 10",IF(HR_Data[[#This Row],[DistanceFromHome]]&lt;=20,"11 to 20","21 to 29")))</f>
        <v>6 to 10</v>
      </c>
      <c r="AR382" s="1">
        <f>IF(HR_Data[[#This Row],[DistanceFromHome]]&lt;=5,1,IF(HR_Data[[#This Row],[DistanceFromHome]]&lt;=10,2,IF(HR_Data[[#This Row],[DistanceFromHome]]&lt;=20,3,4)))</f>
        <v>2</v>
      </c>
      <c r="AS382" s="1" t="str">
        <f>IF(HR_Data[[#This Row],[TotalWorkingYears]]&lt;=5,"0-5 Yrs",IF(HR_Data[[#This Row],[TotalWorkingYears]]&lt;=10,"6-10 Yrs",IF(HR_Data[[#This Row],[TotalWorkingYears]]&lt;=20,"11-20 Yrs","20+ Yrs")))</f>
        <v>0-5 Yrs</v>
      </c>
      <c r="AT382" s="1">
        <f>IF(HR_Data[[#This Row],[TotalWorkingYears]]&lt;=5,1,IF(HR_Data[[#This Row],[TotalWorkingYears]]&lt;=10,2,IF(HR_Data[[#This Row],[TotalWorkingYears]]&lt;=20,3,4)))</f>
        <v>1</v>
      </c>
    </row>
    <row r="383" spans="1:46" x14ac:dyDescent="0.25">
      <c r="A383">
        <v>30</v>
      </c>
      <c r="B383" t="s">
        <v>36</v>
      </c>
      <c r="C383" t="s">
        <v>30</v>
      </c>
      <c r="D383" t="s">
        <v>31</v>
      </c>
      <c r="E383">
        <v>2</v>
      </c>
      <c r="F383">
        <v>1</v>
      </c>
      <c r="G383" t="s">
        <v>53</v>
      </c>
      <c r="H383">
        <v>508</v>
      </c>
      <c r="I383">
        <v>3</v>
      </c>
      <c r="J383" t="s">
        <v>39</v>
      </c>
      <c r="K383">
        <v>3</v>
      </c>
      <c r="L383">
        <v>1</v>
      </c>
      <c r="M383" t="s">
        <v>50</v>
      </c>
      <c r="N383">
        <v>2</v>
      </c>
      <c r="O383" t="s">
        <v>41</v>
      </c>
      <c r="P383">
        <v>2476</v>
      </c>
      <c r="Q383">
        <v>1</v>
      </c>
      <c r="R383" t="s">
        <v>36</v>
      </c>
      <c r="S383">
        <v>18</v>
      </c>
      <c r="T383">
        <v>3</v>
      </c>
      <c r="U383">
        <v>1</v>
      </c>
      <c r="V383">
        <v>1</v>
      </c>
      <c r="W383">
        <v>1</v>
      </c>
      <c r="X383">
        <v>3</v>
      </c>
      <c r="Y383">
        <v>3</v>
      </c>
      <c r="Z383">
        <v>1</v>
      </c>
      <c r="AA383">
        <v>0</v>
      </c>
      <c r="AB383">
        <v>0</v>
      </c>
      <c r="AC383">
        <v>0</v>
      </c>
      <c r="AD383">
        <f>IF(HR_Data[[#This Row],[Attrition]]="Yes",1,0)</f>
        <v>0</v>
      </c>
      <c r="AE383" t="str">
        <f>IF(HR_Data[[#This Row],[Age]]&lt;=25,"18-25",IF(HR_Data[[#This Row],[Age]]&lt;=35,"26-35",IF(HR_Data[[#This Row],[Age]]&lt;=45,"36-45",IF(HR_Data[[#This Row],[Age]]&lt;=55,"46-55","55+"))))</f>
        <v>26-35</v>
      </c>
      <c r="AF383">
        <f>IF(HR_Data[[#This Row],[Age]]&lt;=25,1,IF(HR_Data[[#This Row],[Age]]&lt;=35,2,IF(HR_Data[[#This Row],[Age]]&lt;=45,3,IF(HR_Data[[#This Row],[Age]]&lt;=55,4,5))))</f>
        <v>2</v>
      </c>
      <c r="AG383" s="1" t="str">
        <f>IF(HR_Data[[#This Row],[MonthlyIncome]]&lt;3000,"&lt;3K",IF(HR_Data[[#This Row],[MonthlyIncome]]&lt;6000,"3K-6K",IF(HR_Data[[#This Row],[MonthlyIncome]]&lt;10000,"6K-10K","10K+")))</f>
        <v>&lt;3K</v>
      </c>
      <c r="AH383" s="1">
        <f>IF(HR_Data[[#This Row],[MonthlyIncome]]&lt;3000,1,IF(HR_Data[[#This Row],[MonthlyIncome]]&lt;6000,2,IF(HR_Data[[#This Row],[MonthlyIncome]]&lt;10000,3,4)))</f>
        <v>1</v>
      </c>
      <c r="AI383" s="1" t="str">
        <f>IF(HR_Data[[#This Row],[YearsAtCompany]]&lt;=2,"0-2 Yrs",IF(HR_Data[[#This Row],[YearsAtCompany]]&lt;=5,"3-5 Yrs",IF(HR_Data[[#This Row],[YearsAtCompany]]&lt;=10,"6-10 Yrs","10+ Yrs")))</f>
        <v>0-2 Yrs</v>
      </c>
      <c r="AJ383" s="1">
        <f>IF(HR_Data[[#This Row],[YearsAtCompany]]&lt;=2,1,IF(HR_Data[[#This Row],[YearsAtCompany]]&lt;=5,2,IF(HR_Data[[#This Row],[YearsAtCompany]]&lt;=10,3,4)))</f>
        <v>1</v>
      </c>
      <c r="AK383" s="1" t="str">
        <f>CHOOSE(HR_Data[[#This Row],[Education]],"Below College","College","Bachelor","Master","Doctor")</f>
        <v>Below College</v>
      </c>
      <c r="AL383" s="1" t="str">
        <f>CHOOSE(HR_Data[[#This Row],[JobSatisfaction]],"Low","Medium","High","Very High")</f>
        <v>Medium</v>
      </c>
      <c r="AM383" s="1" t="str">
        <f>CHOOSE(HR_Data[[#This Row],[EnvironmentSatisfaction]],"Low","Medium","High","Very High")</f>
        <v>High</v>
      </c>
      <c r="AN383" s="1" t="str">
        <f>CHOOSE(HR_Data[[#This Row],[WorkLifeBalance]],"Bad","Good","Better","Best")</f>
        <v>Better</v>
      </c>
      <c r="AO383" s="1" t="str">
        <f>IF(HR_Data[[#This Row],[PercentSalaryHike]]&lt;=13,"11-13%",IF(HR_Data[[#This Row],[PercentSalaryHike]]&lt;=16,"14-16%",IF(HR_Data[[#This Row],[PercentSalaryHike]]&lt;=19,"17-19%","20-25%")))</f>
        <v>17-19%</v>
      </c>
      <c r="AP383" s="1">
        <f>IF(HR_Data[[#This Row],[PercentSalaryHike]]&lt;=13,1,IF(HR_Data[[#This Row],[PercentSalaryHike]]&lt;=16,2,IF(HR_Data[[#This Row],[PercentSalaryHike]]&lt;=19,3,4)))</f>
        <v>3</v>
      </c>
      <c r="AQ383" s="1" t="str">
        <f>IF(HR_Data[[#This Row],[DistanceFromHome]]&lt;=5,"1 to 5",IF(HR_Data[[#This Row],[DistanceFromHome]]&lt;=10,"6 to 10",IF(HR_Data[[#This Row],[DistanceFromHome]]&lt;=20,"11 to 20","21 to 29")))</f>
        <v>1 to 5</v>
      </c>
      <c r="AR383" s="1">
        <f>IF(HR_Data[[#This Row],[DistanceFromHome]]&lt;=5,1,IF(HR_Data[[#This Row],[DistanceFromHome]]&lt;=10,2,IF(HR_Data[[#This Row],[DistanceFromHome]]&lt;=20,3,4)))</f>
        <v>1</v>
      </c>
      <c r="AS383" s="1" t="str">
        <f>IF(HR_Data[[#This Row],[TotalWorkingYears]]&lt;=5,"0-5 Yrs",IF(HR_Data[[#This Row],[TotalWorkingYears]]&lt;=10,"6-10 Yrs",IF(HR_Data[[#This Row],[TotalWorkingYears]]&lt;=20,"11-20 Yrs","20+ Yrs")))</f>
        <v>0-5 Yrs</v>
      </c>
      <c r="AT383" s="1">
        <f>IF(HR_Data[[#This Row],[TotalWorkingYears]]&lt;=5,1,IF(HR_Data[[#This Row],[TotalWorkingYears]]&lt;=10,2,IF(HR_Data[[#This Row],[TotalWorkingYears]]&lt;=20,3,4)))</f>
        <v>1</v>
      </c>
    </row>
    <row r="384" spans="1:46" x14ac:dyDescent="0.25">
      <c r="A384">
        <v>26</v>
      </c>
      <c r="B384" t="s">
        <v>29</v>
      </c>
      <c r="C384" t="s">
        <v>37</v>
      </c>
      <c r="D384" t="s">
        <v>38</v>
      </c>
      <c r="E384">
        <v>3</v>
      </c>
      <c r="F384">
        <v>1</v>
      </c>
      <c r="G384" t="s">
        <v>53</v>
      </c>
      <c r="H384">
        <v>510</v>
      </c>
      <c r="I384">
        <v>3</v>
      </c>
      <c r="J384" t="s">
        <v>39</v>
      </c>
      <c r="K384">
        <v>3</v>
      </c>
      <c r="L384">
        <v>1</v>
      </c>
      <c r="M384" t="s">
        <v>40</v>
      </c>
      <c r="N384">
        <v>1</v>
      </c>
      <c r="O384" t="s">
        <v>35</v>
      </c>
      <c r="P384">
        <v>3102</v>
      </c>
      <c r="Q384">
        <v>0</v>
      </c>
      <c r="R384" t="s">
        <v>36</v>
      </c>
      <c r="S384">
        <v>22</v>
      </c>
      <c r="T384">
        <v>4</v>
      </c>
      <c r="U384">
        <v>3</v>
      </c>
      <c r="V384">
        <v>0</v>
      </c>
      <c r="W384">
        <v>7</v>
      </c>
      <c r="X384">
        <v>2</v>
      </c>
      <c r="Y384">
        <v>3</v>
      </c>
      <c r="Z384">
        <v>6</v>
      </c>
      <c r="AA384">
        <v>4</v>
      </c>
      <c r="AB384">
        <v>0</v>
      </c>
      <c r="AC384">
        <v>4</v>
      </c>
      <c r="AD384">
        <f>IF(HR_Data[[#This Row],[Attrition]]="Yes",1,0)</f>
        <v>1</v>
      </c>
      <c r="AE384" t="str">
        <f>IF(HR_Data[[#This Row],[Age]]&lt;=25,"18-25",IF(HR_Data[[#This Row],[Age]]&lt;=35,"26-35",IF(HR_Data[[#This Row],[Age]]&lt;=45,"36-45",IF(HR_Data[[#This Row],[Age]]&lt;=55,"46-55","55+"))))</f>
        <v>26-35</v>
      </c>
      <c r="AF384">
        <f>IF(HR_Data[[#This Row],[Age]]&lt;=25,1,IF(HR_Data[[#This Row],[Age]]&lt;=35,2,IF(HR_Data[[#This Row],[Age]]&lt;=45,3,IF(HR_Data[[#This Row],[Age]]&lt;=55,4,5))))</f>
        <v>2</v>
      </c>
      <c r="AG384" s="1" t="str">
        <f>IF(HR_Data[[#This Row],[MonthlyIncome]]&lt;3000,"&lt;3K",IF(HR_Data[[#This Row],[MonthlyIncome]]&lt;6000,"3K-6K",IF(HR_Data[[#This Row],[MonthlyIncome]]&lt;10000,"6K-10K","10K+")))</f>
        <v>3K-6K</v>
      </c>
      <c r="AH384" s="1">
        <f>IF(HR_Data[[#This Row],[MonthlyIncome]]&lt;3000,1,IF(HR_Data[[#This Row],[MonthlyIncome]]&lt;6000,2,IF(HR_Data[[#This Row],[MonthlyIncome]]&lt;10000,3,4)))</f>
        <v>2</v>
      </c>
      <c r="AI384" s="1" t="str">
        <f>IF(HR_Data[[#This Row],[YearsAtCompany]]&lt;=2,"0-2 Yrs",IF(HR_Data[[#This Row],[YearsAtCompany]]&lt;=5,"3-5 Yrs",IF(HR_Data[[#This Row],[YearsAtCompany]]&lt;=10,"6-10 Yrs","10+ Yrs")))</f>
        <v>6-10 Yrs</v>
      </c>
      <c r="AJ384" s="1">
        <f>IF(HR_Data[[#This Row],[YearsAtCompany]]&lt;=2,1,IF(HR_Data[[#This Row],[YearsAtCompany]]&lt;=5,2,IF(HR_Data[[#This Row],[YearsAtCompany]]&lt;=10,3,4)))</f>
        <v>3</v>
      </c>
      <c r="AK384" s="1" t="str">
        <f>CHOOSE(HR_Data[[#This Row],[Education]],"Below College","College","Bachelor","Master","Doctor")</f>
        <v>Below College</v>
      </c>
      <c r="AL384" s="1" t="str">
        <f>CHOOSE(HR_Data[[#This Row],[JobSatisfaction]],"Low","Medium","High","Very High")</f>
        <v>Low</v>
      </c>
      <c r="AM384" s="1" t="str">
        <f>CHOOSE(HR_Data[[#This Row],[EnvironmentSatisfaction]],"Low","Medium","High","Very High")</f>
        <v>High</v>
      </c>
      <c r="AN384" s="1" t="str">
        <f>CHOOSE(HR_Data[[#This Row],[WorkLifeBalance]],"Bad","Good","Better","Best")</f>
        <v>Better</v>
      </c>
      <c r="AO384" s="1" t="str">
        <f>IF(HR_Data[[#This Row],[PercentSalaryHike]]&lt;=13,"11-13%",IF(HR_Data[[#This Row],[PercentSalaryHike]]&lt;=16,"14-16%",IF(HR_Data[[#This Row],[PercentSalaryHike]]&lt;=19,"17-19%","20-25%")))</f>
        <v>20-25%</v>
      </c>
      <c r="AP384" s="1">
        <f>IF(HR_Data[[#This Row],[PercentSalaryHike]]&lt;=13,1,IF(HR_Data[[#This Row],[PercentSalaryHike]]&lt;=16,2,IF(HR_Data[[#This Row],[PercentSalaryHike]]&lt;=19,3,4)))</f>
        <v>4</v>
      </c>
      <c r="AQ384" s="1" t="str">
        <f>IF(HR_Data[[#This Row],[DistanceFromHome]]&lt;=5,"1 to 5",IF(HR_Data[[#This Row],[DistanceFromHome]]&lt;=10,"6 to 10",IF(HR_Data[[#This Row],[DistanceFromHome]]&lt;=20,"11 to 20","21 to 29")))</f>
        <v>1 to 5</v>
      </c>
      <c r="AR384" s="1">
        <f>IF(HR_Data[[#This Row],[DistanceFromHome]]&lt;=5,1,IF(HR_Data[[#This Row],[DistanceFromHome]]&lt;=10,2,IF(HR_Data[[#This Row],[DistanceFromHome]]&lt;=20,3,4)))</f>
        <v>1</v>
      </c>
      <c r="AS384" s="1" t="str">
        <f>IF(HR_Data[[#This Row],[TotalWorkingYears]]&lt;=5,"0-5 Yrs",IF(HR_Data[[#This Row],[TotalWorkingYears]]&lt;=10,"6-10 Yrs",IF(HR_Data[[#This Row],[TotalWorkingYears]]&lt;=20,"11-20 Yrs","20+ Yrs")))</f>
        <v>6-10 Yrs</v>
      </c>
      <c r="AT384" s="1">
        <f>IF(HR_Data[[#This Row],[TotalWorkingYears]]&lt;=5,1,IF(HR_Data[[#This Row],[TotalWorkingYears]]&lt;=10,2,IF(HR_Data[[#This Row],[TotalWorkingYears]]&lt;=20,3,4)))</f>
        <v>2</v>
      </c>
    </row>
    <row r="385" spans="1:46" x14ac:dyDescent="0.25">
      <c r="A385">
        <v>22</v>
      </c>
      <c r="B385" t="s">
        <v>36</v>
      </c>
      <c r="C385" t="s">
        <v>30</v>
      </c>
      <c r="D385" t="s">
        <v>38</v>
      </c>
      <c r="E385">
        <v>11</v>
      </c>
      <c r="F385">
        <v>3</v>
      </c>
      <c r="G385" t="s">
        <v>44</v>
      </c>
      <c r="H385">
        <v>511</v>
      </c>
      <c r="I385">
        <v>1</v>
      </c>
      <c r="J385" t="s">
        <v>33</v>
      </c>
      <c r="K385">
        <v>3</v>
      </c>
      <c r="L385">
        <v>1</v>
      </c>
      <c r="M385" t="s">
        <v>40</v>
      </c>
      <c r="N385">
        <v>2</v>
      </c>
      <c r="O385" t="s">
        <v>41</v>
      </c>
      <c r="P385">
        <v>2244</v>
      </c>
      <c r="Q385">
        <v>1</v>
      </c>
      <c r="R385" t="s">
        <v>36</v>
      </c>
      <c r="S385">
        <v>13</v>
      </c>
      <c r="T385">
        <v>3</v>
      </c>
      <c r="U385">
        <v>4</v>
      </c>
      <c r="V385">
        <v>1</v>
      </c>
      <c r="W385">
        <v>2</v>
      </c>
      <c r="X385">
        <v>1</v>
      </c>
      <c r="Y385">
        <v>3</v>
      </c>
      <c r="Z385">
        <v>2</v>
      </c>
      <c r="AA385">
        <v>1</v>
      </c>
      <c r="AB385">
        <v>1</v>
      </c>
      <c r="AC385">
        <v>2</v>
      </c>
      <c r="AD385">
        <f>IF(HR_Data[[#This Row],[Attrition]]="Yes",1,0)</f>
        <v>0</v>
      </c>
      <c r="AE385" t="str">
        <f>IF(HR_Data[[#This Row],[Age]]&lt;=25,"18-25",IF(HR_Data[[#This Row],[Age]]&lt;=35,"26-35",IF(HR_Data[[#This Row],[Age]]&lt;=45,"36-45",IF(HR_Data[[#This Row],[Age]]&lt;=55,"46-55","55+"))))</f>
        <v>18-25</v>
      </c>
      <c r="AF385">
        <f>IF(HR_Data[[#This Row],[Age]]&lt;=25,1,IF(HR_Data[[#This Row],[Age]]&lt;=35,2,IF(HR_Data[[#This Row],[Age]]&lt;=45,3,IF(HR_Data[[#This Row],[Age]]&lt;=55,4,5))))</f>
        <v>1</v>
      </c>
      <c r="AG385" s="1" t="str">
        <f>IF(HR_Data[[#This Row],[MonthlyIncome]]&lt;3000,"&lt;3K",IF(HR_Data[[#This Row],[MonthlyIncome]]&lt;6000,"3K-6K",IF(HR_Data[[#This Row],[MonthlyIncome]]&lt;10000,"6K-10K","10K+")))</f>
        <v>&lt;3K</v>
      </c>
      <c r="AH385" s="1">
        <f>IF(HR_Data[[#This Row],[MonthlyIncome]]&lt;3000,1,IF(HR_Data[[#This Row],[MonthlyIncome]]&lt;6000,2,IF(HR_Data[[#This Row],[MonthlyIncome]]&lt;10000,3,4)))</f>
        <v>1</v>
      </c>
      <c r="AI385" s="1" t="str">
        <f>IF(HR_Data[[#This Row],[YearsAtCompany]]&lt;=2,"0-2 Yrs",IF(HR_Data[[#This Row],[YearsAtCompany]]&lt;=5,"3-5 Yrs",IF(HR_Data[[#This Row],[YearsAtCompany]]&lt;=10,"6-10 Yrs","10+ Yrs")))</f>
        <v>0-2 Yrs</v>
      </c>
      <c r="AJ385" s="1">
        <f>IF(HR_Data[[#This Row],[YearsAtCompany]]&lt;=2,1,IF(HR_Data[[#This Row],[YearsAtCompany]]&lt;=5,2,IF(HR_Data[[#This Row],[YearsAtCompany]]&lt;=10,3,4)))</f>
        <v>1</v>
      </c>
      <c r="AK385" s="1" t="str">
        <f>CHOOSE(HR_Data[[#This Row],[Education]],"Below College","College","Bachelor","Master","Doctor")</f>
        <v>Bachelor</v>
      </c>
      <c r="AL385" s="1" t="str">
        <f>CHOOSE(HR_Data[[#This Row],[JobSatisfaction]],"Low","Medium","High","Very High")</f>
        <v>Medium</v>
      </c>
      <c r="AM385" s="1" t="str">
        <f>CHOOSE(HR_Data[[#This Row],[EnvironmentSatisfaction]],"Low","Medium","High","Very High")</f>
        <v>Low</v>
      </c>
      <c r="AN385" s="1" t="str">
        <f>CHOOSE(HR_Data[[#This Row],[WorkLifeBalance]],"Bad","Good","Better","Best")</f>
        <v>Better</v>
      </c>
      <c r="AO385" s="1" t="str">
        <f>IF(HR_Data[[#This Row],[PercentSalaryHike]]&lt;=13,"11-13%",IF(HR_Data[[#This Row],[PercentSalaryHike]]&lt;=16,"14-16%",IF(HR_Data[[#This Row],[PercentSalaryHike]]&lt;=19,"17-19%","20-25%")))</f>
        <v>11-13%</v>
      </c>
      <c r="AP385" s="1">
        <f>IF(HR_Data[[#This Row],[PercentSalaryHike]]&lt;=13,1,IF(HR_Data[[#This Row],[PercentSalaryHike]]&lt;=16,2,IF(HR_Data[[#This Row],[PercentSalaryHike]]&lt;=19,3,4)))</f>
        <v>1</v>
      </c>
      <c r="AQ385" s="1" t="str">
        <f>IF(HR_Data[[#This Row],[DistanceFromHome]]&lt;=5,"1 to 5",IF(HR_Data[[#This Row],[DistanceFromHome]]&lt;=10,"6 to 10",IF(HR_Data[[#This Row],[DistanceFromHome]]&lt;=20,"11 to 20","21 to 29")))</f>
        <v>11 to 20</v>
      </c>
      <c r="AR385" s="1">
        <f>IF(HR_Data[[#This Row],[DistanceFromHome]]&lt;=5,1,IF(HR_Data[[#This Row],[DistanceFromHome]]&lt;=10,2,IF(HR_Data[[#This Row],[DistanceFromHome]]&lt;=20,3,4)))</f>
        <v>3</v>
      </c>
      <c r="AS385" s="1" t="str">
        <f>IF(HR_Data[[#This Row],[TotalWorkingYears]]&lt;=5,"0-5 Yrs",IF(HR_Data[[#This Row],[TotalWorkingYears]]&lt;=10,"6-10 Yrs",IF(HR_Data[[#This Row],[TotalWorkingYears]]&lt;=20,"11-20 Yrs","20+ Yrs")))</f>
        <v>0-5 Yrs</v>
      </c>
      <c r="AT385" s="1">
        <f>IF(HR_Data[[#This Row],[TotalWorkingYears]]&lt;=5,1,IF(HR_Data[[#This Row],[TotalWorkingYears]]&lt;=10,2,IF(HR_Data[[#This Row],[TotalWorkingYears]]&lt;=20,3,4)))</f>
        <v>1</v>
      </c>
    </row>
    <row r="386" spans="1:46" x14ac:dyDescent="0.25">
      <c r="A386">
        <v>36</v>
      </c>
      <c r="B386" t="s">
        <v>36</v>
      </c>
      <c r="C386" t="s">
        <v>30</v>
      </c>
      <c r="D386" t="s">
        <v>31</v>
      </c>
      <c r="E386">
        <v>2</v>
      </c>
      <c r="F386">
        <v>2</v>
      </c>
      <c r="G386" t="s">
        <v>44</v>
      </c>
      <c r="H386">
        <v>513</v>
      </c>
      <c r="I386">
        <v>2</v>
      </c>
      <c r="J386" t="s">
        <v>39</v>
      </c>
      <c r="K386">
        <v>2</v>
      </c>
      <c r="L386">
        <v>3</v>
      </c>
      <c r="M386" t="s">
        <v>34</v>
      </c>
      <c r="N386">
        <v>3</v>
      </c>
      <c r="O386" t="s">
        <v>41</v>
      </c>
      <c r="P386">
        <v>7596</v>
      </c>
      <c r="Q386">
        <v>1</v>
      </c>
      <c r="R386" t="s">
        <v>36</v>
      </c>
      <c r="S386">
        <v>13</v>
      </c>
      <c r="T386">
        <v>3</v>
      </c>
      <c r="U386">
        <v>2</v>
      </c>
      <c r="V386">
        <v>2</v>
      </c>
      <c r="W386">
        <v>10</v>
      </c>
      <c r="X386">
        <v>2</v>
      </c>
      <c r="Y386">
        <v>3</v>
      </c>
      <c r="Z386">
        <v>10</v>
      </c>
      <c r="AA386">
        <v>9</v>
      </c>
      <c r="AB386">
        <v>9</v>
      </c>
      <c r="AC386">
        <v>0</v>
      </c>
      <c r="AD386">
        <f>IF(HR_Data[[#This Row],[Attrition]]="Yes",1,0)</f>
        <v>0</v>
      </c>
      <c r="AE386" t="str">
        <f>IF(HR_Data[[#This Row],[Age]]&lt;=25,"18-25",IF(HR_Data[[#This Row],[Age]]&lt;=35,"26-35",IF(HR_Data[[#This Row],[Age]]&lt;=45,"36-45",IF(HR_Data[[#This Row],[Age]]&lt;=55,"46-55","55+"))))</f>
        <v>36-45</v>
      </c>
      <c r="AF386">
        <f>IF(HR_Data[[#This Row],[Age]]&lt;=25,1,IF(HR_Data[[#This Row],[Age]]&lt;=35,2,IF(HR_Data[[#This Row],[Age]]&lt;=45,3,IF(HR_Data[[#This Row],[Age]]&lt;=55,4,5))))</f>
        <v>3</v>
      </c>
      <c r="AG386" s="1" t="str">
        <f>IF(HR_Data[[#This Row],[MonthlyIncome]]&lt;3000,"&lt;3K",IF(HR_Data[[#This Row],[MonthlyIncome]]&lt;6000,"3K-6K",IF(HR_Data[[#This Row],[MonthlyIncome]]&lt;10000,"6K-10K","10K+")))</f>
        <v>6K-10K</v>
      </c>
      <c r="AH386" s="1">
        <f>IF(HR_Data[[#This Row],[MonthlyIncome]]&lt;3000,1,IF(HR_Data[[#This Row],[MonthlyIncome]]&lt;6000,2,IF(HR_Data[[#This Row],[MonthlyIncome]]&lt;10000,3,4)))</f>
        <v>3</v>
      </c>
      <c r="AI386" s="1" t="str">
        <f>IF(HR_Data[[#This Row],[YearsAtCompany]]&lt;=2,"0-2 Yrs",IF(HR_Data[[#This Row],[YearsAtCompany]]&lt;=5,"3-5 Yrs",IF(HR_Data[[#This Row],[YearsAtCompany]]&lt;=10,"6-10 Yrs","10+ Yrs")))</f>
        <v>6-10 Yrs</v>
      </c>
      <c r="AJ386" s="1">
        <f>IF(HR_Data[[#This Row],[YearsAtCompany]]&lt;=2,1,IF(HR_Data[[#This Row],[YearsAtCompany]]&lt;=5,2,IF(HR_Data[[#This Row],[YearsAtCompany]]&lt;=10,3,4)))</f>
        <v>3</v>
      </c>
      <c r="AK386" s="1" t="str">
        <f>CHOOSE(HR_Data[[#This Row],[Education]],"Below College","College","Bachelor","Master","Doctor")</f>
        <v>College</v>
      </c>
      <c r="AL386" s="1" t="str">
        <f>CHOOSE(HR_Data[[#This Row],[JobSatisfaction]],"Low","Medium","High","Very High")</f>
        <v>High</v>
      </c>
      <c r="AM386" s="1" t="str">
        <f>CHOOSE(HR_Data[[#This Row],[EnvironmentSatisfaction]],"Low","Medium","High","Very High")</f>
        <v>Medium</v>
      </c>
      <c r="AN386" s="1" t="str">
        <f>CHOOSE(HR_Data[[#This Row],[WorkLifeBalance]],"Bad","Good","Better","Best")</f>
        <v>Better</v>
      </c>
      <c r="AO386" s="1" t="str">
        <f>IF(HR_Data[[#This Row],[PercentSalaryHike]]&lt;=13,"11-13%",IF(HR_Data[[#This Row],[PercentSalaryHike]]&lt;=16,"14-16%",IF(HR_Data[[#This Row],[PercentSalaryHike]]&lt;=19,"17-19%","20-25%")))</f>
        <v>11-13%</v>
      </c>
      <c r="AP386" s="1">
        <f>IF(HR_Data[[#This Row],[PercentSalaryHike]]&lt;=13,1,IF(HR_Data[[#This Row],[PercentSalaryHike]]&lt;=16,2,IF(HR_Data[[#This Row],[PercentSalaryHike]]&lt;=19,3,4)))</f>
        <v>1</v>
      </c>
      <c r="AQ386" s="1" t="str">
        <f>IF(HR_Data[[#This Row],[DistanceFromHome]]&lt;=5,"1 to 5",IF(HR_Data[[#This Row],[DistanceFromHome]]&lt;=10,"6 to 10",IF(HR_Data[[#This Row],[DistanceFromHome]]&lt;=20,"11 to 20","21 to 29")))</f>
        <v>1 to 5</v>
      </c>
      <c r="AR386" s="1">
        <f>IF(HR_Data[[#This Row],[DistanceFromHome]]&lt;=5,1,IF(HR_Data[[#This Row],[DistanceFromHome]]&lt;=10,2,IF(HR_Data[[#This Row],[DistanceFromHome]]&lt;=20,3,4)))</f>
        <v>1</v>
      </c>
      <c r="AS386" s="1" t="str">
        <f>IF(HR_Data[[#This Row],[TotalWorkingYears]]&lt;=5,"0-5 Yrs",IF(HR_Data[[#This Row],[TotalWorkingYears]]&lt;=10,"6-10 Yrs",IF(HR_Data[[#This Row],[TotalWorkingYears]]&lt;=20,"11-20 Yrs","20+ Yrs")))</f>
        <v>6-10 Yrs</v>
      </c>
      <c r="AT386" s="1">
        <f>IF(HR_Data[[#This Row],[TotalWorkingYears]]&lt;=5,1,IF(HR_Data[[#This Row],[TotalWorkingYears]]&lt;=10,2,IF(HR_Data[[#This Row],[TotalWorkingYears]]&lt;=20,3,4)))</f>
        <v>2</v>
      </c>
    </row>
    <row r="387" spans="1:46" x14ac:dyDescent="0.25">
      <c r="A387">
        <v>30</v>
      </c>
      <c r="B387" t="s">
        <v>29</v>
      </c>
      <c r="C387" t="s">
        <v>37</v>
      </c>
      <c r="D387" t="s">
        <v>38</v>
      </c>
      <c r="E387">
        <v>4</v>
      </c>
      <c r="F387">
        <v>3</v>
      </c>
      <c r="G387" t="s">
        <v>53</v>
      </c>
      <c r="H387">
        <v>514</v>
      </c>
      <c r="I387">
        <v>3</v>
      </c>
      <c r="J387" t="s">
        <v>39</v>
      </c>
      <c r="K387">
        <v>3</v>
      </c>
      <c r="L387">
        <v>1</v>
      </c>
      <c r="M387" t="s">
        <v>40</v>
      </c>
      <c r="N387">
        <v>4</v>
      </c>
      <c r="O387" t="s">
        <v>35</v>
      </c>
      <c r="P387">
        <v>2285</v>
      </c>
      <c r="Q387">
        <v>9</v>
      </c>
      <c r="R387" t="s">
        <v>29</v>
      </c>
      <c r="S387">
        <v>23</v>
      </c>
      <c r="T387">
        <v>4</v>
      </c>
      <c r="U387">
        <v>3</v>
      </c>
      <c r="V387">
        <v>0</v>
      </c>
      <c r="W387">
        <v>3</v>
      </c>
      <c r="X387">
        <v>4</v>
      </c>
      <c r="Y387">
        <v>3</v>
      </c>
      <c r="Z387">
        <v>1</v>
      </c>
      <c r="AA387">
        <v>0</v>
      </c>
      <c r="AB387">
        <v>0</v>
      </c>
      <c r="AC387">
        <v>0</v>
      </c>
      <c r="AD387">
        <f>IF(HR_Data[[#This Row],[Attrition]]="Yes",1,0)</f>
        <v>1</v>
      </c>
      <c r="AE387" t="str">
        <f>IF(HR_Data[[#This Row],[Age]]&lt;=25,"18-25",IF(HR_Data[[#This Row],[Age]]&lt;=35,"26-35",IF(HR_Data[[#This Row],[Age]]&lt;=45,"36-45",IF(HR_Data[[#This Row],[Age]]&lt;=55,"46-55","55+"))))</f>
        <v>26-35</v>
      </c>
      <c r="AF387">
        <f>IF(HR_Data[[#This Row],[Age]]&lt;=25,1,IF(HR_Data[[#This Row],[Age]]&lt;=35,2,IF(HR_Data[[#This Row],[Age]]&lt;=45,3,IF(HR_Data[[#This Row],[Age]]&lt;=55,4,5))))</f>
        <v>2</v>
      </c>
      <c r="AG387" s="1" t="str">
        <f>IF(HR_Data[[#This Row],[MonthlyIncome]]&lt;3000,"&lt;3K",IF(HR_Data[[#This Row],[MonthlyIncome]]&lt;6000,"3K-6K",IF(HR_Data[[#This Row],[MonthlyIncome]]&lt;10000,"6K-10K","10K+")))</f>
        <v>&lt;3K</v>
      </c>
      <c r="AH387" s="1">
        <f>IF(HR_Data[[#This Row],[MonthlyIncome]]&lt;3000,1,IF(HR_Data[[#This Row],[MonthlyIncome]]&lt;6000,2,IF(HR_Data[[#This Row],[MonthlyIncome]]&lt;10000,3,4)))</f>
        <v>1</v>
      </c>
      <c r="AI387" s="1" t="str">
        <f>IF(HR_Data[[#This Row],[YearsAtCompany]]&lt;=2,"0-2 Yrs",IF(HR_Data[[#This Row],[YearsAtCompany]]&lt;=5,"3-5 Yrs",IF(HR_Data[[#This Row],[YearsAtCompany]]&lt;=10,"6-10 Yrs","10+ Yrs")))</f>
        <v>0-2 Yrs</v>
      </c>
      <c r="AJ387" s="1">
        <f>IF(HR_Data[[#This Row],[YearsAtCompany]]&lt;=2,1,IF(HR_Data[[#This Row],[YearsAtCompany]]&lt;=5,2,IF(HR_Data[[#This Row],[YearsAtCompany]]&lt;=10,3,4)))</f>
        <v>1</v>
      </c>
      <c r="AK387" s="1" t="str">
        <f>CHOOSE(HR_Data[[#This Row],[Education]],"Below College","College","Bachelor","Master","Doctor")</f>
        <v>Bachelor</v>
      </c>
      <c r="AL387" s="1" t="str">
        <f>CHOOSE(HR_Data[[#This Row],[JobSatisfaction]],"Low","Medium","High","Very High")</f>
        <v>Very High</v>
      </c>
      <c r="AM387" s="1" t="str">
        <f>CHOOSE(HR_Data[[#This Row],[EnvironmentSatisfaction]],"Low","Medium","High","Very High")</f>
        <v>High</v>
      </c>
      <c r="AN387" s="1" t="str">
        <f>CHOOSE(HR_Data[[#This Row],[WorkLifeBalance]],"Bad","Good","Better","Best")</f>
        <v>Better</v>
      </c>
      <c r="AO387" s="1" t="str">
        <f>IF(HR_Data[[#This Row],[PercentSalaryHike]]&lt;=13,"11-13%",IF(HR_Data[[#This Row],[PercentSalaryHike]]&lt;=16,"14-16%",IF(HR_Data[[#This Row],[PercentSalaryHike]]&lt;=19,"17-19%","20-25%")))</f>
        <v>20-25%</v>
      </c>
      <c r="AP387" s="1">
        <f>IF(HR_Data[[#This Row],[PercentSalaryHike]]&lt;=13,1,IF(HR_Data[[#This Row],[PercentSalaryHike]]&lt;=16,2,IF(HR_Data[[#This Row],[PercentSalaryHike]]&lt;=19,3,4)))</f>
        <v>4</v>
      </c>
      <c r="AQ387" s="1" t="str">
        <f>IF(HR_Data[[#This Row],[DistanceFromHome]]&lt;=5,"1 to 5",IF(HR_Data[[#This Row],[DistanceFromHome]]&lt;=10,"6 to 10",IF(HR_Data[[#This Row],[DistanceFromHome]]&lt;=20,"11 to 20","21 to 29")))</f>
        <v>1 to 5</v>
      </c>
      <c r="AR387" s="1">
        <f>IF(HR_Data[[#This Row],[DistanceFromHome]]&lt;=5,1,IF(HR_Data[[#This Row],[DistanceFromHome]]&lt;=10,2,IF(HR_Data[[#This Row],[DistanceFromHome]]&lt;=20,3,4)))</f>
        <v>1</v>
      </c>
      <c r="AS387" s="1" t="str">
        <f>IF(HR_Data[[#This Row],[TotalWorkingYears]]&lt;=5,"0-5 Yrs",IF(HR_Data[[#This Row],[TotalWorkingYears]]&lt;=10,"6-10 Yrs",IF(HR_Data[[#This Row],[TotalWorkingYears]]&lt;=20,"11-20 Yrs","20+ Yrs")))</f>
        <v>0-5 Yrs</v>
      </c>
      <c r="AT387" s="1">
        <f>IF(HR_Data[[#This Row],[TotalWorkingYears]]&lt;=5,1,IF(HR_Data[[#This Row],[TotalWorkingYears]]&lt;=10,2,IF(HR_Data[[#This Row],[TotalWorkingYears]]&lt;=20,3,4)))</f>
        <v>1</v>
      </c>
    </row>
    <row r="388" spans="1:46" x14ac:dyDescent="0.25">
      <c r="A388">
        <v>37</v>
      </c>
      <c r="B388" t="s">
        <v>36</v>
      </c>
      <c r="C388" t="s">
        <v>30</v>
      </c>
      <c r="D388" t="s">
        <v>38</v>
      </c>
      <c r="E388">
        <v>14</v>
      </c>
      <c r="F388">
        <v>3</v>
      </c>
      <c r="G388" t="s">
        <v>32</v>
      </c>
      <c r="H388">
        <v>515</v>
      </c>
      <c r="I388">
        <v>4</v>
      </c>
      <c r="J388" t="s">
        <v>33</v>
      </c>
      <c r="K388">
        <v>3</v>
      </c>
      <c r="L388">
        <v>1</v>
      </c>
      <c r="M388" t="s">
        <v>43</v>
      </c>
      <c r="N388">
        <v>1</v>
      </c>
      <c r="O388" t="s">
        <v>45</v>
      </c>
      <c r="P388">
        <v>3034</v>
      </c>
      <c r="Q388">
        <v>1</v>
      </c>
      <c r="R388" t="s">
        <v>36</v>
      </c>
      <c r="S388">
        <v>12</v>
      </c>
      <c r="T388">
        <v>3</v>
      </c>
      <c r="U388">
        <v>3</v>
      </c>
      <c r="V388">
        <v>1</v>
      </c>
      <c r="W388">
        <v>18</v>
      </c>
      <c r="X388">
        <v>2</v>
      </c>
      <c r="Y388">
        <v>2</v>
      </c>
      <c r="Z388">
        <v>18</v>
      </c>
      <c r="AA388">
        <v>7</v>
      </c>
      <c r="AB388">
        <v>12</v>
      </c>
      <c r="AC388">
        <v>17</v>
      </c>
      <c r="AD388">
        <f>IF(HR_Data[[#This Row],[Attrition]]="Yes",1,0)</f>
        <v>0</v>
      </c>
      <c r="AE388" t="str">
        <f>IF(HR_Data[[#This Row],[Age]]&lt;=25,"18-25",IF(HR_Data[[#This Row],[Age]]&lt;=35,"26-35",IF(HR_Data[[#This Row],[Age]]&lt;=45,"36-45",IF(HR_Data[[#This Row],[Age]]&lt;=55,"46-55","55+"))))</f>
        <v>36-45</v>
      </c>
      <c r="AF388">
        <f>IF(HR_Data[[#This Row],[Age]]&lt;=25,1,IF(HR_Data[[#This Row],[Age]]&lt;=35,2,IF(HR_Data[[#This Row],[Age]]&lt;=45,3,IF(HR_Data[[#This Row],[Age]]&lt;=55,4,5))))</f>
        <v>3</v>
      </c>
      <c r="AG388" s="1" t="str">
        <f>IF(HR_Data[[#This Row],[MonthlyIncome]]&lt;3000,"&lt;3K",IF(HR_Data[[#This Row],[MonthlyIncome]]&lt;6000,"3K-6K",IF(HR_Data[[#This Row],[MonthlyIncome]]&lt;10000,"6K-10K","10K+")))</f>
        <v>3K-6K</v>
      </c>
      <c r="AH388" s="1">
        <f>IF(HR_Data[[#This Row],[MonthlyIncome]]&lt;3000,1,IF(HR_Data[[#This Row],[MonthlyIncome]]&lt;6000,2,IF(HR_Data[[#This Row],[MonthlyIncome]]&lt;10000,3,4)))</f>
        <v>2</v>
      </c>
      <c r="AI388" s="1" t="str">
        <f>IF(HR_Data[[#This Row],[YearsAtCompany]]&lt;=2,"0-2 Yrs",IF(HR_Data[[#This Row],[YearsAtCompany]]&lt;=5,"3-5 Yrs",IF(HR_Data[[#This Row],[YearsAtCompany]]&lt;=10,"6-10 Yrs","10+ Yrs")))</f>
        <v>10+ Yrs</v>
      </c>
      <c r="AJ388" s="1">
        <f>IF(HR_Data[[#This Row],[YearsAtCompany]]&lt;=2,1,IF(HR_Data[[#This Row],[YearsAtCompany]]&lt;=5,2,IF(HR_Data[[#This Row],[YearsAtCompany]]&lt;=10,3,4)))</f>
        <v>4</v>
      </c>
      <c r="AK388" s="1" t="str">
        <f>CHOOSE(HR_Data[[#This Row],[Education]],"Below College","College","Bachelor","Master","Doctor")</f>
        <v>Bachelor</v>
      </c>
      <c r="AL388" s="1" t="str">
        <f>CHOOSE(HR_Data[[#This Row],[JobSatisfaction]],"Low","Medium","High","Very High")</f>
        <v>Low</v>
      </c>
      <c r="AM388" s="1" t="str">
        <f>CHOOSE(HR_Data[[#This Row],[EnvironmentSatisfaction]],"Low","Medium","High","Very High")</f>
        <v>Very High</v>
      </c>
      <c r="AN388" s="1" t="str">
        <f>CHOOSE(HR_Data[[#This Row],[WorkLifeBalance]],"Bad","Good","Better","Best")</f>
        <v>Good</v>
      </c>
      <c r="AO388" s="1" t="str">
        <f>IF(HR_Data[[#This Row],[PercentSalaryHike]]&lt;=13,"11-13%",IF(HR_Data[[#This Row],[PercentSalaryHike]]&lt;=16,"14-16%",IF(HR_Data[[#This Row],[PercentSalaryHike]]&lt;=19,"17-19%","20-25%")))</f>
        <v>11-13%</v>
      </c>
      <c r="AP388" s="1">
        <f>IF(HR_Data[[#This Row],[PercentSalaryHike]]&lt;=13,1,IF(HR_Data[[#This Row],[PercentSalaryHike]]&lt;=16,2,IF(HR_Data[[#This Row],[PercentSalaryHike]]&lt;=19,3,4)))</f>
        <v>1</v>
      </c>
      <c r="AQ388" s="1" t="str">
        <f>IF(HR_Data[[#This Row],[DistanceFromHome]]&lt;=5,"1 to 5",IF(HR_Data[[#This Row],[DistanceFromHome]]&lt;=10,"6 to 10",IF(HR_Data[[#This Row],[DistanceFromHome]]&lt;=20,"11 to 20","21 to 29")))</f>
        <v>11 to 20</v>
      </c>
      <c r="AR388" s="1">
        <f>IF(HR_Data[[#This Row],[DistanceFromHome]]&lt;=5,1,IF(HR_Data[[#This Row],[DistanceFromHome]]&lt;=10,2,IF(HR_Data[[#This Row],[DistanceFromHome]]&lt;=20,3,4)))</f>
        <v>3</v>
      </c>
      <c r="AS388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388" s="1">
        <f>IF(HR_Data[[#This Row],[TotalWorkingYears]]&lt;=5,1,IF(HR_Data[[#This Row],[TotalWorkingYears]]&lt;=10,2,IF(HR_Data[[#This Row],[TotalWorkingYears]]&lt;=20,3,4)))</f>
        <v>3</v>
      </c>
    </row>
    <row r="389" spans="1:46" x14ac:dyDescent="0.25">
      <c r="A389">
        <v>40</v>
      </c>
      <c r="B389" t="s">
        <v>36</v>
      </c>
      <c r="C389" t="s">
        <v>30</v>
      </c>
      <c r="D389" t="s">
        <v>31</v>
      </c>
      <c r="E389">
        <v>2</v>
      </c>
      <c r="F389">
        <v>2</v>
      </c>
      <c r="G389" t="s">
        <v>52</v>
      </c>
      <c r="H389">
        <v>516</v>
      </c>
      <c r="I389">
        <v>4</v>
      </c>
      <c r="J389" t="s">
        <v>33</v>
      </c>
      <c r="K389">
        <v>3</v>
      </c>
      <c r="L389">
        <v>2</v>
      </c>
      <c r="M389" t="s">
        <v>34</v>
      </c>
      <c r="N389">
        <v>2</v>
      </c>
      <c r="O389" t="s">
        <v>45</v>
      </c>
      <c r="P389">
        <v>5715</v>
      </c>
      <c r="Q389">
        <v>7</v>
      </c>
      <c r="R389" t="s">
        <v>36</v>
      </c>
      <c r="S389">
        <v>12</v>
      </c>
      <c r="T389">
        <v>3</v>
      </c>
      <c r="U389">
        <v>3</v>
      </c>
      <c r="V389">
        <v>2</v>
      </c>
      <c r="W389">
        <v>8</v>
      </c>
      <c r="X389">
        <v>5</v>
      </c>
      <c r="Y389">
        <v>3</v>
      </c>
      <c r="Z389">
        <v>5</v>
      </c>
      <c r="AA389">
        <v>4</v>
      </c>
      <c r="AB389">
        <v>1</v>
      </c>
      <c r="AC389">
        <v>3</v>
      </c>
      <c r="AD389">
        <f>IF(HR_Data[[#This Row],[Attrition]]="Yes",1,0)</f>
        <v>0</v>
      </c>
      <c r="AE389" t="str">
        <f>IF(HR_Data[[#This Row],[Age]]&lt;=25,"18-25",IF(HR_Data[[#This Row],[Age]]&lt;=35,"26-35",IF(HR_Data[[#This Row],[Age]]&lt;=45,"36-45",IF(HR_Data[[#This Row],[Age]]&lt;=55,"46-55","55+"))))</f>
        <v>36-45</v>
      </c>
      <c r="AF389">
        <f>IF(HR_Data[[#This Row],[Age]]&lt;=25,1,IF(HR_Data[[#This Row],[Age]]&lt;=35,2,IF(HR_Data[[#This Row],[Age]]&lt;=45,3,IF(HR_Data[[#This Row],[Age]]&lt;=55,4,5))))</f>
        <v>3</v>
      </c>
      <c r="AG389" s="1" t="str">
        <f>IF(HR_Data[[#This Row],[MonthlyIncome]]&lt;3000,"&lt;3K",IF(HR_Data[[#This Row],[MonthlyIncome]]&lt;6000,"3K-6K",IF(HR_Data[[#This Row],[MonthlyIncome]]&lt;10000,"6K-10K","10K+")))</f>
        <v>3K-6K</v>
      </c>
      <c r="AH389" s="1">
        <f>IF(HR_Data[[#This Row],[MonthlyIncome]]&lt;3000,1,IF(HR_Data[[#This Row],[MonthlyIncome]]&lt;6000,2,IF(HR_Data[[#This Row],[MonthlyIncome]]&lt;10000,3,4)))</f>
        <v>2</v>
      </c>
      <c r="AI389" s="1" t="str">
        <f>IF(HR_Data[[#This Row],[YearsAtCompany]]&lt;=2,"0-2 Yrs",IF(HR_Data[[#This Row],[YearsAtCompany]]&lt;=5,"3-5 Yrs",IF(HR_Data[[#This Row],[YearsAtCompany]]&lt;=10,"6-10 Yrs","10+ Yrs")))</f>
        <v>3-5 Yrs</v>
      </c>
      <c r="AJ389" s="1">
        <f>IF(HR_Data[[#This Row],[YearsAtCompany]]&lt;=2,1,IF(HR_Data[[#This Row],[YearsAtCompany]]&lt;=5,2,IF(HR_Data[[#This Row],[YearsAtCompany]]&lt;=10,3,4)))</f>
        <v>2</v>
      </c>
      <c r="AK389" s="1" t="str">
        <f>CHOOSE(HR_Data[[#This Row],[Education]],"Below College","College","Bachelor","Master","Doctor")</f>
        <v>College</v>
      </c>
      <c r="AL389" s="1" t="str">
        <f>CHOOSE(HR_Data[[#This Row],[JobSatisfaction]],"Low","Medium","High","Very High")</f>
        <v>Medium</v>
      </c>
      <c r="AM389" s="1" t="str">
        <f>CHOOSE(HR_Data[[#This Row],[EnvironmentSatisfaction]],"Low","Medium","High","Very High")</f>
        <v>Very High</v>
      </c>
      <c r="AN389" s="1" t="str">
        <f>CHOOSE(HR_Data[[#This Row],[WorkLifeBalance]],"Bad","Good","Better","Best")</f>
        <v>Better</v>
      </c>
      <c r="AO389" s="1" t="str">
        <f>IF(HR_Data[[#This Row],[PercentSalaryHike]]&lt;=13,"11-13%",IF(HR_Data[[#This Row],[PercentSalaryHike]]&lt;=16,"14-16%",IF(HR_Data[[#This Row],[PercentSalaryHike]]&lt;=19,"17-19%","20-25%")))</f>
        <v>11-13%</v>
      </c>
      <c r="AP389" s="1">
        <f>IF(HR_Data[[#This Row],[PercentSalaryHike]]&lt;=13,1,IF(HR_Data[[#This Row],[PercentSalaryHike]]&lt;=16,2,IF(HR_Data[[#This Row],[PercentSalaryHike]]&lt;=19,3,4)))</f>
        <v>1</v>
      </c>
      <c r="AQ389" s="1" t="str">
        <f>IF(HR_Data[[#This Row],[DistanceFromHome]]&lt;=5,"1 to 5",IF(HR_Data[[#This Row],[DistanceFromHome]]&lt;=10,"6 to 10",IF(HR_Data[[#This Row],[DistanceFromHome]]&lt;=20,"11 to 20","21 to 29")))</f>
        <v>1 to 5</v>
      </c>
      <c r="AR389" s="1">
        <f>IF(HR_Data[[#This Row],[DistanceFromHome]]&lt;=5,1,IF(HR_Data[[#This Row],[DistanceFromHome]]&lt;=10,2,IF(HR_Data[[#This Row],[DistanceFromHome]]&lt;=20,3,4)))</f>
        <v>1</v>
      </c>
      <c r="AS389" s="1" t="str">
        <f>IF(HR_Data[[#This Row],[TotalWorkingYears]]&lt;=5,"0-5 Yrs",IF(HR_Data[[#This Row],[TotalWorkingYears]]&lt;=10,"6-10 Yrs",IF(HR_Data[[#This Row],[TotalWorkingYears]]&lt;=20,"11-20 Yrs","20+ Yrs")))</f>
        <v>6-10 Yrs</v>
      </c>
      <c r="AT389" s="1">
        <f>IF(HR_Data[[#This Row],[TotalWorkingYears]]&lt;=5,1,IF(HR_Data[[#This Row],[TotalWorkingYears]]&lt;=10,2,IF(HR_Data[[#This Row],[TotalWorkingYears]]&lt;=20,3,4)))</f>
        <v>2</v>
      </c>
    </row>
    <row r="390" spans="1:46" x14ac:dyDescent="0.25">
      <c r="A390">
        <v>42</v>
      </c>
      <c r="B390" t="s">
        <v>36</v>
      </c>
      <c r="C390" t="s">
        <v>30</v>
      </c>
      <c r="D390" t="s">
        <v>38</v>
      </c>
      <c r="E390">
        <v>1</v>
      </c>
      <c r="F390">
        <v>4</v>
      </c>
      <c r="G390" t="s">
        <v>32</v>
      </c>
      <c r="H390">
        <v>517</v>
      </c>
      <c r="I390">
        <v>2</v>
      </c>
      <c r="J390" t="s">
        <v>33</v>
      </c>
      <c r="K390">
        <v>3</v>
      </c>
      <c r="L390">
        <v>1</v>
      </c>
      <c r="M390" t="s">
        <v>43</v>
      </c>
      <c r="N390">
        <v>1</v>
      </c>
      <c r="O390" t="s">
        <v>45</v>
      </c>
      <c r="P390">
        <v>2576</v>
      </c>
      <c r="Q390">
        <v>3</v>
      </c>
      <c r="R390" t="s">
        <v>36</v>
      </c>
      <c r="S390">
        <v>16</v>
      </c>
      <c r="T390">
        <v>3</v>
      </c>
      <c r="U390">
        <v>2</v>
      </c>
      <c r="V390">
        <v>1</v>
      </c>
      <c r="W390">
        <v>8</v>
      </c>
      <c r="X390">
        <v>5</v>
      </c>
      <c r="Y390">
        <v>3</v>
      </c>
      <c r="Z390">
        <v>5</v>
      </c>
      <c r="AA390">
        <v>2</v>
      </c>
      <c r="AB390">
        <v>1</v>
      </c>
      <c r="AC390">
        <v>2</v>
      </c>
      <c r="AD390">
        <f>IF(HR_Data[[#This Row],[Attrition]]="Yes",1,0)</f>
        <v>0</v>
      </c>
      <c r="AE390" t="str">
        <f>IF(HR_Data[[#This Row],[Age]]&lt;=25,"18-25",IF(HR_Data[[#This Row],[Age]]&lt;=35,"26-35",IF(HR_Data[[#This Row],[Age]]&lt;=45,"36-45",IF(HR_Data[[#This Row],[Age]]&lt;=55,"46-55","55+"))))</f>
        <v>36-45</v>
      </c>
      <c r="AF390">
        <f>IF(HR_Data[[#This Row],[Age]]&lt;=25,1,IF(HR_Data[[#This Row],[Age]]&lt;=35,2,IF(HR_Data[[#This Row],[Age]]&lt;=45,3,IF(HR_Data[[#This Row],[Age]]&lt;=55,4,5))))</f>
        <v>3</v>
      </c>
      <c r="AG390" s="1" t="str">
        <f>IF(HR_Data[[#This Row],[MonthlyIncome]]&lt;3000,"&lt;3K",IF(HR_Data[[#This Row],[MonthlyIncome]]&lt;6000,"3K-6K",IF(HR_Data[[#This Row],[MonthlyIncome]]&lt;10000,"6K-10K","10K+")))</f>
        <v>&lt;3K</v>
      </c>
      <c r="AH390" s="1">
        <f>IF(HR_Data[[#This Row],[MonthlyIncome]]&lt;3000,1,IF(HR_Data[[#This Row],[MonthlyIncome]]&lt;6000,2,IF(HR_Data[[#This Row],[MonthlyIncome]]&lt;10000,3,4)))</f>
        <v>1</v>
      </c>
      <c r="AI390" s="1" t="str">
        <f>IF(HR_Data[[#This Row],[YearsAtCompany]]&lt;=2,"0-2 Yrs",IF(HR_Data[[#This Row],[YearsAtCompany]]&lt;=5,"3-5 Yrs",IF(HR_Data[[#This Row],[YearsAtCompany]]&lt;=10,"6-10 Yrs","10+ Yrs")))</f>
        <v>3-5 Yrs</v>
      </c>
      <c r="AJ390" s="1">
        <f>IF(HR_Data[[#This Row],[YearsAtCompany]]&lt;=2,1,IF(HR_Data[[#This Row],[YearsAtCompany]]&lt;=5,2,IF(HR_Data[[#This Row],[YearsAtCompany]]&lt;=10,3,4)))</f>
        <v>2</v>
      </c>
      <c r="AK390" s="1" t="str">
        <f>CHOOSE(HR_Data[[#This Row],[Education]],"Below College","College","Bachelor","Master","Doctor")</f>
        <v>Master</v>
      </c>
      <c r="AL390" s="1" t="str">
        <f>CHOOSE(HR_Data[[#This Row],[JobSatisfaction]],"Low","Medium","High","Very High")</f>
        <v>Low</v>
      </c>
      <c r="AM390" s="1" t="str">
        <f>CHOOSE(HR_Data[[#This Row],[EnvironmentSatisfaction]],"Low","Medium","High","Very High")</f>
        <v>Medium</v>
      </c>
      <c r="AN390" s="1" t="str">
        <f>CHOOSE(HR_Data[[#This Row],[WorkLifeBalance]],"Bad","Good","Better","Best")</f>
        <v>Better</v>
      </c>
      <c r="AO390" s="1" t="str">
        <f>IF(HR_Data[[#This Row],[PercentSalaryHike]]&lt;=13,"11-13%",IF(HR_Data[[#This Row],[PercentSalaryHike]]&lt;=16,"14-16%",IF(HR_Data[[#This Row],[PercentSalaryHike]]&lt;=19,"17-19%","20-25%")))</f>
        <v>14-16%</v>
      </c>
      <c r="AP390" s="1">
        <f>IF(HR_Data[[#This Row],[PercentSalaryHike]]&lt;=13,1,IF(HR_Data[[#This Row],[PercentSalaryHike]]&lt;=16,2,IF(HR_Data[[#This Row],[PercentSalaryHike]]&lt;=19,3,4)))</f>
        <v>2</v>
      </c>
      <c r="AQ390" s="1" t="str">
        <f>IF(HR_Data[[#This Row],[DistanceFromHome]]&lt;=5,"1 to 5",IF(HR_Data[[#This Row],[DistanceFromHome]]&lt;=10,"6 to 10",IF(HR_Data[[#This Row],[DistanceFromHome]]&lt;=20,"11 to 20","21 to 29")))</f>
        <v>1 to 5</v>
      </c>
      <c r="AR390" s="1">
        <f>IF(HR_Data[[#This Row],[DistanceFromHome]]&lt;=5,1,IF(HR_Data[[#This Row],[DistanceFromHome]]&lt;=10,2,IF(HR_Data[[#This Row],[DistanceFromHome]]&lt;=20,3,4)))</f>
        <v>1</v>
      </c>
      <c r="AS390" s="1" t="str">
        <f>IF(HR_Data[[#This Row],[TotalWorkingYears]]&lt;=5,"0-5 Yrs",IF(HR_Data[[#This Row],[TotalWorkingYears]]&lt;=10,"6-10 Yrs",IF(HR_Data[[#This Row],[TotalWorkingYears]]&lt;=20,"11-20 Yrs","20+ Yrs")))</f>
        <v>6-10 Yrs</v>
      </c>
      <c r="AT390" s="1">
        <f>IF(HR_Data[[#This Row],[TotalWorkingYears]]&lt;=5,1,IF(HR_Data[[#This Row],[TotalWorkingYears]]&lt;=10,2,IF(HR_Data[[#This Row],[TotalWorkingYears]]&lt;=20,3,4)))</f>
        <v>2</v>
      </c>
    </row>
    <row r="391" spans="1:46" x14ac:dyDescent="0.25">
      <c r="A391">
        <v>37</v>
      </c>
      <c r="B391" t="s">
        <v>36</v>
      </c>
      <c r="C391" t="s">
        <v>30</v>
      </c>
      <c r="D391" t="s">
        <v>38</v>
      </c>
      <c r="E391">
        <v>10</v>
      </c>
      <c r="F391">
        <v>4</v>
      </c>
      <c r="G391" t="s">
        <v>32</v>
      </c>
      <c r="H391">
        <v>518</v>
      </c>
      <c r="I391">
        <v>3</v>
      </c>
      <c r="J391" t="s">
        <v>39</v>
      </c>
      <c r="K391">
        <v>3</v>
      </c>
      <c r="L391">
        <v>2</v>
      </c>
      <c r="M391" t="s">
        <v>46</v>
      </c>
      <c r="N391">
        <v>2</v>
      </c>
      <c r="O391" t="s">
        <v>35</v>
      </c>
      <c r="P391">
        <v>4197</v>
      </c>
      <c r="Q391">
        <v>2</v>
      </c>
      <c r="R391" t="s">
        <v>29</v>
      </c>
      <c r="S391">
        <v>12</v>
      </c>
      <c r="T391">
        <v>3</v>
      </c>
      <c r="U391">
        <v>4</v>
      </c>
      <c r="V391">
        <v>0</v>
      </c>
      <c r="W391">
        <v>18</v>
      </c>
      <c r="X391">
        <v>2</v>
      </c>
      <c r="Y391">
        <v>2</v>
      </c>
      <c r="Z391">
        <v>1</v>
      </c>
      <c r="AA391">
        <v>0</v>
      </c>
      <c r="AB391">
        <v>0</v>
      </c>
      <c r="AC391">
        <v>1</v>
      </c>
      <c r="AD391">
        <f>IF(HR_Data[[#This Row],[Attrition]]="Yes",1,0)</f>
        <v>0</v>
      </c>
      <c r="AE391" t="str">
        <f>IF(HR_Data[[#This Row],[Age]]&lt;=25,"18-25",IF(HR_Data[[#This Row],[Age]]&lt;=35,"26-35",IF(HR_Data[[#This Row],[Age]]&lt;=45,"36-45",IF(HR_Data[[#This Row],[Age]]&lt;=55,"46-55","55+"))))</f>
        <v>36-45</v>
      </c>
      <c r="AF391">
        <f>IF(HR_Data[[#This Row],[Age]]&lt;=25,1,IF(HR_Data[[#This Row],[Age]]&lt;=35,2,IF(HR_Data[[#This Row],[Age]]&lt;=45,3,IF(HR_Data[[#This Row],[Age]]&lt;=55,4,5))))</f>
        <v>3</v>
      </c>
      <c r="AG391" s="1" t="str">
        <f>IF(HR_Data[[#This Row],[MonthlyIncome]]&lt;3000,"&lt;3K",IF(HR_Data[[#This Row],[MonthlyIncome]]&lt;6000,"3K-6K",IF(HR_Data[[#This Row],[MonthlyIncome]]&lt;10000,"6K-10K","10K+")))</f>
        <v>3K-6K</v>
      </c>
      <c r="AH391" s="1">
        <f>IF(HR_Data[[#This Row],[MonthlyIncome]]&lt;3000,1,IF(HR_Data[[#This Row],[MonthlyIncome]]&lt;6000,2,IF(HR_Data[[#This Row],[MonthlyIncome]]&lt;10000,3,4)))</f>
        <v>2</v>
      </c>
      <c r="AI391" s="1" t="str">
        <f>IF(HR_Data[[#This Row],[YearsAtCompany]]&lt;=2,"0-2 Yrs",IF(HR_Data[[#This Row],[YearsAtCompany]]&lt;=5,"3-5 Yrs",IF(HR_Data[[#This Row],[YearsAtCompany]]&lt;=10,"6-10 Yrs","10+ Yrs")))</f>
        <v>0-2 Yrs</v>
      </c>
      <c r="AJ391" s="1">
        <f>IF(HR_Data[[#This Row],[YearsAtCompany]]&lt;=2,1,IF(HR_Data[[#This Row],[YearsAtCompany]]&lt;=5,2,IF(HR_Data[[#This Row],[YearsAtCompany]]&lt;=10,3,4)))</f>
        <v>1</v>
      </c>
      <c r="AK391" s="1" t="str">
        <f>CHOOSE(HR_Data[[#This Row],[Education]],"Below College","College","Bachelor","Master","Doctor")</f>
        <v>Master</v>
      </c>
      <c r="AL391" s="1" t="str">
        <f>CHOOSE(HR_Data[[#This Row],[JobSatisfaction]],"Low","Medium","High","Very High")</f>
        <v>Medium</v>
      </c>
      <c r="AM391" s="1" t="str">
        <f>CHOOSE(HR_Data[[#This Row],[EnvironmentSatisfaction]],"Low","Medium","High","Very High")</f>
        <v>High</v>
      </c>
      <c r="AN391" s="1" t="str">
        <f>CHOOSE(HR_Data[[#This Row],[WorkLifeBalance]],"Bad","Good","Better","Best")</f>
        <v>Good</v>
      </c>
      <c r="AO391" s="1" t="str">
        <f>IF(HR_Data[[#This Row],[PercentSalaryHike]]&lt;=13,"11-13%",IF(HR_Data[[#This Row],[PercentSalaryHike]]&lt;=16,"14-16%",IF(HR_Data[[#This Row],[PercentSalaryHike]]&lt;=19,"17-19%","20-25%")))</f>
        <v>11-13%</v>
      </c>
      <c r="AP391" s="1">
        <f>IF(HR_Data[[#This Row],[PercentSalaryHike]]&lt;=13,1,IF(HR_Data[[#This Row],[PercentSalaryHike]]&lt;=16,2,IF(HR_Data[[#This Row],[PercentSalaryHike]]&lt;=19,3,4)))</f>
        <v>1</v>
      </c>
      <c r="AQ391" s="1" t="str">
        <f>IF(HR_Data[[#This Row],[DistanceFromHome]]&lt;=5,"1 to 5",IF(HR_Data[[#This Row],[DistanceFromHome]]&lt;=10,"6 to 10",IF(HR_Data[[#This Row],[DistanceFromHome]]&lt;=20,"11 to 20","21 to 29")))</f>
        <v>6 to 10</v>
      </c>
      <c r="AR391" s="1">
        <f>IF(HR_Data[[#This Row],[DistanceFromHome]]&lt;=5,1,IF(HR_Data[[#This Row],[DistanceFromHome]]&lt;=10,2,IF(HR_Data[[#This Row],[DistanceFromHome]]&lt;=20,3,4)))</f>
        <v>2</v>
      </c>
      <c r="AS391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391" s="1">
        <f>IF(HR_Data[[#This Row],[TotalWorkingYears]]&lt;=5,1,IF(HR_Data[[#This Row],[TotalWorkingYears]]&lt;=10,2,IF(HR_Data[[#This Row],[TotalWorkingYears]]&lt;=20,3,4)))</f>
        <v>3</v>
      </c>
    </row>
    <row r="392" spans="1:46" x14ac:dyDescent="0.25">
      <c r="A392">
        <v>43</v>
      </c>
      <c r="B392" t="s">
        <v>36</v>
      </c>
      <c r="C392" t="s">
        <v>30</v>
      </c>
      <c r="D392" t="s">
        <v>38</v>
      </c>
      <c r="E392">
        <v>12</v>
      </c>
      <c r="F392">
        <v>3</v>
      </c>
      <c r="G392" t="s">
        <v>32</v>
      </c>
      <c r="H392">
        <v>520</v>
      </c>
      <c r="I392">
        <v>1</v>
      </c>
      <c r="J392" t="s">
        <v>39</v>
      </c>
      <c r="K392">
        <v>2</v>
      </c>
      <c r="L392">
        <v>4</v>
      </c>
      <c r="M392" t="s">
        <v>51</v>
      </c>
      <c r="N392">
        <v>2</v>
      </c>
      <c r="O392" t="s">
        <v>45</v>
      </c>
      <c r="P392">
        <v>14336</v>
      </c>
      <c r="Q392">
        <v>1</v>
      </c>
      <c r="R392" t="s">
        <v>36</v>
      </c>
      <c r="S392">
        <v>11</v>
      </c>
      <c r="T392">
        <v>3</v>
      </c>
      <c r="U392">
        <v>3</v>
      </c>
      <c r="V392">
        <v>1</v>
      </c>
      <c r="W392">
        <v>25</v>
      </c>
      <c r="X392">
        <v>3</v>
      </c>
      <c r="Y392">
        <v>3</v>
      </c>
      <c r="Z392">
        <v>25</v>
      </c>
      <c r="AA392">
        <v>10</v>
      </c>
      <c r="AB392">
        <v>3</v>
      </c>
      <c r="AC392">
        <v>9</v>
      </c>
      <c r="AD392">
        <f>IF(HR_Data[[#This Row],[Attrition]]="Yes",1,0)</f>
        <v>0</v>
      </c>
      <c r="AE392" t="str">
        <f>IF(HR_Data[[#This Row],[Age]]&lt;=25,"18-25",IF(HR_Data[[#This Row],[Age]]&lt;=35,"26-35",IF(HR_Data[[#This Row],[Age]]&lt;=45,"36-45",IF(HR_Data[[#This Row],[Age]]&lt;=55,"46-55","55+"))))</f>
        <v>36-45</v>
      </c>
      <c r="AF392">
        <f>IF(HR_Data[[#This Row],[Age]]&lt;=25,1,IF(HR_Data[[#This Row],[Age]]&lt;=35,2,IF(HR_Data[[#This Row],[Age]]&lt;=45,3,IF(HR_Data[[#This Row],[Age]]&lt;=55,4,5))))</f>
        <v>3</v>
      </c>
      <c r="AG392" s="1" t="str">
        <f>IF(HR_Data[[#This Row],[MonthlyIncome]]&lt;3000,"&lt;3K",IF(HR_Data[[#This Row],[MonthlyIncome]]&lt;6000,"3K-6K",IF(HR_Data[[#This Row],[MonthlyIncome]]&lt;10000,"6K-10K","10K+")))</f>
        <v>10K+</v>
      </c>
      <c r="AH392" s="1">
        <f>IF(HR_Data[[#This Row],[MonthlyIncome]]&lt;3000,1,IF(HR_Data[[#This Row],[MonthlyIncome]]&lt;6000,2,IF(HR_Data[[#This Row],[MonthlyIncome]]&lt;10000,3,4)))</f>
        <v>4</v>
      </c>
      <c r="AI392" s="1" t="str">
        <f>IF(HR_Data[[#This Row],[YearsAtCompany]]&lt;=2,"0-2 Yrs",IF(HR_Data[[#This Row],[YearsAtCompany]]&lt;=5,"3-5 Yrs",IF(HR_Data[[#This Row],[YearsAtCompany]]&lt;=10,"6-10 Yrs","10+ Yrs")))</f>
        <v>10+ Yrs</v>
      </c>
      <c r="AJ392" s="1">
        <f>IF(HR_Data[[#This Row],[YearsAtCompany]]&lt;=2,1,IF(HR_Data[[#This Row],[YearsAtCompany]]&lt;=5,2,IF(HR_Data[[#This Row],[YearsAtCompany]]&lt;=10,3,4)))</f>
        <v>4</v>
      </c>
      <c r="AK392" s="1" t="str">
        <f>CHOOSE(HR_Data[[#This Row],[Education]],"Below College","College","Bachelor","Master","Doctor")</f>
        <v>Bachelor</v>
      </c>
      <c r="AL392" s="1" t="str">
        <f>CHOOSE(HR_Data[[#This Row],[JobSatisfaction]],"Low","Medium","High","Very High")</f>
        <v>Medium</v>
      </c>
      <c r="AM392" s="1" t="str">
        <f>CHOOSE(HR_Data[[#This Row],[EnvironmentSatisfaction]],"Low","Medium","High","Very High")</f>
        <v>Low</v>
      </c>
      <c r="AN392" s="1" t="str">
        <f>CHOOSE(HR_Data[[#This Row],[WorkLifeBalance]],"Bad","Good","Better","Best")</f>
        <v>Better</v>
      </c>
      <c r="AO392" s="1" t="str">
        <f>IF(HR_Data[[#This Row],[PercentSalaryHike]]&lt;=13,"11-13%",IF(HR_Data[[#This Row],[PercentSalaryHike]]&lt;=16,"14-16%",IF(HR_Data[[#This Row],[PercentSalaryHike]]&lt;=19,"17-19%","20-25%")))</f>
        <v>11-13%</v>
      </c>
      <c r="AP392" s="1">
        <f>IF(HR_Data[[#This Row],[PercentSalaryHike]]&lt;=13,1,IF(HR_Data[[#This Row],[PercentSalaryHike]]&lt;=16,2,IF(HR_Data[[#This Row],[PercentSalaryHike]]&lt;=19,3,4)))</f>
        <v>1</v>
      </c>
      <c r="AQ392" s="1" t="str">
        <f>IF(HR_Data[[#This Row],[DistanceFromHome]]&lt;=5,"1 to 5",IF(HR_Data[[#This Row],[DistanceFromHome]]&lt;=10,"6 to 10",IF(HR_Data[[#This Row],[DistanceFromHome]]&lt;=20,"11 to 20","21 to 29")))</f>
        <v>11 to 20</v>
      </c>
      <c r="AR392" s="1">
        <f>IF(HR_Data[[#This Row],[DistanceFromHome]]&lt;=5,1,IF(HR_Data[[#This Row],[DistanceFromHome]]&lt;=10,2,IF(HR_Data[[#This Row],[DistanceFromHome]]&lt;=20,3,4)))</f>
        <v>3</v>
      </c>
      <c r="AS392" s="1" t="str">
        <f>IF(HR_Data[[#This Row],[TotalWorkingYears]]&lt;=5,"0-5 Yrs",IF(HR_Data[[#This Row],[TotalWorkingYears]]&lt;=10,"6-10 Yrs",IF(HR_Data[[#This Row],[TotalWorkingYears]]&lt;=20,"11-20 Yrs","20+ Yrs")))</f>
        <v>20+ Yrs</v>
      </c>
      <c r="AT392" s="1">
        <f>IF(HR_Data[[#This Row],[TotalWorkingYears]]&lt;=5,1,IF(HR_Data[[#This Row],[TotalWorkingYears]]&lt;=10,2,IF(HR_Data[[#This Row],[TotalWorkingYears]]&lt;=20,3,4)))</f>
        <v>4</v>
      </c>
    </row>
    <row r="393" spans="1:46" x14ac:dyDescent="0.25">
      <c r="A393">
        <v>40</v>
      </c>
      <c r="B393" t="s">
        <v>36</v>
      </c>
      <c r="C393" t="s">
        <v>30</v>
      </c>
      <c r="D393" t="s">
        <v>38</v>
      </c>
      <c r="E393">
        <v>2</v>
      </c>
      <c r="F393">
        <v>3</v>
      </c>
      <c r="G393" t="s">
        <v>44</v>
      </c>
      <c r="H393">
        <v>521</v>
      </c>
      <c r="I393">
        <v>2</v>
      </c>
      <c r="J393" t="s">
        <v>33</v>
      </c>
      <c r="K393">
        <v>2</v>
      </c>
      <c r="L393">
        <v>2</v>
      </c>
      <c r="M393" t="s">
        <v>43</v>
      </c>
      <c r="N393">
        <v>3</v>
      </c>
      <c r="O393" t="s">
        <v>41</v>
      </c>
      <c r="P393">
        <v>3448</v>
      </c>
      <c r="Q393">
        <v>6</v>
      </c>
      <c r="R393" t="s">
        <v>36</v>
      </c>
      <c r="S393">
        <v>22</v>
      </c>
      <c r="T393">
        <v>4</v>
      </c>
      <c r="U393">
        <v>2</v>
      </c>
      <c r="V393">
        <v>1</v>
      </c>
      <c r="W393">
        <v>20</v>
      </c>
      <c r="X393">
        <v>3</v>
      </c>
      <c r="Y393">
        <v>3</v>
      </c>
      <c r="Z393">
        <v>1</v>
      </c>
      <c r="AA393">
        <v>0</v>
      </c>
      <c r="AB393">
        <v>0</v>
      </c>
      <c r="AC393">
        <v>0</v>
      </c>
      <c r="AD393">
        <f>IF(HR_Data[[#This Row],[Attrition]]="Yes",1,0)</f>
        <v>0</v>
      </c>
      <c r="AE393" t="str">
        <f>IF(HR_Data[[#This Row],[Age]]&lt;=25,"18-25",IF(HR_Data[[#This Row],[Age]]&lt;=35,"26-35",IF(HR_Data[[#This Row],[Age]]&lt;=45,"36-45",IF(HR_Data[[#This Row],[Age]]&lt;=55,"46-55","55+"))))</f>
        <v>36-45</v>
      </c>
      <c r="AF393">
        <f>IF(HR_Data[[#This Row],[Age]]&lt;=25,1,IF(HR_Data[[#This Row],[Age]]&lt;=35,2,IF(HR_Data[[#This Row],[Age]]&lt;=45,3,IF(HR_Data[[#This Row],[Age]]&lt;=55,4,5))))</f>
        <v>3</v>
      </c>
      <c r="AG393" s="1" t="str">
        <f>IF(HR_Data[[#This Row],[MonthlyIncome]]&lt;3000,"&lt;3K",IF(HR_Data[[#This Row],[MonthlyIncome]]&lt;6000,"3K-6K",IF(HR_Data[[#This Row],[MonthlyIncome]]&lt;10000,"6K-10K","10K+")))</f>
        <v>3K-6K</v>
      </c>
      <c r="AH393" s="1">
        <f>IF(HR_Data[[#This Row],[MonthlyIncome]]&lt;3000,1,IF(HR_Data[[#This Row],[MonthlyIncome]]&lt;6000,2,IF(HR_Data[[#This Row],[MonthlyIncome]]&lt;10000,3,4)))</f>
        <v>2</v>
      </c>
      <c r="AI393" s="1" t="str">
        <f>IF(HR_Data[[#This Row],[YearsAtCompany]]&lt;=2,"0-2 Yrs",IF(HR_Data[[#This Row],[YearsAtCompany]]&lt;=5,"3-5 Yrs",IF(HR_Data[[#This Row],[YearsAtCompany]]&lt;=10,"6-10 Yrs","10+ Yrs")))</f>
        <v>0-2 Yrs</v>
      </c>
      <c r="AJ393" s="1">
        <f>IF(HR_Data[[#This Row],[YearsAtCompany]]&lt;=2,1,IF(HR_Data[[#This Row],[YearsAtCompany]]&lt;=5,2,IF(HR_Data[[#This Row],[YearsAtCompany]]&lt;=10,3,4)))</f>
        <v>1</v>
      </c>
      <c r="AK393" s="1" t="str">
        <f>CHOOSE(HR_Data[[#This Row],[Education]],"Below College","College","Bachelor","Master","Doctor")</f>
        <v>Bachelor</v>
      </c>
      <c r="AL393" s="1" t="str">
        <f>CHOOSE(HR_Data[[#This Row],[JobSatisfaction]],"Low","Medium","High","Very High")</f>
        <v>High</v>
      </c>
      <c r="AM393" s="1" t="str">
        <f>CHOOSE(HR_Data[[#This Row],[EnvironmentSatisfaction]],"Low","Medium","High","Very High")</f>
        <v>Medium</v>
      </c>
      <c r="AN393" s="1" t="str">
        <f>CHOOSE(HR_Data[[#This Row],[WorkLifeBalance]],"Bad","Good","Better","Best")</f>
        <v>Better</v>
      </c>
      <c r="AO393" s="1" t="str">
        <f>IF(HR_Data[[#This Row],[PercentSalaryHike]]&lt;=13,"11-13%",IF(HR_Data[[#This Row],[PercentSalaryHike]]&lt;=16,"14-16%",IF(HR_Data[[#This Row],[PercentSalaryHike]]&lt;=19,"17-19%","20-25%")))</f>
        <v>20-25%</v>
      </c>
      <c r="AP393" s="1">
        <f>IF(HR_Data[[#This Row],[PercentSalaryHike]]&lt;=13,1,IF(HR_Data[[#This Row],[PercentSalaryHike]]&lt;=16,2,IF(HR_Data[[#This Row],[PercentSalaryHike]]&lt;=19,3,4)))</f>
        <v>4</v>
      </c>
      <c r="AQ393" s="1" t="str">
        <f>IF(HR_Data[[#This Row],[DistanceFromHome]]&lt;=5,"1 to 5",IF(HR_Data[[#This Row],[DistanceFromHome]]&lt;=10,"6 to 10",IF(HR_Data[[#This Row],[DistanceFromHome]]&lt;=20,"11 to 20","21 to 29")))</f>
        <v>1 to 5</v>
      </c>
      <c r="AR393" s="1">
        <f>IF(HR_Data[[#This Row],[DistanceFromHome]]&lt;=5,1,IF(HR_Data[[#This Row],[DistanceFromHome]]&lt;=10,2,IF(HR_Data[[#This Row],[DistanceFromHome]]&lt;=20,3,4)))</f>
        <v>1</v>
      </c>
      <c r="AS393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393" s="1">
        <f>IF(HR_Data[[#This Row],[TotalWorkingYears]]&lt;=5,1,IF(HR_Data[[#This Row],[TotalWorkingYears]]&lt;=10,2,IF(HR_Data[[#This Row],[TotalWorkingYears]]&lt;=20,3,4)))</f>
        <v>3</v>
      </c>
    </row>
    <row r="394" spans="1:46" x14ac:dyDescent="0.25">
      <c r="A394">
        <v>54</v>
      </c>
      <c r="B394" t="s">
        <v>36</v>
      </c>
      <c r="C394" t="s">
        <v>30</v>
      </c>
      <c r="D394" t="s">
        <v>38</v>
      </c>
      <c r="E394">
        <v>5</v>
      </c>
      <c r="F394">
        <v>2</v>
      </c>
      <c r="G394" t="s">
        <v>44</v>
      </c>
      <c r="H394">
        <v>522</v>
      </c>
      <c r="I394">
        <v>1</v>
      </c>
      <c r="J394" t="s">
        <v>39</v>
      </c>
      <c r="K394">
        <v>3</v>
      </c>
      <c r="L394">
        <v>5</v>
      </c>
      <c r="M394" t="s">
        <v>51</v>
      </c>
      <c r="N394">
        <v>1</v>
      </c>
      <c r="O394" t="s">
        <v>41</v>
      </c>
      <c r="P394">
        <v>19406</v>
      </c>
      <c r="Q394">
        <v>4</v>
      </c>
      <c r="R394" t="s">
        <v>36</v>
      </c>
      <c r="S394">
        <v>11</v>
      </c>
      <c r="T394">
        <v>3</v>
      </c>
      <c r="U394">
        <v>3</v>
      </c>
      <c r="V394">
        <v>1</v>
      </c>
      <c r="W394">
        <v>24</v>
      </c>
      <c r="X394">
        <v>4</v>
      </c>
      <c r="Y394">
        <v>2</v>
      </c>
      <c r="Z394">
        <v>4</v>
      </c>
      <c r="AA394">
        <v>2</v>
      </c>
      <c r="AB394">
        <v>1</v>
      </c>
      <c r="AC394">
        <v>2</v>
      </c>
      <c r="AD394">
        <f>IF(HR_Data[[#This Row],[Attrition]]="Yes",1,0)</f>
        <v>0</v>
      </c>
      <c r="AE394" t="str">
        <f>IF(HR_Data[[#This Row],[Age]]&lt;=25,"18-25",IF(HR_Data[[#This Row],[Age]]&lt;=35,"26-35",IF(HR_Data[[#This Row],[Age]]&lt;=45,"36-45",IF(HR_Data[[#This Row],[Age]]&lt;=55,"46-55","55+"))))</f>
        <v>46-55</v>
      </c>
      <c r="AF394">
        <f>IF(HR_Data[[#This Row],[Age]]&lt;=25,1,IF(HR_Data[[#This Row],[Age]]&lt;=35,2,IF(HR_Data[[#This Row],[Age]]&lt;=45,3,IF(HR_Data[[#This Row],[Age]]&lt;=55,4,5))))</f>
        <v>4</v>
      </c>
      <c r="AG394" s="1" t="str">
        <f>IF(HR_Data[[#This Row],[MonthlyIncome]]&lt;3000,"&lt;3K",IF(HR_Data[[#This Row],[MonthlyIncome]]&lt;6000,"3K-6K",IF(HR_Data[[#This Row],[MonthlyIncome]]&lt;10000,"6K-10K","10K+")))</f>
        <v>10K+</v>
      </c>
      <c r="AH394" s="1">
        <f>IF(HR_Data[[#This Row],[MonthlyIncome]]&lt;3000,1,IF(HR_Data[[#This Row],[MonthlyIncome]]&lt;6000,2,IF(HR_Data[[#This Row],[MonthlyIncome]]&lt;10000,3,4)))</f>
        <v>4</v>
      </c>
      <c r="AI394" s="1" t="str">
        <f>IF(HR_Data[[#This Row],[YearsAtCompany]]&lt;=2,"0-2 Yrs",IF(HR_Data[[#This Row],[YearsAtCompany]]&lt;=5,"3-5 Yrs",IF(HR_Data[[#This Row],[YearsAtCompany]]&lt;=10,"6-10 Yrs","10+ Yrs")))</f>
        <v>3-5 Yrs</v>
      </c>
      <c r="AJ394" s="1">
        <f>IF(HR_Data[[#This Row],[YearsAtCompany]]&lt;=2,1,IF(HR_Data[[#This Row],[YearsAtCompany]]&lt;=5,2,IF(HR_Data[[#This Row],[YearsAtCompany]]&lt;=10,3,4)))</f>
        <v>2</v>
      </c>
      <c r="AK394" s="1" t="str">
        <f>CHOOSE(HR_Data[[#This Row],[Education]],"Below College","College","Bachelor","Master","Doctor")</f>
        <v>College</v>
      </c>
      <c r="AL394" s="1" t="str">
        <f>CHOOSE(HR_Data[[#This Row],[JobSatisfaction]],"Low","Medium","High","Very High")</f>
        <v>Low</v>
      </c>
      <c r="AM394" s="1" t="str">
        <f>CHOOSE(HR_Data[[#This Row],[EnvironmentSatisfaction]],"Low","Medium","High","Very High")</f>
        <v>Low</v>
      </c>
      <c r="AN394" s="1" t="str">
        <f>CHOOSE(HR_Data[[#This Row],[WorkLifeBalance]],"Bad","Good","Better","Best")</f>
        <v>Good</v>
      </c>
      <c r="AO394" s="1" t="str">
        <f>IF(HR_Data[[#This Row],[PercentSalaryHike]]&lt;=13,"11-13%",IF(HR_Data[[#This Row],[PercentSalaryHike]]&lt;=16,"14-16%",IF(HR_Data[[#This Row],[PercentSalaryHike]]&lt;=19,"17-19%","20-25%")))</f>
        <v>11-13%</v>
      </c>
      <c r="AP394" s="1">
        <f>IF(HR_Data[[#This Row],[PercentSalaryHike]]&lt;=13,1,IF(HR_Data[[#This Row],[PercentSalaryHike]]&lt;=16,2,IF(HR_Data[[#This Row],[PercentSalaryHike]]&lt;=19,3,4)))</f>
        <v>1</v>
      </c>
      <c r="AQ394" s="1" t="str">
        <f>IF(HR_Data[[#This Row],[DistanceFromHome]]&lt;=5,"1 to 5",IF(HR_Data[[#This Row],[DistanceFromHome]]&lt;=10,"6 to 10",IF(HR_Data[[#This Row],[DistanceFromHome]]&lt;=20,"11 to 20","21 to 29")))</f>
        <v>1 to 5</v>
      </c>
      <c r="AR394" s="1">
        <f>IF(HR_Data[[#This Row],[DistanceFromHome]]&lt;=5,1,IF(HR_Data[[#This Row],[DistanceFromHome]]&lt;=10,2,IF(HR_Data[[#This Row],[DistanceFromHome]]&lt;=20,3,4)))</f>
        <v>1</v>
      </c>
      <c r="AS394" s="1" t="str">
        <f>IF(HR_Data[[#This Row],[TotalWorkingYears]]&lt;=5,"0-5 Yrs",IF(HR_Data[[#This Row],[TotalWorkingYears]]&lt;=10,"6-10 Yrs",IF(HR_Data[[#This Row],[TotalWorkingYears]]&lt;=20,"11-20 Yrs","20+ Yrs")))</f>
        <v>20+ Yrs</v>
      </c>
      <c r="AT394" s="1">
        <f>IF(HR_Data[[#This Row],[TotalWorkingYears]]&lt;=5,1,IF(HR_Data[[#This Row],[TotalWorkingYears]]&lt;=10,2,IF(HR_Data[[#This Row],[TotalWorkingYears]]&lt;=20,3,4)))</f>
        <v>4</v>
      </c>
    </row>
    <row r="395" spans="1:46" x14ac:dyDescent="0.25">
      <c r="A395">
        <v>34</v>
      </c>
      <c r="B395" t="s">
        <v>36</v>
      </c>
      <c r="C395" t="s">
        <v>48</v>
      </c>
      <c r="D395" t="s">
        <v>31</v>
      </c>
      <c r="E395">
        <v>4</v>
      </c>
      <c r="F395">
        <v>4</v>
      </c>
      <c r="G395" t="s">
        <v>52</v>
      </c>
      <c r="H395">
        <v>523</v>
      </c>
      <c r="I395">
        <v>3</v>
      </c>
      <c r="J395" t="s">
        <v>33</v>
      </c>
      <c r="K395">
        <v>3</v>
      </c>
      <c r="L395">
        <v>2</v>
      </c>
      <c r="M395" t="s">
        <v>34</v>
      </c>
      <c r="N395">
        <v>3</v>
      </c>
      <c r="O395" t="s">
        <v>41</v>
      </c>
      <c r="P395">
        <v>6538</v>
      </c>
      <c r="Q395">
        <v>9</v>
      </c>
      <c r="R395" t="s">
        <v>36</v>
      </c>
      <c r="S395">
        <v>15</v>
      </c>
      <c r="T395">
        <v>3</v>
      </c>
      <c r="U395">
        <v>1</v>
      </c>
      <c r="V395">
        <v>1</v>
      </c>
      <c r="W395">
        <v>6</v>
      </c>
      <c r="X395">
        <v>3</v>
      </c>
      <c r="Y395">
        <v>3</v>
      </c>
      <c r="Z395">
        <v>3</v>
      </c>
      <c r="AA395">
        <v>2</v>
      </c>
      <c r="AB395">
        <v>1</v>
      </c>
      <c r="AC395">
        <v>2</v>
      </c>
      <c r="AD395">
        <f>IF(HR_Data[[#This Row],[Attrition]]="Yes",1,0)</f>
        <v>0</v>
      </c>
      <c r="AE395" t="str">
        <f>IF(HR_Data[[#This Row],[Age]]&lt;=25,"18-25",IF(HR_Data[[#This Row],[Age]]&lt;=35,"26-35",IF(HR_Data[[#This Row],[Age]]&lt;=45,"36-45",IF(HR_Data[[#This Row],[Age]]&lt;=55,"46-55","55+"))))</f>
        <v>26-35</v>
      </c>
      <c r="AF395">
        <f>IF(HR_Data[[#This Row],[Age]]&lt;=25,1,IF(HR_Data[[#This Row],[Age]]&lt;=35,2,IF(HR_Data[[#This Row],[Age]]&lt;=45,3,IF(HR_Data[[#This Row],[Age]]&lt;=55,4,5))))</f>
        <v>2</v>
      </c>
      <c r="AG395" s="1" t="str">
        <f>IF(HR_Data[[#This Row],[MonthlyIncome]]&lt;3000,"&lt;3K",IF(HR_Data[[#This Row],[MonthlyIncome]]&lt;6000,"3K-6K",IF(HR_Data[[#This Row],[MonthlyIncome]]&lt;10000,"6K-10K","10K+")))</f>
        <v>6K-10K</v>
      </c>
      <c r="AH395" s="1">
        <f>IF(HR_Data[[#This Row],[MonthlyIncome]]&lt;3000,1,IF(HR_Data[[#This Row],[MonthlyIncome]]&lt;6000,2,IF(HR_Data[[#This Row],[MonthlyIncome]]&lt;10000,3,4)))</f>
        <v>3</v>
      </c>
      <c r="AI395" s="1" t="str">
        <f>IF(HR_Data[[#This Row],[YearsAtCompany]]&lt;=2,"0-2 Yrs",IF(HR_Data[[#This Row],[YearsAtCompany]]&lt;=5,"3-5 Yrs",IF(HR_Data[[#This Row],[YearsAtCompany]]&lt;=10,"6-10 Yrs","10+ Yrs")))</f>
        <v>3-5 Yrs</v>
      </c>
      <c r="AJ395" s="1">
        <f>IF(HR_Data[[#This Row],[YearsAtCompany]]&lt;=2,1,IF(HR_Data[[#This Row],[YearsAtCompany]]&lt;=5,2,IF(HR_Data[[#This Row],[YearsAtCompany]]&lt;=10,3,4)))</f>
        <v>2</v>
      </c>
      <c r="AK395" s="1" t="str">
        <f>CHOOSE(HR_Data[[#This Row],[Education]],"Below College","College","Bachelor","Master","Doctor")</f>
        <v>Master</v>
      </c>
      <c r="AL395" s="1" t="str">
        <f>CHOOSE(HR_Data[[#This Row],[JobSatisfaction]],"Low","Medium","High","Very High")</f>
        <v>High</v>
      </c>
      <c r="AM395" s="1" t="str">
        <f>CHOOSE(HR_Data[[#This Row],[EnvironmentSatisfaction]],"Low","Medium","High","Very High")</f>
        <v>High</v>
      </c>
      <c r="AN395" s="1" t="str">
        <f>CHOOSE(HR_Data[[#This Row],[WorkLifeBalance]],"Bad","Good","Better","Best")</f>
        <v>Better</v>
      </c>
      <c r="AO395" s="1" t="str">
        <f>IF(HR_Data[[#This Row],[PercentSalaryHike]]&lt;=13,"11-13%",IF(HR_Data[[#This Row],[PercentSalaryHike]]&lt;=16,"14-16%",IF(HR_Data[[#This Row],[PercentSalaryHike]]&lt;=19,"17-19%","20-25%")))</f>
        <v>14-16%</v>
      </c>
      <c r="AP395" s="1">
        <f>IF(HR_Data[[#This Row],[PercentSalaryHike]]&lt;=13,1,IF(HR_Data[[#This Row],[PercentSalaryHike]]&lt;=16,2,IF(HR_Data[[#This Row],[PercentSalaryHike]]&lt;=19,3,4)))</f>
        <v>2</v>
      </c>
      <c r="AQ395" s="1" t="str">
        <f>IF(HR_Data[[#This Row],[DistanceFromHome]]&lt;=5,"1 to 5",IF(HR_Data[[#This Row],[DistanceFromHome]]&lt;=10,"6 to 10",IF(HR_Data[[#This Row],[DistanceFromHome]]&lt;=20,"11 to 20","21 to 29")))</f>
        <v>1 to 5</v>
      </c>
      <c r="AR395" s="1">
        <f>IF(HR_Data[[#This Row],[DistanceFromHome]]&lt;=5,1,IF(HR_Data[[#This Row],[DistanceFromHome]]&lt;=10,2,IF(HR_Data[[#This Row],[DistanceFromHome]]&lt;=20,3,4)))</f>
        <v>1</v>
      </c>
      <c r="AS395" s="1" t="str">
        <f>IF(HR_Data[[#This Row],[TotalWorkingYears]]&lt;=5,"0-5 Yrs",IF(HR_Data[[#This Row],[TotalWorkingYears]]&lt;=10,"6-10 Yrs",IF(HR_Data[[#This Row],[TotalWorkingYears]]&lt;=20,"11-20 Yrs","20+ Yrs")))</f>
        <v>6-10 Yrs</v>
      </c>
      <c r="AT395" s="1">
        <f>IF(HR_Data[[#This Row],[TotalWorkingYears]]&lt;=5,1,IF(HR_Data[[#This Row],[TotalWorkingYears]]&lt;=10,2,IF(HR_Data[[#This Row],[TotalWorkingYears]]&lt;=20,3,4)))</f>
        <v>2</v>
      </c>
    </row>
    <row r="396" spans="1:46" x14ac:dyDescent="0.25">
      <c r="A396">
        <v>31</v>
      </c>
      <c r="B396" t="s">
        <v>36</v>
      </c>
      <c r="C396" t="s">
        <v>30</v>
      </c>
      <c r="D396" t="s">
        <v>38</v>
      </c>
      <c r="E396">
        <v>7</v>
      </c>
      <c r="F396">
        <v>2</v>
      </c>
      <c r="G396" t="s">
        <v>44</v>
      </c>
      <c r="H396">
        <v>524</v>
      </c>
      <c r="I396">
        <v>2</v>
      </c>
      <c r="J396" t="s">
        <v>33</v>
      </c>
      <c r="K396">
        <v>3</v>
      </c>
      <c r="L396">
        <v>2</v>
      </c>
      <c r="M396" t="s">
        <v>46</v>
      </c>
      <c r="N396">
        <v>1</v>
      </c>
      <c r="O396" t="s">
        <v>41</v>
      </c>
      <c r="P396">
        <v>4306</v>
      </c>
      <c r="Q396">
        <v>1</v>
      </c>
      <c r="R396" t="s">
        <v>36</v>
      </c>
      <c r="S396">
        <v>12</v>
      </c>
      <c r="T396">
        <v>3</v>
      </c>
      <c r="U396">
        <v>2</v>
      </c>
      <c r="V396">
        <v>1</v>
      </c>
      <c r="W396">
        <v>13</v>
      </c>
      <c r="X396">
        <v>5</v>
      </c>
      <c r="Y396">
        <v>1</v>
      </c>
      <c r="Z396">
        <v>13</v>
      </c>
      <c r="AA396">
        <v>10</v>
      </c>
      <c r="AB396">
        <v>3</v>
      </c>
      <c r="AC396">
        <v>12</v>
      </c>
      <c r="AD396">
        <f>IF(HR_Data[[#This Row],[Attrition]]="Yes",1,0)</f>
        <v>0</v>
      </c>
      <c r="AE396" t="str">
        <f>IF(HR_Data[[#This Row],[Age]]&lt;=25,"18-25",IF(HR_Data[[#This Row],[Age]]&lt;=35,"26-35",IF(HR_Data[[#This Row],[Age]]&lt;=45,"36-45",IF(HR_Data[[#This Row],[Age]]&lt;=55,"46-55","55+"))))</f>
        <v>26-35</v>
      </c>
      <c r="AF396">
        <f>IF(HR_Data[[#This Row],[Age]]&lt;=25,1,IF(HR_Data[[#This Row],[Age]]&lt;=35,2,IF(HR_Data[[#This Row],[Age]]&lt;=45,3,IF(HR_Data[[#This Row],[Age]]&lt;=55,4,5))))</f>
        <v>2</v>
      </c>
      <c r="AG396" s="1" t="str">
        <f>IF(HR_Data[[#This Row],[MonthlyIncome]]&lt;3000,"&lt;3K",IF(HR_Data[[#This Row],[MonthlyIncome]]&lt;6000,"3K-6K",IF(HR_Data[[#This Row],[MonthlyIncome]]&lt;10000,"6K-10K","10K+")))</f>
        <v>3K-6K</v>
      </c>
      <c r="AH396" s="1">
        <f>IF(HR_Data[[#This Row],[MonthlyIncome]]&lt;3000,1,IF(HR_Data[[#This Row],[MonthlyIncome]]&lt;6000,2,IF(HR_Data[[#This Row],[MonthlyIncome]]&lt;10000,3,4)))</f>
        <v>2</v>
      </c>
      <c r="AI396" s="1" t="str">
        <f>IF(HR_Data[[#This Row],[YearsAtCompany]]&lt;=2,"0-2 Yrs",IF(HR_Data[[#This Row],[YearsAtCompany]]&lt;=5,"3-5 Yrs",IF(HR_Data[[#This Row],[YearsAtCompany]]&lt;=10,"6-10 Yrs","10+ Yrs")))</f>
        <v>10+ Yrs</v>
      </c>
      <c r="AJ396" s="1">
        <f>IF(HR_Data[[#This Row],[YearsAtCompany]]&lt;=2,1,IF(HR_Data[[#This Row],[YearsAtCompany]]&lt;=5,2,IF(HR_Data[[#This Row],[YearsAtCompany]]&lt;=10,3,4)))</f>
        <v>4</v>
      </c>
      <c r="AK396" s="1" t="str">
        <f>CHOOSE(HR_Data[[#This Row],[Education]],"Below College","College","Bachelor","Master","Doctor")</f>
        <v>College</v>
      </c>
      <c r="AL396" s="1" t="str">
        <f>CHOOSE(HR_Data[[#This Row],[JobSatisfaction]],"Low","Medium","High","Very High")</f>
        <v>Low</v>
      </c>
      <c r="AM396" s="1" t="str">
        <f>CHOOSE(HR_Data[[#This Row],[EnvironmentSatisfaction]],"Low","Medium","High","Very High")</f>
        <v>Medium</v>
      </c>
      <c r="AN396" s="1" t="str">
        <f>CHOOSE(HR_Data[[#This Row],[WorkLifeBalance]],"Bad","Good","Better","Best")</f>
        <v>Bad</v>
      </c>
      <c r="AO396" s="1" t="str">
        <f>IF(HR_Data[[#This Row],[PercentSalaryHike]]&lt;=13,"11-13%",IF(HR_Data[[#This Row],[PercentSalaryHike]]&lt;=16,"14-16%",IF(HR_Data[[#This Row],[PercentSalaryHike]]&lt;=19,"17-19%","20-25%")))</f>
        <v>11-13%</v>
      </c>
      <c r="AP396" s="1">
        <f>IF(HR_Data[[#This Row],[PercentSalaryHike]]&lt;=13,1,IF(HR_Data[[#This Row],[PercentSalaryHike]]&lt;=16,2,IF(HR_Data[[#This Row],[PercentSalaryHike]]&lt;=19,3,4)))</f>
        <v>1</v>
      </c>
      <c r="AQ396" s="1" t="str">
        <f>IF(HR_Data[[#This Row],[DistanceFromHome]]&lt;=5,"1 to 5",IF(HR_Data[[#This Row],[DistanceFromHome]]&lt;=10,"6 to 10",IF(HR_Data[[#This Row],[DistanceFromHome]]&lt;=20,"11 to 20","21 to 29")))</f>
        <v>6 to 10</v>
      </c>
      <c r="AR396" s="1">
        <f>IF(HR_Data[[#This Row],[DistanceFromHome]]&lt;=5,1,IF(HR_Data[[#This Row],[DistanceFromHome]]&lt;=10,2,IF(HR_Data[[#This Row],[DistanceFromHome]]&lt;=20,3,4)))</f>
        <v>2</v>
      </c>
      <c r="AS396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396" s="1">
        <f>IF(HR_Data[[#This Row],[TotalWorkingYears]]&lt;=5,1,IF(HR_Data[[#This Row],[TotalWorkingYears]]&lt;=10,2,IF(HR_Data[[#This Row],[TotalWorkingYears]]&lt;=20,3,4)))</f>
        <v>3</v>
      </c>
    </row>
    <row r="397" spans="1:46" x14ac:dyDescent="0.25">
      <c r="A397">
        <v>43</v>
      </c>
      <c r="B397" t="s">
        <v>36</v>
      </c>
      <c r="C397" t="s">
        <v>37</v>
      </c>
      <c r="D397" t="s">
        <v>38</v>
      </c>
      <c r="E397">
        <v>21</v>
      </c>
      <c r="F397">
        <v>3</v>
      </c>
      <c r="G397" t="s">
        <v>44</v>
      </c>
      <c r="H397">
        <v>525</v>
      </c>
      <c r="I397">
        <v>4</v>
      </c>
      <c r="J397" t="s">
        <v>39</v>
      </c>
      <c r="K397">
        <v>3</v>
      </c>
      <c r="L397">
        <v>1</v>
      </c>
      <c r="M397" t="s">
        <v>43</v>
      </c>
      <c r="N397">
        <v>4</v>
      </c>
      <c r="O397" t="s">
        <v>41</v>
      </c>
      <c r="P397">
        <v>2258</v>
      </c>
      <c r="Q397">
        <v>7</v>
      </c>
      <c r="R397" t="s">
        <v>36</v>
      </c>
      <c r="S397">
        <v>20</v>
      </c>
      <c r="T397">
        <v>4</v>
      </c>
      <c r="U397">
        <v>1</v>
      </c>
      <c r="V397">
        <v>1</v>
      </c>
      <c r="W397">
        <v>8</v>
      </c>
      <c r="X397">
        <v>1</v>
      </c>
      <c r="Y397">
        <v>3</v>
      </c>
      <c r="Z397">
        <v>3</v>
      </c>
      <c r="AA397">
        <v>2</v>
      </c>
      <c r="AB397">
        <v>1</v>
      </c>
      <c r="AC397">
        <v>2</v>
      </c>
      <c r="AD397">
        <f>IF(HR_Data[[#This Row],[Attrition]]="Yes",1,0)</f>
        <v>0</v>
      </c>
      <c r="AE397" t="str">
        <f>IF(HR_Data[[#This Row],[Age]]&lt;=25,"18-25",IF(HR_Data[[#This Row],[Age]]&lt;=35,"26-35",IF(HR_Data[[#This Row],[Age]]&lt;=45,"36-45",IF(HR_Data[[#This Row],[Age]]&lt;=55,"46-55","55+"))))</f>
        <v>36-45</v>
      </c>
      <c r="AF397">
        <f>IF(HR_Data[[#This Row],[Age]]&lt;=25,1,IF(HR_Data[[#This Row],[Age]]&lt;=35,2,IF(HR_Data[[#This Row],[Age]]&lt;=45,3,IF(HR_Data[[#This Row],[Age]]&lt;=55,4,5))))</f>
        <v>3</v>
      </c>
      <c r="AG397" s="1" t="str">
        <f>IF(HR_Data[[#This Row],[MonthlyIncome]]&lt;3000,"&lt;3K",IF(HR_Data[[#This Row],[MonthlyIncome]]&lt;6000,"3K-6K",IF(HR_Data[[#This Row],[MonthlyIncome]]&lt;10000,"6K-10K","10K+")))</f>
        <v>&lt;3K</v>
      </c>
      <c r="AH397" s="1">
        <f>IF(HR_Data[[#This Row],[MonthlyIncome]]&lt;3000,1,IF(HR_Data[[#This Row],[MonthlyIncome]]&lt;6000,2,IF(HR_Data[[#This Row],[MonthlyIncome]]&lt;10000,3,4)))</f>
        <v>1</v>
      </c>
      <c r="AI397" s="1" t="str">
        <f>IF(HR_Data[[#This Row],[YearsAtCompany]]&lt;=2,"0-2 Yrs",IF(HR_Data[[#This Row],[YearsAtCompany]]&lt;=5,"3-5 Yrs",IF(HR_Data[[#This Row],[YearsAtCompany]]&lt;=10,"6-10 Yrs","10+ Yrs")))</f>
        <v>3-5 Yrs</v>
      </c>
      <c r="AJ397" s="1">
        <f>IF(HR_Data[[#This Row],[YearsAtCompany]]&lt;=2,1,IF(HR_Data[[#This Row],[YearsAtCompany]]&lt;=5,2,IF(HR_Data[[#This Row],[YearsAtCompany]]&lt;=10,3,4)))</f>
        <v>2</v>
      </c>
      <c r="AK397" s="1" t="str">
        <f>CHOOSE(HR_Data[[#This Row],[Education]],"Below College","College","Bachelor","Master","Doctor")</f>
        <v>Bachelor</v>
      </c>
      <c r="AL397" s="1" t="str">
        <f>CHOOSE(HR_Data[[#This Row],[JobSatisfaction]],"Low","Medium","High","Very High")</f>
        <v>Very High</v>
      </c>
      <c r="AM397" s="1" t="str">
        <f>CHOOSE(HR_Data[[#This Row],[EnvironmentSatisfaction]],"Low","Medium","High","Very High")</f>
        <v>Very High</v>
      </c>
      <c r="AN397" s="1" t="str">
        <f>CHOOSE(HR_Data[[#This Row],[WorkLifeBalance]],"Bad","Good","Better","Best")</f>
        <v>Better</v>
      </c>
      <c r="AO397" s="1" t="str">
        <f>IF(HR_Data[[#This Row],[PercentSalaryHike]]&lt;=13,"11-13%",IF(HR_Data[[#This Row],[PercentSalaryHike]]&lt;=16,"14-16%",IF(HR_Data[[#This Row],[PercentSalaryHike]]&lt;=19,"17-19%","20-25%")))</f>
        <v>20-25%</v>
      </c>
      <c r="AP397" s="1">
        <f>IF(HR_Data[[#This Row],[PercentSalaryHike]]&lt;=13,1,IF(HR_Data[[#This Row],[PercentSalaryHike]]&lt;=16,2,IF(HR_Data[[#This Row],[PercentSalaryHike]]&lt;=19,3,4)))</f>
        <v>4</v>
      </c>
      <c r="AQ397" s="1" t="str">
        <f>IF(HR_Data[[#This Row],[DistanceFromHome]]&lt;=5,"1 to 5",IF(HR_Data[[#This Row],[DistanceFromHome]]&lt;=10,"6 to 10",IF(HR_Data[[#This Row],[DistanceFromHome]]&lt;=20,"11 to 20","21 to 29")))</f>
        <v>21 to 29</v>
      </c>
      <c r="AR397" s="1">
        <f>IF(HR_Data[[#This Row],[DistanceFromHome]]&lt;=5,1,IF(HR_Data[[#This Row],[DistanceFromHome]]&lt;=10,2,IF(HR_Data[[#This Row],[DistanceFromHome]]&lt;=20,3,4)))</f>
        <v>4</v>
      </c>
      <c r="AS397" s="1" t="str">
        <f>IF(HR_Data[[#This Row],[TotalWorkingYears]]&lt;=5,"0-5 Yrs",IF(HR_Data[[#This Row],[TotalWorkingYears]]&lt;=10,"6-10 Yrs",IF(HR_Data[[#This Row],[TotalWorkingYears]]&lt;=20,"11-20 Yrs","20+ Yrs")))</f>
        <v>6-10 Yrs</v>
      </c>
      <c r="AT397" s="1">
        <f>IF(HR_Data[[#This Row],[TotalWorkingYears]]&lt;=5,1,IF(HR_Data[[#This Row],[TotalWorkingYears]]&lt;=10,2,IF(HR_Data[[#This Row],[TotalWorkingYears]]&lt;=20,3,4)))</f>
        <v>2</v>
      </c>
    </row>
    <row r="398" spans="1:46" x14ac:dyDescent="0.25">
      <c r="A398">
        <v>43</v>
      </c>
      <c r="B398" t="s">
        <v>36</v>
      </c>
      <c r="C398" t="s">
        <v>30</v>
      </c>
      <c r="D398" t="s">
        <v>38</v>
      </c>
      <c r="E398">
        <v>8</v>
      </c>
      <c r="F398">
        <v>4</v>
      </c>
      <c r="G398" t="s">
        <v>42</v>
      </c>
      <c r="H398">
        <v>526</v>
      </c>
      <c r="I398">
        <v>3</v>
      </c>
      <c r="J398" t="s">
        <v>33</v>
      </c>
      <c r="K398">
        <v>3</v>
      </c>
      <c r="L398">
        <v>2</v>
      </c>
      <c r="M398" t="s">
        <v>47</v>
      </c>
      <c r="N398">
        <v>3</v>
      </c>
      <c r="O398" t="s">
        <v>45</v>
      </c>
      <c r="P398">
        <v>4522</v>
      </c>
      <c r="Q398">
        <v>4</v>
      </c>
      <c r="R398" t="s">
        <v>29</v>
      </c>
      <c r="S398">
        <v>14</v>
      </c>
      <c r="T398">
        <v>3</v>
      </c>
      <c r="U398">
        <v>4</v>
      </c>
      <c r="V398">
        <v>0</v>
      </c>
      <c r="W398">
        <v>8</v>
      </c>
      <c r="X398">
        <v>3</v>
      </c>
      <c r="Y398">
        <v>3</v>
      </c>
      <c r="Z398">
        <v>5</v>
      </c>
      <c r="AA398">
        <v>2</v>
      </c>
      <c r="AB398">
        <v>0</v>
      </c>
      <c r="AC398">
        <v>2</v>
      </c>
      <c r="AD398">
        <f>IF(HR_Data[[#This Row],[Attrition]]="Yes",1,0)</f>
        <v>0</v>
      </c>
      <c r="AE398" t="str">
        <f>IF(HR_Data[[#This Row],[Age]]&lt;=25,"18-25",IF(HR_Data[[#This Row],[Age]]&lt;=35,"26-35",IF(HR_Data[[#This Row],[Age]]&lt;=45,"36-45",IF(HR_Data[[#This Row],[Age]]&lt;=55,"46-55","55+"))))</f>
        <v>36-45</v>
      </c>
      <c r="AF398">
        <f>IF(HR_Data[[#This Row],[Age]]&lt;=25,1,IF(HR_Data[[#This Row],[Age]]&lt;=35,2,IF(HR_Data[[#This Row],[Age]]&lt;=45,3,IF(HR_Data[[#This Row],[Age]]&lt;=55,4,5))))</f>
        <v>3</v>
      </c>
      <c r="AG398" s="1" t="str">
        <f>IF(HR_Data[[#This Row],[MonthlyIncome]]&lt;3000,"&lt;3K",IF(HR_Data[[#This Row],[MonthlyIncome]]&lt;6000,"3K-6K",IF(HR_Data[[#This Row],[MonthlyIncome]]&lt;10000,"6K-10K","10K+")))</f>
        <v>3K-6K</v>
      </c>
      <c r="AH398" s="1">
        <f>IF(HR_Data[[#This Row],[MonthlyIncome]]&lt;3000,1,IF(HR_Data[[#This Row],[MonthlyIncome]]&lt;6000,2,IF(HR_Data[[#This Row],[MonthlyIncome]]&lt;10000,3,4)))</f>
        <v>2</v>
      </c>
      <c r="AI398" s="1" t="str">
        <f>IF(HR_Data[[#This Row],[YearsAtCompany]]&lt;=2,"0-2 Yrs",IF(HR_Data[[#This Row],[YearsAtCompany]]&lt;=5,"3-5 Yrs",IF(HR_Data[[#This Row],[YearsAtCompany]]&lt;=10,"6-10 Yrs","10+ Yrs")))</f>
        <v>3-5 Yrs</v>
      </c>
      <c r="AJ398" s="1">
        <f>IF(HR_Data[[#This Row],[YearsAtCompany]]&lt;=2,1,IF(HR_Data[[#This Row],[YearsAtCompany]]&lt;=5,2,IF(HR_Data[[#This Row],[YearsAtCompany]]&lt;=10,3,4)))</f>
        <v>2</v>
      </c>
      <c r="AK398" s="1" t="str">
        <f>CHOOSE(HR_Data[[#This Row],[Education]],"Below College","College","Bachelor","Master","Doctor")</f>
        <v>Master</v>
      </c>
      <c r="AL398" s="1" t="str">
        <f>CHOOSE(HR_Data[[#This Row],[JobSatisfaction]],"Low","Medium","High","Very High")</f>
        <v>High</v>
      </c>
      <c r="AM398" s="1" t="str">
        <f>CHOOSE(HR_Data[[#This Row],[EnvironmentSatisfaction]],"Low","Medium","High","Very High")</f>
        <v>High</v>
      </c>
      <c r="AN398" s="1" t="str">
        <f>CHOOSE(HR_Data[[#This Row],[WorkLifeBalance]],"Bad","Good","Better","Best")</f>
        <v>Better</v>
      </c>
      <c r="AO398" s="1" t="str">
        <f>IF(HR_Data[[#This Row],[PercentSalaryHike]]&lt;=13,"11-13%",IF(HR_Data[[#This Row],[PercentSalaryHike]]&lt;=16,"14-16%",IF(HR_Data[[#This Row],[PercentSalaryHike]]&lt;=19,"17-19%","20-25%")))</f>
        <v>14-16%</v>
      </c>
      <c r="AP398" s="1">
        <f>IF(HR_Data[[#This Row],[PercentSalaryHike]]&lt;=13,1,IF(HR_Data[[#This Row],[PercentSalaryHike]]&lt;=16,2,IF(HR_Data[[#This Row],[PercentSalaryHike]]&lt;=19,3,4)))</f>
        <v>2</v>
      </c>
      <c r="AQ398" s="1" t="str">
        <f>IF(HR_Data[[#This Row],[DistanceFromHome]]&lt;=5,"1 to 5",IF(HR_Data[[#This Row],[DistanceFromHome]]&lt;=10,"6 to 10",IF(HR_Data[[#This Row],[DistanceFromHome]]&lt;=20,"11 to 20","21 to 29")))</f>
        <v>6 to 10</v>
      </c>
      <c r="AR398" s="1">
        <f>IF(HR_Data[[#This Row],[DistanceFromHome]]&lt;=5,1,IF(HR_Data[[#This Row],[DistanceFromHome]]&lt;=10,2,IF(HR_Data[[#This Row],[DistanceFromHome]]&lt;=20,3,4)))</f>
        <v>2</v>
      </c>
      <c r="AS398" s="1" t="str">
        <f>IF(HR_Data[[#This Row],[TotalWorkingYears]]&lt;=5,"0-5 Yrs",IF(HR_Data[[#This Row],[TotalWorkingYears]]&lt;=10,"6-10 Yrs",IF(HR_Data[[#This Row],[TotalWorkingYears]]&lt;=20,"11-20 Yrs","20+ Yrs")))</f>
        <v>6-10 Yrs</v>
      </c>
      <c r="AT398" s="1">
        <f>IF(HR_Data[[#This Row],[TotalWorkingYears]]&lt;=5,1,IF(HR_Data[[#This Row],[TotalWorkingYears]]&lt;=10,2,IF(HR_Data[[#This Row],[TotalWorkingYears]]&lt;=20,3,4)))</f>
        <v>2</v>
      </c>
    </row>
    <row r="399" spans="1:46" x14ac:dyDescent="0.25">
      <c r="A399">
        <v>25</v>
      </c>
      <c r="B399" t="s">
        <v>36</v>
      </c>
      <c r="C399" t="s">
        <v>30</v>
      </c>
      <c r="D399" t="s">
        <v>31</v>
      </c>
      <c r="E399">
        <v>4</v>
      </c>
      <c r="F399">
        <v>2</v>
      </c>
      <c r="G399" t="s">
        <v>32</v>
      </c>
      <c r="H399">
        <v>527</v>
      </c>
      <c r="I399">
        <v>2</v>
      </c>
      <c r="J399" t="s">
        <v>33</v>
      </c>
      <c r="K399">
        <v>2</v>
      </c>
      <c r="L399">
        <v>2</v>
      </c>
      <c r="M399" t="s">
        <v>34</v>
      </c>
      <c r="N399">
        <v>4</v>
      </c>
      <c r="O399" t="s">
        <v>35</v>
      </c>
      <c r="P399">
        <v>4487</v>
      </c>
      <c r="Q399">
        <v>1</v>
      </c>
      <c r="R399" t="s">
        <v>29</v>
      </c>
      <c r="S399">
        <v>11</v>
      </c>
      <c r="T399">
        <v>3</v>
      </c>
      <c r="U399">
        <v>2</v>
      </c>
      <c r="V399">
        <v>0</v>
      </c>
      <c r="W399">
        <v>5</v>
      </c>
      <c r="X399">
        <v>3</v>
      </c>
      <c r="Y399">
        <v>3</v>
      </c>
      <c r="Z399">
        <v>5</v>
      </c>
      <c r="AA399">
        <v>4</v>
      </c>
      <c r="AB399">
        <v>1</v>
      </c>
      <c r="AC399">
        <v>3</v>
      </c>
      <c r="AD399">
        <f>IF(HR_Data[[#This Row],[Attrition]]="Yes",1,0)</f>
        <v>0</v>
      </c>
      <c r="AE399" t="str">
        <f>IF(HR_Data[[#This Row],[Age]]&lt;=25,"18-25",IF(HR_Data[[#This Row],[Age]]&lt;=35,"26-35",IF(HR_Data[[#This Row],[Age]]&lt;=45,"36-45",IF(HR_Data[[#This Row],[Age]]&lt;=55,"46-55","55+"))))</f>
        <v>18-25</v>
      </c>
      <c r="AF399">
        <f>IF(HR_Data[[#This Row],[Age]]&lt;=25,1,IF(HR_Data[[#This Row],[Age]]&lt;=35,2,IF(HR_Data[[#This Row],[Age]]&lt;=45,3,IF(HR_Data[[#This Row],[Age]]&lt;=55,4,5))))</f>
        <v>1</v>
      </c>
      <c r="AG399" s="1" t="str">
        <f>IF(HR_Data[[#This Row],[MonthlyIncome]]&lt;3000,"&lt;3K",IF(HR_Data[[#This Row],[MonthlyIncome]]&lt;6000,"3K-6K",IF(HR_Data[[#This Row],[MonthlyIncome]]&lt;10000,"6K-10K","10K+")))</f>
        <v>3K-6K</v>
      </c>
      <c r="AH399" s="1">
        <f>IF(HR_Data[[#This Row],[MonthlyIncome]]&lt;3000,1,IF(HR_Data[[#This Row],[MonthlyIncome]]&lt;6000,2,IF(HR_Data[[#This Row],[MonthlyIncome]]&lt;10000,3,4)))</f>
        <v>2</v>
      </c>
      <c r="AI399" s="1" t="str">
        <f>IF(HR_Data[[#This Row],[YearsAtCompany]]&lt;=2,"0-2 Yrs",IF(HR_Data[[#This Row],[YearsAtCompany]]&lt;=5,"3-5 Yrs",IF(HR_Data[[#This Row],[YearsAtCompany]]&lt;=10,"6-10 Yrs","10+ Yrs")))</f>
        <v>3-5 Yrs</v>
      </c>
      <c r="AJ399" s="1">
        <f>IF(HR_Data[[#This Row],[YearsAtCompany]]&lt;=2,1,IF(HR_Data[[#This Row],[YearsAtCompany]]&lt;=5,2,IF(HR_Data[[#This Row],[YearsAtCompany]]&lt;=10,3,4)))</f>
        <v>2</v>
      </c>
      <c r="AK399" s="1" t="str">
        <f>CHOOSE(HR_Data[[#This Row],[Education]],"Below College","College","Bachelor","Master","Doctor")</f>
        <v>College</v>
      </c>
      <c r="AL399" s="1" t="str">
        <f>CHOOSE(HR_Data[[#This Row],[JobSatisfaction]],"Low","Medium","High","Very High")</f>
        <v>Very High</v>
      </c>
      <c r="AM399" s="1" t="str">
        <f>CHOOSE(HR_Data[[#This Row],[EnvironmentSatisfaction]],"Low","Medium","High","Very High")</f>
        <v>Medium</v>
      </c>
      <c r="AN399" s="1" t="str">
        <f>CHOOSE(HR_Data[[#This Row],[WorkLifeBalance]],"Bad","Good","Better","Best")</f>
        <v>Better</v>
      </c>
      <c r="AO399" s="1" t="str">
        <f>IF(HR_Data[[#This Row],[PercentSalaryHike]]&lt;=13,"11-13%",IF(HR_Data[[#This Row],[PercentSalaryHike]]&lt;=16,"14-16%",IF(HR_Data[[#This Row],[PercentSalaryHike]]&lt;=19,"17-19%","20-25%")))</f>
        <v>11-13%</v>
      </c>
      <c r="AP399" s="1">
        <f>IF(HR_Data[[#This Row],[PercentSalaryHike]]&lt;=13,1,IF(HR_Data[[#This Row],[PercentSalaryHike]]&lt;=16,2,IF(HR_Data[[#This Row],[PercentSalaryHike]]&lt;=19,3,4)))</f>
        <v>1</v>
      </c>
      <c r="AQ399" s="1" t="str">
        <f>IF(HR_Data[[#This Row],[DistanceFromHome]]&lt;=5,"1 to 5",IF(HR_Data[[#This Row],[DistanceFromHome]]&lt;=10,"6 to 10",IF(HR_Data[[#This Row],[DistanceFromHome]]&lt;=20,"11 to 20","21 to 29")))</f>
        <v>1 to 5</v>
      </c>
      <c r="AR399" s="1">
        <f>IF(HR_Data[[#This Row],[DistanceFromHome]]&lt;=5,1,IF(HR_Data[[#This Row],[DistanceFromHome]]&lt;=10,2,IF(HR_Data[[#This Row],[DistanceFromHome]]&lt;=20,3,4)))</f>
        <v>1</v>
      </c>
      <c r="AS399" s="1" t="str">
        <f>IF(HR_Data[[#This Row],[TotalWorkingYears]]&lt;=5,"0-5 Yrs",IF(HR_Data[[#This Row],[TotalWorkingYears]]&lt;=10,"6-10 Yrs",IF(HR_Data[[#This Row],[TotalWorkingYears]]&lt;=20,"11-20 Yrs","20+ Yrs")))</f>
        <v>0-5 Yrs</v>
      </c>
      <c r="AT399" s="1">
        <f>IF(HR_Data[[#This Row],[TotalWorkingYears]]&lt;=5,1,IF(HR_Data[[#This Row],[TotalWorkingYears]]&lt;=10,2,IF(HR_Data[[#This Row],[TotalWorkingYears]]&lt;=20,3,4)))</f>
        <v>1</v>
      </c>
    </row>
    <row r="400" spans="1:46" x14ac:dyDescent="0.25">
      <c r="A400">
        <v>37</v>
      </c>
      <c r="B400" t="s">
        <v>36</v>
      </c>
      <c r="C400" t="s">
        <v>48</v>
      </c>
      <c r="D400" t="s">
        <v>38</v>
      </c>
      <c r="E400">
        <v>25</v>
      </c>
      <c r="F400">
        <v>5</v>
      </c>
      <c r="G400" t="s">
        <v>44</v>
      </c>
      <c r="H400">
        <v>529</v>
      </c>
      <c r="I400">
        <v>2</v>
      </c>
      <c r="J400" t="s">
        <v>33</v>
      </c>
      <c r="K400">
        <v>3</v>
      </c>
      <c r="L400">
        <v>2</v>
      </c>
      <c r="M400" t="s">
        <v>40</v>
      </c>
      <c r="N400">
        <v>3</v>
      </c>
      <c r="O400" t="s">
        <v>41</v>
      </c>
      <c r="P400">
        <v>4449</v>
      </c>
      <c r="Q400">
        <v>3</v>
      </c>
      <c r="R400" t="s">
        <v>29</v>
      </c>
      <c r="S400">
        <v>15</v>
      </c>
      <c r="T400">
        <v>3</v>
      </c>
      <c r="U400">
        <v>1</v>
      </c>
      <c r="V400">
        <v>2</v>
      </c>
      <c r="W400">
        <v>15</v>
      </c>
      <c r="X400">
        <v>2</v>
      </c>
      <c r="Y400">
        <v>3</v>
      </c>
      <c r="Z400">
        <v>13</v>
      </c>
      <c r="AA400">
        <v>11</v>
      </c>
      <c r="AB400">
        <v>10</v>
      </c>
      <c r="AC400">
        <v>7</v>
      </c>
      <c r="AD400">
        <f>IF(HR_Data[[#This Row],[Attrition]]="Yes",1,0)</f>
        <v>0</v>
      </c>
      <c r="AE400" t="str">
        <f>IF(HR_Data[[#This Row],[Age]]&lt;=25,"18-25",IF(HR_Data[[#This Row],[Age]]&lt;=35,"26-35",IF(HR_Data[[#This Row],[Age]]&lt;=45,"36-45",IF(HR_Data[[#This Row],[Age]]&lt;=55,"46-55","55+"))))</f>
        <v>36-45</v>
      </c>
      <c r="AF400">
        <f>IF(HR_Data[[#This Row],[Age]]&lt;=25,1,IF(HR_Data[[#This Row],[Age]]&lt;=35,2,IF(HR_Data[[#This Row],[Age]]&lt;=45,3,IF(HR_Data[[#This Row],[Age]]&lt;=55,4,5))))</f>
        <v>3</v>
      </c>
      <c r="AG400" s="1" t="str">
        <f>IF(HR_Data[[#This Row],[MonthlyIncome]]&lt;3000,"&lt;3K",IF(HR_Data[[#This Row],[MonthlyIncome]]&lt;6000,"3K-6K",IF(HR_Data[[#This Row],[MonthlyIncome]]&lt;10000,"6K-10K","10K+")))</f>
        <v>3K-6K</v>
      </c>
      <c r="AH400" s="1">
        <f>IF(HR_Data[[#This Row],[MonthlyIncome]]&lt;3000,1,IF(HR_Data[[#This Row],[MonthlyIncome]]&lt;6000,2,IF(HR_Data[[#This Row],[MonthlyIncome]]&lt;10000,3,4)))</f>
        <v>2</v>
      </c>
      <c r="AI400" s="1" t="str">
        <f>IF(HR_Data[[#This Row],[YearsAtCompany]]&lt;=2,"0-2 Yrs",IF(HR_Data[[#This Row],[YearsAtCompany]]&lt;=5,"3-5 Yrs",IF(HR_Data[[#This Row],[YearsAtCompany]]&lt;=10,"6-10 Yrs","10+ Yrs")))</f>
        <v>10+ Yrs</v>
      </c>
      <c r="AJ400" s="1">
        <f>IF(HR_Data[[#This Row],[YearsAtCompany]]&lt;=2,1,IF(HR_Data[[#This Row],[YearsAtCompany]]&lt;=5,2,IF(HR_Data[[#This Row],[YearsAtCompany]]&lt;=10,3,4)))</f>
        <v>4</v>
      </c>
      <c r="AK400" s="1" t="str">
        <f>CHOOSE(HR_Data[[#This Row],[Education]],"Below College","College","Bachelor","Master","Doctor")</f>
        <v>Doctor</v>
      </c>
      <c r="AL400" s="1" t="str">
        <f>CHOOSE(HR_Data[[#This Row],[JobSatisfaction]],"Low","Medium","High","Very High")</f>
        <v>High</v>
      </c>
      <c r="AM400" s="1" t="str">
        <f>CHOOSE(HR_Data[[#This Row],[EnvironmentSatisfaction]],"Low","Medium","High","Very High")</f>
        <v>Medium</v>
      </c>
      <c r="AN400" s="1" t="str">
        <f>CHOOSE(HR_Data[[#This Row],[WorkLifeBalance]],"Bad","Good","Better","Best")</f>
        <v>Better</v>
      </c>
      <c r="AO400" s="1" t="str">
        <f>IF(HR_Data[[#This Row],[PercentSalaryHike]]&lt;=13,"11-13%",IF(HR_Data[[#This Row],[PercentSalaryHike]]&lt;=16,"14-16%",IF(HR_Data[[#This Row],[PercentSalaryHike]]&lt;=19,"17-19%","20-25%")))</f>
        <v>14-16%</v>
      </c>
      <c r="AP400" s="1">
        <f>IF(HR_Data[[#This Row],[PercentSalaryHike]]&lt;=13,1,IF(HR_Data[[#This Row],[PercentSalaryHike]]&lt;=16,2,IF(HR_Data[[#This Row],[PercentSalaryHike]]&lt;=19,3,4)))</f>
        <v>2</v>
      </c>
      <c r="AQ400" s="1" t="str">
        <f>IF(HR_Data[[#This Row],[DistanceFromHome]]&lt;=5,"1 to 5",IF(HR_Data[[#This Row],[DistanceFromHome]]&lt;=10,"6 to 10",IF(HR_Data[[#This Row],[DistanceFromHome]]&lt;=20,"11 to 20","21 to 29")))</f>
        <v>21 to 29</v>
      </c>
      <c r="AR400" s="1">
        <f>IF(HR_Data[[#This Row],[DistanceFromHome]]&lt;=5,1,IF(HR_Data[[#This Row],[DistanceFromHome]]&lt;=10,2,IF(HR_Data[[#This Row],[DistanceFromHome]]&lt;=20,3,4)))</f>
        <v>4</v>
      </c>
      <c r="AS400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400" s="1">
        <f>IF(HR_Data[[#This Row],[TotalWorkingYears]]&lt;=5,1,IF(HR_Data[[#This Row],[TotalWorkingYears]]&lt;=10,2,IF(HR_Data[[#This Row],[TotalWorkingYears]]&lt;=20,3,4)))</f>
        <v>3</v>
      </c>
    </row>
    <row r="401" spans="1:46" x14ac:dyDescent="0.25">
      <c r="A401">
        <v>31</v>
      </c>
      <c r="B401" t="s">
        <v>36</v>
      </c>
      <c r="C401" t="s">
        <v>30</v>
      </c>
      <c r="D401" t="s">
        <v>38</v>
      </c>
      <c r="E401">
        <v>1</v>
      </c>
      <c r="F401">
        <v>2</v>
      </c>
      <c r="G401" t="s">
        <v>32</v>
      </c>
      <c r="H401">
        <v>530</v>
      </c>
      <c r="I401">
        <v>4</v>
      </c>
      <c r="J401" t="s">
        <v>39</v>
      </c>
      <c r="K401">
        <v>2</v>
      </c>
      <c r="L401">
        <v>1</v>
      </c>
      <c r="M401" t="s">
        <v>43</v>
      </c>
      <c r="N401">
        <v>1</v>
      </c>
      <c r="O401" t="s">
        <v>41</v>
      </c>
      <c r="P401">
        <v>2218</v>
      </c>
      <c r="Q401">
        <v>1</v>
      </c>
      <c r="R401" t="s">
        <v>36</v>
      </c>
      <c r="S401">
        <v>12</v>
      </c>
      <c r="T401">
        <v>3</v>
      </c>
      <c r="U401">
        <v>3</v>
      </c>
      <c r="V401">
        <v>1</v>
      </c>
      <c r="W401">
        <v>4</v>
      </c>
      <c r="X401">
        <v>3</v>
      </c>
      <c r="Y401">
        <v>3</v>
      </c>
      <c r="Z401">
        <v>4</v>
      </c>
      <c r="AA401">
        <v>2</v>
      </c>
      <c r="AB401">
        <v>3</v>
      </c>
      <c r="AC401">
        <v>2</v>
      </c>
      <c r="AD401">
        <f>IF(HR_Data[[#This Row],[Attrition]]="Yes",1,0)</f>
        <v>0</v>
      </c>
      <c r="AE401" t="str">
        <f>IF(HR_Data[[#This Row],[Age]]&lt;=25,"18-25",IF(HR_Data[[#This Row],[Age]]&lt;=35,"26-35",IF(HR_Data[[#This Row],[Age]]&lt;=45,"36-45",IF(HR_Data[[#This Row],[Age]]&lt;=55,"46-55","55+"))))</f>
        <v>26-35</v>
      </c>
      <c r="AF401">
        <f>IF(HR_Data[[#This Row],[Age]]&lt;=25,1,IF(HR_Data[[#This Row],[Age]]&lt;=35,2,IF(HR_Data[[#This Row],[Age]]&lt;=45,3,IF(HR_Data[[#This Row],[Age]]&lt;=55,4,5))))</f>
        <v>2</v>
      </c>
      <c r="AG401" s="1" t="str">
        <f>IF(HR_Data[[#This Row],[MonthlyIncome]]&lt;3000,"&lt;3K",IF(HR_Data[[#This Row],[MonthlyIncome]]&lt;6000,"3K-6K",IF(HR_Data[[#This Row],[MonthlyIncome]]&lt;10000,"6K-10K","10K+")))</f>
        <v>&lt;3K</v>
      </c>
      <c r="AH401" s="1">
        <f>IF(HR_Data[[#This Row],[MonthlyIncome]]&lt;3000,1,IF(HR_Data[[#This Row],[MonthlyIncome]]&lt;6000,2,IF(HR_Data[[#This Row],[MonthlyIncome]]&lt;10000,3,4)))</f>
        <v>1</v>
      </c>
      <c r="AI401" s="1" t="str">
        <f>IF(HR_Data[[#This Row],[YearsAtCompany]]&lt;=2,"0-2 Yrs",IF(HR_Data[[#This Row],[YearsAtCompany]]&lt;=5,"3-5 Yrs",IF(HR_Data[[#This Row],[YearsAtCompany]]&lt;=10,"6-10 Yrs","10+ Yrs")))</f>
        <v>3-5 Yrs</v>
      </c>
      <c r="AJ401" s="1">
        <f>IF(HR_Data[[#This Row],[YearsAtCompany]]&lt;=2,1,IF(HR_Data[[#This Row],[YearsAtCompany]]&lt;=5,2,IF(HR_Data[[#This Row],[YearsAtCompany]]&lt;=10,3,4)))</f>
        <v>2</v>
      </c>
      <c r="AK401" s="1" t="str">
        <f>CHOOSE(HR_Data[[#This Row],[Education]],"Below College","College","Bachelor","Master","Doctor")</f>
        <v>College</v>
      </c>
      <c r="AL401" s="1" t="str">
        <f>CHOOSE(HR_Data[[#This Row],[JobSatisfaction]],"Low","Medium","High","Very High")</f>
        <v>Low</v>
      </c>
      <c r="AM401" s="1" t="str">
        <f>CHOOSE(HR_Data[[#This Row],[EnvironmentSatisfaction]],"Low","Medium","High","Very High")</f>
        <v>Very High</v>
      </c>
      <c r="AN401" s="1" t="str">
        <f>CHOOSE(HR_Data[[#This Row],[WorkLifeBalance]],"Bad","Good","Better","Best")</f>
        <v>Better</v>
      </c>
      <c r="AO401" s="1" t="str">
        <f>IF(HR_Data[[#This Row],[PercentSalaryHike]]&lt;=13,"11-13%",IF(HR_Data[[#This Row],[PercentSalaryHike]]&lt;=16,"14-16%",IF(HR_Data[[#This Row],[PercentSalaryHike]]&lt;=19,"17-19%","20-25%")))</f>
        <v>11-13%</v>
      </c>
      <c r="AP401" s="1">
        <f>IF(HR_Data[[#This Row],[PercentSalaryHike]]&lt;=13,1,IF(HR_Data[[#This Row],[PercentSalaryHike]]&lt;=16,2,IF(HR_Data[[#This Row],[PercentSalaryHike]]&lt;=19,3,4)))</f>
        <v>1</v>
      </c>
      <c r="AQ401" s="1" t="str">
        <f>IF(HR_Data[[#This Row],[DistanceFromHome]]&lt;=5,"1 to 5",IF(HR_Data[[#This Row],[DistanceFromHome]]&lt;=10,"6 to 10",IF(HR_Data[[#This Row],[DistanceFromHome]]&lt;=20,"11 to 20","21 to 29")))</f>
        <v>1 to 5</v>
      </c>
      <c r="AR401" s="1">
        <f>IF(HR_Data[[#This Row],[DistanceFromHome]]&lt;=5,1,IF(HR_Data[[#This Row],[DistanceFromHome]]&lt;=10,2,IF(HR_Data[[#This Row],[DistanceFromHome]]&lt;=20,3,4)))</f>
        <v>1</v>
      </c>
      <c r="AS401" s="1" t="str">
        <f>IF(HR_Data[[#This Row],[TotalWorkingYears]]&lt;=5,"0-5 Yrs",IF(HR_Data[[#This Row],[TotalWorkingYears]]&lt;=10,"6-10 Yrs",IF(HR_Data[[#This Row],[TotalWorkingYears]]&lt;=20,"11-20 Yrs","20+ Yrs")))</f>
        <v>0-5 Yrs</v>
      </c>
      <c r="AT401" s="1">
        <f>IF(HR_Data[[#This Row],[TotalWorkingYears]]&lt;=5,1,IF(HR_Data[[#This Row],[TotalWorkingYears]]&lt;=10,2,IF(HR_Data[[#This Row],[TotalWorkingYears]]&lt;=20,3,4)))</f>
        <v>1</v>
      </c>
    </row>
    <row r="402" spans="1:46" x14ac:dyDescent="0.25">
      <c r="A402">
        <v>39</v>
      </c>
      <c r="B402" t="s">
        <v>36</v>
      </c>
      <c r="C402" t="s">
        <v>37</v>
      </c>
      <c r="D402" t="s">
        <v>38</v>
      </c>
      <c r="E402">
        <v>1</v>
      </c>
      <c r="F402">
        <v>1</v>
      </c>
      <c r="G402" t="s">
        <v>32</v>
      </c>
      <c r="H402">
        <v>531</v>
      </c>
      <c r="I402">
        <v>2</v>
      </c>
      <c r="J402" t="s">
        <v>39</v>
      </c>
      <c r="K402">
        <v>3</v>
      </c>
      <c r="L402">
        <v>5</v>
      </c>
      <c r="M402" t="s">
        <v>49</v>
      </c>
      <c r="N402">
        <v>3</v>
      </c>
      <c r="O402" t="s">
        <v>45</v>
      </c>
      <c r="P402">
        <v>19197</v>
      </c>
      <c r="Q402">
        <v>1</v>
      </c>
      <c r="R402" t="s">
        <v>29</v>
      </c>
      <c r="S402">
        <v>14</v>
      </c>
      <c r="T402">
        <v>3</v>
      </c>
      <c r="U402">
        <v>3</v>
      </c>
      <c r="V402">
        <v>1</v>
      </c>
      <c r="W402">
        <v>21</v>
      </c>
      <c r="X402">
        <v>3</v>
      </c>
      <c r="Y402">
        <v>3</v>
      </c>
      <c r="Z402">
        <v>21</v>
      </c>
      <c r="AA402">
        <v>8</v>
      </c>
      <c r="AB402">
        <v>1</v>
      </c>
      <c r="AC402">
        <v>6</v>
      </c>
      <c r="AD402">
        <f>IF(HR_Data[[#This Row],[Attrition]]="Yes",1,0)</f>
        <v>0</v>
      </c>
      <c r="AE402" t="str">
        <f>IF(HR_Data[[#This Row],[Age]]&lt;=25,"18-25",IF(HR_Data[[#This Row],[Age]]&lt;=35,"26-35",IF(HR_Data[[#This Row],[Age]]&lt;=45,"36-45",IF(HR_Data[[#This Row],[Age]]&lt;=55,"46-55","55+"))))</f>
        <v>36-45</v>
      </c>
      <c r="AF402">
        <f>IF(HR_Data[[#This Row],[Age]]&lt;=25,1,IF(HR_Data[[#This Row],[Age]]&lt;=35,2,IF(HR_Data[[#This Row],[Age]]&lt;=45,3,IF(HR_Data[[#This Row],[Age]]&lt;=55,4,5))))</f>
        <v>3</v>
      </c>
      <c r="AG402" s="1" t="str">
        <f>IF(HR_Data[[#This Row],[MonthlyIncome]]&lt;3000,"&lt;3K",IF(HR_Data[[#This Row],[MonthlyIncome]]&lt;6000,"3K-6K",IF(HR_Data[[#This Row],[MonthlyIncome]]&lt;10000,"6K-10K","10K+")))</f>
        <v>10K+</v>
      </c>
      <c r="AH402" s="1">
        <f>IF(HR_Data[[#This Row],[MonthlyIncome]]&lt;3000,1,IF(HR_Data[[#This Row],[MonthlyIncome]]&lt;6000,2,IF(HR_Data[[#This Row],[MonthlyIncome]]&lt;10000,3,4)))</f>
        <v>4</v>
      </c>
      <c r="AI402" s="1" t="str">
        <f>IF(HR_Data[[#This Row],[YearsAtCompany]]&lt;=2,"0-2 Yrs",IF(HR_Data[[#This Row],[YearsAtCompany]]&lt;=5,"3-5 Yrs",IF(HR_Data[[#This Row],[YearsAtCompany]]&lt;=10,"6-10 Yrs","10+ Yrs")))</f>
        <v>10+ Yrs</v>
      </c>
      <c r="AJ402" s="1">
        <f>IF(HR_Data[[#This Row],[YearsAtCompany]]&lt;=2,1,IF(HR_Data[[#This Row],[YearsAtCompany]]&lt;=5,2,IF(HR_Data[[#This Row],[YearsAtCompany]]&lt;=10,3,4)))</f>
        <v>4</v>
      </c>
      <c r="AK402" s="1" t="str">
        <f>CHOOSE(HR_Data[[#This Row],[Education]],"Below College","College","Bachelor","Master","Doctor")</f>
        <v>Below College</v>
      </c>
      <c r="AL402" s="1" t="str">
        <f>CHOOSE(HR_Data[[#This Row],[JobSatisfaction]],"Low","Medium","High","Very High")</f>
        <v>High</v>
      </c>
      <c r="AM402" s="1" t="str">
        <f>CHOOSE(HR_Data[[#This Row],[EnvironmentSatisfaction]],"Low","Medium","High","Very High")</f>
        <v>Medium</v>
      </c>
      <c r="AN402" s="1" t="str">
        <f>CHOOSE(HR_Data[[#This Row],[WorkLifeBalance]],"Bad","Good","Better","Best")</f>
        <v>Better</v>
      </c>
      <c r="AO402" s="1" t="str">
        <f>IF(HR_Data[[#This Row],[PercentSalaryHike]]&lt;=13,"11-13%",IF(HR_Data[[#This Row],[PercentSalaryHike]]&lt;=16,"14-16%",IF(HR_Data[[#This Row],[PercentSalaryHike]]&lt;=19,"17-19%","20-25%")))</f>
        <v>14-16%</v>
      </c>
      <c r="AP402" s="1">
        <f>IF(HR_Data[[#This Row],[PercentSalaryHike]]&lt;=13,1,IF(HR_Data[[#This Row],[PercentSalaryHike]]&lt;=16,2,IF(HR_Data[[#This Row],[PercentSalaryHike]]&lt;=19,3,4)))</f>
        <v>2</v>
      </c>
      <c r="AQ402" s="1" t="str">
        <f>IF(HR_Data[[#This Row],[DistanceFromHome]]&lt;=5,"1 to 5",IF(HR_Data[[#This Row],[DistanceFromHome]]&lt;=10,"6 to 10",IF(HR_Data[[#This Row],[DistanceFromHome]]&lt;=20,"11 to 20","21 to 29")))</f>
        <v>1 to 5</v>
      </c>
      <c r="AR402" s="1">
        <f>IF(HR_Data[[#This Row],[DistanceFromHome]]&lt;=5,1,IF(HR_Data[[#This Row],[DistanceFromHome]]&lt;=10,2,IF(HR_Data[[#This Row],[DistanceFromHome]]&lt;=20,3,4)))</f>
        <v>1</v>
      </c>
      <c r="AS402" s="1" t="str">
        <f>IF(HR_Data[[#This Row],[TotalWorkingYears]]&lt;=5,"0-5 Yrs",IF(HR_Data[[#This Row],[TotalWorkingYears]]&lt;=10,"6-10 Yrs",IF(HR_Data[[#This Row],[TotalWorkingYears]]&lt;=20,"11-20 Yrs","20+ Yrs")))</f>
        <v>20+ Yrs</v>
      </c>
      <c r="AT402" s="1">
        <f>IF(HR_Data[[#This Row],[TotalWorkingYears]]&lt;=5,1,IF(HR_Data[[#This Row],[TotalWorkingYears]]&lt;=10,2,IF(HR_Data[[#This Row],[TotalWorkingYears]]&lt;=20,3,4)))</f>
        <v>4</v>
      </c>
    </row>
    <row r="403" spans="1:46" x14ac:dyDescent="0.25">
      <c r="A403">
        <v>56</v>
      </c>
      <c r="B403" t="s">
        <v>36</v>
      </c>
      <c r="C403" t="s">
        <v>37</v>
      </c>
      <c r="D403" t="s">
        <v>31</v>
      </c>
      <c r="E403">
        <v>6</v>
      </c>
      <c r="F403">
        <v>3</v>
      </c>
      <c r="G403" t="s">
        <v>32</v>
      </c>
      <c r="H403">
        <v>532</v>
      </c>
      <c r="I403">
        <v>3</v>
      </c>
      <c r="J403" t="s">
        <v>33</v>
      </c>
      <c r="K403">
        <v>4</v>
      </c>
      <c r="L403">
        <v>4</v>
      </c>
      <c r="M403" t="s">
        <v>34</v>
      </c>
      <c r="N403">
        <v>1</v>
      </c>
      <c r="O403" t="s">
        <v>41</v>
      </c>
      <c r="P403">
        <v>13212</v>
      </c>
      <c r="Q403">
        <v>9</v>
      </c>
      <c r="R403" t="s">
        <v>36</v>
      </c>
      <c r="S403">
        <v>11</v>
      </c>
      <c r="T403">
        <v>3</v>
      </c>
      <c r="U403">
        <v>4</v>
      </c>
      <c r="V403">
        <v>3</v>
      </c>
      <c r="W403">
        <v>36</v>
      </c>
      <c r="X403">
        <v>0</v>
      </c>
      <c r="Y403">
        <v>2</v>
      </c>
      <c r="Z403">
        <v>7</v>
      </c>
      <c r="AA403">
        <v>7</v>
      </c>
      <c r="AB403">
        <v>7</v>
      </c>
      <c r="AC403">
        <v>7</v>
      </c>
      <c r="AD403">
        <f>IF(HR_Data[[#This Row],[Attrition]]="Yes",1,0)</f>
        <v>0</v>
      </c>
      <c r="AE403" t="str">
        <f>IF(HR_Data[[#This Row],[Age]]&lt;=25,"18-25",IF(HR_Data[[#This Row],[Age]]&lt;=35,"26-35",IF(HR_Data[[#This Row],[Age]]&lt;=45,"36-45",IF(HR_Data[[#This Row],[Age]]&lt;=55,"46-55","55+"))))</f>
        <v>55+</v>
      </c>
      <c r="AF403">
        <f>IF(HR_Data[[#This Row],[Age]]&lt;=25,1,IF(HR_Data[[#This Row],[Age]]&lt;=35,2,IF(HR_Data[[#This Row],[Age]]&lt;=45,3,IF(HR_Data[[#This Row],[Age]]&lt;=55,4,5))))</f>
        <v>5</v>
      </c>
      <c r="AG403" s="1" t="str">
        <f>IF(HR_Data[[#This Row],[MonthlyIncome]]&lt;3000,"&lt;3K",IF(HR_Data[[#This Row],[MonthlyIncome]]&lt;6000,"3K-6K",IF(HR_Data[[#This Row],[MonthlyIncome]]&lt;10000,"6K-10K","10K+")))</f>
        <v>10K+</v>
      </c>
      <c r="AH403" s="1">
        <f>IF(HR_Data[[#This Row],[MonthlyIncome]]&lt;3000,1,IF(HR_Data[[#This Row],[MonthlyIncome]]&lt;6000,2,IF(HR_Data[[#This Row],[MonthlyIncome]]&lt;10000,3,4)))</f>
        <v>4</v>
      </c>
      <c r="AI403" s="1" t="str">
        <f>IF(HR_Data[[#This Row],[YearsAtCompany]]&lt;=2,"0-2 Yrs",IF(HR_Data[[#This Row],[YearsAtCompany]]&lt;=5,"3-5 Yrs",IF(HR_Data[[#This Row],[YearsAtCompany]]&lt;=10,"6-10 Yrs","10+ Yrs")))</f>
        <v>6-10 Yrs</v>
      </c>
      <c r="AJ403" s="1">
        <f>IF(HR_Data[[#This Row],[YearsAtCompany]]&lt;=2,1,IF(HR_Data[[#This Row],[YearsAtCompany]]&lt;=5,2,IF(HR_Data[[#This Row],[YearsAtCompany]]&lt;=10,3,4)))</f>
        <v>3</v>
      </c>
      <c r="AK403" s="1" t="str">
        <f>CHOOSE(HR_Data[[#This Row],[Education]],"Below College","College","Bachelor","Master","Doctor")</f>
        <v>Bachelor</v>
      </c>
      <c r="AL403" s="1" t="str">
        <f>CHOOSE(HR_Data[[#This Row],[JobSatisfaction]],"Low","Medium","High","Very High")</f>
        <v>Low</v>
      </c>
      <c r="AM403" s="1" t="str">
        <f>CHOOSE(HR_Data[[#This Row],[EnvironmentSatisfaction]],"Low","Medium","High","Very High")</f>
        <v>High</v>
      </c>
      <c r="AN403" s="1" t="str">
        <f>CHOOSE(HR_Data[[#This Row],[WorkLifeBalance]],"Bad","Good","Better","Best")</f>
        <v>Good</v>
      </c>
      <c r="AO403" s="1" t="str">
        <f>IF(HR_Data[[#This Row],[PercentSalaryHike]]&lt;=13,"11-13%",IF(HR_Data[[#This Row],[PercentSalaryHike]]&lt;=16,"14-16%",IF(HR_Data[[#This Row],[PercentSalaryHike]]&lt;=19,"17-19%","20-25%")))</f>
        <v>11-13%</v>
      </c>
      <c r="AP403" s="1">
        <f>IF(HR_Data[[#This Row],[PercentSalaryHike]]&lt;=13,1,IF(HR_Data[[#This Row],[PercentSalaryHike]]&lt;=16,2,IF(HR_Data[[#This Row],[PercentSalaryHike]]&lt;=19,3,4)))</f>
        <v>1</v>
      </c>
      <c r="AQ403" s="1" t="str">
        <f>IF(HR_Data[[#This Row],[DistanceFromHome]]&lt;=5,"1 to 5",IF(HR_Data[[#This Row],[DistanceFromHome]]&lt;=10,"6 to 10",IF(HR_Data[[#This Row],[DistanceFromHome]]&lt;=20,"11 to 20","21 to 29")))</f>
        <v>6 to 10</v>
      </c>
      <c r="AR403" s="1">
        <f>IF(HR_Data[[#This Row],[DistanceFromHome]]&lt;=5,1,IF(HR_Data[[#This Row],[DistanceFromHome]]&lt;=10,2,IF(HR_Data[[#This Row],[DistanceFromHome]]&lt;=20,3,4)))</f>
        <v>2</v>
      </c>
      <c r="AS403" s="1" t="str">
        <f>IF(HR_Data[[#This Row],[TotalWorkingYears]]&lt;=5,"0-5 Yrs",IF(HR_Data[[#This Row],[TotalWorkingYears]]&lt;=10,"6-10 Yrs",IF(HR_Data[[#This Row],[TotalWorkingYears]]&lt;=20,"11-20 Yrs","20+ Yrs")))</f>
        <v>20+ Yrs</v>
      </c>
      <c r="AT403" s="1">
        <f>IF(HR_Data[[#This Row],[TotalWorkingYears]]&lt;=5,1,IF(HR_Data[[#This Row],[TotalWorkingYears]]&lt;=10,2,IF(HR_Data[[#This Row],[TotalWorkingYears]]&lt;=20,3,4)))</f>
        <v>4</v>
      </c>
    </row>
    <row r="404" spans="1:46" x14ac:dyDescent="0.25">
      <c r="A404">
        <v>30</v>
      </c>
      <c r="B404" t="s">
        <v>36</v>
      </c>
      <c r="C404" t="s">
        <v>30</v>
      </c>
      <c r="D404" t="s">
        <v>31</v>
      </c>
      <c r="E404">
        <v>12</v>
      </c>
      <c r="F404">
        <v>3</v>
      </c>
      <c r="G404" t="s">
        <v>53</v>
      </c>
      <c r="H404">
        <v>533</v>
      </c>
      <c r="I404">
        <v>2</v>
      </c>
      <c r="J404" t="s">
        <v>33</v>
      </c>
      <c r="K404">
        <v>3</v>
      </c>
      <c r="L404">
        <v>2</v>
      </c>
      <c r="M404" t="s">
        <v>34</v>
      </c>
      <c r="N404">
        <v>3</v>
      </c>
      <c r="O404" t="s">
        <v>35</v>
      </c>
      <c r="P404">
        <v>6577</v>
      </c>
      <c r="Q404">
        <v>0</v>
      </c>
      <c r="R404" t="s">
        <v>36</v>
      </c>
      <c r="S404">
        <v>11</v>
      </c>
      <c r="T404">
        <v>3</v>
      </c>
      <c r="U404">
        <v>2</v>
      </c>
      <c r="V404">
        <v>0</v>
      </c>
      <c r="W404">
        <v>6</v>
      </c>
      <c r="X404">
        <v>6</v>
      </c>
      <c r="Y404">
        <v>3</v>
      </c>
      <c r="Z404">
        <v>5</v>
      </c>
      <c r="AA404">
        <v>4</v>
      </c>
      <c r="AB404">
        <v>4</v>
      </c>
      <c r="AC404">
        <v>4</v>
      </c>
      <c r="AD404">
        <f>IF(HR_Data[[#This Row],[Attrition]]="Yes",1,0)</f>
        <v>0</v>
      </c>
      <c r="AE404" t="str">
        <f>IF(HR_Data[[#This Row],[Age]]&lt;=25,"18-25",IF(HR_Data[[#This Row],[Age]]&lt;=35,"26-35",IF(HR_Data[[#This Row],[Age]]&lt;=45,"36-45",IF(HR_Data[[#This Row],[Age]]&lt;=55,"46-55","55+"))))</f>
        <v>26-35</v>
      </c>
      <c r="AF404">
        <f>IF(HR_Data[[#This Row],[Age]]&lt;=25,1,IF(HR_Data[[#This Row],[Age]]&lt;=35,2,IF(HR_Data[[#This Row],[Age]]&lt;=45,3,IF(HR_Data[[#This Row],[Age]]&lt;=55,4,5))))</f>
        <v>2</v>
      </c>
      <c r="AG404" s="1" t="str">
        <f>IF(HR_Data[[#This Row],[MonthlyIncome]]&lt;3000,"&lt;3K",IF(HR_Data[[#This Row],[MonthlyIncome]]&lt;6000,"3K-6K",IF(HR_Data[[#This Row],[MonthlyIncome]]&lt;10000,"6K-10K","10K+")))</f>
        <v>6K-10K</v>
      </c>
      <c r="AH404" s="1">
        <f>IF(HR_Data[[#This Row],[MonthlyIncome]]&lt;3000,1,IF(HR_Data[[#This Row],[MonthlyIncome]]&lt;6000,2,IF(HR_Data[[#This Row],[MonthlyIncome]]&lt;10000,3,4)))</f>
        <v>3</v>
      </c>
      <c r="AI404" s="1" t="str">
        <f>IF(HR_Data[[#This Row],[YearsAtCompany]]&lt;=2,"0-2 Yrs",IF(HR_Data[[#This Row],[YearsAtCompany]]&lt;=5,"3-5 Yrs",IF(HR_Data[[#This Row],[YearsAtCompany]]&lt;=10,"6-10 Yrs","10+ Yrs")))</f>
        <v>3-5 Yrs</v>
      </c>
      <c r="AJ404" s="1">
        <f>IF(HR_Data[[#This Row],[YearsAtCompany]]&lt;=2,1,IF(HR_Data[[#This Row],[YearsAtCompany]]&lt;=5,2,IF(HR_Data[[#This Row],[YearsAtCompany]]&lt;=10,3,4)))</f>
        <v>2</v>
      </c>
      <c r="AK404" s="1" t="str">
        <f>CHOOSE(HR_Data[[#This Row],[Education]],"Below College","College","Bachelor","Master","Doctor")</f>
        <v>Bachelor</v>
      </c>
      <c r="AL404" s="1" t="str">
        <f>CHOOSE(HR_Data[[#This Row],[JobSatisfaction]],"Low","Medium","High","Very High")</f>
        <v>High</v>
      </c>
      <c r="AM404" s="1" t="str">
        <f>CHOOSE(HR_Data[[#This Row],[EnvironmentSatisfaction]],"Low","Medium","High","Very High")</f>
        <v>Medium</v>
      </c>
      <c r="AN404" s="1" t="str">
        <f>CHOOSE(HR_Data[[#This Row],[WorkLifeBalance]],"Bad","Good","Better","Best")</f>
        <v>Better</v>
      </c>
      <c r="AO404" s="1" t="str">
        <f>IF(HR_Data[[#This Row],[PercentSalaryHike]]&lt;=13,"11-13%",IF(HR_Data[[#This Row],[PercentSalaryHike]]&lt;=16,"14-16%",IF(HR_Data[[#This Row],[PercentSalaryHike]]&lt;=19,"17-19%","20-25%")))</f>
        <v>11-13%</v>
      </c>
      <c r="AP404" s="1">
        <f>IF(HR_Data[[#This Row],[PercentSalaryHike]]&lt;=13,1,IF(HR_Data[[#This Row],[PercentSalaryHike]]&lt;=16,2,IF(HR_Data[[#This Row],[PercentSalaryHike]]&lt;=19,3,4)))</f>
        <v>1</v>
      </c>
      <c r="AQ404" s="1" t="str">
        <f>IF(HR_Data[[#This Row],[DistanceFromHome]]&lt;=5,"1 to 5",IF(HR_Data[[#This Row],[DistanceFromHome]]&lt;=10,"6 to 10",IF(HR_Data[[#This Row],[DistanceFromHome]]&lt;=20,"11 to 20","21 to 29")))</f>
        <v>11 to 20</v>
      </c>
      <c r="AR404" s="1">
        <f>IF(HR_Data[[#This Row],[DistanceFromHome]]&lt;=5,1,IF(HR_Data[[#This Row],[DistanceFromHome]]&lt;=10,2,IF(HR_Data[[#This Row],[DistanceFromHome]]&lt;=20,3,4)))</f>
        <v>3</v>
      </c>
      <c r="AS404" s="1" t="str">
        <f>IF(HR_Data[[#This Row],[TotalWorkingYears]]&lt;=5,"0-5 Yrs",IF(HR_Data[[#This Row],[TotalWorkingYears]]&lt;=10,"6-10 Yrs",IF(HR_Data[[#This Row],[TotalWorkingYears]]&lt;=20,"11-20 Yrs","20+ Yrs")))</f>
        <v>6-10 Yrs</v>
      </c>
      <c r="AT404" s="1">
        <f>IF(HR_Data[[#This Row],[TotalWorkingYears]]&lt;=5,1,IF(HR_Data[[#This Row],[TotalWorkingYears]]&lt;=10,2,IF(HR_Data[[#This Row],[TotalWorkingYears]]&lt;=20,3,4)))</f>
        <v>2</v>
      </c>
    </row>
    <row r="405" spans="1:46" x14ac:dyDescent="0.25">
      <c r="A405">
        <v>41</v>
      </c>
      <c r="B405" t="s">
        <v>36</v>
      </c>
      <c r="C405" t="s">
        <v>30</v>
      </c>
      <c r="D405" t="s">
        <v>31</v>
      </c>
      <c r="E405">
        <v>1</v>
      </c>
      <c r="F405">
        <v>3</v>
      </c>
      <c r="G405" t="s">
        <v>52</v>
      </c>
      <c r="H405">
        <v>534</v>
      </c>
      <c r="I405">
        <v>2</v>
      </c>
      <c r="J405" t="s">
        <v>39</v>
      </c>
      <c r="K405">
        <v>4</v>
      </c>
      <c r="L405">
        <v>3</v>
      </c>
      <c r="M405" t="s">
        <v>34</v>
      </c>
      <c r="N405">
        <v>1</v>
      </c>
      <c r="O405" t="s">
        <v>41</v>
      </c>
      <c r="P405">
        <v>8392</v>
      </c>
      <c r="Q405">
        <v>1</v>
      </c>
      <c r="R405" t="s">
        <v>36</v>
      </c>
      <c r="S405">
        <v>16</v>
      </c>
      <c r="T405">
        <v>3</v>
      </c>
      <c r="U405">
        <v>3</v>
      </c>
      <c r="V405">
        <v>1</v>
      </c>
      <c r="W405">
        <v>10</v>
      </c>
      <c r="X405">
        <v>2</v>
      </c>
      <c r="Y405">
        <v>3</v>
      </c>
      <c r="Z405">
        <v>10</v>
      </c>
      <c r="AA405">
        <v>7</v>
      </c>
      <c r="AB405">
        <v>0</v>
      </c>
      <c r="AC405">
        <v>7</v>
      </c>
      <c r="AD405">
        <f>IF(HR_Data[[#This Row],[Attrition]]="Yes",1,0)</f>
        <v>0</v>
      </c>
      <c r="AE405" t="str">
        <f>IF(HR_Data[[#This Row],[Age]]&lt;=25,"18-25",IF(HR_Data[[#This Row],[Age]]&lt;=35,"26-35",IF(HR_Data[[#This Row],[Age]]&lt;=45,"36-45",IF(HR_Data[[#This Row],[Age]]&lt;=55,"46-55","55+"))))</f>
        <v>36-45</v>
      </c>
      <c r="AF405">
        <f>IF(HR_Data[[#This Row],[Age]]&lt;=25,1,IF(HR_Data[[#This Row],[Age]]&lt;=35,2,IF(HR_Data[[#This Row],[Age]]&lt;=45,3,IF(HR_Data[[#This Row],[Age]]&lt;=55,4,5))))</f>
        <v>3</v>
      </c>
      <c r="AG405" s="1" t="str">
        <f>IF(HR_Data[[#This Row],[MonthlyIncome]]&lt;3000,"&lt;3K",IF(HR_Data[[#This Row],[MonthlyIncome]]&lt;6000,"3K-6K",IF(HR_Data[[#This Row],[MonthlyIncome]]&lt;10000,"6K-10K","10K+")))</f>
        <v>6K-10K</v>
      </c>
      <c r="AH405" s="1">
        <f>IF(HR_Data[[#This Row],[MonthlyIncome]]&lt;3000,1,IF(HR_Data[[#This Row],[MonthlyIncome]]&lt;6000,2,IF(HR_Data[[#This Row],[MonthlyIncome]]&lt;10000,3,4)))</f>
        <v>3</v>
      </c>
      <c r="AI405" s="1" t="str">
        <f>IF(HR_Data[[#This Row],[YearsAtCompany]]&lt;=2,"0-2 Yrs",IF(HR_Data[[#This Row],[YearsAtCompany]]&lt;=5,"3-5 Yrs",IF(HR_Data[[#This Row],[YearsAtCompany]]&lt;=10,"6-10 Yrs","10+ Yrs")))</f>
        <v>6-10 Yrs</v>
      </c>
      <c r="AJ405" s="1">
        <f>IF(HR_Data[[#This Row],[YearsAtCompany]]&lt;=2,1,IF(HR_Data[[#This Row],[YearsAtCompany]]&lt;=5,2,IF(HR_Data[[#This Row],[YearsAtCompany]]&lt;=10,3,4)))</f>
        <v>3</v>
      </c>
      <c r="AK405" s="1" t="str">
        <f>CHOOSE(HR_Data[[#This Row],[Education]],"Below College","College","Bachelor","Master","Doctor")</f>
        <v>Bachelor</v>
      </c>
      <c r="AL405" s="1" t="str">
        <f>CHOOSE(HR_Data[[#This Row],[JobSatisfaction]],"Low","Medium","High","Very High")</f>
        <v>Low</v>
      </c>
      <c r="AM405" s="1" t="str">
        <f>CHOOSE(HR_Data[[#This Row],[EnvironmentSatisfaction]],"Low","Medium","High","Very High")</f>
        <v>Medium</v>
      </c>
      <c r="AN405" s="1" t="str">
        <f>CHOOSE(HR_Data[[#This Row],[WorkLifeBalance]],"Bad","Good","Better","Best")</f>
        <v>Better</v>
      </c>
      <c r="AO405" s="1" t="str">
        <f>IF(HR_Data[[#This Row],[PercentSalaryHike]]&lt;=13,"11-13%",IF(HR_Data[[#This Row],[PercentSalaryHike]]&lt;=16,"14-16%",IF(HR_Data[[#This Row],[PercentSalaryHike]]&lt;=19,"17-19%","20-25%")))</f>
        <v>14-16%</v>
      </c>
      <c r="AP405" s="1">
        <f>IF(HR_Data[[#This Row],[PercentSalaryHike]]&lt;=13,1,IF(HR_Data[[#This Row],[PercentSalaryHike]]&lt;=16,2,IF(HR_Data[[#This Row],[PercentSalaryHike]]&lt;=19,3,4)))</f>
        <v>2</v>
      </c>
      <c r="AQ405" s="1" t="str">
        <f>IF(HR_Data[[#This Row],[DistanceFromHome]]&lt;=5,"1 to 5",IF(HR_Data[[#This Row],[DistanceFromHome]]&lt;=10,"6 to 10",IF(HR_Data[[#This Row],[DistanceFromHome]]&lt;=20,"11 to 20","21 to 29")))</f>
        <v>1 to 5</v>
      </c>
      <c r="AR405" s="1">
        <f>IF(HR_Data[[#This Row],[DistanceFromHome]]&lt;=5,1,IF(HR_Data[[#This Row],[DistanceFromHome]]&lt;=10,2,IF(HR_Data[[#This Row],[DistanceFromHome]]&lt;=20,3,4)))</f>
        <v>1</v>
      </c>
      <c r="AS405" s="1" t="str">
        <f>IF(HR_Data[[#This Row],[TotalWorkingYears]]&lt;=5,"0-5 Yrs",IF(HR_Data[[#This Row],[TotalWorkingYears]]&lt;=10,"6-10 Yrs",IF(HR_Data[[#This Row],[TotalWorkingYears]]&lt;=20,"11-20 Yrs","20+ Yrs")))</f>
        <v>6-10 Yrs</v>
      </c>
      <c r="AT405" s="1">
        <f>IF(HR_Data[[#This Row],[TotalWorkingYears]]&lt;=5,1,IF(HR_Data[[#This Row],[TotalWorkingYears]]&lt;=10,2,IF(HR_Data[[#This Row],[TotalWorkingYears]]&lt;=20,3,4)))</f>
        <v>2</v>
      </c>
    </row>
    <row r="406" spans="1:46" x14ac:dyDescent="0.25">
      <c r="A406">
        <v>28</v>
      </c>
      <c r="B406" t="s">
        <v>36</v>
      </c>
      <c r="C406" t="s">
        <v>30</v>
      </c>
      <c r="D406" t="s">
        <v>38</v>
      </c>
      <c r="E406">
        <v>17</v>
      </c>
      <c r="F406">
        <v>2</v>
      </c>
      <c r="G406" t="s">
        <v>44</v>
      </c>
      <c r="H406">
        <v>536</v>
      </c>
      <c r="I406">
        <v>3</v>
      </c>
      <c r="J406" t="s">
        <v>39</v>
      </c>
      <c r="K406">
        <v>3</v>
      </c>
      <c r="L406">
        <v>2</v>
      </c>
      <c r="M406" t="s">
        <v>43</v>
      </c>
      <c r="N406">
        <v>1</v>
      </c>
      <c r="O406" t="s">
        <v>45</v>
      </c>
      <c r="P406">
        <v>4558</v>
      </c>
      <c r="Q406">
        <v>1</v>
      </c>
      <c r="R406" t="s">
        <v>36</v>
      </c>
      <c r="S406">
        <v>12</v>
      </c>
      <c r="T406">
        <v>3</v>
      </c>
      <c r="U406">
        <v>4</v>
      </c>
      <c r="V406">
        <v>1</v>
      </c>
      <c r="W406">
        <v>10</v>
      </c>
      <c r="X406">
        <v>2</v>
      </c>
      <c r="Y406">
        <v>3</v>
      </c>
      <c r="Z406">
        <v>10</v>
      </c>
      <c r="AA406">
        <v>0</v>
      </c>
      <c r="AB406">
        <v>1</v>
      </c>
      <c r="AC406">
        <v>8</v>
      </c>
      <c r="AD406">
        <f>IF(HR_Data[[#This Row],[Attrition]]="Yes",1,0)</f>
        <v>0</v>
      </c>
      <c r="AE406" t="str">
        <f>IF(HR_Data[[#This Row],[Age]]&lt;=25,"18-25",IF(HR_Data[[#This Row],[Age]]&lt;=35,"26-35",IF(HR_Data[[#This Row],[Age]]&lt;=45,"36-45",IF(HR_Data[[#This Row],[Age]]&lt;=55,"46-55","55+"))))</f>
        <v>26-35</v>
      </c>
      <c r="AF406">
        <f>IF(HR_Data[[#This Row],[Age]]&lt;=25,1,IF(HR_Data[[#This Row],[Age]]&lt;=35,2,IF(HR_Data[[#This Row],[Age]]&lt;=45,3,IF(HR_Data[[#This Row],[Age]]&lt;=55,4,5))))</f>
        <v>2</v>
      </c>
      <c r="AG406" s="1" t="str">
        <f>IF(HR_Data[[#This Row],[MonthlyIncome]]&lt;3000,"&lt;3K",IF(HR_Data[[#This Row],[MonthlyIncome]]&lt;6000,"3K-6K",IF(HR_Data[[#This Row],[MonthlyIncome]]&lt;10000,"6K-10K","10K+")))</f>
        <v>3K-6K</v>
      </c>
      <c r="AH406" s="1">
        <f>IF(HR_Data[[#This Row],[MonthlyIncome]]&lt;3000,1,IF(HR_Data[[#This Row],[MonthlyIncome]]&lt;6000,2,IF(HR_Data[[#This Row],[MonthlyIncome]]&lt;10000,3,4)))</f>
        <v>2</v>
      </c>
      <c r="AI406" s="1" t="str">
        <f>IF(HR_Data[[#This Row],[YearsAtCompany]]&lt;=2,"0-2 Yrs",IF(HR_Data[[#This Row],[YearsAtCompany]]&lt;=5,"3-5 Yrs",IF(HR_Data[[#This Row],[YearsAtCompany]]&lt;=10,"6-10 Yrs","10+ Yrs")))</f>
        <v>6-10 Yrs</v>
      </c>
      <c r="AJ406" s="1">
        <f>IF(HR_Data[[#This Row],[YearsAtCompany]]&lt;=2,1,IF(HR_Data[[#This Row],[YearsAtCompany]]&lt;=5,2,IF(HR_Data[[#This Row],[YearsAtCompany]]&lt;=10,3,4)))</f>
        <v>3</v>
      </c>
      <c r="AK406" s="1" t="str">
        <f>CHOOSE(HR_Data[[#This Row],[Education]],"Below College","College","Bachelor","Master","Doctor")</f>
        <v>College</v>
      </c>
      <c r="AL406" s="1" t="str">
        <f>CHOOSE(HR_Data[[#This Row],[JobSatisfaction]],"Low","Medium","High","Very High")</f>
        <v>Low</v>
      </c>
      <c r="AM406" s="1" t="str">
        <f>CHOOSE(HR_Data[[#This Row],[EnvironmentSatisfaction]],"Low","Medium","High","Very High")</f>
        <v>High</v>
      </c>
      <c r="AN406" s="1" t="str">
        <f>CHOOSE(HR_Data[[#This Row],[WorkLifeBalance]],"Bad","Good","Better","Best")</f>
        <v>Better</v>
      </c>
      <c r="AO406" s="1" t="str">
        <f>IF(HR_Data[[#This Row],[PercentSalaryHike]]&lt;=13,"11-13%",IF(HR_Data[[#This Row],[PercentSalaryHike]]&lt;=16,"14-16%",IF(HR_Data[[#This Row],[PercentSalaryHike]]&lt;=19,"17-19%","20-25%")))</f>
        <v>11-13%</v>
      </c>
      <c r="AP406" s="1">
        <f>IF(HR_Data[[#This Row],[PercentSalaryHike]]&lt;=13,1,IF(HR_Data[[#This Row],[PercentSalaryHike]]&lt;=16,2,IF(HR_Data[[#This Row],[PercentSalaryHike]]&lt;=19,3,4)))</f>
        <v>1</v>
      </c>
      <c r="AQ406" s="1" t="str">
        <f>IF(HR_Data[[#This Row],[DistanceFromHome]]&lt;=5,"1 to 5",IF(HR_Data[[#This Row],[DistanceFromHome]]&lt;=10,"6 to 10",IF(HR_Data[[#This Row],[DistanceFromHome]]&lt;=20,"11 to 20","21 to 29")))</f>
        <v>11 to 20</v>
      </c>
      <c r="AR406" s="1">
        <f>IF(HR_Data[[#This Row],[DistanceFromHome]]&lt;=5,1,IF(HR_Data[[#This Row],[DistanceFromHome]]&lt;=10,2,IF(HR_Data[[#This Row],[DistanceFromHome]]&lt;=20,3,4)))</f>
        <v>3</v>
      </c>
      <c r="AS406" s="1" t="str">
        <f>IF(HR_Data[[#This Row],[TotalWorkingYears]]&lt;=5,"0-5 Yrs",IF(HR_Data[[#This Row],[TotalWorkingYears]]&lt;=10,"6-10 Yrs",IF(HR_Data[[#This Row],[TotalWorkingYears]]&lt;=20,"11-20 Yrs","20+ Yrs")))</f>
        <v>6-10 Yrs</v>
      </c>
      <c r="AT406" s="1">
        <f>IF(HR_Data[[#This Row],[TotalWorkingYears]]&lt;=5,1,IF(HR_Data[[#This Row],[TotalWorkingYears]]&lt;=10,2,IF(HR_Data[[#This Row],[TotalWorkingYears]]&lt;=20,3,4)))</f>
        <v>2</v>
      </c>
    </row>
    <row r="407" spans="1:46" x14ac:dyDescent="0.25">
      <c r="A407">
        <v>25</v>
      </c>
      <c r="B407" t="s">
        <v>29</v>
      </c>
      <c r="C407" t="s">
        <v>30</v>
      </c>
      <c r="D407" t="s">
        <v>38</v>
      </c>
      <c r="E407">
        <v>3</v>
      </c>
      <c r="F407">
        <v>3</v>
      </c>
      <c r="G407" t="s">
        <v>44</v>
      </c>
      <c r="H407">
        <v>538</v>
      </c>
      <c r="I407">
        <v>1</v>
      </c>
      <c r="J407" t="s">
        <v>39</v>
      </c>
      <c r="K407">
        <v>3</v>
      </c>
      <c r="L407">
        <v>1</v>
      </c>
      <c r="M407" t="s">
        <v>43</v>
      </c>
      <c r="N407">
        <v>1</v>
      </c>
      <c r="O407" t="s">
        <v>41</v>
      </c>
      <c r="P407">
        <v>4031</v>
      </c>
      <c r="Q407">
        <v>5</v>
      </c>
      <c r="R407" t="s">
        <v>36</v>
      </c>
      <c r="S407">
        <v>13</v>
      </c>
      <c r="T407">
        <v>3</v>
      </c>
      <c r="U407">
        <v>3</v>
      </c>
      <c r="V407">
        <v>1</v>
      </c>
      <c r="W407">
        <v>6</v>
      </c>
      <c r="X407">
        <v>5</v>
      </c>
      <c r="Y407">
        <v>3</v>
      </c>
      <c r="Z407">
        <v>2</v>
      </c>
      <c r="AA407">
        <v>2</v>
      </c>
      <c r="AB407">
        <v>0</v>
      </c>
      <c r="AC407">
        <v>2</v>
      </c>
      <c r="AD407">
        <f>IF(HR_Data[[#This Row],[Attrition]]="Yes",1,0)</f>
        <v>1</v>
      </c>
      <c r="AE407" t="str">
        <f>IF(HR_Data[[#This Row],[Age]]&lt;=25,"18-25",IF(HR_Data[[#This Row],[Age]]&lt;=35,"26-35",IF(HR_Data[[#This Row],[Age]]&lt;=45,"36-45",IF(HR_Data[[#This Row],[Age]]&lt;=55,"46-55","55+"))))</f>
        <v>18-25</v>
      </c>
      <c r="AF407">
        <f>IF(HR_Data[[#This Row],[Age]]&lt;=25,1,IF(HR_Data[[#This Row],[Age]]&lt;=35,2,IF(HR_Data[[#This Row],[Age]]&lt;=45,3,IF(HR_Data[[#This Row],[Age]]&lt;=55,4,5))))</f>
        <v>1</v>
      </c>
      <c r="AG407" s="1" t="str">
        <f>IF(HR_Data[[#This Row],[MonthlyIncome]]&lt;3000,"&lt;3K",IF(HR_Data[[#This Row],[MonthlyIncome]]&lt;6000,"3K-6K",IF(HR_Data[[#This Row],[MonthlyIncome]]&lt;10000,"6K-10K","10K+")))</f>
        <v>3K-6K</v>
      </c>
      <c r="AH407" s="1">
        <f>IF(HR_Data[[#This Row],[MonthlyIncome]]&lt;3000,1,IF(HR_Data[[#This Row],[MonthlyIncome]]&lt;6000,2,IF(HR_Data[[#This Row],[MonthlyIncome]]&lt;10000,3,4)))</f>
        <v>2</v>
      </c>
      <c r="AI407" s="1" t="str">
        <f>IF(HR_Data[[#This Row],[YearsAtCompany]]&lt;=2,"0-2 Yrs",IF(HR_Data[[#This Row],[YearsAtCompany]]&lt;=5,"3-5 Yrs",IF(HR_Data[[#This Row],[YearsAtCompany]]&lt;=10,"6-10 Yrs","10+ Yrs")))</f>
        <v>0-2 Yrs</v>
      </c>
      <c r="AJ407" s="1">
        <f>IF(HR_Data[[#This Row],[YearsAtCompany]]&lt;=2,1,IF(HR_Data[[#This Row],[YearsAtCompany]]&lt;=5,2,IF(HR_Data[[#This Row],[YearsAtCompany]]&lt;=10,3,4)))</f>
        <v>1</v>
      </c>
      <c r="AK407" s="1" t="str">
        <f>CHOOSE(HR_Data[[#This Row],[Education]],"Below College","College","Bachelor","Master","Doctor")</f>
        <v>Bachelor</v>
      </c>
      <c r="AL407" s="1" t="str">
        <f>CHOOSE(HR_Data[[#This Row],[JobSatisfaction]],"Low","Medium","High","Very High")</f>
        <v>Low</v>
      </c>
      <c r="AM407" s="1" t="str">
        <f>CHOOSE(HR_Data[[#This Row],[EnvironmentSatisfaction]],"Low","Medium","High","Very High")</f>
        <v>Low</v>
      </c>
      <c r="AN407" s="1" t="str">
        <f>CHOOSE(HR_Data[[#This Row],[WorkLifeBalance]],"Bad","Good","Better","Best")</f>
        <v>Better</v>
      </c>
      <c r="AO407" s="1" t="str">
        <f>IF(HR_Data[[#This Row],[PercentSalaryHike]]&lt;=13,"11-13%",IF(HR_Data[[#This Row],[PercentSalaryHike]]&lt;=16,"14-16%",IF(HR_Data[[#This Row],[PercentSalaryHike]]&lt;=19,"17-19%","20-25%")))</f>
        <v>11-13%</v>
      </c>
      <c r="AP407" s="1">
        <f>IF(HR_Data[[#This Row],[PercentSalaryHike]]&lt;=13,1,IF(HR_Data[[#This Row],[PercentSalaryHike]]&lt;=16,2,IF(HR_Data[[#This Row],[PercentSalaryHike]]&lt;=19,3,4)))</f>
        <v>1</v>
      </c>
      <c r="AQ407" s="1" t="str">
        <f>IF(HR_Data[[#This Row],[DistanceFromHome]]&lt;=5,"1 to 5",IF(HR_Data[[#This Row],[DistanceFromHome]]&lt;=10,"6 to 10",IF(HR_Data[[#This Row],[DistanceFromHome]]&lt;=20,"11 to 20","21 to 29")))</f>
        <v>1 to 5</v>
      </c>
      <c r="AR407" s="1">
        <f>IF(HR_Data[[#This Row],[DistanceFromHome]]&lt;=5,1,IF(HR_Data[[#This Row],[DistanceFromHome]]&lt;=10,2,IF(HR_Data[[#This Row],[DistanceFromHome]]&lt;=20,3,4)))</f>
        <v>1</v>
      </c>
      <c r="AS407" s="1" t="str">
        <f>IF(HR_Data[[#This Row],[TotalWorkingYears]]&lt;=5,"0-5 Yrs",IF(HR_Data[[#This Row],[TotalWorkingYears]]&lt;=10,"6-10 Yrs",IF(HR_Data[[#This Row],[TotalWorkingYears]]&lt;=20,"11-20 Yrs","20+ Yrs")))</f>
        <v>6-10 Yrs</v>
      </c>
      <c r="AT407" s="1">
        <f>IF(HR_Data[[#This Row],[TotalWorkingYears]]&lt;=5,1,IF(HR_Data[[#This Row],[TotalWorkingYears]]&lt;=10,2,IF(HR_Data[[#This Row],[TotalWorkingYears]]&lt;=20,3,4)))</f>
        <v>2</v>
      </c>
    </row>
    <row r="408" spans="1:46" x14ac:dyDescent="0.25">
      <c r="A408">
        <v>52</v>
      </c>
      <c r="B408" t="s">
        <v>36</v>
      </c>
      <c r="C408" t="s">
        <v>30</v>
      </c>
      <c r="D408" t="s">
        <v>38</v>
      </c>
      <c r="E408">
        <v>3</v>
      </c>
      <c r="F408">
        <v>3</v>
      </c>
      <c r="G408" t="s">
        <v>44</v>
      </c>
      <c r="H408">
        <v>543</v>
      </c>
      <c r="I408">
        <v>4</v>
      </c>
      <c r="J408" t="s">
        <v>39</v>
      </c>
      <c r="K408">
        <v>2</v>
      </c>
      <c r="L408">
        <v>3</v>
      </c>
      <c r="M408" t="s">
        <v>46</v>
      </c>
      <c r="N408">
        <v>3</v>
      </c>
      <c r="O408" t="s">
        <v>41</v>
      </c>
      <c r="P408">
        <v>7969</v>
      </c>
      <c r="Q408">
        <v>2</v>
      </c>
      <c r="R408" t="s">
        <v>29</v>
      </c>
      <c r="S408">
        <v>14</v>
      </c>
      <c r="T408">
        <v>3</v>
      </c>
      <c r="U408">
        <v>3</v>
      </c>
      <c r="V408">
        <v>0</v>
      </c>
      <c r="W408">
        <v>28</v>
      </c>
      <c r="X408">
        <v>4</v>
      </c>
      <c r="Y408">
        <v>3</v>
      </c>
      <c r="Z408">
        <v>5</v>
      </c>
      <c r="AA408">
        <v>4</v>
      </c>
      <c r="AB408">
        <v>0</v>
      </c>
      <c r="AC408">
        <v>4</v>
      </c>
      <c r="AD408">
        <f>IF(HR_Data[[#This Row],[Attrition]]="Yes",1,0)</f>
        <v>0</v>
      </c>
      <c r="AE408" t="str">
        <f>IF(HR_Data[[#This Row],[Age]]&lt;=25,"18-25",IF(HR_Data[[#This Row],[Age]]&lt;=35,"26-35",IF(HR_Data[[#This Row],[Age]]&lt;=45,"36-45",IF(HR_Data[[#This Row],[Age]]&lt;=55,"46-55","55+"))))</f>
        <v>46-55</v>
      </c>
      <c r="AF408">
        <f>IF(HR_Data[[#This Row],[Age]]&lt;=25,1,IF(HR_Data[[#This Row],[Age]]&lt;=35,2,IF(HR_Data[[#This Row],[Age]]&lt;=45,3,IF(HR_Data[[#This Row],[Age]]&lt;=55,4,5))))</f>
        <v>4</v>
      </c>
      <c r="AG408" s="1" t="str">
        <f>IF(HR_Data[[#This Row],[MonthlyIncome]]&lt;3000,"&lt;3K",IF(HR_Data[[#This Row],[MonthlyIncome]]&lt;6000,"3K-6K",IF(HR_Data[[#This Row],[MonthlyIncome]]&lt;10000,"6K-10K","10K+")))</f>
        <v>6K-10K</v>
      </c>
      <c r="AH408" s="1">
        <f>IF(HR_Data[[#This Row],[MonthlyIncome]]&lt;3000,1,IF(HR_Data[[#This Row],[MonthlyIncome]]&lt;6000,2,IF(HR_Data[[#This Row],[MonthlyIncome]]&lt;10000,3,4)))</f>
        <v>3</v>
      </c>
      <c r="AI408" s="1" t="str">
        <f>IF(HR_Data[[#This Row],[YearsAtCompany]]&lt;=2,"0-2 Yrs",IF(HR_Data[[#This Row],[YearsAtCompany]]&lt;=5,"3-5 Yrs",IF(HR_Data[[#This Row],[YearsAtCompany]]&lt;=10,"6-10 Yrs","10+ Yrs")))</f>
        <v>3-5 Yrs</v>
      </c>
      <c r="AJ408" s="1">
        <f>IF(HR_Data[[#This Row],[YearsAtCompany]]&lt;=2,1,IF(HR_Data[[#This Row],[YearsAtCompany]]&lt;=5,2,IF(HR_Data[[#This Row],[YearsAtCompany]]&lt;=10,3,4)))</f>
        <v>2</v>
      </c>
      <c r="AK408" s="1" t="str">
        <f>CHOOSE(HR_Data[[#This Row],[Education]],"Below College","College","Bachelor","Master","Doctor")</f>
        <v>Bachelor</v>
      </c>
      <c r="AL408" s="1" t="str">
        <f>CHOOSE(HR_Data[[#This Row],[JobSatisfaction]],"Low","Medium","High","Very High")</f>
        <v>High</v>
      </c>
      <c r="AM408" s="1" t="str">
        <f>CHOOSE(HR_Data[[#This Row],[EnvironmentSatisfaction]],"Low","Medium","High","Very High")</f>
        <v>Very High</v>
      </c>
      <c r="AN408" s="1" t="str">
        <f>CHOOSE(HR_Data[[#This Row],[WorkLifeBalance]],"Bad","Good","Better","Best")</f>
        <v>Better</v>
      </c>
      <c r="AO408" s="1" t="str">
        <f>IF(HR_Data[[#This Row],[PercentSalaryHike]]&lt;=13,"11-13%",IF(HR_Data[[#This Row],[PercentSalaryHike]]&lt;=16,"14-16%",IF(HR_Data[[#This Row],[PercentSalaryHike]]&lt;=19,"17-19%","20-25%")))</f>
        <v>14-16%</v>
      </c>
      <c r="AP408" s="1">
        <f>IF(HR_Data[[#This Row],[PercentSalaryHike]]&lt;=13,1,IF(HR_Data[[#This Row],[PercentSalaryHike]]&lt;=16,2,IF(HR_Data[[#This Row],[PercentSalaryHike]]&lt;=19,3,4)))</f>
        <v>2</v>
      </c>
      <c r="AQ408" s="1" t="str">
        <f>IF(HR_Data[[#This Row],[DistanceFromHome]]&lt;=5,"1 to 5",IF(HR_Data[[#This Row],[DistanceFromHome]]&lt;=10,"6 to 10",IF(HR_Data[[#This Row],[DistanceFromHome]]&lt;=20,"11 to 20","21 to 29")))</f>
        <v>1 to 5</v>
      </c>
      <c r="AR408" s="1">
        <f>IF(HR_Data[[#This Row],[DistanceFromHome]]&lt;=5,1,IF(HR_Data[[#This Row],[DistanceFromHome]]&lt;=10,2,IF(HR_Data[[#This Row],[DistanceFromHome]]&lt;=20,3,4)))</f>
        <v>1</v>
      </c>
      <c r="AS408" s="1" t="str">
        <f>IF(HR_Data[[#This Row],[TotalWorkingYears]]&lt;=5,"0-5 Yrs",IF(HR_Data[[#This Row],[TotalWorkingYears]]&lt;=10,"6-10 Yrs",IF(HR_Data[[#This Row],[TotalWorkingYears]]&lt;=20,"11-20 Yrs","20+ Yrs")))</f>
        <v>20+ Yrs</v>
      </c>
      <c r="AT408" s="1">
        <f>IF(HR_Data[[#This Row],[TotalWorkingYears]]&lt;=5,1,IF(HR_Data[[#This Row],[TotalWorkingYears]]&lt;=10,2,IF(HR_Data[[#This Row],[TotalWorkingYears]]&lt;=20,3,4)))</f>
        <v>4</v>
      </c>
    </row>
    <row r="409" spans="1:46" x14ac:dyDescent="0.25">
      <c r="A409">
        <v>45</v>
      </c>
      <c r="B409" t="s">
        <v>36</v>
      </c>
      <c r="C409" t="s">
        <v>30</v>
      </c>
      <c r="D409" t="s">
        <v>38</v>
      </c>
      <c r="E409">
        <v>10</v>
      </c>
      <c r="F409">
        <v>2</v>
      </c>
      <c r="G409" t="s">
        <v>32</v>
      </c>
      <c r="H409">
        <v>544</v>
      </c>
      <c r="I409">
        <v>1</v>
      </c>
      <c r="J409" t="s">
        <v>39</v>
      </c>
      <c r="K409">
        <v>3</v>
      </c>
      <c r="L409">
        <v>1</v>
      </c>
      <c r="M409" t="s">
        <v>40</v>
      </c>
      <c r="N409">
        <v>4</v>
      </c>
      <c r="O409" t="s">
        <v>41</v>
      </c>
      <c r="P409">
        <v>2654</v>
      </c>
      <c r="Q409">
        <v>3</v>
      </c>
      <c r="R409" t="s">
        <v>36</v>
      </c>
      <c r="S409">
        <v>21</v>
      </c>
      <c r="T409">
        <v>4</v>
      </c>
      <c r="U409">
        <v>4</v>
      </c>
      <c r="V409">
        <v>2</v>
      </c>
      <c r="W409">
        <v>8</v>
      </c>
      <c r="X409">
        <v>3</v>
      </c>
      <c r="Y409">
        <v>2</v>
      </c>
      <c r="Z409">
        <v>2</v>
      </c>
      <c r="AA409">
        <v>2</v>
      </c>
      <c r="AB409">
        <v>0</v>
      </c>
      <c r="AC409">
        <v>2</v>
      </c>
      <c r="AD409">
        <f>IF(HR_Data[[#This Row],[Attrition]]="Yes",1,0)</f>
        <v>0</v>
      </c>
      <c r="AE409" t="str">
        <f>IF(HR_Data[[#This Row],[Age]]&lt;=25,"18-25",IF(HR_Data[[#This Row],[Age]]&lt;=35,"26-35",IF(HR_Data[[#This Row],[Age]]&lt;=45,"36-45",IF(HR_Data[[#This Row],[Age]]&lt;=55,"46-55","55+"))))</f>
        <v>36-45</v>
      </c>
      <c r="AF409">
        <f>IF(HR_Data[[#This Row],[Age]]&lt;=25,1,IF(HR_Data[[#This Row],[Age]]&lt;=35,2,IF(HR_Data[[#This Row],[Age]]&lt;=45,3,IF(HR_Data[[#This Row],[Age]]&lt;=55,4,5))))</f>
        <v>3</v>
      </c>
      <c r="AG409" s="1" t="str">
        <f>IF(HR_Data[[#This Row],[MonthlyIncome]]&lt;3000,"&lt;3K",IF(HR_Data[[#This Row],[MonthlyIncome]]&lt;6000,"3K-6K",IF(HR_Data[[#This Row],[MonthlyIncome]]&lt;10000,"6K-10K","10K+")))</f>
        <v>&lt;3K</v>
      </c>
      <c r="AH409" s="1">
        <f>IF(HR_Data[[#This Row],[MonthlyIncome]]&lt;3000,1,IF(HR_Data[[#This Row],[MonthlyIncome]]&lt;6000,2,IF(HR_Data[[#This Row],[MonthlyIncome]]&lt;10000,3,4)))</f>
        <v>1</v>
      </c>
      <c r="AI409" s="1" t="str">
        <f>IF(HR_Data[[#This Row],[YearsAtCompany]]&lt;=2,"0-2 Yrs",IF(HR_Data[[#This Row],[YearsAtCompany]]&lt;=5,"3-5 Yrs",IF(HR_Data[[#This Row],[YearsAtCompany]]&lt;=10,"6-10 Yrs","10+ Yrs")))</f>
        <v>0-2 Yrs</v>
      </c>
      <c r="AJ409" s="1">
        <f>IF(HR_Data[[#This Row],[YearsAtCompany]]&lt;=2,1,IF(HR_Data[[#This Row],[YearsAtCompany]]&lt;=5,2,IF(HR_Data[[#This Row],[YearsAtCompany]]&lt;=10,3,4)))</f>
        <v>1</v>
      </c>
      <c r="AK409" s="1" t="str">
        <f>CHOOSE(HR_Data[[#This Row],[Education]],"Below College","College","Bachelor","Master","Doctor")</f>
        <v>College</v>
      </c>
      <c r="AL409" s="1" t="str">
        <f>CHOOSE(HR_Data[[#This Row],[JobSatisfaction]],"Low","Medium","High","Very High")</f>
        <v>Very High</v>
      </c>
      <c r="AM409" s="1" t="str">
        <f>CHOOSE(HR_Data[[#This Row],[EnvironmentSatisfaction]],"Low","Medium","High","Very High")</f>
        <v>Low</v>
      </c>
      <c r="AN409" s="1" t="str">
        <f>CHOOSE(HR_Data[[#This Row],[WorkLifeBalance]],"Bad","Good","Better","Best")</f>
        <v>Good</v>
      </c>
      <c r="AO409" s="1" t="str">
        <f>IF(HR_Data[[#This Row],[PercentSalaryHike]]&lt;=13,"11-13%",IF(HR_Data[[#This Row],[PercentSalaryHike]]&lt;=16,"14-16%",IF(HR_Data[[#This Row],[PercentSalaryHike]]&lt;=19,"17-19%","20-25%")))</f>
        <v>20-25%</v>
      </c>
      <c r="AP409" s="1">
        <f>IF(HR_Data[[#This Row],[PercentSalaryHike]]&lt;=13,1,IF(HR_Data[[#This Row],[PercentSalaryHike]]&lt;=16,2,IF(HR_Data[[#This Row],[PercentSalaryHike]]&lt;=19,3,4)))</f>
        <v>4</v>
      </c>
      <c r="AQ409" s="1" t="str">
        <f>IF(HR_Data[[#This Row],[DistanceFromHome]]&lt;=5,"1 to 5",IF(HR_Data[[#This Row],[DistanceFromHome]]&lt;=10,"6 to 10",IF(HR_Data[[#This Row],[DistanceFromHome]]&lt;=20,"11 to 20","21 to 29")))</f>
        <v>6 to 10</v>
      </c>
      <c r="AR409" s="1">
        <f>IF(HR_Data[[#This Row],[DistanceFromHome]]&lt;=5,1,IF(HR_Data[[#This Row],[DistanceFromHome]]&lt;=10,2,IF(HR_Data[[#This Row],[DistanceFromHome]]&lt;=20,3,4)))</f>
        <v>2</v>
      </c>
      <c r="AS409" s="1" t="str">
        <f>IF(HR_Data[[#This Row],[TotalWorkingYears]]&lt;=5,"0-5 Yrs",IF(HR_Data[[#This Row],[TotalWorkingYears]]&lt;=10,"6-10 Yrs",IF(HR_Data[[#This Row],[TotalWorkingYears]]&lt;=20,"11-20 Yrs","20+ Yrs")))</f>
        <v>6-10 Yrs</v>
      </c>
      <c r="AT409" s="1">
        <f>IF(HR_Data[[#This Row],[TotalWorkingYears]]&lt;=5,1,IF(HR_Data[[#This Row],[TotalWorkingYears]]&lt;=10,2,IF(HR_Data[[#This Row],[TotalWorkingYears]]&lt;=20,3,4)))</f>
        <v>2</v>
      </c>
    </row>
    <row r="410" spans="1:46" x14ac:dyDescent="0.25">
      <c r="A410">
        <v>52</v>
      </c>
      <c r="B410" t="s">
        <v>36</v>
      </c>
      <c r="C410" t="s">
        <v>30</v>
      </c>
      <c r="D410" t="s">
        <v>38</v>
      </c>
      <c r="E410">
        <v>4</v>
      </c>
      <c r="F410">
        <v>2</v>
      </c>
      <c r="G410" t="s">
        <v>32</v>
      </c>
      <c r="H410">
        <v>546</v>
      </c>
      <c r="I410">
        <v>4</v>
      </c>
      <c r="J410" t="s">
        <v>33</v>
      </c>
      <c r="K410">
        <v>3</v>
      </c>
      <c r="L410">
        <v>4</v>
      </c>
      <c r="M410" t="s">
        <v>49</v>
      </c>
      <c r="N410">
        <v>4</v>
      </c>
      <c r="O410" t="s">
        <v>41</v>
      </c>
      <c r="P410">
        <v>16555</v>
      </c>
      <c r="Q410">
        <v>2</v>
      </c>
      <c r="R410" t="s">
        <v>36</v>
      </c>
      <c r="S410">
        <v>13</v>
      </c>
      <c r="T410">
        <v>3</v>
      </c>
      <c r="U410">
        <v>4</v>
      </c>
      <c r="V410">
        <v>0</v>
      </c>
      <c r="W410">
        <v>31</v>
      </c>
      <c r="X410">
        <v>2</v>
      </c>
      <c r="Y410">
        <v>1</v>
      </c>
      <c r="Z410">
        <v>5</v>
      </c>
      <c r="AA410">
        <v>2</v>
      </c>
      <c r="AB410">
        <v>1</v>
      </c>
      <c r="AC410">
        <v>4</v>
      </c>
      <c r="AD410">
        <f>IF(HR_Data[[#This Row],[Attrition]]="Yes",1,0)</f>
        <v>0</v>
      </c>
      <c r="AE410" t="str">
        <f>IF(HR_Data[[#This Row],[Age]]&lt;=25,"18-25",IF(HR_Data[[#This Row],[Age]]&lt;=35,"26-35",IF(HR_Data[[#This Row],[Age]]&lt;=45,"36-45",IF(HR_Data[[#This Row],[Age]]&lt;=55,"46-55","55+"))))</f>
        <v>46-55</v>
      </c>
      <c r="AF410">
        <f>IF(HR_Data[[#This Row],[Age]]&lt;=25,1,IF(HR_Data[[#This Row],[Age]]&lt;=35,2,IF(HR_Data[[#This Row],[Age]]&lt;=45,3,IF(HR_Data[[#This Row],[Age]]&lt;=55,4,5))))</f>
        <v>4</v>
      </c>
      <c r="AG410" s="1" t="str">
        <f>IF(HR_Data[[#This Row],[MonthlyIncome]]&lt;3000,"&lt;3K",IF(HR_Data[[#This Row],[MonthlyIncome]]&lt;6000,"3K-6K",IF(HR_Data[[#This Row],[MonthlyIncome]]&lt;10000,"6K-10K","10K+")))</f>
        <v>10K+</v>
      </c>
      <c r="AH410" s="1">
        <f>IF(HR_Data[[#This Row],[MonthlyIncome]]&lt;3000,1,IF(HR_Data[[#This Row],[MonthlyIncome]]&lt;6000,2,IF(HR_Data[[#This Row],[MonthlyIncome]]&lt;10000,3,4)))</f>
        <v>4</v>
      </c>
      <c r="AI410" s="1" t="str">
        <f>IF(HR_Data[[#This Row],[YearsAtCompany]]&lt;=2,"0-2 Yrs",IF(HR_Data[[#This Row],[YearsAtCompany]]&lt;=5,"3-5 Yrs",IF(HR_Data[[#This Row],[YearsAtCompany]]&lt;=10,"6-10 Yrs","10+ Yrs")))</f>
        <v>3-5 Yrs</v>
      </c>
      <c r="AJ410" s="1">
        <f>IF(HR_Data[[#This Row],[YearsAtCompany]]&lt;=2,1,IF(HR_Data[[#This Row],[YearsAtCompany]]&lt;=5,2,IF(HR_Data[[#This Row],[YearsAtCompany]]&lt;=10,3,4)))</f>
        <v>2</v>
      </c>
      <c r="AK410" s="1" t="str">
        <f>CHOOSE(HR_Data[[#This Row],[Education]],"Below College","College","Bachelor","Master","Doctor")</f>
        <v>College</v>
      </c>
      <c r="AL410" s="1" t="str">
        <f>CHOOSE(HR_Data[[#This Row],[JobSatisfaction]],"Low","Medium","High","Very High")</f>
        <v>Very High</v>
      </c>
      <c r="AM410" s="1" t="str">
        <f>CHOOSE(HR_Data[[#This Row],[EnvironmentSatisfaction]],"Low","Medium","High","Very High")</f>
        <v>Very High</v>
      </c>
      <c r="AN410" s="1" t="str">
        <f>CHOOSE(HR_Data[[#This Row],[WorkLifeBalance]],"Bad","Good","Better","Best")</f>
        <v>Bad</v>
      </c>
      <c r="AO410" s="1" t="str">
        <f>IF(HR_Data[[#This Row],[PercentSalaryHike]]&lt;=13,"11-13%",IF(HR_Data[[#This Row],[PercentSalaryHike]]&lt;=16,"14-16%",IF(HR_Data[[#This Row],[PercentSalaryHike]]&lt;=19,"17-19%","20-25%")))</f>
        <v>11-13%</v>
      </c>
      <c r="AP410" s="1">
        <f>IF(HR_Data[[#This Row],[PercentSalaryHike]]&lt;=13,1,IF(HR_Data[[#This Row],[PercentSalaryHike]]&lt;=16,2,IF(HR_Data[[#This Row],[PercentSalaryHike]]&lt;=19,3,4)))</f>
        <v>1</v>
      </c>
      <c r="AQ410" s="1" t="str">
        <f>IF(HR_Data[[#This Row],[DistanceFromHome]]&lt;=5,"1 to 5",IF(HR_Data[[#This Row],[DistanceFromHome]]&lt;=10,"6 to 10",IF(HR_Data[[#This Row],[DistanceFromHome]]&lt;=20,"11 to 20","21 to 29")))</f>
        <v>1 to 5</v>
      </c>
      <c r="AR410" s="1">
        <f>IF(HR_Data[[#This Row],[DistanceFromHome]]&lt;=5,1,IF(HR_Data[[#This Row],[DistanceFromHome]]&lt;=10,2,IF(HR_Data[[#This Row],[DistanceFromHome]]&lt;=20,3,4)))</f>
        <v>1</v>
      </c>
      <c r="AS410" s="1" t="str">
        <f>IF(HR_Data[[#This Row],[TotalWorkingYears]]&lt;=5,"0-5 Yrs",IF(HR_Data[[#This Row],[TotalWorkingYears]]&lt;=10,"6-10 Yrs",IF(HR_Data[[#This Row],[TotalWorkingYears]]&lt;=20,"11-20 Yrs","20+ Yrs")))</f>
        <v>20+ Yrs</v>
      </c>
      <c r="AT410" s="1">
        <f>IF(HR_Data[[#This Row],[TotalWorkingYears]]&lt;=5,1,IF(HR_Data[[#This Row],[TotalWorkingYears]]&lt;=10,2,IF(HR_Data[[#This Row],[TotalWorkingYears]]&lt;=20,3,4)))</f>
        <v>4</v>
      </c>
    </row>
    <row r="411" spans="1:46" x14ac:dyDescent="0.25">
      <c r="A411">
        <v>42</v>
      </c>
      <c r="B411" t="s">
        <v>36</v>
      </c>
      <c r="C411" t="s">
        <v>37</v>
      </c>
      <c r="D411" t="s">
        <v>38</v>
      </c>
      <c r="E411">
        <v>29</v>
      </c>
      <c r="F411">
        <v>2</v>
      </c>
      <c r="G411" t="s">
        <v>32</v>
      </c>
      <c r="H411">
        <v>547</v>
      </c>
      <c r="I411">
        <v>1</v>
      </c>
      <c r="J411" t="s">
        <v>33</v>
      </c>
      <c r="K411">
        <v>3</v>
      </c>
      <c r="L411">
        <v>2</v>
      </c>
      <c r="M411" t="s">
        <v>40</v>
      </c>
      <c r="N411">
        <v>3</v>
      </c>
      <c r="O411" t="s">
        <v>45</v>
      </c>
      <c r="P411">
        <v>4556</v>
      </c>
      <c r="Q411">
        <v>2</v>
      </c>
      <c r="R411" t="s">
        <v>36</v>
      </c>
      <c r="S411">
        <v>11</v>
      </c>
      <c r="T411">
        <v>3</v>
      </c>
      <c r="U411">
        <v>2</v>
      </c>
      <c r="V411">
        <v>1</v>
      </c>
      <c r="W411">
        <v>19</v>
      </c>
      <c r="X411">
        <v>3</v>
      </c>
      <c r="Y411">
        <v>3</v>
      </c>
      <c r="Z411">
        <v>5</v>
      </c>
      <c r="AA411">
        <v>4</v>
      </c>
      <c r="AB411">
        <v>0</v>
      </c>
      <c r="AC411">
        <v>2</v>
      </c>
      <c r="AD411">
        <f>IF(HR_Data[[#This Row],[Attrition]]="Yes",1,0)</f>
        <v>0</v>
      </c>
      <c r="AE411" t="str">
        <f>IF(HR_Data[[#This Row],[Age]]&lt;=25,"18-25",IF(HR_Data[[#This Row],[Age]]&lt;=35,"26-35",IF(HR_Data[[#This Row],[Age]]&lt;=45,"36-45",IF(HR_Data[[#This Row],[Age]]&lt;=55,"46-55","55+"))))</f>
        <v>36-45</v>
      </c>
      <c r="AF411">
        <f>IF(HR_Data[[#This Row],[Age]]&lt;=25,1,IF(HR_Data[[#This Row],[Age]]&lt;=35,2,IF(HR_Data[[#This Row],[Age]]&lt;=45,3,IF(HR_Data[[#This Row],[Age]]&lt;=55,4,5))))</f>
        <v>3</v>
      </c>
      <c r="AG411" s="1" t="str">
        <f>IF(HR_Data[[#This Row],[MonthlyIncome]]&lt;3000,"&lt;3K",IF(HR_Data[[#This Row],[MonthlyIncome]]&lt;6000,"3K-6K",IF(HR_Data[[#This Row],[MonthlyIncome]]&lt;10000,"6K-10K","10K+")))</f>
        <v>3K-6K</v>
      </c>
      <c r="AH411" s="1">
        <f>IF(HR_Data[[#This Row],[MonthlyIncome]]&lt;3000,1,IF(HR_Data[[#This Row],[MonthlyIncome]]&lt;6000,2,IF(HR_Data[[#This Row],[MonthlyIncome]]&lt;10000,3,4)))</f>
        <v>2</v>
      </c>
      <c r="AI411" s="1" t="str">
        <f>IF(HR_Data[[#This Row],[YearsAtCompany]]&lt;=2,"0-2 Yrs",IF(HR_Data[[#This Row],[YearsAtCompany]]&lt;=5,"3-5 Yrs",IF(HR_Data[[#This Row],[YearsAtCompany]]&lt;=10,"6-10 Yrs","10+ Yrs")))</f>
        <v>3-5 Yrs</v>
      </c>
      <c r="AJ411" s="1">
        <f>IF(HR_Data[[#This Row],[YearsAtCompany]]&lt;=2,1,IF(HR_Data[[#This Row],[YearsAtCompany]]&lt;=5,2,IF(HR_Data[[#This Row],[YearsAtCompany]]&lt;=10,3,4)))</f>
        <v>2</v>
      </c>
      <c r="AK411" s="1" t="str">
        <f>CHOOSE(HR_Data[[#This Row],[Education]],"Below College","College","Bachelor","Master","Doctor")</f>
        <v>College</v>
      </c>
      <c r="AL411" s="1" t="str">
        <f>CHOOSE(HR_Data[[#This Row],[JobSatisfaction]],"Low","Medium","High","Very High")</f>
        <v>High</v>
      </c>
      <c r="AM411" s="1" t="str">
        <f>CHOOSE(HR_Data[[#This Row],[EnvironmentSatisfaction]],"Low","Medium","High","Very High")</f>
        <v>Low</v>
      </c>
      <c r="AN411" s="1" t="str">
        <f>CHOOSE(HR_Data[[#This Row],[WorkLifeBalance]],"Bad","Good","Better","Best")</f>
        <v>Better</v>
      </c>
      <c r="AO411" s="1" t="str">
        <f>IF(HR_Data[[#This Row],[PercentSalaryHike]]&lt;=13,"11-13%",IF(HR_Data[[#This Row],[PercentSalaryHike]]&lt;=16,"14-16%",IF(HR_Data[[#This Row],[PercentSalaryHike]]&lt;=19,"17-19%","20-25%")))</f>
        <v>11-13%</v>
      </c>
      <c r="AP411" s="1">
        <f>IF(HR_Data[[#This Row],[PercentSalaryHike]]&lt;=13,1,IF(HR_Data[[#This Row],[PercentSalaryHike]]&lt;=16,2,IF(HR_Data[[#This Row],[PercentSalaryHike]]&lt;=19,3,4)))</f>
        <v>1</v>
      </c>
      <c r="AQ411" s="1" t="str">
        <f>IF(HR_Data[[#This Row],[DistanceFromHome]]&lt;=5,"1 to 5",IF(HR_Data[[#This Row],[DistanceFromHome]]&lt;=10,"6 to 10",IF(HR_Data[[#This Row],[DistanceFromHome]]&lt;=20,"11 to 20","21 to 29")))</f>
        <v>21 to 29</v>
      </c>
      <c r="AR411" s="1">
        <f>IF(HR_Data[[#This Row],[DistanceFromHome]]&lt;=5,1,IF(HR_Data[[#This Row],[DistanceFromHome]]&lt;=10,2,IF(HR_Data[[#This Row],[DistanceFromHome]]&lt;=20,3,4)))</f>
        <v>4</v>
      </c>
      <c r="AS411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411" s="1">
        <f>IF(HR_Data[[#This Row],[TotalWorkingYears]]&lt;=5,1,IF(HR_Data[[#This Row],[TotalWorkingYears]]&lt;=10,2,IF(HR_Data[[#This Row],[TotalWorkingYears]]&lt;=20,3,4)))</f>
        <v>3</v>
      </c>
    </row>
    <row r="412" spans="1:46" x14ac:dyDescent="0.25">
      <c r="A412">
        <v>30</v>
      </c>
      <c r="B412" t="s">
        <v>36</v>
      </c>
      <c r="C412" t="s">
        <v>30</v>
      </c>
      <c r="D412" t="s">
        <v>38</v>
      </c>
      <c r="E412">
        <v>2</v>
      </c>
      <c r="F412">
        <v>3</v>
      </c>
      <c r="G412" t="s">
        <v>32</v>
      </c>
      <c r="H412">
        <v>548</v>
      </c>
      <c r="I412">
        <v>3</v>
      </c>
      <c r="J412" t="s">
        <v>33</v>
      </c>
      <c r="K412">
        <v>1</v>
      </c>
      <c r="L412">
        <v>2</v>
      </c>
      <c r="M412" t="s">
        <v>46</v>
      </c>
      <c r="N412">
        <v>4</v>
      </c>
      <c r="O412" t="s">
        <v>35</v>
      </c>
      <c r="P412">
        <v>6091</v>
      </c>
      <c r="Q412">
        <v>2</v>
      </c>
      <c r="R412" t="s">
        <v>36</v>
      </c>
      <c r="S412">
        <v>20</v>
      </c>
      <c r="T412">
        <v>4</v>
      </c>
      <c r="U412">
        <v>3</v>
      </c>
      <c r="V412">
        <v>0</v>
      </c>
      <c r="W412">
        <v>11</v>
      </c>
      <c r="X412">
        <v>2</v>
      </c>
      <c r="Y412">
        <v>3</v>
      </c>
      <c r="Z412">
        <v>5</v>
      </c>
      <c r="AA412">
        <v>4</v>
      </c>
      <c r="AB412">
        <v>0</v>
      </c>
      <c r="AC412">
        <v>2</v>
      </c>
      <c r="AD412">
        <f>IF(HR_Data[[#This Row],[Attrition]]="Yes",1,0)</f>
        <v>0</v>
      </c>
      <c r="AE412" t="str">
        <f>IF(HR_Data[[#This Row],[Age]]&lt;=25,"18-25",IF(HR_Data[[#This Row],[Age]]&lt;=35,"26-35",IF(HR_Data[[#This Row],[Age]]&lt;=45,"36-45",IF(HR_Data[[#This Row],[Age]]&lt;=55,"46-55","55+"))))</f>
        <v>26-35</v>
      </c>
      <c r="AF412">
        <f>IF(HR_Data[[#This Row],[Age]]&lt;=25,1,IF(HR_Data[[#This Row],[Age]]&lt;=35,2,IF(HR_Data[[#This Row],[Age]]&lt;=45,3,IF(HR_Data[[#This Row],[Age]]&lt;=55,4,5))))</f>
        <v>2</v>
      </c>
      <c r="AG412" s="1" t="str">
        <f>IF(HR_Data[[#This Row],[MonthlyIncome]]&lt;3000,"&lt;3K",IF(HR_Data[[#This Row],[MonthlyIncome]]&lt;6000,"3K-6K",IF(HR_Data[[#This Row],[MonthlyIncome]]&lt;10000,"6K-10K","10K+")))</f>
        <v>6K-10K</v>
      </c>
      <c r="AH412" s="1">
        <f>IF(HR_Data[[#This Row],[MonthlyIncome]]&lt;3000,1,IF(HR_Data[[#This Row],[MonthlyIncome]]&lt;6000,2,IF(HR_Data[[#This Row],[MonthlyIncome]]&lt;10000,3,4)))</f>
        <v>3</v>
      </c>
      <c r="AI412" s="1" t="str">
        <f>IF(HR_Data[[#This Row],[YearsAtCompany]]&lt;=2,"0-2 Yrs",IF(HR_Data[[#This Row],[YearsAtCompany]]&lt;=5,"3-5 Yrs",IF(HR_Data[[#This Row],[YearsAtCompany]]&lt;=10,"6-10 Yrs","10+ Yrs")))</f>
        <v>3-5 Yrs</v>
      </c>
      <c r="AJ412" s="1">
        <f>IF(HR_Data[[#This Row],[YearsAtCompany]]&lt;=2,1,IF(HR_Data[[#This Row],[YearsAtCompany]]&lt;=5,2,IF(HR_Data[[#This Row],[YearsAtCompany]]&lt;=10,3,4)))</f>
        <v>2</v>
      </c>
      <c r="AK412" s="1" t="str">
        <f>CHOOSE(HR_Data[[#This Row],[Education]],"Below College","College","Bachelor","Master","Doctor")</f>
        <v>Bachelor</v>
      </c>
      <c r="AL412" s="1" t="str">
        <f>CHOOSE(HR_Data[[#This Row],[JobSatisfaction]],"Low","Medium","High","Very High")</f>
        <v>Very High</v>
      </c>
      <c r="AM412" s="1" t="str">
        <f>CHOOSE(HR_Data[[#This Row],[EnvironmentSatisfaction]],"Low","Medium","High","Very High")</f>
        <v>High</v>
      </c>
      <c r="AN412" s="1" t="str">
        <f>CHOOSE(HR_Data[[#This Row],[WorkLifeBalance]],"Bad","Good","Better","Best")</f>
        <v>Better</v>
      </c>
      <c r="AO412" s="1" t="str">
        <f>IF(HR_Data[[#This Row],[PercentSalaryHike]]&lt;=13,"11-13%",IF(HR_Data[[#This Row],[PercentSalaryHike]]&lt;=16,"14-16%",IF(HR_Data[[#This Row],[PercentSalaryHike]]&lt;=19,"17-19%","20-25%")))</f>
        <v>20-25%</v>
      </c>
      <c r="AP412" s="1">
        <f>IF(HR_Data[[#This Row],[PercentSalaryHike]]&lt;=13,1,IF(HR_Data[[#This Row],[PercentSalaryHike]]&lt;=16,2,IF(HR_Data[[#This Row],[PercentSalaryHike]]&lt;=19,3,4)))</f>
        <v>4</v>
      </c>
      <c r="AQ412" s="1" t="str">
        <f>IF(HR_Data[[#This Row],[DistanceFromHome]]&lt;=5,"1 to 5",IF(HR_Data[[#This Row],[DistanceFromHome]]&lt;=10,"6 to 10",IF(HR_Data[[#This Row],[DistanceFromHome]]&lt;=20,"11 to 20","21 to 29")))</f>
        <v>1 to 5</v>
      </c>
      <c r="AR412" s="1">
        <f>IF(HR_Data[[#This Row],[DistanceFromHome]]&lt;=5,1,IF(HR_Data[[#This Row],[DistanceFromHome]]&lt;=10,2,IF(HR_Data[[#This Row],[DistanceFromHome]]&lt;=20,3,4)))</f>
        <v>1</v>
      </c>
      <c r="AS412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412" s="1">
        <f>IF(HR_Data[[#This Row],[TotalWorkingYears]]&lt;=5,1,IF(HR_Data[[#This Row],[TotalWorkingYears]]&lt;=10,2,IF(HR_Data[[#This Row],[TotalWorkingYears]]&lt;=20,3,4)))</f>
        <v>3</v>
      </c>
    </row>
    <row r="413" spans="1:46" x14ac:dyDescent="0.25">
      <c r="A413">
        <v>60</v>
      </c>
      <c r="B413" t="s">
        <v>36</v>
      </c>
      <c r="C413" t="s">
        <v>30</v>
      </c>
      <c r="D413" t="s">
        <v>38</v>
      </c>
      <c r="E413">
        <v>7</v>
      </c>
      <c r="F413">
        <v>3</v>
      </c>
      <c r="G413" t="s">
        <v>32</v>
      </c>
      <c r="H413">
        <v>549</v>
      </c>
      <c r="I413">
        <v>1</v>
      </c>
      <c r="J413" t="s">
        <v>33</v>
      </c>
      <c r="K413">
        <v>3</v>
      </c>
      <c r="L413">
        <v>5</v>
      </c>
      <c r="M413" t="s">
        <v>49</v>
      </c>
      <c r="N413">
        <v>1</v>
      </c>
      <c r="O413" t="s">
        <v>41</v>
      </c>
      <c r="P413">
        <v>19566</v>
      </c>
      <c r="Q413">
        <v>5</v>
      </c>
      <c r="R413" t="s">
        <v>36</v>
      </c>
      <c r="S413">
        <v>11</v>
      </c>
      <c r="T413">
        <v>3</v>
      </c>
      <c r="U413">
        <v>4</v>
      </c>
      <c r="V413">
        <v>0</v>
      </c>
      <c r="W413">
        <v>33</v>
      </c>
      <c r="X413">
        <v>5</v>
      </c>
      <c r="Y413">
        <v>1</v>
      </c>
      <c r="Z413">
        <v>29</v>
      </c>
      <c r="AA413">
        <v>8</v>
      </c>
      <c r="AB413">
        <v>11</v>
      </c>
      <c r="AC413">
        <v>10</v>
      </c>
      <c r="AD413">
        <f>IF(HR_Data[[#This Row],[Attrition]]="Yes",1,0)</f>
        <v>0</v>
      </c>
      <c r="AE413" t="str">
        <f>IF(HR_Data[[#This Row],[Age]]&lt;=25,"18-25",IF(HR_Data[[#This Row],[Age]]&lt;=35,"26-35",IF(HR_Data[[#This Row],[Age]]&lt;=45,"36-45",IF(HR_Data[[#This Row],[Age]]&lt;=55,"46-55","55+"))))</f>
        <v>55+</v>
      </c>
      <c r="AF413">
        <f>IF(HR_Data[[#This Row],[Age]]&lt;=25,1,IF(HR_Data[[#This Row],[Age]]&lt;=35,2,IF(HR_Data[[#This Row],[Age]]&lt;=45,3,IF(HR_Data[[#This Row],[Age]]&lt;=55,4,5))))</f>
        <v>5</v>
      </c>
      <c r="AG413" s="1" t="str">
        <f>IF(HR_Data[[#This Row],[MonthlyIncome]]&lt;3000,"&lt;3K",IF(HR_Data[[#This Row],[MonthlyIncome]]&lt;6000,"3K-6K",IF(HR_Data[[#This Row],[MonthlyIncome]]&lt;10000,"6K-10K","10K+")))</f>
        <v>10K+</v>
      </c>
      <c r="AH413" s="1">
        <f>IF(HR_Data[[#This Row],[MonthlyIncome]]&lt;3000,1,IF(HR_Data[[#This Row],[MonthlyIncome]]&lt;6000,2,IF(HR_Data[[#This Row],[MonthlyIncome]]&lt;10000,3,4)))</f>
        <v>4</v>
      </c>
      <c r="AI413" s="1" t="str">
        <f>IF(HR_Data[[#This Row],[YearsAtCompany]]&lt;=2,"0-2 Yrs",IF(HR_Data[[#This Row],[YearsAtCompany]]&lt;=5,"3-5 Yrs",IF(HR_Data[[#This Row],[YearsAtCompany]]&lt;=10,"6-10 Yrs","10+ Yrs")))</f>
        <v>10+ Yrs</v>
      </c>
      <c r="AJ413" s="1">
        <f>IF(HR_Data[[#This Row],[YearsAtCompany]]&lt;=2,1,IF(HR_Data[[#This Row],[YearsAtCompany]]&lt;=5,2,IF(HR_Data[[#This Row],[YearsAtCompany]]&lt;=10,3,4)))</f>
        <v>4</v>
      </c>
      <c r="AK413" s="1" t="str">
        <f>CHOOSE(HR_Data[[#This Row],[Education]],"Below College","College","Bachelor","Master","Doctor")</f>
        <v>Bachelor</v>
      </c>
      <c r="AL413" s="1" t="str">
        <f>CHOOSE(HR_Data[[#This Row],[JobSatisfaction]],"Low","Medium","High","Very High")</f>
        <v>Low</v>
      </c>
      <c r="AM413" s="1" t="str">
        <f>CHOOSE(HR_Data[[#This Row],[EnvironmentSatisfaction]],"Low","Medium","High","Very High")</f>
        <v>Low</v>
      </c>
      <c r="AN413" s="1" t="str">
        <f>CHOOSE(HR_Data[[#This Row],[WorkLifeBalance]],"Bad","Good","Better","Best")</f>
        <v>Bad</v>
      </c>
      <c r="AO413" s="1" t="str">
        <f>IF(HR_Data[[#This Row],[PercentSalaryHike]]&lt;=13,"11-13%",IF(HR_Data[[#This Row],[PercentSalaryHike]]&lt;=16,"14-16%",IF(HR_Data[[#This Row],[PercentSalaryHike]]&lt;=19,"17-19%","20-25%")))</f>
        <v>11-13%</v>
      </c>
      <c r="AP413" s="1">
        <f>IF(HR_Data[[#This Row],[PercentSalaryHike]]&lt;=13,1,IF(HR_Data[[#This Row],[PercentSalaryHike]]&lt;=16,2,IF(HR_Data[[#This Row],[PercentSalaryHike]]&lt;=19,3,4)))</f>
        <v>1</v>
      </c>
      <c r="AQ413" s="1" t="str">
        <f>IF(HR_Data[[#This Row],[DistanceFromHome]]&lt;=5,"1 to 5",IF(HR_Data[[#This Row],[DistanceFromHome]]&lt;=10,"6 to 10",IF(HR_Data[[#This Row],[DistanceFromHome]]&lt;=20,"11 to 20","21 to 29")))</f>
        <v>6 to 10</v>
      </c>
      <c r="AR413" s="1">
        <f>IF(HR_Data[[#This Row],[DistanceFromHome]]&lt;=5,1,IF(HR_Data[[#This Row],[DistanceFromHome]]&lt;=10,2,IF(HR_Data[[#This Row],[DistanceFromHome]]&lt;=20,3,4)))</f>
        <v>2</v>
      </c>
      <c r="AS413" s="1" t="str">
        <f>IF(HR_Data[[#This Row],[TotalWorkingYears]]&lt;=5,"0-5 Yrs",IF(HR_Data[[#This Row],[TotalWorkingYears]]&lt;=10,"6-10 Yrs",IF(HR_Data[[#This Row],[TotalWorkingYears]]&lt;=20,"11-20 Yrs","20+ Yrs")))</f>
        <v>20+ Yrs</v>
      </c>
      <c r="AT413" s="1">
        <f>IF(HR_Data[[#This Row],[TotalWorkingYears]]&lt;=5,1,IF(HR_Data[[#This Row],[TotalWorkingYears]]&lt;=10,2,IF(HR_Data[[#This Row],[TotalWorkingYears]]&lt;=20,3,4)))</f>
        <v>4</v>
      </c>
    </row>
    <row r="414" spans="1:46" x14ac:dyDescent="0.25">
      <c r="A414">
        <v>46</v>
      </c>
      <c r="B414" t="s">
        <v>36</v>
      </c>
      <c r="C414" t="s">
        <v>30</v>
      </c>
      <c r="D414" t="s">
        <v>38</v>
      </c>
      <c r="E414">
        <v>18</v>
      </c>
      <c r="F414">
        <v>3</v>
      </c>
      <c r="G414" t="s">
        <v>44</v>
      </c>
      <c r="H414">
        <v>550</v>
      </c>
      <c r="I414">
        <v>3</v>
      </c>
      <c r="J414" t="s">
        <v>33</v>
      </c>
      <c r="K414">
        <v>3</v>
      </c>
      <c r="L414">
        <v>2</v>
      </c>
      <c r="M414" t="s">
        <v>46</v>
      </c>
      <c r="N414">
        <v>3</v>
      </c>
      <c r="O414" t="s">
        <v>45</v>
      </c>
      <c r="P414">
        <v>4810</v>
      </c>
      <c r="Q414">
        <v>2</v>
      </c>
      <c r="R414" t="s">
        <v>36</v>
      </c>
      <c r="S414">
        <v>14</v>
      </c>
      <c r="T414">
        <v>3</v>
      </c>
      <c r="U414">
        <v>3</v>
      </c>
      <c r="V414">
        <v>1</v>
      </c>
      <c r="W414">
        <v>19</v>
      </c>
      <c r="X414">
        <v>5</v>
      </c>
      <c r="Y414">
        <v>2</v>
      </c>
      <c r="Z414">
        <v>10</v>
      </c>
      <c r="AA414">
        <v>7</v>
      </c>
      <c r="AB414">
        <v>0</v>
      </c>
      <c r="AC414">
        <v>8</v>
      </c>
      <c r="AD414">
        <f>IF(HR_Data[[#This Row],[Attrition]]="Yes",1,0)</f>
        <v>0</v>
      </c>
      <c r="AE414" t="str">
        <f>IF(HR_Data[[#This Row],[Age]]&lt;=25,"18-25",IF(HR_Data[[#This Row],[Age]]&lt;=35,"26-35",IF(HR_Data[[#This Row],[Age]]&lt;=45,"36-45",IF(HR_Data[[#This Row],[Age]]&lt;=55,"46-55","55+"))))</f>
        <v>46-55</v>
      </c>
      <c r="AF414">
        <f>IF(HR_Data[[#This Row],[Age]]&lt;=25,1,IF(HR_Data[[#This Row],[Age]]&lt;=35,2,IF(HR_Data[[#This Row],[Age]]&lt;=45,3,IF(HR_Data[[#This Row],[Age]]&lt;=55,4,5))))</f>
        <v>4</v>
      </c>
      <c r="AG414" s="1" t="str">
        <f>IF(HR_Data[[#This Row],[MonthlyIncome]]&lt;3000,"&lt;3K",IF(HR_Data[[#This Row],[MonthlyIncome]]&lt;6000,"3K-6K",IF(HR_Data[[#This Row],[MonthlyIncome]]&lt;10000,"6K-10K","10K+")))</f>
        <v>3K-6K</v>
      </c>
      <c r="AH414" s="1">
        <f>IF(HR_Data[[#This Row],[MonthlyIncome]]&lt;3000,1,IF(HR_Data[[#This Row],[MonthlyIncome]]&lt;6000,2,IF(HR_Data[[#This Row],[MonthlyIncome]]&lt;10000,3,4)))</f>
        <v>2</v>
      </c>
      <c r="AI414" s="1" t="str">
        <f>IF(HR_Data[[#This Row],[YearsAtCompany]]&lt;=2,"0-2 Yrs",IF(HR_Data[[#This Row],[YearsAtCompany]]&lt;=5,"3-5 Yrs",IF(HR_Data[[#This Row],[YearsAtCompany]]&lt;=10,"6-10 Yrs","10+ Yrs")))</f>
        <v>6-10 Yrs</v>
      </c>
      <c r="AJ414" s="1">
        <f>IF(HR_Data[[#This Row],[YearsAtCompany]]&lt;=2,1,IF(HR_Data[[#This Row],[YearsAtCompany]]&lt;=5,2,IF(HR_Data[[#This Row],[YearsAtCompany]]&lt;=10,3,4)))</f>
        <v>3</v>
      </c>
      <c r="AK414" s="1" t="str">
        <f>CHOOSE(HR_Data[[#This Row],[Education]],"Below College","College","Bachelor","Master","Doctor")</f>
        <v>Bachelor</v>
      </c>
      <c r="AL414" s="1" t="str">
        <f>CHOOSE(HR_Data[[#This Row],[JobSatisfaction]],"Low","Medium","High","Very High")</f>
        <v>High</v>
      </c>
      <c r="AM414" s="1" t="str">
        <f>CHOOSE(HR_Data[[#This Row],[EnvironmentSatisfaction]],"Low","Medium","High","Very High")</f>
        <v>High</v>
      </c>
      <c r="AN414" s="1" t="str">
        <f>CHOOSE(HR_Data[[#This Row],[WorkLifeBalance]],"Bad","Good","Better","Best")</f>
        <v>Good</v>
      </c>
      <c r="AO414" s="1" t="str">
        <f>IF(HR_Data[[#This Row],[PercentSalaryHike]]&lt;=13,"11-13%",IF(HR_Data[[#This Row],[PercentSalaryHike]]&lt;=16,"14-16%",IF(HR_Data[[#This Row],[PercentSalaryHike]]&lt;=19,"17-19%","20-25%")))</f>
        <v>14-16%</v>
      </c>
      <c r="AP414" s="1">
        <f>IF(HR_Data[[#This Row],[PercentSalaryHike]]&lt;=13,1,IF(HR_Data[[#This Row],[PercentSalaryHike]]&lt;=16,2,IF(HR_Data[[#This Row],[PercentSalaryHike]]&lt;=19,3,4)))</f>
        <v>2</v>
      </c>
      <c r="AQ414" s="1" t="str">
        <f>IF(HR_Data[[#This Row],[DistanceFromHome]]&lt;=5,"1 to 5",IF(HR_Data[[#This Row],[DistanceFromHome]]&lt;=10,"6 to 10",IF(HR_Data[[#This Row],[DistanceFromHome]]&lt;=20,"11 to 20","21 to 29")))</f>
        <v>11 to 20</v>
      </c>
      <c r="AR414" s="1">
        <f>IF(HR_Data[[#This Row],[DistanceFromHome]]&lt;=5,1,IF(HR_Data[[#This Row],[DistanceFromHome]]&lt;=10,2,IF(HR_Data[[#This Row],[DistanceFromHome]]&lt;=20,3,4)))</f>
        <v>3</v>
      </c>
      <c r="AS414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414" s="1">
        <f>IF(HR_Data[[#This Row],[TotalWorkingYears]]&lt;=5,1,IF(HR_Data[[#This Row],[TotalWorkingYears]]&lt;=10,2,IF(HR_Data[[#This Row],[TotalWorkingYears]]&lt;=20,3,4)))</f>
        <v>3</v>
      </c>
    </row>
    <row r="415" spans="1:46" x14ac:dyDescent="0.25">
      <c r="A415">
        <v>42</v>
      </c>
      <c r="B415" t="s">
        <v>36</v>
      </c>
      <c r="C415" t="s">
        <v>37</v>
      </c>
      <c r="D415" t="s">
        <v>38</v>
      </c>
      <c r="E415">
        <v>28</v>
      </c>
      <c r="F415">
        <v>4</v>
      </c>
      <c r="G415" t="s">
        <v>53</v>
      </c>
      <c r="H415">
        <v>551</v>
      </c>
      <c r="I415">
        <v>4</v>
      </c>
      <c r="J415" t="s">
        <v>33</v>
      </c>
      <c r="K415">
        <v>2</v>
      </c>
      <c r="L415">
        <v>2</v>
      </c>
      <c r="M415" t="s">
        <v>47</v>
      </c>
      <c r="N415">
        <v>4</v>
      </c>
      <c r="O415" t="s">
        <v>41</v>
      </c>
      <c r="P415">
        <v>4523</v>
      </c>
      <c r="Q415">
        <v>0</v>
      </c>
      <c r="R415" t="s">
        <v>36</v>
      </c>
      <c r="S415">
        <v>11</v>
      </c>
      <c r="T415">
        <v>3</v>
      </c>
      <c r="U415">
        <v>4</v>
      </c>
      <c r="V415">
        <v>3</v>
      </c>
      <c r="W415">
        <v>7</v>
      </c>
      <c r="X415">
        <v>4</v>
      </c>
      <c r="Y415">
        <v>4</v>
      </c>
      <c r="Z415">
        <v>6</v>
      </c>
      <c r="AA415">
        <v>5</v>
      </c>
      <c r="AB415">
        <v>0</v>
      </c>
      <c r="AC415">
        <v>4</v>
      </c>
      <c r="AD415">
        <f>IF(HR_Data[[#This Row],[Attrition]]="Yes",1,0)</f>
        <v>0</v>
      </c>
      <c r="AE415" t="str">
        <f>IF(HR_Data[[#This Row],[Age]]&lt;=25,"18-25",IF(HR_Data[[#This Row],[Age]]&lt;=35,"26-35",IF(HR_Data[[#This Row],[Age]]&lt;=45,"36-45",IF(HR_Data[[#This Row],[Age]]&lt;=55,"46-55","55+"))))</f>
        <v>36-45</v>
      </c>
      <c r="AF415">
        <f>IF(HR_Data[[#This Row],[Age]]&lt;=25,1,IF(HR_Data[[#This Row],[Age]]&lt;=35,2,IF(HR_Data[[#This Row],[Age]]&lt;=45,3,IF(HR_Data[[#This Row],[Age]]&lt;=55,4,5))))</f>
        <v>3</v>
      </c>
      <c r="AG415" s="1" t="str">
        <f>IF(HR_Data[[#This Row],[MonthlyIncome]]&lt;3000,"&lt;3K",IF(HR_Data[[#This Row],[MonthlyIncome]]&lt;6000,"3K-6K",IF(HR_Data[[#This Row],[MonthlyIncome]]&lt;10000,"6K-10K","10K+")))</f>
        <v>3K-6K</v>
      </c>
      <c r="AH415" s="1">
        <f>IF(HR_Data[[#This Row],[MonthlyIncome]]&lt;3000,1,IF(HR_Data[[#This Row],[MonthlyIncome]]&lt;6000,2,IF(HR_Data[[#This Row],[MonthlyIncome]]&lt;10000,3,4)))</f>
        <v>2</v>
      </c>
      <c r="AI415" s="1" t="str">
        <f>IF(HR_Data[[#This Row],[YearsAtCompany]]&lt;=2,"0-2 Yrs",IF(HR_Data[[#This Row],[YearsAtCompany]]&lt;=5,"3-5 Yrs",IF(HR_Data[[#This Row],[YearsAtCompany]]&lt;=10,"6-10 Yrs","10+ Yrs")))</f>
        <v>6-10 Yrs</v>
      </c>
      <c r="AJ415" s="1">
        <f>IF(HR_Data[[#This Row],[YearsAtCompany]]&lt;=2,1,IF(HR_Data[[#This Row],[YearsAtCompany]]&lt;=5,2,IF(HR_Data[[#This Row],[YearsAtCompany]]&lt;=10,3,4)))</f>
        <v>3</v>
      </c>
      <c r="AK415" s="1" t="str">
        <f>CHOOSE(HR_Data[[#This Row],[Education]],"Below College","College","Bachelor","Master","Doctor")</f>
        <v>Master</v>
      </c>
      <c r="AL415" s="1" t="str">
        <f>CHOOSE(HR_Data[[#This Row],[JobSatisfaction]],"Low","Medium","High","Very High")</f>
        <v>Very High</v>
      </c>
      <c r="AM415" s="1" t="str">
        <f>CHOOSE(HR_Data[[#This Row],[EnvironmentSatisfaction]],"Low","Medium","High","Very High")</f>
        <v>Very High</v>
      </c>
      <c r="AN415" s="1" t="str">
        <f>CHOOSE(HR_Data[[#This Row],[WorkLifeBalance]],"Bad","Good","Better","Best")</f>
        <v>Best</v>
      </c>
      <c r="AO415" s="1" t="str">
        <f>IF(HR_Data[[#This Row],[PercentSalaryHike]]&lt;=13,"11-13%",IF(HR_Data[[#This Row],[PercentSalaryHike]]&lt;=16,"14-16%",IF(HR_Data[[#This Row],[PercentSalaryHike]]&lt;=19,"17-19%","20-25%")))</f>
        <v>11-13%</v>
      </c>
      <c r="AP415" s="1">
        <f>IF(HR_Data[[#This Row],[PercentSalaryHike]]&lt;=13,1,IF(HR_Data[[#This Row],[PercentSalaryHike]]&lt;=16,2,IF(HR_Data[[#This Row],[PercentSalaryHike]]&lt;=19,3,4)))</f>
        <v>1</v>
      </c>
      <c r="AQ415" s="1" t="str">
        <f>IF(HR_Data[[#This Row],[DistanceFromHome]]&lt;=5,"1 to 5",IF(HR_Data[[#This Row],[DistanceFromHome]]&lt;=10,"6 to 10",IF(HR_Data[[#This Row],[DistanceFromHome]]&lt;=20,"11 to 20","21 to 29")))</f>
        <v>21 to 29</v>
      </c>
      <c r="AR415" s="1">
        <f>IF(HR_Data[[#This Row],[DistanceFromHome]]&lt;=5,1,IF(HR_Data[[#This Row],[DistanceFromHome]]&lt;=10,2,IF(HR_Data[[#This Row],[DistanceFromHome]]&lt;=20,3,4)))</f>
        <v>4</v>
      </c>
      <c r="AS415" s="1" t="str">
        <f>IF(HR_Data[[#This Row],[TotalWorkingYears]]&lt;=5,"0-5 Yrs",IF(HR_Data[[#This Row],[TotalWorkingYears]]&lt;=10,"6-10 Yrs",IF(HR_Data[[#This Row],[TotalWorkingYears]]&lt;=20,"11-20 Yrs","20+ Yrs")))</f>
        <v>6-10 Yrs</v>
      </c>
      <c r="AT415" s="1">
        <f>IF(HR_Data[[#This Row],[TotalWorkingYears]]&lt;=5,1,IF(HR_Data[[#This Row],[TotalWorkingYears]]&lt;=10,2,IF(HR_Data[[#This Row],[TotalWorkingYears]]&lt;=20,3,4)))</f>
        <v>2</v>
      </c>
    </row>
    <row r="416" spans="1:46" x14ac:dyDescent="0.25">
      <c r="A416">
        <v>24</v>
      </c>
      <c r="B416" t="s">
        <v>29</v>
      </c>
      <c r="C416" t="s">
        <v>30</v>
      </c>
      <c r="D416" t="s">
        <v>31</v>
      </c>
      <c r="E416">
        <v>1</v>
      </c>
      <c r="F416">
        <v>1</v>
      </c>
      <c r="G416" t="s">
        <v>53</v>
      </c>
      <c r="H416">
        <v>554</v>
      </c>
      <c r="I416">
        <v>1</v>
      </c>
      <c r="J416" t="s">
        <v>33</v>
      </c>
      <c r="K416">
        <v>3</v>
      </c>
      <c r="L416">
        <v>1</v>
      </c>
      <c r="M416" t="s">
        <v>50</v>
      </c>
      <c r="N416">
        <v>2</v>
      </c>
      <c r="O416" t="s">
        <v>35</v>
      </c>
      <c r="P416">
        <v>3202</v>
      </c>
      <c r="Q416">
        <v>1</v>
      </c>
      <c r="R416" t="s">
        <v>29</v>
      </c>
      <c r="S416">
        <v>16</v>
      </c>
      <c r="T416">
        <v>3</v>
      </c>
      <c r="U416">
        <v>2</v>
      </c>
      <c r="V416">
        <v>0</v>
      </c>
      <c r="W416">
        <v>6</v>
      </c>
      <c r="X416">
        <v>4</v>
      </c>
      <c r="Y416">
        <v>3</v>
      </c>
      <c r="Z416">
        <v>5</v>
      </c>
      <c r="AA416">
        <v>3</v>
      </c>
      <c r="AB416">
        <v>1</v>
      </c>
      <c r="AC416">
        <v>4</v>
      </c>
      <c r="AD416">
        <f>IF(HR_Data[[#This Row],[Attrition]]="Yes",1,0)</f>
        <v>1</v>
      </c>
      <c r="AE416" t="str">
        <f>IF(HR_Data[[#This Row],[Age]]&lt;=25,"18-25",IF(HR_Data[[#This Row],[Age]]&lt;=35,"26-35",IF(HR_Data[[#This Row],[Age]]&lt;=45,"36-45",IF(HR_Data[[#This Row],[Age]]&lt;=55,"46-55","55+"))))</f>
        <v>18-25</v>
      </c>
      <c r="AF416">
        <f>IF(HR_Data[[#This Row],[Age]]&lt;=25,1,IF(HR_Data[[#This Row],[Age]]&lt;=35,2,IF(HR_Data[[#This Row],[Age]]&lt;=45,3,IF(HR_Data[[#This Row],[Age]]&lt;=55,4,5))))</f>
        <v>1</v>
      </c>
      <c r="AG416" s="1" t="str">
        <f>IF(HR_Data[[#This Row],[MonthlyIncome]]&lt;3000,"&lt;3K",IF(HR_Data[[#This Row],[MonthlyIncome]]&lt;6000,"3K-6K",IF(HR_Data[[#This Row],[MonthlyIncome]]&lt;10000,"6K-10K","10K+")))</f>
        <v>3K-6K</v>
      </c>
      <c r="AH416" s="1">
        <f>IF(HR_Data[[#This Row],[MonthlyIncome]]&lt;3000,1,IF(HR_Data[[#This Row],[MonthlyIncome]]&lt;6000,2,IF(HR_Data[[#This Row],[MonthlyIncome]]&lt;10000,3,4)))</f>
        <v>2</v>
      </c>
      <c r="AI416" s="1" t="str">
        <f>IF(HR_Data[[#This Row],[YearsAtCompany]]&lt;=2,"0-2 Yrs",IF(HR_Data[[#This Row],[YearsAtCompany]]&lt;=5,"3-5 Yrs",IF(HR_Data[[#This Row],[YearsAtCompany]]&lt;=10,"6-10 Yrs","10+ Yrs")))</f>
        <v>3-5 Yrs</v>
      </c>
      <c r="AJ416" s="1">
        <f>IF(HR_Data[[#This Row],[YearsAtCompany]]&lt;=2,1,IF(HR_Data[[#This Row],[YearsAtCompany]]&lt;=5,2,IF(HR_Data[[#This Row],[YearsAtCompany]]&lt;=10,3,4)))</f>
        <v>2</v>
      </c>
      <c r="AK416" s="1" t="str">
        <f>CHOOSE(HR_Data[[#This Row],[Education]],"Below College","College","Bachelor","Master","Doctor")</f>
        <v>Below College</v>
      </c>
      <c r="AL416" s="1" t="str">
        <f>CHOOSE(HR_Data[[#This Row],[JobSatisfaction]],"Low","Medium","High","Very High")</f>
        <v>Medium</v>
      </c>
      <c r="AM416" s="1" t="str">
        <f>CHOOSE(HR_Data[[#This Row],[EnvironmentSatisfaction]],"Low","Medium","High","Very High")</f>
        <v>Low</v>
      </c>
      <c r="AN416" s="1" t="str">
        <f>CHOOSE(HR_Data[[#This Row],[WorkLifeBalance]],"Bad","Good","Better","Best")</f>
        <v>Better</v>
      </c>
      <c r="AO416" s="1" t="str">
        <f>IF(HR_Data[[#This Row],[PercentSalaryHike]]&lt;=13,"11-13%",IF(HR_Data[[#This Row],[PercentSalaryHike]]&lt;=16,"14-16%",IF(HR_Data[[#This Row],[PercentSalaryHike]]&lt;=19,"17-19%","20-25%")))</f>
        <v>14-16%</v>
      </c>
      <c r="AP416" s="1">
        <f>IF(HR_Data[[#This Row],[PercentSalaryHike]]&lt;=13,1,IF(HR_Data[[#This Row],[PercentSalaryHike]]&lt;=16,2,IF(HR_Data[[#This Row],[PercentSalaryHike]]&lt;=19,3,4)))</f>
        <v>2</v>
      </c>
      <c r="AQ416" s="1" t="str">
        <f>IF(HR_Data[[#This Row],[DistanceFromHome]]&lt;=5,"1 to 5",IF(HR_Data[[#This Row],[DistanceFromHome]]&lt;=10,"6 to 10",IF(HR_Data[[#This Row],[DistanceFromHome]]&lt;=20,"11 to 20","21 to 29")))</f>
        <v>1 to 5</v>
      </c>
      <c r="AR416" s="1">
        <f>IF(HR_Data[[#This Row],[DistanceFromHome]]&lt;=5,1,IF(HR_Data[[#This Row],[DistanceFromHome]]&lt;=10,2,IF(HR_Data[[#This Row],[DistanceFromHome]]&lt;=20,3,4)))</f>
        <v>1</v>
      </c>
      <c r="AS416" s="1" t="str">
        <f>IF(HR_Data[[#This Row],[TotalWorkingYears]]&lt;=5,"0-5 Yrs",IF(HR_Data[[#This Row],[TotalWorkingYears]]&lt;=10,"6-10 Yrs",IF(HR_Data[[#This Row],[TotalWorkingYears]]&lt;=20,"11-20 Yrs","20+ Yrs")))</f>
        <v>6-10 Yrs</v>
      </c>
      <c r="AT416" s="1">
        <f>IF(HR_Data[[#This Row],[TotalWorkingYears]]&lt;=5,1,IF(HR_Data[[#This Row],[TotalWorkingYears]]&lt;=10,2,IF(HR_Data[[#This Row],[TotalWorkingYears]]&lt;=20,3,4)))</f>
        <v>2</v>
      </c>
    </row>
    <row r="417" spans="1:46" x14ac:dyDescent="0.25">
      <c r="A417">
        <v>34</v>
      </c>
      <c r="B417" t="s">
        <v>29</v>
      </c>
      <c r="C417" t="s">
        <v>37</v>
      </c>
      <c r="D417" t="s">
        <v>31</v>
      </c>
      <c r="E417">
        <v>6</v>
      </c>
      <c r="F417">
        <v>2</v>
      </c>
      <c r="G417" t="s">
        <v>52</v>
      </c>
      <c r="H417">
        <v>555</v>
      </c>
      <c r="I417">
        <v>4</v>
      </c>
      <c r="J417" t="s">
        <v>33</v>
      </c>
      <c r="K417">
        <v>1</v>
      </c>
      <c r="L417">
        <v>1</v>
      </c>
      <c r="M417" t="s">
        <v>50</v>
      </c>
      <c r="N417">
        <v>3</v>
      </c>
      <c r="O417" t="s">
        <v>45</v>
      </c>
      <c r="P417">
        <v>2351</v>
      </c>
      <c r="Q417">
        <v>0</v>
      </c>
      <c r="R417" t="s">
        <v>36</v>
      </c>
      <c r="S417">
        <v>16</v>
      </c>
      <c r="T417">
        <v>3</v>
      </c>
      <c r="U417">
        <v>4</v>
      </c>
      <c r="V417">
        <v>1</v>
      </c>
      <c r="W417">
        <v>3</v>
      </c>
      <c r="X417">
        <v>3</v>
      </c>
      <c r="Y417">
        <v>2</v>
      </c>
      <c r="Z417">
        <v>2</v>
      </c>
      <c r="AA417">
        <v>2</v>
      </c>
      <c r="AB417">
        <v>1</v>
      </c>
      <c r="AC417">
        <v>0</v>
      </c>
      <c r="AD417">
        <f>IF(HR_Data[[#This Row],[Attrition]]="Yes",1,0)</f>
        <v>1</v>
      </c>
      <c r="AE417" t="str">
        <f>IF(HR_Data[[#This Row],[Age]]&lt;=25,"18-25",IF(HR_Data[[#This Row],[Age]]&lt;=35,"26-35",IF(HR_Data[[#This Row],[Age]]&lt;=45,"36-45",IF(HR_Data[[#This Row],[Age]]&lt;=55,"46-55","55+"))))</f>
        <v>26-35</v>
      </c>
      <c r="AF417">
        <f>IF(HR_Data[[#This Row],[Age]]&lt;=25,1,IF(HR_Data[[#This Row],[Age]]&lt;=35,2,IF(HR_Data[[#This Row],[Age]]&lt;=45,3,IF(HR_Data[[#This Row],[Age]]&lt;=55,4,5))))</f>
        <v>2</v>
      </c>
      <c r="AG417" s="1" t="str">
        <f>IF(HR_Data[[#This Row],[MonthlyIncome]]&lt;3000,"&lt;3K",IF(HR_Data[[#This Row],[MonthlyIncome]]&lt;6000,"3K-6K",IF(HR_Data[[#This Row],[MonthlyIncome]]&lt;10000,"6K-10K","10K+")))</f>
        <v>&lt;3K</v>
      </c>
      <c r="AH417" s="1">
        <f>IF(HR_Data[[#This Row],[MonthlyIncome]]&lt;3000,1,IF(HR_Data[[#This Row],[MonthlyIncome]]&lt;6000,2,IF(HR_Data[[#This Row],[MonthlyIncome]]&lt;10000,3,4)))</f>
        <v>1</v>
      </c>
      <c r="AI417" s="1" t="str">
        <f>IF(HR_Data[[#This Row],[YearsAtCompany]]&lt;=2,"0-2 Yrs",IF(HR_Data[[#This Row],[YearsAtCompany]]&lt;=5,"3-5 Yrs",IF(HR_Data[[#This Row],[YearsAtCompany]]&lt;=10,"6-10 Yrs","10+ Yrs")))</f>
        <v>0-2 Yrs</v>
      </c>
      <c r="AJ417" s="1">
        <f>IF(HR_Data[[#This Row],[YearsAtCompany]]&lt;=2,1,IF(HR_Data[[#This Row],[YearsAtCompany]]&lt;=5,2,IF(HR_Data[[#This Row],[YearsAtCompany]]&lt;=10,3,4)))</f>
        <v>1</v>
      </c>
      <c r="AK417" s="1" t="str">
        <f>CHOOSE(HR_Data[[#This Row],[Education]],"Below College","College","Bachelor","Master","Doctor")</f>
        <v>College</v>
      </c>
      <c r="AL417" s="1" t="str">
        <f>CHOOSE(HR_Data[[#This Row],[JobSatisfaction]],"Low","Medium","High","Very High")</f>
        <v>High</v>
      </c>
      <c r="AM417" s="1" t="str">
        <f>CHOOSE(HR_Data[[#This Row],[EnvironmentSatisfaction]],"Low","Medium","High","Very High")</f>
        <v>Very High</v>
      </c>
      <c r="AN417" s="1" t="str">
        <f>CHOOSE(HR_Data[[#This Row],[WorkLifeBalance]],"Bad","Good","Better","Best")</f>
        <v>Good</v>
      </c>
      <c r="AO417" s="1" t="str">
        <f>IF(HR_Data[[#This Row],[PercentSalaryHike]]&lt;=13,"11-13%",IF(HR_Data[[#This Row],[PercentSalaryHike]]&lt;=16,"14-16%",IF(HR_Data[[#This Row],[PercentSalaryHike]]&lt;=19,"17-19%","20-25%")))</f>
        <v>14-16%</v>
      </c>
      <c r="AP417" s="1">
        <f>IF(HR_Data[[#This Row],[PercentSalaryHike]]&lt;=13,1,IF(HR_Data[[#This Row],[PercentSalaryHike]]&lt;=16,2,IF(HR_Data[[#This Row],[PercentSalaryHike]]&lt;=19,3,4)))</f>
        <v>2</v>
      </c>
      <c r="AQ417" s="1" t="str">
        <f>IF(HR_Data[[#This Row],[DistanceFromHome]]&lt;=5,"1 to 5",IF(HR_Data[[#This Row],[DistanceFromHome]]&lt;=10,"6 to 10",IF(HR_Data[[#This Row],[DistanceFromHome]]&lt;=20,"11 to 20","21 to 29")))</f>
        <v>6 to 10</v>
      </c>
      <c r="AR417" s="1">
        <f>IF(HR_Data[[#This Row],[DistanceFromHome]]&lt;=5,1,IF(HR_Data[[#This Row],[DistanceFromHome]]&lt;=10,2,IF(HR_Data[[#This Row],[DistanceFromHome]]&lt;=20,3,4)))</f>
        <v>2</v>
      </c>
      <c r="AS417" s="1" t="str">
        <f>IF(HR_Data[[#This Row],[TotalWorkingYears]]&lt;=5,"0-5 Yrs",IF(HR_Data[[#This Row],[TotalWorkingYears]]&lt;=10,"6-10 Yrs",IF(HR_Data[[#This Row],[TotalWorkingYears]]&lt;=20,"11-20 Yrs","20+ Yrs")))</f>
        <v>0-5 Yrs</v>
      </c>
      <c r="AT417" s="1">
        <f>IF(HR_Data[[#This Row],[TotalWorkingYears]]&lt;=5,1,IF(HR_Data[[#This Row],[TotalWorkingYears]]&lt;=10,2,IF(HR_Data[[#This Row],[TotalWorkingYears]]&lt;=20,3,4)))</f>
        <v>1</v>
      </c>
    </row>
    <row r="418" spans="1:46" x14ac:dyDescent="0.25">
      <c r="A418">
        <v>38</v>
      </c>
      <c r="B418" t="s">
        <v>36</v>
      </c>
      <c r="C418" t="s">
        <v>37</v>
      </c>
      <c r="D418" t="s">
        <v>38</v>
      </c>
      <c r="E418">
        <v>2</v>
      </c>
      <c r="F418">
        <v>2</v>
      </c>
      <c r="G418" t="s">
        <v>32</v>
      </c>
      <c r="H418">
        <v>556</v>
      </c>
      <c r="I418">
        <v>4</v>
      </c>
      <c r="J418" t="s">
        <v>39</v>
      </c>
      <c r="K418">
        <v>3</v>
      </c>
      <c r="L418">
        <v>1</v>
      </c>
      <c r="M418" t="s">
        <v>43</v>
      </c>
      <c r="N418">
        <v>4</v>
      </c>
      <c r="O418" t="s">
        <v>41</v>
      </c>
      <c r="P418">
        <v>1702</v>
      </c>
      <c r="Q418">
        <v>1</v>
      </c>
      <c r="R418" t="s">
        <v>29</v>
      </c>
      <c r="S418">
        <v>23</v>
      </c>
      <c r="T418">
        <v>4</v>
      </c>
      <c r="U418">
        <v>3</v>
      </c>
      <c r="V418">
        <v>1</v>
      </c>
      <c r="W418">
        <v>1</v>
      </c>
      <c r="X418">
        <v>3</v>
      </c>
      <c r="Y418">
        <v>3</v>
      </c>
      <c r="Z418">
        <v>1</v>
      </c>
      <c r="AA418">
        <v>0</v>
      </c>
      <c r="AB418">
        <v>0</v>
      </c>
      <c r="AC418">
        <v>0</v>
      </c>
      <c r="AD418">
        <f>IF(HR_Data[[#This Row],[Attrition]]="Yes",1,0)</f>
        <v>0</v>
      </c>
      <c r="AE418" t="str">
        <f>IF(HR_Data[[#This Row],[Age]]&lt;=25,"18-25",IF(HR_Data[[#This Row],[Age]]&lt;=35,"26-35",IF(HR_Data[[#This Row],[Age]]&lt;=45,"36-45",IF(HR_Data[[#This Row],[Age]]&lt;=55,"46-55","55+"))))</f>
        <v>36-45</v>
      </c>
      <c r="AF418">
        <f>IF(HR_Data[[#This Row],[Age]]&lt;=25,1,IF(HR_Data[[#This Row],[Age]]&lt;=35,2,IF(HR_Data[[#This Row],[Age]]&lt;=45,3,IF(HR_Data[[#This Row],[Age]]&lt;=55,4,5))))</f>
        <v>3</v>
      </c>
      <c r="AG418" s="1" t="str">
        <f>IF(HR_Data[[#This Row],[MonthlyIncome]]&lt;3000,"&lt;3K",IF(HR_Data[[#This Row],[MonthlyIncome]]&lt;6000,"3K-6K",IF(HR_Data[[#This Row],[MonthlyIncome]]&lt;10000,"6K-10K","10K+")))</f>
        <v>&lt;3K</v>
      </c>
      <c r="AH418" s="1">
        <f>IF(HR_Data[[#This Row],[MonthlyIncome]]&lt;3000,1,IF(HR_Data[[#This Row],[MonthlyIncome]]&lt;6000,2,IF(HR_Data[[#This Row],[MonthlyIncome]]&lt;10000,3,4)))</f>
        <v>1</v>
      </c>
      <c r="AI418" s="1" t="str">
        <f>IF(HR_Data[[#This Row],[YearsAtCompany]]&lt;=2,"0-2 Yrs",IF(HR_Data[[#This Row],[YearsAtCompany]]&lt;=5,"3-5 Yrs",IF(HR_Data[[#This Row],[YearsAtCompany]]&lt;=10,"6-10 Yrs","10+ Yrs")))</f>
        <v>0-2 Yrs</v>
      </c>
      <c r="AJ418" s="1">
        <f>IF(HR_Data[[#This Row],[YearsAtCompany]]&lt;=2,1,IF(HR_Data[[#This Row],[YearsAtCompany]]&lt;=5,2,IF(HR_Data[[#This Row],[YearsAtCompany]]&lt;=10,3,4)))</f>
        <v>1</v>
      </c>
      <c r="AK418" s="1" t="str">
        <f>CHOOSE(HR_Data[[#This Row],[Education]],"Below College","College","Bachelor","Master","Doctor")</f>
        <v>College</v>
      </c>
      <c r="AL418" s="1" t="str">
        <f>CHOOSE(HR_Data[[#This Row],[JobSatisfaction]],"Low","Medium","High","Very High")</f>
        <v>Very High</v>
      </c>
      <c r="AM418" s="1" t="str">
        <f>CHOOSE(HR_Data[[#This Row],[EnvironmentSatisfaction]],"Low","Medium","High","Very High")</f>
        <v>Very High</v>
      </c>
      <c r="AN418" s="1" t="str">
        <f>CHOOSE(HR_Data[[#This Row],[WorkLifeBalance]],"Bad","Good","Better","Best")</f>
        <v>Better</v>
      </c>
      <c r="AO418" s="1" t="str">
        <f>IF(HR_Data[[#This Row],[PercentSalaryHike]]&lt;=13,"11-13%",IF(HR_Data[[#This Row],[PercentSalaryHike]]&lt;=16,"14-16%",IF(HR_Data[[#This Row],[PercentSalaryHike]]&lt;=19,"17-19%","20-25%")))</f>
        <v>20-25%</v>
      </c>
      <c r="AP418" s="1">
        <f>IF(HR_Data[[#This Row],[PercentSalaryHike]]&lt;=13,1,IF(HR_Data[[#This Row],[PercentSalaryHike]]&lt;=16,2,IF(HR_Data[[#This Row],[PercentSalaryHike]]&lt;=19,3,4)))</f>
        <v>4</v>
      </c>
      <c r="AQ418" s="1" t="str">
        <f>IF(HR_Data[[#This Row],[DistanceFromHome]]&lt;=5,"1 to 5",IF(HR_Data[[#This Row],[DistanceFromHome]]&lt;=10,"6 to 10",IF(HR_Data[[#This Row],[DistanceFromHome]]&lt;=20,"11 to 20","21 to 29")))</f>
        <v>1 to 5</v>
      </c>
      <c r="AR418" s="1">
        <f>IF(HR_Data[[#This Row],[DistanceFromHome]]&lt;=5,1,IF(HR_Data[[#This Row],[DistanceFromHome]]&lt;=10,2,IF(HR_Data[[#This Row],[DistanceFromHome]]&lt;=20,3,4)))</f>
        <v>1</v>
      </c>
      <c r="AS418" s="1" t="str">
        <f>IF(HR_Data[[#This Row],[TotalWorkingYears]]&lt;=5,"0-5 Yrs",IF(HR_Data[[#This Row],[TotalWorkingYears]]&lt;=10,"6-10 Yrs",IF(HR_Data[[#This Row],[TotalWorkingYears]]&lt;=20,"11-20 Yrs","20+ Yrs")))</f>
        <v>0-5 Yrs</v>
      </c>
      <c r="AT418" s="1">
        <f>IF(HR_Data[[#This Row],[TotalWorkingYears]]&lt;=5,1,IF(HR_Data[[#This Row],[TotalWorkingYears]]&lt;=10,2,IF(HR_Data[[#This Row],[TotalWorkingYears]]&lt;=20,3,4)))</f>
        <v>1</v>
      </c>
    </row>
    <row r="419" spans="1:46" x14ac:dyDescent="0.25">
      <c r="A419">
        <v>40</v>
      </c>
      <c r="B419" t="s">
        <v>36</v>
      </c>
      <c r="C419" t="s">
        <v>30</v>
      </c>
      <c r="D419" t="s">
        <v>31</v>
      </c>
      <c r="E419">
        <v>2</v>
      </c>
      <c r="F419">
        <v>4</v>
      </c>
      <c r="G419" t="s">
        <v>32</v>
      </c>
      <c r="H419">
        <v>558</v>
      </c>
      <c r="I419">
        <v>3</v>
      </c>
      <c r="J419" t="s">
        <v>33</v>
      </c>
      <c r="K419">
        <v>3</v>
      </c>
      <c r="L419">
        <v>5</v>
      </c>
      <c r="M419" t="s">
        <v>49</v>
      </c>
      <c r="N419">
        <v>3</v>
      </c>
      <c r="O419" t="s">
        <v>41</v>
      </c>
      <c r="P419">
        <v>18041</v>
      </c>
      <c r="Q419">
        <v>0</v>
      </c>
      <c r="R419" t="s">
        <v>36</v>
      </c>
      <c r="S419">
        <v>14</v>
      </c>
      <c r="T419">
        <v>3</v>
      </c>
      <c r="U419">
        <v>4</v>
      </c>
      <c r="V419">
        <v>0</v>
      </c>
      <c r="W419">
        <v>21</v>
      </c>
      <c r="X419">
        <v>2</v>
      </c>
      <c r="Y419">
        <v>3</v>
      </c>
      <c r="Z419">
        <v>20</v>
      </c>
      <c r="AA419">
        <v>15</v>
      </c>
      <c r="AB419">
        <v>1</v>
      </c>
      <c r="AC419">
        <v>12</v>
      </c>
      <c r="AD419">
        <f>IF(HR_Data[[#This Row],[Attrition]]="Yes",1,0)</f>
        <v>0</v>
      </c>
      <c r="AE419" t="str">
        <f>IF(HR_Data[[#This Row],[Age]]&lt;=25,"18-25",IF(HR_Data[[#This Row],[Age]]&lt;=35,"26-35",IF(HR_Data[[#This Row],[Age]]&lt;=45,"36-45",IF(HR_Data[[#This Row],[Age]]&lt;=55,"46-55","55+"))))</f>
        <v>36-45</v>
      </c>
      <c r="AF419">
        <f>IF(HR_Data[[#This Row],[Age]]&lt;=25,1,IF(HR_Data[[#This Row],[Age]]&lt;=35,2,IF(HR_Data[[#This Row],[Age]]&lt;=45,3,IF(HR_Data[[#This Row],[Age]]&lt;=55,4,5))))</f>
        <v>3</v>
      </c>
      <c r="AG419" s="1" t="str">
        <f>IF(HR_Data[[#This Row],[MonthlyIncome]]&lt;3000,"&lt;3K",IF(HR_Data[[#This Row],[MonthlyIncome]]&lt;6000,"3K-6K",IF(HR_Data[[#This Row],[MonthlyIncome]]&lt;10000,"6K-10K","10K+")))</f>
        <v>10K+</v>
      </c>
      <c r="AH419" s="1">
        <f>IF(HR_Data[[#This Row],[MonthlyIncome]]&lt;3000,1,IF(HR_Data[[#This Row],[MonthlyIncome]]&lt;6000,2,IF(HR_Data[[#This Row],[MonthlyIncome]]&lt;10000,3,4)))</f>
        <v>4</v>
      </c>
      <c r="AI419" s="1" t="str">
        <f>IF(HR_Data[[#This Row],[YearsAtCompany]]&lt;=2,"0-2 Yrs",IF(HR_Data[[#This Row],[YearsAtCompany]]&lt;=5,"3-5 Yrs",IF(HR_Data[[#This Row],[YearsAtCompany]]&lt;=10,"6-10 Yrs","10+ Yrs")))</f>
        <v>10+ Yrs</v>
      </c>
      <c r="AJ419" s="1">
        <f>IF(HR_Data[[#This Row],[YearsAtCompany]]&lt;=2,1,IF(HR_Data[[#This Row],[YearsAtCompany]]&lt;=5,2,IF(HR_Data[[#This Row],[YearsAtCompany]]&lt;=10,3,4)))</f>
        <v>4</v>
      </c>
      <c r="AK419" s="1" t="str">
        <f>CHOOSE(HR_Data[[#This Row],[Education]],"Below College","College","Bachelor","Master","Doctor")</f>
        <v>Master</v>
      </c>
      <c r="AL419" s="1" t="str">
        <f>CHOOSE(HR_Data[[#This Row],[JobSatisfaction]],"Low","Medium","High","Very High")</f>
        <v>High</v>
      </c>
      <c r="AM419" s="1" t="str">
        <f>CHOOSE(HR_Data[[#This Row],[EnvironmentSatisfaction]],"Low","Medium","High","Very High")</f>
        <v>High</v>
      </c>
      <c r="AN419" s="1" t="str">
        <f>CHOOSE(HR_Data[[#This Row],[WorkLifeBalance]],"Bad","Good","Better","Best")</f>
        <v>Better</v>
      </c>
      <c r="AO419" s="1" t="str">
        <f>IF(HR_Data[[#This Row],[PercentSalaryHike]]&lt;=13,"11-13%",IF(HR_Data[[#This Row],[PercentSalaryHike]]&lt;=16,"14-16%",IF(HR_Data[[#This Row],[PercentSalaryHike]]&lt;=19,"17-19%","20-25%")))</f>
        <v>14-16%</v>
      </c>
      <c r="AP419" s="1">
        <f>IF(HR_Data[[#This Row],[PercentSalaryHike]]&lt;=13,1,IF(HR_Data[[#This Row],[PercentSalaryHike]]&lt;=16,2,IF(HR_Data[[#This Row],[PercentSalaryHike]]&lt;=19,3,4)))</f>
        <v>2</v>
      </c>
      <c r="AQ419" s="1" t="str">
        <f>IF(HR_Data[[#This Row],[DistanceFromHome]]&lt;=5,"1 to 5",IF(HR_Data[[#This Row],[DistanceFromHome]]&lt;=10,"6 to 10",IF(HR_Data[[#This Row],[DistanceFromHome]]&lt;=20,"11 to 20","21 to 29")))</f>
        <v>1 to 5</v>
      </c>
      <c r="AR419" s="1">
        <f>IF(HR_Data[[#This Row],[DistanceFromHome]]&lt;=5,1,IF(HR_Data[[#This Row],[DistanceFromHome]]&lt;=10,2,IF(HR_Data[[#This Row],[DistanceFromHome]]&lt;=20,3,4)))</f>
        <v>1</v>
      </c>
      <c r="AS419" s="1" t="str">
        <f>IF(HR_Data[[#This Row],[TotalWorkingYears]]&lt;=5,"0-5 Yrs",IF(HR_Data[[#This Row],[TotalWorkingYears]]&lt;=10,"6-10 Yrs",IF(HR_Data[[#This Row],[TotalWorkingYears]]&lt;=20,"11-20 Yrs","20+ Yrs")))</f>
        <v>20+ Yrs</v>
      </c>
      <c r="AT419" s="1">
        <f>IF(HR_Data[[#This Row],[TotalWorkingYears]]&lt;=5,1,IF(HR_Data[[#This Row],[TotalWorkingYears]]&lt;=10,2,IF(HR_Data[[#This Row],[TotalWorkingYears]]&lt;=20,3,4)))</f>
        <v>4</v>
      </c>
    </row>
    <row r="420" spans="1:46" x14ac:dyDescent="0.25">
      <c r="A420">
        <v>26</v>
      </c>
      <c r="B420" t="s">
        <v>36</v>
      </c>
      <c r="C420" t="s">
        <v>30</v>
      </c>
      <c r="D420" t="s">
        <v>38</v>
      </c>
      <c r="E420">
        <v>23</v>
      </c>
      <c r="F420">
        <v>3</v>
      </c>
      <c r="G420" t="s">
        <v>32</v>
      </c>
      <c r="H420">
        <v>560</v>
      </c>
      <c r="I420">
        <v>1</v>
      </c>
      <c r="J420" t="s">
        <v>33</v>
      </c>
      <c r="K420">
        <v>3</v>
      </c>
      <c r="L420">
        <v>1</v>
      </c>
      <c r="M420" t="s">
        <v>40</v>
      </c>
      <c r="N420">
        <v>4</v>
      </c>
      <c r="O420" t="s">
        <v>45</v>
      </c>
      <c r="P420">
        <v>2886</v>
      </c>
      <c r="Q420">
        <v>1</v>
      </c>
      <c r="R420" t="s">
        <v>36</v>
      </c>
      <c r="S420">
        <v>22</v>
      </c>
      <c r="T420">
        <v>4</v>
      </c>
      <c r="U420">
        <v>2</v>
      </c>
      <c r="V420">
        <v>2</v>
      </c>
      <c r="W420">
        <v>3</v>
      </c>
      <c r="X420">
        <v>3</v>
      </c>
      <c r="Y420">
        <v>1</v>
      </c>
      <c r="Z420">
        <v>3</v>
      </c>
      <c r="AA420">
        <v>2</v>
      </c>
      <c r="AB420">
        <v>0</v>
      </c>
      <c r="AC420">
        <v>2</v>
      </c>
      <c r="AD420">
        <f>IF(HR_Data[[#This Row],[Attrition]]="Yes",1,0)</f>
        <v>0</v>
      </c>
      <c r="AE420" t="str">
        <f>IF(HR_Data[[#This Row],[Age]]&lt;=25,"18-25",IF(HR_Data[[#This Row],[Age]]&lt;=35,"26-35",IF(HR_Data[[#This Row],[Age]]&lt;=45,"36-45",IF(HR_Data[[#This Row],[Age]]&lt;=55,"46-55","55+"))))</f>
        <v>26-35</v>
      </c>
      <c r="AF420">
        <f>IF(HR_Data[[#This Row],[Age]]&lt;=25,1,IF(HR_Data[[#This Row],[Age]]&lt;=35,2,IF(HR_Data[[#This Row],[Age]]&lt;=45,3,IF(HR_Data[[#This Row],[Age]]&lt;=55,4,5))))</f>
        <v>2</v>
      </c>
      <c r="AG420" s="1" t="str">
        <f>IF(HR_Data[[#This Row],[MonthlyIncome]]&lt;3000,"&lt;3K",IF(HR_Data[[#This Row],[MonthlyIncome]]&lt;6000,"3K-6K",IF(HR_Data[[#This Row],[MonthlyIncome]]&lt;10000,"6K-10K","10K+")))</f>
        <v>&lt;3K</v>
      </c>
      <c r="AH420" s="1">
        <f>IF(HR_Data[[#This Row],[MonthlyIncome]]&lt;3000,1,IF(HR_Data[[#This Row],[MonthlyIncome]]&lt;6000,2,IF(HR_Data[[#This Row],[MonthlyIncome]]&lt;10000,3,4)))</f>
        <v>1</v>
      </c>
      <c r="AI420" s="1" t="str">
        <f>IF(HR_Data[[#This Row],[YearsAtCompany]]&lt;=2,"0-2 Yrs",IF(HR_Data[[#This Row],[YearsAtCompany]]&lt;=5,"3-5 Yrs",IF(HR_Data[[#This Row],[YearsAtCompany]]&lt;=10,"6-10 Yrs","10+ Yrs")))</f>
        <v>3-5 Yrs</v>
      </c>
      <c r="AJ420" s="1">
        <f>IF(HR_Data[[#This Row],[YearsAtCompany]]&lt;=2,1,IF(HR_Data[[#This Row],[YearsAtCompany]]&lt;=5,2,IF(HR_Data[[#This Row],[YearsAtCompany]]&lt;=10,3,4)))</f>
        <v>2</v>
      </c>
      <c r="AK420" s="1" t="str">
        <f>CHOOSE(HR_Data[[#This Row],[Education]],"Below College","College","Bachelor","Master","Doctor")</f>
        <v>Bachelor</v>
      </c>
      <c r="AL420" s="1" t="str">
        <f>CHOOSE(HR_Data[[#This Row],[JobSatisfaction]],"Low","Medium","High","Very High")</f>
        <v>Very High</v>
      </c>
      <c r="AM420" s="1" t="str">
        <f>CHOOSE(HR_Data[[#This Row],[EnvironmentSatisfaction]],"Low","Medium","High","Very High")</f>
        <v>Low</v>
      </c>
      <c r="AN420" s="1" t="str">
        <f>CHOOSE(HR_Data[[#This Row],[WorkLifeBalance]],"Bad","Good","Better","Best")</f>
        <v>Bad</v>
      </c>
      <c r="AO420" s="1" t="str">
        <f>IF(HR_Data[[#This Row],[PercentSalaryHike]]&lt;=13,"11-13%",IF(HR_Data[[#This Row],[PercentSalaryHike]]&lt;=16,"14-16%",IF(HR_Data[[#This Row],[PercentSalaryHike]]&lt;=19,"17-19%","20-25%")))</f>
        <v>20-25%</v>
      </c>
      <c r="AP420" s="1">
        <f>IF(HR_Data[[#This Row],[PercentSalaryHike]]&lt;=13,1,IF(HR_Data[[#This Row],[PercentSalaryHike]]&lt;=16,2,IF(HR_Data[[#This Row],[PercentSalaryHike]]&lt;=19,3,4)))</f>
        <v>4</v>
      </c>
      <c r="AQ420" s="1" t="str">
        <f>IF(HR_Data[[#This Row],[DistanceFromHome]]&lt;=5,"1 to 5",IF(HR_Data[[#This Row],[DistanceFromHome]]&lt;=10,"6 to 10",IF(HR_Data[[#This Row],[DistanceFromHome]]&lt;=20,"11 to 20","21 to 29")))</f>
        <v>21 to 29</v>
      </c>
      <c r="AR420" s="1">
        <f>IF(HR_Data[[#This Row],[DistanceFromHome]]&lt;=5,1,IF(HR_Data[[#This Row],[DistanceFromHome]]&lt;=10,2,IF(HR_Data[[#This Row],[DistanceFromHome]]&lt;=20,3,4)))</f>
        <v>4</v>
      </c>
      <c r="AS420" s="1" t="str">
        <f>IF(HR_Data[[#This Row],[TotalWorkingYears]]&lt;=5,"0-5 Yrs",IF(HR_Data[[#This Row],[TotalWorkingYears]]&lt;=10,"6-10 Yrs",IF(HR_Data[[#This Row],[TotalWorkingYears]]&lt;=20,"11-20 Yrs","20+ Yrs")))</f>
        <v>0-5 Yrs</v>
      </c>
      <c r="AT420" s="1">
        <f>IF(HR_Data[[#This Row],[TotalWorkingYears]]&lt;=5,1,IF(HR_Data[[#This Row],[TotalWorkingYears]]&lt;=10,2,IF(HR_Data[[#This Row],[TotalWorkingYears]]&lt;=20,3,4)))</f>
        <v>1</v>
      </c>
    </row>
    <row r="421" spans="1:46" x14ac:dyDescent="0.25">
      <c r="A421">
        <v>30</v>
      </c>
      <c r="B421" t="s">
        <v>36</v>
      </c>
      <c r="C421" t="s">
        <v>48</v>
      </c>
      <c r="D421" t="s">
        <v>38</v>
      </c>
      <c r="E421">
        <v>3</v>
      </c>
      <c r="F421">
        <v>3</v>
      </c>
      <c r="G421" t="s">
        <v>32</v>
      </c>
      <c r="H421">
        <v>562</v>
      </c>
      <c r="I421">
        <v>3</v>
      </c>
      <c r="J421" t="s">
        <v>39</v>
      </c>
      <c r="K421">
        <v>3</v>
      </c>
      <c r="L421">
        <v>1</v>
      </c>
      <c r="M421" t="s">
        <v>43</v>
      </c>
      <c r="N421">
        <v>4</v>
      </c>
      <c r="O421" t="s">
        <v>41</v>
      </c>
      <c r="P421">
        <v>2097</v>
      </c>
      <c r="Q421">
        <v>4</v>
      </c>
      <c r="R421" t="s">
        <v>36</v>
      </c>
      <c r="S421">
        <v>15</v>
      </c>
      <c r="T421">
        <v>3</v>
      </c>
      <c r="U421">
        <v>3</v>
      </c>
      <c r="V421">
        <v>1</v>
      </c>
      <c r="W421">
        <v>9</v>
      </c>
      <c r="X421">
        <v>3</v>
      </c>
      <c r="Y421">
        <v>1</v>
      </c>
      <c r="Z421">
        <v>5</v>
      </c>
      <c r="AA421">
        <v>3</v>
      </c>
      <c r="AB421">
        <v>1</v>
      </c>
      <c r="AC421">
        <v>4</v>
      </c>
      <c r="AD421">
        <f>IF(HR_Data[[#This Row],[Attrition]]="Yes",1,0)</f>
        <v>0</v>
      </c>
      <c r="AE421" t="str">
        <f>IF(HR_Data[[#This Row],[Age]]&lt;=25,"18-25",IF(HR_Data[[#This Row],[Age]]&lt;=35,"26-35",IF(HR_Data[[#This Row],[Age]]&lt;=45,"36-45",IF(HR_Data[[#This Row],[Age]]&lt;=55,"46-55","55+"))))</f>
        <v>26-35</v>
      </c>
      <c r="AF421">
        <f>IF(HR_Data[[#This Row],[Age]]&lt;=25,1,IF(HR_Data[[#This Row],[Age]]&lt;=35,2,IF(HR_Data[[#This Row],[Age]]&lt;=45,3,IF(HR_Data[[#This Row],[Age]]&lt;=55,4,5))))</f>
        <v>2</v>
      </c>
      <c r="AG421" s="1" t="str">
        <f>IF(HR_Data[[#This Row],[MonthlyIncome]]&lt;3000,"&lt;3K",IF(HR_Data[[#This Row],[MonthlyIncome]]&lt;6000,"3K-6K",IF(HR_Data[[#This Row],[MonthlyIncome]]&lt;10000,"6K-10K","10K+")))</f>
        <v>&lt;3K</v>
      </c>
      <c r="AH421" s="1">
        <f>IF(HR_Data[[#This Row],[MonthlyIncome]]&lt;3000,1,IF(HR_Data[[#This Row],[MonthlyIncome]]&lt;6000,2,IF(HR_Data[[#This Row],[MonthlyIncome]]&lt;10000,3,4)))</f>
        <v>1</v>
      </c>
      <c r="AI421" s="1" t="str">
        <f>IF(HR_Data[[#This Row],[YearsAtCompany]]&lt;=2,"0-2 Yrs",IF(HR_Data[[#This Row],[YearsAtCompany]]&lt;=5,"3-5 Yrs",IF(HR_Data[[#This Row],[YearsAtCompany]]&lt;=10,"6-10 Yrs","10+ Yrs")))</f>
        <v>3-5 Yrs</v>
      </c>
      <c r="AJ421" s="1">
        <f>IF(HR_Data[[#This Row],[YearsAtCompany]]&lt;=2,1,IF(HR_Data[[#This Row],[YearsAtCompany]]&lt;=5,2,IF(HR_Data[[#This Row],[YearsAtCompany]]&lt;=10,3,4)))</f>
        <v>2</v>
      </c>
      <c r="AK421" s="1" t="str">
        <f>CHOOSE(HR_Data[[#This Row],[Education]],"Below College","College","Bachelor","Master","Doctor")</f>
        <v>Bachelor</v>
      </c>
      <c r="AL421" s="1" t="str">
        <f>CHOOSE(HR_Data[[#This Row],[JobSatisfaction]],"Low","Medium","High","Very High")</f>
        <v>Very High</v>
      </c>
      <c r="AM421" s="1" t="str">
        <f>CHOOSE(HR_Data[[#This Row],[EnvironmentSatisfaction]],"Low","Medium","High","Very High")</f>
        <v>High</v>
      </c>
      <c r="AN421" s="1" t="str">
        <f>CHOOSE(HR_Data[[#This Row],[WorkLifeBalance]],"Bad","Good","Better","Best")</f>
        <v>Bad</v>
      </c>
      <c r="AO421" s="1" t="str">
        <f>IF(HR_Data[[#This Row],[PercentSalaryHike]]&lt;=13,"11-13%",IF(HR_Data[[#This Row],[PercentSalaryHike]]&lt;=16,"14-16%",IF(HR_Data[[#This Row],[PercentSalaryHike]]&lt;=19,"17-19%","20-25%")))</f>
        <v>14-16%</v>
      </c>
      <c r="AP421" s="1">
        <f>IF(HR_Data[[#This Row],[PercentSalaryHike]]&lt;=13,1,IF(HR_Data[[#This Row],[PercentSalaryHike]]&lt;=16,2,IF(HR_Data[[#This Row],[PercentSalaryHike]]&lt;=19,3,4)))</f>
        <v>2</v>
      </c>
      <c r="AQ421" s="1" t="str">
        <f>IF(HR_Data[[#This Row],[DistanceFromHome]]&lt;=5,"1 to 5",IF(HR_Data[[#This Row],[DistanceFromHome]]&lt;=10,"6 to 10",IF(HR_Data[[#This Row],[DistanceFromHome]]&lt;=20,"11 to 20","21 to 29")))</f>
        <v>1 to 5</v>
      </c>
      <c r="AR421" s="1">
        <f>IF(HR_Data[[#This Row],[DistanceFromHome]]&lt;=5,1,IF(HR_Data[[#This Row],[DistanceFromHome]]&lt;=10,2,IF(HR_Data[[#This Row],[DistanceFromHome]]&lt;=20,3,4)))</f>
        <v>1</v>
      </c>
      <c r="AS421" s="1" t="str">
        <f>IF(HR_Data[[#This Row],[TotalWorkingYears]]&lt;=5,"0-5 Yrs",IF(HR_Data[[#This Row],[TotalWorkingYears]]&lt;=10,"6-10 Yrs",IF(HR_Data[[#This Row],[TotalWorkingYears]]&lt;=20,"11-20 Yrs","20+ Yrs")))</f>
        <v>6-10 Yrs</v>
      </c>
      <c r="AT421" s="1">
        <f>IF(HR_Data[[#This Row],[TotalWorkingYears]]&lt;=5,1,IF(HR_Data[[#This Row],[TotalWorkingYears]]&lt;=10,2,IF(HR_Data[[#This Row],[TotalWorkingYears]]&lt;=20,3,4)))</f>
        <v>2</v>
      </c>
    </row>
    <row r="422" spans="1:46" x14ac:dyDescent="0.25">
      <c r="A422">
        <v>29</v>
      </c>
      <c r="B422" t="s">
        <v>36</v>
      </c>
      <c r="C422" t="s">
        <v>30</v>
      </c>
      <c r="D422" t="s">
        <v>38</v>
      </c>
      <c r="E422">
        <v>3</v>
      </c>
      <c r="F422">
        <v>4</v>
      </c>
      <c r="G422" t="s">
        <v>44</v>
      </c>
      <c r="H422">
        <v>564</v>
      </c>
      <c r="I422">
        <v>2</v>
      </c>
      <c r="J422" t="s">
        <v>39</v>
      </c>
      <c r="K422">
        <v>2</v>
      </c>
      <c r="L422">
        <v>3</v>
      </c>
      <c r="M422" t="s">
        <v>51</v>
      </c>
      <c r="N422">
        <v>3</v>
      </c>
      <c r="O422" t="s">
        <v>41</v>
      </c>
      <c r="P422">
        <v>11935</v>
      </c>
      <c r="Q422">
        <v>1</v>
      </c>
      <c r="R422" t="s">
        <v>36</v>
      </c>
      <c r="S422">
        <v>18</v>
      </c>
      <c r="T422">
        <v>3</v>
      </c>
      <c r="U422">
        <v>3</v>
      </c>
      <c r="V422">
        <v>0</v>
      </c>
      <c r="W422">
        <v>10</v>
      </c>
      <c r="X422">
        <v>2</v>
      </c>
      <c r="Y422">
        <v>3</v>
      </c>
      <c r="Z422">
        <v>10</v>
      </c>
      <c r="AA422">
        <v>2</v>
      </c>
      <c r="AB422">
        <v>0</v>
      </c>
      <c r="AC422">
        <v>7</v>
      </c>
      <c r="AD422">
        <f>IF(HR_Data[[#This Row],[Attrition]]="Yes",1,0)</f>
        <v>0</v>
      </c>
      <c r="AE422" t="str">
        <f>IF(HR_Data[[#This Row],[Age]]&lt;=25,"18-25",IF(HR_Data[[#This Row],[Age]]&lt;=35,"26-35",IF(HR_Data[[#This Row],[Age]]&lt;=45,"36-45",IF(HR_Data[[#This Row],[Age]]&lt;=55,"46-55","55+"))))</f>
        <v>26-35</v>
      </c>
      <c r="AF422">
        <f>IF(HR_Data[[#This Row],[Age]]&lt;=25,1,IF(HR_Data[[#This Row],[Age]]&lt;=35,2,IF(HR_Data[[#This Row],[Age]]&lt;=45,3,IF(HR_Data[[#This Row],[Age]]&lt;=55,4,5))))</f>
        <v>2</v>
      </c>
      <c r="AG422" s="1" t="str">
        <f>IF(HR_Data[[#This Row],[MonthlyIncome]]&lt;3000,"&lt;3K",IF(HR_Data[[#This Row],[MonthlyIncome]]&lt;6000,"3K-6K",IF(HR_Data[[#This Row],[MonthlyIncome]]&lt;10000,"6K-10K","10K+")))</f>
        <v>10K+</v>
      </c>
      <c r="AH422" s="1">
        <f>IF(HR_Data[[#This Row],[MonthlyIncome]]&lt;3000,1,IF(HR_Data[[#This Row],[MonthlyIncome]]&lt;6000,2,IF(HR_Data[[#This Row],[MonthlyIncome]]&lt;10000,3,4)))</f>
        <v>4</v>
      </c>
      <c r="AI422" s="1" t="str">
        <f>IF(HR_Data[[#This Row],[YearsAtCompany]]&lt;=2,"0-2 Yrs",IF(HR_Data[[#This Row],[YearsAtCompany]]&lt;=5,"3-5 Yrs",IF(HR_Data[[#This Row],[YearsAtCompany]]&lt;=10,"6-10 Yrs","10+ Yrs")))</f>
        <v>6-10 Yrs</v>
      </c>
      <c r="AJ422" s="1">
        <f>IF(HR_Data[[#This Row],[YearsAtCompany]]&lt;=2,1,IF(HR_Data[[#This Row],[YearsAtCompany]]&lt;=5,2,IF(HR_Data[[#This Row],[YearsAtCompany]]&lt;=10,3,4)))</f>
        <v>3</v>
      </c>
      <c r="AK422" s="1" t="str">
        <f>CHOOSE(HR_Data[[#This Row],[Education]],"Below College","College","Bachelor","Master","Doctor")</f>
        <v>Master</v>
      </c>
      <c r="AL422" s="1" t="str">
        <f>CHOOSE(HR_Data[[#This Row],[JobSatisfaction]],"Low","Medium","High","Very High")</f>
        <v>High</v>
      </c>
      <c r="AM422" s="1" t="str">
        <f>CHOOSE(HR_Data[[#This Row],[EnvironmentSatisfaction]],"Low","Medium","High","Very High")</f>
        <v>Medium</v>
      </c>
      <c r="AN422" s="1" t="str">
        <f>CHOOSE(HR_Data[[#This Row],[WorkLifeBalance]],"Bad","Good","Better","Best")</f>
        <v>Better</v>
      </c>
      <c r="AO422" s="1" t="str">
        <f>IF(HR_Data[[#This Row],[PercentSalaryHike]]&lt;=13,"11-13%",IF(HR_Data[[#This Row],[PercentSalaryHike]]&lt;=16,"14-16%",IF(HR_Data[[#This Row],[PercentSalaryHike]]&lt;=19,"17-19%","20-25%")))</f>
        <v>17-19%</v>
      </c>
      <c r="AP422" s="1">
        <f>IF(HR_Data[[#This Row],[PercentSalaryHike]]&lt;=13,1,IF(HR_Data[[#This Row],[PercentSalaryHike]]&lt;=16,2,IF(HR_Data[[#This Row],[PercentSalaryHike]]&lt;=19,3,4)))</f>
        <v>3</v>
      </c>
      <c r="AQ422" s="1" t="str">
        <f>IF(HR_Data[[#This Row],[DistanceFromHome]]&lt;=5,"1 to 5",IF(HR_Data[[#This Row],[DistanceFromHome]]&lt;=10,"6 to 10",IF(HR_Data[[#This Row],[DistanceFromHome]]&lt;=20,"11 to 20","21 to 29")))</f>
        <v>1 to 5</v>
      </c>
      <c r="AR422" s="1">
        <f>IF(HR_Data[[#This Row],[DistanceFromHome]]&lt;=5,1,IF(HR_Data[[#This Row],[DistanceFromHome]]&lt;=10,2,IF(HR_Data[[#This Row],[DistanceFromHome]]&lt;=20,3,4)))</f>
        <v>1</v>
      </c>
      <c r="AS422" s="1" t="str">
        <f>IF(HR_Data[[#This Row],[TotalWorkingYears]]&lt;=5,"0-5 Yrs",IF(HR_Data[[#This Row],[TotalWorkingYears]]&lt;=10,"6-10 Yrs",IF(HR_Data[[#This Row],[TotalWorkingYears]]&lt;=20,"11-20 Yrs","20+ Yrs")))</f>
        <v>6-10 Yrs</v>
      </c>
      <c r="AT422" s="1">
        <f>IF(HR_Data[[#This Row],[TotalWorkingYears]]&lt;=5,1,IF(HR_Data[[#This Row],[TotalWorkingYears]]&lt;=10,2,IF(HR_Data[[#This Row],[TotalWorkingYears]]&lt;=20,3,4)))</f>
        <v>2</v>
      </c>
    </row>
    <row r="423" spans="1:46" x14ac:dyDescent="0.25">
      <c r="A423">
        <v>29</v>
      </c>
      <c r="B423" t="s">
        <v>29</v>
      </c>
      <c r="C423" t="s">
        <v>30</v>
      </c>
      <c r="D423" t="s">
        <v>38</v>
      </c>
      <c r="E423">
        <v>25</v>
      </c>
      <c r="F423">
        <v>5</v>
      </c>
      <c r="G423" t="s">
        <v>53</v>
      </c>
      <c r="H423">
        <v>565</v>
      </c>
      <c r="I423">
        <v>3</v>
      </c>
      <c r="J423" t="s">
        <v>33</v>
      </c>
      <c r="K423">
        <v>2</v>
      </c>
      <c r="L423">
        <v>1</v>
      </c>
      <c r="M423" t="s">
        <v>40</v>
      </c>
      <c r="N423">
        <v>2</v>
      </c>
      <c r="O423" t="s">
        <v>41</v>
      </c>
      <c r="P423">
        <v>2546</v>
      </c>
      <c r="Q423">
        <v>5</v>
      </c>
      <c r="R423" t="s">
        <v>36</v>
      </c>
      <c r="S423">
        <v>16</v>
      </c>
      <c r="T423">
        <v>3</v>
      </c>
      <c r="U423">
        <v>2</v>
      </c>
      <c r="V423">
        <v>0</v>
      </c>
      <c r="W423">
        <v>6</v>
      </c>
      <c r="X423">
        <v>2</v>
      </c>
      <c r="Y423">
        <v>4</v>
      </c>
      <c r="Z423">
        <v>2</v>
      </c>
      <c r="AA423">
        <v>2</v>
      </c>
      <c r="AB423">
        <v>1</v>
      </c>
      <c r="AC423">
        <v>1</v>
      </c>
      <c r="AD423">
        <f>IF(HR_Data[[#This Row],[Attrition]]="Yes",1,0)</f>
        <v>1</v>
      </c>
      <c r="AE423" t="str">
        <f>IF(HR_Data[[#This Row],[Age]]&lt;=25,"18-25",IF(HR_Data[[#This Row],[Age]]&lt;=35,"26-35",IF(HR_Data[[#This Row],[Age]]&lt;=45,"36-45",IF(HR_Data[[#This Row],[Age]]&lt;=55,"46-55","55+"))))</f>
        <v>26-35</v>
      </c>
      <c r="AF423">
        <f>IF(HR_Data[[#This Row],[Age]]&lt;=25,1,IF(HR_Data[[#This Row],[Age]]&lt;=35,2,IF(HR_Data[[#This Row],[Age]]&lt;=45,3,IF(HR_Data[[#This Row],[Age]]&lt;=55,4,5))))</f>
        <v>2</v>
      </c>
      <c r="AG423" s="1" t="str">
        <f>IF(HR_Data[[#This Row],[MonthlyIncome]]&lt;3000,"&lt;3K",IF(HR_Data[[#This Row],[MonthlyIncome]]&lt;6000,"3K-6K",IF(HR_Data[[#This Row],[MonthlyIncome]]&lt;10000,"6K-10K","10K+")))</f>
        <v>&lt;3K</v>
      </c>
      <c r="AH423" s="1">
        <f>IF(HR_Data[[#This Row],[MonthlyIncome]]&lt;3000,1,IF(HR_Data[[#This Row],[MonthlyIncome]]&lt;6000,2,IF(HR_Data[[#This Row],[MonthlyIncome]]&lt;10000,3,4)))</f>
        <v>1</v>
      </c>
      <c r="AI423" s="1" t="str">
        <f>IF(HR_Data[[#This Row],[YearsAtCompany]]&lt;=2,"0-2 Yrs",IF(HR_Data[[#This Row],[YearsAtCompany]]&lt;=5,"3-5 Yrs",IF(HR_Data[[#This Row],[YearsAtCompany]]&lt;=10,"6-10 Yrs","10+ Yrs")))</f>
        <v>0-2 Yrs</v>
      </c>
      <c r="AJ423" s="1">
        <f>IF(HR_Data[[#This Row],[YearsAtCompany]]&lt;=2,1,IF(HR_Data[[#This Row],[YearsAtCompany]]&lt;=5,2,IF(HR_Data[[#This Row],[YearsAtCompany]]&lt;=10,3,4)))</f>
        <v>1</v>
      </c>
      <c r="AK423" s="1" t="str">
        <f>CHOOSE(HR_Data[[#This Row],[Education]],"Below College","College","Bachelor","Master","Doctor")</f>
        <v>Doctor</v>
      </c>
      <c r="AL423" s="1" t="str">
        <f>CHOOSE(HR_Data[[#This Row],[JobSatisfaction]],"Low","Medium","High","Very High")</f>
        <v>Medium</v>
      </c>
      <c r="AM423" s="1" t="str">
        <f>CHOOSE(HR_Data[[#This Row],[EnvironmentSatisfaction]],"Low","Medium","High","Very High")</f>
        <v>High</v>
      </c>
      <c r="AN423" s="1" t="str">
        <f>CHOOSE(HR_Data[[#This Row],[WorkLifeBalance]],"Bad","Good","Better","Best")</f>
        <v>Best</v>
      </c>
      <c r="AO423" s="1" t="str">
        <f>IF(HR_Data[[#This Row],[PercentSalaryHike]]&lt;=13,"11-13%",IF(HR_Data[[#This Row],[PercentSalaryHike]]&lt;=16,"14-16%",IF(HR_Data[[#This Row],[PercentSalaryHike]]&lt;=19,"17-19%","20-25%")))</f>
        <v>14-16%</v>
      </c>
      <c r="AP423" s="1">
        <f>IF(HR_Data[[#This Row],[PercentSalaryHike]]&lt;=13,1,IF(HR_Data[[#This Row],[PercentSalaryHike]]&lt;=16,2,IF(HR_Data[[#This Row],[PercentSalaryHike]]&lt;=19,3,4)))</f>
        <v>2</v>
      </c>
      <c r="AQ423" s="1" t="str">
        <f>IF(HR_Data[[#This Row],[DistanceFromHome]]&lt;=5,"1 to 5",IF(HR_Data[[#This Row],[DistanceFromHome]]&lt;=10,"6 to 10",IF(HR_Data[[#This Row],[DistanceFromHome]]&lt;=20,"11 to 20","21 to 29")))</f>
        <v>21 to 29</v>
      </c>
      <c r="AR423" s="1">
        <f>IF(HR_Data[[#This Row],[DistanceFromHome]]&lt;=5,1,IF(HR_Data[[#This Row],[DistanceFromHome]]&lt;=10,2,IF(HR_Data[[#This Row],[DistanceFromHome]]&lt;=20,3,4)))</f>
        <v>4</v>
      </c>
      <c r="AS423" s="1" t="str">
        <f>IF(HR_Data[[#This Row],[TotalWorkingYears]]&lt;=5,"0-5 Yrs",IF(HR_Data[[#This Row],[TotalWorkingYears]]&lt;=10,"6-10 Yrs",IF(HR_Data[[#This Row],[TotalWorkingYears]]&lt;=20,"11-20 Yrs","20+ Yrs")))</f>
        <v>6-10 Yrs</v>
      </c>
      <c r="AT423" s="1">
        <f>IF(HR_Data[[#This Row],[TotalWorkingYears]]&lt;=5,1,IF(HR_Data[[#This Row],[TotalWorkingYears]]&lt;=10,2,IF(HR_Data[[#This Row],[TotalWorkingYears]]&lt;=20,3,4)))</f>
        <v>2</v>
      </c>
    </row>
    <row r="424" spans="1:46" x14ac:dyDescent="0.25">
      <c r="A424">
        <v>19</v>
      </c>
      <c r="B424" t="s">
        <v>29</v>
      </c>
      <c r="C424" t="s">
        <v>30</v>
      </c>
      <c r="D424" t="s">
        <v>54</v>
      </c>
      <c r="E424">
        <v>2</v>
      </c>
      <c r="F424">
        <v>2</v>
      </c>
      <c r="G424" t="s">
        <v>53</v>
      </c>
      <c r="H424">
        <v>566</v>
      </c>
      <c r="I424">
        <v>1</v>
      </c>
      <c r="J424" t="s">
        <v>39</v>
      </c>
      <c r="K424">
        <v>2</v>
      </c>
      <c r="L424">
        <v>1</v>
      </c>
      <c r="M424" t="s">
        <v>54</v>
      </c>
      <c r="N424">
        <v>4</v>
      </c>
      <c r="O424" t="s">
        <v>35</v>
      </c>
      <c r="P424">
        <v>2564</v>
      </c>
      <c r="Q424">
        <v>1</v>
      </c>
      <c r="R424" t="s">
        <v>36</v>
      </c>
      <c r="S424">
        <v>12</v>
      </c>
      <c r="T424">
        <v>3</v>
      </c>
      <c r="U424">
        <v>3</v>
      </c>
      <c r="V424">
        <v>0</v>
      </c>
      <c r="W424">
        <v>1</v>
      </c>
      <c r="X424">
        <v>3</v>
      </c>
      <c r="Y424">
        <v>4</v>
      </c>
      <c r="Z424">
        <v>1</v>
      </c>
      <c r="AA424">
        <v>0</v>
      </c>
      <c r="AB424">
        <v>0</v>
      </c>
      <c r="AC424">
        <v>0</v>
      </c>
      <c r="AD424">
        <f>IF(HR_Data[[#This Row],[Attrition]]="Yes",1,0)</f>
        <v>1</v>
      </c>
      <c r="AE424" t="str">
        <f>IF(HR_Data[[#This Row],[Age]]&lt;=25,"18-25",IF(HR_Data[[#This Row],[Age]]&lt;=35,"26-35",IF(HR_Data[[#This Row],[Age]]&lt;=45,"36-45",IF(HR_Data[[#This Row],[Age]]&lt;=55,"46-55","55+"))))</f>
        <v>18-25</v>
      </c>
      <c r="AF424">
        <f>IF(HR_Data[[#This Row],[Age]]&lt;=25,1,IF(HR_Data[[#This Row],[Age]]&lt;=35,2,IF(HR_Data[[#This Row],[Age]]&lt;=45,3,IF(HR_Data[[#This Row],[Age]]&lt;=55,4,5))))</f>
        <v>1</v>
      </c>
      <c r="AG424" s="1" t="str">
        <f>IF(HR_Data[[#This Row],[MonthlyIncome]]&lt;3000,"&lt;3K",IF(HR_Data[[#This Row],[MonthlyIncome]]&lt;6000,"3K-6K",IF(HR_Data[[#This Row],[MonthlyIncome]]&lt;10000,"6K-10K","10K+")))</f>
        <v>&lt;3K</v>
      </c>
      <c r="AH424" s="1">
        <f>IF(HR_Data[[#This Row],[MonthlyIncome]]&lt;3000,1,IF(HR_Data[[#This Row],[MonthlyIncome]]&lt;6000,2,IF(HR_Data[[#This Row],[MonthlyIncome]]&lt;10000,3,4)))</f>
        <v>1</v>
      </c>
      <c r="AI424" s="1" t="str">
        <f>IF(HR_Data[[#This Row],[YearsAtCompany]]&lt;=2,"0-2 Yrs",IF(HR_Data[[#This Row],[YearsAtCompany]]&lt;=5,"3-5 Yrs",IF(HR_Data[[#This Row],[YearsAtCompany]]&lt;=10,"6-10 Yrs","10+ Yrs")))</f>
        <v>0-2 Yrs</v>
      </c>
      <c r="AJ424" s="1">
        <f>IF(HR_Data[[#This Row],[YearsAtCompany]]&lt;=2,1,IF(HR_Data[[#This Row],[YearsAtCompany]]&lt;=5,2,IF(HR_Data[[#This Row],[YearsAtCompany]]&lt;=10,3,4)))</f>
        <v>1</v>
      </c>
      <c r="AK424" s="1" t="str">
        <f>CHOOSE(HR_Data[[#This Row],[Education]],"Below College","College","Bachelor","Master","Doctor")</f>
        <v>College</v>
      </c>
      <c r="AL424" s="1" t="str">
        <f>CHOOSE(HR_Data[[#This Row],[JobSatisfaction]],"Low","Medium","High","Very High")</f>
        <v>Very High</v>
      </c>
      <c r="AM424" s="1" t="str">
        <f>CHOOSE(HR_Data[[#This Row],[EnvironmentSatisfaction]],"Low","Medium","High","Very High")</f>
        <v>Low</v>
      </c>
      <c r="AN424" s="1" t="str">
        <f>CHOOSE(HR_Data[[#This Row],[WorkLifeBalance]],"Bad","Good","Better","Best")</f>
        <v>Best</v>
      </c>
      <c r="AO424" s="1" t="str">
        <f>IF(HR_Data[[#This Row],[PercentSalaryHike]]&lt;=13,"11-13%",IF(HR_Data[[#This Row],[PercentSalaryHike]]&lt;=16,"14-16%",IF(HR_Data[[#This Row],[PercentSalaryHike]]&lt;=19,"17-19%","20-25%")))</f>
        <v>11-13%</v>
      </c>
      <c r="AP424" s="1">
        <f>IF(HR_Data[[#This Row],[PercentSalaryHike]]&lt;=13,1,IF(HR_Data[[#This Row],[PercentSalaryHike]]&lt;=16,2,IF(HR_Data[[#This Row],[PercentSalaryHike]]&lt;=19,3,4)))</f>
        <v>1</v>
      </c>
      <c r="AQ424" s="1" t="str">
        <f>IF(HR_Data[[#This Row],[DistanceFromHome]]&lt;=5,"1 to 5",IF(HR_Data[[#This Row],[DistanceFromHome]]&lt;=10,"6 to 10",IF(HR_Data[[#This Row],[DistanceFromHome]]&lt;=20,"11 to 20","21 to 29")))</f>
        <v>1 to 5</v>
      </c>
      <c r="AR424" s="1">
        <f>IF(HR_Data[[#This Row],[DistanceFromHome]]&lt;=5,1,IF(HR_Data[[#This Row],[DistanceFromHome]]&lt;=10,2,IF(HR_Data[[#This Row],[DistanceFromHome]]&lt;=20,3,4)))</f>
        <v>1</v>
      </c>
      <c r="AS424" s="1" t="str">
        <f>IF(HR_Data[[#This Row],[TotalWorkingYears]]&lt;=5,"0-5 Yrs",IF(HR_Data[[#This Row],[TotalWorkingYears]]&lt;=10,"6-10 Yrs",IF(HR_Data[[#This Row],[TotalWorkingYears]]&lt;=20,"11-20 Yrs","20+ Yrs")))</f>
        <v>0-5 Yrs</v>
      </c>
      <c r="AT424" s="1">
        <f>IF(HR_Data[[#This Row],[TotalWorkingYears]]&lt;=5,1,IF(HR_Data[[#This Row],[TotalWorkingYears]]&lt;=10,2,IF(HR_Data[[#This Row],[TotalWorkingYears]]&lt;=20,3,4)))</f>
        <v>1</v>
      </c>
    </row>
    <row r="425" spans="1:46" x14ac:dyDescent="0.25">
      <c r="A425">
        <v>30</v>
      </c>
      <c r="B425" t="s">
        <v>36</v>
      </c>
      <c r="C425" t="s">
        <v>48</v>
      </c>
      <c r="D425" t="s">
        <v>31</v>
      </c>
      <c r="E425">
        <v>22</v>
      </c>
      <c r="F425">
        <v>4</v>
      </c>
      <c r="G425" t="s">
        <v>42</v>
      </c>
      <c r="H425">
        <v>567</v>
      </c>
      <c r="I425">
        <v>3</v>
      </c>
      <c r="J425" t="s">
        <v>33</v>
      </c>
      <c r="K425">
        <v>3</v>
      </c>
      <c r="L425">
        <v>3</v>
      </c>
      <c r="M425" t="s">
        <v>34</v>
      </c>
      <c r="N425">
        <v>1</v>
      </c>
      <c r="O425" t="s">
        <v>41</v>
      </c>
      <c r="P425">
        <v>8412</v>
      </c>
      <c r="Q425">
        <v>0</v>
      </c>
      <c r="R425" t="s">
        <v>36</v>
      </c>
      <c r="S425">
        <v>11</v>
      </c>
      <c r="T425">
        <v>3</v>
      </c>
      <c r="U425">
        <v>3</v>
      </c>
      <c r="V425">
        <v>0</v>
      </c>
      <c r="W425">
        <v>10</v>
      </c>
      <c r="X425">
        <v>3</v>
      </c>
      <c r="Y425">
        <v>3</v>
      </c>
      <c r="Z425">
        <v>9</v>
      </c>
      <c r="AA425">
        <v>8</v>
      </c>
      <c r="AB425">
        <v>7</v>
      </c>
      <c r="AC425">
        <v>8</v>
      </c>
      <c r="AD425">
        <f>IF(HR_Data[[#This Row],[Attrition]]="Yes",1,0)</f>
        <v>0</v>
      </c>
      <c r="AE425" t="str">
        <f>IF(HR_Data[[#This Row],[Age]]&lt;=25,"18-25",IF(HR_Data[[#This Row],[Age]]&lt;=35,"26-35",IF(HR_Data[[#This Row],[Age]]&lt;=45,"36-45",IF(HR_Data[[#This Row],[Age]]&lt;=55,"46-55","55+"))))</f>
        <v>26-35</v>
      </c>
      <c r="AF425">
        <f>IF(HR_Data[[#This Row],[Age]]&lt;=25,1,IF(HR_Data[[#This Row],[Age]]&lt;=35,2,IF(HR_Data[[#This Row],[Age]]&lt;=45,3,IF(HR_Data[[#This Row],[Age]]&lt;=55,4,5))))</f>
        <v>2</v>
      </c>
      <c r="AG425" s="1" t="str">
        <f>IF(HR_Data[[#This Row],[MonthlyIncome]]&lt;3000,"&lt;3K",IF(HR_Data[[#This Row],[MonthlyIncome]]&lt;6000,"3K-6K",IF(HR_Data[[#This Row],[MonthlyIncome]]&lt;10000,"6K-10K","10K+")))</f>
        <v>6K-10K</v>
      </c>
      <c r="AH425" s="1">
        <f>IF(HR_Data[[#This Row],[MonthlyIncome]]&lt;3000,1,IF(HR_Data[[#This Row],[MonthlyIncome]]&lt;6000,2,IF(HR_Data[[#This Row],[MonthlyIncome]]&lt;10000,3,4)))</f>
        <v>3</v>
      </c>
      <c r="AI425" s="1" t="str">
        <f>IF(HR_Data[[#This Row],[YearsAtCompany]]&lt;=2,"0-2 Yrs",IF(HR_Data[[#This Row],[YearsAtCompany]]&lt;=5,"3-5 Yrs",IF(HR_Data[[#This Row],[YearsAtCompany]]&lt;=10,"6-10 Yrs","10+ Yrs")))</f>
        <v>6-10 Yrs</v>
      </c>
      <c r="AJ425" s="1">
        <f>IF(HR_Data[[#This Row],[YearsAtCompany]]&lt;=2,1,IF(HR_Data[[#This Row],[YearsAtCompany]]&lt;=5,2,IF(HR_Data[[#This Row],[YearsAtCompany]]&lt;=10,3,4)))</f>
        <v>3</v>
      </c>
      <c r="AK425" s="1" t="str">
        <f>CHOOSE(HR_Data[[#This Row],[Education]],"Below College","College","Bachelor","Master","Doctor")</f>
        <v>Master</v>
      </c>
      <c r="AL425" s="1" t="str">
        <f>CHOOSE(HR_Data[[#This Row],[JobSatisfaction]],"Low","Medium","High","Very High")</f>
        <v>Low</v>
      </c>
      <c r="AM425" s="1" t="str">
        <f>CHOOSE(HR_Data[[#This Row],[EnvironmentSatisfaction]],"Low","Medium","High","Very High")</f>
        <v>High</v>
      </c>
      <c r="AN425" s="1" t="str">
        <f>CHOOSE(HR_Data[[#This Row],[WorkLifeBalance]],"Bad","Good","Better","Best")</f>
        <v>Better</v>
      </c>
      <c r="AO425" s="1" t="str">
        <f>IF(HR_Data[[#This Row],[PercentSalaryHike]]&lt;=13,"11-13%",IF(HR_Data[[#This Row],[PercentSalaryHike]]&lt;=16,"14-16%",IF(HR_Data[[#This Row],[PercentSalaryHike]]&lt;=19,"17-19%","20-25%")))</f>
        <v>11-13%</v>
      </c>
      <c r="AP425" s="1">
        <f>IF(HR_Data[[#This Row],[PercentSalaryHike]]&lt;=13,1,IF(HR_Data[[#This Row],[PercentSalaryHike]]&lt;=16,2,IF(HR_Data[[#This Row],[PercentSalaryHike]]&lt;=19,3,4)))</f>
        <v>1</v>
      </c>
      <c r="AQ425" s="1" t="str">
        <f>IF(HR_Data[[#This Row],[DistanceFromHome]]&lt;=5,"1 to 5",IF(HR_Data[[#This Row],[DistanceFromHome]]&lt;=10,"6 to 10",IF(HR_Data[[#This Row],[DistanceFromHome]]&lt;=20,"11 to 20","21 to 29")))</f>
        <v>21 to 29</v>
      </c>
      <c r="AR425" s="1">
        <f>IF(HR_Data[[#This Row],[DistanceFromHome]]&lt;=5,1,IF(HR_Data[[#This Row],[DistanceFromHome]]&lt;=10,2,IF(HR_Data[[#This Row],[DistanceFromHome]]&lt;=20,3,4)))</f>
        <v>4</v>
      </c>
      <c r="AS425" s="1" t="str">
        <f>IF(HR_Data[[#This Row],[TotalWorkingYears]]&lt;=5,"0-5 Yrs",IF(HR_Data[[#This Row],[TotalWorkingYears]]&lt;=10,"6-10 Yrs",IF(HR_Data[[#This Row],[TotalWorkingYears]]&lt;=20,"11-20 Yrs","20+ Yrs")))</f>
        <v>6-10 Yrs</v>
      </c>
      <c r="AT425" s="1">
        <f>IF(HR_Data[[#This Row],[TotalWorkingYears]]&lt;=5,1,IF(HR_Data[[#This Row],[TotalWorkingYears]]&lt;=10,2,IF(HR_Data[[#This Row],[TotalWorkingYears]]&lt;=20,3,4)))</f>
        <v>2</v>
      </c>
    </row>
    <row r="426" spans="1:46" x14ac:dyDescent="0.25">
      <c r="A426">
        <v>57</v>
      </c>
      <c r="B426" t="s">
        <v>36</v>
      </c>
      <c r="C426" t="s">
        <v>30</v>
      </c>
      <c r="D426" t="s">
        <v>31</v>
      </c>
      <c r="E426">
        <v>29</v>
      </c>
      <c r="F426">
        <v>3</v>
      </c>
      <c r="G426" t="s">
        <v>52</v>
      </c>
      <c r="H426">
        <v>568</v>
      </c>
      <c r="I426">
        <v>1</v>
      </c>
      <c r="J426" t="s">
        <v>39</v>
      </c>
      <c r="K426">
        <v>2</v>
      </c>
      <c r="L426">
        <v>4</v>
      </c>
      <c r="M426" t="s">
        <v>49</v>
      </c>
      <c r="N426">
        <v>4</v>
      </c>
      <c r="O426" t="s">
        <v>45</v>
      </c>
      <c r="P426">
        <v>14118</v>
      </c>
      <c r="Q426">
        <v>3</v>
      </c>
      <c r="R426" t="s">
        <v>36</v>
      </c>
      <c r="S426">
        <v>12</v>
      </c>
      <c r="T426">
        <v>3</v>
      </c>
      <c r="U426">
        <v>3</v>
      </c>
      <c r="V426">
        <v>1</v>
      </c>
      <c r="W426">
        <v>32</v>
      </c>
      <c r="X426">
        <v>3</v>
      </c>
      <c r="Y426">
        <v>2</v>
      </c>
      <c r="Z426">
        <v>1</v>
      </c>
      <c r="AA426">
        <v>0</v>
      </c>
      <c r="AB426">
        <v>0</v>
      </c>
      <c r="AC426">
        <v>0</v>
      </c>
      <c r="AD426">
        <f>IF(HR_Data[[#This Row],[Attrition]]="Yes",1,0)</f>
        <v>0</v>
      </c>
      <c r="AE426" t="str">
        <f>IF(HR_Data[[#This Row],[Age]]&lt;=25,"18-25",IF(HR_Data[[#This Row],[Age]]&lt;=35,"26-35",IF(HR_Data[[#This Row],[Age]]&lt;=45,"36-45",IF(HR_Data[[#This Row],[Age]]&lt;=55,"46-55","55+"))))</f>
        <v>55+</v>
      </c>
      <c r="AF426">
        <f>IF(HR_Data[[#This Row],[Age]]&lt;=25,1,IF(HR_Data[[#This Row],[Age]]&lt;=35,2,IF(HR_Data[[#This Row],[Age]]&lt;=45,3,IF(HR_Data[[#This Row],[Age]]&lt;=55,4,5))))</f>
        <v>5</v>
      </c>
      <c r="AG426" s="1" t="str">
        <f>IF(HR_Data[[#This Row],[MonthlyIncome]]&lt;3000,"&lt;3K",IF(HR_Data[[#This Row],[MonthlyIncome]]&lt;6000,"3K-6K",IF(HR_Data[[#This Row],[MonthlyIncome]]&lt;10000,"6K-10K","10K+")))</f>
        <v>10K+</v>
      </c>
      <c r="AH426" s="1">
        <f>IF(HR_Data[[#This Row],[MonthlyIncome]]&lt;3000,1,IF(HR_Data[[#This Row],[MonthlyIncome]]&lt;6000,2,IF(HR_Data[[#This Row],[MonthlyIncome]]&lt;10000,3,4)))</f>
        <v>4</v>
      </c>
      <c r="AI426" s="1" t="str">
        <f>IF(HR_Data[[#This Row],[YearsAtCompany]]&lt;=2,"0-2 Yrs",IF(HR_Data[[#This Row],[YearsAtCompany]]&lt;=5,"3-5 Yrs",IF(HR_Data[[#This Row],[YearsAtCompany]]&lt;=10,"6-10 Yrs","10+ Yrs")))</f>
        <v>0-2 Yrs</v>
      </c>
      <c r="AJ426" s="1">
        <f>IF(HR_Data[[#This Row],[YearsAtCompany]]&lt;=2,1,IF(HR_Data[[#This Row],[YearsAtCompany]]&lt;=5,2,IF(HR_Data[[#This Row],[YearsAtCompany]]&lt;=10,3,4)))</f>
        <v>1</v>
      </c>
      <c r="AK426" s="1" t="str">
        <f>CHOOSE(HR_Data[[#This Row],[Education]],"Below College","College","Bachelor","Master","Doctor")</f>
        <v>Bachelor</v>
      </c>
      <c r="AL426" s="1" t="str">
        <f>CHOOSE(HR_Data[[#This Row],[JobSatisfaction]],"Low","Medium","High","Very High")</f>
        <v>Very High</v>
      </c>
      <c r="AM426" s="1" t="str">
        <f>CHOOSE(HR_Data[[#This Row],[EnvironmentSatisfaction]],"Low","Medium","High","Very High")</f>
        <v>Low</v>
      </c>
      <c r="AN426" s="1" t="str">
        <f>CHOOSE(HR_Data[[#This Row],[WorkLifeBalance]],"Bad","Good","Better","Best")</f>
        <v>Good</v>
      </c>
      <c r="AO426" s="1" t="str">
        <f>IF(HR_Data[[#This Row],[PercentSalaryHike]]&lt;=13,"11-13%",IF(HR_Data[[#This Row],[PercentSalaryHike]]&lt;=16,"14-16%",IF(HR_Data[[#This Row],[PercentSalaryHike]]&lt;=19,"17-19%","20-25%")))</f>
        <v>11-13%</v>
      </c>
      <c r="AP426" s="1">
        <f>IF(HR_Data[[#This Row],[PercentSalaryHike]]&lt;=13,1,IF(HR_Data[[#This Row],[PercentSalaryHike]]&lt;=16,2,IF(HR_Data[[#This Row],[PercentSalaryHike]]&lt;=19,3,4)))</f>
        <v>1</v>
      </c>
      <c r="AQ426" s="1" t="str">
        <f>IF(HR_Data[[#This Row],[DistanceFromHome]]&lt;=5,"1 to 5",IF(HR_Data[[#This Row],[DistanceFromHome]]&lt;=10,"6 to 10",IF(HR_Data[[#This Row],[DistanceFromHome]]&lt;=20,"11 to 20","21 to 29")))</f>
        <v>21 to 29</v>
      </c>
      <c r="AR426" s="1">
        <f>IF(HR_Data[[#This Row],[DistanceFromHome]]&lt;=5,1,IF(HR_Data[[#This Row],[DistanceFromHome]]&lt;=10,2,IF(HR_Data[[#This Row],[DistanceFromHome]]&lt;=20,3,4)))</f>
        <v>4</v>
      </c>
      <c r="AS426" s="1" t="str">
        <f>IF(HR_Data[[#This Row],[TotalWorkingYears]]&lt;=5,"0-5 Yrs",IF(HR_Data[[#This Row],[TotalWorkingYears]]&lt;=10,"6-10 Yrs",IF(HR_Data[[#This Row],[TotalWorkingYears]]&lt;=20,"11-20 Yrs","20+ Yrs")))</f>
        <v>20+ Yrs</v>
      </c>
      <c r="AT426" s="1">
        <f>IF(HR_Data[[#This Row],[TotalWorkingYears]]&lt;=5,1,IF(HR_Data[[#This Row],[TotalWorkingYears]]&lt;=10,2,IF(HR_Data[[#This Row],[TotalWorkingYears]]&lt;=20,3,4)))</f>
        <v>4</v>
      </c>
    </row>
    <row r="427" spans="1:46" x14ac:dyDescent="0.25">
      <c r="A427">
        <v>50</v>
      </c>
      <c r="B427" t="s">
        <v>36</v>
      </c>
      <c r="C427" t="s">
        <v>30</v>
      </c>
      <c r="D427" t="s">
        <v>38</v>
      </c>
      <c r="E427">
        <v>29</v>
      </c>
      <c r="F427">
        <v>4</v>
      </c>
      <c r="G427" t="s">
        <v>32</v>
      </c>
      <c r="H427">
        <v>569</v>
      </c>
      <c r="I427">
        <v>2</v>
      </c>
      <c r="J427" t="s">
        <v>39</v>
      </c>
      <c r="K427">
        <v>2</v>
      </c>
      <c r="L427">
        <v>4</v>
      </c>
      <c r="M427" t="s">
        <v>49</v>
      </c>
      <c r="N427">
        <v>3</v>
      </c>
      <c r="O427" t="s">
        <v>41</v>
      </c>
      <c r="P427">
        <v>17046</v>
      </c>
      <c r="Q427">
        <v>0</v>
      </c>
      <c r="R427" t="s">
        <v>36</v>
      </c>
      <c r="S427">
        <v>15</v>
      </c>
      <c r="T427">
        <v>3</v>
      </c>
      <c r="U427">
        <v>2</v>
      </c>
      <c r="V427">
        <v>1</v>
      </c>
      <c r="W427">
        <v>28</v>
      </c>
      <c r="X427">
        <v>2</v>
      </c>
      <c r="Y427">
        <v>3</v>
      </c>
      <c r="Z427">
        <v>27</v>
      </c>
      <c r="AA427">
        <v>10</v>
      </c>
      <c r="AB427">
        <v>15</v>
      </c>
      <c r="AC427">
        <v>7</v>
      </c>
      <c r="AD427">
        <f>IF(HR_Data[[#This Row],[Attrition]]="Yes",1,0)</f>
        <v>0</v>
      </c>
      <c r="AE427" t="str">
        <f>IF(HR_Data[[#This Row],[Age]]&lt;=25,"18-25",IF(HR_Data[[#This Row],[Age]]&lt;=35,"26-35",IF(HR_Data[[#This Row],[Age]]&lt;=45,"36-45",IF(HR_Data[[#This Row],[Age]]&lt;=55,"46-55","55+"))))</f>
        <v>46-55</v>
      </c>
      <c r="AF427">
        <f>IF(HR_Data[[#This Row],[Age]]&lt;=25,1,IF(HR_Data[[#This Row],[Age]]&lt;=35,2,IF(HR_Data[[#This Row],[Age]]&lt;=45,3,IF(HR_Data[[#This Row],[Age]]&lt;=55,4,5))))</f>
        <v>4</v>
      </c>
      <c r="AG427" s="1" t="str">
        <f>IF(HR_Data[[#This Row],[MonthlyIncome]]&lt;3000,"&lt;3K",IF(HR_Data[[#This Row],[MonthlyIncome]]&lt;6000,"3K-6K",IF(HR_Data[[#This Row],[MonthlyIncome]]&lt;10000,"6K-10K","10K+")))</f>
        <v>10K+</v>
      </c>
      <c r="AH427" s="1">
        <f>IF(HR_Data[[#This Row],[MonthlyIncome]]&lt;3000,1,IF(HR_Data[[#This Row],[MonthlyIncome]]&lt;6000,2,IF(HR_Data[[#This Row],[MonthlyIncome]]&lt;10000,3,4)))</f>
        <v>4</v>
      </c>
      <c r="AI427" s="1" t="str">
        <f>IF(HR_Data[[#This Row],[YearsAtCompany]]&lt;=2,"0-2 Yrs",IF(HR_Data[[#This Row],[YearsAtCompany]]&lt;=5,"3-5 Yrs",IF(HR_Data[[#This Row],[YearsAtCompany]]&lt;=10,"6-10 Yrs","10+ Yrs")))</f>
        <v>10+ Yrs</v>
      </c>
      <c r="AJ427" s="1">
        <f>IF(HR_Data[[#This Row],[YearsAtCompany]]&lt;=2,1,IF(HR_Data[[#This Row],[YearsAtCompany]]&lt;=5,2,IF(HR_Data[[#This Row],[YearsAtCompany]]&lt;=10,3,4)))</f>
        <v>4</v>
      </c>
      <c r="AK427" s="1" t="str">
        <f>CHOOSE(HR_Data[[#This Row],[Education]],"Below College","College","Bachelor","Master","Doctor")</f>
        <v>Master</v>
      </c>
      <c r="AL427" s="1" t="str">
        <f>CHOOSE(HR_Data[[#This Row],[JobSatisfaction]],"Low","Medium","High","Very High")</f>
        <v>High</v>
      </c>
      <c r="AM427" s="1" t="str">
        <f>CHOOSE(HR_Data[[#This Row],[EnvironmentSatisfaction]],"Low","Medium","High","Very High")</f>
        <v>Medium</v>
      </c>
      <c r="AN427" s="1" t="str">
        <f>CHOOSE(HR_Data[[#This Row],[WorkLifeBalance]],"Bad","Good","Better","Best")</f>
        <v>Better</v>
      </c>
      <c r="AO427" s="1" t="str">
        <f>IF(HR_Data[[#This Row],[PercentSalaryHike]]&lt;=13,"11-13%",IF(HR_Data[[#This Row],[PercentSalaryHike]]&lt;=16,"14-16%",IF(HR_Data[[#This Row],[PercentSalaryHike]]&lt;=19,"17-19%","20-25%")))</f>
        <v>14-16%</v>
      </c>
      <c r="AP427" s="1">
        <f>IF(HR_Data[[#This Row],[PercentSalaryHike]]&lt;=13,1,IF(HR_Data[[#This Row],[PercentSalaryHike]]&lt;=16,2,IF(HR_Data[[#This Row],[PercentSalaryHike]]&lt;=19,3,4)))</f>
        <v>2</v>
      </c>
      <c r="AQ427" s="1" t="str">
        <f>IF(HR_Data[[#This Row],[DistanceFromHome]]&lt;=5,"1 to 5",IF(HR_Data[[#This Row],[DistanceFromHome]]&lt;=10,"6 to 10",IF(HR_Data[[#This Row],[DistanceFromHome]]&lt;=20,"11 to 20","21 to 29")))</f>
        <v>21 to 29</v>
      </c>
      <c r="AR427" s="1">
        <f>IF(HR_Data[[#This Row],[DistanceFromHome]]&lt;=5,1,IF(HR_Data[[#This Row],[DistanceFromHome]]&lt;=10,2,IF(HR_Data[[#This Row],[DistanceFromHome]]&lt;=20,3,4)))</f>
        <v>4</v>
      </c>
      <c r="AS427" s="1" t="str">
        <f>IF(HR_Data[[#This Row],[TotalWorkingYears]]&lt;=5,"0-5 Yrs",IF(HR_Data[[#This Row],[TotalWorkingYears]]&lt;=10,"6-10 Yrs",IF(HR_Data[[#This Row],[TotalWorkingYears]]&lt;=20,"11-20 Yrs","20+ Yrs")))</f>
        <v>20+ Yrs</v>
      </c>
      <c r="AT427" s="1">
        <f>IF(HR_Data[[#This Row],[TotalWorkingYears]]&lt;=5,1,IF(HR_Data[[#This Row],[TotalWorkingYears]]&lt;=10,2,IF(HR_Data[[#This Row],[TotalWorkingYears]]&lt;=20,3,4)))</f>
        <v>4</v>
      </c>
    </row>
    <row r="428" spans="1:46" x14ac:dyDescent="0.25">
      <c r="A428">
        <v>30</v>
      </c>
      <c r="B428" t="s">
        <v>36</v>
      </c>
      <c r="C428" t="s">
        <v>48</v>
      </c>
      <c r="D428" t="s">
        <v>38</v>
      </c>
      <c r="E428">
        <v>2</v>
      </c>
      <c r="F428">
        <v>3</v>
      </c>
      <c r="G428" t="s">
        <v>44</v>
      </c>
      <c r="H428">
        <v>571</v>
      </c>
      <c r="I428">
        <v>3</v>
      </c>
      <c r="J428" t="s">
        <v>33</v>
      </c>
      <c r="K428">
        <v>3</v>
      </c>
      <c r="L428">
        <v>1</v>
      </c>
      <c r="M428" t="s">
        <v>43</v>
      </c>
      <c r="N428">
        <v>4</v>
      </c>
      <c r="O428" t="s">
        <v>35</v>
      </c>
      <c r="P428">
        <v>2564</v>
      </c>
      <c r="Q428">
        <v>0</v>
      </c>
      <c r="R428" t="s">
        <v>36</v>
      </c>
      <c r="S428">
        <v>14</v>
      </c>
      <c r="T428">
        <v>3</v>
      </c>
      <c r="U428">
        <v>3</v>
      </c>
      <c r="V428">
        <v>0</v>
      </c>
      <c r="W428">
        <v>12</v>
      </c>
      <c r="X428">
        <v>2</v>
      </c>
      <c r="Y428">
        <v>2</v>
      </c>
      <c r="Z428">
        <v>11</v>
      </c>
      <c r="AA428">
        <v>7</v>
      </c>
      <c r="AB428">
        <v>6</v>
      </c>
      <c r="AC428">
        <v>7</v>
      </c>
      <c r="AD428">
        <f>IF(HR_Data[[#This Row],[Attrition]]="Yes",1,0)</f>
        <v>0</v>
      </c>
      <c r="AE428" t="str">
        <f>IF(HR_Data[[#This Row],[Age]]&lt;=25,"18-25",IF(HR_Data[[#This Row],[Age]]&lt;=35,"26-35",IF(HR_Data[[#This Row],[Age]]&lt;=45,"36-45",IF(HR_Data[[#This Row],[Age]]&lt;=55,"46-55","55+"))))</f>
        <v>26-35</v>
      </c>
      <c r="AF428">
        <f>IF(HR_Data[[#This Row],[Age]]&lt;=25,1,IF(HR_Data[[#This Row],[Age]]&lt;=35,2,IF(HR_Data[[#This Row],[Age]]&lt;=45,3,IF(HR_Data[[#This Row],[Age]]&lt;=55,4,5))))</f>
        <v>2</v>
      </c>
      <c r="AG428" s="1" t="str">
        <f>IF(HR_Data[[#This Row],[MonthlyIncome]]&lt;3000,"&lt;3K",IF(HR_Data[[#This Row],[MonthlyIncome]]&lt;6000,"3K-6K",IF(HR_Data[[#This Row],[MonthlyIncome]]&lt;10000,"6K-10K","10K+")))</f>
        <v>&lt;3K</v>
      </c>
      <c r="AH428" s="1">
        <f>IF(HR_Data[[#This Row],[MonthlyIncome]]&lt;3000,1,IF(HR_Data[[#This Row],[MonthlyIncome]]&lt;6000,2,IF(HR_Data[[#This Row],[MonthlyIncome]]&lt;10000,3,4)))</f>
        <v>1</v>
      </c>
      <c r="AI428" s="1" t="str">
        <f>IF(HR_Data[[#This Row],[YearsAtCompany]]&lt;=2,"0-2 Yrs",IF(HR_Data[[#This Row],[YearsAtCompany]]&lt;=5,"3-5 Yrs",IF(HR_Data[[#This Row],[YearsAtCompany]]&lt;=10,"6-10 Yrs","10+ Yrs")))</f>
        <v>10+ Yrs</v>
      </c>
      <c r="AJ428" s="1">
        <f>IF(HR_Data[[#This Row],[YearsAtCompany]]&lt;=2,1,IF(HR_Data[[#This Row],[YearsAtCompany]]&lt;=5,2,IF(HR_Data[[#This Row],[YearsAtCompany]]&lt;=10,3,4)))</f>
        <v>4</v>
      </c>
      <c r="AK428" s="1" t="str">
        <f>CHOOSE(HR_Data[[#This Row],[Education]],"Below College","College","Bachelor","Master","Doctor")</f>
        <v>Bachelor</v>
      </c>
      <c r="AL428" s="1" t="str">
        <f>CHOOSE(HR_Data[[#This Row],[JobSatisfaction]],"Low","Medium","High","Very High")</f>
        <v>Very High</v>
      </c>
      <c r="AM428" s="1" t="str">
        <f>CHOOSE(HR_Data[[#This Row],[EnvironmentSatisfaction]],"Low","Medium","High","Very High")</f>
        <v>High</v>
      </c>
      <c r="AN428" s="1" t="str">
        <f>CHOOSE(HR_Data[[#This Row],[WorkLifeBalance]],"Bad","Good","Better","Best")</f>
        <v>Good</v>
      </c>
      <c r="AO428" s="1" t="str">
        <f>IF(HR_Data[[#This Row],[PercentSalaryHike]]&lt;=13,"11-13%",IF(HR_Data[[#This Row],[PercentSalaryHike]]&lt;=16,"14-16%",IF(HR_Data[[#This Row],[PercentSalaryHike]]&lt;=19,"17-19%","20-25%")))</f>
        <v>14-16%</v>
      </c>
      <c r="AP428" s="1">
        <f>IF(HR_Data[[#This Row],[PercentSalaryHike]]&lt;=13,1,IF(HR_Data[[#This Row],[PercentSalaryHike]]&lt;=16,2,IF(HR_Data[[#This Row],[PercentSalaryHike]]&lt;=19,3,4)))</f>
        <v>2</v>
      </c>
      <c r="AQ428" s="1" t="str">
        <f>IF(HR_Data[[#This Row],[DistanceFromHome]]&lt;=5,"1 to 5",IF(HR_Data[[#This Row],[DistanceFromHome]]&lt;=10,"6 to 10",IF(HR_Data[[#This Row],[DistanceFromHome]]&lt;=20,"11 to 20","21 to 29")))</f>
        <v>1 to 5</v>
      </c>
      <c r="AR428" s="1">
        <f>IF(HR_Data[[#This Row],[DistanceFromHome]]&lt;=5,1,IF(HR_Data[[#This Row],[DistanceFromHome]]&lt;=10,2,IF(HR_Data[[#This Row],[DistanceFromHome]]&lt;=20,3,4)))</f>
        <v>1</v>
      </c>
      <c r="AS428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428" s="1">
        <f>IF(HR_Data[[#This Row],[TotalWorkingYears]]&lt;=5,1,IF(HR_Data[[#This Row],[TotalWorkingYears]]&lt;=10,2,IF(HR_Data[[#This Row],[TotalWorkingYears]]&lt;=20,3,4)))</f>
        <v>3</v>
      </c>
    </row>
    <row r="429" spans="1:46" x14ac:dyDescent="0.25">
      <c r="A429">
        <v>60</v>
      </c>
      <c r="B429" t="s">
        <v>36</v>
      </c>
      <c r="C429" t="s">
        <v>37</v>
      </c>
      <c r="D429" t="s">
        <v>31</v>
      </c>
      <c r="E429">
        <v>28</v>
      </c>
      <c r="F429">
        <v>3</v>
      </c>
      <c r="G429" t="s">
        <v>52</v>
      </c>
      <c r="H429">
        <v>573</v>
      </c>
      <c r="I429">
        <v>3</v>
      </c>
      <c r="J429" t="s">
        <v>33</v>
      </c>
      <c r="K429">
        <v>2</v>
      </c>
      <c r="L429">
        <v>3</v>
      </c>
      <c r="M429" t="s">
        <v>34</v>
      </c>
      <c r="N429">
        <v>1</v>
      </c>
      <c r="O429" t="s">
        <v>41</v>
      </c>
      <c r="P429">
        <v>10266</v>
      </c>
      <c r="Q429">
        <v>4</v>
      </c>
      <c r="R429" t="s">
        <v>36</v>
      </c>
      <c r="S429">
        <v>19</v>
      </c>
      <c r="T429">
        <v>3</v>
      </c>
      <c r="U429">
        <v>4</v>
      </c>
      <c r="V429">
        <v>0</v>
      </c>
      <c r="W429">
        <v>22</v>
      </c>
      <c r="X429">
        <v>5</v>
      </c>
      <c r="Y429">
        <v>4</v>
      </c>
      <c r="Z429">
        <v>18</v>
      </c>
      <c r="AA429">
        <v>13</v>
      </c>
      <c r="AB429">
        <v>13</v>
      </c>
      <c r="AC429">
        <v>11</v>
      </c>
      <c r="AD429">
        <f>IF(HR_Data[[#This Row],[Attrition]]="Yes",1,0)</f>
        <v>0</v>
      </c>
      <c r="AE429" t="str">
        <f>IF(HR_Data[[#This Row],[Age]]&lt;=25,"18-25",IF(HR_Data[[#This Row],[Age]]&lt;=35,"26-35",IF(HR_Data[[#This Row],[Age]]&lt;=45,"36-45",IF(HR_Data[[#This Row],[Age]]&lt;=55,"46-55","55+"))))</f>
        <v>55+</v>
      </c>
      <c r="AF429">
        <f>IF(HR_Data[[#This Row],[Age]]&lt;=25,1,IF(HR_Data[[#This Row],[Age]]&lt;=35,2,IF(HR_Data[[#This Row],[Age]]&lt;=45,3,IF(HR_Data[[#This Row],[Age]]&lt;=55,4,5))))</f>
        <v>5</v>
      </c>
      <c r="AG429" s="1" t="str">
        <f>IF(HR_Data[[#This Row],[MonthlyIncome]]&lt;3000,"&lt;3K",IF(HR_Data[[#This Row],[MonthlyIncome]]&lt;6000,"3K-6K",IF(HR_Data[[#This Row],[MonthlyIncome]]&lt;10000,"6K-10K","10K+")))</f>
        <v>10K+</v>
      </c>
      <c r="AH429" s="1">
        <f>IF(HR_Data[[#This Row],[MonthlyIncome]]&lt;3000,1,IF(HR_Data[[#This Row],[MonthlyIncome]]&lt;6000,2,IF(HR_Data[[#This Row],[MonthlyIncome]]&lt;10000,3,4)))</f>
        <v>4</v>
      </c>
      <c r="AI429" s="1" t="str">
        <f>IF(HR_Data[[#This Row],[YearsAtCompany]]&lt;=2,"0-2 Yrs",IF(HR_Data[[#This Row],[YearsAtCompany]]&lt;=5,"3-5 Yrs",IF(HR_Data[[#This Row],[YearsAtCompany]]&lt;=10,"6-10 Yrs","10+ Yrs")))</f>
        <v>10+ Yrs</v>
      </c>
      <c r="AJ429" s="1">
        <f>IF(HR_Data[[#This Row],[YearsAtCompany]]&lt;=2,1,IF(HR_Data[[#This Row],[YearsAtCompany]]&lt;=5,2,IF(HR_Data[[#This Row],[YearsAtCompany]]&lt;=10,3,4)))</f>
        <v>4</v>
      </c>
      <c r="AK429" s="1" t="str">
        <f>CHOOSE(HR_Data[[#This Row],[Education]],"Below College","College","Bachelor","Master","Doctor")</f>
        <v>Bachelor</v>
      </c>
      <c r="AL429" s="1" t="str">
        <f>CHOOSE(HR_Data[[#This Row],[JobSatisfaction]],"Low","Medium","High","Very High")</f>
        <v>Low</v>
      </c>
      <c r="AM429" s="1" t="str">
        <f>CHOOSE(HR_Data[[#This Row],[EnvironmentSatisfaction]],"Low","Medium","High","Very High")</f>
        <v>High</v>
      </c>
      <c r="AN429" s="1" t="str">
        <f>CHOOSE(HR_Data[[#This Row],[WorkLifeBalance]],"Bad","Good","Better","Best")</f>
        <v>Best</v>
      </c>
      <c r="AO429" s="1" t="str">
        <f>IF(HR_Data[[#This Row],[PercentSalaryHike]]&lt;=13,"11-13%",IF(HR_Data[[#This Row],[PercentSalaryHike]]&lt;=16,"14-16%",IF(HR_Data[[#This Row],[PercentSalaryHike]]&lt;=19,"17-19%","20-25%")))</f>
        <v>17-19%</v>
      </c>
      <c r="AP429" s="1">
        <f>IF(HR_Data[[#This Row],[PercentSalaryHike]]&lt;=13,1,IF(HR_Data[[#This Row],[PercentSalaryHike]]&lt;=16,2,IF(HR_Data[[#This Row],[PercentSalaryHike]]&lt;=19,3,4)))</f>
        <v>3</v>
      </c>
      <c r="AQ429" s="1" t="str">
        <f>IF(HR_Data[[#This Row],[DistanceFromHome]]&lt;=5,"1 to 5",IF(HR_Data[[#This Row],[DistanceFromHome]]&lt;=10,"6 to 10",IF(HR_Data[[#This Row],[DistanceFromHome]]&lt;=20,"11 to 20","21 to 29")))</f>
        <v>21 to 29</v>
      </c>
      <c r="AR429" s="1">
        <f>IF(HR_Data[[#This Row],[DistanceFromHome]]&lt;=5,1,IF(HR_Data[[#This Row],[DistanceFromHome]]&lt;=10,2,IF(HR_Data[[#This Row],[DistanceFromHome]]&lt;=20,3,4)))</f>
        <v>4</v>
      </c>
      <c r="AS429" s="1" t="str">
        <f>IF(HR_Data[[#This Row],[TotalWorkingYears]]&lt;=5,"0-5 Yrs",IF(HR_Data[[#This Row],[TotalWorkingYears]]&lt;=10,"6-10 Yrs",IF(HR_Data[[#This Row],[TotalWorkingYears]]&lt;=20,"11-20 Yrs","20+ Yrs")))</f>
        <v>20+ Yrs</v>
      </c>
      <c r="AT429" s="1">
        <f>IF(HR_Data[[#This Row],[TotalWorkingYears]]&lt;=5,1,IF(HR_Data[[#This Row],[TotalWorkingYears]]&lt;=10,2,IF(HR_Data[[#This Row],[TotalWorkingYears]]&lt;=20,3,4)))</f>
        <v>4</v>
      </c>
    </row>
    <row r="430" spans="1:46" x14ac:dyDescent="0.25">
      <c r="A430">
        <v>47</v>
      </c>
      <c r="B430" t="s">
        <v>36</v>
      </c>
      <c r="C430" t="s">
        <v>30</v>
      </c>
      <c r="D430" t="s">
        <v>38</v>
      </c>
      <c r="E430">
        <v>2</v>
      </c>
      <c r="F430">
        <v>2</v>
      </c>
      <c r="G430" t="s">
        <v>44</v>
      </c>
      <c r="H430">
        <v>574</v>
      </c>
      <c r="I430">
        <v>1</v>
      </c>
      <c r="J430" t="s">
        <v>33</v>
      </c>
      <c r="K430">
        <v>3</v>
      </c>
      <c r="L430">
        <v>2</v>
      </c>
      <c r="M430" t="s">
        <v>46</v>
      </c>
      <c r="N430">
        <v>4</v>
      </c>
      <c r="O430" t="s">
        <v>45</v>
      </c>
      <c r="P430">
        <v>5070</v>
      </c>
      <c r="Q430">
        <v>5</v>
      </c>
      <c r="R430" t="s">
        <v>36</v>
      </c>
      <c r="S430">
        <v>13</v>
      </c>
      <c r="T430">
        <v>3</v>
      </c>
      <c r="U430">
        <v>3</v>
      </c>
      <c r="V430">
        <v>3</v>
      </c>
      <c r="W430">
        <v>20</v>
      </c>
      <c r="X430">
        <v>2</v>
      </c>
      <c r="Y430">
        <v>3</v>
      </c>
      <c r="Z430">
        <v>5</v>
      </c>
      <c r="AA430">
        <v>0</v>
      </c>
      <c r="AB430">
        <v>0</v>
      </c>
      <c r="AC430">
        <v>4</v>
      </c>
      <c r="AD430">
        <f>IF(HR_Data[[#This Row],[Attrition]]="Yes",1,0)</f>
        <v>0</v>
      </c>
      <c r="AE430" t="str">
        <f>IF(HR_Data[[#This Row],[Age]]&lt;=25,"18-25",IF(HR_Data[[#This Row],[Age]]&lt;=35,"26-35",IF(HR_Data[[#This Row],[Age]]&lt;=45,"36-45",IF(HR_Data[[#This Row],[Age]]&lt;=55,"46-55","55+"))))</f>
        <v>46-55</v>
      </c>
      <c r="AF430">
        <f>IF(HR_Data[[#This Row],[Age]]&lt;=25,1,IF(HR_Data[[#This Row],[Age]]&lt;=35,2,IF(HR_Data[[#This Row],[Age]]&lt;=45,3,IF(HR_Data[[#This Row],[Age]]&lt;=55,4,5))))</f>
        <v>4</v>
      </c>
      <c r="AG430" s="1" t="str">
        <f>IF(HR_Data[[#This Row],[MonthlyIncome]]&lt;3000,"&lt;3K",IF(HR_Data[[#This Row],[MonthlyIncome]]&lt;6000,"3K-6K",IF(HR_Data[[#This Row],[MonthlyIncome]]&lt;10000,"6K-10K","10K+")))</f>
        <v>3K-6K</v>
      </c>
      <c r="AH430" s="1">
        <f>IF(HR_Data[[#This Row],[MonthlyIncome]]&lt;3000,1,IF(HR_Data[[#This Row],[MonthlyIncome]]&lt;6000,2,IF(HR_Data[[#This Row],[MonthlyIncome]]&lt;10000,3,4)))</f>
        <v>2</v>
      </c>
      <c r="AI430" s="1" t="str">
        <f>IF(HR_Data[[#This Row],[YearsAtCompany]]&lt;=2,"0-2 Yrs",IF(HR_Data[[#This Row],[YearsAtCompany]]&lt;=5,"3-5 Yrs",IF(HR_Data[[#This Row],[YearsAtCompany]]&lt;=10,"6-10 Yrs","10+ Yrs")))</f>
        <v>3-5 Yrs</v>
      </c>
      <c r="AJ430" s="1">
        <f>IF(HR_Data[[#This Row],[YearsAtCompany]]&lt;=2,1,IF(HR_Data[[#This Row],[YearsAtCompany]]&lt;=5,2,IF(HR_Data[[#This Row],[YearsAtCompany]]&lt;=10,3,4)))</f>
        <v>2</v>
      </c>
      <c r="AK430" s="1" t="str">
        <f>CHOOSE(HR_Data[[#This Row],[Education]],"Below College","College","Bachelor","Master","Doctor")</f>
        <v>College</v>
      </c>
      <c r="AL430" s="1" t="str">
        <f>CHOOSE(HR_Data[[#This Row],[JobSatisfaction]],"Low","Medium","High","Very High")</f>
        <v>Very High</v>
      </c>
      <c r="AM430" s="1" t="str">
        <f>CHOOSE(HR_Data[[#This Row],[EnvironmentSatisfaction]],"Low","Medium","High","Very High")</f>
        <v>Low</v>
      </c>
      <c r="AN430" s="1" t="str">
        <f>CHOOSE(HR_Data[[#This Row],[WorkLifeBalance]],"Bad","Good","Better","Best")</f>
        <v>Better</v>
      </c>
      <c r="AO430" s="1" t="str">
        <f>IF(HR_Data[[#This Row],[PercentSalaryHike]]&lt;=13,"11-13%",IF(HR_Data[[#This Row],[PercentSalaryHike]]&lt;=16,"14-16%",IF(HR_Data[[#This Row],[PercentSalaryHike]]&lt;=19,"17-19%","20-25%")))</f>
        <v>11-13%</v>
      </c>
      <c r="AP430" s="1">
        <f>IF(HR_Data[[#This Row],[PercentSalaryHike]]&lt;=13,1,IF(HR_Data[[#This Row],[PercentSalaryHike]]&lt;=16,2,IF(HR_Data[[#This Row],[PercentSalaryHike]]&lt;=19,3,4)))</f>
        <v>1</v>
      </c>
      <c r="AQ430" s="1" t="str">
        <f>IF(HR_Data[[#This Row],[DistanceFromHome]]&lt;=5,"1 to 5",IF(HR_Data[[#This Row],[DistanceFromHome]]&lt;=10,"6 to 10",IF(HR_Data[[#This Row],[DistanceFromHome]]&lt;=20,"11 to 20","21 to 29")))</f>
        <v>1 to 5</v>
      </c>
      <c r="AR430" s="1">
        <f>IF(HR_Data[[#This Row],[DistanceFromHome]]&lt;=5,1,IF(HR_Data[[#This Row],[DistanceFromHome]]&lt;=10,2,IF(HR_Data[[#This Row],[DistanceFromHome]]&lt;=20,3,4)))</f>
        <v>1</v>
      </c>
      <c r="AS430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430" s="1">
        <f>IF(HR_Data[[#This Row],[TotalWorkingYears]]&lt;=5,1,IF(HR_Data[[#This Row],[TotalWorkingYears]]&lt;=10,2,IF(HR_Data[[#This Row],[TotalWorkingYears]]&lt;=20,3,4)))</f>
        <v>3</v>
      </c>
    </row>
    <row r="431" spans="1:46" x14ac:dyDescent="0.25">
      <c r="A431">
        <v>46</v>
      </c>
      <c r="B431" t="s">
        <v>36</v>
      </c>
      <c r="C431" t="s">
        <v>30</v>
      </c>
      <c r="D431" t="s">
        <v>38</v>
      </c>
      <c r="E431">
        <v>2</v>
      </c>
      <c r="F431">
        <v>3</v>
      </c>
      <c r="G431" t="s">
        <v>32</v>
      </c>
      <c r="H431">
        <v>575</v>
      </c>
      <c r="I431">
        <v>1</v>
      </c>
      <c r="J431" t="s">
        <v>39</v>
      </c>
      <c r="K431">
        <v>3</v>
      </c>
      <c r="L431">
        <v>4</v>
      </c>
      <c r="M431" t="s">
        <v>51</v>
      </c>
      <c r="N431">
        <v>3</v>
      </c>
      <c r="O431" t="s">
        <v>41</v>
      </c>
      <c r="P431">
        <v>17861</v>
      </c>
      <c r="Q431">
        <v>6</v>
      </c>
      <c r="R431" t="s">
        <v>36</v>
      </c>
      <c r="S431">
        <v>13</v>
      </c>
      <c r="T431">
        <v>3</v>
      </c>
      <c r="U431">
        <v>3</v>
      </c>
      <c r="V431">
        <v>0</v>
      </c>
      <c r="W431">
        <v>26</v>
      </c>
      <c r="X431">
        <v>2</v>
      </c>
      <c r="Y431">
        <v>1</v>
      </c>
      <c r="Z431">
        <v>3</v>
      </c>
      <c r="AA431">
        <v>2</v>
      </c>
      <c r="AB431">
        <v>0</v>
      </c>
      <c r="AC431">
        <v>1</v>
      </c>
      <c r="AD431">
        <f>IF(HR_Data[[#This Row],[Attrition]]="Yes",1,0)</f>
        <v>0</v>
      </c>
      <c r="AE431" t="str">
        <f>IF(HR_Data[[#This Row],[Age]]&lt;=25,"18-25",IF(HR_Data[[#This Row],[Age]]&lt;=35,"26-35",IF(HR_Data[[#This Row],[Age]]&lt;=45,"36-45",IF(HR_Data[[#This Row],[Age]]&lt;=55,"46-55","55+"))))</f>
        <v>46-55</v>
      </c>
      <c r="AF431">
        <f>IF(HR_Data[[#This Row],[Age]]&lt;=25,1,IF(HR_Data[[#This Row],[Age]]&lt;=35,2,IF(HR_Data[[#This Row],[Age]]&lt;=45,3,IF(HR_Data[[#This Row],[Age]]&lt;=55,4,5))))</f>
        <v>4</v>
      </c>
      <c r="AG431" s="1" t="str">
        <f>IF(HR_Data[[#This Row],[MonthlyIncome]]&lt;3000,"&lt;3K",IF(HR_Data[[#This Row],[MonthlyIncome]]&lt;6000,"3K-6K",IF(HR_Data[[#This Row],[MonthlyIncome]]&lt;10000,"6K-10K","10K+")))</f>
        <v>10K+</v>
      </c>
      <c r="AH431" s="1">
        <f>IF(HR_Data[[#This Row],[MonthlyIncome]]&lt;3000,1,IF(HR_Data[[#This Row],[MonthlyIncome]]&lt;6000,2,IF(HR_Data[[#This Row],[MonthlyIncome]]&lt;10000,3,4)))</f>
        <v>4</v>
      </c>
      <c r="AI431" s="1" t="str">
        <f>IF(HR_Data[[#This Row],[YearsAtCompany]]&lt;=2,"0-2 Yrs",IF(HR_Data[[#This Row],[YearsAtCompany]]&lt;=5,"3-5 Yrs",IF(HR_Data[[#This Row],[YearsAtCompany]]&lt;=10,"6-10 Yrs","10+ Yrs")))</f>
        <v>3-5 Yrs</v>
      </c>
      <c r="AJ431" s="1">
        <f>IF(HR_Data[[#This Row],[YearsAtCompany]]&lt;=2,1,IF(HR_Data[[#This Row],[YearsAtCompany]]&lt;=5,2,IF(HR_Data[[#This Row],[YearsAtCompany]]&lt;=10,3,4)))</f>
        <v>2</v>
      </c>
      <c r="AK431" s="1" t="str">
        <f>CHOOSE(HR_Data[[#This Row],[Education]],"Below College","College","Bachelor","Master","Doctor")</f>
        <v>Bachelor</v>
      </c>
      <c r="AL431" s="1" t="str">
        <f>CHOOSE(HR_Data[[#This Row],[JobSatisfaction]],"Low","Medium","High","Very High")</f>
        <v>High</v>
      </c>
      <c r="AM431" s="1" t="str">
        <f>CHOOSE(HR_Data[[#This Row],[EnvironmentSatisfaction]],"Low","Medium","High","Very High")</f>
        <v>Low</v>
      </c>
      <c r="AN431" s="1" t="str">
        <f>CHOOSE(HR_Data[[#This Row],[WorkLifeBalance]],"Bad","Good","Better","Best")</f>
        <v>Bad</v>
      </c>
      <c r="AO431" s="1" t="str">
        <f>IF(HR_Data[[#This Row],[PercentSalaryHike]]&lt;=13,"11-13%",IF(HR_Data[[#This Row],[PercentSalaryHike]]&lt;=16,"14-16%",IF(HR_Data[[#This Row],[PercentSalaryHike]]&lt;=19,"17-19%","20-25%")))</f>
        <v>11-13%</v>
      </c>
      <c r="AP431" s="1">
        <f>IF(HR_Data[[#This Row],[PercentSalaryHike]]&lt;=13,1,IF(HR_Data[[#This Row],[PercentSalaryHike]]&lt;=16,2,IF(HR_Data[[#This Row],[PercentSalaryHike]]&lt;=19,3,4)))</f>
        <v>1</v>
      </c>
      <c r="AQ431" s="1" t="str">
        <f>IF(HR_Data[[#This Row],[DistanceFromHome]]&lt;=5,"1 to 5",IF(HR_Data[[#This Row],[DistanceFromHome]]&lt;=10,"6 to 10",IF(HR_Data[[#This Row],[DistanceFromHome]]&lt;=20,"11 to 20","21 to 29")))</f>
        <v>1 to 5</v>
      </c>
      <c r="AR431" s="1">
        <f>IF(HR_Data[[#This Row],[DistanceFromHome]]&lt;=5,1,IF(HR_Data[[#This Row],[DistanceFromHome]]&lt;=10,2,IF(HR_Data[[#This Row],[DistanceFromHome]]&lt;=20,3,4)))</f>
        <v>1</v>
      </c>
      <c r="AS431" s="1" t="str">
        <f>IF(HR_Data[[#This Row],[TotalWorkingYears]]&lt;=5,"0-5 Yrs",IF(HR_Data[[#This Row],[TotalWorkingYears]]&lt;=10,"6-10 Yrs",IF(HR_Data[[#This Row],[TotalWorkingYears]]&lt;=20,"11-20 Yrs","20+ Yrs")))</f>
        <v>20+ Yrs</v>
      </c>
      <c r="AT431" s="1">
        <f>IF(HR_Data[[#This Row],[TotalWorkingYears]]&lt;=5,1,IF(HR_Data[[#This Row],[TotalWorkingYears]]&lt;=10,2,IF(HR_Data[[#This Row],[TotalWorkingYears]]&lt;=20,3,4)))</f>
        <v>4</v>
      </c>
    </row>
    <row r="432" spans="1:46" x14ac:dyDescent="0.25">
      <c r="A432">
        <v>35</v>
      </c>
      <c r="B432" t="s">
        <v>36</v>
      </c>
      <c r="C432" t="s">
        <v>30</v>
      </c>
      <c r="D432" t="s">
        <v>38</v>
      </c>
      <c r="E432">
        <v>22</v>
      </c>
      <c r="F432">
        <v>3</v>
      </c>
      <c r="G432" t="s">
        <v>32</v>
      </c>
      <c r="H432">
        <v>577</v>
      </c>
      <c r="I432">
        <v>4</v>
      </c>
      <c r="J432" t="s">
        <v>39</v>
      </c>
      <c r="K432">
        <v>1</v>
      </c>
      <c r="L432">
        <v>1</v>
      </c>
      <c r="M432" t="s">
        <v>43</v>
      </c>
      <c r="N432">
        <v>3</v>
      </c>
      <c r="O432" t="s">
        <v>35</v>
      </c>
      <c r="P432">
        <v>4230</v>
      </c>
      <c r="Q432">
        <v>0</v>
      </c>
      <c r="R432" t="s">
        <v>36</v>
      </c>
      <c r="S432">
        <v>15</v>
      </c>
      <c r="T432">
        <v>3</v>
      </c>
      <c r="U432">
        <v>3</v>
      </c>
      <c r="V432">
        <v>0</v>
      </c>
      <c r="W432">
        <v>6</v>
      </c>
      <c r="X432">
        <v>2</v>
      </c>
      <c r="Y432">
        <v>3</v>
      </c>
      <c r="Z432">
        <v>5</v>
      </c>
      <c r="AA432">
        <v>4</v>
      </c>
      <c r="AB432">
        <v>4</v>
      </c>
      <c r="AC432">
        <v>3</v>
      </c>
      <c r="AD432">
        <f>IF(HR_Data[[#This Row],[Attrition]]="Yes",1,0)</f>
        <v>0</v>
      </c>
      <c r="AE432" t="str">
        <f>IF(HR_Data[[#This Row],[Age]]&lt;=25,"18-25",IF(HR_Data[[#This Row],[Age]]&lt;=35,"26-35",IF(HR_Data[[#This Row],[Age]]&lt;=45,"36-45",IF(HR_Data[[#This Row],[Age]]&lt;=55,"46-55","55+"))))</f>
        <v>26-35</v>
      </c>
      <c r="AF432">
        <f>IF(HR_Data[[#This Row],[Age]]&lt;=25,1,IF(HR_Data[[#This Row],[Age]]&lt;=35,2,IF(HR_Data[[#This Row],[Age]]&lt;=45,3,IF(HR_Data[[#This Row],[Age]]&lt;=55,4,5))))</f>
        <v>2</v>
      </c>
      <c r="AG432" s="1" t="str">
        <f>IF(HR_Data[[#This Row],[MonthlyIncome]]&lt;3000,"&lt;3K",IF(HR_Data[[#This Row],[MonthlyIncome]]&lt;6000,"3K-6K",IF(HR_Data[[#This Row],[MonthlyIncome]]&lt;10000,"6K-10K","10K+")))</f>
        <v>3K-6K</v>
      </c>
      <c r="AH432" s="1">
        <f>IF(HR_Data[[#This Row],[MonthlyIncome]]&lt;3000,1,IF(HR_Data[[#This Row],[MonthlyIncome]]&lt;6000,2,IF(HR_Data[[#This Row],[MonthlyIncome]]&lt;10000,3,4)))</f>
        <v>2</v>
      </c>
      <c r="AI432" s="1" t="str">
        <f>IF(HR_Data[[#This Row],[YearsAtCompany]]&lt;=2,"0-2 Yrs",IF(HR_Data[[#This Row],[YearsAtCompany]]&lt;=5,"3-5 Yrs",IF(HR_Data[[#This Row],[YearsAtCompany]]&lt;=10,"6-10 Yrs","10+ Yrs")))</f>
        <v>3-5 Yrs</v>
      </c>
      <c r="AJ432" s="1">
        <f>IF(HR_Data[[#This Row],[YearsAtCompany]]&lt;=2,1,IF(HR_Data[[#This Row],[YearsAtCompany]]&lt;=5,2,IF(HR_Data[[#This Row],[YearsAtCompany]]&lt;=10,3,4)))</f>
        <v>2</v>
      </c>
      <c r="AK432" s="1" t="str">
        <f>CHOOSE(HR_Data[[#This Row],[Education]],"Below College","College","Bachelor","Master","Doctor")</f>
        <v>Bachelor</v>
      </c>
      <c r="AL432" s="1" t="str">
        <f>CHOOSE(HR_Data[[#This Row],[JobSatisfaction]],"Low","Medium","High","Very High")</f>
        <v>High</v>
      </c>
      <c r="AM432" s="1" t="str">
        <f>CHOOSE(HR_Data[[#This Row],[EnvironmentSatisfaction]],"Low","Medium","High","Very High")</f>
        <v>Very High</v>
      </c>
      <c r="AN432" s="1" t="str">
        <f>CHOOSE(HR_Data[[#This Row],[WorkLifeBalance]],"Bad","Good","Better","Best")</f>
        <v>Better</v>
      </c>
      <c r="AO432" s="1" t="str">
        <f>IF(HR_Data[[#This Row],[PercentSalaryHike]]&lt;=13,"11-13%",IF(HR_Data[[#This Row],[PercentSalaryHike]]&lt;=16,"14-16%",IF(HR_Data[[#This Row],[PercentSalaryHike]]&lt;=19,"17-19%","20-25%")))</f>
        <v>14-16%</v>
      </c>
      <c r="AP432" s="1">
        <f>IF(HR_Data[[#This Row],[PercentSalaryHike]]&lt;=13,1,IF(HR_Data[[#This Row],[PercentSalaryHike]]&lt;=16,2,IF(HR_Data[[#This Row],[PercentSalaryHike]]&lt;=19,3,4)))</f>
        <v>2</v>
      </c>
      <c r="AQ432" s="1" t="str">
        <f>IF(HR_Data[[#This Row],[DistanceFromHome]]&lt;=5,"1 to 5",IF(HR_Data[[#This Row],[DistanceFromHome]]&lt;=10,"6 to 10",IF(HR_Data[[#This Row],[DistanceFromHome]]&lt;=20,"11 to 20","21 to 29")))</f>
        <v>21 to 29</v>
      </c>
      <c r="AR432" s="1">
        <f>IF(HR_Data[[#This Row],[DistanceFromHome]]&lt;=5,1,IF(HR_Data[[#This Row],[DistanceFromHome]]&lt;=10,2,IF(HR_Data[[#This Row],[DistanceFromHome]]&lt;=20,3,4)))</f>
        <v>4</v>
      </c>
      <c r="AS432" s="1" t="str">
        <f>IF(HR_Data[[#This Row],[TotalWorkingYears]]&lt;=5,"0-5 Yrs",IF(HR_Data[[#This Row],[TotalWorkingYears]]&lt;=10,"6-10 Yrs",IF(HR_Data[[#This Row],[TotalWorkingYears]]&lt;=20,"11-20 Yrs","20+ Yrs")))</f>
        <v>6-10 Yrs</v>
      </c>
      <c r="AT432" s="1">
        <f>IF(HR_Data[[#This Row],[TotalWorkingYears]]&lt;=5,1,IF(HR_Data[[#This Row],[TotalWorkingYears]]&lt;=10,2,IF(HR_Data[[#This Row],[TotalWorkingYears]]&lt;=20,3,4)))</f>
        <v>2</v>
      </c>
    </row>
    <row r="433" spans="1:46" x14ac:dyDescent="0.25">
      <c r="A433">
        <v>54</v>
      </c>
      <c r="B433" t="s">
        <v>36</v>
      </c>
      <c r="C433" t="s">
        <v>30</v>
      </c>
      <c r="D433" t="s">
        <v>38</v>
      </c>
      <c r="E433">
        <v>8</v>
      </c>
      <c r="F433">
        <v>4</v>
      </c>
      <c r="G433" t="s">
        <v>32</v>
      </c>
      <c r="H433">
        <v>578</v>
      </c>
      <c r="I433">
        <v>3</v>
      </c>
      <c r="J433" t="s">
        <v>33</v>
      </c>
      <c r="K433">
        <v>3</v>
      </c>
      <c r="L433">
        <v>2</v>
      </c>
      <c r="M433" t="s">
        <v>43</v>
      </c>
      <c r="N433">
        <v>3</v>
      </c>
      <c r="O433" t="s">
        <v>35</v>
      </c>
      <c r="P433">
        <v>3780</v>
      </c>
      <c r="Q433">
        <v>7</v>
      </c>
      <c r="R433" t="s">
        <v>36</v>
      </c>
      <c r="S433">
        <v>11</v>
      </c>
      <c r="T433">
        <v>3</v>
      </c>
      <c r="U433">
        <v>3</v>
      </c>
      <c r="V433">
        <v>0</v>
      </c>
      <c r="W433">
        <v>19</v>
      </c>
      <c r="X433">
        <v>3</v>
      </c>
      <c r="Y433">
        <v>3</v>
      </c>
      <c r="Z433">
        <v>1</v>
      </c>
      <c r="AA433">
        <v>0</v>
      </c>
      <c r="AB433">
        <v>0</v>
      </c>
      <c r="AC433">
        <v>0</v>
      </c>
      <c r="AD433">
        <f>IF(HR_Data[[#This Row],[Attrition]]="Yes",1,0)</f>
        <v>0</v>
      </c>
      <c r="AE433" t="str">
        <f>IF(HR_Data[[#This Row],[Age]]&lt;=25,"18-25",IF(HR_Data[[#This Row],[Age]]&lt;=35,"26-35",IF(HR_Data[[#This Row],[Age]]&lt;=45,"36-45",IF(HR_Data[[#This Row],[Age]]&lt;=55,"46-55","55+"))))</f>
        <v>46-55</v>
      </c>
      <c r="AF433">
        <f>IF(HR_Data[[#This Row],[Age]]&lt;=25,1,IF(HR_Data[[#This Row],[Age]]&lt;=35,2,IF(HR_Data[[#This Row],[Age]]&lt;=45,3,IF(HR_Data[[#This Row],[Age]]&lt;=55,4,5))))</f>
        <v>4</v>
      </c>
      <c r="AG433" s="1" t="str">
        <f>IF(HR_Data[[#This Row],[MonthlyIncome]]&lt;3000,"&lt;3K",IF(HR_Data[[#This Row],[MonthlyIncome]]&lt;6000,"3K-6K",IF(HR_Data[[#This Row],[MonthlyIncome]]&lt;10000,"6K-10K","10K+")))</f>
        <v>3K-6K</v>
      </c>
      <c r="AH433" s="1">
        <f>IF(HR_Data[[#This Row],[MonthlyIncome]]&lt;3000,1,IF(HR_Data[[#This Row],[MonthlyIncome]]&lt;6000,2,IF(HR_Data[[#This Row],[MonthlyIncome]]&lt;10000,3,4)))</f>
        <v>2</v>
      </c>
      <c r="AI433" s="1" t="str">
        <f>IF(HR_Data[[#This Row],[YearsAtCompany]]&lt;=2,"0-2 Yrs",IF(HR_Data[[#This Row],[YearsAtCompany]]&lt;=5,"3-5 Yrs",IF(HR_Data[[#This Row],[YearsAtCompany]]&lt;=10,"6-10 Yrs","10+ Yrs")))</f>
        <v>0-2 Yrs</v>
      </c>
      <c r="AJ433" s="1">
        <f>IF(HR_Data[[#This Row],[YearsAtCompany]]&lt;=2,1,IF(HR_Data[[#This Row],[YearsAtCompany]]&lt;=5,2,IF(HR_Data[[#This Row],[YearsAtCompany]]&lt;=10,3,4)))</f>
        <v>1</v>
      </c>
      <c r="AK433" s="1" t="str">
        <f>CHOOSE(HR_Data[[#This Row],[Education]],"Below College","College","Bachelor","Master","Doctor")</f>
        <v>Master</v>
      </c>
      <c r="AL433" s="1" t="str">
        <f>CHOOSE(HR_Data[[#This Row],[JobSatisfaction]],"Low","Medium","High","Very High")</f>
        <v>High</v>
      </c>
      <c r="AM433" s="1" t="str">
        <f>CHOOSE(HR_Data[[#This Row],[EnvironmentSatisfaction]],"Low","Medium","High","Very High")</f>
        <v>High</v>
      </c>
      <c r="AN433" s="1" t="str">
        <f>CHOOSE(HR_Data[[#This Row],[WorkLifeBalance]],"Bad","Good","Better","Best")</f>
        <v>Better</v>
      </c>
      <c r="AO433" s="1" t="str">
        <f>IF(HR_Data[[#This Row],[PercentSalaryHike]]&lt;=13,"11-13%",IF(HR_Data[[#This Row],[PercentSalaryHike]]&lt;=16,"14-16%",IF(HR_Data[[#This Row],[PercentSalaryHike]]&lt;=19,"17-19%","20-25%")))</f>
        <v>11-13%</v>
      </c>
      <c r="AP433" s="1">
        <f>IF(HR_Data[[#This Row],[PercentSalaryHike]]&lt;=13,1,IF(HR_Data[[#This Row],[PercentSalaryHike]]&lt;=16,2,IF(HR_Data[[#This Row],[PercentSalaryHike]]&lt;=19,3,4)))</f>
        <v>1</v>
      </c>
      <c r="AQ433" s="1" t="str">
        <f>IF(HR_Data[[#This Row],[DistanceFromHome]]&lt;=5,"1 to 5",IF(HR_Data[[#This Row],[DistanceFromHome]]&lt;=10,"6 to 10",IF(HR_Data[[#This Row],[DistanceFromHome]]&lt;=20,"11 to 20","21 to 29")))</f>
        <v>6 to 10</v>
      </c>
      <c r="AR433" s="1">
        <f>IF(HR_Data[[#This Row],[DistanceFromHome]]&lt;=5,1,IF(HR_Data[[#This Row],[DistanceFromHome]]&lt;=10,2,IF(HR_Data[[#This Row],[DistanceFromHome]]&lt;=20,3,4)))</f>
        <v>2</v>
      </c>
      <c r="AS433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433" s="1">
        <f>IF(HR_Data[[#This Row],[TotalWorkingYears]]&lt;=5,1,IF(HR_Data[[#This Row],[TotalWorkingYears]]&lt;=10,2,IF(HR_Data[[#This Row],[TotalWorkingYears]]&lt;=20,3,4)))</f>
        <v>3</v>
      </c>
    </row>
    <row r="434" spans="1:46" x14ac:dyDescent="0.25">
      <c r="A434">
        <v>34</v>
      </c>
      <c r="B434" t="s">
        <v>36</v>
      </c>
      <c r="C434" t="s">
        <v>30</v>
      </c>
      <c r="D434" t="s">
        <v>38</v>
      </c>
      <c r="E434">
        <v>2</v>
      </c>
      <c r="F434">
        <v>4</v>
      </c>
      <c r="G434" t="s">
        <v>32</v>
      </c>
      <c r="H434">
        <v>579</v>
      </c>
      <c r="I434">
        <v>4</v>
      </c>
      <c r="J434" t="s">
        <v>39</v>
      </c>
      <c r="K434">
        <v>2</v>
      </c>
      <c r="L434">
        <v>1</v>
      </c>
      <c r="M434" t="s">
        <v>40</v>
      </c>
      <c r="N434">
        <v>3</v>
      </c>
      <c r="O434" t="s">
        <v>45</v>
      </c>
      <c r="P434">
        <v>2768</v>
      </c>
      <c r="Q434">
        <v>3</v>
      </c>
      <c r="R434" t="s">
        <v>36</v>
      </c>
      <c r="S434">
        <v>12</v>
      </c>
      <c r="T434">
        <v>3</v>
      </c>
      <c r="U434">
        <v>3</v>
      </c>
      <c r="V434">
        <v>1</v>
      </c>
      <c r="W434">
        <v>14</v>
      </c>
      <c r="X434">
        <v>3</v>
      </c>
      <c r="Y434">
        <v>3</v>
      </c>
      <c r="Z434">
        <v>7</v>
      </c>
      <c r="AA434">
        <v>3</v>
      </c>
      <c r="AB434">
        <v>5</v>
      </c>
      <c r="AC434">
        <v>7</v>
      </c>
      <c r="AD434">
        <f>IF(HR_Data[[#This Row],[Attrition]]="Yes",1,0)</f>
        <v>0</v>
      </c>
      <c r="AE434" t="str">
        <f>IF(HR_Data[[#This Row],[Age]]&lt;=25,"18-25",IF(HR_Data[[#This Row],[Age]]&lt;=35,"26-35",IF(HR_Data[[#This Row],[Age]]&lt;=45,"36-45",IF(HR_Data[[#This Row],[Age]]&lt;=55,"46-55","55+"))))</f>
        <v>26-35</v>
      </c>
      <c r="AF434">
        <f>IF(HR_Data[[#This Row],[Age]]&lt;=25,1,IF(HR_Data[[#This Row],[Age]]&lt;=35,2,IF(HR_Data[[#This Row],[Age]]&lt;=45,3,IF(HR_Data[[#This Row],[Age]]&lt;=55,4,5))))</f>
        <v>2</v>
      </c>
      <c r="AG434" s="1" t="str">
        <f>IF(HR_Data[[#This Row],[MonthlyIncome]]&lt;3000,"&lt;3K",IF(HR_Data[[#This Row],[MonthlyIncome]]&lt;6000,"3K-6K",IF(HR_Data[[#This Row],[MonthlyIncome]]&lt;10000,"6K-10K","10K+")))</f>
        <v>&lt;3K</v>
      </c>
      <c r="AH434" s="1">
        <f>IF(HR_Data[[#This Row],[MonthlyIncome]]&lt;3000,1,IF(HR_Data[[#This Row],[MonthlyIncome]]&lt;6000,2,IF(HR_Data[[#This Row],[MonthlyIncome]]&lt;10000,3,4)))</f>
        <v>1</v>
      </c>
      <c r="AI434" s="1" t="str">
        <f>IF(HR_Data[[#This Row],[YearsAtCompany]]&lt;=2,"0-2 Yrs",IF(HR_Data[[#This Row],[YearsAtCompany]]&lt;=5,"3-5 Yrs",IF(HR_Data[[#This Row],[YearsAtCompany]]&lt;=10,"6-10 Yrs","10+ Yrs")))</f>
        <v>6-10 Yrs</v>
      </c>
      <c r="AJ434" s="1">
        <f>IF(HR_Data[[#This Row],[YearsAtCompany]]&lt;=2,1,IF(HR_Data[[#This Row],[YearsAtCompany]]&lt;=5,2,IF(HR_Data[[#This Row],[YearsAtCompany]]&lt;=10,3,4)))</f>
        <v>3</v>
      </c>
      <c r="AK434" s="1" t="str">
        <f>CHOOSE(HR_Data[[#This Row],[Education]],"Below College","College","Bachelor","Master","Doctor")</f>
        <v>Master</v>
      </c>
      <c r="AL434" s="1" t="str">
        <f>CHOOSE(HR_Data[[#This Row],[JobSatisfaction]],"Low","Medium","High","Very High")</f>
        <v>High</v>
      </c>
      <c r="AM434" s="1" t="str">
        <f>CHOOSE(HR_Data[[#This Row],[EnvironmentSatisfaction]],"Low","Medium","High","Very High")</f>
        <v>Very High</v>
      </c>
      <c r="AN434" s="1" t="str">
        <f>CHOOSE(HR_Data[[#This Row],[WorkLifeBalance]],"Bad","Good","Better","Best")</f>
        <v>Better</v>
      </c>
      <c r="AO434" s="1" t="str">
        <f>IF(HR_Data[[#This Row],[PercentSalaryHike]]&lt;=13,"11-13%",IF(HR_Data[[#This Row],[PercentSalaryHike]]&lt;=16,"14-16%",IF(HR_Data[[#This Row],[PercentSalaryHike]]&lt;=19,"17-19%","20-25%")))</f>
        <v>11-13%</v>
      </c>
      <c r="AP434" s="1">
        <f>IF(HR_Data[[#This Row],[PercentSalaryHike]]&lt;=13,1,IF(HR_Data[[#This Row],[PercentSalaryHike]]&lt;=16,2,IF(HR_Data[[#This Row],[PercentSalaryHike]]&lt;=19,3,4)))</f>
        <v>1</v>
      </c>
      <c r="AQ434" s="1" t="str">
        <f>IF(HR_Data[[#This Row],[DistanceFromHome]]&lt;=5,"1 to 5",IF(HR_Data[[#This Row],[DistanceFromHome]]&lt;=10,"6 to 10",IF(HR_Data[[#This Row],[DistanceFromHome]]&lt;=20,"11 to 20","21 to 29")))</f>
        <v>1 to 5</v>
      </c>
      <c r="AR434" s="1">
        <f>IF(HR_Data[[#This Row],[DistanceFromHome]]&lt;=5,1,IF(HR_Data[[#This Row],[DistanceFromHome]]&lt;=10,2,IF(HR_Data[[#This Row],[DistanceFromHome]]&lt;=20,3,4)))</f>
        <v>1</v>
      </c>
      <c r="AS434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434" s="1">
        <f>IF(HR_Data[[#This Row],[TotalWorkingYears]]&lt;=5,1,IF(HR_Data[[#This Row],[TotalWorkingYears]]&lt;=10,2,IF(HR_Data[[#This Row],[TotalWorkingYears]]&lt;=20,3,4)))</f>
        <v>3</v>
      </c>
    </row>
    <row r="435" spans="1:46" x14ac:dyDescent="0.25">
      <c r="A435">
        <v>46</v>
      </c>
      <c r="B435" t="s">
        <v>36</v>
      </c>
      <c r="C435" t="s">
        <v>30</v>
      </c>
      <c r="D435" t="s">
        <v>31</v>
      </c>
      <c r="E435">
        <v>10</v>
      </c>
      <c r="F435">
        <v>3</v>
      </c>
      <c r="G435" t="s">
        <v>52</v>
      </c>
      <c r="H435">
        <v>580</v>
      </c>
      <c r="I435">
        <v>3</v>
      </c>
      <c r="J435" t="s">
        <v>33</v>
      </c>
      <c r="K435">
        <v>2</v>
      </c>
      <c r="L435">
        <v>3</v>
      </c>
      <c r="M435" t="s">
        <v>34</v>
      </c>
      <c r="N435">
        <v>4</v>
      </c>
      <c r="O435" t="s">
        <v>41</v>
      </c>
      <c r="P435">
        <v>9071</v>
      </c>
      <c r="Q435">
        <v>2</v>
      </c>
      <c r="R435" t="s">
        <v>29</v>
      </c>
      <c r="S435">
        <v>19</v>
      </c>
      <c r="T435">
        <v>3</v>
      </c>
      <c r="U435">
        <v>3</v>
      </c>
      <c r="V435">
        <v>1</v>
      </c>
      <c r="W435">
        <v>15</v>
      </c>
      <c r="X435">
        <v>3</v>
      </c>
      <c r="Y435">
        <v>3</v>
      </c>
      <c r="Z435">
        <v>3</v>
      </c>
      <c r="AA435">
        <v>2</v>
      </c>
      <c r="AB435">
        <v>1</v>
      </c>
      <c r="AC435">
        <v>2</v>
      </c>
      <c r="AD435">
        <f>IF(HR_Data[[#This Row],[Attrition]]="Yes",1,0)</f>
        <v>0</v>
      </c>
      <c r="AE435" t="str">
        <f>IF(HR_Data[[#This Row],[Age]]&lt;=25,"18-25",IF(HR_Data[[#This Row],[Age]]&lt;=35,"26-35",IF(HR_Data[[#This Row],[Age]]&lt;=45,"36-45",IF(HR_Data[[#This Row],[Age]]&lt;=55,"46-55","55+"))))</f>
        <v>46-55</v>
      </c>
      <c r="AF435">
        <f>IF(HR_Data[[#This Row],[Age]]&lt;=25,1,IF(HR_Data[[#This Row],[Age]]&lt;=35,2,IF(HR_Data[[#This Row],[Age]]&lt;=45,3,IF(HR_Data[[#This Row],[Age]]&lt;=55,4,5))))</f>
        <v>4</v>
      </c>
      <c r="AG435" s="1" t="str">
        <f>IF(HR_Data[[#This Row],[MonthlyIncome]]&lt;3000,"&lt;3K",IF(HR_Data[[#This Row],[MonthlyIncome]]&lt;6000,"3K-6K",IF(HR_Data[[#This Row],[MonthlyIncome]]&lt;10000,"6K-10K","10K+")))</f>
        <v>6K-10K</v>
      </c>
      <c r="AH435" s="1">
        <f>IF(HR_Data[[#This Row],[MonthlyIncome]]&lt;3000,1,IF(HR_Data[[#This Row],[MonthlyIncome]]&lt;6000,2,IF(HR_Data[[#This Row],[MonthlyIncome]]&lt;10000,3,4)))</f>
        <v>3</v>
      </c>
      <c r="AI435" s="1" t="str">
        <f>IF(HR_Data[[#This Row],[YearsAtCompany]]&lt;=2,"0-2 Yrs",IF(HR_Data[[#This Row],[YearsAtCompany]]&lt;=5,"3-5 Yrs",IF(HR_Data[[#This Row],[YearsAtCompany]]&lt;=10,"6-10 Yrs","10+ Yrs")))</f>
        <v>3-5 Yrs</v>
      </c>
      <c r="AJ435" s="1">
        <f>IF(HR_Data[[#This Row],[YearsAtCompany]]&lt;=2,1,IF(HR_Data[[#This Row],[YearsAtCompany]]&lt;=5,2,IF(HR_Data[[#This Row],[YearsAtCompany]]&lt;=10,3,4)))</f>
        <v>2</v>
      </c>
      <c r="AK435" s="1" t="str">
        <f>CHOOSE(HR_Data[[#This Row],[Education]],"Below College","College","Bachelor","Master","Doctor")</f>
        <v>Bachelor</v>
      </c>
      <c r="AL435" s="1" t="str">
        <f>CHOOSE(HR_Data[[#This Row],[JobSatisfaction]],"Low","Medium","High","Very High")</f>
        <v>Very High</v>
      </c>
      <c r="AM435" s="1" t="str">
        <f>CHOOSE(HR_Data[[#This Row],[EnvironmentSatisfaction]],"Low","Medium","High","Very High")</f>
        <v>High</v>
      </c>
      <c r="AN435" s="1" t="str">
        <f>CHOOSE(HR_Data[[#This Row],[WorkLifeBalance]],"Bad","Good","Better","Best")</f>
        <v>Better</v>
      </c>
      <c r="AO435" s="1" t="str">
        <f>IF(HR_Data[[#This Row],[PercentSalaryHike]]&lt;=13,"11-13%",IF(HR_Data[[#This Row],[PercentSalaryHike]]&lt;=16,"14-16%",IF(HR_Data[[#This Row],[PercentSalaryHike]]&lt;=19,"17-19%","20-25%")))</f>
        <v>17-19%</v>
      </c>
      <c r="AP435" s="1">
        <f>IF(HR_Data[[#This Row],[PercentSalaryHike]]&lt;=13,1,IF(HR_Data[[#This Row],[PercentSalaryHike]]&lt;=16,2,IF(HR_Data[[#This Row],[PercentSalaryHike]]&lt;=19,3,4)))</f>
        <v>3</v>
      </c>
      <c r="AQ435" s="1" t="str">
        <f>IF(HR_Data[[#This Row],[DistanceFromHome]]&lt;=5,"1 to 5",IF(HR_Data[[#This Row],[DistanceFromHome]]&lt;=10,"6 to 10",IF(HR_Data[[#This Row],[DistanceFromHome]]&lt;=20,"11 to 20","21 to 29")))</f>
        <v>6 to 10</v>
      </c>
      <c r="AR435" s="1">
        <f>IF(HR_Data[[#This Row],[DistanceFromHome]]&lt;=5,1,IF(HR_Data[[#This Row],[DistanceFromHome]]&lt;=10,2,IF(HR_Data[[#This Row],[DistanceFromHome]]&lt;=20,3,4)))</f>
        <v>2</v>
      </c>
      <c r="AS435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435" s="1">
        <f>IF(HR_Data[[#This Row],[TotalWorkingYears]]&lt;=5,1,IF(HR_Data[[#This Row],[TotalWorkingYears]]&lt;=10,2,IF(HR_Data[[#This Row],[TotalWorkingYears]]&lt;=20,3,4)))</f>
        <v>3</v>
      </c>
    </row>
    <row r="436" spans="1:46" x14ac:dyDescent="0.25">
      <c r="A436">
        <v>31</v>
      </c>
      <c r="B436" t="s">
        <v>36</v>
      </c>
      <c r="C436" t="s">
        <v>30</v>
      </c>
      <c r="D436" t="s">
        <v>38</v>
      </c>
      <c r="E436">
        <v>9</v>
      </c>
      <c r="F436">
        <v>1</v>
      </c>
      <c r="G436" t="s">
        <v>32</v>
      </c>
      <c r="H436">
        <v>581</v>
      </c>
      <c r="I436">
        <v>3</v>
      </c>
      <c r="J436" t="s">
        <v>39</v>
      </c>
      <c r="K436">
        <v>3</v>
      </c>
      <c r="L436">
        <v>3</v>
      </c>
      <c r="M436" t="s">
        <v>46</v>
      </c>
      <c r="N436">
        <v>2</v>
      </c>
      <c r="O436" t="s">
        <v>45</v>
      </c>
      <c r="P436">
        <v>10648</v>
      </c>
      <c r="Q436">
        <v>1</v>
      </c>
      <c r="R436" t="s">
        <v>36</v>
      </c>
      <c r="S436">
        <v>25</v>
      </c>
      <c r="T436">
        <v>4</v>
      </c>
      <c r="U436">
        <v>4</v>
      </c>
      <c r="V436">
        <v>1</v>
      </c>
      <c r="W436">
        <v>13</v>
      </c>
      <c r="X436">
        <v>6</v>
      </c>
      <c r="Y436">
        <v>4</v>
      </c>
      <c r="Z436">
        <v>13</v>
      </c>
      <c r="AA436">
        <v>8</v>
      </c>
      <c r="AB436">
        <v>0</v>
      </c>
      <c r="AC436">
        <v>8</v>
      </c>
      <c r="AD436">
        <f>IF(HR_Data[[#This Row],[Attrition]]="Yes",1,0)</f>
        <v>0</v>
      </c>
      <c r="AE436" t="str">
        <f>IF(HR_Data[[#This Row],[Age]]&lt;=25,"18-25",IF(HR_Data[[#This Row],[Age]]&lt;=35,"26-35",IF(HR_Data[[#This Row],[Age]]&lt;=45,"36-45",IF(HR_Data[[#This Row],[Age]]&lt;=55,"46-55","55+"))))</f>
        <v>26-35</v>
      </c>
      <c r="AF436">
        <f>IF(HR_Data[[#This Row],[Age]]&lt;=25,1,IF(HR_Data[[#This Row],[Age]]&lt;=35,2,IF(HR_Data[[#This Row],[Age]]&lt;=45,3,IF(HR_Data[[#This Row],[Age]]&lt;=55,4,5))))</f>
        <v>2</v>
      </c>
      <c r="AG436" s="1" t="str">
        <f>IF(HR_Data[[#This Row],[MonthlyIncome]]&lt;3000,"&lt;3K",IF(HR_Data[[#This Row],[MonthlyIncome]]&lt;6000,"3K-6K",IF(HR_Data[[#This Row],[MonthlyIncome]]&lt;10000,"6K-10K","10K+")))</f>
        <v>10K+</v>
      </c>
      <c r="AH436" s="1">
        <f>IF(HR_Data[[#This Row],[MonthlyIncome]]&lt;3000,1,IF(HR_Data[[#This Row],[MonthlyIncome]]&lt;6000,2,IF(HR_Data[[#This Row],[MonthlyIncome]]&lt;10000,3,4)))</f>
        <v>4</v>
      </c>
      <c r="AI436" s="1" t="str">
        <f>IF(HR_Data[[#This Row],[YearsAtCompany]]&lt;=2,"0-2 Yrs",IF(HR_Data[[#This Row],[YearsAtCompany]]&lt;=5,"3-5 Yrs",IF(HR_Data[[#This Row],[YearsAtCompany]]&lt;=10,"6-10 Yrs","10+ Yrs")))</f>
        <v>10+ Yrs</v>
      </c>
      <c r="AJ436" s="1">
        <f>IF(HR_Data[[#This Row],[YearsAtCompany]]&lt;=2,1,IF(HR_Data[[#This Row],[YearsAtCompany]]&lt;=5,2,IF(HR_Data[[#This Row],[YearsAtCompany]]&lt;=10,3,4)))</f>
        <v>4</v>
      </c>
      <c r="AK436" s="1" t="str">
        <f>CHOOSE(HR_Data[[#This Row],[Education]],"Below College","College","Bachelor","Master","Doctor")</f>
        <v>Below College</v>
      </c>
      <c r="AL436" s="1" t="str">
        <f>CHOOSE(HR_Data[[#This Row],[JobSatisfaction]],"Low","Medium","High","Very High")</f>
        <v>Medium</v>
      </c>
      <c r="AM436" s="1" t="str">
        <f>CHOOSE(HR_Data[[#This Row],[EnvironmentSatisfaction]],"Low","Medium","High","Very High")</f>
        <v>High</v>
      </c>
      <c r="AN436" s="1" t="str">
        <f>CHOOSE(HR_Data[[#This Row],[WorkLifeBalance]],"Bad","Good","Better","Best")</f>
        <v>Best</v>
      </c>
      <c r="AO436" s="1" t="str">
        <f>IF(HR_Data[[#This Row],[PercentSalaryHike]]&lt;=13,"11-13%",IF(HR_Data[[#This Row],[PercentSalaryHike]]&lt;=16,"14-16%",IF(HR_Data[[#This Row],[PercentSalaryHike]]&lt;=19,"17-19%","20-25%")))</f>
        <v>20-25%</v>
      </c>
      <c r="AP436" s="1">
        <f>IF(HR_Data[[#This Row],[PercentSalaryHike]]&lt;=13,1,IF(HR_Data[[#This Row],[PercentSalaryHike]]&lt;=16,2,IF(HR_Data[[#This Row],[PercentSalaryHike]]&lt;=19,3,4)))</f>
        <v>4</v>
      </c>
      <c r="AQ436" s="1" t="str">
        <f>IF(HR_Data[[#This Row],[DistanceFromHome]]&lt;=5,"1 to 5",IF(HR_Data[[#This Row],[DistanceFromHome]]&lt;=10,"6 to 10",IF(HR_Data[[#This Row],[DistanceFromHome]]&lt;=20,"11 to 20","21 to 29")))</f>
        <v>6 to 10</v>
      </c>
      <c r="AR436" s="1">
        <f>IF(HR_Data[[#This Row],[DistanceFromHome]]&lt;=5,1,IF(HR_Data[[#This Row],[DistanceFromHome]]&lt;=10,2,IF(HR_Data[[#This Row],[DistanceFromHome]]&lt;=20,3,4)))</f>
        <v>2</v>
      </c>
      <c r="AS436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436" s="1">
        <f>IF(HR_Data[[#This Row],[TotalWorkingYears]]&lt;=5,1,IF(HR_Data[[#This Row],[TotalWorkingYears]]&lt;=10,2,IF(HR_Data[[#This Row],[TotalWorkingYears]]&lt;=20,3,4)))</f>
        <v>3</v>
      </c>
    </row>
    <row r="437" spans="1:46" x14ac:dyDescent="0.25">
      <c r="A437">
        <v>33</v>
      </c>
      <c r="B437" t="s">
        <v>29</v>
      </c>
      <c r="C437" t="s">
        <v>30</v>
      </c>
      <c r="D437" t="s">
        <v>38</v>
      </c>
      <c r="E437">
        <v>15</v>
      </c>
      <c r="F437">
        <v>1</v>
      </c>
      <c r="G437" t="s">
        <v>44</v>
      </c>
      <c r="H437">
        <v>582</v>
      </c>
      <c r="I437">
        <v>2</v>
      </c>
      <c r="J437" t="s">
        <v>39</v>
      </c>
      <c r="K437">
        <v>3</v>
      </c>
      <c r="L437">
        <v>3</v>
      </c>
      <c r="M437" t="s">
        <v>49</v>
      </c>
      <c r="N437">
        <v>3</v>
      </c>
      <c r="O437" t="s">
        <v>41</v>
      </c>
      <c r="P437">
        <v>13610</v>
      </c>
      <c r="Q437">
        <v>7</v>
      </c>
      <c r="R437" t="s">
        <v>29</v>
      </c>
      <c r="S437">
        <v>12</v>
      </c>
      <c r="T437">
        <v>3</v>
      </c>
      <c r="U437">
        <v>4</v>
      </c>
      <c r="V437">
        <v>0</v>
      </c>
      <c r="W437">
        <v>15</v>
      </c>
      <c r="X437">
        <v>2</v>
      </c>
      <c r="Y437">
        <v>4</v>
      </c>
      <c r="Z437">
        <v>7</v>
      </c>
      <c r="AA437">
        <v>6</v>
      </c>
      <c r="AB437">
        <v>7</v>
      </c>
      <c r="AC437">
        <v>7</v>
      </c>
      <c r="AD437">
        <f>IF(HR_Data[[#This Row],[Attrition]]="Yes",1,0)</f>
        <v>1</v>
      </c>
      <c r="AE437" t="str">
        <f>IF(HR_Data[[#This Row],[Age]]&lt;=25,"18-25",IF(HR_Data[[#This Row],[Age]]&lt;=35,"26-35",IF(HR_Data[[#This Row],[Age]]&lt;=45,"36-45",IF(HR_Data[[#This Row],[Age]]&lt;=55,"46-55","55+"))))</f>
        <v>26-35</v>
      </c>
      <c r="AF437">
        <f>IF(HR_Data[[#This Row],[Age]]&lt;=25,1,IF(HR_Data[[#This Row],[Age]]&lt;=35,2,IF(HR_Data[[#This Row],[Age]]&lt;=45,3,IF(HR_Data[[#This Row],[Age]]&lt;=55,4,5))))</f>
        <v>2</v>
      </c>
      <c r="AG437" s="1" t="str">
        <f>IF(HR_Data[[#This Row],[MonthlyIncome]]&lt;3000,"&lt;3K",IF(HR_Data[[#This Row],[MonthlyIncome]]&lt;6000,"3K-6K",IF(HR_Data[[#This Row],[MonthlyIncome]]&lt;10000,"6K-10K","10K+")))</f>
        <v>10K+</v>
      </c>
      <c r="AH437" s="1">
        <f>IF(HR_Data[[#This Row],[MonthlyIncome]]&lt;3000,1,IF(HR_Data[[#This Row],[MonthlyIncome]]&lt;6000,2,IF(HR_Data[[#This Row],[MonthlyIncome]]&lt;10000,3,4)))</f>
        <v>4</v>
      </c>
      <c r="AI437" s="1" t="str">
        <f>IF(HR_Data[[#This Row],[YearsAtCompany]]&lt;=2,"0-2 Yrs",IF(HR_Data[[#This Row],[YearsAtCompany]]&lt;=5,"3-5 Yrs",IF(HR_Data[[#This Row],[YearsAtCompany]]&lt;=10,"6-10 Yrs","10+ Yrs")))</f>
        <v>6-10 Yrs</v>
      </c>
      <c r="AJ437" s="1">
        <f>IF(HR_Data[[#This Row],[YearsAtCompany]]&lt;=2,1,IF(HR_Data[[#This Row],[YearsAtCompany]]&lt;=5,2,IF(HR_Data[[#This Row],[YearsAtCompany]]&lt;=10,3,4)))</f>
        <v>3</v>
      </c>
      <c r="AK437" s="1" t="str">
        <f>CHOOSE(HR_Data[[#This Row],[Education]],"Below College","College","Bachelor","Master","Doctor")</f>
        <v>Below College</v>
      </c>
      <c r="AL437" s="1" t="str">
        <f>CHOOSE(HR_Data[[#This Row],[JobSatisfaction]],"Low","Medium","High","Very High")</f>
        <v>High</v>
      </c>
      <c r="AM437" s="1" t="str">
        <f>CHOOSE(HR_Data[[#This Row],[EnvironmentSatisfaction]],"Low","Medium","High","Very High")</f>
        <v>Medium</v>
      </c>
      <c r="AN437" s="1" t="str">
        <f>CHOOSE(HR_Data[[#This Row],[WorkLifeBalance]],"Bad","Good","Better","Best")</f>
        <v>Best</v>
      </c>
      <c r="AO437" s="1" t="str">
        <f>IF(HR_Data[[#This Row],[PercentSalaryHike]]&lt;=13,"11-13%",IF(HR_Data[[#This Row],[PercentSalaryHike]]&lt;=16,"14-16%",IF(HR_Data[[#This Row],[PercentSalaryHike]]&lt;=19,"17-19%","20-25%")))</f>
        <v>11-13%</v>
      </c>
      <c r="AP437" s="1">
        <f>IF(HR_Data[[#This Row],[PercentSalaryHike]]&lt;=13,1,IF(HR_Data[[#This Row],[PercentSalaryHike]]&lt;=16,2,IF(HR_Data[[#This Row],[PercentSalaryHike]]&lt;=19,3,4)))</f>
        <v>1</v>
      </c>
      <c r="AQ437" s="1" t="str">
        <f>IF(HR_Data[[#This Row],[DistanceFromHome]]&lt;=5,"1 to 5",IF(HR_Data[[#This Row],[DistanceFromHome]]&lt;=10,"6 to 10",IF(HR_Data[[#This Row],[DistanceFromHome]]&lt;=20,"11 to 20","21 to 29")))</f>
        <v>11 to 20</v>
      </c>
      <c r="AR437" s="1">
        <f>IF(HR_Data[[#This Row],[DistanceFromHome]]&lt;=5,1,IF(HR_Data[[#This Row],[DistanceFromHome]]&lt;=10,2,IF(HR_Data[[#This Row],[DistanceFromHome]]&lt;=20,3,4)))</f>
        <v>3</v>
      </c>
      <c r="AS437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437" s="1">
        <f>IF(HR_Data[[#This Row],[TotalWorkingYears]]&lt;=5,1,IF(HR_Data[[#This Row],[TotalWorkingYears]]&lt;=10,2,IF(HR_Data[[#This Row],[TotalWorkingYears]]&lt;=20,3,4)))</f>
        <v>3</v>
      </c>
    </row>
    <row r="438" spans="1:46" x14ac:dyDescent="0.25">
      <c r="A438">
        <v>33</v>
      </c>
      <c r="B438" t="s">
        <v>29</v>
      </c>
      <c r="C438" t="s">
        <v>30</v>
      </c>
      <c r="D438" t="s">
        <v>38</v>
      </c>
      <c r="E438">
        <v>10</v>
      </c>
      <c r="F438">
        <v>1</v>
      </c>
      <c r="G438" t="s">
        <v>44</v>
      </c>
      <c r="H438">
        <v>584</v>
      </c>
      <c r="I438">
        <v>1</v>
      </c>
      <c r="J438" t="s">
        <v>39</v>
      </c>
      <c r="K438">
        <v>1</v>
      </c>
      <c r="L438">
        <v>1</v>
      </c>
      <c r="M438" t="s">
        <v>43</v>
      </c>
      <c r="N438">
        <v>4</v>
      </c>
      <c r="O438" t="s">
        <v>45</v>
      </c>
      <c r="P438">
        <v>3408</v>
      </c>
      <c r="Q438">
        <v>7</v>
      </c>
      <c r="R438" t="s">
        <v>36</v>
      </c>
      <c r="S438">
        <v>13</v>
      </c>
      <c r="T438">
        <v>3</v>
      </c>
      <c r="U438">
        <v>1</v>
      </c>
      <c r="V438">
        <v>3</v>
      </c>
      <c r="W438">
        <v>8</v>
      </c>
      <c r="X438">
        <v>2</v>
      </c>
      <c r="Y438">
        <v>3</v>
      </c>
      <c r="Z438">
        <v>4</v>
      </c>
      <c r="AA438">
        <v>3</v>
      </c>
      <c r="AB438">
        <v>1</v>
      </c>
      <c r="AC438">
        <v>3</v>
      </c>
      <c r="AD438">
        <f>IF(HR_Data[[#This Row],[Attrition]]="Yes",1,0)</f>
        <v>1</v>
      </c>
      <c r="AE438" t="str">
        <f>IF(HR_Data[[#This Row],[Age]]&lt;=25,"18-25",IF(HR_Data[[#This Row],[Age]]&lt;=35,"26-35",IF(HR_Data[[#This Row],[Age]]&lt;=45,"36-45",IF(HR_Data[[#This Row],[Age]]&lt;=55,"46-55","55+"))))</f>
        <v>26-35</v>
      </c>
      <c r="AF438">
        <f>IF(HR_Data[[#This Row],[Age]]&lt;=25,1,IF(HR_Data[[#This Row],[Age]]&lt;=35,2,IF(HR_Data[[#This Row],[Age]]&lt;=45,3,IF(HR_Data[[#This Row],[Age]]&lt;=55,4,5))))</f>
        <v>2</v>
      </c>
      <c r="AG438" s="1" t="str">
        <f>IF(HR_Data[[#This Row],[MonthlyIncome]]&lt;3000,"&lt;3K",IF(HR_Data[[#This Row],[MonthlyIncome]]&lt;6000,"3K-6K",IF(HR_Data[[#This Row],[MonthlyIncome]]&lt;10000,"6K-10K","10K+")))</f>
        <v>3K-6K</v>
      </c>
      <c r="AH438" s="1">
        <f>IF(HR_Data[[#This Row],[MonthlyIncome]]&lt;3000,1,IF(HR_Data[[#This Row],[MonthlyIncome]]&lt;6000,2,IF(HR_Data[[#This Row],[MonthlyIncome]]&lt;10000,3,4)))</f>
        <v>2</v>
      </c>
      <c r="AI438" s="1" t="str">
        <f>IF(HR_Data[[#This Row],[YearsAtCompany]]&lt;=2,"0-2 Yrs",IF(HR_Data[[#This Row],[YearsAtCompany]]&lt;=5,"3-5 Yrs",IF(HR_Data[[#This Row],[YearsAtCompany]]&lt;=10,"6-10 Yrs","10+ Yrs")))</f>
        <v>3-5 Yrs</v>
      </c>
      <c r="AJ438" s="1">
        <f>IF(HR_Data[[#This Row],[YearsAtCompany]]&lt;=2,1,IF(HR_Data[[#This Row],[YearsAtCompany]]&lt;=5,2,IF(HR_Data[[#This Row],[YearsAtCompany]]&lt;=10,3,4)))</f>
        <v>2</v>
      </c>
      <c r="AK438" s="1" t="str">
        <f>CHOOSE(HR_Data[[#This Row],[Education]],"Below College","College","Bachelor","Master","Doctor")</f>
        <v>Below College</v>
      </c>
      <c r="AL438" s="1" t="str">
        <f>CHOOSE(HR_Data[[#This Row],[JobSatisfaction]],"Low","Medium","High","Very High")</f>
        <v>Very High</v>
      </c>
      <c r="AM438" s="1" t="str">
        <f>CHOOSE(HR_Data[[#This Row],[EnvironmentSatisfaction]],"Low","Medium","High","Very High")</f>
        <v>Low</v>
      </c>
      <c r="AN438" s="1" t="str">
        <f>CHOOSE(HR_Data[[#This Row],[WorkLifeBalance]],"Bad","Good","Better","Best")</f>
        <v>Better</v>
      </c>
      <c r="AO438" s="1" t="str">
        <f>IF(HR_Data[[#This Row],[PercentSalaryHike]]&lt;=13,"11-13%",IF(HR_Data[[#This Row],[PercentSalaryHike]]&lt;=16,"14-16%",IF(HR_Data[[#This Row],[PercentSalaryHike]]&lt;=19,"17-19%","20-25%")))</f>
        <v>11-13%</v>
      </c>
      <c r="AP438" s="1">
        <f>IF(HR_Data[[#This Row],[PercentSalaryHike]]&lt;=13,1,IF(HR_Data[[#This Row],[PercentSalaryHike]]&lt;=16,2,IF(HR_Data[[#This Row],[PercentSalaryHike]]&lt;=19,3,4)))</f>
        <v>1</v>
      </c>
      <c r="AQ438" s="1" t="str">
        <f>IF(HR_Data[[#This Row],[DistanceFromHome]]&lt;=5,"1 to 5",IF(HR_Data[[#This Row],[DistanceFromHome]]&lt;=10,"6 to 10",IF(HR_Data[[#This Row],[DistanceFromHome]]&lt;=20,"11 to 20","21 to 29")))</f>
        <v>6 to 10</v>
      </c>
      <c r="AR438" s="1">
        <f>IF(HR_Data[[#This Row],[DistanceFromHome]]&lt;=5,1,IF(HR_Data[[#This Row],[DistanceFromHome]]&lt;=10,2,IF(HR_Data[[#This Row],[DistanceFromHome]]&lt;=20,3,4)))</f>
        <v>2</v>
      </c>
      <c r="AS438" s="1" t="str">
        <f>IF(HR_Data[[#This Row],[TotalWorkingYears]]&lt;=5,"0-5 Yrs",IF(HR_Data[[#This Row],[TotalWorkingYears]]&lt;=10,"6-10 Yrs",IF(HR_Data[[#This Row],[TotalWorkingYears]]&lt;=20,"11-20 Yrs","20+ Yrs")))</f>
        <v>6-10 Yrs</v>
      </c>
      <c r="AT438" s="1">
        <f>IF(HR_Data[[#This Row],[TotalWorkingYears]]&lt;=5,1,IF(HR_Data[[#This Row],[TotalWorkingYears]]&lt;=10,2,IF(HR_Data[[#This Row],[TotalWorkingYears]]&lt;=20,3,4)))</f>
        <v>2</v>
      </c>
    </row>
    <row r="439" spans="1:46" x14ac:dyDescent="0.25">
      <c r="A439">
        <v>30</v>
      </c>
      <c r="B439" t="s">
        <v>36</v>
      </c>
      <c r="C439" t="s">
        <v>30</v>
      </c>
      <c r="D439" t="s">
        <v>31</v>
      </c>
      <c r="E439">
        <v>7</v>
      </c>
      <c r="F439">
        <v>1</v>
      </c>
      <c r="G439" t="s">
        <v>52</v>
      </c>
      <c r="H439">
        <v>585</v>
      </c>
      <c r="I439">
        <v>4</v>
      </c>
      <c r="J439" t="s">
        <v>39</v>
      </c>
      <c r="K439">
        <v>3</v>
      </c>
      <c r="L439">
        <v>1</v>
      </c>
      <c r="M439" t="s">
        <v>50</v>
      </c>
      <c r="N439">
        <v>2</v>
      </c>
      <c r="O439" t="s">
        <v>35</v>
      </c>
      <c r="P439">
        <v>2983</v>
      </c>
      <c r="Q439">
        <v>0</v>
      </c>
      <c r="R439" t="s">
        <v>36</v>
      </c>
      <c r="S439">
        <v>14</v>
      </c>
      <c r="T439">
        <v>3</v>
      </c>
      <c r="U439">
        <v>1</v>
      </c>
      <c r="V439">
        <v>0</v>
      </c>
      <c r="W439">
        <v>4</v>
      </c>
      <c r="X439">
        <v>3</v>
      </c>
      <c r="Y439">
        <v>3</v>
      </c>
      <c r="Z439">
        <v>3</v>
      </c>
      <c r="AA439">
        <v>2</v>
      </c>
      <c r="AB439">
        <v>1</v>
      </c>
      <c r="AC439">
        <v>2</v>
      </c>
      <c r="AD439">
        <f>IF(HR_Data[[#This Row],[Attrition]]="Yes",1,0)</f>
        <v>0</v>
      </c>
      <c r="AE439" t="str">
        <f>IF(HR_Data[[#This Row],[Age]]&lt;=25,"18-25",IF(HR_Data[[#This Row],[Age]]&lt;=35,"26-35",IF(HR_Data[[#This Row],[Age]]&lt;=45,"36-45",IF(HR_Data[[#This Row],[Age]]&lt;=55,"46-55","55+"))))</f>
        <v>26-35</v>
      </c>
      <c r="AF439">
        <f>IF(HR_Data[[#This Row],[Age]]&lt;=25,1,IF(HR_Data[[#This Row],[Age]]&lt;=35,2,IF(HR_Data[[#This Row],[Age]]&lt;=45,3,IF(HR_Data[[#This Row],[Age]]&lt;=55,4,5))))</f>
        <v>2</v>
      </c>
      <c r="AG439" s="1" t="str">
        <f>IF(HR_Data[[#This Row],[MonthlyIncome]]&lt;3000,"&lt;3K",IF(HR_Data[[#This Row],[MonthlyIncome]]&lt;6000,"3K-6K",IF(HR_Data[[#This Row],[MonthlyIncome]]&lt;10000,"6K-10K","10K+")))</f>
        <v>&lt;3K</v>
      </c>
      <c r="AH439" s="1">
        <f>IF(HR_Data[[#This Row],[MonthlyIncome]]&lt;3000,1,IF(HR_Data[[#This Row],[MonthlyIncome]]&lt;6000,2,IF(HR_Data[[#This Row],[MonthlyIncome]]&lt;10000,3,4)))</f>
        <v>1</v>
      </c>
      <c r="AI439" s="1" t="str">
        <f>IF(HR_Data[[#This Row],[YearsAtCompany]]&lt;=2,"0-2 Yrs",IF(HR_Data[[#This Row],[YearsAtCompany]]&lt;=5,"3-5 Yrs",IF(HR_Data[[#This Row],[YearsAtCompany]]&lt;=10,"6-10 Yrs","10+ Yrs")))</f>
        <v>3-5 Yrs</v>
      </c>
      <c r="AJ439" s="1">
        <f>IF(HR_Data[[#This Row],[YearsAtCompany]]&lt;=2,1,IF(HR_Data[[#This Row],[YearsAtCompany]]&lt;=5,2,IF(HR_Data[[#This Row],[YearsAtCompany]]&lt;=10,3,4)))</f>
        <v>2</v>
      </c>
      <c r="AK439" s="1" t="str">
        <f>CHOOSE(HR_Data[[#This Row],[Education]],"Below College","College","Bachelor","Master","Doctor")</f>
        <v>Below College</v>
      </c>
      <c r="AL439" s="1" t="str">
        <f>CHOOSE(HR_Data[[#This Row],[JobSatisfaction]],"Low","Medium","High","Very High")</f>
        <v>Medium</v>
      </c>
      <c r="AM439" s="1" t="str">
        <f>CHOOSE(HR_Data[[#This Row],[EnvironmentSatisfaction]],"Low","Medium","High","Very High")</f>
        <v>Very High</v>
      </c>
      <c r="AN439" s="1" t="str">
        <f>CHOOSE(HR_Data[[#This Row],[WorkLifeBalance]],"Bad","Good","Better","Best")</f>
        <v>Better</v>
      </c>
      <c r="AO439" s="1" t="str">
        <f>IF(HR_Data[[#This Row],[PercentSalaryHike]]&lt;=13,"11-13%",IF(HR_Data[[#This Row],[PercentSalaryHike]]&lt;=16,"14-16%",IF(HR_Data[[#This Row],[PercentSalaryHike]]&lt;=19,"17-19%","20-25%")))</f>
        <v>14-16%</v>
      </c>
      <c r="AP439" s="1">
        <f>IF(HR_Data[[#This Row],[PercentSalaryHike]]&lt;=13,1,IF(HR_Data[[#This Row],[PercentSalaryHike]]&lt;=16,2,IF(HR_Data[[#This Row],[PercentSalaryHike]]&lt;=19,3,4)))</f>
        <v>2</v>
      </c>
      <c r="AQ439" s="1" t="str">
        <f>IF(HR_Data[[#This Row],[DistanceFromHome]]&lt;=5,"1 to 5",IF(HR_Data[[#This Row],[DistanceFromHome]]&lt;=10,"6 to 10",IF(HR_Data[[#This Row],[DistanceFromHome]]&lt;=20,"11 to 20","21 to 29")))</f>
        <v>6 to 10</v>
      </c>
      <c r="AR439" s="1">
        <f>IF(HR_Data[[#This Row],[DistanceFromHome]]&lt;=5,1,IF(HR_Data[[#This Row],[DistanceFromHome]]&lt;=10,2,IF(HR_Data[[#This Row],[DistanceFromHome]]&lt;=20,3,4)))</f>
        <v>2</v>
      </c>
      <c r="AS439" s="1" t="str">
        <f>IF(HR_Data[[#This Row],[TotalWorkingYears]]&lt;=5,"0-5 Yrs",IF(HR_Data[[#This Row],[TotalWorkingYears]]&lt;=10,"6-10 Yrs",IF(HR_Data[[#This Row],[TotalWorkingYears]]&lt;=20,"11-20 Yrs","20+ Yrs")))</f>
        <v>0-5 Yrs</v>
      </c>
      <c r="AT439" s="1">
        <f>IF(HR_Data[[#This Row],[TotalWorkingYears]]&lt;=5,1,IF(HR_Data[[#This Row],[TotalWorkingYears]]&lt;=10,2,IF(HR_Data[[#This Row],[TotalWorkingYears]]&lt;=20,3,4)))</f>
        <v>1</v>
      </c>
    </row>
    <row r="440" spans="1:46" x14ac:dyDescent="0.25">
      <c r="A440">
        <v>35</v>
      </c>
      <c r="B440" t="s">
        <v>36</v>
      </c>
      <c r="C440" t="s">
        <v>30</v>
      </c>
      <c r="D440" t="s">
        <v>38</v>
      </c>
      <c r="E440">
        <v>16</v>
      </c>
      <c r="F440">
        <v>3</v>
      </c>
      <c r="G440" t="s">
        <v>32</v>
      </c>
      <c r="H440">
        <v>586</v>
      </c>
      <c r="I440">
        <v>4</v>
      </c>
      <c r="J440" t="s">
        <v>39</v>
      </c>
      <c r="K440">
        <v>3</v>
      </c>
      <c r="L440">
        <v>3</v>
      </c>
      <c r="M440" t="s">
        <v>47</v>
      </c>
      <c r="N440">
        <v>3</v>
      </c>
      <c r="O440" t="s">
        <v>41</v>
      </c>
      <c r="P440">
        <v>7632</v>
      </c>
      <c r="Q440">
        <v>4</v>
      </c>
      <c r="R440" t="s">
        <v>29</v>
      </c>
      <c r="S440">
        <v>12</v>
      </c>
      <c r="T440">
        <v>3</v>
      </c>
      <c r="U440">
        <v>3</v>
      </c>
      <c r="V440">
        <v>0</v>
      </c>
      <c r="W440">
        <v>10</v>
      </c>
      <c r="X440">
        <v>2</v>
      </c>
      <c r="Y440">
        <v>3</v>
      </c>
      <c r="Z440">
        <v>8</v>
      </c>
      <c r="AA440">
        <v>7</v>
      </c>
      <c r="AB440">
        <v>0</v>
      </c>
      <c r="AC440">
        <v>0</v>
      </c>
      <c r="AD440">
        <f>IF(HR_Data[[#This Row],[Attrition]]="Yes",1,0)</f>
        <v>0</v>
      </c>
      <c r="AE440" t="str">
        <f>IF(HR_Data[[#This Row],[Age]]&lt;=25,"18-25",IF(HR_Data[[#This Row],[Age]]&lt;=35,"26-35",IF(HR_Data[[#This Row],[Age]]&lt;=45,"36-45",IF(HR_Data[[#This Row],[Age]]&lt;=55,"46-55","55+"))))</f>
        <v>26-35</v>
      </c>
      <c r="AF440">
        <f>IF(HR_Data[[#This Row],[Age]]&lt;=25,1,IF(HR_Data[[#This Row],[Age]]&lt;=35,2,IF(HR_Data[[#This Row],[Age]]&lt;=45,3,IF(HR_Data[[#This Row],[Age]]&lt;=55,4,5))))</f>
        <v>2</v>
      </c>
      <c r="AG440" s="1" t="str">
        <f>IF(HR_Data[[#This Row],[MonthlyIncome]]&lt;3000,"&lt;3K",IF(HR_Data[[#This Row],[MonthlyIncome]]&lt;6000,"3K-6K",IF(HR_Data[[#This Row],[MonthlyIncome]]&lt;10000,"6K-10K","10K+")))</f>
        <v>6K-10K</v>
      </c>
      <c r="AH440" s="1">
        <f>IF(HR_Data[[#This Row],[MonthlyIncome]]&lt;3000,1,IF(HR_Data[[#This Row],[MonthlyIncome]]&lt;6000,2,IF(HR_Data[[#This Row],[MonthlyIncome]]&lt;10000,3,4)))</f>
        <v>3</v>
      </c>
      <c r="AI440" s="1" t="str">
        <f>IF(HR_Data[[#This Row],[YearsAtCompany]]&lt;=2,"0-2 Yrs",IF(HR_Data[[#This Row],[YearsAtCompany]]&lt;=5,"3-5 Yrs",IF(HR_Data[[#This Row],[YearsAtCompany]]&lt;=10,"6-10 Yrs","10+ Yrs")))</f>
        <v>6-10 Yrs</v>
      </c>
      <c r="AJ440" s="1">
        <f>IF(HR_Data[[#This Row],[YearsAtCompany]]&lt;=2,1,IF(HR_Data[[#This Row],[YearsAtCompany]]&lt;=5,2,IF(HR_Data[[#This Row],[YearsAtCompany]]&lt;=10,3,4)))</f>
        <v>3</v>
      </c>
      <c r="AK440" s="1" t="str">
        <f>CHOOSE(HR_Data[[#This Row],[Education]],"Below College","College","Bachelor","Master","Doctor")</f>
        <v>Bachelor</v>
      </c>
      <c r="AL440" s="1" t="str">
        <f>CHOOSE(HR_Data[[#This Row],[JobSatisfaction]],"Low","Medium","High","Very High")</f>
        <v>High</v>
      </c>
      <c r="AM440" s="1" t="str">
        <f>CHOOSE(HR_Data[[#This Row],[EnvironmentSatisfaction]],"Low","Medium","High","Very High")</f>
        <v>Very High</v>
      </c>
      <c r="AN440" s="1" t="str">
        <f>CHOOSE(HR_Data[[#This Row],[WorkLifeBalance]],"Bad","Good","Better","Best")</f>
        <v>Better</v>
      </c>
      <c r="AO440" s="1" t="str">
        <f>IF(HR_Data[[#This Row],[PercentSalaryHike]]&lt;=13,"11-13%",IF(HR_Data[[#This Row],[PercentSalaryHike]]&lt;=16,"14-16%",IF(HR_Data[[#This Row],[PercentSalaryHike]]&lt;=19,"17-19%","20-25%")))</f>
        <v>11-13%</v>
      </c>
      <c r="AP440" s="1">
        <f>IF(HR_Data[[#This Row],[PercentSalaryHike]]&lt;=13,1,IF(HR_Data[[#This Row],[PercentSalaryHike]]&lt;=16,2,IF(HR_Data[[#This Row],[PercentSalaryHike]]&lt;=19,3,4)))</f>
        <v>1</v>
      </c>
      <c r="AQ440" s="1" t="str">
        <f>IF(HR_Data[[#This Row],[DistanceFromHome]]&lt;=5,"1 to 5",IF(HR_Data[[#This Row],[DistanceFromHome]]&lt;=10,"6 to 10",IF(HR_Data[[#This Row],[DistanceFromHome]]&lt;=20,"11 to 20","21 to 29")))</f>
        <v>11 to 20</v>
      </c>
      <c r="AR440" s="1">
        <f>IF(HR_Data[[#This Row],[DistanceFromHome]]&lt;=5,1,IF(HR_Data[[#This Row],[DistanceFromHome]]&lt;=10,2,IF(HR_Data[[#This Row],[DistanceFromHome]]&lt;=20,3,4)))</f>
        <v>3</v>
      </c>
      <c r="AS440" s="1" t="str">
        <f>IF(HR_Data[[#This Row],[TotalWorkingYears]]&lt;=5,"0-5 Yrs",IF(HR_Data[[#This Row],[TotalWorkingYears]]&lt;=10,"6-10 Yrs",IF(HR_Data[[#This Row],[TotalWorkingYears]]&lt;=20,"11-20 Yrs","20+ Yrs")))</f>
        <v>6-10 Yrs</v>
      </c>
      <c r="AT440" s="1">
        <f>IF(HR_Data[[#This Row],[TotalWorkingYears]]&lt;=5,1,IF(HR_Data[[#This Row],[TotalWorkingYears]]&lt;=10,2,IF(HR_Data[[#This Row],[TotalWorkingYears]]&lt;=20,3,4)))</f>
        <v>2</v>
      </c>
    </row>
    <row r="441" spans="1:46" x14ac:dyDescent="0.25">
      <c r="A441">
        <v>31</v>
      </c>
      <c r="B441" t="s">
        <v>29</v>
      </c>
      <c r="C441" t="s">
        <v>37</v>
      </c>
      <c r="D441" t="s">
        <v>38</v>
      </c>
      <c r="E441">
        <v>20</v>
      </c>
      <c r="F441">
        <v>3</v>
      </c>
      <c r="G441" t="s">
        <v>32</v>
      </c>
      <c r="H441">
        <v>587</v>
      </c>
      <c r="I441">
        <v>1</v>
      </c>
      <c r="J441" t="s">
        <v>39</v>
      </c>
      <c r="K441">
        <v>3</v>
      </c>
      <c r="L441">
        <v>3</v>
      </c>
      <c r="M441" t="s">
        <v>47</v>
      </c>
      <c r="N441">
        <v>3</v>
      </c>
      <c r="O441" t="s">
        <v>41</v>
      </c>
      <c r="P441">
        <v>9824</v>
      </c>
      <c r="Q441">
        <v>3</v>
      </c>
      <c r="R441" t="s">
        <v>36</v>
      </c>
      <c r="S441">
        <v>12</v>
      </c>
      <c r="T441">
        <v>3</v>
      </c>
      <c r="U441">
        <v>1</v>
      </c>
      <c r="V441">
        <v>0</v>
      </c>
      <c r="W441">
        <v>12</v>
      </c>
      <c r="X441">
        <v>2</v>
      </c>
      <c r="Y441">
        <v>3</v>
      </c>
      <c r="Z441">
        <v>1</v>
      </c>
      <c r="AA441">
        <v>0</v>
      </c>
      <c r="AB441">
        <v>0</v>
      </c>
      <c r="AC441">
        <v>0</v>
      </c>
      <c r="AD441">
        <f>IF(HR_Data[[#This Row],[Attrition]]="Yes",1,0)</f>
        <v>1</v>
      </c>
      <c r="AE441" t="str">
        <f>IF(HR_Data[[#This Row],[Age]]&lt;=25,"18-25",IF(HR_Data[[#This Row],[Age]]&lt;=35,"26-35",IF(HR_Data[[#This Row],[Age]]&lt;=45,"36-45",IF(HR_Data[[#This Row],[Age]]&lt;=55,"46-55","55+"))))</f>
        <v>26-35</v>
      </c>
      <c r="AF441">
        <f>IF(HR_Data[[#This Row],[Age]]&lt;=25,1,IF(HR_Data[[#This Row],[Age]]&lt;=35,2,IF(HR_Data[[#This Row],[Age]]&lt;=45,3,IF(HR_Data[[#This Row],[Age]]&lt;=55,4,5))))</f>
        <v>2</v>
      </c>
      <c r="AG441" s="1" t="str">
        <f>IF(HR_Data[[#This Row],[MonthlyIncome]]&lt;3000,"&lt;3K",IF(HR_Data[[#This Row],[MonthlyIncome]]&lt;6000,"3K-6K",IF(HR_Data[[#This Row],[MonthlyIncome]]&lt;10000,"6K-10K","10K+")))</f>
        <v>6K-10K</v>
      </c>
      <c r="AH441" s="1">
        <f>IF(HR_Data[[#This Row],[MonthlyIncome]]&lt;3000,1,IF(HR_Data[[#This Row],[MonthlyIncome]]&lt;6000,2,IF(HR_Data[[#This Row],[MonthlyIncome]]&lt;10000,3,4)))</f>
        <v>3</v>
      </c>
      <c r="AI441" s="1" t="str">
        <f>IF(HR_Data[[#This Row],[YearsAtCompany]]&lt;=2,"0-2 Yrs",IF(HR_Data[[#This Row],[YearsAtCompany]]&lt;=5,"3-5 Yrs",IF(HR_Data[[#This Row],[YearsAtCompany]]&lt;=10,"6-10 Yrs","10+ Yrs")))</f>
        <v>0-2 Yrs</v>
      </c>
      <c r="AJ441" s="1">
        <f>IF(HR_Data[[#This Row],[YearsAtCompany]]&lt;=2,1,IF(HR_Data[[#This Row],[YearsAtCompany]]&lt;=5,2,IF(HR_Data[[#This Row],[YearsAtCompany]]&lt;=10,3,4)))</f>
        <v>1</v>
      </c>
      <c r="AK441" s="1" t="str">
        <f>CHOOSE(HR_Data[[#This Row],[Education]],"Below College","College","Bachelor","Master","Doctor")</f>
        <v>Bachelor</v>
      </c>
      <c r="AL441" s="1" t="str">
        <f>CHOOSE(HR_Data[[#This Row],[JobSatisfaction]],"Low","Medium","High","Very High")</f>
        <v>High</v>
      </c>
      <c r="AM441" s="1" t="str">
        <f>CHOOSE(HR_Data[[#This Row],[EnvironmentSatisfaction]],"Low","Medium","High","Very High")</f>
        <v>Low</v>
      </c>
      <c r="AN441" s="1" t="str">
        <f>CHOOSE(HR_Data[[#This Row],[WorkLifeBalance]],"Bad","Good","Better","Best")</f>
        <v>Better</v>
      </c>
      <c r="AO441" s="1" t="str">
        <f>IF(HR_Data[[#This Row],[PercentSalaryHike]]&lt;=13,"11-13%",IF(HR_Data[[#This Row],[PercentSalaryHike]]&lt;=16,"14-16%",IF(HR_Data[[#This Row],[PercentSalaryHike]]&lt;=19,"17-19%","20-25%")))</f>
        <v>11-13%</v>
      </c>
      <c r="AP441" s="1">
        <f>IF(HR_Data[[#This Row],[PercentSalaryHike]]&lt;=13,1,IF(HR_Data[[#This Row],[PercentSalaryHike]]&lt;=16,2,IF(HR_Data[[#This Row],[PercentSalaryHike]]&lt;=19,3,4)))</f>
        <v>1</v>
      </c>
      <c r="AQ441" s="1" t="str">
        <f>IF(HR_Data[[#This Row],[DistanceFromHome]]&lt;=5,"1 to 5",IF(HR_Data[[#This Row],[DistanceFromHome]]&lt;=10,"6 to 10",IF(HR_Data[[#This Row],[DistanceFromHome]]&lt;=20,"11 to 20","21 to 29")))</f>
        <v>11 to 20</v>
      </c>
      <c r="AR441" s="1">
        <f>IF(HR_Data[[#This Row],[DistanceFromHome]]&lt;=5,1,IF(HR_Data[[#This Row],[DistanceFromHome]]&lt;=10,2,IF(HR_Data[[#This Row],[DistanceFromHome]]&lt;=20,3,4)))</f>
        <v>3</v>
      </c>
      <c r="AS441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441" s="1">
        <f>IF(HR_Data[[#This Row],[TotalWorkingYears]]&lt;=5,1,IF(HR_Data[[#This Row],[TotalWorkingYears]]&lt;=10,2,IF(HR_Data[[#This Row],[TotalWorkingYears]]&lt;=20,3,4)))</f>
        <v>3</v>
      </c>
    </row>
    <row r="442" spans="1:46" x14ac:dyDescent="0.25">
      <c r="A442">
        <v>34</v>
      </c>
      <c r="B442" t="s">
        <v>29</v>
      </c>
      <c r="C442" t="s">
        <v>37</v>
      </c>
      <c r="D442" t="s">
        <v>54</v>
      </c>
      <c r="E442">
        <v>23</v>
      </c>
      <c r="F442">
        <v>3</v>
      </c>
      <c r="G442" t="s">
        <v>54</v>
      </c>
      <c r="H442">
        <v>590</v>
      </c>
      <c r="I442">
        <v>2</v>
      </c>
      <c r="J442" t="s">
        <v>33</v>
      </c>
      <c r="K442">
        <v>3</v>
      </c>
      <c r="L442">
        <v>3</v>
      </c>
      <c r="M442" t="s">
        <v>54</v>
      </c>
      <c r="N442">
        <v>1</v>
      </c>
      <c r="O442" t="s">
        <v>45</v>
      </c>
      <c r="P442">
        <v>9950</v>
      </c>
      <c r="Q442">
        <v>9</v>
      </c>
      <c r="R442" t="s">
        <v>29</v>
      </c>
      <c r="S442">
        <v>15</v>
      </c>
      <c r="T442">
        <v>3</v>
      </c>
      <c r="U442">
        <v>3</v>
      </c>
      <c r="V442">
        <v>3</v>
      </c>
      <c r="W442">
        <v>11</v>
      </c>
      <c r="X442">
        <v>2</v>
      </c>
      <c r="Y442">
        <v>3</v>
      </c>
      <c r="Z442">
        <v>3</v>
      </c>
      <c r="AA442">
        <v>2</v>
      </c>
      <c r="AB442">
        <v>0</v>
      </c>
      <c r="AC442">
        <v>2</v>
      </c>
      <c r="AD442">
        <f>IF(HR_Data[[#This Row],[Attrition]]="Yes",1,0)</f>
        <v>1</v>
      </c>
      <c r="AE442" t="str">
        <f>IF(HR_Data[[#This Row],[Age]]&lt;=25,"18-25",IF(HR_Data[[#This Row],[Age]]&lt;=35,"26-35",IF(HR_Data[[#This Row],[Age]]&lt;=45,"36-45",IF(HR_Data[[#This Row],[Age]]&lt;=55,"46-55","55+"))))</f>
        <v>26-35</v>
      </c>
      <c r="AF442">
        <f>IF(HR_Data[[#This Row],[Age]]&lt;=25,1,IF(HR_Data[[#This Row],[Age]]&lt;=35,2,IF(HR_Data[[#This Row],[Age]]&lt;=45,3,IF(HR_Data[[#This Row],[Age]]&lt;=55,4,5))))</f>
        <v>2</v>
      </c>
      <c r="AG442" s="1" t="str">
        <f>IF(HR_Data[[#This Row],[MonthlyIncome]]&lt;3000,"&lt;3K",IF(HR_Data[[#This Row],[MonthlyIncome]]&lt;6000,"3K-6K",IF(HR_Data[[#This Row],[MonthlyIncome]]&lt;10000,"6K-10K","10K+")))</f>
        <v>6K-10K</v>
      </c>
      <c r="AH442" s="1">
        <f>IF(HR_Data[[#This Row],[MonthlyIncome]]&lt;3000,1,IF(HR_Data[[#This Row],[MonthlyIncome]]&lt;6000,2,IF(HR_Data[[#This Row],[MonthlyIncome]]&lt;10000,3,4)))</f>
        <v>3</v>
      </c>
      <c r="AI442" s="1" t="str">
        <f>IF(HR_Data[[#This Row],[YearsAtCompany]]&lt;=2,"0-2 Yrs",IF(HR_Data[[#This Row],[YearsAtCompany]]&lt;=5,"3-5 Yrs",IF(HR_Data[[#This Row],[YearsAtCompany]]&lt;=10,"6-10 Yrs","10+ Yrs")))</f>
        <v>3-5 Yrs</v>
      </c>
      <c r="AJ442" s="1">
        <f>IF(HR_Data[[#This Row],[YearsAtCompany]]&lt;=2,1,IF(HR_Data[[#This Row],[YearsAtCompany]]&lt;=5,2,IF(HR_Data[[#This Row],[YearsAtCompany]]&lt;=10,3,4)))</f>
        <v>2</v>
      </c>
      <c r="AK442" s="1" t="str">
        <f>CHOOSE(HR_Data[[#This Row],[Education]],"Below College","College","Bachelor","Master","Doctor")</f>
        <v>Bachelor</v>
      </c>
      <c r="AL442" s="1" t="str">
        <f>CHOOSE(HR_Data[[#This Row],[JobSatisfaction]],"Low","Medium","High","Very High")</f>
        <v>Low</v>
      </c>
      <c r="AM442" s="1" t="str">
        <f>CHOOSE(HR_Data[[#This Row],[EnvironmentSatisfaction]],"Low","Medium","High","Very High")</f>
        <v>Medium</v>
      </c>
      <c r="AN442" s="1" t="str">
        <f>CHOOSE(HR_Data[[#This Row],[WorkLifeBalance]],"Bad","Good","Better","Best")</f>
        <v>Better</v>
      </c>
      <c r="AO442" s="1" t="str">
        <f>IF(HR_Data[[#This Row],[PercentSalaryHike]]&lt;=13,"11-13%",IF(HR_Data[[#This Row],[PercentSalaryHike]]&lt;=16,"14-16%",IF(HR_Data[[#This Row],[PercentSalaryHike]]&lt;=19,"17-19%","20-25%")))</f>
        <v>14-16%</v>
      </c>
      <c r="AP442" s="1">
        <f>IF(HR_Data[[#This Row],[PercentSalaryHike]]&lt;=13,1,IF(HR_Data[[#This Row],[PercentSalaryHike]]&lt;=16,2,IF(HR_Data[[#This Row],[PercentSalaryHike]]&lt;=19,3,4)))</f>
        <v>2</v>
      </c>
      <c r="AQ442" s="1" t="str">
        <f>IF(HR_Data[[#This Row],[DistanceFromHome]]&lt;=5,"1 to 5",IF(HR_Data[[#This Row],[DistanceFromHome]]&lt;=10,"6 to 10",IF(HR_Data[[#This Row],[DistanceFromHome]]&lt;=20,"11 to 20","21 to 29")))</f>
        <v>21 to 29</v>
      </c>
      <c r="AR442" s="1">
        <f>IF(HR_Data[[#This Row],[DistanceFromHome]]&lt;=5,1,IF(HR_Data[[#This Row],[DistanceFromHome]]&lt;=10,2,IF(HR_Data[[#This Row],[DistanceFromHome]]&lt;=20,3,4)))</f>
        <v>4</v>
      </c>
      <c r="AS442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442" s="1">
        <f>IF(HR_Data[[#This Row],[TotalWorkingYears]]&lt;=5,1,IF(HR_Data[[#This Row],[TotalWorkingYears]]&lt;=10,2,IF(HR_Data[[#This Row],[TotalWorkingYears]]&lt;=20,3,4)))</f>
        <v>3</v>
      </c>
    </row>
    <row r="443" spans="1:46" x14ac:dyDescent="0.25">
      <c r="A443">
        <v>42</v>
      </c>
      <c r="B443" t="s">
        <v>36</v>
      </c>
      <c r="C443" t="s">
        <v>37</v>
      </c>
      <c r="D443" t="s">
        <v>38</v>
      </c>
      <c r="E443">
        <v>5</v>
      </c>
      <c r="F443">
        <v>2</v>
      </c>
      <c r="G443" t="s">
        <v>42</v>
      </c>
      <c r="H443">
        <v>591</v>
      </c>
      <c r="I443">
        <v>2</v>
      </c>
      <c r="J443" t="s">
        <v>39</v>
      </c>
      <c r="K443">
        <v>3</v>
      </c>
      <c r="L443">
        <v>1</v>
      </c>
      <c r="M443" t="s">
        <v>43</v>
      </c>
      <c r="N443">
        <v>3</v>
      </c>
      <c r="O443" t="s">
        <v>41</v>
      </c>
      <c r="P443">
        <v>2093</v>
      </c>
      <c r="Q443">
        <v>4</v>
      </c>
      <c r="R443" t="s">
        <v>36</v>
      </c>
      <c r="S443">
        <v>17</v>
      </c>
      <c r="T443">
        <v>3</v>
      </c>
      <c r="U443">
        <v>4</v>
      </c>
      <c r="V443">
        <v>1</v>
      </c>
      <c r="W443">
        <v>8</v>
      </c>
      <c r="X443">
        <v>4</v>
      </c>
      <c r="Y443">
        <v>3</v>
      </c>
      <c r="Z443">
        <v>2</v>
      </c>
      <c r="AA443">
        <v>2</v>
      </c>
      <c r="AB443">
        <v>2</v>
      </c>
      <c r="AC443">
        <v>0</v>
      </c>
      <c r="AD443">
        <f>IF(HR_Data[[#This Row],[Attrition]]="Yes",1,0)</f>
        <v>0</v>
      </c>
      <c r="AE443" t="str">
        <f>IF(HR_Data[[#This Row],[Age]]&lt;=25,"18-25",IF(HR_Data[[#This Row],[Age]]&lt;=35,"26-35",IF(HR_Data[[#This Row],[Age]]&lt;=45,"36-45",IF(HR_Data[[#This Row],[Age]]&lt;=55,"46-55","55+"))))</f>
        <v>36-45</v>
      </c>
      <c r="AF443">
        <f>IF(HR_Data[[#This Row],[Age]]&lt;=25,1,IF(HR_Data[[#This Row],[Age]]&lt;=35,2,IF(HR_Data[[#This Row],[Age]]&lt;=45,3,IF(HR_Data[[#This Row],[Age]]&lt;=55,4,5))))</f>
        <v>3</v>
      </c>
      <c r="AG443" s="1" t="str">
        <f>IF(HR_Data[[#This Row],[MonthlyIncome]]&lt;3000,"&lt;3K",IF(HR_Data[[#This Row],[MonthlyIncome]]&lt;6000,"3K-6K",IF(HR_Data[[#This Row],[MonthlyIncome]]&lt;10000,"6K-10K","10K+")))</f>
        <v>&lt;3K</v>
      </c>
      <c r="AH443" s="1">
        <f>IF(HR_Data[[#This Row],[MonthlyIncome]]&lt;3000,1,IF(HR_Data[[#This Row],[MonthlyIncome]]&lt;6000,2,IF(HR_Data[[#This Row],[MonthlyIncome]]&lt;10000,3,4)))</f>
        <v>1</v>
      </c>
      <c r="AI443" s="1" t="str">
        <f>IF(HR_Data[[#This Row],[YearsAtCompany]]&lt;=2,"0-2 Yrs",IF(HR_Data[[#This Row],[YearsAtCompany]]&lt;=5,"3-5 Yrs",IF(HR_Data[[#This Row],[YearsAtCompany]]&lt;=10,"6-10 Yrs","10+ Yrs")))</f>
        <v>0-2 Yrs</v>
      </c>
      <c r="AJ443" s="1">
        <f>IF(HR_Data[[#This Row],[YearsAtCompany]]&lt;=2,1,IF(HR_Data[[#This Row],[YearsAtCompany]]&lt;=5,2,IF(HR_Data[[#This Row],[YearsAtCompany]]&lt;=10,3,4)))</f>
        <v>1</v>
      </c>
      <c r="AK443" s="1" t="str">
        <f>CHOOSE(HR_Data[[#This Row],[Education]],"Below College","College","Bachelor","Master","Doctor")</f>
        <v>College</v>
      </c>
      <c r="AL443" s="1" t="str">
        <f>CHOOSE(HR_Data[[#This Row],[JobSatisfaction]],"Low","Medium","High","Very High")</f>
        <v>High</v>
      </c>
      <c r="AM443" s="1" t="str">
        <f>CHOOSE(HR_Data[[#This Row],[EnvironmentSatisfaction]],"Low","Medium","High","Very High")</f>
        <v>Medium</v>
      </c>
      <c r="AN443" s="1" t="str">
        <f>CHOOSE(HR_Data[[#This Row],[WorkLifeBalance]],"Bad","Good","Better","Best")</f>
        <v>Better</v>
      </c>
      <c r="AO443" s="1" t="str">
        <f>IF(HR_Data[[#This Row],[PercentSalaryHike]]&lt;=13,"11-13%",IF(HR_Data[[#This Row],[PercentSalaryHike]]&lt;=16,"14-16%",IF(HR_Data[[#This Row],[PercentSalaryHike]]&lt;=19,"17-19%","20-25%")))</f>
        <v>17-19%</v>
      </c>
      <c r="AP443" s="1">
        <f>IF(HR_Data[[#This Row],[PercentSalaryHike]]&lt;=13,1,IF(HR_Data[[#This Row],[PercentSalaryHike]]&lt;=16,2,IF(HR_Data[[#This Row],[PercentSalaryHike]]&lt;=19,3,4)))</f>
        <v>3</v>
      </c>
      <c r="AQ443" s="1" t="str">
        <f>IF(HR_Data[[#This Row],[DistanceFromHome]]&lt;=5,"1 to 5",IF(HR_Data[[#This Row],[DistanceFromHome]]&lt;=10,"6 to 10",IF(HR_Data[[#This Row],[DistanceFromHome]]&lt;=20,"11 to 20","21 to 29")))</f>
        <v>1 to 5</v>
      </c>
      <c r="AR443" s="1">
        <f>IF(HR_Data[[#This Row],[DistanceFromHome]]&lt;=5,1,IF(HR_Data[[#This Row],[DistanceFromHome]]&lt;=10,2,IF(HR_Data[[#This Row],[DistanceFromHome]]&lt;=20,3,4)))</f>
        <v>1</v>
      </c>
      <c r="AS443" s="1" t="str">
        <f>IF(HR_Data[[#This Row],[TotalWorkingYears]]&lt;=5,"0-5 Yrs",IF(HR_Data[[#This Row],[TotalWorkingYears]]&lt;=10,"6-10 Yrs",IF(HR_Data[[#This Row],[TotalWorkingYears]]&lt;=20,"11-20 Yrs","20+ Yrs")))</f>
        <v>6-10 Yrs</v>
      </c>
      <c r="AT443" s="1">
        <f>IF(HR_Data[[#This Row],[TotalWorkingYears]]&lt;=5,1,IF(HR_Data[[#This Row],[TotalWorkingYears]]&lt;=10,2,IF(HR_Data[[#This Row],[TotalWorkingYears]]&lt;=20,3,4)))</f>
        <v>2</v>
      </c>
    </row>
    <row r="444" spans="1:46" x14ac:dyDescent="0.25">
      <c r="A444">
        <v>36</v>
      </c>
      <c r="B444" t="s">
        <v>36</v>
      </c>
      <c r="C444" t="s">
        <v>48</v>
      </c>
      <c r="D444" t="s">
        <v>31</v>
      </c>
      <c r="E444">
        <v>10</v>
      </c>
      <c r="F444">
        <v>4</v>
      </c>
      <c r="G444" t="s">
        <v>44</v>
      </c>
      <c r="H444">
        <v>592</v>
      </c>
      <c r="I444">
        <v>2</v>
      </c>
      <c r="J444" t="s">
        <v>39</v>
      </c>
      <c r="K444">
        <v>3</v>
      </c>
      <c r="L444">
        <v>3</v>
      </c>
      <c r="M444" t="s">
        <v>34</v>
      </c>
      <c r="N444">
        <v>4</v>
      </c>
      <c r="O444" t="s">
        <v>35</v>
      </c>
      <c r="P444">
        <v>9980</v>
      </c>
      <c r="Q444">
        <v>1</v>
      </c>
      <c r="R444" t="s">
        <v>36</v>
      </c>
      <c r="S444">
        <v>14</v>
      </c>
      <c r="T444">
        <v>3</v>
      </c>
      <c r="U444">
        <v>4</v>
      </c>
      <c r="V444">
        <v>0</v>
      </c>
      <c r="W444">
        <v>10</v>
      </c>
      <c r="X444">
        <v>3</v>
      </c>
      <c r="Y444">
        <v>2</v>
      </c>
      <c r="Z444">
        <v>10</v>
      </c>
      <c r="AA444">
        <v>3</v>
      </c>
      <c r="AB444">
        <v>9</v>
      </c>
      <c r="AC444">
        <v>7</v>
      </c>
      <c r="AD444">
        <f>IF(HR_Data[[#This Row],[Attrition]]="Yes",1,0)</f>
        <v>0</v>
      </c>
      <c r="AE444" t="str">
        <f>IF(HR_Data[[#This Row],[Age]]&lt;=25,"18-25",IF(HR_Data[[#This Row],[Age]]&lt;=35,"26-35",IF(HR_Data[[#This Row],[Age]]&lt;=45,"36-45",IF(HR_Data[[#This Row],[Age]]&lt;=55,"46-55","55+"))))</f>
        <v>36-45</v>
      </c>
      <c r="AF444">
        <f>IF(HR_Data[[#This Row],[Age]]&lt;=25,1,IF(HR_Data[[#This Row],[Age]]&lt;=35,2,IF(HR_Data[[#This Row],[Age]]&lt;=45,3,IF(HR_Data[[#This Row],[Age]]&lt;=55,4,5))))</f>
        <v>3</v>
      </c>
      <c r="AG444" s="1" t="str">
        <f>IF(HR_Data[[#This Row],[MonthlyIncome]]&lt;3000,"&lt;3K",IF(HR_Data[[#This Row],[MonthlyIncome]]&lt;6000,"3K-6K",IF(HR_Data[[#This Row],[MonthlyIncome]]&lt;10000,"6K-10K","10K+")))</f>
        <v>6K-10K</v>
      </c>
      <c r="AH444" s="1">
        <f>IF(HR_Data[[#This Row],[MonthlyIncome]]&lt;3000,1,IF(HR_Data[[#This Row],[MonthlyIncome]]&lt;6000,2,IF(HR_Data[[#This Row],[MonthlyIncome]]&lt;10000,3,4)))</f>
        <v>3</v>
      </c>
      <c r="AI444" s="1" t="str">
        <f>IF(HR_Data[[#This Row],[YearsAtCompany]]&lt;=2,"0-2 Yrs",IF(HR_Data[[#This Row],[YearsAtCompany]]&lt;=5,"3-5 Yrs",IF(HR_Data[[#This Row],[YearsAtCompany]]&lt;=10,"6-10 Yrs","10+ Yrs")))</f>
        <v>6-10 Yrs</v>
      </c>
      <c r="AJ444" s="1">
        <f>IF(HR_Data[[#This Row],[YearsAtCompany]]&lt;=2,1,IF(HR_Data[[#This Row],[YearsAtCompany]]&lt;=5,2,IF(HR_Data[[#This Row],[YearsAtCompany]]&lt;=10,3,4)))</f>
        <v>3</v>
      </c>
      <c r="AK444" s="1" t="str">
        <f>CHOOSE(HR_Data[[#This Row],[Education]],"Below College","College","Bachelor","Master","Doctor")</f>
        <v>Master</v>
      </c>
      <c r="AL444" s="1" t="str">
        <f>CHOOSE(HR_Data[[#This Row],[JobSatisfaction]],"Low","Medium","High","Very High")</f>
        <v>Very High</v>
      </c>
      <c r="AM444" s="1" t="str">
        <f>CHOOSE(HR_Data[[#This Row],[EnvironmentSatisfaction]],"Low","Medium","High","Very High")</f>
        <v>Medium</v>
      </c>
      <c r="AN444" s="1" t="str">
        <f>CHOOSE(HR_Data[[#This Row],[WorkLifeBalance]],"Bad","Good","Better","Best")</f>
        <v>Good</v>
      </c>
      <c r="AO444" s="1" t="str">
        <f>IF(HR_Data[[#This Row],[PercentSalaryHike]]&lt;=13,"11-13%",IF(HR_Data[[#This Row],[PercentSalaryHike]]&lt;=16,"14-16%",IF(HR_Data[[#This Row],[PercentSalaryHike]]&lt;=19,"17-19%","20-25%")))</f>
        <v>14-16%</v>
      </c>
      <c r="AP444" s="1">
        <f>IF(HR_Data[[#This Row],[PercentSalaryHike]]&lt;=13,1,IF(HR_Data[[#This Row],[PercentSalaryHike]]&lt;=16,2,IF(HR_Data[[#This Row],[PercentSalaryHike]]&lt;=19,3,4)))</f>
        <v>2</v>
      </c>
      <c r="AQ444" s="1" t="str">
        <f>IF(HR_Data[[#This Row],[DistanceFromHome]]&lt;=5,"1 to 5",IF(HR_Data[[#This Row],[DistanceFromHome]]&lt;=10,"6 to 10",IF(HR_Data[[#This Row],[DistanceFromHome]]&lt;=20,"11 to 20","21 to 29")))</f>
        <v>6 to 10</v>
      </c>
      <c r="AR444" s="1">
        <f>IF(HR_Data[[#This Row],[DistanceFromHome]]&lt;=5,1,IF(HR_Data[[#This Row],[DistanceFromHome]]&lt;=10,2,IF(HR_Data[[#This Row],[DistanceFromHome]]&lt;=20,3,4)))</f>
        <v>2</v>
      </c>
      <c r="AS444" s="1" t="str">
        <f>IF(HR_Data[[#This Row],[TotalWorkingYears]]&lt;=5,"0-5 Yrs",IF(HR_Data[[#This Row],[TotalWorkingYears]]&lt;=10,"6-10 Yrs",IF(HR_Data[[#This Row],[TotalWorkingYears]]&lt;=20,"11-20 Yrs","20+ Yrs")))</f>
        <v>6-10 Yrs</v>
      </c>
      <c r="AT444" s="1">
        <f>IF(HR_Data[[#This Row],[TotalWorkingYears]]&lt;=5,1,IF(HR_Data[[#This Row],[TotalWorkingYears]]&lt;=10,2,IF(HR_Data[[#This Row],[TotalWorkingYears]]&lt;=20,3,4)))</f>
        <v>2</v>
      </c>
    </row>
    <row r="445" spans="1:46" x14ac:dyDescent="0.25">
      <c r="A445">
        <v>22</v>
      </c>
      <c r="B445" t="s">
        <v>29</v>
      </c>
      <c r="C445" t="s">
        <v>37</v>
      </c>
      <c r="D445" t="s">
        <v>38</v>
      </c>
      <c r="E445">
        <v>4</v>
      </c>
      <c r="F445">
        <v>1</v>
      </c>
      <c r="G445" t="s">
        <v>53</v>
      </c>
      <c r="H445">
        <v>593</v>
      </c>
      <c r="I445">
        <v>3</v>
      </c>
      <c r="J445" t="s">
        <v>39</v>
      </c>
      <c r="K445">
        <v>2</v>
      </c>
      <c r="L445">
        <v>1</v>
      </c>
      <c r="M445" t="s">
        <v>43</v>
      </c>
      <c r="N445">
        <v>3</v>
      </c>
      <c r="O445" t="s">
        <v>35</v>
      </c>
      <c r="P445">
        <v>3894</v>
      </c>
      <c r="Q445">
        <v>5</v>
      </c>
      <c r="R445" t="s">
        <v>36</v>
      </c>
      <c r="S445">
        <v>16</v>
      </c>
      <c r="T445">
        <v>3</v>
      </c>
      <c r="U445">
        <v>3</v>
      </c>
      <c r="V445">
        <v>0</v>
      </c>
      <c r="W445">
        <v>4</v>
      </c>
      <c r="X445">
        <v>3</v>
      </c>
      <c r="Y445">
        <v>3</v>
      </c>
      <c r="Z445">
        <v>2</v>
      </c>
      <c r="AA445">
        <v>2</v>
      </c>
      <c r="AB445">
        <v>1</v>
      </c>
      <c r="AC445">
        <v>2</v>
      </c>
      <c r="AD445">
        <f>IF(HR_Data[[#This Row],[Attrition]]="Yes",1,0)</f>
        <v>1</v>
      </c>
      <c r="AE445" t="str">
        <f>IF(HR_Data[[#This Row],[Age]]&lt;=25,"18-25",IF(HR_Data[[#This Row],[Age]]&lt;=35,"26-35",IF(HR_Data[[#This Row],[Age]]&lt;=45,"36-45",IF(HR_Data[[#This Row],[Age]]&lt;=55,"46-55","55+"))))</f>
        <v>18-25</v>
      </c>
      <c r="AF445">
        <f>IF(HR_Data[[#This Row],[Age]]&lt;=25,1,IF(HR_Data[[#This Row],[Age]]&lt;=35,2,IF(HR_Data[[#This Row],[Age]]&lt;=45,3,IF(HR_Data[[#This Row],[Age]]&lt;=55,4,5))))</f>
        <v>1</v>
      </c>
      <c r="AG445" s="1" t="str">
        <f>IF(HR_Data[[#This Row],[MonthlyIncome]]&lt;3000,"&lt;3K",IF(HR_Data[[#This Row],[MonthlyIncome]]&lt;6000,"3K-6K",IF(HR_Data[[#This Row],[MonthlyIncome]]&lt;10000,"6K-10K","10K+")))</f>
        <v>3K-6K</v>
      </c>
      <c r="AH445" s="1">
        <f>IF(HR_Data[[#This Row],[MonthlyIncome]]&lt;3000,1,IF(HR_Data[[#This Row],[MonthlyIncome]]&lt;6000,2,IF(HR_Data[[#This Row],[MonthlyIncome]]&lt;10000,3,4)))</f>
        <v>2</v>
      </c>
      <c r="AI445" s="1" t="str">
        <f>IF(HR_Data[[#This Row],[YearsAtCompany]]&lt;=2,"0-2 Yrs",IF(HR_Data[[#This Row],[YearsAtCompany]]&lt;=5,"3-5 Yrs",IF(HR_Data[[#This Row],[YearsAtCompany]]&lt;=10,"6-10 Yrs","10+ Yrs")))</f>
        <v>0-2 Yrs</v>
      </c>
      <c r="AJ445" s="1">
        <f>IF(HR_Data[[#This Row],[YearsAtCompany]]&lt;=2,1,IF(HR_Data[[#This Row],[YearsAtCompany]]&lt;=5,2,IF(HR_Data[[#This Row],[YearsAtCompany]]&lt;=10,3,4)))</f>
        <v>1</v>
      </c>
      <c r="AK445" s="1" t="str">
        <f>CHOOSE(HR_Data[[#This Row],[Education]],"Below College","College","Bachelor","Master","Doctor")</f>
        <v>Below College</v>
      </c>
      <c r="AL445" s="1" t="str">
        <f>CHOOSE(HR_Data[[#This Row],[JobSatisfaction]],"Low","Medium","High","Very High")</f>
        <v>High</v>
      </c>
      <c r="AM445" s="1" t="str">
        <f>CHOOSE(HR_Data[[#This Row],[EnvironmentSatisfaction]],"Low","Medium","High","Very High")</f>
        <v>High</v>
      </c>
      <c r="AN445" s="1" t="str">
        <f>CHOOSE(HR_Data[[#This Row],[WorkLifeBalance]],"Bad","Good","Better","Best")</f>
        <v>Better</v>
      </c>
      <c r="AO445" s="1" t="str">
        <f>IF(HR_Data[[#This Row],[PercentSalaryHike]]&lt;=13,"11-13%",IF(HR_Data[[#This Row],[PercentSalaryHike]]&lt;=16,"14-16%",IF(HR_Data[[#This Row],[PercentSalaryHike]]&lt;=19,"17-19%","20-25%")))</f>
        <v>14-16%</v>
      </c>
      <c r="AP445" s="1">
        <f>IF(HR_Data[[#This Row],[PercentSalaryHike]]&lt;=13,1,IF(HR_Data[[#This Row],[PercentSalaryHike]]&lt;=16,2,IF(HR_Data[[#This Row],[PercentSalaryHike]]&lt;=19,3,4)))</f>
        <v>2</v>
      </c>
      <c r="AQ445" s="1" t="str">
        <f>IF(HR_Data[[#This Row],[DistanceFromHome]]&lt;=5,"1 to 5",IF(HR_Data[[#This Row],[DistanceFromHome]]&lt;=10,"6 to 10",IF(HR_Data[[#This Row],[DistanceFromHome]]&lt;=20,"11 to 20","21 to 29")))</f>
        <v>1 to 5</v>
      </c>
      <c r="AR445" s="1">
        <f>IF(HR_Data[[#This Row],[DistanceFromHome]]&lt;=5,1,IF(HR_Data[[#This Row],[DistanceFromHome]]&lt;=10,2,IF(HR_Data[[#This Row],[DistanceFromHome]]&lt;=20,3,4)))</f>
        <v>1</v>
      </c>
      <c r="AS445" s="1" t="str">
        <f>IF(HR_Data[[#This Row],[TotalWorkingYears]]&lt;=5,"0-5 Yrs",IF(HR_Data[[#This Row],[TotalWorkingYears]]&lt;=10,"6-10 Yrs",IF(HR_Data[[#This Row],[TotalWorkingYears]]&lt;=20,"11-20 Yrs","20+ Yrs")))</f>
        <v>0-5 Yrs</v>
      </c>
      <c r="AT445" s="1">
        <f>IF(HR_Data[[#This Row],[TotalWorkingYears]]&lt;=5,1,IF(HR_Data[[#This Row],[TotalWorkingYears]]&lt;=10,2,IF(HR_Data[[#This Row],[TotalWorkingYears]]&lt;=20,3,4)))</f>
        <v>1</v>
      </c>
    </row>
    <row r="446" spans="1:46" x14ac:dyDescent="0.25">
      <c r="A446">
        <v>48</v>
      </c>
      <c r="B446" t="s">
        <v>36</v>
      </c>
      <c r="C446" t="s">
        <v>30</v>
      </c>
      <c r="D446" t="s">
        <v>31</v>
      </c>
      <c r="E446">
        <v>2</v>
      </c>
      <c r="F446">
        <v>5</v>
      </c>
      <c r="G446" t="s">
        <v>52</v>
      </c>
      <c r="H446">
        <v>595</v>
      </c>
      <c r="I446">
        <v>2</v>
      </c>
      <c r="J446" t="s">
        <v>33</v>
      </c>
      <c r="K446">
        <v>3</v>
      </c>
      <c r="L446">
        <v>2</v>
      </c>
      <c r="M446" t="s">
        <v>34</v>
      </c>
      <c r="N446">
        <v>4</v>
      </c>
      <c r="O446" t="s">
        <v>41</v>
      </c>
      <c r="P446">
        <v>4051</v>
      </c>
      <c r="Q446">
        <v>2</v>
      </c>
      <c r="R446" t="s">
        <v>36</v>
      </c>
      <c r="S446">
        <v>14</v>
      </c>
      <c r="T446">
        <v>3</v>
      </c>
      <c r="U446">
        <v>1</v>
      </c>
      <c r="V446">
        <v>1</v>
      </c>
      <c r="W446">
        <v>14</v>
      </c>
      <c r="X446">
        <v>2</v>
      </c>
      <c r="Y446">
        <v>3</v>
      </c>
      <c r="Z446">
        <v>9</v>
      </c>
      <c r="AA446">
        <v>7</v>
      </c>
      <c r="AB446">
        <v>6</v>
      </c>
      <c r="AC446">
        <v>7</v>
      </c>
      <c r="AD446">
        <f>IF(HR_Data[[#This Row],[Attrition]]="Yes",1,0)</f>
        <v>0</v>
      </c>
      <c r="AE446" t="str">
        <f>IF(HR_Data[[#This Row],[Age]]&lt;=25,"18-25",IF(HR_Data[[#This Row],[Age]]&lt;=35,"26-35",IF(HR_Data[[#This Row],[Age]]&lt;=45,"36-45",IF(HR_Data[[#This Row],[Age]]&lt;=55,"46-55","55+"))))</f>
        <v>46-55</v>
      </c>
      <c r="AF446">
        <f>IF(HR_Data[[#This Row],[Age]]&lt;=25,1,IF(HR_Data[[#This Row],[Age]]&lt;=35,2,IF(HR_Data[[#This Row],[Age]]&lt;=45,3,IF(HR_Data[[#This Row],[Age]]&lt;=55,4,5))))</f>
        <v>4</v>
      </c>
      <c r="AG446" s="1" t="str">
        <f>IF(HR_Data[[#This Row],[MonthlyIncome]]&lt;3000,"&lt;3K",IF(HR_Data[[#This Row],[MonthlyIncome]]&lt;6000,"3K-6K",IF(HR_Data[[#This Row],[MonthlyIncome]]&lt;10000,"6K-10K","10K+")))</f>
        <v>3K-6K</v>
      </c>
      <c r="AH446" s="1">
        <f>IF(HR_Data[[#This Row],[MonthlyIncome]]&lt;3000,1,IF(HR_Data[[#This Row],[MonthlyIncome]]&lt;6000,2,IF(HR_Data[[#This Row],[MonthlyIncome]]&lt;10000,3,4)))</f>
        <v>2</v>
      </c>
      <c r="AI446" s="1" t="str">
        <f>IF(HR_Data[[#This Row],[YearsAtCompany]]&lt;=2,"0-2 Yrs",IF(HR_Data[[#This Row],[YearsAtCompany]]&lt;=5,"3-5 Yrs",IF(HR_Data[[#This Row],[YearsAtCompany]]&lt;=10,"6-10 Yrs","10+ Yrs")))</f>
        <v>6-10 Yrs</v>
      </c>
      <c r="AJ446" s="1">
        <f>IF(HR_Data[[#This Row],[YearsAtCompany]]&lt;=2,1,IF(HR_Data[[#This Row],[YearsAtCompany]]&lt;=5,2,IF(HR_Data[[#This Row],[YearsAtCompany]]&lt;=10,3,4)))</f>
        <v>3</v>
      </c>
      <c r="AK446" s="1" t="str">
        <f>CHOOSE(HR_Data[[#This Row],[Education]],"Below College","College","Bachelor","Master","Doctor")</f>
        <v>Doctor</v>
      </c>
      <c r="AL446" s="1" t="str">
        <f>CHOOSE(HR_Data[[#This Row],[JobSatisfaction]],"Low","Medium","High","Very High")</f>
        <v>Very High</v>
      </c>
      <c r="AM446" s="1" t="str">
        <f>CHOOSE(HR_Data[[#This Row],[EnvironmentSatisfaction]],"Low","Medium","High","Very High")</f>
        <v>Medium</v>
      </c>
      <c r="AN446" s="1" t="str">
        <f>CHOOSE(HR_Data[[#This Row],[WorkLifeBalance]],"Bad","Good","Better","Best")</f>
        <v>Better</v>
      </c>
      <c r="AO446" s="1" t="str">
        <f>IF(HR_Data[[#This Row],[PercentSalaryHike]]&lt;=13,"11-13%",IF(HR_Data[[#This Row],[PercentSalaryHike]]&lt;=16,"14-16%",IF(HR_Data[[#This Row],[PercentSalaryHike]]&lt;=19,"17-19%","20-25%")))</f>
        <v>14-16%</v>
      </c>
      <c r="AP446" s="1">
        <f>IF(HR_Data[[#This Row],[PercentSalaryHike]]&lt;=13,1,IF(HR_Data[[#This Row],[PercentSalaryHike]]&lt;=16,2,IF(HR_Data[[#This Row],[PercentSalaryHike]]&lt;=19,3,4)))</f>
        <v>2</v>
      </c>
      <c r="AQ446" s="1" t="str">
        <f>IF(HR_Data[[#This Row],[DistanceFromHome]]&lt;=5,"1 to 5",IF(HR_Data[[#This Row],[DistanceFromHome]]&lt;=10,"6 to 10",IF(HR_Data[[#This Row],[DistanceFromHome]]&lt;=20,"11 to 20","21 to 29")))</f>
        <v>1 to 5</v>
      </c>
      <c r="AR446" s="1">
        <f>IF(HR_Data[[#This Row],[DistanceFromHome]]&lt;=5,1,IF(HR_Data[[#This Row],[DistanceFromHome]]&lt;=10,2,IF(HR_Data[[#This Row],[DistanceFromHome]]&lt;=20,3,4)))</f>
        <v>1</v>
      </c>
      <c r="AS446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446" s="1">
        <f>IF(HR_Data[[#This Row],[TotalWorkingYears]]&lt;=5,1,IF(HR_Data[[#This Row],[TotalWorkingYears]]&lt;=10,2,IF(HR_Data[[#This Row],[TotalWorkingYears]]&lt;=20,3,4)))</f>
        <v>3</v>
      </c>
    </row>
    <row r="447" spans="1:46" x14ac:dyDescent="0.25">
      <c r="A447">
        <v>55</v>
      </c>
      <c r="B447" t="s">
        <v>36</v>
      </c>
      <c r="C447" t="s">
        <v>30</v>
      </c>
      <c r="D447" t="s">
        <v>31</v>
      </c>
      <c r="E447">
        <v>18</v>
      </c>
      <c r="F447">
        <v>5</v>
      </c>
      <c r="G447" t="s">
        <v>32</v>
      </c>
      <c r="H447">
        <v>597</v>
      </c>
      <c r="I447">
        <v>1</v>
      </c>
      <c r="J447" t="s">
        <v>33</v>
      </c>
      <c r="K447">
        <v>3</v>
      </c>
      <c r="L447">
        <v>4</v>
      </c>
      <c r="M447" t="s">
        <v>49</v>
      </c>
      <c r="N447">
        <v>2</v>
      </c>
      <c r="O447" t="s">
        <v>35</v>
      </c>
      <c r="P447">
        <v>16835</v>
      </c>
      <c r="Q447">
        <v>3</v>
      </c>
      <c r="R447" t="s">
        <v>36</v>
      </c>
      <c r="S447">
        <v>23</v>
      </c>
      <c r="T447">
        <v>4</v>
      </c>
      <c r="U447">
        <v>4</v>
      </c>
      <c r="V447">
        <v>0</v>
      </c>
      <c r="W447">
        <v>37</v>
      </c>
      <c r="X447">
        <v>2</v>
      </c>
      <c r="Y447">
        <v>3</v>
      </c>
      <c r="Z447">
        <v>10</v>
      </c>
      <c r="AA447">
        <v>9</v>
      </c>
      <c r="AB447">
        <v>7</v>
      </c>
      <c r="AC447">
        <v>7</v>
      </c>
      <c r="AD447">
        <f>IF(HR_Data[[#This Row],[Attrition]]="Yes",1,0)</f>
        <v>0</v>
      </c>
      <c r="AE447" t="str">
        <f>IF(HR_Data[[#This Row],[Age]]&lt;=25,"18-25",IF(HR_Data[[#This Row],[Age]]&lt;=35,"26-35",IF(HR_Data[[#This Row],[Age]]&lt;=45,"36-45",IF(HR_Data[[#This Row],[Age]]&lt;=55,"46-55","55+"))))</f>
        <v>46-55</v>
      </c>
      <c r="AF447">
        <f>IF(HR_Data[[#This Row],[Age]]&lt;=25,1,IF(HR_Data[[#This Row],[Age]]&lt;=35,2,IF(HR_Data[[#This Row],[Age]]&lt;=45,3,IF(HR_Data[[#This Row],[Age]]&lt;=55,4,5))))</f>
        <v>4</v>
      </c>
      <c r="AG447" s="1" t="str">
        <f>IF(HR_Data[[#This Row],[MonthlyIncome]]&lt;3000,"&lt;3K",IF(HR_Data[[#This Row],[MonthlyIncome]]&lt;6000,"3K-6K",IF(HR_Data[[#This Row],[MonthlyIncome]]&lt;10000,"6K-10K","10K+")))</f>
        <v>10K+</v>
      </c>
      <c r="AH447" s="1">
        <f>IF(HR_Data[[#This Row],[MonthlyIncome]]&lt;3000,1,IF(HR_Data[[#This Row],[MonthlyIncome]]&lt;6000,2,IF(HR_Data[[#This Row],[MonthlyIncome]]&lt;10000,3,4)))</f>
        <v>4</v>
      </c>
      <c r="AI447" s="1" t="str">
        <f>IF(HR_Data[[#This Row],[YearsAtCompany]]&lt;=2,"0-2 Yrs",IF(HR_Data[[#This Row],[YearsAtCompany]]&lt;=5,"3-5 Yrs",IF(HR_Data[[#This Row],[YearsAtCompany]]&lt;=10,"6-10 Yrs","10+ Yrs")))</f>
        <v>6-10 Yrs</v>
      </c>
      <c r="AJ447" s="1">
        <f>IF(HR_Data[[#This Row],[YearsAtCompany]]&lt;=2,1,IF(HR_Data[[#This Row],[YearsAtCompany]]&lt;=5,2,IF(HR_Data[[#This Row],[YearsAtCompany]]&lt;=10,3,4)))</f>
        <v>3</v>
      </c>
      <c r="AK447" s="1" t="str">
        <f>CHOOSE(HR_Data[[#This Row],[Education]],"Below College","College","Bachelor","Master","Doctor")</f>
        <v>Doctor</v>
      </c>
      <c r="AL447" s="1" t="str">
        <f>CHOOSE(HR_Data[[#This Row],[JobSatisfaction]],"Low","Medium","High","Very High")</f>
        <v>Medium</v>
      </c>
      <c r="AM447" s="1" t="str">
        <f>CHOOSE(HR_Data[[#This Row],[EnvironmentSatisfaction]],"Low","Medium","High","Very High")</f>
        <v>Low</v>
      </c>
      <c r="AN447" s="1" t="str">
        <f>CHOOSE(HR_Data[[#This Row],[WorkLifeBalance]],"Bad","Good","Better","Best")</f>
        <v>Better</v>
      </c>
      <c r="AO447" s="1" t="str">
        <f>IF(HR_Data[[#This Row],[PercentSalaryHike]]&lt;=13,"11-13%",IF(HR_Data[[#This Row],[PercentSalaryHike]]&lt;=16,"14-16%",IF(HR_Data[[#This Row],[PercentSalaryHike]]&lt;=19,"17-19%","20-25%")))</f>
        <v>20-25%</v>
      </c>
      <c r="AP447" s="1">
        <f>IF(HR_Data[[#This Row],[PercentSalaryHike]]&lt;=13,1,IF(HR_Data[[#This Row],[PercentSalaryHike]]&lt;=16,2,IF(HR_Data[[#This Row],[PercentSalaryHike]]&lt;=19,3,4)))</f>
        <v>4</v>
      </c>
      <c r="AQ447" s="1" t="str">
        <f>IF(HR_Data[[#This Row],[DistanceFromHome]]&lt;=5,"1 to 5",IF(HR_Data[[#This Row],[DistanceFromHome]]&lt;=10,"6 to 10",IF(HR_Data[[#This Row],[DistanceFromHome]]&lt;=20,"11 to 20","21 to 29")))</f>
        <v>11 to 20</v>
      </c>
      <c r="AR447" s="1">
        <f>IF(HR_Data[[#This Row],[DistanceFromHome]]&lt;=5,1,IF(HR_Data[[#This Row],[DistanceFromHome]]&lt;=10,2,IF(HR_Data[[#This Row],[DistanceFromHome]]&lt;=20,3,4)))</f>
        <v>3</v>
      </c>
      <c r="AS447" s="1" t="str">
        <f>IF(HR_Data[[#This Row],[TotalWorkingYears]]&lt;=5,"0-5 Yrs",IF(HR_Data[[#This Row],[TotalWorkingYears]]&lt;=10,"6-10 Yrs",IF(HR_Data[[#This Row],[TotalWorkingYears]]&lt;=20,"11-20 Yrs","20+ Yrs")))</f>
        <v>20+ Yrs</v>
      </c>
      <c r="AT447" s="1">
        <f>IF(HR_Data[[#This Row],[TotalWorkingYears]]&lt;=5,1,IF(HR_Data[[#This Row],[TotalWorkingYears]]&lt;=10,2,IF(HR_Data[[#This Row],[TotalWorkingYears]]&lt;=20,3,4)))</f>
        <v>4</v>
      </c>
    </row>
    <row r="448" spans="1:46" x14ac:dyDescent="0.25">
      <c r="A448">
        <v>41</v>
      </c>
      <c r="B448" t="s">
        <v>36</v>
      </c>
      <c r="C448" t="s">
        <v>48</v>
      </c>
      <c r="D448" t="s">
        <v>31</v>
      </c>
      <c r="E448">
        <v>10</v>
      </c>
      <c r="F448">
        <v>2</v>
      </c>
      <c r="G448" t="s">
        <v>32</v>
      </c>
      <c r="H448">
        <v>599</v>
      </c>
      <c r="I448">
        <v>4</v>
      </c>
      <c r="J448" t="s">
        <v>39</v>
      </c>
      <c r="K448">
        <v>3</v>
      </c>
      <c r="L448">
        <v>2</v>
      </c>
      <c r="M448" t="s">
        <v>34</v>
      </c>
      <c r="N448">
        <v>4</v>
      </c>
      <c r="O448" t="s">
        <v>35</v>
      </c>
      <c r="P448">
        <v>6230</v>
      </c>
      <c r="Q448">
        <v>7</v>
      </c>
      <c r="R448" t="s">
        <v>36</v>
      </c>
      <c r="S448">
        <v>14</v>
      </c>
      <c r="T448">
        <v>3</v>
      </c>
      <c r="U448">
        <v>4</v>
      </c>
      <c r="V448">
        <v>0</v>
      </c>
      <c r="W448">
        <v>16</v>
      </c>
      <c r="X448">
        <v>3</v>
      </c>
      <c r="Y448">
        <v>3</v>
      </c>
      <c r="Z448">
        <v>14</v>
      </c>
      <c r="AA448">
        <v>3</v>
      </c>
      <c r="AB448">
        <v>1</v>
      </c>
      <c r="AC448">
        <v>10</v>
      </c>
      <c r="AD448">
        <f>IF(HR_Data[[#This Row],[Attrition]]="Yes",1,0)</f>
        <v>0</v>
      </c>
      <c r="AE448" t="str">
        <f>IF(HR_Data[[#This Row],[Age]]&lt;=25,"18-25",IF(HR_Data[[#This Row],[Age]]&lt;=35,"26-35",IF(HR_Data[[#This Row],[Age]]&lt;=45,"36-45",IF(HR_Data[[#This Row],[Age]]&lt;=55,"46-55","55+"))))</f>
        <v>36-45</v>
      </c>
      <c r="AF448">
        <f>IF(HR_Data[[#This Row],[Age]]&lt;=25,1,IF(HR_Data[[#This Row],[Age]]&lt;=35,2,IF(HR_Data[[#This Row],[Age]]&lt;=45,3,IF(HR_Data[[#This Row],[Age]]&lt;=55,4,5))))</f>
        <v>3</v>
      </c>
      <c r="AG448" s="1" t="str">
        <f>IF(HR_Data[[#This Row],[MonthlyIncome]]&lt;3000,"&lt;3K",IF(HR_Data[[#This Row],[MonthlyIncome]]&lt;6000,"3K-6K",IF(HR_Data[[#This Row],[MonthlyIncome]]&lt;10000,"6K-10K","10K+")))</f>
        <v>6K-10K</v>
      </c>
      <c r="AH448" s="1">
        <f>IF(HR_Data[[#This Row],[MonthlyIncome]]&lt;3000,1,IF(HR_Data[[#This Row],[MonthlyIncome]]&lt;6000,2,IF(HR_Data[[#This Row],[MonthlyIncome]]&lt;10000,3,4)))</f>
        <v>3</v>
      </c>
      <c r="AI448" s="1" t="str">
        <f>IF(HR_Data[[#This Row],[YearsAtCompany]]&lt;=2,"0-2 Yrs",IF(HR_Data[[#This Row],[YearsAtCompany]]&lt;=5,"3-5 Yrs",IF(HR_Data[[#This Row],[YearsAtCompany]]&lt;=10,"6-10 Yrs","10+ Yrs")))</f>
        <v>10+ Yrs</v>
      </c>
      <c r="AJ448" s="1">
        <f>IF(HR_Data[[#This Row],[YearsAtCompany]]&lt;=2,1,IF(HR_Data[[#This Row],[YearsAtCompany]]&lt;=5,2,IF(HR_Data[[#This Row],[YearsAtCompany]]&lt;=10,3,4)))</f>
        <v>4</v>
      </c>
      <c r="AK448" s="1" t="str">
        <f>CHOOSE(HR_Data[[#This Row],[Education]],"Below College","College","Bachelor","Master","Doctor")</f>
        <v>College</v>
      </c>
      <c r="AL448" s="1" t="str">
        <f>CHOOSE(HR_Data[[#This Row],[JobSatisfaction]],"Low","Medium","High","Very High")</f>
        <v>Very High</v>
      </c>
      <c r="AM448" s="1" t="str">
        <f>CHOOSE(HR_Data[[#This Row],[EnvironmentSatisfaction]],"Low","Medium","High","Very High")</f>
        <v>Very High</v>
      </c>
      <c r="AN448" s="1" t="str">
        <f>CHOOSE(HR_Data[[#This Row],[WorkLifeBalance]],"Bad","Good","Better","Best")</f>
        <v>Better</v>
      </c>
      <c r="AO448" s="1" t="str">
        <f>IF(HR_Data[[#This Row],[PercentSalaryHike]]&lt;=13,"11-13%",IF(HR_Data[[#This Row],[PercentSalaryHike]]&lt;=16,"14-16%",IF(HR_Data[[#This Row],[PercentSalaryHike]]&lt;=19,"17-19%","20-25%")))</f>
        <v>14-16%</v>
      </c>
      <c r="AP448" s="1">
        <f>IF(HR_Data[[#This Row],[PercentSalaryHike]]&lt;=13,1,IF(HR_Data[[#This Row],[PercentSalaryHike]]&lt;=16,2,IF(HR_Data[[#This Row],[PercentSalaryHike]]&lt;=19,3,4)))</f>
        <v>2</v>
      </c>
      <c r="AQ448" s="1" t="str">
        <f>IF(HR_Data[[#This Row],[DistanceFromHome]]&lt;=5,"1 to 5",IF(HR_Data[[#This Row],[DistanceFromHome]]&lt;=10,"6 to 10",IF(HR_Data[[#This Row],[DistanceFromHome]]&lt;=20,"11 to 20","21 to 29")))</f>
        <v>6 to 10</v>
      </c>
      <c r="AR448" s="1">
        <f>IF(HR_Data[[#This Row],[DistanceFromHome]]&lt;=5,1,IF(HR_Data[[#This Row],[DistanceFromHome]]&lt;=10,2,IF(HR_Data[[#This Row],[DistanceFromHome]]&lt;=20,3,4)))</f>
        <v>2</v>
      </c>
      <c r="AS448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448" s="1">
        <f>IF(HR_Data[[#This Row],[TotalWorkingYears]]&lt;=5,1,IF(HR_Data[[#This Row],[TotalWorkingYears]]&lt;=10,2,IF(HR_Data[[#This Row],[TotalWorkingYears]]&lt;=20,3,4)))</f>
        <v>3</v>
      </c>
    </row>
    <row r="449" spans="1:46" x14ac:dyDescent="0.25">
      <c r="A449">
        <v>35</v>
      </c>
      <c r="B449" t="s">
        <v>36</v>
      </c>
      <c r="C449" t="s">
        <v>30</v>
      </c>
      <c r="D449" t="s">
        <v>31</v>
      </c>
      <c r="E449">
        <v>1</v>
      </c>
      <c r="F449">
        <v>3</v>
      </c>
      <c r="G449" t="s">
        <v>52</v>
      </c>
      <c r="H449">
        <v>600</v>
      </c>
      <c r="I449">
        <v>2</v>
      </c>
      <c r="J449" t="s">
        <v>39</v>
      </c>
      <c r="K449">
        <v>3</v>
      </c>
      <c r="L449">
        <v>2</v>
      </c>
      <c r="M449" t="s">
        <v>34</v>
      </c>
      <c r="N449">
        <v>3</v>
      </c>
      <c r="O449" t="s">
        <v>41</v>
      </c>
      <c r="P449">
        <v>4717</v>
      </c>
      <c r="Q449">
        <v>9</v>
      </c>
      <c r="R449" t="s">
        <v>36</v>
      </c>
      <c r="S449">
        <v>11</v>
      </c>
      <c r="T449">
        <v>3</v>
      </c>
      <c r="U449">
        <v>3</v>
      </c>
      <c r="V449">
        <v>0</v>
      </c>
      <c r="W449">
        <v>15</v>
      </c>
      <c r="X449">
        <v>2</v>
      </c>
      <c r="Y449">
        <v>3</v>
      </c>
      <c r="Z449">
        <v>11</v>
      </c>
      <c r="AA449">
        <v>9</v>
      </c>
      <c r="AB449">
        <v>6</v>
      </c>
      <c r="AC449">
        <v>9</v>
      </c>
      <c r="AD449">
        <f>IF(HR_Data[[#This Row],[Attrition]]="Yes",1,0)</f>
        <v>0</v>
      </c>
      <c r="AE449" t="str">
        <f>IF(HR_Data[[#This Row],[Age]]&lt;=25,"18-25",IF(HR_Data[[#This Row],[Age]]&lt;=35,"26-35",IF(HR_Data[[#This Row],[Age]]&lt;=45,"36-45",IF(HR_Data[[#This Row],[Age]]&lt;=55,"46-55","55+"))))</f>
        <v>26-35</v>
      </c>
      <c r="AF449">
        <f>IF(HR_Data[[#This Row],[Age]]&lt;=25,1,IF(HR_Data[[#This Row],[Age]]&lt;=35,2,IF(HR_Data[[#This Row],[Age]]&lt;=45,3,IF(HR_Data[[#This Row],[Age]]&lt;=55,4,5))))</f>
        <v>2</v>
      </c>
      <c r="AG449" s="1" t="str">
        <f>IF(HR_Data[[#This Row],[MonthlyIncome]]&lt;3000,"&lt;3K",IF(HR_Data[[#This Row],[MonthlyIncome]]&lt;6000,"3K-6K",IF(HR_Data[[#This Row],[MonthlyIncome]]&lt;10000,"6K-10K","10K+")))</f>
        <v>3K-6K</v>
      </c>
      <c r="AH449" s="1">
        <f>IF(HR_Data[[#This Row],[MonthlyIncome]]&lt;3000,1,IF(HR_Data[[#This Row],[MonthlyIncome]]&lt;6000,2,IF(HR_Data[[#This Row],[MonthlyIncome]]&lt;10000,3,4)))</f>
        <v>2</v>
      </c>
      <c r="AI449" s="1" t="str">
        <f>IF(HR_Data[[#This Row],[YearsAtCompany]]&lt;=2,"0-2 Yrs",IF(HR_Data[[#This Row],[YearsAtCompany]]&lt;=5,"3-5 Yrs",IF(HR_Data[[#This Row],[YearsAtCompany]]&lt;=10,"6-10 Yrs","10+ Yrs")))</f>
        <v>10+ Yrs</v>
      </c>
      <c r="AJ449" s="1">
        <f>IF(HR_Data[[#This Row],[YearsAtCompany]]&lt;=2,1,IF(HR_Data[[#This Row],[YearsAtCompany]]&lt;=5,2,IF(HR_Data[[#This Row],[YearsAtCompany]]&lt;=10,3,4)))</f>
        <v>4</v>
      </c>
      <c r="AK449" s="1" t="str">
        <f>CHOOSE(HR_Data[[#This Row],[Education]],"Below College","College","Bachelor","Master","Doctor")</f>
        <v>Bachelor</v>
      </c>
      <c r="AL449" s="1" t="str">
        <f>CHOOSE(HR_Data[[#This Row],[JobSatisfaction]],"Low","Medium","High","Very High")</f>
        <v>High</v>
      </c>
      <c r="AM449" s="1" t="str">
        <f>CHOOSE(HR_Data[[#This Row],[EnvironmentSatisfaction]],"Low","Medium","High","Very High")</f>
        <v>Medium</v>
      </c>
      <c r="AN449" s="1" t="str">
        <f>CHOOSE(HR_Data[[#This Row],[WorkLifeBalance]],"Bad","Good","Better","Best")</f>
        <v>Better</v>
      </c>
      <c r="AO449" s="1" t="str">
        <f>IF(HR_Data[[#This Row],[PercentSalaryHike]]&lt;=13,"11-13%",IF(HR_Data[[#This Row],[PercentSalaryHike]]&lt;=16,"14-16%",IF(HR_Data[[#This Row],[PercentSalaryHike]]&lt;=19,"17-19%","20-25%")))</f>
        <v>11-13%</v>
      </c>
      <c r="AP449" s="1">
        <f>IF(HR_Data[[#This Row],[PercentSalaryHike]]&lt;=13,1,IF(HR_Data[[#This Row],[PercentSalaryHike]]&lt;=16,2,IF(HR_Data[[#This Row],[PercentSalaryHike]]&lt;=19,3,4)))</f>
        <v>1</v>
      </c>
      <c r="AQ449" s="1" t="str">
        <f>IF(HR_Data[[#This Row],[DistanceFromHome]]&lt;=5,"1 to 5",IF(HR_Data[[#This Row],[DistanceFromHome]]&lt;=10,"6 to 10",IF(HR_Data[[#This Row],[DistanceFromHome]]&lt;=20,"11 to 20","21 to 29")))</f>
        <v>1 to 5</v>
      </c>
      <c r="AR449" s="1">
        <f>IF(HR_Data[[#This Row],[DistanceFromHome]]&lt;=5,1,IF(HR_Data[[#This Row],[DistanceFromHome]]&lt;=10,2,IF(HR_Data[[#This Row],[DistanceFromHome]]&lt;=20,3,4)))</f>
        <v>1</v>
      </c>
      <c r="AS449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449" s="1">
        <f>IF(HR_Data[[#This Row],[TotalWorkingYears]]&lt;=5,1,IF(HR_Data[[#This Row],[TotalWorkingYears]]&lt;=10,2,IF(HR_Data[[#This Row],[TotalWorkingYears]]&lt;=20,3,4)))</f>
        <v>3</v>
      </c>
    </row>
    <row r="450" spans="1:46" x14ac:dyDescent="0.25">
      <c r="A450">
        <v>40</v>
      </c>
      <c r="B450" t="s">
        <v>36</v>
      </c>
      <c r="C450" t="s">
        <v>30</v>
      </c>
      <c r="D450" t="s">
        <v>38</v>
      </c>
      <c r="E450">
        <v>6</v>
      </c>
      <c r="F450">
        <v>3</v>
      </c>
      <c r="G450" t="s">
        <v>32</v>
      </c>
      <c r="H450">
        <v>601</v>
      </c>
      <c r="I450">
        <v>2</v>
      </c>
      <c r="J450" t="s">
        <v>33</v>
      </c>
      <c r="K450">
        <v>3</v>
      </c>
      <c r="L450">
        <v>4</v>
      </c>
      <c r="M450" t="s">
        <v>46</v>
      </c>
      <c r="N450">
        <v>3</v>
      </c>
      <c r="O450" t="s">
        <v>35</v>
      </c>
      <c r="P450">
        <v>13237</v>
      </c>
      <c r="Q450">
        <v>7</v>
      </c>
      <c r="R450" t="s">
        <v>36</v>
      </c>
      <c r="S450">
        <v>15</v>
      </c>
      <c r="T450">
        <v>3</v>
      </c>
      <c r="U450">
        <v>3</v>
      </c>
      <c r="V450">
        <v>0</v>
      </c>
      <c r="W450">
        <v>22</v>
      </c>
      <c r="X450">
        <v>3</v>
      </c>
      <c r="Y450">
        <v>3</v>
      </c>
      <c r="Z450">
        <v>20</v>
      </c>
      <c r="AA450">
        <v>6</v>
      </c>
      <c r="AB450">
        <v>5</v>
      </c>
      <c r="AC450">
        <v>13</v>
      </c>
      <c r="AD450">
        <f>IF(HR_Data[[#This Row],[Attrition]]="Yes",1,0)</f>
        <v>0</v>
      </c>
      <c r="AE450" t="str">
        <f>IF(HR_Data[[#This Row],[Age]]&lt;=25,"18-25",IF(HR_Data[[#This Row],[Age]]&lt;=35,"26-35",IF(HR_Data[[#This Row],[Age]]&lt;=45,"36-45",IF(HR_Data[[#This Row],[Age]]&lt;=55,"46-55","55+"))))</f>
        <v>36-45</v>
      </c>
      <c r="AF450">
        <f>IF(HR_Data[[#This Row],[Age]]&lt;=25,1,IF(HR_Data[[#This Row],[Age]]&lt;=35,2,IF(HR_Data[[#This Row],[Age]]&lt;=45,3,IF(HR_Data[[#This Row],[Age]]&lt;=55,4,5))))</f>
        <v>3</v>
      </c>
      <c r="AG450" s="1" t="str">
        <f>IF(HR_Data[[#This Row],[MonthlyIncome]]&lt;3000,"&lt;3K",IF(HR_Data[[#This Row],[MonthlyIncome]]&lt;6000,"3K-6K",IF(HR_Data[[#This Row],[MonthlyIncome]]&lt;10000,"6K-10K","10K+")))</f>
        <v>10K+</v>
      </c>
      <c r="AH450" s="1">
        <f>IF(HR_Data[[#This Row],[MonthlyIncome]]&lt;3000,1,IF(HR_Data[[#This Row],[MonthlyIncome]]&lt;6000,2,IF(HR_Data[[#This Row],[MonthlyIncome]]&lt;10000,3,4)))</f>
        <v>4</v>
      </c>
      <c r="AI450" s="1" t="str">
        <f>IF(HR_Data[[#This Row],[YearsAtCompany]]&lt;=2,"0-2 Yrs",IF(HR_Data[[#This Row],[YearsAtCompany]]&lt;=5,"3-5 Yrs",IF(HR_Data[[#This Row],[YearsAtCompany]]&lt;=10,"6-10 Yrs","10+ Yrs")))</f>
        <v>10+ Yrs</v>
      </c>
      <c r="AJ450" s="1">
        <f>IF(HR_Data[[#This Row],[YearsAtCompany]]&lt;=2,1,IF(HR_Data[[#This Row],[YearsAtCompany]]&lt;=5,2,IF(HR_Data[[#This Row],[YearsAtCompany]]&lt;=10,3,4)))</f>
        <v>4</v>
      </c>
      <c r="AK450" s="1" t="str">
        <f>CHOOSE(HR_Data[[#This Row],[Education]],"Below College","College","Bachelor","Master","Doctor")</f>
        <v>Bachelor</v>
      </c>
      <c r="AL450" s="1" t="str">
        <f>CHOOSE(HR_Data[[#This Row],[JobSatisfaction]],"Low","Medium","High","Very High")</f>
        <v>High</v>
      </c>
      <c r="AM450" s="1" t="str">
        <f>CHOOSE(HR_Data[[#This Row],[EnvironmentSatisfaction]],"Low","Medium","High","Very High")</f>
        <v>Medium</v>
      </c>
      <c r="AN450" s="1" t="str">
        <f>CHOOSE(HR_Data[[#This Row],[WorkLifeBalance]],"Bad","Good","Better","Best")</f>
        <v>Better</v>
      </c>
      <c r="AO450" s="1" t="str">
        <f>IF(HR_Data[[#This Row],[PercentSalaryHike]]&lt;=13,"11-13%",IF(HR_Data[[#This Row],[PercentSalaryHike]]&lt;=16,"14-16%",IF(HR_Data[[#This Row],[PercentSalaryHike]]&lt;=19,"17-19%","20-25%")))</f>
        <v>14-16%</v>
      </c>
      <c r="AP450" s="1">
        <f>IF(HR_Data[[#This Row],[PercentSalaryHike]]&lt;=13,1,IF(HR_Data[[#This Row],[PercentSalaryHike]]&lt;=16,2,IF(HR_Data[[#This Row],[PercentSalaryHike]]&lt;=19,3,4)))</f>
        <v>2</v>
      </c>
      <c r="AQ450" s="1" t="str">
        <f>IF(HR_Data[[#This Row],[DistanceFromHome]]&lt;=5,"1 to 5",IF(HR_Data[[#This Row],[DistanceFromHome]]&lt;=10,"6 to 10",IF(HR_Data[[#This Row],[DistanceFromHome]]&lt;=20,"11 to 20","21 to 29")))</f>
        <v>6 to 10</v>
      </c>
      <c r="AR450" s="1">
        <f>IF(HR_Data[[#This Row],[DistanceFromHome]]&lt;=5,1,IF(HR_Data[[#This Row],[DistanceFromHome]]&lt;=10,2,IF(HR_Data[[#This Row],[DistanceFromHome]]&lt;=20,3,4)))</f>
        <v>2</v>
      </c>
      <c r="AS450" s="1" t="str">
        <f>IF(HR_Data[[#This Row],[TotalWorkingYears]]&lt;=5,"0-5 Yrs",IF(HR_Data[[#This Row],[TotalWorkingYears]]&lt;=10,"6-10 Yrs",IF(HR_Data[[#This Row],[TotalWorkingYears]]&lt;=20,"11-20 Yrs","20+ Yrs")))</f>
        <v>20+ Yrs</v>
      </c>
      <c r="AT450" s="1">
        <f>IF(HR_Data[[#This Row],[TotalWorkingYears]]&lt;=5,1,IF(HR_Data[[#This Row],[TotalWorkingYears]]&lt;=10,2,IF(HR_Data[[#This Row],[TotalWorkingYears]]&lt;=20,3,4)))</f>
        <v>4</v>
      </c>
    </row>
    <row r="451" spans="1:46" x14ac:dyDescent="0.25">
      <c r="A451">
        <v>39</v>
      </c>
      <c r="B451" t="s">
        <v>36</v>
      </c>
      <c r="C451" t="s">
        <v>37</v>
      </c>
      <c r="D451" t="s">
        <v>38</v>
      </c>
      <c r="E451">
        <v>8</v>
      </c>
      <c r="F451">
        <v>1</v>
      </c>
      <c r="G451" t="s">
        <v>32</v>
      </c>
      <c r="H451">
        <v>602</v>
      </c>
      <c r="I451">
        <v>3</v>
      </c>
      <c r="J451" t="s">
        <v>33</v>
      </c>
      <c r="K451">
        <v>3</v>
      </c>
      <c r="L451">
        <v>1</v>
      </c>
      <c r="M451" t="s">
        <v>43</v>
      </c>
      <c r="N451">
        <v>3</v>
      </c>
      <c r="O451" t="s">
        <v>41</v>
      </c>
      <c r="P451">
        <v>3755</v>
      </c>
      <c r="Q451">
        <v>1</v>
      </c>
      <c r="R451" t="s">
        <v>36</v>
      </c>
      <c r="S451">
        <v>11</v>
      </c>
      <c r="T451">
        <v>3</v>
      </c>
      <c r="U451">
        <v>1</v>
      </c>
      <c r="V451">
        <v>1</v>
      </c>
      <c r="W451">
        <v>8</v>
      </c>
      <c r="X451">
        <v>3</v>
      </c>
      <c r="Y451">
        <v>3</v>
      </c>
      <c r="Z451">
        <v>8</v>
      </c>
      <c r="AA451">
        <v>3</v>
      </c>
      <c r="AB451">
        <v>0</v>
      </c>
      <c r="AC451">
        <v>7</v>
      </c>
      <c r="AD451">
        <f>IF(HR_Data[[#This Row],[Attrition]]="Yes",1,0)</f>
        <v>0</v>
      </c>
      <c r="AE451" t="str">
        <f>IF(HR_Data[[#This Row],[Age]]&lt;=25,"18-25",IF(HR_Data[[#This Row],[Age]]&lt;=35,"26-35",IF(HR_Data[[#This Row],[Age]]&lt;=45,"36-45",IF(HR_Data[[#This Row],[Age]]&lt;=55,"46-55","55+"))))</f>
        <v>36-45</v>
      </c>
      <c r="AF451">
        <f>IF(HR_Data[[#This Row],[Age]]&lt;=25,1,IF(HR_Data[[#This Row],[Age]]&lt;=35,2,IF(HR_Data[[#This Row],[Age]]&lt;=45,3,IF(HR_Data[[#This Row],[Age]]&lt;=55,4,5))))</f>
        <v>3</v>
      </c>
      <c r="AG451" s="1" t="str">
        <f>IF(HR_Data[[#This Row],[MonthlyIncome]]&lt;3000,"&lt;3K",IF(HR_Data[[#This Row],[MonthlyIncome]]&lt;6000,"3K-6K",IF(HR_Data[[#This Row],[MonthlyIncome]]&lt;10000,"6K-10K","10K+")))</f>
        <v>3K-6K</v>
      </c>
      <c r="AH451" s="1">
        <f>IF(HR_Data[[#This Row],[MonthlyIncome]]&lt;3000,1,IF(HR_Data[[#This Row],[MonthlyIncome]]&lt;6000,2,IF(HR_Data[[#This Row],[MonthlyIncome]]&lt;10000,3,4)))</f>
        <v>2</v>
      </c>
      <c r="AI451" s="1" t="str">
        <f>IF(HR_Data[[#This Row],[YearsAtCompany]]&lt;=2,"0-2 Yrs",IF(HR_Data[[#This Row],[YearsAtCompany]]&lt;=5,"3-5 Yrs",IF(HR_Data[[#This Row],[YearsAtCompany]]&lt;=10,"6-10 Yrs","10+ Yrs")))</f>
        <v>6-10 Yrs</v>
      </c>
      <c r="AJ451" s="1">
        <f>IF(HR_Data[[#This Row],[YearsAtCompany]]&lt;=2,1,IF(HR_Data[[#This Row],[YearsAtCompany]]&lt;=5,2,IF(HR_Data[[#This Row],[YearsAtCompany]]&lt;=10,3,4)))</f>
        <v>3</v>
      </c>
      <c r="AK451" s="1" t="str">
        <f>CHOOSE(HR_Data[[#This Row],[Education]],"Below College","College","Bachelor","Master","Doctor")</f>
        <v>Below College</v>
      </c>
      <c r="AL451" s="1" t="str">
        <f>CHOOSE(HR_Data[[#This Row],[JobSatisfaction]],"Low","Medium","High","Very High")</f>
        <v>High</v>
      </c>
      <c r="AM451" s="1" t="str">
        <f>CHOOSE(HR_Data[[#This Row],[EnvironmentSatisfaction]],"Low","Medium","High","Very High")</f>
        <v>High</v>
      </c>
      <c r="AN451" s="1" t="str">
        <f>CHOOSE(HR_Data[[#This Row],[WorkLifeBalance]],"Bad","Good","Better","Best")</f>
        <v>Better</v>
      </c>
      <c r="AO451" s="1" t="str">
        <f>IF(HR_Data[[#This Row],[PercentSalaryHike]]&lt;=13,"11-13%",IF(HR_Data[[#This Row],[PercentSalaryHike]]&lt;=16,"14-16%",IF(HR_Data[[#This Row],[PercentSalaryHike]]&lt;=19,"17-19%","20-25%")))</f>
        <v>11-13%</v>
      </c>
      <c r="AP451" s="1">
        <f>IF(HR_Data[[#This Row],[PercentSalaryHike]]&lt;=13,1,IF(HR_Data[[#This Row],[PercentSalaryHike]]&lt;=16,2,IF(HR_Data[[#This Row],[PercentSalaryHike]]&lt;=19,3,4)))</f>
        <v>1</v>
      </c>
      <c r="AQ451" s="1" t="str">
        <f>IF(HR_Data[[#This Row],[DistanceFromHome]]&lt;=5,"1 to 5",IF(HR_Data[[#This Row],[DistanceFromHome]]&lt;=10,"6 to 10",IF(HR_Data[[#This Row],[DistanceFromHome]]&lt;=20,"11 to 20","21 to 29")))</f>
        <v>6 to 10</v>
      </c>
      <c r="AR451" s="1">
        <f>IF(HR_Data[[#This Row],[DistanceFromHome]]&lt;=5,1,IF(HR_Data[[#This Row],[DistanceFromHome]]&lt;=10,2,IF(HR_Data[[#This Row],[DistanceFromHome]]&lt;=20,3,4)))</f>
        <v>2</v>
      </c>
      <c r="AS451" s="1" t="str">
        <f>IF(HR_Data[[#This Row],[TotalWorkingYears]]&lt;=5,"0-5 Yrs",IF(HR_Data[[#This Row],[TotalWorkingYears]]&lt;=10,"6-10 Yrs",IF(HR_Data[[#This Row],[TotalWorkingYears]]&lt;=20,"11-20 Yrs","20+ Yrs")))</f>
        <v>6-10 Yrs</v>
      </c>
      <c r="AT451" s="1">
        <f>IF(HR_Data[[#This Row],[TotalWorkingYears]]&lt;=5,1,IF(HR_Data[[#This Row],[TotalWorkingYears]]&lt;=10,2,IF(HR_Data[[#This Row],[TotalWorkingYears]]&lt;=20,3,4)))</f>
        <v>2</v>
      </c>
    </row>
    <row r="452" spans="1:46" x14ac:dyDescent="0.25">
      <c r="A452">
        <v>31</v>
      </c>
      <c r="B452" t="s">
        <v>36</v>
      </c>
      <c r="C452" t="s">
        <v>30</v>
      </c>
      <c r="D452" t="s">
        <v>31</v>
      </c>
      <c r="E452">
        <v>2</v>
      </c>
      <c r="F452">
        <v>1</v>
      </c>
      <c r="G452" t="s">
        <v>32</v>
      </c>
      <c r="H452">
        <v>604</v>
      </c>
      <c r="I452">
        <v>2</v>
      </c>
      <c r="J452" t="s">
        <v>39</v>
      </c>
      <c r="K452">
        <v>3</v>
      </c>
      <c r="L452">
        <v>2</v>
      </c>
      <c r="M452" t="s">
        <v>34</v>
      </c>
      <c r="N452">
        <v>4</v>
      </c>
      <c r="O452" t="s">
        <v>35</v>
      </c>
      <c r="P452">
        <v>6582</v>
      </c>
      <c r="Q452">
        <v>4</v>
      </c>
      <c r="R452" t="s">
        <v>29</v>
      </c>
      <c r="S452">
        <v>13</v>
      </c>
      <c r="T452">
        <v>3</v>
      </c>
      <c r="U452">
        <v>3</v>
      </c>
      <c r="V452">
        <v>0</v>
      </c>
      <c r="W452">
        <v>10</v>
      </c>
      <c r="X452">
        <v>2</v>
      </c>
      <c r="Y452">
        <v>4</v>
      </c>
      <c r="Z452">
        <v>6</v>
      </c>
      <c r="AA452">
        <v>5</v>
      </c>
      <c r="AB452">
        <v>0</v>
      </c>
      <c r="AC452">
        <v>5</v>
      </c>
      <c r="AD452">
        <f>IF(HR_Data[[#This Row],[Attrition]]="Yes",1,0)</f>
        <v>0</v>
      </c>
      <c r="AE452" t="str">
        <f>IF(HR_Data[[#This Row],[Age]]&lt;=25,"18-25",IF(HR_Data[[#This Row],[Age]]&lt;=35,"26-35",IF(HR_Data[[#This Row],[Age]]&lt;=45,"36-45",IF(HR_Data[[#This Row],[Age]]&lt;=55,"46-55","55+"))))</f>
        <v>26-35</v>
      </c>
      <c r="AF452">
        <f>IF(HR_Data[[#This Row],[Age]]&lt;=25,1,IF(HR_Data[[#This Row],[Age]]&lt;=35,2,IF(HR_Data[[#This Row],[Age]]&lt;=45,3,IF(HR_Data[[#This Row],[Age]]&lt;=55,4,5))))</f>
        <v>2</v>
      </c>
      <c r="AG452" s="1" t="str">
        <f>IF(HR_Data[[#This Row],[MonthlyIncome]]&lt;3000,"&lt;3K",IF(HR_Data[[#This Row],[MonthlyIncome]]&lt;6000,"3K-6K",IF(HR_Data[[#This Row],[MonthlyIncome]]&lt;10000,"6K-10K","10K+")))</f>
        <v>6K-10K</v>
      </c>
      <c r="AH452" s="1">
        <f>IF(HR_Data[[#This Row],[MonthlyIncome]]&lt;3000,1,IF(HR_Data[[#This Row],[MonthlyIncome]]&lt;6000,2,IF(HR_Data[[#This Row],[MonthlyIncome]]&lt;10000,3,4)))</f>
        <v>3</v>
      </c>
      <c r="AI452" s="1" t="str">
        <f>IF(HR_Data[[#This Row],[YearsAtCompany]]&lt;=2,"0-2 Yrs",IF(HR_Data[[#This Row],[YearsAtCompany]]&lt;=5,"3-5 Yrs",IF(HR_Data[[#This Row],[YearsAtCompany]]&lt;=10,"6-10 Yrs","10+ Yrs")))</f>
        <v>6-10 Yrs</v>
      </c>
      <c r="AJ452" s="1">
        <f>IF(HR_Data[[#This Row],[YearsAtCompany]]&lt;=2,1,IF(HR_Data[[#This Row],[YearsAtCompany]]&lt;=5,2,IF(HR_Data[[#This Row],[YearsAtCompany]]&lt;=10,3,4)))</f>
        <v>3</v>
      </c>
      <c r="AK452" s="1" t="str">
        <f>CHOOSE(HR_Data[[#This Row],[Education]],"Below College","College","Bachelor","Master","Doctor")</f>
        <v>Below College</v>
      </c>
      <c r="AL452" s="1" t="str">
        <f>CHOOSE(HR_Data[[#This Row],[JobSatisfaction]],"Low","Medium","High","Very High")</f>
        <v>Very High</v>
      </c>
      <c r="AM452" s="1" t="str">
        <f>CHOOSE(HR_Data[[#This Row],[EnvironmentSatisfaction]],"Low","Medium","High","Very High")</f>
        <v>Medium</v>
      </c>
      <c r="AN452" s="1" t="str">
        <f>CHOOSE(HR_Data[[#This Row],[WorkLifeBalance]],"Bad","Good","Better","Best")</f>
        <v>Best</v>
      </c>
      <c r="AO452" s="1" t="str">
        <f>IF(HR_Data[[#This Row],[PercentSalaryHike]]&lt;=13,"11-13%",IF(HR_Data[[#This Row],[PercentSalaryHike]]&lt;=16,"14-16%",IF(HR_Data[[#This Row],[PercentSalaryHike]]&lt;=19,"17-19%","20-25%")))</f>
        <v>11-13%</v>
      </c>
      <c r="AP452" s="1">
        <f>IF(HR_Data[[#This Row],[PercentSalaryHike]]&lt;=13,1,IF(HR_Data[[#This Row],[PercentSalaryHike]]&lt;=16,2,IF(HR_Data[[#This Row],[PercentSalaryHike]]&lt;=19,3,4)))</f>
        <v>1</v>
      </c>
      <c r="AQ452" s="1" t="str">
        <f>IF(HR_Data[[#This Row],[DistanceFromHome]]&lt;=5,"1 to 5",IF(HR_Data[[#This Row],[DistanceFromHome]]&lt;=10,"6 to 10",IF(HR_Data[[#This Row],[DistanceFromHome]]&lt;=20,"11 to 20","21 to 29")))</f>
        <v>1 to 5</v>
      </c>
      <c r="AR452" s="1">
        <f>IF(HR_Data[[#This Row],[DistanceFromHome]]&lt;=5,1,IF(HR_Data[[#This Row],[DistanceFromHome]]&lt;=10,2,IF(HR_Data[[#This Row],[DistanceFromHome]]&lt;=20,3,4)))</f>
        <v>1</v>
      </c>
      <c r="AS452" s="1" t="str">
        <f>IF(HR_Data[[#This Row],[TotalWorkingYears]]&lt;=5,"0-5 Yrs",IF(HR_Data[[#This Row],[TotalWorkingYears]]&lt;=10,"6-10 Yrs",IF(HR_Data[[#This Row],[TotalWorkingYears]]&lt;=20,"11-20 Yrs","20+ Yrs")))</f>
        <v>6-10 Yrs</v>
      </c>
      <c r="AT452" s="1">
        <f>IF(HR_Data[[#This Row],[TotalWorkingYears]]&lt;=5,1,IF(HR_Data[[#This Row],[TotalWorkingYears]]&lt;=10,2,IF(HR_Data[[#This Row],[TotalWorkingYears]]&lt;=20,3,4)))</f>
        <v>2</v>
      </c>
    </row>
    <row r="453" spans="1:46" x14ac:dyDescent="0.25">
      <c r="A453">
        <v>42</v>
      </c>
      <c r="B453" t="s">
        <v>36</v>
      </c>
      <c r="C453" t="s">
        <v>30</v>
      </c>
      <c r="D453" t="s">
        <v>38</v>
      </c>
      <c r="E453">
        <v>24</v>
      </c>
      <c r="F453">
        <v>3</v>
      </c>
      <c r="G453" t="s">
        <v>44</v>
      </c>
      <c r="H453">
        <v>605</v>
      </c>
      <c r="I453">
        <v>4</v>
      </c>
      <c r="J453" t="s">
        <v>39</v>
      </c>
      <c r="K453">
        <v>3</v>
      </c>
      <c r="L453">
        <v>3</v>
      </c>
      <c r="M453" t="s">
        <v>46</v>
      </c>
      <c r="N453">
        <v>1</v>
      </c>
      <c r="O453" t="s">
        <v>41</v>
      </c>
      <c r="P453">
        <v>7406</v>
      </c>
      <c r="Q453">
        <v>1</v>
      </c>
      <c r="R453" t="s">
        <v>29</v>
      </c>
      <c r="S453">
        <v>21</v>
      </c>
      <c r="T453">
        <v>4</v>
      </c>
      <c r="U453">
        <v>4</v>
      </c>
      <c r="V453">
        <v>1</v>
      </c>
      <c r="W453">
        <v>10</v>
      </c>
      <c r="X453">
        <v>5</v>
      </c>
      <c r="Y453">
        <v>2</v>
      </c>
      <c r="Z453">
        <v>10</v>
      </c>
      <c r="AA453">
        <v>9</v>
      </c>
      <c r="AB453">
        <v>5</v>
      </c>
      <c r="AC453">
        <v>8</v>
      </c>
      <c r="AD453">
        <f>IF(HR_Data[[#This Row],[Attrition]]="Yes",1,0)</f>
        <v>0</v>
      </c>
      <c r="AE453" t="str">
        <f>IF(HR_Data[[#This Row],[Age]]&lt;=25,"18-25",IF(HR_Data[[#This Row],[Age]]&lt;=35,"26-35",IF(HR_Data[[#This Row],[Age]]&lt;=45,"36-45",IF(HR_Data[[#This Row],[Age]]&lt;=55,"46-55","55+"))))</f>
        <v>36-45</v>
      </c>
      <c r="AF453">
        <f>IF(HR_Data[[#This Row],[Age]]&lt;=25,1,IF(HR_Data[[#This Row],[Age]]&lt;=35,2,IF(HR_Data[[#This Row],[Age]]&lt;=45,3,IF(HR_Data[[#This Row],[Age]]&lt;=55,4,5))))</f>
        <v>3</v>
      </c>
      <c r="AG453" s="1" t="str">
        <f>IF(HR_Data[[#This Row],[MonthlyIncome]]&lt;3000,"&lt;3K",IF(HR_Data[[#This Row],[MonthlyIncome]]&lt;6000,"3K-6K",IF(HR_Data[[#This Row],[MonthlyIncome]]&lt;10000,"6K-10K","10K+")))</f>
        <v>6K-10K</v>
      </c>
      <c r="AH453" s="1">
        <f>IF(HR_Data[[#This Row],[MonthlyIncome]]&lt;3000,1,IF(HR_Data[[#This Row],[MonthlyIncome]]&lt;6000,2,IF(HR_Data[[#This Row],[MonthlyIncome]]&lt;10000,3,4)))</f>
        <v>3</v>
      </c>
      <c r="AI453" s="1" t="str">
        <f>IF(HR_Data[[#This Row],[YearsAtCompany]]&lt;=2,"0-2 Yrs",IF(HR_Data[[#This Row],[YearsAtCompany]]&lt;=5,"3-5 Yrs",IF(HR_Data[[#This Row],[YearsAtCompany]]&lt;=10,"6-10 Yrs","10+ Yrs")))</f>
        <v>6-10 Yrs</v>
      </c>
      <c r="AJ453" s="1">
        <f>IF(HR_Data[[#This Row],[YearsAtCompany]]&lt;=2,1,IF(HR_Data[[#This Row],[YearsAtCompany]]&lt;=5,2,IF(HR_Data[[#This Row],[YearsAtCompany]]&lt;=10,3,4)))</f>
        <v>3</v>
      </c>
      <c r="AK453" s="1" t="str">
        <f>CHOOSE(HR_Data[[#This Row],[Education]],"Below College","College","Bachelor","Master","Doctor")</f>
        <v>Bachelor</v>
      </c>
      <c r="AL453" s="1" t="str">
        <f>CHOOSE(HR_Data[[#This Row],[JobSatisfaction]],"Low","Medium","High","Very High")</f>
        <v>Low</v>
      </c>
      <c r="AM453" s="1" t="str">
        <f>CHOOSE(HR_Data[[#This Row],[EnvironmentSatisfaction]],"Low","Medium","High","Very High")</f>
        <v>Very High</v>
      </c>
      <c r="AN453" s="1" t="str">
        <f>CHOOSE(HR_Data[[#This Row],[WorkLifeBalance]],"Bad","Good","Better","Best")</f>
        <v>Good</v>
      </c>
      <c r="AO453" s="1" t="str">
        <f>IF(HR_Data[[#This Row],[PercentSalaryHike]]&lt;=13,"11-13%",IF(HR_Data[[#This Row],[PercentSalaryHike]]&lt;=16,"14-16%",IF(HR_Data[[#This Row],[PercentSalaryHike]]&lt;=19,"17-19%","20-25%")))</f>
        <v>20-25%</v>
      </c>
      <c r="AP453" s="1">
        <f>IF(HR_Data[[#This Row],[PercentSalaryHike]]&lt;=13,1,IF(HR_Data[[#This Row],[PercentSalaryHike]]&lt;=16,2,IF(HR_Data[[#This Row],[PercentSalaryHike]]&lt;=19,3,4)))</f>
        <v>4</v>
      </c>
      <c r="AQ453" s="1" t="str">
        <f>IF(HR_Data[[#This Row],[DistanceFromHome]]&lt;=5,"1 to 5",IF(HR_Data[[#This Row],[DistanceFromHome]]&lt;=10,"6 to 10",IF(HR_Data[[#This Row],[DistanceFromHome]]&lt;=20,"11 to 20","21 to 29")))</f>
        <v>21 to 29</v>
      </c>
      <c r="AR453" s="1">
        <f>IF(HR_Data[[#This Row],[DistanceFromHome]]&lt;=5,1,IF(HR_Data[[#This Row],[DistanceFromHome]]&lt;=10,2,IF(HR_Data[[#This Row],[DistanceFromHome]]&lt;=20,3,4)))</f>
        <v>4</v>
      </c>
      <c r="AS453" s="1" t="str">
        <f>IF(HR_Data[[#This Row],[TotalWorkingYears]]&lt;=5,"0-5 Yrs",IF(HR_Data[[#This Row],[TotalWorkingYears]]&lt;=10,"6-10 Yrs",IF(HR_Data[[#This Row],[TotalWorkingYears]]&lt;=20,"11-20 Yrs","20+ Yrs")))</f>
        <v>6-10 Yrs</v>
      </c>
      <c r="AT453" s="1">
        <f>IF(HR_Data[[#This Row],[TotalWorkingYears]]&lt;=5,1,IF(HR_Data[[#This Row],[TotalWorkingYears]]&lt;=10,2,IF(HR_Data[[#This Row],[TotalWorkingYears]]&lt;=20,3,4)))</f>
        <v>2</v>
      </c>
    </row>
    <row r="454" spans="1:46" x14ac:dyDescent="0.25">
      <c r="A454">
        <v>45</v>
      </c>
      <c r="B454" t="s">
        <v>36</v>
      </c>
      <c r="C454" t="s">
        <v>30</v>
      </c>
      <c r="D454" t="s">
        <v>31</v>
      </c>
      <c r="E454">
        <v>2</v>
      </c>
      <c r="F454">
        <v>3</v>
      </c>
      <c r="G454" t="s">
        <v>42</v>
      </c>
      <c r="H454">
        <v>606</v>
      </c>
      <c r="I454">
        <v>4</v>
      </c>
      <c r="J454" t="s">
        <v>39</v>
      </c>
      <c r="K454">
        <v>3</v>
      </c>
      <c r="L454">
        <v>2</v>
      </c>
      <c r="M454" t="s">
        <v>34</v>
      </c>
      <c r="N454">
        <v>2</v>
      </c>
      <c r="O454" t="s">
        <v>41</v>
      </c>
      <c r="P454">
        <v>4805</v>
      </c>
      <c r="Q454">
        <v>0</v>
      </c>
      <c r="R454" t="s">
        <v>36</v>
      </c>
      <c r="S454">
        <v>19</v>
      </c>
      <c r="T454">
        <v>3</v>
      </c>
      <c r="U454">
        <v>2</v>
      </c>
      <c r="V454">
        <v>1</v>
      </c>
      <c r="W454">
        <v>9</v>
      </c>
      <c r="X454">
        <v>3</v>
      </c>
      <c r="Y454">
        <v>4</v>
      </c>
      <c r="Z454">
        <v>8</v>
      </c>
      <c r="AA454">
        <v>7</v>
      </c>
      <c r="AB454">
        <v>3</v>
      </c>
      <c r="AC454">
        <v>7</v>
      </c>
      <c r="AD454">
        <f>IF(HR_Data[[#This Row],[Attrition]]="Yes",1,0)</f>
        <v>0</v>
      </c>
      <c r="AE454" t="str">
        <f>IF(HR_Data[[#This Row],[Age]]&lt;=25,"18-25",IF(HR_Data[[#This Row],[Age]]&lt;=35,"26-35",IF(HR_Data[[#This Row],[Age]]&lt;=45,"36-45",IF(HR_Data[[#This Row],[Age]]&lt;=55,"46-55","55+"))))</f>
        <v>36-45</v>
      </c>
      <c r="AF454">
        <f>IF(HR_Data[[#This Row],[Age]]&lt;=25,1,IF(HR_Data[[#This Row],[Age]]&lt;=35,2,IF(HR_Data[[#This Row],[Age]]&lt;=45,3,IF(HR_Data[[#This Row],[Age]]&lt;=55,4,5))))</f>
        <v>3</v>
      </c>
      <c r="AG454" s="1" t="str">
        <f>IF(HR_Data[[#This Row],[MonthlyIncome]]&lt;3000,"&lt;3K",IF(HR_Data[[#This Row],[MonthlyIncome]]&lt;6000,"3K-6K",IF(HR_Data[[#This Row],[MonthlyIncome]]&lt;10000,"6K-10K","10K+")))</f>
        <v>3K-6K</v>
      </c>
      <c r="AH454" s="1">
        <f>IF(HR_Data[[#This Row],[MonthlyIncome]]&lt;3000,1,IF(HR_Data[[#This Row],[MonthlyIncome]]&lt;6000,2,IF(HR_Data[[#This Row],[MonthlyIncome]]&lt;10000,3,4)))</f>
        <v>2</v>
      </c>
      <c r="AI454" s="1" t="str">
        <f>IF(HR_Data[[#This Row],[YearsAtCompany]]&lt;=2,"0-2 Yrs",IF(HR_Data[[#This Row],[YearsAtCompany]]&lt;=5,"3-5 Yrs",IF(HR_Data[[#This Row],[YearsAtCompany]]&lt;=10,"6-10 Yrs","10+ Yrs")))</f>
        <v>6-10 Yrs</v>
      </c>
      <c r="AJ454" s="1">
        <f>IF(HR_Data[[#This Row],[YearsAtCompany]]&lt;=2,1,IF(HR_Data[[#This Row],[YearsAtCompany]]&lt;=5,2,IF(HR_Data[[#This Row],[YearsAtCompany]]&lt;=10,3,4)))</f>
        <v>3</v>
      </c>
      <c r="AK454" s="1" t="str">
        <f>CHOOSE(HR_Data[[#This Row],[Education]],"Below College","College","Bachelor","Master","Doctor")</f>
        <v>Bachelor</v>
      </c>
      <c r="AL454" s="1" t="str">
        <f>CHOOSE(HR_Data[[#This Row],[JobSatisfaction]],"Low","Medium","High","Very High")</f>
        <v>Medium</v>
      </c>
      <c r="AM454" s="1" t="str">
        <f>CHOOSE(HR_Data[[#This Row],[EnvironmentSatisfaction]],"Low","Medium","High","Very High")</f>
        <v>Very High</v>
      </c>
      <c r="AN454" s="1" t="str">
        <f>CHOOSE(HR_Data[[#This Row],[WorkLifeBalance]],"Bad","Good","Better","Best")</f>
        <v>Best</v>
      </c>
      <c r="AO454" s="1" t="str">
        <f>IF(HR_Data[[#This Row],[PercentSalaryHike]]&lt;=13,"11-13%",IF(HR_Data[[#This Row],[PercentSalaryHike]]&lt;=16,"14-16%",IF(HR_Data[[#This Row],[PercentSalaryHike]]&lt;=19,"17-19%","20-25%")))</f>
        <v>17-19%</v>
      </c>
      <c r="AP454" s="1">
        <f>IF(HR_Data[[#This Row],[PercentSalaryHike]]&lt;=13,1,IF(HR_Data[[#This Row],[PercentSalaryHike]]&lt;=16,2,IF(HR_Data[[#This Row],[PercentSalaryHike]]&lt;=19,3,4)))</f>
        <v>3</v>
      </c>
      <c r="AQ454" s="1" t="str">
        <f>IF(HR_Data[[#This Row],[DistanceFromHome]]&lt;=5,"1 to 5",IF(HR_Data[[#This Row],[DistanceFromHome]]&lt;=10,"6 to 10",IF(HR_Data[[#This Row],[DistanceFromHome]]&lt;=20,"11 to 20","21 to 29")))</f>
        <v>1 to 5</v>
      </c>
      <c r="AR454" s="1">
        <f>IF(HR_Data[[#This Row],[DistanceFromHome]]&lt;=5,1,IF(HR_Data[[#This Row],[DistanceFromHome]]&lt;=10,2,IF(HR_Data[[#This Row],[DistanceFromHome]]&lt;=20,3,4)))</f>
        <v>1</v>
      </c>
      <c r="AS454" s="1" t="str">
        <f>IF(HR_Data[[#This Row],[TotalWorkingYears]]&lt;=5,"0-5 Yrs",IF(HR_Data[[#This Row],[TotalWorkingYears]]&lt;=10,"6-10 Yrs",IF(HR_Data[[#This Row],[TotalWorkingYears]]&lt;=20,"11-20 Yrs","20+ Yrs")))</f>
        <v>6-10 Yrs</v>
      </c>
      <c r="AT454" s="1">
        <f>IF(HR_Data[[#This Row],[TotalWorkingYears]]&lt;=5,1,IF(HR_Data[[#This Row],[TotalWorkingYears]]&lt;=10,2,IF(HR_Data[[#This Row],[TotalWorkingYears]]&lt;=20,3,4)))</f>
        <v>2</v>
      </c>
    </row>
    <row r="455" spans="1:46" x14ac:dyDescent="0.25">
      <c r="A455">
        <v>26</v>
      </c>
      <c r="B455" t="s">
        <v>29</v>
      </c>
      <c r="C455" t="s">
        <v>37</v>
      </c>
      <c r="D455" t="s">
        <v>54</v>
      </c>
      <c r="E455">
        <v>17</v>
      </c>
      <c r="F455">
        <v>4</v>
      </c>
      <c r="G455" t="s">
        <v>32</v>
      </c>
      <c r="H455">
        <v>608</v>
      </c>
      <c r="I455">
        <v>2</v>
      </c>
      <c r="J455" t="s">
        <v>33</v>
      </c>
      <c r="K455">
        <v>3</v>
      </c>
      <c r="L455">
        <v>1</v>
      </c>
      <c r="M455" t="s">
        <v>54</v>
      </c>
      <c r="N455">
        <v>3</v>
      </c>
      <c r="O455" t="s">
        <v>45</v>
      </c>
      <c r="P455">
        <v>2741</v>
      </c>
      <c r="Q455">
        <v>0</v>
      </c>
      <c r="R455" t="s">
        <v>29</v>
      </c>
      <c r="S455">
        <v>11</v>
      </c>
      <c r="T455">
        <v>3</v>
      </c>
      <c r="U455">
        <v>2</v>
      </c>
      <c r="V455">
        <v>1</v>
      </c>
      <c r="W455">
        <v>8</v>
      </c>
      <c r="X455">
        <v>2</v>
      </c>
      <c r="Y455">
        <v>2</v>
      </c>
      <c r="Z455">
        <v>7</v>
      </c>
      <c r="AA455">
        <v>7</v>
      </c>
      <c r="AB455">
        <v>1</v>
      </c>
      <c r="AC455">
        <v>0</v>
      </c>
      <c r="AD455">
        <f>IF(HR_Data[[#This Row],[Attrition]]="Yes",1,0)</f>
        <v>1</v>
      </c>
      <c r="AE455" t="str">
        <f>IF(HR_Data[[#This Row],[Age]]&lt;=25,"18-25",IF(HR_Data[[#This Row],[Age]]&lt;=35,"26-35",IF(HR_Data[[#This Row],[Age]]&lt;=45,"36-45",IF(HR_Data[[#This Row],[Age]]&lt;=55,"46-55","55+"))))</f>
        <v>26-35</v>
      </c>
      <c r="AF455">
        <f>IF(HR_Data[[#This Row],[Age]]&lt;=25,1,IF(HR_Data[[#This Row],[Age]]&lt;=35,2,IF(HR_Data[[#This Row],[Age]]&lt;=45,3,IF(HR_Data[[#This Row],[Age]]&lt;=55,4,5))))</f>
        <v>2</v>
      </c>
      <c r="AG455" s="1" t="str">
        <f>IF(HR_Data[[#This Row],[MonthlyIncome]]&lt;3000,"&lt;3K",IF(HR_Data[[#This Row],[MonthlyIncome]]&lt;6000,"3K-6K",IF(HR_Data[[#This Row],[MonthlyIncome]]&lt;10000,"6K-10K","10K+")))</f>
        <v>&lt;3K</v>
      </c>
      <c r="AH455" s="1">
        <f>IF(HR_Data[[#This Row],[MonthlyIncome]]&lt;3000,1,IF(HR_Data[[#This Row],[MonthlyIncome]]&lt;6000,2,IF(HR_Data[[#This Row],[MonthlyIncome]]&lt;10000,3,4)))</f>
        <v>1</v>
      </c>
      <c r="AI455" s="1" t="str">
        <f>IF(HR_Data[[#This Row],[YearsAtCompany]]&lt;=2,"0-2 Yrs",IF(HR_Data[[#This Row],[YearsAtCompany]]&lt;=5,"3-5 Yrs",IF(HR_Data[[#This Row],[YearsAtCompany]]&lt;=10,"6-10 Yrs","10+ Yrs")))</f>
        <v>6-10 Yrs</v>
      </c>
      <c r="AJ455" s="1">
        <f>IF(HR_Data[[#This Row],[YearsAtCompany]]&lt;=2,1,IF(HR_Data[[#This Row],[YearsAtCompany]]&lt;=5,2,IF(HR_Data[[#This Row],[YearsAtCompany]]&lt;=10,3,4)))</f>
        <v>3</v>
      </c>
      <c r="AK455" s="1" t="str">
        <f>CHOOSE(HR_Data[[#This Row],[Education]],"Below College","College","Bachelor","Master","Doctor")</f>
        <v>Master</v>
      </c>
      <c r="AL455" s="1" t="str">
        <f>CHOOSE(HR_Data[[#This Row],[JobSatisfaction]],"Low","Medium","High","Very High")</f>
        <v>High</v>
      </c>
      <c r="AM455" s="1" t="str">
        <f>CHOOSE(HR_Data[[#This Row],[EnvironmentSatisfaction]],"Low","Medium","High","Very High")</f>
        <v>Medium</v>
      </c>
      <c r="AN455" s="1" t="str">
        <f>CHOOSE(HR_Data[[#This Row],[WorkLifeBalance]],"Bad","Good","Better","Best")</f>
        <v>Good</v>
      </c>
      <c r="AO455" s="1" t="str">
        <f>IF(HR_Data[[#This Row],[PercentSalaryHike]]&lt;=13,"11-13%",IF(HR_Data[[#This Row],[PercentSalaryHike]]&lt;=16,"14-16%",IF(HR_Data[[#This Row],[PercentSalaryHike]]&lt;=19,"17-19%","20-25%")))</f>
        <v>11-13%</v>
      </c>
      <c r="AP455" s="1">
        <f>IF(HR_Data[[#This Row],[PercentSalaryHike]]&lt;=13,1,IF(HR_Data[[#This Row],[PercentSalaryHike]]&lt;=16,2,IF(HR_Data[[#This Row],[PercentSalaryHike]]&lt;=19,3,4)))</f>
        <v>1</v>
      </c>
      <c r="AQ455" s="1" t="str">
        <f>IF(HR_Data[[#This Row],[DistanceFromHome]]&lt;=5,"1 to 5",IF(HR_Data[[#This Row],[DistanceFromHome]]&lt;=10,"6 to 10",IF(HR_Data[[#This Row],[DistanceFromHome]]&lt;=20,"11 to 20","21 to 29")))</f>
        <v>11 to 20</v>
      </c>
      <c r="AR455" s="1">
        <f>IF(HR_Data[[#This Row],[DistanceFromHome]]&lt;=5,1,IF(HR_Data[[#This Row],[DistanceFromHome]]&lt;=10,2,IF(HR_Data[[#This Row],[DistanceFromHome]]&lt;=20,3,4)))</f>
        <v>3</v>
      </c>
      <c r="AS455" s="1" t="str">
        <f>IF(HR_Data[[#This Row],[TotalWorkingYears]]&lt;=5,"0-5 Yrs",IF(HR_Data[[#This Row],[TotalWorkingYears]]&lt;=10,"6-10 Yrs",IF(HR_Data[[#This Row],[TotalWorkingYears]]&lt;=20,"11-20 Yrs","20+ Yrs")))</f>
        <v>6-10 Yrs</v>
      </c>
      <c r="AT455" s="1">
        <f>IF(HR_Data[[#This Row],[TotalWorkingYears]]&lt;=5,1,IF(HR_Data[[#This Row],[TotalWorkingYears]]&lt;=10,2,IF(HR_Data[[#This Row],[TotalWorkingYears]]&lt;=20,3,4)))</f>
        <v>2</v>
      </c>
    </row>
    <row r="456" spans="1:46" x14ac:dyDescent="0.25">
      <c r="A456">
        <v>29</v>
      </c>
      <c r="B456" t="s">
        <v>36</v>
      </c>
      <c r="C456" t="s">
        <v>30</v>
      </c>
      <c r="D456" t="s">
        <v>38</v>
      </c>
      <c r="E456">
        <v>19</v>
      </c>
      <c r="F456">
        <v>3</v>
      </c>
      <c r="G456" t="s">
        <v>53</v>
      </c>
      <c r="H456">
        <v>611</v>
      </c>
      <c r="I456">
        <v>4</v>
      </c>
      <c r="J456" t="s">
        <v>39</v>
      </c>
      <c r="K456">
        <v>3</v>
      </c>
      <c r="L456">
        <v>2</v>
      </c>
      <c r="M456" t="s">
        <v>46</v>
      </c>
      <c r="N456">
        <v>4</v>
      </c>
      <c r="O456" t="s">
        <v>45</v>
      </c>
      <c r="P456">
        <v>4262</v>
      </c>
      <c r="Q456">
        <v>4</v>
      </c>
      <c r="R456" t="s">
        <v>36</v>
      </c>
      <c r="S456">
        <v>12</v>
      </c>
      <c r="T456">
        <v>3</v>
      </c>
      <c r="U456">
        <v>2</v>
      </c>
      <c r="V456">
        <v>2</v>
      </c>
      <c r="W456">
        <v>8</v>
      </c>
      <c r="X456">
        <v>2</v>
      </c>
      <c r="Y456">
        <v>4</v>
      </c>
      <c r="Z456">
        <v>3</v>
      </c>
      <c r="AA456">
        <v>2</v>
      </c>
      <c r="AB456">
        <v>1</v>
      </c>
      <c r="AC456">
        <v>2</v>
      </c>
      <c r="AD456">
        <f>IF(HR_Data[[#This Row],[Attrition]]="Yes",1,0)</f>
        <v>0</v>
      </c>
      <c r="AE456" t="str">
        <f>IF(HR_Data[[#This Row],[Age]]&lt;=25,"18-25",IF(HR_Data[[#This Row],[Age]]&lt;=35,"26-35",IF(HR_Data[[#This Row],[Age]]&lt;=45,"36-45",IF(HR_Data[[#This Row],[Age]]&lt;=55,"46-55","55+"))))</f>
        <v>26-35</v>
      </c>
      <c r="AF456">
        <f>IF(HR_Data[[#This Row],[Age]]&lt;=25,1,IF(HR_Data[[#This Row],[Age]]&lt;=35,2,IF(HR_Data[[#This Row],[Age]]&lt;=45,3,IF(HR_Data[[#This Row],[Age]]&lt;=55,4,5))))</f>
        <v>2</v>
      </c>
      <c r="AG456" s="1" t="str">
        <f>IF(HR_Data[[#This Row],[MonthlyIncome]]&lt;3000,"&lt;3K",IF(HR_Data[[#This Row],[MonthlyIncome]]&lt;6000,"3K-6K",IF(HR_Data[[#This Row],[MonthlyIncome]]&lt;10000,"6K-10K","10K+")))</f>
        <v>3K-6K</v>
      </c>
      <c r="AH456" s="1">
        <f>IF(HR_Data[[#This Row],[MonthlyIncome]]&lt;3000,1,IF(HR_Data[[#This Row],[MonthlyIncome]]&lt;6000,2,IF(HR_Data[[#This Row],[MonthlyIncome]]&lt;10000,3,4)))</f>
        <v>2</v>
      </c>
      <c r="AI456" s="1" t="str">
        <f>IF(HR_Data[[#This Row],[YearsAtCompany]]&lt;=2,"0-2 Yrs",IF(HR_Data[[#This Row],[YearsAtCompany]]&lt;=5,"3-5 Yrs",IF(HR_Data[[#This Row],[YearsAtCompany]]&lt;=10,"6-10 Yrs","10+ Yrs")))</f>
        <v>3-5 Yrs</v>
      </c>
      <c r="AJ456" s="1">
        <f>IF(HR_Data[[#This Row],[YearsAtCompany]]&lt;=2,1,IF(HR_Data[[#This Row],[YearsAtCompany]]&lt;=5,2,IF(HR_Data[[#This Row],[YearsAtCompany]]&lt;=10,3,4)))</f>
        <v>2</v>
      </c>
      <c r="AK456" s="1" t="str">
        <f>CHOOSE(HR_Data[[#This Row],[Education]],"Below College","College","Bachelor","Master","Doctor")</f>
        <v>Bachelor</v>
      </c>
      <c r="AL456" s="1" t="str">
        <f>CHOOSE(HR_Data[[#This Row],[JobSatisfaction]],"Low","Medium","High","Very High")</f>
        <v>Very High</v>
      </c>
      <c r="AM456" s="1" t="str">
        <f>CHOOSE(HR_Data[[#This Row],[EnvironmentSatisfaction]],"Low","Medium","High","Very High")</f>
        <v>Very High</v>
      </c>
      <c r="AN456" s="1" t="str">
        <f>CHOOSE(HR_Data[[#This Row],[WorkLifeBalance]],"Bad","Good","Better","Best")</f>
        <v>Best</v>
      </c>
      <c r="AO456" s="1" t="str">
        <f>IF(HR_Data[[#This Row],[PercentSalaryHike]]&lt;=13,"11-13%",IF(HR_Data[[#This Row],[PercentSalaryHike]]&lt;=16,"14-16%",IF(HR_Data[[#This Row],[PercentSalaryHike]]&lt;=19,"17-19%","20-25%")))</f>
        <v>11-13%</v>
      </c>
      <c r="AP456" s="1">
        <f>IF(HR_Data[[#This Row],[PercentSalaryHike]]&lt;=13,1,IF(HR_Data[[#This Row],[PercentSalaryHike]]&lt;=16,2,IF(HR_Data[[#This Row],[PercentSalaryHike]]&lt;=19,3,4)))</f>
        <v>1</v>
      </c>
      <c r="AQ456" s="1" t="str">
        <f>IF(HR_Data[[#This Row],[DistanceFromHome]]&lt;=5,"1 to 5",IF(HR_Data[[#This Row],[DistanceFromHome]]&lt;=10,"6 to 10",IF(HR_Data[[#This Row],[DistanceFromHome]]&lt;=20,"11 to 20","21 to 29")))</f>
        <v>11 to 20</v>
      </c>
      <c r="AR456" s="1">
        <f>IF(HR_Data[[#This Row],[DistanceFromHome]]&lt;=5,1,IF(HR_Data[[#This Row],[DistanceFromHome]]&lt;=10,2,IF(HR_Data[[#This Row],[DistanceFromHome]]&lt;=20,3,4)))</f>
        <v>3</v>
      </c>
      <c r="AS456" s="1" t="str">
        <f>IF(HR_Data[[#This Row],[TotalWorkingYears]]&lt;=5,"0-5 Yrs",IF(HR_Data[[#This Row],[TotalWorkingYears]]&lt;=10,"6-10 Yrs",IF(HR_Data[[#This Row],[TotalWorkingYears]]&lt;=20,"11-20 Yrs","20+ Yrs")))</f>
        <v>6-10 Yrs</v>
      </c>
      <c r="AT456" s="1">
        <f>IF(HR_Data[[#This Row],[TotalWorkingYears]]&lt;=5,1,IF(HR_Data[[#This Row],[TotalWorkingYears]]&lt;=10,2,IF(HR_Data[[#This Row],[TotalWorkingYears]]&lt;=20,3,4)))</f>
        <v>2</v>
      </c>
    </row>
    <row r="457" spans="1:46" x14ac:dyDescent="0.25">
      <c r="A457">
        <v>33</v>
      </c>
      <c r="B457" t="s">
        <v>36</v>
      </c>
      <c r="C457" t="s">
        <v>30</v>
      </c>
      <c r="D457" t="s">
        <v>38</v>
      </c>
      <c r="E457">
        <v>1</v>
      </c>
      <c r="F457">
        <v>5</v>
      </c>
      <c r="G457" t="s">
        <v>44</v>
      </c>
      <c r="H457">
        <v>612</v>
      </c>
      <c r="I457">
        <v>1</v>
      </c>
      <c r="J457" t="s">
        <v>33</v>
      </c>
      <c r="K457">
        <v>4</v>
      </c>
      <c r="L457">
        <v>4</v>
      </c>
      <c r="M457" t="s">
        <v>51</v>
      </c>
      <c r="N457">
        <v>3</v>
      </c>
      <c r="O457" t="s">
        <v>45</v>
      </c>
      <c r="P457">
        <v>16184</v>
      </c>
      <c r="Q457">
        <v>4</v>
      </c>
      <c r="R457" t="s">
        <v>36</v>
      </c>
      <c r="S457">
        <v>19</v>
      </c>
      <c r="T457">
        <v>3</v>
      </c>
      <c r="U457">
        <v>3</v>
      </c>
      <c r="V457">
        <v>1</v>
      </c>
      <c r="W457">
        <v>10</v>
      </c>
      <c r="X457">
        <v>2</v>
      </c>
      <c r="Y457">
        <v>3</v>
      </c>
      <c r="Z457">
        <v>6</v>
      </c>
      <c r="AA457">
        <v>1</v>
      </c>
      <c r="AB457">
        <v>0</v>
      </c>
      <c r="AC457">
        <v>5</v>
      </c>
      <c r="AD457">
        <f>IF(HR_Data[[#This Row],[Attrition]]="Yes",1,0)</f>
        <v>0</v>
      </c>
      <c r="AE457" t="str">
        <f>IF(HR_Data[[#This Row],[Age]]&lt;=25,"18-25",IF(HR_Data[[#This Row],[Age]]&lt;=35,"26-35",IF(HR_Data[[#This Row],[Age]]&lt;=45,"36-45",IF(HR_Data[[#This Row],[Age]]&lt;=55,"46-55","55+"))))</f>
        <v>26-35</v>
      </c>
      <c r="AF457">
        <f>IF(HR_Data[[#This Row],[Age]]&lt;=25,1,IF(HR_Data[[#This Row],[Age]]&lt;=35,2,IF(HR_Data[[#This Row],[Age]]&lt;=45,3,IF(HR_Data[[#This Row],[Age]]&lt;=55,4,5))))</f>
        <v>2</v>
      </c>
      <c r="AG457" s="1" t="str">
        <f>IF(HR_Data[[#This Row],[MonthlyIncome]]&lt;3000,"&lt;3K",IF(HR_Data[[#This Row],[MonthlyIncome]]&lt;6000,"3K-6K",IF(HR_Data[[#This Row],[MonthlyIncome]]&lt;10000,"6K-10K","10K+")))</f>
        <v>10K+</v>
      </c>
      <c r="AH457" s="1">
        <f>IF(HR_Data[[#This Row],[MonthlyIncome]]&lt;3000,1,IF(HR_Data[[#This Row],[MonthlyIncome]]&lt;6000,2,IF(HR_Data[[#This Row],[MonthlyIncome]]&lt;10000,3,4)))</f>
        <v>4</v>
      </c>
      <c r="AI457" s="1" t="str">
        <f>IF(HR_Data[[#This Row],[YearsAtCompany]]&lt;=2,"0-2 Yrs",IF(HR_Data[[#This Row],[YearsAtCompany]]&lt;=5,"3-5 Yrs",IF(HR_Data[[#This Row],[YearsAtCompany]]&lt;=10,"6-10 Yrs","10+ Yrs")))</f>
        <v>6-10 Yrs</v>
      </c>
      <c r="AJ457" s="1">
        <f>IF(HR_Data[[#This Row],[YearsAtCompany]]&lt;=2,1,IF(HR_Data[[#This Row],[YearsAtCompany]]&lt;=5,2,IF(HR_Data[[#This Row],[YearsAtCompany]]&lt;=10,3,4)))</f>
        <v>3</v>
      </c>
      <c r="AK457" s="1" t="str">
        <f>CHOOSE(HR_Data[[#This Row],[Education]],"Below College","College","Bachelor","Master","Doctor")</f>
        <v>Doctor</v>
      </c>
      <c r="AL457" s="1" t="str">
        <f>CHOOSE(HR_Data[[#This Row],[JobSatisfaction]],"Low","Medium","High","Very High")</f>
        <v>High</v>
      </c>
      <c r="AM457" s="1" t="str">
        <f>CHOOSE(HR_Data[[#This Row],[EnvironmentSatisfaction]],"Low","Medium","High","Very High")</f>
        <v>Low</v>
      </c>
      <c r="AN457" s="1" t="str">
        <f>CHOOSE(HR_Data[[#This Row],[WorkLifeBalance]],"Bad","Good","Better","Best")</f>
        <v>Better</v>
      </c>
      <c r="AO457" s="1" t="str">
        <f>IF(HR_Data[[#This Row],[PercentSalaryHike]]&lt;=13,"11-13%",IF(HR_Data[[#This Row],[PercentSalaryHike]]&lt;=16,"14-16%",IF(HR_Data[[#This Row],[PercentSalaryHike]]&lt;=19,"17-19%","20-25%")))</f>
        <v>17-19%</v>
      </c>
      <c r="AP457" s="1">
        <f>IF(HR_Data[[#This Row],[PercentSalaryHike]]&lt;=13,1,IF(HR_Data[[#This Row],[PercentSalaryHike]]&lt;=16,2,IF(HR_Data[[#This Row],[PercentSalaryHike]]&lt;=19,3,4)))</f>
        <v>3</v>
      </c>
      <c r="AQ457" s="1" t="str">
        <f>IF(HR_Data[[#This Row],[DistanceFromHome]]&lt;=5,"1 to 5",IF(HR_Data[[#This Row],[DistanceFromHome]]&lt;=10,"6 to 10",IF(HR_Data[[#This Row],[DistanceFromHome]]&lt;=20,"11 to 20","21 to 29")))</f>
        <v>1 to 5</v>
      </c>
      <c r="AR457" s="1">
        <f>IF(HR_Data[[#This Row],[DistanceFromHome]]&lt;=5,1,IF(HR_Data[[#This Row],[DistanceFromHome]]&lt;=10,2,IF(HR_Data[[#This Row],[DistanceFromHome]]&lt;=20,3,4)))</f>
        <v>1</v>
      </c>
      <c r="AS457" s="1" t="str">
        <f>IF(HR_Data[[#This Row],[TotalWorkingYears]]&lt;=5,"0-5 Yrs",IF(HR_Data[[#This Row],[TotalWorkingYears]]&lt;=10,"6-10 Yrs",IF(HR_Data[[#This Row],[TotalWorkingYears]]&lt;=20,"11-20 Yrs","20+ Yrs")))</f>
        <v>6-10 Yrs</v>
      </c>
      <c r="AT457" s="1">
        <f>IF(HR_Data[[#This Row],[TotalWorkingYears]]&lt;=5,1,IF(HR_Data[[#This Row],[TotalWorkingYears]]&lt;=10,2,IF(HR_Data[[#This Row],[TotalWorkingYears]]&lt;=20,3,4)))</f>
        <v>2</v>
      </c>
    </row>
    <row r="458" spans="1:46" x14ac:dyDescent="0.25">
      <c r="A458">
        <v>31</v>
      </c>
      <c r="B458" t="s">
        <v>36</v>
      </c>
      <c r="C458" t="s">
        <v>30</v>
      </c>
      <c r="D458" t="s">
        <v>31</v>
      </c>
      <c r="E458">
        <v>7</v>
      </c>
      <c r="F458">
        <v>3</v>
      </c>
      <c r="G458" t="s">
        <v>32</v>
      </c>
      <c r="H458">
        <v>613</v>
      </c>
      <c r="I458">
        <v>3</v>
      </c>
      <c r="J458" t="s">
        <v>39</v>
      </c>
      <c r="K458">
        <v>2</v>
      </c>
      <c r="L458">
        <v>3</v>
      </c>
      <c r="M458" t="s">
        <v>49</v>
      </c>
      <c r="N458">
        <v>4</v>
      </c>
      <c r="O458" t="s">
        <v>45</v>
      </c>
      <c r="P458">
        <v>11557</v>
      </c>
      <c r="Q458">
        <v>9</v>
      </c>
      <c r="R458" t="s">
        <v>36</v>
      </c>
      <c r="S458">
        <v>21</v>
      </c>
      <c r="T458">
        <v>4</v>
      </c>
      <c r="U458">
        <v>3</v>
      </c>
      <c r="V458">
        <v>1</v>
      </c>
      <c r="W458">
        <v>10</v>
      </c>
      <c r="X458">
        <v>3</v>
      </c>
      <c r="Y458">
        <v>2</v>
      </c>
      <c r="Z458">
        <v>5</v>
      </c>
      <c r="AA458">
        <v>4</v>
      </c>
      <c r="AB458">
        <v>0</v>
      </c>
      <c r="AC458">
        <v>1</v>
      </c>
      <c r="AD458">
        <f>IF(HR_Data[[#This Row],[Attrition]]="Yes",1,0)</f>
        <v>0</v>
      </c>
      <c r="AE458" t="str">
        <f>IF(HR_Data[[#This Row],[Age]]&lt;=25,"18-25",IF(HR_Data[[#This Row],[Age]]&lt;=35,"26-35",IF(HR_Data[[#This Row],[Age]]&lt;=45,"36-45",IF(HR_Data[[#This Row],[Age]]&lt;=55,"46-55","55+"))))</f>
        <v>26-35</v>
      </c>
      <c r="AF458">
        <f>IF(HR_Data[[#This Row],[Age]]&lt;=25,1,IF(HR_Data[[#This Row],[Age]]&lt;=35,2,IF(HR_Data[[#This Row],[Age]]&lt;=45,3,IF(HR_Data[[#This Row],[Age]]&lt;=55,4,5))))</f>
        <v>2</v>
      </c>
      <c r="AG458" s="1" t="str">
        <f>IF(HR_Data[[#This Row],[MonthlyIncome]]&lt;3000,"&lt;3K",IF(HR_Data[[#This Row],[MonthlyIncome]]&lt;6000,"3K-6K",IF(HR_Data[[#This Row],[MonthlyIncome]]&lt;10000,"6K-10K","10K+")))</f>
        <v>10K+</v>
      </c>
      <c r="AH458" s="1">
        <f>IF(HR_Data[[#This Row],[MonthlyIncome]]&lt;3000,1,IF(HR_Data[[#This Row],[MonthlyIncome]]&lt;6000,2,IF(HR_Data[[#This Row],[MonthlyIncome]]&lt;10000,3,4)))</f>
        <v>4</v>
      </c>
      <c r="AI458" s="1" t="str">
        <f>IF(HR_Data[[#This Row],[YearsAtCompany]]&lt;=2,"0-2 Yrs",IF(HR_Data[[#This Row],[YearsAtCompany]]&lt;=5,"3-5 Yrs",IF(HR_Data[[#This Row],[YearsAtCompany]]&lt;=10,"6-10 Yrs","10+ Yrs")))</f>
        <v>3-5 Yrs</v>
      </c>
      <c r="AJ458" s="1">
        <f>IF(HR_Data[[#This Row],[YearsAtCompany]]&lt;=2,1,IF(HR_Data[[#This Row],[YearsAtCompany]]&lt;=5,2,IF(HR_Data[[#This Row],[YearsAtCompany]]&lt;=10,3,4)))</f>
        <v>2</v>
      </c>
      <c r="AK458" s="1" t="str">
        <f>CHOOSE(HR_Data[[#This Row],[Education]],"Below College","College","Bachelor","Master","Doctor")</f>
        <v>Bachelor</v>
      </c>
      <c r="AL458" s="1" t="str">
        <f>CHOOSE(HR_Data[[#This Row],[JobSatisfaction]],"Low","Medium","High","Very High")</f>
        <v>Very High</v>
      </c>
      <c r="AM458" s="1" t="str">
        <f>CHOOSE(HR_Data[[#This Row],[EnvironmentSatisfaction]],"Low","Medium","High","Very High")</f>
        <v>High</v>
      </c>
      <c r="AN458" s="1" t="str">
        <f>CHOOSE(HR_Data[[#This Row],[WorkLifeBalance]],"Bad","Good","Better","Best")</f>
        <v>Good</v>
      </c>
      <c r="AO458" s="1" t="str">
        <f>IF(HR_Data[[#This Row],[PercentSalaryHike]]&lt;=13,"11-13%",IF(HR_Data[[#This Row],[PercentSalaryHike]]&lt;=16,"14-16%",IF(HR_Data[[#This Row],[PercentSalaryHike]]&lt;=19,"17-19%","20-25%")))</f>
        <v>20-25%</v>
      </c>
      <c r="AP458" s="1">
        <f>IF(HR_Data[[#This Row],[PercentSalaryHike]]&lt;=13,1,IF(HR_Data[[#This Row],[PercentSalaryHike]]&lt;=16,2,IF(HR_Data[[#This Row],[PercentSalaryHike]]&lt;=19,3,4)))</f>
        <v>4</v>
      </c>
      <c r="AQ458" s="1" t="str">
        <f>IF(HR_Data[[#This Row],[DistanceFromHome]]&lt;=5,"1 to 5",IF(HR_Data[[#This Row],[DistanceFromHome]]&lt;=10,"6 to 10",IF(HR_Data[[#This Row],[DistanceFromHome]]&lt;=20,"11 to 20","21 to 29")))</f>
        <v>6 to 10</v>
      </c>
      <c r="AR458" s="1">
        <f>IF(HR_Data[[#This Row],[DistanceFromHome]]&lt;=5,1,IF(HR_Data[[#This Row],[DistanceFromHome]]&lt;=10,2,IF(HR_Data[[#This Row],[DistanceFromHome]]&lt;=20,3,4)))</f>
        <v>2</v>
      </c>
      <c r="AS458" s="1" t="str">
        <f>IF(HR_Data[[#This Row],[TotalWorkingYears]]&lt;=5,"0-5 Yrs",IF(HR_Data[[#This Row],[TotalWorkingYears]]&lt;=10,"6-10 Yrs",IF(HR_Data[[#This Row],[TotalWorkingYears]]&lt;=20,"11-20 Yrs","20+ Yrs")))</f>
        <v>6-10 Yrs</v>
      </c>
      <c r="AT458" s="1">
        <f>IF(HR_Data[[#This Row],[TotalWorkingYears]]&lt;=5,1,IF(HR_Data[[#This Row],[TotalWorkingYears]]&lt;=10,2,IF(HR_Data[[#This Row],[TotalWorkingYears]]&lt;=20,3,4)))</f>
        <v>2</v>
      </c>
    </row>
    <row r="459" spans="1:46" x14ac:dyDescent="0.25">
      <c r="A459">
        <v>18</v>
      </c>
      <c r="B459" t="s">
        <v>29</v>
      </c>
      <c r="C459" t="s">
        <v>37</v>
      </c>
      <c r="D459" t="s">
        <v>31</v>
      </c>
      <c r="E459">
        <v>5</v>
      </c>
      <c r="F459">
        <v>3</v>
      </c>
      <c r="G459" t="s">
        <v>52</v>
      </c>
      <c r="H459">
        <v>614</v>
      </c>
      <c r="I459">
        <v>2</v>
      </c>
      <c r="J459" t="s">
        <v>39</v>
      </c>
      <c r="K459">
        <v>3</v>
      </c>
      <c r="L459">
        <v>1</v>
      </c>
      <c r="M459" t="s">
        <v>50</v>
      </c>
      <c r="N459">
        <v>2</v>
      </c>
      <c r="O459" t="s">
        <v>35</v>
      </c>
      <c r="P459">
        <v>1878</v>
      </c>
      <c r="Q459">
        <v>1</v>
      </c>
      <c r="R459" t="s">
        <v>29</v>
      </c>
      <c r="S459">
        <v>14</v>
      </c>
      <c r="T459">
        <v>3</v>
      </c>
      <c r="U459">
        <v>4</v>
      </c>
      <c r="V459">
        <v>0</v>
      </c>
      <c r="W459">
        <v>0</v>
      </c>
      <c r="X459">
        <v>3</v>
      </c>
      <c r="Y459">
        <v>3</v>
      </c>
      <c r="Z459">
        <v>0</v>
      </c>
      <c r="AA459">
        <v>0</v>
      </c>
      <c r="AB459">
        <v>0</v>
      </c>
      <c r="AC459">
        <v>0</v>
      </c>
      <c r="AD459">
        <f>IF(HR_Data[[#This Row],[Attrition]]="Yes",1,0)</f>
        <v>1</v>
      </c>
      <c r="AE459" t="str">
        <f>IF(HR_Data[[#This Row],[Age]]&lt;=25,"18-25",IF(HR_Data[[#This Row],[Age]]&lt;=35,"26-35",IF(HR_Data[[#This Row],[Age]]&lt;=45,"36-45",IF(HR_Data[[#This Row],[Age]]&lt;=55,"46-55","55+"))))</f>
        <v>18-25</v>
      </c>
      <c r="AF459">
        <f>IF(HR_Data[[#This Row],[Age]]&lt;=25,1,IF(HR_Data[[#This Row],[Age]]&lt;=35,2,IF(HR_Data[[#This Row],[Age]]&lt;=45,3,IF(HR_Data[[#This Row],[Age]]&lt;=55,4,5))))</f>
        <v>1</v>
      </c>
      <c r="AG459" s="1" t="str">
        <f>IF(HR_Data[[#This Row],[MonthlyIncome]]&lt;3000,"&lt;3K",IF(HR_Data[[#This Row],[MonthlyIncome]]&lt;6000,"3K-6K",IF(HR_Data[[#This Row],[MonthlyIncome]]&lt;10000,"6K-10K","10K+")))</f>
        <v>&lt;3K</v>
      </c>
      <c r="AH459" s="1">
        <f>IF(HR_Data[[#This Row],[MonthlyIncome]]&lt;3000,1,IF(HR_Data[[#This Row],[MonthlyIncome]]&lt;6000,2,IF(HR_Data[[#This Row],[MonthlyIncome]]&lt;10000,3,4)))</f>
        <v>1</v>
      </c>
      <c r="AI459" s="1" t="str">
        <f>IF(HR_Data[[#This Row],[YearsAtCompany]]&lt;=2,"0-2 Yrs",IF(HR_Data[[#This Row],[YearsAtCompany]]&lt;=5,"3-5 Yrs",IF(HR_Data[[#This Row],[YearsAtCompany]]&lt;=10,"6-10 Yrs","10+ Yrs")))</f>
        <v>0-2 Yrs</v>
      </c>
      <c r="AJ459" s="1">
        <f>IF(HR_Data[[#This Row],[YearsAtCompany]]&lt;=2,1,IF(HR_Data[[#This Row],[YearsAtCompany]]&lt;=5,2,IF(HR_Data[[#This Row],[YearsAtCompany]]&lt;=10,3,4)))</f>
        <v>1</v>
      </c>
      <c r="AK459" s="1" t="str">
        <f>CHOOSE(HR_Data[[#This Row],[Education]],"Below College","College","Bachelor","Master","Doctor")</f>
        <v>Bachelor</v>
      </c>
      <c r="AL459" s="1" t="str">
        <f>CHOOSE(HR_Data[[#This Row],[JobSatisfaction]],"Low","Medium","High","Very High")</f>
        <v>Medium</v>
      </c>
      <c r="AM459" s="1" t="str">
        <f>CHOOSE(HR_Data[[#This Row],[EnvironmentSatisfaction]],"Low","Medium","High","Very High")</f>
        <v>Medium</v>
      </c>
      <c r="AN459" s="1" t="str">
        <f>CHOOSE(HR_Data[[#This Row],[WorkLifeBalance]],"Bad","Good","Better","Best")</f>
        <v>Better</v>
      </c>
      <c r="AO459" s="1" t="str">
        <f>IF(HR_Data[[#This Row],[PercentSalaryHike]]&lt;=13,"11-13%",IF(HR_Data[[#This Row],[PercentSalaryHike]]&lt;=16,"14-16%",IF(HR_Data[[#This Row],[PercentSalaryHike]]&lt;=19,"17-19%","20-25%")))</f>
        <v>14-16%</v>
      </c>
      <c r="AP459" s="1">
        <f>IF(HR_Data[[#This Row],[PercentSalaryHike]]&lt;=13,1,IF(HR_Data[[#This Row],[PercentSalaryHike]]&lt;=16,2,IF(HR_Data[[#This Row],[PercentSalaryHike]]&lt;=19,3,4)))</f>
        <v>2</v>
      </c>
      <c r="AQ459" s="1" t="str">
        <f>IF(HR_Data[[#This Row],[DistanceFromHome]]&lt;=5,"1 to 5",IF(HR_Data[[#This Row],[DistanceFromHome]]&lt;=10,"6 to 10",IF(HR_Data[[#This Row],[DistanceFromHome]]&lt;=20,"11 to 20","21 to 29")))</f>
        <v>1 to 5</v>
      </c>
      <c r="AR459" s="1">
        <f>IF(HR_Data[[#This Row],[DistanceFromHome]]&lt;=5,1,IF(HR_Data[[#This Row],[DistanceFromHome]]&lt;=10,2,IF(HR_Data[[#This Row],[DistanceFromHome]]&lt;=20,3,4)))</f>
        <v>1</v>
      </c>
      <c r="AS459" s="1" t="str">
        <f>IF(HR_Data[[#This Row],[TotalWorkingYears]]&lt;=5,"0-5 Yrs",IF(HR_Data[[#This Row],[TotalWorkingYears]]&lt;=10,"6-10 Yrs",IF(HR_Data[[#This Row],[TotalWorkingYears]]&lt;=20,"11-20 Yrs","20+ Yrs")))</f>
        <v>0-5 Yrs</v>
      </c>
      <c r="AT459" s="1">
        <f>IF(HR_Data[[#This Row],[TotalWorkingYears]]&lt;=5,1,IF(HR_Data[[#This Row],[TotalWorkingYears]]&lt;=10,2,IF(HR_Data[[#This Row],[TotalWorkingYears]]&lt;=20,3,4)))</f>
        <v>1</v>
      </c>
    </row>
    <row r="460" spans="1:46" x14ac:dyDescent="0.25">
      <c r="A460">
        <v>40</v>
      </c>
      <c r="B460" t="s">
        <v>36</v>
      </c>
      <c r="C460" t="s">
        <v>48</v>
      </c>
      <c r="D460" t="s">
        <v>31</v>
      </c>
      <c r="E460">
        <v>28</v>
      </c>
      <c r="F460">
        <v>3</v>
      </c>
      <c r="G460" t="s">
        <v>42</v>
      </c>
      <c r="H460">
        <v>615</v>
      </c>
      <c r="I460">
        <v>3</v>
      </c>
      <c r="J460" t="s">
        <v>39</v>
      </c>
      <c r="K460">
        <v>1</v>
      </c>
      <c r="L460">
        <v>3</v>
      </c>
      <c r="M460" t="s">
        <v>34</v>
      </c>
      <c r="N460">
        <v>1</v>
      </c>
      <c r="O460" t="s">
        <v>45</v>
      </c>
      <c r="P460">
        <v>10932</v>
      </c>
      <c r="Q460">
        <v>3</v>
      </c>
      <c r="R460" t="s">
        <v>36</v>
      </c>
      <c r="S460">
        <v>15</v>
      </c>
      <c r="T460">
        <v>3</v>
      </c>
      <c r="U460">
        <v>3</v>
      </c>
      <c r="V460">
        <v>1</v>
      </c>
      <c r="W460">
        <v>20</v>
      </c>
      <c r="X460">
        <v>2</v>
      </c>
      <c r="Y460">
        <v>3</v>
      </c>
      <c r="Z460">
        <v>1</v>
      </c>
      <c r="AA460">
        <v>0</v>
      </c>
      <c r="AB460">
        <v>0</v>
      </c>
      <c r="AC460">
        <v>1</v>
      </c>
      <c r="AD460">
        <f>IF(HR_Data[[#This Row],[Attrition]]="Yes",1,0)</f>
        <v>0</v>
      </c>
      <c r="AE460" t="str">
        <f>IF(HR_Data[[#This Row],[Age]]&lt;=25,"18-25",IF(HR_Data[[#This Row],[Age]]&lt;=35,"26-35",IF(HR_Data[[#This Row],[Age]]&lt;=45,"36-45",IF(HR_Data[[#This Row],[Age]]&lt;=55,"46-55","55+"))))</f>
        <v>36-45</v>
      </c>
      <c r="AF460">
        <f>IF(HR_Data[[#This Row],[Age]]&lt;=25,1,IF(HR_Data[[#This Row],[Age]]&lt;=35,2,IF(HR_Data[[#This Row],[Age]]&lt;=45,3,IF(HR_Data[[#This Row],[Age]]&lt;=55,4,5))))</f>
        <v>3</v>
      </c>
      <c r="AG460" s="1" t="str">
        <f>IF(HR_Data[[#This Row],[MonthlyIncome]]&lt;3000,"&lt;3K",IF(HR_Data[[#This Row],[MonthlyIncome]]&lt;6000,"3K-6K",IF(HR_Data[[#This Row],[MonthlyIncome]]&lt;10000,"6K-10K","10K+")))</f>
        <v>10K+</v>
      </c>
      <c r="AH460" s="1">
        <f>IF(HR_Data[[#This Row],[MonthlyIncome]]&lt;3000,1,IF(HR_Data[[#This Row],[MonthlyIncome]]&lt;6000,2,IF(HR_Data[[#This Row],[MonthlyIncome]]&lt;10000,3,4)))</f>
        <v>4</v>
      </c>
      <c r="AI460" s="1" t="str">
        <f>IF(HR_Data[[#This Row],[YearsAtCompany]]&lt;=2,"0-2 Yrs",IF(HR_Data[[#This Row],[YearsAtCompany]]&lt;=5,"3-5 Yrs",IF(HR_Data[[#This Row],[YearsAtCompany]]&lt;=10,"6-10 Yrs","10+ Yrs")))</f>
        <v>0-2 Yrs</v>
      </c>
      <c r="AJ460" s="1">
        <f>IF(HR_Data[[#This Row],[YearsAtCompany]]&lt;=2,1,IF(HR_Data[[#This Row],[YearsAtCompany]]&lt;=5,2,IF(HR_Data[[#This Row],[YearsAtCompany]]&lt;=10,3,4)))</f>
        <v>1</v>
      </c>
      <c r="AK460" s="1" t="str">
        <f>CHOOSE(HR_Data[[#This Row],[Education]],"Below College","College","Bachelor","Master","Doctor")</f>
        <v>Bachelor</v>
      </c>
      <c r="AL460" s="1" t="str">
        <f>CHOOSE(HR_Data[[#This Row],[JobSatisfaction]],"Low","Medium","High","Very High")</f>
        <v>Low</v>
      </c>
      <c r="AM460" s="1" t="str">
        <f>CHOOSE(HR_Data[[#This Row],[EnvironmentSatisfaction]],"Low","Medium","High","Very High")</f>
        <v>High</v>
      </c>
      <c r="AN460" s="1" t="str">
        <f>CHOOSE(HR_Data[[#This Row],[WorkLifeBalance]],"Bad","Good","Better","Best")</f>
        <v>Better</v>
      </c>
      <c r="AO460" s="1" t="str">
        <f>IF(HR_Data[[#This Row],[PercentSalaryHike]]&lt;=13,"11-13%",IF(HR_Data[[#This Row],[PercentSalaryHike]]&lt;=16,"14-16%",IF(HR_Data[[#This Row],[PercentSalaryHike]]&lt;=19,"17-19%","20-25%")))</f>
        <v>14-16%</v>
      </c>
      <c r="AP460" s="1">
        <f>IF(HR_Data[[#This Row],[PercentSalaryHike]]&lt;=13,1,IF(HR_Data[[#This Row],[PercentSalaryHike]]&lt;=16,2,IF(HR_Data[[#This Row],[PercentSalaryHike]]&lt;=19,3,4)))</f>
        <v>2</v>
      </c>
      <c r="AQ460" s="1" t="str">
        <f>IF(HR_Data[[#This Row],[DistanceFromHome]]&lt;=5,"1 to 5",IF(HR_Data[[#This Row],[DistanceFromHome]]&lt;=10,"6 to 10",IF(HR_Data[[#This Row],[DistanceFromHome]]&lt;=20,"11 to 20","21 to 29")))</f>
        <v>21 to 29</v>
      </c>
      <c r="AR460" s="1">
        <f>IF(HR_Data[[#This Row],[DistanceFromHome]]&lt;=5,1,IF(HR_Data[[#This Row],[DistanceFromHome]]&lt;=10,2,IF(HR_Data[[#This Row],[DistanceFromHome]]&lt;=20,3,4)))</f>
        <v>4</v>
      </c>
      <c r="AS460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460" s="1">
        <f>IF(HR_Data[[#This Row],[TotalWorkingYears]]&lt;=5,1,IF(HR_Data[[#This Row],[TotalWorkingYears]]&lt;=10,2,IF(HR_Data[[#This Row],[TotalWorkingYears]]&lt;=20,3,4)))</f>
        <v>3</v>
      </c>
    </row>
    <row r="461" spans="1:46" x14ac:dyDescent="0.25">
      <c r="A461">
        <v>41</v>
      </c>
      <c r="B461" t="s">
        <v>36</v>
      </c>
      <c r="C461" t="s">
        <v>48</v>
      </c>
      <c r="D461" t="s">
        <v>38</v>
      </c>
      <c r="E461">
        <v>2</v>
      </c>
      <c r="F461">
        <v>4</v>
      </c>
      <c r="G461" t="s">
        <v>42</v>
      </c>
      <c r="H461">
        <v>616</v>
      </c>
      <c r="I461">
        <v>1</v>
      </c>
      <c r="J461" t="s">
        <v>33</v>
      </c>
      <c r="K461">
        <v>2</v>
      </c>
      <c r="L461">
        <v>2</v>
      </c>
      <c r="M461" t="s">
        <v>47</v>
      </c>
      <c r="N461">
        <v>3</v>
      </c>
      <c r="O461" t="s">
        <v>35</v>
      </c>
      <c r="P461">
        <v>6811</v>
      </c>
      <c r="Q461">
        <v>2</v>
      </c>
      <c r="R461" t="s">
        <v>29</v>
      </c>
      <c r="S461">
        <v>17</v>
      </c>
      <c r="T461">
        <v>3</v>
      </c>
      <c r="U461">
        <v>1</v>
      </c>
      <c r="V461">
        <v>0</v>
      </c>
      <c r="W461">
        <v>10</v>
      </c>
      <c r="X461">
        <v>3</v>
      </c>
      <c r="Y461">
        <v>3</v>
      </c>
      <c r="Z461">
        <v>8</v>
      </c>
      <c r="AA461">
        <v>7</v>
      </c>
      <c r="AB461">
        <v>0</v>
      </c>
      <c r="AC461">
        <v>7</v>
      </c>
      <c r="AD461">
        <f>IF(HR_Data[[#This Row],[Attrition]]="Yes",1,0)</f>
        <v>0</v>
      </c>
      <c r="AE461" t="str">
        <f>IF(HR_Data[[#This Row],[Age]]&lt;=25,"18-25",IF(HR_Data[[#This Row],[Age]]&lt;=35,"26-35",IF(HR_Data[[#This Row],[Age]]&lt;=45,"36-45",IF(HR_Data[[#This Row],[Age]]&lt;=55,"46-55","55+"))))</f>
        <v>36-45</v>
      </c>
      <c r="AF461">
        <f>IF(HR_Data[[#This Row],[Age]]&lt;=25,1,IF(HR_Data[[#This Row],[Age]]&lt;=35,2,IF(HR_Data[[#This Row],[Age]]&lt;=45,3,IF(HR_Data[[#This Row],[Age]]&lt;=55,4,5))))</f>
        <v>3</v>
      </c>
      <c r="AG461" s="1" t="str">
        <f>IF(HR_Data[[#This Row],[MonthlyIncome]]&lt;3000,"&lt;3K",IF(HR_Data[[#This Row],[MonthlyIncome]]&lt;6000,"3K-6K",IF(HR_Data[[#This Row],[MonthlyIncome]]&lt;10000,"6K-10K","10K+")))</f>
        <v>6K-10K</v>
      </c>
      <c r="AH461" s="1">
        <f>IF(HR_Data[[#This Row],[MonthlyIncome]]&lt;3000,1,IF(HR_Data[[#This Row],[MonthlyIncome]]&lt;6000,2,IF(HR_Data[[#This Row],[MonthlyIncome]]&lt;10000,3,4)))</f>
        <v>3</v>
      </c>
      <c r="AI461" s="1" t="str">
        <f>IF(HR_Data[[#This Row],[YearsAtCompany]]&lt;=2,"0-2 Yrs",IF(HR_Data[[#This Row],[YearsAtCompany]]&lt;=5,"3-5 Yrs",IF(HR_Data[[#This Row],[YearsAtCompany]]&lt;=10,"6-10 Yrs","10+ Yrs")))</f>
        <v>6-10 Yrs</v>
      </c>
      <c r="AJ461" s="1">
        <f>IF(HR_Data[[#This Row],[YearsAtCompany]]&lt;=2,1,IF(HR_Data[[#This Row],[YearsAtCompany]]&lt;=5,2,IF(HR_Data[[#This Row],[YearsAtCompany]]&lt;=10,3,4)))</f>
        <v>3</v>
      </c>
      <c r="AK461" s="1" t="str">
        <f>CHOOSE(HR_Data[[#This Row],[Education]],"Below College","College","Bachelor","Master","Doctor")</f>
        <v>Master</v>
      </c>
      <c r="AL461" s="1" t="str">
        <f>CHOOSE(HR_Data[[#This Row],[JobSatisfaction]],"Low","Medium","High","Very High")</f>
        <v>High</v>
      </c>
      <c r="AM461" s="1" t="str">
        <f>CHOOSE(HR_Data[[#This Row],[EnvironmentSatisfaction]],"Low","Medium","High","Very High")</f>
        <v>Low</v>
      </c>
      <c r="AN461" s="1" t="str">
        <f>CHOOSE(HR_Data[[#This Row],[WorkLifeBalance]],"Bad","Good","Better","Best")</f>
        <v>Better</v>
      </c>
      <c r="AO461" s="1" t="str">
        <f>IF(HR_Data[[#This Row],[PercentSalaryHike]]&lt;=13,"11-13%",IF(HR_Data[[#This Row],[PercentSalaryHike]]&lt;=16,"14-16%",IF(HR_Data[[#This Row],[PercentSalaryHike]]&lt;=19,"17-19%","20-25%")))</f>
        <v>17-19%</v>
      </c>
      <c r="AP461" s="1">
        <f>IF(HR_Data[[#This Row],[PercentSalaryHike]]&lt;=13,1,IF(HR_Data[[#This Row],[PercentSalaryHike]]&lt;=16,2,IF(HR_Data[[#This Row],[PercentSalaryHike]]&lt;=19,3,4)))</f>
        <v>3</v>
      </c>
      <c r="AQ461" s="1" t="str">
        <f>IF(HR_Data[[#This Row],[DistanceFromHome]]&lt;=5,"1 to 5",IF(HR_Data[[#This Row],[DistanceFromHome]]&lt;=10,"6 to 10",IF(HR_Data[[#This Row],[DistanceFromHome]]&lt;=20,"11 to 20","21 to 29")))</f>
        <v>1 to 5</v>
      </c>
      <c r="AR461" s="1">
        <f>IF(HR_Data[[#This Row],[DistanceFromHome]]&lt;=5,1,IF(HR_Data[[#This Row],[DistanceFromHome]]&lt;=10,2,IF(HR_Data[[#This Row],[DistanceFromHome]]&lt;=20,3,4)))</f>
        <v>1</v>
      </c>
      <c r="AS461" s="1" t="str">
        <f>IF(HR_Data[[#This Row],[TotalWorkingYears]]&lt;=5,"0-5 Yrs",IF(HR_Data[[#This Row],[TotalWorkingYears]]&lt;=10,"6-10 Yrs",IF(HR_Data[[#This Row],[TotalWorkingYears]]&lt;=20,"11-20 Yrs","20+ Yrs")))</f>
        <v>6-10 Yrs</v>
      </c>
      <c r="AT461" s="1">
        <f>IF(HR_Data[[#This Row],[TotalWorkingYears]]&lt;=5,1,IF(HR_Data[[#This Row],[TotalWorkingYears]]&lt;=10,2,IF(HR_Data[[#This Row],[TotalWorkingYears]]&lt;=20,3,4)))</f>
        <v>2</v>
      </c>
    </row>
    <row r="462" spans="1:46" x14ac:dyDescent="0.25">
      <c r="A462">
        <v>26</v>
      </c>
      <c r="B462" t="s">
        <v>36</v>
      </c>
      <c r="C462" t="s">
        <v>30</v>
      </c>
      <c r="D462" t="s">
        <v>31</v>
      </c>
      <c r="E462">
        <v>29</v>
      </c>
      <c r="F462">
        <v>2</v>
      </c>
      <c r="G462" t="s">
        <v>44</v>
      </c>
      <c r="H462">
        <v>618</v>
      </c>
      <c r="I462">
        <v>1</v>
      </c>
      <c r="J462" t="s">
        <v>39</v>
      </c>
      <c r="K462">
        <v>3</v>
      </c>
      <c r="L462">
        <v>2</v>
      </c>
      <c r="M462" t="s">
        <v>34</v>
      </c>
      <c r="N462">
        <v>3</v>
      </c>
      <c r="O462" t="s">
        <v>45</v>
      </c>
      <c r="P462">
        <v>4306</v>
      </c>
      <c r="Q462">
        <v>5</v>
      </c>
      <c r="R462" t="s">
        <v>36</v>
      </c>
      <c r="S462">
        <v>12</v>
      </c>
      <c r="T462">
        <v>3</v>
      </c>
      <c r="U462">
        <v>1</v>
      </c>
      <c r="V462">
        <v>2</v>
      </c>
      <c r="W462">
        <v>8</v>
      </c>
      <c r="X462">
        <v>5</v>
      </c>
      <c r="Y462">
        <v>3</v>
      </c>
      <c r="Z462">
        <v>0</v>
      </c>
      <c r="AA462">
        <v>0</v>
      </c>
      <c r="AB462">
        <v>0</v>
      </c>
      <c r="AC462">
        <v>0</v>
      </c>
      <c r="AD462">
        <f>IF(HR_Data[[#This Row],[Attrition]]="Yes",1,0)</f>
        <v>0</v>
      </c>
      <c r="AE462" t="str">
        <f>IF(HR_Data[[#This Row],[Age]]&lt;=25,"18-25",IF(HR_Data[[#This Row],[Age]]&lt;=35,"26-35",IF(HR_Data[[#This Row],[Age]]&lt;=45,"36-45",IF(HR_Data[[#This Row],[Age]]&lt;=55,"46-55","55+"))))</f>
        <v>26-35</v>
      </c>
      <c r="AF462">
        <f>IF(HR_Data[[#This Row],[Age]]&lt;=25,1,IF(HR_Data[[#This Row],[Age]]&lt;=35,2,IF(HR_Data[[#This Row],[Age]]&lt;=45,3,IF(HR_Data[[#This Row],[Age]]&lt;=55,4,5))))</f>
        <v>2</v>
      </c>
      <c r="AG462" s="1" t="str">
        <f>IF(HR_Data[[#This Row],[MonthlyIncome]]&lt;3000,"&lt;3K",IF(HR_Data[[#This Row],[MonthlyIncome]]&lt;6000,"3K-6K",IF(HR_Data[[#This Row],[MonthlyIncome]]&lt;10000,"6K-10K","10K+")))</f>
        <v>3K-6K</v>
      </c>
      <c r="AH462" s="1">
        <f>IF(HR_Data[[#This Row],[MonthlyIncome]]&lt;3000,1,IF(HR_Data[[#This Row],[MonthlyIncome]]&lt;6000,2,IF(HR_Data[[#This Row],[MonthlyIncome]]&lt;10000,3,4)))</f>
        <v>2</v>
      </c>
      <c r="AI462" s="1" t="str">
        <f>IF(HR_Data[[#This Row],[YearsAtCompany]]&lt;=2,"0-2 Yrs",IF(HR_Data[[#This Row],[YearsAtCompany]]&lt;=5,"3-5 Yrs",IF(HR_Data[[#This Row],[YearsAtCompany]]&lt;=10,"6-10 Yrs","10+ Yrs")))</f>
        <v>0-2 Yrs</v>
      </c>
      <c r="AJ462" s="1">
        <f>IF(HR_Data[[#This Row],[YearsAtCompany]]&lt;=2,1,IF(HR_Data[[#This Row],[YearsAtCompany]]&lt;=5,2,IF(HR_Data[[#This Row],[YearsAtCompany]]&lt;=10,3,4)))</f>
        <v>1</v>
      </c>
      <c r="AK462" s="1" t="str">
        <f>CHOOSE(HR_Data[[#This Row],[Education]],"Below College","College","Bachelor","Master","Doctor")</f>
        <v>College</v>
      </c>
      <c r="AL462" s="1" t="str">
        <f>CHOOSE(HR_Data[[#This Row],[JobSatisfaction]],"Low","Medium","High","Very High")</f>
        <v>High</v>
      </c>
      <c r="AM462" s="1" t="str">
        <f>CHOOSE(HR_Data[[#This Row],[EnvironmentSatisfaction]],"Low","Medium","High","Very High")</f>
        <v>Low</v>
      </c>
      <c r="AN462" s="1" t="str">
        <f>CHOOSE(HR_Data[[#This Row],[WorkLifeBalance]],"Bad","Good","Better","Best")</f>
        <v>Better</v>
      </c>
      <c r="AO462" s="1" t="str">
        <f>IF(HR_Data[[#This Row],[PercentSalaryHike]]&lt;=13,"11-13%",IF(HR_Data[[#This Row],[PercentSalaryHike]]&lt;=16,"14-16%",IF(HR_Data[[#This Row],[PercentSalaryHike]]&lt;=19,"17-19%","20-25%")))</f>
        <v>11-13%</v>
      </c>
      <c r="AP462" s="1">
        <f>IF(HR_Data[[#This Row],[PercentSalaryHike]]&lt;=13,1,IF(HR_Data[[#This Row],[PercentSalaryHike]]&lt;=16,2,IF(HR_Data[[#This Row],[PercentSalaryHike]]&lt;=19,3,4)))</f>
        <v>1</v>
      </c>
      <c r="AQ462" s="1" t="str">
        <f>IF(HR_Data[[#This Row],[DistanceFromHome]]&lt;=5,"1 to 5",IF(HR_Data[[#This Row],[DistanceFromHome]]&lt;=10,"6 to 10",IF(HR_Data[[#This Row],[DistanceFromHome]]&lt;=20,"11 to 20","21 to 29")))</f>
        <v>21 to 29</v>
      </c>
      <c r="AR462" s="1">
        <f>IF(HR_Data[[#This Row],[DistanceFromHome]]&lt;=5,1,IF(HR_Data[[#This Row],[DistanceFromHome]]&lt;=10,2,IF(HR_Data[[#This Row],[DistanceFromHome]]&lt;=20,3,4)))</f>
        <v>4</v>
      </c>
      <c r="AS462" s="1" t="str">
        <f>IF(HR_Data[[#This Row],[TotalWorkingYears]]&lt;=5,"0-5 Yrs",IF(HR_Data[[#This Row],[TotalWorkingYears]]&lt;=10,"6-10 Yrs",IF(HR_Data[[#This Row],[TotalWorkingYears]]&lt;=20,"11-20 Yrs","20+ Yrs")))</f>
        <v>6-10 Yrs</v>
      </c>
      <c r="AT462" s="1">
        <f>IF(HR_Data[[#This Row],[TotalWorkingYears]]&lt;=5,1,IF(HR_Data[[#This Row],[TotalWorkingYears]]&lt;=10,2,IF(HR_Data[[#This Row],[TotalWorkingYears]]&lt;=20,3,4)))</f>
        <v>2</v>
      </c>
    </row>
    <row r="463" spans="1:46" x14ac:dyDescent="0.25">
      <c r="A463">
        <v>35</v>
      </c>
      <c r="B463" t="s">
        <v>36</v>
      </c>
      <c r="C463" t="s">
        <v>30</v>
      </c>
      <c r="D463" t="s">
        <v>31</v>
      </c>
      <c r="E463">
        <v>1</v>
      </c>
      <c r="F463">
        <v>3</v>
      </c>
      <c r="G463" t="s">
        <v>44</v>
      </c>
      <c r="H463">
        <v>620</v>
      </c>
      <c r="I463">
        <v>1</v>
      </c>
      <c r="J463" t="s">
        <v>33</v>
      </c>
      <c r="K463">
        <v>3</v>
      </c>
      <c r="L463">
        <v>2</v>
      </c>
      <c r="M463" t="s">
        <v>34</v>
      </c>
      <c r="N463">
        <v>3</v>
      </c>
      <c r="O463" t="s">
        <v>35</v>
      </c>
      <c r="P463">
        <v>4859</v>
      </c>
      <c r="Q463">
        <v>1</v>
      </c>
      <c r="R463" t="s">
        <v>36</v>
      </c>
      <c r="S463">
        <v>16</v>
      </c>
      <c r="T463">
        <v>3</v>
      </c>
      <c r="U463">
        <v>4</v>
      </c>
      <c r="V463">
        <v>0</v>
      </c>
      <c r="W463">
        <v>5</v>
      </c>
      <c r="X463">
        <v>3</v>
      </c>
      <c r="Y463">
        <v>3</v>
      </c>
      <c r="Z463">
        <v>5</v>
      </c>
      <c r="AA463">
        <v>4</v>
      </c>
      <c r="AB463">
        <v>0</v>
      </c>
      <c r="AC463">
        <v>3</v>
      </c>
      <c r="AD463">
        <f>IF(HR_Data[[#This Row],[Attrition]]="Yes",1,0)</f>
        <v>0</v>
      </c>
      <c r="AE463" t="str">
        <f>IF(HR_Data[[#This Row],[Age]]&lt;=25,"18-25",IF(HR_Data[[#This Row],[Age]]&lt;=35,"26-35",IF(HR_Data[[#This Row],[Age]]&lt;=45,"36-45",IF(HR_Data[[#This Row],[Age]]&lt;=55,"46-55","55+"))))</f>
        <v>26-35</v>
      </c>
      <c r="AF463">
        <f>IF(HR_Data[[#This Row],[Age]]&lt;=25,1,IF(HR_Data[[#This Row],[Age]]&lt;=35,2,IF(HR_Data[[#This Row],[Age]]&lt;=45,3,IF(HR_Data[[#This Row],[Age]]&lt;=55,4,5))))</f>
        <v>2</v>
      </c>
      <c r="AG463" s="1" t="str">
        <f>IF(HR_Data[[#This Row],[MonthlyIncome]]&lt;3000,"&lt;3K",IF(HR_Data[[#This Row],[MonthlyIncome]]&lt;6000,"3K-6K",IF(HR_Data[[#This Row],[MonthlyIncome]]&lt;10000,"6K-10K","10K+")))</f>
        <v>3K-6K</v>
      </c>
      <c r="AH463" s="1">
        <f>IF(HR_Data[[#This Row],[MonthlyIncome]]&lt;3000,1,IF(HR_Data[[#This Row],[MonthlyIncome]]&lt;6000,2,IF(HR_Data[[#This Row],[MonthlyIncome]]&lt;10000,3,4)))</f>
        <v>2</v>
      </c>
      <c r="AI463" s="1" t="str">
        <f>IF(HR_Data[[#This Row],[YearsAtCompany]]&lt;=2,"0-2 Yrs",IF(HR_Data[[#This Row],[YearsAtCompany]]&lt;=5,"3-5 Yrs",IF(HR_Data[[#This Row],[YearsAtCompany]]&lt;=10,"6-10 Yrs","10+ Yrs")))</f>
        <v>3-5 Yrs</v>
      </c>
      <c r="AJ463" s="1">
        <f>IF(HR_Data[[#This Row],[YearsAtCompany]]&lt;=2,1,IF(HR_Data[[#This Row],[YearsAtCompany]]&lt;=5,2,IF(HR_Data[[#This Row],[YearsAtCompany]]&lt;=10,3,4)))</f>
        <v>2</v>
      </c>
      <c r="AK463" s="1" t="str">
        <f>CHOOSE(HR_Data[[#This Row],[Education]],"Below College","College","Bachelor","Master","Doctor")</f>
        <v>Bachelor</v>
      </c>
      <c r="AL463" s="1" t="str">
        <f>CHOOSE(HR_Data[[#This Row],[JobSatisfaction]],"Low","Medium","High","Very High")</f>
        <v>High</v>
      </c>
      <c r="AM463" s="1" t="str">
        <f>CHOOSE(HR_Data[[#This Row],[EnvironmentSatisfaction]],"Low","Medium","High","Very High")</f>
        <v>Low</v>
      </c>
      <c r="AN463" s="1" t="str">
        <f>CHOOSE(HR_Data[[#This Row],[WorkLifeBalance]],"Bad","Good","Better","Best")</f>
        <v>Better</v>
      </c>
      <c r="AO463" s="1" t="str">
        <f>IF(HR_Data[[#This Row],[PercentSalaryHike]]&lt;=13,"11-13%",IF(HR_Data[[#This Row],[PercentSalaryHike]]&lt;=16,"14-16%",IF(HR_Data[[#This Row],[PercentSalaryHike]]&lt;=19,"17-19%","20-25%")))</f>
        <v>14-16%</v>
      </c>
      <c r="AP463" s="1">
        <f>IF(HR_Data[[#This Row],[PercentSalaryHike]]&lt;=13,1,IF(HR_Data[[#This Row],[PercentSalaryHike]]&lt;=16,2,IF(HR_Data[[#This Row],[PercentSalaryHike]]&lt;=19,3,4)))</f>
        <v>2</v>
      </c>
      <c r="AQ463" s="1" t="str">
        <f>IF(HR_Data[[#This Row],[DistanceFromHome]]&lt;=5,"1 to 5",IF(HR_Data[[#This Row],[DistanceFromHome]]&lt;=10,"6 to 10",IF(HR_Data[[#This Row],[DistanceFromHome]]&lt;=20,"11 to 20","21 to 29")))</f>
        <v>1 to 5</v>
      </c>
      <c r="AR463" s="1">
        <f>IF(HR_Data[[#This Row],[DistanceFromHome]]&lt;=5,1,IF(HR_Data[[#This Row],[DistanceFromHome]]&lt;=10,2,IF(HR_Data[[#This Row],[DistanceFromHome]]&lt;=20,3,4)))</f>
        <v>1</v>
      </c>
      <c r="AS463" s="1" t="str">
        <f>IF(HR_Data[[#This Row],[TotalWorkingYears]]&lt;=5,"0-5 Yrs",IF(HR_Data[[#This Row],[TotalWorkingYears]]&lt;=10,"6-10 Yrs",IF(HR_Data[[#This Row],[TotalWorkingYears]]&lt;=20,"11-20 Yrs","20+ Yrs")))</f>
        <v>0-5 Yrs</v>
      </c>
      <c r="AT463" s="1">
        <f>IF(HR_Data[[#This Row],[TotalWorkingYears]]&lt;=5,1,IF(HR_Data[[#This Row],[TotalWorkingYears]]&lt;=10,2,IF(HR_Data[[#This Row],[TotalWorkingYears]]&lt;=20,3,4)))</f>
        <v>1</v>
      </c>
    </row>
    <row r="464" spans="1:46" x14ac:dyDescent="0.25">
      <c r="A464">
        <v>34</v>
      </c>
      <c r="B464" t="s">
        <v>36</v>
      </c>
      <c r="C464" t="s">
        <v>30</v>
      </c>
      <c r="D464" t="s">
        <v>31</v>
      </c>
      <c r="E464">
        <v>21</v>
      </c>
      <c r="F464">
        <v>4</v>
      </c>
      <c r="G464" t="s">
        <v>32</v>
      </c>
      <c r="H464">
        <v>621</v>
      </c>
      <c r="I464">
        <v>4</v>
      </c>
      <c r="J464" t="s">
        <v>39</v>
      </c>
      <c r="K464">
        <v>4</v>
      </c>
      <c r="L464">
        <v>2</v>
      </c>
      <c r="M464" t="s">
        <v>34</v>
      </c>
      <c r="N464">
        <v>4</v>
      </c>
      <c r="O464" t="s">
        <v>35</v>
      </c>
      <c r="P464">
        <v>5337</v>
      </c>
      <c r="Q464">
        <v>1</v>
      </c>
      <c r="R464" t="s">
        <v>36</v>
      </c>
      <c r="S464">
        <v>12</v>
      </c>
      <c r="T464">
        <v>3</v>
      </c>
      <c r="U464">
        <v>4</v>
      </c>
      <c r="V464">
        <v>0</v>
      </c>
      <c r="W464">
        <v>10</v>
      </c>
      <c r="X464">
        <v>3</v>
      </c>
      <c r="Y464">
        <v>3</v>
      </c>
      <c r="Z464">
        <v>10</v>
      </c>
      <c r="AA464">
        <v>7</v>
      </c>
      <c r="AB464">
        <v>5</v>
      </c>
      <c r="AC464">
        <v>7</v>
      </c>
      <c r="AD464">
        <f>IF(HR_Data[[#This Row],[Attrition]]="Yes",1,0)</f>
        <v>0</v>
      </c>
      <c r="AE464" t="str">
        <f>IF(HR_Data[[#This Row],[Age]]&lt;=25,"18-25",IF(HR_Data[[#This Row],[Age]]&lt;=35,"26-35",IF(HR_Data[[#This Row],[Age]]&lt;=45,"36-45",IF(HR_Data[[#This Row],[Age]]&lt;=55,"46-55","55+"))))</f>
        <v>26-35</v>
      </c>
      <c r="AF464">
        <f>IF(HR_Data[[#This Row],[Age]]&lt;=25,1,IF(HR_Data[[#This Row],[Age]]&lt;=35,2,IF(HR_Data[[#This Row],[Age]]&lt;=45,3,IF(HR_Data[[#This Row],[Age]]&lt;=55,4,5))))</f>
        <v>2</v>
      </c>
      <c r="AG464" s="1" t="str">
        <f>IF(HR_Data[[#This Row],[MonthlyIncome]]&lt;3000,"&lt;3K",IF(HR_Data[[#This Row],[MonthlyIncome]]&lt;6000,"3K-6K",IF(HR_Data[[#This Row],[MonthlyIncome]]&lt;10000,"6K-10K","10K+")))</f>
        <v>3K-6K</v>
      </c>
      <c r="AH464" s="1">
        <f>IF(HR_Data[[#This Row],[MonthlyIncome]]&lt;3000,1,IF(HR_Data[[#This Row],[MonthlyIncome]]&lt;6000,2,IF(HR_Data[[#This Row],[MonthlyIncome]]&lt;10000,3,4)))</f>
        <v>2</v>
      </c>
      <c r="AI464" s="1" t="str">
        <f>IF(HR_Data[[#This Row],[YearsAtCompany]]&lt;=2,"0-2 Yrs",IF(HR_Data[[#This Row],[YearsAtCompany]]&lt;=5,"3-5 Yrs",IF(HR_Data[[#This Row],[YearsAtCompany]]&lt;=10,"6-10 Yrs","10+ Yrs")))</f>
        <v>6-10 Yrs</v>
      </c>
      <c r="AJ464" s="1">
        <f>IF(HR_Data[[#This Row],[YearsAtCompany]]&lt;=2,1,IF(HR_Data[[#This Row],[YearsAtCompany]]&lt;=5,2,IF(HR_Data[[#This Row],[YearsAtCompany]]&lt;=10,3,4)))</f>
        <v>3</v>
      </c>
      <c r="AK464" s="1" t="str">
        <f>CHOOSE(HR_Data[[#This Row],[Education]],"Below College","College","Bachelor","Master","Doctor")</f>
        <v>Master</v>
      </c>
      <c r="AL464" s="1" t="str">
        <f>CHOOSE(HR_Data[[#This Row],[JobSatisfaction]],"Low","Medium","High","Very High")</f>
        <v>Very High</v>
      </c>
      <c r="AM464" s="1" t="str">
        <f>CHOOSE(HR_Data[[#This Row],[EnvironmentSatisfaction]],"Low","Medium","High","Very High")</f>
        <v>Very High</v>
      </c>
      <c r="AN464" s="1" t="str">
        <f>CHOOSE(HR_Data[[#This Row],[WorkLifeBalance]],"Bad","Good","Better","Best")</f>
        <v>Better</v>
      </c>
      <c r="AO464" s="1" t="str">
        <f>IF(HR_Data[[#This Row],[PercentSalaryHike]]&lt;=13,"11-13%",IF(HR_Data[[#This Row],[PercentSalaryHike]]&lt;=16,"14-16%",IF(HR_Data[[#This Row],[PercentSalaryHike]]&lt;=19,"17-19%","20-25%")))</f>
        <v>11-13%</v>
      </c>
      <c r="AP464" s="1">
        <f>IF(HR_Data[[#This Row],[PercentSalaryHike]]&lt;=13,1,IF(HR_Data[[#This Row],[PercentSalaryHike]]&lt;=16,2,IF(HR_Data[[#This Row],[PercentSalaryHike]]&lt;=19,3,4)))</f>
        <v>1</v>
      </c>
      <c r="AQ464" s="1" t="str">
        <f>IF(HR_Data[[#This Row],[DistanceFromHome]]&lt;=5,"1 to 5",IF(HR_Data[[#This Row],[DistanceFromHome]]&lt;=10,"6 to 10",IF(HR_Data[[#This Row],[DistanceFromHome]]&lt;=20,"11 to 20","21 to 29")))</f>
        <v>21 to 29</v>
      </c>
      <c r="AR464" s="1">
        <f>IF(HR_Data[[#This Row],[DistanceFromHome]]&lt;=5,1,IF(HR_Data[[#This Row],[DistanceFromHome]]&lt;=10,2,IF(HR_Data[[#This Row],[DistanceFromHome]]&lt;=20,3,4)))</f>
        <v>4</v>
      </c>
      <c r="AS464" s="1" t="str">
        <f>IF(HR_Data[[#This Row],[TotalWorkingYears]]&lt;=5,"0-5 Yrs",IF(HR_Data[[#This Row],[TotalWorkingYears]]&lt;=10,"6-10 Yrs",IF(HR_Data[[#This Row],[TotalWorkingYears]]&lt;=20,"11-20 Yrs","20+ Yrs")))</f>
        <v>6-10 Yrs</v>
      </c>
      <c r="AT464" s="1">
        <f>IF(HR_Data[[#This Row],[TotalWorkingYears]]&lt;=5,1,IF(HR_Data[[#This Row],[TotalWorkingYears]]&lt;=10,2,IF(HR_Data[[#This Row],[TotalWorkingYears]]&lt;=20,3,4)))</f>
        <v>2</v>
      </c>
    </row>
    <row r="465" spans="1:46" x14ac:dyDescent="0.25">
      <c r="A465">
        <v>26</v>
      </c>
      <c r="B465" t="s">
        <v>29</v>
      </c>
      <c r="C465" t="s">
        <v>30</v>
      </c>
      <c r="D465" t="s">
        <v>38</v>
      </c>
      <c r="E465">
        <v>24</v>
      </c>
      <c r="F465">
        <v>3</v>
      </c>
      <c r="G465" t="s">
        <v>53</v>
      </c>
      <c r="H465">
        <v>622</v>
      </c>
      <c r="I465">
        <v>3</v>
      </c>
      <c r="J465" t="s">
        <v>39</v>
      </c>
      <c r="K465">
        <v>1</v>
      </c>
      <c r="L465">
        <v>1</v>
      </c>
      <c r="M465" t="s">
        <v>43</v>
      </c>
      <c r="N465">
        <v>4</v>
      </c>
      <c r="O465" t="s">
        <v>35</v>
      </c>
      <c r="P465">
        <v>2340</v>
      </c>
      <c r="Q465">
        <v>1</v>
      </c>
      <c r="R465" t="s">
        <v>29</v>
      </c>
      <c r="S465">
        <v>18</v>
      </c>
      <c r="T465">
        <v>3</v>
      </c>
      <c r="U465">
        <v>2</v>
      </c>
      <c r="V465">
        <v>0</v>
      </c>
      <c r="W465">
        <v>1</v>
      </c>
      <c r="X465">
        <v>3</v>
      </c>
      <c r="Y465">
        <v>1</v>
      </c>
      <c r="Z465">
        <v>1</v>
      </c>
      <c r="AA465">
        <v>0</v>
      </c>
      <c r="AB465">
        <v>0</v>
      </c>
      <c r="AC465">
        <v>0</v>
      </c>
      <c r="AD465">
        <f>IF(HR_Data[[#This Row],[Attrition]]="Yes",1,0)</f>
        <v>1</v>
      </c>
      <c r="AE465" t="str">
        <f>IF(HR_Data[[#This Row],[Age]]&lt;=25,"18-25",IF(HR_Data[[#This Row],[Age]]&lt;=35,"26-35",IF(HR_Data[[#This Row],[Age]]&lt;=45,"36-45",IF(HR_Data[[#This Row],[Age]]&lt;=55,"46-55","55+"))))</f>
        <v>26-35</v>
      </c>
      <c r="AF465">
        <f>IF(HR_Data[[#This Row],[Age]]&lt;=25,1,IF(HR_Data[[#This Row],[Age]]&lt;=35,2,IF(HR_Data[[#This Row],[Age]]&lt;=45,3,IF(HR_Data[[#This Row],[Age]]&lt;=55,4,5))))</f>
        <v>2</v>
      </c>
      <c r="AG465" s="1" t="str">
        <f>IF(HR_Data[[#This Row],[MonthlyIncome]]&lt;3000,"&lt;3K",IF(HR_Data[[#This Row],[MonthlyIncome]]&lt;6000,"3K-6K",IF(HR_Data[[#This Row],[MonthlyIncome]]&lt;10000,"6K-10K","10K+")))</f>
        <v>&lt;3K</v>
      </c>
      <c r="AH465" s="1">
        <f>IF(HR_Data[[#This Row],[MonthlyIncome]]&lt;3000,1,IF(HR_Data[[#This Row],[MonthlyIncome]]&lt;6000,2,IF(HR_Data[[#This Row],[MonthlyIncome]]&lt;10000,3,4)))</f>
        <v>1</v>
      </c>
      <c r="AI465" s="1" t="str">
        <f>IF(HR_Data[[#This Row],[YearsAtCompany]]&lt;=2,"0-2 Yrs",IF(HR_Data[[#This Row],[YearsAtCompany]]&lt;=5,"3-5 Yrs",IF(HR_Data[[#This Row],[YearsAtCompany]]&lt;=10,"6-10 Yrs","10+ Yrs")))</f>
        <v>0-2 Yrs</v>
      </c>
      <c r="AJ465" s="1">
        <f>IF(HR_Data[[#This Row],[YearsAtCompany]]&lt;=2,1,IF(HR_Data[[#This Row],[YearsAtCompany]]&lt;=5,2,IF(HR_Data[[#This Row],[YearsAtCompany]]&lt;=10,3,4)))</f>
        <v>1</v>
      </c>
      <c r="AK465" s="1" t="str">
        <f>CHOOSE(HR_Data[[#This Row],[Education]],"Below College","College","Bachelor","Master","Doctor")</f>
        <v>Bachelor</v>
      </c>
      <c r="AL465" s="1" t="str">
        <f>CHOOSE(HR_Data[[#This Row],[JobSatisfaction]],"Low","Medium","High","Very High")</f>
        <v>Very High</v>
      </c>
      <c r="AM465" s="1" t="str">
        <f>CHOOSE(HR_Data[[#This Row],[EnvironmentSatisfaction]],"Low","Medium","High","Very High")</f>
        <v>High</v>
      </c>
      <c r="AN465" s="1" t="str">
        <f>CHOOSE(HR_Data[[#This Row],[WorkLifeBalance]],"Bad","Good","Better","Best")</f>
        <v>Bad</v>
      </c>
      <c r="AO465" s="1" t="str">
        <f>IF(HR_Data[[#This Row],[PercentSalaryHike]]&lt;=13,"11-13%",IF(HR_Data[[#This Row],[PercentSalaryHike]]&lt;=16,"14-16%",IF(HR_Data[[#This Row],[PercentSalaryHike]]&lt;=19,"17-19%","20-25%")))</f>
        <v>17-19%</v>
      </c>
      <c r="AP465" s="1">
        <f>IF(HR_Data[[#This Row],[PercentSalaryHike]]&lt;=13,1,IF(HR_Data[[#This Row],[PercentSalaryHike]]&lt;=16,2,IF(HR_Data[[#This Row],[PercentSalaryHike]]&lt;=19,3,4)))</f>
        <v>3</v>
      </c>
      <c r="AQ465" s="1" t="str">
        <f>IF(HR_Data[[#This Row],[DistanceFromHome]]&lt;=5,"1 to 5",IF(HR_Data[[#This Row],[DistanceFromHome]]&lt;=10,"6 to 10",IF(HR_Data[[#This Row],[DistanceFromHome]]&lt;=20,"11 to 20","21 to 29")))</f>
        <v>21 to 29</v>
      </c>
      <c r="AR465" s="1">
        <f>IF(HR_Data[[#This Row],[DistanceFromHome]]&lt;=5,1,IF(HR_Data[[#This Row],[DistanceFromHome]]&lt;=10,2,IF(HR_Data[[#This Row],[DistanceFromHome]]&lt;=20,3,4)))</f>
        <v>4</v>
      </c>
      <c r="AS465" s="1" t="str">
        <f>IF(HR_Data[[#This Row],[TotalWorkingYears]]&lt;=5,"0-5 Yrs",IF(HR_Data[[#This Row],[TotalWorkingYears]]&lt;=10,"6-10 Yrs",IF(HR_Data[[#This Row],[TotalWorkingYears]]&lt;=20,"11-20 Yrs","20+ Yrs")))</f>
        <v>0-5 Yrs</v>
      </c>
      <c r="AT465" s="1">
        <f>IF(HR_Data[[#This Row],[TotalWorkingYears]]&lt;=5,1,IF(HR_Data[[#This Row],[TotalWorkingYears]]&lt;=10,2,IF(HR_Data[[#This Row],[TotalWorkingYears]]&lt;=20,3,4)))</f>
        <v>1</v>
      </c>
    </row>
    <row r="466" spans="1:46" x14ac:dyDescent="0.25">
      <c r="A466">
        <v>37</v>
      </c>
      <c r="B466" t="s">
        <v>36</v>
      </c>
      <c r="C466" t="s">
        <v>30</v>
      </c>
      <c r="D466" t="s">
        <v>38</v>
      </c>
      <c r="E466">
        <v>1</v>
      </c>
      <c r="F466">
        <v>3</v>
      </c>
      <c r="G466" t="s">
        <v>53</v>
      </c>
      <c r="H466">
        <v>623</v>
      </c>
      <c r="I466">
        <v>2</v>
      </c>
      <c r="J466" t="s">
        <v>33</v>
      </c>
      <c r="K466">
        <v>3</v>
      </c>
      <c r="L466">
        <v>3</v>
      </c>
      <c r="M466" t="s">
        <v>46</v>
      </c>
      <c r="N466">
        <v>4</v>
      </c>
      <c r="O466" t="s">
        <v>35</v>
      </c>
      <c r="P466">
        <v>7491</v>
      </c>
      <c r="Q466">
        <v>4</v>
      </c>
      <c r="R466" t="s">
        <v>36</v>
      </c>
      <c r="S466">
        <v>17</v>
      </c>
      <c r="T466">
        <v>3</v>
      </c>
      <c r="U466">
        <v>4</v>
      </c>
      <c r="V466">
        <v>0</v>
      </c>
      <c r="W466">
        <v>12</v>
      </c>
      <c r="X466">
        <v>3</v>
      </c>
      <c r="Y466">
        <v>4</v>
      </c>
      <c r="Z466">
        <v>6</v>
      </c>
      <c r="AA466">
        <v>5</v>
      </c>
      <c r="AB466">
        <v>1</v>
      </c>
      <c r="AC466">
        <v>2</v>
      </c>
      <c r="AD466">
        <f>IF(HR_Data[[#This Row],[Attrition]]="Yes",1,0)</f>
        <v>0</v>
      </c>
      <c r="AE466" t="str">
        <f>IF(HR_Data[[#This Row],[Age]]&lt;=25,"18-25",IF(HR_Data[[#This Row],[Age]]&lt;=35,"26-35",IF(HR_Data[[#This Row],[Age]]&lt;=45,"36-45",IF(HR_Data[[#This Row],[Age]]&lt;=55,"46-55","55+"))))</f>
        <v>36-45</v>
      </c>
      <c r="AF466">
        <f>IF(HR_Data[[#This Row],[Age]]&lt;=25,1,IF(HR_Data[[#This Row],[Age]]&lt;=35,2,IF(HR_Data[[#This Row],[Age]]&lt;=45,3,IF(HR_Data[[#This Row],[Age]]&lt;=55,4,5))))</f>
        <v>3</v>
      </c>
      <c r="AG466" s="1" t="str">
        <f>IF(HR_Data[[#This Row],[MonthlyIncome]]&lt;3000,"&lt;3K",IF(HR_Data[[#This Row],[MonthlyIncome]]&lt;6000,"3K-6K",IF(HR_Data[[#This Row],[MonthlyIncome]]&lt;10000,"6K-10K","10K+")))</f>
        <v>6K-10K</v>
      </c>
      <c r="AH466" s="1">
        <f>IF(HR_Data[[#This Row],[MonthlyIncome]]&lt;3000,1,IF(HR_Data[[#This Row],[MonthlyIncome]]&lt;6000,2,IF(HR_Data[[#This Row],[MonthlyIncome]]&lt;10000,3,4)))</f>
        <v>3</v>
      </c>
      <c r="AI466" s="1" t="str">
        <f>IF(HR_Data[[#This Row],[YearsAtCompany]]&lt;=2,"0-2 Yrs",IF(HR_Data[[#This Row],[YearsAtCompany]]&lt;=5,"3-5 Yrs",IF(HR_Data[[#This Row],[YearsAtCompany]]&lt;=10,"6-10 Yrs","10+ Yrs")))</f>
        <v>6-10 Yrs</v>
      </c>
      <c r="AJ466" s="1">
        <f>IF(HR_Data[[#This Row],[YearsAtCompany]]&lt;=2,1,IF(HR_Data[[#This Row],[YearsAtCompany]]&lt;=5,2,IF(HR_Data[[#This Row],[YearsAtCompany]]&lt;=10,3,4)))</f>
        <v>3</v>
      </c>
      <c r="AK466" s="1" t="str">
        <f>CHOOSE(HR_Data[[#This Row],[Education]],"Below College","College","Bachelor","Master","Doctor")</f>
        <v>Bachelor</v>
      </c>
      <c r="AL466" s="1" t="str">
        <f>CHOOSE(HR_Data[[#This Row],[JobSatisfaction]],"Low","Medium","High","Very High")</f>
        <v>Very High</v>
      </c>
      <c r="AM466" s="1" t="str">
        <f>CHOOSE(HR_Data[[#This Row],[EnvironmentSatisfaction]],"Low","Medium","High","Very High")</f>
        <v>Medium</v>
      </c>
      <c r="AN466" s="1" t="str">
        <f>CHOOSE(HR_Data[[#This Row],[WorkLifeBalance]],"Bad","Good","Better","Best")</f>
        <v>Best</v>
      </c>
      <c r="AO466" s="1" t="str">
        <f>IF(HR_Data[[#This Row],[PercentSalaryHike]]&lt;=13,"11-13%",IF(HR_Data[[#This Row],[PercentSalaryHike]]&lt;=16,"14-16%",IF(HR_Data[[#This Row],[PercentSalaryHike]]&lt;=19,"17-19%","20-25%")))</f>
        <v>17-19%</v>
      </c>
      <c r="AP466" s="1">
        <f>IF(HR_Data[[#This Row],[PercentSalaryHike]]&lt;=13,1,IF(HR_Data[[#This Row],[PercentSalaryHike]]&lt;=16,2,IF(HR_Data[[#This Row],[PercentSalaryHike]]&lt;=19,3,4)))</f>
        <v>3</v>
      </c>
      <c r="AQ466" s="1" t="str">
        <f>IF(HR_Data[[#This Row],[DistanceFromHome]]&lt;=5,"1 to 5",IF(HR_Data[[#This Row],[DistanceFromHome]]&lt;=10,"6 to 10",IF(HR_Data[[#This Row],[DistanceFromHome]]&lt;=20,"11 to 20","21 to 29")))</f>
        <v>1 to 5</v>
      </c>
      <c r="AR466" s="1">
        <f>IF(HR_Data[[#This Row],[DistanceFromHome]]&lt;=5,1,IF(HR_Data[[#This Row],[DistanceFromHome]]&lt;=10,2,IF(HR_Data[[#This Row],[DistanceFromHome]]&lt;=20,3,4)))</f>
        <v>1</v>
      </c>
      <c r="AS466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466" s="1">
        <f>IF(HR_Data[[#This Row],[TotalWorkingYears]]&lt;=5,1,IF(HR_Data[[#This Row],[TotalWorkingYears]]&lt;=10,2,IF(HR_Data[[#This Row],[TotalWorkingYears]]&lt;=20,3,4)))</f>
        <v>3</v>
      </c>
    </row>
    <row r="467" spans="1:46" x14ac:dyDescent="0.25">
      <c r="A467">
        <v>46</v>
      </c>
      <c r="B467" t="s">
        <v>36</v>
      </c>
      <c r="C467" t="s">
        <v>37</v>
      </c>
      <c r="D467" t="s">
        <v>38</v>
      </c>
      <c r="E467">
        <v>18</v>
      </c>
      <c r="F467">
        <v>1</v>
      </c>
      <c r="G467" t="s">
        <v>44</v>
      </c>
      <c r="H467">
        <v>624</v>
      </c>
      <c r="I467">
        <v>1</v>
      </c>
      <c r="J467" t="s">
        <v>33</v>
      </c>
      <c r="K467">
        <v>3</v>
      </c>
      <c r="L467">
        <v>3</v>
      </c>
      <c r="M467" t="s">
        <v>47</v>
      </c>
      <c r="N467">
        <v>3</v>
      </c>
      <c r="O467" t="s">
        <v>41</v>
      </c>
      <c r="P467">
        <v>10527</v>
      </c>
      <c r="Q467">
        <v>5</v>
      </c>
      <c r="R467" t="s">
        <v>36</v>
      </c>
      <c r="S467">
        <v>11</v>
      </c>
      <c r="T467">
        <v>3</v>
      </c>
      <c r="U467">
        <v>4</v>
      </c>
      <c r="V467">
        <v>0</v>
      </c>
      <c r="W467">
        <v>28</v>
      </c>
      <c r="X467">
        <v>3</v>
      </c>
      <c r="Y467">
        <v>2</v>
      </c>
      <c r="Z467">
        <v>2</v>
      </c>
      <c r="AA467">
        <v>2</v>
      </c>
      <c r="AB467">
        <v>1</v>
      </c>
      <c r="AC467">
        <v>2</v>
      </c>
      <c r="AD467">
        <f>IF(HR_Data[[#This Row],[Attrition]]="Yes",1,0)</f>
        <v>0</v>
      </c>
      <c r="AE467" t="str">
        <f>IF(HR_Data[[#This Row],[Age]]&lt;=25,"18-25",IF(HR_Data[[#This Row],[Age]]&lt;=35,"26-35",IF(HR_Data[[#This Row],[Age]]&lt;=45,"36-45",IF(HR_Data[[#This Row],[Age]]&lt;=55,"46-55","55+"))))</f>
        <v>46-55</v>
      </c>
      <c r="AF467">
        <f>IF(HR_Data[[#This Row],[Age]]&lt;=25,1,IF(HR_Data[[#This Row],[Age]]&lt;=35,2,IF(HR_Data[[#This Row],[Age]]&lt;=45,3,IF(HR_Data[[#This Row],[Age]]&lt;=55,4,5))))</f>
        <v>4</v>
      </c>
      <c r="AG467" s="1" t="str">
        <f>IF(HR_Data[[#This Row],[MonthlyIncome]]&lt;3000,"&lt;3K",IF(HR_Data[[#This Row],[MonthlyIncome]]&lt;6000,"3K-6K",IF(HR_Data[[#This Row],[MonthlyIncome]]&lt;10000,"6K-10K","10K+")))</f>
        <v>10K+</v>
      </c>
      <c r="AH467" s="1">
        <f>IF(HR_Data[[#This Row],[MonthlyIncome]]&lt;3000,1,IF(HR_Data[[#This Row],[MonthlyIncome]]&lt;6000,2,IF(HR_Data[[#This Row],[MonthlyIncome]]&lt;10000,3,4)))</f>
        <v>4</v>
      </c>
      <c r="AI467" s="1" t="str">
        <f>IF(HR_Data[[#This Row],[YearsAtCompany]]&lt;=2,"0-2 Yrs",IF(HR_Data[[#This Row],[YearsAtCompany]]&lt;=5,"3-5 Yrs",IF(HR_Data[[#This Row],[YearsAtCompany]]&lt;=10,"6-10 Yrs","10+ Yrs")))</f>
        <v>0-2 Yrs</v>
      </c>
      <c r="AJ467" s="1">
        <f>IF(HR_Data[[#This Row],[YearsAtCompany]]&lt;=2,1,IF(HR_Data[[#This Row],[YearsAtCompany]]&lt;=5,2,IF(HR_Data[[#This Row],[YearsAtCompany]]&lt;=10,3,4)))</f>
        <v>1</v>
      </c>
      <c r="AK467" s="1" t="str">
        <f>CHOOSE(HR_Data[[#This Row],[Education]],"Below College","College","Bachelor","Master","Doctor")</f>
        <v>Below College</v>
      </c>
      <c r="AL467" s="1" t="str">
        <f>CHOOSE(HR_Data[[#This Row],[JobSatisfaction]],"Low","Medium","High","Very High")</f>
        <v>High</v>
      </c>
      <c r="AM467" s="1" t="str">
        <f>CHOOSE(HR_Data[[#This Row],[EnvironmentSatisfaction]],"Low","Medium","High","Very High")</f>
        <v>Low</v>
      </c>
      <c r="AN467" s="1" t="str">
        <f>CHOOSE(HR_Data[[#This Row],[WorkLifeBalance]],"Bad","Good","Better","Best")</f>
        <v>Good</v>
      </c>
      <c r="AO467" s="1" t="str">
        <f>IF(HR_Data[[#This Row],[PercentSalaryHike]]&lt;=13,"11-13%",IF(HR_Data[[#This Row],[PercentSalaryHike]]&lt;=16,"14-16%",IF(HR_Data[[#This Row],[PercentSalaryHike]]&lt;=19,"17-19%","20-25%")))</f>
        <v>11-13%</v>
      </c>
      <c r="AP467" s="1">
        <f>IF(HR_Data[[#This Row],[PercentSalaryHike]]&lt;=13,1,IF(HR_Data[[#This Row],[PercentSalaryHike]]&lt;=16,2,IF(HR_Data[[#This Row],[PercentSalaryHike]]&lt;=19,3,4)))</f>
        <v>1</v>
      </c>
      <c r="AQ467" s="1" t="str">
        <f>IF(HR_Data[[#This Row],[DistanceFromHome]]&lt;=5,"1 to 5",IF(HR_Data[[#This Row],[DistanceFromHome]]&lt;=10,"6 to 10",IF(HR_Data[[#This Row],[DistanceFromHome]]&lt;=20,"11 to 20","21 to 29")))</f>
        <v>11 to 20</v>
      </c>
      <c r="AR467" s="1">
        <f>IF(HR_Data[[#This Row],[DistanceFromHome]]&lt;=5,1,IF(HR_Data[[#This Row],[DistanceFromHome]]&lt;=10,2,IF(HR_Data[[#This Row],[DistanceFromHome]]&lt;=20,3,4)))</f>
        <v>3</v>
      </c>
      <c r="AS467" s="1" t="str">
        <f>IF(HR_Data[[#This Row],[TotalWorkingYears]]&lt;=5,"0-5 Yrs",IF(HR_Data[[#This Row],[TotalWorkingYears]]&lt;=10,"6-10 Yrs",IF(HR_Data[[#This Row],[TotalWorkingYears]]&lt;=20,"11-20 Yrs","20+ Yrs")))</f>
        <v>20+ Yrs</v>
      </c>
      <c r="AT467" s="1">
        <f>IF(HR_Data[[#This Row],[TotalWorkingYears]]&lt;=5,1,IF(HR_Data[[#This Row],[TotalWorkingYears]]&lt;=10,2,IF(HR_Data[[#This Row],[TotalWorkingYears]]&lt;=20,3,4)))</f>
        <v>4</v>
      </c>
    </row>
    <row r="468" spans="1:46" x14ac:dyDescent="0.25">
      <c r="A468">
        <v>41</v>
      </c>
      <c r="B468" t="s">
        <v>36</v>
      </c>
      <c r="C468" t="s">
        <v>30</v>
      </c>
      <c r="D468" t="s">
        <v>31</v>
      </c>
      <c r="E468">
        <v>2</v>
      </c>
      <c r="F468">
        <v>5</v>
      </c>
      <c r="G468" t="s">
        <v>32</v>
      </c>
      <c r="H468">
        <v>625</v>
      </c>
      <c r="I468">
        <v>2</v>
      </c>
      <c r="J468" t="s">
        <v>33</v>
      </c>
      <c r="K468">
        <v>3</v>
      </c>
      <c r="L468">
        <v>4</v>
      </c>
      <c r="M468" t="s">
        <v>49</v>
      </c>
      <c r="N468">
        <v>1</v>
      </c>
      <c r="O468" t="s">
        <v>41</v>
      </c>
      <c r="P468">
        <v>16595</v>
      </c>
      <c r="Q468">
        <v>7</v>
      </c>
      <c r="R468" t="s">
        <v>36</v>
      </c>
      <c r="S468">
        <v>16</v>
      </c>
      <c r="T468">
        <v>3</v>
      </c>
      <c r="U468">
        <v>2</v>
      </c>
      <c r="V468">
        <v>1</v>
      </c>
      <c r="W468">
        <v>22</v>
      </c>
      <c r="X468">
        <v>2</v>
      </c>
      <c r="Y468">
        <v>3</v>
      </c>
      <c r="Z468">
        <v>18</v>
      </c>
      <c r="AA468">
        <v>16</v>
      </c>
      <c r="AB468">
        <v>11</v>
      </c>
      <c r="AC468">
        <v>8</v>
      </c>
      <c r="AD468">
        <f>IF(HR_Data[[#This Row],[Attrition]]="Yes",1,0)</f>
        <v>0</v>
      </c>
      <c r="AE468" t="str">
        <f>IF(HR_Data[[#This Row],[Age]]&lt;=25,"18-25",IF(HR_Data[[#This Row],[Age]]&lt;=35,"26-35",IF(HR_Data[[#This Row],[Age]]&lt;=45,"36-45",IF(HR_Data[[#This Row],[Age]]&lt;=55,"46-55","55+"))))</f>
        <v>36-45</v>
      </c>
      <c r="AF468">
        <f>IF(HR_Data[[#This Row],[Age]]&lt;=25,1,IF(HR_Data[[#This Row],[Age]]&lt;=35,2,IF(HR_Data[[#This Row],[Age]]&lt;=45,3,IF(HR_Data[[#This Row],[Age]]&lt;=55,4,5))))</f>
        <v>3</v>
      </c>
      <c r="AG468" s="1" t="str">
        <f>IF(HR_Data[[#This Row],[MonthlyIncome]]&lt;3000,"&lt;3K",IF(HR_Data[[#This Row],[MonthlyIncome]]&lt;6000,"3K-6K",IF(HR_Data[[#This Row],[MonthlyIncome]]&lt;10000,"6K-10K","10K+")))</f>
        <v>10K+</v>
      </c>
      <c r="AH468" s="1">
        <f>IF(HR_Data[[#This Row],[MonthlyIncome]]&lt;3000,1,IF(HR_Data[[#This Row],[MonthlyIncome]]&lt;6000,2,IF(HR_Data[[#This Row],[MonthlyIncome]]&lt;10000,3,4)))</f>
        <v>4</v>
      </c>
      <c r="AI468" s="1" t="str">
        <f>IF(HR_Data[[#This Row],[YearsAtCompany]]&lt;=2,"0-2 Yrs",IF(HR_Data[[#This Row],[YearsAtCompany]]&lt;=5,"3-5 Yrs",IF(HR_Data[[#This Row],[YearsAtCompany]]&lt;=10,"6-10 Yrs","10+ Yrs")))</f>
        <v>10+ Yrs</v>
      </c>
      <c r="AJ468" s="1">
        <f>IF(HR_Data[[#This Row],[YearsAtCompany]]&lt;=2,1,IF(HR_Data[[#This Row],[YearsAtCompany]]&lt;=5,2,IF(HR_Data[[#This Row],[YearsAtCompany]]&lt;=10,3,4)))</f>
        <v>4</v>
      </c>
      <c r="AK468" s="1" t="str">
        <f>CHOOSE(HR_Data[[#This Row],[Education]],"Below College","College","Bachelor","Master","Doctor")</f>
        <v>Doctor</v>
      </c>
      <c r="AL468" s="1" t="str">
        <f>CHOOSE(HR_Data[[#This Row],[JobSatisfaction]],"Low","Medium","High","Very High")</f>
        <v>Low</v>
      </c>
      <c r="AM468" s="1" t="str">
        <f>CHOOSE(HR_Data[[#This Row],[EnvironmentSatisfaction]],"Low","Medium","High","Very High")</f>
        <v>Medium</v>
      </c>
      <c r="AN468" s="1" t="str">
        <f>CHOOSE(HR_Data[[#This Row],[WorkLifeBalance]],"Bad","Good","Better","Best")</f>
        <v>Better</v>
      </c>
      <c r="AO468" s="1" t="str">
        <f>IF(HR_Data[[#This Row],[PercentSalaryHike]]&lt;=13,"11-13%",IF(HR_Data[[#This Row],[PercentSalaryHike]]&lt;=16,"14-16%",IF(HR_Data[[#This Row],[PercentSalaryHike]]&lt;=19,"17-19%","20-25%")))</f>
        <v>14-16%</v>
      </c>
      <c r="AP468" s="1">
        <f>IF(HR_Data[[#This Row],[PercentSalaryHike]]&lt;=13,1,IF(HR_Data[[#This Row],[PercentSalaryHike]]&lt;=16,2,IF(HR_Data[[#This Row],[PercentSalaryHike]]&lt;=19,3,4)))</f>
        <v>2</v>
      </c>
      <c r="AQ468" s="1" t="str">
        <f>IF(HR_Data[[#This Row],[DistanceFromHome]]&lt;=5,"1 to 5",IF(HR_Data[[#This Row],[DistanceFromHome]]&lt;=10,"6 to 10",IF(HR_Data[[#This Row],[DistanceFromHome]]&lt;=20,"11 to 20","21 to 29")))</f>
        <v>1 to 5</v>
      </c>
      <c r="AR468" s="1">
        <f>IF(HR_Data[[#This Row],[DistanceFromHome]]&lt;=5,1,IF(HR_Data[[#This Row],[DistanceFromHome]]&lt;=10,2,IF(HR_Data[[#This Row],[DistanceFromHome]]&lt;=20,3,4)))</f>
        <v>1</v>
      </c>
      <c r="AS468" s="1" t="str">
        <f>IF(HR_Data[[#This Row],[TotalWorkingYears]]&lt;=5,"0-5 Yrs",IF(HR_Data[[#This Row],[TotalWorkingYears]]&lt;=10,"6-10 Yrs",IF(HR_Data[[#This Row],[TotalWorkingYears]]&lt;=20,"11-20 Yrs","20+ Yrs")))</f>
        <v>20+ Yrs</v>
      </c>
      <c r="AT468" s="1">
        <f>IF(HR_Data[[#This Row],[TotalWorkingYears]]&lt;=5,1,IF(HR_Data[[#This Row],[TotalWorkingYears]]&lt;=10,2,IF(HR_Data[[#This Row],[TotalWorkingYears]]&lt;=20,3,4)))</f>
        <v>4</v>
      </c>
    </row>
    <row r="469" spans="1:46" x14ac:dyDescent="0.25">
      <c r="A469">
        <v>37</v>
      </c>
      <c r="B469" t="s">
        <v>36</v>
      </c>
      <c r="C469" t="s">
        <v>48</v>
      </c>
      <c r="D469" t="s">
        <v>31</v>
      </c>
      <c r="E469">
        <v>9</v>
      </c>
      <c r="F469">
        <v>4</v>
      </c>
      <c r="G469" t="s">
        <v>44</v>
      </c>
      <c r="H469">
        <v>626</v>
      </c>
      <c r="I469">
        <v>1</v>
      </c>
      <c r="J469" t="s">
        <v>39</v>
      </c>
      <c r="K469">
        <v>3</v>
      </c>
      <c r="L469">
        <v>3</v>
      </c>
      <c r="M469" t="s">
        <v>34</v>
      </c>
      <c r="N469">
        <v>2</v>
      </c>
      <c r="O469" t="s">
        <v>45</v>
      </c>
      <c r="P469">
        <v>8834</v>
      </c>
      <c r="Q469">
        <v>1</v>
      </c>
      <c r="R469" t="s">
        <v>36</v>
      </c>
      <c r="S469">
        <v>13</v>
      </c>
      <c r="T469">
        <v>3</v>
      </c>
      <c r="U469">
        <v>4</v>
      </c>
      <c r="V469">
        <v>1</v>
      </c>
      <c r="W469">
        <v>9</v>
      </c>
      <c r="X469">
        <v>6</v>
      </c>
      <c r="Y469">
        <v>3</v>
      </c>
      <c r="Z469">
        <v>9</v>
      </c>
      <c r="AA469">
        <v>5</v>
      </c>
      <c r="AB469">
        <v>7</v>
      </c>
      <c r="AC469">
        <v>7</v>
      </c>
      <c r="AD469">
        <f>IF(HR_Data[[#This Row],[Attrition]]="Yes",1,0)</f>
        <v>0</v>
      </c>
      <c r="AE469" t="str">
        <f>IF(HR_Data[[#This Row],[Age]]&lt;=25,"18-25",IF(HR_Data[[#This Row],[Age]]&lt;=35,"26-35",IF(HR_Data[[#This Row],[Age]]&lt;=45,"36-45",IF(HR_Data[[#This Row],[Age]]&lt;=55,"46-55","55+"))))</f>
        <v>36-45</v>
      </c>
      <c r="AF469">
        <f>IF(HR_Data[[#This Row],[Age]]&lt;=25,1,IF(HR_Data[[#This Row],[Age]]&lt;=35,2,IF(HR_Data[[#This Row],[Age]]&lt;=45,3,IF(HR_Data[[#This Row],[Age]]&lt;=55,4,5))))</f>
        <v>3</v>
      </c>
      <c r="AG469" s="1" t="str">
        <f>IF(HR_Data[[#This Row],[MonthlyIncome]]&lt;3000,"&lt;3K",IF(HR_Data[[#This Row],[MonthlyIncome]]&lt;6000,"3K-6K",IF(HR_Data[[#This Row],[MonthlyIncome]]&lt;10000,"6K-10K","10K+")))</f>
        <v>6K-10K</v>
      </c>
      <c r="AH469" s="1">
        <f>IF(HR_Data[[#This Row],[MonthlyIncome]]&lt;3000,1,IF(HR_Data[[#This Row],[MonthlyIncome]]&lt;6000,2,IF(HR_Data[[#This Row],[MonthlyIncome]]&lt;10000,3,4)))</f>
        <v>3</v>
      </c>
      <c r="AI469" s="1" t="str">
        <f>IF(HR_Data[[#This Row],[YearsAtCompany]]&lt;=2,"0-2 Yrs",IF(HR_Data[[#This Row],[YearsAtCompany]]&lt;=5,"3-5 Yrs",IF(HR_Data[[#This Row],[YearsAtCompany]]&lt;=10,"6-10 Yrs","10+ Yrs")))</f>
        <v>6-10 Yrs</v>
      </c>
      <c r="AJ469" s="1">
        <f>IF(HR_Data[[#This Row],[YearsAtCompany]]&lt;=2,1,IF(HR_Data[[#This Row],[YearsAtCompany]]&lt;=5,2,IF(HR_Data[[#This Row],[YearsAtCompany]]&lt;=10,3,4)))</f>
        <v>3</v>
      </c>
      <c r="AK469" s="1" t="str">
        <f>CHOOSE(HR_Data[[#This Row],[Education]],"Below College","College","Bachelor","Master","Doctor")</f>
        <v>Master</v>
      </c>
      <c r="AL469" s="1" t="str">
        <f>CHOOSE(HR_Data[[#This Row],[JobSatisfaction]],"Low","Medium","High","Very High")</f>
        <v>Medium</v>
      </c>
      <c r="AM469" s="1" t="str">
        <f>CHOOSE(HR_Data[[#This Row],[EnvironmentSatisfaction]],"Low","Medium","High","Very High")</f>
        <v>Low</v>
      </c>
      <c r="AN469" s="1" t="str">
        <f>CHOOSE(HR_Data[[#This Row],[WorkLifeBalance]],"Bad","Good","Better","Best")</f>
        <v>Better</v>
      </c>
      <c r="AO469" s="1" t="str">
        <f>IF(HR_Data[[#This Row],[PercentSalaryHike]]&lt;=13,"11-13%",IF(HR_Data[[#This Row],[PercentSalaryHike]]&lt;=16,"14-16%",IF(HR_Data[[#This Row],[PercentSalaryHike]]&lt;=19,"17-19%","20-25%")))</f>
        <v>11-13%</v>
      </c>
      <c r="AP469" s="1">
        <f>IF(HR_Data[[#This Row],[PercentSalaryHike]]&lt;=13,1,IF(HR_Data[[#This Row],[PercentSalaryHike]]&lt;=16,2,IF(HR_Data[[#This Row],[PercentSalaryHike]]&lt;=19,3,4)))</f>
        <v>1</v>
      </c>
      <c r="AQ469" s="1" t="str">
        <f>IF(HR_Data[[#This Row],[DistanceFromHome]]&lt;=5,"1 to 5",IF(HR_Data[[#This Row],[DistanceFromHome]]&lt;=10,"6 to 10",IF(HR_Data[[#This Row],[DistanceFromHome]]&lt;=20,"11 to 20","21 to 29")))</f>
        <v>6 to 10</v>
      </c>
      <c r="AR469" s="1">
        <f>IF(HR_Data[[#This Row],[DistanceFromHome]]&lt;=5,1,IF(HR_Data[[#This Row],[DistanceFromHome]]&lt;=10,2,IF(HR_Data[[#This Row],[DistanceFromHome]]&lt;=20,3,4)))</f>
        <v>2</v>
      </c>
      <c r="AS469" s="1" t="str">
        <f>IF(HR_Data[[#This Row],[TotalWorkingYears]]&lt;=5,"0-5 Yrs",IF(HR_Data[[#This Row],[TotalWorkingYears]]&lt;=10,"6-10 Yrs",IF(HR_Data[[#This Row],[TotalWorkingYears]]&lt;=20,"11-20 Yrs","20+ Yrs")))</f>
        <v>6-10 Yrs</v>
      </c>
      <c r="AT469" s="1">
        <f>IF(HR_Data[[#This Row],[TotalWorkingYears]]&lt;=5,1,IF(HR_Data[[#This Row],[TotalWorkingYears]]&lt;=10,2,IF(HR_Data[[#This Row],[TotalWorkingYears]]&lt;=20,3,4)))</f>
        <v>2</v>
      </c>
    </row>
    <row r="470" spans="1:46" x14ac:dyDescent="0.25">
      <c r="A470">
        <v>52</v>
      </c>
      <c r="B470" t="s">
        <v>36</v>
      </c>
      <c r="C470" t="s">
        <v>30</v>
      </c>
      <c r="D470" t="s">
        <v>38</v>
      </c>
      <c r="E470">
        <v>6</v>
      </c>
      <c r="F470">
        <v>2</v>
      </c>
      <c r="G470" t="s">
        <v>53</v>
      </c>
      <c r="H470">
        <v>630</v>
      </c>
      <c r="I470">
        <v>4</v>
      </c>
      <c r="J470" t="s">
        <v>39</v>
      </c>
      <c r="K470">
        <v>3</v>
      </c>
      <c r="L470">
        <v>2</v>
      </c>
      <c r="M470" t="s">
        <v>40</v>
      </c>
      <c r="N470">
        <v>1</v>
      </c>
      <c r="O470" t="s">
        <v>45</v>
      </c>
      <c r="P470">
        <v>5577</v>
      </c>
      <c r="Q470">
        <v>3</v>
      </c>
      <c r="R470" t="s">
        <v>29</v>
      </c>
      <c r="S470">
        <v>12</v>
      </c>
      <c r="T470">
        <v>3</v>
      </c>
      <c r="U470">
        <v>2</v>
      </c>
      <c r="V470">
        <v>2</v>
      </c>
      <c r="W470">
        <v>18</v>
      </c>
      <c r="X470">
        <v>3</v>
      </c>
      <c r="Y470">
        <v>3</v>
      </c>
      <c r="Z470">
        <v>10</v>
      </c>
      <c r="AA470">
        <v>9</v>
      </c>
      <c r="AB470">
        <v>6</v>
      </c>
      <c r="AC470">
        <v>9</v>
      </c>
      <c r="AD470">
        <f>IF(HR_Data[[#This Row],[Attrition]]="Yes",1,0)</f>
        <v>0</v>
      </c>
      <c r="AE470" t="str">
        <f>IF(HR_Data[[#This Row],[Age]]&lt;=25,"18-25",IF(HR_Data[[#This Row],[Age]]&lt;=35,"26-35",IF(HR_Data[[#This Row],[Age]]&lt;=45,"36-45",IF(HR_Data[[#This Row],[Age]]&lt;=55,"46-55","55+"))))</f>
        <v>46-55</v>
      </c>
      <c r="AF470">
        <f>IF(HR_Data[[#This Row],[Age]]&lt;=25,1,IF(HR_Data[[#This Row],[Age]]&lt;=35,2,IF(HR_Data[[#This Row],[Age]]&lt;=45,3,IF(HR_Data[[#This Row],[Age]]&lt;=55,4,5))))</f>
        <v>4</v>
      </c>
      <c r="AG470" s="1" t="str">
        <f>IF(HR_Data[[#This Row],[MonthlyIncome]]&lt;3000,"&lt;3K",IF(HR_Data[[#This Row],[MonthlyIncome]]&lt;6000,"3K-6K",IF(HR_Data[[#This Row],[MonthlyIncome]]&lt;10000,"6K-10K","10K+")))</f>
        <v>3K-6K</v>
      </c>
      <c r="AH470" s="1">
        <f>IF(HR_Data[[#This Row],[MonthlyIncome]]&lt;3000,1,IF(HR_Data[[#This Row],[MonthlyIncome]]&lt;6000,2,IF(HR_Data[[#This Row],[MonthlyIncome]]&lt;10000,3,4)))</f>
        <v>2</v>
      </c>
      <c r="AI470" s="1" t="str">
        <f>IF(HR_Data[[#This Row],[YearsAtCompany]]&lt;=2,"0-2 Yrs",IF(HR_Data[[#This Row],[YearsAtCompany]]&lt;=5,"3-5 Yrs",IF(HR_Data[[#This Row],[YearsAtCompany]]&lt;=10,"6-10 Yrs","10+ Yrs")))</f>
        <v>6-10 Yrs</v>
      </c>
      <c r="AJ470" s="1">
        <f>IF(HR_Data[[#This Row],[YearsAtCompany]]&lt;=2,1,IF(HR_Data[[#This Row],[YearsAtCompany]]&lt;=5,2,IF(HR_Data[[#This Row],[YearsAtCompany]]&lt;=10,3,4)))</f>
        <v>3</v>
      </c>
      <c r="AK470" s="1" t="str">
        <f>CHOOSE(HR_Data[[#This Row],[Education]],"Below College","College","Bachelor","Master","Doctor")</f>
        <v>College</v>
      </c>
      <c r="AL470" s="1" t="str">
        <f>CHOOSE(HR_Data[[#This Row],[JobSatisfaction]],"Low","Medium","High","Very High")</f>
        <v>Low</v>
      </c>
      <c r="AM470" s="1" t="str">
        <f>CHOOSE(HR_Data[[#This Row],[EnvironmentSatisfaction]],"Low","Medium","High","Very High")</f>
        <v>Very High</v>
      </c>
      <c r="AN470" s="1" t="str">
        <f>CHOOSE(HR_Data[[#This Row],[WorkLifeBalance]],"Bad","Good","Better","Best")</f>
        <v>Better</v>
      </c>
      <c r="AO470" s="1" t="str">
        <f>IF(HR_Data[[#This Row],[PercentSalaryHike]]&lt;=13,"11-13%",IF(HR_Data[[#This Row],[PercentSalaryHike]]&lt;=16,"14-16%",IF(HR_Data[[#This Row],[PercentSalaryHike]]&lt;=19,"17-19%","20-25%")))</f>
        <v>11-13%</v>
      </c>
      <c r="AP470" s="1">
        <f>IF(HR_Data[[#This Row],[PercentSalaryHike]]&lt;=13,1,IF(HR_Data[[#This Row],[PercentSalaryHike]]&lt;=16,2,IF(HR_Data[[#This Row],[PercentSalaryHike]]&lt;=19,3,4)))</f>
        <v>1</v>
      </c>
      <c r="AQ470" s="1" t="str">
        <f>IF(HR_Data[[#This Row],[DistanceFromHome]]&lt;=5,"1 to 5",IF(HR_Data[[#This Row],[DistanceFromHome]]&lt;=10,"6 to 10",IF(HR_Data[[#This Row],[DistanceFromHome]]&lt;=20,"11 to 20","21 to 29")))</f>
        <v>6 to 10</v>
      </c>
      <c r="AR470" s="1">
        <f>IF(HR_Data[[#This Row],[DistanceFromHome]]&lt;=5,1,IF(HR_Data[[#This Row],[DistanceFromHome]]&lt;=10,2,IF(HR_Data[[#This Row],[DistanceFromHome]]&lt;=20,3,4)))</f>
        <v>2</v>
      </c>
      <c r="AS470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470" s="1">
        <f>IF(HR_Data[[#This Row],[TotalWorkingYears]]&lt;=5,1,IF(HR_Data[[#This Row],[TotalWorkingYears]]&lt;=10,2,IF(HR_Data[[#This Row],[TotalWorkingYears]]&lt;=20,3,4)))</f>
        <v>3</v>
      </c>
    </row>
    <row r="471" spans="1:46" x14ac:dyDescent="0.25">
      <c r="A471">
        <v>32</v>
      </c>
      <c r="B471" t="s">
        <v>29</v>
      </c>
      <c r="C471" t="s">
        <v>48</v>
      </c>
      <c r="D471" t="s">
        <v>31</v>
      </c>
      <c r="E471">
        <v>11</v>
      </c>
      <c r="F471">
        <v>4</v>
      </c>
      <c r="G471" t="s">
        <v>42</v>
      </c>
      <c r="H471">
        <v>631</v>
      </c>
      <c r="I471">
        <v>4</v>
      </c>
      <c r="J471" t="s">
        <v>39</v>
      </c>
      <c r="K471">
        <v>4</v>
      </c>
      <c r="L471">
        <v>2</v>
      </c>
      <c r="M471" t="s">
        <v>34</v>
      </c>
      <c r="N471">
        <v>3</v>
      </c>
      <c r="O471" t="s">
        <v>41</v>
      </c>
      <c r="P471">
        <v>4707</v>
      </c>
      <c r="Q471">
        <v>8</v>
      </c>
      <c r="R471" t="s">
        <v>36</v>
      </c>
      <c r="S471">
        <v>12</v>
      </c>
      <c r="T471">
        <v>3</v>
      </c>
      <c r="U471">
        <v>4</v>
      </c>
      <c r="V471">
        <v>0</v>
      </c>
      <c r="W471">
        <v>6</v>
      </c>
      <c r="X471">
        <v>2</v>
      </c>
      <c r="Y471">
        <v>3</v>
      </c>
      <c r="Z471">
        <v>4</v>
      </c>
      <c r="AA471">
        <v>2</v>
      </c>
      <c r="AB471">
        <v>1</v>
      </c>
      <c r="AC471">
        <v>2</v>
      </c>
      <c r="AD471">
        <f>IF(HR_Data[[#This Row],[Attrition]]="Yes",1,0)</f>
        <v>1</v>
      </c>
      <c r="AE471" t="str">
        <f>IF(HR_Data[[#This Row],[Age]]&lt;=25,"18-25",IF(HR_Data[[#This Row],[Age]]&lt;=35,"26-35",IF(HR_Data[[#This Row],[Age]]&lt;=45,"36-45",IF(HR_Data[[#This Row],[Age]]&lt;=55,"46-55","55+"))))</f>
        <v>26-35</v>
      </c>
      <c r="AF471">
        <f>IF(HR_Data[[#This Row],[Age]]&lt;=25,1,IF(HR_Data[[#This Row],[Age]]&lt;=35,2,IF(HR_Data[[#This Row],[Age]]&lt;=45,3,IF(HR_Data[[#This Row],[Age]]&lt;=55,4,5))))</f>
        <v>2</v>
      </c>
      <c r="AG471" s="1" t="str">
        <f>IF(HR_Data[[#This Row],[MonthlyIncome]]&lt;3000,"&lt;3K",IF(HR_Data[[#This Row],[MonthlyIncome]]&lt;6000,"3K-6K",IF(HR_Data[[#This Row],[MonthlyIncome]]&lt;10000,"6K-10K","10K+")))</f>
        <v>3K-6K</v>
      </c>
      <c r="AH471" s="1">
        <f>IF(HR_Data[[#This Row],[MonthlyIncome]]&lt;3000,1,IF(HR_Data[[#This Row],[MonthlyIncome]]&lt;6000,2,IF(HR_Data[[#This Row],[MonthlyIncome]]&lt;10000,3,4)))</f>
        <v>2</v>
      </c>
      <c r="AI471" s="1" t="str">
        <f>IF(HR_Data[[#This Row],[YearsAtCompany]]&lt;=2,"0-2 Yrs",IF(HR_Data[[#This Row],[YearsAtCompany]]&lt;=5,"3-5 Yrs",IF(HR_Data[[#This Row],[YearsAtCompany]]&lt;=10,"6-10 Yrs","10+ Yrs")))</f>
        <v>3-5 Yrs</v>
      </c>
      <c r="AJ471" s="1">
        <f>IF(HR_Data[[#This Row],[YearsAtCompany]]&lt;=2,1,IF(HR_Data[[#This Row],[YearsAtCompany]]&lt;=5,2,IF(HR_Data[[#This Row],[YearsAtCompany]]&lt;=10,3,4)))</f>
        <v>2</v>
      </c>
      <c r="AK471" s="1" t="str">
        <f>CHOOSE(HR_Data[[#This Row],[Education]],"Below College","College","Bachelor","Master","Doctor")</f>
        <v>Master</v>
      </c>
      <c r="AL471" s="1" t="str">
        <f>CHOOSE(HR_Data[[#This Row],[JobSatisfaction]],"Low","Medium","High","Very High")</f>
        <v>High</v>
      </c>
      <c r="AM471" s="1" t="str">
        <f>CHOOSE(HR_Data[[#This Row],[EnvironmentSatisfaction]],"Low","Medium","High","Very High")</f>
        <v>Very High</v>
      </c>
      <c r="AN471" s="1" t="str">
        <f>CHOOSE(HR_Data[[#This Row],[WorkLifeBalance]],"Bad","Good","Better","Best")</f>
        <v>Better</v>
      </c>
      <c r="AO471" s="1" t="str">
        <f>IF(HR_Data[[#This Row],[PercentSalaryHike]]&lt;=13,"11-13%",IF(HR_Data[[#This Row],[PercentSalaryHike]]&lt;=16,"14-16%",IF(HR_Data[[#This Row],[PercentSalaryHike]]&lt;=19,"17-19%","20-25%")))</f>
        <v>11-13%</v>
      </c>
      <c r="AP471" s="1">
        <f>IF(HR_Data[[#This Row],[PercentSalaryHike]]&lt;=13,1,IF(HR_Data[[#This Row],[PercentSalaryHike]]&lt;=16,2,IF(HR_Data[[#This Row],[PercentSalaryHike]]&lt;=19,3,4)))</f>
        <v>1</v>
      </c>
      <c r="AQ471" s="1" t="str">
        <f>IF(HR_Data[[#This Row],[DistanceFromHome]]&lt;=5,"1 to 5",IF(HR_Data[[#This Row],[DistanceFromHome]]&lt;=10,"6 to 10",IF(HR_Data[[#This Row],[DistanceFromHome]]&lt;=20,"11 to 20","21 to 29")))</f>
        <v>11 to 20</v>
      </c>
      <c r="AR471" s="1">
        <f>IF(HR_Data[[#This Row],[DistanceFromHome]]&lt;=5,1,IF(HR_Data[[#This Row],[DistanceFromHome]]&lt;=10,2,IF(HR_Data[[#This Row],[DistanceFromHome]]&lt;=20,3,4)))</f>
        <v>3</v>
      </c>
      <c r="AS471" s="1" t="str">
        <f>IF(HR_Data[[#This Row],[TotalWorkingYears]]&lt;=5,"0-5 Yrs",IF(HR_Data[[#This Row],[TotalWorkingYears]]&lt;=10,"6-10 Yrs",IF(HR_Data[[#This Row],[TotalWorkingYears]]&lt;=20,"11-20 Yrs","20+ Yrs")))</f>
        <v>6-10 Yrs</v>
      </c>
      <c r="AT471" s="1">
        <f>IF(HR_Data[[#This Row],[TotalWorkingYears]]&lt;=5,1,IF(HR_Data[[#This Row],[TotalWorkingYears]]&lt;=10,2,IF(HR_Data[[#This Row],[TotalWorkingYears]]&lt;=20,3,4)))</f>
        <v>2</v>
      </c>
    </row>
    <row r="472" spans="1:46" x14ac:dyDescent="0.25">
      <c r="A472">
        <v>24</v>
      </c>
      <c r="B472" t="s">
        <v>36</v>
      </c>
      <c r="C472" t="s">
        <v>37</v>
      </c>
      <c r="D472" t="s">
        <v>31</v>
      </c>
      <c r="E472">
        <v>24</v>
      </c>
      <c r="F472">
        <v>3</v>
      </c>
      <c r="G472" t="s">
        <v>44</v>
      </c>
      <c r="H472">
        <v>632</v>
      </c>
      <c r="I472">
        <v>4</v>
      </c>
      <c r="J472" t="s">
        <v>39</v>
      </c>
      <c r="K472">
        <v>3</v>
      </c>
      <c r="L472">
        <v>1</v>
      </c>
      <c r="M472" t="s">
        <v>50</v>
      </c>
      <c r="N472">
        <v>4</v>
      </c>
      <c r="O472" t="s">
        <v>41</v>
      </c>
      <c r="P472">
        <v>2400</v>
      </c>
      <c r="Q472">
        <v>0</v>
      </c>
      <c r="R472" t="s">
        <v>36</v>
      </c>
      <c r="S472">
        <v>13</v>
      </c>
      <c r="T472">
        <v>3</v>
      </c>
      <c r="U472">
        <v>3</v>
      </c>
      <c r="V472">
        <v>2</v>
      </c>
      <c r="W472">
        <v>3</v>
      </c>
      <c r="X472">
        <v>3</v>
      </c>
      <c r="Y472">
        <v>3</v>
      </c>
      <c r="Z472">
        <v>2</v>
      </c>
      <c r="AA472">
        <v>2</v>
      </c>
      <c r="AB472">
        <v>2</v>
      </c>
      <c r="AC472">
        <v>1</v>
      </c>
      <c r="AD472">
        <f>IF(HR_Data[[#This Row],[Attrition]]="Yes",1,0)</f>
        <v>0</v>
      </c>
      <c r="AE472" t="str">
        <f>IF(HR_Data[[#This Row],[Age]]&lt;=25,"18-25",IF(HR_Data[[#This Row],[Age]]&lt;=35,"26-35",IF(HR_Data[[#This Row],[Age]]&lt;=45,"36-45",IF(HR_Data[[#This Row],[Age]]&lt;=55,"46-55","55+"))))</f>
        <v>18-25</v>
      </c>
      <c r="AF472">
        <f>IF(HR_Data[[#This Row],[Age]]&lt;=25,1,IF(HR_Data[[#This Row],[Age]]&lt;=35,2,IF(HR_Data[[#This Row],[Age]]&lt;=45,3,IF(HR_Data[[#This Row],[Age]]&lt;=55,4,5))))</f>
        <v>1</v>
      </c>
      <c r="AG472" s="1" t="str">
        <f>IF(HR_Data[[#This Row],[MonthlyIncome]]&lt;3000,"&lt;3K",IF(HR_Data[[#This Row],[MonthlyIncome]]&lt;6000,"3K-6K",IF(HR_Data[[#This Row],[MonthlyIncome]]&lt;10000,"6K-10K","10K+")))</f>
        <v>&lt;3K</v>
      </c>
      <c r="AH472" s="1">
        <f>IF(HR_Data[[#This Row],[MonthlyIncome]]&lt;3000,1,IF(HR_Data[[#This Row],[MonthlyIncome]]&lt;6000,2,IF(HR_Data[[#This Row],[MonthlyIncome]]&lt;10000,3,4)))</f>
        <v>1</v>
      </c>
      <c r="AI472" s="1" t="str">
        <f>IF(HR_Data[[#This Row],[YearsAtCompany]]&lt;=2,"0-2 Yrs",IF(HR_Data[[#This Row],[YearsAtCompany]]&lt;=5,"3-5 Yrs",IF(HR_Data[[#This Row],[YearsAtCompany]]&lt;=10,"6-10 Yrs","10+ Yrs")))</f>
        <v>0-2 Yrs</v>
      </c>
      <c r="AJ472" s="1">
        <f>IF(HR_Data[[#This Row],[YearsAtCompany]]&lt;=2,1,IF(HR_Data[[#This Row],[YearsAtCompany]]&lt;=5,2,IF(HR_Data[[#This Row],[YearsAtCompany]]&lt;=10,3,4)))</f>
        <v>1</v>
      </c>
      <c r="AK472" s="1" t="str">
        <f>CHOOSE(HR_Data[[#This Row],[Education]],"Below College","College","Bachelor","Master","Doctor")</f>
        <v>Bachelor</v>
      </c>
      <c r="AL472" s="1" t="str">
        <f>CHOOSE(HR_Data[[#This Row],[JobSatisfaction]],"Low","Medium","High","Very High")</f>
        <v>Very High</v>
      </c>
      <c r="AM472" s="1" t="str">
        <f>CHOOSE(HR_Data[[#This Row],[EnvironmentSatisfaction]],"Low","Medium","High","Very High")</f>
        <v>Very High</v>
      </c>
      <c r="AN472" s="1" t="str">
        <f>CHOOSE(HR_Data[[#This Row],[WorkLifeBalance]],"Bad","Good","Better","Best")</f>
        <v>Better</v>
      </c>
      <c r="AO472" s="1" t="str">
        <f>IF(HR_Data[[#This Row],[PercentSalaryHike]]&lt;=13,"11-13%",IF(HR_Data[[#This Row],[PercentSalaryHike]]&lt;=16,"14-16%",IF(HR_Data[[#This Row],[PercentSalaryHike]]&lt;=19,"17-19%","20-25%")))</f>
        <v>11-13%</v>
      </c>
      <c r="AP472" s="1">
        <f>IF(HR_Data[[#This Row],[PercentSalaryHike]]&lt;=13,1,IF(HR_Data[[#This Row],[PercentSalaryHike]]&lt;=16,2,IF(HR_Data[[#This Row],[PercentSalaryHike]]&lt;=19,3,4)))</f>
        <v>1</v>
      </c>
      <c r="AQ472" s="1" t="str">
        <f>IF(HR_Data[[#This Row],[DistanceFromHome]]&lt;=5,"1 to 5",IF(HR_Data[[#This Row],[DistanceFromHome]]&lt;=10,"6 to 10",IF(HR_Data[[#This Row],[DistanceFromHome]]&lt;=20,"11 to 20","21 to 29")))</f>
        <v>21 to 29</v>
      </c>
      <c r="AR472" s="1">
        <f>IF(HR_Data[[#This Row],[DistanceFromHome]]&lt;=5,1,IF(HR_Data[[#This Row],[DistanceFromHome]]&lt;=10,2,IF(HR_Data[[#This Row],[DistanceFromHome]]&lt;=20,3,4)))</f>
        <v>4</v>
      </c>
      <c r="AS472" s="1" t="str">
        <f>IF(HR_Data[[#This Row],[TotalWorkingYears]]&lt;=5,"0-5 Yrs",IF(HR_Data[[#This Row],[TotalWorkingYears]]&lt;=10,"6-10 Yrs",IF(HR_Data[[#This Row],[TotalWorkingYears]]&lt;=20,"11-20 Yrs","20+ Yrs")))</f>
        <v>0-5 Yrs</v>
      </c>
      <c r="AT472" s="1">
        <f>IF(HR_Data[[#This Row],[TotalWorkingYears]]&lt;=5,1,IF(HR_Data[[#This Row],[TotalWorkingYears]]&lt;=10,2,IF(HR_Data[[#This Row],[TotalWorkingYears]]&lt;=20,3,4)))</f>
        <v>1</v>
      </c>
    </row>
    <row r="473" spans="1:46" x14ac:dyDescent="0.25">
      <c r="A473">
        <v>38</v>
      </c>
      <c r="B473" t="s">
        <v>36</v>
      </c>
      <c r="C473" t="s">
        <v>30</v>
      </c>
      <c r="D473" t="s">
        <v>38</v>
      </c>
      <c r="E473">
        <v>10</v>
      </c>
      <c r="F473">
        <v>3</v>
      </c>
      <c r="G473" t="s">
        <v>44</v>
      </c>
      <c r="H473">
        <v>634</v>
      </c>
      <c r="I473">
        <v>3</v>
      </c>
      <c r="J473" t="s">
        <v>33</v>
      </c>
      <c r="K473">
        <v>3</v>
      </c>
      <c r="L473">
        <v>2</v>
      </c>
      <c r="M473" t="s">
        <v>47</v>
      </c>
      <c r="N473">
        <v>3</v>
      </c>
      <c r="O473" t="s">
        <v>41</v>
      </c>
      <c r="P473">
        <v>9824</v>
      </c>
      <c r="Q473">
        <v>3</v>
      </c>
      <c r="R473" t="s">
        <v>36</v>
      </c>
      <c r="S473">
        <v>19</v>
      </c>
      <c r="T473">
        <v>3</v>
      </c>
      <c r="U473">
        <v>3</v>
      </c>
      <c r="V473">
        <v>1</v>
      </c>
      <c r="W473">
        <v>18</v>
      </c>
      <c r="X473">
        <v>4</v>
      </c>
      <c r="Y473">
        <v>3</v>
      </c>
      <c r="Z473">
        <v>1</v>
      </c>
      <c r="AA473">
        <v>0</v>
      </c>
      <c r="AB473">
        <v>0</v>
      </c>
      <c r="AC473">
        <v>0</v>
      </c>
      <c r="AD473">
        <f>IF(HR_Data[[#This Row],[Attrition]]="Yes",1,0)</f>
        <v>0</v>
      </c>
      <c r="AE473" t="str">
        <f>IF(HR_Data[[#This Row],[Age]]&lt;=25,"18-25",IF(HR_Data[[#This Row],[Age]]&lt;=35,"26-35",IF(HR_Data[[#This Row],[Age]]&lt;=45,"36-45",IF(HR_Data[[#This Row],[Age]]&lt;=55,"46-55","55+"))))</f>
        <v>36-45</v>
      </c>
      <c r="AF473">
        <f>IF(HR_Data[[#This Row],[Age]]&lt;=25,1,IF(HR_Data[[#This Row],[Age]]&lt;=35,2,IF(HR_Data[[#This Row],[Age]]&lt;=45,3,IF(HR_Data[[#This Row],[Age]]&lt;=55,4,5))))</f>
        <v>3</v>
      </c>
      <c r="AG473" s="1" t="str">
        <f>IF(HR_Data[[#This Row],[MonthlyIncome]]&lt;3000,"&lt;3K",IF(HR_Data[[#This Row],[MonthlyIncome]]&lt;6000,"3K-6K",IF(HR_Data[[#This Row],[MonthlyIncome]]&lt;10000,"6K-10K","10K+")))</f>
        <v>6K-10K</v>
      </c>
      <c r="AH473" s="1">
        <f>IF(HR_Data[[#This Row],[MonthlyIncome]]&lt;3000,1,IF(HR_Data[[#This Row],[MonthlyIncome]]&lt;6000,2,IF(HR_Data[[#This Row],[MonthlyIncome]]&lt;10000,3,4)))</f>
        <v>3</v>
      </c>
      <c r="AI473" s="1" t="str">
        <f>IF(HR_Data[[#This Row],[YearsAtCompany]]&lt;=2,"0-2 Yrs",IF(HR_Data[[#This Row],[YearsAtCompany]]&lt;=5,"3-5 Yrs",IF(HR_Data[[#This Row],[YearsAtCompany]]&lt;=10,"6-10 Yrs","10+ Yrs")))</f>
        <v>0-2 Yrs</v>
      </c>
      <c r="AJ473" s="1">
        <f>IF(HR_Data[[#This Row],[YearsAtCompany]]&lt;=2,1,IF(HR_Data[[#This Row],[YearsAtCompany]]&lt;=5,2,IF(HR_Data[[#This Row],[YearsAtCompany]]&lt;=10,3,4)))</f>
        <v>1</v>
      </c>
      <c r="AK473" s="1" t="str">
        <f>CHOOSE(HR_Data[[#This Row],[Education]],"Below College","College","Bachelor","Master","Doctor")</f>
        <v>Bachelor</v>
      </c>
      <c r="AL473" s="1" t="str">
        <f>CHOOSE(HR_Data[[#This Row],[JobSatisfaction]],"Low","Medium","High","Very High")</f>
        <v>High</v>
      </c>
      <c r="AM473" s="1" t="str">
        <f>CHOOSE(HR_Data[[#This Row],[EnvironmentSatisfaction]],"Low","Medium","High","Very High")</f>
        <v>High</v>
      </c>
      <c r="AN473" s="1" t="str">
        <f>CHOOSE(HR_Data[[#This Row],[WorkLifeBalance]],"Bad","Good","Better","Best")</f>
        <v>Better</v>
      </c>
      <c r="AO473" s="1" t="str">
        <f>IF(HR_Data[[#This Row],[PercentSalaryHike]]&lt;=13,"11-13%",IF(HR_Data[[#This Row],[PercentSalaryHike]]&lt;=16,"14-16%",IF(HR_Data[[#This Row],[PercentSalaryHike]]&lt;=19,"17-19%","20-25%")))</f>
        <v>17-19%</v>
      </c>
      <c r="AP473" s="1">
        <f>IF(HR_Data[[#This Row],[PercentSalaryHike]]&lt;=13,1,IF(HR_Data[[#This Row],[PercentSalaryHike]]&lt;=16,2,IF(HR_Data[[#This Row],[PercentSalaryHike]]&lt;=19,3,4)))</f>
        <v>3</v>
      </c>
      <c r="AQ473" s="1" t="str">
        <f>IF(HR_Data[[#This Row],[DistanceFromHome]]&lt;=5,"1 to 5",IF(HR_Data[[#This Row],[DistanceFromHome]]&lt;=10,"6 to 10",IF(HR_Data[[#This Row],[DistanceFromHome]]&lt;=20,"11 to 20","21 to 29")))</f>
        <v>6 to 10</v>
      </c>
      <c r="AR473" s="1">
        <f>IF(HR_Data[[#This Row],[DistanceFromHome]]&lt;=5,1,IF(HR_Data[[#This Row],[DistanceFromHome]]&lt;=10,2,IF(HR_Data[[#This Row],[DistanceFromHome]]&lt;=20,3,4)))</f>
        <v>2</v>
      </c>
      <c r="AS473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473" s="1">
        <f>IF(HR_Data[[#This Row],[TotalWorkingYears]]&lt;=5,1,IF(HR_Data[[#This Row],[TotalWorkingYears]]&lt;=10,2,IF(HR_Data[[#This Row],[TotalWorkingYears]]&lt;=20,3,4)))</f>
        <v>3</v>
      </c>
    </row>
    <row r="474" spans="1:46" x14ac:dyDescent="0.25">
      <c r="A474">
        <v>37</v>
      </c>
      <c r="B474" t="s">
        <v>36</v>
      </c>
      <c r="C474" t="s">
        <v>30</v>
      </c>
      <c r="D474" t="s">
        <v>38</v>
      </c>
      <c r="E474">
        <v>1</v>
      </c>
      <c r="F474">
        <v>4</v>
      </c>
      <c r="G474" t="s">
        <v>32</v>
      </c>
      <c r="H474">
        <v>635</v>
      </c>
      <c r="I474">
        <v>2</v>
      </c>
      <c r="J474" t="s">
        <v>33</v>
      </c>
      <c r="K474">
        <v>3</v>
      </c>
      <c r="L474">
        <v>2</v>
      </c>
      <c r="M474" t="s">
        <v>46</v>
      </c>
      <c r="N474">
        <v>2</v>
      </c>
      <c r="O474" t="s">
        <v>41</v>
      </c>
      <c r="P474">
        <v>6447</v>
      </c>
      <c r="Q474">
        <v>6</v>
      </c>
      <c r="R474" t="s">
        <v>36</v>
      </c>
      <c r="S474">
        <v>12</v>
      </c>
      <c r="T474">
        <v>3</v>
      </c>
      <c r="U474">
        <v>2</v>
      </c>
      <c r="V474">
        <v>1</v>
      </c>
      <c r="W474">
        <v>8</v>
      </c>
      <c r="X474">
        <v>2</v>
      </c>
      <c r="Y474">
        <v>2</v>
      </c>
      <c r="Z474">
        <v>6</v>
      </c>
      <c r="AA474">
        <v>5</v>
      </c>
      <c r="AB474">
        <v>4</v>
      </c>
      <c r="AC474">
        <v>3</v>
      </c>
      <c r="AD474">
        <f>IF(HR_Data[[#This Row],[Attrition]]="Yes",1,0)</f>
        <v>0</v>
      </c>
      <c r="AE474" t="str">
        <f>IF(HR_Data[[#This Row],[Age]]&lt;=25,"18-25",IF(HR_Data[[#This Row],[Age]]&lt;=35,"26-35",IF(HR_Data[[#This Row],[Age]]&lt;=45,"36-45",IF(HR_Data[[#This Row],[Age]]&lt;=55,"46-55","55+"))))</f>
        <v>36-45</v>
      </c>
      <c r="AF474">
        <f>IF(HR_Data[[#This Row],[Age]]&lt;=25,1,IF(HR_Data[[#This Row],[Age]]&lt;=35,2,IF(HR_Data[[#This Row],[Age]]&lt;=45,3,IF(HR_Data[[#This Row],[Age]]&lt;=55,4,5))))</f>
        <v>3</v>
      </c>
      <c r="AG474" s="1" t="str">
        <f>IF(HR_Data[[#This Row],[MonthlyIncome]]&lt;3000,"&lt;3K",IF(HR_Data[[#This Row],[MonthlyIncome]]&lt;6000,"3K-6K",IF(HR_Data[[#This Row],[MonthlyIncome]]&lt;10000,"6K-10K","10K+")))</f>
        <v>6K-10K</v>
      </c>
      <c r="AH474" s="1">
        <f>IF(HR_Data[[#This Row],[MonthlyIncome]]&lt;3000,1,IF(HR_Data[[#This Row],[MonthlyIncome]]&lt;6000,2,IF(HR_Data[[#This Row],[MonthlyIncome]]&lt;10000,3,4)))</f>
        <v>3</v>
      </c>
      <c r="AI474" s="1" t="str">
        <f>IF(HR_Data[[#This Row],[YearsAtCompany]]&lt;=2,"0-2 Yrs",IF(HR_Data[[#This Row],[YearsAtCompany]]&lt;=5,"3-5 Yrs",IF(HR_Data[[#This Row],[YearsAtCompany]]&lt;=10,"6-10 Yrs","10+ Yrs")))</f>
        <v>6-10 Yrs</v>
      </c>
      <c r="AJ474" s="1">
        <f>IF(HR_Data[[#This Row],[YearsAtCompany]]&lt;=2,1,IF(HR_Data[[#This Row],[YearsAtCompany]]&lt;=5,2,IF(HR_Data[[#This Row],[YearsAtCompany]]&lt;=10,3,4)))</f>
        <v>3</v>
      </c>
      <c r="AK474" s="1" t="str">
        <f>CHOOSE(HR_Data[[#This Row],[Education]],"Below College","College","Bachelor","Master","Doctor")</f>
        <v>Master</v>
      </c>
      <c r="AL474" s="1" t="str">
        <f>CHOOSE(HR_Data[[#This Row],[JobSatisfaction]],"Low","Medium","High","Very High")</f>
        <v>Medium</v>
      </c>
      <c r="AM474" s="1" t="str">
        <f>CHOOSE(HR_Data[[#This Row],[EnvironmentSatisfaction]],"Low","Medium","High","Very High")</f>
        <v>Medium</v>
      </c>
      <c r="AN474" s="1" t="str">
        <f>CHOOSE(HR_Data[[#This Row],[WorkLifeBalance]],"Bad","Good","Better","Best")</f>
        <v>Good</v>
      </c>
      <c r="AO474" s="1" t="str">
        <f>IF(HR_Data[[#This Row],[PercentSalaryHike]]&lt;=13,"11-13%",IF(HR_Data[[#This Row],[PercentSalaryHike]]&lt;=16,"14-16%",IF(HR_Data[[#This Row],[PercentSalaryHike]]&lt;=19,"17-19%","20-25%")))</f>
        <v>11-13%</v>
      </c>
      <c r="AP474" s="1">
        <f>IF(HR_Data[[#This Row],[PercentSalaryHike]]&lt;=13,1,IF(HR_Data[[#This Row],[PercentSalaryHike]]&lt;=16,2,IF(HR_Data[[#This Row],[PercentSalaryHike]]&lt;=19,3,4)))</f>
        <v>1</v>
      </c>
      <c r="AQ474" s="1" t="str">
        <f>IF(HR_Data[[#This Row],[DistanceFromHome]]&lt;=5,"1 to 5",IF(HR_Data[[#This Row],[DistanceFromHome]]&lt;=10,"6 to 10",IF(HR_Data[[#This Row],[DistanceFromHome]]&lt;=20,"11 to 20","21 to 29")))</f>
        <v>1 to 5</v>
      </c>
      <c r="AR474" s="1">
        <f>IF(HR_Data[[#This Row],[DistanceFromHome]]&lt;=5,1,IF(HR_Data[[#This Row],[DistanceFromHome]]&lt;=10,2,IF(HR_Data[[#This Row],[DistanceFromHome]]&lt;=20,3,4)))</f>
        <v>1</v>
      </c>
      <c r="AS474" s="1" t="str">
        <f>IF(HR_Data[[#This Row],[TotalWorkingYears]]&lt;=5,"0-5 Yrs",IF(HR_Data[[#This Row],[TotalWorkingYears]]&lt;=10,"6-10 Yrs",IF(HR_Data[[#This Row],[TotalWorkingYears]]&lt;=20,"11-20 Yrs","20+ Yrs")))</f>
        <v>6-10 Yrs</v>
      </c>
      <c r="AT474" s="1">
        <f>IF(HR_Data[[#This Row],[TotalWorkingYears]]&lt;=5,1,IF(HR_Data[[#This Row],[TotalWorkingYears]]&lt;=10,2,IF(HR_Data[[#This Row],[TotalWorkingYears]]&lt;=20,3,4)))</f>
        <v>2</v>
      </c>
    </row>
    <row r="475" spans="1:46" x14ac:dyDescent="0.25">
      <c r="A475">
        <v>49</v>
      </c>
      <c r="B475" t="s">
        <v>36</v>
      </c>
      <c r="C475" t="s">
        <v>30</v>
      </c>
      <c r="D475" t="s">
        <v>38</v>
      </c>
      <c r="E475">
        <v>18</v>
      </c>
      <c r="F475">
        <v>4</v>
      </c>
      <c r="G475" t="s">
        <v>32</v>
      </c>
      <c r="H475">
        <v>638</v>
      </c>
      <c r="I475">
        <v>4</v>
      </c>
      <c r="J475" t="s">
        <v>39</v>
      </c>
      <c r="K475">
        <v>2</v>
      </c>
      <c r="L475">
        <v>5</v>
      </c>
      <c r="M475" t="s">
        <v>51</v>
      </c>
      <c r="N475">
        <v>3</v>
      </c>
      <c r="O475" t="s">
        <v>45</v>
      </c>
      <c r="P475">
        <v>19502</v>
      </c>
      <c r="Q475">
        <v>1</v>
      </c>
      <c r="R475" t="s">
        <v>29</v>
      </c>
      <c r="S475">
        <v>17</v>
      </c>
      <c r="T475">
        <v>3</v>
      </c>
      <c r="U475">
        <v>3</v>
      </c>
      <c r="V475">
        <v>1</v>
      </c>
      <c r="W475">
        <v>31</v>
      </c>
      <c r="X475">
        <v>5</v>
      </c>
      <c r="Y475">
        <v>3</v>
      </c>
      <c r="Z475">
        <v>31</v>
      </c>
      <c r="AA475">
        <v>9</v>
      </c>
      <c r="AB475">
        <v>0</v>
      </c>
      <c r="AC475">
        <v>9</v>
      </c>
      <c r="AD475">
        <f>IF(HR_Data[[#This Row],[Attrition]]="Yes",1,0)</f>
        <v>0</v>
      </c>
      <c r="AE475" t="str">
        <f>IF(HR_Data[[#This Row],[Age]]&lt;=25,"18-25",IF(HR_Data[[#This Row],[Age]]&lt;=35,"26-35",IF(HR_Data[[#This Row],[Age]]&lt;=45,"36-45",IF(HR_Data[[#This Row],[Age]]&lt;=55,"46-55","55+"))))</f>
        <v>46-55</v>
      </c>
      <c r="AF475">
        <f>IF(HR_Data[[#This Row],[Age]]&lt;=25,1,IF(HR_Data[[#This Row],[Age]]&lt;=35,2,IF(HR_Data[[#This Row],[Age]]&lt;=45,3,IF(HR_Data[[#This Row],[Age]]&lt;=55,4,5))))</f>
        <v>4</v>
      </c>
      <c r="AG475" s="1" t="str">
        <f>IF(HR_Data[[#This Row],[MonthlyIncome]]&lt;3000,"&lt;3K",IF(HR_Data[[#This Row],[MonthlyIncome]]&lt;6000,"3K-6K",IF(HR_Data[[#This Row],[MonthlyIncome]]&lt;10000,"6K-10K","10K+")))</f>
        <v>10K+</v>
      </c>
      <c r="AH475" s="1">
        <f>IF(HR_Data[[#This Row],[MonthlyIncome]]&lt;3000,1,IF(HR_Data[[#This Row],[MonthlyIncome]]&lt;6000,2,IF(HR_Data[[#This Row],[MonthlyIncome]]&lt;10000,3,4)))</f>
        <v>4</v>
      </c>
      <c r="AI475" s="1" t="str">
        <f>IF(HR_Data[[#This Row],[YearsAtCompany]]&lt;=2,"0-2 Yrs",IF(HR_Data[[#This Row],[YearsAtCompany]]&lt;=5,"3-5 Yrs",IF(HR_Data[[#This Row],[YearsAtCompany]]&lt;=10,"6-10 Yrs","10+ Yrs")))</f>
        <v>10+ Yrs</v>
      </c>
      <c r="AJ475" s="1">
        <f>IF(HR_Data[[#This Row],[YearsAtCompany]]&lt;=2,1,IF(HR_Data[[#This Row],[YearsAtCompany]]&lt;=5,2,IF(HR_Data[[#This Row],[YearsAtCompany]]&lt;=10,3,4)))</f>
        <v>4</v>
      </c>
      <c r="AK475" s="1" t="str">
        <f>CHOOSE(HR_Data[[#This Row],[Education]],"Below College","College","Bachelor","Master","Doctor")</f>
        <v>Master</v>
      </c>
      <c r="AL475" s="1" t="str">
        <f>CHOOSE(HR_Data[[#This Row],[JobSatisfaction]],"Low","Medium","High","Very High")</f>
        <v>High</v>
      </c>
      <c r="AM475" s="1" t="str">
        <f>CHOOSE(HR_Data[[#This Row],[EnvironmentSatisfaction]],"Low","Medium","High","Very High")</f>
        <v>Very High</v>
      </c>
      <c r="AN475" s="1" t="str">
        <f>CHOOSE(HR_Data[[#This Row],[WorkLifeBalance]],"Bad","Good","Better","Best")</f>
        <v>Better</v>
      </c>
      <c r="AO475" s="1" t="str">
        <f>IF(HR_Data[[#This Row],[PercentSalaryHike]]&lt;=13,"11-13%",IF(HR_Data[[#This Row],[PercentSalaryHike]]&lt;=16,"14-16%",IF(HR_Data[[#This Row],[PercentSalaryHike]]&lt;=19,"17-19%","20-25%")))</f>
        <v>17-19%</v>
      </c>
      <c r="AP475" s="1">
        <f>IF(HR_Data[[#This Row],[PercentSalaryHike]]&lt;=13,1,IF(HR_Data[[#This Row],[PercentSalaryHike]]&lt;=16,2,IF(HR_Data[[#This Row],[PercentSalaryHike]]&lt;=19,3,4)))</f>
        <v>3</v>
      </c>
      <c r="AQ475" s="1" t="str">
        <f>IF(HR_Data[[#This Row],[DistanceFromHome]]&lt;=5,"1 to 5",IF(HR_Data[[#This Row],[DistanceFromHome]]&lt;=10,"6 to 10",IF(HR_Data[[#This Row],[DistanceFromHome]]&lt;=20,"11 to 20","21 to 29")))</f>
        <v>11 to 20</v>
      </c>
      <c r="AR475" s="1">
        <f>IF(HR_Data[[#This Row],[DistanceFromHome]]&lt;=5,1,IF(HR_Data[[#This Row],[DistanceFromHome]]&lt;=10,2,IF(HR_Data[[#This Row],[DistanceFromHome]]&lt;=20,3,4)))</f>
        <v>3</v>
      </c>
      <c r="AS475" s="1" t="str">
        <f>IF(HR_Data[[#This Row],[TotalWorkingYears]]&lt;=5,"0-5 Yrs",IF(HR_Data[[#This Row],[TotalWorkingYears]]&lt;=10,"6-10 Yrs",IF(HR_Data[[#This Row],[TotalWorkingYears]]&lt;=20,"11-20 Yrs","20+ Yrs")))</f>
        <v>20+ Yrs</v>
      </c>
      <c r="AT475" s="1">
        <f>IF(HR_Data[[#This Row],[TotalWorkingYears]]&lt;=5,1,IF(HR_Data[[#This Row],[TotalWorkingYears]]&lt;=10,2,IF(HR_Data[[#This Row],[TotalWorkingYears]]&lt;=20,3,4)))</f>
        <v>4</v>
      </c>
    </row>
    <row r="476" spans="1:46" x14ac:dyDescent="0.25">
      <c r="A476">
        <v>24</v>
      </c>
      <c r="B476" t="s">
        <v>36</v>
      </c>
      <c r="C476" t="s">
        <v>30</v>
      </c>
      <c r="D476" t="s">
        <v>38</v>
      </c>
      <c r="E476">
        <v>23</v>
      </c>
      <c r="F476">
        <v>3</v>
      </c>
      <c r="G476" t="s">
        <v>44</v>
      </c>
      <c r="H476">
        <v>639</v>
      </c>
      <c r="I476">
        <v>2</v>
      </c>
      <c r="J476" t="s">
        <v>39</v>
      </c>
      <c r="K476">
        <v>4</v>
      </c>
      <c r="L476">
        <v>1</v>
      </c>
      <c r="M476" t="s">
        <v>40</v>
      </c>
      <c r="N476">
        <v>4</v>
      </c>
      <c r="O476" t="s">
        <v>41</v>
      </c>
      <c r="P476">
        <v>2725</v>
      </c>
      <c r="Q476">
        <v>1</v>
      </c>
      <c r="R476" t="s">
        <v>29</v>
      </c>
      <c r="S476">
        <v>11</v>
      </c>
      <c r="T476">
        <v>3</v>
      </c>
      <c r="U476">
        <v>2</v>
      </c>
      <c r="V476">
        <v>2</v>
      </c>
      <c r="W476">
        <v>6</v>
      </c>
      <c r="X476">
        <v>3</v>
      </c>
      <c r="Y476">
        <v>3</v>
      </c>
      <c r="Z476">
        <v>6</v>
      </c>
      <c r="AA476">
        <v>5</v>
      </c>
      <c r="AB476">
        <v>1</v>
      </c>
      <c r="AC476">
        <v>4</v>
      </c>
      <c r="AD476">
        <f>IF(HR_Data[[#This Row],[Attrition]]="Yes",1,0)</f>
        <v>0</v>
      </c>
      <c r="AE476" t="str">
        <f>IF(HR_Data[[#This Row],[Age]]&lt;=25,"18-25",IF(HR_Data[[#This Row],[Age]]&lt;=35,"26-35",IF(HR_Data[[#This Row],[Age]]&lt;=45,"36-45",IF(HR_Data[[#This Row],[Age]]&lt;=55,"46-55","55+"))))</f>
        <v>18-25</v>
      </c>
      <c r="AF476">
        <f>IF(HR_Data[[#This Row],[Age]]&lt;=25,1,IF(HR_Data[[#This Row],[Age]]&lt;=35,2,IF(HR_Data[[#This Row],[Age]]&lt;=45,3,IF(HR_Data[[#This Row],[Age]]&lt;=55,4,5))))</f>
        <v>1</v>
      </c>
      <c r="AG476" s="1" t="str">
        <f>IF(HR_Data[[#This Row],[MonthlyIncome]]&lt;3000,"&lt;3K",IF(HR_Data[[#This Row],[MonthlyIncome]]&lt;6000,"3K-6K",IF(HR_Data[[#This Row],[MonthlyIncome]]&lt;10000,"6K-10K","10K+")))</f>
        <v>&lt;3K</v>
      </c>
      <c r="AH476" s="1">
        <f>IF(HR_Data[[#This Row],[MonthlyIncome]]&lt;3000,1,IF(HR_Data[[#This Row],[MonthlyIncome]]&lt;6000,2,IF(HR_Data[[#This Row],[MonthlyIncome]]&lt;10000,3,4)))</f>
        <v>1</v>
      </c>
      <c r="AI476" s="1" t="str">
        <f>IF(HR_Data[[#This Row],[YearsAtCompany]]&lt;=2,"0-2 Yrs",IF(HR_Data[[#This Row],[YearsAtCompany]]&lt;=5,"3-5 Yrs",IF(HR_Data[[#This Row],[YearsAtCompany]]&lt;=10,"6-10 Yrs","10+ Yrs")))</f>
        <v>6-10 Yrs</v>
      </c>
      <c r="AJ476" s="1">
        <f>IF(HR_Data[[#This Row],[YearsAtCompany]]&lt;=2,1,IF(HR_Data[[#This Row],[YearsAtCompany]]&lt;=5,2,IF(HR_Data[[#This Row],[YearsAtCompany]]&lt;=10,3,4)))</f>
        <v>3</v>
      </c>
      <c r="AK476" s="1" t="str">
        <f>CHOOSE(HR_Data[[#This Row],[Education]],"Below College","College","Bachelor","Master","Doctor")</f>
        <v>Bachelor</v>
      </c>
      <c r="AL476" s="1" t="str">
        <f>CHOOSE(HR_Data[[#This Row],[JobSatisfaction]],"Low","Medium","High","Very High")</f>
        <v>Very High</v>
      </c>
      <c r="AM476" s="1" t="str">
        <f>CHOOSE(HR_Data[[#This Row],[EnvironmentSatisfaction]],"Low","Medium","High","Very High")</f>
        <v>Medium</v>
      </c>
      <c r="AN476" s="1" t="str">
        <f>CHOOSE(HR_Data[[#This Row],[WorkLifeBalance]],"Bad","Good","Better","Best")</f>
        <v>Better</v>
      </c>
      <c r="AO476" s="1" t="str">
        <f>IF(HR_Data[[#This Row],[PercentSalaryHike]]&lt;=13,"11-13%",IF(HR_Data[[#This Row],[PercentSalaryHike]]&lt;=16,"14-16%",IF(HR_Data[[#This Row],[PercentSalaryHike]]&lt;=19,"17-19%","20-25%")))</f>
        <v>11-13%</v>
      </c>
      <c r="AP476" s="1">
        <f>IF(HR_Data[[#This Row],[PercentSalaryHike]]&lt;=13,1,IF(HR_Data[[#This Row],[PercentSalaryHike]]&lt;=16,2,IF(HR_Data[[#This Row],[PercentSalaryHike]]&lt;=19,3,4)))</f>
        <v>1</v>
      </c>
      <c r="AQ476" s="1" t="str">
        <f>IF(HR_Data[[#This Row],[DistanceFromHome]]&lt;=5,"1 to 5",IF(HR_Data[[#This Row],[DistanceFromHome]]&lt;=10,"6 to 10",IF(HR_Data[[#This Row],[DistanceFromHome]]&lt;=20,"11 to 20","21 to 29")))</f>
        <v>21 to 29</v>
      </c>
      <c r="AR476" s="1">
        <f>IF(HR_Data[[#This Row],[DistanceFromHome]]&lt;=5,1,IF(HR_Data[[#This Row],[DistanceFromHome]]&lt;=10,2,IF(HR_Data[[#This Row],[DistanceFromHome]]&lt;=20,3,4)))</f>
        <v>4</v>
      </c>
      <c r="AS476" s="1" t="str">
        <f>IF(HR_Data[[#This Row],[TotalWorkingYears]]&lt;=5,"0-5 Yrs",IF(HR_Data[[#This Row],[TotalWorkingYears]]&lt;=10,"6-10 Yrs",IF(HR_Data[[#This Row],[TotalWorkingYears]]&lt;=20,"11-20 Yrs","20+ Yrs")))</f>
        <v>6-10 Yrs</v>
      </c>
      <c r="AT476" s="1">
        <f>IF(HR_Data[[#This Row],[TotalWorkingYears]]&lt;=5,1,IF(HR_Data[[#This Row],[TotalWorkingYears]]&lt;=10,2,IF(HR_Data[[#This Row],[TotalWorkingYears]]&lt;=20,3,4)))</f>
        <v>2</v>
      </c>
    </row>
    <row r="477" spans="1:46" x14ac:dyDescent="0.25">
      <c r="A477">
        <v>26</v>
      </c>
      <c r="B477" t="s">
        <v>36</v>
      </c>
      <c r="C477" t="s">
        <v>30</v>
      </c>
      <c r="D477" t="s">
        <v>31</v>
      </c>
      <c r="E477">
        <v>28</v>
      </c>
      <c r="F477">
        <v>2</v>
      </c>
      <c r="G477" t="s">
        <v>52</v>
      </c>
      <c r="H477">
        <v>641</v>
      </c>
      <c r="I477">
        <v>1</v>
      </c>
      <c r="J477" t="s">
        <v>39</v>
      </c>
      <c r="K477">
        <v>3</v>
      </c>
      <c r="L477">
        <v>2</v>
      </c>
      <c r="M477" t="s">
        <v>34</v>
      </c>
      <c r="N477">
        <v>2</v>
      </c>
      <c r="O477" t="s">
        <v>41</v>
      </c>
      <c r="P477">
        <v>6272</v>
      </c>
      <c r="Q477">
        <v>1</v>
      </c>
      <c r="R477" t="s">
        <v>36</v>
      </c>
      <c r="S477">
        <v>20</v>
      </c>
      <c r="T477">
        <v>4</v>
      </c>
      <c r="U477">
        <v>4</v>
      </c>
      <c r="V477">
        <v>2</v>
      </c>
      <c r="W477">
        <v>6</v>
      </c>
      <c r="X477">
        <v>5</v>
      </c>
      <c r="Y477">
        <v>4</v>
      </c>
      <c r="Z477">
        <v>5</v>
      </c>
      <c r="AA477">
        <v>3</v>
      </c>
      <c r="AB477">
        <v>1</v>
      </c>
      <c r="AC477">
        <v>4</v>
      </c>
      <c r="AD477">
        <f>IF(HR_Data[[#This Row],[Attrition]]="Yes",1,0)</f>
        <v>0</v>
      </c>
      <c r="AE477" t="str">
        <f>IF(HR_Data[[#This Row],[Age]]&lt;=25,"18-25",IF(HR_Data[[#This Row],[Age]]&lt;=35,"26-35",IF(HR_Data[[#This Row],[Age]]&lt;=45,"36-45",IF(HR_Data[[#This Row],[Age]]&lt;=55,"46-55","55+"))))</f>
        <v>26-35</v>
      </c>
      <c r="AF477">
        <f>IF(HR_Data[[#This Row],[Age]]&lt;=25,1,IF(HR_Data[[#This Row],[Age]]&lt;=35,2,IF(HR_Data[[#This Row],[Age]]&lt;=45,3,IF(HR_Data[[#This Row],[Age]]&lt;=55,4,5))))</f>
        <v>2</v>
      </c>
      <c r="AG477" s="1" t="str">
        <f>IF(HR_Data[[#This Row],[MonthlyIncome]]&lt;3000,"&lt;3K",IF(HR_Data[[#This Row],[MonthlyIncome]]&lt;6000,"3K-6K",IF(HR_Data[[#This Row],[MonthlyIncome]]&lt;10000,"6K-10K","10K+")))</f>
        <v>6K-10K</v>
      </c>
      <c r="AH477" s="1">
        <f>IF(HR_Data[[#This Row],[MonthlyIncome]]&lt;3000,1,IF(HR_Data[[#This Row],[MonthlyIncome]]&lt;6000,2,IF(HR_Data[[#This Row],[MonthlyIncome]]&lt;10000,3,4)))</f>
        <v>3</v>
      </c>
      <c r="AI477" s="1" t="str">
        <f>IF(HR_Data[[#This Row],[YearsAtCompany]]&lt;=2,"0-2 Yrs",IF(HR_Data[[#This Row],[YearsAtCompany]]&lt;=5,"3-5 Yrs",IF(HR_Data[[#This Row],[YearsAtCompany]]&lt;=10,"6-10 Yrs","10+ Yrs")))</f>
        <v>3-5 Yrs</v>
      </c>
      <c r="AJ477" s="1">
        <f>IF(HR_Data[[#This Row],[YearsAtCompany]]&lt;=2,1,IF(HR_Data[[#This Row],[YearsAtCompany]]&lt;=5,2,IF(HR_Data[[#This Row],[YearsAtCompany]]&lt;=10,3,4)))</f>
        <v>2</v>
      </c>
      <c r="AK477" s="1" t="str">
        <f>CHOOSE(HR_Data[[#This Row],[Education]],"Below College","College","Bachelor","Master","Doctor")</f>
        <v>College</v>
      </c>
      <c r="AL477" s="1" t="str">
        <f>CHOOSE(HR_Data[[#This Row],[JobSatisfaction]],"Low","Medium","High","Very High")</f>
        <v>Medium</v>
      </c>
      <c r="AM477" s="1" t="str">
        <f>CHOOSE(HR_Data[[#This Row],[EnvironmentSatisfaction]],"Low","Medium","High","Very High")</f>
        <v>Low</v>
      </c>
      <c r="AN477" s="1" t="str">
        <f>CHOOSE(HR_Data[[#This Row],[WorkLifeBalance]],"Bad","Good","Better","Best")</f>
        <v>Best</v>
      </c>
      <c r="AO477" s="1" t="str">
        <f>IF(HR_Data[[#This Row],[PercentSalaryHike]]&lt;=13,"11-13%",IF(HR_Data[[#This Row],[PercentSalaryHike]]&lt;=16,"14-16%",IF(HR_Data[[#This Row],[PercentSalaryHike]]&lt;=19,"17-19%","20-25%")))</f>
        <v>20-25%</v>
      </c>
      <c r="AP477" s="1">
        <f>IF(HR_Data[[#This Row],[PercentSalaryHike]]&lt;=13,1,IF(HR_Data[[#This Row],[PercentSalaryHike]]&lt;=16,2,IF(HR_Data[[#This Row],[PercentSalaryHike]]&lt;=19,3,4)))</f>
        <v>4</v>
      </c>
      <c r="AQ477" s="1" t="str">
        <f>IF(HR_Data[[#This Row],[DistanceFromHome]]&lt;=5,"1 to 5",IF(HR_Data[[#This Row],[DistanceFromHome]]&lt;=10,"6 to 10",IF(HR_Data[[#This Row],[DistanceFromHome]]&lt;=20,"11 to 20","21 to 29")))</f>
        <v>21 to 29</v>
      </c>
      <c r="AR477" s="1">
        <f>IF(HR_Data[[#This Row],[DistanceFromHome]]&lt;=5,1,IF(HR_Data[[#This Row],[DistanceFromHome]]&lt;=10,2,IF(HR_Data[[#This Row],[DistanceFromHome]]&lt;=20,3,4)))</f>
        <v>4</v>
      </c>
      <c r="AS477" s="1" t="str">
        <f>IF(HR_Data[[#This Row],[TotalWorkingYears]]&lt;=5,"0-5 Yrs",IF(HR_Data[[#This Row],[TotalWorkingYears]]&lt;=10,"6-10 Yrs",IF(HR_Data[[#This Row],[TotalWorkingYears]]&lt;=20,"11-20 Yrs","20+ Yrs")))</f>
        <v>6-10 Yrs</v>
      </c>
      <c r="AT477" s="1">
        <f>IF(HR_Data[[#This Row],[TotalWorkingYears]]&lt;=5,1,IF(HR_Data[[#This Row],[TotalWorkingYears]]&lt;=10,2,IF(HR_Data[[#This Row],[TotalWorkingYears]]&lt;=20,3,4)))</f>
        <v>2</v>
      </c>
    </row>
    <row r="478" spans="1:46" x14ac:dyDescent="0.25">
      <c r="A478">
        <v>24</v>
      </c>
      <c r="B478" t="s">
        <v>36</v>
      </c>
      <c r="C478" t="s">
        <v>30</v>
      </c>
      <c r="D478" t="s">
        <v>38</v>
      </c>
      <c r="E478">
        <v>17</v>
      </c>
      <c r="F478">
        <v>2</v>
      </c>
      <c r="G478" t="s">
        <v>42</v>
      </c>
      <c r="H478">
        <v>643</v>
      </c>
      <c r="I478">
        <v>4</v>
      </c>
      <c r="J478" t="s">
        <v>39</v>
      </c>
      <c r="K478">
        <v>2</v>
      </c>
      <c r="L478">
        <v>1</v>
      </c>
      <c r="M478" t="s">
        <v>43</v>
      </c>
      <c r="N478">
        <v>2</v>
      </c>
      <c r="O478" t="s">
        <v>41</v>
      </c>
      <c r="P478">
        <v>2127</v>
      </c>
      <c r="Q478">
        <v>1</v>
      </c>
      <c r="R478" t="s">
        <v>36</v>
      </c>
      <c r="S478">
        <v>21</v>
      </c>
      <c r="T478">
        <v>4</v>
      </c>
      <c r="U478">
        <v>4</v>
      </c>
      <c r="V478">
        <v>1</v>
      </c>
      <c r="W478">
        <v>1</v>
      </c>
      <c r="X478">
        <v>2</v>
      </c>
      <c r="Y478">
        <v>3</v>
      </c>
      <c r="Z478">
        <v>1</v>
      </c>
      <c r="AA478">
        <v>0</v>
      </c>
      <c r="AB478">
        <v>0</v>
      </c>
      <c r="AC478">
        <v>0</v>
      </c>
      <c r="AD478">
        <f>IF(HR_Data[[#This Row],[Attrition]]="Yes",1,0)</f>
        <v>0</v>
      </c>
      <c r="AE478" t="str">
        <f>IF(HR_Data[[#This Row],[Age]]&lt;=25,"18-25",IF(HR_Data[[#This Row],[Age]]&lt;=35,"26-35",IF(HR_Data[[#This Row],[Age]]&lt;=45,"36-45",IF(HR_Data[[#This Row],[Age]]&lt;=55,"46-55","55+"))))</f>
        <v>18-25</v>
      </c>
      <c r="AF478">
        <f>IF(HR_Data[[#This Row],[Age]]&lt;=25,1,IF(HR_Data[[#This Row],[Age]]&lt;=35,2,IF(HR_Data[[#This Row],[Age]]&lt;=45,3,IF(HR_Data[[#This Row],[Age]]&lt;=55,4,5))))</f>
        <v>1</v>
      </c>
      <c r="AG478" s="1" t="str">
        <f>IF(HR_Data[[#This Row],[MonthlyIncome]]&lt;3000,"&lt;3K",IF(HR_Data[[#This Row],[MonthlyIncome]]&lt;6000,"3K-6K",IF(HR_Data[[#This Row],[MonthlyIncome]]&lt;10000,"6K-10K","10K+")))</f>
        <v>&lt;3K</v>
      </c>
      <c r="AH478" s="1">
        <f>IF(HR_Data[[#This Row],[MonthlyIncome]]&lt;3000,1,IF(HR_Data[[#This Row],[MonthlyIncome]]&lt;6000,2,IF(HR_Data[[#This Row],[MonthlyIncome]]&lt;10000,3,4)))</f>
        <v>1</v>
      </c>
      <c r="AI478" s="1" t="str">
        <f>IF(HR_Data[[#This Row],[YearsAtCompany]]&lt;=2,"0-2 Yrs",IF(HR_Data[[#This Row],[YearsAtCompany]]&lt;=5,"3-5 Yrs",IF(HR_Data[[#This Row],[YearsAtCompany]]&lt;=10,"6-10 Yrs","10+ Yrs")))</f>
        <v>0-2 Yrs</v>
      </c>
      <c r="AJ478" s="1">
        <f>IF(HR_Data[[#This Row],[YearsAtCompany]]&lt;=2,1,IF(HR_Data[[#This Row],[YearsAtCompany]]&lt;=5,2,IF(HR_Data[[#This Row],[YearsAtCompany]]&lt;=10,3,4)))</f>
        <v>1</v>
      </c>
      <c r="AK478" s="1" t="str">
        <f>CHOOSE(HR_Data[[#This Row],[Education]],"Below College","College","Bachelor","Master","Doctor")</f>
        <v>College</v>
      </c>
      <c r="AL478" s="1" t="str">
        <f>CHOOSE(HR_Data[[#This Row],[JobSatisfaction]],"Low","Medium","High","Very High")</f>
        <v>Medium</v>
      </c>
      <c r="AM478" s="1" t="str">
        <f>CHOOSE(HR_Data[[#This Row],[EnvironmentSatisfaction]],"Low","Medium","High","Very High")</f>
        <v>Very High</v>
      </c>
      <c r="AN478" s="1" t="str">
        <f>CHOOSE(HR_Data[[#This Row],[WorkLifeBalance]],"Bad","Good","Better","Best")</f>
        <v>Better</v>
      </c>
      <c r="AO478" s="1" t="str">
        <f>IF(HR_Data[[#This Row],[PercentSalaryHike]]&lt;=13,"11-13%",IF(HR_Data[[#This Row],[PercentSalaryHike]]&lt;=16,"14-16%",IF(HR_Data[[#This Row],[PercentSalaryHike]]&lt;=19,"17-19%","20-25%")))</f>
        <v>20-25%</v>
      </c>
      <c r="AP478" s="1">
        <f>IF(HR_Data[[#This Row],[PercentSalaryHike]]&lt;=13,1,IF(HR_Data[[#This Row],[PercentSalaryHike]]&lt;=16,2,IF(HR_Data[[#This Row],[PercentSalaryHike]]&lt;=19,3,4)))</f>
        <v>4</v>
      </c>
      <c r="AQ478" s="1" t="str">
        <f>IF(HR_Data[[#This Row],[DistanceFromHome]]&lt;=5,"1 to 5",IF(HR_Data[[#This Row],[DistanceFromHome]]&lt;=10,"6 to 10",IF(HR_Data[[#This Row],[DistanceFromHome]]&lt;=20,"11 to 20","21 to 29")))</f>
        <v>11 to 20</v>
      </c>
      <c r="AR478" s="1">
        <f>IF(HR_Data[[#This Row],[DistanceFromHome]]&lt;=5,1,IF(HR_Data[[#This Row],[DistanceFromHome]]&lt;=10,2,IF(HR_Data[[#This Row],[DistanceFromHome]]&lt;=20,3,4)))</f>
        <v>3</v>
      </c>
      <c r="AS478" s="1" t="str">
        <f>IF(HR_Data[[#This Row],[TotalWorkingYears]]&lt;=5,"0-5 Yrs",IF(HR_Data[[#This Row],[TotalWorkingYears]]&lt;=10,"6-10 Yrs",IF(HR_Data[[#This Row],[TotalWorkingYears]]&lt;=20,"11-20 Yrs","20+ Yrs")))</f>
        <v>0-5 Yrs</v>
      </c>
      <c r="AT478" s="1">
        <f>IF(HR_Data[[#This Row],[TotalWorkingYears]]&lt;=5,1,IF(HR_Data[[#This Row],[TotalWorkingYears]]&lt;=10,2,IF(HR_Data[[#This Row],[TotalWorkingYears]]&lt;=20,3,4)))</f>
        <v>1</v>
      </c>
    </row>
    <row r="479" spans="1:46" x14ac:dyDescent="0.25">
      <c r="A479">
        <v>50</v>
      </c>
      <c r="B479" t="s">
        <v>36</v>
      </c>
      <c r="C479" t="s">
        <v>37</v>
      </c>
      <c r="D479" t="s">
        <v>54</v>
      </c>
      <c r="E479">
        <v>3</v>
      </c>
      <c r="F479">
        <v>3</v>
      </c>
      <c r="G479" t="s">
        <v>44</v>
      </c>
      <c r="H479">
        <v>644</v>
      </c>
      <c r="I479">
        <v>1</v>
      </c>
      <c r="J479" t="s">
        <v>39</v>
      </c>
      <c r="K479">
        <v>3</v>
      </c>
      <c r="L479">
        <v>5</v>
      </c>
      <c r="M479" t="s">
        <v>49</v>
      </c>
      <c r="N479">
        <v>2</v>
      </c>
      <c r="O479" t="s">
        <v>41</v>
      </c>
      <c r="P479">
        <v>18200</v>
      </c>
      <c r="Q479">
        <v>1</v>
      </c>
      <c r="R479" t="s">
        <v>36</v>
      </c>
      <c r="S479">
        <v>11</v>
      </c>
      <c r="T479">
        <v>3</v>
      </c>
      <c r="U479">
        <v>3</v>
      </c>
      <c r="V479">
        <v>1</v>
      </c>
      <c r="W479">
        <v>32</v>
      </c>
      <c r="X479">
        <v>2</v>
      </c>
      <c r="Y479">
        <v>3</v>
      </c>
      <c r="Z479">
        <v>32</v>
      </c>
      <c r="AA479">
        <v>5</v>
      </c>
      <c r="AB479">
        <v>10</v>
      </c>
      <c r="AC479">
        <v>7</v>
      </c>
      <c r="AD479">
        <f>IF(HR_Data[[#This Row],[Attrition]]="Yes",1,0)</f>
        <v>0</v>
      </c>
      <c r="AE479" t="str">
        <f>IF(HR_Data[[#This Row],[Age]]&lt;=25,"18-25",IF(HR_Data[[#This Row],[Age]]&lt;=35,"26-35",IF(HR_Data[[#This Row],[Age]]&lt;=45,"36-45",IF(HR_Data[[#This Row],[Age]]&lt;=55,"46-55","55+"))))</f>
        <v>46-55</v>
      </c>
      <c r="AF479">
        <f>IF(HR_Data[[#This Row],[Age]]&lt;=25,1,IF(HR_Data[[#This Row],[Age]]&lt;=35,2,IF(HR_Data[[#This Row],[Age]]&lt;=45,3,IF(HR_Data[[#This Row],[Age]]&lt;=55,4,5))))</f>
        <v>4</v>
      </c>
      <c r="AG479" s="1" t="str">
        <f>IF(HR_Data[[#This Row],[MonthlyIncome]]&lt;3000,"&lt;3K",IF(HR_Data[[#This Row],[MonthlyIncome]]&lt;6000,"3K-6K",IF(HR_Data[[#This Row],[MonthlyIncome]]&lt;10000,"6K-10K","10K+")))</f>
        <v>10K+</v>
      </c>
      <c r="AH479" s="1">
        <f>IF(HR_Data[[#This Row],[MonthlyIncome]]&lt;3000,1,IF(HR_Data[[#This Row],[MonthlyIncome]]&lt;6000,2,IF(HR_Data[[#This Row],[MonthlyIncome]]&lt;10000,3,4)))</f>
        <v>4</v>
      </c>
      <c r="AI479" s="1" t="str">
        <f>IF(HR_Data[[#This Row],[YearsAtCompany]]&lt;=2,"0-2 Yrs",IF(HR_Data[[#This Row],[YearsAtCompany]]&lt;=5,"3-5 Yrs",IF(HR_Data[[#This Row],[YearsAtCompany]]&lt;=10,"6-10 Yrs","10+ Yrs")))</f>
        <v>10+ Yrs</v>
      </c>
      <c r="AJ479" s="1">
        <f>IF(HR_Data[[#This Row],[YearsAtCompany]]&lt;=2,1,IF(HR_Data[[#This Row],[YearsAtCompany]]&lt;=5,2,IF(HR_Data[[#This Row],[YearsAtCompany]]&lt;=10,3,4)))</f>
        <v>4</v>
      </c>
      <c r="AK479" s="1" t="str">
        <f>CHOOSE(HR_Data[[#This Row],[Education]],"Below College","College","Bachelor","Master","Doctor")</f>
        <v>Bachelor</v>
      </c>
      <c r="AL479" s="1" t="str">
        <f>CHOOSE(HR_Data[[#This Row],[JobSatisfaction]],"Low","Medium","High","Very High")</f>
        <v>Medium</v>
      </c>
      <c r="AM479" s="1" t="str">
        <f>CHOOSE(HR_Data[[#This Row],[EnvironmentSatisfaction]],"Low","Medium","High","Very High")</f>
        <v>Low</v>
      </c>
      <c r="AN479" s="1" t="str">
        <f>CHOOSE(HR_Data[[#This Row],[WorkLifeBalance]],"Bad","Good","Better","Best")</f>
        <v>Better</v>
      </c>
      <c r="AO479" s="1" t="str">
        <f>IF(HR_Data[[#This Row],[PercentSalaryHike]]&lt;=13,"11-13%",IF(HR_Data[[#This Row],[PercentSalaryHike]]&lt;=16,"14-16%",IF(HR_Data[[#This Row],[PercentSalaryHike]]&lt;=19,"17-19%","20-25%")))</f>
        <v>11-13%</v>
      </c>
      <c r="AP479" s="1">
        <f>IF(HR_Data[[#This Row],[PercentSalaryHike]]&lt;=13,1,IF(HR_Data[[#This Row],[PercentSalaryHike]]&lt;=16,2,IF(HR_Data[[#This Row],[PercentSalaryHike]]&lt;=19,3,4)))</f>
        <v>1</v>
      </c>
      <c r="AQ479" s="1" t="str">
        <f>IF(HR_Data[[#This Row],[DistanceFromHome]]&lt;=5,"1 to 5",IF(HR_Data[[#This Row],[DistanceFromHome]]&lt;=10,"6 to 10",IF(HR_Data[[#This Row],[DistanceFromHome]]&lt;=20,"11 to 20","21 to 29")))</f>
        <v>1 to 5</v>
      </c>
      <c r="AR479" s="1">
        <f>IF(HR_Data[[#This Row],[DistanceFromHome]]&lt;=5,1,IF(HR_Data[[#This Row],[DistanceFromHome]]&lt;=10,2,IF(HR_Data[[#This Row],[DistanceFromHome]]&lt;=20,3,4)))</f>
        <v>1</v>
      </c>
      <c r="AS479" s="1" t="str">
        <f>IF(HR_Data[[#This Row],[TotalWorkingYears]]&lt;=5,"0-5 Yrs",IF(HR_Data[[#This Row],[TotalWorkingYears]]&lt;=10,"6-10 Yrs",IF(HR_Data[[#This Row],[TotalWorkingYears]]&lt;=20,"11-20 Yrs","20+ Yrs")))</f>
        <v>20+ Yrs</v>
      </c>
      <c r="AT479" s="1">
        <f>IF(HR_Data[[#This Row],[TotalWorkingYears]]&lt;=5,1,IF(HR_Data[[#This Row],[TotalWorkingYears]]&lt;=10,2,IF(HR_Data[[#This Row],[TotalWorkingYears]]&lt;=20,3,4)))</f>
        <v>4</v>
      </c>
    </row>
    <row r="480" spans="1:46" x14ac:dyDescent="0.25">
      <c r="A480">
        <v>25</v>
      </c>
      <c r="B480" t="s">
        <v>36</v>
      </c>
      <c r="C480" t="s">
        <v>30</v>
      </c>
      <c r="D480" t="s">
        <v>31</v>
      </c>
      <c r="E480">
        <v>13</v>
      </c>
      <c r="F480">
        <v>1</v>
      </c>
      <c r="G480" t="s">
        <v>44</v>
      </c>
      <c r="H480">
        <v>645</v>
      </c>
      <c r="I480">
        <v>2</v>
      </c>
      <c r="J480" t="s">
        <v>39</v>
      </c>
      <c r="K480">
        <v>3</v>
      </c>
      <c r="L480">
        <v>1</v>
      </c>
      <c r="M480" t="s">
        <v>50</v>
      </c>
      <c r="N480">
        <v>3</v>
      </c>
      <c r="O480" t="s">
        <v>41</v>
      </c>
      <c r="P480">
        <v>2096</v>
      </c>
      <c r="Q480">
        <v>1</v>
      </c>
      <c r="R480" t="s">
        <v>36</v>
      </c>
      <c r="S480">
        <v>11</v>
      </c>
      <c r="T480">
        <v>3</v>
      </c>
      <c r="U480">
        <v>3</v>
      </c>
      <c r="V480">
        <v>0</v>
      </c>
      <c r="W480">
        <v>7</v>
      </c>
      <c r="X480">
        <v>1</v>
      </c>
      <c r="Y480">
        <v>3</v>
      </c>
      <c r="Z480">
        <v>7</v>
      </c>
      <c r="AA480">
        <v>4</v>
      </c>
      <c r="AB480">
        <v>0</v>
      </c>
      <c r="AC480">
        <v>6</v>
      </c>
      <c r="AD480">
        <f>IF(HR_Data[[#This Row],[Attrition]]="Yes",1,0)</f>
        <v>0</v>
      </c>
      <c r="AE480" t="str">
        <f>IF(HR_Data[[#This Row],[Age]]&lt;=25,"18-25",IF(HR_Data[[#This Row],[Age]]&lt;=35,"26-35",IF(HR_Data[[#This Row],[Age]]&lt;=45,"36-45",IF(HR_Data[[#This Row],[Age]]&lt;=55,"46-55","55+"))))</f>
        <v>18-25</v>
      </c>
      <c r="AF480">
        <f>IF(HR_Data[[#This Row],[Age]]&lt;=25,1,IF(HR_Data[[#This Row],[Age]]&lt;=35,2,IF(HR_Data[[#This Row],[Age]]&lt;=45,3,IF(HR_Data[[#This Row],[Age]]&lt;=55,4,5))))</f>
        <v>1</v>
      </c>
      <c r="AG480" s="1" t="str">
        <f>IF(HR_Data[[#This Row],[MonthlyIncome]]&lt;3000,"&lt;3K",IF(HR_Data[[#This Row],[MonthlyIncome]]&lt;6000,"3K-6K",IF(HR_Data[[#This Row],[MonthlyIncome]]&lt;10000,"6K-10K","10K+")))</f>
        <v>&lt;3K</v>
      </c>
      <c r="AH480" s="1">
        <f>IF(HR_Data[[#This Row],[MonthlyIncome]]&lt;3000,1,IF(HR_Data[[#This Row],[MonthlyIncome]]&lt;6000,2,IF(HR_Data[[#This Row],[MonthlyIncome]]&lt;10000,3,4)))</f>
        <v>1</v>
      </c>
      <c r="AI480" s="1" t="str">
        <f>IF(HR_Data[[#This Row],[YearsAtCompany]]&lt;=2,"0-2 Yrs",IF(HR_Data[[#This Row],[YearsAtCompany]]&lt;=5,"3-5 Yrs",IF(HR_Data[[#This Row],[YearsAtCompany]]&lt;=10,"6-10 Yrs","10+ Yrs")))</f>
        <v>6-10 Yrs</v>
      </c>
      <c r="AJ480" s="1">
        <f>IF(HR_Data[[#This Row],[YearsAtCompany]]&lt;=2,1,IF(HR_Data[[#This Row],[YearsAtCompany]]&lt;=5,2,IF(HR_Data[[#This Row],[YearsAtCompany]]&lt;=10,3,4)))</f>
        <v>3</v>
      </c>
      <c r="AK480" s="1" t="str">
        <f>CHOOSE(HR_Data[[#This Row],[Education]],"Below College","College","Bachelor","Master","Doctor")</f>
        <v>Below College</v>
      </c>
      <c r="AL480" s="1" t="str">
        <f>CHOOSE(HR_Data[[#This Row],[JobSatisfaction]],"Low","Medium","High","Very High")</f>
        <v>High</v>
      </c>
      <c r="AM480" s="1" t="str">
        <f>CHOOSE(HR_Data[[#This Row],[EnvironmentSatisfaction]],"Low","Medium","High","Very High")</f>
        <v>Medium</v>
      </c>
      <c r="AN480" s="1" t="str">
        <f>CHOOSE(HR_Data[[#This Row],[WorkLifeBalance]],"Bad","Good","Better","Best")</f>
        <v>Better</v>
      </c>
      <c r="AO480" s="1" t="str">
        <f>IF(HR_Data[[#This Row],[PercentSalaryHike]]&lt;=13,"11-13%",IF(HR_Data[[#This Row],[PercentSalaryHike]]&lt;=16,"14-16%",IF(HR_Data[[#This Row],[PercentSalaryHike]]&lt;=19,"17-19%","20-25%")))</f>
        <v>11-13%</v>
      </c>
      <c r="AP480" s="1">
        <f>IF(HR_Data[[#This Row],[PercentSalaryHike]]&lt;=13,1,IF(HR_Data[[#This Row],[PercentSalaryHike]]&lt;=16,2,IF(HR_Data[[#This Row],[PercentSalaryHike]]&lt;=19,3,4)))</f>
        <v>1</v>
      </c>
      <c r="AQ480" s="1" t="str">
        <f>IF(HR_Data[[#This Row],[DistanceFromHome]]&lt;=5,"1 to 5",IF(HR_Data[[#This Row],[DistanceFromHome]]&lt;=10,"6 to 10",IF(HR_Data[[#This Row],[DistanceFromHome]]&lt;=20,"11 to 20","21 to 29")))</f>
        <v>11 to 20</v>
      </c>
      <c r="AR480" s="1">
        <f>IF(HR_Data[[#This Row],[DistanceFromHome]]&lt;=5,1,IF(HR_Data[[#This Row],[DistanceFromHome]]&lt;=10,2,IF(HR_Data[[#This Row],[DistanceFromHome]]&lt;=20,3,4)))</f>
        <v>3</v>
      </c>
      <c r="AS480" s="1" t="str">
        <f>IF(HR_Data[[#This Row],[TotalWorkingYears]]&lt;=5,"0-5 Yrs",IF(HR_Data[[#This Row],[TotalWorkingYears]]&lt;=10,"6-10 Yrs",IF(HR_Data[[#This Row],[TotalWorkingYears]]&lt;=20,"11-20 Yrs","20+ Yrs")))</f>
        <v>6-10 Yrs</v>
      </c>
      <c r="AT480" s="1">
        <f>IF(HR_Data[[#This Row],[TotalWorkingYears]]&lt;=5,1,IF(HR_Data[[#This Row],[TotalWorkingYears]]&lt;=10,2,IF(HR_Data[[#This Row],[TotalWorkingYears]]&lt;=20,3,4)))</f>
        <v>2</v>
      </c>
    </row>
    <row r="481" spans="1:46" x14ac:dyDescent="0.25">
      <c r="A481">
        <v>24</v>
      </c>
      <c r="B481" t="s">
        <v>29</v>
      </c>
      <c r="C481" t="s">
        <v>37</v>
      </c>
      <c r="D481" t="s">
        <v>38</v>
      </c>
      <c r="E481">
        <v>7</v>
      </c>
      <c r="F481">
        <v>3</v>
      </c>
      <c r="G481" t="s">
        <v>32</v>
      </c>
      <c r="H481">
        <v>647</v>
      </c>
      <c r="I481">
        <v>1</v>
      </c>
      <c r="J481" t="s">
        <v>33</v>
      </c>
      <c r="K481">
        <v>3</v>
      </c>
      <c r="L481">
        <v>1</v>
      </c>
      <c r="M481" t="s">
        <v>43</v>
      </c>
      <c r="N481">
        <v>3</v>
      </c>
      <c r="O481" t="s">
        <v>41</v>
      </c>
      <c r="P481">
        <v>2886</v>
      </c>
      <c r="Q481">
        <v>1</v>
      </c>
      <c r="R481" t="s">
        <v>29</v>
      </c>
      <c r="S481">
        <v>16</v>
      </c>
      <c r="T481">
        <v>3</v>
      </c>
      <c r="U481">
        <v>4</v>
      </c>
      <c r="V481">
        <v>1</v>
      </c>
      <c r="W481">
        <v>6</v>
      </c>
      <c r="X481">
        <v>4</v>
      </c>
      <c r="Y481">
        <v>3</v>
      </c>
      <c r="Z481">
        <v>6</v>
      </c>
      <c r="AA481">
        <v>3</v>
      </c>
      <c r="AB481">
        <v>1</v>
      </c>
      <c r="AC481">
        <v>2</v>
      </c>
      <c r="AD481">
        <f>IF(HR_Data[[#This Row],[Attrition]]="Yes",1,0)</f>
        <v>1</v>
      </c>
      <c r="AE481" t="str">
        <f>IF(HR_Data[[#This Row],[Age]]&lt;=25,"18-25",IF(HR_Data[[#This Row],[Age]]&lt;=35,"26-35",IF(HR_Data[[#This Row],[Age]]&lt;=45,"36-45",IF(HR_Data[[#This Row],[Age]]&lt;=55,"46-55","55+"))))</f>
        <v>18-25</v>
      </c>
      <c r="AF481">
        <f>IF(HR_Data[[#This Row],[Age]]&lt;=25,1,IF(HR_Data[[#This Row],[Age]]&lt;=35,2,IF(HR_Data[[#This Row],[Age]]&lt;=45,3,IF(HR_Data[[#This Row],[Age]]&lt;=55,4,5))))</f>
        <v>1</v>
      </c>
      <c r="AG481" s="1" t="str">
        <f>IF(HR_Data[[#This Row],[MonthlyIncome]]&lt;3000,"&lt;3K",IF(HR_Data[[#This Row],[MonthlyIncome]]&lt;6000,"3K-6K",IF(HR_Data[[#This Row],[MonthlyIncome]]&lt;10000,"6K-10K","10K+")))</f>
        <v>&lt;3K</v>
      </c>
      <c r="AH481" s="1">
        <f>IF(HR_Data[[#This Row],[MonthlyIncome]]&lt;3000,1,IF(HR_Data[[#This Row],[MonthlyIncome]]&lt;6000,2,IF(HR_Data[[#This Row],[MonthlyIncome]]&lt;10000,3,4)))</f>
        <v>1</v>
      </c>
      <c r="AI481" s="1" t="str">
        <f>IF(HR_Data[[#This Row],[YearsAtCompany]]&lt;=2,"0-2 Yrs",IF(HR_Data[[#This Row],[YearsAtCompany]]&lt;=5,"3-5 Yrs",IF(HR_Data[[#This Row],[YearsAtCompany]]&lt;=10,"6-10 Yrs","10+ Yrs")))</f>
        <v>6-10 Yrs</v>
      </c>
      <c r="AJ481" s="1">
        <f>IF(HR_Data[[#This Row],[YearsAtCompany]]&lt;=2,1,IF(HR_Data[[#This Row],[YearsAtCompany]]&lt;=5,2,IF(HR_Data[[#This Row],[YearsAtCompany]]&lt;=10,3,4)))</f>
        <v>3</v>
      </c>
      <c r="AK481" s="1" t="str">
        <f>CHOOSE(HR_Data[[#This Row],[Education]],"Below College","College","Bachelor","Master","Doctor")</f>
        <v>Bachelor</v>
      </c>
      <c r="AL481" s="1" t="str">
        <f>CHOOSE(HR_Data[[#This Row],[JobSatisfaction]],"Low","Medium","High","Very High")</f>
        <v>High</v>
      </c>
      <c r="AM481" s="1" t="str">
        <f>CHOOSE(HR_Data[[#This Row],[EnvironmentSatisfaction]],"Low","Medium","High","Very High")</f>
        <v>Low</v>
      </c>
      <c r="AN481" s="1" t="str">
        <f>CHOOSE(HR_Data[[#This Row],[WorkLifeBalance]],"Bad","Good","Better","Best")</f>
        <v>Better</v>
      </c>
      <c r="AO481" s="1" t="str">
        <f>IF(HR_Data[[#This Row],[PercentSalaryHike]]&lt;=13,"11-13%",IF(HR_Data[[#This Row],[PercentSalaryHike]]&lt;=16,"14-16%",IF(HR_Data[[#This Row],[PercentSalaryHike]]&lt;=19,"17-19%","20-25%")))</f>
        <v>14-16%</v>
      </c>
      <c r="AP481" s="1">
        <f>IF(HR_Data[[#This Row],[PercentSalaryHike]]&lt;=13,1,IF(HR_Data[[#This Row],[PercentSalaryHike]]&lt;=16,2,IF(HR_Data[[#This Row],[PercentSalaryHike]]&lt;=19,3,4)))</f>
        <v>2</v>
      </c>
      <c r="AQ481" s="1" t="str">
        <f>IF(HR_Data[[#This Row],[DistanceFromHome]]&lt;=5,"1 to 5",IF(HR_Data[[#This Row],[DistanceFromHome]]&lt;=10,"6 to 10",IF(HR_Data[[#This Row],[DistanceFromHome]]&lt;=20,"11 to 20","21 to 29")))</f>
        <v>6 to 10</v>
      </c>
      <c r="AR481" s="1">
        <f>IF(HR_Data[[#This Row],[DistanceFromHome]]&lt;=5,1,IF(HR_Data[[#This Row],[DistanceFromHome]]&lt;=10,2,IF(HR_Data[[#This Row],[DistanceFromHome]]&lt;=20,3,4)))</f>
        <v>2</v>
      </c>
      <c r="AS481" s="1" t="str">
        <f>IF(HR_Data[[#This Row],[TotalWorkingYears]]&lt;=5,"0-5 Yrs",IF(HR_Data[[#This Row],[TotalWorkingYears]]&lt;=10,"6-10 Yrs",IF(HR_Data[[#This Row],[TotalWorkingYears]]&lt;=20,"11-20 Yrs","20+ Yrs")))</f>
        <v>6-10 Yrs</v>
      </c>
      <c r="AT481" s="1">
        <f>IF(HR_Data[[#This Row],[TotalWorkingYears]]&lt;=5,1,IF(HR_Data[[#This Row],[TotalWorkingYears]]&lt;=10,2,IF(HR_Data[[#This Row],[TotalWorkingYears]]&lt;=20,3,4)))</f>
        <v>2</v>
      </c>
    </row>
    <row r="482" spans="1:46" x14ac:dyDescent="0.25">
      <c r="A482">
        <v>30</v>
      </c>
      <c r="B482" t="s">
        <v>29</v>
      </c>
      <c r="C482" t="s">
        <v>37</v>
      </c>
      <c r="D482" t="s">
        <v>31</v>
      </c>
      <c r="E482">
        <v>12</v>
      </c>
      <c r="F482">
        <v>4</v>
      </c>
      <c r="G482" t="s">
        <v>32</v>
      </c>
      <c r="H482">
        <v>648</v>
      </c>
      <c r="I482">
        <v>2</v>
      </c>
      <c r="J482" t="s">
        <v>39</v>
      </c>
      <c r="K482">
        <v>2</v>
      </c>
      <c r="L482">
        <v>1</v>
      </c>
      <c r="M482" t="s">
        <v>50</v>
      </c>
      <c r="N482">
        <v>1</v>
      </c>
      <c r="O482" t="s">
        <v>41</v>
      </c>
      <c r="P482">
        <v>2033</v>
      </c>
      <c r="Q482">
        <v>1</v>
      </c>
      <c r="R482" t="s">
        <v>36</v>
      </c>
      <c r="S482">
        <v>18</v>
      </c>
      <c r="T482">
        <v>3</v>
      </c>
      <c r="U482">
        <v>3</v>
      </c>
      <c r="V482">
        <v>1</v>
      </c>
      <c r="W482">
        <v>1</v>
      </c>
      <c r="X482">
        <v>2</v>
      </c>
      <c r="Y482">
        <v>4</v>
      </c>
      <c r="Z482">
        <v>1</v>
      </c>
      <c r="AA482">
        <v>0</v>
      </c>
      <c r="AB482">
        <v>0</v>
      </c>
      <c r="AC482">
        <v>0</v>
      </c>
      <c r="AD482">
        <f>IF(HR_Data[[#This Row],[Attrition]]="Yes",1,0)</f>
        <v>1</v>
      </c>
      <c r="AE482" t="str">
        <f>IF(HR_Data[[#This Row],[Age]]&lt;=25,"18-25",IF(HR_Data[[#This Row],[Age]]&lt;=35,"26-35",IF(HR_Data[[#This Row],[Age]]&lt;=45,"36-45",IF(HR_Data[[#This Row],[Age]]&lt;=55,"46-55","55+"))))</f>
        <v>26-35</v>
      </c>
      <c r="AF482">
        <f>IF(HR_Data[[#This Row],[Age]]&lt;=25,1,IF(HR_Data[[#This Row],[Age]]&lt;=35,2,IF(HR_Data[[#This Row],[Age]]&lt;=45,3,IF(HR_Data[[#This Row],[Age]]&lt;=55,4,5))))</f>
        <v>2</v>
      </c>
      <c r="AG482" s="1" t="str">
        <f>IF(HR_Data[[#This Row],[MonthlyIncome]]&lt;3000,"&lt;3K",IF(HR_Data[[#This Row],[MonthlyIncome]]&lt;6000,"3K-6K",IF(HR_Data[[#This Row],[MonthlyIncome]]&lt;10000,"6K-10K","10K+")))</f>
        <v>&lt;3K</v>
      </c>
      <c r="AH482" s="1">
        <f>IF(HR_Data[[#This Row],[MonthlyIncome]]&lt;3000,1,IF(HR_Data[[#This Row],[MonthlyIncome]]&lt;6000,2,IF(HR_Data[[#This Row],[MonthlyIncome]]&lt;10000,3,4)))</f>
        <v>1</v>
      </c>
      <c r="AI482" s="1" t="str">
        <f>IF(HR_Data[[#This Row],[YearsAtCompany]]&lt;=2,"0-2 Yrs",IF(HR_Data[[#This Row],[YearsAtCompany]]&lt;=5,"3-5 Yrs",IF(HR_Data[[#This Row],[YearsAtCompany]]&lt;=10,"6-10 Yrs","10+ Yrs")))</f>
        <v>0-2 Yrs</v>
      </c>
      <c r="AJ482" s="1">
        <f>IF(HR_Data[[#This Row],[YearsAtCompany]]&lt;=2,1,IF(HR_Data[[#This Row],[YearsAtCompany]]&lt;=5,2,IF(HR_Data[[#This Row],[YearsAtCompany]]&lt;=10,3,4)))</f>
        <v>1</v>
      </c>
      <c r="AK482" s="1" t="str">
        <f>CHOOSE(HR_Data[[#This Row],[Education]],"Below College","College","Bachelor","Master","Doctor")</f>
        <v>Master</v>
      </c>
      <c r="AL482" s="1" t="str">
        <f>CHOOSE(HR_Data[[#This Row],[JobSatisfaction]],"Low","Medium","High","Very High")</f>
        <v>Low</v>
      </c>
      <c r="AM482" s="1" t="str">
        <f>CHOOSE(HR_Data[[#This Row],[EnvironmentSatisfaction]],"Low","Medium","High","Very High")</f>
        <v>Medium</v>
      </c>
      <c r="AN482" s="1" t="str">
        <f>CHOOSE(HR_Data[[#This Row],[WorkLifeBalance]],"Bad","Good","Better","Best")</f>
        <v>Best</v>
      </c>
      <c r="AO482" s="1" t="str">
        <f>IF(HR_Data[[#This Row],[PercentSalaryHike]]&lt;=13,"11-13%",IF(HR_Data[[#This Row],[PercentSalaryHike]]&lt;=16,"14-16%",IF(HR_Data[[#This Row],[PercentSalaryHike]]&lt;=19,"17-19%","20-25%")))</f>
        <v>17-19%</v>
      </c>
      <c r="AP482" s="1">
        <f>IF(HR_Data[[#This Row],[PercentSalaryHike]]&lt;=13,1,IF(HR_Data[[#This Row],[PercentSalaryHike]]&lt;=16,2,IF(HR_Data[[#This Row],[PercentSalaryHike]]&lt;=19,3,4)))</f>
        <v>3</v>
      </c>
      <c r="AQ482" s="1" t="str">
        <f>IF(HR_Data[[#This Row],[DistanceFromHome]]&lt;=5,"1 to 5",IF(HR_Data[[#This Row],[DistanceFromHome]]&lt;=10,"6 to 10",IF(HR_Data[[#This Row],[DistanceFromHome]]&lt;=20,"11 to 20","21 to 29")))</f>
        <v>11 to 20</v>
      </c>
      <c r="AR482" s="1">
        <f>IF(HR_Data[[#This Row],[DistanceFromHome]]&lt;=5,1,IF(HR_Data[[#This Row],[DistanceFromHome]]&lt;=10,2,IF(HR_Data[[#This Row],[DistanceFromHome]]&lt;=20,3,4)))</f>
        <v>3</v>
      </c>
      <c r="AS482" s="1" t="str">
        <f>IF(HR_Data[[#This Row],[TotalWorkingYears]]&lt;=5,"0-5 Yrs",IF(HR_Data[[#This Row],[TotalWorkingYears]]&lt;=10,"6-10 Yrs",IF(HR_Data[[#This Row],[TotalWorkingYears]]&lt;=20,"11-20 Yrs","20+ Yrs")))</f>
        <v>0-5 Yrs</v>
      </c>
      <c r="AT482" s="1">
        <f>IF(HR_Data[[#This Row],[TotalWorkingYears]]&lt;=5,1,IF(HR_Data[[#This Row],[TotalWorkingYears]]&lt;=10,2,IF(HR_Data[[#This Row],[TotalWorkingYears]]&lt;=20,3,4)))</f>
        <v>1</v>
      </c>
    </row>
    <row r="483" spans="1:46" x14ac:dyDescent="0.25">
      <c r="A483">
        <v>34</v>
      </c>
      <c r="B483" t="s">
        <v>36</v>
      </c>
      <c r="C483" t="s">
        <v>30</v>
      </c>
      <c r="D483" t="s">
        <v>38</v>
      </c>
      <c r="E483">
        <v>1</v>
      </c>
      <c r="F483">
        <v>2</v>
      </c>
      <c r="G483" t="s">
        <v>32</v>
      </c>
      <c r="H483">
        <v>649</v>
      </c>
      <c r="I483">
        <v>2</v>
      </c>
      <c r="J483" t="s">
        <v>39</v>
      </c>
      <c r="K483">
        <v>2</v>
      </c>
      <c r="L483">
        <v>1</v>
      </c>
      <c r="M483" t="s">
        <v>40</v>
      </c>
      <c r="N483">
        <v>4</v>
      </c>
      <c r="O483" t="s">
        <v>41</v>
      </c>
      <c r="P483">
        <v>3622</v>
      </c>
      <c r="Q483">
        <v>1</v>
      </c>
      <c r="R483" t="s">
        <v>29</v>
      </c>
      <c r="S483">
        <v>13</v>
      </c>
      <c r="T483">
        <v>3</v>
      </c>
      <c r="U483">
        <v>4</v>
      </c>
      <c r="V483">
        <v>1</v>
      </c>
      <c r="W483">
        <v>6</v>
      </c>
      <c r="X483">
        <v>3</v>
      </c>
      <c r="Y483">
        <v>3</v>
      </c>
      <c r="Z483">
        <v>6</v>
      </c>
      <c r="AA483">
        <v>5</v>
      </c>
      <c r="AB483">
        <v>1</v>
      </c>
      <c r="AC483">
        <v>3</v>
      </c>
      <c r="AD483">
        <f>IF(HR_Data[[#This Row],[Attrition]]="Yes",1,0)</f>
        <v>0</v>
      </c>
      <c r="AE483" t="str">
        <f>IF(HR_Data[[#This Row],[Age]]&lt;=25,"18-25",IF(HR_Data[[#This Row],[Age]]&lt;=35,"26-35",IF(HR_Data[[#This Row],[Age]]&lt;=45,"36-45",IF(HR_Data[[#This Row],[Age]]&lt;=55,"46-55","55+"))))</f>
        <v>26-35</v>
      </c>
      <c r="AF483">
        <f>IF(HR_Data[[#This Row],[Age]]&lt;=25,1,IF(HR_Data[[#This Row],[Age]]&lt;=35,2,IF(HR_Data[[#This Row],[Age]]&lt;=45,3,IF(HR_Data[[#This Row],[Age]]&lt;=55,4,5))))</f>
        <v>2</v>
      </c>
      <c r="AG483" s="1" t="str">
        <f>IF(HR_Data[[#This Row],[MonthlyIncome]]&lt;3000,"&lt;3K",IF(HR_Data[[#This Row],[MonthlyIncome]]&lt;6000,"3K-6K",IF(HR_Data[[#This Row],[MonthlyIncome]]&lt;10000,"6K-10K","10K+")))</f>
        <v>3K-6K</v>
      </c>
      <c r="AH483" s="1">
        <f>IF(HR_Data[[#This Row],[MonthlyIncome]]&lt;3000,1,IF(HR_Data[[#This Row],[MonthlyIncome]]&lt;6000,2,IF(HR_Data[[#This Row],[MonthlyIncome]]&lt;10000,3,4)))</f>
        <v>2</v>
      </c>
      <c r="AI483" s="1" t="str">
        <f>IF(HR_Data[[#This Row],[YearsAtCompany]]&lt;=2,"0-2 Yrs",IF(HR_Data[[#This Row],[YearsAtCompany]]&lt;=5,"3-5 Yrs",IF(HR_Data[[#This Row],[YearsAtCompany]]&lt;=10,"6-10 Yrs","10+ Yrs")))</f>
        <v>6-10 Yrs</v>
      </c>
      <c r="AJ483" s="1">
        <f>IF(HR_Data[[#This Row],[YearsAtCompany]]&lt;=2,1,IF(HR_Data[[#This Row],[YearsAtCompany]]&lt;=5,2,IF(HR_Data[[#This Row],[YearsAtCompany]]&lt;=10,3,4)))</f>
        <v>3</v>
      </c>
      <c r="AK483" s="1" t="str">
        <f>CHOOSE(HR_Data[[#This Row],[Education]],"Below College","College","Bachelor","Master","Doctor")</f>
        <v>College</v>
      </c>
      <c r="AL483" s="1" t="str">
        <f>CHOOSE(HR_Data[[#This Row],[JobSatisfaction]],"Low","Medium","High","Very High")</f>
        <v>Very High</v>
      </c>
      <c r="AM483" s="1" t="str">
        <f>CHOOSE(HR_Data[[#This Row],[EnvironmentSatisfaction]],"Low","Medium","High","Very High")</f>
        <v>Medium</v>
      </c>
      <c r="AN483" s="1" t="str">
        <f>CHOOSE(HR_Data[[#This Row],[WorkLifeBalance]],"Bad","Good","Better","Best")</f>
        <v>Better</v>
      </c>
      <c r="AO483" s="1" t="str">
        <f>IF(HR_Data[[#This Row],[PercentSalaryHike]]&lt;=13,"11-13%",IF(HR_Data[[#This Row],[PercentSalaryHike]]&lt;=16,"14-16%",IF(HR_Data[[#This Row],[PercentSalaryHike]]&lt;=19,"17-19%","20-25%")))</f>
        <v>11-13%</v>
      </c>
      <c r="AP483" s="1">
        <f>IF(HR_Data[[#This Row],[PercentSalaryHike]]&lt;=13,1,IF(HR_Data[[#This Row],[PercentSalaryHike]]&lt;=16,2,IF(HR_Data[[#This Row],[PercentSalaryHike]]&lt;=19,3,4)))</f>
        <v>1</v>
      </c>
      <c r="AQ483" s="1" t="str">
        <f>IF(HR_Data[[#This Row],[DistanceFromHome]]&lt;=5,"1 to 5",IF(HR_Data[[#This Row],[DistanceFromHome]]&lt;=10,"6 to 10",IF(HR_Data[[#This Row],[DistanceFromHome]]&lt;=20,"11 to 20","21 to 29")))</f>
        <v>1 to 5</v>
      </c>
      <c r="AR483" s="1">
        <f>IF(HR_Data[[#This Row],[DistanceFromHome]]&lt;=5,1,IF(HR_Data[[#This Row],[DistanceFromHome]]&lt;=10,2,IF(HR_Data[[#This Row],[DistanceFromHome]]&lt;=20,3,4)))</f>
        <v>1</v>
      </c>
      <c r="AS483" s="1" t="str">
        <f>IF(HR_Data[[#This Row],[TotalWorkingYears]]&lt;=5,"0-5 Yrs",IF(HR_Data[[#This Row],[TotalWorkingYears]]&lt;=10,"6-10 Yrs",IF(HR_Data[[#This Row],[TotalWorkingYears]]&lt;=20,"11-20 Yrs","20+ Yrs")))</f>
        <v>6-10 Yrs</v>
      </c>
      <c r="AT483" s="1">
        <f>IF(HR_Data[[#This Row],[TotalWorkingYears]]&lt;=5,1,IF(HR_Data[[#This Row],[TotalWorkingYears]]&lt;=10,2,IF(HR_Data[[#This Row],[TotalWorkingYears]]&lt;=20,3,4)))</f>
        <v>2</v>
      </c>
    </row>
    <row r="484" spans="1:46" x14ac:dyDescent="0.25">
      <c r="A484">
        <v>31</v>
      </c>
      <c r="B484" t="s">
        <v>29</v>
      </c>
      <c r="C484" t="s">
        <v>30</v>
      </c>
      <c r="D484" t="s">
        <v>31</v>
      </c>
      <c r="E484">
        <v>13</v>
      </c>
      <c r="F484">
        <v>4</v>
      </c>
      <c r="G484" t="s">
        <v>44</v>
      </c>
      <c r="H484">
        <v>650</v>
      </c>
      <c r="I484">
        <v>2</v>
      </c>
      <c r="J484" t="s">
        <v>39</v>
      </c>
      <c r="K484">
        <v>3</v>
      </c>
      <c r="L484">
        <v>2</v>
      </c>
      <c r="M484" t="s">
        <v>34</v>
      </c>
      <c r="N484">
        <v>1</v>
      </c>
      <c r="O484" t="s">
        <v>45</v>
      </c>
      <c r="P484">
        <v>4233</v>
      </c>
      <c r="Q484">
        <v>2</v>
      </c>
      <c r="R484" t="s">
        <v>36</v>
      </c>
      <c r="S484">
        <v>17</v>
      </c>
      <c r="T484">
        <v>3</v>
      </c>
      <c r="U484">
        <v>3</v>
      </c>
      <c r="V484">
        <v>0</v>
      </c>
      <c r="W484">
        <v>9</v>
      </c>
      <c r="X484">
        <v>2</v>
      </c>
      <c r="Y484">
        <v>1</v>
      </c>
      <c r="Z484">
        <v>3</v>
      </c>
      <c r="AA484">
        <v>1</v>
      </c>
      <c r="AB484">
        <v>1</v>
      </c>
      <c r="AC484">
        <v>2</v>
      </c>
      <c r="AD484">
        <f>IF(HR_Data[[#This Row],[Attrition]]="Yes",1,0)</f>
        <v>1</v>
      </c>
      <c r="AE484" t="str">
        <f>IF(HR_Data[[#This Row],[Age]]&lt;=25,"18-25",IF(HR_Data[[#This Row],[Age]]&lt;=35,"26-35",IF(HR_Data[[#This Row],[Age]]&lt;=45,"36-45",IF(HR_Data[[#This Row],[Age]]&lt;=55,"46-55","55+"))))</f>
        <v>26-35</v>
      </c>
      <c r="AF484">
        <f>IF(HR_Data[[#This Row],[Age]]&lt;=25,1,IF(HR_Data[[#This Row],[Age]]&lt;=35,2,IF(HR_Data[[#This Row],[Age]]&lt;=45,3,IF(HR_Data[[#This Row],[Age]]&lt;=55,4,5))))</f>
        <v>2</v>
      </c>
      <c r="AG484" s="1" t="str">
        <f>IF(HR_Data[[#This Row],[MonthlyIncome]]&lt;3000,"&lt;3K",IF(HR_Data[[#This Row],[MonthlyIncome]]&lt;6000,"3K-6K",IF(HR_Data[[#This Row],[MonthlyIncome]]&lt;10000,"6K-10K","10K+")))</f>
        <v>3K-6K</v>
      </c>
      <c r="AH484" s="1">
        <f>IF(HR_Data[[#This Row],[MonthlyIncome]]&lt;3000,1,IF(HR_Data[[#This Row],[MonthlyIncome]]&lt;6000,2,IF(HR_Data[[#This Row],[MonthlyIncome]]&lt;10000,3,4)))</f>
        <v>2</v>
      </c>
      <c r="AI484" s="1" t="str">
        <f>IF(HR_Data[[#This Row],[YearsAtCompany]]&lt;=2,"0-2 Yrs",IF(HR_Data[[#This Row],[YearsAtCompany]]&lt;=5,"3-5 Yrs",IF(HR_Data[[#This Row],[YearsAtCompany]]&lt;=10,"6-10 Yrs","10+ Yrs")))</f>
        <v>3-5 Yrs</v>
      </c>
      <c r="AJ484" s="1">
        <f>IF(HR_Data[[#This Row],[YearsAtCompany]]&lt;=2,1,IF(HR_Data[[#This Row],[YearsAtCompany]]&lt;=5,2,IF(HR_Data[[#This Row],[YearsAtCompany]]&lt;=10,3,4)))</f>
        <v>2</v>
      </c>
      <c r="AK484" s="1" t="str">
        <f>CHOOSE(HR_Data[[#This Row],[Education]],"Below College","College","Bachelor","Master","Doctor")</f>
        <v>Master</v>
      </c>
      <c r="AL484" s="1" t="str">
        <f>CHOOSE(HR_Data[[#This Row],[JobSatisfaction]],"Low","Medium","High","Very High")</f>
        <v>Low</v>
      </c>
      <c r="AM484" s="1" t="str">
        <f>CHOOSE(HR_Data[[#This Row],[EnvironmentSatisfaction]],"Low","Medium","High","Very High")</f>
        <v>Medium</v>
      </c>
      <c r="AN484" s="1" t="str">
        <f>CHOOSE(HR_Data[[#This Row],[WorkLifeBalance]],"Bad","Good","Better","Best")</f>
        <v>Bad</v>
      </c>
      <c r="AO484" s="1" t="str">
        <f>IF(HR_Data[[#This Row],[PercentSalaryHike]]&lt;=13,"11-13%",IF(HR_Data[[#This Row],[PercentSalaryHike]]&lt;=16,"14-16%",IF(HR_Data[[#This Row],[PercentSalaryHike]]&lt;=19,"17-19%","20-25%")))</f>
        <v>17-19%</v>
      </c>
      <c r="AP484" s="1">
        <f>IF(HR_Data[[#This Row],[PercentSalaryHike]]&lt;=13,1,IF(HR_Data[[#This Row],[PercentSalaryHike]]&lt;=16,2,IF(HR_Data[[#This Row],[PercentSalaryHike]]&lt;=19,3,4)))</f>
        <v>3</v>
      </c>
      <c r="AQ484" s="1" t="str">
        <f>IF(HR_Data[[#This Row],[DistanceFromHome]]&lt;=5,"1 to 5",IF(HR_Data[[#This Row],[DistanceFromHome]]&lt;=10,"6 to 10",IF(HR_Data[[#This Row],[DistanceFromHome]]&lt;=20,"11 to 20","21 to 29")))</f>
        <v>11 to 20</v>
      </c>
      <c r="AR484" s="1">
        <f>IF(HR_Data[[#This Row],[DistanceFromHome]]&lt;=5,1,IF(HR_Data[[#This Row],[DistanceFromHome]]&lt;=10,2,IF(HR_Data[[#This Row],[DistanceFromHome]]&lt;=20,3,4)))</f>
        <v>3</v>
      </c>
      <c r="AS484" s="1" t="str">
        <f>IF(HR_Data[[#This Row],[TotalWorkingYears]]&lt;=5,"0-5 Yrs",IF(HR_Data[[#This Row],[TotalWorkingYears]]&lt;=10,"6-10 Yrs",IF(HR_Data[[#This Row],[TotalWorkingYears]]&lt;=20,"11-20 Yrs","20+ Yrs")))</f>
        <v>6-10 Yrs</v>
      </c>
      <c r="AT484" s="1">
        <f>IF(HR_Data[[#This Row],[TotalWorkingYears]]&lt;=5,1,IF(HR_Data[[#This Row],[TotalWorkingYears]]&lt;=10,2,IF(HR_Data[[#This Row],[TotalWorkingYears]]&lt;=20,3,4)))</f>
        <v>2</v>
      </c>
    </row>
    <row r="485" spans="1:46" x14ac:dyDescent="0.25">
      <c r="A485">
        <v>35</v>
      </c>
      <c r="B485" t="s">
        <v>36</v>
      </c>
      <c r="C485" t="s">
        <v>30</v>
      </c>
      <c r="D485" t="s">
        <v>38</v>
      </c>
      <c r="E485">
        <v>25</v>
      </c>
      <c r="F485">
        <v>2</v>
      </c>
      <c r="G485" t="s">
        <v>42</v>
      </c>
      <c r="H485">
        <v>652</v>
      </c>
      <c r="I485">
        <v>1</v>
      </c>
      <c r="J485" t="s">
        <v>39</v>
      </c>
      <c r="K485">
        <v>2</v>
      </c>
      <c r="L485">
        <v>2</v>
      </c>
      <c r="M485" t="s">
        <v>43</v>
      </c>
      <c r="N485">
        <v>4</v>
      </c>
      <c r="O485" t="s">
        <v>35</v>
      </c>
      <c r="P485">
        <v>3681</v>
      </c>
      <c r="Q485">
        <v>4</v>
      </c>
      <c r="R485" t="s">
        <v>36</v>
      </c>
      <c r="S485">
        <v>14</v>
      </c>
      <c r="T485">
        <v>3</v>
      </c>
      <c r="U485">
        <v>4</v>
      </c>
      <c r="V485">
        <v>0</v>
      </c>
      <c r="W485">
        <v>9</v>
      </c>
      <c r="X485">
        <v>3</v>
      </c>
      <c r="Y485">
        <v>3</v>
      </c>
      <c r="Z485">
        <v>3</v>
      </c>
      <c r="AA485">
        <v>2</v>
      </c>
      <c r="AB485">
        <v>0</v>
      </c>
      <c r="AC485">
        <v>2</v>
      </c>
      <c r="AD485">
        <f>IF(HR_Data[[#This Row],[Attrition]]="Yes",1,0)</f>
        <v>0</v>
      </c>
      <c r="AE485" t="str">
        <f>IF(HR_Data[[#This Row],[Age]]&lt;=25,"18-25",IF(HR_Data[[#This Row],[Age]]&lt;=35,"26-35",IF(HR_Data[[#This Row],[Age]]&lt;=45,"36-45",IF(HR_Data[[#This Row],[Age]]&lt;=55,"46-55","55+"))))</f>
        <v>26-35</v>
      </c>
      <c r="AF485">
        <f>IF(HR_Data[[#This Row],[Age]]&lt;=25,1,IF(HR_Data[[#This Row],[Age]]&lt;=35,2,IF(HR_Data[[#This Row],[Age]]&lt;=45,3,IF(HR_Data[[#This Row],[Age]]&lt;=55,4,5))))</f>
        <v>2</v>
      </c>
      <c r="AG485" s="1" t="str">
        <f>IF(HR_Data[[#This Row],[MonthlyIncome]]&lt;3000,"&lt;3K",IF(HR_Data[[#This Row],[MonthlyIncome]]&lt;6000,"3K-6K",IF(HR_Data[[#This Row],[MonthlyIncome]]&lt;10000,"6K-10K","10K+")))</f>
        <v>3K-6K</v>
      </c>
      <c r="AH485" s="1">
        <f>IF(HR_Data[[#This Row],[MonthlyIncome]]&lt;3000,1,IF(HR_Data[[#This Row],[MonthlyIncome]]&lt;6000,2,IF(HR_Data[[#This Row],[MonthlyIncome]]&lt;10000,3,4)))</f>
        <v>2</v>
      </c>
      <c r="AI485" s="1" t="str">
        <f>IF(HR_Data[[#This Row],[YearsAtCompany]]&lt;=2,"0-2 Yrs",IF(HR_Data[[#This Row],[YearsAtCompany]]&lt;=5,"3-5 Yrs",IF(HR_Data[[#This Row],[YearsAtCompany]]&lt;=10,"6-10 Yrs","10+ Yrs")))</f>
        <v>3-5 Yrs</v>
      </c>
      <c r="AJ485" s="1">
        <f>IF(HR_Data[[#This Row],[YearsAtCompany]]&lt;=2,1,IF(HR_Data[[#This Row],[YearsAtCompany]]&lt;=5,2,IF(HR_Data[[#This Row],[YearsAtCompany]]&lt;=10,3,4)))</f>
        <v>2</v>
      </c>
      <c r="AK485" s="1" t="str">
        <f>CHOOSE(HR_Data[[#This Row],[Education]],"Below College","College","Bachelor","Master","Doctor")</f>
        <v>College</v>
      </c>
      <c r="AL485" s="1" t="str">
        <f>CHOOSE(HR_Data[[#This Row],[JobSatisfaction]],"Low","Medium","High","Very High")</f>
        <v>Very High</v>
      </c>
      <c r="AM485" s="1" t="str">
        <f>CHOOSE(HR_Data[[#This Row],[EnvironmentSatisfaction]],"Low","Medium","High","Very High")</f>
        <v>Low</v>
      </c>
      <c r="AN485" s="1" t="str">
        <f>CHOOSE(HR_Data[[#This Row],[WorkLifeBalance]],"Bad","Good","Better","Best")</f>
        <v>Better</v>
      </c>
      <c r="AO485" s="1" t="str">
        <f>IF(HR_Data[[#This Row],[PercentSalaryHike]]&lt;=13,"11-13%",IF(HR_Data[[#This Row],[PercentSalaryHike]]&lt;=16,"14-16%",IF(HR_Data[[#This Row],[PercentSalaryHike]]&lt;=19,"17-19%","20-25%")))</f>
        <v>14-16%</v>
      </c>
      <c r="AP485" s="1">
        <f>IF(HR_Data[[#This Row],[PercentSalaryHike]]&lt;=13,1,IF(HR_Data[[#This Row],[PercentSalaryHike]]&lt;=16,2,IF(HR_Data[[#This Row],[PercentSalaryHike]]&lt;=19,3,4)))</f>
        <v>2</v>
      </c>
      <c r="AQ485" s="1" t="str">
        <f>IF(HR_Data[[#This Row],[DistanceFromHome]]&lt;=5,"1 to 5",IF(HR_Data[[#This Row],[DistanceFromHome]]&lt;=10,"6 to 10",IF(HR_Data[[#This Row],[DistanceFromHome]]&lt;=20,"11 to 20","21 to 29")))</f>
        <v>21 to 29</v>
      </c>
      <c r="AR485" s="1">
        <f>IF(HR_Data[[#This Row],[DistanceFromHome]]&lt;=5,1,IF(HR_Data[[#This Row],[DistanceFromHome]]&lt;=10,2,IF(HR_Data[[#This Row],[DistanceFromHome]]&lt;=20,3,4)))</f>
        <v>4</v>
      </c>
      <c r="AS485" s="1" t="str">
        <f>IF(HR_Data[[#This Row],[TotalWorkingYears]]&lt;=5,"0-5 Yrs",IF(HR_Data[[#This Row],[TotalWorkingYears]]&lt;=10,"6-10 Yrs",IF(HR_Data[[#This Row],[TotalWorkingYears]]&lt;=20,"11-20 Yrs","20+ Yrs")))</f>
        <v>6-10 Yrs</v>
      </c>
      <c r="AT485" s="1">
        <f>IF(HR_Data[[#This Row],[TotalWorkingYears]]&lt;=5,1,IF(HR_Data[[#This Row],[TotalWorkingYears]]&lt;=10,2,IF(HR_Data[[#This Row],[TotalWorkingYears]]&lt;=20,3,4)))</f>
        <v>2</v>
      </c>
    </row>
    <row r="486" spans="1:46" x14ac:dyDescent="0.25">
      <c r="A486">
        <v>31</v>
      </c>
      <c r="B486" t="s">
        <v>36</v>
      </c>
      <c r="C486" t="s">
        <v>30</v>
      </c>
      <c r="D486" t="s">
        <v>31</v>
      </c>
      <c r="E486">
        <v>6</v>
      </c>
      <c r="F486">
        <v>4</v>
      </c>
      <c r="G486" t="s">
        <v>44</v>
      </c>
      <c r="H486">
        <v>653</v>
      </c>
      <c r="I486">
        <v>1</v>
      </c>
      <c r="J486" t="s">
        <v>39</v>
      </c>
      <c r="K486">
        <v>4</v>
      </c>
      <c r="L486">
        <v>2</v>
      </c>
      <c r="M486" t="s">
        <v>34</v>
      </c>
      <c r="N486">
        <v>4</v>
      </c>
      <c r="O486" t="s">
        <v>45</v>
      </c>
      <c r="P486">
        <v>5460</v>
      </c>
      <c r="Q486">
        <v>4</v>
      </c>
      <c r="R486" t="s">
        <v>36</v>
      </c>
      <c r="S486">
        <v>22</v>
      </c>
      <c r="T486">
        <v>4</v>
      </c>
      <c r="U486">
        <v>4</v>
      </c>
      <c r="V486">
        <v>2</v>
      </c>
      <c r="W486">
        <v>13</v>
      </c>
      <c r="X486">
        <v>4</v>
      </c>
      <c r="Y486">
        <v>4</v>
      </c>
      <c r="Z486">
        <v>7</v>
      </c>
      <c r="AA486">
        <v>7</v>
      </c>
      <c r="AB486">
        <v>5</v>
      </c>
      <c r="AC486">
        <v>7</v>
      </c>
      <c r="AD486">
        <f>IF(HR_Data[[#This Row],[Attrition]]="Yes",1,0)</f>
        <v>0</v>
      </c>
      <c r="AE486" t="str">
        <f>IF(HR_Data[[#This Row],[Age]]&lt;=25,"18-25",IF(HR_Data[[#This Row],[Age]]&lt;=35,"26-35",IF(HR_Data[[#This Row],[Age]]&lt;=45,"36-45",IF(HR_Data[[#This Row],[Age]]&lt;=55,"46-55","55+"))))</f>
        <v>26-35</v>
      </c>
      <c r="AF486">
        <f>IF(HR_Data[[#This Row],[Age]]&lt;=25,1,IF(HR_Data[[#This Row],[Age]]&lt;=35,2,IF(HR_Data[[#This Row],[Age]]&lt;=45,3,IF(HR_Data[[#This Row],[Age]]&lt;=55,4,5))))</f>
        <v>2</v>
      </c>
      <c r="AG486" s="1" t="str">
        <f>IF(HR_Data[[#This Row],[MonthlyIncome]]&lt;3000,"&lt;3K",IF(HR_Data[[#This Row],[MonthlyIncome]]&lt;6000,"3K-6K",IF(HR_Data[[#This Row],[MonthlyIncome]]&lt;10000,"6K-10K","10K+")))</f>
        <v>3K-6K</v>
      </c>
      <c r="AH486" s="1">
        <f>IF(HR_Data[[#This Row],[MonthlyIncome]]&lt;3000,1,IF(HR_Data[[#This Row],[MonthlyIncome]]&lt;6000,2,IF(HR_Data[[#This Row],[MonthlyIncome]]&lt;10000,3,4)))</f>
        <v>2</v>
      </c>
      <c r="AI486" s="1" t="str">
        <f>IF(HR_Data[[#This Row],[YearsAtCompany]]&lt;=2,"0-2 Yrs",IF(HR_Data[[#This Row],[YearsAtCompany]]&lt;=5,"3-5 Yrs",IF(HR_Data[[#This Row],[YearsAtCompany]]&lt;=10,"6-10 Yrs","10+ Yrs")))</f>
        <v>6-10 Yrs</v>
      </c>
      <c r="AJ486" s="1">
        <f>IF(HR_Data[[#This Row],[YearsAtCompany]]&lt;=2,1,IF(HR_Data[[#This Row],[YearsAtCompany]]&lt;=5,2,IF(HR_Data[[#This Row],[YearsAtCompany]]&lt;=10,3,4)))</f>
        <v>3</v>
      </c>
      <c r="AK486" s="1" t="str">
        <f>CHOOSE(HR_Data[[#This Row],[Education]],"Below College","College","Bachelor","Master","Doctor")</f>
        <v>Master</v>
      </c>
      <c r="AL486" s="1" t="str">
        <f>CHOOSE(HR_Data[[#This Row],[JobSatisfaction]],"Low","Medium","High","Very High")</f>
        <v>Very High</v>
      </c>
      <c r="AM486" s="1" t="str">
        <f>CHOOSE(HR_Data[[#This Row],[EnvironmentSatisfaction]],"Low","Medium","High","Very High")</f>
        <v>Low</v>
      </c>
      <c r="AN486" s="1" t="str">
        <f>CHOOSE(HR_Data[[#This Row],[WorkLifeBalance]],"Bad","Good","Better","Best")</f>
        <v>Best</v>
      </c>
      <c r="AO486" s="1" t="str">
        <f>IF(HR_Data[[#This Row],[PercentSalaryHike]]&lt;=13,"11-13%",IF(HR_Data[[#This Row],[PercentSalaryHike]]&lt;=16,"14-16%",IF(HR_Data[[#This Row],[PercentSalaryHike]]&lt;=19,"17-19%","20-25%")))</f>
        <v>20-25%</v>
      </c>
      <c r="AP486" s="1">
        <f>IF(HR_Data[[#This Row],[PercentSalaryHike]]&lt;=13,1,IF(HR_Data[[#This Row],[PercentSalaryHike]]&lt;=16,2,IF(HR_Data[[#This Row],[PercentSalaryHike]]&lt;=19,3,4)))</f>
        <v>4</v>
      </c>
      <c r="AQ486" s="1" t="str">
        <f>IF(HR_Data[[#This Row],[DistanceFromHome]]&lt;=5,"1 to 5",IF(HR_Data[[#This Row],[DistanceFromHome]]&lt;=10,"6 to 10",IF(HR_Data[[#This Row],[DistanceFromHome]]&lt;=20,"11 to 20","21 to 29")))</f>
        <v>6 to 10</v>
      </c>
      <c r="AR486" s="1">
        <f>IF(HR_Data[[#This Row],[DistanceFromHome]]&lt;=5,1,IF(HR_Data[[#This Row],[DistanceFromHome]]&lt;=10,2,IF(HR_Data[[#This Row],[DistanceFromHome]]&lt;=20,3,4)))</f>
        <v>2</v>
      </c>
      <c r="AS486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486" s="1">
        <f>IF(HR_Data[[#This Row],[TotalWorkingYears]]&lt;=5,1,IF(HR_Data[[#This Row],[TotalWorkingYears]]&lt;=10,2,IF(HR_Data[[#This Row],[TotalWorkingYears]]&lt;=20,3,4)))</f>
        <v>3</v>
      </c>
    </row>
    <row r="487" spans="1:46" x14ac:dyDescent="0.25">
      <c r="A487">
        <v>27</v>
      </c>
      <c r="B487" t="s">
        <v>36</v>
      </c>
      <c r="C487" t="s">
        <v>30</v>
      </c>
      <c r="D487" t="s">
        <v>38</v>
      </c>
      <c r="E487">
        <v>6</v>
      </c>
      <c r="F487">
        <v>4</v>
      </c>
      <c r="G487" t="s">
        <v>44</v>
      </c>
      <c r="H487">
        <v>655</v>
      </c>
      <c r="I487">
        <v>1</v>
      </c>
      <c r="J487" t="s">
        <v>33</v>
      </c>
      <c r="K487">
        <v>2</v>
      </c>
      <c r="L487">
        <v>1</v>
      </c>
      <c r="M487" t="s">
        <v>40</v>
      </c>
      <c r="N487">
        <v>3</v>
      </c>
      <c r="O487" t="s">
        <v>45</v>
      </c>
      <c r="P487">
        <v>2187</v>
      </c>
      <c r="Q487">
        <v>0</v>
      </c>
      <c r="R487" t="s">
        <v>36</v>
      </c>
      <c r="S487">
        <v>12</v>
      </c>
      <c r="T487">
        <v>3</v>
      </c>
      <c r="U487">
        <v>3</v>
      </c>
      <c r="V487">
        <v>2</v>
      </c>
      <c r="W487">
        <v>6</v>
      </c>
      <c r="X487">
        <v>5</v>
      </c>
      <c r="Y487">
        <v>2</v>
      </c>
      <c r="Z487">
        <v>5</v>
      </c>
      <c r="AA487">
        <v>3</v>
      </c>
      <c r="AB487">
        <v>0</v>
      </c>
      <c r="AC487">
        <v>3</v>
      </c>
      <c r="AD487">
        <f>IF(HR_Data[[#This Row],[Attrition]]="Yes",1,0)</f>
        <v>0</v>
      </c>
      <c r="AE487" t="str">
        <f>IF(HR_Data[[#This Row],[Age]]&lt;=25,"18-25",IF(HR_Data[[#This Row],[Age]]&lt;=35,"26-35",IF(HR_Data[[#This Row],[Age]]&lt;=45,"36-45",IF(HR_Data[[#This Row],[Age]]&lt;=55,"46-55","55+"))))</f>
        <v>26-35</v>
      </c>
      <c r="AF487">
        <f>IF(HR_Data[[#This Row],[Age]]&lt;=25,1,IF(HR_Data[[#This Row],[Age]]&lt;=35,2,IF(HR_Data[[#This Row],[Age]]&lt;=45,3,IF(HR_Data[[#This Row],[Age]]&lt;=55,4,5))))</f>
        <v>2</v>
      </c>
      <c r="AG487" s="1" t="str">
        <f>IF(HR_Data[[#This Row],[MonthlyIncome]]&lt;3000,"&lt;3K",IF(HR_Data[[#This Row],[MonthlyIncome]]&lt;6000,"3K-6K",IF(HR_Data[[#This Row],[MonthlyIncome]]&lt;10000,"6K-10K","10K+")))</f>
        <v>&lt;3K</v>
      </c>
      <c r="AH487" s="1">
        <f>IF(HR_Data[[#This Row],[MonthlyIncome]]&lt;3000,1,IF(HR_Data[[#This Row],[MonthlyIncome]]&lt;6000,2,IF(HR_Data[[#This Row],[MonthlyIncome]]&lt;10000,3,4)))</f>
        <v>1</v>
      </c>
      <c r="AI487" s="1" t="str">
        <f>IF(HR_Data[[#This Row],[YearsAtCompany]]&lt;=2,"0-2 Yrs",IF(HR_Data[[#This Row],[YearsAtCompany]]&lt;=5,"3-5 Yrs",IF(HR_Data[[#This Row],[YearsAtCompany]]&lt;=10,"6-10 Yrs","10+ Yrs")))</f>
        <v>3-5 Yrs</v>
      </c>
      <c r="AJ487" s="1">
        <f>IF(HR_Data[[#This Row],[YearsAtCompany]]&lt;=2,1,IF(HR_Data[[#This Row],[YearsAtCompany]]&lt;=5,2,IF(HR_Data[[#This Row],[YearsAtCompany]]&lt;=10,3,4)))</f>
        <v>2</v>
      </c>
      <c r="AK487" s="1" t="str">
        <f>CHOOSE(HR_Data[[#This Row],[Education]],"Below College","College","Bachelor","Master","Doctor")</f>
        <v>Master</v>
      </c>
      <c r="AL487" s="1" t="str">
        <f>CHOOSE(HR_Data[[#This Row],[JobSatisfaction]],"Low","Medium","High","Very High")</f>
        <v>High</v>
      </c>
      <c r="AM487" s="1" t="str">
        <f>CHOOSE(HR_Data[[#This Row],[EnvironmentSatisfaction]],"Low","Medium","High","Very High")</f>
        <v>Low</v>
      </c>
      <c r="AN487" s="1" t="str">
        <f>CHOOSE(HR_Data[[#This Row],[WorkLifeBalance]],"Bad","Good","Better","Best")</f>
        <v>Good</v>
      </c>
      <c r="AO487" s="1" t="str">
        <f>IF(HR_Data[[#This Row],[PercentSalaryHike]]&lt;=13,"11-13%",IF(HR_Data[[#This Row],[PercentSalaryHike]]&lt;=16,"14-16%",IF(HR_Data[[#This Row],[PercentSalaryHike]]&lt;=19,"17-19%","20-25%")))</f>
        <v>11-13%</v>
      </c>
      <c r="AP487" s="1">
        <f>IF(HR_Data[[#This Row],[PercentSalaryHike]]&lt;=13,1,IF(HR_Data[[#This Row],[PercentSalaryHike]]&lt;=16,2,IF(HR_Data[[#This Row],[PercentSalaryHike]]&lt;=19,3,4)))</f>
        <v>1</v>
      </c>
      <c r="AQ487" s="1" t="str">
        <f>IF(HR_Data[[#This Row],[DistanceFromHome]]&lt;=5,"1 to 5",IF(HR_Data[[#This Row],[DistanceFromHome]]&lt;=10,"6 to 10",IF(HR_Data[[#This Row],[DistanceFromHome]]&lt;=20,"11 to 20","21 to 29")))</f>
        <v>6 to 10</v>
      </c>
      <c r="AR487" s="1">
        <f>IF(HR_Data[[#This Row],[DistanceFromHome]]&lt;=5,1,IF(HR_Data[[#This Row],[DistanceFromHome]]&lt;=10,2,IF(HR_Data[[#This Row],[DistanceFromHome]]&lt;=20,3,4)))</f>
        <v>2</v>
      </c>
      <c r="AS487" s="1" t="str">
        <f>IF(HR_Data[[#This Row],[TotalWorkingYears]]&lt;=5,"0-5 Yrs",IF(HR_Data[[#This Row],[TotalWorkingYears]]&lt;=10,"6-10 Yrs",IF(HR_Data[[#This Row],[TotalWorkingYears]]&lt;=20,"11-20 Yrs","20+ Yrs")))</f>
        <v>6-10 Yrs</v>
      </c>
      <c r="AT487" s="1">
        <f>IF(HR_Data[[#This Row],[TotalWorkingYears]]&lt;=5,1,IF(HR_Data[[#This Row],[TotalWorkingYears]]&lt;=10,2,IF(HR_Data[[#This Row],[TotalWorkingYears]]&lt;=20,3,4)))</f>
        <v>2</v>
      </c>
    </row>
    <row r="488" spans="1:46" x14ac:dyDescent="0.25">
      <c r="A488">
        <v>37</v>
      </c>
      <c r="B488" t="s">
        <v>36</v>
      </c>
      <c r="C488" t="s">
        <v>30</v>
      </c>
      <c r="D488" t="s">
        <v>31</v>
      </c>
      <c r="E488">
        <v>2</v>
      </c>
      <c r="F488">
        <v>3</v>
      </c>
      <c r="G488" t="s">
        <v>52</v>
      </c>
      <c r="H488">
        <v>656</v>
      </c>
      <c r="I488">
        <v>4</v>
      </c>
      <c r="J488" t="s">
        <v>39</v>
      </c>
      <c r="K488">
        <v>3</v>
      </c>
      <c r="L488">
        <v>2</v>
      </c>
      <c r="M488" t="s">
        <v>34</v>
      </c>
      <c r="N488">
        <v>3</v>
      </c>
      <c r="O488" t="s">
        <v>41</v>
      </c>
      <c r="P488">
        <v>9602</v>
      </c>
      <c r="Q488">
        <v>4</v>
      </c>
      <c r="R488" t="s">
        <v>29</v>
      </c>
      <c r="S488">
        <v>11</v>
      </c>
      <c r="T488">
        <v>3</v>
      </c>
      <c r="U488">
        <v>3</v>
      </c>
      <c r="V488">
        <v>1</v>
      </c>
      <c r="W488">
        <v>17</v>
      </c>
      <c r="X488">
        <v>3</v>
      </c>
      <c r="Y488">
        <v>2</v>
      </c>
      <c r="Z488">
        <v>3</v>
      </c>
      <c r="AA488">
        <v>0</v>
      </c>
      <c r="AB488">
        <v>1</v>
      </c>
      <c r="AC488">
        <v>0</v>
      </c>
      <c r="AD488">
        <f>IF(HR_Data[[#This Row],[Attrition]]="Yes",1,0)</f>
        <v>0</v>
      </c>
      <c r="AE488" t="str">
        <f>IF(HR_Data[[#This Row],[Age]]&lt;=25,"18-25",IF(HR_Data[[#This Row],[Age]]&lt;=35,"26-35",IF(HR_Data[[#This Row],[Age]]&lt;=45,"36-45",IF(HR_Data[[#This Row],[Age]]&lt;=55,"46-55","55+"))))</f>
        <v>36-45</v>
      </c>
      <c r="AF488">
        <f>IF(HR_Data[[#This Row],[Age]]&lt;=25,1,IF(HR_Data[[#This Row],[Age]]&lt;=35,2,IF(HR_Data[[#This Row],[Age]]&lt;=45,3,IF(HR_Data[[#This Row],[Age]]&lt;=55,4,5))))</f>
        <v>3</v>
      </c>
      <c r="AG488" s="1" t="str">
        <f>IF(HR_Data[[#This Row],[MonthlyIncome]]&lt;3000,"&lt;3K",IF(HR_Data[[#This Row],[MonthlyIncome]]&lt;6000,"3K-6K",IF(HR_Data[[#This Row],[MonthlyIncome]]&lt;10000,"6K-10K","10K+")))</f>
        <v>6K-10K</v>
      </c>
      <c r="AH488" s="1">
        <f>IF(HR_Data[[#This Row],[MonthlyIncome]]&lt;3000,1,IF(HR_Data[[#This Row],[MonthlyIncome]]&lt;6000,2,IF(HR_Data[[#This Row],[MonthlyIncome]]&lt;10000,3,4)))</f>
        <v>3</v>
      </c>
      <c r="AI488" s="1" t="str">
        <f>IF(HR_Data[[#This Row],[YearsAtCompany]]&lt;=2,"0-2 Yrs",IF(HR_Data[[#This Row],[YearsAtCompany]]&lt;=5,"3-5 Yrs",IF(HR_Data[[#This Row],[YearsAtCompany]]&lt;=10,"6-10 Yrs","10+ Yrs")))</f>
        <v>3-5 Yrs</v>
      </c>
      <c r="AJ488" s="1">
        <f>IF(HR_Data[[#This Row],[YearsAtCompany]]&lt;=2,1,IF(HR_Data[[#This Row],[YearsAtCompany]]&lt;=5,2,IF(HR_Data[[#This Row],[YearsAtCompany]]&lt;=10,3,4)))</f>
        <v>2</v>
      </c>
      <c r="AK488" s="1" t="str">
        <f>CHOOSE(HR_Data[[#This Row],[Education]],"Below College","College","Bachelor","Master","Doctor")</f>
        <v>Bachelor</v>
      </c>
      <c r="AL488" s="1" t="str">
        <f>CHOOSE(HR_Data[[#This Row],[JobSatisfaction]],"Low","Medium","High","Very High")</f>
        <v>High</v>
      </c>
      <c r="AM488" s="1" t="str">
        <f>CHOOSE(HR_Data[[#This Row],[EnvironmentSatisfaction]],"Low","Medium","High","Very High")</f>
        <v>Very High</v>
      </c>
      <c r="AN488" s="1" t="str">
        <f>CHOOSE(HR_Data[[#This Row],[WorkLifeBalance]],"Bad","Good","Better","Best")</f>
        <v>Good</v>
      </c>
      <c r="AO488" s="1" t="str">
        <f>IF(HR_Data[[#This Row],[PercentSalaryHike]]&lt;=13,"11-13%",IF(HR_Data[[#This Row],[PercentSalaryHike]]&lt;=16,"14-16%",IF(HR_Data[[#This Row],[PercentSalaryHike]]&lt;=19,"17-19%","20-25%")))</f>
        <v>11-13%</v>
      </c>
      <c r="AP488" s="1">
        <f>IF(HR_Data[[#This Row],[PercentSalaryHike]]&lt;=13,1,IF(HR_Data[[#This Row],[PercentSalaryHike]]&lt;=16,2,IF(HR_Data[[#This Row],[PercentSalaryHike]]&lt;=19,3,4)))</f>
        <v>1</v>
      </c>
      <c r="AQ488" s="1" t="str">
        <f>IF(HR_Data[[#This Row],[DistanceFromHome]]&lt;=5,"1 to 5",IF(HR_Data[[#This Row],[DistanceFromHome]]&lt;=10,"6 to 10",IF(HR_Data[[#This Row],[DistanceFromHome]]&lt;=20,"11 to 20","21 to 29")))</f>
        <v>1 to 5</v>
      </c>
      <c r="AR488" s="1">
        <f>IF(HR_Data[[#This Row],[DistanceFromHome]]&lt;=5,1,IF(HR_Data[[#This Row],[DistanceFromHome]]&lt;=10,2,IF(HR_Data[[#This Row],[DistanceFromHome]]&lt;=20,3,4)))</f>
        <v>1</v>
      </c>
      <c r="AS488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488" s="1">
        <f>IF(HR_Data[[#This Row],[TotalWorkingYears]]&lt;=5,1,IF(HR_Data[[#This Row],[TotalWorkingYears]]&lt;=10,2,IF(HR_Data[[#This Row],[TotalWorkingYears]]&lt;=20,3,4)))</f>
        <v>3</v>
      </c>
    </row>
    <row r="489" spans="1:46" x14ac:dyDescent="0.25">
      <c r="A489">
        <v>20</v>
      </c>
      <c r="B489" t="s">
        <v>36</v>
      </c>
      <c r="C489" t="s">
        <v>30</v>
      </c>
      <c r="D489" t="s">
        <v>38</v>
      </c>
      <c r="E489">
        <v>1</v>
      </c>
      <c r="F489">
        <v>3</v>
      </c>
      <c r="G489" t="s">
        <v>32</v>
      </c>
      <c r="H489">
        <v>657</v>
      </c>
      <c r="I489">
        <v>4</v>
      </c>
      <c r="J489" t="s">
        <v>33</v>
      </c>
      <c r="K489">
        <v>2</v>
      </c>
      <c r="L489">
        <v>1</v>
      </c>
      <c r="M489" t="s">
        <v>40</v>
      </c>
      <c r="N489">
        <v>2</v>
      </c>
      <c r="O489" t="s">
        <v>35</v>
      </c>
      <c r="P489">
        <v>2836</v>
      </c>
      <c r="Q489">
        <v>1</v>
      </c>
      <c r="R489" t="s">
        <v>36</v>
      </c>
      <c r="S489">
        <v>13</v>
      </c>
      <c r="T489">
        <v>3</v>
      </c>
      <c r="U489">
        <v>4</v>
      </c>
      <c r="V489">
        <v>0</v>
      </c>
      <c r="W489">
        <v>1</v>
      </c>
      <c r="X489">
        <v>0</v>
      </c>
      <c r="Y489">
        <v>4</v>
      </c>
      <c r="Z489">
        <v>1</v>
      </c>
      <c r="AA489">
        <v>0</v>
      </c>
      <c r="AB489">
        <v>0</v>
      </c>
      <c r="AC489">
        <v>0</v>
      </c>
      <c r="AD489">
        <f>IF(HR_Data[[#This Row],[Attrition]]="Yes",1,0)</f>
        <v>0</v>
      </c>
      <c r="AE489" t="str">
        <f>IF(HR_Data[[#This Row],[Age]]&lt;=25,"18-25",IF(HR_Data[[#This Row],[Age]]&lt;=35,"26-35",IF(HR_Data[[#This Row],[Age]]&lt;=45,"36-45",IF(HR_Data[[#This Row],[Age]]&lt;=55,"46-55","55+"))))</f>
        <v>18-25</v>
      </c>
      <c r="AF489">
        <f>IF(HR_Data[[#This Row],[Age]]&lt;=25,1,IF(HR_Data[[#This Row],[Age]]&lt;=35,2,IF(HR_Data[[#This Row],[Age]]&lt;=45,3,IF(HR_Data[[#This Row],[Age]]&lt;=55,4,5))))</f>
        <v>1</v>
      </c>
      <c r="AG489" s="1" t="str">
        <f>IF(HR_Data[[#This Row],[MonthlyIncome]]&lt;3000,"&lt;3K",IF(HR_Data[[#This Row],[MonthlyIncome]]&lt;6000,"3K-6K",IF(HR_Data[[#This Row],[MonthlyIncome]]&lt;10000,"6K-10K","10K+")))</f>
        <v>&lt;3K</v>
      </c>
      <c r="AH489" s="1">
        <f>IF(HR_Data[[#This Row],[MonthlyIncome]]&lt;3000,1,IF(HR_Data[[#This Row],[MonthlyIncome]]&lt;6000,2,IF(HR_Data[[#This Row],[MonthlyIncome]]&lt;10000,3,4)))</f>
        <v>1</v>
      </c>
      <c r="AI489" s="1" t="str">
        <f>IF(HR_Data[[#This Row],[YearsAtCompany]]&lt;=2,"0-2 Yrs",IF(HR_Data[[#This Row],[YearsAtCompany]]&lt;=5,"3-5 Yrs",IF(HR_Data[[#This Row],[YearsAtCompany]]&lt;=10,"6-10 Yrs","10+ Yrs")))</f>
        <v>0-2 Yrs</v>
      </c>
      <c r="AJ489" s="1">
        <f>IF(HR_Data[[#This Row],[YearsAtCompany]]&lt;=2,1,IF(HR_Data[[#This Row],[YearsAtCompany]]&lt;=5,2,IF(HR_Data[[#This Row],[YearsAtCompany]]&lt;=10,3,4)))</f>
        <v>1</v>
      </c>
      <c r="AK489" s="1" t="str">
        <f>CHOOSE(HR_Data[[#This Row],[Education]],"Below College","College","Bachelor","Master","Doctor")</f>
        <v>Bachelor</v>
      </c>
      <c r="AL489" s="1" t="str">
        <f>CHOOSE(HR_Data[[#This Row],[JobSatisfaction]],"Low","Medium","High","Very High")</f>
        <v>Medium</v>
      </c>
      <c r="AM489" s="1" t="str">
        <f>CHOOSE(HR_Data[[#This Row],[EnvironmentSatisfaction]],"Low","Medium","High","Very High")</f>
        <v>Very High</v>
      </c>
      <c r="AN489" s="1" t="str">
        <f>CHOOSE(HR_Data[[#This Row],[WorkLifeBalance]],"Bad","Good","Better","Best")</f>
        <v>Best</v>
      </c>
      <c r="AO489" s="1" t="str">
        <f>IF(HR_Data[[#This Row],[PercentSalaryHike]]&lt;=13,"11-13%",IF(HR_Data[[#This Row],[PercentSalaryHike]]&lt;=16,"14-16%",IF(HR_Data[[#This Row],[PercentSalaryHike]]&lt;=19,"17-19%","20-25%")))</f>
        <v>11-13%</v>
      </c>
      <c r="AP489" s="1">
        <f>IF(HR_Data[[#This Row],[PercentSalaryHike]]&lt;=13,1,IF(HR_Data[[#This Row],[PercentSalaryHike]]&lt;=16,2,IF(HR_Data[[#This Row],[PercentSalaryHike]]&lt;=19,3,4)))</f>
        <v>1</v>
      </c>
      <c r="AQ489" s="1" t="str">
        <f>IF(HR_Data[[#This Row],[DistanceFromHome]]&lt;=5,"1 to 5",IF(HR_Data[[#This Row],[DistanceFromHome]]&lt;=10,"6 to 10",IF(HR_Data[[#This Row],[DistanceFromHome]]&lt;=20,"11 to 20","21 to 29")))</f>
        <v>1 to 5</v>
      </c>
      <c r="AR489" s="1">
        <f>IF(HR_Data[[#This Row],[DistanceFromHome]]&lt;=5,1,IF(HR_Data[[#This Row],[DistanceFromHome]]&lt;=10,2,IF(HR_Data[[#This Row],[DistanceFromHome]]&lt;=20,3,4)))</f>
        <v>1</v>
      </c>
      <c r="AS489" s="1" t="str">
        <f>IF(HR_Data[[#This Row],[TotalWorkingYears]]&lt;=5,"0-5 Yrs",IF(HR_Data[[#This Row],[TotalWorkingYears]]&lt;=10,"6-10 Yrs",IF(HR_Data[[#This Row],[TotalWorkingYears]]&lt;=20,"11-20 Yrs","20+ Yrs")))</f>
        <v>0-5 Yrs</v>
      </c>
      <c r="AT489" s="1">
        <f>IF(HR_Data[[#This Row],[TotalWorkingYears]]&lt;=5,1,IF(HR_Data[[#This Row],[TotalWorkingYears]]&lt;=10,2,IF(HR_Data[[#This Row],[TotalWorkingYears]]&lt;=20,3,4)))</f>
        <v>1</v>
      </c>
    </row>
    <row r="490" spans="1:46" x14ac:dyDescent="0.25">
      <c r="A490">
        <v>42</v>
      </c>
      <c r="B490" t="s">
        <v>36</v>
      </c>
      <c r="C490" t="s">
        <v>30</v>
      </c>
      <c r="D490" t="s">
        <v>38</v>
      </c>
      <c r="E490">
        <v>2</v>
      </c>
      <c r="F490">
        <v>4</v>
      </c>
      <c r="G490" t="s">
        <v>32</v>
      </c>
      <c r="H490">
        <v>659</v>
      </c>
      <c r="I490">
        <v>3</v>
      </c>
      <c r="J490" t="s">
        <v>33</v>
      </c>
      <c r="K490">
        <v>3</v>
      </c>
      <c r="L490">
        <v>2</v>
      </c>
      <c r="M490" t="s">
        <v>47</v>
      </c>
      <c r="N490">
        <v>4</v>
      </c>
      <c r="O490" t="s">
        <v>41</v>
      </c>
      <c r="P490">
        <v>4089</v>
      </c>
      <c r="Q490">
        <v>1</v>
      </c>
      <c r="R490" t="s">
        <v>36</v>
      </c>
      <c r="S490">
        <v>13</v>
      </c>
      <c r="T490">
        <v>3</v>
      </c>
      <c r="U490">
        <v>2</v>
      </c>
      <c r="V490">
        <v>2</v>
      </c>
      <c r="W490">
        <v>10</v>
      </c>
      <c r="X490">
        <v>4</v>
      </c>
      <c r="Y490">
        <v>3</v>
      </c>
      <c r="Z490">
        <v>10</v>
      </c>
      <c r="AA490">
        <v>2</v>
      </c>
      <c r="AB490">
        <v>2</v>
      </c>
      <c r="AC490">
        <v>2</v>
      </c>
      <c r="AD490">
        <f>IF(HR_Data[[#This Row],[Attrition]]="Yes",1,0)</f>
        <v>0</v>
      </c>
      <c r="AE490" t="str">
        <f>IF(HR_Data[[#This Row],[Age]]&lt;=25,"18-25",IF(HR_Data[[#This Row],[Age]]&lt;=35,"26-35",IF(HR_Data[[#This Row],[Age]]&lt;=45,"36-45",IF(HR_Data[[#This Row],[Age]]&lt;=55,"46-55","55+"))))</f>
        <v>36-45</v>
      </c>
      <c r="AF490">
        <f>IF(HR_Data[[#This Row],[Age]]&lt;=25,1,IF(HR_Data[[#This Row],[Age]]&lt;=35,2,IF(HR_Data[[#This Row],[Age]]&lt;=45,3,IF(HR_Data[[#This Row],[Age]]&lt;=55,4,5))))</f>
        <v>3</v>
      </c>
      <c r="AG490" s="1" t="str">
        <f>IF(HR_Data[[#This Row],[MonthlyIncome]]&lt;3000,"&lt;3K",IF(HR_Data[[#This Row],[MonthlyIncome]]&lt;6000,"3K-6K",IF(HR_Data[[#This Row],[MonthlyIncome]]&lt;10000,"6K-10K","10K+")))</f>
        <v>3K-6K</v>
      </c>
      <c r="AH490" s="1">
        <f>IF(HR_Data[[#This Row],[MonthlyIncome]]&lt;3000,1,IF(HR_Data[[#This Row],[MonthlyIncome]]&lt;6000,2,IF(HR_Data[[#This Row],[MonthlyIncome]]&lt;10000,3,4)))</f>
        <v>2</v>
      </c>
      <c r="AI490" s="1" t="str">
        <f>IF(HR_Data[[#This Row],[YearsAtCompany]]&lt;=2,"0-2 Yrs",IF(HR_Data[[#This Row],[YearsAtCompany]]&lt;=5,"3-5 Yrs",IF(HR_Data[[#This Row],[YearsAtCompany]]&lt;=10,"6-10 Yrs","10+ Yrs")))</f>
        <v>6-10 Yrs</v>
      </c>
      <c r="AJ490" s="1">
        <f>IF(HR_Data[[#This Row],[YearsAtCompany]]&lt;=2,1,IF(HR_Data[[#This Row],[YearsAtCompany]]&lt;=5,2,IF(HR_Data[[#This Row],[YearsAtCompany]]&lt;=10,3,4)))</f>
        <v>3</v>
      </c>
      <c r="AK490" s="1" t="str">
        <f>CHOOSE(HR_Data[[#This Row],[Education]],"Below College","College","Bachelor","Master","Doctor")</f>
        <v>Master</v>
      </c>
      <c r="AL490" s="1" t="str">
        <f>CHOOSE(HR_Data[[#This Row],[JobSatisfaction]],"Low","Medium","High","Very High")</f>
        <v>Very High</v>
      </c>
      <c r="AM490" s="1" t="str">
        <f>CHOOSE(HR_Data[[#This Row],[EnvironmentSatisfaction]],"Low","Medium","High","Very High")</f>
        <v>High</v>
      </c>
      <c r="AN490" s="1" t="str">
        <f>CHOOSE(HR_Data[[#This Row],[WorkLifeBalance]],"Bad","Good","Better","Best")</f>
        <v>Better</v>
      </c>
      <c r="AO490" s="1" t="str">
        <f>IF(HR_Data[[#This Row],[PercentSalaryHike]]&lt;=13,"11-13%",IF(HR_Data[[#This Row],[PercentSalaryHike]]&lt;=16,"14-16%",IF(HR_Data[[#This Row],[PercentSalaryHike]]&lt;=19,"17-19%","20-25%")))</f>
        <v>11-13%</v>
      </c>
      <c r="AP490" s="1">
        <f>IF(HR_Data[[#This Row],[PercentSalaryHike]]&lt;=13,1,IF(HR_Data[[#This Row],[PercentSalaryHike]]&lt;=16,2,IF(HR_Data[[#This Row],[PercentSalaryHike]]&lt;=19,3,4)))</f>
        <v>1</v>
      </c>
      <c r="AQ490" s="1" t="str">
        <f>IF(HR_Data[[#This Row],[DistanceFromHome]]&lt;=5,"1 to 5",IF(HR_Data[[#This Row],[DistanceFromHome]]&lt;=10,"6 to 10",IF(HR_Data[[#This Row],[DistanceFromHome]]&lt;=20,"11 to 20","21 to 29")))</f>
        <v>1 to 5</v>
      </c>
      <c r="AR490" s="1">
        <f>IF(HR_Data[[#This Row],[DistanceFromHome]]&lt;=5,1,IF(HR_Data[[#This Row],[DistanceFromHome]]&lt;=10,2,IF(HR_Data[[#This Row],[DistanceFromHome]]&lt;=20,3,4)))</f>
        <v>1</v>
      </c>
      <c r="AS490" s="1" t="str">
        <f>IF(HR_Data[[#This Row],[TotalWorkingYears]]&lt;=5,"0-5 Yrs",IF(HR_Data[[#This Row],[TotalWorkingYears]]&lt;=10,"6-10 Yrs",IF(HR_Data[[#This Row],[TotalWorkingYears]]&lt;=20,"11-20 Yrs","20+ Yrs")))</f>
        <v>6-10 Yrs</v>
      </c>
      <c r="AT490" s="1">
        <f>IF(HR_Data[[#This Row],[TotalWorkingYears]]&lt;=5,1,IF(HR_Data[[#This Row],[TotalWorkingYears]]&lt;=10,2,IF(HR_Data[[#This Row],[TotalWorkingYears]]&lt;=20,3,4)))</f>
        <v>2</v>
      </c>
    </row>
    <row r="491" spans="1:46" x14ac:dyDescent="0.25">
      <c r="A491">
        <v>43</v>
      </c>
      <c r="B491" t="s">
        <v>36</v>
      </c>
      <c r="C491" t="s">
        <v>30</v>
      </c>
      <c r="D491" t="s">
        <v>38</v>
      </c>
      <c r="E491">
        <v>6</v>
      </c>
      <c r="F491">
        <v>4</v>
      </c>
      <c r="G491" t="s">
        <v>42</v>
      </c>
      <c r="H491">
        <v>661</v>
      </c>
      <c r="I491">
        <v>2</v>
      </c>
      <c r="J491" t="s">
        <v>39</v>
      </c>
      <c r="K491">
        <v>2</v>
      </c>
      <c r="L491">
        <v>4</v>
      </c>
      <c r="M491" t="s">
        <v>51</v>
      </c>
      <c r="N491">
        <v>4</v>
      </c>
      <c r="O491" t="s">
        <v>45</v>
      </c>
      <c r="P491">
        <v>16627</v>
      </c>
      <c r="Q491">
        <v>4</v>
      </c>
      <c r="R491" t="s">
        <v>29</v>
      </c>
      <c r="S491">
        <v>14</v>
      </c>
      <c r="T491">
        <v>3</v>
      </c>
      <c r="U491">
        <v>3</v>
      </c>
      <c r="V491">
        <v>1</v>
      </c>
      <c r="W491">
        <v>21</v>
      </c>
      <c r="X491">
        <v>3</v>
      </c>
      <c r="Y491">
        <v>2</v>
      </c>
      <c r="Z491">
        <v>1</v>
      </c>
      <c r="AA491">
        <v>0</v>
      </c>
      <c r="AB491">
        <v>0</v>
      </c>
      <c r="AC491">
        <v>0</v>
      </c>
      <c r="AD491">
        <f>IF(HR_Data[[#This Row],[Attrition]]="Yes",1,0)</f>
        <v>0</v>
      </c>
      <c r="AE491" t="str">
        <f>IF(HR_Data[[#This Row],[Age]]&lt;=25,"18-25",IF(HR_Data[[#This Row],[Age]]&lt;=35,"26-35",IF(HR_Data[[#This Row],[Age]]&lt;=45,"36-45",IF(HR_Data[[#This Row],[Age]]&lt;=55,"46-55","55+"))))</f>
        <v>36-45</v>
      </c>
      <c r="AF491">
        <f>IF(HR_Data[[#This Row],[Age]]&lt;=25,1,IF(HR_Data[[#This Row],[Age]]&lt;=35,2,IF(HR_Data[[#This Row],[Age]]&lt;=45,3,IF(HR_Data[[#This Row],[Age]]&lt;=55,4,5))))</f>
        <v>3</v>
      </c>
      <c r="AG491" s="1" t="str">
        <f>IF(HR_Data[[#This Row],[MonthlyIncome]]&lt;3000,"&lt;3K",IF(HR_Data[[#This Row],[MonthlyIncome]]&lt;6000,"3K-6K",IF(HR_Data[[#This Row],[MonthlyIncome]]&lt;10000,"6K-10K","10K+")))</f>
        <v>10K+</v>
      </c>
      <c r="AH491" s="1">
        <f>IF(HR_Data[[#This Row],[MonthlyIncome]]&lt;3000,1,IF(HR_Data[[#This Row],[MonthlyIncome]]&lt;6000,2,IF(HR_Data[[#This Row],[MonthlyIncome]]&lt;10000,3,4)))</f>
        <v>4</v>
      </c>
      <c r="AI491" s="1" t="str">
        <f>IF(HR_Data[[#This Row],[YearsAtCompany]]&lt;=2,"0-2 Yrs",IF(HR_Data[[#This Row],[YearsAtCompany]]&lt;=5,"3-5 Yrs",IF(HR_Data[[#This Row],[YearsAtCompany]]&lt;=10,"6-10 Yrs","10+ Yrs")))</f>
        <v>0-2 Yrs</v>
      </c>
      <c r="AJ491" s="1">
        <f>IF(HR_Data[[#This Row],[YearsAtCompany]]&lt;=2,1,IF(HR_Data[[#This Row],[YearsAtCompany]]&lt;=5,2,IF(HR_Data[[#This Row],[YearsAtCompany]]&lt;=10,3,4)))</f>
        <v>1</v>
      </c>
      <c r="AK491" s="1" t="str">
        <f>CHOOSE(HR_Data[[#This Row],[Education]],"Below College","College","Bachelor","Master","Doctor")</f>
        <v>Master</v>
      </c>
      <c r="AL491" s="1" t="str">
        <f>CHOOSE(HR_Data[[#This Row],[JobSatisfaction]],"Low","Medium","High","Very High")</f>
        <v>Very High</v>
      </c>
      <c r="AM491" s="1" t="str">
        <f>CHOOSE(HR_Data[[#This Row],[EnvironmentSatisfaction]],"Low","Medium","High","Very High")</f>
        <v>Medium</v>
      </c>
      <c r="AN491" s="1" t="str">
        <f>CHOOSE(HR_Data[[#This Row],[WorkLifeBalance]],"Bad","Good","Better","Best")</f>
        <v>Good</v>
      </c>
      <c r="AO491" s="1" t="str">
        <f>IF(HR_Data[[#This Row],[PercentSalaryHike]]&lt;=13,"11-13%",IF(HR_Data[[#This Row],[PercentSalaryHike]]&lt;=16,"14-16%",IF(HR_Data[[#This Row],[PercentSalaryHike]]&lt;=19,"17-19%","20-25%")))</f>
        <v>14-16%</v>
      </c>
      <c r="AP491" s="1">
        <f>IF(HR_Data[[#This Row],[PercentSalaryHike]]&lt;=13,1,IF(HR_Data[[#This Row],[PercentSalaryHike]]&lt;=16,2,IF(HR_Data[[#This Row],[PercentSalaryHike]]&lt;=19,3,4)))</f>
        <v>2</v>
      </c>
      <c r="AQ491" s="1" t="str">
        <f>IF(HR_Data[[#This Row],[DistanceFromHome]]&lt;=5,"1 to 5",IF(HR_Data[[#This Row],[DistanceFromHome]]&lt;=10,"6 to 10",IF(HR_Data[[#This Row],[DistanceFromHome]]&lt;=20,"11 to 20","21 to 29")))</f>
        <v>6 to 10</v>
      </c>
      <c r="AR491" s="1">
        <f>IF(HR_Data[[#This Row],[DistanceFromHome]]&lt;=5,1,IF(HR_Data[[#This Row],[DistanceFromHome]]&lt;=10,2,IF(HR_Data[[#This Row],[DistanceFromHome]]&lt;=20,3,4)))</f>
        <v>2</v>
      </c>
      <c r="AS491" s="1" t="str">
        <f>IF(HR_Data[[#This Row],[TotalWorkingYears]]&lt;=5,"0-5 Yrs",IF(HR_Data[[#This Row],[TotalWorkingYears]]&lt;=10,"6-10 Yrs",IF(HR_Data[[#This Row],[TotalWorkingYears]]&lt;=20,"11-20 Yrs","20+ Yrs")))</f>
        <v>20+ Yrs</v>
      </c>
      <c r="AT491" s="1">
        <f>IF(HR_Data[[#This Row],[TotalWorkingYears]]&lt;=5,1,IF(HR_Data[[#This Row],[TotalWorkingYears]]&lt;=10,2,IF(HR_Data[[#This Row],[TotalWorkingYears]]&lt;=20,3,4)))</f>
        <v>4</v>
      </c>
    </row>
    <row r="492" spans="1:46" x14ac:dyDescent="0.25">
      <c r="A492">
        <v>38</v>
      </c>
      <c r="B492" t="s">
        <v>36</v>
      </c>
      <c r="C492" t="s">
        <v>30</v>
      </c>
      <c r="D492" t="s">
        <v>38</v>
      </c>
      <c r="E492">
        <v>1</v>
      </c>
      <c r="F492">
        <v>1</v>
      </c>
      <c r="G492" t="s">
        <v>32</v>
      </c>
      <c r="H492">
        <v>662</v>
      </c>
      <c r="I492">
        <v>3</v>
      </c>
      <c r="J492" t="s">
        <v>33</v>
      </c>
      <c r="K492">
        <v>3</v>
      </c>
      <c r="L492">
        <v>1</v>
      </c>
      <c r="M492" t="s">
        <v>40</v>
      </c>
      <c r="N492">
        <v>1</v>
      </c>
      <c r="O492" t="s">
        <v>35</v>
      </c>
      <c r="P492">
        <v>2619</v>
      </c>
      <c r="Q492">
        <v>3</v>
      </c>
      <c r="R492" t="s">
        <v>36</v>
      </c>
      <c r="S492">
        <v>17</v>
      </c>
      <c r="T492">
        <v>3</v>
      </c>
      <c r="U492">
        <v>4</v>
      </c>
      <c r="V492">
        <v>0</v>
      </c>
      <c r="W492">
        <v>8</v>
      </c>
      <c r="X492">
        <v>3</v>
      </c>
      <c r="Y492">
        <v>2</v>
      </c>
      <c r="Z492">
        <v>0</v>
      </c>
      <c r="AA492">
        <v>0</v>
      </c>
      <c r="AB492">
        <v>0</v>
      </c>
      <c r="AC492">
        <v>0</v>
      </c>
      <c r="AD492">
        <f>IF(HR_Data[[#This Row],[Attrition]]="Yes",1,0)</f>
        <v>0</v>
      </c>
      <c r="AE492" t="str">
        <f>IF(HR_Data[[#This Row],[Age]]&lt;=25,"18-25",IF(HR_Data[[#This Row],[Age]]&lt;=35,"26-35",IF(HR_Data[[#This Row],[Age]]&lt;=45,"36-45",IF(HR_Data[[#This Row],[Age]]&lt;=55,"46-55","55+"))))</f>
        <v>36-45</v>
      </c>
      <c r="AF492">
        <f>IF(HR_Data[[#This Row],[Age]]&lt;=25,1,IF(HR_Data[[#This Row],[Age]]&lt;=35,2,IF(HR_Data[[#This Row],[Age]]&lt;=45,3,IF(HR_Data[[#This Row],[Age]]&lt;=55,4,5))))</f>
        <v>3</v>
      </c>
      <c r="AG492" s="1" t="str">
        <f>IF(HR_Data[[#This Row],[MonthlyIncome]]&lt;3000,"&lt;3K",IF(HR_Data[[#This Row],[MonthlyIncome]]&lt;6000,"3K-6K",IF(HR_Data[[#This Row],[MonthlyIncome]]&lt;10000,"6K-10K","10K+")))</f>
        <v>&lt;3K</v>
      </c>
      <c r="AH492" s="1">
        <f>IF(HR_Data[[#This Row],[MonthlyIncome]]&lt;3000,1,IF(HR_Data[[#This Row],[MonthlyIncome]]&lt;6000,2,IF(HR_Data[[#This Row],[MonthlyIncome]]&lt;10000,3,4)))</f>
        <v>1</v>
      </c>
      <c r="AI492" s="1" t="str">
        <f>IF(HR_Data[[#This Row],[YearsAtCompany]]&lt;=2,"0-2 Yrs",IF(HR_Data[[#This Row],[YearsAtCompany]]&lt;=5,"3-5 Yrs",IF(HR_Data[[#This Row],[YearsAtCompany]]&lt;=10,"6-10 Yrs","10+ Yrs")))</f>
        <v>0-2 Yrs</v>
      </c>
      <c r="AJ492" s="1">
        <f>IF(HR_Data[[#This Row],[YearsAtCompany]]&lt;=2,1,IF(HR_Data[[#This Row],[YearsAtCompany]]&lt;=5,2,IF(HR_Data[[#This Row],[YearsAtCompany]]&lt;=10,3,4)))</f>
        <v>1</v>
      </c>
      <c r="AK492" s="1" t="str">
        <f>CHOOSE(HR_Data[[#This Row],[Education]],"Below College","College","Bachelor","Master","Doctor")</f>
        <v>Below College</v>
      </c>
      <c r="AL492" s="1" t="str">
        <f>CHOOSE(HR_Data[[#This Row],[JobSatisfaction]],"Low","Medium","High","Very High")</f>
        <v>Low</v>
      </c>
      <c r="AM492" s="1" t="str">
        <f>CHOOSE(HR_Data[[#This Row],[EnvironmentSatisfaction]],"Low","Medium","High","Very High")</f>
        <v>High</v>
      </c>
      <c r="AN492" s="1" t="str">
        <f>CHOOSE(HR_Data[[#This Row],[WorkLifeBalance]],"Bad","Good","Better","Best")</f>
        <v>Good</v>
      </c>
      <c r="AO492" s="1" t="str">
        <f>IF(HR_Data[[#This Row],[PercentSalaryHike]]&lt;=13,"11-13%",IF(HR_Data[[#This Row],[PercentSalaryHike]]&lt;=16,"14-16%",IF(HR_Data[[#This Row],[PercentSalaryHike]]&lt;=19,"17-19%","20-25%")))</f>
        <v>17-19%</v>
      </c>
      <c r="AP492" s="1">
        <f>IF(HR_Data[[#This Row],[PercentSalaryHike]]&lt;=13,1,IF(HR_Data[[#This Row],[PercentSalaryHike]]&lt;=16,2,IF(HR_Data[[#This Row],[PercentSalaryHike]]&lt;=19,3,4)))</f>
        <v>3</v>
      </c>
      <c r="AQ492" s="1" t="str">
        <f>IF(HR_Data[[#This Row],[DistanceFromHome]]&lt;=5,"1 to 5",IF(HR_Data[[#This Row],[DistanceFromHome]]&lt;=10,"6 to 10",IF(HR_Data[[#This Row],[DistanceFromHome]]&lt;=20,"11 to 20","21 to 29")))</f>
        <v>1 to 5</v>
      </c>
      <c r="AR492" s="1">
        <f>IF(HR_Data[[#This Row],[DistanceFromHome]]&lt;=5,1,IF(HR_Data[[#This Row],[DistanceFromHome]]&lt;=10,2,IF(HR_Data[[#This Row],[DistanceFromHome]]&lt;=20,3,4)))</f>
        <v>1</v>
      </c>
      <c r="AS492" s="1" t="str">
        <f>IF(HR_Data[[#This Row],[TotalWorkingYears]]&lt;=5,"0-5 Yrs",IF(HR_Data[[#This Row],[TotalWorkingYears]]&lt;=10,"6-10 Yrs",IF(HR_Data[[#This Row],[TotalWorkingYears]]&lt;=20,"11-20 Yrs","20+ Yrs")))</f>
        <v>6-10 Yrs</v>
      </c>
      <c r="AT492" s="1">
        <f>IF(HR_Data[[#This Row],[TotalWorkingYears]]&lt;=5,1,IF(HR_Data[[#This Row],[TotalWorkingYears]]&lt;=10,2,IF(HR_Data[[#This Row],[TotalWorkingYears]]&lt;=20,3,4)))</f>
        <v>2</v>
      </c>
    </row>
    <row r="493" spans="1:46" x14ac:dyDescent="0.25">
      <c r="A493">
        <v>43</v>
      </c>
      <c r="B493" t="s">
        <v>36</v>
      </c>
      <c r="C493" t="s">
        <v>37</v>
      </c>
      <c r="D493" t="s">
        <v>38</v>
      </c>
      <c r="E493">
        <v>9</v>
      </c>
      <c r="F493">
        <v>5</v>
      </c>
      <c r="G493" t="s">
        <v>44</v>
      </c>
      <c r="H493">
        <v>663</v>
      </c>
      <c r="I493">
        <v>4</v>
      </c>
      <c r="J493" t="s">
        <v>39</v>
      </c>
      <c r="K493">
        <v>3</v>
      </c>
      <c r="L493">
        <v>2</v>
      </c>
      <c r="M493" t="s">
        <v>43</v>
      </c>
      <c r="N493">
        <v>3</v>
      </c>
      <c r="O493" t="s">
        <v>45</v>
      </c>
      <c r="P493">
        <v>5679</v>
      </c>
      <c r="Q493">
        <v>3</v>
      </c>
      <c r="R493" t="s">
        <v>29</v>
      </c>
      <c r="S493">
        <v>13</v>
      </c>
      <c r="T493">
        <v>3</v>
      </c>
      <c r="U493">
        <v>2</v>
      </c>
      <c r="V493">
        <v>1</v>
      </c>
      <c r="W493">
        <v>10</v>
      </c>
      <c r="X493">
        <v>3</v>
      </c>
      <c r="Y493">
        <v>3</v>
      </c>
      <c r="Z493">
        <v>8</v>
      </c>
      <c r="AA493">
        <v>7</v>
      </c>
      <c r="AB493">
        <v>4</v>
      </c>
      <c r="AC493">
        <v>7</v>
      </c>
      <c r="AD493">
        <f>IF(HR_Data[[#This Row],[Attrition]]="Yes",1,0)</f>
        <v>0</v>
      </c>
      <c r="AE493" t="str">
        <f>IF(HR_Data[[#This Row],[Age]]&lt;=25,"18-25",IF(HR_Data[[#This Row],[Age]]&lt;=35,"26-35",IF(HR_Data[[#This Row],[Age]]&lt;=45,"36-45",IF(HR_Data[[#This Row],[Age]]&lt;=55,"46-55","55+"))))</f>
        <v>36-45</v>
      </c>
      <c r="AF493">
        <f>IF(HR_Data[[#This Row],[Age]]&lt;=25,1,IF(HR_Data[[#This Row],[Age]]&lt;=35,2,IF(HR_Data[[#This Row],[Age]]&lt;=45,3,IF(HR_Data[[#This Row],[Age]]&lt;=55,4,5))))</f>
        <v>3</v>
      </c>
      <c r="AG493" s="1" t="str">
        <f>IF(HR_Data[[#This Row],[MonthlyIncome]]&lt;3000,"&lt;3K",IF(HR_Data[[#This Row],[MonthlyIncome]]&lt;6000,"3K-6K",IF(HR_Data[[#This Row],[MonthlyIncome]]&lt;10000,"6K-10K","10K+")))</f>
        <v>3K-6K</v>
      </c>
      <c r="AH493" s="1">
        <f>IF(HR_Data[[#This Row],[MonthlyIncome]]&lt;3000,1,IF(HR_Data[[#This Row],[MonthlyIncome]]&lt;6000,2,IF(HR_Data[[#This Row],[MonthlyIncome]]&lt;10000,3,4)))</f>
        <v>2</v>
      </c>
      <c r="AI493" s="1" t="str">
        <f>IF(HR_Data[[#This Row],[YearsAtCompany]]&lt;=2,"0-2 Yrs",IF(HR_Data[[#This Row],[YearsAtCompany]]&lt;=5,"3-5 Yrs",IF(HR_Data[[#This Row],[YearsAtCompany]]&lt;=10,"6-10 Yrs","10+ Yrs")))</f>
        <v>6-10 Yrs</v>
      </c>
      <c r="AJ493" s="1">
        <f>IF(HR_Data[[#This Row],[YearsAtCompany]]&lt;=2,1,IF(HR_Data[[#This Row],[YearsAtCompany]]&lt;=5,2,IF(HR_Data[[#This Row],[YearsAtCompany]]&lt;=10,3,4)))</f>
        <v>3</v>
      </c>
      <c r="AK493" s="1" t="str">
        <f>CHOOSE(HR_Data[[#This Row],[Education]],"Below College","College","Bachelor","Master","Doctor")</f>
        <v>Doctor</v>
      </c>
      <c r="AL493" s="1" t="str">
        <f>CHOOSE(HR_Data[[#This Row],[JobSatisfaction]],"Low","Medium","High","Very High")</f>
        <v>High</v>
      </c>
      <c r="AM493" s="1" t="str">
        <f>CHOOSE(HR_Data[[#This Row],[EnvironmentSatisfaction]],"Low","Medium","High","Very High")</f>
        <v>Very High</v>
      </c>
      <c r="AN493" s="1" t="str">
        <f>CHOOSE(HR_Data[[#This Row],[WorkLifeBalance]],"Bad","Good","Better","Best")</f>
        <v>Better</v>
      </c>
      <c r="AO493" s="1" t="str">
        <f>IF(HR_Data[[#This Row],[PercentSalaryHike]]&lt;=13,"11-13%",IF(HR_Data[[#This Row],[PercentSalaryHike]]&lt;=16,"14-16%",IF(HR_Data[[#This Row],[PercentSalaryHike]]&lt;=19,"17-19%","20-25%")))</f>
        <v>11-13%</v>
      </c>
      <c r="AP493" s="1">
        <f>IF(HR_Data[[#This Row],[PercentSalaryHike]]&lt;=13,1,IF(HR_Data[[#This Row],[PercentSalaryHike]]&lt;=16,2,IF(HR_Data[[#This Row],[PercentSalaryHike]]&lt;=19,3,4)))</f>
        <v>1</v>
      </c>
      <c r="AQ493" s="1" t="str">
        <f>IF(HR_Data[[#This Row],[DistanceFromHome]]&lt;=5,"1 to 5",IF(HR_Data[[#This Row],[DistanceFromHome]]&lt;=10,"6 to 10",IF(HR_Data[[#This Row],[DistanceFromHome]]&lt;=20,"11 to 20","21 to 29")))</f>
        <v>6 to 10</v>
      </c>
      <c r="AR493" s="1">
        <f>IF(HR_Data[[#This Row],[DistanceFromHome]]&lt;=5,1,IF(HR_Data[[#This Row],[DistanceFromHome]]&lt;=10,2,IF(HR_Data[[#This Row],[DistanceFromHome]]&lt;=20,3,4)))</f>
        <v>2</v>
      </c>
      <c r="AS493" s="1" t="str">
        <f>IF(HR_Data[[#This Row],[TotalWorkingYears]]&lt;=5,"0-5 Yrs",IF(HR_Data[[#This Row],[TotalWorkingYears]]&lt;=10,"6-10 Yrs",IF(HR_Data[[#This Row],[TotalWorkingYears]]&lt;=20,"11-20 Yrs","20+ Yrs")))</f>
        <v>6-10 Yrs</v>
      </c>
      <c r="AT493" s="1">
        <f>IF(HR_Data[[#This Row],[TotalWorkingYears]]&lt;=5,1,IF(HR_Data[[#This Row],[TotalWorkingYears]]&lt;=10,2,IF(HR_Data[[#This Row],[TotalWorkingYears]]&lt;=20,3,4)))</f>
        <v>2</v>
      </c>
    </row>
    <row r="494" spans="1:46" x14ac:dyDescent="0.25">
      <c r="A494">
        <v>48</v>
      </c>
      <c r="B494" t="s">
        <v>36</v>
      </c>
      <c r="C494" t="s">
        <v>30</v>
      </c>
      <c r="D494" t="s">
        <v>38</v>
      </c>
      <c r="E494">
        <v>1</v>
      </c>
      <c r="F494">
        <v>4</v>
      </c>
      <c r="G494" t="s">
        <v>32</v>
      </c>
      <c r="H494">
        <v>664</v>
      </c>
      <c r="I494">
        <v>4</v>
      </c>
      <c r="J494" t="s">
        <v>33</v>
      </c>
      <c r="K494">
        <v>2</v>
      </c>
      <c r="L494">
        <v>4</v>
      </c>
      <c r="M494" t="s">
        <v>49</v>
      </c>
      <c r="N494">
        <v>1</v>
      </c>
      <c r="O494" t="s">
        <v>41</v>
      </c>
      <c r="P494">
        <v>15402</v>
      </c>
      <c r="Q494">
        <v>7</v>
      </c>
      <c r="R494" t="s">
        <v>36</v>
      </c>
      <c r="S494">
        <v>11</v>
      </c>
      <c r="T494">
        <v>3</v>
      </c>
      <c r="U494">
        <v>1</v>
      </c>
      <c r="V494">
        <v>1</v>
      </c>
      <c r="W494">
        <v>21</v>
      </c>
      <c r="X494">
        <v>3</v>
      </c>
      <c r="Y494">
        <v>1</v>
      </c>
      <c r="Z494">
        <v>3</v>
      </c>
      <c r="AA494">
        <v>2</v>
      </c>
      <c r="AB494">
        <v>0</v>
      </c>
      <c r="AC494">
        <v>2</v>
      </c>
      <c r="AD494">
        <f>IF(HR_Data[[#This Row],[Attrition]]="Yes",1,0)</f>
        <v>0</v>
      </c>
      <c r="AE494" t="str">
        <f>IF(HR_Data[[#This Row],[Age]]&lt;=25,"18-25",IF(HR_Data[[#This Row],[Age]]&lt;=35,"26-35",IF(HR_Data[[#This Row],[Age]]&lt;=45,"36-45",IF(HR_Data[[#This Row],[Age]]&lt;=55,"46-55","55+"))))</f>
        <v>46-55</v>
      </c>
      <c r="AF494">
        <f>IF(HR_Data[[#This Row],[Age]]&lt;=25,1,IF(HR_Data[[#This Row],[Age]]&lt;=35,2,IF(HR_Data[[#This Row],[Age]]&lt;=45,3,IF(HR_Data[[#This Row],[Age]]&lt;=55,4,5))))</f>
        <v>4</v>
      </c>
      <c r="AG494" s="1" t="str">
        <f>IF(HR_Data[[#This Row],[MonthlyIncome]]&lt;3000,"&lt;3K",IF(HR_Data[[#This Row],[MonthlyIncome]]&lt;6000,"3K-6K",IF(HR_Data[[#This Row],[MonthlyIncome]]&lt;10000,"6K-10K","10K+")))</f>
        <v>10K+</v>
      </c>
      <c r="AH494" s="1">
        <f>IF(HR_Data[[#This Row],[MonthlyIncome]]&lt;3000,1,IF(HR_Data[[#This Row],[MonthlyIncome]]&lt;6000,2,IF(HR_Data[[#This Row],[MonthlyIncome]]&lt;10000,3,4)))</f>
        <v>4</v>
      </c>
      <c r="AI494" s="1" t="str">
        <f>IF(HR_Data[[#This Row],[YearsAtCompany]]&lt;=2,"0-2 Yrs",IF(HR_Data[[#This Row],[YearsAtCompany]]&lt;=5,"3-5 Yrs",IF(HR_Data[[#This Row],[YearsAtCompany]]&lt;=10,"6-10 Yrs","10+ Yrs")))</f>
        <v>3-5 Yrs</v>
      </c>
      <c r="AJ494" s="1">
        <f>IF(HR_Data[[#This Row],[YearsAtCompany]]&lt;=2,1,IF(HR_Data[[#This Row],[YearsAtCompany]]&lt;=5,2,IF(HR_Data[[#This Row],[YearsAtCompany]]&lt;=10,3,4)))</f>
        <v>2</v>
      </c>
      <c r="AK494" s="1" t="str">
        <f>CHOOSE(HR_Data[[#This Row],[Education]],"Below College","College","Bachelor","Master","Doctor")</f>
        <v>Master</v>
      </c>
      <c r="AL494" s="1" t="str">
        <f>CHOOSE(HR_Data[[#This Row],[JobSatisfaction]],"Low","Medium","High","Very High")</f>
        <v>Low</v>
      </c>
      <c r="AM494" s="1" t="str">
        <f>CHOOSE(HR_Data[[#This Row],[EnvironmentSatisfaction]],"Low","Medium","High","Very High")</f>
        <v>Very High</v>
      </c>
      <c r="AN494" s="1" t="str">
        <f>CHOOSE(HR_Data[[#This Row],[WorkLifeBalance]],"Bad","Good","Better","Best")</f>
        <v>Bad</v>
      </c>
      <c r="AO494" s="1" t="str">
        <f>IF(HR_Data[[#This Row],[PercentSalaryHike]]&lt;=13,"11-13%",IF(HR_Data[[#This Row],[PercentSalaryHike]]&lt;=16,"14-16%",IF(HR_Data[[#This Row],[PercentSalaryHike]]&lt;=19,"17-19%","20-25%")))</f>
        <v>11-13%</v>
      </c>
      <c r="AP494" s="1">
        <f>IF(HR_Data[[#This Row],[PercentSalaryHike]]&lt;=13,1,IF(HR_Data[[#This Row],[PercentSalaryHike]]&lt;=16,2,IF(HR_Data[[#This Row],[PercentSalaryHike]]&lt;=19,3,4)))</f>
        <v>1</v>
      </c>
      <c r="AQ494" s="1" t="str">
        <f>IF(HR_Data[[#This Row],[DistanceFromHome]]&lt;=5,"1 to 5",IF(HR_Data[[#This Row],[DistanceFromHome]]&lt;=10,"6 to 10",IF(HR_Data[[#This Row],[DistanceFromHome]]&lt;=20,"11 to 20","21 to 29")))</f>
        <v>1 to 5</v>
      </c>
      <c r="AR494" s="1">
        <f>IF(HR_Data[[#This Row],[DistanceFromHome]]&lt;=5,1,IF(HR_Data[[#This Row],[DistanceFromHome]]&lt;=10,2,IF(HR_Data[[#This Row],[DistanceFromHome]]&lt;=20,3,4)))</f>
        <v>1</v>
      </c>
      <c r="AS494" s="1" t="str">
        <f>IF(HR_Data[[#This Row],[TotalWorkingYears]]&lt;=5,"0-5 Yrs",IF(HR_Data[[#This Row],[TotalWorkingYears]]&lt;=10,"6-10 Yrs",IF(HR_Data[[#This Row],[TotalWorkingYears]]&lt;=20,"11-20 Yrs","20+ Yrs")))</f>
        <v>20+ Yrs</v>
      </c>
      <c r="AT494" s="1">
        <f>IF(HR_Data[[#This Row],[TotalWorkingYears]]&lt;=5,1,IF(HR_Data[[#This Row],[TotalWorkingYears]]&lt;=10,2,IF(HR_Data[[#This Row],[TotalWorkingYears]]&lt;=20,3,4)))</f>
        <v>4</v>
      </c>
    </row>
    <row r="495" spans="1:46" x14ac:dyDescent="0.25">
      <c r="A495">
        <v>44</v>
      </c>
      <c r="B495" t="s">
        <v>36</v>
      </c>
      <c r="C495" t="s">
        <v>30</v>
      </c>
      <c r="D495" t="s">
        <v>54</v>
      </c>
      <c r="E495">
        <v>1</v>
      </c>
      <c r="F495">
        <v>4</v>
      </c>
      <c r="G495" t="s">
        <v>32</v>
      </c>
      <c r="H495">
        <v>665</v>
      </c>
      <c r="I495">
        <v>1</v>
      </c>
      <c r="J495" t="s">
        <v>33</v>
      </c>
      <c r="K495">
        <v>2</v>
      </c>
      <c r="L495">
        <v>2</v>
      </c>
      <c r="M495" t="s">
        <v>54</v>
      </c>
      <c r="N495">
        <v>3</v>
      </c>
      <c r="O495" t="s">
        <v>35</v>
      </c>
      <c r="P495">
        <v>5985</v>
      </c>
      <c r="Q495">
        <v>4</v>
      </c>
      <c r="R495" t="s">
        <v>36</v>
      </c>
      <c r="S495">
        <v>11</v>
      </c>
      <c r="T495">
        <v>3</v>
      </c>
      <c r="U495">
        <v>2</v>
      </c>
      <c r="V495">
        <v>0</v>
      </c>
      <c r="W495">
        <v>10</v>
      </c>
      <c r="X495">
        <v>1</v>
      </c>
      <c r="Y495">
        <v>4</v>
      </c>
      <c r="Z495">
        <v>2</v>
      </c>
      <c r="AA495">
        <v>2</v>
      </c>
      <c r="AB495">
        <v>0</v>
      </c>
      <c r="AC495">
        <v>2</v>
      </c>
      <c r="AD495">
        <f>IF(HR_Data[[#This Row],[Attrition]]="Yes",1,0)</f>
        <v>0</v>
      </c>
      <c r="AE495" t="str">
        <f>IF(HR_Data[[#This Row],[Age]]&lt;=25,"18-25",IF(HR_Data[[#This Row],[Age]]&lt;=35,"26-35",IF(HR_Data[[#This Row],[Age]]&lt;=45,"36-45",IF(HR_Data[[#This Row],[Age]]&lt;=55,"46-55","55+"))))</f>
        <v>36-45</v>
      </c>
      <c r="AF495">
        <f>IF(HR_Data[[#This Row],[Age]]&lt;=25,1,IF(HR_Data[[#This Row],[Age]]&lt;=35,2,IF(HR_Data[[#This Row],[Age]]&lt;=45,3,IF(HR_Data[[#This Row],[Age]]&lt;=55,4,5))))</f>
        <v>3</v>
      </c>
      <c r="AG495" s="1" t="str">
        <f>IF(HR_Data[[#This Row],[MonthlyIncome]]&lt;3000,"&lt;3K",IF(HR_Data[[#This Row],[MonthlyIncome]]&lt;6000,"3K-6K",IF(HR_Data[[#This Row],[MonthlyIncome]]&lt;10000,"6K-10K","10K+")))</f>
        <v>3K-6K</v>
      </c>
      <c r="AH495" s="1">
        <f>IF(HR_Data[[#This Row],[MonthlyIncome]]&lt;3000,1,IF(HR_Data[[#This Row],[MonthlyIncome]]&lt;6000,2,IF(HR_Data[[#This Row],[MonthlyIncome]]&lt;10000,3,4)))</f>
        <v>2</v>
      </c>
      <c r="AI495" s="1" t="str">
        <f>IF(HR_Data[[#This Row],[YearsAtCompany]]&lt;=2,"0-2 Yrs",IF(HR_Data[[#This Row],[YearsAtCompany]]&lt;=5,"3-5 Yrs",IF(HR_Data[[#This Row],[YearsAtCompany]]&lt;=10,"6-10 Yrs","10+ Yrs")))</f>
        <v>0-2 Yrs</v>
      </c>
      <c r="AJ495" s="1">
        <f>IF(HR_Data[[#This Row],[YearsAtCompany]]&lt;=2,1,IF(HR_Data[[#This Row],[YearsAtCompany]]&lt;=5,2,IF(HR_Data[[#This Row],[YearsAtCompany]]&lt;=10,3,4)))</f>
        <v>1</v>
      </c>
      <c r="AK495" s="1" t="str">
        <f>CHOOSE(HR_Data[[#This Row],[Education]],"Below College","College","Bachelor","Master","Doctor")</f>
        <v>Master</v>
      </c>
      <c r="AL495" s="1" t="str">
        <f>CHOOSE(HR_Data[[#This Row],[JobSatisfaction]],"Low","Medium","High","Very High")</f>
        <v>High</v>
      </c>
      <c r="AM495" s="1" t="str">
        <f>CHOOSE(HR_Data[[#This Row],[EnvironmentSatisfaction]],"Low","Medium","High","Very High")</f>
        <v>Low</v>
      </c>
      <c r="AN495" s="1" t="str">
        <f>CHOOSE(HR_Data[[#This Row],[WorkLifeBalance]],"Bad","Good","Better","Best")</f>
        <v>Best</v>
      </c>
      <c r="AO495" s="1" t="str">
        <f>IF(HR_Data[[#This Row],[PercentSalaryHike]]&lt;=13,"11-13%",IF(HR_Data[[#This Row],[PercentSalaryHike]]&lt;=16,"14-16%",IF(HR_Data[[#This Row],[PercentSalaryHike]]&lt;=19,"17-19%","20-25%")))</f>
        <v>11-13%</v>
      </c>
      <c r="AP495" s="1">
        <f>IF(HR_Data[[#This Row],[PercentSalaryHike]]&lt;=13,1,IF(HR_Data[[#This Row],[PercentSalaryHike]]&lt;=16,2,IF(HR_Data[[#This Row],[PercentSalaryHike]]&lt;=19,3,4)))</f>
        <v>1</v>
      </c>
      <c r="AQ495" s="1" t="str">
        <f>IF(HR_Data[[#This Row],[DistanceFromHome]]&lt;=5,"1 to 5",IF(HR_Data[[#This Row],[DistanceFromHome]]&lt;=10,"6 to 10",IF(HR_Data[[#This Row],[DistanceFromHome]]&lt;=20,"11 to 20","21 to 29")))</f>
        <v>1 to 5</v>
      </c>
      <c r="AR495" s="1">
        <f>IF(HR_Data[[#This Row],[DistanceFromHome]]&lt;=5,1,IF(HR_Data[[#This Row],[DistanceFromHome]]&lt;=10,2,IF(HR_Data[[#This Row],[DistanceFromHome]]&lt;=20,3,4)))</f>
        <v>1</v>
      </c>
      <c r="AS495" s="1" t="str">
        <f>IF(HR_Data[[#This Row],[TotalWorkingYears]]&lt;=5,"0-5 Yrs",IF(HR_Data[[#This Row],[TotalWorkingYears]]&lt;=10,"6-10 Yrs",IF(HR_Data[[#This Row],[TotalWorkingYears]]&lt;=20,"11-20 Yrs","20+ Yrs")))</f>
        <v>6-10 Yrs</v>
      </c>
      <c r="AT495" s="1">
        <f>IF(HR_Data[[#This Row],[TotalWorkingYears]]&lt;=5,1,IF(HR_Data[[#This Row],[TotalWorkingYears]]&lt;=10,2,IF(HR_Data[[#This Row],[TotalWorkingYears]]&lt;=20,3,4)))</f>
        <v>2</v>
      </c>
    </row>
    <row r="496" spans="1:46" x14ac:dyDescent="0.25">
      <c r="A496">
        <v>34</v>
      </c>
      <c r="B496" t="s">
        <v>36</v>
      </c>
      <c r="C496" t="s">
        <v>30</v>
      </c>
      <c r="D496" t="s">
        <v>31</v>
      </c>
      <c r="E496">
        <v>14</v>
      </c>
      <c r="F496">
        <v>3</v>
      </c>
      <c r="G496" t="s">
        <v>53</v>
      </c>
      <c r="H496">
        <v>666</v>
      </c>
      <c r="I496">
        <v>3</v>
      </c>
      <c r="J496" t="s">
        <v>33</v>
      </c>
      <c r="K496">
        <v>3</v>
      </c>
      <c r="L496">
        <v>1</v>
      </c>
      <c r="M496" t="s">
        <v>50</v>
      </c>
      <c r="N496">
        <v>3</v>
      </c>
      <c r="O496" t="s">
        <v>45</v>
      </c>
      <c r="P496">
        <v>2579</v>
      </c>
      <c r="Q496">
        <v>1</v>
      </c>
      <c r="R496" t="s">
        <v>29</v>
      </c>
      <c r="S496">
        <v>18</v>
      </c>
      <c r="T496">
        <v>3</v>
      </c>
      <c r="U496">
        <v>4</v>
      </c>
      <c r="V496">
        <v>2</v>
      </c>
      <c r="W496">
        <v>8</v>
      </c>
      <c r="X496">
        <v>3</v>
      </c>
      <c r="Y496">
        <v>3</v>
      </c>
      <c r="Z496">
        <v>8</v>
      </c>
      <c r="AA496">
        <v>2</v>
      </c>
      <c r="AB496">
        <v>0</v>
      </c>
      <c r="AC496">
        <v>6</v>
      </c>
      <c r="AD496">
        <f>IF(HR_Data[[#This Row],[Attrition]]="Yes",1,0)</f>
        <v>0</v>
      </c>
      <c r="AE496" t="str">
        <f>IF(HR_Data[[#This Row],[Age]]&lt;=25,"18-25",IF(HR_Data[[#This Row],[Age]]&lt;=35,"26-35",IF(HR_Data[[#This Row],[Age]]&lt;=45,"36-45",IF(HR_Data[[#This Row],[Age]]&lt;=55,"46-55","55+"))))</f>
        <v>26-35</v>
      </c>
      <c r="AF496">
        <f>IF(HR_Data[[#This Row],[Age]]&lt;=25,1,IF(HR_Data[[#This Row],[Age]]&lt;=35,2,IF(HR_Data[[#This Row],[Age]]&lt;=45,3,IF(HR_Data[[#This Row],[Age]]&lt;=55,4,5))))</f>
        <v>2</v>
      </c>
      <c r="AG496" s="1" t="str">
        <f>IF(HR_Data[[#This Row],[MonthlyIncome]]&lt;3000,"&lt;3K",IF(HR_Data[[#This Row],[MonthlyIncome]]&lt;6000,"3K-6K",IF(HR_Data[[#This Row],[MonthlyIncome]]&lt;10000,"6K-10K","10K+")))</f>
        <v>&lt;3K</v>
      </c>
      <c r="AH496" s="1">
        <f>IF(HR_Data[[#This Row],[MonthlyIncome]]&lt;3000,1,IF(HR_Data[[#This Row],[MonthlyIncome]]&lt;6000,2,IF(HR_Data[[#This Row],[MonthlyIncome]]&lt;10000,3,4)))</f>
        <v>1</v>
      </c>
      <c r="AI496" s="1" t="str">
        <f>IF(HR_Data[[#This Row],[YearsAtCompany]]&lt;=2,"0-2 Yrs",IF(HR_Data[[#This Row],[YearsAtCompany]]&lt;=5,"3-5 Yrs",IF(HR_Data[[#This Row],[YearsAtCompany]]&lt;=10,"6-10 Yrs","10+ Yrs")))</f>
        <v>6-10 Yrs</v>
      </c>
      <c r="AJ496" s="1">
        <f>IF(HR_Data[[#This Row],[YearsAtCompany]]&lt;=2,1,IF(HR_Data[[#This Row],[YearsAtCompany]]&lt;=5,2,IF(HR_Data[[#This Row],[YearsAtCompany]]&lt;=10,3,4)))</f>
        <v>3</v>
      </c>
      <c r="AK496" s="1" t="str">
        <f>CHOOSE(HR_Data[[#This Row],[Education]],"Below College","College","Bachelor","Master","Doctor")</f>
        <v>Bachelor</v>
      </c>
      <c r="AL496" s="1" t="str">
        <f>CHOOSE(HR_Data[[#This Row],[JobSatisfaction]],"Low","Medium","High","Very High")</f>
        <v>High</v>
      </c>
      <c r="AM496" s="1" t="str">
        <f>CHOOSE(HR_Data[[#This Row],[EnvironmentSatisfaction]],"Low","Medium","High","Very High")</f>
        <v>High</v>
      </c>
      <c r="AN496" s="1" t="str">
        <f>CHOOSE(HR_Data[[#This Row],[WorkLifeBalance]],"Bad","Good","Better","Best")</f>
        <v>Better</v>
      </c>
      <c r="AO496" s="1" t="str">
        <f>IF(HR_Data[[#This Row],[PercentSalaryHike]]&lt;=13,"11-13%",IF(HR_Data[[#This Row],[PercentSalaryHike]]&lt;=16,"14-16%",IF(HR_Data[[#This Row],[PercentSalaryHike]]&lt;=19,"17-19%","20-25%")))</f>
        <v>17-19%</v>
      </c>
      <c r="AP496" s="1">
        <f>IF(HR_Data[[#This Row],[PercentSalaryHike]]&lt;=13,1,IF(HR_Data[[#This Row],[PercentSalaryHike]]&lt;=16,2,IF(HR_Data[[#This Row],[PercentSalaryHike]]&lt;=19,3,4)))</f>
        <v>3</v>
      </c>
      <c r="AQ496" s="1" t="str">
        <f>IF(HR_Data[[#This Row],[DistanceFromHome]]&lt;=5,"1 to 5",IF(HR_Data[[#This Row],[DistanceFromHome]]&lt;=10,"6 to 10",IF(HR_Data[[#This Row],[DistanceFromHome]]&lt;=20,"11 to 20","21 to 29")))</f>
        <v>11 to 20</v>
      </c>
      <c r="AR496" s="1">
        <f>IF(HR_Data[[#This Row],[DistanceFromHome]]&lt;=5,1,IF(HR_Data[[#This Row],[DistanceFromHome]]&lt;=10,2,IF(HR_Data[[#This Row],[DistanceFromHome]]&lt;=20,3,4)))</f>
        <v>3</v>
      </c>
      <c r="AS496" s="1" t="str">
        <f>IF(HR_Data[[#This Row],[TotalWorkingYears]]&lt;=5,"0-5 Yrs",IF(HR_Data[[#This Row],[TotalWorkingYears]]&lt;=10,"6-10 Yrs",IF(HR_Data[[#This Row],[TotalWorkingYears]]&lt;=20,"11-20 Yrs","20+ Yrs")))</f>
        <v>6-10 Yrs</v>
      </c>
      <c r="AT496" s="1">
        <f>IF(HR_Data[[#This Row],[TotalWorkingYears]]&lt;=5,1,IF(HR_Data[[#This Row],[TotalWorkingYears]]&lt;=10,2,IF(HR_Data[[#This Row],[TotalWorkingYears]]&lt;=20,3,4)))</f>
        <v>2</v>
      </c>
    </row>
    <row r="497" spans="1:46" x14ac:dyDescent="0.25">
      <c r="A497">
        <v>27</v>
      </c>
      <c r="B497" t="s">
        <v>29</v>
      </c>
      <c r="C497" t="s">
        <v>30</v>
      </c>
      <c r="D497" t="s">
        <v>31</v>
      </c>
      <c r="E497">
        <v>2</v>
      </c>
      <c r="F497">
        <v>1</v>
      </c>
      <c r="G497" t="s">
        <v>52</v>
      </c>
      <c r="H497">
        <v>667</v>
      </c>
      <c r="I497">
        <v>3</v>
      </c>
      <c r="J497" t="s">
        <v>39</v>
      </c>
      <c r="K497">
        <v>3</v>
      </c>
      <c r="L497">
        <v>1</v>
      </c>
      <c r="M497" t="s">
        <v>50</v>
      </c>
      <c r="N497">
        <v>1</v>
      </c>
      <c r="O497" t="s">
        <v>45</v>
      </c>
      <c r="P497">
        <v>3041</v>
      </c>
      <c r="Q497">
        <v>0</v>
      </c>
      <c r="R497" t="s">
        <v>36</v>
      </c>
      <c r="S497">
        <v>11</v>
      </c>
      <c r="T497">
        <v>3</v>
      </c>
      <c r="U497">
        <v>2</v>
      </c>
      <c r="V497">
        <v>1</v>
      </c>
      <c r="W497">
        <v>5</v>
      </c>
      <c r="X497">
        <v>3</v>
      </c>
      <c r="Y497">
        <v>3</v>
      </c>
      <c r="Z497">
        <v>4</v>
      </c>
      <c r="AA497">
        <v>3</v>
      </c>
      <c r="AB497">
        <v>0</v>
      </c>
      <c r="AC497">
        <v>2</v>
      </c>
      <c r="AD497">
        <f>IF(HR_Data[[#This Row],[Attrition]]="Yes",1,0)</f>
        <v>1</v>
      </c>
      <c r="AE497" t="str">
        <f>IF(HR_Data[[#This Row],[Age]]&lt;=25,"18-25",IF(HR_Data[[#This Row],[Age]]&lt;=35,"26-35",IF(HR_Data[[#This Row],[Age]]&lt;=45,"36-45",IF(HR_Data[[#This Row],[Age]]&lt;=55,"46-55","55+"))))</f>
        <v>26-35</v>
      </c>
      <c r="AF497">
        <f>IF(HR_Data[[#This Row],[Age]]&lt;=25,1,IF(HR_Data[[#This Row],[Age]]&lt;=35,2,IF(HR_Data[[#This Row],[Age]]&lt;=45,3,IF(HR_Data[[#This Row],[Age]]&lt;=55,4,5))))</f>
        <v>2</v>
      </c>
      <c r="AG497" s="1" t="str">
        <f>IF(HR_Data[[#This Row],[MonthlyIncome]]&lt;3000,"&lt;3K",IF(HR_Data[[#This Row],[MonthlyIncome]]&lt;6000,"3K-6K",IF(HR_Data[[#This Row],[MonthlyIncome]]&lt;10000,"6K-10K","10K+")))</f>
        <v>3K-6K</v>
      </c>
      <c r="AH497" s="1">
        <f>IF(HR_Data[[#This Row],[MonthlyIncome]]&lt;3000,1,IF(HR_Data[[#This Row],[MonthlyIncome]]&lt;6000,2,IF(HR_Data[[#This Row],[MonthlyIncome]]&lt;10000,3,4)))</f>
        <v>2</v>
      </c>
      <c r="AI497" s="1" t="str">
        <f>IF(HR_Data[[#This Row],[YearsAtCompany]]&lt;=2,"0-2 Yrs",IF(HR_Data[[#This Row],[YearsAtCompany]]&lt;=5,"3-5 Yrs",IF(HR_Data[[#This Row],[YearsAtCompany]]&lt;=10,"6-10 Yrs","10+ Yrs")))</f>
        <v>3-5 Yrs</v>
      </c>
      <c r="AJ497" s="1">
        <f>IF(HR_Data[[#This Row],[YearsAtCompany]]&lt;=2,1,IF(HR_Data[[#This Row],[YearsAtCompany]]&lt;=5,2,IF(HR_Data[[#This Row],[YearsAtCompany]]&lt;=10,3,4)))</f>
        <v>2</v>
      </c>
      <c r="AK497" s="1" t="str">
        <f>CHOOSE(HR_Data[[#This Row],[Education]],"Below College","College","Bachelor","Master","Doctor")</f>
        <v>Below College</v>
      </c>
      <c r="AL497" s="1" t="str">
        <f>CHOOSE(HR_Data[[#This Row],[JobSatisfaction]],"Low","Medium","High","Very High")</f>
        <v>Low</v>
      </c>
      <c r="AM497" s="1" t="str">
        <f>CHOOSE(HR_Data[[#This Row],[EnvironmentSatisfaction]],"Low","Medium","High","Very High")</f>
        <v>High</v>
      </c>
      <c r="AN497" s="1" t="str">
        <f>CHOOSE(HR_Data[[#This Row],[WorkLifeBalance]],"Bad","Good","Better","Best")</f>
        <v>Better</v>
      </c>
      <c r="AO497" s="1" t="str">
        <f>IF(HR_Data[[#This Row],[PercentSalaryHike]]&lt;=13,"11-13%",IF(HR_Data[[#This Row],[PercentSalaryHike]]&lt;=16,"14-16%",IF(HR_Data[[#This Row],[PercentSalaryHike]]&lt;=19,"17-19%","20-25%")))</f>
        <v>11-13%</v>
      </c>
      <c r="AP497" s="1">
        <f>IF(HR_Data[[#This Row],[PercentSalaryHike]]&lt;=13,1,IF(HR_Data[[#This Row],[PercentSalaryHike]]&lt;=16,2,IF(HR_Data[[#This Row],[PercentSalaryHike]]&lt;=19,3,4)))</f>
        <v>1</v>
      </c>
      <c r="AQ497" s="1" t="str">
        <f>IF(HR_Data[[#This Row],[DistanceFromHome]]&lt;=5,"1 to 5",IF(HR_Data[[#This Row],[DistanceFromHome]]&lt;=10,"6 to 10",IF(HR_Data[[#This Row],[DistanceFromHome]]&lt;=20,"11 to 20","21 to 29")))</f>
        <v>1 to 5</v>
      </c>
      <c r="AR497" s="1">
        <f>IF(HR_Data[[#This Row],[DistanceFromHome]]&lt;=5,1,IF(HR_Data[[#This Row],[DistanceFromHome]]&lt;=10,2,IF(HR_Data[[#This Row],[DistanceFromHome]]&lt;=20,3,4)))</f>
        <v>1</v>
      </c>
      <c r="AS497" s="1" t="str">
        <f>IF(HR_Data[[#This Row],[TotalWorkingYears]]&lt;=5,"0-5 Yrs",IF(HR_Data[[#This Row],[TotalWorkingYears]]&lt;=10,"6-10 Yrs",IF(HR_Data[[#This Row],[TotalWorkingYears]]&lt;=20,"11-20 Yrs","20+ Yrs")))</f>
        <v>0-5 Yrs</v>
      </c>
      <c r="AT497" s="1">
        <f>IF(HR_Data[[#This Row],[TotalWorkingYears]]&lt;=5,1,IF(HR_Data[[#This Row],[TotalWorkingYears]]&lt;=10,2,IF(HR_Data[[#This Row],[TotalWorkingYears]]&lt;=20,3,4)))</f>
        <v>1</v>
      </c>
    </row>
    <row r="498" spans="1:46" x14ac:dyDescent="0.25">
      <c r="A498">
        <v>21</v>
      </c>
      <c r="B498" t="s">
        <v>36</v>
      </c>
      <c r="C498" t="s">
        <v>30</v>
      </c>
      <c r="D498" t="s">
        <v>31</v>
      </c>
      <c r="E498">
        <v>22</v>
      </c>
      <c r="F498">
        <v>1</v>
      </c>
      <c r="G498" t="s">
        <v>53</v>
      </c>
      <c r="H498">
        <v>669</v>
      </c>
      <c r="I498">
        <v>3</v>
      </c>
      <c r="J498" t="s">
        <v>39</v>
      </c>
      <c r="K498">
        <v>3</v>
      </c>
      <c r="L498">
        <v>1</v>
      </c>
      <c r="M498" t="s">
        <v>50</v>
      </c>
      <c r="N498">
        <v>3</v>
      </c>
      <c r="O498" t="s">
        <v>35</v>
      </c>
      <c r="P498">
        <v>3447</v>
      </c>
      <c r="Q498">
        <v>1</v>
      </c>
      <c r="R498" t="s">
        <v>36</v>
      </c>
      <c r="S498">
        <v>11</v>
      </c>
      <c r="T498">
        <v>3</v>
      </c>
      <c r="U498">
        <v>3</v>
      </c>
      <c r="V498">
        <v>0</v>
      </c>
      <c r="W498">
        <v>3</v>
      </c>
      <c r="X498">
        <v>2</v>
      </c>
      <c r="Y498">
        <v>3</v>
      </c>
      <c r="Z498">
        <v>3</v>
      </c>
      <c r="AA498">
        <v>2</v>
      </c>
      <c r="AB498">
        <v>1</v>
      </c>
      <c r="AC498">
        <v>2</v>
      </c>
      <c r="AD498">
        <f>IF(HR_Data[[#This Row],[Attrition]]="Yes",1,0)</f>
        <v>0</v>
      </c>
      <c r="AE498" t="str">
        <f>IF(HR_Data[[#This Row],[Age]]&lt;=25,"18-25",IF(HR_Data[[#This Row],[Age]]&lt;=35,"26-35",IF(HR_Data[[#This Row],[Age]]&lt;=45,"36-45",IF(HR_Data[[#This Row],[Age]]&lt;=55,"46-55","55+"))))</f>
        <v>18-25</v>
      </c>
      <c r="AF498">
        <f>IF(HR_Data[[#This Row],[Age]]&lt;=25,1,IF(HR_Data[[#This Row],[Age]]&lt;=35,2,IF(HR_Data[[#This Row],[Age]]&lt;=45,3,IF(HR_Data[[#This Row],[Age]]&lt;=55,4,5))))</f>
        <v>1</v>
      </c>
      <c r="AG498" s="1" t="str">
        <f>IF(HR_Data[[#This Row],[MonthlyIncome]]&lt;3000,"&lt;3K",IF(HR_Data[[#This Row],[MonthlyIncome]]&lt;6000,"3K-6K",IF(HR_Data[[#This Row],[MonthlyIncome]]&lt;10000,"6K-10K","10K+")))</f>
        <v>3K-6K</v>
      </c>
      <c r="AH498" s="1">
        <f>IF(HR_Data[[#This Row],[MonthlyIncome]]&lt;3000,1,IF(HR_Data[[#This Row],[MonthlyIncome]]&lt;6000,2,IF(HR_Data[[#This Row],[MonthlyIncome]]&lt;10000,3,4)))</f>
        <v>2</v>
      </c>
      <c r="AI498" s="1" t="str">
        <f>IF(HR_Data[[#This Row],[YearsAtCompany]]&lt;=2,"0-2 Yrs",IF(HR_Data[[#This Row],[YearsAtCompany]]&lt;=5,"3-5 Yrs",IF(HR_Data[[#This Row],[YearsAtCompany]]&lt;=10,"6-10 Yrs","10+ Yrs")))</f>
        <v>3-5 Yrs</v>
      </c>
      <c r="AJ498" s="1">
        <f>IF(HR_Data[[#This Row],[YearsAtCompany]]&lt;=2,1,IF(HR_Data[[#This Row],[YearsAtCompany]]&lt;=5,2,IF(HR_Data[[#This Row],[YearsAtCompany]]&lt;=10,3,4)))</f>
        <v>2</v>
      </c>
      <c r="AK498" s="1" t="str">
        <f>CHOOSE(HR_Data[[#This Row],[Education]],"Below College","College","Bachelor","Master","Doctor")</f>
        <v>Below College</v>
      </c>
      <c r="AL498" s="1" t="str">
        <f>CHOOSE(HR_Data[[#This Row],[JobSatisfaction]],"Low","Medium","High","Very High")</f>
        <v>High</v>
      </c>
      <c r="AM498" s="1" t="str">
        <f>CHOOSE(HR_Data[[#This Row],[EnvironmentSatisfaction]],"Low","Medium","High","Very High")</f>
        <v>High</v>
      </c>
      <c r="AN498" s="1" t="str">
        <f>CHOOSE(HR_Data[[#This Row],[WorkLifeBalance]],"Bad","Good","Better","Best")</f>
        <v>Better</v>
      </c>
      <c r="AO498" s="1" t="str">
        <f>IF(HR_Data[[#This Row],[PercentSalaryHike]]&lt;=13,"11-13%",IF(HR_Data[[#This Row],[PercentSalaryHike]]&lt;=16,"14-16%",IF(HR_Data[[#This Row],[PercentSalaryHike]]&lt;=19,"17-19%","20-25%")))</f>
        <v>11-13%</v>
      </c>
      <c r="AP498" s="1">
        <f>IF(HR_Data[[#This Row],[PercentSalaryHike]]&lt;=13,1,IF(HR_Data[[#This Row],[PercentSalaryHike]]&lt;=16,2,IF(HR_Data[[#This Row],[PercentSalaryHike]]&lt;=19,3,4)))</f>
        <v>1</v>
      </c>
      <c r="AQ498" s="1" t="str">
        <f>IF(HR_Data[[#This Row],[DistanceFromHome]]&lt;=5,"1 to 5",IF(HR_Data[[#This Row],[DistanceFromHome]]&lt;=10,"6 to 10",IF(HR_Data[[#This Row],[DistanceFromHome]]&lt;=20,"11 to 20","21 to 29")))</f>
        <v>21 to 29</v>
      </c>
      <c r="AR498" s="1">
        <f>IF(HR_Data[[#This Row],[DistanceFromHome]]&lt;=5,1,IF(HR_Data[[#This Row],[DistanceFromHome]]&lt;=10,2,IF(HR_Data[[#This Row],[DistanceFromHome]]&lt;=20,3,4)))</f>
        <v>4</v>
      </c>
      <c r="AS498" s="1" t="str">
        <f>IF(HR_Data[[#This Row],[TotalWorkingYears]]&lt;=5,"0-5 Yrs",IF(HR_Data[[#This Row],[TotalWorkingYears]]&lt;=10,"6-10 Yrs",IF(HR_Data[[#This Row],[TotalWorkingYears]]&lt;=20,"11-20 Yrs","20+ Yrs")))</f>
        <v>0-5 Yrs</v>
      </c>
      <c r="AT498" s="1">
        <f>IF(HR_Data[[#This Row],[TotalWorkingYears]]&lt;=5,1,IF(HR_Data[[#This Row],[TotalWorkingYears]]&lt;=10,2,IF(HR_Data[[#This Row],[TotalWorkingYears]]&lt;=20,3,4)))</f>
        <v>1</v>
      </c>
    </row>
    <row r="499" spans="1:46" x14ac:dyDescent="0.25">
      <c r="A499">
        <v>44</v>
      </c>
      <c r="B499" t="s">
        <v>36</v>
      </c>
      <c r="C499" t="s">
        <v>30</v>
      </c>
      <c r="D499" t="s">
        <v>38</v>
      </c>
      <c r="E499">
        <v>3</v>
      </c>
      <c r="F499">
        <v>4</v>
      </c>
      <c r="G499" t="s">
        <v>42</v>
      </c>
      <c r="H499">
        <v>671</v>
      </c>
      <c r="I499">
        <v>4</v>
      </c>
      <c r="J499" t="s">
        <v>39</v>
      </c>
      <c r="K499">
        <v>3</v>
      </c>
      <c r="L499">
        <v>5</v>
      </c>
      <c r="M499" t="s">
        <v>49</v>
      </c>
      <c r="N499">
        <v>4</v>
      </c>
      <c r="O499" t="s">
        <v>41</v>
      </c>
      <c r="P499">
        <v>19513</v>
      </c>
      <c r="Q499">
        <v>4</v>
      </c>
      <c r="R499" t="s">
        <v>29</v>
      </c>
      <c r="S499">
        <v>12</v>
      </c>
      <c r="T499">
        <v>3</v>
      </c>
      <c r="U499">
        <v>1</v>
      </c>
      <c r="V499">
        <v>1</v>
      </c>
      <c r="W499">
        <v>26</v>
      </c>
      <c r="X499">
        <v>2</v>
      </c>
      <c r="Y499">
        <v>4</v>
      </c>
      <c r="Z499">
        <v>2</v>
      </c>
      <c r="AA499">
        <v>2</v>
      </c>
      <c r="AB499">
        <v>0</v>
      </c>
      <c r="AC499">
        <v>1</v>
      </c>
      <c r="AD499">
        <f>IF(HR_Data[[#This Row],[Attrition]]="Yes",1,0)</f>
        <v>0</v>
      </c>
      <c r="AE499" t="str">
        <f>IF(HR_Data[[#This Row],[Age]]&lt;=25,"18-25",IF(HR_Data[[#This Row],[Age]]&lt;=35,"26-35",IF(HR_Data[[#This Row],[Age]]&lt;=45,"36-45",IF(HR_Data[[#This Row],[Age]]&lt;=55,"46-55","55+"))))</f>
        <v>36-45</v>
      </c>
      <c r="AF499">
        <f>IF(HR_Data[[#This Row],[Age]]&lt;=25,1,IF(HR_Data[[#This Row],[Age]]&lt;=35,2,IF(HR_Data[[#This Row],[Age]]&lt;=45,3,IF(HR_Data[[#This Row],[Age]]&lt;=55,4,5))))</f>
        <v>3</v>
      </c>
      <c r="AG499" s="1" t="str">
        <f>IF(HR_Data[[#This Row],[MonthlyIncome]]&lt;3000,"&lt;3K",IF(HR_Data[[#This Row],[MonthlyIncome]]&lt;6000,"3K-6K",IF(HR_Data[[#This Row],[MonthlyIncome]]&lt;10000,"6K-10K","10K+")))</f>
        <v>10K+</v>
      </c>
      <c r="AH499" s="1">
        <f>IF(HR_Data[[#This Row],[MonthlyIncome]]&lt;3000,1,IF(HR_Data[[#This Row],[MonthlyIncome]]&lt;6000,2,IF(HR_Data[[#This Row],[MonthlyIncome]]&lt;10000,3,4)))</f>
        <v>4</v>
      </c>
      <c r="AI499" s="1" t="str">
        <f>IF(HR_Data[[#This Row],[YearsAtCompany]]&lt;=2,"0-2 Yrs",IF(HR_Data[[#This Row],[YearsAtCompany]]&lt;=5,"3-5 Yrs",IF(HR_Data[[#This Row],[YearsAtCompany]]&lt;=10,"6-10 Yrs","10+ Yrs")))</f>
        <v>0-2 Yrs</v>
      </c>
      <c r="AJ499" s="1">
        <f>IF(HR_Data[[#This Row],[YearsAtCompany]]&lt;=2,1,IF(HR_Data[[#This Row],[YearsAtCompany]]&lt;=5,2,IF(HR_Data[[#This Row],[YearsAtCompany]]&lt;=10,3,4)))</f>
        <v>1</v>
      </c>
      <c r="AK499" s="1" t="str">
        <f>CHOOSE(HR_Data[[#This Row],[Education]],"Below College","College","Bachelor","Master","Doctor")</f>
        <v>Master</v>
      </c>
      <c r="AL499" s="1" t="str">
        <f>CHOOSE(HR_Data[[#This Row],[JobSatisfaction]],"Low","Medium","High","Very High")</f>
        <v>Very High</v>
      </c>
      <c r="AM499" s="1" t="str">
        <f>CHOOSE(HR_Data[[#This Row],[EnvironmentSatisfaction]],"Low","Medium","High","Very High")</f>
        <v>Very High</v>
      </c>
      <c r="AN499" s="1" t="str">
        <f>CHOOSE(HR_Data[[#This Row],[WorkLifeBalance]],"Bad","Good","Better","Best")</f>
        <v>Best</v>
      </c>
      <c r="AO499" s="1" t="str">
        <f>IF(HR_Data[[#This Row],[PercentSalaryHike]]&lt;=13,"11-13%",IF(HR_Data[[#This Row],[PercentSalaryHike]]&lt;=16,"14-16%",IF(HR_Data[[#This Row],[PercentSalaryHike]]&lt;=19,"17-19%","20-25%")))</f>
        <v>11-13%</v>
      </c>
      <c r="AP499" s="1">
        <f>IF(HR_Data[[#This Row],[PercentSalaryHike]]&lt;=13,1,IF(HR_Data[[#This Row],[PercentSalaryHike]]&lt;=16,2,IF(HR_Data[[#This Row],[PercentSalaryHike]]&lt;=19,3,4)))</f>
        <v>1</v>
      </c>
      <c r="AQ499" s="1" t="str">
        <f>IF(HR_Data[[#This Row],[DistanceFromHome]]&lt;=5,"1 to 5",IF(HR_Data[[#This Row],[DistanceFromHome]]&lt;=10,"6 to 10",IF(HR_Data[[#This Row],[DistanceFromHome]]&lt;=20,"11 to 20","21 to 29")))</f>
        <v>1 to 5</v>
      </c>
      <c r="AR499" s="1">
        <f>IF(HR_Data[[#This Row],[DistanceFromHome]]&lt;=5,1,IF(HR_Data[[#This Row],[DistanceFromHome]]&lt;=10,2,IF(HR_Data[[#This Row],[DistanceFromHome]]&lt;=20,3,4)))</f>
        <v>1</v>
      </c>
      <c r="AS499" s="1" t="str">
        <f>IF(HR_Data[[#This Row],[TotalWorkingYears]]&lt;=5,"0-5 Yrs",IF(HR_Data[[#This Row],[TotalWorkingYears]]&lt;=10,"6-10 Yrs",IF(HR_Data[[#This Row],[TotalWorkingYears]]&lt;=20,"11-20 Yrs","20+ Yrs")))</f>
        <v>20+ Yrs</v>
      </c>
      <c r="AT499" s="1">
        <f>IF(HR_Data[[#This Row],[TotalWorkingYears]]&lt;=5,1,IF(HR_Data[[#This Row],[TotalWorkingYears]]&lt;=10,2,IF(HR_Data[[#This Row],[TotalWorkingYears]]&lt;=20,3,4)))</f>
        <v>4</v>
      </c>
    </row>
    <row r="500" spans="1:46" x14ac:dyDescent="0.25">
      <c r="A500">
        <v>22</v>
      </c>
      <c r="B500" t="s">
        <v>36</v>
      </c>
      <c r="C500" t="s">
        <v>30</v>
      </c>
      <c r="D500" t="s">
        <v>38</v>
      </c>
      <c r="E500">
        <v>6</v>
      </c>
      <c r="F500">
        <v>1</v>
      </c>
      <c r="G500" t="s">
        <v>44</v>
      </c>
      <c r="H500">
        <v>675</v>
      </c>
      <c r="I500">
        <v>1</v>
      </c>
      <c r="J500" t="s">
        <v>39</v>
      </c>
      <c r="K500">
        <v>3</v>
      </c>
      <c r="L500">
        <v>1</v>
      </c>
      <c r="M500" t="s">
        <v>40</v>
      </c>
      <c r="N500">
        <v>3</v>
      </c>
      <c r="O500" t="s">
        <v>41</v>
      </c>
      <c r="P500">
        <v>2773</v>
      </c>
      <c r="Q500">
        <v>0</v>
      </c>
      <c r="R500" t="s">
        <v>36</v>
      </c>
      <c r="S500">
        <v>20</v>
      </c>
      <c r="T500">
        <v>4</v>
      </c>
      <c r="U500">
        <v>4</v>
      </c>
      <c r="V500">
        <v>0</v>
      </c>
      <c r="W500">
        <v>3</v>
      </c>
      <c r="X500">
        <v>3</v>
      </c>
      <c r="Y500">
        <v>3</v>
      </c>
      <c r="Z500">
        <v>2</v>
      </c>
      <c r="AA500">
        <v>2</v>
      </c>
      <c r="AB500">
        <v>2</v>
      </c>
      <c r="AC500">
        <v>2</v>
      </c>
      <c r="AD500">
        <f>IF(HR_Data[[#This Row],[Attrition]]="Yes",1,0)</f>
        <v>0</v>
      </c>
      <c r="AE500" t="str">
        <f>IF(HR_Data[[#This Row],[Age]]&lt;=25,"18-25",IF(HR_Data[[#This Row],[Age]]&lt;=35,"26-35",IF(HR_Data[[#This Row],[Age]]&lt;=45,"36-45",IF(HR_Data[[#This Row],[Age]]&lt;=55,"46-55","55+"))))</f>
        <v>18-25</v>
      </c>
      <c r="AF500">
        <f>IF(HR_Data[[#This Row],[Age]]&lt;=25,1,IF(HR_Data[[#This Row],[Age]]&lt;=35,2,IF(HR_Data[[#This Row],[Age]]&lt;=45,3,IF(HR_Data[[#This Row],[Age]]&lt;=55,4,5))))</f>
        <v>1</v>
      </c>
      <c r="AG500" s="1" t="str">
        <f>IF(HR_Data[[#This Row],[MonthlyIncome]]&lt;3000,"&lt;3K",IF(HR_Data[[#This Row],[MonthlyIncome]]&lt;6000,"3K-6K",IF(HR_Data[[#This Row],[MonthlyIncome]]&lt;10000,"6K-10K","10K+")))</f>
        <v>&lt;3K</v>
      </c>
      <c r="AH500" s="1">
        <f>IF(HR_Data[[#This Row],[MonthlyIncome]]&lt;3000,1,IF(HR_Data[[#This Row],[MonthlyIncome]]&lt;6000,2,IF(HR_Data[[#This Row],[MonthlyIncome]]&lt;10000,3,4)))</f>
        <v>1</v>
      </c>
      <c r="AI500" s="1" t="str">
        <f>IF(HR_Data[[#This Row],[YearsAtCompany]]&lt;=2,"0-2 Yrs",IF(HR_Data[[#This Row],[YearsAtCompany]]&lt;=5,"3-5 Yrs",IF(HR_Data[[#This Row],[YearsAtCompany]]&lt;=10,"6-10 Yrs","10+ Yrs")))</f>
        <v>0-2 Yrs</v>
      </c>
      <c r="AJ500" s="1">
        <f>IF(HR_Data[[#This Row],[YearsAtCompany]]&lt;=2,1,IF(HR_Data[[#This Row],[YearsAtCompany]]&lt;=5,2,IF(HR_Data[[#This Row],[YearsAtCompany]]&lt;=10,3,4)))</f>
        <v>1</v>
      </c>
      <c r="AK500" s="1" t="str">
        <f>CHOOSE(HR_Data[[#This Row],[Education]],"Below College","College","Bachelor","Master","Doctor")</f>
        <v>Below College</v>
      </c>
      <c r="AL500" s="1" t="str">
        <f>CHOOSE(HR_Data[[#This Row],[JobSatisfaction]],"Low","Medium","High","Very High")</f>
        <v>High</v>
      </c>
      <c r="AM500" s="1" t="str">
        <f>CHOOSE(HR_Data[[#This Row],[EnvironmentSatisfaction]],"Low","Medium","High","Very High")</f>
        <v>Low</v>
      </c>
      <c r="AN500" s="1" t="str">
        <f>CHOOSE(HR_Data[[#This Row],[WorkLifeBalance]],"Bad","Good","Better","Best")</f>
        <v>Better</v>
      </c>
      <c r="AO500" s="1" t="str">
        <f>IF(HR_Data[[#This Row],[PercentSalaryHike]]&lt;=13,"11-13%",IF(HR_Data[[#This Row],[PercentSalaryHike]]&lt;=16,"14-16%",IF(HR_Data[[#This Row],[PercentSalaryHike]]&lt;=19,"17-19%","20-25%")))</f>
        <v>20-25%</v>
      </c>
      <c r="AP500" s="1">
        <f>IF(HR_Data[[#This Row],[PercentSalaryHike]]&lt;=13,1,IF(HR_Data[[#This Row],[PercentSalaryHike]]&lt;=16,2,IF(HR_Data[[#This Row],[PercentSalaryHike]]&lt;=19,3,4)))</f>
        <v>4</v>
      </c>
      <c r="AQ500" s="1" t="str">
        <f>IF(HR_Data[[#This Row],[DistanceFromHome]]&lt;=5,"1 to 5",IF(HR_Data[[#This Row],[DistanceFromHome]]&lt;=10,"6 to 10",IF(HR_Data[[#This Row],[DistanceFromHome]]&lt;=20,"11 to 20","21 to 29")))</f>
        <v>6 to 10</v>
      </c>
      <c r="AR500" s="1">
        <f>IF(HR_Data[[#This Row],[DistanceFromHome]]&lt;=5,1,IF(HR_Data[[#This Row],[DistanceFromHome]]&lt;=10,2,IF(HR_Data[[#This Row],[DistanceFromHome]]&lt;=20,3,4)))</f>
        <v>2</v>
      </c>
      <c r="AS500" s="1" t="str">
        <f>IF(HR_Data[[#This Row],[TotalWorkingYears]]&lt;=5,"0-5 Yrs",IF(HR_Data[[#This Row],[TotalWorkingYears]]&lt;=10,"6-10 Yrs",IF(HR_Data[[#This Row],[TotalWorkingYears]]&lt;=20,"11-20 Yrs","20+ Yrs")))</f>
        <v>0-5 Yrs</v>
      </c>
      <c r="AT500" s="1">
        <f>IF(HR_Data[[#This Row],[TotalWorkingYears]]&lt;=5,1,IF(HR_Data[[#This Row],[TotalWorkingYears]]&lt;=10,2,IF(HR_Data[[#This Row],[TotalWorkingYears]]&lt;=20,3,4)))</f>
        <v>1</v>
      </c>
    </row>
    <row r="501" spans="1:46" x14ac:dyDescent="0.25">
      <c r="A501">
        <v>33</v>
      </c>
      <c r="B501" t="s">
        <v>36</v>
      </c>
      <c r="C501" t="s">
        <v>30</v>
      </c>
      <c r="D501" t="s">
        <v>31</v>
      </c>
      <c r="E501">
        <v>8</v>
      </c>
      <c r="F501">
        <v>4</v>
      </c>
      <c r="G501" t="s">
        <v>52</v>
      </c>
      <c r="H501">
        <v>677</v>
      </c>
      <c r="I501">
        <v>3</v>
      </c>
      <c r="J501" t="s">
        <v>39</v>
      </c>
      <c r="K501">
        <v>3</v>
      </c>
      <c r="L501">
        <v>2</v>
      </c>
      <c r="M501" t="s">
        <v>34</v>
      </c>
      <c r="N501">
        <v>3</v>
      </c>
      <c r="O501" t="s">
        <v>45</v>
      </c>
      <c r="P501">
        <v>7104</v>
      </c>
      <c r="Q501">
        <v>0</v>
      </c>
      <c r="R501" t="s">
        <v>36</v>
      </c>
      <c r="S501">
        <v>12</v>
      </c>
      <c r="T501">
        <v>3</v>
      </c>
      <c r="U501">
        <v>4</v>
      </c>
      <c r="V501">
        <v>0</v>
      </c>
      <c r="W501">
        <v>6</v>
      </c>
      <c r="X501">
        <v>3</v>
      </c>
      <c r="Y501">
        <v>3</v>
      </c>
      <c r="Z501">
        <v>5</v>
      </c>
      <c r="AA501">
        <v>0</v>
      </c>
      <c r="AB501">
        <v>1</v>
      </c>
      <c r="AC501">
        <v>2</v>
      </c>
      <c r="AD501">
        <f>IF(HR_Data[[#This Row],[Attrition]]="Yes",1,0)</f>
        <v>0</v>
      </c>
      <c r="AE501" t="str">
        <f>IF(HR_Data[[#This Row],[Age]]&lt;=25,"18-25",IF(HR_Data[[#This Row],[Age]]&lt;=35,"26-35",IF(HR_Data[[#This Row],[Age]]&lt;=45,"36-45",IF(HR_Data[[#This Row],[Age]]&lt;=55,"46-55","55+"))))</f>
        <v>26-35</v>
      </c>
      <c r="AF501">
        <f>IF(HR_Data[[#This Row],[Age]]&lt;=25,1,IF(HR_Data[[#This Row],[Age]]&lt;=35,2,IF(HR_Data[[#This Row],[Age]]&lt;=45,3,IF(HR_Data[[#This Row],[Age]]&lt;=55,4,5))))</f>
        <v>2</v>
      </c>
      <c r="AG501" s="1" t="str">
        <f>IF(HR_Data[[#This Row],[MonthlyIncome]]&lt;3000,"&lt;3K",IF(HR_Data[[#This Row],[MonthlyIncome]]&lt;6000,"3K-6K",IF(HR_Data[[#This Row],[MonthlyIncome]]&lt;10000,"6K-10K","10K+")))</f>
        <v>6K-10K</v>
      </c>
      <c r="AH501" s="1">
        <f>IF(HR_Data[[#This Row],[MonthlyIncome]]&lt;3000,1,IF(HR_Data[[#This Row],[MonthlyIncome]]&lt;6000,2,IF(HR_Data[[#This Row],[MonthlyIncome]]&lt;10000,3,4)))</f>
        <v>3</v>
      </c>
      <c r="AI501" s="1" t="str">
        <f>IF(HR_Data[[#This Row],[YearsAtCompany]]&lt;=2,"0-2 Yrs",IF(HR_Data[[#This Row],[YearsAtCompany]]&lt;=5,"3-5 Yrs",IF(HR_Data[[#This Row],[YearsAtCompany]]&lt;=10,"6-10 Yrs","10+ Yrs")))</f>
        <v>3-5 Yrs</v>
      </c>
      <c r="AJ501" s="1">
        <f>IF(HR_Data[[#This Row],[YearsAtCompany]]&lt;=2,1,IF(HR_Data[[#This Row],[YearsAtCompany]]&lt;=5,2,IF(HR_Data[[#This Row],[YearsAtCompany]]&lt;=10,3,4)))</f>
        <v>2</v>
      </c>
      <c r="AK501" s="1" t="str">
        <f>CHOOSE(HR_Data[[#This Row],[Education]],"Below College","College","Bachelor","Master","Doctor")</f>
        <v>Master</v>
      </c>
      <c r="AL501" s="1" t="str">
        <f>CHOOSE(HR_Data[[#This Row],[JobSatisfaction]],"Low","Medium","High","Very High")</f>
        <v>High</v>
      </c>
      <c r="AM501" s="1" t="str">
        <f>CHOOSE(HR_Data[[#This Row],[EnvironmentSatisfaction]],"Low","Medium","High","Very High")</f>
        <v>High</v>
      </c>
      <c r="AN501" s="1" t="str">
        <f>CHOOSE(HR_Data[[#This Row],[WorkLifeBalance]],"Bad","Good","Better","Best")</f>
        <v>Better</v>
      </c>
      <c r="AO501" s="1" t="str">
        <f>IF(HR_Data[[#This Row],[PercentSalaryHike]]&lt;=13,"11-13%",IF(HR_Data[[#This Row],[PercentSalaryHike]]&lt;=16,"14-16%",IF(HR_Data[[#This Row],[PercentSalaryHike]]&lt;=19,"17-19%","20-25%")))</f>
        <v>11-13%</v>
      </c>
      <c r="AP501" s="1">
        <f>IF(HR_Data[[#This Row],[PercentSalaryHike]]&lt;=13,1,IF(HR_Data[[#This Row],[PercentSalaryHike]]&lt;=16,2,IF(HR_Data[[#This Row],[PercentSalaryHike]]&lt;=19,3,4)))</f>
        <v>1</v>
      </c>
      <c r="AQ501" s="1" t="str">
        <f>IF(HR_Data[[#This Row],[DistanceFromHome]]&lt;=5,"1 to 5",IF(HR_Data[[#This Row],[DistanceFromHome]]&lt;=10,"6 to 10",IF(HR_Data[[#This Row],[DistanceFromHome]]&lt;=20,"11 to 20","21 to 29")))</f>
        <v>6 to 10</v>
      </c>
      <c r="AR501" s="1">
        <f>IF(HR_Data[[#This Row],[DistanceFromHome]]&lt;=5,1,IF(HR_Data[[#This Row],[DistanceFromHome]]&lt;=10,2,IF(HR_Data[[#This Row],[DistanceFromHome]]&lt;=20,3,4)))</f>
        <v>2</v>
      </c>
      <c r="AS501" s="1" t="str">
        <f>IF(HR_Data[[#This Row],[TotalWorkingYears]]&lt;=5,"0-5 Yrs",IF(HR_Data[[#This Row],[TotalWorkingYears]]&lt;=10,"6-10 Yrs",IF(HR_Data[[#This Row],[TotalWorkingYears]]&lt;=20,"11-20 Yrs","20+ Yrs")))</f>
        <v>6-10 Yrs</v>
      </c>
      <c r="AT501" s="1">
        <f>IF(HR_Data[[#This Row],[TotalWorkingYears]]&lt;=5,1,IF(HR_Data[[#This Row],[TotalWorkingYears]]&lt;=10,2,IF(HR_Data[[#This Row],[TotalWorkingYears]]&lt;=20,3,4)))</f>
        <v>2</v>
      </c>
    </row>
    <row r="502" spans="1:46" x14ac:dyDescent="0.25">
      <c r="A502">
        <v>32</v>
      </c>
      <c r="B502" t="s">
        <v>36</v>
      </c>
      <c r="C502" t="s">
        <v>30</v>
      </c>
      <c r="D502" t="s">
        <v>38</v>
      </c>
      <c r="E502">
        <v>9</v>
      </c>
      <c r="F502">
        <v>4</v>
      </c>
      <c r="G502" t="s">
        <v>32</v>
      </c>
      <c r="H502">
        <v>679</v>
      </c>
      <c r="I502">
        <v>1</v>
      </c>
      <c r="J502" t="s">
        <v>33</v>
      </c>
      <c r="K502">
        <v>3</v>
      </c>
      <c r="L502">
        <v>2</v>
      </c>
      <c r="M502" t="s">
        <v>40</v>
      </c>
      <c r="N502">
        <v>4</v>
      </c>
      <c r="O502" t="s">
        <v>41</v>
      </c>
      <c r="P502">
        <v>6322</v>
      </c>
      <c r="Q502">
        <v>1</v>
      </c>
      <c r="R502" t="s">
        <v>29</v>
      </c>
      <c r="S502">
        <v>12</v>
      </c>
      <c r="T502">
        <v>3</v>
      </c>
      <c r="U502">
        <v>4</v>
      </c>
      <c r="V502">
        <v>1</v>
      </c>
      <c r="W502">
        <v>6</v>
      </c>
      <c r="X502">
        <v>2</v>
      </c>
      <c r="Y502">
        <v>2</v>
      </c>
      <c r="Z502">
        <v>6</v>
      </c>
      <c r="AA502">
        <v>4</v>
      </c>
      <c r="AB502">
        <v>0</v>
      </c>
      <c r="AC502">
        <v>5</v>
      </c>
      <c r="AD502">
        <f>IF(HR_Data[[#This Row],[Attrition]]="Yes",1,0)</f>
        <v>0</v>
      </c>
      <c r="AE502" t="str">
        <f>IF(HR_Data[[#This Row],[Age]]&lt;=25,"18-25",IF(HR_Data[[#This Row],[Age]]&lt;=35,"26-35",IF(HR_Data[[#This Row],[Age]]&lt;=45,"36-45",IF(HR_Data[[#This Row],[Age]]&lt;=55,"46-55","55+"))))</f>
        <v>26-35</v>
      </c>
      <c r="AF502">
        <f>IF(HR_Data[[#This Row],[Age]]&lt;=25,1,IF(HR_Data[[#This Row],[Age]]&lt;=35,2,IF(HR_Data[[#This Row],[Age]]&lt;=45,3,IF(HR_Data[[#This Row],[Age]]&lt;=55,4,5))))</f>
        <v>2</v>
      </c>
      <c r="AG502" s="1" t="str">
        <f>IF(HR_Data[[#This Row],[MonthlyIncome]]&lt;3000,"&lt;3K",IF(HR_Data[[#This Row],[MonthlyIncome]]&lt;6000,"3K-6K",IF(HR_Data[[#This Row],[MonthlyIncome]]&lt;10000,"6K-10K","10K+")))</f>
        <v>6K-10K</v>
      </c>
      <c r="AH502" s="1">
        <f>IF(HR_Data[[#This Row],[MonthlyIncome]]&lt;3000,1,IF(HR_Data[[#This Row],[MonthlyIncome]]&lt;6000,2,IF(HR_Data[[#This Row],[MonthlyIncome]]&lt;10000,3,4)))</f>
        <v>3</v>
      </c>
      <c r="AI502" s="1" t="str">
        <f>IF(HR_Data[[#This Row],[YearsAtCompany]]&lt;=2,"0-2 Yrs",IF(HR_Data[[#This Row],[YearsAtCompany]]&lt;=5,"3-5 Yrs",IF(HR_Data[[#This Row],[YearsAtCompany]]&lt;=10,"6-10 Yrs","10+ Yrs")))</f>
        <v>6-10 Yrs</v>
      </c>
      <c r="AJ502" s="1">
        <f>IF(HR_Data[[#This Row],[YearsAtCompany]]&lt;=2,1,IF(HR_Data[[#This Row],[YearsAtCompany]]&lt;=5,2,IF(HR_Data[[#This Row],[YearsAtCompany]]&lt;=10,3,4)))</f>
        <v>3</v>
      </c>
      <c r="AK502" s="1" t="str">
        <f>CHOOSE(HR_Data[[#This Row],[Education]],"Below College","College","Bachelor","Master","Doctor")</f>
        <v>Master</v>
      </c>
      <c r="AL502" s="1" t="str">
        <f>CHOOSE(HR_Data[[#This Row],[JobSatisfaction]],"Low","Medium","High","Very High")</f>
        <v>Very High</v>
      </c>
      <c r="AM502" s="1" t="str">
        <f>CHOOSE(HR_Data[[#This Row],[EnvironmentSatisfaction]],"Low","Medium","High","Very High")</f>
        <v>Low</v>
      </c>
      <c r="AN502" s="1" t="str">
        <f>CHOOSE(HR_Data[[#This Row],[WorkLifeBalance]],"Bad","Good","Better","Best")</f>
        <v>Good</v>
      </c>
      <c r="AO502" s="1" t="str">
        <f>IF(HR_Data[[#This Row],[PercentSalaryHike]]&lt;=13,"11-13%",IF(HR_Data[[#This Row],[PercentSalaryHike]]&lt;=16,"14-16%",IF(HR_Data[[#This Row],[PercentSalaryHike]]&lt;=19,"17-19%","20-25%")))</f>
        <v>11-13%</v>
      </c>
      <c r="AP502" s="1">
        <f>IF(HR_Data[[#This Row],[PercentSalaryHike]]&lt;=13,1,IF(HR_Data[[#This Row],[PercentSalaryHike]]&lt;=16,2,IF(HR_Data[[#This Row],[PercentSalaryHike]]&lt;=19,3,4)))</f>
        <v>1</v>
      </c>
      <c r="AQ502" s="1" t="str">
        <f>IF(HR_Data[[#This Row],[DistanceFromHome]]&lt;=5,"1 to 5",IF(HR_Data[[#This Row],[DistanceFromHome]]&lt;=10,"6 to 10",IF(HR_Data[[#This Row],[DistanceFromHome]]&lt;=20,"11 to 20","21 to 29")))</f>
        <v>6 to 10</v>
      </c>
      <c r="AR502" s="1">
        <f>IF(HR_Data[[#This Row],[DistanceFromHome]]&lt;=5,1,IF(HR_Data[[#This Row],[DistanceFromHome]]&lt;=10,2,IF(HR_Data[[#This Row],[DistanceFromHome]]&lt;=20,3,4)))</f>
        <v>2</v>
      </c>
      <c r="AS502" s="1" t="str">
        <f>IF(HR_Data[[#This Row],[TotalWorkingYears]]&lt;=5,"0-5 Yrs",IF(HR_Data[[#This Row],[TotalWorkingYears]]&lt;=10,"6-10 Yrs",IF(HR_Data[[#This Row],[TotalWorkingYears]]&lt;=20,"11-20 Yrs","20+ Yrs")))</f>
        <v>6-10 Yrs</v>
      </c>
      <c r="AT502" s="1">
        <f>IF(HR_Data[[#This Row],[TotalWorkingYears]]&lt;=5,1,IF(HR_Data[[#This Row],[TotalWorkingYears]]&lt;=10,2,IF(HR_Data[[#This Row],[TotalWorkingYears]]&lt;=20,3,4)))</f>
        <v>2</v>
      </c>
    </row>
    <row r="503" spans="1:46" x14ac:dyDescent="0.25">
      <c r="A503">
        <v>30</v>
      </c>
      <c r="B503" t="s">
        <v>36</v>
      </c>
      <c r="C503" t="s">
        <v>37</v>
      </c>
      <c r="D503" t="s">
        <v>38</v>
      </c>
      <c r="E503">
        <v>3</v>
      </c>
      <c r="F503">
        <v>3</v>
      </c>
      <c r="G503" t="s">
        <v>44</v>
      </c>
      <c r="H503">
        <v>680</v>
      </c>
      <c r="I503">
        <v>3</v>
      </c>
      <c r="J503" t="s">
        <v>33</v>
      </c>
      <c r="K503">
        <v>3</v>
      </c>
      <c r="L503">
        <v>1</v>
      </c>
      <c r="M503" t="s">
        <v>40</v>
      </c>
      <c r="N503">
        <v>3</v>
      </c>
      <c r="O503" t="s">
        <v>45</v>
      </c>
      <c r="P503">
        <v>2083</v>
      </c>
      <c r="Q503">
        <v>1</v>
      </c>
      <c r="R503" t="s">
        <v>36</v>
      </c>
      <c r="S503">
        <v>20</v>
      </c>
      <c r="T503">
        <v>4</v>
      </c>
      <c r="U503">
        <v>3</v>
      </c>
      <c r="V503">
        <v>1</v>
      </c>
      <c r="W503">
        <v>1</v>
      </c>
      <c r="X503">
        <v>2</v>
      </c>
      <c r="Y503">
        <v>3</v>
      </c>
      <c r="Z503">
        <v>1</v>
      </c>
      <c r="AA503">
        <v>0</v>
      </c>
      <c r="AB503">
        <v>0</v>
      </c>
      <c r="AC503">
        <v>0</v>
      </c>
      <c r="AD503">
        <f>IF(HR_Data[[#This Row],[Attrition]]="Yes",1,0)</f>
        <v>0</v>
      </c>
      <c r="AE503" t="str">
        <f>IF(HR_Data[[#This Row],[Age]]&lt;=25,"18-25",IF(HR_Data[[#This Row],[Age]]&lt;=35,"26-35",IF(HR_Data[[#This Row],[Age]]&lt;=45,"36-45",IF(HR_Data[[#This Row],[Age]]&lt;=55,"46-55","55+"))))</f>
        <v>26-35</v>
      </c>
      <c r="AF503">
        <f>IF(HR_Data[[#This Row],[Age]]&lt;=25,1,IF(HR_Data[[#This Row],[Age]]&lt;=35,2,IF(HR_Data[[#This Row],[Age]]&lt;=45,3,IF(HR_Data[[#This Row],[Age]]&lt;=55,4,5))))</f>
        <v>2</v>
      </c>
      <c r="AG503" s="1" t="str">
        <f>IF(HR_Data[[#This Row],[MonthlyIncome]]&lt;3000,"&lt;3K",IF(HR_Data[[#This Row],[MonthlyIncome]]&lt;6000,"3K-6K",IF(HR_Data[[#This Row],[MonthlyIncome]]&lt;10000,"6K-10K","10K+")))</f>
        <v>&lt;3K</v>
      </c>
      <c r="AH503" s="1">
        <f>IF(HR_Data[[#This Row],[MonthlyIncome]]&lt;3000,1,IF(HR_Data[[#This Row],[MonthlyIncome]]&lt;6000,2,IF(HR_Data[[#This Row],[MonthlyIncome]]&lt;10000,3,4)))</f>
        <v>1</v>
      </c>
      <c r="AI503" s="1" t="str">
        <f>IF(HR_Data[[#This Row],[YearsAtCompany]]&lt;=2,"0-2 Yrs",IF(HR_Data[[#This Row],[YearsAtCompany]]&lt;=5,"3-5 Yrs",IF(HR_Data[[#This Row],[YearsAtCompany]]&lt;=10,"6-10 Yrs","10+ Yrs")))</f>
        <v>0-2 Yrs</v>
      </c>
      <c r="AJ503" s="1">
        <f>IF(HR_Data[[#This Row],[YearsAtCompany]]&lt;=2,1,IF(HR_Data[[#This Row],[YearsAtCompany]]&lt;=5,2,IF(HR_Data[[#This Row],[YearsAtCompany]]&lt;=10,3,4)))</f>
        <v>1</v>
      </c>
      <c r="AK503" s="1" t="str">
        <f>CHOOSE(HR_Data[[#This Row],[Education]],"Below College","College","Bachelor","Master","Doctor")</f>
        <v>Bachelor</v>
      </c>
      <c r="AL503" s="1" t="str">
        <f>CHOOSE(HR_Data[[#This Row],[JobSatisfaction]],"Low","Medium","High","Very High")</f>
        <v>High</v>
      </c>
      <c r="AM503" s="1" t="str">
        <f>CHOOSE(HR_Data[[#This Row],[EnvironmentSatisfaction]],"Low","Medium","High","Very High")</f>
        <v>High</v>
      </c>
      <c r="AN503" s="1" t="str">
        <f>CHOOSE(HR_Data[[#This Row],[WorkLifeBalance]],"Bad","Good","Better","Best")</f>
        <v>Better</v>
      </c>
      <c r="AO503" s="1" t="str">
        <f>IF(HR_Data[[#This Row],[PercentSalaryHike]]&lt;=13,"11-13%",IF(HR_Data[[#This Row],[PercentSalaryHike]]&lt;=16,"14-16%",IF(HR_Data[[#This Row],[PercentSalaryHike]]&lt;=19,"17-19%","20-25%")))</f>
        <v>20-25%</v>
      </c>
      <c r="AP503" s="1">
        <f>IF(HR_Data[[#This Row],[PercentSalaryHike]]&lt;=13,1,IF(HR_Data[[#This Row],[PercentSalaryHike]]&lt;=16,2,IF(HR_Data[[#This Row],[PercentSalaryHike]]&lt;=19,3,4)))</f>
        <v>4</v>
      </c>
      <c r="AQ503" s="1" t="str">
        <f>IF(HR_Data[[#This Row],[DistanceFromHome]]&lt;=5,"1 to 5",IF(HR_Data[[#This Row],[DistanceFromHome]]&lt;=10,"6 to 10",IF(HR_Data[[#This Row],[DistanceFromHome]]&lt;=20,"11 to 20","21 to 29")))</f>
        <v>1 to 5</v>
      </c>
      <c r="AR503" s="1">
        <f>IF(HR_Data[[#This Row],[DistanceFromHome]]&lt;=5,1,IF(HR_Data[[#This Row],[DistanceFromHome]]&lt;=10,2,IF(HR_Data[[#This Row],[DistanceFromHome]]&lt;=20,3,4)))</f>
        <v>1</v>
      </c>
      <c r="AS503" s="1" t="str">
        <f>IF(HR_Data[[#This Row],[TotalWorkingYears]]&lt;=5,"0-5 Yrs",IF(HR_Data[[#This Row],[TotalWorkingYears]]&lt;=10,"6-10 Yrs",IF(HR_Data[[#This Row],[TotalWorkingYears]]&lt;=20,"11-20 Yrs","20+ Yrs")))</f>
        <v>0-5 Yrs</v>
      </c>
      <c r="AT503" s="1">
        <f>IF(HR_Data[[#This Row],[TotalWorkingYears]]&lt;=5,1,IF(HR_Data[[#This Row],[TotalWorkingYears]]&lt;=10,2,IF(HR_Data[[#This Row],[TotalWorkingYears]]&lt;=20,3,4)))</f>
        <v>1</v>
      </c>
    </row>
    <row r="504" spans="1:46" x14ac:dyDescent="0.25">
      <c r="A504">
        <v>53</v>
      </c>
      <c r="B504" t="s">
        <v>36</v>
      </c>
      <c r="C504" t="s">
        <v>30</v>
      </c>
      <c r="D504" t="s">
        <v>31</v>
      </c>
      <c r="E504">
        <v>1</v>
      </c>
      <c r="F504">
        <v>1</v>
      </c>
      <c r="G504" t="s">
        <v>44</v>
      </c>
      <c r="H504">
        <v>682</v>
      </c>
      <c r="I504">
        <v>4</v>
      </c>
      <c r="J504" t="s">
        <v>33</v>
      </c>
      <c r="K504">
        <v>3</v>
      </c>
      <c r="L504">
        <v>2</v>
      </c>
      <c r="M504" t="s">
        <v>34</v>
      </c>
      <c r="N504">
        <v>1</v>
      </c>
      <c r="O504" t="s">
        <v>35</v>
      </c>
      <c r="P504">
        <v>8381</v>
      </c>
      <c r="Q504">
        <v>7</v>
      </c>
      <c r="R504" t="s">
        <v>36</v>
      </c>
      <c r="S504">
        <v>20</v>
      </c>
      <c r="T504">
        <v>4</v>
      </c>
      <c r="U504">
        <v>4</v>
      </c>
      <c r="V504">
        <v>0</v>
      </c>
      <c r="W504">
        <v>18</v>
      </c>
      <c r="X504">
        <v>2</v>
      </c>
      <c r="Y504">
        <v>4</v>
      </c>
      <c r="Z504">
        <v>14</v>
      </c>
      <c r="AA504">
        <v>7</v>
      </c>
      <c r="AB504">
        <v>8</v>
      </c>
      <c r="AC504">
        <v>10</v>
      </c>
      <c r="AD504">
        <f>IF(HR_Data[[#This Row],[Attrition]]="Yes",1,0)</f>
        <v>0</v>
      </c>
      <c r="AE504" t="str">
        <f>IF(HR_Data[[#This Row],[Age]]&lt;=25,"18-25",IF(HR_Data[[#This Row],[Age]]&lt;=35,"26-35",IF(HR_Data[[#This Row],[Age]]&lt;=45,"36-45",IF(HR_Data[[#This Row],[Age]]&lt;=55,"46-55","55+"))))</f>
        <v>46-55</v>
      </c>
      <c r="AF504">
        <f>IF(HR_Data[[#This Row],[Age]]&lt;=25,1,IF(HR_Data[[#This Row],[Age]]&lt;=35,2,IF(HR_Data[[#This Row],[Age]]&lt;=45,3,IF(HR_Data[[#This Row],[Age]]&lt;=55,4,5))))</f>
        <v>4</v>
      </c>
      <c r="AG504" s="1" t="str">
        <f>IF(HR_Data[[#This Row],[MonthlyIncome]]&lt;3000,"&lt;3K",IF(HR_Data[[#This Row],[MonthlyIncome]]&lt;6000,"3K-6K",IF(HR_Data[[#This Row],[MonthlyIncome]]&lt;10000,"6K-10K","10K+")))</f>
        <v>6K-10K</v>
      </c>
      <c r="AH504" s="1">
        <f>IF(HR_Data[[#This Row],[MonthlyIncome]]&lt;3000,1,IF(HR_Data[[#This Row],[MonthlyIncome]]&lt;6000,2,IF(HR_Data[[#This Row],[MonthlyIncome]]&lt;10000,3,4)))</f>
        <v>3</v>
      </c>
      <c r="AI504" s="1" t="str">
        <f>IF(HR_Data[[#This Row],[YearsAtCompany]]&lt;=2,"0-2 Yrs",IF(HR_Data[[#This Row],[YearsAtCompany]]&lt;=5,"3-5 Yrs",IF(HR_Data[[#This Row],[YearsAtCompany]]&lt;=10,"6-10 Yrs","10+ Yrs")))</f>
        <v>10+ Yrs</v>
      </c>
      <c r="AJ504" s="1">
        <f>IF(HR_Data[[#This Row],[YearsAtCompany]]&lt;=2,1,IF(HR_Data[[#This Row],[YearsAtCompany]]&lt;=5,2,IF(HR_Data[[#This Row],[YearsAtCompany]]&lt;=10,3,4)))</f>
        <v>4</v>
      </c>
      <c r="AK504" s="1" t="str">
        <f>CHOOSE(HR_Data[[#This Row],[Education]],"Below College","College","Bachelor","Master","Doctor")</f>
        <v>Below College</v>
      </c>
      <c r="AL504" s="1" t="str">
        <f>CHOOSE(HR_Data[[#This Row],[JobSatisfaction]],"Low","Medium","High","Very High")</f>
        <v>Low</v>
      </c>
      <c r="AM504" s="1" t="str">
        <f>CHOOSE(HR_Data[[#This Row],[EnvironmentSatisfaction]],"Low","Medium","High","Very High")</f>
        <v>Very High</v>
      </c>
      <c r="AN504" s="1" t="str">
        <f>CHOOSE(HR_Data[[#This Row],[WorkLifeBalance]],"Bad","Good","Better","Best")</f>
        <v>Best</v>
      </c>
      <c r="AO504" s="1" t="str">
        <f>IF(HR_Data[[#This Row],[PercentSalaryHike]]&lt;=13,"11-13%",IF(HR_Data[[#This Row],[PercentSalaryHike]]&lt;=16,"14-16%",IF(HR_Data[[#This Row],[PercentSalaryHike]]&lt;=19,"17-19%","20-25%")))</f>
        <v>20-25%</v>
      </c>
      <c r="AP504" s="1">
        <f>IF(HR_Data[[#This Row],[PercentSalaryHike]]&lt;=13,1,IF(HR_Data[[#This Row],[PercentSalaryHike]]&lt;=16,2,IF(HR_Data[[#This Row],[PercentSalaryHike]]&lt;=19,3,4)))</f>
        <v>4</v>
      </c>
      <c r="AQ504" s="1" t="str">
        <f>IF(HR_Data[[#This Row],[DistanceFromHome]]&lt;=5,"1 to 5",IF(HR_Data[[#This Row],[DistanceFromHome]]&lt;=10,"6 to 10",IF(HR_Data[[#This Row],[DistanceFromHome]]&lt;=20,"11 to 20","21 to 29")))</f>
        <v>1 to 5</v>
      </c>
      <c r="AR504" s="1">
        <f>IF(HR_Data[[#This Row],[DistanceFromHome]]&lt;=5,1,IF(HR_Data[[#This Row],[DistanceFromHome]]&lt;=10,2,IF(HR_Data[[#This Row],[DistanceFromHome]]&lt;=20,3,4)))</f>
        <v>1</v>
      </c>
      <c r="AS504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504" s="1">
        <f>IF(HR_Data[[#This Row],[TotalWorkingYears]]&lt;=5,1,IF(HR_Data[[#This Row],[TotalWorkingYears]]&lt;=10,2,IF(HR_Data[[#This Row],[TotalWorkingYears]]&lt;=20,3,4)))</f>
        <v>3</v>
      </c>
    </row>
    <row r="505" spans="1:46" x14ac:dyDescent="0.25">
      <c r="A505">
        <v>34</v>
      </c>
      <c r="B505" t="s">
        <v>36</v>
      </c>
      <c r="C505" t="s">
        <v>30</v>
      </c>
      <c r="D505" t="s">
        <v>38</v>
      </c>
      <c r="E505">
        <v>1</v>
      </c>
      <c r="F505">
        <v>5</v>
      </c>
      <c r="G505" t="s">
        <v>32</v>
      </c>
      <c r="H505">
        <v>683</v>
      </c>
      <c r="I505">
        <v>2</v>
      </c>
      <c r="J505" t="s">
        <v>39</v>
      </c>
      <c r="K505">
        <v>3</v>
      </c>
      <c r="L505">
        <v>1</v>
      </c>
      <c r="M505" t="s">
        <v>40</v>
      </c>
      <c r="N505">
        <v>4</v>
      </c>
      <c r="O505" t="s">
        <v>41</v>
      </c>
      <c r="P505">
        <v>2691</v>
      </c>
      <c r="Q505">
        <v>1</v>
      </c>
      <c r="R505" t="s">
        <v>36</v>
      </c>
      <c r="S505">
        <v>12</v>
      </c>
      <c r="T505">
        <v>3</v>
      </c>
      <c r="U505">
        <v>4</v>
      </c>
      <c r="V505">
        <v>1</v>
      </c>
      <c r="W505">
        <v>10</v>
      </c>
      <c r="X505">
        <v>4</v>
      </c>
      <c r="Y505">
        <v>2</v>
      </c>
      <c r="Z505">
        <v>10</v>
      </c>
      <c r="AA505">
        <v>9</v>
      </c>
      <c r="AB505">
        <v>8</v>
      </c>
      <c r="AC505">
        <v>8</v>
      </c>
      <c r="AD505">
        <f>IF(HR_Data[[#This Row],[Attrition]]="Yes",1,0)</f>
        <v>0</v>
      </c>
      <c r="AE505" t="str">
        <f>IF(HR_Data[[#This Row],[Age]]&lt;=25,"18-25",IF(HR_Data[[#This Row],[Age]]&lt;=35,"26-35",IF(HR_Data[[#This Row],[Age]]&lt;=45,"36-45",IF(HR_Data[[#This Row],[Age]]&lt;=55,"46-55","55+"))))</f>
        <v>26-35</v>
      </c>
      <c r="AF505">
        <f>IF(HR_Data[[#This Row],[Age]]&lt;=25,1,IF(HR_Data[[#This Row],[Age]]&lt;=35,2,IF(HR_Data[[#This Row],[Age]]&lt;=45,3,IF(HR_Data[[#This Row],[Age]]&lt;=55,4,5))))</f>
        <v>2</v>
      </c>
      <c r="AG505" s="1" t="str">
        <f>IF(HR_Data[[#This Row],[MonthlyIncome]]&lt;3000,"&lt;3K",IF(HR_Data[[#This Row],[MonthlyIncome]]&lt;6000,"3K-6K",IF(HR_Data[[#This Row],[MonthlyIncome]]&lt;10000,"6K-10K","10K+")))</f>
        <v>&lt;3K</v>
      </c>
      <c r="AH505" s="1">
        <f>IF(HR_Data[[#This Row],[MonthlyIncome]]&lt;3000,1,IF(HR_Data[[#This Row],[MonthlyIncome]]&lt;6000,2,IF(HR_Data[[#This Row],[MonthlyIncome]]&lt;10000,3,4)))</f>
        <v>1</v>
      </c>
      <c r="AI505" s="1" t="str">
        <f>IF(HR_Data[[#This Row],[YearsAtCompany]]&lt;=2,"0-2 Yrs",IF(HR_Data[[#This Row],[YearsAtCompany]]&lt;=5,"3-5 Yrs",IF(HR_Data[[#This Row],[YearsAtCompany]]&lt;=10,"6-10 Yrs","10+ Yrs")))</f>
        <v>6-10 Yrs</v>
      </c>
      <c r="AJ505" s="1">
        <f>IF(HR_Data[[#This Row],[YearsAtCompany]]&lt;=2,1,IF(HR_Data[[#This Row],[YearsAtCompany]]&lt;=5,2,IF(HR_Data[[#This Row],[YearsAtCompany]]&lt;=10,3,4)))</f>
        <v>3</v>
      </c>
      <c r="AK505" s="1" t="str">
        <f>CHOOSE(HR_Data[[#This Row],[Education]],"Below College","College","Bachelor","Master","Doctor")</f>
        <v>Doctor</v>
      </c>
      <c r="AL505" s="1" t="str">
        <f>CHOOSE(HR_Data[[#This Row],[JobSatisfaction]],"Low","Medium","High","Very High")</f>
        <v>Very High</v>
      </c>
      <c r="AM505" s="1" t="str">
        <f>CHOOSE(HR_Data[[#This Row],[EnvironmentSatisfaction]],"Low","Medium","High","Very High")</f>
        <v>Medium</v>
      </c>
      <c r="AN505" s="1" t="str">
        <f>CHOOSE(HR_Data[[#This Row],[WorkLifeBalance]],"Bad","Good","Better","Best")</f>
        <v>Good</v>
      </c>
      <c r="AO505" s="1" t="str">
        <f>IF(HR_Data[[#This Row],[PercentSalaryHike]]&lt;=13,"11-13%",IF(HR_Data[[#This Row],[PercentSalaryHike]]&lt;=16,"14-16%",IF(HR_Data[[#This Row],[PercentSalaryHike]]&lt;=19,"17-19%","20-25%")))</f>
        <v>11-13%</v>
      </c>
      <c r="AP505" s="1">
        <f>IF(HR_Data[[#This Row],[PercentSalaryHike]]&lt;=13,1,IF(HR_Data[[#This Row],[PercentSalaryHike]]&lt;=16,2,IF(HR_Data[[#This Row],[PercentSalaryHike]]&lt;=19,3,4)))</f>
        <v>1</v>
      </c>
      <c r="AQ505" s="1" t="str">
        <f>IF(HR_Data[[#This Row],[DistanceFromHome]]&lt;=5,"1 to 5",IF(HR_Data[[#This Row],[DistanceFromHome]]&lt;=10,"6 to 10",IF(HR_Data[[#This Row],[DistanceFromHome]]&lt;=20,"11 to 20","21 to 29")))</f>
        <v>1 to 5</v>
      </c>
      <c r="AR505" s="1">
        <f>IF(HR_Data[[#This Row],[DistanceFromHome]]&lt;=5,1,IF(HR_Data[[#This Row],[DistanceFromHome]]&lt;=10,2,IF(HR_Data[[#This Row],[DistanceFromHome]]&lt;=20,3,4)))</f>
        <v>1</v>
      </c>
      <c r="AS505" s="1" t="str">
        <f>IF(HR_Data[[#This Row],[TotalWorkingYears]]&lt;=5,"0-5 Yrs",IF(HR_Data[[#This Row],[TotalWorkingYears]]&lt;=10,"6-10 Yrs",IF(HR_Data[[#This Row],[TotalWorkingYears]]&lt;=20,"11-20 Yrs","20+ Yrs")))</f>
        <v>6-10 Yrs</v>
      </c>
      <c r="AT505" s="1">
        <f>IF(HR_Data[[#This Row],[TotalWorkingYears]]&lt;=5,1,IF(HR_Data[[#This Row],[TotalWorkingYears]]&lt;=10,2,IF(HR_Data[[#This Row],[TotalWorkingYears]]&lt;=20,3,4)))</f>
        <v>2</v>
      </c>
    </row>
    <row r="506" spans="1:46" x14ac:dyDescent="0.25">
      <c r="A506">
        <v>45</v>
      </c>
      <c r="B506" t="s">
        <v>29</v>
      </c>
      <c r="C506" t="s">
        <v>37</v>
      </c>
      <c r="D506" t="s">
        <v>31</v>
      </c>
      <c r="E506">
        <v>26</v>
      </c>
      <c r="F506">
        <v>4</v>
      </c>
      <c r="G506" t="s">
        <v>32</v>
      </c>
      <c r="H506">
        <v>684</v>
      </c>
      <c r="I506">
        <v>1</v>
      </c>
      <c r="J506" t="s">
        <v>33</v>
      </c>
      <c r="K506">
        <v>3</v>
      </c>
      <c r="L506">
        <v>2</v>
      </c>
      <c r="M506" t="s">
        <v>34</v>
      </c>
      <c r="N506">
        <v>1</v>
      </c>
      <c r="O506" t="s">
        <v>41</v>
      </c>
      <c r="P506">
        <v>4286</v>
      </c>
      <c r="Q506">
        <v>2</v>
      </c>
      <c r="R506" t="s">
        <v>36</v>
      </c>
      <c r="S506">
        <v>14</v>
      </c>
      <c r="T506">
        <v>3</v>
      </c>
      <c r="U506">
        <v>4</v>
      </c>
      <c r="V506">
        <v>2</v>
      </c>
      <c r="W506">
        <v>5</v>
      </c>
      <c r="X506">
        <v>4</v>
      </c>
      <c r="Y506">
        <v>3</v>
      </c>
      <c r="Z506">
        <v>1</v>
      </c>
      <c r="AA506">
        <v>1</v>
      </c>
      <c r="AB506">
        <v>0</v>
      </c>
      <c r="AC506">
        <v>0</v>
      </c>
      <c r="AD506">
        <f>IF(HR_Data[[#This Row],[Attrition]]="Yes",1,0)</f>
        <v>1</v>
      </c>
      <c r="AE506" t="str">
        <f>IF(HR_Data[[#This Row],[Age]]&lt;=25,"18-25",IF(HR_Data[[#This Row],[Age]]&lt;=35,"26-35",IF(HR_Data[[#This Row],[Age]]&lt;=45,"36-45",IF(HR_Data[[#This Row],[Age]]&lt;=55,"46-55","55+"))))</f>
        <v>36-45</v>
      </c>
      <c r="AF506">
        <f>IF(HR_Data[[#This Row],[Age]]&lt;=25,1,IF(HR_Data[[#This Row],[Age]]&lt;=35,2,IF(HR_Data[[#This Row],[Age]]&lt;=45,3,IF(HR_Data[[#This Row],[Age]]&lt;=55,4,5))))</f>
        <v>3</v>
      </c>
      <c r="AG506" s="1" t="str">
        <f>IF(HR_Data[[#This Row],[MonthlyIncome]]&lt;3000,"&lt;3K",IF(HR_Data[[#This Row],[MonthlyIncome]]&lt;6000,"3K-6K",IF(HR_Data[[#This Row],[MonthlyIncome]]&lt;10000,"6K-10K","10K+")))</f>
        <v>3K-6K</v>
      </c>
      <c r="AH506" s="1">
        <f>IF(HR_Data[[#This Row],[MonthlyIncome]]&lt;3000,1,IF(HR_Data[[#This Row],[MonthlyIncome]]&lt;6000,2,IF(HR_Data[[#This Row],[MonthlyIncome]]&lt;10000,3,4)))</f>
        <v>2</v>
      </c>
      <c r="AI506" s="1" t="str">
        <f>IF(HR_Data[[#This Row],[YearsAtCompany]]&lt;=2,"0-2 Yrs",IF(HR_Data[[#This Row],[YearsAtCompany]]&lt;=5,"3-5 Yrs",IF(HR_Data[[#This Row],[YearsAtCompany]]&lt;=10,"6-10 Yrs","10+ Yrs")))</f>
        <v>0-2 Yrs</v>
      </c>
      <c r="AJ506" s="1">
        <f>IF(HR_Data[[#This Row],[YearsAtCompany]]&lt;=2,1,IF(HR_Data[[#This Row],[YearsAtCompany]]&lt;=5,2,IF(HR_Data[[#This Row],[YearsAtCompany]]&lt;=10,3,4)))</f>
        <v>1</v>
      </c>
      <c r="AK506" s="1" t="str">
        <f>CHOOSE(HR_Data[[#This Row],[Education]],"Below College","College","Bachelor","Master","Doctor")</f>
        <v>Master</v>
      </c>
      <c r="AL506" s="1" t="str">
        <f>CHOOSE(HR_Data[[#This Row],[JobSatisfaction]],"Low","Medium","High","Very High")</f>
        <v>Low</v>
      </c>
      <c r="AM506" s="1" t="str">
        <f>CHOOSE(HR_Data[[#This Row],[EnvironmentSatisfaction]],"Low","Medium","High","Very High")</f>
        <v>Low</v>
      </c>
      <c r="AN506" s="1" t="str">
        <f>CHOOSE(HR_Data[[#This Row],[WorkLifeBalance]],"Bad","Good","Better","Best")</f>
        <v>Better</v>
      </c>
      <c r="AO506" s="1" t="str">
        <f>IF(HR_Data[[#This Row],[PercentSalaryHike]]&lt;=13,"11-13%",IF(HR_Data[[#This Row],[PercentSalaryHike]]&lt;=16,"14-16%",IF(HR_Data[[#This Row],[PercentSalaryHike]]&lt;=19,"17-19%","20-25%")))</f>
        <v>14-16%</v>
      </c>
      <c r="AP506" s="1">
        <f>IF(HR_Data[[#This Row],[PercentSalaryHike]]&lt;=13,1,IF(HR_Data[[#This Row],[PercentSalaryHike]]&lt;=16,2,IF(HR_Data[[#This Row],[PercentSalaryHike]]&lt;=19,3,4)))</f>
        <v>2</v>
      </c>
      <c r="AQ506" s="1" t="str">
        <f>IF(HR_Data[[#This Row],[DistanceFromHome]]&lt;=5,"1 to 5",IF(HR_Data[[#This Row],[DistanceFromHome]]&lt;=10,"6 to 10",IF(HR_Data[[#This Row],[DistanceFromHome]]&lt;=20,"11 to 20","21 to 29")))</f>
        <v>21 to 29</v>
      </c>
      <c r="AR506" s="1">
        <f>IF(HR_Data[[#This Row],[DistanceFromHome]]&lt;=5,1,IF(HR_Data[[#This Row],[DistanceFromHome]]&lt;=10,2,IF(HR_Data[[#This Row],[DistanceFromHome]]&lt;=20,3,4)))</f>
        <v>4</v>
      </c>
      <c r="AS506" s="1" t="str">
        <f>IF(HR_Data[[#This Row],[TotalWorkingYears]]&lt;=5,"0-5 Yrs",IF(HR_Data[[#This Row],[TotalWorkingYears]]&lt;=10,"6-10 Yrs",IF(HR_Data[[#This Row],[TotalWorkingYears]]&lt;=20,"11-20 Yrs","20+ Yrs")))</f>
        <v>0-5 Yrs</v>
      </c>
      <c r="AT506" s="1">
        <f>IF(HR_Data[[#This Row],[TotalWorkingYears]]&lt;=5,1,IF(HR_Data[[#This Row],[TotalWorkingYears]]&lt;=10,2,IF(HR_Data[[#This Row],[TotalWorkingYears]]&lt;=20,3,4)))</f>
        <v>1</v>
      </c>
    </row>
    <row r="507" spans="1:46" x14ac:dyDescent="0.25">
      <c r="A507">
        <v>26</v>
      </c>
      <c r="B507" t="s">
        <v>36</v>
      </c>
      <c r="C507" t="s">
        <v>30</v>
      </c>
      <c r="D507" t="s">
        <v>38</v>
      </c>
      <c r="E507">
        <v>6</v>
      </c>
      <c r="F507">
        <v>3</v>
      </c>
      <c r="G507" t="s">
        <v>32</v>
      </c>
      <c r="H507">
        <v>686</v>
      </c>
      <c r="I507">
        <v>3</v>
      </c>
      <c r="J507" t="s">
        <v>33</v>
      </c>
      <c r="K507">
        <v>3</v>
      </c>
      <c r="L507">
        <v>1</v>
      </c>
      <c r="M507" t="s">
        <v>43</v>
      </c>
      <c r="N507">
        <v>4</v>
      </c>
      <c r="O507" t="s">
        <v>41</v>
      </c>
      <c r="P507">
        <v>2659</v>
      </c>
      <c r="Q507">
        <v>1</v>
      </c>
      <c r="R507" t="s">
        <v>29</v>
      </c>
      <c r="S507">
        <v>13</v>
      </c>
      <c r="T507">
        <v>3</v>
      </c>
      <c r="U507">
        <v>3</v>
      </c>
      <c r="V507">
        <v>1</v>
      </c>
      <c r="W507">
        <v>3</v>
      </c>
      <c r="X507">
        <v>2</v>
      </c>
      <c r="Y507">
        <v>3</v>
      </c>
      <c r="Z507">
        <v>3</v>
      </c>
      <c r="AA507">
        <v>2</v>
      </c>
      <c r="AB507">
        <v>0</v>
      </c>
      <c r="AC507">
        <v>2</v>
      </c>
      <c r="AD507">
        <f>IF(HR_Data[[#This Row],[Attrition]]="Yes",1,0)</f>
        <v>0</v>
      </c>
      <c r="AE507" t="str">
        <f>IF(HR_Data[[#This Row],[Age]]&lt;=25,"18-25",IF(HR_Data[[#This Row],[Age]]&lt;=35,"26-35",IF(HR_Data[[#This Row],[Age]]&lt;=45,"36-45",IF(HR_Data[[#This Row],[Age]]&lt;=55,"46-55","55+"))))</f>
        <v>26-35</v>
      </c>
      <c r="AF507">
        <f>IF(HR_Data[[#This Row],[Age]]&lt;=25,1,IF(HR_Data[[#This Row],[Age]]&lt;=35,2,IF(HR_Data[[#This Row],[Age]]&lt;=45,3,IF(HR_Data[[#This Row],[Age]]&lt;=55,4,5))))</f>
        <v>2</v>
      </c>
      <c r="AG507" s="1" t="str">
        <f>IF(HR_Data[[#This Row],[MonthlyIncome]]&lt;3000,"&lt;3K",IF(HR_Data[[#This Row],[MonthlyIncome]]&lt;6000,"3K-6K",IF(HR_Data[[#This Row],[MonthlyIncome]]&lt;10000,"6K-10K","10K+")))</f>
        <v>&lt;3K</v>
      </c>
      <c r="AH507" s="1">
        <f>IF(HR_Data[[#This Row],[MonthlyIncome]]&lt;3000,1,IF(HR_Data[[#This Row],[MonthlyIncome]]&lt;6000,2,IF(HR_Data[[#This Row],[MonthlyIncome]]&lt;10000,3,4)))</f>
        <v>1</v>
      </c>
      <c r="AI507" s="1" t="str">
        <f>IF(HR_Data[[#This Row],[YearsAtCompany]]&lt;=2,"0-2 Yrs",IF(HR_Data[[#This Row],[YearsAtCompany]]&lt;=5,"3-5 Yrs",IF(HR_Data[[#This Row],[YearsAtCompany]]&lt;=10,"6-10 Yrs","10+ Yrs")))</f>
        <v>3-5 Yrs</v>
      </c>
      <c r="AJ507" s="1">
        <f>IF(HR_Data[[#This Row],[YearsAtCompany]]&lt;=2,1,IF(HR_Data[[#This Row],[YearsAtCompany]]&lt;=5,2,IF(HR_Data[[#This Row],[YearsAtCompany]]&lt;=10,3,4)))</f>
        <v>2</v>
      </c>
      <c r="AK507" s="1" t="str">
        <f>CHOOSE(HR_Data[[#This Row],[Education]],"Below College","College","Bachelor","Master","Doctor")</f>
        <v>Bachelor</v>
      </c>
      <c r="AL507" s="1" t="str">
        <f>CHOOSE(HR_Data[[#This Row],[JobSatisfaction]],"Low","Medium","High","Very High")</f>
        <v>Very High</v>
      </c>
      <c r="AM507" s="1" t="str">
        <f>CHOOSE(HR_Data[[#This Row],[EnvironmentSatisfaction]],"Low","Medium","High","Very High")</f>
        <v>High</v>
      </c>
      <c r="AN507" s="1" t="str">
        <f>CHOOSE(HR_Data[[#This Row],[WorkLifeBalance]],"Bad","Good","Better","Best")</f>
        <v>Better</v>
      </c>
      <c r="AO507" s="1" t="str">
        <f>IF(HR_Data[[#This Row],[PercentSalaryHike]]&lt;=13,"11-13%",IF(HR_Data[[#This Row],[PercentSalaryHike]]&lt;=16,"14-16%",IF(HR_Data[[#This Row],[PercentSalaryHike]]&lt;=19,"17-19%","20-25%")))</f>
        <v>11-13%</v>
      </c>
      <c r="AP507" s="1">
        <f>IF(HR_Data[[#This Row],[PercentSalaryHike]]&lt;=13,1,IF(HR_Data[[#This Row],[PercentSalaryHike]]&lt;=16,2,IF(HR_Data[[#This Row],[PercentSalaryHike]]&lt;=19,3,4)))</f>
        <v>1</v>
      </c>
      <c r="AQ507" s="1" t="str">
        <f>IF(HR_Data[[#This Row],[DistanceFromHome]]&lt;=5,"1 to 5",IF(HR_Data[[#This Row],[DistanceFromHome]]&lt;=10,"6 to 10",IF(HR_Data[[#This Row],[DistanceFromHome]]&lt;=20,"11 to 20","21 to 29")))</f>
        <v>6 to 10</v>
      </c>
      <c r="AR507" s="1">
        <f>IF(HR_Data[[#This Row],[DistanceFromHome]]&lt;=5,1,IF(HR_Data[[#This Row],[DistanceFromHome]]&lt;=10,2,IF(HR_Data[[#This Row],[DistanceFromHome]]&lt;=20,3,4)))</f>
        <v>2</v>
      </c>
      <c r="AS507" s="1" t="str">
        <f>IF(HR_Data[[#This Row],[TotalWorkingYears]]&lt;=5,"0-5 Yrs",IF(HR_Data[[#This Row],[TotalWorkingYears]]&lt;=10,"6-10 Yrs",IF(HR_Data[[#This Row],[TotalWorkingYears]]&lt;=20,"11-20 Yrs","20+ Yrs")))</f>
        <v>0-5 Yrs</v>
      </c>
      <c r="AT507" s="1">
        <f>IF(HR_Data[[#This Row],[TotalWorkingYears]]&lt;=5,1,IF(HR_Data[[#This Row],[TotalWorkingYears]]&lt;=10,2,IF(HR_Data[[#This Row],[TotalWorkingYears]]&lt;=20,3,4)))</f>
        <v>1</v>
      </c>
    </row>
    <row r="508" spans="1:46" x14ac:dyDescent="0.25">
      <c r="A508">
        <v>37</v>
      </c>
      <c r="B508" t="s">
        <v>36</v>
      </c>
      <c r="C508" t="s">
        <v>30</v>
      </c>
      <c r="D508" t="s">
        <v>38</v>
      </c>
      <c r="E508">
        <v>3</v>
      </c>
      <c r="F508">
        <v>3</v>
      </c>
      <c r="G508" t="s">
        <v>42</v>
      </c>
      <c r="H508">
        <v>689</v>
      </c>
      <c r="I508">
        <v>3</v>
      </c>
      <c r="J508" t="s">
        <v>39</v>
      </c>
      <c r="K508">
        <v>3</v>
      </c>
      <c r="L508">
        <v>3</v>
      </c>
      <c r="M508" t="s">
        <v>46</v>
      </c>
      <c r="N508">
        <v>3</v>
      </c>
      <c r="O508" t="s">
        <v>41</v>
      </c>
      <c r="P508">
        <v>9434</v>
      </c>
      <c r="Q508">
        <v>1</v>
      </c>
      <c r="R508" t="s">
        <v>36</v>
      </c>
      <c r="S508">
        <v>15</v>
      </c>
      <c r="T508">
        <v>3</v>
      </c>
      <c r="U508">
        <v>3</v>
      </c>
      <c r="V508">
        <v>1</v>
      </c>
      <c r="W508">
        <v>10</v>
      </c>
      <c r="X508">
        <v>2</v>
      </c>
      <c r="Y508">
        <v>3</v>
      </c>
      <c r="Z508">
        <v>10</v>
      </c>
      <c r="AA508">
        <v>7</v>
      </c>
      <c r="AB508">
        <v>7</v>
      </c>
      <c r="AC508">
        <v>8</v>
      </c>
      <c r="AD508">
        <f>IF(HR_Data[[#This Row],[Attrition]]="Yes",1,0)</f>
        <v>0</v>
      </c>
      <c r="AE508" t="str">
        <f>IF(HR_Data[[#This Row],[Age]]&lt;=25,"18-25",IF(HR_Data[[#This Row],[Age]]&lt;=35,"26-35",IF(HR_Data[[#This Row],[Age]]&lt;=45,"36-45",IF(HR_Data[[#This Row],[Age]]&lt;=55,"46-55","55+"))))</f>
        <v>36-45</v>
      </c>
      <c r="AF508">
        <f>IF(HR_Data[[#This Row],[Age]]&lt;=25,1,IF(HR_Data[[#This Row],[Age]]&lt;=35,2,IF(HR_Data[[#This Row],[Age]]&lt;=45,3,IF(HR_Data[[#This Row],[Age]]&lt;=55,4,5))))</f>
        <v>3</v>
      </c>
      <c r="AG508" s="1" t="str">
        <f>IF(HR_Data[[#This Row],[MonthlyIncome]]&lt;3000,"&lt;3K",IF(HR_Data[[#This Row],[MonthlyIncome]]&lt;6000,"3K-6K",IF(HR_Data[[#This Row],[MonthlyIncome]]&lt;10000,"6K-10K","10K+")))</f>
        <v>6K-10K</v>
      </c>
      <c r="AH508" s="1">
        <f>IF(HR_Data[[#This Row],[MonthlyIncome]]&lt;3000,1,IF(HR_Data[[#This Row],[MonthlyIncome]]&lt;6000,2,IF(HR_Data[[#This Row],[MonthlyIncome]]&lt;10000,3,4)))</f>
        <v>3</v>
      </c>
      <c r="AI508" s="1" t="str">
        <f>IF(HR_Data[[#This Row],[YearsAtCompany]]&lt;=2,"0-2 Yrs",IF(HR_Data[[#This Row],[YearsAtCompany]]&lt;=5,"3-5 Yrs",IF(HR_Data[[#This Row],[YearsAtCompany]]&lt;=10,"6-10 Yrs","10+ Yrs")))</f>
        <v>6-10 Yrs</v>
      </c>
      <c r="AJ508" s="1">
        <f>IF(HR_Data[[#This Row],[YearsAtCompany]]&lt;=2,1,IF(HR_Data[[#This Row],[YearsAtCompany]]&lt;=5,2,IF(HR_Data[[#This Row],[YearsAtCompany]]&lt;=10,3,4)))</f>
        <v>3</v>
      </c>
      <c r="AK508" s="1" t="str">
        <f>CHOOSE(HR_Data[[#This Row],[Education]],"Below College","College","Bachelor","Master","Doctor")</f>
        <v>Bachelor</v>
      </c>
      <c r="AL508" s="1" t="str">
        <f>CHOOSE(HR_Data[[#This Row],[JobSatisfaction]],"Low","Medium","High","Very High")</f>
        <v>High</v>
      </c>
      <c r="AM508" s="1" t="str">
        <f>CHOOSE(HR_Data[[#This Row],[EnvironmentSatisfaction]],"Low","Medium","High","Very High")</f>
        <v>High</v>
      </c>
      <c r="AN508" s="1" t="str">
        <f>CHOOSE(HR_Data[[#This Row],[WorkLifeBalance]],"Bad","Good","Better","Best")</f>
        <v>Better</v>
      </c>
      <c r="AO508" s="1" t="str">
        <f>IF(HR_Data[[#This Row],[PercentSalaryHike]]&lt;=13,"11-13%",IF(HR_Data[[#This Row],[PercentSalaryHike]]&lt;=16,"14-16%",IF(HR_Data[[#This Row],[PercentSalaryHike]]&lt;=19,"17-19%","20-25%")))</f>
        <v>14-16%</v>
      </c>
      <c r="AP508" s="1">
        <f>IF(HR_Data[[#This Row],[PercentSalaryHike]]&lt;=13,1,IF(HR_Data[[#This Row],[PercentSalaryHike]]&lt;=16,2,IF(HR_Data[[#This Row],[PercentSalaryHike]]&lt;=19,3,4)))</f>
        <v>2</v>
      </c>
      <c r="AQ508" s="1" t="str">
        <f>IF(HR_Data[[#This Row],[DistanceFromHome]]&lt;=5,"1 to 5",IF(HR_Data[[#This Row],[DistanceFromHome]]&lt;=10,"6 to 10",IF(HR_Data[[#This Row],[DistanceFromHome]]&lt;=20,"11 to 20","21 to 29")))</f>
        <v>1 to 5</v>
      </c>
      <c r="AR508" s="1">
        <f>IF(HR_Data[[#This Row],[DistanceFromHome]]&lt;=5,1,IF(HR_Data[[#This Row],[DistanceFromHome]]&lt;=10,2,IF(HR_Data[[#This Row],[DistanceFromHome]]&lt;=20,3,4)))</f>
        <v>1</v>
      </c>
      <c r="AS508" s="1" t="str">
        <f>IF(HR_Data[[#This Row],[TotalWorkingYears]]&lt;=5,"0-5 Yrs",IF(HR_Data[[#This Row],[TotalWorkingYears]]&lt;=10,"6-10 Yrs",IF(HR_Data[[#This Row],[TotalWorkingYears]]&lt;=20,"11-20 Yrs","20+ Yrs")))</f>
        <v>6-10 Yrs</v>
      </c>
      <c r="AT508" s="1">
        <f>IF(HR_Data[[#This Row],[TotalWorkingYears]]&lt;=5,1,IF(HR_Data[[#This Row],[TotalWorkingYears]]&lt;=10,2,IF(HR_Data[[#This Row],[TotalWorkingYears]]&lt;=20,3,4)))</f>
        <v>2</v>
      </c>
    </row>
    <row r="509" spans="1:46" x14ac:dyDescent="0.25">
      <c r="A509">
        <v>29</v>
      </c>
      <c r="B509" t="s">
        <v>36</v>
      </c>
      <c r="C509" t="s">
        <v>30</v>
      </c>
      <c r="D509" t="s">
        <v>31</v>
      </c>
      <c r="E509">
        <v>3</v>
      </c>
      <c r="F509">
        <v>2</v>
      </c>
      <c r="G509" t="s">
        <v>44</v>
      </c>
      <c r="H509">
        <v>690</v>
      </c>
      <c r="I509">
        <v>2</v>
      </c>
      <c r="J509" t="s">
        <v>33</v>
      </c>
      <c r="K509">
        <v>3</v>
      </c>
      <c r="L509">
        <v>2</v>
      </c>
      <c r="M509" t="s">
        <v>34</v>
      </c>
      <c r="N509">
        <v>3</v>
      </c>
      <c r="O509" t="s">
        <v>41</v>
      </c>
      <c r="P509">
        <v>5561</v>
      </c>
      <c r="Q509">
        <v>1</v>
      </c>
      <c r="R509" t="s">
        <v>36</v>
      </c>
      <c r="S509">
        <v>14</v>
      </c>
      <c r="T509">
        <v>3</v>
      </c>
      <c r="U509">
        <v>1</v>
      </c>
      <c r="V509">
        <v>1</v>
      </c>
      <c r="W509">
        <v>6</v>
      </c>
      <c r="X509">
        <v>5</v>
      </c>
      <c r="Y509">
        <v>2</v>
      </c>
      <c r="Z509">
        <v>6</v>
      </c>
      <c r="AA509">
        <v>0</v>
      </c>
      <c r="AB509">
        <v>1</v>
      </c>
      <c r="AC509">
        <v>2</v>
      </c>
      <c r="AD509">
        <f>IF(HR_Data[[#This Row],[Attrition]]="Yes",1,0)</f>
        <v>0</v>
      </c>
      <c r="AE509" t="str">
        <f>IF(HR_Data[[#This Row],[Age]]&lt;=25,"18-25",IF(HR_Data[[#This Row],[Age]]&lt;=35,"26-35",IF(HR_Data[[#This Row],[Age]]&lt;=45,"36-45",IF(HR_Data[[#This Row],[Age]]&lt;=55,"46-55","55+"))))</f>
        <v>26-35</v>
      </c>
      <c r="AF509">
        <f>IF(HR_Data[[#This Row],[Age]]&lt;=25,1,IF(HR_Data[[#This Row],[Age]]&lt;=35,2,IF(HR_Data[[#This Row],[Age]]&lt;=45,3,IF(HR_Data[[#This Row],[Age]]&lt;=55,4,5))))</f>
        <v>2</v>
      </c>
      <c r="AG509" s="1" t="str">
        <f>IF(HR_Data[[#This Row],[MonthlyIncome]]&lt;3000,"&lt;3K",IF(HR_Data[[#This Row],[MonthlyIncome]]&lt;6000,"3K-6K",IF(HR_Data[[#This Row],[MonthlyIncome]]&lt;10000,"6K-10K","10K+")))</f>
        <v>3K-6K</v>
      </c>
      <c r="AH509" s="1">
        <f>IF(HR_Data[[#This Row],[MonthlyIncome]]&lt;3000,1,IF(HR_Data[[#This Row],[MonthlyIncome]]&lt;6000,2,IF(HR_Data[[#This Row],[MonthlyIncome]]&lt;10000,3,4)))</f>
        <v>2</v>
      </c>
      <c r="AI509" s="1" t="str">
        <f>IF(HR_Data[[#This Row],[YearsAtCompany]]&lt;=2,"0-2 Yrs",IF(HR_Data[[#This Row],[YearsAtCompany]]&lt;=5,"3-5 Yrs",IF(HR_Data[[#This Row],[YearsAtCompany]]&lt;=10,"6-10 Yrs","10+ Yrs")))</f>
        <v>6-10 Yrs</v>
      </c>
      <c r="AJ509" s="1">
        <f>IF(HR_Data[[#This Row],[YearsAtCompany]]&lt;=2,1,IF(HR_Data[[#This Row],[YearsAtCompany]]&lt;=5,2,IF(HR_Data[[#This Row],[YearsAtCompany]]&lt;=10,3,4)))</f>
        <v>3</v>
      </c>
      <c r="AK509" s="1" t="str">
        <f>CHOOSE(HR_Data[[#This Row],[Education]],"Below College","College","Bachelor","Master","Doctor")</f>
        <v>College</v>
      </c>
      <c r="AL509" s="1" t="str">
        <f>CHOOSE(HR_Data[[#This Row],[JobSatisfaction]],"Low","Medium","High","Very High")</f>
        <v>High</v>
      </c>
      <c r="AM509" s="1" t="str">
        <f>CHOOSE(HR_Data[[#This Row],[EnvironmentSatisfaction]],"Low","Medium","High","Very High")</f>
        <v>Medium</v>
      </c>
      <c r="AN509" s="1" t="str">
        <f>CHOOSE(HR_Data[[#This Row],[WorkLifeBalance]],"Bad","Good","Better","Best")</f>
        <v>Good</v>
      </c>
      <c r="AO509" s="1" t="str">
        <f>IF(HR_Data[[#This Row],[PercentSalaryHike]]&lt;=13,"11-13%",IF(HR_Data[[#This Row],[PercentSalaryHike]]&lt;=16,"14-16%",IF(HR_Data[[#This Row],[PercentSalaryHike]]&lt;=19,"17-19%","20-25%")))</f>
        <v>14-16%</v>
      </c>
      <c r="AP509" s="1">
        <f>IF(HR_Data[[#This Row],[PercentSalaryHike]]&lt;=13,1,IF(HR_Data[[#This Row],[PercentSalaryHike]]&lt;=16,2,IF(HR_Data[[#This Row],[PercentSalaryHike]]&lt;=19,3,4)))</f>
        <v>2</v>
      </c>
      <c r="AQ509" s="1" t="str">
        <f>IF(HR_Data[[#This Row],[DistanceFromHome]]&lt;=5,"1 to 5",IF(HR_Data[[#This Row],[DistanceFromHome]]&lt;=10,"6 to 10",IF(HR_Data[[#This Row],[DistanceFromHome]]&lt;=20,"11 to 20","21 to 29")))</f>
        <v>1 to 5</v>
      </c>
      <c r="AR509" s="1">
        <f>IF(HR_Data[[#This Row],[DistanceFromHome]]&lt;=5,1,IF(HR_Data[[#This Row],[DistanceFromHome]]&lt;=10,2,IF(HR_Data[[#This Row],[DistanceFromHome]]&lt;=20,3,4)))</f>
        <v>1</v>
      </c>
      <c r="AS509" s="1" t="str">
        <f>IF(HR_Data[[#This Row],[TotalWorkingYears]]&lt;=5,"0-5 Yrs",IF(HR_Data[[#This Row],[TotalWorkingYears]]&lt;=10,"6-10 Yrs",IF(HR_Data[[#This Row],[TotalWorkingYears]]&lt;=20,"11-20 Yrs","20+ Yrs")))</f>
        <v>6-10 Yrs</v>
      </c>
      <c r="AT509" s="1">
        <f>IF(HR_Data[[#This Row],[TotalWorkingYears]]&lt;=5,1,IF(HR_Data[[#This Row],[TotalWorkingYears]]&lt;=10,2,IF(HR_Data[[#This Row],[TotalWorkingYears]]&lt;=20,3,4)))</f>
        <v>2</v>
      </c>
    </row>
    <row r="510" spans="1:46" x14ac:dyDescent="0.25">
      <c r="A510">
        <v>35</v>
      </c>
      <c r="B510" t="s">
        <v>36</v>
      </c>
      <c r="C510" t="s">
        <v>30</v>
      </c>
      <c r="D510" t="s">
        <v>38</v>
      </c>
      <c r="E510">
        <v>6</v>
      </c>
      <c r="F510">
        <v>4</v>
      </c>
      <c r="G510" t="s">
        <v>32</v>
      </c>
      <c r="H510">
        <v>691</v>
      </c>
      <c r="I510">
        <v>2</v>
      </c>
      <c r="J510" t="s">
        <v>39</v>
      </c>
      <c r="K510">
        <v>1</v>
      </c>
      <c r="L510">
        <v>2</v>
      </c>
      <c r="M510" t="s">
        <v>40</v>
      </c>
      <c r="N510">
        <v>4</v>
      </c>
      <c r="O510" t="s">
        <v>35</v>
      </c>
      <c r="P510">
        <v>6646</v>
      </c>
      <c r="Q510">
        <v>1</v>
      </c>
      <c r="R510" t="s">
        <v>36</v>
      </c>
      <c r="S510">
        <v>13</v>
      </c>
      <c r="T510">
        <v>3</v>
      </c>
      <c r="U510">
        <v>2</v>
      </c>
      <c r="V510">
        <v>0</v>
      </c>
      <c r="W510">
        <v>17</v>
      </c>
      <c r="X510">
        <v>3</v>
      </c>
      <c r="Y510">
        <v>3</v>
      </c>
      <c r="Z510">
        <v>17</v>
      </c>
      <c r="AA510">
        <v>11</v>
      </c>
      <c r="AB510">
        <v>11</v>
      </c>
      <c r="AC510">
        <v>8</v>
      </c>
      <c r="AD510">
        <f>IF(HR_Data[[#This Row],[Attrition]]="Yes",1,0)</f>
        <v>0</v>
      </c>
      <c r="AE510" t="str">
        <f>IF(HR_Data[[#This Row],[Age]]&lt;=25,"18-25",IF(HR_Data[[#This Row],[Age]]&lt;=35,"26-35",IF(HR_Data[[#This Row],[Age]]&lt;=45,"36-45",IF(HR_Data[[#This Row],[Age]]&lt;=55,"46-55","55+"))))</f>
        <v>26-35</v>
      </c>
      <c r="AF510">
        <f>IF(HR_Data[[#This Row],[Age]]&lt;=25,1,IF(HR_Data[[#This Row],[Age]]&lt;=35,2,IF(HR_Data[[#This Row],[Age]]&lt;=45,3,IF(HR_Data[[#This Row],[Age]]&lt;=55,4,5))))</f>
        <v>2</v>
      </c>
      <c r="AG510" s="1" t="str">
        <f>IF(HR_Data[[#This Row],[MonthlyIncome]]&lt;3000,"&lt;3K",IF(HR_Data[[#This Row],[MonthlyIncome]]&lt;6000,"3K-6K",IF(HR_Data[[#This Row],[MonthlyIncome]]&lt;10000,"6K-10K","10K+")))</f>
        <v>6K-10K</v>
      </c>
      <c r="AH510" s="1">
        <f>IF(HR_Data[[#This Row],[MonthlyIncome]]&lt;3000,1,IF(HR_Data[[#This Row],[MonthlyIncome]]&lt;6000,2,IF(HR_Data[[#This Row],[MonthlyIncome]]&lt;10000,3,4)))</f>
        <v>3</v>
      </c>
      <c r="AI510" s="1" t="str">
        <f>IF(HR_Data[[#This Row],[YearsAtCompany]]&lt;=2,"0-2 Yrs",IF(HR_Data[[#This Row],[YearsAtCompany]]&lt;=5,"3-5 Yrs",IF(HR_Data[[#This Row],[YearsAtCompany]]&lt;=10,"6-10 Yrs","10+ Yrs")))</f>
        <v>10+ Yrs</v>
      </c>
      <c r="AJ510" s="1">
        <f>IF(HR_Data[[#This Row],[YearsAtCompany]]&lt;=2,1,IF(HR_Data[[#This Row],[YearsAtCompany]]&lt;=5,2,IF(HR_Data[[#This Row],[YearsAtCompany]]&lt;=10,3,4)))</f>
        <v>4</v>
      </c>
      <c r="AK510" s="1" t="str">
        <f>CHOOSE(HR_Data[[#This Row],[Education]],"Below College","College","Bachelor","Master","Doctor")</f>
        <v>Master</v>
      </c>
      <c r="AL510" s="1" t="str">
        <f>CHOOSE(HR_Data[[#This Row],[JobSatisfaction]],"Low","Medium","High","Very High")</f>
        <v>Very High</v>
      </c>
      <c r="AM510" s="1" t="str">
        <f>CHOOSE(HR_Data[[#This Row],[EnvironmentSatisfaction]],"Low","Medium","High","Very High")</f>
        <v>Medium</v>
      </c>
      <c r="AN510" s="1" t="str">
        <f>CHOOSE(HR_Data[[#This Row],[WorkLifeBalance]],"Bad","Good","Better","Best")</f>
        <v>Better</v>
      </c>
      <c r="AO510" s="1" t="str">
        <f>IF(HR_Data[[#This Row],[PercentSalaryHike]]&lt;=13,"11-13%",IF(HR_Data[[#This Row],[PercentSalaryHike]]&lt;=16,"14-16%",IF(HR_Data[[#This Row],[PercentSalaryHike]]&lt;=19,"17-19%","20-25%")))</f>
        <v>11-13%</v>
      </c>
      <c r="AP510" s="1">
        <f>IF(HR_Data[[#This Row],[PercentSalaryHike]]&lt;=13,1,IF(HR_Data[[#This Row],[PercentSalaryHike]]&lt;=16,2,IF(HR_Data[[#This Row],[PercentSalaryHike]]&lt;=19,3,4)))</f>
        <v>1</v>
      </c>
      <c r="AQ510" s="1" t="str">
        <f>IF(HR_Data[[#This Row],[DistanceFromHome]]&lt;=5,"1 to 5",IF(HR_Data[[#This Row],[DistanceFromHome]]&lt;=10,"6 to 10",IF(HR_Data[[#This Row],[DistanceFromHome]]&lt;=20,"11 to 20","21 to 29")))</f>
        <v>6 to 10</v>
      </c>
      <c r="AR510" s="1">
        <f>IF(HR_Data[[#This Row],[DistanceFromHome]]&lt;=5,1,IF(HR_Data[[#This Row],[DistanceFromHome]]&lt;=10,2,IF(HR_Data[[#This Row],[DistanceFromHome]]&lt;=20,3,4)))</f>
        <v>2</v>
      </c>
      <c r="AS510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510" s="1">
        <f>IF(HR_Data[[#This Row],[TotalWorkingYears]]&lt;=5,1,IF(HR_Data[[#This Row],[TotalWorkingYears]]&lt;=10,2,IF(HR_Data[[#This Row],[TotalWorkingYears]]&lt;=20,3,4)))</f>
        <v>3</v>
      </c>
    </row>
    <row r="511" spans="1:46" x14ac:dyDescent="0.25">
      <c r="A511">
        <v>33</v>
      </c>
      <c r="B511" t="s">
        <v>36</v>
      </c>
      <c r="C511" t="s">
        <v>37</v>
      </c>
      <c r="D511" t="s">
        <v>38</v>
      </c>
      <c r="E511">
        <v>6</v>
      </c>
      <c r="F511">
        <v>3</v>
      </c>
      <c r="G511" t="s">
        <v>32</v>
      </c>
      <c r="H511">
        <v>692</v>
      </c>
      <c r="I511">
        <v>3</v>
      </c>
      <c r="J511" t="s">
        <v>39</v>
      </c>
      <c r="K511">
        <v>3</v>
      </c>
      <c r="L511">
        <v>2</v>
      </c>
      <c r="M511" t="s">
        <v>47</v>
      </c>
      <c r="N511">
        <v>4</v>
      </c>
      <c r="O511" t="s">
        <v>45</v>
      </c>
      <c r="P511">
        <v>7725</v>
      </c>
      <c r="Q511">
        <v>3</v>
      </c>
      <c r="R511" t="s">
        <v>36</v>
      </c>
      <c r="S511">
        <v>23</v>
      </c>
      <c r="T511">
        <v>4</v>
      </c>
      <c r="U511">
        <v>3</v>
      </c>
      <c r="V511">
        <v>1</v>
      </c>
      <c r="W511">
        <v>15</v>
      </c>
      <c r="X511">
        <v>2</v>
      </c>
      <c r="Y511">
        <v>1</v>
      </c>
      <c r="Z511">
        <v>13</v>
      </c>
      <c r="AA511">
        <v>11</v>
      </c>
      <c r="AB511">
        <v>4</v>
      </c>
      <c r="AC511">
        <v>7</v>
      </c>
      <c r="AD511">
        <f>IF(HR_Data[[#This Row],[Attrition]]="Yes",1,0)</f>
        <v>0</v>
      </c>
      <c r="AE511" t="str">
        <f>IF(HR_Data[[#This Row],[Age]]&lt;=25,"18-25",IF(HR_Data[[#This Row],[Age]]&lt;=35,"26-35",IF(HR_Data[[#This Row],[Age]]&lt;=45,"36-45",IF(HR_Data[[#This Row],[Age]]&lt;=55,"46-55","55+"))))</f>
        <v>26-35</v>
      </c>
      <c r="AF511">
        <f>IF(HR_Data[[#This Row],[Age]]&lt;=25,1,IF(HR_Data[[#This Row],[Age]]&lt;=35,2,IF(HR_Data[[#This Row],[Age]]&lt;=45,3,IF(HR_Data[[#This Row],[Age]]&lt;=55,4,5))))</f>
        <v>2</v>
      </c>
      <c r="AG511" s="1" t="str">
        <f>IF(HR_Data[[#This Row],[MonthlyIncome]]&lt;3000,"&lt;3K",IF(HR_Data[[#This Row],[MonthlyIncome]]&lt;6000,"3K-6K",IF(HR_Data[[#This Row],[MonthlyIncome]]&lt;10000,"6K-10K","10K+")))</f>
        <v>6K-10K</v>
      </c>
      <c r="AH511" s="1">
        <f>IF(HR_Data[[#This Row],[MonthlyIncome]]&lt;3000,1,IF(HR_Data[[#This Row],[MonthlyIncome]]&lt;6000,2,IF(HR_Data[[#This Row],[MonthlyIncome]]&lt;10000,3,4)))</f>
        <v>3</v>
      </c>
      <c r="AI511" s="1" t="str">
        <f>IF(HR_Data[[#This Row],[YearsAtCompany]]&lt;=2,"0-2 Yrs",IF(HR_Data[[#This Row],[YearsAtCompany]]&lt;=5,"3-5 Yrs",IF(HR_Data[[#This Row],[YearsAtCompany]]&lt;=10,"6-10 Yrs","10+ Yrs")))</f>
        <v>10+ Yrs</v>
      </c>
      <c r="AJ511" s="1">
        <f>IF(HR_Data[[#This Row],[YearsAtCompany]]&lt;=2,1,IF(HR_Data[[#This Row],[YearsAtCompany]]&lt;=5,2,IF(HR_Data[[#This Row],[YearsAtCompany]]&lt;=10,3,4)))</f>
        <v>4</v>
      </c>
      <c r="AK511" s="1" t="str">
        <f>CHOOSE(HR_Data[[#This Row],[Education]],"Below College","College","Bachelor","Master","Doctor")</f>
        <v>Bachelor</v>
      </c>
      <c r="AL511" s="1" t="str">
        <f>CHOOSE(HR_Data[[#This Row],[JobSatisfaction]],"Low","Medium","High","Very High")</f>
        <v>Very High</v>
      </c>
      <c r="AM511" s="1" t="str">
        <f>CHOOSE(HR_Data[[#This Row],[EnvironmentSatisfaction]],"Low","Medium","High","Very High")</f>
        <v>High</v>
      </c>
      <c r="AN511" s="1" t="str">
        <f>CHOOSE(HR_Data[[#This Row],[WorkLifeBalance]],"Bad","Good","Better","Best")</f>
        <v>Bad</v>
      </c>
      <c r="AO511" s="1" t="str">
        <f>IF(HR_Data[[#This Row],[PercentSalaryHike]]&lt;=13,"11-13%",IF(HR_Data[[#This Row],[PercentSalaryHike]]&lt;=16,"14-16%",IF(HR_Data[[#This Row],[PercentSalaryHike]]&lt;=19,"17-19%","20-25%")))</f>
        <v>20-25%</v>
      </c>
      <c r="AP511" s="1">
        <f>IF(HR_Data[[#This Row],[PercentSalaryHike]]&lt;=13,1,IF(HR_Data[[#This Row],[PercentSalaryHike]]&lt;=16,2,IF(HR_Data[[#This Row],[PercentSalaryHike]]&lt;=19,3,4)))</f>
        <v>4</v>
      </c>
      <c r="AQ511" s="1" t="str">
        <f>IF(HR_Data[[#This Row],[DistanceFromHome]]&lt;=5,"1 to 5",IF(HR_Data[[#This Row],[DistanceFromHome]]&lt;=10,"6 to 10",IF(HR_Data[[#This Row],[DistanceFromHome]]&lt;=20,"11 to 20","21 to 29")))</f>
        <v>6 to 10</v>
      </c>
      <c r="AR511" s="1">
        <f>IF(HR_Data[[#This Row],[DistanceFromHome]]&lt;=5,1,IF(HR_Data[[#This Row],[DistanceFromHome]]&lt;=10,2,IF(HR_Data[[#This Row],[DistanceFromHome]]&lt;=20,3,4)))</f>
        <v>2</v>
      </c>
      <c r="AS511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511" s="1">
        <f>IF(HR_Data[[#This Row],[TotalWorkingYears]]&lt;=5,1,IF(HR_Data[[#This Row],[TotalWorkingYears]]&lt;=10,2,IF(HR_Data[[#This Row],[TotalWorkingYears]]&lt;=20,3,4)))</f>
        <v>3</v>
      </c>
    </row>
    <row r="512" spans="1:46" x14ac:dyDescent="0.25">
      <c r="A512">
        <v>54</v>
      </c>
      <c r="B512" t="s">
        <v>36</v>
      </c>
      <c r="C512" t="s">
        <v>30</v>
      </c>
      <c r="D512" t="s">
        <v>54</v>
      </c>
      <c r="E512">
        <v>19</v>
      </c>
      <c r="F512">
        <v>4</v>
      </c>
      <c r="G512" t="s">
        <v>44</v>
      </c>
      <c r="H512">
        <v>698</v>
      </c>
      <c r="I512">
        <v>3</v>
      </c>
      <c r="J512" t="s">
        <v>39</v>
      </c>
      <c r="K512">
        <v>3</v>
      </c>
      <c r="L512">
        <v>3</v>
      </c>
      <c r="M512" t="s">
        <v>54</v>
      </c>
      <c r="N512">
        <v>2</v>
      </c>
      <c r="O512" t="s">
        <v>41</v>
      </c>
      <c r="P512">
        <v>10725</v>
      </c>
      <c r="Q512">
        <v>2</v>
      </c>
      <c r="R512" t="s">
        <v>36</v>
      </c>
      <c r="S512">
        <v>15</v>
      </c>
      <c r="T512">
        <v>3</v>
      </c>
      <c r="U512">
        <v>3</v>
      </c>
      <c r="V512">
        <v>1</v>
      </c>
      <c r="W512">
        <v>16</v>
      </c>
      <c r="X512">
        <v>1</v>
      </c>
      <c r="Y512">
        <v>4</v>
      </c>
      <c r="Z512">
        <v>9</v>
      </c>
      <c r="AA512">
        <v>7</v>
      </c>
      <c r="AB512">
        <v>7</v>
      </c>
      <c r="AC512">
        <v>1</v>
      </c>
      <c r="AD512">
        <f>IF(HR_Data[[#This Row],[Attrition]]="Yes",1,0)</f>
        <v>0</v>
      </c>
      <c r="AE512" t="str">
        <f>IF(HR_Data[[#This Row],[Age]]&lt;=25,"18-25",IF(HR_Data[[#This Row],[Age]]&lt;=35,"26-35",IF(HR_Data[[#This Row],[Age]]&lt;=45,"36-45",IF(HR_Data[[#This Row],[Age]]&lt;=55,"46-55","55+"))))</f>
        <v>46-55</v>
      </c>
      <c r="AF512">
        <f>IF(HR_Data[[#This Row],[Age]]&lt;=25,1,IF(HR_Data[[#This Row],[Age]]&lt;=35,2,IF(HR_Data[[#This Row],[Age]]&lt;=45,3,IF(HR_Data[[#This Row],[Age]]&lt;=55,4,5))))</f>
        <v>4</v>
      </c>
      <c r="AG512" s="1" t="str">
        <f>IF(HR_Data[[#This Row],[MonthlyIncome]]&lt;3000,"&lt;3K",IF(HR_Data[[#This Row],[MonthlyIncome]]&lt;6000,"3K-6K",IF(HR_Data[[#This Row],[MonthlyIncome]]&lt;10000,"6K-10K","10K+")))</f>
        <v>10K+</v>
      </c>
      <c r="AH512" s="1">
        <f>IF(HR_Data[[#This Row],[MonthlyIncome]]&lt;3000,1,IF(HR_Data[[#This Row],[MonthlyIncome]]&lt;6000,2,IF(HR_Data[[#This Row],[MonthlyIncome]]&lt;10000,3,4)))</f>
        <v>4</v>
      </c>
      <c r="AI512" s="1" t="str">
        <f>IF(HR_Data[[#This Row],[YearsAtCompany]]&lt;=2,"0-2 Yrs",IF(HR_Data[[#This Row],[YearsAtCompany]]&lt;=5,"3-5 Yrs",IF(HR_Data[[#This Row],[YearsAtCompany]]&lt;=10,"6-10 Yrs","10+ Yrs")))</f>
        <v>6-10 Yrs</v>
      </c>
      <c r="AJ512" s="1">
        <f>IF(HR_Data[[#This Row],[YearsAtCompany]]&lt;=2,1,IF(HR_Data[[#This Row],[YearsAtCompany]]&lt;=5,2,IF(HR_Data[[#This Row],[YearsAtCompany]]&lt;=10,3,4)))</f>
        <v>3</v>
      </c>
      <c r="AK512" s="1" t="str">
        <f>CHOOSE(HR_Data[[#This Row],[Education]],"Below College","College","Bachelor","Master","Doctor")</f>
        <v>Master</v>
      </c>
      <c r="AL512" s="1" t="str">
        <f>CHOOSE(HR_Data[[#This Row],[JobSatisfaction]],"Low","Medium","High","Very High")</f>
        <v>Medium</v>
      </c>
      <c r="AM512" s="1" t="str">
        <f>CHOOSE(HR_Data[[#This Row],[EnvironmentSatisfaction]],"Low","Medium","High","Very High")</f>
        <v>High</v>
      </c>
      <c r="AN512" s="1" t="str">
        <f>CHOOSE(HR_Data[[#This Row],[WorkLifeBalance]],"Bad","Good","Better","Best")</f>
        <v>Best</v>
      </c>
      <c r="AO512" s="1" t="str">
        <f>IF(HR_Data[[#This Row],[PercentSalaryHike]]&lt;=13,"11-13%",IF(HR_Data[[#This Row],[PercentSalaryHike]]&lt;=16,"14-16%",IF(HR_Data[[#This Row],[PercentSalaryHike]]&lt;=19,"17-19%","20-25%")))</f>
        <v>14-16%</v>
      </c>
      <c r="AP512" s="1">
        <f>IF(HR_Data[[#This Row],[PercentSalaryHike]]&lt;=13,1,IF(HR_Data[[#This Row],[PercentSalaryHike]]&lt;=16,2,IF(HR_Data[[#This Row],[PercentSalaryHike]]&lt;=19,3,4)))</f>
        <v>2</v>
      </c>
      <c r="AQ512" s="1" t="str">
        <f>IF(HR_Data[[#This Row],[DistanceFromHome]]&lt;=5,"1 to 5",IF(HR_Data[[#This Row],[DistanceFromHome]]&lt;=10,"6 to 10",IF(HR_Data[[#This Row],[DistanceFromHome]]&lt;=20,"11 to 20","21 to 29")))</f>
        <v>11 to 20</v>
      </c>
      <c r="AR512" s="1">
        <f>IF(HR_Data[[#This Row],[DistanceFromHome]]&lt;=5,1,IF(HR_Data[[#This Row],[DistanceFromHome]]&lt;=10,2,IF(HR_Data[[#This Row],[DistanceFromHome]]&lt;=20,3,4)))</f>
        <v>3</v>
      </c>
      <c r="AS512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512" s="1">
        <f>IF(HR_Data[[#This Row],[TotalWorkingYears]]&lt;=5,1,IF(HR_Data[[#This Row],[TotalWorkingYears]]&lt;=10,2,IF(HR_Data[[#This Row],[TotalWorkingYears]]&lt;=20,3,4)))</f>
        <v>3</v>
      </c>
    </row>
    <row r="513" spans="1:46" x14ac:dyDescent="0.25">
      <c r="A513">
        <v>36</v>
      </c>
      <c r="B513" t="s">
        <v>36</v>
      </c>
      <c r="C513" t="s">
        <v>30</v>
      </c>
      <c r="D513" t="s">
        <v>38</v>
      </c>
      <c r="E513">
        <v>9</v>
      </c>
      <c r="F513">
        <v>2</v>
      </c>
      <c r="G513" t="s">
        <v>44</v>
      </c>
      <c r="H513">
        <v>699</v>
      </c>
      <c r="I513">
        <v>2</v>
      </c>
      <c r="J513" t="s">
        <v>39</v>
      </c>
      <c r="K513">
        <v>2</v>
      </c>
      <c r="L513">
        <v>2</v>
      </c>
      <c r="M513" t="s">
        <v>46</v>
      </c>
      <c r="N513">
        <v>2</v>
      </c>
      <c r="O513" t="s">
        <v>45</v>
      </c>
      <c r="P513">
        <v>8847</v>
      </c>
      <c r="Q513">
        <v>2</v>
      </c>
      <c r="R513" t="s">
        <v>29</v>
      </c>
      <c r="S513">
        <v>11</v>
      </c>
      <c r="T513">
        <v>3</v>
      </c>
      <c r="U513">
        <v>3</v>
      </c>
      <c r="V513">
        <v>1</v>
      </c>
      <c r="W513">
        <v>13</v>
      </c>
      <c r="X513">
        <v>2</v>
      </c>
      <c r="Y513">
        <v>3</v>
      </c>
      <c r="Z513">
        <v>3</v>
      </c>
      <c r="AA513">
        <v>2</v>
      </c>
      <c r="AB513">
        <v>0</v>
      </c>
      <c r="AC513">
        <v>2</v>
      </c>
      <c r="AD513">
        <f>IF(HR_Data[[#This Row],[Attrition]]="Yes",1,0)</f>
        <v>0</v>
      </c>
      <c r="AE513" t="str">
        <f>IF(HR_Data[[#This Row],[Age]]&lt;=25,"18-25",IF(HR_Data[[#This Row],[Age]]&lt;=35,"26-35",IF(HR_Data[[#This Row],[Age]]&lt;=45,"36-45",IF(HR_Data[[#This Row],[Age]]&lt;=55,"46-55","55+"))))</f>
        <v>36-45</v>
      </c>
      <c r="AF513">
        <f>IF(HR_Data[[#This Row],[Age]]&lt;=25,1,IF(HR_Data[[#This Row],[Age]]&lt;=35,2,IF(HR_Data[[#This Row],[Age]]&lt;=45,3,IF(HR_Data[[#This Row],[Age]]&lt;=55,4,5))))</f>
        <v>3</v>
      </c>
      <c r="AG513" s="1" t="str">
        <f>IF(HR_Data[[#This Row],[MonthlyIncome]]&lt;3000,"&lt;3K",IF(HR_Data[[#This Row],[MonthlyIncome]]&lt;6000,"3K-6K",IF(HR_Data[[#This Row],[MonthlyIncome]]&lt;10000,"6K-10K","10K+")))</f>
        <v>6K-10K</v>
      </c>
      <c r="AH513" s="1">
        <f>IF(HR_Data[[#This Row],[MonthlyIncome]]&lt;3000,1,IF(HR_Data[[#This Row],[MonthlyIncome]]&lt;6000,2,IF(HR_Data[[#This Row],[MonthlyIncome]]&lt;10000,3,4)))</f>
        <v>3</v>
      </c>
      <c r="AI513" s="1" t="str">
        <f>IF(HR_Data[[#This Row],[YearsAtCompany]]&lt;=2,"0-2 Yrs",IF(HR_Data[[#This Row],[YearsAtCompany]]&lt;=5,"3-5 Yrs",IF(HR_Data[[#This Row],[YearsAtCompany]]&lt;=10,"6-10 Yrs","10+ Yrs")))</f>
        <v>3-5 Yrs</v>
      </c>
      <c r="AJ513" s="1">
        <f>IF(HR_Data[[#This Row],[YearsAtCompany]]&lt;=2,1,IF(HR_Data[[#This Row],[YearsAtCompany]]&lt;=5,2,IF(HR_Data[[#This Row],[YearsAtCompany]]&lt;=10,3,4)))</f>
        <v>2</v>
      </c>
      <c r="AK513" s="1" t="str">
        <f>CHOOSE(HR_Data[[#This Row],[Education]],"Below College","College","Bachelor","Master","Doctor")</f>
        <v>College</v>
      </c>
      <c r="AL513" s="1" t="str">
        <f>CHOOSE(HR_Data[[#This Row],[JobSatisfaction]],"Low","Medium","High","Very High")</f>
        <v>Medium</v>
      </c>
      <c r="AM513" s="1" t="str">
        <f>CHOOSE(HR_Data[[#This Row],[EnvironmentSatisfaction]],"Low","Medium","High","Very High")</f>
        <v>Medium</v>
      </c>
      <c r="AN513" s="1" t="str">
        <f>CHOOSE(HR_Data[[#This Row],[WorkLifeBalance]],"Bad","Good","Better","Best")</f>
        <v>Better</v>
      </c>
      <c r="AO513" s="1" t="str">
        <f>IF(HR_Data[[#This Row],[PercentSalaryHike]]&lt;=13,"11-13%",IF(HR_Data[[#This Row],[PercentSalaryHike]]&lt;=16,"14-16%",IF(HR_Data[[#This Row],[PercentSalaryHike]]&lt;=19,"17-19%","20-25%")))</f>
        <v>11-13%</v>
      </c>
      <c r="AP513" s="1">
        <f>IF(HR_Data[[#This Row],[PercentSalaryHike]]&lt;=13,1,IF(HR_Data[[#This Row],[PercentSalaryHike]]&lt;=16,2,IF(HR_Data[[#This Row],[PercentSalaryHike]]&lt;=19,3,4)))</f>
        <v>1</v>
      </c>
      <c r="AQ513" s="1" t="str">
        <f>IF(HR_Data[[#This Row],[DistanceFromHome]]&lt;=5,"1 to 5",IF(HR_Data[[#This Row],[DistanceFromHome]]&lt;=10,"6 to 10",IF(HR_Data[[#This Row],[DistanceFromHome]]&lt;=20,"11 to 20","21 to 29")))</f>
        <v>6 to 10</v>
      </c>
      <c r="AR513" s="1">
        <f>IF(HR_Data[[#This Row],[DistanceFromHome]]&lt;=5,1,IF(HR_Data[[#This Row],[DistanceFromHome]]&lt;=10,2,IF(HR_Data[[#This Row],[DistanceFromHome]]&lt;=20,3,4)))</f>
        <v>2</v>
      </c>
      <c r="AS513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513" s="1">
        <f>IF(HR_Data[[#This Row],[TotalWorkingYears]]&lt;=5,1,IF(HR_Data[[#This Row],[TotalWorkingYears]]&lt;=10,2,IF(HR_Data[[#This Row],[TotalWorkingYears]]&lt;=20,3,4)))</f>
        <v>3</v>
      </c>
    </row>
    <row r="514" spans="1:46" x14ac:dyDescent="0.25">
      <c r="A514">
        <v>27</v>
      </c>
      <c r="B514" t="s">
        <v>36</v>
      </c>
      <c r="C514" t="s">
        <v>30</v>
      </c>
      <c r="D514" t="s">
        <v>38</v>
      </c>
      <c r="E514">
        <v>3</v>
      </c>
      <c r="F514">
        <v>4</v>
      </c>
      <c r="G514" t="s">
        <v>44</v>
      </c>
      <c r="H514">
        <v>700</v>
      </c>
      <c r="I514">
        <v>1</v>
      </c>
      <c r="J514" t="s">
        <v>39</v>
      </c>
      <c r="K514">
        <v>2</v>
      </c>
      <c r="L514">
        <v>1</v>
      </c>
      <c r="M514" t="s">
        <v>40</v>
      </c>
      <c r="N514">
        <v>4</v>
      </c>
      <c r="O514" t="s">
        <v>35</v>
      </c>
      <c r="P514">
        <v>2045</v>
      </c>
      <c r="Q514">
        <v>0</v>
      </c>
      <c r="R514" t="s">
        <v>36</v>
      </c>
      <c r="S514">
        <v>13</v>
      </c>
      <c r="T514">
        <v>3</v>
      </c>
      <c r="U514">
        <v>4</v>
      </c>
      <c r="V514">
        <v>0</v>
      </c>
      <c r="W514">
        <v>5</v>
      </c>
      <c r="X514">
        <v>0</v>
      </c>
      <c r="Y514">
        <v>3</v>
      </c>
      <c r="Z514">
        <v>4</v>
      </c>
      <c r="AA514">
        <v>2</v>
      </c>
      <c r="AB514">
        <v>1</v>
      </c>
      <c r="AC514">
        <v>1</v>
      </c>
      <c r="AD514">
        <f>IF(HR_Data[[#This Row],[Attrition]]="Yes",1,0)</f>
        <v>0</v>
      </c>
      <c r="AE514" t="str">
        <f>IF(HR_Data[[#This Row],[Age]]&lt;=25,"18-25",IF(HR_Data[[#This Row],[Age]]&lt;=35,"26-35",IF(HR_Data[[#This Row],[Age]]&lt;=45,"36-45",IF(HR_Data[[#This Row],[Age]]&lt;=55,"46-55","55+"))))</f>
        <v>26-35</v>
      </c>
      <c r="AF514">
        <f>IF(HR_Data[[#This Row],[Age]]&lt;=25,1,IF(HR_Data[[#This Row],[Age]]&lt;=35,2,IF(HR_Data[[#This Row],[Age]]&lt;=45,3,IF(HR_Data[[#This Row],[Age]]&lt;=55,4,5))))</f>
        <v>2</v>
      </c>
      <c r="AG514" s="1" t="str">
        <f>IF(HR_Data[[#This Row],[MonthlyIncome]]&lt;3000,"&lt;3K",IF(HR_Data[[#This Row],[MonthlyIncome]]&lt;6000,"3K-6K",IF(HR_Data[[#This Row],[MonthlyIncome]]&lt;10000,"6K-10K","10K+")))</f>
        <v>&lt;3K</v>
      </c>
      <c r="AH514" s="1">
        <f>IF(HR_Data[[#This Row],[MonthlyIncome]]&lt;3000,1,IF(HR_Data[[#This Row],[MonthlyIncome]]&lt;6000,2,IF(HR_Data[[#This Row],[MonthlyIncome]]&lt;10000,3,4)))</f>
        <v>1</v>
      </c>
      <c r="AI514" s="1" t="str">
        <f>IF(HR_Data[[#This Row],[YearsAtCompany]]&lt;=2,"0-2 Yrs",IF(HR_Data[[#This Row],[YearsAtCompany]]&lt;=5,"3-5 Yrs",IF(HR_Data[[#This Row],[YearsAtCompany]]&lt;=10,"6-10 Yrs","10+ Yrs")))</f>
        <v>3-5 Yrs</v>
      </c>
      <c r="AJ514" s="1">
        <f>IF(HR_Data[[#This Row],[YearsAtCompany]]&lt;=2,1,IF(HR_Data[[#This Row],[YearsAtCompany]]&lt;=5,2,IF(HR_Data[[#This Row],[YearsAtCompany]]&lt;=10,3,4)))</f>
        <v>2</v>
      </c>
      <c r="AK514" s="1" t="str">
        <f>CHOOSE(HR_Data[[#This Row],[Education]],"Below College","College","Bachelor","Master","Doctor")</f>
        <v>Master</v>
      </c>
      <c r="AL514" s="1" t="str">
        <f>CHOOSE(HR_Data[[#This Row],[JobSatisfaction]],"Low","Medium","High","Very High")</f>
        <v>Very High</v>
      </c>
      <c r="AM514" s="1" t="str">
        <f>CHOOSE(HR_Data[[#This Row],[EnvironmentSatisfaction]],"Low","Medium","High","Very High")</f>
        <v>Low</v>
      </c>
      <c r="AN514" s="1" t="str">
        <f>CHOOSE(HR_Data[[#This Row],[WorkLifeBalance]],"Bad","Good","Better","Best")</f>
        <v>Better</v>
      </c>
      <c r="AO514" s="1" t="str">
        <f>IF(HR_Data[[#This Row],[PercentSalaryHike]]&lt;=13,"11-13%",IF(HR_Data[[#This Row],[PercentSalaryHike]]&lt;=16,"14-16%",IF(HR_Data[[#This Row],[PercentSalaryHike]]&lt;=19,"17-19%","20-25%")))</f>
        <v>11-13%</v>
      </c>
      <c r="AP514" s="1">
        <f>IF(HR_Data[[#This Row],[PercentSalaryHike]]&lt;=13,1,IF(HR_Data[[#This Row],[PercentSalaryHike]]&lt;=16,2,IF(HR_Data[[#This Row],[PercentSalaryHike]]&lt;=19,3,4)))</f>
        <v>1</v>
      </c>
      <c r="AQ514" s="1" t="str">
        <f>IF(HR_Data[[#This Row],[DistanceFromHome]]&lt;=5,"1 to 5",IF(HR_Data[[#This Row],[DistanceFromHome]]&lt;=10,"6 to 10",IF(HR_Data[[#This Row],[DistanceFromHome]]&lt;=20,"11 to 20","21 to 29")))</f>
        <v>1 to 5</v>
      </c>
      <c r="AR514" s="1">
        <f>IF(HR_Data[[#This Row],[DistanceFromHome]]&lt;=5,1,IF(HR_Data[[#This Row],[DistanceFromHome]]&lt;=10,2,IF(HR_Data[[#This Row],[DistanceFromHome]]&lt;=20,3,4)))</f>
        <v>1</v>
      </c>
      <c r="AS514" s="1" t="str">
        <f>IF(HR_Data[[#This Row],[TotalWorkingYears]]&lt;=5,"0-5 Yrs",IF(HR_Data[[#This Row],[TotalWorkingYears]]&lt;=10,"6-10 Yrs",IF(HR_Data[[#This Row],[TotalWorkingYears]]&lt;=20,"11-20 Yrs","20+ Yrs")))</f>
        <v>0-5 Yrs</v>
      </c>
      <c r="AT514" s="1">
        <f>IF(HR_Data[[#This Row],[TotalWorkingYears]]&lt;=5,1,IF(HR_Data[[#This Row],[TotalWorkingYears]]&lt;=10,2,IF(HR_Data[[#This Row],[TotalWorkingYears]]&lt;=20,3,4)))</f>
        <v>1</v>
      </c>
    </row>
    <row r="515" spans="1:46" x14ac:dyDescent="0.25">
      <c r="A515">
        <v>20</v>
      </c>
      <c r="B515" t="s">
        <v>29</v>
      </c>
      <c r="C515" t="s">
        <v>30</v>
      </c>
      <c r="D515" t="s">
        <v>38</v>
      </c>
      <c r="E515">
        <v>10</v>
      </c>
      <c r="F515">
        <v>1</v>
      </c>
      <c r="G515" t="s">
        <v>44</v>
      </c>
      <c r="H515">
        <v>701</v>
      </c>
      <c r="I515">
        <v>4</v>
      </c>
      <c r="J515" t="s">
        <v>39</v>
      </c>
      <c r="K515">
        <v>3</v>
      </c>
      <c r="L515">
        <v>1</v>
      </c>
      <c r="M515" t="s">
        <v>40</v>
      </c>
      <c r="N515">
        <v>3</v>
      </c>
      <c r="O515" t="s">
        <v>35</v>
      </c>
      <c r="P515">
        <v>1009</v>
      </c>
      <c r="Q515">
        <v>1</v>
      </c>
      <c r="R515" t="s">
        <v>29</v>
      </c>
      <c r="S515">
        <v>11</v>
      </c>
      <c r="T515">
        <v>3</v>
      </c>
      <c r="U515">
        <v>4</v>
      </c>
      <c r="V515">
        <v>0</v>
      </c>
      <c r="W515">
        <v>1</v>
      </c>
      <c r="X515">
        <v>5</v>
      </c>
      <c r="Y515">
        <v>3</v>
      </c>
      <c r="Z515">
        <v>1</v>
      </c>
      <c r="AA515">
        <v>0</v>
      </c>
      <c r="AB515">
        <v>1</v>
      </c>
      <c r="AC515">
        <v>1</v>
      </c>
      <c r="AD515">
        <f>IF(HR_Data[[#This Row],[Attrition]]="Yes",1,0)</f>
        <v>1</v>
      </c>
      <c r="AE515" t="str">
        <f>IF(HR_Data[[#This Row],[Age]]&lt;=25,"18-25",IF(HR_Data[[#This Row],[Age]]&lt;=35,"26-35",IF(HR_Data[[#This Row],[Age]]&lt;=45,"36-45",IF(HR_Data[[#This Row],[Age]]&lt;=55,"46-55","55+"))))</f>
        <v>18-25</v>
      </c>
      <c r="AF515">
        <f>IF(HR_Data[[#This Row],[Age]]&lt;=25,1,IF(HR_Data[[#This Row],[Age]]&lt;=35,2,IF(HR_Data[[#This Row],[Age]]&lt;=45,3,IF(HR_Data[[#This Row],[Age]]&lt;=55,4,5))))</f>
        <v>1</v>
      </c>
      <c r="AG515" s="1" t="str">
        <f>IF(HR_Data[[#This Row],[MonthlyIncome]]&lt;3000,"&lt;3K",IF(HR_Data[[#This Row],[MonthlyIncome]]&lt;6000,"3K-6K",IF(HR_Data[[#This Row],[MonthlyIncome]]&lt;10000,"6K-10K","10K+")))</f>
        <v>&lt;3K</v>
      </c>
      <c r="AH515" s="1">
        <f>IF(HR_Data[[#This Row],[MonthlyIncome]]&lt;3000,1,IF(HR_Data[[#This Row],[MonthlyIncome]]&lt;6000,2,IF(HR_Data[[#This Row],[MonthlyIncome]]&lt;10000,3,4)))</f>
        <v>1</v>
      </c>
      <c r="AI515" s="1" t="str">
        <f>IF(HR_Data[[#This Row],[YearsAtCompany]]&lt;=2,"0-2 Yrs",IF(HR_Data[[#This Row],[YearsAtCompany]]&lt;=5,"3-5 Yrs",IF(HR_Data[[#This Row],[YearsAtCompany]]&lt;=10,"6-10 Yrs","10+ Yrs")))</f>
        <v>0-2 Yrs</v>
      </c>
      <c r="AJ515" s="1">
        <f>IF(HR_Data[[#This Row],[YearsAtCompany]]&lt;=2,1,IF(HR_Data[[#This Row],[YearsAtCompany]]&lt;=5,2,IF(HR_Data[[#This Row],[YearsAtCompany]]&lt;=10,3,4)))</f>
        <v>1</v>
      </c>
      <c r="AK515" s="1" t="str">
        <f>CHOOSE(HR_Data[[#This Row],[Education]],"Below College","College","Bachelor","Master","Doctor")</f>
        <v>Below College</v>
      </c>
      <c r="AL515" s="1" t="str">
        <f>CHOOSE(HR_Data[[#This Row],[JobSatisfaction]],"Low","Medium","High","Very High")</f>
        <v>High</v>
      </c>
      <c r="AM515" s="1" t="str">
        <f>CHOOSE(HR_Data[[#This Row],[EnvironmentSatisfaction]],"Low","Medium","High","Very High")</f>
        <v>Very High</v>
      </c>
      <c r="AN515" s="1" t="str">
        <f>CHOOSE(HR_Data[[#This Row],[WorkLifeBalance]],"Bad","Good","Better","Best")</f>
        <v>Better</v>
      </c>
      <c r="AO515" s="1" t="str">
        <f>IF(HR_Data[[#This Row],[PercentSalaryHike]]&lt;=13,"11-13%",IF(HR_Data[[#This Row],[PercentSalaryHike]]&lt;=16,"14-16%",IF(HR_Data[[#This Row],[PercentSalaryHike]]&lt;=19,"17-19%","20-25%")))</f>
        <v>11-13%</v>
      </c>
      <c r="AP515" s="1">
        <f>IF(HR_Data[[#This Row],[PercentSalaryHike]]&lt;=13,1,IF(HR_Data[[#This Row],[PercentSalaryHike]]&lt;=16,2,IF(HR_Data[[#This Row],[PercentSalaryHike]]&lt;=19,3,4)))</f>
        <v>1</v>
      </c>
      <c r="AQ515" s="1" t="str">
        <f>IF(HR_Data[[#This Row],[DistanceFromHome]]&lt;=5,"1 to 5",IF(HR_Data[[#This Row],[DistanceFromHome]]&lt;=10,"6 to 10",IF(HR_Data[[#This Row],[DistanceFromHome]]&lt;=20,"11 to 20","21 to 29")))</f>
        <v>6 to 10</v>
      </c>
      <c r="AR515" s="1">
        <f>IF(HR_Data[[#This Row],[DistanceFromHome]]&lt;=5,1,IF(HR_Data[[#This Row],[DistanceFromHome]]&lt;=10,2,IF(HR_Data[[#This Row],[DistanceFromHome]]&lt;=20,3,4)))</f>
        <v>2</v>
      </c>
      <c r="AS515" s="1" t="str">
        <f>IF(HR_Data[[#This Row],[TotalWorkingYears]]&lt;=5,"0-5 Yrs",IF(HR_Data[[#This Row],[TotalWorkingYears]]&lt;=10,"6-10 Yrs",IF(HR_Data[[#This Row],[TotalWorkingYears]]&lt;=20,"11-20 Yrs","20+ Yrs")))</f>
        <v>0-5 Yrs</v>
      </c>
      <c r="AT515" s="1">
        <f>IF(HR_Data[[#This Row],[TotalWorkingYears]]&lt;=5,1,IF(HR_Data[[#This Row],[TotalWorkingYears]]&lt;=10,2,IF(HR_Data[[#This Row],[TotalWorkingYears]]&lt;=20,3,4)))</f>
        <v>1</v>
      </c>
    </row>
    <row r="516" spans="1:46" x14ac:dyDescent="0.25">
      <c r="A516">
        <v>33</v>
      </c>
      <c r="B516" t="s">
        <v>29</v>
      </c>
      <c r="C516" t="s">
        <v>37</v>
      </c>
      <c r="D516" t="s">
        <v>38</v>
      </c>
      <c r="E516">
        <v>3</v>
      </c>
      <c r="F516">
        <v>3</v>
      </c>
      <c r="G516" t="s">
        <v>32</v>
      </c>
      <c r="H516">
        <v>702</v>
      </c>
      <c r="I516">
        <v>1</v>
      </c>
      <c r="J516" t="s">
        <v>39</v>
      </c>
      <c r="K516">
        <v>3</v>
      </c>
      <c r="L516">
        <v>1</v>
      </c>
      <c r="M516" t="s">
        <v>40</v>
      </c>
      <c r="N516">
        <v>1</v>
      </c>
      <c r="O516" t="s">
        <v>35</v>
      </c>
      <c r="P516">
        <v>3348</v>
      </c>
      <c r="Q516">
        <v>1</v>
      </c>
      <c r="R516" t="s">
        <v>29</v>
      </c>
      <c r="S516">
        <v>11</v>
      </c>
      <c r="T516">
        <v>3</v>
      </c>
      <c r="U516">
        <v>1</v>
      </c>
      <c r="V516">
        <v>0</v>
      </c>
      <c r="W516">
        <v>10</v>
      </c>
      <c r="X516">
        <v>3</v>
      </c>
      <c r="Y516">
        <v>3</v>
      </c>
      <c r="Z516">
        <v>10</v>
      </c>
      <c r="AA516">
        <v>8</v>
      </c>
      <c r="AB516">
        <v>9</v>
      </c>
      <c r="AC516">
        <v>7</v>
      </c>
      <c r="AD516">
        <f>IF(HR_Data[[#This Row],[Attrition]]="Yes",1,0)</f>
        <v>1</v>
      </c>
      <c r="AE516" t="str">
        <f>IF(HR_Data[[#This Row],[Age]]&lt;=25,"18-25",IF(HR_Data[[#This Row],[Age]]&lt;=35,"26-35",IF(HR_Data[[#This Row],[Age]]&lt;=45,"36-45",IF(HR_Data[[#This Row],[Age]]&lt;=55,"46-55","55+"))))</f>
        <v>26-35</v>
      </c>
      <c r="AF516">
        <f>IF(HR_Data[[#This Row],[Age]]&lt;=25,1,IF(HR_Data[[#This Row],[Age]]&lt;=35,2,IF(HR_Data[[#This Row],[Age]]&lt;=45,3,IF(HR_Data[[#This Row],[Age]]&lt;=55,4,5))))</f>
        <v>2</v>
      </c>
      <c r="AG516" s="1" t="str">
        <f>IF(HR_Data[[#This Row],[MonthlyIncome]]&lt;3000,"&lt;3K",IF(HR_Data[[#This Row],[MonthlyIncome]]&lt;6000,"3K-6K",IF(HR_Data[[#This Row],[MonthlyIncome]]&lt;10000,"6K-10K","10K+")))</f>
        <v>3K-6K</v>
      </c>
      <c r="AH516" s="1">
        <f>IF(HR_Data[[#This Row],[MonthlyIncome]]&lt;3000,1,IF(HR_Data[[#This Row],[MonthlyIncome]]&lt;6000,2,IF(HR_Data[[#This Row],[MonthlyIncome]]&lt;10000,3,4)))</f>
        <v>2</v>
      </c>
      <c r="AI516" s="1" t="str">
        <f>IF(HR_Data[[#This Row],[YearsAtCompany]]&lt;=2,"0-2 Yrs",IF(HR_Data[[#This Row],[YearsAtCompany]]&lt;=5,"3-5 Yrs",IF(HR_Data[[#This Row],[YearsAtCompany]]&lt;=10,"6-10 Yrs","10+ Yrs")))</f>
        <v>6-10 Yrs</v>
      </c>
      <c r="AJ516" s="1">
        <f>IF(HR_Data[[#This Row],[YearsAtCompany]]&lt;=2,1,IF(HR_Data[[#This Row],[YearsAtCompany]]&lt;=5,2,IF(HR_Data[[#This Row],[YearsAtCompany]]&lt;=10,3,4)))</f>
        <v>3</v>
      </c>
      <c r="AK516" s="1" t="str">
        <f>CHOOSE(HR_Data[[#This Row],[Education]],"Below College","College","Bachelor","Master","Doctor")</f>
        <v>Bachelor</v>
      </c>
      <c r="AL516" s="1" t="str">
        <f>CHOOSE(HR_Data[[#This Row],[JobSatisfaction]],"Low","Medium","High","Very High")</f>
        <v>Low</v>
      </c>
      <c r="AM516" s="1" t="str">
        <f>CHOOSE(HR_Data[[#This Row],[EnvironmentSatisfaction]],"Low","Medium","High","Very High")</f>
        <v>Low</v>
      </c>
      <c r="AN516" s="1" t="str">
        <f>CHOOSE(HR_Data[[#This Row],[WorkLifeBalance]],"Bad","Good","Better","Best")</f>
        <v>Better</v>
      </c>
      <c r="AO516" s="1" t="str">
        <f>IF(HR_Data[[#This Row],[PercentSalaryHike]]&lt;=13,"11-13%",IF(HR_Data[[#This Row],[PercentSalaryHike]]&lt;=16,"14-16%",IF(HR_Data[[#This Row],[PercentSalaryHike]]&lt;=19,"17-19%","20-25%")))</f>
        <v>11-13%</v>
      </c>
      <c r="AP516" s="1">
        <f>IF(HR_Data[[#This Row],[PercentSalaryHike]]&lt;=13,1,IF(HR_Data[[#This Row],[PercentSalaryHike]]&lt;=16,2,IF(HR_Data[[#This Row],[PercentSalaryHike]]&lt;=19,3,4)))</f>
        <v>1</v>
      </c>
      <c r="AQ516" s="1" t="str">
        <f>IF(HR_Data[[#This Row],[DistanceFromHome]]&lt;=5,"1 to 5",IF(HR_Data[[#This Row],[DistanceFromHome]]&lt;=10,"6 to 10",IF(HR_Data[[#This Row],[DistanceFromHome]]&lt;=20,"11 to 20","21 to 29")))</f>
        <v>1 to 5</v>
      </c>
      <c r="AR516" s="1">
        <f>IF(HR_Data[[#This Row],[DistanceFromHome]]&lt;=5,1,IF(HR_Data[[#This Row],[DistanceFromHome]]&lt;=10,2,IF(HR_Data[[#This Row],[DistanceFromHome]]&lt;=20,3,4)))</f>
        <v>1</v>
      </c>
      <c r="AS516" s="1" t="str">
        <f>IF(HR_Data[[#This Row],[TotalWorkingYears]]&lt;=5,"0-5 Yrs",IF(HR_Data[[#This Row],[TotalWorkingYears]]&lt;=10,"6-10 Yrs",IF(HR_Data[[#This Row],[TotalWorkingYears]]&lt;=20,"11-20 Yrs","20+ Yrs")))</f>
        <v>6-10 Yrs</v>
      </c>
      <c r="AT516" s="1">
        <f>IF(HR_Data[[#This Row],[TotalWorkingYears]]&lt;=5,1,IF(HR_Data[[#This Row],[TotalWorkingYears]]&lt;=10,2,IF(HR_Data[[#This Row],[TotalWorkingYears]]&lt;=20,3,4)))</f>
        <v>2</v>
      </c>
    </row>
    <row r="517" spans="1:46" x14ac:dyDescent="0.25">
      <c r="A517">
        <v>35</v>
      </c>
      <c r="B517" t="s">
        <v>36</v>
      </c>
      <c r="C517" t="s">
        <v>48</v>
      </c>
      <c r="D517" t="s">
        <v>38</v>
      </c>
      <c r="E517">
        <v>3</v>
      </c>
      <c r="F517">
        <v>3</v>
      </c>
      <c r="G517" t="s">
        <v>32</v>
      </c>
      <c r="H517">
        <v>704</v>
      </c>
      <c r="I517">
        <v>3</v>
      </c>
      <c r="J517" t="s">
        <v>39</v>
      </c>
      <c r="K517">
        <v>2</v>
      </c>
      <c r="L517">
        <v>1</v>
      </c>
      <c r="M517" t="s">
        <v>43</v>
      </c>
      <c r="N517">
        <v>3</v>
      </c>
      <c r="O517" t="s">
        <v>41</v>
      </c>
      <c r="P517">
        <v>1281</v>
      </c>
      <c r="Q517">
        <v>1</v>
      </c>
      <c r="R517" t="s">
        <v>36</v>
      </c>
      <c r="S517">
        <v>18</v>
      </c>
      <c r="T517">
        <v>3</v>
      </c>
      <c r="U517">
        <v>3</v>
      </c>
      <c r="V517">
        <v>2</v>
      </c>
      <c r="W517">
        <v>1</v>
      </c>
      <c r="X517">
        <v>3</v>
      </c>
      <c r="Y517">
        <v>3</v>
      </c>
      <c r="Z517">
        <v>1</v>
      </c>
      <c r="AA517">
        <v>0</v>
      </c>
      <c r="AB517">
        <v>0</v>
      </c>
      <c r="AC517">
        <v>0</v>
      </c>
      <c r="AD517">
        <f>IF(HR_Data[[#This Row],[Attrition]]="Yes",1,0)</f>
        <v>0</v>
      </c>
      <c r="AE517" t="str">
        <f>IF(HR_Data[[#This Row],[Age]]&lt;=25,"18-25",IF(HR_Data[[#This Row],[Age]]&lt;=35,"26-35",IF(HR_Data[[#This Row],[Age]]&lt;=45,"36-45",IF(HR_Data[[#This Row],[Age]]&lt;=55,"46-55","55+"))))</f>
        <v>26-35</v>
      </c>
      <c r="AF517">
        <f>IF(HR_Data[[#This Row],[Age]]&lt;=25,1,IF(HR_Data[[#This Row],[Age]]&lt;=35,2,IF(HR_Data[[#This Row],[Age]]&lt;=45,3,IF(HR_Data[[#This Row],[Age]]&lt;=55,4,5))))</f>
        <v>2</v>
      </c>
      <c r="AG517" s="1" t="str">
        <f>IF(HR_Data[[#This Row],[MonthlyIncome]]&lt;3000,"&lt;3K",IF(HR_Data[[#This Row],[MonthlyIncome]]&lt;6000,"3K-6K",IF(HR_Data[[#This Row],[MonthlyIncome]]&lt;10000,"6K-10K","10K+")))</f>
        <v>&lt;3K</v>
      </c>
      <c r="AH517" s="1">
        <f>IF(HR_Data[[#This Row],[MonthlyIncome]]&lt;3000,1,IF(HR_Data[[#This Row],[MonthlyIncome]]&lt;6000,2,IF(HR_Data[[#This Row],[MonthlyIncome]]&lt;10000,3,4)))</f>
        <v>1</v>
      </c>
      <c r="AI517" s="1" t="str">
        <f>IF(HR_Data[[#This Row],[YearsAtCompany]]&lt;=2,"0-2 Yrs",IF(HR_Data[[#This Row],[YearsAtCompany]]&lt;=5,"3-5 Yrs",IF(HR_Data[[#This Row],[YearsAtCompany]]&lt;=10,"6-10 Yrs","10+ Yrs")))</f>
        <v>0-2 Yrs</v>
      </c>
      <c r="AJ517" s="1">
        <f>IF(HR_Data[[#This Row],[YearsAtCompany]]&lt;=2,1,IF(HR_Data[[#This Row],[YearsAtCompany]]&lt;=5,2,IF(HR_Data[[#This Row],[YearsAtCompany]]&lt;=10,3,4)))</f>
        <v>1</v>
      </c>
      <c r="AK517" s="1" t="str">
        <f>CHOOSE(HR_Data[[#This Row],[Education]],"Below College","College","Bachelor","Master","Doctor")</f>
        <v>Bachelor</v>
      </c>
      <c r="AL517" s="1" t="str">
        <f>CHOOSE(HR_Data[[#This Row],[JobSatisfaction]],"Low","Medium","High","Very High")</f>
        <v>High</v>
      </c>
      <c r="AM517" s="1" t="str">
        <f>CHOOSE(HR_Data[[#This Row],[EnvironmentSatisfaction]],"Low","Medium","High","Very High")</f>
        <v>High</v>
      </c>
      <c r="AN517" s="1" t="str">
        <f>CHOOSE(HR_Data[[#This Row],[WorkLifeBalance]],"Bad","Good","Better","Best")</f>
        <v>Better</v>
      </c>
      <c r="AO517" s="1" t="str">
        <f>IF(HR_Data[[#This Row],[PercentSalaryHike]]&lt;=13,"11-13%",IF(HR_Data[[#This Row],[PercentSalaryHike]]&lt;=16,"14-16%",IF(HR_Data[[#This Row],[PercentSalaryHike]]&lt;=19,"17-19%","20-25%")))</f>
        <v>17-19%</v>
      </c>
      <c r="AP517" s="1">
        <f>IF(HR_Data[[#This Row],[PercentSalaryHike]]&lt;=13,1,IF(HR_Data[[#This Row],[PercentSalaryHike]]&lt;=16,2,IF(HR_Data[[#This Row],[PercentSalaryHike]]&lt;=19,3,4)))</f>
        <v>3</v>
      </c>
      <c r="AQ517" s="1" t="str">
        <f>IF(HR_Data[[#This Row],[DistanceFromHome]]&lt;=5,"1 to 5",IF(HR_Data[[#This Row],[DistanceFromHome]]&lt;=10,"6 to 10",IF(HR_Data[[#This Row],[DistanceFromHome]]&lt;=20,"11 to 20","21 to 29")))</f>
        <v>1 to 5</v>
      </c>
      <c r="AR517" s="1">
        <f>IF(HR_Data[[#This Row],[DistanceFromHome]]&lt;=5,1,IF(HR_Data[[#This Row],[DistanceFromHome]]&lt;=10,2,IF(HR_Data[[#This Row],[DistanceFromHome]]&lt;=20,3,4)))</f>
        <v>1</v>
      </c>
      <c r="AS517" s="1" t="str">
        <f>IF(HR_Data[[#This Row],[TotalWorkingYears]]&lt;=5,"0-5 Yrs",IF(HR_Data[[#This Row],[TotalWorkingYears]]&lt;=10,"6-10 Yrs",IF(HR_Data[[#This Row],[TotalWorkingYears]]&lt;=20,"11-20 Yrs","20+ Yrs")))</f>
        <v>0-5 Yrs</v>
      </c>
      <c r="AT517" s="1">
        <f>IF(HR_Data[[#This Row],[TotalWorkingYears]]&lt;=5,1,IF(HR_Data[[#This Row],[TotalWorkingYears]]&lt;=10,2,IF(HR_Data[[#This Row],[TotalWorkingYears]]&lt;=20,3,4)))</f>
        <v>1</v>
      </c>
    </row>
    <row r="518" spans="1:46" x14ac:dyDescent="0.25">
      <c r="A518">
        <v>23</v>
      </c>
      <c r="B518" t="s">
        <v>36</v>
      </c>
      <c r="C518" t="s">
        <v>30</v>
      </c>
      <c r="D518" t="s">
        <v>38</v>
      </c>
      <c r="E518">
        <v>4</v>
      </c>
      <c r="F518">
        <v>3</v>
      </c>
      <c r="G518" t="s">
        <v>44</v>
      </c>
      <c r="H518">
        <v>705</v>
      </c>
      <c r="I518">
        <v>1</v>
      </c>
      <c r="J518" t="s">
        <v>39</v>
      </c>
      <c r="K518">
        <v>4</v>
      </c>
      <c r="L518">
        <v>1</v>
      </c>
      <c r="M518" t="s">
        <v>40</v>
      </c>
      <c r="N518">
        <v>1</v>
      </c>
      <c r="O518" t="s">
        <v>41</v>
      </c>
      <c r="P518">
        <v>2819</v>
      </c>
      <c r="Q518">
        <v>2</v>
      </c>
      <c r="R518" t="s">
        <v>36</v>
      </c>
      <c r="S518">
        <v>16</v>
      </c>
      <c r="T518">
        <v>3</v>
      </c>
      <c r="U518">
        <v>1</v>
      </c>
      <c r="V518">
        <v>1</v>
      </c>
      <c r="W518">
        <v>5</v>
      </c>
      <c r="X518">
        <v>3</v>
      </c>
      <c r="Y518">
        <v>4</v>
      </c>
      <c r="Z518">
        <v>3</v>
      </c>
      <c r="AA518">
        <v>2</v>
      </c>
      <c r="AB518">
        <v>0</v>
      </c>
      <c r="AC518">
        <v>2</v>
      </c>
      <c r="AD518">
        <f>IF(HR_Data[[#This Row],[Attrition]]="Yes",1,0)</f>
        <v>0</v>
      </c>
      <c r="AE518" t="str">
        <f>IF(HR_Data[[#This Row],[Age]]&lt;=25,"18-25",IF(HR_Data[[#This Row],[Age]]&lt;=35,"26-35",IF(HR_Data[[#This Row],[Age]]&lt;=45,"36-45",IF(HR_Data[[#This Row],[Age]]&lt;=55,"46-55","55+"))))</f>
        <v>18-25</v>
      </c>
      <c r="AF518">
        <f>IF(HR_Data[[#This Row],[Age]]&lt;=25,1,IF(HR_Data[[#This Row],[Age]]&lt;=35,2,IF(HR_Data[[#This Row],[Age]]&lt;=45,3,IF(HR_Data[[#This Row],[Age]]&lt;=55,4,5))))</f>
        <v>1</v>
      </c>
      <c r="AG518" s="1" t="str">
        <f>IF(HR_Data[[#This Row],[MonthlyIncome]]&lt;3000,"&lt;3K",IF(HR_Data[[#This Row],[MonthlyIncome]]&lt;6000,"3K-6K",IF(HR_Data[[#This Row],[MonthlyIncome]]&lt;10000,"6K-10K","10K+")))</f>
        <v>&lt;3K</v>
      </c>
      <c r="AH518" s="1">
        <f>IF(HR_Data[[#This Row],[MonthlyIncome]]&lt;3000,1,IF(HR_Data[[#This Row],[MonthlyIncome]]&lt;6000,2,IF(HR_Data[[#This Row],[MonthlyIncome]]&lt;10000,3,4)))</f>
        <v>1</v>
      </c>
      <c r="AI518" s="1" t="str">
        <f>IF(HR_Data[[#This Row],[YearsAtCompany]]&lt;=2,"0-2 Yrs",IF(HR_Data[[#This Row],[YearsAtCompany]]&lt;=5,"3-5 Yrs",IF(HR_Data[[#This Row],[YearsAtCompany]]&lt;=10,"6-10 Yrs","10+ Yrs")))</f>
        <v>3-5 Yrs</v>
      </c>
      <c r="AJ518" s="1">
        <f>IF(HR_Data[[#This Row],[YearsAtCompany]]&lt;=2,1,IF(HR_Data[[#This Row],[YearsAtCompany]]&lt;=5,2,IF(HR_Data[[#This Row],[YearsAtCompany]]&lt;=10,3,4)))</f>
        <v>2</v>
      </c>
      <c r="AK518" s="1" t="str">
        <f>CHOOSE(HR_Data[[#This Row],[Education]],"Below College","College","Bachelor","Master","Doctor")</f>
        <v>Bachelor</v>
      </c>
      <c r="AL518" s="1" t="str">
        <f>CHOOSE(HR_Data[[#This Row],[JobSatisfaction]],"Low","Medium","High","Very High")</f>
        <v>Low</v>
      </c>
      <c r="AM518" s="1" t="str">
        <f>CHOOSE(HR_Data[[#This Row],[EnvironmentSatisfaction]],"Low","Medium","High","Very High")</f>
        <v>Low</v>
      </c>
      <c r="AN518" s="1" t="str">
        <f>CHOOSE(HR_Data[[#This Row],[WorkLifeBalance]],"Bad","Good","Better","Best")</f>
        <v>Best</v>
      </c>
      <c r="AO518" s="1" t="str">
        <f>IF(HR_Data[[#This Row],[PercentSalaryHike]]&lt;=13,"11-13%",IF(HR_Data[[#This Row],[PercentSalaryHike]]&lt;=16,"14-16%",IF(HR_Data[[#This Row],[PercentSalaryHike]]&lt;=19,"17-19%","20-25%")))</f>
        <v>14-16%</v>
      </c>
      <c r="AP518" s="1">
        <f>IF(HR_Data[[#This Row],[PercentSalaryHike]]&lt;=13,1,IF(HR_Data[[#This Row],[PercentSalaryHike]]&lt;=16,2,IF(HR_Data[[#This Row],[PercentSalaryHike]]&lt;=19,3,4)))</f>
        <v>2</v>
      </c>
      <c r="AQ518" s="1" t="str">
        <f>IF(HR_Data[[#This Row],[DistanceFromHome]]&lt;=5,"1 to 5",IF(HR_Data[[#This Row],[DistanceFromHome]]&lt;=10,"6 to 10",IF(HR_Data[[#This Row],[DistanceFromHome]]&lt;=20,"11 to 20","21 to 29")))</f>
        <v>1 to 5</v>
      </c>
      <c r="AR518" s="1">
        <f>IF(HR_Data[[#This Row],[DistanceFromHome]]&lt;=5,1,IF(HR_Data[[#This Row],[DistanceFromHome]]&lt;=10,2,IF(HR_Data[[#This Row],[DistanceFromHome]]&lt;=20,3,4)))</f>
        <v>1</v>
      </c>
      <c r="AS518" s="1" t="str">
        <f>IF(HR_Data[[#This Row],[TotalWorkingYears]]&lt;=5,"0-5 Yrs",IF(HR_Data[[#This Row],[TotalWorkingYears]]&lt;=10,"6-10 Yrs",IF(HR_Data[[#This Row],[TotalWorkingYears]]&lt;=20,"11-20 Yrs","20+ Yrs")))</f>
        <v>0-5 Yrs</v>
      </c>
      <c r="AT518" s="1">
        <f>IF(HR_Data[[#This Row],[TotalWorkingYears]]&lt;=5,1,IF(HR_Data[[#This Row],[TotalWorkingYears]]&lt;=10,2,IF(HR_Data[[#This Row],[TotalWorkingYears]]&lt;=20,3,4)))</f>
        <v>1</v>
      </c>
    </row>
    <row r="519" spans="1:46" x14ac:dyDescent="0.25">
      <c r="A519">
        <v>25</v>
      </c>
      <c r="B519" t="s">
        <v>36</v>
      </c>
      <c r="C519" t="s">
        <v>30</v>
      </c>
      <c r="D519" t="s">
        <v>31</v>
      </c>
      <c r="E519">
        <v>8</v>
      </c>
      <c r="F519">
        <v>3</v>
      </c>
      <c r="G519" t="s">
        <v>32</v>
      </c>
      <c r="H519">
        <v>707</v>
      </c>
      <c r="I519">
        <v>4</v>
      </c>
      <c r="J519" t="s">
        <v>39</v>
      </c>
      <c r="K519">
        <v>4</v>
      </c>
      <c r="L519">
        <v>2</v>
      </c>
      <c r="M519" t="s">
        <v>34</v>
      </c>
      <c r="N519">
        <v>2</v>
      </c>
      <c r="O519" t="s">
        <v>41</v>
      </c>
      <c r="P519">
        <v>4851</v>
      </c>
      <c r="Q519">
        <v>0</v>
      </c>
      <c r="R519" t="s">
        <v>36</v>
      </c>
      <c r="S519">
        <v>22</v>
      </c>
      <c r="T519">
        <v>4</v>
      </c>
      <c r="U519">
        <v>3</v>
      </c>
      <c r="V519">
        <v>1</v>
      </c>
      <c r="W519">
        <v>4</v>
      </c>
      <c r="X519">
        <v>4</v>
      </c>
      <c r="Y519">
        <v>3</v>
      </c>
      <c r="Z519">
        <v>3</v>
      </c>
      <c r="AA519">
        <v>2</v>
      </c>
      <c r="AB519">
        <v>1</v>
      </c>
      <c r="AC519">
        <v>2</v>
      </c>
      <c r="AD519">
        <f>IF(HR_Data[[#This Row],[Attrition]]="Yes",1,0)</f>
        <v>0</v>
      </c>
      <c r="AE519" t="str">
        <f>IF(HR_Data[[#This Row],[Age]]&lt;=25,"18-25",IF(HR_Data[[#This Row],[Age]]&lt;=35,"26-35",IF(HR_Data[[#This Row],[Age]]&lt;=45,"36-45",IF(HR_Data[[#This Row],[Age]]&lt;=55,"46-55","55+"))))</f>
        <v>18-25</v>
      </c>
      <c r="AF519">
        <f>IF(HR_Data[[#This Row],[Age]]&lt;=25,1,IF(HR_Data[[#This Row],[Age]]&lt;=35,2,IF(HR_Data[[#This Row],[Age]]&lt;=45,3,IF(HR_Data[[#This Row],[Age]]&lt;=55,4,5))))</f>
        <v>1</v>
      </c>
      <c r="AG519" s="1" t="str">
        <f>IF(HR_Data[[#This Row],[MonthlyIncome]]&lt;3000,"&lt;3K",IF(HR_Data[[#This Row],[MonthlyIncome]]&lt;6000,"3K-6K",IF(HR_Data[[#This Row],[MonthlyIncome]]&lt;10000,"6K-10K","10K+")))</f>
        <v>3K-6K</v>
      </c>
      <c r="AH519" s="1">
        <f>IF(HR_Data[[#This Row],[MonthlyIncome]]&lt;3000,1,IF(HR_Data[[#This Row],[MonthlyIncome]]&lt;6000,2,IF(HR_Data[[#This Row],[MonthlyIncome]]&lt;10000,3,4)))</f>
        <v>2</v>
      </c>
      <c r="AI519" s="1" t="str">
        <f>IF(HR_Data[[#This Row],[YearsAtCompany]]&lt;=2,"0-2 Yrs",IF(HR_Data[[#This Row],[YearsAtCompany]]&lt;=5,"3-5 Yrs",IF(HR_Data[[#This Row],[YearsAtCompany]]&lt;=10,"6-10 Yrs","10+ Yrs")))</f>
        <v>3-5 Yrs</v>
      </c>
      <c r="AJ519" s="1">
        <f>IF(HR_Data[[#This Row],[YearsAtCompany]]&lt;=2,1,IF(HR_Data[[#This Row],[YearsAtCompany]]&lt;=5,2,IF(HR_Data[[#This Row],[YearsAtCompany]]&lt;=10,3,4)))</f>
        <v>2</v>
      </c>
      <c r="AK519" s="1" t="str">
        <f>CHOOSE(HR_Data[[#This Row],[Education]],"Below College","College","Bachelor","Master","Doctor")</f>
        <v>Bachelor</v>
      </c>
      <c r="AL519" s="1" t="str">
        <f>CHOOSE(HR_Data[[#This Row],[JobSatisfaction]],"Low","Medium","High","Very High")</f>
        <v>Medium</v>
      </c>
      <c r="AM519" s="1" t="str">
        <f>CHOOSE(HR_Data[[#This Row],[EnvironmentSatisfaction]],"Low","Medium","High","Very High")</f>
        <v>Very High</v>
      </c>
      <c r="AN519" s="1" t="str">
        <f>CHOOSE(HR_Data[[#This Row],[WorkLifeBalance]],"Bad","Good","Better","Best")</f>
        <v>Better</v>
      </c>
      <c r="AO519" s="1" t="str">
        <f>IF(HR_Data[[#This Row],[PercentSalaryHike]]&lt;=13,"11-13%",IF(HR_Data[[#This Row],[PercentSalaryHike]]&lt;=16,"14-16%",IF(HR_Data[[#This Row],[PercentSalaryHike]]&lt;=19,"17-19%","20-25%")))</f>
        <v>20-25%</v>
      </c>
      <c r="AP519" s="1">
        <f>IF(HR_Data[[#This Row],[PercentSalaryHike]]&lt;=13,1,IF(HR_Data[[#This Row],[PercentSalaryHike]]&lt;=16,2,IF(HR_Data[[#This Row],[PercentSalaryHike]]&lt;=19,3,4)))</f>
        <v>4</v>
      </c>
      <c r="AQ519" s="1" t="str">
        <f>IF(HR_Data[[#This Row],[DistanceFromHome]]&lt;=5,"1 to 5",IF(HR_Data[[#This Row],[DistanceFromHome]]&lt;=10,"6 to 10",IF(HR_Data[[#This Row],[DistanceFromHome]]&lt;=20,"11 to 20","21 to 29")))</f>
        <v>6 to 10</v>
      </c>
      <c r="AR519" s="1">
        <f>IF(HR_Data[[#This Row],[DistanceFromHome]]&lt;=5,1,IF(HR_Data[[#This Row],[DistanceFromHome]]&lt;=10,2,IF(HR_Data[[#This Row],[DistanceFromHome]]&lt;=20,3,4)))</f>
        <v>2</v>
      </c>
      <c r="AS519" s="1" t="str">
        <f>IF(HR_Data[[#This Row],[TotalWorkingYears]]&lt;=5,"0-5 Yrs",IF(HR_Data[[#This Row],[TotalWorkingYears]]&lt;=10,"6-10 Yrs",IF(HR_Data[[#This Row],[TotalWorkingYears]]&lt;=20,"11-20 Yrs","20+ Yrs")))</f>
        <v>0-5 Yrs</v>
      </c>
      <c r="AT519" s="1">
        <f>IF(HR_Data[[#This Row],[TotalWorkingYears]]&lt;=5,1,IF(HR_Data[[#This Row],[TotalWorkingYears]]&lt;=10,2,IF(HR_Data[[#This Row],[TotalWorkingYears]]&lt;=20,3,4)))</f>
        <v>1</v>
      </c>
    </row>
    <row r="520" spans="1:46" x14ac:dyDescent="0.25">
      <c r="A520">
        <v>38</v>
      </c>
      <c r="B520" t="s">
        <v>36</v>
      </c>
      <c r="C520" t="s">
        <v>30</v>
      </c>
      <c r="D520" t="s">
        <v>31</v>
      </c>
      <c r="E520">
        <v>7</v>
      </c>
      <c r="F520">
        <v>4</v>
      </c>
      <c r="G520" t="s">
        <v>52</v>
      </c>
      <c r="H520">
        <v>709</v>
      </c>
      <c r="I520">
        <v>4</v>
      </c>
      <c r="J520" t="s">
        <v>33</v>
      </c>
      <c r="K520">
        <v>2</v>
      </c>
      <c r="L520">
        <v>2</v>
      </c>
      <c r="M520" t="s">
        <v>34</v>
      </c>
      <c r="N520">
        <v>4</v>
      </c>
      <c r="O520" t="s">
        <v>35</v>
      </c>
      <c r="P520">
        <v>4028</v>
      </c>
      <c r="Q520">
        <v>0</v>
      </c>
      <c r="R520" t="s">
        <v>36</v>
      </c>
      <c r="S520">
        <v>20</v>
      </c>
      <c r="T520">
        <v>4</v>
      </c>
      <c r="U520">
        <v>1</v>
      </c>
      <c r="V520">
        <v>0</v>
      </c>
      <c r="W520">
        <v>8</v>
      </c>
      <c r="X520">
        <v>2</v>
      </c>
      <c r="Y520">
        <v>3</v>
      </c>
      <c r="Z520">
        <v>7</v>
      </c>
      <c r="AA520">
        <v>7</v>
      </c>
      <c r="AB520">
        <v>0</v>
      </c>
      <c r="AC520">
        <v>5</v>
      </c>
      <c r="AD520">
        <f>IF(HR_Data[[#This Row],[Attrition]]="Yes",1,0)</f>
        <v>0</v>
      </c>
      <c r="AE520" t="str">
        <f>IF(HR_Data[[#This Row],[Age]]&lt;=25,"18-25",IF(HR_Data[[#This Row],[Age]]&lt;=35,"26-35",IF(HR_Data[[#This Row],[Age]]&lt;=45,"36-45",IF(HR_Data[[#This Row],[Age]]&lt;=55,"46-55","55+"))))</f>
        <v>36-45</v>
      </c>
      <c r="AF520">
        <f>IF(HR_Data[[#This Row],[Age]]&lt;=25,1,IF(HR_Data[[#This Row],[Age]]&lt;=35,2,IF(HR_Data[[#This Row],[Age]]&lt;=45,3,IF(HR_Data[[#This Row],[Age]]&lt;=55,4,5))))</f>
        <v>3</v>
      </c>
      <c r="AG520" s="1" t="str">
        <f>IF(HR_Data[[#This Row],[MonthlyIncome]]&lt;3000,"&lt;3K",IF(HR_Data[[#This Row],[MonthlyIncome]]&lt;6000,"3K-6K",IF(HR_Data[[#This Row],[MonthlyIncome]]&lt;10000,"6K-10K","10K+")))</f>
        <v>3K-6K</v>
      </c>
      <c r="AH520" s="1">
        <f>IF(HR_Data[[#This Row],[MonthlyIncome]]&lt;3000,1,IF(HR_Data[[#This Row],[MonthlyIncome]]&lt;6000,2,IF(HR_Data[[#This Row],[MonthlyIncome]]&lt;10000,3,4)))</f>
        <v>2</v>
      </c>
      <c r="AI520" s="1" t="str">
        <f>IF(HR_Data[[#This Row],[YearsAtCompany]]&lt;=2,"0-2 Yrs",IF(HR_Data[[#This Row],[YearsAtCompany]]&lt;=5,"3-5 Yrs",IF(HR_Data[[#This Row],[YearsAtCompany]]&lt;=10,"6-10 Yrs","10+ Yrs")))</f>
        <v>6-10 Yrs</v>
      </c>
      <c r="AJ520" s="1">
        <f>IF(HR_Data[[#This Row],[YearsAtCompany]]&lt;=2,1,IF(HR_Data[[#This Row],[YearsAtCompany]]&lt;=5,2,IF(HR_Data[[#This Row],[YearsAtCompany]]&lt;=10,3,4)))</f>
        <v>3</v>
      </c>
      <c r="AK520" s="1" t="str">
        <f>CHOOSE(HR_Data[[#This Row],[Education]],"Below College","College","Bachelor","Master","Doctor")</f>
        <v>Master</v>
      </c>
      <c r="AL520" s="1" t="str">
        <f>CHOOSE(HR_Data[[#This Row],[JobSatisfaction]],"Low","Medium","High","Very High")</f>
        <v>Very High</v>
      </c>
      <c r="AM520" s="1" t="str">
        <f>CHOOSE(HR_Data[[#This Row],[EnvironmentSatisfaction]],"Low","Medium","High","Very High")</f>
        <v>Very High</v>
      </c>
      <c r="AN520" s="1" t="str">
        <f>CHOOSE(HR_Data[[#This Row],[WorkLifeBalance]],"Bad","Good","Better","Best")</f>
        <v>Better</v>
      </c>
      <c r="AO520" s="1" t="str">
        <f>IF(HR_Data[[#This Row],[PercentSalaryHike]]&lt;=13,"11-13%",IF(HR_Data[[#This Row],[PercentSalaryHike]]&lt;=16,"14-16%",IF(HR_Data[[#This Row],[PercentSalaryHike]]&lt;=19,"17-19%","20-25%")))</f>
        <v>20-25%</v>
      </c>
      <c r="AP520" s="1">
        <f>IF(HR_Data[[#This Row],[PercentSalaryHike]]&lt;=13,1,IF(HR_Data[[#This Row],[PercentSalaryHike]]&lt;=16,2,IF(HR_Data[[#This Row],[PercentSalaryHike]]&lt;=19,3,4)))</f>
        <v>4</v>
      </c>
      <c r="AQ520" s="1" t="str">
        <f>IF(HR_Data[[#This Row],[DistanceFromHome]]&lt;=5,"1 to 5",IF(HR_Data[[#This Row],[DistanceFromHome]]&lt;=10,"6 to 10",IF(HR_Data[[#This Row],[DistanceFromHome]]&lt;=20,"11 to 20","21 to 29")))</f>
        <v>6 to 10</v>
      </c>
      <c r="AR520" s="1">
        <f>IF(HR_Data[[#This Row],[DistanceFromHome]]&lt;=5,1,IF(HR_Data[[#This Row],[DistanceFromHome]]&lt;=10,2,IF(HR_Data[[#This Row],[DistanceFromHome]]&lt;=20,3,4)))</f>
        <v>2</v>
      </c>
      <c r="AS520" s="1" t="str">
        <f>IF(HR_Data[[#This Row],[TotalWorkingYears]]&lt;=5,"0-5 Yrs",IF(HR_Data[[#This Row],[TotalWorkingYears]]&lt;=10,"6-10 Yrs",IF(HR_Data[[#This Row],[TotalWorkingYears]]&lt;=20,"11-20 Yrs","20+ Yrs")))</f>
        <v>6-10 Yrs</v>
      </c>
      <c r="AT520" s="1">
        <f>IF(HR_Data[[#This Row],[TotalWorkingYears]]&lt;=5,1,IF(HR_Data[[#This Row],[TotalWorkingYears]]&lt;=10,2,IF(HR_Data[[#This Row],[TotalWorkingYears]]&lt;=20,3,4)))</f>
        <v>2</v>
      </c>
    </row>
    <row r="521" spans="1:46" x14ac:dyDescent="0.25">
      <c r="A521">
        <v>29</v>
      </c>
      <c r="B521" t="s">
        <v>36</v>
      </c>
      <c r="C521" t="s">
        <v>37</v>
      </c>
      <c r="D521" t="s">
        <v>38</v>
      </c>
      <c r="E521">
        <v>1</v>
      </c>
      <c r="F521">
        <v>4</v>
      </c>
      <c r="G521" t="s">
        <v>32</v>
      </c>
      <c r="H521">
        <v>710</v>
      </c>
      <c r="I521">
        <v>2</v>
      </c>
      <c r="J521" t="s">
        <v>39</v>
      </c>
      <c r="K521">
        <v>1</v>
      </c>
      <c r="L521">
        <v>1</v>
      </c>
      <c r="M521" t="s">
        <v>40</v>
      </c>
      <c r="N521">
        <v>4</v>
      </c>
      <c r="O521" t="s">
        <v>45</v>
      </c>
      <c r="P521">
        <v>2720</v>
      </c>
      <c r="Q521">
        <v>1</v>
      </c>
      <c r="R521" t="s">
        <v>36</v>
      </c>
      <c r="S521">
        <v>18</v>
      </c>
      <c r="T521">
        <v>3</v>
      </c>
      <c r="U521">
        <v>4</v>
      </c>
      <c r="V521">
        <v>1</v>
      </c>
      <c r="W521">
        <v>10</v>
      </c>
      <c r="X521">
        <v>5</v>
      </c>
      <c r="Y521">
        <v>3</v>
      </c>
      <c r="Z521">
        <v>10</v>
      </c>
      <c r="AA521">
        <v>7</v>
      </c>
      <c r="AB521">
        <v>2</v>
      </c>
      <c r="AC521">
        <v>8</v>
      </c>
      <c r="AD521">
        <f>IF(HR_Data[[#This Row],[Attrition]]="Yes",1,0)</f>
        <v>0</v>
      </c>
      <c r="AE521" t="str">
        <f>IF(HR_Data[[#This Row],[Age]]&lt;=25,"18-25",IF(HR_Data[[#This Row],[Age]]&lt;=35,"26-35",IF(HR_Data[[#This Row],[Age]]&lt;=45,"36-45",IF(HR_Data[[#This Row],[Age]]&lt;=55,"46-55","55+"))))</f>
        <v>26-35</v>
      </c>
      <c r="AF521">
        <f>IF(HR_Data[[#This Row],[Age]]&lt;=25,1,IF(HR_Data[[#This Row],[Age]]&lt;=35,2,IF(HR_Data[[#This Row],[Age]]&lt;=45,3,IF(HR_Data[[#This Row],[Age]]&lt;=55,4,5))))</f>
        <v>2</v>
      </c>
      <c r="AG521" s="1" t="str">
        <f>IF(HR_Data[[#This Row],[MonthlyIncome]]&lt;3000,"&lt;3K",IF(HR_Data[[#This Row],[MonthlyIncome]]&lt;6000,"3K-6K",IF(HR_Data[[#This Row],[MonthlyIncome]]&lt;10000,"6K-10K","10K+")))</f>
        <v>&lt;3K</v>
      </c>
      <c r="AH521" s="1">
        <f>IF(HR_Data[[#This Row],[MonthlyIncome]]&lt;3000,1,IF(HR_Data[[#This Row],[MonthlyIncome]]&lt;6000,2,IF(HR_Data[[#This Row],[MonthlyIncome]]&lt;10000,3,4)))</f>
        <v>1</v>
      </c>
      <c r="AI521" s="1" t="str">
        <f>IF(HR_Data[[#This Row],[YearsAtCompany]]&lt;=2,"0-2 Yrs",IF(HR_Data[[#This Row],[YearsAtCompany]]&lt;=5,"3-5 Yrs",IF(HR_Data[[#This Row],[YearsAtCompany]]&lt;=10,"6-10 Yrs","10+ Yrs")))</f>
        <v>6-10 Yrs</v>
      </c>
      <c r="AJ521" s="1">
        <f>IF(HR_Data[[#This Row],[YearsAtCompany]]&lt;=2,1,IF(HR_Data[[#This Row],[YearsAtCompany]]&lt;=5,2,IF(HR_Data[[#This Row],[YearsAtCompany]]&lt;=10,3,4)))</f>
        <v>3</v>
      </c>
      <c r="AK521" s="1" t="str">
        <f>CHOOSE(HR_Data[[#This Row],[Education]],"Below College","College","Bachelor","Master","Doctor")</f>
        <v>Master</v>
      </c>
      <c r="AL521" s="1" t="str">
        <f>CHOOSE(HR_Data[[#This Row],[JobSatisfaction]],"Low","Medium","High","Very High")</f>
        <v>Very High</v>
      </c>
      <c r="AM521" s="1" t="str">
        <f>CHOOSE(HR_Data[[#This Row],[EnvironmentSatisfaction]],"Low","Medium","High","Very High")</f>
        <v>Medium</v>
      </c>
      <c r="AN521" s="1" t="str">
        <f>CHOOSE(HR_Data[[#This Row],[WorkLifeBalance]],"Bad","Good","Better","Best")</f>
        <v>Better</v>
      </c>
      <c r="AO521" s="1" t="str">
        <f>IF(HR_Data[[#This Row],[PercentSalaryHike]]&lt;=13,"11-13%",IF(HR_Data[[#This Row],[PercentSalaryHike]]&lt;=16,"14-16%",IF(HR_Data[[#This Row],[PercentSalaryHike]]&lt;=19,"17-19%","20-25%")))</f>
        <v>17-19%</v>
      </c>
      <c r="AP521" s="1">
        <f>IF(HR_Data[[#This Row],[PercentSalaryHike]]&lt;=13,1,IF(HR_Data[[#This Row],[PercentSalaryHike]]&lt;=16,2,IF(HR_Data[[#This Row],[PercentSalaryHike]]&lt;=19,3,4)))</f>
        <v>3</v>
      </c>
      <c r="AQ521" s="1" t="str">
        <f>IF(HR_Data[[#This Row],[DistanceFromHome]]&lt;=5,"1 to 5",IF(HR_Data[[#This Row],[DistanceFromHome]]&lt;=10,"6 to 10",IF(HR_Data[[#This Row],[DistanceFromHome]]&lt;=20,"11 to 20","21 to 29")))</f>
        <v>1 to 5</v>
      </c>
      <c r="AR521" s="1">
        <f>IF(HR_Data[[#This Row],[DistanceFromHome]]&lt;=5,1,IF(HR_Data[[#This Row],[DistanceFromHome]]&lt;=10,2,IF(HR_Data[[#This Row],[DistanceFromHome]]&lt;=20,3,4)))</f>
        <v>1</v>
      </c>
      <c r="AS521" s="1" t="str">
        <f>IF(HR_Data[[#This Row],[TotalWorkingYears]]&lt;=5,"0-5 Yrs",IF(HR_Data[[#This Row],[TotalWorkingYears]]&lt;=10,"6-10 Yrs",IF(HR_Data[[#This Row],[TotalWorkingYears]]&lt;=20,"11-20 Yrs","20+ Yrs")))</f>
        <v>6-10 Yrs</v>
      </c>
      <c r="AT521" s="1">
        <f>IF(HR_Data[[#This Row],[TotalWorkingYears]]&lt;=5,1,IF(HR_Data[[#This Row],[TotalWorkingYears]]&lt;=10,2,IF(HR_Data[[#This Row],[TotalWorkingYears]]&lt;=20,3,4)))</f>
        <v>2</v>
      </c>
    </row>
    <row r="522" spans="1:46" x14ac:dyDescent="0.25">
      <c r="A522">
        <v>48</v>
      </c>
      <c r="B522" t="s">
        <v>36</v>
      </c>
      <c r="C522" t="s">
        <v>30</v>
      </c>
      <c r="D522" t="s">
        <v>31</v>
      </c>
      <c r="E522">
        <v>2</v>
      </c>
      <c r="F522">
        <v>1</v>
      </c>
      <c r="G522" t="s">
        <v>52</v>
      </c>
      <c r="H522">
        <v>712</v>
      </c>
      <c r="I522">
        <v>2</v>
      </c>
      <c r="J522" t="s">
        <v>39</v>
      </c>
      <c r="K522">
        <v>4</v>
      </c>
      <c r="L522">
        <v>2</v>
      </c>
      <c r="M522" t="s">
        <v>34</v>
      </c>
      <c r="N522">
        <v>2</v>
      </c>
      <c r="O522" t="s">
        <v>41</v>
      </c>
      <c r="P522">
        <v>8120</v>
      </c>
      <c r="Q522">
        <v>3</v>
      </c>
      <c r="R522" t="s">
        <v>36</v>
      </c>
      <c r="S522">
        <v>12</v>
      </c>
      <c r="T522">
        <v>3</v>
      </c>
      <c r="U522">
        <v>4</v>
      </c>
      <c r="V522">
        <v>0</v>
      </c>
      <c r="W522">
        <v>12</v>
      </c>
      <c r="X522">
        <v>3</v>
      </c>
      <c r="Y522">
        <v>3</v>
      </c>
      <c r="Z522">
        <v>2</v>
      </c>
      <c r="AA522">
        <v>2</v>
      </c>
      <c r="AB522">
        <v>2</v>
      </c>
      <c r="AC522">
        <v>2</v>
      </c>
      <c r="AD522">
        <f>IF(HR_Data[[#This Row],[Attrition]]="Yes",1,0)</f>
        <v>0</v>
      </c>
      <c r="AE522" t="str">
        <f>IF(HR_Data[[#This Row],[Age]]&lt;=25,"18-25",IF(HR_Data[[#This Row],[Age]]&lt;=35,"26-35",IF(HR_Data[[#This Row],[Age]]&lt;=45,"36-45",IF(HR_Data[[#This Row],[Age]]&lt;=55,"46-55","55+"))))</f>
        <v>46-55</v>
      </c>
      <c r="AF522">
        <f>IF(HR_Data[[#This Row],[Age]]&lt;=25,1,IF(HR_Data[[#This Row],[Age]]&lt;=35,2,IF(HR_Data[[#This Row],[Age]]&lt;=45,3,IF(HR_Data[[#This Row],[Age]]&lt;=55,4,5))))</f>
        <v>4</v>
      </c>
      <c r="AG522" s="1" t="str">
        <f>IF(HR_Data[[#This Row],[MonthlyIncome]]&lt;3000,"&lt;3K",IF(HR_Data[[#This Row],[MonthlyIncome]]&lt;6000,"3K-6K",IF(HR_Data[[#This Row],[MonthlyIncome]]&lt;10000,"6K-10K","10K+")))</f>
        <v>6K-10K</v>
      </c>
      <c r="AH522" s="1">
        <f>IF(HR_Data[[#This Row],[MonthlyIncome]]&lt;3000,1,IF(HR_Data[[#This Row],[MonthlyIncome]]&lt;6000,2,IF(HR_Data[[#This Row],[MonthlyIncome]]&lt;10000,3,4)))</f>
        <v>3</v>
      </c>
      <c r="AI522" s="1" t="str">
        <f>IF(HR_Data[[#This Row],[YearsAtCompany]]&lt;=2,"0-2 Yrs",IF(HR_Data[[#This Row],[YearsAtCompany]]&lt;=5,"3-5 Yrs",IF(HR_Data[[#This Row],[YearsAtCompany]]&lt;=10,"6-10 Yrs","10+ Yrs")))</f>
        <v>0-2 Yrs</v>
      </c>
      <c r="AJ522" s="1">
        <f>IF(HR_Data[[#This Row],[YearsAtCompany]]&lt;=2,1,IF(HR_Data[[#This Row],[YearsAtCompany]]&lt;=5,2,IF(HR_Data[[#This Row],[YearsAtCompany]]&lt;=10,3,4)))</f>
        <v>1</v>
      </c>
      <c r="AK522" s="1" t="str">
        <f>CHOOSE(HR_Data[[#This Row],[Education]],"Below College","College","Bachelor","Master","Doctor")</f>
        <v>Below College</v>
      </c>
      <c r="AL522" s="1" t="str">
        <f>CHOOSE(HR_Data[[#This Row],[JobSatisfaction]],"Low","Medium","High","Very High")</f>
        <v>Medium</v>
      </c>
      <c r="AM522" s="1" t="str">
        <f>CHOOSE(HR_Data[[#This Row],[EnvironmentSatisfaction]],"Low","Medium","High","Very High")</f>
        <v>Medium</v>
      </c>
      <c r="AN522" s="1" t="str">
        <f>CHOOSE(HR_Data[[#This Row],[WorkLifeBalance]],"Bad","Good","Better","Best")</f>
        <v>Better</v>
      </c>
      <c r="AO522" s="1" t="str">
        <f>IF(HR_Data[[#This Row],[PercentSalaryHike]]&lt;=13,"11-13%",IF(HR_Data[[#This Row],[PercentSalaryHike]]&lt;=16,"14-16%",IF(HR_Data[[#This Row],[PercentSalaryHike]]&lt;=19,"17-19%","20-25%")))</f>
        <v>11-13%</v>
      </c>
      <c r="AP522" s="1">
        <f>IF(HR_Data[[#This Row],[PercentSalaryHike]]&lt;=13,1,IF(HR_Data[[#This Row],[PercentSalaryHike]]&lt;=16,2,IF(HR_Data[[#This Row],[PercentSalaryHike]]&lt;=19,3,4)))</f>
        <v>1</v>
      </c>
      <c r="AQ522" s="1" t="str">
        <f>IF(HR_Data[[#This Row],[DistanceFromHome]]&lt;=5,"1 to 5",IF(HR_Data[[#This Row],[DistanceFromHome]]&lt;=10,"6 to 10",IF(HR_Data[[#This Row],[DistanceFromHome]]&lt;=20,"11 to 20","21 to 29")))</f>
        <v>1 to 5</v>
      </c>
      <c r="AR522" s="1">
        <f>IF(HR_Data[[#This Row],[DistanceFromHome]]&lt;=5,1,IF(HR_Data[[#This Row],[DistanceFromHome]]&lt;=10,2,IF(HR_Data[[#This Row],[DistanceFromHome]]&lt;=20,3,4)))</f>
        <v>1</v>
      </c>
      <c r="AS522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522" s="1">
        <f>IF(HR_Data[[#This Row],[TotalWorkingYears]]&lt;=5,1,IF(HR_Data[[#This Row],[TotalWorkingYears]]&lt;=10,2,IF(HR_Data[[#This Row],[TotalWorkingYears]]&lt;=20,3,4)))</f>
        <v>3</v>
      </c>
    </row>
    <row r="523" spans="1:46" x14ac:dyDescent="0.25">
      <c r="A523">
        <v>27</v>
      </c>
      <c r="B523" t="s">
        <v>36</v>
      </c>
      <c r="C523" t="s">
        <v>37</v>
      </c>
      <c r="D523" t="s">
        <v>31</v>
      </c>
      <c r="E523">
        <v>3</v>
      </c>
      <c r="F523">
        <v>1</v>
      </c>
      <c r="G523" t="s">
        <v>44</v>
      </c>
      <c r="H523">
        <v>714</v>
      </c>
      <c r="I523">
        <v>4</v>
      </c>
      <c r="J523" t="s">
        <v>33</v>
      </c>
      <c r="K523">
        <v>4</v>
      </c>
      <c r="L523">
        <v>2</v>
      </c>
      <c r="M523" t="s">
        <v>34</v>
      </c>
      <c r="N523">
        <v>4</v>
      </c>
      <c r="O523" t="s">
        <v>45</v>
      </c>
      <c r="P523">
        <v>4647</v>
      </c>
      <c r="Q523">
        <v>1</v>
      </c>
      <c r="R523" t="s">
        <v>29</v>
      </c>
      <c r="S523">
        <v>20</v>
      </c>
      <c r="T523">
        <v>4</v>
      </c>
      <c r="U523">
        <v>2</v>
      </c>
      <c r="V523">
        <v>2</v>
      </c>
      <c r="W523">
        <v>6</v>
      </c>
      <c r="X523">
        <v>3</v>
      </c>
      <c r="Y523">
        <v>3</v>
      </c>
      <c r="Z523">
        <v>6</v>
      </c>
      <c r="AA523">
        <v>5</v>
      </c>
      <c r="AB523">
        <v>0</v>
      </c>
      <c r="AC523">
        <v>4</v>
      </c>
      <c r="AD523">
        <f>IF(HR_Data[[#This Row],[Attrition]]="Yes",1,0)</f>
        <v>0</v>
      </c>
      <c r="AE523" t="str">
        <f>IF(HR_Data[[#This Row],[Age]]&lt;=25,"18-25",IF(HR_Data[[#This Row],[Age]]&lt;=35,"26-35",IF(HR_Data[[#This Row],[Age]]&lt;=45,"36-45",IF(HR_Data[[#This Row],[Age]]&lt;=55,"46-55","55+"))))</f>
        <v>26-35</v>
      </c>
      <c r="AF523">
        <f>IF(HR_Data[[#This Row],[Age]]&lt;=25,1,IF(HR_Data[[#This Row],[Age]]&lt;=35,2,IF(HR_Data[[#This Row],[Age]]&lt;=45,3,IF(HR_Data[[#This Row],[Age]]&lt;=55,4,5))))</f>
        <v>2</v>
      </c>
      <c r="AG523" s="1" t="str">
        <f>IF(HR_Data[[#This Row],[MonthlyIncome]]&lt;3000,"&lt;3K",IF(HR_Data[[#This Row],[MonthlyIncome]]&lt;6000,"3K-6K",IF(HR_Data[[#This Row],[MonthlyIncome]]&lt;10000,"6K-10K","10K+")))</f>
        <v>3K-6K</v>
      </c>
      <c r="AH523" s="1">
        <f>IF(HR_Data[[#This Row],[MonthlyIncome]]&lt;3000,1,IF(HR_Data[[#This Row],[MonthlyIncome]]&lt;6000,2,IF(HR_Data[[#This Row],[MonthlyIncome]]&lt;10000,3,4)))</f>
        <v>2</v>
      </c>
      <c r="AI523" s="1" t="str">
        <f>IF(HR_Data[[#This Row],[YearsAtCompany]]&lt;=2,"0-2 Yrs",IF(HR_Data[[#This Row],[YearsAtCompany]]&lt;=5,"3-5 Yrs",IF(HR_Data[[#This Row],[YearsAtCompany]]&lt;=10,"6-10 Yrs","10+ Yrs")))</f>
        <v>6-10 Yrs</v>
      </c>
      <c r="AJ523" s="1">
        <f>IF(HR_Data[[#This Row],[YearsAtCompany]]&lt;=2,1,IF(HR_Data[[#This Row],[YearsAtCompany]]&lt;=5,2,IF(HR_Data[[#This Row],[YearsAtCompany]]&lt;=10,3,4)))</f>
        <v>3</v>
      </c>
      <c r="AK523" s="1" t="str">
        <f>CHOOSE(HR_Data[[#This Row],[Education]],"Below College","College","Bachelor","Master","Doctor")</f>
        <v>Below College</v>
      </c>
      <c r="AL523" s="1" t="str">
        <f>CHOOSE(HR_Data[[#This Row],[JobSatisfaction]],"Low","Medium","High","Very High")</f>
        <v>Very High</v>
      </c>
      <c r="AM523" s="1" t="str">
        <f>CHOOSE(HR_Data[[#This Row],[EnvironmentSatisfaction]],"Low","Medium","High","Very High")</f>
        <v>Very High</v>
      </c>
      <c r="AN523" s="1" t="str">
        <f>CHOOSE(HR_Data[[#This Row],[WorkLifeBalance]],"Bad","Good","Better","Best")</f>
        <v>Better</v>
      </c>
      <c r="AO523" s="1" t="str">
        <f>IF(HR_Data[[#This Row],[PercentSalaryHike]]&lt;=13,"11-13%",IF(HR_Data[[#This Row],[PercentSalaryHike]]&lt;=16,"14-16%",IF(HR_Data[[#This Row],[PercentSalaryHike]]&lt;=19,"17-19%","20-25%")))</f>
        <v>20-25%</v>
      </c>
      <c r="AP523" s="1">
        <f>IF(HR_Data[[#This Row],[PercentSalaryHike]]&lt;=13,1,IF(HR_Data[[#This Row],[PercentSalaryHike]]&lt;=16,2,IF(HR_Data[[#This Row],[PercentSalaryHike]]&lt;=19,3,4)))</f>
        <v>4</v>
      </c>
      <c r="AQ523" s="1" t="str">
        <f>IF(HR_Data[[#This Row],[DistanceFromHome]]&lt;=5,"1 to 5",IF(HR_Data[[#This Row],[DistanceFromHome]]&lt;=10,"6 to 10",IF(HR_Data[[#This Row],[DistanceFromHome]]&lt;=20,"11 to 20","21 to 29")))</f>
        <v>1 to 5</v>
      </c>
      <c r="AR523" s="1">
        <f>IF(HR_Data[[#This Row],[DistanceFromHome]]&lt;=5,1,IF(HR_Data[[#This Row],[DistanceFromHome]]&lt;=10,2,IF(HR_Data[[#This Row],[DistanceFromHome]]&lt;=20,3,4)))</f>
        <v>1</v>
      </c>
      <c r="AS523" s="1" t="str">
        <f>IF(HR_Data[[#This Row],[TotalWorkingYears]]&lt;=5,"0-5 Yrs",IF(HR_Data[[#This Row],[TotalWorkingYears]]&lt;=10,"6-10 Yrs",IF(HR_Data[[#This Row],[TotalWorkingYears]]&lt;=20,"11-20 Yrs","20+ Yrs")))</f>
        <v>6-10 Yrs</v>
      </c>
      <c r="AT523" s="1">
        <f>IF(HR_Data[[#This Row],[TotalWorkingYears]]&lt;=5,1,IF(HR_Data[[#This Row],[TotalWorkingYears]]&lt;=10,2,IF(HR_Data[[#This Row],[TotalWorkingYears]]&lt;=20,3,4)))</f>
        <v>2</v>
      </c>
    </row>
    <row r="524" spans="1:46" x14ac:dyDescent="0.25">
      <c r="A524">
        <v>37</v>
      </c>
      <c r="B524" t="s">
        <v>36</v>
      </c>
      <c r="C524" t="s">
        <v>30</v>
      </c>
      <c r="D524" t="s">
        <v>38</v>
      </c>
      <c r="E524">
        <v>10</v>
      </c>
      <c r="F524">
        <v>2</v>
      </c>
      <c r="G524" t="s">
        <v>32</v>
      </c>
      <c r="H524">
        <v>715</v>
      </c>
      <c r="I524">
        <v>4</v>
      </c>
      <c r="J524" t="s">
        <v>39</v>
      </c>
      <c r="K524">
        <v>4</v>
      </c>
      <c r="L524">
        <v>1</v>
      </c>
      <c r="M524" t="s">
        <v>40</v>
      </c>
      <c r="N524">
        <v>4</v>
      </c>
      <c r="O524" t="s">
        <v>35</v>
      </c>
      <c r="P524">
        <v>4680</v>
      </c>
      <c r="Q524">
        <v>3</v>
      </c>
      <c r="R524" t="s">
        <v>36</v>
      </c>
      <c r="S524">
        <v>17</v>
      </c>
      <c r="T524">
        <v>3</v>
      </c>
      <c r="U524">
        <v>1</v>
      </c>
      <c r="V524">
        <v>0</v>
      </c>
      <c r="W524">
        <v>4</v>
      </c>
      <c r="X524">
        <v>2</v>
      </c>
      <c r="Y524">
        <v>3</v>
      </c>
      <c r="Z524">
        <v>1</v>
      </c>
      <c r="AA524">
        <v>0</v>
      </c>
      <c r="AB524">
        <v>0</v>
      </c>
      <c r="AC524">
        <v>0</v>
      </c>
      <c r="AD524">
        <f>IF(HR_Data[[#This Row],[Attrition]]="Yes",1,0)</f>
        <v>0</v>
      </c>
      <c r="AE524" t="str">
        <f>IF(HR_Data[[#This Row],[Age]]&lt;=25,"18-25",IF(HR_Data[[#This Row],[Age]]&lt;=35,"26-35",IF(HR_Data[[#This Row],[Age]]&lt;=45,"36-45",IF(HR_Data[[#This Row],[Age]]&lt;=55,"46-55","55+"))))</f>
        <v>36-45</v>
      </c>
      <c r="AF524">
        <f>IF(HR_Data[[#This Row],[Age]]&lt;=25,1,IF(HR_Data[[#This Row],[Age]]&lt;=35,2,IF(HR_Data[[#This Row],[Age]]&lt;=45,3,IF(HR_Data[[#This Row],[Age]]&lt;=55,4,5))))</f>
        <v>3</v>
      </c>
      <c r="AG524" s="1" t="str">
        <f>IF(HR_Data[[#This Row],[MonthlyIncome]]&lt;3000,"&lt;3K",IF(HR_Data[[#This Row],[MonthlyIncome]]&lt;6000,"3K-6K",IF(HR_Data[[#This Row],[MonthlyIncome]]&lt;10000,"6K-10K","10K+")))</f>
        <v>3K-6K</v>
      </c>
      <c r="AH524" s="1">
        <f>IF(HR_Data[[#This Row],[MonthlyIncome]]&lt;3000,1,IF(HR_Data[[#This Row],[MonthlyIncome]]&lt;6000,2,IF(HR_Data[[#This Row],[MonthlyIncome]]&lt;10000,3,4)))</f>
        <v>2</v>
      </c>
      <c r="AI524" s="1" t="str">
        <f>IF(HR_Data[[#This Row],[YearsAtCompany]]&lt;=2,"0-2 Yrs",IF(HR_Data[[#This Row],[YearsAtCompany]]&lt;=5,"3-5 Yrs",IF(HR_Data[[#This Row],[YearsAtCompany]]&lt;=10,"6-10 Yrs","10+ Yrs")))</f>
        <v>0-2 Yrs</v>
      </c>
      <c r="AJ524" s="1">
        <f>IF(HR_Data[[#This Row],[YearsAtCompany]]&lt;=2,1,IF(HR_Data[[#This Row],[YearsAtCompany]]&lt;=5,2,IF(HR_Data[[#This Row],[YearsAtCompany]]&lt;=10,3,4)))</f>
        <v>1</v>
      </c>
      <c r="AK524" s="1" t="str">
        <f>CHOOSE(HR_Data[[#This Row],[Education]],"Below College","College","Bachelor","Master","Doctor")</f>
        <v>College</v>
      </c>
      <c r="AL524" s="1" t="str">
        <f>CHOOSE(HR_Data[[#This Row],[JobSatisfaction]],"Low","Medium","High","Very High")</f>
        <v>Very High</v>
      </c>
      <c r="AM524" s="1" t="str">
        <f>CHOOSE(HR_Data[[#This Row],[EnvironmentSatisfaction]],"Low","Medium","High","Very High")</f>
        <v>Very High</v>
      </c>
      <c r="AN524" s="1" t="str">
        <f>CHOOSE(HR_Data[[#This Row],[WorkLifeBalance]],"Bad","Good","Better","Best")</f>
        <v>Better</v>
      </c>
      <c r="AO524" s="1" t="str">
        <f>IF(HR_Data[[#This Row],[PercentSalaryHike]]&lt;=13,"11-13%",IF(HR_Data[[#This Row],[PercentSalaryHike]]&lt;=16,"14-16%",IF(HR_Data[[#This Row],[PercentSalaryHike]]&lt;=19,"17-19%","20-25%")))</f>
        <v>17-19%</v>
      </c>
      <c r="AP524" s="1">
        <f>IF(HR_Data[[#This Row],[PercentSalaryHike]]&lt;=13,1,IF(HR_Data[[#This Row],[PercentSalaryHike]]&lt;=16,2,IF(HR_Data[[#This Row],[PercentSalaryHike]]&lt;=19,3,4)))</f>
        <v>3</v>
      </c>
      <c r="AQ524" s="1" t="str">
        <f>IF(HR_Data[[#This Row],[DistanceFromHome]]&lt;=5,"1 to 5",IF(HR_Data[[#This Row],[DistanceFromHome]]&lt;=10,"6 to 10",IF(HR_Data[[#This Row],[DistanceFromHome]]&lt;=20,"11 to 20","21 to 29")))</f>
        <v>6 to 10</v>
      </c>
      <c r="AR524" s="1">
        <f>IF(HR_Data[[#This Row],[DistanceFromHome]]&lt;=5,1,IF(HR_Data[[#This Row],[DistanceFromHome]]&lt;=10,2,IF(HR_Data[[#This Row],[DistanceFromHome]]&lt;=20,3,4)))</f>
        <v>2</v>
      </c>
      <c r="AS524" s="1" t="str">
        <f>IF(HR_Data[[#This Row],[TotalWorkingYears]]&lt;=5,"0-5 Yrs",IF(HR_Data[[#This Row],[TotalWorkingYears]]&lt;=10,"6-10 Yrs",IF(HR_Data[[#This Row],[TotalWorkingYears]]&lt;=20,"11-20 Yrs","20+ Yrs")))</f>
        <v>0-5 Yrs</v>
      </c>
      <c r="AT524" s="1">
        <f>IF(HR_Data[[#This Row],[TotalWorkingYears]]&lt;=5,1,IF(HR_Data[[#This Row],[TotalWorkingYears]]&lt;=10,2,IF(HR_Data[[#This Row],[TotalWorkingYears]]&lt;=20,3,4)))</f>
        <v>1</v>
      </c>
    </row>
    <row r="525" spans="1:46" x14ac:dyDescent="0.25">
      <c r="A525">
        <v>50</v>
      </c>
      <c r="B525" t="s">
        <v>36</v>
      </c>
      <c r="C525" t="s">
        <v>30</v>
      </c>
      <c r="D525" t="s">
        <v>38</v>
      </c>
      <c r="E525">
        <v>28</v>
      </c>
      <c r="F525">
        <v>1</v>
      </c>
      <c r="G525" t="s">
        <v>44</v>
      </c>
      <c r="H525">
        <v>716</v>
      </c>
      <c r="I525">
        <v>4</v>
      </c>
      <c r="J525" t="s">
        <v>39</v>
      </c>
      <c r="K525">
        <v>4</v>
      </c>
      <c r="L525">
        <v>1</v>
      </c>
      <c r="M525" t="s">
        <v>43</v>
      </c>
      <c r="N525">
        <v>3</v>
      </c>
      <c r="O525" t="s">
        <v>41</v>
      </c>
      <c r="P525">
        <v>3221</v>
      </c>
      <c r="Q525">
        <v>1</v>
      </c>
      <c r="R525" t="s">
        <v>29</v>
      </c>
      <c r="S525">
        <v>11</v>
      </c>
      <c r="T525">
        <v>3</v>
      </c>
      <c r="U525">
        <v>3</v>
      </c>
      <c r="V525">
        <v>3</v>
      </c>
      <c r="W525">
        <v>20</v>
      </c>
      <c r="X525">
        <v>3</v>
      </c>
      <c r="Y525">
        <v>3</v>
      </c>
      <c r="Z525">
        <v>20</v>
      </c>
      <c r="AA525">
        <v>8</v>
      </c>
      <c r="AB525">
        <v>3</v>
      </c>
      <c r="AC525">
        <v>8</v>
      </c>
      <c r="AD525">
        <f>IF(HR_Data[[#This Row],[Attrition]]="Yes",1,0)</f>
        <v>0</v>
      </c>
      <c r="AE525" t="str">
        <f>IF(HR_Data[[#This Row],[Age]]&lt;=25,"18-25",IF(HR_Data[[#This Row],[Age]]&lt;=35,"26-35",IF(HR_Data[[#This Row],[Age]]&lt;=45,"36-45",IF(HR_Data[[#This Row],[Age]]&lt;=55,"46-55","55+"))))</f>
        <v>46-55</v>
      </c>
      <c r="AF525">
        <f>IF(HR_Data[[#This Row],[Age]]&lt;=25,1,IF(HR_Data[[#This Row],[Age]]&lt;=35,2,IF(HR_Data[[#This Row],[Age]]&lt;=45,3,IF(HR_Data[[#This Row],[Age]]&lt;=55,4,5))))</f>
        <v>4</v>
      </c>
      <c r="AG525" s="1" t="str">
        <f>IF(HR_Data[[#This Row],[MonthlyIncome]]&lt;3000,"&lt;3K",IF(HR_Data[[#This Row],[MonthlyIncome]]&lt;6000,"3K-6K",IF(HR_Data[[#This Row],[MonthlyIncome]]&lt;10000,"6K-10K","10K+")))</f>
        <v>3K-6K</v>
      </c>
      <c r="AH525" s="1">
        <f>IF(HR_Data[[#This Row],[MonthlyIncome]]&lt;3000,1,IF(HR_Data[[#This Row],[MonthlyIncome]]&lt;6000,2,IF(HR_Data[[#This Row],[MonthlyIncome]]&lt;10000,3,4)))</f>
        <v>2</v>
      </c>
      <c r="AI525" s="1" t="str">
        <f>IF(HR_Data[[#This Row],[YearsAtCompany]]&lt;=2,"0-2 Yrs",IF(HR_Data[[#This Row],[YearsAtCompany]]&lt;=5,"3-5 Yrs",IF(HR_Data[[#This Row],[YearsAtCompany]]&lt;=10,"6-10 Yrs","10+ Yrs")))</f>
        <v>10+ Yrs</v>
      </c>
      <c r="AJ525" s="1">
        <f>IF(HR_Data[[#This Row],[YearsAtCompany]]&lt;=2,1,IF(HR_Data[[#This Row],[YearsAtCompany]]&lt;=5,2,IF(HR_Data[[#This Row],[YearsAtCompany]]&lt;=10,3,4)))</f>
        <v>4</v>
      </c>
      <c r="AK525" s="1" t="str">
        <f>CHOOSE(HR_Data[[#This Row],[Education]],"Below College","College","Bachelor","Master","Doctor")</f>
        <v>Below College</v>
      </c>
      <c r="AL525" s="1" t="str">
        <f>CHOOSE(HR_Data[[#This Row],[JobSatisfaction]],"Low","Medium","High","Very High")</f>
        <v>High</v>
      </c>
      <c r="AM525" s="1" t="str">
        <f>CHOOSE(HR_Data[[#This Row],[EnvironmentSatisfaction]],"Low","Medium","High","Very High")</f>
        <v>Very High</v>
      </c>
      <c r="AN525" s="1" t="str">
        <f>CHOOSE(HR_Data[[#This Row],[WorkLifeBalance]],"Bad","Good","Better","Best")</f>
        <v>Better</v>
      </c>
      <c r="AO525" s="1" t="str">
        <f>IF(HR_Data[[#This Row],[PercentSalaryHike]]&lt;=13,"11-13%",IF(HR_Data[[#This Row],[PercentSalaryHike]]&lt;=16,"14-16%",IF(HR_Data[[#This Row],[PercentSalaryHike]]&lt;=19,"17-19%","20-25%")))</f>
        <v>11-13%</v>
      </c>
      <c r="AP525" s="1">
        <f>IF(HR_Data[[#This Row],[PercentSalaryHike]]&lt;=13,1,IF(HR_Data[[#This Row],[PercentSalaryHike]]&lt;=16,2,IF(HR_Data[[#This Row],[PercentSalaryHike]]&lt;=19,3,4)))</f>
        <v>1</v>
      </c>
      <c r="AQ525" s="1" t="str">
        <f>IF(HR_Data[[#This Row],[DistanceFromHome]]&lt;=5,"1 to 5",IF(HR_Data[[#This Row],[DistanceFromHome]]&lt;=10,"6 to 10",IF(HR_Data[[#This Row],[DistanceFromHome]]&lt;=20,"11 to 20","21 to 29")))</f>
        <v>21 to 29</v>
      </c>
      <c r="AR525" s="1">
        <f>IF(HR_Data[[#This Row],[DistanceFromHome]]&lt;=5,1,IF(HR_Data[[#This Row],[DistanceFromHome]]&lt;=10,2,IF(HR_Data[[#This Row],[DistanceFromHome]]&lt;=20,3,4)))</f>
        <v>4</v>
      </c>
      <c r="AS525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525" s="1">
        <f>IF(HR_Data[[#This Row],[TotalWorkingYears]]&lt;=5,1,IF(HR_Data[[#This Row],[TotalWorkingYears]]&lt;=10,2,IF(HR_Data[[#This Row],[TotalWorkingYears]]&lt;=20,3,4)))</f>
        <v>3</v>
      </c>
    </row>
    <row r="526" spans="1:46" x14ac:dyDescent="0.25">
      <c r="A526">
        <v>34</v>
      </c>
      <c r="B526" t="s">
        <v>36</v>
      </c>
      <c r="C526" t="s">
        <v>30</v>
      </c>
      <c r="D526" t="s">
        <v>38</v>
      </c>
      <c r="E526">
        <v>9</v>
      </c>
      <c r="F526">
        <v>3</v>
      </c>
      <c r="G526" t="s">
        <v>44</v>
      </c>
      <c r="H526">
        <v>717</v>
      </c>
      <c r="I526">
        <v>4</v>
      </c>
      <c r="J526" t="s">
        <v>33</v>
      </c>
      <c r="K526">
        <v>2</v>
      </c>
      <c r="L526">
        <v>3</v>
      </c>
      <c r="M526" t="s">
        <v>47</v>
      </c>
      <c r="N526">
        <v>2</v>
      </c>
      <c r="O526" t="s">
        <v>35</v>
      </c>
      <c r="P526">
        <v>8621</v>
      </c>
      <c r="Q526">
        <v>1</v>
      </c>
      <c r="R526" t="s">
        <v>36</v>
      </c>
      <c r="S526">
        <v>14</v>
      </c>
      <c r="T526">
        <v>3</v>
      </c>
      <c r="U526">
        <v>2</v>
      </c>
      <c r="V526">
        <v>0</v>
      </c>
      <c r="W526">
        <v>9</v>
      </c>
      <c r="X526">
        <v>3</v>
      </c>
      <c r="Y526">
        <v>4</v>
      </c>
      <c r="Z526">
        <v>8</v>
      </c>
      <c r="AA526">
        <v>7</v>
      </c>
      <c r="AB526">
        <v>7</v>
      </c>
      <c r="AC526">
        <v>7</v>
      </c>
      <c r="AD526">
        <f>IF(HR_Data[[#This Row],[Attrition]]="Yes",1,0)</f>
        <v>0</v>
      </c>
      <c r="AE526" t="str">
        <f>IF(HR_Data[[#This Row],[Age]]&lt;=25,"18-25",IF(HR_Data[[#This Row],[Age]]&lt;=35,"26-35",IF(HR_Data[[#This Row],[Age]]&lt;=45,"36-45",IF(HR_Data[[#This Row],[Age]]&lt;=55,"46-55","55+"))))</f>
        <v>26-35</v>
      </c>
      <c r="AF526">
        <f>IF(HR_Data[[#This Row],[Age]]&lt;=25,1,IF(HR_Data[[#This Row],[Age]]&lt;=35,2,IF(HR_Data[[#This Row],[Age]]&lt;=45,3,IF(HR_Data[[#This Row],[Age]]&lt;=55,4,5))))</f>
        <v>2</v>
      </c>
      <c r="AG526" s="1" t="str">
        <f>IF(HR_Data[[#This Row],[MonthlyIncome]]&lt;3000,"&lt;3K",IF(HR_Data[[#This Row],[MonthlyIncome]]&lt;6000,"3K-6K",IF(HR_Data[[#This Row],[MonthlyIncome]]&lt;10000,"6K-10K","10K+")))</f>
        <v>6K-10K</v>
      </c>
      <c r="AH526" s="1">
        <f>IF(HR_Data[[#This Row],[MonthlyIncome]]&lt;3000,1,IF(HR_Data[[#This Row],[MonthlyIncome]]&lt;6000,2,IF(HR_Data[[#This Row],[MonthlyIncome]]&lt;10000,3,4)))</f>
        <v>3</v>
      </c>
      <c r="AI526" s="1" t="str">
        <f>IF(HR_Data[[#This Row],[YearsAtCompany]]&lt;=2,"0-2 Yrs",IF(HR_Data[[#This Row],[YearsAtCompany]]&lt;=5,"3-5 Yrs",IF(HR_Data[[#This Row],[YearsAtCompany]]&lt;=10,"6-10 Yrs","10+ Yrs")))</f>
        <v>6-10 Yrs</v>
      </c>
      <c r="AJ526" s="1">
        <f>IF(HR_Data[[#This Row],[YearsAtCompany]]&lt;=2,1,IF(HR_Data[[#This Row],[YearsAtCompany]]&lt;=5,2,IF(HR_Data[[#This Row],[YearsAtCompany]]&lt;=10,3,4)))</f>
        <v>3</v>
      </c>
      <c r="AK526" s="1" t="str">
        <f>CHOOSE(HR_Data[[#This Row],[Education]],"Below College","College","Bachelor","Master","Doctor")</f>
        <v>Bachelor</v>
      </c>
      <c r="AL526" s="1" t="str">
        <f>CHOOSE(HR_Data[[#This Row],[JobSatisfaction]],"Low","Medium","High","Very High")</f>
        <v>Medium</v>
      </c>
      <c r="AM526" s="1" t="str">
        <f>CHOOSE(HR_Data[[#This Row],[EnvironmentSatisfaction]],"Low","Medium","High","Very High")</f>
        <v>Very High</v>
      </c>
      <c r="AN526" s="1" t="str">
        <f>CHOOSE(HR_Data[[#This Row],[WorkLifeBalance]],"Bad","Good","Better","Best")</f>
        <v>Best</v>
      </c>
      <c r="AO526" s="1" t="str">
        <f>IF(HR_Data[[#This Row],[PercentSalaryHike]]&lt;=13,"11-13%",IF(HR_Data[[#This Row],[PercentSalaryHike]]&lt;=16,"14-16%",IF(HR_Data[[#This Row],[PercentSalaryHike]]&lt;=19,"17-19%","20-25%")))</f>
        <v>14-16%</v>
      </c>
      <c r="AP526" s="1">
        <f>IF(HR_Data[[#This Row],[PercentSalaryHike]]&lt;=13,1,IF(HR_Data[[#This Row],[PercentSalaryHike]]&lt;=16,2,IF(HR_Data[[#This Row],[PercentSalaryHike]]&lt;=19,3,4)))</f>
        <v>2</v>
      </c>
      <c r="AQ526" s="1" t="str">
        <f>IF(HR_Data[[#This Row],[DistanceFromHome]]&lt;=5,"1 to 5",IF(HR_Data[[#This Row],[DistanceFromHome]]&lt;=10,"6 to 10",IF(HR_Data[[#This Row],[DistanceFromHome]]&lt;=20,"11 to 20","21 to 29")))</f>
        <v>6 to 10</v>
      </c>
      <c r="AR526" s="1">
        <f>IF(HR_Data[[#This Row],[DistanceFromHome]]&lt;=5,1,IF(HR_Data[[#This Row],[DistanceFromHome]]&lt;=10,2,IF(HR_Data[[#This Row],[DistanceFromHome]]&lt;=20,3,4)))</f>
        <v>2</v>
      </c>
      <c r="AS526" s="1" t="str">
        <f>IF(HR_Data[[#This Row],[TotalWorkingYears]]&lt;=5,"0-5 Yrs",IF(HR_Data[[#This Row],[TotalWorkingYears]]&lt;=10,"6-10 Yrs",IF(HR_Data[[#This Row],[TotalWorkingYears]]&lt;=20,"11-20 Yrs","20+ Yrs")))</f>
        <v>6-10 Yrs</v>
      </c>
      <c r="AT526" s="1">
        <f>IF(HR_Data[[#This Row],[TotalWorkingYears]]&lt;=5,1,IF(HR_Data[[#This Row],[TotalWorkingYears]]&lt;=10,2,IF(HR_Data[[#This Row],[TotalWorkingYears]]&lt;=20,3,4)))</f>
        <v>2</v>
      </c>
    </row>
    <row r="527" spans="1:46" x14ac:dyDescent="0.25">
      <c r="A527">
        <v>24</v>
      </c>
      <c r="B527" t="s">
        <v>29</v>
      </c>
      <c r="C527" t="s">
        <v>30</v>
      </c>
      <c r="D527" t="s">
        <v>31</v>
      </c>
      <c r="E527">
        <v>3</v>
      </c>
      <c r="F527">
        <v>2</v>
      </c>
      <c r="G527" t="s">
        <v>32</v>
      </c>
      <c r="H527">
        <v>720</v>
      </c>
      <c r="I527">
        <v>1</v>
      </c>
      <c r="J527" t="s">
        <v>33</v>
      </c>
      <c r="K527">
        <v>3</v>
      </c>
      <c r="L527">
        <v>2</v>
      </c>
      <c r="M527" t="s">
        <v>34</v>
      </c>
      <c r="N527">
        <v>3</v>
      </c>
      <c r="O527" t="s">
        <v>35</v>
      </c>
      <c r="P527">
        <v>4577</v>
      </c>
      <c r="Q527">
        <v>9</v>
      </c>
      <c r="R527" t="s">
        <v>36</v>
      </c>
      <c r="S527">
        <v>14</v>
      </c>
      <c r="T527">
        <v>3</v>
      </c>
      <c r="U527">
        <v>1</v>
      </c>
      <c r="V527">
        <v>0</v>
      </c>
      <c r="W527">
        <v>4</v>
      </c>
      <c r="X527">
        <v>3</v>
      </c>
      <c r="Y527">
        <v>3</v>
      </c>
      <c r="Z527">
        <v>2</v>
      </c>
      <c r="AA527">
        <v>2</v>
      </c>
      <c r="AB527">
        <v>2</v>
      </c>
      <c r="AC527">
        <v>0</v>
      </c>
      <c r="AD527">
        <f>IF(HR_Data[[#This Row],[Attrition]]="Yes",1,0)</f>
        <v>1</v>
      </c>
      <c r="AE527" t="str">
        <f>IF(HR_Data[[#This Row],[Age]]&lt;=25,"18-25",IF(HR_Data[[#This Row],[Age]]&lt;=35,"26-35",IF(HR_Data[[#This Row],[Age]]&lt;=45,"36-45",IF(HR_Data[[#This Row],[Age]]&lt;=55,"46-55","55+"))))</f>
        <v>18-25</v>
      </c>
      <c r="AF527">
        <f>IF(HR_Data[[#This Row],[Age]]&lt;=25,1,IF(HR_Data[[#This Row],[Age]]&lt;=35,2,IF(HR_Data[[#This Row],[Age]]&lt;=45,3,IF(HR_Data[[#This Row],[Age]]&lt;=55,4,5))))</f>
        <v>1</v>
      </c>
      <c r="AG527" s="1" t="str">
        <f>IF(HR_Data[[#This Row],[MonthlyIncome]]&lt;3000,"&lt;3K",IF(HR_Data[[#This Row],[MonthlyIncome]]&lt;6000,"3K-6K",IF(HR_Data[[#This Row],[MonthlyIncome]]&lt;10000,"6K-10K","10K+")))</f>
        <v>3K-6K</v>
      </c>
      <c r="AH527" s="1">
        <f>IF(HR_Data[[#This Row],[MonthlyIncome]]&lt;3000,1,IF(HR_Data[[#This Row],[MonthlyIncome]]&lt;6000,2,IF(HR_Data[[#This Row],[MonthlyIncome]]&lt;10000,3,4)))</f>
        <v>2</v>
      </c>
      <c r="AI527" s="1" t="str">
        <f>IF(HR_Data[[#This Row],[YearsAtCompany]]&lt;=2,"0-2 Yrs",IF(HR_Data[[#This Row],[YearsAtCompany]]&lt;=5,"3-5 Yrs",IF(HR_Data[[#This Row],[YearsAtCompany]]&lt;=10,"6-10 Yrs","10+ Yrs")))</f>
        <v>0-2 Yrs</v>
      </c>
      <c r="AJ527" s="1">
        <f>IF(HR_Data[[#This Row],[YearsAtCompany]]&lt;=2,1,IF(HR_Data[[#This Row],[YearsAtCompany]]&lt;=5,2,IF(HR_Data[[#This Row],[YearsAtCompany]]&lt;=10,3,4)))</f>
        <v>1</v>
      </c>
      <c r="AK527" s="1" t="str">
        <f>CHOOSE(HR_Data[[#This Row],[Education]],"Below College","College","Bachelor","Master","Doctor")</f>
        <v>College</v>
      </c>
      <c r="AL527" s="1" t="str">
        <f>CHOOSE(HR_Data[[#This Row],[JobSatisfaction]],"Low","Medium","High","Very High")</f>
        <v>High</v>
      </c>
      <c r="AM527" s="1" t="str">
        <f>CHOOSE(HR_Data[[#This Row],[EnvironmentSatisfaction]],"Low","Medium","High","Very High")</f>
        <v>Low</v>
      </c>
      <c r="AN527" s="1" t="str">
        <f>CHOOSE(HR_Data[[#This Row],[WorkLifeBalance]],"Bad","Good","Better","Best")</f>
        <v>Better</v>
      </c>
      <c r="AO527" s="1" t="str">
        <f>IF(HR_Data[[#This Row],[PercentSalaryHike]]&lt;=13,"11-13%",IF(HR_Data[[#This Row],[PercentSalaryHike]]&lt;=16,"14-16%",IF(HR_Data[[#This Row],[PercentSalaryHike]]&lt;=19,"17-19%","20-25%")))</f>
        <v>14-16%</v>
      </c>
      <c r="AP527" s="1">
        <f>IF(HR_Data[[#This Row],[PercentSalaryHike]]&lt;=13,1,IF(HR_Data[[#This Row],[PercentSalaryHike]]&lt;=16,2,IF(HR_Data[[#This Row],[PercentSalaryHike]]&lt;=19,3,4)))</f>
        <v>2</v>
      </c>
      <c r="AQ527" s="1" t="str">
        <f>IF(HR_Data[[#This Row],[DistanceFromHome]]&lt;=5,"1 to 5",IF(HR_Data[[#This Row],[DistanceFromHome]]&lt;=10,"6 to 10",IF(HR_Data[[#This Row],[DistanceFromHome]]&lt;=20,"11 to 20","21 to 29")))</f>
        <v>1 to 5</v>
      </c>
      <c r="AR527" s="1">
        <f>IF(HR_Data[[#This Row],[DistanceFromHome]]&lt;=5,1,IF(HR_Data[[#This Row],[DistanceFromHome]]&lt;=10,2,IF(HR_Data[[#This Row],[DistanceFromHome]]&lt;=20,3,4)))</f>
        <v>1</v>
      </c>
      <c r="AS527" s="1" t="str">
        <f>IF(HR_Data[[#This Row],[TotalWorkingYears]]&lt;=5,"0-5 Yrs",IF(HR_Data[[#This Row],[TotalWorkingYears]]&lt;=10,"6-10 Yrs",IF(HR_Data[[#This Row],[TotalWorkingYears]]&lt;=20,"11-20 Yrs","20+ Yrs")))</f>
        <v>0-5 Yrs</v>
      </c>
      <c r="AT527" s="1">
        <f>IF(HR_Data[[#This Row],[TotalWorkingYears]]&lt;=5,1,IF(HR_Data[[#This Row],[TotalWorkingYears]]&lt;=10,2,IF(HR_Data[[#This Row],[TotalWorkingYears]]&lt;=20,3,4)))</f>
        <v>1</v>
      </c>
    </row>
    <row r="528" spans="1:46" x14ac:dyDescent="0.25">
      <c r="A528">
        <v>39</v>
      </c>
      <c r="B528" t="s">
        <v>36</v>
      </c>
      <c r="C528" t="s">
        <v>30</v>
      </c>
      <c r="D528" t="s">
        <v>38</v>
      </c>
      <c r="E528">
        <v>2</v>
      </c>
      <c r="F528">
        <v>4</v>
      </c>
      <c r="G528" t="s">
        <v>53</v>
      </c>
      <c r="H528">
        <v>721</v>
      </c>
      <c r="I528">
        <v>4</v>
      </c>
      <c r="J528" t="s">
        <v>33</v>
      </c>
      <c r="K528">
        <v>2</v>
      </c>
      <c r="L528">
        <v>2</v>
      </c>
      <c r="M528" t="s">
        <v>47</v>
      </c>
      <c r="N528">
        <v>3</v>
      </c>
      <c r="O528" t="s">
        <v>35</v>
      </c>
      <c r="P528">
        <v>4553</v>
      </c>
      <c r="Q528">
        <v>1</v>
      </c>
      <c r="R528" t="s">
        <v>36</v>
      </c>
      <c r="S528">
        <v>11</v>
      </c>
      <c r="T528">
        <v>3</v>
      </c>
      <c r="U528">
        <v>1</v>
      </c>
      <c r="V528">
        <v>0</v>
      </c>
      <c r="W528">
        <v>20</v>
      </c>
      <c r="X528">
        <v>4</v>
      </c>
      <c r="Y528">
        <v>3</v>
      </c>
      <c r="Z528">
        <v>20</v>
      </c>
      <c r="AA528">
        <v>7</v>
      </c>
      <c r="AB528">
        <v>11</v>
      </c>
      <c r="AC528">
        <v>10</v>
      </c>
      <c r="AD528">
        <f>IF(HR_Data[[#This Row],[Attrition]]="Yes",1,0)</f>
        <v>0</v>
      </c>
      <c r="AE528" t="str">
        <f>IF(HR_Data[[#This Row],[Age]]&lt;=25,"18-25",IF(HR_Data[[#This Row],[Age]]&lt;=35,"26-35",IF(HR_Data[[#This Row],[Age]]&lt;=45,"36-45",IF(HR_Data[[#This Row],[Age]]&lt;=55,"46-55","55+"))))</f>
        <v>36-45</v>
      </c>
      <c r="AF528">
        <f>IF(HR_Data[[#This Row],[Age]]&lt;=25,1,IF(HR_Data[[#This Row],[Age]]&lt;=35,2,IF(HR_Data[[#This Row],[Age]]&lt;=45,3,IF(HR_Data[[#This Row],[Age]]&lt;=55,4,5))))</f>
        <v>3</v>
      </c>
      <c r="AG528" s="1" t="str">
        <f>IF(HR_Data[[#This Row],[MonthlyIncome]]&lt;3000,"&lt;3K",IF(HR_Data[[#This Row],[MonthlyIncome]]&lt;6000,"3K-6K",IF(HR_Data[[#This Row],[MonthlyIncome]]&lt;10000,"6K-10K","10K+")))</f>
        <v>3K-6K</v>
      </c>
      <c r="AH528" s="1">
        <f>IF(HR_Data[[#This Row],[MonthlyIncome]]&lt;3000,1,IF(HR_Data[[#This Row],[MonthlyIncome]]&lt;6000,2,IF(HR_Data[[#This Row],[MonthlyIncome]]&lt;10000,3,4)))</f>
        <v>2</v>
      </c>
      <c r="AI528" s="1" t="str">
        <f>IF(HR_Data[[#This Row],[YearsAtCompany]]&lt;=2,"0-2 Yrs",IF(HR_Data[[#This Row],[YearsAtCompany]]&lt;=5,"3-5 Yrs",IF(HR_Data[[#This Row],[YearsAtCompany]]&lt;=10,"6-10 Yrs","10+ Yrs")))</f>
        <v>10+ Yrs</v>
      </c>
      <c r="AJ528" s="1">
        <f>IF(HR_Data[[#This Row],[YearsAtCompany]]&lt;=2,1,IF(HR_Data[[#This Row],[YearsAtCompany]]&lt;=5,2,IF(HR_Data[[#This Row],[YearsAtCompany]]&lt;=10,3,4)))</f>
        <v>4</v>
      </c>
      <c r="AK528" s="1" t="str">
        <f>CHOOSE(HR_Data[[#This Row],[Education]],"Below College","College","Bachelor","Master","Doctor")</f>
        <v>Master</v>
      </c>
      <c r="AL528" s="1" t="str">
        <f>CHOOSE(HR_Data[[#This Row],[JobSatisfaction]],"Low","Medium","High","Very High")</f>
        <v>High</v>
      </c>
      <c r="AM528" s="1" t="str">
        <f>CHOOSE(HR_Data[[#This Row],[EnvironmentSatisfaction]],"Low","Medium","High","Very High")</f>
        <v>Very High</v>
      </c>
      <c r="AN528" s="1" t="str">
        <f>CHOOSE(HR_Data[[#This Row],[WorkLifeBalance]],"Bad","Good","Better","Best")</f>
        <v>Better</v>
      </c>
      <c r="AO528" s="1" t="str">
        <f>IF(HR_Data[[#This Row],[PercentSalaryHike]]&lt;=13,"11-13%",IF(HR_Data[[#This Row],[PercentSalaryHike]]&lt;=16,"14-16%",IF(HR_Data[[#This Row],[PercentSalaryHike]]&lt;=19,"17-19%","20-25%")))</f>
        <v>11-13%</v>
      </c>
      <c r="AP528" s="1">
        <f>IF(HR_Data[[#This Row],[PercentSalaryHike]]&lt;=13,1,IF(HR_Data[[#This Row],[PercentSalaryHike]]&lt;=16,2,IF(HR_Data[[#This Row],[PercentSalaryHike]]&lt;=19,3,4)))</f>
        <v>1</v>
      </c>
      <c r="AQ528" s="1" t="str">
        <f>IF(HR_Data[[#This Row],[DistanceFromHome]]&lt;=5,"1 to 5",IF(HR_Data[[#This Row],[DistanceFromHome]]&lt;=10,"6 to 10",IF(HR_Data[[#This Row],[DistanceFromHome]]&lt;=20,"11 to 20","21 to 29")))</f>
        <v>1 to 5</v>
      </c>
      <c r="AR528" s="1">
        <f>IF(HR_Data[[#This Row],[DistanceFromHome]]&lt;=5,1,IF(HR_Data[[#This Row],[DistanceFromHome]]&lt;=10,2,IF(HR_Data[[#This Row],[DistanceFromHome]]&lt;=20,3,4)))</f>
        <v>1</v>
      </c>
      <c r="AS528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528" s="1">
        <f>IF(HR_Data[[#This Row],[TotalWorkingYears]]&lt;=5,1,IF(HR_Data[[#This Row],[TotalWorkingYears]]&lt;=10,2,IF(HR_Data[[#This Row],[TotalWorkingYears]]&lt;=20,3,4)))</f>
        <v>3</v>
      </c>
    </row>
    <row r="529" spans="1:46" x14ac:dyDescent="0.25">
      <c r="A529">
        <v>32</v>
      </c>
      <c r="B529" t="s">
        <v>36</v>
      </c>
      <c r="C529" t="s">
        <v>30</v>
      </c>
      <c r="D529" t="s">
        <v>31</v>
      </c>
      <c r="E529">
        <v>10</v>
      </c>
      <c r="F529">
        <v>3</v>
      </c>
      <c r="G529" t="s">
        <v>52</v>
      </c>
      <c r="H529">
        <v>722</v>
      </c>
      <c r="I529">
        <v>4</v>
      </c>
      <c r="J529" t="s">
        <v>39</v>
      </c>
      <c r="K529">
        <v>3</v>
      </c>
      <c r="L529">
        <v>2</v>
      </c>
      <c r="M529" t="s">
        <v>34</v>
      </c>
      <c r="N529">
        <v>4</v>
      </c>
      <c r="O529" t="s">
        <v>35</v>
      </c>
      <c r="P529">
        <v>5396</v>
      </c>
      <c r="Q529">
        <v>1</v>
      </c>
      <c r="R529" t="s">
        <v>36</v>
      </c>
      <c r="S529">
        <v>12</v>
      </c>
      <c r="T529">
        <v>3</v>
      </c>
      <c r="U529">
        <v>4</v>
      </c>
      <c r="V529">
        <v>0</v>
      </c>
      <c r="W529">
        <v>10</v>
      </c>
      <c r="X529">
        <v>2</v>
      </c>
      <c r="Y529">
        <v>2</v>
      </c>
      <c r="Z529">
        <v>10</v>
      </c>
      <c r="AA529">
        <v>7</v>
      </c>
      <c r="AB529">
        <v>0</v>
      </c>
      <c r="AC529">
        <v>8</v>
      </c>
      <c r="AD529">
        <f>IF(HR_Data[[#This Row],[Attrition]]="Yes",1,0)</f>
        <v>0</v>
      </c>
      <c r="AE529" t="str">
        <f>IF(HR_Data[[#This Row],[Age]]&lt;=25,"18-25",IF(HR_Data[[#This Row],[Age]]&lt;=35,"26-35",IF(HR_Data[[#This Row],[Age]]&lt;=45,"36-45",IF(HR_Data[[#This Row],[Age]]&lt;=55,"46-55","55+"))))</f>
        <v>26-35</v>
      </c>
      <c r="AF529">
        <f>IF(HR_Data[[#This Row],[Age]]&lt;=25,1,IF(HR_Data[[#This Row],[Age]]&lt;=35,2,IF(HR_Data[[#This Row],[Age]]&lt;=45,3,IF(HR_Data[[#This Row],[Age]]&lt;=55,4,5))))</f>
        <v>2</v>
      </c>
      <c r="AG529" s="1" t="str">
        <f>IF(HR_Data[[#This Row],[MonthlyIncome]]&lt;3000,"&lt;3K",IF(HR_Data[[#This Row],[MonthlyIncome]]&lt;6000,"3K-6K",IF(HR_Data[[#This Row],[MonthlyIncome]]&lt;10000,"6K-10K","10K+")))</f>
        <v>3K-6K</v>
      </c>
      <c r="AH529" s="1">
        <f>IF(HR_Data[[#This Row],[MonthlyIncome]]&lt;3000,1,IF(HR_Data[[#This Row],[MonthlyIncome]]&lt;6000,2,IF(HR_Data[[#This Row],[MonthlyIncome]]&lt;10000,3,4)))</f>
        <v>2</v>
      </c>
      <c r="AI529" s="1" t="str">
        <f>IF(HR_Data[[#This Row],[YearsAtCompany]]&lt;=2,"0-2 Yrs",IF(HR_Data[[#This Row],[YearsAtCompany]]&lt;=5,"3-5 Yrs",IF(HR_Data[[#This Row],[YearsAtCompany]]&lt;=10,"6-10 Yrs","10+ Yrs")))</f>
        <v>6-10 Yrs</v>
      </c>
      <c r="AJ529" s="1">
        <f>IF(HR_Data[[#This Row],[YearsAtCompany]]&lt;=2,1,IF(HR_Data[[#This Row],[YearsAtCompany]]&lt;=5,2,IF(HR_Data[[#This Row],[YearsAtCompany]]&lt;=10,3,4)))</f>
        <v>3</v>
      </c>
      <c r="AK529" s="1" t="str">
        <f>CHOOSE(HR_Data[[#This Row],[Education]],"Below College","College","Bachelor","Master","Doctor")</f>
        <v>Bachelor</v>
      </c>
      <c r="AL529" s="1" t="str">
        <f>CHOOSE(HR_Data[[#This Row],[JobSatisfaction]],"Low","Medium","High","Very High")</f>
        <v>Very High</v>
      </c>
      <c r="AM529" s="1" t="str">
        <f>CHOOSE(HR_Data[[#This Row],[EnvironmentSatisfaction]],"Low","Medium","High","Very High")</f>
        <v>Very High</v>
      </c>
      <c r="AN529" s="1" t="str">
        <f>CHOOSE(HR_Data[[#This Row],[WorkLifeBalance]],"Bad","Good","Better","Best")</f>
        <v>Good</v>
      </c>
      <c r="AO529" s="1" t="str">
        <f>IF(HR_Data[[#This Row],[PercentSalaryHike]]&lt;=13,"11-13%",IF(HR_Data[[#This Row],[PercentSalaryHike]]&lt;=16,"14-16%",IF(HR_Data[[#This Row],[PercentSalaryHike]]&lt;=19,"17-19%","20-25%")))</f>
        <v>11-13%</v>
      </c>
      <c r="AP529" s="1">
        <f>IF(HR_Data[[#This Row],[PercentSalaryHike]]&lt;=13,1,IF(HR_Data[[#This Row],[PercentSalaryHike]]&lt;=16,2,IF(HR_Data[[#This Row],[PercentSalaryHike]]&lt;=19,3,4)))</f>
        <v>1</v>
      </c>
      <c r="AQ529" s="1" t="str">
        <f>IF(HR_Data[[#This Row],[DistanceFromHome]]&lt;=5,"1 to 5",IF(HR_Data[[#This Row],[DistanceFromHome]]&lt;=10,"6 to 10",IF(HR_Data[[#This Row],[DistanceFromHome]]&lt;=20,"11 to 20","21 to 29")))</f>
        <v>6 to 10</v>
      </c>
      <c r="AR529" s="1">
        <f>IF(HR_Data[[#This Row],[DistanceFromHome]]&lt;=5,1,IF(HR_Data[[#This Row],[DistanceFromHome]]&lt;=10,2,IF(HR_Data[[#This Row],[DistanceFromHome]]&lt;=20,3,4)))</f>
        <v>2</v>
      </c>
      <c r="AS529" s="1" t="str">
        <f>IF(HR_Data[[#This Row],[TotalWorkingYears]]&lt;=5,"0-5 Yrs",IF(HR_Data[[#This Row],[TotalWorkingYears]]&lt;=10,"6-10 Yrs",IF(HR_Data[[#This Row],[TotalWorkingYears]]&lt;=20,"11-20 Yrs","20+ Yrs")))</f>
        <v>6-10 Yrs</v>
      </c>
      <c r="AT529" s="1">
        <f>IF(HR_Data[[#This Row],[TotalWorkingYears]]&lt;=5,1,IF(HR_Data[[#This Row],[TotalWorkingYears]]&lt;=10,2,IF(HR_Data[[#This Row],[TotalWorkingYears]]&lt;=20,3,4)))</f>
        <v>2</v>
      </c>
    </row>
    <row r="530" spans="1:46" x14ac:dyDescent="0.25">
      <c r="A530">
        <v>50</v>
      </c>
      <c r="B530" t="s">
        <v>29</v>
      </c>
      <c r="C530" t="s">
        <v>37</v>
      </c>
      <c r="D530" t="s">
        <v>31</v>
      </c>
      <c r="E530">
        <v>8</v>
      </c>
      <c r="F530">
        <v>2</v>
      </c>
      <c r="G530" t="s">
        <v>53</v>
      </c>
      <c r="H530">
        <v>723</v>
      </c>
      <c r="I530">
        <v>2</v>
      </c>
      <c r="J530" t="s">
        <v>39</v>
      </c>
      <c r="K530">
        <v>3</v>
      </c>
      <c r="L530">
        <v>2</v>
      </c>
      <c r="M530" t="s">
        <v>34</v>
      </c>
      <c r="N530">
        <v>3</v>
      </c>
      <c r="O530" t="s">
        <v>41</v>
      </c>
      <c r="P530">
        <v>6796</v>
      </c>
      <c r="Q530">
        <v>3</v>
      </c>
      <c r="R530" t="s">
        <v>29</v>
      </c>
      <c r="S530">
        <v>14</v>
      </c>
      <c r="T530">
        <v>3</v>
      </c>
      <c r="U530">
        <v>1</v>
      </c>
      <c r="V530">
        <v>1</v>
      </c>
      <c r="W530">
        <v>18</v>
      </c>
      <c r="X530">
        <v>4</v>
      </c>
      <c r="Y530">
        <v>3</v>
      </c>
      <c r="Z530">
        <v>4</v>
      </c>
      <c r="AA530">
        <v>3</v>
      </c>
      <c r="AB530">
        <v>1</v>
      </c>
      <c r="AC530">
        <v>3</v>
      </c>
      <c r="AD530">
        <f>IF(HR_Data[[#This Row],[Attrition]]="Yes",1,0)</f>
        <v>1</v>
      </c>
      <c r="AE530" t="str">
        <f>IF(HR_Data[[#This Row],[Age]]&lt;=25,"18-25",IF(HR_Data[[#This Row],[Age]]&lt;=35,"26-35",IF(HR_Data[[#This Row],[Age]]&lt;=45,"36-45",IF(HR_Data[[#This Row],[Age]]&lt;=55,"46-55","55+"))))</f>
        <v>46-55</v>
      </c>
      <c r="AF530">
        <f>IF(HR_Data[[#This Row],[Age]]&lt;=25,1,IF(HR_Data[[#This Row],[Age]]&lt;=35,2,IF(HR_Data[[#This Row],[Age]]&lt;=45,3,IF(HR_Data[[#This Row],[Age]]&lt;=55,4,5))))</f>
        <v>4</v>
      </c>
      <c r="AG530" s="1" t="str">
        <f>IF(HR_Data[[#This Row],[MonthlyIncome]]&lt;3000,"&lt;3K",IF(HR_Data[[#This Row],[MonthlyIncome]]&lt;6000,"3K-6K",IF(HR_Data[[#This Row],[MonthlyIncome]]&lt;10000,"6K-10K","10K+")))</f>
        <v>6K-10K</v>
      </c>
      <c r="AH530" s="1">
        <f>IF(HR_Data[[#This Row],[MonthlyIncome]]&lt;3000,1,IF(HR_Data[[#This Row],[MonthlyIncome]]&lt;6000,2,IF(HR_Data[[#This Row],[MonthlyIncome]]&lt;10000,3,4)))</f>
        <v>3</v>
      </c>
      <c r="AI530" s="1" t="str">
        <f>IF(HR_Data[[#This Row],[YearsAtCompany]]&lt;=2,"0-2 Yrs",IF(HR_Data[[#This Row],[YearsAtCompany]]&lt;=5,"3-5 Yrs",IF(HR_Data[[#This Row],[YearsAtCompany]]&lt;=10,"6-10 Yrs","10+ Yrs")))</f>
        <v>3-5 Yrs</v>
      </c>
      <c r="AJ530" s="1">
        <f>IF(HR_Data[[#This Row],[YearsAtCompany]]&lt;=2,1,IF(HR_Data[[#This Row],[YearsAtCompany]]&lt;=5,2,IF(HR_Data[[#This Row],[YearsAtCompany]]&lt;=10,3,4)))</f>
        <v>2</v>
      </c>
      <c r="AK530" s="1" t="str">
        <f>CHOOSE(HR_Data[[#This Row],[Education]],"Below College","College","Bachelor","Master","Doctor")</f>
        <v>College</v>
      </c>
      <c r="AL530" s="1" t="str">
        <f>CHOOSE(HR_Data[[#This Row],[JobSatisfaction]],"Low","Medium","High","Very High")</f>
        <v>High</v>
      </c>
      <c r="AM530" s="1" t="str">
        <f>CHOOSE(HR_Data[[#This Row],[EnvironmentSatisfaction]],"Low","Medium","High","Very High")</f>
        <v>Medium</v>
      </c>
      <c r="AN530" s="1" t="str">
        <f>CHOOSE(HR_Data[[#This Row],[WorkLifeBalance]],"Bad","Good","Better","Best")</f>
        <v>Better</v>
      </c>
      <c r="AO530" s="1" t="str">
        <f>IF(HR_Data[[#This Row],[PercentSalaryHike]]&lt;=13,"11-13%",IF(HR_Data[[#This Row],[PercentSalaryHike]]&lt;=16,"14-16%",IF(HR_Data[[#This Row],[PercentSalaryHike]]&lt;=19,"17-19%","20-25%")))</f>
        <v>14-16%</v>
      </c>
      <c r="AP530" s="1">
        <f>IF(HR_Data[[#This Row],[PercentSalaryHike]]&lt;=13,1,IF(HR_Data[[#This Row],[PercentSalaryHike]]&lt;=16,2,IF(HR_Data[[#This Row],[PercentSalaryHike]]&lt;=19,3,4)))</f>
        <v>2</v>
      </c>
      <c r="AQ530" s="1" t="str">
        <f>IF(HR_Data[[#This Row],[DistanceFromHome]]&lt;=5,"1 to 5",IF(HR_Data[[#This Row],[DistanceFromHome]]&lt;=10,"6 to 10",IF(HR_Data[[#This Row],[DistanceFromHome]]&lt;=20,"11 to 20","21 to 29")))</f>
        <v>6 to 10</v>
      </c>
      <c r="AR530" s="1">
        <f>IF(HR_Data[[#This Row],[DistanceFromHome]]&lt;=5,1,IF(HR_Data[[#This Row],[DistanceFromHome]]&lt;=10,2,IF(HR_Data[[#This Row],[DistanceFromHome]]&lt;=20,3,4)))</f>
        <v>2</v>
      </c>
      <c r="AS530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530" s="1">
        <f>IF(HR_Data[[#This Row],[TotalWorkingYears]]&lt;=5,1,IF(HR_Data[[#This Row],[TotalWorkingYears]]&lt;=10,2,IF(HR_Data[[#This Row],[TotalWorkingYears]]&lt;=20,3,4)))</f>
        <v>3</v>
      </c>
    </row>
    <row r="531" spans="1:46" x14ac:dyDescent="0.25">
      <c r="A531">
        <v>38</v>
      </c>
      <c r="B531" t="s">
        <v>36</v>
      </c>
      <c r="C531" t="s">
        <v>30</v>
      </c>
      <c r="D531" t="s">
        <v>38</v>
      </c>
      <c r="E531">
        <v>1</v>
      </c>
      <c r="F531">
        <v>4</v>
      </c>
      <c r="G531" t="s">
        <v>32</v>
      </c>
      <c r="H531">
        <v>724</v>
      </c>
      <c r="I531">
        <v>2</v>
      </c>
      <c r="J531" t="s">
        <v>33</v>
      </c>
      <c r="K531">
        <v>4</v>
      </c>
      <c r="L531">
        <v>2</v>
      </c>
      <c r="M531" t="s">
        <v>47</v>
      </c>
      <c r="N531">
        <v>4</v>
      </c>
      <c r="O531" t="s">
        <v>35</v>
      </c>
      <c r="P531">
        <v>7625</v>
      </c>
      <c r="Q531">
        <v>0</v>
      </c>
      <c r="R531" t="s">
        <v>36</v>
      </c>
      <c r="S531">
        <v>13</v>
      </c>
      <c r="T531">
        <v>3</v>
      </c>
      <c r="U531">
        <v>3</v>
      </c>
      <c r="V531">
        <v>0</v>
      </c>
      <c r="W531">
        <v>10</v>
      </c>
      <c r="X531">
        <v>4</v>
      </c>
      <c r="Y531">
        <v>2</v>
      </c>
      <c r="Z531">
        <v>9</v>
      </c>
      <c r="AA531">
        <v>7</v>
      </c>
      <c r="AB531">
        <v>1</v>
      </c>
      <c r="AC531">
        <v>8</v>
      </c>
      <c r="AD531">
        <f>IF(HR_Data[[#This Row],[Attrition]]="Yes",1,0)</f>
        <v>0</v>
      </c>
      <c r="AE531" t="str">
        <f>IF(HR_Data[[#This Row],[Age]]&lt;=25,"18-25",IF(HR_Data[[#This Row],[Age]]&lt;=35,"26-35",IF(HR_Data[[#This Row],[Age]]&lt;=45,"36-45",IF(HR_Data[[#This Row],[Age]]&lt;=55,"46-55","55+"))))</f>
        <v>36-45</v>
      </c>
      <c r="AF531">
        <f>IF(HR_Data[[#This Row],[Age]]&lt;=25,1,IF(HR_Data[[#This Row],[Age]]&lt;=35,2,IF(HR_Data[[#This Row],[Age]]&lt;=45,3,IF(HR_Data[[#This Row],[Age]]&lt;=55,4,5))))</f>
        <v>3</v>
      </c>
      <c r="AG531" s="1" t="str">
        <f>IF(HR_Data[[#This Row],[MonthlyIncome]]&lt;3000,"&lt;3K",IF(HR_Data[[#This Row],[MonthlyIncome]]&lt;6000,"3K-6K",IF(HR_Data[[#This Row],[MonthlyIncome]]&lt;10000,"6K-10K","10K+")))</f>
        <v>6K-10K</v>
      </c>
      <c r="AH531" s="1">
        <f>IF(HR_Data[[#This Row],[MonthlyIncome]]&lt;3000,1,IF(HR_Data[[#This Row],[MonthlyIncome]]&lt;6000,2,IF(HR_Data[[#This Row],[MonthlyIncome]]&lt;10000,3,4)))</f>
        <v>3</v>
      </c>
      <c r="AI531" s="1" t="str">
        <f>IF(HR_Data[[#This Row],[YearsAtCompany]]&lt;=2,"0-2 Yrs",IF(HR_Data[[#This Row],[YearsAtCompany]]&lt;=5,"3-5 Yrs",IF(HR_Data[[#This Row],[YearsAtCompany]]&lt;=10,"6-10 Yrs","10+ Yrs")))</f>
        <v>6-10 Yrs</v>
      </c>
      <c r="AJ531" s="1">
        <f>IF(HR_Data[[#This Row],[YearsAtCompany]]&lt;=2,1,IF(HR_Data[[#This Row],[YearsAtCompany]]&lt;=5,2,IF(HR_Data[[#This Row],[YearsAtCompany]]&lt;=10,3,4)))</f>
        <v>3</v>
      </c>
      <c r="AK531" s="1" t="str">
        <f>CHOOSE(HR_Data[[#This Row],[Education]],"Below College","College","Bachelor","Master","Doctor")</f>
        <v>Master</v>
      </c>
      <c r="AL531" s="1" t="str">
        <f>CHOOSE(HR_Data[[#This Row],[JobSatisfaction]],"Low","Medium","High","Very High")</f>
        <v>Very High</v>
      </c>
      <c r="AM531" s="1" t="str">
        <f>CHOOSE(HR_Data[[#This Row],[EnvironmentSatisfaction]],"Low","Medium","High","Very High")</f>
        <v>Medium</v>
      </c>
      <c r="AN531" s="1" t="str">
        <f>CHOOSE(HR_Data[[#This Row],[WorkLifeBalance]],"Bad","Good","Better","Best")</f>
        <v>Good</v>
      </c>
      <c r="AO531" s="1" t="str">
        <f>IF(HR_Data[[#This Row],[PercentSalaryHike]]&lt;=13,"11-13%",IF(HR_Data[[#This Row],[PercentSalaryHike]]&lt;=16,"14-16%",IF(HR_Data[[#This Row],[PercentSalaryHike]]&lt;=19,"17-19%","20-25%")))</f>
        <v>11-13%</v>
      </c>
      <c r="AP531" s="1">
        <f>IF(HR_Data[[#This Row],[PercentSalaryHike]]&lt;=13,1,IF(HR_Data[[#This Row],[PercentSalaryHike]]&lt;=16,2,IF(HR_Data[[#This Row],[PercentSalaryHike]]&lt;=19,3,4)))</f>
        <v>1</v>
      </c>
      <c r="AQ531" s="1" t="str">
        <f>IF(HR_Data[[#This Row],[DistanceFromHome]]&lt;=5,"1 to 5",IF(HR_Data[[#This Row],[DistanceFromHome]]&lt;=10,"6 to 10",IF(HR_Data[[#This Row],[DistanceFromHome]]&lt;=20,"11 to 20","21 to 29")))</f>
        <v>1 to 5</v>
      </c>
      <c r="AR531" s="1">
        <f>IF(HR_Data[[#This Row],[DistanceFromHome]]&lt;=5,1,IF(HR_Data[[#This Row],[DistanceFromHome]]&lt;=10,2,IF(HR_Data[[#This Row],[DistanceFromHome]]&lt;=20,3,4)))</f>
        <v>1</v>
      </c>
      <c r="AS531" s="1" t="str">
        <f>IF(HR_Data[[#This Row],[TotalWorkingYears]]&lt;=5,"0-5 Yrs",IF(HR_Data[[#This Row],[TotalWorkingYears]]&lt;=10,"6-10 Yrs",IF(HR_Data[[#This Row],[TotalWorkingYears]]&lt;=20,"11-20 Yrs","20+ Yrs")))</f>
        <v>6-10 Yrs</v>
      </c>
      <c r="AT531" s="1">
        <f>IF(HR_Data[[#This Row],[TotalWorkingYears]]&lt;=5,1,IF(HR_Data[[#This Row],[TotalWorkingYears]]&lt;=10,2,IF(HR_Data[[#This Row],[TotalWorkingYears]]&lt;=20,3,4)))</f>
        <v>2</v>
      </c>
    </row>
    <row r="532" spans="1:46" x14ac:dyDescent="0.25">
      <c r="A532">
        <v>27</v>
      </c>
      <c r="B532" t="s">
        <v>36</v>
      </c>
      <c r="C532" t="s">
        <v>30</v>
      </c>
      <c r="D532" t="s">
        <v>38</v>
      </c>
      <c r="E532">
        <v>1</v>
      </c>
      <c r="F532">
        <v>2</v>
      </c>
      <c r="G532" t="s">
        <v>32</v>
      </c>
      <c r="H532">
        <v>725</v>
      </c>
      <c r="I532">
        <v>3</v>
      </c>
      <c r="J532" t="s">
        <v>33</v>
      </c>
      <c r="K532">
        <v>3</v>
      </c>
      <c r="L532">
        <v>3</v>
      </c>
      <c r="M532" t="s">
        <v>46</v>
      </c>
      <c r="N532">
        <v>1</v>
      </c>
      <c r="O532" t="s">
        <v>41</v>
      </c>
      <c r="P532">
        <v>7412</v>
      </c>
      <c r="Q532">
        <v>1</v>
      </c>
      <c r="R532" t="s">
        <v>36</v>
      </c>
      <c r="S532">
        <v>11</v>
      </c>
      <c r="T532">
        <v>3</v>
      </c>
      <c r="U532">
        <v>4</v>
      </c>
      <c r="V532">
        <v>0</v>
      </c>
      <c r="W532">
        <v>9</v>
      </c>
      <c r="X532">
        <v>3</v>
      </c>
      <c r="Y532">
        <v>3</v>
      </c>
      <c r="Z532">
        <v>9</v>
      </c>
      <c r="AA532">
        <v>7</v>
      </c>
      <c r="AB532">
        <v>0</v>
      </c>
      <c r="AC532">
        <v>7</v>
      </c>
      <c r="AD532">
        <f>IF(HR_Data[[#This Row],[Attrition]]="Yes",1,0)</f>
        <v>0</v>
      </c>
      <c r="AE532" t="str">
        <f>IF(HR_Data[[#This Row],[Age]]&lt;=25,"18-25",IF(HR_Data[[#This Row],[Age]]&lt;=35,"26-35",IF(HR_Data[[#This Row],[Age]]&lt;=45,"36-45",IF(HR_Data[[#This Row],[Age]]&lt;=55,"46-55","55+"))))</f>
        <v>26-35</v>
      </c>
      <c r="AF532">
        <f>IF(HR_Data[[#This Row],[Age]]&lt;=25,1,IF(HR_Data[[#This Row],[Age]]&lt;=35,2,IF(HR_Data[[#This Row],[Age]]&lt;=45,3,IF(HR_Data[[#This Row],[Age]]&lt;=55,4,5))))</f>
        <v>2</v>
      </c>
      <c r="AG532" s="1" t="str">
        <f>IF(HR_Data[[#This Row],[MonthlyIncome]]&lt;3000,"&lt;3K",IF(HR_Data[[#This Row],[MonthlyIncome]]&lt;6000,"3K-6K",IF(HR_Data[[#This Row],[MonthlyIncome]]&lt;10000,"6K-10K","10K+")))</f>
        <v>6K-10K</v>
      </c>
      <c r="AH532" s="1">
        <f>IF(HR_Data[[#This Row],[MonthlyIncome]]&lt;3000,1,IF(HR_Data[[#This Row],[MonthlyIncome]]&lt;6000,2,IF(HR_Data[[#This Row],[MonthlyIncome]]&lt;10000,3,4)))</f>
        <v>3</v>
      </c>
      <c r="AI532" s="1" t="str">
        <f>IF(HR_Data[[#This Row],[YearsAtCompany]]&lt;=2,"0-2 Yrs",IF(HR_Data[[#This Row],[YearsAtCompany]]&lt;=5,"3-5 Yrs",IF(HR_Data[[#This Row],[YearsAtCompany]]&lt;=10,"6-10 Yrs","10+ Yrs")))</f>
        <v>6-10 Yrs</v>
      </c>
      <c r="AJ532" s="1">
        <f>IF(HR_Data[[#This Row],[YearsAtCompany]]&lt;=2,1,IF(HR_Data[[#This Row],[YearsAtCompany]]&lt;=5,2,IF(HR_Data[[#This Row],[YearsAtCompany]]&lt;=10,3,4)))</f>
        <v>3</v>
      </c>
      <c r="AK532" s="1" t="str">
        <f>CHOOSE(HR_Data[[#This Row],[Education]],"Below College","College","Bachelor","Master","Doctor")</f>
        <v>College</v>
      </c>
      <c r="AL532" s="1" t="str">
        <f>CHOOSE(HR_Data[[#This Row],[JobSatisfaction]],"Low","Medium","High","Very High")</f>
        <v>Low</v>
      </c>
      <c r="AM532" s="1" t="str">
        <f>CHOOSE(HR_Data[[#This Row],[EnvironmentSatisfaction]],"Low","Medium","High","Very High")</f>
        <v>High</v>
      </c>
      <c r="AN532" s="1" t="str">
        <f>CHOOSE(HR_Data[[#This Row],[WorkLifeBalance]],"Bad","Good","Better","Best")</f>
        <v>Better</v>
      </c>
      <c r="AO532" s="1" t="str">
        <f>IF(HR_Data[[#This Row],[PercentSalaryHike]]&lt;=13,"11-13%",IF(HR_Data[[#This Row],[PercentSalaryHike]]&lt;=16,"14-16%",IF(HR_Data[[#This Row],[PercentSalaryHike]]&lt;=19,"17-19%","20-25%")))</f>
        <v>11-13%</v>
      </c>
      <c r="AP532" s="1">
        <f>IF(HR_Data[[#This Row],[PercentSalaryHike]]&lt;=13,1,IF(HR_Data[[#This Row],[PercentSalaryHike]]&lt;=16,2,IF(HR_Data[[#This Row],[PercentSalaryHike]]&lt;=19,3,4)))</f>
        <v>1</v>
      </c>
      <c r="AQ532" s="1" t="str">
        <f>IF(HR_Data[[#This Row],[DistanceFromHome]]&lt;=5,"1 to 5",IF(HR_Data[[#This Row],[DistanceFromHome]]&lt;=10,"6 to 10",IF(HR_Data[[#This Row],[DistanceFromHome]]&lt;=20,"11 to 20","21 to 29")))</f>
        <v>1 to 5</v>
      </c>
      <c r="AR532" s="1">
        <f>IF(HR_Data[[#This Row],[DistanceFromHome]]&lt;=5,1,IF(HR_Data[[#This Row],[DistanceFromHome]]&lt;=10,2,IF(HR_Data[[#This Row],[DistanceFromHome]]&lt;=20,3,4)))</f>
        <v>1</v>
      </c>
      <c r="AS532" s="1" t="str">
        <f>IF(HR_Data[[#This Row],[TotalWorkingYears]]&lt;=5,"0-5 Yrs",IF(HR_Data[[#This Row],[TotalWorkingYears]]&lt;=10,"6-10 Yrs",IF(HR_Data[[#This Row],[TotalWorkingYears]]&lt;=20,"11-20 Yrs","20+ Yrs")))</f>
        <v>6-10 Yrs</v>
      </c>
      <c r="AT532" s="1">
        <f>IF(HR_Data[[#This Row],[TotalWorkingYears]]&lt;=5,1,IF(HR_Data[[#This Row],[TotalWorkingYears]]&lt;=10,2,IF(HR_Data[[#This Row],[TotalWorkingYears]]&lt;=20,3,4)))</f>
        <v>2</v>
      </c>
    </row>
    <row r="533" spans="1:46" x14ac:dyDescent="0.25">
      <c r="A533">
        <v>32</v>
      </c>
      <c r="B533" t="s">
        <v>36</v>
      </c>
      <c r="C533" t="s">
        <v>30</v>
      </c>
      <c r="D533" t="s">
        <v>38</v>
      </c>
      <c r="E533">
        <v>3</v>
      </c>
      <c r="F533">
        <v>2</v>
      </c>
      <c r="G533" t="s">
        <v>32</v>
      </c>
      <c r="H533">
        <v>727</v>
      </c>
      <c r="I533">
        <v>3</v>
      </c>
      <c r="J533" t="s">
        <v>33</v>
      </c>
      <c r="K533">
        <v>3</v>
      </c>
      <c r="L533">
        <v>3</v>
      </c>
      <c r="M533" t="s">
        <v>51</v>
      </c>
      <c r="N533">
        <v>4</v>
      </c>
      <c r="O533" t="s">
        <v>35</v>
      </c>
      <c r="P533">
        <v>11159</v>
      </c>
      <c r="Q533">
        <v>3</v>
      </c>
      <c r="R533" t="s">
        <v>36</v>
      </c>
      <c r="S533">
        <v>15</v>
      </c>
      <c r="T533">
        <v>3</v>
      </c>
      <c r="U533">
        <v>4</v>
      </c>
      <c r="V533">
        <v>0</v>
      </c>
      <c r="W533">
        <v>10</v>
      </c>
      <c r="X533">
        <v>6</v>
      </c>
      <c r="Y533">
        <v>3</v>
      </c>
      <c r="Z533">
        <v>7</v>
      </c>
      <c r="AA533">
        <v>7</v>
      </c>
      <c r="AB533">
        <v>7</v>
      </c>
      <c r="AC533">
        <v>7</v>
      </c>
      <c r="AD533">
        <f>IF(HR_Data[[#This Row],[Attrition]]="Yes",1,0)</f>
        <v>0</v>
      </c>
      <c r="AE533" t="str">
        <f>IF(HR_Data[[#This Row],[Age]]&lt;=25,"18-25",IF(HR_Data[[#This Row],[Age]]&lt;=35,"26-35",IF(HR_Data[[#This Row],[Age]]&lt;=45,"36-45",IF(HR_Data[[#This Row],[Age]]&lt;=55,"46-55","55+"))))</f>
        <v>26-35</v>
      </c>
      <c r="AF533">
        <f>IF(HR_Data[[#This Row],[Age]]&lt;=25,1,IF(HR_Data[[#This Row],[Age]]&lt;=35,2,IF(HR_Data[[#This Row],[Age]]&lt;=45,3,IF(HR_Data[[#This Row],[Age]]&lt;=55,4,5))))</f>
        <v>2</v>
      </c>
      <c r="AG533" s="1" t="str">
        <f>IF(HR_Data[[#This Row],[MonthlyIncome]]&lt;3000,"&lt;3K",IF(HR_Data[[#This Row],[MonthlyIncome]]&lt;6000,"3K-6K",IF(HR_Data[[#This Row],[MonthlyIncome]]&lt;10000,"6K-10K","10K+")))</f>
        <v>10K+</v>
      </c>
      <c r="AH533" s="1">
        <f>IF(HR_Data[[#This Row],[MonthlyIncome]]&lt;3000,1,IF(HR_Data[[#This Row],[MonthlyIncome]]&lt;6000,2,IF(HR_Data[[#This Row],[MonthlyIncome]]&lt;10000,3,4)))</f>
        <v>4</v>
      </c>
      <c r="AI533" s="1" t="str">
        <f>IF(HR_Data[[#This Row],[YearsAtCompany]]&lt;=2,"0-2 Yrs",IF(HR_Data[[#This Row],[YearsAtCompany]]&lt;=5,"3-5 Yrs",IF(HR_Data[[#This Row],[YearsAtCompany]]&lt;=10,"6-10 Yrs","10+ Yrs")))</f>
        <v>6-10 Yrs</v>
      </c>
      <c r="AJ533" s="1">
        <f>IF(HR_Data[[#This Row],[YearsAtCompany]]&lt;=2,1,IF(HR_Data[[#This Row],[YearsAtCompany]]&lt;=5,2,IF(HR_Data[[#This Row],[YearsAtCompany]]&lt;=10,3,4)))</f>
        <v>3</v>
      </c>
      <c r="AK533" s="1" t="str">
        <f>CHOOSE(HR_Data[[#This Row],[Education]],"Below College","College","Bachelor","Master","Doctor")</f>
        <v>College</v>
      </c>
      <c r="AL533" s="1" t="str">
        <f>CHOOSE(HR_Data[[#This Row],[JobSatisfaction]],"Low","Medium","High","Very High")</f>
        <v>Very High</v>
      </c>
      <c r="AM533" s="1" t="str">
        <f>CHOOSE(HR_Data[[#This Row],[EnvironmentSatisfaction]],"Low","Medium","High","Very High")</f>
        <v>High</v>
      </c>
      <c r="AN533" s="1" t="str">
        <f>CHOOSE(HR_Data[[#This Row],[WorkLifeBalance]],"Bad","Good","Better","Best")</f>
        <v>Better</v>
      </c>
      <c r="AO533" s="1" t="str">
        <f>IF(HR_Data[[#This Row],[PercentSalaryHike]]&lt;=13,"11-13%",IF(HR_Data[[#This Row],[PercentSalaryHike]]&lt;=16,"14-16%",IF(HR_Data[[#This Row],[PercentSalaryHike]]&lt;=19,"17-19%","20-25%")))</f>
        <v>14-16%</v>
      </c>
      <c r="AP533" s="1">
        <f>IF(HR_Data[[#This Row],[PercentSalaryHike]]&lt;=13,1,IF(HR_Data[[#This Row],[PercentSalaryHike]]&lt;=16,2,IF(HR_Data[[#This Row],[PercentSalaryHike]]&lt;=19,3,4)))</f>
        <v>2</v>
      </c>
      <c r="AQ533" s="1" t="str">
        <f>IF(HR_Data[[#This Row],[DistanceFromHome]]&lt;=5,"1 to 5",IF(HR_Data[[#This Row],[DistanceFromHome]]&lt;=10,"6 to 10",IF(HR_Data[[#This Row],[DistanceFromHome]]&lt;=20,"11 to 20","21 to 29")))</f>
        <v>1 to 5</v>
      </c>
      <c r="AR533" s="1">
        <f>IF(HR_Data[[#This Row],[DistanceFromHome]]&lt;=5,1,IF(HR_Data[[#This Row],[DistanceFromHome]]&lt;=10,2,IF(HR_Data[[#This Row],[DistanceFromHome]]&lt;=20,3,4)))</f>
        <v>1</v>
      </c>
      <c r="AS533" s="1" t="str">
        <f>IF(HR_Data[[#This Row],[TotalWorkingYears]]&lt;=5,"0-5 Yrs",IF(HR_Data[[#This Row],[TotalWorkingYears]]&lt;=10,"6-10 Yrs",IF(HR_Data[[#This Row],[TotalWorkingYears]]&lt;=20,"11-20 Yrs","20+ Yrs")))</f>
        <v>6-10 Yrs</v>
      </c>
      <c r="AT533" s="1">
        <f>IF(HR_Data[[#This Row],[TotalWorkingYears]]&lt;=5,1,IF(HR_Data[[#This Row],[TotalWorkingYears]]&lt;=10,2,IF(HR_Data[[#This Row],[TotalWorkingYears]]&lt;=20,3,4)))</f>
        <v>2</v>
      </c>
    </row>
    <row r="534" spans="1:46" x14ac:dyDescent="0.25">
      <c r="A534">
        <v>47</v>
      </c>
      <c r="B534" t="s">
        <v>36</v>
      </c>
      <c r="C534" t="s">
        <v>30</v>
      </c>
      <c r="D534" t="s">
        <v>31</v>
      </c>
      <c r="E534">
        <v>14</v>
      </c>
      <c r="F534">
        <v>4</v>
      </c>
      <c r="G534" t="s">
        <v>52</v>
      </c>
      <c r="H534">
        <v>728</v>
      </c>
      <c r="I534">
        <v>4</v>
      </c>
      <c r="J534" t="s">
        <v>39</v>
      </c>
      <c r="K534">
        <v>3</v>
      </c>
      <c r="L534">
        <v>2</v>
      </c>
      <c r="M534" t="s">
        <v>34</v>
      </c>
      <c r="N534">
        <v>1</v>
      </c>
      <c r="O534" t="s">
        <v>35</v>
      </c>
      <c r="P534">
        <v>4960</v>
      </c>
      <c r="Q534">
        <v>2</v>
      </c>
      <c r="R534" t="s">
        <v>36</v>
      </c>
      <c r="S534">
        <v>12</v>
      </c>
      <c r="T534">
        <v>3</v>
      </c>
      <c r="U534">
        <v>4</v>
      </c>
      <c r="V534">
        <v>0</v>
      </c>
      <c r="W534">
        <v>20</v>
      </c>
      <c r="X534">
        <v>2</v>
      </c>
      <c r="Y534">
        <v>3</v>
      </c>
      <c r="Z534">
        <v>7</v>
      </c>
      <c r="AA534">
        <v>7</v>
      </c>
      <c r="AB534">
        <v>1</v>
      </c>
      <c r="AC534">
        <v>7</v>
      </c>
      <c r="AD534">
        <f>IF(HR_Data[[#This Row],[Attrition]]="Yes",1,0)</f>
        <v>0</v>
      </c>
      <c r="AE534" t="str">
        <f>IF(HR_Data[[#This Row],[Age]]&lt;=25,"18-25",IF(HR_Data[[#This Row],[Age]]&lt;=35,"26-35",IF(HR_Data[[#This Row],[Age]]&lt;=45,"36-45",IF(HR_Data[[#This Row],[Age]]&lt;=55,"46-55","55+"))))</f>
        <v>46-55</v>
      </c>
      <c r="AF534">
        <f>IF(HR_Data[[#This Row],[Age]]&lt;=25,1,IF(HR_Data[[#This Row],[Age]]&lt;=35,2,IF(HR_Data[[#This Row],[Age]]&lt;=45,3,IF(HR_Data[[#This Row],[Age]]&lt;=55,4,5))))</f>
        <v>4</v>
      </c>
      <c r="AG534" s="1" t="str">
        <f>IF(HR_Data[[#This Row],[MonthlyIncome]]&lt;3000,"&lt;3K",IF(HR_Data[[#This Row],[MonthlyIncome]]&lt;6000,"3K-6K",IF(HR_Data[[#This Row],[MonthlyIncome]]&lt;10000,"6K-10K","10K+")))</f>
        <v>3K-6K</v>
      </c>
      <c r="AH534" s="1">
        <f>IF(HR_Data[[#This Row],[MonthlyIncome]]&lt;3000,1,IF(HR_Data[[#This Row],[MonthlyIncome]]&lt;6000,2,IF(HR_Data[[#This Row],[MonthlyIncome]]&lt;10000,3,4)))</f>
        <v>2</v>
      </c>
      <c r="AI534" s="1" t="str">
        <f>IF(HR_Data[[#This Row],[YearsAtCompany]]&lt;=2,"0-2 Yrs",IF(HR_Data[[#This Row],[YearsAtCompany]]&lt;=5,"3-5 Yrs",IF(HR_Data[[#This Row],[YearsAtCompany]]&lt;=10,"6-10 Yrs","10+ Yrs")))</f>
        <v>6-10 Yrs</v>
      </c>
      <c r="AJ534" s="1">
        <f>IF(HR_Data[[#This Row],[YearsAtCompany]]&lt;=2,1,IF(HR_Data[[#This Row],[YearsAtCompany]]&lt;=5,2,IF(HR_Data[[#This Row],[YearsAtCompany]]&lt;=10,3,4)))</f>
        <v>3</v>
      </c>
      <c r="AK534" s="1" t="str">
        <f>CHOOSE(HR_Data[[#This Row],[Education]],"Below College","College","Bachelor","Master","Doctor")</f>
        <v>Master</v>
      </c>
      <c r="AL534" s="1" t="str">
        <f>CHOOSE(HR_Data[[#This Row],[JobSatisfaction]],"Low","Medium","High","Very High")</f>
        <v>Low</v>
      </c>
      <c r="AM534" s="1" t="str">
        <f>CHOOSE(HR_Data[[#This Row],[EnvironmentSatisfaction]],"Low","Medium","High","Very High")</f>
        <v>Very High</v>
      </c>
      <c r="AN534" s="1" t="str">
        <f>CHOOSE(HR_Data[[#This Row],[WorkLifeBalance]],"Bad","Good","Better","Best")</f>
        <v>Better</v>
      </c>
      <c r="AO534" s="1" t="str">
        <f>IF(HR_Data[[#This Row],[PercentSalaryHike]]&lt;=13,"11-13%",IF(HR_Data[[#This Row],[PercentSalaryHike]]&lt;=16,"14-16%",IF(HR_Data[[#This Row],[PercentSalaryHike]]&lt;=19,"17-19%","20-25%")))</f>
        <v>11-13%</v>
      </c>
      <c r="AP534" s="1">
        <f>IF(HR_Data[[#This Row],[PercentSalaryHike]]&lt;=13,1,IF(HR_Data[[#This Row],[PercentSalaryHike]]&lt;=16,2,IF(HR_Data[[#This Row],[PercentSalaryHike]]&lt;=19,3,4)))</f>
        <v>1</v>
      </c>
      <c r="AQ534" s="1" t="str">
        <f>IF(HR_Data[[#This Row],[DistanceFromHome]]&lt;=5,"1 to 5",IF(HR_Data[[#This Row],[DistanceFromHome]]&lt;=10,"6 to 10",IF(HR_Data[[#This Row],[DistanceFromHome]]&lt;=20,"11 to 20","21 to 29")))</f>
        <v>11 to 20</v>
      </c>
      <c r="AR534" s="1">
        <f>IF(HR_Data[[#This Row],[DistanceFromHome]]&lt;=5,1,IF(HR_Data[[#This Row],[DistanceFromHome]]&lt;=10,2,IF(HR_Data[[#This Row],[DistanceFromHome]]&lt;=20,3,4)))</f>
        <v>3</v>
      </c>
      <c r="AS534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534" s="1">
        <f>IF(HR_Data[[#This Row],[TotalWorkingYears]]&lt;=5,1,IF(HR_Data[[#This Row],[TotalWorkingYears]]&lt;=10,2,IF(HR_Data[[#This Row],[TotalWorkingYears]]&lt;=20,3,4)))</f>
        <v>3</v>
      </c>
    </row>
    <row r="535" spans="1:46" x14ac:dyDescent="0.25">
      <c r="A535">
        <v>40</v>
      </c>
      <c r="B535" t="s">
        <v>36</v>
      </c>
      <c r="C535" t="s">
        <v>37</v>
      </c>
      <c r="D535" t="s">
        <v>31</v>
      </c>
      <c r="E535">
        <v>5</v>
      </c>
      <c r="F535">
        <v>4</v>
      </c>
      <c r="G535" t="s">
        <v>32</v>
      </c>
      <c r="H535">
        <v>729</v>
      </c>
      <c r="I535">
        <v>4</v>
      </c>
      <c r="J535" t="s">
        <v>39</v>
      </c>
      <c r="K535">
        <v>2</v>
      </c>
      <c r="L535">
        <v>3</v>
      </c>
      <c r="M535" t="s">
        <v>34</v>
      </c>
      <c r="N535">
        <v>1</v>
      </c>
      <c r="O535" t="s">
        <v>41</v>
      </c>
      <c r="P535">
        <v>10475</v>
      </c>
      <c r="Q535">
        <v>5</v>
      </c>
      <c r="R535" t="s">
        <v>29</v>
      </c>
      <c r="S535">
        <v>21</v>
      </c>
      <c r="T535">
        <v>4</v>
      </c>
      <c r="U535">
        <v>3</v>
      </c>
      <c r="V535">
        <v>1</v>
      </c>
      <c r="W535">
        <v>20</v>
      </c>
      <c r="X535">
        <v>2</v>
      </c>
      <c r="Y535">
        <v>3</v>
      </c>
      <c r="Z535">
        <v>18</v>
      </c>
      <c r="AA535">
        <v>13</v>
      </c>
      <c r="AB535">
        <v>1</v>
      </c>
      <c r="AC535">
        <v>12</v>
      </c>
      <c r="AD535">
        <f>IF(HR_Data[[#This Row],[Attrition]]="Yes",1,0)</f>
        <v>0</v>
      </c>
      <c r="AE535" t="str">
        <f>IF(HR_Data[[#This Row],[Age]]&lt;=25,"18-25",IF(HR_Data[[#This Row],[Age]]&lt;=35,"26-35",IF(HR_Data[[#This Row],[Age]]&lt;=45,"36-45",IF(HR_Data[[#This Row],[Age]]&lt;=55,"46-55","55+"))))</f>
        <v>36-45</v>
      </c>
      <c r="AF535">
        <f>IF(HR_Data[[#This Row],[Age]]&lt;=25,1,IF(HR_Data[[#This Row],[Age]]&lt;=35,2,IF(HR_Data[[#This Row],[Age]]&lt;=45,3,IF(HR_Data[[#This Row],[Age]]&lt;=55,4,5))))</f>
        <v>3</v>
      </c>
      <c r="AG535" s="1" t="str">
        <f>IF(HR_Data[[#This Row],[MonthlyIncome]]&lt;3000,"&lt;3K",IF(HR_Data[[#This Row],[MonthlyIncome]]&lt;6000,"3K-6K",IF(HR_Data[[#This Row],[MonthlyIncome]]&lt;10000,"6K-10K","10K+")))</f>
        <v>10K+</v>
      </c>
      <c r="AH535" s="1">
        <f>IF(HR_Data[[#This Row],[MonthlyIncome]]&lt;3000,1,IF(HR_Data[[#This Row],[MonthlyIncome]]&lt;6000,2,IF(HR_Data[[#This Row],[MonthlyIncome]]&lt;10000,3,4)))</f>
        <v>4</v>
      </c>
      <c r="AI535" s="1" t="str">
        <f>IF(HR_Data[[#This Row],[YearsAtCompany]]&lt;=2,"0-2 Yrs",IF(HR_Data[[#This Row],[YearsAtCompany]]&lt;=5,"3-5 Yrs",IF(HR_Data[[#This Row],[YearsAtCompany]]&lt;=10,"6-10 Yrs","10+ Yrs")))</f>
        <v>10+ Yrs</v>
      </c>
      <c r="AJ535" s="1">
        <f>IF(HR_Data[[#This Row],[YearsAtCompany]]&lt;=2,1,IF(HR_Data[[#This Row],[YearsAtCompany]]&lt;=5,2,IF(HR_Data[[#This Row],[YearsAtCompany]]&lt;=10,3,4)))</f>
        <v>4</v>
      </c>
      <c r="AK535" s="1" t="str">
        <f>CHOOSE(HR_Data[[#This Row],[Education]],"Below College","College","Bachelor","Master","Doctor")</f>
        <v>Master</v>
      </c>
      <c r="AL535" s="1" t="str">
        <f>CHOOSE(HR_Data[[#This Row],[JobSatisfaction]],"Low","Medium","High","Very High")</f>
        <v>Low</v>
      </c>
      <c r="AM535" s="1" t="str">
        <f>CHOOSE(HR_Data[[#This Row],[EnvironmentSatisfaction]],"Low","Medium","High","Very High")</f>
        <v>Very High</v>
      </c>
      <c r="AN535" s="1" t="str">
        <f>CHOOSE(HR_Data[[#This Row],[WorkLifeBalance]],"Bad","Good","Better","Best")</f>
        <v>Better</v>
      </c>
      <c r="AO535" s="1" t="str">
        <f>IF(HR_Data[[#This Row],[PercentSalaryHike]]&lt;=13,"11-13%",IF(HR_Data[[#This Row],[PercentSalaryHike]]&lt;=16,"14-16%",IF(HR_Data[[#This Row],[PercentSalaryHike]]&lt;=19,"17-19%","20-25%")))</f>
        <v>20-25%</v>
      </c>
      <c r="AP535" s="1">
        <f>IF(HR_Data[[#This Row],[PercentSalaryHike]]&lt;=13,1,IF(HR_Data[[#This Row],[PercentSalaryHike]]&lt;=16,2,IF(HR_Data[[#This Row],[PercentSalaryHike]]&lt;=19,3,4)))</f>
        <v>4</v>
      </c>
      <c r="AQ535" s="1" t="str">
        <f>IF(HR_Data[[#This Row],[DistanceFromHome]]&lt;=5,"1 to 5",IF(HR_Data[[#This Row],[DistanceFromHome]]&lt;=10,"6 to 10",IF(HR_Data[[#This Row],[DistanceFromHome]]&lt;=20,"11 to 20","21 to 29")))</f>
        <v>1 to 5</v>
      </c>
      <c r="AR535" s="1">
        <f>IF(HR_Data[[#This Row],[DistanceFromHome]]&lt;=5,1,IF(HR_Data[[#This Row],[DistanceFromHome]]&lt;=10,2,IF(HR_Data[[#This Row],[DistanceFromHome]]&lt;=20,3,4)))</f>
        <v>1</v>
      </c>
      <c r="AS535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535" s="1">
        <f>IF(HR_Data[[#This Row],[TotalWorkingYears]]&lt;=5,1,IF(HR_Data[[#This Row],[TotalWorkingYears]]&lt;=10,2,IF(HR_Data[[#This Row],[TotalWorkingYears]]&lt;=20,3,4)))</f>
        <v>3</v>
      </c>
    </row>
    <row r="536" spans="1:46" x14ac:dyDescent="0.25">
      <c r="A536">
        <v>53</v>
      </c>
      <c r="B536" t="s">
        <v>36</v>
      </c>
      <c r="C536" t="s">
        <v>30</v>
      </c>
      <c r="D536" t="s">
        <v>38</v>
      </c>
      <c r="E536">
        <v>7</v>
      </c>
      <c r="F536">
        <v>3</v>
      </c>
      <c r="G536" t="s">
        <v>32</v>
      </c>
      <c r="H536">
        <v>730</v>
      </c>
      <c r="I536">
        <v>3</v>
      </c>
      <c r="J536" t="s">
        <v>39</v>
      </c>
      <c r="K536">
        <v>4</v>
      </c>
      <c r="L536">
        <v>4</v>
      </c>
      <c r="M536" t="s">
        <v>51</v>
      </c>
      <c r="N536">
        <v>3</v>
      </c>
      <c r="O536" t="s">
        <v>41</v>
      </c>
      <c r="P536">
        <v>14814</v>
      </c>
      <c r="Q536">
        <v>3</v>
      </c>
      <c r="R536" t="s">
        <v>36</v>
      </c>
      <c r="S536">
        <v>19</v>
      </c>
      <c r="T536">
        <v>3</v>
      </c>
      <c r="U536">
        <v>3</v>
      </c>
      <c r="V536">
        <v>0</v>
      </c>
      <c r="W536">
        <v>32</v>
      </c>
      <c r="X536">
        <v>3</v>
      </c>
      <c r="Y536">
        <v>3</v>
      </c>
      <c r="Z536">
        <v>5</v>
      </c>
      <c r="AA536">
        <v>1</v>
      </c>
      <c r="AB536">
        <v>1</v>
      </c>
      <c r="AC536">
        <v>3</v>
      </c>
      <c r="AD536">
        <f>IF(HR_Data[[#This Row],[Attrition]]="Yes",1,0)</f>
        <v>0</v>
      </c>
      <c r="AE536" t="str">
        <f>IF(HR_Data[[#This Row],[Age]]&lt;=25,"18-25",IF(HR_Data[[#This Row],[Age]]&lt;=35,"26-35",IF(HR_Data[[#This Row],[Age]]&lt;=45,"36-45",IF(HR_Data[[#This Row],[Age]]&lt;=55,"46-55","55+"))))</f>
        <v>46-55</v>
      </c>
      <c r="AF536">
        <f>IF(HR_Data[[#This Row],[Age]]&lt;=25,1,IF(HR_Data[[#This Row],[Age]]&lt;=35,2,IF(HR_Data[[#This Row],[Age]]&lt;=45,3,IF(HR_Data[[#This Row],[Age]]&lt;=55,4,5))))</f>
        <v>4</v>
      </c>
      <c r="AG536" s="1" t="str">
        <f>IF(HR_Data[[#This Row],[MonthlyIncome]]&lt;3000,"&lt;3K",IF(HR_Data[[#This Row],[MonthlyIncome]]&lt;6000,"3K-6K",IF(HR_Data[[#This Row],[MonthlyIncome]]&lt;10000,"6K-10K","10K+")))</f>
        <v>10K+</v>
      </c>
      <c r="AH536" s="1">
        <f>IF(HR_Data[[#This Row],[MonthlyIncome]]&lt;3000,1,IF(HR_Data[[#This Row],[MonthlyIncome]]&lt;6000,2,IF(HR_Data[[#This Row],[MonthlyIncome]]&lt;10000,3,4)))</f>
        <v>4</v>
      </c>
      <c r="AI536" s="1" t="str">
        <f>IF(HR_Data[[#This Row],[YearsAtCompany]]&lt;=2,"0-2 Yrs",IF(HR_Data[[#This Row],[YearsAtCompany]]&lt;=5,"3-5 Yrs",IF(HR_Data[[#This Row],[YearsAtCompany]]&lt;=10,"6-10 Yrs","10+ Yrs")))</f>
        <v>3-5 Yrs</v>
      </c>
      <c r="AJ536" s="1">
        <f>IF(HR_Data[[#This Row],[YearsAtCompany]]&lt;=2,1,IF(HR_Data[[#This Row],[YearsAtCompany]]&lt;=5,2,IF(HR_Data[[#This Row],[YearsAtCompany]]&lt;=10,3,4)))</f>
        <v>2</v>
      </c>
      <c r="AK536" s="1" t="str">
        <f>CHOOSE(HR_Data[[#This Row],[Education]],"Below College","College","Bachelor","Master","Doctor")</f>
        <v>Bachelor</v>
      </c>
      <c r="AL536" s="1" t="str">
        <f>CHOOSE(HR_Data[[#This Row],[JobSatisfaction]],"Low","Medium","High","Very High")</f>
        <v>High</v>
      </c>
      <c r="AM536" s="1" t="str">
        <f>CHOOSE(HR_Data[[#This Row],[EnvironmentSatisfaction]],"Low","Medium","High","Very High")</f>
        <v>High</v>
      </c>
      <c r="AN536" s="1" t="str">
        <f>CHOOSE(HR_Data[[#This Row],[WorkLifeBalance]],"Bad","Good","Better","Best")</f>
        <v>Better</v>
      </c>
      <c r="AO536" s="1" t="str">
        <f>IF(HR_Data[[#This Row],[PercentSalaryHike]]&lt;=13,"11-13%",IF(HR_Data[[#This Row],[PercentSalaryHike]]&lt;=16,"14-16%",IF(HR_Data[[#This Row],[PercentSalaryHike]]&lt;=19,"17-19%","20-25%")))</f>
        <v>17-19%</v>
      </c>
      <c r="AP536" s="1">
        <f>IF(HR_Data[[#This Row],[PercentSalaryHike]]&lt;=13,1,IF(HR_Data[[#This Row],[PercentSalaryHike]]&lt;=16,2,IF(HR_Data[[#This Row],[PercentSalaryHike]]&lt;=19,3,4)))</f>
        <v>3</v>
      </c>
      <c r="AQ536" s="1" t="str">
        <f>IF(HR_Data[[#This Row],[DistanceFromHome]]&lt;=5,"1 to 5",IF(HR_Data[[#This Row],[DistanceFromHome]]&lt;=10,"6 to 10",IF(HR_Data[[#This Row],[DistanceFromHome]]&lt;=20,"11 to 20","21 to 29")))</f>
        <v>6 to 10</v>
      </c>
      <c r="AR536" s="1">
        <f>IF(HR_Data[[#This Row],[DistanceFromHome]]&lt;=5,1,IF(HR_Data[[#This Row],[DistanceFromHome]]&lt;=10,2,IF(HR_Data[[#This Row],[DistanceFromHome]]&lt;=20,3,4)))</f>
        <v>2</v>
      </c>
      <c r="AS536" s="1" t="str">
        <f>IF(HR_Data[[#This Row],[TotalWorkingYears]]&lt;=5,"0-5 Yrs",IF(HR_Data[[#This Row],[TotalWorkingYears]]&lt;=10,"6-10 Yrs",IF(HR_Data[[#This Row],[TotalWorkingYears]]&lt;=20,"11-20 Yrs","20+ Yrs")))</f>
        <v>20+ Yrs</v>
      </c>
      <c r="AT536" s="1">
        <f>IF(HR_Data[[#This Row],[TotalWorkingYears]]&lt;=5,1,IF(HR_Data[[#This Row],[TotalWorkingYears]]&lt;=10,2,IF(HR_Data[[#This Row],[TotalWorkingYears]]&lt;=20,3,4)))</f>
        <v>4</v>
      </c>
    </row>
    <row r="537" spans="1:46" x14ac:dyDescent="0.25">
      <c r="A537">
        <v>41</v>
      </c>
      <c r="B537" t="s">
        <v>36</v>
      </c>
      <c r="C537" t="s">
        <v>30</v>
      </c>
      <c r="D537" t="s">
        <v>54</v>
      </c>
      <c r="E537">
        <v>10</v>
      </c>
      <c r="F537">
        <v>4</v>
      </c>
      <c r="G537" t="s">
        <v>54</v>
      </c>
      <c r="H537">
        <v>731</v>
      </c>
      <c r="I537">
        <v>2</v>
      </c>
      <c r="J537" t="s">
        <v>39</v>
      </c>
      <c r="K537">
        <v>2</v>
      </c>
      <c r="L537">
        <v>5</v>
      </c>
      <c r="M537" t="s">
        <v>49</v>
      </c>
      <c r="N537">
        <v>4</v>
      </c>
      <c r="O537" t="s">
        <v>45</v>
      </c>
      <c r="P537">
        <v>19141</v>
      </c>
      <c r="Q537">
        <v>3</v>
      </c>
      <c r="R537" t="s">
        <v>36</v>
      </c>
      <c r="S537">
        <v>15</v>
      </c>
      <c r="T537">
        <v>3</v>
      </c>
      <c r="U537">
        <v>2</v>
      </c>
      <c r="V537">
        <v>3</v>
      </c>
      <c r="W537">
        <v>23</v>
      </c>
      <c r="X537">
        <v>2</v>
      </c>
      <c r="Y537">
        <v>2</v>
      </c>
      <c r="Z537">
        <v>21</v>
      </c>
      <c r="AA537">
        <v>6</v>
      </c>
      <c r="AB537">
        <v>12</v>
      </c>
      <c r="AC537">
        <v>6</v>
      </c>
      <c r="AD537">
        <f>IF(HR_Data[[#This Row],[Attrition]]="Yes",1,0)</f>
        <v>0</v>
      </c>
      <c r="AE537" t="str">
        <f>IF(HR_Data[[#This Row],[Age]]&lt;=25,"18-25",IF(HR_Data[[#This Row],[Age]]&lt;=35,"26-35",IF(HR_Data[[#This Row],[Age]]&lt;=45,"36-45",IF(HR_Data[[#This Row],[Age]]&lt;=55,"46-55","55+"))))</f>
        <v>36-45</v>
      </c>
      <c r="AF537">
        <f>IF(HR_Data[[#This Row],[Age]]&lt;=25,1,IF(HR_Data[[#This Row],[Age]]&lt;=35,2,IF(HR_Data[[#This Row],[Age]]&lt;=45,3,IF(HR_Data[[#This Row],[Age]]&lt;=55,4,5))))</f>
        <v>3</v>
      </c>
      <c r="AG537" s="1" t="str">
        <f>IF(HR_Data[[#This Row],[MonthlyIncome]]&lt;3000,"&lt;3K",IF(HR_Data[[#This Row],[MonthlyIncome]]&lt;6000,"3K-6K",IF(HR_Data[[#This Row],[MonthlyIncome]]&lt;10000,"6K-10K","10K+")))</f>
        <v>10K+</v>
      </c>
      <c r="AH537" s="1">
        <f>IF(HR_Data[[#This Row],[MonthlyIncome]]&lt;3000,1,IF(HR_Data[[#This Row],[MonthlyIncome]]&lt;6000,2,IF(HR_Data[[#This Row],[MonthlyIncome]]&lt;10000,3,4)))</f>
        <v>4</v>
      </c>
      <c r="AI537" s="1" t="str">
        <f>IF(HR_Data[[#This Row],[YearsAtCompany]]&lt;=2,"0-2 Yrs",IF(HR_Data[[#This Row],[YearsAtCompany]]&lt;=5,"3-5 Yrs",IF(HR_Data[[#This Row],[YearsAtCompany]]&lt;=10,"6-10 Yrs","10+ Yrs")))</f>
        <v>10+ Yrs</v>
      </c>
      <c r="AJ537" s="1">
        <f>IF(HR_Data[[#This Row],[YearsAtCompany]]&lt;=2,1,IF(HR_Data[[#This Row],[YearsAtCompany]]&lt;=5,2,IF(HR_Data[[#This Row],[YearsAtCompany]]&lt;=10,3,4)))</f>
        <v>4</v>
      </c>
      <c r="AK537" s="1" t="str">
        <f>CHOOSE(HR_Data[[#This Row],[Education]],"Below College","College","Bachelor","Master","Doctor")</f>
        <v>Master</v>
      </c>
      <c r="AL537" s="1" t="str">
        <f>CHOOSE(HR_Data[[#This Row],[JobSatisfaction]],"Low","Medium","High","Very High")</f>
        <v>Very High</v>
      </c>
      <c r="AM537" s="1" t="str">
        <f>CHOOSE(HR_Data[[#This Row],[EnvironmentSatisfaction]],"Low","Medium","High","Very High")</f>
        <v>Medium</v>
      </c>
      <c r="AN537" s="1" t="str">
        <f>CHOOSE(HR_Data[[#This Row],[WorkLifeBalance]],"Bad","Good","Better","Best")</f>
        <v>Good</v>
      </c>
      <c r="AO537" s="1" t="str">
        <f>IF(HR_Data[[#This Row],[PercentSalaryHike]]&lt;=13,"11-13%",IF(HR_Data[[#This Row],[PercentSalaryHike]]&lt;=16,"14-16%",IF(HR_Data[[#This Row],[PercentSalaryHike]]&lt;=19,"17-19%","20-25%")))</f>
        <v>14-16%</v>
      </c>
      <c r="AP537" s="1">
        <f>IF(HR_Data[[#This Row],[PercentSalaryHike]]&lt;=13,1,IF(HR_Data[[#This Row],[PercentSalaryHike]]&lt;=16,2,IF(HR_Data[[#This Row],[PercentSalaryHike]]&lt;=19,3,4)))</f>
        <v>2</v>
      </c>
      <c r="AQ537" s="1" t="str">
        <f>IF(HR_Data[[#This Row],[DistanceFromHome]]&lt;=5,"1 to 5",IF(HR_Data[[#This Row],[DistanceFromHome]]&lt;=10,"6 to 10",IF(HR_Data[[#This Row],[DistanceFromHome]]&lt;=20,"11 to 20","21 to 29")))</f>
        <v>6 to 10</v>
      </c>
      <c r="AR537" s="1">
        <f>IF(HR_Data[[#This Row],[DistanceFromHome]]&lt;=5,1,IF(HR_Data[[#This Row],[DistanceFromHome]]&lt;=10,2,IF(HR_Data[[#This Row],[DistanceFromHome]]&lt;=20,3,4)))</f>
        <v>2</v>
      </c>
      <c r="AS537" s="1" t="str">
        <f>IF(HR_Data[[#This Row],[TotalWorkingYears]]&lt;=5,"0-5 Yrs",IF(HR_Data[[#This Row],[TotalWorkingYears]]&lt;=10,"6-10 Yrs",IF(HR_Data[[#This Row],[TotalWorkingYears]]&lt;=20,"11-20 Yrs","20+ Yrs")))</f>
        <v>20+ Yrs</v>
      </c>
      <c r="AT537" s="1">
        <f>IF(HR_Data[[#This Row],[TotalWorkingYears]]&lt;=5,1,IF(HR_Data[[#This Row],[TotalWorkingYears]]&lt;=10,2,IF(HR_Data[[#This Row],[TotalWorkingYears]]&lt;=20,3,4)))</f>
        <v>4</v>
      </c>
    </row>
    <row r="538" spans="1:46" x14ac:dyDescent="0.25">
      <c r="A538">
        <v>60</v>
      </c>
      <c r="B538" t="s">
        <v>36</v>
      </c>
      <c r="C538" t="s">
        <v>30</v>
      </c>
      <c r="D538" t="s">
        <v>31</v>
      </c>
      <c r="E538">
        <v>16</v>
      </c>
      <c r="F538">
        <v>4</v>
      </c>
      <c r="G538" t="s">
        <v>52</v>
      </c>
      <c r="H538">
        <v>732</v>
      </c>
      <c r="I538">
        <v>1</v>
      </c>
      <c r="J538" t="s">
        <v>39</v>
      </c>
      <c r="K538">
        <v>3</v>
      </c>
      <c r="L538">
        <v>2</v>
      </c>
      <c r="M538" t="s">
        <v>34</v>
      </c>
      <c r="N538">
        <v>1</v>
      </c>
      <c r="O538" t="s">
        <v>35</v>
      </c>
      <c r="P538">
        <v>5405</v>
      </c>
      <c r="Q538">
        <v>8</v>
      </c>
      <c r="R538" t="s">
        <v>36</v>
      </c>
      <c r="S538">
        <v>14</v>
      </c>
      <c r="T538">
        <v>3</v>
      </c>
      <c r="U538">
        <v>4</v>
      </c>
      <c r="V538">
        <v>0</v>
      </c>
      <c r="W538">
        <v>10</v>
      </c>
      <c r="X538">
        <v>1</v>
      </c>
      <c r="Y538">
        <v>3</v>
      </c>
      <c r="Z538">
        <v>2</v>
      </c>
      <c r="AA538">
        <v>2</v>
      </c>
      <c r="AB538">
        <v>2</v>
      </c>
      <c r="AC538">
        <v>2</v>
      </c>
      <c r="AD538">
        <f>IF(HR_Data[[#This Row],[Attrition]]="Yes",1,0)</f>
        <v>0</v>
      </c>
      <c r="AE538" t="str">
        <f>IF(HR_Data[[#This Row],[Age]]&lt;=25,"18-25",IF(HR_Data[[#This Row],[Age]]&lt;=35,"26-35",IF(HR_Data[[#This Row],[Age]]&lt;=45,"36-45",IF(HR_Data[[#This Row],[Age]]&lt;=55,"46-55","55+"))))</f>
        <v>55+</v>
      </c>
      <c r="AF538">
        <f>IF(HR_Data[[#This Row],[Age]]&lt;=25,1,IF(HR_Data[[#This Row],[Age]]&lt;=35,2,IF(HR_Data[[#This Row],[Age]]&lt;=45,3,IF(HR_Data[[#This Row],[Age]]&lt;=55,4,5))))</f>
        <v>5</v>
      </c>
      <c r="AG538" s="1" t="str">
        <f>IF(HR_Data[[#This Row],[MonthlyIncome]]&lt;3000,"&lt;3K",IF(HR_Data[[#This Row],[MonthlyIncome]]&lt;6000,"3K-6K",IF(HR_Data[[#This Row],[MonthlyIncome]]&lt;10000,"6K-10K","10K+")))</f>
        <v>3K-6K</v>
      </c>
      <c r="AH538" s="1">
        <f>IF(HR_Data[[#This Row],[MonthlyIncome]]&lt;3000,1,IF(HR_Data[[#This Row],[MonthlyIncome]]&lt;6000,2,IF(HR_Data[[#This Row],[MonthlyIncome]]&lt;10000,3,4)))</f>
        <v>2</v>
      </c>
      <c r="AI538" s="1" t="str">
        <f>IF(HR_Data[[#This Row],[YearsAtCompany]]&lt;=2,"0-2 Yrs",IF(HR_Data[[#This Row],[YearsAtCompany]]&lt;=5,"3-5 Yrs",IF(HR_Data[[#This Row],[YearsAtCompany]]&lt;=10,"6-10 Yrs","10+ Yrs")))</f>
        <v>0-2 Yrs</v>
      </c>
      <c r="AJ538" s="1">
        <f>IF(HR_Data[[#This Row],[YearsAtCompany]]&lt;=2,1,IF(HR_Data[[#This Row],[YearsAtCompany]]&lt;=5,2,IF(HR_Data[[#This Row],[YearsAtCompany]]&lt;=10,3,4)))</f>
        <v>1</v>
      </c>
      <c r="AK538" s="1" t="str">
        <f>CHOOSE(HR_Data[[#This Row],[Education]],"Below College","College","Bachelor","Master","Doctor")</f>
        <v>Master</v>
      </c>
      <c r="AL538" s="1" t="str">
        <f>CHOOSE(HR_Data[[#This Row],[JobSatisfaction]],"Low","Medium","High","Very High")</f>
        <v>Low</v>
      </c>
      <c r="AM538" s="1" t="str">
        <f>CHOOSE(HR_Data[[#This Row],[EnvironmentSatisfaction]],"Low","Medium","High","Very High")</f>
        <v>Low</v>
      </c>
      <c r="AN538" s="1" t="str">
        <f>CHOOSE(HR_Data[[#This Row],[WorkLifeBalance]],"Bad","Good","Better","Best")</f>
        <v>Better</v>
      </c>
      <c r="AO538" s="1" t="str">
        <f>IF(HR_Data[[#This Row],[PercentSalaryHike]]&lt;=13,"11-13%",IF(HR_Data[[#This Row],[PercentSalaryHike]]&lt;=16,"14-16%",IF(HR_Data[[#This Row],[PercentSalaryHike]]&lt;=19,"17-19%","20-25%")))</f>
        <v>14-16%</v>
      </c>
      <c r="AP538" s="1">
        <f>IF(HR_Data[[#This Row],[PercentSalaryHike]]&lt;=13,1,IF(HR_Data[[#This Row],[PercentSalaryHike]]&lt;=16,2,IF(HR_Data[[#This Row],[PercentSalaryHike]]&lt;=19,3,4)))</f>
        <v>2</v>
      </c>
      <c r="AQ538" s="1" t="str">
        <f>IF(HR_Data[[#This Row],[DistanceFromHome]]&lt;=5,"1 to 5",IF(HR_Data[[#This Row],[DistanceFromHome]]&lt;=10,"6 to 10",IF(HR_Data[[#This Row],[DistanceFromHome]]&lt;=20,"11 to 20","21 to 29")))</f>
        <v>11 to 20</v>
      </c>
      <c r="AR538" s="1">
        <f>IF(HR_Data[[#This Row],[DistanceFromHome]]&lt;=5,1,IF(HR_Data[[#This Row],[DistanceFromHome]]&lt;=10,2,IF(HR_Data[[#This Row],[DistanceFromHome]]&lt;=20,3,4)))</f>
        <v>3</v>
      </c>
      <c r="AS538" s="1" t="str">
        <f>IF(HR_Data[[#This Row],[TotalWorkingYears]]&lt;=5,"0-5 Yrs",IF(HR_Data[[#This Row],[TotalWorkingYears]]&lt;=10,"6-10 Yrs",IF(HR_Data[[#This Row],[TotalWorkingYears]]&lt;=20,"11-20 Yrs","20+ Yrs")))</f>
        <v>6-10 Yrs</v>
      </c>
      <c r="AT538" s="1">
        <f>IF(HR_Data[[#This Row],[TotalWorkingYears]]&lt;=5,1,IF(HR_Data[[#This Row],[TotalWorkingYears]]&lt;=10,2,IF(HR_Data[[#This Row],[TotalWorkingYears]]&lt;=20,3,4)))</f>
        <v>2</v>
      </c>
    </row>
    <row r="539" spans="1:46" x14ac:dyDescent="0.25">
      <c r="A539">
        <v>27</v>
      </c>
      <c r="B539" t="s">
        <v>36</v>
      </c>
      <c r="C539" t="s">
        <v>37</v>
      </c>
      <c r="D539" t="s">
        <v>38</v>
      </c>
      <c r="E539">
        <v>10</v>
      </c>
      <c r="F539">
        <v>2</v>
      </c>
      <c r="G539" t="s">
        <v>32</v>
      </c>
      <c r="H539">
        <v>733</v>
      </c>
      <c r="I539">
        <v>4</v>
      </c>
      <c r="J539" t="s">
        <v>39</v>
      </c>
      <c r="K539">
        <v>3</v>
      </c>
      <c r="L539">
        <v>3</v>
      </c>
      <c r="M539" t="s">
        <v>46</v>
      </c>
      <c r="N539">
        <v>1</v>
      </c>
      <c r="O539" t="s">
        <v>45</v>
      </c>
      <c r="P539">
        <v>8793</v>
      </c>
      <c r="Q539">
        <v>1</v>
      </c>
      <c r="R539" t="s">
        <v>36</v>
      </c>
      <c r="S539">
        <v>21</v>
      </c>
      <c r="T539">
        <v>4</v>
      </c>
      <c r="U539">
        <v>3</v>
      </c>
      <c r="V539">
        <v>2</v>
      </c>
      <c r="W539">
        <v>9</v>
      </c>
      <c r="X539">
        <v>4</v>
      </c>
      <c r="Y539">
        <v>2</v>
      </c>
      <c r="Z539">
        <v>9</v>
      </c>
      <c r="AA539">
        <v>7</v>
      </c>
      <c r="AB539">
        <v>1</v>
      </c>
      <c r="AC539">
        <v>7</v>
      </c>
      <c r="AD539">
        <f>IF(HR_Data[[#This Row],[Attrition]]="Yes",1,0)</f>
        <v>0</v>
      </c>
      <c r="AE539" t="str">
        <f>IF(HR_Data[[#This Row],[Age]]&lt;=25,"18-25",IF(HR_Data[[#This Row],[Age]]&lt;=35,"26-35",IF(HR_Data[[#This Row],[Age]]&lt;=45,"36-45",IF(HR_Data[[#This Row],[Age]]&lt;=55,"46-55","55+"))))</f>
        <v>26-35</v>
      </c>
      <c r="AF539">
        <f>IF(HR_Data[[#This Row],[Age]]&lt;=25,1,IF(HR_Data[[#This Row],[Age]]&lt;=35,2,IF(HR_Data[[#This Row],[Age]]&lt;=45,3,IF(HR_Data[[#This Row],[Age]]&lt;=55,4,5))))</f>
        <v>2</v>
      </c>
      <c r="AG539" s="1" t="str">
        <f>IF(HR_Data[[#This Row],[MonthlyIncome]]&lt;3000,"&lt;3K",IF(HR_Data[[#This Row],[MonthlyIncome]]&lt;6000,"3K-6K",IF(HR_Data[[#This Row],[MonthlyIncome]]&lt;10000,"6K-10K","10K+")))</f>
        <v>6K-10K</v>
      </c>
      <c r="AH539" s="1">
        <f>IF(HR_Data[[#This Row],[MonthlyIncome]]&lt;3000,1,IF(HR_Data[[#This Row],[MonthlyIncome]]&lt;6000,2,IF(HR_Data[[#This Row],[MonthlyIncome]]&lt;10000,3,4)))</f>
        <v>3</v>
      </c>
      <c r="AI539" s="1" t="str">
        <f>IF(HR_Data[[#This Row],[YearsAtCompany]]&lt;=2,"0-2 Yrs",IF(HR_Data[[#This Row],[YearsAtCompany]]&lt;=5,"3-5 Yrs",IF(HR_Data[[#This Row],[YearsAtCompany]]&lt;=10,"6-10 Yrs","10+ Yrs")))</f>
        <v>6-10 Yrs</v>
      </c>
      <c r="AJ539" s="1">
        <f>IF(HR_Data[[#This Row],[YearsAtCompany]]&lt;=2,1,IF(HR_Data[[#This Row],[YearsAtCompany]]&lt;=5,2,IF(HR_Data[[#This Row],[YearsAtCompany]]&lt;=10,3,4)))</f>
        <v>3</v>
      </c>
      <c r="AK539" s="1" t="str">
        <f>CHOOSE(HR_Data[[#This Row],[Education]],"Below College","College","Bachelor","Master","Doctor")</f>
        <v>College</v>
      </c>
      <c r="AL539" s="1" t="str">
        <f>CHOOSE(HR_Data[[#This Row],[JobSatisfaction]],"Low","Medium","High","Very High")</f>
        <v>Low</v>
      </c>
      <c r="AM539" s="1" t="str">
        <f>CHOOSE(HR_Data[[#This Row],[EnvironmentSatisfaction]],"Low","Medium","High","Very High")</f>
        <v>Very High</v>
      </c>
      <c r="AN539" s="1" t="str">
        <f>CHOOSE(HR_Data[[#This Row],[WorkLifeBalance]],"Bad","Good","Better","Best")</f>
        <v>Good</v>
      </c>
      <c r="AO539" s="1" t="str">
        <f>IF(HR_Data[[#This Row],[PercentSalaryHike]]&lt;=13,"11-13%",IF(HR_Data[[#This Row],[PercentSalaryHike]]&lt;=16,"14-16%",IF(HR_Data[[#This Row],[PercentSalaryHike]]&lt;=19,"17-19%","20-25%")))</f>
        <v>20-25%</v>
      </c>
      <c r="AP539" s="1">
        <f>IF(HR_Data[[#This Row],[PercentSalaryHike]]&lt;=13,1,IF(HR_Data[[#This Row],[PercentSalaryHike]]&lt;=16,2,IF(HR_Data[[#This Row],[PercentSalaryHike]]&lt;=19,3,4)))</f>
        <v>4</v>
      </c>
      <c r="AQ539" s="1" t="str">
        <f>IF(HR_Data[[#This Row],[DistanceFromHome]]&lt;=5,"1 to 5",IF(HR_Data[[#This Row],[DistanceFromHome]]&lt;=10,"6 to 10",IF(HR_Data[[#This Row],[DistanceFromHome]]&lt;=20,"11 to 20","21 to 29")))</f>
        <v>6 to 10</v>
      </c>
      <c r="AR539" s="1">
        <f>IF(HR_Data[[#This Row],[DistanceFromHome]]&lt;=5,1,IF(HR_Data[[#This Row],[DistanceFromHome]]&lt;=10,2,IF(HR_Data[[#This Row],[DistanceFromHome]]&lt;=20,3,4)))</f>
        <v>2</v>
      </c>
      <c r="AS539" s="1" t="str">
        <f>IF(HR_Data[[#This Row],[TotalWorkingYears]]&lt;=5,"0-5 Yrs",IF(HR_Data[[#This Row],[TotalWorkingYears]]&lt;=10,"6-10 Yrs",IF(HR_Data[[#This Row],[TotalWorkingYears]]&lt;=20,"11-20 Yrs","20+ Yrs")))</f>
        <v>6-10 Yrs</v>
      </c>
      <c r="AT539" s="1">
        <f>IF(HR_Data[[#This Row],[TotalWorkingYears]]&lt;=5,1,IF(HR_Data[[#This Row],[TotalWorkingYears]]&lt;=10,2,IF(HR_Data[[#This Row],[TotalWorkingYears]]&lt;=20,3,4)))</f>
        <v>2</v>
      </c>
    </row>
    <row r="540" spans="1:46" x14ac:dyDescent="0.25">
      <c r="A540">
        <v>41</v>
      </c>
      <c r="B540" t="s">
        <v>36</v>
      </c>
      <c r="C540" t="s">
        <v>30</v>
      </c>
      <c r="D540" t="s">
        <v>54</v>
      </c>
      <c r="E540">
        <v>1</v>
      </c>
      <c r="F540">
        <v>3</v>
      </c>
      <c r="G540" t="s">
        <v>54</v>
      </c>
      <c r="H540">
        <v>734</v>
      </c>
      <c r="I540">
        <v>4</v>
      </c>
      <c r="J540" t="s">
        <v>39</v>
      </c>
      <c r="K540">
        <v>2</v>
      </c>
      <c r="L540">
        <v>5</v>
      </c>
      <c r="M540" t="s">
        <v>49</v>
      </c>
      <c r="N540">
        <v>3</v>
      </c>
      <c r="O540" t="s">
        <v>41</v>
      </c>
      <c r="P540">
        <v>19189</v>
      </c>
      <c r="Q540">
        <v>1</v>
      </c>
      <c r="R540" t="s">
        <v>36</v>
      </c>
      <c r="S540">
        <v>12</v>
      </c>
      <c r="T540">
        <v>3</v>
      </c>
      <c r="U540">
        <v>2</v>
      </c>
      <c r="V540">
        <v>1</v>
      </c>
      <c r="W540">
        <v>22</v>
      </c>
      <c r="X540">
        <v>3</v>
      </c>
      <c r="Y540">
        <v>3</v>
      </c>
      <c r="Z540">
        <v>22</v>
      </c>
      <c r="AA540">
        <v>7</v>
      </c>
      <c r="AB540">
        <v>2</v>
      </c>
      <c r="AC540">
        <v>10</v>
      </c>
      <c r="AD540">
        <f>IF(HR_Data[[#This Row],[Attrition]]="Yes",1,0)</f>
        <v>0</v>
      </c>
      <c r="AE540" t="str">
        <f>IF(HR_Data[[#This Row],[Age]]&lt;=25,"18-25",IF(HR_Data[[#This Row],[Age]]&lt;=35,"26-35",IF(HR_Data[[#This Row],[Age]]&lt;=45,"36-45",IF(HR_Data[[#This Row],[Age]]&lt;=55,"46-55","55+"))))</f>
        <v>36-45</v>
      </c>
      <c r="AF540">
        <f>IF(HR_Data[[#This Row],[Age]]&lt;=25,1,IF(HR_Data[[#This Row],[Age]]&lt;=35,2,IF(HR_Data[[#This Row],[Age]]&lt;=45,3,IF(HR_Data[[#This Row],[Age]]&lt;=55,4,5))))</f>
        <v>3</v>
      </c>
      <c r="AG540" s="1" t="str">
        <f>IF(HR_Data[[#This Row],[MonthlyIncome]]&lt;3000,"&lt;3K",IF(HR_Data[[#This Row],[MonthlyIncome]]&lt;6000,"3K-6K",IF(HR_Data[[#This Row],[MonthlyIncome]]&lt;10000,"6K-10K","10K+")))</f>
        <v>10K+</v>
      </c>
      <c r="AH540" s="1">
        <f>IF(HR_Data[[#This Row],[MonthlyIncome]]&lt;3000,1,IF(HR_Data[[#This Row],[MonthlyIncome]]&lt;6000,2,IF(HR_Data[[#This Row],[MonthlyIncome]]&lt;10000,3,4)))</f>
        <v>4</v>
      </c>
      <c r="AI540" s="1" t="str">
        <f>IF(HR_Data[[#This Row],[YearsAtCompany]]&lt;=2,"0-2 Yrs",IF(HR_Data[[#This Row],[YearsAtCompany]]&lt;=5,"3-5 Yrs",IF(HR_Data[[#This Row],[YearsAtCompany]]&lt;=10,"6-10 Yrs","10+ Yrs")))</f>
        <v>10+ Yrs</v>
      </c>
      <c r="AJ540" s="1">
        <f>IF(HR_Data[[#This Row],[YearsAtCompany]]&lt;=2,1,IF(HR_Data[[#This Row],[YearsAtCompany]]&lt;=5,2,IF(HR_Data[[#This Row],[YearsAtCompany]]&lt;=10,3,4)))</f>
        <v>4</v>
      </c>
      <c r="AK540" s="1" t="str">
        <f>CHOOSE(HR_Data[[#This Row],[Education]],"Below College","College","Bachelor","Master","Doctor")</f>
        <v>Bachelor</v>
      </c>
      <c r="AL540" s="1" t="str">
        <f>CHOOSE(HR_Data[[#This Row],[JobSatisfaction]],"Low","Medium","High","Very High")</f>
        <v>High</v>
      </c>
      <c r="AM540" s="1" t="str">
        <f>CHOOSE(HR_Data[[#This Row],[EnvironmentSatisfaction]],"Low","Medium","High","Very High")</f>
        <v>Very High</v>
      </c>
      <c r="AN540" s="1" t="str">
        <f>CHOOSE(HR_Data[[#This Row],[WorkLifeBalance]],"Bad","Good","Better","Best")</f>
        <v>Better</v>
      </c>
      <c r="AO540" s="1" t="str">
        <f>IF(HR_Data[[#This Row],[PercentSalaryHike]]&lt;=13,"11-13%",IF(HR_Data[[#This Row],[PercentSalaryHike]]&lt;=16,"14-16%",IF(HR_Data[[#This Row],[PercentSalaryHike]]&lt;=19,"17-19%","20-25%")))</f>
        <v>11-13%</v>
      </c>
      <c r="AP540" s="1">
        <f>IF(HR_Data[[#This Row],[PercentSalaryHike]]&lt;=13,1,IF(HR_Data[[#This Row],[PercentSalaryHike]]&lt;=16,2,IF(HR_Data[[#This Row],[PercentSalaryHike]]&lt;=19,3,4)))</f>
        <v>1</v>
      </c>
      <c r="AQ540" s="1" t="str">
        <f>IF(HR_Data[[#This Row],[DistanceFromHome]]&lt;=5,"1 to 5",IF(HR_Data[[#This Row],[DistanceFromHome]]&lt;=10,"6 to 10",IF(HR_Data[[#This Row],[DistanceFromHome]]&lt;=20,"11 to 20","21 to 29")))</f>
        <v>1 to 5</v>
      </c>
      <c r="AR540" s="1">
        <f>IF(HR_Data[[#This Row],[DistanceFromHome]]&lt;=5,1,IF(HR_Data[[#This Row],[DistanceFromHome]]&lt;=10,2,IF(HR_Data[[#This Row],[DistanceFromHome]]&lt;=20,3,4)))</f>
        <v>1</v>
      </c>
      <c r="AS540" s="1" t="str">
        <f>IF(HR_Data[[#This Row],[TotalWorkingYears]]&lt;=5,"0-5 Yrs",IF(HR_Data[[#This Row],[TotalWorkingYears]]&lt;=10,"6-10 Yrs",IF(HR_Data[[#This Row],[TotalWorkingYears]]&lt;=20,"11-20 Yrs","20+ Yrs")))</f>
        <v>20+ Yrs</v>
      </c>
      <c r="AT540" s="1">
        <f>IF(HR_Data[[#This Row],[TotalWorkingYears]]&lt;=5,1,IF(HR_Data[[#This Row],[TotalWorkingYears]]&lt;=10,2,IF(HR_Data[[#This Row],[TotalWorkingYears]]&lt;=20,3,4)))</f>
        <v>4</v>
      </c>
    </row>
    <row r="541" spans="1:46" x14ac:dyDescent="0.25">
      <c r="A541">
        <v>50</v>
      </c>
      <c r="B541" t="s">
        <v>36</v>
      </c>
      <c r="C541" t="s">
        <v>30</v>
      </c>
      <c r="D541" t="s">
        <v>31</v>
      </c>
      <c r="E541">
        <v>8</v>
      </c>
      <c r="F541">
        <v>4</v>
      </c>
      <c r="G541" t="s">
        <v>52</v>
      </c>
      <c r="H541">
        <v>738</v>
      </c>
      <c r="I541">
        <v>4</v>
      </c>
      <c r="J541" t="s">
        <v>39</v>
      </c>
      <c r="K541">
        <v>3</v>
      </c>
      <c r="L541">
        <v>1</v>
      </c>
      <c r="M541" t="s">
        <v>50</v>
      </c>
      <c r="N541">
        <v>2</v>
      </c>
      <c r="O541" t="s">
        <v>41</v>
      </c>
      <c r="P541">
        <v>3875</v>
      </c>
      <c r="Q541">
        <v>7</v>
      </c>
      <c r="R541" t="s">
        <v>36</v>
      </c>
      <c r="S541">
        <v>15</v>
      </c>
      <c r="T541">
        <v>3</v>
      </c>
      <c r="U541">
        <v>4</v>
      </c>
      <c r="V541">
        <v>1</v>
      </c>
      <c r="W541">
        <v>4</v>
      </c>
      <c r="X541">
        <v>2</v>
      </c>
      <c r="Y541">
        <v>3</v>
      </c>
      <c r="Z541">
        <v>2</v>
      </c>
      <c r="AA541">
        <v>2</v>
      </c>
      <c r="AB541">
        <v>2</v>
      </c>
      <c r="AC541">
        <v>2</v>
      </c>
      <c r="AD541">
        <f>IF(HR_Data[[#This Row],[Attrition]]="Yes",1,0)</f>
        <v>0</v>
      </c>
      <c r="AE541" t="str">
        <f>IF(HR_Data[[#This Row],[Age]]&lt;=25,"18-25",IF(HR_Data[[#This Row],[Age]]&lt;=35,"26-35",IF(HR_Data[[#This Row],[Age]]&lt;=45,"36-45",IF(HR_Data[[#This Row],[Age]]&lt;=55,"46-55","55+"))))</f>
        <v>46-55</v>
      </c>
      <c r="AF541">
        <f>IF(HR_Data[[#This Row],[Age]]&lt;=25,1,IF(HR_Data[[#This Row],[Age]]&lt;=35,2,IF(HR_Data[[#This Row],[Age]]&lt;=45,3,IF(HR_Data[[#This Row],[Age]]&lt;=55,4,5))))</f>
        <v>4</v>
      </c>
      <c r="AG541" s="1" t="str">
        <f>IF(HR_Data[[#This Row],[MonthlyIncome]]&lt;3000,"&lt;3K",IF(HR_Data[[#This Row],[MonthlyIncome]]&lt;6000,"3K-6K",IF(HR_Data[[#This Row],[MonthlyIncome]]&lt;10000,"6K-10K","10K+")))</f>
        <v>3K-6K</v>
      </c>
      <c r="AH541" s="1">
        <f>IF(HR_Data[[#This Row],[MonthlyIncome]]&lt;3000,1,IF(HR_Data[[#This Row],[MonthlyIncome]]&lt;6000,2,IF(HR_Data[[#This Row],[MonthlyIncome]]&lt;10000,3,4)))</f>
        <v>2</v>
      </c>
      <c r="AI541" s="1" t="str">
        <f>IF(HR_Data[[#This Row],[YearsAtCompany]]&lt;=2,"0-2 Yrs",IF(HR_Data[[#This Row],[YearsAtCompany]]&lt;=5,"3-5 Yrs",IF(HR_Data[[#This Row],[YearsAtCompany]]&lt;=10,"6-10 Yrs","10+ Yrs")))</f>
        <v>0-2 Yrs</v>
      </c>
      <c r="AJ541" s="1">
        <f>IF(HR_Data[[#This Row],[YearsAtCompany]]&lt;=2,1,IF(HR_Data[[#This Row],[YearsAtCompany]]&lt;=5,2,IF(HR_Data[[#This Row],[YearsAtCompany]]&lt;=10,3,4)))</f>
        <v>1</v>
      </c>
      <c r="AK541" s="1" t="str">
        <f>CHOOSE(HR_Data[[#This Row],[Education]],"Below College","College","Bachelor","Master","Doctor")</f>
        <v>Master</v>
      </c>
      <c r="AL541" s="1" t="str">
        <f>CHOOSE(HR_Data[[#This Row],[JobSatisfaction]],"Low","Medium","High","Very High")</f>
        <v>Medium</v>
      </c>
      <c r="AM541" s="1" t="str">
        <f>CHOOSE(HR_Data[[#This Row],[EnvironmentSatisfaction]],"Low","Medium","High","Very High")</f>
        <v>Very High</v>
      </c>
      <c r="AN541" s="1" t="str">
        <f>CHOOSE(HR_Data[[#This Row],[WorkLifeBalance]],"Bad","Good","Better","Best")</f>
        <v>Better</v>
      </c>
      <c r="AO541" s="1" t="str">
        <f>IF(HR_Data[[#This Row],[PercentSalaryHike]]&lt;=13,"11-13%",IF(HR_Data[[#This Row],[PercentSalaryHike]]&lt;=16,"14-16%",IF(HR_Data[[#This Row],[PercentSalaryHike]]&lt;=19,"17-19%","20-25%")))</f>
        <v>14-16%</v>
      </c>
      <c r="AP541" s="1">
        <f>IF(HR_Data[[#This Row],[PercentSalaryHike]]&lt;=13,1,IF(HR_Data[[#This Row],[PercentSalaryHike]]&lt;=16,2,IF(HR_Data[[#This Row],[PercentSalaryHike]]&lt;=19,3,4)))</f>
        <v>2</v>
      </c>
      <c r="AQ541" s="1" t="str">
        <f>IF(HR_Data[[#This Row],[DistanceFromHome]]&lt;=5,"1 to 5",IF(HR_Data[[#This Row],[DistanceFromHome]]&lt;=10,"6 to 10",IF(HR_Data[[#This Row],[DistanceFromHome]]&lt;=20,"11 to 20","21 to 29")))</f>
        <v>6 to 10</v>
      </c>
      <c r="AR541" s="1">
        <f>IF(HR_Data[[#This Row],[DistanceFromHome]]&lt;=5,1,IF(HR_Data[[#This Row],[DistanceFromHome]]&lt;=10,2,IF(HR_Data[[#This Row],[DistanceFromHome]]&lt;=20,3,4)))</f>
        <v>2</v>
      </c>
      <c r="AS541" s="1" t="str">
        <f>IF(HR_Data[[#This Row],[TotalWorkingYears]]&lt;=5,"0-5 Yrs",IF(HR_Data[[#This Row],[TotalWorkingYears]]&lt;=10,"6-10 Yrs",IF(HR_Data[[#This Row],[TotalWorkingYears]]&lt;=20,"11-20 Yrs","20+ Yrs")))</f>
        <v>0-5 Yrs</v>
      </c>
      <c r="AT541" s="1">
        <f>IF(HR_Data[[#This Row],[TotalWorkingYears]]&lt;=5,1,IF(HR_Data[[#This Row],[TotalWorkingYears]]&lt;=10,2,IF(HR_Data[[#This Row],[TotalWorkingYears]]&lt;=20,3,4)))</f>
        <v>1</v>
      </c>
    </row>
    <row r="542" spans="1:46" x14ac:dyDescent="0.25">
      <c r="A542">
        <v>28</v>
      </c>
      <c r="B542" t="s">
        <v>29</v>
      </c>
      <c r="C542" t="s">
        <v>30</v>
      </c>
      <c r="D542" t="s">
        <v>38</v>
      </c>
      <c r="E542">
        <v>1</v>
      </c>
      <c r="F542">
        <v>2</v>
      </c>
      <c r="G542" t="s">
        <v>32</v>
      </c>
      <c r="H542">
        <v>741</v>
      </c>
      <c r="I542">
        <v>1</v>
      </c>
      <c r="J542" t="s">
        <v>33</v>
      </c>
      <c r="K542">
        <v>1</v>
      </c>
      <c r="L542">
        <v>1</v>
      </c>
      <c r="M542" t="s">
        <v>40</v>
      </c>
      <c r="N542">
        <v>2</v>
      </c>
      <c r="O542" t="s">
        <v>35</v>
      </c>
      <c r="P542">
        <v>2216</v>
      </c>
      <c r="Q542">
        <v>7</v>
      </c>
      <c r="R542" t="s">
        <v>29</v>
      </c>
      <c r="S542">
        <v>13</v>
      </c>
      <c r="T542">
        <v>3</v>
      </c>
      <c r="U542">
        <v>4</v>
      </c>
      <c r="V542">
        <v>0</v>
      </c>
      <c r="W542">
        <v>10</v>
      </c>
      <c r="X542">
        <v>4</v>
      </c>
      <c r="Y542">
        <v>3</v>
      </c>
      <c r="Z542">
        <v>7</v>
      </c>
      <c r="AA542">
        <v>7</v>
      </c>
      <c r="AB542">
        <v>3</v>
      </c>
      <c r="AC542">
        <v>7</v>
      </c>
      <c r="AD542">
        <f>IF(HR_Data[[#This Row],[Attrition]]="Yes",1,0)</f>
        <v>1</v>
      </c>
      <c r="AE542" t="str">
        <f>IF(HR_Data[[#This Row],[Age]]&lt;=25,"18-25",IF(HR_Data[[#This Row],[Age]]&lt;=35,"26-35",IF(HR_Data[[#This Row],[Age]]&lt;=45,"36-45",IF(HR_Data[[#This Row],[Age]]&lt;=55,"46-55","55+"))))</f>
        <v>26-35</v>
      </c>
      <c r="AF542">
        <f>IF(HR_Data[[#This Row],[Age]]&lt;=25,1,IF(HR_Data[[#This Row],[Age]]&lt;=35,2,IF(HR_Data[[#This Row],[Age]]&lt;=45,3,IF(HR_Data[[#This Row],[Age]]&lt;=55,4,5))))</f>
        <v>2</v>
      </c>
      <c r="AG542" s="1" t="str">
        <f>IF(HR_Data[[#This Row],[MonthlyIncome]]&lt;3000,"&lt;3K",IF(HR_Data[[#This Row],[MonthlyIncome]]&lt;6000,"3K-6K",IF(HR_Data[[#This Row],[MonthlyIncome]]&lt;10000,"6K-10K","10K+")))</f>
        <v>&lt;3K</v>
      </c>
      <c r="AH542" s="1">
        <f>IF(HR_Data[[#This Row],[MonthlyIncome]]&lt;3000,1,IF(HR_Data[[#This Row],[MonthlyIncome]]&lt;6000,2,IF(HR_Data[[#This Row],[MonthlyIncome]]&lt;10000,3,4)))</f>
        <v>1</v>
      </c>
      <c r="AI542" s="1" t="str">
        <f>IF(HR_Data[[#This Row],[YearsAtCompany]]&lt;=2,"0-2 Yrs",IF(HR_Data[[#This Row],[YearsAtCompany]]&lt;=5,"3-5 Yrs",IF(HR_Data[[#This Row],[YearsAtCompany]]&lt;=10,"6-10 Yrs","10+ Yrs")))</f>
        <v>6-10 Yrs</v>
      </c>
      <c r="AJ542" s="1">
        <f>IF(HR_Data[[#This Row],[YearsAtCompany]]&lt;=2,1,IF(HR_Data[[#This Row],[YearsAtCompany]]&lt;=5,2,IF(HR_Data[[#This Row],[YearsAtCompany]]&lt;=10,3,4)))</f>
        <v>3</v>
      </c>
      <c r="AK542" s="1" t="str">
        <f>CHOOSE(HR_Data[[#This Row],[Education]],"Below College","College","Bachelor","Master","Doctor")</f>
        <v>College</v>
      </c>
      <c r="AL542" s="1" t="str">
        <f>CHOOSE(HR_Data[[#This Row],[JobSatisfaction]],"Low","Medium","High","Very High")</f>
        <v>Medium</v>
      </c>
      <c r="AM542" s="1" t="str">
        <f>CHOOSE(HR_Data[[#This Row],[EnvironmentSatisfaction]],"Low","Medium","High","Very High")</f>
        <v>Low</v>
      </c>
      <c r="AN542" s="1" t="str">
        <f>CHOOSE(HR_Data[[#This Row],[WorkLifeBalance]],"Bad","Good","Better","Best")</f>
        <v>Better</v>
      </c>
      <c r="AO542" s="1" t="str">
        <f>IF(HR_Data[[#This Row],[PercentSalaryHike]]&lt;=13,"11-13%",IF(HR_Data[[#This Row],[PercentSalaryHike]]&lt;=16,"14-16%",IF(HR_Data[[#This Row],[PercentSalaryHike]]&lt;=19,"17-19%","20-25%")))</f>
        <v>11-13%</v>
      </c>
      <c r="AP542" s="1">
        <f>IF(HR_Data[[#This Row],[PercentSalaryHike]]&lt;=13,1,IF(HR_Data[[#This Row],[PercentSalaryHike]]&lt;=16,2,IF(HR_Data[[#This Row],[PercentSalaryHike]]&lt;=19,3,4)))</f>
        <v>1</v>
      </c>
      <c r="AQ542" s="1" t="str">
        <f>IF(HR_Data[[#This Row],[DistanceFromHome]]&lt;=5,"1 to 5",IF(HR_Data[[#This Row],[DistanceFromHome]]&lt;=10,"6 to 10",IF(HR_Data[[#This Row],[DistanceFromHome]]&lt;=20,"11 to 20","21 to 29")))</f>
        <v>1 to 5</v>
      </c>
      <c r="AR542" s="1">
        <f>IF(HR_Data[[#This Row],[DistanceFromHome]]&lt;=5,1,IF(HR_Data[[#This Row],[DistanceFromHome]]&lt;=10,2,IF(HR_Data[[#This Row],[DistanceFromHome]]&lt;=20,3,4)))</f>
        <v>1</v>
      </c>
      <c r="AS542" s="1" t="str">
        <f>IF(HR_Data[[#This Row],[TotalWorkingYears]]&lt;=5,"0-5 Yrs",IF(HR_Data[[#This Row],[TotalWorkingYears]]&lt;=10,"6-10 Yrs",IF(HR_Data[[#This Row],[TotalWorkingYears]]&lt;=20,"11-20 Yrs","20+ Yrs")))</f>
        <v>6-10 Yrs</v>
      </c>
      <c r="AT542" s="1">
        <f>IF(HR_Data[[#This Row],[TotalWorkingYears]]&lt;=5,1,IF(HR_Data[[#This Row],[TotalWorkingYears]]&lt;=10,2,IF(HR_Data[[#This Row],[TotalWorkingYears]]&lt;=20,3,4)))</f>
        <v>2</v>
      </c>
    </row>
    <row r="543" spans="1:46" x14ac:dyDescent="0.25">
      <c r="A543">
        <v>36</v>
      </c>
      <c r="B543" t="s">
        <v>36</v>
      </c>
      <c r="C543" t="s">
        <v>48</v>
      </c>
      <c r="D543" t="s">
        <v>38</v>
      </c>
      <c r="E543">
        <v>8</v>
      </c>
      <c r="F543">
        <v>3</v>
      </c>
      <c r="G543" t="s">
        <v>32</v>
      </c>
      <c r="H543">
        <v>742</v>
      </c>
      <c r="I543">
        <v>1</v>
      </c>
      <c r="J543" t="s">
        <v>33</v>
      </c>
      <c r="K543">
        <v>4</v>
      </c>
      <c r="L543">
        <v>3</v>
      </c>
      <c r="M543" t="s">
        <v>51</v>
      </c>
      <c r="N543">
        <v>1</v>
      </c>
      <c r="O543" t="s">
        <v>41</v>
      </c>
      <c r="P543">
        <v>11713</v>
      </c>
      <c r="Q543">
        <v>9</v>
      </c>
      <c r="R543" t="s">
        <v>36</v>
      </c>
      <c r="S543">
        <v>14</v>
      </c>
      <c r="T543">
        <v>3</v>
      </c>
      <c r="U543">
        <v>1</v>
      </c>
      <c r="V543">
        <v>1</v>
      </c>
      <c r="W543">
        <v>10</v>
      </c>
      <c r="X543">
        <v>2</v>
      </c>
      <c r="Y543">
        <v>3</v>
      </c>
      <c r="Z543">
        <v>8</v>
      </c>
      <c r="AA543">
        <v>7</v>
      </c>
      <c r="AB543">
        <v>0</v>
      </c>
      <c r="AC543">
        <v>5</v>
      </c>
      <c r="AD543">
        <f>IF(HR_Data[[#This Row],[Attrition]]="Yes",1,0)</f>
        <v>0</v>
      </c>
      <c r="AE543" t="str">
        <f>IF(HR_Data[[#This Row],[Age]]&lt;=25,"18-25",IF(HR_Data[[#This Row],[Age]]&lt;=35,"26-35",IF(HR_Data[[#This Row],[Age]]&lt;=45,"36-45",IF(HR_Data[[#This Row],[Age]]&lt;=55,"46-55","55+"))))</f>
        <v>36-45</v>
      </c>
      <c r="AF543">
        <f>IF(HR_Data[[#This Row],[Age]]&lt;=25,1,IF(HR_Data[[#This Row],[Age]]&lt;=35,2,IF(HR_Data[[#This Row],[Age]]&lt;=45,3,IF(HR_Data[[#This Row],[Age]]&lt;=55,4,5))))</f>
        <v>3</v>
      </c>
      <c r="AG543" s="1" t="str">
        <f>IF(HR_Data[[#This Row],[MonthlyIncome]]&lt;3000,"&lt;3K",IF(HR_Data[[#This Row],[MonthlyIncome]]&lt;6000,"3K-6K",IF(HR_Data[[#This Row],[MonthlyIncome]]&lt;10000,"6K-10K","10K+")))</f>
        <v>10K+</v>
      </c>
      <c r="AH543" s="1">
        <f>IF(HR_Data[[#This Row],[MonthlyIncome]]&lt;3000,1,IF(HR_Data[[#This Row],[MonthlyIncome]]&lt;6000,2,IF(HR_Data[[#This Row],[MonthlyIncome]]&lt;10000,3,4)))</f>
        <v>4</v>
      </c>
      <c r="AI543" s="1" t="str">
        <f>IF(HR_Data[[#This Row],[YearsAtCompany]]&lt;=2,"0-2 Yrs",IF(HR_Data[[#This Row],[YearsAtCompany]]&lt;=5,"3-5 Yrs",IF(HR_Data[[#This Row],[YearsAtCompany]]&lt;=10,"6-10 Yrs","10+ Yrs")))</f>
        <v>6-10 Yrs</v>
      </c>
      <c r="AJ543" s="1">
        <f>IF(HR_Data[[#This Row],[YearsAtCompany]]&lt;=2,1,IF(HR_Data[[#This Row],[YearsAtCompany]]&lt;=5,2,IF(HR_Data[[#This Row],[YearsAtCompany]]&lt;=10,3,4)))</f>
        <v>3</v>
      </c>
      <c r="AK543" s="1" t="str">
        <f>CHOOSE(HR_Data[[#This Row],[Education]],"Below College","College","Bachelor","Master","Doctor")</f>
        <v>Bachelor</v>
      </c>
      <c r="AL543" s="1" t="str">
        <f>CHOOSE(HR_Data[[#This Row],[JobSatisfaction]],"Low","Medium","High","Very High")</f>
        <v>Low</v>
      </c>
      <c r="AM543" s="1" t="str">
        <f>CHOOSE(HR_Data[[#This Row],[EnvironmentSatisfaction]],"Low","Medium","High","Very High")</f>
        <v>Low</v>
      </c>
      <c r="AN543" s="1" t="str">
        <f>CHOOSE(HR_Data[[#This Row],[WorkLifeBalance]],"Bad","Good","Better","Best")</f>
        <v>Better</v>
      </c>
      <c r="AO543" s="1" t="str">
        <f>IF(HR_Data[[#This Row],[PercentSalaryHike]]&lt;=13,"11-13%",IF(HR_Data[[#This Row],[PercentSalaryHike]]&lt;=16,"14-16%",IF(HR_Data[[#This Row],[PercentSalaryHike]]&lt;=19,"17-19%","20-25%")))</f>
        <v>14-16%</v>
      </c>
      <c r="AP543" s="1">
        <f>IF(HR_Data[[#This Row],[PercentSalaryHike]]&lt;=13,1,IF(HR_Data[[#This Row],[PercentSalaryHike]]&lt;=16,2,IF(HR_Data[[#This Row],[PercentSalaryHike]]&lt;=19,3,4)))</f>
        <v>2</v>
      </c>
      <c r="AQ543" s="1" t="str">
        <f>IF(HR_Data[[#This Row],[DistanceFromHome]]&lt;=5,"1 to 5",IF(HR_Data[[#This Row],[DistanceFromHome]]&lt;=10,"6 to 10",IF(HR_Data[[#This Row],[DistanceFromHome]]&lt;=20,"11 to 20","21 to 29")))</f>
        <v>6 to 10</v>
      </c>
      <c r="AR543" s="1">
        <f>IF(HR_Data[[#This Row],[DistanceFromHome]]&lt;=5,1,IF(HR_Data[[#This Row],[DistanceFromHome]]&lt;=10,2,IF(HR_Data[[#This Row],[DistanceFromHome]]&lt;=20,3,4)))</f>
        <v>2</v>
      </c>
      <c r="AS543" s="1" t="str">
        <f>IF(HR_Data[[#This Row],[TotalWorkingYears]]&lt;=5,"0-5 Yrs",IF(HR_Data[[#This Row],[TotalWorkingYears]]&lt;=10,"6-10 Yrs",IF(HR_Data[[#This Row],[TotalWorkingYears]]&lt;=20,"11-20 Yrs","20+ Yrs")))</f>
        <v>6-10 Yrs</v>
      </c>
      <c r="AT543" s="1">
        <f>IF(HR_Data[[#This Row],[TotalWorkingYears]]&lt;=5,1,IF(HR_Data[[#This Row],[TotalWorkingYears]]&lt;=10,2,IF(HR_Data[[#This Row],[TotalWorkingYears]]&lt;=20,3,4)))</f>
        <v>2</v>
      </c>
    </row>
    <row r="544" spans="1:46" x14ac:dyDescent="0.25">
      <c r="A544">
        <v>38</v>
      </c>
      <c r="B544" t="s">
        <v>36</v>
      </c>
      <c r="C544" t="s">
        <v>30</v>
      </c>
      <c r="D544" t="s">
        <v>38</v>
      </c>
      <c r="E544">
        <v>1</v>
      </c>
      <c r="F544">
        <v>3</v>
      </c>
      <c r="G544" t="s">
        <v>32</v>
      </c>
      <c r="H544">
        <v>743</v>
      </c>
      <c r="I544">
        <v>3</v>
      </c>
      <c r="J544" t="s">
        <v>33</v>
      </c>
      <c r="K544">
        <v>3</v>
      </c>
      <c r="L544">
        <v>3</v>
      </c>
      <c r="M544" t="s">
        <v>46</v>
      </c>
      <c r="N544">
        <v>3</v>
      </c>
      <c r="O544" t="s">
        <v>35</v>
      </c>
      <c r="P544">
        <v>7861</v>
      </c>
      <c r="Q544">
        <v>4</v>
      </c>
      <c r="R544" t="s">
        <v>29</v>
      </c>
      <c r="S544">
        <v>14</v>
      </c>
      <c r="T544">
        <v>3</v>
      </c>
      <c r="U544">
        <v>4</v>
      </c>
      <c r="V544">
        <v>0</v>
      </c>
      <c r="W544">
        <v>10</v>
      </c>
      <c r="X544">
        <v>4</v>
      </c>
      <c r="Y544">
        <v>4</v>
      </c>
      <c r="Z544">
        <v>1</v>
      </c>
      <c r="AA544">
        <v>0</v>
      </c>
      <c r="AB544">
        <v>0</v>
      </c>
      <c r="AC544">
        <v>0</v>
      </c>
      <c r="AD544">
        <f>IF(HR_Data[[#This Row],[Attrition]]="Yes",1,0)</f>
        <v>0</v>
      </c>
      <c r="AE544" t="str">
        <f>IF(HR_Data[[#This Row],[Age]]&lt;=25,"18-25",IF(HR_Data[[#This Row],[Age]]&lt;=35,"26-35",IF(HR_Data[[#This Row],[Age]]&lt;=45,"36-45",IF(HR_Data[[#This Row],[Age]]&lt;=55,"46-55","55+"))))</f>
        <v>36-45</v>
      </c>
      <c r="AF544">
        <f>IF(HR_Data[[#This Row],[Age]]&lt;=25,1,IF(HR_Data[[#This Row],[Age]]&lt;=35,2,IF(HR_Data[[#This Row],[Age]]&lt;=45,3,IF(HR_Data[[#This Row],[Age]]&lt;=55,4,5))))</f>
        <v>3</v>
      </c>
      <c r="AG544" s="1" t="str">
        <f>IF(HR_Data[[#This Row],[MonthlyIncome]]&lt;3000,"&lt;3K",IF(HR_Data[[#This Row],[MonthlyIncome]]&lt;6000,"3K-6K",IF(HR_Data[[#This Row],[MonthlyIncome]]&lt;10000,"6K-10K","10K+")))</f>
        <v>6K-10K</v>
      </c>
      <c r="AH544" s="1">
        <f>IF(HR_Data[[#This Row],[MonthlyIncome]]&lt;3000,1,IF(HR_Data[[#This Row],[MonthlyIncome]]&lt;6000,2,IF(HR_Data[[#This Row],[MonthlyIncome]]&lt;10000,3,4)))</f>
        <v>3</v>
      </c>
      <c r="AI544" s="1" t="str">
        <f>IF(HR_Data[[#This Row],[YearsAtCompany]]&lt;=2,"0-2 Yrs",IF(HR_Data[[#This Row],[YearsAtCompany]]&lt;=5,"3-5 Yrs",IF(HR_Data[[#This Row],[YearsAtCompany]]&lt;=10,"6-10 Yrs","10+ Yrs")))</f>
        <v>0-2 Yrs</v>
      </c>
      <c r="AJ544" s="1">
        <f>IF(HR_Data[[#This Row],[YearsAtCompany]]&lt;=2,1,IF(HR_Data[[#This Row],[YearsAtCompany]]&lt;=5,2,IF(HR_Data[[#This Row],[YearsAtCompany]]&lt;=10,3,4)))</f>
        <v>1</v>
      </c>
      <c r="AK544" s="1" t="str">
        <f>CHOOSE(HR_Data[[#This Row],[Education]],"Below College","College","Bachelor","Master","Doctor")</f>
        <v>Bachelor</v>
      </c>
      <c r="AL544" s="1" t="str">
        <f>CHOOSE(HR_Data[[#This Row],[JobSatisfaction]],"Low","Medium","High","Very High")</f>
        <v>High</v>
      </c>
      <c r="AM544" s="1" t="str">
        <f>CHOOSE(HR_Data[[#This Row],[EnvironmentSatisfaction]],"Low","Medium","High","Very High")</f>
        <v>High</v>
      </c>
      <c r="AN544" s="1" t="str">
        <f>CHOOSE(HR_Data[[#This Row],[WorkLifeBalance]],"Bad","Good","Better","Best")</f>
        <v>Best</v>
      </c>
      <c r="AO544" s="1" t="str">
        <f>IF(HR_Data[[#This Row],[PercentSalaryHike]]&lt;=13,"11-13%",IF(HR_Data[[#This Row],[PercentSalaryHike]]&lt;=16,"14-16%",IF(HR_Data[[#This Row],[PercentSalaryHike]]&lt;=19,"17-19%","20-25%")))</f>
        <v>14-16%</v>
      </c>
      <c r="AP544" s="1">
        <f>IF(HR_Data[[#This Row],[PercentSalaryHike]]&lt;=13,1,IF(HR_Data[[#This Row],[PercentSalaryHike]]&lt;=16,2,IF(HR_Data[[#This Row],[PercentSalaryHike]]&lt;=19,3,4)))</f>
        <v>2</v>
      </c>
      <c r="AQ544" s="1" t="str">
        <f>IF(HR_Data[[#This Row],[DistanceFromHome]]&lt;=5,"1 to 5",IF(HR_Data[[#This Row],[DistanceFromHome]]&lt;=10,"6 to 10",IF(HR_Data[[#This Row],[DistanceFromHome]]&lt;=20,"11 to 20","21 to 29")))</f>
        <v>1 to 5</v>
      </c>
      <c r="AR544" s="1">
        <f>IF(HR_Data[[#This Row],[DistanceFromHome]]&lt;=5,1,IF(HR_Data[[#This Row],[DistanceFromHome]]&lt;=10,2,IF(HR_Data[[#This Row],[DistanceFromHome]]&lt;=20,3,4)))</f>
        <v>1</v>
      </c>
      <c r="AS544" s="1" t="str">
        <f>IF(HR_Data[[#This Row],[TotalWorkingYears]]&lt;=5,"0-5 Yrs",IF(HR_Data[[#This Row],[TotalWorkingYears]]&lt;=10,"6-10 Yrs",IF(HR_Data[[#This Row],[TotalWorkingYears]]&lt;=20,"11-20 Yrs","20+ Yrs")))</f>
        <v>6-10 Yrs</v>
      </c>
      <c r="AT544" s="1">
        <f>IF(HR_Data[[#This Row],[TotalWorkingYears]]&lt;=5,1,IF(HR_Data[[#This Row],[TotalWorkingYears]]&lt;=10,2,IF(HR_Data[[#This Row],[TotalWorkingYears]]&lt;=20,3,4)))</f>
        <v>2</v>
      </c>
    </row>
    <row r="545" spans="1:46" x14ac:dyDescent="0.25">
      <c r="A545">
        <v>44</v>
      </c>
      <c r="B545" t="s">
        <v>36</v>
      </c>
      <c r="C545" t="s">
        <v>48</v>
      </c>
      <c r="D545" t="s">
        <v>38</v>
      </c>
      <c r="E545">
        <v>24</v>
      </c>
      <c r="F545">
        <v>3</v>
      </c>
      <c r="G545" t="s">
        <v>44</v>
      </c>
      <c r="H545">
        <v>744</v>
      </c>
      <c r="I545">
        <v>1</v>
      </c>
      <c r="J545" t="s">
        <v>39</v>
      </c>
      <c r="K545">
        <v>1</v>
      </c>
      <c r="L545">
        <v>1</v>
      </c>
      <c r="M545" t="s">
        <v>43</v>
      </c>
      <c r="N545">
        <v>3</v>
      </c>
      <c r="O545" t="s">
        <v>35</v>
      </c>
      <c r="P545">
        <v>3708</v>
      </c>
      <c r="Q545">
        <v>2</v>
      </c>
      <c r="R545" t="s">
        <v>36</v>
      </c>
      <c r="S545">
        <v>14</v>
      </c>
      <c r="T545">
        <v>3</v>
      </c>
      <c r="U545">
        <v>3</v>
      </c>
      <c r="V545">
        <v>0</v>
      </c>
      <c r="W545">
        <v>9</v>
      </c>
      <c r="X545">
        <v>5</v>
      </c>
      <c r="Y545">
        <v>3</v>
      </c>
      <c r="Z545">
        <v>5</v>
      </c>
      <c r="AA545">
        <v>2</v>
      </c>
      <c r="AB545">
        <v>1</v>
      </c>
      <c r="AC545">
        <v>4</v>
      </c>
      <c r="AD545">
        <f>IF(HR_Data[[#This Row],[Attrition]]="Yes",1,0)</f>
        <v>0</v>
      </c>
      <c r="AE545" t="str">
        <f>IF(HR_Data[[#This Row],[Age]]&lt;=25,"18-25",IF(HR_Data[[#This Row],[Age]]&lt;=35,"26-35",IF(HR_Data[[#This Row],[Age]]&lt;=45,"36-45",IF(HR_Data[[#This Row],[Age]]&lt;=55,"46-55","55+"))))</f>
        <v>36-45</v>
      </c>
      <c r="AF545">
        <f>IF(HR_Data[[#This Row],[Age]]&lt;=25,1,IF(HR_Data[[#This Row],[Age]]&lt;=35,2,IF(HR_Data[[#This Row],[Age]]&lt;=45,3,IF(HR_Data[[#This Row],[Age]]&lt;=55,4,5))))</f>
        <v>3</v>
      </c>
      <c r="AG545" s="1" t="str">
        <f>IF(HR_Data[[#This Row],[MonthlyIncome]]&lt;3000,"&lt;3K",IF(HR_Data[[#This Row],[MonthlyIncome]]&lt;6000,"3K-6K",IF(HR_Data[[#This Row],[MonthlyIncome]]&lt;10000,"6K-10K","10K+")))</f>
        <v>3K-6K</v>
      </c>
      <c r="AH545" s="1">
        <f>IF(HR_Data[[#This Row],[MonthlyIncome]]&lt;3000,1,IF(HR_Data[[#This Row],[MonthlyIncome]]&lt;6000,2,IF(HR_Data[[#This Row],[MonthlyIncome]]&lt;10000,3,4)))</f>
        <v>2</v>
      </c>
      <c r="AI545" s="1" t="str">
        <f>IF(HR_Data[[#This Row],[YearsAtCompany]]&lt;=2,"0-2 Yrs",IF(HR_Data[[#This Row],[YearsAtCompany]]&lt;=5,"3-5 Yrs",IF(HR_Data[[#This Row],[YearsAtCompany]]&lt;=10,"6-10 Yrs","10+ Yrs")))</f>
        <v>3-5 Yrs</v>
      </c>
      <c r="AJ545" s="1">
        <f>IF(HR_Data[[#This Row],[YearsAtCompany]]&lt;=2,1,IF(HR_Data[[#This Row],[YearsAtCompany]]&lt;=5,2,IF(HR_Data[[#This Row],[YearsAtCompany]]&lt;=10,3,4)))</f>
        <v>2</v>
      </c>
      <c r="AK545" s="1" t="str">
        <f>CHOOSE(HR_Data[[#This Row],[Education]],"Below College","College","Bachelor","Master","Doctor")</f>
        <v>Bachelor</v>
      </c>
      <c r="AL545" s="1" t="str">
        <f>CHOOSE(HR_Data[[#This Row],[JobSatisfaction]],"Low","Medium","High","Very High")</f>
        <v>High</v>
      </c>
      <c r="AM545" s="1" t="str">
        <f>CHOOSE(HR_Data[[#This Row],[EnvironmentSatisfaction]],"Low","Medium","High","Very High")</f>
        <v>Low</v>
      </c>
      <c r="AN545" s="1" t="str">
        <f>CHOOSE(HR_Data[[#This Row],[WorkLifeBalance]],"Bad","Good","Better","Best")</f>
        <v>Better</v>
      </c>
      <c r="AO545" s="1" t="str">
        <f>IF(HR_Data[[#This Row],[PercentSalaryHike]]&lt;=13,"11-13%",IF(HR_Data[[#This Row],[PercentSalaryHike]]&lt;=16,"14-16%",IF(HR_Data[[#This Row],[PercentSalaryHike]]&lt;=19,"17-19%","20-25%")))</f>
        <v>14-16%</v>
      </c>
      <c r="AP545" s="1">
        <f>IF(HR_Data[[#This Row],[PercentSalaryHike]]&lt;=13,1,IF(HR_Data[[#This Row],[PercentSalaryHike]]&lt;=16,2,IF(HR_Data[[#This Row],[PercentSalaryHike]]&lt;=19,3,4)))</f>
        <v>2</v>
      </c>
      <c r="AQ545" s="1" t="str">
        <f>IF(HR_Data[[#This Row],[DistanceFromHome]]&lt;=5,"1 to 5",IF(HR_Data[[#This Row],[DistanceFromHome]]&lt;=10,"6 to 10",IF(HR_Data[[#This Row],[DistanceFromHome]]&lt;=20,"11 to 20","21 to 29")))</f>
        <v>21 to 29</v>
      </c>
      <c r="AR545" s="1">
        <f>IF(HR_Data[[#This Row],[DistanceFromHome]]&lt;=5,1,IF(HR_Data[[#This Row],[DistanceFromHome]]&lt;=10,2,IF(HR_Data[[#This Row],[DistanceFromHome]]&lt;=20,3,4)))</f>
        <v>4</v>
      </c>
      <c r="AS545" s="1" t="str">
        <f>IF(HR_Data[[#This Row],[TotalWorkingYears]]&lt;=5,"0-5 Yrs",IF(HR_Data[[#This Row],[TotalWorkingYears]]&lt;=10,"6-10 Yrs",IF(HR_Data[[#This Row],[TotalWorkingYears]]&lt;=20,"11-20 Yrs","20+ Yrs")))</f>
        <v>6-10 Yrs</v>
      </c>
      <c r="AT545" s="1">
        <f>IF(HR_Data[[#This Row],[TotalWorkingYears]]&lt;=5,1,IF(HR_Data[[#This Row],[TotalWorkingYears]]&lt;=10,2,IF(HR_Data[[#This Row],[TotalWorkingYears]]&lt;=20,3,4)))</f>
        <v>2</v>
      </c>
    </row>
    <row r="546" spans="1:46" x14ac:dyDescent="0.25">
      <c r="A546">
        <v>47</v>
      </c>
      <c r="B546" t="s">
        <v>36</v>
      </c>
      <c r="C546" t="s">
        <v>37</v>
      </c>
      <c r="D546" t="s">
        <v>31</v>
      </c>
      <c r="E546">
        <v>3</v>
      </c>
      <c r="F546">
        <v>3</v>
      </c>
      <c r="G546" t="s">
        <v>44</v>
      </c>
      <c r="H546">
        <v>746</v>
      </c>
      <c r="I546">
        <v>4</v>
      </c>
      <c r="J546" t="s">
        <v>33</v>
      </c>
      <c r="K546">
        <v>3</v>
      </c>
      <c r="L546">
        <v>4</v>
      </c>
      <c r="M546" t="s">
        <v>34</v>
      </c>
      <c r="N546">
        <v>3</v>
      </c>
      <c r="O546" t="s">
        <v>45</v>
      </c>
      <c r="P546">
        <v>13770</v>
      </c>
      <c r="Q546">
        <v>9</v>
      </c>
      <c r="R546" t="s">
        <v>29</v>
      </c>
      <c r="S546">
        <v>12</v>
      </c>
      <c r="T546">
        <v>3</v>
      </c>
      <c r="U546">
        <v>4</v>
      </c>
      <c r="V546">
        <v>2</v>
      </c>
      <c r="W546">
        <v>28</v>
      </c>
      <c r="X546">
        <v>2</v>
      </c>
      <c r="Y546">
        <v>2</v>
      </c>
      <c r="Z546">
        <v>22</v>
      </c>
      <c r="AA546">
        <v>2</v>
      </c>
      <c r="AB546">
        <v>11</v>
      </c>
      <c r="AC546">
        <v>13</v>
      </c>
      <c r="AD546">
        <f>IF(HR_Data[[#This Row],[Attrition]]="Yes",1,0)</f>
        <v>0</v>
      </c>
      <c r="AE546" t="str">
        <f>IF(HR_Data[[#This Row],[Age]]&lt;=25,"18-25",IF(HR_Data[[#This Row],[Age]]&lt;=35,"26-35",IF(HR_Data[[#This Row],[Age]]&lt;=45,"36-45",IF(HR_Data[[#This Row],[Age]]&lt;=55,"46-55","55+"))))</f>
        <v>46-55</v>
      </c>
      <c r="AF546">
        <f>IF(HR_Data[[#This Row],[Age]]&lt;=25,1,IF(HR_Data[[#This Row],[Age]]&lt;=35,2,IF(HR_Data[[#This Row],[Age]]&lt;=45,3,IF(HR_Data[[#This Row],[Age]]&lt;=55,4,5))))</f>
        <v>4</v>
      </c>
      <c r="AG546" s="1" t="str">
        <f>IF(HR_Data[[#This Row],[MonthlyIncome]]&lt;3000,"&lt;3K",IF(HR_Data[[#This Row],[MonthlyIncome]]&lt;6000,"3K-6K",IF(HR_Data[[#This Row],[MonthlyIncome]]&lt;10000,"6K-10K","10K+")))</f>
        <v>10K+</v>
      </c>
      <c r="AH546" s="1">
        <f>IF(HR_Data[[#This Row],[MonthlyIncome]]&lt;3000,1,IF(HR_Data[[#This Row],[MonthlyIncome]]&lt;6000,2,IF(HR_Data[[#This Row],[MonthlyIncome]]&lt;10000,3,4)))</f>
        <v>4</v>
      </c>
      <c r="AI546" s="1" t="str">
        <f>IF(HR_Data[[#This Row],[YearsAtCompany]]&lt;=2,"0-2 Yrs",IF(HR_Data[[#This Row],[YearsAtCompany]]&lt;=5,"3-5 Yrs",IF(HR_Data[[#This Row],[YearsAtCompany]]&lt;=10,"6-10 Yrs","10+ Yrs")))</f>
        <v>10+ Yrs</v>
      </c>
      <c r="AJ546" s="1">
        <f>IF(HR_Data[[#This Row],[YearsAtCompany]]&lt;=2,1,IF(HR_Data[[#This Row],[YearsAtCompany]]&lt;=5,2,IF(HR_Data[[#This Row],[YearsAtCompany]]&lt;=10,3,4)))</f>
        <v>4</v>
      </c>
      <c r="AK546" s="1" t="str">
        <f>CHOOSE(HR_Data[[#This Row],[Education]],"Below College","College","Bachelor","Master","Doctor")</f>
        <v>Bachelor</v>
      </c>
      <c r="AL546" s="1" t="str">
        <f>CHOOSE(HR_Data[[#This Row],[JobSatisfaction]],"Low","Medium","High","Very High")</f>
        <v>High</v>
      </c>
      <c r="AM546" s="1" t="str">
        <f>CHOOSE(HR_Data[[#This Row],[EnvironmentSatisfaction]],"Low","Medium","High","Very High")</f>
        <v>Very High</v>
      </c>
      <c r="AN546" s="1" t="str">
        <f>CHOOSE(HR_Data[[#This Row],[WorkLifeBalance]],"Bad","Good","Better","Best")</f>
        <v>Good</v>
      </c>
      <c r="AO546" s="1" t="str">
        <f>IF(HR_Data[[#This Row],[PercentSalaryHike]]&lt;=13,"11-13%",IF(HR_Data[[#This Row],[PercentSalaryHike]]&lt;=16,"14-16%",IF(HR_Data[[#This Row],[PercentSalaryHike]]&lt;=19,"17-19%","20-25%")))</f>
        <v>11-13%</v>
      </c>
      <c r="AP546" s="1">
        <f>IF(HR_Data[[#This Row],[PercentSalaryHike]]&lt;=13,1,IF(HR_Data[[#This Row],[PercentSalaryHike]]&lt;=16,2,IF(HR_Data[[#This Row],[PercentSalaryHike]]&lt;=19,3,4)))</f>
        <v>1</v>
      </c>
      <c r="AQ546" s="1" t="str">
        <f>IF(HR_Data[[#This Row],[DistanceFromHome]]&lt;=5,"1 to 5",IF(HR_Data[[#This Row],[DistanceFromHome]]&lt;=10,"6 to 10",IF(HR_Data[[#This Row],[DistanceFromHome]]&lt;=20,"11 to 20","21 to 29")))</f>
        <v>1 to 5</v>
      </c>
      <c r="AR546" s="1">
        <f>IF(HR_Data[[#This Row],[DistanceFromHome]]&lt;=5,1,IF(HR_Data[[#This Row],[DistanceFromHome]]&lt;=10,2,IF(HR_Data[[#This Row],[DistanceFromHome]]&lt;=20,3,4)))</f>
        <v>1</v>
      </c>
      <c r="AS546" s="1" t="str">
        <f>IF(HR_Data[[#This Row],[TotalWorkingYears]]&lt;=5,"0-5 Yrs",IF(HR_Data[[#This Row],[TotalWorkingYears]]&lt;=10,"6-10 Yrs",IF(HR_Data[[#This Row],[TotalWorkingYears]]&lt;=20,"11-20 Yrs","20+ Yrs")))</f>
        <v>20+ Yrs</v>
      </c>
      <c r="AT546" s="1">
        <f>IF(HR_Data[[#This Row],[TotalWorkingYears]]&lt;=5,1,IF(HR_Data[[#This Row],[TotalWorkingYears]]&lt;=10,2,IF(HR_Data[[#This Row],[TotalWorkingYears]]&lt;=20,3,4)))</f>
        <v>4</v>
      </c>
    </row>
    <row r="547" spans="1:46" x14ac:dyDescent="0.25">
      <c r="A547">
        <v>30</v>
      </c>
      <c r="B547" t="s">
        <v>36</v>
      </c>
      <c r="C547" t="s">
        <v>30</v>
      </c>
      <c r="D547" t="s">
        <v>31</v>
      </c>
      <c r="E547">
        <v>27</v>
      </c>
      <c r="F547">
        <v>5</v>
      </c>
      <c r="G547" t="s">
        <v>52</v>
      </c>
      <c r="H547">
        <v>747</v>
      </c>
      <c r="I547">
        <v>3</v>
      </c>
      <c r="J547" t="s">
        <v>39</v>
      </c>
      <c r="K547">
        <v>3</v>
      </c>
      <c r="L547">
        <v>2</v>
      </c>
      <c r="M547" t="s">
        <v>34</v>
      </c>
      <c r="N547">
        <v>4</v>
      </c>
      <c r="O547" t="s">
        <v>45</v>
      </c>
      <c r="P547">
        <v>5304</v>
      </c>
      <c r="Q547">
        <v>7</v>
      </c>
      <c r="R547" t="s">
        <v>36</v>
      </c>
      <c r="S547">
        <v>23</v>
      </c>
      <c r="T547">
        <v>4</v>
      </c>
      <c r="U547">
        <v>4</v>
      </c>
      <c r="V547">
        <v>1</v>
      </c>
      <c r="W547">
        <v>10</v>
      </c>
      <c r="X547">
        <v>2</v>
      </c>
      <c r="Y547">
        <v>2</v>
      </c>
      <c r="Z547">
        <v>8</v>
      </c>
      <c r="AA547">
        <v>7</v>
      </c>
      <c r="AB547">
        <v>7</v>
      </c>
      <c r="AC547">
        <v>7</v>
      </c>
      <c r="AD547">
        <f>IF(HR_Data[[#This Row],[Attrition]]="Yes",1,0)</f>
        <v>0</v>
      </c>
      <c r="AE547" t="str">
        <f>IF(HR_Data[[#This Row],[Age]]&lt;=25,"18-25",IF(HR_Data[[#This Row],[Age]]&lt;=35,"26-35",IF(HR_Data[[#This Row],[Age]]&lt;=45,"36-45",IF(HR_Data[[#This Row],[Age]]&lt;=55,"46-55","55+"))))</f>
        <v>26-35</v>
      </c>
      <c r="AF547">
        <f>IF(HR_Data[[#This Row],[Age]]&lt;=25,1,IF(HR_Data[[#This Row],[Age]]&lt;=35,2,IF(HR_Data[[#This Row],[Age]]&lt;=45,3,IF(HR_Data[[#This Row],[Age]]&lt;=55,4,5))))</f>
        <v>2</v>
      </c>
      <c r="AG547" s="1" t="str">
        <f>IF(HR_Data[[#This Row],[MonthlyIncome]]&lt;3000,"&lt;3K",IF(HR_Data[[#This Row],[MonthlyIncome]]&lt;6000,"3K-6K",IF(HR_Data[[#This Row],[MonthlyIncome]]&lt;10000,"6K-10K","10K+")))</f>
        <v>3K-6K</v>
      </c>
      <c r="AH547" s="1">
        <f>IF(HR_Data[[#This Row],[MonthlyIncome]]&lt;3000,1,IF(HR_Data[[#This Row],[MonthlyIncome]]&lt;6000,2,IF(HR_Data[[#This Row],[MonthlyIncome]]&lt;10000,3,4)))</f>
        <v>2</v>
      </c>
      <c r="AI547" s="1" t="str">
        <f>IF(HR_Data[[#This Row],[YearsAtCompany]]&lt;=2,"0-2 Yrs",IF(HR_Data[[#This Row],[YearsAtCompany]]&lt;=5,"3-5 Yrs",IF(HR_Data[[#This Row],[YearsAtCompany]]&lt;=10,"6-10 Yrs","10+ Yrs")))</f>
        <v>6-10 Yrs</v>
      </c>
      <c r="AJ547" s="1">
        <f>IF(HR_Data[[#This Row],[YearsAtCompany]]&lt;=2,1,IF(HR_Data[[#This Row],[YearsAtCompany]]&lt;=5,2,IF(HR_Data[[#This Row],[YearsAtCompany]]&lt;=10,3,4)))</f>
        <v>3</v>
      </c>
      <c r="AK547" s="1" t="str">
        <f>CHOOSE(HR_Data[[#This Row],[Education]],"Below College","College","Bachelor","Master","Doctor")</f>
        <v>Doctor</v>
      </c>
      <c r="AL547" s="1" t="str">
        <f>CHOOSE(HR_Data[[#This Row],[JobSatisfaction]],"Low","Medium","High","Very High")</f>
        <v>Very High</v>
      </c>
      <c r="AM547" s="1" t="str">
        <f>CHOOSE(HR_Data[[#This Row],[EnvironmentSatisfaction]],"Low","Medium","High","Very High")</f>
        <v>High</v>
      </c>
      <c r="AN547" s="1" t="str">
        <f>CHOOSE(HR_Data[[#This Row],[WorkLifeBalance]],"Bad","Good","Better","Best")</f>
        <v>Good</v>
      </c>
      <c r="AO547" s="1" t="str">
        <f>IF(HR_Data[[#This Row],[PercentSalaryHike]]&lt;=13,"11-13%",IF(HR_Data[[#This Row],[PercentSalaryHike]]&lt;=16,"14-16%",IF(HR_Data[[#This Row],[PercentSalaryHike]]&lt;=19,"17-19%","20-25%")))</f>
        <v>20-25%</v>
      </c>
      <c r="AP547" s="1">
        <f>IF(HR_Data[[#This Row],[PercentSalaryHike]]&lt;=13,1,IF(HR_Data[[#This Row],[PercentSalaryHike]]&lt;=16,2,IF(HR_Data[[#This Row],[PercentSalaryHike]]&lt;=19,3,4)))</f>
        <v>4</v>
      </c>
      <c r="AQ547" s="1" t="str">
        <f>IF(HR_Data[[#This Row],[DistanceFromHome]]&lt;=5,"1 to 5",IF(HR_Data[[#This Row],[DistanceFromHome]]&lt;=10,"6 to 10",IF(HR_Data[[#This Row],[DistanceFromHome]]&lt;=20,"11 to 20","21 to 29")))</f>
        <v>21 to 29</v>
      </c>
      <c r="AR547" s="1">
        <f>IF(HR_Data[[#This Row],[DistanceFromHome]]&lt;=5,1,IF(HR_Data[[#This Row],[DistanceFromHome]]&lt;=10,2,IF(HR_Data[[#This Row],[DistanceFromHome]]&lt;=20,3,4)))</f>
        <v>4</v>
      </c>
      <c r="AS547" s="1" t="str">
        <f>IF(HR_Data[[#This Row],[TotalWorkingYears]]&lt;=5,"0-5 Yrs",IF(HR_Data[[#This Row],[TotalWorkingYears]]&lt;=10,"6-10 Yrs",IF(HR_Data[[#This Row],[TotalWorkingYears]]&lt;=20,"11-20 Yrs","20+ Yrs")))</f>
        <v>6-10 Yrs</v>
      </c>
      <c r="AT547" s="1">
        <f>IF(HR_Data[[#This Row],[TotalWorkingYears]]&lt;=5,1,IF(HR_Data[[#This Row],[TotalWorkingYears]]&lt;=10,2,IF(HR_Data[[#This Row],[TotalWorkingYears]]&lt;=20,3,4)))</f>
        <v>2</v>
      </c>
    </row>
    <row r="548" spans="1:46" x14ac:dyDescent="0.25">
      <c r="A548">
        <v>29</v>
      </c>
      <c r="B548" t="s">
        <v>36</v>
      </c>
      <c r="C548" t="s">
        <v>30</v>
      </c>
      <c r="D548" t="s">
        <v>31</v>
      </c>
      <c r="E548">
        <v>10</v>
      </c>
      <c r="F548">
        <v>3</v>
      </c>
      <c r="G548" t="s">
        <v>32</v>
      </c>
      <c r="H548">
        <v>749</v>
      </c>
      <c r="I548">
        <v>3</v>
      </c>
      <c r="J548" t="s">
        <v>39</v>
      </c>
      <c r="K548">
        <v>3</v>
      </c>
      <c r="L548">
        <v>1</v>
      </c>
      <c r="M548" t="s">
        <v>50</v>
      </c>
      <c r="N548">
        <v>3</v>
      </c>
      <c r="O548" t="s">
        <v>35</v>
      </c>
      <c r="P548">
        <v>2642</v>
      </c>
      <c r="Q548">
        <v>1</v>
      </c>
      <c r="R548" t="s">
        <v>36</v>
      </c>
      <c r="S548">
        <v>11</v>
      </c>
      <c r="T548">
        <v>3</v>
      </c>
      <c r="U548">
        <v>3</v>
      </c>
      <c r="V548">
        <v>0</v>
      </c>
      <c r="W548">
        <v>1</v>
      </c>
      <c r="X548">
        <v>6</v>
      </c>
      <c r="Y548">
        <v>3</v>
      </c>
      <c r="Z548">
        <v>1</v>
      </c>
      <c r="AA548">
        <v>0</v>
      </c>
      <c r="AB548">
        <v>0</v>
      </c>
      <c r="AC548">
        <v>0</v>
      </c>
      <c r="AD548">
        <f>IF(HR_Data[[#This Row],[Attrition]]="Yes",1,0)</f>
        <v>0</v>
      </c>
      <c r="AE548" t="str">
        <f>IF(HR_Data[[#This Row],[Age]]&lt;=25,"18-25",IF(HR_Data[[#This Row],[Age]]&lt;=35,"26-35",IF(HR_Data[[#This Row],[Age]]&lt;=45,"36-45",IF(HR_Data[[#This Row],[Age]]&lt;=55,"46-55","55+"))))</f>
        <v>26-35</v>
      </c>
      <c r="AF548">
        <f>IF(HR_Data[[#This Row],[Age]]&lt;=25,1,IF(HR_Data[[#This Row],[Age]]&lt;=35,2,IF(HR_Data[[#This Row],[Age]]&lt;=45,3,IF(HR_Data[[#This Row],[Age]]&lt;=55,4,5))))</f>
        <v>2</v>
      </c>
      <c r="AG548" s="1" t="str">
        <f>IF(HR_Data[[#This Row],[MonthlyIncome]]&lt;3000,"&lt;3K",IF(HR_Data[[#This Row],[MonthlyIncome]]&lt;6000,"3K-6K",IF(HR_Data[[#This Row],[MonthlyIncome]]&lt;10000,"6K-10K","10K+")))</f>
        <v>&lt;3K</v>
      </c>
      <c r="AH548" s="1">
        <f>IF(HR_Data[[#This Row],[MonthlyIncome]]&lt;3000,1,IF(HR_Data[[#This Row],[MonthlyIncome]]&lt;6000,2,IF(HR_Data[[#This Row],[MonthlyIncome]]&lt;10000,3,4)))</f>
        <v>1</v>
      </c>
      <c r="AI548" s="1" t="str">
        <f>IF(HR_Data[[#This Row],[YearsAtCompany]]&lt;=2,"0-2 Yrs",IF(HR_Data[[#This Row],[YearsAtCompany]]&lt;=5,"3-5 Yrs",IF(HR_Data[[#This Row],[YearsAtCompany]]&lt;=10,"6-10 Yrs","10+ Yrs")))</f>
        <v>0-2 Yrs</v>
      </c>
      <c r="AJ548" s="1">
        <f>IF(HR_Data[[#This Row],[YearsAtCompany]]&lt;=2,1,IF(HR_Data[[#This Row],[YearsAtCompany]]&lt;=5,2,IF(HR_Data[[#This Row],[YearsAtCompany]]&lt;=10,3,4)))</f>
        <v>1</v>
      </c>
      <c r="AK548" s="1" t="str">
        <f>CHOOSE(HR_Data[[#This Row],[Education]],"Below College","College","Bachelor","Master","Doctor")</f>
        <v>Bachelor</v>
      </c>
      <c r="AL548" s="1" t="str">
        <f>CHOOSE(HR_Data[[#This Row],[JobSatisfaction]],"Low","Medium","High","Very High")</f>
        <v>High</v>
      </c>
      <c r="AM548" s="1" t="str">
        <f>CHOOSE(HR_Data[[#This Row],[EnvironmentSatisfaction]],"Low","Medium","High","Very High")</f>
        <v>High</v>
      </c>
      <c r="AN548" s="1" t="str">
        <f>CHOOSE(HR_Data[[#This Row],[WorkLifeBalance]],"Bad","Good","Better","Best")</f>
        <v>Better</v>
      </c>
      <c r="AO548" s="1" t="str">
        <f>IF(HR_Data[[#This Row],[PercentSalaryHike]]&lt;=13,"11-13%",IF(HR_Data[[#This Row],[PercentSalaryHike]]&lt;=16,"14-16%",IF(HR_Data[[#This Row],[PercentSalaryHike]]&lt;=19,"17-19%","20-25%")))</f>
        <v>11-13%</v>
      </c>
      <c r="AP548" s="1">
        <f>IF(HR_Data[[#This Row],[PercentSalaryHike]]&lt;=13,1,IF(HR_Data[[#This Row],[PercentSalaryHike]]&lt;=16,2,IF(HR_Data[[#This Row],[PercentSalaryHike]]&lt;=19,3,4)))</f>
        <v>1</v>
      </c>
      <c r="AQ548" s="1" t="str">
        <f>IF(HR_Data[[#This Row],[DistanceFromHome]]&lt;=5,"1 to 5",IF(HR_Data[[#This Row],[DistanceFromHome]]&lt;=10,"6 to 10",IF(HR_Data[[#This Row],[DistanceFromHome]]&lt;=20,"11 to 20","21 to 29")))</f>
        <v>6 to 10</v>
      </c>
      <c r="AR548" s="1">
        <f>IF(HR_Data[[#This Row],[DistanceFromHome]]&lt;=5,1,IF(HR_Data[[#This Row],[DistanceFromHome]]&lt;=10,2,IF(HR_Data[[#This Row],[DistanceFromHome]]&lt;=20,3,4)))</f>
        <v>2</v>
      </c>
      <c r="AS548" s="1" t="str">
        <f>IF(HR_Data[[#This Row],[TotalWorkingYears]]&lt;=5,"0-5 Yrs",IF(HR_Data[[#This Row],[TotalWorkingYears]]&lt;=10,"6-10 Yrs",IF(HR_Data[[#This Row],[TotalWorkingYears]]&lt;=20,"11-20 Yrs","20+ Yrs")))</f>
        <v>0-5 Yrs</v>
      </c>
      <c r="AT548" s="1">
        <f>IF(HR_Data[[#This Row],[TotalWorkingYears]]&lt;=5,1,IF(HR_Data[[#This Row],[TotalWorkingYears]]&lt;=10,2,IF(HR_Data[[#This Row],[TotalWorkingYears]]&lt;=20,3,4)))</f>
        <v>1</v>
      </c>
    </row>
    <row r="549" spans="1:46" x14ac:dyDescent="0.25">
      <c r="A549">
        <v>42</v>
      </c>
      <c r="B549" t="s">
        <v>29</v>
      </c>
      <c r="C549" t="s">
        <v>37</v>
      </c>
      <c r="D549" t="s">
        <v>38</v>
      </c>
      <c r="E549">
        <v>19</v>
      </c>
      <c r="F549">
        <v>3</v>
      </c>
      <c r="G549" t="s">
        <v>44</v>
      </c>
      <c r="H549">
        <v>752</v>
      </c>
      <c r="I549">
        <v>3</v>
      </c>
      <c r="J549" t="s">
        <v>39</v>
      </c>
      <c r="K549">
        <v>4</v>
      </c>
      <c r="L549">
        <v>1</v>
      </c>
      <c r="M549" t="s">
        <v>40</v>
      </c>
      <c r="N549">
        <v>3</v>
      </c>
      <c r="O549" t="s">
        <v>45</v>
      </c>
      <c r="P549">
        <v>2759</v>
      </c>
      <c r="Q549">
        <v>6</v>
      </c>
      <c r="R549" t="s">
        <v>29</v>
      </c>
      <c r="S549">
        <v>12</v>
      </c>
      <c r="T549">
        <v>3</v>
      </c>
      <c r="U549">
        <v>4</v>
      </c>
      <c r="V549">
        <v>0</v>
      </c>
      <c r="W549">
        <v>7</v>
      </c>
      <c r="X549">
        <v>2</v>
      </c>
      <c r="Y549">
        <v>3</v>
      </c>
      <c r="Z549">
        <v>2</v>
      </c>
      <c r="AA549">
        <v>2</v>
      </c>
      <c r="AB549">
        <v>2</v>
      </c>
      <c r="AC549">
        <v>2</v>
      </c>
      <c r="AD549">
        <f>IF(HR_Data[[#This Row],[Attrition]]="Yes",1,0)</f>
        <v>1</v>
      </c>
      <c r="AE549" t="str">
        <f>IF(HR_Data[[#This Row],[Age]]&lt;=25,"18-25",IF(HR_Data[[#This Row],[Age]]&lt;=35,"26-35",IF(HR_Data[[#This Row],[Age]]&lt;=45,"36-45",IF(HR_Data[[#This Row],[Age]]&lt;=55,"46-55","55+"))))</f>
        <v>36-45</v>
      </c>
      <c r="AF549">
        <f>IF(HR_Data[[#This Row],[Age]]&lt;=25,1,IF(HR_Data[[#This Row],[Age]]&lt;=35,2,IF(HR_Data[[#This Row],[Age]]&lt;=45,3,IF(HR_Data[[#This Row],[Age]]&lt;=55,4,5))))</f>
        <v>3</v>
      </c>
      <c r="AG549" s="1" t="str">
        <f>IF(HR_Data[[#This Row],[MonthlyIncome]]&lt;3000,"&lt;3K",IF(HR_Data[[#This Row],[MonthlyIncome]]&lt;6000,"3K-6K",IF(HR_Data[[#This Row],[MonthlyIncome]]&lt;10000,"6K-10K","10K+")))</f>
        <v>&lt;3K</v>
      </c>
      <c r="AH549" s="1">
        <f>IF(HR_Data[[#This Row],[MonthlyIncome]]&lt;3000,1,IF(HR_Data[[#This Row],[MonthlyIncome]]&lt;6000,2,IF(HR_Data[[#This Row],[MonthlyIncome]]&lt;10000,3,4)))</f>
        <v>1</v>
      </c>
      <c r="AI549" s="1" t="str">
        <f>IF(HR_Data[[#This Row],[YearsAtCompany]]&lt;=2,"0-2 Yrs",IF(HR_Data[[#This Row],[YearsAtCompany]]&lt;=5,"3-5 Yrs",IF(HR_Data[[#This Row],[YearsAtCompany]]&lt;=10,"6-10 Yrs","10+ Yrs")))</f>
        <v>0-2 Yrs</v>
      </c>
      <c r="AJ549" s="1">
        <f>IF(HR_Data[[#This Row],[YearsAtCompany]]&lt;=2,1,IF(HR_Data[[#This Row],[YearsAtCompany]]&lt;=5,2,IF(HR_Data[[#This Row],[YearsAtCompany]]&lt;=10,3,4)))</f>
        <v>1</v>
      </c>
      <c r="AK549" s="1" t="str">
        <f>CHOOSE(HR_Data[[#This Row],[Education]],"Below College","College","Bachelor","Master","Doctor")</f>
        <v>Bachelor</v>
      </c>
      <c r="AL549" s="1" t="str">
        <f>CHOOSE(HR_Data[[#This Row],[JobSatisfaction]],"Low","Medium","High","Very High")</f>
        <v>High</v>
      </c>
      <c r="AM549" s="1" t="str">
        <f>CHOOSE(HR_Data[[#This Row],[EnvironmentSatisfaction]],"Low","Medium","High","Very High")</f>
        <v>High</v>
      </c>
      <c r="AN549" s="1" t="str">
        <f>CHOOSE(HR_Data[[#This Row],[WorkLifeBalance]],"Bad","Good","Better","Best")</f>
        <v>Better</v>
      </c>
      <c r="AO549" s="1" t="str">
        <f>IF(HR_Data[[#This Row],[PercentSalaryHike]]&lt;=13,"11-13%",IF(HR_Data[[#This Row],[PercentSalaryHike]]&lt;=16,"14-16%",IF(HR_Data[[#This Row],[PercentSalaryHike]]&lt;=19,"17-19%","20-25%")))</f>
        <v>11-13%</v>
      </c>
      <c r="AP549" s="1">
        <f>IF(HR_Data[[#This Row],[PercentSalaryHike]]&lt;=13,1,IF(HR_Data[[#This Row],[PercentSalaryHike]]&lt;=16,2,IF(HR_Data[[#This Row],[PercentSalaryHike]]&lt;=19,3,4)))</f>
        <v>1</v>
      </c>
      <c r="AQ549" s="1" t="str">
        <f>IF(HR_Data[[#This Row],[DistanceFromHome]]&lt;=5,"1 to 5",IF(HR_Data[[#This Row],[DistanceFromHome]]&lt;=10,"6 to 10",IF(HR_Data[[#This Row],[DistanceFromHome]]&lt;=20,"11 to 20","21 to 29")))</f>
        <v>11 to 20</v>
      </c>
      <c r="AR549" s="1">
        <f>IF(HR_Data[[#This Row],[DistanceFromHome]]&lt;=5,1,IF(HR_Data[[#This Row],[DistanceFromHome]]&lt;=10,2,IF(HR_Data[[#This Row],[DistanceFromHome]]&lt;=20,3,4)))</f>
        <v>3</v>
      </c>
      <c r="AS549" s="1" t="str">
        <f>IF(HR_Data[[#This Row],[TotalWorkingYears]]&lt;=5,"0-5 Yrs",IF(HR_Data[[#This Row],[TotalWorkingYears]]&lt;=10,"6-10 Yrs",IF(HR_Data[[#This Row],[TotalWorkingYears]]&lt;=20,"11-20 Yrs","20+ Yrs")))</f>
        <v>6-10 Yrs</v>
      </c>
      <c r="AT549" s="1">
        <f>IF(HR_Data[[#This Row],[TotalWorkingYears]]&lt;=5,1,IF(HR_Data[[#This Row],[TotalWorkingYears]]&lt;=10,2,IF(HR_Data[[#This Row],[TotalWorkingYears]]&lt;=20,3,4)))</f>
        <v>2</v>
      </c>
    </row>
    <row r="550" spans="1:46" x14ac:dyDescent="0.25">
      <c r="A550">
        <v>43</v>
      </c>
      <c r="B550" t="s">
        <v>36</v>
      </c>
      <c r="C550" t="s">
        <v>37</v>
      </c>
      <c r="D550" t="s">
        <v>31</v>
      </c>
      <c r="E550">
        <v>15</v>
      </c>
      <c r="F550">
        <v>3</v>
      </c>
      <c r="G550" t="s">
        <v>32</v>
      </c>
      <c r="H550">
        <v>754</v>
      </c>
      <c r="I550">
        <v>4</v>
      </c>
      <c r="J550" t="s">
        <v>39</v>
      </c>
      <c r="K550">
        <v>2</v>
      </c>
      <c r="L550">
        <v>2</v>
      </c>
      <c r="M550" t="s">
        <v>34</v>
      </c>
      <c r="N550">
        <v>4</v>
      </c>
      <c r="O550" t="s">
        <v>41</v>
      </c>
      <c r="P550">
        <v>6804</v>
      </c>
      <c r="Q550">
        <v>3</v>
      </c>
      <c r="R550" t="s">
        <v>36</v>
      </c>
      <c r="S550">
        <v>18</v>
      </c>
      <c r="T550">
        <v>3</v>
      </c>
      <c r="U550">
        <v>3</v>
      </c>
      <c r="V550">
        <v>1</v>
      </c>
      <c r="W550">
        <v>7</v>
      </c>
      <c r="X550">
        <v>5</v>
      </c>
      <c r="Y550">
        <v>3</v>
      </c>
      <c r="Z550">
        <v>2</v>
      </c>
      <c r="AA550">
        <v>2</v>
      </c>
      <c r="AB550">
        <v>2</v>
      </c>
      <c r="AC550">
        <v>2</v>
      </c>
      <c r="AD550">
        <f>IF(HR_Data[[#This Row],[Attrition]]="Yes",1,0)</f>
        <v>0</v>
      </c>
      <c r="AE550" t="str">
        <f>IF(HR_Data[[#This Row],[Age]]&lt;=25,"18-25",IF(HR_Data[[#This Row],[Age]]&lt;=35,"26-35",IF(HR_Data[[#This Row],[Age]]&lt;=45,"36-45",IF(HR_Data[[#This Row],[Age]]&lt;=55,"46-55","55+"))))</f>
        <v>36-45</v>
      </c>
      <c r="AF550">
        <f>IF(HR_Data[[#This Row],[Age]]&lt;=25,1,IF(HR_Data[[#This Row],[Age]]&lt;=35,2,IF(HR_Data[[#This Row],[Age]]&lt;=45,3,IF(HR_Data[[#This Row],[Age]]&lt;=55,4,5))))</f>
        <v>3</v>
      </c>
      <c r="AG550" s="1" t="str">
        <f>IF(HR_Data[[#This Row],[MonthlyIncome]]&lt;3000,"&lt;3K",IF(HR_Data[[#This Row],[MonthlyIncome]]&lt;6000,"3K-6K",IF(HR_Data[[#This Row],[MonthlyIncome]]&lt;10000,"6K-10K","10K+")))</f>
        <v>6K-10K</v>
      </c>
      <c r="AH550" s="1">
        <f>IF(HR_Data[[#This Row],[MonthlyIncome]]&lt;3000,1,IF(HR_Data[[#This Row],[MonthlyIncome]]&lt;6000,2,IF(HR_Data[[#This Row],[MonthlyIncome]]&lt;10000,3,4)))</f>
        <v>3</v>
      </c>
      <c r="AI550" s="1" t="str">
        <f>IF(HR_Data[[#This Row],[YearsAtCompany]]&lt;=2,"0-2 Yrs",IF(HR_Data[[#This Row],[YearsAtCompany]]&lt;=5,"3-5 Yrs",IF(HR_Data[[#This Row],[YearsAtCompany]]&lt;=10,"6-10 Yrs","10+ Yrs")))</f>
        <v>0-2 Yrs</v>
      </c>
      <c r="AJ550" s="1">
        <f>IF(HR_Data[[#This Row],[YearsAtCompany]]&lt;=2,1,IF(HR_Data[[#This Row],[YearsAtCompany]]&lt;=5,2,IF(HR_Data[[#This Row],[YearsAtCompany]]&lt;=10,3,4)))</f>
        <v>1</v>
      </c>
      <c r="AK550" s="1" t="str">
        <f>CHOOSE(HR_Data[[#This Row],[Education]],"Below College","College","Bachelor","Master","Doctor")</f>
        <v>Bachelor</v>
      </c>
      <c r="AL550" s="1" t="str">
        <f>CHOOSE(HR_Data[[#This Row],[JobSatisfaction]],"Low","Medium","High","Very High")</f>
        <v>Very High</v>
      </c>
      <c r="AM550" s="1" t="str">
        <f>CHOOSE(HR_Data[[#This Row],[EnvironmentSatisfaction]],"Low","Medium","High","Very High")</f>
        <v>Very High</v>
      </c>
      <c r="AN550" s="1" t="str">
        <f>CHOOSE(HR_Data[[#This Row],[WorkLifeBalance]],"Bad","Good","Better","Best")</f>
        <v>Better</v>
      </c>
      <c r="AO550" s="1" t="str">
        <f>IF(HR_Data[[#This Row],[PercentSalaryHike]]&lt;=13,"11-13%",IF(HR_Data[[#This Row],[PercentSalaryHike]]&lt;=16,"14-16%",IF(HR_Data[[#This Row],[PercentSalaryHike]]&lt;=19,"17-19%","20-25%")))</f>
        <v>17-19%</v>
      </c>
      <c r="AP550" s="1">
        <f>IF(HR_Data[[#This Row],[PercentSalaryHike]]&lt;=13,1,IF(HR_Data[[#This Row],[PercentSalaryHike]]&lt;=16,2,IF(HR_Data[[#This Row],[PercentSalaryHike]]&lt;=19,3,4)))</f>
        <v>3</v>
      </c>
      <c r="AQ550" s="1" t="str">
        <f>IF(HR_Data[[#This Row],[DistanceFromHome]]&lt;=5,"1 to 5",IF(HR_Data[[#This Row],[DistanceFromHome]]&lt;=10,"6 to 10",IF(HR_Data[[#This Row],[DistanceFromHome]]&lt;=20,"11 to 20","21 to 29")))</f>
        <v>11 to 20</v>
      </c>
      <c r="AR550" s="1">
        <f>IF(HR_Data[[#This Row],[DistanceFromHome]]&lt;=5,1,IF(HR_Data[[#This Row],[DistanceFromHome]]&lt;=10,2,IF(HR_Data[[#This Row],[DistanceFromHome]]&lt;=20,3,4)))</f>
        <v>3</v>
      </c>
      <c r="AS550" s="1" t="str">
        <f>IF(HR_Data[[#This Row],[TotalWorkingYears]]&lt;=5,"0-5 Yrs",IF(HR_Data[[#This Row],[TotalWorkingYears]]&lt;=10,"6-10 Yrs",IF(HR_Data[[#This Row],[TotalWorkingYears]]&lt;=20,"11-20 Yrs","20+ Yrs")))</f>
        <v>6-10 Yrs</v>
      </c>
      <c r="AT550" s="1">
        <f>IF(HR_Data[[#This Row],[TotalWorkingYears]]&lt;=5,1,IF(HR_Data[[#This Row],[TotalWorkingYears]]&lt;=10,2,IF(HR_Data[[#This Row],[TotalWorkingYears]]&lt;=20,3,4)))</f>
        <v>2</v>
      </c>
    </row>
    <row r="551" spans="1:46" x14ac:dyDescent="0.25">
      <c r="A551">
        <v>34</v>
      </c>
      <c r="B551" t="s">
        <v>36</v>
      </c>
      <c r="C551" t="s">
        <v>30</v>
      </c>
      <c r="D551" t="s">
        <v>38</v>
      </c>
      <c r="E551">
        <v>8</v>
      </c>
      <c r="F551">
        <v>2</v>
      </c>
      <c r="G551" t="s">
        <v>44</v>
      </c>
      <c r="H551">
        <v>757</v>
      </c>
      <c r="I551">
        <v>2</v>
      </c>
      <c r="J551" t="s">
        <v>33</v>
      </c>
      <c r="K551">
        <v>3</v>
      </c>
      <c r="L551">
        <v>2</v>
      </c>
      <c r="M551" t="s">
        <v>47</v>
      </c>
      <c r="N551">
        <v>3</v>
      </c>
      <c r="O551" t="s">
        <v>35</v>
      </c>
      <c r="P551">
        <v>6142</v>
      </c>
      <c r="Q551">
        <v>3</v>
      </c>
      <c r="R551" t="s">
        <v>36</v>
      </c>
      <c r="S551">
        <v>11</v>
      </c>
      <c r="T551">
        <v>3</v>
      </c>
      <c r="U551">
        <v>4</v>
      </c>
      <c r="V551">
        <v>0</v>
      </c>
      <c r="W551">
        <v>10</v>
      </c>
      <c r="X551">
        <v>2</v>
      </c>
      <c r="Y551">
        <v>3</v>
      </c>
      <c r="Z551">
        <v>5</v>
      </c>
      <c r="AA551">
        <v>1</v>
      </c>
      <c r="AB551">
        <v>4</v>
      </c>
      <c r="AC551">
        <v>3</v>
      </c>
      <c r="AD551">
        <f>IF(HR_Data[[#This Row],[Attrition]]="Yes",1,0)</f>
        <v>0</v>
      </c>
      <c r="AE551" t="str">
        <f>IF(HR_Data[[#This Row],[Age]]&lt;=25,"18-25",IF(HR_Data[[#This Row],[Age]]&lt;=35,"26-35",IF(HR_Data[[#This Row],[Age]]&lt;=45,"36-45",IF(HR_Data[[#This Row],[Age]]&lt;=55,"46-55","55+"))))</f>
        <v>26-35</v>
      </c>
      <c r="AF551">
        <f>IF(HR_Data[[#This Row],[Age]]&lt;=25,1,IF(HR_Data[[#This Row],[Age]]&lt;=35,2,IF(HR_Data[[#This Row],[Age]]&lt;=45,3,IF(HR_Data[[#This Row],[Age]]&lt;=55,4,5))))</f>
        <v>2</v>
      </c>
      <c r="AG551" s="1" t="str">
        <f>IF(HR_Data[[#This Row],[MonthlyIncome]]&lt;3000,"&lt;3K",IF(HR_Data[[#This Row],[MonthlyIncome]]&lt;6000,"3K-6K",IF(HR_Data[[#This Row],[MonthlyIncome]]&lt;10000,"6K-10K","10K+")))</f>
        <v>6K-10K</v>
      </c>
      <c r="AH551" s="1">
        <f>IF(HR_Data[[#This Row],[MonthlyIncome]]&lt;3000,1,IF(HR_Data[[#This Row],[MonthlyIncome]]&lt;6000,2,IF(HR_Data[[#This Row],[MonthlyIncome]]&lt;10000,3,4)))</f>
        <v>3</v>
      </c>
      <c r="AI551" s="1" t="str">
        <f>IF(HR_Data[[#This Row],[YearsAtCompany]]&lt;=2,"0-2 Yrs",IF(HR_Data[[#This Row],[YearsAtCompany]]&lt;=5,"3-5 Yrs",IF(HR_Data[[#This Row],[YearsAtCompany]]&lt;=10,"6-10 Yrs","10+ Yrs")))</f>
        <v>3-5 Yrs</v>
      </c>
      <c r="AJ551" s="1">
        <f>IF(HR_Data[[#This Row],[YearsAtCompany]]&lt;=2,1,IF(HR_Data[[#This Row],[YearsAtCompany]]&lt;=5,2,IF(HR_Data[[#This Row],[YearsAtCompany]]&lt;=10,3,4)))</f>
        <v>2</v>
      </c>
      <c r="AK551" s="1" t="str">
        <f>CHOOSE(HR_Data[[#This Row],[Education]],"Below College","College","Bachelor","Master","Doctor")</f>
        <v>College</v>
      </c>
      <c r="AL551" s="1" t="str">
        <f>CHOOSE(HR_Data[[#This Row],[JobSatisfaction]],"Low","Medium","High","Very High")</f>
        <v>High</v>
      </c>
      <c r="AM551" s="1" t="str">
        <f>CHOOSE(HR_Data[[#This Row],[EnvironmentSatisfaction]],"Low","Medium","High","Very High")</f>
        <v>Medium</v>
      </c>
      <c r="AN551" s="1" t="str">
        <f>CHOOSE(HR_Data[[#This Row],[WorkLifeBalance]],"Bad","Good","Better","Best")</f>
        <v>Better</v>
      </c>
      <c r="AO551" s="1" t="str">
        <f>IF(HR_Data[[#This Row],[PercentSalaryHike]]&lt;=13,"11-13%",IF(HR_Data[[#This Row],[PercentSalaryHike]]&lt;=16,"14-16%",IF(HR_Data[[#This Row],[PercentSalaryHike]]&lt;=19,"17-19%","20-25%")))</f>
        <v>11-13%</v>
      </c>
      <c r="AP551" s="1">
        <f>IF(HR_Data[[#This Row],[PercentSalaryHike]]&lt;=13,1,IF(HR_Data[[#This Row],[PercentSalaryHike]]&lt;=16,2,IF(HR_Data[[#This Row],[PercentSalaryHike]]&lt;=19,3,4)))</f>
        <v>1</v>
      </c>
      <c r="AQ551" s="1" t="str">
        <f>IF(HR_Data[[#This Row],[DistanceFromHome]]&lt;=5,"1 to 5",IF(HR_Data[[#This Row],[DistanceFromHome]]&lt;=10,"6 to 10",IF(HR_Data[[#This Row],[DistanceFromHome]]&lt;=20,"11 to 20","21 to 29")))</f>
        <v>6 to 10</v>
      </c>
      <c r="AR551" s="1">
        <f>IF(HR_Data[[#This Row],[DistanceFromHome]]&lt;=5,1,IF(HR_Data[[#This Row],[DistanceFromHome]]&lt;=10,2,IF(HR_Data[[#This Row],[DistanceFromHome]]&lt;=20,3,4)))</f>
        <v>2</v>
      </c>
      <c r="AS551" s="1" t="str">
        <f>IF(HR_Data[[#This Row],[TotalWorkingYears]]&lt;=5,"0-5 Yrs",IF(HR_Data[[#This Row],[TotalWorkingYears]]&lt;=10,"6-10 Yrs",IF(HR_Data[[#This Row],[TotalWorkingYears]]&lt;=20,"11-20 Yrs","20+ Yrs")))</f>
        <v>6-10 Yrs</v>
      </c>
      <c r="AT551" s="1">
        <f>IF(HR_Data[[#This Row],[TotalWorkingYears]]&lt;=5,1,IF(HR_Data[[#This Row],[TotalWorkingYears]]&lt;=10,2,IF(HR_Data[[#This Row],[TotalWorkingYears]]&lt;=20,3,4)))</f>
        <v>2</v>
      </c>
    </row>
    <row r="552" spans="1:46" x14ac:dyDescent="0.25">
      <c r="A552">
        <v>23</v>
      </c>
      <c r="B552" t="s">
        <v>36</v>
      </c>
      <c r="C552" t="s">
        <v>30</v>
      </c>
      <c r="D552" t="s">
        <v>38</v>
      </c>
      <c r="E552">
        <v>9</v>
      </c>
      <c r="F552">
        <v>1</v>
      </c>
      <c r="G552" t="s">
        <v>44</v>
      </c>
      <c r="H552">
        <v>758</v>
      </c>
      <c r="I552">
        <v>2</v>
      </c>
      <c r="J552" t="s">
        <v>39</v>
      </c>
      <c r="K552">
        <v>3</v>
      </c>
      <c r="L552">
        <v>1</v>
      </c>
      <c r="M552" t="s">
        <v>43</v>
      </c>
      <c r="N552">
        <v>1</v>
      </c>
      <c r="O552" t="s">
        <v>41</v>
      </c>
      <c r="P552">
        <v>2500</v>
      </c>
      <c r="Q552">
        <v>1</v>
      </c>
      <c r="R552" t="s">
        <v>36</v>
      </c>
      <c r="S552">
        <v>14</v>
      </c>
      <c r="T552">
        <v>3</v>
      </c>
      <c r="U552">
        <v>4</v>
      </c>
      <c r="V552">
        <v>1</v>
      </c>
      <c r="W552">
        <v>5</v>
      </c>
      <c r="X552">
        <v>2</v>
      </c>
      <c r="Y552">
        <v>4</v>
      </c>
      <c r="Z552">
        <v>4</v>
      </c>
      <c r="AA552">
        <v>3</v>
      </c>
      <c r="AB552">
        <v>0</v>
      </c>
      <c r="AC552">
        <v>2</v>
      </c>
      <c r="AD552">
        <f>IF(HR_Data[[#This Row],[Attrition]]="Yes",1,0)</f>
        <v>0</v>
      </c>
      <c r="AE552" t="str">
        <f>IF(HR_Data[[#This Row],[Age]]&lt;=25,"18-25",IF(HR_Data[[#This Row],[Age]]&lt;=35,"26-35",IF(HR_Data[[#This Row],[Age]]&lt;=45,"36-45",IF(HR_Data[[#This Row],[Age]]&lt;=55,"46-55","55+"))))</f>
        <v>18-25</v>
      </c>
      <c r="AF552">
        <f>IF(HR_Data[[#This Row],[Age]]&lt;=25,1,IF(HR_Data[[#This Row],[Age]]&lt;=35,2,IF(HR_Data[[#This Row],[Age]]&lt;=45,3,IF(HR_Data[[#This Row],[Age]]&lt;=55,4,5))))</f>
        <v>1</v>
      </c>
      <c r="AG552" s="1" t="str">
        <f>IF(HR_Data[[#This Row],[MonthlyIncome]]&lt;3000,"&lt;3K",IF(HR_Data[[#This Row],[MonthlyIncome]]&lt;6000,"3K-6K",IF(HR_Data[[#This Row],[MonthlyIncome]]&lt;10000,"6K-10K","10K+")))</f>
        <v>&lt;3K</v>
      </c>
      <c r="AH552" s="1">
        <f>IF(HR_Data[[#This Row],[MonthlyIncome]]&lt;3000,1,IF(HR_Data[[#This Row],[MonthlyIncome]]&lt;6000,2,IF(HR_Data[[#This Row],[MonthlyIncome]]&lt;10000,3,4)))</f>
        <v>1</v>
      </c>
      <c r="AI552" s="1" t="str">
        <f>IF(HR_Data[[#This Row],[YearsAtCompany]]&lt;=2,"0-2 Yrs",IF(HR_Data[[#This Row],[YearsAtCompany]]&lt;=5,"3-5 Yrs",IF(HR_Data[[#This Row],[YearsAtCompany]]&lt;=10,"6-10 Yrs","10+ Yrs")))</f>
        <v>3-5 Yrs</v>
      </c>
      <c r="AJ552" s="1">
        <f>IF(HR_Data[[#This Row],[YearsAtCompany]]&lt;=2,1,IF(HR_Data[[#This Row],[YearsAtCompany]]&lt;=5,2,IF(HR_Data[[#This Row],[YearsAtCompany]]&lt;=10,3,4)))</f>
        <v>2</v>
      </c>
      <c r="AK552" s="1" t="str">
        <f>CHOOSE(HR_Data[[#This Row],[Education]],"Below College","College","Bachelor","Master","Doctor")</f>
        <v>Below College</v>
      </c>
      <c r="AL552" s="1" t="str">
        <f>CHOOSE(HR_Data[[#This Row],[JobSatisfaction]],"Low","Medium","High","Very High")</f>
        <v>Low</v>
      </c>
      <c r="AM552" s="1" t="str">
        <f>CHOOSE(HR_Data[[#This Row],[EnvironmentSatisfaction]],"Low","Medium","High","Very High")</f>
        <v>Medium</v>
      </c>
      <c r="AN552" s="1" t="str">
        <f>CHOOSE(HR_Data[[#This Row],[WorkLifeBalance]],"Bad","Good","Better","Best")</f>
        <v>Best</v>
      </c>
      <c r="AO552" s="1" t="str">
        <f>IF(HR_Data[[#This Row],[PercentSalaryHike]]&lt;=13,"11-13%",IF(HR_Data[[#This Row],[PercentSalaryHike]]&lt;=16,"14-16%",IF(HR_Data[[#This Row],[PercentSalaryHike]]&lt;=19,"17-19%","20-25%")))</f>
        <v>14-16%</v>
      </c>
      <c r="AP552" s="1">
        <f>IF(HR_Data[[#This Row],[PercentSalaryHike]]&lt;=13,1,IF(HR_Data[[#This Row],[PercentSalaryHike]]&lt;=16,2,IF(HR_Data[[#This Row],[PercentSalaryHike]]&lt;=19,3,4)))</f>
        <v>2</v>
      </c>
      <c r="AQ552" s="1" t="str">
        <f>IF(HR_Data[[#This Row],[DistanceFromHome]]&lt;=5,"1 to 5",IF(HR_Data[[#This Row],[DistanceFromHome]]&lt;=10,"6 to 10",IF(HR_Data[[#This Row],[DistanceFromHome]]&lt;=20,"11 to 20","21 to 29")))</f>
        <v>6 to 10</v>
      </c>
      <c r="AR552" s="1">
        <f>IF(HR_Data[[#This Row],[DistanceFromHome]]&lt;=5,1,IF(HR_Data[[#This Row],[DistanceFromHome]]&lt;=10,2,IF(HR_Data[[#This Row],[DistanceFromHome]]&lt;=20,3,4)))</f>
        <v>2</v>
      </c>
      <c r="AS552" s="1" t="str">
        <f>IF(HR_Data[[#This Row],[TotalWorkingYears]]&lt;=5,"0-5 Yrs",IF(HR_Data[[#This Row],[TotalWorkingYears]]&lt;=10,"6-10 Yrs",IF(HR_Data[[#This Row],[TotalWorkingYears]]&lt;=20,"11-20 Yrs","20+ Yrs")))</f>
        <v>0-5 Yrs</v>
      </c>
      <c r="AT552" s="1">
        <f>IF(HR_Data[[#This Row],[TotalWorkingYears]]&lt;=5,1,IF(HR_Data[[#This Row],[TotalWorkingYears]]&lt;=10,2,IF(HR_Data[[#This Row],[TotalWorkingYears]]&lt;=20,3,4)))</f>
        <v>1</v>
      </c>
    </row>
    <row r="553" spans="1:46" x14ac:dyDescent="0.25">
      <c r="A553">
        <v>39</v>
      </c>
      <c r="B553" t="s">
        <v>36</v>
      </c>
      <c r="C553" t="s">
        <v>30</v>
      </c>
      <c r="D553" t="s">
        <v>54</v>
      </c>
      <c r="E553">
        <v>3</v>
      </c>
      <c r="F553">
        <v>3</v>
      </c>
      <c r="G553" t="s">
        <v>54</v>
      </c>
      <c r="H553">
        <v>760</v>
      </c>
      <c r="I553">
        <v>3</v>
      </c>
      <c r="J553" t="s">
        <v>33</v>
      </c>
      <c r="K553">
        <v>4</v>
      </c>
      <c r="L553">
        <v>2</v>
      </c>
      <c r="M553" t="s">
        <v>54</v>
      </c>
      <c r="N553">
        <v>2</v>
      </c>
      <c r="O553" t="s">
        <v>41</v>
      </c>
      <c r="P553">
        <v>6389</v>
      </c>
      <c r="Q553">
        <v>9</v>
      </c>
      <c r="R553" t="s">
        <v>36</v>
      </c>
      <c r="S553">
        <v>15</v>
      </c>
      <c r="T553">
        <v>3</v>
      </c>
      <c r="U553">
        <v>3</v>
      </c>
      <c r="V553">
        <v>1</v>
      </c>
      <c r="W553">
        <v>12</v>
      </c>
      <c r="X553">
        <v>3</v>
      </c>
      <c r="Y553">
        <v>1</v>
      </c>
      <c r="Z553">
        <v>8</v>
      </c>
      <c r="AA553">
        <v>3</v>
      </c>
      <c r="AB553">
        <v>3</v>
      </c>
      <c r="AC553">
        <v>6</v>
      </c>
      <c r="AD553">
        <f>IF(HR_Data[[#This Row],[Attrition]]="Yes",1,0)</f>
        <v>0</v>
      </c>
      <c r="AE553" t="str">
        <f>IF(HR_Data[[#This Row],[Age]]&lt;=25,"18-25",IF(HR_Data[[#This Row],[Age]]&lt;=35,"26-35",IF(HR_Data[[#This Row],[Age]]&lt;=45,"36-45",IF(HR_Data[[#This Row],[Age]]&lt;=55,"46-55","55+"))))</f>
        <v>36-45</v>
      </c>
      <c r="AF553">
        <f>IF(HR_Data[[#This Row],[Age]]&lt;=25,1,IF(HR_Data[[#This Row],[Age]]&lt;=35,2,IF(HR_Data[[#This Row],[Age]]&lt;=45,3,IF(HR_Data[[#This Row],[Age]]&lt;=55,4,5))))</f>
        <v>3</v>
      </c>
      <c r="AG553" s="1" t="str">
        <f>IF(HR_Data[[#This Row],[MonthlyIncome]]&lt;3000,"&lt;3K",IF(HR_Data[[#This Row],[MonthlyIncome]]&lt;6000,"3K-6K",IF(HR_Data[[#This Row],[MonthlyIncome]]&lt;10000,"6K-10K","10K+")))</f>
        <v>6K-10K</v>
      </c>
      <c r="AH553" s="1">
        <f>IF(HR_Data[[#This Row],[MonthlyIncome]]&lt;3000,1,IF(HR_Data[[#This Row],[MonthlyIncome]]&lt;6000,2,IF(HR_Data[[#This Row],[MonthlyIncome]]&lt;10000,3,4)))</f>
        <v>3</v>
      </c>
      <c r="AI553" s="1" t="str">
        <f>IF(HR_Data[[#This Row],[YearsAtCompany]]&lt;=2,"0-2 Yrs",IF(HR_Data[[#This Row],[YearsAtCompany]]&lt;=5,"3-5 Yrs",IF(HR_Data[[#This Row],[YearsAtCompany]]&lt;=10,"6-10 Yrs","10+ Yrs")))</f>
        <v>6-10 Yrs</v>
      </c>
      <c r="AJ553" s="1">
        <f>IF(HR_Data[[#This Row],[YearsAtCompany]]&lt;=2,1,IF(HR_Data[[#This Row],[YearsAtCompany]]&lt;=5,2,IF(HR_Data[[#This Row],[YearsAtCompany]]&lt;=10,3,4)))</f>
        <v>3</v>
      </c>
      <c r="AK553" s="1" t="str">
        <f>CHOOSE(HR_Data[[#This Row],[Education]],"Below College","College","Bachelor","Master","Doctor")</f>
        <v>Bachelor</v>
      </c>
      <c r="AL553" s="1" t="str">
        <f>CHOOSE(HR_Data[[#This Row],[JobSatisfaction]],"Low","Medium","High","Very High")</f>
        <v>Medium</v>
      </c>
      <c r="AM553" s="1" t="str">
        <f>CHOOSE(HR_Data[[#This Row],[EnvironmentSatisfaction]],"Low","Medium","High","Very High")</f>
        <v>High</v>
      </c>
      <c r="AN553" s="1" t="str">
        <f>CHOOSE(HR_Data[[#This Row],[WorkLifeBalance]],"Bad","Good","Better","Best")</f>
        <v>Bad</v>
      </c>
      <c r="AO553" s="1" t="str">
        <f>IF(HR_Data[[#This Row],[PercentSalaryHike]]&lt;=13,"11-13%",IF(HR_Data[[#This Row],[PercentSalaryHike]]&lt;=16,"14-16%",IF(HR_Data[[#This Row],[PercentSalaryHike]]&lt;=19,"17-19%","20-25%")))</f>
        <v>14-16%</v>
      </c>
      <c r="AP553" s="1">
        <f>IF(HR_Data[[#This Row],[PercentSalaryHike]]&lt;=13,1,IF(HR_Data[[#This Row],[PercentSalaryHike]]&lt;=16,2,IF(HR_Data[[#This Row],[PercentSalaryHike]]&lt;=19,3,4)))</f>
        <v>2</v>
      </c>
      <c r="AQ553" s="1" t="str">
        <f>IF(HR_Data[[#This Row],[DistanceFromHome]]&lt;=5,"1 to 5",IF(HR_Data[[#This Row],[DistanceFromHome]]&lt;=10,"6 to 10",IF(HR_Data[[#This Row],[DistanceFromHome]]&lt;=20,"11 to 20","21 to 29")))</f>
        <v>1 to 5</v>
      </c>
      <c r="AR553" s="1">
        <f>IF(HR_Data[[#This Row],[DistanceFromHome]]&lt;=5,1,IF(HR_Data[[#This Row],[DistanceFromHome]]&lt;=10,2,IF(HR_Data[[#This Row],[DistanceFromHome]]&lt;=20,3,4)))</f>
        <v>1</v>
      </c>
      <c r="AS553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553" s="1">
        <f>IF(HR_Data[[#This Row],[TotalWorkingYears]]&lt;=5,1,IF(HR_Data[[#This Row],[TotalWorkingYears]]&lt;=10,2,IF(HR_Data[[#This Row],[TotalWorkingYears]]&lt;=20,3,4)))</f>
        <v>3</v>
      </c>
    </row>
    <row r="554" spans="1:46" x14ac:dyDescent="0.25">
      <c r="A554">
        <v>56</v>
      </c>
      <c r="B554" t="s">
        <v>36</v>
      </c>
      <c r="C554" t="s">
        <v>30</v>
      </c>
      <c r="D554" t="s">
        <v>38</v>
      </c>
      <c r="E554">
        <v>9</v>
      </c>
      <c r="F554">
        <v>3</v>
      </c>
      <c r="G554" t="s">
        <v>44</v>
      </c>
      <c r="H554">
        <v>762</v>
      </c>
      <c r="I554">
        <v>3</v>
      </c>
      <c r="J554" t="s">
        <v>39</v>
      </c>
      <c r="K554">
        <v>3</v>
      </c>
      <c r="L554">
        <v>4</v>
      </c>
      <c r="M554" t="s">
        <v>47</v>
      </c>
      <c r="N554">
        <v>4</v>
      </c>
      <c r="O554" t="s">
        <v>41</v>
      </c>
      <c r="P554">
        <v>11103</v>
      </c>
      <c r="Q554">
        <v>7</v>
      </c>
      <c r="R554" t="s">
        <v>36</v>
      </c>
      <c r="S554">
        <v>11</v>
      </c>
      <c r="T554">
        <v>3</v>
      </c>
      <c r="U554">
        <v>3</v>
      </c>
      <c r="V554">
        <v>0</v>
      </c>
      <c r="W554">
        <v>30</v>
      </c>
      <c r="X554">
        <v>1</v>
      </c>
      <c r="Y554">
        <v>2</v>
      </c>
      <c r="Z554">
        <v>10</v>
      </c>
      <c r="AA554">
        <v>7</v>
      </c>
      <c r="AB554">
        <v>1</v>
      </c>
      <c r="AC554">
        <v>1</v>
      </c>
      <c r="AD554">
        <f>IF(HR_Data[[#This Row],[Attrition]]="Yes",1,0)</f>
        <v>0</v>
      </c>
      <c r="AE554" t="str">
        <f>IF(HR_Data[[#This Row],[Age]]&lt;=25,"18-25",IF(HR_Data[[#This Row],[Age]]&lt;=35,"26-35",IF(HR_Data[[#This Row],[Age]]&lt;=45,"36-45",IF(HR_Data[[#This Row],[Age]]&lt;=55,"46-55","55+"))))</f>
        <v>55+</v>
      </c>
      <c r="AF554">
        <f>IF(HR_Data[[#This Row],[Age]]&lt;=25,1,IF(HR_Data[[#This Row],[Age]]&lt;=35,2,IF(HR_Data[[#This Row],[Age]]&lt;=45,3,IF(HR_Data[[#This Row],[Age]]&lt;=55,4,5))))</f>
        <v>5</v>
      </c>
      <c r="AG554" s="1" t="str">
        <f>IF(HR_Data[[#This Row],[MonthlyIncome]]&lt;3000,"&lt;3K",IF(HR_Data[[#This Row],[MonthlyIncome]]&lt;6000,"3K-6K",IF(HR_Data[[#This Row],[MonthlyIncome]]&lt;10000,"6K-10K","10K+")))</f>
        <v>10K+</v>
      </c>
      <c r="AH554" s="1">
        <f>IF(HR_Data[[#This Row],[MonthlyIncome]]&lt;3000,1,IF(HR_Data[[#This Row],[MonthlyIncome]]&lt;6000,2,IF(HR_Data[[#This Row],[MonthlyIncome]]&lt;10000,3,4)))</f>
        <v>4</v>
      </c>
      <c r="AI554" s="1" t="str">
        <f>IF(HR_Data[[#This Row],[YearsAtCompany]]&lt;=2,"0-2 Yrs",IF(HR_Data[[#This Row],[YearsAtCompany]]&lt;=5,"3-5 Yrs",IF(HR_Data[[#This Row],[YearsAtCompany]]&lt;=10,"6-10 Yrs","10+ Yrs")))</f>
        <v>6-10 Yrs</v>
      </c>
      <c r="AJ554" s="1">
        <f>IF(HR_Data[[#This Row],[YearsAtCompany]]&lt;=2,1,IF(HR_Data[[#This Row],[YearsAtCompany]]&lt;=5,2,IF(HR_Data[[#This Row],[YearsAtCompany]]&lt;=10,3,4)))</f>
        <v>3</v>
      </c>
      <c r="AK554" s="1" t="str">
        <f>CHOOSE(HR_Data[[#This Row],[Education]],"Below College","College","Bachelor","Master","Doctor")</f>
        <v>Bachelor</v>
      </c>
      <c r="AL554" s="1" t="str">
        <f>CHOOSE(HR_Data[[#This Row],[JobSatisfaction]],"Low","Medium","High","Very High")</f>
        <v>Very High</v>
      </c>
      <c r="AM554" s="1" t="str">
        <f>CHOOSE(HR_Data[[#This Row],[EnvironmentSatisfaction]],"Low","Medium","High","Very High")</f>
        <v>High</v>
      </c>
      <c r="AN554" s="1" t="str">
        <f>CHOOSE(HR_Data[[#This Row],[WorkLifeBalance]],"Bad","Good","Better","Best")</f>
        <v>Good</v>
      </c>
      <c r="AO554" s="1" t="str">
        <f>IF(HR_Data[[#This Row],[PercentSalaryHike]]&lt;=13,"11-13%",IF(HR_Data[[#This Row],[PercentSalaryHike]]&lt;=16,"14-16%",IF(HR_Data[[#This Row],[PercentSalaryHike]]&lt;=19,"17-19%","20-25%")))</f>
        <v>11-13%</v>
      </c>
      <c r="AP554" s="1">
        <f>IF(HR_Data[[#This Row],[PercentSalaryHike]]&lt;=13,1,IF(HR_Data[[#This Row],[PercentSalaryHike]]&lt;=16,2,IF(HR_Data[[#This Row],[PercentSalaryHike]]&lt;=19,3,4)))</f>
        <v>1</v>
      </c>
      <c r="AQ554" s="1" t="str">
        <f>IF(HR_Data[[#This Row],[DistanceFromHome]]&lt;=5,"1 to 5",IF(HR_Data[[#This Row],[DistanceFromHome]]&lt;=10,"6 to 10",IF(HR_Data[[#This Row],[DistanceFromHome]]&lt;=20,"11 to 20","21 to 29")))</f>
        <v>6 to 10</v>
      </c>
      <c r="AR554" s="1">
        <f>IF(HR_Data[[#This Row],[DistanceFromHome]]&lt;=5,1,IF(HR_Data[[#This Row],[DistanceFromHome]]&lt;=10,2,IF(HR_Data[[#This Row],[DistanceFromHome]]&lt;=20,3,4)))</f>
        <v>2</v>
      </c>
      <c r="AS554" s="1" t="str">
        <f>IF(HR_Data[[#This Row],[TotalWorkingYears]]&lt;=5,"0-5 Yrs",IF(HR_Data[[#This Row],[TotalWorkingYears]]&lt;=10,"6-10 Yrs",IF(HR_Data[[#This Row],[TotalWorkingYears]]&lt;=20,"11-20 Yrs","20+ Yrs")))</f>
        <v>20+ Yrs</v>
      </c>
      <c r="AT554" s="1">
        <f>IF(HR_Data[[#This Row],[TotalWorkingYears]]&lt;=5,1,IF(HR_Data[[#This Row],[TotalWorkingYears]]&lt;=10,2,IF(HR_Data[[#This Row],[TotalWorkingYears]]&lt;=20,3,4)))</f>
        <v>4</v>
      </c>
    </row>
    <row r="555" spans="1:46" x14ac:dyDescent="0.25">
      <c r="A555">
        <v>40</v>
      </c>
      <c r="B555" t="s">
        <v>36</v>
      </c>
      <c r="C555" t="s">
        <v>30</v>
      </c>
      <c r="D555" t="s">
        <v>38</v>
      </c>
      <c r="E555">
        <v>2</v>
      </c>
      <c r="F555">
        <v>1</v>
      </c>
      <c r="G555" t="s">
        <v>44</v>
      </c>
      <c r="H555">
        <v>763</v>
      </c>
      <c r="I555">
        <v>4</v>
      </c>
      <c r="J555" t="s">
        <v>33</v>
      </c>
      <c r="K555">
        <v>2</v>
      </c>
      <c r="L555">
        <v>1</v>
      </c>
      <c r="M555" t="s">
        <v>40</v>
      </c>
      <c r="N555">
        <v>4</v>
      </c>
      <c r="O555" t="s">
        <v>35</v>
      </c>
      <c r="P555">
        <v>2342</v>
      </c>
      <c r="Q555">
        <v>0</v>
      </c>
      <c r="R555" t="s">
        <v>29</v>
      </c>
      <c r="S555">
        <v>20</v>
      </c>
      <c r="T555">
        <v>4</v>
      </c>
      <c r="U555">
        <v>4</v>
      </c>
      <c r="V555">
        <v>0</v>
      </c>
      <c r="W555">
        <v>5</v>
      </c>
      <c r="X555">
        <v>2</v>
      </c>
      <c r="Y555">
        <v>2</v>
      </c>
      <c r="Z555">
        <v>4</v>
      </c>
      <c r="AA555">
        <v>2</v>
      </c>
      <c r="AB555">
        <v>2</v>
      </c>
      <c r="AC555">
        <v>3</v>
      </c>
      <c r="AD555">
        <f>IF(HR_Data[[#This Row],[Attrition]]="Yes",1,0)</f>
        <v>0</v>
      </c>
      <c r="AE555" t="str">
        <f>IF(HR_Data[[#This Row],[Age]]&lt;=25,"18-25",IF(HR_Data[[#This Row],[Age]]&lt;=35,"26-35",IF(HR_Data[[#This Row],[Age]]&lt;=45,"36-45",IF(HR_Data[[#This Row],[Age]]&lt;=55,"46-55","55+"))))</f>
        <v>36-45</v>
      </c>
      <c r="AF555">
        <f>IF(HR_Data[[#This Row],[Age]]&lt;=25,1,IF(HR_Data[[#This Row],[Age]]&lt;=35,2,IF(HR_Data[[#This Row],[Age]]&lt;=45,3,IF(HR_Data[[#This Row],[Age]]&lt;=55,4,5))))</f>
        <v>3</v>
      </c>
      <c r="AG555" s="1" t="str">
        <f>IF(HR_Data[[#This Row],[MonthlyIncome]]&lt;3000,"&lt;3K",IF(HR_Data[[#This Row],[MonthlyIncome]]&lt;6000,"3K-6K",IF(HR_Data[[#This Row],[MonthlyIncome]]&lt;10000,"6K-10K","10K+")))</f>
        <v>&lt;3K</v>
      </c>
      <c r="AH555" s="1">
        <f>IF(HR_Data[[#This Row],[MonthlyIncome]]&lt;3000,1,IF(HR_Data[[#This Row],[MonthlyIncome]]&lt;6000,2,IF(HR_Data[[#This Row],[MonthlyIncome]]&lt;10000,3,4)))</f>
        <v>1</v>
      </c>
      <c r="AI555" s="1" t="str">
        <f>IF(HR_Data[[#This Row],[YearsAtCompany]]&lt;=2,"0-2 Yrs",IF(HR_Data[[#This Row],[YearsAtCompany]]&lt;=5,"3-5 Yrs",IF(HR_Data[[#This Row],[YearsAtCompany]]&lt;=10,"6-10 Yrs","10+ Yrs")))</f>
        <v>3-5 Yrs</v>
      </c>
      <c r="AJ555" s="1">
        <f>IF(HR_Data[[#This Row],[YearsAtCompany]]&lt;=2,1,IF(HR_Data[[#This Row],[YearsAtCompany]]&lt;=5,2,IF(HR_Data[[#This Row],[YearsAtCompany]]&lt;=10,3,4)))</f>
        <v>2</v>
      </c>
      <c r="AK555" s="1" t="str">
        <f>CHOOSE(HR_Data[[#This Row],[Education]],"Below College","College","Bachelor","Master","Doctor")</f>
        <v>Below College</v>
      </c>
      <c r="AL555" s="1" t="str">
        <f>CHOOSE(HR_Data[[#This Row],[JobSatisfaction]],"Low","Medium","High","Very High")</f>
        <v>Very High</v>
      </c>
      <c r="AM555" s="1" t="str">
        <f>CHOOSE(HR_Data[[#This Row],[EnvironmentSatisfaction]],"Low","Medium","High","Very High")</f>
        <v>Very High</v>
      </c>
      <c r="AN555" s="1" t="str">
        <f>CHOOSE(HR_Data[[#This Row],[WorkLifeBalance]],"Bad","Good","Better","Best")</f>
        <v>Good</v>
      </c>
      <c r="AO555" s="1" t="str">
        <f>IF(HR_Data[[#This Row],[PercentSalaryHike]]&lt;=13,"11-13%",IF(HR_Data[[#This Row],[PercentSalaryHike]]&lt;=16,"14-16%",IF(HR_Data[[#This Row],[PercentSalaryHike]]&lt;=19,"17-19%","20-25%")))</f>
        <v>20-25%</v>
      </c>
      <c r="AP555" s="1">
        <f>IF(HR_Data[[#This Row],[PercentSalaryHike]]&lt;=13,1,IF(HR_Data[[#This Row],[PercentSalaryHike]]&lt;=16,2,IF(HR_Data[[#This Row],[PercentSalaryHike]]&lt;=19,3,4)))</f>
        <v>4</v>
      </c>
      <c r="AQ555" s="1" t="str">
        <f>IF(HR_Data[[#This Row],[DistanceFromHome]]&lt;=5,"1 to 5",IF(HR_Data[[#This Row],[DistanceFromHome]]&lt;=10,"6 to 10",IF(HR_Data[[#This Row],[DistanceFromHome]]&lt;=20,"11 to 20","21 to 29")))</f>
        <v>1 to 5</v>
      </c>
      <c r="AR555" s="1">
        <f>IF(HR_Data[[#This Row],[DistanceFromHome]]&lt;=5,1,IF(HR_Data[[#This Row],[DistanceFromHome]]&lt;=10,2,IF(HR_Data[[#This Row],[DistanceFromHome]]&lt;=20,3,4)))</f>
        <v>1</v>
      </c>
      <c r="AS555" s="1" t="str">
        <f>IF(HR_Data[[#This Row],[TotalWorkingYears]]&lt;=5,"0-5 Yrs",IF(HR_Data[[#This Row],[TotalWorkingYears]]&lt;=10,"6-10 Yrs",IF(HR_Data[[#This Row],[TotalWorkingYears]]&lt;=20,"11-20 Yrs","20+ Yrs")))</f>
        <v>0-5 Yrs</v>
      </c>
      <c r="AT555" s="1">
        <f>IF(HR_Data[[#This Row],[TotalWorkingYears]]&lt;=5,1,IF(HR_Data[[#This Row],[TotalWorkingYears]]&lt;=10,2,IF(HR_Data[[#This Row],[TotalWorkingYears]]&lt;=20,3,4)))</f>
        <v>1</v>
      </c>
    </row>
    <row r="556" spans="1:46" x14ac:dyDescent="0.25">
      <c r="A556">
        <v>27</v>
      </c>
      <c r="B556" t="s">
        <v>36</v>
      </c>
      <c r="C556" t="s">
        <v>30</v>
      </c>
      <c r="D556" t="s">
        <v>38</v>
      </c>
      <c r="E556">
        <v>7</v>
      </c>
      <c r="F556">
        <v>3</v>
      </c>
      <c r="G556" t="s">
        <v>44</v>
      </c>
      <c r="H556">
        <v>764</v>
      </c>
      <c r="I556">
        <v>4</v>
      </c>
      <c r="J556" t="s">
        <v>33</v>
      </c>
      <c r="K556">
        <v>2</v>
      </c>
      <c r="L556">
        <v>2</v>
      </c>
      <c r="M556" t="s">
        <v>47</v>
      </c>
      <c r="N556">
        <v>1</v>
      </c>
      <c r="O556" t="s">
        <v>35</v>
      </c>
      <c r="P556">
        <v>6811</v>
      </c>
      <c r="Q556">
        <v>8</v>
      </c>
      <c r="R556" t="s">
        <v>36</v>
      </c>
      <c r="S556">
        <v>19</v>
      </c>
      <c r="T556">
        <v>3</v>
      </c>
      <c r="U556">
        <v>1</v>
      </c>
      <c r="V556">
        <v>0</v>
      </c>
      <c r="W556">
        <v>9</v>
      </c>
      <c r="X556">
        <v>2</v>
      </c>
      <c r="Y556">
        <v>1</v>
      </c>
      <c r="Z556">
        <v>7</v>
      </c>
      <c r="AA556">
        <v>6</v>
      </c>
      <c r="AB556">
        <v>0</v>
      </c>
      <c r="AC556">
        <v>7</v>
      </c>
      <c r="AD556">
        <f>IF(HR_Data[[#This Row],[Attrition]]="Yes",1,0)</f>
        <v>0</v>
      </c>
      <c r="AE556" t="str">
        <f>IF(HR_Data[[#This Row],[Age]]&lt;=25,"18-25",IF(HR_Data[[#This Row],[Age]]&lt;=35,"26-35",IF(HR_Data[[#This Row],[Age]]&lt;=45,"36-45",IF(HR_Data[[#This Row],[Age]]&lt;=55,"46-55","55+"))))</f>
        <v>26-35</v>
      </c>
      <c r="AF556">
        <f>IF(HR_Data[[#This Row],[Age]]&lt;=25,1,IF(HR_Data[[#This Row],[Age]]&lt;=35,2,IF(HR_Data[[#This Row],[Age]]&lt;=45,3,IF(HR_Data[[#This Row],[Age]]&lt;=55,4,5))))</f>
        <v>2</v>
      </c>
      <c r="AG556" s="1" t="str">
        <f>IF(HR_Data[[#This Row],[MonthlyIncome]]&lt;3000,"&lt;3K",IF(HR_Data[[#This Row],[MonthlyIncome]]&lt;6000,"3K-6K",IF(HR_Data[[#This Row],[MonthlyIncome]]&lt;10000,"6K-10K","10K+")))</f>
        <v>6K-10K</v>
      </c>
      <c r="AH556" s="1">
        <f>IF(HR_Data[[#This Row],[MonthlyIncome]]&lt;3000,1,IF(HR_Data[[#This Row],[MonthlyIncome]]&lt;6000,2,IF(HR_Data[[#This Row],[MonthlyIncome]]&lt;10000,3,4)))</f>
        <v>3</v>
      </c>
      <c r="AI556" s="1" t="str">
        <f>IF(HR_Data[[#This Row],[YearsAtCompany]]&lt;=2,"0-2 Yrs",IF(HR_Data[[#This Row],[YearsAtCompany]]&lt;=5,"3-5 Yrs",IF(HR_Data[[#This Row],[YearsAtCompany]]&lt;=10,"6-10 Yrs","10+ Yrs")))</f>
        <v>6-10 Yrs</v>
      </c>
      <c r="AJ556" s="1">
        <f>IF(HR_Data[[#This Row],[YearsAtCompany]]&lt;=2,1,IF(HR_Data[[#This Row],[YearsAtCompany]]&lt;=5,2,IF(HR_Data[[#This Row],[YearsAtCompany]]&lt;=10,3,4)))</f>
        <v>3</v>
      </c>
      <c r="AK556" s="1" t="str">
        <f>CHOOSE(HR_Data[[#This Row],[Education]],"Below College","College","Bachelor","Master","Doctor")</f>
        <v>Bachelor</v>
      </c>
      <c r="AL556" s="1" t="str">
        <f>CHOOSE(HR_Data[[#This Row],[JobSatisfaction]],"Low","Medium","High","Very High")</f>
        <v>Low</v>
      </c>
      <c r="AM556" s="1" t="str">
        <f>CHOOSE(HR_Data[[#This Row],[EnvironmentSatisfaction]],"Low","Medium","High","Very High")</f>
        <v>Very High</v>
      </c>
      <c r="AN556" s="1" t="str">
        <f>CHOOSE(HR_Data[[#This Row],[WorkLifeBalance]],"Bad","Good","Better","Best")</f>
        <v>Bad</v>
      </c>
      <c r="AO556" s="1" t="str">
        <f>IF(HR_Data[[#This Row],[PercentSalaryHike]]&lt;=13,"11-13%",IF(HR_Data[[#This Row],[PercentSalaryHike]]&lt;=16,"14-16%",IF(HR_Data[[#This Row],[PercentSalaryHike]]&lt;=19,"17-19%","20-25%")))</f>
        <v>17-19%</v>
      </c>
      <c r="AP556" s="1">
        <f>IF(HR_Data[[#This Row],[PercentSalaryHike]]&lt;=13,1,IF(HR_Data[[#This Row],[PercentSalaryHike]]&lt;=16,2,IF(HR_Data[[#This Row],[PercentSalaryHike]]&lt;=19,3,4)))</f>
        <v>3</v>
      </c>
      <c r="AQ556" s="1" t="str">
        <f>IF(HR_Data[[#This Row],[DistanceFromHome]]&lt;=5,"1 to 5",IF(HR_Data[[#This Row],[DistanceFromHome]]&lt;=10,"6 to 10",IF(HR_Data[[#This Row],[DistanceFromHome]]&lt;=20,"11 to 20","21 to 29")))</f>
        <v>6 to 10</v>
      </c>
      <c r="AR556" s="1">
        <f>IF(HR_Data[[#This Row],[DistanceFromHome]]&lt;=5,1,IF(HR_Data[[#This Row],[DistanceFromHome]]&lt;=10,2,IF(HR_Data[[#This Row],[DistanceFromHome]]&lt;=20,3,4)))</f>
        <v>2</v>
      </c>
      <c r="AS556" s="1" t="str">
        <f>IF(HR_Data[[#This Row],[TotalWorkingYears]]&lt;=5,"0-5 Yrs",IF(HR_Data[[#This Row],[TotalWorkingYears]]&lt;=10,"6-10 Yrs",IF(HR_Data[[#This Row],[TotalWorkingYears]]&lt;=20,"11-20 Yrs","20+ Yrs")))</f>
        <v>6-10 Yrs</v>
      </c>
      <c r="AT556" s="1">
        <f>IF(HR_Data[[#This Row],[TotalWorkingYears]]&lt;=5,1,IF(HR_Data[[#This Row],[TotalWorkingYears]]&lt;=10,2,IF(HR_Data[[#This Row],[TotalWorkingYears]]&lt;=20,3,4)))</f>
        <v>2</v>
      </c>
    </row>
    <row r="557" spans="1:46" x14ac:dyDescent="0.25">
      <c r="A557">
        <v>29</v>
      </c>
      <c r="B557" t="s">
        <v>36</v>
      </c>
      <c r="C557" t="s">
        <v>30</v>
      </c>
      <c r="D557" t="s">
        <v>31</v>
      </c>
      <c r="E557">
        <v>10</v>
      </c>
      <c r="F557">
        <v>3</v>
      </c>
      <c r="G557" t="s">
        <v>52</v>
      </c>
      <c r="H557">
        <v>766</v>
      </c>
      <c r="I557">
        <v>4</v>
      </c>
      <c r="J557" t="s">
        <v>39</v>
      </c>
      <c r="K557">
        <v>3</v>
      </c>
      <c r="L557">
        <v>1</v>
      </c>
      <c r="M557" t="s">
        <v>50</v>
      </c>
      <c r="N557">
        <v>2</v>
      </c>
      <c r="O557" t="s">
        <v>45</v>
      </c>
      <c r="P557">
        <v>2297</v>
      </c>
      <c r="Q557">
        <v>1</v>
      </c>
      <c r="R557" t="s">
        <v>36</v>
      </c>
      <c r="S557">
        <v>14</v>
      </c>
      <c r="T557">
        <v>3</v>
      </c>
      <c r="U557">
        <v>4</v>
      </c>
      <c r="V557">
        <v>2</v>
      </c>
      <c r="W557">
        <v>2</v>
      </c>
      <c r="X557">
        <v>2</v>
      </c>
      <c r="Y557">
        <v>3</v>
      </c>
      <c r="Z557">
        <v>2</v>
      </c>
      <c r="AA557">
        <v>2</v>
      </c>
      <c r="AB557">
        <v>2</v>
      </c>
      <c r="AC557">
        <v>2</v>
      </c>
      <c r="AD557">
        <f>IF(HR_Data[[#This Row],[Attrition]]="Yes",1,0)</f>
        <v>0</v>
      </c>
      <c r="AE557" t="str">
        <f>IF(HR_Data[[#This Row],[Age]]&lt;=25,"18-25",IF(HR_Data[[#This Row],[Age]]&lt;=35,"26-35",IF(HR_Data[[#This Row],[Age]]&lt;=45,"36-45",IF(HR_Data[[#This Row],[Age]]&lt;=55,"46-55","55+"))))</f>
        <v>26-35</v>
      </c>
      <c r="AF557">
        <f>IF(HR_Data[[#This Row],[Age]]&lt;=25,1,IF(HR_Data[[#This Row],[Age]]&lt;=35,2,IF(HR_Data[[#This Row],[Age]]&lt;=45,3,IF(HR_Data[[#This Row],[Age]]&lt;=55,4,5))))</f>
        <v>2</v>
      </c>
      <c r="AG557" s="1" t="str">
        <f>IF(HR_Data[[#This Row],[MonthlyIncome]]&lt;3000,"&lt;3K",IF(HR_Data[[#This Row],[MonthlyIncome]]&lt;6000,"3K-6K",IF(HR_Data[[#This Row],[MonthlyIncome]]&lt;10000,"6K-10K","10K+")))</f>
        <v>&lt;3K</v>
      </c>
      <c r="AH557" s="1">
        <f>IF(HR_Data[[#This Row],[MonthlyIncome]]&lt;3000,1,IF(HR_Data[[#This Row],[MonthlyIncome]]&lt;6000,2,IF(HR_Data[[#This Row],[MonthlyIncome]]&lt;10000,3,4)))</f>
        <v>1</v>
      </c>
      <c r="AI557" s="1" t="str">
        <f>IF(HR_Data[[#This Row],[YearsAtCompany]]&lt;=2,"0-2 Yrs",IF(HR_Data[[#This Row],[YearsAtCompany]]&lt;=5,"3-5 Yrs",IF(HR_Data[[#This Row],[YearsAtCompany]]&lt;=10,"6-10 Yrs","10+ Yrs")))</f>
        <v>0-2 Yrs</v>
      </c>
      <c r="AJ557" s="1">
        <f>IF(HR_Data[[#This Row],[YearsAtCompany]]&lt;=2,1,IF(HR_Data[[#This Row],[YearsAtCompany]]&lt;=5,2,IF(HR_Data[[#This Row],[YearsAtCompany]]&lt;=10,3,4)))</f>
        <v>1</v>
      </c>
      <c r="AK557" s="1" t="str">
        <f>CHOOSE(HR_Data[[#This Row],[Education]],"Below College","College","Bachelor","Master","Doctor")</f>
        <v>Bachelor</v>
      </c>
      <c r="AL557" s="1" t="str">
        <f>CHOOSE(HR_Data[[#This Row],[JobSatisfaction]],"Low","Medium","High","Very High")</f>
        <v>Medium</v>
      </c>
      <c r="AM557" s="1" t="str">
        <f>CHOOSE(HR_Data[[#This Row],[EnvironmentSatisfaction]],"Low","Medium","High","Very High")</f>
        <v>Very High</v>
      </c>
      <c r="AN557" s="1" t="str">
        <f>CHOOSE(HR_Data[[#This Row],[WorkLifeBalance]],"Bad","Good","Better","Best")</f>
        <v>Better</v>
      </c>
      <c r="AO557" s="1" t="str">
        <f>IF(HR_Data[[#This Row],[PercentSalaryHike]]&lt;=13,"11-13%",IF(HR_Data[[#This Row],[PercentSalaryHike]]&lt;=16,"14-16%",IF(HR_Data[[#This Row],[PercentSalaryHike]]&lt;=19,"17-19%","20-25%")))</f>
        <v>14-16%</v>
      </c>
      <c r="AP557" s="1">
        <f>IF(HR_Data[[#This Row],[PercentSalaryHike]]&lt;=13,1,IF(HR_Data[[#This Row],[PercentSalaryHike]]&lt;=16,2,IF(HR_Data[[#This Row],[PercentSalaryHike]]&lt;=19,3,4)))</f>
        <v>2</v>
      </c>
      <c r="AQ557" s="1" t="str">
        <f>IF(HR_Data[[#This Row],[DistanceFromHome]]&lt;=5,"1 to 5",IF(HR_Data[[#This Row],[DistanceFromHome]]&lt;=10,"6 to 10",IF(HR_Data[[#This Row],[DistanceFromHome]]&lt;=20,"11 to 20","21 to 29")))</f>
        <v>6 to 10</v>
      </c>
      <c r="AR557" s="1">
        <f>IF(HR_Data[[#This Row],[DistanceFromHome]]&lt;=5,1,IF(HR_Data[[#This Row],[DistanceFromHome]]&lt;=10,2,IF(HR_Data[[#This Row],[DistanceFromHome]]&lt;=20,3,4)))</f>
        <v>2</v>
      </c>
      <c r="AS557" s="1" t="str">
        <f>IF(HR_Data[[#This Row],[TotalWorkingYears]]&lt;=5,"0-5 Yrs",IF(HR_Data[[#This Row],[TotalWorkingYears]]&lt;=10,"6-10 Yrs",IF(HR_Data[[#This Row],[TotalWorkingYears]]&lt;=20,"11-20 Yrs","20+ Yrs")))</f>
        <v>0-5 Yrs</v>
      </c>
      <c r="AT557" s="1">
        <f>IF(HR_Data[[#This Row],[TotalWorkingYears]]&lt;=5,1,IF(HR_Data[[#This Row],[TotalWorkingYears]]&lt;=10,2,IF(HR_Data[[#This Row],[TotalWorkingYears]]&lt;=20,3,4)))</f>
        <v>1</v>
      </c>
    </row>
    <row r="558" spans="1:46" x14ac:dyDescent="0.25">
      <c r="A558">
        <v>53</v>
      </c>
      <c r="B558" t="s">
        <v>36</v>
      </c>
      <c r="C558" t="s">
        <v>30</v>
      </c>
      <c r="D558" t="s">
        <v>38</v>
      </c>
      <c r="E558">
        <v>6</v>
      </c>
      <c r="F558">
        <v>3</v>
      </c>
      <c r="G558" t="s">
        <v>32</v>
      </c>
      <c r="H558">
        <v>769</v>
      </c>
      <c r="I558">
        <v>4</v>
      </c>
      <c r="J558" t="s">
        <v>39</v>
      </c>
      <c r="K558">
        <v>3</v>
      </c>
      <c r="L558">
        <v>2</v>
      </c>
      <c r="M558" t="s">
        <v>43</v>
      </c>
      <c r="N558">
        <v>4</v>
      </c>
      <c r="O558" t="s">
        <v>35</v>
      </c>
      <c r="P558">
        <v>2450</v>
      </c>
      <c r="Q558">
        <v>2</v>
      </c>
      <c r="R558" t="s">
        <v>36</v>
      </c>
      <c r="S558">
        <v>17</v>
      </c>
      <c r="T558">
        <v>3</v>
      </c>
      <c r="U558">
        <v>4</v>
      </c>
      <c r="V558">
        <v>0</v>
      </c>
      <c r="W558">
        <v>19</v>
      </c>
      <c r="X558">
        <v>4</v>
      </c>
      <c r="Y558">
        <v>3</v>
      </c>
      <c r="Z558">
        <v>2</v>
      </c>
      <c r="AA558">
        <v>2</v>
      </c>
      <c r="AB558">
        <v>2</v>
      </c>
      <c r="AC558">
        <v>2</v>
      </c>
      <c r="AD558">
        <f>IF(HR_Data[[#This Row],[Attrition]]="Yes",1,0)</f>
        <v>0</v>
      </c>
      <c r="AE558" t="str">
        <f>IF(HR_Data[[#This Row],[Age]]&lt;=25,"18-25",IF(HR_Data[[#This Row],[Age]]&lt;=35,"26-35",IF(HR_Data[[#This Row],[Age]]&lt;=45,"36-45",IF(HR_Data[[#This Row],[Age]]&lt;=55,"46-55","55+"))))</f>
        <v>46-55</v>
      </c>
      <c r="AF558">
        <f>IF(HR_Data[[#This Row],[Age]]&lt;=25,1,IF(HR_Data[[#This Row],[Age]]&lt;=35,2,IF(HR_Data[[#This Row],[Age]]&lt;=45,3,IF(HR_Data[[#This Row],[Age]]&lt;=55,4,5))))</f>
        <v>4</v>
      </c>
      <c r="AG558" s="1" t="str">
        <f>IF(HR_Data[[#This Row],[MonthlyIncome]]&lt;3000,"&lt;3K",IF(HR_Data[[#This Row],[MonthlyIncome]]&lt;6000,"3K-6K",IF(HR_Data[[#This Row],[MonthlyIncome]]&lt;10000,"6K-10K","10K+")))</f>
        <v>&lt;3K</v>
      </c>
      <c r="AH558" s="1">
        <f>IF(HR_Data[[#This Row],[MonthlyIncome]]&lt;3000,1,IF(HR_Data[[#This Row],[MonthlyIncome]]&lt;6000,2,IF(HR_Data[[#This Row],[MonthlyIncome]]&lt;10000,3,4)))</f>
        <v>1</v>
      </c>
      <c r="AI558" s="1" t="str">
        <f>IF(HR_Data[[#This Row],[YearsAtCompany]]&lt;=2,"0-2 Yrs",IF(HR_Data[[#This Row],[YearsAtCompany]]&lt;=5,"3-5 Yrs",IF(HR_Data[[#This Row],[YearsAtCompany]]&lt;=10,"6-10 Yrs","10+ Yrs")))</f>
        <v>0-2 Yrs</v>
      </c>
      <c r="AJ558" s="1">
        <f>IF(HR_Data[[#This Row],[YearsAtCompany]]&lt;=2,1,IF(HR_Data[[#This Row],[YearsAtCompany]]&lt;=5,2,IF(HR_Data[[#This Row],[YearsAtCompany]]&lt;=10,3,4)))</f>
        <v>1</v>
      </c>
      <c r="AK558" s="1" t="str">
        <f>CHOOSE(HR_Data[[#This Row],[Education]],"Below College","College","Bachelor","Master","Doctor")</f>
        <v>Bachelor</v>
      </c>
      <c r="AL558" s="1" t="str">
        <f>CHOOSE(HR_Data[[#This Row],[JobSatisfaction]],"Low","Medium","High","Very High")</f>
        <v>Very High</v>
      </c>
      <c r="AM558" s="1" t="str">
        <f>CHOOSE(HR_Data[[#This Row],[EnvironmentSatisfaction]],"Low","Medium","High","Very High")</f>
        <v>Very High</v>
      </c>
      <c r="AN558" s="1" t="str">
        <f>CHOOSE(HR_Data[[#This Row],[WorkLifeBalance]],"Bad","Good","Better","Best")</f>
        <v>Better</v>
      </c>
      <c r="AO558" s="1" t="str">
        <f>IF(HR_Data[[#This Row],[PercentSalaryHike]]&lt;=13,"11-13%",IF(HR_Data[[#This Row],[PercentSalaryHike]]&lt;=16,"14-16%",IF(HR_Data[[#This Row],[PercentSalaryHike]]&lt;=19,"17-19%","20-25%")))</f>
        <v>17-19%</v>
      </c>
      <c r="AP558" s="1">
        <f>IF(HR_Data[[#This Row],[PercentSalaryHike]]&lt;=13,1,IF(HR_Data[[#This Row],[PercentSalaryHike]]&lt;=16,2,IF(HR_Data[[#This Row],[PercentSalaryHike]]&lt;=19,3,4)))</f>
        <v>3</v>
      </c>
      <c r="AQ558" s="1" t="str">
        <f>IF(HR_Data[[#This Row],[DistanceFromHome]]&lt;=5,"1 to 5",IF(HR_Data[[#This Row],[DistanceFromHome]]&lt;=10,"6 to 10",IF(HR_Data[[#This Row],[DistanceFromHome]]&lt;=20,"11 to 20","21 to 29")))</f>
        <v>6 to 10</v>
      </c>
      <c r="AR558" s="1">
        <f>IF(HR_Data[[#This Row],[DistanceFromHome]]&lt;=5,1,IF(HR_Data[[#This Row],[DistanceFromHome]]&lt;=10,2,IF(HR_Data[[#This Row],[DistanceFromHome]]&lt;=20,3,4)))</f>
        <v>2</v>
      </c>
      <c r="AS558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558" s="1">
        <f>IF(HR_Data[[#This Row],[TotalWorkingYears]]&lt;=5,1,IF(HR_Data[[#This Row],[TotalWorkingYears]]&lt;=10,2,IF(HR_Data[[#This Row],[TotalWorkingYears]]&lt;=20,3,4)))</f>
        <v>3</v>
      </c>
    </row>
    <row r="559" spans="1:46" x14ac:dyDescent="0.25">
      <c r="A559">
        <v>35</v>
      </c>
      <c r="B559" t="s">
        <v>36</v>
      </c>
      <c r="C559" t="s">
        <v>48</v>
      </c>
      <c r="D559" t="s">
        <v>38</v>
      </c>
      <c r="E559">
        <v>2</v>
      </c>
      <c r="F559">
        <v>4</v>
      </c>
      <c r="G559" t="s">
        <v>32</v>
      </c>
      <c r="H559">
        <v>771</v>
      </c>
      <c r="I559">
        <v>4</v>
      </c>
      <c r="J559" t="s">
        <v>33</v>
      </c>
      <c r="K559">
        <v>3</v>
      </c>
      <c r="L559">
        <v>2</v>
      </c>
      <c r="M559" t="s">
        <v>47</v>
      </c>
      <c r="N559">
        <v>1</v>
      </c>
      <c r="O559" t="s">
        <v>45</v>
      </c>
      <c r="P559">
        <v>5093</v>
      </c>
      <c r="Q559">
        <v>2</v>
      </c>
      <c r="R559" t="s">
        <v>36</v>
      </c>
      <c r="S559">
        <v>11</v>
      </c>
      <c r="T559">
        <v>3</v>
      </c>
      <c r="U559">
        <v>1</v>
      </c>
      <c r="V559">
        <v>1</v>
      </c>
      <c r="W559">
        <v>16</v>
      </c>
      <c r="X559">
        <v>2</v>
      </c>
      <c r="Y559">
        <v>4</v>
      </c>
      <c r="Z559">
        <v>1</v>
      </c>
      <c r="AA559">
        <v>0</v>
      </c>
      <c r="AB559">
        <v>0</v>
      </c>
      <c r="AC559">
        <v>0</v>
      </c>
      <c r="AD559">
        <f>IF(HR_Data[[#This Row],[Attrition]]="Yes",1,0)</f>
        <v>0</v>
      </c>
      <c r="AE559" t="str">
        <f>IF(HR_Data[[#This Row],[Age]]&lt;=25,"18-25",IF(HR_Data[[#This Row],[Age]]&lt;=35,"26-35",IF(HR_Data[[#This Row],[Age]]&lt;=45,"36-45",IF(HR_Data[[#This Row],[Age]]&lt;=55,"46-55","55+"))))</f>
        <v>26-35</v>
      </c>
      <c r="AF559">
        <f>IF(HR_Data[[#This Row],[Age]]&lt;=25,1,IF(HR_Data[[#This Row],[Age]]&lt;=35,2,IF(HR_Data[[#This Row],[Age]]&lt;=45,3,IF(HR_Data[[#This Row],[Age]]&lt;=55,4,5))))</f>
        <v>2</v>
      </c>
      <c r="AG559" s="1" t="str">
        <f>IF(HR_Data[[#This Row],[MonthlyIncome]]&lt;3000,"&lt;3K",IF(HR_Data[[#This Row],[MonthlyIncome]]&lt;6000,"3K-6K",IF(HR_Data[[#This Row],[MonthlyIncome]]&lt;10000,"6K-10K","10K+")))</f>
        <v>3K-6K</v>
      </c>
      <c r="AH559" s="1">
        <f>IF(HR_Data[[#This Row],[MonthlyIncome]]&lt;3000,1,IF(HR_Data[[#This Row],[MonthlyIncome]]&lt;6000,2,IF(HR_Data[[#This Row],[MonthlyIncome]]&lt;10000,3,4)))</f>
        <v>2</v>
      </c>
      <c r="AI559" s="1" t="str">
        <f>IF(HR_Data[[#This Row],[YearsAtCompany]]&lt;=2,"0-2 Yrs",IF(HR_Data[[#This Row],[YearsAtCompany]]&lt;=5,"3-5 Yrs",IF(HR_Data[[#This Row],[YearsAtCompany]]&lt;=10,"6-10 Yrs","10+ Yrs")))</f>
        <v>0-2 Yrs</v>
      </c>
      <c r="AJ559" s="1">
        <f>IF(HR_Data[[#This Row],[YearsAtCompany]]&lt;=2,1,IF(HR_Data[[#This Row],[YearsAtCompany]]&lt;=5,2,IF(HR_Data[[#This Row],[YearsAtCompany]]&lt;=10,3,4)))</f>
        <v>1</v>
      </c>
      <c r="AK559" s="1" t="str">
        <f>CHOOSE(HR_Data[[#This Row],[Education]],"Below College","College","Bachelor","Master","Doctor")</f>
        <v>Master</v>
      </c>
      <c r="AL559" s="1" t="str">
        <f>CHOOSE(HR_Data[[#This Row],[JobSatisfaction]],"Low","Medium","High","Very High")</f>
        <v>Low</v>
      </c>
      <c r="AM559" s="1" t="str">
        <f>CHOOSE(HR_Data[[#This Row],[EnvironmentSatisfaction]],"Low","Medium","High","Very High")</f>
        <v>Very High</v>
      </c>
      <c r="AN559" s="1" t="str">
        <f>CHOOSE(HR_Data[[#This Row],[WorkLifeBalance]],"Bad","Good","Better","Best")</f>
        <v>Best</v>
      </c>
      <c r="AO559" s="1" t="str">
        <f>IF(HR_Data[[#This Row],[PercentSalaryHike]]&lt;=13,"11-13%",IF(HR_Data[[#This Row],[PercentSalaryHike]]&lt;=16,"14-16%",IF(HR_Data[[#This Row],[PercentSalaryHike]]&lt;=19,"17-19%","20-25%")))</f>
        <v>11-13%</v>
      </c>
      <c r="AP559" s="1">
        <f>IF(HR_Data[[#This Row],[PercentSalaryHike]]&lt;=13,1,IF(HR_Data[[#This Row],[PercentSalaryHike]]&lt;=16,2,IF(HR_Data[[#This Row],[PercentSalaryHike]]&lt;=19,3,4)))</f>
        <v>1</v>
      </c>
      <c r="AQ559" s="1" t="str">
        <f>IF(HR_Data[[#This Row],[DistanceFromHome]]&lt;=5,"1 to 5",IF(HR_Data[[#This Row],[DistanceFromHome]]&lt;=10,"6 to 10",IF(HR_Data[[#This Row],[DistanceFromHome]]&lt;=20,"11 to 20","21 to 29")))</f>
        <v>1 to 5</v>
      </c>
      <c r="AR559" s="1">
        <f>IF(HR_Data[[#This Row],[DistanceFromHome]]&lt;=5,1,IF(HR_Data[[#This Row],[DistanceFromHome]]&lt;=10,2,IF(HR_Data[[#This Row],[DistanceFromHome]]&lt;=20,3,4)))</f>
        <v>1</v>
      </c>
      <c r="AS559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559" s="1">
        <f>IF(HR_Data[[#This Row],[TotalWorkingYears]]&lt;=5,1,IF(HR_Data[[#This Row],[TotalWorkingYears]]&lt;=10,2,IF(HR_Data[[#This Row],[TotalWorkingYears]]&lt;=20,3,4)))</f>
        <v>3</v>
      </c>
    </row>
    <row r="560" spans="1:46" x14ac:dyDescent="0.25">
      <c r="A560">
        <v>32</v>
      </c>
      <c r="B560" t="s">
        <v>36</v>
      </c>
      <c r="C560" t="s">
        <v>37</v>
      </c>
      <c r="D560" t="s">
        <v>38</v>
      </c>
      <c r="E560">
        <v>24</v>
      </c>
      <c r="F560">
        <v>4</v>
      </c>
      <c r="G560" t="s">
        <v>32</v>
      </c>
      <c r="H560">
        <v>772</v>
      </c>
      <c r="I560">
        <v>1</v>
      </c>
      <c r="J560" t="s">
        <v>39</v>
      </c>
      <c r="K560">
        <v>3</v>
      </c>
      <c r="L560">
        <v>2</v>
      </c>
      <c r="M560" t="s">
        <v>43</v>
      </c>
      <c r="N560">
        <v>4</v>
      </c>
      <c r="O560" t="s">
        <v>41</v>
      </c>
      <c r="P560">
        <v>5309</v>
      </c>
      <c r="Q560">
        <v>1</v>
      </c>
      <c r="R560" t="s">
        <v>36</v>
      </c>
      <c r="S560">
        <v>15</v>
      </c>
      <c r="T560">
        <v>3</v>
      </c>
      <c r="U560">
        <v>4</v>
      </c>
      <c r="V560">
        <v>2</v>
      </c>
      <c r="W560">
        <v>10</v>
      </c>
      <c r="X560">
        <v>2</v>
      </c>
      <c r="Y560">
        <v>3</v>
      </c>
      <c r="Z560">
        <v>10</v>
      </c>
      <c r="AA560">
        <v>8</v>
      </c>
      <c r="AB560">
        <v>4</v>
      </c>
      <c r="AC560">
        <v>7</v>
      </c>
      <c r="AD560">
        <f>IF(HR_Data[[#This Row],[Attrition]]="Yes",1,0)</f>
        <v>0</v>
      </c>
      <c r="AE560" t="str">
        <f>IF(HR_Data[[#This Row],[Age]]&lt;=25,"18-25",IF(HR_Data[[#This Row],[Age]]&lt;=35,"26-35",IF(HR_Data[[#This Row],[Age]]&lt;=45,"36-45",IF(HR_Data[[#This Row],[Age]]&lt;=55,"46-55","55+"))))</f>
        <v>26-35</v>
      </c>
      <c r="AF560">
        <f>IF(HR_Data[[#This Row],[Age]]&lt;=25,1,IF(HR_Data[[#This Row],[Age]]&lt;=35,2,IF(HR_Data[[#This Row],[Age]]&lt;=45,3,IF(HR_Data[[#This Row],[Age]]&lt;=55,4,5))))</f>
        <v>2</v>
      </c>
      <c r="AG560" s="1" t="str">
        <f>IF(HR_Data[[#This Row],[MonthlyIncome]]&lt;3000,"&lt;3K",IF(HR_Data[[#This Row],[MonthlyIncome]]&lt;6000,"3K-6K",IF(HR_Data[[#This Row],[MonthlyIncome]]&lt;10000,"6K-10K","10K+")))</f>
        <v>3K-6K</v>
      </c>
      <c r="AH560" s="1">
        <f>IF(HR_Data[[#This Row],[MonthlyIncome]]&lt;3000,1,IF(HR_Data[[#This Row],[MonthlyIncome]]&lt;6000,2,IF(HR_Data[[#This Row],[MonthlyIncome]]&lt;10000,3,4)))</f>
        <v>2</v>
      </c>
      <c r="AI560" s="1" t="str">
        <f>IF(HR_Data[[#This Row],[YearsAtCompany]]&lt;=2,"0-2 Yrs",IF(HR_Data[[#This Row],[YearsAtCompany]]&lt;=5,"3-5 Yrs",IF(HR_Data[[#This Row],[YearsAtCompany]]&lt;=10,"6-10 Yrs","10+ Yrs")))</f>
        <v>6-10 Yrs</v>
      </c>
      <c r="AJ560" s="1">
        <f>IF(HR_Data[[#This Row],[YearsAtCompany]]&lt;=2,1,IF(HR_Data[[#This Row],[YearsAtCompany]]&lt;=5,2,IF(HR_Data[[#This Row],[YearsAtCompany]]&lt;=10,3,4)))</f>
        <v>3</v>
      </c>
      <c r="AK560" s="1" t="str">
        <f>CHOOSE(HR_Data[[#This Row],[Education]],"Below College","College","Bachelor","Master","Doctor")</f>
        <v>Master</v>
      </c>
      <c r="AL560" s="1" t="str">
        <f>CHOOSE(HR_Data[[#This Row],[JobSatisfaction]],"Low","Medium","High","Very High")</f>
        <v>Very High</v>
      </c>
      <c r="AM560" s="1" t="str">
        <f>CHOOSE(HR_Data[[#This Row],[EnvironmentSatisfaction]],"Low","Medium","High","Very High")</f>
        <v>Low</v>
      </c>
      <c r="AN560" s="1" t="str">
        <f>CHOOSE(HR_Data[[#This Row],[WorkLifeBalance]],"Bad","Good","Better","Best")</f>
        <v>Better</v>
      </c>
      <c r="AO560" s="1" t="str">
        <f>IF(HR_Data[[#This Row],[PercentSalaryHike]]&lt;=13,"11-13%",IF(HR_Data[[#This Row],[PercentSalaryHike]]&lt;=16,"14-16%",IF(HR_Data[[#This Row],[PercentSalaryHike]]&lt;=19,"17-19%","20-25%")))</f>
        <v>14-16%</v>
      </c>
      <c r="AP560" s="1">
        <f>IF(HR_Data[[#This Row],[PercentSalaryHike]]&lt;=13,1,IF(HR_Data[[#This Row],[PercentSalaryHike]]&lt;=16,2,IF(HR_Data[[#This Row],[PercentSalaryHike]]&lt;=19,3,4)))</f>
        <v>2</v>
      </c>
      <c r="AQ560" s="1" t="str">
        <f>IF(HR_Data[[#This Row],[DistanceFromHome]]&lt;=5,"1 to 5",IF(HR_Data[[#This Row],[DistanceFromHome]]&lt;=10,"6 to 10",IF(HR_Data[[#This Row],[DistanceFromHome]]&lt;=20,"11 to 20","21 to 29")))</f>
        <v>21 to 29</v>
      </c>
      <c r="AR560" s="1">
        <f>IF(HR_Data[[#This Row],[DistanceFromHome]]&lt;=5,1,IF(HR_Data[[#This Row],[DistanceFromHome]]&lt;=10,2,IF(HR_Data[[#This Row],[DistanceFromHome]]&lt;=20,3,4)))</f>
        <v>4</v>
      </c>
      <c r="AS560" s="1" t="str">
        <f>IF(HR_Data[[#This Row],[TotalWorkingYears]]&lt;=5,"0-5 Yrs",IF(HR_Data[[#This Row],[TotalWorkingYears]]&lt;=10,"6-10 Yrs",IF(HR_Data[[#This Row],[TotalWorkingYears]]&lt;=20,"11-20 Yrs","20+ Yrs")))</f>
        <v>6-10 Yrs</v>
      </c>
      <c r="AT560" s="1">
        <f>IF(HR_Data[[#This Row],[TotalWorkingYears]]&lt;=5,1,IF(HR_Data[[#This Row],[TotalWorkingYears]]&lt;=10,2,IF(HR_Data[[#This Row],[TotalWorkingYears]]&lt;=20,3,4)))</f>
        <v>2</v>
      </c>
    </row>
    <row r="561" spans="1:46" x14ac:dyDescent="0.25">
      <c r="A561">
        <v>38</v>
      </c>
      <c r="B561" t="s">
        <v>36</v>
      </c>
      <c r="C561" t="s">
        <v>30</v>
      </c>
      <c r="D561" t="s">
        <v>38</v>
      </c>
      <c r="E561">
        <v>2</v>
      </c>
      <c r="F561">
        <v>5</v>
      </c>
      <c r="G561" t="s">
        <v>44</v>
      </c>
      <c r="H561">
        <v>773</v>
      </c>
      <c r="I561">
        <v>4</v>
      </c>
      <c r="J561" t="s">
        <v>39</v>
      </c>
      <c r="K561">
        <v>3</v>
      </c>
      <c r="L561">
        <v>1</v>
      </c>
      <c r="M561" t="s">
        <v>40</v>
      </c>
      <c r="N561">
        <v>3</v>
      </c>
      <c r="O561" t="s">
        <v>41</v>
      </c>
      <c r="P561">
        <v>3057</v>
      </c>
      <c r="Q561">
        <v>6</v>
      </c>
      <c r="R561" t="s">
        <v>29</v>
      </c>
      <c r="S561">
        <v>13</v>
      </c>
      <c r="T561">
        <v>3</v>
      </c>
      <c r="U561">
        <v>2</v>
      </c>
      <c r="V561">
        <v>1</v>
      </c>
      <c r="W561">
        <v>6</v>
      </c>
      <c r="X561">
        <v>0</v>
      </c>
      <c r="Y561">
        <v>1</v>
      </c>
      <c r="Z561">
        <v>1</v>
      </c>
      <c r="AA561">
        <v>0</v>
      </c>
      <c r="AB561">
        <v>0</v>
      </c>
      <c r="AC561">
        <v>1</v>
      </c>
      <c r="AD561">
        <f>IF(HR_Data[[#This Row],[Attrition]]="Yes",1,0)</f>
        <v>0</v>
      </c>
      <c r="AE561" t="str">
        <f>IF(HR_Data[[#This Row],[Age]]&lt;=25,"18-25",IF(HR_Data[[#This Row],[Age]]&lt;=35,"26-35",IF(HR_Data[[#This Row],[Age]]&lt;=45,"36-45",IF(HR_Data[[#This Row],[Age]]&lt;=55,"46-55","55+"))))</f>
        <v>36-45</v>
      </c>
      <c r="AF561">
        <f>IF(HR_Data[[#This Row],[Age]]&lt;=25,1,IF(HR_Data[[#This Row],[Age]]&lt;=35,2,IF(HR_Data[[#This Row],[Age]]&lt;=45,3,IF(HR_Data[[#This Row],[Age]]&lt;=55,4,5))))</f>
        <v>3</v>
      </c>
      <c r="AG561" s="1" t="str">
        <f>IF(HR_Data[[#This Row],[MonthlyIncome]]&lt;3000,"&lt;3K",IF(HR_Data[[#This Row],[MonthlyIncome]]&lt;6000,"3K-6K",IF(HR_Data[[#This Row],[MonthlyIncome]]&lt;10000,"6K-10K","10K+")))</f>
        <v>3K-6K</v>
      </c>
      <c r="AH561" s="1">
        <f>IF(HR_Data[[#This Row],[MonthlyIncome]]&lt;3000,1,IF(HR_Data[[#This Row],[MonthlyIncome]]&lt;6000,2,IF(HR_Data[[#This Row],[MonthlyIncome]]&lt;10000,3,4)))</f>
        <v>2</v>
      </c>
      <c r="AI561" s="1" t="str">
        <f>IF(HR_Data[[#This Row],[YearsAtCompany]]&lt;=2,"0-2 Yrs",IF(HR_Data[[#This Row],[YearsAtCompany]]&lt;=5,"3-5 Yrs",IF(HR_Data[[#This Row],[YearsAtCompany]]&lt;=10,"6-10 Yrs","10+ Yrs")))</f>
        <v>0-2 Yrs</v>
      </c>
      <c r="AJ561" s="1">
        <f>IF(HR_Data[[#This Row],[YearsAtCompany]]&lt;=2,1,IF(HR_Data[[#This Row],[YearsAtCompany]]&lt;=5,2,IF(HR_Data[[#This Row],[YearsAtCompany]]&lt;=10,3,4)))</f>
        <v>1</v>
      </c>
      <c r="AK561" s="1" t="str">
        <f>CHOOSE(HR_Data[[#This Row],[Education]],"Below College","College","Bachelor","Master","Doctor")</f>
        <v>Doctor</v>
      </c>
      <c r="AL561" s="1" t="str">
        <f>CHOOSE(HR_Data[[#This Row],[JobSatisfaction]],"Low","Medium","High","Very High")</f>
        <v>High</v>
      </c>
      <c r="AM561" s="1" t="str">
        <f>CHOOSE(HR_Data[[#This Row],[EnvironmentSatisfaction]],"Low","Medium","High","Very High")</f>
        <v>Very High</v>
      </c>
      <c r="AN561" s="1" t="str">
        <f>CHOOSE(HR_Data[[#This Row],[WorkLifeBalance]],"Bad","Good","Better","Best")</f>
        <v>Bad</v>
      </c>
      <c r="AO561" s="1" t="str">
        <f>IF(HR_Data[[#This Row],[PercentSalaryHike]]&lt;=13,"11-13%",IF(HR_Data[[#This Row],[PercentSalaryHike]]&lt;=16,"14-16%",IF(HR_Data[[#This Row],[PercentSalaryHike]]&lt;=19,"17-19%","20-25%")))</f>
        <v>11-13%</v>
      </c>
      <c r="AP561" s="1">
        <f>IF(HR_Data[[#This Row],[PercentSalaryHike]]&lt;=13,1,IF(HR_Data[[#This Row],[PercentSalaryHike]]&lt;=16,2,IF(HR_Data[[#This Row],[PercentSalaryHike]]&lt;=19,3,4)))</f>
        <v>1</v>
      </c>
      <c r="AQ561" s="1" t="str">
        <f>IF(HR_Data[[#This Row],[DistanceFromHome]]&lt;=5,"1 to 5",IF(HR_Data[[#This Row],[DistanceFromHome]]&lt;=10,"6 to 10",IF(HR_Data[[#This Row],[DistanceFromHome]]&lt;=20,"11 to 20","21 to 29")))</f>
        <v>1 to 5</v>
      </c>
      <c r="AR561" s="1">
        <f>IF(HR_Data[[#This Row],[DistanceFromHome]]&lt;=5,1,IF(HR_Data[[#This Row],[DistanceFromHome]]&lt;=10,2,IF(HR_Data[[#This Row],[DistanceFromHome]]&lt;=20,3,4)))</f>
        <v>1</v>
      </c>
      <c r="AS561" s="1" t="str">
        <f>IF(HR_Data[[#This Row],[TotalWorkingYears]]&lt;=5,"0-5 Yrs",IF(HR_Data[[#This Row],[TotalWorkingYears]]&lt;=10,"6-10 Yrs",IF(HR_Data[[#This Row],[TotalWorkingYears]]&lt;=20,"11-20 Yrs","20+ Yrs")))</f>
        <v>6-10 Yrs</v>
      </c>
      <c r="AT561" s="1">
        <f>IF(HR_Data[[#This Row],[TotalWorkingYears]]&lt;=5,1,IF(HR_Data[[#This Row],[TotalWorkingYears]]&lt;=10,2,IF(HR_Data[[#This Row],[TotalWorkingYears]]&lt;=20,3,4)))</f>
        <v>2</v>
      </c>
    </row>
    <row r="562" spans="1:46" x14ac:dyDescent="0.25">
      <c r="A562">
        <v>34</v>
      </c>
      <c r="B562" t="s">
        <v>36</v>
      </c>
      <c r="C562" t="s">
        <v>30</v>
      </c>
      <c r="D562" t="s">
        <v>38</v>
      </c>
      <c r="E562">
        <v>8</v>
      </c>
      <c r="F562">
        <v>5</v>
      </c>
      <c r="G562" t="s">
        <v>32</v>
      </c>
      <c r="H562">
        <v>775</v>
      </c>
      <c r="I562">
        <v>2</v>
      </c>
      <c r="J562" t="s">
        <v>33</v>
      </c>
      <c r="K562">
        <v>3</v>
      </c>
      <c r="L562">
        <v>2</v>
      </c>
      <c r="M562" t="s">
        <v>46</v>
      </c>
      <c r="N562">
        <v>1</v>
      </c>
      <c r="O562" t="s">
        <v>45</v>
      </c>
      <c r="P562">
        <v>5121</v>
      </c>
      <c r="Q562">
        <v>3</v>
      </c>
      <c r="R562" t="s">
        <v>36</v>
      </c>
      <c r="S562">
        <v>14</v>
      </c>
      <c r="T562">
        <v>3</v>
      </c>
      <c r="U562">
        <v>3</v>
      </c>
      <c r="V562">
        <v>1</v>
      </c>
      <c r="W562">
        <v>7</v>
      </c>
      <c r="X562">
        <v>3</v>
      </c>
      <c r="Y562">
        <v>3</v>
      </c>
      <c r="Z562">
        <v>0</v>
      </c>
      <c r="AA562">
        <v>0</v>
      </c>
      <c r="AB562">
        <v>0</v>
      </c>
      <c r="AC562">
        <v>0</v>
      </c>
      <c r="AD562">
        <f>IF(HR_Data[[#This Row],[Attrition]]="Yes",1,0)</f>
        <v>0</v>
      </c>
      <c r="AE562" t="str">
        <f>IF(HR_Data[[#This Row],[Age]]&lt;=25,"18-25",IF(HR_Data[[#This Row],[Age]]&lt;=35,"26-35",IF(HR_Data[[#This Row],[Age]]&lt;=45,"36-45",IF(HR_Data[[#This Row],[Age]]&lt;=55,"46-55","55+"))))</f>
        <v>26-35</v>
      </c>
      <c r="AF562">
        <f>IF(HR_Data[[#This Row],[Age]]&lt;=25,1,IF(HR_Data[[#This Row],[Age]]&lt;=35,2,IF(HR_Data[[#This Row],[Age]]&lt;=45,3,IF(HR_Data[[#This Row],[Age]]&lt;=55,4,5))))</f>
        <v>2</v>
      </c>
      <c r="AG562" s="1" t="str">
        <f>IF(HR_Data[[#This Row],[MonthlyIncome]]&lt;3000,"&lt;3K",IF(HR_Data[[#This Row],[MonthlyIncome]]&lt;6000,"3K-6K",IF(HR_Data[[#This Row],[MonthlyIncome]]&lt;10000,"6K-10K","10K+")))</f>
        <v>3K-6K</v>
      </c>
      <c r="AH562" s="1">
        <f>IF(HR_Data[[#This Row],[MonthlyIncome]]&lt;3000,1,IF(HR_Data[[#This Row],[MonthlyIncome]]&lt;6000,2,IF(HR_Data[[#This Row],[MonthlyIncome]]&lt;10000,3,4)))</f>
        <v>2</v>
      </c>
      <c r="AI562" s="1" t="str">
        <f>IF(HR_Data[[#This Row],[YearsAtCompany]]&lt;=2,"0-2 Yrs",IF(HR_Data[[#This Row],[YearsAtCompany]]&lt;=5,"3-5 Yrs",IF(HR_Data[[#This Row],[YearsAtCompany]]&lt;=10,"6-10 Yrs","10+ Yrs")))</f>
        <v>0-2 Yrs</v>
      </c>
      <c r="AJ562" s="1">
        <f>IF(HR_Data[[#This Row],[YearsAtCompany]]&lt;=2,1,IF(HR_Data[[#This Row],[YearsAtCompany]]&lt;=5,2,IF(HR_Data[[#This Row],[YearsAtCompany]]&lt;=10,3,4)))</f>
        <v>1</v>
      </c>
      <c r="AK562" s="1" t="str">
        <f>CHOOSE(HR_Data[[#This Row],[Education]],"Below College","College","Bachelor","Master","Doctor")</f>
        <v>Doctor</v>
      </c>
      <c r="AL562" s="1" t="str">
        <f>CHOOSE(HR_Data[[#This Row],[JobSatisfaction]],"Low","Medium","High","Very High")</f>
        <v>Low</v>
      </c>
      <c r="AM562" s="1" t="str">
        <f>CHOOSE(HR_Data[[#This Row],[EnvironmentSatisfaction]],"Low","Medium","High","Very High")</f>
        <v>Medium</v>
      </c>
      <c r="AN562" s="1" t="str">
        <f>CHOOSE(HR_Data[[#This Row],[WorkLifeBalance]],"Bad","Good","Better","Best")</f>
        <v>Better</v>
      </c>
      <c r="AO562" s="1" t="str">
        <f>IF(HR_Data[[#This Row],[PercentSalaryHike]]&lt;=13,"11-13%",IF(HR_Data[[#This Row],[PercentSalaryHike]]&lt;=16,"14-16%",IF(HR_Data[[#This Row],[PercentSalaryHike]]&lt;=19,"17-19%","20-25%")))</f>
        <v>14-16%</v>
      </c>
      <c r="AP562" s="1">
        <f>IF(HR_Data[[#This Row],[PercentSalaryHike]]&lt;=13,1,IF(HR_Data[[#This Row],[PercentSalaryHike]]&lt;=16,2,IF(HR_Data[[#This Row],[PercentSalaryHike]]&lt;=19,3,4)))</f>
        <v>2</v>
      </c>
      <c r="AQ562" s="1" t="str">
        <f>IF(HR_Data[[#This Row],[DistanceFromHome]]&lt;=5,"1 to 5",IF(HR_Data[[#This Row],[DistanceFromHome]]&lt;=10,"6 to 10",IF(HR_Data[[#This Row],[DistanceFromHome]]&lt;=20,"11 to 20","21 to 29")))</f>
        <v>6 to 10</v>
      </c>
      <c r="AR562" s="1">
        <f>IF(HR_Data[[#This Row],[DistanceFromHome]]&lt;=5,1,IF(HR_Data[[#This Row],[DistanceFromHome]]&lt;=10,2,IF(HR_Data[[#This Row],[DistanceFromHome]]&lt;=20,3,4)))</f>
        <v>2</v>
      </c>
      <c r="AS562" s="1" t="str">
        <f>IF(HR_Data[[#This Row],[TotalWorkingYears]]&lt;=5,"0-5 Yrs",IF(HR_Data[[#This Row],[TotalWorkingYears]]&lt;=10,"6-10 Yrs",IF(HR_Data[[#This Row],[TotalWorkingYears]]&lt;=20,"11-20 Yrs","20+ Yrs")))</f>
        <v>6-10 Yrs</v>
      </c>
      <c r="AT562" s="1">
        <f>IF(HR_Data[[#This Row],[TotalWorkingYears]]&lt;=5,1,IF(HR_Data[[#This Row],[TotalWorkingYears]]&lt;=10,2,IF(HR_Data[[#This Row],[TotalWorkingYears]]&lt;=20,3,4)))</f>
        <v>2</v>
      </c>
    </row>
    <row r="563" spans="1:46" x14ac:dyDescent="0.25">
      <c r="A563">
        <v>52</v>
      </c>
      <c r="B563" t="s">
        <v>36</v>
      </c>
      <c r="C563" t="s">
        <v>30</v>
      </c>
      <c r="D563" t="s">
        <v>31</v>
      </c>
      <c r="E563">
        <v>3</v>
      </c>
      <c r="F563">
        <v>4</v>
      </c>
      <c r="G563" t="s">
        <v>52</v>
      </c>
      <c r="H563">
        <v>776</v>
      </c>
      <c r="I563">
        <v>3</v>
      </c>
      <c r="J563" t="s">
        <v>39</v>
      </c>
      <c r="K563">
        <v>2</v>
      </c>
      <c r="L563">
        <v>4</v>
      </c>
      <c r="M563" t="s">
        <v>49</v>
      </c>
      <c r="N563">
        <v>1</v>
      </c>
      <c r="O563" t="s">
        <v>41</v>
      </c>
      <c r="P563">
        <v>16856</v>
      </c>
      <c r="Q563">
        <v>1</v>
      </c>
      <c r="R563" t="s">
        <v>36</v>
      </c>
      <c r="S563">
        <v>11</v>
      </c>
      <c r="T563">
        <v>3</v>
      </c>
      <c r="U563">
        <v>1</v>
      </c>
      <c r="V563">
        <v>0</v>
      </c>
      <c r="W563">
        <v>34</v>
      </c>
      <c r="X563">
        <v>3</v>
      </c>
      <c r="Y563">
        <v>4</v>
      </c>
      <c r="Z563">
        <v>34</v>
      </c>
      <c r="AA563">
        <v>6</v>
      </c>
      <c r="AB563">
        <v>1</v>
      </c>
      <c r="AC563">
        <v>16</v>
      </c>
      <c r="AD563">
        <f>IF(HR_Data[[#This Row],[Attrition]]="Yes",1,0)</f>
        <v>0</v>
      </c>
      <c r="AE563" t="str">
        <f>IF(HR_Data[[#This Row],[Age]]&lt;=25,"18-25",IF(HR_Data[[#This Row],[Age]]&lt;=35,"26-35",IF(HR_Data[[#This Row],[Age]]&lt;=45,"36-45",IF(HR_Data[[#This Row],[Age]]&lt;=55,"46-55","55+"))))</f>
        <v>46-55</v>
      </c>
      <c r="AF563">
        <f>IF(HR_Data[[#This Row],[Age]]&lt;=25,1,IF(HR_Data[[#This Row],[Age]]&lt;=35,2,IF(HR_Data[[#This Row],[Age]]&lt;=45,3,IF(HR_Data[[#This Row],[Age]]&lt;=55,4,5))))</f>
        <v>4</v>
      </c>
      <c r="AG563" s="1" t="str">
        <f>IF(HR_Data[[#This Row],[MonthlyIncome]]&lt;3000,"&lt;3K",IF(HR_Data[[#This Row],[MonthlyIncome]]&lt;6000,"3K-6K",IF(HR_Data[[#This Row],[MonthlyIncome]]&lt;10000,"6K-10K","10K+")))</f>
        <v>10K+</v>
      </c>
      <c r="AH563" s="1">
        <f>IF(HR_Data[[#This Row],[MonthlyIncome]]&lt;3000,1,IF(HR_Data[[#This Row],[MonthlyIncome]]&lt;6000,2,IF(HR_Data[[#This Row],[MonthlyIncome]]&lt;10000,3,4)))</f>
        <v>4</v>
      </c>
      <c r="AI563" s="1" t="str">
        <f>IF(HR_Data[[#This Row],[YearsAtCompany]]&lt;=2,"0-2 Yrs",IF(HR_Data[[#This Row],[YearsAtCompany]]&lt;=5,"3-5 Yrs",IF(HR_Data[[#This Row],[YearsAtCompany]]&lt;=10,"6-10 Yrs","10+ Yrs")))</f>
        <v>10+ Yrs</v>
      </c>
      <c r="AJ563" s="1">
        <f>IF(HR_Data[[#This Row],[YearsAtCompany]]&lt;=2,1,IF(HR_Data[[#This Row],[YearsAtCompany]]&lt;=5,2,IF(HR_Data[[#This Row],[YearsAtCompany]]&lt;=10,3,4)))</f>
        <v>4</v>
      </c>
      <c r="AK563" s="1" t="str">
        <f>CHOOSE(HR_Data[[#This Row],[Education]],"Below College","College","Bachelor","Master","Doctor")</f>
        <v>Master</v>
      </c>
      <c r="AL563" s="1" t="str">
        <f>CHOOSE(HR_Data[[#This Row],[JobSatisfaction]],"Low","Medium","High","Very High")</f>
        <v>Low</v>
      </c>
      <c r="AM563" s="1" t="str">
        <f>CHOOSE(HR_Data[[#This Row],[EnvironmentSatisfaction]],"Low","Medium","High","Very High")</f>
        <v>High</v>
      </c>
      <c r="AN563" s="1" t="str">
        <f>CHOOSE(HR_Data[[#This Row],[WorkLifeBalance]],"Bad","Good","Better","Best")</f>
        <v>Best</v>
      </c>
      <c r="AO563" s="1" t="str">
        <f>IF(HR_Data[[#This Row],[PercentSalaryHike]]&lt;=13,"11-13%",IF(HR_Data[[#This Row],[PercentSalaryHike]]&lt;=16,"14-16%",IF(HR_Data[[#This Row],[PercentSalaryHike]]&lt;=19,"17-19%","20-25%")))</f>
        <v>11-13%</v>
      </c>
      <c r="AP563" s="1">
        <f>IF(HR_Data[[#This Row],[PercentSalaryHike]]&lt;=13,1,IF(HR_Data[[#This Row],[PercentSalaryHike]]&lt;=16,2,IF(HR_Data[[#This Row],[PercentSalaryHike]]&lt;=19,3,4)))</f>
        <v>1</v>
      </c>
      <c r="AQ563" s="1" t="str">
        <f>IF(HR_Data[[#This Row],[DistanceFromHome]]&lt;=5,"1 to 5",IF(HR_Data[[#This Row],[DistanceFromHome]]&lt;=10,"6 to 10",IF(HR_Data[[#This Row],[DistanceFromHome]]&lt;=20,"11 to 20","21 to 29")))</f>
        <v>1 to 5</v>
      </c>
      <c r="AR563" s="1">
        <f>IF(HR_Data[[#This Row],[DistanceFromHome]]&lt;=5,1,IF(HR_Data[[#This Row],[DistanceFromHome]]&lt;=10,2,IF(HR_Data[[#This Row],[DistanceFromHome]]&lt;=20,3,4)))</f>
        <v>1</v>
      </c>
      <c r="AS563" s="1" t="str">
        <f>IF(HR_Data[[#This Row],[TotalWorkingYears]]&lt;=5,"0-5 Yrs",IF(HR_Data[[#This Row],[TotalWorkingYears]]&lt;=10,"6-10 Yrs",IF(HR_Data[[#This Row],[TotalWorkingYears]]&lt;=20,"11-20 Yrs","20+ Yrs")))</f>
        <v>20+ Yrs</v>
      </c>
      <c r="AT563" s="1">
        <f>IF(HR_Data[[#This Row],[TotalWorkingYears]]&lt;=5,1,IF(HR_Data[[#This Row],[TotalWorkingYears]]&lt;=10,2,IF(HR_Data[[#This Row],[TotalWorkingYears]]&lt;=20,3,4)))</f>
        <v>4</v>
      </c>
    </row>
    <row r="564" spans="1:46" x14ac:dyDescent="0.25">
      <c r="A564">
        <v>33</v>
      </c>
      <c r="B564" t="s">
        <v>29</v>
      </c>
      <c r="C564" t="s">
        <v>30</v>
      </c>
      <c r="D564" t="s">
        <v>38</v>
      </c>
      <c r="E564">
        <v>1</v>
      </c>
      <c r="F564">
        <v>4</v>
      </c>
      <c r="G564" t="s">
        <v>42</v>
      </c>
      <c r="H564">
        <v>780</v>
      </c>
      <c r="I564">
        <v>4</v>
      </c>
      <c r="J564" t="s">
        <v>39</v>
      </c>
      <c r="K564">
        <v>3</v>
      </c>
      <c r="L564">
        <v>1</v>
      </c>
      <c r="M564" t="s">
        <v>40</v>
      </c>
      <c r="N564">
        <v>4</v>
      </c>
      <c r="O564" t="s">
        <v>35</v>
      </c>
      <c r="P564">
        <v>2686</v>
      </c>
      <c r="Q564">
        <v>1</v>
      </c>
      <c r="R564" t="s">
        <v>29</v>
      </c>
      <c r="S564">
        <v>13</v>
      </c>
      <c r="T564">
        <v>3</v>
      </c>
      <c r="U564">
        <v>3</v>
      </c>
      <c r="V564">
        <v>0</v>
      </c>
      <c r="W564">
        <v>10</v>
      </c>
      <c r="X564">
        <v>2</v>
      </c>
      <c r="Y564">
        <v>2</v>
      </c>
      <c r="Z564">
        <v>10</v>
      </c>
      <c r="AA564">
        <v>9</v>
      </c>
      <c r="AB564">
        <v>7</v>
      </c>
      <c r="AC564">
        <v>8</v>
      </c>
      <c r="AD564">
        <f>IF(HR_Data[[#This Row],[Attrition]]="Yes",1,0)</f>
        <v>1</v>
      </c>
      <c r="AE564" t="str">
        <f>IF(HR_Data[[#This Row],[Age]]&lt;=25,"18-25",IF(HR_Data[[#This Row],[Age]]&lt;=35,"26-35",IF(HR_Data[[#This Row],[Age]]&lt;=45,"36-45",IF(HR_Data[[#This Row],[Age]]&lt;=55,"46-55","55+"))))</f>
        <v>26-35</v>
      </c>
      <c r="AF564">
        <f>IF(HR_Data[[#This Row],[Age]]&lt;=25,1,IF(HR_Data[[#This Row],[Age]]&lt;=35,2,IF(HR_Data[[#This Row],[Age]]&lt;=45,3,IF(HR_Data[[#This Row],[Age]]&lt;=55,4,5))))</f>
        <v>2</v>
      </c>
      <c r="AG564" s="1" t="str">
        <f>IF(HR_Data[[#This Row],[MonthlyIncome]]&lt;3000,"&lt;3K",IF(HR_Data[[#This Row],[MonthlyIncome]]&lt;6000,"3K-6K",IF(HR_Data[[#This Row],[MonthlyIncome]]&lt;10000,"6K-10K","10K+")))</f>
        <v>&lt;3K</v>
      </c>
      <c r="AH564" s="1">
        <f>IF(HR_Data[[#This Row],[MonthlyIncome]]&lt;3000,1,IF(HR_Data[[#This Row],[MonthlyIncome]]&lt;6000,2,IF(HR_Data[[#This Row],[MonthlyIncome]]&lt;10000,3,4)))</f>
        <v>1</v>
      </c>
      <c r="AI564" s="1" t="str">
        <f>IF(HR_Data[[#This Row],[YearsAtCompany]]&lt;=2,"0-2 Yrs",IF(HR_Data[[#This Row],[YearsAtCompany]]&lt;=5,"3-5 Yrs",IF(HR_Data[[#This Row],[YearsAtCompany]]&lt;=10,"6-10 Yrs","10+ Yrs")))</f>
        <v>6-10 Yrs</v>
      </c>
      <c r="AJ564" s="1">
        <f>IF(HR_Data[[#This Row],[YearsAtCompany]]&lt;=2,1,IF(HR_Data[[#This Row],[YearsAtCompany]]&lt;=5,2,IF(HR_Data[[#This Row],[YearsAtCompany]]&lt;=10,3,4)))</f>
        <v>3</v>
      </c>
      <c r="AK564" s="1" t="str">
        <f>CHOOSE(HR_Data[[#This Row],[Education]],"Below College","College","Bachelor","Master","Doctor")</f>
        <v>Master</v>
      </c>
      <c r="AL564" s="1" t="str">
        <f>CHOOSE(HR_Data[[#This Row],[JobSatisfaction]],"Low","Medium","High","Very High")</f>
        <v>Very High</v>
      </c>
      <c r="AM564" s="1" t="str">
        <f>CHOOSE(HR_Data[[#This Row],[EnvironmentSatisfaction]],"Low","Medium","High","Very High")</f>
        <v>Very High</v>
      </c>
      <c r="AN564" s="1" t="str">
        <f>CHOOSE(HR_Data[[#This Row],[WorkLifeBalance]],"Bad","Good","Better","Best")</f>
        <v>Good</v>
      </c>
      <c r="AO564" s="1" t="str">
        <f>IF(HR_Data[[#This Row],[PercentSalaryHike]]&lt;=13,"11-13%",IF(HR_Data[[#This Row],[PercentSalaryHike]]&lt;=16,"14-16%",IF(HR_Data[[#This Row],[PercentSalaryHike]]&lt;=19,"17-19%","20-25%")))</f>
        <v>11-13%</v>
      </c>
      <c r="AP564" s="1">
        <f>IF(HR_Data[[#This Row],[PercentSalaryHike]]&lt;=13,1,IF(HR_Data[[#This Row],[PercentSalaryHike]]&lt;=16,2,IF(HR_Data[[#This Row],[PercentSalaryHike]]&lt;=19,3,4)))</f>
        <v>1</v>
      </c>
      <c r="AQ564" s="1" t="str">
        <f>IF(HR_Data[[#This Row],[DistanceFromHome]]&lt;=5,"1 to 5",IF(HR_Data[[#This Row],[DistanceFromHome]]&lt;=10,"6 to 10",IF(HR_Data[[#This Row],[DistanceFromHome]]&lt;=20,"11 to 20","21 to 29")))</f>
        <v>1 to 5</v>
      </c>
      <c r="AR564" s="1">
        <f>IF(HR_Data[[#This Row],[DistanceFromHome]]&lt;=5,1,IF(HR_Data[[#This Row],[DistanceFromHome]]&lt;=10,2,IF(HR_Data[[#This Row],[DistanceFromHome]]&lt;=20,3,4)))</f>
        <v>1</v>
      </c>
      <c r="AS564" s="1" t="str">
        <f>IF(HR_Data[[#This Row],[TotalWorkingYears]]&lt;=5,"0-5 Yrs",IF(HR_Data[[#This Row],[TotalWorkingYears]]&lt;=10,"6-10 Yrs",IF(HR_Data[[#This Row],[TotalWorkingYears]]&lt;=20,"11-20 Yrs","20+ Yrs")))</f>
        <v>6-10 Yrs</v>
      </c>
      <c r="AT564" s="1">
        <f>IF(HR_Data[[#This Row],[TotalWorkingYears]]&lt;=5,1,IF(HR_Data[[#This Row],[TotalWorkingYears]]&lt;=10,2,IF(HR_Data[[#This Row],[TotalWorkingYears]]&lt;=20,3,4)))</f>
        <v>2</v>
      </c>
    </row>
    <row r="565" spans="1:46" x14ac:dyDescent="0.25">
      <c r="A565">
        <v>25</v>
      </c>
      <c r="B565" t="s">
        <v>36</v>
      </c>
      <c r="C565" t="s">
        <v>30</v>
      </c>
      <c r="D565" t="s">
        <v>31</v>
      </c>
      <c r="E565">
        <v>26</v>
      </c>
      <c r="F565">
        <v>1</v>
      </c>
      <c r="G565" t="s">
        <v>44</v>
      </c>
      <c r="H565">
        <v>781</v>
      </c>
      <c r="I565">
        <v>3</v>
      </c>
      <c r="J565" t="s">
        <v>33</v>
      </c>
      <c r="K565">
        <v>3</v>
      </c>
      <c r="L565">
        <v>2</v>
      </c>
      <c r="M565" t="s">
        <v>34</v>
      </c>
      <c r="N565">
        <v>4</v>
      </c>
      <c r="O565" t="s">
        <v>35</v>
      </c>
      <c r="P565">
        <v>6180</v>
      </c>
      <c r="Q565">
        <v>1</v>
      </c>
      <c r="R565" t="s">
        <v>36</v>
      </c>
      <c r="S565">
        <v>23</v>
      </c>
      <c r="T565">
        <v>4</v>
      </c>
      <c r="U565">
        <v>2</v>
      </c>
      <c r="V565">
        <v>0</v>
      </c>
      <c r="W565">
        <v>6</v>
      </c>
      <c r="X565">
        <v>5</v>
      </c>
      <c r="Y565">
        <v>2</v>
      </c>
      <c r="Z565">
        <v>6</v>
      </c>
      <c r="AA565">
        <v>5</v>
      </c>
      <c r="AB565">
        <v>1</v>
      </c>
      <c r="AC565">
        <v>4</v>
      </c>
      <c r="AD565">
        <f>IF(HR_Data[[#This Row],[Attrition]]="Yes",1,0)</f>
        <v>0</v>
      </c>
      <c r="AE565" t="str">
        <f>IF(HR_Data[[#This Row],[Age]]&lt;=25,"18-25",IF(HR_Data[[#This Row],[Age]]&lt;=35,"26-35",IF(HR_Data[[#This Row],[Age]]&lt;=45,"36-45",IF(HR_Data[[#This Row],[Age]]&lt;=55,"46-55","55+"))))</f>
        <v>18-25</v>
      </c>
      <c r="AF565">
        <f>IF(HR_Data[[#This Row],[Age]]&lt;=25,1,IF(HR_Data[[#This Row],[Age]]&lt;=35,2,IF(HR_Data[[#This Row],[Age]]&lt;=45,3,IF(HR_Data[[#This Row],[Age]]&lt;=55,4,5))))</f>
        <v>1</v>
      </c>
      <c r="AG565" s="1" t="str">
        <f>IF(HR_Data[[#This Row],[MonthlyIncome]]&lt;3000,"&lt;3K",IF(HR_Data[[#This Row],[MonthlyIncome]]&lt;6000,"3K-6K",IF(HR_Data[[#This Row],[MonthlyIncome]]&lt;10000,"6K-10K","10K+")))</f>
        <v>6K-10K</v>
      </c>
      <c r="AH565" s="1">
        <f>IF(HR_Data[[#This Row],[MonthlyIncome]]&lt;3000,1,IF(HR_Data[[#This Row],[MonthlyIncome]]&lt;6000,2,IF(HR_Data[[#This Row],[MonthlyIncome]]&lt;10000,3,4)))</f>
        <v>3</v>
      </c>
      <c r="AI565" s="1" t="str">
        <f>IF(HR_Data[[#This Row],[YearsAtCompany]]&lt;=2,"0-2 Yrs",IF(HR_Data[[#This Row],[YearsAtCompany]]&lt;=5,"3-5 Yrs",IF(HR_Data[[#This Row],[YearsAtCompany]]&lt;=10,"6-10 Yrs","10+ Yrs")))</f>
        <v>6-10 Yrs</v>
      </c>
      <c r="AJ565" s="1">
        <f>IF(HR_Data[[#This Row],[YearsAtCompany]]&lt;=2,1,IF(HR_Data[[#This Row],[YearsAtCompany]]&lt;=5,2,IF(HR_Data[[#This Row],[YearsAtCompany]]&lt;=10,3,4)))</f>
        <v>3</v>
      </c>
      <c r="AK565" s="1" t="str">
        <f>CHOOSE(HR_Data[[#This Row],[Education]],"Below College","College","Bachelor","Master","Doctor")</f>
        <v>Below College</v>
      </c>
      <c r="AL565" s="1" t="str">
        <f>CHOOSE(HR_Data[[#This Row],[JobSatisfaction]],"Low","Medium","High","Very High")</f>
        <v>Very High</v>
      </c>
      <c r="AM565" s="1" t="str">
        <f>CHOOSE(HR_Data[[#This Row],[EnvironmentSatisfaction]],"Low","Medium","High","Very High")</f>
        <v>High</v>
      </c>
      <c r="AN565" s="1" t="str">
        <f>CHOOSE(HR_Data[[#This Row],[WorkLifeBalance]],"Bad","Good","Better","Best")</f>
        <v>Good</v>
      </c>
      <c r="AO565" s="1" t="str">
        <f>IF(HR_Data[[#This Row],[PercentSalaryHike]]&lt;=13,"11-13%",IF(HR_Data[[#This Row],[PercentSalaryHike]]&lt;=16,"14-16%",IF(HR_Data[[#This Row],[PercentSalaryHike]]&lt;=19,"17-19%","20-25%")))</f>
        <v>20-25%</v>
      </c>
      <c r="AP565" s="1">
        <f>IF(HR_Data[[#This Row],[PercentSalaryHike]]&lt;=13,1,IF(HR_Data[[#This Row],[PercentSalaryHike]]&lt;=16,2,IF(HR_Data[[#This Row],[PercentSalaryHike]]&lt;=19,3,4)))</f>
        <v>4</v>
      </c>
      <c r="AQ565" s="1" t="str">
        <f>IF(HR_Data[[#This Row],[DistanceFromHome]]&lt;=5,"1 to 5",IF(HR_Data[[#This Row],[DistanceFromHome]]&lt;=10,"6 to 10",IF(HR_Data[[#This Row],[DistanceFromHome]]&lt;=20,"11 to 20","21 to 29")))</f>
        <v>21 to 29</v>
      </c>
      <c r="AR565" s="1">
        <f>IF(HR_Data[[#This Row],[DistanceFromHome]]&lt;=5,1,IF(HR_Data[[#This Row],[DistanceFromHome]]&lt;=10,2,IF(HR_Data[[#This Row],[DistanceFromHome]]&lt;=20,3,4)))</f>
        <v>4</v>
      </c>
      <c r="AS565" s="1" t="str">
        <f>IF(HR_Data[[#This Row],[TotalWorkingYears]]&lt;=5,"0-5 Yrs",IF(HR_Data[[#This Row],[TotalWorkingYears]]&lt;=10,"6-10 Yrs",IF(HR_Data[[#This Row],[TotalWorkingYears]]&lt;=20,"11-20 Yrs","20+ Yrs")))</f>
        <v>6-10 Yrs</v>
      </c>
      <c r="AT565" s="1">
        <f>IF(HR_Data[[#This Row],[TotalWorkingYears]]&lt;=5,1,IF(HR_Data[[#This Row],[TotalWorkingYears]]&lt;=10,2,IF(HR_Data[[#This Row],[TotalWorkingYears]]&lt;=20,3,4)))</f>
        <v>2</v>
      </c>
    </row>
    <row r="566" spans="1:46" x14ac:dyDescent="0.25">
      <c r="A566">
        <v>45</v>
      </c>
      <c r="B566" t="s">
        <v>36</v>
      </c>
      <c r="C566" t="s">
        <v>30</v>
      </c>
      <c r="D566" t="s">
        <v>31</v>
      </c>
      <c r="E566">
        <v>2</v>
      </c>
      <c r="F566">
        <v>2</v>
      </c>
      <c r="G566" t="s">
        <v>53</v>
      </c>
      <c r="H566">
        <v>783</v>
      </c>
      <c r="I566">
        <v>2</v>
      </c>
      <c r="J566" t="s">
        <v>39</v>
      </c>
      <c r="K566">
        <v>1</v>
      </c>
      <c r="L566">
        <v>2</v>
      </c>
      <c r="M566" t="s">
        <v>50</v>
      </c>
      <c r="N566">
        <v>3</v>
      </c>
      <c r="O566" t="s">
        <v>35</v>
      </c>
      <c r="P566">
        <v>6632</v>
      </c>
      <c r="Q566">
        <v>0</v>
      </c>
      <c r="R566" t="s">
        <v>36</v>
      </c>
      <c r="S566">
        <v>13</v>
      </c>
      <c r="T566">
        <v>3</v>
      </c>
      <c r="U566">
        <v>1</v>
      </c>
      <c r="V566">
        <v>0</v>
      </c>
      <c r="W566">
        <v>9</v>
      </c>
      <c r="X566">
        <v>3</v>
      </c>
      <c r="Y566">
        <v>3</v>
      </c>
      <c r="Z566">
        <v>8</v>
      </c>
      <c r="AA566">
        <v>7</v>
      </c>
      <c r="AB566">
        <v>3</v>
      </c>
      <c r="AC566">
        <v>1</v>
      </c>
      <c r="AD566">
        <f>IF(HR_Data[[#This Row],[Attrition]]="Yes",1,0)</f>
        <v>0</v>
      </c>
      <c r="AE566" t="str">
        <f>IF(HR_Data[[#This Row],[Age]]&lt;=25,"18-25",IF(HR_Data[[#This Row],[Age]]&lt;=35,"26-35",IF(HR_Data[[#This Row],[Age]]&lt;=45,"36-45",IF(HR_Data[[#This Row],[Age]]&lt;=55,"46-55","55+"))))</f>
        <v>36-45</v>
      </c>
      <c r="AF566">
        <f>IF(HR_Data[[#This Row],[Age]]&lt;=25,1,IF(HR_Data[[#This Row],[Age]]&lt;=35,2,IF(HR_Data[[#This Row],[Age]]&lt;=45,3,IF(HR_Data[[#This Row],[Age]]&lt;=55,4,5))))</f>
        <v>3</v>
      </c>
      <c r="AG566" s="1" t="str">
        <f>IF(HR_Data[[#This Row],[MonthlyIncome]]&lt;3000,"&lt;3K",IF(HR_Data[[#This Row],[MonthlyIncome]]&lt;6000,"3K-6K",IF(HR_Data[[#This Row],[MonthlyIncome]]&lt;10000,"6K-10K","10K+")))</f>
        <v>6K-10K</v>
      </c>
      <c r="AH566" s="1">
        <f>IF(HR_Data[[#This Row],[MonthlyIncome]]&lt;3000,1,IF(HR_Data[[#This Row],[MonthlyIncome]]&lt;6000,2,IF(HR_Data[[#This Row],[MonthlyIncome]]&lt;10000,3,4)))</f>
        <v>3</v>
      </c>
      <c r="AI566" s="1" t="str">
        <f>IF(HR_Data[[#This Row],[YearsAtCompany]]&lt;=2,"0-2 Yrs",IF(HR_Data[[#This Row],[YearsAtCompany]]&lt;=5,"3-5 Yrs",IF(HR_Data[[#This Row],[YearsAtCompany]]&lt;=10,"6-10 Yrs","10+ Yrs")))</f>
        <v>6-10 Yrs</v>
      </c>
      <c r="AJ566" s="1">
        <f>IF(HR_Data[[#This Row],[YearsAtCompany]]&lt;=2,1,IF(HR_Data[[#This Row],[YearsAtCompany]]&lt;=5,2,IF(HR_Data[[#This Row],[YearsAtCompany]]&lt;=10,3,4)))</f>
        <v>3</v>
      </c>
      <c r="AK566" s="1" t="str">
        <f>CHOOSE(HR_Data[[#This Row],[Education]],"Below College","College","Bachelor","Master","Doctor")</f>
        <v>College</v>
      </c>
      <c r="AL566" s="1" t="str">
        <f>CHOOSE(HR_Data[[#This Row],[JobSatisfaction]],"Low","Medium","High","Very High")</f>
        <v>High</v>
      </c>
      <c r="AM566" s="1" t="str">
        <f>CHOOSE(HR_Data[[#This Row],[EnvironmentSatisfaction]],"Low","Medium","High","Very High")</f>
        <v>Medium</v>
      </c>
      <c r="AN566" s="1" t="str">
        <f>CHOOSE(HR_Data[[#This Row],[WorkLifeBalance]],"Bad","Good","Better","Best")</f>
        <v>Better</v>
      </c>
      <c r="AO566" s="1" t="str">
        <f>IF(HR_Data[[#This Row],[PercentSalaryHike]]&lt;=13,"11-13%",IF(HR_Data[[#This Row],[PercentSalaryHike]]&lt;=16,"14-16%",IF(HR_Data[[#This Row],[PercentSalaryHike]]&lt;=19,"17-19%","20-25%")))</f>
        <v>11-13%</v>
      </c>
      <c r="AP566" s="1">
        <f>IF(HR_Data[[#This Row],[PercentSalaryHike]]&lt;=13,1,IF(HR_Data[[#This Row],[PercentSalaryHike]]&lt;=16,2,IF(HR_Data[[#This Row],[PercentSalaryHike]]&lt;=19,3,4)))</f>
        <v>1</v>
      </c>
      <c r="AQ566" s="1" t="str">
        <f>IF(HR_Data[[#This Row],[DistanceFromHome]]&lt;=5,"1 to 5",IF(HR_Data[[#This Row],[DistanceFromHome]]&lt;=10,"6 to 10",IF(HR_Data[[#This Row],[DistanceFromHome]]&lt;=20,"11 to 20","21 to 29")))</f>
        <v>1 to 5</v>
      </c>
      <c r="AR566" s="1">
        <f>IF(HR_Data[[#This Row],[DistanceFromHome]]&lt;=5,1,IF(HR_Data[[#This Row],[DistanceFromHome]]&lt;=10,2,IF(HR_Data[[#This Row],[DistanceFromHome]]&lt;=20,3,4)))</f>
        <v>1</v>
      </c>
      <c r="AS566" s="1" t="str">
        <f>IF(HR_Data[[#This Row],[TotalWorkingYears]]&lt;=5,"0-5 Yrs",IF(HR_Data[[#This Row],[TotalWorkingYears]]&lt;=10,"6-10 Yrs",IF(HR_Data[[#This Row],[TotalWorkingYears]]&lt;=20,"11-20 Yrs","20+ Yrs")))</f>
        <v>6-10 Yrs</v>
      </c>
      <c r="AT566" s="1">
        <f>IF(HR_Data[[#This Row],[TotalWorkingYears]]&lt;=5,1,IF(HR_Data[[#This Row],[TotalWorkingYears]]&lt;=10,2,IF(HR_Data[[#This Row],[TotalWorkingYears]]&lt;=20,3,4)))</f>
        <v>2</v>
      </c>
    </row>
    <row r="567" spans="1:46" x14ac:dyDescent="0.25">
      <c r="A567">
        <v>23</v>
      </c>
      <c r="B567" t="s">
        <v>36</v>
      </c>
      <c r="C567" t="s">
        <v>30</v>
      </c>
      <c r="D567" t="s">
        <v>38</v>
      </c>
      <c r="E567">
        <v>10</v>
      </c>
      <c r="F567">
        <v>1</v>
      </c>
      <c r="G567" t="s">
        <v>44</v>
      </c>
      <c r="H567">
        <v>784</v>
      </c>
      <c r="I567">
        <v>1</v>
      </c>
      <c r="J567" t="s">
        <v>39</v>
      </c>
      <c r="K567">
        <v>4</v>
      </c>
      <c r="L567">
        <v>1</v>
      </c>
      <c r="M567" t="s">
        <v>40</v>
      </c>
      <c r="N567">
        <v>3</v>
      </c>
      <c r="O567" t="s">
        <v>35</v>
      </c>
      <c r="P567">
        <v>3505</v>
      </c>
      <c r="Q567">
        <v>1</v>
      </c>
      <c r="R567" t="s">
        <v>36</v>
      </c>
      <c r="S567">
        <v>18</v>
      </c>
      <c r="T567">
        <v>3</v>
      </c>
      <c r="U567">
        <v>4</v>
      </c>
      <c r="V567">
        <v>0</v>
      </c>
      <c r="W567">
        <v>2</v>
      </c>
      <c r="X567">
        <v>3</v>
      </c>
      <c r="Y567">
        <v>3</v>
      </c>
      <c r="Z567">
        <v>2</v>
      </c>
      <c r="AA567">
        <v>2</v>
      </c>
      <c r="AB567">
        <v>0</v>
      </c>
      <c r="AC567">
        <v>2</v>
      </c>
      <c r="AD567">
        <f>IF(HR_Data[[#This Row],[Attrition]]="Yes",1,0)</f>
        <v>0</v>
      </c>
      <c r="AE567" t="str">
        <f>IF(HR_Data[[#This Row],[Age]]&lt;=25,"18-25",IF(HR_Data[[#This Row],[Age]]&lt;=35,"26-35",IF(HR_Data[[#This Row],[Age]]&lt;=45,"36-45",IF(HR_Data[[#This Row],[Age]]&lt;=55,"46-55","55+"))))</f>
        <v>18-25</v>
      </c>
      <c r="AF567">
        <f>IF(HR_Data[[#This Row],[Age]]&lt;=25,1,IF(HR_Data[[#This Row],[Age]]&lt;=35,2,IF(HR_Data[[#This Row],[Age]]&lt;=45,3,IF(HR_Data[[#This Row],[Age]]&lt;=55,4,5))))</f>
        <v>1</v>
      </c>
      <c r="AG567" s="1" t="str">
        <f>IF(HR_Data[[#This Row],[MonthlyIncome]]&lt;3000,"&lt;3K",IF(HR_Data[[#This Row],[MonthlyIncome]]&lt;6000,"3K-6K",IF(HR_Data[[#This Row],[MonthlyIncome]]&lt;10000,"6K-10K","10K+")))</f>
        <v>3K-6K</v>
      </c>
      <c r="AH567" s="1">
        <f>IF(HR_Data[[#This Row],[MonthlyIncome]]&lt;3000,1,IF(HR_Data[[#This Row],[MonthlyIncome]]&lt;6000,2,IF(HR_Data[[#This Row],[MonthlyIncome]]&lt;10000,3,4)))</f>
        <v>2</v>
      </c>
      <c r="AI567" s="1" t="str">
        <f>IF(HR_Data[[#This Row],[YearsAtCompany]]&lt;=2,"0-2 Yrs",IF(HR_Data[[#This Row],[YearsAtCompany]]&lt;=5,"3-5 Yrs",IF(HR_Data[[#This Row],[YearsAtCompany]]&lt;=10,"6-10 Yrs","10+ Yrs")))</f>
        <v>0-2 Yrs</v>
      </c>
      <c r="AJ567" s="1">
        <f>IF(HR_Data[[#This Row],[YearsAtCompany]]&lt;=2,1,IF(HR_Data[[#This Row],[YearsAtCompany]]&lt;=5,2,IF(HR_Data[[#This Row],[YearsAtCompany]]&lt;=10,3,4)))</f>
        <v>1</v>
      </c>
      <c r="AK567" s="1" t="str">
        <f>CHOOSE(HR_Data[[#This Row],[Education]],"Below College","College","Bachelor","Master","Doctor")</f>
        <v>Below College</v>
      </c>
      <c r="AL567" s="1" t="str">
        <f>CHOOSE(HR_Data[[#This Row],[JobSatisfaction]],"Low","Medium","High","Very High")</f>
        <v>High</v>
      </c>
      <c r="AM567" s="1" t="str">
        <f>CHOOSE(HR_Data[[#This Row],[EnvironmentSatisfaction]],"Low","Medium","High","Very High")</f>
        <v>Low</v>
      </c>
      <c r="AN567" s="1" t="str">
        <f>CHOOSE(HR_Data[[#This Row],[WorkLifeBalance]],"Bad","Good","Better","Best")</f>
        <v>Better</v>
      </c>
      <c r="AO567" s="1" t="str">
        <f>IF(HR_Data[[#This Row],[PercentSalaryHike]]&lt;=13,"11-13%",IF(HR_Data[[#This Row],[PercentSalaryHike]]&lt;=16,"14-16%",IF(HR_Data[[#This Row],[PercentSalaryHike]]&lt;=19,"17-19%","20-25%")))</f>
        <v>17-19%</v>
      </c>
      <c r="AP567" s="1">
        <f>IF(HR_Data[[#This Row],[PercentSalaryHike]]&lt;=13,1,IF(HR_Data[[#This Row],[PercentSalaryHike]]&lt;=16,2,IF(HR_Data[[#This Row],[PercentSalaryHike]]&lt;=19,3,4)))</f>
        <v>3</v>
      </c>
      <c r="AQ567" s="1" t="str">
        <f>IF(HR_Data[[#This Row],[DistanceFromHome]]&lt;=5,"1 to 5",IF(HR_Data[[#This Row],[DistanceFromHome]]&lt;=10,"6 to 10",IF(HR_Data[[#This Row],[DistanceFromHome]]&lt;=20,"11 to 20","21 to 29")))</f>
        <v>6 to 10</v>
      </c>
      <c r="AR567" s="1">
        <f>IF(HR_Data[[#This Row],[DistanceFromHome]]&lt;=5,1,IF(HR_Data[[#This Row],[DistanceFromHome]]&lt;=10,2,IF(HR_Data[[#This Row],[DistanceFromHome]]&lt;=20,3,4)))</f>
        <v>2</v>
      </c>
      <c r="AS567" s="1" t="str">
        <f>IF(HR_Data[[#This Row],[TotalWorkingYears]]&lt;=5,"0-5 Yrs",IF(HR_Data[[#This Row],[TotalWorkingYears]]&lt;=10,"6-10 Yrs",IF(HR_Data[[#This Row],[TotalWorkingYears]]&lt;=20,"11-20 Yrs","20+ Yrs")))</f>
        <v>0-5 Yrs</v>
      </c>
      <c r="AT567" s="1">
        <f>IF(HR_Data[[#This Row],[TotalWorkingYears]]&lt;=5,1,IF(HR_Data[[#This Row],[TotalWorkingYears]]&lt;=10,2,IF(HR_Data[[#This Row],[TotalWorkingYears]]&lt;=20,3,4)))</f>
        <v>1</v>
      </c>
    </row>
    <row r="568" spans="1:46" x14ac:dyDescent="0.25">
      <c r="A568">
        <v>47</v>
      </c>
      <c r="B568" t="s">
        <v>29</v>
      </c>
      <c r="C568" t="s">
        <v>37</v>
      </c>
      <c r="D568" t="s">
        <v>31</v>
      </c>
      <c r="E568">
        <v>27</v>
      </c>
      <c r="F568">
        <v>2</v>
      </c>
      <c r="G568" t="s">
        <v>32</v>
      </c>
      <c r="H568">
        <v>785</v>
      </c>
      <c r="I568">
        <v>2</v>
      </c>
      <c r="J568" t="s">
        <v>33</v>
      </c>
      <c r="K568">
        <v>4</v>
      </c>
      <c r="L568">
        <v>2</v>
      </c>
      <c r="M568" t="s">
        <v>34</v>
      </c>
      <c r="N568">
        <v>3</v>
      </c>
      <c r="O568" t="s">
        <v>35</v>
      </c>
      <c r="P568">
        <v>6397</v>
      </c>
      <c r="Q568">
        <v>4</v>
      </c>
      <c r="R568" t="s">
        <v>29</v>
      </c>
      <c r="S568">
        <v>12</v>
      </c>
      <c r="T568">
        <v>3</v>
      </c>
      <c r="U568">
        <v>4</v>
      </c>
      <c r="V568">
        <v>0</v>
      </c>
      <c r="W568">
        <v>8</v>
      </c>
      <c r="X568">
        <v>2</v>
      </c>
      <c r="Y568">
        <v>3</v>
      </c>
      <c r="Z568">
        <v>5</v>
      </c>
      <c r="AA568">
        <v>4</v>
      </c>
      <c r="AB568">
        <v>1</v>
      </c>
      <c r="AC568">
        <v>3</v>
      </c>
      <c r="AD568">
        <f>IF(HR_Data[[#This Row],[Attrition]]="Yes",1,0)</f>
        <v>1</v>
      </c>
      <c r="AE568" t="str">
        <f>IF(HR_Data[[#This Row],[Age]]&lt;=25,"18-25",IF(HR_Data[[#This Row],[Age]]&lt;=35,"26-35",IF(HR_Data[[#This Row],[Age]]&lt;=45,"36-45",IF(HR_Data[[#This Row],[Age]]&lt;=55,"46-55","55+"))))</f>
        <v>46-55</v>
      </c>
      <c r="AF568">
        <f>IF(HR_Data[[#This Row],[Age]]&lt;=25,1,IF(HR_Data[[#This Row],[Age]]&lt;=35,2,IF(HR_Data[[#This Row],[Age]]&lt;=45,3,IF(HR_Data[[#This Row],[Age]]&lt;=55,4,5))))</f>
        <v>4</v>
      </c>
      <c r="AG568" s="1" t="str">
        <f>IF(HR_Data[[#This Row],[MonthlyIncome]]&lt;3000,"&lt;3K",IF(HR_Data[[#This Row],[MonthlyIncome]]&lt;6000,"3K-6K",IF(HR_Data[[#This Row],[MonthlyIncome]]&lt;10000,"6K-10K","10K+")))</f>
        <v>6K-10K</v>
      </c>
      <c r="AH568" s="1">
        <f>IF(HR_Data[[#This Row],[MonthlyIncome]]&lt;3000,1,IF(HR_Data[[#This Row],[MonthlyIncome]]&lt;6000,2,IF(HR_Data[[#This Row],[MonthlyIncome]]&lt;10000,3,4)))</f>
        <v>3</v>
      </c>
      <c r="AI568" s="1" t="str">
        <f>IF(HR_Data[[#This Row],[YearsAtCompany]]&lt;=2,"0-2 Yrs",IF(HR_Data[[#This Row],[YearsAtCompany]]&lt;=5,"3-5 Yrs",IF(HR_Data[[#This Row],[YearsAtCompany]]&lt;=10,"6-10 Yrs","10+ Yrs")))</f>
        <v>3-5 Yrs</v>
      </c>
      <c r="AJ568" s="1">
        <f>IF(HR_Data[[#This Row],[YearsAtCompany]]&lt;=2,1,IF(HR_Data[[#This Row],[YearsAtCompany]]&lt;=5,2,IF(HR_Data[[#This Row],[YearsAtCompany]]&lt;=10,3,4)))</f>
        <v>2</v>
      </c>
      <c r="AK568" s="1" t="str">
        <f>CHOOSE(HR_Data[[#This Row],[Education]],"Below College","College","Bachelor","Master","Doctor")</f>
        <v>College</v>
      </c>
      <c r="AL568" s="1" t="str">
        <f>CHOOSE(HR_Data[[#This Row],[JobSatisfaction]],"Low","Medium","High","Very High")</f>
        <v>High</v>
      </c>
      <c r="AM568" s="1" t="str">
        <f>CHOOSE(HR_Data[[#This Row],[EnvironmentSatisfaction]],"Low","Medium","High","Very High")</f>
        <v>Medium</v>
      </c>
      <c r="AN568" s="1" t="str">
        <f>CHOOSE(HR_Data[[#This Row],[WorkLifeBalance]],"Bad","Good","Better","Best")</f>
        <v>Better</v>
      </c>
      <c r="AO568" s="1" t="str">
        <f>IF(HR_Data[[#This Row],[PercentSalaryHike]]&lt;=13,"11-13%",IF(HR_Data[[#This Row],[PercentSalaryHike]]&lt;=16,"14-16%",IF(HR_Data[[#This Row],[PercentSalaryHike]]&lt;=19,"17-19%","20-25%")))</f>
        <v>11-13%</v>
      </c>
      <c r="AP568" s="1">
        <f>IF(HR_Data[[#This Row],[PercentSalaryHike]]&lt;=13,1,IF(HR_Data[[#This Row],[PercentSalaryHike]]&lt;=16,2,IF(HR_Data[[#This Row],[PercentSalaryHike]]&lt;=19,3,4)))</f>
        <v>1</v>
      </c>
      <c r="AQ568" s="1" t="str">
        <f>IF(HR_Data[[#This Row],[DistanceFromHome]]&lt;=5,"1 to 5",IF(HR_Data[[#This Row],[DistanceFromHome]]&lt;=10,"6 to 10",IF(HR_Data[[#This Row],[DistanceFromHome]]&lt;=20,"11 to 20","21 to 29")))</f>
        <v>21 to 29</v>
      </c>
      <c r="AR568" s="1">
        <f>IF(HR_Data[[#This Row],[DistanceFromHome]]&lt;=5,1,IF(HR_Data[[#This Row],[DistanceFromHome]]&lt;=10,2,IF(HR_Data[[#This Row],[DistanceFromHome]]&lt;=20,3,4)))</f>
        <v>4</v>
      </c>
      <c r="AS568" s="1" t="str">
        <f>IF(HR_Data[[#This Row],[TotalWorkingYears]]&lt;=5,"0-5 Yrs",IF(HR_Data[[#This Row],[TotalWorkingYears]]&lt;=10,"6-10 Yrs",IF(HR_Data[[#This Row],[TotalWorkingYears]]&lt;=20,"11-20 Yrs","20+ Yrs")))</f>
        <v>6-10 Yrs</v>
      </c>
      <c r="AT568" s="1">
        <f>IF(HR_Data[[#This Row],[TotalWorkingYears]]&lt;=5,1,IF(HR_Data[[#This Row],[TotalWorkingYears]]&lt;=10,2,IF(HR_Data[[#This Row],[TotalWorkingYears]]&lt;=20,3,4)))</f>
        <v>2</v>
      </c>
    </row>
    <row r="569" spans="1:46" x14ac:dyDescent="0.25">
      <c r="A569">
        <v>34</v>
      </c>
      <c r="B569" t="s">
        <v>36</v>
      </c>
      <c r="C569" t="s">
        <v>30</v>
      </c>
      <c r="D569" t="s">
        <v>31</v>
      </c>
      <c r="E569">
        <v>2</v>
      </c>
      <c r="F569">
        <v>3</v>
      </c>
      <c r="G569" t="s">
        <v>42</v>
      </c>
      <c r="H569">
        <v>786</v>
      </c>
      <c r="I569">
        <v>4</v>
      </c>
      <c r="J569" t="s">
        <v>39</v>
      </c>
      <c r="K569">
        <v>3</v>
      </c>
      <c r="L569">
        <v>2</v>
      </c>
      <c r="M569" t="s">
        <v>34</v>
      </c>
      <c r="N569">
        <v>4</v>
      </c>
      <c r="O569" t="s">
        <v>35</v>
      </c>
      <c r="P569">
        <v>6274</v>
      </c>
      <c r="Q569">
        <v>1</v>
      </c>
      <c r="R569" t="s">
        <v>36</v>
      </c>
      <c r="S569">
        <v>22</v>
      </c>
      <c r="T569">
        <v>4</v>
      </c>
      <c r="U569">
        <v>3</v>
      </c>
      <c r="V569">
        <v>0</v>
      </c>
      <c r="W569">
        <v>6</v>
      </c>
      <c r="X569">
        <v>5</v>
      </c>
      <c r="Y569">
        <v>3</v>
      </c>
      <c r="Z569">
        <v>6</v>
      </c>
      <c r="AA569">
        <v>5</v>
      </c>
      <c r="AB569">
        <v>1</v>
      </c>
      <c r="AC569">
        <v>4</v>
      </c>
      <c r="AD569">
        <f>IF(HR_Data[[#This Row],[Attrition]]="Yes",1,0)</f>
        <v>0</v>
      </c>
      <c r="AE569" t="str">
        <f>IF(HR_Data[[#This Row],[Age]]&lt;=25,"18-25",IF(HR_Data[[#This Row],[Age]]&lt;=35,"26-35",IF(HR_Data[[#This Row],[Age]]&lt;=45,"36-45",IF(HR_Data[[#This Row],[Age]]&lt;=55,"46-55","55+"))))</f>
        <v>26-35</v>
      </c>
      <c r="AF569">
        <f>IF(HR_Data[[#This Row],[Age]]&lt;=25,1,IF(HR_Data[[#This Row],[Age]]&lt;=35,2,IF(HR_Data[[#This Row],[Age]]&lt;=45,3,IF(HR_Data[[#This Row],[Age]]&lt;=55,4,5))))</f>
        <v>2</v>
      </c>
      <c r="AG569" s="1" t="str">
        <f>IF(HR_Data[[#This Row],[MonthlyIncome]]&lt;3000,"&lt;3K",IF(HR_Data[[#This Row],[MonthlyIncome]]&lt;6000,"3K-6K",IF(HR_Data[[#This Row],[MonthlyIncome]]&lt;10000,"6K-10K","10K+")))</f>
        <v>6K-10K</v>
      </c>
      <c r="AH569" s="1">
        <f>IF(HR_Data[[#This Row],[MonthlyIncome]]&lt;3000,1,IF(HR_Data[[#This Row],[MonthlyIncome]]&lt;6000,2,IF(HR_Data[[#This Row],[MonthlyIncome]]&lt;10000,3,4)))</f>
        <v>3</v>
      </c>
      <c r="AI569" s="1" t="str">
        <f>IF(HR_Data[[#This Row],[YearsAtCompany]]&lt;=2,"0-2 Yrs",IF(HR_Data[[#This Row],[YearsAtCompany]]&lt;=5,"3-5 Yrs",IF(HR_Data[[#This Row],[YearsAtCompany]]&lt;=10,"6-10 Yrs","10+ Yrs")))</f>
        <v>6-10 Yrs</v>
      </c>
      <c r="AJ569" s="1">
        <f>IF(HR_Data[[#This Row],[YearsAtCompany]]&lt;=2,1,IF(HR_Data[[#This Row],[YearsAtCompany]]&lt;=5,2,IF(HR_Data[[#This Row],[YearsAtCompany]]&lt;=10,3,4)))</f>
        <v>3</v>
      </c>
      <c r="AK569" s="1" t="str">
        <f>CHOOSE(HR_Data[[#This Row],[Education]],"Below College","College","Bachelor","Master","Doctor")</f>
        <v>Bachelor</v>
      </c>
      <c r="AL569" s="1" t="str">
        <f>CHOOSE(HR_Data[[#This Row],[JobSatisfaction]],"Low","Medium","High","Very High")</f>
        <v>Very High</v>
      </c>
      <c r="AM569" s="1" t="str">
        <f>CHOOSE(HR_Data[[#This Row],[EnvironmentSatisfaction]],"Low","Medium","High","Very High")</f>
        <v>Very High</v>
      </c>
      <c r="AN569" s="1" t="str">
        <f>CHOOSE(HR_Data[[#This Row],[WorkLifeBalance]],"Bad","Good","Better","Best")</f>
        <v>Better</v>
      </c>
      <c r="AO569" s="1" t="str">
        <f>IF(HR_Data[[#This Row],[PercentSalaryHike]]&lt;=13,"11-13%",IF(HR_Data[[#This Row],[PercentSalaryHike]]&lt;=16,"14-16%",IF(HR_Data[[#This Row],[PercentSalaryHike]]&lt;=19,"17-19%","20-25%")))</f>
        <v>20-25%</v>
      </c>
      <c r="AP569" s="1">
        <f>IF(HR_Data[[#This Row],[PercentSalaryHike]]&lt;=13,1,IF(HR_Data[[#This Row],[PercentSalaryHike]]&lt;=16,2,IF(HR_Data[[#This Row],[PercentSalaryHike]]&lt;=19,3,4)))</f>
        <v>4</v>
      </c>
      <c r="AQ569" s="1" t="str">
        <f>IF(HR_Data[[#This Row],[DistanceFromHome]]&lt;=5,"1 to 5",IF(HR_Data[[#This Row],[DistanceFromHome]]&lt;=10,"6 to 10",IF(HR_Data[[#This Row],[DistanceFromHome]]&lt;=20,"11 to 20","21 to 29")))</f>
        <v>1 to 5</v>
      </c>
      <c r="AR569" s="1">
        <f>IF(HR_Data[[#This Row],[DistanceFromHome]]&lt;=5,1,IF(HR_Data[[#This Row],[DistanceFromHome]]&lt;=10,2,IF(HR_Data[[#This Row],[DistanceFromHome]]&lt;=20,3,4)))</f>
        <v>1</v>
      </c>
      <c r="AS569" s="1" t="str">
        <f>IF(HR_Data[[#This Row],[TotalWorkingYears]]&lt;=5,"0-5 Yrs",IF(HR_Data[[#This Row],[TotalWorkingYears]]&lt;=10,"6-10 Yrs",IF(HR_Data[[#This Row],[TotalWorkingYears]]&lt;=20,"11-20 Yrs","20+ Yrs")))</f>
        <v>6-10 Yrs</v>
      </c>
      <c r="AT569" s="1">
        <f>IF(HR_Data[[#This Row],[TotalWorkingYears]]&lt;=5,1,IF(HR_Data[[#This Row],[TotalWorkingYears]]&lt;=10,2,IF(HR_Data[[#This Row],[TotalWorkingYears]]&lt;=20,3,4)))</f>
        <v>2</v>
      </c>
    </row>
    <row r="570" spans="1:46" x14ac:dyDescent="0.25">
      <c r="A570">
        <v>55</v>
      </c>
      <c r="B570" t="s">
        <v>29</v>
      </c>
      <c r="C570" t="s">
        <v>30</v>
      </c>
      <c r="D570" t="s">
        <v>38</v>
      </c>
      <c r="E570">
        <v>2</v>
      </c>
      <c r="F570">
        <v>3</v>
      </c>
      <c r="G570" t="s">
        <v>44</v>
      </c>
      <c r="H570">
        <v>787</v>
      </c>
      <c r="I570">
        <v>4</v>
      </c>
      <c r="J570" t="s">
        <v>39</v>
      </c>
      <c r="K570">
        <v>3</v>
      </c>
      <c r="L570">
        <v>5</v>
      </c>
      <c r="M570" t="s">
        <v>49</v>
      </c>
      <c r="N570">
        <v>1</v>
      </c>
      <c r="O570" t="s">
        <v>41</v>
      </c>
      <c r="P570">
        <v>19859</v>
      </c>
      <c r="Q570">
        <v>5</v>
      </c>
      <c r="R570" t="s">
        <v>29</v>
      </c>
      <c r="S570">
        <v>13</v>
      </c>
      <c r="T570">
        <v>3</v>
      </c>
      <c r="U570">
        <v>4</v>
      </c>
      <c r="V570">
        <v>1</v>
      </c>
      <c r="W570">
        <v>24</v>
      </c>
      <c r="X570">
        <v>2</v>
      </c>
      <c r="Y570">
        <v>3</v>
      </c>
      <c r="Z570">
        <v>5</v>
      </c>
      <c r="AA570">
        <v>2</v>
      </c>
      <c r="AB570">
        <v>1</v>
      </c>
      <c r="AC570">
        <v>4</v>
      </c>
      <c r="AD570">
        <f>IF(HR_Data[[#This Row],[Attrition]]="Yes",1,0)</f>
        <v>1</v>
      </c>
      <c r="AE570" t="str">
        <f>IF(HR_Data[[#This Row],[Age]]&lt;=25,"18-25",IF(HR_Data[[#This Row],[Age]]&lt;=35,"26-35",IF(HR_Data[[#This Row],[Age]]&lt;=45,"36-45",IF(HR_Data[[#This Row],[Age]]&lt;=55,"46-55","55+"))))</f>
        <v>46-55</v>
      </c>
      <c r="AF570">
        <f>IF(HR_Data[[#This Row],[Age]]&lt;=25,1,IF(HR_Data[[#This Row],[Age]]&lt;=35,2,IF(HR_Data[[#This Row],[Age]]&lt;=45,3,IF(HR_Data[[#This Row],[Age]]&lt;=55,4,5))))</f>
        <v>4</v>
      </c>
      <c r="AG570" s="1" t="str">
        <f>IF(HR_Data[[#This Row],[MonthlyIncome]]&lt;3000,"&lt;3K",IF(HR_Data[[#This Row],[MonthlyIncome]]&lt;6000,"3K-6K",IF(HR_Data[[#This Row],[MonthlyIncome]]&lt;10000,"6K-10K","10K+")))</f>
        <v>10K+</v>
      </c>
      <c r="AH570" s="1">
        <f>IF(HR_Data[[#This Row],[MonthlyIncome]]&lt;3000,1,IF(HR_Data[[#This Row],[MonthlyIncome]]&lt;6000,2,IF(HR_Data[[#This Row],[MonthlyIncome]]&lt;10000,3,4)))</f>
        <v>4</v>
      </c>
      <c r="AI570" s="1" t="str">
        <f>IF(HR_Data[[#This Row],[YearsAtCompany]]&lt;=2,"0-2 Yrs",IF(HR_Data[[#This Row],[YearsAtCompany]]&lt;=5,"3-5 Yrs",IF(HR_Data[[#This Row],[YearsAtCompany]]&lt;=10,"6-10 Yrs","10+ Yrs")))</f>
        <v>3-5 Yrs</v>
      </c>
      <c r="AJ570" s="1">
        <f>IF(HR_Data[[#This Row],[YearsAtCompany]]&lt;=2,1,IF(HR_Data[[#This Row],[YearsAtCompany]]&lt;=5,2,IF(HR_Data[[#This Row],[YearsAtCompany]]&lt;=10,3,4)))</f>
        <v>2</v>
      </c>
      <c r="AK570" s="1" t="str">
        <f>CHOOSE(HR_Data[[#This Row],[Education]],"Below College","College","Bachelor","Master","Doctor")</f>
        <v>Bachelor</v>
      </c>
      <c r="AL570" s="1" t="str">
        <f>CHOOSE(HR_Data[[#This Row],[JobSatisfaction]],"Low","Medium","High","Very High")</f>
        <v>Low</v>
      </c>
      <c r="AM570" s="1" t="str">
        <f>CHOOSE(HR_Data[[#This Row],[EnvironmentSatisfaction]],"Low","Medium","High","Very High")</f>
        <v>Very High</v>
      </c>
      <c r="AN570" s="1" t="str">
        <f>CHOOSE(HR_Data[[#This Row],[WorkLifeBalance]],"Bad","Good","Better","Best")</f>
        <v>Better</v>
      </c>
      <c r="AO570" s="1" t="str">
        <f>IF(HR_Data[[#This Row],[PercentSalaryHike]]&lt;=13,"11-13%",IF(HR_Data[[#This Row],[PercentSalaryHike]]&lt;=16,"14-16%",IF(HR_Data[[#This Row],[PercentSalaryHike]]&lt;=19,"17-19%","20-25%")))</f>
        <v>11-13%</v>
      </c>
      <c r="AP570" s="1">
        <f>IF(HR_Data[[#This Row],[PercentSalaryHike]]&lt;=13,1,IF(HR_Data[[#This Row],[PercentSalaryHike]]&lt;=16,2,IF(HR_Data[[#This Row],[PercentSalaryHike]]&lt;=19,3,4)))</f>
        <v>1</v>
      </c>
      <c r="AQ570" s="1" t="str">
        <f>IF(HR_Data[[#This Row],[DistanceFromHome]]&lt;=5,"1 to 5",IF(HR_Data[[#This Row],[DistanceFromHome]]&lt;=10,"6 to 10",IF(HR_Data[[#This Row],[DistanceFromHome]]&lt;=20,"11 to 20","21 to 29")))</f>
        <v>1 to 5</v>
      </c>
      <c r="AR570" s="1">
        <f>IF(HR_Data[[#This Row],[DistanceFromHome]]&lt;=5,1,IF(HR_Data[[#This Row],[DistanceFromHome]]&lt;=10,2,IF(HR_Data[[#This Row],[DistanceFromHome]]&lt;=20,3,4)))</f>
        <v>1</v>
      </c>
      <c r="AS570" s="1" t="str">
        <f>IF(HR_Data[[#This Row],[TotalWorkingYears]]&lt;=5,"0-5 Yrs",IF(HR_Data[[#This Row],[TotalWorkingYears]]&lt;=10,"6-10 Yrs",IF(HR_Data[[#This Row],[TotalWorkingYears]]&lt;=20,"11-20 Yrs","20+ Yrs")))</f>
        <v>20+ Yrs</v>
      </c>
      <c r="AT570" s="1">
        <f>IF(HR_Data[[#This Row],[TotalWorkingYears]]&lt;=5,1,IF(HR_Data[[#This Row],[TotalWorkingYears]]&lt;=10,2,IF(HR_Data[[#This Row],[TotalWorkingYears]]&lt;=20,3,4)))</f>
        <v>4</v>
      </c>
    </row>
    <row r="571" spans="1:46" x14ac:dyDescent="0.25">
      <c r="A571">
        <v>36</v>
      </c>
      <c r="B571" t="s">
        <v>36</v>
      </c>
      <c r="C571" t="s">
        <v>48</v>
      </c>
      <c r="D571" t="s">
        <v>31</v>
      </c>
      <c r="E571">
        <v>8</v>
      </c>
      <c r="F571">
        <v>4</v>
      </c>
      <c r="G571" t="s">
        <v>32</v>
      </c>
      <c r="H571">
        <v>789</v>
      </c>
      <c r="I571">
        <v>1</v>
      </c>
      <c r="J571" t="s">
        <v>39</v>
      </c>
      <c r="K571">
        <v>2</v>
      </c>
      <c r="L571">
        <v>3</v>
      </c>
      <c r="M571" t="s">
        <v>34</v>
      </c>
      <c r="N571">
        <v>1</v>
      </c>
      <c r="O571" t="s">
        <v>35</v>
      </c>
      <c r="P571">
        <v>7587</v>
      </c>
      <c r="Q571">
        <v>1</v>
      </c>
      <c r="R571" t="s">
        <v>36</v>
      </c>
      <c r="S571">
        <v>15</v>
      </c>
      <c r="T571">
        <v>3</v>
      </c>
      <c r="U571">
        <v>2</v>
      </c>
      <c r="V571">
        <v>0</v>
      </c>
      <c r="W571">
        <v>10</v>
      </c>
      <c r="X571">
        <v>1</v>
      </c>
      <c r="Y571">
        <v>3</v>
      </c>
      <c r="Z571">
        <v>10</v>
      </c>
      <c r="AA571">
        <v>7</v>
      </c>
      <c r="AB571">
        <v>0</v>
      </c>
      <c r="AC571">
        <v>9</v>
      </c>
      <c r="AD571">
        <f>IF(HR_Data[[#This Row],[Attrition]]="Yes",1,0)</f>
        <v>0</v>
      </c>
      <c r="AE571" t="str">
        <f>IF(HR_Data[[#This Row],[Age]]&lt;=25,"18-25",IF(HR_Data[[#This Row],[Age]]&lt;=35,"26-35",IF(HR_Data[[#This Row],[Age]]&lt;=45,"36-45",IF(HR_Data[[#This Row],[Age]]&lt;=55,"46-55","55+"))))</f>
        <v>36-45</v>
      </c>
      <c r="AF571">
        <f>IF(HR_Data[[#This Row],[Age]]&lt;=25,1,IF(HR_Data[[#This Row],[Age]]&lt;=35,2,IF(HR_Data[[#This Row],[Age]]&lt;=45,3,IF(HR_Data[[#This Row],[Age]]&lt;=55,4,5))))</f>
        <v>3</v>
      </c>
      <c r="AG571" s="1" t="str">
        <f>IF(HR_Data[[#This Row],[MonthlyIncome]]&lt;3000,"&lt;3K",IF(HR_Data[[#This Row],[MonthlyIncome]]&lt;6000,"3K-6K",IF(HR_Data[[#This Row],[MonthlyIncome]]&lt;10000,"6K-10K","10K+")))</f>
        <v>6K-10K</v>
      </c>
      <c r="AH571" s="1">
        <f>IF(HR_Data[[#This Row],[MonthlyIncome]]&lt;3000,1,IF(HR_Data[[#This Row],[MonthlyIncome]]&lt;6000,2,IF(HR_Data[[#This Row],[MonthlyIncome]]&lt;10000,3,4)))</f>
        <v>3</v>
      </c>
      <c r="AI571" s="1" t="str">
        <f>IF(HR_Data[[#This Row],[YearsAtCompany]]&lt;=2,"0-2 Yrs",IF(HR_Data[[#This Row],[YearsAtCompany]]&lt;=5,"3-5 Yrs",IF(HR_Data[[#This Row],[YearsAtCompany]]&lt;=10,"6-10 Yrs","10+ Yrs")))</f>
        <v>6-10 Yrs</v>
      </c>
      <c r="AJ571" s="1">
        <f>IF(HR_Data[[#This Row],[YearsAtCompany]]&lt;=2,1,IF(HR_Data[[#This Row],[YearsAtCompany]]&lt;=5,2,IF(HR_Data[[#This Row],[YearsAtCompany]]&lt;=10,3,4)))</f>
        <v>3</v>
      </c>
      <c r="AK571" s="1" t="str">
        <f>CHOOSE(HR_Data[[#This Row],[Education]],"Below College","College","Bachelor","Master","Doctor")</f>
        <v>Master</v>
      </c>
      <c r="AL571" s="1" t="str">
        <f>CHOOSE(HR_Data[[#This Row],[JobSatisfaction]],"Low","Medium","High","Very High")</f>
        <v>Low</v>
      </c>
      <c r="AM571" s="1" t="str">
        <f>CHOOSE(HR_Data[[#This Row],[EnvironmentSatisfaction]],"Low","Medium","High","Very High")</f>
        <v>Low</v>
      </c>
      <c r="AN571" s="1" t="str">
        <f>CHOOSE(HR_Data[[#This Row],[WorkLifeBalance]],"Bad","Good","Better","Best")</f>
        <v>Better</v>
      </c>
      <c r="AO571" s="1" t="str">
        <f>IF(HR_Data[[#This Row],[PercentSalaryHike]]&lt;=13,"11-13%",IF(HR_Data[[#This Row],[PercentSalaryHike]]&lt;=16,"14-16%",IF(HR_Data[[#This Row],[PercentSalaryHike]]&lt;=19,"17-19%","20-25%")))</f>
        <v>14-16%</v>
      </c>
      <c r="AP571" s="1">
        <f>IF(HR_Data[[#This Row],[PercentSalaryHike]]&lt;=13,1,IF(HR_Data[[#This Row],[PercentSalaryHike]]&lt;=16,2,IF(HR_Data[[#This Row],[PercentSalaryHike]]&lt;=19,3,4)))</f>
        <v>2</v>
      </c>
      <c r="AQ571" s="1" t="str">
        <f>IF(HR_Data[[#This Row],[DistanceFromHome]]&lt;=5,"1 to 5",IF(HR_Data[[#This Row],[DistanceFromHome]]&lt;=10,"6 to 10",IF(HR_Data[[#This Row],[DistanceFromHome]]&lt;=20,"11 to 20","21 to 29")))</f>
        <v>6 to 10</v>
      </c>
      <c r="AR571" s="1">
        <f>IF(HR_Data[[#This Row],[DistanceFromHome]]&lt;=5,1,IF(HR_Data[[#This Row],[DistanceFromHome]]&lt;=10,2,IF(HR_Data[[#This Row],[DistanceFromHome]]&lt;=20,3,4)))</f>
        <v>2</v>
      </c>
      <c r="AS571" s="1" t="str">
        <f>IF(HR_Data[[#This Row],[TotalWorkingYears]]&lt;=5,"0-5 Yrs",IF(HR_Data[[#This Row],[TotalWorkingYears]]&lt;=10,"6-10 Yrs",IF(HR_Data[[#This Row],[TotalWorkingYears]]&lt;=20,"11-20 Yrs","20+ Yrs")))</f>
        <v>6-10 Yrs</v>
      </c>
      <c r="AT571" s="1">
        <f>IF(HR_Data[[#This Row],[TotalWorkingYears]]&lt;=5,1,IF(HR_Data[[#This Row],[TotalWorkingYears]]&lt;=10,2,IF(HR_Data[[#This Row],[TotalWorkingYears]]&lt;=20,3,4)))</f>
        <v>2</v>
      </c>
    </row>
    <row r="572" spans="1:46" x14ac:dyDescent="0.25">
      <c r="A572">
        <v>52</v>
      </c>
      <c r="B572" t="s">
        <v>36</v>
      </c>
      <c r="C572" t="s">
        <v>48</v>
      </c>
      <c r="D572" t="s">
        <v>38</v>
      </c>
      <c r="E572">
        <v>19</v>
      </c>
      <c r="F572">
        <v>4</v>
      </c>
      <c r="G572" t="s">
        <v>44</v>
      </c>
      <c r="H572">
        <v>791</v>
      </c>
      <c r="I572">
        <v>4</v>
      </c>
      <c r="J572" t="s">
        <v>39</v>
      </c>
      <c r="K572">
        <v>3</v>
      </c>
      <c r="L572">
        <v>1</v>
      </c>
      <c r="M572" t="s">
        <v>40</v>
      </c>
      <c r="N572">
        <v>4</v>
      </c>
      <c r="O572" t="s">
        <v>41</v>
      </c>
      <c r="P572">
        <v>4258</v>
      </c>
      <c r="Q572">
        <v>0</v>
      </c>
      <c r="R572" t="s">
        <v>36</v>
      </c>
      <c r="S572">
        <v>18</v>
      </c>
      <c r="T572">
        <v>3</v>
      </c>
      <c r="U572">
        <v>1</v>
      </c>
      <c r="V572">
        <v>1</v>
      </c>
      <c r="W572">
        <v>5</v>
      </c>
      <c r="X572">
        <v>3</v>
      </c>
      <c r="Y572">
        <v>3</v>
      </c>
      <c r="Z572">
        <v>4</v>
      </c>
      <c r="AA572">
        <v>3</v>
      </c>
      <c r="AB572">
        <v>1</v>
      </c>
      <c r="AC572">
        <v>2</v>
      </c>
      <c r="AD572">
        <f>IF(HR_Data[[#This Row],[Attrition]]="Yes",1,0)</f>
        <v>0</v>
      </c>
      <c r="AE572" t="str">
        <f>IF(HR_Data[[#This Row],[Age]]&lt;=25,"18-25",IF(HR_Data[[#This Row],[Age]]&lt;=35,"26-35",IF(HR_Data[[#This Row],[Age]]&lt;=45,"36-45",IF(HR_Data[[#This Row],[Age]]&lt;=55,"46-55","55+"))))</f>
        <v>46-55</v>
      </c>
      <c r="AF572">
        <f>IF(HR_Data[[#This Row],[Age]]&lt;=25,1,IF(HR_Data[[#This Row],[Age]]&lt;=35,2,IF(HR_Data[[#This Row],[Age]]&lt;=45,3,IF(HR_Data[[#This Row],[Age]]&lt;=55,4,5))))</f>
        <v>4</v>
      </c>
      <c r="AG572" s="1" t="str">
        <f>IF(HR_Data[[#This Row],[MonthlyIncome]]&lt;3000,"&lt;3K",IF(HR_Data[[#This Row],[MonthlyIncome]]&lt;6000,"3K-6K",IF(HR_Data[[#This Row],[MonthlyIncome]]&lt;10000,"6K-10K","10K+")))</f>
        <v>3K-6K</v>
      </c>
      <c r="AH572" s="1">
        <f>IF(HR_Data[[#This Row],[MonthlyIncome]]&lt;3000,1,IF(HR_Data[[#This Row],[MonthlyIncome]]&lt;6000,2,IF(HR_Data[[#This Row],[MonthlyIncome]]&lt;10000,3,4)))</f>
        <v>2</v>
      </c>
      <c r="AI572" s="1" t="str">
        <f>IF(HR_Data[[#This Row],[YearsAtCompany]]&lt;=2,"0-2 Yrs",IF(HR_Data[[#This Row],[YearsAtCompany]]&lt;=5,"3-5 Yrs",IF(HR_Data[[#This Row],[YearsAtCompany]]&lt;=10,"6-10 Yrs","10+ Yrs")))</f>
        <v>3-5 Yrs</v>
      </c>
      <c r="AJ572" s="1">
        <f>IF(HR_Data[[#This Row],[YearsAtCompany]]&lt;=2,1,IF(HR_Data[[#This Row],[YearsAtCompany]]&lt;=5,2,IF(HR_Data[[#This Row],[YearsAtCompany]]&lt;=10,3,4)))</f>
        <v>2</v>
      </c>
      <c r="AK572" s="1" t="str">
        <f>CHOOSE(HR_Data[[#This Row],[Education]],"Below College","College","Bachelor","Master","Doctor")</f>
        <v>Master</v>
      </c>
      <c r="AL572" s="1" t="str">
        <f>CHOOSE(HR_Data[[#This Row],[JobSatisfaction]],"Low","Medium","High","Very High")</f>
        <v>Very High</v>
      </c>
      <c r="AM572" s="1" t="str">
        <f>CHOOSE(HR_Data[[#This Row],[EnvironmentSatisfaction]],"Low","Medium","High","Very High")</f>
        <v>Very High</v>
      </c>
      <c r="AN572" s="1" t="str">
        <f>CHOOSE(HR_Data[[#This Row],[WorkLifeBalance]],"Bad","Good","Better","Best")</f>
        <v>Better</v>
      </c>
      <c r="AO572" s="1" t="str">
        <f>IF(HR_Data[[#This Row],[PercentSalaryHike]]&lt;=13,"11-13%",IF(HR_Data[[#This Row],[PercentSalaryHike]]&lt;=16,"14-16%",IF(HR_Data[[#This Row],[PercentSalaryHike]]&lt;=19,"17-19%","20-25%")))</f>
        <v>17-19%</v>
      </c>
      <c r="AP572" s="1">
        <f>IF(HR_Data[[#This Row],[PercentSalaryHike]]&lt;=13,1,IF(HR_Data[[#This Row],[PercentSalaryHike]]&lt;=16,2,IF(HR_Data[[#This Row],[PercentSalaryHike]]&lt;=19,3,4)))</f>
        <v>3</v>
      </c>
      <c r="AQ572" s="1" t="str">
        <f>IF(HR_Data[[#This Row],[DistanceFromHome]]&lt;=5,"1 to 5",IF(HR_Data[[#This Row],[DistanceFromHome]]&lt;=10,"6 to 10",IF(HR_Data[[#This Row],[DistanceFromHome]]&lt;=20,"11 to 20","21 to 29")))</f>
        <v>11 to 20</v>
      </c>
      <c r="AR572" s="1">
        <f>IF(HR_Data[[#This Row],[DistanceFromHome]]&lt;=5,1,IF(HR_Data[[#This Row],[DistanceFromHome]]&lt;=10,2,IF(HR_Data[[#This Row],[DistanceFromHome]]&lt;=20,3,4)))</f>
        <v>3</v>
      </c>
      <c r="AS572" s="1" t="str">
        <f>IF(HR_Data[[#This Row],[TotalWorkingYears]]&lt;=5,"0-5 Yrs",IF(HR_Data[[#This Row],[TotalWorkingYears]]&lt;=10,"6-10 Yrs",IF(HR_Data[[#This Row],[TotalWorkingYears]]&lt;=20,"11-20 Yrs","20+ Yrs")))</f>
        <v>0-5 Yrs</v>
      </c>
      <c r="AT572" s="1">
        <f>IF(HR_Data[[#This Row],[TotalWorkingYears]]&lt;=5,1,IF(HR_Data[[#This Row],[TotalWorkingYears]]&lt;=10,2,IF(HR_Data[[#This Row],[TotalWorkingYears]]&lt;=20,3,4)))</f>
        <v>1</v>
      </c>
    </row>
    <row r="573" spans="1:46" x14ac:dyDescent="0.25">
      <c r="A573">
        <v>26</v>
      </c>
      <c r="B573" t="s">
        <v>36</v>
      </c>
      <c r="C573" t="s">
        <v>37</v>
      </c>
      <c r="D573" t="s">
        <v>38</v>
      </c>
      <c r="E573">
        <v>1</v>
      </c>
      <c r="F573">
        <v>2</v>
      </c>
      <c r="G573" t="s">
        <v>32</v>
      </c>
      <c r="H573">
        <v>792</v>
      </c>
      <c r="I573">
        <v>1</v>
      </c>
      <c r="J573" t="s">
        <v>33</v>
      </c>
      <c r="K573">
        <v>1</v>
      </c>
      <c r="L573">
        <v>1</v>
      </c>
      <c r="M573" t="s">
        <v>43</v>
      </c>
      <c r="N573">
        <v>4</v>
      </c>
      <c r="O573" t="s">
        <v>45</v>
      </c>
      <c r="P573">
        <v>4364</v>
      </c>
      <c r="Q573">
        <v>3</v>
      </c>
      <c r="R573" t="s">
        <v>36</v>
      </c>
      <c r="S573">
        <v>14</v>
      </c>
      <c r="T573">
        <v>3</v>
      </c>
      <c r="U573">
        <v>1</v>
      </c>
      <c r="V573">
        <v>1</v>
      </c>
      <c r="W573">
        <v>5</v>
      </c>
      <c r="X573">
        <v>2</v>
      </c>
      <c r="Y573">
        <v>3</v>
      </c>
      <c r="Z573">
        <v>2</v>
      </c>
      <c r="AA573">
        <v>2</v>
      </c>
      <c r="AB573">
        <v>2</v>
      </c>
      <c r="AC573">
        <v>0</v>
      </c>
      <c r="AD573">
        <f>IF(HR_Data[[#This Row],[Attrition]]="Yes",1,0)</f>
        <v>0</v>
      </c>
      <c r="AE573" t="str">
        <f>IF(HR_Data[[#This Row],[Age]]&lt;=25,"18-25",IF(HR_Data[[#This Row],[Age]]&lt;=35,"26-35",IF(HR_Data[[#This Row],[Age]]&lt;=45,"36-45",IF(HR_Data[[#This Row],[Age]]&lt;=55,"46-55","55+"))))</f>
        <v>26-35</v>
      </c>
      <c r="AF573">
        <f>IF(HR_Data[[#This Row],[Age]]&lt;=25,1,IF(HR_Data[[#This Row],[Age]]&lt;=35,2,IF(HR_Data[[#This Row],[Age]]&lt;=45,3,IF(HR_Data[[#This Row],[Age]]&lt;=55,4,5))))</f>
        <v>2</v>
      </c>
      <c r="AG573" s="1" t="str">
        <f>IF(HR_Data[[#This Row],[MonthlyIncome]]&lt;3000,"&lt;3K",IF(HR_Data[[#This Row],[MonthlyIncome]]&lt;6000,"3K-6K",IF(HR_Data[[#This Row],[MonthlyIncome]]&lt;10000,"6K-10K","10K+")))</f>
        <v>3K-6K</v>
      </c>
      <c r="AH573" s="1">
        <f>IF(HR_Data[[#This Row],[MonthlyIncome]]&lt;3000,1,IF(HR_Data[[#This Row],[MonthlyIncome]]&lt;6000,2,IF(HR_Data[[#This Row],[MonthlyIncome]]&lt;10000,3,4)))</f>
        <v>2</v>
      </c>
      <c r="AI573" s="1" t="str">
        <f>IF(HR_Data[[#This Row],[YearsAtCompany]]&lt;=2,"0-2 Yrs",IF(HR_Data[[#This Row],[YearsAtCompany]]&lt;=5,"3-5 Yrs",IF(HR_Data[[#This Row],[YearsAtCompany]]&lt;=10,"6-10 Yrs","10+ Yrs")))</f>
        <v>0-2 Yrs</v>
      </c>
      <c r="AJ573" s="1">
        <f>IF(HR_Data[[#This Row],[YearsAtCompany]]&lt;=2,1,IF(HR_Data[[#This Row],[YearsAtCompany]]&lt;=5,2,IF(HR_Data[[#This Row],[YearsAtCompany]]&lt;=10,3,4)))</f>
        <v>1</v>
      </c>
      <c r="AK573" s="1" t="str">
        <f>CHOOSE(HR_Data[[#This Row],[Education]],"Below College","College","Bachelor","Master","Doctor")</f>
        <v>College</v>
      </c>
      <c r="AL573" s="1" t="str">
        <f>CHOOSE(HR_Data[[#This Row],[JobSatisfaction]],"Low","Medium","High","Very High")</f>
        <v>Very High</v>
      </c>
      <c r="AM573" s="1" t="str">
        <f>CHOOSE(HR_Data[[#This Row],[EnvironmentSatisfaction]],"Low","Medium","High","Very High")</f>
        <v>Low</v>
      </c>
      <c r="AN573" s="1" t="str">
        <f>CHOOSE(HR_Data[[#This Row],[WorkLifeBalance]],"Bad","Good","Better","Best")</f>
        <v>Better</v>
      </c>
      <c r="AO573" s="1" t="str">
        <f>IF(HR_Data[[#This Row],[PercentSalaryHike]]&lt;=13,"11-13%",IF(HR_Data[[#This Row],[PercentSalaryHike]]&lt;=16,"14-16%",IF(HR_Data[[#This Row],[PercentSalaryHike]]&lt;=19,"17-19%","20-25%")))</f>
        <v>14-16%</v>
      </c>
      <c r="AP573" s="1">
        <f>IF(HR_Data[[#This Row],[PercentSalaryHike]]&lt;=13,1,IF(HR_Data[[#This Row],[PercentSalaryHike]]&lt;=16,2,IF(HR_Data[[#This Row],[PercentSalaryHike]]&lt;=19,3,4)))</f>
        <v>2</v>
      </c>
      <c r="AQ573" s="1" t="str">
        <f>IF(HR_Data[[#This Row],[DistanceFromHome]]&lt;=5,"1 to 5",IF(HR_Data[[#This Row],[DistanceFromHome]]&lt;=10,"6 to 10",IF(HR_Data[[#This Row],[DistanceFromHome]]&lt;=20,"11 to 20","21 to 29")))</f>
        <v>1 to 5</v>
      </c>
      <c r="AR573" s="1">
        <f>IF(HR_Data[[#This Row],[DistanceFromHome]]&lt;=5,1,IF(HR_Data[[#This Row],[DistanceFromHome]]&lt;=10,2,IF(HR_Data[[#This Row],[DistanceFromHome]]&lt;=20,3,4)))</f>
        <v>1</v>
      </c>
      <c r="AS573" s="1" t="str">
        <f>IF(HR_Data[[#This Row],[TotalWorkingYears]]&lt;=5,"0-5 Yrs",IF(HR_Data[[#This Row],[TotalWorkingYears]]&lt;=10,"6-10 Yrs",IF(HR_Data[[#This Row],[TotalWorkingYears]]&lt;=20,"11-20 Yrs","20+ Yrs")))</f>
        <v>0-5 Yrs</v>
      </c>
      <c r="AT573" s="1">
        <f>IF(HR_Data[[#This Row],[TotalWorkingYears]]&lt;=5,1,IF(HR_Data[[#This Row],[TotalWorkingYears]]&lt;=10,2,IF(HR_Data[[#This Row],[TotalWorkingYears]]&lt;=20,3,4)))</f>
        <v>1</v>
      </c>
    </row>
    <row r="574" spans="1:46" x14ac:dyDescent="0.25">
      <c r="A574">
        <v>29</v>
      </c>
      <c r="B574" t="s">
        <v>36</v>
      </c>
      <c r="C574" t="s">
        <v>30</v>
      </c>
      <c r="D574" t="s">
        <v>38</v>
      </c>
      <c r="E574">
        <v>27</v>
      </c>
      <c r="F574">
        <v>3</v>
      </c>
      <c r="G574" t="s">
        <v>44</v>
      </c>
      <c r="H574">
        <v>793</v>
      </c>
      <c r="I574">
        <v>2</v>
      </c>
      <c r="J574" t="s">
        <v>33</v>
      </c>
      <c r="K574">
        <v>3</v>
      </c>
      <c r="L574">
        <v>2</v>
      </c>
      <c r="M574" t="s">
        <v>47</v>
      </c>
      <c r="N574">
        <v>3</v>
      </c>
      <c r="O574" t="s">
        <v>41</v>
      </c>
      <c r="P574">
        <v>4335</v>
      </c>
      <c r="Q574">
        <v>4</v>
      </c>
      <c r="R574" t="s">
        <v>36</v>
      </c>
      <c r="S574">
        <v>12</v>
      </c>
      <c r="T574">
        <v>3</v>
      </c>
      <c r="U574">
        <v>1</v>
      </c>
      <c r="V574">
        <v>1</v>
      </c>
      <c r="W574">
        <v>11</v>
      </c>
      <c r="X574">
        <v>3</v>
      </c>
      <c r="Y574">
        <v>2</v>
      </c>
      <c r="Z574">
        <v>8</v>
      </c>
      <c r="AA574">
        <v>7</v>
      </c>
      <c r="AB574">
        <v>1</v>
      </c>
      <c r="AC574">
        <v>1</v>
      </c>
      <c r="AD574">
        <f>IF(HR_Data[[#This Row],[Attrition]]="Yes",1,0)</f>
        <v>0</v>
      </c>
      <c r="AE574" t="str">
        <f>IF(HR_Data[[#This Row],[Age]]&lt;=25,"18-25",IF(HR_Data[[#This Row],[Age]]&lt;=35,"26-35",IF(HR_Data[[#This Row],[Age]]&lt;=45,"36-45",IF(HR_Data[[#This Row],[Age]]&lt;=55,"46-55","55+"))))</f>
        <v>26-35</v>
      </c>
      <c r="AF574">
        <f>IF(HR_Data[[#This Row],[Age]]&lt;=25,1,IF(HR_Data[[#This Row],[Age]]&lt;=35,2,IF(HR_Data[[#This Row],[Age]]&lt;=45,3,IF(HR_Data[[#This Row],[Age]]&lt;=55,4,5))))</f>
        <v>2</v>
      </c>
      <c r="AG574" s="1" t="str">
        <f>IF(HR_Data[[#This Row],[MonthlyIncome]]&lt;3000,"&lt;3K",IF(HR_Data[[#This Row],[MonthlyIncome]]&lt;6000,"3K-6K",IF(HR_Data[[#This Row],[MonthlyIncome]]&lt;10000,"6K-10K","10K+")))</f>
        <v>3K-6K</v>
      </c>
      <c r="AH574" s="1">
        <f>IF(HR_Data[[#This Row],[MonthlyIncome]]&lt;3000,1,IF(HR_Data[[#This Row],[MonthlyIncome]]&lt;6000,2,IF(HR_Data[[#This Row],[MonthlyIncome]]&lt;10000,3,4)))</f>
        <v>2</v>
      </c>
      <c r="AI574" s="1" t="str">
        <f>IF(HR_Data[[#This Row],[YearsAtCompany]]&lt;=2,"0-2 Yrs",IF(HR_Data[[#This Row],[YearsAtCompany]]&lt;=5,"3-5 Yrs",IF(HR_Data[[#This Row],[YearsAtCompany]]&lt;=10,"6-10 Yrs","10+ Yrs")))</f>
        <v>6-10 Yrs</v>
      </c>
      <c r="AJ574" s="1">
        <f>IF(HR_Data[[#This Row],[YearsAtCompany]]&lt;=2,1,IF(HR_Data[[#This Row],[YearsAtCompany]]&lt;=5,2,IF(HR_Data[[#This Row],[YearsAtCompany]]&lt;=10,3,4)))</f>
        <v>3</v>
      </c>
      <c r="AK574" s="1" t="str">
        <f>CHOOSE(HR_Data[[#This Row],[Education]],"Below College","College","Bachelor","Master","Doctor")</f>
        <v>Bachelor</v>
      </c>
      <c r="AL574" s="1" t="str">
        <f>CHOOSE(HR_Data[[#This Row],[JobSatisfaction]],"Low","Medium","High","Very High")</f>
        <v>High</v>
      </c>
      <c r="AM574" s="1" t="str">
        <f>CHOOSE(HR_Data[[#This Row],[EnvironmentSatisfaction]],"Low","Medium","High","Very High")</f>
        <v>Medium</v>
      </c>
      <c r="AN574" s="1" t="str">
        <f>CHOOSE(HR_Data[[#This Row],[WorkLifeBalance]],"Bad","Good","Better","Best")</f>
        <v>Good</v>
      </c>
      <c r="AO574" s="1" t="str">
        <f>IF(HR_Data[[#This Row],[PercentSalaryHike]]&lt;=13,"11-13%",IF(HR_Data[[#This Row],[PercentSalaryHike]]&lt;=16,"14-16%",IF(HR_Data[[#This Row],[PercentSalaryHike]]&lt;=19,"17-19%","20-25%")))</f>
        <v>11-13%</v>
      </c>
      <c r="AP574" s="1">
        <f>IF(HR_Data[[#This Row],[PercentSalaryHike]]&lt;=13,1,IF(HR_Data[[#This Row],[PercentSalaryHike]]&lt;=16,2,IF(HR_Data[[#This Row],[PercentSalaryHike]]&lt;=19,3,4)))</f>
        <v>1</v>
      </c>
      <c r="AQ574" s="1" t="str">
        <f>IF(HR_Data[[#This Row],[DistanceFromHome]]&lt;=5,"1 to 5",IF(HR_Data[[#This Row],[DistanceFromHome]]&lt;=10,"6 to 10",IF(HR_Data[[#This Row],[DistanceFromHome]]&lt;=20,"11 to 20","21 to 29")))</f>
        <v>21 to 29</v>
      </c>
      <c r="AR574" s="1">
        <f>IF(HR_Data[[#This Row],[DistanceFromHome]]&lt;=5,1,IF(HR_Data[[#This Row],[DistanceFromHome]]&lt;=10,2,IF(HR_Data[[#This Row],[DistanceFromHome]]&lt;=20,3,4)))</f>
        <v>4</v>
      </c>
      <c r="AS574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574" s="1">
        <f>IF(HR_Data[[#This Row],[TotalWorkingYears]]&lt;=5,1,IF(HR_Data[[#This Row],[TotalWorkingYears]]&lt;=10,2,IF(HR_Data[[#This Row],[TotalWorkingYears]]&lt;=20,3,4)))</f>
        <v>3</v>
      </c>
    </row>
    <row r="575" spans="1:46" x14ac:dyDescent="0.25">
      <c r="A575">
        <v>26</v>
      </c>
      <c r="B575" t="s">
        <v>29</v>
      </c>
      <c r="C575" t="s">
        <v>30</v>
      </c>
      <c r="D575" t="s">
        <v>31</v>
      </c>
      <c r="E575">
        <v>8</v>
      </c>
      <c r="F575">
        <v>3</v>
      </c>
      <c r="G575" t="s">
        <v>53</v>
      </c>
      <c r="H575">
        <v>796</v>
      </c>
      <c r="I575">
        <v>4</v>
      </c>
      <c r="J575" t="s">
        <v>39</v>
      </c>
      <c r="K575">
        <v>2</v>
      </c>
      <c r="L575">
        <v>2</v>
      </c>
      <c r="M575" t="s">
        <v>34</v>
      </c>
      <c r="N575">
        <v>1</v>
      </c>
      <c r="O575" t="s">
        <v>35</v>
      </c>
      <c r="P575">
        <v>5326</v>
      </c>
      <c r="Q575">
        <v>6</v>
      </c>
      <c r="R575" t="s">
        <v>36</v>
      </c>
      <c r="S575">
        <v>17</v>
      </c>
      <c r="T575">
        <v>3</v>
      </c>
      <c r="U575">
        <v>3</v>
      </c>
      <c r="V575">
        <v>0</v>
      </c>
      <c r="W575">
        <v>6</v>
      </c>
      <c r="X575">
        <v>2</v>
      </c>
      <c r="Y575">
        <v>2</v>
      </c>
      <c r="Z575">
        <v>4</v>
      </c>
      <c r="AA575">
        <v>3</v>
      </c>
      <c r="AB575">
        <v>1</v>
      </c>
      <c r="AC575">
        <v>2</v>
      </c>
      <c r="AD575">
        <f>IF(HR_Data[[#This Row],[Attrition]]="Yes",1,0)</f>
        <v>1</v>
      </c>
      <c r="AE575" t="str">
        <f>IF(HR_Data[[#This Row],[Age]]&lt;=25,"18-25",IF(HR_Data[[#This Row],[Age]]&lt;=35,"26-35",IF(HR_Data[[#This Row],[Age]]&lt;=45,"36-45",IF(HR_Data[[#This Row],[Age]]&lt;=55,"46-55","55+"))))</f>
        <v>26-35</v>
      </c>
      <c r="AF575">
        <f>IF(HR_Data[[#This Row],[Age]]&lt;=25,1,IF(HR_Data[[#This Row],[Age]]&lt;=35,2,IF(HR_Data[[#This Row],[Age]]&lt;=45,3,IF(HR_Data[[#This Row],[Age]]&lt;=55,4,5))))</f>
        <v>2</v>
      </c>
      <c r="AG575" s="1" t="str">
        <f>IF(HR_Data[[#This Row],[MonthlyIncome]]&lt;3000,"&lt;3K",IF(HR_Data[[#This Row],[MonthlyIncome]]&lt;6000,"3K-6K",IF(HR_Data[[#This Row],[MonthlyIncome]]&lt;10000,"6K-10K","10K+")))</f>
        <v>3K-6K</v>
      </c>
      <c r="AH575" s="1">
        <f>IF(HR_Data[[#This Row],[MonthlyIncome]]&lt;3000,1,IF(HR_Data[[#This Row],[MonthlyIncome]]&lt;6000,2,IF(HR_Data[[#This Row],[MonthlyIncome]]&lt;10000,3,4)))</f>
        <v>2</v>
      </c>
      <c r="AI575" s="1" t="str">
        <f>IF(HR_Data[[#This Row],[YearsAtCompany]]&lt;=2,"0-2 Yrs",IF(HR_Data[[#This Row],[YearsAtCompany]]&lt;=5,"3-5 Yrs",IF(HR_Data[[#This Row],[YearsAtCompany]]&lt;=10,"6-10 Yrs","10+ Yrs")))</f>
        <v>3-5 Yrs</v>
      </c>
      <c r="AJ575" s="1">
        <f>IF(HR_Data[[#This Row],[YearsAtCompany]]&lt;=2,1,IF(HR_Data[[#This Row],[YearsAtCompany]]&lt;=5,2,IF(HR_Data[[#This Row],[YearsAtCompany]]&lt;=10,3,4)))</f>
        <v>2</v>
      </c>
      <c r="AK575" s="1" t="str">
        <f>CHOOSE(HR_Data[[#This Row],[Education]],"Below College","College","Bachelor","Master","Doctor")</f>
        <v>Bachelor</v>
      </c>
      <c r="AL575" s="1" t="str">
        <f>CHOOSE(HR_Data[[#This Row],[JobSatisfaction]],"Low","Medium","High","Very High")</f>
        <v>Low</v>
      </c>
      <c r="AM575" s="1" t="str">
        <f>CHOOSE(HR_Data[[#This Row],[EnvironmentSatisfaction]],"Low","Medium","High","Very High")</f>
        <v>Very High</v>
      </c>
      <c r="AN575" s="1" t="str">
        <f>CHOOSE(HR_Data[[#This Row],[WorkLifeBalance]],"Bad","Good","Better","Best")</f>
        <v>Good</v>
      </c>
      <c r="AO575" s="1" t="str">
        <f>IF(HR_Data[[#This Row],[PercentSalaryHike]]&lt;=13,"11-13%",IF(HR_Data[[#This Row],[PercentSalaryHike]]&lt;=16,"14-16%",IF(HR_Data[[#This Row],[PercentSalaryHike]]&lt;=19,"17-19%","20-25%")))</f>
        <v>17-19%</v>
      </c>
      <c r="AP575" s="1">
        <f>IF(HR_Data[[#This Row],[PercentSalaryHike]]&lt;=13,1,IF(HR_Data[[#This Row],[PercentSalaryHike]]&lt;=16,2,IF(HR_Data[[#This Row],[PercentSalaryHike]]&lt;=19,3,4)))</f>
        <v>3</v>
      </c>
      <c r="AQ575" s="1" t="str">
        <f>IF(HR_Data[[#This Row],[DistanceFromHome]]&lt;=5,"1 to 5",IF(HR_Data[[#This Row],[DistanceFromHome]]&lt;=10,"6 to 10",IF(HR_Data[[#This Row],[DistanceFromHome]]&lt;=20,"11 to 20","21 to 29")))</f>
        <v>6 to 10</v>
      </c>
      <c r="AR575" s="1">
        <f>IF(HR_Data[[#This Row],[DistanceFromHome]]&lt;=5,1,IF(HR_Data[[#This Row],[DistanceFromHome]]&lt;=10,2,IF(HR_Data[[#This Row],[DistanceFromHome]]&lt;=20,3,4)))</f>
        <v>2</v>
      </c>
      <c r="AS575" s="1" t="str">
        <f>IF(HR_Data[[#This Row],[TotalWorkingYears]]&lt;=5,"0-5 Yrs",IF(HR_Data[[#This Row],[TotalWorkingYears]]&lt;=10,"6-10 Yrs",IF(HR_Data[[#This Row],[TotalWorkingYears]]&lt;=20,"11-20 Yrs","20+ Yrs")))</f>
        <v>6-10 Yrs</v>
      </c>
      <c r="AT575" s="1">
        <f>IF(HR_Data[[#This Row],[TotalWorkingYears]]&lt;=5,1,IF(HR_Data[[#This Row],[TotalWorkingYears]]&lt;=10,2,IF(HR_Data[[#This Row],[TotalWorkingYears]]&lt;=20,3,4)))</f>
        <v>2</v>
      </c>
    </row>
    <row r="576" spans="1:46" x14ac:dyDescent="0.25">
      <c r="A576">
        <v>34</v>
      </c>
      <c r="B576" t="s">
        <v>36</v>
      </c>
      <c r="C576" t="s">
        <v>30</v>
      </c>
      <c r="D576" t="s">
        <v>38</v>
      </c>
      <c r="E576">
        <v>1</v>
      </c>
      <c r="F576">
        <v>4</v>
      </c>
      <c r="G576" t="s">
        <v>32</v>
      </c>
      <c r="H576">
        <v>797</v>
      </c>
      <c r="I576">
        <v>2</v>
      </c>
      <c r="J576" t="s">
        <v>33</v>
      </c>
      <c r="K576">
        <v>4</v>
      </c>
      <c r="L576">
        <v>1</v>
      </c>
      <c r="M576" t="s">
        <v>40</v>
      </c>
      <c r="N576">
        <v>4</v>
      </c>
      <c r="O576" t="s">
        <v>35</v>
      </c>
      <c r="P576">
        <v>3280</v>
      </c>
      <c r="Q576">
        <v>2</v>
      </c>
      <c r="R576" t="s">
        <v>36</v>
      </c>
      <c r="S576">
        <v>16</v>
      </c>
      <c r="T576">
        <v>3</v>
      </c>
      <c r="U576">
        <v>3</v>
      </c>
      <c r="V576">
        <v>0</v>
      </c>
      <c r="W576">
        <v>10</v>
      </c>
      <c r="X576">
        <v>2</v>
      </c>
      <c r="Y576">
        <v>3</v>
      </c>
      <c r="Z576">
        <v>4</v>
      </c>
      <c r="AA576">
        <v>2</v>
      </c>
      <c r="AB576">
        <v>1</v>
      </c>
      <c r="AC576">
        <v>3</v>
      </c>
      <c r="AD576">
        <f>IF(HR_Data[[#This Row],[Attrition]]="Yes",1,0)</f>
        <v>0</v>
      </c>
      <c r="AE576" t="str">
        <f>IF(HR_Data[[#This Row],[Age]]&lt;=25,"18-25",IF(HR_Data[[#This Row],[Age]]&lt;=35,"26-35",IF(HR_Data[[#This Row],[Age]]&lt;=45,"36-45",IF(HR_Data[[#This Row],[Age]]&lt;=55,"46-55","55+"))))</f>
        <v>26-35</v>
      </c>
      <c r="AF576">
        <f>IF(HR_Data[[#This Row],[Age]]&lt;=25,1,IF(HR_Data[[#This Row],[Age]]&lt;=35,2,IF(HR_Data[[#This Row],[Age]]&lt;=45,3,IF(HR_Data[[#This Row],[Age]]&lt;=55,4,5))))</f>
        <v>2</v>
      </c>
      <c r="AG576" s="1" t="str">
        <f>IF(HR_Data[[#This Row],[MonthlyIncome]]&lt;3000,"&lt;3K",IF(HR_Data[[#This Row],[MonthlyIncome]]&lt;6000,"3K-6K",IF(HR_Data[[#This Row],[MonthlyIncome]]&lt;10000,"6K-10K","10K+")))</f>
        <v>3K-6K</v>
      </c>
      <c r="AH576" s="1">
        <f>IF(HR_Data[[#This Row],[MonthlyIncome]]&lt;3000,1,IF(HR_Data[[#This Row],[MonthlyIncome]]&lt;6000,2,IF(HR_Data[[#This Row],[MonthlyIncome]]&lt;10000,3,4)))</f>
        <v>2</v>
      </c>
      <c r="AI576" s="1" t="str">
        <f>IF(HR_Data[[#This Row],[YearsAtCompany]]&lt;=2,"0-2 Yrs",IF(HR_Data[[#This Row],[YearsAtCompany]]&lt;=5,"3-5 Yrs",IF(HR_Data[[#This Row],[YearsAtCompany]]&lt;=10,"6-10 Yrs","10+ Yrs")))</f>
        <v>3-5 Yrs</v>
      </c>
      <c r="AJ576" s="1">
        <f>IF(HR_Data[[#This Row],[YearsAtCompany]]&lt;=2,1,IF(HR_Data[[#This Row],[YearsAtCompany]]&lt;=5,2,IF(HR_Data[[#This Row],[YearsAtCompany]]&lt;=10,3,4)))</f>
        <v>2</v>
      </c>
      <c r="AK576" s="1" t="str">
        <f>CHOOSE(HR_Data[[#This Row],[Education]],"Below College","College","Bachelor","Master","Doctor")</f>
        <v>Master</v>
      </c>
      <c r="AL576" s="1" t="str">
        <f>CHOOSE(HR_Data[[#This Row],[JobSatisfaction]],"Low","Medium","High","Very High")</f>
        <v>Very High</v>
      </c>
      <c r="AM576" s="1" t="str">
        <f>CHOOSE(HR_Data[[#This Row],[EnvironmentSatisfaction]],"Low","Medium","High","Very High")</f>
        <v>Medium</v>
      </c>
      <c r="AN576" s="1" t="str">
        <f>CHOOSE(HR_Data[[#This Row],[WorkLifeBalance]],"Bad","Good","Better","Best")</f>
        <v>Better</v>
      </c>
      <c r="AO576" s="1" t="str">
        <f>IF(HR_Data[[#This Row],[PercentSalaryHike]]&lt;=13,"11-13%",IF(HR_Data[[#This Row],[PercentSalaryHike]]&lt;=16,"14-16%",IF(HR_Data[[#This Row],[PercentSalaryHike]]&lt;=19,"17-19%","20-25%")))</f>
        <v>14-16%</v>
      </c>
      <c r="AP576" s="1">
        <f>IF(HR_Data[[#This Row],[PercentSalaryHike]]&lt;=13,1,IF(HR_Data[[#This Row],[PercentSalaryHike]]&lt;=16,2,IF(HR_Data[[#This Row],[PercentSalaryHike]]&lt;=19,3,4)))</f>
        <v>2</v>
      </c>
      <c r="AQ576" s="1" t="str">
        <f>IF(HR_Data[[#This Row],[DistanceFromHome]]&lt;=5,"1 to 5",IF(HR_Data[[#This Row],[DistanceFromHome]]&lt;=10,"6 to 10",IF(HR_Data[[#This Row],[DistanceFromHome]]&lt;=20,"11 to 20","21 to 29")))</f>
        <v>1 to 5</v>
      </c>
      <c r="AR576" s="1">
        <f>IF(HR_Data[[#This Row],[DistanceFromHome]]&lt;=5,1,IF(HR_Data[[#This Row],[DistanceFromHome]]&lt;=10,2,IF(HR_Data[[#This Row],[DistanceFromHome]]&lt;=20,3,4)))</f>
        <v>1</v>
      </c>
      <c r="AS576" s="1" t="str">
        <f>IF(HR_Data[[#This Row],[TotalWorkingYears]]&lt;=5,"0-5 Yrs",IF(HR_Data[[#This Row],[TotalWorkingYears]]&lt;=10,"6-10 Yrs",IF(HR_Data[[#This Row],[TotalWorkingYears]]&lt;=20,"11-20 Yrs","20+ Yrs")))</f>
        <v>6-10 Yrs</v>
      </c>
      <c r="AT576" s="1">
        <f>IF(HR_Data[[#This Row],[TotalWorkingYears]]&lt;=5,1,IF(HR_Data[[#This Row],[TotalWorkingYears]]&lt;=10,2,IF(HR_Data[[#This Row],[TotalWorkingYears]]&lt;=20,3,4)))</f>
        <v>2</v>
      </c>
    </row>
    <row r="577" spans="1:46" x14ac:dyDescent="0.25">
      <c r="A577">
        <v>54</v>
      </c>
      <c r="B577" t="s">
        <v>36</v>
      </c>
      <c r="C577" t="s">
        <v>30</v>
      </c>
      <c r="D577" t="s">
        <v>38</v>
      </c>
      <c r="E577">
        <v>19</v>
      </c>
      <c r="F577">
        <v>4</v>
      </c>
      <c r="G577" t="s">
        <v>44</v>
      </c>
      <c r="H577">
        <v>799</v>
      </c>
      <c r="I577">
        <v>4</v>
      </c>
      <c r="J577" t="s">
        <v>33</v>
      </c>
      <c r="K577">
        <v>3</v>
      </c>
      <c r="L577">
        <v>2</v>
      </c>
      <c r="M577" t="s">
        <v>46</v>
      </c>
      <c r="N577">
        <v>1</v>
      </c>
      <c r="O577" t="s">
        <v>45</v>
      </c>
      <c r="P577">
        <v>5485</v>
      </c>
      <c r="Q577">
        <v>9</v>
      </c>
      <c r="R577" t="s">
        <v>29</v>
      </c>
      <c r="S577">
        <v>11</v>
      </c>
      <c r="T577">
        <v>3</v>
      </c>
      <c r="U577">
        <v>2</v>
      </c>
      <c r="V577">
        <v>2</v>
      </c>
      <c r="W577">
        <v>9</v>
      </c>
      <c r="X577">
        <v>4</v>
      </c>
      <c r="Y577">
        <v>3</v>
      </c>
      <c r="Z577">
        <v>5</v>
      </c>
      <c r="AA577">
        <v>3</v>
      </c>
      <c r="AB577">
        <v>1</v>
      </c>
      <c r="AC577">
        <v>4</v>
      </c>
      <c r="AD577">
        <f>IF(HR_Data[[#This Row],[Attrition]]="Yes",1,0)</f>
        <v>0</v>
      </c>
      <c r="AE577" t="str">
        <f>IF(HR_Data[[#This Row],[Age]]&lt;=25,"18-25",IF(HR_Data[[#This Row],[Age]]&lt;=35,"26-35",IF(HR_Data[[#This Row],[Age]]&lt;=45,"36-45",IF(HR_Data[[#This Row],[Age]]&lt;=55,"46-55","55+"))))</f>
        <v>46-55</v>
      </c>
      <c r="AF577">
        <f>IF(HR_Data[[#This Row],[Age]]&lt;=25,1,IF(HR_Data[[#This Row],[Age]]&lt;=35,2,IF(HR_Data[[#This Row],[Age]]&lt;=45,3,IF(HR_Data[[#This Row],[Age]]&lt;=55,4,5))))</f>
        <v>4</v>
      </c>
      <c r="AG577" s="1" t="str">
        <f>IF(HR_Data[[#This Row],[MonthlyIncome]]&lt;3000,"&lt;3K",IF(HR_Data[[#This Row],[MonthlyIncome]]&lt;6000,"3K-6K",IF(HR_Data[[#This Row],[MonthlyIncome]]&lt;10000,"6K-10K","10K+")))</f>
        <v>3K-6K</v>
      </c>
      <c r="AH577" s="1">
        <f>IF(HR_Data[[#This Row],[MonthlyIncome]]&lt;3000,1,IF(HR_Data[[#This Row],[MonthlyIncome]]&lt;6000,2,IF(HR_Data[[#This Row],[MonthlyIncome]]&lt;10000,3,4)))</f>
        <v>2</v>
      </c>
      <c r="AI577" s="1" t="str">
        <f>IF(HR_Data[[#This Row],[YearsAtCompany]]&lt;=2,"0-2 Yrs",IF(HR_Data[[#This Row],[YearsAtCompany]]&lt;=5,"3-5 Yrs",IF(HR_Data[[#This Row],[YearsAtCompany]]&lt;=10,"6-10 Yrs","10+ Yrs")))</f>
        <v>3-5 Yrs</v>
      </c>
      <c r="AJ577" s="1">
        <f>IF(HR_Data[[#This Row],[YearsAtCompany]]&lt;=2,1,IF(HR_Data[[#This Row],[YearsAtCompany]]&lt;=5,2,IF(HR_Data[[#This Row],[YearsAtCompany]]&lt;=10,3,4)))</f>
        <v>2</v>
      </c>
      <c r="AK577" s="1" t="str">
        <f>CHOOSE(HR_Data[[#This Row],[Education]],"Below College","College","Bachelor","Master","Doctor")</f>
        <v>Master</v>
      </c>
      <c r="AL577" s="1" t="str">
        <f>CHOOSE(HR_Data[[#This Row],[JobSatisfaction]],"Low","Medium","High","Very High")</f>
        <v>Low</v>
      </c>
      <c r="AM577" s="1" t="str">
        <f>CHOOSE(HR_Data[[#This Row],[EnvironmentSatisfaction]],"Low","Medium","High","Very High")</f>
        <v>Very High</v>
      </c>
      <c r="AN577" s="1" t="str">
        <f>CHOOSE(HR_Data[[#This Row],[WorkLifeBalance]],"Bad","Good","Better","Best")</f>
        <v>Better</v>
      </c>
      <c r="AO577" s="1" t="str">
        <f>IF(HR_Data[[#This Row],[PercentSalaryHike]]&lt;=13,"11-13%",IF(HR_Data[[#This Row],[PercentSalaryHike]]&lt;=16,"14-16%",IF(HR_Data[[#This Row],[PercentSalaryHike]]&lt;=19,"17-19%","20-25%")))</f>
        <v>11-13%</v>
      </c>
      <c r="AP577" s="1">
        <f>IF(HR_Data[[#This Row],[PercentSalaryHike]]&lt;=13,1,IF(HR_Data[[#This Row],[PercentSalaryHike]]&lt;=16,2,IF(HR_Data[[#This Row],[PercentSalaryHike]]&lt;=19,3,4)))</f>
        <v>1</v>
      </c>
      <c r="AQ577" s="1" t="str">
        <f>IF(HR_Data[[#This Row],[DistanceFromHome]]&lt;=5,"1 to 5",IF(HR_Data[[#This Row],[DistanceFromHome]]&lt;=10,"6 to 10",IF(HR_Data[[#This Row],[DistanceFromHome]]&lt;=20,"11 to 20","21 to 29")))</f>
        <v>11 to 20</v>
      </c>
      <c r="AR577" s="1">
        <f>IF(HR_Data[[#This Row],[DistanceFromHome]]&lt;=5,1,IF(HR_Data[[#This Row],[DistanceFromHome]]&lt;=10,2,IF(HR_Data[[#This Row],[DistanceFromHome]]&lt;=20,3,4)))</f>
        <v>3</v>
      </c>
      <c r="AS577" s="1" t="str">
        <f>IF(HR_Data[[#This Row],[TotalWorkingYears]]&lt;=5,"0-5 Yrs",IF(HR_Data[[#This Row],[TotalWorkingYears]]&lt;=10,"6-10 Yrs",IF(HR_Data[[#This Row],[TotalWorkingYears]]&lt;=20,"11-20 Yrs","20+ Yrs")))</f>
        <v>6-10 Yrs</v>
      </c>
      <c r="AT577" s="1">
        <f>IF(HR_Data[[#This Row],[TotalWorkingYears]]&lt;=5,1,IF(HR_Data[[#This Row],[TotalWorkingYears]]&lt;=10,2,IF(HR_Data[[#This Row],[TotalWorkingYears]]&lt;=20,3,4)))</f>
        <v>2</v>
      </c>
    </row>
    <row r="578" spans="1:46" x14ac:dyDescent="0.25">
      <c r="A578">
        <v>27</v>
      </c>
      <c r="B578" t="s">
        <v>36</v>
      </c>
      <c r="C578" t="s">
        <v>37</v>
      </c>
      <c r="D578" t="s">
        <v>31</v>
      </c>
      <c r="E578">
        <v>8</v>
      </c>
      <c r="F578">
        <v>1</v>
      </c>
      <c r="G578" t="s">
        <v>52</v>
      </c>
      <c r="H578">
        <v>800</v>
      </c>
      <c r="I578">
        <v>3</v>
      </c>
      <c r="J578" t="s">
        <v>39</v>
      </c>
      <c r="K578">
        <v>3</v>
      </c>
      <c r="L578">
        <v>2</v>
      </c>
      <c r="M578" t="s">
        <v>34</v>
      </c>
      <c r="N578">
        <v>4</v>
      </c>
      <c r="O578" t="s">
        <v>41</v>
      </c>
      <c r="P578">
        <v>4342</v>
      </c>
      <c r="Q578">
        <v>0</v>
      </c>
      <c r="R578" t="s">
        <v>36</v>
      </c>
      <c r="S578">
        <v>19</v>
      </c>
      <c r="T578">
        <v>3</v>
      </c>
      <c r="U578">
        <v>2</v>
      </c>
      <c r="V578">
        <v>1</v>
      </c>
      <c r="W578">
        <v>5</v>
      </c>
      <c r="X578">
        <v>3</v>
      </c>
      <c r="Y578">
        <v>3</v>
      </c>
      <c r="Z578">
        <v>4</v>
      </c>
      <c r="AA578">
        <v>2</v>
      </c>
      <c r="AB578">
        <v>1</v>
      </c>
      <c r="AC578">
        <v>1</v>
      </c>
      <c r="AD578">
        <f>IF(HR_Data[[#This Row],[Attrition]]="Yes",1,0)</f>
        <v>0</v>
      </c>
      <c r="AE578" t="str">
        <f>IF(HR_Data[[#This Row],[Age]]&lt;=25,"18-25",IF(HR_Data[[#This Row],[Age]]&lt;=35,"26-35",IF(HR_Data[[#This Row],[Age]]&lt;=45,"36-45",IF(HR_Data[[#This Row],[Age]]&lt;=55,"46-55","55+"))))</f>
        <v>26-35</v>
      </c>
      <c r="AF578">
        <f>IF(HR_Data[[#This Row],[Age]]&lt;=25,1,IF(HR_Data[[#This Row],[Age]]&lt;=35,2,IF(HR_Data[[#This Row],[Age]]&lt;=45,3,IF(HR_Data[[#This Row],[Age]]&lt;=55,4,5))))</f>
        <v>2</v>
      </c>
      <c r="AG578" s="1" t="str">
        <f>IF(HR_Data[[#This Row],[MonthlyIncome]]&lt;3000,"&lt;3K",IF(HR_Data[[#This Row],[MonthlyIncome]]&lt;6000,"3K-6K",IF(HR_Data[[#This Row],[MonthlyIncome]]&lt;10000,"6K-10K","10K+")))</f>
        <v>3K-6K</v>
      </c>
      <c r="AH578" s="1">
        <f>IF(HR_Data[[#This Row],[MonthlyIncome]]&lt;3000,1,IF(HR_Data[[#This Row],[MonthlyIncome]]&lt;6000,2,IF(HR_Data[[#This Row],[MonthlyIncome]]&lt;10000,3,4)))</f>
        <v>2</v>
      </c>
      <c r="AI578" s="1" t="str">
        <f>IF(HR_Data[[#This Row],[YearsAtCompany]]&lt;=2,"0-2 Yrs",IF(HR_Data[[#This Row],[YearsAtCompany]]&lt;=5,"3-5 Yrs",IF(HR_Data[[#This Row],[YearsAtCompany]]&lt;=10,"6-10 Yrs","10+ Yrs")))</f>
        <v>3-5 Yrs</v>
      </c>
      <c r="AJ578" s="1">
        <f>IF(HR_Data[[#This Row],[YearsAtCompany]]&lt;=2,1,IF(HR_Data[[#This Row],[YearsAtCompany]]&lt;=5,2,IF(HR_Data[[#This Row],[YearsAtCompany]]&lt;=10,3,4)))</f>
        <v>2</v>
      </c>
      <c r="AK578" s="1" t="str">
        <f>CHOOSE(HR_Data[[#This Row],[Education]],"Below College","College","Bachelor","Master","Doctor")</f>
        <v>Below College</v>
      </c>
      <c r="AL578" s="1" t="str">
        <f>CHOOSE(HR_Data[[#This Row],[JobSatisfaction]],"Low","Medium","High","Very High")</f>
        <v>Very High</v>
      </c>
      <c r="AM578" s="1" t="str">
        <f>CHOOSE(HR_Data[[#This Row],[EnvironmentSatisfaction]],"Low","Medium","High","Very High")</f>
        <v>High</v>
      </c>
      <c r="AN578" s="1" t="str">
        <f>CHOOSE(HR_Data[[#This Row],[WorkLifeBalance]],"Bad","Good","Better","Best")</f>
        <v>Better</v>
      </c>
      <c r="AO578" s="1" t="str">
        <f>IF(HR_Data[[#This Row],[PercentSalaryHike]]&lt;=13,"11-13%",IF(HR_Data[[#This Row],[PercentSalaryHike]]&lt;=16,"14-16%",IF(HR_Data[[#This Row],[PercentSalaryHike]]&lt;=19,"17-19%","20-25%")))</f>
        <v>17-19%</v>
      </c>
      <c r="AP578" s="1">
        <f>IF(HR_Data[[#This Row],[PercentSalaryHike]]&lt;=13,1,IF(HR_Data[[#This Row],[PercentSalaryHike]]&lt;=16,2,IF(HR_Data[[#This Row],[PercentSalaryHike]]&lt;=19,3,4)))</f>
        <v>3</v>
      </c>
      <c r="AQ578" s="1" t="str">
        <f>IF(HR_Data[[#This Row],[DistanceFromHome]]&lt;=5,"1 to 5",IF(HR_Data[[#This Row],[DistanceFromHome]]&lt;=10,"6 to 10",IF(HR_Data[[#This Row],[DistanceFromHome]]&lt;=20,"11 to 20","21 to 29")))</f>
        <v>6 to 10</v>
      </c>
      <c r="AR578" s="1">
        <f>IF(HR_Data[[#This Row],[DistanceFromHome]]&lt;=5,1,IF(HR_Data[[#This Row],[DistanceFromHome]]&lt;=10,2,IF(HR_Data[[#This Row],[DistanceFromHome]]&lt;=20,3,4)))</f>
        <v>2</v>
      </c>
      <c r="AS578" s="1" t="str">
        <f>IF(HR_Data[[#This Row],[TotalWorkingYears]]&lt;=5,"0-5 Yrs",IF(HR_Data[[#This Row],[TotalWorkingYears]]&lt;=10,"6-10 Yrs",IF(HR_Data[[#This Row],[TotalWorkingYears]]&lt;=20,"11-20 Yrs","20+ Yrs")))</f>
        <v>0-5 Yrs</v>
      </c>
      <c r="AT578" s="1">
        <f>IF(HR_Data[[#This Row],[TotalWorkingYears]]&lt;=5,1,IF(HR_Data[[#This Row],[TotalWorkingYears]]&lt;=10,2,IF(HR_Data[[#This Row],[TotalWorkingYears]]&lt;=20,3,4)))</f>
        <v>1</v>
      </c>
    </row>
    <row r="579" spans="1:46" x14ac:dyDescent="0.25">
      <c r="A579">
        <v>37</v>
      </c>
      <c r="B579" t="s">
        <v>36</v>
      </c>
      <c r="C579" t="s">
        <v>30</v>
      </c>
      <c r="D579" t="s">
        <v>38</v>
      </c>
      <c r="E579">
        <v>10</v>
      </c>
      <c r="F579">
        <v>1</v>
      </c>
      <c r="G579" t="s">
        <v>32</v>
      </c>
      <c r="H579">
        <v>802</v>
      </c>
      <c r="I579">
        <v>4</v>
      </c>
      <c r="J579" t="s">
        <v>33</v>
      </c>
      <c r="K579">
        <v>3</v>
      </c>
      <c r="L579">
        <v>1</v>
      </c>
      <c r="M579" t="s">
        <v>40</v>
      </c>
      <c r="N579">
        <v>1</v>
      </c>
      <c r="O579" t="s">
        <v>45</v>
      </c>
      <c r="P579">
        <v>2782</v>
      </c>
      <c r="Q579">
        <v>0</v>
      </c>
      <c r="R579" t="s">
        <v>29</v>
      </c>
      <c r="S579">
        <v>13</v>
      </c>
      <c r="T579">
        <v>3</v>
      </c>
      <c r="U579">
        <v>2</v>
      </c>
      <c r="V579">
        <v>2</v>
      </c>
      <c r="W579">
        <v>6</v>
      </c>
      <c r="X579">
        <v>3</v>
      </c>
      <c r="Y579">
        <v>2</v>
      </c>
      <c r="Z579">
        <v>5</v>
      </c>
      <c r="AA579">
        <v>3</v>
      </c>
      <c r="AB579">
        <v>4</v>
      </c>
      <c r="AC579">
        <v>3</v>
      </c>
      <c r="AD579">
        <f>IF(HR_Data[[#This Row],[Attrition]]="Yes",1,0)</f>
        <v>0</v>
      </c>
      <c r="AE579" t="str">
        <f>IF(HR_Data[[#This Row],[Age]]&lt;=25,"18-25",IF(HR_Data[[#This Row],[Age]]&lt;=35,"26-35",IF(HR_Data[[#This Row],[Age]]&lt;=45,"36-45",IF(HR_Data[[#This Row],[Age]]&lt;=55,"46-55","55+"))))</f>
        <v>36-45</v>
      </c>
      <c r="AF579">
        <f>IF(HR_Data[[#This Row],[Age]]&lt;=25,1,IF(HR_Data[[#This Row],[Age]]&lt;=35,2,IF(HR_Data[[#This Row],[Age]]&lt;=45,3,IF(HR_Data[[#This Row],[Age]]&lt;=55,4,5))))</f>
        <v>3</v>
      </c>
      <c r="AG579" s="1" t="str">
        <f>IF(HR_Data[[#This Row],[MonthlyIncome]]&lt;3000,"&lt;3K",IF(HR_Data[[#This Row],[MonthlyIncome]]&lt;6000,"3K-6K",IF(HR_Data[[#This Row],[MonthlyIncome]]&lt;10000,"6K-10K","10K+")))</f>
        <v>&lt;3K</v>
      </c>
      <c r="AH579" s="1">
        <f>IF(HR_Data[[#This Row],[MonthlyIncome]]&lt;3000,1,IF(HR_Data[[#This Row],[MonthlyIncome]]&lt;6000,2,IF(HR_Data[[#This Row],[MonthlyIncome]]&lt;10000,3,4)))</f>
        <v>1</v>
      </c>
      <c r="AI579" s="1" t="str">
        <f>IF(HR_Data[[#This Row],[YearsAtCompany]]&lt;=2,"0-2 Yrs",IF(HR_Data[[#This Row],[YearsAtCompany]]&lt;=5,"3-5 Yrs",IF(HR_Data[[#This Row],[YearsAtCompany]]&lt;=10,"6-10 Yrs","10+ Yrs")))</f>
        <v>3-5 Yrs</v>
      </c>
      <c r="AJ579" s="1">
        <f>IF(HR_Data[[#This Row],[YearsAtCompany]]&lt;=2,1,IF(HR_Data[[#This Row],[YearsAtCompany]]&lt;=5,2,IF(HR_Data[[#This Row],[YearsAtCompany]]&lt;=10,3,4)))</f>
        <v>2</v>
      </c>
      <c r="AK579" s="1" t="str">
        <f>CHOOSE(HR_Data[[#This Row],[Education]],"Below College","College","Bachelor","Master","Doctor")</f>
        <v>Below College</v>
      </c>
      <c r="AL579" s="1" t="str">
        <f>CHOOSE(HR_Data[[#This Row],[JobSatisfaction]],"Low","Medium","High","Very High")</f>
        <v>Low</v>
      </c>
      <c r="AM579" s="1" t="str">
        <f>CHOOSE(HR_Data[[#This Row],[EnvironmentSatisfaction]],"Low","Medium","High","Very High")</f>
        <v>Very High</v>
      </c>
      <c r="AN579" s="1" t="str">
        <f>CHOOSE(HR_Data[[#This Row],[WorkLifeBalance]],"Bad","Good","Better","Best")</f>
        <v>Good</v>
      </c>
      <c r="AO579" s="1" t="str">
        <f>IF(HR_Data[[#This Row],[PercentSalaryHike]]&lt;=13,"11-13%",IF(HR_Data[[#This Row],[PercentSalaryHike]]&lt;=16,"14-16%",IF(HR_Data[[#This Row],[PercentSalaryHike]]&lt;=19,"17-19%","20-25%")))</f>
        <v>11-13%</v>
      </c>
      <c r="AP579" s="1">
        <f>IF(HR_Data[[#This Row],[PercentSalaryHike]]&lt;=13,1,IF(HR_Data[[#This Row],[PercentSalaryHike]]&lt;=16,2,IF(HR_Data[[#This Row],[PercentSalaryHike]]&lt;=19,3,4)))</f>
        <v>1</v>
      </c>
      <c r="AQ579" s="1" t="str">
        <f>IF(HR_Data[[#This Row],[DistanceFromHome]]&lt;=5,"1 to 5",IF(HR_Data[[#This Row],[DistanceFromHome]]&lt;=10,"6 to 10",IF(HR_Data[[#This Row],[DistanceFromHome]]&lt;=20,"11 to 20","21 to 29")))</f>
        <v>6 to 10</v>
      </c>
      <c r="AR579" s="1">
        <f>IF(HR_Data[[#This Row],[DistanceFromHome]]&lt;=5,1,IF(HR_Data[[#This Row],[DistanceFromHome]]&lt;=10,2,IF(HR_Data[[#This Row],[DistanceFromHome]]&lt;=20,3,4)))</f>
        <v>2</v>
      </c>
      <c r="AS579" s="1" t="str">
        <f>IF(HR_Data[[#This Row],[TotalWorkingYears]]&lt;=5,"0-5 Yrs",IF(HR_Data[[#This Row],[TotalWorkingYears]]&lt;=10,"6-10 Yrs",IF(HR_Data[[#This Row],[TotalWorkingYears]]&lt;=20,"11-20 Yrs","20+ Yrs")))</f>
        <v>6-10 Yrs</v>
      </c>
      <c r="AT579" s="1">
        <f>IF(HR_Data[[#This Row],[TotalWorkingYears]]&lt;=5,1,IF(HR_Data[[#This Row],[TotalWorkingYears]]&lt;=10,2,IF(HR_Data[[#This Row],[TotalWorkingYears]]&lt;=20,3,4)))</f>
        <v>2</v>
      </c>
    </row>
    <row r="580" spans="1:46" x14ac:dyDescent="0.25">
      <c r="A580">
        <v>38</v>
      </c>
      <c r="B580" t="s">
        <v>36</v>
      </c>
      <c r="C580" t="s">
        <v>37</v>
      </c>
      <c r="D580" t="s">
        <v>38</v>
      </c>
      <c r="E580">
        <v>2</v>
      </c>
      <c r="F580">
        <v>4</v>
      </c>
      <c r="G580" t="s">
        <v>32</v>
      </c>
      <c r="H580">
        <v>803</v>
      </c>
      <c r="I580">
        <v>1</v>
      </c>
      <c r="J580" t="s">
        <v>33</v>
      </c>
      <c r="K580">
        <v>4</v>
      </c>
      <c r="L580">
        <v>2</v>
      </c>
      <c r="M580" t="s">
        <v>46</v>
      </c>
      <c r="N580">
        <v>1</v>
      </c>
      <c r="O580" t="s">
        <v>35</v>
      </c>
      <c r="P580">
        <v>5980</v>
      </c>
      <c r="Q580">
        <v>6</v>
      </c>
      <c r="R580" t="s">
        <v>29</v>
      </c>
      <c r="S580">
        <v>12</v>
      </c>
      <c r="T580">
        <v>3</v>
      </c>
      <c r="U580">
        <v>4</v>
      </c>
      <c r="V580">
        <v>0</v>
      </c>
      <c r="W580">
        <v>17</v>
      </c>
      <c r="X580">
        <v>2</v>
      </c>
      <c r="Y580">
        <v>3</v>
      </c>
      <c r="Z580">
        <v>15</v>
      </c>
      <c r="AA580">
        <v>7</v>
      </c>
      <c r="AB580">
        <v>4</v>
      </c>
      <c r="AC580">
        <v>12</v>
      </c>
      <c r="AD580">
        <f>IF(HR_Data[[#This Row],[Attrition]]="Yes",1,0)</f>
        <v>0</v>
      </c>
      <c r="AE580" t="str">
        <f>IF(HR_Data[[#This Row],[Age]]&lt;=25,"18-25",IF(HR_Data[[#This Row],[Age]]&lt;=35,"26-35",IF(HR_Data[[#This Row],[Age]]&lt;=45,"36-45",IF(HR_Data[[#This Row],[Age]]&lt;=55,"46-55","55+"))))</f>
        <v>36-45</v>
      </c>
      <c r="AF580">
        <f>IF(HR_Data[[#This Row],[Age]]&lt;=25,1,IF(HR_Data[[#This Row],[Age]]&lt;=35,2,IF(HR_Data[[#This Row],[Age]]&lt;=45,3,IF(HR_Data[[#This Row],[Age]]&lt;=55,4,5))))</f>
        <v>3</v>
      </c>
      <c r="AG580" s="1" t="str">
        <f>IF(HR_Data[[#This Row],[MonthlyIncome]]&lt;3000,"&lt;3K",IF(HR_Data[[#This Row],[MonthlyIncome]]&lt;6000,"3K-6K",IF(HR_Data[[#This Row],[MonthlyIncome]]&lt;10000,"6K-10K","10K+")))</f>
        <v>3K-6K</v>
      </c>
      <c r="AH580" s="1">
        <f>IF(HR_Data[[#This Row],[MonthlyIncome]]&lt;3000,1,IF(HR_Data[[#This Row],[MonthlyIncome]]&lt;6000,2,IF(HR_Data[[#This Row],[MonthlyIncome]]&lt;10000,3,4)))</f>
        <v>2</v>
      </c>
      <c r="AI580" s="1" t="str">
        <f>IF(HR_Data[[#This Row],[YearsAtCompany]]&lt;=2,"0-2 Yrs",IF(HR_Data[[#This Row],[YearsAtCompany]]&lt;=5,"3-5 Yrs",IF(HR_Data[[#This Row],[YearsAtCompany]]&lt;=10,"6-10 Yrs","10+ Yrs")))</f>
        <v>10+ Yrs</v>
      </c>
      <c r="AJ580" s="1">
        <f>IF(HR_Data[[#This Row],[YearsAtCompany]]&lt;=2,1,IF(HR_Data[[#This Row],[YearsAtCompany]]&lt;=5,2,IF(HR_Data[[#This Row],[YearsAtCompany]]&lt;=10,3,4)))</f>
        <v>4</v>
      </c>
      <c r="AK580" s="1" t="str">
        <f>CHOOSE(HR_Data[[#This Row],[Education]],"Below College","College","Bachelor","Master","Doctor")</f>
        <v>Master</v>
      </c>
      <c r="AL580" s="1" t="str">
        <f>CHOOSE(HR_Data[[#This Row],[JobSatisfaction]],"Low","Medium","High","Very High")</f>
        <v>Low</v>
      </c>
      <c r="AM580" s="1" t="str">
        <f>CHOOSE(HR_Data[[#This Row],[EnvironmentSatisfaction]],"Low","Medium","High","Very High")</f>
        <v>Low</v>
      </c>
      <c r="AN580" s="1" t="str">
        <f>CHOOSE(HR_Data[[#This Row],[WorkLifeBalance]],"Bad","Good","Better","Best")</f>
        <v>Better</v>
      </c>
      <c r="AO580" s="1" t="str">
        <f>IF(HR_Data[[#This Row],[PercentSalaryHike]]&lt;=13,"11-13%",IF(HR_Data[[#This Row],[PercentSalaryHike]]&lt;=16,"14-16%",IF(HR_Data[[#This Row],[PercentSalaryHike]]&lt;=19,"17-19%","20-25%")))</f>
        <v>11-13%</v>
      </c>
      <c r="AP580" s="1">
        <f>IF(HR_Data[[#This Row],[PercentSalaryHike]]&lt;=13,1,IF(HR_Data[[#This Row],[PercentSalaryHike]]&lt;=16,2,IF(HR_Data[[#This Row],[PercentSalaryHike]]&lt;=19,3,4)))</f>
        <v>1</v>
      </c>
      <c r="AQ580" s="1" t="str">
        <f>IF(HR_Data[[#This Row],[DistanceFromHome]]&lt;=5,"1 to 5",IF(HR_Data[[#This Row],[DistanceFromHome]]&lt;=10,"6 to 10",IF(HR_Data[[#This Row],[DistanceFromHome]]&lt;=20,"11 to 20","21 to 29")))</f>
        <v>1 to 5</v>
      </c>
      <c r="AR580" s="1">
        <f>IF(HR_Data[[#This Row],[DistanceFromHome]]&lt;=5,1,IF(HR_Data[[#This Row],[DistanceFromHome]]&lt;=10,2,IF(HR_Data[[#This Row],[DistanceFromHome]]&lt;=20,3,4)))</f>
        <v>1</v>
      </c>
      <c r="AS580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580" s="1">
        <f>IF(HR_Data[[#This Row],[TotalWorkingYears]]&lt;=5,1,IF(HR_Data[[#This Row],[TotalWorkingYears]]&lt;=10,2,IF(HR_Data[[#This Row],[TotalWorkingYears]]&lt;=20,3,4)))</f>
        <v>3</v>
      </c>
    </row>
    <row r="581" spans="1:46" x14ac:dyDescent="0.25">
      <c r="A581">
        <v>34</v>
      </c>
      <c r="B581" t="s">
        <v>36</v>
      </c>
      <c r="C581" t="s">
        <v>30</v>
      </c>
      <c r="D581" t="s">
        <v>38</v>
      </c>
      <c r="E581">
        <v>2</v>
      </c>
      <c r="F581">
        <v>4</v>
      </c>
      <c r="G581" t="s">
        <v>44</v>
      </c>
      <c r="H581">
        <v>804</v>
      </c>
      <c r="I581">
        <v>3</v>
      </c>
      <c r="J581" t="s">
        <v>33</v>
      </c>
      <c r="K581">
        <v>2</v>
      </c>
      <c r="L581">
        <v>1</v>
      </c>
      <c r="M581" t="s">
        <v>40</v>
      </c>
      <c r="N581">
        <v>1</v>
      </c>
      <c r="O581" t="s">
        <v>35</v>
      </c>
      <c r="P581">
        <v>4381</v>
      </c>
      <c r="Q581">
        <v>1</v>
      </c>
      <c r="R581" t="s">
        <v>36</v>
      </c>
      <c r="S581">
        <v>11</v>
      </c>
      <c r="T581">
        <v>3</v>
      </c>
      <c r="U581">
        <v>3</v>
      </c>
      <c r="V581">
        <v>0</v>
      </c>
      <c r="W581">
        <v>6</v>
      </c>
      <c r="X581">
        <v>3</v>
      </c>
      <c r="Y581">
        <v>3</v>
      </c>
      <c r="Z581">
        <v>6</v>
      </c>
      <c r="AA581">
        <v>5</v>
      </c>
      <c r="AB581">
        <v>1</v>
      </c>
      <c r="AC581">
        <v>3</v>
      </c>
      <c r="AD581">
        <f>IF(HR_Data[[#This Row],[Attrition]]="Yes",1,0)</f>
        <v>0</v>
      </c>
      <c r="AE581" t="str">
        <f>IF(HR_Data[[#This Row],[Age]]&lt;=25,"18-25",IF(HR_Data[[#This Row],[Age]]&lt;=35,"26-35",IF(HR_Data[[#This Row],[Age]]&lt;=45,"36-45",IF(HR_Data[[#This Row],[Age]]&lt;=55,"46-55","55+"))))</f>
        <v>26-35</v>
      </c>
      <c r="AF581">
        <f>IF(HR_Data[[#This Row],[Age]]&lt;=25,1,IF(HR_Data[[#This Row],[Age]]&lt;=35,2,IF(HR_Data[[#This Row],[Age]]&lt;=45,3,IF(HR_Data[[#This Row],[Age]]&lt;=55,4,5))))</f>
        <v>2</v>
      </c>
      <c r="AG581" s="1" t="str">
        <f>IF(HR_Data[[#This Row],[MonthlyIncome]]&lt;3000,"&lt;3K",IF(HR_Data[[#This Row],[MonthlyIncome]]&lt;6000,"3K-6K",IF(HR_Data[[#This Row],[MonthlyIncome]]&lt;10000,"6K-10K","10K+")))</f>
        <v>3K-6K</v>
      </c>
      <c r="AH581" s="1">
        <f>IF(HR_Data[[#This Row],[MonthlyIncome]]&lt;3000,1,IF(HR_Data[[#This Row],[MonthlyIncome]]&lt;6000,2,IF(HR_Data[[#This Row],[MonthlyIncome]]&lt;10000,3,4)))</f>
        <v>2</v>
      </c>
      <c r="AI581" s="1" t="str">
        <f>IF(HR_Data[[#This Row],[YearsAtCompany]]&lt;=2,"0-2 Yrs",IF(HR_Data[[#This Row],[YearsAtCompany]]&lt;=5,"3-5 Yrs",IF(HR_Data[[#This Row],[YearsAtCompany]]&lt;=10,"6-10 Yrs","10+ Yrs")))</f>
        <v>6-10 Yrs</v>
      </c>
      <c r="AJ581" s="1">
        <f>IF(HR_Data[[#This Row],[YearsAtCompany]]&lt;=2,1,IF(HR_Data[[#This Row],[YearsAtCompany]]&lt;=5,2,IF(HR_Data[[#This Row],[YearsAtCompany]]&lt;=10,3,4)))</f>
        <v>3</v>
      </c>
      <c r="AK581" s="1" t="str">
        <f>CHOOSE(HR_Data[[#This Row],[Education]],"Below College","College","Bachelor","Master","Doctor")</f>
        <v>Master</v>
      </c>
      <c r="AL581" s="1" t="str">
        <f>CHOOSE(HR_Data[[#This Row],[JobSatisfaction]],"Low","Medium","High","Very High")</f>
        <v>Low</v>
      </c>
      <c r="AM581" s="1" t="str">
        <f>CHOOSE(HR_Data[[#This Row],[EnvironmentSatisfaction]],"Low","Medium","High","Very High")</f>
        <v>High</v>
      </c>
      <c r="AN581" s="1" t="str">
        <f>CHOOSE(HR_Data[[#This Row],[WorkLifeBalance]],"Bad","Good","Better","Best")</f>
        <v>Better</v>
      </c>
      <c r="AO581" s="1" t="str">
        <f>IF(HR_Data[[#This Row],[PercentSalaryHike]]&lt;=13,"11-13%",IF(HR_Data[[#This Row],[PercentSalaryHike]]&lt;=16,"14-16%",IF(HR_Data[[#This Row],[PercentSalaryHike]]&lt;=19,"17-19%","20-25%")))</f>
        <v>11-13%</v>
      </c>
      <c r="AP581" s="1">
        <f>IF(HR_Data[[#This Row],[PercentSalaryHike]]&lt;=13,1,IF(HR_Data[[#This Row],[PercentSalaryHike]]&lt;=16,2,IF(HR_Data[[#This Row],[PercentSalaryHike]]&lt;=19,3,4)))</f>
        <v>1</v>
      </c>
      <c r="AQ581" s="1" t="str">
        <f>IF(HR_Data[[#This Row],[DistanceFromHome]]&lt;=5,"1 to 5",IF(HR_Data[[#This Row],[DistanceFromHome]]&lt;=10,"6 to 10",IF(HR_Data[[#This Row],[DistanceFromHome]]&lt;=20,"11 to 20","21 to 29")))</f>
        <v>1 to 5</v>
      </c>
      <c r="AR581" s="1">
        <f>IF(HR_Data[[#This Row],[DistanceFromHome]]&lt;=5,1,IF(HR_Data[[#This Row],[DistanceFromHome]]&lt;=10,2,IF(HR_Data[[#This Row],[DistanceFromHome]]&lt;=20,3,4)))</f>
        <v>1</v>
      </c>
      <c r="AS581" s="1" t="str">
        <f>IF(HR_Data[[#This Row],[TotalWorkingYears]]&lt;=5,"0-5 Yrs",IF(HR_Data[[#This Row],[TotalWorkingYears]]&lt;=10,"6-10 Yrs",IF(HR_Data[[#This Row],[TotalWorkingYears]]&lt;=20,"11-20 Yrs","20+ Yrs")))</f>
        <v>6-10 Yrs</v>
      </c>
      <c r="AT581" s="1">
        <f>IF(HR_Data[[#This Row],[TotalWorkingYears]]&lt;=5,1,IF(HR_Data[[#This Row],[TotalWorkingYears]]&lt;=10,2,IF(HR_Data[[#This Row],[TotalWorkingYears]]&lt;=20,3,4)))</f>
        <v>2</v>
      </c>
    </row>
    <row r="582" spans="1:46" x14ac:dyDescent="0.25">
      <c r="A582">
        <v>35</v>
      </c>
      <c r="B582" t="s">
        <v>36</v>
      </c>
      <c r="C582" t="s">
        <v>30</v>
      </c>
      <c r="D582" t="s">
        <v>31</v>
      </c>
      <c r="E582">
        <v>8</v>
      </c>
      <c r="F582">
        <v>4</v>
      </c>
      <c r="G582" t="s">
        <v>32</v>
      </c>
      <c r="H582">
        <v>805</v>
      </c>
      <c r="I582">
        <v>1</v>
      </c>
      <c r="J582" t="s">
        <v>33</v>
      </c>
      <c r="K582">
        <v>3</v>
      </c>
      <c r="L582">
        <v>1</v>
      </c>
      <c r="M582" t="s">
        <v>50</v>
      </c>
      <c r="N582">
        <v>4</v>
      </c>
      <c r="O582" t="s">
        <v>41</v>
      </c>
      <c r="P582">
        <v>2572</v>
      </c>
      <c r="Q582">
        <v>1</v>
      </c>
      <c r="R582" t="s">
        <v>36</v>
      </c>
      <c r="S582">
        <v>16</v>
      </c>
      <c r="T582">
        <v>3</v>
      </c>
      <c r="U582">
        <v>2</v>
      </c>
      <c r="V582">
        <v>1</v>
      </c>
      <c r="W582">
        <v>3</v>
      </c>
      <c r="X582">
        <v>1</v>
      </c>
      <c r="Y582">
        <v>2</v>
      </c>
      <c r="Z582">
        <v>3</v>
      </c>
      <c r="AA582">
        <v>2</v>
      </c>
      <c r="AB582">
        <v>0</v>
      </c>
      <c r="AC582">
        <v>2</v>
      </c>
      <c r="AD582">
        <f>IF(HR_Data[[#This Row],[Attrition]]="Yes",1,0)</f>
        <v>0</v>
      </c>
      <c r="AE582" t="str">
        <f>IF(HR_Data[[#This Row],[Age]]&lt;=25,"18-25",IF(HR_Data[[#This Row],[Age]]&lt;=35,"26-35",IF(HR_Data[[#This Row],[Age]]&lt;=45,"36-45",IF(HR_Data[[#This Row],[Age]]&lt;=55,"46-55","55+"))))</f>
        <v>26-35</v>
      </c>
      <c r="AF582">
        <f>IF(HR_Data[[#This Row],[Age]]&lt;=25,1,IF(HR_Data[[#This Row],[Age]]&lt;=35,2,IF(HR_Data[[#This Row],[Age]]&lt;=45,3,IF(HR_Data[[#This Row],[Age]]&lt;=55,4,5))))</f>
        <v>2</v>
      </c>
      <c r="AG582" s="1" t="str">
        <f>IF(HR_Data[[#This Row],[MonthlyIncome]]&lt;3000,"&lt;3K",IF(HR_Data[[#This Row],[MonthlyIncome]]&lt;6000,"3K-6K",IF(HR_Data[[#This Row],[MonthlyIncome]]&lt;10000,"6K-10K","10K+")))</f>
        <v>&lt;3K</v>
      </c>
      <c r="AH582" s="1">
        <f>IF(HR_Data[[#This Row],[MonthlyIncome]]&lt;3000,1,IF(HR_Data[[#This Row],[MonthlyIncome]]&lt;6000,2,IF(HR_Data[[#This Row],[MonthlyIncome]]&lt;10000,3,4)))</f>
        <v>1</v>
      </c>
      <c r="AI582" s="1" t="str">
        <f>IF(HR_Data[[#This Row],[YearsAtCompany]]&lt;=2,"0-2 Yrs",IF(HR_Data[[#This Row],[YearsAtCompany]]&lt;=5,"3-5 Yrs",IF(HR_Data[[#This Row],[YearsAtCompany]]&lt;=10,"6-10 Yrs","10+ Yrs")))</f>
        <v>3-5 Yrs</v>
      </c>
      <c r="AJ582" s="1">
        <f>IF(HR_Data[[#This Row],[YearsAtCompany]]&lt;=2,1,IF(HR_Data[[#This Row],[YearsAtCompany]]&lt;=5,2,IF(HR_Data[[#This Row],[YearsAtCompany]]&lt;=10,3,4)))</f>
        <v>2</v>
      </c>
      <c r="AK582" s="1" t="str">
        <f>CHOOSE(HR_Data[[#This Row],[Education]],"Below College","College","Bachelor","Master","Doctor")</f>
        <v>Master</v>
      </c>
      <c r="AL582" s="1" t="str">
        <f>CHOOSE(HR_Data[[#This Row],[JobSatisfaction]],"Low","Medium","High","Very High")</f>
        <v>Very High</v>
      </c>
      <c r="AM582" s="1" t="str">
        <f>CHOOSE(HR_Data[[#This Row],[EnvironmentSatisfaction]],"Low","Medium","High","Very High")</f>
        <v>Low</v>
      </c>
      <c r="AN582" s="1" t="str">
        <f>CHOOSE(HR_Data[[#This Row],[WorkLifeBalance]],"Bad","Good","Better","Best")</f>
        <v>Good</v>
      </c>
      <c r="AO582" s="1" t="str">
        <f>IF(HR_Data[[#This Row],[PercentSalaryHike]]&lt;=13,"11-13%",IF(HR_Data[[#This Row],[PercentSalaryHike]]&lt;=16,"14-16%",IF(HR_Data[[#This Row],[PercentSalaryHike]]&lt;=19,"17-19%","20-25%")))</f>
        <v>14-16%</v>
      </c>
      <c r="AP582" s="1">
        <f>IF(HR_Data[[#This Row],[PercentSalaryHike]]&lt;=13,1,IF(HR_Data[[#This Row],[PercentSalaryHike]]&lt;=16,2,IF(HR_Data[[#This Row],[PercentSalaryHike]]&lt;=19,3,4)))</f>
        <v>2</v>
      </c>
      <c r="AQ582" s="1" t="str">
        <f>IF(HR_Data[[#This Row],[DistanceFromHome]]&lt;=5,"1 to 5",IF(HR_Data[[#This Row],[DistanceFromHome]]&lt;=10,"6 to 10",IF(HR_Data[[#This Row],[DistanceFromHome]]&lt;=20,"11 to 20","21 to 29")))</f>
        <v>6 to 10</v>
      </c>
      <c r="AR582" s="1">
        <f>IF(HR_Data[[#This Row],[DistanceFromHome]]&lt;=5,1,IF(HR_Data[[#This Row],[DistanceFromHome]]&lt;=10,2,IF(HR_Data[[#This Row],[DistanceFromHome]]&lt;=20,3,4)))</f>
        <v>2</v>
      </c>
      <c r="AS582" s="1" t="str">
        <f>IF(HR_Data[[#This Row],[TotalWorkingYears]]&lt;=5,"0-5 Yrs",IF(HR_Data[[#This Row],[TotalWorkingYears]]&lt;=10,"6-10 Yrs",IF(HR_Data[[#This Row],[TotalWorkingYears]]&lt;=20,"11-20 Yrs","20+ Yrs")))</f>
        <v>0-5 Yrs</v>
      </c>
      <c r="AT582" s="1">
        <f>IF(HR_Data[[#This Row],[TotalWorkingYears]]&lt;=5,1,IF(HR_Data[[#This Row],[TotalWorkingYears]]&lt;=10,2,IF(HR_Data[[#This Row],[TotalWorkingYears]]&lt;=20,3,4)))</f>
        <v>1</v>
      </c>
    </row>
    <row r="583" spans="1:46" x14ac:dyDescent="0.25">
      <c r="A583">
        <v>30</v>
      </c>
      <c r="B583" t="s">
        <v>36</v>
      </c>
      <c r="C583" t="s">
        <v>30</v>
      </c>
      <c r="D583" t="s">
        <v>38</v>
      </c>
      <c r="E583">
        <v>1</v>
      </c>
      <c r="F583">
        <v>3</v>
      </c>
      <c r="G583" t="s">
        <v>32</v>
      </c>
      <c r="H583">
        <v>806</v>
      </c>
      <c r="I583">
        <v>4</v>
      </c>
      <c r="J583" t="s">
        <v>39</v>
      </c>
      <c r="K583">
        <v>1</v>
      </c>
      <c r="L583">
        <v>1</v>
      </c>
      <c r="M583" t="s">
        <v>43</v>
      </c>
      <c r="N583">
        <v>3</v>
      </c>
      <c r="O583" t="s">
        <v>41</v>
      </c>
      <c r="P583">
        <v>3833</v>
      </c>
      <c r="Q583">
        <v>3</v>
      </c>
      <c r="R583" t="s">
        <v>36</v>
      </c>
      <c r="S583">
        <v>21</v>
      </c>
      <c r="T583">
        <v>4</v>
      </c>
      <c r="U583">
        <v>3</v>
      </c>
      <c r="V583">
        <v>2</v>
      </c>
      <c r="W583">
        <v>7</v>
      </c>
      <c r="X583">
        <v>2</v>
      </c>
      <c r="Y583">
        <v>3</v>
      </c>
      <c r="Z583">
        <v>2</v>
      </c>
      <c r="AA583">
        <v>2</v>
      </c>
      <c r="AB583">
        <v>0</v>
      </c>
      <c r="AC583">
        <v>2</v>
      </c>
      <c r="AD583">
        <f>IF(HR_Data[[#This Row],[Attrition]]="Yes",1,0)</f>
        <v>0</v>
      </c>
      <c r="AE583" t="str">
        <f>IF(HR_Data[[#This Row],[Age]]&lt;=25,"18-25",IF(HR_Data[[#This Row],[Age]]&lt;=35,"26-35",IF(HR_Data[[#This Row],[Age]]&lt;=45,"36-45",IF(HR_Data[[#This Row],[Age]]&lt;=55,"46-55","55+"))))</f>
        <v>26-35</v>
      </c>
      <c r="AF583">
        <f>IF(HR_Data[[#This Row],[Age]]&lt;=25,1,IF(HR_Data[[#This Row],[Age]]&lt;=35,2,IF(HR_Data[[#This Row],[Age]]&lt;=45,3,IF(HR_Data[[#This Row],[Age]]&lt;=55,4,5))))</f>
        <v>2</v>
      </c>
      <c r="AG583" s="1" t="str">
        <f>IF(HR_Data[[#This Row],[MonthlyIncome]]&lt;3000,"&lt;3K",IF(HR_Data[[#This Row],[MonthlyIncome]]&lt;6000,"3K-6K",IF(HR_Data[[#This Row],[MonthlyIncome]]&lt;10000,"6K-10K","10K+")))</f>
        <v>3K-6K</v>
      </c>
      <c r="AH583" s="1">
        <f>IF(HR_Data[[#This Row],[MonthlyIncome]]&lt;3000,1,IF(HR_Data[[#This Row],[MonthlyIncome]]&lt;6000,2,IF(HR_Data[[#This Row],[MonthlyIncome]]&lt;10000,3,4)))</f>
        <v>2</v>
      </c>
      <c r="AI583" s="1" t="str">
        <f>IF(HR_Data[[#This Row],[YearsAtCompany]]&lt;=2,"0-2 Yrs",IF(HR_Data[[#This Row],[YearsAtCompany]]&lt;=5,"3-5 Yrs",IF(HR_Data[[#This Row],[YearsAtCompany]]&lt;=10,"6-10 Yrs","10+ Yrs")))</f>
        <v>0-2 Yrs</v>
      </c>
      <c r="AJ583" s="1">
        <f>IF(HR_Data[[#This Row],[YearsAtCompany]]&lt;=2,1,IF(HR_Data[[#This Row],[YearsAtCompany]]&lt;=5,2,IF(HR_Data[[#This Row],[YearsAtCompany]]&lt;=10,3,4)))</f>
        <v>1</v>
      </c>
      <c r="AK583" s="1" t="str">
        <f>CHOOSE(HR_Data[[#This Row],[Education]],"Below College","College","Bachelor","Master","Doctor")</f>
        <v>Bachelor</v>
      </c>
      <c r="AL583" s="1" t="str">
        <f>CHOOSE(HR_Data[[#This Row],[JobSatisfaction]],"Low","Medium","High","Very High")</f>
        <v>High</v>
      </c>
      <c r="AM583" s="1" t="str">
        <f>CHOOSE(HR_Data[[#This Row],[EnvironmentSatisfaction]],"Low","Medium","High","Very High")</f>
        <v>Very High</v>
      </c>
      <c r="AN583" s="1" t="str">
        <f>CHOOSE(HR_Data[[#This Row],[WorkLifeBalance]],"Bad","Good","Better","Best")</f>
        <v>Better</v>
      </c>
      <c r="AO583" s="1" t="str">
        <f>IF(HR_Data[[#This Row],[PercentSalaryHike]]&lt;=13,"11-13%",IF(HR_Data[[#This Row],[PercentSalaryHike]]&lt;=16,"14-16%",IF(HR_Data[[#This Row],[PercentSalaryHike]]&lt;=19,"17-19%","20-25%")))</f>
        <v>20-25%</v>
      </c>
      <c r="AP583" s="1">
        <f>IF(HR_Data[[#This Row],[PercentSalaryHike]]&lt;=13,1,IF(HR_Data[[#This Row],[PercentSalaryHike]]&lt;=16,2,IF(HR_Data[[#This Row],[PercentSalaryHike]]&lt;=19,3,4)))</f>
        <v>4</v>
      </c>
      <c r="AQ583" s="1" t="str">
        <f>IF(HR_Data[[#This Row],[DistanceFromHome]]&lt;=5,"1 to 5",IF(HR_Data[[#This Row],[DistanceFromHome]]&lt;=10,"6 to 10",IF(HR_Data[[#This Row],[DistanceFromHome]]&lt;=20,"11 to 20","21 to 29")))</f>
        <v>1 to 5</v>
      </c>
      <c r="AR583" s="1">
        <f>IF(HR_Data[[#This Row],[DistanceFromHome]]&lt;=5,1,IF(HR_Data[[#This Row],[DistanceFromHome]]&lt;=10,2,IF(HR_Data[[#This Row],[DistanceFromHome]]&lt;=20,3,4)))</f>
        <v>1</v>
      </c>
      <c r="AS583" s="1" t="str">
        <f>IF(HR_Data[[#This Row],[TotalWorkingYears]]&lt;=5,"0-5 Yrs",IF(HR_Data[[#This Row],[TotalWorkingYears]]&lt;=10,"6-10 Yrs",IF(HR_Data[[#This Row],[TotalWorkingYears]]&lt;=20,"11-20 Yrs","20+ Yrs")))</f>
        <v>6-10 Yrs</v>
      </c>
      <c r="AT583" s="1">
        <f>IF(HR_Data[[#This Row],[TotalWorkingYears]]&lt;=5,1,IF(HR_Data[[#This Row],[TotalWorkingYears]]&lt;=10,2,IF(HR_Data[[#This Row],[TotalWorkingYears]]&lt;=20,3,4)))</f>
        <v>2</v>
      </c>
    </row>
    <row r="584" spans="1:46" x14ac:dyDescent="0.25">
      <c r="A584">
        <v>40</v>
      </c>
      <c r="B584" t="s">
        <v>36</v>
      </c>
      <c r="C584" t="s">
        <v>37</v>
      </c>
      <c r="D584" t="s">
        <v>38</v>
      </c>
      <c r="E584">
        <v>2</v>
      </c>
      <c r="F584">
        <v>2</v>
      </c>
      <c r="G584" t="s">
        <v>44</v>
      </c>
      <c r="H584">
        <v>807</v>
      </c>
      <c r="I584">
        <v>3</v>
      </c>
      <c r="J584" t="s">
        <v>33</v>
      </c>
      <c r="K584">
        <v>4</v>
      </c>
      <c r="L584">
        <v>2</v>
      </c>
      <c r="M584" t="s">
        <v>47</v>
      </c>
      <c r="N584">
        <v>2</v>
      </c>
      <c r="O584" t="s">
        <v>41</v>
      </c>
      <c r="P584">
        <v>4244</v>
      </c>
      <c r="Q584">
        <v>1</v>
      </c>
      <c r="R584" t="s">
        <v>36</v>
      </c>
      <c r="S584">
        <v>24</v>
      </c>
      <c r="T584">
        <v>4</v>
      </c>
      <c r="U584">
        <v>4</v>
      </c>
      <c r="V584">
        <v>1</v>
      </c>
      <c r="W584">
        <v>8</v>
      </c>
      <c r="X584">
        <v>2</v>
      </c>
      <c r="Y584">
        <v>3</v>
      </c>
      <c r="Z584">
        <v>8</v>
      </c>
      <c r="AA584">
        <v>7</v>
      </c>
      <c r="AB584">
        <v>3</v>
      </c>
      <c r="AC584">
        <v>7</v>
      </c>
      <c r="AD584">
        <f>IF(HR_Data[[#This Row],[Attrition]]="Yes",1,0)</f>
        <v>0</v>
      </c>
      <c r="AE584" t="str">
        <f>IF(HR_Data[[#This Row],[Age]]&lt;=25,"18-25",IF(HR_Data[[#This Row],[Age]]&lt;=35,"26-35",IF(HR_Data[[#This Row],[Age]]&lt;=45,"36-45",IF(HR_Data[[#This Row],[Age]]&lt;=55,"46-55","55+"))))</f>
        <v>36-45</v>
      </c>
      <c r="AF584">
        <f>IF(HR_Data[[#This Row],[Age]]&lt;=25,1,IF(HR_Data[[#This Row],[Age]]&lt;=35,2,IF(HR_Data[[#This Row],[Age]]&lt;=45,3,IF(HR_Data[[#This Row],[Age]]&lt;=55,4,5))))</f>
        <v>3</v>
      </c>
      <c r="AG584" s="1" t="str">
        <f>IF(HR_Data[[#This Row],[MonthlyIncome]]&lt;3000,"&lt;3K",IF(HR_Data[[#This Row],[MonthlyIncome]]&lt;6000,"3K-6K",IF(HR_Data[[#This Row],[MonthlyIncome]]&lt;10000,"6K-10K","10K+")))</f>
        <v>3K-6K</v>
      </c>
      <c r="AH584" s="1">
        <f>IF(HR_Data[[#This Row],[MonthlyIncome]]&lt;3000,1,IF(HR_Data[[#This Row],[MonthlyIncome]]&lt;6000,2,IF(HR_Data[[#This Row],[MonthlyIncome]]&lt;10000,3,4)))</f>
        <v>2</v>
      </c>
      <c r="AI584" s="1" t="str">
        <f>IF(HR_Data[[#This Row],[YearsAtCompany]]&lt;=2,"0-2 Yrs",IF(HR_Data[[#This Row],[YearsAtCompany]]&lt;=5,"3-5 Yrs",IF(HR_Data[[#This Row],[YearsAtCompany]]&lt;=10,"6-10 Yrs","10+ Yrs")))</f>
        <v>6-10 Yrs</v>
      </c>
      <c r="AJ584" s="1">
        <f>IF(HR_Data[[#This Row],[YearsAtCompany]]&lt;=2,1,IF(HR_Data[[#This Row],[YearsAtCompany]]&lt;=5,2,IF(HR_Data[[#This Row],[YearsAtCompany]]&lt;=10,3,4)))</f>
        <v>3</v>
      </c>
      <c r="AK584" s="1" t="str">
        <f>CHOOSE(HR_Data[[#This Row],[Education]],"Below College","College","Bachelor","Master","Doctor")</f>
        <v>College</v>
      </c>
      <c r="AL584" s="1" t="str">
        <f>CHOOSE(HR_Data[[#This Row],[JobSatisfaction]],"Low","Medium","High","Very High")</f>
        <v>Medium</v>
      </c>
      <c r="AM584" s="1" t="str">
        <f>CHOOSE(HR_Data[[#This Row],[EnvironmentSatisfaction]],"Low","Medium","High","Very High")</f>
        <v>High</v>
      </c>
      <c r="AN584" s="1" t="str">
        <f>CHOOSE(HR_Data[[#This Row],[WorkLifeBalance]],"Bad","Good","Better","Best")</f>
        <v>Better</v>
      </c>
      <c r="AO584" s="1" t="str">
        <f>IF(HR_Data[[#This Row],[PercentSalaryHike]]&lt;=13,"11-13%",IF(HR_Data[[#This Row],[PercentSalaryHike]]&lt;=16,"14-16%",IF(HR_Data[[#This Row],[PercentSalaryHike]]&lt;=19,"17-19%","20-25%")))</f>
        <v>20-25%</v>
      </c>
      <c r="AP584" s="1">
        <f>IF(HR_Data[[#This Row],[PercentSalaryHike]]&lt;=13,1,IF(HR_Data[[#This Row],[PercentSalaryHike]]&lt;=16,2,IF(HR_Data[[#This Row],[PercentSalaryHike]]&lt;=19,3,4)))</f>
        <v>4</v>
      </c>
      <c r="AQ584" s="1" t="str">
        <f>IF(HR_Data[[#This Row],[DistanceFromHome]]&lt;=5,"1 to 5",IF(HR_Data[[#This Row],[DistanceFromHome]]&lt;=10,"6 to 10",IF(HR_Data[[#This Row],[DistanceFromHome]]&lt;=20,"11 to 20","21 to 29")))</f>
        <v>1 to 5</v>
      </c>
      <c r="AR584" s="1">
        <f>IF(HR_Data[[#This Row],[DistanceFromHome]]&lt;=5,1,IF(HR_Data[[#This Row],[DistanceFromHome]]&lt;=10,2,IF(HR_Data[[#This Row],[DistanceFromHome]]&lt;=20,3,4)))</f>
        <v>1</v>
      </c>
      <c r="AS584" s="1" t="str">
        <f>IF(HR_Data[[#This Row],[TotalWorkingYears]]&lt;=5,"0-5 Yrs",IF(HR_Data[[#This Row],[TotalWorkingYears]]&lt;=10,"6-10 Yrs",IF(HR_Data[[#This Row],[TotalWorkingYears]]&lt;=20,"11-20 Yrs","20+ Yrs")))</f>
        <v>6-10 Yrs</v>
      </c>
      <c r="AT584" s="1">
        <f>IF(HR_Data[[#This Row],[TotalWorkingYears]]&lt;=5,1,IF(HR_Data[[#This Row],[TotalWorkingYears]]&lt;=10,2,IF(HR_Data[[#This Row],[TotalWorkingYears]]&lt;=20,3,4)))</f>
        <v>2</v>
      </c>
    </row>
    <row r="585" spans="1:46" x14ac:dyDescent="0.25">
      <c r="A585">
        <v>34</v>
      </c>
      <c r="B585" t="s">
        <v>36</v>
      </c>
      <c r="C585" t="s">
        <v>30</v>
      </c>
      <c r="D585" t="s">
        <v>31</v>
      </c>
      <c r="E585">
        <v>8</v>
      </c>
      <c r="F585">
        <v>2</v>
      </c>
      <c r="G585" t="s">
        <v>32</v>
      </c>
      <c r="H585">
        <v>808</v>
      </c>
      <c r="I585">
        <v>3</v>
      </c>
      <c r="J585" t="s">
        <v>33</v>
      </c>
      <c r="K585">
        <v>3</v>
      </c>
      <c r="L585">
        <v>2</v>
      </c>
      <c r="M585" t="s">
        <v>34</v>
      </c>
      <c r="N585">
        <v>1</v>
      </c>
      <c r="O585" t="s">
        <v>41</v>
      </c>
      <c r="P585">
        <v>6500</v>
      </c>
      <c r="Q585">
        <v>5</v>
      </c>
      <c r="R585" t="s">
        <v>36</v>
      </c>
      <c r="S585">
        <v>17</v>
      </c>
      <c r="T585">
        <v>3</v>
      </c>
      <c r="U585">
        <v>2</v>
      </c>
      <c r="V585">
        <v>1</v>
      </c>
      <c r="W585">
        <v>6</v>
      </c>
      <c r="X585">
        <v>1</v>
      </c>
      <c r="Y585">
        <v>3</v>
      </c>
      <c r="Z585">
        <v>3</v>
      </c>
      <c r="AA585">
        <v>2</v>
      </c>
      <c r="AB585">
        <v>1</v>
      </c>
      <c r="AC585">
        <v>2</v>
      </c>
      <c r="AD585">
        <f>IF(HR_Data[[#This Row],[Attrition]]="Yes",1,0)</f>
        <v>0</v>
      </c>
      <c r="AE585" t="str">
        <f>IF(HR_Data[[#This Row],[Age]]&lt;=25,"18-25",IF(HR_Data[[#This Row],[Age]]&lt;=35,"26-35",IF(HR_Data[[#This Row],[Age]]&lt;=45,"36-45",IF(HR_Data[[#This Row],[Age]]&lt;=55,"46-55","55+"))))</f>
        <v>26-35</v>
      </c>
      <c r="AF585">
        <f>IF(HR_Data[[#This Row],[Age]]&lt;=25,1,IF(HR_Data[[#This Row],[Age]]&lt;=35,2,IF(HR_Data[[#This Row],[Age]]&lt;=45,3,IF(HR_Data[[#This Row],[Age]]&lt;=55,4,5))))</f>
        <v>2</v>
      </c>
      <c r="AG585" s="1" t="str">
        <f>IF(HR_Data[[#This Row],[MonthlyIncome]]&lt;3000,"&lt;3K",IF(HR_Data[[#This Row],[MonthlyIncome]]&lt;6000,"3K-6K",IF(HR_Data[[#This Row],[MonthlyIncome]]&lt;10000,"6K-10K","10K+")))</f>
        <v>6K-10K</v>
      </c>
      <c r="AH585" s="1">
        <f>IF(HR_Data[[#This Row],[MonthlyIncome]]&lt;3000,1,IF(HR_Data[[#This Row],[MonthlyIncome]]&lt;6000,2,IF(HR_Data[[#This Row],[MonthlyIncome]]&lt;10000,3,4)))</f>
        <v>3</v>
      </c>
      <c r="AI585" s="1" t="str">
        <f>IF(HR_Data[[#This Row],[YearsAtCompany]]&lt;=2,"0-2 Yrs",IF(HR_Data[[#This Row],[YearsAtCompany]]&lt;=5,"3-5 Yrs",IF(HR_Data[[#This Row],[YearsAtCompany]]&lt;=10,"6-10 Yrs","10+ Yrs")))</f>
        <v>3-5 Yrs</v>
      </c>
      <c r="AJ585" s="1">
        <f>IF(HR_Data[[#This Row],[YearsAtCompany]]&lt;=2,1,IF(HR_Data[[#This Row],[YearsAtCompany]]&lt;=5,2,IF(HR_Data[[#This Row],[YearsAtCompany]]&lt;=10,3,4)))</f>
        <v>2</v>
      </c>
      <c r="AK585" s="1" t="str">
        <f>CHOOSE(HR_Data[[#This Row],[Education]],"Below College","College","Bachelor","Master","Doctor")</f>
        <v>College</v>
      </c>
      <c r="AL585" s="1" t="str">
        <f>CHOOSE(HR_Data[[#This Row],[JobSatisfaction]],"Low","Medium","High","Very High")</f>
        <v>Low</v>
      </c>
      <c r="AM585" s="1" t="str">
        <f>CHOOSE(HR_Data[[#This Row],[EnvironmentSatisfaction]],"Low","Medium","High","Very High")</f>
        <v>High</v>
      </c>
      <c r="AN585" s="1" t="str">
        <f>CHOOSE(HR_Data[[#This Row],[WorkLifeBalance]],"Bad","Good","Better","Best")</f>
        <v>Better</v>
      </c>
      <c r="AO585" s="1" t="str">
        <f>IF(HR_Data[[#This Row],[PercentSalaryHike]]&lt;=13,"11-13%",IF(HR_Data[[#This Row],[PercentSalaryHike]]&lt;=16,"14-16%",IF(HR_Data[[#This Row],[PercentSalaryHike]]&lt;=19,"17-19%","20-25%")))</f>
        <v>17-19%</v>
      </c>
      <c r="AP585" s="1">
        <f>IF(HR_Data[[#This Row],[PercentSalaryHike]]&lt;=13,1,IF(HR_Data[[#This Row],[PercentSalaryHike]]&lt;=16,2,IF(HR_Data[[#This Row],[PercentSalaryHike]]&lt;=19,3,4)))</f>
        <v>3</v>
      </c>
      <c r="AQ585" s="1" t="str">
        <f>IF(HR_Data[[#This Row],[DistanceFromHome]]&lt;=5,"1 to 5",IF(HR_Data[[#This Row],[DistanceFromHome]]&lt;=10,"6 to 10",IF(HR_Data[[#This Row],[DistanceFromHome]]&lt;=20,"11 to 20","21 to 29")))</f>
        <v>6 to 10</v>
      </c>
      <c r="AR585" s="1">
        <f>IF(HR_Data[[#This Row],[DistanceFromHome]]&lt;=5,1,IF(HR_Data[[#This Row],[DistanceFromHome]]&lt;=10,2,IF(HR_Data[[#This Row],[DistanceFromHome]]&lt;=20,3,4)))</f>
        <v>2</v>
      </c>
      <c r="AS585" s="1" t="str">
        <f>IF(HR_Data[[#This Row],[TotalWorkingYears]]&lt;=5,"0-5 Yrs",IF(HR_Data[[#This Row],[TotalWorkingYears]]&lt;=10,"6-10 Yrs",IF(HR_Data[[#This Row],[TotalWorkingYears]]&lt;=20,"11-20 Yrs","20+ Yrs")))</f>
        <v>6-10 Yrs</v>
      </c>
      <c r="AT585" s="1">
        <f>IF(HR_Data[[#This Row],[TotalWorkingYears]]&lt;=5,1,IF(HR_Data[[#This Row],[TotalWorkingYears]]&lt;=10,2,IF(HR_Data[[#This Row],[TotalWorkingYears]]&lt;=20,3,4)))</f>
        <v>2</v>
      </c>
    </row>
    <row r="586" spans="1:46" x14ac:dyDescent="0.25">
      <c r="A586">
        <v>42</v>
      </c>
      <c r="B586" t="s">
        <v>36</v>
      </c>
      <c r="C586" t="s">
        <v>37</v>
      </c>
      <c r="D586" t="s">
        <v>38</v>
      </c>
      <c r="E586">
        <v>8</v>
      </c>
      <c r="F586">
        <v>3</v>
      </c>
      <c r="G586" t="s">
        <v>32</v>
      </c>
      <c r="H586">
        <v>809</v>
      </c>
      <c r="I586">
        <v>2</v>
      </c>
      <c r="J586" t="s">
        <v>39</v>
      </c>
      <c r="K586">
        <v>3</v>
      </c>
      <c r="L586">
        <v>5</v>
      </c>
      <c r="M586" t="s">
        <v>49</v>
      </c>
      <c r="N586">
        <v>4</v>
      </c>
      <c r="O586" t="s">
        <v>45</v>
      </c>
      <c r="P586">
        <v>18430</v>
      </c>
      <c r="Q586">
        <v>1</v>
      </c>
      <c r="R586" t="s">
        <v>36</v>
      </c>
      <c r="S586">
        <v>13</v>
      </c>
      <c r="T586">
        <v>3</v>
      </c>
      <c r="U586">
        <v>2</v>
      </c>
      <c r="V586">
        <v>1</v>
      </c>
      <c r="W586">
        <v>24</v>
      </c>
      <c r="X586">
        <v>4</v>
      </c>
      <c r="Y586">
        <v>2</v>
      </c>
      <c r="Z586">
        <v>24</v>
      </c>
      <c r="AA586">
        <v>7</v>
      </c>
      <c r="AB586">
        <v>14</v>
      </c>
      <c r="AC586">
        <v>9</v>
      </c>
      <c r="AD586">
        <f>IF(HR_Data[[#This Row],[Attrition]]="Yes",1,0)</f>
        <v>0</v>
      </c>
      <c r="AE586" t="str">
        <f>IF(HR_Data[[#This Row],[Age]]&lt;=25,"18-25",IF(HR_Data[[#This Row],[Age]]&lt;=35,"26-35",IF(HR_Data[[#This Row],[Age]]&lt;=45,"36-45",IF(HR_Data[[#This Row],[Age]]&lt;=55,"46-55","55+"))))</f>
        <v>36-45</v>
      </c>
      <c r="AF586">
        <f>IF(HR_Data[[#This Row],[Age]]&lt;=25,1,IF(HR_Data[[#This Row],[Age]]&lt;=35,2,IF(HR_Data[[#This Row],[Age]]&lt;=45,3,IF(HR_Data[[#This Row],[Age]]&lt;=55,4,5))))</f>
        <v>3</v>
      </c>
      <c r="AG586" s="1" t="str">
        <f>IF(HR_Data[[#This Row],[MonthlyIncome]]&lt;3000,"&lt;3K",IF(HR_Data[[#This Row],[MonthlyIncome]]&lt;6000,"3K-6K",IF(HR_Data[[#This Row],[MonthlyIncome]]&lt;10000,"6K-10K","10K+")))</f>
        <v>10K+</v>
      </c>
      <c r="AH586" s="1">
        <f>IF(HR_Data[[#This Row],[MonthlyIncome]]&lt;3000,1,IF(HR_Data[[#This Row],[MonthlyIncome]]&lt;6000,2,IF(HR_Data[[#This Row],[MonthlyIncome]]&lt;10000,3,4)))</f>
        <v>4</v>
      </c>
      <c r="AI586" s="1" t="str">
        <f>IF(HR_Data[[#This Row],[YearsAtCompany]]&lt;=2,"0-2 Yrs",IF(HR_Data[[#This Row],[YearsAtCompany]]&lt;=5,"3-5 Yrs",IF(HR_Data[[#This Row],[YearsAtCompany]]&lt;=10,"6-10 Yrs","10+ Yrs")))</f>
        <v>10+ Yrs</v>
      </c>
      <c r="AJ586" s="1">
        <f>IF(HR_Data[[#This Row],[YearsAtCompany]]&lt;=2,1,IF(HR_Data[[#This Row],[YearsAtCompany]]&lt;=5,2,IF(HR_Data[[#This Row],[YearsAtCompany]]&lt;=10,3,4)))</f>
        <v>4</v>
      </c>
      <c r="AK586" s="1" t="str">
        <f>CHOOSE(HR_Data[[#This Row],[Education]],"Below College","College","Bachelor","Master","Doctor")</f>
        <v>Bachelor</v>
      </c>
      <c r="AL586" s="1" t="str">
        <f>CHOOSE(HR_Data[[#This Row],[JobSatisfaction]],"Low","Medium","High","Very High")</f>
        <v>Very High</v>
      </c>
      <c r="AM586" s="1" t="str">
        <f>CHOOSE(HR_Data[[#This Row],[EnvironmentSatisfaction]],"Low","Medium","High","Very High")</f>
        <v>Medium</v>
      </c>
      <c r="AN586" s="1" t="str">
        <f>CHOOSE(HR_Data[[#This Row],[WorkLifeBalance]],"Bad","Good","Better","Best")</f>
        <v>Good</v>
      </c>
      <c r="AO586" s="1" t="str">
        <f>IF(HR_Data[[#This Row],[PercentSalaryHike]]&lt;=13,"11-13%",IF(HR_Data[[#This Row],[PercentSalaryHike]]&lt;=16,"14-16%",IF(HR_Data[[#This Row],[PercentSalaryHike]]&lt;=19,"17-19%","20-25%")))</f>
        <v>11-13%</v>
      </c>
      <c r="AP586" s="1">
        <f>IF(HR_Data[[#This Row],[PercentSalaryHike]]&lt;=13,1,IF(HR_Data[[#This Row],[PercentSalaryHike]]&lt;=16,2,IF(HR_Data[[#This Row],[PercentSalaryHike]]&lt;=19,3,4)))</f>
        <v>1</v>
      </c>
      <c r="AQ586" s="1" t="str">
        <f>IF(HR_Data[[#This Row],[DistanceFromHome]]&lt;=5,"1 to 5",IF(HR_Data[[#This Row],[DistanceFromHome]]&lt;=10,"6 to 10",IF(HR_Data[[#This Row],[DistanceFromHome]]&lt;=20,"11 to 20","21 to 29")))</f>
        <v>6 to 10</v>
      </c>
      <c r="AR586" s="1">
        <f>IF(HR_Data[[#This Row],[DistanceFromHome]]&lt;=5,1,IF(HR_Data[[#This Row],[DistanceFromHome]]&lt;=10,2,IF(HR_Data[[#This Row],[DistanceFromHome]]&lt;=20,3,4)))</f>
        <v>2</v>
      </c>
      <c r="AS586" s="1" t="str">
        <f>IF(HR_Data[[#This Row],[TotalWorkingYears]]&lt;=5,"0-5 Yrs",IF(HR_Data[[#This Row],[TotalWorkingYears]]&lt;=10,"6-10 Yrs",IF(HR_Data[[#This Row],[TotalWorkingYears]]&lt;=20,"11-20 Yrs","20+ Yrs")))</f>
        <v>20+ Yrs</v>
      </c>
      <c r="AT586" s="1">
        <f>IF(HR_Data[[#This Row],[TotalWorkingYears]]&lt;=5,1,IF(HR_Data[[#This Row],[TotalWorkingYears]]&lt;=10,2,IF(HR_Data[[#This Row],[TotalWorkingYears]]&lt;=20,3,4)))</f>
        <v>4</v>
      </c>
    </row>
    <row r="587" spans="1:46" x14ac:dyDescent="0.25">
      <c r="A587">
        <v>23</v>
      </c>
      <c r="B587" t="s">
        <v>29</v>
      </c>
      <c r="C587" t="s">
        <v>30</v>
      </c>
      <c r="D587" t="s">
        <v>38</v>
      </c>
      <c r="E587">
        <v>6</v>
      </c>
      <c r="F587">
        <v>3</v>
      </c>
      <c r="G587" t="s">
        <v>32</v>
      </c>
      <c r="H587">
        <v>811</v>
      </c>
      <c r="I587">
        <v>3</v>
      </c>
      <c r="J587" t="s">
        <v>39</v>
      </c>
      <c r="K587">
        <v>4</v>
      </c>
      <c r="L587">
        <v>1</v>
      </c>
      <c r="M587" t="s">
        <v>43</v>
      </c>
      <c r="N587">
        <v>1</v>
      </c>
      <c r="O587" t="s">
        <v>41</v>
      </c>
      <c r="P587">
        <v>1601</v>
      </c>
      <c r="Q587">
        <v>1</v>
      </c>
      <c r="R587" t="s">
        <v>29</v>
      </c>
      <c r="S587">
        <v>21</v>
      </c>
      <c r="T587">
        <v>4</v>
      </c>
      <c r="U587">
        <v>3</v>
      </c>
      <c r="V587">
        <v>2</v>
      </c>
      <c r="W587">
        <v>1</v>
      </c>
      <c r="X587">
        <v>2</v>
      </c>
      <c r="Y587">
        <v>3</v>
      </c>
      <c r="Z587">
        <v>0</v>
      </c>
      <c r="AA587">
        <v>0</v>
      </c>
      <c r="AB587">
        <v>0</v>
      </c>
      <c r="AC587">
        <v>0</v>
      </c>
      <c r="AD587">
        <f>IF(HR_Data[[#This Row],[Attrition]]="Yes",1,0)</f>
        <v>1</v>
      </c>
      <c r="AE587" t="str">
        <f>IF(HR_Data[[#This Row],[Age]]&lt;=25,"18-25",IF(HR_Data[[#This Row],[Age]]&lt;=35,"26-35",IF(HR_Data[[#This Row],[Age]]&lt;=45,"36-45",IF(HR_Data[[#This Row],[Age]]&lt;=55,"46-55","55+"))))</f>
        <v>18-25</v>
      </c>
      <c r="AF587">
        <f>IF(HR_Data[[#This Row],[Age]]&lt;=25,1,IF(HR_Data[[#This Row],[Age]]&lt;=35,2,IF(HR_Data[[#This Row],[Age]]&lt;=45,3,IF(HR_Data[[#This Row],[Age]]&lt;=55,4,5))))</f>
        <v>1</v>
      </c>
      <c r="AG587" s="1" t="str">
        <f>IF(HR_Data[[#This Row],[MonthlyIncome]]&lt;3000,"&lt;3K",IF(HR_Data[[#This Row],[MonthlyIncome]]&lt;6000,"3K-6K",IF(HR_Data[[#This Row],[MonthlyIncome]]&lt;10000,"6K-10K","10K+")))</f>
        <v>&lt;3K</v>
      </c>
      <c r="AH587" s="1">
        <f>IF(HR_Data[[#This Row],[MonthlyIncome]]&lt;3000,1,IF(HR_Data[[#This Row],[MonthlyIncome]]&lt;6000,2,IF(HR_Data[[#This Row],[MonthlyIncome]]&lt;10000,3,4)))</f>
        <v>1</v>
      </c>
      <c r="AI587" s="1" t="str">
        <f>IF(HR_Data[[#This Row],[YearsAtCompany]]&lt;=2,"0-2 Yrs",IF(HR_Data[[#This Row],[YearsAtCompany]]&lt;=5,"3-5 Yrs",IF(HR_Data[[#This Row],[YearsAtCompany]]&lt;=10,"6-10 Yrs","10+ Yrs")))</f>
        <v>0-2 Yrs</v>
      </c>
      <c r="AJ587" s="1">
        <f>IF(HR_Data[[#This Row],[YearsAtCompany]]&lt;=2,1,IF(HR_Data[[#This Row],[YearsAtCompany]]&lt;=5,2,IF(HR_Data[[#This Row],[YearsAtCompany]]&lt;=10,3,4)))</f>
        <v>1</v>
      </c>
      <c r="AK587" s="1" t="str">
        <f>CHOOSE(HR_Data[[#This Row],[Education]],"Below College","College","Bachelor","Master","Doctor")</f>
        <v>Bachelor</v>
      </c>
      <c r="AL587" s="1" t="str">
        <f>CHOOSE(HR_Data[[#This Row],[JobSatisfaction]],"Low","Medium","High","Very High")</f>
        <v>Low</v>
      </c>
      <c r="AM587" s="1" t="str">
        <f>CHOOSE(HR_Data[[#This Row],[EnvironmentSatisfaction]],"Low","Medium","High","Very High")</f>
        <v>High</v>
      </c>
      <c r="AN587" s="1" t="str">
        <f>CHOOSE(HR_Data[[#This Row],[WorkLifeBalance]],"Bad","Good","Better","Best")</f>
        <v>Better</v>
      </c>
      <c r="AO587" s="1" t="str">
        <f>IF(HR_Data[[#This Row],[PercentSalaryHike]]&lt;=13,"11-13%",IF(HR_Data[[#This Row],[PercentSalaryHike]]&lt;=16,"14-16%",IF(HR_Data[[#This Row],[PercentSalaryHike]]&lt;=19,"17-19%","20-25%")))</f>
        <v>20-25%</v>
      </c>
      <c r="AP587" s="1">
        <f>IF(HR_Data[[#This Row],[PercentSalaryHike]]&lt;=13,1,IF(HR_Data[[#This Row],[PercentSalaryHike]]&lt;=16,2,IF(HR_Data[[#This Row],[PercentSalaryHike]]&lt;=19,3,4)))</f>
        <v>4</v>
      </c>
      <c r="AQ587" s="1" t="str">
        <f>IF(HR_Data[[#This Row],[DistanceFromHome]]&lt;=5,"1 to 5",IF(HR_Data[[#This Row],[DistanceFromHome]]&lt;=10,"6 to 10",IF(HR_Data[[#This Row],[DistanceFromHome]]&lt;=20,"11 to 20","21 to 29")))</f>
        <v>6 to 10</v>
      </c>
      <c r="AR587" s="1">
        <f>IF(HR_Data[[#This Row],[DistanceFromHome]]&lt;=5,1,IF(HR_Data[[#This Row],[DistanceFromHome]]&lt;=10,2,IF(HR_Data[[#This Row],[DistanceFromHome]]&lt;=20,3,4)))</f>
        <v>2</v>
      </c>
      <c r="AS587" s="1" t="str">
        <f>IF(HR_Data[[#This Row],[TotalWorkingYears]]&lt;=5,"0-5 Yrs",IF(HR_Data[[#This Row],[TotalWorkingYears]]&lt;=10,"6-10 Yrs",IF(HR_Data[[#This Row],[TotalWorkingYears]]&lt;=20,"11-20 Yrs","20+ Yrs")))</f>
        <v>0-5 Yrs</v>
      </c>
      <c r="AT587" s="1">
        <f>IF(HR_Data[[#This Row],[TotalWorkingYears]]&lt;=5,1,IF(HR_Data[[#This Row],[TotalWorkingYears]]&lt;=10,2,IF(HR_Data[[#This Row],[TotalWorkingYears]]&lt;=20,3,4)))</f>
        <v>1</v>
      </c>
    </row>
    <row r="588" spans="1:46" x14ac:dyDescent="0.25">
      <c r="A588">
        <v>24</v>
      </c>
      <c r="B588" t="s">
        <v>36</v>
      </c>
      <c r="C588" t="s">
        <v>48</v>
      </c>
      <c r="D588" t="s">
        <v>38</v>
      </c>
      <c r="E588">
        <v>9</v>
      </c>
      <c r="F588">
        <v>3</v>
      </c>
      <c r="G588" t="s">
        <v>32</v>
      </c>
      <c r="H588">
        <v>812</v>
      </c>
      <c r="I588">
        <v>3</v>
      </c>
      <c r="J588" t="s">
        <v>39</v>
      </c>
      <c r="K588">
        <v>2</v>
      </c>
      <c r="L588">
        <v>1</v>
      </c>
      <c r="M588" t="s">
        <v>43</v>
      </c>
      <c r="N588">
        <v>2</v>
      </c>
      <c r="O588" t="s">
        <v>45</v>
      </c>
      <c r="P588">
        <v>2694</v>
      </c>
      <c r="Q588">
        <v>1</v>
      </c>
      <c r="R588" t="s">
        <v>36</v>
      </c>
      <c r="S588">
        <v>11</v>
      </c>
      <c r="T588">
        <v>3</v>
      </c>
      <c r="U588">
        <v>3</v>
      </c>
      <c r="V588">
        <v>3</v>
      </c>
      <c r="W588">
        <v>1</v>
      </c>
      <c r="X588">
        <v>4</v>
      </c>
      <c r="Y588">
        <v>3</v>
      </c>
      <c r="Z588">
        <v>1</v>
      </c>
      <c r="AA588">
        <v>0</v>
      </c>
      <c r="AB588">
        <v>0</v>
      </c>
      <c r="AC588">
        <v>0</v>
      </c>
      <c r="AD588">
        <f>IF(HR_Data[[#This Row],[Attrition]]="Yes",1,0)</f>
        <v>0</v>
      </c>
      <c r="AE588" t="str">
        <f>IF(HR_Data[[#This Row],[Age]]&lt;=25,"18-25",IF(HR_Data[[#This Row],[Age]]&lt;=35,"26-35",IF(HR_Data[[#This Row],[Age]]&lt;=45,"36-45",IF(HR_Data[[#This Row],[Age]]&lt;=55,"46-55","55+"))))</f>
        <v>18-25</v>
      </c>
      <c r="AF588">
        <f>IF(HR_Data[[#This Row],[Age]]&lt;=25,1,IF(HR_Data[[#This Row],[Age]]&lt;=35,2,IF(HR_Data[[#This Row],[Age]]&lt;=45,3,IF(HR_Data[[#This Row],[Age]]&lt;=55,4,5))))</f>
        <v>1</v>
      </c>
      <c r="AG588" s="1" t="str">
        <f>IF(HR_Data[[#This Row],[MonthlyIncome]]&lt;3000,"&lt;3K",IF(HR_Data[[#This Row],[MonthlyIncome]]&lt;6000,"3K-6K",IF(HR_Data[[#This Row],[MonthlyIncome]]&lt;10000,"6K-10K","10K+")))</f>
        <v>&lt;3K</v>
      </c>
      <c r="AH588" s="1">
        <f>IF(HR_Data[[#This Row],[MonthlyIncome]]&lt;3000,1,IF(HR_Data[[#This Row],[MonthlyIncome]]&lt;6000,2,IF(HR_Data[[#This Row],[MonthlyIncome]]&lt;10000,3,4)))</f>
        <v>1</v>
      </c>
      <c r="AI588" s="1" t="str">
        <f>IF(HR_Data[[#This Row],[YearsAtCompany]]&lt;=2,"0-2 Yrs",IF(HR_Data[[#This Row],[YearsAtCompany]]&lt;=5,"3-5 Yrs",IF(HR_Data[[#This Row],[YearsAtCompany]]&lt;=10,"6-10 Yrs","10+ Yrs")))</f>
        <v>0-2 Yrs</v>
      </c>
      <c r="AJ588" s="1">
        <f>IF(HR_Data[[#This Row],[YearsAtCompany]]&lt;=2,1,IF(HR_Data[[#This Row],[YearsAtCompany]]&lt;=5,2,IF(HR_Data[[#This Row],[YearsAtCompany]]&lt;=10,3,4)))</f>
        <v>1</v>
      </c>
      <c r="AK588" s="1" t="str">
        <f>CHOOSE(HR_Data[[#This Row],[Education]],"Below College","College","Bachelor","Master","Doctor")</f>
        <v>Bachelor</v>
      </c>
      <c r="AL588" s="1" t="str">
        <f>CHOOSE(HR_Data[[#This Row],[JobSatisfaction]],"Low","Medium","High","Very High")</f>
        <v>Medium</v>
      </c>
      <c r="AM588" s="1" t="str">
        <f>CHOOSE(HR_Data[[#This Row],[EnvironmentSatisfaction]],"Low","Medium","High","Very High")</f>
        <v>High</v>
      </c>
      <c r="AN588" s="1" t="str">
        <f>CHOOSE(HR_Data[[#This Row],[WorkLifeBalance]],"Bad","Good","Better","Best")</f>
        <v>Better</v>
      </c>
      <c r="AO588" s="1" t="str">
        <f>IF(HR_Data[[#This Row],[PercentSalaryHike]]&lt;=13,"11-13%",IF(HR_Data[[#This Row],[PercentSalaryHike]]&lt;=16,"14-16%",IF(HR_Data[[#This Row],[PercentSalaryHike]]&lt;=19,"17-19%","20-25%")))</f>
        <v>11-13%</v>
      </c>
      <c r="AP588" s="1">
        <f>IF(HR_Data[[#This Row],[PercentSalaryHike]]&lt;=13,1,IF(HR_Data[[#This Row],[PercentSalaryHike]]&lt;=16,2,IF(HR_Data[[#This Row],[PercentSalaryHike]]&lt;=19,3,4)))</f>
        <v>1</v>
      </c>
      <c r="AQ588" s="1" t="str">
        <f>IF(HR_Data[[#This Row],[DistanceFromHome]]&lt;=5,"1 to 5",IF(HR_Data[[#This Row],[DistanceFromHome]]&lt;=10,"6 to 10",IF(HR_Data[[#This Row],[DistanceFromHome]]&lt;=20,"11 to 20","21 to 29")))</f>
        <v>6 to 10</v>
      </c>
      <c r="AR588" s="1">
        <f>IF(HR_Data[[#This Row],[DistanceFromHome]]&lt;=5,1,IF(HR_Data[[#This Row],[DistanceFromHome]]&lt;=10,2,IF(HR_Data[[#This Row],[DistanceFromHome]]&lt;=20,3,4)))</f>
        <v>2</v>
      </c>
      <c r="AS588" s="1" t="str">
        <f>IF(HR_Data[[#This Row],[TotalWorkingYears]]&lt;=5,"0-5 Yrs",IF(HR_Data[[#This Row],[TotalWorkingYears]]&lt;=10,"6-10 Yrs",IF(HR_Data[[#This Row],[TotalWorkingYears]]&lt;=20,"11-20 Yrs","20+ Yrs")))</f>
        <v>0-5 Yrs</v>
      </c>
      <c r="AT588" s="1">
        <f>IF(HR_Data[[#This Row],[TotalWorkingYears]]&lt;=5,1,IF(HR_Data[[#This Row],[TotalWorkingYears]]&lt;=10,2,IF(HR_Data[[#This Row],[TotalWorkingYears]]&lt;=20,3,4)))</f>
        <v>1</v>
      </c>
    </row>
    <row r="589" spans="1:46" x14ac:dyDescent="0.25">
      <c r="A589">
        <v>52</v>
      </c>
      <c r="B589" t="s">
        <v>36</v>
      </c>
      <c r="C589" t="s">
        <v>30</v>
      </c>
      <c r="D589" t="s">
        <v>38</v>
      </c>
      <c r="E589">
        <v>11</v>
      </c>
      <c r="F589">
        <v>4</v>
      </c>
      <c r="G589" t="s">
        <v>32</v>
      </c>
      <c r="H589">
        <v>813</v>
      </c>
      <c r="I589">
        <v>4</v>
      </c>
      <c r="J589" t="s">
        <v>33</v>
      </c>
      <c r="K589">
        <v>3</v>
      </c>
      <c r="L589">
        <v>2</v>
      </c>
      <c r="M589" t="s">
        <v>43</v>
      </c>
      <c r="N589">
        <v>3</v>
      </c>
      <c r="O589" t="s">
        <v>41</v>
      </c>
      <c r="P589">
        <v>3149</v>
      </c>
      <c r="Q589">
        <v>8</v>
      </c>
      <c r="R589" t="s">
        <v>36</v>
      </c>
      <c r="S589">
        <v>20</v>
      </c>
      <c r="T589">
        <v>4</v>
      </c>
      <c r="U589">
        <v>2</v>
      </c>
      <c r="V589">
        <v>1</v>
      </c>
      <c r="W589">
        <v>9</v>
      </c>
      <c r="X589">
        <v>3</v>
      </c>
      <c r="Y589">
        <v>3</v>
      </c>
      <c r="Z589">
        <v>5</v>
      </c>
      <c r="AA589">
        <v>2</v>
      </c>
      <c r="AB589">
        <v>1</v>
      </c>
      <c r="AC589">
        <v>4</v>
      </c>
      <c r="AD589">
        <f>IF(HR_Data[[#This Row],[Attrition]]="Yes",1,0)</f>
        <v>0</v>
      </c>
      <c r="AE589" t="str">
        <f>IF(HR_Data[[#This Row],[Age]]&lt;=25,"18-25",IF(HR_Data[[#This Row],[Age]]&lt;=35,"26-35",IF(HR_Data[[#This Row],[Age]]&lt;=45,"36-45",IF(HR_Data[[#This Row],[Age]]&lt;=55,"46-55","55+"))))</f>
        <v>46-55</v>
      </c>
      <c r="AF589">
        <f>IF(HR_Data[[#This Row],[Age]]&lt;=25,1,IF(HR_Data[[#This Row],[Age]]&lt;=35,2,IF(HR_Data[[#This Row],[Age]]&lt;=45,3,IF(HR_Data[[#This Row],[Age]]&lt;=55,4,5))))</f>
        <v>4</v>
      </c>
      <c r="AG589" s="1" t="str">
        <f>IF(HR_Data[[#This Row],[MonthlyIncome]]&lt;3000,"&lt;3K",IF(HR_Data[[#This Row],[MonthlyIncome]]&lt;6000,"3K-6K",IF(HR_Data[[#This Row],[MonthlyIncome]]&lt;10000,"6K-10K","10K+")))</f>
        <v>3K-6K</v>
      </c>
      <c r="AH589" s="1">
        <f>IF(HR_Data[[#This Row],[MonthlyIncome]]&lt;3000,1,IF(HR_Data[[#This Row],[MonthlyIncome]]&lt;6000,2,IF(HR_Data[[#This Row],[MonthlyIncome]]&lt;10000,3,4)))</f>
        <v>2</v>
      </c>
      <c r="AI589" s="1" t="str">
        <f>IF(HR_Data[[#This Row],[YearsAtCompany]]&lt;=2,"0-2 Yrs",IF(HR_Data[[#This Row],[YearsAtCompany]]&lt;=5,"3-5 Yrs",IF(HR_Data[[#This Row],[YearsAtCompany]]&lt;=10,"6-10 Yrs","10+ Yrs")))</f>
        <v>3-5 Yrs</v>
      </c>
      <c r="AJ589" s="1">
        <f>IF(HR_Data[[#This Row],[YearsAtCompany]]&lt;=2,1,IF(HR_Data[[#This Row],[YearsAtCompany]]&lt;=5,2,IF(HR_Data[[#This Row],[YearsAtCompany]]&lt;=10,3,4)))</f>
        <v>2</v>
      </c>
      <c r="AK589" s="1" t="str">
        <f>CHOOSE(HR_Data[[#This Row],[Education]],"Below College","College","Bachelor","Master","Doctor")</f>
        <v>Master</v>
      </c>
      <c r="AL589" s="1" t="str">
        <f>CHOOSE(HR_Data[[#This Row],[JobSatisfaction]],"Low","Medium","High","Very High")</f>
        <v>High</v>
      </c>
      <c r="AM589" s="1" t="str">
        <f>CHOOSE(HR_Data[[#This Row],[EnvironmentSatisfaction]],"Low","Medium","High","Very High")</f>
        <v>Very High</v>
      </c>
      <c r="AN589" s="1" t="str">
        <f>CHOOSE(HR_Data[[#This Row],[WorkLifeBalance]],"Bad","Good","Better","Best")</f>
        <v>Better</v>
      </c>
      <c r="AO589" s="1" t="str">
        <f>IF(HR_Data[[#This Row],[PercentSalaryHike]]&lt;=13,"11-13%",IF(HR_Data[[#This Row],[PercentSalaryHike]]&lt;=16,"14-16%",IF(HR_Data[[#This Row],[PercentSalaryHike]]&lt;=19,"17-19%","20-25%")))</f>
        <v>20-25%</v>
      </c>
      <c r="AP589" s="1">
        <f>IF(HR_Data[[#This Row],[PercentSalaryHike]]&lt;=13,1,IF(HR_Data[[#This Row],[PercentSalaryHike]]&lt;=16,2,IF(HR_Data[[#This Row],[PercentSalaryHike]]&lt;=19,3,4)))</f>
        <v>4</v>
      </c>
      <c r="AQ589" s="1" t="str">
        <f>IF(HR_Data[[#This Row],[DistanceFromHome]]&lt;=5,"1 to 5",IF(HR_Data[[#This Row],[DistanceFromHome]]&lt;=10,"6 to 10",IF(HR_Data[[#This Row],[DistanceFromHome]]&lt;=20,"11 to 20","21 to 29")))</f>
        <v>11 to 20</v>
      </c>
      <c r="AR589" s="1">
        <f>IF(HR_Data[[#This Row],[DistanceFromHome]]&lt;=5,1,IF(HR_Data[[#This Row],[DistanceFromHome]]&lt;=10,2,IF(HR_Data[[#This Row],[DistanceFromHome]]&lt;=20,3,4)))</f>
        <v>3</v>
      </c>
      <c r="AS589" s="1" t="str">
        <f>IF(HR_Data[[#This Row],[TotalWorkingYears]]&lt;=5,"0-5 Yrs",IF(HR_Data[[#This Row],[TotalWorkingYears]]&lt;=10,"6-10 Yrs",IF(HR_Data[[#This Row],[TotalWorkingYears]]&lt;=20,"11-20 Yrs","20+ Yrs")))</f>
        <v>6-10 Yrs</v>
      </c>
      <c r="AT589" s="1">
        <f>IF(HR_Data[[#This Row],[TotalWorkingYears]]&lt;=5,1,IF(HR_Data[[#This Row],[TotalWorkingYears]]&lt;=10,2,IF(HR_Data[[#This Row],[TotalWorkingYears]]&lt;=20,3,4)))</f>
        <v>2</v>
      </c>
    </row>
    <row r="590" spans="1:46" x14ac:dyDescent="0.25">
      <c r="A590">
        <v>50</v>
      </c>
      <c r="B590" t="s">
        <v>36</v>
      </c>
      <c r="C590" t="s">
        <v>30</v>
      </c>
      <c r="D590" t="s">
        <v>38</v>
      </c>
      <c r="E590">
        <v>2</v>
      </c>
      <c r="F590">
        <v>3</v>
      </c>
      <c r="G590" t="s">
        <v>44</v>
      </c>
      <c r="H590">
        <v>815</v>
      </c>
      <c r="I590">
        <v>3</v>
      </c>
      <c r="J590" t="s">
        <v>39</v>
      </c>
      <c r="K590">
        <v>3</v>
      </c>
      <c r="L590">
        <v>4</v>
      </c>
      <c r="M590" t="s">
        <v>51</v>
      </c>
      <c r="N590">
        <v>3</v>
      </c>
      <c r="O590" t="s">
        <v>41</v>
      </c>
      <c r="P590">
        <v>17639</v>
      </c>
      <c r="Q590">
        <v>5</v>
      </c>
      <c r="R590" t="s">
        <v>36</v>
      </c>
      <c r="S590">
        <v>16</v>
      </c>
      <c r="T590">
        <v>3</v>
      </c>
      <c r="U590">
        <v>4</v>
      </c>
      <c r="V590">
        <v>0</v>
      </c>
      <c r="W590">
        <v>30</v>
      </c>
      <c r="X590">
        <v>3</v>
      </c>
      <c r="Y590">
        <v>3</v>
      </c>
      <c r="Z590">
        <v>4</v>
      </c>
      <c r="AA590">
        <v>3</v>
      </c>
      <c r="AB590">
        <v>0</v>
      </c>
      <c r="AC590">
        <v>3</v>
      </c>
      <c r="AD590">
        <f>IF(HR_Data[[#This Row],[Attrition]]="Yes",1,0)</f>
        <v>0</v>
      </c>
      <c r="AE590" t="str">
        <f>IF(HR_Data[[#This Row],[Age]]&lt;=25,"18-25",IF(HR_Data[[#This Row],[Age]]&lt;=35,"26-35",IF(HR_Data[[#This Row],[Age]]&lt;=45,"36-45",IF(HR_Data[[#This Row],[Age]]&lt;=55,"46-55","55+"))))</f>
        <v>46-55</v>
      </c>
      <c r="AF590">
        <f>IF(HR_Data[[#This Row],[Age]]&lt;=25,1,IF(HR_Data[[#This Row],[Age]]&lt;=35,2,IF(HR_Data[[#This Row],[Age]]&lt;=45,3,IF(HR_Data[[#This Row],[Age]]&lt;=55,4,5))))</f>
        <v>4</v>
      </c>
      <c r="AG590" s="1" t="str">
        <f>IF(HR_Data[[#This Row],[MonthlyIncome]]&lt;3000,"&lt;3K",IF(HR_Data[[#This Row],[MonthlyIncome]]&lt;6000,"3K-6K",IF(HR_Data[[#This Row],[MonthlyIncome]]&lt;10000,"6K-10K","10K+")))</f>
        <v>10K+</v>
      </c>
      <c r="AH590" s="1">
        <f>IF(HR_Data[[#This Row],[MonthlyIncome]]&lt;3000,1,IF(HR_Data[[#This Row],[MonthlyIncome]]&lt;6000,2,IF(HR_Data[[#This Row],[MonthlyIncome]]&lt;10000,3,4)))</f>
        <v>4</v>
      </c>
      <c r="AI590" s="1" t="str">
        <f>IF(HR_Data[[#This Row],[YearsAtCompany]]&lt;=2,"0-2 Yrs",IF(HR_Data[[#This Row],[YearsAtCompany]]&lt;=5,"3-5 Yrs",IF(HR_Data[[#This Row],[YearsAtCompany]]&lt;=10,"6-10 Yrs","10+ Yrs")))</f>
        <v>3-5 Yrs</v>
      </c>
      <c r="AJ590" s="1">
        <f>IF(HR_Data[[#This Row],[YearsAtCompany]]&lt;=2,1,IF(HR_Data[[#This Row],[YearsAtCompany]]&lt;=5,2,IF(HR_Data[[#This Row],[YearsAtCompany]]&lt;=10,3,4)))</f>
        <v>2</v>
      </c>
      <c r="AK590" s="1" t="str">
        <f>CHOOSE(HR_Data[[#This Row],[Education]],"Below College","College","Bachelor","Master","Doctor")</f>
        <v>Bachelor</v>
      </c>
      <c r="AL590" s="1" t="str">
        <f>CHOOSE(HR_Data[[#This Row],[JobSatisfaction]],"Low","Medium","High","Very High")</f>
        <v>High</v>
      </c>
      <c r="AM590" s="1" t="str">
        <f>CHOOSE(HR_Data[[#This Row],[EnvironmentSatisfaction]],"Low","Medium","High","Very High")</f>
        <v>High</v>
      </c>
      <c r="AN590" s="1" t="str">
        <f>CHOOSE(HR_Data[[#This Row],[WorkLifeBalance]],"Bad","Good","Better","Best")</f>
        <v>Better</v>
      </c>
      <c r="AO590" s="1" t="str">
        <f>IF(HR_Data[[#This Row],[PercentSalaryHike]]&lt;=13,"11-13%",IF(HR_Data[[#This Row],[PercentSalaryHike]]&lt;=16,"14-16%",IF(HR_Data[[#This Row],[PercentSalaryHike]]&lt;=19,"17-19%","20-25%")))</f>
        <v>14-16%</v>
      </c>
      <c r="AP590" s="1">
        <f>IF(HR_Data[[#This Row],[PercentSalaryHike]]&lt;=13,1,IF(HR_Data[[#This Row],[PercentSalaryHike]]&lt;=16,2,IF(HR_Data[[#This Row],[PercentSalaryHike]]&lt;=19,3,4)))</f>
        <v>2</v>
      </c>
      <c r="AQ590" s="1" t="str">
        <f>IF(HR_Data[[#This Row],[DistanceFromHome]]&lt;=5,"1 to 5",IF(HR_Data[[#This Row],[DistanceFromHome]]&lt;=10,"6 to 10",IF(HR_Data[[#This Row],[DistanceFromHome]]&lt;=20,"11 to 20","21 to 29")))</f>
        <v>1 to 5</v>
      </c>
      <c r="AR590" s="1">
        <f>IF(HR_Data[[#This Row],[DistanceFromHome]]&lt;=5,1,IF(HR_Data[[#This Row],[DistanceFromHome]]&lt;=10,2,IF(HR_Data[[#This Row],[DistanceFromHome]]&lt;=20,3,4)))</f>
        <v>1</v>
      </c>
      <c r="AS590" s="1" t="str">
        <f>IF(HR_Data[[#This Row],[TotalWorkingYears]]&lt;=5,"0-5 Yrs",IF(HR_Data[[#This Row],[TotalWorkingYears]]&lt;=10,"6-10 Yrs",IF(HR_Data[[#This Row],[TotalWorkingYears]]&lt;=20,"11-20 Yrs","20+ Yrs")))</f>
        <v>20+ Yrs</v>
      </c>
      <c r="AT590" s="1">
        <f>IF(HR_Data[[#This Row],[TotalWorkingYears]]&lt;=5,1,IF(HR_Data[[#This Row],[TotalWorkingYears]]&lt;=10,2,IF(HR_Data[[#This Row],[TotalWorkingYears]]&lt;=20,3,4)))</f>
        <v>4</v>
      </c>
    </row>
    <row r="591" spans="1:46" x14ac:dyDescent="0.25">
      <c r="A591">
        <v>29</v>
      </c>
      <c r="B591" t="s">
        <v>29</v>
      </c>
      <c r="C591" t="s">
        <v>30</v>
      </c>
      <c r="D591" t="s">
        <v>38</v>
      </c>
      <c r="E591">
        <v>1</v>
      </c>
      <c r="F591">
        <v>2</v>
      </c>
      <c r="G591" t="s">
        <v>32</v>
      </c>
      <c r="H591">
        <v>816</v>
      </c>
      <c r="I591">
        <v>2</v>
      </c>
      <c r="J591" t="s">
        <v>33</v>
      </c>
      <c r="K591">
        <v>2</v>
      </c>
      <c r="L591">
        <v>1</v>
      </c>
      <c r="M591" t="s">
        <v>43</v>
      </c>
      <c r="N591">
        <v>1</v>
      </c>
      <c r="O591" t="s">
        <v>41</v>
      </c>
      <c r="P591">
        <v>2319</v>
      </c>
      <c r="Q591">
        <v>1</v>
      </c>
      <c r="R591" t="s">
        <v>29</v>
      </c>
      <c r="S591">
        <v>11</v>
      </c>
      <c r="T591">
        <v>3</v>
      </c>
      <c r="U591">
        <v>4</v>
      </c>
      <c r="V591">
        <v>1</v>
      </c>
      <c r="W591">
        <v>1</v>
      </c>
      <c r="X591">
        <v>1</v>
      </c>
      <c r="Y591">
        <v>3</v>
      </c>
      <c r="Z591">
        <v>1</v>
      </c>
      <c r="AA591">
        <v>0</v>
      </c>
      <c r="AB591">
        <v>0</v>
      </c>
      <c r="AC591">
        <v>0</v>
      </c>
      <c r="AD591">
        <f>IF(HR_Data[[#This Row],[Attrition]]="Yes",1,0)</f>
        <v>1</v>
      </c>
      <c r="AE591" t="str">
        <f>IF(HR_Data[[#This Row],[Age]]&lt;=25,"18-25",IF(HR_Data[[#This Row],[Age]]&lt;=35,"26-35",IF(HR_Data[[#This Row],[Age]]&lt;=45,"36-45",IF(HR_Data[[#This Row],[Age]]&lt;=55,"46-55","55+"))))</f>
        <v>26-35</v>
      </c>
      <c r="AF591">
        <f>IF(HR_Data[[#This Row],[Age]]&lt;=25,1,IF(HR_Data[[#This Row],[Age]]&lt;=35,2,IF(HR_Data[[#This Row],[Age]]&lt;=45,3,IF(HR_Data[[#This Row],[Age]]&lt;=55,4,5))))</f>
        <v>2</v>
      </c>
      <c r="AG591" s="1" t="str">
        <f>IF(HR_Data[[#This Row],[MonthlyIncome]]&lt;3000,"&lt;3K",IF(HR_Data[[#This Row],[MonthlyIncome]]&lt;6000,"3K-6K",IF(HR_Data[[#This Row],[MonthlyIncome]]&lt;10000,"6K-10K","10K+")))</f>
        <v>&lt;3K</v>
      </c>
      <c r="AH591" s="1">
        <f>IF(HR_Data[[#This Row],[MonthlyIncome]]&lt;3000,1,IF(HR_Data[[#This Row],[MonthlyIncome]]&lt;6000,2,IF(HR_Data[[#This Row],[MonthlyIncome]]&lt;10000,3,4)))</f>
        <v>1</v>
      </c>
      <c r="AI591" s="1" t="str">
        <f>IF(HR_Data[[#This Row],[YearsAtCompany]]&lt;=2,"0-2 Yrs",IF(HR_Data[[#This Row],[YearsAtCompany]]&lt;=5,"3-5 Yrs",IF(HR_Data[[#This Row],[YearsAtCompany]]&lt;=10,"6-10 Yrs","10+ Yrs")))</f>
        <v>0-2 Yrs</v>
      </c>
      <c r="AJ591" s="1">
        <f>IF(HR_Data[[#This Row],[YearsAtCompany]]&lt;=2,1,IF(HR_Data[[#This Row],[YearsAtCompany]]&lt;=5,2,IF(HR_Data[[#This Row],[YearsAtCompany]]&lt;=10,3,4)))</f>
        <v>1</v>
      </c>
      <c r="AK591" s="1" t="str">
        <f>CHOOSE(HR_Data[[#This Row],[Education]],"Below College","College","Bachelor","Master","Doctor")</f>
        <v>College</v>
      </c>
      <c r="AL591" s="1" t="str">
        <f>CHOOSE(HR_Data[[#This Row],[JobSatisfaction]],"Low","Medium","High","Very High")</f>
        <v>Low</v>
      </c>
      <c r="AM591" s="1" t="str">
        <f>CHOOSE(HR_Data[[#This Row],[EnvironmentSatisfaction]],"Low","Medium","High","Very High")</f>
        <v>Medium</v>
      </c>
      <c r="AN591" s="1" t="str">
        <f>CHOOSE(HR_Data[[#This Row],[WorkLifeBalance]],"Bad","Good","Better","Best")</f>
        <v>Better</v>
      </c>
      <c r="AO591" s="1" t="str">
        <f>IF(HR_Data[[#This Row],[PercentSalaryHike]]&lt;=13,"11-13%",IF(HR_Data[[#This Row],[PercentSalaryHike]]&lt;=16,"14-16%",IF(HR_Data[[#This Row],[PercentSalaryHike]]&lt;=19,"17-19%","20-25%")))</f>
        <v>11-13%</v>
      </c>
      <c r="AP591" s="1">
        <f>IF(HR_Data[[#This Row],[PercentSalaryHike]]&lt;=13,1,IF(HR_Data[[#This Row],[PercentSalaryHike]]&lt;=16,2,IF(HR_Data[[#This Row],[PercentSalaryHike]]&lt;=19,3,4)))</f>
        <v>1</v>
      </c>
      <c r="AQ591" s="1" t="str">
        <f>IF(HR_Data[[#This Row],[DistanceFromHome]]&lt;=5,"1 to 5",IF(HR_Data[[#This Row],[DistanceFromHome]]&lt;=10,"6 to 10",IF(HR_Data[[#This Row],[DistanceFromHome]]&lt;=20,"11 to 20","21 to 29")))</f>
        <v>1 to 5</v>
      </c>
      <c r="AR591" s="1">
        <f>IF(HR_Data[[#This Row],[DistanceFromHome]]&lt;=5,1,IF(HR_Data[[#This Row],[DistanceFromHome]]&lt;=10,2,IF(HR_Data[[#This Row],[DistanceFromHome]]&lt;=20,3,4)))</f>
        <v>1</v>
      </c>
      <c r="AS591" s="1" t="str">
        <f>IF(HR_Data[[#This Row],[TotalWorkingYears]]&lt;=5,"0-5 Yrs",IF(HR_Data[[#This Row],[TotalWorkingYears]]&lt;=10,"6-10 Yrs",IF(HR_Data[[#This Row],[TotalWorkingYears]]&lt;=20,"11-20 Yrs","20+ Yrs")))</f>
        <v>0-5 Yrs</v>
      </c>
      <c r="AT591" s="1">
        <f>IF(HR_Data[[#This Row],[TotalWorkingYears]]&lt;=5,1,IF(HR_Data[[#This Row],[TotalWorkingYears]]&lt;=10,2,IF(HR_Data[[#This Row],[TotalWorkingYears]]&lt;=20,3,4)))</f>
        <v>1</v>
      </c>
    </row>
    <row r="592" spans="1:46" x14ac:dyDescent="0.25">
      <c r="A592">
        <v>33</v>
      </c>
      <c r="B592" t="s">
        <v>36</v>
      </c>
      <c r="C592" t="s">
        <v>30</v>
      </c>
      <c r="D592" t="s">
        <v>38</v>
      </c>
      <c r="E592">
        <v>7</v>
      </c>
      <c r="F592">
        <v>3</v>
      </c>
      <c r="G592" t="s">
        <v>44</v>
      </c>
      <c r="H592">
        <v>817</v>
      </c>
      <c r="I592">
        <v>3</v>
      </c>
      <c r="J592" t="s">
        <v>39</v>
      </c>
      <c r="K592">
        <v>3</v>
      </c>
      <c r="L592">
        <v>3</v>
      </c>
      <c r="M592" t="s">
        <v>51</v>
      </c>
      <c r="N592">
        <v>3</v>
      </c>
      <c r="O592" t="s">
        <v>41</v>
      </c>
      <c r="P592">
        <v>11691</v>
      </c>
      <c r="Q592">
        <v>0</v>
      </c>
      <c r="R592" t="s">
        <v>36</v>
      </c>
      <c r="S592">
        <v>11</v>
      </c>
      <c r="T592">
        <v>3</v>
      </c>
      <c r="U592">
        <v>4</v>
      </c>
      <c r="V592">
        <v>0</v>
      </c>
      <c r="W592">
        <v>14</v>
      </c>
      <c r="X592">
        <v>3</v>
      </c>
      <c r="Y592">
        <v>4</v>
      </c>
      <c r="Z592">
        <v>13</v>
      </c>
      <c r="AA592">
        <v>9</v>
      </c>
      <c r="AB592">
        <v>3</v>
      </c>
      <c r="AC592">
        <v>7</v>
      </c>
      <c r="AD592">
        <f>IF(HR_Data[[#This Row],[Attrition]]="Yes",1,0)</f>
        <v>0</v>
      </c>
      <c r="AE592" t="str">
        <f>IF(HR_Data[[#This Row],[Age]]&lt;=25,"18-25",IF(HR_Data[[#This Row],[Age]]&lt;=35,"26-35",IF(HR_Data[[#This Row],[Age]]&lt;=45,"36-45",IF(HR_Data[[#This Row],[Age]]&lt;=55,"46-55","55+"))))</f>
        <v>26-35</v>
      </c>
      <c r="AF592">
        <f>IF(HR_Data[[#This Row],[Age]]&lt;=25,1,IF(HR_Data[[#This Row],[Age]]&lt;=35,2,IF(HR_Data[[#This Row],[Age]]&lt;=45,3,IF(HR_Data[[#This Row],[Age]]&lt;=55,4,5))))</f>
        <v>2</v>
      </c>
      <c r="AG592" s="1" t="str">
        <f>IF(HR_Data[[#This Row],[MonthlyIncome]]&lt;3000,"&lt;3K",IF(HR_Data[[#This Row],[MonthlyIncome]]&lt;6000,"3K-6K",IF(HR_Data[[#This Row],[MonthlyIncome]]&lt;10000,"6K-10K","10K+")))</f>
        <v>10K+</v>
      </c>
      <c r="AH592" s="1">
        <f>IF(HR_Data[[#This Row],[MonthlyIncome]]&lt;3000,1,IF(HR_Data[[#This Row],[MonthlyIncome]]&lt;6000,2,IF(HR_Data[[#This Row],[MonthlyIncome]]&lt;10000,3,4)))</f>
        <v>4</v>
      </c>
      <c r="AI592" s="1" t="str">
        <f>IF(HR_Data[[#This Row],[YearsAtCompany]]&lt;=2,"0-2 Yrs",IF(HR_Data[[#This Row],[YearsAtCompany]]&lt;=5,"3-5 Yrs",IF(HR_Data[[#This Row],[YearsAtCompany]]&lt;=10,"6-10 Yrs","10+ Yrs")))</f>
        <v>10+ Yrs</v>
      </c>
      <c r="AJ592" s="1">
        <f>IF(HR_Data[[#This Row],[YearsAtCompany]]&lt;=2,1,IF(HR_Data[[#This Row],[YearsAtCompany]]&lt;=5,2,IF(HR_Data[[#This Row],[YearsAtCompany]]&lt;=10,3,4)))</f>
        <v>4</v>
      </c>
      <c r="AK592" s="1" t="str">
        <f>CHOOSE(HR_Data[[#This Row],[Education]],"Below College","College","Bachelor","Master","Doctor")</f>
        <v>Bachelor</v>
      </c>
      <c r="AL592" s="1" t="str">
        <f>CHOOSE(HR_Data[[#This Row],[JobSatisfaction]],"Low","Medium","High","Very High")</f>
        <v>High</v>
      </c>
      <c r="AM592" s="1" t="str">
        <f>CHOOSE(HR_Data[[#This Row],[EnvironmentSatisfaction]],"Low","Medium","High","Very High")</f>
        <v>High</v>
      </c>
      <c r="AN592" s="1" t="str">
        <f>CHOOSE(HR_Data[[#This Row],[WorkLifeBalance]],"Bad","Good","Better","Best")</f>
        <v>Best</v>
      </c>
      <c r="AO592" s="1" t="str">
        <f>IF(HR_Data[[#This Row],[PercentSalaryHike]]&lt;=13,"11-13%",IF(HR_Data[[#This Row],[PercentSalaryHike]]&lt;=16,"14-16%",IF(HR_Data[[#This Row],[PercentSalaryHike]]&lt;=19,"17-19%","20-25%")))</f>
        <v>11-13%</v>
      </c>
      <c r="AP592" s="1">
        <f>IF(HR_Data[[#This Row],[PercentSalaryHike]]&lt;=13,1,IF(HR_Data[[#This Row],[PercentSalaryHike]]&lt;=16,2,IF(HR_Data[[#This Row],[PercentSalaryHike]]&lt;=19,3,4)))</f>
        <v>1</v>
      </c>
      <c r="AQ592" s="1" t="str">
        <f>IF(HR_Data[[#This Row],[DistanceFromHome]]&lt;=5,"1 to 5",IF(HR_Data[[#This Row],[DistanceFromHome]]&lt;=10,"6 to 10",IF(HR_Data[[#This Row],[DistanceFromHome]]&lt;=20,"11 to 20","21 to 29")))</f>
        <v>6 to 10</v>
      </c>
      <c r="AR592" s="1">
        <f>IF(HR_Data[[#This Row],[DistanceFromHome]]&lt;=5,1,IF(HR_Data[[#This Row],[DistanceFromHome]]&lt;=10,2,IF(HR_Data[[#This Row],[DistanceFromHome]]&lt;=20,3,4)))</f>
        <v>2</v>
      </c>
      <c r="AS592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592" s="1">
        <f>IF(HR_Data[[#This Row],[TotalWorkingYears]]&lt;=5,1,IF(HR_Data[[#This Row],[TotalWorkingYears]]&lt;=10,2,IF(HR_Data[[#This Row],[TotalWorkingYears]]&lt;=20,3,4)))</f>
        <v>3</v>
      </c>
    </row>
    <row r="593" spans="1:46" x14ac:dyDescent="0.25">
      <c r="A593">
        <v>33</v>
      </c>
      <c r="B593" t="s">
        <v>29</v>
      </c>
      <c r="C593" t="s">
        <v>30</v>
      </c>
      <c r="D593" t="s">
        <v>31</v>
      </c>
      <c r="E593">
        <v>16</v>
      </c>
      <c r="F593">
        <v>3</v>
      </c>
      <c r="G593" t="s">
        <v>52</v>
      </c>
      <c r="H593">
        <v>819</v>
      </c>
      <c r="I593">
        <v>1</v>
      </c>
      <c r="J593" t="s">
        <v>33</v>
      </c>
      <c r="K593">
        <v>3</v>
      </c>
      <c r="L593">
        <v>2</v>
      </c>
      <c r="M593" t="s">
        <v>34</v>
      </c>
      <c r="N593">
        <v>1</v>
      </c>
      <c r="O593" t="s">
        <v>35</v>
      </c>
      <c r="P593">
        <v>5324</v>
      </c>
      <c r="Q593">
        <v>5</v>
      </c>
      <c r="R593" t="s">
        <v>36</v>
      </c>
      <c r="S593">
        <v>15</v>
      </c>
      <c r="T593">
        <v>3</v>
      </c>
      <c r="U593">
        <v>3</v>
      </c>
      <c r="V593">
        <v>0</v>
      </c>
      <c r="W593">
        <v>6</v>
      </c>
      <c r="X593">
        <v>3</v>
      </c>
      <c r="Y593">
        <v>3</v>
      </c>
      <c r="Z593">
        <v>3</v>
      </c>
      <c r="AA593">
        <v>2</v>
      </c>
      <c r="AB593">
        <v>0</v>
      </c>
      <c r="AC593">
        <v>2</v>
      </c>
      <c r="AD593">
        <f>IF(HR_Data[[#This Row],[Attrition]]="Yes",1,0)</f>
        <v>1</v>
      </c>
      <c r="AE593" t="str">
        <f>IF(HR_Data[[#This Row],[Age]]&lt;=25,"18-25",IF(HR_Data[[#This Row],[Age]]&lt;=35,"26-35",IF(HR_Data[[#This Row],[Age]]&lt;=45,"36-45",IF(HR_Data[[#This Row],[Age]]&lt;=55,"46-55","55+"))))</f>
        <v>26-35</v>
      </c>
      <c r="AF593">
        <f>IF(HR_Data[[#This Row],[Age]]&lt;=25,1,IF(HR_Data[[#This Row],[Age]]&lt;=35,2,IF(HR_Data[[#This Row],[Age]]&lt;=45,3,IF(HR_Data[[#This Row],[Age]]&lt;=55,4,5))))</f>
        <v>2</v>
      </c>
      <c r="AG593" s="1" t="str">
        <f>IF(HR_Data[[#This Row],[MonthlyIncome]]&lt;3000,"&lt;3K",IF(HR_Data[[#This Row],[MonthlyIncome]]&lt;6000,"3K-6K",IF(HR_Data[[#This Row],[MonthlyIncome]]&lt;10000,"6K-10K","10K+")))</f>
        <v>3K-6K</v>
      </c>
      <c r="AH593" s="1">
        <f>IF(HR_Data[[#This Row],[MonthlyIncome]]&lt;3000,1,IF(HR_Data[[#This Row],[MonthlyIncome]]&lt;6000,2,IF(HR_Data[[#This Row],[MonthlyIncome]]&lt;10000,3,4)))</f>
        <v>2</v>
      </c>
      <c r="AI593" s="1" t="str">
        <f>IF(HR_Data[[#This Row],[YearsAtCompany]]&lt;=2,"0-2 Yrs",IF(HR_Data[[#This Row],[YearsAtCompany]]&lt;=5,"3-5 Yrs",IF(HR_Data[[#This Row],[YearsAtCompany]]&lt;=10,"6-10 Yrs","10+ Yrs")))</f>
        <v>3-5 Yrs</v>
      </c>
      <c r="AJ593" s="1">
        <f>IF(HR_Data[[#This Row],[YearsAtCompany]]&lt;=2,1,IF(HR_Data[[#This Row],[YearsAtCompany]]&lt;=5,2,IF(HR_Data[[#This Row],[YearsAtCompany]]&lt;=10,3,4)))</f>
        <v>2</v>
      </c>
      <c r="AK593" s="1" t="str">
        <f>CHOOSE(HR_Data[[#This Row],[Education]],"Below College","College","Bachelor","Master","Doctor")</f>
        <v>Bachelor</v>
      </c>
      <c r="AL593" s="1" t="str">
        <f>CHOOSE(HR_Data[[#This Row],[JobSatisfaction]],"Low","Medium","High","Very High")</f>
        <v>Low</v>
      </c>
      <c r="AM593" s="1" t="str">
        <f>CHOOSE(HR_Data[[#This Row],[EnvironmentSatisfaction]],"Low","Medium","High","Very High")</f>
        <v>Low</v>
      </c>
      <c r="AN593" s="1" t="str">
        <f>CHOOSE(HR_Data[[#This Row],[WorkLifeBalance]],"Bad","Good","Better","Best")</f>
        <v>Better</v>
      </c>
      <c r="AO593" s="1" t="str">
        <f>IF(HR_Data[[#This Row],[PercentSalaryHike]]&lt;=13,"11-13%",IF(HR_Data[[#This Row],[PercentSalaryHike]]&lt;=16,"14-16%",IF(HR_Data[[#This Row],[PercentSalaryHike]]&lt;=19,"17-19%","20-25%")))</f>
        <v>14-16%</v>
      </c>
      <c r="AP593" s="1">
        <f>IF(HR_Data[[#This Row],[PercentSalaryHike]]&lt;=13,1,IF(HR_Data[[#This Row],[PercentSalaryHike]]&lt;=16,2,IF(HR_Data[[#This Row],[PercentSalaryHike]]&lt;=19,3,4)))</f>
        <v>2</v>
      </c>
      <c r="AQ593" s="1" t="str">
        <f>IF(HR_Data[[#This Row],[DistanceFromHome]]&lt;=5,"1 to 5",IF(HR_Data[[#This Row],[DistanceFromHome]]&lt;=10,"6 to 10",IF(HR_Data[[#This Row],[DistanceFromHome]]&lt;=20,"11 to 20","21 to 29")))</f>
        <v>11 to 20</v>
      </c>
      <c r="AR593" s="1">
        <f>IF(HR_Data[[#This Row],[DistanceFromHome]]&lt;=5,1,IF(HR_Data[[#This Row],[DistanceFromHome]]&lt;=10,2,IF(HR_Data[[#This Row],[DistanceFromHome]]&lt;=20,3,4)))</f>
        <v>3</v>
      </c>
      <c r="AS593" s="1" t="str">
        <f>IF(HR_Data[[#This Row],[TotalWorkingYears]]&lt;=5,"0-5 Yrs",IF(HR_Data[[#This Row],[TotalWorkingYears]]&lt;=10,"6-10 Yrs",IF(HR_Data[[#This Row],[TotalWorkingYears]]&lt;=20,"11-20 Yrs","20+ Yrs")))</f>
        <v>6-10 Yrs</v>
      </c>
      <c r="AT593" s="1">
        <f>IF(HR_Data[[#This Row],[TotalWorkingYears]]&lt;=5,1,IF(HR_Data[[#This Row],[TotalWorkingYears]]&lt;=10,2,IF(HR_Data[[#This Row],[TotalWorkingYears]]&lt;=20,3,4)))</f>
        <v>2</v>
      </c>
    </row>
    <row r="594" spans="1:46" x14ac:dyDescent="0.25">
      <c r="A594">
        <v>47</v>
      </c>
      <c r="B594" t="s">
        <v>36</v>
      </c>
      <c r="C594" t="s">
        <v>30</v>
      </c>
      <c r="D594" t="s">
        <v>38</v>
      </c>
      <c r="E594">
        <v>2</v>
      </c>
      <c r="F594">
        <v>2</v>
      </c>
      <c r="G594" t="s">
        <v>42</v>
      </c>
      <c r="H594">
        <v>820</v>
      </c>
      <c r="I594">
        <v>3</v>
      </c>
      <c r="J594" t="s">
        <v>33</v>
      </c>
      <c r="K594">
        <v>3</v>
      </c>
      <c r="L594">
        <v>4</v>
      </c>
      <c r="M594" t="s">
        <v>49</v>
      </c>
      <c r="N594">
        <v>4</v>
      </c>
      <c r="O594" t="s">
        <v>41</v>
      </c>
      <c r="P594">
        <v>16752</v>
      </c>
      <c r="Q594">
        <v>1</v>
      </c>
      <c r="R594" t="s">
        <v>29</v>
      </c>
      <c r="S594">
        <v>11</v>
      </c>
      <c r="T594">
        <v>3</v>
      </c>
      <c r="U594">
        <v>3</v>
      </c>
      <c r="V594">
        <v>1</v>
      </c>
      <c r="W594">
        <v>26</v>
      </c>
      <c r="X594">
        <v>3</v>
      </c>
      <c r="Y594">
        <v>2</v>
      </c>
      <c r="Z594">
        <v>26</v>
      </c>
      <c r="AA594">
        <v>14</v>
      </c>
      <c r="AB594">
        <v>3</v>
      </c>
      <c r="AC594">
        <v>0</v>
      </c>
      <c r="AD594">
        <f>IF(HR_Data[[#This Row],[Attrition]]="Yes",1,0)</f>
        <v>0</v>
      </c>
      <c r="AE594" t="str">
        <f>IF(HR_Data[[#This Row],[Age]]&lt;=25,"18-25",IF(HR_Data[[#This Row],[Age]]&lt;=35,"26-35",IF(HR_Data[[#This Row],[Age]]&lt;=45,"36-45",IF(HR_Data[[#This Row],[Age]]&lt;=55,"46-55","55+"))))</f>
        <v>46-55</v>
      </c>
      <c r="AF594">
        <f>IF(HR_Data[[#This Row],[Age]]&lt;=25,1,IF(HR_Data[[#This Row],[Age]]&lt;=35,2,IF(HR_Data[[#This Row],[Age]]&lt;=45,3,IF(HR_Data[[#This Row],[Age]]&lt;=55,4,5))))</f>
        <v>4</v>
      </c>
      <c r="AG594" s="1" t="str">
        <f>IF(HR_Data[[#This Row],[MonthlyIncome]]&lt;3000,"&lt;3K",IF(HR_Data[[#This Row],[MonthlyIncome]]&lt;6000,"3K-6K",IF(HR_Data[[#This Row],[MonthlyIncome]]&lt;10000,"6K-10K","10K+")))</f>
        <v>10K+</v>
      </c>
      <c r="AH594" s="1">
        <f>IF(HR_Data[[#This Row],[MonthlyIncome]]&lt;3000,1,IF(HR_Data[[#This Row],[MonthlyIncome]]&lt;6000,2,IF(HR_Data[[#This Row],[MonthlyIncome]]&lt;10000,3,4)))</f>
        <v>4</v>
      </c>
      <c r="AI594" s="1" t="str">
        <f>IF(HR_Data[[#This Row],[YearsAtCompany]]&lt;=2,"0-2 Yrs",IF(HR_Data[[#This Row],[YearsAtCompany]]&lt;=5,"3-5 Yrs",IF(HR_Data[[#This Row],[YearsAtCompany]]&lt;=10,"6-10 Yrs","10+ Yrs")))</f>
        <v>10+ Yrs</v>
      </c>
      <c r="AJ594" s="1">
        <f>IF(HR_Data[[#This Row],[YearsAtCompany]]&lt;=2,1,IF(HR_Data[[#This Row],[YearsAtCompany]]&lt;=5,2,IF(HR_Data[[#This Row],[YearsAtCompany]]&lt;=10,3,4)))</f>
        <v>4</v>
      </c>
      <c r="AK594" s="1" t="str">
        <f>CHOOSE(HR_Data[[#This Row],[Education]],"Below College","College","Bachelor","Master","Doctor")</f>
        <v>College</v>
      </c>
      <c r="AL594" s="1" t="str">
        <f>CHOOSE(HR_Data[[#This Row],[JobSatisfaction]],"Low","Medium","High","Very High")</f>
        <v>Very High</v>
      </c>
      <c r="AM594" s="1" t="str">
        <f>CHOOSE(HR_Data[[#This Row],[EnvironmentSatisfaction]],"Low","Medium","High","Very High")</f>
        <v>High</v>
      </c>
      <c r="AN594" s="1" t="str">
        <f>CHOOSE(HR_Data[[#This Row],[WorkLifeBalance]],"Bad","Good","Better","Best")</f>
        <v>Good</v>
      </c>
      <c r="AO594" s="1" t="str">
        <f>IF(HR_Data[[#This Row],[PercentSalaryHike]]&lt;=13,"11-13%",IF(HR_Data[[#This Row],[PercentSalaryHike]]&lt;=16,"14-16%",IF(HR_Data[[#This Row],[PercentSalaryHike]]&lt;=19,"17-19%","20-25%")))</f>
        <v>11-13%</v>
      </c>
      <c r="AP594" s="1">
        <f>IF(HR_Data[[#This Row],[PercentSalaryHike]]&lt;=13,1,IF(HR_Data[[#This Row],[PercentSalaryHike]]&lt;=16,2,IF(HR_Data[[#This Row],[PercentSalaryHike]]&lt;=19,3,4)))</f>
        <v>1</v>
      </c>
      <c r="AQ594" s="1" t="str">
        <f>IF(HR_Data[[#This Row],[DistanceFromHome]]&lt;=5,"1 to 5",IF(HR_Data[[#This Row],[DistanceFromHome]]&lt;=10,"6 to 10",IF(HR_Data[[#This Row],[DistanceFromHome]]&lt;=20,"11 to 20","21 to 29")))</f>
        <v>1 to 5</v>
      </c>
      <c r="AR594" s="1">
        <f>IF(HR_Data[[#This Row],[DistanceFromHome]]&lt;=5,1,IF(HR_Data[[#This Row],[DistanceFromHome]]&lt;=10,2,IF(HR_Data[[#This Row],[DistanceFromHome]]&lt;=20,3,4)))</f>
        <v>1</v>
      </c>
      <c r="AS594" s="1" t="str">
        <f>IF(HR_Data[[#This Row],[TotalWorkingYears]]&lt;=5,"0-5 Yrs",IF(HR_Data[[#This Row],[TotalWorkingYears]]&lt;=10,"6-10 Yrs",IF(HR_Data[[#This Row],[TotalWorkingYears]]&lt;=20,"11-20 Yrs","20+ Yrs")))</f>
        <v>20+ Yrs</v>
      </c>
      <c r="AT594" s="1">
        <f>IF(HR_Data[[#This Row],[TotalWorkingYears]]&lt;=5,1,IF(HR_Data[[#This Row],[TotalWorkingYears]]&lt;=10,2,IF(HR_Data[[#This Row],[TotalWorkingYears]]&lt;=20,3,4)))</f>
        <v>4</v>
      </c>
    </row>
    <row r="595" spans="1:46" x14ac:dyDescent="0.25">
      <c r="A595">
        <v>36</v>
      </c>
      <c r="B595" t="s">
        <v>36</v>
      </c>
      <c r="C595" t="s">
        <v>30</v>
      </c>
      <c r="D595" t="s">
        <v>38</v>
      </c>
      <c r="E595">
        <v>1</v>
      </c>
      <c r="F595">
        <v>3</v>
      </c>
      <c r="G595" t="s">
        <v>42</v>
      </c>
      <c r="H595">
        <v>823</v>
      </c>
      <c r="I595">
        <v>3</v>
      </c>
      <c r="J595" t="s">
        <v>33</v>
      </c>
      <c r="K595">
        <v>3</v>
      </c>
      <c r="L595">
        <v>2</v>
      </c>
      <c r="M595" t="s">
        <v>46</v>
      </c>
      <c r="N595">
        <v>2</v>
      </c>
      <c r="O595" t="s">
        <v>41</v>
      </c>
      <c r="P595">
        <v>5228</v>
      </c>
      <c r="Q595">
        <v>0</v>
      </c>
      <c r="R595" t="s">
        <v>36</v>
      </c>
      <c r="S595">
        <v>15</v>
      </c>
      <c r="T595">
        <v>3</v>
      </c>
      <c r="U595">
        <v>1</v>
      </c>
      <c r="V595">
        <v>1</v>
      </c>
      <c r="W595">
        <v>10</v>
      </c>
      <c r="X595">
        <v>2</v>
      </c>
      <c r="Y595">
        <v>3</v>
      </c>
      <c r="Z595">
        <v>9</v>
      </c>
      <c r="AA595">
        <v>7</v>
      </c>
      <c r="AB595">
        <v>0</v>
      </c>
      <c r="AC595">
        <v>5</v>
      </c>
      <c r="AD595">
        <f>IF(HR_Data[[#This Row],[Attrition]]="Yes",1,0)</f>
        <v>0</v>
      </c>
      <c r="AE595" t="str">
        <f>IF(HR_Data[[#This Row],[Age]]&lt;=25,"18-25",IF(HR_Data[[#This Row],[Age]]&lt;=35,"26-35",IF(HR_Data[[#This Row],[Age]]&lt;=45,"36-45",IF(HR_Data[[#This Row],[Age]]&lt;=55,"46-55","55+"))))</f>
        <v>36-45</v>
      </c>
      <c r="AF595">
        <f>IF(HR_Data[[#This Row],[Age]]&lt;=25,1,IF(HR_Data[[#This Row],[Age]]&lt;=35,2,IF(HR_Data[[#This Row],[Age]]&lt;=45,3,IF(HR_Data[[#This Row],[Age]]&lt;=55,4,5))))</f>
        <v>3</v>
      </c>
      <c r="AG595" s="1" t="str">
        <f>IF(HR_Data[[#This Row],[MonthlyIncome]]&lt;3000,"&lt;3K",IF(HR_Data[[#This Row],[MonthlyIncome]]&lt;6000,"3K-6K",IF(HR_Data[[#This Row],[MonthlyIncome]]&lt;10000,"6K-10K","10K+")))</f>
        <v>3K-6K</v>
      </c>
      <c r="AH595" s="1">
        <f>IF(HR_Data[[#This Row],[MonthlyIncome]]&lt;3000,1,IF(HR_Data[[#This Row],[MonthlyIncome]]&lt;6000,2,IF(HR_Data[[#This Row],[MonthlyIncome]]&lt;10000,3,4)))</f>
        <v>2</v>
      </c>
      <c r="AI595" s="1" t="str">
        <f>IF(HR_Data[[#This Row],[YearsAtCompany]]&lt;=2,"0-2 Yrs",IF(HR_Data[[#This Row],[YearsAtCompany]]&lt;=5,"3-5 Yrs",IF(HR_Data[[#This Row],[YearsAtCompany]]&lt;=10,"6-10 Yrs","10+ Yrs")))</f>
        <v>6-10 Yrs</v>
      </c>
      <c r="AJ595" s="1">
        <f>IF(HR_Data[[#This Row],[YearsAtCompany]]&lt;=2,1,IF(HR_Data[[#This Row],[YearsAtCompany]]&lt;=5,2,IF(HR_Data[[#This Row],[YearsAtCompany]]&lt;=10,3,4)))</f>
        <v>3</v>
      </c>
      <c r="AK595" s="1" t="str">
        <f>CHOOSE(HR_Data[[#This Row],[Education]],"Below College","College","Bachelor","Master","Doctor")</f>
        <v>Bachelor</v>
      </c>
      <c r="AL595" s="1" t="str">
        <f>CHOOSE(HR_Data[[#This Row],[JobSatisfaction]],"Low","Medium","High","Very High")</f>
        <v>Medium</v>
      </c>
      <c r="AM595" s="1" t="str">
        <f>CHOOSE(HR_Data[[#This Row],[EnvironmentSatisfaction]],"Low","Medium","High","Very High")</f>
        <v>High</v>
      </c>
      <c r="AN595" s="1" t="str">
        <f>CHOOSE(HR_Data[[#This Row],[WorkLifeBalance]],"Bad","Good","Better","Best")</f>
        <v>Better</v>
      </c>
      <c r="AO595" s="1" t="str">
        <f>IF(HR_Data[[#This Row],[PercentSalaryHike]]&lt;=13,"11-13%",IF(HR_Data[[#This Row],[PercentSalaryHike]]&lt;=16,"14-16%",IF(HR_Data[[#This Row],[PercentSalaryHike]]&lt;=19,"17-19%","20-25%")))</f>
        <v>14-16%</v>
      </c>
      <c r="AP595" s="1">
        <f>IF(HR_Data[[#This Row],[PercentSalaryHike]]&lt;=13,1,IF(HR_Data[[#This Row],[PercentSalaryHike]]&lt;=16,2,IF(HR_Data[[#This Row],[PercentSalaryHike]]&lt;=19,3,4)))</f>
        <v>2</v>
      </c>
      <c r="AQ595" s="1" t="str">
        <f>IF(HR_Data[[#This Row],[DistanceFromHome]]&lt;=5,"1 to 5",IF(HR_Data[[#This Row],[DistanceFromHome]]&lt;=10,"6 to 10",IF(HR_Data[[#This Row],[DistanceFromHome]]&lt;=20,"11 to 20","21 to 29")))</f>
        <v>1 to 5</v>
      </c>
      <c r="AR595" s="1">
        <f>IF(HR_Data[[#This Row],[DistanceFromHome]]&lt;=5,1,IF(HR_Data[[#This Row],[DistanceFromHome]]&lt;=10,2,IF(HR_Data[[#This Row],[DistanceFromHome]]&lt;=20,3,4)))</f>
        <v>1</v>
      </c>
      <c r="AS595" s="1" t="str">
        <f>IF(HR_Data[[#This Row],[TotalWorkingYears]]&lt;=5,"0-5 Yrs",IF(HR_Data[[#This Row],[TotalWorkingYears]]&lt;=10,"6-10 Yrs",IF(HR_Data[[#This Row],[TotalWorkingYears]]&lt;=20,"11-20 Yrs","20+ Yrs")))</f>
        <v>6-10 Yrs</v>
      </c>
      <c r="AT595" s="1">
        <f>IF(HR_Data[[#This Row],[TotalWorkingYears]]&lt;=5,1,IF(HR_Data[[#This Row],[TotalWorkingYears]]&lt;=10,2,IF(HR_Data[[#This Row],[TotalWorkingYears]]&lt;=20,3,4)))</f>
        <v>2</v>
      </c>
    </row>
    <row r="596" spans="1:46" x14ac:dyDescent="0.25">
      <c r="A596">
        <v>29</v>
      </c>
      <c r="B596" t="s">
        <v>36</v>
      </c>
      <c r="C596" t="s">
        <v>30</v>
      </c>
      <c r="D596" t="s">
        <v>38</v>
      </c>
      <c r="E596">
        <v>23</v>
      </c>
      <c r="F596">
        <v>2</v>
      </c>
      <c r="G596" t="s">
        <v>32</v>
      </c>
      <c r="H596">
        <v>824</v>
      </c>
      <c r="I596">
        <v>3</v>
      </c>
      <c r="J596" t="s">
        <v>39</v>
      </c>
      <c r="K596">
        <v>4</v>
      </c>
      <c r="L596">
        <v>1</v>
      </c>
      <c r="M596" t="s">
        <v>40</v>
      </c>
      <c r="N596">
        <v>3</v>
      </c>
      <c r="O596" t="s">
        <v>41</v>
      </c>
      <c r="P596">
        <v>2700</v>
      </c>
      <c r="Q596">
        <v>1</v>
      </c>
      <c r="R596" t="s">
        <v>36</v>
      </c>
      <c r="S596">
        <v>24</v>
      </c>
      <c r="T596">
        <v>4</v>
      </c>
      <c r="U596">
        <v>3</v>
      </c>
      <c r="V596">
        <v>1</v>
      </c>
      <c r="W596">
        <v>10</v>
      </c>
      <c r="X596">
        <v>3</v>
      </c>
      <c r="Y596">
        <v>3</v>
      </c>
      <c r="Z596">
        <v>10</v>
      </c>
      <c r="AA596">
        <v>7</v>
      </c>
      <c r="AB596">
        <v>0</v>
      </c>
      <c r="AC596">
        <v>7</v>
      </c>
      <c r="AD596">
        <f>IF(HR_Data[[#This Row],[Attrition]]="Yes",1,0)</f>
        <v>0</v>
      </c>
      <c r="AE596" t="str">
        <f>IF(HR_Data[[#This Row],[Age]]&lt;=25,"18-25",IF(HR_Data[[#This Row],[Age]]&lt;=35,"26-35",IF(HR_Data[[#This Row],[Age]]&lt;=45,"36-45",IF(HR_Data[[#This Row],[Age]]&lt;=55,"46-55","55+"))))</f>
        <v>26-35</v>
      </c>
      <c r="AF596">
        <f>IF(HR_Data[[#This Row],[Age]]&lt;=25,1,IF(HR_Data[[#This Row],[Age]]&lt;=35,2,IF(HR_Data[[#This Row],[Age]]&lt;=45,3,IF(HR_Data[[#This Row],[Age]]&lt;=55,4,5))))</f>
        <v>2</v>
      </c>
      <c r="AG596" s="1" t="str">
        <f>IF(HR_Data[[#This Row],[MonthlyIncome]]&lt;3000,"&lt;3K",IF(HR_Data[[#This Row],[MonthlyIncome]]&lt;6000,"3K-6K",IF(HR_Data[[#This Row],[MonthlyIncome]]&lt;10000,"6K-10K","10K+")))</f>
        <v>&lt;3K</v>
      </c>
      <c r="AH596" s="1">
        <f>IF(HR_Data[[#This Row],[MonthlyIncome]]&lt;3000,1,IF(HR_Data[[#This Row],[MonthlyIncome]]&lt;6000,2,IF(HR_Data[[#This Row],[MonthlyIncome]]&lt;10000,3,4)))</f>
        <v>1</v>
      </c>
      <c r="AI596" s="1" t="str">
        <f>IF(HR_Data[[#This Row],[YearsAtCompany]]&lt;=2,"0-2 Yrs",IF(HR_Data[[#This Row],[YearsAtCompany]]&lt;=5,"3-5 Yrs",IF(HR_Data[[#This Row],[YearsAtCompany]]&lt;=10,"6-10 Yrs","10+ Yrs")))</f>
        <v>6-10 Yrs</v>
      </c>
      <c r="AJ596" s="1">
        <f>IF(HR_Data[[#This Row],[YearsAtCompany]]&lt;=2,1,IF(HR_Data[[#This Row],[YearsAtCompany]]&lt;=5,2,IF(HR_Data[[#This Row],[YearsAtCompany]]&lt;=10,3,4)))</f>
        <v>3</v>
      </c>
      <c r="AK596" s="1" t="str">
        <f>CHOOSE(HR_Data[[#This Row],[Education]],"Below College","College","Bachelor","Master","Doctor")</f>
        <v>College</v>
      </c>
      <c r="AL596" s="1" t="str">
        <f>CHOOSE(HR_Data[[#This Row],[JobSatisfaction]],"Low","Medium","High","Very High")</f>
        <v>High</v>
      </c>
      <c r="AM596" s="1" t="str">
        <f>CHOOSE(HR_Data[[#This Row],[EnvironmentSatisfaction]],"Low","Medium","High","Very High")</f>
        <v>High</v>
      </c>
      <c r="AN596" s="1" t="str">
        <f>CHOOSE(HR_Data[[#This Row],[WorkLifeBalance]],"Bad","Good","Better","Best")</f>
        <v>Better</v>
      </c>
      <c r="AO596" s="1" t="str">
        <f>IF(HR_Data[[#This Row],[PercentSalaryHike]]&lt;=13,"11-13%",IF(HR_Data[[#This Row],[PercentSalaryHike]]&lt;=16,"14-16%",IF(HR_Data[[#This Row],[PercentSalaryHike]]&lt;=19,"17-19%","20-25%")))</f>
        <v>20-25%</v>
      </c>
      <c r="AP596" s="1">
        <f>IF(HR_Data[[#This Row],[PercentSalaryHike]]&lt;=13,1,IF(HR_Data[[#This Row],[PercentSalaryHike]]&lt;=16,2,IF(HR_Data[[#This Row],[PercentSalaryHike]]&lt;=19,3,4)))</f>
        <v>4</v>
      </c>
      <c r="AQ596" s="1" t="str">
        <f>IF(HR_Data[[#This Row],[DistanceFromHome]]&lt;=5,"1 to 5",IF(HR_Data[[#This Row],[DistanceFromHome]]&lt;=10,"6 to 10",IF(HR_Data[[#This Row],[DistanceFromHome]]&lt;=20,"11 to 20","21 to 29")))</f>
        <v>21 to 29</v>
      </c>
      <c r="AR596" s="1">
        <f>IF(HR_Data[[#This Row],[DistanceFromHome]]&lt;=5,1,IF(HR_Data[[#This Row],[DistanceFromHome]]&lt;=10,2,IF(HR_Data[[#This Row],[DistanceFromHome]]&lt;=20,3,4)))</f>
        <v>4</v>
      </c>
      <c r="AS596" s="1" t="str">
        <f>IF(HR_Data[[#This Row],[TotalWorkingYears]]&lt;=5,"0-5 Yrs",IF(HR_Data[[#This Row],[TotalWorkingYears]]&lt;=10,"6-10 Yrs",IF(HR_Data[[#This Row],[TotalWorkingYears]]&lt;=20,"11-20 Yrs","20+ Yrs")))</f>
        <v>6-10 Yrs</v>
      </c>
      <c r="AT596" s="1">
        <f>IF(HR_Data[[#This Row],[TotalWorkingYears]]&lt;=5,1,IF(HR_Data[[#This Row],[TotalWorkingYears]]&lt;=10,2,IF(HR_Data[[#This Row],[TotalWorkingYears]]&lt;=20,3,4)))</f>
        <v>2</v>
      </c>
    </row>
    <row r="597" spans="1:46" x14ac:dyDescent="0.25">
      <c r="A597">
        <v>58</v>
      </c>
      <c r="B597" t="s">
        <v>29</v>
      </c>
      <c r="C597" t="s">
        <v>30</v>
      </c>
      <c r="D597" t="s">
        <v>38</v>
      </c>
      <c r="E597">
        <v>2</v>
      </c>
      <c r="F597">
        <v>4</v>
      </c>
      <c r="G597" t="s">
        <v>32</v>
      </c>
      <c r="H597">
        <v>825</v>
      </c>
      <c r="I597">
        <v>4</v>
      </c>
      <c r="J597" t="s">
        <v>39</v>
      </c>
      <c r="K597">
        <v>3</v>
      </c>
      <c r="L597">
        <v>5</v>
      </c>
      <c r="M597" t="s">
        <v>51</v>
      </c>
      <c r="N597">
        <v>2</v>
      </c>
      <c r="O597" t="s">
        <v>35</v>
      </c>
      <c r="P597">
        <v>19246</v>
      </c>
      <c r="Q597">
        <v>7</v>
      </c>
      <c r="R597" t="s">
        <v>29</v>
      </c>
      <c r="S597">
        <v>12</v>
      </c>
      <c r="T597">
        <v>3</v>
      </c>
      <c r="U597">
        <v>4</v>
      </c>
      <c r="V597">
        <v>0</v>
      </c>
      <c r="W597">
        <v>40</v>
      </c>
      <c r="X597">
        <v>2</v>
      </c>
      <c r="Y597">
        <v>3</v>
      </c>
      <c r="Z597">
        <v>31</v>
      </c>
      <c r="AA597">
        <v>15</v>
      </c>
      <c r="AB597">
        <v>13</v>
      </c>
      <c r="AC597">
        <v>8</v>
      </c>
      <c r="AD597">
        <f>IF(HR_Data[[#This Row],[Attrition]]="Yes",1,0)</f>
        <v>1</v>
      </c>
      <c r="AE597" t="str">
        <f>IF(HR_Data[[#This Row],[Age]]&lt;=25,"18-25",IF(HR_Data[[#This Row],[Age]]&lt;=35,"26-35",IF(HR_Data[[#This Row],[Age]]&lt;=45,"36-45",IF(HR_Data[[#This Row],[Age]]&lt;=55,"46-55","55+"))))</f>
        <v>55+</v>
      </c>
      <c r="AF597">
        <f>IF(HR_Data[[#This Row],[Age]]&lt;=25,1,IF(HR_Data[[#This Row],[Age]]&lt;=35,2,IF(HR_Data[[#This Row],[Age]]&lt;=45,3,IF(HR_Data[[#This Row],[Age]]&lt;=55,4,5))))</f>
        <v>5</v>
      </c>
      <c r="AG597" s="1" t="str">
        <f>IF(HR_Data[[#This Row],[MonthlyIncome]]&lt;3000,"&lt;3K",IF(HR_Data[[#This Row],[MonthlyIncome]]&lt;6000,"3K-6K",IF(HR_Data[[#This Row],[MonthlyIncome]]&lt;10000,"6K-10K","10K+")))</f>
        <v>10K+</v>
      </c>
      <c r="AH597" s="1">
        <f>IF(HR_Data[[#This Row],[MonthlyIncome]]&lt;3000,1,IF(HR_Data[[#This Row],[MonthlyIncome]]&lt;6000,2,IF(HR_Data[[#This Row],[MonthlyIncome]]&lt;10000,3,4)))</f>
        <v>4</v>
      </c>
      <c r="AI597" s="1" t="str">
        <f>IF(HR_Data[[#This Row],[YearsAtCompany]]&lt;=2,"0-2 Yrs",IF(HR_Data[[#This Row],[YearsAtCompany]]&lt;=5,"3-5 Yrs",IF(HR_Data[[#This Row],[YearsAtCompany]]&lt;=10,"6-10 Yrs","10+ Yrs")))</f>
        <v>10+ Yrs</v>
      </c>
      <c r="AJ597" s="1">
        <f>IF(HR_Data[[#This Row],[YearsAtCompany]]&lt;=2,1,IF(HR_Data[[#This Row],[YearsAtCompany]]&lt;=5,2,IF(HR_Data[[#This Row],[YearsAtCompany]]&lt;=10,3,4)))</f>
        <v>4</v>
      </c>
      <c r="AK597" s="1" t="str">
        <f>CHOOSE(HR_Data[[#This Row],[Education]],"Below College","College","Bachelor","Master","Doctor")</f>
        <v>Master</v>
      </c>
      <c r="AL597" s="1" t="str">
        <f>CHOOSE(HR_Data[[#This Row],[JobSatisfaction]],"Low","Medium","High","Very High")</f>
        <v>Medium</v>
      </c>
      <c r="AM597" s="1" t="str">
        <f>CHOOSE(HR_Data[[#This Row],[EnvironmentSatisfaction]],"Low","Medium","High","Very High")</f>
        <v>Very High</v>
      </c>
      <c r="AN597" s="1" t="str">
        <f>CHOOSE(HR_Data[[#This Row],[WorkLifeBalance]],"Bad","Good","Better","Best")</f>
        <v>Better</v>
      </c>
      <c r="AO597" s="1" t="str">
        <f>IF(HR_Data[[#This Row],[PercentSalaryHike]]&lt;=13,"11-13%",IF(HR_Data[[#This Row],[PercentSalaryHike]]&lt;=16,"14-16%",IF(HR_Data[[#This Row],[PercentSalaryHike]]&lt;=19,"17-19%","20-25%")))</f>
        <v>11-13%</v>
      </c>
      <c r="AP597" s="1">
        <f>IF(HR_Data[[#This Row],[PercentSalaryHike]]&lt;=13,1,IF(HR_Data[[#This Row],[PercentSalaryHike]]&lt;=16,2,IF(HR_Data[[#This Row],[PercentSalaryHike]]&lt;=19,3,4)))</f>
        <v>1</v>
      </c>
      <c r="AQ597" s="1" t="str">
        <f>IF(HR_Data[[#This Row],[DistanceFromHome]]&lt;=5,"1 to 5",IF(HR_Data[[#This Row],[DistanceFromHome]]&lt;=10,"6 to 10",IF(HR_Data[[#This Row],[DistanceFromHome]]&lt;=20,"11 to 20","21 to 29")))</f>
        <v>1 to 5</v>
      </c>
      <c r="AR597" s="1">
        <f>IF(HR_Data[[#This Row],[DistanceFromHome]]&lt;=5,1,IF(HR_Data[[#This Row],[DistanceFromHome]]&lt;=10,2,IF(HR_Data[[#This Row],[DistanceFromHome]]&lt;=20,3,4)))</f>
        <v>1</v>
      </c>
      <c r="AS597" s="1" t="str">
        <f>IF(HR_Data[[#This Row],[TotalWorkingYears]]&lt;=5,"0-5 Yrs",IF(HR_Data[[#This Row],[TotalWorkingYears]]&lt;=10,"6-10 Yrs",IF(HR_Data[[#This Row],[TotalWorkingYears]]&lt;=20,"11-20 Yrs","20+ Yrs")))</f>
        <v>20+ Yrs</v>
      </c>
      <c r="AT597" s="1">
        <f>IF(HR_Data[[#This Row],[TotalWorkingYears]]&lt;=5,1,IF(HR_Data[[#This Row],[TotalWorkingYears]]&lt;=10,2,IF(HR_Data[[#This Row],[TotalWorkingYears]]&lt;=20,3,4)))</f>
        <v>4</v>
      </c>
    </row>
    <row r="598" spans="1:46" x14ac:dyDescent="0.25">
      <c r="A598">
        <v>35</v>
      </c>
      <c r="B598" t="s">
        <v>36</v>
      </c>
      <c r="C598" t="s">
        <v>30</v>
      </c>
      <c r="D598" t="s">
        <v>38</v>
      </c>
      <c r="E598">
        <v>1</v>
      </c>
      <c r="F598">
        <v>4</v>
      </c>
      <c r="G598" t="s">
        <v>32</v>
      </c>
      <c r="H598">
        <v>826</v>
      </c>
      <c r="I598">
        <v>4</v>
      </c>
      <c r="J598" t="s">
        <v>33</v>
      </c>
      <c r="K598">
        <v>4</v>
      </c>
      <c r="L598">
        <v>1</v>
      </c>
      <c r="M598" t="s">
        <v>40</v>
      </c>
      <c r="N598">
        <v>3</v>
      </c>
      <c r="O598" t="s">
        <v>35</v>
      </c>
      <c r="P598">
        <v>2506</v>
      </c>
      <c r="Q598">
        <v>3</v>
      </c>
      <c r="R598" t="s">
        <v>36</v>
      </c>
      <c r="S598">
        <v>13</v>
      </c>
      <c r="T598">
        <v>3</v>
      </c>
      <c r="U598">
        <v>3</v>
      </c>
      <c r="V598">
        <v>0</v>
      </c>
      <c r="W598">
        <v>7</v>
      </c>
      <c r="X598">
        <v>0</v>
      </c>
      <c r="Y598">
        <v>3</v>
      </c>
      <c r="Z598">
        <v>2</v>
      </c>
      <c r="AA598">
        <v>2</v>
      </c>
      <c r="AB598">
        <v>2</v>
      </c>
      <c r="AC598">
        <v>2</v>
      </c>
      <c r="AD598">
        <f>IF(HR_Data[[#This Row],[Attrition]]="Yes",1,0)</f>
        <v>0</v>
      </c>
      <c r="AE598" t="str">
        <f>IF(HR_Data[[#This Row],[Age]]&lt;=25,"18-25",IF(HR_Data[[#This Row],[Age]]&lt;=35,"26-35",IF(HR_Data[[#This Row],[Age]]&lt;=45,"36-45",IF(HR_Data[[#This Row],[Age]]&lt;=55,"46-55","55+"))))</f>
        <v>26-35</v>
      </c>
      <c r="AF598">
        <f>IF(HR_Data[[#This Row],[Age]]&lt;=25,1,IF(HR_Data[[#This Row],[Age]]&lt;=35,2,IF(HR_Data[[#This Row],[Age]]&lt;=45,3,IF(HR_Data[[#This Row],[Age]]&lt;=55,4,5))))</f>
        <v>2</v>
      </c>
      <c r="AG598" s="1" t="str">
        <f>IF(HR_Data[[#This Row],[MonthlyIncome]]&lt;3000,"&lt;3K",IF(HR_Data[[#This Row],[MonthlyIncome]]&lt;6000,"3K-6K",IF(HR_Data[[#This Row],[MonthlyIncome]]&lt;10000,"6K-10K","10K+")))</f>
        <v>&lt;3K</v>
      </c>
      <c r="AH598" s="1">
        <f>IF(HR_Data[[#This Row],[MonthlyIncome]]&lt;3000,1,IF(HR_Data[[#This Row],[MonthlyIncome]]&lt;6000,2,IF(HR_Data[[#This Row],[MonthlyIncome]]&lt;10000,3,4)))</f>
        <v>1</v>
      </c>
      <c r="AI598" s="1" t="str">
        <f>IF(HR_Data[[#This Row],[YearsAtCompany]]&lt;=2,"0-2 Yrs",IF(HR_Data[[#This Row],[YearsAtCompany]]&lt;=5,"3-5 Yrs",IF(HR_Data[[#This Row],[YearsAtCompany]]&lt;=10,"6-10 Yrs","10+ Yrs")))</f>
        <v>0-2 Yrs</v>
      </c>
      <c r="AJ598" s="1">
        <f>IF(HR_Data[[#This Row],[YearsAtCompany]]&lt;=2,1,IF(HR_Data[[#This Row],[YearsAtCompany]]&lt;=5,2,IF(HR_Data[[#This Row],[YearsAtCompany]]&lt;=10,3,4)))</f>
        <v>1</v>
      </c>
      <c r="AK598" s="1" t="str">
        <f>CHOOSE(HR_Data[[#This Row],[Education]],"Below College","College","Bachelor","Master","Doctor")</f>
        <v>Master</v>
      </c>
      <c r="AL598" s="1" t="str">
        <f>CHOOSE(HR_Data[[#This Row],[JobSatisfaction]],"Low","Medium","High","Very High")</f>
        <v>High</v>
      </c>
      <c r="AM598" s="1" t="str">
        <f>CHOOSE(HR_Data[[#This Row],[EnvironmentSatisfaction]],"Low","Medium","High","Very High")</f>
        <v>Very High</v>
      </c>
      <c r="AN598" s="1" t="str">
        <f>CHOOSE(HR_Data[[#This Row],[WorkLifeBalance]],"Bad","Good","Better","Best")</f>
        <v>Better</v>
      </c>
      <c r="AO598" s="1" t="str">
        <f>IF(HR_Data[[#This Row],[PercentSalaryHike]]&lt;=13,"11-13%",IF(HR_Data[[#This Row],[PercentSalaryHike]]&lt;=16,"14-16%",IF(HR_Data[[#This Row],[PercentSalaryHike]]&lt;=19,"17-19%","20-25%")))</f>
        <v>11-13%</v>
      </c>
      <c r="AP598" s="1">
        <f>IF(HR_Data[[#This Row],[PercentSalaryHike]]&lt;=13,1,IF(HR_Data[[#This Row],[PercentSalaryHike]]&lt;=16,2,IF(HR_Data[[#This Row],[PercentSalaryHike]]&lt;=19,3,4)))</f>
        <v>1</v>
      </c>
      <c r="AQ598" s="1" t="str">
        <f>IF(HR_Data[[#This Row],[DistanceFromHome]]&lt;=5,"1 to 5",IF(HR_Data[[#This Row],[DistanceFromHome]]&lt;=10,"6 to 10",IF(HR_Data[[#This Row],[DistanceFromHome]]&lt;=20,"11 to 20","21 to 29")))</f>
        <v>1 to 5</v>
      </c>
      <c r="AR598" s="1">
        <f>IF(HR_Data[[#This Row],[DistanceFromHome]]&lt;=5,1,IF(HR_Data[[#This Row],[DistanceFromHome]]&lt;=10,2,IF(HR_Data[[#This Row],[DistanceFromHome]]&lt;=20,3,4)))</f>
        <v>1</v>
      </c>
      <c r="AS598" s="1" t="str">
        <f>IF(HR_Data[[#This Row],[TotalWorkingYears]]&lt;=5,"0-5 Yrs",IF(HR_Data[[#This Row],[TotalWorkingYears]]&lt;=10,"6-10 Yrs",IF(HR_Data[[#This Row],[TotalWorkingYears]]&lt;=20,"11-20 Yrs","20+ Yrs")))</f>
        <v>6-10 Yrs</v>
      </c>
      <c r="AT598" s="1">
        <f>IF(HR_Data[[#This Row],[TotalWorkingYears]]&lt;=5,1,IF(HR_Data[[#This Row],[TotalWorkingYears]]&lt;=10,2,IF(HR_Data[[#This Row],[TotalWorkingYears]]&lt;=20,3,4)))</f>
        <v>2</v>
      </c>
    </row>
    <row r="599" spans="1:46" x14ac:dyDescent="0.25">
      <c r="A599">
        <v>42</v>
      </c>
      <c r="B599" t="s">
        <v>36</v>
      </c>
      <c r="C599" t="s">
        <v>30</v>
      </c>
      <c r="D599" t="s">
        <v>38</v>
      </c>
      <c r="E599">
        <v>1</v>
      </c>
      <c r="F599">
        <v>2</v>
      </c>
      <c r="G599" t="s">
        <v>32</v>
      </c>
      <c r="H599">
        <v>827</v>
      </c>
      <c r="I599">
        <v>4</v>
      </c>
      <c r="J599" t="s">
        <v>33</v>
      </c>
      <c r="K599">
        <v>2</v>
      </c>
      <c r="L599">
        <v>2</v>
      </c>
      <c r="M599" t="s">
        <v>46</v>
      </c>
      <c r="N599">
        <v>4</v>
      </c>
      <c r="O599" t="s">
        <v>41</v>
      </c>
      <c r="P599">
        <v>6062</v>
      </c>
      <c r="Q599">
        <v>9</v>
      </c>
      <c r="R599" t="s">
        <v>29</v>
      </c>
      <c r="S599">
        <v>13</v>
      </c>
      <c r="T599">
        <v>3</v>
      </c>
      <c r="U599">
        <v>4</v>
      </c>
      <c r="V599">
        <v>1</v>
      </c>
      <c r="W599">
        <v>8</v>
      </c>
      <c r="X599">
        <v>4</v>
      </c>
      <c r="Y599">
        <v>3</v>
      </c>
      <c r="Z599">
        <v>4</v>
      </c>
      <c r="AA599">
        <v>3</v>
      </c>
      <c r="AB599">
        <v>0</v>
      </c>
      <c r="AC599">
        <v>2</v>
      </c>
      <c r="AD599">
        <f>IF(HR_Data[[#This Row],[Attrition]]="Yes",1,0)</f>
        <v>0</v>
      </c>
      <c r="AE599" t="str">
        <f>IF(HR_Data[[#This Row],[Age]]&lt;=25,"18-25",IF(HR_Data[[#This Row],[Age]]&lt;=35,"26-35",IF(HR_Data[[#This Row],[Age]]&lt;=45,"36-45",IF(HR_Data[[#This Row],[Age]]&lt;=55,"46-55","55+"))))</f>
        <v>36-45</v>
      </c>
      <c r="AF599">
        <f>IF(HR_Data[[#This Row],[Age]]&lt;=25,1,IF(HR_Data[[#This Row],[Age]]&lt;=35,2,IF(HR_Data[[#This Row],[Age]]&lt;=45,3,IF(HR_Data[[#This Row],[Age]]&lt;=55,4,5))))</f>
        <v>3</v>
      </c>
      <c r="AG599" s="1" t="str">
        <f>IF(HR_Data[[#This Row],[MonthlyIncome]]&lt;3000,"&lt;3K",IF(HR_Data[[#This Row],[MonthlyIncome]]&lt;6000,"3K-6K",IF(HR_Data[[#This Row],[MonthlyIncome]]&lt;10000,"6K-10K","10K+")))</f>
        <v>6K-10K</v>
      </c>
      <c r="AH599" s="1">
        <f>IF(HR_Data[[#This Row],[MonthlyIncome]]&lt;3000,1,IF(HR_Data[[#This Row],[MonthlyIncome]]&lt;6000,2,IF(HR_Data[[#This Row],[MonthlyIncome]]&lt;10000,3,4)))</f>
        <v>3</v>
      </c>
      <c r="AI599" s="1" t="str">
        <f>IF(HR_Data[[#This Row],[YearsAtCompany]]&lt;=2,"0-2 Yrs",IF(HR_Data[[#This Row],[YearsAtCompany]]&lt;=5,"3-5 Yrs",IF(HR_Data[[#This Row],[YearsAtCompany]]&lt;=10,"6-10 Yrs","10+ Yrs")))</f>
        <v>3-5 Yrs</v>
      </c>
      <c r="AJ599" s="1">
        <f>IF(HR_Data[[#This Row],[YearsAtCompany]]&lt;=2,1,IF(HR_Data[[#This Row],[YearsAtCompany]]&lt;=5,2,IF(HR_Data[[#This Row],[YearsAtCompany]]&lt;=10,3,4)))</f>
        <v>2</v>
      </c>
      <c r="AK599" s="1" t="str">
        <f>CHOOSE(HR_Data[[#This Row],[Education]],"Below College","College","Bachelor","Master","Doctor")</f>
        <v>College</v>
      </c>
      <c r="AL599" s="1" t="str">
        <f>CHOOSE(HR_Data[[#This Row],[JobSatisfaction]],"Low","Medium","High","Very High")</f>
        <v>Very High</v>
      </c>
      <c r="AM599" s="1" t="str">
        <f>CHOOSE(HR_Data[[#This Row],[EnvironmentSatisfaction]],"Low","Medium","High","Very High")</f>
        <v>Very High</v>
      </c>
      <c r="AN599" s="1" t="str">
        <f>CHOOSE(HR_Data[[#This Row],[WorkLifeBalance]],"Bad","Good","Better","Best")</f>
        <v>Better</v>
      </c>
      <c r="AO599" s="1" t="str">
        <f>IF(HR_Data[[#This Row],[PercentSalaryHike]]&lt;=13,"11-13%",IF(HR_Data[[#This Row],[PercentSalaryHike]]&lt;=16,"14-16%",IF(HR_Data[[#This Row],[PercentSalaryHike]]&lt;=19,"17-19%","20-25%")))</f>
        <v>11-13%</v>
      </c>
      <c r="AP599" s="1">
        <f>IF(HR_Data[[#This Row],[PercentSalaryHike]]&lt;=13,1,IF(HR_Data[[#This Row],[PercentSalaryHike]]&lt;=16,2,IF(HR_Data[[#This Row],[PercentSalaryHike]]&lt;=19,3,4)))</f>
        <v>1</v>
      </c>
      <c r="AQ599" s="1" t="str">
        <f>IF(HR_Data[[#This Row],[DistanceFromHome]]&lt;=5,"1 to 5",IF(HR_Data[[#This Row],[DistanceFromHome]]&lt;=10,"6 to 10",IF(HR_Data[[#This Row],[DistanceFromHome]]&lt;=20,"11 to 20","21 to 29")))</f>
        <v>1 to 5</v>
      </c>
      <c r="AR599" s="1">
        <f>IF(HR_Data[[#This Row],[DistanceFromHome]]&lt;=5,1,IF(HR_Data[[#This Row],[DistanceFromHome]]&lt;=10,2,IF(HR_Data[[#This Row],[DistanceFromHome]]&lt;=20,3,4)))</f>
        <v>1</v>
      </c>
      <c r="AS599" s="1" t="str">
        <f>IF(HR_Data[[#This Row],[TotalWorkingYears]]&lt;=5,"0-5 Yrs",IF(HR_Data[[#This Row],[TotalWorkingYears]]&lt;=10,"6-10 Yrs",IF(HR_Data[[#This Row],[TotalWorkingYears]]&lt;=20,"11-20 Yrs","20+ Yrs")))</f>
        <v>6-10 Yrs</v>
      </c>
      <c r="AT599" s="1">
        <f>IF(HR_Data[[#This Row],[TotalWorkingYears]]&lt;=5,1,IF(HR_Data[[#This Row],[TotalWorkingYears]]&lt;=10,2,IF(HR_Data[[#This Row],[TotalWorkingYears]]&lt;=20,3,4)))</f>
        <v>2</v>
      </c>
    </row>
    <row r="600" spans="1:46" x14ac:dyDescent="0.25">
      <c r="A600">
        <v>28</v>
      </c>
      <c r="B600" t="s">
        <v>29</v>
      </c>
      <c r="C600" t="s">
        <v>30</v>
      </c>
      <c r="D600" t="s">
        <v>38</v>
      </c>
      <c r="E600">
        <v>2</v>
      </c>
      <c r="F600">
        <v>4</v>
      </c>
      <c r="G600" t="s">
        <v>44</v>
      </c>
      <c r="H600">
        <v>828</v>
      </c>
      <c r="I600">
        <v>3</v>
      </c>
      <c r="J600" t="s">
        <v>39</v>
      </c>
      <c r="K600">
        <v>3</v>
      </c>
      <c r="L600">
        <v>1</v>
      </c>
      <c r="M600" t="s">
        <v>40</v>
      </c>
      <c r="N600">
        <v>3</v>
      </c>
      <c r="O600" t="s">
        <v>35</v>
      </c>
      <c r="P600">
        <v>4382</v>
      </c>
      <c r="Q600">
        <v>6</v>
      </c>
      <c r="R600" t="s">
        <v>36</v>
      </c>
      <c r="S600">
        <v>17</v>
      </c>
      <c r="T600">
        <v>3</v>
      </c>
      <c r="U600">
        <v>4</v>
      </c>
      <c r="V600">
        <v>0</v>
      </c>
      <c r="W600">
        <v>5</v>
      </c>
      <c r="X600">
        <v>3</v>
      </c>
      <c r="Y600">
        <v>2</v>
      </c>
      <c r="Z600">
        <v>2</v>
      </c>
      <c r="AA600">
        <v>2</v>
      </c>
      <c r="AB600">
        <v>2</v>
      </c>
      <c r="AC600">
        <v>1</v>
      </c>
      <c r="AD600">
        <f>IF(HR_Data[[#This Row],[Attrition]]="Yes",1,0)</f>
        <v>1</v>
      </c>
      <c r="AE600" t="str">
        <f>IF(HR_Data[[#This Row],[Age]]&lt;=25,"18-25",IF(HR_Data[[#This Row],[Age]]&lt;=35,"26-35",IF(HR_Data[[#This Row],[Age]]&lt;=45,"36-45",IF(HR_Data[[#This Row],[Age]]&lt;=55,"46-55","55+"))))</f>
        <v>26-35</v>
      </c>
      <c r="AF600">
        <f>IF(HR_Data[[#This Row],[Age]]&lt;=25,1,IF(HR_Data[[#This Row],[Age]]&lt;=35,2,IF(HR_Data[[#This Row],[Age]]&lt;=45,3,IF(HR_Data[[#This Row],[Age]]&lt;=55,4,5))))</f>
        <v>2</v>
      </c>
      <c r="AG600" s="1" t="str">
        <f>IF(HR_Data[[#This Row],[MonthlyIncome]]&lt;3000,"&lt;3K",IF(HR_Data[[#This Row],[MonthlyIncome]]&lt;6000,"3K-6K",IF(HR_Data[[#This Row],[MonthlyIncome]]&lt;10000,"6K-10K","10K+")))</f>
        <v>3K-6K</v>
      </c>
      <c r="AH600" s="1">
        <f>IF(HR_Data[[#This Row],[MonthlyIncome]]&lt;3000,1,IF(HR_Data[[#This Row],[MonthlyIncome]]&lt;6000,2,IF(HR_Data[[#This Row],[MonthlyIncome]]&lt;10000,3,4)))</f>
        <v>2</v>
      </c>
      <c r="AI600" s="1" t="str">
        <f>IF(HR_Data[[#This Row],[YearsAtCompany]]&lt;=2,"0-2 Yrs",IF(HR_Data[[#This Row],[YearsAtCompany]]&lt;=5,"3-5 Yrs",IF(HR_Data[[#This Row],[YearsAtCompany]]&lt;=10,"6-10 Yrs","10+ Yrs")))</f>
        <v>0-2 Yrs</v>
      </c>
      <c r="AJ600" s="1">
        <f>IF(HR_Data[[#This Row],[YearsAtCompany]]&lt;=2,1,IF(HR_Data[[#This Row],[YearsAtCompany]]&lt;=5,2,IF(HR_Data[[#This Row],[YearsAtCompany]]&lt;=10,3,4)))</f>
        <v>1</v>
      </c>
      <c r="AK600" s="1" t="str">
        <f>CHOOSE(HR_Data[[#This Row],[Education]],"Below College","College","Bachelor","Master","Doctor")</f>
        <v>Master</v>
      </c>
      <c r="AL600" s="1" t="str">
        <f>CHOOSE(HR_Data[[#This Row],[JobSatisfaction]],"Low","Medium","High","Very High")</f>
        <v>High</v>
      </c>
      <c r="AM600" s="1" t="str">
        <f>CHOOSE(HR_Data[[#This Row],[EnvironmentSatisfaction]],"Low","Medium","High","Very High")</f>
        <v>High</v>
      </c>
      <c r="AN600" s="1" t="str">
        <f>CHOOSE(HR_Data[[#This Row],[WorkLifeBalance]],"Bad","Good","Better","Best")</f>
        <v>Good</v>
      </c>
      <c r="AO600" s="1" t="str">
        <f>IF(HR_Data[[#This Row],[PercentSalaryHike]]&lt;=13,"11-13%",IF(HR_Data[[#This Row],[PercentSalaryHike]]&lt;=16,"14-16%",IF(HR_Data[[#This Row],[PercentSalaryHike]]&lt;=19,"17-19%","20-25%")))</f>
        <v>17-19%</v>
      </c>
      <c r="AP600" s="1">
        <f>IF(HR_Data[[#This Row],[PercentSalaryHike]]&lt;=13,1,IF(HR_Data[[#This Row],[PercentSalaryHike]]&lt;=16,2,IF(HR_Data[[#This Row],[PercentSalaryHike]]&lt;=19,3,4)))</f>
        <v>3</v>
      </c>
      <c r="AQ600" s="1" t="str">
        <f>IF(HR_Data[[#This Row],[DistanceFromHome]]&lt;=5,"1 to 5",IF(HR_Data[[#This Row],[DistanceFromHome]]&lt;=10,"6 to 10",IF(HR_Data[[#This Row],[DistanceFromHome]]&lt;=20,"11 to 20","21 to 29")))</f>
        <v>1 to 5</v>
      </c>
      <c r="AR600" s="1">
        <f>IF(HR_Data[[#This Row],[DistanceFromHome]]&lt;=5,1,IF(HR_Data[[#This Row],[DistanceFromHome]]&lt;=10,2,IF(HR_Data[[#This Row],[DistanceFromHome]]&lt;=20,3,4)))</f>
        <v>1</v>
      </c>
      <c r="AS600" s="1" t="str">
        <f>IF(HR_Data[[#This Row],[TotalWorkingYears]]&lt;=5,"0-5 Yrs",IF(HR_Data[[#This Row],[TotalWorkingYears]]&lt;=10,"6-10 Yrs",IF(HR_Data[[#This Row],[TotalWorkingYears]]&lt;=20,"11-20 Yrs","20+ Yrs")))</f>
        <v>0-5 Yrs</v>
      </c>
      <c r="AT600" s="1">
        <f>IF(HR_Data[[#This Row],[TotalWorkingYears]]&lt;=5,1,IF(HR_Data[[#This Row],[TotalWorkingYears]]&lt;=10,2,IF(HR_Data[[#This Row],[TotalWorkingYears]]&lt;=20,3,4)))</f>
        <v>1</v>
      </c>
    </row>
    <row r="601" spans="1:46" x14ac:dyDescent="0.25">
      <c r="A601">
        <v>36</v>
      </c>
      <c r="B601" t="s">
        <v>36</v>
      </c>
      <c r="C601" t="s">
        <v>30</v>
      </c>
      <c r="D601" t="s">
        <v>54</v>
      </c>
      <c r="E601">
        <v>13</v>
      </c>
      <c r="F601">
        <v>3</v>
      </c>
      <c r="G601" t="s">
        <v>54</v>
      </c>
      <c r="H601">
        <v>829</v>
      </c>
      <c r="I601">
        <v>3</v>
      </c>
      <c r="J601" t="s">
        <v>39</v>
      </c>
      <c r="K601">
        <v>3</v>
      </c>
      <c r="L601">
        <v>1</v>
      </c>
      <c r="M601" t="s">
        <v>54</v>
      </c>
      <c r="N601">
        <v>2</v>
      </c>
      <c r="O601" t="s">
        <v>41</v>
      </c>
      <c r="P601">
        <v>2143</v>
      </c>
      <c r="Q601">
        <v>4</v>
      </c>
      <c r="R601" t="s">
        <v>36</v>
      </c>
      <c r="S601">
        <v>13</v>
      </c>
      <c r="T601">
        <v>3</v>
      </c>
      <c r="U601">
        <v>2</v>
      </c>
      <c r="V601">
        <v>1</v>
      </c>
      <c r="W601">
        <v>8</v>
      </c>
      <c r="X601">
        <v>2</v>
      </c>
      <c r="Y601">
        <v>3</v>
      </c>
      <c r="Z601">
        <v>5</v>
      </c>
      <c r="AA601">
        <v>2</v>
      </c>
      <c r="AB601">
        <v>0</v>
      </c>
      <c r="AC601">
        <v>4</v>
      </c>
      <c r="AD601">
        <f>IF(HR_Data[[#This Row],[Attrition]]="Yes",1,0)</f>
        <v>0</v>
      </c>
      <c r="AE601" t="str">
        <f>IF(HR_Data[[#This Row],[Age]]&lt;=25,"18-25",IF(HR_Data[[#This Row],[Age]]&lt;=35,"26-35",IF(HR_Data[[#This Row],[Age]]&lt;=45,"36-45",IF(HR_Data[[#This Row],[Age]]&lt;=55,"46-55","55+"))))</f>
        <v>36-45</v>
      </c>
      <c r="AF601">
        <f>IF(HR_Data[[#This Row],[Age]]&lt;=25,1,IF(HR_Data[[#This Row],[Age]]&lt;=35,2,IF(HR_Data[[#This Row],[Age]]&lt;=45,3,IF(HR_Data[[#This Row],[Age]]&lt;=55,4,5))))</f>
        <v>3</v>
      </c>
      <c r="AG601" s="1" t="str">
        <f>IF(HR_Data[[#This Row],[MonthlyIncome]]&lt;3000,"&lt;3K",IF(HR_Data[[#This Row],[MonthlyIncome]]&lt;6000,"3K-6K",IF(HR_Data[[#This Row],[MonthlyIncome]]&lt;10000,"6K-10K","10K+")))</f>
        <v>&lt;3K</v>
      </c>
      <c r="AH601" s="1">
        <f>IF(HR_Data[[#This Row],[MonthlyIncome]]&lt;3000,1,IF(HR_Data[[#This Row],[MonthlyIncome]]&lt;6000,2,IF(HR_Data[[#This Row],[MonthlyIncome]]&lt;10000,3,4)))</f>
        <v>1</v>
      </c>
      <c r="AI601" s="1" t="str">
        <f>IF(HR_Data[[#This Row],[YearsAtCompany]]&lt;=2,"0-2 Yrs",IF(HR_Data[[#This Row],[YearsAtCompany]]&lt;=5,"3-5 Yrs",IF(HR_Data[[#This Row],[YearsAtCompany]]&lt;=10,"6-10 Yrs","10+ Yrs")))</f>
        <v>3-5 Yrs</v>
      </c>
      <c r="AJ601" s="1">
        <f>IF(HR_Data[[#This Row],[YearsAtCompany]]&lt;=2,1,IF(HR_Data[[#This Row],[YearsAtCompany]]&lt;=5,2,IF(HR_Data[[#This Row],[YearsAtCompany]]&lt;=10,3,4)))</f>
        <v>2</v>
      </c>
      <c r="AK601" s="1" t="str">
        <f>CHOOSE(HR_Data[[#This Row],[Education]],"Below College","College","Bachelor","Master","Doctor")</f>
        <v>Bachelor</v>
      </c>
      <c r="AL601" s="1" t="str">
        <f>CHOOSE(HR_Data[[#This Row],[JobSatisfaction]],"Low","Medium","High","Very High")</f>
        <v>Medium</v>
      </c>
      <c r="AM601" s="1" t="str">
        <f>CHOOSE(HR_Data[[#This Row],[EnvironmentSatisfaction]],"Low","Medium","High","Very High")</f>
        <v>High</v>
      </c>
      <c r="AN601" s="1" t="str">
        <f>CHOOSE(HR_Data[[#This Row],[WorkLifeBalance]],"Bad","Good","Better","Best")</f>
        <v>Better</v>
      </c>
      <c r="AO601" s="1" t="str">
        <f>IF(HR_Data[[#This Row],[PercentSalaryHike]]&lt;=13,"11-13%",IF(HR_Data[[#This Row],[PercentSalaryHike]]&lt;=16,"14-16%",IF(HR_Data[[#This Row],[PercentSalaryHike]]&lt;=19,"17-19%","20-25%")))</f>
        <v>11-13%</v>
      </c>
      <c r="AP601" s="1">
        <f>IF(HR_Data[[#This Row],[PercentSalaryHike]]&lt;=13,1,IF(HR_Data[[#This Row],[PercentSalaryHike]]&lt;=16,2,IF(HR_Data[[#This Row],[PercentSalaryHike]]&lt;=19,3,4)))</f>
        <v>1</v>
      </c>
      <c r="AQ601" s="1" t="str">
        <f>IF(HR_Data[[#This Row],[DistanceFromHome]]&lt;=5,"1 to 5",IF(HR_Data[[#This Row],[DistanceFromHome]]&lt;=10,"6 to 10",IF(HR_Data[[#This Row],[DistanceFromHome]]&lt;=20,"11 to 20","21 to 29")))</f>
        <v>11 to 20</v>
      </c>
      <c r="AR601" s="1">
        <f>IF(HR_Data[[#This Row],[DistanceFromHome]]&lt;=5,1,IF(HR_Data[[#This Row],[DistanceFromHome]]&lt;=10,2,IF(HR_Data[[#This Row],[DistanceFromHome]]&lt;=20,3,4)))</f>
        <v>3</v>
      </c>
      <c r="AS601" s="1" t="str">
        <f>IF(HR_Data[[#This Row],[TotalWorkingYears]]&lt;=5,"0-5 Yrs",IF(HR_Data[[#This Row],[TotalWorkingYears]]&lt;=10,"6-10 Yrs",IF(HR_Data[[#This Row],[TotalWorkingYears]]&lt;=20,"11-20 Yrs","20+ Yrs")))</f>
        <v>6-10 Yrs</v>
      </c>
      <c r="AT601" s="1">
        <f>IF(HR_Data[[#This Row],[TotalWorkingYears]]&lt;=5,1,IF(HR_Data[[#This Row],[TotalWorkingYears]]&lt;=10,2,IF(HR_Data[[#This Row],[TotalWorkingYears]]&lt;=20,3,4)))</f>
        <v>2</v>
      </c>
    </row>
    <row r="602" spans="1:46" x14ac:dyDescent="0.25">
      <c r="A602">
        <v>32</v>
      </c>
      <c r="B602" t="s">
        <v>36</v>
      </c>
      <c r="C602" t="s">
        <v>30</v>
      </c>
      <c r="D602" t="s">
        <v>38</v>
      </c>
      <c r="E602">
        <v>4</v>
      </c>
      <c r="F602">
        <v>3</v>
      </c>
      <c r="G602" t="s">
        <v>32</v>
      </c>
      <c r="H602">
        <v>830</v>
      </c>
      <c r="I602">
        <v>3</v>
      </c>
      <c r="J602" t="s">
        <v>33</v>
      </c>
      <c r="K602">
        <v>2</v>
      </c>
      <c r="L602">
        <v>2</v>
      </c>
      <c r="M602" t="s">
        <v>46</v>
      </c>
      <c r="N602">
        <v>3</v>
      </c>
      <c r="O602" t="s">
        <v>41</v>
      </c>
      <c r="P602">
        <v>6162</v>
      </c>
      <c r="Q602">
        <v>1</v>
      </c>
      <c r="R602" t="s">
        <v>36</v>
      </c>
      <c r="S602">
        <v>12</v>
      </c>
      <c r="T602">
        <v>3</v>
      </c>
      <c r="U602">
        <v>3</v>
      </c>
      <c r="V602">
        <v>1</v>
      </c>
      <c r="W602">
        <v>14</v>
      </c>
      <c r="X602">
        <v>3</v>
      </c>
      <c r="Y602">
        <v>3</v>
      </c>
      <c r="Z602">
        <v>14</v>
      </c>
      <c r="AA602">
        <v>13</v>
      </c>
      <c r="AB602">
        <v>6</v>
      </c>
      <c r="AC602">
        <v>8</v>
      </c>
      <c r="AD602">
        <f>IF(HR_Data[[#This Row],[Attrition]]="Yes",1,0)</f>
        <v>0</v>
      </c>
      <c r="AE602" t="str">
        <f>IF(HR_Data[[#This Row],[Age]]&lt;=25,"18-25",IF(HR_Data[[#This Row],[Age]]&lt;=35,"26-35",IF(HR_Data[[#This Row],[Age]]&lt;=45,"36-45",IF(HR_Data[[#This Row],[Age]]&lt;=55,"46-55","55+"))))</f>
        <v>26-35</v>
      </c>
      <c r="AF602">
        <f>IF(HR_Data[[#This Row],[Age]]&lt;=25,1,IF(HR_Data[[#This Row],[Age]]&lt;=35,2,IF(HR_Data[[#This Row],[Age]]&lt;=45,3,IF(HR_Data[[#This Row],[Age]]&lt;=55,4,5))))</f>
        <v>2</v>
      </c>
      <c r="AG602" s="1" t="str">
        <f>IF(HR_Data[[#This Row],[MonthlyIncome]]&lt;3000,"&lt;3K",IF(HR_Data[[#This Row],[MonthlyIncome]]&lt;6000,"3K-6K",IF(HR_Data[[#This Row],[MonthlyIncome]]&lt;10000,"6K-10K","10K+")))</f>
        <v>6K-10K</v>
      </c>
      <c r="AH602" s="1">
        <f>IF(HR_Data[[#This Row],[MonthlyIncome]]&lt;3000,1,IF(HR_Data[[#This Row],[MonthlyIncome]]&lt;6000,2,IF(HR_Data[[#This Row],[MonthlyIncome]]&lt;10000,3,4)))</f>
        <v>3</v>
      </c>
      <c r="AI602" s="1" t="str">
        <f>IF(HR_Data[[#This Row],[YearsAtCompany]]&lt;=2,"0-2 Yrs",IF(HR_Data[[#This Row],[YearsAtCompany]]&lt;=5,"3-5 Yrs",IF(HR_Data[[#This Row],[YearsAtCompany]]&lt;=10,"6-10 Yrs","10+ Yrs")))</f>
        <v>10+ Yrs</v>
      </c>
      <c r="AJ602" s="1">
        <f>IF(HR_Data[[#This Row],[YearsAtCompany]]&lt;=2,1,IF(HR_Data[[#This Row],[YearsAtCompany]]&lt;=5,2,IF(HR_Data[[#This Row],[YearsAtCompany]]&lt;=10,3,4)))</f>
        <v>4</v>
      </c>
      <c r="AK602" s="1" t="str">
        <f>CHOOSE(HR_Data[[#This Row],[Education]],"Below College","College","Bachelor","Master","Doctor")</f>
        <v>Bachelor</v>
      </c>
      <c r="AL602" s="1" t="str">
        <f>CHOOSE(HR_Data[[#This Row],[JobSatisfaction]],"Low","Medium","High","Very High")</f>
        <v>High</v>
      </c>
      <c r="AM602" s="1" t="str">
        <f>CHOOSE(HR_Data[[#This Row],[EnvironmentSatisfaction]],"Low","Medium","High","Very High")</f>
        <v>High</v>
      </c>
      <c r="AN602" s="1" t="str">
        <f>CHOOSE(HR_Data[[#This Row],[WorkLifeBalance]],"Bad","Good","Better","Best")</f>
        <v>Better</v>
      </c>
      <c r="AO602" s="1" t="str">
        <f>IF(HR_Data[[#This Row],[PercentSalaryHike]]&lt;=13,"11-13%",IF(HR_Data[[#This Row],[PercentSalaryHike]]&lt;=16,"14-16%",IF(HR_Data[[#This Row],[PercentSalaryHike]]&lt;=19,"17-19%","20-25%")))</f>
        <v>11-13%</v>
      </c>
      <c r="AP602" s="1">
        <f>IF(HR_Data[[#This Row],[PercentSalaryHike]]&lt;=13,1,IF(HR_Data[[#This Row],[PercentSalaryHike]]&lt;=16,2,IF(HR_Data[[#This Row],[PercentSalaryHike]]&lt;=19,3,4)))</f>
        <v>1</v>
      </c>
      <c r="AQ602" s="1" t="str">
        <f>IF(HR_Data[[#This Row],[DistanceFromHome]]&lt;=5,"1 to 5",IF(HR_Data[[#This Row],[DistanceFromHome]]&lt;=10,"6 to 10",IF(HR_Data[[#This Row],[DistanceFromHome]]&lt;=20,"11 to 20","21 to 29")))</f>
        <v>1 to 5</v>
      </c>
      <c r="AR602" s="1">
        <f>IF(HR_Data[[#This Row],[DistanceFromHome]]&lt;=5,1,IF(HR_Data[[#This Row],[DistanceFromHome]]&lt;=10,2,IF(HR_Data[[#This Row],[DistanceFromHome]]&lt;=20,3,4)))</f>
        <v>1</v>
      </c>
      <c r="AS602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602" s="1">
        <f>IF(HR_Data[[#This Row],[TotalWorkingYears]]&lt;=5,1,IF(HR_Data[[#This Row],[TotalWorkingYears]]&lt;=10,2,IF(HR_Data[[#This Row],[TotalWorkingYears]]&lt;=20,3,4)))</f>
        <v>3</v>
      </c>
    </row>
    <row r="603" spans="1:46" x14ac:dyDescent="0.25">
      <c r="A603">
        <v>40</v>
      </c>
      <c r="B603" t="s">
        <v>36</v>
      </c>
      <c r="C603" t="s">
        <v>37</v>
      </c>
      <c r="D603" t="s">
        <v>38</v>
      </c>
      <c r="E603">
        <v>16</v>
      </c>
      <c r="F603">
        <v>4</v>
      </c>
      <c r="G603" t="s">
        <v>44</v>
      </c>
      <c r="H603">
        <v>832</v>
      </c>
      <c r="I603">
        <v>1</v>
      </c>
      <c r="J603" t="s">
        <v>39</v>
      </c>
      <c r="K603">
        <v>2</v>
      </c>
      <c r="L603">
        <v>2</v>
      </c>
      <c r="M603" t="s">
        <v>43</v>
      </c>
      <c r="N603">
        <v>3</v>
      </c>
      <c r="O603" t="s">
        <v>35</v>
      </c>
      <c r="P603">
        <v>5094</v>
      </c>
      <c r="Q603">
        <v>6</v>
      </c>
      <c r="R603" t="s">
        <v>36</v>
      </c>
      <c r="S603">
        <v>14</v>
      </c>
      <c r="T603">
        <v>3</v>
      </c>
      <c r="U603">
        <v>4</v>
      </c>
      <c r="V603">
        <v>0</v>
      </c>
      <c r="W603">
        <v>10</v>
      </c>
      <c r="X603">
        <v>6</v>
      </c>
      <c r="Y603">
        <v>3</v>
      </c>
      <c r="Z603">
        <v>1</v>
      </c>
      <c r="AA603">
        <v>0</v>
      </c>
      <c r="AB603">
        <v>0</v>
      </c>
      <c r="AC603">
        <v>0</v>
      </c>
      <c r="AD603">
        <f>IF(HR_Data[[#This Row],[Attrition]]="Yes",1,0)</f>
        <v>0</v>
      </c>
      <c r="AE603" t="str">
        <f>IF(HR_Data[[#This Row],[Age]]&lt;=25,"18-25",IF(HR_Data[[#This Row],[Age]]&lt;=35,"26-35",IF(HR_Data[[#This Row],[Age]]&lt;=45,"36-45",IF(HR_Data[[#This Row],[Age]]&lt;=55,"46-55","55+"))))</f>
        <v>36-45</v>
      </c>
      <c r="AF603">
        <f>IF(HR_Data[[#This Row],[Age]]&lt;=25,1,IF(HR_Data[[#This Row],[Age]]&lt;=35,2,IF(HR_Data[[#This Row],[Age]]&lt;=45,3,IF(HR_Data[[#This Row],[Age]]&lt;=55,4,5))))</f>
        <v>3</v>
      </c>
      <c r="AG603" s="1" t="str">
        <f>IF(HR_Data[[#This Row],[MonthlyIncome]]&lt;3000,"&lt;3K",IF(HR_Data[[#This Row],[MonthlyIncome]]&lt;6000,"3K-6K",IF(HR_Data[[#This Row],[MonthlyIncome]]&lt;10000,"6K-10K","10K+")))</f>
        <v>3K-6K</v>
      </c>
      <c r="AH603" s="1">
        <f>IF(HR_Data[[#This Row],[MonthlyIncome]]&lt;3000,1,IF(HR_Data[[#This Row],[MonthlyIncome]]&lt;6000,2,IF(HR_Data[[#This Row],[MonthlyIncome]]&lt;10000,3,4)))</f>
        <v>2</v>
      </c>
      <c r="AI603" s="1" t="str">
        <f>IF(HR_Data[[#This Row],[YearsAtCompany]]&lt;=2,"0-2 Yrs",IF(HR_Data[[#This Row],[YearsAtCompany]]&lt;=5,"3-5 Yrs",IF(HR_Data[[#This Row],[YearsAtCompany]]&lt;=10,"6-10 Yrs","10+ Yrs")))</f>
        <v>0-2 Yrs</v>
      </c>
      <c r="AJ603" s="1">
        <f>IF(HR_Data[[#This Row],[YearsAtCompany]]&lt;=2,1,IF(HR_Data[[#This Row],[YearsAtCompany]]&lt;=5,2,IF(HR_Data[[#This Row],[YearsAtCompany]]&lt;=10,3,4)))</f>
        <v>1</v>
      </c>
      <c r="AK603" s="1" t="str">
        <f>CHOOSE(HR_Data[[#This Row],[Education]],"Below College","College","Bachelor","Master","Doctor")</f>
        <v>Master</v>
      </c>
      <c r="AL603" s="1" t="str">
        <f>CHOOSE(HR_Data[[#This Row],[JobSatisfaction]],"Low","Medium","High","Very High")</f>
        <v>High</v>
      </c>
      <c r="AM603" s="1" t="str">
        <f>CHOOSE(HR_Data[[#This Row],[EnvironmentSatisfaction]],"Low","Medium","High","Very High")</f>
        <v>Low</v>
      </c>
      <c r="AN603" s="1" t="str">
        <f>CHOOSE(HR_Data[[#This Row],[WorkLifeBalance]],"Bad","Good","Better","Best")</f>
        <v>Better</v>
      </c>
      <c r="AO603" s="1" t="str">
        <f>IF(HR_Data[[#This Row],[PercentSalaryHike]]&lt;=13,"11-13%",IF(HR_Data[[#This Row],[PercentSalaryHike]]&lt;=16,"14-16%",IF(HR_Data[[#This Row],[PercentSalaryHike]]&lt;=19,"17-19%","20-25%")))</f>
        <v>14-16%</v>
      </c>
      <c r="AP603" s="1">
        <f>IF(HR_Data[[#This Row],[PercentSalaryHike]]&lt;=13,1,IF(HR_Data[[#This Row],[PercentSalaryHike]]&lt;=16,2,IF(HR_Data[[#This Row],[PercentSalaryHike]]&lt;=19,3,4)))</f>
        <v>2</v>
      </c>
      <c r="AQ603" s="1" t="str">
        <f>IF(HR_Data[[#This Row],[DistanceFromHome]]&lt;=5,"1 to 5",IF(HR_Data[[#This Row],[DistanceFromHome]]&lt;=10,"6 to 10",IF(HR_Data[[#This Row],[DistanceFromHome]]&lt;=20,"11 to 20","21 to 29")))</f>
        <v>11 to 20</v>
      </c>
      <c r="AR603" s="1">
        <f>IF(HR_Data[[#This Row],[DistanceFromHome]]&lt;=5,1,IF(HR_Data[[#This Row],[DistanceFromHome]]&lt;=10,2,IF(HR_Data[[#This Row],[DistanceFromHome]]&lt;=20,3,4)))</f>
        <v>3</v>
      </c>
      <c r="AS603" s="1" t="str">
        <f>IF(HR_Data[[#This Row],[TotalWorkingYears]]&lt;=5,"0-5 Yrs",IF(HR_Data[[#This Row],[TotalWorkingYears]]&lt;=10,"6-10 Yrs",IF(HR_Data[[#This Row],[TotalWorkingYears]]&lt;=20,"11-20 Yrs","20+ Yrs")))</f>
        <v>6-10 Yrs</v>
      </c>
      <c r="AT603" s="1">
        <f>IF(HR_Data[[#This Row],[TotalWorkingYears]]&lt;=5,1,IF(HR_Data[[#This Row],[TotalWorkingYears]]&lt;=10,2,IF(HR_Data[[#This Row],[TotalWorkingYears]]&lt;=20,3,4)))</f>
        <v>2</v>
      </c>
    </row>
    <row r="604" spans="1:46" x14ac:dyDescent="0.25">
      <c r="A604">
        <v>30</v>
      </c>
      <c r="B604" t="s">
        <v>36</v>
      </c>
      <c r="C604" t="s">
        <v>30</v>
      </c>
      <c r="D604" t="s">
        <v>38</v>
      </c>
      <c r="E604">
        <v>2</v>
      </c>
      <c r="F604">
        <v>3</v>
      </c>
      <c r="G604" t="s">
        <v>44</v>
      </c>
      <c r="H604">
        <v>833</v>
      </c>
      <c r="I604">
        <v>3</v>
      </c>
      <c r="J604" t="s">
        <v>33</v>
      </c>
      <c r="K604">
        <v>2</v>
      </c>
      <c r="L604">
        <v>2</v>
      </c>
      <c r="M604" t="s">
        <v>46</v>
      </c>
      <c r="N604">
        <v>4</v>
      </c>
      <c r="O604" t="s">
        <v>35</v>
      </c>
      <c r="P604">
        <v>6877</v>
      </c>
      <c r="Q604">
        <v>5</v>
      </c>
      <c r="R604" t="s">
        <v>29</v>
      </c>
      <c r="S604">
        <v>24</v>
      </c>
      <c r="T604">
        <v>4</v>
      </c>
      <c r="U604">
        <v>2</v>
      </c>
      <c r="V604">
        <v>0</v>
      </c>
      <c r="W604">
        <v>12</v>
      </c>
      <c r="X604">
        <v>4</v>
      </c>
      <c r="Y604">
        <v>2</v>
      </c>
      <c r="Z604">
        <v>0</v>
      </c>
      <c r="AA604">
        <v>0</v>
      </c>
      <c r="AB604">
        <v>0</v>
      </c>
      <c r="AC604">
        <v>0</v>
      </c>
      <c r="AD604">
        <f>IF(HR_Data[[#This Row],[Attrition]]="Yes",1,0)</f>
        <v>0</v>
      </c>
      <c r="AE604" t="str">
        <f>IF(HR_Data[[#This Row],[Age]]&lt;=25,"18-25",IF(HR_Data[[#This Row],[Age]]&lt;=35,"26-35",IF(HR_Data[[#This Row],[Age]]&lt;=45,"36-45",IF(HR_Data[[#This Row],[Age]]&lt;=55,"46-55","55+"))))</f>
        <v>26-35</v>
      </c>
      <c r="AF604">
        <f>IF(HR_Data[[#This Row],[Age]]&lt;=25,1,IF(HR_Data[[#This Row],[Age]]&lt;=35,2,IF(HR_Data[[#This Row],[Age]]&lt;=45,3,IF(HR_Data[[#This Row],[Age]]&lt;=55,4,5))))</f>
        <v>2</v>
      </c>
      <c r="AG604" s="1" t="str">
        <f>IF(HR_Data[[#This Row],[MonthlyIncome]]&lt;3000,"&lt;3K",IF(HR_Data[[#This Row],[MonthlyIncome]]&lt;6000,"3K-6K",IF(HR_Data[[#This Row],[MonthlyIncome]]&lt;10000,"6K-10K","10K+")))</f>
        <v>6K-10K</v>
      </c>
      <c r="AH604" s="1">
        <f>IF(HR_Data[[#This Row],[MonthlyIncome]]&lt;3000,1,IF(HR_Data[[#This Row],[MonthlyIncome]]&lt;6000,2,IF(HR_Data[[#This Row],[MonthlyIncome]]&lt;10000,3,4)))</f>
        <v>3</v>
      </c>
      <c r="AI604" s="1" t="str">
        <f>IF(HR_Data[[#This Row],[YearsAtCompany]]&lt;=2,"0-2 Yrs",IF(HR_Data[[#This Row],[YearsAtCompany]]&lt;=5,"3-5 Yrs",IF(HR_Data[[#This Row],[YearsAtCompany]]&lt;=10,"6-10 Yrs","10+ Yrs")))</f>
        <v>0-2 Yrs</v>
      </c>
      <c r="AJ604" s="1">
        <f>IF(HR_Data[[#This Row],[YearsAtCompany]]&lt;=2,1,IF(HR_Data[[#This Row],[YearsAtCompany]]&lt;=5,2,IF(HR_Data[[#This Row],[YearsAtCompany]]&lt;=10,3,4)))</f>
        <v>1</v>
      </c>
      <c r="AK604" s="1" t="str">
        <f>CHOOSE(HR_Data[[#This Row],[Education]],"Below College","College","Bachelor","Master","Doctor")</f>
        <v>Bachelor</v>
      </c>
      <c r="AL604" s="1" t="str">
        <f>CHOOSE(HR_Data[[#This Row],[JobSatisfaction]],"Low","Medium","High","Very High")</f>
        <v>Very High</v>
      </c>
      <c r="AM604" s="1" t="str">
        <f>CHOOSE(HR_Data[[#This Row],[EnvironmentSatisfaction]],"Low","Medium","High","Very High")</f>
        <v>High</v>
      </c>
      <c r="AN604" s="1" t="str">
        <f>CHOOSE(HR_Data[[#This Row],[WorkLifeBalance]],"Bad","Good","Better","Best")</f>
        <v>Good</v>
      </c>
      <c r="AO604" s="1" t="str">
        <f>IF(HR_Data[[#This Row],[PercentSalaryHike]]&lt;=13,"11-13%",IF(HR_Data[[#This Row],[PercentSalaryHike]]&lt;=16,"14-16%",IF(HR_Data[[#This Row],[PercentSalaryHike]]&lt;=19,"17-19%","20-25%")))</f>
        <v>20-25%</v>
      </c>
      <c r="AP604" s="1">
        <f>IF(HR_Data[[#This Row],[PercentSalaryHike]]&lt;=13,1,IF(HR_Data[[#This Row],[PercentSalaryHike]]&lt;=16,2,IF(HR_Data[[#This Row],[PercentSalaryHike]]&lt;=19,3,4)))</f>
        <v>4</v>
      </c>
      <c r="AQ604" s="1" t="str">
        <f>IF(HR_Data[[#This Row],[DistanceFromHome]]&lt;=5,"1 to 5",IF(HR_Data[[#This Row],[DistanceFromHome]]&lt;=10,"6 to 10",IF(HR_Data[[#This Row],[DistanceFromHome]]&lt;=20,"11 to 20","21 to 29")))</f>
        <v>1 to 5</v>
      </c>
      <c r="AR604" s="1">
        <f>IF(HR_Data[[#This Row],[DistanceFromHome]]&lt;=5,1,IF(HR_Data[[#This Row],[DistanceFromHome]]&lt;=10,2,IF(HR_Data[[#This Row],[DistanceFromHome]]&lt;=20,3,4)))</f>
        <v>1</v>
      </c>
      <c r="AS604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604" s="1">
        <f>IF(HR_Data[[#This Row],[TotalWorkingYears]]&lt;=5,1,IF(HR_Data[[#This Row],[TotalWorkingYears]]&lt;=10,2,IF(HR_Data[[#This Row],[TotalWorkingYears]]&lt;=20,3,4)))</f>
        <v>3</v>
      </c>
    </row>
    <row r="605" spans="1:46" x14ac:dyDescent="0.25">
      <c r="A605">
        <v>45</v>
      </c>
      <c r="B605" t="s">
        <v>36</v>
      </c>
      <c r="C605" t="s">
        <v>30</v>
      </c>
      <c r="D605" t="s">
        <v>38</v>
      </c>
      <c r="E605">
        <v>2</v>
      </c>
      <c r="F605">
        <v>3</v>
      </c>
      <c r="G605" t="s">
        <v>32</v>
      </c>
      <c r="H605">
        <v>834</v>
      </c>
      <c r="I605">
        <v>2</v>
      </c>
      <c r="J605" t="s">
        <v>33</v>
      </c>
      <c r="K605">
        <v>2</v>
      </c>
      <c r="L605">
        <v>1</v>
      </c>
      <c r="M605" t="s">
        <v>40</v>
      </c>
      <c r="N605">
        <v>3</v>
      </c>
      <c r="O605" t="s">
        <v>35</v>
      </c>
      <c r="P605">
        <v>2274</v>
      </c>
      <c r="Q605">
        <v>1</v>
      </c>
      <c r="R605" t="s">
        <v>36</v>
      </c>
      <c r="S605">
        <v>14</v>
      </c>
      <c r="T605">
        <v>3</v>
      </c>
      <c r="U605">
        <v>4</v>
      </c>
      <c r="V605">
        <v>0</v>
      </c>
      <c r="W605">
        <v>1</v>
      </c>
      <c r="X605">
        <v>3</v>
      </c>
      <c r="Y605">
        <v>3</v>
      </c>
      <c r="Z605">
        <v>1</v>
      </c>
      <c r="AA605">
        <v>0</v>
      </c>
      <c r="AB605">
        <v>0</v>
      </c>
      <c r="AC605">
        <v>0</v>
      </c>
      <c r="AD605">
        <f>IF(HR_Data[[#This Row],[Attrition]]="Yes",1,0)</f>
        <v>0</v>
      </c>
      <c r="AE605" t="str">
        <f>IF(HR_Data[[#This Row],[Age]]&lt;=25,"18-25",IF(HR_Data[[#This Row],[Age]]&lt;=35,"26-35",IF(HR_Data[[#This Row],[Age]]&lt;=45,"36-45",IF(HR_Data[[#This Row],[Age]]&lt;=55,"46-55","55+"))))</f>
        <v>36-45</v>
      </c>
      <c r="AF605">
        <f>IF(HR_Data[[#This Row],[Age]]&lt;=25,1,IF(HR_Data[[#This Row],[Age]]&lt;=35,2,IF(HR_Data[[#This Row],[Age]]&lt;=45,3,IF(HR_Data[[#This Row],[Age]]&lt;=55,4,5))))</f>
        <v>3</v>
      </c>
      <c r="AG605" s="1" t="str">
        <f>IF(HR_Data[[#This Row],[MonthlyIncome]]&lt;3000,"&lt;3K",IF(HR_Data[[#This Row],[MonthlyIncome]]&lt;6000,"3K-6K",IF(HR_Data[[#This Row],[MonthlyIncome]]&lt;10000,"6K-10K","10K+")))</f>
        <v>&lt;3K</v>
      </c>
      <c r="AH605" s="1">
        <f>IF(HR_Data[[#This Row],[MonthlyIncome]]&lt;3000,1,IF(HR_Data[[#This Row],[MonthlyIncome]]&lt;6000,2,IF(HR_Data[[#This Row],[MonthlyIncome]]&lt;10000,3,4)))</f>
        <v>1</v>
      </c>
      <c r="AI605" s="1" t="str">
        <f>IF(HR_Data[[#This Row],[YearsAtCompany]]&lt;=2,"0-2 Yrs",IF(HR_Data[[#This Row],[YearsAtCompany]]&lt;=5,"3-5 Yrs",IF(HR_Data[[#This Row],[YearsAtCompany]]&lt;=10,"6-10 Yrs","10+ Yrs")))</f>
        <v>0-2 Yrs</v>
      </c>
      <c r="AJ605" s="1">
        <f>IF(HR_Data[[#This Row],[YearsAtCompany]]&lt;=2,1,IF(HR_Data[[#This Row],[YearsAtCompany]]&lt;=5,2,IF(HR_Data[[#This Row],[YearsAtCompany]]&lt;=10,3,4)))</f>
        <v>1</v>
      </c>
      <c r="AK605" s="1" t="str">
        <f>CHOOSE(HR_Data[[#This Row],[Education]],"Below College","College","Bachelor","Master","Doctor")</f>
        <v>Bachelor</v>
      </c>
      <c r="AL605" s="1" t="str">
        <f>CHOOSE(HR_Data[[#This Row],[JobSatisfaction]],"Low","Medium","High","Very High")</f>
        <v>High</v>
      </c>
      <c r="AM605" s="1" t="str">
        <f>CHOOSE(HR_Data[[#This Row],[EnvironmentSatisfaction]],"Low","Medium","High","Very High")</f>
        <v>Medium</v>
      </c>
      <c r="AN605" s="1" t="str">
        <f>CHOOSE(HR_Data[[#This Row],[WorkLifeBalance]],"Bad","Good","Better","Best")</f>
        <v>Better</v>
      </c>
      <c r="AO605" s="1" t="str">
        <f>IF(HR_Data[[#This Row],[PercentSalaryHike]]&lt;=13,"11-13%",IF(HR_Data[[#This Row],[PercentSalaryHike]]&lt;=16,"14-16%",IF(HR_Data[[#This Row],[PercentSalaryHike]]&lt;=19,"17-19%","20-25%")))</f>
        <v>14-16%</v>
      </c>
      <c r="AP605" s="1">
        <f>IF(HR_Data[[#This Row],[PercentSalaryHike]]&lt;=13,1,IF(HR_Data[[#This Row],[PercentSalaryHike]]&lt;=16,2,IF(HR_Data[[#This Row],[PercentSalaryHike]]&lt;=19,3,4)))</f>
        <v>2</v>
      </c>
      <c r="AQ605" s="1" t="str">
        <f>IF(HR_Data[[#This Row],[DistanceFromHome]]&lt;=5,"1 to 5",IF(HR_Data[[#This Row],[DistanceFromHome]]&lt;=10,"6 to 10",IF(HR_Data[[#This Row],[DistanceFromHome]]&lt;=20,"11 to 20","21 to 29")))</f>
        <v>1 to 5</v>
      </c>
      <c r="AR605" s="1">
        <f>IF(HR_Data[[#This Row],[DistanceFromHome]]&lt;=5,1,IF(HR_Data[[#This Row],[DistanceFromHome]]&lt;=10,2,IF(HR_Data[[#This Row],[DistanceFromHome]]&lt;=20,3,4)))</f>
        <v>1</v>
      </c>
      <c r="AS605" s="1" t="str">
        <f>IF(HR_Data[[#This Row],[TotalWorkingYears]]&lt;=5,"0-5 Yrs",IF(HR_Data[[#This Row],[TotalWorkingYears]]&lt;=10,"6-10 Yrs",IF(HR_Data[[#This Row],[TotalWorkingYears]]&lt;=20,"11-20 Yrs","20+ Yrs")))</f>
        <v>0-5 Yrs</v>
      </c>
      <c r="AT605" s="1">
        <f>IF(HR_Data[[#This Row],[TotalWorkingYears]]&lt;=5,1,IF(HR_Data[[#This Row],[TotalWorkingYears]]&lt;=10,2,IF(HR_Data[[#This Row],[TotalWorkingYears]]&lt;=20,3,4)))</f>
        <v>1</v>
      </c>
    </row>
    <row r="606" spans="1:46" x14ac:dyDescent="0.25">
      <c r="A606">
        <v>42</v>
      </c>
      <c r="B606" t="s">
        <v>36</v>
      </c>
      <c r="C606" t="s">
        <v>30</v>
      </c>
      <c r="D606" t="s">
        <v>38</v>
      </c>
      <c r="E606">
        <v>29</v>
      </c>
      <c r="F606">
        <v>3</v>
      </c>
      <c r="G606" t="s">
        <v>32</v>
      </c>
      <c r="H606">
        <v>836</v>
      </c>
      <c r="I606">
        <v>2</v>
      </c>
      <c r="J606" t="s">
        <v>39</v>
      </c>
      <c r="K606">
        <v>3</v>
      </c>
      <c r="L606">
        <v>2</v>
      </c>
      <c r="M606" t="s">
        <v>46</v>
      </c>
      <c r="N606">
        <v>2</v>
      </c>
      <c r="O606" t="s">
        <v>41</v>
      </c>
      <c r="P606">
        <v>4434</v>
      </c>
      <c r="Q606">
        <v>1</v>
      </c>
      <c r="R606" t="s">
        <v>36</v>
      </c>
      <c r="S606">
        <v>13</v>
      </c>
      <c r="T606">
        <v>3</v>
      </c>
      <c r="U606">
        <v>4</v>
      </c>
      <c r="V606">
        <v>1</v>
      </c>
      <c r="W606">
        <v>10</v>
      </c>
      <c r="X606">
        <v>3</v>
      </c>
      <c r="Y606">
        <v>2</v>
      </c>
      <c r="Z606">
        <v>9</v>
      </c>
      <c r="AA606">
        <v>8</v>
      </c>
      <c r="AB606">
        <v>7</v>
      </c>
      <c r="AC606">
        <v>8</v>
      </c>
      <c r="AD606">
        <f>IF(HR_Data[[#This Row],[Attrition]]="Yes",1,0)</f>
        <v>0</v>
      </c>
      <c r="AE606" t="str">
        <f>IF(HR_Data[[#This Row],[Age]]&lt;=25,"18-25",IF(HR_Data[[#This Row],[Age]]&lt;=35,"26-35",IF(HR_Data[[#This Row],[Age]]&lt;=45,"36-45",IF(HR_Data[[#This Row],[Age]]&lt;=55,"46-55","55+"))))</f>
        <v>36-45</v>
      </c>
      <c r="AF606">
        <f>IF(HR_Data[[#This Row],[Age]]&lt;=25,1,IF(HR_Data[[#This Row],[Age]]&lt;=35,2,IF(HR_Data[[#This Row],[Age]]&lt;=45,3,IF(HR_Data[[#This Row],[Age]]&lt;=55,4,5))))</f>
        <v>3</v>
      </c>
      <c r="AG606" s="1" t="str">
        <f>IF(HR_Data[[#This Row],[MonthlyIncome]]&lt;3000,"&lt;3K",IF(HR_Data[[#This Row],[MonthlyIncome]]&lt;6000,"3K-6K",IF(HR_Data[[#This Row],[MonthlyIncome]]&lt;10000,"6K-10K","10K+")))</f>
        <v>3K-6K</v>
      </c>
      <c r="AH606" s="1">
        <f>IF(HR_Data[[#This Row],[MonthlyIncome]]&lt;3000,1,IF(HR_Data[[#This Row],[MonthlyIncome]]&lt;6000,2,IF(HR_Data[[#This Row],[MonthlyIncome]]&lt;10000,3,4)))</f>
        <v>2</v>
      </c>
      <c r="AI606" s="1" t="str">
        <f>IF(HR_Data[[#This Row],[YearsAtCompany]]&lt;=2,"0-2 Yrs",IF(HR_Data[[#This Row],[YearsAtCompany]]&lt;=5,"3-5 Yrs",IF(HR_Data[[#This Row],[YearsAtCompany]]&lt;=10,"6-10 Yrs","10+ Yrs")))</f>
        <v>6-10 Yrs</v>
      </c>
      <c r="AJ606" s="1">
        <f>IF(HR_Data[[#This Row],[YearsAtCompany]]&lt;=2,1,IF(HR_Data[[#This Row],[YearsAtCompany]]&lt;=5,2,IF(HR_Data[[#This Row],[YearsAtCompany]]&lt;=10,3,4)))</f>
        <v>3</v>
      </c>
      <c r="AK606" s="1" t="str">
        <f>CHOOSE(HR_Data[[#This Row],[Education]],"Below College","College","Bachelor","Master","Doctor")</f>
        <v>Bachelor</v>
      </c>
      <c r="AL606" s="1" t="str">
        <f>CHOOSE(HR_Data[[#This Row],[JobSatisfaction]],"Low","Medium","High","Very High")</f>
        <v>Medium</v>
      </c>
      <c r="AM606" s="1" t="str">
        <f>CHOOSE(HR_Data[[#This Row],[EnvironmentSatisfaction]],"Low","Medium","High","Very High")</f>
        <v>Medium</v>
      </c>
      <c r="AN606" s="1" t="str">
        <f>CHOOSE(HR_Data[[#This Row],[WorkLifeBalance]],"Bad","Good","Better","Best")</f>
        <v>Good</v>
      </c>
      <c r="AO606" s="1" t="str">
        <f>IF(HR_Data[[#This Row],[PercentSalaryHike]]&lt;=13,"11-13%",IF(HR_Data[[#This Row],[PercentSalaryHike]]&lt;=16,"14-16%",IF(HR_Data[[#This Row],[PercentSalaryHike]]&lt;=19,"17-19%","20-25%")))</f>
        <v>11-13%</v>
      </c>
      <c r="AP606" s="1">
        <f>IF(HR_Data[[#This Row],[PercentSalaryHike]]&lt;=13,1,IF(HR_Data[[#This Row],[PercentSalaryHike]]&lt;=16,2,IF(HR_Data[[#This Row],[PercentSalaryHike]]&lt;=19,3,4)))</f>
        <v>1</v>
      </c>
      <c r="AQ606" s="1" t="str">
        <f>IF(HR_Data[[#This Row],[DistanceFromHome]]&lt;=5,"1 to 5",IF(HR_Data[[#This Row],[DistanceFromHome]]&lt;=10,"6 to 10",IF(HR_Data[[#This Row],[DistanceFromHome]]&lt;=20,"11 to 20","21 to 29")))</f>
        <v>21 to 29</v>
      </c>
      <c r="AR606" s="1">
        <f>IF(HR_Data[[#This Row],[DistanceFromHome]]&lt;=5,1,IF(HR_Data[[#This Row],[DistanceFromHome]]&lt;=10,2,IF(HR_Data[[#This Row],[DistanceFromHome]]&lt;=20,3,4)))</f>
        <v>4</v>
      </c>
      <c r="AS606" s="1" t="str">
        <f>IF(HR_Data[[#This Row],[TotalWorkingYears]]&lt;=5,"0-5 Yrs",IF(HR_Data[[#This Row],[TotalWorkingYears]]&lt;=10,"6-10 Yrs",IF(HR_Data[[#This Row],[TotalWorkingYears]]&lt;=20,"11-20 Yrs","20+ Yrs")))</f>
        <v>6-10 Yrs</v>
      </c>
      <c r="AT606" s="1">
        <f>IF(HR_Data[[#This Row],[TotalWorkingYears]]&lt;=5,1,IF(HR_Data[[#This Row],[TotalWorkingYears]]&lt;=10,2,IF(HR_Data[[#This Row],[TotalWorkingYears]]&lt;=20,3,4)))</f>
        <v>2</v>
      </c>
    </row>
    <row r="607" spans="1:46" x14ac:dyDescent="0.25">
      <c r="A607">
        <v>38</v>
      </c>
      <c r="B607" t="s">
        <v>36</v>
      </c>
      <c r="C607" t="s">
        <v>37</v>
      </c>
      <c r="D607" t="s">
        <v>38</v>
      </c>
      <c r="E607">
        <v>12</v>
      </c>
      <c r="F607">
        <v>3</v>
      </c>
      <c r="G607" t="s">
        <v>32</v>
      </c>
      <c r="H607">
        <v>837</v>
      </c>
      <c r="I607">
        <v>1</v>
      </c>
      <c r="J607" t="s">
        <v>39</v>
      </c>
      <c r="K607">
        <v>2</v>
      </c>
      <c r="L607">
        <v>2</v>
      </c>
      <c r="M607" t="s">
        <v>47</v>
      </c>
      <c r="N607">
        <v>1</v>
      </c>
      <c r="O607" t="s">
        <v>45</v>
      </c>
      <c r="P607">
        <v>6288</v>
      </c>
      <c r="Q607">
        <v>2</v>
      </c>
      <c r="R607" t="s">
        <v>36</v>
      </c>
      <c r="S607">
        <v>15</v>
      </c>
      <c r="T607">
        <v>3</v>
      </c>
      <c r="U607">
        <v>3</v>
      </c>
      <c r="V607">
        <v>1</v>
      </c>
      <c r="W607">
        <v>13</v>
      </c>
      <c r="X607">
        <v>3</v>
      </c>
      <c r="Y607">
        <v>2</v>
      </c>
      <c r="Z607">
        <v>4</v>
      </c>
      <c r="AA607">
        <v>3</v>
      </c>
      <c r="AB607">
        <v>1</v>
      </c>
      <c r="AC607">
        <v>2</v>
      </c>
      <c r="AD607">
        <f>IF(HR_Data[[#This Row],[Attrition]]="Yes",1,0)</f>
        <v>0</v>
      </c>
      <c r="AE607" t="str">
        <f>IF(HR_Data[[#This Row],[Age]]&lt;=25,"18-25",IF(HR_Data[[#This Row],[Age]]&lt;=35,"26-35",IF(HR_Data[[#This Row],[Age]]&lt;=45,"36-45",IF(HR_Data[[#This Row],[Age]]&lt;=55,"46-55","55+"))))</f>
        <v>36-45</v>
      </c>
      <c r="AF607">
        <f>IF(HR_Data[[#This Row],[Age]]&lt;=25,1,IF(HR_Data[[#This Row],[Age]]&lt;=35,2,IF(HR_Data[[#This Row],[Age]]&lt;=45,3,IF(HR_Data[[#This Row],[Age]]&lt;=55,4,5))))</f>
        <v>3</v>
      </c>
      <c r="AG607" s="1" t="str">
        <f>IF(HR_Data[[#This Row],[MonthlyIncome]]&lt;3000,"&lt;3K",IF(HR_Data[[#This Row],[MonthlyIncome]]&lt;6000,"3K-6K",IF(HR_Data[[#This Row],[MonthlyIncome]]&lt;10000,"6K-10K","10K+")))</f>
        <v>6K-10K</v>
      </c>
      <c r="AH607" s="1">
        <f>IF(HR_Data[[#This Row],[MonthlyIncome]]&lt;3000,1,IF(HR_Data[[#This Row],[MonthlyIncome]]&lt;6000,2,IF(HR_Data[[#This Row],[MonthlyIncome]]&lt;10000,3,4)))</f>
        <v>3</v>
      </c>
      <c r="AI607" s="1" t="str">
        <f>IF(HR_Data[[#This Row],[YearsAtCompany]]&lt;=2,"0-2 Yrs",IF(HR_Data[[#This Row],[YearsAtCompany]]&lt;=5,"3-5 Yrs",IF(HR_Data[[#This Row],[YearsAtCompany]]&lt;=10,"6-10 Yrs","10+ Yrs")))</f>
        <v>3-5 Yrs</v>
      </c>
      <c r="AJ607" s="1">
        <f>IF(HR_Data[[#This Row],[YearsAtCompany]]&lt;=2,1,IF(HR_Data[[#This Row],[YearsAtCompany]]&lt;=5,2,IF(HR_Data[[#This Row],[YearsAtCompany]]&lt;=10,3,4)))</f>
        <v>2</v>
      </c>
      <c r="AK607" s="1" t="str">
        <f>CHOOSE(HR_Data[[#This Row],[Education]],"Below College","College","Bachelor","Master","Doctor")</f>
        <v>Bachelor</v>
      </c>
      <c r="AL607" s="1" t="str">
        <f>CHOOSE(HR_Data[[#This Row],[JobSatisfaction]],"Low","Medium","High","Very High")</f>
        <v>Low</v>
      </c>
      <c r="AM607" s="1" t="str">
        <f>CHOOSE(HR_Data[[#This Row],[EnvironmentSatisfaction]],"Low","Medium","High","Very High")</f>
        <v>Low</v>
      </c>
      <c r="AN607" s="1" t="str">
        <f>CHOOSE(HR_Data[[#This Row],[WorkLifeBalance]],"Bad","Good","Better","Best")</f>
        <v>Good</v>
      </c>
      <c r="AO607" s="1" t="str">
        <f>IF(HR_Data[[#This Row],[PercentSalaryHike]]&lt;=13,"11-13%",IF(HR_Data[[#This Row],[PercentSalaryHike]]&lt;=16,"14-16%",IF(HR_Data[[#This Row],[PercentSalaryHike]]&lt;=19,"17-19%","20-25%")))</f>
        <v>14-16%</v>
      </c>
      <c r="AP607" s="1">
        <f>IF(HR_Data[[#This Row],[PercentSalaryHike]]&lt;=13,1,IF(HR_Data[[#This Row],[PercentSalaryHike]]&lt;=16,2,IF(HR_Data[[#This Row],[PercentSalaryHike]]&lt;=19,3,4)))</f>
        <v>2</v>
      </c>
      <c r="AQ607" s="1" t="str">
        <f>IF(HR_Data[[#This Row],[DistanceFromHome]]&lt;=5,"1 to 5",IF(HR_Data[[#This Row],[DistanceFromHome]]&lt;=10,"6 to 10",IF(HR_Data[[#This Row],[DistanceFromHome]]&lt;=20,"11 to 20","21 to 29")))</f>
        <v>11 to 20</v>
      </c>
      <c r="AR607" s="1">
        <f>IF(HR_Data[[#This Row],[DistanceFromHome]]&lt;=5,1,IF(HR_Data[[#This Row],[DistanceFromHome]]&lt;=10,2,IF(HR_Data[[#This Row],[DistanceFromHome]]&lt;=20,3,4)))</f>
        <v>3</v>
      </c>
      <c r="AS607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607" s="1">
        <f>IF(HR_Data[[#This Row],[TotalWorkingYears]]&lt;=5,1,IF(HR_Data[[#This Row],[TotalWorkingYears]]&lt;=10,2,IF(HR_Data[[#This Row],[TotalWorkingYears]]&lt;=20,3,4)))</f>
        <v>3</v>
      </c>
    </row>
    <row r="608" spans="1:46" x14ac:dyDescent="0.25">
      <c r="A608">
        <v>34</v>
      </c>
      <c r="B608" t="s">
        <v>36</v>
      </c>
      <c r="C608" t="s">
        <v>37</v>
      </c>
      <c r="D608" t="s">
        <v>38</v>
      </c>
      <c r="E608">
        <v>16</v>
      </c>
      <c r="F608">
        <v>4</v>
      </c>
      <c r="G608" t="s">
        <v>32</v>
      </c>
      <c r="H608">
        <v>838</v>
      </c>
      <c r="I608">
        <v>3</v>
      </c>
      <c r="J608" t="s">
        <v>33</v>
      </c>
      <c r="K608">
        <v>2</v>
      </c>
      <c r="L608">
        <v>1</v>
      </c>
      <c r="M608" t="s">
        <v>40</v>
      </c>
      <c r="N608">
        <v>4</v>
      </c>
      <c r="O608" t="s">
        <v>35</v>
      </c>
      <c r="P608">
        <v>2553</v>
      </c>
      <c r="Q608">
        <v>1</v>
      </c>
      <c r="R608" t="s">
        <v>36</v>
      </c>
      <c r="S608">
        <v>16</v>
      </c>
      <c r="T608">
        <v>3</v>
      </c>
      <c r="U608">
        <v>3</v>
      </c>
      <c r="V608">
        <v>0</v>
      </c>
      <c r="W608">
        <v>6</v>
      </c>
      <c r="X608">
        <v>3</v>
      </c>
      <c r="Y608">
        <v>3</v>
      </c>
      <c r="Z608">
        <v>5</v>
      </c>
      <c r="AA608">
        <v>2</v>
      </c>
      <c r="AB608">
        <v>1</v>
      </c>
      <c r="AC608">
        <v>3</v>
      </c>
      <c r="AD608">
        <f>IF(HR_Data[[#This Row],[Attrition]]="Yes",1,0)</f>
        <v>0</v>
      </c>
      <c r="AE608" t="str">
        <f>IF(HR_Data[[#This Row],[Age]]&lt;=25,"18-25",IF(HR_Data[[#This Row],[Age]]&lt;=35,"26-35",IF(HR_Data[[#This Row],[Age]]&lt;=45,"36-45",IF(HR_Data[[#This Row],[Age]]&lt;=55,"46-55","55+"))))</f>
        <v>26-35</v>
      </c>
      <c r="AF608">
        <f>IF(HR_Data[[#This Row],[Age]]&lt;=25,1,IF(HR_Data[[#This Row],[Age]]&lt;=35,2,IF(HR_Data[[#This Row],[Age]]&lt;=45,3,IF(HR_Data[[#This Row],[Age]]&lt;=55,4,5))))</f>
        <v>2</v>
      </c>
      <c r="AG608" s="1" t="str">
        <f>IF(HR_Data[[#This Row],[MonthlyIncome]]&lt;3000,"&lt;3K",IF(HR_Data[[#This Row],[MonthlyIncome]]&lt;6000,"3K-6K",IF(HR_Data[[#This Row],[MonthlyIncome]]&lt;10000,"6K-10K","10K+")))</f>
        <v>&lt;3K</v>
      </c>
      <c r="AH608" s="1">
        <f>IF(HR_Data[[#This Row],[MonthlyIncome]]&lt;3000,1,IF(HR_Data[[#This Row],[MonthlyIncome]]&lt;6000,2,IF(HR_Data[[#This Row],[MonthlyIncome]]&lt;10000,3,4)))</f>
        <v>1</v>
      </c>
      <c r="AI608" s="1" t="str">
        <f>IF(HR_Data[[#This Row],[YearsAtCompany]]&lt;=2,"0-2 Yrs",IF(HR_Data[[#This Row],[YearsAtCompany]]&lt;=5,"3-5 Yrs",IF(HR_Data[[#This Row],[YearsAtCompany]]&lt;=10,"6-10 Yrs","10+ Yrs")))</f>
        <v>3-5 Yrs</v>
      </c>
      <c r="AJ608" s="1">
        <f>IF(HR_Data[[#This Row],[YearsAtCompany]]&lt;=2,1,IF(HR_Data[[#This Row],[YearsAtCompany]]&lt;=5,2,IF(HR_Data[[#This Row],[YearsAtCompany]]&lt;=10,3,4)))</f>
        <v>2</v>
      </c>
      <c r="AK608" s="1" t="str">
        <f>CHOOSE(HR_Data[[#This Row],[Education]],"Below College","College","Bachelor","Master","Doctor")</f>
        <v>Master</v>
      </c>
      <c r="AL608" s="1" t="str">
        <f>CHOOSE(HR_Data[[#This Row],[JobSatisfaction]],"Low","Medium","High","Very High")</f>
        <v>Very High</v>
      </c>
      <c r="AM608" s="1" t="str">
        <f>CHOOSE(HR_Data[[#This Row],[EnvironmentSatisfaction]],"Low","Medium","High","Very High")</f>
        <v>High</v>
      </c>
      <c r="AN608" s="1" t="str">
        <f>CHOOSE(HR_Data[[#This Row],[WorkLifeBalance]],"Bad","Good","Better","Best")</f>
        <v>Better</v>
      </c>
      <c r="AO608" s="1" t="str">
        <f>IF(HR_Data[[#This Row],[PercentSalaryHike]]&lt;=13,"11-13%",IF(HR_Data[[#This Row],[PercentSalaryHike]]&lt;=16,"14-16%",IF(HR_Data[[#This Row],[PercentSalaryHike]]&lt;=19,"17-19%","20-25%")))</f>
        <v>14-16%</v>
      </c>
      <c r="AP608" s="1">
        <f>IF(HR_Data[[#This Row],[PercentSalaryHike]]&lt;=13,1,IF(HR_Data[[#This Row],[PercentSalaryHike]]&lt;=16,2,IF(HR_Data[[#This Row],[PercentSalaryHike]]&lt;=19,3,4)))</f>
        <v>2</v>
      </c>
      <c r="AQ608" s="1" t="str">
        <f>IF(HR_Data[[#This Row],[DistanceFromHome]]&lt;=5,"1 to 5",IF(HR_Data[[#This Row],[DistanceFromHome]]&lt;=10,"6 to 10",IF(HR_Data[[#This Row],[DistanceFromHome]]&lt;=20,"11 to 20","21 to 29")))</f>
        <v>11 to 20</v>
      </c>
      <c r="AR608" s="1">
        <f>IF(HR_Data[[#This Row],[DistanceFromHome]]&lt;=5,1,IF(HR_Data[[#This Row],[DistanceFromHome]]&lt;=10,2,IF(HR_Data[[#This Row],[DistanceFromHome]]&lt;=20,3,4)))</f>
        <v>3</v>
      </c>
      <c r="AS608" s="1" t="str">
        <f>IF(HR_Data[[#This Row],[TotalWorkingYears]]&lt;=5,"0-5 Yrs",IF(HR_Data[[#This Row],[TotalWorkingYears]]&lt;=10,"6-10 Yrs",IF(HR_Data[[#This Row],[TotalWorkingYears]]&lt;=20,"11-20 Yrs","20+ Yrs")))</f>
        <v>6-10 Yrs</v>
      </c>
      <c r="AT608" s="1">
        <f>IF(HR_Data[[#This Row],[TotalWorkingYears]]&lt;=5,1,IF(HR_Data[[#This Row],[TotalWorkingYears]]&lt;=10,2,IF(HR_Data[[#This Row],[TotalWorkingYears]]&lt;=20,3,4)))</f>
        <v>2</v>
      </c>
    </row>
    <row r="609" spans="1:46" x14ac:dyDescent="0.25">
      <c r="A609">
        <v>49</v>
      </c>
      <c r="B609" t="s">
        <v>29</v>
      </c>
      <c r="C609" t="s">
        <v>30</v>
      </c>
      <c r="D609" t="s">
        <v>31</v>
      </c>
      <c r="E609">
        <v>11</v>
      </c>
      <c r="F609">
        <v>3</v>
      </c>
      <c r="G609" t="s">
        <v>52</v>
      </c>
      <c r="H609">
        <v>840</v>
      </c>
      <c r="I609">
        <v>3</v>
      </c>
      <c r="J609" t="s">
        <v>33</v>
      </c>
      <c r="K609">
        <v>3</v>
      </c>
      <c r="L609">
        <v>3</v>
      </c>
      <c r="M609" t="s">
        <v>34</v>
      </c>
      <c r="N609">
        <v>4</v>
      </c>
      <c r="O609" t="s">
        <v>41</v>
      </c>
      <c r="P609">
        <v>7654</v>
      </c>
      <c r="Q609">
        <v>1</v>
      </c>
      <c r="R609" t="s">
        <v>36</v>
      </c>
      <c r="S609">
        <v>18</v>
      </c>
      <c r="T609">
        <v>3</v>
      </c>
      <c r="U609">
        <v>1</v>
      </c>
      <c r="V609">
        <v>2</v>
      </c>
      <c r="W609">
        <v>9</v>
      </c>
      <c r="X609">
        <v>3</v>
      </c>
      <c r="Y609">
        <v>4</v>
      </c>
      <c r="Z609">
        <v>9</v>
      </c>
      <c r="AA609">
        <v>8</v>
      </c>
      <c r="AB609">
        <v>7</v>
      </c>
      <c r="AC609">
        <v>7</v>
      </c>
      <c r="AD609">
        <f>IF(HR_Data[[#This Row],[Attrition]]="Yes",1,0)</f>
        <v>1</v>
      </c>
      <c r="AE609" t="str">
        <f>IF(HR_Data[[#This Row],[Age]]&lt;=25,"18-25",IF(HR_Data[[#This Row],[Age]]&lt;=35,"26-35",IF(HR_Data[[#This Row],[Age]]&lt;=45,"36-45",IF(HR_Data[[#This Row],[Age]]&lt;=55,"46-55","55+"))))</f>
        <v>46-55</v>
      </c>
      <c r="AF609">
        <f>IF(HR_Data[[#This Row],[Age]]&lt;=25,1,IF(HR_Data[[#This Row],[Age]]&lt;=35,2,IF(HR_Data[[#This Row],[Age]]&lt;=45,3,IF(HR_Data[[#This Row],[Age]]&lt;=55,4,5))))</f>
        <v>4</v>
      </c>
      <c r="AG609" s="1" t="str">
        <f>IF(HR_Data[[#This Row],[MonthlyIncome]]&lt;3000,"&lt;3K",IF(HR_Data[[#This Row],[MonthlyIncome]]&lt;6000,"3K-6K",IF(HR_Data[[#This Row],[MonthlyIncome]]&lt;10000,"6K-10K","10K+")))</f>
        <v>6K-10K</v>
      </c>
      <c r="AH609" s="1">
        <f>IF(HR_Data[[#This Row],[MonthlyIncome]]&lt;3000,1,IF(HR_Data[[#This Row],[MonthlyIncome]]&lt;6000,2,IF(HR_Data[[#This Row],[MonthlyIncome]]&lt;10000,3,4)))</f>
        <v>3</v>
      </c>
      <c r="AI609" s="1" t="str">
        <f>IF(HR_Data[[#This Row],[YearsAtCompany]]&lt;=2,"0-2 Yrs",IF(HR_Data[[#This Row],[YearsAtCompany]]&lt;=5,"3-5 Yrs",IF(HR_Data[[#This Row],[YearsAtCompany]]&lt;=10,"6-10 Yrs","10+ Yrs")))</f>
        <v>6-10 Yrs</v>
      </c>
      <c r="AJ609" s="1">
        <f>IF(HR_Data[[#This Row],[YearsAtCompany]]&lt;=2,1,IF(HR_Data[[#This Row],[YearsAtCompany]]&lt;=5,2,IF(HR_Data[[#This Row],[YearsAtCompany]]&lt;=10,3,4)))</f>
        <v>3</v>
      </c>
      <c r="AK609" s="1" t="str">
        <f>CHOOSE(HR_Data[[#This Row],[Education]],"Below College","College","Bachelor","Master","Doctor")</f>
        <v>Bachelor</v>
      </c>
      <c r="AL609" s="1" t="str">
        <f>CHOOSE(HR_Data[[#This Row],[JobSatisfaction]],"Low","Medium","High","Very High")</f>
        <v>Very High</v>
      </c>
      <c r="AM609" s="1" t="str">
        <f>CHOOSE(HR_Data[[#This Row],[EnvironmentSatisfaction]],"Low","Medium","High","Very High")</f>
        <v>High</v>
      </c>
      <c r="AN609" s="1" t="str">
        <f>CHOOSE(HR_Data[[#This Row],[WorkLifeBalance]],"Bad","Good","Better","Best")</f>
        <v>Best</v>
      </c>
      <c r="AO609" s="1" t="str">
        <f>IF(HR_Data[[#This Row],[PercentSalaryHike]]&lt;=13,"11-13%",IF(HR_Data[[#This Row],[PercentSalaryHike]]&lt;=16,"14-16%",IF(HR_Data[[#This Row],[PercentSalaryHike]]&lt;=19,"17-19%","20-25%")))</f>
        <v>17-19%</v>
      </c>
      <c r="AP609" s="1">
        <f>IF(HR_Data[[#This Row],[PercentSalaryHike]]&lt;=13,1,IF(HR_Data[[#This Row],[PercentSalaryHike]]&lt;=16,2,IF(HR_Data[[#This Row],[PercentSalaryHike]]&lt;=19,3,4)))</f>
        <v>3</v>
      </c>
      <c r="AQ609" s="1" t="str">
        <f>IF(HR_Data[[#This Row],[DistanceFromHome]]&lt;=5,"1 to 5",IF(HR_Data[[#This Row],[DistanceFromHome]]&lt;=10,"6 to 10",IF(HR_Data[[#This Row],[DistanceFromHome]]&lt;=20,"11 to 20","21 to 29")))</f>
        <v>11 to 20</v>
      </c>
      <c r="AR609" s="1">
        <f>IF(HR_Data[[#This Row],[DistanceFromHome]]&lt;=5,1,IF(HR_Data[[#This Row],[DistanceFromHome]]&lt;=10,2,IF(HR_Data[[#This Row],[DistanceFromHome]]&lt;=20,3,4)))</f>
        <v>3</v>
      </c>
      <c r="AS609" s="1" t="str">
        <f>IF(HR_Data[[#This Row],[TotalWorkingYears]]&lt;=5,"0-5 Yrs",IF(HR_Data[[#This Row],[TotalWorkingYears]]&lt;=10,"6-10 Yrs",IF(HR_Data[[#This Row],[TotalWorkingYears]]&lt;=20,"11-20 Yrs","20+ Yrs")))</f>
        <v>6-10 Yrs</v>
      </c>
      <c r="AT609" s="1">
        <f>IF(HR_Data[[#This Row],[TotalWorkingYears]]&lt;=5,1,IF(HR_Data[[#This Row],[TotalWorkingYears]]&lt;=10,2,IF(HR_Data[[#This Row],[TotalWorkingYears]]&lt;=20,3,4)))</f>
        <v>2</v>
      </c>
    </row>
    <row r="610" spans="1:46" x14ac:dyDescent="0.25">
      <c r="A610">
        <v>55</v>
      </c>
      <c r="B610" t="s">
        <v>29</v>
      </c>
      <c r="C610" t="s">
        <v>30</v>
      </c>
      <c r="D610" t="s">
        <v>31</v>
      </c>
      <c r="E610">
        <v>2</v>
      </c>
      <c r="F610">
        <v>1</v>
      </c>
      <c r="G610" t="s">
        <v>44</v>
      </c>
      <c r="H610">
        <v>842</v>
      </c>
      <c r="I610">
        <v>3</v>
      </c>
      <c r="J610" t="s">
        <v>39</v>
      </c>
      <c r="K610">
        <v>3</v>
      </c>
      <c r="L610">
        <v>2</v>
      </c>
      <c r="M610" t="s">
        <v>34</v>
      </c>
      <c r="N610">
        <v>4</v>
      </c>
      <c r="O610" t="s">
        <v>35</v>
      </c>
      <c r="P610">
        <v>5160</v>
      </c>
      <c r="Q610">
        <v>4</v>
      </c>
      <c r="R610" t="s">
        <v>36</v>
      </c>
      <c r="S610">
        <v>16</v>
      </c>
      <c r="T610">
        <v>3</v>
      </c>
      <c r="U610">
        <v>3</v>
      </c>
      <c r="V610">
        <v>0</v>
      </c>
      <c r="W610">
        <v>12</v>
      </c>
      <c r="X610">
        <v>3</v>
      </c>
      <c r="Y610">
        <v>2</v>
      </c>
      <c r="Z610">
        <v>9</v>
      </c>
      <c r="AA610">
        <v>7</v>
      </c>
      <c r="AB610">
        <v>7</v>
      </c>
      <c r="AC610">
        <v>3</v>
      </c>
      <c r="AD610">
        <f>IF(HR_Data[[#This Row],[Attrition]]="Yes",1,0)</f>
        <v>1</v>
      </c>
      <c r="AE610" t="str">
        <f>IF(HR_Data[[#This Row],[Age]]&lt;=25,"18-25",IF(HR_Data[[#This Row],[Age]]&lt;=35,"26-35",IF(HR_Data[[#This Row],[Age]]&lt;=45,"36-45",IF(HR_Data[[#This Row],[Age]]&lt;=55,"46-55","55+"))))</f>
        <v>46-55</v>
      </c>
      <c r="AF610">
        <f>IF(HR_Data[[#This Row],[Age]]&lt;=25,1,IF(HR_Data[[#This Row],[Age]]&lt;=35,2,IF(HR_Data[[#This Row],[Age]]&lt;=45,3,IF(HR_Data[[#This Row],[Age]]&lt;=55,4,5))))</f>
        <v>4</v>
      </c>
      <c r="AG610" s="1" t="str">
        <f>IF(HR_Data[[#This Row],[MonthlyIncome]]&lt;3000,"&lt;3K",IF(HR_Data[[#This Row],[MonthlyIncome]]&lt;6000,"3K-6K",IF(HR_Data[[#This Row],[MonthlyIncome]]&lt;10000,"6K-10K","10K+")))</f>
        <v>3K-6K</v>
      </c>
      <c r="AH610" s="1">
        <f>IF(HR_Data[[#This Row],[MonthlyIncome]]&lt;3000,1,IF(HR_Data[[#This Row],[MonthlyIncome]]&lt;6000,2,IF(HR_Data[[#This Row],[MonthlyIncome]]&lt;10000,3,4)))</f>
        <v>2</v>
      </c>
      <c r="AI610" s="1" t="str">
        <f>IF(HR_Data[[#This Row],[YearsAtCompany]]&lt;=2,"0-2 Yrs",IF(HR_Data[[#This Row],[YearsAtCompany]]&lt;=5,"3-5 Yrs",IF(HR_Data[[#This Row],[YearsAtCompany]]&lt;=10,"6-10 Yrs","10+ Yrs")))</f>
        <v>6-10 Yrs</v>
      </c>
      <c r="AJ610" s="1">
        <f>IF(HR_Data[[#This Row],[YearsAtCompany]]&lt;=2,1,IF(HR_Data[[#This Row],[YearsAtCompany]]&lt;=5,2,IF(HR_Data[[#This Row],[YearsAtCompany]]&lt;=10,3,4)))</f>
        <v>3</v>
      </c>
      <c r="AK610" s="1" t="str">
        <f>CHOOSE(HR_Data[[#This Row],[Education]],"Below College","College","Bachelor","Master","Doctor")</f>
        <v>Below College</v>
      </c>
      <c r="AL610" s="1" t="str">
        <f>CHOOSE(HR_Data[[#This Row],[JobSatisfaction]],"Low","Medium","High","Very High")</f>
        <v>Very High</v>
      </c>
      <c r="AM610" s="1" t="str">
        <f>CHOOSE(HR_Data[[#This Row],[EnvironmentSatisfaction]],"Low","Medium","High","Very High")</f>
        <v>High</v>
      </c>
      <c r="AN610" s="1" t="str">
        <f>CHOOSE(HR_Data[[#This Row],[WorkLifeBalance]],"Bad","Good","Better","Best")</f>
        <v>Good</v>
      </c>
      <c r="AO610" s="1" t="str">
        <f>IF(HR_Data[[#This Row],[PercentSalaryHike]]&lt;=13,"11-13%",IF(HR_Data[[#This Row],[PercentSalaryHike]]&lt;=16,"14-16%",IF(HR_Data[[#This Row],[PercentSalaryHike]]&lt;=19,"17-19%","20-25%")))</f>
        <v>14-16%</v>
      </c>
      <c r="AP610" s="1">
        <f>IF(HR_Data[[#This Row],[PercentSalaryHike]]&lt;=13,1,IF(HR_Data[[#This Row],[PercentSalaryHike]]&lt;=16,2,IF(HR_Data[[#This Row],[PercentSalaryHike]]&lt;=19,3,4)))</f>
        <v>2</v>
      </c>
      <c r="AQ610" s="1" t="str">
        <f>IF(HR_Data[[#This Row],[DistanceFromHome]]&lt;=5,"1 to 5",IF(HR_Data[[#This Row],[DistanceFromHome]]&lt;=10,"6 to 10",IF(HR_Data[[#This Row],[DistanceFromHome]]&lt;=20,"11 to 20","21 to 29")))</f>
        <v>1 to 5</v>
      </c>
      <c r="AR610" s="1">
        <f>IF(HR_Data[[#This Row],[DistanceFromHome]]&lt;=5,1,IF(HR_Data[[#This Row],[DistanceFromHome]]&lt;=10,2,IF(HR_Data[[#This Row],[DistanceFromHome]]&lt;=20,3,4)))</f>
        <v>1</v>
      </c>
      <c r="AS610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610" s="1">
        <f>IF(HR_Data[[#This Row],[TotalWorkingYears]]&lt;=5,1,IF(HR_Data[[#This Row],[TotalWorkingYears]]&lt;=10,2,IF(HR_Data[[#This Row],[TotalWorkingYears]]&lt;=20,3,4)))</f>
        <v>3</v>
      </c>
    </row>
    <row r="611" spans="1:46" x14ac:dyDescent="0.25">
      <c r="A611">
        <v>43</v>
      </c>
      <c r="B611" t="s">
        <v>36</v>
      </c>
      <c r="C611" t="s">
        <v>30</v>
      </c>
      <c r="D611" t="s">
        <v>38</v>
      </c>
      <c r="E611">
        <v>14</v>
      </c>
      <c r="F611">
        <v>2</v>
      </c>
      <c r="G611" t="s">
        <v>32</v>
      </c>
      <c r="H611">
        <v>843</v>
      </c>
      <c r="I611">
        <v>2</v>
      </c>
      <c r="J611" t="s">
        <v>39</v>
      </c>
      <c r="K611">
        <v>3</v>
      </c>
      <c r="L611">
        <v>4</v>
      </c>
      <c r="M611" t="s">
        <v>51</v>
      </c>
      <c r="N611">
        <v>1</v>
      </c>
      <c r="O611" t="s">
        <v>41</v>
      </c>
      <c r="P611">
        <v>17159</v>
      </c>
      <c r="Q611">
        <v>6</v>
      </c>
      <c r="R611" t="s">
        <v>36</v>
      </c>
      <c r="S611">
        <v>24</v>
      </c>
      <c r="T611">
        <v>4</v>
      </c>
      <c r="U611">
        <v>3</v>
      </c>
      <c r="V611">
        <v>1</v>
      </c>
      <c r="W611">
        <v>22</v>
      </c>
      <c r="X611">
        <v>3</v>
      </c>
      <c r="Y611">
        <v>3</v>
      </c>
      <c r="Z611">
        <v>4</v>
      </c>
      <c r="AA611">
        <v>1</v>
      </c>
      <c r="AB611">
        <v>1</v>
      </c>
      <c r="AC611">
        <v>0</v>
      </c>
      <c r="AD611">
        <f>IF(HR_Data[[#This Row],[Attrition]]="Yes",1,0)</f>
        <v>0</v>
      </c>
      <c r="AE611" t="str">
        <f>IF(HR_Data[[#This Row],[Age]]&lt;=25,"18-25",IF(HR_Data[[#This Row],[Age]]&lt;=35,"26-35",IF(HR_Data[[#This Row],[Age]]&lt;=45,"36-45",IF(HR_Data[[#This Row],[Age]]&lt;=55,"46-55","55+"))))</f>
        <v>36-45</v>
      </c>
      <c r="AF611">
        <f>IF(HR_Data[[#This Row],[Age]]&lt;=25,1,IF(HR_Data[[#This Row],[Age]]&lt;=35,2,IF(HR_Data[[#This Row],[Age]]&lt;=45,3,IF(HR_Data[[#This Row],[Age]]&lt;=55,4,5))))</f>
        <v>3</v>
      </c>
      <c r="AG611" s="1" t="str">
        <f>IF(HR_Data[[#This Row],[MonthlyIncome]]&lt;3000,"&lt;3K",IF(HR_Data[[#This Row],[MonthlyIncome]]&lt;6000,"3K-6K",IF(HR_Data[[#This Row],[MonthlyIncome]]&lt;10000,"6K-10K","10K+")))</f>
        <v>10K+</v>
      </c>
      <c r="AH611" s="1">
        <f>IF(HR_Data[[#This Row],[MonthlyIncome]]&lt;3000,1,IF(HR_Data[[#This Row],[MonthlyIncome]]&lt;6000,2,IF(HR_Data[[#This Row],[MonthlyIncome]]&lt;10000,3,4)))</f>
        <v>4</v>
      </c>
      <c r="AI611" s="1" t="str">
        <f>IF(HR_Data[[#This Row],[YearsAtCompany]]&lt;=2,"0-2 Yrs",IF(HR_Data[[#This Row],[YearsAtCompany]]&lt;=5,"3-5 Yrs",IF(HR_Data[[#This Row],[YearsAtCompany]]&lt;=10,"6-10 Yrs","10+ Yrs")))</f>
        <v>3-5 Yrs</v>
      </c>
      <c r="AJ611" s="1">
        <f>IF(HR_Data[[#This Row],[YearsAtCompany]]&lt;=2,1,IF(HR_Data[[#This Row],[YearsAtCompany]]&lt;=5,2,IF(HR_Data[[#This Row],[YearsAtCompany]]&lt;=10,3,4)))</f>
        <v>2</v>
      </c>
      <c r="AK611" s="1" t="str">
        <f>CHOOSE(HR_Data[[#This Row],[Education]],"Below College","College","Bachelor","Master","Doctor")</f>
        <v>College</v>
      </c>
      <c r="AL611" s="1" t="str">
        <f>CHOOSE(HR_Data[[#This Row],[JobSatisfaction]],"Low","Medium","High","Very High")</f>
        <v>Low</v>
      </c>
      <c r="AM611" s="1" t="str">
        <f>CHOOSE(HR_Data[[#This Row],[EnvironmentSatisfaction]],"Low","Medium","High","Very High")</f>
        <v>Medium</v>
      </c>
      <c r="AN611" s="1" t="str">
        <f>CHOOSE(HR_Data[[#This Row],[WorkLifeBalance]],"Bad","Good","Better","Best")</f>
        <v>Better</v>
      </c>
      <c r="AO611" s="1" t="str">
        <f>IF(HR_Data[[#This Row],[PercentSalaryHike]]&lt;=13,"11-13%",IF(HR_Data[[#This Row],[PercentSalaryHike]]&lt;=16,"14-16%",IF(HR_Data[[#This Row],[PercentSalaryHike]]&lt;=19,"17-19%","20-25%")))</f>
        <v>20-25%</v>
      </c>
      <c r="AP611" s="1">
        <f>IF(HR_Data[[#This Row],[PercentSalaryHike]]&lt;=13,1,IF(HR_Data[[#This Row],[PercentSalaryHike]]&lt;=16,2,IF(HR_Data[[#This Row],[PercentSalaryHike]]&lt;=19,3,4)))</f>
        <v>4</v>
      </c>
      <c r="AQ611" s="1" t="str">
        <f>IF(HR_Data[[#This Row],[DistanceFromHome]]&lt;=5,"1 to 5",IF(HR_Data[[#This Row],[DistanceFromHome]]&lt;=10,"6 to 10",IF(HR_Data[[#This Row],[DistanceFromHome]]&lt;=20,"11 to 20","21 to 29")))</f>
        <v>11 to 20</v>
      </c>
      <c r="AR611" s="1">
        <f>IF(HR_Data[[#This Row],[DistanceFromHome]]&lt;=5,1,IF(HR_Data[[#This Row],[DistanceFromHome]]&lt;=10,2,IF(HR_Data[[#This Row],[DistanceFromHome]]&lt;=20,3,4)))</f>
        <v>3</v>
      </c>
      <c r="AS611" s="1" t="str">
        <f>IF(HR_Data[[#This Row],[TotalWorkingYears]]&lt;=5,"0-5 Yrs",IF(HR_Data[[#This Row],[TotalWorkingYears]]&lt;=10,"6-10 Yrs",IF(HR_Data[[#This Row],[TotalWorkingYears]]&lt;=20,"11-20 Yrs","20+ Yrs")))</f>
        <v>20+ Yrs</v>
      </c>
      <c r="AT611" s="1">
        <f>IF(HR_Data[[#This Row],[TotalWorkingYears]]&lt;=5,1,IF(HR_Data[[#This Row],[TotalWorkingYears]]&lt;=10,2,IF(HR_Data[[#This Row],[TotalWorkingYears]]&lt;=20,3,4)))</f>
        <v>4</v>
      </c>
    </row>
    <row r="612" spans="1:46" x14ac:dyDescent="0.25">
      <c r="A612">
        <v>27</v>
      </c>
      <c r="B612" t="s">
        <v>36</v>
      </c>
      <c r="C612" t="s">
        <v>30</v>
      </c>
      <c r="D612" t="s">
        <v>38</v>
      </c>
      <c r="E612">
        <v>5</v>
      </c>
      <c r="F612">
        <v>1</v>
      </c>
      <c r="G612" t="s">
        <v>53</v>
      </c>
      <c r="H612">
        <v>844</v>
      </c>
      <c r="I612">
        <v>3</v>
      </c>
      <c r="J612" t="s">
        <v>39</v>
      </c>
      <c r="K612">
        <v>2</v>
      </c>
      <c r="L612">
        <v>3</v>
      </c>
      <c r="M612" t="s">
        <v>51</v>
      </c>
      <c r="N612">
        <v>4</v>
      </c>
      <c r="O612" t="s">
        <v>45</v>
      </c>
      <c r="P612">
        <v>12808</v>
      </c>
      <c r="Q612">
        <v>1</v>
      </c>
      <c r="R612" t="s">
        <v>29</v>
      </c>
      <c r="S612">
        <v>16</v>
      </c>
      <c r="T612">
        <v>3</v>
      </c>
      <c r="U612">
        <v>2</v>
      </c>
      <c r="V612">
        <v>1</v>
      </c>
      <c r="W612">
        <v>9</v>
      </c>
      <c r="X612">
        <v>3</v>
      </c>
      <c r="Y612">
        <v>3</v>
      </c>
      <c r="Z612">
        <v>9</v>
      </c>
      <c r="AA612">
        <v>8</v>
      </c>
      <c r="AB612">
        <v>0</v>
      </c>
      <c r="AC612">
        <v>8</v>
      </c>
      <c r="AD612">
        <f>IF(HR_Data[[#This Row],[Attrition]]="Yes",1,0)</f>
        <v>0</v>
      </c>
      <c r="AE612" t="str">
        <f>IF(HR_Data[[#This Row],[Age]]&lt;=25,"18-25",IF(HR_Data[[#This Row],[Age]]&lt;=35,"26-35",IF(HR_Data[[#This Row],[Age]]&lt;=45,"36-45",IF(HR_Data[[#This Row],[Age]]&lt;=55,"46-55","55+"))))</f>
        <v>26-35</v>
      </c>
      <c r="AF612">
        <f>IF(HR_Data[[#This Row],[Age]]&lt;=25,1,IF(HR_Data[[#This Row],[Age]]&lt;=35,2,IF(HR_Data[[#This Row],[Age]]&lt;=45,3,IF(HR_Data[[#This Row],[Age]]&lt;=55,4,5))))</f>
        <v>2</v>
      </c>
      <c r="AG612" s="1" t="str">
        <f>IF(HR_Data[[#This Row],[MonthlyIncome]]&lt;3000,"&lt;3K",IF(HR_Data[[#This Row],[MonthlyIncome]]&lt;6000,"3K-6K",IF(HR_Data[[#This Row],[MonthlyIncome]]&lt;10000,"6K-10K","10K+")))</f>
        <v>10K+</v>
      </c>
      <c r="AH612" s="1">
        <f>IF(HR_Data[[#This Row],[MonthlyIncome]]&lt;3000,1,IF(HR_Data[[#This Row],[MonthlyIncome]]&lt;6000,2,IF(HR_Data[[#This Row],[MonthlyIncome]]&lt;10000,3,4)))</f>
        <v>4</v>
      </c>
      <c r="AI612" s="1" t="str">
        <f>IF(HR_Data[[#This Row],[YearsAtCompany]]&lt;=2,"0-2 Yrs",IF(HR_Data[[#This Row],[YearsAtCompany]]&lt;=5,"3-5 Yrs",IF(HR_Data[[#This Row],[YearsAtCompany]]&lt;=10,"6-10 Yrs","10+ Yrs")))</f>
        <v>6-10 Yrs</v>
      </c>
      <c r="AJ612" s="1">
        <f>IF(HR_Data[[#This Row],[YearsAtCompany]]&lt;=2,1,IF(HR_Data[[#This Row],[YearsAtCompany]]&lt;=5,2,IF(HR_Data[[#This Row],[YearsAtCompany]]&lt;=10,3,4)))</f>
        <v>3</v>
      </c>
      <c r="AK612" s="1" t="str">
        <f>CHOOSE(HR_Data[[#This Row],[Education]],"Below College","College","Bachelor","Master","Doctor")</f>
        <v>Below College</v>
      </c>
      <c r="AL612" s="1" t="str">
        <f>CHOOSE(HR_Data[[#This Row],[JobSatisfaction]],"Low","Medium","High","Very High")</f>
        <v>Very High</v>
      </c>
      <c r="AM612" s="1" t="str">
        <f>CHOOSE(HR_Data[[#This Row],[EnvironmentSatisfaction]],"Low","Medium","High","Very High")</f>
        <v>High</v>
      </c>
      <c r="AN612" s="1" t="str">
        <f>CHOOSE(HR_Data[[#This Row],[WorkLifeBalance]],"Bad","Good","Better","Best")</f>
        <v>Better</v>
      </c>
      <c r="AO612" s="1" t="str">
        <f>IF(HR_Data[[#This Row],[PercentSalaryHike]]&lt;=13,"11-13%",IF(HR_Data[[#This Row],[PercentSalaryHike]]&lt;=16,"14-16%",IF(HR_Data[[#This Row],[PercentSalaryHike]]&lt;=19,"17-19%","20-25%")))</f>
        <v>14-16%</v>
      </c>
      <c r="AP612" s="1">
        <f>IF(HR_Data[[#This Row],[PercentSalaryHike]]&lt;=13,1,IF(HR_Data[[#This Row],[PercentSalaryHike]]&lt;=16,2,IF(HR_Data[[#This Row],[PercentSalaryHike]]&lt;=19,3,4)))</f>
        <v>2</v>
      </c>
      <c r="AQ612" s="1" t="str">
        <f>IF(HR_Data[[#This Row],[DistanceFromHome]]&lt;=5,"1 to 5",IF(HR_Data[[#This Row],[DistanceFromHome]]&lt;=10,"6 to 10",IF(HR_Data[[#This Row],[DistanceFromHome]]&lt;=20,"11 to 20","21 to 29")))</f>
        <v>1 to 5</v>
      </c>
      <c r="AR612" s="1">
        <f>IF(HR_Data[[#This Row],[DistanceFromHome]]&lt;=5,1,IF(HR_Data[[#This Row],[DistanceFromHome]]&lt;=10,2,IF(HR_Data[[#This Row],[DistanceFromHome]]&lt;=20,3,4)))</f>
        <v>1</v>
      </c>
      <c r="AS612" s="1" t="str">
        <f>IF(HR_Data[[#This Row],[TotalWorkingYears]]&lt;=5,"0-5 Yrs",IF(HR_Data[[#This Row],[TotalWorkingYears]]&lt;=10,"6-10 Yrs",IF(HR_Data[[#This Row],[TotalWorkingYears]]&lt;=20,"11-20 Yrs","20+ Yrs")))</f>
        <v>6-10 Yrs</v>
      </c>
      <c r="AT612" s="1">
        <f>IF(HR_Data[[#This Row],[TotalWorkingYears]]&lt;=5,1,IF(HR_Data[[#This Row],[TotalWorkingYears]]&lt;=10,2,IF(HR_Data[[#This Row],[TotalWorkingYears]]&lt;=20,3,4)))</f>
        <v>2</v>
      </c>
    </row>
    <row r="613" spans="1:46" x14ac:dyDescent="0.25">
      <c r="A613">
        <v>35</v>
      </c>
      <c r="B613" t="s">
        <v>36</v>
      </c>
      <c r="C613" t="s">
        <v>30</v>
      </c>
      <c r="D613" t="s">
        <v>38</v>
      </c>
      <c r="E613">
        <v>7</v>
      </c>
      <c r="F613">
        <v>3</v>
      </c>
      <c r="G613" t="s">
        <v>42</v>
      </c>
      <c r="H613">
        <v>845</v>
      </c>
      <c r="I613">
        <v>3</v>
      </c>
      <c r="J613" t="s">
        <v>39</v>
      </c>
      <c r="K613">
        <v>3</v>
      </c>
      <c r="L613">
        <v>3</v>
      </c>
      <c r="M613" t="s">
        <v>46</v>
      </c>
      <c r="N613">
        <v>3</v>
      </c>
      <c r="O613" t="s">
        <v>35</v>
      </c>
      <c r="P613">
        <v>10221</v>
      </c>
      <c r="Q613">
        <v>3</v>
      </c>
      <c r="R613" t="s">
        <v>36</v>
      </c>
      <c r="S613">
        <v>21</v>
      </c>
      <c r="T613">
        <v>4</v>
      </c>
      <c r="U613">
        <v>2</v>
      </c>
      <c r="V613">
        <v>0</v>
      </c>
      <c r="W613">
        <v>17</v>
      </c>
      <c r="X613">
        <v>3</v>
      </c>
      <c r="Y613">
        <v>4</v>
      </c>
      <c r="Z613">
        <v>8</v>
      </c>
      <c r="AA613">
        <v>5</v>
      </c>
      <c r="AB613">
        <v>1</v>
      </c>
      <c r="AC613">
        <v>6</v>
      </c>
      <c r="AD613">
        <f>IF(HR_Data[[#This Row],[Attrition]]="Yes",1,0)</f>
        <v>0</v>
      </c>
      <c r="AE613" t="str">
        <f>IF(HR_Data[[#This Row],[Age]]&lt;=25,"18-25",IF(HR_Data[[#This Row],[Age]]&lt;=35,"26-35",IF(HR_Data[[#This Row],[Age]]&lt;=45,"36-45",IF(HR_Data[[#This Row],[Age]]&lt;=55,"46-55","55+"))))</f>
        <v>26-35</v>
      </c>
      <c r="AF613">
        <f>IF(HR_Data[[#This Row],[Age]]&lt;=25,1,IF(HR_Data[[#This Row],[Age]]&lt;=35,2,IF(HR_Data[[#This Row],[Age]]&lt;=45,3,IF(HR_Data[[#This Row],[Age]]&lt;=55,4,5))))</f>
        <v>2</v>
      </c>
      <c r="AG613" s="1" t="str">
        <f>IF(HR_Data[[#This Row],[MonthlyIncome]]&lt;3000,"&lt;3K",IF(HR_Data[[#This Row],[MonthlyIncome]]&lt;6000,"3K-6K",IF(HR_Data[[#This Row],[MonthlyIncome]]&lt;10000,"6K-10K","10K+")))</f>
        <v>10K+</v>
      </c>
      <c r="AH613" s="1">
        <f>IF(HR_Data[[#This Row],[MonthlyIncome]]&lt;3000,1,IF(HR_Data[[#This Row],[MonthlyIncome]]&lt;6000,2,IF(HR_Data[[#This Row],[MonthlyIncome]]&lt;10000,3,4)))</f>
        <v>4</v>
      </c>
      <c r="AI613" s="1" t="str">
        <f>IF(HR_Data[[#This Row],[YearsAtCompany]]&lt;=2,"0-2 Yrs",IF(HR_Data[[#This Row],[YearsAtCompany]]&lt;=5,"3-5 Yrs",IF(HR_Data[[#This Row],[YearsAtCompany]]&lt;=10,"6-10 Yrs","10+ Yrs")))</f>
        <v>6-10 Yrs</v>
      </c>
      <c r="AJ613" s="1">
        <f>IF(HR_Data[[#This Row],[YearsAtCompany]]&lt;=2,1,IF(HR_Data[[#This Row],[YearsAtCompany]]&lt;=5,2,IF(HR_Data[[#This Row],[YearsAtCompany]]&lt;=10,3,4)))</f>
        <v>3</v>
      </c>
      <c r="AK613" s="1" t="str">
        <f>CHOOSE(HR_Data[[#This Row],[Education]],"Below College","College","Bachelor","Master","Doctor")</f>
        <v>Bachelor</v>
      </c>
      <c r="AL613" s="1" t="str">
        <f>CHOOSE(HR_Data[[#This Row],[JobSatisfaction]],"Low","Medium","High","Very High")</f>
        <v>High</v>
      </c>
      <c r="AM613" s="1" t="str">
        <f>CHOOSE(HR_Data[[#This Row],[EnvironmentSatisfaction]],"Low","Medium","High","Very High")</f>
        <v>High</v>
      </c>
      <c r="AN613" s="1" t="str">
        <f>CHOOSE(HR_Data[[#This Row],[WorkLifeBalance]],"Bad","Good","Better","Best")</f>
        <v>Best</v>
      </c>
      <c r="AO613" s="1" t="str">
        <f>IF(HR_Data[[#This Row],[PercentSalaryHike]]&lt;=13,"11-13%",IF(HR_Data[[#This Row],[PercentSalaryHike]]&lt;=16,"14-16%",IF(HR_Data[[#This Row],[PercentSalaryHike]]&lt;=19,"17-19%","20-25%")))</f>
        <v>20-25%</v>
      </c>
      <c r="AP613" s="1">
        <f>IF(HR_Data[[#This Row],[PercentSalaryHike]]&lt;=13,1,IF(HR_Data[[#This Row],[PercentSalaryHike]]&lt;=16,2,IF(HR_Data[[#This Row],[PercentSalaryHike]]&lt;=19,3,4)))</f>
        <v>4</v>
      </c>
      <c r="AQ613" s="1" t="str">
        <f>IF(HR_Data[[#This Row],[DistanceFromHome]]&lt;=5,"1 to 5",IF(HR_Data[[#This Row],[DistanceFromHome]]&lt;=10,"6 to 10",IF(HR_Data[[#This Row],[DistanceFromHome]]&lt;=20,"11 to 20","21 to 29")))</f>
        <v>6 to 10</v>
      </c>
      <c r="AR613" s="1">
        <f>IF(HR_Data[[#This Row],[DistanceFromHome]]&lt;=5,1,IF(HR_Data[[#This Row],[DistanceFromHome]]&lt;=10,2,IF(HR_Data[[#This Row],[DistanceFromHome]]&lt;=20,3,4)))</f>
        <v>2</v>
      </c>
      <c r="AS613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613" s="1">
        <f>IF(HR_Data[[#This Row],[TotalWorkingYears]]&lt;=5,1,IF(HR_Data[[#This Row],[TotalWorkingYears]]&lt;=10,2,IF(HR_Data[[#This Row],[TotalWorkingYears]]&lt;=20,3,4)))</f>
        <v>3</v>
      </c>
    </row>
    <row r="614" spans="1:46" x14ac:dyDescent="0.25">
      <c r="A614">
        <v>28</v>
      </c>
      <c r="B614" t="s">
        <v>36</v>
      </c>
      <c r="C614" t="s">
        <v>30</v>
      </c>
      <c r="D614" t="s">
        <v>31</v>
      </c>
      <c r="E614">
        <v>2</v>
      </c>
      <c r="F614">
        <v>4</v>
      </c>
      <c r="G614" t="s">
        <v>52</v>
      </c>
      <c r="H614">
        <v>846</v>
      </c>
      <c r="I614">
        <v>2</v>
      </c>
      <c r="J614" t="s">
        <v>33</v>
      </c>
      <c r="K614">
        <v>3</v>
      </c>
      <c r="L614">
        <v>2</v>
      </c>
      <c r="M614" t="s">
        <v>34</v>
      </c>
      <c r="N614">
        <v>2</v>
      </c>
      <c r="O614" t="s">
        <v>41</v>
      </c>
      <c r="P614">
        <v>4779</v>
      </c>
      <c r="Q614">
        <v>1</v>
      </c>
      <c r="R614" t="s">
        <v>29</v>
      </c>
      <c r="S614">
        <v>20</v>
      </c>
      <c r="T614">
        <v>4</v>
      </c>
      <c r="U614">
        <v>1</v>
      </c>
      <c r="V614">
        <v>0</v>
      </c>
      <c r="W614">
        <v>8</v>
      </c>
      <c r="X614">
        <v>2</v>
      </c>
      <c r="Y614">
        <v>3</v>
      </c>
      <c r="Z614">
        <v>8</v>
      </c>
      <c r="AA614">
        <v>7</v>
      </c>
      <c r="AB614">
        <v>7</v>
      </c>
      <c r="AC614">
        <v>5</v>
      </c>
      <c r="AD614">
        <f>IF(HR_Data[[#This Row],[Attrition]]="Yes",1,0)</f>
        <v>0</v>
      </c>
      <c r="AE614" t="str">
        <f>IF(HR_Data[[#This Row],[Age]]&lt;=25,"18-25",IF(HR_Data[[#This Row],[Age]]&lt;=35,"26-35",IF(HR_Data[[#This Row],[Age]]&lt;=45,"36-45",IF(HR_Data[[#This Row],[Age]]&lt;=55,"46-55","55+"))))</f>
        <v>26-35</v>
      </c>
      <c r="AF614">
        <f>IF(HR_Data[[#This Row],[Age]]&lt;=25,1,IF(HR_Data[[#This Row],[Age]]&lt;=35,2,IF(HR_Data[[#This Row],[Age]]&lt;=45,3,IF(HR_Data[[#This Row],[Age]]&lt;=55,4,5))))</f>
        <v>2</v>
      </c>
      <c r="AG614" s="1" t="str">
        <f>IF(HR_Data[[#This Row],[MonthlyIncome]]&lt;3000,"&lt;3K",IF(HR_Data[[#This Row],[MonthlyIncome]]&lt;6000,"3K-6K",IF(HR_Data[[#This Row],[MonthlyIncome]]&lt;10000,"6K-10K","10K+")))</f>
        <v>3K-6K</v>
      </c>
      <c r="AH614" s="1">
        <f>IF(HR_Data[[#This Row],[MonthlyIncome]]&lt;3000,1,IF(HR_Data[[#This Row],[MonthlyIncome]]&lt;6000,2,IF(HR_Data[[#This Row],[MonthlyIncome]]&lt;10000,3,4)))</f>
        <v>2</v>
      </c>
      <c r="AI614" s="1" t="str">
        <f>IF(HR_Data[[#This Row],[YearsAtCompany]]&lt;=2,"0-2 Yrs",IF(HR_Data[[#This Row],[YearsAtCompany]]&lt;=5,"3-5 Yrs",IF(HR_Data[[#This Row],[YearsAtCompany]]&lt;=10,"6-10 Yrs","10+ Yrs")))</f>
        <v>6-10 Yrs</v>
      </c>
      <c r="AJ614" s="1">
        <f>IF(HR_Data[[#This Row],[YearsAtCompany]]&lt;=2,1,IF(HR_Data[[#This Row],[YearsAtCompany]]&lt;=5,2,IF(HR_Data[[#This Row],[YearsAtCompany]]&lt;=10,3,4)))</f>
        <v>3</v>
      </c>
      <c r="AK614" s="1" t="str">
        <f>CHOOSE(HR_Data[[#This Row],[Education]],"Below College","College","Bachelor","Master","Doctor")</f>
        <v>Master</v>
      </c>
      <c r="AL614" s="1" t="str">
        <f>CHOOSE(HR_Data[[#This Row],[JobSatisfaction]],"Low","Medium","High","Very High")</f>
        <v>Medium</v>
      </c>
      <c r="AM614" s="1" t="str">
        <f>CHOOSE(HR_Data[[#This Row],[EnvironmentSatisfaction]],"Low","Medium","High","Very High")</f>
        <v>Medium</v>
      </c>
      <c r="AN614" s="1" t="str">
        <f>CHOOSE(HR_Data[[#This Row],[WorkLifeBalance]],"Bad","Good","Better","Best")</f>
        <v>Better</v>
      </c>
      <c r="AO614" s="1" t="str">
        <f>IF(HR_Data[[#This Row],[PercentSalaryHike]]&lt;=13,"11-13%",IF(HR_Data[[#This Row],[PercentSalaryHike]]&lt;=16,"14-16%",IF(HR_Data[[#This Row],[PercentSalaryHike]]&lt;=19,"17-19%","20-25%")))</f>
        <v>20-25%</v>
      </c>
      <c r="AP614" s="1">
        <f>IF(HR_Data[[#This Row],[PercentSalaryHike]]&lt;=13,1,IF(HR_Data[[#This Row],[PercentSalaryHike]]&lt;=16,2,IF(HR_Data[[#This Row],[PercentSalaryHike]]&lt;=19,3,4)))</f>
        <v>4</v>
      </c>
      <c r="AQ614" s="1" t="str">
        <f>IF(HR_Data[[#This Row],[DistanceFromHome]]&lt;=5,"1 to 5",IF(HR_Data[[#This Row],[DistanceFromHome]]&lt;=10,"6 to 10",IF(HR_Data[[#This Row],[DistanceFromHome]]&lt;=20,"11 to 20","21 to 29")))</f>
        <v>1 to 5</v>
      </c>
      <c r="AR614" s="1">
        <f>IF(HR_Data[[#This Row],[DistanceFromHome]]&lt;=5,1,IF(HR_Data[[#This Row],[DistanceFromHome]]&lt;=10,2,IF(HR_Data[[#This Row],[DistanceFromHome]]&lt;=20,3,4)))</f>
        <v>1</v>
      </c>
      <c r="AS614" s="1" t="str">
        <f>IF(HR_Data[[#This Row],[TotalWorkingYears]]&lt;=5,"0-5 Yrs",IF(HR_Data[[#This Row],[TotalWorkingYears]]&lt;=10,"6-10 Yrs",IF(HR_Data[[#This Row],[TotalWorkingYears]]&lt;=20,"11-20 Yrs","20+ Yrs")))</f>
        <v>6-10 Yrs</v>
      </c>
      <c r="AT614" s="1">
        <f>IF(HR_Data[[#This Row],[TotalWorkingYears]]&lt;=5,1,IF(HR_Data[[#This Row],[TotalWorkingYears]]&lt;=10,2,IF(HR_Data[[#This Row],[TotalWorkingYears]]&lt;=20,3,4)))</f>
        <v>2</v>
      </c>
    </row>
    <row r="615" spans="1:46" x14ac:dyDescent="0.25">
      <c r="A615">
        <v>34</v>
      </c>
      <c r="B615" t="s">
        <v>36</v>
      </c>
      <c r="C615" t="s">
        <v>30</v>
      </c>
      <c r="D615" t="s">
        <v>54</v>
      </c>
      <c r="E615">
        <v>3</v>
      </c>
      <c r="F615">
        <v>2</v>
      </c>
      <c r="G615" t="s">
        <v>54</v>
      </c>
      <c r="H615">
        <v>847</v>
      </c>
      <c r="I615">
        <v>3</v>
      </c>
      <c r="J615" t="s">
        <v>39</v>
      </c>
      <c r="K615">
        <v>3</v>
      </c>
      <c r="L615">
        <v>1</v>
      </c>
      <c r="M615" t="s">
        <v>54</v>
      </c>
      <c r="N615">
        <v>4</v>
      </c>
      <c r="O615" t="s">
        <v>41</v>
      </c>
      <c r="P615">
        <v>3737</v>
      </c>
      <c r="Q615">
        <v>0</v>
      </c>
      <c r="R615" t="s">
        <v>36</v>
      </c>
      <c r="S615">
        <v>19</v>
      </c>
      <c r="T615">
        <v>3</v>
      </c>
      <c r="U615">
        <v>3</v>
      </c>
      <c r="V615">
        <v>1</v>
      </c>
      <c r="W615">
        <v>4</v>
      </c>
      <c r="X615">
        <v>1</v>
      </c>
      <c r="Y615">
        <v>1</v>
      </c>
      <c r="Z615">
        <v>3</v>
      </c>
      <c r="AA615">
        <v>2</v>
      </c>
      <c r="AB615">
        <v>0</v>
      </c>
      <c r="AC615">
        <v>2</v>
      </c>
      <c r="AD615">
        <f>IF(HR_Data[[#This Row],[Attrition]]="Yes",1,0)</f>
        <v>0</v>
      </c>
      <c r="AE615" t="str">
        <f>IF(HR_Data[[#This Row],[Age]]&lt;=25,"18-25",IF(HR_Data[[#This Row],[Age]]&lt;=35,"26-35",IF(HR_Data[[#This Row],[Age]]&lt;=45,"36-45",IF(HR_Data[[#This Row],[Age]]&lt;=55,"46-55","55+"))))</f>
        <v>26-35</v>
      </c>
      <c r="AF615">
        <f>IF(HR_Data[[#This Row],[Age]]&lt;=25,1,IF(HR_Data[[#This Row],[Age]]&lt;=35,2,IF(HR_Data[[#This Row],[Age]]&lt;=45,3,IF(HR_Data[[#This Row],[Age]]&lt;=55,4,5))))</f>
        <v>2</v>
      </c>
      <c r="AG615" s="1" t="str">
        <f>IF(HR_Data[[#This Row],[MonthlyIncome]]&lt;3000,"&lt;3K",IF(HR_Data[[#This Row],[MonthlyIncome]]&lt;6000,"3K-6K",IF(HR_Data[[#This Row],[MonthlyIncome]]&lt;10000,"6K-10K","10K+")))</f>
        <v>3K-6K</v>
      </c>
      <c r="AH615" s="1">
        <f>IF(HR_Data[[#This Row],[MonthlyIncome]]&lt;3000,1,IF(HR_Data[[#This Row],[MonthlyIncome]]&lt;6000,2,IF(HR_Data[[#This Row],[MonthlyIncome]]&lt;10000,3,4)))</f>
        <v>2</v>
      </c>
      <c r="AI615" s="1" t="str">
        <f>IF(HR_Data[[#This Row],[YearsAtCompany]]&lt;=2,"0-2 Yrs",IF(HR_Data[[#This Row],[YearsAtCompany]]&lt;=5,"3-5 Yrs",IF(HR_Data[[#This Row],[YearsAtCompany]]&lt;=10,"6-10 Yrs","10+ Yrs")))</f>
        <v>3-5 Yrs</v>
      </c>
      <c r="AJ615" s="1">
        <f>IF(HR_Data[[#This Row],[YearsAtCompany]]&lt;=2,1,IF(HR_Data[[#This Row],[YearsAtCompany]]&lt;=5,2,IF(HR_Data[[#This Row],[YearsAtCompany]]&lt;=10,3,4)))</f>
        <v>2</v>
      </c>
      <c r="AK615" s="1" t="str">
        <f>CHOOSE(HR_Data[[#This Row],[Education]],"Below College","College","Bachelor","Master","Doctor")</f>
        <v>College</v>
      </c>
      <c r="AL615" s="1" t="str">
        <f>CHOOSE(HR_Data[[#This Row],[JobSatisfaction]],"Low","Medium","High","Very High")</f>
        <v>Very High</v>
      </c>
      <c r="AM615" s="1" t="str">
        <f>CHOOSE(HR_Data[[#This Row],[EnvironmentSatisfaction]],"Low","Medium","High","Very High")</f>
        <v>High</v>
      </c>
      <c r="AN615" s="1" t="str">
        <f>CHOOSE(HR_Data[[#This Row],[WorkLifeBalance]],"Bad","Good","Better","Best")</f>
        <v>Bad</v>
      </c>
      <c r="AO615" s="1" t="str">
        <f>IF(HR_Data[[#This Row],[PercentSalaryHike]]&lt;=13,"11-13%",IF(HR_Data[[#This Row],[PercentSalaryHike]]&lt;=16,"14-16%",IF(HR_Data[[#This Row],[PercentSalaryHike]]&lt;=19,"17-19%","20-25%")))</f>
        <v>17-19%</v>
      </c>
      <c r="AP615" s="1">
        <f>IF(HR_Data[[#This Row],[PercentSalaryHike]]&lt;=13,1,IF(HR_Data[[#This Row],[PercentSalaryHike]]&lt;=16,2,IF(HR_Data[[#This Row],[PercentSalaryHike]]&lt;=19,3,4)))</f>
        <v>3</v>
      </c>
      <c r="AQ615" s="1" t="str">
        <f>IF(HR_Data[[#This Row],[DistanceFromHome]]&lt;=5,"1 to 5",IF(HR_Data[[#This Row],[DistanceFromHome]]&lt;=10,"6 to 10",IF(HR_Data[[#This Row],[DistanceFromHome]]&lt;=20,"11 to 20","21 to 29")))</f>
        <v>1 to 5</v>
      </c>
      <c r="AR615" s="1">
        <f>IF(HR_Data[[#This Row],[DistanceFromHome]]&lt;=5,1,IF(HR_Data[[#This Row],[DistanceFromHome]]&lt;=10,2,IF(HR_Data[[#This Row],[DistanceFromHome]]&lt;=20,3,4)))</f>
        <v>1</v>
      </c>
      <c r="AS615" s="1" t="str">
        <f>IF(HR_Data[[#This Row],[TotalWorkingYears]]&lt;=5,"0-5 Yrs",IF(HR_Data[[#This Row],[TotalWorkingYears]]&lt;=10,"6-10 Yrs",IF(HR_Data[[#This Row],[TotalWorkingYears]]&lt;=20,"11-20 Yrs","20+ Yrs")))</f>
        <v>0-5 Yrs</v>
      </c>
      <c r="AT615" s="1">
        <f>IF(HR_Data[[#This Row],[TotalWorkingYears]]&lt;=5,1,IF(HR_Data[[#This Row],[TotalWorkingYears]]&lt;=10,2,IF(HR_Data[[#This Row],[TotalWorkingYears]]&lt;=20,3,4)))</f>
        <v>1</v>
      </c>
    </row>
    <row r="616" spans="1:46" x14ac:dyDescent="0.25">
      <c r="A616">
        <v>26</v>
      </c>
      <c r="B616" t="s">
        <v>29</v>
      </c>
      <c r="C616" t="s">
        <v>37</v>
      </c>
      <c r="D616" t="s">
        <v>38</v>
      </c>
      <c r="E616">
        <v>5</v>
      </c>
      <c r="F616">
        <v>2</v>
      </c>
      <c r="G616" t="s">
        <v>44</v>
      </c>
      <c r="H616">
        <v>848</v>
      </c>
      <c r="I616">
        <v>3</v>
      </c>
      <c r="J616" t="s">
        <v>33</v>
      </c>
      <c r="K616">
        <v>2</v>
      </c>
      <c r="L616">
        <v>1</v>
      </c>
      <c r="M616" t="s">
        <v>40</v>
      </c>
      <c r="N616">
        <v>3</v>
      </c>
      <c r="O616" t="s">
        <v>41</v>
      </c>
      <c r="P616">
        <v>2366</v>
      </c>
      <c r="Q616">
        <v>1</v>
      </c>
      <c r="R616" t="s">
        <v>29</v>
      </c>
      <c r="S616">
        <v>14</v>
      </c>
      <c r="T616">
        <v>3</v>
      </c>
      <c r="U616">
        <v>1</v>
      </c>
      <c r="V616">
        <v>1</v>
      </c>
      <c r="W616">
        <v>8</v>
      </c>
      <c r="X616">
        <v>2</v>
      </c>
      <c r="Y616">
        <v>3</v>
      </c>
      <c r="Z616">
        <v>8</v>
      </c>
      <c r="AA616">
        <v>7</v>
      </c>
      <c r="AB616">
        <v>1</v>
      </c>
      <c r="AC616">
        <v>7</v>
      </c>
      <c r="AD616">
        <f>IF(HR_Data[[#This Row],[Attrition]]="Yes",1,0)</f>
        <v>1</v>
      </c>
      <c r="AE616" t="str">
        <f>IF(HR_Data[[#This Row],[Age]]&lt;=25,"18-25",IF(HR_Data[[#This Row],[Age]]&lt;=35,"26-35",IF(HR_Data[[#This Row],[Age]]&lt;=45,"36-45",IF(HR_Data[[#This Row],[Age]]&lt;=55,"46-55","55+"))))</f>
        <v>26-35</v>
      </c>
      <c r="AF616">
        <f>IF(HR_Data[[#This Row],[Age]]&lt;=25,1,IF(HR_Data[[#This Row],[Age]]&lt;=35,2,IF(HR_Data[[#This Row],[Age]]&lt;=45,3,IF(HR_Data[[#This Row],[Age]]&lt;=55,4,5))))</f>
        <v>2</v>
      </c>
      <c r="AG616" s="1" t="str">
        <f>IF(HR_Data[[#This Row],[MonthlyIncome]]&lt;3000,"&lt;3K",IF(HR_Data[[#This Row],[MonthlyIncome]]&lt;6000,"3K-6K",IF(HR_Data[[#This Row],[MonthlyIncome]]&lt;10000,"6K-10K","10K+")))</f>
        <v>&lt;3K</v>
      </c>
      <c r="AH616" s="1">
        <f>IF(HR_Data[[#This Row],[MonthlyIncome]]&lt;3000,1,IF(HR_Data[[#This Row],[MonthlyIncome]]&lt;6000,2,IF(HR_Data[[#This Row],[MonthlyIncome]]&lt;10000,3,4)))</f>
        <v>1</v>
      </c>
      <c r="AI616" s="1" t="str">
        <f>IF(HR_Data[[#This Row],[YearsAtCompany]]&lt;=2,"0-2 Yrs",IF(HR_Data[[#This Row],[YearsAtCompany]]&lt;=5,"3-5 Yrs",IF(HR_Data[[#This Row],[YearsAtCompany]]&lt;=10,"6-10 Yrs","10+ Yrs")))</f>
        <v>6-10 Yrs</v>
      </c>
      <c r="AJ616" s="1">
        <f>IF(HR_Data[[#This Row],[YearsAtCompany]]&lt;=2,1,IF(HR_Data[[#This Row],[YearsAtCompany]]&lt;=5,2,IF(HR_Data[[#This Row],[YearsAtCompany]]&lt;=10,3,4)))</f>
        <v>3</v>
      </c>
      <c r="AK616" s="1" t="str">
        <f>CHOOSE(HR_Data[[#This Row],[Education]],"Below College","College","Bachelor","Master","Doctor")</f>
        <v>College</v>
      </c>
      <c r="AL616" s="1" t="str">
        <f>CHOOSE(HR_Data[[#This Row],[JobSatisfaction]],"Low","Medium","High","Very High")</f>
        <v>High</v>
      </c>
      <c r="AM616" s="1" t="str">
        <f>CHOOSE(HR_Data[[#This Row],[EnvironmentSatisfaction]],"Low","Medium","High","Very High")</f>
        <v>High</v>
      </c>
      <c r="AN616" s="1" t="str">
        <f>CHOOSE(HR_Data[[#This Row],[WorkLifeBalance]],"Bad","Good","Better","Best")</f>
        <v>Better</v>
      </c>
      <c r="AO616" s="1" t="str">
        <f>IF(HR_Data[[#This Row],[PercentSalaryHike]]&lt;=13,"11-13%",IF(HR_Data[[#This Row],[PercentSalaryHike]]&lt;=16,"14-16%",IF(HR_Data[[#This Row],[PercentSalaryHike]]&lt;=19,"17-19%","20-25%")))</f>
        <v>14-16%</v>
      </c>
      <c r="AP616" s="1">
        <f>IF(HR_Data[[#This Row],[PercentSalaryHike]]&lt;=13,1,IF(HR_Data[[#This Row],[PercentSalaryHike]]&lt;=16,2,IF(HR_Data[[#This Row],[PercentSalaryHike]]&lt;=19,3,4)))</f>
        <v>2</v>
      </c>
      <c r="AQ616" s="1" t="str">
        <f>IF(HR_Data[[#This Row],[DistanceFromHome]]&lt;=5,"1 to 5",IF(HR_Data[[#This Row],[DistanceFromHome]]&lt;=10,"6 to 10",IF(HR_Data[[#This Row],[DistanceFromHome]]&lt;=20,"11 to 20","21 to 29")))</f>
        <v>1 to 5</v>
      </c>
      <c r="AR616" s="1">
        <f>IF(HR_Data[[#This Row],[DistanceFromHome]]&lt;=5,1,IF(HR_Data[[#This Row],[DistanceFromHome]]&lt;=10,2,IF(HR_Data[[#This Row],[DistanceFromHome]]&lt;=20,3,4)))</f>
        <v>1</v>
      </c>
      <c r="AS616" s="1" t="str">
        <f>IF(HR_Data[[#This Row],[TotalWorkingYears]]&lt;=5,"0-5 Yrs",IF(HR_Data[[#This Row],[TotalWorkingYears]]&lt;=10,"6-10 Yrs",IF(HR_Data[[#This Row],[TotalWorkingYears]]&lt;=20,"11-20 Yrs","20+ Yrs")))</f>
        <v>6-10 Yrs</v>
      </c>
      <c r="AT616" s="1">
        <f>IF(HR_Data[[#This Row],[TotalWorkingYears]]&lt;=5,1,IF(HR_Data[[#This Row],[TotalWorkingYears]]&lt;=10,2,IF(HR_Data[[#This Row],[TotalWorkingYears]]&lt;=20,3,4)))</f>
        <v>2</v>
      </c>
    </row>
    <row r="617" spans="1:46" x14ac:dyDescent="0.25">
      <c r="A617">
        <v>27</v>
      </c>
      <c r="B617" t="s">
        <v>36</v>
      </c>
      <c r="C617" t="s">
        <v>48</v>
      </c>
      <c r="D617" t="s">
        <v>38</v>
      </c>
      <c r="E617">
        <v>3</v>
      </c>
      <c r="F617">
        <v>3</v>
      </c>
      <c r="G617" t="s">
        <v>44</v>
      </c>
      <c r="H617">
        <v>850</v>
      </c>
      <c r="I617">
        <v>4</v>
      </c>
      <c r="J617" t="s">
        <v>39</v>
      </c>
      <c r="K617">
        <v>3</v>
      </c>
      <c r="L617">
        <v>1</v>
      </c>
      <c r="M617" t="s">
        <v>40</v>
      </c>
      <c r="N617">
        <v>4</v>
      </c>
      <c r="O617" t="s">
        <v>41</v>
      </c>
      <c r="P617">
        <v>1706</v>
      </c>
      <c r="Q617">
        <v>1</v>
      </c>
      <c r="R617" t="s">
        <v>36</v>
      </c>
      <c r="S617">
        <v>11</v>
      </c>
      <c r="T617">
        <v>3</v>
      </c>
      <c r="U617">
        <v>3</v>
      </c>
      <c r="V617">
        <v>3</v>
      </c>
      <c r="W617">
        <v>0</v>
      </c>
      <c r="X617">
        <v>6</v>
      </c>
      <c r="Y617">
        <v>2</v>
      </c>
      <c r="Z617">
        <v>0</v>
      </c>
      <c r="AA617">
        <v>0</v>
      </c>
      <c r="AB617">
        <v>0</v>
      </c>
      <c r="AC617">
        <v>0</v>
      </c>
      <c r="AD617">
        <f>IF(HR_Data[[#This Row],[Attrition]]="Yes",1,0)</f>
        <v>0</v>
      </c>
      <c r="AE617" t="str">
        <f>IF(HR_Data[[#This Row],[Age]]&lt;=25,"18-25",IF(HR_Data[[#This Row],[Age]]&lt;=35,"26-35",IF(HR_Data[[#This Row],[Age]]&lt;=45,"36-45",IF(HR_Data[[#This Row],[Age]]&lt;=55,"46-55","55+"))))</f>
        <v>26-35</v>
      </c>
      <c r="AF617">
        <f>IF(HR_Data[[#This Row],[Age]]&lt;=25,1,IF(HR_Data[[#This Row],[Age]]&lt;=35,2,IF(HR_Data[[#This Row],[Age]]&lt;=45,3,IF(HR_Data[[#This Row],[Age]]&lt;=55,4,5))))</f>
        <v>2</v>
      </c>
      <c r="AG617" s="1" t="str">
        <f>IF(HR_Data[[#This Row],[MonthlyIncome]]&lt;3000,"&lt;3K",IF(HR_Data[[#This Row],[MonthlyIncome]]&lt;6000,"3K-6K",IF(HR_Data[[#This Row],[MonthlyIncome]]&lt;10000,"6K-10K","10K+")))</f>
        <v>&lt;3K</v>
      </c>
      <c r="AH617" s="1">
        <f>IF(HR_Data[[#This Row],[MonthlyIncome]]&lt;3000,1,IF(HR_Data[[#This Row],[MonthlyIncome]]&lt;6000,2,IF(HR_Data[[#This Row],[MonthlyIncome]]&lt;10000,3,4)))</f>
        <v>1</v>
      </c>
      <c r="AI617" s="1" t="str">
        <f>IF(HR_Data[[#This Row],[YearsAtCompany]]&lt;=2,"0-2 Yrs",IF(HR_Data[[#This Row],[YearsAtCompany]]&lt;=5,"3-5 Yrs",IF(HR_Data[[#This Row],[YearsAtCompany]]&lt;=10,"6-10 Yrs","10+ Yrs")))</f>
        <v>0-2 Yrs</v>
      </c>
      <c r="AJ617" s="1">
        <f>IF(HR_Data[[#This Row],[YearsAtCompany]]&lt;=2,1,IF(HR_Data[[#This Row],[YearsAtCompany]]&lt;=5,2,IF(HR_Data[[#This Row],[YearsAtCompany]]&lt;=10,3,4)))</f>
        <v>1</v>
      </c>
      <c r="AK617" s="1" t="str">
        <f>CHOOSE(HR_Data[[#This Row],[Education]],"Below College","College","Bachelor","Master","Doctor")</f>
        <v>Bachelor</v>
      </c>
      <c r="AL617" s="1" t="str">
        <f>CHOOSE(HR_Data[[#This Row],[JobSatisfaction]],"Low","Medium","High","Very High")</f>
        <v>Very High</v>
      </c>
      <c r="AM617" s="1" t="str">
        <f>CHOOSE(HR_Data[[#This Row],[EnvironmentSatisfaction]],"Low","Medium","High","Very High")</f>
        <v>Very High</v>
      </c>
      <c r="AN617" s="1" t="str">
        <f>CHOOSE(HR_Data[[#This Row],[WorkLifeBalance]],"Bad","Good","Better","Best")</f>
        <v>Good</v>
      </c>
      <c r="AO617" s="1" t="str">
        <f>IF(HR_Data[[#This Row],[PercentSalaryHike]]&lt;=13,"11-13%",IF(HR_Data[[#This Row],[PercentSalaryHike]]&lt;=16,"14-16%",IF(HR_Data[[#This Row],[PercentSalaryHike]]&lt;=19,"17-19%","20-25%")))</f>
        <v>11-13%</v>
      </c>
      <c r="AP617" s="1">
        <f>IF(HR_Data[[#This Row],[PercentSalaryHike]]&lt;=13,1,IF(HR_Data[[#This Row],[PercentSalaryHike]]&lt;=16,2,IF(HR_Data[[#This Row],[PercentSalaryHike]]&lt;=19,3,4)))</f>
        <v>1</v>
      </c>
      <c r="AQ617" s="1" t="str">
        <f>IF(HR_Data[[#This Row],[DistanceFromHome]]&lt;=5,"1 to 5",IF(HR_Data[[#This Row],[DistanceFromHome]]&lt;=10,"6 to 10",IF(HR_Data[[#This Row],[DistanceFromHome]]&lt;=20,"11 to 20","21 to 29")))</f>
        <v>1 to 5</v>
      </c>
      <c r="AR617" s="1">
        <f>IF(HR_Data[[#This Row],[DistanceFromHome]]&lt;=5,1,IF(HR_Data[[#This Row],[DistanceFromHome]]&lt;=10,2,IF(HR_Data[[#This Row],[DistanceFromHome]]&lt;=20,3,4)))</f>
        <v>1</v>
      </c>
      <c r="AS617" s="1" t="str">
        <f>IF(HR_Data[[#This Row],[TotalWorkingYears]]&lt;=5,"0-5 Yrs",IF(HR_Data[[#This Row],[TotalWorkingYears]]&lt;=10,"6-10 Yrs",IF(HR_Data[[#This Row],[TotalWorkingYears]]&lt;=20,"11-20 Yrs","20+ Yrs")))</f>
        <v>0-5 Yrs</v>
      </c>
      <c r="AT617" s="1">
        <f>IF(HR_Data[[#This Row],[TotalWorkingYears]]&lt;=5,1,IF(HR_Data[[#This Row],[TotalWorkingYears]]&lt;=10,2,IF(HR_Data[[#This Row],[TotalWorkingYears]]&lt;=20,3,4)))</f>
        <v>1</v>
      </c>
    </row>
    <row r="618" spans="1:46" x14ac:dyDescent="0.25">
      <c r="A618">
        <v>51</v>
      </c>
      <c r="B618" t="s">
        <v>36</v>
      </c>
      <c r="C618" t="s">
        <v>30</v>
      </c>
      <c r="D618" t="s">
        <v>31</v>
      </c>
      <c r="E618">
        <v>26</v>
      </c>
      <c r="F618">
        <v>4</v>
      </c>
      <c r="G618" t="s">
        <v>52</v>
      </c>
      <c r="H618">
        <v>851</v>
      </c>
      <c r="I618">
        <v>1</v>
      </c>
      <c r="J618" t="s">
        <v>33</v>
      </c>
      <c r="K618">
        <v>3</v>
      </c>
      <c r="L618">
        <v>4</v>
      </c>
      <c r="M618" t="s">
        <v>49</v>
      </c>
      <c r="N618">
        <v>3</v>
      </c>
      <c r="O618" t="s">
        <v>41</v>
      </c>
      <c r="P618">
        <v>16307</v>
      </c>
      <c r="Q618">
        <v>2</v>
      </c>
      <c r="R618" t="s">
        <v>36</v>
      </c>
      <c r="S618">
        <v>14</v>
      </c>
      <c r="T618">
        <v>3</v>
      </c>
      <c r="U618">
        <v>3</v>
      </c>
      <c r="V618">
        <v>1</v>
      </c>
      <c r="W618">
        <v>29</v>
      </c>
      <c r="X618">
        <v>2</v>
      </c>
      <c r="Y618">
        <v>2</v>
      </c>
      <c r="Z618">
        <v>20</v>
      </c>
      <c r="AA618">
        <v>6</v>
      </c>
      <c r="AB618">
        <v>4</v>
      </c>
      <c r="AC618">
        <v>17</v>
      </c>
      <c r="AD618">
        <f>IF(HR_Data[[#This Row],[Attrition]]="Yes",1,0)</f>
        <v>0</v>
      </c>
      <c r="AE618" t="str">
        <f>IF(HR_Data[[#This Row],[Age]]&lt;=25,"18-25",IF(HR_Data[[#This Row],[Age]]&lt;=35,"26-35",IF(HR_Data[[#This Row],[Age]]&lt;=45,"36-45",IF(HR_Data[[#This Row],[Age]]&lt;=55,"46-55","55+"))))</f>
        <v>46-55</v>
      </c>
      <c r="AF618">
        <f>IF(HR_Data[[#This Row],[Age]]&lt;=25,1,IF(HR_Data[[#This Row],[Age]]&lt;=35,2,IF(HR_Data[[#This Row],[Age]]&lt;=45,3,IF(HR_Data[[#This Row],[Age]]&lt;=55,4,5))))</f>
        <v>4</v>
      </c>
      <c r="AG618" s="1" t="str">
        <f>IF(HR_Data[[#This Row],[MonthlyIncome]]&lt;3000,"&lt;3K",IF(HR_Data[[#This Row],[MonthlyIncome]]&lt;6000,"3K-6K",IF(HR_Data[[#This Row],[MonthlyIncome]]&lt;10000,"6K-10K","10K+")))</f>
        <v>10K+</v>
      </c>
      <c r="AH618" s="1">
        <f>IF(HR_Data[[#This Row],[MonthlyIncome]]&lt;3000,1,IF(HR_Data[[#This Row],[MonthlyIncome]]&lt;6000,2,IF(HR_Data[[#This Row],[MonthlyIncome]]&lt;10000,3,4)))</f>
        <v>4</v>
      </c>
      <c r="AI618" s="1" t="str">
        <f>IF(HR_Data[[#This Row],[YearsAtCompany]]&lt;=2,"0-2 Yrs",IF(HR_Data[[#This Row],[YearsAtCompany]]&lt;=5,"3-5 Yrs",IF(HR_Data[[#This Row],[YearsAtCompany]]&lt;=10,"6-10 Yrs","10+ Yrs")))</f>
        <v>10+ Yrs</v>
      </c>
      <c r="AJ618" s="1">
        <f>IF(HR_Data[[#This Row],[YearsAtCompany]]&lt;=2,1,IF(HR_Data[[#This Row],[YearsAtCompany]]&lt;=5,2,IF(HR_Data[[#This Row],[YearsAtCompany]]&lt;=10,3,4)))</f>
        <v>4</v>
      </c>
      <c r="AK618" s="1" t="str">
        <f>CHOOSE(HR_Data[[#This Row],[Education]],"Below College","College","Bachelor","Master","Doctor")</f>
        <v>Master</v>
      </c>
      <c r="AL618" s="1" t="str">
        <f>CHOOSE(HR_Data[[#This Row],[JobSatisfaction]],"Low","Medium","High","Very High")</f>
        <v>High</v>
      </c>
      <c r="AM618" s="1" t="str">
        <f>CHOOSE(HR_Data[[#This Row],[EnvironmentSatisfaction]],"Low","Medium","High","Very High")</f>
        <v>Low</v>
      </c>
      <c r="AN618" s="1" t="str">
        <f>CHOOSE(HR_Data[[#This Row],[WorkLifeBalance]],"Bad","Good","Better","Best")</f>
        <v>Good</v>
      </c>
      <c r="AO618" s="1" t="str">
        <f>IF(HR_Data[[#This Row],[PercentSalaryHike]]&lt;=13,"11-13%",IF(HR_Data[[#This Row],[PercentSalaryHike]]&lt;=16,"14-16%",IF(HR_Data[[#This Row],[PercentSalaryHike]]&lt;=19,"17-19%","20-25%")))</f>
        <v>14-16%</v>
      </c>
      <c r="AP618" s="1">
        <f>IF(HR_Data[[#This Row],[PercentSalaryHike]]&lt;=13,1,IF(HR_Data[[#This Row],[PercentSalaryHike]]&lt;=16,2,IF(HR_Data[[#This Row],[PercentSalaryHike]]&lt;=19,3,4)))</f>
        <v>2</v>
      </c>
      <c r="AQ618" s="1" t="str">
        <f>IF(HR_Data[[#This Row],[DistanceFromHome]]&lt;=5,"1 to 5",IF(HR_Data[[#This Row],[DistanceFromHome]]&lt;=10,"6 to 10",IF(HR_Data[[#This Row],[DistanceFromHome]]&lt;=20,"11 to 20","21 to 29")))</f>
        <v>21 to 29</v>
      </c>
      <c r="AR618" s="1">
        <f>IF(HR_Data[[#This Row],[DistanceFromHome]]&lt;=5,1,IF(HR_Data[[#This Row],[DistanceFromHome]]&lt;=10,2,IF(HR_Data[[#This Row],[DistanceFromHome]]&lt;=20,3,4)))</f>
        <v>4</v>
      </c>
      <c r="AS618" s="1" t="str">
        <f>IF(HR_Data[[#This Row],[TotalWorkingYears]]&lt;=5,"0-5 Yrs",IF(HR_Data[[#This Row],[TotalWorkingYears]]&lt;=10,"6-10 Yrs",IF(HR_Data[[#This Row],[TotalWorkingYears]]&lt;=20,"11-20 Yrs","20+ Yrs")))</f>
        <v>20+ Yrs</v>
      </c>
      <c r="AT618" s="1">
        <f>IF(HR_Data[[#This Row],[TotalWorkingYears]]&lt;=5,1,IF(HR_Data[[#This Row],[TotalWorkingYears]]&lt;=10,2,IF(HR_Data[[#This Row],[TotalWorkingYears]]&lt;=20,3,4)))</f>
        <v>4</v>
      </c>
    </row>
    <row r="619" spans="1:46" x14ac:dyDescent="0.25">
      <c r="A619">
        <v>44</v>
      </c>
      <c r="B619" t="s">
        <v>36</v>
      </c>
      <c r="C619" t="s">
        <v>30</v>
      </c>
      <c r="D619" t="s">
        <v>38</v>
      </c>
      <c r="E619">
        <v>4</v>
      </c>
      <c r="F619">
        <v>3</v>
      </c>
      <c r="G619" t="s">
        <v>44</v>
      </c>
      <c r="H619">
        <v>852</v>
      </c>
      <c r="I619">
        <v>4</v>
      </c>
      <c r="J619" t="s">
        <v>39</v>
      </c>
      <c r="K619">
        <v>3</v>
      </c>
      <c r="L619">
        <v>2</v>
      </c>
      <c r="M619" t="s">
        <v>47</v>
      </c>
      <c r="N619">
        <v>2</v>
      </c>
      <c r="O619" t="s">
        <v>35</v>
      </c>
      <c r="P619">
        <v>5933</v>
      </c>
      <c r="Q619">
        <v>9</v>
      </c>
      <c r="R619" t="s">
        <v>36</v>
      </c>
      <c r="S619">
        <v>12</v>
      </c>
      <c r="T619">
        <v>3</v>
      </c>
      <c r="U619">
        <v>4</v>
      </c>
      <c r="V619">
        <v>0</v>
      </c>
      <c r="W619">
        <v>10</v>
      </c>
      <c r="X619">
        <v>2</v>
      </c>
      <c r="Y619">
        <v>2</v>
      </c>
      <c r="Z619">
        <v>5</v>
      </c>
      <c r="AA619">
        <v>2</v>
      </c>
      <c r="AB619">
        <v>2</v>
      </c>
      <c r="AC619">
        <v>3</v>
      </c>
      <c r="AD619">
        <f>IF(HR_Data[[#This Row],[Attrition]]="Yes",1,0)</f>
        <v>0</v>
      </c>
      <c r="AE619" t="str">
        <f>IF(HR_Data[[#This Row],[Age]]&lt;=25,"18-25",IF(HR_Data[[#This Row],[Age]]&lt;=35,"26-35",IF(HR_Data[[#This Row],[Age]]&lt;=45,"36-45",IF(HR_Data[[#This Row],[Age]]&lt;=55,"46-55","55+"))))</f>
        <v>36-45</v>
      </c>
      <c r="AF619">
        <f>IF(HR_Data[[#This Row],[Age]]&lt;=25,1,IF(HR_Data[[#This Row],[Age]]&lt;=35,2,IF(HR_Data[[#This Row],[Age]]&lt;=45,3,IF(HR_Data[[#This Row],[Age]]&lt;=55,4,5))))</f>
        <v>3</v>
      </c>
      <c r="AG619" s="1" t="str">
        <f>IF(HR_Data[[#This Row],[MonthlyIncome]]&lt;3000,"&lt;3K",IF(HR_Data[[#This Row],[MonthlyIncome]]&lt;6000,"3K-6K",IF(HR_Data[[#This Row],[MonthlyIncome]]&lt;10000,"6K-10K","10K+")))</f>
        <v>3K-6K</v>
      </c>
      <c r="AH619" s="1">
        <f>IF(HR_Data[[#This Row],[MonthlyIncome]]&lt;3000,1,IF(HR_Data[[#This Row],[MonthlyIncome]]&lt;6000,2,IF(HR_Data[[#This Row],[MonthlyIncome]]&lt;10000,3,4)))</f>
        <v>2</v>
      </c>
      <c r="AI619" s="1" t="str">
        <f>IF(HR_Data[[#This Row],[YearsAtCompany]]&lt;=2,"0-2 Yrs",IF(HR_Data[[#This Row],[YearsAtCompany]]&lt;=5,"3-5 Yrs",IF(HR_Data[[#This Row],[YearsAtCompany]]&lt;=10,"6-10 Yrs","10+ Yrs")))</f>
        <v>3-5 Yrs</v>
      </c>
      <c r="AJ619" s="1">
        <f>IF(HR_Data[[#This Row],[YearsAtCompany]]&lt;=2,1,IF(HR_Data[[#This Row],[YearsAtCompany]]&lt;=5,2,IF(HR_Data[[#This Row],[YearsAtCompany]]&lt;=10,3,4)))</f>
        <v>2</v>
      </c>
      <c r="AK619" s="1" t="str">
        <f>CHOOSE(HR_Data[[#This Row],[Education]],"Below College","College","Bachelor","Master","Doctor")</f>
        <v>Bachelor</v>
      </c>
      <c r="AL619" s="1" t="str">
        <f>CHOOSE(HR_Data[[#This Row],[JobSatisfaction]],"Low","Medium","High","Very High")</f>
        <v>Medium</v>
      </c>
      <c r="AM619" s="1" t="str">
        <f>CHOOSE(HR_Data[[#This Row],[EnvironmentSatisfaction]],"Low","Medium","High","Very High")</f>
        <v>Very High</v>
      </c>
      <c r="AN619" s="1" t="str">
        <f>CHOOSE(HR_Data[[#This Row],[WorkLifeBalance]],"Bad","Good","Better","Best")</f>
        <v>Good</v>
      </c>
      <c r="AO619" s="1" t="str">
        <f>IF(HR_Data[[#This Row],[PercentSalaryHike]]&lt;=13,"11-13%",IF(HR_Data[[#This Row],[PercentSalaryHike]]&lt;=16,"14-16%",IF(HR_Data[[#This Row],[PercentSalaryHike]]&lt;=19,"17-19%","20-25%")))</f>
        <v>11-13%</v>
      </c>
      <c r="AP619" s="1">
        <f>IF(HR_Data[[#This Row],[PercentSalaryHike]]&lt;=13,1,IF(HR_Data[[#This Row],[PercentSalaryHike]]&lt;=16,2,IF(HR_Data[[#This Row],[PercentSalaryHike]]&lt;=19,3,4)))</f>
        <v>1</v>
      </c>
      <c r="AQ619" s="1" t="str">
        <f>IF(HR_Data[[#This Row],[DistanceFromHome]]&lt;=5,"1 to 5",IF(HR_Data[[#This Row],[DistanceFromHome]]&lt;=10,"6 to 10",IF(HR_Data[[#This Row],[DistanceFromHome]]&lt;=20,"11 to 20","21 to 29")))</f>
        <v>1 to 5</v>
      </c>
      <c r="AR619" s="1">
        <f>IF(HR_Data[[#This Row],[DistanceFromHome]]&lt;=5,1,IF(HR_Data[[#This Row],[DistanceFromHome]]&lt;=10,2,IF(HR_Data[[#This Row],[DistanceFromHome]]&lt;=20,3,4)))</f>
        <v>1</v>
      </c>
      <c r="AS619" s="1" t="str">
        <f>IF(HR_Data[[#This Row],[TotalWorkingYears]]&lt;=5,"0-5 Yrs",IF(HR_Data[[#This Row],[TotalWorkingYears]]&lt;=10,"6-10 Yrs",IF(HR_Data[[#This Row],[TotalWorkingYears]]&lt;=20,"11-20 Yrs","20+ Yrs")))</f>
        <v>6-10 Yrs</v>
      </c>
      <c r="AT619" s="1">
        <f>IF(HR_Data[[#This Row],[TotalWorkingYears]]&lt;=5,1,IF(HR_Data[[#This Row],[TotalWorkingYears]]&lt;=10,2,IF(HR_Data[[#This Row],[TotalWorkingYears]]&lt;=20,3,4)))</f>
        <v>2</v>
      </c>
    </row>
    <row r="620" spans="1:46" x14ac:dyDescent="0.25">
      <c r="A620">
        <v>25</v>
      </c>
      <c r="B620" t="s">
        <v>36</v>
      </c>
      <c r="C620" t="s">
        <v>30</v>
      </c>
      <c r="D620" t="s">
        <v>38</v>
      </c>
      <c r="E620">
        <v>2</v>
      </c>
      <c r="F620">
        <v>1</v>
      </c>
      <c r="G620" t="s">
        <v>44</v>
      </c>
      <c r="H620">
        <v>854</v>
      </c>
      <c r="I620">
        <v>1</v>
      </c>
      <c r="J620" t="s">
        <v>39</v>
      </c>
      <c r="K620">
        <v>4</v>
      </c>
      <c r="L620">
        <v>1</v>
      </c>
      <c r="M620" t="s">
        <v>40</v>
      </c>
      <c r="N620">
        <v>1</v>
      </c>
      <c r="O620" t="s">
        <v>35</v>
      </c>
      <c r="P620">
        <v>3424</v>
      </c>
      <c r="Q620">
        <v>7</v>
      </c>
      <c r="R620" t="s">
        <v>36</v>
      </c>
      <c r="S620">
        <v>13</v>
      </c>
      <c r="T620">
        <v>3</v>
      </c>
      <c r="U620">
        <v>3</v>
      </c>
      <c r="V620">
        <v>0</v>
      </c>
      <c r="W620">
        <v>6</v>
      </c>
      <c r="X620">
        <v>3</v>
      </c>
      <c r="Y620">
        <v>2</v>
      </c>
      <c r="Z620">
        <v>4</v>
      </c>
      <c r="AA620">
        <v>3</v>
      </c>
      <c r="AB620">
        <v>0</v>
      </c>
      <c r="AC620">
        <v>1</v>
      </c>
      <c r="AD620">
        <f>IF(HR_Data[[#This Row],[Attrition]]="Yes",1,0)</f>
        <v>0</v>
      </c>
      <c r="AE620" t="str">
        <f>IF(HR_Data[[#This Row],[Age]]&lt;=25,"18-25",IF(HR_Data[[#This Row],[Age]]&lt;=35,"26-35",IF(HR_Data[[#This Row],[Age]]&lt;=45,"36-45",IF(HR_Data[[#This Row],[Age]]&lt;=55,"46-55","55+"))))</f>
        <v>18-25</v>
      </c>
      <c r="AF620">
        <f>IF(HR_Data[[#This Row],[Age]]&lt;=25,1,IF(HR_Data[[#This Row],[Age]]&lt;=35,2,IF(HR_Data[[#This Row],[Age]]&lt;=45,3,IF(HR_Data[[#This Row],[Age]]&lt;=55,4,5))))</f>
        <v>1</v>
      </c>
      <c r="AG620" s="1" t="str">
        <f>IF(HR_Data[[#This Row],[MonthlyIncome]]&lt;3000,"&lt;3K",IF(HR_Data[[#This Row],[MonthlyIncome]]&lt;6000,"3K-6K",IF(HR_Data[[#This Row],[MonthlyIncome]]&lt;10000,"6K-10K","10K+")))</f>
        <v>3K-6K</v>
      </c>
      <c r="AH620" s="1">
        <f>IF(HR_Data[[#This Row],[MonthlyIncome]]&lt;3000,1,IF(HR_Data[[#This Row],[MonthlyIncome]]&lt;6000,2,IF(HR_Data[[#This Row],[MonthlyIncome]]&lt;10000,3,4)))</f>
        <v>2</v>
      </c>
      <c r="AI620" s="1" t="str">
        <f>IF(HR_Data[[#This Row],[YearsAtCompany]]&lt;=2,"0-2 Yrs",IF(HR_Data[[#This Row],[YearsAtCompany]]&lt;=5,"3-5 Yrs",IF(HR_Data[[#This Row],[YearsAtCompany]]&lt;=10,"6-10 Yrs","10+ Yrs")))</f>
        <v>3-5 Yrs</v>
      </c>
      <c r="AJ620" s="1">
        <f>IF(HR_Data[[#This Row],[YearsAtCompany]]&lt;=2,1,IF(HR_Data[[#This Row],[YearsAtCompany]]&lt;=5,2,IF(HR_Data[[#This Row],[YearsAtCompany]]&lt;=10,3,4)))</f>
        <v>2</v>
      </c>
      <c r="AK620" s="1" t="str">
        <f>CHOOSE(HR_Data[[#This Row],[Education]],"Below College","College","Bachelor","Master","Doctor")</f>
        <v>Below College</v>
      </c>
      <c r="AL620" s="1" t="str">
        <f>CHOOSE(HR_Data[[#This Row],[JobSatisfaction]],"Low","Medium","High","Very High")</f>
        <v>Low</v>
      </c>
      <c r="AM620" s="1" t="str">
        <f>CHOOSE(HR_Data[[#This Row],[EnvironmentSatisfaction]],"Low","Medium","High","Very High")</f>
        <v>Low</v>
      </c>
      <c r="AN620" s="1" t="str">
        <f>CHOOSE(HR_Data[[#This Row],[WorkLifeBalance]],"Bad","Good","Better","Best")</f>
        <v>Good</v>
      </c>
      <c r="AO620" s="1" t="str">
        <f>IF(HR_Data[[#This Row],[PercentSalaryHike]]&lt;=13,"11-13%",IF(HR_Data[[#This Row],[PercentSalaryHike]]&lt;=16,"14-16%",IF(HR_Data[[#This Row],[PercentSalaryHike]]&lt;=19,"17-19%","20-25%")))</f>
        <v>11-13%</v>
      </c>
      <c r="AP620" s="1">
        <f>IF(HR_Data[[#This Row],[PercentSalaryHike]]&lt;=13,1,IF(HR_Data[[#This Row],[PercentSalaryHike]]&lt;=16,2,IF(HR_Data[[#This Row],[PercentSalaryHike]]&lt;=19,3,4)))</f>
        <v>1</v>
      </c>
      <c r="AQ620" s="1" t="str">
        <f>IF(HR_Data[[#This Row],[DistanceFromHome]]&lt;=5,"1 to 5",IF(HR_Data[[#This Row],[DistanceFromHome]]&lt;=10,"6 to 10",IF(HR_Data[[#This Row],[DistanceFromHome]]&lt;=20,"11 to 20","21 to 29")))</f>
        <v>1 to 5</v>
      </c>
      <c r="AR620" s="1">
        <f>IF(HR_Data[[#This Row],[DistanceFromHome]]&lt;=5,1,IF(HR_Data[[#This Row],[DistanceFromHome]]&lt;=10,2,IF(HR_Data[[#This Row],[DistanceFromHome]]&lt;=20,3,4)))</f>
        <v>1</v>
      </c>
      <c r="AS620" s="1" t="str">
        <f>IF(HR_Data[[#This Row],[TotalWorkingYears]]&lt;=5,"0-5 Yrs",IF(HR_Data[[#This Row],[TotalWorkingYears]]&lt;=10,"6-10 Yrs",IF(HR_Data[[#This Row],[TotalWorkingYears]]&lt;=20,"11-20 Yrs","20+ Yrs")))</f>
        <v>6-10 Yrs</v>
      </c>
      <c r="AT620" s="1">
        <f>IF(HR_Data[[#This Row],[TotalWorkingYears]]&lt;=5,1,IF(HR_Data[[#This Row],[TotalWorkingYears]]&lt;=10,2,IF(HR_Data[[#This Row],[TotalWorkingYears]]&lt;=20,3,4)))</f>
        <v>2</v>
      </c>
    </row>
    <row r="621" spans="1:46" x14ac:dyDescent="0.25">
      <c r="A621">
        <v>33</v>
      </c>
      <c r="B621" t="s">
        <v>36</v>
      </c>
      <c r="C621" t="s">
        <v>30</v>
      </c>
      <c r="D621" t="s">
        <v>31</v>
      </c>
      <c r="E621">
        <v>1</v>
      </c>
      <c r="F621">
        <v>3</v>
      </c>
      <c r="G621" t="s">
        <v>44</v>
      </c>
      <c r="H621">
        <v>855</v>
      </c>
      <c r="I621">
        <v>1</v>
      </c>
      <c r="J621" t="s">
        <v>39</v>
      </c>
      <c r="K621">
        <v>4</v>
      </c>
      <c r="L621">
        <v>2</v>
      </c>
      <c r="M621" t="s">
        <v>34</v>
      </c>
      <c r="N621">
        <v>1</v>
      </c>
      <c r="O621" t="s">
        <v>45</v>
      </c>
      <c r="P621">
        <v>4037</v>
      </c>
      <c r="Q621">
        <v>1</v>
      </c>
      <c r="R621" t="s">
        <v>36</v>
      </c>
      <c r="S621">
        <v>22</v>
      </c>
      <c r="T621">
        <v>4</v>
      </c>
      <c r="U621">
        <v>1</v>
      </c>
      <c r="V621">
        <v>1</v>
      </c>
      <c r="W621">
        <v>9</v>
      </c>
      <c r="X621">
        <v>5</v>
      </c>
      <c r="Y621">
        <v>3</v>
      </c>
      <c r="Z621">
        <v>9</v>
      </c>
      <c r="AA621">
        <v>8</v>
      </c>
      <c r="AB621">
        <v>0</v>
      </c>
      <c r="AC621">
        <v>8</v>
      </c>
      <c r="AD621">
        <f>IF(HR_Data[[#This Row],[Attrition]]="Yes",1,0)</f>
        <v>0</v>
      </c>
      <c r="AE621" t="str">
        <f>IF(HR_Data[[#This Row],[Age]]&lt;=25,"18-25",IF(HR_Data[[#This Row],[Age]]&lt;=35,"26-35",IF(HR_Data[[#This Row],[Age]]&lt;=45,"36-45",IF(HR_Data[[#This Row],[Age]]&lt;=55,"46-55","55+"))))</f>
        <v>26-35</v>
      </c>
      <c r="AF621">
        <f>IF(HR_Data[[#This Row],[Age]]&lt;=25,1,IF(HR_Data[[#This Row],[Age]]&lt;=35,2,IF(HR_Data[[#This Row],[Age]]&lt;=45,3,IF(HR_Data[[#This Row],[Age]]&lt;=55,4,5))))</f>
        <v>2</v>
      </c>
      <c r="AG621" s="1" t="str">
        <f>IF(HR_Data[[#This Row],[MonthlyIncome]]&lt;3000,"&lt;3K",IF(HR_Data[[#This Row],[MonthlyIncome]]&lt;6000,"3K-6K",IF(HR_Data[[#This Row],[MonthlyIncome]]&lt;10000,"6K-10K","10K+")))</f>
        <v>3K-6K</v>
      </c>
      <c r="AH621" s="1">
        <f>IF(HR_Data[[#This Row],[MonthlyIncome]]&lt;3000,1,IF(HR_Data[[#This Row],[MonthlyIncome]]&lt;6000,2,IF(HR_Data[[#This Row],[MonthlyIncome]]&lt;10000,3,4)))</f>
        <v>2</v>
      </c>
      <c r="AI621" s="1" t="str">
        <f>IF(HR_Data[[#This Row],[YearsAtCompany]]&lt;=2,"0-2 Yrs",IF(HR_Data[[#This Row],[YearsAtCompany]]&lt;=5,"3-5 Yrs",IF(HR_Data[[#This Row],[YearsAtCompany]]&lt;=10,"6-10 Yrs","10+ Yrs")))</f>
        <v>6-10 Yrs</v>
      </c>
      <c r="AJ621" s="1">
        <f>IF(HR_Data[[#This Row],[YearsAtCompany]]&lt;=2,1,IF(HR_Data[[#This Row],[YearsAtCompany]]&lt;=5,2,IF(HR_Data[[#This Row],[YearsAtCompany]]&lt;=10,3,4)))</f>
        <v>3</v>
      </c>
      <c r="AK621" s="1" t="str">
        <f>CHOOSE(HR_Data[[#This Row],[Education]],"Below College","College","Bachelor","Master","Doctor")</f>
        <v>Bachelor</v>
      </c>
      <c r="AL621" s="1" t="str">
        <f>CHOOSE(HR_Data[[#This Row],[JobSatisfaction]],"Low","Medium","High","Very High")</f>
        <v>Low</v>
      </c>
      <c r="AM621" s="1" t="str">
        <f>CHOOSE(HR_Data[[#This Row],[EnvironmentSatisfaction]],"Low","Medium","High","Very High")</f>
        <v>Low</v>
      </c>
      <c r="AN621" s="1" t="str">
        <f>CHOOSE(HR_Data[[#This Row],[WorkLifeBalance]],"Bad","Good","Better","Best")</f>
        <v>Better</v>
      </c>
      <c r="AO621" s="1" t="str">
        <f>IF(HR_Data[[#This Row],[PercentSalaryHike]]&lt;=13,"11-13%",IF(HR_Data[[#This Row],[PercentSalaryHike]]&lt;=16,"14-16%",IF(HR_Data[[#This Row],[PercentSalaryHike]]&lt;=19,"17-19%","20-25%")))</f>
        <v>20-25%</v>
      </c>
      <c r="AP621" s="1">
        <f>IF(HR_Data[[#This Row],[PercentSalaryHike]]&lt;=13,1,IF(HR_Data[[#This Row],[PercentSalaryHike]]&lt;=16,2,IF(HR_Data[[#This Row],[PercentSalaryHike]]&lt;=19,3,4)))</f>
        <v>4</v>
      </c>
      <c r="AQ621" s="1" t="str">
        <f>IF(HR_Data[[#This Row],[DistanceFromHome]]&lt;=5,"1 to 5",IF(HR_Data[[#This Row],[DistanceFromHome]]&lt;=10,"6 to 10",IF(HR_Data[[#This Row],[DistanceFromHome]]&lt;=20,"11 to 20","21 to 29")))</f>
        <v>1 to 5</v>
      </c>
      <c r="AR621" s="1">
        <f>IF(HR_Data[[#This Row],[DistanceFromHome]]&lt;=5,1,IF(HR_Data[[#This Row],[DistanceFromHome]]&lt;=10,2,IF(HR_Data[[#This Row],[DistanceFromHome]]&lt;=20,3,4)))</f>
        <v>1</v>
      </c>
      <c r="AS621" s="1" t="str">
        <f>IF(HR_Data[[#This Row],[TotalWorkingYears]]&lt;=5,"0-5 Yrs",IF(HR_Data[[#This Row],[TotalWorkingYears]]&lt;=10,"6-10 Yrs",IF(HR_Data[[#This Row],[TotalWorkingYears]]&lt;=20,"11-20 Yrs","20+ Yrs")))</f>
        <v>6-10 Yrs</v>
      </c>
      <c r="AT621" s="1">
        <f>IF(HR_Data[[#This Row],[TotalWorkingYears]]&lt;=5,1,IF(HR_Data[[#This Row],[TotalWorkingYears]]&lt;=10,2,IF(HR_Data[[#This Row],[TotalWorkingYears]]&lt;=20,3,4)))</f>
        <v>2</v>
      </c>
    </row>
    <row r="622" spans="1:46" x14ac:dyDescent="0.25">
      <c r="A622">
        <v>35</v>
      </c>
      <c r="B622" t="s">
        <v>36</v>
      </c>
      <c r="C622" t="s">
        <v>30</v>
      </c>
      <c r="D622" t="s">
        <v>38</v>
      </c>
      <c r="E622">
        <v>27</v>
      </c>
      <c r="F622">
        <v>1</v>
      </c>
      <c r="G622" t="s">
        <v>44</v>
      </c>
      <c r="H622">
        <v>856</v>
      </c>
      <c r="I622">
        <v>3</v>
      </c>
      <c r="J622" t="s">
        <v>33</v>
      </c>
      <c r="K622">
        <v>2</v>
      </c>
      <c r="L622">
        <v>1</v>
      </c>
      <c r="M622" t="s">
        <v>40</v>
      </c>
      <c r="N622">
        <v>1</v>
      </c>
      <c r="O622" t="s">
        <v>35</v>
      </c>
      <c r="P622">
        <v>2559</v>
      </c>
      <c r="Q622">
        <v>1</v>
      </c>
      <c r="R622" t="s">
        <v>36</v>
      </c>
      <c r="S622">
        <v>11</v>
      </c>
      <c r="T622">
        <v>3</v>
      </c>
      <c r="U622">
        <v>4</v>
      </c>
      <c r="V622">
        <v>0</v>
      </c>
      <c r="W622">
        <v>6</v>
      </c>
      <c r="X622">
        <v>3</v>
      </c>
      <c r="Y622">
        <v>2</v>
      </c>
      <c r="Z622">
        <v>6</v>
      </c>
      <c r="AA622">
        <v>5</v>
      </c>
      <c r="AB622">
        <v>1</v>
      </c>
      <c r="AC622">
        <v>1</v>
      </c>
      <c r="AD622">
        <f>IF(HR_Data[[#This Row],[Attrition]]="Yes",1,0)</f>
        <v>0</v>
      </c>
      <c r="AE622" t="str">
        <f>IF(HR_Data[[#This Row],[Age]]&lt;=25,"18-25",IF(HR_Data[[#This Row],[Age]]&lt;=35,"26-35",IF(HR_Data[[#This Row],[Age]]&lt;=45,"36-45",IF(HR_Data[[#This Row],[Age]]&lt;=55,"46-55","55+"))))</f>
        <v>26-35</v>
      </c>
      <c r="AF622">
        <f>IF(HR_Data[[#This Row],[Age]]&lt;=25,1,IF(HR_Data[[#This Row],[Age]]&lt;=35,2,IF(HR_Data[[#This Row],[Age]]&lt;=45,3,IF(HR_Data[[#This Row],[Age]]&lt;=55,4,5))))</f>
        <v>2</v>
      </c>
      <c r="AG622" s="1" t="str">
        <f>IF(HR_Data[[#This Row],[MonthlyIncome]]&lt;3000,"&lt;3K",IF(HR_Data[[#This Row],[MonthlyIncome]]&lt;6000,"3K-6K",IF(HR_Data[[#This Row],[MonthlyIncome]]&lt;10000,"6K-10K","10K+")))</f>
        <v>&lt;3K</v>
      </c>
      <c r="AH622" s="1">
        <f>IF(HR_Data[[#This Row],[MonthlyIncome]]&lt;3000,1,IF(HR_Data[[#This Row],[MonthlyIncome]]&lt;6000,2,IF(HR_Data[[#This Row],[MonthlyIncome]]&lt;10000,3,4)))</f>
        <v>1</v>
      </c>
      <c r="AI622" s="1" t="str">
        <f>IF(HR_Data[[#This Row],[YearsAtCompany]]&lt;=2,"0-2 Yrs",IF(HR_Data[[#This Row],[YearsAtCompany]]&lt;=5,"3-5 Yrs",IF(HR_Data[[#This Row],[YearsAtCompany]]&lt;=10,"6-10 Yrs","10+ Yrs")))</f>
        <v>6-10 Yrs</v>
      </c>
      <c r="AJ622" s="1">
        <f>IF(HR_Data[[#This Row],[YearsAtCompany]]&lt;=2,1,IF(HR_Data[[#This Row],[YearsAtCompany]]&lt;=5,2,IF(HR_Data[[#This Row],[YearsAtCompany]]&lt;=10,3,4)))</f>
        <v>3</v>
      </c>
      <c r="AK622" s="1" t="str">
        <f>CHOOSE(HR_Data[[#This Row],[Education]],"Below College","College","Bachelor","Master","Doctor")</f>
        <v>Below College</v>
      </c>
      <c r="AL622" s="1" t="str">
        <f>CHOOSE(HR_Data[[#This Row],[JobSatisfaction]],"Low","Medium","High","Very High")</f>
        <v>Low</v>
      </c>
      <c r="AM622" s="1" t="str">
        <f>CHOOSE(HR_Data[[#This Row],[EnvironmentSatisfaction]],"Low","Medium","High","Very High")</f>
        <v>High</v>
      </c>
      <c r="AN622" s="1" t="str">
        <f>CHOOSE(HR_Data[[#This Row],[WorkLifeBalance]],"Bad","Good","Better","Best")</f>
        <v>Good</v>
      </c>
      <c r="AO622" s="1" t="str">
        <f>IF(HR_Data[[#This Row],[PercentSalaryHike]]&lt;=13,"11-13%",IF(HR_Data[[#This Row],[PercentSalaryHike]]&lt;=16,"14-16%",IF(HR_Data[[#This Row],[PercentSalaryHike]]&lt;=19,"17-19%","20-25%")))</f>
        <v>11-13%</v>
      </c>
      <c r="AP622" s="1">
        <f>IF(HR_Data[[#This Row],[PercentSalaryHike]]&lt;=13,1,IF(HR_Data[[#This Row],[PercentSalaryHike]]&lt;=16,2,IF(HR_Data[[#This Row],[PercentSalaryHike]]&lt;=19,3,4)))</f>
        <v>1</v>
      </c>
      <c r="AQ622" s="1" t="str">
        <f>IF(HR_Data[[#This Row],[DistanceFromHome]]&lt;=5,"1 to 5",IF(HR_Data[[#This Row],[DistanceFromHome]]&lt;=10,"6 to 10",IF(HR_Data[[#This Row],[DistanceFromHome]]&lt;=20,"11 to 20","21 to 29")))</f>
        <v>21 to 29</v>
      </c>
      <c r="AR622" s="1">
        <f>IF(HR_Data[[#This Row],[DistanceFromHome]]&lt;=5,1,IF(HR_Data[[#This Row],[DistanceFromHome]]&lt;=10,2,IF(HR_Data[[#This Row],[DistanceFromHome]]&lt;=20,3,4)))</f>
        <v>4</v>
      </c>
      <c r="AS622" s="1" t="str">
        <f>IF(HR_Data[[#This Row],[TotalWorkingYears]]&lt;=5,"0-5 Yrs",IF(HR_Data[[#This Row],[TotalWorkingYears]]&lt;=10,"6-10 Yrs",IF(HR_Data[[#This Row],[TotalWorkingYears]]&lt;=20,"11-20 Yrs","20+ Yrs")))</f>
        <v>6-10 Yrs</v>
      </c>
      <c r="AT622" s="1">
        <f>IF(HR_Data[[#This Row],[TotalWorkingYears]]&lt;=5,1,IF(HR_Data[[#This Row],[TotalWorkingYears]]&lt;=10,2,IF(HR_Data[[#This Row],[TotalWorkingYears]]&lt;=20,3,4)))</f>
        <v>2</v>
      </c>
    </row>
    <row r="623" spans="1:46" x14ac:dyDescent="0.25">
      <c r="A623">
        <v>36</v>
      </c>
      <c r="B623" t="s">
        <v>36</v>
      </c>
      <c r="C623" t="s">
        <v>30</v>
      </c>
      <c r="D623" t="s">
        <v>31</v>
      </c>
      <c r="E623">
        <v>1</v>
      </c>
      <c r="F623">
        <v>2</v>
      </c>
      <c r="G623" t="s">
        <v>32</v>
      </c>
      <c r="H623">
        <v>857</v>
      </c>
      <c r="I623">
        <v>2</v>
      </c>
      <c r="J623" t="s">
        <v>39</v>
      </c>
      <c r="K623">
        <v>3</v>
      </c>
      <c r="L623">
        <v>2</v>
      </c>
      <c r="M623" t="s">
        <v>34</v>
      </c>
      <c r="N623">
        <v>4</v>
      </c>
      <c r="O623" t="s">
        <v>41</v>
      </c>
      <c r="P623">
        <v>6201</v>
      </c>
      <c r="Q623">
        <v>1</v>
      </c>
      <c r="R623" t="s">
        <v>29</v>
      </c>
      <c r="S623">
        <v>14</v>
      </c>
      <c r="T623">
        <v>3</v>
      </c>
      <c r="U623">
        <v>4</v>
      </c>
      <c r="V623">
        <v>1</v>
      </c>
      <c r="W623">
        <v>18</v>
      </c>
      <c r="X623">
        <v>1</v>
      </c>
      <c r="Y623">
        <v>2</v>
      </c>
      <c r="Z623">
        <v>18</v>
      </c>
      <c r="AA623">
        <v>14</v>
      </c>
      <c r="AB623">
        <v>4</v>
      </c>
      <c r="AC623">
        <v>11</v>
      </c>
      <c r="AD623">
        <f>IF(HR_Data[[#This Row],[Attrition]]="Yes",1,0)</f>
        <v>0</v>
      </c>
      <c r="AE623" t="str">
        <f>IF(HR_Data[[#This Row],[Age]]&lt;=25,"18-25",IF(HR_Data[[#This Row],[Age]]&lt;=35,"26-35",IF(HR_Data[[#This Row],[Age]]&lt;=45,"36-45",IF(HR_Data[[#This Row],[Age]]&lt;=55,"46-55","55+"))))</f>
        <v>36-45</v>
      </c>
      <c r="AF623">
        <f>IF(HR_Data[[#This Row],[Age]]&lt;=25,1,IF(HR_Data[[#This Row],[Age]]&lt;=35,2,IF(HR_Data[[#This Row],[Age]]&lt;=45,3,IF(HR_Data[[#This Row],[Age]]&lt;=55,4,5))))</f>
        <v>3</v>
      </c>
      <c r="AG623" s="1" t="str">
        <f>IF(HR_Data[[#This Row],[MonthlyIncome]]&lt;3000,"&lt;3K",IF(HR_Data[[#This Row],[MonthlyIncome]]&lt;6000,"3K-6K",IF(HR_Data[[#This Row],[MonthlyIncome]]&lt;10000,"6K-10K","10K+")))</f>
        <v>6K-10K</v>
      </c>
      <c r="AH623" s="1">
        <f>IF(HR_Data[[#This Row],[MonthlyIncome]]&lt;3000,1,IF(HR_Data[[#This Row],[MonthlyIncome]]&lt;6000,2,IF(HR_Data[[#This Row],[MonthlyIncome]]&lt;10000,3,4)))</f>
        <v>3</v>
      </c>
      <c r="AI623" s="1" t="str">
        <f>IF(HR_Data[[#This Row],[YearsAtCompany]]&lt;=2,"0-2 Yrs",IF(HR_Data[[#This Row],[YearsAtCompany]]&lt;=5,"3-5 Yrs",IF(HR_Data[[#This Row],[YearsAtCompany]]&lt;=10,"6-10 Yrs","10+ Yrs")))</f>
        <v>10+ Yrs</v>
      </c>
      <c r="AJ623" s="1">
        <f>IF(HR_Data[[#This Row],[YearsAtCompany]]&lt;=2,1,IF(HR_Data[[#This Row],[YearsAtCompany]]&lt;=5,2,IF(HR_Data[[#This Row],[YearsAtCompany]]&lt;=10,3,4)))</f>
        <v>4</v>
      </c>
      <c r="AK623" s="1" t="str">
        <f>CHOOSE(HR_Data[[#This Row],[Education]],"Below College","College","Bachelor","Master","Doctor")</f>
        <v>College</v>
      </c>
      <c r="AL623" s="1" t="str">
        <f>CHOOSE(HR_Data[[#This Row],[JobSatisfaction]],"Low","Medium","High","Very High")</f>
        <v>Very High</v>
      </c>
      <c r="AM623" s="1" t="str">
        <f>CHOOSE(HR_Data[[#This Row],[EnvironmentSatisfaction]],"Low","Medium","High","Very High")</f>
        <v>Medium</v>
      </c>
      <c r="AN623" s="1" t="str">
        <f>CHOOSE(HR_Data[[#This Row],[WorkLifeBalance]],"Bad","Good","Better","Best")</f>
        <v>Good</v>
      </c>
      <c r="AO623" s="1" t="str">
        <f>IF(HR_Data[[#This Row],[PercentSalaryHike]]&lt;=13,"11-13%",IF(HR_Data[[#This Row],[PercentSalaryHike]]&lt;=16,"14-16%",IF(HR_Data[[#This Row],[PercentSalaryHike]]&lt;=19,"17-19%","20-25%")))</f>
        <v>14-16%</v>
      </c>
      <c r="AP623" s="1">
        <f>IF(HR_Data[[#This Row],[PercentSalaryHike]]&lt;=13,1,IF(HR_Data[[#This Row],[PercentSalaryHike]]&lt;=16,2,IF(HR_Data[[#This Row],[PercentSalaryHike]]&lt;=19,3,4)))</f>
        <v>2</v>
      </c>
      <c r="AQ623" s="1" t="str">
        <f>IF(HR_Data[[#This Row],[DistanceFromHome]]&lt;=5,"1 to 5",IF(HR_Data[[#This Row],[DistanceFromHome]]&lt;=10,"6 to 10",IF(HR_Data[[#This Row],[DistanceFromHome]]&lt;=20,"11 to 20","21 to 29")))</f>
        <v>1 to 5</v>
      </c>
      <c r="AR623" s="1">
        <f>IF(HR_Data[[#This Row],[DistanceFromHome]]&lt;=5,1,IF(HR_Data[[#This Row],[DistanceFromHome]]&lt;=10,2,IF(HR_Data[[#This Row],[DistanceFromHome]]&lt;=20,3,4)))</f>
        <v>1</v>
      </c>
      <c r="AS623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623" s="1">
        <f>IF(HR_Data[[#This Row],[TotalWorkingYears]]&lt;=5,1,IF(HR_Data[[#This Row],[TotalWorkingYears]]&lt;=10,2,IF(HR_Data[[#This Row],[TotalWorkingYears]]&lt;=20,3,4)))</f>
        <v>3</v>
      </c>
    </row>
    <row r="624" spans="1:46" x14ac:dyDescent="0.25">
      <c r="A624">
        <v>32</v>
      </c>
      <c r="B624" t="s">
        <v>36</v>
      </c>
      <c r="C624" t="s">
        <v>30</v>
      </c>
      <c r="D624" t="s">
        <v>31</v>
      </c>
      <c r="E624">
        <v>13</v>
      </c>
      <c r="F624">
        <v>4</v>
      </c>
      <c r="G624" t="s">
        <v>32</v>
      </c>
      <c r="H624">
        <v>859</v>
      </c>
      <c r="I624">
        <v>2</v>
      </c>
      <c r="J624" t="s">
        <v>39</v>
      </c>
      <c r="K624">
        <v>3</v>
      </c>
      <c r="L624">
        <v>2</v>
      </c>
      <c r="M624" t="s">
        <v>34</v>
      </c>
      <c r="N624">
        <v>4</v>
      </c>
      <c r="O624" t="s">
        <v>45</v>
      </c>
      <c r="P624">
        <v>4403</v>
      </c>
      <c r="Q624">
        <v>2</v>
      </c>
      <c r="R624" t="s">
        <v>36</v>
      </c>
      <c r="S624">
        <v>11</v>
      </c>
      <c r="T624">
        <v>3</v>
      </c>
      <c r="U624">
        <v>3</v>
      </c>
      <c r="V624">
        <v>1</v>
      </c>
      <c r="W624">
        <v>8</v>
      </c>
      <c r="X624">
        <v>3</v>
      </c>
      <c r="Y624">
        <v>2</v>
      </c>
      <c r="Z624">
        <v>5</v>
      </c>
      <c r="AA624">
        <v>2</v>
      </c>
      <c r="AB624">
        <v>0</v>
      </c>
      <c r="AC624">
        <v>3</v>
      </c>
      <c r="AD624">
        <f>IF(HR_Data[[#This Row],[Attrition]]="Yes",1,0)</f>
        <v>0</v>
      </c>
      <c r="AE624" t="str">
        <f>IF(HR_Data[[#This Row],[Age]]&lt;=25,"18-25",IF(HR_Data[[#This Row],[Age]]&lt;=35,"26-35",IF(HR_Data[[#This Row],[Age]]&lt;=45,"36-45",IF(HR_Data[[#This Row],[Age]]&lt;=55,"46-55","55+"))))</f>
        <v>26-35</v>
      </c>
      <c r="AF624">
        <f>IF(HR_Data[[#This Row],[Age]]&lt;=25,1,IF(HR_Data[[#This Row],[Age]]&lt;=35,2,IF(HR_Data[[#This Row],[Age]]&lt;=45,3,IF(HR_Data[[#This Row],[Age]]&lt;=55,4,5))))</f>
        <v>2</v>
      </c>
      <c r="AG624" s="1" t="str">
        <f>IF(HR_Data[[#This Row],[MonthlyIncome]]&lt;3000,"&lt;3K",IF(HR_Data[[#This Row],[MonthlyIncome]]&lt;6000,"3K-6K",IF(HR_Data[[#This Row],[MonthlyIncome]]&lt;10000,"6K-10K","10K+")))</f>
        <v>3K-6K</v>
      </c>
      <c r="AH624" s="1">
        <f>IF(HR_Data[[#This Row],[MonthlyIncome]]&lt;3000,1,IF(HR_Data[[#This Row],[MonthlyIncome]]&lt;6000,2,IF(HR_Data[[#This Row],[MonthlyIncome]]&lt;10000,3,4)))</f>
        <v>2</v>
      </c>
      <c r="AI624" s="1" t="str">
        <f>IF(HR_Data[[#This Row],[YearsAtCompany]]&lt;=2,"0-2 Yrs",IF(HR_Data[[#This Row],[YearsAtCompany]]&lt;=5,"3-5 Yrs",IF(HR_Data[[#This Row],[YearsAtCompany]]&lt;=10,"6-10 Yrs","10+ Yrs")))</f>
        <v>3-5 Yrs</v>
      </c>
      <c r="AJ624" s="1">
        <f>IF(HR_Data[[#This Row],[YearsAtCompany]]&lt;=2,1,IF(HR_Data[[#This Row],[YearsAtCompany]]&lt;=5,2,IF(HR_Data[[#This Row],[YearsAtCompany]]&lt;=10,3,4)))</f>
        <v>2</v>
      </c>
      <c r="AK624" s="1" t="str">
        <f>CHOOSE(HR_Data[[#This Row],[Education]],"Below College","College","Bachelor","Master","Doctor")</f>
        <v>Master</v>
      </c>
      <c r="AL624" s="1" t="str">
        <f>CHOOSE(HR_Data[[#This Row],[JobSatisfaction]],"Low","Medium","High","Very High")</f>
        <v>Very High</v>
      </c>
      <c r="AM624" s="1" t="str">
        <f>CHOOSE(HR_Data[[#This Row],[EnvironmentSatisfaction]],"Low","Medium","High","Very High")</f>
        <v>Medium</v>
      </c>
      <c r="AN624" s="1" t="str">
        <f>CHOOSE(HR_Data[[#This Row],[WorkLifeBalance]],"Bad","Good","Better","Best")</f>
        <v>Good</v>
      </c>
      <c r="AO624" s="1" t="str">
        <f>IF(HR_Data[[#This Row],[PercentSalaryHike]]&lt;=13,"11-13%",IF(HR_Data[[#This Row],[PercentSalaryHike]]&lt;=16,"14-16%",IF(HR_Data[[#This Row],[PercentSalaryHike]]&lt;=19,"17-19%","20-25%")))</f>
        <v>11-13%</v>
      </c>
      <c r="AP624" s="1">
        <f>IF(HR_Data[[#This Row],[PercentSalaryHike]]&lt;=13,1,IF(HR_Data[[#This Row],[PercentSalaryHike]]&lt;=16,2,IF(HR_Data[[#This Row],[PercentSalaryHike]]&lt;=19,3,4)))</f>
        <v>1</v>
      </c>
      <c r="AQ624" s="1" t="str">
        <f>IF(HR_Data[[#This Row],[DistanceFromHome]]&lt;=5,"1 to 5",IF(HR_Data[[#This Row],[DistanceFromHome]]&lt;=10,"6 to 10",IF(HR_Data[[#This Row],[DistanceFromHome]]&lt;=20,"11 to 20","21 to 29")))</f>
        <v>11 to 20</v>
      </c>
      <c r="AR624" s="1">
        <f>IF(HR_Data[[#This Row],[DistanceFromHome]]&lt;=5,1,IF(HR_Data[[#This Row],[DistanceFromHome]]&lt;=10,2,IF(HR_Data[[#This Row],[DistanceFromHome]]&lt;=20,3,4)))</f>
        <v>3</v>
      </c>
      <c r="AS624" s="1" t="str">
        <f>IF(HR_Data[[#This Row],[TotalWorkingYears]]&lt;=5,"0-5 Yrs",IF(HR_Data[[#This Row],[TotalWorkingYears]]&lt;=10,"6-10 Yrs",IF(HR_Data[[#This Row],[TotalWorkingYears]]&lt;=20,"11-20 Yrs","20+ Yrs")))</f>
        <v>6-10 Yrs</v>
      </c>
      <c r="AT624" s="1">
        <f>IF(HR_Data[[#This Row],[TotalWorkingYears]]&lt;=5,1,IF(HR_Data[[#This Row],[TotalWorkingYears]]&lt;=10,2,IF(HR_Data[[#This Row],[TotalWorkingYears]]&lt;=20,3,4)))</f>
        <v>2</v>
      </c>
    </row>
    <row r="625" spans="1:46" x14ac:dyDescent="0.25">
      <c r="A625">
        <v>30</v>
      </c>
      <c r="B625" t="s">
        <v>36</v>
      </c>
      <c r="C625" t="s">
        <v>37</v>
      </c>
      <c r="D625" t="s">
        <v>38</v>
      </c>
      <c r="E625">
        <v>5</v>
      </c>
      <c r="F625">
        <v>4</v>
      </c>
      <c r="G625" t="s">
        <v>32</v>
      </c>
      <c r="H625">
        <v>861</v>
      </c>
      <c r="I625">
        <v>2</v>
      </c>
      <c r="J625" t="s">
        <v>39</v>
      </c>
      <c r="K625">
        <v>2</v>
      </c>
      <c r="L625">
        <v>1</v>
      </c>
      <c r="M625" t="s">
        <v>40</v>
      </c>
      <c r="N625">
        <v>4</v>
      </c>
      <c r="O625" t="s">
        <v>45</v>
      </c>
      <c r="P625">
        <v>3761</v>
      </c>
      <c r="Q625">
        <v>9</v>
      </c>
      <c r="R625" t="s">
        <v>36</v>
      </c>
      <c r="S625">
        <v>12</v>
      </c>
      <c r="T625">
        <v>3</v>
      </c>
      <c r="U625">
        <v>2</v>
      </c>
      <c r="V625">
        <v>1</v>
      </c>
      <c r="W625">
        <v>10</v>
      </c>
      <c r="X625">
        <v>3</v>
      </c>
      <c r="Y625">
        <v>2</v>
      </c>
      <c r="Z625">
        <v>5</v>
      </c>
      <c r="AA625">
        <v>4</v>
      </c>
      <c r="AB625">
        <v>0</v>
      </c>
      <c r="AC625">
        <v>3</v>
      </c>
      <c r="AD625">
        <f>IF(HR_Data[[#This Row],[Attrition]]="Yes",1,0)</f>
        <v>0</v>
      </c>
      <c r="AE625" t="str">
        <f>IF(HR_Data[[#This Row],[Age]]&lt;=25,"18-25",IF(HR_Data[[#This Row],[Age]]&lt;=35,"26-35",IF(HR_Data[[#This Row],[Age]]&lt;=45,"36-45",IF(HR_Data[[#This Row],[Age]]&lt;=55,"46-55","55+"))))</f>
        <v>26-35</v>
      </c>
      <c r="AF625">
        <f>IF(HR_Data[[#This Row],[Age]]&lt;=25,1,IF(HR_Data[[#This Row],[Age]]&lt;=35,2,IF(HR_Data[[#This Row],[Age]]&lt;=45,3,IF(HR_Data[[#This Row],[Age]]&lt;=55,4,5))))</f>
        <v>2</v>
      </c>
      <c r="AG625" s="1" t="str">
        <f>IF(HR_Data[[#This Row],[MonthlyIncome]]&lt;3000,"&lt;3K",IF(HR_Data[[#This Row],[MonthlyIncome]]&lt;6000,"3K-6K",IF(HR_Data[[#This Row],[MonthlyIncome]]&lt;10000,"6K-10K","10K+")))</f>
        <v>3K-6K</v>
      </c>
      <c r="AH625" s="1">
        <f>IF(HR_Data[[#This Row],[MonthlyIncome]]&lt;3000,1,IF(HR_Data[[#This Row],[MonthlyIncome]]&lt;6000,2,IF(HR_Data[[#This Row],[MonthlyIncome]]&lt;10000,3,4)))</f>
        <v>2</v>
      </c>
      <c r="AI625" s="1" t="str">
        <f>IF(HR_Data[[#This Row],[YearsAtCompany]]&lt;=2,"0-2 Yrs",IF(HR_Data[[#This Row],[YearsAtCompany]]&lt;=5,"3-5 Yrs",IF(HR_Data[[#This Row],[YearsAtCompany]]&lt;=10,"6-10 Yrs","10+ Yrs")))</f>
        <v>3-5 Yrs</v>
      </c>
      <c r="AJ625" s="1">
        <f>IF(HR_Data[[#This Row],[YearsAtCompany]]&lt;=2,1,IF(HR_Data[[#This Row],[YearsAtCompany]]&lt;=5,2,IF(HR_Data[[#This Row],[YearsAtCompany]]&lt;=10,3,4)))</f>
        <v>2</v>
      </c>
      <c r="AK625" s="1" t="str">
        <f>CHOOSE(HR_Data[[#This Row],[Education]],"Below College","College","Bachelor","Master","Doctor")</f>
        <v>Master</v>
      </c>
      <c r="AL625" s="1" t="str">
        <f>CHOOSE(HR_Data[[#This Row],[JobSatisfaction]],"Low","Medium","High","Very High")</f>
        <v>Very High</v>
      </c>
      <c r="AM625" s="1" t="str">
        <f>CHOOSE(HR_Data[[#This Row],[EnvironmentSatisfaction]],"Low","Medium","High","Very High")</f>
        <v>Medium</v>
      </c>
      <c r="AN625" s="1" t="str">
        <f>CHOOSE(HR_Data[[#This Row],[WorkLifeBalance]],"Bad","Good","Better","Best")</f>
        <v>Good</v>
      </c>
      <c r="AO625" s="1" t="str">
        <f>IF(HR_Data[[#This Row],[PercentSalaryHike]]&lt;=13,"11-13%",IF(HR_Data[[#This Row],[PercentSalaryHike]]&lt;=16,"14-16%",IF(HR_Data[[#This Row],[PercentSalaryHike]]&lt;=19,"17-19%","20-25%")))</f>
        <v>11-13%</v>
      </c>
      <c r="AP625" s="1">
        <f>IF(HR_Data[[#This Row],[PercentSalaryHike]]&lt;=13,1,IF(HR_Data[[#This Row],[PercentSalaryHike]]&lt;=16,2,IF(HR_Data[[#This Row],[PercentSalaryHike]]&lt;=19,3,4)))</f>
        <v>1</v>
      </c>
      <c r="AQ625" s="1" t="str">
        <f>IF(HR_Data[[#This Row],[DistanceFromHome]]&lt;=5,"1 to 5",IF(HR_Data[[#This Row],[DistanceFromHome]]&lt;=10,"6 to 10",IF(HR_Data[[#This Row],[DistanceFromHome]]&lt;=20,"11 to 20","21 to 29")))</f>
        <v>1 to 5</v>
      </c>
      <c r="AR625" s="1">
        <f>IF(HR_Data[[#This Row],[DistanceFromHome]]&lt;=5,1,IF(HR_Data[[#This Row],[DistanceFromHome]]&lt;=10,2,IF(HR_Data[[#This Row],[DistanceFromHome]]&lt;=20,3,4)))</f>
        <v>1</v>
      </c>
      <c r="AS625" s="1" t="str">
        <f>IF(HR_Data[[#This Row],[TotalWorkingYears]]&lt;=5,"0-5 Yrs",IF(HR_Data[[#This Row],[TotalWorkingYears]]&lt;=10,"6-10 Yrs",IF(HR_Data[[#This Row],[TotalWorkingYears]]&lt;=20,"11-20 Yrs","20+ Yrs")))</f>
        <v>6-10 Yrs</v>
      </c>
      <c r="AT625" s="1">
        <f>IF(HR_Data[[#This Row],[TotalWorkingYears]]&lt;=5,1,IF(HR_Data[[#This Row],[TotalWorkingYears]]&lt;=10,2,IF(HR_Data[[#This Row],[TotalWorkingYears]]&lt;=20,3,4)))</f>
        <v>2</v>
      </c>
    </row>
    <row r="626" spans="1:46" x14ac:dyDescent="0.25">
      <c r="A626">
        <v>53</v>
      </c>
      <c r="B626" t="s">
        <v>36</v>
      </c>
      <c r="C626" t="s">
        <v>30</v>
      </c>
      <c r="D626" t="s">
        <v>31</v>
      </c>
      <c r="E626">
        <v>7</v>
      </c>
      <c r="F626">
        <v>2</v>
      </c>
      <c r="G626" t="s">
        <v>52</v>
      </c>
      <c r="H626">
        <v>862</v>
      </c>
      <c r="I626">
        <v>1</v>
      </c>
      <c r="J626" t="s">
        <v>33</v>
      </c>
      <c r="K626">
        <v>2</v>
      </c>
      <c r="L626">
        <v>3</v>
      </c>
      <c r="M626" t="s">
        <v>34</v>
      </c>
      <c r="N626">
        <v>4</v>
      </c>
      <c r="O626" t="s">
        <v>41</v>
      </c>
      <c r="P626">
        <v>10934</v>
      </c>
      <c r="Q626">
        <v>7</v>
      </c>
      <c r="R626" t="s">
        <v>29</v>
      </c>
      <c r="S626">
        <v>18</v>
      </c>
      <c r="T626">
        <v>3</v>
      </c>
      <c r="U626">
        <v>4</v>
      </c>
      <c r="V626">
        <v>1</v>
      </c>
      <c r="W626">
        <v>35</v>
      </c>
      <c r="X626">
        <v>3</v>
      </c>
      <c r="Y626">
        <v>3</v>
      </c>
      <c r="Z626">
        <v>5</v>
      </c>
      <c r="AA626">
        <v>2</v>
      </c>
      <c r="AB626">
        <v>0</v>
      </c>
      <c r="AC626">
        <v>4</v>
      </c>
      <c r="AD626">
        <f>IF(HR_Data[[#This Row],[Attrition]]="Yes",1,0)</f>
        <v>0</v>
      </c>
      <c r="AE626" t="str">
        <f>IF(HR_Data[[#This Row],[Age]]&lt;=25,"18-25",IF(HR_Data[[#This Row],[Age]]&lt;=35,"26-35",IF(HR_Data[[#This Row],[Age]]&lt;=45,"36-45",IF(HR_Data[[#This Row],[Age]]&lt;=55,"46-55","55+"))))</f>
        <v>46-55</v>
      </c>
      <c r="AF626">
        <f>IF(HR_Data[[#This Row],[Age]]&lt;=25,1,IF(HR_Data[[#This Row],[Age]]&lt;=35,2,IF(HR_Data[[#This Row],[Age]]&lt;=45,3,IF(HR_Data[[#This Row],[Age]]&lt;=55,4,5))))</f>
        <v>4</v>
      </c>
      <c r="AG626" s="1" t="str">
        <f>IF(HR_Data[[#This Row],[MonthlyIncome]]&lt;3000,"&lt;3K",IF(HR_Data[[#This Row],[MonthlyIncome]]&lt;6000,"3K-6K",IF(HR_Data[[#This Row],[MonthlyIncome]]&lt;10000,"6K-10K","10K+")))</f>
        <v>10K+</v>
      </c>
      <c r="AH626" s="1">
        <f>IF(HR_Data[[#This Row],[MonthlyIncome]]&lt;3000,1,IF(HR_Data[[#This Row],[MonthlyIncome]]&lt;6000,2,IF(HR_Data[[#This Row],[MonthlyIncome]]&lt;10000,3,4)))</f>
        <v>4</v>
      </c>
      <c r="AI626" s="1" t="str">
        <f>IF(HR_Data[[#This Row],[YearsAtCompany]]&lt;=2,"0-2 Yrs",IF(HR_Data[[#This Row],[YearsAtCompany]]&lt;=5,"3-5 Yrs",IF(HR_Data[[#This Row],[YearsAtCompany]]&lt;=10,"6-10 Yrs","10+ Yrs")))</f>
        <v>3-5 Yrs</v>
      </c>
      <c r="AJ626" s="1">
        <f>IF(HR_Data[[#This Row],[YearsAtCompany]]&lt;=2,1,IF(HR_Data[[#This Row],[YearsAtCompany]]&lt;=5,2,IF(HR_Data[[#This Row],[YearsAtCompany]]&lt;=10,3,4)))</f>
        <v>2</v>
      </c>
      <c r="AK626" s="1" t="str">
        <f>CHOOSE(HR_Data[[#This Row],[Education]],"Below College","College","Bachelor","Master","Doctor")</f>
        <v>College</v>
      </c>
      <c r="AL626" s="1" t="str">
        <f>CHOOSE(HR_Data[[#This Row],[JobSatisfaction]],"Low","Medium","High","Very High")</f>
        <v>Very High</v>
      </c>
      <c r="AM626" s="1" t="str">
        <f>CHOOSE(HR_Data[[#This Row],[EnvironmentSatisfaction]],"Low","Medium","High","Very High")</f>
        <v>Low</v>
      </c>
      <c r="AN626" s="1" t="str">
        <f>CHOOSE(HR_Data[[#This Row],[WorkLifeBalance]],"Bad","Good","Better","Best")</f>
        <v>Better</v>
      </c>
      <c r="AO626" s="1" t="str">
        <f>IF(HR_Data[[#This Row],[PercentSalaryHike]]&lt;=13,"11-13%",IF(HR_Data[[#This Row],[PercentSalaryHike]]&lt;=16,"14-16%",IF(HR_Data[[#This Row],[PercentSalaryHike]]&lt;=19,"17-19%","20-25%")))</f>
        <v>17-19%</v>
      </c>
      <c r="AP626" s="1">
        <f>IF(HR_Data[[#This Row],[PercentSalaryHike]]&lt;=13,1,IF(HR_Data[[#This Row],[PercentSalaryHike]]&lt;=16,2,IF(HR_Data[[#This Row],[PercentSalaryHike]]&lt;=19,3,4)))</f>
        <v>3</v>
      </c>
      <c r="AQ626" s="1" t="str">
        <f>IF(HR_Data[[#This Row],[DistanceFromHome]]&lt;=5,"1 to 5",IF(HR_Data[[#This Row],[DistanceFromHome]]&lt;=10,"6 to 10",IF(HR_Data[[#This Row],[DistanceFromHome]]&lt;=20,"11 to 20","21 to 29")))</f>
        <v>6 to 10</v>
      </c>
      <c r="AR626" s="1">
        <f>IF(HR_Data[[#This Row],[DistanceFromHome]]&lt;=5,1,IF(HR_Data[[#This Row],[DistanceFromHome]]&lt;=10,2,IF(HR_Data[[#This Row],[DistanceFromHome]]&lt;=20,3,4)))</f>
        <v>2</v>
      </c>
      <c r="AS626" s="1" t="str">
        <f>IF(HR_Data[[#This Row],[TotalWorkingYears]]&lt;=5,"0-5 Yrs",IF(HR_Data[[#This Row],[TotalWorkingYears]]&lt;=10,"6-10 Yrs",IF(HR_Data[[#This Row],[TotalWorkingYears]]&lt;=20,"11-20 Yrs","20+ Yrs")))</f>
        <v>20+ Yrs</v>
      </c>
      <c r="AT626" s="1">
        <f>IF(HR_Data[[#This Row],[TotalWorkingYears]]&lt;=5,1,IF(HR_Data[[#This Row],[TotalWorkingYears]]&lt;=10,2,IF(HR_Data[[#This Row],[TotalWorkingYears]]&lt;=20,3,4)))</f>
        <v>4</v>
      </c>
    </row>
    <row r="627" spans="1:46" x14ac:dyDescent="0.25">
      <c r="A627">
        <v>45</v>
      </c>
      <c r="B627" t="s">
        <v>36</v>
      </c>
      <c r="C627" t="s">
        <v>30</v>
      </c>
      <c r="D627" t="s">
        <v>31</v>
      </c>
      <c r="E627">
        <v>9</v>
      </c>
      <c r="F627">
        <v>3</v>
      </c>
      <c r="G627" t="s">
        <v>52</v>
      </c>
      <c r="H627">
        <v>864</v>
      </c>
      <c r="I627">
        <v>4</v>
      </c>
      <c r="J627" t="s">
        <v>39</v>
      </c>
      <c r="K627">
        <v>3</v>
      </c>
      <c r="L627">
        <v>3</v>
      </c>
      <c r="M627" t="s">
        <v>34</v>
      </c>
      <c r="N627">
        <v>1</v>
      </c>
      <c r="O627" t="s">
        <v>45</v>
      </c>
      <c r="P627">
        <v>10761</v>
      </c>
      <c r="Q627">
        <v>4</v>
      </c>
      <c r="R627" t="s">
        <v>29</v>
      </c>
      <c r="S627">
        <v>12</v>
      </c>
      <c r="T627">
        <v>3</v>
      </c>
      <c r="U627">
        <v>3</v>
      </c>
      <c r="V627">
        <v>1</v>
      </c>
      <c r="W627">
        <v>18</v>
      </c>
      <c r="X627">
        <v>2</v>
      </c>
      <c r="Y627">
        <v>3</v>
      </c>
      <c r="Z627">
        <v>5</v>
      </c>
      <c r="AA627">
        <v>4</v>
      </c>
      <c r="AB627">
        <v>0</v>
      </c>
      <c r="AC627">
        <v>2</v>
      </c>
      <c r="AD627">
        <f>IF(HR_Data[[#This Row],[Attrition]]="Yes",1,0)</f>
        <v>0</v>
      </c>
      <c r="AE627" t="str">
        <f>IF(HR_Data[[#This Row],[Age]]&lt;=25,"18-25",IF(HR_Data[[#This Row],[Age]]&lt;=35,"26-35",IF(HR_Data[[#This Row],[Age]]&lt;=45,"36-45",IF(HR_Data[[#This Row],[Age]]&lt;=55,"46-55","55+"))))</f>
        <v>36-45</v>
      </c>
      <c r="AF627">
        <f>IF(HR_Data[[#This Row],[Age]]&lt;=25,1,IF(HR_Data[[#This Row],[Age]]&lt;=35,2,IF(HR_Data[[#This Row],[Age]]&lt;=45,3,IF(HR_Data[[#This Row],[Age]]&lt;=55,4,5))))</f>
        <v>3</v>
      </c>
      <c r="AG627" s="1" t="str">
        <f>IF(HR_Data[[#This Row],[MonthlyIncome]]&lt;3000,"&lt;3K",IF(HR_Data[[#This Row],[MonthlyIncome]]&lt;6000,"3K-6K",IF(HR_Data[[#This Row],[MonthlyIncome]]&lt;10000,"6K-10K","10K+")))</f>
        <v>10K+</v>
      </c>
      <c r="AH627" s="1">
        <f>IF(HR_Data[[#This Row],[MonthlyIncome]]&lt;3000,1,IF(HR_Data[[#This Row],[MonthlyIncome]]&lt;6000,2,IF(HR_Data[[#This Row],[MonthlyIncome]]&lt;10000,3,4)))</f>
        <v>4</v>
      </c>
      <c r="AI627" s="1" t="str">
        <f>IF(HR_Data[[#This Row],[YearsAtCompany]]&lt;=2,"0-2 Yrs",IF(HR_Data[[#This Row],[YearsAtCompany]]&lt;=5,"3-5 Yrs",IF(HR_Data[[#This Row],[YearsAtCompany]]&lt;=10,"6-10 Yrs","10+ Yrs")))</f>
        <v>3-5 Yrs</v>
      </c>
      <c r="AJ627" s="1">
        <f>IF(HR_Data[[#This Row],[YearsAtCompany]]&lt;=2,1,IF(HR_Data[[#This Row],[YearsAtCompany]]&lt;=5,2,IF(HR_Data[[#This Row],[YearsAtCompany]]&lt;=10,3,4)))</f>
        <v>2</v>
      </c>
      <c r="AK627" s="1" t="str">
        <f>CHOOSE(HR_Data[[#This Row],[Education]],"Below College","College","Bachelor","Master","Doctor")</f>
        <v>Bachelor</v>
      </c>
      <c r="AL627" s="1" t="str">
        <f>CHOOSE(HR_Data[[#This Row],[JobSatisfaction]],"Low","Medium","High","Very High")</f>
        <v>Low</v>
      </c>
      <c r="AM627" s="1" t="str">
        <f>CHOOSE(HR_Data[[#This Row],[EnvironmentSatisfaction]],"Low","Medium","High","Very High")</f>
        <v>Very High</v>
      </c>
      <c r="AN627" s="1" t="str">
        <f>CHOOSE(HR_Data[[#This Row],[WorkLifeBalance]],"Bad","Good","Better","Best")</f>
        <v>Better</v>
      </c>
      <c r="AO627" s="1" t="str">
        <f>IF(HR_Data[[#This Row],[PercentSalaryHike]]&lt;=13,"11-13%",IF(HR_Data[[#This Row],[PercentSalaryHike]]&lt;=16,"14-16%",IF(HR_Data[[#This Row],[PercentSalaryHike]]&lt;=19,"17-19%","20-25%")))</f>
        <v>11-13%</v>
      </c>
      <c r="AP627" s="1">
        <f>IF(HR_Data[[#This Row],[PercentSalaryHike]]&lt;=13,1,IF(HR_Data[[#This Row],[PercentSalaryHike]]&lt;=16,2,IF(HR_Data[[#This Row],[PercentSalaryHike]]&lt;=19,3,4)))</f>
        <v>1</v>
      </c>
      <c r="AQ627" s="1" t="str">
        <f>IF(HR_Data[[#This Row],[DistanceFromHome]]&lt;=5,"1 to 5",IF(HR_Data[[#This Row],[DistanceFromHome]]&lt;=10,"6 to 10",IF(HR_Data[[#This Row],[DistanceFromHome]]&lt;=20,"11 to 20","21 to 29")))</f>
        <v>6 to 10</v>
      </c>
      <c r="AR627" s="1">
        <f>IF(HR_Data[[#This Row],[DistanceFromHome]]&lt;=5,1,IF(HR_Data[[#This Row],[DistanceFromHome]]&lt;=10,2,IF(HR_Data[[#This Row],[DistanceFromHome]]&lt;=20,3,4)))</f>
        <v>2</v>
      </c>
      <c r="AS627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627" s="1">
        <f>IF(HR_Data[[#This Row],[TotalWorkingYears]]&lt;=5,1,IF(HR_Data[[#This Row],[TotalWorkingYears]]&lt;=10,2,IF(HR_Data[[#This Row],[TotalWorkingYears]]&lt;=20,3,4)))</f>
        <v>3</v>
      </c>
    </row>
    <row r="628" spans="1:46" x14ac:dyDescent="0.25">
      <c r="A628">
        <v>32</v>
      </c>
      <c r="B628" t="s">
        <v>36</v>
      </c>
      <c r="C628" t="s">
        <v>30</v>
      </c>
      <c r="D628" t="s">
        <v>38</v>
      </c>
      <c r="E628">
        <v>8</v>
      </c>
      <c r="F628">
        <v>2</v>
      </c>
      <c r="G628" t="s">
        <v>44</v>
      </c>
      <c r="H628">
        <v>865</v>
      </c>
      <c r="I628">
        <v>3</v>
      </c>
      <c r="J628" t="s">
        <v>33</v>
      </c>
      <c r="K628">
        <v>4</v>
      </c>
      <c r="L628">
        <v>2</v>
      </c>
      <c r="M628" t="s">
        <v>40</v>
      </c>
      <c r="N628">
        <v>3</v>
      </c>
      <c r="O628" t="s">
        <v>41</v>
      </c>
      <c r="P628">
        <v>5175</v>
      </c>
      <c r="Q628">
        <v>5</v>
      </c>
      <c r="R628" t="s">
        <v>36</v>
      </c>
      <c r="S628">
        <v>12</v>
      </c>
      <c r="T628">
        <v>3</v>
      </c>
      <c r="U628">
        <v>3</v>
      </c>
      <c r="V628">
        <v>1</v>
      </c>
      <c r="W628">
        <v>9</v>
      </c>
      <c r="X628">
        <v>3</v>
      </c>
      <c r="Y628">
        <v>2</v>
      </c>
      <c r="Z628">
        <v>5</v>
      </c>
      <c r="AA628">
        <v>3</v>
      </c>
      <c r="AB628">
        <v>1</v>
      </c>
      <c r="AC628">
        <v>3</v>
      </c>
      <c r="AD628">
        <f>IF(HR_Data[[#This Row],[Attrition]]="Yes",1,0)</f>
        <v>0</v>
      </c>
      <c r="AE628" t="str">
        <f>IF(HR_Data[[#This Row],[Age]]&lt;=25,"18-25",IF(HR_Data[[#This Row],[Age]]&lt;=35,"26-35",IF(HR_Data[[#This Row],[Age]]&lt;=45,"36-45",IF(HR_Data[[#This Row],[Age]]&lt;=55,"46-55","55+"))))</f>
        <v>26-35</v>
      </c>
      <c r="AF628">
        <f>IF(HR_Data[[#This Row],[Age]]&lt;=25,1,IF(HR_Data[[#This Row],[Age]]&lt;=35,2,IF(HR_Data[[#This Row],[Age]]&lt;=45,3,IF(HR_Data[[#This Row],[Age]]&lt;=55,4,5))))</f>
        <v>2</v>
      </c>
      <c r="AG628" s="1" t="str">
        <f>IF(HR_Data[[#This Row],[MonthlyIncome]]&lt;3000,"&lt;3K",IF(HR_Data[[#This Row],[MonthlyIncome]]&lt;6000,"3K-6K",IF(HR_Data[[#This Row],[MonthlyIncome]]&lt;10000,"6K-10K","10K+")))</f>
        <v>3K-6K</v>
      </c>
      <c r="AH628" s="1">
        <f>IF(HR_Data[[#This Row],[MonthlyIncome]]&lt;3000,1,IF(HR_Data[[#This Row],[MonthlyIncome]]&lt;6000,2,IF(HR_Data[[#This Row],[MonthlyIncome]]&lt;10000,3,4)))</f>
        <v>2</v>
      </c>
      <c r="AI628" s="1" t="str">
        <f>IF(HR_Data[[#This Row],[YearsAtCompany]]&lt;=2,"0-2 Yrs",IF(HR_Data[[#This Row],[YearsAtCompany]]&lt;=5,"3-5 Yrs",IF(HR_Data[[#This Row],[YearsAtCompany]]&lt;=10,"6-10 Yrs","10+ Yrs")))</f>
        <v>3-5 Yrs</v>
      </c>
      <c r="AJ628" s="1">
        <f>IF(HR_Data[[#This Row],[YearsAtCompany]]&lt;=2,1,IF(HR_Data[[#This Row],[YearsAtCompany]]&lt;=5,2,IF(HR_Data[[#This Row],[YearsAtCompany]]&lt;=10,3,4)))</f>
        <v>2</v>
      </c>
      <c r="AK628" s="1" t="str">
        <f>CHOOSE(HR_Data[[#This Row],[Education]],"Below College","College","Bachelor","Master","Doctor")</f>
        <v>College</v>
      </c>
      <c r="AL628" s="1" t="str">
        <f>CHOOSE(HR_Data[[#This Row],[JobSatisfaction]],"Low","Medium","High","Very High")</f>
        <v>High</v>
      </c>
      <c r="AM628" s="1" t="str">
        <f>CHOOSE(HR_Data[[#This Row],[EnvironmentSatisfaction]],"Low","Medium","High","Very High")</f>
        <v>High</v>
      </c>
      <c r="AN628" s="1" t="str">
        <f>CHOOSE(HR_Data[[#This Row],[WorkLifeBalance]],"Bad","Good","Better","Best")</f>
        <v>Good</v>
      </c>
      <c r="AO628" s="1" t="str">
        <f>IF(HR_Data[[#This Row],[PercentSalaryHike]]&lt;=13,"11-13%",IF(HR_Data[[#This Row],[PercentSalaryHike]]&lt;=16,"14-16%",IF(HR_Data[[#This Row],[PercentSalaryHike]]&lt;=19,"17-19%","20-25%")))</f>
        <v>11-13%</v>
      </c>
      <c r="AP628" s="1">
        <f>IF(HR_Data[[#This Row],[PercentSalaryHike]]&lt;=13,1,IF(HR_Data[[#This Row],[PercentSalaryHike]]&lt;=16,2,IF(HR_Data[[#This Row],[PercentSalaryHike]]&lt;=19,3,4)))</f>
        <v>1</v>
      </c>
      <c r="AQ628" s="1" t="str">
        <f>IF(HR_Data[[#This Row],[DistanceFromHome]]&lt;=5,"1 to 5",IF(HR_Data[[#This Row],[DistanceFromHome]]&lt;=10,"6 to 10",IF(HR_Data[[#This Row],[DistanceFromHome]]&lt;=20,"11 to 20","21 to 29")))</f>
        <v>6 to 10</v>
      </c>
      <c r="AR628" s="1">
        <f>IF(HR_Data[[#This Row],[DistanceFromHome]]&lt;=5,1,IF(HR_Data[[#This Row],[DistanceFromHome]]&lt;=10,2,IF(HR_Data[[#This Row],[DistanceFromHome]]&lt;=20,3,4)))</f>
        <v>2</v>
      </c>
      <c r="AS628" s="1" t="str">
        <f>IF(HR_Data[[#This Row],[TotalWorkingYears]]&lt;=5,"0-5 Yrs",IF(HR_Data[[#This Row],[TotalWorkingYears]]&lt;=10,"6-10 Yrs",IF(HR_Data[[#This Row],[TotalWorkingYears]]&lt;=20,"11-20 Yrs","20+ Yrs")))</f>
        <v>6-10 Yrs</v>
      </c>
      <c r="AT628" s="1">
        <f>IF(HR_Data[[#This Row],[TotalWorkingYears]]&lt;=5,1,IF(HR_Data[[#This Row],[TotalWorkingYears]]&lt;=10,2,IF(HR_Data[[#This Row],[TotalWorkingYears]]&lt;=20,3,4)))</f>
        <v>2</v>
      </c>
    </row>
    <row r="629" spans="1:46" x14ac:dyDescent="0.25">
      <c r="A629">
        <v>52</v>
      </c>
      <c r="B629" t="s">
        <v>36</v>
      </c>
      <c r="C629" t="s">
        <v>37</v>
      </c>
      <c r="D629" t="s">
        <v>38</v>
      </c>
      <c r="E629">
        <v>25</v>
      </c>
      <c r="F629">
        <v>4</v>
      </c>
      <c r="G629" t="s">
        <v>44</v>
      </c>
      <c r="H629">
        <v>867</v>
      </c>
      <c r="I629">
        <v>3</v>
      </c>
      <c r="J629" t="s">
        <v>33</v>
      </c>
      <c r="K629">
        <v>2</v>
      </c>
      <c r="L629">
        <v>4</v>
      </c>
      <c r="M629" t="s">
        <v>46</v>
      </c>
      <c r="N629">
        <v>4</v>
      </c>
      <c r="O629" t="s">
        <v>41</v>
      </c>
      <c r="P629">
        <v>13826</v>
      </c>
      <c r="Q629">
        <v>3</v>
      </c>
      <c r="R629" t="s">
        <v>36</v>
      </c>
      <c r="S629">
        <v>22</v>
      </c>
      <c r="T629">
        <v>4</v>
      </c>
      <c r="U629">
        <v>3</v>
      </c>
      <c r="V629">
        <v>0</v>
      </c>
      <c r="W629">
        <v>31</v>
      </c>
      <c r="X629">
        <v>3</v>
      </c>
      <c r="Y629">
        <v>3</v>
      </c>
      <c r="Z629">
        <v>9</v>
      </c>
      <c r="AA629">
        <v>8</v>
      </c>
      <c r="AB629">
        <v>0</v>
      </c>
      <c r="AC629">
        <v>0</v>
      </c>
      <c r="AD629">
        <f>IF(HR_Data[[#This Row],[Attrition]]="Yes",1,0)</f>
        <v>0</v>
      </c>
      <c r="AE629" t="str">
        <f>IF(HR_Data[[#This Row],[Age]]&lt;=25,"18-25",IF(HR_Data[[#This Row],[Age]]&lt;=35,"26-35",IF(HR_Data[[#This Row],[Age]]&lt;=45,"36-45",IF(HR_Data[[#This Row],[Age]]&lt;=55,"46-55","55+"))))</f>
        <v>46-55</v>
      </c>
      <c r="AF629">
        <f>IF(HR_Data[[#This Row],[Age]]&lt;=25,1,IF(HR_Data[[#This Row],[Age]]&lt;=35,2,IF(HR_Data[[#This Row],[Age]]&lt;=45,3,IF(HR_Data[[#This Row],[Age]]&lt;=55,4,5))))</f>
        <v>4</v>
      </c>
      <c r="AG629" s="1" t="str">
        <f>IF(HR_Data[[#This Row],[MonthlyIncome]]&lt;3000,"&lt;3K",IF(HR_Data[[#This Row],[MonthlyIncome]]&lt;6000,"3K-6K",IF(HR_Data[[#This Row],[MonthlyIncome]]&lt;10000,"6K-10K","10K+")))</f>
        <v>10K+</v>
      </c>
      <c r="AH629" s="1">
        <f>IF(HR_Data[[#This Row],[MonthlyIncome]]&lt;3000,1,IF(HR_Data[[#This Row],[MonthlyIncome]]&lt;6000,2,IF(HR_Data[[#This Row],[MonthlyIncome]]&lt;10000,3,4)))</f>
        <v>4</v>
      </c>
      <c r="AI629" s="1" t="str">
        <f>IF(HR_Data[[#This Row],[YearsAtCompany]]&lt;=2,"0-2 Yrs",IF(HR_Data[[#This Row],[YearsAtCompany]]&lt;=5,"3-5 Yrs",IF(HR_Data[[#This Row],[YearsAtCompany]]&lt;=10,"6-10 Yrs","10+ Yrs")))</f>
        <v>6-10 Yrs</v>
      </c>
      <c r="AJ629" s="1">
        <f>IF(HR_Data[[#This Row],[YearsAtCompany]]&lt;=2,1,IF(HR_Data[[#This Row],[YearsAtCompany]]&lt;=5,2,IF(HR_Data[[#This Row],[YearsAtCompany]]&lt;=10,3,4)))</f>
        <v>3</v>
      </c>
      <c r="AK629" s="1" t="str">
        <f>CHOOSE(HR_Data[[#This Row],[Education]],"Below College","College","Bachelor","Master","Doctor")</f>
        <v>Master</v>
      </c>
      <c r="AL629" s="1" t="str">
        <f>CHOOSE(HR_Data[[#This Row],[JobSatisfaction]],"Low","Medium","High","Very High")</f>
        <v>Very High</v>
      </c>
      <c r="AM629" s="1" t="str">
        <f>CHOOSE(HR_Data[[#This Row],[EnvironmentSatisfaction]],"Low","Medium","High","Very High")</f>
        <v>High</v>
      </c>
      <c r="AN629" s="1" t="str">
        <f>CHOOSE(HR_Data[[#This Row],[WorkLifeBalance]],"Bad","Good","Better","Best")</f>
        <v>Better</v>
      </c>
      <c r="AO629" s="1" t="str">
        <f>IF(HR_Data[[#This Row],[PercentSalaryHike]]&lt;=13,"11-13%",IF(HR_Data[[#This Row],[PercentSalaryHike]]&lt;=16,"14-16%",IF(HR_Data[[#This Row],[PercentSalaryHike]]&lt;=19,"17-19%","20-25%")))</f>
        <v>20-25%</v>
      </c>
      <c r="AP629" s="1">
        <f>IF(HR_Data[[#This Row],[PercentSalaryHike]]&lt;=13,1,IF(HR_Data[[#This Row],[PercentSalaryHike]]&lt;=16,2,IF(HR_Data[[#This Row],[PercentSalaryHike]]&lt;=19,3,4)))</f>
        <v>4</v>
      </c>
      <c r="AQ629" s="1" t="str">
        <f>IF(HR_Data[[#This Row],[DistanceFromHome]]&lt;=5,"1 to 5",IF(HR_Data[[#This Row],[DistanceFromHome]]&lt;=10,"6 to 10",IF(HR_Data[[#This Row],[DistanceFromHome]]&lt;=20,"11 to 20","21 to 29")))</f>
        <v>21 to 29</v>
      </c>
      <c r="AR629" s="1">
        <f>IF(HR_Data[[#This Row],[DistanceFromHome]]&lt;=5,1,IF(HR_Data[[#This Row],[DistanceFromHome]]&lt;=10,2,IF(HR_Data[[#This Row],[DistanceFromHome]]&lt;=20,3,4)))</f>
        <v>4</v>
      </c>
      <c r="AS629" s="1" t="str">
        <f>IF(HR_Data[[#This Row],[TotalWorkingYears]]&lt;=5,"0-5 Yrs",IF(HR_Data[[#This Row],[TotalWorkingYears]]&lt;=10,"6-10 Yrs",IF(HR_Data[[#This Row],[TotalWorkingYears]]&lt;=20,"11-20 Yrs","20+ Yrs")))</f>
        <v>20+ Yrs</v>
      </c>
      <c r="AT629" s="1">
        <f>IF(HR_Data[[#This Row],[TotalWorkingYears]]&lt;=5,1,IF(HR_Data[[#This Row],[TotalWorkingYears]]&lt;=10,2,IF(HR_Data[[#This Row],[TotalWorkingYears]]&lt;=20,3,4)))</f>
        <v>4</v>
      </c>
    </row>
    <row r="630" spans="1:46" x14ac:dyDescent="0.25">
      <c r="A630">
        <v>37</v>
      </c>
      <c r="B630" t="s">
        <v>36</v>
      </c>
      <c r="C630" t="s">
        <v>30</v>
      </c>
      <c r="D630" t="s">
        <v>31</v>
      </c>
      <c r="E630">
        <v>16</v>
      </c>
      <c r="F630">
        <v>4</v>
      </c>
      <c r="G630" t="s">
        <v>52</v>
      </c>
      <c r="H630">
        <v>868</v>
      </c>
      <c r="I630">
        <v>4</v>
      </c>
      <c r="J630" t="s">
        <v>39</v>
      </c>
      <c r="K630">
        <v>2</v>
      </c>
      <c r="L630">
        <v>2</v>
      </c>
      <c r="M630" t="s">
        <v>34</v>
      </c>
      <c r="N630">
        <v>3</v>
      </c>
      <c r="O630" t="s">
        <v>45</v>
      </c>
      <c r="P630">
        <v>6334</v>
      </c>
      <c r="Q630">
        <v>4</v>
      </c>
      <c r="R630" t="s">
        <v>36</v>
      </c>
      <c r="S630">
        <v>19</v>
      </c>
      <c r="T630">
        <v>3</v>
      </c>
      <c r="U630">
        <v>4</v>
      </c>
      <c r="V630">
        <v>2</v>
      </c>
      <c r="W630">
        <v>9</v>
      </c>
      <c r="X630">
        <v>2</v>
      </c>
      <c r="Y630">
        <v>3</v>
      </c>
      <c r="Z630">
        <v>1</v>
      </c>
      <c r="AA630">
        <v>0</v>
      </c>
      <c r="AB630">
        <v>0</v>
      </c>
      <c r="AC630">
        <v>0</v>
      </c>
      <c r="AD630">
        <f>IF(HR_Data[[#This Row],[Attrition]]="Yes",1,0)</f>
        <v>0</v>
      </c>
      <c r="AE630" t="str">
        <f>IF(HR_Data[[#This Row],[Age]]&lt;=25,"18-25",IF(HR_Data[[#This Row],[Age]]&lt;=35,"26-35",IF(HR_Data[[#This Row],[Age]]&lt;=45,"36-45",IF(HR_Data[[#This Row],[Age]]&lt;=55,"46-55","55+"))))</f>
        <v>36-45</v>
      </c>
      <c r="AF630">
        <f>IF(HR_Data[[#This Row],[Age]]&lt;=25,1,IF(HR_Data[[#This Row],[Age]]&lt;=35,2,IF(HR_Data[[#This Row],[Age]]&lt;=45,3,IF(HR_Data[[#This Row],[Age]]&lt;=55,4,5))))</f>
        <v>3</v>
      </c>
      <c r="AG630" s="1" t="str">
        <f>IF(HR_Data[[#This Row],[MonthlyIncome]]&lt;3000,"&lt;3K",IF(HR_Data[[#This Row],[MonthlyIncome]]&lt;6000,"3K-6K",IF(HR_Data[[#This Row],[MonthlyIncome]]&lt;10000,"6K-10K","10K+")))</f>
        <v>6K-10K</v>
      </c>
      <c r="AH630" s="1">
        <f>IF(HR_Data[[#This Row],[MonthlyIncome]]&lt;3000,1,IF(HR_Data[[#This Row],[MonthlyIncome]]&lt;6000,2,IF(HR_Data[[#This Row],[MonthlyIncome]]&lt;10000,3,4)))</f>
        <v>3</v>
      </c>
      <c r="AI630" s="1" t="str">
        <f>IF(HR_Data[[#This Row],[YearsAtCompany]]&lt;=2,"0-2 Yrs",IF(HR_Data[[#This Row],[YearsAtCompany]]&lt;=5,"3-5 Yrs",IF(HR_Data[[#This Row],[YearsAtCompany]]&lt;=10,"6-10 Yrs","10+ Yrs")))</f>
        <v>0-2 Yrs</v>
      </c>
      <c r="AJ630" s="1">
        <f>IF(HR_Data[[#This Row],[YearsAtCompany]]&lt;=2,1,IF(HR_Data[[#This Row],[YearsAtCompany]]&lt;=5,2,IF(HR_Data[[#This Row],[YearsAtCompany]]&lt;=10,3,4)))</f>
        <v>1</v>
      </c>
      <c r="AK630" s="1" t="str">
        <f>CHOOSE(HR_Data[[#This Row],[Education]],"Below College","College","Bachelor","Master","Doctor")</f>
        <v>Master</v>
      </c>
      <c r="AL630" s="1" t="str">
        <f>CHOOSE(HR_Data[[#This Row],[JobSatisfaction]],"Low","Medium","High","Very High")</f>
        <v>High</v>
      </c>
      <c r="AM630" s="1" t="str">
        <f>CHOOSE(HR_Data[[#This Row],[EnvironmentSatisfaction]],"Low","Medium","High","Very High")</f>
        <v>Very High</v>
      </c>
      <c r="AN630" s="1" t="str">
        <f>CHOOSE(HR_Data[[#This Row],[WorkLifeBalance]],"Bad","Good","Better","Best")</f>
        <v>Better</v>
      </c>
      <c r="AO630" s="1" t="str">
        <f>IF(HR_Data[[#This Row],[PercentSalaryHike]]&lt;=13,"11-13%",IF(HR_Data[[#This Row],[PercentSalaryHike]]&lt;=16,"14-16%",IF(HR_Data[[#This Row],[PercentSalaryHike]]&lt;=19,"17-19%","20-25%")))</f>
        <v>17-19%</v>
      </c>
      <c r="AP630" s="1">
        <f>IF(HR_Data[[#This Row],[PercentSalaryHike]]&lt;=13,1,IF(HR_Data[[#This Row],[PercentSalaryHike]]&lt;=16,2,IF(HR_Data[[#This Row],[PercentSalaryHike]]&lt;=19,3,4)))</f>
        <v>3</v>
      </c>
      <c r="AQ630" s="1" t="str">
        <f>IF(HR_Data[[#This Row],[DistanceFromHome]]&lt;=5,"1 to 5",IF(HR_Data[[#This Row],[DistanceFromHome]]&lt;=10,"6 to 10",IF(HR_Data[[#This Row],[DistanceFromHome]]&lt;=20,"11 to 20","21 to 29")))</f>
        <v>11 to 20</v>
      </c>
      <c r="AR630" s="1">
        <f>IF(HR_Data[[#This Row],[DistanceFromHome]]&lt;=5,1,IF(HR_Data[[#This Row],[DistanceFromHome]]&lt;=10,2,IF(HR_Data[[#This Row],[DistanceFromHome]]&lt;=20,3,4)))</f>
        <v>3</v>
      </c>
      <c r="AS630" s="1" t="str">
        <f>IF(HR_Data[[#This Row],[TotalWorkingYears]]&lt;=5,"0-5 Yrs",IF(HR_Data[[#This Row],[TotalWorkingYears]]&lt;=10,"6-10 Yrs",IF(HR_Data[[#This Row],[TotalWorkingYears]]&lt;=20,"11-20 Yrs","20+ Yrs")))</f>
        <v>6-10 Yrs</v>
      </c>
      <c r="AT630" s="1">
        <f>IF(HR_Data[[#This Row],[TotalWorkingYears]]&lt;=5,1,IF(HR_Data[[#This Row],[TotalWorkingYears]]&lt;=10,2,IF(HR_Data[[#This Row],[TotalWorkingYears]]&lt;=20,3,4)))</f>
        <v>2</v>
      </c>
    </row>
    <row r="631" spans="1:46" x14ac:dyDescent="0.25">
      <c r="A631">
        <v>28</v>
      </c>
      <c r="B631" t="s">
        <v>36</v>
      </c>
      <c r="C631" t="s">
        <v>30</v>
      </c>
      <c r="D631" t="s">
        <v>54</v>
      </c>
      <c r="E631">
        <v>8</v>
      </c>
      <c r="F631">
        <v>2</v>
      </c>
      <c r="G631" t="s">
        <v>44</v>
      </c>
      <c r="H631">
        <v>869</v>
      </c>
      <c r="I631">
        <v>2</v>
      </c>
      <c r="J631" t="s">
        <v>39</v>
      </c>
      <c r="K631">
        <v>2</v>
      </c>
      <c r="L631">
        <v>1</v>
      </c>
      <c r="M631" t="s">
        <v>54</v>
      </c>
      <c r="N631">
        <v>4</v>
      </c>
      <c r="O631" t="s">
        <v>45</v>
      </c>
      <c r="P631">
        <v>4936</v>
      </c>
      <c r="Q631">
        <v>1</v>
      </c>
      <c r="R631" t="s">
        <v>36</v>
      </c>
      <c r="S631">
        <v>13</v>
      </c>
      <c r="T631">
        <v>3</v>
      </c>
      <c r="U631">
        <v>4</v>
      </c>
      <c r="V631">
        <v>1</v>
      </c>
      <c r="W631">
        <v>6</v>
      </c>
      <c r="X631">
        <v>6</v>
      </c>
      <c r="Y631">
        <v>3</v>
      </c>
      <c r="Z631">
        <v>5</v>
      </c>
      <c r="AA631">
        <v>1</v>
      </c>
      <c r="AB631">
        <v>0</v>
      </c>
      <c r="AC631">
        <v>4</v>
      </c>
      <c r="AD631">
        <f>IF(HR_Data[[#This Row],[Attrition]]="Yes",1,0)</f>
        <v>0</v>
      </c>
      <c r="AE631" t="str">
        <f>IF(HR_Data[[#This Row],[Age]]&lt;=25,"18-25",IF(HR_Data[[#This Row],[Age]]&lt;=35,"26-35",IF(HR_Data[[#This Row],[Age]]&lt;=45,"36-45",IF(HR_Data[[#This Row],[Age]]&lt;=55,"46-55","55+"))))</f>
        <v>26-35</v>
      </c>
      <c r="AF631">
        <f>IF(HR_Data[[#This Row],[Age]]&lt;=25,1,IF(HR_Data[[#This Row],[Age]]&lt;=35,2,IF(HR_Data[[#This Row],[Age]]&lt;=45,3,IF(HR_Data[[#This Row],[Age]]&lt;=55,4,5))))</f>
        <v>2</v>
      </c>
      <c r="AG631" s="1" t="str">
        <f>IF(HR_Data[[#This Row],[MonthlyIncome]]&lt;3000,"&lt;3K",IF(HR_Data[[#This Row],[MonthlyIncome]]&lt;6000,"3K-6K",IF(HR_Data[[#This Row],[MonthlyIncome]]&lt;10000,"6K-10K","10K+")))</f>
        <v>3K-6K</v>
      </c>
      <c r="AH631" s="1">
        <f>IF(HR_Data[[#This Row],[MonthlyIncome]]&lt;3000,1,IF(HR_Data[[#This Row],[MonthlyIncome]]&lt;6000,2,IF(HR_Data[[#This Row],[MonthlyIncome]]&lt;10000,3,4)))</f>
        <v>2</v>
      </c>
      <c r="AI631" s="1" t="str">
        <f>IF(HR_Data[[#This Row],[YearsAtCompany]]&lt;=2,"0-2 Yrs",IF(HR_Data[[#This Row],[YearsAtCompany]]&lt;=5,"3-5 Yrs",IF(HR_Data[[#This Row],[YearsAtCompany]]&lt;=10,"6-10 Yrs","10+ Yrs")))</f>
        <v>3-5 Yrs</v>
      </c>
      <c r="AJ631" s="1">
        <f>IF(HR_Data[[#This Row],[YearsAtCompany]]&lt;=2,1,IF(HR_Data[[#This Row],[YearsAtCompany]]&lt;=5,2,IF(HR_Data[[#This Row],[YearsAtCompany]]&lt;=10,3,4)))</f>
        <v>2</v>
      </c>
      <c r="AK631" s="1" t="str">
        <f>CHOOSE(HR_Data[[#This Row],[Education]],"Below College","College","Bachelor","Master","Doctor")</f>
        <v>College</v>
      </c>
      <c r="AL631" s="1" t="str">
        <f>CHOOSE(HR_Data[[#This Row],[JobSatisfaction]],"Low","Medium","High","Very High")</f>
        <v>Very High</v>
      </c>
      <c r="AM631" s="1" t="str">
        <f>CHOOSE(HR_Data[[#This Row],[EnvironmentSatisfaction]],"Low","Medium","High","Very High")</f>
        <v>Medium</v>
      </c>
      <c r="AN631" s="1" t="str">
        <f>CHOOSE(HR_Data[[#This Row],[WorkLifeBalance]],"Bad","Good","Better","Best")</f>
        <v>Better</v>
      </c>
      <c r="AO631" s="1" t="str">
        <f>IF(HR_Data[[#This Row],[PercentSalaryHike]]&lt;=13,"11-13%",IF(HR_Data[[#This Row],[PercentSalaryHike]]&lt;=16,"14-16%",IF(HR_Data[[#This Row],[PercentSalaryHike]]&lt;=19,"17-19%","20-25%")))</f>
        <v>11-13%</v>
      </c>
      <c r="AP631" s="1">
        <f>IF(HR_Data[[#This Row],[PercentSalaryHike]]&lt;=13,1,IF(HR_Data[[#This Row],[PercentSalaryHike]]&lt;=16,2,IF(HR_Data[[#This Row],[PercentSalaryHike]]&lt;=19,3,4)))</f>
        <v>1</v>
      </c>
      <c r="AQ631" s="1" t="str">
        <f>IF(HR_Data[[#This Row],[DistanceFromHome]]&lt;=5,"1 to 5",IF(HR_Data[[#This Row],[DistanceFromHome]]&lt;=10,"6 to 10",IF(HR_Data[[#This Row],[DistanceFromHome]]&lt;=20,"11 to 20","21 to 29")))</f>
        <v>6 to 10</v>
      </c>
      <c r="AR631" s="1">
        <f>IF(HR_Data[[#This Row],[DistanceFromHome]]&lt;=5,1,IF(HR_Data[[#This Row],[DistanceFromHome]]&lt;=10,2,IF(HR_Data[[#This Row],[DistanceFromHome]]&lt;=20,3,4)))</f>
        <v>2</v>
      </c>
      <c r="AS631" s="1" t="str">
        <f>IF(HR_Data[[#This Row],[TotalWorkingYears]]&lt;=5,"0-5 Yrs",IF(HR_Data[[#This Row],[TotalWorkingYears]]&lt;=10,"6-10 Yrs",IF(HR_Data[[#This Row],[TotalWorkingYears]]&lt;=20,"11-20 Yrs","20+ Yrs")))</f>
        <v>6-10 Yrs</v>
      </c>
      <c r="AT631" s="1">
        <f>IF(HR_Data[[#This Row],[TotalWorkingYears]]&lt;=5,1,IF(HR_Data[[#This Row],[TotalWorkingYears]]&lt;=10,2,IF(HR_Data[[#This Row],[TotalWorkingYears]]&lt;=20,3,4)))</f>
        <v>2</v>
      </c>
    </row>
    <row r="632" spans="1:46" x14ac:dyDescent="0.25">
      <c r="A632">
        <v>22</v>
      </c>
      <c r="B632" t="s">
        <v>36</v>
      </c>
      <c r="C632" t="s">
        <v>30</v>
      </c>
      <c r="D632" t="s">
        <v>38</v>
      </c>
      <c r="E632">
        <v>1</v>
      </c>
      <c r="F632">
        <v>2</v>
      </c>
      <c r="G632" t="s">
        <v>32</v>
      </c>
      <c r="H632">
        <v>872</v>
      </c>
      <c r="I632">
        <v>4</v>
      </c>
      <c r="J632" t="s">
        <v>39</v>
      </c>
      <c r="K632">
        <v>2</v>
      </c>
      <c r="L632">
        <v>2</v>
      </c>
      <c r="M632" t="s">
        <v>46</v>
      </c>
      <c r="N632">
        <v>4</v>
      </c>
      <c r="O632" t="s">
        <v>41</v>
      </c>
      <c r="P632">
        <v>4775</v>
      </c>
      <c r="Q632">
        <v>6</v>
      </c>
      <c r="R632" t="s">
        <v>36</v>
      </c>
      <c r="S632">
        <v>22</v>
      </c>
      <c r="T632">
        <v>4</v>
      </c>
      <c r="U632">
        <v>1</v>
      </c>
      <c r="V632">
        <v>2</v>
      </c>
      <c r="W632">
        <v>4</v>
      </c>
      <c r="X632">
        <v>2</v>
      </c>
      <c r="Y632">
        <v>1</v>
      </c>
      <c r="Z632">
        <v>2</v>
      </c>
      <c r="AA632">
        <v>2</v>
      </c>
      <c r="AB632">
        <v>2</v>
      </c>
      <c r="AC632">
        <v>2</v>
      </c>
      <c r="AD632">
        <f>IF(HR_Data[[#This Row],[Attrition]]="Yes",1,0)</f>
        <v>0</v>
      </c>
      <c r="AE632" t="str">
        <f>IF(HR_Data[[#This Row],[Age]]&lt;=25,"18-25",IF(HR_Data[[#This Row],[Age]]&lt;=35,"26-35",IF(HR_Data[[#This Row],[Age]]&lt;=45,"36-45",IF(HR_Data[[#This Row],[Age]]&lt;=55,"46-55","55+"))))</f>
        <v>18-25</v>
      </c>
      <c r="AF632">
        <f>IF(HR_Data[[#This Row],[Age]]&lt;=25,1,IF(HR_Data[[#This Row],[Age]]&lt;=35,2,IF(HR_Data[[#This Row],[Age]]&lt;=45,3,IF(HR_Data[[#This Row],[Age]]&lt;=55,4,5))))</f>
        <v>1</v>
      </c>
      <c r="AG632" s="1" t="str">
        <f>IF(HR_Data[[#This Row],[MonthlyIncome]]&lt;3000,"&lt;3K",IF(HR_Data[[#This Row],[MonthlyIncome]]&lt;6000,"3K-6K",IF(HR_Data[[#This Row],[MonthlyIncome]]&lt;10000,"6K-10K","10K+")))</f>
        <v>3K-6K</v>
      </c>
      <c r="AH632" s="1">
        <f>IF(HR_Data[[#This Row],[MonthlyIncome]]&lt;3000,1,IF(HR_Data[[#This Row],[MonthlyIncome]]&lt;6000,2,IF(HR_Data[[#This Row],[MonthlyIncome]]&lt;10000,3,4)))</f>
        <v>2</v>
      </c>
      <c r="AI632" s="1" t="str">
        <f>IF(HR_Data[[#This Row],[YearsAtCompany]]&lt;=2,"0-2 Yrs",IF(HR_Data[[#This Row],[YearsAtCompany]]&lt;=5,"3-5 Yrs",IF(HR_Data[[#This Row],[YearsAtCompany]]&lt;=10,"6-10 Yrs","10+ Yrs")))</f>
        <v>0-2 Yrs</v>
      </c>
      <c r="AJ632" s="1">
        <f>IF(HR_Data[[#This Row],[YearsAtCompany]]&lt;=2,1,IF(HR_Data[[#This Row],[YearsAtCompany]]&lt;=5,2,IF(HR_Data[[#This Row],[YearsAtCompany]]&lt;=10,3,4)))</f>
        <v>1</v>
      </c>
      <c r="AK632" s="1" t="str">
        <f>CHOOSE(HR_Data[[#This Row],[Education]],"Below College","College","Bachelor","Master","Doctor")</f>
        <v>College</v>
      </c>
      <c r="AL632" s="1" t="str">
        <f>CHOOSE(HR_Data[[#This Row],[JobSatisfaction]],"Low","Medium","High","Very High")</f>
        <v>Very High</v>
      </c>
      <c r="AM632" s="1" t="str">
        <f>CHOOSE(HR_Data[[#This Row],[EnvironmentSatisfaction]],"Low","Medium","High","Very High")</f>
        <v>Very High</v>
      </c>
      <c r="AN632" s="1" t="str">
        <f>CHOOSE(HR_Data[[#This Row],[WorkLifeBalance]],"Bad","Good","Better","Best")</f>
        <v>Bad</v>
      </c>
      <c r="AO632" s="1" t="str">
        <f>IF(HR_Data[[#This Row],[PercentSalaryHike]]&lt;=13,"11-13%",IF(HR_Data[[#This Row],[PercentSalaryHike]]&lt;=16,"14-16%",IF(HR_Data[[#This Row],[PercentSalaryHike]]&lt;=19,"17-19%","20-25%")))</f>
        <v>20-25%</v>
      </c>
      <c r="AP632" s="1">
        <f>IF(HR_Data[[#This Row],[PercentSalaryHike]]&lt;=13,1,IF(HR_Data[[#This Row],[PercentSalaryHike]]&lt;=16,2,IF(HR_Data[[#This Row],[PercentSalaryHike]]&lt;=19,3,4)))</f>
        <v>4</v>
      </c>
      <c r="AQ632" s="1" t="str">
        <f>IF(HR_Data[[#This Row],[DistanceFromHome]]&lt;=5,"1 to 5",IF(HR_Data[[#This Row],[DistanceFromHome]]&lt;=10,"6 to 10",IF(HR_Data[[#This Row],[DistanceFromHome]]&lt;=20,"11 to 20","21 to 29")))</f>
        <v>1 to 5</v>
      </c>
      <c r="AR632" s="1">
        <f>IF(HR_Data[[#This Row],[DistanceFromHome]]&lt;=5,1,IF(HR_Data[[#This Row],[DistanceFromHome]]&lt;=10,2,IF(HR_Data[[#This Row],[DistanceFromHome]]&lt;=20,3,4)))</f>
        <v>1</v>
      </c>
      <c r="AS632" s="1" t="str">
        <f>IF(HR_Data[[#This Row],[TotalWorkingYears]]&lt;=5,"0-5 Yrs",IF(HR_Data[[#This Row],[TotalWorkingYears]]&lt;=10,"6-10 Yrs",IF(HR_Data[[#This Row],[TotalWorkingYears]]&lt;=20,"11-20 Yrs","20+ Yrs")))</f>
        <v>0-5 Yrs</v>
      </c>
      <c r="AT632" s="1">
        <f>IF(HR_Data[[#This Row],[TotalWorkingYears]]&lt;=5,1,IF(HR_Data[[#This Row],[TotalWorkingYears]]&lt;=10,2,IF(HR_Data[[#This Row],[TotalWorkingYears]]&lt;=20,3,4)))</f>
        <v>1</v>
      </c>
    </row>
    <row r="633" spans="1:46" x14ac:dyDescent="0.25">
      <c r="A633">
        <v>44</v>
      </c>
      <c r="B633" t="s">
        <v>36</v>
      </c>
      <c r="C633" t="s">
        <v>30</v>
      </c>
      <c r="D633" t="s">
        <v>38</v>
      </c>
      <c r="E633">
        <v>8</v>
      </c>
      <c r="F633">
        <v>4</v>
      </c>
      <c r="G633" t="s">
        <v>32</v>
      </c>
      <c r="H633">
        <v>874</v>
      </c>
      <c r="I633">
        <v>1</v>
      </c>
      <c r="J633" t="s">
        <v>39</v>
      </c>
      <c r="K633">
        <v>4</v>
      </c>
      <c r="L633">
        <v>1</v>
      </c>
      <c r="M633" t="s">
        <v>43</v>
      </c>
      <c r="N633">
        <v>4</v>
      </c>
      <c r="O633" t="s">
        <v>41</v>
      </c>
      <c r="P633">
        <v>2818</v>
      </c>
      <c r="Q633">
        <v>2</v>
      </c>
      <c r="R633" t="s">
        <v>29</v>
      </c>
      <c r="S633">
        <v>24</v>
      </c>
      <c r="T633">
        <v>4</v>
      </c>
      <c r="U633">
        <v>3</v>
      </c>
      <c r="V633">
        <v>1</v>
      </c>
      <c r="W633">
        <v>10</v>
      </c>
      <c r="X633">
        <v>2</v>
      </c>
      <c r="Y633">
        <v>2</v>
      </c>
      <c r="Z633">
        <v>3</v>
      </c>
      <c r="AA633">
        <v>2</v>
      </c>
      <c r="AB633">
        <v>0</v>
      </c>
      <c r="AC633">
        <v>2</v>
      </c>
      <c r="AD633">
        <f>IF(HR_Data[[#This Row],[Attrition]]="Yes",1,0)</f>
        <v>0</v>
      </c>
      <c r="AE633" t="str">
        <f>IF(HR_Data[[#This Row],[Age]]&lt;=25,"18-25",IF(HR_Data[[#This Row],[Age]]&lt;=35,"26-35",IF(HR_Data[[#This Row],[Age]]&lt;=45,"36-45",IF(HR_Data[[#This Row],[Age]]&lt;=55,"46-55","55+"))))</f>
        <v>36-45</v>
      </c>
      <c r="AF633">
        <f>IF(HR_Data[[#This Row],[Age]]&lt;=25,1,IF(HR_Data[[#This Row],[Age]]&lt;=35,2,IF(HR_Data[[#This Row],[Age]]&lt;=45,3,IF(HR_Data[[#This Row],[Age]]&lt;=55,4,5))))</f>
        <v>3</v>
      </c>
      <c r="AG633" s="1" t="str">
        <f>IF(HR_Data[[#This Row],[MonthlyIncome]]&lt;3000,"&lt;3K",IF(HR_Data[[#This Row],[MonthlyIncome]]&lt;6000,"3K-6K",IF(HR_Data[[#This Row],[MonthlyIncome]]&lt;10000,"6K-10K","10K+")))</f>
        <v>&lt;3K</v>
      </c>
      <c r="AH633" s="1">
        <f>IF(HR_Data[[#This Row],[MonthlyIncome]]&lt;3000,1,IF(HR_Data[[#This Row],[MonthlyIncome]]&lt;6000,2,IF(HR_Data[[#This Row],[MonthlyIncome]]&lt;10000,3,4)))</f>
        <v>1</v>
      </c>
      <c r="AI633" s="1" t="str">
        <f>IF(HR_Data[[#This Row],[YearsAtCompany]]&lt;=2,"0-2 Yrs",IF(HR_Data[[#This Row],[YearsAtCompany]]&lt;=5,"3-5 Yrs",IF(HR_Data[[#This Row],[YearsAtCompany]]&lt;=10,"6-10 Yrs","10+ Yrs")))</f>
        <v>3-5 Yrs</v>
      </c>
      <c r="AJ633" s="1">
        <f>IF(HR_Data[[#This Row],[YearsAtCompany]]&lt;=2,1,IF(HR_Data[[#This Row],[YearsAtCompany]]&lt;=5,2,IF(HR_Data[[#This Row],[YearsAtCompany]]&lt;=10,3,4)))</f>
        <v>2</v>
      </c>
      <c r="AK633" s="1" t="str">
        <f>CHOOSE(HR_Data[[#This Row],[Education]],"Below College","College","Bachelor","Master","Doctor")</f>
        <v>Master</v>
      </c>
      <c r="AL633" s="1" t="str">
        <f>CHOOSE(HR_Data[[#This Row],[JobSatisfaction]],"Low","Medium","High","Very High")</f>
        <v>Very High</v>
      </c>
      <c r="AM633" s="1" t="str">
        <f>CHOOSE(HR_Data[[#This Row],[EnvironmentSatisfaction]],"Low","Medium","High","Very High")</f>
        <v>Low</v>
      </c>
      <c r="AN633" s="1" t="str">
        <f>CHOOSE(HR_Data[[#This Row],[WorkLifeBalance]],"Bad","Good","Better","Best")</f>
        <v>Good</v>
      </c>
      <c r="AO633" s="1" t="str">
        <f>IF(HR_Data[[#This Row],[PercentSalaryHike]]&lt;=13,"11-13%",IF(HR_Data[[#This Row],[PercentSalaryHike]]&lt;=16,"14-16%",IF(HR_Data[[#This Row],[PercentSalaryHike]]&lt;=19,"17-19%","20-25%")))</f>
        <v>20-25%</v>
      </c>
      <c r="AP633" s="1">
        <f>IF(HR_Data[[#This Row],[PercentSalaryHike]]&lt;=13,1,IF(HR_Data[[#This Row],[PercentSalaryHike]]&lt;=16,2,IF(HR_Data[[#This Row],[PercentSalaryHike]]&lt;=19,3,4)))</f>
        <v>4</v>
      </c>
      <c r="AQ633" s="1" t="str">
        <f>IF(HR_Data[[#This Row],[DistanceFromHome]]&lt;=5,"1 to 5",IF(HR_Data[[#This Row],[DistanceFromHome]]&lt;=10,"6 to 10",IF(HR_Data[[#This Row],[DistanceFromHome]]&lt;=20,"11 to 20","21 to 29")))</f>
        <v>6 to 10</v>
      </c>
      <c r="AR633" s="1">
        <f>IF(HR_Data[[#This Row],[DistanceFromHome]]&lt;=5,1,IF(HR_Data[[#This Row],[DistanceFromHome]]&lt;=10,2,IF(HR_Data[[#This Row],[DistanceFromHome]]&lt;=20,3,4)))</f>
        <v>2</v>
      </c>
      <c r="AS633" s="1" t="str">
        <f>IF(HR_Data[[#This Row],[TotalWorkingYears]]&lt;=5,"0-5 Yrs",IF(HR_Data[[#This Row],[TotalWorkingYears]]&lt;=10,"6-10 Yrs",IF(HR_Data[[#This Row],[TotalWorkingYears]]&lt;=20,"11-20 Yrs","20+ Yrs")))</f>
        <v>6-10 Yrs</v>
      </c>
      <c r="AT633" s="1">
        <f>IF(HR_Data[[#This Row],[TotalWorkingYears]]&lt;=5,1,IF(HR_Data[[#This Row],[TotalWorkingYears]]&lt;=10,2,IF(HR_Data[[#This Row],[TotalWorkingYears]]&lt;=20,3,4)))</f>
        <v>2</v>
      </c>
    </row>
    <row r="634" spans="1:46" x14ac:dyDescent="0.25">
      <c r="A634">
        <v>42</v>
      </c>
      <c r="B634" t="s">
        <v>36</v>
      </c>
      <c r="C634" t="s">
        <v>37</v>
      </c>
      <c r="D634" t="s">
        <v>38</v>
      </c>
      <c r="E634">
        <v>2</v>
      </c>
      <c r="F634">
        <v>1</v>
      </c>
      <c r="G634" t="s">
        <v>44</v>
      </c>
      <c r="H634">
        <v>875</v>
      </c>
      <c r="I634">
        <v>2</v>
      </c>
      <c r="J634" t="s">
        <v>39</v>
      </c>
      <c r="K634">
        <v>3</v>
      </c>
      <c r="L634">
        <v>1</v>
      </c>
      <c r="M634" t="s">
        <v>40</v>
      </c>
      <c r="N634">
        <v>4</v>
      </c>
      <c r="O634" t="s">
        <v>35</v>
      </c>
      <c r="P634">
        <v>2515</v>
      </c>
      <c r="Q634">
        <v>5</v>
      </c>
      <c r="R634" t="s">
        <v>29</v>
      </c>
      <c r="S634">
        <v>14</v>
      </c>
      <c r="T634">
        <v>3</v>
      </c>
      <c r="U634">
        <v>4</v>
      </c>
      <c r="V634">
        <v>0</v>
      </c>
      <c r="W634">
        <v>8</v>
      </c>
      <c r="X634">
        <v>2</v>
      </c>
      <c r="Y634">
        <v>3</v>
      </c>
      <c r="Z634">
        <v>2</v>
      </c>
      <c r="AA634">
        <v>1</v>
      </c>
      <c r="AB634">
        <v>2</v>
      </c>
      <c r="AC634">
        <v>2</v>
      </c>
      <c r="AD634">
        <f>IF(HR_Data[[#This Row],[Attrition]]="Yes",1,0)</f>
        <v>0</v>
      </c>
      <c r="AE634" t="str">
        <f>IF(HR_Data[[#This Row],[Age]]&lt;=25,"18-25",IF(HR_Data[[#This Row],[Age]]&lt;=35,"26-35",IF(HR_Data[[#This Row],[Age]]&lt;=45,"36-45",IF(HR_Data[[#This Row],[Age]]&lt;=55,"46-55","55+"))))</f>
        <v>36-45</v>
      </c>
      <c r="AF634">
        <f>IF(HR_Data[[#This Row],[Age]]&lt;=25,1,IF(HR_Data[[#This Row],[Age]]&lt;=35,2,IF(HR_Data[[#This Row],[Age]]&lt;=45,3,IF(HR_Data[[#This Row],[Age]]&lt;=55,4,5))))</f>
        <v>3</v>
      </c>
      <c r="AG634" s="1" t="str">
        <f>IF(HR_Data[[#This Row],[MonthlyIncome]]&lt;3000,"&lt;3K",IF(HR_Data[[#This Row],[MonthlyIncome]]&lt;6000,"3K-6K",IF(HR_Data[[#This Row],[MonthlyIncome]]&lt;10000,"6K-10K","10K+")))</f>
        <v>&lt;3K</v>
      </c>
      <c r="AH634" s="1">
        <f>IF(HR_Data[[#This Row],[MonthlyIncome]]&lt;3000,1,IF(HR_Data[[#This Row],[MonthlyIncome]]&lt;6000,2,IF(HR_Data[[#This Row],[MonthlyIncome]]&lt;10000,3,4)))</f>
        <v>1</v>
      </c>
      <c r="AI634" s="1" t="str">
        <f>IF(HR_Data[[#This Row],[YearsAtCompany]]&lt;=2,"0-2 Yrs",IF(HR_Data[[#This Row],[YearsAtCompany]]&lt;=5,"3-5 Yrs",IF(HR_Data[[#This Row],[YearsAtCompany]]&lt;=10,"6-10 Yrs","10+ Yrs")))</f>
        <v>0-2 Yrs</v>
      </c>
      <c r="AJ634" s="1">
        <f>IF(HR_Data[[#This Row],[YearsAtCompany]]&lt;=2,1,IF(HR_Data[[#This Row],[YearsAtCompany]]&lt;=5,2,IF(HR_Data[[#This Row],[YearsAtCompany]]&lt;=10,3,4)))</f>
        <v>1</v>
      </c>
      <c r="AK634" s="1" t="str">
        <f>CHOOSE(HR_Data[[#This Row],[Education]],"Below College","College","Bachelor","Master","Doctor")</f>
        <v>Below College</v>
      </c>
      <c r="AL634" s="1" t="str">
        <f>CHOOSE(HR_Data[[#This Row],[JobSatisfaction]],"Low","Medium","High","Very High")</f>
        <v>Very High</v>
      </c>
      <c r="AM634" s="1" t="str">
        <f>CHOOSE(HR_Data[[#This Row],[EnvironmentSatisfaction]],"Low","Medium","High","Very High")</f>
        <v>Medium</v>
      </c>
      <c r="AN634" s="1" t="str">
        <f>CHOOSE(HR_Data[[#This Row],[WorkLifeBalance]],"Bad","Good","Better","Best")</f>
        <v>Better</v>
      </c>
      <c r="AO634" s="1" t="str">
        <f>IF(HR_Data[[#This Row],[PercentSalaryHike]]&lt;=13,"11-13%",IF(HR_Data[[#This Row],[PercentSalaryHike]]&lt;=16,"14-16%",IF(HR_Data[[#This Row],[PercentSalaryHike]]&lt;=19,"17-19%","20-25%")))</f>
        <v>14-16%</v>
      </c>
      <c r="AP634" s="1">
        <f>IF(HR_Data[[#This Row],[PercentSalaryHike]]&lt;=13,1,IF(HR_Data[[#This Row],[PercentSalaryHike]]&lt;=16,2,IF(HR_Data[[#This Row],[PercentSalaryHike]]&lt;=19,3,4)))</f>
        <v>2</v>
      </c>
      <c r="AQ634" s="1" t="str">
        <f>IF(HR_Data[[#This Row],[DistanceFromHome]]&lt;=5,"1 to 5",IF(HR_Data[[#This Row],[DistanceFromHome]]&lt;=10,"6 to 10",IF(HR_Data[[#This Row],[DistanceFromHome]]&lt;=20,"11 to 20","21 to 29")))</f>
        <v>1 to 5</v>
      </c>
      <c r="AR634" s="1">
        <f>IF(HR_Data[[#This Row],[DistanceFromHome]]&lt;=5,1,IF(HR_Data[[#This Row],[DistanceFromHome]]&lt;=10,2,IF(HR_Data[[#This Row],[DistanceFromHome]]&lt;=20,3,4)))</f>
        <v>1</v>
      </c>
      <c r="AS634" s="1" t="str">
        <f>IF(HR_Data[[#This Row],[TotalWorkingYears]]&lt;=5,"0-5 Yrs",IF(HR_Data[[#This Row],[TotalWorkingYears]]&lt;=10,"6-10 Yrs",IF(HR_Data[[#This Row],[TotalWorkingYears]]&lt;=20,"11-20 Yrs","20+ Yrs")))</f>
        <v>6-10 Yrs</v>
      </c>
      <c r="AT634" s="1">
        <f>IF(HR_Data[[#This Row],[TotalWorkingYears]]&lt;=5,1,IF(HR_Data[[#This Row],[TotalWorkingYears]]&lt;=10,2,IF(HR_Data[[#This Row],[TotalWorkingYears]]&lt;=20,3,4)))</f>
        <v>2</v>
      </c>
    </row>
    <row r="635" spans="1:46" x14ac:dyDescent="0.25">
      <c r="A635">
        <v>36</v>
      </c>
      <c r="B635" t="s">
        <v>36</v>
      </c>
      <c r="C635" t="s">
        <v>30</v>
      </c>
      <c r="D635" t="s">
        <v>54</v>
      </c>
      <c r="E635">
        <v>8</v>
      </c>
      <c r="F635">
        <v>3</v>
      </c>
      <c r="G635" t="s">
        <v>32</v>
      </c>
      <c r="H635">
        <v>878</v>
      </c>
      <c r="I635">
        <v>1</v>
      </c>
      <c r="J635" t="s">
        <v>39</v>
      </c>
      <c r="K635">
        <v>2</v>
      </c>
      <c r="L635">
        <v>1</v>
      </c>
      <c r="M635" t="s">
        <v>54</v>
      </c>
      <c r="N635">
        <v>1</v>
      </c>
      <c r="O635" t="s">
        <v>41</v>
      </c>
      <c r="P635">
        <v>2342</v>
      </c>
      <c r="Q635">
        <v>0</v>
      </c>
      <c r="R635" t="s">
        <v>36</v>
      </c>
      <c r="S635">
        <v>21</v>
      </c>
      <c r="T635">
        <v>4</v>
      </c>
      <c r="U635">
        <v>3</v>
      </c>
      <c r="V635">
        <v>0</v>
      </c>
      <c r="W635">
        <v>6</v>
      </c>
      <c r="X635">
        <v>3</v>
      </c>
      <c r="Y635">
        <v>3</v>
      </c>
      <c r="Z635">
        <v>5</v>
      </c>
      <c r="AA635">
        <v>4</v>
      </c>
      <c r="AB635">
        <v>0</v>
      </c>
      <c r="AC635">
        <v>3</v>
      </c>
      <c r="AD635">
        <f>IF(HR_Data[[#This Row],[Attrition]]="Yes",1,0)</f>
        <v>0</v>
      </c>
      <c r="AE635" t="str">
        <f>IF(HR_Data[[#This Row],[Age]]&lt;=25,"18-25",IF(HR_Data[[#This Row],[Age]]&lt;=35,"26-35",IF(HR_Data[[#This Row],[Age]]&lt;=45,"36-45",IF(HR_Data[[#This Row],[Age]]&lt;=55,"46-55","55+"))))</f>
        <v>36-45</v>
      </c>
      <c r="AF635">
        <f>IF(HR_Data[[#This Row],[Age]]&lt;=25,1,IF(HR_Data[[#This Row],[Age]]&lt;=35,2,IF(HR_Data[[#This Row],[Age]]&lt;=45,3,IF(HR_Data[[#This Row],[Age]]&lt;=55,4,5))))</f>
        <v>3</v>
      </c>
      <c r="AG635" s="1" t="str">
        <f>IF(HR_Data[[#This Row],[MonthlyIncome]]&lt;3000,"&lt;3K",IF(HR_Data[[#This Row],[MonthlyIncome]]&lt;6000,"3K-6K",IF(HR_Data[[#This Row],[MonthlyIncome]]&lt;10000,"6K-10K","10K+")))</f>
        <v>&lt;3K</v>
      </c>
      <c r="AH635" s="1">
        <f>IF(HR_Data[[#This Row],[MonthlyIncome]]&lt;3000,1,IF(HR_Data[[#This Row],[MonthlyIncome]]&lt;6000,2,IF(HR_Data[[#This Row],[MonthlyIncome]]&lt;10000,3,4)))</f>
        <v>1</v>
      </c>
      <c r="AI635" s="1" t="str">
        <f>IF(HR_Data[[#This Row],[YearsAtCompany]]&lt;=2,"0-2 Yrs",IF(HR_Data[[#This Row],[YearsAtCompany]]&lt;=5,"3-5 Yrs",IF(HR_Data[[#This Row],[YearsAtCompany]]&lt;=10,"6-10 Yrs","10+ Yrs")))</f>
        <v>3-5 Yrs</v>
      </c>
      <c r="AJ635" s="1">
        <f>IF(HR_Data[[#This Row],[YearsAtCompany]]&lt;=2,1,IF(HR_Data[[#This Row],[YearsAtCompany]]&lt;=5,2,IF(HR_Data[[#This Row],[YearsAtCompany]]&lt;=10,3,4)))</f>
        <v>2</v>
      </c>
      <c r="AK635" s="1" t="str">
        <f>CHOOSE(HR_Data[[#This Row],[Education]],"Below College","College","Bachelor","Master","Doctor")</f>
        <v>Bachelor</v>
      </c>
      <c r="AL635" s="1" t="str">
        <f>CHOOSE(HR_Data[[#This Row],[JobSatisfaction]],"Low","Medium","High","Very High")</f>
        <v>Low</v>
      </c>
      <c r="AM635" s="1" t="str">
        <f>CHOOSE(HR_Data[[#This Row],[EnvironmentSatisfaction]],"Low","Medium","High","Very High")</f>
        <v>Low</v>
      </c>
      <c r="AN635" s="1" t="str">
        <f>CHOOSE(HR_Data[[#This Row],[WorkLifeBalance]],"Bad","Good","Better","Best")</f>
        <v>Better</v>
      </c>
      <c r="AO635" s="1" t="str">
        <f>IF(HR_Data[[#This Row],[PercentSalaryHike]]&lt;=13,"11-13%",IF(HR_Data[[#This Row],[PercentSalaryHike]]&lt;=16,"14-16%",IF(HR_Data[[#This Row],[PercentSalaryHike]]&lt;=19,"17-19%","20-25%")))</f>
        <v>20-25%</v>
      </c>
      <c r="AP635" s="1">
        <f>IF(HR_Data[[#This Row],[PercentSalaryHike]]&lt;=13,1,IF(HR_Data[[#This Row],[PercentSalaryHike]]&lt;=16,2,IF(HR_Data[[#This Row],[PercentSalaryHike]]&lt;=19,3,4)))</f>
        <v>4</v>
      </c>
      <c r="AQ635" s="1" t="str">
        <f>IF(HR_Data[[#This Row],[DistanceFromHome]]&lt;=5,"1 to 5",IF(HR_Data[[#This Row],[DistanceFromHome]]&lt;=10,"6 to 10",IF(HR_Data[[#This Row],[DistanceFromHome]]&lt;=20,"11 to 20","21 to 29")))</f>
        <v>6 to 10</v>
      </c>
      <c r="AR635" s="1">
        <f>IF(HR_Data[[#This Row],[DistanceFromHome]]&lt;=5,1,IF(HR_Data[[#This Row],[DistanceFromHome]]&lt;=10,2,IF(HR_Data[[#This Row],[DistanceFromHome]]&lt;=20,3,4)))</f>
        <v>2</v>
      </c>
      <c r="AS635" s="1" t="str">
        <f>IF(HR_Data[[#This Row],[TotalWorkingYears]]&lt;=5,"0-5 Yrs",IF(HR_Data[[#This Row],[TotalWorkingYears]]&lt;=10,"6-10 Yrs",IF(HR_Data[[#This Row],[TotalWorkingYears]]&lt;=20,"11-20 Yrs","20+ Yrs")))</f>
        <v>6-10 Yrs</v>
      </c>
      <c r="AT635" s="1">
        <f>IF(HR_Data[[#This Row],[TotalWorkingYears]]&lt;=5,1,IF(HR_Data[[#This Row],[TotalWorkingYears]]&lt;=10,2,IF(HR_Data[[#This Row],[TotalWorkingYears]]&lt;=20,3,4)))</f>
        <v>2</v>
      </c>
    </row>
    <row r="636" spans="1:46" x14ac:dyDescent="0.25">
      <c r="A636">
        <v>25</v>
      </c>
      <c r="B636" t="s">
        <v>36</v>
      </c>
      <c r="C636" t="s">
        <v>30</v>
      </c>
      <c r="D636" t="s">
        <v>31</v>
      </c>
      <c r="E636">
        <v>3</v>
      </c>
      <c r="F636">
        <v>1</v>
      </c>
      <c r="G636" t="s">
        <v>42</v>
      </c>
      <c r="H636">
        <v>879</v>
      </c>
      <c r="I636">
        <v>3</v>
      </c>
      <c r="J636" t="s">
        <v>39</v>
      </c>
      <c r="K636">
        <v>3</v>
      </c>
      <c r="L636">
        <v>2</v>
      </c>
      <c r="M636" t="s">
        <v>34</v>
      </c>
      <c r="N636">
        <v>1</v>
      </c>
      <c r="O636" t="s">
        <v>41</v>
      </c>
      <c r="P636">
        <v>4194</v>
      </c>
      <c r="Q636">
        <v>1</v>
      </c>
      <c r="R636" t="s">
        <v>29</v>
      </c>
      <c r="S636">
        <v>18</v>
      </c>
      <c r="T636">
        <v>3</v>
      </c>
      <c r="U636">
        <v>4</v>
      </c>
      <c r="V636">
        <v>0</v>
      </c>
      <c r="W636">
        <v>5</v>
      </c>
      <c r="X636">
        <v>3</v>
      </c>
      <c r="Y636">
        <v>3</v>
      </c>
      <c r="Z636">
        <v>5</v>
      </c>
      <c r="AA636">
        <v>3</v>
      </c>
      <c r="AB636">
        <v>0</v>
      </c>
      <c r="AC636">
        <v>3</v>
      </c>
      <c r="AD636">
        <f>IF(HR_Data[[#This Row],[Attrition]]="Yes",1,0)</f>
        <v>0</v>
      </c>
      <c r="AE636" t="str">
        <f>IF(HR_Data[[#This Row],[Age]]&lt;=25,"18-25",IF(HR_Data[[#This Row],[Age]]&lt;=35,"26-35",IF(HR_Data[[#This Row],[Age]]&lt;=45,"36-45",IF(HR_Data[[#This Row],[Age]]&lt;=55,"46-55","55+"))))</f>
        <v>18-25</v>
      </c>
      <c r="AF636">
        <f>IF(HR_Data[[#This Row],[Age]]&lt;=25,1,IF(HR_Data[[#This Row],[Age]]&lt;=35,2,IF(HR_Data[[#This Row],[Age]]&lt;=45,3,IF(HR_Data[[#This Row],[Age]]&lt;=55,4,5))))</f>
        <v>1</v>
      </c>
      <c r="AG636" s="1" t="str">
        <f>IF(HR_Data[[#This Row],[MonthlyIncome]]&lt;3000,"&lt;3K",IF(HR_Data[[#This Row],[MonthlyIncome]]&lt;6000,"3K-6K",IF(HR_Data[[#This Row],[MonthlyIncome]]&lt;10000,"6K-10K","10K+")))</f>
        <v>3K-6K</v>
      </c>
      <c r="AH636" s="1">
        <f>IF(HR_Data[[#This Row],[MonthlyIncome]]&lt;3000,1,IF(HR_Data[[#This Row],[MonthlyIncome]]&lt;6000,2,IF(HR_Data[[#This Row],[MonthlyIncome]]&lt;10000,3,4)))</f>
        <v>2</v>
      </c>
      <c r="AI636" s="1" t="str">
        <f>IF(HR_Data[[#This Row],[YearsAtCompany]]&lt;=2,"0-2 Yrs",IF(HR_Data[[#This Row],[YearsAtCompany]]&lt;=5,"3-5 Yrs",IF(HR_Data[[#This Row],[YearsAtCompany]]&lt;=10,"6-10 Yrs","10+ Yrs")))</f>
        <v>3-5 Yrs</v>
      </c>
      <c r="AJ636" s="1">
        <f>IF(HR_Data[[#This Row],[YearsAtCompany]]&lt;=2,1,IF(HR_Data[[#This Row],[YearsAtCompany]]&lt;=5,2,IF(HR_Data[[#This Row],[YearsAtCompany]]&lt;=10,3,4)))</f>
        <v>2</v>
      </c>
      <c r="AK636" s="1" t="str">
        <f>CHOOSE(HR_Data[[#This Row],[Education]],"Below College","College","Bachelor","Master","Doctor")</f>
        <v>Below College</v>
      </c>
      <c r="AL636" s="1" t="str">
        <f>CHOOSE(HR_Data[[#This Row],[JobSatisfaction]],"Low","Medium","High","Very High")</f>
        <v>Low</v>
      </c>
      <c r="AM636" s="1" t="str">
        <f>CHOOSE(HR_Data[[#This Row],[EnvironmentSatisfaction]],"Low","Medium","High","Very High")</f>
        <v>High</v>
      </c>
      <c r="AN636" s="1" t="str">
        <f>CHOOSE(HR_Data[[#This Row],[WorkLifeBalance]],"Bad","Good","Better","Best")</f>
        <v>Better</v>
      </c>
      <c r="AO636" s="1" t="str">
        <f>IF(HR_Data[[#This Row],[PercentSalaryHike]]&lt;=13,"11-13%",IF(HR_Data[[#This Row],[PercentSalaryHike]]&lt;=16,"14-16%",IF(HR_Data[[#This Row],[PercentSalaryHike]]&lt;=19,"17-19%","20-25%")))</f>
        <v>17-19%</v>
      </c>
      <c r="AP636" s="1">
        <f>IF(HR_Data[[#This Row],[PercentSalaryHike]]&lt;=13,1,IF(HR_Data[[#This Row],[PercentSalaryHike]]&lt;=16,2,IF(HR_Data[[#This Row],[PercentSalaryHike]]&lt;=19,3,4)))</f>
        <v>3</v>
      </c>
      <c r="AQ636" s="1" t="str">
        <f>IF(HR_Data[[#This Row],[DistanceFromHome]]&lt;=5,"1 to 5",IF(HR_Data[[#This Row],[DistanceFromHome]]&lt;=10,"6 to 10",IF(HR_Data[[#This Row],[DistanceFromHome]]&lt;=20,"11 to 20","21 to 29")))</f>
        <v>1 to 5</v>
      </c>
      <c r="AR636" s="1">
        <f>IF(HR_Data[[#This Row],[DistanceFromHome]]&lt;=5,1,IF(HR_Data[[#This Row],[DistanceFromHome]]&lt;=10,2,IF(HR_Data[[#This Row],[DistanceFromHome]]&lt;=20,3,4)))</f>
        <v>1</v>
      </c>
      <c r="AS636" s="1" t="str">
        <f>IF(HR_Data[[#This Row],[TotalWorkingYears]]&lt;=5,"0-5 Yrs",IF(HR_Data[[#This Row],[TotalWorkingYears]]&lt;=10,"6-10 Yrs",IF(HR_Data[[#This Row],[TotalWorkingYears]]&lt;=20,"11-20 Yrs","20+ Yrs")))</f>
        <v>0-5 Yrs</v>
      </c>
      <c r="AT636" s="1">
        <f>IF(HR_Data[[#This Row],[TotalWorkingYears]]&lt;=5,1,IF(HR_Data[[#This Row],[TotalWorkingYears]]&lt;=10,2,IF(HR_Data[[#This Row],[TotalWorkingYears]]&lt;=20,3,4)))</f>
        <v>1</v>
      </c>
    </row>
    <row r="637" spans="1:46" x14ac:dyDescent="0.25">
      <c r="A637">
        <v>35</v>
      </c>
      <c r="B637" t="s">
        <v>36</v>
      </c>
      <c r="C637" t="s">
        <v>30</v>
      </c>
      <c r="D637" t="s">
        <v>38</v>
      </c>
      <c r="E637">
        <v>9</v>
      </c>
      <c r="F637">
        <v>3</v>
      </c>
      <c r="G637" t="s">
        <v>32</v>
      </c>
      <c r="H637">
        <v>880</v>
      </c>
      <c r="I637">
        <v>4</v>
      </c>
      <c r="J637" t="s">
        <v>33</v>
      </c>
      <c r="K637">
        <v>2</v>
      </c>
      <c r="L637">
        <v>3</v>
      </c>
      <c r="M637" t="s">
        <v>46</v>
      </c>
      <c r="N637">
        <v>3</v>
      </c>
      <c r="O637" t="s">
        <v>41</v>
      </c>
      <c r="P637">
        <v>10685</v>
      </c>
      <c r="Q637">
        <v>1</v>
      </c>
      <c r="R637" t="s">
        <v>29</v>
      </c>
      <c r="S637">
        <v>20</v>
      </c>
      <c r="T637">
        <v>4</v>
      </c>
      <c r="U637">
        <v>2</v>
      </c>
      <c r="V637">
        <v>1</v>
      </c>
      <c r="W637">
        <v>17</v>
      </c>
      <c r="X637">
        <v>2</v>
      </c>
      <c r="Y637">
        <v>3</v>
      </c>
      <c r="Z637">
        <v>17</v>
      </c>
      <c r="AA637">
        <v>14</v>
      </c>
      <c r="AB637">
        <v>5</v>
      </c>
      <c r="AC637">
        <v>15</v>
      </c>
      <c r="AD637">
        <f>IF(HR_Data[[#This Row],[Attrition]]="Yes",1,0)</f>
        <v>0</v>
      </c>
      <c r="AE637" t="str">
        <f>IF(HR_Data[[#This Row],[Age]]&lt;=25,"18-25",IF(HR_Data[[#This Row],[Age]]&lt;=35,"26-35",IF(HR_Data[[#This Row],[Age]]&lt;=45,"36-45",IF(HR_Data[[#This Row],[Age]]&lt;=55,"46-55","55+"))))</f>
        <v>26-35</v>
      </c>
      <c r="AF637">
        <f>IF(HR_Data[[#This Row],[Age]]&lt;=25,1,IF(HR_Data[[#This Row],[Age]]&lt;=35,2,IF(HR_Data[[#This Row],[Age]]&lt;=45,3,IF(HR_Data[[#This Row],[Age]]&lt;=55,4,5))))</f>
        <v>2</v>
      </c>
      <c r="AG637" s="1" t="str">
        <f>IF(HR_Data[[#This Row],[MonthlyIncome]]&lt;3000,"&lt;3K",IF(HR_Data[[#This Row],[MonthlyIncome]]&lt;6000,"3K-6K",IF(HR_Data[[#This Row],[MonthlyIncome]]&lt;10000,"6K-10K","10K+")))</f>
        <v>10K+</v>
      </c>
      <c r="AH637" s="1">
        <f>IF(HR_Data[[#This Row],[MonthlyIncome]]&lt;3000,1,IF(HR_Data[[#This Row],[MonthlyIncome]]&lt;6000,2,IF(HR_Data[[#This Row],[MonthlyIncome]]&lt;10000,3,4)))</f>
        <v>4</v>
      </c>
      <c r="AI637" s="1" t="str">
        <f>IF(HR_Data[[#This Row],[YearsAtCompany]]&lt;=2,"0-2 Yrs",IF(HR_Data[[#This Row],[YearsAtCompany]]&lt;=5,"3-5 Yrs",IF(HR_Data[[#This Row],[YearsAtCompany]]&lt;=10,"6-10 Yrs","10+ Yrs")))</f>
        <v>10+ Yrs</v>
      </c>
      <c r="AJ637" s="1">
        <f>IF(HR_Data[[#This Row],[YearsAtCompany]]&lt;=2,1,IF(HR_Data[[#This Row],[YearsAtCompany]]&lt;=5,2,IF(HR_Data[[#This Row],[YearsAtCompany]]&lt;=10,3,4)))</f>
        <v>4</v>
      </c>
      <c r="AK637" s="1" t="str">
        <f>CHOOSE(HR_Data[[#This Row],[Education]],"Below College","College","Bachelor","Master","Doctor")</f>
        <v>Bachelor</v>
      </c>
      <c r="AL637" s="1" t="str">
        <f>CHOOSE(HR_Data[[#This Row],[JobSatisfaction]],"Low","Medium","High","Very High")</f>
        <v>High</v>
      </c>
      <c r="AM637" s="1" t="str">
        <f>CHOOSE(HR_Data[[#This Row],[EnvironmentSatisfaction]],"Low","Medium","High","Very High")</f>
        <v>Very High</v>
      </c>
      <c r="AN637" s="1" t="str">
        <f>CHOOSE(HR_Data[[#This Row],[WorkLifeBalance]],"Bad","Good","Better","Best")</f>
        <v>Better</v>
      </c>
      <c r="AO637" s="1" t="str">
        <f>IF(HR_Data[[#This Row],[PercentSalaryHike]]&lt;=13,"11-13%",IF(HR_Data[[#This Row],[PercentSalaryHike]]&lt;=16,"14-16%",IF(HR_Data[[#This Row],[PercentSalaryHike]]&lt;=19,"17-19%","20-25%")))</f>
        <v>20-25%</v>
      </c>
      <c r="AP637" s="1">
        <f>IF(HR_Data[[#This Row],[PercentSalaryHike]]&lt;=13,1,IF(HR_Data[[#This Row],[PercentSalaryHike]]&lt;=16,2,IF(HR_Data[[#This Row],[PercentSalaryHike]]&lt;=19,3,4)))</f>
        <v>4</v>
      </c>
      <c r="AQ637" s="1" t="str">
        <f>IF(HR_Data[[#This Row],[DistanceFromHome]]&lt;=5,"1 to 5",IF(HR_Data[[#This Row],[DistanceFromHome]]&lt;=10,"6 to 10",IF(HR_Data[[#This Row],[DistanceFromHome]]&lt;=20,"11 to 20","21 to 29")))</f>
        <v>6 to 10</v>
      </c>
      <c r="AR637" s="1">
        <f>IF(HR_Data[[#This Row],[DistanceFromHome]]&lt;=5,1,IF(HR_Data[[#This Row],[DistanceFromHome]]&lt;=10,2,IF(HR_Data[[#This Row],[DistanceFromHome]]&lt;=20,3,4)))</f>
        <v>2</v>
      </c>
      <c r="AS637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637" s="1">
        <f>IF(HR_Data[[#This Row],[TotalWorkingYears]]&lt;=5,1,IF(HR_Data[[#This Row],[TotalWorkingYears]]&lt;=10,2,IF(HR_Data[[#This Row],[TotalWorkingYears]]&lt;=20,3,4)))</f>
        <v>3</v>
      </c>
    </row>
    <row r="638" spans="1:46" x14ac:dyDescent="0.25">
      <c r="A638">
        <v>35</v>
      </c>
      <c r="B638" t="s">
        <v>29</v>
      </c>
      <c r="C638" t="s">
        <v>37</v>
      </c>
      <c r="D638" t="s">
        <v>38</v>
      </c>
      <c r="E638">
        <v>25</v>
      </c>
      <c r="F638">
        <v>4</v>
      </c>
      <c r="G638" t="s">
        <v>32</v>
      </c>
      <c r="H638">
        <v>881</v>
      </c>
      <c r="I638">
        <v>4</v>
      </c>
      <c r="J638" t="s">
        <v>33</v>
      </c>
      <c r="K638">
        <v>3</v>
      </c>
      <c r="L638">
        <v>1</v>
      </c>
      <c r="M638" t="s">
        <v>40</v>
      </c>
      <c r="N638">
        <v>2</v>
      </c>
      <c r="O638" t="s">
        <v>45</v>
      </c>
      <c r="P638">
        <v>2022</v>
      </c>
      <c r="Q638">
        <v>1</v>
      </c>
      <c r="R638" t="s">
        <v>29</v>
      </c>
      <c r="S638">
        <v>19</v>
      </c>
      <c r="T638">
        <v>3</v>
      </c>
      <c r="U638">
        <v>1</v>
      </c>
      <c r="V638">
        <v>1</v>
      </c>
      <c r="W638">
        <v>10</v>
      </c>
      <c r="X638">
        <v>3</v>
      </c>
      <c r="Y638">
        <v>2</v>
      </c>
      <c r="Z638">
        <v>10</v>
      </c>
      <c r="AA638">
        <v>2</v>
      </c>
      <c r="AB638">
        <v>7</v>
      </c>
      <c r="AC638">
        <v>8</v>
      </c>
      <c r="AD638">
        <f>IF(HR_Data[[#This Row],[Attrition]]="Yes",1,0)</f>
        <v>1</v>
      </c>
      <c r="AE638" t="str">
        <f>IF(HR_Data[[#This Row],[Age]]&lt;=25,"18-25",IF(HR_Data[[#This Row],[Age]]&lt;=35,"26-35",IF(HR_Data[[#This Row],[Age]]&lt;=45,"36-45",IF(HR_Data[[#This Row],[Age]]&lt;=55,"46-55","55+"))))</f>
        <v>26-35</v>
      </c>
      <c r="AF638">
        <f>IF(HR_Data[[#This Row],[Age]]&lt;=25,1,IF(HR_Data[[#This Row],[Age]]&lt;=35,2,IF(HR_Data[[#This Row],[Age]]&lt;=45,3,IF(HR_Data[[#This Row],[Age]]&lt;=55,4,5))))</f>
        <v>2</v>
      </c>
      <c r="AG638" s="1" t="str">
        <f>IF(HR_Data[[#This Row],[MonthlyIncome]]&lt;3000,"&lt;3K",IF(HR_Data[[#This Row],[MonthlyIncome]]&lt;6000,"3K-6K",IF(HR_Data[[#This Row],[MonthlyIncome]]&lt;10000,"6K-10K","10K+")))</f>
        <v>&lt;3K</v>
      </c>
      <c r="AH638" s="1">
        <f>IF(HR_Data[[#This Row],[MonthlyIncome]]&lt;3000,1,IF(HR_Data[[#This Row],[MonthlyIncome]]&lt;6000,2,IF(HR_Data[[#This Row],[MonthlyIncome]]&lt;10000,3,4)))</f>
        <v>1</v>
      </c>
      <c r="AI638" s="1" t="str">
        <f>IF(HR_Data[[#This Row],[YearsAtCompany]]&lt;=2,"0-2 Yrs",IF(HR_Data[[#This Row],[YearsAtCompany]]&lt;=5,"3-5 Yrs",IF(HR_Data[[#This Row],[YearsAtCompany]]&lt;=10,"6-10 Yrs","10+ Yrs")))</f>
        <v>6-10 Yrs</v>
      </c>
      <c r="AJ638" s="1">
        <f>IF(HR_Data[[#This Row],[YearsAtCompany]]&lt;=2,1,IF(HR_Data[[#This Row],[YearsAtCompany]]&lt;=5,2,IF(HR_Data[[#This Row],[YearsAtCompany]]&lt;=10,3,4)))</f>
        <v>3</v>
      </c>
      <c r="AK638" s="1" t="str">
        <f>CHOOSE(HR_Data[[#This Row],[Education]],"Below College","College","Bachelor","Master","Doctor")</f>
        <v>Master</v>
      </c>
      <c r="AL638" s="1" t="str">
        <f>CHOOSE(HR_Data[[#This Row],[JobSatisfaction]],"Low","Medium","High","Very High")</f>
        <v>Medium</v>
      </c>
      <c r="AM638" s="1" t="str">
        <f>CHOOSE(HR_Data[[#This Row],[EnvironmentSatisfaction]],"Low","Medium","High","Very High")</f>
        <v>Very High</v>
      </c>
      <c r="AN638" s="1" t="str">
        <f>CHOOSE(HR_Data[[#This Row],[WorkLifeBalance]],"Bad","Good","Better","Best")</f>
        <v>Good</v>
      </c>
      <c r="AO638" s="1" t="str">
        <f>IF(HR_Data[[#This Row],[PercentSalaryHike]]&lt;=13,"11-13%",IF(HR_Data[[#This Row],[PercentSalaryHike]]&lt;=16,"14-16%",IF(HR_Data[[#This Row],[PercentSalaryHike]]&lt;=19,"17-19%","20-25%")))</f>
        <v>17-19%</v>
      </c>
      <c r="AP638" s="1">
        <f>IF(HR_Data[[#This Row],[PercentSalaryHike]]&lt;=13,1,IF(HR_Data[[#This Row],[PercentSalaryHike]]&lt;=16,2,IF(HR_Data[[#This Row],[PercentSalaryHike]]&lt;=19,3,4)))</f>
        <v>3</v>
      </c>
      <c r="AQ638" s="1" t="str">
        <f>IF(HR_Data[[#This Row],[DistanceFromHome]]&lt;=5,"1 to 5",IF(HR_Data[[#This Row],[DistanceFromHome]]&lt;=10,"6 to 10",IF(HR_Data[[#This Row],[DistanceFromHome]]&lt;=20,"11 to 20","21 to 29")))</f>
        <v>21 to 29</v>
      </c>
      <c r="AR638" s="1">
        <f>IF(HR_Data[[#This Row],[DistanceFromHome]]&lt;=5,1,IF(HR_Data[[#This Row],[DistanceFromHome]]&lt;=10,2,IF(HR_Data[[#This Row],[DistanceFromHome]]&lt;=20,3,4)))</f>
        <v>4</v>
      </c>
      <c r="AS638" s="1" t="str">
        <f>IF(HR_Data[[#This Row],[TotalWorkingYears]]&lt;=5,"0-5 Yrs",IF(HR_Data[[#This Row],[TotalWorkingYears]]&lt;=10,"6-10 Yrs",IF(HR_Data[[#This Row],[TotalWorkingYears]]&lt;=20,"11-20 Yrs","20+ Yrs")))</f>
        <v>6-10 Yrs</v>
      </c>
      <c r="AT638" s="1">
        <f>IF(HR_Data[[#This Row],[TotalWorkingYears]]&lt;=5,1,IF(HR_Data[[#This Row],[TotalWorkingYears]]&lt;=10,2,IF(HR_Data[[#This Row],[TotalWorkingYears]]&lt;=20,3,4)))</f>
        <v>2</v>
      </c>
    </row>
    <row r="639" spans="1:46" x14ac:dyDescent="0.25">
      <c r="A639">
        <v>32</v>
      </c>
      <c r="B639" t="s">
        <v>36</v>
      </c>
      <c r="C639" t="s">
        <v>48</v>
      </c>
      <c r="D639" t="s">
        <v>38</v>
      </c>
      <c r="E639">
        <v>1</v>
      </c>
      <c r="F639">
        <v>3</v>
      </c>
      <c r="G639" t="s">
        <v>32</v>
      </c>
      <c r="H639">
        <v>882</v>
      </c>
      <c r="I639">
        <v>4</v>
      </c>
      <c r="J639" t="s">
        <v>39</v>
      </c>
      <c r="K639">
        <v>3</v>
      </c>
      <c r="L639">
        <v>1</v>
      </c>
      <c r="M639" t="s">
        <v>43</v>
      </c>
      <c r="N639">
        <v>4</v>
      </c>
      <c r="O639" t="s">
        <v>45</v>
      </c>
      <c r="P639">
        <v>2314</v>
      </c>
      <c r="Q639">
        <v>0</v>
      </c>
      <c r="R639" t="s">
        <v>36</v>
      </c>
      <c r="S639">
        <v>12</v>
      </c>
      <c r="T639">
        <v>3</v>
      </c>
      <c r="U639">
        <v>2</v>
      </c>
      <c r="V639">
        <v>1</v>
      </c>
      <c r="W639">
        <v>4</v>
      </c>
      <c r="X639">
        <v>2</v>
      </c>
      <c r="Y639">
        <v>3</v>
      </c>
      <c r="Z639">
        <v>3</v>
      </c>
      <c r="AA639">
        <v>0</v>
      </c>
      <c r="AB639">
        <v>0</v>
      </c>
      <c r="AC639">
        <v>2</v>
      </c>
      <c r="AD639">
        <f>IF(HR_Data[[#This Row],[Attrition]]="Yes",1,0)</f>
        <v>0</v>
      </c>
      <c r="AE639" t="str">
        <f>IF(HR_Data[[#This Row],[Age]]&lt;=25,"18-25",IF(HR_Data[[#This Row],[Age]]&lt;=35,"26-35",IF(HR_Data[[#This Row],[Age]]&lt;=45,"36-45",IF(HR_Data[[#This Row],[Age]]&lt;=55,"46-55","55+"))))</f>
        <v>26-35</v>
      </c>
      <c r="AF639">
        <f>IF(HR_Data[[#This Row],[Age]]&lt;=25,1,IF(HR_Data[[#This Row],[Age]]&lt;=35,2,IF(HR_Data[[#This Row],[Age]]&lt;=45,3,IF(HR_Data[[#This Row],[Age]]&lt;=55,4,5))))</f>
        <v>2</v>
      </c>
      <c r="AG639" s="1" t="str">
        <f>IF(HR_Data[[#This Row],[MonthlyIncome]]&lt;3000,"&lt;3K",IF(HR_Data[[#This Row],[MonthlyIncome]]&lt;6000,"3K-6K",IF(HR_Data[[#This Row],[MonthlyIncome]]&lt;10000,"6K-10K","10K+")))</f>
        <v>&lt;3K</v>
      </c>
      <c r="AH639" s="1">
        <f>IF(HR_Data[[#This Row],[MonthlyIncome]]&lt;3000,1,IF(HR_Data[[#This Row],[MonthlyIncome]]&lt;6000,2,IF(HR_Data[[#This Row],[MonthlyIncome]]&lt;10000,3,4)))</f>
        <v>1</v>
      </c>
      <c r="AI639" s="1" t="str">
        <f>IF(HR_Data[[#This Row],[YearsAtCompany]]&lt;=2,"0-2 Yrs",IF(HR_Data[[#This Row],[YearsAtCompany]]&lt;=5,"3-5 Yrs",IF(HR_Data[[#This Row],[YearsAtCompany]]&lt;=10,"6-10 Yrs","10+ Yrs")))</f>
        <v>3-5 Yrs</v>
      </c>
      <c r="AJ639" s="1">
        <f>IF(HR_Data[[#This Row],[YearsAtCompany]]&lt;=2,1,IF(HR_Data[[#This Row],[YearsAtCompany]]&lt;=5,2,IF(HR_Data[[#This Row],[YearsAtCompany]]&lt;=10,3,4)))</f>
        <v>2</v>
      </c>
      <c r="AK639" s="1" t="str">
        <f>CHOOSE(HR_Data[[#This Row],[Education]],"Below College","College","Bachelor","Master","Doctor")</f>
        <v>Bachelor</v>
      </c>
      <c r="AL639" s="1" t="str">
        <f>CHOOSE(HR_Data[[#This Row],[JobSatisfaction]],"Low","Medium","High","Very High")</f>
        <v>Very High</v>
      </c>
      <c r="AM639" s="1" t="str">
        <f>CHOOSE(HR_Data[[#This Row],[EnvironmentSatisfaction]],"Low","Medium","High","Very High")</f>
        <v>Very High</v>
      </c>
      <c r="AN639" s="1" t="str">
        <f>CHOOSE(HR_Data[[#This Row],[WorkLifeBalance]],"Bad","Good","Better","Best")</f>
        <v>Better</v>
      </c>
      <c r="AO639" s="1" t="str">
        <f>IF(HR_Data[[#This Row],[PercentSalaryHike]]&lt;=13,"11-13%",IF(HR_Data[[#This Row],[PercentSalaryHike]]&lt;=16,"14-16%",IF(HR_Data[[#This Row],[PercentSalaryHike]]&lt;=19,"17-19%","20-25%")))</f>
        <v>11-13%</v>
      </c>
      <c r="AP639" s="1">
        <f>IF(HR_Data[[#This Row],[PercentSalaryHike]]&lt;=13,1,IF(HR_Data[[#This Row],[PercentSalaryHike]]&lt;=16,2,IF(HR_Data[[#This Row],[PercentSalaryHike]]&lt;=19,3,4)))</f>
        <v>1</v>
      </c>
      <c r="AQ639" s="1" t="str">
        <f>IF(HR_Data[[#This Row],[DistanceFromHome]]&lt;=5,"1 to 5",IF(HR_Data[[#This Row],[DistanceFromHome]]&lt;=10,"6 to 10",IF(HR_Data[[#This Row],[DistanceFromHome]]&lt;=20,"11 to 20","21 to 29")))</f>
        <v>1 to 5</v>
      </c>
      <c r="AR639" s="1">
        <f>IF(HR_Data[[#This Row],[DistanceFromHome]]&lt;=5,1,IF(HR_Data[[#This Row],[DistanceFromHome]]&lt;=10,2,IF(HR_Data[[#This Row],[DistanceFromHome]]&lt;=20,3,4)))</f>
        <v>1</v>
      </c>
      <c r="AS639" s="1" t="str">
        <f>IF(HR_Data[[#This Row],[TotalWorkingYears]]&lt;=5,"0-5 Yrs",IF(HR_Data[[#This Row],[TotalWorkingYears]]&lt;=10,"6-10 Yrs",IF(HR_Data[[#This Row],[TotalWorkingYears]]&lt;=20,"11-20 Yrs","20+ Yrs")))</f>
        <v>0-5 Yrs</v>
      </c>
      <c r="AT639" s="1">
        <f>IF(HR_Data[[#This Row],[TotalWorkingYears]]&lt;=5,1,IF(HR_Data[[#This Row],[TotalWorkingYears]]&lt;=10,2,IF(HR_Data[[#This Row],[TotalWorkingYears]]&lt;=20,3,4)))</f>
        <v>1</v>
      </c>
    </row>
    <row r="640" spans="1:46" x14ac:dyDescent="0.25">
      <c r="A640">
        <v>25</v>
      </c>
      <c r="B640" t="s">
        <v>36</v>
      </c>
      <c r="C640" t="s">
        <v>30</v>
      </c>
      <c r="D640" t="s">
        <v>31</v>
      </c>
      <c r="E640">
        <v>4</v>
      </c>
      <c r="F640">
        <v>1</v>
      </c>
      <c r="G640" t="s">
        <v>52</v>
      </c>
      <c r="H640">
        <v>885</v>
      </c>
      <c r="I640">
        <v>3</v>
      </c>
      <c r="J640" t="s">
        <v>39</v>
      </c>
      <c r="K640">
        <v>2</v>
      </c>
      <c r="L640">
        <v>2</v>
      </c>
      <c r="M640" t="s">
        <v>34</v>
      </c>
      <c r="N640">
        <v>1</v>
      </c>
      <c r="O640" t="s">
        <v>41</v>
      </c>
      <c r="P640">
        <v>4256</v>
      </c>
      <c r="Q640">
        <v>1</v>
      </c>
      <c r="R640" t="s">
        <v>36</v>
      </c>
      <c r="S640">
        <v>12</v>
      </c>
      <c r="T640">
        <v>3</v>
      </c>
      <c r="U640">
        <v>1</v>
      </c>
      <c r="V640">
        <v>0</v>
      </c>
      <c r="W640">
        <v>5</v>
      </c>
      <c r="X640">
        <v>1</v>
      </c>
      <c r="Y640">
        <v>4</v>
      </c>
      <c r="Z640">
        <v>5</v>
      </c>
      <c r="AA640">
        <v>2</v>
      </c>
      <c r="AB640">
        <v>0</v>
      </c>
      <c r="AC640">
        <v>3</v>
      </c>
      <c r="AD640">
        <f>IF(HR_Data[[#This Row],[Attrition]]="Yes",1,0)</f>
        <v>0</v>
      </c>
      <c r="AE640" t="str">
        <f>IF(HR_Data[[#This Row],[Age]]&lt;=25,"18-25",IF(HR_Data[[#This Row],[Age]]&lt;=35,"26-35",IF(HR_Data[[#This Row],[Age]]&lt;=45,"36-45",IF(HR_Data[[#This Row],[Age]]&lt;=55,"46-55","55+"))))</f>
        <v>18-25</v>
      </c>
      <c r="AF640">
        <f>IF(HR_Data[[#This Row],[Age]]&lt;=25,1,IF(HR_Data[[#This Row],[Age]]&lt;=35,2,IF(HR_Data[[#This Row],[Age]]&lt;=45,3,IF(HR_Data[[#This Row],[Age]]&lt;=55,4,5))))</f>
        <v>1</v>
      </c>
      <c r="AG640" s="1" t="str">
        <f>IF(HR_Data[[#This Row],[MonthlyIncome]]&lt;3000,"&lt;3K",IF(HR_Data[[#This Row],[MonthlyIncome]]&lt;6000,"3K-6K",IF(HR_Data[[#This Row],[MonthlyIncome]]&lt;10000,"6K-10K","10K+")))</f>
        <v>3K-6K</v>
      </c>
      <c r="AH640" s="1">
        <f>IF(HR_Data[[#This Row],[MonthlyIncome]]&lt;3000,1,IF(HR_Data[[#This Row],[MonthlyIncome]]&lt;6000,2,IF(HR_Data[[#This Row],[MonthlyIncome]]&lt;10000,3,4)))</f>
        <v>2</v>
      </c>
      <c r="AI640" s="1" t="str">
        <f>IF(HR_Data[[#This Row],[YearsAtCompany]]&lt;=2,"0-2 Yrs",IF(HR_Data[[#This Row],[YearsAtCompany]]&lt;=5,"3-5 Yrs",IF(HR_Data[[#This Row],[YearsAtCompany]]&lt;=10,"6-10 Yrs","10+ Yrs")))</f>
        <v>3-5 Yrs</v>
      </c>
      <c r="AJ640" s="1">
        <f>IF(HR_Data[[#This Row],[YearsAtCompany]]&lt;=2,1,IF(HR_Data[[#This Row],[YearsAtCompany]]&lt;=5,2,IF(HR_Data[[#This Row],[YearsAtCompany]]&lt;=10,3,4)))</f>
        <v>2</v>
      </c>
      <c r="AK640" s="1" t="str">
        <f>CHOOSE(HR_Data[[#This Row],[Education]],"Below College","College","Bachelor","Master","Doctor")</f>
        <v>Below College</v>
      </c>
      <c r="AL640" s="1" t="str">
        <f>CHOOSE(HR_Data[[#This Row],[JobSatisfaction]],"Low","Medium","High","Very High")</f>
        <v>Low</v>
      </c>
      <c r="AM640" s="1" t="str">
        <f>CHOOSE(HR_Data[[#This Row],[EnvironmentSatisfaction]],"Low","Medium","High","Very High")</f>
        <v>High</v>
      </c>
      <c r="AN640" s="1" t="str">
        <f>CHOOSE(HR_Data[[#This Row],[WorkLifeBalance]],"Bad","Good","Better","Best")</f>
        <v>Best</v>
      </c>
      <c r="AO640" s="1" t="str">
        <f>IF(HR_Data[[#This Row],[PercentSalaryHike]]&lt;=13,"11-13%",IF(HR_Data[[#This Row],[PercentSalaryHike]]&lt;=16,"14-16%",IF(HR_Data[[#This Row],[PercentSalaryHike]]&lt;=19,"17-19%","20-25%")))</f>
        <v>11-13%</v>
      </c>
      <c r="AP640" s="1">
        <f>IF(HR_Data[[#This Row],[PercentSalaryHike]]&lt;=13,1,IF(HR_Data[[#This Row],[PercentSalaryHike]]&lt;=16,2,IF(HR_Data[[#This Row],[PercentSalaryHike]]&lt;=19,3,4)))</f>
        <v>1</v>
      </c>
      <c r="AQ640" s="1" t="str">
        <f>IF(HR_Data[[#This Row],[DistanceFromHome]]&lt;=5,"1 to 5",IF(HR_Data[[#This Row],[DistanceFromHome]]&lt;=10,"6 to 10",IF(HR_Data[[#This Row],[DistanceFromHome]]&lt;=20,"11 to 20","21 to 29")))</f>
        <v>1 to 5</v>
      </c>
      <c r="AR640" s="1">
        <f>IF(HR_Data[[#This Row],[DistanceFromHome]]&lt;=5,1,IF(HR_Data[[#This Row],[DistanceFromHome]]&lt;=10,2,IF(HR_Data[[#This Row],[DistanceFromHome]]&lt;=20,3,4)))</f>
        <v>1</v>
      </c>
      <c r="AS640" s="1" t="str">
        <f>IF(HR_Data[[#This Row],[TotalWorkingYears]]&lt;=5,"0-5 Yrs",IF(HR_Data[[#This Row],[TotalWorkingYears]]&lt;=10,"6-10 Yrs",IF(HR_Data[[#This Row],[TotalWorkingYears]]&lt;=20,"11-20 Yrs","20+ Yrs")))</f>
        <v>0-5 Yrs</v>
      </c>
      <c r="AT640" s="1">
        <f>IF(HR_Data[[#This Row],[TotalWorkingYears]]&lt;=5,1,IF(HR_Data[[#This Row],[TotalWorkingYears]]&lt;=10,2,IF(HR_Data[[#This Row],[TotalWorkingYears]]&lt;=20,3,4)))</f>
        <v>1</v>
      </c>
    </row>
    <row r="641" spans="1:46" x14ac:dyDescent="0.25">
      <c r="A641">
        <v>49</v>
      </c>
      <c r="B641" t="s">
        <v>36</v>
      </c>
      <c r="C641" t="s">
        <v>30</v>
      </c>
      <c r="D641" t="s">
        <v>38</v>
      </c>
      <c r="E641">
        <v>1</v>
      </c>
      <c r="F641">
        <v>3</v>
      </c>
      <c r="G641" t="s">
        <v>53</v>
      </c>
      <c r="H641">
        <v>887</v>
      </c>
      <c r="I641">
        <v>3</v>
      </c>
      <c r="J641" t="s">
        <v>33</v>
      </c>
      <c r="K641">
        <v>3</v>
      </c>
      <c r="L641">
        <v>1</v>
      </c>
      <c r="M641" t="s">
        <v>40</v>
      </c>
      <c r="N641">
        <v>1</v>
      </c>
      <c r="O641" t="s">
        <v>41</v>
      </c>
      <c r="P641">
        <v>3580</v>
      </c>
      <c r="Q641">
        <v>2</v>
      </c>
      <c r="R641" t="s">
        <v>36</v>
      </c>
      <c r="S641">
        <v>16</v>
      </c>
      <c r="T641">
        <v>3</v>
      </c>
      <c r="U641">
        <v>2</v>
      </c>
      <c r="V641">
        <v>1</v>
      </c>
      <c r="W641">
        <v>7</v>
      </c>
      <c r="X641">
        <v>2</v>
      </c>
      <c r="Y641">
        <v>3</v>
      </c>
      <c r="Z641">
        <v>4</v>
      </c>
      <c r="AA641">
        <v>2</v>
      </c>
      <c r="AB641">
        <v>0</v>
      </c>
      <c r="AC641">
        <v>2</v>
      </c>
      <c r="AD641">
        <f>IF(HR_Data[[#This Row],[Attrition]]="Yes",1,0)</f>
        <v>0</v>
      </c>
      <c r="AE641" t="str">
        <f>IF(HR_Data[[#This Row],[Age]]&lt;=25,"18-25",IF(HR_Data[[#This Row],[Age]]&lt;=35,"26-35",IF(HR_Data[[#This Row],[Age]]&lt;=45,"36-45",IF(HR_Data[[#This Row],[Age]]&lt;=55,"46-55","55+"))))</f>
        <v>46-55</v>
      </c>
      <c r="AF641">
        <f>IF(HR_Data[[#This Row],[Age]]&lt;=25,1,IF(HR_Data[[#This Row],[Age]]&lt;=35,2,IF(HR_Data[[#This Row],[Age]]&lt;=45,3,IF(HR_Data[[#This Row],[Age]]&lt;=55,4,5))))</f>
        <v>4</v>
      </c>
      <c r="AG641" s="1" t="str">
        <f>IF(HR_Data[[#This Row],[MonthlyIncome]]&lt;3000,"&lt;3K",IF(HR_Data[[#This Row],[MonthlyIncome]]&lt;6000,"3K-6K",IF(HR_Data[[#This Row],[MonthlyIncome]]&lt;10000,"6K-10K","10K+")))</f>
        <v>3K-6K</v>
      </c>
      <c r="AH641" s="1">
        <f>IF(HR_Data[[#This Row],[MonthlyIncome]]&lt;3000,1,IF(HR_Data[[#This Row],[MonthlyIncome]]&lt;6000,2,IF(HR_Data[[#This Row],[MonthlyIncome]]&lt;10000,3,4)))</f>
        <v>2</v>
      </c>
      <c r="AI641" s="1" t="str">
        <f>IF(HR_Data[[#This Row],[YearsAtCompany]]&lt;=2,"0-2 Yrs",IF(HR_Data[[#This Row],[YearsAtCompany]]&lt;=5,"3-5 Yrs",IF(HR_Data[[#This Row],[YearsAtCompany]]&lt;=10,"6-10 Yrs","10+ Yrs")))</f>
        <v>3-5 Yrs</v>
      </c>
      <c r="AJ641" s="1">
        <f>IF(HR_Data[[#This Row],[YearsAtCompany]]&lt;=2,1,IF(HR_Data[[#This Row],[YearsAtCompany]]&lt;=5,2,IF(HR_Data[[#This Row],[YearsAtCompany]]&lt;=10,3,4)))</f>
        <v>2</v>
      </c>
      <c r="AK641" s="1" t="str">
        <f>CHOOSE(HR_Data[[#This Row],[Education]],"Below College","College","Bachelor","Master","Doctor")</f>
        <v>Bachelor</v>
      </c>
      <c r="AL641" s="1" t="str">
        <f>CHOOSE(HR_Data[[#This Row],[JobSatisfaction]],"Low","Medium","High","Very High")</f>
        <v>Low</v>
      </c>
      <c r="AM641" s="1" t="str">
        <f>CHOOSE(HR_Data[[#This Row],[EnvironmentSatisfaction]],"Low","Medium","High","Very High")</f>
        <v>High</v>
      </c>
      <c r="AN641" s="1" t="str">
        <f>CHOOSE(HR_Data[[#This Row],[WorkLifeBalance]],"Bad","Good","Better","Best")</f>
        <v>Better</v>
      </c>
      <c r="AO641" s="1" t="str">
        <f>IF(HR_Data[[#This Row],[PercentSalaryHike]]&lt;=13,"11-13%",IF(HR_Data[[#This Row],[PercentSalaryHike]]&lt;=16,"14-16%",IF(HR_Data[[#This Row],[PercentSalaryHike]]&lt;=19,"17-19%","20-25%")))</f>
        <v>14-16%</v>
      </c>
      <c r="AP641" s="1">
        <f>IF(HR_Data[[#This Row],[PercentSalaryHike]]&lt;=13,1,IF(HR_Data[[#This Row],[PercentSalaryHike]]&lt;=16,2,IF(HR_Data[[#This Row],[PercentSalaryHike]]&lt;=19,3,4)))</f>
        <v>2</v>
      </c>
      <c r="AQ641" s="1" t="str">
        <f>IF(HR_Data[[#This Row],[DistanceFromHome]]&lt;=5,"1 to 5",IF(HR_Data[[#This Row],[DistanceFromHome]]&lt;=10,"6 to 10",IF(HR_Data[[#This Row],[DistanceFromHome]]&lt;=20,"11 to 20","21 to 29")))</f>
        <v>1 to 5</v>
      </c>
      <c r="AR641" s="1">
        <f>IF(HR_Data[[#This Row],[DistanceFromHome]]&lt;=5,1,IF(HR_Data[[#This Row],[DistanceFromHome]]&lt;=10,2,IF(HR_Data[[#This Row],[DistanceFromHome]]&lt;=20,3,4)))</f>
        <v>1</v>
      </c>
      <c r="AS641" s="1" t="str">
        <f>IF(HR_Data[[#This Row],[TotalWorkingYears]]&lt;=5,"0-5 Yrs",IF(HR_Data[[#This Row],[TotalWorkingYears]]&lt;=10,"6-10 Yrs",IF(HR_Data[[#This Row],[TotalWorkingYears]]&lt;=20,"11-20 Yrs","20+ Yrs")))</f>
        <v>6-10 Yrs</v>
      </c>
      <c r="AT641" s="1">
        <f>IF(HR_Data[[#This Row],[TotalWorkingYears]]&lt;=5,1,IF(HR_Data[[#This Row],[TotalWorkingYears]]&lt;=10,2,IF(HR_Data[[#This Row],[TotalWorkingYears]]&lt;=20,3,4)))</f>
        <v>2</v>
      </c>
    </row>
    <row r="642" spans="1:46" x14ac:dyDescent="0.25">
      <c r="A642">
        <v>24</v>
      </c>
      <c r="B642" t="s">
        <v>36</v>
      </c>
      <c r="C642" t="s">
        <v>48</v>
      </c>
      <c r="D642" t="s">
        <v>38</v>
      </c>
      <c r="E642">
        <v>4</v>
      </c>
      <c r="F642">
        <v>1</v>
      </c>
      <c r="G642" t="s">
        <v>32</v>
      </c>
      <c r="H642">
        <v>888</v>
      </c>
      <c r="I642">
        <v>1</v>
      </c>
      <c r="J642" t="s">
        <v>39</v>
      </c>
      <c r="K642">
        <v>2</v>
      </c>
      <c r="L642">
        <v>1</v>
      </c>
      <c r="M642" t="s">
        <v>43</v>
      </c>
      <c r="N642">
        <v>4</v>
      </c>
      <c r="O642" t="s">
        <v>41</v>
      </c>
      <c r="P642">
        <v>3162</v>
      </c>
      <c r="Q642">
        <v>0</v>
      </c>
      <c r="R642" t="s">
        <v>36</v>
      </c>
      <c r="S642">
        <v>17</v>
      </c>
      <c r="T642">
        <v>3</v>
      </c>
      <c r="U642">
        <v>4</v>
      </c>
      <c r="V642">
        <v>0</v>
      </c>
      <c r="W642">
        <v>6</v>
      </c>
      <c r="X642">
        <v>2</v>
      </c>
      <c r="Y642">
        <v>2</v>
      </c>
      <c r="Z642">
        <v>5</v>
      </c>
      <c r="AA642">
        <v>2</v>
      </c>
      <c r="AB642">
        <v>3</v>
      </c>
      <c r="AC642">
        <v>4</v>
      </c>
      <c r="AD642">
        <f>IF(HR_Data[[#This Row],[Attrition]]="Yes",1,0)</f>
        <v>0</v>
      </c>
      <c r="AE642" t="str">
        <f>IF(HR_Data[[#This Row],[Age]]&lt;=25,"18-25",IF(HR_Data[[#This Row],[Age]]&lt;=35,"26-35",IF(HR_Data[[#This Row],[Age]]&lt;=45,"36-45",IF(HR_Data[[#This Row],[Age]]&lt;=55,"46-55","55+"))))</f>
        <v>18-25</v>
      </c>
      <c r="AF642">
        <f>IF(HR_Data[[#This Row],[Age]]&lt;=25,1,IF(HR_Data[[#This Row],[Age]]&lt;=35,2,IF(HR_Data[[#This Row],[Age]]&lt;=45,3,IF(HR_Data[[#This Row],[Age]]&lt;=55,4,5))))</f>
        <v>1</v>
      </c>
      <c r="AG642" s="1" t="str">
        <f>IF(HR_Data[[#This Row],[MonthlyIncome]]&lt;3000,"&lt;3K",IF(HR_Data[[#This Row],[MonthlyIncome]]&lt;6000,"3K-6K",IF(HR_Data[[#This Row],[MonthlyIncome]]&lt;10000,"6K-10K","10K+")))</f>
        <v>3K-6K</v>
      </c>
      <c r="AH642" s="1">
        <f>IF(HR_Data[[#This Row],[MonthlyIncome]]&lt;3000,1,IF(HR_Data[[#This Row],[MonthlyIncome]]&lt;6000,2,IF(HR_Data[[#This Row],[MonthlyIncome]]&lt;10000,3,4)))</f>
        <v>2</v>
      </c>
      <c r="AI642" s="1" t="str">
        <f>IF(HR_Data[[#This Row],[YearsAtCompany]]&lt;=2,"0-2 Yrs",IF(HR_Data[[#This Row],[YearsAtCompany]]&lt;=5,"3-5 Yrs",IF(HR_Data[[#This Row],[YearsAtCompany]]&lt;=10,"6-10 Yrs","10+ Yrs")))</f>
        <v>3-5 Yrs</v>
      </c>
      <c r="AJ642" s="1">
        <f>IF(HR_Data[[#This Row],[YearsAtCompany]]&lt;=2,1,IF(HR_Data[[#This Row],[YearsAtCompany]]&lt;=5,2,IF(HR_Data[[#This Row],[YearsAtCompany]]&lt;=10,3,4)))</f>
        <v>2</v>
      </c>
      <c r="AK642" s="1" t="str">
        <f>CHOOSE(HR_Data[[#This Row],[Education]],"Below College","College","Bachelor","Master","Doctor")</f>
        <v>Below College</v>
      </c>
      <c r="AL642" s="1" t="str">
        <f>CHOOSE(HR_Data[[#This Row],[JobSatisfaction]],"Low","Medium","High","Very High")</f>
        <v>Very High</v>
      </c>
      <c r="AM642" s="1" t="str">
        <f>CHOOSE(HR_Data[[#This Row],[EnvironmentSatisfaction]],"Low","Medium","High","Very High")</f>
        <v>Low</v>
      </c>
      <c r="AN642" s="1" t="str">
        <f>CHOOSE(HR_Data[[#This Row],[WorkLifeBalance]],"Bad","Good","Better","Best")</f>
        <v>Good</v>
      </c>
      <c r="AO642" s="1" t="str">
        <f>IF(HR_Data[[#This Row],[PercentSalaryHike]]&lt;=13,"11-13%",IF(HR_Data[[#This Row],[PercentSalaryHike]]&lt;=16,"14-16%",IF(HR_Data[[#This Row],[PercentSalaryHike]]&lt;=19,"17-19%","20-25%")))</f>
        <v>17-19%</v>
      </c>
      <c r="AP642" s="1">
        <f>IF(HR_Data[[#This Row],[PercentSalaryHike]]&lt;=13,1,IF(HR_Data[[#This Row],[PercentSalaryHike]]&lt;=16,2,IF(HR_Data[[#This Row],[PercentSalaryHike]]&lt;=19,3,4)))</f>
        <v>3</v>
      </c>
      <c r="AQ642" s="1" t="str">
        <f>IF(HR_Data[[#This Row],[DistanceFromHome]]&lt;=5,"1 to 5",IF(HR_Data[[#This Row],[DistanceFromHome]]&lt;=10,"6 to 10",IF(HR_Data[[#This Row],[DistanceFromHome]]&lt;=20,"11 to 20","21 to 29")))</f>
        <v>1 to 5</v>
      </c>
      <c r="AR642" s="1">
        <f>IF(HR_Data[[#This Row],[DistanceFromHome]]&lt;=5,1,IF(HR_Data[[#This Row],[DistanceFromHome]]&lt;=10,2,IF(HR_Data[[#This Row],[DistanceFromHome]]&lt;=20,3,4)))</f>
        <v>1</v>
      </c>
      <c r="AS642" s="1" t="str">
        <f>IF(HR_Data[[#This Row],[TotalWorkingYears]]&lt;=5,"0-5 Yrs",IF(HR_Data[[#This Row],[TotalWorkingYears]]&lt;=10,"6-10 Yrs",IF(HR_Data[[#This Row],[TotalWorkingYears]]&lt;=20,"11-20 Yrs","20+ Yrs")))</f>
        <v>6-10 Yrs</v>
      </c>
      <c r="AT642" s="1">
        <f>IF(HR_Data[[#This Row],[TotalWorkingYears]]&lt;=5,1,IF(HR_Data[[#This Row],[TotalWorkingYears]]&lt;=10,2,IF(HR_Data[[#This Row],[TotalWorkingYears]]&lt;=20,3,4)))</f>
        <v>2</v>
      </c>
    </row>
    <row r="643" spans="1:46" x14ac:dyDescent="0.25">
      <c r="A643">
        <v>32</v>
      </c>
      <c r="B643" t="s">
        <v>36</v>
      </c>
      <c r="C643" t="s">
        <v>37</v>
      </c>
      <c r="D643" t="s">
        <v>31</v>
      </c>
      <c r="E643">
        <v>5</v>
      </c>
      <c r="F643">
        <v>2</v>
      </c>
      <c r="G643" t="s">
        <v>32</v>
      </c>
      <c r="H643">
        <v>889</v>
      </c>
      <c r="I643">
        <v>2</v>
      </c>
      <c r="J643" t="s">
        <v>39</v>
      </c>
      <c r="K643">
        <v>3</v>
      </c>
      <c r="L643">
        <v>2</v>
      </c>
      <c r="M643" t="s">
        <v>34</v>
      </c>
      <c r="N643">
        <v>2</v>
      </c>
      <c r="O643" t="s">
        <v>41</v>
      </c>
      <c r="P643">
        <v>6524</v>
      </c>
      <c r="Q643">
        <v>1</v>
      </c>
      <c r="R643" t="s">
        <v>36</v>
      </c>
      <c r="S643">
        <v>14</v>
      </c>
      <c r="T643">
        <v>3</v>
      </c>
      <c r="U643">
        <v>4</v>
      </c>
      <c r="V643">
        <v>1</v>
      </c>
      <c r="W643">
        <v>10</v>
      </c>
      <c r="X643">
        <v>3</v>
      </c>
      <c r="Y643">
        <v>3</v>
      </c>
      <c r="Z643">
        <v>10</v>
      </c>
      <c r="AA643">
        <v>8</v>
      </c>
      <c r="AB643">
        <v>5</v>
      </c>
      <c r="AC643">
        <v>3</v>
      </c>
      <c r="AD643">
        <f>IF(HR_Data[[#This Row],[Attrition]]="Yes",1,0)</f>
        <v>0</v>
      </c>
      <c r="AE643" t="str">
        <f>IF(HR_Data[[#This Row],[Age]]&lt;=25,"18-25",IF(HR_Data[[#This Row],[Age]]&lt;=35,"26-35",IF(HR_Data[[#This Row],[Age]]&lt;=45,"36-45",IF(HR_Data[[#This Row],[Age]]&lt;=55,"46-55","55+"))))</f>
        <v>26-35</v>
      </c>
      <c r="AF643">
        <f>IF(HR_Data[[#This Row],[Age]]&lt;=25,1,IF(HR_Data[[#This Row],[Age]]&lt;=35,2,IF(HR_Data[[#This Row],[Age]]&lt;=45,3,IF(HR_Data[[#This Row],[Age]]&lt;=55,4,5))))</f>
        <v>2</v>
      </c>
      <c r="AG643" s="1" t="str">
        <f>IF(HR_Data[[#This Row],[MonthlyIncome]]&lt;3000,"&lt;3K",IF(HR_Data[[#This Row],[MonthlyIncome]]&lt;6000,"3K-6K",IF(HR_Data[[#This Row],[MonthlyIncome]]&lt;10000,"6K-10K","10K+")))</f>
        <v>6K-10K</v>
      </c>
      <c r="AH643" s="1">
        <f>IF(HR_Data[[#This Row],[MonthlyIncome]]&lt;3000,1,IF(HR_Data[[#This Row],[MonthlyIncome]]&lt;6000,2,IF(HR_Data[[#This Row],[MonthlyIncome]]&lt;10000,3,4)))</f>
        <v>3</v>
      </c>
      <c r="AI643" s="1" t="str">
        <f>IF(HR_Data[[#This Row],[YearsAtCompany]]&lt;=2,"0-2 Yrs",IF(HR_Data[[#This Row],[YearsAtCompany]]&lt;=5,"3-5 Yrs",IF(HR_Data[[#This Row],[YearsAtCompany]]&lt;=10,"6-10 Yrs","10+ Yrs")))</f>
        <v>6-10 Yrs</v>
      </c>
      <c r="AJ643" s="1">
        <f>IF(HR_Data[[#This Row],[YearsAtCompany]]&lt;=2,1,IF(HR_Data[[#This Row],[YearsAtCompany]]&lt;=5,2,IF(HR_Data[[#This Row],[YearsAtCompany]]&lt;=10,3,4)))</f>
        <v>3</v>
      </c>
      <c r="AK643" s="1" t="str">
        <f>CHOOSE(HR_Data[[#This Row],[Education]],"Below College","College","Bachelor","Master","Doctor")</f>
        <v>College</v>
      </c>
      <c r="AL643" s="1" t="str">
        <f>CHOOSE(HR_Data[[#This Row],[JobSatisfaction]],"Low","Medium","High","Very High")</f>
        <v>Medium</v>
      </c>
      <c r="AM643" s="1" t="str">
        <f>CHOOSE(HR_Data[[#This Row],[EnvironmentSatisfaction]],"Low","Medium","High","Very High")</f>
        <v>Medium</v>
      </c>
      <c r="AN643" s="1" t="str">
        <f>CHOOSE(HR_Data[[#This Row],[WorkLifeBalance]],"Bad","Good","Better","Best")</f>
        <v>Better</v>
      </c>
      <c r="AO643" s="1" t="str">
        <f>IF(HR_Data[[#This Row],[PercentSalaryHike]]&lt;=13,"11-13%",IF(HR_Data[[#This Row],[PercentSalaryHike]]&lt;=16,"14-16%",IF(HR_Data[[#This Row],[PercentSalaryHike]]&lt;=19,"17-19%","20-25%")))</f>
        <v>14-16%</v>
      </c>
      <c r="AP643" s="1">
        <f>IF(HR_Data[[#This Row],[PercentSalaryHike]]&lt;=13,1,IF(HR_Data[[#This Row],[PercentSalaryHike]]&lt;=16,2,IF(HR_Data[[#This Row],[PercentSalaryHike]]&lt;=19,3,4)))</f>
        <v>2</v>
      </c>
      <c r="AQ643" s="1" t="str">
        <f>IF(HR_Data[[#This Row],[DistanceFromHome]]&lt;=5,"1 to 5",IF(HR_Data[[#This Row],[DistanceFromHome]]&lt;=10,"6 to 10",IF(HR_Data[[#This Row],[DistanceFromHome]]&lt;=20,"11 to 20","21 to 29")))</f>
        <v>1 to 5</v>
      </c>
      <c r="AR643" s="1">
        <f>IF(HR_Data[[#This Row],[DistanceFromHome]]&lt;=5,1,IF(HR_Data[[#This Row],[DistanceFromHome]]&lt;=10,2,IF(HR_Data[[#This Row],[DistanceFromHome]]&lt;=20,3,4)))</f>
        <v>1</v>
      </c>
      <c r="AS643" s="1" t="str">
        <f>IF(HR_Data[[#This Row],[TotalWorkingYears]]&lt;=5,"0-5 Yrs",IF(HR_Data[[#This Row],[TotalWorkingYears]]&lt;=10,"6-10 Yrs",IF(HR_Data[[#This Row],[TotalWorkingYears]]&lt;=20,"11-20 Yrs","20+ Yrs")))</f>
        <v>6-10 Yrs</v>
      </c>
      <c r="AT643" s="1">
        <f>IF(HR_Data[[#This Row],[TotalWorkingYears]]&lt;=5,1,IF(HR_Data[[#This Row],[TotalWorkingYears]]&lt;=10,2,IF(HR_Data[[#This Row],[TotalWorkingYears]]&lt;=20,3,4)))</f>
        <v>2</v>
      </c>
    </row>
    <row r="644" spans="1:46" x14ac:dyDescent="0.25">
      <c r="A644">
        <v>38</v>
      </c>
      <c r="B644" t="s">
        <v>36</v>
      </c>
      <c r="C644" t="s">
        <v>30</v>
      </c>
      <c r="D644" t="s">
        <v>31</v>
      </c>
      <c r="E644">
        <v>9</v>
      </c>
      <c r="F644">
        <v>3</v>
      </c>
      <c r="G644" t="s">
        <v>52</v>
      </c>
      <c r="H644">
        <v>893</v>
      </c>
      <c r="I644">
        <v>2</v>
      </c>
      <c r="J644" t="s">
        <v>39</v>
      </c>
      <c r="K644">
        <v>2</v>
      </c>
      <c r="L644">
        <v>1</v>
      </c>
      <c r="M644" t="s">
        <v>50</v>
      </c>
      <c r="N644">
        <v>2</v>
      </c>
      <c r="O644" t="s">
        <v>41</v>
      </c>
      <c r="P644">
        <v>2899</v>
      </c>
      <c r="Q644">
        <v>0</v>
      </c>
      <c r="R644" t="s">
        <v>36</v>
      </c>
      <c r="S644">
        <v>19</v>
      </c>
      <c r="T644">
        <v>3</v>
      </c>
      <c r="U644">
        <v>4</v>
      </c>
      <c r="V644">
        <v>1</v>
      </c>
      <c r="W644">
        <v>3</v>
      </c>
      <c r="X644">
        <v>3</v>
      </c>
      <c r="Y644">
        <v>3</v>
      </c>
      <c r="Z644">
        <v>2</v>
      </c>
      <c r="AA644">
        <v>2</v>
      </c>
      <c r="AB644">
        <v>1</v>
      </c>
      <c r="AC644">
        <v>2</v>
      </c>
      <c r="AD644">
        <f>IF(HR_Data[[#This Row],[Attrition]]="Yes",1,0)</f>
        <v>0</v>
      </c>
      <c r="AE644" t="str">
        <f>IF(HR_Data[[#This Row],[Age]]&lt;=25,"18-25",IF(HR_Data[[#This Row],[Age]]&lt;=35,"26-35",IF(HR_Data[[#This Row],[Age]]&lt;=45,"36-45",IF(HR_Data[[#This Row],[Age]]&lt;=55,"46-55","55+"))))</f>
        <v>36-45</v>
      </c>
      <c r="AF644">
        <f>IF(HR_Data[[#This Row],[Age]]&lt;=25,1,IF(HR_Data[[#This Row],[Age]]&lt;=35,2,IF(HR_Data[[#This Row],[Age]]&lt;=45,3,IF(HR_Data[[#This Row],[Age]]&lt;=55,4,5))))</f>
        <v>3</v>
      </c>
      <c r="AG644" s="1" t="str">
        <f>IF(HR_Data[[#This Row],[MonthlyIncome]]&lt;3000,"&lt;3K",IF(HR_Data[[#This Row],[MonthlyIncome]]&lt;6000,"3K-6K",IF(HR_Data[[#This Row],[MonthlyIncome]]&lt;10000,"6K-10K","10K+")))</f>
        <v>&lt;3K</v>
      </c>
      <c r="AH644" s="1">
        <f>IF(HR_Data[[#This Row],[MonthlyIncome]]&lt;3000,1,IF(HR_Data[[#This Row],[MonthlyIncome]]&lt;6000,2,IF(HR_Data[[#This Row],[MonthlyIncome]]&lt;10000,3,4)))</f>
        <v>1</v>
      </c>
      <c r="AI644" s="1" t="str">
        <f>IF(HR_Data[[#This Row],[YearsAtCompany]]&lt;=2,"0-2 Yrs",IF(HR_Data[[#This Row],[YearsAtCompany]]&lt;=5,"3-5 Yrs",IF(HR_Data[[#This Row],[YearsAtCompany]]&lt;=10,"6-10 Yrs","10+ Yrs")))</f>
        <v>0-2 Yrs</v>
      </c>
      <c r="AJ644" s="1">
        <f>IF(HR_Data[[#This Row],[YearsAtCompany]]&lt;=2,1,IF(HR_Data[[#This Row],[YearsAtCompany]]&lt;=5,2,IF(HR_Data[[#This Row],[YearsAtCompany]]&lt;=10,3,4)))</f>
        <v>1</v>
      </c>
      <c r="AK644" s="1" t="str">
        <f>CHOOSE(HR_Data[[#This Row],[Education]],"Below College","College","Bachelor","Master","Doctor")</f>
        <v>Bachelor</v>
      </c>
      <c r="AL644" s="1" t="str">
        <f>CHOOSE(HR_Data[[#This Row],[JobSatisfaction]],"Low","Medium","High","Very High")</f>
        <v>Medium</v>
      </c>
      <c r="AM644" s="1" t="str">
        <f>CHOOSE(HR_Data[[#This Row],[EnvironmentSatisfaction]],"Low","Medium","High","Very High")</f>
        <v>Medium</v>
      </c>
      <c r="AN644" s="1" t="str">
        <f>CHOOSE(HR_Data[[#This Row],[WorkLifeBalance]],"Bad","Good","Better","Best")</f>
        <v>Better</v>
      </c>
      <c r="AO644" s="1" t="str">
        <f>IF(HR_Data[[#This Row],[PercentSalaryHike]]&lt;=13,"11-13%",IF(HR_Data[[#This Row],[PercentSalaryHike]]&lt;=16,"14-16%",IF(HR_Data[[#This Row],[PercentSalaryHike]]&lt;=19,"17-19%","20-25%")))</f>
        <v>17-19%</v>
      </c>
      <c r="AP644" s="1">
        <f>IF(HR_Data[[#This Row],[PercentSalaryHike]]&lt;=13,1,IF(HR_Data[[#This Row],[PercentSalaryHike]]&lt;=16,2,IF(HR_Data[[#This Row],[PercentSalaryHike]]&lt;=19,3,4)))</f>
        <v>3</v>
      </c>
      <c r="AQ644" s="1" t="str">
        <f>IF(HR_Data[[#This Row],[DistanceFromHome]]&lt;=5,"1 to 5",IF(HR_Data[[#This Row],[DistanceFromHome]]&lt;=10,"6 to 10",IF(HR_Data[[#This Row],[DistanceFromHome]]&lt;=20,"11 to 20","21 to 29")))</f>
        <v>6 to 10</v>
      </c>
      <c r="AR644" s="1">
        <f>IF(HR_Data[[#This Row],[DistanceFromHome]]&lt;=5,1,IF(HR_Data[[#This Row],[DistanceFromHome]]&lt;=10,2,IF(HR_Data[[#This Row],[DistanceFromHome]]&lt;=20,3,4)))</f>
        <v>2</v>
      </c>
      <c r="AS644" s="1" t="str">
        <f>IF(HR_Data[[#This Row],[TotalWorkingYears]]&lt;=5,"0-5 Yrs",IF(HR_Data[[#This Row],[TotalWorkingYears]]&lt;=10,"6-10 Yrs",IF(HR_Data[[#This Row],[TotalWorkingYears]]&lt;=20,"11-20 Yrs","20+ Yrs")))</f>
        <v>0-5 Yrs</v>
      </c>
      <c r="AT644" s="1">
        <f>IF(HR_Data[[#This Row],[TotalWorkingYears]]&lt;=5,1,IF(HR_Data[[#This Row],[TotalWorkingYears]]&lt;=10,2,IF(HR_Data[[#This Row],[TotalWorkingYears]]&lt;=20,3,4)))</f>
        <v>1</v>
      </c>
    </row>
    <row r="645" spans="1:46" x14ac:dyDescent="0.25">
      <c r="A645">
        <v>42</v>
      </c>
      <c r="B645" t="s">
        <v>36</v>
      </c>
      <c r="C645" t="s">
        <v>30</v>
      </c>
      <c r="D645" t="s">
        <v>38</v>
      </c>
      <c r="E645">
        <v>3</v>
      </c>
      <c r="F645">
        <v>3</v>
      </c>
      <c r="G645" t="s">
        <v>32</v>
      </c>
      <c r="H645">
        <v>894</v>
      </c>
      <c r="I645">
        <v>3</v>
      </c>
      <c r="J645" t="s">
        <v>33</v>
      </c>
      <c r="K645">
        <v>4</v>
      </c>
      <c r="L645">
        <v>2</v>
      </c>
      <c r="M645" t="s">
        <v>43</v>
      </c>
      <c r="N645">
        <v>4</v>
      </c>
      <c r="O645" t="s">
        <v>41</v>
      </c>
      <c r="P645">
        <v>5231</v>
      </c>
      <c r="Q645">
        <v>2</v>
      </c>
      <c r="R645" t="s">
        <v>29</v>
      </c>
      <c r="S645">
        <v>13</v>
      </c>
      <c r="T645">
        <v>3</v>
      </c>
      <c r="U645">
        <v>2</v>
      </c>
      <c r="V645">
        <v>1</v>
      </c>
      <c r="W645">
        <v>17</v>
      </c>
      <c r="X645">
        <v>1</v>
      </c>
      <c r="Y645">
        <v>2</v>
      </c>
      <c r="Z645">
        <v>5</v>
      </c>
      <c r="AA645">
        <v>3</v>
      </c>
      <c r="AB645">
        <v>1</v>
      </c>
      <c r="AC645">
        <v>3</v>
      </c>
      <c r="AD645">
        <f>IF(HR_Data[[#This Row],[Attrition]]="Yes",1,0)</f>
        <v>0</v>
      </c>
      <c r="AE645" t="str">
        <f>IF(HR_Data[[#This Row],[Age]]&lt;=25,"18-25",IF(HR_Data[[#This Row],[Age]]&lt;=35,"26-35",IF(HR_Data[[#This Row],[Age]]&lt;=45,"36-45",IF(HR_Data[[#This Row],[Age]]&lt;=55,"46-55","55+"))))</f>
        <v>36-45</v>
      </c>
      <c r="AF645">
        <f>IF(HR_Data[[#This Row],[Age]]&lt;=25,1,IF(HR_Data[[#This Row],[Age]]&lt;=35,2,IF(HR_Data[[#This Row],[Age]]&lt;=45,3,IF(HR_Data[[#This Row],[Age]]&lt;=55,4,5))))</f>
        <v>3</v>
      </c>
      <c r="AG645" s="1" t="str">
        <f>IF(HR_Data[[#This Row],[MonthlyIncome]]&lt;3000,"&lt;3K",IF(HR_Data[[#This Row],[MonthlyIncome]]&lt;6000,"3K-6K",IF(HR_Data[[#This Row],[MonthlyIncome]]&lt;10000,"6K-10K","10K+")))</f>
        <v>3K-6K</v>
      </c>
      <c r="AH645" s="1">
        <f>IF(HR_Data[[#This Row],[MonthlyIncome]]&lt;3000,1,IF(HR_Data[[#This Row],[MonthlyIncome]]&lt;6000,2,IF(HR_Data[[#This Row],[MonthlyIncome]]&lt;10000,3,4)))</f>
        <v>2</v>
      </c>
      <c r="AI645" s="1" t="str">
        <f>IF(HR_Data[[#This Row],[YearsAtCompany]]&lt;=2,"0-2 Yrs",IF(HR_Data[[#This Row],[YearsAtCompany]]&lt;=5,"3-5 Yrs",IF(HR_Data[[#This Row],[YearsAtCompany]]&lt;=10,"6-10 Yrs","10+ Yrs")))</f>
        <v>3-5 Yrs</v>
      </c>
      <c r="AJ645" s="1">
        <f>IF(HR_Data[[#This Row],[YearsAtCompany]]&lt;=2,1,IF(HR_Data[[#This Row],[YearsAtCompany]]&lt;=5,2,IF(HR_Data[[#This Row],[YearsAtCompany]]&lt;=10,3,4)))</f>
        <v>2</v>
      </c>
      <c r="AK645" s="1" t="str">
        <f>CHOOSE(HR_Data[[#This Row],[Education]],"Below College","College","Bachelor","Master","Doctor")</f>
        <v>Bachelor</v>
      </c>
      <c r="AL645" s="1" t="str">
        <f>CHOOSE(HR_Data[[#This Row],[JobSatisfaction]],"Low","Medium","High","Very High")</f>
        <v>Very High</v>
      </c>
      <c r="AM645" s="1" t="str">
        <f>CHOOSE(HR_Data[[#This Row],[EnvironmentSatisfaction]],"Low","Medium","High","Very High")</f>
        <v>High</v>
      </c>
      <c r="AN645" s="1" t="str">
        <f>CHOOSE(HR_Data[[#This Row],[WorkLifeBalance]],"Bad","Good","Better","Best")</f>
        <v>Good</v>
      </c>
      <c r="AO645" s="1" t="str">
        <f>IF(HR_Data[[#This Row],[PercentSalaryHike]]&lt;=13,"11-13%",IF(HR_Data[[#This Row],[PercentSalaryHike]]&lt;=16,"14-16%",IF(HR_Data[[#This Row],[PercentSalaryHike]]&lt;=19,"17-19%","20-25%")))</f>
        <v>11-13%</v>
      </c>
      <c r="AP645" s="1">
        <f>IF(HR_Data[[#This Row],[PercentSalaryHike]]&lt;=13,1,IF(HR_Data[[#This Row],[PercentSalaryHike]]&lt;=16,2,IF(HR_Data[[#This Row],[PercentSalaryHike]]&lt;=19,3,4)))</f>
        <v>1</v>
      </c>
      <c r="AQ645" s="1" t="str">
        <f>IF(HR_Data[[#This Row],[DistanceFromHome]]&lt;=5,"1 to 5",IF(HR_Data[[#This Row],[DistanceFromHome]]&lt;=10,"6 to 10",IF(HR_Data[[#This Row],[DistanceFromHome]]&lt;=20,"11 to 20","21 to 29")))</f>
        <v>1 to 5</v>
      </c>
      <c r="AR645" s="1">
        <f>IF(HR_Data[[#This Row],[DistanceFromHome]]&lt;=5,1,IF(HR_Data[[#This Row],[DistanceFromHome]]&lt;=10,2,IF(HR_Data[[#This Row],[DistanceFromHome]]&lt;=20,3,4)))</f>
        <v>1</v>
      </c>
      <c r="AS645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645" s="1">
        <f>IF(HR_Data[[#This Row],[TotalWorkingYears]]&lt;=5,1,IF(HR_Data[[#This Row],[TotalWorkingYears]]&lt;=10,2,IF(HR_Data[[#This Row],[TotalWorkingYears]]&lt;=20,3,4)))</f>
        <v>3</v>
      </c>
    </row>
    <row r="646" spans="1:46" x14ac:dyDescent="0.25">
      <c r="A646">
        <v>31</v>
      </c>
      <c r="B646" t="s">
        <v>36</v>
      </c>
      <c r="C646" t="s">
        <v>30</v>
      </c>
      <c r="D646" t="s">
        <v>38</v>
      </c>
      <c r="E646">
        <v>11</v>
      </c>
      <c r="F646">
        <v>4</v>
      </c>
      <c r="G646" t="s">
        <v>32</v>
      </c>
      <c r="H646">
        <v>895</v>
      </c>
      <c r="I646">
        <v>4</v>
      </c>
      <c r="J646" t="s">
        <v>39</v>
      </c>
      <c r="K646">
        <v>3</v>
      </c>
      <c r="L646">
        <v>1</v>
      </c>
      <c r="M646" t="s">
        <v>40</v>
      </c>
      <c r="N646">
        <v>4</v>
      </c>
      <c r="O646" t="s">
        <v>41</v>
      </c>
      <c r="P646">
        <v>2356</v>
      </c>
      <c r="Q646">
        <v>3</v>
      </c>
      <c r="R646" t="s">
        <v>29</v>
      </c>
      <c r="S646">
        <v>19</v>
      </c>
      <c r="T646">
        <v>3</v>
      </c>
      <c r="U646">
        <v>2</v>
      </c>
      <c r="V646">
        <v>1</v>
      </c>
      <c r="W646">
        <v>8</v>
      </c>
      <c r="X646">
        <v>2</v>
      </c>
      <c r="Y646">
        <v>3</v>
      </c>
      <c r="Z646">
        <v>6</v>
      </c>
      <c r="AA646">
        <v>4</v>
      </c>
      <c r="AB646">
        <v>0</v>
      </c>
      <c r="AC646">
        <v>2</v>
      </c>
      <c r="AD646">
        <f>IF(HR_Data[[#This Row],[Attrition]]="Yes",1,0)</f>
        <v>0</v>
      </c>
      <c r="AE646" t="str">
        <f>IF(HR_Data[[#This Row],[Age]]&lt;=25,"18-25",IF(HR_Data[[#This Row],[Age]]&lt;=35,"26-35",IF(HR_Data[[#This Row],[Age]]&lt;=45,"36-45",IF(HR_Data[[#This Row],[Age]]&lt;=55,"46-55","55+"))))</f>
        <v>26-35</v>
      </c>
      <c r="AF646">
        <f>IF(HR_Data[[#This Row],[Age]]&lt;=25,1,IF(HR_Data[[#This Row],[Age]]&lt;=35,2,IF(HR_Data[[#This Row],[Age]]&lt;=45,3,IF(HR_Data[[#This Row],[Age]]&lt;=55,4,5))))</f>
        <v>2</v>
      </c>
      <c r="AG646" s="1" t="str">
        <f>IF(HR_Data[[#This Row],[MonthlyIncome]]&lt;3000,"&lt;3K",IF(HR_Data[[#This Row],[MonthlyIncome]]&lt;6000,"3K-6K",IF(HR_Data[[#This Row],[MonthlyIncome]]&lt;10000,"6K-10K","10K+")))</f>
        <v>&lt;3K</v>
      </c>
      <c r="AH646" s="1">
        <f>IF(HR_Data[[#This Row],[MonthlyIncome]]&lt;3000,1,IF(HR_Data[[#This Row],[MonthlyIncome]]&lt;6000,2,IF(HR_Data[[#This Row],[MonthlyIncome]]&lt;10000,3,4)))</f>
        <v>1</v>
      </c>
      <c r="AI646" s="1" t="str">
        <f>IF(HR_Data[[#This Row],[YearsAtCompany]]&lt;=2,"0-2 Yrs",IF(HR_Data[[#This Row],[YearsAtCompany]]&lt;=5,"3-5 Yrs",IF(HR_Data[[#This Row],[YearsAtCompany]]&lt;=10,"6-10 Yrs","10+ Yrs")))</f>
        <v>6-10 Yrs</v>
      </c>
      <c r="AJ646" s="1">
        <f>IF(HR_Data[[#This Row],[YearsAtCompany]]&lt;=2,1,IF(HR_Data[[#This Row],[YearsAtCompany]]&lt;=5,2,IF(HR_Data[[#This Row],[YearsAtCompany]]&lt;=10,3,4)))</f>
        <v>3</v>
      </c>
      <c r="AK646" s="1" t="str">
        <f>CHOOSE(HR_Data[[#This Row],[Education]],"Below College","College","Bachelor","Master","Doctor")</f>
        <v>Master</v>
      </c>
      <c r="AL646" s="1" t="str">
        <f>CHOOSE(HR_Data[[#This Row],[JobSatisfaction]],"Low","Medium","High","Very High")</f>
        <v>Very High</v>
      </c>
      <c r="AM646" s="1" t="str">
        <f>CHOOSE(HR_Data[[#This Row],[EnvironmentSatisfaction]],"Low","Medium","High","Very High")</f>
        <v>Very High</v>
      </c>
      <c r="AN646" s="1" t="str">
        <f>CHOOSE(HR_Data[[#This Row],[WorkLifeBalance]],"Bad","Good","Better","Best")</f>
        <v>Better</v>
      </c>
      <c r="AO646" s="1" t="str">
        <f>IF(HR_Data[[#This Row],[PercentSalaryHike]]&lt;=13,"11-13%",IF(HR_Data[[#This Row],[PercentSalaryHike]]&lt;=16,"14-16%",IF(HR_Data[[#This Row],[PercentSalaryHike]]&lt;=19,"17-19%","20-25%")))</f>
        <v>17-19%</v>
      </c>
      <c r="AP646" s="1">
        <f>IF(HR_Data[[#This Row],[PercentSalaryHike]]&lt;=13,1,IF(HR_Data[[#This Row],[PercentSalaryHike]]&lt;=16,2,IF(HR_Data[[#This Row],[PercentSalaryHike]]&lt;=19,3,4)))</f>
        <v>3</v>
      </c>
      <c r="AQ646" s="1" t="str">
        <f>IF(HR_Data[[#This Row],[DistanceFromHome]]&lt;=5,"1 to 5",IF(HR_Data[[#This Row],[DistanceFromHome]]&lt;=10,"6 to 10",IF(HR_Data[[#This Row],[DistanceFromHome]]&lt;=20,"11 to 20","21 to 29")))</f>
        <v>11 to 20</v>
      </c>
      <c r="AR646" s="1">
        <f>IF(HR_Data[[#This Row],[DistanceFromHome]]&lt;=5,1,IF(HR_Data[[#This Row],[DistanceFromHome]]&lt;=10,2,IF(HR_Data[[#This Row],[DistanceFromHome]]&lt;=20,3,4)))</f>
        <v>3</v>
      </c>
      <c r="AS646" s="1" t="str">
        <f>IF(HR_Data[[#This Row],[TotalWorkingYears]]&lt;=5,"0-5 Yrs",IF(HR_Data[[#This Row],[TotalWorkingYears]]&lt;=10,"6-10 Yrs",IF(HR_Data[[#This Row],[TotalWorkingYears]]&lt;=20,"11-20 Yrs","20+ Yrs")))</f>
        <v>6-10 Yrs</v>
      </c>
      <c r="AT646" s="1">
        <f>IF(HR_Data[[#This Row],[TotalWorkingYears]]&lt;=5,1,IF(HR_Data[[#This Row],[TotalWorkingYears]]&lt;=10,2,IF(HR_Data[[#This Row],[TotalWorkingYears]]&lt;=20,3,4)))</f>
        <v>2</v>
      </c>
    </row>
    <row r="647" spans="1:46" x14ac:dyDescent="0.25">
      <c r="A647">
        <v>29</v>
      </c>
      <c r="B647" t="s">
        <v>29</v>
      </c>
      <c r="C647" t="s">
        <v>30</v>
      </c>
      <c r="D647" t="s">
        <v>31</v>
      </c>
      <c r="E647">
        <v>1</v>
      </c>
      <c r="F647">
        <v>3</v>
      </c>
      <c r="G647" t="s">
        <v>44</v>
      </c>
      <c r="H647">
        <v>896</v>
      </c>
      <c r="I647">
        <v>2</v>
      </c>
      <c r="J647" t="s">
        <v>33</v>
      </c>
      <c r="K647">
        <v>2</v>
      </c>
      <c r="L647">
        <v>1</v>
      </c>
      <c r="M647" t="s">
        <v>50</v>
      </c>
      <c r="N647">
        <v>3</v>
      </c>
      <c r="O647" t="s">
        <v>45</v>
      </c>
      <c r="P647">
        <v>2800</v>
      </c>
      <c r="Q647">
        <v>6</v>
      </c>
      <c r="R647" t="s">
        <v>29</v>
      </c>
      <c r="S647">
        <v>19</v>
      </c>
      <c r="T647">
        <v>3</v>
      </c>
      <c r="U647">
        <v>3</v>
      </c>
      <c r="V647">
        <v>3</v>
      </c>
      <c r="W647">
        <v>5</v>
      </c>
      <c r="X647">
        <v>3</v>
      </c>
      <c r="Y647">
        <v>3</v>
      </c>
      <c r="Z647">
        <v>3</v>
      </c>
      <c r="AA647">
        <v>2</v>
      </c>
      <c r="AB647">
        <v>0</v>
      </c>
      <c r="AC647">
        <v>2</v>
      </c>
      <c r="AD647">
        <f>IF(HR_Data[[#This Row],[Attrition]]="Yes",1,0)</f>
        <v>1</v>
      </c>
      <c r="AE647" t="str">
        <f>IF(HR_Data[[#This Row],[Age]]&lt;=25,"18-25",IF(HR_Data[[#This Row],[Age]]&lt;=35,"26-35",IF(HR_Data[[#This Row],[Age]]&lt;=45,"36-45",IF(HR_Data[[#This Row],[Age]]&lt;=55,"46-55","55+"))))</f>
        <v>26-35</v>
      </c>
      <c r="AF647">
        <f>IF(HR_Data[[#This Row],[Age]]&lt;=25,1,IF(HR_Data[[#This Row],[Age]]&lt;=35,2,IF(HR_Data[[#This Row],[Age]]&lt;=45,3,IF(HR_Data[[#This Row],[Age]]&lt;=55,4,5))))</f>
        <v>2</v>
      </c>
      <c r="AG647" s="1" t="str">
        <f>IF(HR_Data[[#This Row],[MonthlyIncome]]&lt;3000,"&lt;3K",IF(HR_Data[[#This Row],[MonthlyIncome]]&lt;6000,"3K-6K",IF(HR_Data[[#This Row],[MonthlyIncome]]&lt;10000,"6K-10K","10K+")))</f>
        <v>&lt;3K</v>
      </c>
      <c r="AH647" s="1">
        <f>IF(HR_Data[[#This Row],[MonthlyIncome]]&lt;3000,1,IF(HR_Data[[#This Row],[MonthlyIncome]]&lt;6000,2,IF(HR_Data[[#This Row],[MonthlyIncome]]&lt;10000,3,4)))</f>
        <v>1</v>
      </c>
      <c r="AI647" s="1" t="str">
        <f>IF(HR_Data[[#This Row],[YearsAtCompany]]&lt;=2,"0-2 Yrs",IF(HR_Data[[#This Row],[YearsAtCompany]]&lt;=5,"3-5 Yrs",IF(HR_Data[[#This Row],[YearsAtCompany]]&lt;=10,"6-10 Yrs","10+ Yrs")))</f>
        <v>3-5 Yrs</v>
      </c>
      <c r="AJ647" s="1">
        <f>IF(HR_Data[[#This Row],[YearsAtCompany]]&lt;=2,1,IF(HR_Data[[#This Row],[YearsAtCompany]]&lt;=5,2,IF(HR_Data[[#This Row],[YearsAtCompany]]&lt;=10,3,4)))</f>
        <v>2</v>
      </c>
      <c r="AK647" s="1" t="str">
        <f>CHOOSE(HR_Data[[#This Row],[Education]],"Below College","College","Bachelor","Master","Doctor")</f>
        <v>Bachelor</v>
      </c>
      <c r="AL647" s="1" t="str">
        <f>CHOOSE(HR_Data[[#This Row],[JobSatisfaction]],"Low","Medium","High","Very High")</f>
        <v>High</v>
      </c>
      <c r="AM647" s="1" t="str">
        <f>CHOOSE(HR_Data[[#This Row],[EnvironmentSatisfaction]],"Low","Medium","High","Very High")</f>
        <v>Medium</v>
      </c>
      <c r="AN647" s="1" t="str">
        <f>CHOOSE(HR_Data[[#This Row],[WorkLifeBalance]],"Bad","Good","Better","Best")</f>
        <v>Better</v>
      </c>
      <c r="AO647" s="1" t="str">
        <f>IF(HR_Data[[#This Row],[PercentSalaryHike]]&lt;=13,"11-13%",IF(HR_Data[[#This Row],[PercentSalaryHike]]&lt;=16,"14-16%",IF(HR_Data[[#This Row],[PercentSalaryHike]]&lt;=19,"17-19%","20-25%")))</f>
        <v>17-19%</v>
      </c>
      <c r="AP647" s="1">
        <f>IF(HR_Data[[#This Row],[PercentSalaryHike]]&lt;=13,1,IF(HR_Data[[#This Row],[PercentSalaryHike]]&lt;=16,2,IF(HR_Data[[#This Row],[PercentSalaryHike]]&lt;=19,3,4)))</f>
        <v>3</v>
      </c>
      <c r="AQ647" s="1" t="str">
        <f>IF(HR_Data[[#This Row],[DistanceFromHome]]&lt;=5,"1 to 5",IF(HR_Data[[#This Row],[DistanceFromHome]]&lt;=10,"6 to 10",IF(HR_Data[[#This Row],[DistanceFromHome]]&lt;=20,"11 to 20","21 to 29")))</f>
        <v>1 to 5</v>
      </c>
      <c r="AR647" s="1">
        <f>IF(HR_Data[[#This Row],[DistanceFromHome]]&lt;=5,1,IF(HR_Data[[#This Row],[DistanceFromHome]]&lt;=10,2,IF(HR_Data[[#This Row],[DistanceFromHome]]&lt;=20,3,4)))</f>
        <v>1</v>
      </c>
      <c r="AS647" s="1" t="str">
        <f>IF(HR_Data[[#This Row],[TotalWorkingYears]]&lt;=5,"0-5 Yrs",IF(HR_Data[[#This Row],[TotalWorkingYears]]&lt;=10,"6-10 Yrs",IF(HR_Data[[#This Row],[TotalWorkingYears]]&lt;=20,"11-20 Yrs","20+ Yrs")))</f>
        <v>0-5 Yrs</v>
      </c>
      <c r="AT647" s="1">
        <f>IF(HR_Data[[#This Row],[TotalWorkingYears]]&lt;=5,1,IF(HR_Data[[#This Row],[TotalWorkingYears]]&lt;=10,2,IF(HR_Data[[#This Row],[TotalWorkingYears]]&lt;=20,3,4)))</f>
        <v>1</v>
      </c>
    </row>
    <row r="648" spans="1:46" x14ac:dyDescent="0.25">
      <c r="A648">
        <v>53</v>
      </c>
      <c r="B648" t="s">
        <v>36</v>
      </c>
      <c r="C648" t="s">
        <v>30</v>
      </c>
      <c r="D648" t="s">
        <v>31</v>
      </c>
      <c r="E648">
        <v>8</v>
      </c>
      <c r="F648">
        <v>3</v>
      </c>
      <c r="G648" t="s">
        <v>52</v>
      </c>
      <c r="H648">
        <v>897</v>
      </c>
      <c r="I648">
        <v>1</v>
      </c>
      <c r="J648" t="s">
        <v>39</v>
      </c>
      <c r="K648">
        <v>3</v>
      </c>
      <c r="L648">
        <v>4</v>
      </c>
      <c r="M648" t="s">
        <v>34</v>
      </c>
      <c r="N648">
        <v>4</v>
      </c>
      <c r="O648" t="s">
        <v>41</v>
      </c>
      <c r="P648">
        <v>11836</v>
      </c>
      <c r="Q648">
        <v>5</v>
      </c>
      <c r="R648" t="s">
        <v>36</v>
      </c>
      <c r="S648">
        <v>14</v>
      </c>
      <c r="T648">
        <v>3</v>
      </c>
      <c r="U648">
        <v>3</v>
      </c>
      <c r="V648">
        <v>1</v>
      </c>
      <c r="W648">
        <v>28</v>
      </c>
      <c r="X648">
        <v>3</v>
      </c>
      <c r="Y648">
        <v>3</v>
      </c>
      <c r="Z648">
        <v>2</v>
      </c>
      <c r="AA648">
        <v>0</v>
      </c>
      <c r="AB648">
        <v>2</v>
      </c>
      <c r="AC648">
        <v>2</v>
      </c>
      <c r="AD648">
        <f>IF(HR_Data[[#This Row],[Attrition]]="Yes",1,0)</f>
        <v>0</v>
      </c>
      <c r="AE648" t="str">
        <f>IF(HR_Data[[#This Row],[Age]]&lt;=25,"18-25",IF(HR_Data[[#This Row],[Age]]&lt;=35,"26-35",IF(HR_Data[[#This Row],[Age]]&lt;=45,"36-45",IF(HR_Data[[#This Row],[Age]]&lt;=55,"46-55","55+"))))</f>
        <v>46-55</v>
      </c>
      <c r="AF648">
        <f>IF(HR_Data[[#This Row],[Age]]&lt;=25,1,IF(HR_Data[[#This Row],[Age]]&lt;=35,2,IF(HR_Data[[#This Row],[Age]]&lt;=45,3,IF(HR_Data[[#This Row],[Age]]&lt;=55,4,5))))</f>
        <v>4</v>
      </c>
      <c r="AG648" s="1" t="str">
        <f>IF(HR_Data[[#This Row],[MonthlyIncome]]&lt;3000,"&lt;3K",IF(HR_Data[[#This Row],[MonthlyIncome]]&lt;6000,"3K-6K",IF(HR_Data[[#This Row],[MonthlyIncome]]&lt;10000,"6K-10K","10K+")))</f>
        <v>10K+</v>
      </c>
      <c r="AH648" s="1">
        <f>IF(HR_Data[[#This Row],[MonthlyIncome]]&lt;3000,1,IF(HR_Data[[#This Row],[MonthlyIncome]]&lt;6000,2,IF(HR_Data[[#This Row],[MonthlyIncome]]&lt;10000,3,4)))</f>
        <v>4</v>
      </c>
      <c r="AI648" s="1" t="str">
        <f>IF(HR_Data[[#This Row],[YearsAtCompany]]&lt;=2,"0-2 Yrs",IF(HR_Data[[#This Row],[YearsAtCompany]]&lt;=5,"3-5 Yrs",IF(HR_Data[[#This Row],[YearsAtCompany]]&lt;=10,"6-10 Yrs","10+ Yrs")))</f>
        <v>0-2 Yrs</v>
      </c>
      <c r="AJ648" s="1">
        <f>IF(HR_Data[[#This Row],[YearsAtCompany]]&lt;=2,1,IF(HR_Data[[#This Row],[YearsAtCompany]]&lt;=5,2,IF(HR_Data[[#This Row],[YearsAtCompany]]&lt;=10,3,4)))</f>
        <v>1</v>
      </c>
      <c r="AK648" s="1" t="str">
        <f>CHOOSE(HR_Data[[#This Row],[Education]],"Below College","College","Bachelor","Master","Doctor")</f>
        <v>Bachelor</v>
      </c>
      <c r="AL648" s="1" t="str">
        <f>CHOOSE(HR_Data[[#This Row],[JobSatisfaction]],"Low","Medium","High","Very High")</f>
        <v>Very High</v>
      </c>
      <c r="AM648" s="1" t="str">
        <f>CHOOSE(HR_Data[[#This Row],[EnvironmentSatisfaction]],"Low","Medium","High","Very High")</f>
        <v>Low</v>
      </c>
      <c r="AN648" s="1" t="str">
        <f>CHOOSE(HR_Data[[#This Row],[WorkLifeBalance]],"Bad","Good","Better","Best")</f>
        <v>Better</v>
      </c>
      <c r="AO648" s="1" t="str">
        <f>IF(HR_Data[[#This Row],[PercentSalaryHike]]&lt;=13,"11-13%",IF(HR_Data[[#This Row],[PercentSalaryHike]]&lt;=16,"14-16%",IF(HR_Data[[#This Row],[PercentSalaryHike]]&lt;=19,"17-19%","20-25%")))</f>
        <v>14-16%</v>
      </c>
      <c r="AP648" s="1">
        <f>IF(HR_Data[[#This Row],[PercentSalaryHike]]&lt;=13,1,IF(HR_Data[[#This Row],[PercentSalaryHike]]&lt;=16,2,IF(HR_Data[[#This Row],[PercentSalaryHike]]&lt;=19,3,4)))</f>
        <v>2</v>
      </c>
      <c r="AQ648" s="1" t="str">
        <f>IF(HR_Data[[#This Row],[DistanceFromHome]]&lt;=5,"1 to 5",IF(HR_Data[[#This Row],[DistanceFromHome]]&lt;=10,"6 to 10",IF(HR_Data[[#This Row],[DistanceFromHome]]&lt;=20,"11 to 20","21 to 29")))</f>
        <v>6 to 10</v>
      </c>
      <c r="AR648" s="1">
        <f>IF(HR_Data[[#This Row],[DistanceFromHome]]&lt;=5,1,IF(HR_Data[[#This Row],[DistanceFromHome]]&lt;=10,2,IF(HR_Data[[#This Row],[DistanceFromHome]]&lt;=20,3,4)))</f>
        <v>2</v>
      </c>
      <c r="AS648" s="1" t="str">
        <f>IF(HR_Data[[#This Row],[TotalWorkingYears]]&lt;=5,"0-5 Yrs",IF(HR_Data[[#This Row],[TotalWorkingYears]]&lt;=10,"6-10 Yrs",IF(HR_Data[[#This Row],[TotalWorkingYears]]&lt;=20,"11-20 Yrs","20+ Yrs")))</f>
        <v>20+ Yrs</v>
      </c>
      <c r="AT648" s="1">
        <f>IF(HR_Data[[#This Row],[TotalWorkingYears]]&lt;=5,1,IF(HR_Data[[#This Row],[TotalWorkingYears]]&lt;=10,2,IF(HR_Data[[#This Row],[TotalWorkingYears]]&lt;=20,3,4)))</f>
        <v>4</v>
      </c>
    </row>
    <row r="649" spans="1:46" x14ac:dyDescent="0.25">
      <c r="A649">
        <v>35</v>
      </c>
      <c r="B649" t="s">
        <v>36</v>
      </c>
      <c r="C649" t="s">
        <v>30</v>
      </c>
      <c r="D649" t="s">
        <v>38</v>
      </c>
      <c r="E649">
        <v>25</v>
      </c>
      <c r="F649">
        <v>3</v>
      </c>
      <c r="G649" t="s">
        <v>53</v>
      </c>
      <c r="H649">
        <v>899</v>
      </c>
      <c r="I649">
        <v>4</v>
      </c>
      <c r="J649" t="s">
        <v>39</v>
      </c>
      <c r="K649">
        <v>2</v>
      </c>
      <c r="L649">
        <v>3</v>
      </c>
      <c r="M649" t="s">
        <v>46</v>
      </c>
      <c r="N649">
        <v>2</v>
      </c>
      <c r="O649" t="s">
        <v>41</v>
      </c>
      <c r="P649">
        <v>10903</v>
      </c>
      <c r="Q649">
        <v>3</v>
      </c>
      <c r="R649" t="s">
        <v>36</v>
      </c>
      <c r="S649">
        <v>16</v>
      </c>
      <c r="T649">
        <v>3</v>
      </c>
      <c r="U649">
        <v>1</v>
      </c>
      <c r="V649">
        <v>0</v>
      </c>
      <c r="W649">
        <v>16</v>
      </c>
      <c r="X649">
        <v>2</v>
      </c>
      <c r="Y649">
        <v>3</v>
      </c>
      <c r="Z649">
        <v>13</v>
      </c>
      <c r="AA649">
        <v>10</v>
      </c>
      <c r="AB649">
        <v>4</v>
      </c>
      <c r="AC649">
        <v>8</v>
      </c>
      <c r="AD649">
        <f>IF(HR_Data[[#This Row],[Attrition]]="Yes",1,0)</f>
        <v>0</v>
      </c>
      <c r="AE649" t="str">
        <f>IF(HR_Data[[#This Row],[Age]]&lt;=25,"18-25",IF(HR_Data[[#This Row],[Age]]&lt;=35,"26-35",IF(HR_Data[[#This Row],[Age]]&lt;=45,"36-45",IF(HR_Data[[#This Row],[Age]]&lt;=55,"46-55","55+"))))</f>
        <v>26-35</v>
      </c>
      <c r="AF649">
        <f>IF(HR_Data[[#This Row],[Age]]&lt;=25,1,IF(HR_Data[[#This Row],[Age]]&lt;=35,2,IF(HR_Data[[#This Row],[Age]]&lt;=45,3,IF(HR_Data[[#This Row],[Age]]&lt;=55,4,5))))</f>
        <v>2</v>
      </c>
      <c r="AG649" s="1" t="str">
        <f>IF(HR_Data[[#This Row],[MonthlyIncome]]&lt;3000,"&lt;3K",IF(HR_Data[[#This Row],[MonthlyIncome]]&lt;6000,"3K-6K",IF(HR_Data[[#This Row],[MonthlyIncome]]&lt;10000,"6K-10K","10K+")))</f>
        <v>10K+</v>
      </c>
      <c r="AH649" s="1">
        <f>IF(HR_Data[[#This Row],[MonthlyIncome]]&lt;3000,1,IF(HR_Data[[#This Row],[MonthlyIncome]]&lt;6000,2,IF(HR_Data[[#This Row],[MonthlyIncome]]&lt;10000,3,4)))</f>
        <v>4</v>
      </c>
      <c r="AI649" s="1" t="str">
        <f>IF(HR_Data[[#This Row],[YearsAtCompany]]&lt;=2,"0-2 Yrs",IF(HR_Data[[#This Row],[YearsAtCompany]]&lt;=5,"3-5 Yrs",IF(HR_Data[[#This Row],[YearsAtCompany]]&lt;=10,"6-10 Yrs","10+ Yrs")))</f>
        <v>10+ Yrs</v>
      </c>
      <c r="AJ649" s="1">
        <f>IF(HR_Data[[#This Row],[YearsAtCompany]]&lt;=2,1,IF(HR_Data[[#This Row],[YearsAtCompany]]&lt;=5,2,IF(HR_Data[[#This Row],[YearsAtCompany]]&lt;=10,3,4)))</f>
        <v>4</v>
      </c>
      <c r="AK649" s="1" t="str">
        <f>CHOOSE(HR_Data[[#This Row],[Education]],"Below College","College","Bachelor","Master","Doctor")</f>
        <v>Bachelor</v>
      </c>
      <c r="AL649" s="1" t="str">
        <f>CHOOSE(HR_Data[[#This Row],[JobSatisfaction]],"Low","Medium","High","Very High")</f>
        <v>Medium</v>
      </c>
      <c r="AM649" s="1" t="str">
        <f>CHOOSE(HR_Data[[#This Row],[EnvironmentSatisfaction]],"Low","Medium","High","Very High")</f>
        <v>Very High</v>
      </c>
      <c r="AN649" s="1" t="str">
        <f>CHOOSE(HR_Data[[#This Row],[WorkLifeBalance]],"Bad","Good","Better","Best")</f>
        <v>Better</v>
      </c>
      <c r="AO649" s="1" t="str">
        <f>IF(HR_Data[[#This Row],[PercentSalaryHike]]&lt;=13,"11-13%",IF(HR_Data[[#This Row],[PercentSalaryHike]]&lt;=16,"14-16%",IF(HR_Data[[#This Row],[PercentSalaryHike]]&lt;=19,"17-19%","20-25%")))</f>
        <v>14-16%</v>
      </c>
      <c r="AP649" s="1">
        <f>IF(HR_Data[[#This Row],[PercentSalaryHike]]&lt;=13,1,IF(HR_Data[[#This Row],[PercentSalaryHike]]&lt;=16,2,IF(HR_Data[[#This Row],[PercentSalaryHike]]&lt;=19,3,4)))</f>
        <v>2</v>
      </c>
      <c r="AQ649" s="1" t="str">
        <f>IF(HR_Data[[#This Row],[DistanceFromHome]]&lt;=5,"1 to 5",IF(HR_Data[[#This Row],[DistanceFromHome]]&lt;=10,"6 to 10",IF(HR_Data[[#This Row],[DistanceFromHome]]&lt;=20,"11 to 20","21 to 29")))</f>
        <v>21 to 29</v>
      </c>
      <c r="AR649" s="1">
        <f>IF(HR_Data[[#This Row],[DistanceFromHome]]&lt;=5,1,IF(HR_Data[[#This Row],[DistanceFromHome]]&lt;=10,2,IF(HR_Data[[#This Row],[DistanceFromHome]]&lt;=20,3,4)))</f>
        <v>4</v>
      </c>
      <c r="AS649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649" s="1">
        <f>IF(HR_Data[[#This Row],[TotalWorkingYears]]&lt;=5,1,IF(HR_Data[[#This Row],[TotalWorkingYears]]&lt;=10,2,IF(HR_Data[[#This Row],[TotalWorkingYears]]&lt;=20,3,4)))</f>
        <v>3</v>
      </c>
    </row>
    <row r="650" spans="1:46" x14ac:dyDescent="0.25">
      <c r="A650">
        <v>37</v>
      </c>
      <c r="B650" t="s">
        <v>36</v>
      </c>
      <c r="C650" t="s">
        <v>37</v>
      </c>
      <c r="D650" t="s">
        <v>31</v>
      </c>
      <c r="E650">
        <v>21</v>
      </c>
      <c r="F650">
        <v>2</v>
      </c>
      <c r="G650" t="s">
        <v>44</v>
      </c>
      <c r="H650">
        <v>900</v>
      </c>
      <c r="I650">
        <v>3</v>
      </c>
      <c r="J650" t="s">
        <v>33</v>
      </c>
      <c r="K650">
        <v>3</v>
      </c>
      <c r="L650">
        <v>1</v>
      </c>
      <c r="M650" t="s">
        <v>50</v>
      </c>
      <c r="N650">
        <v>4</v>
      </c>
      <c r="O650" t="s">
        <v>41</v>
      </c>
      <c r="P650">
        <v>2973</v>
      </c>
      <c r="Q650">
        <v>5</v>
      </c>
      <c r="R650" t="s">
        <v>36</v>
      </c>
      <c r="S650">
        <v>15</v>
      </c>
      <c r="T650">
        <v>3</v>
      </c>
      <c r="U650">
        <v>2</v>
      </c>
      <c r="V650">
        <v>1</v>
      </c>
      <c r="W650">
        <v>10</v>
      </c>
      <c r="X650">
        <v>3</v>
      </c>
      <c r="Y650">
        <v>3</v>
      </c>
      <c r="Z650">
        <v>5</v>
      </c>
      <c r="AA650">
        <v>4</v>
      </c>
      <c r="AB650">
        <v>0</v>
      </c>
      <c r="AC650">
        <v>0</v>
      </c>
      <c r="AD650">
        <f>IF(HR_Data[[#This Row],[Attrition]]="Yes",1,0)</f>
        <v>0</v>
      </c>
      <c r="AE650" t="str">
        <f>IF(HR_Data[[#This Row],[Age]]&lt;=25,"18-25",IF(HR_Data[[#This Row],[Age]]&lt;=35,"26-35",IF(HR_Data[[#This Row],[Age]]&lt;=45,"36-45",IF(HR_Data[[#This Row],[Age]]&lt;=55,"46-55","55+"))))</f>
        <v>36-45</v>
      </c>
      <c r="AF650">
        <f>IF(HR_Data[[#This Row],[Age]]&lt;=25,1,IF(HR_Data[[#This Row],[Age]]&lt;=35,2,IF(HR_Data[[#This Row],[Age]]&lt;=45,3,IF(HR_Data[[#This Row],[Age]]&lt;=55,4,5))))</f>
        <v>3</v>
      </c>
      <c r="AG650" s="1" t="str">
        <f>IF(HR_Data[[#This Row],[MonthlyIncome]]&lt;3000,"&lt;3K",IF(HR_Data[[#This Row],[MonthlyIncome]]&lt;6000,"3K-6K",IF(HR_Data[[#This Row],[MonthlyIncome]]&lt;10000,"6K-10K","10K+")))</f>
        <v>&lt;3K</v>
      </c>
      <c r="AH650" s="1">
        <f>IF(HR_Data[[#This Row],[MonthlyIncome]]&lt;3000,1,IF(HR_Data[[#This Row],[MonthlyIncome]]&lt;6000,2,IF(HR_Data[[#This Row],[MonthlyIncome]]&lt;10000,3,4)))</f>
        <v>1</v>
      </c>
      <c r="AI650" s="1" t="str">
        <f>IF(HR_Data[[#This Row],[YearsAtCompany]]&lt;=2,"0-2 Yrs",IF(HR_Data[[#This Row],[YearsAtCompany]]&lt;=5,"3-5 Yrs",IF(HR_Data[[#This Row],[YearsAtCompany]]&lt;=10,"6-10 Yrs","10+ Yrs")))</f>
        <v>3-5 Yrs</v>
      </c>
      <c r="AJ650" s="1">
        <f>IF(HR_Data[[#This Row],[YearsAtCompany]]&lt;=2,1,IF(HR_Data[[#This Row],[YearsAtCompany]]&lt;=5,2,IF(HR_Data[[#This Row],[YearsAtCompany]]&lt;=10,3,4)))</f>
        <v>2</v>
      </c>
      <c r="AK650" s="1" t="str">
        <f>CHOOSE(HR_Data[[#This Row],[Education]],"Below College","College","Bachelor","Master","Doctor")</f>
        <v>College</v>
      </c>
      <c r="AL650" s="1" t="str">
        <f>CHOOSE(HR_Data[[#This Row],[JobSatisfaction]],"Low","Medium","High","Very High")</f>
        <v>Very High</v>
      </c>
      <c r="AM650" s="1" t="str">
        <f>CHOOSE(HR_Data[[#This Row],[EnvironmentSatisfaction]],"Low","Medium","High","Very High")</f>
        <v>High</v>
      </c>
      <c r="AN650" s="1" t="str">
        <f>CHOOSE(HR_Data[[#This Row],[WorkLifeBalance]],"Bad","Good","Better","Best")</f>
        <v>Better</v>
      </c>
      <c r="AO650" s="1" t="str">
        <f>IF(HR_Data[[#This Row],[PercentSalaryHike]]&lt;=13,"11-13%",IF(HR_Data[[#This Row],[PercentSalaryHike]]&lt;=16,"14-16%",IF(HR_Data[[#This Row],[PercentSalaryHike]]&lt;=19,"17-19%","20-25%")))</f>
        <v>14-16%</v>
      </c>
      <c r="AP650" s="1">
        <f>IF(HR_Data[[#This Row],[PercentSalaryHike]]&lt;=13,1,IF(HR_Data[[#This Row],[PercentSalaryHike]]&lt;=16,2,IF(HR_Data[[#This Row],[PercentSalaryHike]]&lt;=19,3,4)))</f>
        <v>2</v>
      </c>
      <c r="AQ650" s="1" t="str">
        <f>IF(HR_Data[[#This Row],[DistanceFromHome]]&lt;=5,"1 to 5",IF(HR_Data[[#This Row],[DistanceFromHome]]&lt;=10,"6 to 10",IF(HR_Data[[#This Row],[DistanceFromHome]]&lt;=20,"11 to 20","21 to 29")))</f>
        <v>21 to 29</v>
      </c>
      <c r="AR650" s="1">
        <f>IF(HR_Data[[#This Row],[DistanceFromHome]]&lt;=5,1,IF(HR_Data[[#This Row],[DistanceFromHome]]&lt;=10,2,IF(HR_Data[[#This Row],[DistanceFromHome]]&lt;=20,3,4)))</f>
        <v>4</v>
      </c>
      <c r="AS650" s="1" t="str">
        <f>IF(HR_Data[[#This Row],[TotalWorkingYears]]&lt;=5,"0-5 Yrs",IF(HR_Data[[#This Row],[TotalWorkingYears]]&lt;=10,"6-10 Yrs",IF(HR_Data[[#This Row],[TotalWorkingYears]]&lt;=20,"11-20 Yrs","20+ Yrs")))</f>
        <v>6-10 Yrs</v>
      </c>
      <c r="AT650" s="1">
        <f>IF(HR_Data[[#This Row],[TotalWorkingYears]]&lt;=5,1,IF(HR_Data[[#This Row],[TotalWorkingYears]]&lt;=10,2,IF(HR_Data[[#This Row],[TotalWorkingYears]]&lt;=20,3,4)))</f>
        <v>2</v>
      </c>
    </row>
    <row r="651" spans="1:46" x14ac:dyDescent="0.25">
      <c r="A651">
        <v>53</v>
      </c>
      <c r="B651" t="s">
        <v>36</v>
      </c>
      <c r="C651" t="s">
        <v>30</v>
      </c>
      <c r="D651" t="s">
        <v>38</v>
      </c>
      <c r="E651">
        <v>23</v>
      </c>
      <c r="F651">
        <v>4</v>
      </c>
      <c r="G651" t="s">
        <v>32</v>
      </c>
      <c r="H651">
        <v>901</v>
      </c>
      <c r="I651">
        <v>4</v>
      </c>
      <c r="J651" t="s">
        <v>33</v>
      </c>
      <c r="K651">
        <v>3</v>
      </c>
      <c r="L651">
        <v>4</v>
      </c>
      <c r="M651" t="s">
        <v>51</v>
      </c>
      <c r="N651">
        <v>4</v>
      </c>
      <c r="O651" t="s">
        <v>35</v>
      </c>
      <c r="P651">
        <v>14275</v>
      </c>
      <c r="Q651">
        <v>6</v>
      </c>
      <c r="R651" t="s">
        <v>36</v>
      </c>
      <c r="S651">
        <v>18</v>
      </c>
      <c r="T651">
        <v>3</v>
      </c>
      <c r="U651">
        <v>3</v>
      </c>
      <c r="V651">
        <v>0</v>
      </c>
      <c r="W651">
        <v>33</v>
      </c>
      <c r="X651">
        <v>0</v>
      </c>
      <c r="Y651">
        <v>3</v>
      </c>
      <c r="Z651">
        <v>12</v>
      </c>
      <c r="AA651">
        <v>9</v>
      </c>
      <c r="AB651">
        <v>3</v>
      </c>
      <c r="AC651">
        <v>8</v>
      </c>
      <c r="AD651">
        <f>IF(HR_Data[[#This Row],[Attrition]]="Yes",1,0)</f>
        <v>0</v>
      </c>
      <c r="AE651" t="str">
        <f>IF(HR_Data[[#This Row],[Age]]&lt;=25,"18-25",IF(HR_Data[[#This Row],[Age]]&lt;=35,"26-35",IF(HR_Data[[#This Row],[Age]]&lt;=45,"36-45",IF(HR_Data[[#This Row],[Age]]&lt;=55,"46-55","55+"))))</f>
        <v>46-55</v>
      </c>
      <c r="AF651">
        <f>IF(HR_Data[[#This Row],[Age]]&lt;=25,1,IF(HR_Data[[#This Row],[Age]]&lt;=35,2,IF(HR_Data[[#This Row],[Age]]&lt;=45,3,IF(HR_Data[[#This Row],[Age]]&lt;=55,4,5))))</f>
        <v>4</v>
      </c>
      <c r="AG651" s="1" t="str">
        <f>IF(HR_Data[[#This Row],[MonthlyIncome]]&lt;3000,"&lt;3K",IF(HR_Data[[#This Row],[MonthlyIncome]]&lt;6000,"3K-6K",IF(HR_Data[[#This Row],[MonthlyIncome]]&lt;10000,"6K-10K","10K+")))</f>
        <v>10K+</v>
      </c>
      <c r="AH651" s="1">
        <f>IF(HR_Data[[#This Row],[MonthlyIncome]]&lt;3000,1,IF(HR_Data[[#This Row],[MonthlyIncome]]&lt;6000,2,IF(HR_Data[[#This Row],[MonthlyIncome]]&lt;10000,3,4)))</f>
        <v>4</v>
      </c>
      <c r="AI651" s="1" t="str">
        <f>IF(HR_Data[[#This Row],[YearsAtCompany]]&lt;=2,"0-2 Yrs",IF(HR_Data[[#This Row],[YearsAtCompany]]&lt;=5,"3-5 Yrs",IF(HR_Data[[#This Row],[YearsAtCompany]]&lt;=10,"6-10 Yrs","10+ Yrs")))</f>
        <v>10+ Yrs</v>
      </c>
      <c r="AJ651" s="1">
        <f>IF(HR_Data[[#This Row],[YearsAtCompany]]&lt;=2,1,IF(HR_Data[[#This Row],[YearsAtCompany]]&lt;=5,2,IF(HR_Data[[#This Row],[YearsAtCompany]]&lt;=10,3,4)))</f>
        <v>4</v>
      </c>
      <c r="AK651" s="1" t="str">
        <f>CHOOSE(HR_Data[[#This Row],[Education]],"Below College","College","Bachelor","Master","Doctor")</f>
        <v>Master</v>
      </c>
      <c r="AL651" s="1" t="str">
        <f>CHOOSE(HR_Data[[#This Row],[JobSatisfaction]],"Low","Medium","High","Very High")</f>
        <v>Very High</v>
      </c>
      <c r="AM651" s="1" t="str">
        <f>CHOOSE(HR_Data[[#This Row],[EnvironmentSatisfaction]],"Low","Medium","High","Very High")</f>
        <v>Very High</v>
      </c>
      <c r="AN651" s="1" t="str">
        <f>CHOOSE(HR_Data[[#This Row],[WorkLifeBalance]],"Bad","Good","Better","Best")</f>
        <v>Better</v>
      </c>
      <c r="AO651" s="1" t="str">
        <f>IF(HR_Data[[#This Row],[PercentSalaryHike]]&lt;=13,"11-13%",IF(HR_Data[[#This Row],[PercentSalaryHike]]&lt;=16,"14-16%",IF(HR_Data[[#This Row],[PercentSalaryHike]]&lt;=19,"17-19%","20-25%")))</f>
        <v>17-19%</v>
      </c>
      <c r="AP651" s="1">
        <f>IF(HR_Data[[#This Row],[PercentSalaryHike]]&lt;=13,1,IF(HR_Data[[#This Row],[PercentSalaryHike]]&lt;=16,2,IF(HR_Data[[#This Row],[PercentSalaryHike]]&lt;=19,3,4)))</f>
        <v>3</v>
      </c>
      <c r="AQ651" s="1" t="str">
        <f>IF(HR_Data[[#This Row],[DistanceFromHome]]&lt;=5,"1 to 5",IF(HR_Data[[#This Row],[DistanceFromHome]]&lt;=10,"6 to 10",IF(HR_Data[[#This Row],[DistanceFromHome]]&lt;=20,"11 to 20","21 to 29")))</f>
        <v>21 to 29</v>
      </c>
      <c r="AR651" s="1">
        <f>IF(HR_Data[[#This Row],[DistanceFromHome]]&lt;=5,1,IF(HR_Data[[#This Row],[DistanceFromHome]]&lt;=10,2,IF(HR_Data[[#This Row],[DistanceFromHome]]&lt;=20,3,4)))</f>
        <v>4</v>
      </c>
      <c r="AS651" s="1" t="str">
        <f>IF(HR_Data[[#This Row],[TotalWorkingYears]]&lt;=5,"0-5 Yrs",IF(HR_Data[[#This Row],[TotalWorkingYears]]&lt;=10,"6-10 Yrs",IF(HR_Data[[#This Row],[TotalWorkingYears]]&lt;=20,"11-20 Yrs","20+ Yrs")))</f>
        <v>20+ Yrs</v>
      </c>
      <c r="AT651" s="1">
        <f>IF(HR_Data[[#This Row],[TotalWorkingYears]]&lt;=5,1,IF(HR_Data[[#This Row],[TotalWorkingYears]]&lt;=10,2,IF(HR_Data[[#This Row],[TotalWorkingYears]]&lt;=20,3,4)))</f>
        <v>4</v>
      </c>
    </row>
    <row r="652" spans="1:46" x14ac:dyDescent="0.25">
      <c r="A652">
        <v>43</v>
      </c>
      <c r="B652" t="s">
        <v>36</v>
      </c>
      <c r="C652" t="s">
        <v>37</v>
      </c>
      <c r="D652" t="s">
        <v>38</v>
      </c>
      <c r="E652">
        <v>1</v>
      </c>
      <c r="F652">
        <v>3</v>
      </c>
      <c r="G652" t="s">
        <v>32</v>
      </c>
      <c r="H652">
        <v>902</v>
      </c>
      <c r="I652">
        <v>4</v>
      </c>
      <c r="J652" t="s">
        <v>33</v>
      </c>
      <c r="K652">
        <v>3</v>
      </c>
      <c r="L652">
        <v>2</v>
      </c>
      <c r="M652" t="s">
        <v>47</v>
      </c>
      <c r="N652">
        <v>4</v>
      </c>
      <c r="O652" t="s">
        <v>41</v>
      </c>
      <c r="P652">
        <v>5562</v>
      </c>
      <c r="Q652">
        <v>4</v>
      </c>
      <c r="R652" t="s">
        <v>36</v>
      </c>
      <c r="S652">
        <v>13</v>
      </c>
      <c r="T652">
        <v>3</v>
      </c>
      <c r="U652">
        <v>2</v>
      </c>
      <c r="V652">
        <v>1</v>
      </c>
      <c r="W652">
        <v>12</v>
      </c>
      <c r="X652">
        <v>2</v>
      </c>
      <c r="Y652">
        <v>2</v>
      </c>
      <c r="Z652">
        <v>5</v>
      </c>
      <c r="AA652">
        <v>2</v>
      </c>
      <c r="AB652">
        <v>2</v>
      </c>
      <c r="AC652">
        <v>2</v>
      </c>
      <c r="AD652">
        <f>IF(HR_Data[[#This Row],[Attrition]]="Yes",1,0)</f>
        <v>0</v>
      </c>
      <c r="AE652" t="str">
        <f>IF(HR_Data[[#This Row],[Age]]&lt;=25,"18-25",IF(HR_Data[[#This Row],[Age]]&lt;=35,"26-35",IF(HR_Data[[#This Row],[Age]]&lt;=45,"36-45",IF(HR_Data[[#This Row],[Age]]&lt;=55,"46-55","55+"))))</f>
        <v>36-45</v>
      </c>
      <c r="AF652">
        <f>IF(HR_Data[[#This Row],[Age]]&lt;=25,1,IF(HR_Data[[#This Row],[Age]]&lt;=35,2,IF(HR_Data[[#This Row],[Age]]&lt;=45,3,IF(HR_Data[[#This Row],[Age]]&lt;=55,4,5))))</f>
        <v>3</v>
      </c>
      <c r="AG652" s="1" t="str">
        <f>IF(HR_Data[[#This Row],[MonthlyIncome]]&lt;3000,"&lt;3K",IF(HR_Data[[#This Row],[MonthlyIncome]]&lt;6000,"3K-6K",IF(HR_Data[[#This Row],[MonthlyIncome]]&lt;10000,"6K-10K","10K+")))</f>
        <v>3K-6K</v>
      </c>
      <c r="AH652" s="1">
        <f>IF(HR_Data[[#This Row],[MonthlyIncome]]&lt;3000,1,IF(HR_Data[[#This Row],[MonthlyIncome]]&lt;6000,2,IF(HR_Data[[#This Row],[MonthlyIncome]]&lt;10000,3,4)))</f>
        <v>2</v>
      </c>
      <c r="AI652" s="1" t="str">
        <f>IF(HR_Data[[#This Row],[YearsAtCompany]]&lt;=2,"0-2 Yrs",IF(HR_Data[[#This Row],[YearsAtCompany]]&lt;=5,"3-5 Yrs",IF(HR_Data[[#This Row],[YearsAtCompany]]&lt;=10,"6-10 Yrs","10+ Yrs")))</f>
        <v>3-5 Yrs</v>
      </c>
      <c r="AJ652" s="1">
        <f>IF(HR_Data[[#This Row],[YearsAtCompany]]&lt;=2,1,IF(HR_Data[[#This Row],[YearsAtCompany]]&lt;=5,2,IF(HR_Data[[#This Row],[YearsAtCompany]]&lt;=10,3,4)))</f>
        <v>2</v>
      </c>
      <c r="AK652" s="1" t="str">
        <f>CHOOSE(HR_Data[[#This Row],[Education]],"Below College","College","Bachelor","Master","Doctor")</f>
        <v>Bachelor</v>
      </c>
      <c r="AL652" s="1" t="str">
        <f>CHOOSE(HR_Data[[#This Row],[JobSatisfaction]],"Low","Medium","High","Very High")</f>
        <v>Very High</v>
      </c>
      <c r="AM652" s="1" t="str">
        <f>CHOOSE(HR_Data[[#This Row],[EnvironmentSatisfaction]],"Low","Medium","High","Very High")</f>
        <v>Very High</v>
      </c>
      <c r="AN652" s="1" t="str">
        <f>CHOOSE(HR_Data[[#This Row],[WorkLifeBalance]],"Bad","Good","Better","Best")</f>
        <v>Good</v>
      </c>
      <c r="AO652" s="1" t="str">
        <f>IF(HR_Data[[#This Row],[PercentSalaryHike]]&lt;=13,"11-13%",IF(HR_Data[[#This Row],[PercentSalaryHike]]&lt;=16,"14-16%",IF(HR_Data[[#This Row],[PercentSalaryHike]]&lt;=19,"17-19%","20-25%")))</f>
        <v>11-13%</v>
      </c>
      <c r="AP652" s="1">
        <f>IF(HR_Data[[#This Row],[PercentSalaryHike]]&lt;=13,1,IF(HR_Data[[#This Row],[PercentSalaryHike]]&lt;=16,2,IF(HR_Data[[#This Row],[PercentSalaryHike]]&lt;=19,3,4)))</f>
        <v>1</v>
      </c>
      <c r="AQ652" s="1" t="str">
        <f>IF(HR_Data[[#This Row],[DistanceFromHome]]&lt;=5,"1 to 5",IF(HR_Data[[#This Row],[DistanceFromHome]]&lt;=10,"6 to 10",IF(HR_Data[[#This Row],[DistanceFromHome]]&lt;=20,"11 to 20","21 to 29")))</f>
        <v>1 to 5</v>
      </c>
      <c r="AR652" s="1">
        <f>IF(HR_Data[[#This Row],[DistanceFromHome]]&lt;=5,1,IF(HR_Data[[#This Row],[DistanceFromHome]]&lt;=10,2,IF(HR_Data[[#This Row],[DistanceFromHome]]&lt;=20,3,4)))</f>
        <v>1</v>
      </c>
      <c r="AS652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652" s="1">
        <f>IF(HR_Data[[#This Row],[TotalWorkingYears]]&lt;=5,1,IF(HR_Data[[#This Row],[TotalWorkingYears]]&lt;=10,2,IF(HR_Data[[#This Row],[TotalWorkingYears]]&lt;=20,3,4)))</f>
        <v>3</v>
      </c>
    </row>
    <row r="653" spans="1:46" x14ac:dyDescent="0.25">
      <c r="A653">
        <v>47</v>
      </c>
      <c r="B653" t="s">
        <v>36</v>
      </c>
      <c r="C653" t="s">
        <v>30</v>
      </c>
      <c r="D653" t="s">
        <v>31</v>
      </c>
      <c r="E653">
        <v>2</v>
      </c>
      <c r="F653">
        <v>2</v>
      </c>
      <c r="G653" t="s">
        <v>52</v>
      </c>
      <c r="H653">
        <v>903</v>
      </c>
      <c r="I653">
        <v>3</v>
      </c>
      <c r="J653" t="s">
        <v>33</v>
      </c>
      <c r="K653">
        <v>3</v>
      </c>
      <c r="L653">
        <v>2</v>
      </c>
      <c r="M653" t="s">
        <v>34</v>
      </c>
      <c r="N653">
        <v>4</v>
      </c>
      <c r="O653" t="s">
        <v>41</v>
      </c>
      <c r="P653">
        <v>4537</v>
      </c>
      <c r="Q653">
        <v>0</v>
      </c>
      <c r="R653" t="s">
        <v>29</v>
      </c>
      <c r="S653">
        <v>22</v>
      </c>
      <c r="T653">
        <v>4</v>
      </c>
      <c r="U653">
        <v>1</v>
      </c>
      <c r="V653">
        <v>1</v>
      </c>
      <c r="W653">
        <v>8</v>
      </c>
      <c r="X653">
        <v>2</v>
      </c>
      <c r="Y653">
        <v>3</v>
      </c>
      <c r="Z653">
        <v>7</v>
      </c>
      <c r="AA653">
        <v>6</v>
      </c>
      <c r="AB653">
        <v>7</v>
      </c>
      <c r="AC653">
        <v>7</v>
      </c>
      <c r="AD653">
        <f>IF(HR_Data[[#This Row],[Attrition]]="Yes",1,0)</f>
        <v>0</v>
      </c>
      <c r="AE653" t="str">
        <f>IF(HR_Data[[#This Row],[Age]]&lt;=25,"18-25",IF(HR_Data[[#This Row],[Age]]&lt;=35,"26-35",IF(HR_Data[[#This Row],[Age]]&lt;=45,"36-45",IF(HR_Data[[#This Row],[Age]]&lt;=55,"46-55","55+"))))</f>
        <v>46-55</v>
      </c>
      <c r="AF653">
        <f>IF(HR_Data[[#This Row],[Age]]&lt;=25,1,IF(HR_Data[[#This Row],[Age]]&lt;=35,2,IF(HR_Data[[#This Row],[Age]]&lt;=45,3,IF(HR_Data[[#This Row],[Age]]&lt;=55,4,5))))</f>
        <v>4</v>
      </c>
      <c r="AG653" s="1" t="str">
        <f>IF(HR_Data[[#This Row],[MonthlyIncome]]&lt;3000,"&lt;3K",IF(HR_Data[[#This Row],[MonthlyIncome]]&lt;6000,"3K-6K",IF(HR_Data[[#This Row],[MonthlyIncome]]&lt;10000,"6K-10K","10K+")))</f>
        <v>3K-6K</v>
      </c>
      <c r="AH653" s="1">
        <f>IF(HR_Data[[#This Row],[MonthlyIncome]]&lt;3000,1,IF(HR_Data[[#This Row],[MonthlyIncome]]&lt;6000,2,IF(HR_Data[[#This Row],[MonthlyIncome]]&lt;10000,3,4)))</f>
        <v>2</v>
      </c>
      <c r="AI653" s="1" t="str">
        <f>IF(HR_Data[[#This Row],[YearsAtCompany]]&lt;=2,"0-2 Yrs",IF(HR_Data[[#This Row],[YearsAtCompany]]&lt;=5,"3-5 Yrs",IF(HR_Data[[#This Row],[YearsAtCompany]]&lt;=10,"6-10 Yrs","10+ Yrs")))</f>
        <v>6-10 Yrs</v>
      </c>
      <c r="AJ653" s="1">
        <f>IF(HR_Data[[#This Row],[YearsAtCompany]]&lt;=2,1,IF(HR_Data[[#This Row],[YearsAtCompany]]&lt;=5,2,IF(HR_Data[[#This Row],[YearsAtCompany]]&lt;=10,3,4)))</f>
        <v>3</v>
      </c>
      <c r="AK653" s="1" t="str">
        <f>CHOOSE(HR_Data[[#This Row],[Education]],"Below College","College","Bachelor","Master","Doctor")</f>
        <v>College</v>
      </c>
      <c r="AL653" s="1" t="str">
        <f>CHOOSE(HR_Data[[#This Row],[JobSatisfaction]],"Low","Medium","High","Very High")</f>
        <v>Very High</v>
      </c>
      <c r="AM653" s="1" t="str">
        <f>CHOOSE(HR_Data[[#This Row],[EnvironmentSatisfaction]],"Low","Medium","High","Very High")</f>
        <v>High</v>
      </c>
      <c r="AN653" s="1" t="str">
        <f>CHOOSE(HR_Data[[#This Row],[WorkLifeBalance]],"Bad","Good","Better","Best")</f>
        <v>Better</v>
      </c>
      <c r="AO653" s="1" t="str">
        <f>IF(HR_Data[[#This Row],[PercentSalaryHike]]&lt;=13,"11-13%",IF(HR_Data[[#This Row],[PercentSalaryHike]]&lt;=16,"14-16%",IF(HR_Data[[#This Row],[PercentSalaryHike]]&lt;=19,"17-19%","20-25%")))</f>
        <v>20-25%</v>
      </c>
      <c r="AP653" s="1">
        <f>IF(HR_Data[[#This Row],[PercentSalaryHike]]&lt;=13,1,IF(HR_Data[[#This Row],[PercentSalaryHike]]&lt;=16,2,IF(HR_Data[[#This Row],[PercentSalaryHike]]&lt;=19,3,4)))</f>
        <v>4</v>
      </c>
      <c r="AQ653" s="1" t="str">
        <f>IF(HR_Data[[#This Row],[DistanceFromHome]]&lt;=5,"1 to 5",IF(HR_Data[[#This Row],[DistanceFromHome]]&lt;=10,"6 to 10",IF(HR_Data[[#This Row],[DistanceFromHome]]&lt;=20,"11 to 20","21 to 29")))</f>
        <v>1 to 5</v>
      </c>
      <c r="AR653" s="1">
        <f>IF(HR_Data[[#This Row],[DistanceFromHome]]&lt;=5,1,IF(HR_Data[[#This Row],[DistanceFromHome]]&lt;=10,2,IF(HR_Data[[#This Row],[DistanceFromHome]]&lt;=20,3,4)))</f>
        <v>1</v>
      </c>
      <c r="AS653" s="1" t="str">
        <f>IF(HR_Data[[#This Row],[TotalWorkingYears]]&lt;=5,"0-5 Yrs",IF(HR_Data[[#This Row],[TotalWorkingYears]]&lt;=10,"6-10 Yrs",IF(HR_Data[[#This Row],[TotalWorkingYears]]&lt;=20,"11-20 Yrs","20+ Yrs")))</f>
        <v>6-10 Yrs</v>
      </c>
      <c r="AT653" s="1">
        <f>IF(HR_Data[[#This Row],[TotalWorkingYears]]&lt;=5,1,IF(HR_Data[[#This Row],[TotalWorkingYears]]&lt;=10,2,IF(HR_Data[[#This Row],[TotalWorkingYears]]&lt;=20,3,4)))</f>
        <v>2</v>
      </c>
    </row>
    <row r="654" spans="1:46" x14ac:dyDescent="0.25">
      <c r="A654">
        <v>37</v>
      </c>
      <c r="B654" t="s">
        <v>36</v>
      </c>
      <c r="C654" t="s">
        <v>48</v>
      </c>
      <c r="D654" t="s">
        <v>31</v>
      </c>
      <c r="E654">
        <v>19</v>
      </c>
      <c r="F654">
        <v>2</v>
      </c>
      <c r="G654" t="s">
        <v>44</v>
      </c>
      <c r="H654">
        <v>904</v>
      </c>
      <c r="I654">
        <v>1</v>
      </c>
      <c r="J654" t="s">
        <v>39</v>
      </c>
      <c r="K654">
        <v>3</v>
      </c>
      <c r="L654">
        <v>3</v>
      </c>
      <c r="M654" t="s">
        <v>34</v>
      </c>
      <c r="N654">
        <v>2</v>
      </c>
      <c r="O654" t="s">
        <v>35</v>
      </c>
      <c r="P654">
        <v>7642</v>
      </c>
      <c r="Q654">
        <v>1</v>
      </c>
      <c r="R654" t="s">
        <v>29</v>
      </c>
      <c r="S654">
        <v>13</v>
      </c>
      <c r="T654">
        <v>3</v>
      </c>
      <c r="U654">
        <v>4</v>
      </c>
      <c r="V654">
        <v>0</v>
      </c>
      <c r="W654">
        <v>10</v>
      </c>
      <c r="X654">
        <v>2</v>
      </c>
      <c r="Y654">
        <v>3</v>
      </c>
      <c r="Z654">
        <v>10</v>
      </c>
      <c r="AA654">
        <v>0</v>
      </c>
      <c r="AB654">
        <v>0</v>
      </c>
      <c r="AC654">
        <v>9</v>
      </c>
      <c r="AD654">
        <f>IF(HR_Data[[#This Row],[Attrition]]="Yes",1,0)</f>
        <v>0</v>
      </c>
      <c r="AE654" t="str">
        <f>IF(HR_Data[[#This Row],[Age]]&lt;=25,"18-25",IF(HR_Data[[#This Row],[Age]]&lt;=35,"26-35",IF(HR_Data[[#This Row],[Age]]&lt;=45,"36-45",IF(HR_Data[[#This Row],[Age]]&lt;=55,"46-55","55+"))))</f>
        <v>36-45</v>
      </c>
      <c r="AF654">
        <f>IF(HR_Data[[#This Row],[Age]]&lt;=25,1,IF(HR_Data[[#This Row],[Age]]&lt;=35,2,IF(HR_Data[[#This Row],[Age]]&lt;=45,3,IF(HR_Data[[#This Row],[Age]]&lt;=55,4,5))))</f>
        <v>3</v>
      </c>
      <c r="AG654" s="1" t="str">
        <f>IF(HR_Data[[#This Row],[MonthlyIncome]]&lt;3000,"&lt;3K",IF(HR_Data[[#This Row],[MonthlyIncome]]&lt;6000,"3K-6K",IF(HR_Data[[#This Row],[MonthlyIncome]]&lt;10000,"6K-10K","10K+")))</f>
        <v>6K-10K</v>
      </c>
      <c r="AH654" s="1">
        <f>IF(HR_Data[[#This Row],[MonthlyIncome]]&lt;3000,1,IF(HR_Data[[#This Row],[MonthlyIncome]]&lt;6000,2,IF(HR_Data[[#This Row],[MonthlyIncome]]&lt;10000,3,4)))</f>
        <v>3</v>
      </c>
      <c r="AI654" s="1" t="str">
        <f>IF(HR_Data[[#This Row],[YearsAtCompany]]&lt;=2,"0-2 Yrs",IF(HR_Data[[#This Row],[YearsAtCompany]]&lt;=5,"3-5 Yrs",IF(HR_Data[[#This Row],[YearsAtCompany]]&lt;=10,"6-10 Yrs","10+ Yrs")))</f>
        <v>6-10 Yrs</v>
      </c>
      <c r="AJ654" s="1">
        <f>IF(HR_Data[[#This Row],[YearsAtCompany]]&lt;=2,1,IF(HR_Data[[#This Row],[YearsAtCompany]]&lt;=5,2,IF(HR_Data[[#This Row],[YearsAtCompany]]&lt;=10,3,4)))</f>
        <v>3</v>
      </c>
      <c r="AK654" s="1" t="str">
        <f>CHOOSE(HR_Data[[#This Row],[Education]],"Below College","College","Bachelor","Master","Doctor")</f>
        <v>College</v>
      </c>
      <c r="AL654" s="1" t="str">
        <f>CHOOSE(HR_Data[[#This Row],[JobSatisfaction]],"Low","Medium","High","Very High")</f>
        <v>Medium</v>
      </c>
      <c r="AM654" s="1" t="str">
        <f>CHOOSE(HR_Data[[#This Row],[EnvironmentSatisfaction]],"Low","Medium","High","Very High")</f>
        <v>Low</v>
      </c>
      <c r="AN654" s="1" t="str">
        <f>CHOOSE(HR_Data[[#This Row],[WorkLifeBalance]],"Bad","Good","Better","Best")</f>
        <v>Better</v>
      </c>
      <c r="AO654" s="1" t="str">
        <f>IF(HR_Data[[#This Row],[PercentSalaryHike]]&lt;=13,"11-13%",IF(HR_Data[[#This Row],[PercentSalaryHike]]&lt;=16,"14-16%",IF(HR_Data[[#This Row],[PercentSalaryHike]]&lt;=19,"17-19%","20-25%")))</f>
        <v>11-13%</v>
      </c>
      <c r="AP654" s="1">
        <f>IF(HR_Data[[#This Row],[PercentSalaryHike]]&lt;=13,1,IF(HR_Data[[#This Row],[PercentSalaryHike]]&lt;=16,2,IF(HR_Data[[#This Row],[PercentSalaryHike]]&lt;=19,3,4)))</f>
        <v>1</v>
      </c>
      <c r="AQ654" s="1" t="str">
        <f>IF(HR_Data[[#This Row],[DistanceFromHome]]&lt;=5,"1 to 5",IF(HR_Data[[#This Row],[DistanceFromHome]]&lt;=10,"6 to 10",IF(HR_Data[[#This Row],[DistanceFromHome]]&lt;=20,"11 to 20","21 to 29")))</f>
        <v>11 to 20</v>
      </c>
      <c r="AR654" s="1">
        <f>IF(HR_Data[[#This Row],[DistanceFromHome]]&lt;=5,1,IF(HR_Data[[#This Row],[DistanceFromHome]]&lt;=10,2,IF(HR_Data[[#This Row],[DistanceFromHome]]&lt;=20,3,4)))</f>
        <v>3</v>
      </c>
      <c r="AS654" s="1" t="str">
        <f>IF(HR_Data[[#This Row],[TotalWorkingYears]]&lt;=5,"0-5 Yrs",IF(HR_Data[[#This Row],[TotalWorkingYears]]&lt;=10,"6-10 Yrs",IF(HR_Data[[#This Row],[TotalWorkingYears]]&lt;=20,"11-20 Yrs","20+ Yrs")))</f>
        <v>6-10 Yrs</v>
      </c>
      <c r="AT654" s="1">
        <f>IF(HR_Data[[#This Row],[TotalWorkingYears]]&lt;=5,1,IF(HR_Data[[#This Row],[TotalWorkingYears]]&lt;=10,2,IF(HR_Data[[#This Row],[TotalWorkingYears]]&lt;=20,3,4)))</f>
        <v>2</v>
      </c>
    </row>
    <row r="655" spans="1:46" x14ac:dyDescent="0.25">
      <c r="A655">
        <v>50</v>
      </c>
      <c r="B655" t="s">
        <v>36</v>
      </c>
      <c r="C655" t="s">
        <v>48</v>
      </c>
      <c r="D655" t="s">
        <v>38</v>
      </c>
      <c r="E655">
        <v>2</v>
      </c>
      <c r="F655">
        <v>4</v>
      </c>
      <c r="G655" t="s">
        <v>32</v>
      </c>
      <c r="H655">
        <v>905</v>
      </c>
      <c r="I655">
        <v>1</v>
      </c>
      <c r="J655" t="s">
        <v>39</v>
      </c>
      <c r="K655">
        <v>3</v>
      </c>
      <c r="L655">
        <v>4</v>
      </c>
      <c r="M655" t="s">
        <v>49</v>
      </c>
      <c r="N655">
        <v>1</v>
      </c>
      <c r="O655" t="s">
        <v>45</v>
      </c>
      <c r="P655">
        <v>17924</v>
      </c>
      <c r="Q655">
        <v>1</v>
      </c>
      <c r="R655" t="s">
        <v>36</v>
      </c>
      <c r="S655">
        <v>11</v>
      </c>
      <c r="T655">
        <v>3</v>
      </c>
      <c r="U655">
        <v>4</v>
      </c>
      <c r="V655">
        <v>1</v>
      </c>
      <c r="W655">
        <v>31</v>
      </c>
      <c r="X655">
        <v>3</v>
      </c>
      <c r="Y655">
        <v>3</v>
      </c>
      <c r="Z655">
        <v>31</v>
      </c>
      <c r="AA655">
        <v>6</v>
      </c>
      <c r="AB655">
        <v>14</v>
      </c>
      <c r="AC655">
        <v>7</v>
      </c>
      <c r="AD655">
        <f>IF(HR_Data[[#This Row],[Attrition]]="Yes",1,0)</f>
        <v>0</v>
      </c>
      <c r="AE655" t="str">
        <f>IF(HR_Data[[#This Row],[Age]]&lt;=25,"18-25",IF(HR_Data[[#This Row],[Age]]&lt;=35,"26-35",IF(HR_Data[[#This Row],[Age]]&lt;=45,"36-45",IF(HR_Data[[#This Row],[Age]]&lt;=55,"46-55","55+"))))</f>
        <v>46-55</v>
      </c>
      <c r="AF655">
        <f>IF(HR_Data[[#This Row],[Age]]&lt;=25,1,IF(HR_Data[[#This Row],[Age]]&lt;=35,2,IF(HR_Data[[#This Row],[Age]]&lt;=45,3,IF(HR_Data[[#This Row],[Age]]&lt;=55,4,5))))</f>
        <v>4</v>
      </c>
      <c r="AG655" s="1" t="str">
        <f>IF(HR_Data[[#This Row],[MonthlyIncome]]&lt;3000,"&lt;3K",IF(HR_Data[[#This Row],[MonthlyIncome]]&lt;6000,"3K-6K",IF(HR_Data[[#This Row],[MonthlyIncome]]&lt;10000,"6K-10K","10K+")))</f>
        <v>10K+</v>
      </c>
      <c r="AH655" s="1">
        <f>IF(HR_Data[[#This Row],[MonthlyIncome]]&lt;3000,1,IF(HR_Data[[#This Row],[MonthlyIncome]]&lt;6000,2,IF(HR_Data[[#This Row],[MonthlyIncome]]&lt;10000,3,4)))</f>
        <v>4</v>
      </c>
      <c r="AI655" s="1" t="str">
        <f>IF(HR_Data[[#This Row],[YearsAtCompany]]&lt;=2,"0-2 Yrs",IF(HR_Data[[#This Row],[YearsAtCompany]]&lt;=5,"3-5 Yrs",IF(HR_Data[[#This Row],[YearsAtCompany]]&lt;=10,"6-10 Yrs","10+ Yrs")))</f>
        <v>10+ Yrs</v>
      </c>
      <c r="AJ655" s="1">
        <f>IF(HR_Data[[#This Row],[YearsAtCompany]]&lt;=2,1,IF(HR_Data[[#This Row],[YearsAtCompany]]&lt;=5,2,IF(HR_Data[[#This Row],[YearsAtCompany]]&lt;=10,3,4)))</f>
        <v>4</v>
      </c>
      <c r="AK655" s="1" t="str">
        <f>CHOOSE(HR_Data[[#This Row],[Education]],"Below College","College","Bachelor","Master","Doctor")</f>
        <v>Master</v>
      </c>
      <c r="AL655" s="1" t="str">
        <f>CHOOSE(HR_Data[[#This Row],[JobSatisfaction]],"Low","Medium","High","Very High")</f>
        <v>Low</v>
      </c>
      <c r="AM655" s="1" t="str">
        <f>CHOOSE(HR_Data[[#This Row],[EnvironmentSatisfaction]],"Low","Medium","High","Very High")</f>
        <v>Low</v>
      </c>
      <c r="AN655" s="1" t="str">
        <f>CHOOSE(HR_Data[[#This Row],[WorkLifeBalance]],"Bad","Good","Better","Best")</f>
        <v>Better</v>
      </c>
      <c r="AO655" s="1" t="str">
        <f>IF(HR_Data[[#This Row],[PercentSalaryHike]]&lt;=13,"11-13%",IF(HR_Data[[#This Row],[PercentSalaryHike]]&lt;=16,"14-16%",IF(HR_Data[[#This Row],[PercentSalaryHike]]&lt;=19,"17-19%","20-25%")))</f>
        <v>11-13%</v>
      </c>
      <c r="AP655" s="1">
        <f>IF(HR_Data[[#This Row],[PercentSalaryHike]]&lt;=13,1,IF(HR_Data[[#This Row],[PercentSalaryHike]]&lt;=16,2,IF(HR_Data[[#This Row],[PercentSalaryHike]]&lt;=19,3,4)))</f>
        <v>1</v>
      </c>
      <c r="AQ655" s="1" t="str">
        <f>IF(HR_Data[[#This Row],[DistanceFromHome]]&lt;=5,"1 to 5",IF(HR_Data[[#This Row],[DistanceFromHome]]&lt;=10,"6 to 10",IF(HR_Data[[#This Row],[DistanceFromHome]]&lt;=20,"11 to 20","21 to 29")))</f>
        <v>1 to 5</v>
      </c>
      <c r="AR655" s="1">
        <f>IF(HR_Data[[#This Row],[DistanceFromHome]]&lt;=5,1,IF(HR_Data[[#This Row],[DistanceFromHome]]&lt;=10,2,IF(HR_Data[[#This Row],[DistanceFromHome]]&lt;=20,3,4)))</f>
        <v>1</v>
      </c>
      <c r="AS655" s="1" t="str">
        <f>IF(HR_Data[[#This Row],[TotalWorkingYears]]&lt;=5,"0-5 Yrs",IF(HR_Data[[#This Row],[TotalWorkingYears]]&lt;=10,"6-10 Yrs",IF(HR_Data[[#This Row],[TotalWorkingYears]]&lt;=20,"11-20 Yrs","20+ Yrs")))</f>
        <v>20+ Yrs</v>
      </c>
      <c r="AT655" s="1">
        <f>IF(HR_Data[[#This Row],[TotalWorkingYears]]&lt;=5,1,IF(HR_Data[[#This Row],[TotalWorkingYears]]&lt;=10,2,IF(HR_Data[[#This Row],[TotalWorkingYears]]&lt;=20,3,4)))</f>
        <v>4</v>
      </c>
    </row>
    <row r="656" spans="1:46" x14ac:dyDescent="0.25">
      <c r="A656">
        <v>39</v>
      </c>
      <c r="B656" t="s">
        <v>36</v>
      </c>
      <c r="C656" t="s">
        <v>30</v>
      </c>
      <c r="D656" t="s">
        <v>54</v>
      </c>
      <c r="E656">
        <v>2</v>
      </c>
      <c r="F656">
        <v>3</v>
      </c>
      <c r="G656" t="s">
        <v>32</v>
      </c>
      <c r="H656">
        <v>909</v>
      </c>
      <c r="I656">
        <v>4</v>
      </c>
      <c r="J656" t="s">
        <v>33</v>
      </c>
      <c r="K656">
        <v>2</v>
      </c>
      <c r="L656">
        <v>2</v>
      </c>
      <c r="M656" t="s">
        <v>54</v>
      </c>
      <c r="N656">
        <v>4</v>
      </c>
      <c r="O656" t="s">
        <v>41</v>
      </c>
      <c r="P656">
        <v>5204</v>
      </c>
      <c r="Q656">
        <v>8</v>
      </c>
      <c r="R656" t="s">
        <v>36</v>
      </c>
      <c r="S656">
        <v>11</v>
      </c>
      <c r="T656">
        <v>3</v>
      </c>
      <c r="U656">
        <v>3</v>
      </c>
      <c r="V656">
        <v>2</v>
      </c>
      <c r="W656">
        <v>13</v>
      </c>
      <c r="X656">
        <v>2</v>
      </c>
      <c r="Y656">
        <v>3</v>
      </c>
      <c r="Z656">
        <v>5</v>
      </c>
      <c r="AA656">
        <v>4</v>
      </c>
      <c r="AB656">
        <v>0</v>
      </c>
      <c r="AC656">
        <v>4</v>
      </c>
      <c r="AD656">
        <f>IF(HR_Data[[#This Row],[Attrition]]="Yes",1,0)</f>
        <v>0</v>
      </c>
      <c r="AE656" t="str">
        <f>IF(HR_Data[[#This Row],[Age]]&lt;=25,"18-25",IF(HR_Data[[#This Row],[Age]]&lt;=35,"26-35",IF(HR_Data[[#This Row],[Age]]&lt;=45,"36-45",IF(HR_Data[[#This Row],[Age]]&lt;=55,"46-55","55+"))))</f>
        <v>36-45</v>
      </c>
      <c r="AF656">
        <f>IF(HR_Data[[#This Row],[Age]]&lt;=25,1,IF(HR_Data[[#This Row],[Age]]&lt;=35,2,IF(HR_Data[[#This Row],[Age]]&lt;=45,3,IF(HR_Data[[#This Row],[Age]]&lt;=55,4,5))))</f>
        <v>3</v>
      </c>
      <c r="AG656" s="1" t="str">
        <f>IF(HR_Data[[#This Row],[MonthlyIncome]]&lt;3000,"&lt;3K",IF(HR_Data[[#This Row],[MonthlyIncome]]&lt;6000,"3K-6K",IF(HR_Data[[#This Row],[MonthlyIncome]]&lt;10000,"6K-10K","10K+")))</f>
        <v>3K-6K</v>
      </c>
      <c r="AH656" s="1">
        <f>IF(HR_Data[[#This Row],[MonthlyIncome]]&lt;3000,1,IF(HR_Data[[#This Row],[MonthlyIncome]]&lt;6000,2,IF(HR_Data[[#This Row],[MonthlyIncome]]&lt;10000,3,4)))</f>
        <v>2</v>
      </c>
      <c r="AI656" s="1" t="str">
        <f>IF(HR_Data[[#This Row],[YearsAtCompany]]&lt;=2,"0-2 Yrs",IF(HR_Data[[#This Row],[YearsAtCompany]]&lt;=5,"3-5 Yrs",IF(HR_Data[[#This Row],[YearsAtCompany]]&lt;=10,"6-10 Yrs","10+ Yrs")))</f>
        <v>3-5 Yrs</v>
      </c>
      <c r="AJ656" s="1">
        <f>IF(HR_Data[[#This Row],[YearsAtCompany]]&lt;=2,1,IF(HR_Data[[#This Row],[YearsAtCompany]]&lt;=5,2,IF(HR_Data[[#This Row],[YearsAtCompany]]&lt;=10,3,4)))</f>
        <v>2</v>
      </c>
      <c r="AK656" s="1" t="str">
        <f>CHOOSE(HR_Data[[#This Row],[Education]],"Below College","College","Bachelor","Master","Doctor")</f>
        <v>Bachelor</v>
      </c>
      <c r="AL656" s="1" t="str">
        <f>CHOOSE(HR_Data[[#This Row],[JobSatisfaction]],"Low","Medium","High","Very High")</f>
        <v>Very High</v>
      </c>
      <c r="AM656" s="1" t="str">
        <f>CHOOSE(HR_Data[[#This Row],[EnvironmentSatisfaction]],"Low","Medium","High","Very High")</f>
        <v>Very High</v>
      </c>
      <c r="AN656" s="1" t="str">
        <f>CHOOSE(HR_Data[[#This Row],[WorkLifeBalance]],"Bad","Good","Better","Best")</f>
        <v>Better</v>
      </c>
      <c r="AO656" s="1" t="str">
        <f>IF(HR_Data[[#This Row],[PercentSalaryHike]]&lt;=13,"11-13%",IF(HR_Data[[#This Row],[PercentSalaryHike]]&lt;=16,"14-16%",IF(HR_Data[[#This Row],[PercentSalaryHike]]&lt;=19,"17-19%","20-25%")))</f>
        <v>11-13%</v>
      </c>
      <c r="AP656" s="1">
        <f>IF(HR_Data[[#This Row],[PercentSalaryHike]]&lt;=13,1,IF(HR_Data[[#This Row],[PercentSalaryHike]]&lt;=16,2,IF(HR_Data[[#This Row],[PercentSalaryHike]]&lt;=19,3,4)))</f>
        <v>1</v>
      </c>
      <c r="AQ656" s="1" t="str">
        <f>IF(HR_Data[[#This Row],[DistanceFromHome]]&lt;=5,"1 to 5",IF(HR_Data[[#This Row],[DistanceFromHome]]&lt;=10,"6 to 10",IF(HR_Data[[#This Row],[DistanceFromHome]]&lt;=20,"11 to 20","21 to 29")))</f>
        <v>1 to 5</v>
      </c>
      <c r="AR656" s="1">
        <f>IF(HR_Data[[#This Row],[DistanceFromHome]]&lt;=5,1,IF(HR_Data[[#This Row],[DistanceFromHome]]&lt;=10,2,IF(HR_Data[[#This Row],[DistanceFromHome]]&lt;=20,3,4)))</f>
        <v>1</v>
      </c>
      <c r="AS656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656" s="1">
        <f>IF(HR_Data[[#This Row],[TotalWorkingYears]]&lt;=5,1,IF(HR_Data[[#This Row],[TotalWorkingYears]]&lt;=10,2,IF(HR_Data[[#This Row],[TotalWorkingYears]]&lt;=20,3,4)))</f>
        <v>3</v>
      </c>
    </row>
    <row r="657" spans="1:46" x14ac:dyDescent="0.25">
      <c r="A657">
        <v>33</v>
      </c>
      <c r="B657" t="s">
        <v>36</v>
      </c>
      <c r="C657" t="s">
        <v>30</v>
      </c>
      <c r="D657" t="s">
        <v>54</v>
      </c>
      <c r="E657">
        <v>3</v>
      </c>
      <c r="F657">
        <v>2</v>
      </c>
      <c r="G657" t="s">
        <v>54</v>
      </c>
      <c r="H657">
        <v>910</v>
      </c>
      <c r="I657">
        <v>4</v>
      </c>
      <c r="J657" t="s">
        <v>39</v>
      </c>
      <c r="K657">
        <v>3</v>
      </c>
      <c r="L657">
        <v>1</v>
      </c>
      <c r="M657" t="s">
        <v>54</v>
      </c>
      <c r="N657">
        <v>2</v>
      </c>
      <c r="O657" t="s">
        <v>45</v>
      </c>
      <c r="P657">
        <v>2277</v>
      </c>
      <c r="Q657">
        <v>3</v>
      </c>
      <c r="R657" t="s">
        <v>29</v>
      </c>
      <c r="S657">
        <v>11</v>
      </c>
      <c r="T657">
        <v>3</v>
      </c>
      <c r="U657">
        <v>3</v>
      </c>
      <c r="V657">
        <v>1</v>
      </c>
      <c r="W657">
        <v>7</v>
      </c>
      <c r="X657">
        <v>4</v>
      </c>
      <c r="Y657">
        <v>4</v>
      </c>
      <c r="Z657">
        <v>4</v>
      </c>
      <c r="AA657">
        <v>3</v>
      </c>
      <c r="AB657">
        <v>0</v>
      </c>
      <c r="AC657">
        <v>3</v>
      </c>
      <c r="AD657">
        <f>IF(HR_Data[[#This Row],[Attrition]]="Yes",1,0)</f>
        <v>0</v>
      </c>
      <c r="AE657" t="str">
        <f>IF(HR_Data[[#This Row],[Age]]&lt;=25,"18-25",IF(HR_Data[[#This Row],[Age]]&lt;=35,"26-35",IF(HR_Data[[#This Row],[Age]]&lt;=45,"36-45",IF(HR_Data[[#This Row],[Age]]&lt;=55,"46-55","55+"))))</f>
        <v>26-35</v>
      </c>
      <c r="AF657">
        <f>IF(HR_Data[[#This Row],[Age]]&lt;=25,1,IF(HR_Data[[#This Row],[Age]]&lt;=35,2,IF(HR_Data[[#This Row],[Age]]&lt;=45,3,IF(HR_Data[[#This Row],[Age]]&lt;=55,4,5))))</f>
        <v>2</v>
      </c>
      <c r="AG657" s="1" t="str">
        <f>IF(HR_Data[[#This Row],[MonthlyIncome]]&lt;3000,"&lt;3K",IF(HR_Data[[#This Row],[MonthlyIncome]]&lt;6000,"3K-6K",IF(HR_Data[[#This Row],[MonthlyIncome]]&lt;10000,"6K-10K","10K+")))</f>
        <v>&lt;3K</v>
      </c>
      <c r="AH657" s="1">
        <f>IF(HR_Data[[#This Row],[MonthlyIncome]]&lt;3000,1,IF(HR_Data[[#This Row],[MonthlyIncome]]&lt;6000,2,IF(HR_Data[[#This Row],[MonthlyIncome]]&lt;10000,3,4)))</f>
        <v>1</v>
      </c>
      <c r="AI657" s="1" t="str">
        <f>IF(HR_Data[[#This Row],[YearsAtCompany]]&lt;=2,"0-2 Yrs",IF(HR_Data[[#This Row],[YearsAtCompany]]&lt;=5,"3-5 Yrs",IF(HR_Data[[#This Row],[YearsAtCompany]]&lt;=10,"6-10 Yrs","10+ Yrs")))</f>
        <v>3-5 Yrs</v>
      </c>
      <c r="AJ657" s="1">
        <f>IF(HR_Data[[#This Row],[YearsAtCompany]]&lt;=2,1,IF(HR_Data[[#This Row],[YearsAtCompany]]&lt;=5,2,IF(HR_Data[[#This Row],[YearsAtCompany]]&lt;=10,3,4)))</f>
        <v>2</v>
      </c>
      <c r="AK657" s="1" t="str">
        <f>CHOOSE(HR_Data[[#This Row],[Education]],"Below College","College","Bachelor","Master","Doctor")</f>
        <v>College</v>
      </c>
      <c r="AL657" s="1" t="str">
        <f>CHOOSE(HR_Data[[#This Row],[JobSatisfaction]],"Low","Medium","High","Very High")</f>
        <v>Medium</v>
      </c>
      <c r="AM657" s="1" t="str">
        <f>CHOOSE(HR_Data[[#This Row],[EnvironmentSatisfaction]],"Low","Medium","High","Very High")</f>
        <v>Very High</v>
      </c>
      <c r="AN657" s="1" t="str">
        <f>CHOOSE(HR_Data[[#This Row],[WorkLifeBalance]],"Bad","Good","Better","Best")</f>
        <v>Best</v>
      </c>
      <c r="AO657" s="1" t="str">
        <f>IF(HR_Data[[#This Row],[PercentSalaryHike]]&lt;=13,"11-13%",IF(HR_Data[[#This Row],[PercentSalaryHike]]&lt;=16,"14-16%",IF(HR_Data[[#This Row],[PercentSalaryHike]]&lt;=19,"17-19%","20-25%")))</f>
        <v>11-13%</v>
      </c>
      <c r="AP657" s="1">
        <f>IF(HR_Data[[#This Row],[PercentSalaryHike]]&lt;=13,1,IF(HR_Data[[#This Row],[PercentSalaryHike]]&lt;=16,2,IF(HR_Data[[#This Row],[PercentSalaryHike]]&lt;=19,3,4)))</f>
        <v>1</v>
      </c>
      <c r="AQ657" s="1" t="str">
        <f>IF(HR_Data[[#This Row],[DistanceFromHome]]&lt;=5,"1 to 5",IF(HR_Data[[#This Row],[DistanceFromHome]]&lt;=10,"6 to 10",IF(HR_Data[[#This Row],[DistanceFromHome]]&lt;=20,"11 to 20","21 to 29")))</f>
        <v>1 to 5</v>
      </c>
      <c r="AR657" s="1">
        <f>IF(HR_Data[[#This Row],[DistanceFromHome]]&lt;=5,1,IF(HR_Data[[#This Row],[DistanceFromHome]]&lt;=10,2,IF(HR_Data[[#This Row],[DistanceFromHome]]&lt;=20,3,4)))</f>
        <v>1</v>
      </c>
      <c r="AS657" s="1" t="str">
        <f>IF(HR_Data[[#This Row],[TotalWorkingYears]]&lt;=5,"0-5 Yrs",IF(HR_Data[[#This Row],[TotalWorkingYears]]&lt;=10,"6-10 Yrs",IF(HR_Data[[#This Row],[TotalWorkingYears]]&lt;=20,"11-20 Yrs","20+ Yrs")))</f>
        <v>6-10 Yrs</v>
      </c>
      <c r="AT657" s="1">
        <f>IF(HR_Data[[#This Row],[TotalWorkingYears]]&lt;=5,1,IF(HR_Data[[#This Row],[TotalWorkingYears]]&lt;=10,2,IF(HR_Data[[#This Row],[TotalWorkingYears]]&lt;=20,3,4)))</f>
        <v>2</v>
      </c>
    </row>
    <row r="658" spans="1:46" x14ac:dyDescent="0.25">
      <c r="A658">
        <v>32</v>
      </c>
      <c r="B658" t="s">
        <v>29</v>
      </c>
      <c r="C658" t="s">
        <v>30</v>
      </c>
      <c r="D658" t="s">
        <v>38</v>
      </c>
      <c r="E658">
        <v>25</v>
      </c>
      <c r="F658">
        <v>4</v>
      </c>
      <c r="G658" t="s">
        <v>32</v>
      </c>
      <c r="H658">
        <v>911</v>
      </c>
      <c r="I658">
        <v>1</v>
      </c>
      <c r="J658" t="s">
        <v>39</v>
      </c>
      <c r="K658">
        <v>3</v>
      </c>
      <c r="L658">
        <v>1</v>
      </c>
      <c r="M658" t="s">
        <v>43</v>
      </c>
      <c r="N658">
        <v>4</v>
      </c>
      <c r="O658" t="s">
        <v>35</v>
      </c>
      <c r="P658">
        <v>2795</v>
      </c>
      <c r="Q658">
        <v>1</v>
      </c>
      <c r="R658" t="s">
        <v>29</v>
      </c>
      <c r="S658">
        <v>24</v>
      </c>
      <c r="T658">
        <v>4</v>
      </c>
      <c r="U658">
        <v>3</v>
      </c>
      <c r="V658">
        <v>0</v>
      </c>
      <c r="W658">
        <v>1</v>
      </c>
      <c r="X658">
        <v>2</v>
      </c>
      <c r="Y658">
        <v>1</v>
      </c>
      <c r="Z658">
        <v>1</v>
      </c>
      <c r="AA658">
        <v>0</v>
      </c>
      <c r="AB658">
        <v>0</v>
      </c>
      <c r="AC658">
        <v>1</v>
      </c>
      <c r="AD658">
        <f>IF(HR_Data[[#This Row],[Attrition]]="Yes",1,0)</f>
        <v>1</v>
      </c>
      <c r="AE658" t="str">
        <f>IF(HR_Data[[#This Row],[Age]]&lt;=25,"18-25",IF(HR_Data[[#This Row],[Age]]&lt;=35,"26-35",IF(HR_Data[[#This Row],[Age]]&lt;=45,"36-45",IF(HR_Data[[#This Row],[Age]]&lt;=55,"46-55","55+"))))</f>
        <v>26-35</v>
      </c>
      <c r="AF658">
        <f>IF(HR_Data[[#This Row],[Age]]&lt;=25,1,IF(HR_Data[[#This Row],[Age]]&lt;=35,2,IF(HR_Data[[#This Row],[Age]]&lt;=45,3,IF(HR_Data[[#This Row],[Age]]&lt;=55,4,5))))</f>
        <v>2</v>
      </c>
      <c r="AG658" s="1" t="str">
        <f>IF(HR_Data[[#This Row],[MonthlyIncome]]&lt;3000,"&lt;3K",IF(HR_Data[[#This Row],[MonthlyIncome]]&lt;6000,"3K-6K",IF(HR_Data[[#This Row],[MonthlyIncome]]&lt;10000,"6K-10K","10K+")))</f>
        <v>&lt;3K</v>
      </c>
      <c r="AH658" s="1">
        <f>IF(HR_Data[[#This Row],[MonthlyIncome]]&lt;3000,1,IF(HR_Data[[#This Row],[MonthlyIncome]]&lt;6000,2,IF(HR_Data[[#This Row],[MonthlyIncome]]&lt;10000,3,4)))</f>
        <v>1</v>
      </c>
      <c r="AI658" s="1" t="str">
        <f>IF(HR_Data[[#This Row],[YearsAtCompany]]&lt;=2,"0-2 Yrs",IF(HR_Data[[#This Row],[YearsAtCompany]]&lt;=5,"3-5 Yrs",IF(HR_Data[[#This Row],[YearsAtCompany]]&lt;=10,"6-10 Yrs","10+ Yrs")))</f>
        <v>0-2 Yrs</v>
      </c>
      <c r="AJ658" s="1">
        <f>IF(HR_Data[[#This Row],[YearsAtCompany]]&lt;=2,1,IF(HR_Data[[#This Row],[YearsAtCompany]]&lt;=5,2,IF(HR_Data[[#This Row],[YearsAtCompany]]&lt;=10,3,4)))</f>
        <v>1</v>
      </c>
      <c r="AK658" s="1" t="str">
        <f>CHOOSE(HR_Data[[#This Row],[Education]],"Below College","College","Bachelor","Master","Doctor")</f>
        <v>Master</v>
      </c>
      <c r="AL658" s="1" t="str">
        <f>CHOOSE(HR_Data[[#This Row],[JobSatisfaction]],"Low","Medium","High","Very High")</f>
        <v>Very High</v>
      </c>
      <c r="AM658" s="1" t="str">
        <f>CHOOSE(HR_Data[[#This Row],[EnvironmentSatisfaction]],"Low","Medium","High","Very High")</f>
        <v>Low</v>
      </c>
      <c r="AN658" s="1" t="str">
        <f>CHOOSE(HR_Data[[#This Row],[WorkLifeBalance]],"Bad","Good","Better","Best")</f>
        <v>Bad</v>
      </c>
      <c r="AO658" s="1" t="str">
        <f>IF(HR_Data[[#This Row],[PercentSalaryHike]]&lt;=13,"11-13%",IF(HR_Data[[#This Row],[PercentSalaryHike]]&lt;=16,"14-16%",IF(HR_Data[[#This Row],[PercentSalaryHike]]&lt;=19,"17-19%","20-25%")))</f>
        <v>20-25%</v>
      </c>
      <c r="AP658" s="1">
        <f>IF(HR_Data[[#This Row],[PercentSalaryHike]]&lt;=13,1,IF(HR_Data[[#This Row],[PercentSalaryHike]]&lt;=16,2,IF(HR_Data[[#This Row],[PercentSalaryHike]]&lt;=19,3,4)))</f>
        <v>4</v>
      </c>
      <c r="AQ658" s="1" t="str">
        <f>IF(HR_Data[[#This Row],[DistanceFromHome]]&lt;=5,"1 to 5",IF(HR_Data[[#This Row],[DistanceFromHome]]&lt;=10,"6 to 10",IF(HR_Data[[#This Row],[DistanceFromHome]]&lt;=20,"11 to 20","21 to 29")))</f>
        <v>21 to 29</v>
      </c>
      <c r="AR658" s="1">
        <f>IF(HR_Data[[#This Row],[DistanceFromHome]]&lt;=5,1,IF(HR_Data[[#This Row],[DistanceFromHome]]&lt;=10,2,IF(HR_Data[[#This Row],[DistanceFromHome]]&lt;=20,3,4)))</f>
        <v>4</v>
      </c>
      <c r="AS658" s="1" t="str">
        <f>IF(HR_Data[[#This Row],[TotalWorkingYears]]&lt;=5,"0-5 Yrs",IF(HR_Data[[#This Row],[TotalWorkingYears]]&lt;=10,"6-10 Yrs",IF(HR_Data[[#This Row],[TotalWorkingYears]]&lt;=20,"11-20 Yrs","20+ Yrs")))</f>
        <v>0-5 Yrs</v>
      </c>
      <c r="AT658" s="1">
        <f>IF(HR_Data[[#This Row],[TotalWorkingYears]]&lt;=5,1,IF(HR_Data[[#This Row],[TotalWorkingYears]]&lt;=10,2,IF(HR_Data[[#This Row],[TotalWorkingYears]]&lt;=20,3,4)))</f>
        <v>1</v>
      </c>
    </row>
    <row r="659" spans="1:46" x14ac:dyDescent="0.25">
      <c r="A659">
        <v>29</v>
      </c>
      <c r="B659" t="s">
        <v>36</v>
      </c>
      <c r="C659" t="s">
        <v>30</v>
      </c>
      <c r="D659" t="s">
        <v>38</v>
      </c>
      <c r="E659">
        <v>7</v>
      </c>
      <c r="F659">
        <v>1</v>
      </c>
      <c r="G659" t="s">
        <v>44</v>
      </c>
      <c r="H659">
        <v>912</v>
      </c>
      <c r="I659">
        <v>1</v>
      </c>
      <c r="J659" t="s">
        <v>33</v>
      </c>
      <c r="K659">
        <v>2</v>
      </c>
      <c r="L659">
        <v>1</v>
      </c>
      <c r="M659" t="s">
        <v>43</v>
      </c>
      <c r="N659">
        <v>4</v>
      </c>
      <c r="O659" t="s">
        <v>45</v>
      </c>
      <c r="P659">
        <v>2532</v>
      </c>
      <c r="Q659">
        <v>6</v>
      </c>
      <c r="R659" t="s">
        <v>36</v>
      </c>
      <c r="S659">
        <v>14</v>
      </c>
      <c r="T659">
        <v>3</v>
      </c>
      <c r="U659">
        <v>3</v>
      </c>
      <c r="V659">
        <v>3</v>
      </c>
      <c r="W659">
        <v>8</v>
      </c>
      <c r="X659">
        <v>5</v>
      </c>
      <c r="Y659">
        <v>3</v>
      </c>
      <c r="Z659">
        <v>4</v>
      </c>
      <c r="AA659">
        <v>3</v>
      </c>
      <c r="AB659">
        <v>0</v>
      </c>
      <c r="AC659">
        <v>3</v>
      </c>
      <c r="AD659">
        <f>IF(HR_Data[[#This Row],[Attrition]]="Yes",1,0)</f>
        <v>0</v>
      </c>
      <c r="AE659" t="str">
        <f>IF(HR_Data[[#This Row],[Age]]&lt;=25,"18-25",IF(HR_Data[[#This Row],[Age]]&lt;=35,"26-35",IF(HR_Data[[#This Row],[Age]]&lt;=45,"36-45",IF(HR_Data[[#This Row],[Age]]&lt;=55,"46-55","55+"))))</f>
        <v>26-35</v>
      </c>
      <c r="AF659">
        <f>IF(HR_Data[[#This Row],[Age]]&lt;=25,1,IF(HR_Data[[#This Row],[Age]]&lt;=35,2,IF(HR_Data[[#This Row],[Age]]&lt;=45,3,IF(HR_Data[[#This Row],[Age]]&lt;=55,4,5))))</f>
        <v>2</v>
      </c>
      <c r="AG659" s="1" t="str">
        <f>IF(HR_Data[[#This Row],[MonthlyIncome]]&lt;3000,"&lt;3K",IF(HR_Data[[#This Row],[MonthlyIncome]]&lt;6000,"3K-6K",IF(HR_Data[[#This Row],[MonthlyIncome]]&lt;10000,"6K-10K","10K+")))</f>
        <v>&lt;3K</v>
      </c>
      <c r="AH659" s="1">
        <f>IF(HR_Data[[#This Row],[MonthlyIncome]]&lt;3000,1,IF(HR_Data[[#This Row],[MonthlyIncome]]&lt;6000,2,IF(HR_Data[[#This Row],[MonthlyIncome]]&lt;10000,3,4)))</f>
        <v>1</v>
      </c>
      <c r="AI659" s="1" t="str">
        <f>IF(HR_Data[[#This Row],[YearsAtCompany]]&lt;=2,"0-2 Yrs",IF(HR_Data[[#This Row],[YearsAtCompany]]&lt;=5,"3-5 Yrs",IF(HR_Data[[#This Row],[YearsAtCompany]]&lt;=10,"6-10 Yrs","10+ Yrs")))</f>
        <v>3-5 Yrs</v>
      </c>
      <c r="AJ659" s="1">
        <f>IF(HR_Data[[#This Row],[YearsAtCompany]]&lt;=2,1,IF(HR_Data[[#This Row],[YearsAtCompany]]&lt;=5,2,IF(HR_Data[[#This Row],[YearsAtCompany]]&lt;=10,3,4)))</f>
        <v>2</v>
      </c>
      <c r="AK659" s="1" t="str">
        <f>CHOOSE(HR_Data[[#This Row],[Education]],"Below College","College","Bachelor","Master","Doctor")</f>
        <v>Below College</v>
      </c>
      <c r="AL659" s="1" t="str">
        <f>CHOOSE(HR_Data[[#This Row],[JobSatisfaction]],"Low","Medium","High","Very High")</f>
        <v>Very High</v>
      </c>
      <c r="AM659" s="1" t="str">
        <f>CHOOSE(HR_Data[[#This Row],[EnvironmentSatisfaction]],"Low","Medium","High","Very High")</f>
        <v>Low</v>
      </c>
      <c r="AN659" s="1" t="str">
        <f>CHOOSE(HR_Data[[#This Row],[WorkLifeBalance]],"Bad","Good","Better","Best")</f>
        <v>Better</v>
      </c>
      <c r="AO659" s="1" t="str">
        <f>IF(HR_Data[[#This Row],[PercentSalaryHike]]&lt;=13,"11-13%",IF(HR_Data[[#This Row],[PercentSalaryHike]]&lt;=16,"14-16%",IF(HR_Data[[#This Row],[PercentSalaryHike]]&lt;=19,"17-19%","20-25%")))</f>
        <v>14-16%</v>
      </c>
      <c r="AP659" s="1">
        <f>IF(HR_Data[[#This Row],[PercentSalaryHike]]&lt;=13,1,IF(HR_Data[[#This Row],[PercentSalaryHike]]&lt;=16,2,IF(HR_Data[[#This Row],[PercentSalaryHike]]&lt;=19,3,4)))</f>
        <v>2</v>
      </c>
      <c r="AQ659" s="1" t="str">
        <f>IF(HR_Data[[#This Row],[DistanceFromHome]]&lt;=5,"1 to 5",IF(HR_Data[[#This Row],[DistanceFromHome]]&lt;=10,"6 to 10",IF(HR_Data[[#This Row],[DistanceFromHome]]&lt;=20,"11 to 20","21 to 29")))</f>
        <v>6 to 10</v>
      </c>
      <c r="AR659" s="1">
        <f>IF(HR_Data[[#This Row],[DistanceFromHome]]&lt;=5,1,IF(HR_Data[[#This Row],[DistanceFromHome]]&lt;=10,2,IF(HR_Data[[#This Row],[DistanceFromHome]]&lt;=20,3,4)))</f>
        <v>2</v>
      </c>
      <c r="AS659" s="1" t="str">
        <f>IF(HR_Data[[#This Row],[TotalWorkingYears]]&lt;=5,"0-5 Yrs",IF(HR_Data[[#This Row],[TotalWorkingYears]]&lt;=10,"6-10 Yrs",IF(HR_Data[[#This Row],[TotalWorkingYears]]&lt;=20,"11-20 Yrs","20+ Yrs")))</f>
        <v>6-10 Yrs</v>
      </c>
      <c r="AT659" s="1">
        <f>IF(HR_Data[[#This Row],[TotalWorkingYears]]&lt;=5,1,IF(HR_Data[[#This Row],[TotalWorkingYears]]&lt;=10,2,IF(HR_Data[[#This Row],[TotalWorkingYears]]&lt;=20,3,4)))</f>
        <v>2</v>
      </c>
    </row>
    <row r="660" spans="1:46" x14ac:dyDescent="0.25">
      <c r="A660">
        <v>44</v>
      </c>
      <c r="B660" t="s">
        <v>36</v>
      </c>
      <c r="C660" t="s">
        <v>30</v>
      </c>
      <c r="D660" t="s">
        <v>38</v>
      </c>
      <c r="E660">
        <v>9</v>
      </c>
      <c r="F660">
        <v>2</v>
      </c>
      <c r="G660" t="s">
        <v>32</v>
      </c>
      <c r="H660">
        <v>913</v>
      </c>
      <c r="I660">
        <v>2</v>
      </c>
      <c r="J660" t="s">
        <v>39</v>
      </c>
      <c r="K660">
        <v>3</v>
      </c>
      <c r="L660">
        <v>1</v>
      </c>
      <c r="M660" t="s">
        <v>40</v>
      </c>
      <c r="N660">
        <v>1</v>
      </c>
      <c r="O660" t="s">
        <v>41</v>
      </c>
      <c r="P660">
        <v>2559</v>
      </c>
      <c r="Q660">
        <v>1</v>
      </c>
      <c r="R660" t="s">
        <v>29</v>
      </c>
      <c r="S660">
        <v>13</v>
      </c>
      <c r="T660">
        <v>3</v>
      </c>
      <c r="U660">
        <v>4</v>
      </c>
      <c r="V660">
        <v>0</v>
      </c>
      <c r="W660">
        <v>8</v>
      </c>
      <c r="X660">
        <v>0</v>
      </c>
      <c r="Y660">
        <v>3</v>
      </c>
      <c r="Z660">
        <v>8</v>
      </c>
      <c r="AA660">
        <v>7</v>
      </c>
      <c r="AB660">
        <v>7</v>
      </c>
      <c r="AC660">
        <v>1</v>
      </c>
      <c r="AD660">
        <f>IF(HR_Data[[#This Row],[Attrition]]="Yes",1,0)</f>
        <v>0</v>
      </c>
      <c r="AE660" t="str">
        <f>IF(HR_Data[[#This Row],[Age]]&lt;=25,"18-25",IF(HR_Data[[#This Row],[Age]]&lt;=35,"26-35",IF(HR_Data[[#This Row],[Age]]&lt;=45,"36-45",IF(HR_Data[[#This Row],[Age]]&lt;=55,"46-55","55+"))))</f>
        <v>36-45</v>
      </c>
      <c r="AF660">
        <f>IF(HR_Data[[#This Row],[Age]]&lt;=25,1,IF(HR_Data[[#This Row],[Age]]&lt;=35,2,IF(HR_Data[[#This Row],[Age]]&lt;=45,3,IF(HR_Data[[#This Row],[Age]]&lt;=55,4,5))))</f>
        <v>3</v>
      </c>
      <c r="AG660" s="1" t="str">
        <f>IF(HR_Data[[#This Row],[MonthlyIncome]]&lt;3000,"&lt;3K",IF(HR_Data[[#This Row],[MonthlyIncome]]&lt;6000,"3K-6K",IF(HR_Data[[#This Row],[MonthlyIncome]]&lt;10000,"6K-10K","10K+")))</f>
        <v>&lt;3K</v>
      </c>
      <c r="AH660" s="1">
        <f>IF(HR_Data[[#This Row],[MonthlyIncome]]&lt;3000,1,IF(HR_Data[[#This Row],[MonthlyIncome]]&lt;6000,2,IF(HR_Data[[#This Row],[MonthlyIncome]]&lt;10000,3,4)))</f>
        <v>1</v>
      </c>
      <c r="AI660" s="1" t="str">
        <f>IF(HR_Data[[#This Row],[YearsAtCompany]]&lt;=2,"0-2 Yrs",IF(HR_Data[[#This Row],[YearsAtCompany]]&lt;=5,"3-5 Yrs",IF(HR_Data[[#This Row],[YearsAtCompany]]&lt;=10,"6-10 Yrs","10+ Yrs")))</f>
        <v>6-10 Yrs</v>
      </c>
      <c r="AJ660" s="1">
        <f>IF(HR_Data[[#This Row],[YearsAtCompany]]&lt;=2,1,IF(HR_Data[[#This Row],[YearsAtCompany]]&lt;=5,2,IF(HR_Data[[#This Row],[YearsAtCompany]]&lt;=10,3,4)))</f>
        <v>3</v>
      </c>
      <c r="AK660" s="1" t="str">
        <f>CHOOSE(HR_Data[[#This Row],[Education]],"Below College","College","Bachelor","Master","Doctor")</f>
        <v>College</v>
      </c>
      <c r="AL660" s="1" t="str">
        <f>CHOOSE(HR_Data[[#This Row],[JobSatisfaction]],"Low","Medium","High","Very High")</f>
        <v>Low</v>
      </c>
      <c r="AM660" s="1" t="str">
        <f>CHOOSE(HR_Data[[#This Row],[EnvironmentSatisfaction]],"Low","Medium","High","Very High")</f>
        <v>Medium</v>
      </c>
      <c r="AN660" s="1" t="str">
        <f>CHOOSE(HR_Data[[#This Row],[WorkLifeBalance]],"Bad","Good","Better","Best")</f>
        <v>Better</v>
      </c>
      <c r="AO660" s="1" t="str">
        <f>IF(HR_Data[[#This Row],[PercentSalaryHike]]&lt;=13,"11-13%",IF(HR_Data[[#This Row],[PercentSalaryHike]]&lt;=16,"14-16%",IF(HR_Data[[#This Row],[PercentSalaryHike]]&lt;=19,"17-19%","20-25%")))</f>
        <v>11-13%</v>
      </c>
      <c r="AP660" s="1">
        <f>IF(HR_Data[[#This Row],[PercentSalaryHike]]&lt;=13,1,IF(HR_Data[[#This Row],[PercentSalaryHike]]&lt;=16,2,IF(HR_Data[[#This Row],[PercentSalaryHike]]&lt;=19,3,4)))</f>
        <v>1</v>
      </c>
      <c r="AQ660" s="1" t="str">
        <f>IF(HR_Data[[#This Row],[DistanceFromHome]]&lt;=5,"1 to 5",IF(HR_Data[[#This Row],[DistanceFromHome]]&lt;=10,"6 to 10",IF(HR_Data[[#This Row],[DistanceFromHome]]&lt;=20,"11 to 20","21 to 29")))</f>
        <v>6 to 10</v>
      </c>
      <c r="AR660" s="1">
        <f>IF(HR_Data[[#This Row],[DistanceFromHome]]&lt;=5,1,IF(HR_Data[[#This Row],[DistanceFromHome]]&lt;=10,2,IF(HR_Data[[#This Row],[DistanceFromHome]]&lt;=20,3,4)))</f>
        <v>2</v>
      </c>
      <c r="AS660" s="1" t="str">
        <f>IF(HR_Data[[#This Row],[TotalWorkingYears]]&lt;=5,"0-5 Yrs",IF(HR_Data[[#This Row],[TotalWorkingYears]]&lt;=10,"6-10 Yrs",IF(HR_Data[[#This Row],[TotalWorkingYears]]&lt;=20,"11-20 Yrs","20+ Yrs")))</f>
        <v>6-10 Yrs</v>
      </c>
      <c r="AT660" s="1">
        <f>IF(HR_Data[[#This Row],[TotalWorkingYears]]&lt;=5,1,IF(HR_Data[[#This Row],[TotalWorkingYears]]&lt;=10,2,IF(HR_Data[[#This Row],[TotalWorkingYears]]&lt;=20,3,4)))</f>
        <v>2</v>
      </c>
    </row>
    <row r="661" spans="1:46" x14ac:dyDescent="0.25">
      <c r="A661">
        <v>28</v>
      </c>
      <c r="B661" t="s">
        <v>36</v>
      </c>
      <c r="C661" t="s">
        <v>30</v>
      </c>
      <c r="D661" t="s">
        <v>31</v>
      </c>
      <c r="E661">
        <v>5</v>
      </c>
      <c r="F661">
        <v>4</v>
      </c>
      <c r="G661" t="s">
        <v>44</v>
      </c>
      <c r="H661">
        <v>916</v>
      </c>
      <c r="I661">
        <v>1</v>
      </c>
      <c r="J661" t="s">
        <v>39</v>
      </c>
      <c r="K661">
        <v>3</v>
      </c>
      <c r="L661">
        <v>2</v>
      </c>
      <c r="M661" t="s">
        <v>34</v>
      </c>
      <c r="N661">
        <v>4</v>
      </c>
      <c r="O661" t="s">
        <v>35</v>
      </c>
      <c r="P661">
        <v>4908</v>
      </c>
      <c r="Q661">
        <v>1</v>
      </c>
      <c r="R661" t="s">
        <v>36</v>
      </c>
      <c r="S661">
        <v>14</v>
      </c>
      <c r="T661">
        <v>3</v>
      </c>
      <c r="U661">
        <v>2</v>
      </c>
      <c r="V661">
        <v>0</v>
      </c>
      <c r="W661">
        <v>4</v>
      </c>
      <c r="X661">
        <v>3</v>
      </c>
      <c r="Y661">
        <v>3</v>
      </c>
      <c r="Z661">
        <v>4</v>
      </c>
      <c r="AA661">
        <v>2</v>
      </c>
      <c r="AB661">
        <v>0</v>
      </c>
      <c r="AC661">
        <v>2</v>
      </c>
      <c r="AD661">
        <f>IF(HR_Data[[#This Row],[Attrition]]="Yes",1,0)</f>
        <v>0</v>
      </c>
      <c r="AE661" t="str">
        <f>IF(HR_Data[[#This Row],[Age]]&lt;=25,"18-25",IF(HR_Data[[#This Row],[Age]]&lt;=35,"26-35",IF(HR_Data[[#This Row],[Age]]&lt;=45,"36-45",IF(HR_Data[[#This Row],[Age]]&lt;=55,"46-55","55+"))))</f>
        <v>26-35</v>
      </c>
      <c r="AF661">
        <f>IF(HR_Data[[#This Row],[Age]]&lt;=25,1,IF(HR_Data[[#This Row],[Age]]&lt;=35,2,IF(HR_Data[[#This Row],[Age]]&lt;=45,3,IF(HR_Data[[#This Row],[Age]]&lt;=55,4,5))))</f>
        <v>2</v>
      </c>
      <c r="AG661" s="1" t="str">
        <f>IF(HR_Data[[#This Row],[MonthlyIncome]]&lt;3000,"&lt;3K",IF(HR_Data[[#This Row],[MonthlyIncome]]&lt;6000,"3K-6K",IF(HR_Data[[#This Row],[MonthlyIncome]]&lt;10000,"6K-10K","10K+")))</f>
        <v>3K-6K</v>
      </c>
      <c r="AH661" s="1">
        <f>IF(HR_Data[[#This Row],[MonthlyIncome]]&lt;3000,1,IF(HR_Data[[#This Row],[MonthlyIncome]]&lt;6000,2,IF(HR_Data[[#This Row],[MonthlyIncome]]&lt;10000,3,4)))</f>
        <v>2</v>
      </c>
      <c r="AI661" s="1" t="str">
        <f>IF(HR_Data[[#This Row],[YearsAtCompany]]&lt;=2,"0-2 Yrs",IF(HR_Data[[#This Row],[YearsAtCompany]]&lt;=5,"3-5 Yrs",IF(HR_Data[[#This Row],[YearsAtCompany]]&lt;=10,"6-10 Yrs","10+ Yrs")))</f>
        <v>3-5 Yrs</v>
      </c>
      <c r="AJ661" s="1">
        <f>IF(HR_Data[[#This Row],[YearsAtCompany]]&lt;=2,1,IF(HR_Data[[#This Row],[YearsAtCompany]]&lt;=5,2,IF(HR_Data[[#This Row],[YearsAtCompany]]&lt;=10,3,4)))</f>
        <v>2</v>
      </c>
      <c r="AK661" s="1" t="str">
        <f>CHOOSE(HR_Data[[#This Row],[Education]],"Below College","College","Bachelor","Master","Doctor")</f>
        <v>Master</v>
      </c>
      <c r="AL661" s="1" t="str">
        <f>CHOOSE(HR_Data[[#This Row],[JobSatisfaction]],"Low","Medium","High","Very High")</f>
        <v>Very High</v>
      </c>
      <c r="AM661" s="1" t="str">
        <f>CHOOSE(HR_Data[[#This Row],[EnvironmentSatisfaction]],"Low","Medium","High","Very High")</f>
        <v>Low</v>
      </c>
      <c r="AN661" s="1" t="str">
        <f>CHOOSE(HR_Data[[#This Row],[WorkLifeBalance]],"Bad","Good","Better","Best")</f>
        <v>Better</v>
      </c>
      <c r="AO661" s="1" t="str">
        <f>IF(HR_Data[[#This Row],[PercentSalaryHike]]&lt;=13,"11-13%",IF(HR_Data[[#This Row],[PercentSalaryHike]]&lt;=16,"14-16%",IF(HR_Data[[#This Row],[PercentSalaryHike]]&lt;=19,"17-19%","20-25%")))</f>
        <v>14-16%</v>
      </c>
      <c r="AP661" s="1">
        <f>IF(HR_Data[[#This Row],[PercentSalaryHike]]&lt;=13,1,IF(HR_Data[[#This Row],[PercentSalaryHike]]&lt;=16,2,IF(HR_Data[[#This Row],[PercentSalaryHike]]&lt;=19,3,4)))</f>
        <v>2</v>
      </c>
      <c r="AQ661" s="1" t="str">
        <f>IF(HR_Data[[#This Row],[DistanceFromHome]]&lt;=5,"1 to 5",IF(HR_Data[[#This Row],[DistanceFromHome]]&lt;=10,"6 to 10",IF(HR_Data[[#This Row],[DistanceFromHome]]&lt;=20,"11 to 20","21 to 29")))</f>
        <v>1 to 5</v>
      </c>
      <c r="AR661" s="1">
        <f>IF(HR_Data[[#This Row],[DistanceFromHome]]&lt;=5,1,IF(HR_Data[[#This Row],[DistanceFromHome]]&lt;=10,2,IF(HR_Data[[#This Row],[DistanceFromHome]]&lt;=20,3,4)))</f>
        <v>1</v>
      </c>
      <c r="AS661" s="1" t="str">
        <f>IF(HR_Data[[#This Row],[TotalWorkingYears]]&lt;=5,"0-5 Yrs",IF(HR_Data[[#This Row],[TotalWorkingYears]]&lt;=10,"6-10 Yrs",IF(HR_Data[[#This Row],[TotalWorkingYears]]&lt;=20,"11-20 Yrs","20+ Yrs")))</f>
        <v>0-5 Yrs</v>
      </c>
      <c r="AT661" s="1">
        <f>IF(HR_Data[[#This Row],[TotalWorkingYears]]&lt;=5,1,IF(HR_Data[[#This Row],[TotalWorkingYears]]&lt;=10,2,IF(HR_Data[[#This Row],[TotalWorkingYears]]&lt;=20,3,4)))</f>
        <v>1</v>
      </c>
    </row>
    <row r="662" spans="1:46" x14ac:dyDescent="0.25">
      <c r="A662">
        <v>58</v>
      </c>
      <c r="B662" t="s">
        <v>29</v>
      </c>
      <c r="C662" t="s">
        <v>37</v>
      </c>
      <c r="D662" t="s">
        <v>38</v>
      </c>
      <c r="E662">
        <v>2</v>
      </c>
      <c r="F662">
        <v>1</v>
      </c>
      <c r="G662" t="s">
        <v>32</v>
      </c>
      <c r="H662">
        <v>918</v>
      </c>
      <c r="I662">
        <v>4</v>
      </c>
      <c r="J662" t="s">
        <v>39</v>
      </c>
      <c r="K662">
        <v>2</v>
      </c>
      <c r="L662">
        <v>1</v>
      </c>
      <c r="M662" t="s">
        <v>43</v>
      </c>
      <c r="N662">
        <v>4</v>
      </c>
      <c r="O662" t="s">
        <v>45</v>
      </c>
      <c r="P662">
        <v>2380</v>
      </c>
      <c r="Q662">
        <v>9</v>
      </c>
      <c r="R662" t="s">
        <v>29</v>
      </c>
      <c r="S662">
        <v>14</v>
      </c>
      <c r="T662">
        <v>3</v>
      </c>
      <c r="U662">
        <v>4</v>
      </c>
      <c r="V662">
        <v>1</v>
      </c>
      <c r="W662">
        <v>3</v>
      </c>
      <c r="X662">
        <v>3</v>
      </c>
      <c r="Y662">
        <v>2</v>
      </c>
      <c r="Z662">
        <v>1</v>
      </c>
      <c r="AA662">
        <v>0</v>
      </c>
      <c r="AB662">
        <v>0</v>
      </c>
      <c r="AC662">
        <v>0</v>
      </c>
      <c r="AD662">
        <f>IF(HR_Data[[#This Row],[Attrition]]="Yes",1,0)</f>
        <v>1</v>
      </c>
      <c r="AE662" t="str">
        <f>IF(HR_Data[[#This Row],[Age]]&lt;=25,"18-25",IF(HR_Data[[#This Row],[Age]]&lt;=35,"26-35",IF(HR_Data[[#This Row],[Age]]&lt;=45,"36-45",IF(HR_Data[[#This Row],[Age]]&lt;=55,"46-55","55+"))))</f>
        <v>55+</v>
      </c>
      <c r="AF662">
        <f>IF(HR_Data[[#This Row],[Age]]&lt;=25,1,IF(HR_Data[[#This Row],[Age]]&lt;=35,2,IF(HR_Data[[#This Row],[Age]]&lt;=45,3,IF(HR_Data[[#This Row],[Age]]&lt;=55,4,5))))</f>
        <v>5</v>
      </c>
      <c r="AG662" s="1" t="str">
        <f>IF(HR_Data[[#This Row],[MonthlyIncome]]&lt;3000,"&lt;3K",IF(HR_Data[[#This Row],[MonthlyIncome]]&lt;6000,"3K-6K",IF(HR_Data[[#This Row],[MonthlyIncome]]&lt;10000,"6K-10K","10K+")))</f>
        <v>&lt;3K</v>
      </c>
      <c r="AH662" s="1">
        <f>IF(HR_Data[[#This Row],[MonthlyIncome]]&lt;3000,1,IF(HR_Data[[#This Row],[MonthlyIncome]]&lt;6000,2,IF(HR_Data[[#This Row],[MonthlyIncome]]&lt;10000,3,4)))</f>
        <v>1</v>
      </c>
      <c r="AI662" s="1" t="str">
        <f>IF(HR_Data[[#This Row],[YearsAtCompany]]&lt;=2,"0-2 Yrs",IF(HR_Data[[#This Row],[YearsAtCompany]]&lt;=5,"3-5 Yrs",IF(HR_Data[[#This Row],[YearsAtCompany]]&lt;=10,"6-10 Yrs","10+ Yrs")))</f>
        <v>0-2 Yrs</v>
      </c>
      <c r="AJ662" s="1">
        <f>IF(HR_Data[[#This Row],[YearsAtCompany]]&lt;=2,1,IF(HR_Data[[#This Row],[YearsAtCompany]]&lt;=5,2,IF(HR_Data[[#This Row],[YearsAtCompany]]&lt;=10,3,4)))</f>
        <v>1</v>
      </c>
      <c r="AK662" s="1" t="str">
        <f>CHOOSE(HR_Data[[#This Row],[Education]],"Below College","College","Bachelor","Master","Doctor")</f>
        <v>Below College</v>
      </c>
      <c r="AL662" s="1" t="str">
        <f>CHOOSE(HR_Data[[#This Row],[JobSatisfaction]],"Low","Medium","High","Very High")</f>
        <v>Very High</v>
      </c>
      <c r="AM662" s="1" t="str">
        <f>CHOOSE(HR_Data[[#This Row],[EnvironmentSatisfaction]],"Low","Medium","High","Very High")</f>
        <v>Very High</v>
      </c>
      <c r="AN662" s="1" t="str">
        <f>CHOOSE(HR_Data[[#This Row],[WorkLifeBalance]],"Bad","Good","Better","Best")</f>
        <v>Good</v>
      </c>
      <c r="AO662" s="1" t="str">
        <f>IF(HR_Data[[#This Row],[PercentSalaryHike]]&lt;=13,"11-13%",IF(HR_Data[[#This Row],[PercentSalaryHike]]&lt;=16,"14-16%",IF(HR_Data[[#This Row],[PercentSalaryHike]]&lt;=19,"17-19%","20-25%")))</f>
        <v>14-16%</v>
      </c>
      <c r="AP662" s="1">
        <f>IF(HR_Data[[#This Row],[PercentSalaryHike]]&lt;=13,1,IF(HR_Data[[#This Row],[PercentSalaryHike]]&lt;=16,2,IF(HR_Data[[#This Row],[PercentSalaryHike]]&lt;=19,3,4)))</f>
        <v>2</v>
      </c>
      <c r="AQ662" s="1" t="str">
        <f>IF(HR_Data[[#This Row],[DistanceFromHome]]&lt;=5,"1 to 5",IF(HR_Data[[#This Row],[DistanceFromHome]]&lt;=10,"6 to 10",IF(HR_Data[[#This Row],[DistanceFromHome]]&lt;=20,"11 to 20","21 to 29")))</f>
        <v>1 to 5</v>
      </c>
      <c r="AR662" s="1">
        <f>IF(HR_Data[[#This Row],[DistanceFromHome]]&lt;=5,1,IF(HR_Data[[#This Row],[DistanceFromHome]]&lt;=10,2,IF(HR_Data[[#This Row],[DistanceFromHome]]&lt;=20,3,4)))</f>
        <v>1</v>
      </c>
      <c r="AS662" s="1" t="str">
        <f>IF(HR_Data[[#This Row],[TotalWorkingYears]]&lt;=5,"0-5 Yrs",IF(HR_Data[[#This Row],[TotalWorkingYears]]&lt;=10,"6-10 Yrs",IF(HR_Data[[#This Row],[TotalWorkingYears]]&lt;=20,"11-20 Yrs","20+ Yrs")))</f>
        <v>0-5 Yrs</v>
      </c>
      <c r="AT662" s="1">
        <f>IF(HR_Data[[#This Row],[TotalWorkingYears]]&lt;=5,1,IF(HR_Data[[#This Row],[TotalWorkingYears]]&lt;=10,2,IF(HR_Data[[#This Row],[TotalWorkingYears]]&lt;=20,3,4)))</f>
        <v>1</v>
      </c>
    </row>
    <row r="663" spans="1:46" x14ac:dyDescent="0.25">
      <c r="A663">
        <v>43</v>
      </c>
      <c r="B663" t="s">
        <v>36</v>
      </c>
      <c r="C663" t="s">
        <v>30</v>
      </c>
      <c r="D663" t="s">
        <v>38</v>
      </c>
      <c r="E663">
        <v>8</v>
      </c>
      <c r="F663">
        <v>3</v>
      </c>
      <c r="G663" t="s">
        <v>32</v>
      </c>
      <c r="H663">
        <v>920</v>
      </c>
      <c r="I663">
        <v>1</v>
      </c>
      <c r="J663" t="s">
        <v>33</v>
      </c>
      <c r="K663">
        <v>3</v>
      </c>
      <c r="L663">
        <v>2</v>
      </c>
      <c r="M663" t="s">
        <v>46</v>
      </c>
      <c r="N663">
        <v>2</v>
      </c>
      <c r="O663" t="s">
        <v>45</v>
      </c>
      <c r="P663">
        <v>4765</v>
      </c>
      <c r="Q663">
        <v>4</v>
      </c>
      <c r="R663" t="s">
        <v>36</v>
      </c>
      <c r="S663">
        <v>21</v>
      </c>
      <c r="T663">
        <v>4</v>
      </c>
      <c r="U663">
        <v>3</v>
      </c>
      <c r="V663">
        <v>1</v>
      </c>
      <c r="W663">
        <v>4</v>
      </c>
      <c r="X663">
        <v>2</v>
      </c>
      <c r="Y663">
        <v>4</v>
      </c>
      <c r="Z663">
        <v>1</v>
      </c>
      <c r="AA663">
        <v>0</v>
      </c>
      <c r="AB663">
        <v>0</v>
      </c>
      <c r="AC663">
        <v>0</v>
      </c>
      <c r="AD663">
        <f>IF(HR_Data[[#This Row],[Attrition]]="Yes",1,0)</f>
        <v>0</v>
      </c>
      <c r="AE663" t="str">
        <f>IF(HR_Data[[#This Row],[Age]]&lt;=25,"18-25",IF(HR_Data[[#This Row],[Age]]&lt;=35,"26-35",IF(HR_Data[[#This Row],[Age]]&lt;=45,"36-45",IF(HR_Data[[#This Row],[Age]]&lt;=55,"46-55","55+"))))</f>
        <v>36-45</v>
      </c>
      <c r="AF663">
        <f>IF(HR_Data[[#This Row],[Age]]&lt;=25,1,IF(HR_Data[[#This Row],[Age]]&lt;=35,2,IF(HR_Data[[#This Row],[Age]]&lt;=45,3,IF(HR_Data[[#This Row],[Age]]&lt;=55,4,5))))</f>
        <v>3</v>
      </c>
      <c r="AG663" s="1" t="str">
        <f>IF(HR_Data[[#This Row],[MonthlyIncome]]&lt;3000,"&lt;3K",IF(HR_Data[[#This Row],[MonthlyIncome]]&lt;6000,"3K-6K",IF(HR_Data[[#This Row],[MonthlyIncome]]&lt;10000,"6K-10K","10K+")))</f>
        <v>3K-6K</v>
      </c>
      <c r="AH663" s="1">
        <f>IF(HR_Data[[#This Row],[MonthlyIncome]]&lt;3000,1,IF(HR_Data[[#This Row],[MonthlyIncome]]&lt;6000,2,IF(HR_Data[[#This Row],[MonthlyIncome]]&lt;10000,3,4)))</f>
        <v>2</v>
      </c>
      <c r="AI663" s="1" t="str">
        <f>IF(HR_Data[[#This Row],[YearsAtCompany]]&lt;=2,"0-2 Yrs",IF(HR_Data[[#This Row],[YearsAtCompany]]&lt;=5,"3-5 Yrs",IF(HR_Data[[#This Row],[YearsAtCompany]]&lt;=10,"6-10 Yrs","10+ Yrs")))</f>
        <v>0-2 Yrs</v>
      </c>
      <c r="AJ663" s="1">
        <f>IF(HR_Data[[#This Row],[YearsAtCompany]]&lt;=2,1,IF(HR_Data[[#This Row],[YearsAtCompany]]&lt;=5,2,IF(HR_Data[[#This Row],[YearsAtCompany]]&lt;=10,3,4)))</f>
        <v>1</v>
      </c>
      <c r="AK663" s="1" t="str">
        <f>CHOOSE(HR_Data[[#This Row],[Education]],"Below College","College","Bachelor","Master","Doctor")</f>
        <v>Bachelor</v>
      </c>
      <c r="AL663" s="1" t="str">
        <f>CHOOSE(HR_Data[[#This Row],[JobSatisfaction]],"Low","Medium","High","Very High")</f>
        <v>Medium</v>
      </c>
      <c r="AM663" s="1" t="str">
        <f>CHOOSE(HR_Data[[#This Row],[EnvironmentSatisfaction]],"Low","Medium","High","Very High")</f>
        <v>Low</v>
      </c>
      <c r="AN663" s="1" t="str">
        <f>CHOOSE(HR_Data[[#This Row],[WorkLifeBalance]],"Bad","Good","Better","Best")</f>
        <v>Best</v>
      </c>
      <c r="AO663" s="1" t="str">
        <f>IF(HR_Data[[#This Row],[PercentSalaryHike]]&lt;=13,"11-13%",IF(HR_Data[[#This Row],[PercentSalaryHike]]&lt;=16,"14-16%",IF(HR_Data[[#This Row],[PercentSalaryHike]]&lt;=19,"17-19%","20-25%")))</f>
        <v>20-25%</v>
      </c>
      <c r="AP663" s="1">
        <f>IF(HR_Data[[#This Row],[PercentSalaryHike]]&lt;=13,1,IF(HR_Data[[#This Row],[PercentSalaryHike]]&lt;=16,2,IF(HR_Data[[#This Row],[PercentSalaryHike]]&lt;=19,3,4)))</f>
        <v>4</v>
      </c>
      <c r="AQ663" s="1" t="str">
        <f>IF(HR_Data[[#This Row],[DistanceFromHome]]&lt;=5,"1 to 5",IF(HR_Data[[#This Row],[DistanceFromHome]]&lt;=10,"6 to 10",IF(HR_Data[[#This Row],[DistanceFromHome]]&lt;=20,"11 to 20","21 to 29")))</f>
        <v>6 to 10</v>
      </c>
      <c r="AR663" s="1">
        <f>IF(HR_Data[[#This Row],[DistanceFromHome]]&lt;=5,1,IF(HR_Data[[#This Row],[DistanceFromHome]]&lt;=10,2,IF(HR_Data[[#This Row],[DistanceFromHome]]&lt;=20,3,4)))</f>
        <v>2</v>
      </c>
      <c r="AS663" s="1" t="str">
        <f>IF(HR_Data[[#This Row],[TotalWorkingYears]]&lt;=5,"0-5 Yrs",IF(HR_Data[[#This Row],[TotalWorkingYears]]&lt;=10,"6-10 Yrs",IF(HR_Data[[#This Row],[TotalWorkingYears]]&lt;=20,"11-20 Yrs","20+ Yrs")))</f>
        <v>0-5 Yrs</v>
      </c>
      <c r="AT663" s="1">
        <f>IF(HR_Data[[#This Row],[TotalWorkingYears]]&lt;=5,1,IF(HR_Data[[#This Row],[TotalWorkingYears]]&lt;=10,2,IF(HR_Data[[#This Row],[TotalWorkingYears]]&lt;=20,3,4)))</f>
        <v>1</v>
      </c>
    </row>
    <row r="664" spans="1:46" x14ac:dyDescent="0.25">
      <c r="A664">
        <v>20</v>
      </c>
      <c r="B664" t="s">
        <v>29</v>
      </c>
      <c r="C664" t="s">
        <v>30</v>
      </c>
      <c r="D664" t="s">
        <v>31</v>
      </c>
      <c r="E664">
        <v>2</v>
      </c>
      <c r="F664">
        <v>3</v>
      </c>
      <c r="G664" t="s">
        <v>44</v>
      </c>
      <c r="H664">
        <v>922</v>
      </c>
      <c r="I664">
        <v>3</v>
      </c>
      <c r="J664" t="s">
        <v>33</v>
      </c>
      <c r="K664">
        <v>2</v>
      </c>
      <c r="L664">
        <v>1</v>
      </c>
      <c r="M664" t="s">
        <v>50</v>
      </c>
      <c r="N664">
        <v>3</v>
      </c>
      <c r="O664" t="s">
        <v>35</v>
      </c>
      <c r="P664">
        <v>2044</v>
      </c>
      <c r="Q664">
        <v>1</v>
      </c>
      <c r="R664" t="s">
        <v>36</v>
      </c>
      <c r="S664">
        <v>13</v>
      </c>
      <c r="T664">
        <v>3</v>
      </c>
      <c r="U664">
        <v>4</v>
      </c>
      <c r="V664">
        <v>0</v>
      </c>
      <c r="W664">
        <v>2</v>
      </c>
      <c r="X664">
        <v>3</v>
      </c>
      <c r="Y664">
        <v>2</v>
      </c>
      <c r="Z664">
        <v>2</v>
      </c>
      <c r="AA664">
        <v>2</v>
      </c>
      <c r="AB664">
        <v>0</v>
      </c>
      <c r="AC664">
        <v>2</v>
      </c>
      <c r="AD664">
        <f>IF(HR_Data[[#This Row],[Attrition]]="Yes",1,0)</f>
        <v>1</v>
      </c>
      <c r="AE664" t="str">
        <f>IF(HR_Data[[#This Row],[Age]]&lt;=25,"18-25",IF(HR_Data[[#This Row],[Age]]&lt;=35,"26-35",IF(HR_Data[[#This Row],[Age]]&lt;=45,"36-45",IF(HR_Data[[#This Row],[Age]]&lt;=55,"46-55","55+"))))</f>
        <v>18-25</v>
      </c>
      <c r="AF664">
        <f>IF(HR_Data[[#This Row],[Age]]&lt;=25,1,IF(HR_Data[[#This Row],[Age]]&lt;=35,2,IF(HR_Data[[#This Row],[Age]]&lt;=45,3,IF(HR_Data[[#This Row],[Age]]&lt;=55,4,5))))</f>
        <v>1</v>
      </c>
      <c r="AG664" s="1" t="str">
        <f>IF(HR_Data[[#This Row],[MonthlyIncome]]&lt;3000,"&lt;3K",IF(HR_Data[[#This Row],[MonthlyIncome]]&lt;6000,"3K-6K",IF(HR_Data[[#This Row],[MonthlyIncome]]&lt;10000,"6K-10K","10K+")))</f>
        <v>&lt;3K</v>
      </c>
      <c r="AH664" s="1">
        <f>IF(HR_Data[[#This Row],[MonthlyIncome]]&lt;3000,1,IF(HR_Data[[#This Row],[MonthlyIncome]]&lt;6000,2,IF(HR_Data[[#This Row],[MonthlyIncome]]&lt;10000,3,4)))</f>
        <v>1</v>
      </c>
      <c r="AI664" s="1" t="str">
        <f>IF(HR_Data[[#This Row],[YearsAtCompany]]&lt;=2,"0-2 Yrs",IF(HR_Data[[#This Row],[YearsAtCompany]]&lt;=5,"3-5 Yrs",IF(HR_Data[[#This Row],[YearsAtCompany]]&lt;=10,"6-10 Yrs","10+ Yrs")))</f>
        <v>0-2 Yrs</v>
      </c>
      <c r="AJ664" s="1">
        <f>IF(HR_Data[[#This Row],[YearsAtCompany]]&lt;=2,1,IF(HR_Data[[#This Row],[YearsAtCompany]]&lt;=5,2,IF(HR_Data[[#This Row],[YearsAtCompany]]&lt;=10,3,4)))</f>
        <v>1</v>
      </c>
      <c r="AK664" s="1" t="str">
        <f>CHOOSE(HR_Data[[#This Row],[Education]],"Below College","College","Bachelor","Master","Doctor")</f>
        <v>Bachelor</v>
      </c>
      <c r="AL664" s="1" t="str">
        <f>CHOOSE(HR_Data[[#This Row],[JobSatisfaction]],"Low","Medium","High","Very High")</f>
        <v>High</v>
      </c>
      <c r="AM664" s="1" t="str">
        <f>CHOOSE(HR_Data[[#This Row],[EnvironmentSatisfaction]],"Low","Medium","High","Very High")</f>
        <v>High</v>
      </c>
      <c r="AN664" s="1" t="str">
        <f>CHOOSE(HR_Data[[#This Row],[WorkLifeBalance]],"Bad","Good","Better","Best")</f>
        <v>Good</v>
      </c>
      <c r="AO664" s="1" t="str">
        <f>IF(HR_Data[[#This Row],[PercentSalaryHike]]&lt;=13,"11-13%",IF(HR_Data[[#This Row],[PercentSalaryHike]]&lt;=16,"14-16%",IF(HR_Data[[#This Row],[PercentSalaryHike]]&lt;=19,"17-19%","20-25%")))</f>
        <v>11-13%</v>
      </c>
      <c r="AP664" s="1">
        <f>IF(HR_Data[[#This Row],[PercentSalaryHike]]&lt;=13,1,IF(HR_Data[[#This Row],[PercentSalaryHike]]&lt;=16,2,IF(HR_Data[[#This Row],[PercentSalaryHike]]&lt;=19,3,4)))</f>
        <v>1</v>
      </c>
      <c r="AQ664" s="1" t="str">
        <f>IF(HR_Data[[#This Row],[DistanceFromHome]]&lt;=5,"1 to 5",IF(HR_Data[[#This Row],[DistanceFromHome]]&lt;=10,"6 to 10",IF(HR_Data[[#This Row],[DistanceFromHome]]&lt;=20,"11 to 20","21 to 29")))</f>
        <v>1 to 5</v>
      </c>
      <c r="AR664" s="1">
        <f>IF(HR_Data[[#This Row],[DistanceFromHome]]&lt;=5,1,IF(HR_Data[[#This Row],[DistanceFromHome]]&lt;=10,2,IF(HR_Data[[#This Row],[DistanceFromHome]]&lt;=20,3,4)))</f>
        <v>1</v>
      </c>
      <c r="AS664" s="1" t="str">
        <f>IF(HR_Data[[#This Row],[TotalWorkingYears]]&lt;=5,"0-5 Yrs",IF(HR_Data[[#This Row],[TotalWorkingYears]]&lt;=10,"6-10 Yrs",IF(HR_Data[[#This Row],[TotalWorkingYears]]&lt;=20,"11-20 Yrs","20+ Yrs")))</f>
        <v>0-5 Yrs</v>
      </c>
      <c r="AT664" s="1">
        <f>IF(HR_Data[[#This Row],[TotalWorkingYears]]&lt;=5,1,IF(HR_Data[[#This Row],[TotalWorkingYears]]&lt;=10,2,IF(HR_Data[[#This Row],[TotalWorkingYears]]&lt;=20,3,4)))</f>
        <v>1</v>
      </c>
    </row>
    <row r="665" spans="1:46" x14ac:dyDescent="0.25">
      <c r="A665">
        <v>21</v>
      </c>
      <c r="B665" t="s">
        <v>29</v>
      </c>
      <c r="C665" t="s">
        <v>30</v>
      </c>
      <c r="D665" t="s">
        <v>38</v>
      </c>
      <c r="E665">
        <v>18</v>
      </c>
      <c r="F665">
        <v>1</v>
      </c>
      <c r="G665" t="s">
        <v>42</v>
      </c>
      <c r="H665">
        <v>923</v>
      </c>
      <c r="I665">
        <v>4</v>
      </c>
      <c r="J665" t="s">
        <v>33</v>
      </c>
      <c r="K665">
        <v>3</v>
      </c>
      <c r="L665">
        <v>1</v>
      </c>
      <c r="M665" t="s">
        <v>40</v>
      </c>
      <c r="N665">
        <v>4</v>
      </c>
      <c r="O665" t="s">
        <v>35</v>
      </c>
      <c r="P665">
        <v>2693</v>
      </c>
      <c r="Q665">
        <v>1</v>
      </c>
      <c r="R665" t="s">
        <v>36</v>
      </c>
      <c r="S665">
        <v>19</v>
      </c>
      <c r="T665">
        <v>3</v>
      </c>
      <c r="U665">
        <v>1</v>
      </c>
      <c r="V665">
        <v>0</v>
      </c>
      <c r="W665">
        <v>1</v>
      </c>
      <c r="X665">
        <v>3</v>
      </c>
      <c r="Y665">
        <v>2</v>
      </c>
      <c r="Z665">
        <v>1</v>
      </c>
      <c r="AA665">
        <v>0</v>
      </c>
      <c r="AB665">
        <v>0</v>
      </c>
      <c r="AC665">
        <v>0</v>
      </c>
      <c r="AD665">
        <f>IF(HR_Data[[#This Row],[Attrition]]="Yes",1,0)</f>
        <v>1</v>
      </c>
      <c r="AE665" t="str">
        <f>IF(HR_Data[[#This Row],[Age]]&lt;=25,"18-25",IF(HR_Data[[#This Row],[Age]]&lt;=35,"26-35",IF(HR_Data[[#This Row],[Age]]&lt;=45,"36-45",IF(HR_Data[[#This Row],[Age]]&lt;=55,"46-55","55+"))))</f>
        <v>18-25</v>
      </c>
      <c r="AF665">
        <f>IF(HR_Data[[#This Row],[Age]]&lt;=25,1,IF(HR_Data[[#This Row],[Age]]&lt;=35,2,IF(HR_Data[[#This Row],[Age]]&lt;=45,3,IF(HR_Data[[#This Row],[Age]]&lt;=55,4,5))))</f>
        <v>1</v>
      </c>
      <c r="AG665" s="1" t="str">
        <f>IF(HR_Data[[#This Row],[MonthlyIncome]]&lt;3000,"&lt;3K",IF(HR_Data[[#This Row],[MonthlyIncome]]&lt;6000,"3K-6K",IF(HR_Data[[#This Row],[MonthlyIncome]]&lt;10000,"6K-10K","10K+")))</f>
        <v>&lt;3K</v>
      </c>
      <c r="AH665" s="1">
        <f>IF(HR_Data[[#This Row],[MonthlyIncome]]&lt;3000,1,IF(HR_Data[[#This Row],[MonthlyIncome]]&lt;6000,2,IF(HR_Data[[#This Row],[MonthlyIncome]]&lt;10000,3,4)))</f>
        <v>1</v>
      </c>
      <c r="AI665" s="1" t="str">
        <f>IF(HR_Data[[#This Row],[YearsAtCompany]]&lt;=2,"0-2 Yrs",IF(HR_Data[[#This Row],[YearsAtCompany]]&lt;=5,"3-5 Yrs",IF(HR_Data[[#This Row],[YearsAtCompany]]&lt;=10,"6-10 Yrs","10+ Yrs")))</f>
        <v>0-2 Yrs</v>
      </c>
      <c r="AJ665" s="1">
        <f>IF(HR_Data[[#This Row],[YearsAtCompany]]&lt;=2,1,IF(HR_Data[[#This Row],[YearsAtCompany]]&lt;=5,2,IF(HR_Data[[#This Row],[YearsAtCompany]]&lt;=10,3,4)))</f>
        <v>1</v>
      </c>
      <c r="AK665" s="1" t="str">
        <f>CHOOSE(HR_Data[[#This Row],[Education]],"Below College","College","Bachelor","Master","Doctor")</f>
        <v>Below College</v>
      </c>
      <c r="AL665" s="1" t="str">
        <f>CHOOSE(HR_Data[[#This Row],[JobSatisfaction]],"Low","Medium","High","Very High")</f>
        <v>Very High</v>
      </c>
      <c r="AM665" s="1" t="str">
        <f>CHOOSE(HR_Data[[#This Row],[EnvironmentSatisfaction]],"Low","Medium","High","Very High")</f>
        <v>Very High</v>
      </c>
      <c r="AN665" s="1" t="str">
        <f>CHOOSE(HR_Data[[#This Row],[WorkLifeBalance]],"Bad","Good","Better","Best")</f>
        <v>Good</v>
      </c>
      <c r="AO665" s="1" t="str">
        <f>IF(HR_Data[[#This Row],[PercentSalaryHike]]&lt;=13,"11-13%",IF(HR_Data[[#This Row],[PercentSalaryHike]]&lt;=16,"14-16%",IF(HR_Data[[#This Row],[PercentSalaryHike]]&lt;=19,"17-19%","20-25%")))</f>
        <v>17-19%</v>
      </c>
      <c r="AP665" s="1">
        <f>IF(HR_Data[[#This Row],[PercentSalaryHike]]&lt;=13,1,IF(HR_Data[[#This Row],[PercentSalaryHike]]&lt;=16,2,IF(HR_Data[[#This Row],[PercentSalaryHike]]&lt;=19,3,4)))</f>
        <v>3</v>
      </c>
      <c r="AQ665" s="1" t="str">
        <f>IF(HR_Data[[#This Row],[DistanceFromHome]]&lt;=5,"1 to 5",IF(HR_Data[[#This Row],[DistanceFromHome]]&lt;=10,"6 to 10",IF(HR_Data[[#This Row],[DistanceFromHome]]&lt;=20,"11 to 20","21 to 29")))</f>
        <v>11 to 20</v>
      </c>
      <c r="AR665" s="1">
        <f>IF(HR_Data[[#This Row],[DistanceFromHome]]&lt;=5,1,IF(HR_Data[[#This Row],[DistanceFromHome]]&lt;=10,2,IF(HR_Data[[#This Row],[DistanceFromHome]]&lt;=20,3,4)))</f>
        <v>3</v>
      </c>
      <c r="AS665" s="1" t="str">
        <f>IF(HR_Data[[#This Row],[TotalWorkingYears]]&lt;=5,"0-5 Yrs",IF(HR_Data[[#This Row],[TotalWorkingYears]]&lt;=10,"6-10 Yrs",IF(HR_Data[[#This Row],[TotalWorkingYears]]&lt;=20,"11-20 Yrs","20+ Yrs")))</f>
        <v>0-5 Yrs</v>
      </c>
      <c r="AT665" s="1">
        <f>IF(HR_Data[[#This Row],[TotalWorkingYears]]&lt;=5,1,IF(HR_Data[[#This Row],[TotalWorkingYears]]&lt;=10,2,IF(HR_Data[[#This Row],[TotalWorkingYears]]&lt;=20,3,4)))</f>
        <v>1</v>
      </c>
    </row>
    <row r="666" spans="1:46" x14ac:dyDescent="0.25">
      <c r="A666">
        <v>36</v>
      </c>
      <c r="B666" t="s">
        <v>36</v>
      </c>
      <c r="C666" t="s">
        <v>30</v>
      </c>
      <c r="D666" t="s">
        <v>38</v>
      </c>
      <c r="E666">
        <v>14</v>
      </c>
      <c r="F666">
        <v>1</v>
      </c>
      <c r="G666" t="s">
        <v>32</v>
      </c>
      <c r="H666">
        <v>924</v>
      </c>
      <c r="I666">
        <v>3</v>
      </c>
      <c r="J666" t="s">
        <v>39</v>
      </c>
      <c r="K666">
        <v>3</v>
      </c>
      <c r="L666">
        <v>2</v>
      </c>
      <c r="M666" t="s">
        <v>47</v>
      </c>
      <c r="N666">
        <v>4</v>
      </c>
      <c r="O666" t="s">
        <v>41</v>
      </c>
      <c r="P666">
        <v>6586</v>
      </c>
      <c r="Q666">
        <v>0</v>
      </c>
      <c r="R666" t="s">
        <v>29</v>
      </c>
      <c r="S666">
        <v>17</v>
      </c>
      <c r="T666">
        <v>3</v>
      </c>
      <c r="U666">
        <v>1</v>
      </c>
      <c r="V666">
        <v>1</v>
      </c>
      <c r="W666">
        <v>17</v>
      </c>
      <c r="X666">
        <v>2</v>
      </c>
      <c r="Y666">
        <v>2</v>
      </c>
      <c r="Z666">
        <v>16</v>
      </c>
      <c r="AA666">
        <v>8</v>
      </c>
      <c r="AB666">
        <v>4</v>
      </c>
      <c r="AC666">
        <v>11</v>
      </c>
      <c r="AD666">
        <f>IF(HR_Data[[#This Row],[Attrition]]="Yes",1,0)</f>
        <v>0</v>
      </c>
      <c r="AE666" t="str">
        <f>IF(HR_Data[[#This Row],[Age]]&lt;=25,"18-25",IF(HR_Data[[#This Row],[Age]]&lt;=35,"26-35",IF(HR_Data[[#This Row],[Age]]&lt;=45,"36-45",IF(HR_Data[[#This Row],[Age]]&lt;=55,"46-55","55+"))))</f>
        <v>36-45</v>
      </c>
      <c r="AF666">
        <f>IF(HR_Data[[#This Row],[Age]]&lt;=25,1,IF(HR_Data[[#This Row],[Age]]&lt;=35,2,IF(HR_Data[[#This Row],[Age]]&lt;=45,3,IF(HR_Data[[#This Row],[Age]]&lt;=55,4,5))))</f>
        <v>3</v>
      </c>
      <c r="AG666" s="1" t="str">
        <f>IF(HR_Data[[#This Row],[MonthlyIncome]]&lt;3000,"&lt;3K",IF(HR_Data[[#This Row],[MonthlyIncome]]&lt;6000,"3K-6K",IF(HR_Data[[#This Row],[MonthlyIncome]]&lt;10000,"6K-10K","10K+")))</f>
        <v>6K-10K</v>
      </c>
      <c r="AH666" s="1">
        <f>IF(HR_Data[[#This Row],[MonthlyIncome]]&lt;3000,1,IF(HR_Data[[#This Row],[MonthlyIncome]]&lt;6000,2,IF(HR_Data[[#This Row],[MonthlyIncome]]&lt;10000,3,4)))</f>
        <v>3</v>
      </c>
      <c r="AI666" s="1" t="str">
        <f>IF(HR_Data[[#This Row],[YearsAtCompany]]&lt;=2,"0-2 Yrs",IF(HR_Data[[#This Row],[YearsAtCompany]]&lt;=5,"3-5 Yrs",IF(HR_Data[[#This Row],[YearsAtCompany]]&lt;=10,"6-10 Yrs","10+ Yrs")))</f>
        <v>10+ Yrs</v>
      </c>
      <c r="AJ666" s="1">
        <f>IF(HR_Data[[#This Row],[YearsAtCompany]]&lt;=2,1,IF(HR_Data[[#This Row],[YearsAtCompany]]&lt;=5,2,IF(HR_Data[[#This Row],[YearsAtCompany]]&lt;=10,3,4)))</f>
        <v>4</v>
      </c>
      <c r="AK666" s="1" t="str">
        <f>CHOOSE(HR_Data[[#This Row],[Education]],"Below College","College","Bachelor","Master","Doctor")</f>
        <v>Below College</v>
      </c>
      <c r="AL666" s="1" t="str">
        <f>CHOOSE(HR_Data[[#This Row],[JobSatisfaction]],"Low","Medium","High","Very High")</f>
        <v>Very High</v>
      </c>
      <c r="AM666" s="1" t="str">
        <f>CHOOSE(HR_Data[[#This Row],[EnvironmentSatisfaction]],"Low","Medium","High","Very High")</f>
        <v>High</v>
      </c>
      <c r="AN666" s="1" t="str">
        <f>CHOOSE(HR_Data[[#This Row],[WorkLifeBalance]],"Bad","Good","Better","Best")</f>
        <v>Good</v>
      </c>
      <c r="AO666" s="1" t="str">
        <f>IF(HR_Data[[#This Row],[PercentSalaryHike]]&lt;=13,"11-13%",IF(HR_Data[[#This Row],[PercentSalaryHike]]&lt;=16,"14-16%",IF(HR_Data[[#This Row],[PercentSalaryHike]]&lt;=19,"17-19%","20-25%")))</f>
        <v>17-19%</v>
      </c>
      <c r="AP666" s="1">
        <f>IF(HR_Data[[#This Row],[PercentSalaryHike]]&lt;=13,1,IF(HR_Data[[#This Row],[PercentSalaryHike]]&lt;=16,2,IF(HR_Data[[#This Row],[PercentSalaryHike]]&lt;=19,3,4)))</f>
        <v>3</v>
      </c>
      <c r="AQ666" s="1" t="str">
        <f>IF(HR_Data[[#This Row],[DistanceFromHome]]&lt;=5,"1 to 5",IF(HR_Data[[#This Row],[DistanceFromHome]]&lt;=10,"6 to 10",IF(HR_Data[[#This Row],[DistanceFromHome]]&lt;=20,"11 to 20","21 to 29")))</f>
        <v>11 to 20</v>
      </c>
      <c r="AR666" s="1">
        <f>IF(HR_Data[[#This Row],[DistanceFromHome]]&lt;=5,1,IF(HR_Data[[#This Row],[DistanceFromHome]]&lt;=10,2,IF(HR_Data[[#This Row],[DistanceFromHome]]&lt;=20,3,4)))</f>
        <v>3</v>
      </c>
      <c r="AS666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666" s="1">
        <f>IF(HR_Data[[#This Row],[TotalWorkingYears]]&lt;=5,1,IF(HR_Data[[#This Row],[TotalWorkingYears]]&lt;=10,2,IF(HR_Data[[#This Row],[TotalWorkingYears]]&lt;=20,3,4)))</f>
        <v>3</v>
      </c>
    </row>
    <row r="667" spans="1:46" x14ac:dyDescent="0.25">
      <c r="A667">
        <v>47</v>
      </c>
      <c r="B667" t="s">
        <v>36</v>
      </c>
      <c r="C667" t="s">
        <v>30</v>
      </c>
      <c r="D667" t="s">
        <v>31</v>
      </c>
      <c r="E667">
        <v>2</v>
      </c>
      <c r="F667">
        <v>4</v>
      </c>
      <c r="G667" t="s">
        <v>32</v>
      </c>
      <c r="H667">
        <v>925</v>
      </c>
      <c r="I667">
        <v>4</v>
      </c>
      <c r="J667" t="s">
        <v>33</v>
      </c>
      <c r="K667">
        <v>2</v>
      </c>
      <c r="L667">
        <v>1</v>
      </c>
      <c r="M667" t="s">
        <v>50</v>
      </c>
      <c r="N667">
        <v>4</v>
      </c>
      <c r="O667" t="s">
        <v>35</v>
      </c>
      <c r="P667">
        <v>3294</v>
      </c>
      <c r="Q667">
        <v>1</v>
      </c>
      <c r="R667" t="s">
        <v>29</v>
      </c>
      <c r="S667">
        <v>18</v>
      </c>
      <c r="T667">
        <v>3</v>
      </c>
      <c r="U667">
        <v>1</v>
      </c>
      <c r="V667">
        <v>0</v>
      </c>
      <c r="W667">
        <v>3</v>
      </c>
      <c r="X667">
        <v>3</v>
      </c>
      <c r="Y667">
        <v>2</v>
      </c>
      <c r="Z667">
        <v>3</v>
      </c>
      <c r="AA667">
        <v>2</v>
      </c>
      <c r="AB667">
        <v>1</v>
      </c>
      <c r="AC667">
        <v>2</v>
      </c>
      <c r="AD667">
        <f>IF(HR_Data[[#This Row],[Attrition]]="Yes",1,0)</f>
        <v>0</v>
      </c>
      <c r="AE667" t="str">
        <f>IF(HR_Data[[#This Row],[Age]]&lt;=25,"18-25",IF(HR_Data[[#This Row],[Age]]&lt;=35,"26-35",IF(HR_Data[[#This Row],[Age]]&lt;=45,"36-45",IF(HR_Data[[#This Row],[Age]]&lt;=55,"46-55","55+"))))</f>
        <v>46-55</v>
      </c>
      <c r="AF667">
        <f>IF(HR_Data[[#This Row],[Age]]&lt;=25,1,IF(HR_Data[[#This Row],[Age]]&lt;=35,2,IF(HR_Data[[#This Row],[Age]]&lt;=45,3,IF(HR_Data[[#This Row],[Age]]&lt;=55,4,5))))</f>
        <v>4</v>
      </c>
      <c r="AG667" s="1" t="str">
        <f>IF(HR_Data[[#This Row],[MonthlyIncome]]&lt;3000,"&lt;3K",IF(HR_Data[[#This Row],[MonthlyIncome]]&lt;6000,"3K-6K",IF(HR_Data[[#This Row],[MonthlyIncome]]&lt;10000,"6K-10K","10K+")))</f>
        <v>3K-6K</v>
      </c>
      <c r="AH667" s="1">
        <f>IF(HR_Data[[#This Row],[MonthlyIncome]]&lt;3000,1,IF(HR_Data[[#This Row],[MonthlyIncome]]&lt;6000,2,IF(HR_Data[[#This Row],[MonthlyIncome]]&lt;10000,3,4)))</f>
        <v>2</v>
      </c>
      <c r="AI667" s="1" t="str">
        <f>IF(HR_Data[[#This Row],[YearsAtCompany]]&lt;=2,"0-2 Yrs",IF(HR_Data[[#This Row],[YearsAtCompany]]&lt;=5,"3-5 Yrs",IF(HR_Data[[#This Row],[YearsAtCompany]]&lt;=10,"6-10 Yrs","10+ Yrs")))</f>
        <v>3-5 Yrs</v>
      </c>
      <c r="AJ667" s="1">
        <f>IF(HR_Data[[#This Row],[YearsAtCompany]]&lt;=2,1,IF(HR_Data[[#This Row],[YearsAtCompany]]&lt;=5,2,IF(HR_Data[[#This Row],[YearsAtCompany]]&lt;=10,3,4)))</f>
        <v>2</v>
      </c>
      <c r="AK667" s="1" t="str">
        <f>CHOOSE(HR_Data[[#This Row],[Education]],"Below College","College","Bachelor","Master","Doctor")</f>
        <v>Master</v>
      </c>
      <c r="AL667" s="1" t="str">
        <f>CHOOSE(HR_Data[[#This Row],[JobSatisfaction]],"Low","Medium","High","Very High")</f>
        <v>Very High</v>
      </c>
      <c r="AM667" s="1" t="str">
        <f>CHOOSE(HR_Data[[#This Row],[EnvironmentSatisfaction]],"Low","Medium","High","Very High")</f>
        <v>Very High</v>
      </c>
      <c r="AN667" s="1" t="str">
        <f>CHOOSE(HR_Data[[#This Row],[WorkLifeBalance]],"Bad","Good","Better","Best")</f>
        <v>Good</v>
      </c>
      <c r="AO667" s="1" t="str">
        <f>IF(HR_Data[[#This Row],[PercentSalaryHike]]&lt;=13,"11-13%",IF(HR_Data[[#This Row],[PercentSalaryHike]]&lt;=16,"14-16%",IF(HR_Data[[#This Row],[PercentSalaryHike]]&lt;=19,"17-19%","20-25%")))</f>
        <v>17-19%</v>
      </c>
      <c r="AP667" s="1">
        <f>IF(HR_Data[[#This Row],[PercentSalaryHike]]&lt;=13,1,IF(HR_Data[[#This Row],[PercentSalaryHike]]&lt;=16,2,IF(HR_Data[[#This Row],[PercentSalaryHike]]&lt;=19,3,4)))</f>
        <v>3</v>
      </c>
      <c r="AQ667" s="1" t="str">
        <f>IF(HR_Data[[#This Row],[DistanceFromHome]]&lt;=5,"1 to 5",IF(HR_Data[[#This Row],[DistanceFromHome]]&lt;=10,"6 to 10",IF(HR_Data[[#This Row],[DistanceFromHome]]&lt;=20,"11 to 20","21 to 29")))</f>
        <v>1 to 5</v>
      </c>
      <c r="AR667" s="1">
        <f>IF(HR_Data[[#This Row],[DistanceFromHome]]&lt;=5,1,IF(HR_Data[[#This Row],[DistanceFromHome]]&lt;=10,2,IF(HR_Data[[#This Row],[DistanceFromHome]]&lt;=20,3,4)))</f>
        <v>1</v>
      </c>
      <c r="AS667" s="1" t="str">
        <f>IF(HR_Data[[#This Row],[TotalWorkingYears]]&lt;=5,"0-5 Yrs",IF(HR_Data[[#This Row],[TotalWorkingYears]]&lt;=10,"6-10 Yrs",IF(HR_Data[[#This Row],[TotalWorkingYears]]&lt;=20,"11-20 Yrs","20+ Yrs")))</f>
        <v>0-5 Yrs</v>
      </c>
      <c r="AT667" s="1">
        <f>IF(HR_Data[[#This Row],[TotalWorkingYears]]&lt;=5,1,IF(HR_Data[[#This Row],[TotalWorkingYears]]&lt;=10,2,IF(HR_Data[[#This Row],[TotalWorkingYears]]&lt;=20,3,4)))</f>
        <v>1</v>
      </c>
    </row>
    <row r="668" spans="1:46" x14ac:dyDescent="0.25">
      <c r="A668">
        <v>22</v>
      </c>
      <c r="B668" t="s">
        <v>29</v>
      </c>
      <c r="C668" t="s">
        <v>30</v>
      </c>
      <c r="D668" t="s">
        <v>38</v>
      </c>
      <c r="E668">
        <v>3</v>
      </c>
      <c r="F668">
        <v>1</v>
      </c>
      <c r="G668" t="s">
        <v>32</v>
      </c>
      <c r="H668">
        <v>926</v>
      </c>
      <c r="I668">
        <v>2</v>
      </c>
      <c r="J668" t="s">
        <v>33</v>
      </c>
      <c r="K668">
        <v>3</v>
      </c>
      <c r="L668">
        <v>2</v>
      </c>
      <c r="M668" t="s">
        <v>46</v>
      </c>
      <c r="N668">
        <v>3</v>
      </c>
      <c r="O668" t="s">
        <v>41</v>
      </c>
      <c r="P668">
        <v>4171</v>
      </c>
      <c r="Q668">
        <v>0</v>
      </c>
      <c r="R668" t="s">
        <v>29</v>
      </c>
      <c r="S668">
        <v>19</v>
      </c>
      <c r="T668">
        <v>3</v>
      </c>
      <c r="U668">
        <v>1</v>
      </c>
      <c r="V668">
        <v>1</v>
      </c>
      <c r="W668">
        <v>4</v>
      </c>
      <c r="X668">
        <v>3</v>
      </c>
      <c r="Y668">
        <v>4</v>
      </c>
      <c r="Z668">
        <v>3</v>
      </c>
      <c r="AA668">
        <v>2</v>
      </c>
      <c r="AB668">
        <v>0</v>
      </c>
      <c r="AC668">
        <v>2</v>
      </c>
      <c r="AD668">
        <f>IF(HR_Data[[#This Row],[Attrition]]="Yes",1,0)</f>
        <v>1</v>
      </c>
      <c r="AE668" t="str">
        <f>IF(HR_Data[[#This Row],[Age]]&lt;=25,"18-25",IF(HR_Data[[#This Row],[Age]]&lt;=35,"26-35",IF(HR_Data[[#This Row],[Age]]&lt;=45,"36-45",IF(HR_Data[[#This Row],[Age]]&lt;=55,"46-55","55+"))))</f>
        <v>18-25</v>
      </c>
      <c r="AF668">
        <f>IF(HR_Data[[#This Row],[Age]]&lt;=25,1,IF(HR_Data[[#This Row],[Age]]&lt;=35,2,IF(HR_Data[[#This Row],[Age]]&lt;=45,3,IF(HR_Data[[#This Row],[Age]]&lt;=55,4,5))))</f>
        <v>1</v>
      </c>
      <c r="AG668" s="1" t="str">
        <f>IF(HR_Data[[#This Row],[MonthlyIncome]]&lt;3000,"&lt;3K",IF(HR_Data[[#This Row],[MonthlyIncome]]&lt;6000,"3K-6K",IF(HR_Data[[#This Row],[MonthlyIncome]]&lt;10000,"6K-10K","10K+")))</f>
        <v>3K-6K</v>
      </c>
      <c r="AH668" s="1">
        <f>IF(HR_Data[[#This Row],[MonthlyIncome]]&lt;3000,1,IF(HR_Data[[#This Row],[MonthlyIncome]]&lt;6000,2,IF(HR_Data[[#This Row],[MonthlyIncome]]&lt;10000,3,4)))</f>
        <v>2</v>
      </c>
      <c r="AI668" s="1" t="str">
        <f>IF(HR_Data[[#This Row],[YearsAtCompany]]&lt;=2,"0-2 Yrs",IF(HR_Data[[#This Row],[YearsAtCompany]]&lt;=5,"3-5 Yrs",IF(HR_Data[[#This Row],[YearsAtCompany]]&lt;=10,"6-10 Yrs","10+ Yrs")))</f>
        <v>3-5 Yrs</v>
      </c>
      <c r="AJ668" s="1">
        <f>IF(HR_Data[[#This Row],[YearsAtCompany]]&lt;=2,1,IF(HR_Data[[#This Row],[YearsAtCompany]]&lt;=5,2,IF(HR_Data[[#This Row],[YearsAtCompany]]&lt;=10,3,4)))</f>
        <v>2</v>
      </c>
      <c r="AK668" s="1" t="str">
        <f>CHOOSE(HR_Data[[#This Row],[Education]],"Below College","College","Bachelor","Master","Doctor")</f>
        <v>Below College</v>
      </c>
      <c r="AL668" s="1" t="str">
        <f>CHOOSE(HR_Data[[#This Row],[JobSatisfaction]],"Low","Medium","High","Very High")</f>
        <v>High</v>
      </c>
      <c r="AM668" s="1" t="str">
        <f>CHOOSE(HR_Data[[#This Row],[EnvironmentSatisfaction]],"Low","Medium","High","Very High")</f>
        <v>Medium</v>
      </c>
      <c r="AN668" s="1" t="str">
        <f>CHOOSE(HR_Data[[#This Row],[WorkLifeBalance]],"Bad","Good","Better","Best")</f>
        <v>Best</v>
      </c>
      <c r="AO668" s="1" t="str">
        <f>IF(HR_Data[[#This Row],[PercentSalaryHike]]&lt;=13,"11-13%",IF(HR_Data[[#This Row],[PercentSalaryHike]]&lt;=16,"14-16%",IF(HR_Data[[#This Row],[PercentSalaryHike]]&lt;=19,"17-19%","20-25%")))</f>
        <v>17-19%</v>
      </c>
      <c r="AP668" s="1">
        <f>IF(HR_Data[[#This Row],[PercentSalaryHike]]&lt;=13,1,IF(HR_Data[[#This Row],[PercentSalaryHike]]&lt;=16,2,IF(HR_Data[[#This Row],[PercentSalaryHike]]&lt;=19,3,4)))</f>
        <v>3</v>
      </c>
      <c r="AQ668" s="1" t="str">
        <f>IF(HR_Data[[#This Row],[DistanceFromHome]]&lt;=5,"1 to 5",IF(HR_Data[[#This Row],[DistanceFromHome]]&lt;=10,"6 to 10",IF(HR_Data[[#This Row],[DistanceFromHome]]&lt;=20,"11 to 20","21 to 29")))</f>
        <v>1 to 5</v>
      </c>
      <c r="AR668" s="1">
        <f>IF(HR_Data[[#This Row],[DistanceFromHome]]&lt;=5,1,IF(HR_Data[[#This Row],[DistanceFromHome]]&lt;=10,2,IF(HR_Data[[#This Row],[DistanceFromHome]]&lt;=20,3,4)))</f>
        <v>1</v>
      </c>
      <c r="AS668" s="1" t="str">
        <f>IF(HR_Data[[#This Row],[TotalWorkingYears]]&lt;=5,"0-5 Yrs",IF(HR_Data[[#This Row],[TotalWorkingYears]]&lt;=10,"6-10 Yrs",IF(HR_Data[[#This Row],[TotalWorkingYears]]&lt;=20,"11-20 Yrs","20+ Yrs")))</f>
        <v>0-5 Yrs</v>
      </c>
      <c r="AT668" s="1">
        <f>IF(HR_Data[[#This Row],[TotalWorkingYears]]&lt;=5,1,IF(HR_Data[[#This Row],[TotalWorkingYears]]&lt;=10,2,IF(HR_Data[[#This Row],[TotalWorkingYears]]&lt;=20,3,4)))</f>
        <v>1</v>
      </c>
    </row>
    <row r="669" spans="1:46" x14ac:dyDescent="0.25">
      <c r="A669">
        <v>41</v>
      </c>
      <c r="B669" t="s">
        <v>29</v>
      </c>
      <c r="C669" t="s">
        <v>30</v>
      </c>
      <c r="D669" t="s">
        <v>38</v>
      </c>
      <c r="E669">
        <v>2</v>
      </c>
      <c r="F669">
        <v>4</v>
      </c>
      <c r="G669" t="s">
        <v>32</v>
      </c>
      <c r="H669">
        <v>927</v>
      </c>
      <c r="I669">
        <v>2</v>
      </c>
      <c r="J669" t="s">
        <v>33</v>
      </c>
      <c r="K669">
        <v>1</v>
      </c>
      <c r="L669">
        <v>1</v>
      </c>
      <c r="M669" t="s">
        <v>43</v>
      </c>
      <c r="N669">
        <v>4</v>
      </c>
      <c r="O669" t="s">
        <v>45</v>
      </c>
      <c r="P669">
        <v>2778</v>
      </c>
      <c r="Q669">
        <v>4</v>
      </c>
      <c r="R669" t="s">
        <v>29</v>
      </c>
      <c r="S669">
        <v>13</v>
      </c>
      <c r="T669">
        <v>3</v>
      </c>
      <c r="U669">
        <v>3</v>
      </c>
      <c r="V669">
        <v>1</v>
      </c>
      <c r="W669">
        <v>10</v>
      </c>
      <c r="X669">
        <v>1</v>
      </c>
      <c r="Y669">
        <v>2</v>
      </c>
      <c r="Z669">
        <v>7</v>
      </c>
      <c r="AA669">
        <v>7</v>
      </c>
      <c r="AB669">
        <v>1</v>
      </c>
      <c r="AC669">
        <v>0</v>
      </c>
      <c r="AD669">
        <f>IF(HR_Data[[#This Row],[Attrition]]="Yes",1,0)</f>
        <v>1</v>
      </c>
      <c r="AE669" t="str">
        <f>IF(HR_Data[[#This Row],[Age]]&lt;=25,"18-25",IF(HR_Data[[#This Row],[Age]]&lt;=35,"26-35",IF(HR_Data[[#This Row],[Age]]&lt;=45,"36-45",IF(HR_Data[[#This Row],[Age]]&lt;=55,"46-55","55+"))))</f>
        <v>36-45</v>
      </c>
      <c r="AF669">
        <f>IF(HR_Data[[#This Row],[Age]]&lt;=25,1,IF(HR_Data[[#This Row],[Age]]&lt;=35,2,IF(HR_Data[[#This Row],[Age]]&lt;=45,3,IF(HR_Data[[#This Row],[Age]]&lt;=55,4,5))))</f>
        <v>3</v>
      </c>
      <c r="AG669" s="1" t="str">
        <f>IF(HR_Data[[#This Row],[MonthlyIncome]]&lt;3000,"&lt;3K",IF(HR_Data[[#This Row],[MonthlyIncome]]&lt;6000,"3K-6K",IF(HR_Data[[#This Row],[MonthlyIncome]]&lt;10000,"6K-10K","10K+")))</f>
        <v>&lt;3K</v>
      </c>
      <c r="AH669" s="1">
        <f>IF(HR_Data[[#This Row],[MonthlyIncome]]&lt;3000,1,IF(HR_Data[[#This Row],[MonthlyIncome]]&lt;6000,2,IF(HR_Data[[#This Row],[MonthlyIncome]]&lt;10000,3,4)))</f>
        <v>1</v>
      </c>
      <c r="AI669" s="1" t="str">
        <f>IF(HR_Data[[#This Row],[YearsAtCompany]]&lt;=2,"0-2 Yrs",IF(HR_Data[[#This Row],[YearsAtCompany]]&lt;=5,"3-5 Yrs",IF(HR_Data[[#This Row],[YearsAtCompany]]&lt;=10,"6-10 Yrs","10+ Yrs")))</f>
        <v>6-10 Yrs</v>
      </c>
      <c r="AJ669" s="1">
        <f>IF(HR_Data[[#This Row],[YearsAtCompany]]&lt;=2,1,IF(HR_Data[[#This Row],[YearsAtCompany]]&lt;=5,2,IF(HR_Data[[#This Row],[YearsAtCompany]]&lt;=10,3,4)))</f>
        <v>3</v>
      </c>
      <c r="AK669" s="1" t="str">
        <f>CHOOSE(HR_Data[[#This Row],[Education]],"Below College","College","Bachelor","Master","Doctor")</f>
        <v>Master</v>
      </c>
      <c r="AL669" s="1" t="str">
        <f>CHOOSE(HR_Data[[#This Row],[JobSatisfaction]],"Low","Medium","High","Very High")</f>
        <v>Very High</v>
      </c>
      <c r="AM669" s="1" t="str">
        <f>CHOOSE(HR_Data[[#This Row],[EnvironmentSatisfaction]],"Low","Medium","High","Very High")</f>
        <v>Medium</v>
      </c>
      <c r="AN669" s="1" t="str">
        <f>CHOOSE(HR_Data[[#This Row],[WorkLifeBalance]],"Bad","Good","Better","Best")</f>
        <v>Good</v>
      </c>
      <c r="AO669" s="1" t="str">
        <f>IF(HR_Data[[#This Row],[PercentSalaryHike]]&lt;=13,"11-13%",IF(HR_Data[[#This Row],[PercentSalaryHike]]&lt;=16,"14-16%",IF(HR_Data[[#This Row],[PercentSalaryHike]]&lt;=19,"17-19%","20-25%")))</f>
        <v>11-13%</v>
      </c>
      <c r="AP669" s="1">
        <f>IF(HR_Data[[#This Row],[PercentSalaryHike]]&lt;=13,1,IF(HR_Data[[#This Row],[PercentSalaryHike]]&lt;=16,2,IF(HR_Data[[#This Row],[PercentSalaryHike]]&lt;=19,3,4)))</f>
        <v>1</v>
      </c>
      <c r="AQ669" s="1" t="str">
        <f>IF(HR_Data[[#This Row],[DistanceFromHome]]&lt;=5,"1 to 5",IF(HR_Data[[#This Row],[DistanceFromHome]]&lt;=10,"6 to 10",IF(HR_Data[[#This Row],[DistanceFromHome]]&lt;=20,"11 to 20","21 to 29")))</f>
        <v>1 to 5</v>
      </c>
      <c r="AR669" s="1">
        <f>IF(HR_Data[[#This Row],[DistanceFromHome]]&lt;=5,1,IF(HR_Data[[#This Row],[DistanceFromHome]]&lt;=10,2,IF(HR_Data[[#This Row],[DistanceFromHome]]&lt;=20,3,4)))</f>
        <v>1</v>
      </c>
      <c r="AS669" s="1" t="str">
        <f>IF(HR_Data[[#This Row],[TotalWorkingYears]]&lt;=5,"0-5 Yrs",IF(HR_Data[[#This Row],[TotalWorkingYears]]&lt;=10,"6-10 Yrs",IF(HR_Data[[#This Row],[TotalWorkingYears]]&lt;=20,"11-20 Yrs","20+ Yrs")))</f>
        <v>6-10 Yrs</v>
      </c>
      <c r="AT669" s="1">
        <f>IF(HR_Data[[#This Row],[TotalWorkingYears]]&lt;=5,1,IF(HR_Data[[#This Row],[TotalWorkingYears]]&lt;=10,2,IF(HR_Data[[#This Row],[TotalWorkingYears]]&lt;=20,3,4)))</f>
        <v>2</v>
      </c>
    </row>
    <row r="670" spans="1:46" x14ac:dyDescent="0.25">
      <c r="A670">
        <v>28</v>
      </c>
      <c r="B670" t="s">
        <v>36</v>
      </c>
      <c r="C670" t="s">
        <v>30</v>
      </c>
      <c r="D670" t="s">
        <v>38</v>
      </c>
      <c r="E670">
        <v>9</v>
      </c>
      <c r="F670">
        <v>3</v>
      </c>
      <c r="G670" t="s">
        <v>44</v>
      </c>
      <c r="H670">
        <v>930</v>
      </c>
      <c r="I670">
        <v>3</v>
      </c>
      <c r="J670" t="s">
        <v>33</v>
      </c>
      <c r="K670">
        <v>3</v>
      </c>
      <c r="L670">
        <v>1</v>
      </c>
      <c r="M670" t="s">
        <v>40</v>
      </c>
      <c r="N670">
        <v>3</v>
      </c>
      <c r="O670" t="s">
        <v>45</v>
      </c>
      <c r="P670">
        <v>2377</v>
      </c>
      <c r="Q670">
        <v>5</v>
      </c>
      <c r="R670" t="s">
        <v>36</v>
      </c>
      <c r="S670">
        <v>18</v>
      </c>
      <c r="T670">
        <v>3</v>
      </c>
      <c r="U670">
        <v>2</v>
      </c>
      <c r="V670">
        <v>1</v>
      </c>
      <c r="W670">
        <v>6</v>
      </c>
      <c r="X670">
        <v>2</v>
      </c>
      <c r="Y670">
        <v>3</v>
      </c>
      <c r="Z670">
        <v>2</v>
      </c>
      <c r="AA670">
        <v>2</v>
      </c>
      <c r="AB670">
        <v>2</v>
      </c>
      <c r="AC670">
        <v>2</v>
      </c>
      <c r="AD670">
        <f>IF(HR_Data[[#This Row],[Attrition]]="Yes",1,0)</f>
        <v>0</v>
      </c>
      <c r="AE670" t="str">
        <f>IF(HR_Data[[#This Row],[Age]]&lt;=25,"18-25",IF(HR_Data[[#This Row],[Age]]&lt;=35,"26-35",IF(HR_Data[[#This Row],[Age]]&lt;=45,"36-45",IF(HR_Data[[#This Row],[Age]]&lt;=55,"46-55","55+"))))</f>
        <v>26-35</v>
      </c>
      <c r="AF670">
        <f>IF(HR_Data[[#This Row],[Age]]&lt;=25,1,IF(HR_Data[[#This Row],[Age]]&lt;=35,2,IF(HR_Data[[#This Row],[Age]]&lt;=45,3,IF(HR_Data[[#This Row],[Age]]&lt;=55,4,5))))</f>
        <v>2</v>
      </c>
      <c r="AG670" s="1" t="str">
        <f>IF(HR_Data[[#This Row],[MonthlyIncome]]&lt;3000,"&lt;3K",IF(HR_Data[[#This Row],[MonthlyIncome]]&lt;6000,"3K-6K",IF(HR_Data[[#This Row],[MonthlyIncome]]&lt;10000,"6K-10K","10K+")))</f>
        <v>&lt;3K</v>
      </c>
      <c r="AH670" s="1">
        <f>IF(HR_Data[[#This Row],[MonthlyIncome]]&lt;3000,1,IF(HR_Data[[#This Row],[MonthlyIncome]]&lt;6000,2,IF(HR_Data[[#This Row],[MonthlyIncome]]&lt;10000,3,4)))</f>
        <v>1</v>
      </c>
      <c r="AI670" s="1" t="str">
        <f>IF(HR_Data[[#This Row],[YearsAtCompany]]&lt;=2,"0-2 Yrs",IF(HR_Data[[#This Row],[YearsAtCompany]]&lt;=5,"3-5 Yrs",IF(HR_Data[[#This Row],[YearsAtCompany]]&lt;=10,"6-10 Yrs","10+ Yrs")))</f>
        <v>0-2 Yrs</v>
      </c>
      <c r="AJ670" s="1">
        <f>IF(HR_Data[[#This Row],[YearsAtCompany]]&lt;=2,1,IF(HR_Data[[#This Row],[YearsAtCompany]]&lt;=5,2,IF(HR_Data[[#This Row],[YearsAtCompany]]&lt;=10,3,4)))</f>
        <v>1</v>
      </c>
      <c r="AK670" s="1" t="str">
        <f>CHOOSE(HR_Data[[#This Row],[Education]],"Below College","College","Bachelor","Master","Doctor")</f>
        <v>Bachelor</v>
      </c>
      <c r="AL670" s="1" t="str">
        <f>CHOOSE(HR_Data[[#This Row],[JobSatisfaction]],"Low","Medium","High","Very High")</f>
        <v>High</v>
      </c>
      <c r="AM670" s="1" t="str">
        <f>CHOOSE(HR_Data[[#This Row],[EnvironmentSatisfaction]],"Low","Medium","High","Very High")</f>
        <v>High</v>
      </c>
      <c r="AN670" s="1" t="str">
        <f>CHOOSE(HR_Data[[#This Row],[WorkLifeBalance]],"Bad","Good","Better","Best")</f>
        <v>Better</v>
      </c>
      <c r="AO670" s="1" t="str">
        <f>IF(HR_Data[[#This Row],[PercentSalaryHike]]&lt;=13,"11-13%",IF(HR_Data[[#This Row],[PercentSalaryHike]]&lt;=16,"14-16%",IF(HR_Data[[#This Row],[PercentSalaryHike]]&lt;=19,"17-19%","20-25%")))</f>
        <v>17-19%</v>
      </c>
      <c r="AP670" s="1">
        <f>IF(HR_Data[[#This Row],[PercentSalaryHike]]&lt;=13,1,IF(HR_Data[[#This Row],[PercentSalaryHike]]&lt;=16,2,IF(HR_Data[[#This Row],[PercentSalaryHike]]&lt;=19,3,4)))</f>
        <v>3</v>
      </c>
      <c r="AQ670" s="1" t="str">
        <f>IF(HR_Data[[#This Row],[DistanceFromHome]]&lt;=5,"1 to 5",IF(HR_Data[[#This Row],[DistanceFromHome]]&lt;=10,"6 to 10",IF(HR_Data[[#This Row],[DistanceFromHome]]&lt;=20,"11 to 20","21 to 29")))</f>
        <v>6 to 10</v>
      </c>
      <c r="AR670" s="1">
        <f>IF(HR_Data[[#This Row],[DistanceFromHome]]&lt;=5,1,IF(HR_Data[[#This Row],[DistanceFromHome]]&lt;=10,2,IF(HR_Data[[#This Row],[DistanceFromHome]]&lt;=20,3,4)))</f>
        <v>2</v>
      </c>
      <c r="AS670" s="1" t="str">
        <f>IF(HR_Data[[#This Row],[TotalWorkingYears]]&lt;=5,"0-5 Yrs",IF(HR_Data[[#This Row],[TotalWorkingYears]]&lt;=10,"6-10 Yrs",IF(HR_Data[[#This Row],[TotalWorkingYears]]&lt;=20,"11-20 Yrs","20+ Yrs")))</f>
        <v>6-10 Yrs</v>
      </c>
      <c r="AT670" s="1">
        <f>IF(HR_Data[[#This Row],[TotalWorkingYears]]&lt;=5,1,IF(HR_Data[[#This Row],[TotalWorkingYears]]&lt;=10,2,IF(HR_Data[[#This Row],[TotalWorkingYears]]&lt;=20,3,4)))</f>
        <v>2</v>
      </c>
    </row>
    <row r="671" spans="1:46" x14ac:dyDescent="0.25">
      <c r="A671">
        <v>39</v>
      </c>
      <c r="B671" t="s">
        <v>29</v>
      </c>
      <c r="C671" t="s">
        <v>30</v>
      </c>
      <c r="D671" t="s">
        <v>38</v>
      </c>
      <c r="E671">
        <v>6</v>
      </c>
      <c r="F671">
        <v>3</v>
      </c>
      <c r="G671" t="s">
        <v>44</v>
      </c>
      <c r="H671">
        <v>932</v>
      </c>
      <c r="I671">
        <v>4</v>
      </c>
      <c r="J671" t="s">
        <v>39</v>
      </c>
      <c r="K671">
        <v>3</v>
      </c>
      <c r="L671">
        <v>1</v>
      </c>
      <c r="M671" t="s">
        <v>43</v>
      </c>
      <c r="N671">
        <v>1</v>
      </c>
      <c r="O671" t="s">
        <v>41</v>
      </c>
      <c r="P671">
        <v>2404</v>
      </c>
      <c r="Q671">
        <v>7</v>
      </c>
      <c r="R671" t="s">
        <v>29</v>
      </c>
      <c r="S671">
        <v>21</v>
      </c>
      <c r="T671">
        <v>4</v>
      </c>
      <c r="U671">
        <v>4</v>
      </c>
      <c r="V671">
        <v>0</v>
      </c>
      <c r="W671">
        <v>8</v>
      </c>
      <c r="X671">
        <v>2</v>
      </c>
      <c r="Y671">
        <v>1</v>
      </c>
      <c r="Z671">
        <v>2</v>
      </c>
      <c r="AA671">
        <v>2</v>
      </c>
      <c r="AB671">
        <v>2</v>
      </c>
      <c r="AC671">
        <v>2</v>
      </c>
      <c r="AD671">
        <f>IF(HR_Data[[#This Row],[Attrition]]="Yes",1,0)</f>
        <v>1</v>
      </c>
      <c r="AE671" t="str">
        <f>IF(HR_Data[[#This Row],[Age]]&lt;=25,"18-25",IF(HR_Data[[#This Row],[Age]]&lt;=35,"26-35",IF(HR_Data[[#This Row],[Age]]&lt;=45,"36-45",IF(HR_Data[[#This Row],[Age]]&lt;=55,"46-55","55+"))))</f>
        <v>36-45</v>
      </c>
      <c r="AF671">
        <f>IF(HR_Data[[#This Row],[Age]]&lt;=25,1,IF(HR_Data[[#This Row],[Age]]&lt;=35,2,IF(HR_Data[[#This Row],[Age]]&lt;=45,3,IF(HR_Data[[#This Row],[Age]]&lt;=55,4,5))))</f>
        <v>3</v>
      </c>
      <c r="AG671" s="1" t="str">
        <f>IF(HR_Data[[#This Row],[MonthlyIncome]]&lt;3000,"&lt;3K",IF(HR_Data[[#This Row],[MonthlyIncome]]&lt;6000,"3K-6K",IF(HR_Data[[#This Row],[MonthlyIncome]]&lt;10000,"6K-10K","10K+")))</f>
        <v>&lt;3K</v>
      </c>
      <c r="AH671" s="1">
        <f>IF(HR_Data[[#This Row],[MonthlyIncome]]&lt;3000,1,IF(HR_Data[[#This Row],[MonthlyIncome]]&lt;6000,2,IF(HR_Data[[#This Row],[MonthlyIncome]]&lt;10000,3,4)))</f>
        <v>1</v>
      </c>
      <c r="AI671" s="1" t="str">
        <f>IF(HR_Data[[#This Row],[YearsAtCompany]]&lt;=2,"0-2 Yrs",IF(HR_Data[[#This Row],[YearsAtCompany]]&lt;=5,"3-5 Yrs",IF(HR_Data[[#This Row],[YearsAtCompany]]&lt;=10,"6-10 Yrs","10+ Yrs")))</f>
        <v>0-2 Yrs</v>
      </c>
      <c r="AJ671" s="1">
        <f>IF(HR_Data[[#This Row],[YearsAtCompany]]&lt;=2,1,IF(HR_Data[[#This Row],[YearsAtCompany]]&lt;=5,2,IF(HR_Data[[#This Row],[YearsAtCompany]]&lt;=10,3,4)))</f>
        <v>1</v>
      </c>
      <c r="AK671" s="1" t="str">
        <f>CHOOSE(HR_Data[[#This Row],[Education]],"Below College","College","Bachelor","Master","Doctor")</f>
        <v>Bachelor</v>
      </c>
      <c r="AL671" s="1" t="str">
        <f>CHOOSE(HR_Data[[#This Row],[JobSatisfaction]],"Low","Medium","High","Very High")</f>
        <v>Low</v>
      </c>
      <c r="AM671" s="1" t="str">
        <f>CHOOSE(HR_Data[[#This Row],[EnvironmentSatisfaction]],"Low","Medium","High","Very High")</f>
        <v>Very High</v>
      </c>
      <c r="AN671" s="1" t="str">
        <f>CHOOSE(HR_Data[[#This Row],[WorkLifeBalance]],"Bad","Good","Better","Best")</f>
        <v>Bad</v>
      </c>
      <c r="AO671" s="1" t="str">
        <f>IF(HR_Data[[#This Row],[PercentSalaryHike]]&lt;=13,"11-13%",IF(HR_Data[[#This Row],[PercentSalaryHike]]&lt;=16,"14-16%",IF(HR_Data[[#This Row],[PercentSalaryHike]]&lt;=19,"17-19%","20-25%")))</f>
        <v>20-25%</v>
      </c>
      <c r="AP671" s="1">
        <f>IF(HR_Data[[#This Row],[PercentSalaryHike]]&lt;=13,1,IF(HR_Data[[#This Row],[PercentSalaryHike]]&lt;=16,2,IF(HR_Data[[#This Row],[PercentSalaryHike]]&lt;=19,3,4)))</f>
        <v>4</v>
      </c>
      <c r="AQ671" s="1" t="str">
        <f>IF(HR_Data[[#This Row],[DistanceFromHome]]&lt;=5,"1 to 5",IF(HR_Data[[#This Row],[DistanceFromHome]]&lt;=10,"6 to 10",IF(HR_Data[[#This Row],[DistanceFromHome]]&lt;=20,"11 to 20","21 to 29")))</f>
        <v>6 to 10</v>
      </c>
      <c r="AR671" s="1">
        <f>IF(HR_Data[[#This Row],[DistanceFromHome]]&lt;=5,1,IF(HR_Data[[#This Row],[DistanceFromHome]]&lt;=10,2,IF(HR_Data[[#This Row],[DistanceFromHome]]&lt;=20,3,4)))</f>
        <v>2</v>
      </c>
      <c r="AS671" s="1" t="str">
        <f>IF(HR_Data[[#This Row],[TotalWorkingYears]]&lt;=5,"0-5 Yrs",IF(HR_Data[[#This Row],[TotalWorkingYears]]&lt;=10,"6-10 Yrs",IF(HR_Data[[#This Row],[TotalWorkingYears]]&lt;=20,"11-20 Yrs","20+ Yrs")))</f>
        <v>6-10 Yrs</v>
      </c>
      <c r="AT671" s="1">
        <f>IF(HR_Data[[#This Row],[TotalWorkingYears]]&lt;=5,1,IF(HR_Data[[#This Row],[TotalWorkingYears]]&lt;=10,2,IF(HR_Data[[#This Row],[TotalWorkingYears]]&lt;=20,3,4)))</f>
        <v>2</v>
      </c>
    </row>
    <row r="672" spans="1:46" x14ac:dyDescent="0.25">
      <c r="A672">
        <v>27</v>
      </c>
      <c r="B672" t="s">
        <v>36</v>
      </c>
      <c r="C672" t="s">
        <v>30</v>
      </c>
      <c r="D672" t="s">
        <v>38</v>
      </c>
      <c r="E672">
        <v>4</v>
      </c>
      <c r="F672">
        <v>3</v>
      </c>
      <c r="G672" t="s">
        <v>32</v>
      </c>
      <c r="H672">
        <v>933</v>
      </c>
      <c r="I672">
        <v>2</v>
      </c>
      <c r="J672" t="s">
        <v>33</v>
      </c>
      <c r="K672">
        <v>3</v>
      </c>
      <c r="L672">
        <v>1</v>
      </c>
      <c r="M672" t="s">
        <v>40</v>
      </c>
      <c r="N672">
        <v>3</v>
      </c>
      <c r="O672" t="s">
        <v>35</v>
      </c>
      <c r="P672">
        <v>2318</v>
      </c>
      <c r="Q672">
        <v>1</v>
      </c>
      <c r="R672" t="s">
        <v>36</v>
      </c>
      <c r="S672">
        <v>19</v>
      </c>
      <c r="T672">
        <v>3</v>
      </c>
      <c r="U672">
        <v>3</v>
      </c>
      <c r="V672">
        <v>0</v>
      </c>
      <c r="W672">
        <v>1</v>
      </c>
      <c r="X672">
        <v>2</v>
      </c>
      <c r="Y672">
        <v>3</v>
      </c>
      <c r="Z672">
        <v>1</v>
      </c>
      <c r="AA672">
        <v>1</v>
      </c>
      <c r="AB672">
        <v>0</v>
      </c>
      <c r="AC672">
        <v>0</v>
      </c>
      <c r="AD672">
        <f>IF(HR_Data[[#This Row],[Attrition]]="Yes",1,0)</f>
        <v>0</v>
      </c>
      <c r="AE672" t="str">
        <f>IF(HR_Data[[#This Row],[Age]]&lt;=25,"18-25",IF(HR_Data[[#This Row],[Age]]&lt;=35,"26-35",IF(HR_Data[[#This Row],[Age]]&lt;=45,"36-45",IF(HR_Data[[#This Row],[Age]]&lt;=55,"46-55","55+"))))</f>
        <v>26-35</v>
      </c>
      <c r="AF672">
        <f>IF(HR_Data[[#This Row],[Age]]&lt;=25,1,IF(HR_Data[[#This Row],[Age]]&lt;=35,2,IF(HR_Data[[#This Row],[Age]]&lt;=45,3,IF(HR_Data[[#This Row],[Age]]&lt;=55,4,5))))</f>
        <v>2</v>
      </c>
      <c r="AG672" s="1" t="str">
        <f>IF(HR_Data[[#This Row],[MonthlyIncome]]&lt;3000,"&lt;3K",IF(HR_Data[[#This Row],[MonthlyIncome]]&lt;6000,"3K-6K",IF(HR_Data[[#This Row],[MonthlyIncome]]&lt;10000,"6K-10K","10K+")))</f>
        <v>&lt;3K</v>
      </c>
      <c r="AH672" s="1">
        <f>IF(HR_Data[[#This Row],[MonthlyIncome]]&lt;3000,1,IF(HR_Data[[#This Row],[MonthlyIncome]]&lt;6000,2,IF(HR_Data[[#This Row],[MonthlyIncome]]&lt;10000,3,4)))</f>
        <v>1</v>
      </c>
      <c r="AI672" s="1" t="str">
        <f>IF(HR_Data[[#This Row],[YearsAtCompany]]&lt;=2,"0-2 Yrs",IF(HR_Data[[#This Row],[YearsAtCompany]]&lt;=5,"3-5 Yrs",IF(HR_Data[[#This Row],[YearsAtCompany]]&lt;=10,"6-10 Yrs","10+ Yrs")))</f>
        <v>0-2 Yrs</v>
      </c>
      <c r="AJ672" s="1">
        <f>IF(HR_Data[[#This Row],[YearsAtCompany]]&lt;=2,1,IF(HR_Data[[#This Row],[YearsAtCompany]]&lt;=5,2,IF(HR_Data[[#This Row],[YearsAtCompany]]&lt;=10,3,4)))</f>
        <v>1</v>
      </c>
      <c r="AK672" s="1" t="str">
        <f>CHOOSE(HR_Data[[#This Row],[Education]],"Below College","College","Bachelor","Master","Doctor")</f>
        <v>Bachelor</v>
      </c>
      <c r="AL672" s="1" t="str">
        <f>CHOOSE(HR_Data[[#This Row],[JobSatisfaction]],"Low","Medium","High","Very High")</f>
        <v>High</v>
      </c>
      <c r="AM672" s="1" t="str">
        <f>CHOOSE(HR_Data[[#This Row],[EnvironmentSatisfaction]],"Low","Medium","High","Very High")</f>
        <v>Medium</v>
      </c>
      <c r="AN672" s="1" t="str">
        <f>CHOOSE(HR_Data[[#This Row],[WorkLifeBalance]],"Bad","Good","Better","Best")</f>
        <v>Better</v>
      </c>
      <c r="AO672" s="1" t="str">
        <f>IF(HR_Data[[#This Row],[PercentSalaryHike]]&lt;=13,"11-13%",IF(HR_Data[[#This Row],[PercentSalaryHike]]&lt;=16,"14-16%",IF(HR_Data[[#This Row],[PercentSalaryHike]]&lt;=19,"17-19%","20-25%")))</f>
        <v>17-19%</v>
      </c>
      <c r="AP672" s="1">
        <f>IF(HR_Data[[#This Row],[PercentSalaryHike]]&lt;=13,1,IF(HR_Data[[#This Row],[PercentSalaryHike]]&lt;=16,2,IF(HR_Data[[#This Row],[PercentSalaryHike]]&lt;=19,3,4)))</f>
        <v>3</v>
      </c>
      <c r="AQ672" s="1" t="str">
        <f>IF(HR_Data[[#This Row],[DistanceFromHome]]&lt;=5,"1 to 5",IF(HR_Data[[#This Row],[DistanceFromHome]]&lt;=10,"6 to 10",IF(HR_Data[[#This Row],[DistanceFromHome]]&lt;=20,"11 to 20","21 to 29")))</f>
        <v>1 to 5</v>
      </c>
      <c r="AR672" s="1">
        <f>IF(HR_Data[[#This Row],[DistanceFromHome]]&lt;=5,1,IF(HR_Data[[#This Row],[DistanceFromHome]]&lt;=10,2,IF(HR_Data[[#This Row],[DistanceFromHome]]&lt;=20,3,4)))</f>
        <v>1</v>
      </c>
      <c r="AS672" s="1" t="str">
        <f>IF(HR_Data[[#This Row],[TotalWorkingYears]]&lt;=5,"0-5 Yrs",IF(HR_Data[[#This Row],[TotalWorkingYears]]&lt;=10,"6-10 Yrs",IF(HR_Data[[#This Row],[TotalWorkingYears]]&lt;=20,"11-20 Yrs","20+ Yrs")))</f>
        <v>0-5 Yrs</v>
      </c>
      <c r="AT672" s="1">
        <f>IF(HR_Data[[#This Row],[TotalWorkingYears]]&lt;=5,1,IF(HR_Data[[#This Row],[TotalWorkingYears]]&lt;=10,2,IF(HR_Data[[#This Row],[TotalWorkingYears]]&lt;=20,3,4)))</f>
        <v>1</v>
      </c>
    </row>
    <row r="673" spans="1:46" x14ac:dyDescent="0.25">
      <c r="A673">
        <v>34</v>
      </c>
      <c r="B673" t="s">
        <v>36</v>
      </c>
      <c r="C673" t="s">
        <v>30</v>
      </c>
      <c r="D673" t="s">
        <v>38</v>
      </c>
      <c r="E673">
        <v>10</v>
      </c>
      <c r="F673">
        <v>3</v>
      </c>
      <c r="G673" t="s">
        <v>32</v>
      </c>
      <c r="H673">
        <v>934</v>
      </c>
      <c r="I673">
        <v>2</v>
      </c>
      <c r="J673" t="s">
        <v>39</v>
      </c>
      <c r="K673">
        <v>3</v>
      </c>
      <c r="L673">
        <v>1</v>
      </c>
      <c r="M673" t="s">
        <v>43</v>
      </c>
      <c r="N673">
        <v>2</v>
      </c>
      <c r="O673" t="s">
        <v>45</v>
      </c>
      <c r="P673">
        <v>2008</v>
      </c>
      <c r="Q673">
        <v>1</v>
      </c>
      <c r="R673" t="s">
        <v>36</v>
      </c>
      <c r="S673">
        <v>14</v>
      </c>
      <c r="T673">
        <v>3</v>
      </c>
      <c r="U673">
        <v>2</v>
      </c>
      <c r="V673">
        <v>2</v>
      </c>
      <c r="W673">
        <v>1</v>
      </c>
      <c r="X673">
        <v>3</v>
      </c>
      <c r="Y673">
        <v>3</v>
      </c>
      <c r="Z673">
        <v>1</v>
      </c>
      <c r="AA673">
        <v>0</v>
      </c>
      <c r="AB673">
        <v>1</v>
      </c>
      <c r="AC673">
        <v>0</v>
      </c>
      <c r="AD673">
        <f>IF(HR_Data[[#This Row],[Attrition]]="Yes",1,0)</f>
        <v>0</v>
      </c>
      <c r="AE673" t="str">
        <f>IF(HR_Data[[#This Row],[Age]]&lt;=25,"18-25",IF(HR_Data[[#This Row],[Age]]&lt;=35,"26-35",IF(HR_Data[[#This Row],[Age]]&lt;=45,"36-45",IF(HR_Data[[#This Row],[Age]]&lt;=55,"46-55","55+"))))</f>
        <v>26-35</v>
      </c>
      <c r="AF673">
        <f>IF(HR_Data[[#This Row],[Age]]&lt;=25,1,IF(HR_Data[[#This Row],[Age]]&lt;=35,2,IF(HR_Data[[#This Row],[Age]]&lt;=45,3,IF(HR_Data[[#This Row],[Age]]&lt;=55,4,5))))</f>
        <v>2</v>
      </c>
      <c r="AG673" s="1" t="str">
        <f>IF(HR_Data[[#This Row],[MonthlyIncome]]&lt;3000,"&lt;3K",IF(HR_Data[[#This Row],[MonthlyIncome]]&lt;6000,"3K-6K",IF(HR_Data[[#This Row],[MonthlyIncome]]&lt;10000,"6K-10K","10K+")))</f>
        <v>&lt;3K</v>
      </c>
      <c r="AH673" s="1">
        <f>IF(HR_Data[[#This Row],[MonthlyIncome]]&lt;3000,1,IF(HR_Data[[#This Row],[MonthlyIncome]]&lt;6000,2,IF(HR_Data[[#This Row],[MonthlyIncome]]&lt;10000,3,4)))</f>
        <v>1</v>
      </c>
      <c r="AI673" s="1" t="str">
        <f>IF(HR_Data[[#This Row],[YearsAtCompany]]&lt;=2,"0-2 Yrs",IF(HR_Data[[#This Row],[YearsAtCompany]]&lt;=5,"3-5 Yrs",IF(HR_Data[[#This Row],[YearsAtCompany]]&lt;=10,"6-10 Yrs","10+ Yrs")))</f>
        <v>0-2 Yrs</v>
      </c>
      <c r="AJ673" s="1">
        <f>IF(HR_Data[[#This Row],[YearsAtCompany]]&lt;=2,1,IF(HR_Data[[#This Row],[YearsAtCompany]]&lt;=5,2,IF(HR_Data[[#This Row],[YearsAtCompany]]&lt;=10,3,4)))</f>
        <v>1</v>
      </c>
      <c r="AK673" s="1" t="str">
        <f>CHOOSE(HR_Data[[#This Row],[Education]],"Below College","College","Bachelor","Master","Doctor")</f>
        <v>Bachelor</v>
      </c>
      <c r="AL673" s="1" t="str">
        <f>CHOOSE(HR_Data[[#This Row],[JobSatisfaction]],"Low","Medium","High","Very High")</f>
        <v>Medium</v>
      </c>
      <c r="AM673" s="1" t="str">
        <f>CHOOSE(HR_Data[[#This Row],[EnvironmentSatisfaction]],"Low","Medium","High","Very High")</f>
        <v>Medium</v>
      </c>
      <c r="AN673" s="1" t="str">
        <f>CHOOSE(HR_Data[[#This Row],[WorkLifeBalance]],"Bad","Good","Better","Best")</f>
        <v>Better</v>
      </c>
      <c r="AO673" s="1" t="str">
        <f>IF(HR_Data[[#This Row],[PercentSalaryHike]]&lt;=13,"11-13%",IF(HR_Data[[#This Row],[PercentSalaryHike]]&lt;=16,"14-16%",IF(HR_Data[[#This Row],[PercentSalaryHike]]&lt;=19,"17-19%","20-25%")))</f>
        <v>14-16%</v>
      </c>
      <c r="AP673" s="1">
        <f>IF(HR_Data[[#This Row],[PercentSalaryHike]]&lt;=13,1,IF(HR_Data[[#This Row],[PercentSalaryHike]]&lt;=16,2,IF(HR_Data[[#This Row],[PercentSalaryHike]]&lt;=19,3,4)))</f>
        <v>2</v>
      </c>
      <c r="AQ673" s="1" t="str">
        <f>IF(HR_Data[[#This Row],[DistanceFromHome]]&lt;=5,"1 to 5",IF(HR_Data[[#This Row],[DistanceFromHome]]&lt;=10,"6 to 10",IF(HR_Data[[#This Row],[DistanceFromHome]]&lt;=20,"11 to 20","21 to 29")))</f>
        <v>6 to 10</v>
      </c>
      <c r="AR673" s="1">
        <f>IF(HR_Data[[#This Row],[DistanceFromHome]]&lt;=5,1,IF(HR_Data[[#This Row],[DistanceFromHome]]&lt;=10,2,IF(HR_Data[[#This Row],[DistanceFromHome]]&lt;=20,3,4)))</f>
        <v>2</v>
      </c>
      <c r="AS673" s="1" t="str">
        <f>IF(HR_Data[[#This Row],[TotalWorkingYears]]&lt;=5,"0-5 Yrs",IF(HR_Data[[#This Row],[TotalWorkingYears]]&lt;=10,"6-10 Yrs",IF(HR_Data[[#This Row],[TotalWorkingYears]]&lt;=20,"11-20 Yrs","20+ Yrs")))</f>
        <v>0-5 Yrs</v>
      </c>
      <c r="AT673" s="1">
        <f>IF(HR_Data[[#This Row],[TotalWorkingYears]]&lt;=5,1,IF(HR_Data[[#This Row],[TotalWorkingYears]]&lt;=10,2,IF(HR_Data[[#This Row],[TotalWorkingYears]]&lt;=20,3,4)))</f>
        <v>1</v>
      </c>
    </row>
    <row r="674" spans="1:46" x14ac:dyDescent="0.25">
      <c r="A674">
        <v>42</v>
      </c>
      <c r="B674" t="s">
        <v>36</v>
      </c>
      <c r="C674" t="s">
        <v>30</v>
      </c>
      <c r="D674" t="s">
        <v>31</v>
      </c>
      <c r="E674">
        <v>14</v>
      </c>
      <c r="F674">
        <v>2</v>
      </c>
      <c r="G674" t="s">
        <v>44</v>
      </c>
      <c r="H674">
        <v>936</v>
      </c>
      <c r="I674">
        <v>3</v>
      </c>
      <c r="J674" t="s">
        <v>33</v>
      </c>
      <c r="K674">
        <v>2</v>
      </c>
      <c r="L674">
        <v>2</v>
      </c>
      <c r="M674" t="s">
        <v>34</v>
      </c>
      <c r="N674">
        <v>3</v>
      </c>
      <c r="O674" t="s">
        <v>35</v>
      </c>
      <c r="P674">
        <v>6244</v>
      </c>
      <c r="Q674">
        <v>7</v>
      </c>
      <c r="R674" t="s">
        <v>36</v>
      </c>
      <c r="S674">
        <v>17</v>
      </c>
      <c r="T674">
        <v>3</v>
      </c>
      <c r="U674">
        <v>1</v>
      </c>
      <c r="V674">
        <v>0</v>
      </c>
      <c r="W674">
        <v>10</v>
      </c>
      <c r="X674">
        <v>6</v>
      </c>
      <c r="Y674">
        <v>3</v>
      </c>
      <c r="Z674">
        <v>5</v>
      </c>
      <c r="AA674">
        <v>4</v>
      </c>
      <c r="AB674">
        <v>0</v>
      </c>
      <c r="AC674">
        <v>3</v>
      </c>
      <c r="AD674">
        <f>IF(HR_Data[[#This Row],[Attrition]]="Yes",1,0)</f>
        <v>0</v>
      </c>
      <c r="AE674" t="str">
        <f>IF(HR_Data[[#This Row],[Age]]&lt;=25,"18-25",IF(HR_Data[[#This Row],[Age]]&lt;=35,"26-35",IF(HR_Data[[#This Row],[Age]]&lt;=45,"36-45",IF(HR_Data[[#This Row],[Age]]&lt;=55,"46-55","55+"))))</f>
        <v>36-45</v>
      </c>
      <c r="AF674">
        <f>IF(HR_Data[[#This Row],[Age]]&lt;=25,1,IF(HR_Data[[#This Row],[Age]]&lt;=35,2,IF(HR_Data[[#This Row],[Age]]&lt;=45,3,IF(HR_Data[[#This Row],[Age]]&lt;=55,4,5))))</f>
        <v>3</v>
      </c>
      <c r="AG674" s="1" t="str">
        <f>IF(HR_Data[[#This Row],[MonthlyIncome]]&lt;3000,"&lt;3K",IF(HR_Data[[#This Row],[MonthlyIncome]]&lt;6000,"3K-6K",IF(HR_Data[[#This Row],[MonthlyIncome]]&lt;10000,"6K-10K","10K+")))</f>
        <v>6K-10K</v>
      </c>
      <c r="AH674" s="1">
        <f>IF(HR_Data[[#This Row],[MonthlyIncome]]&lt;3000,1,IF(HR_Data[[#This Row],[MonthlyIncome]]&lt;6000,2,IF(HR_Data[[#This Row],[MonthlyIncome]]&lt;10000,3,4)))</f>
        <v>3</v>
      </c>
      <c r="AI674" s="1" t="str">
        <f>IF(HR_Data[[#This Row],[YearsAtCompany]]&lt;=2,"0-2 Yrs",IF(HR_Data[[#This Row],[YearsAtCompany]]&lt;=5,"3-5 Yrs",IF(HR_Data[[#This Row],[YearsAtCompany]]&lt;=10,"6-10 Yrs","10+ Yrs")))</f>
        <v>3-5 Yrs</v>
      </c>
      <c r="AJ674" s="1">
        <f>IF(HR_Data[[#This Row],[YearsAtCompany]]&lt;=2,1,IF(HR_Data[[#This Row],[YearsAtCompany]]&lt;=5,2,IF(HR_Data[[#This Row],[YearsAtCompany]]&lt;=10,3,4)))</f>
        <v>2</v>
      </c>
      <c r="AK674" s="1" t="str">
        <f>CHOOSE(HR_Data[[#This Row],[Education]],"Below College","College","Bachelor","Master","Doctor")</f>
        <v>College</v>
      </c>
      <c r="AL674" s="1" t="str">
        <f>CHOOSE(HR_Data[[#This Row],[JobSatisfaction]],"Low","Medium","High","Very High")</f>
        <v>High</v>
      </c>
      <c r="AM674" s="1" t="str">
        <f>CHOOSE(HR_Data[[#This Row],[EnvironmentSatisfaction]],"Low","Medium","High","Very High")</f>
        <v>High</v>
      </c>
      <c r="AN674" s="1" t="str">
        <f>CHOOSE(HR_Data[[#This Row],[WorkLifeBalance]],"Bad","Good","Better","Best")</f>
        <v>Better</v>
      </c>
      <c r="AO674" s="1" t="str">
        <f>IF(HR_Data[[#This Row],[PercentSalaryHike]]&lt;=13,"11-13%",IF(HR_Data[[#This Row],[PercentSalaryHike]]&lt;=16,"14-16%",IF(HR_Data[[#This Row],[PercentSalaryHike]]&lt;=19,"17-19%","20-25%")))</f>
        <v>17-19%</v>
      </c>
      <c r="AP674" s="1">
        <f>IF(HR_Data[[#This Row],[PercentSalaryHike]]&lt;=13,1,IF(HR_Data[[#This Row],[PercentSalaryHike]]&lt;=16,2,IF(HR_Data[[#This Row],[PercentSalaryHike]]&lt;=19,3,4)))</f>
        <v>3</v>
      </c>
      <c r="AQ674" s="1" t="str">
        <f>IF(HR_Data[[#This Row],[DistanceFromHome]]&lt;=5,"1 to 5",IF(HR_Data[[#This Row],[DistanceFromHome]]&lt;=10,"6 to 10",IF(HR_Data[[#This Row],[DistanceFromHome]]&lt;=20,"11 to 20","21 to 29")))</f>
        <v>11 to 20</v>
      </c>
      <c r="AR674" s="1">
        <f>IF(HR_Data[[#This Row],[DistanceFromHome]]&lt;=5,1,IF(HR_Data[[#This Row],[DistanceFromHome]]&lt;=10,2,IF(HR_Data[[#This Row],[DistanceFromHome]]&lt;=20,3,4)))</f>
        <v>3</v>
      </c>
      <c r="AS674" s="1" t="str">
        <f>IF(HR_Data[[#This Row],[TotalWorkingYears]]&lt;=5,"0-5 Yrs",IF(HR_Data[[#This Row],[TotalWorkingYears]]&lt;=10,"6-10 Yrs",IF(HR_Data[[#This Row],[TotalWorkingYears]]&lt;=20,"11-20 Yrs","20+ Yrs")))</f>
        <v>6-10 Yrs</v>
      </c>
      <c r="AT674" s="1">
        <f>IF(HR_Data[[#This Row],[TotalWorkingYears]]&lt;=5,1,IF(HR_Data[[#This Row],[TotalWorkingYears]]&lt;=10,2,IF(HR_Data[[#This Row],[TotalWorkingYears]]&lt;=20,3,4)))</f>
        <v>2</v>
      </c>
    </row>
    <row r="675" spans="1:46" x14ac:dyDescent="0.25">
      <c r="A675">
        <v>33</v>
      </c>
      <c r="B675" t="s">
        <v>36</v>
      </c>
      <c r="C675" t="s">
        <v>30</v>
      </c>
      <c r="D675" t="s">
        <v>38</v>
      </c>
      <c r="E675">
        <v>1</v>
      </c>
      <c r="F675">
        <v>4</v>
      </c>
      <c r="G675" t="s">
        <v>42</v>
      </c>
      <c r="H675">
        <v>939</v>
      </c>
      <c r="I675">
        <v>3</v>
      </c>
      <c r="J675" t="s">
        <v>39</v>
      </c>
      <c r="K675">
        <v>2</v>
      </c>
      <c r="L675">
        <v>1</v>
      </c>
      <c r="M675" t="s">
        <v>40</v>
      </c>
      <c r="N675">
        <v>1</v>
      </c>
      <c r="O675" t="s">
        <v>35</v>
      </c>
      <c r="P675">
        <v>2799</v>
      </c>
      <c r="Q675">
        <v>3</v>
      </c>
      <c r="R675" t="s">
        <v>29</v>
      </c>
      <c r="S675">
        <v>11</v>
      </c>
      <c r="T675">
        <v>3</v>
      </c>
      <c r="U675">
        <v>2</v>
      </c>
      <c r="V675">
        <v>0</v>
      </c>
      <c r="W675">
        <v>6</v>
      </c>
      <c r="X675">
        <v>1</v>
      </c>
      <c r="Y675">
        <v>3</v>
      </c>
      <c r="Z675">
        <v>3</v>
      </c>
      <c r="AA675">
        <v>2</v>
      </c>
      <c r="AB675">
        <v>0</v>
      </c>
      <c r="AC675">
        <v>2</v>
      </c>
      <c r="AD675">
        <f>IF(HR_Data[[#This Row],[Attrition]]="Yes",1,0)</f>
        <v>0</v>
      </c>
      <c r="AE675" t="str">
        <f>IF(HR_Data[[#This Row],[Age]]&lt;=25,"18-25",IF(HR_Data[[#This Row],[Age]]&lt;=35,"26-35",IF(HR_Data[[#This Row],[Age]]&lt;=45,"36-45",IF(HR_Data[[#This Row],[Age]]&lt;=55,"46-55","55+"))))</f>
        <v>26-35</v>
      </c>
      <c r="AF675">
        <f>IF(HR_Data[[#This Row],[Age]]&lt;=25,1,IF(HR_Data[[#This Row],[Age]]&lt;=35,2,IF(HR_Data[[#This Row],[Age]]&lt;=45,3,IF(HR_Data[[#This Row],[Age]]&lt;=55,4,5))))</f>
        <v>2</v>
      </c>
      <c r="AG675" s="1" t="str">
        <f>IF(HR_Data[[#This Row],[MonthlyIncome]]&lt;3000,"&lt;3K",IF(HR_Data[[#This Row],[MonthlyIncome]]&lt;6000,"3K-6K",IF(HR_Data[[#This Row],[MonthlyIncome]]&lt;10000,"6K-10K","10K+")))</f>
        <v>&lt;3K</v>
      </c>
      <c r="AH675" s="1">
        <f>IF(HR_Data[[#This Row],[MonthlyIncome]]&lt;3000,1,IF(HR_Data[[#This Row],[MonthlyIncome]]&lt;6000,2,IF(HR_Data[[#This Row],[MonthlyIncome]]&lt;10000,3,4)))</f>
        <v>1</v>
      </c>
      <c r="AI675" s="1" t="str">
        <f>IF(HR_Data[[#This Row],[YearsAtCompany]]&lt;=2,"0-2 Yrs",IF(HR_Data[[#This Row],[YearsAtCompany]]&lt;=5,"3-5 Yrs",IF(HR_Data[[#This Row],[YearsAtCompany]]&lt;=10,"6-10 Yrs","10+ Yrs")))</f>
        <v>3-5 Yrs</v>
      </c>
      <c r="AJ675" s="1">
        <f>IF(HR_Data[[#This Row],[YearsAtCompany]]&lt;=2,1,IF(HR_Data[[#This Row],[YearsAtCompany]]&lt;=5,2,IF(HR_Data[[#This Row],[YearsAtCompany]]&lt;=10,3,4)))</f>
        <v>2</v>
      </c>
      <c r="AK675" s="1" t="str">
        <f>CHOOSE(HR_Data[[#This Row],[Education]],"Below College","College","Bachelor","Master","Doctor")</f>
        <v>Master</v>
      </c>
      <c r="AL675" s="1" t="str">
        <f>CHOOSE(HR_Data[[#This Row],[JobSatisfaction]],"Low","Medium","High","Very High")</f>
        <v>Low</v>
      </c>
      <c r="AM675" s="1" t="str">
        <f>CHOOSE(HR_Data[[#This Row],[EnvironmentSatisfaction]],"Low","Medium","High","Very High")</f>
        <v>High</v>
      </c>
      <c r="AN675" s="1" t="str">
        <f>CHOOSE(HR_Data[[#This Row],[WorkLifeBalance]],"Bad","Good","Better","Best")</f>
        <v>Better</v>
      </c>
      <c r="AO675" s="1" t="str">
        <f>IF(HR_Data[[#This Row],[PercentSalaryHike]]&lt;=13,"11-13%",IF(HR_Data[[#This Row],[PercentSalaryHike]]&lt;=16,"14-16%",IF(HR_Data[[#This Row],[PercentSalaryHike]]&lt;=19,"17-19%","20-25%")))</f>
        <v>11-13%</v>
      </c>
      <c r="AP675" s="1">
        <f>IF(HR_Data[[#This Row],[PercentSalaryHike]]&lt;=13,1,IF(HR_Data[[#This Row],[PercentSalaryHike]]&lt;=16,2,IF(HR_Data[[#This Row],[PercentSalaryHike]]&lt;=19,3,4)))</f>
        <v>1</v>
      </c>
      <c r="AQ675" s="1" t="str">
        <f>IF(HR_Data[[#This Row],[DistanceFromHome]]&lt;=5,"1 to 5",IF(HR_Data[[#This Row],[DistanceFromHome]]&lt;=10,"6 to 10",IF(HR_Data[[#This Row],[DistanceFromHome]]&lt;=20,"11 to 20","21 to 29")))</f>
        <v>1 to 5</v>
      </c>
      <c r="AR675" s="1">
        <f>IF(HR_Data[[#This Row],[DistanceFromHome]]&lt;=5,1,IF(HR_Data[[#This Row],[DistanceFromHome]]&lt;=10,2,IF(HR_Data[[#This Row],[DistanceFromHome]]&lt;=20,3,4)))</f>
        <v>1</v>
      </c>
      <c r="AS675" s="1" t="str">
        <f>IF(HR_Data[[#This Row],[TotalWorkingYears]]&lt;=5,"0-5 Yrs",IF(HR_Data[[#This Row],[TotalWorkingYears]]&lt;=10,"6-10 Yrs",IF(HR_Data[[#This Row],[TotalWorkingYears]]&lt;=20,"11-20 Yrs","20+ Yrs")))</f>
        <v>6-10 Yrs</v>
      </c>
      <c r="AT675" s="1">
        <f>IF(HR_Data[[#This Row],[TotalWorkingYears]]&lt;=5,1,IF(HR_Data[[#This Row],[TotalWorkingYears]]&lt;=10,2,IF(HR_Data[[#This Row],[TotalWorkingYears]]&lt;=20,3,4)))</f>
        <v>2</v>
      </c>
    </row>
    <row r="676" spans="1:46" x14ac:dyDescent="0.25">
      <c r="A676">
        <v>58</v>
      </c>
      <c r="B676" t="s">
        <v>36</v>
      </c>
      <c r="C676" t="s">
        <v>30</v>
      </c>
      <c r="D676" t="s">
        <v>38</v>
      </c>
      <c r="E676">
        <v>5</v>
      </c>
      <c r="F676">
        <v>3</v>
      </c>
      <c r="G676" t="s">
        <v>53</v>
      </c>
      <c r="H676">
        <v>940</v>
      </c>
      <c r="I676">
        <v>3</v>
      </c>
      <c r="J676" t="s">
        <v>33</v>
      </c>
      <c r="K676">
        <v>2</v>
      </c>
      <c r="L676">
        <v>3</v>
      </c>
      <c r="M676" t="s">
        <v>47</v>
      </c>
      <c r="N676">
        <v>2</v>
      </c>
      <c r="O676" t="s">
        <v>45</v>
      </c>
      <c r="P676">
        <v>10552</v>
      </c>
      <c r="Q676">
        <v>2</v>
      </c>
      <c r="R676" t="s">
        <v>29</v>
      </c>
      <c r="S676">
        <v>13</v>
      </c>
      <c r="T676">
        <v>3</v>
      </c>
      <c r="U676">
        <v>4</v>
      </c>
      <c r="V676">
        <v>1</v>
      </c>
      <c r="W676">
        <v>24</v>
      </c>
      <c r="X676">
        <v>3</v>
      </c>
      <c r="Y676">
        <v>3</v>
      </c>
      <c r="Z676">
        <v>6</v>
      </c>
      <c r="AA676">
        <v>0</v>
      </c>
      <c r="AB676">
        <v>0</v>
      </c>
      <c r="AC676">
        <v>4</v>
      </c>
      <c r="AD676">
        <f>IF(HR_Data[[#This Row],[Attrition]]="Yes",1,0)</f>
        <v>0</v>
      </c>
      <c r="AE676" t="str">
        <f>IF(HR_Data[[#This Row],[Age]]&lt;=25,"18-25",IF(HR_Data[[#This Row],[Age]]&lt;=35,"26-35",IF(HR_Data[[#This Row],[Age]]&lt;=45,"36-45",IF(HR_Data[[#This Row],[Age]]&lt;=55,"46-55","55+"))))</f>
        <v>55+</v>
      </c>
      <c r="AF676">
        <f>IF(HR_Data[[#This Row],[Age]]&lt;=25,1,IF(HR_Data[[#This Row],[Age]]&lt;=35,2,IF(HR_Data[[#This Row],[Age]]&lt;=45,3,IF(HR_Data[[#This Row],[Age]]&lt;=55,4,5))))</f>
        <v>5</v>
      </c>
      <c r="AG676" s="1" t="str">
        <f>IF(HR_Data[[#This Row],[MonthlyIncome]]&lt;3000,"&lt;3K",IF(HR_Data[[#This Row],[MonthlyIncome]]&lt;6000,"3K-6K",IF(HR_Data[[#This Row],[MonthlyIncome]]&lt;10000,"6K-10K","10K+")))</f>
        <v>10K+</v>
      </c>
      <c r="AH676" s="1">
        <f>IF(HR_Data[[#This Row],[MonthlyIncome]]&lt;3000,1,IF(HR_Data[[#This Row],[MonthlyIncome]]&lt;6000,2,IF(HR_Data[[#This Row],[MonthlyIncome]]&lt;10000,3,4)))</f>
        <v>4</v>
      </c>
      <c r="AI676" s="1" t="str">
        <f>IF(HR_Data[[#This Row],[YearsAtCompany]]&lt;=2,"0-2 Yrs",IF(HR_Data[[#This Row],[YearsAtCompany]]&lt;=5,"3-5 Yrs",IF(HR_Data[[#This Row],[YearsAtCompany]]&lt;=10,"6-10 Yrs","10+ Yrs")))</f>
        <v>6-10 Yrs</v>
      </c>
      <c r="AJ676" s="1">
        <f>IF(HR_Data[[#This Row],[YearsAtCompany]]&lt;=2,1,IF(HR_Data[[#This Row],[YearsAtCompany]]&lt;=5,2,IF(HR_Data[[#This Row],[YearsAtCompany]]&lt;=10,3,4)))</f>
        <v>3</v>
      </c>
      <c r="AK676" s="1" t="str">
        <f>CHOOSE(HR_Data[[#This Row],[Education]],"Below College","College","Bachelor","Master","Doctor")</f>
        <v>Bachelor</v>
      </c>
      <c r="AL676" s="1" t="str">
        <f>CHOOSE(HR_Data[[#This Row],[JobSatisfaction]],"Low","Medium","High","Very High")</f>
        <v>Medium</v>
      </c>
      <c r="AM676" s="1" t="str">
        <f>CHOOSE(HR_Data[[#This Row],[EnvironmentSatisfaction]],"Low","Medium","High","Very High")</f>
        <v>High</v>
      </c>
      <c r="AN676" s="1" t="str">
        <f>CHOOSE(HR_Data[[#This Row],[WorkLifeBalance]],"Bad","Good","Better","Best")</f>
        <v>Better</v>
      </c>
      <c r="AO676" s="1" t="str">
        <f>IF(HR_Data[[#This Row],[PercentSalaryHike]]&lt;=13,"11-13%",IF(HR_Data[[#This Row],[PercentSalaryHike]]&lt;=16,"14-16%",IF(HR_Data[[#This Row],[PercentSalaryHike]]&lt;=19,"17-19%","20-25%")))</f>
        <v>11-13%</v>
      </c>
      <c r="AP676" s="1">
        <f>IF(HR_Data[[#This Row],[PercentSalaryHike]]&lt;=13,1,IF(HR_Data[[#This Row],[PercentSalaryHike]]&lt;=16,2,IF(HR_Data[[#This Row],[PercentSalaryHike]]&lt;=19,3,4)))</f>
        <v>1</v>
      </c>
      <c r="AQ676" s="1" t="str">
        <f>IF(HR_Data[[#This Row],[DistanceFromHome]]&lt;=5,"1 to 5",IF(HR_Data[[#This Row],[DistanceFromHome]]&lt;=10,"6 to 10",IF(HR_Data[[#This Row],[DistanceFromHome]]&lt;=20,"11 to 20","21 to 29")))</f>
        <v>1 to 5</v>
      </c>
      <c r="AR676" s="1">
        <f>IF(HR_Data[[#This Row],[DistanceFromHome]]&lt;=5,1,IF(HR_Data[[#This Row],[DistanceFromHome]]&lt;=10,2,IF(HR_Data[[#This Row],[DistanceFromHome]]&lt;=20,3,4)))</f>
        <v>1</v>
      </c>
      <c r="AS676" s="1" t="str">
        <f>IF(HR_Data[[#This Row],[TotalWorkingYears]]&lt;=5,"0-5 Yrs",IF(HR_Data[[#This Row],[TotalWorkingYears]]&lt;=10,"6-10 Yrs",IF(HR_Data[[#This Row],[TotalWorkingYears]]&lt;=20,"11-20 Yrs","20+ Yrs")))</f>
        <v>20+ Yrs</v>
      </c>
      <c r="AT676" s="1">
        <f>IF(HR_Data[[#This Row],[TotalWorkingYears]]&lt;=5,1,IF(HR_Data[[#This Row],[TotalWorkingYears]]&lt;=10,2,IF(HR_Data[[#This Row],[TotalWorkingYears]]&lt;=20,3,4)))</f>
        <v>4</v>
      </c>
    </row>
    <row r="677" spans="1:46" x14ac:dyDescent="0.25">
      <c r="A677">
        <v>31</v>
      </c>
      <c r="B677" t="s">
        <v>36</v>
      </c>
      <c r="C677" t="s">
        <v>30</v>
      </c>
      <c r="D677" t="s">
        <v>31</v>
      </c>
      <c r="E677">
        <v>7</v>
      </c>
      <c r="F677">
        <v>4</v>
      </c>
      <c r="G677" t="s">
        <v>32</v>
      </c>
      <c r="H677">
        <v>941</v>
      </c>
      <c r="I677">
        <v>2</v>
      </c>
      <c r="J677" t="s">
        <v>39</v>
      </c>
      <c r="K677">
        <v>2</v>
      </c>
      <c r="L677">
        <v>1</v>
      </c>
      <c r="M677" t="s">
        <v>50</v>
      </c>
      <c r="N677">
        <v>3</v>
      </c>
      <c r="O677" t="s">
        <v>41</v>
      </c>
      <c r="P677">
        <v>2329</v>
      </c>
      <c r="Q677">
        <v>3</v>
      </c>
      <c r="R677" t="s">
        <v>36</v>
      </c>
      <c r="S677">
        <v>15</v>
      </c>
      <c r="T677">
        <v>3</v>
      </c>
      <c r="U677">
        <v>2</v>
      </c>
      <c r="V677">
        <v>0</v>
      </c>
      <c r="W677">
        <v>13</v>
      </c>
      <c r="X677">
        <v>2</v>
      </c>
      <c r="Y677">
        <v>4</v>
      </c>
      <c r="Z677">
        <v>7</v>
      </c>
      <c r="AA677">
        <v>7</v>
      </c>
      <c r="AB677">
        <v>5</v>
      </c>
      <c r="AC677">
        <v>2</v>
      </c>
      <c r="AD677">
        <f>IF(HR_Data[[#This Row],[Attrition]]="Yes",1,0)</f>
        <v>0</v>
      </c>
      <c r="AE677" t="str">
        <f>IF(HR_Data[[#This Row],[Age]]&lt;=25,"18-25",IF(HR_Data[[#This Row],[Age]]&lt;=35,"26-35",IF(HR_Data[[#This Row],[Age]]&lt;=45,"36-45",IF(HR_Data[[#This Row],[Age]]&lt;=55,"46-55","55+"))))</f>
        <v>26-35</v>
      </c>
      <c r="AF677">
        <f>IF(HR_Data[[#This Row],[Age]]&lt;=25,1,IF(HR_Data[[#This Row],[Age]]&lt;=35,2,IF(HR_Data[[#This Row],[Age]]&lt;=45,3,IF(HR_Data[[#This Row],[Age]]&lt;=55,4,5))))</f>
        <v>2</v>
      </c>
      <c r="AG677" s="1" t="str">
        <f>IF(HR_Data[[#This Row],[MonthlyIncome]]&lt;3000,"&lt;3K",IF(HR_Data[[#This Row],[MonthlyIncome]]&lt;6000,"3K-6K",IF(HR_Data[[#This Row],[MonthlyIncome]]&lt;10000,"6K-10K","10K+")))</f>
        <v>&lt;3K</v>
      </c>
      <c r="AH677" s="1">
        <f>IF(HR_Data[[#This Row],[MonthlyIncome]]&lt;3000,1,IF(HR_Data[[#This Row],[MonthlyIncome]]&lt;6000,2,IF(HR_Data[[#This Row],[MonthlyIncome]]&lt;10000,3,4)))</f>
        <v>1</v>
      </c>
      <c r="AI677" s="1" t="str">
        <f>IF(HR_Data[[#This Row],[YearsAtCompany]]&lt;=2,"0-2 Yrs",IF(HR_Data[[#This Row],[YearsAtCompany]]&lt;=5,"3-5 Yrs",IF(HR_Data[[#This Row],[YearsAtCompany]]&lt;=10,"6-10 Yrs","10+ Yrs")))</f>
        <v>6-10 Yrs</v>
      </c>
      <c r="AJ677" s="1">
        <f>IF(HR_Data[[#This Row],[YearsAtCompany]]&lt;=2,1,IF(HR_Data[[#This Row],[YearsAtCompany]]&lt;=5,2,IF(HR_Data[[#This Row],[YearsAtCompany]]&lt;=10,3,4)))</f>
        <v>3</v>
      </c>
      <c r="AK677" s="1" t="str">
        <f>CHOOSE(HR_Data[[#This Row],[Education]],"Below College","College","Bachelor","Master","Doctor")</f>
        <v>Master</v>
      </c>
      <c r="AL677" s="1" t="str">
        <f>CHOOSE(HR_Data[[#This Row],[JobSatisfaction]],"Low","Medium","High","Very High")</f>
        <v>High</v>
      </c>
      <c r="AM677" s="1" t="str">
        <f>CHOOSE(HR_Data[[#This Row],[EnvironmentSatisfaction]],"Low","Medium","High","Very High")</f>
        <v>Medium</v>
      </c>
      <c r="AN677" s="1" t="str">
        <f>CHOOSE(HR_Data[[#This Row],[WorkLifeBalance]],"Bad","Good","Better","Best")</f>
        <v>Best</v>
      </c>
      <c r="AO677" s="1" t="str">
        <f>IF(HR_Data[[#This Row],[PercentSalaryHike]]&lt;=13,"11-13%",IF(HR_Data[[#This Row],[PercentSalaryHike]]&lt;=16,"14-16%",IF(HR_Data[[#This Row],[PercentSalaryHike]]&lt;=19,"17-19%","20-25%")))</f>
        <v>14-16%</v>
      </c>
      <c r="AP677" s="1">
        <f>IF(HR_Data[[#This Row],[PercentSalaryHike]]&lt;=13,1,IF(HR_Data[[#This Row],[PercentSalaryHike]]&lt;=16,2,IF(HR_Data[[#This Row],[PercentSalaryHike]]&lt;=19,3,4)))</f>
        <v>2</v>
      </c>
      <c r="AQ677" s="1" t="str">
        <f>IF(HR_Data[[#This Row],[DistanceFromHome]]&lt;=5,"1 to 5",IF(HR_Data[[#This Row],[DistanceFromHome]]&lt;=10,"6 to 10",IF(HR_Data[[#This Row],[DistanceFromHome]]&lt;=20,"11 to 20","21 to 29")))</f>
        <v>6 to 10</v>
      </c>
      <c r="AR677" s="1">
        <f>IF(HR_Data[[#This Row],[DistanceFromHome]]&lt;=5,1,IF(HR_Data[[#This Row],[DistanceFromHome]]&lt;=10,2,IF(HR_Data[[#This Row],[DistanceFromHome]]&lt;=20,3,4)))</f>
        <v>2</v>
      </c>
      <c r="AS677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677" s="1">
        <f>IF(HR_Data[[#This Row],[TotalWorkingYears]]&lt;=5,1,IF(HR_Data[[#This Row],[TotalWorkingYears]]&lt;=10,2,IF(HR_Data[[#This Row],[TotalWorkingYears]]&lt;=20,3,4)))</f>
        <v>3</v>
      </c>
    </row>
    <row r="678" spans="1:46" x14ac:dyDescent="0.25">
      <c r="A678">
        <v>35</v>
      </c>
      <c r="B678" t="s">
        <v>36</v>
      </c>
      <c r="C678" t="s">
        <v>30</v>
      </c>
      <c r="D678" t="s">
        <v>38</v>
      </c>
      <c r="E678">
        <v>21</v>
      </c>
      <c r="F678">
        <v>1</v>
      </c>
      <c r="G678" t="s">
        <v>32</v>
      </c>
      <c r="H678">
        <v>942</v>
      </c>
      <c r="I678">
        <v>4</v>
      </c>
      <c r="J678" t="s">
        <v>33</v>
      </c>
      <c r="K678">
        <v>3</v>
      </c>
      <c r="L678">
        <v>2</v>
      </c>
      <c r="M678" t="s">
        <v>47</v>
      </c>
      <c r="N678">
        <v>4</v>
      </c>
      <c r="O678" t="s">
        <v>41</v>
      </c>
      <c r="P678">
        <v>4014</v>
      </c>
      <c r="Q678">
        <v>1</v>
      </c>
      <c r="R678" t="s">
        <v>29</v>
      </c>
      <c r="S678">
        <v>25</v>
      </c>
      <c r="T678">
        <v>4</v>
      </c>
      <c r="U678">
        <v>4</v>
      </c>
      <c r="V678">
        <v>1</v>
      </c>
      <c r="W678">
        <v>10</v>
      </c>
      <c r="X678">
        <v>2</v>
      </c>
      <c r="Y678">
        <v>1</v>
      </c>
      <c r="Z678">
        <v>10</v>
      </c>
      <c r="AA678">
        <v>6</v>
      </c>
      <c r="AB678">
        <v>0</v>
      </c>
      <c r="AC678">
        <v>7</v>
      </c>
      <c r="AD678">
        <f>IF(HR_Data[[#This Row],[Attrition]]="Yes",1,0)</f>
        <v>0</v>
      </c>
      <c r="AE678" t="str">
        <f>IF(HR_Data[[#This Row],[Age]]&lt;=25,"18-25",IF(HR_Data[[#This Row],[Age]]&lt;=35,"26-35",IF(HR_Data[[#This Row],[Age]]&lt;=45,"36-45",IF(HR_Data[[#This Row],[Age]]&lt;=55,"46-55","55+"))))</f>
        <v>26-35</v>
      </c>
      <c r="AF678">
        <f>IF(HR_Data[[#This Row],[Age]]&lt;=25,1,IF(HR_Data[[#This Row],[Age]]&lt;=35,2,IF(HR_Data[[#This Row],[Age]]&lt;=45,3,IF(HR_Data[[#This Row],[Age]]&lt;=55,4,5))))</f>
        <v>2</v>
      </c>
      <c r="AG678" s="1" t="str">
        <f>IF(HR_Data[[#This Row],[MonthlyIncome]]&lt;3000,"&lt;3K",IF(HR_Data[[#This Row],[MonthlyIncome]]&lt;6000,"3K-6K",IF(HR_Data[[#This Row],[MonthlyIncome]]&lt;10000,"6K-10K","10K+")))</f>
        <v>3K-6K</v>
      </c>
      <c r="AH678" s="1">
        <f>IF(HR_Data[[#This Row],[MonthlyIncome]]&lt;3000,1,IF(HR_Data[[#This Row],[MonthlyIncome]]&lt;6000,2,IF(HR_Data[[#This Row],[MonthlyIncome]]&lt;10000,3,4)))</f>
        <v>2</v>
      </c>
      <c r="AI678" s="1" t="str">
        <f>IF(HR_Data[[#This Row],[YearsAtCompany]]&lt;=2,"0-2 Yrs",IF(HR_Data[[#This Row],[YearsAtCompany]]&lt;=5,"3-5 Yrs",IF(HR_Data[[#This Row],[YearsAtCompany]]&lt;=10,"6-10 Yrs","10+ Yrs")))</f>
        <v>6-10 Yrs</v>
      </c>
      <c r="AJ678" s="1">
        <f>IF(HR_Data[[#This Row],[YearsAtCompany]]&lt;=2,1,IF(HR_Data[[#This Row],[YearsAtCompany]]&lt;=5,2,IF(HR_Data[[#This Row],[YearsAtCompany]]&lt;=10,3,4)))</f>
        <v>3</v>
      </c>
      <c r="AK678" s="1" t="str">
        <f>CHOOSE(HR_Data[[#This Row],[Education]],"Below College","College","Bachelor","Master","Doctor")</f>
        <v>Below College</v>
      </c>
      <c r="AL678" s="1" t="str">
        <f>CHOOSE(HR_Data[[#This Row],[JobSatisfaction]],"Low","Medium","High","Very High")</f>
        <v>Very High</v>
      </c>
      <c r="AM678" s="1" t="str">
        <f>CHOOSE(HR_Data[[#This Row],[EnvironmentSatisfaction]],"Low","Medium","High","Very High")</f>
        <v>Very High</v>
      </c>
      <c r="AN678" s="1" t="str">
        <f>CHOOSE(HR_Data[[#This Row],[WorkLifeBalance]],"Bad","Good","Better","Best")</f>
        <v>Bad</v>
      </c>
      <c r="AO678" s="1" t="str">
        <f>IF(HR_Data[[#This Row],[PercentSalaryHike]]&lt;=13,"11-13%",IF(HR_Data[[#This Row],[PercentSalaryHike]]&lt;=16,"14-16%",IF(HR_Data[[#This Row],[PercentSalaryHike]]&lt;=19,"17-19%","20-25%")))</f>
        <v>20-25%</v>
      </c>
      <c r="AP678" s="1">
        <f>IF(HR_Data[[#This Row],[PercentSalaryHike]]&lt;=13,1,IF(HR_Data[[#This Row],[PercentSalaryHike]]&lt;=16,2,IF(HR_Data[[#This Row],[PercentSalaryHike]]&lt;=19,3,4)))</f>
        <v>4</v>
      </c>
      <c r="AQ678" s="1" t="str">
        <f>IF(HR_Data[[#This Row],[DistanceFromHome]]&lt;=5,"1 to 5",IF(HR_Data[[#This Row],[DistanceFromHome]]&lt;=10,"6 to 10",IF(HR_Data[[#This Row],[DistanceFromHome]]&lt;=20,"11 to 20","21 to 29")))</f>
        <v>21 to 29</v>
      </c>
      <c r="AR678" s="1">
        <f>IF(HR_Data[[#This Row],[DistanceFromHome]]&lt;=5,1,IF(HR_Data[[#This Row],[DistanceFromHome]]&lt;=10,2,IF(HR_Data[[#This Row],[DistanceFromHome]]&lt;=20,3,4)))</f>
        <v>4</v>
      </c>
      <c r="AS678" s="1" t="str">
        <f>IF(HR_Data[[#This Row],[TotalWorkingYears]]&lt;=5,"0-5 Yrs",IF(HR_Data[[#This Row],[TotalWorkingYears]]&lt;=10,"6-10 Yrs",IF(HR_Data[[#This Row],[TotalWorkingYears]]&lt;=20,"11-20 Yrs","20+ Yrs")))</f>
        <v>6-10 Yrs</v>
      </c>
      <c r="AT678" s="1">
        <f>IF(HR_Data[[#This Row],[TotalWorkingYears]]&lt;=5,1,IF(HR_Data[[#This Row],[TotalWorkingYears]]&lt;=10,2,IF(HR_Data[[#This Row],[TotalWorkingYears]]&lt;=20,3,4)))</f>
        <v>2</v>
      </c>
    </row>
    <row r="679" spans="1:46" x14ac:dyDescent="0.25">
      <c r="A679">
        <v>49</v>
      </c>
      <c r="B679" t="s">
        <v>36</v>
      </c>
      <c r="C679" t="s">
        <v>30</v>
      </c>
      <c r="D679" t="s">
        <v>38</v>
      </c>
      <c r="E679">
        <v>8</v>
      </c>
      <c r="F679">
        <v>2</v>
      </c>
      <c r="G679" t="s">
        <v>42</v>
      </c>
      <c r="H679">
        <v>944</v>
      </c>
      <c r="I679">
        <v>1</v>
      </c>
      <c r="J679" t="s">
        <v>33</v>
      </c>
      <c r="K679">
        <v>3</v>
      </c>
      <c r="L679">
        <v>3</v>
      </c>
      <c r="M679" t="s">
        <v>43</v>
      </c>
      <c r="N679">
        <v>2</v>
      </c>
      <c r="O679" t="s">
        <v>41</v>
      </c>
      <c r="P679">
        <v>7403</v>
      </c>
      <c r="Q679">
        <v>4</v>
      </c>
      <c r="R679" t="s">
        <v>36</v>
      </c>
      <c r="S679">
        <v>11</v>
      </c>
      <c r="T679">
        <v>3</v>
      </c>
      <c r="U679">
        <v>3</v>
      </c>
      <c r="V679">
        <v>1</v>
      </c>
      <c r="W679">
        <v>29</v>
      </c>
      <c r="X679">
        <v>3</v>
      </c>
      <c r="Y679">
        <v>2</v>
      </c>
      <c r="Z679">
        <v>26</v>
      </c>
      <c r="AA679">
        <v>9</v>
      </c>
      <c r="AB679">
        <v>1</v>
      </c>
      <c r="AC679">
        <v>7</v>
      </c>
      <c r="AD679">
        <f>IF(HR_Data[[#This Row],[Attrition]]="Yes",1,0)</f>
        <v>0</v>
      </c>
      <c r="AE679" t="str">
        <f>IF(HR_Data[[#This Row],[Age]]&lt;=25,"18-25",IF(HR_Data[[#This Row],[Age]]&lt;=35,"26-35",IF(HR_Data[[#This Row],[Age]]&lt;=45,"36-45",IF(HR_Data[[#This Row],[Age]]&lt;=55,"46-55","55+"))))</f>
        <v>46-55</v>
      </c>
      <c r="AF679">
        <f>IF(HR_Data[[#This Row],[Age]]&lt;=25,1,IF(HR_Data[[#This Row],[Age]]&lt;=35,2,IF(HR_Data[[#This Row],[Age]]&lt;=45,3,IF(HR_Data[[#This Row],[Age]]&lt;=55,4,5))))</f>
        <v>4</v>
      </c>
      <c r="AG679" s="1" t="str">
        <f>IF(HR_Data[[#This Row],[MonthlyIncome]]&lt;3000,"&lt;3K",IF(HR_Data[[#This Row],[MonthlyIncome]]&lt;6000,"3K-6K",IF(HR_Data[[#This Row],[MonthlyIncome]]&lt;10000,"6K-10K","10K+")))</f>
        <v>6K-10K</v>
      </c>
      <c r="AH679" s="1">
        <f>IF(HR_Data[[#This Row],[MonthlyIncome]]&lt;3000,1,IF(HR_Data[[#This Row],[MonthlyIncome]]&lt;6000,2,IF(HR_Data[[#This Row],[MonthlyIncome]]&lt;10000,3,4)))</f>
        <v>3</v>
      </c>
      <c r="AI679" s="1" t="str">
        <f>IF(HR_Data[[#This Row],[YearsAtCompany]]&lt;=2,"0-2 Yrs",IF(HR_Data[[#This Row],[YearsAtCompany]]&lt;=5,"3-5 Yrs",IF(HR_Data[[#This Row],[YearsAtCompany]]&lt;=10,"6-10 Yrs","10+ Yrs")))</f>
        <v>10+ Yrs</v>
      </c>
      <c r="AJ679" s="1">
        <f>IF(HR_Data[[#This Row],[YearsAtCompany]]&lt;=2,1,IF(HR_Data[[#This Row],[YearsAtCompany]]&lt;=5,2,IF(HR_Data[[#This Row],[YearsAtCompany]]&lt;=10,3,4)))</f>
        <v>4</v>
      </c>
      <c r="AK679" s="1" t="str">
        <f>CHOOSE(HR_Data[[#This Row],[Education]],"Below College","College","Bachelor","Master","Doctor")</f>
        <v>College</v>
      </c>
      <c r="AL679" s="1" t="str">
        <f>CHOOSE(HR_Data[[#This Row],[JobSatisfaction]],"Low","Medium","High","Very High")</f>
        <v>Medium</v>
      </c>
      <c r="AM679" s="1" t="str">
        <f>CHOOSE(HR_Data[[#This Row],[EnvironmentSatisfaction]],"Low","Medium","High","Very High")</f>
        <v>Low</v>
      </c>
      <c r="AN679" s="1" t="str">
        <f>CHOOSE(HR_Data[[#This Row],[WorkLifeBalance]],"Bad","Good","Better","Best")</f>
        <v>Good</v>
      </c>
      <c r="AO679" s="1" t="str">
        <f>IF(HR_Data[[#This Row],[PercentSalaryHike]]&lt;=13,"11-13%",IF(HR_Data[[#This Row],[PercentSalaryHike]]&lt;=16,"14-16%",IF(HR_Data[[#This Row],[PercentSalaryHike]]&lt;=19,"17-19%","20-25%")))</f>
        <v>11-13%</v>
      </c>
      <c r="AP679" s="1">
        <f>IF(HR_Data[[#This Row],[PercentSalaryHike]]&lt;=13,1,IF(HR_Data[[#This Row],[PercentSalaryHike]]&lt;=16,2,IF(HR_Data[[#This Row],[PercentSalaryHike]]&lt;=19,3,4)))</f>
        <v>1</v>
      </c>
      <c r="AQ679" s="1" t="str">
        <f>IF(HR_Data[[#This Row],[DistanceFromHome]]&lt;=5,"1 to 5",IF(HR_Data[[#This Row],[DistanceFromHome]]&lt;=10,"6 to 10",IF(HR_Data[[#This Row],[DistanceFromHome]]&lt;=20,"11 to 20","21 to 29")))</f>
        <v>6 to 10</v>
      </c>
      <c r="AR679" s="1">
        <f>IF(HR_Data[[#This Row],[DistanceFromHome]]&lt;=5,1,IF(HR_Data[[#This Row],[DistanceFromHome]]&lt;=10,2,IF(HR_Data[[#This Row],[DistanceFromHome]]&lt;=20,3,4)))</f>
        <v>2</v>
      </c>
      <c r="AS679" s="1" t="str">
        <f>IF(HR_Data[[#This Row],[TotalWorkingYears]]&lt;=5,"0-5 Yrs",IF(HR_Data[[#This Row],[TotalWorkingYears]]&lt;=10,"6-10 Yrs",IF(HR_Data[[#This Row],[TotalWorkingYears]]&lt;=20,"11-20 Yrs","20+ Yrs")))</f>
        <v>20+ Yrs</v>
      </c>
      <c r="AT679" s="1">
        <f>IF(HR_Data[[#This Row],[TotalWorkingYears]]&lt;=5,1,IF(HR_Data[[#This Row],[TotalWorkingYears]]&lt;=10,2,IF(HR_Data[[#This Row],[TotalWorkingYears]]&lt;=20,3,4)))</f>
        <v>4</v>
      </c>
    </row>
    <row r="680" spans="1:46" x14ac:dyDescent="0.25">
      <c r="A680">
        <v>48</v>
      </c>
      <c r="B680" t="s">
        <v>36</v>
      </c>
      <c r="C680" t="s">
        <v>30</v>
      </c>
      <c r="D680" t="s">
        <v>38</v>
      </c>
      <c r="E680">
        <v>20</v>
      </c>
      <c r="F680">
        <v>4</v>
      </c>
      <c r="G680" t="s">
        <v>44</v>
      </c>
      <c r="H680">
        <v>945</v>
      </c>
      <c r="I680">
        <v>4</v>
      </c>
      <c r="J680" t="s">
        <v>39</v>
      </c>
      <c r="K680">
        <v>3</v>
      </c>
      <c r="L680">
        <v>1</v>
      </c>
      <c r="M680" t="s">
        <v>40</v>
      </c>
      <c r="N680">
        <v>3</v>
      </c>
      <c r="O680" t="s">
        <v>41</v>
      </c>
      <c r="P680">
        <v>2259</v>
      </c>
      <c r="Q680">
        <v>4</v>
      </c>
      <c r="R680" t="s">
        <v>36</v>
      </c>
      <c r="S680">
        <v>17</v>
      </c>
      <c r="T680">
        <v>3</v>
      </c>
      <c r="U680">
        <v>1</v>
      </c>
      <c r="V680">
        <v>2</v>
      </c>
      <c r="W680">
        <v>13</v>
      </c>
      <c r="X680">
        <v>2</v>
      </c>
      <c r="Y680">
        <v>2</v>
      </c>
      <c r="Z680">
        <v>0</v>
      </c>
      <c r="AA680">
        <v>0</v>
      </c>
      <c r="AB680">
        <v>0</v>
      </c>
      <c r="AC680">
        <v>0</v>
      </c>
      <c r="AD680">
        <f>IF(HR_Data[[#This Row],[Attrition]]="Yes",1,0)</f>
        <v>0</v>
      </c>
      <c r="AE680" t="str">
        <f>IF(HR_Data[[#This Row],[Age]]&lt;=25,"18-25",IF(HR_Data[[#This Row],[Age]]&lt;=35,"26-35",IF(HR_Data[[#This Row],[Age]]&lt;=45,"36-45",IF(HR_Data[[#This Row],[Age]]&lt;=55,"46-55","55+"))))</f>
        <v>46-55</v>
      </c>
      <c r="AF680">
        <f>IF(HR_Data[[#This Row],[Age]]&lt;=25,1,IF(HR_Data[[#This Row],[Age]]&lt;=35,2,IF(HR_Data[[#This Row],[Age]]&lt;=45,3,IF(HR_Data[[#This Row],[Age]]&lt;=55,4,5))))</f>
        <v>4</v>
      </c>
      <c r="AG680" s="1" t="str">
        <f>IF(HR_Data[[#This Row],[MonthlyIncome]]&lt;3000,"&lt;3K",IF(HR_Data[[#This Row],[MonthlyIncome]]&lt;6000,"3K-6K",IF(HR_Data[[#This Row],[MonthlyIncome]]&lt;10000,"6K-10K","10K+")))</f>
        <v>&lt;3K</v>
      </c>
      <c r="AH680" s="1">
        <f>IF(HR_Data[[#This Row],[MonthlyIncome]]&lt;3000,1,IF(HR_Data[[#This Row],[MonthlyIncome]]&lt;6000,2,IF(HR_Data[[#This Row],[MonthlyIncome]]&lt;10000,3,4)))</f>
        <v>1</v>
      </c>
      <c r="AI680" s="1" t="str">
        <f>IF(HR_Data[[#This Row],[YearsAtCompany]]&lt;=2,"0-2 Yrs",IF(HR_Data[[#This Row],[YearsAtCompany]]&lt;=5,"3-5 Yrs",IF(HR_Data[[#This Row],[YearsAtCompany]]&lt;=10,"6-10 Yrs","10+ Yrs")))</f>
        <v>0-2 Yrs</v>
      </c>
      <c r="AJ680" s="1">
        <f>IF(HR_Data[[#This Row],[YearsAtCompany]]&lt;=2,1,IF(HR_Data[[#This Row],[YearsAtCompany]]&lt;=5,2,IF(HR_Data[[#This Row],[YearsAtCompany]]&lt;=10,3,4)))</f>
        <v>1</v>
      </c>
      <c r="AK680" s="1" t="str">
        <f>CHOOSE(HR_Data[[#This Row],[Education]],"Below College","College","Bachelor","Master","Doctor")</f>
        <v>Master</v>
      </c>
      <c r="AL680" s="1" t="str">
        <f>CHOOSE(HR_Data[[#This Row],[JobSatisfaction]],"Low","Medium","High","Very High")</f>
        <v>High</v>
      </c>
      <c r="AM680" s="1" t="str">
        <f>CHOOSE(HR_Data[[#This Row],[EnvironmentSatisfaction]],"Low","Medium","High","Very High")</f>
        <v>Very High</v>
      </c>
      <c r="AN680" s="1" t="str">
        <f>CHOOSE(HR_Data[[#This Row],[WorkLifeBalance]],"Bad","Good","Better","Best")</f>
        <v>Good</v>
      </c>
      <c r="AO680" s="1" t="str">
        <f>IF(HR_Data[[#This Row],[PercentSalaryHike]]&lt;=13,"11-13%",IF(HR_Data[[#This Row],[PercentSalaryHike]]&lt;=16,"14-16%",IF(HR_Data[[#This Row],[PercentSalaryHike]]&lt;=19,"17-19%","20-25%")))</f>
        <v>17-19%</v>
      </c>
      <c r="AP680" s="1">
        <f>IF(HR_Data[[#This Row],[PercentSalaryHike]]&lt;=13,1,IF(HR_Data[[#This Row],[PercentSalaryHike]]&lt;=16,2,IF(HR_Data[[#This Row],[PercentSalaryHike]]&lt;=19,3,4)))</f>
        <v>3</v>
      </c>
      <c r="AQ680" s="1" t="str">
        <f>IF(HR_Data[[#This Row],[DistanceFromHome]]&lt;=5,"1 to 5",IF(HR_Data[[#This Row],[DistanceFromHome]]&lt;=10,"6 to 10",IF(HR_Data[[#This Row],[DistanceFromHome]]&lt;=20,"11 to 20","21 to 29")))</f>
        <v>11 to 20</v>
      </c>
      <c r="AR680" s="1">
        <f>IF(HR_Data[[#This Row],[DistanceFromHome]]&lt;=5,1,IF(HR_Data[[#This Row],[DistanceFromHome]]&lt;=10,2,IF(HR_Data[[#This Row],[DistanceFromHome]]&lt;=20,3,4)))</f>
        <v>3</v>
      </c>
      <c r="AS680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680" s="1">
        <f>IF(HR_Data[[#This Row],[TotalWorkingYears]]&lt;=5,1,IF(HR_Data[[#This Row],[TotalWorkingYears]]&lt;=10,2,IF(HR_Data[[#This Row],[TotalWorkingYears]]&lt;=20,3,4)))</f>
        <v>3</v>
      </c>
    </row>
    <row r="681" spans="1:46" x14ac:dyDescent="0.25">
      <c r="A681">
        <v>31</v>
      </c>
      <c r="B681" t="s">
        <v>36</v>
      </c>
      <c r="C681" t="s">
        <v>48</v>
      </c>
      <c r="D681" t="s">
        <v>31</v>
      </c>
      <c r="E681">
        <v>20</v>
      </c>
      <c r="F681">
        <v>2</v>
      </c>
      <c r="G681" t="s">
        <v>52</v>
      </c>
      <c r="H681">
        <v>947</v>
      </c>
      <c r="I681">
        <v>4</v>
      </c>
      <c r="J681" t="s">
        <v>33</v>
      </c>
      <c r="K681">
        <v>3</v>
      </c>
      <c r="L681">
        <v>2</v>
      </c>
      <c r="M681" t="s">
        <v>34</v>
      </c>
      <c r="N681">
        <v>3</v>
      </c>
      <c r="O681" t="s">
        <v>41</v>
      </c>
      <c r="P681">
        <v>6932</v>
      </c>
      <c r="Q681">
        <v>1</v>
      </c>
      <c r="R681" t="s">
        <v>36</v>
      </c>
      <c r="S681">
        <v>13</v>
      </c>
      <c r="T681">
        <v>3</v>
      </c>
      <c r="U681">
        <v>4</v>
      </c>
      <c r="V681">
        <v>1</v>
      </c>
      <c r="W681">
        <v>9</v>
      </c>
      <c r="X681">
        <v>2</v>
      </c>
      <c r="Y681">
        <v>2</v>
      </c>
      <c r="Z681">
        <v>9</v>
      </c>
      <c r="AA681">
        <v>8</v>
      </c>
      <c r="AB681">
        <v>0</v>
      </c>
      <c r="AC681">
        <v>0</v>
      </c>
      <c r="AD681">
        <f>IF(HR_Data[[#This Row],[Attrition]]="Yes",1,0)</f>
        <v>0</v>
      </c>
      <c r="AE681" t="str">
        <f>IF(HR_Data[[#This Row],[Age]]&lt;=25,"18-25",IF(HR_Data[[#This Row],[Age]]&lt;=35,"26-35",IF(HR_Data[[#This Row],[Age]]&lt;=45,"36-45",IF(HR_Data[[#This Row],[Age]]&lt;=55,"46-55","55+"))))</f>
        <v>26-35</v>
      </c>
      <c r="AF681">
        <f>IF(HR_Data[[#This Row],[Age]]&lt;=25,1,IF(HR_Data[[#This Row],[Age]]&lt;=35,2,IF(HR_Data[[#This Row],[Age]]&lt;=45,3,IF(HR_Data[[#This Row],[Age]]&lt;=55,4,5))))</f>
        <v>2</v>
      </c>
      <c r="AG681" s="1" t="str">
        <f>IF(HR_Data[[#This Row],[MonthlyIncome]]&lt;3000,"&lt;3K",IF(HR_Data[[#This Row],[MonthlyIncome]]&lt;6000,"3K-6K",IF(HR_Data[[#This Row],[MonthlyIncome]]&lt;10000,"6K-10K","10K+")))</f>
        <v>6K-10K</v>
      </c>
      <c r="AH681" s="1">
        <f>IF(HR_Data[[#This Row],[MonthlyIncome]]&lt;3000,1,IF(HR_Data[[#This Row],[MonthlyIncome]]&lt;6000,2,IF(HR_Data[[#This Row],[MonthlyIncome]]&lt;10000,3,4)))</f>
        <v>3</v>
      </c>
      <c r="AI681" s="1" t="str">
        <f>IF(HR_Data[[#This Row],[YearsAtCompany]]&lt;=2,"0-2 Yrs",IF(HR_Data[[#This Row],[YearsAtCompany]]&lt;=5,"3-5 Yrs",IF(HR_Data[[#This Row],[YearsAtCompany]]&lt;=10,"6-10 Yrs","10+ Yrs")))</f>
        <v>6-10 Yrs</v>
      </c>
      <c r="AJ681" s="1">
        <f>IF(HR_Data[[#This Row],[YearsAtCompany]]&lt;=2,1,IF(HR_Data[[#This Row],[YearsAtCompany]]&lt;=5,2,IF(HR_Data[[#This Row],[YearsAtCompany]]&lt;=10,3,4)))</f>
        <v>3</v>
      </c>
      <c r="AK681" s="1" t="str">
        <f>CHOOSE(HR_Data[[#This Row],[Education]],"Below College","College","Bachelor","Master","Doctor")</f>
        <v>College</v>
      </c>
      <c r="AL681" s="1" t="str">
        <f>CHOOSE(HR_Data[[#This Row],[JobSatisfaction]],"Low","Medium","High","Very High")</f>
        <v>High</v>
      </c>
      <c r="AM681" s="1" t="str">
        <f>CHOOSE(HR_Data[[#This Row],[EnvironmentSatisfaction]],"Low","Medium","High","Very High")</f>
        <v>Very High</v>
      </c>
      <c r="AN681" s="1" t="str">
        <f>CHOOSE(HR_Data[[#This Row],[WorkLifeBalance]],"Bad","Good","Better","Best")</f>
        <v>Good</v>
      </c>
      <c r="AO681" s="1" t="str">
        <f>IF(HR_Data[[#This Row],[PercentSalaryHike]]&lt;=13,"11-13%",IF(HR_Data[[#This Row],[PercentSalaryHike]]&lt;=16,"14-16%",IF(HR_Data[[#This Row],[PercentSalaryHike]]&lt;=19,"17-19%","20-25%")))</f>
        <v>11-13%</v>
      </c>
      <c r="AP681" s="1">
        <f>IF(HR_Data[[#This Row],[PercentSalaryHike]]&lt;=13,1,IF(HR_Data[[#This Row],[PercentSalaryHike]]&lt;=16,2,IF(HR_Data[[#This Row],[PercentSalaryHike]]&lt;=19,3,4)))</f>
        <v>1</v>
      </c>
      <c r="AQ681" s="1" t="str">
        <f>IF(HR_Data[[#This Row],[DistanceFromHome]]&lt;=5,"1 to 5",IF(HR_Data[[#This Row],[DistanceFromHome]]&lt;=10,"6 to 10",IF(HR_Data[[#This Row],[DistanceFromHome]]&lt;=20,"11 to 20","21 to 29")))</f>
        <v>11 to 20</v>
      </c>
      <c r="AR681" s="1">
        <f>IF(HR_Data[[#This Row],[DistanceFromHome]]&lt;=5,1,IF(HR_Data[[#This Row],[DistanceFromHome]]&lt;=10,2,IF(HR_Data[[#This Row],[DistanceFromHome]]&lt;=20,3,4)))</f>
        <v>3</v>
      </c>
      <c r="AS681" s="1" t="str">
        <f>IF(HR_Data[[#This Row],[TotalWorkingYears]]&lt;=5,"0-5 Yrs",IF(HR_Data[[#This Row],[TotalWorkingYears]]&lt;=10,"6-10 Yrs",IF(HR_Data[[#This Row],[TotalWorkingYears]]&lt;=20,"11-20 Yrs","20+ Yrs")))</f>
        <v>6-10 Yrs</v>
      </c>
      <c r="AT681" s="1">
        <f>IF(HR_Data[[#This Row],[TotalWorkingYears]]&lt;=5,1,IF(HR_Data[[#This Row],[TotalWorkingYears]]&lt;=10,2,IF(HR_Data[[#This Row],[TotalWorkingYears]]&lt;=20,3,4)))</f>
        <v>2</v>
      </c>
    </row>
    <row r="682" spans="1:46" x14ac:dyDescent="0.25">
      <c r="A682">
        <v>36</v>
      </c>
      <c r="B682" t="s">
        <v>36</v>
      </c>
      <c r="C682" t="s">
        <v>30</v>
      </c>
      <c r="D682" t="s">
        <v>38</v>
      </c>
      <c r="E682">
        <v>7</v>
      </c>
      <c r="F682">
        <v>4</v>
      </c>
      <c r="G682" t="s">
        <v>42</v>
      </c>
      <c r="H682">
        <v>949</v>
      </c>
      <c r="I682">
        <v>2</v>
      </c>
      <c r="J682" t="s">
        <v>39</v>
      </c>
      <c r="K682">
        <v>3</v>
      </c>
      <c r="L682">
        <v>1</v>
      </c>
      <c r="M682" t="s">
        <v>40</v>
      </c>
      <c r="N682">
        <v>4</v>
      </c>
      <c r="O682" t="s">
        <v>35</v>
      </c>
      <c r="P682">
        <v>4678</v>
      </c>
      <c r="Q682">
        <v>2</v>
      </c>
      <c r="R682" t="s">
        <v>36</v>
      </c>
      <c r="S682">
        <v>18</v>
      </c>
      <c r="T682">
        <v>3</v>
      </c>
      <c r="U682">
        <v>3</v>
      </c>
      <c r="V682">
        <v>0</v>
      </c>
      <c r="W682">
        <v>8</v>
      </c>
      <c r="X682">
        <v>6</v>
      </c>
      <c r="Y682">
        <v>3</v>
      </c>
      <c r="Z682">
        <v>6</v>
      </c>
      <c r="AA682">
        <v>2</v>
      </c>
      <c r="AB682">
        <v>0</v>
      </c>
      <c r="AC682">
        <v>1</v>
      </c>
      <c r="AD682">
        <f>IF(HR_Data[[#This Row],[Attrition]]="Yes",1,0)</f>
        <v>0</v>
      </c>
      <c r="AE682" t="str">
        <f>IF(HR_Data[[#This Row],[Age]]&lt;=25,"18-25",IF(HR_Data[[#This Row],[Age]]&lt;=35,"26-35",IF(HR_Data[[#This Row],[Age]]&lt;=45,"36-45",IF(HR_Data[[#This Row],[Age]]&lt;=55,"46-55","55+"))))</f>
        <v>36-45</v>
      </c>
      <c r="AF682">
        <f>IF(HR_Data[[#This Row],[Age]]&lt;=25,1,IF(HR_Data[[#This Row],[Age]]&lt;=35,2,IF(HR_Data[[#This Row],[Age]]&lt;=45,3,IF(HR_Data[[#This Row],[Age]]&lt;=55,4,5))))</f>
        <v>3</v>
      </c>
      <c r="AG682" s="1" t="str">
        <f>IF(HR_Data[[#This Row],[MonthlyIncome]]&lt;3000,"&lt;3K",IF(HR_Data[[#This Row],[MonthlyIncome]]&lt;6000,"3K-6K",IF(HR_Data[[#This Row],[MonthlyIncome]]&lt;10000,"6K-10K","10K+")))</f>
        <v>3K-6K</v>
      </c>
      <c r="AH682" s="1">
        <f>IF(HR_Data[[#This Row],[MonthlyIncome]]&lt;3000,1,IF(HR_Data[[#This Row],[MonthlyIncome]]&lt;6000,2,IF(HR_Data[[#This Row],[MonthlyIncome]]&lt;10000,3,4)))</f>
        <v>2</v>
      </c>
      <c r="AI682" s="1" t="str">
        <f>IF(HR_Data[[#This Row],[YearsAtCompany]]&lt;=2,"0-2 Yrs",IF(HR_Data[[#This Row],[YearsAtCompany]]&lt;=5,"3-5 Yrs",IF(HR_Data[[#This Row],[YearsAtCompany]]&lt;=10,"6-10 Yrs","10+ Yrs")))</f>
        <v>6-10 Yrs</v>
      </c>
      <c r="AJ682" s="1">
        <f>IF(HR_Data[[#This Row],[YearsAtCompany]]&lt;=2,1,IF(HR_Data[[#This Row],[YearsAtCompany]]&lt;=5,2,IF(HR_Data[[#This Row],[YearsAtCompany]]&lt;=10,3,4)))</f>
        <v>3</v>
      </c>
      <c r="AK682" s="1" t="str">
        <f>CHOOSE(HR_Data[[#This Row],[Education]],"Below College","College","Bachelor","Master","Doctor")</f>
        <v>Master</v>
      </c>
      <c r="AL682" s="1" t="str">
        <f>CHOOSE(HR_Data[[#This Row],[JobSatisfaction]],"Low","Medium","High","Very High")</f>
        <v>Very High</v>
      </c>
      <c r="AM682" s="1" t="str">
        <f>CHOOSE(HR_Data[[#This Row],[EnvironmentSatisfaction]],"Low","Medium","High","Very High")</f>
        <v>Medium</v>
      </c>
      <c r="AN682" s="1" t="str">
        <f>CHOOSE(HR_Data[[#This Row],[WorkLifeBalance]],"Bad","Good","Better","Best")</f>
        <v>Better</v>
      </c>
      <c r="AO682" s="1" t="str">
        <f>IF(HR_Data[[#This Row],[PercentSalaryHike]]&lt;=13,"11-13%",IF(HR_Data[[#This Row],[PercentSalaryHike]]&lt;=16,"14-16%",IF(HR_Data[[#This Row],[PercentSalaryHike]]&lt;=19,"17-19%","20-25%")))</f>
        <v>17-19%</v>
      </c>
      <c r="AP682" s="1">
        <f>IF(HR_Data[[#This Row],[PercentSalaryHike]]&lt;=13,1,IF(HR_Data[[#This Row],[PercentSalaryHike]]&lt;=16,2,IF(HR_Data[[#This Row],[PercentSalaryHike]]&lt;=19,3,4)))</f>
        <v>3</v>
      </c>
      <c r="AQ682" s="1" t="str">
        <f>IF(HR_Data[[#This Row],[DistanceFromHome]]&lt;=5,"1 to 5",IF(HR_Data[[#This Row],[DistanceFromHome]]&lt;=10,"6 to 10",IF(HR_Data[[#This Row],[DistanceFromHome]]&lt;=20,"11 to 20","21 to 29")))</f>
        <v>6 to 10</v>
      </c>
      <c r="AR682" s="1">
        <f>IF(HR_Data[[#This Row],[DistanceFromHome]]&lt;=5,1,IF(HR_Data[[#This Row],[DistanceFromHome]]&lt;=10,2,IF(HR_Data[[#This Row],[DistanceFromHome]]&lt;=20,3,4)))</f>
        <v>2</v>
      </c>
      <c r="AS682" s="1" t="str">
        <f>IF(HR_Data[[#This Row],[TotalWorkingYears]]&lt;=5,"0-5 Yrs",IF(HR_Data[[#This Row],[TotalWorkingYears]]&lt;=10,"6-10 Yrs",IF(HR_Data[[#This Row],[TotalWorkingYears]]&lt;=20,"11-20 Yrs","20+ Yrs")))</f>
        <v>6-10 Yrs</v>
      </c>
      <c r="AT682" s="1">
        <f>IF(HR_Data[[#This Row],[TotalWorkingYears]]&lt;=5,1,IF(HR_Data[[#This Row],[TotalWorkingYears]]&lt;=10,2,IF(HR_Data[[#This Row],[TotalWorkingYears]]&lt;=20,3,4)))</f>
        <v>2</v>
      </c>
    </row>
    <row r="683" spans="1:46" x14ac:dyDescent="0.25">
      <c r="A683">
        <v>38</v>
      </c>
      <c r="B683" t="s">
        <v>36</v>
      </c>
      <c r="C683" t="s">
        <v>30</v>
      </c>
      <c r="D683" t="s">
        <v>38</v>
      </c>
      <c r="E683">
        <v>1</v>
      </c>
      <c r="F683">
        <v>3</v>
      </c>
      <c r="G683" t="s">
        <v>53</v>
      </c>
      <c r="H683">
        <v>950</v>
      </c>
      <c r="I683">
        <v>4</v>
      </c>
      <c r="J683" t="s">
        <v>33</v>
      </c>
      <c r="K683">
        <v>3</v>
      </c>
      <c r="L683">
        <v>3</v>
      </c>
      <c r="M683" t="s">
        <v>51</v>
      </c>
      <c r="N683">
        <v>1</v>
      </c>
      <c r="O683" t="s">
        <v>41</v>
      </c>
      <c r="P683">
        <v>13582</v>
      </c>
      <c r="Q683">
        <v>1</v>
      </c>
      <c r="R683" t="s">
        <v>36</v>
      </c>
      <c r="S683">
        <v>13</v>
      </c>
      <c r="T683">
        <v>3</v>
      </c>
      <c r="U683">
        <v>2</v>
      </c>
      <c r="V683">
        <v>1</v>
      </c>
      <c r="W683">
        <v>15</v>
      </c>
      <c r="X683">
        <v>3</v>
      </c>
      <c r="Y683">
        <v>3</v>
      </c>
      <c r="Z683">
        <v>15</v>
      </c>
      <c r="AA683">
        <v>12</v>
      </c>
      <c r="AB683">
        <v>5</v>
      </c>
      <c r="AC683">
        <v>11</v>
      </c>
      <c r="AD683">
        <f>IF(HR_Data[[#This Row],[Attrition]]="Yes",1,0)</f>
        <v>0</v>
      </c>
      <c r="AE683" t="str">
        <f>IF(HR_Data[[#This Row],[Age]]&lt;=25,"18-25",IF(HR_Data[[#This Row],[Age]]&lt;=35,"26-35",IF(HR_Data[[#This Row],[Age]]&lt;=45,"36-45",IF(HR_Data[[#This Row],[Age]]&lt;=55,"46-55","55+"))))</f>
        <v>36-45</v>
      </c>
      <c r="AF683">
        <f>IF(HR_Data[[#This Row],[Age]]&lt;=25,1,IF(HR_Data[[#This Row],[Age]]&lt;=35,2,IF(HR_Data[[#This Row],[Age]]&lt;=45,3,IF(HR_Data[[#This Row],[Age]]&lt;=55,4,5))))</f>
        <v>3</v>
      </c>
      <c r="AG683" s="1" t="str">
        <f>IF(HR_Data[[#This Row],[MonthlyIncome]]&lt;3000,"&lt;3K",IF(HR_Data[[#This Row],[MonthlyIncome]]&lt;6000,"3K-6K",IF(HR_Data[[#This Row],[MonthlyIncome]]&lt;10000,"6K-10K","10K+")))</f>
        <v>10K+</v>
      </c>
      <c r="AH683" s="1">
        <f>IF(HR_Data[[#This Row],[MonthlyIncome]]&lt;3000,1,IF(HR_Data[[#This Row],[MonthlyIncome]]&lt;6000,2,IF(HR_Data[[#This Row],[MonthlyIncome]]&lt;10000,3,4)))</f>
        <v>4</v>
      </c>
      <c r="AI683" s="1" t="str">
        <f>IF(HR_Data[[#This Row],[YearsAtCompany]]&lt;=2,"0-2 Yrs",IF(HR_Data[[#This Row],[YearsAtCompany]]&lt;=5,"3-5 Yrs",IF(HR_Data[[#This Row],[YearsAtCompany]]&lt;=10,"6-10 Yrs","10+ Yrs")))</f>
        <v>10+ Yrs</v>
      </c>
      <c r="AJ683" s="1">
        <f>IF(HR_Data[[#This Row],[YearsAtCompany]]&lt;=2,1,IF(HR_Data[[#This Row],[YearsAtCompany]]&lt;=5,2,IF(HR_Data[[#This Row],[YearsAtCompany]]&lt;=10,3,4)))</f>
        <v>4</v>
      </c>
      <c r="AK683" s="1" t="str">
        <f>CHOOSE(HR_Data[[#This Row],[Education]],"Below College","College","Bachelor","Master","Doctor")</f>
        <v>Bachelor</v>
      </c>
      <c r="AL683" s="1" t="str">
        <f>CHOOSE(HR_Data[[#This Row],[JobSatisfaction]],"Low","Medium","High","Very High")</f>
        <v>Low</v>
      </c>
      <c r="AM683" s="1" t="str">
        <f>CHOOSE(HR_Data[[#This Row],[EnvironmentSatisfaction]],"Low","Medium","High","Very High")</f>
        <v>Very High</v>
      </c>
      <c r="AN683" s="1" t="str">
        <f>CHOOSE(HR_Data[[#This Row],[WorkLifeBalance]],"Bad","Good","Better","Best")</f>
        <v>Better</v>
      </c>
      <c r="AO683" s="1" t="str">
        <f>IF(HR_Data[[#This Row],[PercentSalaryHike]]&lt;=13,"11-13%",IF(HR_Data[[#This Row],[PercentSalaryHike]]&lt;=16,"14-16%",IF(HR_Data[[#This Row],[PercentSalaryHike]]&lt;=19,"17-19%","20-25%")))</f>
        <v>11-13%</v>
      </c>
      <c r="AP683" s="1">
        <f>IF(HR_Data[[#This Row],[PercentSalaryHike]]&lt;=13,1,IF(HR_Data[[#This Row],[PercentSalaryHike]]&lt;=16,2,IF(HR_Data[[#This Row],[PercentSalaryHike]]&lt;=19,3,4)))</f>
        <v>1</v>
      </c>
      <c r="AQ683" s="1" t="str">
        <f>IF(HR_Data[[#This Row],[DistanceFromHome]]&lt;=5,"1 to 5",IF(HR_Data[[#This Row],[DistanceFromHome]]&lt;=10,"6 to 10",IF(HR_Data[[#This Row],[DistanceFromHome]]&lt;=20,"11 to 20","21 to 29")))</f>
        <v>1 to 5</v>
      </c>
      <c r="AR683" s="1">
        <f>IF(HR_Data[[#This Row],[DistanceFromHome]]&lt;=5,1,IF(HR_Data[[#This Row],[DistanceFromHome]]&lt;=10,2,IF(HR_Data[[#This Row],[DistanceFromHome]]&lt;=20,3,4)))</f>
        <v>1</v>
      </c>
      <c r="AS683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683" s="1">
        <f>IF(HR_Data[[#This Row],[TotalWorkingYears]]&lt;=5,1,IF(HR_Data[[#This Row],[TotalWorkingYears]]&lt;=10,2,IF(HR_Data[[#This Row],[TotalWorkingYears]]&lt;=20,3,4)))</f>
        <v>3</v>
      </c>
    </row>
    <row r="684" spans="1:46" x14ac:dyDescent="0.25">
      <c r="A684">
        <v>32</v>
      </c>
      <c r="B684" t="s">
        <v>36</v>
      </c>
      <c r="C684" t="s">
        <v>48</v>
      </c>
      <c r="D684" t="s">
        <v>38</v>
      </c>
      <c r="E684">
        <v>1</v>
      </c>
      <c r="F684">
        <v>3</v>
      </c>
      <c r="G684" t="s">
        <v>32</v>
      </c>
      <c r="H684">
        <v>951</v>
      </c>
      <c r="I684">
        <v>3</v>
      </c>
      <c r="J684" t="s">
        <v>33</v>
      </c>
      <c r="K684">
        <v>2</v>
      </c>
      <c r="L684">
        <v>1</v>
      </c>
      <c r="M684" t="s">
        <v>43</v>
      </c>
      <c r="N684">
        <v>2</v>
      </c>
      <c r="O684" t="s">
        <v>41</v>
      </c>
      <c r="P684">
        <v>2332</v>
      </c>
      <c r="Q684">
        <v>6</v>
      </c>
      <c r="R684" t="s">
        <v>36</v>
      </c>
      <c r="S684">
        <v>20</v>
      </c>
      <c r="T684">
        <v>4</v>
      </c>
      <c r="U684">
        <v>3</v>
      </c>
      <c r="V684">
        <v>0</v>
      </c>
      <c r="W684">
        <v>5</v>
      </c>
      <c r="X684">
        <v>3</v>
      </c>
      <c r="Y684">
        <v>3</v>
      </c>
      <c r="Z684">
        <v>3</v>
      </c>
      <c r="AA684">
        <v>0</v>
      </c>
      <c r="AB684">
        <v>0</v>
      </c>
      <c r="AC684">
        <v>2</v>
      </c>
      <c r="AD684">
        <f>IF(HR_Data[[#This Row],[Attrition]]="Yes",1,0)</f>
        <v>0</v>
      </c>
      <c r="AE684" t="str">
        <f>IF(HR_Data[[#This Row],[Age]]&lt;=25,"18-25",IF(HR_Data[[#This Row],[Age]]&lt;=35,"26-35",IF(HR_Data[[#This Row],[Age]]&lt;=45,"36-45",IF(HR_Data[[#This Row],[Age]]&lt;=55,"46-55","55+"))))</f>
        <v>26-35</v>
      </c>
      <c r="AF684">
        <f>IF(HR_Data[[#This Row],[Age]]&lt;=25,1,IF(HR_Data[[#This Row],[Age]]&lt;=35,2,IF(HR_Data[[#This Row],[Age]]&lt;=45,3,IF(HR_Data[[#This Row],[Age]]&lt;=55,4,5))))</f>
        <v>2</v>
      </c>
      <c r="AG684" s="1" t="str">
        <f>IF(HR_Data[[#This Row],[MonthlyIncome]]&lt;3000,"&lt;3K",IF(HR_Data[[#This Row],[MonthlyIncome]]&lt;6000,"3K-6K",IF(HR_Data[[#This Row],[MonthlyIncome]]&lt;10000,"6K-10K","10K+")))</f>
        <v>&lt;3K</v>
      </c>
      <c r="AH684" s="1">
        <f>IF(HR_Data[[#This Row],[MonthlyIncome]]&lt;3000,1,IF(HR_Data[[#This Row],[MonthlyIncome]]&lt;6000,2,IF(HR_Data[[#This Row],[MonthlyIncome]]&lt;10000,3,4)))</f>
        <v>1</v>
      </c>
      <c r="AI684" s="1" t="str">
        <f>IF(HR_Data[[#This Row],[YearsAtCompany]]&lt;=2,"0-2 Yrs",IF(HR_Data[[#This Row],[YearsAtCompany]]&lt;=5,"3-5 Yrs",IF(HR_Data[[#This Row],[YearsAtCompany]]&lt;=10,"6-10 Yrs","10+ Yrs")))</f>
        <v>3-5 Yrs</v>
      </c>
      <c r="AJ684" s="1">
        <f>IF(HR_Data[[#This Row],[YearsAtCompany]]&lt;=2,1,IF(HR_Data[[#This Row],[YearsAtCompany]]&lt;=5,2,IF(HR_Data[[#This Row],[YearsAtCompany]]&lt;=10,3,4)))</f>
        <v>2</v>
      </c>
      <c r="AK684" s="1" t="str">
        <f>CHOOSE(HR_Data[[#This Row],[Education]],"Below College","College","Bachelor","Master","Doctor")</f>
        <v>Bachelor</v>
      </c>
      <c r="AL684" s="1" t="str">
        <f>CHOOSE(HR_Data[[#This Row],[JobSatisfaction]],"Low","Medium","High","Very High")</f>
        <v>Medium</v>
      </c>
      <c r="AM684" s="1" t="str">
        <f>CHOOSE(HR_Data[[#This Row],[EnvironmentSatisfaction]],"Low","Medium","High","Very High")</f>
        <v>High</v>
      </c>
      <c r="AN684" s="1" t="str">
        <f>CHOOSE(HR_Data[[#This Row],[WorkLifeBalance]],"Bad","Good","Better","Best")</f>
        <v>Better</v>
      </c>
      <c r="AO684" s="1" t="str">
        <f>IF(HR_Data[[#This Row],[PercentSalaryHike]]&lt;=13,"11-13%",IF(HR_Data[[#This Row],[PercentSalaryHike]]&lt;=16,"14-16%",IF(HR_Data[[#This Row],[PercentSalaryHike]]&lt;=19,"17-19%","20-25%")))</f>
        <v>20-25%</v>
      </c>
      <c r="AP684" s="1">
        <f>IF(HR_Data[[#This Row],[PercentSalaryHike]]&lt;=13,1,IF(HR_Data[[#This Row],[PercentSalaryHike]]&lt;=16,2,IF(HR_Data[[#This Row],[PercentSalaryHike]]&lt;=19,3,4)))</f>
        <v>4</v>
      </c>
      <c r="AQ684" s="1" t="str">
        <f>IF(HR_Data[[#This Row],[DistanceFromHome]]&lt;=5,"1 to 5",IF(HR_Data[[#This Row],[DistanceFromHome]]&lt;=10,"6 to 10",IF(HR_Data[[#This Row],[DistanceFromHome]]&lt;=20,"11 to 20","21 to 29")))</f>
        <v>1 to 5</v>
      </c>
      <c r="AR684" s="1">
        <f>IF(HR_Data[[#This Row],[DistanceFromHome]]&lt;=5,1,IF(HR_Data[[#This Row],[DistanceFromHome]]&lt;=10,2,IF(HR_Data[[#This Row],[DistanceFromHome]]&lt;=20,3,4)))</f>
        <v>1</v>
      </c>
      <c r="AS684" s="1" t="str">
        <f>IF(HR_Data[[#This Row],[TotalWorkingYears]]&lt;=5,"0-5 Yrs",IF(HR_Data[[#This Row],[TotalWorkingYears]]&lt;=10,"6-10 Yrs",IF(HR_Data[[#This Row],[TotalWorkingYears]]&lt;=20,"11-20 Yrs","20+ Yrs")))</f>
        <v>0-5 Yrs</v>
      </c>
      <c r="AT684" s="1">
        <f>IF(HR_Data[[#This Row],[TotalWorkingYears]]&lt;=5,1,IF(HR_Data[[#This Row],[TotalWorkingYears]]&lt;=10,2,IF(HR_Data[[#This Row],[TotalWorkingYears]]&lt;=20,3,4)))</f>
        <v>1</v>
      </c>
    </row>
    <row r="685" spans="1:46" x14ac:dyDescent="0.25">
      <c r="A685">
        <v>25</v>
      </c>
      <c r="B685" t="s">
        <v>29</v>
      </c>
      <c r="C685" t="s">
        <v>30</v>
      </c>
      <c r="D685" t="s">
        <v>31</v>
      </c>
      <c r="E685">
        <v>19</v>
      </c>
      <c r="F685">
        <v>2</v>
      </c>
      <c r="G685" t="s">
        <v>52</v>
      </c>
      <c r="H685">
        <v>952</v>
      </c>
      <c r="I685">
        <v>3</v>
      </c>
      <c r="J685" t="s">
        <v>39</v>
      </c>
      <c r="K685">
        <v>2</v>
      </c>
      <c r="L685">
        <v>1</v>
      </c>
      <c r="M685" t="s">
        <v>50</v>
      </c>
      <c r="N685">
        <v>2</v>
      </c>
      <c r="O685" t="s">
        <v>41</v>
      </c>
      <c r="P685">
        <v>2413</v>
      </c>
      <c r="Q685">
        <v>1</v>
      </c>
      <c r="R685" t="s">
        <v>29</v>
      </c>
      <c r="S685">
        <v>18</v>
      </c>
      <c r="T685">
        <v>3</v>
      </c>
      <c r="U685">
        <v>3</v>
      </c>
      <c r="V685">
        <v>3</v>
      </c>
      <c r="W685">
        <v>1</v>
      </c>
      <c r="X685">
        <v>2</v>
      </c>
      <c r="Y685">
        <v>3</v>
      </c>
      <c r="Z685">
        <v>1</v>
      </c>
      <c r="AA685">
        <v>0</v>
      </c>
      <c r="AB685">
        <v>0</v>
      </c>
      <c r="AC685">
        <v>0</v>
      </c>
      <c r="AD685">
        <f>IF(HR_Data[[#This Row],[Attrition]]="Yes",1,0)</f>
        <v>1</v>
      </c>
      <c r="AE685" t="str">
        <f>IF(HR_Data[[#This Row],[Age]]&lt;=25,"18-25",IF(HR_Data[[#This Row],[Age]]&lt;=35,"26-35",IF(HR_Data[[#This Row],[Age]]&lt;=45,"36-45",IF(HR_Data[[#This Row],[Age]]&lt;=55,"46-55","55+"))))</f>
        <v>18-25</v>
      </c>
      <c r="AF685">
        <f>IF(HR_Data[[#This Row],[Age]]&lt;=25,1,IF(HR_Data[[#This Row],[Age]]&lt;=35,2,IF(HR_Data[[#This Row],[Age]]&lt;=45,3,IF(HR_Data[[#This Row],[Age]]&lt;=55,4,5))))</f>
        <v>1</v>
      </c>
      <c r="AG685" s="1" t="str">
        <f>IF(HR_Data[[#This Row],[MonthlyIncome]]&lt;3000,"&lt;3K",IF(HR_Data[[#This Row],[MonthlyIncome]]&lt;6000,"3K-6K",IF(HR_Data[[#This Row],[MonthlyIncome]]&lt;10000,"6K-10K","10K+")))</f>
        <v>&lt;3K</v>
      </c>
      <c r="AH685" s="1">
        <f>IF(HR_Data[[#This Row],[MonthlyIncome]]&lt;3000,1,IF(HR_Data[[#This Row],[MonthlyIncome]]&lt;6000,2,IF(HR_Data[[#This Row],[MonthlyIncome]]&lt;10000,3,4)))</f>
        <v>1</v>
      </c>
      <c r="AI685" s="1" t="str">
        <f>IF(HR_Data[[#This Row],[YearsAtCompany]]&lt;=2,"0-2 Yrs",IF(HR_Data[[#This Row],[YearsAtCompany]]&lt;=5,"3-5 Yrs",IF(HR_Data[[#This Row],[YearsAtCompany]]&lt;=10,"6-10 Yrs","10+ Yrs")))</f>
        <v>0-2 Yrs</v>
      </c>
      <c r="AJ685" s="1">
        <f>IF(HR_Data[[#This Row],[YearsAtCompany]]&lt;=2,1,IF(HR_Data[[#This Row],[YearsAtCompany]]&lt;=5,2,IF(HR_Data[[#This Row],[YearsAtCompany]]&lt;=10,3,4)))</f>
        <v>1</v>
      </c>
      <c r="AK685" s="1" t="str">
        <f>CHOOSE(HR_Data[[#This Row],[Education]],"Below College","College","Bachelor","Master","Doctor")</f>
        <v>College</v>
      </c>
      <c r="AL685" s="1" t="str">
        <f>CHOOSE(HR_Data[[#This Row],[JobSatisfaction]],"Low","Medium","High","Very High")</f>
        <v>Medium</v>
      </c>
      <c r="AM685" s="1" t="str">
        <f>CHOOSE(HR_Data[[#This Row],[EnvironmentSatisfaction]],"Low","Medium","High","Very High")</f>
        <v>High</v>
      </c>
      <c r="AN685" s="1" t="str">
        <f>CHOOSE(HR_Data[[#This Row],[WorkLifeBalance]],"Bad","Good","Better","Best")</f>
        <v>Better</v>
      </c>
      <c r="AO685" s="1" t="str">
        <f>IF(HR_Data[[#This Row],[PercentSalaryHike]]&lt;=13,"11-13%",IF(HR_Data[[#This Row],[PercentSalaryHike]]&lt;=16,"14-16%",IF(HR_Data[[#This Row],[PercentSalaryHike]]&lt;=19,"17-19%","20-25%")))</f>
        <v>17-19%</v>
      </c>
      <c r="AP685" s="1">
        <f>IF(HR_Data[[#This Row],[PercentSalaryHike]]&lt;=13,1,IF(HR_Data[[#This Row],[PercentSalaryHike]]&lt;=16,2,IF(HR_Data[[#This Row],[PercentSalaryHike]]&lt;=19,3,4)))</f>
        <v>3</v>
      </c>
      <c r="AQ685" s="1" t="str">
        <f>IF(HR_Data[[#This Row],[DistanceFromHome]]&lt;=5,"1 to 5",IF(HR_Data[[#This Row],[DistanceFromHome]]&lt;=10,"6 to 10",IF(HR_Data[[#This Row],[DistanceFromHome]]&lt;=20,"11 to 20","21 to 29")))</f>
        <v>11 to 20</v>
      </c>
      <c r="AR685" s="1">
        <f>IF(HR_Data[[#This Row],[DistanceFromHome]]&lt;=5,1,IF(HR_Data[[#This Row],[DistanceFromHome]]&lt;=10,2,IF(HR_Data[[#This Row],[DistanceFromHome]]&lt;=20,3,4)))</f>
        <v>3</v>
      </c>
      <c r="AS685" s="1" t="str">
        <f>IF(HR_Data[[#This Row],[TotalWorkingYears]]&lt;=5,"0-5 Yrs",IF(HR_Data[[#This Row],[TotalWorkingYears]]&lt;=10,"6-10 Yrs",IF(HR_Data[[#This Row],[TotalWorkingYears]]&lt;=20,"11-20 Yrs","20+ Yrs")))</f>
        <v>0-5 Yrs</v>
      </c>
      <c r="AT685" s="1">
        <f>IF(HR_Data[[#This Row],[TotalWorkingYears]]&lt;=5,1,IF(HR_Data[[#This Row],[TotalWorkingYears]]&lt;=10,2,IF(HR_Data[[#This Row],[TotalWorkingYears]]&lt;=20,3,4)))</f>
        <v>1</v>
      </c>
    </row>
    <row r="686" spans="1:46" x14ac:dyDescent="0.25">
      <c r="A686">
        <v>40</v>
      </c>
      <c r="B686" t="s">
        <v>36</v>
      </c>
      <c r="C686" t="s">
        <v>30</v>
      </c>
      <c r="D686" t="s">
        <v>31</v>
      </c>
      <c r="E686">
        <v>10</v>
      </c>
      <c r="F686">
        <v>4</v>
      </c>
      <c r="G686" t="s">
        <v>52</v>
      </c>
      <c r="H686">
        <v>954</v>
      </c>
      <c r="I686">
        <v>1</v>
      </c>
      <c r="J686" t="s">
        <v>39</v>
      </c>
      <c r="K686">
        <v>2</v>
      </c>
      <c r="L686">
        <v>3</v>
      </c>
      <c r="M686" t="s">
        <v>34</v>
      </c>
      <c r="N686">
        <v>2</v>
      </c>
      <c r="O686" t="s">
        <v>45</v>
      </c>
      <c r="P686">
        <v>9705</v>
      </c>
      <c r="Q686">
        <v>2</v>
      </c>
      <c r="R686" t="s">
        <v>36</v>
      </c>
      <c r="S686">
        <v>12</v>
      </c>
      <c r="T686">
        <v>3</v>
      </c>
      <c r="U686">
        <v>2</v>
      </c>
      <c r="V686">
        <v>1</v>
      </c>
      <c r="W686">
        <v>11</v>
      </c>
      <c r="X686">
        <v>2</v>
      </c>
      <c r="Y686">
        <v>2</v>
      </c>
      <c r="Z686">
        <v>1</v>
      </c>
      <c r="AA686">
        <v>0</v>
      </c>
      <c r="AB686">
        <v>0</v>
      </c>
      <c r="AC686">
        <v>0</v>
      </c>
      <c r="AD686">
        <f>IF(HR_Data[[#This Row],[Attrition]]="Yes",1,0)</f>
        <v>0</v>
      </c>
      <c r="AE686" t="str">
        <f>IF(HR_Data[[#This Row],[Age]]&lt;=25,"18-25",IF(HR_Data[[#This Row],[Age]]&lt;=35,"26-35",IF(HR_Data[[#This Row],[Age]]&lt;=45,"36-45",IF(HR_Data[[#This Row],[Age]]&lt;=55,"46-55","55+"))))</f>
        <v>36-45</v>
      </c>
      <c r="AF686">
        <f>IF(HR_Data[[#This Row],[Age]]&lt;=25,1,IF(HR_Data[[#This Row],[Age]]&lt;=35,2,IF(HR_Data[[#This Row],[Age]]&lt;=45,3,IF(HR_Data[[#This Row],[Age]]&lt;=55,4,5))))</f>
        <v>3</v>
      </c>
      <c r="AG686" s="1" t="str">
        <f>IF(HR_Data[[#This Row],[MonthlyIncome]]&lt;3000,"&lt;3K",IF(HR_Data[[#This Row],[MonthlyIncome]]&lt;6000,"3K-6K",IF(HR_Data[[#This Row],[MonthlyIncome]]&lt;10000,"6K-10K","10K+")))</f>
        <v>6K-10K</v>
      </c>
      <c r="AH686" s="1">
        <f>IF(HR_Data[[#This Row],[MonthlyIncome]]&lt;3000,1,IF(HR_Data[[#This Row],[MonthlyIncome]]&lt;6000,2,IF(HR_Data[[#This Row],[MonthlyIncome]]&lt;10000,3,4)))</f>
        <v>3</v>
      </c>
      <c r="AI686" s="1" t="str">
        <f>IF(HR_Data[[#This Row],[YearsAtCompany]]&lt;=2,"0-2 Yrs",IF(HR_Data[[#This Row],[YearsAtCompany]]&lt;=5,"3-5 Yrs",IF(HR_Data[[#This Row],[YearsAtCompany]]&lt;=10,"6-10 Yrs","10+ Yrs")))</f>
        <v>0-2 Yrs</v>
      </c>
      <c r="AJ686" s="1">
        <f>IF(HR_Data[[#This Row],[YearsAtCompany]]&lt;=2,1,IF(HR_Data[[#This Row],[YearsAtCompany]]&lt;=5,2,IF(HR_Data[[#This Row],[YearsAtCompany]]&lt;=10,3,4)))</f>
        <v>1</v>
      </c>
      <c r="AK686" s="1" t="str">
        <f>CHOOSE(HR_Data[[#This Row],[Education]],"Below College","College","Bachelor","Master","Doctor")</f>
        <v>Master</v>
      </c>
      <c r="AL686" s="1" t="str">
        <f>CHOOSE(HR_Data[[#This Row],[JobSatisfaction]],"Low","Medium","High","Very High")</f>
        <v>Medium</v>
      </c>
      <c r="AM686" s="1" t="str">
        <f>CHOOSE(HR_Data[[#This Row],[EnvironmentSatisfaction]],"Low","Medium","High","Very High")</f>
        <v>Low</v>
      </c>
      <c r="AN686" s="1" t="str">
        <f>CHOOSE(HR_Data[[#This Row],[WorkLifeBalance]],"Bad","Good","Better","Best")</f>
        <v>Good</v>
      </c>
      <c r="AO686" s="1" t="str">
        <f>IF(HR_Data[[#This Row],[PercentSalaryHike]]&lt;=13,"11-13%",IF(HR_Data[[#This Row],[PercentSalaryHike]]&lt;=16,"14-16%",IF(HR_Data[[#This Row],[PercentSalaryHike]]&lt;=19,"17-19%","20-25%")))</f>
        <v>11-13%</v>
      </c>
      <c r="AP686" s="1">
        <f>IF(HR_Data[[#This Row],[PercentSalaryHike]]&lt;=13,1,IF(HR_Data[[#This Row],[PercentSalaryHike]]&lt;=16,2,IF(HR_Data[[#This Row],[PercentSalaryHike]]&lt;=19,3,4)))</f>
        <v>1</v>
      </c>
      <c r="AQ686" s="1" t="str">
        <f>IF(HR_Data[[#This Row],[DistanceFromHome]]&lt;=5,"1 to 5",IF(HR_Data[[#This Row],[DistanceFromHome]]&lt;=10,"6 to 10",IF(HR_Data[[#This Row],[DistanceFromHome]]&lt;=20,"11 to 20","21 to 29")))</f>
        <v>6 to 10</v>
      </c>
      <c r="AR686" s="1">
        <f>IF(HR_Data[[#This Row],[DistanceFromHome]]&lt;=5,1,IF(HR_Data[[#This Row],[DistanceFromHome]]&lt;=10,2,IF(HR_Data[[#This Row],[DistanceFromHome]]&lt;=20,3,4)))</f>
        <v>2</v>
      </c>
      <c r="AS686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686" s="1">
        <f>IF(HR_Data[[#This Row],[TotalWorkingYears]]&lt;=5,1,IF(HR_Data[[#This Row],[TotalWorkingYears]]&lt;=10,2,IF(HR_Data[[#This Row],[TotalWorkingYears]]&lt;=20,3,4)))</f>
        <v>3</v>
      </c>
    </row>
    <row r="687" spans="1:46" x14ac:dyDescent="0.25">
      <c r="A687">
        <v>26</v>
      </c>
      <c r="B687" t="s">
        <v>36</v>
      </c>
      <c r="C687" t="s">
        <v>37</v>
      </c>
      <c r="D687" t="s">
        <v>31</v>
      </c>
      <c r="E687">
        <v>1</v>
      </c>
      <c r="F687">
        <v>3</v>
      </c>
      <c r="G687" t="s">
        <v>44</v>
      </c>
      <c r="H687">
        <v>956</v>
      </c>
      <c r="I687">
        <v>3</v>
      </c>
      <c r="J687" t="s">
        <v>39</v>
      </c>
      <c r="K687">
        <v>2</v>
      </c>
      <c r="L687">
        <v>2</v>
      </c>
      <c r="M687" t="s">
        <v>34</v>
      </c>
      <c r="N687">
        <v>1</v>
      </c>
      <c r="O687" t="s">
        <v>35</v>
      </c>
      <c r="P687">
        <v>4294</v>
      </c>
      <c r="Q687">
        <v>1</v>
      </c>
      <c r="R687" t="s">
        <v>36</v>
      </c>
      <c r="S687">
        <v>12</v>
      </c>
      <c r="T687">
        <v>3</v>
      </c>
      <c r="U687">
        <v>2</v>
      </c>
      <c r="V687">
        <v>0</v>
      </c>
      <c r="W687">
        <v>7</v>
      </c>
      <c r="X687">
        <v>2</v>
      </c>
      <c r="Y687">
        <v>3</v>
      </c>
      <c r="Z687">
        <v>7</v>
      </c>
      <c r="AA687">
        <v>7</v>
      </c>
      <c r="AB687">
        <v>0</v>
      </c>
      <c r="AC687">
        <v>7</v>
      </c>
      <c r="AD687">
        <f>IF(HR_Data[[#This Row],[Attrition]]="Yes",1,0)</f>
        <v>0</v>
      </c>
      <c r="AE687" t="str">
        <f>IF(HR_Data[[#This Row],[Age]]&lt;=25,"18-25",IF(HR_Data[[#This Row],[Age]]&lt;=35,"26-35",IF(HR_Data[[#This Row],[Age]]&lt;=45,"36-45",IF(HR_Data[[#This Row],[Age]]&lt;=55,"46-55","55+"))))</f>
        <v>26-35</v>
      </c>
      <c r="AF687">
        <f>IF(HR_Data[[#This Row],[Age]]&lt;=25,1,IF(HR_Data[[#This Row],[Age]]&lt;=35,2,IF(HR_Data[[#This Row],[Age]]&lt;=45,3,IF(HR_Data[[#This Row],[Age]]&lt;=55,4,5))))</f>
        <v>2</v>
      </c>
      <c r="AG687" s="1" t="str">
        <f>IF(HR_Data[[#This Row],[MonthlyIncome]]&lt;3000,"&lt;3K",IF(HR_Data[[#This Row],[MonthlyIncome]]&lt;6000,"3K-6K",IF(HR_Data[[#This Row],[MonthlyIncome]]&lt;10000,"6K-10K","10K+")))</f>
        <v>3K-6K</v>
      </c>
      <c r="AH687" s="1">
        <f>IF(HR_Data[[#This Row],[MonthlyIncome]]&lt;3000,1,IF(HR_Data[[#This Row],[MonthlyIncome]]&lt;6000,2,IF(HR_Data[[#This Row],[MonthlyIncome]]&lt;10000,3,4)))</f>
        <v>2</v>
      </c>
      <c r="AI687" s="1" t="str">
        <f>IF(HR_Data[[#This Row],[YearsAtCompany]]&lt;=2,"0-2 Yrs",IF(HR_Data[[#This Row],[YearsAtCompany]]&lt;=5,"3-5 Yrs",IF(HR_Data[[#This Row],[YearsAtCompany]]&lt;=10,"6-10 Yrs","10+ Yrs")))</f>
        <v>6-10 Yrs</v>
      </c>
      <c r="AJ687" s="1">
        <f>IF(HR_Data[[#This Row],[YearsAtCompany]]&lt;=2,1,IF(HR_Data[[#This Row],[YearsAtCompany]]&lt;=5,2,IF(HR_Data[[#This Row],[YearsAtCompany]]&lt;=10,3,4)))</f>
        <v>3</v>
      </c>
      <c r="AK687" s="1" t="str">
        <f>CHOOSE(HR_Data[[#This Row],[Education]],"Below College","College","Bachelor","Master","Doctor")</f>
        <v>Bachelor</v>
      </c>
      <c r="AL687" s="1" t="str">
        <f>CHOOSE(HR_Data[[#This Row],[JobSatisfaction]],"Low","Medium","High","Very High")</f>
        <v>Low</v>
      </c>
      <c r="AM687" s="1" t="str">
        <f>CHOOSE(HR_Data[[#This Row],[EnvironmentSatisfaction]],"Low","Medium","High","Very High")</f>
        <v>High</v>
      </c>
      <c r="AN687" s="1" t="str">
        <f>CHOOSE(HR_Data[[#This Row],[WorkLifeBalance]],"Bad","Good","Better","Best")</f>
        <v>Better</v>
      </c>
      <c r="AO687" s="1" t="str">
        <f>IF(HR_Data[[#This Row],[PercentSalaryHike]]&lt;=13,"11-13%",IF(HR_Data[[#This Row],[PercentSalaryHike]]&lt;=16,"14-16%",IF(HR_Data[[#This Row],[PercentSalaryHike]]&lt;=19,"17-19%","20-25%")))</f>
        <v>11-13%</v>
      </c>
      <c r="AP687" s="1">
        <f>IF(HR_Data[[#This Row],[PercentSalaryHike]]&lt;=13,1,IF(HR_Data[[#This Row],[PercentSalaryHike]]&lt;=16,2,IF(HR_Data[[#This Row],[PercentSalaryHike]]&lt;=19,3,4)))</f>
        <v>1</v>
      </c>
      <c r="AQ687" s="1" t="str">
        <f>IF(HR_Data[[#This Row],[DistanceFromHome]]&lt;=5,"1 to 5",IF(HR_Data[[#This Row],[DistanceFromHome]]&lt;=10,"6 to 10",IF(HR_Data[[#This Row],[DistanceFromHome]]&lt;=20,"11 to 20","21 to 29")))</f>
        <v>1 to 5</v>
      </c>
      <c r="AR687" s="1">
        <f>IF(HR_Data[[#This Row],[DistanceFromHome]]&lt;=5,1,IF(HR_Data[[#This Row],[DistanceFromHome]]&lt;=10,2,IF(HR_Data[[#This Row],[DistanceFromHome]]&lt;=20,3,4)))</f>
        <v>1</v>
      </c>
      <c r="AS687" s="1" t="str">
        <f>IF(HR_Data[[#This Row],[TotalWorkingYears]]&lt;=5,"0-5 Yrs",IF(HR_Data[[#This Row],[TotalWorkingYears]]&lt;=10,"6-10 Yrs",IF(HR_Data[[#This Row],[TotalWorkingYears]]&lt;=20,"11-20 Yrs","20+ Yrs")))</f>
        <v>6-10 Yrs</v>
      </c>
      <c r="AT687" s="1">
        <f>IF(HR_Data[[#This Row],[TotalWorkingYears]]&lt;=5,1,IF(HR_Data[[#This Row],[TotalWorkingYears]]&lt;=10,2,IF(HR_Data[[#This Row],[TotalWorkingYears]]&lt;=20,3,4)))</f>
        <v>2</v>
      </c>
    </row>
    <row r="688" spans="1:46" x14ac:dyDescent="0.25">
      <c r="A688">
        <v>41</v>
      </c>
      <c r="B688" t="s">
        <v>36</v>
      </c>
      <c r="C688" t="s">
        <v>30</v>
      </c>
      <c r="D688" t="s">
        <v>38</v>
      </c>
      <c r="E688">
        <v>6</v>
      </c>
      <c r="F688">
        <v>3</v>
      </c>
      <c r="G688" t="s">
        <v>44</v>
      </c>
      <c r="H688">
        <v>957</v>
      </c>
      <c r="I688">
        <v>4</v>
      </c>
      <c r="J688" t="s">
        <v>39</v>
      </c>
      <c r="K688">
        <v>3</v>
      </c>
      <c r="L688">
        <v>1</v>
      </c>
      <c r="M688" t="s">
        <v>43</v>
      </c>
      <c r="N688">
        <v>1</v>
      </c>
      <c r="O688" t="s">
        <v>35</v>
      </c>
      <c r="P688">
        <v>4721</v>
      </c>
      <c r="Q688">
        <v>2</v>
      </c>
      <c r="R688" t="s">
        <v>29</v>
      </c>
      <c r="S688">
        <v>13</v>
      </c>
      <c r="T688">
        <v>3</v>
      </c>
      <c r="U688">
        <v>3</v>
      </c>
      <c r="V688">
        <v>0</v>
      </c>
      <c r="W688">
        <v>20</v>
      </c>
      <c r="X688">
        <v>3</v>
      </c>
      <c r="Y688">
        <v>3</v>
      </c>
      <c r="Z688">
        <v>18</v>
      </c>
      <c r="AA688">
        <v>13</v>
      </c>
      <c r="AB688">
        <v>2</v>
      </c>
      <c r="AC688">
        <v>17</v>
      </c>
      <c r="AD688">
        <f>IF(HR_Data[[#This Row],[Attrition]]="Yes",1,0)</f>
        <v>0</v>
      </c>
      <c r="AE688" t="str">
        <f>IF(HR_Data[[#This Row],[Age]]&lt;=25,"18-25",IF(HR_Data[[#This Row],[Age]]&lt;=35,"26-35",IF(HR_Data[[#This Row],[Age]]&lt;=45,"36-45",IF(HR_Data[[#This Row],[Age]]&lt;=55,"46-55","55+"))))</f>
        <v>36-45</v>
      </c>
      <c r="AF688">
        <f>IF(HR_Data[[#This Row],[Age]]&lt;=25,1,IF(HR_Data[[#This Row],[Age]]&lt;=35,2,IF(HR_Data[[#This Row],[Age]]&lt;=45,3,IF(HR_Data[[#This Row],[Age]]&lt;=55,4,5))))</f>
        <v>3</v>
      </c>
      <c r="AG688" s="1" t="str">
        <f>IF(HR_Data[[#This Row],[MonthlyIncome]]&lt;3000,"&lt;3K",IF(HR_Data[[#This Row],[MonthlyIncome]]&lt;6000,"3K-6K",IF(HR_Data[[#This Row],[MonthlyIncome]]&lt;10000,"6K-10K","10K+")))</f>
        <v>3K-6K</v>
      </c>
      <c r="AH688" s="1">
        <f>IF(HR_Data[[#This Row],[MonthlyIncome]]&lt;3000,1,IF(HR_Data[[#This Row],[MonthlyIncome]]&lt;6000,2,IF(HR_Data[[#This Row],[MonthlyIncome]]&lt;10000,3,4)))</f>
        <v>2</v>
      </c>
      <c r="AI688" s="1" t="str">
        <f>IF(HR_Data[[#This Row],[YearsAtCompany]]&lt;=2,"0-2 Yrs",IF(HR_Data[[#This Row],[YearsAtCompany]]&lt;=5,"3-5 Yrs",IF(HR_Data[[#This Row],[YearsAtCompany]]&lt;=10,"6-10 Yrs","10+ Yrs")))</f>
        <v>10+ Yrs</v>
      </c>
      <c r="AJ688" s="1">
        <f>IF(HR_Data[[#This Row],[YearsAtCompany]]&lt;=2,1,IF(HR_Data[[#This Row],[YearsAtCompany]]&lt;=5,2,IF(HR_Data[[#This Row],[YearsAtCompany]]&lt;=10,3,4)))</f>
        <v>4</v>
      </c>
      <c r="AK688" s="1" t="str">
        <f>CHOOSE(HR_Data[[#This Row],[Education]],"Below College","College","Bachelor","Master","Doctor")</f>
        <v>Bachelor</v>
      </c>
      <c r="AL688" s="1" t="str">
        <f>CHOOSE(HR_Data[[#This Row],[JobSatisfaction]],"Low","Medium","High","Very High")</f>
        <v>Low</v>
      </c>
      <c r="AM688" s="1" t="str">
        <f>CHOOSE(HR_Data[[#This Row],[EnvironmentSatisfaction]],"Low","Medium","High","Very High")</f>
        <v>Very High</v>
      </c>
      <c r="AN688" s="1" t="str">
        <f>CHOOSE(HR_Data[[#This Row],[WorkLifeBalance]],"Bad","Good","Better","Best")</f>
        <v>Better</v>
      </c>
      <c r="AO688" s="1" t="str">
        <f>IF(HR_Data[[#This Row],[PercentSalaryHike]]&lt;=13,"11-13%",IF(HR_Data[[#This Row],[PercentSalaryHike]]&lt;=16,"14-16%",IF(HR_Data[[#This Row],[PercentSalaryHike]]&lt;=19,"17-19%","20-25%")))</f>
        <v>11-13%</v>
      </c>
      <c r="AP688" s="1">
        <f>IF(HR_Data[[#This Row],[PercentSalaryHike]]&lt;=13,1,IF(HR_Data[[#This Row],[PercentSalaryHike]]&lt;=16,2,IF(HR_Data[[#This Row],[PercentSalaryHike]]&lt;=19,3,4)))</f>
        <v>1</v>
      </c>
      <c r="AQ688" s="1" t="str">
        <f>IF(HR_Data[[#This Row],[DistanceFromHome]]&lt;=5,"1 to 5",IF(HR_Data[[#This Row],[DistanceFromHome]]&lt;=10,"6 to 10",IF(HR_Data[[#This Row],[DistanceFromHome]]&lt;=20,"11 to 20","21 to 29")))</f>
        <v>6 to 10</v>
      </c>
      <c r="AR688" s="1">
        <f>IF(HR_Data[[#This Row],[DistanceFromHome]]&lt;=5,1,IF(HR_Data[[#This Row],[DistanceFromHome]]&lt;=10,2,IF(HR_Data[[#This Row],[DistanceFromHome]]&lt;=20,3,4)))</f>
        <v>2</v>
      </c>
      <c r="AS688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688" s="1">
        <f>IF(HR_Data[[#This Row],[TotalWorkingYears]]&lt;=5,1,IF(HR_Data[[#This Row],[TotalWorkingYears]]&lt;=10,2,IF(HR_Data[[#This Row],[TotalWorkingYears]]&lt;=20,3,4)))</f>
        <v>3</v>
      </c>
    </row>
    <row r="689" spans="1:46" x14ac:dyDescent="0.25">
      <c r="A689">
        <v>36</v>
      </c>
      <c r="B689" t="s">
        <v>36</v>
      </c>
      <c r="C689" t="s">
        <v>30</v>
      </c>
      <c r="D689" t="s">
        <v>38</v>
      </c>
      <c r="E689">
        <v>2</v>
      </c>
      <c r="F689">
        <v>4</v>
      </c>
      <c r="G689" t="s">
        <v>44</v>
      </c>
      <c r="H689">
        <v>958</v>
      </c>
      <c r="I689">
        <v>3</v>
      </c>
      <c r="J689" t="s">
        <v>39</v>
      </c>
      <c r="K689">
        <v>3</v>
      </c>
      <c r="L689">
        <v>1</v>
      </c>
      <c r="M689" t="s">
        <v>43</v>
      </c>
      <c r="N689">
        <v>3</v>
      </c>
      <c r="O689" t="s">
        <v>35</v>
      </c>
      <c r="P689">
        <v>2519</v>
      </c>
      <c r="Q689">
        <v>4</v>
      </c>
      <c r="R689" t="s">
        <v>36</v>
      </c>
      <c r="S689">
        <v>21</v>
      </c>
      <c r="T689">
        <v>4</v>
      </c>
      <c r="U689">
        <v>3</v>
      </c>
      <c r="V689">
        <v>0</v>
      </c>
      <c r="W689">
        <v>16</v>
      </c>
      <c r="X689">
        <v>6</v>
      </c>
      <c r="Y689">
        <v>3</v>
      </c>
      <c r="Z689">
        <v>11</v>
      </c>
      <c r="AA689">
        <v>8</v>
      </c>
      <c r="AB689">
        <v>3</v>
      </c>
      <c r="AC689">
        <v>9</v>
      </c>
      <c r="AD689">
        <f>IF(HR_Data[[#This Row],[Attrition]]="Yes",1,0)</f>
        <v>0</v>
      </c>
      <c r="AE689" t="str">
        <f>IF(HR_Data[[#This Row],[Age]]&lt;=25,"18-25",IF(HR_Data[[#This Row],[Age]]&lt;=35,"26-35",IF(HR_Data[[#This Row],[Age]]&lt;=45,"36-45",IF(HR_Data[[#This Row],[Age]]&lt;=55,"46-55","55+"))))</f>
        <v>36-45</v>
      </c>
      <c r="AF689">
        <f>IF(HR_Data[[#This Row],[Age]]&lt;=25,1,IF(HR_Data[[#This Row],[Age]]&lt;=35,2,IF(HR_Data[[#This Row],[Age]]&lt;=45,3,IF(HR_Data[[#This Row],[Age]]&lt;=55,4,5))))</f>
        <v>3</v>
      </c>
      <c r="AG689" s="1" t="str">
        <f>IF(HR_Data[[#This Row],[MonthlyIncome]]&lt;3000,"&lt;3K",IF(HR_Data[[#This Row],[MonthlyIncome]]&lt;6000,"3K-6K",IF(HR_Data[[#This Row],[MonthlyIncome]]&lt;10000,"6K-10K","10K+")))</f>
        <v>&lt;3K</v>
      </c>
      <c r="AH689" s="1">
        <f>IF(HR_Data[[#This Row],[MonthlyIncome]]&lt;3000,1,IF(HR_Data[[#This Row],[MonthlyIncome]]&lt;6000,2,IF(HR_Data[[#This Row],[MonthlyIncome]]&lt;10000,3,4)))</f>
        <v>1</v>
      </c>
      <c r="AI689" s="1" t="str">
        <f>IF(HR_Data[[#This Row],[YearsAtCompany]]&lt;=2,"0-2 Yrs",IF(HR_Data[[#This Row],[YearsAtCompany]]&lt;=5,"3-5 Yrs",IF(HR_Data[[#This Row],[YearsAtCompany]]&lt;=10,"6-10 Yrs","10+ Yrs")))</f>
        <v>10+ Yrs</v>
      </c>
      <c r="AJ689" s="1">
        <f>IF(HR_Data[[#This Row],[YearsAtCompany]]&lt;=2,1,IF(HR_Data[[#This Row],[YearsAtCompany]]&lt;=5,2,IF(HR_Data[[#This Row],[YearsAtCompany]]&lt;=10,3,4)))</f>
        <v>4</v>
      </c>
      <c r="AK689" s="1" t="str">
        <f>CHOOSE(HR_Data[[#This Row],[Education]],"Below College","College","Bachelor","Master","Doctor")</f>
        <v>Master</v>
      </c>
      <c r="AL689" s="1" t="str">
        <f>CHOOSE(HR_Data[[#This Row],[JobSatisfaction]],"Low","Medium","High","Very High")</f>
        <v>High</v>
      </c>
      <c r="AM689" s="1" t="str">
        <f>CHOOSE(HR_Data[[#This Row],[EnvironmentSatisfaction]],"Low","Medium","High","Very High")</f>
        <v>High</v>
      </c>
      <c r="AN689" s="1" t="str">
        <f>CHOOSE(HR_Data[[#This Row],[WorkLifeBalance]],"Bad","Good","Better","Best")</f>
        <v>Better</v>
      </c>
      <c r="AO689" s="1" t="str">
        <f>IF(HR_Data[[#This Row],[PercentSalaryHike]]&lt;=13,"11-13%",IF(HR_Data[[#This Row],[PercentSalaryHike]]&lt;=16,"14-16%",IF(HR_Data[[#This Row],[PercentSalaryHike]]&lt;=19,"17-19%","20-25%")))</f>
        <v>20-25%</v>
      </c>
      <c r="AP689" s="1">
        <f>IF(HR_Data[[#This Row],[PercentSalaryHike]]&lt;=13,1,IF(HR_Data[[#This Row],[PercentSalaryHike]]&lt;=16,2,IF(HR_Data[[#This Row],[PercentSalaryHike]]&lt;=19,3,4)))</f>
        <v>4</v>
      </c>
      <c r="AQ689" s="1" t="str">
        <f>IF(HR_Data[[#This Row],[DistanceFromHome]]&lt;=5,"1 to 5",IF(HR_Data[[#This Row],[DistanceFromHome]]&lt;=10,"6 to 10",IF(HR_Data[[#This Row],[DistanceFromHome]]&lt;=20,"11 to 20","21 to 29")))</f>
        <v>1 to 5</v>
      </c>
      <c r="AR689" s="1">
        <f>IF(HR_Data[[#This Row],[DistanceFromHome]]&lt;=5,1,IF(HR_Data[[#This Row],[DistanceFromHome]]&lt;=10,2,IF(HR_Data[[#This Row],[DistanceFromHome]]&lt;=20,3,4)))</f>
        <v>1</v>
      </c>
      <c r="AS689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689" s="1">
        <f>IF(HR_Data[[#This Row],[TotalWorkingYears]]&lt;=5,1,IF(HR_Data[[#This Row],[TotalWorkingYears]]&lt;=10,2,IF(HR_Data[[#This Row],[TotalWorkingYears]]&lt;=20,3,4)))</f>
        <v>3</v>
      </c>
    </row>
    <row r="690" spans="1:46" x14ac:dyDescent="0.25">
      <c r="A690">
        <v>19</v>
      </c>
      <c r="B690" t="s">
        <v>29</v>
      </c>
      <c r="C690" t="s">
        <v>30</v>
      </c>
      <c r="D690" t="s">
        <v>31</v>
      </c>
      <c r="E690">
        <v>21</v>
      </c>
      <c r="F690">
        <v>3</v>
      </c>
      <c r="G690" t="s">
        <v>42</v>
      </c>
      <c r="H690">
        <v>959</v>
      </c>
      <c r="I690">
        <v>4</v>
      </c>
      <c r="J690" t="s">
        <v>39</v>
      </c>
      <c r="K690">
        <v>2</v>
      </c>
      <c r="L690">
        <v>1</v>
      </c>
      <c r="M690" t="s">
        <v>50</v>
      </c>
      <c r="N690">
        <v>2</v>
      </c>
      <c r="O690" t="s">
        <v>35</v>
      </c>
      <c r="P690">
        <v>2121</v>
      </c>
      <c r="Q690">
        <v>1</v>
      </c>
      <c r="R690" t="s">
        <v>29</v>
      </c>
      <c r="S690">
        <v>13</v>
      </c>
      <c r="T690">
        <v>3</v>
      </c>
      <c r="U690">
        <v>2</v>
      </c>
      <c r="V690">
        <v>0</v>
      </c>
      <c r="W690">
        <v>1</v>
      </c>
      <c r="X690">
        <v>3</v>
      </c>
      <c r="Y690">
        <v>4</v>
      </c>
      <c r="Z690">
        <v>1</v>
      </c>
      <c r="AA690">
        <v>0</v>
      </c>
      <c r="AB690">
        <v>0</v>
      </c>
      <c r="AC690">
        <v>0</v>
      </c>
      <c r="AD690">
        <f>IF(HR_Data[[#This Row],[Attrition]]="Yes",1,0)</f>
        <v>1</v>
      </c>
      <c r="AE690" t="str">
        <f>IF(HR_Data[[#This Row],[Age]]&lt;=25,"18-25",IF(HR_Data[[#This Row],[Age]]&lt;=35,"26-35",IF(HR_Data[[#This Row],[Age]]&lt;=45,"36-45",IF(HR_Data[[#This Row],[Age]]&lt;=55,"46-55","55+"))))</f>
        <v>18-25</v>
      </c>
      <c r="AF690">
        <f>IF(HR_Data[[#This Row],[Age]]&lt;=25,1,IF(HR_Data[[#This Row],[Age]]&lt;=35,2,IF(HR_Data[[#This Row],[Age]]&lt;=45,3,IF(HR_Data[[#This Row],[Age]]&lt;=55,4,5))))</f>
        <v>1</v>
      </c>
      <c r="AG690" s="1" t="str">
        <f>IF(HR_Data[[#This Row],[MonthlyIncome]]&lt;3000,"&lt;3K",IF(HR_Data[[#This Row],[MonthlyIncome]]&lt;6000,"3K-6K",IF(HR_Data[[#This Row],[MonthlyIncome]]&lt;10000,"6K-10K","10K+")))</f>
        <v>&lt;3K</v>
      </c>
      <c r="AH690" s="1">
        <f>IF(HR_Data[[#This Row],[MonthlyIncome]]&lt;3000,1,IF(HR_Data[[#This Row],[MonthlyIncome]]&lt;6000,2,IF(HR_Data[[#This Row],[MonthlyIncome]]&lt;10000,3,4)))</f>
        <v>1</v>
      </c>
      <c r="AI690" s="1" t="str">
        <f>IF(HR_Data[[#This Row],[YearsAtCompany]]&lt;=2,"0-2 Yrs",IF(HR_Data[[#This Row],[YearsAtCompany]]&lt;=5,"3-5 Yrs",IF(HR_Data[[#This Row],[YearsAtCompany]]&lt;=10,"6-10 Yrs","10+ Yrs")))</f>
        <v>0-2 Yrs</v>
      </c>
      <c r="AJ690" s="1">
        <f>IF(HR_Data[[#This Row],[YearsAtCompany]]&lt;=2,1,IF(HR_Data[[#This Row],[YearsAtCompany]]&lt;=5,2,IF(HR_Data[[#This Row],[YearsAtCompany]]&lt;=10,3,4)))</f>
        <v>1</v>
      </c>
      <c r="AK690" s="1" t="str">
        <f>CHOOSE(HR_Data[[#This Row],[Education]],"Below College","College","Bachelor","Master","Doctor")</f>
        <v>Bachelor</v>
      </c>
      <c r="AL690" s="1" t="str">
        <f>CHOOSE(HR_Data[[#This Row],[JobSatisfaction]],"Low","Medium","High","Very High")</f>
        <v>Medium</v>
      </c>
      <c r="AM690" s="1" t="str">
        <f>CHOOSE(HR_Data[[#This Row],[EnvironmentSatisfaction]],"Low","Medium","High","Very High")</f>
        <v>Very High</v>
      </c>
      <c r="AN690" s="1" t="str">
        <f>CHOOSE(HR_Data[[#This Row],[WorkLifeBalance]],"Bad","Good","Better","Best")</f>
        <v>Best</v>
      </c>
      <c r="AO690" s="1" t="str">
        <f>IF(HR_Data[[#This Row],[PercentSalaryHike]]&lt;=13,"11-13%",IF(HR_Data[[#This Row],[PercentSalaryHike]]&lt;=16,"14-16%",IF(HR_Data[[#This Row],[PercentSalaryHike]]&lt;=19,"17-19%","20-25%")))</f>
        <v>11-13%</v>
      </c>
      <c r="AP690" s="1">
        <f>IF(HR_Data[[#This Row],[PercentSalaryHike]]&lt;=13,1,IF(HR_Data[[#This Row],[PercentSalaryHike]]&lt;=16,2,IF(HR_Data[[#This Row],[PercentSalaryHike]]&lt;=19,3,4)))</f>
        <v>1</v>
      </c>
      <c r="AQ690" s="1" t="str">
        <f>IF(HR_Data[[#This Row],[DistanceFromHome]]&lt;=5,"1 to 5",IF(HR_Data[[#This Row],[DistanceFromHome]]&lt;=10,"6 to 10",IF(HR_Data[[#This Row],[DistanceFromHome]]&lt;=20,"11 to 20","21 to 29")))</f>
        <v>21 to 29</v>
      </c>
      <c r="AR690" s="1">
        <f>IF(HR_Data[[#This Row],[DistanceFromHome]]&lt;=5,1,IF(HR_Data[[#This Row],[DistanceFromHome]]&lt;=10,2,IF(HR_Data[[#This Row],[DistanceFromHome]]&lt;=20,3,4)))</f>
        <v>4</v>
      </c>
      <c r="AS690" s="1" t="str">
        <f>IF(HR_Data[[#This Row],[TotalWorkingYears]]&lt;=5,"0-5 Yrs",IF(HR_Data[[#This Row],[TotalWorkingYears]]&lt;=10,"6-10 Yrs",IF(HR_Data[[#This Row],[TotalWorkingYears]]&lt;=20,"11-20 Yrs","20+ Yrs")))</f>
        <v>0-5 Yrs</v>
      </c>
      <c r="AT690" s="1">
        <f>IF(HR_Data[[#This Row],[TotalWorkingYears]]&lt;=5,1,IF(HR_Data[[#This Row],[TotalWorkingYears]]&lt;=10,2,IF(HR_Data[[#This Row],[TotalWorkingYears]]&lt;=20,3,4)))</f>
        <v>1</v>
      </c>
    </row>
    <row r="691" spans="1:46" x14ac:dyDescent="0.25">
      <c r="A691">
        <v>20</v>
      </c>
      <c r="B691" t="s">
        <v>29</v>
      </c>
      <c r="C691" t="s">
        <v>30</v>
      </c>
      <c r="D691" t="s">
        <v>38</v>
      </c>
      <c r="E691">
        <v>4</v>
      </c>
      <c r="F691">
        <v>3</v>
      </c>
      <c r="G691" t="s">
        <v>53</v>
      </c>
      <c r="H691">
        <v>960</v>
      </c>
      <c r="I691">
        <v>1</v>
      </c>
      <c r="J691" t="s">
        <v>39</v>
      </c>
      <c r="K691">
        <v>3</v>
      </c>
      <c r="L691">
        <v>1</v>
      </c>
      <c r="M691" t="s">
        <v>43</v>
      </c>
      <c r="N691">
        <v>1</v>
      </c>
      <c r="O691" t="s">
        <v>35</v>
      </c>
      <c r="P691">
        <v>2973</v>
      </c>
      <c r="Q691">
        <v>1</v>
      </c>
      <c r="R691" t="s">
        <v>36</v>
      </c>
      <c r="S691">
        <v>19</v>
      </c>
      <c r="T691">
        <v>3</v>
      </c>
      <c r="U691">
        <v>2</v>
      </c>
      <c r="V691">
        <v>0</v>
      </c>
      <c r="W691">
        <v>1</v>
      </c>
      <c r="X691">
        <v>2</v>
      </c>
      <c r="Y691">
        <v>3</v>
      </c>
      <c r="Z691">
        <v>1</v>
      </c>
      <c r="AA691">
        <v>0</v>
      </c>
      <c r="AB691">
        <v>0</v>
      </c>
      <c r="AC691">
        <v>0</v>
      </c>
      <c r="AD691">
        <f>IF(HR_Data[[#This Row],[Attrition]]="Yes",1,0)</f>
        <v>1</v>
      </c>
      <c r="AE691" t="str">
        <f>IF(HR_Data[[#This Row],[Age]]&lt;=25,"18-25",IF(HR_Data[[#This Row],[Age]]&lt;=35,"26-35",IF(HR_Data[[#This Row],[Age]]&lt;=45,"36-45",IF(HR_Data[[#This Row],[Age]]&lt;=55,"46-55","55+"))))</f>
        <v>18-25</v>
      </c>
      <c r="AF691">
        <f>IF(HR_Data[[#This Row],[Age]]&lt;=25,1,IF(HR_Data[[#This Row],[Age]]&lt;=35,2,IF(HR_Data[[#This Row],[Age]]&lt;=45,3,IF(HR_Data[[#This Row],[Age]]&lt;=55,4,5))))</f>
        <v>1</v>
      </c>
      <c r="AG691" s="1" t="str">
        <f>IF(HR_Data[[#This Row],[MonthlyIncome]]&lt;3000,"&lt;3K",IF(HR_Data[[#This Row],[MonthlyIncome]]&lt;6000,"3K-6K",IF(HR_Data[[#This Row],[MonthlyIncome]]&lt;10000,"6K-10K","10K+")))</f>
        <v>&lt;3K</v>
      </c>
      <c r="AH691" s="1">
        <f>IF(HR_Data[[#This Row],[MonthlyIncome]]&lt;3000,1,IF(HR_Data[[#This Row],[MonthlyIncome]]&lt;6000,2,IF(HR_Data[[#This Row],[MonthlyIncome]]&lt;10000,3,4)))</f>
        <v>1</v>
      </c>
      <c r="AI691" s="1" t="str">
        <f>IF(HR_Data[[#This Row],[YearsAtCompany]]&lt;=2,"0-2 Yrs",IF(HR_Data[[#This Row],[YearsAtCompany]]&lt;=5,"3-5 Yrs",IF(HR_Data[[#This Row],[YearsAtCompany]]&lt;=10,"6-10 Yrs","10+ Yrs")))</f>
        <v>0-2 Yrs</v>
      </c>
      <c r="AJ691" s="1">
        <f>IF(HR_Data[[#This Row],[YearsAtCompany]]&lt;=2,1,IF(HR_Data[[#This Row],[YearsAtCompany]]&lt;=5,2,IF(HR_Data[[#This Row],[YearsAtCompany]]&lt;=10,3,4)))</f>
        <v>1</v>
      </c>
      <c r="AK691" s="1" t="str">
        <f>CHOOSE(HR_Data[[#This Row],[Education]],"Below College","College","Bachelor","Master","Doctor")</f>
        <v>Bachelor</v>
      </c>
      <c r="AL691" s="1" t="str">
        <f>CHOOSE(HR_Data[[#This Row],[JobSatisfaction]],"Low","Medium","High","Very High")</f>
        <v>Low</v>
      </c>
      <c r="AM691" s="1" t="str">
        <f>CHOOSE(HR_Data[[#This Row],[EnvironmentSatisfaction]],"Low","Medium","High","Very High")</f>
        <v>Low</v>
      </c>
      <c r="AN691" s="1" t="str">
        <f>CHOOSE(HR_Data[[#This Row],[WorkLifeBalance]],"Bad","Good","Better","Best")</f>
        <v>Better</v>
      </c>
      <c r="AO691" s="1" t="str">
        <f>IF(HR_Data[[#This Row],[PercentSalaryHike]]&lt;=13,"11-13%",IF(HR_Data[[#This Row],[PercentSalaryHike]]&lt;=16,"14-16%",IF(HR_Data[[#This Row],[PercentSalaryHike]]&lt;=19,"17-19%","20-25%")))</f>
        <v>17-19%</v>
      </c>
      <c r="AP691" s="1">
        <f>IF(HR_Data[[#This Row],[PercentSalaryHike]]&lt;=13,1,IF(HR_Data[[#This Row],[PercentSalaryHike]]&lt;=16,2,IF(HR_Data[[#This Row],[PercentSalaryHike]]&lt;=19,3,4)))</f>
        <v>3</v>
      </c>
      <c r="AQ691" s="1" t="str">
        <f>IF(HR_Data[[#This Row],[DistanceFromHome]]&lt;=5,"1 to 5",IF(HR_Data[[#This Row],[DistanceFromHome]]&lt;=10,"6 to 10",IF(HR_Data[[#This Row],[DistanceFromHome]]&lt;=20,"11 to 20","21 to 29")))</f>
        <v>1 to 5</v>
      </c>
      <c r="AR691" s="1">
        <f>IF(HR_Data[[#This Row],[DistanceFromHome]]&lt;=5,1,IF(HR_Data[[#This Row],[DistanceFromHome]]&lt;=10,2,IF(HR_Data[[#This Row],[DistanceFromHome]]&lt;=20,3,4)))</f>
        <v>1</v>
      </c>
      <c r="AS691" s="1" t="str">
        <f>IF(HR_Data[[#This Row],[TotalWorkingYears]]&lt;=5,"0-5 Yrs",IF(HR_Data[[#This Row],[TotalWorkingYears]]&lt;=10,"6-10 Yrs",IF(HR_Data[[#This Row],[TotalWorkingYears]]&lt;=20,"11-20 Yrs","20+ Yrs")))</f>
        <v>0-5 Yrs</v>
      </c>
      <c r="AT691" s="1">
        <f>IF(HR_Data[[#This Row],[TotalWorkingYears]]&lt;=5,1,IF(HR_Data[[#This Row],[TotalWorkingYears]]&lt;=10,2,IF(HR_Data[[#This Row],[TotalWorkingYears]]&lt;=20,3,4)))</f>
        <v>1</v>
      </c>
    </row>
    <row r="692" spans="1:46" x14ac:dyDescent="0.25">
      <c r="A692">
        <v>31</v>
      </c>
      <c r="B692" t="s">
        <v>36</v>
      </c>
      <c r="C692" t="s">
        <v>30</v>
      </c>
      <c r="D692" t="s">
        <v>38</v>
      </c>
      <c r="E692">
        <v>12</v>
      </c>
      <c r="F692">
        <v>3</v>
      </c>
      <c r="G692" t="s">
        <v>44</v>
      </c>
      <c r="H692">
        <v>961</v>
      </c>
      <c r="I692">
        <v>4</v>
      </c>
      <c r="J692" t="s">
        <v>33</v>
      </c>
      <c r="K692">
        <v>3</v>
      </c>
      <c r="L692">
        <v>2</v>
      </c>
      <c r="M692" t="s">
        <v>47</v>
      </c>
      <c r="N692">
        <v>4</v>
      </c>
      <c r="O692" t="s">
        <v>41</v>
      </c>
      <c r="P692">
        <v>5855</v>
      </c>
      <c r="Q692">
        <v>0</v>
      </c>
      <c r="R692" t="s">
        <v>29</v>
      </c>
      <c r="S692">
        <v>11</v>
      </c>
      <c r="T692">
        <v>3</v>
      </c>
      <c r="U692">
        <v>3</v>
      </c>
      <c r="V692">
        <v>2</v>
      </c>
      <c r="W692">
        <v>10</v>
      </c>
      <c r="X692">
        <v>2</v>
      </c>
      <c r="Y692">
        <v>1</v>
      </c>
      <c r="Z692">
        <v>9</v>
      </c>
      <c r="AA692">
        <v>7</v>
      </c>
      <c r="AB692">
        <v>8</v>
      </c>
      <c r="AC692">
        <v>5</v>
      </c>
      <c r="AD692">
        <f>IF(HR_Data[[#This Row],[Attrition]]="Yes",1,0)</f>
        <v>0</v>
      </c>
      <c r="AE692" t="str">
        <f>IF(HR_Data[[#This Row],[Age]]&lt;=25,"18-25",IF(HR_Data[[#This Row],[Age]]&lt;=35,"26-35",IF(HR_Data[[#This Row],[Age]]&lt;=45,"36-45",IF(HR_Data[[#This Row],[Age]]&lt;=55,"46-55","55+"))))</f>
        <v>26-35</v>
      </c>
      <c r="AF692">
        <f>IF(HR_Data[[#This Row],[Age]]&lt;=25,1,IF(HR_Data[[#This Row],[Age]]&lt;=35,2,IF(HR_Data[[#This Row],[Age]]&lt;=45,3,IF(HR_Data[[#This Row],[Age]]&lt;=55,4,5))))</f>
        <v>2</v>
      </c>
      <c r="AG692" s="1" t="str">
        <f>IF(HR_Data[[#This Row],[MonthlyIncome]]&lt;3000,"&lt;3K",IF(HR_Data[[#This Row],[MonthlyIncome]]&lt;6000,"3K-6K",IF(HR_Data[[#This Row],[MonthlyIncome]]&lt;10000,"6K-10K","10K+")))</f>
        <v>3K-6K</v>
      </c>
      <c r="AH692" s="1">
        <f>IF(HR_Data[[#This Row],[MonthlyIncome]]&lt;3000,1,IF(HR_Data[[#This Row],[MonthlyIncome]]&lt;6000,2,IF(HR_Data[[#This Row],[MonthlyIncome]]&lt;10000,3,4)))</f>
        <v>2</v>
      </c>
      <c r="AI692" s="1" t="str">
        <f>IF(HR_Data[[#This Row],[YearsAtCompany]]&lt;=2,"0-2 Yrs",IF(HR_Data[[#This Row],[YearsAtCompany]]&lt;=5,"3-5 Yrs",IF(HR_Data[[#This Row],[YearsAtCompany]]&lt;=10,"6-10 Yrs","10+ Yrs")))</f>
        <v>6-10 Yrs</v>
      </c>
      <c r="AJ692" s="1">
        <f>IF(HR_Data[[#This Row],[YearsAtCompany]]&lt;=2,1,IF(HR_Data[[#This Row],[YearsAtCompany]]&lt;=5,2,IF(HR_Data[[#This Row],[YearsAtCompany]]&lt;=10,3,4)))</f>
        <v>3</v>
      </c>
      <c r="AK692" s="1" t="str">
        <f>CHOOSE(HR_Data[[#This Row],[Education]],"Below College","College","Bachelor","Master","Doctor")</f>
        <v>Bachelor</v>
      </c>
      <c r="AL692" s="1" t="str">
        <f>CHOOSE(HR_Data[[#This Row],[JobSatisfaction]],"Low","Medium","High","Very High")</f>
        <v>Very High</v>
      </c>
      <c r="AM692" s="1" t="str">
        <f>CHOOSE(HR_Data[[#This Row],[EnvironmentSatisfaction]],"Low","Medium","High","Very High")</f>
        <v>Very High</v>
      </c>
      <c r="AN692" s="1" t="str">
        <f>CHOOSE(HR_Data[[#This Row],[WorkLifeBalance]],"Bad","Good","Better","Best")</f>
        <v>Bad</v>
      </c>
      <c r="AO692" s="1" t="str">
        <f>IF(HR_Data[[#This Row],[PercentSalaryHike]]&lt;=13,"11-13%",IF(HR_Data[[#This Row],[PercentSalaryHike]]&lt;=16,"14-16%",IF(HR_Data[[#This Row],[PercentSalaryHike]]&lt;=19,"17-19%","20-25%")))</f>
        <v>11-13%</v>
      </c>
      <c r="AP692" s="1">
        <f>IF(HR_Data[[#This Row],[PercentSalaryHike]]&lt;=13,1,IF(HR_Data[[#This Row],[PercentSalaryHike]]&lt;=16,2,IF(HR_Data[[#This Row],[PercentSalaryHike]]&lt;=19,3,4)))</f>
        <v>1</v>
      </c>
      <c r="AQ692" s="1" t="str">
        <f>IF(HR_Data[[#This Row],[DistanceFromHome]]&lt;=5,"1 to 5",IF(HR_Data[[#This Row],[DistanceFromHome]]&lt;=10,"6 to 10",IF(HR_Data[[#This Row],[DistanceFromHome]]&lt;=20,"11 to 20","21 to 29")))</f>
        <v>11 to 20</v>
      </c>
      <c r="AR692" s="1">
        <f>IF(HR_Data[[#This Row],[DistanceFromHome]]&lt;=5,1,IF(HR_Data[[#This Row],[DistanceFromHome]]&lt;=10,2,IF(HR_Data[[#This Row],[DistanceFromHome]]&lt;=20,3,4)))</f>
        <v>3</v>
      </c>
      <c r="AS692" s="1" t="str">
        <f>IF(HR_Data[[#This Row],[TotalWorkingYears]]&lt;=5,"0-5 Yrs",IF(HR_Data[[#This Row],[TotalWorkingYears]]&lt;=10,"6-10 Yrs",IF(HR_Data[[#This Row],[TotalWorkingYears]]&lt;=20,"11-20 Yrs","20+ Yrs")))</f>
        <v>6-10 Yrs</v>
      </c>
      <c r="AT692" s="1">
        <f>IF(HR_Data[[#This Row],[TotalWorkingYears]]&lt;=5,1,IF(HR_Data[[#This Row],[TotalWorkingYears]]&lt;=10,2,IF(HR_Data[[#This Row],[TotalWorkingYears]]&lt;=20,3,4)))</f>
        <v>2</v>
      </c>
    </row>
    <row r="693" spans="1:46" x14ac:dyDescent="0.25">
      <c r="A693">
        <v>40</v>
      </c>
      <c r="B693" t="s">
        <v>36</v>
      </c>
      <c r="C693" t="s">
        <v>37</v>
      </c>
      <c r="D693" t="s">
        <v>38</v>
      </c>
      <c r="E693">
        <v>9</v>
      </c>
      <c r="F693">
        <v>4</v>
      </c>
      <c r="G693" t="s">
        <v>44</v>
      </c>
      <c r="H693">
        <v>964</v>
      </c>
      <c r="I693">
        <v>4</v>
      </c>
      <c r="J693" t="s">
        <v>39</v>
      </c>
      <c r="K693">
        <v>3</v>
      </c>
      <c r="L693">
        <v>1</v>
      </c>
      <c r="M693" t="s">
        <v>40</v>
      </c>
      <c r="N693">
        <v>2</v>
      </c>
      <c r="O693" t="s">
        <v>45</v>
      </c>
      <c r="P693">
        <v>3617</v>
      </c>
      <c r="Q693">
        <v>8</v>
      </c>
      <c r="R693" t="s">
        <v>29</v>
      </c>
      <c r="S693">
        <v>14</v>
      </c>
      <c r="T693">
        <v>3</v>
      </c>
      <c r="U693">
        <v>4</v>
      </c>
      <c r="V693">
        <v>1</v>
      </c>
      <c r="W693">
        <v>3</v>
      </c>
      <c r="X693">
        <v>2</v>
      </c>
      <c r="Y693">
        <v>3</v>
      </c>
      <c r="Z693">
        <v>1</v>
      </c>
      <c r="AA693">
        <v>1</v>
      </c>
      <c r="AB693">
        <v>0</v>
      </c>
      <c r="AC693">
        <v>0</v>
      </c>
      <c r="AD693">
        <f>IF(HR_Data[[#This Row],[Attrition]]="Yes",1,0)</f>
        <v>0</v>
      </c>
      <c r="AE693" t="str">
        <f>IF(HR_Data[[#This Row],[Age]]&lt;=25,"18-25",IF(HR_Data[[#This Row],[Age]]&lt;=35,"26-35",IF(HR_Data[[#This Row],[Age]]&lt;=45,"36-45",IF(HR_Data[[#This Row],[Age]]&lt;=55,"46-55","55+"))))</f>
        <v>36-45</v>
      </c>
      <c r="AF693">
        <f>IF(HR_Data[[#This Row],[Age]]&lt;=25,1,IF(HR_Data[[#This Row],[Age]]&lt;=35,2,IF(HR_Data[[#This Row],[Age]]&lt;=45,3,IF(HR_Data[[#This Row],[Age]]&lt;=55,4,5))))</f>
        <v>3</v>
      </c>
      <c r="AG693" s="1" t="str">
        <f>IF(HR_Data[[#This Row],[MonthlyIncome]]&lt;3000,"&lt;3K",IF(HR_Data[[#This Row],[MonthlyIncome]]&lt;6000,"3K-6K",IF(HR_Data[[#This Row],[MonthlyIncome]]&lt;10000,"6K-10K","10K+")))</f>
        <v>3K-6K</v>
      </c>
      <c r="AH693" s="1">
        <f>IF(HR_Data[[#This Row],[MonthlyIncome]]&lt;3000,1,IF(HR_Data[[#This Row],[MonthlyIncome]]&lt;6000,2,IF(HR_Data[[#This Row],[MonthlyIncome]]&lt;10000,3,4)))</f>
        <v>2</v>
      </c>
      <c r="AI693" s="1" t="str">
        <f>IF(HR_Data[[#This Row],[YearsAtCompany]]&lt;=2,"0-2 Yrs",IF(HR_Data[[#This Row],[YearsAtCompany]]&lt;=5,"3-5 Yrs",IF(HR_Data[[#This Row],[YearsAtCompany]]&lt;=10,"6-10 Yrs","10+ Yrs")))</f>
        <v>0-2 Yrs</v>
      </c>
      <c r="AJ693" s="1">
        <f>IF(HR_Data[[#This Row],[YearsAtCompany]]&lt;=2,1,IF(HR_Data[[#This Row],[YearsAtCompany]]&lt;=5,2,IF(HR_Data[[#This Row],[YearsAtCompany]]&lt;=10,3,4)))</f>
        <v>1</v>
      </c>
      <c r="AK693" s="1" t="str">
        <f>CHOOSE(HR_Data[[#This Row],[Education]],"Below College","College","Bachelor","Master","Doctor")</f>
        <v>Master</v>
      </c>
      <c r="AL693" s="1" t="str">
        <f>CHOOSE(HR_Data[[#This Row],[JobSatisfaction]],"Low","Medium","High","Very High")</f>
        <v>Medium</v>
      </c>
      <c r="AM693" s="1" t="str">
        <f>CHOOSE(HR_Data[[#This Row],[EnvironmentSatisfaction]],"Low","Medium","High","Very High")</f>
        <v>Very High</v>
      </c>
      <c r="AN693" s="1" t="str">
        <f>CHOOSE(HR_Data[[#This Row],[WorkLifeBalance]],"Bad","Good","Better","Best")</f>
        <v>Better</v>
      </c>
      <c r="AO693" s="1" t="str">
        <f>IF(HR_Data[[#This Row],[PercentSalaryHike]]&lt;=13,"11-13%",IF(HR_Data[[#This Row],[PercentSalaryHike]]&lt;=16,"14-16%",IF(HR_Data[[#This Row],[PercentSalaryHike]]&lt;=19,"17-19%","20-25%")))</f>
        <v>14-16%</v>
      </c>
      <c r="AP693" s="1">
        <f>IF(HR_Data[[#This Row],[PercentSalaryHike]]&lt;=13,1,IF(HR_Data[[#This Row],[PercentSalaryHike]]&lt;=16,2,IF(HR_Data[[#This Row],[PercentSalaryHike]]&lt;=19,3,4)))</f>
        <v>2</v>
      </c>
      <c r="AQ693" s="1" t="str">
        <f>IF(HR_Data[[#This Row],[DistanceFromHome]]&lt;=5,"1 to 5",IF(HR_Data[[#This Row],[DistanceFromHome]]&lt;=10,"6 to 10",IF(HR_Data[[#This Row],[DistanceFromHome]]&lt;=20,"11 to 20","21 to 29")))</f>
        <v>6 to 10</v>
      </c>
      <c r="AR693" s="1">
        <f>IF(HR_Data[[#This Row],[DistanceFromHome]]&lt;=5,1,IF(HR_Data[[#This Row],[DistanceFromHome]]&lt;=10,2,IF(HR_Data[[#This Row],[DistanceFromHome]]&lt;=20,3,4)))</f>
        <v>2</v>
      </c>
      <c r="AS693" s="1" t="str">
        <f>IF(HR_Data[[#This Row],[TotalWorkingYears]]&lt;=5,"0-5 Yrs",IF(HR_Data[[#This Row],[TotalWorkingYears]]&lt;=10,"6-10 Yrs",IF(HR_Data[[#This Row],[TotalWorkingYears]]&lt;=20,"11-20 Yrs","20+ Yrs")))</f>
        <v>0-5 Yrs</v>
      </c>
      <c r="AT693" s="1">
        <f>IF(HR_Data[[#This Row],[TotalWorkingYears]]&lt;=5,1,IF(HR_Data[[#This Row],[TotalWorkingYears]]&lt;=10,2,IF(HR_Data[[#This Row],[TotalWorkingYears]]&lt;=20,3,4)))</f>
        <v>1</v>
      </c>
    </row>
    <row r="694" spans="1:46" x14ac:dyDescent="0.25">
      <c r="A694">
        <v>32</v>
      </c>
      <c r="B694" t="s">
        <v>36</v>
      </c>
      <c r="C694" t="s">
        <v>30</v>
      </c>
      <c r="D694" t="s">
        <v>38</v>
      </c>
      <c r="E694">
        <v>3</v>
      </c>
      <c r="F694">
        <v>4</v>
      </c>
      <c r="G694" t="s">
        <v>44</v>
      </c>
      <c r="H694">
        <v>966</v>
      </c>
      <c r="I694">
        <v>3</v>
      </c>
      <c r="J694" t="s">
        <v>33</v>
      </c>
      <c r="K694">
        <v>3</v>
      </c>
      <c r="L694">
        <v>2</v>
      </c>
      <c r="M694" t="s">
        <v>46</v>
      </c>
      <c r="N694">
        <v>1</v>
      </c>
      <c r="O694" t="s">
        <v>41</v>
      </c>
      <c r="P694">
        <v>6725</v>
      </c>
      <c r="Q694">
        <v>1</v>
      </c>
      <c r="R694" t="s">
        <v>36</v>
      </c>
      <c r="S694">
        <v>12</v>
      </c>
      <c r="T694">
        <v>3</v>
      </c>
      <c r="U694">
        <v>3</v>
      </c>
      <c r="V694">
        <v>1</v>
      </c>
      <c r="W694">
        <v>8</v>
      </c>
      <c r="X694">
        <v>2</v>
      </c>
      <c r="Y694">
        <v>4</v>
      </c>
      <c r="Z694">
        <v>8</v>
      </c>
      <c r="AA694">
        <v>7</v>
      </c>
      <c r="AB694">
        <v>6</v>
      </c>
      <c r="AC694">
        <v>3</v>
      </c>
      <c r="AD694">
        <f>IF(HR_Data[[#This Row],[Attrition]]="Yes",1,0)</f>
        <v>0</v>
      </c>
      <c r="AE694" t="str">
        <f>IF(HR_Data[[#This Row],[Age]]&lt;=25,"18-25",IF(HR_Data[[#This Row],[Age]]&lt;=35,"26-35",IF(HR_Data[[#This Row],[Age]]&lt;=45,"36-45",IF(HR_Data[[#This Row],[Age]]&lt;=55,"46-55","55+"))))</f>
        <v>26-35</v>
      </c>
      <c r="AF694">
        <f>IF(HR_Data[[#This Row],[Age]]&lt;=25,1,IF(HR_Data[[#This Row],[Age]]&lt;=35,2,IF(HR_Data[[#This Row],[Age]]&lt;=45,3,IF(HR_Data[[#This Row],[Age]]&lt;=55,4,5))))</f>
        <v>2</v>
      </c>
      <c r="AG694" s="1" t="str">
        <f>IF(HR_Data[[#This Row],[MonthlyIncome]]&lt;3000,"&lt;3K",IF(HR_Data[[#This Row],[MonthlyIncome]]&lt;6000,"3K-6K",IF(HR_Data[[#This Row],[MonthlyIncome]]&lt;10000,"6K-10K","10K+")))</f>
        <v>6K-10K</v>
      </c>
      <c r="AH694" s="1">
        <f>IF(HR_Data[[#This Row],[MonthlyIncome]]&lt;3000,1,IF(HR_Data[[#This Row],[MonthlyIncome]]&lt;6000,2,IF(HR_Data[[#This Row],[MonthlyIncome]]&lt;10000,3,4)))</f>
        <v>3</v>
      </c>
      <c r="AI694" s="1" t="str">
        <f>IF(HR_Data[[#This Row],[YearsAtCompany]]&lt;=2,"0-2 Yrs",IF(HR_Data[[#This Row],[YearsAtCompany]]&lt;=5,"3-5 Yrs",IF(HR_Data[[#This Row],[YearsAtCompany]]&lt;=10,"6-10 Yrs","10+ Yrs")))</f>
        <v>6-10 Yrs</v>
      </c>
      <c r="AJ694" s="1">
        <f>IF(HR_Data[[#This Row],[YearsAtCompany]]&lt;=2,1,IF(HR_Data[[#This Row],[YearsAtCompany]]&lt;=5,2,IF(HR_Data[[#This Row],[YearsAtCompany]]&lt;=10,3,4)))</f>
        <v>3</v>
      </c>
      <c r="AK694" s="1" t="str">
        <f>CHOOSE(HR_Data[[#This Row],[Education]],"Below College","College","Bachelor","Master","Doctor")</f>
        <v>Master</v>
      </c>
      <c r="AL694" s="1" t="str">
        <f>CHOOSE(HR_Data[[#This Row],[JobSatisfaction]],"Low","Medium","High","Very High")</f>
        <v>Low</v>
      </c>
      <c r="AM694" s="1" t="str">
        <f>CHOOSE(HR_Data[[#This Row],[EnvironmentSatisfaction]],"Low","Medium","High","Very High")</f>
        <v>High</v>
      </c>
      <c r="AN694" s="1" t="str">
        <f>CHOOSE(HR_Data[[#This Row],[WorkLifeBalance]],"Bad","Good","Better","Best")</f>
        <v>Best</v>
      </c>
      <c r="AO694" s="1" t="str">
        <f>IF(HR_Data[[#This Row],[PercentSalaryHike]]&lt;=13,"11-13%",IF(HR_Data[[#This Row],[PercentSalaryHike]]&lt;=16,"14-16%",IF(HR_Data[[#This Row],[PercentSalaryHike]]&lt;=19,"17-19%","20-25%")))</f>
        <v>11-13%</v>
      </c>
      <c r="AP694" s="1">
        <f>IF(HR_Data[[#This Row],[PercentSalaryHike]]&lt;=13,1,IF(HR_Data[[#This Row],[PercentSalaryHike]]&lt;=16,2,IF(HR_Data[[#This Row],[PercentSalaryHike]]&lt;=19,3,4)))</f>
        <v>1</v>
      </c>
      <c r="AQ694" s="1" t="str">
        <f>IF(HR_Data[[#This Row],[DistanceFromHome]]&lt;=5,"1 to 5",IF(HR_Data[[#This Row],[DistanceFromHome]]&lt;=10,"6 to 10",IF(HR_Data[[#This Row],[DistanceFromHome]]&lt;=20,"11 to 20","21 to 29")))</f>
        <v>1 to 5</v>
      </c>
      <c r="AR694" s="1">
        <f>IF(HR_Data[[#This Row],[DistanceFromHome]]&lt;=5,1,IF(HR_Data[[#This Row],[DistanceFromHome]]&lt;=10,2,IF(HR_Data[[#This Row],[DistanceFromHome]]&lt;=20,3,4)))</f>
        <v>1</v>
      </c>
      <c r="AS694" s="1" t="str">
        <f>IF(HR_Data[[#This Row],[TotalWorkingYears]]&lt;=5,"0-5 Yrs",IF(HR_Data[[#This Row],[TotalWorkingYears]]&lt;=10,"6-10 Yrs",IF(HR_Data[[#This Row],[TotalWorkingYears]]&lt;=20,"11-20 Yrs","20+ Yrs")))</f>
        <v>6-10 Yrs</v>
      </c>
      <c r="AT694" s="1">
        <f>IF(HR_Data[[#This Row],[TotalWorkingYears]]&lt;=5,1,IF(HR_Data[[#This Row],[TotalWorkingYears]]&lt;=10,2,IF(HR_Data[[#This Row],[TotalWorkingYears]]&lt;=20,3,4)))</f>
        <v>2</v>
      </c>
    </row>
    <row r="695" spans="1:46" x14ac:dyDescent="0.25">
      <c r="A695">
        <v>36</v>
      </c>
      <c r="B695" t="s">
        <v>29</v>
      </c>
      <c r="C695" t="s">
        <v>30</v>
      </c>
      <c r="D695" t="s">
        <v>31</v>
      </c>
      <c r="E695">
        <v>3</v>
      </c>
      <c r="F695">
        <v>1</v>
      </c>
      <c r="G695" t="s">
        <v>32</v>
      </c>
      <c r="H695">
        <v>967</v>
      </c>
      <c r="I695">
        <v>3</v>
      </c>
      <c r="J695" t="s">
        <v>39</v>
      </c>
      <c r="K695">
        <v>2</v>
      </c>
      <c r="L695">
        <v>3</v>
      </c>
      <c r="M695" t="s">
        <v>34</v>
      </c>
      <c r="N695">
        <v>4</v>
      </c>
      <c r="O695" t="s">
        <v>41</v>
      </c>
      <c r="P695">
        <v>10325</v>
      </c>
      <c r="Q695">
        <v>1</v>
      </c>
      <c r="R695" t="s">
        <v>29</v>
      </c>
      <c r="S695">
        <v>11</v>
      </c>
      <c r="T695">
        <v>3</v>
      </c>
      <c r="U695">
        <v>1</v>
      </c>
      <c r="V695">
        <v>1</v>
      </c>
      <c r="W695">
        <v>16</v>
      </c>
      <c r="X695">
        <v>6</v>
      </c>
      <c r="Y695">
        <v>3</v>
      </c>
      <c r="Z695">
        <v>16</v>
      </c>
      <c r="AA695">
        <v>7</v>
      </c>
      <c r="AB695">
        <v>3</v>
      </c>
      <c r="AC695">
        <v>7</v>
      </c>
      <c r="AD695">
        <f>IF(HR_Data[[#This Row],[Attrition]]="Yes",1,0)</f>
        <v>1</v>
      </c>
      <c r="AE695" t="str">
        <f>IF(HR_Data[[#This Row],[Age]]&lt;=25,"18-25",IF(HR_Data[[#This Row],[Age]]&lt;=35,"26-35",IF(HR_Data[[#This Row],[Age]]&lt;=45,"36-45",IF(HR_Data[[#This Row],[Age]]&lt;=55,"46-55","55+"))))</f>
        <v>36-45</v>
      </c>
      <c r="AF695">
        <f>IF(HR_Data[[#This Row],[Age]]&lt;=25,1,IF(HR_Data[[#This Row],[Age]]&lt;=35,2,IF(HR_Data[[#This Row],[Age]]&lt;=45,3,IF(HR_Data[[#This Row],[Age]]&lt;=55,4,5))))</f>
        <v>3</v>
      </c>
      <c r="AG695" s="1" t="str">
        <f>IF(HR_Data[[#This Row],[MonthlyIncome]]&lt;3000,"&lt;3K",IF(HR_Data[[#This Row],[MonthlyIncome]]&lt;6000,"3K-6K",IF(HR_Data[[#This Row],[MonthlyIncome]]&lt;10000,"6K-10K","10K+")))</f>
        <v>10K+</v>
      </c>
      <c r="AH695" s="1">
        <f>IF(HR_Data[[#This Row],[MonthlyIncome]]&lt;3000,1,IF(HR_Data[[#This Row],[MonthlyIncome]]&lt;6000,2,IF(HR_Data[[#This Row],[MonthlyIncome]]&lt;10000,3,4)))</f>
        <v>4</v>
      </c>
      <c r="AI695" s="1" t="str">
        <f>IF(HR_Data[[#This Row],[YearsAtCompany]]&lt;=2,"0-2 Yrs",IF(HR_Data[[#This Row],[YearsAtCompany]]&lt;=5,"3-5 Yrs",IF(HR_Data[[#This Row],[YearsAtCompany]]&lt;=10,"6-10 Yrs","10+ Yrs")))</f>
        <v>10+ Yrs</v>
      </c>
      <c r="AJ695" s="1">
        <f>IF(HR_Data[[#This Row],[YearsAtCompany]]&lt;=2,1,IF(HR_Data[[#This Row],[YearsAtCompany]]&lt;=5,2,IF(HR_Data[[#This Row],[YearsAtCompany]]&lt;=10,3,4)))</f>
        <v>4</v>
      </c>
      <c r="AK695" s="1" t="str">
        <f>CHOOSE(HR_Data[[#This Row],[Education]],"Below College","College","Bachelor","Master","Doctor")</f>
        <v>Below College</v>
      </c>
      <c r="AL695" s="1" t="str">
        <f>CHOOSE(HR_Data[[#This Row],[JobSatisfaction]],"Low","Medium","High","Very High")</f>
        <v>Very High</v>
      </c>
      <c r="AM695" s="1" t="str">
        <f>CHOOSE(HR_Data[[#This Row],[EnvironmentSatisfaction]],"Low","Medium","High","Very High")</f>
        <v>High</v>
      </c>
      <c r="AN695" s="1" t="str">
        <f>CHOOSE(HR_Data[[#This Row],[WorkLifeBalance]],"Bad","Good","Better","Best")</f>
        <v>Better</v>
      </c>
      <c r="AO695" s="1" t="str">
        <f>IF(HR_Data[[#This Row],[PercentSalaryHike]]&lt;=13,"11-13%",IF(HR_Data[[#This Row],[PercentSalaryHike]]&lt;=16,"14-16%",IF(HR_Data[[#This Row],[PercentSalaryHike]]&lt;=19,"17-19%","20-25%")))</f>
        <v>11-13%</v>
      </c>
      <c r="AP695" s="1">
        <f>IF(HR_Data[[#This Row],[PercentSalaryHike]]&lt;=13,1,IF(HR_Data[[#This Row],[PercentSalaryHike]]&lt;=16,2,IF(HR_Data[[#This Row],[PercentSalaryHike]]&lt;=19,3,4)))</f>
        <v>1</v>
      </c>
      <c r="AQ695" s="1" t="str">
        <f>IF(HR_Data[[#This Row],[DistanceFromHome]]&lt;=5,"1 to 5",IF(HR_Data[[#This Row],[DistanceFromHome]]&lt;=10,"6 to 10",IF(HR_Data[[#This Row],[DistanceFromHome]]&lt;=20,"11 to 20","21 to 29")))</f>
        <v>1 to 5</v>
      </c>
      <c r="AR695" s="1">
        <f>IF(HR_Data[[#This Row],[DistanceFromHome]]&lt;=5,1,IF(HR_Data[[#This Row],[DistanceFromHome]]&lt;=10,2,IF(HR_Data[[#This Row],[DistanceFromHome]]&lt;=20,3,4)))</f>
        <v>1</v>
      </c>
      <c r="AS695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695" s="1">
        <f>IF(HR_Data[[#This Row],[TotalWorkingYears]]&lt;=5,1,IF(HR_Data[[#This Row],[TotalWorkingYears]]&lt;=10,2,IF(HR_Data[[#This Row],[TotalWorkingYears]]&lt;=20,3,4)))</f>
        <v>3</v>
      </c>
    </row>
    <row r="696" spans="1:46" x14ac:dyDescent="0.25">
      <c r="A696">
        <v>33</v>
      </c>
      <c r="B696" t="s">
        <v>36</v>
      </c>
      <c r="C696" t="s">
        <v>30</v>
      </c>
      <c r="D696" t="s">
        <v>38</v>
      </c>
      <c r="E696">
        <v>1</v>
      </c>
      <c r="F696">
        <v>3</v>
      </c>
      <c r="G696" t="s">
        <v>32</v>
      </c>
      <c r="H696">
        <v>969</v>
      </c>
      <c r="I696">
        <v>2</v>
      </c>
      <c r="J696" t="s">
        <v>33</v>
      </c>
      <c r="K696">
        <v>2</v>
      </c>
      <c r="L696">
        <v>2</v>
      </c>
      <c r="M696" t="s">
        <v>47</v>
      </c>
      <c r="N696">
        <v>4</v>
      </c>
      <c r="O696" t="s">
        <v>35</v>
      </c>
      <c r="P696">
        <v>6949</v>
      </c>
      <c r="Q696">
        <v>0</v>
      </c>
      <c r="R696" t="s">
        <v>36</v>
      </c>
      <c r="S696">
        <v>14</v>
      </c>
      <c r="T696">
        <v>3</v>
      </c>
      <c r="U696">
        <v>1</v>
      </c>
      <c r="V696">
        <v>0</v>
      </c>
      <c r="W696">
        <v>6</v>
      </c>
      <c r="X696">
        <v>3</v>
      </c>
      <c r="Y696">
        <v>3</v>
      </c>
      <c r="Z696">
        <v>5</v>
      </c>
      <c r="AA696">
        <v>0</v>
      </c>
      <c r="AB696">
        <v>1</v>
      </c>
      <c r="AC696">
        <v>4</v>
      </c>
      <c r="AD696">
        <f>IF(HR_Data[[#This Row],[Attrition]]="Yes",1,0)</f>
        <v>0</v>
      </c>
      <c r="AE696" t="str">
        <f>IF(HR_Data[[#This Row],[Age]]&lt;=25,"18-25",IF(HR_Data[[#This Row],[Age]]&lt;=35,"26-35",IF(HR_Data[[#This Row],[Age]]&lt;=45,"36-45",IF(HR_Data[[#This Row],[Age]]&lt;=55,"46-55","55+"))))</f>
        <v>26-35</v>
      </c>
      <c r="AF696">
        <f>IF(HR_Data[[#This Row],[Age]]&lt;=25,1,IF(HR_Data[[#This Row],[Age]]&lt;=35,2,IF(HR_Data[[#This Row],[Age]]&lt;=45,3,IF(HR_Data[[#This Row],[Age]]&lt;=55,4,5))))</f>
        <v>2</v>
      </c>
      <c r="AG696" s="1" t="str">
        <f>IF(HR_Data[[#This Row],[MonthlyIncome]]&lt;3000,"&lt;3K",IF(HR_Data[[#This Row],[MonthlyIncome]]&lt;6000,"3K-6K",IF(HR_Data[[#This Row],[MonthlyIncome]]&lt;10000,"6K-10K","10K+")))</f>
        <v>6K-10K</v>
      </c>
      <c r="AH696" s="1">
        <f>IF(HR_Data[[#This Row],[MonthlyIncome]]&lt;3000,1,IF(HR_Data[[#This Row],[MonthlyIncome]]&lt;6000,2,IF(HR_Data[[#This Row],[MonthlyIncome]]&lt;10000,3,4)))</f>
        <v>3</v>
      </c>
      <c r="AI696" s="1" t="str">
        <f>IF(HR_Data[[#This Row],[YearsAtCompany]]&lt;=2,"0-2 Yrs",IF(HR_Data[[#This Row],[YearsAtCompany]]&lt;=5,"3-5 Yrs",IF(HR_Data[[#This Row],[YearsAtCompany]]&lt;=10,"6-10 Yrs","10+ Yrs")))</f>
        <v>3-5 Yrs</v>
      </c>
      <c r="AJ696" s="1">
        <f>IF(HR_Data[[#This Row],[YearsAtCompany]]&lt;=2,1,IF(HR_Data[[#This Row],[YearsAtCompany]]&lt;=5,2,IF(HR_Data[[#This Row],[YearsAtCompany]]&lt;=10,3,4)))</f>
        <v>2</v>
      </c>
      <c r="AK696" s="1" t="str">
        <f>CHOOSE(HR_Data[[#This Row],[Education]],"Below College","College","Bachelor","Master","Doctor")</f>
        <v>Bachelor</v>
      </c>
      <c r="AL696" s="1" t="str">
        <f>CHOOSE(HR_Data[[#This Row],[JobSatisfaction]],"Low","Medium","High","Very High")</f>
        <v>Very High</v>
      </c>
      <c r="AM696" s="1" t="str">
        <f>CHOOSE(HR_Data[[#This Row],[EnvironmentSatisfaction]],"Low","Medium","High","Very High")</f>
        <v>Medium</v>
      </c>
      <c r="AN696" s="1" t="str">
        <f>CHOOSE(HR_Data[[#This Row],[WorkLifeBalance]],"Bad","Good","Better","Best")</f>
        <v>Better</v>
      </c>
      <c r="AO696" s="1" t="str">
        <f>IF(HR_Data[[#This Row],[PercentSalaryHike]]&lt;=13,"11-13%",IF(HR_Data[[#This Row],[PercentSalaryHike]]&lt;=16,"14-16%",IF(HR_Data[[#This Row],[PercentSalaryHike]]&lt;=19,"17-19%","20-25%")))</f>
        <v>14-16%</v>
      </c>
      <c r="AP696" s="1">
        <f>IF(HR_Data[[#This Row],[PercentSalaryHike]]&lt;=13,1,IF(HR_Data[[#This Row],[PercentSalaryHike]]&lt;=16,2,IF(HR_Data[[#This Row],[PercentSalaryHike]]&lt;=19,3,4)))</f>
        <v>2</v>
      </c>
      <c r="AQ696" s="1" t="str">
        <f>IF(HR_Data[[#This Row],[DistanceFromHome]]&lt;=5,"1 to 5",IF(HR_Data[[#This Row],[DistanceFromHome]]&lt;=10,"6 to 10",IF(HR_Data[[#This Row],[DistanceFromHome]]&lt;=20,"11 to 20","21 to 29")))</f>
        <v>1 to 5</v>
      </c>
      <c r="AR696" s="1">
        <f>IF(HR_Data[[#This Row],[DistanceFromHome]]&lt;=5,1,IF(HR_Data[[#This Row],[DistanceFromHome]]&lt;=10,2,IF(HR_Data[[#This Row],[DistanceFromHome]]&lt;=20,3,4)))</f>
        <v>1</v>
      </c>
      <c r="AS696" s="1" t="str">
        <f>IF(HR_Data[[#This Row],[TotalWorkingYears]]&lt;=5,"0-5 Yrs",IF(HR_Data[[#This Row],[TotalWorkingYears]]&lt;=10,"6-10 Yrs",IF(HR_Data[[#This Row],[TotalWorkingYears]]&lt;=20,"11-20 Yrs","20+ Yrs")))</f>
        <v>6-10 Yrs</v>
      </c>
      <c r="AT696" s="1">
        <f>IF(HR_Data[[#This Row],[TotalWorkingYears]]&lt;=5,1,IF(HR_Data[[#This Row],[TotalWorkingYears]]&lt;=10,2,IF(HR_Data[[#This Row],[TotalWorkingYears]]&lt;=20,3,4)))</f>
        <v>2</v>
      </c>
    </row>
    <row r="697" spans="1:46" x14ac:dyDescent="0.25">
      <c r="A697">
        <v>37</v>
      </c>
      <c r="B697" t="s">
        <v>29</v>
      </c>
      <c r="C697" t="s">
        <v>30</v>
      </c>
      <c r="D697" t="s">
        <v>31</v>
      </c>
      <c r="E697">
        <v>1</v>
      </c>
      <c r="F697">
        <v>4</v>
      </c>
      <c r="G697" t="s">
        <v>32</v>
      </c>
      <c r="H697">
        <v>970</v>
      </c>
      <c r="I697">
        <v>1</v>
      </c>
      <c r="J697" t="s">
        <v>39</v>
      </c>
      <c r="K697">
        <v>2</v>
      </c>
      <c r="L697">
        <v>3</v>
      </c>
      <c r="M697" t="s">
        <v>34</v>
      </c>
      <c r="N697">
        <v>3</v>
      </c>
      <c r="O697" t="s">
        <v>41</v>
      </c>
      <c r="P697">
        <v>10609</v>
      </c>
      <c r="Q697">
        <v>5</v>
      </c>
      <c r="R697" t="s">
        <v>36</v>
      </c>
      <c r="S697">
        <v>11</v>
      </c>
      <c r="T697">
        <v>3</v>
      </c>
      <c r="U697">
        <v>3</v>
      </c>
      <c r="V697">
        <v>0</v>
      </c>
      <c r="W697">
        <v>17</v>
      </c>
      <c r="X697">
        <v>2</v>
      </c>
      <c r="Y697">
        <v>1</v>
      </c>
      <c r="Z697">
        <v>14</v>
      </c>
      <c r="AA697">
        <v>1</v>
      </c>
      <c r="AB697">
        <v>11</v>
      </c>
      <c r="AC697">
        <v>7</v>
      </c>
      <c r="AD697">
        <f>IF(HR_Data[[#This Row],[Attrition]]="Yes",1,0)</f>
        <v>1</v>
      </c>
      <c r="AE697" t="str">
        <f>IF(HR_Data[[#This Row],[Age]]&lt;=25,"18-25",IF(HR_Data[[#This Row],[Age]]&lt;=35,"26-35",IF(HR_Data[[#This Row],[Age]]&lt;=45,"36-45",IF(HR_Data[[#This Row],[Age]]&lt;=55,"46-55","55+"))))</f>
        <v>36-45</v>
      </c>
      <c r="AF697">
        <f>IF(HR_Data[[#This Row],[Age]]&lt;=25,1,IF(HR_Data[[#This Row],[Age]]&lt;=35,2,IF(HR_Data[[#This Row],[Age]]&lt;=45,3,IF(HR_Data[[#This Row],[Age]]&lt;=55,4,5))))</f>
        <v>3</v>
      </c>
      <c r="AG697" s="1" t="str">
        <f>IF(HR_Data[[#This Row],[MonthlyIncome]]&lt;3000,"&lt;3K",IF(HR_Data[[#This Row],[MonthlyIncome]]&lt;6000,"3K-6K",IF(HR_Data[[#This Row],[MonthlyIncome]]&lt;10000,"6K-10K","10K+")))</f>
        <v>10K+</v>
      </c>
      <c r="AH697" s="1">
        <f>IF(HR_Data[[#This Row],[MonthlyIncome]]&lt;3000,1,IF(HR_Data[[#This Row],[MonthlyIncome]]&lt;6000,2,IF(HR_Data[[#This Row],[MonthlyIncome]]&lt;10000,3,4)))</f>
        <v>4</v>
      </c>
      <c r="AI697" s="1" t="str">
        <f>IF(HR_Data[[#This Row],[YearsAtCompany]]&lt;=2,"0-2 Yrs",IF(HR_Data[[#This Row],[YearsAtCompany]]&lt;=5,"3-5 Yrs",IF(HR_Data[[#This Row],[YearsAtCompany]]&lt;=10,"6-10 Yrs","10+ Yrs")))</f>
        <v>10+ Yrs</v>
      </c>
      <c r="AJ697" s="1">
        <f>IF(HR_Data[[#This Row],[YearsAtCompany]]&lt;=2,1,IF(HR_Data[[#This Row],[YearsAtCompany]]&lt;=5,2,IF(HR_Data[[#This Row],[YearsAtCompany]]&lt;=10,3,4)))</f>
        <v>4</v>
      </c>
      <c r="AK697" s="1" t="str">
        <f>CHOOSE(HR_Data[[#This Row],[Education]],"Below College","College","Bachelor","Master","Doctor")</f>
        <v>Master</v>
      </c>
      <c r="AL697" s="1" t="str">
        <f>CHOOSE(HR_Data[[#This Row],[JobSatisfaction]],"Low","Medium","High","Very High")</f>
        <v>High</v>
      </c>
      <c r="AM697" s="1" t="str">
        <f>CHOOSE(HR_Data[[#This Row],[EnvironmentSatisfaction]],"Low","Medium","High","Very High")</f>
        <v>Low</v>
      </c>
      <c r="AN697" s="1" t="str">
        <f>CHOOSE(HR_Data[[#This Row],[WorkLifeBalance]],"Bad","Good","Better","Best")</f>
        <v>Bad</v>
      </c>
      <c r="AO697" s="1" t="str">
        <f>IF(HR_Data[[#This Row],[PercentSalaryHike]]&lt;=13,"11-13%",IF(HR_Data[[#This Row],[PercentSalaryHike]]&lt;=16,"14-16%",IF(HR_Data[[#This Row],[PercentSalaryHike]]&lt;=19,"17-19%","20-25%")))</f>
        <v>11-13%</v>
      </c>
      <c r="AP697" s="1">
        <f>IF(HR_Data[[#This Row],[PercentSalaryHike]]&lt;=13,1,IF(HR_Data[[#This Row],[PercentSalaryHike]]&lt;=16,2,IF(HR_Data[[#This Row],[PercentSalaryHike]]&lt;=19,3,4)))</f>
        <v>1</v>
      </c>
      <c r="AQ697" s="1" t="str">
        <f>IF(HR_Data[[#This Row],[DistanceFromHome]]&lt;=5,"1 to 5",IF(HR_Data[[#This Row],[DistanceFromHome]]&lt;=10,"6 to 10",IF(HR_Data[[#This Row],[DistanceFromHome]]&lt;=20,"11 to 20","21 to 29")))</f>
        <v>1 to 5</v>
      </c>
      <c r="AR697" s="1">
        <f>IF(HR_Data[[#This Row],[DistanceFromHome]]&lt;=5,1,IF(HR_Data[[#This Row],[DistanceFromHome]]&lt;=10,2,IF(HR_Data[[#This Row],[DistanceFromHome]]&lt;=20,3,4)))</f>
        <v>1</v>
      </c>
      <c r="AS697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697" s="1">
        <f>IF(HR_Data[[#This Row],[TotalWorkingYears]]&lt;=5,1,IF(HR_Data[[#This Row],[TotalWorkingYears]]&lt;=10,2,IF(HR_Data[[#This Row],[TotalWorkingYears]]&lt;=20,3,4)))</f>
        <v>3</v>
      </c>
    </row>
    <row r="698" spans="1:46" x14ac:dyDescent="0.25">
      <c r="A698">
        <v>45</v>
      </c>
      <c r="B698" t="s">
        <v>36</v>
      </c>
      <c r="C698" t="s">
        <v>48</v>
      </c>
      <c r="D698" t="s">
        <v>38</v>
      </c>
      <c r="E698">
        <v>4</v>
      </c>
      <c r="F698">
        <v>2</v>
      </c>
      <c r="G698" t="s">
        <v>32</v>
      </c>
      <c r="H698">
        <v>972</v>
      </c>
      <c r="I698">
        <v>3</v>
      </c>
      <c r="J698" t="s">
        <v>39</v>
      </c>
      <c r="K698">
        <v>3</v>
      </c>
      <c r="L698">
        <v>2</v>
      </c>
      <c r="M698" t="s">
        <v>43</v>
      </c>
      <c r="N698">
        <v>2</v>
      </c>
      <c r="O698" t="s">
        <v>41</v>
      </c>
      <c r="P698">
        <v>4447</v>
      </c>
      <c r="Q698">
        <v>1</v>
      </c>
      <c r="R698" t="s">
        <v>36</v>
      </c>
      <c r="S698">
        <v>12</v>
      </c>
      <c r="T698">
        <v>3</v>
      </c>
      <c r="U698">
        <v>2</v>
      </c>
      <c r="V698">
        <v>0</v>
      </c>
      <c r="W698">
        <v>9</v>
      </c>
      <c r="X698">
        <v>5</v>
      </c>
      <c r="Y698">
        <v>2</v>
      </c>
      <c r="Z698">
        <v>9</v>
      </c>
      <c r="AA698">
        <v>7</v>
      </c>
      <c r="AB698">
        <v>0</v>
      </c>
      <c r="AC698">
        <v>8</v>
      </c>
      <c r="AD698">
        <f>IF(HR_Data[[#This Row],[Attrition]]="Yes",1,0)</f>
        <v>0</v>
      </c>
      <c r="AE698" t="str">
        <f>IF(HR_Data[[#This Row],[Age]]&lt;=25,"18-25",IF(HR_Data[[#This Row],[Age]]&lt;=35,"26-35",IF(HR_Data[[#This Row],[Age]]&lt;=45,"36-45",IF(HR_Data[[#This Row],[Age]]&lt;=55,"46-55","55+"))))</f>
        <v>36-45</v>
      </c>
      <c r="AF698">
        <f>IF(HR_Data[[#This Row],[Age]]&lt;=25,1,IF(HR_Data[[#This Row],[Age]]&lt;=35,2,IF(HR_Data[[#This Row],[Age]]&lt;=45,3,IF(HR_Data[[#This Row],[Age]]&lt;=55,4,5))))</f>
        <v>3</v>
      </c>
      <c r="AG698" s="1" t="str">
        <f>IF(HR_Data[[#This Row],[MonthlyIncome]]&lt;3000,"&lt;3K",IF(HR_Data[[#This Row],[MonthlyIncome]]&lt;6000,"3K-6K",IF(HR_Data[[#This Row],[MonthlyIncome]]&lt;10000,"6K-10K","10K+")))</f>
        <v>3K-6K</v>
      </c>
      <c r="AH698" s="1">
        <f>IF(HR_Data[[#This Row],[MonthlyIncome]]&lt;3000,1,IF(HR_Data[[#This Row],[MonthlyIncome]]&lt;6000,2,IF(HR_Data[[#This Row],[MonthlyIncome]]&lt;10000,3,4)))</f>
        <v>2</v>
      </c>
      <c r="AI698" s="1" t="str">
        <f>IF(HR_Data[[#This Row],[YearsAtCompany]]&lt;=2,"0-2 Yrs",IF(HR_Data[[#This Row],[YearsAtCompany]]&lt;=5,"3-5 Yrs",IF(HR_Data[[#This Row],[YearsAtCompany]]&lt;=10,"6-10 Yrs","10+ Yrs")))</f>
        <v>6-10 Yrs</v>
      </c>
      <c r="AJ698" s="1">
        <f>IF(HR_Data[[#This Row],[YearsAtCompany]]&lt;=2,1,IF(HR_Data[[#This Row],[YearsAtCompany]]&lt;=5,2,IF(HR_Data[[#This Row],[YearsAtCompany]]&lt;=10,3,4)))</f>
        <v>3</v>
      </c>
      <c r="AK698" s="1" t="str">
        <f>CHOOSE(HR_Data[[#This Row],[Education]],"Below College","College","Bachelor","Master","Doctor")</f>
        <v>College</v>
      </c>
      <c r="AL698" s="1" t="str">
        <f>CHOOSE(HR_Data[[#This Row],[JobSatisfaction]],"Low","Medium","High","Very High")</f>
        <v>Medium</v>
      </c>
      <c r="AM698" s="1" t="str">
        <f>CHOOSE(HR_Data[[#This Row],[EnvironmentSatisfaction]],"Low","Medium","High","Very High")</f>
        <v>High</v>
      </c>
      <c r="AN698" s="1" t="str">
        <f>CHOOSE(HR_Data[[#This Row],[WorkLifeBalance]],"Bad","Good","Better","Best")</f>
        <v>Good</v>
      </c>
      <c r="AO698" s="1" t="str">
        <f>IF(HR_Data[[#This Row],[PercentSalaryHike]]&lt;=13,"11-13%",IF(HR_Data[[#This Row],[PercentSalaryHike]]&lt;=16,"14-16%",IF(HR_Data[[#This Row],[PercentSalaryHike]]&lt;=19,"17-19%","20-25%")))</f>
        <v>11-13%</v>
      </c>
      <c r="AP698" s="1">
        <f>IF(HR_Data[[#This Row],[PercentSalaryHike]]&lt;=13,1,IF(HR_Data[[#This Row],[PercentSalaryHike]]&lt;=16,2,IF(HR_Data[[#This Row],[PercentSalaryHike]]&lt;=19,3,4)))</f>
        <v>1</v>
      </c>
      <c r="AQ698" s="1" t="str">
        <f>IF(HR_Data[[#This Row],[DistanceFromHome]]&lt;=5,"1 to 5",IF(HR_Data[[#This Row],[DistanceFromHome]]&lt;=10,"6 to 10",IF(HR_Data[[#This Row],[DistanceFromHome]]&lt;=20,"11 to 20","21 to 29")))</f>
        <v>1 to 5</v>
      </c>
      <c r="AR698" s="1">
        <f>IF(HR_Data[[#This Row],[DistanceFromHome]]&lt;=5,1,IF(HR_Data[[#This Row],[DistanceFromHome]]&lt;=10,2,IF(HR_Data[[#This Row],[DistanceFromHome]]&lt;=20,3,4)))</f>
        <v>1</v>
      </c>
      <c r="AS698" s="1" t="str">
        <f>IF(HR_Data[[#This Row],[TotalWorkingYears]]&lt;=5,"0-5 Yrs",IF(HR_Data[[#This Row],[TotalWorkingYears]]&lt;=10,"6-10 Yrs",IF(HR_Data[[#This Row],[TotalWorkingYears]]&lt;=20,"11-20 Yrs","20+ Yrs")))</f>
        <v>6-10 Yrs</v>
      </c>
      <c r="AT698" s="1">
        <f>IF(HR_Data[[#This Row],[TotalWorkingYears]]&lt;=5,1,IF(HR_Data[[#This Row],[TotalWorkingYears]]&lt;=10,2,IF(HR_Data[[#This Row],[TotalWorkingYears]]&lt;=20,3,4)))</f>
        <v>2</v>
      </c>
    </row>
    <row r="699" spans="1:46" x14ac:dyDescent="0.25">
      <c r="A699">
        <v>29</v>
      </c>
      <c r="B699" t="s">
        <v>36</v>
      </c>
      <c r="C699" t="s">
        <v>37</v>
      </c>
      <c r="D699" t="s">
        <v>31</v>
      </c>
      <c r="E699">
        <v>20</v>
      </c>
      <c r="F699">
        <v>3</v>
      </c>
      <c r="G699" t="s">
        <v>53</v>
      </c>
      <c r="H699">
        <v>974</v>
      </c>
      <c r="I699">
        <v>3</v>
      </c>
      <c r="J699" t="s">
        <v>33</v>
      </c>
      <c r="K699">
        <v>3</v>
      </c>
      <c r="L699">
        <v>1</v>
      </c>
      <c r="M699" t="s">
        <v>50</v>
      </c>
      <c r="N699">
        <v>4</v>
      </c>
      <c r="O699" t="s">
        <v>41</v>
      </c>
      <c r="P699">
        <v>2157</v>
      </c>
      <c r="Q699">
        <v>1</v>
      </c>
      <c r="R699" t="s">
        <v>36</v>
      </c>
      <c r="S699">
        <v>15</v>
      </c>
      <c r="T699">
        <v>3</v>
      </c>
      <c r="U699">
        <v>2</v>
      </c>
      <c r="V699">
        <v>1</v>
      </c>
      <c r="W699">
        <v>3</v>
      </c>
      <c r="X699">
        <v>5</v>
      </c>
      <c r="Y699">
        <v>3</v>
      </c>
      <c r="Z699">
        <v>3</v>
      </c>
      <c r="AA699">
        <v>1</v>
      </c>
      <c r="AB699">
        <v>0</v>
      </c>
      <c r="AC699">
        <v>2</v>
      </c>
      <c r="AD699">
        <f>IF(HR_Data[[#This Row],[Attrition]]="Yes",1,0)</f>
        <v>0</v>
      </c>
      <c r="AE699" t="str">
        <f>IF(HR_Data[[#This Row],[Age]]&lt;=25,"18-25",IF(HR_Data[[#This Row],[Age]]&lt;=35,"26-35",IF(HR_Data[[#This Row],[Age]]&lt;=45,"36-45",IF(HR_Data[[#This Row],[Age]]&lt;=55,"46-55","55+"))))</f>
        <v>26-35</v>
      </c>
      <c r="AF699">
        <f>IF(HR_Data[[#This Row],[Age]]&lt;=25,1,IF(HR_Data[[#This Row],[Age]]&lt;=35,2,IF(HR_Data[[#This Row],[Age]]&lt;=45,3,IF(HR_Data[[#This Row],[Age]]&lt;=55,4,5))))</f>
        <v>2</v>
      </c>
      <c r="AG699" s="1" t="str">
        <f>IF(HR_Data[[#This Row],[MonthlyIncome]]&lt;3000,"&lt;3K",IF(HR_Data[[#This Row],[MonthlyIncome]]&lt;6000,"3K-6K",IF(HR_Data[[#This Row],[MonthlyIncome]]&lt;10000,"6K-10K","10K+")))</f>
        <v>&lt;3K</v>
      </c>
      <c r="AH699" s="1">
        <f>IF(HR_Data[[#This Row],[MonthlyIncome]]&lt;3000,1,IF(HR_Data[[#This Row],[MonthlyIncome]]&lt;6000,2,IF(HR_Data[[#This Row],[MonthlyIncome]]&lt;10000,3,4)))</f>
        <v>1</v>
      </c>
      <c r="AI699" s="1" t="str">
        <f>IF(HR_Data[[#This Row],[YearsAtCompany]]&lt;=2,"0-2 Yrs",IF(HR_Data[[#This Row],[YearsAtCompany]]&lt;=5,"3-5 Yrs",IF(HR_Data[[#This Row],[YearsAtCompany]]&lt;=10,"6-10 Yrs","10+ Yrs")))</f>
        <v>3-5 Yrs</v>
      </c>
      <c r="AJ699" s="1">
        <f>IF(HR_Data[[#This Row],[YearsAtCompany]]&lt;=2,1,IF(HR_Data[[#This Row],[YearsAtCompany]]&lt;=5,2,IF(HR_Data[[#This Row],[YearsAtCompany]]&lt;=10,3,4)))</f>
        <v>2</v>
      </c>
      <c r="AK699" s="1" t="str">
        <f>CHOOSE(HR_Data[[#This Row],[Education]],"Below College","College","Bachelor","Master","Doctor")</f>
        <v>Bachelor</v>
      </c>
      <c r="AL699" s="1" t="str">
        <f>CHOOSE(HR_Data[[#This Row],[JobSatisfaction]],"Low","Medium","High","Very High")</f>
        <v>Very High</v>
      </c>
      <c r="AM699" s="1" t="str">
        <f>CHOOSE(HR_Data[[#This Row],[EnvironmentSatisfaction]],"Low","Medium","High","Very High")</f>
        <v>High</v>
      </c>
      <c r="AN699" s="1" t="str">
        <f>CHOOSE(HR_Data[[#This Row],[WorkLifeBalance]],"Bad","Good","Better","Best")</f>
        <v>Better</v>
      </c>
      <c r="AO699" s="1" t="str">
        <f>IF(HR_Data[[#This Row],[PercentSalaryHike]]&lt;=13,"11-13%",IF(HR_Data[[#This Row],[PercentSalaryHike]]&lt;=16,"14-16%",IF(HR_Data[[#This Row],[PercentSalaryHike]]&lt;=19,"17-19%","20-25%")))</f>
        <v>14-16%</v>
      </c>
      <c r="AP699" s="1">
        <f>IF(HR_Data[[#This Row],[PercentSalaryHike]]&lt;=13,1,IF(HR_Data[[#This Row],[PercentSalaryHike]]&lt;=16,2,IF(HR_Data[[#This Row],[PercentSalaryHike]]&lt;=19,3,4)))</f>
        <v>2</v>
      </c>
      <c r="AQ699" s="1" t="str">
        <f>IF(HR_Data[[#This Row],[DistanceFromHome]]&lt;=5,"1 to 5",IF(HR_Data[[#This Row],[DistanceFromHome]]&lt;=10,"6 to 10",IF(HR_Data[[#This Row],[DistanceFromHome]]&lt;=20,"11 to 20","21 to 29")))</f>
        <v>11 to 20</v>
      </c>
      <c r="AR699" s="1">
        <f>IF(HR_Data[[#This Row],[DistanceFromHome]]&lt;=5,1,IF(HR_Data[[#This Row],[DistanceFromHome]]&lt;=10,2,IF(HR_Data[[#This Row],[DistanceFromHome]]&lt;=20,3,4)))</f>
        <v>3</v>
      </c>
      <c r="AS699" s="1" t="str">
        <f>IF(HR_Data[[#This Row],[TotalWorkingYears]]&lt;=5,"0-5 Yrs",IF(HR_Data[[#This Row],[TotalWorkingYears]]&lt;=10,"6-10 Yrs",IF(HR_Data[[#This Row],[TotalWorkingYears]]&lt;=20,"11-20 Yrs","20+ Yrs")))</f>
        <v>0-5 Yrs</v>
      </c>
      <c r="AT699" s="1">
        <f>IF(HR_Data[[#This Row],[TotalWorkingYears]]&lt;=5,1,IF(HR_Data[[#This Row],[TotalWorkingYears]]&lt;=10,2,IF(HR_Data[[#This Row],[TotalWorkingYears]]&lt;=20,3,4)))</f>
        <v>1</v>
      </c>
    </row>
    <row r="700" spans="1:46" x14ac:dyDescent="0.25">
      <c r="A700">
        <v>35</v>
      </c>
      <c r="B700" t="s">
        <v>36</v>
      </c>
      <c r="C700" t="s">
        <v>30</v>
      </c>
      <c r="D700" t="s">
        <v>31</v>
      </c>
      <c r="E700">
        <v>18</v>
      </c>
      <c r="F700">
        <v>3</v>
      </c>
      <c r="G700" t="s">
        <v>44</v>
      </c>
      <c r="H700">
        <v>975</v>
      </c>
      <c r="I700">
        <v>3</v>
      </c>
      <c r="J700" t="s">
        <v>33</v>
      </c>
      <c r="K700">
        <v>3</v>
      </c>
      <c r="L700">
        <v>2</v>
      </c>
      <c r="M700" t="s">
        <v>34</v>
      </c>
      <c r="N700">
        <v>3</v>
      </c>
      <c r="O700" t="s">
        <v>41</v>
      </c>
      <c r="P700">
        <v>4601</v>
      </c>
      <c r="Q700">
        <v>1</v>
      </c>
      <c r="R700" t="s">
        <v>36</v>
      </c>
      <c r="S700">
        <v>16</v>
      </c>
      <c r="T700">
        <v>3</v>
      </c>
      <c r="U700">
        <v>2</v>
      </c>
      <c r="V700">
        <v>0</v>
      </c>
      <c r="W700">
        <v>5</v>
      </c>
      <c r="X700">
        <v>3</v>
      </c>
      <c r="Y700">
        <v>3</v>
      </c>
      <c r="Z700">
        <v>5</v>
      </c>
      <c r="AA700">
        <v>2</v>
      </c>
      <c r="AB700">
        <v>1</v>
      </c>
      <c r="AC700">
        <v>0</v>
      </c>
      <c r="AD700">
        <f>IF(HR_Data[[#This Row],[Attrition]]="Yes",1,0)</f>
        <v>0</v>
      </c>
      <c r="AE700" t="str">
        <f>IF(HR_Data[[#This Row],[Age]]&lt;=25,"18-25",IF(HR_Data[[#This Row],[Age]]&lt;=35,"26-35",IF(HR_Data[[#This Row],[Age]]&lt;=45,"36-45",IF(HR_Data[[#This Row],[Age]]&lt;=55,"46-55","55+"))))</f>
        <v>26-35</v>
      </c>
      <c r="AF700">
        <f>IF(HR_Data[[#This Row],[Age]]&lt;=25,1,IF(HR_Data[[#This Row],[Age]]&lt;=35,2,IF(HR_Data[[#This Row],[Age]]&lt;=45,3,IF(HR_Data[[#This Row],[Age]]&lt;=55,4,5))))</f>
        <v>2</v>
      </c>
      <c r="AG700" s="1" t="str">
        <f>IF(HR_Data[[#This Row],[MonthlyIncome]]&lt;3000,"&lt;3K",IF(HR_Data[[#This Row],[MonthlyIncome]]&lt;6000,"3K-6K",IF(HR_Data[[#This Row],[MonthlyIncome]]&lt;10000,"6K-10K","10K+")))</f>
        <v>3K-6K</v>
      </c>
      <c r="AH700" s="1">
        <f>IF(HR_Data[[#This Row],[MonthlyIncome]]&lt;3000,1,IF(HR_Data[[#This Row],[MonthlyIncome]]&lt;6000,2,IF(HR_Data[[#This Row],[MonthlyIncome]]&lt;10000,3,4)))</f>
        <v>2</v>
      </c>
      <c r="AI700" s="1" t="str">
        <f>IF(HR_Data[[#This Row],[YearsAtCompany]]&lt;=2,"0-2 Yrs",IF(HR_Data[[#This Row],[YearsAtCompany]]&lt;=5,"3-5 Yrs",IF(HR_Data[[#This Row],[YearsAtCompany]]&lt;=10,"6-10 Yrs","10+ Yrs")))</f>
        <v>3-5 Yrs</v>
      </c>
      <c r="AJ700" s="1">
        <f>IF(HR_Data[[#This Row],[YearsAtCompany]]&lt;=2,1,IF(HR_Data[[#This Row],[YearsAtCompany]]&lt;=5,2,IF(HR_Data[[#This Row],[YearsAtCompany]]&lt;=10,3,4)))</f>
        <v>2</v>
      </c>
      <c r="AK700" s="1" t="str">
        <f>CHOOSE(HR_Data[[#This Row],[Education]],"Below College","College","Bachelor","Master","Doctor")</f>
        <v>Bachelor</v>
      </c>
      <c r="AL700" s="1" t="str">
        <f>CHOOSE(HR_Data[[#This Row],[JobSatisfaction]],"Low","Medium","High","Very High")</f>
        <v>High</v>
      </c>
      <c r="AM700" s="1" t="str">
        <f>CHOOSE(HR_Data[[#This Row],[EnvironmentSatisfaction]],"Low","Medium","High","Very High")</f>
        <v>High</v>
      </c>
      <c r="AN700" s="1" t="str">
        <f>CHOOSE(HR_Data[[#This Row],[WorkLifeBalance]],"Bad","Good","Better","Best")</f>
        <v>Better</v>
      </c>
      <c r="AO700" s="1" t="str">
        <f>IF(HR_Data[[#This Row],[PercentSalaryHike]]&lt;=13,"11-13%",IF(HR_Data[[#This Row],[PercentSalaryHike]]&lt;=16,"14-16%",IF(HR_Data[[#This Row],[PercentSalaryHike]]&lt;=19,"17-19%","20-25%")))</f>
        <v>14-16%</v>
      </c>
      <c r="AP700" s="1">
        <f>IF(HR_Data[[#This Row],[PercentSalaryHike]]&lt;=13,1,IF(HR_Data[[#This Row],[PercentSalaryHike]]&lt;=16,2,IF(HR_Data[[#This Row],[PercentSalaryHike]]&lt;=19,3,4)))</f>
        <v>2</v>
      </c>
      <c r="AQ700" s="1" t="str">
        <f>IF(HR_Data[[#This Row],[DistanceFromHome]]&lt;=5,"1 to 5",IF(HR_Data[[#This Row],[DistanceFromHome]]&lt;=10,"6 to 10",IF(HR_Data[[#This Row],[DistanceFromHome]]&lt;=20,"11 to 20","21 to 29")))</f>
        <v>11 to 20</v>
      </c>
      <c r="AR700" s="1">
        <f>IF(HR_Data[[#This Row],[DistanceFromHome]]&lt;=5,1,IF(HR_Data[[#This Row],[DistanceFromHome]]&lt;=10,2,IF(HR_Data[[#This Row],[DistanceFromHome]]&lt;=20,3,4)))</f>
        <v>3</v>
      </c>
      <c r="AS700" s="1" t="str">
        <f>IF(HR_Data[[#This Row],[TotalWorkingYears]]&lt;=5,"0-5 Yrs",IF(HR_Data[[#This Row],[TotalWorkingYears]]&lt;=10,"6-10 Yrs",IF(HR_Data[[#This Row],[TotalWorkingYears]]&lt;=20,"11-20 Yrs","20+ Yrs")))</f>
        <v>0-5 Yrs</v>
      </c>
      <c r="AT700" s="1">
        <f>IF(HR_Data[[#This Row],[TotalWorkingYears]]&lt;=5,1,IF(HR_Data[[#This Row],[TotalWorkingYears]]&lt;=10,2,IF(HR_Data[[#This Row],[TotalWorkingYears]]&lt;=20,3,4)))</f>
        <v>1</v>
      </c>
    </row>
    <row r="701" spans="1:46" x14ac:dyDescent="0.25">
      <c r="A701">
        <v>52</v>
      </c>
      <c r="B701" t="s">
        <v>36</v>
      </c>
      <c r="C701" t="s">
        <v>30</v>
      </c>
      <c r="D701" t="s">
        <v>38</v>
      </c>
      <c r="E701">
        <v>1</v>
      </c>
      <c r="F701">
        <v>2</v>
      </c>
      <c r="G701" t="s">
        <v>32</v>
      </c>
      <c r="H701">
        <v>976</v>
      </c>
      <c r="I701">
        <v>4</v>
      </c>
      <c r="J701" t="s">
        <v>39</v>
      </c>
      <c r="K701">
        <v>3</v>
      </c>
      <c r="L701">
        <v>4</v>
      </c>
      <c r="M701" t="s">
        <v>49</v>
      </c>
      <c r="N701">
        <v>4</v>
      </c>
      <c r="O701" t="s">
        <v>41</v>
      </c>
      <c r="P701">
        <v>17099</v>
      </c>
      <c r="Q701">
        <v>2</v>
      </c>
      <c r="R701" t="s">
        <v>36</v>
      </c>
      <c r="S701">
        <v>15</v>
      </c>
      <c r="T701">
        <v>3</v>
      </c>
      <c r="U701">
        <v>2</v>
      </c>
      <c r="V701">
        <v>1</v>
      </c>
      <c r="W701">
        <v>26</v>
      </c>
      <c r="X701">
        <v>2</v>
      </c>
      <c r="Y701">
        <v>2</v>
      </c>
      <c r="Z701">
        <v>9</v>
      </c>
      <c r="AA701">
        <v>8</v>
      </c>
      <c r="AB701">
        <v>7</v>
      </c>
      <c r="AC701">
        <v>8</v>
      </c>
      <c r="AD701">
        <f>IF(HR_Data[[#This Row],[Attrition]]="Yes",1,0)</f>
        <v>0</v>
      </c>
      <c r="AE701" t="str">
        <f>IF(HR_Data[[#This Row],[Age]]&lt;=25,"18-25",IF(HR_Data[[#This Row],[Age]]&lt;=35,"26-35",IF(HR_Data[[#This Row],[Age]]&lt;=45,"36-45",IF(HR_Data[[#This Row],[Age]]&lt;=55,"46-55","55+"))))</f>
        <v>46-55</v>
      </c>
      <c r="AF701">
        <f>IF(HR_Data[[#This Row],[Age]]&lt;=25,1,IF(HR_Data[[#This Row],[Age]]&lt;=35,2,IF(HR_Data[[#This Row],[Age]]&lt;=45,3,IF(HR_Data[[#This Row],[Age]]&lt;=55,4,5))))</f>
        <v>4</v>
      </c>
      <c r="AG701" s="1" t="str">
        <f>IF(HR_Data[[#This Row],[MonthlyIncome]]&lt;3000,"&lt;3K",IF(HR_Data[[#This Row],[MonthlyIncome]]&lt;6000,"3K-6K",IF(HR_Data[[#This Row],[MonthlyIncome]]&lt;10000,"6K-10K","10K+")))</f>
        <v>10K+</v>
      </c>
      <c r="AH701" s="1">
        <f>IF(HR_Data[[#This Row],[MonthlyIncome]]&lt;3000,1,IF(HR_Data[[#This Row],[MonthlyIncome]]&lt;6000,2,IF(HR_Data[[#This Row],[MonthlyIncome]]&lt;10000,3,4)))</f>
        <v>4</v>
      </c>
      <c r="AI701" s="1" t="str">
        <f>IF(HR_Data[[#This Row],[YearsAtCompany]]&lt;=2,"0-2 Yrs",IF(HR_Data[[#This Row],[YearsAtCompany]]&lt;=5,"3-5 Yrs",IF(HR_Data[[#This Row],[YearsAtCompany]]&lt;=10,"6-10 Yrs","10+ Yrs")))</f>
        <v>6-10 Yrs</v>
      </c>
      <c r="AJ701" s="1">
        <f>IF(HR_Data[[#This Row],[YearsAtCompany]]&lt;=2,1,IF(HR_Data[[#This Row],[YearsAtCompany]]&lt;=5,2,IF(HR_Data[[#This Row],[YearsAtCompany]]&lt;=10,3,4)))</f>
        <v>3</v>
      </c>
      <c r="AK701" s="1" t="str">
        <f>CHOOSE(HR_Data[[#This Row],[Education]],"Below College","College","Bachelor","Master","Doctor")</f>
        <v>College</v>
      </c>
      <c r="AL701" s="1" t="str">
        <f>CHOOSE(HR_Data[[#This Row],[JobSatisfaction]],"Low","Medium","High","Very High")</f>
        <v>Very High</v>
      </c>
      <c r="AM701" s="1" t="str">
        <f>CHOOSE(HR_Data[[#This Row],[EnvironmentSatisfaction]],"Low","Medium","High","Very High")</f>
        <v>Very High</v>
      </c>
      <c r="AN701" s="1" t="str">
        <f>CHOOSE(HR_Data[[#This Row],[WorkLifeBalance]],"Bad","Good","Better","Best")</f>
        <v>Good</v>
      </c>
      <c r="AO701" s="1" t="str">
        <f>IF(HR_Data[[#This Row],[PercentSalaryHike]]&lt;=13,"11-13%",IF(HR_Data[[#This Row],[PercentSalaryHike]]&lt;=16,"14-16%",IF(HR_Data[[#This Row],[PercentSalaryHike]]&lt;=19,"17-19%","20-25%")))</f>
        <v>14-16%</v>
      </c>
      <c r="AP701" s="1">
        <f>IF(HR_Data[[#This Row],[PercentSalaryHike]]&lt;=13,1,IF(HR_Data[[#This Row],[PercentSalaryHike]]&lt;=16,2,IF(HR_Data[[#This Row],[PercentSalaryHike]]&lt;=19,3,4)))</f>
        <v>2</v>
      </c>
      <c r="AQ701" s="1" t="str">
        <f>IF(HR_Data[[#This Row],[DistanceFromHome]]&lt;=5,"1 to 5",IF(HR_Data[[#This Row],[DistanceFromHome]]&lt;=10,"6 to 10",IF(HR_Data[[#This Row],[DistanceFromHome]]&lt;=20,"11 to 20","21 to 29")))</f>
        <v>1 to 5</v>
      </c>
      <c r="AR701" s="1">
        <f>IF(HR_Data[[#This Row],[DistanceFromHome]]&lt;=5,1,IF(HR_Data[[#This Row],[DistanceFromHome]]&lt;=10,2,IF(HR_Data[[#This Row],[DistanceFromHome]]&lt;=20,3,4)))</f>
        <v>1</v>
      </c>
      <c r="AS701" s="1" t="str">
        <f>IF(HR_Data[[#This Row],[TotalWorkingYears]]&lt;=5,"0-5 Yrs",IF(HR_Data[[#This Row],[TotalWorkingYears]]&lt;=10,"6-10 Yrs",IF(HR_Data[[#This Row],[TotalWorkingYears]]&lt;=20,"11-20 Yrs","20+ Yrs")))</f>
        <v>20+ Yrs</v>
      </c>
      <c r="AT701" s="1">
        <f>IF(HR_Data[[#This Row],[TotalWorkingYears]]&lt;=5,1,IF(HR_Data[[#This Row],[TotalWorkingYears]]&lt;=10,2,IF(HR_Data[[#This Row],[TotalWorkingYears]]&lt;=20,3,4)))</f>
        <v>4</v>
      </c>
    </row>
    <row r="702" spans="1:46" x14ac:dyDescent="0.25">
      <c r="A702">
        <v>58</v>
      </c>
      <c r="B702" t="s">
        <v>29</v>
      </c>
      <c r="C702" t="s">
        <v>30</v>
      </c>
      <c r="D702" t="s">
        <v>38</v>
      </c>
      <c r="E702">
        <v>2</v>
      </c>
      <c r="F702">
        <v>3</v>
      </c>
      <c r="G702" t="s">
        <v>53</v>
      </c>
      <c r="H702">
        <v>977</v>
      </c>
      <c r="I702">
        <v>4</v>
      </c>
      <c r="J702" t="s">
        <v>39</v>
      </c>
      <c r="K702">
        <v>3</v>
      </c>
      <c r="L702">
        <v>1</v>
      </c>
      <c r="M702" t="s">
        <v>40</v>
      </c>
      <c r="N702">
        <v>3</v>
      </c>
      <c r="O702" t="s">
        <v>35</v>
      </c>
      <c r="P702">
        <v>2479</v>
      </c>
      <c r="Q702">
        <v>4</v>
      </c>
      <c r="R702" t="s">
        <v>36</v>
      </c>
      <c r="S702">
        <v>24</v>
      </c>
      <c r="T702">
        <v>4</v>
      </c>
      <c r="U702">
        <v>1</v>
      </c>
      <c r="V702">
        <v>0</v>
      </c>
      <c r="W702">
        <v>7</v>
      </c>
      <c r="X702">
        <v>4</v>
      </c>
      <c r="Y702">
        <v>3</v>
      </c>
      <c r="Z702">
        <v>1</v>
      </c>
      <c r="AA702">
        <v>0</v>
      </c>
      <c r="AB702">
        <v>0</v>
      </c>
      <c r="AC702">
        <v>0</v>
      </c>
      <c r="AD702">
        <f>IF(HR_Data[[#This Row],[Attrition]]="Yes",1,0)</f>
        <v>1</v>
      </c>
      <c r="AE702" t="str">
        <f>IF(HR_Data[[#This Row],[Age]]&lt;=25,"18-25",IF(HR_Data[[#This Row],[Age]]&lt;=35,"26-35",IF(HR_Data[[#This Row],[Age]]&lt;=45,"36-45",IF(HR_Data[[#This Row],[Age]]&lt;=55,"46-55","55+"))))</f>
        <v>55+</v>
      </c>
      <c r="AF702">
        <f>IF(HR_Data[[#This Row],[Age]]&lt;=25,1,IF(HR_Data[[#This Row],[Age]]&lt;=35,2,IF(HR_Data[[#This Row],[Age]]&lt;=45,3,IF(HR_Data[[#This Row],[Age]]&lt;=55,4,5))))</f>
        <v>5</v>
      </c>
      <c r="AG702" s="1" t="str">
        <f>IF(HR_Data[[#This Row],[MonthlyIncome]]&lt;3000,"&lt;3K",IF(HR_Data[[#This Row],[MonthlyIncome]]&lt;6000,"3K-6K",IF(HR_Data[[#This Row],[MonthlyIncome]]&lt;10000,"6K-10K","10K+")))</f>
        <v>&lt;3K</v>
      </c>
      <c r="AH702" s="1">
        <f>IF(HR_Data[[#This Row],[MonthlyIncome]]&lt;3000,1,IF(HR_Data[[#This Row],[MonthlyIncome]]&lt;6000,2,IF(HR_Data[[#This Row],[MonthlyIncome]]&lt;10000,3,4)))</f>
        <v>1</v>
      </c>
      <c r="AI702" s="1" t="str">
        <f>IF(HR_Data[[#This Row],[YearsAtCompany]]&lt;=2,"0-2 Yrs",IF(HR_Data[[#This Row],[YearsAtCompany]]&lt;=5,"3-5 Yrs",IF(HR_Data[[#This Row],[YearsAtCompany]]&lt;=10,"6-10 Yrs","10+ Yrs")))</f>
        <v>0-2 Yrs</v>
      </c>
      <c r="AJ702" s="1">
        <f>IF(HR_Data[[#This Row],[YearsAtCompany]]&lt;=2,1,IF(HR_Data[[#This Row],[YearsAtCompany]]&lt;=5,2,IF(HR_Data[[#This Row],[YearsAtCompany]]&lt;=10,3,4)))</f>
        <v>1</v>
      </c>
      <c r="AK702" s="1" t="str">
        <f>CHOOSE(HR_Data[[#This Row],[Education]],"Below College","College","Bachelor","Master","Doctor")</f>
        <v>Bachelor</v>
      </c>
      <c r="AL702" s="1" t="str">
        <f>CHOOSE(HR_Data[[#This Row],[JobSatisfaction]],"Low","Medium","High","Very High")</f>
        <v>High</v>
      </c>
      <c r="AM702" s="1" t="str">
        <f>CHOOSE(HR_Data[[#This Row],[EnvironmentSatisfaction]],"Low","Medium","High","Very High")</f>
        <v>Very High</v>
      </c>
      <c r="AN702" s="1" t="str">
        <f>CHOOSE(HR_Data[[#This Row],[WorkLifeBalance]],"Bad","Good","Better","Best")</f>
        <v>Better</v>
      </c>
      <c r="AO702" s="1" t="str">
        <f>IF(HR_Data[[#This Row],[PercentSalaryHike]]&lt;=13,"11-13%",IF(HR_Data[[#This Row],[PercentSalaryHike]]&lt;=16,"14-16%",IF(HR_Data[[#This Row],[PercentSalaryHike]]&lt;=19,"17-19%","20-25%")))</f>
        <v>20-25%</v>
      </c>
      <c r="AP702" s="1">
        <f>IF(HR_Data[[#This Row],[PercentSalaryHike]]&lt;=13,1,IF(HR_Data[[#This Row],[PercentSalaryHike]]&lt;=16,2,IF(HR_Data[[#This Row],[PercentSalaryHike]]&lt;=19,3,4)))</f>
        <v>4</v>
      </c>
      <c r="AQ702" s="1" t="str">
        <f>IF(HR_Data[[#This Row],[DistanceFromHome]]&lt;=5,"1 to 5",IF(HR_Data[[#This Row],[DistanceFromHome]]&lt;=10,"6 to 10",IF(HR_Data[[#This Row],[DistanceFromHome]]&lt;=20,"11 to 20","21 to 29")))</f>
        <v>1 to 5</v>
      </c>
      <c r="AR702" s="1">
        <f>IF(HR_Data[[#This Row],[DistanceFromHome]]&lt;=5,1,IF(HR_Data[[#This Row],[DistanceFromHome]]&lt;=10,2,IF(HR_Data[[#This Row],[DistanceFromHome]]&lt;=20,3,4)))</f>
        <v>1</v>
      </c>
      <c r="AS702" s="1" t="str">
        <f>IF(HR_Data[[#This Row],[TotalWorkingYears]]&lt;=5,"0-5 Yrs",IF(HR_Data[[#This Row],[TotalWorkingYears]]&lt;=10,"6-10 Yrs",IF(HR_Data[[#This Row],[TotalWorkingYears]]&lt;=20,"11-20 Yrs","20+ Yrs")))</f>
        <v>6-10 Yrs</v>
      </c>
      <c r="AT702" s="1">
        <f>IF(HR_Data[[#This Row],[TotalWorkingYears]]&lt;=5,1,IF(HR_Data[[#This Row],[TotalWorkingYears]]&lt;=10,2,IF(HR_Data[[#This Row],[TotalWorkingYears]]&lt;=20,3,4)))</f>
        <v>2</v>
      </c>
    </row>
    <row r="703" spans="1:46" x14ac:dyDescent="0.25">
      <c r="A703">
        <v>53</v>
      </c>
      <c r="B703" t="s">
        <v>36</v>
      </c>
      <c r="C703" t="s">
        <v>30</v>
      </c>
      <c r="D703" t="s">
        <v>31</v>
      </c>
      <c r="E703">
        <v>2</v>
      </c>
      <c r="F703">
        <v>2</v>
      </c>
      <c r="G703" t="s">
        <v>44</v>
      </c>
      <c r="H703">
        <v>981</v>
      </c>
      <c r="I703">
        <v>3</v>
      </c>
      <c r="J703" t="s">
        <v>39</v>
      </c>
      <c r="K703">
        <v>3</v>
      </c>
      <c r="L703">
        <v>4</v>
      </c>
      <c r="M703" t="s">
        <v>49</v>
      </c>
      <c r="N703">
        <v>3</v>
      </c>
      <c r="O703" t="s">
        <v>45</v>
      </c>
      <c r="P703">
        <v>14852</v>
      </c>
      <c r="Q703">
        <v>6</v>
      </c>
      <c r="R703" t="s">
        <v>36</v>
      </c>
      <c r="S703">
        <v>13</v>
      </c>
      <c r="T703">
        <v>3</v>
      </c>
      <c r="U703">
        <v>3</v>
      </c>
      <c r="V703">
        <v>1</v>
      </c>
      <c r="W703">
        <v>22</v>
      </c>
      <c r="X703">
        <v>3</v>
      </c>
      <c r="Y703">
        <v>4</v>
      </c>
      <c r="Z703">
        <v>17</v>
      </c>
      <c r="AA703">
        <v>13</v>
      </c>
      <c r="AB703">
        <v>15</v>
      </c>
      <c r="AC703">
        <v>2</v>
      </c>
      <c r="AD703">
        <f>IF(HR_Data[[#This Row],[Attrition]]="Yes",1,0)</f>
        <v>0</v>
      </c>
      <c r="AE703" t="str">
        <f>IF(HR_Data[[#This Row],[Age]]&lt;=25,"18-25",IF(HR_Data[[#This Row],[Age]]&lt;=35,"26-35",IF(HR_Data[[#This Row],[Age]]&lt;=45,"36-45",IF(HR_Data[[#This Row],[Age]]&lt;=55,"46-55","55+"))))</f>
        <v>46-55</v>
      </c>
      <c r="AF703">
        <f>IF(HR_Data[[#This Row],[Age]]&lt;=25,1,IF(HR_Data[[#This Row],[Age]]&lt;=35,2,IF(HR_Data[[#This Row],[Age]]&lt;=45,3,IF(HR_Data[[#This Row],[Age]]&lt;=55,4,5))))</f>
        <v>4</v>
      </c>
      <c r="AG703" s="1" t="str">
        <f>IF(HR_Data[[#This Row],[MonthlyIncome]]&lt;3000,"&lt;3K",IF(HR_Data[[#This Row],[MonthlyIncome]]&lt;6000,"3K-6K",IF(HR_Data[[#This Row],[MonthlyIncome]]&lt;10000,"6K-10K","10K+")))</f>
        <v>10K+</v>
      </c>
      <c r="AH703" s="1">
        <f>IF(HR_Data[[#This Row],[MonthlyIncome]]&lt;3000,1,IF(HR_Data[[#This Row],[MonthlyIncome]]&lt;6000,2,IF(HR_Data[[#This Row],[MonthlyIncome]]&lt;10000,3,4)))</f>
        <v>4</v>
      </c>
      <c r="AI703" s="1" t="str">
        <f>IF(HR_Data[[#This Row],[YearsAtCompany]]&lt;=2,"0-2 Yrs",IF(HR_Data[[#This Row],[YearsAtCompany]]&lt;=5,"3-5 Yrs",IF(HR_Data[[#This Row],[YearsAtCompany]]&lt;=10,"6-10 Yrs","10+ Yrs")))</f>
        <v>10+ Yrs</v>
      </c>
      <c r="AJ703" s="1">
        <f>IF(HR_Data[[#This Row],[YearsAtCompany]]&lt;=2,1,IF(HR_Data[[#This Row],[YearsAtCompany]]&lt;=5,2,IF(HR_Data[[#This Row],[YearsAtCompany]]&lt;=10,3,4)))</f>
        <v>4</v>
      </c>
      <c r="AK703" s="1" t="str">
        <f>CHOOSE(HR_Data[[#This Row],[Education]],"Below College","College","Bachelor","Master","Doctor")</f>
        <v>College</v>
      </c>
      <c r="AL703" s="1" t="str">
        <f>CHOOSE(HR_Data[[#This Row],[JobSatisfaction]],"Low","Medium","High","Very High")</f>
        <v>High</v>
      </c>
      <c r="AM703" s="1" t="str">
        <f>CHOOSE(HR_Data[[#This Row],[EnvironmentSatisfaction]],"Low","Medium","High","Very High")</f>
        <v>High</v>
      </c>
      <c r="AN703" s="1" t="str">
        <f>CHOOSE(HR_Data[[#This Row],[WorkLifeBalance]],"Bad","Good","Better","Best")</f>
        <v>Best</v>
      </c>
      <c r="AO703" s="1" t="str">
        <f>IF(HR_Data[[#This Row],[PercentSalaryHike]]&lt;=13,"11-13%",IF(HR_Data[[#This Row],[PercentSalaryHike]]&lt;=16,"14-16%",IF(HR_Data[[#This Row],[PercentSalaryHike]]&lt;=19,"17-19%","20-25%")))</f>
        <v>11-13%</v>
      </c>
      <c r="AP703" s="1">
        <f>IF(HR_Data[[#This Row],[PercentSalaryHike]]&lt;=13,1,IF(HR_Data[[#This Row],[PercentSalaryHike]]&lt;=16,2,IF(HR_Data[[#This Row],[PercentSalaryHike]]&lt;=19,3,4)))</f>
        <v>1</v>
      </c>
      <c r="AQ703" s="1" t="str">
        <f>IF(HR_Data[[#This Row],[DistanceFromHome]]&lt;=5,"1 to 5",IF(HR_Data[[#This Row],[DistanceFromHome]]&lt;=10,"6 to 10",IF(HR_Data[[#This Row],[DistanceFromHome]]&lt;=20,"11 to 20","21 to 29")))</f>
        <v>1 to 5</v>
      </c>
      <c r="AR703" s="1">
        <f>IF(HR_Data[[#This Row],[DistanceFromHome]]&lt;=5,1,IF(HR_Data[[#This Row],[DistanceFromHome]]&lt;=10,2,IF(HR_Data[[#This Row],[DistanceFromHome]]&lt;=20,3,4)))</f>
        <v>1</v>
      </c>
      <c r="AS703" s="1" t="str">
        <f>IF(HR_Data[[#This Row],[TotalWorkingYears]]&lt;=5,"0-5 Yrs",IF(HR_Data[[#This Row],[TotalWorkingYears]]&lt;=10,"6-10 Yrs",IF(HR_Data[[#This Row],[TotalWorkingYears]]&lt;=20,"11-20 Yrs","20+ Yrs")))</f>
        <v>20+ Yrs</v>
      </c>
      <c r="AT703" s="1">
        <f>IF(HR_Data[[#This Row],[TotalWorkingYears]]&lt;=5,1,IF(HR_Data[[#This Row],[TotalWorkingYears]]&lt;=10,2,IF(HR_Data[[#This Row],[TotalWorkingYears]]&lt;=20,3,4)))</f>
        <v>4</v>
      </c>
    </row>
    <row r="704" spans="1:46" x14ac:dyDescent="0.25">
      <c r="A704">
        <v>30</v>
      </c>
      <c r="B704" t="s">
        <v>36</v>
      </c>
      <c r="C704" t="s">
        <v>30</v>
      </c>
      <c r="D704" t="s">
        <v>31</v>
      </c>
      <c r="E704">
        <v>8</v>
      </c>
      <c r="F704">
        <v>2</v>
      </c>
      <c r="G704" t="s">
        <v>42</v>
      </c>
      <c r="H704">
        <v>982</v>
      </c>
      <c r="I704">
        <v>3</v>
      </c>
      <c r="J704" t="s">
        <v>39</v>
      </c>
      <c r="K704">
        <v>3</v>
      </c>
      <c r="L704">
        <v>3</v>
      </c>
      <c r="M704" t="s">
        <v>34</v>
      </c>
      <c r="N704">
        <v>3</v>
      </c>
      <c r="O704" t="s">
        <v>45</v>
      </c>
      <c r="P704">
        <v>7264</v>
      </c>
      <c r="Q704">
        <v>5</v>
      </c>
      <c r="R704" t="s">
        <v>36</v>
      </c>
      <c r="S704">
        <v>11</v>
      </c>
      <c r="T704">
        <v>3</v>
      </c>
      <c r="U704">
        <v>1</v>
      </c>
      <c r="V704">
        <v>1</v>
      </c>
      <c r="W704">
        <v>10</v>
      </c>
      <c r="X704">
        <v>2</v>
      </c>
      <c r="Y704">
        <v>4</v>
      </c>
      <c r="Z704">
        <v>8</v>
      </c>
      <c r="AA704">
        <v>4</v>
      </c>
      <c r="AB704">
        <v>7</v>
      </c>
      <c r="AC704">
        <v>7</v>
      </c>
      <c r="AD704">
        <f>IF(HR_Data[[#This Row],[Attrition]]="Yes",1,0)</f>
        <v>0</v>
      </c>
      <c r="AE704" t="str">
        <f>IF(HR_Data[[#This Row],[Age]]&lt;=25,"18-25",IF(HR_Data[[#This Row],[Age]]&lt;=35,"26-35",IF(HR_Data[[#This Row],[Age]]&lt;=45,"36-45",IF(HR_Data[[#This Row],[Age]]&lt;=55,"46-55","55+"))))</f>
        <v>26-35</v>
      </c>
      <c r="AF704">
        <f>IF(HR_Data[[#This Row],[Age]]&lt;=25,1,IF(HR_Data[[#This Row],[Age]]&lt;=35,2,IF(HR_Data[[#This Row],[Age]]&lt;=45,3,IF(HR_Data[[#This Row],[Age]]&lt;=55,4,5))))</f>
        <v>2</v>
      </c>
      <c r="AG704" s="1" t="str">
        <f>IF(HR_Data[[#This Row],[MonthlyIncome]]&lt;3000,"&lt;3K",IF(HR_Data[[#This Row],[MonthlyIncome]]&lt;6000,"3K-6K",IF(HR_Data[[#This Row],[MonthlyIncome]]&lt;10000,"6K-10K","10K+")))</f>
        <v>6K-10K</v>
      </c>
      <c r="AH704" s="1">
        <f>IF(HR_Data[[#This Row],[MonthlyIncome]]&lt;3000,1,IF(HR_Data[[#This Row],[MonthlyIncome]]&lt;6000,2,IF(HR_Data[[#This Row],[MonthlyIncome]]&lt;10000,3,4)))</f>
        <v>3</v>
      </c>
      <c r="AI704" s="1" t="str">
        <f>IF(HR_Data[[#This Row],[YearsAtCompany]]&lt;=2,"0-2 Yrs",IF(HR_Data[[#This Row],[YearsAtCompany]]&lt;=5,"3-5 Yrs",IF(HR_Data[[#This Row],[YearsAtCompany]]&lt;=10,"6-10 Yrs","10+ Yrs")))</f>
        <v>6-10 Yrs</v>
      </c>
      <c r="AJ704" s="1">
        <f>IF(HR_Data[[#This Row],[YearsAtCompany]]&lt;=2,1,IF(HR_Data[[#This Row],[YearsAtCompany]]&lt;=5,2,IF(HR_Data[[#This Row],[YearsAtCompany]]&lt;=10,3,4)))</f>
        <v>3</v>
      </c>
      <c r="AK704" s="1" t="str">
        <f>CHOOSE(HR_Data[[#This Row],[Education]],"Below College","College","Bachelor","Master","Doctor")</f>
        <v>College</v>
      </c>
      <c r="AL704" s="1" t="str">
        <f>CHOOSE(HR_Data[[#This Row],[JobSatisfaction]],"Low","Medium","High","Very High")</f>
        <v>High</v>
      </c>
      <c r="AM704" s="1" t="str">
        <f>CHOOSE(HR_Data[[#This Row],[EnvironmentSatisfaction]],"Low","Medium","High","Very High")</f>
        <v>High</v>
      </c>
      <c r="AN704" s="1" t="str">
        <f>CHOOSE(HR_Data[[#This Row],[WorkLifeBalance]],"Bad","Good","Better","Best")</f>
        <v>Best</v>
      </c>
      <c r="AO704" s="1" t="str">
        <f>IF(HR_Data[[#This Row],[PercentSalaryHike]]&lt;=13,"11-13%",IF(HR_Data[[#This Row],[PercentSalaryHike]]&lt;=16,"14-16%",IF(HR_Data[[#This Row],[PercentSalaryHike]]&lt;=19,"17-19%","20-25%")))</f>
        <v>11-13%</v>
      </c>
      <c r="AP704" s="1">
        <f>IF(HR_Data[[#This Row],[PercentSalaryHike]]&lt;=13,1,IF(HR_Data[[#This Row],[PercentSalaryHike]]&lt;=16,2,IF(HR_Data[[#This Row],[PercentSalaryHike]]&lt;=19,3,4)))</f>
        <v>1</v>
      </c>
      <c r="AQ704" s="1" t="str">
        <f>IF(HR_Data[[#This Row],[DistanceFromHome]]&lt;=5,"1 to 5",IF(HR_Data[[#This Row],[DistanceFromHome]]&lt;=10,"6 to 10",IF(HR_Data[[#This Row],[DistanceFromHome]]&lt;=20,"11 to 20","21 to 29")))</f>
        <v>6 to 10</v>
      </c>
      <c r="AR704" s="1">
        <f>IF(HR_Data[[#This Row],[DistanceFromHome]]&lt;=5,1,IF(HR_Data[[#This Row],[DistanceFromHome]]&lt;=10,2,IF(HR_Data[[#This Row],[DistanceFromHome]]&lt;=20,3,4)))</f>
        <v>2</v>
      </c>
      <c r="AS704" s="1" t="str">
        <f>IF(HR_Data[[#This Row],[TotalWorkingYears]]&lt;=5,"0-5 Yrs",IF(HR_Data[[#This Row],[TotalWorkingYears]]&lt;=10,"6-10 Yrs",IF(HR_Data[[#This Row],[TotalWorkingYears]]&lt;=20,"11-20 Yrs","20+ Yrs")))</f>
        <v>6-10 Yrs</v>
      </c>
      <c r="AT704" s="1">
        <f>IF(HR_Data[[#This Row],[TotalWorkingYears]]&lt;=5,1,IF(HR_Data[[#This Row],[TotalWorkingYears]]&lt;=10,2,IF(HR_Data[[#This Row],[TotalWorkingYears]]&lt;=20,3,4)))</f>
        <v>2</v>
      </c>
    </row>
    <row r="705" spans="1:46" x14ac:dyDescent="0.25">
      <c r="A705">
        <v>38</v>
      </c>
      <c r="B705" t="s">
        <v>36</v>
      </c>
      <c r="C705" t="s">
        <v>48</v>
      </c>
      <c r="D705" t="s">
        <v>31</v>
      </c>
      <c r="E705">
        <v>10</v>
      </c>
      <c r="F705">
        <v>3</v>
      </c>
      <c r="G705" t="s">
        <v>53</v>
      </c>
      <c r="H705">
        <v>983</v>
      </c>
      <c r="I705">
        <v>3</v>
      </c>
      <c r="J705" t="s">
        <v>33</v>
      </c>
      <c r="K705">
        <v>3</v>
      </c>
      <c r="L705">
        <v>2</v>
      </c>
      <c r="M705" t="s">
        <v>34</v>
      </c>
      <c r="N705">
        <v>4</v>
      </c>
      <c r="O705" t="s">
        <v>35</v>
      </c>
      <c r="P705">
        <v>5666</v>
      </c>
      <c r="Q705">
        <v>1</v>
      </c>
      <c r="R705" t="s">
        <v>29</v>
      </c>
      <c r="S705">
        <v>13</v>
      </c>
      <c r="T705">
        <v>3</v>
      </c>
      <c r="U705">
        <v>2</v>
      </c>
      <c r="V705">
        <v>0</v>
      </c>
      <c r="W705">
        <v>6</v>
      </c>
      <c r="X705">
        <v>1</v>
      </c>
      <c r="Y705">
        <v>3</v>
      </c>
      <c r="Z705">
        <v>5</v>
      </c>
      <c r="AA705">
        <v>3</v>
      </c>
      <c r="AB705">
        <v>1</v>
      </c>
      <c r="AC705">
        <v>3</v>
      </c>
      <c r="AD705">
        <f>IF(HR_Data[[#This Row],[Attrition]]="Yes",1,0)</f>
        <v>0</v>
      </c>
      <c r="AE705" t="str">
        <f>IF(HR_Data[[#This Row],[Age]]&lt;=25,"18-25",IF(HR_Data[[#This Row],[Age]]&lt;=35,"26-35",IF(HR_Data[[#This Row],[Age]]&lt;=45,"36-45",IF(HR_Data[[#This Row],[Age]]&lt;=55,"46-55","55+"))))</f>
        <v>36-45</v>
      </c>
      <c r="AF705">
        <f>IF(HR_Data[[#This Row],[Age]]&lt;=25,1,IF(HR_Data[[#This Row],[Age]]&lt;=35,2,IF(HR_Data[[#This Row],[Age]]&lt;=45,3,IF(HR_Data[[#This Row],[Age]]&lt;=55,4,5))))</f>
        <v>3</v>
      </c>
      <c r="AG705" s="1" t="str">
        <f>IF(HR_Data[[#This Row],[MonthlyIncome]]&lt;3000,"&lt;3K",IF(HR_Data[[#This Row],[MonthlyIncome]]&lt;6000,"3K-6K",IF(HR_Data[[#This Row],[MonthlyIncome]]&lt;10000,"6K-10K","10K+")))</f>
        <v>3K-6K</v>
      </c>
      <c r="AH705" s="1">
        <f>IF(HR_Data[[#This Row],[MonthlyIncome]]&lt;3000,1,IF(HR_Data[[#This Row],[MonthlyIncome]]&lt;6000,2,IF(HR_Data[[#This Row],[MonthlyIncome]]&lt;10000,3,4)))</f>
        <v>2</v>
      </c>
      <c r="AI705" s="1" t="str">
        <f>IF(HR_Data[[#This Row],[YearsAtCompany]]&lt;=2,"0-2 Yrs",IF(HR_Data[[#This Row],[YearsAtCompany]]&lt;=5,"3-5 Yrs",IF(HR_Data[[#This Row],[YearsAtCompany]]&lt;=10,"6-10 Yrs","10+ Yrs")))</f>
        <v>3-5 Yrs</v>
      </c>
      <c r="AJ705" s="1">
        <f>IF(HR_Data[[#This Row],[YearsAtCompany]]&lt;=2,1,IF(HR_Data[[#This Row],[YearsAtCompany]]&lt;=5,2,IF(HR_Data[[#This Row],[YearsAtCompany]]&lt;=10,3,4)))</f>
        <v>2</v>
      </c>
      <c r="AK705" s="1" t="str">
        <f>CHOOSE(HR_Data[[#This Row],[Education]],"Below College","College","Bachelor","Master","Doctor")</f>
        <v>Bachelor</v>
      </c>
      <c r="AL705" s="1" t="str">
        <f>CHOOSE(HR_Data[[#This Row],[JobSatisfaction]],"Low","Medium","High","Very High")</f>
        <v>Very High</v>
      </c>
      <c r="AM705" s="1" t="str">
        <f>CHOOSE(HR_Data[[#This Row],[EnvironmentSatisfaction]],"Low","Medium","High","Very High")</f>
        <v>High</v>
      </c>
      <c r="AN705" s="1" t="str">
        <f>CHOOSE(HR_Data[[#This Row],[WorkLifeBalance]],"Bad","Good","Better","Best")</f>
        <v>Better</v>
      </c>
      <c r="AO705" s="1" t="str">
        <f>IF(HR_Data[[#This Row],[PercentSalaryHike]]&lt;=13,"11-13%",IF(HR_Data[[#This Row],[PercentSalaryHike]]&lt;=16,"14-16%",IF(HR_Data[[#This Row],[PercentSalaryHike]]&lt;=19,"17-19%","20-25%")))</f>
        <v>11-13%</v>
      </c>
      <c r="AP705" s="1">
        <f>IF(HR_Data[[#This Row],[PercentSalaryHike]]&lt;=13,1,IF(HR_Data[[#This Row],[PercentSalaryHike]]&lt;=16,2,IF(HR_Data[[#This Row],[PercentSalaryHike]]&lt;=19,3,4)))</f>
        <v>1</v>
      </c>
      <c r="AQ705" s="1" t="str">
        <f>IF(HR_Data[[#This Row],[DistanceFromHome]]&lt;=5,"1 to 5",IF(HR_Data[[#This Row],[DistanceFromHome]]&lt;=10,"6 to 10",IF(HR_Data[[#This Row],[DistanceFromHome]]&lt;=20,"11 to 20","21 to 29")))</f>
        <v>6 to 10</v>
      </c>
      <c r="AR705" s="1">
        <f>IF(HR_Data[[#This Row],[DistanceFromHome]]&lt;=5,1,IF(HR_Data[[#This Row],[DistanceFromHome]]&lt;=10,2,IF(HR_Data[[#This Row],[DistanceFromHome]]&lt;=20,3,4)))</f>
        <v>2</v>
      </c>
      <c r="AS705" s="1" t="str">
        <f>IF(HR_Data[[#This Row],[TotalWorkingYears]]&lt;=5,"0-5 Yrs",IF(HR_Data[[#This Row],[TotalWorkingYears]]&lt;=10,"6-10 Yrs",IF(HR_Data[[#This Row],[TotalWorkingYears]]&lt;=20,"11-20 Yrs","20+ Yrs")))</f>
        <v>6-10 Yrs</v>
      </c>
      <c r="AT705" s="1">
        <f>IF(HR_Data[[#This Row],[TotalWorkingYears]]&lt;=5,1,IF(HR_Data[[#This Row],[TotalWorkingYears]]&lt;=10,2,IF(HR_Data[[#This Row],[TotalWorkingYears]]&lt;=20,3,4)))</f>
        <v>2</v>
      </c>
    </row>
    <row r="706" spans="1:46" x14ac:dyDescent="0.25">
      <c r="A706">
        <v>35</v>
      </c>
      <c r="B706" t="s">
        <v>36</v>
      </c>
      <c r="C706" t="s">
        <v>30</v>
      </c>
      <c r="D706" t="s">
        <v>31</v>
      </c>
      <c r="E706">
        <v>3</v>
      </c>
      <c r="F706">
        <v>4</v>
      </c>
      <c r="G706" t="s">
        <v>32</v>
      </c>
      <c r="H706">
        <v>984</v>
      </c>
      <c r="I706">
        <v>4</v>
      </c>
      <c r="J706" t="s">
        <v>39</v>
      </c>
      <c r="K706">
        <v>3</v>
      </c>
      <c r="L706">
        <v>3</v>
      </c>
      <c r="M706" t="s">
        <v>34</v>
      </c>
      <c r="N706">
        <v>4</v>
      </c>
      <c r="O706" t="s">
        <v>45</v>
      </c>
      <c r="P706">
        <v>7823</v>
      </c>
      <c r="Q706">
        <v>6</v>
      </c>
      <c r="R706" t="s">
        <v>36</v>
      </c>
      <c r="S706">
        <v>13</v>
      </c>
      <c r="T706">
        <v>3</v>
      </c>
      <c r="U706">
        <v>2</v>
      </c>
      <c r="V706">
        <v>1</v>
      </c>
      <c r="W706">
        <v>12</v>
      </c>
      <c r="X706">
        <v>2</v>
      </c>
      <c r="Y706">
        <v>3</v>
      </c>
      <c r="Z706">
        <v>10</v>
      </c>
      <c r="AA706">
        <v>9</v>
      </c>
      <c r="AB706">
        <v>0</v>
      </c>
      <c r="AC706">
        <v>8</v>
      </c>
      <c r="AD706">
        <f>IF(HR_Data[[#This Row],[Attrition]]="Yes",1,0)</f>
        <v>0</v>
      </c>
      <c r="AE706" t="str">
        <f>IF(HR_Data[[#This Row],[Age]]&lt;=25,"18-25",IF(HR_Data[[#This Row],[Age]]&lt;=35,"26-35",IF(HR_Data[[#This Row],[Age]]&lt;=45,"36-45",IF(HR_Data[[#This Row],[Age]]&lt;=55,"46-55","55+"))))</f>
        <v>26-35</v>
      </c>
      <c r="AF706">
        <f>IF(HR_Data[[#This Row],[Age]]&lt;=25,1,IF(HR_Data[[#This Row],[Age]]&lt;=35,2,IF(HR_Data[[#This Row],[Age]]&lt;=45,3,IF(HR_Data[[#This Row],[Age]]&lt;=55,4,5))))</f>
        <v>2</v>
      </c>
      <c r="AG706" s="1" t="str">
        <f>IF(HR_Data[[#This Row],[MonthlyIncome]]&lt;3000,"&lt;3K",IF(HR_Data[[#This Row],[MonthlyIncome]]&lt;6000,"3K-6K",IF(HR_Data[[#This Row],[MonthlyIncome]]&lt;10000,"6K-10K","10K+")))</f>
        <v>6K-10K</v>
      </c>
      <c r="AH706" s="1">
        <f>IF(HR_Data[[#This Row],[MonthlyIncome]]&lt;3000,1,IF(HR_Data[[#This Row],[MonthlyIncome]]&lt;6000,2,IF(HR_Data[[#This Row],[MonthlyIncome]]&lt;10000,3,4)))</f>
        <v>3</v>
      </c>
      <c r="AI706" s="1" t="str">
        <f>IF(HR_Data[[#This Row],[YearsAtCompany]]&lt;=2,"0-2 Yrs",IF(HR_Data[[#This Row],[YearsAtCompany]]&lt;=5,"3-5 Yrs",IF(HR_Data[[#This Row],[YearsAtCompany]]&lt;=10,"6-10 Yrs","10+ Yrs")))</f>
        <v>6-10 Yrs</v>
      </c>
      <c r="AJ706" s="1">
        <f>IF(HR_Data[[#This Row],[YearsAtCompany]]&lt;=2,1,IF(HR_Data[[#This Row],[YearsAtCompany]]&lt;=5,2,IF(HR_Data[[#This Row],[YearsAtCompany]]&lt;=10,3,4)))</f>
        <v>3</v>
      </c>
      <c r="AK706" s="1" t="str">
        <f>CHOOSE(HR_Data[[#This Row],[Education]],"Below College","College","Bachelor","Master","Doctor")</f>
        <v>Master</v>
      </c>
      <c r="AL706" s="1" t="str">
        <f>CHOOSE(HR_Data[[#This Row],[JobSatisfaction]],"Low","Medium","High","Very High")</f>
        <v>Very High</v>
      </c>
      <c r="AM706" s="1" t="str">
        <f>CHOOSE(HR_Data[[#This Row],[EnvironmentSatisfaction]],"Low","Medium","High","Very High")</f>
        <v>Very High</v>
      </c>
      <c r="AN706" s="1" t="str">
        <f>CHOOSE(HR_Data[[#This Row],[WorkLifeBalance]],"Bad","Good","Better","Best")</f>
        <v>Better</v>
      </c>
      <c r="AO706" s="1" t="str">
        <f>IF(HR_Data[[#This Row],[PercentSalaryHike]]&lt;=13,"11-13%",IF(HR_Data[[#This Row],[PercentSalaryHike]]&lt;=16,"14-16%",IF(HR_Data[[#This Row],[PercentSalaryHike]]&lt;=19,"17-19%","20-25%")))</f>
        <v>11-13%</v>
      </c>
      <c r="AP706" s="1">
        <f>IF(HR_Data[[#This Row],[PercentSalaryHike]]&lt;=13,1,IF(HR_Data[[#This Row],[PercentSalaryHike]]&lt;=16,2,IF(HR_Data[[#This Row],[PercentSalaryHike]]&lt;=19,3,4)))</f>
        <v>1</v>
      </c>
      <c r="AQ706" s="1" t="str">
        <f>IF(HR_Data[[#This Row],[DistanceFromHome]]&lt;=5,"1 to 5",IF(HR_Data[[#This Row],[DistanceFromHome]]&lt;=10,"6 to 10",IF(HR_Data[[#This Row],[DistanceFromHome]]&lt;=20,"11 to 20","21 to 29")))</f>
        <v>1 to 5</v>
      </c>
      <c r="AR706" s="1">
        <f>IF(HR_Data[[#This Row],[DistanceFromHome]]&lt;=5,1,IF(HR_Data[[#This Row],[DistanceFromHome]]&lt;=10,2,IF(HR_Data[[#This Row],[DistanceFromHome]]&lt;=20,3,4)))</f>
        <v>1</v>
      </c>
      <c r="AS706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706" s="1">
        <f>IF(HR_Data[[#This Row],[TotalWorkingYears]]&lt;=5,1,IF(HR_Data[[#This Row],[TotalWorkingYears]]&lt;=10,2,IF(HR_Data[[#This Row],[TotalWorkingYears]]&lt;=20,3,4)))</f>
        <v>3</v>
      </c>
    </row>
    <row r="707" spans="1:46" x14ac:dyDescent="0.25">
      <c r="A707">
        <v>39</v>
      </c>
      <c r="B707" t="s">
        <v>36</v>
      </c>
      <c r="C707" t="s">
        <v>30</v>
      </c>
      <c r="D707" t="s">
        <v>31</v>
      </c>
      <c r="E707">
        <v>2</v>
      </c>
      <c r="F707">
        <v>5</v>
      </c>
      <c r="G707" t="s">
        <v>32</v>
      </c>
      <c r="H707">
        <v>985</v>
      </c>
      <c r="I707">
        <v>1</v>
      </c>
      <c r="J707" t="s">
        <v>39</v>
      </c>
      <c r="K707">
        <v>4</v>
      </c>
      <c r="L707">
        <v>3</v>
      </c>
      <c r="M707" t="s">
        <v>34</v>
      </c>
      <c r="N707">
        <v>3</v>
      </c>
      <c r="O707" t="s">
        <v>35</v>
      </c>
      <c r="P707">
        <v>7880</v>
      </c>
      <c r="Q707">
        <v>0</v>
      </c>
      <c r="R707" t="s">
        <v>36</v>
      </c>
      <c r="S707">
        <v>18</v>
      </c>
      <c r="T707">
        <v>3</v>
      </c>
      <c r="U707">
        <v>4</v>
      </c>
      <c r="V707">
        <v>0</v>
      </c>
      <c r="W707">
        <v>9</v>
      </c>
      <c r="X707">
        <v>3</v>
      </c>
      <c r="Y707">
        <v>3</v>
      </c>
      <c r="Z707">
        <v>8</v>
      </c>
      <c r="AA707">
        <v>7</v>
      </c>
      <c r="AB707">
        <v>0</v>
      </c>
      <c r="AC707">
        <v>7</v>
      </c>
      <c r="AD707">
        <f>IF(HR_Data[[#This Row],[Attrition]]="Yes",1,0)</f>
        <v>0</v>
      </c>
      <c r="AE707" t="str">
        <f>IF(HR_Data[[#This Row],[Age]]&lt;=25,"18-25",IF(HR_Data[[#This Row],[Age]]&lt;=35,"26-35",IF(HR_Data[[#This Row],[Age]]&lt;=45,"36-45",IF(HR_Data[[#This Row],[Age]]&lt;=55,"46-55","55+"))))</f>
        <v>36-45</v>
      </c>
      <c r="AF707">
        <f>IF(HR_Data[[#This Row],[Age]]&lt;=25,1,IF(HR_Data[[#This Row],[Age]]&lt;=35,2,IF(HR_Data[[#This Row],[Age]]&lt;=45,3,IF(HR_Data[[#This Row],[Age]]&lt;=55,4,5))))</f>
        <v>3</v>
      </c>
      <c r="AG707" s="1" t="str">
        <f>IF(HR_Data[[#This Row],[MonthlyIncome]]&lt;3000,"&lt;3K",IF(HR_Data[[#This Row],[MonthlyIncome]]&lt;6000,"3K-6K",IF(HR_Data[[#This Row],[MonthlyIncome]]&lt;10000,"6K-10K","10K+")))</f>
        <v>6K-10K</v>
      </c>
      <c r="AH707" s="1">
        <f>IF(HR_Data[[#This Row],[MonthlyIncome]]&lt;3000,1,IF(HR_Data[[#This Row],[MonthlyIncome]]&lt;6000,2,IF(HR_Data[[#This Row],[MonthlyIncome]]&lt;10000,3,4)))</f>
        <v>3</v>
      </c>
      <c r="AI707" s="1" t="str">
        <f>IF(HR_Data[[#This Row],[YearsAtCompany]]&lt;=2,"0-2 Yrs",IF(HR_Data[[#This Row],[YearsAtCompany]]&lt;=5,"3-5 Yrs",IF(HR_Data[[#This Row],[YearsAtCompany]]&lt;=10,"6-10 Yrs","10+ Yrs")))</f>
        <v>6-10 Yrs</v>
      </c>
      <c r="AJ707" s="1">
        <f>IF(HR_Data[[#This Row],[YearsAtCompany]]&lt;=2,1,IF(HR_Data[[#This Row],[YearsAtCompany]]&lt;=5,2,IF(HR_Data[[#This Row],[YearsAtCompany]]&lt;=10,3,4)))</f>
        <v>3</v>
      </c>
      <c r="AK707" s="1" t="str">
        <f>CHOOSE(HR_Data[[#This Row],[Education]],"Below College","College","Bachelor","Master","Doctor")</f>
        <v>Doctor</v>
      </c>
      <c r="AL707" s="1" t="str">
        <f>CHOOSE(HR_Data[[#This Row],[JobSatisfaction]],"Low","Medium","High","Very High")</f>
        <v>High</v>
      </c>
      <c r="AM707" s="1" t="str">
        <f>CHOOSE(HR_Data[[#This Row],[EnvironmentSatisfaction]],"Low","Medium","High","Very High")</f>
        <v>Low</v>
      </c>
      <c r="AN707" s="1" t="str">
        <f>CHOOSE(HR_Data[[#This Row],[WorkLifeBalance]],"Bad","Good","Better","Best")</f>
        <v>Better</v>
      </c>
      <c r="AO707" s="1" t="str">
        <f>IF(HR_Data[[#This Row],[PercentSalaryHike]]&lt;=13,"11-13%",IF(HR_Data[[#This Row],[PercentSalaryHike]]&lt;=16,"14-16%",IF(HR_Data[[#This Row],[PercentSalaryHike]]&lt;=19,"17-19%","20-25%")))</f>
        <v>17-19%</v>
      </c>
      <c r="AP707" s="1">
        <f>IF(HR_Data[[#This Row],[PercentSalaryHike]]&lt;=13,1,IF(HR_Data[[#This Row],[PercentSalaryHike]]&lt;=16,2,IF(HR_Data[[#This Row],[PercentSalaryHike]]&lt;=19,3,4)))</f>
        <v>3</v>
      </c>
      <c r="AQ707" s="1" t="str">
        <f>IF(HR_Data[[#This Row],[DistanceFromHome]]&lt;=5,"1 to 5",IF(HR_Data[[#This Row],[DistanceFromHome]]&lt;=10,"6 to 10",IF(HR_Data[[#This Row],[DistanceFromHome]]&lt;=20,"11 to 20","21 to 29")))</f>
        <v>1 to 5</v>
      </c>
      <c r="AR707" s="1">
        <f>IF(HR_Data[[#This Row],[DistanceFromHome]]&lt;=5,1,IF(HR_Data[[#This Row],[DistanceFromHome]]&lt;=10,2,IF(HR_Data[[#This Row],[DistanceFromHome]]&lt;=20,3,4)))</f>
        <v>1</v>
      </c>
      <c r="AS707" s="1" t="str">
        <f>IF(HR_Data[[#This Row],[TotalWorkingYears]]&lt;=5,"0-5 Yrs",IF(HR_Data[[#This Row],[TotalWorkingYears]]&lt;=10,"6-10 Yrs",IF(HR_Data[[#This Row],[TotalWorkingYears]]&lt;=20,"11-20 Yrs","20+ Yrs")))</f>
        <v>6-10 Yrs</v>
      </c>
      <c r="AT707" s="1">
        <f>IF(HR_Data[[#This Row],[TotalWorkingYears]]&lt;=5,1,IF(HR_Data[[#This Row],[TotalWorkingYears]]&lt;=10,2,IF(HR_Data[[#This Row],[TotalWorkingYears]]&lt;=20,3,4)))</f>
        <v>2</v>
      </c>
    </row>
    <row r="708" spans="1:46" x14ac:dyDescent="0.25">
      <c r="A708">
        <v>40</v>
      </c>
      <c r="B708" t="s">
        <v>29</v>
      </c>
      <c r="C708" t="s">
        <v>48</v>
      </c>
      <c r="D708" t="s">
        <v>31</v>
      </c>
      <c r="E708">
        <v>24</v>
      </c>
      <c r="F708">
        <v>3</v>
      </c>
      <c r="G708" t="s">
        <v>32</v>
      </c>
      <c r="H708">
        <v>986</v>
      </c>
      <c r="I708">
        <v>2</v>
      </c>
      <c r="J708" t="s">
        <v>33</v>
      </c>
      <c r="K708">
        <v>4</v>
      </c>
      <c r="L708">
        <v>4</v>
      </c>
      <c r="M708" t="s">
        <v>34</v>
      </c>
      <c r="N708">
        <v>2</v>
      </c>
      <c r="O708" t="s">
        <v>35</v>
      </c>
      <c r="P708">
        <v>13194</v>
      </c>
      <c r="Q708">
        <v>4</v>
      </c>
      <c r="R708" t="s">
        <v>29</v>
      </c>
      <c r="S708">
        <v>16</v>
      </c>
      <c r="T708">
        <v>3</v>
      </c>
      <c r="U708">
        <v>4</v>
      </c>
      <c r="V708">
        <v>0</v>
      </c>
      <c r="W708">
        <v>22</v>
      </c>
      <c r="X708">
        <v>2</v>
      </c>
      <c r="Y708">
        <v>2</v>
      </c>
      <c r="Z708">
        <v>1</v>
      </c>
      <c r="AA708">
        <v>0</v>
      </c>
      <c r="AB708">
        <v>0</v>
      </c>
      <c r="AC708">
        <v>0</v>
      </c>
      <c r="AD708">
        <f>IF(HR_Data[[#This Row],[Attrition]]="Yes",1,0)</f>
        <v>1</v>
      </c>
      <c r="AE708" t="str">
        <f>IF(HR_Data[[#This Row],[Age]]&lt;=25,"18-25",IF(HR_Data[[#This Row],[Age]]&lt;=35,"26-35",IF(HR_Data[[#This Row],[Age]]&lt;=45,"36-45",IF(HR_Data[[#This Row],[Age]]&lt;=55,"46-55","55+"))))</f>
        <v>36-45</v>
      </c>
      <c r="AF708">
        <f>IF(HR_Data[[#This Row],[Age]]&lt;=25,1,IF(HR_Data[[#This Row],[Age]]&lt;=35,2,IF(HR_Data[[#This Row],[Age]]&lt;=45,3,IF(HR_Data[[#This Row],[Age]]&lt;=55,4,5))))</f>
        <v>3</v>
      </c>
      <c r="AG708" s="1" t="str">
        <f>IF(HR_Data[[#This Row],[MonthlyIncome]]&lt;3000,"&lt;3K",IF(HR_Data[[#This Row],[MonthlyIncome]]&lt;6000,"3K-6K",IF(HR_Data[[#This Row],[MonthlyIncome]]&lt;10000,"6K-10K","10K+")))</f>
        <v>10K+</v>
      </c>
      <c r="AH708" s="1">
        <f>IF(HR_Data[[#This Row],[MonthlyIncome]]&lt;3000,1,IF(HR_Data[[#This Row],[MonthlyIncome]]&lt;6000,2,IF(HR_Data[[#This Row],[MonthlyIncome]]&lt;10000,3,4)))</f>
        <v>4</v>
      </c>
      <c r="AI708" s="1" t="str">
        <f>IF(HR_Data[[#This Row],[YearsAtCompany]]&lt;=2,"0-2 Yrs",IF(HR_Data[[#This Row],[YearsAtCompany]]&lt;=5,"3-5 Yrs",IF(HR_Data[[#This Row],[YearsAtCompany]]&lt;=10,"6-10 Yrs","10+ Yrs")))</f>
        <v>0-2 Yrs</v>
      </c>
      <c r="AJ708" s="1">
        <f>IF(HR_Data[[#This Row],[YearsAtCompany]]&lt;=2,1,IF(HR_Data[[#This Row],[YearsAtCompany]]&lt;=5,2,IF(HR_Data[[#This Row],[YearsAtCompany]]&lt;=10,3,4)))</f>
        <v>1</v>
      </c>
      <c r="AK708" s="1" t="str">
        <f>CHOOSE(HR_Data[[#This Row],[Education]],"Below College","College","Bachelor","Master","Doctor")</f>
        <v>Bachelor</v>
      </c>
      <c r="AL708" s="1" t="str">
        <f>CHOOSE(HR_Data[[#This Row],[JobSatisfaction]],"Low","Medium","High","Very High")</f>
        <v>Medium</v>
      </c>
      <c r="AM708" s="1" t="str">
        <f>CHOOSE(HR_Data[[#This Row],[EnvironmentSatisfaction]],"Low","Medium","High","Very High")</f>
        <v>Medium</v>
      </c>
      <c r="AN708" s="1" t="str">
        <f>CHOOSE(HR_Data[[#This Row],[WorkLifeBalance]],"Bad","Good","Better","Best")</f>
        <v>Good</v>
      </c>
      <c r="AO708" s="1" t="str">
        <f>IF(HR_Data[[#This Row],[PercentSalaryHike]]&lt;=13,"11-13%",IF(HR_Data[[#This Row],[PercentSalaryHike]]&lt;=16,"14-16%",IF(HR_Data[[#This Row],[PercentSalaryHike]]&lt;=19,"17-19%","20-25%")))</f>
        <v>14-16%</v>
      </c>
      <c r="AP708" s="1">
        <f>IF(HR_Data[[#This Row],[PercentSalaryHike]]&lt;=13,1,IF(HR_Data[[#This Row],[PercentSalaryHike]]&lt;=16,2,IF(HR_Data[[#This Row],[PercentSalaryHike]]&lt;=19,3,4)))</f>
        <v>2</v>
      </c>
      <c r="AQ708" s="1" t="str">
        <f>IF(HR_Data[[#This Row],[DistanceFromHome]]&lt;=5,"1 to 5",IF(HR_Data[[#This Row],[DistanceFromHome]]&lt;=10,"6 to 10",IF(HR_Data[[#This Row],[DistanceFromHome]]&lt;=20,"11 to 20","21 to 29")))</f>
        <v>21 to 29</v>
      </c>
      <c r="AR708" s="1">
        <f>IF(HR_Data[[#This Row],[DistanceFromHome]]&lt;=5,1,IF(HR_Data[[#This Row],[DistanceFromHome]]&lt;=10,2,IF(HR_Data[[#This Row],[DistanceFromHome]]&lt;=20,3,4)))</f>
        <v>4</v>
      </c>
      <c r="AS708" s="1" t="str">
        <f>IF(HR_Data[[#This Row],[TotalWorkingYears]]&lt;=5,"0-5 Yrs",IF(HR_Data[[#This Row],[TotalWorkingYears]]&lt;=10,"6-10 Yrs",IF(HR_Data[[#This Row],[TotalWorkingYears]]&lt;=20,"11-20 Yrs","20+ Yrs")))</f>
        <v>20+ Yrs</v>
      </c>
      <c r="AT708" s="1">
        <f>IF(HR_Data[[#This Row],[TotalWorkingYears]]&lt;=5,1,IF(HR_Data[[#This Row],[TotalWorkingYears]]&lt;=10,2,IF(HR_Data[[#This Row],[TotalWorkingYears]]&lt;=20,3,4)))</f>
        <v>4</v>
      </c>
    </row>
    <row r="709" spans="1:46" x14ac:dyDescent="0.25">
      <c r="A709">
        <v>47</v>
      </c>
      <c r="B709" t="s">
        <v>36</v>
      </c>
      <c r="C709" t="s">
        <v>37</v>
      </c>
      <c r="D709" t="s">
        <v>38</v>
      </c>
      <c r="E709">
        <v>16</v>
      </c>
      <c r="F709">
        <v>4</v>
      </c>
      <c r="G709" t="s">
        <v>44</v>
      </c>
      <c r="H709">
        <v>987</v>
      </c>
      <c r="I709">
        <v>3</v>
      </c>
      <c r="J709" t="s">
        <v>39</v>
      </c>
      <c r="K709">
        <v>4</v>
      </c>
      <c r="L709">
        <v>2</v>
      </c>
      <c r="M709" t="s">
        <v>46</v>
      </c>
      <c r="N709">
        <v>3</v>
      </c>
      <c r="O709" t="s">
        <v>45</v>
      </c>
      <c r="P709">
        <v>5067</v>
      </c>
      <c r="Q709">
        <v>1</v>
      </c>
      <c r="R709" t="s">
        <v>29</v>
      </c>
      <c r="S709">
        <v>19</v>
      </c>
      <c r="T709">
        <v>3</v>
      </c>
      <c r="U709">
        <v>3</v>
      </c>
      <c r="V709">
        <v>0</v>
      </c>
      <c r="W709">
        <v>20</v>
      </c>
      <c r="X709">
        <v>3</v>
      </c>
      <c r="Y709">
        <v>4</v>
      </c>
      <c r="Z709">
        <v>19</v>
      </c>
      <c r="AA709">
        <v>10</v>
      </c>
      <c r="AB709">
        <v>2</v>
      </c>
      <c r="AC709">
        <v>7</v>
      </c>
      <c r="AD709">
        <f>IF(HR_Data[[#This Row],[Attrition]]="Yes",1,0)</f>
        <v>0</v>
      </c>
      <c r="AE709" t="str">
        <f>IF(HR_Data[[#This Row],[Age]]&lt;=25,"18-25",IF(HR_Data[[#This Row],[Age]]&lt;=35,"26-35",IF(HR_Data[[#This Row],[Age]]&lt;=45,"36-45",IF(HR_Data[[#This Row],[Age]]&lt;=55,"46-55","55+"))))</f>
        <v>46-55</v>
      </c>
      <c r="AF709">
        <f>IF(HR_Data[[#This Row],[Age]]&lt;=25,1,IF(HR_Data[[#This Row],[Age]]&lt;=35,2,IF(HR_Data[[#This Row],[Age]]&lt;=45,3,IF(HR_Data[[#This Row],[Age]]&lt;=55,4,5))))</f>
        <v>4</v>
      </c>
      <c r="AG709" s="1" t="str">
        <f>IF(HR_Data[[#This Row],[MonthlyIncome]]&lt;3000,"&lt;3K",IF(HR_Data[[#This Row],[MonthlyIncome]]&lt;6000,"3K-6K",IF(HR_Data[[#This Row],[MonthlyIncome]]&lt;10000,"6K-10K","10K+")))</f>
        <v>3K-6K</v>
      </c>
      <c r="AH709" s="1">
        <f>IF(HR_Data[[#This Row],[MonthlyIncome]]&lt;3000,1,IF(HR_Data[[#This Row],[MonthlyIncome]]&lt;6000,2,IF(HR_Data[[#This Row],[MonthlyIncome]]&lt;10000,3,4)))</f>
        <v>2</v>
      </c>
      <c r="AI709" s="1" t="str">
        <f>IF(HR_Data[[#This Row],[YearsAtCompany]]&lt;=2,"0-2 Yrs",IF(HR_Data[[#This Row],[YearsAtCompany]]&lt;=5,"3-5 Yrs",IF(HR_Data[[#This Row],[YearsAtCompany]]&lt;=10,"6-10 Yrs","10+ Yrs")))</f>
        <v>10+ Yrs</v>
      </c>
      <c r="AJ709" s="1">
        <f>IF(HR_Data[[#This Row],[YearsAtCompany]]&lt;=2,1,IF(HR_Data[[#This Row],[YearsAtCompany]]&lt;=5,2,IF(HR_Data[[#This Row],[YearsAtCompany]]&lt;=10,3,4)))</f>
        <v>4</v>
      </c>
      <c r="AK709" s="1" t="str">
        <f>CHOOSE(HR_Data[[#This Row],[Education]],"Below College","College","Bachelor","Master","Doctor")</f>
        <v>Master</v>
      </c>
      <c r="AL709" s="1" t="str">
        <f>CHOOSE(HR_Data[[#This Row],[JobSatisfaction]],"Low","Medium","High","Very High")</f>
        <v>High</v>
      </c>
      <c r="AM709" s="1" t="str">
        <f>CHOOSE(HR_Data[[#This Row],[EnvironmentSatisfaction]],"Low","Medium","High","Very High")</f>
        <v>High</v>
      </c>
      <c r="AN709" s="1" t="str">
        <f>CHOOSE(HR_Data[[#This Row],[WorkLifeBalance]],"Bad","Good","Better","Best")</f>
        <v>Best</v>
      </c>
      <c r="AO709" s="1" t="str">
        <f>IF(HR_Data[[#This Row],[PercentSalaryHike]]&lt;=13,"11-13%",IF(HR_Data[[#This Row],[PercentSalaryHike]]&lt;=16,"14-16%",IF(HR_Data[[#This Row],[PercentSalaryHike]]&lt;=19,"17-19%","20-25%")))</f>
        <v>17-19%</v>
      </c>
      <c r="AP709" s="1">
        <f>IF(HR_Data[[#This Row],[PercentSalaryHike]]&lt;=13,1,IF(HR_Data[[#This Row],[PercentSalaryHike]]&lt;=16,2,IF(HR_Data[[#This Row],[PercentSalaryHike]]&lt;=19,3,4)))</f>
        <v>3</v>
      </c>
      <c r="AQ709" s="1" t="str">
        <f>IF(HR_Data[[#This Row],[DistanceFromHome]]&lt;=5,"1 to 5",IF(HR_Data[[#This Row],[DistanceFromHome]]&lt;=10,"6 to 10",IF(HR_Data[[#This Row],[DistanceFromHome]]&lt;=20,"11 to 20","21 to 29")))</f>
        <v>11 to 20</v>
      </c>
      <c r="AR709" s="1">
        <f>IF(HR_Data[[#This Row],[DistanceFromHome]]&lt;=5,1,IF(HR_Data[[#This Row],[DistanceFromHome]]&lt;=10,2,IF(HR_Data[[#This Row],[DistanceFromHome]]&lt;=20,3,4)))</f>
        <v>3</v>
      </c>
      <c r="AS709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709" s="1">
        <f>IF(HR_Data[[#This Row],[TotalWorkingYears]]&lt;=5,1,IF(HR_Data[[#This Row],[TotalWorkingYears]]&lt;=10,2,IF(HR_Data[[#This Row],[TotalWorkingYears]]&lt;=20,3,4)))</f>
        <v>3</v>
      </c>
    </row>
    <row r="710" spans="1:46" x14ac:dyDescent="0.25">
      <c r="A710">
        <v>36</v>
      </c>
      <c r="B710" t="s">
        <v>36</v>
      </c>
      <c r="C710" t="s">
        <v>48</v>
      </c>
      <c r="D710" t="s">
        <v>31</v>
      </c>
      <c r="E710">
        <v>8</v>
      </c>
      <c r="F710">
        <v>4</v>
      </c>
      <c r="G710" t="s">
        <v>53</v>
      </c>
      <c r="H710">
        <v>990</v>
      </c>
      <c r="I710">
        <v>1</v>
      </c>
      <c r="J710" t="s">
        <v>39</v>
      </c>
      <c r="K710">
        <v>3</v>
      </c>
      <c r="L710">
        <v>2</v>
      </c>
      <c r="M710" t="s">
        <v>34</v>
      </c>
      <c r="N710">
        <v>4</v>
      </c>
      <c r="O710" t="s">
        <v>45</v>
      </c>
      <c r="P710">
        <v>5079</v>
      </c>
      <c r="Q710">
        <v>4</v>
      </c>
      <c r="R710" t="s">
        <v>36</v>
      </c>
      <c r="S710">
        <v>13</v>
      </c>
      <c r="T710">
        <v>3</v>
      </c>
      <c r="U710">
        <v>4</v>
      </c>
      <c r="V710">
        <v>2</v>
      </c>
      <c r="W710">
        <v>12</v>
      </c>
      <c r="X710">
        <v>3</v>
      </c>
      <c r="Y710">
        <v>3</v>
      </c>
      <c r="Z710">
        <v>7</v>
      </c>
      <c r="AA710">
        <v>7</v>
      </c>
      <c r="AB710">
        <v>0</v>
      </c>
      <c r="AC710">
        <v>7</v>
      </c>
      <c r="AD710">
        <f>IF(HR_Data[[#This Row],[Attrition]]="Yes",1,0)</f>
        <v>0</v>
      </c>
      <c r="AE710" t="str">
        <f>IF(HR_Data[[#This Row],[Age]]&lt;=25,"18-25",IF(HR_Data[[#This Row],[Age]]&lt;=35,"26-35",IF(HR_Data[[#This Row],[Age]]&lt;=45,"36-45",IF(HR_Data[[#This Row],[Age]]&lt;=55,"46-55","55+"))))</f>
        <v>36-45</v>
      </c>
      <c r="AF710">
        <f>IF(HR_Data[[#This Row],[Age]]&lt;=25,1,IF(HR_Data[[#This Row],[Age]]&lt;=35,2,IF(HR_Data[[#This Row],[Age]]&lt;=45,3,IF(HR_Data[[#This Row],[Age]]&lt;=55,4,5))))</f>
        <v>3</v>
      </c>
      <c r="AG710" s="1" t="str">
        <f>IF(HR_Data[[#This Row],[MonthlyIncome]]&lt;3000,"&lt;3K",IF(HR_Data[[#This Row],[MonthlyIncome]]&lt;6000,"3K-6K",IF(HR_Data[[#This Row],[MonthlyIncome]]&lt;10000,"6K-10K","10K+")))</f>
        <v>3K-6K</v>
      </c>
      <c r="AH710" s="1">
        <f>IF(HR_Data[[#This Row],[MonthlyIncome]]&lt;3000,1,IF(HR_Data[[#This Row],[MonthlyIncome]]&lt;6000,2,IF(HR_Data[[#This Row],[MonthlyIncome]]&lt;10000,3,4)))</f>
        <v>2</v>
      </c>
      <c r="AI710" s="1" t="str">
        <f>IF(HR_Data[[#This Row],[YearsAtCompany]]&lt;=2,"0-2 Yrs",IF(HR_Data[[#This Row],[YearsAtCompany]]&lt;=5,"3-5 Yrs",IF(HR_Data[[#This Row],[YearsAtCompany]]&lt;=10,"6-10 Yrs","10+ Yrs")))</f>
        <v>6-10 Yrs</v>
      </c>
      <c r="AJ710" s="1">
        <f>IF(HR_Data[[#This Row],[YearsAtCompany]]&lt;=2,1,IF(HR_Data[[#This Row],[YearsAtCompany]]&lt;=5,2,IF(HR_Data[[#This Row],[YearsAtCompany]]&lt;=10,3,4)))</f>
        <v>3</v>
      </c>
      <c r="AK710" s="1" t="str">
        <f>CHOOSE(HR_Data[[#This Row],[Education]],"Below College","College","Bachelor","Master","Doctor")</f>
        <v>Master</v>
      </c>
      <c r="AL710" s="1" t="str">
        <f>CHOOSE(HR_Data[[#This Row],[JobSatisfaction]],"Low","Medium","High","Very High")</f>
        <v>Very High</v>
      </c>
      <c r="AM710" s="1" t="str">
        <f>CHOOSE(HR_Data[[#This Row],[EnvironmentSatisfaction]],"Low","Medium","High","Very High")</f>
        <v>Low</v>
      </c>
      <c r="AN710" s="1" t="str">
        <f>CHOOSE(HR_Data[[#This Row],[WorkLifeBalance]],"Bad","Good","Better","Best")</f>
        <v>Better</v>
      </c>
      <c r="AO710" s="1" t="str">
        <f>IF(HR_Data[[#This Row],[PercentSalaryHike]]&lt;=13,"11-13%",IF(HR_Data[[#This Row],[PercentSalaryHike]]&lt;=16,"14-16%",IF(HR_Data[[#This Row],[PercentSalaryHike]]&lt;=19,"17-19%","20-25%")))</f>
        <v>11-13%</v>
      </c>
      <c r="AP710" s="1">
        <f>IF(HR_Data[[#This Row],[PercentSalaryHike]]&lt;=13,1,IF(HR_Data[[#This Row],[PercentSalaryHike]]&lt;=16,2,IF(HR_Data[[#This Row],[PercentSalaryHike]]&lt;=19,3,4)))</f>
        <v>1</v>
      </c>
      <c r="AQ710" s="1" t="str">
        <f>IF(HR_Data[[#This Row],[DistanceFromHome]]&lt;=5,"1 to 5",IF(HR_Data[[#This Row],[DistanceFromHome]]&lt;=10,"6 to 10",IF(HR_Data[[#This Row],[DistanceFromHome]]&lt;=20,"11 to 20","21 to 29")))</f>
        <v>6 to 10</v>
      </c>
      <c r="AR710" s="1">
        <f>IF(HR_Data[[#This Row],[DistanceFromHome]]&lt;=5,1,IF(HR_Data[[#This Row],[DistanceFromHome]]&lt;=10,2,IF(HR_Data[[#This Row],[DistanceFromHome]]&lt;=20,3,4)))</f>
        <v>2</v>
      </c>
      <c r="AS710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710" s="1">
        <f>IF(HR_Data[[#This Row],[TotalWorkingYears]]&lt;=5,1,IF(HR_Data[[#This Row],[TotalWorkingYears]]&lt;=10,2,IF(HR_Data[[#This Row],[TotalWorkingYears]]&lt;=20,3,4)))</f>
        <v>3</v>
      </c>
    </row>
    <row r="711" spans="1:46" x14ac:dyDescent="0.25">
      <c r="A711">
        <v>31</v>
      </c>
      <c r="B711" t="s">
        <v>29</v>
      </c>
      <c r="C711" t="s">
        <v>48</v>
      </c>
      <c r="D711" t="s">
        <v>38</v>
      </c>
      <c r="E711">
        <v>9</v>
      </c>
      <c r="F711">
        <v>2</v>
      </c>
      <c r="G711" t="s">
        <v>44</v>
      </c>
      <c r="H711">
        <v>991</v>
      </c>
      <c r="I711">
        <v>3</v>
      </c>
      <c r="J711" t="s">
        <v>39</v>
      </c>
      <c r="K711">
        <v>2</v>
      </c>
      <c r="L711">
        <v>1</v>
      </c>
      <c r="M711" t="s">
        <v>40</v>
      </c>
      <c r="N711">
        <v>1</v>
      </c>
      <c r="O711" t="s">
        <v>35</v>
      </c>
      <c r="P711">
        <v>2321</v>
      </c>
      <c r="Q711">
        <v>0</v>
      </c>
      <c r="R711" t="s">
        <v>29</v>
      </c>
      <c r="S711">
        <v>22</v>
      </c>
      <c r="T711">
        <v>4</v>
      </c>
      <c r="U711">
        <v>1</v>
      </c>
      <c r="V711">
        <v>0</v>
      </c>
      <c r="W711">
        <v>4</v>
      </c>
      <c r="X711">
        <v>0</v>
      </c>
      <c r="Y711">
        <v>3</v>
      </c>
      <c r="Z711">
        <v>3</v>
      </c>
      <c r="AA711">
        <v>2</v>
      </c>
      <c r="AB711">
        <v>1</v>
      </c>
      <c r="AC711">
        <v>2</v>
      </c>
      <c r="AD711">
        <f>IF(HR_Data[[#This Row],[Attrition]]="Yes",1,0)</f>
        <v>1</v>
      </c>
      <c r="AE711" t="str">
        <f>IF(HR_Data[[#This Row],[Age]]&lt;=25,"18-25",IF(HR_Data[[#This Row],[Age]]&lt;=35,"26-35",IF(HR_Data[[#This Row],[Age]]&lt;=45,"36-45",IF(HR_Data[[#This Row],[Age]]&lt;=55,"46-55","55+"))))</f>
        <v>26-35</v>
      </c>
      <c r="AF711">
        <f>IF(HR_Data[[#This Row],[Age]]&lt;=25,1,IF(HR_Data[[#This Row],[Age]]&lt;=35,2,IF(HR_Data[[#This Row],[Age]]&lt;=45,3,IF(HR_Data[[#This Row],[Age]]&lt;=55,4,5))))</f>
        <v>2</v>
      </c>
      <c r="AG711" s="1" t="str">
        <f>IF(HR_Data[[#This Row],[MonthlyIncome]]&lt;3000,"&lt;3K",IF(HR_Data[[#This Row],[MonthlyIncome]]&lt;6000,"3K-6K",IF(HR_Data[[#This Row],[MonthlyIncome]]&lt;10000,"6K-10K","10K+")))</f>
        <v>&lt;3K</v>
      </c>
      <c r="AH711" s="1">
        <f>IF(HR_Data[[#This Row],[MonthlyIncome]]&lt;3000,1,IF(HR_Data[[#This Row],[MonthlyIncome]]&lt;6000,2,IF(HR_Data[[#This Row],[MonthlyIncome]]&lt;10000,3,4)))</f>
        <v>1</v>
      </c>
      <c r="AI711" s="1" t="str">
        <f>IF(HR_Data[[#This Row],[YearsAtCompany]]&lt;=2,"0-2 Yrs",IF(HR_Data[[#This Row],[YearsAtCompany]]&lt;=5,"3-5 Yrs",IF(HR_Data[[#This Row],[YearsAtCompany]]&lt;=10,"6-10 Yrs","10+ Yrs")))</f>
        <v>3-5 Yrs</v>
      </c>
      <c r="AJ711" s="1">
        <f>IF(HR_Data[[#This Row],[YearsAtCompany]]&lt;=2,1,IF(HR_Data[[#This Row],[YearsAtCompany]]&lt;=5,2,IF(HR_Data[[#This Row],[YearsAtCompany]]&lt;=10,3,4)))</f>
        <v>2</v>
      </c>
      <c r="AK711" s="1" t="str">
        <f>CHOOSE(HR_Data[[#This Row],[Education]],"Below College","College","Bachelor","Master","Doctor")</f>
        <v>College</v>
      </c>
      <c r="AL711" s="1" t="str">
        <f>CHOOSE(HR_Data[[#This Row],[JobSatisfaction]],"Low","Medium","High","Very High")</f>
        <v>Low</v>
      </c>
      <c r="AM711" s="1" t="str">
        <f>CHOOSE(HR_Data[[#This Row],[EnvironmentSatisfaction]],"Low","Medium","High","Very High")</f>
        <v>High</v>
      </c>
      <c r="AN711" s="1" t="str">
        <f>CHOOSE(HR_Data[[#This Row],[WorkLifeBalance]],"Bad","Good","Better","Best")</f>
        <v>Better</v>
      </c>
      <c r="AO711" s="1" t="str">
        <f>IF(HR_Data[[#This Row],[PercentSalaryHike]]&lt;=13,"11-13%",IF(HR_Data[[#This Row],[PercentSalaryHike]]&lt;=16,"14-16%",IF(HR_Data[[#This Row],[PercentSalaryHike]]&lt;=19,"17-19%","20-25%")))</f>
        <v>20-25%</v>
      </c>
      <c r="AP711" s="1">
        <f>IF(HR_Data[[#This Row],[PercentSalaryHike]]&lt;=13,1,IF(HR_Data[[#This Row],[PercentSalaryHike]]&lt;=16,2,IF(HR_Data[[#This Row],[PercentSalaryHike]]&lt;=19,3,4)))</f>
        <v>4</v>
      </c>
      <c r="AQ711" s="1" t="str">
        <f>IF(HR_Data[[#This Row],[DistanceFromHome]]&lt;=5,"1 to 5",IF(HR_Data[[#This Row],[DistanceFromHome]]&lt;=10,"6 to 10",IF(HR_Data[[#This Row],[DistanceFromHome]]&lt;=20,"11 to 20","21 to 29")))</f>
        <v>6 to 10</v>
      </c>
      <c r="AR711" s="1">
        <f>IF(HR_Data[[#This Row],[DistanceFromHome]]&lt;=5,1,IF(HR_Data[[#This Row],[DistanceFromHome]]&lt;=10,2,IF(HR_Data[[#This Row],[DistanceFromHome]]&lt;=20,3,4)))</f>
        <v>2</v>
      </c>
      <c r="AS711" s="1" t="str">
        <f>IF(HR_Data[[#This Row],[TotalWorkingYears]]&lt;=5,"0-5 Yrs",IF(HR_Data[[#This Row],[TotalWorkingYears]]&lt;=10,"6-10 Yrs",IF(HR_Data[[#This Row],[TotalWorkingYears]]&lt;=20,"11-20 Yrs","20+ Yrs")))</f>
        <v>0-5 Yrs</v>
      </c>
      <c r="AT711" s="1">
        <f>IF(HR_Data[[#This Row],[TotalWorkingYears]]&lt;=5,1,IF(HR_Data[[#This Row],[TotalWorkingYears]]&lt;=10,2,IF(HR_Data[[#This Row],[TotalWorkingYears]]&lt;=20,3,4)))</f>
        <v>1</v>
      </c>
    </row>
    <row r="712" spans="1:46" x14ac:dyDescent="0.25">
      <c r="A712">
        <v>33</v>
      </c>
      <c r="B712" t="s">
        <v>36</v>
      </c>
      <c r="C712" t="s">
        <v>48</v>
      </c>
      <c r="D712" t="s">
        <v>31</v>
      </c>
      <c r="E712">
        <v>17</v>
      </c>
      <c r="F712">
        <v>3</v>
      </c>
      <c r="G712" t="s">
        <v>32</v>
      </c>
      <c r="H712">
        <v>992</v>
      </c>
      <c r="I712">
        <v>4</v>
      </c>
      <c r="J712" t="s">
        <v>39</v>
      </c>
      <c r="K712">
        <v>3</v>
      </c>
      <c r="L712">
        <v>4</v>
      </c>
      <c r="M712" t="s">
        <v>49</v>
      </c>
      <c r="N712">
        <v>3</v>
      </c>
      <c r="O712" t="s">
        <v>35</v>
      </c>
      <c r="P712">
        <v>17444</v>
      </c>
      <c r="Q712">
        <v>1</v>
      </c>
      <c r="R712" t="s">
        <v>36</v>
      </c>
      <c r="S712">
        <v>11</v>
      </c>
      <c r="T712">
        <v>3</v>
      </c>
      <c r="U712">
        <v>4</v>
      </c>
      <c r="V712">
        <v>0</v>
      </c>
      <c r="W712">
        <v>10</v>
      </c>
      <c r="X712">
        <v>2</v>
      </c>
      <c r="Y712">
        <v>3</v>
      </c>
      <c r="Z712">
        <v>10</v>
      </c>
      <c r="AA712">
        <v>8</v>
      </c>
      <c r="AB712">
        <v>6</v>
      </c>
      <c r="AC712">
        <v>0</v>
      </c>
      <c r="AD712">
        <f>IF(HR_Data[[#This Row],[Attrition]]="Yes",1,0)</f>
        <v>0</v>
      </c>
      <c r="AE712" t="str">
        <f>IF(HR_Data[[#This Row],[Age]]&lt;=25,"18-25",IF(HR_Data[[#This Row],[Age]]&lt;=35,"26-35",IF(HR_Data[[#This Row],[Age]]&lt;=45,"36-45",IF(HR_Data[[#This Row],[Age]]&lt;=55,"46-55","55+"))))</f>
        <v>26-35</v>
      </c>
      <c r="AF712">
        <f>IF(HR_Data[[#This Row],[Age]]&lt;=25,1,IF(HR_Data[[#This Row],[Age]]&lt;=35,2,IF(HR_Data[[#This Row],[Age]]&lt;=45,3,IF(HR_Data[[#This Row],[Age]]&lt;=55,4,5))))</f>
        <v>2</v>
      </c>
      <c r="AG712" s="1" t="str">
        <f>IF(HR_Data[[#This Row],[MonthlyIncome]]&lt;3000,"&lt;3K",IF(HR_Data[[#This Row],[MonthlyIncome]]&lt;6000,"3K-6K",IF(HR_Data[[#This Row],[MonthlyIncome]]&lt;10000,"6K-10K","10K+")))</f>
        <v>10K+</v>
      </c>
      <c r="AH712" s="1">
        <f>IF(HR_Data[[#This Row],[MonthlyIncome]]&lt;3000,1,IF(HR_Data[[#This Row],[MonthlyIncome]]&lt;6000,2,IF(HR_Data[[#This Row],[MonthlyIncome]]&lt;10000,3,4)))</f>
        <v>4</v>
      </c>
      <c r="AI712" s="1" t="str">
        <f>IF(HR_Data[[#This Row],[YearsAtCompany]]&lt;=2,"0-2 Yrs",IF(HR_Data[[#This Row],[YearsAtCompany]]&lt;=5,"3-5 Yrs",IF(HR_Data[[#This Row],[YearsAtCompany]]&lt;=10,"6-10 Yrs","10+ Yrs")))</f>
        <v>6-10 Yrs</v>
      </c>
      <c r="AJ712" s="1">
        <f>IF(HR_Data[[#This Row],[YearsAtCompany]]&lt;=2,1,IF(HR_Data[[#This Row],[YearsAtCompany]]&lt;=5,2,IF(HR_Data[[#This Row],[YearsAtCompany]]&lt;=10,3,4)))</f>
        <v>3</v>
      </c>
      <c r="AK712" s="1" t="str">
        <f>CHOOSE(HR_Data[[#This Row],[Education]],"Below College","College","Bachelor","Master","Doctor")</f>
        <v>Bachelor</v>
      </c>
      <c r="AL712" s="1" t="str">
        <f>CHOOSE(HR_Data[[#This Row],[JobSatisfaction]],"Low","Medium","High","Very High")</f>
        <v>High</v>
      </c>
      <c r="AM712" s="1" t="str">
        <f>CHOOSE(HR_Data[[#This Row],[EnvironmentSatisfaction]],"Low","Medium","High","Very High")</f>
        <v>Very High</v>
      </c>
      <c r="AN712" s="1" t="str">
        <f>CHOOSE(HR_Data[[#This Row],[WorkLifeBalance]],"Bad","Good","Better","Best")</f>
        <v>Better</v>
      </c>
      <c r="AO712" s="1" t="str">
        <f>IF(HR_Data[[#This Row],[PercentSalaryHike]]&lt;=13,"11-13%",IF(HR_Data[[#This Row],[PercentSalaryHike]]&lt;=16,"14-16%",IF(HR_Data[[#This Row],[PercentSalaryHike]]&lt;=19,"17-19%","20-25%")))</f>
        <v>11-13%</v>
      </c>
      <c r="AP712" s="1">
        <f>IF(HR_Data[[#This Row],[PercentSalaryHike]]&lt;=13,1,IF(HR_Data[[#This Row],[PercentSalaryHike]]&lt;=16,2,IF(HR_Data[[#This Row],[PercentSalaryHike]]&lt;=19,3,4)))</f>
        <v>1</v>
      </c>
      <c r="AQ712" s="1" t="str">
        <f>IF(HR_Data[[#This Row],[DistanceFromHome]]&lt;=5,"1 to 5",IF(HR_Data[[#This Row],[DistanceFromHome]]&lt;=10,"6 to 10",IF(HR_Data[[#This Row],[DistanceFromHome]]&lt;=20,"11 to 20","21 to 29")))</f>
        <v>11 to 20</v>
      </c>
      <c r="AR712" s="1">
        <f>IF(HR_Data[[#This Row],[DistanceFromHome]]&lt;=5,1,IF(HR_Data[[#This Row],[DistanceFromHome]]&lt;=10,2,IF(HR_Data[[#This Row],[DistanceFromHome]]&lt;=20,3,4)))</f>
        <v>3</v>
      </c>
      <c r="AS712" s="1" t="str">
        <f>IF(HR_Data[[#This Row],[TotalWorkingYears]]&lt;=5,"0-5 Yrs",IF(HR_Data[[#This Row],[TotalWorkingYears]]&lt;=10,"6-10 Yrs",IF(HR_Data[[#This Row],[TotalWorkingYears]]&lt;=20,"11-20 Yrs","20+ Yrs")))</f>
        <v>6-10 Yrs</v>
      </c>
      <c r="AT712" s="1">
        <f>IF(HR_Data[[#This Row],[TotalWorkingYears]]&lt;=5,1,IF(HR_Data[[#This Row],[TotalWorkingYears]]&lt;=10,2,IF(HR_Data[[#This Row],[TotalWorkingYears]]&lt;=20,3,4)))</f>
        <v>2</v>
      </c>
    </row>
    <row r="713" spans="1:46" x14ac:dyDescent="0.25">
      <c r="A713">
        <v>29</v>
      </c>
      <c r="B713" t="s">
        <v>29</v>
      </c>
      <c r="C713" t="s">
        <v>30</v>
      </c>
      <c r="D713" t="s">
        <v>38</v>
      </c>
      <c r="E713">
        <v>10</v>
      </c>
      <c r="F713">
        <v>3</v>
      </c>
      <c r="G713" t="s">
        <v>32</v>
      </c>
      <c r="H713">
        <v>994</v>
      </c>
      <c r="I713">
        <v>4</v>
      </c>
      <c r="J713" t="s">
        <v>33</v>
      </c>
      <c r="K713">
        <v>2</v>
      </c>
      <c r="L713">
        <v>1</v>
      </c>
      <c r="M713" t="s">
        <v>40</v>
      </c>
      <c r="N713">
        <v>1</v>
      </c>
      <c r="O713" t="s">
        <v>35</v>
      </c>
      <c r="P713">
        <v>2404</v>
      </c>
      <c r="Q713">
        <v>6</v>
      </c>
      <c r="R713" t="s">
        <v>29</v>
      </c>
      <c r="S713">
        <v>20</v>
      </c>
      <c r="T713">
        <v>4</v>
      </c>
      <c r="U713">
        <v>3</v>
      </c>
      <c r="V713">
        <v>0</v>
      </c>
      <c r="W713">
        <v>3</v>
      </c>
      <c r="X713">
        <v>5</v>
      </c>
      <c r="Y713">
        <v>3</v>
      </c>
      <c r="Z713">
        <v>0</v>
      </c>
      <c r="AA713">
        <v>0</v>
      </c>
      <c r="AB713">
        <v>0</v>
      </c>
      <c r="AC713">
        <v>0</v>
      </c>
      <c r="AD713">
        <f>IF(HR_Data[[#This Row],[Attrition]]="Yes",1,0)</f>
        <v>1</v>
      </c>
      <c r="AE713" t="str">
        <f>IF(HR_Data[[#This Row],[Age]]&lt;=25,"18-25",IF(HR_Data[[#This Row],[Age]]&lt;=35,"26-35",IF(HR_Data[[#This Row],[Age]]&lt;=45,"36-45",IF(HR_Data[[#This Row],[Age]]&lt;=55,"46-55","55+"))))</f>
        <v>26-35</v>
      </c>
      <c r="AF713">
        <f>IF(HR_Data[[#This Row],[Age]]&lt;=25,1,IF(HR_Data[[#This Row],[Age]]&lt;=35,2,IF(HR_Data[[#This Row],[Age]]&lt;=45,3,IF(HR_Data[[#This Row],[Age]]&lt;=55,4,5))))</f>
        <v>2</v>
      </c>
      <c r="AG713" s="1" t="str">
        <f>IF(HR_Data[[#This Row],[MonthlyIncome]]&lt;3000,"&lt;3K",IF(HR_Data[[#This Row],[MonthlyIncome]]&lt;6000,"3K-6K",IF(HR_Data[[#This Row],[MonthlyIncome]]&lt;10000,"6K-10K","10K+")))</f>
        <v>&lt;3K</v>
      </c>
      <c r="AH713" s="1">
        <f>IF(HR_Data[[#This Row],[MonthlyIncome]]&lt;3000,1,IF(HR_Data[[#This Row],[MonthlyIncome]]&lt;6000,2,IF(HR_Data[[#This Row],[MonthlyIncome]]&lt;10000,3,4)))</f>
        <v>1</v>
      </c>
      <c r="AI713" s="1" t="str">
        <f>IF(HR_Data[[#This Row],[YearsAtCompany]]&lt;=2,"0-2 Yrs",IF(HR_Data[[#This Row],[YearsAtCompany]]&lt;=5,"3-5 Yrs",IF(HR_Data[[#This Row],[YearsAtCompany]]&lt;=10,"6-10 Yrs","10+ Yrs")))</f>
        <v>0-2 Yrs</v>
      </c>
      <c r="AJ713" s="1">
        <f>IF(HR_Data[[#This Row],[YearsAtCompany]]&lt;=2,1,IF(HR_Data[[#This Row],[YearsAtCompany]]&lt;=5,2,IF(HR_Data[[#This Row],[YearsAtCompany]]&lt;=10,3,4)))</f>
        <v>1</v>
      </c>
      <c r="AK713" s="1" t="str">
        <f>CHOOSE(HR_Data[[#This Row],[Education]],"Below College","College","Bachelor","Master","Doctor")</f>
        <v>Bachelor</v>
      </c>
      <c r="AL713" s="1" t="str">
        <f>CHOOSE(HR_Data[[#This Row],[JobSatisfaction]],"Low","Medium","High","Very High")</f>
        <v>Low</v>
      </c>
      <c r="AM713" s="1" t="str">
        <f>CHOOSE(HR_Data[[#This Row],[EnvironmentSatisfaction]],"Low","Medium","High","Very High")</f>
        <v>Very High</v>
      </c>
      <c r="AN713" s="1" t="str">
        <f>CHOOSE(HR_Data[[#This Row],[WorkLifeBalance]],"Bad","Good","Better","Best")</f>
        <v>Better</v>
      </c>
      <c r="AO713" s="1" t="str">
        <f>IF(HR_Data[[#This Row],[PercentSalaryHike]]&lt;=13,"11-13%",IF(HR_Data[[#This Row],[PercentSalaryHike]]&lt;=16,"14-16%",IF(HR_Data[[#This Row],[PercentSalaryHike]]&lt;=19,"17-19%","20-25%")))</f>
        <v>20-25%</v>
      </c>
      <c r="AP713" s="1">
        <f>IF(HR_Data[[#This Row],[PercentSalaryHike]]&lt;=13,1,IF(HR_Data[[#This Row],[PercentSalaryHike]]&lt;=16,2,IF(HR_Data[[#This Row],[PercentSalaryHike]]&lt;=19,3,4)))</f>
        <v>4</v>
      </c>
      <c r="AQ713" s="1" t="str">
        <f>IF(HR_Data[[#This Row],[DistanceFromHome]]&lt;=5,"1 to 5",IF(HR_Data[[#This Row],[DistanceFromHome]]&lt;=10,"6 to 10",IF(HR_Data[[#This Row],[DistanceFromHome]]&lt;=20,"11 to 20","21 to 29")))</f>
        <v>6 to 10</v>
      </c>
      <c r="AR713" s="1">
        <f>IF(HR_Data[[#This Row],[DistanceFromHome]]&lt;=5,1,IF(HR_Data[[#This Row],[DistanceFromHome]]&lt;=10,2,IF(HR_Data[[#This Row],[DistanceFromHome]]&lt;=20,3,4)))</f>
        <v>2</v>
      </c>
      <c r="AS713" s="1" t="str">
        <f>IF(HR_Data[[#This Row],[TotalWorkingYears]]&lt;=5,"0-5 Yrs",IF(HR_Data[[#This Row],[TotalWorkingYears]]&lt;=10,"6-10 Yrs",IF(HR_Data[[#This Row],[TotalWorkingYears]]&lt;=20,"11-20 Yrs","20+ Yrs")))</f>
        <v>0-5 Yrs</v>
      </c>
      <c r="AT713" s="1">
        <f>IF(HR_Data[[#This Row],[TotalWorkingYears]]&lt;=5,1,IF(HR_Data[[#This Row],[TotalWorkingYears]]&lt;=10,2,IF(HR_Data[[#This Row],[TotalWorkingYears]]&lt;=20,3,4)))</f>
        <v>1</v>
      </c>
    </row>
    <row r="714" spans="1:46" x14ac:dyDescent="0.25">
      <c r="A714">
        <v>33</v>
      </c>
      <c r="B714" t="s">
        <v>36</v>
      </c>
      <c r="C714" t="s">
        <v>30</v>
      </c>
      <c r="D714" t="s">
        <v>38</v>
      </c>
      <c r="E714">
        <v>13</v>
      </c>
      <c r="F714">
        <v>1</v>
      </c>
      <c r="G714" t="s">
        <v>32</v>
      </c>
      <c r="H714">
        <v>995</v>
      </c>
      <c r="I714">
        <v>2</v>
      </c>
      <c r="J714" t="s">
        <v>33</v>
      </c>
      <c r="K714">
        <v>3</v>
      </c>
      <c r="L714">
        <v>1</v>
      </c>
      <c r="M714" t="s">
        <v>40</v>
      </c>
      <c r="N714">
        <v>4</v>
      </c>
      <c r="O714" t="s">
        <v>35</v>
      </c>
      <c r="P714">
        <v>3452</v>
      </c>
      <c r="Q714">
        <v>3</v>
      </c>
      <c r="R714" t="s">
        <v>36</v>
      </c>
      <c r="S714">
        <v>18</v>
      </c>
      <c r="T714">
        <v>3</v>
      </c>
      <c r="U714">
        <v>1</v>
      </c>
      <c r="V714">
        <v>0</v>
      </c>
      <c r="W714">
        <v>5</v>
      </c>
      <c r="X714">
        <v>4</v>
      </c>
      <c r="Y714">
        <v>3</v>
      </c>
      <c r="Z714">
        <v>3</v>
      </c>
      <c r="AA714">
        <v>2</v>
      </c>
      <c r="AB714">
        <v>0</v>
      </c>
      <c r="AC714">
        <v>2</v>
      </c>
      <c r="AD714">
        <f>IF(HR_Data[[#This Row],[Attrition]]="Yes",1,0)</f>
        <v>0</v>
      </c>
      <c r="AE714" t="str">
        <f>IF(HR_Data[[#This Row],[Age]]&lt;=25,"18-25",IF(HR_Data[[#This Row],[Age]]&lt;=35,"26-35",IF(HR_Data[[#This Row],[Age]]&lt;=45,"36-45",IF(HR_Data[[#This Row],[Age]]&lt;=55,"46-55","55+"))))</f>
        <v>26-35</v>
      </c>
      <c r="AF714">
        <f>IF(HR_Data[[#This Row],[Age]]&lt;=25,1,IF(HR_Data[[#This Row],[Age]]&lt;=35,2,IF(HR_Data[[#This Row],[Age]]&lt;=45,3,IF(HR_Data[[#This Row],[Age]]&lt;=55,4,5))))</f>
        <v>2</v>
      </c>
      <c r="AG714" s="1" t="str">
        <f>IF(HR_Data[[#This Row],[MonthlyIncome]]&lt;3000,"&lt;3K",IF(HR_Data[[#This Row],[MonthlyIncome]]&lt;6000,"3K-6K",IF(HR_Data[[#This Row],[MonthlyIncome]]&lt;10000,"6K-10K","10K+")))</f>
        <v>3K-6K</v>
      </c>
      <c r="AH714" s="1">
        <f>IF(HR_Data[[#This Row],[MonthlyIncome]]&lt;3000,1,IF(HR_Data[[#This Row],[MonthlyIncome]]&lt;6000,2,IF(HR_Data[[#This Row],[MonthlyIncome]]&lt;10000,3,4)))</f>
        <v>2</v>
      </c>
      <c r="AI714" s="1" t="str">
        <f>IF(HR_Data[[#This Row],[YearsAtCompany]]&lt;=2,"0-2 Yrs",IF(HR_Data[[#This Row],[YearsAtCompany]]&lt;=5,"3-5 Yrs",IF(HR_Data[[#This Row],[YearsAtCompany]]&lt;=10,"6-10 Yrs","10+ Yrs")))</f>
        <v>3-5 Yrs</v>
      </c>
      <c r="AJ714" s="1">
        <f>IF(HR_Data[[#This Row],[YearsAtCompany]]&lt;=2,1,IF(HR_Data[[#This Row],[YearsAtCompany]]&lt;=5,2,IF(HR_Data[[#This Row],[YearsAtCompany]]&lt;=10,3,4)))</f>
        <v>2</v>
      </c>
      <c r="AK714" s="1" t="str">
        <f>CHOOSE(HR_Data[[#This Row],[Education]],"Below College","College","Bachelor","Master","Doctor")</f>
        <v>Below College</v>
      </c>
      <c r="AL714" s="1" t="str">
        <f>CHOOSE(HR_Data[[#This Row],[JobSatisfaction]],"Low","Medium","High","Very High")</f>
        <v>Very High</v>
      </c>
      <c r="AM714" s="1" t="str">
        <f>CHOOSE(HR_Data[[#This Row],[EnvironmentSatisfaction]],"Low","Medium","High","Very High")</f>
        <v>Medium</v>
      </c>
      <c r="AN714" s="1" t="str">
        <f>CHOOSE(HR_Data[[#This Row],[WorkLifeBalance]],"Bad","Good","Better","Best")</f>
        <v>Better</v>
      </c>
      <c r="AO714" s="1" t="str">
        <f>IF(HR_Data[[#This Row],[PercentSalaryHike]]&lt;=13,"11-13%",IF(HR_Data[[#This Row],[PercentSalaryHike]]&lt;=16,"14-16%",IF(HR_Data[[#This Row],[PercentSalaryHike]]&lt;=19,"17-19%","20-25%")))</f>
        <v>17-19%</v>
      </c>
      <c r="AP714" s="1">
        <f>IF(HR_Data[[#This Row],[PercentSalaryHike]]&lt;=13,1,IF(HR_Data[[#This Row],[PercentSalaryHike]]&lt;=16,2,IF(HR_Data[[#This Row],[PercentSalaryHike]]&lt;=19,3,4)))</f>
        <v>3</v>
      </c>
      <c r="AQ714" s="1" t="str">
        <f>IF(HR_Data[[#This Row],[DistanceFromHome]]&lt;=5,"1 to 5",IF(HR_Data[[#This Row],[DistanceFromHome]]&lt;=10,"6 to 10",IF(HR_Data[[#This Row],[DistanceFromHome]]&lt;=20,"11 to 20","21 to 29")))</f>
        <v>11 to 20</v>
      </c>
      <c r="AR714" s="1">
        <f>IF(HR_Data[[#This Row],[DistanceFromHome]]&lt;=5,1,IF(HR_Data[[#This Row],[DistanceFromHome]]&lt;=10,2,IF(HR_Data[[#This Row],[DistanceFromHome]]&lt;=20,3,4)))</f>
        <v>3</v>
      </c>
      <c r="AS714" s="1" t="str">
        <f>IF(HR_Data[[#This Row],[TotalWorkingYears]]&lt;=5,"0-5 Yrs",IF(HR_Data[[#This Row],[TotalWorkingYears]]&lt;=10,"6-10 Yrs",IF(HR_Data[[#This Row],[TotalWorkingYears]]&lt;=20,"11-20 Yrs","20+ Yrs")))</f>
        <v>0-5 Yrs</v>
      </c>
      <c r="AT714" s="1">
        <f>IF(HR_Data[[#This Row],[TotalWorkingYears]]&lt;=5,1,IF(HR_Data[[#This Row],[TotalWorkingYears]]&lt;=10,2,IF(HR_Data[[#This Row],[TotalWorkingYears]]&lt;=20,3,4)))</f>
        <v>1</v>
      </c>
    </row>
    <row r="715" spans="1:46" x14ac:dyDescent="0.25">
      <c r="A715">
        <v>45</v>
      </c>
      <c r="B715" t="s">
        <v>36</v>
      </c>
      <c r="C715" t="s">
        <v>30</v>
      </c>
      <c r="D715" t="s">
        <v>38</v>
      </c>
      <c r="E715">
        <v>1</v>
      </c>
      <c r="F715">
        <v>4</v>
      </c>
      <c r="G715" t="s">
        <v>44</v>
      </c>
      <c r="H715">
        <v>996</v>
      </c>
      <c r="I715">
        <v>4</v>
      </c>
      <c r="J715" t="s">
        <v>33</v>
      </c>
      <c r="K715">
        <v>3</v>
      </c>
      <c r="L715">
        <v>1</v>
      </c>
      <c r="M715" t="s">
        <v>43</v>
      </c>
      <c r="N715">
        <v>4</v>
      </c>
      <c r="O715" t="s">
        <v>45</v>
      </c>
      <c r="P715">
        <v>2270</v>
      </c>
      <c r="Q715">
        <v>3</v>
      </c>
      <c r="R715" t="s">
        <v>36</v>
      </c>
      <c r="S715">
        <v>14</v>
      </c>
      <c r="T715">
        <v>3</v>
      </c>
      <c r="U715">
        <v>4</v>
      </c>
      <c r="V715">
        <v>2</v>
      </c>
      <c r="W715">
        <v>8</v>
      </c>
      <c r="X715">
        <v>2</v>
      </c>
      <c r="Y715">
        <v>3</v>
      </c>
      <c r="Z715">
        <v>5</v>
      </c>
      <c r="AA715">
        <v>3</v>
      </c>
      <c r="AB715">
        <v>0</v>
      </c>
      <c r="AC715">
        <v>2</v>
      </c>
      <c r="AD715">
        <f>IF(HR_Data[[#This Row],[Attrition]]="Yes",1,0)</f>
        <v>0</v>
      </c>
      <c r="AE715" t="str">
        <f>IF(HR_Data[[#This Row],[Age]]&lt;=25,"18-25",IF(HR_Data[[#This Row],[Age]]&lt;=35,"26-35",IF(HR_Data[[#This Row],[Age]]&lt;=45,"36-45",IF(HR_Data[[#This Row],[Age]]&lt;=55,"46-55","55+"))))</f>
        <v>36-45</v>
      </c>
      <c r="AF715">
        <f>IF(HR_Data[[#This Row],[Age]]&lt;=25,1,IF(HR_Data[[#This Row],[Age]]&lt;=35,2,IF(HR_Data[[#This Row],[Age]]&lt;=45,3,IF(HR_Data[[#This Row],[Age]]&lt;=55,4,5))))</f>
        <v>3</v>
      </c>
      <c r="AG715" s="1" t="str">
        <f>IF(HR_Data[[#This Row],[MonthlyIncome]]&lt;3000,"&lt;3K",IF(HR_Data[[#This Row],[MonthlyIncome]]&lt;6000,"3K-6K",IF(HR_Data[[#This Row],[MonthlyIncome]]&lt;10000,"6K-10K","10K+")))</f>
        <v>&lt;3K</v>
      </c>
      <c r="AH715" s="1">
        <f>IF(HR_Data[[#This Row],[MonthlyIncome]]&lt;3000,1,IF(HR_Data[[#This Row],[MonthlyIncome]]&lt;6000,2,IF(HR_Data[[#This Row],[MonthlyIncome]]&lt;10000,3,4)))</f>
        <v>1</v>
      </c>
      <c r="AI715" s="1" t="str">
        <f>IF(HR_Data[[#This Row],[YearsAtCompany]]&lt;=2,"0-2 Yrs",IF(HR_Data[[#This Row],[YearsAtCompany]]&lt;=5,"3-5 Yrs",IF(HR_Data[[#This Row],[YearsAtCompany]]&lt;=10,"6-10 Yrs","10+ Yrs")))</f>
        <v>3-5 Yrs</v>
      </c>
      <c r="AJ715" s="1">
        <f>IF(HR_Data[[#This Row],[YearsAtCompany]]&lt;=2,1,IF(HR_Data[[#This Row],[YearsAtCompany]]&lt;=5,2,IF(HR_Data[[#This Row],[YearsAtCompany]]&lt;=10,3,4)))</f>
        <v>2</v>
      </c>
      <c r="AK715" s="1" t="str">
        <f>CHOOSE(HR_Data[[#This Row],[Education]],"Below College","College","Bachelor","Master","Doctor")</f>
        <v>Master</v>
      </c>
      <c r="AL715" s="1" t="str">
        <f>CHOOSE(HR_Data[[#This Row],[JobSatisfaction]],"Low","Medium","High","Very High")</f>
        <v>Very High</v>
      </c>
      <c r="AM715" s="1" t="str">
        <f>CHOOSE(HR_Data[[#This Row],[EnvironmentSatisfaction]],"Low","Medium","High","Very High")</f>
        <v>Very High</v>
      </c>
      <c r="AN715" s="1" t="str">
        <f>CHOOSE(HR_Data[[#This Row],[WorkLifeBalance]],"Bad","Good","Better","Best")</f>
        <v>Better</v>
      </c>
      <c r="AO715" s="1" t="str">
        <f>IF(HR_Data[[#This Row],[PercentSalaryHike]]&lt;=13,"11-13%",IF(HR_Data[[#This Row],[PercentSalaryHike]]&lt;=16,"14-16%",IF(HR_Data[[#This Row],[PercentSalaryHike]]&lt;=19,"17-19%","20-25%")))</f>
        <v>14-16%</v>
      </c>
      <c r="AP715" s="1">
        <f>IF(HR_Data[[#This Row],[PercentSalaryHike]]&lt;=13,1,IF(HR_Data[[#This Row],[PercentSalaryHike]]&lt;=16,2,IF(HR_Data[[#This Row],[PercentSalaryHike]]&lt;=19,3,4)))</f>
        <v>2</v>
      </c>
      <c r="AQ715" s="1" t="str">
        <f>IF(HR_Data[[#This Row],[DistanceFromHome]]&lt;=5,"1 to 5",IF(HR_Data[[#This Row],[DistanceFromHome]]&lt;=10,"6 to 10",IF(HR_Data[[#This Row],[DistanceFromHome]]&lt;=20,"11 to 20","21 to 29")))</f>
        <v>1 to 5</v>
      </c>
      <c r="AR715" s="1">
        <f>IF(HR_Data[[#This Row],[DistanceFromHome]]&lt;=5,1,IF(HR_Data[[#This Row],[DistanceFromHome]]&lt;=10,2,IF(HR_Data[[#This Row],[DistanceFromHome]]&lt;=20,3,4)))</f>
        <v>1</v>
      </c>
      <c r="AS715" s="1" t="str">
        <f>IF(HR_Data[[#This Row],[TotalWorkingYears]]&lt;=5,"0-5 Yrs",IF(HR_Data[[#This Row],[TotalWorkingYears]]&lt;=10,"6-10 Yrs",IF(HR_Data[[#This Row],[TotalWorkingYears]]&lt;=20,"11-20 Yrs","20+ Yrs")))</f>
        <v>6-10 Yrs</v>
      </c>
      <c r="AT715" s="1">
        <f>IF(HR_Data[[#This Row],[TotalWorkingYears]]&lt;=5,1,IF(HR_Data[[#This Row],[TotalWorkingYears]]&lt;=10,2,IF(HR_Data[[#This Row],[TotalWorkingYears]]&lt;=20,3,4)))</f>
        <v>2</v>
      </c>
    </row>
    <row r="716" spans="1:46" x14ac:dyDescent="0.25">
      <c r="A716">
        <v>50</v>
      </c>
      <c r="B716" t="s">
        <v>36</v>
      </c>
      <c r="C716" t="s">
        <v>30</v>
      </c>
      <c r="D716" t="s">
        <v>38</v>
      </c>
      <c r="E716">
        <v>1</v>
      </c>
      <c r="F716">
        <v>2</v>
      </c>
      <c r="G716" t="s">
        <v>44</v>
      </c>
      <c r="H716">
        <v>997</v>
      </c>
      <c r="I716">
        <v>4</v>
      </c>
      <c r="J716" t="s">
        <v>39</v>
      </c>
      <c r="K716">
        <v>3</v>
      </c>
      <c r="L716">
        <v>4</v>
      </c>
      <c r="M716" t="s">
        <v>51</v>
      </c>
      <c r="N716">
        <v>4</v>
      </c>
      <c r="O716" t="s">
        <v>45</v>
      </c>
      <c r="P716">
        <v>17399</v>
      </c>
      <c r="Q716">
        <v>9</v>
      </c>
      <c r="R716" t="s">
        <v>36</v>
      </c>
      <c r="S716">
        <v>22</v>
      </c>
      <c r="T716">
        <v>4</v>
      </c>
      <c r="U716">
        <v>3</v>
      </c>
      <c r="V716">
        <v>1</v>
      </c>
      <c r="W716">
        <v>32</v>
      </c>
      <c r="X716">
        <v>1</v>
      </c>
      <c r="Y716">
        <v>2</v>
      </c>
      <c r="Z716">
        <v>5</v>
      </c>
      <c r="AA716">
        <v>4</v>
      </c>
      <c r="AB716">
        <v>1</v>
      </c>
      <c r="AC716">
        <v>3</v>
      </c>
      <c r="AD716">
        <f>IF(HR_Data[[#This Row],[Attrition]]="Yes",1,0)</f>
        <v>0</v>
      </c>
      <c r="AE716" t="str">
        <f>IF(HR_Data[[#This Row],[Age]]&lt;=25,"18-25",IF(HR_Data[[#This Row],[Age]]&lt;=35,"26-35",IF(HR_Data[[#This Row],[Age]]&lt;=45,"36-45",IF(HR_Data[[#This Row],[Age]]&lt;=55,"46-55","55+"))))</f>
        <v>46-55</v>
      </c>
      <c r="AF716">
        <f>IF(HR_Data[[#This Row],[Age]]&lt;=25,1,IF(HR_Data[[#This Row],[Age]]&lt;=35,2,IF(HR_Data[[#This Row],[Age]]&lt;=45,3,IF(HR_Data[[#This Row],[Age]]&lt;=55,4,5))))</f>
        <v>4</v>
      </c>
      <c r="AG716" s="1" t="str">
        <f>IF(HR_Data[[#This Row],[MonthlyIncome]]&lt;3000,"&lt;3K",IF(HR_Data[[#This Row],[MonthlyIncome]]&lt;6000,"3K-6K",IF(HR_Data[[#This Row],[MonthlyIncome]]&lt;10000,"6K-10K","10K+")))</f>
        <v>10K+</v>
      </c>
      <c r="AH716" s="1">
        <f>IF(HR_Data[[#This Row],[MonthlyIncome]]&lt;3000,1,IF(HR_Data[[#This Row],[MonthlyIncome]]&lt;6000,2,IF(HR_Data[[#This Row],[MonthlyIncome]]&lt;10000,3,4)))</f>
        <v>4</v>
      </c>
      <c r="AI716" s="1" t="str">
        <f>IF(HR_Data[[#This Row],[YearsAtCompany]]&lt;=2,"0-2 Yrs",IF(HR_Data[[#This Row],[YearsAtCompany]]&lt;=5,"3-5 Yrs",IF(HR_Data[[#This Row],[YearsAtCompany]]&lt;=10,"6-10 Yrs","10+ Yrs")))</f>
        <v>3-5 Yrs</v>
      </c>
      <c r="AJ716" s="1">
        <f>IF(HR_Data[[#This Row],[YearsAtCompany]]&lt;=2,1,IF(HR_Data[[#This Row],[YearsAtCompany]]&lt;=5,2,IF(HR_Data[[#This Row],[YearsAtCompany]]&lt;=10,3,4)))</f>
        <v>2</v>
      </c>
      <c r="AK716" s="1" t="str">
        <f>CHOOSE(HR_Data[[#This Row],[Education]],"Below College","College","Bachelor","Master","Doctor")</f>
        <v>College</v>
      </c>
      <c r="AL716" s="1" t="str">
        <f>CHOOSE(HR_Data[[#This Row],[JobSatisfaction]],"Low","Medium","High","Very High")</f>
        <v>Very High</v>
      </c>
      <c r="AM716" s="1" t="str">
        <f>CHOOSE(HR_Data[[#This Row],[EnvironmentSatisfaction]],"Low","Medium","High","Very High")</f>
        <v>Very High</v>
      </c>
      <c r="AN716" s="1" t="str">
        <f>CHOOSE(HR_Data[[#This Row],[WorkLifeBalance]],"Bad","Good","Better","Best")</f>
        <v>Good</v>
      </c>
      <c r="AO716" s="1" t="str">
        <f>IF(HR_Data[[#This Row],[PercentSalaryHike]]&lt;=13,"11-13%",IF(HR_Data[[#This Row],[PercentSalaryHike]]&lt;=16,"14-16%",IF(HR_Data[[#This Row],[PercentSalaryHike]]&lt;=19,"17-19%","20-25%")))</f>
        <v>20-25%</v>
      </c>
      <c r="AP716" s="1">
        <f>IF(HR_Data[[#This Row],[PercentSalaryHike]]&lt;=13,1,IF(HR_Data[[#This Row],[PercentSalaryHike]]&lt;=16,2,IF(HR_Data[[#This Row],[PercentSalaryHike]]&lt;=19,3,4)))</f>
        <v>4</v>
      </c>
      <c r="AQ716" s="1" t="str">
        <f>IF(HR_Data[[#This Row],[DistanceFromHome]]&lt;=5,"1 to 5",IF(HR_Data[[#This Row],[DistanceFromHome]]&lt;=10,"6 to 10",IF(HR_Data[[#This Row],[DistanceFromHome]]&lt;=20,"11 to 20","21 to 29")))</f>
        <v>1 to 5</v>
      </c>
      <c r="AR716" s="1">
        <f>IF(HR_Data[[#This Row],[DistanceFromHome]]&lt;=5,1,IF(HR_Data[[#This Row],[DistanceFromHome]]&lt;=10,2,IF(HR_Data[[#This Row],[DistanceFromHome]]&lt;=20,3,4)))</f>
        <v>1</v>
      </c>
      <c r="AS716" s="1" t="str">
        <f>IF(HR_Data[[#This Row],[TotalWorkingYears]]&lt;=5,"0-5 Yrs",IF(HR_Data[[#This Row],[TotalWorkingYears]]&lt;=10,"6-10 Yrs",IF(HR_Data[[#This Row],[TotalWorkingYears]]&lt;=20,"11-20 Yrs","20+ Yrs")))</f>
        <v>20+ Yrs</v>
      </c>
      <c r="AT716" s="1">
        <f>IF(HR_Data[[#This Row],[TotalWorkingYears]]&lt;=5,1,IF(HR_Data[[#This Row],[TotalWorkingYears]]&lt;=10,2,IF(HR_Data[[#This Row],[TotalWorkingYears]]&lt;=20,3,4)))</f>
        <v>4</v>
      </c>
    </row>
    <row r="717" spans="1:46" x14ac:dyDescent="0.25">
      <c r="A717">
        <v>33</v>
      </c>
      <c r="B717" t="s">
        <v>36</v>
      </c>
      <c r="C717" t="s">
        <v>37</v>
      </c>
      <c r="D717" t="s">
        <v>38</v>
      </c>
      <c r="E717">
        <v>1</v>
      </c>
      <c r="F717">
        <v>4</v>
      </c>
      <c r="G717" t="s">
        <v>42</v>
      </c>
      <c r="H717">
        <v>998</v>
      </c>
      <c r="I717">
        <v>3</v>
      </c>
      <c r="J717" t="s">
        <v>33</v>
      </c>
      <c r="K717">
        <v>4</v>
      </c>
      <c r="L717">
        <v>2</v>
      </c>
      <c r="M717" t="s">
        <v>47</v>
      </c>
      <c r="N717">
        <v>2</v>
      </c>
      <c r="O717" t="s">
        <v>41</v>
      </c>
      <c r="P717">
        <v>5488</v>
      </c>
      <c r="Q717">
        <v>1</v>
      </c>
      <c r="R717" t="s">
        <v>29</v>
      </c>
      <c r="S717">
        <v>13</v>
      </c>
      <c r="T717">
        <v>3</v>
      </c>
      <c r="U717">
        <v>1</v>
      </c>
      <c r="V717">
        <v>1</v>
      </c>
      <c r="W717">
        <v>6</v>
      </c>
      <c r="X717">
        <v>2</v>
      </c>
      <c r="Y717">
        <v>3</v>
      </c>
      <c r="Z717">
        <v>6</v>
      </c>
      <c r="AA717">
        <v>5</v>
      </c>
      <c r="AB717">
        <v>1</v>
      </c>
      <c r="AC717">
        <v>2</v>
      </c>
      <c r="AD717">
        <f>IF(HR_Data[[#This Row],[Attrition]]="Yes",1,0)</f>
        <v>0</v>
      </c>
      <c r="AE717" t="str">
        <f>IF(HR_Data[[#This Row],[Age]]&lt;=25,"18-25",IF(HR_Data[[#This Row],[Age]]&lt;=35,"26-35",IF(HR_Data[[#This Row],[Age]]&lt;=45,"36-45",IF(HR_Data[[#This Row],[Age]]&lt;=55,"46-55","55+"))))</f>
        <v>26-35</v>
      </c>
      <c r="AF717">
        <f>IF(HR_Data[[#This Row],[Age]]&lt;=25,1,IF(HR_Data[[#This Row],[Age]]&lt;=35,2,IF(HR_Data[[#This Row],[Age]]&lt;=45,3,IF(HR_Data[[#This Row],[Age]]&lt;=55,4,5))))</f>
        <v>2</v>
      </c>
      <c r="AG717" s="1" t="str">
        <f>IF(HR_Data[[#This Row],[MonthlyIncome]]&lt;3000,"&lt;3K",IF(HR_Data[[#This Row],[MonthlyIncome]]&lt;6000,"3K-6K",IF(HR_Data[[#This Row],[MonthlyIncome]]&lt;10000,"6K-10K","10K+")))</f>
        <v>3K-6K</v>
      </c>
      <c r="AH717" s="1">
        <f>IF(HR_Data[[#This Row],[MonthlyIncome]]&lt;3000,1,IF(HR_Data[[#This Row],[MonthlyIncome]]&lt;6000,2,IF(HR_Data[[#This Row],[MonthlyIncome]]&lt;10000,3,4)))</f>
        <v>2</v>
      </c>
      <c r="AI717" s="1" t="str">
        <f>IF(HR_Data[[#This Row],[YearsAtCompany]]&lt;=2,"0-2 Yrs",IF(HR_Data[[#This Row],[YearsAtCompany]]&lt;=5,"3-5 Yrs",IF(HR_Data[[#This Row],[YearsAtCompany]]&lt;=10,"6-10 Yrs","10+ Yrs")))</f>
        <v>6-10 Yrs</v>
      </c>
      <c r="AJ717" s="1">
        <f>IF(HR_Data[[#This Row],[YearsAtCompany]]&lt;=2,1,IF(HR_Data[[#This Row],[YearsAtCompany]]&lt;=5,2,IF(HR_Data[[#This Row],[YearsAtCompany]]&lt;=10,3,4)))</f>
        <v>3</v>
      </c>
      <c r="AK717" s="1" t="str">
        <f>CHOOSE(HR_Data[[#This Row],[Education]],"Below College","College","Bachelor","Master","Doctor")</f>
        <v>Master</v>
      </c>
      <c r="AL717" s="1" t="str">
        <f>CHOOSE(HR_Data[[#This Row],[JobSatisfaction]],"Low","Medium","High","Very High")</f>
        <v>Medium</v>
      </c>
      <c r="AM717" s="1" t="str">
        <f>CHOOSE(HR_Data[[#This Row],[EnvironmentSatisfaction]],"Low","Medium","High","Very High")</f>
        <v>High</v>
      </c>
      <c r="AN717" s="1" t="str">
        <f>CHOOSE(HR_Data[[#This Row],[WorkLifeBalance]],"Bad","Good","Better","Best")</f>
        <v>Better</v>
      </c>
      <c r="AO717" s="1" t="str">
        <f>IF(HR_Data[[#This Row],[PercentSalaryHike]]&lt;=13,"11-13%",IF(HR_Data[[#This Row],[PercentSalaryHike]]&lt;=16,"14-16%",IF(HR_Data[[#This Row],[PercentSalaryHike]]&lt;=19,"17-19%","20-25%")))</f>
        <v>11-13%</v>
      </c>
      <c r="AP717" s="1">
        <f>IF(HR_Data[[#This Row],[PercentSalaryHike]]&lt;=13,1,IF(HR_Data[[#This Row],[PercentSalaryHike]]&lt;=16,2,IF(HR_Data[[#This Row],[PercentSalaryHike]]&lt;=19,3,4)))</f>
        <v>1</v>
      </c>
      <c r="AQ717" s="1" t="str">
        <f>IF(HR_Data[[#This Row],[DistanceFromHome]]&lt;=5,"1 to 5",IF(HR_Data[[#This Row],[DistanceFromHome]]&lt;=10,"6 to 10",IF(HR_Data[[#This Row],[DistanceFromHome]]&lt;=20,"11 to 20","21 to 29")))</f>
        <v>1 to 5</v>
      </c>
      <c r="AR717" s="1">
        <f>IF(HR_Data[[#This Row],[DistanceFromHome]]&lt;=5,1,IF(HR_Data[[#This Row],[DistanceFromHome]]&lt;=10,2,IF(HR_Data[[#This Row],[DistanceFromHome]]&lt;=20,3,4)))</f>
        <v>1</v>
      </c>
      <c r="AS717" s="1" t="str">
        <f>IF(HR_Data[[#This Row],[TotalWorkingYears]]&lt;=5,"0-5 Yrs",IF(HR_Data[[#This Row],[TotalWorkingYears]]&lt;=10,"6-10 Yrs",IF(HR_Data[[#This Row],[TotalWorkingYears]]&lt;=20,"11-20 Yrs","20+ Yrs")))</f>
        <v>6-10 Yrs</v>
      </c>
      <c r="AT717" s="1">
        <f>IF(HR_Data[[#This Row],[TotalWorkingYears]]&lt;=5,1,IF(HR_Data[[#This Row],[TotalWorkingYears]]&lt;=10,2,IF(HR_Data[[#This Row],[TotalWorkingYears]]&lt;=20,3,4)))</f>
        <v>2</v>
      </c>
    </row>
    <row r="718" spans="1:46" x14ac:dyDescent="0.25">
      <c r="A718">
        <v>41</v>
      </c>
      <c r="B718" t="s">
        <v>36</v>
      </c>
      <c r="C718" t="s">
        <v>37</v>
      </c>
      <c r="D718" t="s">
        <v>38</v>
      </c>
      <c r="E718">
        <v>9</v>
      </c>
      <c r="F718">
        <v>3</v>
      </c>
      <c r="G718" t="s">
        <v>44</v>
      </c>
      <c r="H718">
        <v>999</v>
      </c>
      <c r="I718">
        <v>1</v>
      </c>
      <c r="J718" t="s">
        <v>39</v>
      </c>
      <c r="K718">
        <v>3</v>
      </c>
      <c r="L718">
        <v>5</v>
      </c>
      <c r="M718" t="s">
        <v>51</v>
      </c>
      <c r="N718">
        <v>3</v>
      </c>
      <c r="O718" t="s">
        <v>45</v>
      </c>
      <c r="P718">
        <v>19419</v>
      </c>
      <c r="Q718">
        <v>2</v>
      </c>
      <c r="R718" t="s">
        <v>36</v>
      </c>
      <c r="S718">
        <v>17</v>
      </c>
      <c r="T718">
        <v>3</v>
      </c>
      <c r="U718">
        <v>2</v>
      </c>
      <c r="V718">
        <v>1</v>
      </c>
      <c r="W718">
        <v>21</v>
      </c>
      <c r="X718">
        <v>2</v>
      </c>
      <c r="Y718">
        <v>4</v>
      </c>
      <c r="Z718">
        <v>18</v>
      </c>
      <c r="AA718">
        <v>16</v>
      </c>
      <c r="AB718">
        <v>0</v>
      </c>
      <c r="AC718">
        <v>11</v>
      </c>
      <c r="AD718">
        <f>IF(HR_Data[[#This Row],[Attrition]]="Yes",1,0)</f>
        <v>0</v>
      </c>
      <c r="AE718" t="str">
        <f>IF(HR_Data[[#This Row],[Age]]&lt;=25,"18-25",IF(HR_Data[[#This Row],[Age]]&lt;=35,"26-35",IF(HR_Data[[#This Row],[Age]]&lt;=45,"36-45",IF(HR_Data[[#This Row],[Age]]&lt;=55,"46-55","55+"))))</f>
        <v>36-45</v>
      </c>
      <c r="AF718">
        <f>IF(HR_Data[[#This Row],[Age]]&lt;=25,1,IF(HR_Data[[#This Row],[Age]]&lt;=35,2,IF(HR_Data[[#This Row],[Age]]&lt;=45,3,IF(HR_Data[[#This Row],[Age]]&lt;=55,4,5))))</f>
        <v>3</v>
      </c>
      <c r="AG718" s="1" t="str">
        <f>IF(HR_Data[[#This Row],[MonthlyIncome]]&lt;3000,"&lt;3K",IF(HR_Data[[#This Row],[MonthlyIncome]]&lt;6000,"3K-6K",IF(HR_Data[[#This Row],[MonthlyIncome]]&lt;10000,"6K-10K","10K+")))</f>
        <v>10K+</v>
      </c>
      <c r="AH718" s="1">
        <f>IF(HR_Data[[#This Row],[MonthlyIncome]]&lt;3000,1,IF(HR_Data[[#This Row],[MonthlyIncome]]&lt;6000,2,IF(HR_Data[[#This Row],[MonthlyIncome]]&lt;10000,3,4)))</f>
        <v>4</v>
      </c>
      <c r="AI718" s="1" t="str">
        <f>IF(HR_Data[[#This Row],[YearsAtCompany]]&lt;=2,"0-2 Yrs",IF(HR_Data[[#This Row],[YearsAtCompany]]&lt;=5,"3-5 Yrs",IF(HR_Data[[#This Row],[YearsAtCompany]]&lt;=10,"6-10 Yrs","10+ Yrs")))</f>
        <v>10+ Yrs</v>
      </c>
      <c r="AJ718" s="1">
        <f>IF(HR_Data[[#This Row],[YearsAtCompany]]&lt;=2,1,IF(HR_Data[[#This Row],[YearsAtCompany]]&lt;=5,2,IF(HR_Data[[#This Row],[YearsAtCompany]]&lt;=10,3,4)))</f>
        <v>4</v>
      </c>
      <c r="AK718" s="1" t="str">
        <f>CHOOSE(HR_Data[[#This Row],[Education]],"Below College","College","Bachelor","Master","Doctor")</f>
        <v>Bachelor</v>
      </c>
      <c r="AL718" s="1" t="str">
        <f>CHOOSE(HR_Data[[#This Row],[JobSatisfaction]],"Low","Medium","High","Very High")</f>
        <v>High</v>
      </c>
      <c r="AM718" s="1" t="str">
        <f>CHOOSE(HR_Data[[#This Row],[EnvironmentSatisfaction]],"Low","Medium","High","Very High")</f>
        <v>Low</v>
      </c>
      <c r="AN718" s="1" t="str">
        <f>CHOOSE(HR_Data[[#This Row],[WorkLifeBalance]],"Bad","Good","Better","Best")</f>
        <v>Best</v>
      </c>
      <c r="AO718" s="1" t="str">
        <f>IF(HR_Data[[#This Row],[PercentSalaryHike]]&lt;=13,"11-13%",IF(HR_Data[[#This Row],[PercentSalaryHike]]&lt;=16,"14-16%",IF(HR_Data[[#This Row],[PercentSalaryHike]]&lt;=19,"17-19%","20-25%")))</f>
        <v>17-19%</v>
      </c>
      <c r="AP718" s="1">
        <f>IF(HR_Data[[#This Row],[PercentSalaryHike]]&lt;=13,1,IF(HR_Data[[#This Row],[PercentSalaryHike]]&lt;=16,2,IF(HR_Data[[#This Row],[PercentSalaryHike]]&lt;=19,3,4)))</f>
        <v>3</v>
      </c>
      <c r="AQ718" s="1" t="str">
        <f>IF(HR_Data[[#This Row],[DistanceFromHome]]&lt;=5,"1 to 5",IF(HR_Data[[#This Row],[DistanceFromHome]]&lt;=10,"6 to 10",IF(HR_Data[[#This Row],[DistanceFromHome]]&lt;=20,"11 to 20","21 to 29")))</f>
        <v>6 to 10</v>
      </c>
      <c r="AR718" s="1">
        <f>IF(HR_Data[[#This Row],[DistanceFromHome]]&lt;=5,1,IF(HR_Data[[#This Row],[DistanceFromHome]]&lt;=10,2,IF(HR_Data[[#This Row],[DistanceFromHome]]&lt;=20,3,4)))</f>
        <v>2</v>
      </c>
      <c r="AS718" s="1" t="str">
        <f>IF(HR_Data[[#This Row],[TotalWorkingYears]]&lt;=5,"0-5 Yrs",IF(HR_Data[[#This Row],[TotalWorkingYears]]&lt;=10,"6-10 Yrs",IF(HR_Data[[#This Row],[TotalWorkingYears]]&lt;=20,"11-20 Yrs","20+ Yrs")))</f>
        <v>20+ Yrs</v>
      </c>
      <c r="AT718" s="1">
        <f>IF(HR_Data[[#This Row],[TotalWorkingYears]]&lt;=5,1,IF(HR_Data[[#This Row],[TotalWorkingYears]]&lt;=10,2,IF(HR_Data[[#This Row],[TotalWorkingYears]]&lt;=20,3,4)))</f>
        <v>4</v>
      </c>
    </row>
    <row r="719" spans="1:46" x14ac:dyDescent="0.25">
      <c r="A719">
        <v>27</v>
      </c>
      <c r="B719" t="s">
        <v>36</v>
      </c>
      <c r="C719" t="s">
        <v>30</v>
      </c>
      <c r="D719" t="s">
        <v>38</v>
      </c>
      <c r="E719">
        <v>16</v>
      </c>
      <c r="F719">
        <v>4</v>
      </c>
      <c r="G719" t="s">
        <v>53</v>
      </c>
      <c r="H719">
        <v>1001</v>
      </c>
      <c r="I719">
        <v>3</v>
      </c>
      <c r="J719" t="s">
        <v>33</v>
      </c>
      <c r="K719">
        <v>3</v>
      </c>
      <c r="L719">
        <v>1</v>
      </c>
      <c r="M719" t="s">
        <v>43</v>
      </c>
      <c r="N719">
        <v>2</v>
      </c>
      <c r="O719" t="s">
        <v>41</v>
      </c>
      <c r="P719">
        <v>2811</v>
      </c>
      <c r="Q719">
        <v>9</v>
      </c>
      <c r="R719" t="s">
        <v>36</v>
      </c>
      <c r="S719">
        <v>14</v>
      </c>
      <c r="T719">
        <v>3</v>
      </c>
      <c r="U719">
        <v>2</v>
      </c>
      <c r="V719">
        <v>1</v>
      </c>
      <c r="W719">
        <v>4</v>
      </c>
      <c r="X719">
        <v>2</v>
      </c>
      <c r="Y719">
        <v>3</v>
      </c>
      <c r="Z719">
        <v>2</v>
      </c>
      <c r="AA719">
        <v>2</v>
      </c>
      <c r="AB719">
        <v>2</v>
      </c>
      <c r="AC719">
        <v>2</v>
      </c>
      <c r="AD719">
        <f>IF(HR_Data[[#This Row],[Attrition]]="Yes",1,0)</f>
        <v>0</v>
      </c>
      <c r="AE719" t="str">
        <f>IF(HR_Data[[#This Row],[Age]]&lt;=25,"18-25",IF(HR_Data[[#This Row],[Age]]&lt;=35,"26-35",IF(HR_Data[[#This Row],[Age]]&lt;=45,"36-45",IF(HR_Data[[#This Row],[Age]]&lt;=55,"46-55","55+"))))</f>
        <v>26-35</v>
      </c>
      <c r="AF719">
        <f>IF(HR_Data[[#This Row],[Age]]&lt;=25,1,IF(HR_Data[[#This Row],[Age]]&lt;=35,2,IF(HR_Data[[#This Row],[Age]]&lt;=45,3,IF(HR_Data[[#This Row],[Age]]&lt;=55,4,5))))</f>
        <v>2</v>
      </c>
      <c r="AG719" s="1" t="str">
        <f>IF(HR_Data[[#This Row],[MonthlyIncome]]&lt;3000,"&lt;3K",IF(HR_Data[[#This Row],[MonthlyIncome]]&lt;6000,"3K-6K",IF(HR_Data[[#This Row],[MonthlyIncome]]&lt;10000,"6K-10K","10K+")))</f>
        <v>&lt;3K</v>
      </c>
      <c r="AH719" s="1">
        <f>IF(HR_Data[[#This Row],[MonthlyIncome]]&lt;3000,1,IF(HR_Data[[#This Row],[MonthlyIncome]]&lt;6000,2,IF(HR_Data[[#This Row],[MonthlyIncome]]&lt;10000,3,4)))</f>
        <v>1</v>
      </c>
      <c r="AI719" s="1" t="str">
        <f>IF(HR_Data[[#This Row],[YearsAtCompany]]&lt;=2,"0-2 Yrs",IF(HR_Data[[#This Row],[YearsAtCompany]]&lt;=5,"3-5 Yrs",IF(HR_Data[[#This Row],[YearsAtCompany]]&lt;=10,"6-10 Yrs","10+ Yrs")))</f>
        <v>0-2 Yrs</v>
      </c>
      <c r="AJ719" s="1">
        <f>IF(HR_Data[[#This Row],[YearsAtCompany]]&lt;=2,1,IF(HR_Data[[#This Row],[YearsAtCompany]]&lt;=5,2,IF(HR_Data[[#This Row],[YearsAtCompany]]&lt;=10,3,4)))</f>
        <v>1</v>
      </c>
      <c r="AK719" s="1" t="str">
        <f>CHOOSE(HR_Data[[#This Row],[Education]],"Below College","College","Bachelor","Master","Doctor")</f>
        <v>Master</v>
      </c>
      <c r="AL719" s="1" t="str">
        <f>CHOOSE(HR_Data[[#This Row],[JobSatisfaction]],"Low","Medium","High","Very High")</f>
        <v>Medium</v>
      </c>
      <c r="AM719" s="1" t="str">
        <f>CHOOSE(HR_Data[[#This Row],[EnvironmentSatisfaction]],"Low","Medium","High","Very High")</f>
        <v>High</v>
      </c>
      <c r="AN719" s="1" t="str">
        <f>CHOOSE(HR_Data[[#This Row],[WorkLifeBalance]],"Bad","Good","Better","Best")</f>
        <v>Better</v>
      </c>
      <c r="AO719" s="1" t="str">
        <f>IF(HR_Data[[#This Row],[PercentSalaryHike]]&lt;=13,"11-13%",IF(HR_Data[[#This Row],[PercentSalaryHike]]&lt;=16,"14-16%",IF(HR_Data[[#This Row],[PercentSalaryHike]]&lt;=19,"17-19%","20-25%")))</f>
        <v>14-16%</v>
      </c>
      <c r="AP719" s="1">
        <f>IF(HR_Data[[#This Row],[PercentSalaryHike]]&lt;=13,1,IF(HR_Data[[#This Row],[PercentSalaryHike]]&lt;=16,2,IF(HR_Data[[#This Row],[PercentSalaryHike]]&lt;=19,3,4)))</f>
        <v>2</v>
      </c>
      <c r="AQ719" s="1" t="str">
        <f>IF(HR_Data[[#This Row],[DistanceFromHome]]&lt;=5,"1 to 5",IF(HR_Data[[#This Row],[DistanceFromHome]]&lt;=10,"6 to 10",IF(HR_Data[[#This Row],[DistanceFromHome]]&lt;=20,"11 to 20","21 to 29")))</f>
        <v>11 to 20</v>
      </c>
      <c r="AR719" s="1">
        <f>IF(HR_Data[[#This Row],[DistanceFromHome]]&lt;=5,1,IF(HR_Data[[#This Row],[DistanceFromHome]]&lt;=10,2,IF(HR_Data[[#This Row],[DistanceFromHome]]&lt;=20,3,4)))</f>
        <v>3</v>
      </c>
      <c r="AS719" s="1" t="str">
        <f>IF(HR_Data[[#This Row],[TotalWorkingYears]]&lt;=5,"0-5 Yrs",IF(HR_Data[[#This Row],[TotalWorkingYears]]&lt;=10,"6-10 Yrs",IF(HR_Data[[#This Row],[TotalWorkingYears]]&lt;=20,"11-20 Yrs","20+ Yrs")))</f>
        <v>0-5 Yrs</v>
      </c>
      <c r="AT719" s="1">
        <f>IF(HR_Data[[#This Row],[TotalWorkingYears]]&lt;=5,1,IF(HR_Data[[#This Row],[TotalWorkingYears]]&lt;=10,2,IF(HR_Data[[#This Row],[TotalWorkingYears]]&lt;=20,3,4)))</f>
        <v>1</v>
      </c>
    </row>
    <row r="720" spans="1:46" x14ac:dyDescent="0.25">
      <c r="A720">
        <v>45</v>
      </c>
      <c r="B720" t="s">
        <v>36</v>
      </c>
      <c r="C720" t="s">
        <v>48</v>
      </c>
      <c r="D720" t="s">
        <v>38</v>
      </c>
      <c r="E720">
        <v>23</v>
      </c>
      <c r="F720">
        <v>2</v>
      </c>
      <c r="G720" t="s">
        <v>32</v>
      </c>
      <c r="H720">
        <v>1002</v>
      </c>
      <c r="I720">
        <v>4</v>
      </c>
      <c r="J720" t="s">
        <v>39</v>
      </c>
      <c r="K720">
        <v>3</v>
      </c>
      <c r="L720">
        <v>2</v>
      </c>
      <c r="M720" t="s">
        <v>43</v>
      </c>
      <c r="N720">
        <v>1</v>
      </c>
      <c r="O720" t="s">
        <v>41</v>
      </c>
      <c r="P720">
        <v>3633</v>
      </c>
      <c r="Q720">
        <v>1</v>
      </c>
      <c r="R720" t="s">
        <v>29</v>
      </c>
      <c r="S720">
        <v>15</v>
      </c>
      <c r="T720">
        <v>3</v>
      </c>
      <c r="U720">
        <v>3</v>
      </c>
      <c r="V720">
        <v>1</v>
      </c>
      <c r="W720">
        <v>9</v>
      </c>
      <c r="X720">
        <v>2</v>
      </c>
      <c r="Y720">
        <v>3</v>
      </c>
      <c r="Z720">
        <v>9</v>
      </c>
      <c r="AA720">
        <v>8</v>
      </c>
      <c r="AB720">
        <v>0</v>
      </c>
      <c r="AC720">
        <v>8</v>
      </c>
      <c r="AD720">
        <f>IF(HR_Data[[#This Row],[Attrition]]="Yes",1,0)</f>
        <v>0</v>
      </c>
      <c r="AE720" t="str">
        <f>IF(HR_Data[[#This Row],[Age]]&lt;=25,"18-25",IF(HR_Data[[#This Row],[Age]]&lt;=35,"26-35",IF(HR_Data[[#This Row],[Age]]&lt;=45,"36-45",IF(HR_Data[[#This Row],[Age]]&lt;=55,"46-55","55+"))))</f>
        <v>36-45</v>
      </c>
      <c r="AF720">
        <f>IF(HR_Data[[#This Row],[Age]]&lt;=25,1,IF(HR_Data[[#This Row],[Age]]&lt;=35,2,IF(HR_Data[[#This Row],[Age]]&lt;=45,3,IF(HR_Data[[#This Row],[Age]]&lt;=55,4,5))))</f>
        <v>3</v>
      </c>
      <c r="AG720" s="1" t="str">
        <f>IF(HR_Data[[#This Row],[MonthlyIncome]]&lt;3000,"&lt;3K",IF(HR_Data[[#This Row],[MonthlyIncome]]&lt;6000,"3K-6K",IF(HR_Data[[#This Row],[MonthlyIncome]]&lt;10000,"6K-10K","10K+")))</f>
        <v>3K-6K</v>
      </c>
      <c r="AH720" s="1">
        <f>IF(HR_Data[[#This Row],[MonthlyIncome]]&lt;3000,1,IF(HR_Data[[#This Row],[MonthlyIncome]]&lt;6000,2,IF(HR_Data[[#This Row],[MonthlyIncome]]&lt;10000,3,4)))</f>
        <v>2</v>
      </c>
      <c r="AI720" s="1" t="str">
        <f>IF(HR_Data[[#This Row],[YearsAtCompany]]&lt;=2,"0-2 Yrs",IF(HR_Data[[#This Row],[YearsAtCompany]]&lt;=5,"3-5 Yrs",IF(HR_Data[[#This Row],[YearsAtCompany]]&lt;=10,"6-10 Yrs","10+ Yrs")))</f>
        <v>6-10 Yrs</v>
      </c>
      <c r="AJ720" s="1">
        <f>IF(HR_Data[[#This Row],[YearsAtCompany]]&lt;=2,1,IF(HR_Data[[#This Row],[YearsAtCompany]]&lt;=5,2,IF(HR_Data[[#This Row],[YearsAtCompany]]&lt;=10,3,4)))</f>
        <v>3</v>
      </c>
      <c r="AK720" s="1" t="str">
        <f>CHOOSE(HR_Data[[#This Row],[Education]],"Below College","College","Bachelor","Master","Doctor")</f>
        <v>College</v>
      </c>
      <c r="AL720" s="1" t="str">
        <f>CHOOSE(HR_Data[[#This Row],[JobSatisfaction]],"Low","Medium","High","Very High")</f>
        <v>Low</v>
      </c>
      <c r="AM720" s="1" t="str">
        <f>CHOOSE(HR_Data[[#This Row],[EnvironmentSatisfaction]],"Low","Medium","High","Very High")</f>
        <v>Very High</v>
      </c>
      <c r="AN720" s="1" t="str">
        <f>CHOOSE(HR_Data[[#This Row],[WorkLifeBalance]],"Bad","Good","Better","Best")</f>
        <v>Better</v>
      </c>
      <c r="AO720" s="1" t="str">
        <f>IF(HR_Data[[#This Row],[PercentSalaryHike]]&lt;=13,"11-13%",IF(HR_Data[[#This Row],[PercentSalaryHike]]&lt;=16,"14-16%",IF(HR_Data[[#This Row],[PercentSalaryHike]]&lt;=19,"17-19%","20-25%")))</f>
        <v>14-16%</v>
      </c>
      <c r="AP720" s="1">
        <f>IF(HR_Data[[#This Row],[PercentSalaryHike]]&lt;=13,1,IF(HR_Data[[#This Row],[PercentSalaryHike]]&lt;=16,2,IF(HR_Data[[#This Row],[PercentSalaryHike]]&lt;=19,3,4)))</f>
        <v>2</v>
      </c>
      <c r="AQ720" s="1" t="str">
        <f>IF(HR_Data[[#This Row],[DistanceFromHome]]&lt;=5,"1 to 5",IF(HR_Data[[#This Row],[DistanceFromHome]]&lt;=10,"6 to 10",IF(HR_Data[[#This Row],[DistanceFromHome]]&lt;=20,"11 to 20","21 to 29")))</f>
        <v>21 to 29</v>
      </c>
      <c r="AR720" s="1">
        <f>IF(HR_Data[[#This Row],[DistanceFromHome]]&lt;=5,1,IF(HR_Data[[#This Row],[DistanceFromHome]]&lt;=10,2,IF(HR_Data[[#This Row],[DistanceFromHome]]&lt;=20,3,4)))</f>
        <v>4</v>
      </c>
      <c r="AS720" s="1" t="str">
        <f>IF(HR_Data[[#This Row],[TotalWorkingYears]]&lt;=5,"0-5 Yrs",IF(HR_Data[[#This Row],[TotalWorkingYears]]&lt;=10,"6-10 Yrs",IF(HR_Data[[#This Row],[TotalWorkingYears]]&lt;=20,"11-20 Yrs","20+ Yrs")))</f>
        <v>6-10 Yrs</v>
      </c>
      <c r="AT720" s="1">
        <f>IF(HR_Data[[#This Row],[TotalWorkingYears]]&lt;=5,1,IF(HR_Data[[#This Row],[TotalWorkingYears]]&lt;=10,2,IF(HR_Data[[#This Row],[TotalWorkingYears]]&lt;=20,3,4)))</f>
        <v>2</v>
      </c>
    </row>
    <row r="721" spans="1:46" x14ac:dyDescent="0.25">
      <c r="A721">
        <v>47</v>
      </c>
      <c r="B721" t="s">
        <v>36</v>
      </c>
      <c r="C721" t="s">
        <v>30</v>
      </c>
      <c r="D721" t="s">
        <v>31</v>
      </c>
      <c r="E721">
        <v>4</v>
      </c>
      <c r="F721">
        <v>2</v>
      </c>
      <c r="G721" t="s">
        <v>32</v>
      </c>
      <c r="H721">
        <v>1003</v>
      </c>
      <c r="I721">
        <v>4</v>
      </c>
      <c r="J721" t="s">
        <v>33</v>
      </c>
      <c r="K721">
        <v>3</v>
      </c>
      <c r="L721">
        <v>2</v>
      </c>
      <c r="M721" t="s">
        <v>34</v>
      </c>
      <c r="N721">
        <v>4</v>
      </c>
      <c r="O721" t="s">
        <v>35</v>
      </c>
      <c r="P721">
        <v>4163</v>
      </c>
      <c r="Q721">
        <v>1</v>
      </c>
      <c r="R721" t="s">
        <v>29</v>
      </c>
      <c r="S721">
        <v>17</v>
      </c>
      <c r="T721">
        <v>3</v>
      </c>
      <c r="U721">
        <v>3</v>
      </c>
      <c r="V721">
        <v>0</v>
      </c>
      <c r="W721">
        <v>9</v>
      </c>
      <c r="X721">
        <v>0</v>
      </c>
      <c r="Y721">
        <v>3</v>
      </c>
      <c r="Z721">
        <v>9</v>
      </c>
      <c r="AA721">
        <v>0</v>
      </c>
      <c r="AB721">
        <v>0</v>
      </c>
      <c r="AC721">
        <v>7</v>
      </c>
      <c r="AD721">
        <f>IF(HR_Data[[#This Row],[Attrition]]="Yes",1,0)</f>
        <v>0</v>
      </c>
      <c r="AE721" t="str">
        <f>IF(HR_Data[[#This Row],[Age]]&lt;=25,"18-25",IF(HR_Data[[#This Row],[Age]]&lt;=35,"26-35",IF(HR_Data[[#This Row],[Age]]&lt;=45,"36-45",IF(HR_Data[[#This Row],[Age]]&lt;=55,"46-55","55+"))))</f>
        <v>46-55</v>
      </c>
      <c r="AF721">
        <f>IF(HR_Data[[#This Row],[Age]]&lt;=25,1,IF(HR_Data[[#This Row],[Age]]&lt;=35,2,IF(HR_Data[[#This Row],[Age]]&lt;=45,3,IF(HR_Data[[#This Row],[Age]]&lt;=55,4,5))))</f>
        <v>4</v>
      </c>
      <c r="AG721" s="1" t="str">
        <f>IF(HR_Data[[#This Row],[MonthlyIncome]]&lt;3000,"&lt;3K",IF(HR_Data[[#This Row],[MonthlyIncome]]&lt;6000,"3K-6K",IF(HR_Data[[#This Row],[MonthlyIncome]]&lt;10000,"6K-10K","10K+")))</f>
        <v>3K-6K</v>
      </c>
      <c r="AH721" s="1">
        <f>IF(HR_Data[[#This Row],[MonthlyIncome]]&lt;3000,1,IF(HR_Data[[#This Row],[MonthlyIncome]]&lt;6000,2,IF(HR_Data[[#This Row],[MonthlyIncome]]&lt;10000,3,4)))</f>
        <v>2</v>
      </c>
      <c r="AI721" s="1" t="str">
        <f>IF(HR_Data[[#This Row],[YearsAtCompany]]&lt;=2,"0-2 Yrs",IF(HR_Data[[#This Row],[YearsAtCompany]]&lt;=5,"3-5 Yrs",IF(HR_Data[[#This Row],[YearsAtCompany]]&lt;=10,"6-10 Yrs","10+ Yrs")))</f>
        <v>6-10 Yrs</v>
      </c>
      <c r="AJ721" s="1">
        <f>IF(HR_Data[[#This Row],[YearsAtCompany]]&lt;=2,1,IF(HR_Data[[#This Row],[YearsAtCompany]]&lt;=5,2,IF(HR_Data[[#This Row],[YearsAtCompany]]&lt;=10,3,4)))</f>
        <v>3</v>
      </c>
      <c r="AK721" s="1" t="str">
        <f>CHOOSE(HR_Data[[#This Row],[Education]],"Below College","College","Bachelor","Master","Doctor")</f>
        <v>College</v>
      </c>
      <c r="AL721" s="1" t="str">
        <f>CHOOSE(HR_Data[[#This Row],[JobSatisfaction]],"Low","Medium","High","Very High")</f>
        <v>Very High</v>
      </c>
      <c r="AM721" s="1" t="str">
        <f>CHOOSE(HR_Data[[#This Row],[EnvironmentSatisfaction]],"Low","Medium","High","Very High")</f>
        <v>Very High</v>
      </c>
      <c r="AN721" s="1" t="str">
        <f>CHOOSE(HR_Data[[#This Row],[WorkLifeBalance]],"Bad","Good","Better","Best")</f>
        <v>Better</v>
      </c>
      <c r="AO721" s="1" t="str">
        <f>IF(HR_Data[[#This Row],[PercentSalaryHike]]&lt;=13,"11-13%",IF(HR_Data[[#This Row],[PercentSalaryHike]]&lt;=16,"14-16%",IF(HR_Data[[#This Row],[PercentSalaryHike]]&lt;=19,"17-19%","20-25%")))</f>
        <v>17-19%</v>
      </c>
      <c r="AP721" s="1">
        <f>IF(HR_Data[[#This Row],[PercentSalaryHike]]&lt;=13,1,IF(HR_Data[[#This Row],[PercentSalaryHike]]&lt;=16,2,IF(HR_Data[[#This Row],[PercentSalaryHike]]&lt;=19,3,4)))</f>
        <v>3</v>
      </c>
      <c r="AQ721" s="1" t="str">
        <f>IF(HR_Data[[#This Row],[DistanceFromHome]]&lt;=5,"1 to 5",IF(HR_Data[[#This Row],[DistanceFromHome]]&lt;=10,"6 to 10",IF(HR_Data[[#This Row],[DistanceFromHome]]&lt;=20,"11 to 20","21 to 29")))</f>
        <v>1 to 5</v>
      </c>
      <c r="AR721" s="1">
        <f>IF(HR_Data[[#This Row],[DistanceFromHome]]&lt;=5,1,IF(HR_Data[[#This Row],[DistanceFromHome]]&lt;=10,2,IF(HR_Data[[#This Row],[DistanceFromHome]]&lt;=20,3,4)))</f>
        <v>1</v>
      </c>
      <c r="AS721" s="1" t="str">
        <f>IF(HR_Data[[#This Row],[TotalWorkingYears]]&lt;=5,"0-5 Yrs",IF(HR_Data[[#This Row],[TotalWorkingYears]]&lt;=10,"6-10 Yrs",IF(HR_Data[[#This Row],[TotalWorkingYears]]&lt;=20,"11-20 Yrs","20+ Yrs")))</f>
        <v>6-10 Yrs</v>
      </c>
      <c r="AT721" s="1">
        <f>IF(HR_Data[[#This Row],[TotalWorkingYears]]&lt;=5,1,IF(HR_Data[[#This Row],[TotalWorkingYears]]&lt;=10,2,IF(HR_Data[[#This Row],[TotalWorkingYears]]&lt;=20,3,4)))</f>
        <v>2</v>
      </c>
    </row>
    <row r="722" spans="1:46" x14ac:dyDescent="0.25">
      <c r="A722">
        <v>30</v>
      </c>
      <c r="B722" t="s">
        <v>29</v>
      </c>
      <c r="C722" t="s">
        <v>30</v>
      </c>
      <c r="D722" t="s">
        <v>38</v>
      </c>
      <c r="E722">
        <v>22</v>
      </c>
      <c r="F722">
        <v>3</v>
      </c>
      <c r="G722" t="s">
        <v>32</v>
      </c>
      <c r="H722">
        <v>1004</v>
      </c>
      <c r="I722">
        <v>1</v>
      </c>
      <c r="J722" t="s">
        <v>33</v>
      </c>
      <c r="K722">
        <v>3</v>
      </c>
      <c r="L722">
        <v>1</v>
      </c>
      <c r="M722" t="s">
        <v>40</v>
      </c>
      <c r="N722">
        <v>3</v>
      </c>
      <c r="O722" t="s">
        <v>41</v>
      </c>
      <c r="P722">
        <v>2132</v>
      </c>
      <c r="Q722">
        <v>4</v>
      </c>
      <c r="R722" t="s">
        <v>29</v>
      </c>
      <c r="S722">
        <v>11</v>
      </c>
      <c r="T722">
        <v>3</v>
      </c>
      <c r="U722">
        <v>2</v>
      </c>
      <c r="V722">
        <v>0</v>
      </c>
      <c r="W722">
        <v>7</v>
      </c>
      <c r="X722">
        <v>2</v>
      </c>
      <c r="Y722">
        <v>3</v>
      </c>
      <c r="Z722">
        <v>5</v>
      </c>
      <c r="AA722">
        <v>2</v>
      </c>
      <c r="AB722">
        <v>0</v>
      </c>
      <c r="AC722">
        <v>1</v>
      </c>
      <c r="AD722">
        <f>IF(HR_Data[[#This Row],[Attrition]]="Yes",1,0)</f>
        <v>1</v>
      </c>
      <c r="AE722" t="str">
        <f>IF(HR_Data[[#This Row],[Age]]&lt;=25,"18-25",IF(HR_Data[[#This Row],[Age]]&lt;=35,"26-35",IF(HR_Data[[#This Row],[Age]]&lt;=45,"36-45",IF(HR_Data[[#This Row],[Age]]&lt;=55,"46-55","55+"))))</f>
        <v>26-35</v>
      </c>
      <c r="AF722">
        <f>IF(HR_Data[[#This Row],[Age]]&lt;=25,1,IF(HR_Data[[#This Row],[Age]]&lt;=35,2,IF(HR_Data[[#This Row],[Age]]&lt;=45,3,IF(HR_Data[[#This Row],[Age]]&lt;=55,4,5))))</f>
        <v>2</v>
      </c>
      <c r="AG722" s="1" t="str">
        <f>IF(HR_Data[[#This Row],[MonthlyIncome]]&lt;3000,"&lt;3K",IF(HR_Data[[#This Row],[MonthlyIncome]]&lt;6000,"3K-6K",IF(HR_Data[[#This Row],[MonthlyIncome]]&lt;10000,"6K-10K","10K+")))</f>
        <v>&lt;3K</v>
      </c>
      <c r="AH722" s="1">
        <f>IF(HR_Data[[#This Row],[MonthlyIncome]]&lt;3000,1,IF(HR_Data[[#This Row],[MonthlyIncome]]&lt;6000,2,IF(HR_Data[[#This Row],[MonthlyIncome]]&lt;10000,3,4)))</f>
        <v>1</v>
      </c>
      <c r="AI722" s="1" t="str">
        <f>IF(HR_Data[[#This Row],[YearsAtCompany]]&lt;=2,"0-2 Yrs",IF(HR_Data[[#This Row],[YearsAtCompany]]&lt;=5,"3-5 Yrs",IF(HR_Data[[#This Row],[YearsAtCompany]]&lt;=10,"6-10 Yrs","10+ Yrs")))</f>
        <v>3-5 Yrs</v>
      </c>
      <c r="AJ722" s="1">
        <f>IF(HR_Data[[#This Row],[YearsAtCompany]]&lt;=2,1,IF(HR_Data[[#This Row],[YearsAtCompany]]&lt;=5,2,IF(HR_Data[[#This Row],[YearsAtCompany]]&lt;=10,3,4)))</f>
        <v>2</v>
      </c>
      <c r="AK722" s="1" t="str">
        <f>CHOOSE(HR_Data[[#This Row],[Education]],"Below College","College","Bachelor","Master","Doctor")</f>
        <v>Bachelor</v>
      </c>
      <c r="AL722" s="1" t="str">
        <f>CHOOSE(HR_Data[[#This Row],[JobSatisfaction]],"Low","Medium","High","Very High")</f>
        <v>High</v>
      </c>
      <c r="AM722" s="1" t="str">
        <f>CHOOSE(HR_Data[[#This Row],[EnvironmentSatisfaction]],"Low","Medium","High","Very High")</f>
        <v>Low</v>
      </c>
      <c r="AN722" s="1" t="str">
        <f>CHOOSE(HR_Data[[#This Row],[WorkLifeBalance]],"Bad","Good","Better","Best")</f>
        <v>Better</v>
      </c>
      <c r="AO722" s="1" t="str">
        <f>IF(HR_Data[[#This Row],[PercentSalaryHike]]&lt;=13,"11-13%",IF(HR_Data[[#This Row],[PercentSalaryHike]]&lt;=16,"14-16%",IF(HR_Data[[#This Row],[PercentSalaryHike]]&lt;=19,"17-19%","20-25%")))</f>
        <v>11-13%</v>
      </c>
      <c r="AP722" s="1">
        <f>IF(HR_Data[[#This Row],[PercentSalaryHike]]&lt;=13,1,IF(HR_Data[[#This Row],[PercentSalaryHike]]&lt;=16,2,IF(HR_Data[[#This Row],[PercentSalaryHike]]&lt;=19,3,4)))</f>
        <v>1</v>
      </c>
      <c r="AQ722" s="1" t="str">
        <f>IF(HR_Data[[#This Row],[DistanceFromHome]]&lt;=5,"1 to 5",IF(HR_Data[[#This Row],[DistanceFromHome]]&lt;=10,"6 to 10",IF(HR_Data[[#This Row],[DistanceFromHome]]&lt;=20,"11 to 20","21 to 29")))</f>
        <v>21 to 29</v>
      </c>
      <c r="AR722" s="1">
        <f>IF(HR_Data[[#This Row],[DistanceFromHome]]&lt;=5,1,IF(HR_Data[[#This Row],[DistanceFromHome]]&lt;=10,2,IF(HR_Data[[#This Row],[DistanceFromHome]]&lt;=20,3,4)))</f>
        <v>4</v>
      </c>
      <c r="AS722" s="1" t="str">
        <f>IF(HR_Data[[#This Row],[TotalWorkingYears]]&lt;=5,"0-5 Yrs",IF(HR_Data[[#This Row],[TotalWorkingYears]]&lt;=10,"6-10 Yrs",IF(HR_Data[[#This Row],[TotalWorkingYears]]&lt;=20,"11-20 Yrs","20+ Yrs")))</f>
        <v>6-10 Yrs</v>
      </c>
      <c r="AT722" s="1">
        <f>IF(HR_Data[[#This Row],[TotalWorkingYears]]&lt;=5,1,IF(HR_Data[[#This Row],[TotalWorkingYears]]&lt;=10,2,IF(HR_Data[[#This Row],[TotalWorkingYears]]&lt;=20,3,4)))</f>
        <v>2</v>
      </c>
    </row>
    <row r="723" spans="1:46" x14ac:dyDescent="0.25">
      <c r="A723">
        <v>50</v>
      </c>
      <c r="B723" t="s">
        <v>36</v>
      </c>
      <c r="C723" t="s">
        <v>30</v>
      </c>
      <c r="D723" t="s">
        <v>38</v>
      </c>
      <c r="E723">
        <v>24</v>
      </c>
      <c r="F723">
        <v>3</v>
      </c>
      <c r="G723" t="s">
        <v>32</v>
      </c>
      <c r="H723">
        <v>1005</v>
      </c>
      <c r="I723">
        <v>4</v>
      </c>
      <c r="J723" t="s">
        <v>39</v>
      </c>
      <c r="K723">
        <v>3</v>
      </c>
      <c r="L723">
        <v>4</v>
      </c>
      <c r="M723" t="s">
        <v>46</v>
      </c>
      <c r="N723">
        <v>3</v>
      </c>
      <c r="O723" t="s">
        <v>41</v>
      </c>
      <c r="P723">
        <v>13973</v>
      </c>
      <c r="Q723">
        <v>3</v>
      </c>
      <c r="R723" t="s">
        <v>29</v>
      </c>
      <c r="S723">
        <v>18</v>
      </c>
      <c r="T723">
        <v>3</v>
      </c>
      <c r="U723">
        <v>4</v>
      </c>
      <c r="V723">
        <v>1</v>
      </c>
      <c r="W723">
        <v>22</v>
      </c>
      <c r="X723">
        <v>2</v>
      </c>
      <c r="Y723">
        <v>3</v>
      </c>
      <c r="Z723">
        <v>12</v>
      </c>
      <c r="AA723">
        <v>11</v>
      </c>
      <c r="AB723">
        <v>1</v>
      </c>
      <c r="AC723">
        <v>5</v>
      </c>
      <c r="AD723">
        <f>IF(HR_Data[[#This Row],[Attrition]]="Yes",1,0)</f>
        <v>0</v>
      </c>
      <c r="AE723" t="str">
        <f>IF(HR_Data[[#This Row],[Age]]&lt;=25,"18-25",IF(HR_Data[[#This Row],[Age]]&lt;=35,"26-35",IF(HR_Data[[#This Row],[Age]]&lt;=45,"36-45",IF(HR_Data[[#This Row],[Age]]&lt;=55,"46-55","55+"))))</f>
        <v>46-55</v>
      </c>
      <c r="AF723">
        <f>IF(HR_Data[[#This Row],[Age]]&lt;=25,1,IF(HR_Data[[#This Row],[Age]]&lt;=35,2,IF(HR_Data[[#This Row],[Age]]&lt;=45,3,IF(HR_Data[[#This Row],[Age]]&lt;=55,4,5))))</f>
        <v>4</v>
      </c>
      <c r="AG723" s="1" t="str">
        <f>IF(HR_Data[[#This Row],[MonthlyIncome]]&lt;3000,"&lt;3K",IF(HR_Data[[#This Row],[MonthlyIncome]]&lt;6000,"3K-6K",IF(HR_Data[[#This Row],[MonthlyIncome]]&lt;10000,"6K-10K","10K+")))</f>
        <v>10K+</v>
      </c>
      <c r="AH723" s="1">
        <f>IF(HR_Data[[#This Row],[MonthlyIncome]]&lt;3000,1,IF(HR_Data[[#This Row],[MonthlyIncome]]&lt;6000,2,IF(HR_Data[[#This Row],[MonthlyIncome]]&lt;10000,3,4)))</f>
        <v>4</v>
      </c>
      <c r="AI723" s="1" t="str">
        <f>IF(HR_Data[[#This Row],[YearsAtCompany]]&lt;=2,"0-2 Yrs",IF(HR_Data[[#This Row],[YearsAtCompany]]&lt;=5,"3-5 Yrs",IF(HR_Data[[#This Row],[YearsAtCompany]]&lt;=10,"6-10 Yrs","10+ Yrs")))</f>
        <v>10+ Yrs</v>
      </c>
      <c r="AJ723" s="1">
        <f>IF(HR_Data[[#This Row],[YearsAtCompany]]&lt;=2,1,IF(HR_Data[[#This Row],[YearsAtCompany]]&lt;=5,2,IF(HR_Data[[#This Row],[YearsAtCompany]]&lt;=10,3,4)))</f>
        <v>4</v>
      </c>
      <c r="AK723" s="1" t="str">
        <f>CHOOSE(HR_Data[[#This Row],[Education]],"Below College","College","Bachelor","Master","Doctor")</f>
        <v>Bachelor</v>
      </c>
      <c r="AL723" s="1" t="str">
        <f>CHOOSE(HR_Data[[#This Row],[JobSatisfaction]],"Low","Medium","High","Very High")</f>
        <v>High</v>
      </c>
      <c r="AM723" s="1" t="str">
        <f>CHOOSE(HR_Data[[#This Row],[EnvironmentSatisfaction]],"Low","Medium","High","Very High")</f>
        <v>Very High</v>
      </c>
      <c r="AN723" s="1" t="str">
        <f>CHOOSE(HR_Data[[#This Row],[WorkLifeBalance]],"Bad","Good","Better","Best")</f>
        <v>Better</v>
      </c>
      <c r="AO723" s="1" t="str">
        <f>IF(HR_Data[[#This Row],[PercentSalaryHike]]&lt;=13,"11-13%",IF(HR_Data[[#This Row],[PercentSalaryHike]]&lt;=16,"14-16%",IF(HR_Data[[#This Row],[PercentSalaryHike]]&lt;=19,"17-19%","20-25%")))</f>
        <v>17-19%</v>
      </c>
      <c r="AP723" s="1">
        <f>IF(HR_Data[[#This Row],[PercentSalaryHike]]&lt;=13,1,IF(HR_Data[[#This Row],[PercentSalaryHike]]&lt;=16,2,IF(HR_Data[[#This Row],[PercentSalaryHike]]&lt;=19,3,4)))</f>
        <v>3</v>
      </c>
      <c r="AQ723" s="1" t="str">
        <f>IF(HR_Data[[#This Row],[DistanceFromHome]]&lt;=5,"1 to 5",IF(HR_Data[[#This Row],[DistanceFromHome]]&lt;=10,"6 to 10",IF(HR_Data[[#This Row],[DistanceFromHome]]&lt;=20,"11 to 20","21 to 29")))</f>
        <v>21 to 29</v>
      </c>
      <c r="AR723" s="1">
        <f>IF(HR_Data[[#This Row],[DistanceFromHome]]&lt;=5,1,IF(HR_Data[[#This Row],[DistanceFromHome]]&lt;=10,2,IF(HR_Data[[#This Row],[DistanceFromHome]]&lt;=20,3,4)))</f>
        <v>4</v>
      </c>
      <c r="AS723" s="1" t="str">
        <f>IF(HR_Data[[#This Row],[TotalWorkingYears]]&lt;=5,"0-5 Yrs",IF(HR_Data[[#This Row],[TotalWorkingYears]]&lt;=10,"6-10 Yrs",IF(HR_Data[[#This Row],[TotalWorkingYears]]&lt;=20,"11-20 Yrs","20+ Yrs")))</f>
        <v>20+ Yrs</v>
      </c>
      <c r="AT723" s="1">
        <f>IF(HR_Data[[#This Row],[TotalWorkingYears]]&lt;=5,1,IF(HR_Data[[#This Row],[TotalWorkingYears]]&lt;=10,2,IF(HR_Data[[#This Row],[TotalWorkingYears]]&lt;=20,3,4)))</f>
        <v>4</v>
      </c>
    </row>
    <row r="724" spans="1:46" x14ac:dyDescent="0.25">
      <c r="A724">
        <v>38</v>
      </c>
      <c r="B724" t="s">
        <v>36</v>
      </c>
      <c r="C724" t="s">
        <v>37</v>
      </c>
      <c r="D724" t="s">
        <v>38</v>
      </c>
      <c r="E724">
        <v>10</v>
      </c>
      <c r="F724">
        <v>1</v>
      </c>
      <c r="G724" t="s">
        <v>44</v>
      </c>
      <c r="H724">
        <v>1006</v>
      </c>
      <c r="I724">
        <v>3</v>
      </c>
      <c r="J724" t="s">
        <v>39</v>
      </c>
      <c r="K724">
        <v>3</v>
      </c>
      <c r="L724">
        <v>1</v>
      </c>
      <c r="M724" t="s">
        <v>40</v>
      </c>
      <c r="N724">
        <v>3</v>
      </c>
      <c r="O724" t="s">
        <v>41</v>
      </c>
      <c r="P724">
        <v>2684</v>
      </c>
      <c r="Q724">
        <v>0</v>
      </c>
      <c r="R724" t="s">
        <v>36</v>
      </c>
      <c r="S724">
        <v>17</v>
      </c>
      <c r="T724">
        <v>3</v>
      </c>
      <c r="U724">
        <v>2</v>
      </c>
      <c r="V724">
        <v>1</v>
      </c>
      <c r="W724">
        <v>3</v>
      </c>
      <c r="X724">
        <v>0</v>
      </c>
      <c r="Y724">
        <v>2</v>
      </c>
      <c r="Z724">
        <v>2</v>
      </c>
      <c r="AA724">
        <v>1</v>
      </c>
      <c r="AB724">
        <v>0</v>
      </c>
      <c r="AC724">
        <v>2</v>
      </c>
      <c r="AD724">
        <f>IF(HR_Data[[#This Row],[Attrition]]="Yes",1,0)</f>
        <v>0</v>
      </c>
      <c r="AE724" t="str">
        <f>IF(HR_Data[[#This Row],[Age]]&lt;=25,"18-25",IF(HR_Data[[#This Row],[Age]]&lt;=35,"26-35",IF(HR_Data[[#This Row],[Age]]&lt;=45,"36-45",IF(HR_Data[[#This Row],[Age]]&lt;=55,"46-55","55+"))))</f>
        <v>36-45</v>
      </c>
      <c r="AF724">
        <f>IF(HR_Data[[#This Row],[Age]]&lt;=25,1,IF(HR_Data[[#This Row],[Age]]&lt;=35,2,IF(HR_Data[[#This Row],[Age]]&lt;=45,3,IF(HR_Data[[#This Row],[Age]]&lt;=55,4,5))))</f>
        <v>3</v>
      </c>
      <c r="AG724" s="1" t="str">
        <f>IF(HR_Data[[#This Row],[MonthlyIncome]]&lt;3000,"&lt;3K",IF(HR_Data[[#This Row],[MonthlyIncome]]&lt;6000,"3K-6K",IF(HR_Data[[#This Row],[MonthlyIncome]]&lt;10000,"6K-10K","10K+")))</f>
        <v>&lt;3K</v>
      </c>
      <c r="AH724" s="1">
        <f>IF(HR_Data[[#This Row],[MonthlyIncome]]&lt;3000,1,IF(HR_Data[[#This Row],[MonthlyIncome]]&lt;6000,2,IF(HR_Data[[#This Row],[MonthlyIncome]]&lt;10000,3,4)))</f>
        <v>1</v>
      </c>
      <c r="AI724" s="1" t="str">
        <f>IF(HR_Data[[#This Row],[YearsAtCompany]]&lt;=2,"0-2 Yrs",IF(HR_Data[[#This Row],[YearsAtCompany]]&lt;=5,"3-5 Yrs",IF(HR_Data[[#This Row],[YearsAtCompany]]&lt;=10,"6-10 Yrs","10+ Yrs")))</f>
        <v>0-2 Yrs</v>
      </c>
      <c r="AJ724" s="1">
        <f>IF(HR_Data[[#This Row],[YearsAtCompany]]&lt;=2,1,IF(HR_Data[[#This Row],[YearsAtCompany]]&lt;=5,2,IF(HR_Data[[#This Row],[YearsAtCompany]]&lt;=10,3,4)))</f>
        <v>1</v>
      </c>
      <c r="AK724" s="1" t="str">
        <f>CHOOSE(HR_Data[[#This Row],[Education]],"Below College","College","Bachelor","Master","Doctor")</f>
        <v>Below College</v>
      </c>
      <c r="AL724" s="1" t="str">
        <f>CHOOSE(HR_Data[[#This Row],[JobSatisfaction]],"Low","Medium","High","Very High")</f>
        <v>High</v>
      </c>
      <c r="AM724" s="1" t="str">
        <f>CHOOSE(HR_Data[[#This Row],[EnvironmentSatisfaction]],"Low","Medium","High","Very High")</f>
        <v>High</v>
      </c>
      <c r="AN724" s="1" t="str">
        <f>CHOOSE(HR_Data[[#This Row],[WorkLifeBalance]],"Bad","Good","Better","Best")</f>
        <v>Good</v>
      </c>
      <c r="AO724" s="1" t="str">
        <f>IF(HR_Data[[#This Row],[PercentSalaryHike]]&lt;=13,"11-13%",IF(HR_Data[[#This Row],[PercentSalaryHike]]&lt;=16,"14-16%",IF(HR_Data[[#This Row],[PercentSalaryHike]]&lt;=19,"17-19%","20-25%")))</f>
        <v>17-19%</v>
      </c>
      <c r="AP724" s="1">
        <f>IF(HR_Data[[#This Row],[PercentSalaryHike]]&lt;=13,1,IF(HR_Data[[#This Row],[PercentSalaryHike]]&lt;=16,2,IF(HR_Data[[#This Row],[PercentSalaryHike]]&lt;=19,3,4)))</f>
        <v>3</v>
      </c>
      <c r="AQ724" s="1" t="str">
        <f>IF(HR_Data[[#This Row],[DistanceFromHome]]&lt;=5,"1 to 5",IF(HR_Data[[#This Row],[DistanceFromHome]]&lt;=10,"6 to 10",IF(HR_Data[[#This Row],[DistanceFromHome]]&lt;=20,"11 to 20","21 to 29")))</f>
        <v>6 to 10</v>
      </c>
      <c r="AR724" s="1">
        <f>IF(HR_Data[[#This Row],[DistanceFromHome]]&lt;=5,1,IF(HR_Data[[#This Row],[DistanceFromHome]]&lt;=10,2,IF(HR_Data[[#This Row],[DistanceFromHome]]&lt;=20,3,4)))</f>
        <v>2</v>
      </c>
      <c r="AS724" s="1" t="str">
        <f>IF(HR_Data[[#This Row],[TotalWorkingYears]]&lt;=5,"0-5 Yrs",IF(HR_Data[[#This Row],[TotalWorkingYears]]&lt;=10,"6-10 Yrs",IF(HR_Data[[#This Row],[TotalWorkingYears]]&lt;=20,"11-20 Yrs","20+ Yrs")))</f>
        <v>0-5 Yrs</v>
      </c>
      <c r="AT724" s="1">
        <f>IF(HR_Data[[#This Row],[TotalWorkingYears]]&lt;=5,1,IF(HR_Data[[#This Row],[TotalWorkingYears]]&lt;=10,2,IF(HR_Data[[#This Row],[TotalWorkingYears]]&lt;=20,3,4)))</f>
        <v>1</v>
      </c>
    </row>
    <row r="725" spans="1:46" x14ac:dyDescent="0.25">
      <c r="A725">
        <v>46</v>
      </c>
      <c r="B725" t="s">
        <v>36</v>
      </c>
      <c r="C725" t="s">
        <v>30</v>
      </c>
      <c r="D725" t="s">
        <v>38</v>
      </c>
      <c r="E725">
        <v>7</v>
      </c>
      <c r="F725">
        <v>2</v>
      </c>
      <c r="G725" t="s">
        <v>44</v>
      </c>
      <c r="H725">
        <v>1007</v>
      </c>
      <c r="I725">
        <v>4</v>
      </c>
      <c r="J725" t="s">
        <v>39</v>
      </c>
      <c r="K725">
        <v>3</v>
      </c>
      <c r="L725">
        <v>3</v>
      </c>
      <c r="M725" t="s">
        <v>46</v>
      </c>
      <c r="N725">
        <v>3</v>
      </c>
      <c r="O725" t="s">
        <v>45</v>
      </c>
      <c r="P725">
        <v>10845</v>
      </c>
      <c r="Q725">
        <v>6</v>
      </c>
      <c r="R725" t="s">
        <v>36</v>
      </c>
      <c r="S725">
        <v>13</v>
      </c>
      <c r="T725">
        <v>3</v>
      </c>
      <c r="U725">
        <v>2</v>
      </c>
      <c r="V725">
        <v>1</v>
      </c>
      <c r="W725">
        <v>13</v>
      </c>
      <c r="X725">
        <v>3</v>
      </c>
      <c r="Y725">
        <v>3</v>
      </c>
      <c r="Z725">
        <v>8</v>
      </c>
      <c r="AA725">
        <v>7</v>
      </c>
      <c r="AB725">
        <v>0</v>
      </c>
      <c r="AC725">
        <v>7</v>
      </c>
      <c r="AD725">
        <f>IF(HR_Data[[#This Row],[Attrition]]="Yes",1,0)</f>
        <v>0</v>
      </c>
      <c r="AE725" t="str">
        <f>IF(HR_Data[[#This Row],[Age]]&lt;=25,"18-25",IF(HR_Data[[#This Row],[Age]]&lt;=35,"26-35",IF(HR_Data[[#This Row],[Age]]&lt;=45,"36-45",IF(HR_Data[[#This Row],[Age]]&lt;=55,"46-55","55+"))))</f>
        <v>46-55</v>
      </c>
      <c r="AF725">
        <f>IF(HR_Data[[#This Row],[Age]]&lt;=25,1,IF(HR_Data[[#This Row],[Age]]&lt;=35,2,IF(HR_Data[[#This Row],[Age]]&lt;=45,3,IF(HR_Data[[#This Row],[Age]]&lt;=55,4,5))))</f>
        <v>4</v>
      </c>
      <c r="AG725" s="1" t="str">
        <f>IF(HR_Data[[#This Row],[MonthlyIncome]]&lt;3000,"&lt;3K",IF(HR_Data[[#This Row],[MonthlyIncome]]&lt;6000,"3K-6K",IF(HR_Data[[#This Row],[MonthlyIncome]]&lt;10000,"6K-10K","10K+")))</f>
        <v>10K+</v>
      </c>
      <c r="AH725" s="1">
        <f>IF(HR_Data[[#This Row],[MonthlyIncome]]&lt;3000,1,IF(HR_Data[[#This Row],[MonthlyIncome]]&lt;6000,2,IF(HR_Data[[#This Row],[MonthlyIncome]]&lt;10000,3,4)))</f>
        <v>4</v>
      </c>
      <c r="AI725" s="1" t="str">
        <f>IF(HR_Data[[#This Row],[YearsAtCompany]]&lt;=2,"0-2 Yrs",IF(HR_Data[[#This Row],[YearsAtCompany]]&lt;=5,"3-5 Yrs",IF(HR_Data[[#This Row],[YearsAtCompany]]&lt;=10,"6-10 Yrs","10+ Yrs")))</f>
        <v>6-10 Yrs</v>
      </c>
      <c r="AJ725" s="1">
        <f>IF(HR_Data[[#This Row],[YearsAtCompany]]&lt;=2,1,IF(HR_Data[[#This Row],[YearsAtCompany]]&lt;=5,2,IF(HR_Data[[#This Row],[YearsAtCompany]]&lt;=10,3,4)))</f>
        <v>3</v>
      </c>
      <c r="AK725" s="1" t="str">
        <f>CHOOSE(HR_Data[[#This Row],[Education]],"Below College","College","Bachelor","Master","Doctor")</f>
        <v>College</v>
      </c>
      <c r="AL725" s="1" t="str">
        <f>CHOOSE(HR_Data[[#This Row],[JobSatisfaction]],"Low","Medium","High","Very High")</f>
        <v>High</v>
      </c>
      <c r="AM725" s="1" t="str">
        <f>CHOOSE(HR_Data[[#This Row],[EnvironmentSatisfaction]],"Low","Medium","High","Very High")</f>
        <v>Very High</v>
      </c>
      <c r="AN725" s="1" t="str">
        <f>CHOOSE(HR_Data[[#This Row],[WorkLifeBalance]],"Bad","Good","Better","Best")</f>
        <v>Better</v>
      </c>
      <c r="AO725" s="1" t="str">
        <f>IF(HR_Data[[#This Row],[PercentSalaryHike]]&lt;=13,"11-13%",IF(HR_Data[[#This Row],[PercentSalaryHike]]&lt;=16,"14-16%",IF(HR_Data[[#This Row],[PercentSalaryHike]]&lt;=19,"17-19%","20-25%")))</f>
        <v>11-13%</v>
      </c>
      <c r="AP725" s="1">
        <f>IF(HR_Data[[#This Row],[PercentSalaryHike]]&lt;=13,1,IF(HR_Data[[#This Row],[PercentSalaryHike]]&lt;=16,2,IF(HR_Data[[#This Row],[PercentSalaryHike]]&lt;=19,3,4)))</f>
        <v>1</v>
      </c>
      <c r="AQ725" s="1" t="str">
        <f>IF(HR_Data[[#This Row],[DistanceFromHome]]&lt;=5,"1 to 5",IF(HR_Data[[#This Row],[DistanceFromHome]]&lt;=10,"6 to 10",IF(HR_Data[[#This Row],[DistanceFromHome]]&lt;=20,"11 to 20","21 to 29")))</f>
        <v>6 to 10</v>
      </c>
      <c r="AR725" s="1">
        <f>IF(HR_Data[[#This Row],[DistanceFromHome]]&lt;=5,1,IF(HR_Data[[#This Row],[DistanceFromHome]]&lt;=10,2,IF(HR_Data[[#This Row],[DistanceFromHome]]&lt;=20,3,4)))</f>
        <v>2</v>
      </c>
      <c r="AS725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725" s="1">
        <f>IF(HR_Data[[#This Row],[TotalWorkingYears]]&lt;=5,1,IF(HR_Data[[#This Row],[TotalWorkingYears]]&lt;=10,2,IF(HR_Data[[#This Row],[TotalWorkingYears]]&lt;=20,3,4)))</f>
        <v>3</v>
      </c>
    </row>
    <row r="726" spans="1:46" x14ac:dyDescent="0.25">
      <c r="A726">
        <v>24</v>
      </c>
      <c r="B726" t="s">
        <v>36</v>
      </c>
      <c r="C726" t="s">
        <v>30</v>
      </c>
      <c r="D726" t="s">
        <v>38</v>
      </c>
      <c r="E726">
        <v>17</v>
      </c>
      <c r="F726">
        <v>1</v>
      </c>
      <c r="G726" t="s">
        <v>44</v>
      </c>
      <c r="H726">
        <v>1009</v>
      </c>
      <c r="I726">
        <v>4</v>
      </c>
      <c r="J726" t="s">
        <v>33</v>
      </c>
      <c r="K726">
        <v>2</v>
      </c>
      <c r="L726">
        <v>2</v>
      </c>
      <c r="M726" t="s">
        <v>46</v>
      </c>
      <c r="N726">
        <v>3</v>
      </c>
      <c r="O726" t="s">
        <v>45</v>
      </c>
      <c r="P726">
        <v>4377</v>
      </c>
      <c r="Q726">
        <v>1</v>
      </c>
      <c r="R726" t="s">
        <v>36</v>
      </c>
      <c r="S726">
        <v>15</v>
      </c>
      <c r="T726">
        <v>3</v>
      </c>
      <c r="U726">
        <v>2</v>
      </c>
      <c r="V726">
        <v>2</v>
      </c>
      <c r="W726">
        <v>5</v>
      </c>
      <c r="X726">
        <v>6</v>
      </c>
      <c r="Y726">
        <v>3</v>
      </c>
      <c r="Z726">
        <v>4</v>
      </c>
      <c r="AA726">
        <v>2</v>
      </c>
      <c r="AB726">
        <v>3</v>
      </c>
      <c r="AC726">
        <v>2</v>
      </c>
      <c r="AD726">
        <f>IF(HR_Data[[#This Row],[Attrition]]="Yes",1,0)</f>
        <v>0</v>
      </c>
      <c r="AE726" t="str">
        <f>IF(HR_Data[[#This Row],[Age]]&lt;=25,"18-25",IF(HR_Data[[#This Row],[Age]]&lt;=35,"26-35",IF(HR_Data[[#This Row],[Age]]&lt;=45,"36-45",IF(HR_Data[[#This Row],[Age]]&lt;=55,"46-55","55+"))))</f>
        <v>18-25</v>
      </c>
      <c r="AF726">
        <f>IF(HR_Data[[#This Row],[Age]]&lt;=25,1,IF(HR_Data[[#This Row],[Age]]&lt;=35,2,IF(HR_Data[[#This Row],[Age]]&lt;=45,3,IF(HR_Data[[#This Row],[Age]]&lt;=55,4,5))))</f>
        <v>1</v>
      </c>
      <c r="AG726" s="1" t="str">
        <f>IF(HR_Data[[#This Row],[MonthlyIncome]]&lt;3000,"&lt;3K",IF(HR_Data[[#This Row],[MonthlyIncome]]&lt;6000,"3K-6K",IF(HR_Data[[#This Row],[MonthlyIncome]]&lt;10000,"6K-10K","10K+")))</f>
        <v>3K-6K</v>
      </c>
      <c r="AH726" s="1">
        <f>IF(HR_Data[[#This Row],[MonthlyIncome]]&lt;3000,1,IF(HR_Data[[#This Row],[MonthlyIncome]]&lt;6000,2,IF(HR_Data[[#This Row],[MonthlyIncome]]&lt;10000,3,4)))</f>
        <v>2</v>
      </c>
      <c r="AI726" s="1" t="str">
        <f>IF(HR_Data[[#This Row],[YearsAtCompany]]&lt;=2,"0-2 Yrs",IF(HR_Data[[#This Row],[YearsAtCompany]]&lt;=5,"3-5 Yrs",IF(HR_Data[[#This Row],[YearsAtCompany]]&lt;=10,"6-10 Yrs","10+ Yrs")))</f>
        <v>3-5 Yrs</v>
      </c>
      <c r="AJ726" s="1">
        <f>IF(HR_Data[[#This Row],[YearsAtCompany]]&lt;=2,1,IF(HR_Data[[#This Row],[YearsAtCompany]]&lt;=5,2,IF(HR_Data[[#This Row],[YearsAtCompany]]&lt;=10,3,4)))</f>
        <v>2</v>
      </c>
      <c r="AK726" s="1" t="str">
        <f>CHOOSE(HR_Data[[#This Row],[Education]],"Below College","College","Bachelor","Master","Doctor")</f>
        <v>Below College</v>
      </c>
      <c r="AL726" s="1" t="str">
        <f>CHOOSE(HR_Data[[#This Row],[JobSatisfaction]],"Low","Medium","High","Very High")</f>
        <v>High</v>
      </c>
      <c r="AM726" s="1" t="str">
        <f>CHOOSE(HR_Data[[#This Row],[EnvironmentSatisfaction]],"Low","Medium","High","Very High")</f>
        <v>Very High</v>
      </c>
      <c r="AN726" s="1" t="str">
        <f>CHOOSE(HR_Data[[#This Row],[WorkLifeBalance]],"Bad","Good","Better","Best")</f>
        <v>Better</v>
      </c>
      <c r="AO726" s="1" t="str">
        <f>IF(HR_Data[[#This Row],[PercentSalaryHike]]&lt;=13,"11-13%",IF(HR_Data[[#This Row],[PercentSalaryHike]]&lt;=16,"14-16%",IF(HR_Data[[#This Row],[PercentSalaryHike]]&lt;=19,"17-19%","20-25%")))</f>
        <v>14-16%</v>
      </c>
      <c r="AP726" s="1">
        <f>IF(HR_Data[[#This Row],[PercentSalaryHike]]&lt;=13,1,IF(HR_Data[[#This Row],[PercentSalaryHike]]&lt;=16,2,IF(HR_Data[[#This Row],[PercentSalaryHike]]&lt;=19,3,4)))</f>
        <v>2</v>
      </c>
      <c r="AQ726" s="1" t="str">
        <f>IF(HR_Data[[#This Row],[DistanceFromHome]]&lt;=5,"1 to 5",IF(HR_Data[[#This Row],[DistanceFromHome]]&lt;=10,"6 to 10",IF(HR_Data[[#This Row],[DistanceFromHome]]&lt;=20,"11 to 20","21 to 29")))</f>
        <v>11 to 20</v>
      </c>
      <c r="AR726" s="1">
        <f>IF(HR_Data[[#This Row],[DistanceFromHome]]&lt;=5,1,IF(HR_Data[[#This Row],[DistanceFromHome]]&lt;=10,2,IF(HR_Data[[#This Row],[DistanceFromHome]]&lt;=20,3,4)))</f>
        <v>3</v>
      </c>
      <c r="AS726" s="1" t="str">
        <f>IF(HR_Data[[#This Row],[TotalWorkingYears]]&lt;=5,"0-5 Yrs",IF(HR_Data[[#This Row],[TotalWorkingYears]]&lt;=10,"6-10 Yrs",IF(HR_Data[[#This Row],[TotalWorkingYears]]&lt;=20,"11-20 Yrs","20+ Yrs")))</f>
        <v>0-5 Yrs</v>
      </c>
      <c r="AT726" s="1">
        <f>IF(HR_Data[[#This Row],[TotalWorkingYears]]&lt;=5,1,IF(HR_Data[[#This Row],[TotalWorkingYears]]&lt;=10,2,IF(HR_Data[[#This Row],[TotalWorkingYears]]&lt;=20,3,4)))</f>
        <v>1</v>
      </c>
    </row>
    <row r="727" spans="1:46" x14ac:dyDescent="0.25">
      <c r="A727">
        <v>35</v>
      </c>
      <c r="B727" t="s">
        <v>29</v>
      </c>
      <c r="C727" t="s">
        <v>30</v>
      </c>
      <c r="D727" t="s">
        <v>38</v>
      </c>
      <c r="E727">
        <v>14</v>
      </c>
      <c r="F727">
        <v>4</v>
      </c>
      <c r="G727" t="s">
        <v>42</v>
      </c>
      <c r="H727">
        <v>1010</v>
      </c>
      <c r="I727">
        <v>3</v>
      </c>
      <c r="J727" t="s">
        <v>39</v>
      </c>
      <c r="K727">
        <v>2</v>
      </c>
      <c r="L727">
        <v>1</v>
      </c>
      <c r="M727" t="s">
        <v>43</v>
      </c>
      <c r="N727">
        <v>2</v>
      </c>
      <c r="O727" t="s">
        <v>45</v>
      </c>
      <c r="P727">
        <v>3743</v>
      </c>
      <c r="Q727">
        <v>1</v>
      </c>
      <c r="R727" t="s">
        <v>29</v>
      </c>
      <c r="S727">
        <v>24</v>
      </c>
      <c r="T727">
        <v>4</v>
      </c>
      <c r="U727">
        <v>4</v>
      </c>
      <c r="V727">
        <v>1</v>
      </c>
      <c r="W727">
        <v>5</v>
      </c>
      <c r="X727">
        <v>2</v>
      </c>
      <c r="Y727">
        <v>1</v>
      </c>
      <c r="Z727">
        <v>4</v>
      </c>
      <c r="AA727">
        <v>2</v>
      </c>
      <c r="AB727">
        <v>0</v>
      </c>
      <c r="AC727">
        <v>2</v>
      </c>
      <c r="AD727">
        <f>IF(HR_Data[[#This Row],[Attrition]]="Yes",1,0)</f>
        <v>1</v>
      </c>
      <c r="AE727" t="str">
        <f>IF(HR_Data[[#This Row],[Age]]&lt;=25,"18-25",IF(HR_Data[[#This Row],[Age]]&lt;=35,"26-35",IF(HR_Data[[#This Row],[Age]]&lt;=45,"36-45",IF(HR_Data[[#This Row],[Age]]&lt;=55,"46-55","55+"))))</f>
        <v>26-35</v>
      </c>
      <c r="AF727">
        <f>IF(HR_Data[[#This Row],[Age]]&lt;=25,1,IF(HR_Data[[#This Row],[Age]]&lt;=35,2,IF(HR_Data[[#This Row],[Age]]&lt;=45,3,IF(HR_Data[[#This Row],[Age]]&lt;=55,4,5))))</f>
        <v>2</v>
      </c>
      <c r="AG727" s="1" t="str">
        <f>IF(HR_Data[[#This Row],[MonthlyIncome]]&lt;3000,"&lt;3K",IF(HR_Data[[#This Row],[MonthlyIncome]]&lt;6000,"3K-6K",IF(HR_Data[[#This Row],[MonthlyIncome]]&lt;10000,"6K-10K","10K+")))</f>
        <v>3K-6K</v>
      </c>
      <c r="AH727" s="1">
        <f>IF(HR_Data[[#This Row],[MonthlyIncome]]&lt;3000,1,IF(HR_Data[[#This Row],[MonthlyIncome]]&lt;6000,2,IF(HR_Data[[#This Row],[MonthlyIncome]]&lt;10000,3,4)))</f>
        <v>2</v>
      </c>
      <c r="AI727" s="1" t="str">
        <f>IF(HR_Data[[#This Row],[YearsAtCompany]]&lt;=2,"0-2 Yrs",IF(HR_Data[[#This Row],[YearsAtCompany]]&lt;=5,"3-5 Yrs",IF(HR_Data[[#This Row],[YearsAtCompany]]&lt;=10,"6-10 Yrs","10+ Yrs")))</f>
        <v>3-5 Yrs</v>
      </c>
      <c r="AJ727" s="1">
        <f>IF(HR_Data[[#This Row],[YearsAtCompany]]&lt;=2,1,IF(HR_Data[[#This Row],[YearsAtCompany]]&lt;=5,2,IF(HR_Data[[#This Row],[YearsAtCompany]]&lt;=10,3,4)))</f>
        <v>2</v>
      </c>
      <c r="AK727" s="1" t="str">
        <f>CHOOSE(HR_Data[[#This Row],[Education]],"Below College","College","Bachelor","Master","Doctor")</f>
        <v>Master</v>
      </c>
      <c r="AL727" s="1" t="str">
        <f>CHOOSE(HR_Data[[#This Row],[JobSatisfaction]],"Low","Medium","High","Very High")</f>
        <v>Medium</v>
      </c>
      <c r="AM727" s="1" t="str">
        <f>CHOOSE(HR_Data[[#This Row],[EnvironmentSatisfaction]],"Low","Medium","High","Very High")</f>
        <v>High</v>
      </c>
      <c r="AN727" s="1" t="str">
        <f>CHOOSE(HR_Data[[#This Row],[WorkLifeBalance]],"Bad","Good","Better","Best")</f>
        <v>Bad</v>
      </c>
      <c r="AO727" s="1" t="str">
        <f>IF(HR_Data[[#This Row],[PercentSalaryHike]]&lt;=13,"11-13%",IF(HR_Data[[#This Row],[PercentSalaryHike]]&lt;=16,"14-16%",IF(HR_Data[[#This Row],[PercentSalaryHike]]&lt;=19,"17-19%","20-25%")))</f>
        <v>20-25%</v>
      </c>
      <c r="AP727" s="1">
        <f>IF(HR_Data[[#This Row],[PercentSalaryHike]]&lt;=13,1,IF(HR_Data[[#This Row],[PercentSalaryHike]]&lt;=16,2,IF(HR_Data[[#This Row],[PercentSalaryHike]]&lt;=19,3,4)))</f>
        <v>4</v>
      </c>
      <c r="AQ727" s="1" t="str">
        <f>IF(HR_Data[[#This Row],[DistanceFromHome]]&lt;=5,"1 to 5",IF(HR_Data[[#This Row],[DistanceFromHome]]&lt;=10,"6 to 10",IF(HR_Data[[#This Row],[DistanceFromHome]]&lt;=20,"11 to 20","21 to 29")))</f>
        <v>11 to 20</v>
      </c>
      <c r="AR727" s="1">
        <f>IF(HR_Data[[#This Row],[DistanceFromHome]]&lt;=5,1,IF(HR_Data[[#This Row],[DistanceFromHome]]&lt;=10,2,IF(HR_Data[[#This Row],[DistanceFromHome]]&lt;=20,3,4)))</f>
        <v>3</v>
      </c>
      <c r="AS727" s="1" t="str">
        <f>IF(HR_Data[[#This Row],[TotalWorkingYears]]&lt;=5,"0-5 Yrs",IF(HR_Data[[#This Row],[TotalWorkingYears]]&lt;=10,"6-10 Yrs",IF(HR_Data[[#This Row],[TotalWorkingYears]]&lt;=20,"11-20 Yrs","20+ Yrs")))</f>
        <v>0-5 Yrs</v>
      </c>
      <c r="AT727" s="1">
        <f>IF(HR_Data[[#This Row],[TotalWorkingYears]]&lt;=5,1,IF(HR_Data[[#This Row],[TotalWorkingYears]]&lt;=10,2,IF(HR_Data[[#This Row],[TotalWorkingYears]]&lt;=20,3,4)))</f>
        <v>1</v>
      </c>
    </row>
    <row r="728" spans="1:46" x14ac:dyDescent="0.25">
      <c r="A728">
        <v>31</v>
      </c>
      <c r="B728" t="s">
        <v>36</v>
      </c>
      <c r="C728" t="s">
        <v>37</v>
      </c>
      <c r="D728" t="s">
        <v>38</v>
      </c>
      <c r="E728">
        <v>1</v>
      </c>
      <c r="F728">
        <v>1</v>
      </c>
      <c r="G728" t="s">
        <v>32</v>
      </c>
      <c r="H728">
        <v>1011</v>
      </c>
      <c r="I728">
        <v>3</v>
      </c>
      <c r="J728" t="s">
        <v>33</v>
      </c>
      <c r="K728">
        <v>3</v>
      </c>
      <c r="L728">
        <v>2</v>
      </c>
      <c r="M728" t="s">
        <v>46</v>
      </c>
      <c r="N728">
        <v>1</v>
      </c>
      <c r="O728" t="s">
        <v>41</v>
      </c>
      <c r="P728">
        <v>4148</v>
      </c>
      <c r="Q728">
        <v>1</v>
      </c>
      <c r="R728" t="s">
        <v>36</v>
      </c>
      <c r="S728">
        <v>12</v>
      </c>
      <c r="T728">
        <v>3</v>
      </c>
      <c r="U728">
        <v>3</v>
      </c>
      <c r="V728">
        <v>1</v>
      </c>
      <c r="W728">
        <v>4</v>
      </c>
      <c r="X728">
        <v>1</v>
      </c>
      <c r="Y728">
        <v>3</v>
      </c>
      <c r="Z728">
        <v>4</v>
      </c>
      <c r="AA728">
        <v>3</v>
      </c>
      <c r="AB728">
        <v>0</v>
      </c>
      <c r="AC728">
        <v>3</v>
      </c>
      <c r="AD728">
        <f>IF(HR_Data[[#This Row],[Attrition]]="Yes",1,0)</f>
        <v>0</v>
      </c>
      <c r="AE728" t="str">
        <f>IF(HR_Data[[#This Row],[Age]]&lt;=25,"18-25",IF(HR_Data[[#This Row],[Age]]&lt;=35,"26-35",IF(HR_Data[[#This Row],[Age]]&lt;=45,"36-45",IF(HR_Data[[#This Row],[Age]]&lt;=55,"46-55","55+"))))</f>
        <v>26-35</v>
      </c>
      <c r="AF728">
        <f>IF(HR_Data[[#This Row],[Age]]&lt;=25,1,IF(HR_Data[[#This Row],[Age]]&lt;=35,2,IF(HR_Data[[#This Row],[Age]]&lt;=45,3,IF(HR_Data[[#This Row],[Age]]&lt;=55,4,5))))</f>
        <v>2</v>
      </c>
      <c r="AG728" s="1" t="str">
        <f>IF(HR_Data[[#This Row],[MonthlyIncome]]&lt;3000,"&lt;3K",IF(HR_Data[[#This Row],[MonthlyIncome]]&lt;6000,"3K-6K",IF(HR_Data[[#This Row],[MonthlyIncome]]&lt;10000,"6K-10K","10K+")))</f>
        <v>3K-6K</v>
      </c>
      <c r="AH728" s="1">
        <f>IF(HR_Data[[#This Row],[MonthlyIncome]]&lt;3000,1,IF(HR_Data[[#This Row],[MonthlyIncome]]&lt;6000,2,IF(HR_Data[[#This Row],[MonthlyIncome]]&lt;10000,3,4)))</f>
        <v>2</v>
      </c>
      <c r="AI728" s="1" t="str">
        <f>IF(HR_Data[[#This Row],[YearsAtCompany]]&lt;=2,"0-2 Yrs",IF(HR_Data[[#This Row],[YearsAtCompany]]&lt;=5,"3-5 Yrs",IF(HR_Data[[#This Row],[YearsAtCompany]]&lt;=10,"6-10 Yrs","10+ Yrs")))</f>
        <v>3-5 Yrs</v>
      </c>
      <c r="AJ728" s="1">
        <f>IF(HR_Data[[#This Row],[YearsAtCompany]]&lt;=2,1,IF(HR_Data[[#This Row],[YearsAtCompany]]&lt;=5,2,IF(HR_Data[[#This Row],[YearsAtCompany]]&lt;=10,3,4)))</f>
        <v>2</v>
      </c>
      <c r="AK728" s="1" t="str">
        <f>CHOOSE(HR_Data[[#This Row],[Education]],"Below College","College","Bachelor","Master","Doctor")</f>
        <v>Below College</v>
      </c>
      <c r="AL728" s="1" t="str">
        <f>CHOOSE(HR_Data[[#This Row],[JobSatisfaction]],"Low","Medium","High","Very High")</f>
        <v>Low</v>
      </c>
      <c r="AM728" s="1" t="str">
        <f>CHOOSE(HR_Data[[#This Row],[EnvironmentSatisfaction]],"Low","Medium","High","Very High")</f>
        <v>High</v>
      </c>
      <c r="AN728" s="1" t="str">
        <f>CHOOSE(HR_Data[[#This Row],[WorkLifeBalance]],"Bad","Good","Better","Best")</f>
        <v>Better</v>
      </c>
      <c r="AO728" s="1" t="str">
        <f>IF(HR_Data[[#This Row],[PercentSalaryHike]]&lt;=13,"11-13%",IF(HR_Data[[#This Row],[PercentSalaryHike]]&lt;=16,"14-16%",IF(HR_Data[[#This Row],[PercentSalaryHike]]&lt;=19,"17-19%","20-25%")))</f>
        <v>11-13%</v>
      </c>
      <c r="AP728" s="1">
        <f>IF(HR_Data[[#This Row],[PercentSalaryHike]]&lt;=13,1,IF(HR_Data[[#This Row],[PercentSalaryHike]]&lt;=16,2,IF(HR_Data[[#This Row],[PercentSalaryHike]]&lt;=19,3,4)))</f>
        <v>1</v>
      </c>
      <c r="AQ728" s="1" t="str">
        <f>IF(HR_Data[[#This Row],[DistanceFromHome]]&lt;=5,"1 to 5",IF(HR_Data[[#This Row],[DistanceFromHome]]&lt;=10,"6 to 10",IF(HR_Data[[#This Row],[DistanceFromHome]]&lt;=20,"11 to 20","21 to 29")))</f>
        <v>1 to 5</v>
      </c>
      <c r="AR728" s="1">
        <f>IF(HR_Data[[#This Row],[DistanceFromHome]]&lt;=5,1,IF(HR_Data[[#This Row],[DistanceFromHome]]&lt;=10,2,IF(HR_Data[[#This Row],[DistanceFromHome]]&lt;=20,3,4)))</f>
        <v>1</v>
      </c>
      <c r="AS728" s="1" t="str">
        <f>IF(HR_Data[[#This Row],[TotalWorkingYears]]&lt;=5,"0-5 Yrs",IF(HR_Data[[#This Row],[TotalWorkingYears]]&lt;=10,"6-10 Yrs",IF(HR_Data[[#This Row],[TotalWorkingYears]]&lt;=20,"11-20 Yrs","20+ Yrs")))</f>
        <v>0-5 Yrs</v>
      </c>
      <c r="AT728" s="1">
        <f>IF(HR_Data[[#This Row],[TotalWorkingYears]]&lt;=5,1,IF(HR_Data[[#This Row],[TotalWorkingYears]]&lt;=10,2,IF(HR_Data[[#This Row],[TotalWorkingYears]]&lt;=20,3,4)))</f>
        <v>1</v>
      </c>
    </row>
    <row r="729" spans="1:46" x14ac:dyDescent="0.25">
      <c r="A729">
        <v>18</v>
      </c>
      <c r="B729" t="s">
        <v>36</v>
      </c>
      <c r="C729" t="s">
        <v>48</v>
      </c>
      <c r="D729" t="s">
        <v>38</v>
      </c>
      <c r="E729">
        <v>5</v>
      </c>
      <c r="F729">
        <v>2</v>
      </c>
      <c r="G729" t="s">
        <v>32</v>
      </c>
      <c r="H729">
        <v>1012</v>
      </c>
      <c r="I729">
        <v>2</v>
      </c>
      <c r="J729" t="s">
        <v>39</v>
      </c>
      <c r="K729">
        <v>3</v>
      </c>
      <c r="L729">
        <v>1</v>
      </c>
      <c r="M729" t="s">
        <v>40</v>
      </c>
      <c r="N729">
        <v>4</v>
      </c>
      <c r="O729" t="s">
        <v>35</v>
      </c>
      <c r="P729">
        <v>1051</v>
      </c>
      <c r="Q729">
        <v>1</v>
      </c>
      <c r="R729" t="s">
        <v>36</v>
      </c>
      <c r="S729">
        <v>15</v>
      </c>
      <c r="T729">
        <v>3</v>
      </c>
      <c r="U729">
        <v>4</v>
      </c>
      <c r="V729">
        <v>0</v>
      </c>
      <c r="W729">
        <v>0</v>
      </c>
      <c r="X729">
        <v>2</v>
      </c>
      <c r="Y729">
        <v>3</v>
      </c>
      <c r="Z729">
        <v>0</v>
      </c>
      <c r="AA729">
        <v>0</v>
      </c>
      <c r="AB729">
        <v>0</v>
      </c>
      <c r="AC729">
        <v>0</v>
      </c>
      <c r="AD729">
        <f>IF(HR_Data[[#This Row],[Attrition]]="Yes",1,0)</f>
        <v>0</v>
      </c>
      <c r="AE729" t="str">
        <f>IF(HR_Data[[#This Row],[Age]]&lt;=25,"18-25",IF(HR_Data[[#This Row],[Age]]&lt;=35,"26-35",IF(HR_Data[[#This Row],[Age]]&lt;=45,"36-45",IF(HR_Data[[#This Row],[Age]]&lt;=55,"46-55","55+"))))</f>
        <v>18-25</v>
      </c>
      <c r="AF729">
        <f>IF(HR_Data[[#This Row],[Age]]&lt;=25,1,IF(HR_Data[[#This Row],[Age]]&lt;=35,2,IF(HR_Data[[#This Row],[Age]]&lt;=45,3,IF(HR_Data[[#This Row],[Age]]&lt;=55,4,5))))</f>
        <v>1</v>
      </c>
      <c r="AG729" s="1" t="str">
        <f>IF(HR_Data[[#This Row],[MonthlyIncome]]&lt;3000,"&lt;3K",IF(HR_Data[[#This Row],[MonthlyIncome]]&lt;6000,"3K-6K",IF(HR_Data[[#This Row],[MonthlyIncome]]&lt;10000,"6K-10K","10K+")))</f>
        <v>&lt;3K</v>
      </c>
      <c r="AH729" s="1">
        <f>IF(HR_Data[[#This Row],[MonthlyIncome]]&lt;3000,1,IF(HR_Data[[#This Row],[MonthlyIncome]]&lt;6000,2,IF(HR_Data[[#This Row],[MonthlyIncome]]&lt;10000,3,4)))</f>
        <v>1</v>
      </c>
      <c r="AI729" s="1" t="str">
        <f>IF(HR_Data[[#This Row],[YearsAtCompany]]&lt;=2,"0-2 Yrs",IF(HR_Data[[#This Row],[YearsAtCompany]]&lt;=5,"3-5 Yrs",IF(HR_Data[[#This Row],[YearsAtCompany]]&lt;=10,"6-10 Yrs","10+ Yrs")))</f>
        <v>0-2 Yrs</v>
      </c>
      <c r="AJ729" s="1">
        <f>IF(HR_Data[[#This Row],[YearsAtCompany]]&lt;=2,1,IF(HR_Data[[#This Row],[YearsAtCompany]]&lt;=5,2,IF(HR_Data[[#This Row],[YearsAtCompany]]&lt;=10,3,4)))</f>
        <v>1</v>
      </c>
      <c r="AK729" s="1" t="str">
        <f>CHOOSE(HR_Data[[#This Row],[Education]],"Below College","College","Bachelor","Master","Doctor")</f>
        <v>College</v>
      </c>
      <c r="AL729" s="1" t="str">
        <f>CHOOSE(HR_Data[[#This Row],[JobSatisfaction]],"Low","Medium","High","Very High")</f>
        <v>Very High</v>
      </c>
      <c r="AM729" s="1" t="str">
        <f>CHOOSE(HR_Data[[#This Row],[EnvironmentSatisfaction]],"Low","Medium","High","Very High")</f>
        <v>Medium</v>
      </c>
      <c r="AN729" s="1" t="str">
        <f>CHOOSE(HR_Data[[#This Row],[WorkLifeBalance]],"Bad","Good","Better","Best")</f>
        <v>Better</v>
      </c>
      <c r="AO729" s="1" t="str">
        <f>IF(HR_Data[[#This Row],[PercentSalaryHike]]&lt;=13,"11-13%",IF(HR_Data[[#This Row],[PercentSalaryHike]]&lt;=16,"14-16%",IF(HR_Data[[#This Row],[PercentSalaryHike]]&lt;=19,"17-19%","20-25%")))</f>
        <v>14-16%</v>
      </c>
      <c r="AP729" s="1">
        <f>IF(HR_Data[[#This Row],[PercentSalaryHike]]&lt;=13,1,IF(HR_Data[[#This Row],[PercentSalaryHike]]&lt;=16,2,IF(HR_Data[[#This Row],[PercentSalaryHike]]&lt;=19,3,4)))</f>
        <v>2</v>
      </c>
      <c r="AQ729" s="1" t="str">
        <f>IF(HR_Data[[#This Row],[DistanceFromHome]]&lt;=5,"1 to 5",IF(HR_Data[[#This Row],[DistanceFromHome]]&lt;=10,"6 to 10",IF(HR_Data[[#This Row],[DistanceFromHome]]&lt;=20,"11 to 20","21 to 29")))</f>
        <v>1 to 5</v>
      </c>
      <c r="AR729" s="1">
        <f>IF(HR_Data[[#This Row],[DistanceFromHome]]&lt;=5,1,IF(HR_Data[[#This Row],[DistanceFromHome]]&lt;=10,2,IF(HR_Data[[#This Row],[DistanceFromHome]]&lt;=20,3,4)))</f>
        <v>1</v>
      </c>
      <c r="AS729" s="1" t="str">
        <f>IF(HR_Data[[#This Row],[TotalWorkingYears]]&lt;=5,"0-5 Yrs",IF(HR_Data[[#This Row],[TotalWorkingYears]]&lt;=10,"6-10 Yrs",IF(HR_Data[[#This Row],[TotalWorkingYears]]&lt;=20,"11-20 Yrs","20+ Yrs")))</f>
        <v>0-5 Yrs</v>
      </c>
      <c r="AT729" s="1">
        <f>IF(HR_Data[[#This Row],[TotalWorkingYears]]&lt;=5,1,IF(HR_Data[[#This Row],[TotalWorkingYears]]&lt;=10,2,IF(HR_Data[[#This Row],[TotalWorkingYears]]&lt;=20,3,4)))</f>
        <v>1</v>
      </c>
    </row>
    <row r="730" spans="1:46" x14ac:dyDescent="0.25">
      <c r="A730">
        <v>54</v>
      </c>
      <c r="B730" t="s">
        <v>36</v>
      </c>
      <c r="C730" t="s">
        <v>30</v>
      </c>
      <c r="D730" t="s">
        <v>38</v>
      </c>
      <c r="E730">
        <v>17</v>
      </c>
      <c r="F730">
        <v>3</v>
      </c>
      <c r="G730" t="s">
        <v>53</v>
      </c>
      <c r="H730">
        <v>1013</v>
      </c>
      <c r="I730">
        <v>3</v>
      </c>
      <c r="J730" t="s">
        <v>33</v>
      </c>
      <c r="K730">
        <v>3</v>
      </c>
      <c r="L730">
        <v>3</v>
      </c>
      <c r="M730" t="s">
        <v>46</v>
      </c>
      <c r="N730">
        <v>3</v>
      </c>
      <c r="O730" t="s">
        <v>41</v>
      </c>
      <c r="P730">
        <v>10739</v>
      </c>
      <c r="Q730">
        <v>8</v>
      </c>
      <c r="R730" t="s">
        <v>36</v>
      </c>
      <c r="S730">
        <v>11</v>
      </c>
      <c r="T730">
        <v>3</v>
      </c>
      <c r="U730">
        <v>3</v>
      </c>
      <c r="V730">
        <v>1</v>
      </c>
      <c r="W730">
        <v>22</v>
      </c>
      <c r="X730">
        <v>2</v>
      </c>
      <c r="Y730">
        <v>3</v>
      </c>
      <c r="Z730">
        <v>10</v>
      </c>
      <c r="AA730">
        <v>7</v>
      </c>
      <c r="AB730">
        <v>0</v>
      </c>
      <c r="AC730">
        <v>8</v>
      </c>
      <c r="AD730">
        <f>IF(HR_Data[[#This Row],[Attrition]]="Yes",1,0)</f>
        <v>0</v>
      </c>
      <c r="AE730" t="str">
        <f>IF(HR_Data[[#This Row],[Age]]&lt;=25,"18-25",IF(HR_Data[[#This Row],[Age]]&lt;=35,"26-35",IF(HR_Data[[#This Row],[Age]]&lt;=45,"36-45",IF(HR_Data[[#This Row],[Age]]&lt;=55,"46-55","55+"))))</f>
        <v>46-55</v>
      </c>
      <c r="AF730">
        <f>IF(HR_Data[[#This Row],[Age]]&lt;=25,1,IF(HR_Data[[#This Row],[Age]]&lt;=35,2,IF(HR_Data[[#This Row],[Age]]&lt;=45,3,IF(HR_Data[[#This Row],[Age]]&lt;=55,4,5))))</f>
        <v>4</v>
      </c>
      <c r="AG730" s="1" t="str">
        <f>IF(HR_Data[[#This Row],[MonthlyIncome]]&lt;3000,"&lt;3K",IF(HR_Data[[#This Row],[MonthlyIncome]]&lt;6000,"3K-6K",IF(HR_Data[[#This Row],[MonthlyIncome]]&lt;10000,"6K-10K","10K+")))</f>
        <v>10K+</v>
      </c>
      <c r="AH730" s="1">
        <f>IF(HR_Data[[#This Row],[MonthlyIncome]]&lt;3000,1,IF(HR_Data[[#This Row],[MonthlyIncome]]&lt;6000,2,IF(HR_Data[[#This Row],[MonthlyIncome]]&lt;10000,3,4)))</f>
        <v>4</v>
      </c>
      <c r="AI730" s="1" t="str">
        <f>IF(HR_Data[[#This Row],[YearsAtCompany]]&lt;=2,"0-2 Yrs",IF(HR_Data[[#This Row],[YearsAtCompany]]&lt;=5,"3-5 Yrs",IF(HR_Data[[#This Row],[YearsAtCompany]]&lt;=10,"6-10 Yrs","10+ Yrs")))</f>
        <v>6-10 Yrs</v>
      </c>
      <c r="AJ730" s="1">
        <f>IF(HR_Data[[#This Row],[YearsAtCompany]]&lt;=2,1,IF(HR_Data[[#This Row],[YearsAtCompany]]&lt;=5,2,IF(HR_Data[[#This Row],[YearsAtCompany]]&lt;=10,3,4)))</f>
        <v>3</v>
      </c>
      <c r="AK730" s="1" t="str">
        <f>CHOOSE(HR_Data[[#This Row],[Education]],"Below College","College","Bachelor","Master","Doctor")</f>
        <v>Bachelor</v>
      </c>
      <c r="AL730" s="1" t="str">
        <f>CHOOSE(HR_Data[[#This Row],[JobSatisfaction]],"Low","Medium","High","Very High")</f>
        <v>High</v>
      </c>
      <c r="AM730" s="1" t="str">
        <f>CHOOSE(HR_Data[[#This Row],[EnvironmentSatisfaction]],"Low","Medium","High","Very High")</f>
        <v>High</v>
      </c>
      <c r="AN730" s="1" t="str">
        <f>CHOOSE(HR_Data[[#This Row],[WorkLifeBalance]],"Bad","Good","Better","Best")</f>
        <v>Better</v>
      </c>
      <c r="AO730" s="1" t="str">
        <f>IF(HR_Data[[#This Row],[PercentSalaryHike]]&lt;=13,"11-13%",IF(HR_Data[[#This Row],[PercentSalaryHike]]&lt;=16,"14-16%",IF(HR_Data[[#This Row],[PercentSalaryHike]]&lt;=19,"17-19%","20-25%")))</f>
        <v>11-13%</v>
      </c>
      <c r="AP730" s="1">
        <f>IF(HR_Data[[#This Row],[PercentSalaryHike]]&lt;=13,1,IF(HR_Data[[#This Row],[PercentSalaryHike]]&lt;=16,2,IF(HR_Data[[#This Row],[PercentSalaryHike]]&lt;=19,3,4)))</f>
        <v>1</v>
      </c>
      <c r="AQ730" s="1" t="str">
        <f>IF(HR_Data[[#This Row],[DistanceFromHome]]&lt;=5,"1 to 5",IF(HR_Data[[#This Row],[DistanceFromHome]]&lt;=10,"6 to 10",IF(HR_Data[[#This Row],[DistanceFromHome]]&lt;=20,"11 to 20","21 to 29")))</f>
        <v>11 to 20</v>
      </c>
      <c r="AR730" s="1">
        <f>IF(HR_Data[[#This Row],[DistanceFromHome]]&lt;=5,1,IF(HR_Data[[#This Row],[DistanceFromHome]]&lt;=10,2,IF(HR_Data[[#This Row],[DistanceFromHome]]&lt;=20,3,4)))</f>
        <v>3</v>
      </c>
      <c r="AS730" s="1" t="str">
        <f>IF(HR_Data[[#This Row],[TotalWorkingYears]]&lt;=5,"0-5 Yrs",IF(HR_Data[[#This Row],[TotalWorkingYears]]&lt;=10,"6-10 Yrs",IF(HR_Data[[#This Row],[TotalWorkingYears]]&lt;=20,"11-20 Yrs","20+ Yrs")))</f>
        <v>20+ Yrs</v>
      </c>
      <c r="AT730" s="1">
        <f>IF(HR_Data[[#This Row],[TotalWorkingYears]]&lt;=5,1,IF(HR_Data[[#This Row],[TotalWorkingYears]]&lt;=10,2,IF(HR_Data[[#This Row],[TotalWorkingYears]]&lt;=20,3,4)))</f>
        <v>4</v>
      </c>
    </row>
    <row r="731" spans="1:46" x14ac:dyDescent="0.25">
      <c r="A731">
        <v>35</v>
      </c>
      <c r="B731" t="s">
        <v>36</v>
      </c>
      <c r="C731" t="s">
        <v>30</v>
      </c>
      <c r="D731" t="s">
        <v>38</v>
      </c>
      <c r="E731">
        <v>25</v>
      </c>
      <c r="F731">
        <v>4</v>
      </c>
      <c r="G731" t="s">
        <v>44</v>
      </c>
      <c r="H731">
        <v>1014</v>
      </c>
      <c r="I731">
        <v>3</v>
      </c>
      <c r="J731" t="s">
        <v>33</v>
      </c>
      <c r="K731">
        <v>3</v>
      </c>
      <c r="L731">
        <v>3</v>
      </c>
      <c r="M731" t="s">
        <v>47</v>
      </c>
      <c r="N731">
        <v>3</v>
      </c>
      <c r="O731" t="s">
        <v>45</v>
      </c>
      <c r="P731">
        <v>10388</v>
      </c>
      <c r="Q731">
        <v>1</v>
      </c>
      <c r="R731" t="s">
        <v>29</v>
      </c>
      <c r="S731">
        <v>11</v>
      </c>
      <c r="T731">
        <v>3</v>
      </c>
      <c r="U731">
        <v>3</v>
      </c>
      <c r="V731">
        <v>1</v>
      </c>
      <c r="W731">
        <v>16</v>
      </c>
      <c r="X731">
        <v>3</v>
      </c>
      <c r="Y731">
        <v>2</v>
      </c>
      <c r="Z731">
        <v>16</v>
      </c>
      <c r="AA731">
        <v>10</v>
      </c>
      <c r="AB731">
        <v>10</v>
      </c>
      <c r="AC731">
        <v>1</v>
      </c>
      <c r="AD731">
        <f>IF(HR_Data[[#This Row],[Attrition]]="Yes",1,0)</f>
        <v>0</v>
      </c>
      <c r="AE731" t="str">
        <f>IF(HR_Data[[#This Row],[Age]]&lt;=25,"18-25",IF(HR_Data[[#This Row],[Age]]&lt;=35,"26-35",IF(HR_Data[[#This Row],[Age]]&lt;=45,"36-45",IF(HR_Data[[#This Row],[Age]]&lt;=55,"46-55","55+"))))</f>
        <v>26-35</v>
      </c>
      <c r="AF731">
        <f>IF(HR_Data[[#This Row],[Age]]&lt;=25,1,IF(HR_Data[[#This Row],[Age]]&lt;=35,2,IF(HR_Data[[#This Row],[Age]]&lt;=45,3,IF(HR_Data[[#This Row],[Age]]&lt;=55,4,5))))</f>
        <v>2</v>
      </c>
      <c r="AG731" s="1" t="str">
        <f>IF(HR_Data[[#This Row],[MonthlyIncome]]&lt;3000,"&lt;3K",IF(HR_Data[[#This Row],[MonthlyIncome]]&lt;6000,"3K-6K",IF(HR_Data[[#This Row],[MonthlyIncome]]&lt;10000,"6K-10K","10K+")))</f>
        <v>10K+</v>
      </c>
      <c r="AH731" s="1">
        <f>IF(HR_Data[[#This Row],[MonthlyIncome]]&lt;3000,1,IF(HR_Data[[#This Row],[MonthlyIncome]]&lt;6000,2,IF(HR_Data[[#This Row],[MonthlyIncome]]&lt;10000,3,4)))</f>
        <v>4</v>
      </c>
      <c r="AI731" s="1" t="str">
        <f>IF(HR_Data[[#This Row],[YearsAtCompany]]&lt;=2,"0-2 Yrs",IF(HR_Data[[#This Row],[YearsAtCompany]]&lt;=5,"3-5 Yrs",IF(HR_Data[[#This Row],[YearsAtCompany]]&lt;=10,"6-10 Yrs","10+ Yrs")))</f>
        <v>10+ Yrs</v>
      </c>
      <c r="AJ731" s="1">
        <f>IF(HR_Data[[#This Row],[YearsAtCompany]]&lt;=2,1,IF(HR_Data[[#This Row],[YearsAtCompany]]&lt;=5,2,IF(HR_Data[[#This Row],[YearsAtCompany]]&lt;=10,3,4)))</f>
        <v>4</v>
      </c>
      <c r="AK731" s="1" t="str">
        <f>CHOOSE(HR_Data[[#This Row],[Education]],"Below College","College","Bachelor","Master","Doctor")</f>
        <v>Master</v>
      </c>
      <c r="AL731" s="1" t="str">
        <f>CHOOSE(HR_Data[[#This Row],[JobSatisfaction]],"Low","Medium","High","Very High")</f>
        <v>High</v>
      </c>
      <c r="AM731" s="1" t="str">
        <f>CHOOSE(HR_Data[[#This Row],[EnvironmentSatisfaction]],"Low","Medium","High","Very High")</f>
        <v>High</v>
      </c>
      <c r="AN731" s="1" t="str">
        <f>CHOOSE(HR_Data[[#This Row],[WorkLifeBalance]],"Bad","Good","Better","Best")</f>
        <v>Good</v>
      </c>
      <c r="AO731" s="1" t="str">
        <f>IF(HR_Data[[#This Row],[PercentSalaryHike]]&lt;=13,"11-13%",IF(HR_Data[[#This Row],[PercentSalaryHike]]&lt;=16,"14-16%",IF(HR_Data[[#This Row],[PercentSalaryHike]]&lt;=19,"17-19%","20-25%")))</f>
        <v>11-13%</v>
      </c>
      <c r="AP731" s="1">
        <f>IF(HR_Data[[#This Row],[PercentSalaryHike]]&lt;=13,1,IF(HR_Data[[#This Row],[PercentSalaryHike]]&lt;=16,2,IF(HR_Data[[#This Row],[PercentSalaryHike]]&lt;=19,3,4)))</f>
        <v>1</v>
      </c>
      <c r="AQ731" s="1" t="str">
        <f>IF(HR_Data[[#This Row],[DistanceFromHome]]&lt;=5,"1 to 5",IF(HR_Data[[#This Row],[DistanceFromHome]]&lt;=10,"6 to 10",IF(HR_Data[[#This Row],[DistanceFromHome]]&lt;=20,"11 to 20","21 to 29")))</f>
        <v>21 to 29</v>
      </c>
      <c r="AR731" s="1">
        <f>IF(HR_Data[[#This Row],[DistanceFromHome]]&lt;=5,1,IF(HR_Data[[#This Row],[DistanceFromHome]]&lt;=10,2,IF(HR_Data[[#This Row],[DistanceFromHome]]&lt;=20,3,4)))</f>
        <v>4</v>
      </c>
      <c r="AS731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731" s="1">
        <f>IF(HR_Data[[#This Row],[TotalWorkingYears]]&lt;=5,1,IF(HR_Data[[#This Row],[TotalWorkingYears]]&lt;=10,2,IF(HR_Data[[#This Row],[TotalWorkingYears]]&lt;=20,3,4)))</f>
        <v>3</v>
      </c>
    </row>
    <row r="732" spans="1:46" x14ac:dyDescent="0.25">
      <c r="A732">
        <v>30</v>
      </c>
      <c r="B732" t="s">
        <v>36</v>
      </c>
      <c r="C732" t="s">
        <v>30</v>
      </c>
      <c r="D732" t="s">
        <v>38</v>
      </c>
      <c r="E732">
        <v>8</v>
      </c>
      <c r="F732">
        <v>2</v>
      </c>
      <c r="G732" t="s">
        <v>32</v>
      </c>
      <c r="H732">
        <v>1015</v>
      </c>
      <c r="I732">
        <v>2</v>
      </c>
      <c r="J732" t="s">
        <v>33</v>
      </c>
      <c r="K732">
        <v>4</v>
      </c>
      <c r="L732">
        <v>3</v>
      </c>
      <c r="M732" t="s">
        <v>51</v>
      </c>
      <c r="N732">
        <v>1</v>
      </c>
      <c r="O732" t="s">
        <v>41</v>
      </c>
      <c r="P732">
        <v>11416</v>
      </c>
      <c r="Q732">
        <v>0</v>
      </c>
      <c r="R732" t="s">
        <v>29</v>
      </c>
      <c r="S732">
        <v>12</v>
      </c>
      <c r="T732">
        <v>3</v>
      </c>
      <c r="U732">
        <v>3</v>
      </c>
      <c r="V732">
        <v>3</v>
      </c>
      <c r="W732">
        <v>9</v>
      </c>
      <c r="X732">
        <v>4</v>
      </c>
      <c r="Y732">
        <v>2</v>
      </c>
      <c r="Z732">
        <v>8</v>
      </c>
      <c r="AA732">
        <v>7</v>
      </c>
      <c r="AB732">
        <v>1</v>
      </c>
      <c r="AC732">
        <v>7</v>
      </c>
      <c r="AD732">
        <f>IF(HR_Data[[#This Row],[Attrition]]="Yes",1,0)</f>
        <v>0</v>
      </c>
      <c r="AE732" t="str">
        <f>IF(HR_Data[[#This Row],[Age]]&lt;=25,"18-25",IF(HR_Data[[#This Row],[Age]]&lt;=35,"26-35",IF(HR_Data[[#This Row],[Age]]&lt;=45,"36-45",IF(HR_Data[[#This Row],[Age]]&lt;=55,"46-55","55+"))))</f>
        <v>26-35</v>
      </c>
      <c r="AF732">
        <f>IF(HR_Data[[#This Row],[Age]]&lt;=25,1,IF(HR_Data[[#This Row],[Age]]&lt;=35,2,IF(HR_Data[[#This Row],[Age]]&lt;=45,3,IF(HR_Data[[#This Row],[Age]]&lt;=55,4,5))))</f>
        <v>2</v>
      </c>
      <c r="AG732" s="1" t="str">
        <f>IF(HR_Data[[#This Row],[MonthlyIncome]]&lt;3000,"&lt;3K",IF(HR_Data[[#This Row],[MonthlyIncome]]&lt;6000,"3K-6K",IF(HR_Data[[#This Row],[MonthlyIncome]]&lt;10000,"6K-10K","10K+")))</f>
        <v>10K+</v>
      </c>
      <c r="AH732" s="1">
        <f>IF(HR_Data[[#This Row],[MonthlyIncome]]&lt;3000,1,IF(HR_Data[[#This Row],[MonthlyIncome]]&lt;6000,2,IF(HR_Data[[#This Row],[MonthlyIncome]]&lt;10000,3,4)))</f>
        <v>4</v>
      </c>
      <c r="AI732" s="1" t="str">
        <f>IF(HR_Data[[#This Row],[YearsAtCompany]]&lt;=2,"0-2 Yrs",IF(HR_Data[[#This Row],[YearsAtCompany]]&lt;=5,"3-5 Yrs",IF(HR_Data[[#This Row],[YearsAtCompany]]&lt;=10,"6-10 Yrs","10+ Yrs")))</f>
        <v>6-10 Yrs</v>
      </c>
      <c r="AJ732" s="1">
        <f>IF(HR_Data[[#This Row],[YearsAtCompany]]&lt;=2,1,IF(HR_Data[[#This Row],[YearsAtCompany]]&lt;=5,2,IF(HR_Data[[#This Row],[YearsAtCompany]]&lt;=10,3,4)))</f>
        <v>3</v>
      </c>
      <c r="AK732" s="1" t="str">
        <f>CHOOSE(HR_Data[[#This Row],[Education]],"Below College","College","Bachelor","Master","Doctor")</f>
        <v>College</v>
      </c>
      <c r="AL732" s="1" t="str">
        <f>CHOOSE(HR_Data[[#This Row],[JobSatisfaction]],"Low","Medium","High","Very High")</f>
        <v>Low</v>
      </c>
      <c r="AM732" s="1" t="str">
        <f>CHOOSE(HR_Data[[#This Row],[EnvironmentSatisfaction]],"Low","Medium","High","Very High")</f>
        <v>Medium</v>
      </c>
      <c r="AN732" s="1" t="str">
        <f>CHOOSE(HR_Data[[#This Row],[WorkLifeBalance]],"Bad","Good","Better","Best")</f>
        <v>Good</v>
      </c>
      <c r="AO732" s="1" t="str">
        <f>IF(HR_Data[[#This Row],[PercentSalaryHike]]&lt;=13,"11-13%",IF(HR_Data[[#This Row],[PercentSalaryHike]]&lt;=16,"14-16%",IF(HR_Data[[#This Row],[PercentSalaryHike]]&lt;=19,"17-19%","20-25%")))</f>
        <v>11-13%</v>
      </c>
      <c r="AP732" s="1">
        <f>IF(HR_Data[[#This Row],[PercentSalaryHike]]&lt;=13,1,IF(HR_Data[[#This Row],[PercentSalaryHike]]&lt;=16,2,IF(HR_Data[[#This Row],[PercentSalaryHike]]&lt;=19,3,4)))</f>
        <v>1</v>
      </c>
      <c r="AQ732" s="1" t="str">
        <f>IF(HR_Data[[#This Row],[DistanceFromHome]]&lt;=5,"1 to 5",IF(HR_Data[[#This Row],[DistanceFromHome]]&lt;=10,"6 to 10",IF(HR_Data[[#This Row],[DistanceFromHome]]&lt;=20,"11 to 20","21 to 29")))</f>
        <v>6 to 10</v>
      </c>
      <c r="AR732" s="1">
        <f>IF(HR_Data[[#This Row],[DistanceFromHome]]&lt;=5,1,IF(HR_Data[[#This Row],[DistanceFromHome]]&lt;=10,2,IF(HR_Data[[#This Row],[DistanceFromHome]]&lt;=20,3,4)))</f>
        <v>2</v>
      </c>
      <c r="AS732" s="1" t="str">
        <f>IF(HR_Data[[#This Row],[TotalWorkingYears]]&lt;=5,"0-5 Yrs",IF(HR_Data[[#This Row],[TotalWorkingYears]]&lt;=10,"6-10 Yrs",IF(HR_Data[[#This Row],[TotalWorkingYears]]&lt;=20,"11-20 Yrs","20+ Yrs")))</f>
        <v>6-10 Yrs</v>
      </c>
      <c r="AT732" s="1">
        <f>IF(HR_Data[[#This Row],[TotalWorkingYears]]&lt;=5,1,IF(HR_Data[[#This Row],[TotalWorkingYears]]&lt;=10,2,IF(HR_Data[[#This Row],[TotalWorkingYears]]&lt;=20,3,4)))</f>
        <v>2</v>
      </c>
    </row>
    <row r="733" spans="1:46" x14ac:dyDescent="0.25">
      <c r="A733">
        <v>20</v>
      </c>
      <c r="B733" t="s">
        <v>29</v>
      </c>
      <c r="C733" t="s">
        <v>30</v>
      </c>
      <c r="D733" t="s">
        <v>38</v>
      </c>
      <c r="E733">
        <v>11</v>
      </c>
      <c r="F733">
        <v>3</v>
      </c>
      <c r="G733" t="s">
        <v>44</v>
      </c>
      <c r="H733">
        <v>1016</v>
      </c>
      <c r="I733">
        <v>4</v>
      </c>
      <c r="J733" t="s">
        <v>33</v>
      </c>
      <c r="K733">
        <v>2</v>
      </c>
      <c r="L733">
        <v>1</v>
      </c>
      <c r="M733" t="s">
        <v>40</v>
      </c>
      <c r="N733">
        <v>1</v>
      </c>
      <c r="O733" t="s">
        <v>35</v>
      </c>
      <c r="P733">
        <v>2600</v>
      </c>
      <c r="Q733">
        <v>1</v>
      </c>
      <c r="R733" t="s">
        <v>29</v>
      </c>
      <c r="S733">
        <v>15</v>
      </c>
      <c r="T733">
        <v>3</v>
      </c>
      <c r="U733">
        <v>1</v>
      </c>
      <c r="V733">
        <v>0</v>
      </c>
      <c r="W733">
        <v>1</v>
      </c>
      <c r="X733">
        <v>2</v>
      </c>
      <c r="Y733">
        <v>3</v>
      </c>
      <c r="Z733">
        <v>1</v>
      </c>
      <c r="AA733">
        <v>0</v>
      </c>
      <c r="AB733">
        <v>0</v>
      </c>
      <c r="AC733">
        <v>0</v>
      </c>
      <c r="AD733">
        <f>IF(HR_Data[[#This Row],[Attrition]]="Yes",1,0)</f>
        <v>1</v>
      </c>
      <c r="AE733" t="str">
        <f>IF(HR_Data[[#This Row],[Age]]&lt;=25,"18-25",IF(HR_Data[[#This Row],[Age]]&lt;=35,"26-35",IF(HR_Data[[#This Row],[Age]]&lt;=45,"36-45",IF(HR_Data[[#This Row],[Age]]&lt;=55,"46-55","55+"))))</f>
        <v>18-25</v>
      </c>
      <c r="AF733">
        <f>IF(HR_Data[[#This Row],[Age]]&lt;=25,1,IF(HR_Data[[#This Row],[Age]]&lt;=35,2,IF(HR_Data[[#This Row],[Age]]&lt;=45,3,IF(HR_Data[[#This Row],[Age]]&lt;=55,4,5))))</f>
        <v>1</v>
      </c>
      <c r="AG733" s="1" t="str">
        <f>IF(HR_Data[[#This Row],[MonthlyIncome]]&lt;3000,"&lt;3K",IF(HR_Data[[#This Row],[MonthlyIncome]]&lt;6000,"3K-6K",IF(HR_Data[[#This Row],[MonthlyIncome]]&lt;10000,"6K-10K","10K+")))</f>
        <v>&lt;3K</v>
      </c>
      <c r="AH733" s="1">
        <f>IF(HR_Data[[#This Row],[MonthlyIncome]]&lt;3000,1,IF(HR_Data[[#This Row],[MonthlyIncome]]&lt;6000,2,IF(HR_Data[[#This Row],[MonthlyIncome]]&lt;10000,3,4)))</f>
        <v>1</v>
      </c>
      <c r="AI733" s="1" t="str">
        <f>IF(HR_Data[[#This Row],[YearsAtCompany]]&lt;=2,"0-2 Yrs",IF(HR_Data[[#This Row],[YearsAtCompany]]&lt;=5,"3-5 Yrs",IF(HR_Data[[#This Row],[YearsAtCompany]]&lt;=10,"6-10 Yrs","10+ Yrs")))</f>
        <v>0-2 Yrs</v>
      </c>
      <c r="AJ733" s="1">
        <f>IF(HR_Data[[#This Row],[YearsAtCompany]]&lt;=2,1,IF(HR_Data[[#This Row],[YearsAtCompany]]&lt;=5,2,IF(HR_Data[[#This Row],[YearsAtCompany]]&lt;=10,3,4)))</f>
        <v>1</v>
      </c>
      <c r="AK733" s="1" t="str">
        <f>CHOOSE(HR_Data[[#This Row],[Education]],"Below College","College","Bachelor","Master","Doctor")</f>
        <v>Bachelor</v>
      </c>
      <c r="AL733" s="1" t="str">
        <f>CHOOSE(HR_Data[[#This Row],[JobSatisfaction]],"Low","Medium","High","Very High")</f>
        <v>Low</v>
      </c>
      <c r="AM733" s="1" t="str">
        <f>CHOOSE(HR_Data[[#This Row],[EnvironmentSatisfaction]],"Low","Medium","High","Very High")</f>
        <v>Very High</v>
      </c>
      <c r="AN733" s="1" t="str">
        <f>CHOOSE(HR_Data[[#This Row],[WorkLifeBalance]],"Bad","Good","Better","Best")</f>
        <v>Better</v>
      </c>
      <c r="AO733" s="1" t="str">
        <f>IF(HR_Data[[#This Row],[PercentSalaryHike]]&lt;=13,"11-13%",IF(HR_Data[[#This Row],[PercentSalaryHike]]&lt;=16,"14-16%",IF(HR_Data[[#This Row],[PercentSalaryHike]]&lt;=19,"17-19%","20-25%")))</f>
        <v>14-16%</v>
      </c>
      <c r="AP733" s="1">
        <f>IF(HR_Data[[#This Row],[PercentSalaryHike]]&lt;=13,1,IF(HR_Data[[#This Row],[PercentSalaryHike]]&lt;=16,2,IF(HR_Data[[#This Row],[PercentSalaryHike]]&lt;=19,3,4)))</f>
        <v>2</v>
      </c>
      <c r="AQ733" s="1" t="str">
        <f>IF(HR_Data[[#This Row],[DistanceFromHome]]&lt;=5,"1 to 5",IF(HR_Data[[#This Row],[DistanceFromHome]]&lt;=10,"6 to 10",IF(HR_Data[[#This Row],[DistanceFromHome]]&lt;=20,"11 to 20","21 to 29")))</f>
        <v>11 to 20</v>
      </c>
      <c r="AR733" s="1">
        <f>IF(HR_Data[[#This Row],[DistanceFromHome]]&lt;=5,1,IF(HR_Data[[#This Row],[DistanceFromHome]]&lt;=10,2,IF(HR_Data[[#This Row],[DistanceFromHome]]&lt;=20,3,4)))</f>
        <v>3</v>
      </c>
      <c r="AS733" s="1" t="str">
        <f>IF(HR_Data[[#This Row],[TotalWorkingYears]]&lt;=5,"0-5 Yrs",IF(HR_Data[[#This Row],[TotalWorkingYears]]&lt;=10,"6-10 Yrs",IF(HR_Data[[#This Row],[TotalWorkingYears]]&lt;=20,"11-20 Yrs","20+ Yrs")))</f>
        <v>0-5 Yrs</v>
      </c>
      <c r="AT733" s="1">
        <f>IF(HR_Data[[#This Row],[TotalWorkingYears]]&lt;=5,1,IF(HR_Data[[#This Row],[TotalWorkingYears]]&lt;=10,2,IF(HR_Data[[#This Row],[TotalWorkingYears]]&lt;=20,3,4)))</f>
        <v>1</v>
      </c>
    </row>
    <row r="734" spans="1:46" x14ac:dyDescent="0.25">
      <c r="A734">
        <v>30</v>
      </c>
      <c r="B734" t="s">
        <v>29</v>
      </c>
      <c r="C734" t="s">
        <v>37</v>
      </c>
      <c r="D734" t="s">
        <v>38</v>
      </c>
      <c r="E734">
        <v>5</v>
      </c>
      <c r="F734">
        <v>3</v>
      </c>
      <c r="G734" t="s">
        <v>44</v>
      </c>
      <c r="H734">
        <v>1017</v>
      </c>
      <c r="I734">
        <v>2</v>
      </c>
      <c r="J734" t="s">
        <v>33</v>
      </c>
      <c r="K734">
        <v>3</v>
      </c>
      <c r="L734">
        <v>1</v>
      </c>
      <c r="M734" t="s">
        <v>43</v>
      </c>
      <c r="N734">
        <v>2</v>
      </c>
      <c r="O734" t="s">
        <v>35</v>
      </c>
      <c r="P734">
        <v>2422</v>
      </c>
      <c r="Q734">
        <v>0</v>
      </c>
      <c r="R734" t="s">
        <v>36</v>
      </c>
      <c r="S734">
        <v>17</v>
      </c>
      <c r="T734">
        <v>3</v>
      </c>
      <c r="U734">
        <v>1</v>
      </c>
      <c r="V734">
        <v>0</v>
      </c>
      <c r="W734">
        <v>4</v>
      </c>
      <c r="X734">
        <v>3</v>
      </c>
      <c r="Y734">
        <v>3</v>
      </c>
      <c r="Z734">
        <v>3</v>
      </c>
      <c r="AA734">
        <v>2</v>
      </c>
      <c r="AB734">
        <v>1</v>
      </c>
      <c r="AC734">
        <v>2</v>
      </c>
      <c r="AD734">
        <f>IF(HR_Data[[#This Row],[Attrition]]="Yes",1,0)</f>
        <v>1</v>
      </c>
      <c r="AE734" t="str">
        <f>IF(HR_Data[[#This Row],[Age]]&lt;=25,"18-25",IF(HR_Data[[#This Row],[Age]]&lt;=35,"26-35",IF(HR_Data[[#This Row],[Age]]&lt;=45,"36-45",IF(HR_Data[[#This Row],[Age]]&lt;=55,"46-55","55+"))))</f>
        <v>26-35</v>
      </c>
      <c r="AF734">
        <f>IF(HR_Data[[#This Row],[Age]]&lt;=25,1,IF(HR_Data[[#This Row],[Age]]&lt;=35,2,IF(HR_Data[[#This Row],[Age]]&lt;=45,3,IF(HR_Data[[#This Row],[Age]]&lt;=55,4,5))))</f>
        <v>2</v>
      </c>
      <c r="AG734" s="1" t="str">
        <f>IF(HR_Data[[#This Row],[MonthlyIncome]]&lt;3000,"&lt;3K",IF(HR_Data[[#This Row],[MonthlyIncome]]&lt;6000,"3K-6K",IF(HR_Data[[#This Row],[MonthlyIncome]]&lt;10000,"6K-10K","10K+")))</f>
        <v>&lt;3K</v>
      </c>
      <c r="AH734" s="1">
        <f>IF(HR_Data[[#This Row],[MonthlyIncome]]&lt;3000,1,IF(HR_Data[[#This Row],[MonthlyIncome]]&lt;6000,2,IF(HR_Data[[#This Row],[MonthlyIncome]]&lt;10000,3,4)))</f>
        <v>1</v>
      </c>
      <c r="AI734" s="1" t="str">
        <f>IF(HR_Data[[#This Row],[YearsAtCompany]]&lt;=2,"0-2 Yrs",IF(HR_Data[[#This Row],[YearsAtCompany]]&lt;=5,"3-5 Yrs",IF(HR_Data[[#This Row],[YearsAtCompany]]&lt;=10,"6-10 Yrs","10+ Yrs")))</f>
        <v>3-5 Yrs</v>
      </c>
      <c r="AJ734" s="1">
        <f>IF(HR_Data[[#This Row],[YearsAtCompany]]&lt;=2,1,IF(HR_Data[[#This Row],[YearsAtCompany]]&lt;=5,2,IF(HR_Data[[#This Row],[YearsAtCompany]]&lt;=10,3,4)))</f>
        <v>2</v>
      </c>
      <c r="AK734" s="1" t="str">
        <f>CHOOSE(HR_Data[[#This Row],[Education]],"Below College","College","Bachelor","Master","Doctor")</f>
        <v>Bachelor</v>
      </c>
      <c r="AL734" s="1" t="str">
        <f>CHOOSE(HR_Data[[#This Row],[JobSatisfaction]],"Low","Medium","High","Very High")</f>
        <v>Medium</v>
      </c>
      <c r="AM734" s="1" t="str">
        <f>CHOOSE(HR_Data[[#This Row],[EnvironmentSatisfaction]],"Low","Medium","High","Very High")</f>
        <v>Medium</v>
      </c>
      <c r="AN734" s="1" t="str">
        <f>CHOOSE(HR_Data[[#This Row],[WorkLifeBalance]],"Bad","Good","Better","Best")</f>
        <v>Better</v>
      </c>
      <c r="AO734" s="1" t="str">
        <f>IF(HR_Data[[#This Row],[PercentSalaryHike]]&lt;=13,"11-13%",IF(HR_Data[[#This Row],[PercentSalaryHike]]&lt;=16,"14-16%",IF(HR_Data[[#This Row],[PercentSalaryHike]]&lt;=19,"17-19%","20-25%")))</f>
        <v>17-19%</v>
      </c>
      <c r="AP734" s="1">
        <f>IF(HR_Data[[#This Row],[PercentSalaryHike]]&lt;=13,1,IF(HR_Data[[#This Row],[PercentSalaryHike]]&lt;=16,2,IF(HR_Data[[#This Row],[PercentSalaryHike]]&lt;=19,3,4)))</f>
        <v>3</v>
      </c>
      <c r="AQ734" s="1" t="str">
        <f>IF(HR_Data[[#This Row],[DistanceFromHome]]&lt;=5,"1 to 5",IF(HR_Data[[#This Row],[DistanceFromHome]]&lt;=10,"6 to 10",IF(HR_Data[[#This Row],[DistanceFromHome]]&lt;=20,"11 to 20","21 to 29")))</f>
        <v>1 to 5</v>
      </c>
      <c r="AR734" s="1">
        <f>IF(HR_Data[[#This Row],[DistanceFromHome]]&lt;=5,1,IF(HR_Data[[#This Row],[DistanceFromHome]]&lt;=10,2,IF(HR_Data[[#This Row],[DistanceFromHome]]&lt;=20,3,4)))</f>
        <v>1</v>
      </c>
      <c r="AS734" s="1" t="str">
        <f>IF(HR_Data[[#This Row],[TotalWorkingYears]]&lt;=5,"0-5 Yrs",IF(HR_Data[[#This Row],[TotalWorkingYears]]&lt;=10,"6-10 Yrs",IF(HR_Data[[#This Row],[TotalWorkingYears]]&lt;=20,"11-20 Yrs","20+ Yrs")))</f>
        <v>0-5 Yrs</v>
      </c>
      <c r="AT734" s="1">
        <f>IF(HR_Data[[#This Row],[TotalWorkingYears]]&lt;=5,1,IF(HR_Data[[#This Row],[TotalWorkingYears]]&lt;=10,2,IF(HR_Data[[#This Row],[TotalWorkingYears]]&lt;=20,3,4)))</f>
        <v>1</v>
      </c>
    </row>
    <row r="735" spans="1:46" x14ac:dyDescent="0.25">
      <c r="A735">
        <v>26</v>
      </c>
      <c r="B735" t="s">
        <v>36</v>
      </c>
      <c r="C735" t="s">
        <v>30</v>
      </c>
      <c r="D735" t="s">
        <v>38</v>
      </c>
      <c r="E735">
        <v>2</v>
      </c>
      <c r="F735">
        <v>2</v>
      </c>
      <c r="G735" t="s">
        <v>44</v>
      </c>
      <c r="H735">
        <v>1018</v>
      </c>
      <c r="I735">
        <v>4</v>
      </c>
      <c r="J735" t="s">
        <v>39</v>
      </c>
      <c r="K735">
        <v>4</v>
      </c>
      <c r="L735">
        <v>2</v>
      </c>
      <c r="M735" t="s">
        <v>46</v>
      </c>
      <c r="N735">
        <v>4</v>
      </c>
      <c r="O735" t="s">
        <v>41</v>
      </c>
      <c r="P735">
        <v>5472</v>
      </c>
      <c r="Q735">
        <v>1</v>
      </c>
      <c r="R735" t="s">
        <v>36</v>
      </c>
      <c r="S735">
        <v>12</v>
      </c>
      <c r="T735">
        <v>3</v>
      </c>
      <c r="U735">
        <v>2</v>
      </c>
      <c r="V735">
        <v>0</v>
      </c>
      <c r="W735">
        <v>8</v>
      </c>
      <c r="X735">
        <v>2</v>
      </c>
      <c r="Y735">
        <v>3</v>
      </c>
      <c r="Z735">
        <v>8</v>
      </c>
      <c r="AA735">
        <v>7</v>
      </c>
      <c r="AB735">
        <v>1</v>
      </c>
      <c r="AC735">
        <v>3</v>
      </c>
      <c r="AD735">
        <f>IF(HR_Data[[#This Row],[Attrition]]="Yes",1,0)</f>
        <v>0</v>
      </c>
      <c r="AE735" t="str">
        <f>IF(HR_Data[[#This Row],[Age]]&lt;=25,"18-25",IF(HR_Data[[#This Row],[Age]]&lt;=35,"26-35",IF(HR_Data[[#This Row],[Age]]&lt;=45,"36-45",IF(HR_Data[[#This Row],[Age]]&lt;=55,"46-55","55+"))))</f>
        <v>26-35</v>
      </c>
      <c r="AF735">
        <f>IF(HR_Data[[#This Row],[Age]]&lt;=25,1,IF(HR_Data[[#This Row],[Age]]&lt;=35,2,IF(HR_Data[[#This Row],[Age]]&lt;=45,3,IF(HR_Data[[#This Row],[Age]]&lt;=55,4,5))))</f>
        <v>2</v>
      </c>
      <c r="AG735" s="1" t="str">
        <f>IF(HR_Data[[#This Row],[MonthlyIncome]]&lt;3000,"&lt;3K",IF(HR_Data[[#This Row],[MonthlyIncome]]&lt;6000,"3K-6K",IF(HR_Data[[#This Row],[MonthlyIncome]]&lt;10000,"6K-10K","10K+")))</f>
        <v>3K-6K</v>
      </c>
      <c r="AH735" s="1">
        <f>IF(HR_Data[[#This Row],[MonthlyIncome]]&lt;3000,1,IF(HR_Data[[#This Row],[MonthlyIncome]]&lt;6000,2,IF(HR_Data[[#This Row],[MonthlyIncome]]&lt;10000,3,4)))</f>
        <v>2</v>
      </c>
      <c r="AI735" s="1" t="str">
        <f>IF(HR_Data[[#This Row],[YearsAtCompany]]&lt;=2,"0-2 Yrs",IF(HR_Data[[#This Row],[YearsAtCompany]]&lt;=5,"3-5 Yrs",IF(HR_Data[[#This Row],[YearsAtCompany]]&lt;=10,"6-10 Yrs","10+ Yrs")))</f>
        <v>6-10 Yrs</v>
      </c>
      <c r="AJ735" s="1">
        <f>IF(HR_Data[[#This Row],[YearsAtCompany]]&lt;=2,1,IF(HR_Data[[#This Row],[YearsAtCompany]]&lt;=5,2,IF(HR_Data[[#This Row],[YearsAtCompany]]&lt;=10,3,4)))</f>
        <v>3</v>
      </c>
      <c r="AK735" s="1" t="str">
        <f>CHOOSE(HR_Data[[#This Row],[Education]],"Below College","College","Bachelor","Master","Doctor")</f>
        <v>College</v>
      </c>
      <c r="AL735" s="1" t="str">
        <f>CHOOSE(HR_Data[[#This Row],[JobSatisfaction]],"Low","Medium","High","Very High")</f>
        <v>Very High</v>
      </c>
      <c r="AM735" s="1" t="str">
        <f>CHOOSE(HR_Data[[#This Row],[EnvironmentSatisfaction]],"Low","Medium","High","Very High")</f>
        <v>Very High</v>
      </c>
      <c r="AN735" s="1" t="str">
        <f>CHOOSE(HR_Data[[#This Row],[WorkLifeBalance]],"Bad","Good","Better","Best")</f>
        <v>Better</v>
      </c>
      <c r="AO735" s="1" t="str">
        <f>IF(HR_Data[[#This Row],[PercentSalaryHike]]&lt;=13,"11-13%",IF(HR_Data[[#This Row],[PercentSalaryHike]]&lt;=16,"14-16%",IF(HR_Data[[#This Row],[PercentSalaryHike]]&lt;=19,"17-19%","20-25%")))</f>
        <v>11-13%</v>
      </c>
      <c r="AP735" s="1">
        <f>IF(HR_Data[[#This Row],[PercentSalaryHike]]&lt;=13,1,IF(HR_Data[[#This Row],[PercentSalaryHike]]&lt;=16,2,IF(HR_Data[[#This Row],[PercentSalaryHike]]&lt;=19,3,4)))</f>
        <v>1</v>
      </c>
      <c r="AQ735" s="1" t="str">
        <f>IF(HR_Data[[#This Row],[DistanceFromHome]]&lt;=5,"1 to 5",IF(HR_Data[[#This Row],[DistanceFromHome]]&lt;=10,"6 to 10",IF(HR_Data[[#This Row],[DistanceFromHome]]&lt;=20,"11 to 20","21 to 29")))</f>
        <v>1 to 5</v>
      </c>
      <c r="AR735" s="1">
        <f>IF(HR_Data[[#This Row],[DistanceFromHome]]&lt;=5,1,IF(HR_Data[[#This Row],[DistanceFromHome]]&lt;=10,2,IF(HR_Data[[#This Row],[DistanceFromHome]]&lt;=20,3,4)))</f>
        <v>1</v>
      </c>
      <c r="AS735" s="1" t="str">
        <f>IF(HR_Data[[#This Row],[TotalWorkingYears]]&lt;=5,"0-5 Yrs",IF(HR_Data[[#This Row],[TotalWorkingYears]]&lt;=10,"6-10 Yrs",IF(HR_Data[[#This Row],[TotalWorkingYears]]&lt;=20,"11-20 Yrs","20+ Yrs")))</f>
        <v>6-10 Yrs</v>
      </c>
      <c r="AT735" s="1">
        <f>IF(HR_Data[[#This Row],[TotalWorkingYears]]&lt;=5,1,IF(HR_Data[[#This Row],[TotalWorkingYears]]&lt;=10,2,IF(HR_Data[[#This Row],[TotalWorkingYears]]&lt;=20,3,4)))</f>
        <v>2</v>
      </c>
    </row>
    <row r="736" spans="1:46" x14ac:dyDescent="0.25">
      <c r="A736">
        <v>22</v>
      </c>
      <c r="B736" t="s">
        <v>36</v>
      </c>
      <c r="C736" t="s">
        <v>30</v>
      </c>
      <c r="D736" t="s">
        <v>38</v>
      </c>
      <c r="E736">
        <v>8</v>
      </c>
      <c r="F736">
        <v>1</v>
      </c>
      <c r="G736" t="s">
        <v>32</v>
      </c>
      <c r="H736">
        <v>1019</v>
      </c>
      <c r="I736">
        <v>2</v>
      </c>
      <c r="J736" t="s">
        <v>39</v>
      </c>
      <c r="K736">
        <v>1</v>
      </c>
      <c r="L736">
        <v>1</v>
      </c>
      <c r="M736" t="s">
        <v>43</v>
      </c>
      <c r="N736">
        <v>1</v>
      </c>
      <c r="O736" t="s">
        <v>41</v>
      </c>
      <c r="P736">
        <v>2451</v>
      </c>
      <c r="Q736">
        <v>1</v>
      </c>
      <c r="R736" t="s">
        <v>36</v>
      </c>
      <c r="S736">
        <v>15</v>
      </c>
      <c r="T736">
        <v>3</v>
      </c>
      <c r="U736">
        <v>1</v>
      </c>
      <c r="V736">
        <v>1</v>
      </c>
      <c r="W736">
        <v>4</v>
      </c>
      <c r="X736">
        <v>3</v>
      </c>
      <c r="Y736">
        <v>2</v>
      </c>
      <c r="Z736">
        <v>4</v>
      </c>
      <c r="AA736">
        <v>3</v>
      </c>
      <c r="AB736">
        <v>1</v>
      </c>
      <c r="AC736">
        <v>1</v>
      </c>
      <c r="AD736">
        <f>IF(HR_Data[[#This Row],[Attrition]]="Yes",1,0)</f>
        <v>0</v>
      </c>
      <c r="AE736" t="str">
        <f>IF(HR_Data[[#This Row],[Age]]&lt;=25,"18-25",IF(HR_Data[[#This Row],[Age]]&lt;=35,"26-35",IF(HR_Data[[#This Row],[Age]]&lt;=45,"36-45",IF(HR_Data[[#This Row],[Age]]&lt;=55,"46-55","55+"))))</f>
        <v>18-25</v>
      </c>
      <c r="AF736">
        <f>IF(HR_Data[[#This Row],[Age]]&lt;=25,1,IF(HR_Data[[#This Row],[Age]]&lt;=35,2,IF(HR_Data[[#This Row],[Age]]&lt;=45,3,IF(HR_Data[[#This Row],[Age]]&lt;=55,4,5))))</f>
        <v>1</v>
      </c>
      <c r="AG736" s="1" t="str">
        <f>IF(HR_Data[[#This Row],[MonthlyIncome]]&lt;3000,"&lt;3K",IF(HR_Data[[#This Row],[MonthlyIncome]]&lt;6000,"3K-6K",IF(HR_Data[[#This Row],[MonthlyIncome]]&lt;10000,"6K-10K","10K+")))</f>
        <v>&lt;3K</v>
      </c>
      <c r="AH736" s="1">
        <f>IF(HR_Data[[#This Row],[MonthlyIncome]]&lt;3000,1,IF(HR_Data[[#This Row],[MonthlyIncome]]&lt;6000,2,IF(HR_Data[[#This Row],[MonthlyIncome]]&lt;10000,3,4)))</f>
        <v>1</v>
      </c>
      <c r="AI736" s="1" t="str">
        <f>IF(HR_Data[[#This Row],[YearsAtCompany]]&lt;=2,"0-2 Yrs",IF(HR_Data[[#This Row],[YearsAtCompany]]&lt;=5,"3-5 Yrs",IF(HR_Data[[#This Row],[YearsAtCompany]]&lt;=10,"6-10 Yrs","10+ Yrs")))</f>
        <v>3-5 Yrs</v>
      </c>
      <c r="AJ736" s="1">
        <f>IF(HR_Data[[#This Row],[YearsAtCompany]]&lt;=2,1,IF(HR_Data[[#This Row],[YearsAtCompany]]&lt;=5,2,IF(HR_Data[[#This Row],[YearsAtCompany]]&lt;=10,3,4)))</f>
        <v>2</v>
      </c>
      <c r="AK736" s="1" t="str">
        <f>CHOOSE(HR_Data[[#This Row],[Education]],"Below College","College","Bachelor","Master","Doctor")</f>
        <v>Below College</v>
      </c>
      <c r="AL736" s="1" t="str">
        <f>CHOOSE(HR_Data[[#This Row],[JobSatisfaction]],"Low","Medium","High","Very High")</f>
        <v>Low</v>
      </c>
      <c r="AM736" s="1" t="str">
        <f>CHOOSE(HR_Data[[#This Row],[EnvironmentSatisfaction]],"Low","Medium","High","Very High")</f>
        <v>Medium</v>
      </c>
      <c r="AN736" s="1" t="str">
        <f>CHOOSE(HR_Data[[#This Row],[WorkLifeBalance]],"Bad","Good","Better","Best")</f>
        <v>Good</v>
      </c>
      <c r="AO736" s="1" t="str">
        <f>IF(HR_Data[[#This Row],[PercentSalaryHike]]&lt;=13,"11-13%",IF(HR_Data[[#This Row],[PercentSalaryHike]]&lt;=16,"14-16%",IF(HR_Data[[#This Row],[PercentSalaryHike]]&lt;=19,"17-19%","20-25%")))</f>
        <v>14-16%</v>
      </c>
      <c r="AP736" s="1">
        <f>IF(HR_Data[[#This Row],[PercentSalaryHike]]&lt;=13,1,IF(HR_Data[[#This Row],[PercentSalaryHike]]&lt;=16,2,IF(HR_Data[[#This Row],[PercentSalaryHike]]&lt;=19,3,4)))</f>
        <v>2</v>
      </c>
      <c r="AQ736" s="1" t="str">
        <f>IF(HR_Data[[#This Row],[DistanceFromHome]]&lt;=5,"1 to 5",IF(HR_Data[[#This Row],[DistanceFromHome]]&lt;=10,"6 to 10",IF(HR_Data[[#This Row],[DistanceFromHome]]&lt;=20,"11 to 20","21 to 29")))</f>
        <v>6 to 10</v>
      </c>
      <c r="AR736" s="1">
        <f>IF(HR_Data[[#This Row],[DistanceFromHome]]&lt;=5,1,IF(HR_Data[[#This Row],[DistanceFromHome]]&lt;=10,2,IF(HR_Data[[#This Row],[DistanceFromHome]]&lt;=20,3,4)))</f>
        <v>2</v>
      </c>
      <c r="AS736" s="1" t="str">
        <f>IF(HR_Data[[#This Row],[TotalWorkingYears]]&lt;=5,"0-5 Yrs",IF(HR_Data[[#This Row],[TotalWorkingYears]]&lt;=10,"6-10 Yrs",IF(HR_Data[[#This Row],[TotalWorkingYears]]&lt;=20,"11-20 Yrs","20+ Yrs")))</f>
        <v>0-5 Yrs</v>
      </c>
      <c r="AT736" s="1">
        <f>IF(HR_Data[[#This Row],[TotalWorkingYears]]&lt;=5,1,IF(HR_Data[[#This Row],[TotalWorkingYears]]&lt;=10,2,IF(HR_Data[[#This Row],[TotalWorkingYears]]&lt;=20,3,4)))</f>
        <v>1</v>
      </c>
    </row>
    <row r="737" spans="1:46" x14ac:dyDescent="0.25">
      <c r="A737">
        <v>48</v>
      </c>
      <c r="B737" t="s">
        <v>36</v>
      </c>
      <c r="C737" t="s">
        <v>30</v>
      </c>
      <c r="D737" t="s">
        <v>38</v>
      </c>
      <c r="E737">
        <v>6</v>
      </c>
      <c r="F737">
        <v>3</v>
      </c>
      <c r="G737" t="s">
        <v>32</v>
      </c>
      <c r="H737">
        <v>1022</v>
      </c>
      <c r="I737">
        <v>1</v>
      </c>
      <c r="J737" t="s">
        <v>39</v>
      </c>
      <c r="K737">
        <v>2</v>
      </c>
      <c r="L737">
        <v>2</v>
      </c>
      <c r="M737" t="s">
        <v>47</v>
      </c>
      <c r="N737">
        <v>3</v>
      </c>
      <c r="O737" t="s">
        <v>35</v>
      </c>
      <c r="P737">
        <v>4240</v>
      </c>
      <c r="Q737">
        <v>2</v>
      </c>
      <c r="R737" t="s">
        <v>36</v>
      </c>
      <c r="S737">
        <v>13</v>
      </c>
      <c r="T737">
        <v>3</v>
      </c>
      <c r="U737">
        <v>4</v>
      </c>
      <c r="V737">
        <v>0</v>
      </c>
      <c r="W737">
        <v>19</v>
      </c>
      <c r="X737">
        <v>0</v>
      </c>
      <c r="Y737">
        <v>3</v>
      </c>
      <c r="Z737">
        <v>2</v>
      </c>
      <c r="AA737">
        <v>2</v>
      </c>
      <c r="AB737">
        <v>2</v>
      </c>
      <c r="AC737">
        <v>2</v>
      </c>
      <c r="AD737">
        <f>IF(HR_Data[[#This Row],[Attrition]]="Yes",1,0)</f>
        <v>0</v>
      </c>
      <c r="AE737" t="str">
        <f>IF(HR_Data[[#This Row],[Age]]&lt;=25,"18-25",IF(HR_Data[[#This Row],[Age]]&lt;=35,"26-35",IF(HR_Data[[#This Row],[Age]]&lt;=45,"36-45",IF(HR_Data[[#This Row],[Age]]&lt;=55,"46-55","55+"))))</f>
        <v>46-55</v>
      </c>
      <c r="AF737">
        <f>IF(HR_Data[[#This Row],[Age]]&lt;=25,1,IF(HR_Data[[#This Row],[Age]]&lt;=35,2,IF(HR_Data[[#This Row],[Age]]&lt;=45,3,IF(HR_Data[[#This Row],[Age]]&lt;=55,4,5))))</f>
        <v>4</v>
      </c>
      <c r="AG737" s="1" t="str">
        <f>IF(HR_Data[[#This Row],[MonthlyIncome]]&lt;3000,"&lt;3K",IF(HR_Data[[#This Row],[MonthlyIncome]]&lt;6000,"3K-6K",IF(HR_Data[[#This Row],[MonthlyIncome]]&lt;10000,"6K-10K","10K+")))</f>
        <v>3K-6K</v>
      </c>
      <c r="AH737" s="1">
        <f>IF(HR_Data[[#This Row],[MonthlyIncome]]&lt;3000,1,IF(HR_Data[[#This Row],[MonthlyIncome]]&lt;6000,2,IF(HR_Data[[#This Row],[MonthlyIncome]]&lt;10000,3,4)))</f>
        <v>2</v>
      </c>
      <c r="AI737" s="1" t="str">
        <f>IF(HR_Data[[#This Row],[YearsAtCompany]]&lt;=2,"0-2 Yrs",IF(HR_Data[[#This Row],[YearsAtCompany]]&lt;=5,"3-5 Yrs",IF(HR_Data[[#This Row],[YearsAtCompany]]&lt;=10,"6-10 Yrs","10+ Yrs")))</f>
        <v>0-2 Yrs</v>
      </c>
      <c r="AJ737" s="1">
        <f>IF(HR_Data[[#This Row],[YearsAtCompany]]&lt;=2,1,IF(HR_Data[[#This Row],[YearsAtCompany]]&lt;=5,2,IF(HR_Data[[#This Row],[YearsAtCompany]]&lt;=10,3,4)))</f>
        <v>1</v>
      </c>
      <c r="AK737" s="1" t="str">
        <f>CHOOSE(HR_Data[[#This Row],[Education]],"Below College","College","Bachelor","Master","Doctor")</f>
        <v>Bachelor</v>
      </c>
      <c r="AL737" s="1" t="str">
        <f>CHOOSE(HR_Data[[#This Row],[JobSatisfaction]],"Low","Medium","High","Very High")</f>
        <v>High</v>
      </c>
      <c r="AM737" s="1" t="str">
        <f>CHOOSE(HR_Data[[#This Row],[EnvironmentSatisfaction]],"Low","Medium","High","Very High")</f>
        <v>Low</v>
      </c>
      <c r="AN737" s="1" t="str">
        <f>CHOOSE(HR_Data[[#This Row],[WorkLifeBalance]],"Bad","Good","Better","Best")</f>
        <v>Better</v>
      </c>
      <c r="AO737" s="1" t="str">
        <f>IF(HR_Data[[#This Row],[PercentSalaryHike]]&lt;=13,"11-13%",IF(HR_Data[[#This Row],[PercentSalaryHike]]&lt;=16,"14-16%",IF(HR_Data[[#This Row],[PercentSalaryHike]]&lt;=19,"17-19%","20-25%")))</f>
        <v>11-13%</v>
      </c>
      <c r="AP737" s="1">
        <f>IF(HR_Data[[#This Row],[PercentSalaryHike]]&lt;=13,1,IF(HR_Data[[#This Row],[PercentSalaryHike]]&lt;=16,2,IF(HR_Data[[#This Row],[PercentSalaryHike]]&lt;=19,3,4)))</f>
        <v>1</v>
      </c>
      <c r="AQ737" s="1" t="str">
        <f>IF(HR_Data[[#This Row],[DistanceFromHome]]&lt;=5,"1 to 5",IF(HR_Data[[#This Row],[DistanceFromHome]]&lt;=10,"6 to 10",IF(HR_Data[[#This Row],[DistanceFromHome]]&lt;=20,"11 to 20","21 to 29")))</f>
        <v>6 to 10</v>
      </c>
      <c r="AR737" s="1">
        <f>IF(HR_Data[[#This Row],[DistanceFromHome]]&lt;=5,1,IF(HR_Data[[#This Row],[DistanceFromHome]]&lt;=10,2,IF(HR_Data[[#This Row],[DistanceFromHome]]&lt;=20,3,4)))</f>
        <v>2</v>
      </c>
      <c r="AS737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737" s="1">
        <f>IF(HR_Data[[#This Row],[TotalWorkingYears]]&lt;=5,1,IF(HR_Data[[#This Row],[TotalWorkingYears]]&lt;=10,2,IF(HR_Data[[#This Row],[TotalWorkingYears]]&lt;=20,3,4)))</f>
        <v>3</v>
      </c>
    </row>
    <row r="738" spans="1:46" x14ac:dyDescent="0.25">
      <c r="A738">
        <v>48</v>
      </c>
      <c r="B738" t="s">
        <v>36</v>
      </c>
      <c r="C738" t="s">
        <v>30</v>
      </c>
      <c r="D738" t="s">
        <v>38</v>
      </c>
      <c r="E738">
        <v>4</v>
      </c>
      <c r="F738">
        <v>4</v>
      </c>
      <c r="G738" t="s">
        <v>32</v>
      </c>
      <c r="H738">
        <v>1024</v>
      </c>
      <c r="I738">
        <v>3</v>
      </c>
      <c r="J738" t="s">
        <v>39</v>
      </c>
      <c r="K738">
        <v>2</v>
      </c>
      <c r="L738">
        <v>3</v>
      </c>
      <c r="M738" t="s">
        <v>47</v>
      </c>
      <c r="N738">
        <v>3</v>
      </c>
      <c r="O738" t="s">
        <v>35</v>
      </c>
      <c r="P738">
        <v>10999</v>
      </c>
      <c r="Q738">
        <v>7</v>
      </c>
      <c r="R738" t="s">
        <v>36</v>
      </c>
      <c r="S738">
        <v>14</v>
      </c>
      <c r="T738">
        <v>3</v>
      </c>
      <c r="U738">
        <v>2</v>
      </c>
      <c r="V738">
        <v>0</v>
      </c>
      <c r="W738">
        <v>27</v>
      </c>
      <c r="X738">
        <v>3</v>
      </c>
      <c r="Y738">
        <v>3</v>
      </c>
      <c r="Z738">
        <v>15</v>
      </c>
      <c r="AA738">
        <v>11</v>
      </c>
      <c r="AB738">
        <v>4</v>
      </c>
      <c r="AC738">
        <v>8</v>
      </c>
      <c r="AD738">
        <f>IF(HR_Data[[#This Row],[Attrition]]="Yes",1,0)</f>
        <v>0</v>
      </c>
      <c r="AE738" t="str">
        <f>IF(HR_Data[[#This Row],[Age]]&lt;=25,"18-25",IF(HR_Data[[#This Row],[Age]]&lt;=35,"26-35",IF(HR_Data[[#This Row],[Age]]&lt;=45,"36-45",IF(HR_Data[[#This Row],[Age]]&lt;=55,"46-55","55+"))))</f>
        <v>46-55</v>
      </c>
      <c r="AF738">
        <f>IF(HR_Data[[#This Row],[Age]]&lt;=25,1,IF(HR_Data[[#This Row],[Age]]&lt;=35,2,IF(HR_Data[[#This Row],[Age]]&lt;=45,3,IF(HR_Data[[#This Row],[Age]]&lt;=55,4,5))))</f>
        <v>4</v>
      </c>
      <c r="AG738" s="1" t="str">
        <f>IF(HR_Data[[#This Row],[MonthlyIncome]]&lt;3000,"&lt;3K",IF(HR_Data[[#This Row],[MonthlyIncome]]&lt;6000,"3K-6K",IF(HR_Data[[#This Row],[MonthlyIncome]]&lt;10000,"6K-10K","10K+")))</f>
        <v>10K+</v>
      </c>
      <c r="AH738" s="1">
        <f>IF(HR_Data[[#This Row],[MonthlyIncome]]&lt;3000,1,IF(HR_Data[[#This Row],[MonthlyIncome]]&lt;6000,2,IF(HR_Data[[#This Row],[MonthlyIncome]]&lt;10000,3,4)))</f>
        <v>4</v>
      </c>
      <c r="AI738" s="1" t="str">
        <f>IF(HR_Data[[#This Row],[YearsAtCompany]]&lt;=2,"0-2 Yrs",IF(HR_Data[[#This Row],[YearsAtCompany]]&lt;=5,"3-5 Yrs",IF(HR_Data[[#This Row],[YearsAtCompany]]&lt;=10,"6-10 Yrs","10+ Yrs")))</f>
        <v>10+ Yrs</v>
      </c>
      <c r="AJ738" s="1">
        <f>IF(HR_Data[[#This Row],[YearsAtCompany]]&lt;=2,1,IF(HR_Data[[#This Row],[YearsAtCompany]]&lt;=5,2,IF(HR_Data[[#This Row],[YearsAtCompany]]&lt;=10,3,4)))</f>
        <v>4</v>
      </c>
      <c r="AK738" s="1" t="str">
        <f>CHOOSE(HR_Data[[#This Row],[Education]],"Below College","College","Bachelor","Master","Doctor")</f>
        <v>Master</v>
      </c>
      <c r="AL738" s="1" t="str">
        <f>CHOOSE(HR_Data[[#This Row],[JobSatisfaction]],"Low","Medium","High","Very High")</f>
        <v>High</v>
      </c>
      <c r="AM738" s="1" t="str">
        <f>CHOOSE(HR_Data[[#This Row],[EnvironmentSatisfaction]],"Low","Medium","High","Very High")</f>
        <v>High</v>
      </c>
      <c r="AN738" s="1" t="str">
        <f>CHOOSE(HR_Data[[#This Row],[WorkLifeBalance]],"Bad","Good","Better","Best")</f>
        <v>Better</v>
      </c>
      <c r="AO738" s="1" t="str">
        <f>IF(HR_Data[[#This Row],[PercentSalaryHike]]&lt;=13,"11-13%",IF(HR_Data[[#This Row],[PercentSalaryHike]]&lt;=16,"14-16%",IF(HR_Data[[#This Row],[PercentSalaryHike]]&lt;=19,"17-19%","20-25%")))</f>
        <v>14-16%</v>
      </c>
      <c r="AP738" s="1">
        <f>IF(HR_Data[[#This Row],[PercentSalaryHike]]&lt;=13,1,IF(HR_Data[[#This Row],[PercentSalaryHike]]&lt;=16,2,IF(HR_Data[[#This Row],[PercentSalaryHike]]&lt;=19,3,4)))</f>
        <v>2</v>
      </c>
      <c r="AQ738" s="1" t="str">
        <f>IF(HR_Data[[#This Row],[DistanceFromHome]]&lt;=5,"1 to 5",IF(HR_Data[[#This Row],[DistanceFromHome]]&lt;=10,"6 to 10",IF(HR_Data[[#This Row],[DistanceFromHome]]&lt;=20,"11 to 20","21 to 29")))</f>
        <v>1 to 5</v>
      </c>
      <c r="AR738" s="1">
        <f>IF(HR_Data[[#This Row],[DistanceFromHome]]&lt;=5,1,IF(HR_Data[[#This Row],[DistanceFromHome]]&lt;=10,2,IF(HR_Data[[#This Row],[DistanceFromHome]]&lt;=20,3,4)))</f>
        <v>1</v>
      </c>
      <c r="AS738" s="1" t="str">
        <f>IF(HR_Data[[#This Row],[TotalWorkingYears]]&lt;=5,"0-5 Yrs",IF(HR_Data[[#This Row],[TotalWorkingYears]]&lt;=10,"6-10 Yrs",IF(HR_Data[[#This Row],[TotalWorkingYears]]&lt;=20,"11-20 Yrs","20+ Yrs")))</f>
        <v>20+ Yrs</v>
      </c>
      <c r="AT738" s="1">
        <f>IF(HR_Data[[#This Row],[TotalWorkingYears]]&lt;=5,1,IF(HR_Data[[#This Row],[TotalWorkingYears]]&lt;=10,2,IF(HR_Data[[#This Row],[TotalWorkingYears]]&lt;=20,3,4)))</f>
        <v>4</v>
      </c>
    </row>
    <row r="739" spans="1:46" x14ac:dyDescent="0.25">
      <c r="A739">
        <v>41</v>
      </c>
      <c r="B739" t="s">
        <v>36</v>
      </c>
      <c r="C739" t="s">
        <v>30</v>
      </c>
      <c r="D739" t="s">
        <v>38</v>
      </c>
      <c r="E739">
        <v>7</v>
      </c>
      <c r="F739">
        <v>2</v>
      </c>
      <c r="G739" t="s">
        <v>44</v>
      </c>
      <c r="H739">
        <v>1025</v>
      </c>
      <c r="I739">
        <v>4</v>
      </c>
      <c r="J739" t="s">
        <v>33</v>
      </c>
      <c r="K739">
        <v>3</v>
      </c>
      <c r="L739">
        <v>2</v>
      </c>
      <c r="M739" t="s">
        <v>46</v>
      </c>
      <c r="N739">
        <v>3</v>
      </c>
      <c r="O739" t="s">
        <v>35</v>
      </c>
      <c r="P739">
        <v>5003</v>
      </c>
      <c r="Q739">
        <v>6</v>
      </c>
      <c r="R739" t="s">
        <v>36</v>
      </c>
      <c r="S739">
        <v>14</v>
      </c>
      <c r="T739">
        <v>3</v>
      </c>
      <c r="U739">
        <v>2</v>
      </c>
      <c r="V739">
        <v>0</v>
      </c>
      <c r="W739">
        <v>8</v>
      </c>
      <c r="X739">
        <v>6</v>
      </c>
      <c r="Y739">
        <v>3</v>
      </c>
      <c r="Z739">
        <v>2</v>
      </c>
      <c r="AA739">
        <v>2</v>
      </c>
      <c r="AB739">
        <v>2</v>
      </c>
      <c r="AC739">
        <v>1</v>
      </c>
      <c r="AD739">
        <f>IF(HR_Data[[#This Row],[Attrition]]="Yes",1,0)</f>
        <v>0</v>
      </c>
      <c r="AE739" t="str">
        <f>IF(HR_Data[[#This Row],[Age]]&lt;=25,"18-25",IF(HR_Data[[#This Row],[Age]]&lt;=35,"26-35",IF(HR_Data[[#This Row],[Age]]&lt;=45,"36-45",IF(HR_Data[[#This Row],[Age]]&lt;=55,"46-55","55+"))))</f>
        <v>36-45</v>
      </c>
      <c r="AF739">
        <f>IF(HR_Data[[#This Row],[Age]]&lt;=25,1,IF(HR_Data[[#This Row],[Age]]&lt;=35,2,IF(HR_Data[[#This Row],[Age]]&lt;=45,3,IF(HR_Data[[#This Row],[Age]]&lt;=55,4,5))))</f>
        <v>3</v>
      </c>
      <c r="AG739" s="1" t="str">
        <f>IF(HR_Data[[#This Row],[MonthlyIncome]]&lt;3000,"&lt;3K",IF(HR_Data[[#This Row],[MonthlyIncome]]&lt;6000,"3K-6K",IF(HR_Data[[#This Row],[MonthlyIncome]]&lt;10000,"6K-10K","10K+")))</f>
        <v>3K-6K</v>
      </c>
      <c r="AH739" s="1">
        <f>IF(HR_Data[[#This Row],[MonthlyIncome]]&lt;3000,1,IF(HR_Data[[#This Row],[MonthlyIncome]]&lt;6000,2,IF(HR_Data[[#This Row],[MonthlyIncome]]&lt;10000,3,4)))</f>
        <v>2</v>
      </c>
      <c r="AI739" s="1" t="str">
        <f>IF(HR_Data[[#This Row],[YearsAtCompany]]&lt;=2,"0-2 Yrs",IF(HR_Data[[#This Row],[YearsAtCompany]]&lt;=5,"3-5 Yrs",IF(HR_Data[[#This Row],[YearsAtCompany]]&lt;=10,"6-10 Yrs","10+ Yrs")))</f>
        <v>0-2 Yrs</v>
      </c>
      <c r="AJ739" s="1">
        <f>IF(HR_Data[[#This Row],[YearsAtCompany]]&lt;=2,1,IF(HR_Data[[#This Row],[YearsAtCompany]]&lt;=5,2,IF(HR_Data[[#This Row],[YearsAtCompany]]&lt;=10,3,4)))</f>
        <v>1</v>
      </c>
      <c r="AK739" s="1" t="str">
        <f>CHOOSE(HR_Data[[#This Row],[Education]],"Below College","College","Bachelor","Master","Doctor")</f>
        <v>College</v>
      </c>
      <c r="AL739" s="1" t="str">
        <f>CHOOSE(HR_Data[[#This Row],[JobSatisfaction]],"Low","Medium","High","Very High")</f>
        <v>High</v>
      </c>
      <c r="AM739" s="1" t="str">
        <f>CHOOSE(HR_Data[[#This Row],[EnvironmentSatisfaction]],"Low","Medium","High","Very High")</f>
        <v>Very High</v>
      </c>
      <c r="AN739" s="1" t="str">
        <f>CHOOSE(HR_Data[[#This Row],[WorkLifeBalance]],"Bad","Good","Better","Best")</f>
        <v>Better</v>
      </c>
      <c r="AO739" s="1" t="str">
        <f>IF(HR_Data[[#This Row],[PercentSalaryHike]]&lt;=13,"11-13%",IF(HR_Data[[#This Row],[PercentSalaryHike]]&lt;=16,"14-16%",IF(HR_Data[[#This Row],[PercentSalaryHike]]&lt;=19,"17-19%","20-25%")))</f>
        <v>14-16%</v>
      </c>
      <c r="AP739" s="1">
        <f>IF(HR_Data[[#This Row],[PercentSalaryHike]]&lt;=13,1,IF(HR_Data[[#This Row],[PercentSalaryHike]]&lt;=16,2,IF(HR_Data[[#This Row],[PercentSalaryHike]]&lt;=19,3,4)))</f>
        <v>2</v>
      </c>
      <c r="AQ739" s="1" t="str">
        <f>IF(HR_Data[[#This Row],[DistanceFromHome]]&lt;=5,"1 to 5",IF(HR_Data[[#This Row],[DistanceFromHome]]&lt;=10,"6 to 10",IF(HR_Data[[#This Row],[DistanceFromHome]]&lt;=20,"11 to 20","21 to 29")))</f>
        <v>6 to 10</v>
      </c>
      <c r="AR739" s="1">
        <f>IF(HR_Data[[#This Row],[DistanceFromHome]]&lt;=5,1,IF(HR_Data[[#This Row],[DistanceFromHome]]&lt;=10,2,IF(HR_Data[[#This Row],[DistanceFromHome]]&lt;=20,3,4)))</f>
        <v>2</v>
      </c>
      <c r="AS739" s="1" t="str">
        <f>IF(HR_Data[[#This Row],[TotalWorkingYears]]&lt;=5,"0-5 Yrs",IF(HR_Data[[#This Row],[TotalWorkingYears]]&lt;=10,"6-10 Yrs",IF(HR_Data[[#This Row],[TotalWorkingYears]]&lt;=20,"11-20 Yrs","20+ Yrs")))</f>
        <v>6-10 Yrs</v>
      </c>
      <c r="AT739" s="1">
        <f>IF(HR_Data[[#This Row],[TotalWorkingYears]]&lt;=5,1,IF(HR_Data[[#This Row],[TotalWorkingYears]]&lt;=10,2,IF(HR_Data[[#This Row],[TotalWorkingYears]]&lt;=20,3,4)))</f>
        <v>2</v>
      </c>
    </row>
    <row r="740" spans="1:46" x14ac:dyDescent="0.25">
      <c r="A740">
        <v>39</v>
      </c>
      <c r="B740" t="s">
        <v>36</v>
      </c>
      <c r="C740" t="s">
        <v>30</v>
      </c>
      <c r="D740" t="s">
        <v>38</v>
      </c>
      <c r="E740">
        <v>1</v>
      </c>
      <c r="F740">
        <v>1</v>
      </c>
      <c r="G740" t="s">
        <v>32</v>
      </c>
      <c r="H740">
        <v>1026</v>
      </c>
      <c r="I740">
        <v>4</v>
      </c>
      <c r="J740" t="s">
        <v>33</v>
      </c>
      <c r="K740">
        <v>2</v>
      </c>
      <c r="L740">
        <v>4</v>
      </c>
      <c r="M740" t="s">
        <v>46</v>
      </c>
      <c r="N740">
        <v>4</v>
      </c>
      <c r="O740" t="s">
        <v>41</v>
      </c>
      <c r="P740">
        <v>12742</v>
      </c>
      <c r="Q740">
        <v>1</v>
      </c>
      <c r="R740" t="s">
        <v>36</v>
      </c>
      <c r="S740">
        <v>16</v>
      </c>
      <c r="T740">
        <v>3</v>
      </c>
      <c r="U740">
        <v>3</v>
      </c>
      <c r="V740">
        <v>1</v>
      </c>
      <c r="W740">
        <v>21</v>
      </c>
      <c r="X740">
        <v>3</v>
      </c>
      <c r="Y740">
        <v>3</v>
      </c>
      <c r="Z740">
        <v>21</v>
      </c>
      <c r="AA740">
        <v>6</v>
      </c>
      <c r="AB740">
        <v>11</v>
      </c>
      <c r="AC740">
        <v>8</v>
      </c>
      <c r="AD740">
        <f>IF(HR_Data[[#This Row],[Attrition]]="Yes",1,0)</f>
        <v>0</v>
      </c>
      <c r="AE740" t="str">
        <f>IF(HR_Data[[#This Row],[Age]]&lt;=25,"18-25",IF(HR_Data[[#This Row],[Age]]&lt;=35,"26-35",IF(HR_Data[[#This Row],[Age]]&lt;=45,"36-45",IF(HR_Data[[#This Row],[Age]]&lt;=55,"46-55","55+"))))</f>
        <v>36-45</v>
      </c>
      <c r="AF740">
        <f>IF(HR_Data[[#This Row],[Age]]&lt;=25,1,IF(HR_Data[[#This Row],[Age]]&lt;=35,2,IF(HR_Data[[#This Row],[Age]]&lt;=45,3,IF(HR_Data[[#This Row],[Age]]&lt;=55,4,5))))</f>
        <v>3</v>
      </c>
      <c r="AG740" s="1" t="str">
        <f>IF(HR_Data[[#This Row],[MonthlyIncome]]&lt;3000,"&lt;3K",IF(HR_Data[[#This Row],[MonthlyIncome]]&lt;6000,"3K-6K",IF(HR_Data[[#This Row],[MonthlyIncome]]&lt;10000,"6K-10K","10K+")))</f>
        <v>10K+</v>
      </c>
      <c r="AH740" s="1">
        <f>IF(HR_Data[[#This Row],[MonthlyIncome]]&lt;3000,1,IF(HR_Data[[#This Row],[MonthlyIncome]]&lt;6000,2,IF(HR_Data[[#This Row],[MonthlyIncome]]&lt;10000,3,4)))</f>
        <v>4</v>
      </c>
      <c r="AI740" s="1" t="str">
        <f>IF(HR_Data[[#This Row],[YearsAtCompany]]&lt;=2,"0-2 Yrs",IF(HR_Data[[#This Row],[YearsAtCompany]]&lt;=5,"3-5 Yrs",IF(HR_Data[[#This Row],[YearsAtCompany]]&lt;=10,"6-10 Yrs","10+ Yrs")))</f>
        <v>10+ Yrs</v>
      </c>
      <c r="AJ740" s="1">
        <f>IF(HR_Data[[#This Row],[YearsAtCompany]]&lt;=2,1,IF(HR_Data[[#This Row],[YearsAtCompany]]&lt;=5,2,IF(HR_Data[[#This Row],[YearsAtCompany]]&lt;=10,3,4)))</f>
        <v>4</v>
      </c>
      <c r="AK740" s="1" t="str">
        <f>CHOOSE(HR_Data[[#This Row],[Education]],"Below College","College","Bachelor","Master","Doctor")</f>
        <v>Below College</v>
      </c>
      <c r="AL740" s="1" t="str">
        <f>CHOOSE(HR_Data[[#This Row],[JobSatisfaction]],"Low","Medium","High","Very High")</f>
        <v>Very High</v>
      </c>
      <c r="AM740" s="1" t="str">
        <f>CHOOSE(HR_Data[[#This Row],[EnvironmentSatisfaction]],"Low","Medium","High","Very High")</f>
        <v>Very High</v>
      </c>
      <c r="AN740" s="1" t="str">
        <f>CHOOSE(HR_Data[[#This Row],[WorkLifeBalance]],"Bad","Good","Better","Best")</f>
        <v>Better</v>
      </c>
      <c r="AO740" s="1" t="str">
        <f>IF(HR_Data[[#This Row],[PercentSalaryHike]]&lt;=13,"11-13%",IF(HR_Data[[#This Row],[PercentSalaryHike]]&lt;=16,"14-16%",IF(HR_Data[[#This Row],[PercentSalaryHike]]&lt;=19,"17-19%","20-25%")))</f>
        <v>14-16%</v>
      </c>
      <c r="AP740" s="1">
        <f>IF(HR_Data[[#This Row],[PercentSalaryHike]]&lt;=13,1,IF(HR_Data[[#This Row],[PercentSalaryHike]]&lt;=16,2,IF(HR_Data[[#This Row],[PercentSalaryHike]]&lt;=19,3,4)))</f>
        <v>2</v>
      </c>
      <c r="AQ740" s="1" t="str">
        <f>IF(HR_Data[[#This Row],[DistanceFromHome]]&lt;=5,"1 to 5",IF(HR_Data[[#This Row],[DistanceFromHome]]&lt;=10,"6 to 10",IF(HR_Data[[#This Row],[DistanceFromHome]]&lt;=20,"11 to 20","21 to 29")))</f>
        <v>1 to 5</v>
      </c>
      <c r="AR740" s="1">
        <f>IF(HR_Data[[#This Row],[DistanceFromHome]]&lt;=5,1,IF(HR_Data[[#This Row],[DistanceFromHome]]&lt;=10,2,IF(HR_Data[[#This Row],[DistanceFromHome]]&lt;=20,3,4)))</f>
        <v>1</v>
      </c>
      <c r="AS740" s="1" t="str">
        <f>IF(HR_Data[[#This Row],[TotalWorkingYears]]&lt;=5,"0-5 Yrs",IF(HR_Data[[#This Row],[TotalWorkingYears]]&lt;=10,"6-10 Yrs",IF(HR_Data[[#This Row],[TotalWorkingYears]]&lt;=20,"11-20 Yrs","20+ Yrs")))</f>
        <v>20+ Yrs</v>
      </c>
      <c r="AT740" s="1">
        <f>IF(HR_Data[[#This Row],[TotalWorkingYears]]&lt;=5,1,IF(HR_Data[[#This Row],[TotalWorkingYears]]&lt;=10,2,IF(HR_Data[[#This Row],[TotalWorkingYears]]&lt;=20,3,4)))</f>
        <v>4</v>
      </c>
    </row>
    <row r="741" spans="1:46" x14ac:dyDescent="0.25">
      <c r="A741">
        <v>27</v>
      </c>
      <c r="B741" t="s">
        <v>36</v>
      </c>
      <c r="C741" t="s">
        <v>30</v>
      </c>
      <c r="D741" t="s">
        <v>38</v>
      </c>
      <c r="E741">
        <v>2</v>
      </c>
      <c r="F741">
        <v>4</v>
      </c>
      <c r="G741" t="s">
        <v>32</v>
      </c>
      <c r="H741">
        <v>1027</v>
      </c>
      <c r="I741">
        <v>1</v>
      </c>
      <c r="J741" t="s">
        <v>33</v>
      </c>
      <c r="K741">
        <v>3</v>
      </c>
      <c r="L741">
        <v>2</v>
      </c>
      <c r="M741" t="s">
        <v>46</v>
      </c>
      <c r="N741">
        <v>4</v>
      </c>
      <c r="O741" t="s">
        <v>41</v>
      </c>
      <c r="P741">
        <v>4227</v>
      </c>
      <c r="Q741">
        <v>0</v>
      </c>
      <c r="R741" t="s">
        <v>36</v>
      </c>
      <c r="S741">
        <v>18</v>
      </c>
      <c r="T741">
        <v>3</v>
      </c>
      <c r="U741">
        <v>2</v>
      </c>
      <c r="V741">
        <v>1</v>
      </c>
      <c r="W741">
        <v>4</v>
      </c>
      <c r="X741">
        <v>2</v>
      </c>
      <c r="Y741">
        <v>3</v>
      </c>
      <c r="Z741">
        <v>3</v>
      </c>
      <c r="AA741">
        <v>2</v>
      </c>
      <c r="AB741">
        <v>2</v>
      </c>
      <c r="AC741">
        <v>2</v>
      </c>
      <c r="AD741">
        <f>IF(HR_Data[[#This Row],[Attrition]]="Yes",1,0)</f>
        <v>0</v>
      </c>
      <c r="AE741" t="str">
        <f>IF(HR_Data[[#This Row],[Age]]&lt;=25,"18-25",IF(HR_Data[[#This Row],[Age]]&lt;=35,"26-35",IF(HR_Data[[#This Row],[Age]]&lt;=45,"36-45",IF(HR_Data[[#This Row],[Age]]&lt;=55,"46-55","55+"))))</f>
        <v>26-35</v>
      </c>
      <c r="AF741">
        <f>IF(HR_Data[[#This Row],[Age]]&lt;=25,1,IF(HR_Data[[#This Row],[Age]]&lt;=35,2,IF(HR_Data[[#This Row],[Age]]&lt;=45,3,IF(HR_Data[[#This Row],[Age]]&lt;=55,4,5))))</f>
        <v>2</v>
      </c>
      <c r="AG741" s="1" t="str">
        <f>IF(HR_Data[[#This Row],[MonthlyIncome]]&lt;3000,"&lt;3K",IF(HR_Data[[#This Row],[MonthlyIncome]]&lt;6000,"3K-6K",IF(HR_Data[[#This Row],[MonthlyIncome]]&lt;10000,"6K-10K","10K+")))</f>
        <v>3K-6K</v>
      </c>
      <c r="AH741" s="1">
        <f>IF(HR_Data[[#This Row],[MonthlyIncome]]&lt;3000,1,IF(HR_Data[[#This Row],[MonthlyIncome]]&lt;6000,2,IF(HR_Data[[#This Row],[MonthlyIncome]]&lt;10000,3,4)))</f>
        <v>2</v>
      </c>
      <c r="AI741" s="1" t="str">
        <f>IF(HR_Data[[#This Row],[YearsAtCompany]]&lt;=2,"0-2 Yrs",IF(HR_Data[[#This Row],[YearsAtCompany]]&lt;=5,"3-5 Yrs",IF(HR_Data[[#This Row],[YearsAtCompany]]&lt;=10,"6-10 Yrs","10+ Yrs")))</f>
        <v>3-5 Yrs</v>
      </c>
      <c r="AJ741" s="1">
        <f>IF(HR_Data[[#This Row],[YearsAtCompany]]&lt;=2,1,IF(HR_Data[[#This Row],[YearsAtCompany]]&lt;=5,2,IF(HR_Data[[#This Row],[YearsAtCompany]]&lt;=10,3,4)))</f>
        <v>2</v>
      </c>
      <c r="AK741" s="1" t="str">
        <f>CHOOSE(HR_Data[[#This Row],[Education]],"Below College","College","Bachelor","Master","Doctor")</f>
        <v>Master</v>
      </c>
      <c r="AL741" s="1" t="str">
        <f>CHOOSE(HR_Data[[#This Row],[JobSatisfaction]],"Low","Medium","High","Very High")</f>
        <v>Very High</v>
      </c>
      <c r="AM741" s="1" t="str">
        <f>CHOOSE(HR_Data[[#This Row],[EnvironmentSatisfaction]],"Low","Medium","High","Very High")</f>
        <v>Low</v>
      </c>
      <c r="AN741" s="1" t="str">
        <f>CHOOSE(HR_Data[[#This Row],[WorkLifeBalance]],"Bad","Good","Better","Best")</f>
        <v>Better</v>
      </c>
      <c r="AO741" s="1" t="str">
        <f>IF(HR_Data[[#This Row],[PercentSalaryHike]]&lt;=13,"11-13%",IF(HR_Data[[#This Row],[PercentSalaryHike]]&lt;=16,"14-16%",IF(HR_Data[[#This Row],[PercentSalaryHike]]&lt;=19,"17-19%","20-25%")))</f>
        <v>17-19%</v>
      </c>
      <c r="AP741" s="1">
        <f>IF(HR_Data[[#This Row],[PercentSalaryHike]]&lt;=13,1,IF(HR_Data[[#This Row],[PercentSalaryHike]]&lt;=16,2,IF(HR_Data[[#This Row],[PercentSalaryHike]]&lt;=19,3,4)))</f>
        <v>3</v>
      </c>
      <c r="AQ741" s="1" t="str">
        <f>IF(HR_Data[[#This Row],[DistanceFromHome]]&lt;=5,"1 to 5",IF(HR_Data[[#This Row],[DistanceFromHome]]&lt;=10,"6 to 10",IF(HR_Data[[#This Row],[DistanceFromHome]]&lt;=20,"11 to 20","21 to 29")))</f>
        <v>1 to 5</v>
      </c>
      <c r="AR741" s="1">
        <f>IF(HR_Data[[#This Row],[DistanceFromHome]]&lt;=5,1,IF(HR_Data[[#This Row],[DistanceFromHome]]&lt;=10,2,IF(HR_Data[[#This Row],[DistanceFromHome]]&lt;=20,3,4)))</f>
        <v>1</v>
      </c>
      <c r="AS741" s="1" t="str">
        <f>IF(HR_Data[[#This Row],[TotalWorkingYears]]&lt;=5,"0-5 Yrs",IF(HR_Data[[#This Row],[TotalWorkingYears]]&lt;=10,"6-10 Yrs",IF(HR_Data[[#This Row],[TotalWorkingYears]]&lt;=20,"11-20 Yrs","20+ Yrs")))</f>
        <v>0-5 Yrs</v>
      </c>
      <c r="AT741" s="1">
        <f>IF(HR_Data[[#This Row],[TotalWorkingYears]]&lt;=5,1,IF(HR_Data[[#This Row],[TotalWorkingYears]]&lt;=10,2,IF(HR_Data[[#This Row],[TotalWorkingYears]]&lt;=20,3,4)))</f>
        <v>1</v>
      </c>
    </row>
    <row r="742" spans="1:46" x14ac:dyDescent="0.25">
      <c r="A742">
        <v>35</v>
      </c>
      <c r="B742" t="s">
        <v>36</v>
      </c>
      <c r="C742" t="s">
        <v>30</v>
      </c>
      <c r="D742" t="s">
        <v>38</v>
      </c>
      <c r="E742">
        <v>10</v>
      </c>
      <c r="F742">
        <v>3</v>
      </c>
      <c r="G742" t="s">
        <v>42</v>
      </c>
      <c r="H742">
        <v>1028</v>
      </c>
      <c r="I742">
        <v>2</v>
      </c>
      <c r="J742" t="s">
        <v>39</v>
      </c>
      <c r="K742">
        <v>3</v>
      </c>
      <c r="L742">
        <v>1</v>
      </c>
      <c r="M742" t="s">
        <v>43</v>
      </c>
      <c r="N742">
        <v>4</v>
      </c>
      <c r="O742" t="s">
        <v>45</v>
      </c>
      <c r="P742">
        <v>3917</v>
      </c>
      <c r="Q742">
        <v>1</v>
      </c>
      <c r="R742" t="s">
        <v>36</v>
      </c>
      <c r="S742">
        <v>20</v>
      </c>
      <c r="T742">
        <v>4</v>
      </c>
      <c r="U742">
        <v>1</v>
      </c>
      <c r="V742">
        <v>1</v>
      </c>
      <c r="W742">
        <v>3</v>
      </c>
      <c r="X742">
        <v>4</v>
      </c>
      <c r="Y742">
        <v>2</v>
      </c>
      <c r="Z742">
        <v>3</v>
      </c>
      <c r="AA742">
        <v>2</v>
      </c>
      <c r="AB742">
        <v>1</v>
      </c>
      <c r="AC742">
        <v>2</v>
      </c>
      <c r="AD742">
        <f>IF(HR_Data[[#This Row],[Attrition]]="Yes",1,0)</f>
        <v>0</v>
      </c>
      <c r="AE742" t="str">
        <f>IF(HR_Data[[#This Row],[Age]]&lt;=25,"18-25",IF(HR_Data[[#This Row],[Age]]&lt;=35,"26-35",IF(HR_Data[[#This Row],[Age]]&lt;=45,"36-45",IF(HR_Data[[#This Row],[Age]]&lt;=55,"46-55","55+"))))</f>
        <v>26-35</v>
      </c>
      <c r="AF742">
        <f>IF(HR_Data[[#This Row],[Age]]&lt;=25,1,IF(HR_Data[[#This Row],[Age]]&lt;=35,2,IF(HR_Data[[#This Row],[Age]]&lt;=45,3,IF(HR_Data[[#This Row],[Age]]&lt;=55,4,5))))</f>
        <v>2</v>
      </c>
      <c r="AG742" s="1" t="str">
        <f>IF(HR_Data[[#This Row],[MonthlyIncome]]&lt;3000,"&lt;3K",IF(HR_Data[[#This Row],[MonthlyIncome]]&lt;6000,"3K-6K",IF(HR_Data[[#This Row],[MonthlyIncome]]&lt;10000,"6K-10K","10K+")))</f>
        <v>3K-6K</v>
      </c>
      <c r="AH742" s="1">
        <f>IF(HR_Data[[#This Row],[MonthlyIncome]]&lt;3000,1,IF(HR_Data[[#This Row],[MonthlyIncome]]&lt;6000,2,IF(HR_Data[[#This Row],[MonthlyIncome]]&lt;10000,3,4)))</f>
        <v>2</v>
      </c>
      <c r="AI742" s="1" t="str">
        <f>IF(HR_Data[[#This Row],[YearsAtCompany]]&lt;=2,"0-2 Yrs",IF(HR_Data[[#This Row],[YearsAtCompany]]&lt;=5,"3-5 Yrs",IF(HR_Data[[#This Row],[YearsAtCompany]]&lt;=10,"6-10 Yrs","10+ Yrs")))</f>
        <v>3-5 Yrs</v>
      </c>
      <c r="AJ742" s="1">
        <f>IF(HR_Data[[#This Row],[YearsAtCompany]]&lt;=2,1,IF(HR_Data[[#This Row],[YearsAtCompany]]&lt;=5,2,IF(HR_Data[[#This Row],[YearsAtCompany]]&lt;=10,3,4)))</f>
        <v>2</v>
      </c>
      <c r="AK742" s="1" t="str">
        <f>CHOOSE(HR_Data[[#This Row],[Education]],"Below College","College","Bachelor","Master","Doctor")</f>
        <v>Bachelor</v>
      </c>
      <c r="AL742" s="1" t="str">
        <f>CHOOSE(HR_Data[[#This Row],[JobSatisfaction]],"Low","Medium","High","Very High")</f>
        <v>Very High</v>
      </c>
      <c r="AM742" s="1" t="str">
        <f>CHOOSE(HR_Data[[#This Row],[EnvironmentSatisfaction]],"Low","Medium","High","Very High")</f>
        <v>Medium</v>
      </c>
      <c r="AN742" s="1" t="str">
        <f>CHOOSE(HR_Data[[#This Row],[WorkLifeBalance]],"Bad","Good","Better","Best")</f>
        <v>Good</v>
      </c>
      <c r="AO742" s="1" t="str">
        <f>IF(HR_Data[[#This Row],[PercentSalaryHike]]&lt;=13,"11-13%",IF(HR_Data[[#This Row],[PercentSalaryHike]]&lt;=16,"14-16%",IF(HR_Data[[#This Row],[PercentSalaryHike]]&lt;=19,"17-19%","20-25%")))</f>
        <v>20-25%</v>
      </c>
      <c r="AP742" s="1">
        <f>IF(HR_Data[[#This Row],[PercentSalaryHike]]&lt;=13,1,IF(HR_Data[[#This Row],[PercentSalaryHike]]&lt;=16,2,IF(HR_Data[[#This Row],[PercentSalaryHike]]&lt;=19,3,4)))</f>
        <v>4</v>
      </c>
      <c r="AQ742" s="1" t="str">
        <f>IF(HR_Data[[#This Row],[DistanceFromHome]]&lt;=5,"1 to 5",IF(HR_Data[[#This Row],[DistanceFromHome]]&lt;=10,"6 to 10",IF(HR_Data[[#This Row],[DistanceFromHome]]&lt;=20,"11 to 20","21 to 29")))</f>
        <v>6 to 10</v>
      </c>
      <c r="AR742" s="1">
        <f>IF(HR_Data[[#This Row],[DistanceFromHome]]&lt;=5,1,IF(HR_Data[[#This Row],[DistanceFromHome]]&lt;=10,2,IF(HR_Data[[#This Row],[DistanceFromHome]]&lt;=20,3,4)))</f>
        <v>2</v>
      </c>
      <c r="AS742" s="1" t="str">
        <f>IF(HR_Data[[#This Row],[TotalWorkingYears]]&lt;=5,"0-5 Yrs",IF(HR_Data[[#This Row],[TotalWorkingYears]]&lt;=10,"6-10 Yrs",IF(HR_Data[[#This Row],[TotalWorkingYears]]&lt;=20,"11-20 Yrs","20+ Yrs")))</f>
        <v>0-5 Yrs</v>
      </c>
      <c r="AT742" s="1">
        <f>IF(HR_Data[[#This Row],[TotalWorkingYears]]&lt;=5,1,IF(HR_Data[[#This Row],[TotalWorkingYears]]&lt;=10,2,IF(HR_Data[[#This Row],[TotalWorkingYears]]&lt;=20,3,4)))</f>
        <v>1</v>
      </c>
    </row>
    <row r="743" spans="1:46" x14ac:dyDescent="0.25">
      <c r="A743">
        <v>42</v>
      </c>
      <c r="B743" t="s">
        <v>36</v>
      </c>
      <c r="C743" t="s">
        <v>30</v>
      </c>
      <c r="D743" t="s">
        <v>31</v>
      </c>
      <c r="E743">
        <v>5</v>
      </c>
      <c r="F743">
        <v>2</v>
      </c>
      <c r="G743" t="s">
        <v>52</v>
      </c>
      <c r="H743">
        <v>1029</v>
      </c>
      <c r="I743">
        <v>4</v>
      </c>
      <c r="J743" t="s">
        <v>39</v>
      </c>
      <c r="K743">
        <v>3</v>
      </c>
      <c r="L743">
        <v>5</v>
      </c>
      <c r="M743" t="s">
        <v>49</v>
      </c>
      <c r="N743">
        <v>3</v>
      </c>
      <c r="O743" t="s">
        <v>41</v>
      </c>
      <c r="P743">
        <v>18303</v>
      </c>
      <c r="Q743">
        <v>6</v>
      </c>
      <c r="R743" t="s">
        <v>36</v>
      </c>
      <c r="S743">
        <v>13</v>
      </c>
      <c r="T743">
        <v>3</v>
      </c>
      <c r="U743">
        <v>2</v>
      </c>
      <c r="V743">
        <v>0</v>
      </c>
      <c r="W743">
        <v>21</v>
      </c>
      <c r="X743">
        <v>3</v>
      </c>
      <c r="Y743">
        <v>4</v>
      </c>
      <c r="Z743">
        <v>1</v>
      </c>
      <c r="AA743">
        <v>0</v>
      </c>
      <c r="AB743">
        <v>0</v>
      </c>
      <c r="AC743">
        <v>0</v>
      </c>
      <c r="AD743">
        <f>IF(HR_Data[[#This Row],[Attrition]]="Yes",1,0)</f>
        <v>0</v>
      </c>
      <c r="AE743" t="str">
        <f>IF(HR_Data[[#This Row],[Age]]&lt;=25,"18-25",IF(HR_Data[[#This Row],[Age]]&lt;=35,"26-35",IF(HR_Data[[#This Row],[Age]]&lt;=45,"36-45",IF(HR_Data[[#This Row],[Age]]&lt;=55,"46-55","55+"))))</f>
        <v>36-45</v>
      </c>
      <c r="AF743">
        <f>IF(HR_Data[[#This Row],[Age]]&lt;=25,1,IF(HR_Data[[#This Row],[Age]]&lt;=35,2,IF(HR_Data[[#This Row],[Age]]&lt;=45,3,IF(HR_Data[[#This Row],[Age]]&lt;=55,4,5))))</f>
        <v>3</v>
      </c>
      <c r="AG743" s="1" t="str">
        <f>IF(HR_Data[[#This Row],[MonthlyIncome]]&lt;3000,"&lt;3K",IF(HR_Data[[#This Row],[MonthlyIncome]]&lt;6000,"3K-6K",IF(HR_Data[[#This Row],[MonthlyIncome]]&lt;10000,"6K-10K","10K+")))</f>
        <v>10K+</v>
      </c>
      <c r="AH743" s="1">
        <f>IF(HR_Data[[#This Row],[MonthlyIncome]]&lt;3000,1,IF(HR_Data[[#This Row],[MonthlyIncome]]&lt;6000,2,IF(HR_Data[[#This Row],[MonthlyIncome]]&lt;10000,3,4)))</f>
        <v>4</v>
      </c>
      <c r="AI743" s="1" t="str">
        <f>IF(HR_Data[[#This Row],[YearsAtCompany]]&lt;=2,"0-2 Yrs",IF(HR_Data[[#This Row],[YearsAtCompany]]&lt;=5,"3-5 Yrs",IF(HR_Data[[#This Row],[YearsAtCompany]]&lt;=10,"6-10 Yrs","10+ Yrs")))</f>
        <v>0-2 Yrs</v>
      </c>
      <c r="AJ743" s="1">
        <f>IF(HR_Data[[#This Row],[YearsAtCompany]]&lt;=2,1,IF(HR_Data[[#This Row],[YearsAtCompany]]&lt;=5,2,IF(HR_Data[[#This Row],[YearsAtCompany]]&lt;=10,3,4)))</f>
        <v>1</v>
      </c>
      <c r="AK743" s="1" t="str">
        <f>CHOOSE(HR_Data[[#This Row],[Education]],"Below College","College","Bachelor","Master","Doctor")</f>
        <v>College</v>
      </c>
      <c r="AL743" s="1" t="str">
        <f>CHOOSE(HR_Data[[#This Row],[JobSatisfaction]],"Low","Medium","High","Very High")</f>
        <v>High</v>
      </c>
      <c r="AM743" s="1" t="str">
        <f>CHOOSE(HR_Data[[#This Row],[EnvironmentSatisfaction]],"Low","Medium","High","Very High")</f>
        <v>Very High</v>
      </c>
      <c r="AN743" s="1" t="str">
        <f>CHOOSE(HR_Data[[#This Row],[WorkLifeBalance]],"Bad","Good","Better","Best")</f>
        <v>Best</v>
      </c>
      <c r="AO743" s="1" t="str">
        <f>IF(HR_Data[[#This Row],[PercentSalaryHike]]&lt;=13,"11-13%",IF(HR_Data[[#This Row],[PercentSalaryHike]]&lt;=16,"14-16%",IF(HR_Data[[#This Row],[PercentSalaryHike]]&lt;=19,"17-19%","20-25%")))</f>
        <v>11-13%</v>
      </c>
      <c r="AP743" s="1">
        <f>IF(HR_Data[[#This Row],[PercentSalaryHike]]&lt;=13,1,IF(HR_Data[[#This Row],[PercentSalaryHike]]&lt;=16,2,IF(HR_Data[[#This Row],[PercentSalaryHike]]&lt;=19,3,4)))</f>
        <v>1</v>
      </c>
      <c r="AQ743" s="1" t="str">
        <f>IF(HR_Data[[#This Row],[DistanceFromHome]]&lt;=5,"1 to 5",IF(HR_Data[[#This Row],[DistanceFromHome]]&lt;=10,"6 to 10",IF(HR_Data[[#This Row],[DistanceFromHome]]&lt;=20,"11 to 20","21 to 29")))</f>
        <v>1 to 5</v>
      </c>
      <c r="AR743" s="1">
        <f>IF(HR_Data[[#This Row],[DistanceFromHome]]&lt;=5,1,IF(HR_Data[[#This Row],[DistanceFromHome]]&lt;=10,2,IF(HR_Data[[#This Row],[DistanceFromHome]]&lt;=20,3,4)))</f>
        <v>1</v>
      </c>
      <c r="AS743" s="1" t="str">
        <f>IF(HR_Data[[#This Row],[TotalWorkingYears]]&lt;=5,"0-5 Yrs",IF(HR_Data[[#This Row],[TotalWorkingYears]]&lt;=10,"6-10 Yrs",IF(HR_Data[[#This Row],[TotalWorkingYears]]&lt;=20,"11-20 Yrs","20+ Yrs")))</f>
        <v>20+ Yrs</v>
      </c>
      <c r="AT743" s="1">
        <f>IF(HR_Data[[#This Row],[TotalWorkingYears]]&lt;=5,1,IF(HR_Data[[#This Row],[TotalWorkingYears]]&lt;=10,2,IF(HR_Data[[#This Row],[TotalWorkingYears]]&lt;=20,3,4)))</f>
        <v>4</v>
      </c>
    </row>
    <row r="744" spans="1:46" x14ac:dyDescent="0.25">
      <c r="A744">
        <v>50</v>
      </c>
      <c r="B744" t="s">
        <v>36</v>
      </c>
      <c r="C744" t="s">
        <v>30</v>
      </c>
      <c r="D744" t="s">
        <v>38</v>
      </c>
      <c r="E744">
        <v>9</v>
      </c>
      <c r="F744">
        <v>3</v>
      </c>
      <c r="G744" t="s">
        <v>32</v>
      </c>
      <c r="H744">
        <v>1030</v>
      </c>
      <c r="I744">
        <v>1</v>
      </c>
      <c r="J744" t="s">
        <v>39</v>
      </c>
      <c r="K744">
        <v>3</v>
      </c>
      <c r="L744">
        <v>1</v>
      </c>
      <c r="M744" t="s">
        <v>43</v>
      </c>
      <c r="N744">
        <v>4</v>
      </c>
      <c r="O744" t="s">
        <v>41</v>
      </c>
      <c r="P744">
        <v>2380</v>
      </c>
      <c r="Q744">
        <v>4</v>
      </c>
      <c r="R744" t="s">
        <v>36</v>
      </c>
      <c r="S744">
        <v>18</v>
      </c>
      <c r="T744">
        <v>3</v>
      </c>
      <c r="U744">
        <v>2</v>
      </c>
      <c r="V744">
        <v>0</v>
      </c>
      <c r="W744">
        <v>8</v>
      </c>
      <c r="X744">
        <v>5</v>
      </c>
      <c r="Y744">
        <v>3</v>
      </c>
      <c r="Z744">
        <v>1</v>
      </c>
      <c r="AA744">
        <v>0</v>
      </c>
      <c r="AB744">
        <v>0</v>
      </c>
      <c r="AC744">
        <v>0</v>
      </c>
      <c r="AD744">
        <f>IF(HR_Data[[#This Row],[Attrition]]="Yes",1,0)</f>
        <v>0</v>
      </c>
      <c r="AE744" t="str">
        <f>IF(HR_Data[[#This Row],[Age]]&lt;=25,"18-25",IF(HR_Data[[#This Row],[Age]]&lt;=35,"26-35",IF(HR_Data[[#This Row],[Age]]&lt;=45,"36-45",IF(HR_Data[[#This Row],[Age]]&lt;=55,"46-55","55+"))))</f>
        <v>46-55</v>
      </c>
      <c r="AF744">
        <f>IF(HR_Data[[#This Row],[Age]]&lt;=25,1,IF(HR_Data[[#This Row],[Age]]&lt;=35,2,IF(HR_Data[[#This Row],[Age]]&lt;=45,3,IF(HR_Data[[#This Row],[Age]]&lt;=55,4,5))))</f>
        <v>4</v>
      </c>
      <c r="AG744" s="1" t="str">
        <f>IF(HR_Data[[#This Row],[MonthlyIncome]]&lt;3000,"&lt;3K",IF(HR_Data[[#This Row],[MonthlyIncome]]&lt;6000,"3K-6K",IF(HR_Data[[#This Row],[MonthlyIncome]]&lt;10000,"6K-10K","10K+")))</f>
        <v>&lt;3K</v>
      </c>
      <c r="AH744" s="1">
        <f>IF(HR_Data[[#This Row],[MonthlyIncome]]&lt;3000,1,IF(HR_Data[[#This Row],[MonthlyIncome]]&lt;6000,2,IF(HR_Data[[#This Row],[MonthlyIncome]]&lt;10000,3,4)))</f>
        <v>1</v>
      </c>
      <c r="AI744" s="1" t="str">
        <f>IF(HR_Data[[#This Row],[YearsAtCompany]]&lt;=2,"0-2 Yrs",IF(HR_Data[[#This Row],[YearsAtCompany]]&lt;=5,"3-5 Yrs",IF(HR_Data[[#This Row],[YearsAtCompany]]&lt;=10,"6-10 Yrs","10+ Yrs")))</f>
        <v>0-2 Yrs</v>
      </c>
      <c r="AJ744" s="1">
        <f>IF(HR_Data[[#This Row],[YearsAtCompany]]&lt;=2,1,IF(HR_Data[[#This Row],[YearsAtCompany]]&lt;=5,2,IF(HR_Data[[#This Row],[YearsAtCompany]]&lt;=10,3,4)))</f>
        <v>1</v>
      </c>
      <c r="AK744" s="1" t="str">
        <f>CHOOSE(HR_Data[[#This Row],[Education]],"Below College","College","Bachelor","Master","Doctor")</f>
        <v>Bachelor</v>
      </c>
      <c r="AL744" s="1" t="str">
        <f>CHOOSE(HR_Data[[#This Row],[JobSatisfaction]],"Low","Medium","High","Very High")</f>
        <v>Very High</v>
      </c>
      <c r="AM744" s="1" t="str">
        <f>CHOOSE(HR_Data[[#This Row],[EnvironmentSatisfaction]],"Low","Medium","High","Very High")</f>
        <v>Low</v>
      </c>
      <c r="AN744" s="1" t="str">
        <f>CHOOSE(HR_Data[[#This Row],[WorkLifeBalance]],"Bad","Good","Better","Best")</f>
        <v>Better</v>
      </c>
      <c r="AO744" s="1" t="str">
        <f>IF(HR_Data[[#This Row],[PercentSalaryHike]]&lt;=13,"11-13%",IF(HR_Data[[#This Row],[PercentSalaryHike]]&lt;=16,"14-16%",IF(HR_Data[[#This Row],[PercentSalaryHike]]&lt;=19,"17-19%","20-25%")))</f>
        <v>17-19%</v>
      </c>
      <c r="AP744" s="1">
        <f>IF(HR_Data[[#This Row],[PercentSalaryHike]]&lt;=13,1,IF(HR_Data[[#This Row],[PercentSalaryHike]]&lt;=16,2,IF(HR_Data[[#This Row],[PercentSalaryHike]]&lt;=19,3,4)))</f>
        <v>3</v>
      </c>
      <c r="AQ744" s="1" t="str">
        <f>IF(HR_Data[[#This Row],[DistanceFromHome]]&lt;=5,"1 to 5",IF(HR_Data[[#This Row],[DistanceFromHome]]&lt;=10,"6 to 10",IF(HR_Data[[#This Row],[DistanceFromHome]]&lt;=20,"11 to 20","21 to 29")))</f>
        <v>6 to 10</v>
      </c>
      <c r="AR744" s="1">
        <f>IF(HR_Data[[#This Row],[DistanceFromHome]]&lt;=5,1,IF(HR_Data[[#This Row],[DistanceFromHome]]&lt;=10,2,IF(HR_Data[[#This Row],[DistanceFromHome]]&lt;=20,3,4)))</f>
        <v>2</v>
      </c>
      <c r="AS744" s="1" t="str">
        <f>IF(HR_Data[[#This Row],[TotalWorkingYears]]&lt;=5,"0-5 Yrs",IF(HR_Data[[#This Row],[TotalWorkingYears]]&lt;=10,"6-10 Yrs",IF(HR_Data[[#This Row],[TotalWorkingYears]]&lt;=20,"11-20 Yrs","20+ Yrs")))</f>
        <v>6-10 Yrs</v>
      </c>
      <c r="AT744" s="1">
        <f>IF(HR_Data[[#This Row],[TotalWorkingYears]]&lt;=5,1,IF(HR_Data[[#This Row],[TotalWorkingYears]]&lt;=10,2,IF(HR_Data[[#This Row],[TotalWorkingYears]]&lt;=20,3,4)))</f>
        <v>2</v>
      </c>
    </row>
    <row r="745" spans="1:46" x14ac:dyDescent="0.25">
      <c r="A745">
        <v>59</v>
      </c>
      <c r="B745" t="s">
        <v>36</v>
      </c>
      <c r="C745" t="s">
        <v>30</v>
      </c>
      <c r="D745" t="s">
        <v>38</v>
      </c>
      <c r="E745">
        <v>2</v>
      </c>
      <c r="F745">
        <v>3</v>
      </c>
      <c r="G745" t="s">
        <v>32</v>
      </c>
      <c r="H745">
        <v>1032</v>
      </c>
      <c r="I745">
        <v>3</v>
      </c>
      <c r="J745" t="s">
        <v>33</v>
      </c>
      <c r="K745">
        <v>2</v>
      </c>
      <c r="L745">
        <v>4</v>
      </c>
      <c r="M745" t="s">
        <v>46</v>
      </c>
      <c r="N745">
        <v>4</v>
      </c>
      <c r="O745" t="s">
        <v>35</v>
      </c>
      <c r="P745">
        <v>13726</v>
      </c>
      <c r="Q745">
        <v>3</v>
      </c>
      <c r="R745" t="s">
        <v>29</v>
      </c>
      <c r="S745">
        <v>13</v>
      </c>
      <c r="T745">
        <v>3</v>
      </c>
      <c r="U745">
        <v>1</v>
      </c>
      <c r="V745">
        <v>0</v>
      </c>
      <c r="W745">
        <v>30</v>
      </c>
      <c r="X745">
        <v>4</v>
      </c>
      <c r="Y745">
        <v>3</v>
      </c>
      <c r="Z745">
        <v>5</v>
      </c>
      <c r="AA745">
        <v>3</v>
      </c>
      <c r="AB745">
        <v>4</v>
      </c>
      <c r="AC745">
        <v>3</v>
      </c>
      <c r="AD745">
        <f>IF(HR_Data[[#This Row],[Attrition]]="Yes",1,0)</f>
        <v>0</v>
      </c>
      <c r="AE745" t="str">
        <f>IF(HR_Data[[#This Row],[Age]]&lt;=25,"18-25",IF(HR_Data[[#This Row],[Age]]&lt;=35,"26-35",IF(HR_Data[[#This Row],[Age]]&lt;=45,"36-45",IF(HR_Data[[#This Row],[Age]]&lt;=55,"46-55","55+"))))</f>
        <v>55+</v>
      </c>
      <c r="AF745">
        <f>IF(HR_Data[[#This Row],[Age]]&lt;=25,1,IF(HR_Data[[#This Row],[Age]]&lt;=35,2,IF(HR_Data[[#This Row],[Age]]&lt;=45,3,IF(HR_Data[[#This Row],[Age]]&lt;=55,4,5))))</f>
        <v>5</v>
      </c>
      <c r="AG745" s="1" t="str">
        <f>IF(HR_Data[[#This Row],[MonthlyIncome]]&lt;3000,"&lt;3K",IF(HR_Data[[#This Row],[MonthlyIncome]]&lt;6000,"3K-6K",IF(HR_Data[[#This Row],[MonthlyIncome]]&lt;10000,"6K-10K","10K+")))</f>
        <v>10K+</v>
      </c>
      <c r="AH745" s="1">
        <f>IF(HR_Data[[#This Row],[MonthlyIncome]]&lt;3000,1,IF(HR_Data[[#This Row],[MonthlyIncome]]&lt;6000,2,IF(HR_Data[[#This Row],[MonthlyIncome]]&lt;10000,3,4)))</f>
        <v>4</v>
      </c>
      <c r="AI745" s="1" t="str">
        <f>IF(HR_Data[[#This Row],[YearsAtCompany]]&lt;=2,"0-2 Yrs",IF(HR_Data[[#This Row],[YearsAtCompany]]&lt;=5,"3-5 Yrs",IF(HR_Data[[#This Row],[YearsAtCompany]]&lt;=10,"6-10 Yrs","10+ Yrs")))</f>
        <v>3-5 Yrs</v>
      </c>
      <c r="AJ745" s="1">
        <f>IF(HR_Data[[#This Row],[YearsAtCompany]]&lt;=2,1,IF(HR_Data[[#This Row],[YearsAtCompany]]&lt;=5,2,IF(HR_Data[[#This Row],[YearsAtCompany]]&lt;=10,3,4)))</f>
        <v>2</v>
      </c>
      <c r="AK745" s="1" t="str">
        <f>CHOOSE(HR_Data[[#This Row],[Education]],"Below College","College","Bachelor","Master","Doctor")</f>
        <v>Bachelor</v>
      </c>
      <c r="AL745" s="1" t="str">
        <f>CHOOSE(HR_Data[[#This Row],[JobSatisfaction]],"Low","Medium","High","Very High")</f>
        <v>Very High</v>
      </c>
      <c r="AM745" s="1" t="str">
        <f>CHOOSE(HR_Data[[#This Row],[EnvironmentSatisfaction]],"Low","Medium","High","Very High")</f>
        <v>High</v>
      </c>
      <c r="AN745" s="1" t="str">
        <f>CHOOSE(HR_Data[[#This Row],[WorkLifeBalance]],"Bad","Good","Better","Best")</f>
        <v>Better</v>
      </c>
      <c r="AO745" s="1" t="str">
        <f>IF(HR_Data[[#This Row],[PercentSalaryHike]]&lt;=13,"11-13%",IF(HR_Data[[#This Row],[PercentSalaryHike]]&lt;=16,"14-16%",IF(HR_Data[[#This Row],[PercentSalaryHike]]&lt;=19,"17-19%","20-25%")))</f>
        <v>11-13%</v>
      </c>
      <c r="AP745" s="1">
        <f>IF(HR_Data[[#This Row],[PercentSalaryHike]]&lt;=13,1,IF(HR_Data[[#This Row],[PercentSalaryHike]]&lt;=16,2,IF(HR_Data[[#This Row],[PercentSalaryHike]]&lt;=19,3,4)))</f>
        <v>1</v>
      </c>
      <c r="AQ745" s="1" t="str">
        <f>IF(HR_Data[[#This Row],[DistanceFromHome]]&lt;=5,"1 to 5",IF(HR_Data[[#This Row],[DistanceFromHome]]&lt;=10,"6 to 10",IF(HR_Data[[#This Row],[DistanceFromHome]]&lt;=20,"11 to 20","21 to 29")))</f>
        <v>1 to 5</v>
      </c>
      <c r="AR745" s="1">
        <f>IF(HR_Data[[#This Row],[DistanceFromHome]]&lt;=5,1,IF(HR_Data[[#This Row],[DistanceFromHome]]&lt;=10,2,IF(HR_Data[[#This Row],[DistanceFromHome]]&lt;=20,3,4)))</f>
        <v>1</v>
      </c>
      <c r="AS745" s="1" t="str">
        <f>IF(HR_Data[[#This Row],[TotalWorkingYears]]&lt;=5,"0-5 Yrs",IF(HR_Data[[#This Row],[TotalWorkingYears]]&lt;=10,"6-10 Yrs",IF(HR_Data[[#This Row],[TotalWorkingYears]]&lt;=20,"11-20 Yrs","20+ Yrs")))</f>
        <v>20+ Yrs</v>
      </c>
      <c r="AT745" s="1">
        <f>IF(HR_Data[[#This Row],[TotalWorkingYears]]&lt;=5,1,IF(HR_Data[[#This Row],[TotalWorkingYears]]&lt;=10,2,IF(HR_Data[[#This Row],[TotalWorkingYears]]&lt;=20,3,4)))</f>
        <v>4</v>
      </c>
    </row>
    <row r="746" spans="1:46" x14ac:dyDescent="0.25">
      <c r="A746">
        <v>37</v>
      </c>
      <c r="B746" t="s">
        <v>29</v>
      </c>
      <c r="C746" t="s">
        <v>30</v>
      </c>
      <c r="D746" t="s">
        <v>38</v>
      </c>
      <c r="E746">
        <v>11</v>
      </c>
      <c r="F746">
        <v>2</v>
      </c>
      <c r="G746" t="s">
        <v>44</v>
      </c>
      <c r="H746">
        <v>1033</v>
      </c>
      <c r="I746">
        <v>1</v>
      </c>
      <c r="J746" t="s">
        <v>33</v>
      </c>
      <c r="K746">
        <v>1</v>
      </c>
      <c r="L746">
        <v>2</v>
      </c>
      <c r="M746" t="s">
        <v>47</v>
      </c>
      <c r="N746">
        <v>2</v>
      </c>
      <c r="O746" t="s">
        <v>41</v>
      </c>
      <c r="P746">
        <v>4777</v>
      </c>
      <c r="Q746">
        <v>5</v>
      </c>
      <c r="R746" t="s">
        <v>36</v>
      </c>
      <c r="S746">
        <v>15</v>
      </c>
      <c r="T746">
        <v>3</v>
      </c>
      <c r="U746">
        <v>1</v>
      </c>
      <c r="V746">
        <v>0</v>
      </c>
      <c r="W746">
        <v>15</v>
      </c>
      <c r="X746">
        <v>2</v>
      </c>
      <c r="Y746">
        <v>1</v>
      </c>
      <c r="Z746">
        <v>1</v>
      </c>
      <c r="AA746">
        <v>0</v>
      </c>
      <c r="AB746">
        <v>0</v>
      </c>
      <c r="AC746">
        <v>0</v>
      </c>
      <c r="AD746">
        <f>IF(HR_Data[[#This Row],[Attrition]]="Yes",1,0)</f>
        <v>1</v>
      </c>
      <c r="AE746" t="str">
        <f>IF(HR_Data[[#This Row],[Age]]&lt;=25,"18-25",IF(HR_Data[[#This Row],[Age]]&lt;=35,"26-35",IF(HR_Data[[#This Row],[Age]]&lt;=45,"36-45",IF(HR_Data[[#This Row],[Age]]&lt;=55,"46-55","55+"))))</f>
        <v>36-45</v>
      </c>
      <c r="AF746">
        <f>IF(HR_Data[[#This Row],[Age]]&lt;=25,1,IF(HR_Data[[#This Row],[Age]]&lt;=35,2,IF(HR_Data[[#This Row],[Age]]&lt;=45,3,IF(HR_Data[[#This Row],[Age]]&lt;=55,4,5))))</f>
        <v>3</v>
      </c>
      <c r="AG746" s="1" t="str">
        <f>IF(HR_Data[[#This Row],[MonthlyIncome]]&lt;3000,"&lt;3K",IF(HR_Data[[#This Row],[MonthlyIncome]]&lt;6000,"3K-6K",IF(HR_Data[[#This Row],[MonthlyIncome]]&lt;10000,"6K-10K","10K+")))</f>
        <v>3K-6K</v>
      </c>
      <c r="AH746" s="1">
        <f>IF(HR_Data[[#This Row],[MonthlyIncome]]&lt;3000,1,IF(HR_Data[[#This Row],[MonthlyIncome]]&lt;6000,2,IF(HR_Data[[#This Row],[MonthlyIncome]]&lt;10000,3,4)))</f>
        <v>2</v>
      </c>
      <c r="AI746" s="1" t="str">
        <f>IF(HR_Data[[#This Row],[YearsAtCompany]]&lt;=2,"0-2 Yrs",IF(HR_Data[[#This Row],[YearsAtCompany]]&lt;=5,"3-5 Yrs",IF(HR_Data[[#This Row],[YearsAtCompany]]&lt;=10,"6-10 Yrs","10+ Yrs")))</f>
        <v>0-2 Yrs</v>
      </c>
      <c r="AJ746" s="1">
        <f>IF(HR_Data[[#This Row],[YearsAtCompany]]&lt;=2,1,IF(HR_Data[[#This Row],[YearsAtCompany]]&lt;=5,2,IF(HR_Data[[#This Row],[YearsAtCompany]]&lt;=10,3,4)))</f>
        <v>1</v>
      </c>
      <c r="AK746" s="1" t="str">
        <f>CHOOSE(HR_Data[[#This Row],[Education]],"Below College","College","Bachelor","Master","Doctor")</f>
        <v>College</v>
      </c>
      <c r="AL746" s="1" t="str">
        <f>CHOOSE(HR_Data[[#This Row],[JobSatisfaction]],"Low","Medium","High","Very High")</f>
        <v>Medium</v>
      </c>
      <c r="AM746" s="1" t="str">
        <f>CHOOSE(HR_Data[[#This Row],[EnvironmentSatisfaction]],"Low","Medium","High","Very High")</f>
        <v>Low</v>
      </c>
      <c r="AN746" s="1" t="str">
        <f>CHOOSE(HR_Data[[#This Row],[WorkLifeBalance]],"Bad","Good","Better","Best")</f>
        <v>Bad</v>
      </c>
      <c r="AO746" s="1" t="str">
        <f>IF(HR_Data[[#This Row],[PercentSalaryHike]]&lt;=13,"11-13%",IF(HR_Data[[#This Row],[PercentSalaryHike]]&lt;=16,"14-16%",IF(HR_Data[[#This Row],[PercentSalaryHike]]&lt;=19,"17-19%","20-25%")))</f>
        <v>14-16%</v>
      </c>
      <c r="AP746" s="1">
        <f>IF(HR_Data[[#This Row],[PercentSalaryHike]]&lt;=13,1,IF(HR_Data[[#This Row],[PercentSalaryHike]]&lt;=16,2,IF(HR_Data[[#This Row],[PercentSalaryHike]]&lt;=19,3,4)))</f>
        <v>2</v>
      </c>
      <c r="AQ746" s="1" t="str">
        <f>IF(HR_Data[[#This Row],[DistanceFromHome]]&lt;=5,"1 to 5",IF(HR_Data[[#This Row],[DistanceFromHome]]&lt;=10,"6 to 10",IF(HR_Data[[#This Row],[DistanceFromHome]]&lt;=20,"11 to 20","21 to 29")))</f>
        <v>11 to 20</v>
      </c>
      <c r="AR746" s="1">
        <f>IF(HR_Data[[#This Row],[DistanceFromHome]]&lt;=5,1,IF(HR_Data[[#This Row],[DistanceFromHome]]&lt;=10,2,IF(HR_Data[[#This Row],[DistanceFromHome]]&lt;=20,3,4)))</f>
        <v>3</v>
      </c>
      <c r="AS746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746" s="1">
        <f>IF(HR_Data[[#This Row],[TotalWorkingYears]]&lt;=5,1,IF(HR_Data[[#This Row],[TotalWorkingYears]]&lt;=10,2,IF(HR_Data[[#This Row],[TotalWorkingYears]]&lt;=20,3,4)))</f>
        <v>3</v>
      </c>
    </row>
    <row r="747" spans="1:46" x14ac:dyDescent="0.25">
      <c r="A747">
        <v>55</v>
      </c>
      <c r="B747" t="s">
        <v>36</v>
      </c>
      <c r="C747" t="s">
        <v>37</v>
      </c>
      <c r="D747" t="s">
        <v>38</v>
      </c>
      <c r="E747">
        <v>18</v>
      </c>
      <c r="F747">
        <v>4</v>
      </c>
      <c r="G747" t="s">
        <v>44</v>
      </c>
      <c r="H747">
        <v>1034</v>
      </c>
      <c r="I747">
        <v>3</v>
      </c>
      <c r="J747" t="s">
        <v>39</v>
      </c>
      <c r="K747">
        <v>3</v>
      </c>
      <c r="L747">
        <v>2</v>
      </c>
      <c r="M747" t="s">
        <v>47</v>
      </c>
      <c r="N747">
        <v>2</v>
      </c>
      <c r="O747" t="s">
        <v>41</v>
      </c>
      <c r="P747">
        <v>6385</v>
      </c>
      <c r="Q747">
        <v>3</v>
      </c>
      <c r="R747" t="s">
        <v>29</v>
      </c>
      <c r="S747">
        <v>14</v>
      </c>
      <c r="T747">
        <v>3</v>
      </c>
      <c r="U747">
        <v>4</v>
      </c>
      <c r="V747">
        <v>2</v>
      </c>
      <c r="W747">
        <v>17</v>
      </c>
      <c r="X747">
        <v>3</v>
      </c>
      <c r="Y747">
        <v>3</v>
      </c>
      <c r="Z747">
        <v>8</v>
      </c>
      <c r="AA747">
        <v>7</v>
      </c>
      <c r="AB747">
        <v>6</v>
      </c>
      <c r="AC747">
        <v>7</v>
      </c>
      <c r="AD747">
        <f>IF(HR_Data[[#This Row],[Attrition]]="Yes",1,0)</f>
        <v>0</v>
      </c>
      <c r="AE747" t="str">
        <f>IF(HR_Data[[#This Row],[Age]]&lt;=25,"18-25",IF(HR_Data[[#This Row],[Age]]&lt;=35,"26-35",IF(HR_Data[[#This Row],[Age]]&lt;=45,"36-45",IF(HR_Data[[#This Row],[Age]]&lt;=55,"46-55","55+"))))</f>
        <v>46-55</v>
      </c>
      <c r="AF747">
        <f>IF(HR_Data[[#This Row],[Age]]&lt;=25,1,IF(HR_Data[[#This Row],[Age]]&lt;=35,2,IF(HR_Data[[#This Row],[Age]]&lt;=45,3,IF(HR_Data[[#This Row],[Age]]&lt;=55,4,5))))</f>
        <v>4</v>
      </c>
      <c r="AG747" s="1" t="str">
        <f>IF(HR_Data[[#This Row],[MonthlyIncome]]&lt;3000,"&lt;3K",IF(HR_Data[[#This Row],[MonthlyIncome]]&lt;6000,"3K-6K",IF(HR_Data[[#This Row],[MonthlyIncome]]&lt;10000,"6K-10K","10K+")))</f>
        <v>6K-10K</v>
      </c>
      <c r="AH747" s="1">
        <f>IF(HR_Data[[#This Row],[MonthlyIncome]]&lt;3000,1,IF(HR_Data[[#This Row],[MonthlyIncome]]&lt;6000,2,IF(HR_Data[[#This Row],[MonthlyIncome]]&lt;10000,3,4)))</f>
        <v>3</v>
      </c>
      <c r="AI747" s="1" t="str">
        <f>IF(HR_Data[[#This Row],[YearsAtCompany]]&lt;=2,"0-2 Yrs",IF(HR_Data[[#This Row],[YearsAtCompany]]&lt;=5,"3-5 Yrs",IF(HR_Data[[#This Row],[YearsAtCompany]]&lt;=10,"6-10 Yrs","10+ Yrs")))</f>
        <v>6-10 Yrs</v>
      </c>
      <c r="AJ747" s="1">
        <f>IF(HR_Data[[#This Row],[YearsAtCompany]]&lt;=2,1,IF(HR_Data[[#This Row],[YearsAtCompany]]&lt;=5,2,IF(HR_Data[[#This Row],[YearsAtCompany]]&lt;=10,3,4)))</f>
        <v>3</v>
      </c>
      <c r="AK747" s="1" t="str">
        <f>CHOOSE(HR_Data[[#This Row],[Education]],"Below College","College","Bachelor","Master","Doctor")</f>
        <v>Master</v>
      </c>
      <c r="AL747" s="1" t="str">
        <f>CHOOSE(HR_Data[[#This Row],[JobSatisfaction]],"Low","Medium","High","Very High")</f>
        <v>Medium</v>
      </c>
      <c r="AM747" s="1" t="str">
        <f>CHOOSE(HR_Data[[#This Row],[EnvironmentSatisfaction]],"Low","Medium","High","Very High")</f>
        <v>High</v>
      </c>
      <c r="AN747" s="1" t="str">
        <f>CHOOSE(HR_Data[[#This Row],[WorkLifeBalance]],"Bad","Good","Better","Best")</f>
        <v>Better</v>
      </c>
      <c r="AO747" s="1" t="str">
        <f>IF(HR_Data[[#This Row],[PercentSalaryHike]]&lt;=13,"11-13%",IF(HR_Data[[#This Row],[PercentSalaryHike]]&lt;=16,"14-16%",IF(HR_Data[[#This Row],[PercentSalaryHike]]&lt;=19,"17-19%","20-25%")))</f>
        <v>14-16%</v>
      </c>
      <c r="AP747" s="1">
        <f>IF(HR_Data[[#This Row],[PercentSalaryHike]]&lt;=13,1,IF(HR_Data[[#This Row],[PercentSalaryHike]]&lt;=16,2,IF(HR_Data[[#This Row],[PercentSalaryHike]]&lt;=19,3,4)))</f>
        <v>2</v>
      </c>
      <c r="AQ747" s="1" t="str">
        <f>IF(HR_Data[[#This Row],[DistanceFromHome]]&lt;=5,"1 to 5",IF(HR_Data[[#This Row],[DistanceFromHome]]&lt;=10,"6 to 10",IF(HR_Data[[#This Row],[DistanceFromHome]]&lt;=20,"11 to 20","21 to 29")))</f>
        <v>11 to 20</v>
      </c>
      <c r="AR747" s="1">
        <f>IF(HR_Data[[#This Row],[DistanceFromHome]]&lt;=5,1,IF(HR_Data[[#This Row],[DistanceFromHome]]&lt;=10,2,IF(HR_Data[[#This Row],[DistanceFromHome]]&lt;=20,3,4)))</f>
        <v>3</v>
      </c>
      <c r="AS747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747" s="1">
        <f>IF(HR_Data[[#This Row],[TotalWorkingYears]]&lt;=5,1,IF(HR_Data[[#This Row],[TotalWorkingYears]]&lt;=10,2,IF(HR_Data[[#This Row],[TotalWorkingYears]]&lt;=20,3,4)))</f>
        <v>3</v>
      </c>
    </row>
    <row r="748" spans="1:46" x14ac:dyDescent="0.25">
      <c r="A748">
        <v>41</v>
      </c>
      <c r="B748" t="s">
        <v>36</v>
      </c>
      <c r="C748" t="s">
        <v>48</v>
      </c>
      <c r="D748" t="s">
        <v>38</v>
      </c>
      <c r="E748">
        <v>7</v>
      </c>
      <c r="F748">
        <v>1</v>
      </c>
      <c r="G748" t="s">
        <v>32</v>
      </c>
      <c r="H748">
        <v>1035</v>
      </c>
      <c r="I748">
        <v>2</v>
      </c>
      <c r="J748" t="s">
        <v>33</v>
      </c>
      <c r="K748">
        <v>1</v>
      </c>
      <c r="L748">
        <v>5</v>
      </c>
      <c r="M748" t="s">
        <v>51</v>
      </c>
      <c r="N748">
        <v>3</v>
      </c>
      <c r="O748" t="s">
        <v>45</v>
      </c>
      <c r="P748">
        <v>19973</v>
      </c>
      <c r="Q748">
        <v>1</v>
      </c>
      <c r="R748" t="s">
        <v>36</v>
      </c>
      <c r="S748">
        <v>22</v>
      </c>
      <c r="T748">
        <v>4</v>
      </c>
      <c r="U748">
        <v>2</v>
      </c>
      <c r="V748">
        <v>2</v>
      </c>
      <c r="W748">
        <v>21</v>
      </c>
      <c r="X748">
        <v>3</v>
      </c>
      <c r="Y748">
        <v>3</v>
      </c>
      <c r="Z748">
        <v>21</v>
      </c>
      <c r="AA748">
        <v>16</v>
      </c>
      <c r="AB748">
        <v>5</v>
      </c>
      <c r="AC748">
        <v>10</v>
      </c>
      <c r="AD748">
        <f>IF(HR_Data[[#This Row],[Attrition]]="Yes",1,0)</f>
        <v>0</v>
      </c>
      <c r="AE748" t="str">
        <f>IF(HR_Data[[#This Row],[Age]]&lt;=25,"18-25",IF(HR_Data[[#This Row],[Age]]&lt;=35,"26-35",IF(HR_Data[[#This Row],[Age]]&lt;=45,"36-45",IF(HR_Data[[#This Row],[Age]]&lt;=55,"46-55","55+"))))</f>
        <v>36-45</v>
      </c>
      <c r="AF748">
        <f>IF(HR_Data[[#This Row],[Age]]&lt;=25,1,IF(HR_Data[[#This Row],[Age]]&lt;=35,2,IF(HR_Data[[#This Row],[Age]]&lt;=45,3,IF(HR_Data[[#This Row],[Age]]&lt;=55,4,5))))</f>
        <v>3</v>
      </c>
      <c r="AG748" s="1" t="str">
        <f>IF(HR_Data[[#This Row],[MonthlyIncome]]&lt;3000,"&lt;3K",IF(HR_Data[[#This Row],[MonthlyIncome]]&lt;6000,"3K-6K",IF(HR_Data[[#This Row],[MonthlyIncome]]&lt;10000,"6K-10K","10K+")))</f>
        <v>10K+</v>
      </c>
      <c r="AH748" s="1">
        <f>IF(HR_Data[[#This Row],[MonthlyIncome]]&lt;3000,1,IF(HR_Data[[#This Row],[MonthlyIncome]]&lt;6000,2,IF(HR_Data[[#This Row],[MonthlyIncome]]&lt;10000,3,4)))</f>
        <v>4</v>
      </c>
      <c r="AI748" s="1" t="str">
        <f>IF(HR_Data[[#This Row],[YearsAtCompany]]&lt;=2,"0-2 Yrs",IF(HR_Data[[#This Row],[YearsAtCompany]]&lt;=5,"3-5 Yrs",IF(HR_Data[[#This Row],[YearsAtCompany]]&lt;=10,"6-10 Yrs","10+ Yrs")))</f>
        <v>10+ Yrs</v>
      </c>
      <c r="AJ748" s="1">
        <f>IF(HR_Data[[#This Row],[YearsAtCompany]]&lt;=2,1,IF(HR_Data[[#This Row],[YearsAtCompany]]&lt;=5,2,IF(HR_Data[[#This Row],[YearsAtCompany]]&lt;=10,3,4)))</f>
        <v>4</v>
      </c>
      <c r="AK748" s="1" t="str">
        <f>CHOOSE(HR_Data[[#This Row],[Education]],"Below College","College","Bachelor","Master","Doctor")</f>
        <v>Below College</v>
      </c>
      <c r="AL748" s="1" t="str">
        <f>CHOOSE(HR_Data[[#This Row],[JobSatisfaction]],"Low","Medium","High","Very High")</f>
        <v>High</v>
      </c>
      <c r="AM748" s="1" t="str">
        <f>CHOOSE(HR_Data[[#This Row],[EnvironmentSatisfaction]],"Low","Medium","High","Very High")</f>
        <v>Medium</v>
      </c>
      <c r="AN748" s="1" t="str">
        <f>CHOOSE(HR_Data[[#This Row],[WorkLifeBalance]],"Bad","Good","Better","Best")</f>
        <v>Better</v>
      </c>
      <c r="AO748" s="1" t="str">
        <f>IF(HR_Data[[#This Row],[PercentSalaryHike]]&lt;=13,"11-13%",IF(HR_Data[[#This Row],[PercentSalaryHike]]&lt;=16,"14-16%",IF(HR_Data[[#This Row],[PercentSalaryHike]]&lt;=19,"17-19%","20-25%")))</f>
        <v>20-25%</v>
      </c>
      <c r="AP748" s="1">
        <f>IF(HR_Data[[#This Row],[PercentSalaryHike]]&lt;=13,1,IF(HR_Data[[#This Row],[PercentSalaryHike]]&lt;=16,2,IF(HR_Data[[#This Row],[PercentSalaryHike]]&lt;=19,3,4)))</f>
        <v>4</v>
      </c>
      <c r="AQ748" s="1" t="str">
        <f>IF(HR_Data[[#This Row],[DistanceFromHome]]&lt;=5,"1 to 5",IF(HR_Data[[#This Row],[DistanceFromHome]]&lt;=10,"6 to 10",IF(HR_Data[[#This Row],[DistanceFromHome]]&lt;=20,"11 to 20","21 to 29")))</f>
        <v>6 to 10</v>
      </c>
      <c r="AR748" s="1">
        <f>IF(HR_Data[[#This Row],[DistanceFromHome]]&lt;=5,1,IF(HR_Data[[#This Row],[DistanceFromHome]]&lt;=10,2,IF(HR_Data[[#This Row],[DistanceFromHome]]&lt;=20,3,4)))</f>
        <v>2</v>
      </c>
      <c r="AS748" s="1" t="str">
        <f>IF(HR_Data[[#This Row],[TotalWorkingYears]]&lt;=5,"0-5 Yrs",IF(HR_Data[[#This Row],[TotalWorkingYears]]&lt;=10,"6-10 Yrs",IF(HR_Data[[#This Row],[TotalWorkingYears]]&lt;=20,"11-20 Yrs","20+ Yrs")))</f>
        <v>20+ Yrs</v>
      </c>
      <c r="AT748" s="1">
        <f>IF(HR_Data[[#This Row],[TotalWorkingYears]]&lt;=5,1,IF(HR_Data[[#This Row],[TotalWorkingYears]]&lt;=10,2,IF(HR_Data[[#This Row],[TotalWorkingYears]]&lt;=20,3,4)))</f>
        <v>4</v>
      </c>
    </row>
    <row r="749" spans="1:46" x14ac:dyDescent="0.25">
      <c r="A749">
        <v>38</v>
      </c>
      <c r="B749" t="s">
        <v>36</v>
      </c>
      <c r="C749" t="s">
        <v>30</v>
      </c>
      <c r="D749" t="s">
        <v>31</v>
      </c>
      <c r="E749">
        <v>3</v>
      </c>
      <c r="F749">
        <v>4</v>
      </c>
      <c r="G749" t="s">
        <v>32</v>
      </c>
      <c r="H749">
        <v>1036</v>
      </c>
      <c r="I749">
        <v>2</v>
      </c>
      <c r="J749" t="s">
        <v>39</v>
      </c>
      <c r="K749">
        <v>3</v>
      </c>
      <c r="L749">
        <v>2</v>
      </c>
      <c r="M749" t="s">
        <v>34</v>
      </c>
      <c r="N749">
        <v>4</v>
      </c>
      <c r="O749" t="s">
        <v>35</v>
      </c>
      <c r="P749">
        <v>6861</v>
      </c>
      <c r="Q749">
        <v>8</v>
      </c>
      <c r="R749" t="s">
        <v>29</v>
      </c>
      <c r="S749">
        <v>12</v>
      </c>
      <c r="T749">
        <v>3</v>
      </c>
      <c r="U749">
        <v>3</v>
      </c>
      <c r="V749">
        <v>0</v>
      </c>
      <c r="W749">
        <v>19</v>
      </c>
      <c r="X749">
        <v>1</v>
      </c>
      <c r="Y749">
        <v>3</v>
      </c>
      <c r="Z749">
        <v>1</v>
      </c>
      <c r="AA749">
        <v>0</v>
      </c>
      <c r="AB749">
        <v>0</v>
      </c>
      <c r="AC749">
        <v>0</v>
      </c>
      <c r="AD749">
        <f>IF(HR_Data[[#This Row],[Attrition]]="Yes",1,0)</f>
        <v>0</v>
      </c>
      <c r="AE749" t="str">
        <f>IF(HR_Data[[#This Row],[Age]]&lt;=25,"18-25",IF(HR_Data[[#This Row],[Age]]&lt;=35,"26-35",IF(HR_Data[[#This Row],[Age]]&lt;=45,"36-45",IF(HR_Data[[#This Row],[Age]]&lt;=55,"46-55","55+"))))</f>
        <v>36-45</v>
      </c>
      <c r="AF749">
        <f>IF(HR_Data[[#This Row],[Age]]&lt;=25,1,IF(HR_Data[[#This Row],[Age]]&lt;=35,2,IF(HR_Data[[#This Row],[Age]]&lt;=45,3,IF(HR_Data[[#This Row],[Age]]&lt;=55,4,5))))</f>
        <v>3</v>
      </c>
      <c r="AG749" s="1" t="str">
        <f>IF(HR_Data[[#This Row],[MonthlyIncome]]&lt;3000,"&lt;3K",IF(HR_Data[[#This Row],[MonthlyIncome]]&lt;6000,"3K-6K",IF(HR_Data[[#This Row],[MonthlyIncome]]&lt;10000,"6K-10K","10K+")))</f>
        <v>6K-10K</v>
      </c>
      <c r="AH749" s="1">
        <f>IF(HR_Data[[#This Row],[MonthlyIncome]]&lt;3000,1,IF(HR_Data[[#This Row],[MonthlyIncome]]&lt;6000,2,IF(HR_Data[[#This Row],[MonthlyIncome]]&lt;10000,3,4)))</f>
        <v>3</v>
      </c>
      <c r="AI749" s="1" t="str">
        <f>IF(HR_Data[[#This Row],[YearsAtCompany]]&lt;=2,"0-2 Yrs",IF(HR_Data[[#This Row],[YearsAtCompany]]&lt;=5,"3-5 Yrs",IF(HR_Data[[#This Row],[YearsAtCompany]]&lt;=10,"6-10 Yrs","10+ Yrs")))</f>
        <v>0-2 Yrs</v>
      </c>
      <c r="AJ749" s="1">
        <f>IF(HR_Data[[#This Row],[YearsAtCompany]]&lt;=2,1,IF(HR_Data[[#This Row],[YearsAtCompany]]&lt;=5,2,IF(HR_Data[[#This Row],[YearsAtCompany]]&lt;=10,3,4)))</f>
        <v>1</v>
      </c>
      <c r="AK749" s="1" t="str">
        <f>CHOOSE(HR_Data[[#This Row],[Education]],"Below College","College","Bachelor","Master","Doctor")</f>
        <v>Master</v>
      </c>
      <c r="AL749" s="1" t="str">
        <f>CHOOSE(HR_Data[[#This Row],[JobSatisfaction]],"Low","Medium","High","Very High")</f>
        <v>Very High</v>
      </c>
      <c r="AM749" s="1" t="str">
        <f>CHOOSE(HR_Data[[#This Row],[EnvironmentSatisfaction]],"Low","Medium","High","Very High")</f>
        <v>Medium</v>
      </c>
      <c r="AN749" s="1" t="str">
        <f>CHOOSE(HR_Data[[#This Row],[WorkLifeBalance]],"Bad","Good","Better","Best")</f>
        <v>Better</v>
      </c>
      <c r="AO749" s="1" t="str">
        <f>IF(HR_Data[[#This Row],[PercentSalaryHike]]&lt;=13,"11-13%",IF(HR_Data[[#This Row],[PercentSalaryHike]]&lt;=16,"14-16%",IF(HR_Data[[#This Row],[PercentSalaryHike]]&lt;=19,"17-19%","20-25%")))</f>
        <v>11-13%</v>
      </c>
      <c r="AP749" s="1">
        <f>IF(HR_Data[[#This Row],[PercentSalaryHike]]&lt;=13,1,IF(HR_Data[[#This Row],[PercentSalaryHike]]&lt;=16,2,IF(HR_Data[[#This Row],[PercentSalaryHike]]&lt;=19,3,4)))</f>
        <v>1</v>
      </c>
      <c r="AQ749" s="1" t="str">
        <f>IF(HR_Data[[#This Row],[DistanceFromHome]]&lt;=5,"1 to 5",IF(HR_Data[[#This Row],[DistanceFromHome]]&lt;=10,"6 to 10",IF(HR_Data[[#This Row],[DistanceFromHome]]&lt;=20,"11 to 20","21 to 29")))</f>
        <v>1 to 5</v>
      </c>
      <c r="AR749" s="1">
        <f>IF(HR_Data[[#This Row],[DistanceFromHome]]&lt;=5,1,IF(HR_Data[[#This Row],[DistanceFromHome]]&lt;=10,2,IF(HR_Data[[#This Row],[DistanceFromHome]]&lt;=20,3,4)))</f>
        <v>1</v>
      </c>
      <c r="AS749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749" s="1">
        <f>IF(HR_Data[[#This Row],[TotalWorkingYears]]&lt;=5,1,IF(HR_Data[[#This Row],[TotalWorkingYears]]&lt;=10,2,IF(HR_Data[[#This Row],[TotalWorkingYears]]&lt;=20,3,4)))</f>
        <v>3</v>
      </c>
    </row>
    <row r="750" spans="1:46" x14ac:dyDescent="0.25">
      <c r="A750">
        <v>26</v>
      </c>
      <c r="B750" t="s">
        <v>29</v>
      </c>
      <c r="C750" t="s">
        <v>48</v>
      </c>
      <c r="D750" t="s">
        <v>31</v>
      </c>
      <c r="E750">
        <v>29</v>
      </c>
      <c r="F750">
        <v>2</v>
      </c>
      <c r="G750" t="s">
        <v>44</v>
      </c>
      <c r="H750">
        <v>1037</v>
      </c>
      <c r="I750">
        <v>2</v>
      </c>
      <c r="J750" t="s">
        <v>39</v>
      </c>
      <c r="K750">
        <v>1</v>
      </c>
      <c r="L750">
        <v>2</v>
      </c>
      <c r="M750" t="s">
        <v>34</v>
      </c>
      <c r="N750">
        <v>1</v>
      </c>
      <c r="O750" t="s">
        <v>35</v>
      </c>
      <c r="P750">
        <v>4969</v>
      </c>
      <c r="Q750">
        <v>8</v>
      </c>
      <c r="R750" t="s">
        <v>36</v>
      </c>
      <c r="S750">
        <v>18</v>
      </c>
      <c r="T750">
        <v>3</v>
      </c>
      <c r="U750">
        <v>4</v>
      </c>
      <c r="V750">
        <v>0</v>
      </c>
      <c r="W750">
        <v>7</v>
      </c>
      <c r="X750">
        <v>6</v>
      </c>
      <c r="Y750">
        <v>3</v>
      </c>
      <c r="Z750">
        <v>2</v>
      </c>
      <c r="AA750">
        <v>2</v>
      </c>
      <c r="AB750">
        <v>2</v>
      </c>
      <c r="AC750">
        <v>2</v>
      </c>
      <c r="AD750">
        <f>IF(HR_Data[[#This Row],[Attrition]]="Yes",1,0)</f>
        <v>1</v>
      </c>
      <c r="AE750" t="str">
        <f>IF(HR_Data[[#This Row],[Age]]&lt;=25,"18-25",IF(HR_Data[[#This Row],[Age]]&lt;=35,"26-35",IF(HR_Data[[#This Row],[Age]]&lt;=45,"36-45",IF(HR_Data[[#This Row],[Age]]&lt;=55,"46-55","55+"))))</f>
        <v>26-35</v>
      </c>
      <c r="AF750">
        <f>IF(HR_Data[[#This Row],[Age]]&lt;=25,1,IF(HR_Data[[#This Row],[Age]]&lt;=35,2,IF(HR_Data[[#This Row],[Age]]&lt;=45,3,IF(HR_Data[[#This Row],[Age]]&lt;=55,4,5))))</f>
        <v>2</v>
      </c>
      <c r="AG750" s="1" t="str">
        <f>IF(HR_Data[[#This Row],[MonthlyIncome]]&lt;3000,"&lt;3K",IF(HR_Data[[#This Row],[MonthlyIncome]]&lt;6000,"3K-6K",IF(HR_Data[[#This Row],[MonthlyIncome]]&lt;10000,"6K-10K","10K+")))</f>
        <v>3K-6K</v>
      </c>
      <c r="AH750" s="1">
        <f>IF(HR_Data[[#This Row],[MonthlyIncome]]&lt;3000,1,IF(HR_Data[[#This Row],[MonthlyIncome]]&lt;6000,2,IF(HR_Data[[#This Row],[MonthlyIncome]]&lt;10000,3,4)))</f>
        <v>2</v>
      </c>
      <c r="AI750" s="1" t="str">
        <f>IF(HR_Data[[#This Row],[YearsAtCompany]]&lt;=2,"0-2 Yrs",IF(HR_Data[[#This Row],[YearsAtCompany]]&lt;=5,"3-5 Yrs",IF(HR_Data[[#This Row],[YearsAtCompany]]&lt;=10,"6-10 Yrs","10+ Yrs")))</f>
        <v>0-2 Yrs</v>
      </c>
      <c r="AJ750" s="1">
        <f>IF(HR_Data[[#This Row],[YearsAtCompany]]&lt;=2,1,IF(HR_Data[[#This Row],[YearsAtCompany]]&lt;=5,2,IF(HR_Data[[#This Row],[YearsAtCompany]]&lt;=10,3,4)))</f>
        <v>1</v>
      </c>
      <c r="AK750" s="1" t="str">
        <f>CHOOSE(HR_Data[[#This Row],[Education]],"Below College","College","Bachelor","Master","Doctor")</f>
        <v>College</v>
      </c>
      <c r="AL750" s="1" t="str">
        <f>CHOOSE(HR_Data[[#This Row],[JobSatisfaction]],"Low","Medium","High","Very High")</f>
        <v>Low</v>
      </c>
      <c r="AM750" s="1" t="str">
        <f>CHOOSE(HR_Data[[#This Row],[EnvironmentSatisfaction]],"Low","Medium","High","Very High")</f>
        <v>Medium</v>
      </c>
      <c r="AN750" s="1" t="str">
        <f>CHOOSE(HR_Data[[#This Row],[WorkLifeBalance]],"Bad","Good","Better","Best")</f>
        <v>Better</v>
      </c>
      <c r="AO750" s="1" t="str">
        <f>IF(HR_Data[[#This Row],[PercentSalaryHike]]&lt;=13,"11-13%",IF(HR_Data[[#This Row],[PercentSalaryHike]]&lt;=16,"14-16%",IF(HR_Data[[#This Row],[PercentSalaryHike]]&lt;=19,"17-19%","20-25%")))</f>
        <v>17-19%</v>
      </c>
      <c r="AP750" s="1">
        <f>IF(HR_Data[[#This Row],[PercentSalaryHike]]&lt;=13,1,IF(HR_Data[[#This Row],[PercentSalaryHike]]&lt;=16,2,IF(HR_Data[[#This Row],[PercentSalaryHike]]&lt;=19,3,4)))</f>
        <v>3</v>
      </c>
      <c r="AQ750" s="1" t="str">
        <f>IF(HR_Data[[#This Row],[DistanceFromHome]]&lt;=5,"1 to 5",IF(HR_Data[[#This Row],[DistanceFromHome]]&lt;=10,"6 to 10",IF(HR_Data[[#This Row],[DistanceFromHome]]&lt;=20,"11 to 20","21 to 29")))</f>
        <v>21 to 29</v>
      </c>
      <c r="AR750" s="1">
        <f>IF(HR_Data[[#This Row],[DistanceFromHome]]&lt;=5,1,IF(HR_Data[[#This Row],[DistanceFromHome]]&lt;=10,2,IF(HR_Data[[#This Row],[DistanceFromHome]]&lt;=20,3,4)))</f>
        <v>4</v>
      </c>
      <c r="AS750" s="1" t="str">
        <f>IF(HR_Data[[#This Row],[TotalWorkingYears]]&lt;=5,"0-5 Yrs",IF(HR_Data[[#This Row],[TotalWorkingYears]]&lt;=10,"6-10 Yrs",IF(HR_Data[[#This Row],[TotalWorkingYears]]&lt;=20,"11-20 Yrs","20+ Yrs")))</f>
        <v>6-10 Yrs</v>
      </c>
      <c r="AT750" s="1">
        <f>IF(HR_Data[[#This Row],[TotalWorkingYears]]&lt;=5,1,IF(HR_Data[[#This Row],[TotalWorkingYears]]&lt;=10,2,IF(HR_Data[[#This Row],[TotalWorkingYears]]&lt;=20,3,4)))</f>
        <v>2</v>
      </c>
    </row>
    <row r="751" spans="1:46" x14ac:dyDescent="0.25">
      <c r="A751">
        <v>52</v>
      </c>
      <c r="B751" t="s">
        <v>29</v>
      </c>
      <c r="C751" t="s">
        <v>30</v>
      </c>
      <c r="D751" t="s">
        <v>31</v>
      </c>
      <c r="E751">
        <v>2</v>
      </c>
      <c r="F751">
        <v>1</v>
      </c>
      <c r="G751" t="s">
        <v>52</v>
      </c>
      <c r="H751">
        <v>1038</v>
      </c>
      <c r="I751">
        <v>1</v>
      </c>
      <c r="J751" t="s">
        <v>33</v>
      </c>
      <c r="K751">
        <v>1</v>
      </c>
      <c r="L751">
        <v>5</v>
      </c>
      <c r="M751" t="s">
        <v>49</v>
      </c>
      <c r="N751">
        <v>4</v>
      </c>
      <c r="O751" t="s">
        <v>41</v>
      </c>
      <c r="P751">
        <v>19845</v>
      </c>
      <c r="Q751">
        <v>1</v>
      </c>
      <c r="R751" t="s">
        <v>36</v>
      </c>
      <c r="S751">
        <v>15</v>
      </c>
      <c r="T751">
        <v>3</v>
      </c>
      <c r="U751">
        <v>4</v>
      </c>
      <c r="V751">
        <v>1</v>
      </c>
      <c r="W751">
        <v>33</v>
      </c>
      <c r="X751">
        <v>3</v>
      </c>
      <c r="Y751">
        <v>3</v>
      </c>
      <c r="Z751">
        <v>32</v>
      </c>
      <c r="AA751">
        <v>14</v>
      </c>
      <c r="AB751">
        <v>6</v>
      </c>
      <c r="AC751">
        <v>9</v>
      </c>
      <c r="AD751">
        <f>IF(HR_Data[[#This Row],[Attrition]]="Yes",1,0)</f>
        <v>1</v>
      </c>
      <c r="AE751" t="str">
        <f>IF(HR_Data[[#This Row],[Age]]&lt;=25,"18-25",IF(HR_Data[[#This Row],[Age]]&lt;=35,"26-35",IF(HR_Data[[#This Row],[Age]]&lt;=45,"36-45",IF(HR_Data[[#This Row],[Age]]&lt;=55,"46-55","55+"))))</f>
        <v>46-55</v>
      </c>
      <c r="AF751">
        <f>IF(HR_Data[[#This Row],[Age]]&lt;=25,1,IF(HR_Data[[#This Row],[Age]]&lt;=35,2,IF(HR_Data[[#This Row],[Age]]&lt;=45,3,IF(HR_Data[[#This Row],[Age]]&lt;=55,4,5))))</f>
        <v>4</v>
      </c>
      <c r="AG751" s="1" t="str">
        <f>IF(HR_Data[[#This Row],[MonthlyIncome]]&lt;3000,"&lt;3K",IF(HR_Data[[#This Row],[MonthlyIncome]]&lt;6000,"3K-6K",IF(HR_Data[[#This Row],[MonthlyIncome]]&lt;10000,"6K-10K","10K+")))</f>
        <v>10K+</v>
      </c>
      <c r="AH751" s="1">
        <f>IF(HR_Data[[#This Row],[MonthlyIncome]]&lt;3000,1,IF(HR_Data[[#This Row],[MonthlyIncome]]&lt;6000,2,IF(HR_Data[[#This Row],[MonthlyIncome]]&lt;10000,3,4)))</f>
        <v>4</v>
      </c>
      <c r="AI751" s="1" t="str">
        <f>IF(HR_Data[[#This Row],[YearsAtCompany]]&lt;=2,"0-2 Yrs",IF(HR_Data[[#This Row],[YearsAtCompany]]&lt;=5,"3-5 Yrs",IF(HR_Data[[#This Row],[YearsAtCompany]]&lt;=10,"6-10 Yrs","10+ Yrs")))</f>
        <v>10+ Yrs</v>
      </c>
      <c r="AJ751" s="1">
        <f>IF(HR_Data[[#This Row],[YearsAtCompany]]&lt;=2,1,IF(HR_Data[[#This Row],[YearsAtCompany]]&lt;=5,2,IF(HR_Data[[#This Row],[YearsAtCompany]]&lt;=10,3,4)))</f>
        <v>4</v>
      </c>
      <c r="AK751" s="1" t="str">
        <f>CHOOSE(HR_Data[[#This Row],[Education]],"Below College","College","Bachelor","Master","Doctor")</f>
        <v>Below College</v>
      </c>
      <c r="AL751" s="1" t="str">
        <f>CHOOSE(HR_Data[[#This Row],[JobSatisfaction]],"Low","Medium","High","Very High")</f>
        <v>Very High</v>
      </c>
      <c r="AM751" s="1" t="str">
        <f>CHOOSE(HR_Data[[#This Row],[EnvironmentSatisfaction]],"Low","Medium","High","Very High")</f>
        <v>Low</v>
      </c>
      <c r="AN751" s="1" t="str">
        <f>CHOOSE(HR_Data[[#This Row],[WorkLifeBalance]],"Bad","Good","Better","Best")</f>
        <v>Better</v>
      </c>
      <c r="AO751" s="1" t="str">
        <f>IF(HR_Data[[#This Row],[PercentSalaryHike]]&lt;=13,"11-13%",IF(HR_Data[[#This Row],[PercentSalaryHike]]&lt;=16,"14-16%",IF(HR_Data[[#This Row],[PercentSalaryHike]]&lt;=19,"17-19%","20-25%")))</f>
        <v>14-16%</v>
      </c>
      <c r="AP751" s="1">
        <f>IF(HR_Data[[#This Row],[PercentSalaryHike]]&lt;=13,1,IF(HR_Data[[#This Row],[PercentSalaryHike]]&lt;=16,2,IF(HR_Data[[#This Row],[PercentSalaryHike]]&lt;=19,3,4)))</f>
        <v>2</v>
      </c>
      <c r="AQ751" s="1" t="str">
        <f>IF(HR_Data[[#This Row],[DistanceFromHome]]&lt;=5,"1 to 5",IF(HR_Data[[#This Row],[DistanceFromHome]]&lt;=10,"6 to 10",IF(HR_Data[[#This Row],[DistanceFromHome]]&lt;=20,"11 to 20","21 to 29")))</f>
        <v>1 to 5</v>
      </c>
      <c r="AR751" s="1">
        <f>IF(HR_Data[[#This Row],[DistanceFromHome]]&lt;=5,1,IF(HR_Data[[#This Row],[DistanceFromHome]]&lt;=10,2,IF(HR_Data[[#This Row],[DistanceFromHome]]&lt;=20,3,4)))</f>
        <v>1</v>
      </c>
      <c r="AS751" s="1" t="str">
        <f>IF(HR_Data[[#This Row],[TotalWorkingYears]]&lt;=5,"0-5 Yrs",IF(HR_Data[[#This Row],[TotalWorkingYears]]&lt;=10,"6-10 Yrs",IF(HR_Data[[#This Row],[TotalWorkingYears]]&lt;=20,"11-20 Yrs","20+ Yrs")))</f>
        <v>20+ Yrs</v>
      </c>
      <c r="AT751" s="1">
        <f>IF(HR_Data[[#This Row],[TotalWorkingYears]]&lt;=5,1,IF(HR_Data[[#This Row],[TotalWorkingYears]]&lt;=10,2,IF(HR_Data[[#This Row],[TotalWorkingYears]]&lt;=20,3,4)))</f>
        <v>4</v>
      </c>
    </row>
    <row r="752" spans="1:46" x14ac:dyDescent="0.25">
      <c r="A752">
        <v>44</v>
      </c>
      <c r="B752" t="s">
        <v>36</v>
      </c>
      <c r="C752" t="s">
        <v>30</v>
      </c>
      <c r="D752" t="s">
        <v>31</v>
      </c>
      <c r="E752">
        <v>28</v>
      </c>
      <c r="F752">
        <v>3</v>
      </c>
      <c r="G752" t="s">
        <v>44</v>
      </c>
      <c r="H752">
        <v>1039</v>
      </c>
      <c r="I752">
        <v>4</v>
      </c>
      <c r="J752" t="s">
        <v>33</v>
      </c>
      <c r="K752">
        <v>4</v>
      </c>
      <c r="L752">
        <v>4</v>
      </c>
      <c r="M752" t="s">
        <v>34</v>
      </c>
      <c r="N752">
        <v>4</v>
      </c>
      <c r="O752" t="s">
        <v>41</v>
      </c>
      <c r="P752">
        <v>13320</v>
      </c>
      <c r="Q752">
        <v>3</v>
      </c>
      <c r="R752" t="s">
        <v>29</v>
      </c>
      <c r="S752">
        <v>18</v>
      </c>
      <c r="T752">
        <v>3</v>
      </c>
      <c r="U752">
        <v>3</v>
      </c>
      <c r="V752">
        <v>1</v>
      </c>
      <c r="W752">
        <v>23</v>
      </c>
      <c r="X752">
        <v>2</v>
      </c>
      <c r="Y752">
        <v>3</v>
      </c>
      <c r="Z752">
        <v>12</v>
      </c>
      <c r="AA752">
        <v>11</v>
      </c>
      <c r="AB752">
        <v>11</v>
      </c>
      <c r="AC752">
        <v>11</v>
      </c>
      <c r="AD752">
        <f>IF(HR_Data[[#This Row],[Attrition]]="Yes",1,0)</f>
        <v>0</v>
      </c>
      <c r="AE752" t="str">
        <f>IF(HR_Data[[#This Row],[Age]]&lt;=25,"18-25",IF(HR_Data[[#This Row],[Age]]&lt;=35,"26-35",IF(HR_Data[[#This Row],[Age]]&lt;=45,"36-45",IF(HR_Data[[#This Row],[Age]]&lt;=55,"46-55","55+"))))</f>
        <v>36-45</v>
      </c>
      <c r="AF752">
        <f>IF(HR_Data[[#This Row],[Age]]&lt;=25,1,IF(HR_Data[[#This Row],[Age]]&lt;=35,2,IF(HR_Data[[#This Row],[Age]]&lt;=45,3,IF(HR_Data[[#This Row],[Age]]&lt;=55,4,5))))</f>
        <v>3</v>
      </c>
      <c r="AG752" s="1" t="str">
        <f>IF(HR_Data[[#This Row],[MonthlyIncome]]&lt;3000,"&lt;3K",IF(HR_Data[[#This Row],[MonthlyIncome]]&lt;6000,"3K-6K",IF(HR_Data[[#This Row],[MonthlyIncome]]&lt;10000,"6K-10K","10K+")))</f>
        <v>10K+</v>
      </c>
      <c r="AH752" s="1">
        <f>IF(HR_Data[[#This Row],[MonthlyIncome]]&lt;3000,1,IF(HR_Data[[#This Row],[MonthlyIncome]]&lt;6000,2,IF(HR_Data[[#This Row],[MonthlyIncome]]&lt;10000,3,4)))</f>
        <v>4</v>
      </c>
      <c r="AI752" s="1" t="str">
        <f>IF(HR_Data[[#This Row],[YearsAtCompany]]&lt;=2,"0-2 Yrs",IF(HR_Data[[#This Row],[YearsAtCompany]]&lt;=5,"3-5 Yrs",IF(HR_Data[[#This Row],[YearsAtCompany]]&lt;=10,"6-10 Yrs","10+ Yrs")))</f>
        <v>10+ Yrs</v>
      </c>
      <c r="AJ752" s="1">
        <f>IF(HR_Data[[#This Row],[YearsAtCompany]]&lt;=2,1,IF(HR_Data[[#This Row],[YearsAtCompany]]&lt;=5,2,IF(HR_Data[[#This Row],[YearsAtCompany]]&lt;=10,3,4)))</f>
        <v>4</v>
      </c>
      <c r="AK752" s="1" t="str">
        <f>CHOOSE(HR_Data[[#This Row],[Education]],"Below College","College","Bachelor","Master","Doctor")</f>
        <v>Bachelor</v>
      </c>
      <c r="AL752" s="1" t="str">
        <f>CHOOSE(HR_Data[[#This Row],[JobSatisfaction]],"Low","Medium","High","Very High")</f>
        <v>Very High</v>
      </c>
      <c r="AM752" s="1" t="str">
        <f>CHOOSE(HR_Data[[#This Row],[EnvironmentSatisfaction]],"Low","Medium","High","Very High")</f>
        <v>Very High</v>
      </c>
      <c r="AN752" s="1" t="str">
        <f>CHOOSE(HR_Data[[#This Row],[WorkLifeBalance]],"Bad","Good","Better","Best")</f>
        <v>Better</v>
      </c>
      <c r="AO752" s="1" t="str">
        <f>IF(HR_Data[[#This Row],[PercentSalaryHike]]&lt;=13,"11-13%",IF(HR_Data[[#This Row],[PercentSalaryHike]]&lt;=16,"14-16%",IF(HR_Data[[#This Row],[PercentSalaryHike]]&lt;=19,"17-19%","20-25%")))</f>
        <v>17-19%</v>
      </c>
      <c r="AP752" s="1">
        <f>IF(HR_Data[[#This Row],[PercentSalaryHike]]&lt;=13,1,IF(HR_Data[[#This Row],[PercentSalaryHike]]&lt;=16,2,IF(HR_Data[[#This Row],[PercentSalaryHike]]&lt;=19,3,4)))</f>
        <v>3</v>
      </c>
      <c r="AQ752" s="1" t="str">
        <f>IF(HR_Data[[#This Row],[DistanceFromHome]]&lt;=5,"1 to 5",IF(HR_Data[[#This Row],[DistanceFromHome]]&lt;=10,"6 to 10",IF(HR_Data[[#This Row],[DistanceFromHome]]&lt;=20,"11 to 20","21 to 29")))</f>
        <v>21 to 29</v>
      </c>
      <c r="AR752" s="1">
        <f>IF(HR_Data[[#This Row],[DistanceFromHome]]&lt;=5,1,IF(HR_Data[[#This Row],[DistanceFromHome]]&lt;=10,2,IF(HR_Data[[#This Row],[DistanceFromHome]]&lt;=20,3,4)))</f>
        <v>4</v>
      </c>
      <c r="AS752" s="1" t="str">
        <f>IF(HR_Data[[#This Row],[TotalWorkingYears]]&lt;=5,"0-5 Yrs",IF(HR_Data[[#This Row],[TotalWorkingYears]]&lt;=10,"6-10 Yrs",IF(HR_Data[[#This Row],[TotalWorkingYears]]&lt;=20,"11-20 Yrs","20+ Yrs")))</f>
        <v>20+ Yrs</v>
      </c>
      <c r="AT752" s="1">
        <f>IF(HR_Data[[#This Row],[TotalWorkingYears]]&lt;=5,1,IF(HR_Data[[#This Row],[TotalWorkingYears]]&lt;=10,2,IF(HR_Data[[#This Row],[TotalWorkingYears]]&lt;=20,3,4)))</f>
        <v>4</v>
      </c>
    </row>
    <row r="753" spans="1:46" x14ac:dyDescent="0.25">
      <c r="A753">
        <v>50</v>
      </c>
      <c r="B753" t="s">
        <v>36</v>
      </c>
      <c r="C753" t="s">
        <v>48</v>
      </c>
      <c r="D753" t="s">
        <v>31</v>
      </c>
      <c r="E753">
        <v>1</v>
      </c>
      <c r="F753">
        <v>3</v>
      </c>
      <c r="G753" t="s">
        <v>32</v>
      </c>
      <c r="H753">
        <v>1040</v>
      </c>
      <c r="I753">
        <v>4</v>
      </c>
      <c r="J753" t="s">
        <v>33</v>
      </c>
      <c r="K753">
        <v>3</v>
      </c>
      <c r="L753">
        <v>2</v>
      </c>
      <c r="M753" t="s">
        <v>34</v>
      </c>
      <c r="N753">
        <v>3</v>
      </c>
      <c r="O753" t="s">
        <v>41</v>
      </c>
      <c r="P753">
        <v>6347</v>
      </c>
      <c r="Q753">
        <v>0</v>
      </c>
      <c r="R753" t="s">
        <v>36</v>
      </c>
      <c r="S753">
        <v>12</v>
      </c>
      <c r="T753">
        <v>3</v>
      </c>
      <c r="U753">
        <v>1</v>
      </c>
      <c r="V753">
        <v>1</v>
      </c>
      <c r="W753">
        <v>19</v>
      </c>
      <c r="X753">
        <v>3</v>
      </c>
      <c r="Y753">
        <v>3</v>
      </c>
      <c r="Z753">
        <v>18</v>
      </c>
      <c r="AA753">
        <v>7</v>
      </c>
      <c r="AB753">
        <v>0</v>
      </c>
      <c r="AC753">
        <v>13</v>
      </c>
      <c r="AD753">
        <f>IF(HR_Data[[#This Row],[Attrition]]="Yes",1,0)</f>
        <v>0</v>
      </c>
      <c r="AE753" t="str">
        <f>IF(HR_Data[[#This Row],[Age]]&lt;=25,"18-25",IF(HR_Data[[#This Row],[Age]]&lt;=35,"26-35",IF(HR_Data[[#This Row],[Age]]&lt;=45,"36-45",IF(HR_Data[[#This Row],[Age]]&lt;=55,"46-55","55+"))))</f>
        <v>46-55</v>
      </c>
      <c r="AF753">
        <f>IF(HR_Data[[#This Row],[Age]]&lt;=25,1,IF(HR_Data[[#This Row],[Age]]&lt;=35,2,IF(HR_Data[[#This Row],[Age]]&lt;=45,3,IF(HR_Data[[#This Row],[Age]]&lt;=55,4,5))))</f>
        <v>4</v>
      </c>
      <c r="AG753" s="1" t="str">
        <f>IF(HR_Data[[#This Row],[MonthlyIncome]]&lt;3000,"&lt;3K",IF(HR_Data[[#This Row],[MonthlyIncome]]&lt;6000,"3K-6K",IF(HR_Data[[#This Row],[MonthlyIncome]]&lt;10000,"6K-10K","10K+")))</f>
        <v>6K-10K</v>
      </c>
      <c r="AH753" s="1">
        <f>IF(HR_Data[[#This Row],[MonthlyIncome]]&lt;3000,1,IF(HR_Data[[#This Row],[MonthlyIncome]]&lt;6000,2,IF(HR_Data[[#This Row],[MonthlyIncome]]&lt;10000,3,4)))</f>
        <v>3</v>
      </c>
      <c r="AI753" s="1" t="str">
        <f>IF(HR_Data[[#This Row],[YearsAtCompany]]&lt;=2,"0-2 Yrs",IF(HR_Data[[#This Row],[YearsAtCompany]]&lt;=5,"3-5 Yrs",IF(HR_Data[[#This Row],[YearsAtCompany]]&lt;=10,"6-10 Yrs","10+ Yrs")))</f>
        <v>10+ Yrs</v>
      </c>
      <c r="AJ753" s="1">
        <f>IF(HR_Data[[#This Row],[YearsAtCompany]]&lt;=2,1,IF(HR_Data[[#This Row],[YearsAtCompany]]&lt;=5,2,IF(HR_Data[[#This Row],[YearsAtCompany]]&lt;=10,3,4)))</f>
        <v>4</v>
      </c>
      <c r="AK753" s="1" t="str">
        <f>CHOOSE(HR_Data[[#This Row],[Education]],"Below College","College","Bachelor","Master","Doctor")</f>
        <v>Bachelor</v>
      </c>
      <c r="AL753" s="1" t="str">
        <f>CHOOSE(HR_Data[[#This Row],[JobSatisfaction]],"Low","Medium","High","Very High")</f>
        <v>High</v>
      </c>
      <c r="AM753" s="1" t="str">
        <f>CHOOSE(HR_Data[[#This Row],[EnvironmentSatisfaction]],"Low","Medium","High","Very High")</f>
        <v>Very High</v>
      </c>
      <c r="AN753" s="1" t="str">
        <f>CHOOSE(HR_Data[[#This Row],[WorkLifeBalance]],"Bad","Good","Better","Best")</f>
        <v>Better</v>
      </c>
      <c r="AO753" s="1" t="str">
        <f>IF(HR_Data[[#This Row],[PercentSalaryHike]]&lt;=13,"11-13%",IF(HR_Data[[#This Row],[PercentSalaryHike]]&lt;=16,"14-16%",IF(HR_Data[[#This Row],[PercentSalaryHike]]&lt;=19,"17-19%","20-25%")))</f>
        <v>11-13%</v>
      </c>
      <c r="AP753" s="1">
        <f>IF(HR_Data[[#This Row],[PercentSalaryHike]]&lt;=13,1,IF(HR_Data[[#This Row],[PercentSalaryHike]]&lt;=16,2,IF(HR_Data[[#This Row],[PercentSalaryHike]]&lt;=19,3,4)))</f>
        <v>1</v>
      </c>
      <c r="AQ753" s="1" t="str">
        <f>IF(HR_Data[[#This Row],[DistanceFromHome]]&lt;=5,"1 to 5",IF(HR_Data[[#This Row],[DistanceFromHome]]&lt;=10,"6 to 10",IF(HR_Data[[#This Row],[DistanceFromHome]]&lt;=20,"11 to 20","21 to 29")))</f>
        <v>1 to 5</v>
      </c>
      <c r="AR753" s="1">
        <f>IF(HR_Data[[#This Row],[DistanceFromHome]]&lt;=5,1,IF(HR_Data[[#This Row],[DistanceFromHome]]&lt;=10,2,IF(HR_Data[[#This Row],[DistanceFromHome]]&lt;=20,3,4)))</f>
        <v>1</v>
      </c>
      <c r="AS753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753" s="1">
        <f>IF(HR_Data[[#This Row],[TotalWorkingYears]]&lt;=5,1,IF(HR_Data[[#This Row],[TotalWorkingYears]]&lt;=10,2,IF(HR_Data[[#This Row],[TotalWorkingYears]]&lt;=20,3,4)))</f>
        <v>3</v>
      </c>
    </row>
    <row r="754" spans="1:46" x14ac:dyDescent="0.25">
      <c r="A754">
        <v>36</v>
      </c>
      <c r="B754" t="s">
        <v>29</v>
      </c>
      <c r="C754" t="s">
        <v>30</v>
      </c>
      <c r="D754" t="s">
        <v>38</v>
      </c>
      <c r="E754">
        <v>16</v>
      </c>
      <c r="F754">
        <v>4</v>
      </c>
      <c r="G754" t="s">
        <v>32</v>
      </c>
      <c r="H754">
        <v>1042</v>
      </c>
      <c r="I754">
        <v>3</v>
      </c>
      <c r="J754" t="s">
        <v>33</v>
      </c>
      <c r="K754">
        <v>4</v>
      </c>
      <c r="L754">
        <v>1</v>
      </c>
      <c r="M754" t="s">
        <v>43</v>
      </c>
      <c r="N754">
        <v>1</v>
      </c>
      <c r="O754" t="s">
        <v>35</v>
      </c>
      <c r="P754">
        <v>2743</v>
      </c>
      <c r="Q754">
        <v>1</v>
      </c>
      <c r="R754" t="s">
        <v>36</v>
      </c>
      <c r="S754">
        <v>16</v>
      </c>
      <c r="T754">
        <v>3</v>
      </c>
      <c r="U754">
        <v>3</v>
      </c>
      <c r="V754">
        <v>0</v>
      </c>
      <c r="W754">
        <v>18</v>
      </c>
      <c r="X754">
        <v>1</v>
      </c>
      <c r="Y754">
        <v>3</v>
      </c>
      <c r="Z754">
        <v>17</v>
      </c>
      <c r="AA754">
        <v>13</v>
      </c>
      <c r="AB754">
        <v>15</v>
      </c>
      <c r="AC754">
        <v>14</v>
      </c>
      <c r="AD754">
        <f>IF(HR_Data[[#This Row],[Attrition]]="Yes",1,0)</f>
        <v>1</v>
      </c>
      <c r="AE754" t="str">
        <f>IF(HR_Data[[#This Row],[Age]]&lt;=25,"18-25",IF(HR_Data[[#This Row],[Age]]&lt;=35,"26-35",IF(HR_Data[[#This Row],[Age]]&lt;=45,"36-45",IF(HR_Data[[#This Row],[Age]]&lt;=55,"46-55","55+"))))</f>
        <v>36-45</v>
      </c>
      <c r="AF754">
        <f>IF(HR_Data[[#This Row],[Age]]&lt;=25,1,IF(HR_Data[[#This Row],[Age]]&lt;=35,2,IF(HR_Data[[#This Row],[Age]]&lt;=45,3,IF(HR_Data[[#This Row],[Age]]&lt;=55,4,5))))</f>
        <v>3</v>
      </c>
      <c r="AG754" s="1" t="str">
        <f>IF(HR_Data[[#This Row],[MonthlyIncome]]&lt;3000,"&lt;3K",IF(HR_Data[[#This Row],[MonthlyIncome]]&lt;6000,"3K-6K",IF(HR_Data[[#This Row],[MonthlyIncome]]&lt;10000,"6K-10K","10K+")))</f>
        <v>&lt;3K</v>
      </c>
      <c r="AH754" s="1">
        <f>IF(HR_Data[[#This Row],[MonthlyIncome]]&lt;3000,1,IF(HR_Data[[#This Row],[MonthlyIncome]]&lt;6000,2,IF(HR_Data[[#This Row],[MonthlyIncome]]&lt;10000,3,4)))</f>
        <v>1</v>
      </c>
      <c r="AI754" s="1" t="str">
        <f>IF(HR_Data[[#This Row],[YearsAtCompany]]&lt;=2,"0-2 Yrs",IF(HR_Data[[#This Row],[YearsAtCompany]]&lt;=5,"3-5 Yrs",IF(HR_Data[[#This Row],[YearsAtCompany]]&lt;=10,"6-10 Yrs","10+ Yrs")))</f>
        <v>10+ Yrs</v>
      </c>
      <c r="AJ754" s="1">
        <f>IF(HR_Data[[#This Row],[YearsAtCompany]]&lt;=2,1,IF(HR_Data[[#This Row],[YearsAtCompany]]&lt;=5,2,IF(HR_Data[[#This Row],[YearsAtCompany]]&lt;=10,3,4)))</f>
        <v>4</v>
      </c>
      <c r="AK754" s="1" t="str">
        <f>CHOOSE(HR_Data[[#This Row],[Education]],"Below College","College","Bachelor","Master","Doctor")</f>
        <v>Master</v>
      </c>
      <c r="AL754" s="1" t="str">
        <f>CHOOSE(HR_Data[[#This Row],[JobSatisfaction]],"Low","Medium","High","Very High")</f>
        <v>Low</v>
      </c>
      <c r="AM754" s="1" t="str">
        <f>CHOOSE(HR_Data[[#This Row],[EnvironmentSatisfaction]],"Low","Medium","High","Very High")</f>
        <v>High</v>
      </c>
      <c r="AN754" s="1" t="str">
        <f>CHOOSE(HR_Data[[#This Row],[WorkLifeBalance]],"Bad","Good","Better","Best")</f>
        <v>Better</v>
      </c>
      <c r="AO754" s="1" t="str">
        <f>IF(HR_Data[[#This Row],[PercentSalaryHike]]&lt;=13,"11-13%",IF(HR_Data[[#This Row],[PercentSalaryHike]]&lt;=16,"14-16%",IF(HR_Data[[#This Row],[PercentSalaryHike]]&lt;=19,"17-19%","20-25%")))</f>
        <v>14-16%</v>
      </c>
      <c r="AP754" s="1">
        <f>IF(HR_Data[[#This Row],[PercentSalaryHike]]&lt;=13,1,IF(HR_Data[[#This Row],[PercentSalaryHike]]&lt;=16,2,IF(HR_Data[[#This Row],[PercentSalaryHike]]&lt;=19,3,4)))</f>
        <v>2</v>
      </c>
      <c r="AQ754" s="1" t="str">
        <f>IF(HR_Data[[#This Row],[DistanceFromHome]]&lt;=5,"1 to 5",IF(HR_Data[[#This Row],[DistanceFromHome]]&lt;=10,"6 to 10",IF(HR_Data[[#This Row],[DistanceFromHome]]&lt;=20,"11 to 20","21 to 29")))</f>
        <v>11 to 20</v>
      </c>
      <c r="AR754" s="1">
        <f>IF(HR_Data[[#This Row],[DistanceFromHome]]&lt;=5,1,IF(HR_Data[[#This Row],[DistanceFromHome]]&lt;=10,2,IF(HR_Data[[#This Row],[DistanceFromHome]]&lt;=20,3,4)))</f>
        <v>3</v>
      </c>
      <c r="AS754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754" s="1">
        <f>IF(HR_Data[[#This Row],[TotalWorkingYears]]&lt;=5,1,IF(HR_Data[[#This Row],[TotalWorkingYears]]&lt;=10,2,IF(HR_Data[[#This Row],[TotalWorkingYears]]&lt;=20,3,4)))</f>
        <v>3</v>
      </c>
    </row>
    <row r="755" spans="1:46" x14ac:dyDescent="0.25">
      <c r="A755">
        <v>39</v>
      </c>
      <c r="B755" t="s">
        <v>36</v>
      </c>
      <c r="C755" t="s">
        <v>37</v>
      </c>
      <c r="D755" t="s">
        <v>38</v>
      </c>
      <c r="E755">
        <v>22</v>
      </c>
      <c r="F755">
        <v>3</v>
      </c>
      <c r="G755" t="s">
        <v>44</v>
      </c>
      <c r="H755">
        <v>1043</v>
      </c>
      <c r="I755">
        <v>4</v>
      </c>
      <c r="J755" t="s">
        <v>33</v>
      </c>
      <c r="K755">
        <v>3</v>
      </c>
      <c r="L755">
        <v>3</v>
      </c>
      <c r="M755" t="s">
        <v>46</v>
      </c>
      <c r="N755">
        <v>1</v>
      </c>
      <c r="O755" t="s">
        <v>35</v>
      </c>
      <c r="P755">
        <v>10880</v>
      </c>
      <c r="Q755">
        <v>1</v>
      </c>
      <c r="R755" t="s">
        <v>29</v>
      </c>
      <c r="S755">
        <v>13</v>
      </c>
      <c r="T755">
        <v>3</v>
      </c>
      <c r="U755">
        <v>3</v>
      </c>
      <c r="V755">
        <v>0</v>
      </c>
      <c r="W755">
        <v>21</v>
      </c>
      <c r="X755">
        <v>2</v>
      </c>
      <c r="Y755">
        <v>3</v>
      </c>
      <c r="Z755">
        <v>21</v>
      </c>
      <c r="AA755">
        <v>6</v>
      </c>
      <c r="AB755">
        <v>2</v>
      </c>
      <c r="AC755">
        <v>8</v>
      </c>
      <c r="AD755">
        <f>IF(HR_Data[[#This Row],[Attrition]]="Yes",1,0)</f>
        <v>0</v>
      </c>
      <c r="AE755" t="str">
        <f>IF(HR_Data[[#This Row],[Age]]&lt;=25,"18-25",IF(HR_Data[[#This Row],[Age]]&lt;=35,"26-35",IF(HR_Data[[#This Row],[Age]]&lt;=45,"36-45",IF(HR_Data[[#This Row],[Age]]&lt;=55,"46-55","55+"))))</f>
        <v>36-45</v>
      </c>
      <c r="AF755">
        <f>IF(HR_Data[[#This Row],[Age]]&lt;=25,1,IF(HR_Data[[#This Row],[Age]]&lt;=35,2,IF(HR_Data[[#This Row],[Age]]&lt;=45,3,IF(HR_Data[[#This Row],[Age]]&lt;=55,4,5))))</f>
        <v>3</v>
      </c>
      <c r="AG755" s="1" t="str">
        <f>IF(HR_Data[[#This Row],[MonthlyIncome]]&lt;3000,"&lt;3K",IF(HR_Data[[#This Row],[MonthlyIncome]]&lt;6000,"3K-6K",IF(HR_Data[[#This Row],[MonthlyIncome]]&lt;10000,"6K-10K","10K+")))</f>
        <v>10K+</v>
      </c>
      <c r="AH755" s="1">
        <f>IF(HR_Data[[#This Row],[MonthlyIncome]]&lt;3000,1,IF(HR_Data[[#This Row],[MonthlyIncome]]&lt;6000,2,IF(HR_Data[[#This Row],[MonthlyIncome]]&lt;10000,3,4)))</f>
        <v>4</v>
      </c>
      <c r="AI755" s="1" t="str">
        <f>IF(HR_Data[[#This Row],[YearsAtCompany]]&lt;=2,"0-2 Yrs",IF(HR_Data[[#This Row],[YearsAtCompany]]&lt;=5,"3-5 Yrs",IF(HR_Data[[#This Row],[YearsAtCompany]]&lt;=10,"6-10 Yrs","10+ Yrs")))</f>
        <v>10+ Yrs</v>
      </c>
      <c r="AJ755" s="1">
        <f>IF(HR_Data[[#This Row],[YearsAtCompany]]&lt;=2,1,IF(HR_Data[[#This Row],[YearsAtCompany]]&lt;=5,2,IF(HR_Data[[#This Row],[YearsAtCompany]]&lt;=10,3,4)))</f>
        <v>4</v>
      </c>
      <c r="AK755" s="1" t="str">
        <f>CHOOSE(HR_Data[[#This Row],[Education]],"Below College","College","Bachelor","Master","Doctor")</f>
        <v>Bachelor</v>
      </c>
      <c r="AL755" s="1" t="str">
        <f>CHOOSE(HR_Data[[#This Row],[JobSatisfaction]],"Low","Medium","High","Very High")</f>
        <v>Low</v>
      </c>
      <c r="AM755" s="1" t="str">
        <f>CHOOSE(HR_Data[[#This Row],[EnvironmentSatisfaction]],"Low","Medium","High","Very High")</f>
        <v>Very High</v>
      </c>
      <c r="AN755" s="1" t="str">
        <f>CHOOSE(HR_Data[[#This Row],[WorkLifeBalance]],"Bad","Good","Better","Best")</f>
        <v>Better</v>
      </c>
      <c r="AO755" s="1" t="str">
        <f>IF(HR_Data[[#This Row],[PercentSalaryHike]]&lt;=13,"11-13%",IF(HR_Data[[#This Row],[PercentSalaryHike]]&lt;=16,"14-16%",IF(HR_Data[[#This Row],[PercentSalaryHike]]&lt;=19,"17-19%","20-25%")))</f>
        <v>11-13%</v>
      </c>
      <c r="AP755" s="1">
        <f>IF(HR_Data[[#This Row],[PercentSalaryHike]]&lt;=13,1,IF(HR_Data[[#This Row],[PercentSalaryHike]]&lt;=16,2,IF(HR_Data[[#This Row],[PercentSalaryHike]]&lt;=19,3,4)))</f>
        <v>1</v>
      </c>
      <c r="AQ755" s="1" t="str">
        <f>IF(HR_Data[[#This Row],[DistanceFromHome]]&lt;=5,"1 to 5",IF(HR_Data[[#This Row],[DistanceFromHome]]&lt;=10,"6 to 10",IF(HR_Data[[#This Row],[DistanceFromHome]]&lt;=20,"11 to 20","21 to 29")))</f>
        <v>21 to 29</v>
      </c>
      <c r="AR755" s="1">
        <f>IF(HR_Data[[#This Row],[DistanceFromHome]]&lt;=5,1,IF(HR_Data[[#This Row],[DistanceFromHome]]&lt;=10,2,IF(HR_Data[[#This Row],[DistanceFromHome]]&lt;=20,3,4)))</f>
        <v>4</v>
      </c>
      <c r="AS755" s="1" t="str">
        <f>IF(HR_Data[[#This Row],[TotalWorkingYears]]&lt;=5,"0-5 Yrs",IF(HR_Data[[#This Row],[TotalWorkingYears]]&lt;=10,"6-10 Yrs",IF(HR_Data[[#This Row],[TotalWorkingYears]]&lt;=20,"11-20 Yrs","20+ Yrs")))</f>
        <v>20+ Yrs</v>
      </c>
      <c r="AT755" s="1">
        <f>IF(HR_Data[[#This Row],[TotalWorkingYears]]&lt;=5,1,IF(HR_Data[[#This Row],[TotalWorkingYears]]&lt;=10,2,IF(HR_Data[[#This Row],[TotalWorkingYears]]&lt;=20,3,4)))</f>
        <v>4</v>
      </c>
    </row>
    <row r="756" spans="1:46" x14ac:dyDescent="0.25">
      <c r="A756">
        <v>33</v>
      </c>
      <c r="B756" t="s">
        <v>36</v>
      </c>
      <c r="C756" t="s">
        <v>48</v>
      </c>
      <c r="D756" t="s">
        <v>31</v>
      </c>
      <c r="E756">
        <v>8</v>
      </c>
      <c r="F756">
        <v>1</v>
      </c>
      <c r="G756" t="s">
        <v>32</v>
      </c>
      <c r="H756">
        <v>1044</v>
      </c>
      <c r="I756">
        <v>2</v>
      </c>
      <c r="J756" t="s">
        <v>33</v>
      </c>
      <c r="K756">
        <v>2</v>
      </c>
      <c r="L756">
        <v>1</v>
      </c>
      <c r="M756" t="s">
        <v>50</v>
      </c>
      <c r="N756">
        <v>4</v>
      </c>
      <c r="O756" t="s">
        <v>35</v>
      </c>
      <c r="P756">
        <v>2342</v>
      </c>
      <c r="Q756">
        <v>0</v>
      </c>
      <c r="R756" t="s">
        <v>36</v>
      </c>
      <c r="S756">
        <v>19</v>
      </c>
      <c r="T756">
        <v>3</v>
      </c>
      <c r="U756">
        <v>4</v>
      </c>
      <c r="V756">
        <v>0</v>
      </c>
      <c r="W756">
        <v>3</v>
      </c>
      <c r="X756">
        <v>2</v>
      </c>
      <c r="Y756">
        <v>2</v>
      </c>
      <c r="Z756">
        <v>2</v>
      </c>
      <c r="AA756">
        <v>2</v>
      </c>
      <c r="AB756">
        <v>2</v>
      </c>
      <c r="AC756">
        <v>2</v>
      </c>
      <c r="AD756">
        <f>IF(HR_Data[[#This Row],[Attrition]]="Yes",1,0)</f>
        <v>0</v>
      </c>
      <c r="AE756" t="str">
        <f>IF(HR_Data[[#This Row],[Age]]&lt;=25,"18-25",IF(HR_Data[[#This Row],[Age]]&lt;=35,"26-35",IF(HR_Data[[#This Row],[Age]]&lt;=45,"36-45",IF(HR_Data[[#This Row],[Age]]&lt;=55,"46-55","55+"))))</f>
        <v>26-35</v>
      </c>
      <c r="AF756">
        <f>IF(HR_Data[[#This Row],[Age]]&lt;=25,1,IF(HR_Data[[#This Row],[Age]]&lt;=35,2,IF(HR_Data[[#This Row],[Age]]&lt;=45,3,IF(HR_Data[[#This Row],[Age]]&lt;=55,4,5))))</f>
        <v>2</v>
      </c>
      <c r="AG756" s="1" t="str">
        <f>IF(HR_Data[[#This Row],[MonthlyIncome]]&lt;3000,"&lt;3K",IF(HR_Data[[#This Row],[MonthlyIncome]]&lt;6000,"3K-6K",IF(HR_Data[[#This Row],[MonthlyIncome]]&lt;10000,"6K-10K","10K+")))</f>
        <v>&lt;3K</v>
      </c>
      <c r="AH756" s="1">
        <f>IF(HR_Data[[#This Row],[MonthlyIncome]]&lt;3000,1,IF(HR_Data[[#This Row],[MonthlyIncome]]&lt;6000,2,IF(HR_Data[[#This Row],[MonthlyIncome]]&lt;10000,3,4)))</f>
        <v>1</v>
      </c>
      <c r="AI756" s="1" t="str">
        <f>IF(HR_Data[[#This Row],[YearsAtCompany]]&lt;=2,"0-2 Yrs",IF(HR_Data[[#This Row],[YearsAtCompany]]&lt;=5,"3-5 Yrs",IF(HR_Data[[#This Row],[YearsAtCompany]]&lt;=10,"6-10 Yrs","10+ Yrs")))</f>
        <v>0-2 Yrs</v>
      </c>
      <c r="AJ756" s="1">
        <f>IF(HR_Data[[#This Row],[YearsAtCompany]]&lt;=2,1,IF(HR_Data[[#This Row],[YearsAtCompany]]&lt;=5,2,IF(HR_Data[[#This Row],[YearsAtCompany]]&lt;=10,3,4)))</f>
        <v>1</v>
      </c>
      <c r="AK756" s="1" t="str">
        <f>CHOOSE(HR_Data[[#This Row],[Education]],"Below College","College","Bachelor","Master","Doctor")</f>
        <v>Below College</v>
      </c>
      <c r="AL756" s="1" t="str">
        <f>CHOOSE(HR_Data[[#This Row],[JobSatisfaction]],"Low","Medium","High","Very High")</f>
        <v>Very High</v>
      </c>
      <c r="AM756" s="1" t="str">
        <f>CHOOSE(HR_Data[[#This Row],[EnvironmentSatisfaction]],"Low","Medium","High","Very High")</f>
        <v>Medium</v>
      </c>
      <c r="AN756" s="1" t="str">
        <f>CHOOSE(HR_Data[[#This Row],[WorkLifeBalance]],"Bad","Good","Better","Best")</f>
        <v>Good</v>
      </c>
      <c r="AO756" s="1" t="str">
        <f>IF(HR_Data[[#This Row],[PercentSalaryHike]]&lt;=13,"11-13%",IF(HR_Data[[#This Row],[PercentSalaryHike]]&lt;=16,"14-16%",IF(HR_Data[[#This Row],[PercentSalaryHike]]&lt;=19,"17-19%","20-25%")))</f>
        <v>17-19%</v>
      </c>
      <c r="AP756" s="1">
        <f>IF(HR_Data[[#This Row],[PercentSalaryHike]]&lt;=13,1,IF(HR_Data[[#This Row],[PercentSalaryHike]]&lt;=16,2,IF(HR_Data[[#This Row],[PercentSalaryHike]]&lt;=19,3,4)))</f>
        <v>3</v>
      </c>
      <c r="AQ756" s="1" t="str">
        <f>IF(HR_Data[[#This Row],[DistanceFromHome]]&lt;=5,"1 to 5",IF(HR_Data[[#This Row],[DistanceFromHome]]&lt;=10,"6 to 10",IF(HR_Data[[#This Row],[DistanceFromHome]]&lt;=20,"11 to 20","21 to 29")))</f>
        <v>6 to 10</v>
      </c>
      <c r="AR756" s="1">
        <f>IF(HR_Data[[#This Row],[DistanceFromHome]]&lt;=5,1,IF(HR_Data[[#This Row],[DistanceFromHome]]&lt;=10,2,IF(HR_Data[[#This Row],[DistanceFromHome]]&lt;=20,3,4)))</f>
        <v>2</v>
      </c>
      <c r="AS756" s="1" t="str">
        <f>IF(HR_Data[[#This Row],[TotalWorkingYears]]&lt;=5,"0-5 Yrs",IF(HR_Data[[#This Row],[TotalWorkingYears]]&lt;=10,"6-10 Yrs",IF(HR_Data[[#This Row],[TotalWorkingYears]]&lt;=20,"11-20 Yrs","20+ Yrs")))</f>
        <v>0-5 Yrs</v>
      </c>
      <c r="AT756" s="1">
        <f>IF(HR_Data[[#This Row],[TotalWorkingYears]]&lt;=5,1,IF(HR_Data[[#This Row],[TotalWorkingYears]]&lt;=10,2,IF(HR_Data[[#This Row],[TotalWorkingYears]]&lt;=20,3,4)))</f>
        <v>1</v>
      </c>
    </row>
    <row r="757" spans="1:46" x14ac:dyDescent="0.25">
      <c r="A757">
        <v>45</v>
      </c>
      <c r="B757" t="s">
        <v>36</v>
      </c>
      <c r="C757" t="s">
        <v>30</v>
      </c>
      <c r="D757" t="s">
        <v>31</v>
      </c>
      <c r="E757">
        <v>11</v>
      </c>
      <c r="F757">
        <v>2</v>
      </c>
      <c r="G757" t="s">
        <v>32</v>
      </c>
      <c r="H757">
        <v>1045</v>
      </c>
      <c r="I757">
        <v>4</v>
      </c>
      <c r="J757" t="s">
        <v>33</v>
      </c>
      <c r="K757">
        <v>3</v>
      </c>
      <c r="L757">
        <v>4</v>
      </c>
      <c r="M757" t="s">
        <v>49</v>
      </c>
      <c r="N757">
        <v>4</v>
      </c>
      <c r="O757" t="s">
        <v>41</v>
      </c>
      <c r="P757">
        <v>17650</v>
      </c>
      <c r="Q757">
        <v>3</v>
      </c>
      <c r="R757" t="s">
        <v>36</v>
      </c>
      <c r="S757">
        <v>13</v>
      </c>
      <c r="T757">
        <v>3</v>
      </c>
      <c r="U757">
        <v>2</v>
      </c>
      <c r="V757">
        <v>1</v>
      </c>
      <c r="W757">
        <v>26</v>
      </c>
      <c r="X757">
        <v>4</v>
      </c>
      <c r="Y757">
        <v>4</v>
      </c>
      <c r="Z757">
        <v>9</v>
      </c>
      <c r="AA757">
        <v>3</v>
      </c>
      <c r="AB757">
        <v>1</v>
      </c>
      <c r="AC757">
        <v>1</v>
      </c>
      <c r="AD757">
        <f>IF(HR_Data[[#This Row],[Attrition]]="Yes",1,0)</f>
        <v>0</v>
      </c>
      <c r="AE757" t="str">
        <f>IF(HR_Data[[#This Row],[Age]]&lt;=25,"18-25",IF(HR_Data[[#This Row],[Age]]&lt;=35,"26-35",IF(HR_Data[[#This Row],[Age]]&lt;=45,"36-45",IF(HR_Data[[#This Row],[Age]]&lt;=55,"46-55","55+"))))</f>
        <v>36-45</v>
      </c>
      <c r="AF757">
        <f>IF(HR_Data[[#This Row],[Age]]&lt;=25,1,IF(HR_Data[[#This Row],[Age]]&lt;=35,2,IF(HR_Data[[#This Row],[Age]]&lt;=45,3,IF(HR_Data[[#This Row],[Age]]&lt;=55,4,5))))</f>
        <v>3</v>
      </c>
      <c r="AG757" s="1" t="str">
        <f>IF(HR_Data[[#This Row],[MonthlyIncome]]&lt;3000,"&lt;3K",IF(HR_Data[[#This Row],[MonthlyIncome]]&lt;6000,"3K-6K",IF(HR_Data[[#This Row],[MonthlyIncome]]&lt;10000,"6K-10K","10K+")))</f>
        <v>10K+</v>
      </c>
      <c r="AH757" s="1">
        <f>IF(HR_Data[[#This Row],[MonthlyIncome]]&lt;3000,1,IF(HR_Data[[#This Row],[MonthlyIncome]]&lt;6000,2,IF(HR_Data[[#This Row],[MonthlyIncome]]&lt;10000,3,4)))</f>
        <v>4</v>
      </c>
      <c r="AI757" s="1" t="str">
        <f>IF(HR_Data[[#This Row],[YearsAtCompany]]&lt;=2,"0-2 Yrs",IF(HR_Data[[#This Row],[YearsAtCompany]]&lt;=5,"3-5 Yrs",IF(HR_Data[[#This Row],[YearsAtCompany]]&lt;=10,"6-10 Yrs","10+ Yrs")))</f>
        <v>6-10 Yrs</v>
      </c>
      <c r="AJ757" s="1">
        <f>IF(HR_Data[[#This Row],[YearsAtCompany]]&lt;=2,1,IF(HR_Data[[#This Row],[YearsAtCompany]]&lt;=5,2,IF(HR_Data[[#This Row],[YearsAtCompany]]&lt;=10,3,4)))</f>
        <v>3</v>
      </c>
      <c r="AK757" s="1" t="str">
        <f>CHOOSE(HR_Data[[#This Row],[Education]],"Below College","College","Bachelor","Master","Doctor")</f>
        <v>College</v>
      </c>
      <c r="AL757" s="1" t="str">
        <f>CHOOSE(HR_Data[[#This Row],[JobSatisfaction]],"Low","Medium","High","Very High")</f>
        <v>Very High</v>
      </c>
      <c r="AM757" s="1" t="str">
        <f>CHOOSE(HR_Data[[#This Row],[EnvironmentSatisfaction]],"Low","Medium","High","Very High")</f>
        <v>Very High</v>
      </c>
      <c r="AN757" s="1" t="str">
        <f>CHOOSE(HR_Data[[#This Row],[WorkLifeBalance]],"Bad","Good","Better","Best")</f>
        <v>Best</v>
      </c>
      <c r="AO757" s="1" t="str">
        <f>IF(HR_Data[[#This Row],[PercentSalaryHike]]&lt;=13,"11-13%",IF(HR_Data[[#This Row],[PercentSalaryHike]]&lt;=16,"14-16%",IF(HR_Data[[#This Row],[PercentSalaryHike]]&lt;=19,"17-19%","20-25%")))</f>
        <v>11-13%</v>
      </c>
      <c r="AP757" s="1">
        <f>IF(HR_Data[[#This Row],[PercentSalaryHike]]&lt;=13,1,IF(HR_Data[[#This Row],[PercentSalaryHike]]&lt;=16,2,IF(HR_Data[[#This Row],[PercentSalaryHike]]&lt;=19,3,4)))</f>
        <v>1</v>
      </c>
      <c r="AQ757" s="1" t="str">
        <f>IF(HR_Data[[#This Row],[DistanceFromHome]]&lt;=5,"1 to 5",IF(HR_Data[[#This Row],[DistanceFromHome]]&lt;=10,"6 to 10",IF(HR_Data[[#This Row],[DistanceFromHome]]&lt;=20,"11 to 20","21 to 29")))</f>
        <v>11 to 20</v>
      </c>
      <c r="AR757" s="1">
        <f>IF(HR_Data[[#This Row],[DistanceFromHome]]&lt;=5,1,IF(HR_Data[[#This Row],[DistanceFromHome]]&lt;=10,2,IF(HR_Data[[#This Row],[DistanceFromHome]]&lt;=20,3,4)))</f>
        <v>3</v>
      </c>
      <c r="AS757" s="1" t="str">
        <f>IF(HR_Data[[#This Row],[TotalWorkingYears]]&lt;=5,"0-5 Yrs",IF(HR_Data[[#This Row],[TotalWorkingYears]]&lt;=10,"6-10 Yrs",IF(HR_Data[[#This Row],[TotalWorkingYears]]&lt;=20,"11-20 Yrs","20+ Yrs")))</f>
        <v>20+ Yrs</v>
      </c>
      <c r="AT757" s="1">
        <f>IF(HR_Data[[#This Row],[TotalWorkingYears]]&lt;=5,1,IF(HR_Data[[#This Row],[TotalWorkingYears]]&lt;=10,2,IF(HR_Data[[#This Row],[TotalWorkingYears]]&lt;=20,3,4)))</f>
        <v>4</v>
      </c>
    </row>
    <row r="758" spans="1:46" x14ac:dyDescent="0.25">
      <c r="A758">
        <v>32</v>
      </c>
      <c r="B758" t="s">
        <v>36</v>
      </c>
      <c r="C758" t="s">
        <v>48</v>
      </c>
      <c r="D758" t="s">
        <v>38</v>
      </c>
      <c r="E758">
        <v>29</v>
      </c>
      <c r="F758">
        <v>4</v>
      </c>
      <c r="G758" t="s">
        <v>44</v>
      </c>
      <c r="H758">
        <v>1046</v>
      </c>
      <c r="I758">
        <v>4</v>
      </c>
      <c r="J758" t="s">
        <v>33</v>
      </c>
      <c r="K758">
        <v>3</v>
      </c>
      <c r="L758">
        <v>1</v>
      </c>
      <c r="M758" t="s">
        <v>43</v>
      </c>
      <c r="N758">
        <v>3</v>
      </c>
      <c r="O758" t="s">
        <v>35</v>
      </c>
      <c r="P758">
        <v>4025</v>
      </c>
      <c r="Q758">
        <v>9</v>
      </c>
      <c r="R758" t="s">
        <v>36</v>
      </c>
      <c r="S758">
        <v>12</v>
      </c>
      <c r="T758">
        <v>3</v>
      </c>
      <c r="U758">
        <v>2</v>
      </c>
      <c r="V758">
        <v>0</v>
      </c>
      <c r="W758">
        <v>10</v>
      </c>
      <c r="X758">
        <v>2</v>
      </c>
      <c r="Y758">
        <v>3</v>
      </c>
      <c r="Z758">
        <v>8</v>
      </c>
      <c r="AA758">
        <v>7</v>
      </c>
      <c r="AB758">
        <v>7</v>
      </c>
      <c r="AC758">
        <v>7</v>
      </c>
      <c r="AD758">
        <f>IF(HR_Data[[#This Row],[Attrition]]="Yes",1,0)</f>
        <v>0</v>
      </c>
      <c r="AE758" t="str">
        <f>IF(HR_Data[[#This Row],[Age]]&lt;=25,"18-25",IF(HR_Data[[#This Row],[Age]]&lt;=35,"26-35",IF(HR_Data[[#This Row],[Age]]&lt;=45,"36-45",IF(HR_Data[[#This Row],[Age]]&lt;=55,"46-55","55+"))))</f>
        <v>26-35</v>
      </c>
      <c r="AF758">
        <f>IF(HR_Data[[#This Row],[Age]]&lt;=25,1,IF(HR_Data[[#This Row],[Age]]&lt;=35,2,IF(HR_Data[[#This Row],[Age]]&lt;=45,3,IF(HR_Data[[#This Row],[Age]]&lt;=55,4,5))))</f>
        <v>2</v>
      </c>
      <c r="AG758" s="1" t="str">
        <f>IF(HR_Data[[#This Row],[MonthlyIncome]]&lt;3000,"&lt;3K",IF(HR_Data[[#This Row],[MonthlyIncome]]&lt;6000,"3K-6K",IF(HR_Data[[#This Row],[MonthlyIncome]]&lt;10000,"6K-10K","10K+")))</f>
        <v>3K-6K</v>
      </c>
      <c r="AH758" s="1">
        <f>IF(HR_Data[[#This Row],[MonthlyIncome]]&lt;3000,1,IF(HR_Data[[#This Row],[MonthlyIncome]]&lt;6000,2,IF(HR_Data[[#This Row],[MonthlyIncome]]&lt;10000,3,4)))</f>
        <v>2</v>
      </c>
      <c r="AI758" s="1" t="str">
        <f>IF(HR_Data[[#This Row],[YearsAtCompany]]&lt;=2,"0-2 Yrs",IF(HR_Data[[#This Row],[YearsAtCompany]]&lt;=5,"3-5 Yrs",IF(HR_Data[[#This Row],[YearsAtCompany]]&lt;=10,"6-10 Yrs","10+ Yrs")))</f>
        <v>6-10 Yrs</v>
      </c>
      <c r="AJ758" s="1">
        <f>IF(HR_Data[[#This Row],[YearsAtCompany]]&lt;=2,1,IF(HR_Data[[#This Row],[YearsAtCompany]]&lt;=5,2,IF(HR_Data[[#This Row],[YearsAtCompany]]&lt;=10,3,4)))</f>
        <v>3</v>
      </c>
      <c r="AK758" s="1" t="str">
        <f>CHOOSE(HR_Data[[#This Row],[Education]],"Below College","College","Bachelor","Master","Doctor")</f>
        <v>Master</v>
      </c>
      <c r="AL758" s="1" t="str">
        <f>CHOOSE(HR_Data[[#This Row],[JobSatisfaction]],"Low","Medium","High","Very High")</f>
        <v>High</v>
      </c>
      <c r="AM758" s="1" t="str">
        <f>CHOOSE(HR_Data[[#This Row],[EnvironmentSatisfaction]],"Low","Medium","High","Very High")</f>
        <v>Very High</v>
      </c>
      <c r="AN758" s="1" t="str">
        <f>CHOOSE(HR_Data[[#This Row],[WorkLifeBalance]],"Bad","Good","Better","Best")</f>
        <v>Better</v>
      </c>
      <c r="AO758" s="1" t="str">
        <f>IF(HR_Data[[#This Row],[PercentSalaryHike]]&lt;=13,"11-13%",IF(HR_Data[[#This Row],[PercentSalaryHike]]&lt;=16,"14-16%",IF(HR_Data[[#This Row],[PercentSalaryHike]]&lt;=19,"17-19%","20-25%")))</f>
        <v>11-13%</v>
      </c>
      <c r="AP758" s="1">
        <f>IF(HR_Data[[#This Row],[PercentSalaryHike]]&lt;=13,1,IF(HR_Data[[#This Row],[PercentSalaryHike]]&lt;=16,2,IF(HR_Data[[#This Row],[PercentSalaryHike]]&lt;=19,3,4)))</f>
        <v>1</v>
      </c>
      <c r="AQ758" s="1" t="str">
        <f>IF(HR_Data[[#This Row],[DistanceFromHome]]&lt;=5,"1 to 5",IF(HR_Data[[#This Row],[DistanceFromHome]]&lt;=10,"6 to 10",IF(HR_Data[[#This Row],[DistanceFromHome]]&lt;=20,"11 to 20","21 to 29")))</f>
        <v>21 to 29</v>
      </c>
      <c r="AR758" s="1">
        <f>IF(HR_Data[[#This Row],[DistanceFromHome]]&lt;=5,1,IF(HR_Data[[#This Row],[DistanceFromHome]]&lt;=10,2,IF(HR_Data[[#This Row],[DistanceFromHome]]&lt;=20,3,4)))</f>
        <v>4</v>
      </c>
      <c r="AS758" s="1" t="str">
        <f>IF(HR_Data[[#This Row],[TotalWorkingYears]]&lt;=5,"0-5 Yrs",IF(HR_Data[[#This Row],[TotalWorkingYears]]&lt;=10,"6-10 Yrs",IF(HR_Data[[#This Row],[TotalWorkingYears]]&lt;=20,"11-20 Yrs","20+ Yrs")))</f>
        <v>6-10 Yrs</v>
      </c>
      <c r="AT758" s="1">
        <f>IF(HR_Data[[#This Row],[TotalWorkingYears]]&lt;=5,1,IF(HR_Data[[#This Row],[TotalWorkingYears]]&lt;=10,2,IF(HR_Data[[#This Row],[TotalWorkingYears]]&lt;=20,3,4)))</f>
        <v>2</v>
      </c>
    </row>
    <row r="759" spans="1:46" x14ac:dyDescent="0.25">
      <c r="A759">
        <v>34</v>
      </c>
      <c r="B759" t="s">
        <v>36</v>
      </c>
      <c r="C759" t="s">
        <v>30</v>
      </c>
      <c r="D759" t="s">
        <v>31</v>
      </c>
      <c r="E759">
        <v>1</v>
      </c>
      <c r="F759">
        <v>4</v>
      </c>
      <c r="G759" t="s">
        <v>52</v>
      </c>
      <c r="H759">
        <v>1047</v>
      </c>
      <c r="I759">
        <v>2</v>
      </c>
      <c r="J759" t="s">
        <v>39</v>
      </c>
      <c r="K759">
        <v>4</v>
      </c>
      <c r="L759">
        <v>2</v>
      </c>
      <c r="M759" t="s">
        <v>34</v>
      </c>
      <c r="N759">
        <v>4</v>
      </c>
      <c r="O759" t="s">
        <v>45</v>
      </c>
      <c r="P759">
        <v>9725</v>
      </c>
      <c r="Q759">
        <v>0</v>
      </c>
      <c r="R759" t="s">
        <v>36</v>
      </c>
      <c r="S759">
        <v>11</v>
      </c>
      <c r="T759">
        <v>3</v>
      </c>
      <c r="U759">
        <v>4</v>
      </c>
      <c r="V759">
        <v>1</v>
      </c>
      <c r="W759">
        <v>16</v>
      </c>
      <c r="X759">
        <v>2</v>
      </c>
      <c r="Y759">
        <v>2</v>
      </c>
      <c r="Z759">
        <v>15</v>
      </c>
      <c r="AA759">
        <v>1</v>
      </c>
      <c r="AB759">
        <v>0</v>
      </c>
      <c r="AC759">
        <v>9</v>
      </c>
      <c r="AD759">
        <f>IF(HR_Data[[#This Row],[Attrition]]="Yes",1,0)</f>
        <v>0</v>
      </c>
      <c r="AE759" t="str">
        <f>IF(HR_Data[[#This Row],[Age]]&lt;=25,"18-25",IF(HR_Data[[#This Row],[Age]]&lt;=35,"26-35",IF(HR_Data[[#This Row],[Age]]&lt;=45,"36-45",IF(HR_Data[[#This Row],[Age]]&lt;=55,"46-55","55+"))))</f>
        <v>26-35</v>
      </c>
      <c r="AF759">
        <f>IF(HR_Data[[#This Row],[Age]]&lt;=25,1,IF(HR_Data[[#This Row],[Age]]&lt;=35,2,IF(HR_Data[[#This Row],[Age]]&lt;=45,3,IF(HR_Data[[#This Row],[Age]]&lt;=55,4,5))))</f>
        <v>2</v>
      </c>
      <c r="AG759" s="1" t="str">
        <f>IF(HR_Data[[#This Row],[MonthlyIncome]]&lt;3000,"&lt;3K",IF(HR_Data[[#This Row],[MonthlyIncome]]&lt;6000,"3K-6K",IF(HR_Data[[#This Row],[MonthlyIncome]]&lt;10000,"6K-10K","10K+")))</f>
        <v>6K-10K</v>
      </c>
      <c r="AH759" s="1">
        <f>IF(HR_Data[[#This Row],[MonthlyIncome]]&lt;3000,1,IF(HR_Data[[#This Row],[MonthlyIncome]]&lt;6000,2,IF(HR_Data[[#This Row],[MonthlyIncome]]&lt;10000,3,4)))</f>
        <v>3</v>
      </c>
      <c r="AI759" s="1" t="str">
        <f>IF(HR_Data[[#This Row],[YearsAtCompany]]&lt;=2,"0-2 Yrs",IF(HR_Data[[#This Row],[YearsAtCompany]]&lt;=5,"3-5 Yrs",IF(HR_Data[[#This Row],[YearsAtCompany]]&lt;=10,"6-10 Yrs","10+ Yrs")))</f>
        <v>10+ Yrs</v>
      </c>
      <c r="AJ759" s="1">
        <f>IF(HR_Data[[#This Row],[YearsAtCompany]]&lt;=2,1,IF(HR_Data[[#This Row],[YearsAtCompany]]&lt;=5,2,IF(HR_Data[[#This Row],[YearsAtCompany]]&lt;=10,3,4)))</f>
        <v>4</v>
      </c>
      <c r="AK759" s="1" t="str">
        <f>CHOOSE(HR_Data[[#This Row],[Education]],"Below College","College","Bachelor","Master","Doctor")</f>
        <v>Master</v>
      </c>
      <c r="AL759" s="1" t="str">
        <f>CHOOSE(HR_Data[[#This Row],[JobSatisfaction]],"Low","Medium","High","Very High")</f>
        <v>Very High</v>
      </c>
      <c r="AM759" s="1" t="str">
        <f>CHOOSE(HR_Data[[#This Row],[EnvironmentSatisfaction]],"Low","Medium","High","Very High")</f>
        <v>Medium</v>
      </c>
      <c r="AN759" s="1" t="str">
        <f>CHOOSE(HR_Data[[#This Row],[WorkLifeBalance]],"Bad","Good","Better","Best")</f>
        <v>Good</v>
      </c>
      <c r="AO759" s="1" t="str">
        <f>IF(HR_Data[[#This Row],[PercentSalaryHike]]&lt;=13,"11-13%",IF(HR_Data[[#This Row],[PercentSalaryHike]]&lt;=16,"14-16%",IF(HR_Data[[#This Row],[PercentSalaryHike]]&lt;=19,"17-19%","20-25%")))</f>
        <v>11-13%</v>
      </c>
      <c r="AP759" s="1">
        <f>IF(HR_Data[[#This Row],[PercentSalaryHike]]&lt;=13,1,IF(HR_Data[[#This Row],[PercentSalaryHike]]&lt;=16,2,IF(HR_Data[[#This Row],[PercentSalaryHike]]&lt;=19,3,4)))</f>
        <v>1</v>
      </c>
      <c r="AQ759" s="1" t="str">
        <f>IF(HR_Data[[#This Row],[DistanceFromHome]]&lt;=5,"1 to 5",IF(HR_Data[[#This Row],[DistanceFromHome]]&lt;=10,"6 to 10",IF(HR_Data[[#This Row],[DistanceFromHome]]&lt;=20,"11 to 20","21 to 29")))</f>
        <v>1 to 5</v>
      </c>
      <c r="AR759" s="1">
        <f>IF(HR_Data[[#This Row],[DistanceFromHome]]&lt;=5,1,IF(HR_Data[[#This Row],[DistanceFromHome]]&lt;=10,2,IF(HR_Data[[#This Row],[DistanceFromHome]]&lt;=20,3,4)))</f>
        <v>1</v>
      </c>
      <c r="AS759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759" s="1">
        <f>IF(HR_Data[[#This Row],[TotalWorkingYears]]&lt;=5,1,IF(HR_Data[[#This Row],[TotalWorkingYears]]&lt;=10,2,IF(HR_Data[[#This Row],[TotalWorkingYears]]&lt;=20,3,4)))</f>
        <v>3</v>
      </c>
    </row>
    <row r="760" spans="1:46" x14ac:dyDescent="0.25">
      <c r="A760">
        <v>59</v>
      </c>
      <c r="B760" t="s">
        <v>36</v>
      </c>
      <c r="C760" t="s">
        <v>30</v>
      </c>
      <c r="D760" t="s">
        <v>31</v>
      </c>
      <c r="E760">
        <v>1</v>
      </c>
      <c r="F760">
        <v>2</v>
      </c>
      <c r="G760" t="s">
        <v>53</v>
      </c>
      <c r="H760">
        <v>1048</v>
      </c>
      <c r="I760">
        <v>2</v>
      </c>
      <c r="J760" t="s">
        <v>39</v>
      </c>
      <c r="K760">
        <v>3</v>
      </c>
      <c r="L760">
        <v>3</v>
      </c>
      <c r="M760" t="s">
        <v>49</v>
      </c>
      <c r="N760">
        <v>4</v>
      </c>
      <c r="O760" t="s">
        <v>41</v>
      </c>
      <c r="P760">
        <v>11904</v>
      </c>
      <c r="Q760">
        <v>3</v>
      </c>
      <c r="R760" t="s">
        <v>29</v>
      </c>
      <c r="S760">
        <v>14</v>
      </c>
      <c r="T760">
        <v>3</v>
      </c>
      <c r="U760">
        <v>3</v>
      </c>
      <c r="V760">
        <v>1</v>
      </c>
      <c r="W760">
        <v>14</v>
      </c>
      <c r="X760">
        <v>1</v>
      </c>
      <c r="Y760">
        <v>1</v>
      </c>
      <c r="Z760">
        <v>6</v>
      </c>
      <c r="AA760">
        <v>4</v>
      </c>
      <c r="AB760">
        <v>0</v>
      </c>
      <c r="AC760">
        <v>4</v>
      </c>
      <c r="AD760">
        <f>IF(HR_Data[[#This Row],[Attrition]]="Yes",1,0)</f>
        <v>0</v>
      </c>
      <c r="AE760" t="str">
        <f>IF(HR_Data[[#This Row],[Age]]&lt;=25,"18-25",IF(HR_Data[[#This Row],[Age]]&lt;=35,"26-35",IF(HR_Data[[#This Row],[Age]]&lt;=45,"36-45",IF(HR_Data[[#This Row],[Age]]&lt;=55,"46-55","55+"))))</f>
        <v>55+</v>
      </c>
      <c r="AF760">
        <f>IF(HR_Data[[#This Row],[Age]]&lt;=25,1,IF(HR_Data[[#This Row],[Age]]&lt;=35,2,IF(HR_Data[[#This Row],[Age]]&lt;=45,3,IF(HR_Data[[#This Row],[Age]]&lt;=55,4,5))))</f>
        <v>5</v>
      </c>
      <c r="AG760" s="1" t="str">
        <f>IF(HR_Data[[#This Row],[MonthlyIncome]]&lt;3000,"&lt;3K",IF(HR_Data[[#This Row],[MonthlyIncome]]&lt;6000,"3K-6K",IF(HR_Data[[#This Row],[MonthlyIncome]]&lt;10000,"6K-10K","10K+")))</f>
        <v>10K+</v>
      </c>
      <c r="AH760" s="1">
        <f>IF(HR_Data[[#This Row],[MonthlyIncome]]&lt;3000,1,IF(HR_Data[[#This Row],[MonthlyIncome]]&lt;6000,2,IF(HR_Data[[#This Row],[MonthlyIncome]]&lt;10000,3,4)))</f>
        <v>4</v>
      </c>
      <c r="AI760" s="1" t="str">
        <f>IF(HR_Data[[#This Row],[YearsAtCompany]]&lt;=2,"0-2 Yrs",IF(HR_Data[[#This Row],[YearsAtCompany]]&lt;=5,"3-5 Yrs",IF(HR_Data[[#This Row],[YearsAtCompany]]&lt;=10,"6-10 Yrs","10+ Yrs")))</f>
        <v>6-10 Yrs</v>
      </c>
      <c r="AJ760" s="1">
        <f>IF(HR_Data[[#This Row],[YearsAtCompany]]&lt;=2,1,IF(HR_Data[[#This Row],[YearsAtCompany]]&lt;=5,2,IF(HR_Data[[#This Row],[YearsAtCompany]]&lt;=10,3,4)))</f>
        <v>3</v>
      </c>
      <c r="AK760" s="1" t="str">
        <f>CHOOSE(HR_Data[[#This Row],[Education]],"Below College","College","Bachelor","Master","Doctor")</f>
        <v>College</v>
      </c>
      <c r="AL760" s="1" t="str">
        <f>CHOOSE(HR_Data[[#This Row],[JobSatisfaction]],"Low","Medium","High","Very High")</f>
        <v>Very High</v>
      </c>
      <c r="AM760" s="1" t="str">
        <f>CHOOSE(HR_Data[[#This Row],[EnvironmentSatisfaction]],"Low","Medium","High","Very High")</f>
        <v>Medium</v>
      </c>
      <c r="AN760" s="1" t="str">
        <f>CHOOSE(HR_Data[[#This Row],[WorkLifeBalance]],"Bad","Good","Better","Best")</f>
        <v>Bad</v>
      </c>
      <c r="AO760" s="1" t="str">
        <f>IF(HR_Data[[#This Row],[PercentSalaryHike]]&lt;=13,"11-13%",IF(HR_Data[[#This Row],[PercentSalaryHike]]&lt;=16,"14-16%",IF(HR_Data[[#This Row],[PercentSalaryHike]]&lt;=19,"17-19%","20-25%")))</f>
        <v>14-16%</v>
      </c>
      <c r="AP760" s="1">
        <f>IF(HR_Data[[#This Row],[PercentSalaryHike]]&lt;=13,1,IF(HR_Data[[#This Row],[PercentSalaryHike]]&lt;=16,2,IF(HR_Data[[#This Row],[PercentSalaryHike]]&lt;=19,3,4)))</f>
        <v>2</v>
      </c>
      <c r="AQ760" s="1" t="str">
        <f>IF(HR_Data[[#This Row],[DistanceFromHome]]&lt;=5,"1 to 5",IF(HR_Data[[#This Row],[DistanceFromHome]]&lt;=10,"6 to 10",IF(HR_Data[[#This Row],[DistanceFromHome]]&lt;=20,"11 to 20","21 to 29")))</f>
        <v>1 to 5</v>
      </c>
      <c r="AR760" s="1">
        <f>IF(HR_Data[[#This Row],[DistanceFromHome]]&lt;=5,1,IF(HR_Data[[#This Row],[DistanceFromHome]]&lt;=10,2,IF(HR_Data[[#This Row],[DistanceFromHome]]&lt;=20,3,4)))</f>
        <v>1</v>
      </c>
      <c r="AS760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760" s="1">
        <f>IF(HR_Data[[#This Row],[TotalWorkingYears]]&lt;=5,1,IF(HR_Data[[#This Row],[TotalWorkingYears]]&lt;=10,2,IF(HR_Data[[#This Row],[TotalWorkingYears]]&lt;=20,3,4)))</f>
        <v>3</v>
      </c>
    </row>
    <row r="761" spans="1:46" x14ac:dyDescent="0.25">
      <c r="A761">
        <v>45</v>
      </c>
      <c r="B761" t="s">
        <v>36</v>
      </c>
      <c r="C761" t="s">
        <v>30</v>
      </c>
      <c r="D761" t="s">
        <v>54</v>
      </c>
      <c r="E761">
        <v>24</v>
      </c>
      <c r="F761">
        <v>4</v>
      </c>
      <c r="G761" t="s">
        <v>44</v>
      </c>
      <c r="H761">
        <v>1049</v>
      </c>
      <c r="I761">
        <v>2</v>
      </c>
      <c r="J761" t="s">
        <v>39</v>
      </c>
      <c r="K761">
        <v>3</v>
      </c>
      <c r="L761">
        <v>1</v>
      </c>
      <c r="M761" t="s">
        <v>54</v>
      </c>
      <c r="N761">
        <v>2</v>
      </c>
      <c r="O761" t="s">
        <v>35</v>
      </c>
      <c r="P761">
        <v>2177</v>
      </c>
      <c r="Q761">
        <v>1</v>
      </c>
      <c r="R761" t="s">
        <v>36</v>
      </c>
      <c r="S761">
        <v>16</v>
      </c>
      <c r="T761">
        <v>3</v>
      </c>
      <c r="U761">
        <v>1</v>
      </c>
      <c r="V761">
        <v>0</v>
      </c>
      <c r="W761">
        <v>6</v>
      </c>
      <c r="X761">
        <v>3</v>
      </c>
      <c r="Y761">
        <v>3</v>
      </c>
      <c r="Z761">
        <v>6</v>
      </c>
      <c r="AA761">
        <v>3</v>
      </c>
      <c r="AB761">
        <v>0</v>
      </c>
      <c r="AC761">
        <v>4</v>
      </c>
      <c r="AD761">
        <f>IF(HR_Data[[#This Row],[Attrition]]="Yes",1,0)</f>
        <v>0</v>
      </c>
      <c r="AE761" t="str">
        <f>IF(HR_Data[[#This Row],[Age]]&lt;=25,"18-25",IF(HR_Data[[#This Row],[Age]]&lt;=35,"26-35",IF(HR_Data[[#This Row],[Age]]&lt;=45,"36-45",IF(HR_Data[[#This Row],[Age]]&lt;=55,"46-55","55+"))))</f>
        <v>36-45</v>
      </c>
      <c r="AF761">
        <f>IF(HR_Data[[#This Row],[Age]]&lt;=25,1,IF(HR_Data[[#This Row],[Age]]&lt;=35,2,IF(HR_Data[[#This Row],[Age]]&lt;=45,3,IF(HR_Data[[#This Row],[Age]]&lt;=55,4,5))))</f>
        <v>3</v>
      </c>
      <c r="AG761" s="1" t="str">
        <f>IF(HR_Data[[#This Row],[MonthlyIncome]]&lt;3000,"&lt;3K",IF(HR_Data[[#This Row],[MonthlyIncome]]&lt;6000,"3K-6K",IF(HR_Data[[#This Row],[MonthlyIncome]]&lt;10000,"6K-10K","10K+")))</f>
        <v>&lt;3K</v>
      </c>
      <c r="AH761" s="1">
        <f>IF(HR_Data[[#This Row],[MonthlyIncome]]&lt;3000,1,IF(HR_Data[[#This Row],[MonthlyIncome]]&lt;6000,2,IF(HR_Data[[#This Row],[MonthlyIncome]]&lt;10000,3,4)))</f>
        <v>1</v>
      </c>
      <c r="AI761" s="1" t="str">
        <f>IF(HR_Data[[#This Row],[YearsAtCompany]]&lt;=2,"0-2 Yrs",IF(HR_Data[[#This Row],[YearsAtCompany]]&lt;=5,"3-5 Yrs",IF(HR_Data[[#This Row],[YearsAtCompany]]&lt;=10,"6-10 Yrs","10+ Yrs")))</f>
        <v>6-10 Yrs</v>
      </c>
      <c r="AJ761" s="1">
        <f>IF(HR_Data[[#This Row],[YearsAtCompany]]&lt;=2,1,IF(HR_Data[[#This Row],[YearsAtCompany]]&lt;=5,2,IF(HR_Data[[#This Row],[YearsAtCompany]]&lt;=10,3,4)))</f>
        <v>3</v>
      </c>
      <c r="AK761" s="1" t="str">
        <f>CHOOSE(HR_Data[[#This Row],[Education]],"Below College","College","Bachelor","Master","Doctor")</f>
        <v>Master</v>
      </c>
      <c r="AL761" s="1" t="str">
        <f>CHOOSE(HR_Data[[#This Row],[JobSatisfaction]],"Low","Medium","High","Very High")</f>
        <v>Medium</v>
      </c>
      <c r="AM761" s="1" t="str">
        <f>CHOOSE(HR_Data[[#This Row],[EnvironmentSatisfaction]],"Low","Medium","High","Very High")</f>
        <v>Medium</v>
      </c>
      <c r="AN761" s="1" t="str">
        <f>CHOOSE(HR_Data[[#This Row],[WorkLifeBalance]],"Bad","Good","Better","Best")</f>
        <v>Better</v>
      </c>
      <c r="AO761" s="1" t="str">
        <f>IF(HR_Data[[#This Row],[PercentSalaryHike]]&lt;=13,"11-13%",IF(HR_Data[[#This Row],[PercentSalaryHike]]&lt;=16,"14-16%",IF(HR_Data[[#This Row],[PercentSalaryHike]]&lt;=19,"17-19%","20-25%")))</f>
        <v>14-16%</v>
      </c>
      <c r="AP761" s="1">
        <f>IF(HR_Data[[#This Row],[PercentSalaryHike]]&lt;=13,1,IF(HR_Data[[#This Row],[PercentSalaryHike]]&lt;=16,2,IF(HR_Data[[#This Row],[PercentSalaryHike]]&lt;=19,3,4)))</f>
        <v>2</v>
      </c>
      <c r="AQ761" s="1" t="str">
        <f>IF(HR_Data[[#This Row],[DistanceFromHome]]&lt;=5,"1 to 5",IF(HR_Data[[#This Row],[DistanceFromHome]]&lt;=10,"6 to 10",IF(HR_Data[[#This Row],[DistanceFromHome]]&lt;=20,"11 to 20","21 to 29")))</f>
        <v>21 to 29</v>
      </c>
      <c r="AR761" s="1">
        <f>IF(HR_Data[[#This Row],[DistanceFromHome]]&lt;=5,1,IF(HR_Data[[#This Row],[DistanceFromHome]]&lt;=10,2,IF(HR_Data[[#This Row],[DistanceFromHome]]&lt;=20,3,4)))</f>
        <v>4</v>
      </c>
      <c r="AS761" s="1" t="str">
        <f>IF(HR_Data[[#This Row],[TotalWorkingYears]]&lt;=5,"0-5 Yrs",IF(HR_Data[[#This Row],[TotalWorkingYears]]&lt;=10,"6-10 Yrs",IF(HR_Data[[#This Row],[TotalWorkingYears]]&lt;=20,"11-20 Yrs","20+ Yrs")))</f>
        <v>6-10 Yrs</v>
      </c>
      <c r="AT761" s="1">
        <f>IF(HR_Data[[#This Row],[TotalWorkingYears]]&lt;=5,1,IF(HR_Data[[#This Row],[TotalWorkingYears]]&lt;=10,2,IF(HR_Data[[#This Row],[TotalWorkingYears]]&lt;=20,3,4)))</f>
        <v>2</v>
      </c>
    </row>
    <row r="762" spans="1:46" x14ac:dyDescent="0.25">
      <c r="A762">
        <v>53</v>
      </c>
      <c r="B762" t="s">
        <v>36</v>
      </c>
      <c r="C762" t="s">
        <v>37</v>
      </c>
      <c r="D762" t="s">
        <v>31</v>
      </c>
      <c r="E762">
        <v>2</v>
      </c>
      <c r="F762">
        <v>3</v>
      </c>
      <c r="G762" t="s">
        <v>52</v>
      </c>
      <c r="H762">
        <v>1050</v>
      </c>
      <c r="I762">
        <v>3</v>
      </c>
      <c r="J762" t="s">
        <v>33</v>
      </c>
      <c r="K762">
        <v>2</v>
      </c>
      <c r="L762">
        <v>3</v>
      </c>
      <c r="M762" t="s">
        <v>34</v>
      </c>
      <c r="N762">
        <v>2</v>
      </c>
      <c r="O762" t="s">
        <v>41</v>
      </c>
      <c r="P762">
        <v>7525</v>
      </c>
      <c r="Q762">
        <v>2</v>
      </c>
      <c r="R762" t="s">
        <v>36</v>
      </c>
      <c r="S762">
        <v>12</v>
      </c>
      <c r="T762">
        <v>3</v>
      </c>
      <c r="U762">
        <v>1</v>
      </c>
      <c r="V762">
        <v>1</v>
      </c>
      <c r="W762">
        <v>30</v>
      </c>
      <c r="X762">
        <v>2</v>
      </c>
      <c r="Y762">
        <v>3</v>
      </c>
      <c r="Z762">
        <v>15</v>
      </c>
      <c r="AA762">
        <v>7</v>
      </c>
      <c r="AB762">
        <v>6</v>
      </c>
      <c r="AC762">
        <v>12</v>
      </c>
      <c r="AD762">
        <f>IF(HR_Data[[#This Row],[Attrition]]="Yes",1,0)</f>
        <v>0</v>
      </c>
      <c r="AE762" t="str">
        <f>IF(HR_Data[[#This Row],[Age]]&lt;=25,"18-25",IF(HR_Data[[#This Row],[Age]]&lt;=35,"26-35",IF(HR_Data[[#This Row],[Age]]&lt;=45,"36-45",IF(HR_Data[[#This Row],[Age]]&lt;=55,"46-55","55+"))))</f>
        <v>46-55</v>
      </c>
      <c r="AF762">
        <f>IF(HR_Data[[#This Row],[Age]]&lt;=25,1,IF(HR_Data[[#This Row],[Age]]&lt;=35,2,IF(HR_Data[[#This Row],[Age]]&lt;=45,3,IF(HR_Data[[#This Row],[Age]]&lt;=55,4,5))))</f>
        <v>4</v>
      </c>
      <c r="AG762" s="1" t="str">
        <f>IF(HR_Data[[#This Row],[MonthlyIncome]]&lt;3000,"&lt;3K",IF(HR_Data[[#This Row],[MonthlyIncome]]&lt;6000,"3K-6K",IF(HR_Data[[#This Row],[MonthlyIncome]]&lt;10000,"6K-10K","10K+")))</f>
        <v>6K-10K</v>
      </c>
      <c r="AH762" s="1">
        <f>IF(HR_Data[[#This Row],[MonthlyIncome]]&lt;3000,1,IF(HR_Data[[#This Row],[MonthlyIncome]]&lt;6000,2,IF(HR_Data[[#This Row],[MonthlyIncome]]&lt;10000,3,4)))</f>
        <v>3</v>
      </c>
      <c r="AI762" s="1" t="str">
        <f>IF(HR_Data[[#This Row],[YearsAtCompany]]&lt;=2,"0-2 Yrs",IF(HR_Data[[#This Row],[YearsAtCompany]]&lt;=5,"3-5 Yrs",IF(HR_Data[[#This Row],[YearsAtCompany]]&lt;=10,"6-10 Yrs","10+ Yrs")))</f>
        <v>10+ Yrs</v>
      </c>
      <c r="AJ762" s="1">
        <f>IF(HR_Data[[#This Row],[YearsAtCompany]]&lt;=2,1,IF(HR_Data[[#This Row],[YearsAtCompany]]&lt;=5,2,IF(HR_Data[[#This Row],[YearsAtCompany]]&lt;=10,3,4)))</f>
        <v>4</v>
      </c>
      <c r="AK762" s="1" t="str">
        <f>CHOOSE(HR_Data[[#This Row],[Education]],"Below College","College","Bachelor","Master","Doctor")</f>
        <v>Bachelor</v>
      </c>
      <c r="AL762" s="1" t="str">
        <f>CHOOSE(HR_Data[[#This Row],[JobSatisfaction]],"Low","Medium","High","Very High")</f>
        <v>Medium</v>
      </c>
      <c r="AM762" s="1" t="str">
        <f>CHOOSE(HR_Data[[#This Row],[EnvironmentSatisfaction]],"Low","Medium","High","Very High")</f>
        <v>High</v>
      </c>
      <c r="AN762" s="1" t="str">
        <f>CHOOSE(HR_Data[[#This Row],[WorkLifeBalance]],"Bad","Good","Better","Best")</f>
        <v>Better</v>
      </c>
      <c r="AO762" s="1" t="str">
        <f>IF(HR_Data[[#This Row],[PercentSalaryHike]]&lt;=13,"11-13%",IF(HR_Data[[#This Row],[PercentSalaryHike]]&lt;=16,"14-16%",IF(HR_Data[[#This Row],[PercentSalaryHike]]&lt;=19,"17-19%","20-25%")))</f>
        <v>11-13%</v>
      </c>
      <c r="AP762" s="1">
        <f>IF(HR_Data[[#This Row],[PercentSalaryHike]]&lt;=13,1,IF(HR_Data[[#This Row],[PercentSalaryHike]]&lt;=16,2,IF(HR_Data[[#This Row],[PercentSalaryHike]]&lt;=19,3,4)))</f>
        <v>1</v>
      </c>
      <c r="AQ762" s="1" t="str">
        <f>IF(HR_Data[[#This Row],[DistanceFromHome]]&lt;=5,"1 to 5",IF(HR_Data[[#This Row],[DistanceFromHome]]&lt;=10,"6 to 10",IF(HR_Data[[#This Row],[DistanceFromHome]]&lt;=20,"11 to 20","21 to 29")))</f>
        <v>1 to 5</v>
      </c>
      <c r="AR762" s="1">
        <f>IF(HR_Data[[#This Row],[DistanceFromHome]]&lt;=5,1,IF(HR_Data[[#This Row],[DistanceFromHome]]&lt;=10,2,IF(HR_Data[[#This Row],[DistanceFromHome]]&lt;=20,3,4)))</f>
        <v>1</v>
      </c>
      <c r="AS762" s="1" t="str">
        <f>IF(HR_Data[[#This Row],[TotalWorkingYears]]&lt;=5,"0-5 Yrs",IF(HR_Data[[#This Row],[TotalWorkingYears]]&lt;=10,"6-10 Yrs",IF(HR_Data[[#This Row],[TotalWorkingYears]]&lt;=20,"11-20 Yrs","20+ Yrs")))</f>
        <v>20+ Yrs</v>
      </c>
      <c r="AT762" s="1">
        <f>IF(HR_Data[[#This Row],[TotalWorkingYears]]&lt;=5,1,IF(HR_Data[[#This Row],[TotalWorkingYears]]&lt;=10,2,IF(HR_Data[[#This Row],[TotalWorkingYears]]&lt;=20,3,4)))</f>
        <v>4</v>
      </c>
    </row>
    <row r="763" spans="1:46" x14ac:dyDescent="0.25">
      <c r="A763">
        <v>36</v>
      </c>
      <c r="B763" t="s">
        <v>29</v>
      </c>
      <c r="C763" t="s">
        <v>30</v>
      </c>
      <c r="D763" t="s">
        <v>38</v>
      </c>
      <c r="E763">
        <v>15</v>
      </c>
      <c r="F763">
        <v>3</v>
      </c>
      <c r="G763" t="s">
        <v>42</v>
      </c>
      <c r="H763">
        <v>1052</v>
      </c>
      <c r="I763">
        <v>1</v>
      </c>
      <c r="J763" t="s">
        <v>39</v>
      </c>
      <c r="K763">
        <v>3</v>
      </c>
      <c r="L763">
        <v>2</v>
      </c>
      <c r="M763" t="s">
        <v>43</v>
      </c>
      <c r="N763">
        <v>3</v>
      </c>
      <c r="O763" t="s">
        <v>45</v>
      </c>
      <c r="P763">
        <v>4834</v>
      </c>
      <c r="Q763">
        <v>7</v>
      </c>
      <c r="R763" t="s">
        <v>36</v>
      </c>
      <c r="S763">
        <v>14</v>
      </c>
      <c r="T763">
        <v>3</v>
      </c>
      <c r="U763">
        <v>2</v>
      </c>
      <c r="V763">
        <v>1</v>
      </c>
      <c r="W763">
        <v>9</v>
      </c>
      <c r="X763">
        <v>3</v>
      </c>
      <c r="Y763">
        <v>2</v>
      </c>
      <c r="Z763">
        <v>1</v>
      </c>
      <c r="AA763">
        <v>0</v>
      </c>
      <c r="AB763">
        <v>0</v>
      </c>
      <c r="AC763">
        <v>0</v>
      </c>
      <c r="AD763">
        <f>IF(HR_Data[[#This Row],[Attrition]]="Yes",1,0)</f>
        <v>1</v>
      </c>
      <c r="AE763" t="str">
        <f>IF(HR_Data[[#This Row],[Age]]&lt;=25,"18-25",IF(HR_Data[[#This Row],[Age]]&lt;=35,"26-35",IF(HR_Data[[#This Row],[Age]]&lt;=45,"36-45",IF(HR_Data[[#This Row],[Age]]&lt;=55,"46-55","55+"))))</f>
        <v>36-45</v>
      </c>
      <c r="AF763">
        <f>IF(HR_Data[[#This Row],[Age]]&lt;=25,1,IF(HR_Data[[#This Row],[Age]]&lt;=35,2,IF(HR_Data[[#This Row],[Age]]&lt;=45,3,IF(HR_Data[[#This Row],[Age]]&lt;=55,4,5))))</f>
        <v>3</v>
      </c>
      <c r="AG763" s="1" t="str">
        <f>IF(HR_Data[[#This Row],[MonthlyIncome]]&lt;3000,"&lt;3K",IF(HR_Data[[#This Row],[MonthlyIncome]]&lt;6000,"3K-6K",IF(HR_Data[[#This Row],[MonthlyIncome]]&lt;10000,"6K-10K","10K+")))</f>
        <v>3K-6K</v>
      </c>
      <c r="AH763" s="1">
        <f>IF(HR_Data[[#This Row],[MonthlyIncome]]&lt;3000,1,IF(HR_Data[[#This Row],[MonthlyIncome]]&lt;6000,2,IF(HR_Data[[#This Row],[MonthlyIncome]]&lt;10000,3,4)))</f>
        <v>2</v>
      </c>
      <c r="AI763" s="1" t="str">
        <f>IF(HR_Data[[#This Row],[YearsAtCompany]]&lt;=2,"0-2 Yrs",IF(HR_Data[[#This Row],[YearsAtCompany]]&lt;=5,"3-5 Yrs",IF(HR_Data[[#This Row],[YearsAtCompany]]&lt;=10,"6-10 Yrs","10+ Yrs")))</f>
        <v>0-2 Yrs</v>
      </c>
      <c r="AJ763" s="1">
        <f>IF(HR_Data[[#This Row],[YearsAtCompany]]&lt;=2,1,IF(HR_Data[[#This Row],[YearsAtCompany]]&lt;=5,2,IF(HR_Data[[#This Row],[YearsAtCompany]]&lt;=10,3,4)))</f>
        <v>1</v>
      </c>
      <c r="AK763" s="1" t="str">
        <f>CHOOSE(HR_Data[[#This Row],[Education]],"Below College","College","Bachelor","Master","Doctor")</f>
        <v>Bachelor</v>
      </c>
      <c r="AL763" s="1" t="str">
        <f>CHOOSE(HR_Data[[#This Row],[JobSatisfaction]],"Low","Medium","High","Very High")</f>
        <v>High</v>
      </c>
      <c r="AM763" s="1" t="str">
        <f>CHOOSE(HR_Data[[#This Row],[EnvironmentSatisfaction]],"Low","Medium","High","Very High")</f>
        <v>Low</v>
      </c>
      <c r="AN763" s="1" t="str">
        <f>CHOOSE(HR_Data[[#This Row],[WorkLifeBalance]],"Bad","Good","Better","Best")</f>
        <v>Good</v>
      </c>
      <c r="AO763" s="1" t="str">
        <f>IF(HR_Data[[#This Row],[PercentSalaryHike]]&lt;=13,"11-13%",IF(HR_Data[[#This Row],[PercentSalaryHike]]&lt;=16,"14-16%",IF(HR_Data[[#This Row],[PercentSalaryHike]]&lt;=19,"17-19%","20-25%")))</f>
        <v>14-16%</v>
      </c>
      <c r="AP763" s="1">
        <f>IF(HR_Data[[#This Row],[PercentSalaryHike]]&lt;=13,1,IF(HR_Data[[#This Row],[PercentSalaryHike]]&lt;=16,2,IF(HR_Data[[#This Row],[PercentSalaryHike]]&lt;=19,3,4)))</f>
        <v>2</v>
      </c>
      <c r="AQ763" s="1" t="str">
        <f>IF(HR_Data[[#This Row],[DistanceFromHome]]&lt;=5,"1 to 5",IF(HR_Data[[#This Row],[DistanceFromHome]]&lt;=10,"6 to 10",IF(HR_Data[[#This Row],[DistanceFromHome]]&lt;=20,"11 to 20","21 to 29")))</f>
        <v>11 to 20</v>
      </c>
      <c r="AR763" s="1">
        <f>IF(HR_Data[[#This Row],[DistanceFromHome]]&lt;=5,1,IF(HR_Data[[#This Row],[DistanceFromHome]]&lt;=10,2,IF(HR_Data[[#This Row],[DistanceFromHome]]&lt;=20,3,4)))</f>
        <v>3</v>
      </c>
      <c r="AS763" s="1" t="str">
        <f>IF(HR_Data[[#This Row],[TotalWorkingYears]]&lt;=5,"0-5 Yrs",IF(HR_Data[[#This Row],[TotalWorkingYears]]&lt;=10,"6-10 Yrs",IF(HR_Data[[#This Row],[TotalWorkingYears]]&lt;=20,"11-20 Yrs","20+ Yrs")))</f>
        <v>6-10 Yrs</v>
      </c>
      <c r="AT763" s="1">
        <f>IF(HR_Data[[#This Row],[TotalWorkingYears]]&lt;=5,1,IF(HR_Data[[#This Row],[TotalWorkingYears]]&lt;=10,2,IF(HR_Data[[#This Row],[TotalWorkingYears]]&lt;=20,3,4)))</f>
        <v>2</v>
      </c>
    </row>
    <row r="764" spans="1:46" x14ac:dyDescent="0.25">
      <c r="A764">
        <v>26</v>
      </c>
      <c r="B764" t="s">
        <v>29</v>
      </c>
      <c r="C764" t="s">
        <v>37</v>
      </c>
      <c r="D764" t="s">
        <v>38</v>
      </c>
      <c r="E764">
        <v>2</v>
      </c>
      <c r="F764">
        <v>3</v>
      </c>
      <c r="G764" t="s">
        <v>32</v>
      </c>
      <c r="H764">
        <v>1053</v>
      </c>
      <c r="I764">
        <v>1</v>
      </c>
      <c r="J764" t="s">
        <v>39</v>
      </c>
      <c r="K764">
        <v>3</v>
      </c>
      <c r="L764">
        <v>1</v>
      </c>
      <c r="M764" t="s">
        <v>40</v>
      </c>
      <c r="N764">
        <v>1</v>
      </c>
      <c r="O764" t="s">
        <v>41</v>
      </c>
      <c r="P764">
        <v>2042</v>
      </c>
      <c r="Q764">
        <v>6</v>
      </c>
      <c r="R764" t="s">
        <v>29</v>
      </c>
      <c r="S764">
        <v>14</v>
      </c>
      <c r="T764">
        <v>3</v>
      </c>
      <c r="U764">
        <v>2</v>
      </c>
      <c r="V764">
        <v>1</v>
      </c>
      <c r="W764">
        <v>6</v>
      </c>
      <c r="X764">
        <v>2</v>
      </c>
      <c r="Y764">
        <v>3</v>
      </c>
      <c r="Z764">
        <v>3</v>
      </c>
      <c r="AA764">
        <v>2</v>
      </c>
      <c r="AB764">
        <v>1</v>
      </c>
      <c r="AC764">
        <v>2</v>
      </c>
      <c r="AD764">
        <f>IF(HR_Data[[#This Row],[Attrition]]="Yes",1,0)</f>
        <v>1</v>
      </c>
      <c r="AE764" t="str">
        <f>IF(HR_Data[[#This Row],[Age]]&lt;=25,"18-25",IF(HR_Data[[#This Row],[Age]]&lt;=35,"26-35",IF(HR_Data[[#This Row],[Age]]&lt;=45,"36-45",IF(HR_Data[[#This Row],[Age]]&lt;=55,"46-55","55+"))))</f>
        <v>26-35</v>
      </c>
      <c r="AF764">
        <f>IF(HR_Data[[#This Row],[Age]]&lt;=25,1,IF(HR_Data[[#This Row],[Age]]&lt;=35,2,IF(HR_Data[[#This Row],[Age]]&lt;=45,3,IF(HR_Data[[#This Row],[Age]]&lt;=55,4,5))))</f>
        <v>2</v>
      </c>
      <c r="AG764" s="1" t="str">
        <f>IF(HR_Data[[#This Row],[MonthlyIncome]]&lt;3000,"&lt;3K",IF(HR_Data[[#This Row],[MonthlyIncome]]&lt;6000,"3K-6K",IF(HR_Data[[#This Row],[MonthlyIncome]]&lt;10000,"6K-10K","10K+")))</f>
        <v>&lt;3K</v>
      </c>
      <c r="AH764" s="1">
        <f>IF(HR_Data[[#This Row],[MonthlyIncome]]&lt;3000,1,IF(HR_Data[[#This Row],[MonthlyIncome]]&lt;6000,2,IF(HR_Data[[#This Row],[MonthlyIncome]]&lt;10000,3,4)))</f>
        <v>1</v>
      </c>
      <c r="AI764" s="1" t="str">
        <f>IF(HR_Data[[#This Row],[YearsAtCompany]]&lt;=2,"0-2 Yrs",IF(HR_Data[[#This Row],[YearsAtCompany]]&lt;=5,"3-5 Yrs",IF(HR_Data[[#This Row],[YearsAtCompany]]&lt;=10,"6-10 Yrs","10+ Yrs")))</f>
        <v>3-5 Yrs</v>
      </c>
      <c r="AJ764" s="1">
        <f>IF(HR_Data[[#This Row],[YearsAtCompany]]&lt;=2,1,IF(HR_Data[[#This Row],[YearsAtCompany]]&lt;=5,2,IF(HR_Data[[#This Row],[YearsAtCompany]]&lt;=10,3,4)))</f>
        <v>2</v>
      </c>
      <c r="AK764" s="1" t="str">
        <f>CHOOSE(HR_Data[[#This Row],[Education]],"Below College","College","Bachelor","Master","Doctor")</f>
        <v>Bachelor</v>
      </c>
      <c r="AL764" s="1" t="str">
        <f>CHOOSE(HR_Data[[#This Row],[JobSatisfaction]],"Low","Medium","High","Very High")</f>
        <v>Low</v>
      </c>
      <c r="AM764" s="1" t="str">
        <f>CHOOSE(HR_Data[[#This Row],[EnvironmentSatisfaction]],"Low","Medium","High","Very High")</f>
        <v>Low</v>
      </c>
      <c r="AN764" s="1" t="str">
        <f>CHOOSE(HR_Data[[#This Row],[WorkLifeBalance]],"Bad","Good","Better","Best")</f>
        <v>Better</v>
      </c>
      <c r="AO764" s="1" t="str">
        <f>IF(HR_Data[[#This Row],[PercentSalaryHike]]&lt;=13,"11-13%",IF(HR_Data[[#This Row],[PercentSalaryHike]]&lt;=16,"14-16%",IF(HR_Data[[#This Row],[PercentSalaryHike]]&lt;=19,"17-19%","20-25%")))</f>
        <v>14-16%</v>
      </c>
      <c r="AP764" s="1">
        <f>IF(HR_Data[[#This Row],[PercentSalaryHike]]&lt;=13,1,IF(HR_Data[[#This Row],[PercentSalaryHike]]&lt;=16,2,IF(HR_Data[[#This Row],[PercentSalaryHike]]&lt;=19,3,4)))</f>
        <v>2</v>
      </c>
      <c r="AQ764" s="1" t="str">
        <f>IF(HR_Data[[#This Row],[DistanceFromHome]]&lt;=5,"1 to 5",IF(HR_Data[[#This Row],[DistanceFromHome]]&lt;=10,"6 to 10",IF(HR_Data[[#This Row],[DistanceFromHome]]&lt;=20,"11 to 20","21 to 29")))</f>
        <v>1 to 5</v>
      </c>
      <c r="AR764" s="1">
        <f>IF(HR_Data[[#This Row],[DistanceFromHome]]&lt;=5,1,IF(HR_Data[[#This Row],[DistanceFromHome]]&lt;=10,2,IF(HR_Data[[#This Row],[DistanceFromHome]]&lt;=20,3,4)))</f>
        <v>1</v>
      </c>
      <c r="AS764" s="1" t="str">
        <f>IF(HR_Data[[#This Row],[TotalWorkingYears]]&lt;=5,"0-5 Yrs",IF(HR_Data[[#This Row],[TotalWorkingYears]]&lt;=10,"6-10 Yrs",IF(HR_Data[[#This Row],[TotalWorkingYears]]&lt;=20,"11-20 Yrs","20+ Yrs")))</f>
        <v>6-10 Yrs</v>
      </c>
      <c r="AT764" s="1">
        <f>IF(HR_Data[[#This Row],[TotalWorkingYears]]&lt;=5,1,IF(HR_Data[[#This Row],[TotalWorkingYears]]&lt;=10,2,IF(HR_Data[[#This Row],[TotalWorkingYears]]&lt;=20,3,4)))</f>
        <v>2</v>
      </c>
    </row>
    <row r="765" spans="1:46" x14ac:dyDescent="0.25">
      <c r="A765">
        <v>34</v>
      </c>
      <c r="B765" t="s">
        <v>36</v>
      </c>
      <c r="C765" t="s">
        <v>30</v>
      </c>
      <c r="D765" t="s">
        <v>31</v>
      </c>
      <c r="E765">
        <v>10</v>
      </c>
      <c r="F765">
        <v>4</v>
      </c>
      <c r="G765" t="s">
        <v>32</v>
      </c>
      <c r="H765">
        <v>1055</v>
      </c>
      <c r="I765">
        <v>3</v>
      </c>
      <c r="J765" t="s">
        <v>33</v>
      </c>
      <c r="K765">
        <v>3</v>
      </c>
      <c r="L765">
        <v>1</v>
      </c>
      <c r="M765" t="s">
        <v>50</v>
      </c>
      <c r="N765">
        <v>3</v>
      </c>
      <c r="O765" t="s">
        <v>41</v>
      </c>
      <c r="P765">
        <v>2220</v>
      </c>
      <c r="Q765">
        <v>1</v>
      </c>
      <c r="R765" t="s">
        <v>29</v>
      </c>
      <c r="S765">
        <v>19</v>
      </c>
      <c r="T765">
        <v>3</v>
      </c>
      <c r="U765">
        <v>4</v>
      </c>
      <c r="V765">
        <v>1</v>
      </c>
      <c r="W765">
        <v>1</v>
      </c>
      <c r="X765">
        <v>2</v>
      </c>
      <c r="Y765">
        <v>3</v>
      </c>
      <c r="Z765">
        <v>1</v>
      </c>
      <c r="AA765">
        <v>1</v>
      </c>
      <c r="AB765">
        <v>0</v>
      </c>
      <c r="AC765">
        <v>0</v>
      </c>
      <c r="AD765">
        <f>IF(HR_Data[[#This Row],[Attrition]]="Yes",1,0)</f>
        <v>0</v>
      </c>
      <c r="AE765" t="str">
        <f>IF(HR_Data[[#This Row],[Age]]&lt;=25,"18-25",IF(HR_Data[[#This Row],[Age]]&lt;=35,"26-35",IF(HR_Data[[#This Row],[Age]]&lt;=45,"36-45",IF(HR_Data[[#This Row],[Age]]&lt;=55,"46-55","55+"))))</f>
        <v>26-35</v>
      </c>
      <c r="AF765">
        <f>IF(HR_Data[[#This Row],[Age]]&lt;=25,1,IF(HR_Data[[#This Row],[Age]]&lt;=35,2,IF(HR_Data[[#This Row],[Age]]&lt;=45,3,IF(HR_Data[[#This Row],[Age]]&lt;=55,4,5))))</f>
        <v>2</v>
      </c>
      <c r="AG765" s="1" t="str">
        <f>IF(HR_Data[[#This Row],[MonthlyIncome]]&lt;3000,"&lt;3K",IF(HR_Data[[#This Row],[MonthlyIncome]]&lt;6000,"3K-6K",IF(HR_Data[[#This Row],[MonthlyIncome]]&lt;10000,"6K-10K","10K+")))</f>
        <v>&lt;3K</v>
      </c>
      <c r="AH765" s="1">
        <f>IF(HR_Data[[#This Row],[MonthlyIncome]]&lt;3000,1,IF(HR_Data[[#This Row],[MonthlyIncome]]&lt;6000,2,IF(HR_Data[[#This Row],[MonthlyIncome]]&lt;10000,3,4)))</f>
        <v>1</v>
      </c>
      <c r="AI765" s="1" t="str">
        <f>IF(HR_Data[[#This Row],[YearsAtCompany]]&lt;=2,"0-2 Yrs",IF(HR_Data[[#This Row],[YearsAtCompany]]&lt;=5,"3-5 Yrs",IF(HR_Data[[#This Row],[YearsAtCompany]]&lt;=10,"6-10 Yrs","10+ Yrs")))</f>
        <v>0-2 Yrs</v>
      </c>
      <c r="AJ765" s="1">
        <f>IF(HR_Data[[#This Row],[YearsAtCompany]]&lt;=2,1,IF(HR_Data[[#This Row],[YearsAtCompany]]&lt;=5,2,IF(HR_Data[[#This Row],[YearsAtCompany]]&lt;=10,3,4)))</f>
        <v>1</v>
      </c>
      <c r="AK765" s="1" t="str">
        <f>CHOOSE(HR_Data[[#This Row],[Education]],"Below College","College","Bachelor","Master","Doctor")</f>
        <v>Master</v>
      </c>
      <c r="AL765" s="1" t="str">
        <f>CHOOSE(HR_Data[[#This Row],[JobSatisfaction]],"Low","Medium","High","Very High")</f>
        <v>High</v>
      </c>
      <c r="AM765" s="1" t="str">
        <f>CHOOSE(HR_Data[[#This Row],[EnvironmentSatisfaction]],"Low","Medium","High","Very High")</f>
        <v>High</v>
      </c>
      <c r="AN765" s="1" t="str">
        <f>CHOOSE(HR_Data[[#This Row],[WorkLifeBalance]],"Bad","Good","Better","Best")</f>
        <v>Better</v>
      </c>
      <c r="AO765" s="1" t="str">
        <f>IF(HR_Data[[#This Row],[PercentSalaryHike]]&lt;=13,"11-13%",IF(HR_Data[[#This Row],[PercentSalaryHike]]&lt;=16,"14-16%",IF(HR_Data[[#This Row],[PercentSalaryHike]]&lt;=19,"17-19%","20-25%")))</f>
        <v>17-19%</v>
      </c>
      <c r="AP765" s="1">
        <f>IF(HR_Data[[#This Row],[PercentSalaryHike]]&lt;=13,1,IF(HR_Data[[#This Row],[PercentSalaryHike]]&lt;=16,2,IF(HR_Data[[#This Row],[PercentSalaryHike]]&lt;=19,3,4)))</f>
        <v>3</v>
      </c>
      <c r="AQ765" s="1" t="str">
        <f>IF(HR_Data[[#This Row],[DistanceFromHome]]&lt;=5,"1 to 5",IF(HR_Data[[#This Row],[DistanceFromHome]]&lt;=10,"6 to 10",IF(HR_Data[[#This Row],[DistanceFromHome]]&lt;=20,"11 to 20","21 to 29")))</f>
        <v>6 to 10</v>
      </c>
      <c r="AR765" s="1">
        <f>IF(HR_Data[[#This Row],[DistanceFromHome]]&lt;=5,1,IF(HR_Data[[#This Row],[DistanceFromHome]]&lt;=10,2,IF(HR_Data[[#This Row],[DistanceFromHome]]&lt;=20,3,4)))</f>
        <v>2</v>
      </c>
      <c r="AS765" s="1" t="str">
        <f>IF(HR_Data[[#This Row],[TotalWorkingYears]]&lt;=5,"0-5 Yrs",IF(HR_Data[[#This Row],[TotalWorkingYears]]&lt;=10,"6-10 Yrs",IF(HR_Data[[#This Row],[TotalWorkingYears]]&lt;=20,"11-20 Yrs","20+ Yrs")))</f>
        <v>0-5 Yrs</v>
      </c>
      <c r="AT765" s="1">
        <f>IF(HR_Data[[#This Row],[TotalWorkingYears]]&lt;=5,1,IF(HR_Data[[#This Row],[TotalWorkingYears]]&lt;=10,2,IF(HR_Data[[#This Row],[TotalWorkingYears]]&lt;=20,3,4)))</f>
        <v>1</v>
      </c>
    </row>
    <row r="766" spans="1:46" x14ac:dyDescent="0.25">
      <c r="A766">
        <v>28</v>
      </c>
      <c r="B766" t="s">
        <v>36</v>
      </c>
      <c r="C766" t="s">
        <v>30</v>
      </c>
      <c r="D766" t="s">
        <v>31</v>
      </c>
      <c r="E766">
        <v>10</v>
      </c>
      <c r="F766">
        <v>1</v>
      </c>
      <c r="G766" t="s">
        <v>44</v>
      </c>
      <c r="H766">
        <v>1056</v>
      </c>
      <c r="I766">
        <v>4</v>
      </c>
      <c r="J766" t="s">
        <v>39</v>
      </c>
      <c r="K766">
        <v>3</v>
      </c>
      <c r="L766">
        <v>1</v>
      </c>
      <c r="M766" t="s">
        <v>50</v>
      </c>
      <c r="N766">
        <v>2</v>
      </c>
      <c r="O766" t="s">
        <v>41</v>
      </c>
      <c r="P766">
        <v>1052</v>
      </c>
      <c r="Q766">
        <v>1</v>
      </c>
      <c r="R766" t="s">
        <v>36</v>
      </c>
      <c r="S766">
        <v>22</v>
      </c>
      <c r="T766">
        <v>4</v>
      </c>
      <c r="U766">
        <v>2</v>
      </c>
      <c r="V766">
        <v>0</v>
      </c>
      <c r="W766">
        <v>1</v>
      </c>
      <c r="X766">
        <v>5</v>
      </c>
      <c r="Y766">
        <v>3</v>
      </c>
      <c r="Z766">
        <v>1</v>
      </c>
      <c r="AA766">
        <v>0</v>
      </c>
      <c r="AB766">
        <v>0</v>
      </c>
      <c r="AC766">
        <v>0</v>
      </c>
      <c r="AD766">
        <f>IF(HR_Data[[#This Row],[Attrition]]="Yes",1,0)</f>
        <v>0</v>
      </c>
      <c r="AE766" t="str">
        <f>IF(HR_Data[[#This Row],[Age]]&lt;=25,"18-25",IF(HR_Data[[#This Row],[Age]]&lt;=35,"26-35",IF(HR_Data[[#This Row],[Age]]&lt;=45,"36-45",IF(HR_Data[[#This Row],[Age]]&lt;=55,"46-55","55+"))))</f>
        <v>26-35</v>
      </c>
      <c r="AF766">
        <f>IF(HR_Data[[#This Row],[Age]]&lt;=25,1,IF(HR_Data[[#This Row],[Age]]&lt;=35,2,IF(HR_Data[[#This Row],[Age]]&lt;=45,3,IF(HR_Data[[#This Row],[Age]]&lt;=55,4,5))))</f>
        <v>2</v>
      </c>
      <c r="AG766" s="1" t="str">
        <f>IF(HR_Data[[#This Row],[MonthlyIncome]]&lt;3000,"&lt;3K",IF(HR_Data[[#This Row],[MonthlyIncome]]&lt;6000,"3K-6K",IF(HR_Data[[#This Row],[MonthlyIncome]]&lt;10000,"6K-10K","10K+")))</f>
        <v>&lt;3K</v>
      </c>
      <c r="AH766" s="1">
        <f>IF(HR_Data[[#This Row],[MonthlyIncome]]&lt;3000,1,IF(HR_Data[[#This Row],[MonthlyIncome]]&lt;6000,2,IF(HR_Data[[#This Row],[MonthlyIncome]]&lt;10000,3,4)))</f>
        <v>1</v>
      </c>
      <c r="AI766" s="1" t="str">
        <f>IF(HR_Data[[#This Row],[YearsAtCompany]]&lt;=2,"0-2 Yrs",IF(HR_Data[[#This Row],[YearsAtCompany]]&lt;=5,"3-5 Yrs",IF(HR_Data[[#This Row],[YearsAtCompany]]&lt;=10,"6-10 Yrs","10+ Yrs")))</f>
        <v>0-2 Yrs</v>
      </c>
      <c r="AJ766" s="1">
        <f>IF(HR_Data[[#This Row],[YearsAtCompany]]&lt;=2,1,IF(HR_Data[[#This Row],[YearsAtCompany]]&lt;=5,2,IF(HR_Data[[#This Row],[YearsAtCompany]]&lt;=10,3,4)))</f>
        <v>1</v>
      </c>
      <c r="AK766" s="1" t="str">
        <f>CHOOSE(HR_Data[[#This Row],[Education]],"Below College","College","Bachelor","Master","Doctor")</f>
        <v>Below College</v>
      </c>
      <c r="AL766" s="1" t="str">
        <f>CHOOSE(HR_Data[[#This Row],[JobSatisfaction]],"Low","Medium","High","Very High")</f>
        <v>Medium</v>
      </c>
      <c r="AM766" s="1" t="str">
        <f>CHOOSE(HR_Data[[#This Row],[EnvironmentSatisfaction]],"Low","Medium","High","Very High")</f>
        <v>Very High</v>
      </c>
      <c r="AN766" s="1" t="str">
        <f>CHOOSE(HR_Data[[#This Row],[WorkLifeBalance]],"Bad","Good","Better","Best")</f>
        <v>Better</v>
      </c>
      <c r="AO766" s="1" t="str">
        <f>IF(HR_Data[[#This Row],[PercentSalaryHike]]&lt;=13,"11-13%",IF(HR_Data[[#This Row],[PercentSalaryHike]]&lt;=16,"14-16%",IF(HR_Data[[#This Row],[PercentSalaryHike]]&lt;=19,"17-19%","20-25%")))</f>
        <v>20-25%</v>
      </c>
      <c r="AP766" s="1">
        <f>IF(HR_Data[[#This Row],[PercentSalaryHike]]&lt;=13,1,IF(HR_Data[[#This Row],[PercentSalaryHike]]&lt;=16,2,IF(HR_Data[[#This Row],[PercentSalaryHike]]&lt;=19,3,4)))</f>
        <v>4</v>
      </c>
      <c r="AQ766" s="1" t="str">
        <f>IF(HR_Data[[#This Row],[DistanceFromHome]]&lt;=5,"1 to 5",IF(HR_Data[[#This Row],[DistanceFromHome]]&lt;=10,"6 to 10",IF(HR_Data[[#This Row],[DistanceFromHome]]&lt;=20,"11 to 20","21 to 29")))</f>
        <v>6 to 10</v>
      </c>
      <c r="AR766" s="1">
        <f>IF(HR_Data[[#This Row],[DistanceFromHome]]&lt;=5,1,IF(HR_Data[[#This Row],[DistanceFromHome]]&lt;=10,2,IF(HR_Data[[#This Row],[DistanceFromHome]]&lt;=20,3,4)))</f>
        <v>2</v>
      </c>
      <c r="AS766" s="1" t="str">
        <f>IF(HR_Data[[#This Row],[TotalWorkingYears]]&lt;=5,"0-5 Yrs",IF(HR_Data[[#This Row],[TotalWorkingYears]]&lt;=10,"6-10 Yrs",IF(HR_Data[[#This Row],[TotalWorkingYears]]&lt;=20,"11-20 Yrs","20+ Yrs")))</f>
        <v>0-5 Yrs</v>
      </c>
      <c r="AT766" s="1">
        <f>IF(HR_Data[[#This Row],[TotalWorkingYears]]&lt;=5,1,IF(HR_Data[[#This Row],[TotalWorkingYears]]&lt;=10,2,IF(HR_Data[[#This Row],[TotalWorkingYears]]&lt;=20,3,4)))</f>
        <v>1</v>
      </c>
    </row>
    <row r="767" spans="1:46" x14ac:dyDescent="0.25">
      <c r="A767">
        <v>38</v>
      </c>
      <c r="B767" t="s">
        <v>36</v>
      </c>
      <c r="C767" t="s">
        <v>37</v>
      </c>
      <c r="D767" t="s">
        <v>38</v>
      </c>
      <c r="E767">
        <v>3</v>
      </c>
      <c r="F767">
        <v>4</v>
      </c>
      <c r="G767" t="s">
        <v>42</v>
      </c>
      <c r="H767">
        <v>1060</v>
      </c>
      <c r="I767">
        <v>3</v>
      </c>
      <c r="J767" t="s">
        <v>39</v>
      </c>
      <c r="K767">
        <v>3</v>
      </c>
      <c r="L767">
        <v>1</v>
      </c>
      <c r="M767" t="s">
        <v>40</v>
      </c>
      <c r="N767">
        <v>3</v>
      </c>
      <c r="O767" t="s">
        <v>41</v>
      </c>
      <c r="P767">
        <v>2821</v>
      </c>
      <c r="Q767">
        <v>3</v>
      </c>
      <c r="R767" t="s">
        <v>36</v>
      </c>
      <c r="S767">
        <v>16</v>
      </c>
      <c r="T767">
        <v>3</v>
      </c>
      <c r="U767">
        <v>1</v>
      </c>
      <c r="V767">
        <v>1</v>
      </c>
      <c r="W767">
        <v>8</v>
      </c>
      <c r="X767">
        <v>2</v>
      </c>
      <c r="Y767">
        <v>3</v>
      </c>
      <c r="Z767">
        <v>2</v>
      </c>
      <c r="AA767">
        <v>2</v>
      </c>
      <c r="AB767">
        <v>2</v>
      </c>
      <c r="AC767">
        <v>2</v>
      </c>
      <c r="AD767">
        <f>IF(HR_Data[[#This Row],[Attrition]]="Yes",1,0)</f>
        <v>0</v>
      </c>
      <c r="AE767" t="str">
        <f>IF(HR_Data[[#This Row],[Age]]&lt;=25,"18-25",IF(HR_Data[[#This Row],[Age]]&lt;=35,"26-35",IF(HR_Data[[#This Row],[Age]]&lt;=45,"36-45",IF(HR_Data[[#This Row],[Age]]&lt;=55,"46-55","55+"))))</f>
        <v>36-45</v>
      </c>
      <c r="AF767">
        <f>IF(HR_Data[[#This Row],[Age]]&lt;=25,1,IF(HR_Data[[#This Row],[Age]]&lt;=35,2,IF(HR_Data[[#This Row],[Age]]&lt;=45,3,IF(HR_Data[[#This Row],[Age]]&lt;=55,4,5))))</f>
        <v>3</v>
      </c>
      <c r="AG767" s="1" t="str">
        <f>IF(HR_Data[[#This Row],[MonthlyIncome]]&lt;3000,"&lt;3K",IF(HR_Data[[#This Row],[MonthlyIncome]]&lt;6000,"3K-6K",IF(HR_Data[[#This Row],[MonthlyIncome]]&lt;10000,"6K-10K","10K+")))</f>
        <v>&lt;3K</v>
      </c>
      <c r="AH767" s="1">
        <f>IF(HR_Data[[#This Row],[MonthlyIncome]]&lt;3000,1,IF(HR_Data[[#This Row],[MonthlyIncome]]&lt;6000,2,IF(HR_Data[[#This Row],[MonthlyIncome]]&lt;10000,3,4)))</f>
        <v>1</v>
      </c>
      <c r="AI767" s="1" t="str">
        <f>IF(HR_Data[[#This Row],[YearsAtCompany]]&lt;=2,"0-2 Yrs",IF(HR_Data[[#This Row],[YearsAtCompany]]&lt;=5,"3-5 Yrs",IF(HR_Data[[#This Row],[YearsAtCompany]]&lt;=10,"6-10 Yrs","10+ Yrs")))</f>
        <v>0-2 Yrs</v>
      </c>
      <c r="AJ767" s="1">
        <f>IF(HR_Data[[#This Row],[YearsAtCompany]]&lt;=2,1,IF(HR_Data[[#This Row],[YearsAtCompany]]&lt;=5,2,IF(HR_Data[[#This Row],[YearsAtCompany]]&lt;=10,3,4)))</f>
        <v>1</v>
      </c>
      <c r="AK767" s="1" t="str">
        <f>CHOOSE(HR_Data[[#This Row],[Education]],"Below College","College","Bachelor","Master","Doctor")</f>
        <v>Master</v>
      </c>
      <c r="AL767" s="1" t="str">
        <f>CHOOSE(HR_Data[[#This Row],[JobSatisfaction]],"Low","Medium","High","Very High")</f>
        <v>High</v>
      </c>
      <c r="AM767" s="1" t="str">
        <f>CHOOSE(HR_Data[[#This Row],[EnvironmentSatisfaction]],"Low","Medium","High","Very High")</f>
        <v>High</v>
      </c>
      <c r="AN767" s="1" t="str">
        <f>CHOOSE(HR_Data[[#This Row],[WorkLifeBalance]],"Bad","Good","Better","Best")</f>
        <v>Better</v>
      </c>
      <c r="AO767" s="1" t="str">
        <f>IF(HR_Data[[#This Row],[PercentSalaryHike]]&lt;=13,"11-13%",IF(HR_Data[[#This Row],[PercentSalaryHike]]&lt;=16,"14-16%",IF(HR_Data[[#This Row],[PercentSalaryHike]]&lt;=19,"17-19%","20-25%")))</f>
        <v>14-16%</v>
      </c>
      <c r="AP767" s="1">
        <f>IF(HR_Data[[#This Row],[PercentSalaryHike]]&lt;=13,1,IF(HR_Data[[#This Row],[PercentSalaryHike]]&lt;=16,2,IF(HR_Data[[#This Row],[PercentSalaryHike]]&lt;=19,3,4)))</f>
        <v>2</v>
      </c>
      <c r="AQ767" s="1" t="str">
        <f>IF(HR_Data[[#This Row],[DistanceFromHome]]&lt;=5,"1 to 5",IF(HR_Data[[#This Row],[DistanceFromHome]]&lt;=10,"6 to 10",IF(HR_Data[[#This Row],[DistanceFromHome]]&lt;=20,"11 to 20","21 to 29")))</f>
        <v>1 to 5</v>
      </c>
      <c r="AR767" s="1">
        <f>IF(HR_Data[[#This Row],[DistanceFromHome]]&lt;=5,1,IF(HR_Data[[#This Row],[DistanceFromHome]]&lt;=10,2,IF(HR_Data[[#This Row],[DistanceFromHome]]&lt;=20,3,4)))</f>
        <v>1</v>
      </c>
      <c r="AS767" s="1" t="str">
        <f>IF(HR_Data[[#This Row],[TotalWorkingYears]]&lt;=5,"0-5 Yrs",IF(HR_Data[[#This Row],[TotalWorkingYears]]&lt;=10,"6-10 Yrs",IF(HR_Data[[#This Row],[TotalWorkingYears]]&lt;=20,"11-20 Yrs","20+ Yrs")))</f>
        <v>6-10 Yrs</v>
      </c>
      <c r="AT767" s="1">
        <f>IF(HR_Data[[#This Row],[TotalWorkingYears]]&lt;=5,1,IF(HR_Data[[#This Row],[TotalWorkingYears]]&lt;=10,2,IF(HR_Data[[#This Row],[TotalWorkingYears]]&lt;=20,3,4)))</f>
        <v>2</v>
      </c>
    </row>
    <row r="768" spans="1:46" x14ac:dyDescent="0.25">
      <c r="A768">
        <v>50</v>
      </c>
      <c r="B768" t="s">
        <v>36</v>
      </c>
      <c r="C768" t="s">
        <v>30</v>
      </c>
      <c r="D768" t="s">
        <v>38</v>
      </c>
      <c r="E768">
        <v>2</v>
      </c>
      <c r="F768">
        <v>4</v>
      </c>
      <c r="G768" t="s">
        <v>44</v>
      </c>
      <c r="H768">
        <v>1061</v>
      </c>
      <c r="I768">
        <v>2</v>
      </c>
      <c r="J768" t="s">
        <v>39</v>
      </c>
      <c r="K768">
        <v>3</v>
      </c>
      <c r="L768">
        <v>5</v>
      </c>
      <c r="M768" t="s">
        <v>51</v>
      </c>
      <c r="N768">
        <v>3</v>
      </c>
      <c r="O768" t="s">
        <v>41</v>
      </c>
      <c r="P768">
        <v>19237</v>
      </c>
      <c r="Q768">
        <v>2</v>
      </c>
      <c r="R768" t="s">
        <v>29</v>
      </c>
      <c r="S768">
        <v>11</v>
      </c>
      <c r="T768">
        <v>3</v>
      </c>
      <c r="U768">
        <v>4</v>
      </c>
      <c r="V768">
        <v>1</v>
      </c>
      <c r="W768">
        <v>29</v>
      </c>
      <c r="X768">
        <v>2</v>
      </c>
      <c r="Y768">
        <v>2</v>
      </c>
      <c r="Z768">
        <v>8</v>
      </c>
      <c r="AA768">
        <v>1</v>
      </c>
      <c r="AB768">
        <v>7</v>
      </c>
      <c r="AC768">
        <v>7</v>
      </c>
      <c r="AD768">
        <f>IF(HR_Data[[#This Row],[Attrition]]="Yes",1,0)</f>
        <v>0</v>
      </c>
      <c r="AE768" t="str">
        <f>IF(HR_Data[[#This Row],[Age]]&lt;=25,"18-25",IF(HR_Data[[#This Row],[Age]]&lt;=35,"26-35",IF(HR_Data[[#This Row],[Age]]&lt;=45,"36-45",IF(HR_Data[[#This Row],[Age]]&lt;=55,"46-55","55+"))))</f>
        <v>46-55</v>
      </c>
      <c r="AF768">
        <f>IF(HR_Data[[#This Row],[Age]]&lt;=25,1,IF(HR_Data[[#This Row],[Age]]&lt;=35,2,IF(HR_Data[[#This Row],[Age]]&lt;=45,3,IF(HR_Data[[#This Row],[Age]]&lt;=55,4,5))))</f>
        <v>4</v>
      </c>
      <c r="AG768" s="1" t="str">
        <f>IF(HR_Data[[#This Row],[MonthlyIncome]]&lt;3000,"&lt;3K",IF(HR_Data[[#This Row],[MonthlyIncome]]&lt;6000,"3K-6K",IF(HR_Data[[#This Row],[MonthlyIncome]]&lt;10000,"6K-10K","10K+")))</f>
        <v>10K+</v>
      </c>
      <c r="AH768" s="1">
        <f>IF(HR_Data[[#This Row],[MonthlyIncome]]&lt;3000,1,IF(HR_Data[[#This Row],[MonthlyIncome]]&lt;6000,2,IF(HR_Data[[#This Row],[MonthlyIncome]]&lt;10000,3,4)))</f>
        <v>4</v>
      </c>
      <c r="AI768" s="1" t="str">
        <f>IF(HR_Data[[#This Row],[YearsAtCompany]]&lt;=2,"0-2 Yrs",IF(HR_Data[[#This Row],[YearsAtCompany]]&lt;=5,"3-5 Yrs",IF(HR_Data[[#This Row],[YearsAtCompany]]&lt;=10,"6-10 Yrs","10+ Yrs")))</f>
        <v>6-10 Yrs</v>
      </c>
      <c r="AJ768" s="1">
        <f>IF(HR_Data[[#This Row],[YearsAtCompany]]&lt;=2,1,IF(HR_Data[[#This Row],[YearsAtCompany]]&lt;=5,2,IF(HR_Data[[#This Row],[YearsAtCompany]]&lt;=10,3,4)))</f>
        <v>3</v>
      </c>
      <c r="AK768" s="1" t="str">
        <f>CHOOSE(HR_Data[[#This Row],[Education]],"Below College","College","Bachelor","Master","Doctor")</f>
        <v>Master</v>
      </c>
      <c r="AL768" s="1" t="str">
        <f>CHOOSE(HR_Data[[#This Row],[JobSatisfaction]],"Low","Medium","High","Very High")</f>
        <v>High</v>
      </c>
      <c r="AM768" s="1" t="str">
        <f>CHOOSE(HR_Data[[#This Row],[EnvironmentSatisfaction]],"Low","Medium","High","Very High")</f>
        <v>Medium</v>
      </c>
      <c r="AN768" s="1" t="str">
        <f>CHOOSE(HR_Data[[#This Row],[WorkLifeBalance]],"Bad","Good","Better","Best")</f>
        <v>Good</v>
      </c>
      <c r="AO768" s="1" t="str">
        <f>IF(HR_Data[[#This Row],[PercentSalaryHike]]&lt;=13,"11-13%",IF(HR_Data[[#This Row],[PercentSalaryHike]]&lt;=16,"14-16%",IF(HR_Data[[#This Row],[PercentSalaryHike]]&lt;=19,"17-19%","20-25%")))</f>
        <v>11-13%</v>
      </c>
      <c r="AP768" s="1">
        <f>IF(HR_Data[[#This Row],[PercentSalaryHike]]&lt;=13,1,IF(HR_Data[[#This Row],[PercentSalaryHike]]&lt;=16,2,IF(HR_Data[[#This Row],[PercentSalaryHike]]&lt;=19,3,4)))</f>
        <v>1</v>
      </c>
      <c r="AQ768" s="1" t="str">
        <f>IF(HR_Data[[#This Row],[DistanceFromHome]]&lt;=5,"1 to 5",IF(HR_Data[[#This Row],[DistanceFromHome]]&lt;=10,"6 to 10",IF(HR_Data[[#This Row],[DistanceFromHome]]&lt;=20,"11 to 20","21 to 29")))</f>
        <v>1 to 5</v>
      </c>
      <c r="AR768" s="1">
        <f>IF(HR_Data[[#This Row],[DistanceFromHome]]&lt;=5,1,IF(HR_Data[[#This Row],[DistanceFromHome]]&lt;=10,2,IF(HR_Data[[#This Row],[DistanceFromHome]]&lt;=20,3,4)))</f>
        <v>1</v>
      </c>
      <c r="AS768" s="1" t="str">
        <f>IF(HR_Data[[#This Row],[TotalWorkingYears]]&lt;=5,"0-5 Yrs",IF(HR_Data[[#This Row],[TotalWorkingYears]]&lt;=10,"6-10 Yrs",IF(HR_Data[[#This Row],[TotalWorkingYears]]&lt;=20,"11-20 Yrs","20+ Yrs")))</f>
        <v>20+ Yrs</v>
      </c>
      <c r="AT768" s="1">
        <f>IF(HR_Data[[#This Row],[TotalWorkingYears]]&lt;=5,1,IF(HR_Data[[#This Row],[TotalWorkingYears]]&lt;=10,2,IF(HR_Data[[#This Row],[TotalWorkingYears]]&lt;=20,3,4)))</f>
        <v>4</v>
      </c>
    </row>
    <row r="769" spans="1:46" x14ac:dyDescent="0.25">
      <c r="A769">
        <v>37</v>
      </c>
      <c r="B769" t="s">
        <v>36</v>
      </c>
      <c r="C769" t="s">
        <v>30</v>
      </c>
      <c r="D769" t="s">
        <v>38</v>
      </c>
      <c r="E769">
        <v>3</v>
      </c>
      <c r="F769">
        <v>3</v>
      </c>
      <c r="G769" t="s">
        <v>42</v>
      </c>
      <c r="H769">
        <v>1062</v>
      </c>
      <c r="I769">
        <v>4</v>
      </c>
      <c r="J769" t="s">
        <v>33</v>
      </c>
      <c r="K769">
        <v>3</v>
      </c>
      <c r="L769">
        <v>2</v>
      </c>
      <c r="M769" t="s">
        <v>47</v>
      </c>
      <c r="N769">
        <v>2</v>
      </c>
      <c r="O769" t="s">
        <v>35</v>
      </c>
      <c r="P769">
        <v>4107</v>
      </c>
      <c r="Q769">
        <v>3</v>
      </c>
      <c r="R769" t="s">
        <v>36</v>
      </c>
      <c r="S769">
        <v>15</v>
      </c>
      <c r="T769">
        <v>3</v>
      </c>
      <c r="U769">
        <v>1</v>
      </c>
      <c r="V769">
        <v>0</v>
      </c>
      <c r="W769">
        <v>8</v>
      </c>
      <c r="X769">
        <v>3</v>
      </c>
      <c r="Y769">
        <v>2</v>
      </c>
      <c r="Z769">
        <v>4</v>
      </c>
      <c r="AA769">
        <v>3</v>
      </c>
      <c r="AB769">
        <v>0</v>
      </c>
      <c r="AC769">
        <v>1</v>
      </c>
      <c r="AD769">
        <f>IF(HR_Data[[#This Row],[Attrition]]="Yes",1,0)</f>
        <v>0</v>
      </c>
      <c r="AE769" t="str">
        <f>IF(HR_Data[[#This Row],[Age]]&lt;=25,"18-25",IF(HR_Data[[#This Row],[Age]]&lt;=35,"26-35",IF(HR_Data[[#This Row],[Age]]&lt;=45,"36-45",IF(HR_Data[[#This Row],[Age]]&lt;=55,"46-55","55+"))))</f>
        <v>36-45</v>
      </c>
      <c r="AF769">
        <f>IF(HR_Data[[#This Row],[Age]]&lt;=25,1,IF(HR_Data[[#This Row],[Age]]&lt;=35,2,IF(HR_Data[[#This Row],[Age]]&lt;=45,3,IF(HR_Data[[#This Row],[Age]]&lt;=55,4,5))))</f>
        <v>3</v>
      </c>
      <c r="AG769" s="1" t="str">
        <f>IF(HR_Data[[#This Row],[MonthlyIncome]]&lt;3000,"&lt;3K",IF(HR_Data[[#This Row],[MonthlyIncome]]&lt;6000,"3K-6K",IF(HR_Data[[#This Row],[MonthlyIncome]]&lt;10000,"6K-10K","10K+")))</f>
        <v>3K-6K</v>
      </c>
      <c r="AH769" s="1">
        <f>IF(HR_Data[[#This Row],[MonthlyIncome]]&lt;3000,1,IF(HR_Data[[#This Row],[MonthlyIncome]]&lt;6000,2,IF(HR_Data[[#This Row],[MonthlyIncome]]&lt;10000,3,4)))</f>
        <v>2</v>
      </c>
      <c r="AI769" s="1" t="str">
        <f>IF(HR_Data[[#This Row],[YearsAtCompany]]&lt;=2,"0-2 Yrs",IF(HR_Data[[#This Row],[YearsAtCompany]]&lt;=5,"3-5 Yrs",IF(HR_Data[[#This Row],[YearsAtCompany]]&lt;=10,"6-10 Yrs","10+ Yrs")))</f>
        <v>3-5 Yrs</v>
      </c>
      <c r="AJ769" s="1">
        <f>IF(HR_Data[[#This Row],[YearsAtCompany]]&lt;=2,1,IF(HR_Data[[#This Row],[YearsAtCompany]]&lt;=5,2,IF(HR_Data[[#This Row],[YearsAtCompany]]&lt;=10,3,4)))</f>
        <v>2</v>
      </c>
      <c r="AK769" s="1" t="str">
        <f>CHOOSE(HR_Data[[#This Row],[Education]],"Below College","College","Bachelor","Master","Doctor")</f>
        <v>Bachelor</v>
      </c>
      <c r="AL769" s="1" t="str">
        <f>CHOOSE(HR_Data[[#This Row],[JobSatisfaction]],"Low","Medium","High","Very High")</f>
        <v>Medium</v>
      </c>
      <c r="AM769" s="1" t="str">
        <f>CHOOSE(HR_Data[[#This Row],[EnvironmentSatisfaction]],"Low","Medium","High","Very High")</f>
        <v>Very High</v>
      </c>
      <c r="AN769" s="1" t="str">
        <f>CHOOSE(HR_Data[[#This Row],[WorkLifeBalance]],"Bad","Good","Better","Best")</f>
        <v>Good</v>
      </c>
      <c r="AO769" s="1" t="str">
        <f>IF(HR_Data[[#This Row],[PercentSalaryHike]]&lt;=13,"11-13%",IF(HR_Data[[#This Row],[PercentSalaryHike]]&lt;=16,"14-16%",IF(HR_Data[[#This Row],[PercentSalaryHike]]&lt;=19,"17-19%","20-25%")))</f>
        <v>14-16%</v>
      </c>
      <c r="AP769" s="1">
        <f>IF(HR_Data[[#This Row],[PercentSalaryHike]]&lt;=13,1,IF(HR_Data[[#This Row],[PercentSalaryHike]]&lt;=16,2,IF(HR_Data[[#This Row],[PercentSalaryHike]]&lt;=19,3,4)))</f>
        <v>2</v>
      </c>
      <c r="AQ769" s="1" t="str">
        <f>IF(HR_Data[[#This Row],[DistanceFromHome]]&lt;=5,"1 to 5",IF(HR_Data[[#This Row],[DistanceFromHome]]&lt;=10,"6 to 10",IF(HR_Data[[#This Row],[DistanceFromHome]]&lt;=20,"11 to 20","21 to 29")))</f>
        <v>1 to 5</v>
      </c>
      <c r="AR769" s="1">
        <f>IF(HR_Data[[#This Row],[DistanceFromHome]]&lt;=5,1,IF(HR_Data[[#This Row],[DistanceFromHome]]&lt;=10,2,IF(HR_Data[[#This Row],[DistanceFromHome]]&lt;=20,3,4)))</f>
        <v>1</v>
      </c>
      <c r="AS769" s="1" t="str">
        <f>IF(HR_Data[[#This Row],[TotalWorkingYears]]&lt;=5,"0-5 Yrs",IF(HR_Data[[#This Row],[TotalWorkingYears]]&lt;=10,"6-10 Yrs",IF(HR_Data[[#This Row],[TotalWorkingYears]]&lt;=20,"11-20 Yrs","20+ Yrs")))</f>
        <v>6-10 Yrs</v>
      </c>
      <c r="AT769" s="1">
        <f>IF(HR_Data[[#This Row],[TotalWorkingYears]]&lt;=5,1,IF(HR_Data[[#This Row],[TotalWorkingYears]]&lt;=10,2,IF(HR_Data[[#This Row],[TotalWorkingYears]]&lt;=20,3,4)))</f>
        <v>2</v>
      </c>
    </row>
    <row r="770" spans="1:46" x14ac:dyDescent="0.25">
      <c r="A770">
        <v>40</v>
      </c>
      <c r="B770" t="s">
        <v>36</v>
      </c>
      <c r="C770" t="s">
        <v>30</v>
      </c>
      <c r="D770" t="s">
        <v>31</v>
      </c>
      <c r="E770">
        <v>26</v>
      </c>
      <c r="F770">
        <v>3</v>
      </c>
      <c r="G770" t="s">
        <v>52</v>
      </c>
      <c r="H770">
        <v>1066</v>
      </c>
      <c r="I770">
        <v>3</v>
      </c>
      <c r="J770" t="s">
        <v>39</v>
      </c>
      <c r="K770">
        <v>3</v>
      </c>
      <c r="L770">
        <v>2</v>
      </c>
      <c r="M770" t="s">
        <v>34</v>
      </c>
      <c r="N770">
        <v>1</v>
      </c>
      <c r="O770" t="s">
        <v>41</v>
      </c>
      <c r="P770">
        <v>8396</v>
      </c>
      <c r="Q770">
        <v>1</v>
      </c>
      <c r="R770" t="s">
        <v>36</v>
      </c>
      <c r="S770">
        <v>14</v>
      </c>
      <c r="T770">
        <v>3</v>
      </c>
      <c r="U770">
        <v>2</v>
      </c>
      <c r="V770">
        <v>1</v>
      </c>
      <c r="W770">
        <v>8</v>
      </c>
      <c r="X770">
        <v>3</v>
      </c>
      <c r="Y770">
        <v>2</v>
      </c>
      <c r="Z770">
        <v>7</v>
      </c>
      <c r="AA770">
        <v>7</v>
      </c>
      <c r="AB770">
        <v>7</v>
      </c>
      <c r="AC770">
        <v>5</v>
      </c>
      <c r="AD770">
        <f>IF(HR_Data[[#This Row],[Attrition]]="Yes",1,0)</f>
        <v>0</v>
      </c>
      <c r="AE770" t="str">
        <f>IF(HR_Data[[#This Row],[Age]]&lt;=25,"18-25",IF(HR_Data[[#This Row],[Age]]&lt;=35,"26-35",IF(HR_Data[[#This Row],[Age]]&lt;=45,"36-45",IF(HR_Data[[#This Row],[Age]]&lt;=55,"46-55","55+"))))</f>
        <v>36-45</v>
      </c>
      <c r="AF770">
        <f>IF(HR_Data[[#This Row],[Age]]&lt;=25,1,IF(HR_Data[[#This Row],[Age]]&lt;=35,2,IF(HR_Data[[#This Row],[Age]]&lt;=45,3,IF(HR_Data[[#This Row],[Age]]&lt;=55,4,5))))</f>
        <v>3</v>
      </c>
      <c r="AG770" s="1" t="str">
        <f>IF(HR_Data[[#This Row],[MonthlyIncome]]&lt;3000,"&lt;3K",IF(HR_Data[[#This Row],[MonthlyIncome]]&lt;6000,"3K-6K",IF(HR_Data[[#This Row],[MonthlyIncome]]&lt;10000,"6K-10K","10K+")))</f>
        <v>6K-10K</v>
      </c>
      <c r="AH770" s="1">
        <f>IF(HR_Data[[#This Row],[MonthlyIncome]]&lt;3000,1,IF(HR_Data[[#This Row],[MonthlyIncome]]&lt;6000,2,IF(HR_Data[[#This Row],[MonthlyIncome]]&lt;10000,3,4)))</f>
        <v>3</v>
      </c>
      <c r="AI770" s="1" t="str">
        <f>IF(HR_Data[[#This Row],[YearsAtCompany]]&lt;=2,"0-2 Yrs",IF(HR_Data[[#This Row],[YearsAtCompany]]&lt;=5,"3-5 Yrs",IF(HR_Data[[#This Row],[YearsAtCompany]]&lt;=10,"6-10 Yrs","10+ Yrs")))</f>
        <v>6-10 Yrs</v>
      </c>
      <c r="AJ770" s="1">
        <f>IF(HR_Data[[#This Row],[YearsAtCompany]]&lt;=2,1,IF(HR_Data[[#This Row],[YearsAtCompany]]&lt;=5,2,IF(HR_Data[[#This Row],[YearsAtCompany]]&lt;=10,3,4)))</f>
        <v>3</v>
      </c>
      <c r="AK770" s="1" t="str">
        <f>CHOOSE(HR_Data[[#This Row],[Education]],"Below College","College","Bachelor","Master","Doctor")</f>
        <v>Bachelor</v>
      </c>
      <c r="AL770" s="1" t="str">
        <f>CHOOSE(HR_Data[[#This Row],[JobSatisfaction]],"Low","Medium","High","Very High")</f>
        <v>Low</v>
      </c>
      <c r="AM770" s="1" t="str">
        <f>CHOOSE(HR_Data[[#This Row],[EnvironmentSatisfaction]],"Low","Medium","High","Very High")</f>
        <v>High</v>
      </c>
      <c r="AN770" s="1" t="str">
        <f>CHOOSE(HR_Data[[#This Row],[WorkLifeBalance]],"Bad","Good","Better","Best")</f>
        <v>Good</v>
      </c>
      <c r="AO770" s="1" t="str">
        <f>IF(HR_Data[[#This Row],[PercentSalaryHike]]&lt;=13,"11-13%",IF(HR_Data[[#This Row],[PercentSalaryHike]]&lt;=16,"14-16%",IF(HR_Data[[#This Row],[PercentSalaryHike]]&lt;=19,"17-19%","20-25%")))</f>
        <v>14-16%</v>
      </c>
      <c r="AP770" s="1">
        <f>IF(HR_Data[[#This Row],[PercentSalaryHike]]&lt;=13,1,IF(HR_Data[[#This Row],[PercentSalaryHike]]&lt;=16,2,IF(HR_Data[[#This Row],[PercentSalaryHike]]&lt;=19,3,4)))</f>
        <v>2</v>
      </c>
      <c r="AQ770" s="1" t="str">
        <f>IF(HR_Data[[#This Row],[DistanceFromHome]]&lt;=5,"1 to 5",IF(HR_Data[[#This Row],[DistanceFromHome]]&lt;=10,"6 to 10",IF(HR_Data[[#This Row],[DistanceFromHome]]&lt;=20,"11 to 20","21 to 29")))</f>
        <v>21 to 29</v>
      </c>
      <c r="AR770" s="1">
        <f>IF(HR_Data[[#This Row],[DistanceFromHome]]&lt;=5,1,IF(HR_Data[[#This Row],[DistanceFromHome]]&lt;=10,2,IF(HR_Data[[#This Row],[DistanceFromHome]]&lt;=20,3,4)))</f>
        <v>4</v>
      </c>
      <c r="AS770" s="1" t="str">
        <f>IF(HR_Data[[#This Row],[TotalWorkingYears]]&lt;=5,"0-5 Yrs",IF(HR_Data[[#This Row],[TotalWorkingYears]]&lt;=10,"6-10 Yrs",IF(HR_Data[[#This Row],[TotalWorkingYears]]&lt;=20,"11-20 Yrs","20+ Yrs")))</f>
        <v>6-10 Yrs</v>
      </c>
      <c r="AT770" s="1">
        <f>IF(HR_Data[[#This Row],[TotalWorkingYears]]&lt;=5,1,IF(HR_Data[[#This Row],[TotalWorkingYears]]&lt;=10,2,IF(HR_Data[[#This Row],[TotalWorkingYears]]&lt;=20,3,4)))</f>
        <v>2</v>
      </c>
    </row>
    <row r="771" spans="1:46" x14ac:dyDescent="0.25">
      <c r="A771">
        <v>26</v>
      </c>
      <c r="B771" t="s">
        <v>36</v>
      </c>
      <c r="C771" t="s">
        <v>37</v>
      </c>
      <c r="D771" t="s">
        <v>38</v>
      </c>
      <c r="E771">
        <v>1</v>
      </c>
      <c r="F771">
        <v>1</v>
      </c>
      <c r="G771" t="s">
        <v>44</v>
      </c>
      <c r="H771">
        <v>1068</v>
      </c>
      <c r="I771">
        <v>1</v>
      </c>
      <c r="J771" t="s">
        <v>33</v>
      </c>
      <c r="K771">
        <v>2</v>
      </c>
      <c r="L771">
        <v>1</v>
      </c>
      <c r="M771" t="s">
        <v>40</v>
      </c>
      <c r="N771">
        <v>3</v>
      </c>
      <c r="O771" t="s">
        <v>45</v>
      </c>
      <c r="P771">
        <v>2007</v>
      </c>
      <c r="Q771">
        <v>1</v>
      </c>
      <c r="R771" t="s">
        <v>36</v>
      </c>
      <c r="S771">
        <v>13</v>
      </c>
      <c r="T771">
        <v>3</v>
      </c>
      <c r="U771">
        <v>3</v>
      </c>
      <c r="V771">
        <v>2</v>
      </c>
      <c r="W771">
        <v>5</v>
      </c>
      <c r="X771">
        <v>5</v>
      </c>
      <c r="Y771">
        <v>3</v>
      </c>
      <c r="Z771">
        <v>5</v>
      </c>
      <c r="AA771">
        <v>3</v>
      </c>
      <c r="AB771">
        <v>1</v>
      </c>
      <c r="AC771">
        <v>3</v>
      </c>
      <c r="AD771">
        <f>IF(HR_Data[[#This Row],[Attrition]]="Yes",1,0)</f>
        <v>0</v>
      </c>
      <c r="AE771" t="str">
        <f>IF(HR_Data[[#This Row],[Age]]&lt;=25,"18-25",IF(HR_Data[[#This Row],[Age]]&lt;=35,"26-35",IF(HR_Data[[#This Row],[Age]]&lt;=45,"36-45",IF(HR_Data[[#This Row],[Age]]&lt;=55,"46-55","55+"))))</f>
        <v>26-35</v>
      </c>
      <c r="AF771">
        <f>IF(HR_Data[[#This Row],[Age]]&lt;=25,1,IF(HR_Data[[#This Row],[Age]]&lt;=35,2,IF(HR_Data[[#This Row],[Age]]&lt;=45,3,IF(HR_Data[[#This Row],[Age]]&lt;=55,4,5))))</f>
        <v>2</v>
      </c>
      <c r="AG771" s="1" t="str">
        <f>IF(HR_Data[[#This Row],[MonthlyIncome]]&lt;3000,"&lt;3K",IF(HR_Data[[#This Row],[MonthlyIncome]]&lt;6000,"3K-6K",IF(HR_Data[[#This Row],[MonthlyIncome]]&lt;10000,"6K-10K","10K+")))</f>
        <v>&lt;3K</v>
      </c>
      <c r="AH771" s="1">
        <f>IF(HR_Data[[#This Row],[MonthlyIncome]]&lt;3000,1,IF(HR_Data[[#This Row],[MonthlyIncome]]&lt;6000,2,IF(HR_Data[[#This Row],[MonthlyIncome]]&lt;10000,3,4)))</f>
        <v>1</v>
      </c>
      <c r="AI771" s="1" t="str">
        <f>IF(HR_Data[[#This Row],[YearsAtCompany]]&lt;=2,"0-2 Yrs",IF(HR_Data[[#This Row],[YearsAtCompany]]&lt;=5,"3-5 Yrs",IF(HR_Data[[#This Row],[YearsAtCompany]]&lt;=10,"6-10 Yrs","10+ Yrs")))</f>
        <v>3-5 Yrs</v>
      </c>
      <c r="AJ771" s="1">
        <f>IF(HR_Data[[#This Row],[YearsAtCompany]]&lt;=2,1,IF(HR_Data[[#This Row],[YearsAtCompany]]&lt;=5,2,IF(HR_Data[[#This Row],[YearsAtCompany]]&lt;=10,3,4)))</f>
        <v>2</v>
      </c>
      <c r="AK771" s="1" t="str">
        <f>CHOOSE(HR_Data[[#This Row],[Education]],"Below College","College","Bachelor","Master","Doctor")</f>
        <v>Below College</v>
      </c>
      <c r="AL771" s="1" t="str">
        <f>CHOOSE(HR_Data[[#This Row],[JobSatisfaction]],"Low","Medium","High","Very High")</f>
        <v>High</v>
      </c>
      <c r="AM771" s="1" t="str">
        <f>CHOOSE(HR_Data[[#This Row],[EnvironmentSatisfaction]],"Low","Medium","High","Very High")</f>
        <v>Low</v>
      </c>
      <c r="AN771" s="1" t="str">
        <f>CHOOSE(HR_Data[[#This Row],[WorkLifeBalance]],"Bad","Good","Better","Best")</f>
        <v>Better</v>
      </c>
      <c r="AO771" s="1" t="str">
        <f>IF(HR_Data[[#This Row],[PercentSalaryHike]]&lt;=13,"11-13%",IF(HR_Data[[#This Row],[PercentSalaryHike]]&lt;=16,"14-16%",IF(HR_Data[[#This Row],[PercentSalaryHike]]&lt;=19,"17-19%","20-25%")))</f>
        <v>11-13%</v>
      </c>
      <c r="AP771" s="1">
        <f>IF(HR_Data[[#This Row],[PercentSalaryHike]]&lt;=13,1,IF(HR_Data[[#This Row],[PercentSalaryHike]]&lt;=16,2,IF(HR_Data[[#This Row],[PercentSalaryHike]]&lt;=19,3,4)))</f>
        <v>1</v>
      </c>
      <c r="AQ771" s="1" t="str">
        <f>IF(HR_Data[[#This Row],[DistanceFromHome]]&lt;=5,"1 to 5",IF(HR_Data[[#This Row],[DistanceFromHome]]&lt;=10,"6 to 10",IF(HR_Data[[#This Row],[DistanceFromHome]]&lt;=20,"11 to 20","21 to 29")))</f>
        <v>1 to 5</v>
      </c>
      <c r="AR771" s="1">
        <f>IF(HR_Data[[#This Row],[DistanceFromHome]]&lt;=5,1,IF(HR_Data[[#This Row],[DistanceFromHome]]&lt;=10,2,IF(HR_Data[[#This Row],[DistanceFromHome]]&lt;=20,3,4)))</f>
        <v>1</v>
      </c>
      <c r="AS771" s="1" t="str">
        <f>IF(HR_Data[[#This Row],[TotalWorkingYears]]&lt;=5,"0-5 Yrs",IF(HR_Data[[#This Row],[TotalWorkingYears]]&lt;=10,"6-10 Yrs",IF(HR_Data[[#This Row],[TotalWorkingYears]]&lt;=20,"11-20 Yrs","20+ Yrs")))</f>
        <v>0-5 Yrs</v>
      </c>
      <c r="AT771" s="1">
        <f>IF(HR_Data[[#This Row],[TotalWorkingYears]]&lt;=5,1,IF(HR_Data[[#This Row],[TotalWorkingYears]]&lt;=10,2,IF(HR_Data[[#This Row],[TotalWorkingYears]]&lt;=20,3,4)))</f>
        <v>1</v>
      </c>
    </row>
    <row r="772" spans="1:46" x14ac:dyDescent="0.25">
      <c r="A772">
        <v>46</v>
      </c>
      <c r="B772" t="s">
        <v>36</v>
      </c>
      <c r="C772" t="s">
        <v>30</v>
      </c>
      <c r="D772" t="s">
        <v>38</v>
      </c>
      <c r="E772">
        <v>1</v>
      </c>
      <c r="F772">
        <v>4</v>
      </c>
      <c r="G772" t="s">
        <v>44</v>
      </c>
      <c r="H772">
        <v>1069</v>
      </c>
      <c r="I772">
        <v>4</v>
      </c>
      <c r="J772" t="s">
        <v>39</v>
      </c>
      <c r="K772">
        <v>3</v>
      </c>
      <c r="L772">
        <v>5</v>
      </c>
      <c r="M772" t="s">
        <v>51</v>
      </c>
      <c r="N772">
        <v>4</v>
      </c>
      <c r="O772" t="s">
        <v>45</v>
      </c>
      <c r="P772">
        <v>19627</v>
      </c>
      <c r="Q772">
        <v>9</v>
      </c>
      <c r="R772" t="s">
        <v>36</v>
      </c>
      <c r="S772">
        <v>17</v>
      </c>
      <c r="T772">
        <v>3</v>
      </c>
      <c r="U772">
        <v>4</v>
      </c>
      <c r="V772">
        <v>2</v>
      </c>
      <c r="W772">
        <v>23</v>
      </c>
      <c r="X772">
        <v>0</v>
      </c>
      <c r="Y772">
        <v>3</v>
      </c>
      <c r="Z772">
        <v>2</v>
      </c>
      <c r="AA772">
        <v>2</v>
      </c>
      <c r="AB772">
        <v>2</v>
      </c>
      <c r="AC772">
        <v>2</v>
      </c>
      <c r="AD772">
        <f>IF(HR_Data[[#This Row],[Attrition]]="Yes",1,0)</f>
        <v>0</v>
      </c>
      <c r="AE772" t="str">
        <f>IF(HR_Data[[#This Row],[Age]]&lt;=25,"18-25",IF(HR_Data[[#This Row],[Age]]&lt;=35,"26-35",IF(HR_Data[[#This Row],[Age]]&lt;=45,"36-45",IF(HR_Data[[#This Row],[Age]]&lt;=55,"46-55","55+"))))</f>
        <v>46-55</v>
      </c>
      <c r="AF772">
        <f>IF(HR_Data[[#This Row],[Age]]&lt;=25,1,IF(HR_Data[[#This Row],[Age]]&lt;=35,2,IF(HR_Data[[#This Row],[Age]]&lt;=45,3,IF(HR_Data[[#This Row],[Age]]&lt;=55,4,5))))</f>
        <v>4</v>
      </c>
      <c r="AG772" s="1" t="str">
        <f>IF(HR_Data[[#This Row],[MonthlyIncome]]&lt;3000,"&lt;3K",IF(HR_Data[[#This Row],[MonthlyIncome]]&lt;6000,"3K-6K",IF(HR_Data[[#This Row],[MonthlyIncome]]&lt;10000,"6K-10K","10K+")))</f>
        <v>10K+</v>
      </c>
      <c r="AH772" s="1">
        <f>IF(HR_Data[[#This Row],[MonthlyIncome]]&lt;3000,1,IF(HR_Data[[#This Row],[MonthlyIncome]]&lt;6000,2,IF(HR_Data[[#This Row],[MonthlyIncome]]&lt;10000,3,4)))</f>
        <v>4</v>
      </c>
      <c r="AI772" s="1" t="str">
        <f>IF(HR_Data[[#This Row],[YearsAtCompany]]&lt;=2,"0-2 Yrs",IF(HR_Data[[#This Row],[YearsAtCompany]]&lt;=5,"3-5 Yrs",IF(HR_Data[[#This Row],[YearsAtCompany]]&lt;=10,"6-10 Yrs","10+ Yrs")))</f>
        <v>0-2 Yrs</v>
      </c>
      <c r="AJ772" s="1">
        <f>IF(HR_Data[[#This Row],[YearsAtCompany]]&lt;=2,1,IF(HR_Data[[#This Row],[YearsAtCompany]]&lt;=5,2,IF(HR_Data[[#This Row],[YearsAtCompany]]&lt;=10,3,4)))</f>
        <v>1</v>
      </c>
      <c r="AK772" s="1" t="str">
        <f>CHOOSE(HR_Data[[#This Row],[Education]],"Below College","College","Bachelor","Master","Doctor")</f>
        <v>Master</v>
      </c>
      <c r="AL772" s="1" t="str">
        <f>CHOOSE(HR_Data[[#This Row],[JobSatisfaction]],"Low","Medium","High","Very High")</f>
        <v>Very High</v>
      </c>
      <c r="AM772" s="1" t="str">
        <f>CHOOSE(HR_Data[[#This Row],[EnvironmentSatisfaction]],"Low","Medium","High","Very High")</f>
        <v>Very High</v>
      </c>
      <c r="AN772" s="1" t="str">
        <f>CHOOSE(HR_Data[[#This Row],[WorkLifeBalance]],"Bad","Good","Better","Best")</f>
        <v>Better</v>
      </c>
      <c r="AO772" s="1" t="str">
        <f>IF(HR_Data[[#This Row],[PercentSalaryHike]]&lt;=13,"11-13%",IF(HR_Data[[#This Row],[PercentSalaryHike]]&lt;=16,"14-16%",IF(HR_Data[[#This Row],[PercentSalaryHike]]&lt;=19,"17-19%","20-25%")))</f>
        <v>17-19%</v>
      </c>
      <c r="AP772" s="1">
        <f>IF(HR_Data[[#This Row],[PercentSalaryHike]]&lt;=13,1,IF(HR_Data[[#This Row],[PercentSalaryHike]]&lt;=16,2,IF(HR_Data[[#This Row],[PercentSalaryHike]]&lt;=19,3,4)))</f>
        <v>3</v>
      </c>
      <c r="AQ772" s="1" t="str">
        <f>IF(HR_Data[[#This Row],[DistanceFromHome]]&lt;=5,"1 to 5",IF(HR_Data[[#This Row],[DistanceFromHome]]&lt;=10,"6 to 10",IF(HR_Data[[#This Row],[DistanceFromHome]]&lt;=20,"11 to 20","21 to 29")))</f>
        <v>1 to 5</v>
      </c>
      <c r="AR772" s="1">
        <f>IF(HR_Data[[#This Row],[DistanceFromHome]]&lt;=5,1,IF(HR_Data[[#This Row],[DistanceFromHome]]&lt;=10,2,IF(HR_Data[[#This Row],[DistanceFromHome]]&lt;=20,3,4)))</f>
        <v>1</v>
      </c>
      <c r="AS772" s="1" t="str">
        <f>IF(HR_Data[[#This Row],[TotalWorkingYears]]&lt;=5,"0-5 Yrs",IF(HR_Data[[#This Row],[TotalWorkingYears]]&lt;=10,"6-10 Yrs",IF(HR_Data[[#This Row],[TotalWorkingYears]]&lt;=20,"11-20 Yrs","20+ Yrs")))</f>
        <v>20+ Yrs</v>
      </c>
      <c r="AT772" s="1">
        <f>IF(HR_Data[[#This Row],[TotalWorkingYears]]&lt;=5,1,IF(HR_Data[[#This Row],[TotalWorkingYears]]&lt;=10,2,IF(HR_Data[[#This Row],[TotalWorkingYears]]&lt;=20,3,4)))</f>
        <v>4</v>
      </c>
    </row>
    <row r="773" spans="1:46" x14ac:dyDescent="0.25">
      <c r="A773">
        <v>54</v>
      </c>
      <c r="B773" t="s">
        <v>36</v>
      </c>
      <c r="C773" t="s">
        <v>30</v>
      </c>
      <c r="D773" t="s">
        <v>31</v>
      </c>
      <c r="E773">
        <v>2</v>
      </c>
      <c r="F773">
        <v>4</v>
      </c>
      <c r="G773" t="s">
        <v>32</v>
      </c>
      <c r="H773">
        <v>1070</v>
      </c>
      <c r="I773">
        <v>3</v>
      </c>
      <c r="J773" t="s">
        <v>33</v>
      </c>
      <c r="K773">
        <v>2</v>
      </c>
      <c r="L773">
        <v>3</v>
      </c>
      <c r="M773" t="s">
        <v>34</v>
      </c>
      <c r="N773">
        <v>3</v>
      </c>
      <c r="O773" t="s">
        <v>41</v>
      </c>
      <c r="P773">
        <v>10686</v>
      </c>
      <c r="Q773">
        <v>6</v>
      </c>
      <c r="R773" t="s">
        <v>36</v>
      </c>
      <c r="S773">
        <v>11</v>
      </c>
      <c r="T773">
        <v>3</v>
      </c>
      <c r="U773">
        <v>2</v>
      </c>
      <c r="V773">
        <v>1</v>
      </c>
      <c r="W773">
        <v>13</v>
      </c>
      <c r="X773">
        <v>4</v>
      </c>
      <c r="Y773">
        <v>3</v>
      </c>
      <c r="Z773">
        <v>9</v>
      </c>
      <c r="AA773">
        <v>4</v>
      </c>
      <c r="AB773">
        <v>7</v>
      </c>
      <c r="AC773">
        <v>0</v>
      </c>
      <c r="AD773">
        <f>IF(HR_Data[[#This Row],[Attrition]]="Yes",1,0)</f>
        <v>0</v>
      </c>
      <c r="AE773" t="str">
        <f>IF(HR_Data[[#This Row],[Age]]&lt;=25,"18-25",IF(HR_Data[[#This Row],[Age]]&lt;=35,"26-35",IF(HR_Data[[#This Row],[Age]]&lt;=45,"36-45",IF(HR_Data[[#This Row],[Age]]&lt;=55,"46-55","55+"))))</f>
        <v>46-55</v>
      </c>
      <c r="AF773">
        <f>IF(HR_Data[[#This Row],[Age]]&lt;=25,1,IF(HR_Data[[#This Row],[Age]]&lt;=35,2,IF(HR_Data[[#This Row],[Age]]&lt;=45,3,IF(HR_Data[[#This Row],[Age]]&lt;=55,4,5))))</f>
        <v>4</v>
      </c>
      <c r="AG773" s="1" t="str">
        <f>IF(HR_Data[[#This Row],[MonthlyIncome]]&lt;3000,"&lt;3K",IF(HR_Data[[#This Row],[MonthlyIncome]]&lt;6000,"3K-6K",IF(HR_Data[[#This Row],[MonthlyIncome]]&lt;10000,"6K-10K","10K+")))</f>
        <v>10K+</v>
      </c>
      <c r="AH773" s="1">
        <f>IF(HR_Data[[#This Row],[MonthlyIncome]]&lt;3000,1,IF(HR_Data[[#This Row],[MonthlyIncome]]&lt;6000,2,IF(HR_Data[[#This Row],[MonthlyIncome]]&lt;10000,3,4)))</f>
        <v>4</v>
      </c>
      <c r="AI773" s="1" t="str">
        <f>IF(HR_Data[[#This Row],[YearsAtCompany]]&lt;=2,"0-2 Yrs",IF(HR_Data[[#This Row],[YearsAtCompany]]&lt;=5,"3-5 Yrs",IF(HR_Data[[#This Row],[YearsAtCompany]]&lt;=10,"6-10 Yrs","10+ Yrs")))</f>
        <v>6-10 Yrs</v>
      </c>
      <c r="AJ773" s="1">
        <f>IF(HR_Data[[#This Row],[YearsAtCompany]]&lt;=2,1,IF(HR_Data[[#This Row],[YearsAtCompany]]&lt;=5,2,IF(HR_Data[[#This Row],[YearsAtCompany]]&lt;=10,3,4)))</f>
        <v>3</v>
      </c>
      <c r="AK773" s="1" t="str">
        <f>CHOOSE(HR_Data[[#This Row],[Education]],"Below College","College","Bachelor","Master","Doctor")</f>
        <v>Master</v>
      </c>
      <c r="AL773" s="1" t="str">
        <f>CHOOSE(HR_Data[[#This Row],[JobSatisfaction]],"Low","Medium","High","Very High")</f>
        <v>High</v>
      </c>
      <c r="AM773" s="1" t="str">
        <f>CHOOSE(HR_Data[[#This Row],[EnvironmentSatisfaction]],"Low","Medium","High","Very High")</f>
        <v>High</v>
      </c>
      <c r="AN773" s="1" t="str">
        <f>CHOOSE(HR_Data[[#This Row],[WorkLifeBalance]],"Bad","Good","Better","Best")</f>
        <v>Better</v>
      </c>
      <c r="AO773" s="1" t="str">
        <f>IF(HR_Data[[#This Row],[PercentSalaryHike]]&lt;=13,"11-13%",IF(HR_Data[[#This Row],[PercentSalaryHike]]&lt;=16,"14-16%",IF(HR_Data[[#This Row],[PercentSalaryHike]]&lt;=19,"17-19%","20-25%")))</f>
        <v>11-13%</v>
      </c>
      <c r="AP773" s="1">
        <f>IF(HR_Data[[#This Row],[PercentSalaryHike]]&lt;=13,1,IF(HR_Data[[#This Row],[PercentSalaryHike]]&lt;=16,2,IF(HR_Data[[#This Row],[PercentSalaryHike]]&lt;=19,3,4)))</f>
        <v>1</v>
      </c>
      <c r="AQ773" s="1" t="str">
        <f>IF(HR_Data[[#This Row],[DistanceFromHome]]&lt;=5,"1 to 5",IF(HR_Data[[#This Row],[DistanceFromHome]]&lt;=10,"6 to 10",IF(HR_Data[[#This Row],[DistanceFromHome]]&lt;=20,"11 to 20","21 to 29")))</f>
        <v>1 to 5</v>
      </c>
      <c r="AR773" s="1">
        <f>IF(HR_Data[[#This Row],[DistanceFromHome]]&lt;=5,1,IF(HR_Data[[#This Row],[DistanceFromHome]]&lt;=10,2,IF(HR_Data[[#This Row],[DistanceFromHome]]&lt;=20,3,4)))</f>
        <v>1</v>
      </c>
      <c r="AS773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773" s="1">
        <f>IF(HR_Data[[#This Row],[TotalWorkingYears]]&lt;=5,1,IF(HR_Data[[#This Row],[TotalWorkingYears]]&lt;=10,2,IF(HR_Data[[#This Row],[TotalWorkingYears]]&lt;=20,3,4)))</f>
        <v>3</v>
      </c>
    </row>
    <row r="774" spans="1:46" x14ac:dyDescent="0.25">
      <c r="A774">
        <v>56</v>
      </c>
      <c r="B774" t="s">
        <v>36</v>
      </c>
      <c r="C774" t="s">
        <v>37</v>
      </c>
      <c r="D774" t="s">
        <v>38</v>
      </c>
      <c r="E774">
        <v>9</v>
      </c>
      <c r="F774">
        <v>3</v>
      </c>
      <c r="G774" t="s">
        <v>44</v>
      </c>
      <c r="H774">
        <v>1071</v>
      </c>
      <c r="I774">
        <v>1</v>
      </c>
      <c r="J774" t="s">
        <v>33</v>
      </c>
      <c r="K774">
        <v>3</v>
      </c>
      <c r="L774">
        <v>1</v>
      </c>
      <c r="M774" t="s">
        <v>40</v>
      </c>
      <c r="N774">
        <v>3</v>
      </c>
      <c r="O774" t="s">
        <v>41</v>
      </c>
      <c r="P774">
        <v>2942</v>
      </c>
      <c r="Q774">
        <v>2</v>
      </c>
      <c r="R774" t="s">
        <v>36</v>
      </c>
      <c r="S774">
        <v>19</v>
      </c>
      <c r="T774">
        <v>3</v>
      </c>
      <c r="U774">
        <v>2</v>
      </c>
      <c r="V774">
        <v>1</v>
      </c>
      <c r="W774">
        <v>18</v>
      </c>
      <c r="X774">
        <v>4</v>
      </c>
      <c r="Y774">
        <v>3</v>
      </c>
      <c r="Z774">
        <v>5</v>
      </c>
      <c r="AA774">
        <v>4</v>
      </c>
      <c r="AB774">
        <v>0</v>
      </c>
      <c r="AC774">
        <v>3</v>
      </c>
      <c r="AD774">
        <f>IF(HR_Data[[#This Row],[Attrition]]="Yes",1,0)</f>
        <v>0</v>
      </c>
      <c r="AE774" t="str">
        <f>IF(HR_Data[[#This Row],[Age]]&lt;=25,"18-25",IF(HR_Data[[#This Row],[Age]]&lt;=35,"26-35",IF(HR_Data[[#This Row],[Age]]&lt;=45,"36-45",IF(HR_Data[[#This Row],[Age]]&lt;=55,"46-55","55+"))))</f>
        <v>55+</v>
      </c>
      <c r="AF774">
        <f>IF(HR_Data[[#This Row],[Age]]&lt;=25,1,IF(HR_Data[[#This Row],[Age]]&lt;=35,2,IF(HR_Data[[#This Row],[Age]]&lt;=45,3,IF(HR_Data[[#This Row],[Age]]&lt;=55,4,5))))</f>
        <v>5</v>
      </c>
      <c r="AG774" s="1" t="str">
        <f>IF(HR_Data[[#This Row],[MonthlyIncome]]&lt;3000,"&lt;3K",IF(HR_Data[[#This Row],[MonthlyIncome]]&lt;6000,"3K-6K",IF(HR_Data[[#This Row],[MonthlyIncome]]&lt;10000,"6K-10K","10K+")))</f>
        <v>&lt;3K</v>
      </c>
      <c r="AH774" s="1">
        <f>IF(HR_Data[[#This Row],[MonthlyIncome]]&lt;3000,1,IF(HR_Data[[#This Row],[MonthlyIncome]]&lt;6000,2,IF(HR_Data[[#This Row],[MonthlyIncome]]&lt;10000,3,4)))</f>
        <v>1</v>
      </c>
      <c r="AI774" s="1" t="str">
        <f>IF(HR_Data[[#This Row],[YearsAtCompany]]&lt;=2,"0-2 Yrs",IF(HR_Data[[#This Row],[YearsAtCompany]]&lt;=5,"3-5 Yrs",IF(HR_Data[[#This Row],[YearsAtCompany]]&lt;=10,"6-10 Yrs","10+ Yrs")))</f>
        <v>3-5 Yrs</v>
      </c>
      <c r="AJ774" s="1">
        <f>IF(HR_Data[[#This Row],[YearsAtCompany]]&lt;=2,1,IF(HR_Data[[#This Row],[YearsAtCompany]]&lt;=5,2,IF(HR_Data[[#This Row],[YearsAtCompany]]&lt;=10,3,4)))</f>
        <v>2</v>
      </c>
      <c r="AK774" s="1" t="str">
        <f>CHOOSE(HR_Data[[#This Row],[Education]],"Below College","College","Bachelor","Master","Doctor")</f>
        <v>Bachelor</v>
      </c>
      <c r="AL774" s="1" t="str">
        <f>CHOOSE(HR_Data[[#This Row],[JobSatisfaction]],"Low","Medium","High","Very High")</f>
        <v>High</v>
      </c>
      <c r="AM774" s="1" t="str">
        <f>CHOOSE(HR_Data[[#This Row],[EnvironmentSatisfaction]],"Low","Medium","High","Very High")</f>
        <v>Low</v>
      </c>
      <c r="AN774" s="1" t="str">
        <f>CHOOSE(HR_Data[[#This Row],[WorkLifeBalance]],"Bad","Good","Better","Best")</f>
        <v>Better</v>
      </c>
      <c r="AO774" s="1" t="str">
        <f>IF(HR_Data[[#This Row],[PercentSalaryHike]]&lt;=13,"11-13%",IF(HR_Data[[#This Row],[PercentSalaryHike]]&lt;=16,"14-16%",IF(HR_Data[[#This Row],[PercentSalaryHike]]&lt;=19,"17-19%","20-25%")))</f>
        <v>17-19%</v>
      </c>
      <c r="AP774" s="1">
        <f>IF(HR_Data[[#This Row],[PercentSalaryHike]]&lt;=13,1,IF(HR_Data[[#This Row],[PercentSalaryHike]]&lt;=16,2,IF(HR_Data[[#This Row],[PercentSalaryHike]]&lt;=19,3,4)))</f>
        <v>3</v>
      </c>
      <c r="AQ774" s="1" t="str">
        <f>IF(HR_Data[[#This Row],[DistanceFromHome]]&lt;=5,"1 to 5",IF(HR_Data[[#This Row],[DistanceFromHome]]&lt;=10,"6 to 10",IF(HR_Data[[#This Row],[DistanceFromHome]]&lt;=20,"11 to 20","21 to 29")))</f>
        <v>6 to 10</v>
      </c>
      <c r="AR774" s="1">
        <f>IF(HR_Data[[#This Row],[DistanceFromHome]]&lt;=5,1,IF(HR_Data[[#This Row],[DistanceFromHome]]&lt;=10,2,IF(HR_Data[[#This Row],[DistanceFromHome]]&lt;=20,3,4)))</f>
        <v>2</v>
      </c>
      <c r="AS774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774" s="1">
        <f>IF(HR_Data[[#This Row],[TotalWorkingYears]]&lt;=5,1,IF(HR_Data[[#This Row],[TotalWorkingYears]]&lt;=10,2,IF(HR_Data[[#This Row],[TotalWorkingYears]]&lt;=20,3,4)))</f>
        <v>3</v>
      </c>
    </row>
    <row r="775" spans="1:46" x14ac:dyDescent="0.25">
      <c r="A775">
        <v>36</v>
      </c>
      <c r="B775" t="s">
        <v>36</v>
      </c>
      <c r="C775" t="s">
        <v>30</v>
      </c>
      <c r="D775" t="s">
        <v>38</v>
      </c>
      <c r="E775">
        <v>12</v>
      </c>
      <c r="F775">
        <v>5</v>
      </c>
      <c r="G775" t="s">
        <v>44</v>
      </c>
      <c r="H775">
        <v>1073</v>
      </c>
      <c r="I775">
        <v>4</v>
      </c>
      <c r="J775" t="s">
        <v>33</v>
      </c>
      <c r="K775">
        <v>2</v>
      </c>
      <c r="L775">
        <v>3</v>
      </c>
      <c r="M775" t="s">
        <v>46</v>
      </c>
      <c r="N775">
        <v>4</v>
      </c>
      <c r="O775" t="s">
        <v>35</v>
      </c>
      <c r="P775">
        <v>8858</v>
      </c>
      <c r="Q775">
        <v>0</v>
      </c>
      <c r="R775" t="s">
        <v>36</v>
      </c>
      <c r="S775">
        <v>11</v>
      </c>
      <c r="T775">
        <v>3</v>
      </c>
      <c r="U775">
        <v>2</v>
      </c>
      <c r="V775">
        <v>0</v>
      </c>
      <c r="W775">
        <v>15</v>
      </c>
      <c r="X775">
        <v>2</v>
      </c>
      <c r="Y775">
        <v>2</v>
      </c>
      <c r="Z775">
        <v>14</v>
      </c>
      <c r="AA775">
        <v>8</v>
      </c>
      <c r="AB775">
        <v>7</v>
      </c>
      <c r="AC775">
        <v>8</v>
      </c>
      <c r="AD775">
        <f>IF(HR_Data[[#This Row],[Attrition]]="Yes",1,0)</f>
        <v>0</v>
      </c>
      <c r="AE775" t="str">
        <f>IF(HR_Data[[#This Row],[Age]]&lt;=25,"18-25",IF(HR_Data[[#This Row],[Age]]&lt;=35,"26-35",IF(HR_Data[[#This Row],[Age]]&lt;=45,"36-45",IF(HR_Data[[#This Row],[Age]]&lt;=55,"46-55","55+"))))</f>
        <v>36-45</v>
      </c>
      <c r="AF775">
        <f>IF(HR_Data[[#This Row],[Age]]&lt;=25,1,IF(HR_Data[[#This Row],[Age]]&lt;=35,2,IF(HR_Data[[#This Row],[Age]]&lt;=45,3,IF(HR_Data[[#This Row],[Age]]&lt;=55,4,5))))</f>
        <v>3</v>
      </c>
      <c r="AG775" s="1" t="str">
        <f>IF(HR_Data[[#This Row],[MonthlyIncome]]&lt;3000,"&lt;3K",IF(HR_Data[[#This Row],[MonthlyIncome]]&lt;6000,"3K-6K",IF(HR_Data[[#This Row],[MonthlyIncome]]&lt;10000,"6K-10K","10K+")))</f>
        <v>6K-10K</v>
      </c>
      <c r="AH775" s="1">
        <f>IF(HR_Data[[#This Row],[MonthlyIncome]]&lt;3000,1,IF(HR_Data[[#This Row],[MonthlyIncome]]&lt;6000,2,IF(HR_Data[[#This Row],[MonthlyIncome]]&lt;10000,3,4)))</f>
        <v>3</v>
      </c>
      <c r="AI775" s="1" t="str">
        <f>IF(HR_Data[[#This Row],[YearsAtCompany]]&lt;=2,"0-2 Yrs",IF(HR_Data[[#This Row],[YearsAtCompany]]&lt;=5,"3-5 Yrs",IF(HR_Data[[#This Row],[YearsAtCompany]]&lt;=10,"6-10 Yrs","10+ Yrs")))</f>
        <v>10+ Yrs</v>
      </c>
      <c r="AJ775" s="1">
        <f>IF(HR_Data[[#This Row],[YearsAtCompany]]&lt;=2,1,IF(HR_Data[[#This Row],[YearsAtCompany]]&lt;=5,2,IF(HR_Data[[#This Row],[YearsAtCompany]]&lt;=10,3,4)))</f>
        <v>4</v>
      </c>
      <c r="AK775" s="1" t="str">
        <f>CHOOSE(HR_Data[[#This Row],[Education]],"Below College","College","Bachelor","Master","Doctor")</f>
        <v>Doctor</v>
      </c>
      <c r="AL775" s="1" t="str">
        <f>CHOOSE(HR_Data[[#This Row],[JobSatisfaction]],"Low","Medium","High","Very High")</f>
        <v>Very High</v>
      </c>
      <c r="AM775" s="1" t="str">
        <f>CHOOSE(HR_Data[[#This Row],[EnvironmentSatisfaction]],"Low","Medium","High","Very High")</f>
        <v>Very High</v>
      </c>
      <c r="AN775" s="1" t="str">
        <f>CHOOSE(HR_Data[[#This Row],[WorkLifeBalance]],"Bad","Good","Better","Best")</f>
        <v>Good</v>
      </c>
      <c r="AO775" s="1" t="str">
        <f>IF(HR_Data[[#This Row],[PercentSalaryHike]]&lt;=13,"11-13%",IF(HR_Data[[#This Row],[PercentSalaryHike]]&lt;=16,"14-16%",IF(HR_Data[[#This Row],[PercentSalaryHike]]&lt;=19,"17-19%","20-25%")))</f>
        <v>11-13%</v>
      </c>
      <c r="AP775" s="1">
        <f>IF(HR_Data[[#This Row],[PercentSalaryHike]]&lt;=13,1,IF(HR_Data[[#This Row],[PercentSalaryHike]]&lt;=16,2,IF(HR_Data[[#This Row],[PercentSalaryHike]]&lt;=19,3,4)))</f>
        <v>1</v>
      </c>
      <c r="AQ775" s="1" t="str">
        <f>IF(HR_Data[[#This Row],[DistanceFromHome]]&lt;=5,"1 to 5",IF(HR_Data[[#This Row],[DistanceFromHome]]&lt;=10,"6 to 10",IF(HR_Data[[#This Row],[DistanceFromHome]]&lt;=20,"11 to 20","21 to 29")))</f>
        <v>11 to 20</v>
      </c>
      <c r="AR775" s="1">
        <f>IF(HR_Data[[#This Row],[DistanceFromHome]]&lt;=5,1,IF(HR_Data[[#This Row],[DistanceFromHome]]&lt;=10,2,IF(HR_Data[[#This Row],[DistanceFromHome]]&lt;=20,3,4)))</f>
        <v>3</v>
      </c>
      <c r="AS775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775" s="1">
        <f>IF(HR_Data[[#This Row],[TotalWorkingYears]]&lt;=5,1,IF(HR_Data[[#This Row],[TotalWorkingYears]]&lt;=10,2,IF(HR_Data[[#This Row],[TotalWorkingYears]]&lt;=20,3,4)))</f>
        <v>3</v>
      </c>
    </row>
    <row r="776" spans="1:46" x14ac:dyDescent="0.25">
      <c r="A776">
        <v>55</v>
      </c>
      <c r="B776" t="s">
        <v>36</v>
      </c>
      <c r="C776" t="s">
        <v>48</v>
      </c>
      <c r="D776" t="s">
        <v>38</v>
      </c>
      <c r="E776">
        <v>2</v>
      </c>
      <c r="F776">
        <v>1</v>
      </c>
      <c r="G776" t="s">
        <v>44</v>
      </c>
      <c r="H776">
        <v>1074</v>
      </c>
      <c r="I776">
        <v>3</v>
      </c>
      <c r="J776" t="s">
        <v>39</v>
      </c>
      <c r="K776">
        <v>2</v>
      </c>
      <c r="L776">
        <v>4</v>
      </c>
      <c r="M776" t="s">
        <v>49</v>
      </c>
      <c r="N776">
        <v>1</v>
      </c>
      <c r="O776" t="s">
        <v>35</v>
      </c>
      <c r="P776">
        <v>16756</v>
      </c>
      <c r="Q776">
        <v>7</v>
      </c>
      <c r="R776" t="s">
        <v>36</v>
      </c>
      <c r="S776">
        <v>15</v>
      </c>
      <c r="T776">
        <v>3</v>
      </c>
      <c r="U776">
        <v>2</v>
      </c>
      <c r="V776">
        <v>0</v>
      </c>
      <c r="W776">
        <v>31</v>
      </c>
      <c r="X776">
        <v>3</v>
      </c>
      <c r="Y776">
        <v>4</v>
      </c>
      <c r="Z776">
        <v>9</v>
      </c>
      <c r="AA776">
        <v>7</v>
      </c>
      <c r="AB776">
        <v>6</v>
      </c>
      <c r="AC776">
        <v>2</v>
      </c>
      <c r="AD776">
        <f>IF(HR_Data[[#This Row],[Attrition]]="Yes",1,0)</f>
        <v>0</v>
      </c>
      <c r="AE776" t="str">
        <f>IF(HR_Data[[#This Row],[Age]]&lt;=25,"18-25",IF(HR_Data[[#This Row],[Age]]&lt;=35,"26-35",IF(HR_Data[[#This Row],[Age]]&lt;=45,"36-45",IF(HR_Data[[#This Row],[Age]]&lt;=55,"46-55","55+"))))</f>
        <v>46-55</v>
      </c>
      <c r="AF776">
        <f>IF(HR_Data[[#This Row],[Age]]&lt;=25,1,IF(HR_Data[[#This Row],[Age]]&lt;=35,2,IF(HR_Data[[#This Row],[Age]]&lt;=45,3,IF(HR_Data[[#This Row],[Age]]&lt;=55,4,5))))</f>
        <v>4</v>
      </c>
      <c r="AG776" s="1" t="str">
        <f>IF(HR_Data[[#This Row],[MonthlyIncome]]&lt;3000,"&lt;3K",IF(HR_Data[[#This Row],[MonthlyIncome]]&lt;6000,"3K-6K",IF(HR_Data[[#This Row],[MonthlyIncome]]&lt;10000,"6K-10K","10K+")))</f>
        <v>10K+</v>
      </c>
      <c r="AH776" s="1">
        <f>IF(HR_Data[[#This Row],[MonthlyIncome]]&lt;3000,1,IF(HR_Data[[#This Row],[MonthlyIncome]]&lt;6000,2,IF(HR_Data[[#This Row],[MonthlyIncome]]&lt;10000,3,4)))</f>
        <v>4</v>
      </c>
      <c r="AI776" s="1" t="str">
        <f>IF(HR_Data[[#This Row],[YearsAtCompany]]&lt;=2,"0-2 Yrs",IF(HR_Data[[#This Row],[YearsAtCompany]]&lt;=5,"3-5 Yrs",IF(HR_Data[[#This Row],[YearsAtCompany]]&lt;=10,"6-10 Yrs","10+ Yrs")))</f>
        <v>6-10 Yrs</v>
      </c>
      <c r="AJ776" s="1">
        <f>IF(HR_Data[[#This Row],[YearsAtCompany]]&lt;=2,1,IF(HR_Data[[#This Row],[YearsAtCompany]]&lt;=5,2,IF(HR_Data[[#This Row],[YearsAtCompany]]&lt;=10,3,4)))</f>
        <v>3</v>
      </c>
      <c r="AK776" s="1" t="str">
        <f>CHOOSE(HR_Data[[#This Row],[Education]],"Below College","College","Bachelor","Master","Doctor")</f>
        <v>Below College</v>
      </c>
      <c r="AL776" s="1" t="str">
        <f>CHOOSE(HR_Data[[#This Row],[JobSatisfaction]],"Low","Medium","High","Very High")</f>
        <v>Low</v>
      </c>
      <c r="AM776" s="1" t="str">
        <f>CHOOSE(HR_Data[[#This Row],[EnvironmentSatisfaction]],"Low","Medium","High","Very High")</f>
        <v>High</v>
      </c>
      <c r="AN776" s="1" t="str">
        <f>CHOOSE(HR_Data[[#This Row],[WorkLifeBalance]],"Bad","Good","Better","Best")</f>
        <v>Best</v>
      </c>
      <c r="AO776" s="1" t="str">
        <f>IF(HR_Data[[#This Row],[PercentSalaryHike]]&lt;=13,"11-13%",IF(HR_Data[[#This Row],[PercentSalaryHike]]&lt;=16,"14-16%",IF(HR_Data[[#This Row],[PercentSalaryHike]]&lt;=19,"17-19%","20-25%")))</f>
        <v>14-16%</v>
      </c>
      <c r="AP776" s="1">
        <f>IF(HR_Data[[#This Row],[PercentSalaryHike]]&lt;=13,1,IF(HR_Data[[#This Row],[PercentSalaryHike]]&lt;=16,2,IF(HR_Data[[#This Row],[PercentSalaryHike]]&lt;=19,3,4)))</f>
        <v>2</v>
      </c>
      <c r="AQ776" s="1" t="str">
        <f>IF(HR_Data[[#This Row],[DistanceFromHome]]&lt;=5,"1 to 5",IF(HR_Data[[#This Row],[DistanceFromHome]]&lt;=10,"6 to 10",IF(HR_Data[[#This Row],[DistanceFromHome]]&lt;=20,"11 to 20","21 to 29")))</f>
        <v>1 to 5</v>
      </c>
      <c r="AR776" s="1">
        <f>IF(HR_Data[[#This Row],[DistanceFromHome]]&lt;=5,1,IF(HR_Data[[#This Row],[DistanceFromHome]]&lt;=10,2,IF(HR_Data[[#This Row],[DistanceFromHome]]&lt;=20,3,4)))</f>
        <v>1</v>
      </c>
      <c r="AS776" s="1" t="str">
        <f>IF(HR_Data[[#This Row],[TotalWorkingYears]]&lt;=5,"0-5 Yrs",IF(HR_Data[[#This Row],[TotalWorkingYears]]&lt;=10,"6-10 Yrs",IF(HR_Data[[#This Row],[TotalWorkingYears]]&lt;=20,"11-20 Yrs","20+ Yrs")))</f>
        <v>20+ Yrs</v>
      </c>
      <c r="AT776" s="1">
        <f>IF(HR_Data[[#This Row],[TotalWorkingYears]]&lt;=5,1,IF(HR_Data[[#This Row],[TotalWorkingYears]]&lt;=10,2,IF(HR_Data[[#This Row],[TotalWorkingYears]]&lt;=20,3,4)))</f>
        <v>4</v>
      </c>
    </row>
    <row r="777" spans="1:46" x14ac:dyDescent="0.25">
      <c r="A777">
        <v>43</v>
      </c>
      <c r="B777" t="s">
        <v>36</v>
      </c>
      <c r="C777" t="s">
        <v>30</v>
      </c>
      <c r="D777" t="s">
        <v>31</v>
      </c>
      <c r="E777">
        <v>25</v>
      </c>
      <c r="F777">
        <v>3</v>
      </c>
      <c r="G777" t="s">
        <v>44</v>
      </c>
      <c r="H777">
        <v>1076</v>
      </c>
      <c r="I777">
        <v>3</v>
      </c>
      <c r="J777" t="s">
        <v>39</v>
      </c>
      <c r="K777">
        <v>2</v>
      </c>
      <c r="L777">
        <v>3</v>
      </c>
      <c r="M777" t="s">
        <v>34</v>
      </c>
      <c r="N777">
        <v>4</v>
      </c>
      <c r="O777" t="s">
        <v>45</v>
      </c>
      <c r="P777">
        <v>10798</v>
      </c>
      <c r="Q777">
        <v>5</v>
      </c>
      <c r="R777" t="s">
        <v>36</v>
      </c>
      <c r="S777">
        <v>13</v>
      </c>
      <c r="T777">
        <v>3</v>
      </c>
      <c r="U777">
        <v>3</v>
      </c>
      <c r="V777">
        <v>1</v>
      </c>
      <c r="W777">
        <v>18</v>
      </c>
      <c r="X777">
        <v>5</v>
      </c>
      <c r="Y777">
        <v>3</v>
      </c>
      <c r="Z777">
        <v>1</v>
      </c>
      <c r="AA777">
        <v>0</v>
      </c>
      <c r="AB777">
        <v>0</v>
      </c>
      <c r="AC777">
        <v>0</v>
      </c>
      <c r="AD777">
        <f>IF(HR_Data[[#This Row],[Attrition]]="Yes",1,0)</f>
        <v>0</v>
      </c>
      <c r="AE777" t="str">
        <f>IF(HR_Data[[#This Row],[Age]]&lt;=25,"18-25",IF(HR_Data[[#This Row],[Age]]&lt;=35,"26-35",IF(HR_Data[[#This Row],[Age]]&lt;=45,"36-45",IF(HR_Data[[#This Row],[Age]]&lt;=55,"46-55","55+"))))</f>
        <v>36-45</v>
      </c>
      <c r="AF777">
        <f>IF(HR_Data[[#This Row],[Age]]&lt;=25,1,IF(HR_Data[[#This Row],[Age]]&lt;=35,2,IF(HR_Data[[#This Row],[Age]]&lt;=45,3,IF(HR_Data[[#This Row],[Age]]&lt;=55,4,5))))</f>
        <v>3</v>
      </c>
      <c r="AG777" s="1" t="str">
        <f>IF(HR_Data[[#This Row],[MonthlyIncome]]&lt;3000,"&lt;3K",IF(HR_Data[[#This Row],[MonthlyIncome]]&lt;6000,"3K-6K",IF(HR_Data[[#This Row],[MonthlyIncome]]&lt;10000,"6K-10K","10K+")))</f>
        <v>10K+</v>
      </c>
      <c r="AH777" s="1">
        <f>IF(HR_Data[[#This Row],[MonthlyIncome]]&lt;3000,1,IF(HR_Data[[#This Row],[MonthlyIncome]]&lt;6000,2,IF(HR_Data[[#This Row],[MonthlyIncome]]&lt;10000,3,4)))</f>
        <v>4</v>
      </c>
      <c r="AI777" s="1" t="str">
        <f>IF(HR_Data[[#This Row],[YearsAtCompany]]&lt;=2,"0-2 Yrs",IF(HR_Data[[#This Row],[YearsAtCompany]]&lt;=5,"3-5 Yrs",IF(HR_Data[[#This Row],[YearsAtCompany]]&lt;=10,"6-10 Yrs","10+ Yrs")))</f>
        <v>0-2 Yrs</v>
      </c>
      <c r="AJ777" s="1">
        <f>IF(HR_Data[[#This Row],[YearsAtCompany]]&lt;=2,1,IF(HR_Data[[#This Row],[YearsAtCompany]]&lt;=5,2,IF(HR_Data[[#This Row],[YearsAtCompany]]&lt;=10,3,4)))</f>
        <v>1</v>
      </c>
      <c r="AK777" s="1" t="str">
        <f>CHOOSE(HR_Data[[#This Row],[Education]],"Below College","College","Bachelor","Master","Doctor")</f>
        <v>Bachelor</v>
      </c>
      <c r="AL777" s="1" t="str">
        <f>CHOOSE(HR_Data[[#This Row],[JobSatisfaction]],"Low","Medium","High","Very High")</f>
        <v>Very High</v>
      </c>
      <c r="AM777" s="1" t="str">
        <f>CHOOSE(HR_Data[[#This Row],[EnvironmentSatisfaction]],"Low","Medium","High","Very High")</f>
        <v>High</v>
      </c>
      <c r="AN777" s="1" t="str">
        <f>CHOOSE(HR_Data[[#This Row],[WorkLifeBalance]],"Bad","Good","Better","Best")</f>
        <v>Better</v>
      </c>
      <c r="AO777" s="1" t="str">
        <f>IF(HR_Data[[#This Row],[PercentSalaryHike]]&lt;=13,"11-13%",IF(HR_Data[[#This Row],[PercentSalaryHike]]&lt;=16,"14-16%",IF(HR_Data[[#This Row],[PercentSalaryHike]]&lt;=19,"17-19%","20-25%")))</f>
        <v>11-13%</v>
      </c>
      <c r="AP777" s="1">
        <f>IF(HR_Data[[#This Row],[PercentSalaryHike]]&lt;=13,1,IF(HR_Data[[#This Row],[PercentSalaryHike]]&lt;=16,2,IF(HR_Data[[#This Row],[PercentSalaryHike]]&lt;=19,3,4)))</f>
        <v>1</v>
      </c>
      <c r="AQ777" s="1" t="str">
        <f>IF(HR_Data[[#This Row],[DistanceFromHome]]&lt;=5,"1 to 5",IF(HR_Data[[#This Row],[DistanceFromHome]]&lt;=10,"6 to 10",IF(HR_Data[[#This Row],[DistanceFromHome]]&lt;=20,"11 to 20","21 to 29")))</f>
        <v>21 to 29</v>
      </c>
      <c r="AR777" s="1">
        <f>IF(HR_Data[[#This Row],[DistanceFromHome]]&lt;=5,1,IF(HR_Data[[#This Row],[DistanceFromHome]]&lt;=10,2,IF(HR_Data[[#This Row],[DistanceFromHome]]&lt;=20,3,4)))</f>
        <v>4</v>
      </c>
      <c r="AS777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777" s="1">
        <f>IF(HR_Data[[#This Row],[TotalWorkingYears]]&lt;=5,1,IF(HR_Data[[#This Row],[TotalWorkingYears]]&lt;=10,2,IF(HR_Data[[#This Row],[TotalWorkingYears]]&lt;=20,3,4)))</f>
        <v>3</v>
      </c>
    </row>
    <row r="778" spans="1:46" x14ac:dyDescent="0.25">
      <c r="A778">
        <v>20</v>
      </c>
      <c r="B778" t="s">
        <v>29</v>
      </c>
      <c r="C778" t="s">
        <v>37</v>
      </c>
      <c r="D778" t="s">
        <v>31</v>
      </c>
      <c r="E778">
        <v>9</v>
      </c>
      <c r="F778">
        <v>3</v>
      </c>
      <c r="G778" t="s">
        <v>52</v>
      </c>
      <c r="H778">
        <v>1077</v>
      </c>
      <c r="I778">
        <v>4</v>
      </c>
      <c r="J778" t="s">
        <v>33</v>
      </c>
      <c r="K778">
        <v>3</v>
      </c>
      <c r="L778">
        <v>1</v>
      </c>
      <c r="M778" t="s">
        <v>50</v>
      </c>
      <c r="N778">
        <v>4</v>
      </c>
      <c r="O778" t="s">
        <v>35</v>
      </c>
      <c r="P778">
        <v>2323</v>
      </c>
      <c r="Q778">
        <v>1</v>
      </c>
      <c r="R778" t="s">
        <v>29</v>
      </c>
      <c r="S778">
        <v>14</v>
      </c>
      <c r="T778">
        <v>3</v>
      </c>
      <c r="U778">
        <v>2</v>
      </c>
      <c r="V778">
        <v>0</v>
      </c>
      <c r="W778">
        <v>2</v>
      </c>
      <c r="X778">
        <v>3</v>
      </c>
      <c r="Y778">
        <v>3</v>
      </c>
      <c r="Z778">
        <v>2</v>
      </c>
      <c r="AA778">
        <v>2</v>
      </c>
      <c r="AB778">
        <v>0</v>
      </c>
      <c r="AC778">
        <v>2</v>
      </c>
      <c r="AD778">
        <f>IF(HR_Data[[#This Row],[Attrition]]="Yes",1,0)</f>
        <v>1</v>
      </c>
      <c r="AE778" t="str">
        <f>IF(HR_Data[[#This Row],[Age]]&lt;=25,"18-25",IF(HR_Data[[#This Row],[Age]]&lt;=35,"26-35",IF(HR_Data[[#This Row],[Age]]&lt;=45,"36-45",IF(HR_Data[[#This Row],[Age]]&lt;=55,"46-55","55+"))))</f>
        <v>18-25</v>
      </c>
      <c r="AF778">
        <f>IF(HR_Data[[#This Row],[Age]]&lt;=25,1,IF(HR_Data[[#This Row],[Age]]&lt;=35,2,IF(HR_Data[[#This Row],[Age]]&lt;=45,3,IF(HR_Data[[#This Row],[Age]]&lt;=55,4,5))))</f>
        <v>1</v>
      </c>
      <c r="AG778" s="1" t="str">
        <f>IF(HR_Data[[#This Row],[MonthlyIncome]]&lt;3000,"&lt;3K",IF(HR_Data[[#This Row],[MonthlyIncome]]&lt;6000,"3K-6K",IF(HR_Data[[#This Row],[MonthlyIncome]]&lt;10000,"6K-10K","10K+")))</f>
        <v>&lt;3K</v>
      </c>
      <c r="AH778" s="1">
        <f>IF(HR_Data[[#This Row],[MonthlyIncome]]&lt;3000,1,IF(HR_Data[[#This Row],[MonthlyIncome]]&lt;6000,2,IF(HR_Data[[#This Row],[MonthlyIncome]]&lt;10000,3,4)))</f>
        <v>1</v>
      </c>
      <c r="AI778" s="1" t="str">
        <f>IF(HR_Data[[#This Row],[YearsAtCompany]]&lt;=2,"0-2 Yrs",IF(HR_Data[[#This Row],[YearsAtCompany]]&lt;=5,"3-5 Yrs",IF(HR_Data[[#This Row],[YearsAtCompany]]&lt;=10,"6-10 Yrs","10+ Yrs")))</f>
        <v>0-2 Yrs</v>
      </c>
      <c r="AJ778" s="1">
        <f>IF(HR_Data[[#This Row],[YearsAtCompany]]&lt;=2,1,IF(HR_Data[[#This Row],[YearsAtCompany]]&lt;=5,2,IF(HR_Data[[#This Row],[YearsAtCompany]]&lt;=10,3,4)))</f>
        <v>1</v>
      </c>
      <c r="AK778" s="1" t="str">
        <f>CHOOSE(HR_Data[[#This Row],[Education]],"Below College","College","Bachelor","Master","Doctor")</f>
        <v>Bachelor</v>
      </c>
      <c r="AL778" s="1" t="str">
        <f>CHOOSE(HR_Data[[#This Row],[JobSatisfaction]],"Low","Medium","High","Very High")</f>
        <v>Very High</v>
      </c>
      <c r="AM778" s="1" t="str">
        <f>CHOOSE(HR_Data[[#This Row],[EnvironmentSatisfaction]],"Low","Medium","High","Very High")</f>
        <v>Very High</v>
      </c>
      <c r="AN778" s="1" t="str">
        <f>CHOOSE(HR_Data[[#This Row],[WorkLifeBalance]],"Bad","Good","Better","Best")</f>
        <v>Better</v>
      </c>
      <c r="AO778" s="1" t="str">
        <f>IF(HR_Data[[#This Row],[PercentSalaryHike]]&lt;=13,"11-13%",IF(HR_Data[[#This Row],[PercentSalaryHike]]&lt;=16,"14-16%",IF(HR_Data[[#This Row],[PercentSalaryHike]]&lt;=19,"17-19%","20-25%")))</f>
        <v>14-16%</v>
      </c>
      <c r="AP778" s="1">
        <f>IF(HR_Data[[#This Row],[PercentSalaryHike]]&lt;=13,1,IF(HR_Data[[#This Row],[PercentSalaryHike]]&lt;=16,2,IF(HR_Data[[#This Row],[PercentSalaryHike]]&lt;=19,3,4)))</f>
        <v>2</v>
      </c>
      <c r="AQ778" s="1" t="str">
        <f>IF(HR_Data[[#This Row],[DistanceFromHome]]&lt;=5,"1 to 5",IF(HR_Data[[#This Row],[DistanceFromHome]]&lt;=10,"6 to 10",IF(HR_Data[[#This Row],[DistanceFromHome]]&lt;=20,"11 to 20","21 to 29")))</f>
        <v>6 to 10</v>
      </c>
      <c r="AR778" s="1">
        <f>IF(HR_Data[[#This Row],[DistanceFromHome]]&lt;=5,1,IF(HR_Data[[#This Row],[DistanceFromHome]]&lt;=10,2,IF(HR_Data[[#This Row],[DistanceFromHome]]&lt;=20,3,4)))</f>
        <v>2</v>
      </c>
      <c r="AS778" s="1" t="str">
        <f>IF(HR_Data[[#This Row],[TotalWorkingYears]]&lt;=5,"0-5 Yrs",IF(HR_Data[[#This Row],[TotalWorkingYears]]&lt;=10,"6-10 Yrs",IF(HR_Data[[#This Row],[TotalWorkingYears]]&lt;=20,"11-20 Yrs","20+ Yrs")))</f>
        <v>0-5 Yrs</v>
      </c>
      <c r="AT778" s="1">
        <f>IF(HR_Data[[#This Row],[TotalWorkingYears]]&lt;=5,1,IF(HR_Data[[#This Row],[TotalWorkingYears]]&lt;=10,2,IF(HR_Data[[#This Row],[TotalWorkingYears]]&lt;=20,3,4)))</f>
        <v>1</v>
      </c>
    </row>
    <row r="779" spans="1:46" x14ac:dyDescent="0.25">
      <c r="A779">
        <v>21</v>
      </c>
      <c r="B779" t="s">
        <v>29</v>
      </c>
      <c r="C779" t="s">
        <v>30</v>
      </c>
      <c r="D779" t="s">
        <v>38</v>
      </c>
      <c r="E779">
        <v>10</v>
      </c>
      <c r="F779">
        <v>3</v>
      </c>
      <c r="G779" t="s">
        <v>32</v>
      </c>
      <c r="H779">
        <v>1079</v>
      </c>
      <c r="I779">
        <v>3</v>
      </c>
      <c r="J779" t="s">
        <v>33</v>
      </c>
      <c r="K779">
        <v>2</v>
      </c>
      <c r="L779">
        <v>1</v>
      </c>
      <c r="M779" t="s">
        <v>43</v>
      </c>
      <c r="N779">
        <v>1</v>
      </c>
      <c r="O779" t="s">
        <v>35</v>
      </c>
      <c r="P779">
        <v>1416</v>
      </c>
      <c r="Q779">
        <v>1</v>
      </c>
      <c r="R779" t="s">
        <v>36</v>
      </c>
      <c r="S779">
        <v>13</v>
      </c>
      <c r="T779">
        <v>3</v>
      </c>
      <c r="U779">
        <v>1</v>
      </c>
      <c r="V779">
        <v>0</v>
      </c>
      <c r="W779">
        <v>1</v>
      </c>
      <c r="X779">
        <v>6</v>
      </c>
      <c r="Y779">
        <v>2</v>
      </c>
      <c r="Z779">
        <v>1</v>
      </c>
      <c r="AA779">
        <v>0</v>
      </c>
      <c r="AB779">
        <v>1</v>
      </c>
      <c r="AC779">
        <v>0</v>
      </c>
      <c r="AD779">
        <f>IF(HR_Data[[#This Row],[Attrition]]="Yes",1,0)</f>
        <v>1</v>
      </c>
      <c r="AE779" t="str">
        <f>IF(HR_Data[[#This Row],[Age]]&lt;=25,"18-25",IF(HR_Data[[#This Row],[Age]]&lt;=35,"26-35",IF(HR_Data[[#This Row],[Age]]&lt;=45,"36-45",IF(HR_Data[[#This Row],[Age]]&lt;=55,"46-55","55+"))))</f>
        <v>18-25</v>
      </c>
      <c r="AF779">
        <f>IF(HR_Data[[#This Row],[Age]]&lt;=25,1,IF(HR_Data[[#This Row],[Age]]&lt;=35,2,IF(HR_Data[[#This Row],[Age]]&lt;=45,3,IF(HR_Data[[#This Row],[Age]]&lt;=55,4,5))))</f>
        <v>1</v>
      </c>
      <c r="AG779" s="1" t="str">
        <f>IF(HR_Data[[#This Row],[MonthlyIncome]]&lt;3000,"&lt;3K",IF(HR_Data[[#This Row],[MonthlyIncome]]&lt;6000,"3K-6K",IF(HR_Data[[#This Row],[MonthlyIncome]]&lt;10000,"6K-10K","10K+")))</f>
        <v>&lt;3K</v>
      </c>
      <c r="AH779" s="1">
        <f>IF(HR_Data[[#This Row],[MonthlyIncome]]&lt;3000,1,IF(HR_Data[[#This Row],[MonthlyIncome]]&lt;6000,2,IF(HR_Data[[#This Row],[MonthlyIncome]]&lt;10000,3,4)))</f>
        <v>1</v>
      </c>
      <c r="AI779" s="1" t="str">
        <f>IF(HR_Data[[#This Row],[YearsAtCompany]]&lt;=2,"0-2 Yrs",IF(HR_Data[[#This Row],[YearsAtCompany]]&lt;=5,"3-5 Yrs",IF(HR_Data[[#This Row],[YearsAtCompany]]&lt;=10,"6-10 Yrs","10+ Yrs")))</f>
        <v>0-2 Yrs</v>
      </c>
      <c r="AJ779" s="1">
        <f>IF(HR_Data[[#This Row],[YearsAtCompany]]&lt;=2,1,IF(HR_Data[[#This Row],[YearsAtCompany]]&lt;=5,2,IF(HR_Data[[#This Row],[YearsAtCompany]]&lt;=10,3,4)))</f>
        <v>1</v>
      </c>
      <c r="AK779" s="1" t="str">
        <f>CHOOSE(HR_Data[[#This Row],[Education]],"Below College","College","Bachelor","Master","Doctor")</f>
        <v>Bachelor</v>
      </c>
      <c r="AL779" s="1" t="str">
        <f>CHOOSE(HR_Data[[#This Row],[JobSatisfaction]],"Low","Medium","High","Very High")</f>
        <v>Low</v>
      </c>
      <c r="AM779" s="1" t="str">
        <f>CHOOSE(HR_Data[[#This Row],[EnvironmentSatisfaction]],"Low","Medium","High","Very High")</f>
        <v>High</v>
      </c>
      <c r="AN779" s="1" t="str">
        <f>CHOOSE(HR_Data[[#This Row],[WorkLifeBalance]],"Bad","Good","Better","Best")</f>
        <v>Good</v>
      </c>
      <c r="AO779" s="1" t="str">
        <f>IF(HR_Data[[#This Row],[PercentSalaryHike]]&lt;=13,"11-13%",IF(HR_Data[[#This Row],[PercentSalaryHike]]&lt;=16,"14-16%",IF(HR_Data[[#This Row],[PercentSalaryHike]]&lt;=19,"17-19%","20-25%")))</f>
        <v>11-13%</v>
      </c>
      <c r="AP779" s="1">
        <f>IF(HR_Data[[#This Row],[PercentSalaryHike]]&lt;=13,1,IF(HR_Data[[#This Row],[PercentSalaryHike]]&lt;=16,2,IF(HR_Data[[#This Row],[PercentSalaryHike]]&lt;=19,3,4)))</f>
        <v>1</v>
      </c>
      <c r="AQ779" s="1" t="str">
        <f>IF(HR_Data[[#This Row],[DistanceFromHome]]&lt;=5,"1 to 5",IF(HR_Data[[#This Row],[DistanceFromHome]]&lt;=10,"6 to 10",IF(HR_Data[[#This Row],[DistanceFromHome]]&lt;=20,"11 to 20","21 to 29")))</f>
        <v>6 to 10</v>
      </c>
      <c r="AR779" s="1">
        <f>IF(HR_Data[[#This Row],[DistanceFromHome]]&lt;=5,1,IF(HR_Data[[#This Row],[DistanceFromHome]]&lt;=10,2,IF(HR_Data[[#This Row],[DistanceFromHome]]&lt;=20,3,4)))</f>
        <v>2</v>
      </c>
      <c r="AS779" s="1" t="str">
        <f>IF(HR_Data[[#This Row],[TotalWorkingYears]]&lt;=5,"0-5 Yrs",IF(HR_Data[[#This Row],[TotalWorkingYears]]&lt;=10,"6-10 Yrs",IF(HR_Data[[#This Row],[TotalWorkingYears]]&lt;=20,"11-20 Yrs","20+ Yrs")))</f>
        <v>0-5 Yrs</v>
      </c>
      <c r="AT779" s="1">
        <f>IF(HR_Data[[#This Row],[TotalWorkingYears]]&lt;=5,1,IF(HR_Data[[#This Row],[TotalWorkingYears]]&lt;=10,2,IF(HR_Data[[#This Row],[TotalWorkingYears]]&lt;=20,3,4)))</f>
        <v>1</v>
      </c>
    </row>
    <row r="780" spans="1:46" x14ac:dyDescent="0.25">
      <c r="A780">
        <v>46</v>
      </c>
      <c r="B780" t="s">
        <v>36</v>
      </c>
      <c r="C780" t="s">
        <v>30</v>
      </c>
      <c r="D780" t="s">
        <v>38</v>
      </c>
      <c r="E780">
        <v>8</v>
      </c>
      <c r="F780">
        <v>4</v>
      </c>
      <c r="G780" t="s">
        <v>32</v>
      </c>
      <c r="H780">
        <v>1080</v>
      </c>
      <c r="I780">
        <v>4</v>
      </c>
      <c r="J780" t="s">
        <v>33</v>
      </c>
      <c r="K780">
        <v>2</v>
      </c>
      <c r="L780">
        <v>2</v>
      </c>
      <c r="M780" t="s">
        <v>40</v>
      </c>
      <c r="N780">
        <v>1</v>
      </c>
      <c r="O780" t="s">
        <v>45</v>
      </c>
      <c r="P780">
        <v>4615</v>
      </c>
      <c r="Q780">
        <v>8</v>
      </c>
      <c r="R780" t="s">
        <v>29</v>
      </c>
      <c r="S780">
        <v>23</v>
      </c>
      <c r="T780">
        <v>4</v>
      </c>
      <c r="U780">
        <v>1</v>
      </c>
      <c r="V780">
        <v>3</v>
      </c>
      <c r="W780">
        <v>19</v>
      </c>
      <c r="X780">
        <v>2</v>
      </c>
      <c r="Y780">
        <v>3</v>
      </c>
      <c r="Z780">
        <v>16</v>
      </c>
      <c r="AA780">
        <v>13</v>
      </c>
      <c r="AB780">
        <v>1</v>
      </c>
      <c r="AC780">
        <v>7</v>
      </c>
      <c r="AD780">
        <f>IF(HR_Data[[#This Row],[Attrition]]="Yes",1,0)</f>
        <v>0</v>
      </c>
      <c r="AE780" t="str">
        <f>IF(HR_Data[[#This Row],[Age]]&lt;=25,"18-25",IF(HR_Data[[#This Row],[Age]]&lt;=35,"26-35",IF(HR_Data[[#This Row],[Age]]&lt;=45,"36-45",IF(HR_Data[[#This Row],[Age]]&lt;=55,"46-55","55+"))))</f>
        <v>46-55</v>
      </c>
      <c r="AF780">
        <f>IF(HR_Data[[#This Row],[Age]]&lt;=25,1,IF(HR_Data[[#This Row],[Age]]&lt;=35,2,IF(HR_Data[[#This Row],[Age]]&lt;=45,3,IF(HR_Data[[#This Row],[Age]]&lt;=55,4,5))))</f>
        <v>4</v>
      </c>
      <c r="AG780" s="1" t="str">
        <f>IF(HR_Data[[#This Row],[MonthlyIncome]]&lt;3000,"&lt;3K",IF(HR_Data[[#This Row],[MonthlyIncome]]&lt;6000,"3K-6K",IF(HR_Data[[#This Row],[MonthlyIncome]]&lt;10000,"6K-10K","10K+")))</f>
        <v>3K-6K</v>
      </c>
      <c r="AH780" s="1">
        <f>IF(HR_Data[[#This Row],[MonthlyIncome]]&lt;3000,1,IF(HR_Data[[#This Row],[MonthlyIncome]]&lt;6000,2,IF(HR_Data[[#This Row],[MonthlyIncome]]&lt;10000,3,4)))</f>
        <v>2</v>
      </c>
      <c r="AI780" s="1" t="str">
        <f>IF(HR_Data[[#This Row],[YearsAtCompany]]&lt;=2,"0-2 Yrs",IF(HR_Data[[#This Row],[YearsAtCompany]]&lt;=5,"3-5 Yrs",IF(HR_Data[[#This Row],[YearsAtCompany]]&lt;=10,"6-10 Yrs","10+ Yrs")))</f>
        <v>10+ Yrs</v>
      </c>
      <c r="AJ780" s="1">
        <f>IF(HR_Data[[#This Row],[YearsAtCompany]]&lt;=2,1,IF(HR_Data[[#This Row],[YearsAtCompany]]&lt;=5,2,IF(HR_Data[[#This Row],[YearsAtCompany]]&lt;=10,3,4)))</f>
        <v>4</v>
      </c>
      <c r="AK780" s="1" t="str">
        <f>CHOOSE(HR_Data[[#This Row],[Education]],"Below College","College","Bachelor","Master","Doctor")</f>
        <v>Master</v>
      </c>
      <c r="AL780" s="1" t="str">
        <f>CHOOSE(HR_Data[[#This Row],[JobSatisfaction]],"Low","Medium","High","Very High")</f>
        <v>Low</v>
      </c>
      <c r="AM780" s="1" t="str">
        <f>CHOOSE(HR_Data[[#This Row],[EnvironmentSatisfaction]],"Low","Medium","High","Very High")</f>
        <v>Very High</v>
      </c>
      <c r="AN780" s="1" t="str">
        <f>CHOOSE(HR_Data[[#This Row],[WorkLifeBalance]],"Bad","Good","Better","Best")</f>
        <v>Better</v>
      </c>
      <c r="AO780" s="1" t="str">
        <f>IF(HR_Data[[#This Row],[PercentSalaryHike]]&lt;=13,"11-13%",IF(HR_Data[[#This Row],[PercentSalaryHike]]&lt;=16,"14-16%",IF(HR_Data[[#This Row],[PercentSalaryHike]]&lt;=19,"17-19%","20-25%")))</f>
        <v>20-25%</v>
      </c>
      <c r="AP780" s="1">
        <f>IF(HR_Data[[#This Row],[PercentSalaryHike]]&lt;=13,1,IF(HR_Data[[#This Row],[PercentSalaryHike]]&lt;=16,2,IF(HR_Data[[#This Row],[PercentSalaryHike]]&lt;=19,3,4)))</f>
        <v>4</v>
      </c>
      <c r="AQ780" s="1" t="str">
        <f>IF(HR_Data[[#This Row],[DistanceFromHome]]&lt;=5,"1 to 5",IF(HR_Data[[#This Row],[DistanceFromHome]]&lt;=10,"6 to 10",IF(HR_Data[[#This Row],[DistanceFromHome]]&lt;=20,"11 to 20","21 to 29")))</f>
        <v>6 to 10</v>
      </c>
      <c r="AR780" s="1">
        <f>IF(HR_Data[[#This Row],[DistanceFromHome]]&lt;=5,1,IF(HR_Data[[#This Row],[DistanceFromHome]]&lt;=10,2,IF(HR_Data[[#This Row],[DistanceFromHome]]&lt;=20,3,4)))</f>
        <v>2</v>
      </c>
      <c r="AS780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780" s="1">
        <f>IF(HR_Data[[#This Row],[TotalWorkingYears]]&lt;=5,1,IF(HR_Data[[#This Row],[TotalWorkingYears]]&lt;=10,2,IF(HR_Data[[#This Row],[TotalWorkingYears]]&lt;=20,3,4)))</f>
        <v>3</v>
      </c>
    </row>
    <row r="781" spans="1:46" x14ac:dyDescent="0.25">
      <c r="A781">
        <v>51</v>
      </c>
      <c r="B781" t="s">
        <v>29</v>
      </c>
      <c r="C781" t="s">
        <v>30</v>
      </c>
      <c r="D781" t="s">
        <v>38</v>
      </c>
      <c r="E781">
        <v>4</v>
      </c>
      <c r="F781">
        <v>4</v>
      </c>
      <c r="G781" t="s">
        <v>32</v>
      </c>
      <c r="H781">
        <v>1081</v>
      </c>
      <c r="I781">
        <v>1</v>
      </c>
      <c r="J781" t="s">
        <v>39</v>
      </c>
      <c r="K781">
        <v>3</v>
      </c>
      <c r="L781">
        <v>1</v>
      </c>
      <c r="M781" t="s">
        <v>40</v>
      </c>
      <c r="N781">
        <v>3</v>
      </c>
      <c r="O781" t="s">
        <v>41</v>
      </c>
      <c r="P781">
        <v>2461</v>
      </c>
      <c r="Q781">
        <v>9</v>
      </c>
      <c r="R781" t="s">
        <v>29</v>
      </c>
      <c r="S781">
        <v>12</v>
      </c>
      <c r="T781">
        <v>3</v>
      </c>
      <c r="U781">
        <v>3</v>
      </c>
      <c r="V781">
        <v>3</v>
      </c>
      <c r="W781">
        <v>18</v>
      </c>
      <c r="X781">
        <v>2</v>
      </c>
      <c r="Y781">
        <v>4</v>
      </c>
      <c r="Z781">
        <v>10</v>
      </c>
      <c r="AA781">
        <v>0</v>
      </c>
      <c r="AB781">
        <v>2</v>
      </c>
      <c r="AC781">
        <v>7</v>
      </c>
      <c r="AD781">
        <f>IF(HR_Data[[#This Row],[Attrition]]="Yes",1,0)</f>
        <v>1</v>
      </c>
      <c r="AE781" t="str">
        <f>IF(HR_Data[[#This Row],[Age]]&lt;=25,"18-25",IF(HR_Data[[#This Row],[Age]]&lt;=35,"26-35",IF(HR_Data[[#This Row],[Age]]&lt;=45,"36-45",IF(HR_Data[[#This Row],[Age]]&lt;=55,"46-55","55+"))))</f>
        <v>46-55</v>
      </c>
      <c r="AF781">
        <f>IF(HR_Data[[#This Row],[Age]]&lt;=25,1,IF(HR_Data[[#This Row],[Age]]&lt;=35,2,IF(HR_Data[[#This Row],[Age]]&lt;=45,3,IF(HR_Data[[#This Row],[Age]]&lt;=55,4,5))))</f>
        <v>4</v>
      </c>
      <c r="AG781" s="1" t="str">
        <f>IF(HR_Data[[#This Row],[MonthlyIncome]]&lt;3000,"&lt;3K",IF(HR_Data[[#This Row],[MonthlyIncome]]&lt;6000,"3K-6K",IF(HR_Data[[#This Row],[MonthlyIncome]]&lt;10000,"6K-10K","10K+")))</f>
        <v>&lt;3K</v>
      </c>
      <c r="AH781" s="1">
        <f>IF(HR_Data[[#This Row],[MonthlyIncome]]&lt;3000,1,IF(HR_Data[[#This Row],[MonthlyIncome]]&lt;6000,2,IF(HR_Data[[#This Row],[MonthlyIncome]]&lt;10000,3,4)))</f>
        <v>1</v>
      </c>
      <c r="AI781" s="1" t="str">
        <f>IF(HR_Data[[#This Row],[YearsAtCompany]]&lt;=2,"0-2 Yrs",IF(HR_Data[[#This Row],[YearsAtCompany]]&lt;=5,"3-5 Yrs",IF(HR_Data[[#This Row],[YearsAtCompany]]&lt;=10,"6-10 Yrs","10+ Yrs")))</f>
        <v>6-10 Yrs</v>
      </c>
      <c r="AJ781" s="1">
        <f>IF(HR_Data[[#This Row],[YearsAtCompany]]&lt;=2,1,IF(HR_Data[[#This Row],[YearsAtCompany]]&lt;=5,2,IF(HR_Data[[#This Row],[YearsAtCompany]]&lt;=10,3,4)))</f>
        <v>3</v>
      </c>
      <c r="AK781" s="1" t="str">
        <f>CHOOSE(HR_Data[[#This Row],[Education]],"Below College","College","Bachelor","Master","Doctor")</f>
        <v>Master</v>
      </c>
      <c r="AL781" s="1" t="str">
        <f>CHOOSE(HR_Data[[#This Row],[JobSatisfaction]],"Low","Medium","High","Very High")</f>
        <v>High</v>
      </c>
      <c r="AM781" s="1" t="str">
        <f>CHOOSE(HR_Data[[#This Row],[EnvironmentSatisfaction]],"Low","Medium","High","Very High")</f>
        <v>Low</v>
      </c>
      <c r="AN781" s="1" t="str">
        <f>CHOOSE(HR_Data[[#This Row],[WorkLifeBalance]],"Bad","Good","Better","Best")</f>
        <v>Best</v>
      </c>
      <c r="AO781" s="1" t="str">
        <f>IF(HR_Data[[#This Row],[PercentSalaryHike]]&lt;=13,"11-13%",IF(HR_Data[[#This Row],[PercentSalaryHike]]&lt;=16,"14-16%",IF(HR_Data[[#This Row],[PercentSalaryHike]]&lt;=19,"17-19%","20-25%")))</f>
        <v>11-13%</v>
      </c>
      <c r="AP781" s="1">
        <f>IF(HR_Data[[#This Row],[PercentSalaryHike]]&lt;=13,1,IF(HR_Data[[#This Row],[PercentSalaryHike]]&lt;=16,2,IF(HR_Data[[#This Row],[PercentSalaryHike]]&lt;=19,3,4)))</f>
        <v>1</v>
      </c>
      <c r="AQ781" s="1" t="str">
        <f>IF(HR_Data[[#This Row],[DistanceFromHome]]&lt;=5,"1 to 5",IF(HR_Data[[#This Row],[DistanceFromHome]]&lt;=10,"6 to 10",IF(HR_Data[[#This Row],[DistanceFromHome]]&lt;=20,"11 to 20","21 to 29")))</f>
        <v>1 to 5</v>
      </c>
      <c r="AR781" s="1">
        <f>IF(HR_Data[[#This Row],[DistanceFromHome]]&lt;=5,1,IF(HR_Data[[#This Row],[DistanceFromHome]]&lt;=10,2,IF(HR_Data[[#This Row],[DistanceFromHome]]&lt;=20,3,4)))</f>
        <v>1</v>
      </c>
      <c r="AS781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781" s="1">
        <f>IF(HR_Data[[#This Row],[TotalWorkingYears]]&lt;=5,1,IF(HR_Data[[#This Row],[TotalWorkingYears]]&lt;=10,2,IF(HR_Data[[#This Row],[TotalWorkingYears]]&lt;=20,3,4)))</f>
        <v>3</v>
      </c>
    </row>
    <row r="782" spans="1:46" x14ac:dyDescent="0.25">
      <c r="A782">
        <v>28</v>
      </c>
      <c r="B782" t="s">
        <v>29</v>
      </c>
      <c r="C782" t="s">
        <v>48</v>
      </c>
      <c r="D782" t="s">
        <v>38</v>
      </c>
      <c r="E782">
        <v>24</v>
      </c>
      <c r="F782">
        <v>2</v>
      </c>
      <c r="G782" t="s">
        <v>53</v>
      </c>
      <c r="H782">
        <v>1082</v>
      </c>
      <c r="I782">
        <v>2</v>
      </c>
      <c r="J782" t="s">
        <v>39</v>
      </c>
      <c r="K782">
        <v>2</v>
      </c>
      <c r="L782">
        <v>3</v>
      </c>
      <c r="M782" t="s">
        <v>47</v>
      </c>
      <c r="N782">
        <v>1</v>
      </c>
      <c r="O782" t="s">
        <v>35</v>
      </c>
      <c r="P782">
        <v>8722</v>
      </c>
      <c r="Q782">
        <v>1</v>
      </c>
      <c r="R782" t="s">
        <v>36</v>
      </c>
      <c r="S782">
        <v>12</v>
      </c>
      <c r="T782">
        <v>3</v>
      </c>
      <c r="U782">
        <v>1</v>
      </c>
      <c r="V782">
        <v>0</v>
      </c>
      <c r="W782">
        <v>10</v>
      </c>
      <c r="X782">
        <v>2</v>
      </c>
      <c r="Y782">
        <v>2</v>
      </c>
      <c r="Z782">
        <v>10</v>
      </c>
      <c r="AA782">
        <v>7</v>
      </c>
      <c r="AB782">
        <v>1</v>
      </c>
      <c r="AC782">
        <v>9</v>
      </c>
      <c r="AD782">
        <f>IF(HR_Data[[#This Row],[Attrition]]="Yes",1,0)</f>
        <v>1</v>
      </c>
      <c r="AE782" t="str">
        <f>IF(HR_Data[[#This Row],[Age]]&lt;=25,"18-25",IF(HR_Data[[#This Row],[Age]]&lt;=35,"26-35",IF(HR_Data[[#This Row],[Age]]&lt;=45,"36-45",IF(HR_Data[[#This Row],[Age]]&lt;=55,"46-55","55+"))))</f>
        <v>26-35</v>
      </c>
      <c r="AF782">
        <f>IF(HR_Data[[#This Row],[Age]]&lt;=25,1,IF(HR_Data[[#This Row],[Age]]&lt;=35,2,IF(HR_Data[[#This Row],[Age]]&lt;=45,3,IF(HR_Data[[#This Row],[Age]]&lt;=55,4,5))))</f>
        <v>2</v>
      </c>
      <c r="AG782" s="1" t="str">
        <f>IF(HR_Data[[#This Row],[MonthlyIncome]]&lt;3000,"&lt;3K",IF(HR_Data[[#This Row],[MonthlyIncome]]&lt;6000,"3K-6K",IF(HR_Data[[#This Row],[MonthlyIncome]]&lt;10000,"6K-10K","10K+")))</f>
        <v>6K-10K</v>
      </c>
      <c r="AH782" s="1">
        <f>IF(HR_Data[[#This Row],[MonthlyIncome]]&lt;3000,1,IF(HR_Data[[#This Row],[MonthlyIncome]]&lt;6000,2,IF(HR_Data[[#This Row],[MonthlyIncome]]&lt;10000,3,4)))</f>
        <v>3</v>
      </c>
      <c r="AI782" s="1" t="str">
        <f>IF(HR_Data[[#This Row],[YearsAtCompany]]&lt;=2,"0-2 Yrs",IF(HR_Data[[#This Row],[YearsAtCompany]]&lt;=5,"3-5 Yrs",IF(HR_Data[[#This Row],[YearsAtCompany]]&lt;=10,"6-10 Yrs","10+ Yrs")))</f>
        <v>6-10 Yrs</v>
      </c>
      <c r="AJ782" s="1">
        <f>IF(HR_Data[[#This Row],[YearsAtCompany]]&lt;=2,1,IF(HR_Data[[#This Row],[YearsAtCompany]]&lt;=5,2,IF(HR_Data[[#This Row],[YearsAtCompany]]&lt;=10,3,4)))</f>
        <v>3</v>
      </c>
      <c r="AK782" s="1" t="str">
        <f>CHOOSE(HR_Data[[#This Row],[Education]],"Below College","College","Bachelor","Master","Doctor")</f>
        <v>College</v>
      </c>
      <c r="AL782" s="1" t="str">
        <f>CHOOSE(HR_Data[[#This Row],[JobSatisfaction]],"Low","Medium","High","Very High")</f>
        <v>Low</v>
      </c>
      <c r="AM782" s="1" t="str">
        <f>CHOOSE(HR_Data[[#This Row],[EnvironmentSatisfaction]],"Low","Medium","High","Very High")</f>
        <v>Medium</v>
      </c>
      <c r="AN782" s="1" t="str">
        <f>CHOOSE(HR_Data[[#This Row],[WorkLifeBalance]],"Bad","Good","Better","Best")</f>
        <v>Good</v>
      </c>
      <c r="AO782" s="1" t="str">
        <f>IF(HR_Data[[#This Row],[PercentSalaryHike]]&lt;=13,"11-13%",IF(HR_Data[[#This Row],[PercentSalaryHike]]&lt;=16,"14-16%",IF(HR_Data[[#This Row],[PercentSalaryHike]]&lt;=19,"17-19%","20-25%")))</f>
        <v>11-13%</v>
      </c>
      <c r="AP782" s="1">
        <f>IF(HR_Data[[#This Row],[PercentSalaryHike]]&lt;=13,1,IF(HR_Data[[#This Row],[PercentSalaryHike]]&lt;=16,2,IF(HR_Data[[#This Row],[PercentSalaryHike]]&lt;=19,3,4)))</f>
        <v>1</v>
      </c>
      <c r="AQ782" s="1" t="str">
        <f>IF(HR_Data[[#This Row],[DistanceFromHome]]&lt;=5,"1 to 5",IF(HR_Data[[#This Row],[DistanceFromHome]]&lt;=10,"6 to 10",IF(HR_Data[[#This Row],[DistanceFromHome]]&lt;=20,"11 to 20","21 to 29")))</f>
        <v>21 to 29</v>
      </c>
      <c r="AR782" s="1">
        <f>IF(HR_Data[[#This Row],[DistanceFromHome]]&lt;=5,1,IF(HR_Data[[#This Row],[DistanceFromHome]]&lt;=10,2,IF(HR_Data[[#This Row],[DistanceFromHome]]&lt;=20,3,4)))</f>
        <v>4</v>
      </c>
      <c r="AS782" s="1" t="str">
        <f>IF(HR_Data[[#This Row],[TotalWorkingYears]]&lt;=5,"0-5 Yrs",IF(HR_Data[[#This Row],[TotalWorkingYears]]&lt;=10,"6-10 Yrs",IF(HR_Data[[#This Row],[TotalWorkingYears]]&lt;=20,"11-20 Yrs","20+ Yrs")))</f>
        <v>6-10 Yrs</v>
      </c>
      <c r="AT782" s="1">
        <f>IF(HR_Data[[#This Row],[TotalWorkingYears]]&lt;=5,1,IF(HR_Data[[#This Row],[TotalWorkingYears]]&lt;=10,2,IF(HR_Data[[#This Row],[TotalWorkingYears]]&lt;=20,3,4)))</f>
        <v>2</v>
      </c>
    </row>
    <row r="783" spans="1:46" x14ac:dyDescent="0.25">
      <c r="A783">
        <v>26</v>
      </c>
      <c r="B783" t="s">
        <v>36</v>
      </c>
      <c r="C783" t="s">
        <v>30</v>
      </c>
      <c r="D783" t="s">
        <v>38</v>
      </c>
      <c r="E783">
        <v>1</v>
      </c>
      <c r="F783">
        <v>2</v>
      </c>
      <c r="G783" t="s">
        <v>44</v>
      </c>
      <c r="H783">
        <v>1083</v>
      </c>
      <c r="I783">
        <v>1</v>
      </c>
      <c r="J783" t="s">
        <v>39</v>
      </c>
      <c r="K783">
        <v>2</v>
      </c>
      <c r="L783">
        <v>1</v>
      </c>
      <c r="M783" t="s">
        <v>43</v>
      </c>
      <c r="N783">
        <v>1</v>
      </c>
      <c r="O783" t="s">
        <v>41</v>
      </c>
      <c r="P783">
        <v>3955</v>
      </c>
      <c r="Q783">
        <v>1</v>
      </c>
      <c r="R783" t="s">
        <v>36</v>
      </c>
      <c r="S783">
        <v>16</v>
      </c>
      <c r="T783">
        <v>3</v>
      </c>
      <c r="U783">
        <v>1</v>
      </c>
      <c r="V783">
        <v>2</v>
      </c>
      <c r="W783">
        <v>6</v>
      </c>
      <c r="X783">
        <v>2</v>
      </c>
      <c r="Y783">
        <v>3</v>
      </c>
      <c r="Z783">
        <v>5</v>
      </c>
      <c r="AA783">
        <v>3</v>
      </c>
      <c r="AB783">
        <v>1</v>
      </c>
      <c r="AC783">
        <v>3</v>
      </c>
      <c r="AD783">
        <f>IF(HR_Data[[#This Row],[Attrition]]="Yes",1,0)</f>
        <v>0</v>
      </c>
      <c r="AE783" t="str">
        <f>IF(HR_Data[[#This Row],[Age]]&lt;=25,"18-25",IF(HR_Data[[#This Row],[Age]]&lt;=35,"26-35",IF(HR_Data[[#This Row],[Age]]&lt;=45,"36-45",IF(HR_Data[[#This Row],[Age]]&lt;=55,"46-55","55+"))))</f>
        <v>26-35</v>
      </c>
      <c r="AF783">
        <f>IF(HR_Data[[#This Row],[Age]]&lt;=25,1,IF(HR_Data[[#This Row],[Age]]&lt;=35,2,IF(HR_Data[[#This Row],[Age]]&lt;=45,3,IF(HR_Data[[#This Row],[Age]]&lt;=55,4,5))))</f>
        <v>2</v>
      </c>
      <c r="AG783" s="1" t="str">
        <f>IF(HR_Data[[#This Row],[MonthlyIncome]]&lt;3000,"&lt;3K",IF(HR_Data[[#This Row],[MonthlyIncome]]&lt;6000,"3K-6K",IF(HR_Data[[#This Row],[MonthlyIncome]]&lt;10000,"6K-10K","10K+")))</f>
        <v>3K-6K</v>
      </c>
      <c r="AH783" s="1">
        <f>IF(HR_Data[[#This Row],[MonthlyIncome]]&lt;3000,1,IF(HR_Data[[#This Row],[MonthlyIncome]]&lt;6000,2,IF(HR_Data[[#This Row],[MonthlyIncome]]&lt;10000,3,4)))</f>
        <v>2</v>
      </c>
      <c r="AI783" s="1" t="str">
        <f>IF(HR_Data[[#This Row],[YearsAtCompany]]&lt;=2,"0-2 Yrs",IF(HR_Data[[#This Row],[YearsAtCompany]]&lt;=5,"3-5 Yrs",IF(HR_Data[[#This Row],[YearsAtCompany]]&lt;=10,"6-10 Yrs","10+ Yrs")))</f>
        <v>3-5 Yrs</v>
      </c>
      <c r="AJ783" s="1">
        <f>IF(HR_Data[[#This Row],[YearsAtCompany]]&lt;=2,1,IF(HR_Data[[#This Row],[YearsAtCompany]]&lt;=5,2,IF(HR_Data[[#This Row],[YearsAtCompany]]&lt;=10,3,4)))</f>
        <v>2</v>
      </c>
      <c r="AK783" s="1" t="str">
        <f>CHOOSE(HR_Data[[#This Row],[Education]],"Below College","College","Bachelor","Master","Doctor")</f>
        <v>College</v>
      </c>
      <c r="AL783" s="1" t="str">
        <f>CHOOSE(HR_Data[[#This Row],[JobSatisfaction]],"Low","Medium","High","Very High")</f>
        <v>Low</v>
      </c>
      <c r="AM783" s="1" t="str">
        <f>CHOOSE(HR_Data[[#This Row],[EnvironmentSatisfaction]],"Low","Medium","High","Very High")</f>
        <v>Low</v>
      </c>
      <c r="AN783" s="1" t="str">
        <f>CHOOSE(HR_Data[[#This Row],[WorkLifeBalance]],"Bad","Good","Better","Best")</f>
        <v>Better</v>
      </c>
      <c r="AO783" s="1" t="str">
        <f>IF(HR_Data[[#This Row],[PercentSalaryHike]]&lt;=13,"11-13%",IF(HR_Data[[#This Row],[PercentSalaryHike]]&lt;=16,"14-16%",IF(HR_Data[[#This Row],[PercentSalaryHike]]&lt;=19,"17-19%","20-25%")))</f>
        <v>14-16%</v>
      </c>
      <c r="AP783" s="1">
        <f>IF(HR_Data[[#This Row],[PercentSalaryHike]]&lt;=13,1,IF(HR_Data[[#This Row],[PercentSalaryHike]]&lt;=16,2,IF(HR_Data[[#This Row],[PercentSalaryHike]]&lt;=19,3,4)))</f>
        <v>2</v>
      </c>
      <c r="AQ783" s="1" t="str">
        <f>IF(HR_Data[[#This Row],[DistanceFromHome]]&lt;=5,"1 to 5",IF(HR_Data[[#This Row],[DistanceFromHome]]&lt;=10,"6 to 10",IF(HR_Data[[#This Row],[DistanceFromHome]]&lt;=20,"11 to 20","21 to 29")))</f>
        <v>1 to 5</v>
      </c>
      <c r="AR783" s="1">
        <f>IF(HR_Data[[#This Row],[DistanceFromHome]]&lt;=5,1,IF(HR_Data[[#This Row],[DistanceFromHome]]&lt;=10,2,IF(HR_Data[[#This Row],[DistanceFromHome]]&lt;=20,3,4)))</f>
        <v>1</v>
      </c>
      <c r="AS783" s="1" t="str">
        <f>IF(HR_Data[[#This Row],[TotalWorkingYears]]&lt;=5,"0-5 Yrs",IF(HR_Data[[#This Row],[TotalWorkingYears]]&lt;=10,"6-10 Yrs",IF(HR_Data[[#This Row],[TotalWorkingYears]]&lt;=20,"11-20 Yrs","20+ Yrs")))</f>
        <v>6-10 Yrs</v>
      </c>
      <c r="AT783" s="1">
        <f>IF(HR_Data[[#This Row],[TotalWorkingYears]]&lt;=5,1,IF(HR_Data[[#This Row],[TotalWorkingYears]]&lt;=10,2,IF(HR_Data[[#This Row],[TotalWorkingYears]]&lt;=20,3,4)))</f>
        <v>2</v>
      </c>
    </row>
    <row r="784" spans="1:46" x14ac:dyDescent="0.25">
      <c r="A784">
        <v>30</v>
      </c>
      <c r="B784" t="s">
        <v>36</v>
      </c>
      <c r="C784" t="s">
        <v>30</v>
      </c>
      <c r="D784" t="s">
        <v>38</v>
      </c>
      <c r="E784">
        <v>20</v>
      </c>
      <c r="F784">
        <v>3</v>
      </c>
      <c r="G784" t="s">
        <v>42</v>
      </c>
      <c r="H784">
        <v>1084</v>
      </c>
      <c r="I784">
        <v>3</v>
      </c>
      <c r="J784" t="s">
        <v>39</v>
      </c>
      <c r="K784">
        <v>3</v>
      </c>
      <c r="L784">
        <v>2</v>
      </c>
      <c r="M784" t="s">
        <v>46</v>
      </c>
      <c r="N784">
        <v>1</v>
      </c>
      <c r="O784" t="s">
        <v>41</v>
      </c>
      <c r="P784">
        <v>9957</v>
      </c>
      <c r="Q784">
        <v>0</v>
      </c>
      <c r="R784" t="s">
        <v>36</v>
      </c>
      <c r="S784">
        <v>15</v>
      </c>
      <c r="T784">
        <v>3</v>
      </c>
      <c r="U784">
        <v>3</v>
      </c>
      <c r="V784">
        <v>1</v>
      </c>
      <c r="W784">
        <v>7</v>
      </c>
      <c r="X784">
        <v>1</v>
      </c>
      <c r="Y784">
        <v>2</v>
      </c>
      <c r="Z784">
        <v>6</v>
      </c>
      <c r="AA784">
        <v>2</v>
      </c>
      <c r="AB784">
        <v>0</v>
      </c>
      <c r="AC784">
        <v>2</v>
      </c>
      <c r="AD784">
        <f>IF(HR_Data[[#This Row],[Attrition]]="Yes",1,0)</f>
        <v>0</v>
      </c>
      <c r="AE784" t="str">
        <f>IF(HR_Data[[#This Row],[Age]]&lt;=25,"18-25",IF(HR_Data[[#This Row],[Age]]&lt;=35,"26-35",IF(HR_Data[[#This Row],[Age]]&lt;=45,"36-45",IF(HR_Data[[#This Row],[Age]]&lt;=55,"46-55","55+"))))</f>
        <v>26-35</v>
      </c>
      <c r="AF784">
        <f>IF(HR_Data[[#This Row],[Age]]&lt;=25,1,IF(HR_Data[[#This Row],[Age]]&lt;=35,2,IF(HR_Data[[#This Row],[Age]]&lt;=45,3,IF(HR_Data[[#This Row],[Age]]&lt;=55,4,5))))</f>
        <v>2</v>
      </c>
      <c r="AG784" s="1" t="str">
        <f>IF(HR_Data[[#This Row],[MonthlyIncome]]&lt;3000,"&lt;3K",IF(HR_Data[[#This Row],[MonthlyIncome]]&lt;6000,"3K-6K",IF(HR_Data[[#This Row],[MonthlyIncome]]&lt;10000,"6K-10K","10K+")))</f>
        <v>6K-10K</v>
      </c>
      <c r="AH784" s="1">
        <f>IF(HR_Data[[#This Row],[MonthlyIncome]]&lt;3000,1,IF(HR_Data[[#This Row],[MonthlyIncome]]&lt;6000,2,IF(HR_Data[[#This Row],[MonthlyIncome]]&lt;10000,3,4)))</f>
        <v>3</v>
      </c>
      <c r="AI784" s="1" t="str">
        <f>IF(HR_Data[[#This Row],[YearsAtCompany]]&lt;=2,"0-2 Yrs",IF(HR_Data[[#This Row],[YearsAtCompany]]&lt;=5,"3-5 Yrs",IF(HR_Data[[#This Row],[YearsAtCompany]]&lt;=10,"6-10 Yrs","10+ Yrs")))</f>
        <v>6-10 Yrs</v>
      </c>
      <c r="AJ784" s="1">
        <f>IF(HR_Data[[#This Row],[YearsAtCompany]]&lt;=2,1,IF(HR_Data[[#This Row],[YearsAtCompany]]&lt;=5,2,IF(HR_Data[[#This Row],[YearsAtCompany]]&lt;=10,3,4)))</f>
        <v>3</v>
      </c>
      <c r="AK784" s="1" t="str">
        <f>CHOOSE(HR_Data[[#This Row],[Education]],"Below College","College","Bachelor","Master","Doctor")</f>
        <v>Bachelor</v>
      </c>
      <c r="AL784" s="1" t="str">
        <f>CHOOSE(HR_Data[[#This Row],[JobSatisfaction]],"Low","Medium","High","Very High")</f>
        <v>Low</v>
      </c>
      <c r="AM784" s="1" t="str">
        <f>CHOOSE(HR_Data[[#This Row],[EnvironmentSatisfaction]],"Low","Medium","High","Very High")</f>
        <v>High</v>
      </c>
      <c r="AN784" s="1" t="str">
        <f>CHOOSE(HR_Data[[#This Row],[WorkLifeBalance]],"Bad","Good","Better","Best")</f>
        <v>Good</v>
      </c>
      <c r="AO784" s="1" t="str">
        <f>IF(HR_Data[[#This Row],[PercentSalaryHike]]&lt;=13,"11-13%",IF(HR_Data[[#This Row],[PercentSalaryHike]]&lt;=16,"14-16%",IF(HR_Data[[#This Row],[PercentSalaryHike]]&lt;=19,"17-19%","20-25%")))</f>
        <v>14-16%</v>
      </c>
      <c r="AP784" s="1">
        <f>IF(HR_Data[[#This Row],[PercentSalaryHike]]&lt;=13,1,IF(HR_Data[[#This Row],[PercentSalaryHike]]&lt;=16,2,IF(HR_Data[[#This Row],[PercentSalaryHike]]&lt;=19,3,4)))</f>
        <v>2</v>
      </c>
      <c r="AQ784" s="1" t="str">
        <f>IF(HR_Data[[#This Row],[DistanceFromHome]]&lt;=5,"1 to 5",IF(HR_Data[[#This Row],[DistanceFromHome]]&lt;=10,"6 to 10",IF(HR_Data[[#This Row],[DistanceFromHome]]&lt;=20,"11 to 20","21 to 29")))</f>
        <v>11 to 20</v>
      </c>
      <c r="AR784" s="1">
        <f>IF(HR_Data[[#This Row],[DistanceFromHome]]&lt;=5,1,IF(HR_Data[[#This Row],[DistanceFromHome]]&lt;=10,2,IF(HR_Data[[#This Row],[DistanceFromHome]]&lt;=20,3,4)))</f>
        <v>3</v>
      </c>
      <c r="AS784" s="1" t="str">
        <f>IF(HR_Data[[#This Row],[TotalWorkingYears]]&lt;=5,"0-5 Yrs",IF(HR_Data[[#This Row],[TotalWorkingYears]]&lt;=10,"6-10 Yrs",IF(HR_Data[[#This Row],[TotalWorkingYears]]&lt;=20,"11-20 Yrs","20+ Yrs")))</f>
        <v>6-10 Yrs</v>
      </c>
      <c r="AT784" s="1">
        <f>IF(HR_Data[[#This Row],[TotalWorkingYears]]&lt;=5,1,IF(HR_Data[[#This Row],[TotalWorkingYears]]&lt;=10,2,IF(HR_Data[[#This Row],[TotalWorkingYears]]&lt;=20,3,4)))</f>
        <v>2</v>
      </c>
    </row>
    <row r="785" spans="1:46" x14ac:dyDescent="0.25">
      <c r="A785">
        <v>41</v>
      </c>
      <c r="B785" t="s">
        <v>36</v>
      </c>
      <c r="C785" t="s">
        <v>30</v>
      </c>
      <c r="D785" t="s">
        <v>38</v>
      </c>
      <c r="E785">
        <v>7</v>
      </c>
      <c r="F785">
        <v>2</v>
      </c>
      <c r="G785" t="s">
        <v>53</v>
      </c>
      <c r="H785">
        <v>1085</v>
      </c>
      <c r="I785">
        <v>2</v>
      </c>
      <c r="J785" t="s">
        <v>33</v>
      </c>
      <c r="K785">
        <v>4</v>
      </c>
      <c r="L785">
        <v>1</v>
      </c>
      <c r="M785" t="s">
        <v>40</v>
      </c>
      <c r="N785">
        <v>3</v>
      </c>
      <c r="O785" t="s">
        <v>41</v>
      </c>
      <c r="P785">
        <v>3376</v>
      </c>
      <c r="Q785">
        <v>1</v>
      </c>
      <c r="R785" t="s">
        <v>36</v>
      </c>
      <c r="S785">
        <v>13</v>
      </c>
      <c r="T785">
        <v>3</v>
      </c>
      <c r="U785">
        <v>3</v>
      </c>
      <c r="V785">
        <v>0</v>
      </c>
      <c r="W785">
        <v>10</v>
      </c>
      <c r="X785">
        <v>3</v>
      </c>
      <c r="Y785">
        <v>3</v>
      </c>
      <c r="Z785">
        <v>10</v>
      </c>
      <c r="AA785">
        <v>6</v>
      </c>
      <c r="AB785">
        <v>0</v>
      </c>
      <c r="AC785">
        <v>8</v>
      </c>
      <c r="AD785">
        <f>IF(HR_Data[[#This Row],[Attrition]]="Yes",1,0)</f>
        <v>0</v>
      </c>
      <c r="AE785" t="str">
        <f>IF(HR_Data[[#This Row],[Age]]&lt;=25,"18-25",IF(HR_Data[[#This Row],[Age]]&lt;=35,"26-35",IF(HR_Data[[#This Row],[Age]]&lt;=45,"36-45",IF(HR_Data[[#This Row],[Age]]&lt;=55,"46-55","55+"))))</f>
        <v>36-45</v>
      </c>
      <c r="AF785">
        <f>IF(HR_Data[[#This Row],[Age]]&lt;=25,1,IF(HR_Data[[#This Row],[Age]]&lt;=35,2,IF(HR_Data[[#This Row],[Age]]&lt;=45,3,IF(HR_Data[[#This Row],[Age]]&lt;=55,4,5))))</f>
        <v>3</v>
      </c>
      <c r="AG785" s="1" t="str">
        <f>IF(HR_Data[[#This Row],[MonthlyIncome]]&lt;3000,"&lt;3K",IF(HR_Data[[#This Row],[MonthlyIncome]]&lt;6000,"3K-6K",IF(HR_Data[[#This Row],[MonthlyIncome]]&lt;10000,"6K-10K","10K+")))</f>
        <v>3K-6K</v>
      </c>
      <c r="AH785" s="1">
        <f>IF(HR_Data[[#This Row],[MonthlyIncome]]&lt;3000,1,IF(HR_Data[[#This Row],[MonthlyIncome]]&lt;6000,2,IF(HR_Data[[#This Row],[MonthlyIncome]]&lt;10000,3,4)))</f>
        <v>2</v>
      </c>
      <c r="AI785" s="1" t="str">
        <f>IF(HR_Data[[#This Row],[YearsAtCompany]]&lt;=2,"0-2 Yrs",IF(HR_Data[[#This Row],[YearsAtCompany]]&lt;=5,"3-5 Yrs",IF(HR_Data[[#This Row],[YearsAtCompany]]&lt;=10,"6-10 Yrs","10+ Yrs")))</f>
        <v>6-10 Yrs</v>
      </c>
      <c r="AJ785" s="1">
        <f>IF(HR_Data[[#This Row],[YearsAtCompany]]&lt;=2,1,IF(HR_Data[[#This Row],[YearsAtCompany]]&lt;=5,2,IF(HR_Data[[#This Row],[YearsAtCompany]]&lt;=10,3,4)))</f>
        <v>3</v>
      </c>
      <c r="AK785" s="1" t="str">
        <f>CHOOSE(HR_Data[[#This Row],[Education]],"Below College","College","Bachelor","Master","Doctor")</f>
        <v>College</v>
      </c>
      <c r="AL785" s="1" t="str">
        <f>CHOOSE(HR_Data[[#This Row],[JobSatisfaction]],"Low","Medium","High","Very High")</f>
        <v>High</v>
      </c>
      <c r="AM785" s="1" t="str">
        <f>CHOOSE(HR_Data[[#This Row],[EnvironmentSatisfaction]],"Low","Medium","High","Very High")</f>
        <v>Medium</v>
      </c>
      <c r="AN785" s="1" t="str">
        <f>CHOOSE(HR_Data[[#This Row],[WorkLifeBalance]],"Bad","Good","Better","Best")</f>
        <v>Better</v>
      </c>
      <c r="AO785" s="1" t="str">
        <f>IF(HR_Data[[#This Row],[PercentSalaryHike]]&lt;=13,"11-13%",IF(HR_Data[[#This Row],[PercentSalaryHike]]&lt;=16,"14-16%",IF(HR_Data[[#This Row],[PercentSalaryHike]]&lt;=19,"17-19%","20-25%")))</f>
        <v>11-13%</v>
      </c>
      <c r="AP785" s="1">
        <f>IF(HR_Data[[#This Row],[PercentSalaryHike]]&lt;=13,1,IF(HR_Data[[#This Row],[PercentSalaryHike]]&lt;=16,2,IF(HR_Data[[#This Row],[PercentSalaryHike]]&lt;=19,3,4)))</f>
        <v>1</v>
      </c>
      <c r="AQ785" s="1" t="str">
        <f>IF(HR_Data[[#This Row],[DistanceFromHome]]&lt;=5,"1 to 5",IF(HR_Data[[#This Row],[DistanceFromHome]]&lt;=10,"6 to 10",IF(HR_Data[[#This Row],[DistanceFromHome]]&lt;=20,"11 to 20","21 to 29")))</f>
        <v>6 to 10</v>
      </c>
      <c r="AR785" s="1">
        <f>IF(HR_Data[[#This Row],[DistanceFromHome]]&lt;=5,1,IF(HR_Data[[#This Row],[DistanceFromHome]]&lt;=10,2,IF(HR_Data[[#This Row],[DistanceFromHome]]&lt;=20,3,4)))</f>
        <v>2</v>
      </c>
      <c r="AS785" s="1" t="str">
        <f>IF(HR_Data[[#This Row],[TotalWorkingYears]]&lt;=5,"0-5 Yrs",IF(HR_Data[[#This Row],[TotalWorkingYears]]&lt;=10,"6-10 Yrs",IF(HR_Data[[#This Row],[TotalWorkingYears]]&lt;=20,"11-20 Yrs","20+ Yrs")))</f>
        <v>6-10 Yrs</v>
      </c>
      <c r="AT785" s="1">
        <f>IF(HR_Data[[#This Row],[TotalWorkingYears]]&lt;=5,1,IF(HR_Data[[#This Row],[TotalWorkingYears]]&lt;=10,2,IF(HR_Data[[#This Row],[TotalWorkingYears]]&lt;=20,3,4)))</f>
        <v>2</v>
      </c>
    </row>
    <row r="786" spans="1:46" x14ac:dyDescent="0.25">
      <c r="A786">
        <v>38</v>
      </c>
      <c r="B786" t="s">
        <v>36</v>
      </c>
      <c r="C786" t="s">
        <v>30</v>
      </c>
      <c r="D786" t="s">
        <v>38</v>
      </c>
      <c r="E786">
        <v>17</v>
      </c>
      <c r="F786">
        <v>1</v>
      </c>
      <c r="G786" t="s">
        <v>32</v>
      </c>
      <c r="H786">
        <v>1088</v>
      </c>
      <c r="I786">
        <v>3</v>
      </c>
      <c r="J786" t="s">
        <v>33</v>
      </c>
      <c r="K786">
        <v>2</v>
      </c>
      <c r="L786">
        <v>3</v>
      </c>
      <c r="M786" t="s">
        <v>47</v>
      </c>
      <c r="N786">
        <v>3</v>
      </c>
      <c r="O786" t="s">
        <v>41</v>
      </c>
      <c r="P786">
        <v>8823</v>
      </c>
      <c r="Q786">
        <v>0</v>
      </c>
      <c r="R786" t="s">
        <v>36</v>
      </c>
      <c r="S786">
        <v>18</v>
      </c>
      <c r="T786">
        <v>3</v>
      </c>
      <c r="U786">
        <v>1</v>
      </c>
      <c r="V786">
        <v>1</v>
      </c>
      <c r="W786">
        <v>20</v>
      </c>
      <c r="X786">
        <v>4</v>
      </c>
      <c r="Y786">
        <v>2</v>
      </c>
      <c r="Z786">
        <v>19</v>
      </c>
      <c r="AA786">
        <v>9</v>
      </c>
      <c r="AB786">
        <v>1</v>
      </c>
      <c r="AC786">
        <v>9</v>
      </c>
      <c r="AD786">
        <f>IF(HR_Data[[#This Row],[Attrition]]="Yes",1,0)</f>
        <v>0</v>
      </c>
      <c r="AE786" t="str">
        <f>IF(HR_Data[[#This Row],[Age]]&lt;=25,"18-25",IF(HR_Data[[#This Row],[Age]]&lt;=35,"26-35",IF(HR_Data[[#This Row],[Age]]&lt;=45,"36-45",IF(HR_Data[[#This Row],[Age]]&lt;=55,"46-55","55+"))))</f>
        <v>36-45</v>
      </c>
      <c r="AF786">
        <f>IF(HR_Data[[#This Row],[Age]]&lt;=25,1,IF(HR_Data[[#This Row],[Age]]&lt;=35,2,IF(HR_Data[[#This Row],[Age]]&lt;=45,3,IF(HR_Data[[#This Row],[Age]]&lt;=55,4,5))))</f>
        <v>3</v>
      </c>
      <c r="AG786" s="1" t="str">
        <f>IF(HR_Data[[#This Row],[MonthlyIncome]]&lt;3000,"&lt;3K",IF(HR_Data[[#This Row],[MonthlyIncome]]&lt;6000,"3K-6K",IF(HR_Data[[#This Row],[MonthlyIncome]]&lt;10000,"6K-10K","10K+")))</f>
        <v>6K-10K</v>
      </c>
      <c r="AH786" s="1">
        <f>IF(HR_Data[[#This Row],[MonthlyIncome]]&lt;3000,1,IF(HR_Data[[#This Row],[MonthlyIncome]]&lt;6000,2,IF(HR_Data[[#This Row],[MonthlyIncome]]&lt;10000,3,4)))</f>
        <v>3</v>
      </c>
      <c r="AI786" s="1" t="str">
        <f>IF(HR_Data[[#This Row],[YearsAtCompany]]&lt;=2,"0-2 Yrs",IF(HR_Data[[#This Row],[YearsAtCompany]]&lt;=5,"3-5 Yrs",IF(HR_Data[[#This Row],[YearsAtCompany]]&lt;=10,"6-10 Yrs","10+ Yrs")))</f>
        <v>10+ Yrs</v>
      </c>
      <c r="AJ786" s="1">
        <f>IF(HR_Data[[#This Row],[YearsAtCompany]]&lt;=2,1,IF(HR_Data[[#This Row],[YearsAtCompany]]&lt;=5,2,IF(HR_Data[[#This Row],[YearsAtCompany]]&lt;=10,3,4)))</f>
        <v>4</v>
      </c>
      <c r="AK786" s="1" t="str">
        <f>CHOOSE(HR_Data[[#This Row],[Education]],"Below College","College","Bachelor","Master","Doctor")</f>
        <v>Below College</v>
      </c>
      <c r="AL786" s="1" t="str">
        <f>CHOOSE(HR_Data[[#This Row],[JobSatisfaction]],"Low","Medium","High","Very High")</f>
        <v>High</v>
      </c>
      <c r="AM786" s="1" t="str">
        <f>CHOOSE(HR_Data[[#This Row],[EnvironmentSatisfaction]],"Low","Medium","High","Very High")</f>
        <v>High</v>
      </c>
      <c r="AN786" s="1" t="str">
        <f>CHOOSE(HR_Data[[#This Row],[WorkLifeBalance]],"Bad","Good","Better","Best")</f>
        <v>Good</v>
      </c>
      <c r="AO786" s="1" t="str">
        <f>IF(HR_Data[[#This Row],[PercentSalaryHike]]&lt;=13,"11-13%",IF(HR_Data[[#This Row],[PercentSalaryHike]]&lt;=16,"14-16%",IF(HR_Data[[#This Row],[PercentSalaryHike]]&lt;=19,"17-19%","20-25%")))</f>
        <v>17-19%</v>
      </c>
      <c r="AP786" s="1">
        <f>IF(HR_Data[[#This Row],[PercentSalaryHike]]&lt;=13,1,IF(HR_Data[[#This Row],[PercentSalaryHike]]&lt;=16,2,IF(HR_Data[[#This Row],[PercentSalaryHike]]&lt;=19,3,4)))</f>
        <v>3</v>
      </c>
      <c r="AQ786" s="1" t="str">
        <f>IF(HR_Data[[#This Row],[DistanceFromHome]]&lt;=5,"1 to 5",IF(HR_Data[[#This Row],[DistanceFromHome]]&lt;=10,"6 to 10",IF(HR_Data[[#This Row],[DistanceFromHome]]&lt;=20,"11 to 20","21 to 29")))</f>
        <v>11 to 20</v>
      </c>
      <c r="AR786" s="1">
        <f>IF(HR_Data[[#This Row],[DistanceFromHome]]&lt;=5,1,IF(HR_Data[[#This Row],[DistanceFromHome]]&lt;=10,2,IF(HR_Data[[#This Row],[DistanceFromHome]]&lt;=20,3,4)))</f>
        <v>3</v>
      </c>
      <c r="AS786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786" s="1">
        <f>IF(HR_Data[[#This Row],[TotalWorkingYears]]&lt;=5,1,IF(HR_Data[[#This Row],[TotalWorkingYears]]&lt;=10,2,IF(HR_Data[[#This Row],[TotalWorkingYears]]&lt;=20,3,4)))</f>
        <v>3</v>
      </c>
    </row>
    <row r="787" spans="1:46" x14ac:dyDescent="0.25">
      <c r="A787">
        <v>40</v>
      </c>
      <c r="B787" t="s">
        <v>36</v>
      </c>
      <c r="C787" t="s">
        <v>30</v>
      </c>
      <c r="D787" t="s">
        <v>38</v>
      </c>
      <c r="E787">
        <v>20</v>
      </c>
      <c r="F787">
        <v>4</v>
      </c>
      <c r="G787" t="s">
        <v>53</v>
      </c>
      <c r="H787">
        <v>1092</v>
      </c>
      <c r="I787">
        <v>1</v>
      </c>
      <c r="J787" t="s">
        <v>39</v>
      </c>
      <c r="K787">
        <v>3</v>
      </c>
      <c r="L787">
        <v>3</v>
      </c>
      <c r="M787" t="s">
        <v>47</v>
      </c>
      <c r="N787">
        <v>4</v>
      </c>
      <c r="O787" t="s">
        <v>41</v>
      </c>
      <c r="P787">
        <v>10322</v>
      </c>
      <c r="Q787">
        <v>4</v>
      </c>
      <c r="R787" t="s">
        <v>36</v>
      </c>
      <c r="S787">
        <v>20</v>
      </c>
      <c r="T787">
        <v>4</v>
      </c>
      <c r="U787">
        <v>4</v>
      </c>
      <c r="V787">
        <v>1</v>
      </c>
      <c r="W787">
        <v>14</v>
      </c>
      <c r="X787">
        <v>6</v>
      </c>
      <c r="Y787">
        <v>3</v>
      </c>
      <c r="Z787">
        <v>11</v>
      </c>
      <c r="AA787">
        <v>10</v>
      </c>
      <c r="AB787">
        <v>11</v>
      </c>
      <c r="AC787">
        <v>1</v>
      </c>
      <c r="AD787">
        <f>IF(HR_Data[[#This Row],[Attrition]]="Yes",1,0)</f>
        <v>0</v>
      </c>
      <c r="AE787" t="str">
        <f>IF(HR_Data[[#This Row],[Age]]&lt;=25,"18-25",IF(HR_Data[[#This Row],[Age]]&lt;=35,"26-35",IF(HR_Data[[#This Row],[Age]]&lt;=45,"36-45",IF(HR_Data[[#This Row],[Age]]&lt;=55,"46-55","55+"))))</f>
        <v>36-45</v>
      </c>
      <c r="AF787">
        <f>IF(HR_Data[[#This Row],[Age]]&lt;=25,1,IF(HR_Data[[#This Row],[Age]]&lt;=35,2,IF(HR_Data[[#This Row],[Age]]&lt;=45,3,IF(HR_Data[[#This Row],[Age]]&lt;=55,4,5))))</f>
        <v>3</v>
      </c>
      <c r="AG787" s="1" t="str">
        <f>IF(HR_Data[[#This Row],[MonthlyIncome]]&lt;3000,"&lt;3K",IF(HR_Data[[#This Row],[MonthlyIncome]]&lt;6000,"3K-6K",IF(HR_Data[[#This Row],[MonthlyIncome]]&lt;10000,"6K-10K","10K+")))</f>
        <v>10K+</v>
      </c>
      <c r="AH787" s="1">
        <f>IF(HR_Data[[#This Row],[MonthlyIncome]]&lt;3000,1,IF(HR_Data[[#This Row],[MonthlyIncome]]&lt;6000,2,IF(HR_Data[[#This Row],[MonthlyIncome]]&lt;10000,3,4)))</f>
        <v>4</v>
      </c>
      <c r="AI787" s="1" t="str">
        <f>IF(HR_Data[[#This Row],[YearsAtCompany]]&lt;=2,"0-2 Yrs",IF(HR_Data[[#This Row],[YearsAtCompany]]&lt;=5,"3-5 Yrs",IF(HR_Data[[#This Row],[YearsAtCompany]]&lt;=10,"6-10 Yrs","10+ Yrs")))</f>
        <v>10+ Yrs</v>
      </c>
      <c r="AJ787" s="1">
        <f>IF(HR_Data[[#This Row],[YearsAtCompany]]&lt;=2,1,IF(HR_Data[[#This Row],[YearsAtCompany]]&lt;=5,2,IF(HR_Data[[#This Row],[YearsAtCompany]]&lt;=10,3,4)))</f>
        <v>4</v>
      </c>
      <c r="AK787" s="1" t="str">
        <f>CHOOSE(HR_Data[[#This Row],[Education]],"Below College","College","Bachelor","Master","Doctor")</f>
        <v>Master</v>
      </c>
      <c r="AL787" s="1" t="str">
        <f>CHOOSE(HR_Data[[#This Row],[JobSatisfaction]],"Low","Medium","High","Very High")</f>
        <v>Very High</v>
      </c>
      <c r="AM787" s="1" t="str">
        <f>CHOOSE(HR_Data[[#This Row],[EnvironmentSatisfaction]],"Low","Medium","High","Very High")</f>
        <v>Low</v>
      </c>
      <c r="AN787" s="1" t="str">
        <f>CHOOSE(HR_Data[[#This Row],[WorkLifeBalance]],"Bad","Good","Better","Best")</f>
        <v>Better</v>
      </c>
      <c r="AO787" s="1" t="str">
        <f>IF(HR_Data[[#This Row],[PercentSalaryHike]]&lt;=13,"11-13%",IF(HR_Data[[#This Row],[PercentSalaryHike]]&lt;=16,"14-16%",IF(HR_Data[[#This Row],[PercentSalaryHike]]&lt;=19,"17-19%","20-25%")))</f>
        <v>20-25%</v>
      </c>
      <c r="AP787" s="1">
        <f>IF(HR_Data[[#This Row],[PercentSalaryHike]]&lt;=13,1,IF(HR_Data[[#This Row],[PercentSalaryHike]]&lt;=16,2,IF(HR_Data[[#This Row],[PercentSalaryHike]]&lt;=19,3,4)))</f>
        <v>4</v>
      </c>
      <c r="AQ787" s="1" t="str">
        <f>IF(HR_Data[[#This Row],[DistanceFromHome]]&lt;=5,"1 to 5",IF(HR_Data[[#This Row],[DistanceFromHome]]&lt;=10,"6 to 10",IF(HR_Data[[#This Row],[DistanceFromHome]]&lt;=20,"11 to 20","21 to 29")))</f>
        <v>11 to 20</v>
      </c>
      <c r="AR787" s="1">
        <f>IF(HR_Data[[#This Row],[DistanceFromHome]]&lt;=5,1,IF(HR_Data[[#This Row],[DistanceFromHome]]&lt;=10,2,IF(HR_Data[[#This Row],[DistanceFromHome]]&lt;=20,3,4)))</f>
        <v>3</v>
      </c>
      <c r="AS787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787" s="1">
        <f>IF(HR_Data[[#This Row],[TotalWorkingYears]]&lt;=5,1,IF(HR_Data[[#This Row],[TotalWorkingYears]]&lt;=10,2,IF(HR_Data[[#This Row],[TotalWorkingYears]]&lt;=20,3,4)))</f>
        <v>3</v>
      </c>
    </row>
    <row r="788" spans="1:46" x14ac:dyDescent="0.25">
      <c r="A788">
        <v>27</v>
      </c>
      <c r="B788" t="s">
        <v>36</v>
      </c>
      <c r="C788" t="s">
        <v>48</v>
      </c>
      <c r="D788" t="s">
        <v>38</v>
      </c>
      <c r="E788">
        <v>8</v>
      </c>
      <c r="F788">
        <v>5</v>
      </c>
      <c r="G788" t="s">
        <v>32</v>
      </c>
      <c r="H788">
        <v>1094</v>
      </c>
      <c r="I788">
        <v>1</v>
      </c>
      <c r="J788" t="s">
        <v>39</v>
      </c>
      <c r="K788">
        <v>1</v>
      </c>
      <c r="L788">
        <v>1</v>
      </c>
      <c r="M788" t="s">
        <v>43</v>
      </c>
      <c r="N788">
        <v>3</v>
      </c>
      <c r="O788" t="s">
        <v>41</v>
      </c>
      <c r="P788">
        <v>4621</v>
      </c>
      <c r="Q788">
        <v>1</v>
      </c>
      <c r="R788" t="s">
        <v>36</v>
      </c>
      <c r="S788">
        <v>19</v>
      </c>
      <c r="T788">
        <v>3</v>
      </c>
      <c r="U788">
        <v>4</v>
      </c>
      <c r="V788">
        <v>3</v>
      </c>
      <c r="W788">
        <v>3</v>
      </c>
      <c r="X788">
        <v>4</v>
      </c>
      <c r="Y788">
        <v>3</v>
      </c>
      <c r="Z788">
        <v>3</v>
      </c>
      <c r="AA788">
        <v>2</v>
      </c>
      <c r="AB788">
        <v>1</v>
      </c>
      <c r="AC788">
        <v>2</v>
      </c>
      <c r="AD788">
        <f>IF(HR_Data[[#This Row],[Attrition]]="Yes",1,0)</f>
        <v>0</v>
      </c>
      <c r="AE788" t="str">
        <f>IF(HR_Data[[#This Row],[Age]]&lt;=25,"18-25",IF(HR_Data[[#This Row],[Age]]&lt;=35,"26-35",IF(HR_Data[[#This Row],[Age]]&lt;=45,"36-45",IF(HR_Data[[#This Row],[Age]]&lt;=55,"46-55","55+"))))</f>
        <v>26-35</v>
      </c>
      <c r="AF788">
        <f>IF(HR_Data[[#This Row],[Age]]&lt;=25,1,IF(HR_Data[[#This Row],[Age]]&lt;=35,2,IF(HR_Data[[#This Row],[Age]]&lt;=45,3,IF(HR_Data[[#This Row],[Age]]&lt;=55,4,5))))</f>
        <v>2</v>
      </c>
      <c r="AG788" s="1" t="str">
        <f>IF(HR_Data[[#This Row],[MonthlyIncome]]&lt;3000,"&lt;3K",IF(HR_Data[[#This Row],[MonthlyIncome]]&lt;6000,"3K-6K",IF(HR_Data[[#This Row],[MonthlyIncome]]&lt;10000,"6K-10K","10K+")))</f>
        <v>3K-6K</v>
      </c>
      <c r="AH788" s="1">
        <f>IF(HR_Data[[#This Row],[MonthlyIncome]]&lt;3000,1,IF(HR_Data[[#This Row],[MonthlyIncome]]&lt;6000,2,IF(HR_Data[[#This Row],[MonthlyIncome]]&lt;10000,3,4)))</f>
        <v>2</v>
      </c>
      <c r="AI788" s="1" t="str">
        <f>IF(HR_Data[[#This Row],[YearsAtCompany]]&lt;=2,"0-2 Yrs",IF(HR_Data[[#This Row],[YearsAtCompany]]&lt;=5,"3-5 Yrs",IF(HR_Data[[#This Row],[YearsAtCompany]]&lt;=10,"6-10 Yrs","10+ Yrs")))</f>
        <v>3-5 Yrs</v>
      </c>
      <c r="AJ788" s="1">
        <f>IF(HR_Data[[#This Row],[YearsAtCompany]]&lt;=2,1,IF(HR_Data[[#This Row],[YearsAtCompany]]&lt;=5,2,IF(HR_Data[[#This Row],[YearsAtCompany]]&lt;=10,3,4)))</f>
        <v>2</v>
      </c>
      <c r="AK788" s="1" t="str">
        <f>CHOOSE(HR_Data[[#This Row],[Education]],"Below College","College","Bachelor","Master","Doctor")</f>
        <v>Doctor</v>
      </c>
      <c r="AL788" s="1" t="str">
        <f>CHOOSE(HR_Data[[#This Row],[JobSatisfaction]],"Low","Medium","High","Very High")</f>
        <v>High</v>
      </c>
      <c r="AM788" s="1" t="str">
        <f>CHOOSE(HR_Data[[#This Row],[EnvironmentSatisfaction]],"Low","Medium","High","Very High")</f>
        <v>Low</v>
      </c>
      <c r="AN788" s="1" t="str">
        <f>CHOOSE(HR_Data[[#This Row],[WorkLifeBalance]],"Bad","Good","Better","Best")</f>
        <v>Better</v>
      </c>
      <c r="AO788" s="1" t="str">
        <f>IF(HR_Data[[#This Row],[PercentSalaryHike]]&lt;=13,"11-13%",IF(HR_Data[[#This Row],[PercentSalaryHike]]&lt;=16,"14-16%",IF(HR_Data[[#This Row],[PercentSalaryHike]]&lt;=19,"17-19%","20-25%")))</f>
        <v>17-19%</v>
      </c>
      <c r="AP788" s="1">
        <f>IF(HR_Data[[#This Row],[PercentSalaryHike]]&lt;=13,1,IF(HR_Data[[#This Row],[PercentSalaryHike]]&lt;=16,2,IF(HR_Data[[#This Row],[PercentSalaryHike]]&lt;=19,3,4)))</f>
        <v>3</v>
      </c>
      <c r="AQ788" s="1" t="str">
        <f>IF(HR_Data[[#This Row],[DistanceFromHome]]&lt;=5,"1 to 5",IF(HR_Data[[#This Row],[DistanceFromHome]]&lt;=10,"6 to 10",IF(HR_Data[[#This Row],[DistanceFromHome]]&lt;=20,"11 to 20","21 to 29")))</f>
        <v>6 to 10</v>
      </c>
      <c r="AR788" s="1">
        <f>IF(HR_Data[[#This Row],[DistanceFromHome]]&lt;=5,1,IF(HR_Data[[#This Row],[DistanceFromHome]]&lt;=10,2,IF(HR_Data[[#This Row],[DistanceFromHome]]&lt;=20,3,4)))</f>
        <v>2</v>
      </c>
      <c r="AS788" s="1" t="str">
        <f>IF(HR_Data[[#This Row],[TotalWorkingYears]]&lt;=5,"0-5 Yrs",IF(HR_Data[[#This Row],[TotalWorkingYears]]&lt;=10,"6-10 Yrs",IF(HR_Data[[#This Row],[TotalWorkingYears]]&lt;=20,"11-20 Yrs","20+ Yrs")))</f>
        <v>0-5 Yrs</v>
      </c>
      <c r="AT788" s="1">
        <f>IF(HR_Data[[#This Row],[TotalWorkingYears]]&lt;=5,1,IF(HR_Data[[#This Row],[TotalWorkingYears]]&lt;=10,2,IF(HR_Data[[#This Row],[TotalWorkingYears]]&lt;=20,3,4)))</f>
        <v>1</v>
      </c>
    </row>
    <row r="789" spans="1:46" x14ac:dyDescent="0.25">
      <c r="A789">
        <v>55</v>
      </c>
      <c r="B789" t="s">
        <v>36</v>
      </c>
      <c r="C789" t="s">
        <v>37</v>
      </c>
      <c r="D789" t="s">
        <v>38</v>
      </c>
      <c r="E789">
        <v>2</v>
      </c>
      <c r="F789">
        <v>1</v>
      </c>
      <c r="G789" t="s">
        <v>32</v>
      </c>
      <c r="H789">
        <v>1096</v>
      </c>
      <c r="I789">
        <v>4</v>
      </c>
      <c r="J789" t="s">
        <v>39</v>
      </c>
      <c r="K789">
        <v>3</v>
      </c>
      <c r="L789">
        <v>3</v>
      </c>
      <c r="M789" t="s">
        <v>46</v>
      </c>
      <c r="N789">
        <v>2</v>
      </c>
      <c r="O789" t="s">
        <v>41</v>
      </c>
      <c r="P789">
        <v>10976</v>
      </c>
      <c r="Q789">
        <v>3</v>
      </c>
      <c r="R789" t="s">
        <v>36</v>
      </c>
      <c r="S789">
        <v>18</v>
      </c>
      <c r="T789">
        <v>3</v>
      </c>
      <c r="U789">
        <v>2</v>
      </c>
      <c r="V789">
        <v>1</v>
      </c>
      <c r="W789">
        <v>23</v>
      </c>
      <c r="X789">
        <v>4</v>
      </c>
      <c r="Y789">
        <v>3</v>
      </c>
      <c r="Z789">
        <v>3</v>
      </c>
      <c r="AA789">
        <v>2</v>
      </c>
      <c r="AB789">
        <v>1</v>
      </c>
      <c r="AC789">
        <v>2</v>
      </c>
      <c r="AD789">
        <f>IF(HR_Data[[#This Row],[Attrition]]="Yes",1,0)</f>
        <v>0</v>
      </c>
      <c r="AE789" t="str">
        <f>IF(HR_Data[[#This Row],[Age]]&lt;=25,"18-25",IF(HR_Data[[#This Row],[Age]]&lt;=35,"26-35",IF(HR_Data[[#This Row],[Age]]&lt;=45,"36-45",IF(HR_Data[[#This Row],[Age]]&lt;=55,"46-55","55+"))))</f>
        <v>46-55</v>
      </c>
      <c r="AF789">
        <f>IF(HR_Data[[#This Row],[Age]]&lt;=25,1,IF(HR_Data[[#This Row],[Age]]&lt;=35,2,IF(HR_Data[[#This Row],[Age]]&lt;=45,3,IF(HR_Data[[#This Row],[Age]]&lt;=55,4,5))))</f>
        <v>4</v>
      </c>
      <c r="AG789" s="1" t="str">
        <f>IF(HR_Data[[#This Row],[MonthlyIncome]]&lt;3000,"&lt;3K",IF(HR_Data[[#This Row],[MonthlyIncome]]&lt;6000,"3K-6K",IF(HR_Data[[#This Row],[MonthlyIncome]]&lt;10000,"6K-10K","10K+")))</f>
        <v>10K+</v>
      </c>
      <c r="AH789" s="1">
        <f>IF(HR_Data[[#This Row],[MonthlyIncome]]&lt;3000,1,IF(HR_Data[[#This Row],[MonthlyIncome]]&lt;6000,2,IF(HR_Data[[#This Row],[MonthlyIncome]]&lt;10000,3,4)))</f>
        <v>4</v>
      </c>
      <c r="AI789" s="1" t="str">
        <f>IF(HR_Data[[#This Row],[YearsAtCompany]]&lt;=2,"0-2 Yrs",IF(HR_Data[[#This Row],[YearsAtCompany]]&lt;=5,"3-5 Yrs",IF(HR_Data[[#This Row],[YearsAtCompany]]&lt;=10,"6-10 Yrs","10+ Yrs")))</f>
        <v>3-5 Yrs</v>
      </c>
      <c r="AJ789" s="1">
        <f>IF(HR_Data[[#This Row],[YearsAtCompany]]&lt;=2,1,IF(HR_Data[[#This Row],[YearsAtCompany]]&lt;=5,2,IF(HR_Data[[#This Row],[YearsAtCompany]]&lt;=10,3,4)))</f>
        <v>2</v>
      </c>
      <c r="AK789" s="1" t="str">
        <f>CHOOSE(HR_Data[[#This Row],[Education]],"Below College","College","Bachelor","Master","Doctor")</f>
        <v>Below College</v>
      </c>
      <c r="AL789" s="1" t="str">
        <f>CHOOSE(HR_Data[[#This Row],[JobSatisfaction]],"Low","Medium","High","Very High")</f>
        <v>Medium</v>
      </c>
      <c r="AM789" s="1" t="str">
        <f>CHOOSE(HR_Data[[#This Row],[EnvironmentSatisfaction]],"Low","Medium","High","Very High")</f>
        <v>Very High</v>
      </c>
      <c r="AN789" s="1" t="str">
        <f>CHOOSE(HR_Data[[#This Row],[WorkLifeBalance]],"Bad","Good","Better","Best")</f>
        <v>Better</v>
      </c>
      <c r="AO789" s="1" t="str">
        <f>IF(HR_Data[[#This Row],[PercentSalaryHike]]&lt;=13,"11-13%",IF(HR_Data[[#This Row],[PercentSalaryHike]]&lt;=16,"14-16%",IF(HR_Data[[#This Row],[PercentSalaryHike]]&lt;=19,"17-19%","20-25%")))</f>
        <v>17-19%</v>
      </c>
      <c r="AP789" s="1">
        <f>IF(HR_Data[[#This Row],[PercentSalaryHike]]&lt;=13,1,IF(HR_Data[[#This Row],[PercentSalaryHike]]&lt;=16,2,IF(HR_Data[[#This Row],[PercentSalaryHike]]&lt;=19,3,4)))</f>
        <v>3</v>
      </c>
      <c r="AQ789" s="1" t="str">
        <f>IF(HR_Data[[#This Row],[DistanceFromHome]]&lt;=5,"1 to 5",IF(HR_Data[[#This Row],[DistanceFromHome]]&lt;=10,"6 to 10",IF(HR_Data[[#This Row],[DistanceFromHome]]&lt;=20,"11 to 20","21 to 29")))</f>
        <v>1 to 5</v>
      </c>
      <c r="AR789" s="1">
        <f>IF(HR_Data[[#This Row],[DistanceFromHome]]&lt;=5,1,IF(HR_Data[[#This Row],[DistanceFromHome]]&lt;=10,2,IF(HR_Data[[#This Row],[DistanceFromHome]]&lt;=20,3,4)))</f>
        <v>1</v>
      </c>
      <c r="AS789" s="1" t="str">
        <f>IF(HR_Data[[#This Row],[TotalWorkingYears]]&lt;=5,"0-5 Yrs",IF(HR_Data[[#This Row],[TotalWorkingYears]]&lt;=10,"6-10 Yrs",IF(HR_Data[[#This Row],[TotalWorkingYears]]&lt;=20,"11-20 Yrs","20+ Yrs")))</f>
        <v>20+ Yrs</v>
      </c>
      <c r="AT789" s="1">
        <f>IF(HR_Data[[#This Row],[TotalWorkingYears]]&lt;=5,1,IF(HR_Data[[#This Row],[TotalWorkingYears]]&lt;=10,2,IF(HR_Data[[#This Row],[TotalWorkingYears]]&lt;=20,3,4)))</f>
        <v>4</v>
      </c>
    </row>
    <row r="790" spans="1:46" x14ac:dyDescent="0.25">
      <c r="A790">
        <v>28</v>
      </c>
      <c r="B790" t="s">
        <v>36</v>
      </c>
      <c r="C790" t="s">
        <v>30</v>
      </c>
      <c r="D790" t="s">
        <v>38</v>
      </c>
      <c r="E790">
        <v>10</v>
      </c>
      <c r="F790">
        <v>3</v>
      </c>
      <c r="G790" t="s">
        <v>42</v>
      </c>
      <c r="H790">
        <v>1097</v>
      </c>
      <c r="I790">
        <v>3</v>
      </c>
      <c r="J790" t="s">
        <v>33</v>
      </c>
      <c r="K790">
        <v>3</v>
      </c>
      <c r="L790">
        <v>2</v>
      </c>
      <c r="M790" t="s">
        <v>40</v>
      </c>
      <c r="N790">
        <v>3</v>
      </c>
      <c r="O790" t="s">
        <v>35</v>
      </c>
      <c r="P790">
        <v>3660</v>
      </c>
      <c r="Q790">
        <v>3</v>
      </c>
      <c r="R790" t="s">
        <v>36</v>
      </c>
      <c r="S790">
        <v>13</v>
      </c>
      <c r="T790">
        <v>3</v>
      </c>
      <c r="U790">
        <v>4</v>
      </c>
      <c r="V790">
        <v>0</v>
      </c>
      <c r="W790">
        <v>10</v>
      </c>
      <c r="X790">
        <v>4</v>
      </c>
      <c r="Y790">
        <v>4</v>
      </c>
      <c r="Z790">
        <v>8</v>
      </c>
      <c r="AA790">
        <v>7</v>
      </c>
      <c r="AB790">
        <v>1</v>
      </c>
      <c r="AC790">
        <v>7</v>
      </c>
      <c r="AD790">
        <f>IF(HR_Data[[#This Row],[Attrition]]="Yes",1,0)</f>
        <v>0</v>
      </c>
      <c r="AE790" t="str">
        <f>IF(HR_Data[[#This Row],[Age]]&lt;=25,"18-25",IF(HR_Data[[#This Row],[Age]]&lt;=35,"26-35",IF(HR_Data[[#This Row],[Age]]&lt;=45,"36-45",IF(HR_Data[[#This Row],[Age]]&lt;=55,"46-55","55+"))))</f>
        <v>26-35</v>
      </c>
      <c r="AF790">
        <f>IF(HR_Data[[#This Row],[Age]]&lt;=25,1,IF(HR_Data[[#This Row],[Age]]&lt;=35,2,IF(HR_Data[[#This Row],[Age]]&lt;=45,3,IF(HR_Data[[#This Row],[Age]]&lt;=55,4,5))))</f>
        <v>2</v>
      </c>
      <c r="AG790" s="1" t="str">
        <f>IF(HR_Data[[#This Row],[MonthlyIncome]]&lt;3000,"&lt;3K",IF(HR_Data[[#This Row],[MonthlyIncome]]&lt;6000,"3K-6K",IF(HR_Data[[#This Row],[MonthlyIncome]]&lt;10000,"6K-10K","10K+")))</f>
        <v>3K-6K</v>
      </c>
      <c r="AH790" s="1">
        <f>IF(HR_Data[[#This Row],[MonthlyIncome]]&lt;3000,1,IF(HR_Data[[#This Row],[MonthlyIncome]]&lt;6000,2,IF(HR_Data[[#This Row],[MonthlyIncome]]&lt;10000,3,4)))</f>
        <v>2</v>
      </c>
      <c r="AI790" s="1" t="str">
        <f>IF(HR_Data[[#This Row],[YearsAtCompany]]&lt;=2,"0-2 Yrs",IF(HR_Data[[#This Row],[YearsAtCompany]]&lt;=5,"3-5 Yrs",IF(HR_Data[[#This Row],[YearsAtCompany]]&lt;=10,"6-10 Yrs","10+ Yrs")))</f>
        <v>6-10 Yrs</v>
      </c>
      <c r="AJ790" s="1">
        <f>IF(HR_Data[[#This Row],[YearsAtCompany]]&lt;=2,1,IF(HR_Data[[#This Row],[YearsAtCompany]]&lt;=5,2,IF(HR_Data[[#This Row],[YearsAtCompany]]&lt;=10,3,4)))</f>
        <v>3</v>
      </c>
      <c r="AK790" s="1" t="str">
        <f>CHOOSE(HR_Data[[#This Row],[Education]],"Below College","College","Bachelor","Master","Doctor")</f>
        <v>Bachelor</v>
      </c>
      <c r="AL790" s="1" t="str">
        <f>CHOOSE(HR_Data[[#This Row],[JobSatisfaction]],"Low","Medium","High","Very High")</f>
        <v>High</v>
      </c>
      <c r="AM790" s="1" t="str">
        <f>CHOOSE(HR_Data[[#This Row],[EnvironmentSatisfaction]],"Low","Medium","High","Very High")</f>
        <v>High</v>
      </c>
      <c r="AN790" s="1" t="str">
        <f>CHOOSE(HR_Data[[#This Row],[WorkLifeBalance]],"Bad","Good","Better","Best")</f>
        <v>Best</v>
      </c>
      <c r="AO790" s="1" t="str">
        <f>IF(HR_Data[[#This Row],[PercentSalaryHike]]&lt;=13,"11-13%",IF(HR_Data[[#This Row],[PercentSalaryHike]]&lt;=16,"14-16%",IF(HR_Data[[#This Row],[PercentSalaryHike]]&lt;=19,"17-19%","20-25%")))</f>
        <v>11-13%</v>
      </c>
      <c r="AP790" s="1">
        <f>IF(HR_Data[[#This Row],[PercentSalaryHike]]&lt;=13,1,IF(HR_Data[[#This Row],[PercentSalaryHike]]&lt;=16,2,IF(HR_Data[[#This Row],[PercentSalaryHike]]&lt;=19,3,4)))</f>
        <v>1</v>
      </c>
      <c r="AQ790" s="1" t="str">
        <f>IF(HR_Data[[#This Row],[DistanceFromHome]]&lt;=5,"1 to 5",IF(HR_Data[[#This Row],[DistanceFromHome]]&lt;=10,"6 to 10",IF(HR_Data[[#This Row],[DistanceFromHome]]&lt;=20,"11 to 20","21 to 29")))</f>
        <v>6 to 10</v>
      </c>
      <c r="AR790" s="1">
        <f>IF(HR_Data[[#This Row],[DistanceFromHome]]&lt;=5,1,IF(HR_Data[[#This Row],[DistanceFromHome]]&lt;=10,2,IF(HR_Data[[#This Row],[DistanceFromHome]]&lt;=20,3,4)))</f>
        <v>2</v>
      </c>
      <c r="AS790" s="1" t="str">
        <f>IF(HR_Data[[#This Row],[TotalWorkingYears]]&lt;=5,"0-5 Yrs",IF(HR_Data[[#This Row],[TotalWorkingYears]]&lt;=10,"6-10 Yrs",IF(HR_Data[[#This Row],[TotalWorkingYears]]&lt;=20,"11-20 Yrs","20+ Yrs")))</f>
        <v>6-10 Yrs</v>
      </c>
      <c r="AT790" s="1">
        <f>IF(HR_Data[[#This Row],[TotalWorkingYears]]&lt;=5,1,IF(HR_Data[[#This Row],[TotalWorkingYears]]&lt;=10,2,IF(HR_Data[[#This Row],[TotalWorkingYears]]&lt;=20,3,4)))</f>
        <v>2</v>
      </c>
    </row>
    <row r="791" spans="1:46" x14ac:dyDescent="0.25">
      <c r="A791">
        <v>44</v>
      </c>
      <c r="B791" t="s">
        <v>29</v>
      </c>
      <c r="C791" t="s">
        <v>30</v>
      </c>
      <c r="D791" t="s">
        <v>54</v>
      </c>
      <c r="E791">
        <v>1</v>
      </c>
      <c r="F791">
        <v>2</v>
      </c>
      <c r="G791" t="s">
        <v>44</v>
      </c>
      <c r="H791">
        <v>1098</v>
      </c>
      <c r="I791">
        <v>2</v>
      </c>
      <c r="J791" t="s">
        <v>39</v>
      </c>
      <c r="K791">
        <v>2</v>
      </c>
      <c r="L791">
        <v>3</v>
      </c>
      <c r="M791" t="s">
        <v>54</v>
      </c>
      <c r="N791">
        <v>1</v>
      </c>
      <c r="O791" t="s">
        <v>41</v>
      </c>
      <c r="P791">
        <v>10482</v>
      </c>
      <c r="Q791">
        <v>9</v>
      </c>
      <c r="R791" t="s">
        <v>36</v>
      </c>
      <c r="S791">
        <v>14</v>
      </c>
      <c r="T791">
        <v>3</v>
      </c>
      <c r="U791">
        <v>4</v>
      </c>
      <c r="V791">
        <v>1</v>
      </c>
      <c r="W791">
        <v>24</v>
      </c>
      <c r="X791">
        <v>1</v>
      </c>
      <c r="Y791">
        <v>3</v>
      </c>
      <c r="Z791">
        <v>20</v>
      </c>
      <c r="AA791">
        <v>6</v>
      </c>
      <c r="AB791">
        <v>3</v>
      </c>
      <c r="AC791">
        <v>6</v>
      </c>
      <c r="AD791">
        <f>IF(HR_Data[[#This Row],[Attrition]]="Yes",1,0)</f>
        <v>1</v>
      </c>
      <c r="AE791" t="str">
        <f>IF(HR_Data[[#This Row],[Age]]&lt;=25,"18-25",IF(HR_Data[[#This Row],[Age]]&lt;=35,"26-35",IF(HR_Data[[#This Row],[Age]]&lt;=45,"36-45",IF(HR_Data[[#This Row],[Age]]&lt;=55,"46-55","55+"))))</f>
        <v>36-45</v>
      </c>
      <c r="AF791">
        <f>IF(HR_Data[[#This Row],[Age]]&lt;=25,1,IF(HR_Data[[#This Row],[Age]]&lt;=35,2,IF(HR_Data[[#This Row],[Age]]&lt;=45,3,IF(HR_Data[[#This Row],[Age]]&lt;=55,4,5))))</f>
        <v>3</v>
      </c>
      <c r="AG791" s="1" t="str">
        <f>IF(HR_Data[[#This Row],[MonthlyIncome]]&lt;3000,"&lt;3K",IF(HR_Data[[#This Row],[MonthlyIncome]]&lt;6000,"3K-6K",IF(HR_Data[[#This Row],[MonthlyIncome]]&lt;10000,"6K-10K","10K+")))</f>
        <v>10K+</v>
      </c>
      <c r="AH791" s="1">
        <f>IF(HR_Data[[#This Row],[MonthlyIncome]]&lt;3000,1,IF(HR_Data[[#This Row],[MonthlyIncome]]&lt;6000,2,IF(HR_Data[[#This Row],[MonthlyIncome]]&lt;10000,3,4)))</f>
        <v>4</v>
      </c>
      <c r="AI791" s="1" t="str">
        <f>IF(HR_Data[[#This Row],[YearsAtCompany]]&lt;=2,"0-2 Yrs",IF(HR_Data[[#This Row],[YearsAtCompany]]&lt;=5,"3-5 Yrs",IF(HR_Data[[#This Row],[YearsAtCompany]]&lt;=10,"6-10 Yrs","10+ Yrs")))</f>
        <v>10+ Yrs</v>
      </c>
      <c r="AJ791" s="1">
        <f>IF(HR_Data[[#This Row],[YearsAtCompany]]&lt;=2,1,IF(HR_Data[[#This Row],[YearsAtCompany]]&lt;=5,2,IF(HR_Data[[#This Row],[YearsAtCompany]]&lt;=10,3,4)))</f>
        <v>4</v>
      </c>
      <c r="AK791" s="1" t="str">
        <f>CHOOSE(HR_Data[[#This Row],[Education]],"Below College","College","Bachelor","Master","Doctor")</f>
        <v>College</v>
      </c>
      <c r="AL791" s="1" t="str">
        <f>CHOOSE(HR_Data[[#This Row],[JobSatisfaction]],"Low","Medium","High","Very High")</f>
        <v>Low</v>
      </c>
      <c r="AM791" s="1" t="str">
        <f>CHOOSE(HR_Data[[#This Row],[EnvironmentSatisfaction]],"Low","Medium","High","Very High")</f>
        <v>Medium</v>
      </c>
      <c r="AN791" s="1" t="str">
        <f>CHOOSE(HR_Data[[#This Row],[WorkLifeBalance]],"Bad","Good","Better","Best")</f>
        <v>Better</v>
      </c>
      <c r="AO791" s="1" t="str">
        <f>IF(HR_Data[[#This Row],[PercentSalaryHike]]&lt;=13,"11-13%",IF(HR_Data[[#This Row],[PercentSalaryHike]]&lt;=16,"14-16%",IF(HR_Data[[#This Row],[PercentSalaryHike]]&lt;=19,"17-19%","20-25%")))</f>
        <v>14-16%</v>
      </c>
      <c r="AP791" s="1">
        <f>IF(HR_Data[[#This Row],[PercentSalaryHike]]&lt;=13,1,IF(HR_Data[[#This Row],[PercentSalaryHike]]&lt;=16,2,IF(HR_Data[[#This Row],[PercentSalaryHike]]&lt;=19,3,4)))</f>
        <v>2</v>
      </c>
      <c r="AQ791" s="1" t="str">
        <f>IF(HR_Data[[#This Row],[DistanceFromHome]]&lt;=5,"1 to 5",IF(HR_Data[[#This Row],[DistanceFromHome]]&lt;=10,"6 to 10",IF(HR_Data[[#This Row],[DistanceFromHome]]&lt;=20,"11 to 20","21 to 29")))</f>
        <v>1 to 5</v>
      </c>
      <c r="AR791" s="1">
        <f>IF(HR_Data[[#This Row],[DistanceFromHome]]&lt;=5,1,IF(HR_Data[[#This Row],[DistanceFromHome]]&lt;=10,2,IF(HR_Data[[#This Row],[DistanceFromHome]]&lt;=20,3,4)))</f>
        <v>1</v>
      </c>
      <c r="AS791" s="1" t="str">
        <f>IF(HR_Data[[#This Row],[TotalWorkingYears]]&lt;=5,"0-5 Yrs",IF(HR_Data[[#This Row],[TotalWorkingYears]]&lt;=10,"6-10 Yrs",IF(HR_Data[[#This Row],[TotalWorkingYears]]&lt;=20,"11-20 Yrs","20+ Yrs")))</f>
        <v>20+ Yrs</v>
      </c>
      <c r="AT791" s="1">
        <f>IF(HR_Data[[#This Row],[TotalWorkingYears]]&lt;=5,1,IF(HR_Data[[#This Row],[TotalWorkingYears]]&lt;=10,2,IF(HR_Data[[#This Row],[TotalWorkingYears]]&lt;=20,3,4)))</f>
        <v>4</v>
      </c>
    </row>
    <row r="792" spans="1:46" x14ac:dyDescent="0.25">
      <c r="A792">
        <v>33</v>
      </c>
      <c r="B792" t="s">
        <v>36</v>
      </c>
      <c r="C792" t="s">
        <v>30</v>
      </c>
      <c r="D792" t="s">
        <v>38</v>
      </c>
      <c r="E792">
        <v>5</v>
      </c>
      <c r="F792">
        <v>3</v>
      </c>
      <c r="G792" t="s">
        <v>32</v>
      </c>
      <c r="H792">
        <v>1099</v>
      </c>
      <c r="I792">
        <v>4</v>
      </c>
      <c r="J792" t="s">
        <v>39</v>
      </c>
      <c r="K792">
        <v>2</v>
      </c>
      <c r="L792">
        <v>3</v>
      </c>
      <c r="M792" t="s">
        <v>47</v>
      </c>
      <c r="N792">
        <v>4</v>
      </c>
      <c r="O792" t="s">
        <v>45</v>
      </c>
      <c r="P792">
        <v>7119</v>
      </c>
      <c r="Q792">
        <v>4</v>
      </c>
      <c r="R792" t="s">
        <v>36</v>
      </c>
      <c r="S792">
        <v>15</v>
      </c>
      <c r="T792">
        <v>3</v>
      </c>
      <c r="U792">
        <v>3</v>
      </c>
      <c r="V792">
        <v>1</v>
      </c>
      <c r="W792">
        <v>9</v>
      </c>
      <c r="X792">
        <v>2</v>
      </c>
      <c r="Y792">
        <v>3</v>
      </c>
      <c r="Z792">
        <v>3</v>
      </c>
      <c r="AA792">
        <v>2</v>
      </c>
      <c r="AB792">
        <v>1</v>
      </c>
      <c r="AC792">
        <v>2</v>
      </c>
      <c r="AD792">
        <f>IF(HR_Data[[#This Row],[Attrition]]="Yes",1,0)</f>
        <v>0</v>
      </c>
      <c r="AE792" t="str">
        <f>IF(HR_Data[[#This Row],[Age]]&lt;=25,"18-25",IF(HR_Data[[#This Row],[Age]]&lt;=35,"26-35",IF(HR_Data[[#This Row],[Age]]&lt;=45,"36-45",IF(HR_Data[[#This Row],[Age]]&lt;=55,"46-55","55+"))))</f>
        <v>26-35</v>
      </c>
      <c r="AF792">
        <f>IF(HR_Data[[#This Row],[Age]]&lt;=25,1,IF(HR_Data[[#This Row],[Age]]&lt;=35,2,IF(HR_Data[[#This Row],[Age]]&lt;=45,3,IF(HR_Data[[#This Row],[Age]]&lt;=55,4,5))))</f>
        <v>2</v>
      </c>
      <c r="AG792" s="1" t="str">
        <f>IF(HR_Data[[#This Row],[MonthlyIncome]]&lt;3000,"&lt;3K",IF(HR_Data[[#This Row],[MonthlyIncome]]&lt;6000,"3K-6K",IF(HR_Data[[#This Row],[MonthlyIncome]]&lt;10000,"6K-10K","10K+")))</f>
        <v>6K-10K</v>
      </c>
      <c r="AH792" s="1">
        <f>IF(HR_Data[[#This Row],[MonthlyIncome]]&lt;3000,1,IF(HR_Data[[#This Row],[MonthlyIncome]]&lt;6000,2,IF(HR_Data[[#This Row],[MonthlyIncome]]&lt;10000,3,4)))</f>
        <v>3</v>
      </c>
      <c r="AI792" s="1" t="str">
        <f>IF(HR_Data[[#This Row],[YearsAtCompany]]&lt;=2,"0-2 Yrs",IF(HR_Data[[#This Row],[YearsAtCompany]]&lt;=5,"3-5 Yrs",IF(HR_Data[[#This Row],[YearsAtCompany]]&lt;=10,"6-10 Yrs","10+ Yrs")))</f>
        <v>3-5 Yrs</v>
      </c>
      <c r="AJ792" s="1">
        <f>IF(HR_Data[[#This Row],[YearsAtCompany]]&lt;=2,1,IF(HR_Data[[#This Row],[YearsAtCompany]]&lt;=5,2,IF(HR_Data[[#This Row],[YearsAtCompany]]&lt;=10,3,4)))</f>
        <v>2</v>
      </c>
      <c r="AK792" s="1" t="str">
        <f>CHOOSE(HR_Data[[#This Row],[Education]],"Below College","College","Bachelor","Master","Doctor")</f>
        <v>Bachelor</v>
      </c>
      <c r="AL792" s="1" t="str">
        <f>CHOOSE(HR_Data[[#This Row],[JobSatisfaction]],"Low","Medium","High","Very High")</f>
        <v>Very High</v>
      </c>
      <c r="AM792" s="1" t="str">
        <f>CHOOSE(HR_Data[[#This Row],[EnvironmentSatisfaction]],"Low","Medium","High","Very High")</f>
        <v>Very High</v>
      </c>
      <c r="AN792" s="1" t="str">
        <f>CHOOSE(HR_Data[[#This Row],[WorkLifeBalance]],"Bad","Good","Better","Best")</f>
        <v>Better</v>
      </c>
      <c r="AO792" s="1" t="str">
        <f>IF(HR_Data[[#This Row],[PercentSalaryHike]]&lt;=13,"11-13%",IF(HR_Data[[#This Row],[PercentSalaryHike]]&lt;=16,"14-16%",IF(HR_Data[[#This Row],[PercentSalaryHike]]&lt;=19,"17-19%","20-25%")))</f>
        <v>14-16%</v>
      </c>
      <c r="AP792" s="1">
        <f>IF(HR_Data[[#This Row],[PercentSalaryHike]]&lt;=13,1,IF(HR_Data[[#This Row],[PercentSalaryHike]]&lt;=16,2,IF(HR_Data[[#This Row],[PercentSalaryHike]]&lt;=19,3,4)))</f>
        <v>2</v>
      </c>
      <c r="AQ792" s="1" t="str">
        <f>IF(HR_Data[[#This Row],[DistanceFromHome]]&lt;=5,"1 to 5",IF(HR_Data[[#This Row],[DistanceFromHome]]&lt;=10,"6 to 10",IF(HR_Data[[#This Row],[DistanceFromHome]]&lt;=20,"11 to 20","21 to 29")))</f>
        <v>1 to 5</v>
      </c>
      <c r="AR792" s="1">
        <f>IF(HR_Data[[#This Row],[DistanceFromHome]]&lt;=5,1,IF(HR_Data[[#This Row],[DistanceFromHome]]&lt;=10,2,IF(HR_Data[[#This Row],[DistanceFromHome]]&lt;=20,3,4)))</f>
        <v>1</v>
      </c>
      <c r="AS792" s="1" t="str">
        <f>IF(HR_Data[[#This Row],[TotalWorkingYears]]&lt;=5,"0-5 Yrs",IF(HR_Data[[#This Row],[TotalWorkingYears]]&lt;=10,"6-10 Yrs",IF(HR_Data[[#This Row],[TotalWorkingYears]]&lt;=20,"11-20 Yrs","20+ Yrs")))</f>
        <v>6-10 Yrs</v>
      </c>
      <c r="AT792" s="1">
        <f>IF(HR_Data[[#This Row],[TotalWorkingYears]]&lt;=5,1,IF(HR_Data[[#This Row],[TotalWorkingYears]]&lt;=10,2,IF(HR_Data[[#This Row],[TotalWorkingYears]]&lt;=20,3,4)))</f>
        <v>2</v>
      </c>
    </row>
    <row r="793" spans="1:46" x14ac:dyDescent="0.25">
      <c r="A793">
        <v>35</v>
      </c>
      <c r="B793" t="s">
        <v>29</v>
      </c>
      <c r="C793" t="s">
        <v>30</v>
      </c>
      <c r="D793" t="s">
        <v>31</v>
      </c>
      <c r="E793">
        <v>4</v>
      </c>
      <c r="F793">
        <v>3</v>
      </c>
      <c r="G793" t="s">
        <v>53</v>
      </c>
      <c r="H793">
        <v>1100</v>
      </c>
      <c r="I793">
        <v>4</v>
      </c>
      <c r="J793" t="s">
        <v>39</v>
      </c>
      <c r="K793">
        <v>3</v>
      </c>
      <c r="L793">
        <v>3</v>
      </c>
      <c r="M793" t="s">
        <v>34</v>
      </c>
      <c r="N793">
        <v>1</v>
      </c>
      <c r="O793" t="s">
        <v>35</v>
      </c>
      <c r="P793">
        <v>9582</v>
      </c>
      <c r="Q793">
        <v>0</v>
      </c>
      <c r="R793" t="s">
        <v>29</v>
      </c>
      <c r="S793">
        <v>22</v>
      </c>
      <c r="T793">
        <v>4</v>
      </c>
      <c r="U793">
        <v>1</v>
      </c>
      <c r="V793">
        <v>0</v>
      </c>
      <c r="W793">
        <v>9</v>
      </c>
      <c r="X793">
        <v>2</v>
      </c>
      <c r="Y793">
        <v>3</v>
      </c>
      <c r="Z793">
        <v>8</v>
      </c>
      <c r="AA793">
        <v>7</v>
      </c>
      <c r="AB793">
        <v>4</v>
      </c>
      <c r="AC793">
        <v>7</v>
      </c>
      <c r="AD793">
        <f>IF(HR_Data[[#This Row],[Attrition]]="Yes",1,0)</f>
        <v>1</v>
      </c>
      <c r="AE793" t="str">
        <f>IF(HR_Data[[#This Row],[Age]]&lt;=25,"18-25",IF(HR_Data[[#This Row],[Age]]&lt;=35,"26-35",IF(HR_Data[[#This Row],[Age]]&lt;=45,"36-45",IF(HR_Data[[#This Row],[Age]]&lt;=55,"46-55","55+"))))</f>
        <v>26-35</v>
      </c>
      <c r="AF793">
        <f>IF(HR_Data[[#This Row],[Age]]&lt;=25,1,IF(HR_Data[[#This Row],[Age]]&lt;=35,2,IF(HR_Data[[#This Row],[Age]]&lt;=45,3,IF(HR_Data[[#This Row],[Age]]&lt;=55,4,5))))</f>
        <v>2</v>
      </c>
      <c r="AG793" s="1" t="str">
        <f>IF(HR_Data[[#This Row],[MonthlyIncome]]&lt;3000,"&lt;3K",IF(HR_Data[[#This Row],[MonthlyIncome]]&lt;6000,"3K-6K",IF(HR_Data[[#This Row],[MonthlyIncome]]&lt;10000,"6K-10K","10K+")))</f>
        <v>6K-10K</v>
      </c>
      <c r="AH793" s="1">
        <f>IF(HR_Data[[#This Row],[MonthlyIncome]]&lt;3000,1,IF(HR_Data[[#This Row],[MonthlyIncome]]&lt;6000,2,IF(HR_Data[[#This Row],[MonthlyIncome]]&lt;10000,3,4)))</f>
        <v>3</v>
      </c>
      <c r="AI793" s="1" t="str">
        <f>IF(HR_Data[[#This Row],[YearsAtCompany]]&lt;=2,"0-2 Yrs",IF(HR_Data[[#This Row],[YearsAtCompany]]&lt;=5,"3-5 Yrs",IF(HR_Data[[#This Row],[YearsAtCompany]]&lt;=10,"6-10 Yrs","10+ Yrs")))</f>
        <v>6-10 Yrs</v>
      </c>
      <c r="AJ793" s="1">
        <f>IF(HR_Data[[#This Row],[YearsAtCompany]]&lt;=2,1,IF(HR_Data[[#This Row],[YearsAtCompany]]&lt;=5,2,IF(HR_Data[[#This Row],[YearsAtCompany]]&lt;=10,3,4)))</f>
        <v>3</v>
      </c>
      <c r="AK793" s="1" t="str">
        <f>CHOOSE(HR_Data[[#This Row],[Education]],"Below College","College","Bachelor","Master","Doctor")</f>
        <v>Bachelor</v>
      </c>
      <c r="AL793" s="1" t="str">
        <f>CHOOSE(HR_Data[[#This Row],[JobSatisfaction]],"Low","Medium","High","Very High")</f>
        <v>Low</v>
      </c>
      <c r="AM793" s="1" t="str">
        <f>CHOOSE(HR_Data[[#This Row],[EnvironmentSatisfaction]],"Low","Medium","High","Very High")</f>
        <v>Very High</v>
      </c>
      <c r="AN793" s="1" t="str">
        <f>CHOOSE(HR_Data[[#This Row],[WorkLifeBalance]],"Bad","Good","Better","Best")</f>
        <v>Better</v>
      </c>
      <c r="AO793" s="1" t="str">
        <f>IF(HR_Data[[#This Row],[PercentSalaryHike]]&lt;=13,"11-13%",IF(HR_Data[[#This Row],[PercentSalaryHike]]&lt;=16,"14-16%",IF(HR_Data[[#This Row],[PercentSalaryHike]]&lt;=19,"17-19%","20-25%")))</f>
        <v>20-25%</v>
      </c>
      <c r="AP793" s="1">
        <f>IF(HR_Data[[#This Row],[PercentSalaryHike]]&lt;=13,1,IF(HR_Data[[#This Row],[PercentSalaryHike]]&lt;=16,2,IF(HR_Data[[#This Row],[PercentSalaryHike]]&lt;=19,3,4)))</f>
        <v>4</v>
      </c>
      <c r="AQ793" s="1" t="str">
        <f>IF(HR_Data[[#This Row],[DistanceFromHome]]&lt;=5,"1 to 5",IF(HR_Data[[#This Row],[DistanceFromHome]]&lt;=10,"6 to 10",IF(HR_Data[[#This Row],[DistanceFromHome]]&lt;=20,"11 to 20","21 to 29")))</f>
        <v>1 to 5</v>
      </c>
      <c r="AR793" s="1">
        <f>IF(HR_Data[[#This Row],[DistanceFromHome]]&lt;=5,1,IF(HR_Data[[#This Row],[DistanceFromHome]]&lt;=10,2,IF(HR_Data[[#This Row],[DistanceFromHome]]&lt;=20,3,4)))</f>
        <v>1</v>
      </c>
      <c r="AS793" s="1" t="str">
        <f>IF(HR_Data[[#This Row],[TotalWorkingYears]]&lt;=5,"0-5 Yrs",IF(HR_Data[[#This Row],[TotalWorkingYears]]&lt;=10,"6-10 Yrs",IF(HR_Data[[#This Row],[TotalWorkingYears]]&lt;=20,"11-20 Yrs","20+ Yrs")))</f>
        <v>6-10 Yrs</v>
      </c>
      <c r="AT793" s="1">
        <f>IF(HR_Data[[#This Row],[TotalWorkingYears]]&lt;=5,1,IF(HR_Data[[#This Row],[TotalWorkingYears]]&lt;=10,2,IF(HR_Data[[#This Row],[TotalWorkingYears]]&lt;=20,3,4)))</f>
        <v>2</v>
      </c>
    </row>
    <row r="794" spans="1:46" x14ac:dyDescent="0.25">
      <c r="A794">
        <v>33</v>
      </c>
      <c r="B794" t="s">
        <v>29</v>
      </c>
      <c r="C794" t="s">
        <v>37</v>
      </c>
      <c r="D794" t="s">
        <v>38</v>
      </c>
      <c r="E794">
        <v>29</v>
      </c>
      <c r="F794">
        <v>4</v>
      </c>
      <c r="G794" t="s">
        <v>44</v>
      </c>
      <c r="H794">
        <v>1101</v>
      </c>
      <c r="I794">
        <v>1</v>
      </c>
      <c r="J794" t="s">
        <v>33</v>
      </c>
      <c r="K794">
        <v>2</v>
      </c>
      <c r="L794">
        <v>2</v>
      </c>
      <c r="M794" t="s">
        <v>40</v>
      </c>
      <c r="N794">
        <v>3</v>
      </c>
      <c r="O794" t="s">
        <v>35</v>
      </c>
      <c r="P794">
        <v>4508</v>
      </c>
      <c r="Q794">
        <v>1</v>
      </c>
      <c r="R794" t="s">
        <v>36</v>
      </c>
      <c r="S794">
        <v>22</v>
      </c>
      <c r="T794">
        <v>4</v>
      </c>
      <c r="U794">
        <v>2</v>
      </c>
      <c r="V794">
        <v>0</v>
      </c>
      <c r="W794">
        <v>14</v>
      </c>
      <c r="X794">
        <v>4</v>
      </c>
      <c r="Y794">
        <v>3</v>
      </c>
      <c r="Z794">
        <v>13</v>
      </c>
      <c r="AA794">
        <v>7</v>
      </c>
      <c r="AB794">
        <v>3</v>
      </c>
      <c r="AC794">
        <v>8</v>
      </c>
      <c r="AD794">
        <f>IF(HR_Data[[#This Row],[Attrition]]="Yes",1,0)</f>
        <v>1</v>
      </c>
      <c r="AE794" t="str">
        <f>IF(HR_Data[[#This Row],[Age]]&lt;=25,"18-25",IF(HR_Data[[#This Row],[Age]]&lt;=35,"26-35",IF(HR_Data[[#This Row],[Age]]&lt;=45,"36-45",IF(HR_Data[[#This Row],[Age]]&lt;=55,"46-55","55+"))))</f>
        <v>26-35</v>
      </c>
      <c r="AF794">
        <f>IF(HR_Data[[#This Row],[Age]]&lt;=25,1,IF(HR_Data[[#This Row],[Age]]&lt;=35,2,IF(HR_Data[[#This Row],[Age]]&lt;=45,3,IF(HR_Data[[#This Row],[Age]]&lt;=55,4,5))))</f>
        <v>2</v>
      </c>
      <c r="AG794" s="1" t="str">
        <f>IF(HR_Data[[#This Row],[MonthlyIncome]]&lt;3000,"&lt;3K",IF(HR_Data[[#This Row],[MonthlyIncome]]&lt;6000,"3K-6K",IF(HR_Data[[#This Row],[MonthlyIncome]]&lt;10000,"6K-10K","10K+")))</f>
        <v>3K-6K</v>
      </c>
      <c r="AH794" s="1">
        <f>IF(HR_Data[[#This Row],[MonthlyIncome]]&lt;3000,1,IF(HR_Data[[#This Row],[MonthlyIncome]]&lt;6000,2,IF(HR_Data[[#This Row],[MonthlyIncome]]&lt;10000,3,4)))</f>
        <v>2</v>
      </c>
      <c r="AI794" s="1" t="str">
        <f>IF(HR_Data[[#This Row],[YearsAtCompany]]&lt;=2,"0-2 Yrs",IF(HR_Data[[#This Row],[YearsAtCompany]]&lt;=5,"3-5 Yrs",IF(HR_Data[[#This Row],[YearsAtCompany]]&lt;=10,"6-10 Yrs","10+ Yrs")))</f>
        <v>10+ Yrs</v>
      </c>
      <c r="AJ794" s="1">
        <f>IF(HR_Data[[#This Row],[YearsAtCompany]]&lt;=2,1,IF(HR_Data[[#This Row],[YearsAtCompany]]&lt;=5,2,IF(HR_Data[[#This Row],[YearsAtCompany]]&lt;=10,3,4)))</f>
        <v>4</v>
      </c>
      <c r="AK794" s="1" t="str">
        <f>CHOOSE(HR_Data[[#This Row],[Education]],"Below College","College","Bachelor","Master","Doctor")</f>
        <v>Master</v>
      </c>
      <c r="AL794" s="1" t="str">
        <f>CHOOSE(HR_Data[[#This Row],[JobSatisfaction]],"Low","Medium","High","Very High")</f>
        <v>High</v>
      </c>
      <c r="AM794" s="1" t="str">
        <f>CHOOSE(HR_Data[[#This Row],[EnvironmentSatisfaction]],"Low","Medium","High","Very High")</f>
        <v>Low</v>
      </c>
      <c r="AN794" s="1" t="str">
        <f>CHOOSE(HR_Data[[#This Row],[WorkLifeBalance]],"Bad","Good","Better","Best")</f>
        <v>Better</v>
      </c>
      <c r="AO794" s="1" t="str">
        <f>IF(HR_Data[[#This Row],[PercentSalaryHike]]&lt;=13,"11-13%",IF(HR_Data[[#This Row],[PercentSalaryHike]]&lt;=16,"14-16%",IF(HR_Data[[#This Row],[PercentSalaryHike]]&lt;=19,"17-19%","20-25%")))</f>
        <v>20-25%</v>
      </c>
      <c r="AP794" s="1">
        <f>IF(HR_Data[[#This Row],[PercentSalaryHike]]&lt;=13,1,IF(HR_Data[[#This Row],[PercentSalaryHike]]&lt;=16,2,IF(HR_Data[[#This Row],[PercentSalaryHike]]&lt;=19,3,4)))</f>
        <v>4</v>
      </c>
      <c r="AQ794" s="1" t="str">
        <f>IF(HR_Data[[#This Row],[DistanceFromHome]]&lt;=5,"1 to 5",IF(HR_Data[[#This Row],[DistanceFromHome]]&lt;=10,"6 to 10",IF(HR_Data[[#This Row],[DistanceFromHome]]&lt;=20,"11 to 20","21 to 29")))</f>
        <v>21 to 29</v>
      </c>
      <c r="AR794" s="1">
        <f>IF(HR_Data[[#This Row],[DistanceFromHome]]&lt;=5,1,IF(HR_Data[[#This Row],[DistanceFromHome]]&lt;=10,2,IF(HR_Data[[#This Row],[DistanceFromHome]]&lt;=20,3,4)))</f>
        <v>4</v>
      </c>
      <c r="AS794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794" s="1">
        <f>IF(HR_Data[[#This Row],[TotalWorkingYears]]&lt;=5,1,IF(HR_Data[[#This Row],[TotalWorkingYears]]&lt;=10,2,IF(HR_Data[[#This Row],[TotalWorkingYears]]&lt;=20,3,4)))</f>
        <v>3</v>
      </c>
    </row>
    <row r="795" spans="1:46" x14ac:dyDescent="0.25">
      <c r="A795">
        <v>28</v>
      </c>
      <c r="B795" t="s">
        <v>36</v>
      </c>
      <c r="C795" t="s">
        <v>30</v>
      </c>
      <c r="D795" t="s">
        <v>38</v>
      </c>
      <c r="E795">
        <v>15</v>
      </c>
      <c r="F795">
        <v>2</v>
      </c>
      <c r="G795" t="s">
        <v>32</v>
      </c>
      <c r="H795">
        <v>1102</v>
      </c>
      <c r="I795">
        <v>1</v>
      </c>
      <c r="J795" t="s">
        <v>39</v>
      </c>
      <c r="K795">
        <v>3</v>
      </c>
      <c r="L795">
        <v>1</v>
      </c>
      <c r="M795" t="s">
        <v>43</v>
      </c>
      <c r="N795">
        <v>3</v>
      </c>
      <c r="O795" t="s">
        <v>45</v>
      </c>
      <c r="P795">
        <v>2207</v>
      </c>
      <c r="Q795">
        <v>1</v>
      </c>
      <c r="R795" t="s">
        <v>36</v>
      </c>
      <c r="S795">
        <v>16</v>
      </c>
      <c r="T795">
        <v>3</v>
      </c>
      <c r="U795">
        <v>4</v>
      </c>
      <c r="V795">
        <v>1</v>
      </c>
      <c r="W795">
        <v>4</v>
      </c>
      <c r="X795">
        <v>5</v>
      </c>
      <c r="Y795">
        <v>2</v>
      </c>
      <c r="Z795">
        <v>4</v>
      </c>
      <c r="AA795">
        <v>2</v>
      </c>
      <c r="AB795">
        <v>2</v>
      </c>
      <c r="AC795">
        <v>2</v>
      </c>
      <c r="AD795">
        <f>IF(HR_Data[[#This Row],[Attrition]]="Yes",1,0)</f>
        <v>0</v>
      </c>
      <c r="AE795" t="str">
        <f>IF(HR_Data[[#This Row],[Age]]&lt;=25,"18-25",IF(HR_Data[[#This Row],[Age]]&lt;=35,"26-35",IF(HR_Data[[#This Row],[Age]]&lt;=45,"36-45",IF(HR_Data[[#This Row],[Age]]&lt;=55,"46-55","55+"))))</f>
        <v>26-35</v>
      </c>
      <c r="AF795">
        <f>IF(HR_Data[[#This Row],[Age]]&lt;=25,1,IF(HR_Data[[#This Row],[Age]]&lt;=35,2,IF(HR_Data[[#This Row],[Age]]&lt;=45,3,IF(HR_Data[[#This Row],[Age]]&lt;=55,4,5))))</f>
        <v>2</v>
      </c>
      <c r="AG795" s="1" t="str">
        <f>IF(HR_Data[[#This Row],[MonthlyIncome]]&lt;3000,"&lt;3K",IF(HR_Data[[#This Row],[MonthlyIncome]]&lt;6000,"3K-6K",IF(HR_Data[[#This Row],[MonthlyIncome]]&lt;10000,"6K-10K","10K+")))</f>
        <v>&lt;3K</v>
      </c>
      <c r="AH795" s="1">
        <f>IF(HR_Data[[#This Row],[MonthlyIncome]]&lt;3000,1,IF(HR_Data[[#This Row],[MonthlyIncome]]&lt;6000,2,IF(HR_Data[[#This Row],[MonthlyIncome]]&lt;10000,3,4)))</f>
        <v>1</v>
      </c>
      <c r="AI795" s="1" t="str">
        <f>IF(HR_Data[[#This Row],[YearsAtCompany]]&lt;=2,"0-2 Yrs",IF(HR_Data[[#This Row],[YearsAtCompany]]&lt;=5,"3-5 Yrs",IF(HR_Data[[#This Row],[YearsAtCompany]]&lt;=10,"6-10 Yrs","10+ Yrs")))</f>
        <v>3-5 Yrs</v>
      </c>
      <c r="AJ795" s="1">
        <f>IF(HR_Data[[#This Row],[YearsAtCompany]]&lt;=2,1,IF(HR_Data[[#This Row],[YearsAtCompany]]&lt;=5,2,IF(HR_Data[[#This Row],[YearsAtCompany]]&lt;=10,3,4)))</f>
        <v>2</v>
      </c>
      <c r="AK795" s="1" t="str">
        <f>CHOOSE(HR_Data[[#This Row],[Education]],"Below College","College","Bachelor","Master","Doctor")</f>
        <v>College</v>
      </c>
      <c r="AL795" s="1" t="str">
        <f>CHOOSE(HR_Data[[#This Row],[JobSatisfaction]],"Low","Medium","High","Very High")</f>
        <v>High</v>
      </c>
      <c r="AM795" s="1" t="str">
        <f>CHOOSE(HR_Data[[#This Row],[EnvironmentSatisfaction]],"Low","Medium","High","Very High")</f>
        <v>Low</v>
      </c>
      <c r="AN795" s="1" t="str">
        <f>CHOOSE(HR_Data[[#This Row],[WorkLifeBalance]],"Bad","Good","Better","Best")</f>
        <v>Good</v>
      </c>
      <c r="AO795" s="1" t="str">
        <f>IF(HR_Data[[#This Row],[PercentSalaryHike]]&lt;=13,"11-13%",IF(HR_Data[[#This Row],[PercentSalaryHike]]&lt;=16,"14-16%",IF(HR_Data[[#This Row],[PercentSalaryHike]]&lt;=19,"17-19%","20-25%")))</f>
        <v>14-16%</v>
      </c>
      <c r="AP795" s="1">
        <f>IF(HR_Data[[#This Row],[PercentSalaryHike]]&lt;=13,1,IF(HR_Data[[#This Row],[PercentSalaryHike]]&lt;=16,2,IF(HR_Data[[#This Row],[PercentSalaryHike]]&lt;=19,3,4)))</f>
        <v>2</v>
      </c>
      <c r="AQ795" s="1" t="str">
        <f>IF(HR_Data[[#This Row],[DistanceFromHome]]&lt;=5,"1 to 5",IF(HR_Data[[#This Row],[DistanceFromHome]]&lt;=10,"6 to 10",IF(HR_Data[[#This Row],[DistanceFromHome]]&lt;=20,"11 to 20","21 to 29")))</f>
        <v>11 to 20</v>
      </c>
      <c r="AR795" s="1">
        <f>IF(HR_Data[[#This Row],[DistanceFromHome]]&lt;=5,1,IF(HR_Data[[#This Row],[DistanceFromHome]]&lt;=10,2,IF(HR_Data[[#This Row],[DistanceFromHome]]&lt;=20,3,4)))</f>
        <v>3</v>
      </c>
      <c r="AS795" s="1" t="str">
        <f>IF(HR_Data[[#This Row],[TotalWorkingYears]]&lt;=5,"0-5 Yrs",IF(HR_Data[[#This Row],[TotalWorkingYears]]&lt;=10,"6-10 Yrs",IF(HR_Data[[#This Row],[TotalWorkingYears]]&lt;=20,"11-20 Yrs","20+ Yrs")))</f>
        <v>0-5 Yrs</v>
      </c>
      <c r="AT795" s="1">
        <f>IF(HR_Data[[#This Row],[TotalWorkingYears]]&lt;=5,1,IF(HR_Data[[#This Row],[TotalWorkingYears]]&lt;=10,2,IF(HR_Data[[#This Row],[TotalWorkingYears]]&lt;=20,3,4)))</f>
        <v>1</v>
      </c>
    </row>
    <row r="796" spans="1:46" x14ac:dyDescent="0.25">
      <c r="A796">
        <v>34</v>
      </c>
      <c r="B796" t="s">
        <v>36</v>
      </c>
      <c r="C796" t="s">
        <v>37</v>
      </c>
      <c r="D796" t="s">
        <v>38</v>
      </c>
      <c r="E796">
        <v>3</v>
      </c>
      <c r="F796">
        <v>1</v>
      </c>
      <c r="G796" t="s">
        <v>32</v>
      </c>
      <c r="H796">
        <v>1103</v>
      </c>
      <c r="I796">
        <v>1</v>
      </c>
      <c r="J796" t="s">
        <v>39</v>
      </c>
      <c r="K796">
        <v>3</v>
      </c>
      <c r="L796">
        <v>2</v>
      </c>
      <c r="M796" t="s">
        <v>47</v>
      </c>
      <c r="N796">
        <v>4</v>
      </c>
      <c r="O796" t="s">
        <v>35</v>
      </c>
      <c r="P796">
        <v>7756</v>
      </c>
      <c r="Q796">
        <v>0</v>
      </c>
      <c r="R796" t="s">
        <v>36</v>
      </c>
      <c r="S796">
        <v>17</v>
      </c>
      <c r="T796">
        <v>3</v>
      </c>
      <c r="U796">
        <v>3</v>
      </c>
      <c r="V796">
        <v>0</v>
      </c>
      <c r="W796">
        <v>7</v>
      </c>
      <c r="X796">
        <v>1</v>
      </c>
      <c r="Y796">
        <v>2</v>
      </c>
      <c r="Z796">
        <v>6</v>
      </c>
      <c r="AA796">
        <v>2</v>
      </c>
      <c r="AB796">
        <v>0</v>
      </c>
      <c r="AC796">
        <v>4</v>
      </c>
      <c r="AD796">
        <f>IF(HR_Data[[#This Row],[Attrition]]="Yes",1,0)</f>
        <v>0</v>
      </c>
      <c r="AE796" t="str">
        <f>IF(HR_Data[[#This Row],[Age]]&lt;=25,"18-25",IF(HR_Data[[#This Row],[Age]]&lt;=35,"26-35",IF(HR_Data[[#This Row],[Age]]&lt;=45,"36-45",IF(HR_Data[[#This Row],[Age]]&lt;=55,"46-55","55+"))))</f>
        <v>26-35</v>
      </c>
      <c r="AF796">
        <f>IF(HR_Data[[#This Row],[Age]]&lt;=25,1,IF(HR_Data[[#This Row],[Age]]&lt;=35,2,IF(HR_Data[[#This Row],[Age]]&lt;=45,3,IF(HR_Data[[#This Row],[Age]]&lt;=55,4,5))))</f>
        <v>2</v>
      </c>
      <c r="AG796" s="1" t="str">
        <f>IF(HR_Data[[#This Row],[MonthlyIncome]]&lt;3000,"&lt;3K",IF(HR_Data[[#This Row],[MonthlyIncome]]&lt;6000,"3K-6K",IF(HR_Data[[#This Row],[MonthlyIncome]]&lt;10000,"6K-10K","10K+")))</f>
        <v>6K-10K</v>
      </c>
      <c r="AH796" s="1">
        <f>IF(HR_Data[[#This Row],[MonthlyIncome]]&lt;3000,1,IF(HR_Data[[#This Row],[MonthlyIncome]]&lt;6000,2,IF(HR_Data[[#This Row],[MonthlyIncome]]&lt;10000,3,4)))</f>
        <v>3</v>
      </c>
      <c r="AI796" s="1" t="str">
        <f>IF(HR_Data[[#This Row],[YearsAtCompany]]&lt;=2,"0-2 Yrs",IF(HR_Data[[#This Row],[YearsAtCompany]]&lt;=5,"3-5 Yrs",IF(HR_Data[[#This Row],[YearsAtCompany]]&lt;=10,"6-10 Yrs","10+ Yrs")))</f>
        <v>6-10 Yrs</v>
      </c>
      <c r="AJ796" s="1">
        <f>IF(HR_Data[[#This Row],[YearsAtCompany]]&lt;=2,1,IF(HR_Data[[#This Row],[YearsAtCompany]]&lt;=5,2,IF(HR_Data[[#This Row],[YearsAtCompany]]&lt;=10,3,4)))</f>
        <v>3</v>
      </c>
      <c r="AK796" s="1" t="str">
        <f>CHOOSE(HR_Data[[#This Row],[Education]],"Below College","College","Bachelor","Master","Doctor")</f>
        <v>Below College</v>
      </c>
      <c r="AL796" s="1" t="str">
        <f>CHOOSE(HR_Data[[#This Row],[JobSatisfaction]],"Low","Medium","High","Very High")</f>
        <v>Very High</v>
      </c>
      <c r="AM796" s="1" t="str">
        <f>CHOOSE(HR_Data[[#This Row],[EnvironmentSatisfaction]],"Low","Medium","High","Very High")</f>
        <v>Low</v>
      </c>
      <c r="AN796" s="1" t="str">
        <f>CHOOSE(HR_Data[[#This Row],[WorkLifeBalance]],"Bad","Good","Better","Best")</f>
        <v>Good</v>
      </c>
      <c r="AO796" s="1" t="str">
        <f>IF(HR_Data[[#This Row],[PercentSalaryHike]]&lt;=13,"11-13%",IF(HR_Data[[#This Row],[PercentSalaryHike]]&lt;=16,"14-16%",IF(HR_Data[[#This Row],[PercentSalaryHike]]&lt;=19,"17-19%","20-25%")))</f>
        <v>17-19%</v>
      </c>
      <c r="AP796" s="1">
        <f>IF(HR_Data[[#This Row],[PercentSalaryHike]]&lt;=13,1,IF(HR_Data[[#This Row],[PercentSalaryHike]]&lt;=16,2,IF(HR_Data[[#This Row],[PercentSalaryHike]]&lt;=19,3,4)))</f>
        <v>3</v>
      </c>
      <c r="AQ796" s="1" t="str">
        <f>IF(HR_Data[[#This Row],[DistanceFromHome]]&lt;=5,"1 to 5",IF(HR_Data[[#This Row],[DistanceFromHome]]&lt;=10,"6 to 10",IF(HR_Data[[#This Row],[DistanceFromHome]]&lt;=20,"11 to 20","21 to 29")))</f>
        <v>1 to 5</v>
      </c>
      <c r="AR796" s="1">
        <f>IF(HR_Data[[#This Row],[DistanceFromHome]]&lt;=5,1,IF(HR_Data[[#This Row],[DistanceFromHome]]&lt;=10,2,IF(HR_Data[[#This Row],[DistanceFromHome]]&lt;=20,3,4)))</f>
        <v>1</v>
      </c>
      <c r="AS796" s="1" t="str">
        <f>IF(HR_Data[[#This Row],[TotalWorkingYears]]&lt;=5,"0-5 Yrs",IF(HR_Data[[#This Row],[TotalWorkingYears]]&lt;=10,"6-10 Yrs",IF(HR_Data[[#This Row],[TotalWorkingYears]]&lt;=20,"11-20 Yrs","20+ Yrs")))</f>
        <v>6-10 Yrs</v>
      </c>
      <c r="AT796" s="1">
        <f>IF(HR_Data[[#This Row],[TotalWorkingYears]]&lt;=5,1,IF(HR_Data[[#This Row],[TotalWorkingYears]]&lt;=10,2,IF(HR_Data[[#This Row],[TotalWorkingYears]]&lt;=20,3,4)))</f>
        <v>2</v>
      </c>
    </row>
    <row r="797" spans="1:46" x14ac:dyDescent="0.25">
      <c r="A797">
        <v>37</v>
      </c>
      <c r="B797" t="s">
        <v>36</v>
      </c>
      <c r="C797" t="s">
        <v>30</v>
      </c>
      <c r="D797" t="s">
        <v>31</v>
      </c>
      <c r="E797">
        <v>10</v>
      </c>
      <c r="F797">
        <v>4</v>
      </c>
      <c r="G797" t="s">
        <v>32</v>
      </c>
      <c r="H797">
        <v>1105</v>
      </c>
      <c r="I797">
        <v>4</v>
      </c>
      <c r="J797" t="s">
        <v>33</v>
      </c>
      <c r="K797">
        <v>2</v>
      </c>
      <c r="L797">
        <v>2</v>
      </c>
      <c r="M797" t="s">
        <v>34</v>
      </c>
      <c r="N797">
        <v>4</v>
      </c>
      <c r="O797" t="s">
        <v>45</v>
      </c>
      <c r="P797">
        <v>6694</v>
      </c>
      <c r="Q797">
        <v>2</v>
      </c>
      <c r="R797" t="s">
        <v>29</v>
      </c>
      <c r="S797">
        <v>14</v>
      </c>
      <c r="T797">
        <v>3</v>
      </c>
      <c r="U797">
        <v>3</v>
      </c>
      <c r="V797">
        <v>3</v>
      </c>
      <c r="W797">
        <v>8</v>
      </c>
      <c r="X797">
        <v>5</v>
      </c>
      <c r="Y797">
        <v>3</v>
      </c>
      <c r="Z797">
        <v>1</v>
      </c>
      <c r="AA797">
        <v>0</v>
      </c>
      <c r="AB797">
        <v>0</v>
      </c>
      <c r="AC797">
        <v>0</v>
      </c>
      <c r="AD797">
        <f>IF(HR_Data[[#This Row],[Attrition]]="Yes",1,0)</f>
        <v>0</v>
      </c>
      <c r="AE797" t="str">
        <f>IF(HR_Data[[#This Row],[Age]]&lt;=25,"18-25",IF(HR_Data[[#This Row],[Age]]&lt;=35,"26-35",IF(HR_Data[[#This Row],[Age]]&lt;=45,"36-45",IF(HR_Data[[#This Row],[Age]]&lt;=55,"46-55","55+"))))</f>
        <v>36-45</v>
      </c>
      <c r="AF797">
        <f>IF(HR_Data[[#This Row],[Age]]&lt;=25,1,IF(HR_Data[[#This Row],[Age]]&lt;=35,2,IF(HR_Data[[#This Row],[Age]]&lt;=45,3,IF(HR_Data[[#This Row],[Age]]&lt;=55,4,5))))</f>
        <v>3</v>
      </c>
      <c r="AG797" s="1" t="str">
        <f>IF(HR_Data[[#This Row],[MonthlyIncome]]&lt;3000,"&lt;3K",IF(HR_Data[[#This Row],[MonthlyIncome]]&lt;6000,"3K-6K",IF(HR_Data[[#This Row],[MonthlyIncome]]&lt;10000,"6K-10K","10K+")))</f>
        <v>6K-10K</v>
      </c>
      <c r="AH797" s="1">
        <f>IF(HR_Data[[#This Row],[MonthlyIncome]]&lt;3000,1,IF(HR_Data[[#This Row],[MonthlyIncome]]&lt;6000,2,IF(HR_Data[[#This Row],[MonthlyIncome]]&lt;10000,3,4)))</f>
        <v>3</v>
      </c>
      <c r="AI797" s="1" t="str">
        <f>IF(HR_Data[[#This Row],[YearsAtCompany]]&lt;=2,"0-2 Yrs",IF(HR_Data[[#This Row],[YearsAtCompany]]&lt;=5,"3-5 Yrs",IF(HR_Data[[#This Row],[YearsAtCompany]]&lt;=10,"6-10 Yrs","10+ Yrs")))</f>
        <v>0-2 Yrs</v>
      </c>
      <c r="AJ797" s="1">
        <f>IF(HR_Data[[#This Row],[YearsAtCompany]]&lt;=2,1,IF(HR_Data[[#This Row],[YearsAtCompany]]&lt;=5,2,IF(HR_Data[[#This Row],[YearsAtCompany]]&lt;=10,3,4)))</f>
        <v>1</v>
      </c>
      <c r="AK797" s="1" t="str">
        <f>CHOOSE(HR_Data[[#This Row],[Education]],"Below College","College","Bachelor","Master","Doctor")</f>
        <v>Master</v>
      </c>
      <c r="AL797" s="1" t="str">
        <f>CHOOSE(HR_Data[[#This Row],[JobSatisfaction]],"Low","Medium","High","Very High")</f>
        <v>Very High</v>
      </c>
      <c r="AM797" s="1" t="str">
        <f>CHOOSE(HR_Data[[#This Row],[EnvironmentSatisfaction]],"Low","Medium","High","Very High")</f>
        <v>Very High</v>
      </c>
      <c r="AN797" s="1" t="str">
        <f>CHOOSE(HR_Data[[#This Row],[WorkLifeBalance]],"Bad","Good","Better","Best")</f>
        <v>Better</v>
      </c>
      <c r="AO797" s="1" t="str">
        <f>IF(HR_Data[[#This Row],[PercentSalaryHike]]&lt;=13,"11-13%",IF(HR_Data[[#This Row],[PercentSalaryHike]]&lt;=16,"14-16%",IF(HR_Data[[#This Row],[PercentSalaryHike]]&lt;=19,"17-19%","20-25%")))</f>
        <v>14-16%</v>
      </c>
      <c r="AP797" s="1">
        <f>IF(HR_Data[[#This Row],[PercentSalaryHike]]&lt;=13,1,IF(HR_Data[[#This Row],[PercentSalaryHike]]&lt;=16,2,IF(HR_Data[[#This Row],[PercentSalaryHike]]&lt;=19,3,4)))</f>
        <v>2</v>
      </c>
      <c r="AQ797" s="1" t="str">
        <f>IF(HR_Data[[#This Row],[DistanceFromHome]]&lt;=5,"1 to 5",IF(HR_Data[[#This Row],[DistanceFromHome]]&lt;=10,"6 to 10",IF(HR_Data[[#This Row],[DistanceFromHome]]&lt;=20,"11 to 20","21 to 29")))</f>
        <v>6 to 10</v>
      </c>
      <c r="AR797" s="1">
        <f>IF(HR_Data[[#This Row],[DistanceFromHome]]&lt;=5,1,IF(HR_Data[[#This Row],[DistanceFromHome]]&lt;=10,2,IF(HR_Data[[#This Row],[DistanceFromHome]]&lt;=20,3,4)))</f>
        <v>2</v>
      </c>
      <c r="AS797" s="1" t="str">
        <f>IF(HR_Data[[#This Row],[TotalWorkingYears]]&lt;=5,"0-5 Yrs",IF(HR_Data[[#This Row],[TotalWorkingYears]]&lt;=10,"6-10 Yrs",IF(HR_Data[[#This Row],[TotalWorkingYears]]&lt;=20,"11-20 Yrs","20+ Yrs")))</f>
        <v>6-10 Yrs</v>
      </c>
      <c r="AT797" s="1">
        <f>IF(HR_Data[[#This Row],[TotalWorkingYears]]&lt;=5,1,IF(HR_Data[[#This Row],[TotalWorkingYears]]&lt;=10,2,IF(HR_Data[[#This Row],[TotalWorkingYears]]&lt;=20,3,4)))</f>
        <v>2</v>
      </c>
    </row>
    <row r="798" spans="1:46" x14ac:dyDescent="0.25">
      <c r="A798">
        <v>25</v>
      </c>
      <c r="B798" t="s">
        <v>29</v>
      </c>
      <c r="C798" t="s">
        <v>30</v>
      </c>
      <c r="D798" t="s">
        <v>38</v>
      </c>
      <c r="E798">
        <v>4</v>
      </c>
      <c r="F798">
        <v>1</v>
      </c>
      <c r="G798" t="s">
        <v>53</v>
      </c>
      <c r="H798">
        <v>1106</v>
      </c>
      <c r="I798">
        <v>4</v>
      </c>
      <c r="J798" t="s">
        <v>39</v>
      </c>
      <c r="K798">
        <v>3</v>
      </c>
      <c r="L798">
        <v>1</v>
      </c>
      <c r="M798" t="s">
        <v>43</v>
      </c>
      <c r="N798">
        <v>4</v>
      </c>
      <c r="O798" t="s">
        <v>41</v>
      </c>
      <c r="P798">
        <v>3691</v>
      </c>
      <c r="Q798">
        <v>1</v>
      </c>
      <c r="R798" t="s">
        <v>29</v>
      </c>
      <c r="S798">
        <v>15</v>
      </c>
      <c r="T798">
        <v>3</v>
      </c>
      <c r="U798">
        <v>2</v>
      </c>
      <c r="V798">
        <v>1</v>
      </c>
      <c r="W798">
        <v>7</v>
      </c>
      <c r="X798">
        <v>3</v>
      </c>
      <c r="Y798">
        <v>4</v>
      </c>
      <c r="Z798">
        <v>7</v>
      </c>
      <c r="AA798">
        <v>7</v>
      </c>
      <c r="AB798">
        <v>5</v>
      </c>
      <c r="AC798">
        <v>6</v>
      </c>
      <c r="AD798">
        <f>IF(HR_Data[[#This Row],[Attrition]]="Yes",1,0)</f>
        <v>1</v>
      </c>
      <c r="AE798" t="str">
        <f>IF(HR_Data[[#This Row],[Age]]&lt;=25,"18-25",IF(HR_Data[[#This Row],[Age]]&lt;=35,"26-35",IF(HR_Data[[#This Row],[Age]]&lt;=45,"36-45",IF(HR_Data[[#This Row],[Age]]&lt;=55,"46-55","55+"))))</f>
        <v>18-25</v>
      </c>
      <c r="AF798">
        <f>IF(HR_Data[[#This Row],[Age]]&lt;=25,1,IF(HR_Data[[#This Row],[Age]]&lt;=35,2,IF(HR_Data[[#This Row],[Age]]&lt;=45,3,IF(HR_Data[[#This Row],[Age]]&lt;=55,4,5))))</f>
        <v>1</v>
      </c>
      <c r="AG798" s="1" t="str">
        <f>IF(HR_Data[[#This Row],[MonthlyIncome]]&lt;3000,"&lt;3K",IF(HR_Data[[#This Row],[MonthlyIncome]]&lt;6000,"3K-6K",IF(HR_Data[[#This Row],[MonthlyIncome]]&lt;10000,"6K-10K","10K+")))</f>
        <v>3K-6K</v>
      </c>
      <c r="AH798" s="1">
        <f>IF(HR_Data[[#This Row],[MonthlyIncome]]&lt;3000,1,IF(HR_Data[[#This Row],[MonthlyIncome]]&lt;6000,2,IF(HR_Data[[#This Row],[MonthlyIncome]]&lt;10000,3,4)))</f>
        <v>2</v>
      </c>
      <c r="AI798" s="1" t="str">
        <f>IF(HR_Data[[#This Row],[YearsAtCompany]]&lt;=2,"0-2 Yrs",IF(HR_Data[[#This Row],[YearsAtCompany]]&lt;=5,"3-5 Yrs",IF(HR_Data[[#This Row],[YearsAtCompany]]&lt;=10,"6-10 Yrs","10+ Yrs")))</f>
        <v>6-10 Yrs</v>
      </c>
      <c r="AJ798" s="1">
        <f>IF(HR_Data[[#This Row],[YearsAtCompany]]&lt;=2,1,IF(HR_Data[[#This Row],[YearsAtCompany]]&lt;=5,2,IF(HR_Data[[#This Row],[YearsAtCompany]]&lt;=10,3,4)))</f>
        <v>3</v>
      </c>
      <c r="AK798" s="1" t="str">
        <f>CHOOSE(HR_Data[[#This Row],[Education]],"Below College","College","Bachelor","Master","Doctor")</f>
        <v>Below College</v>
      </c>
      <c r="AL798" s="1" t="str">
        <f>CHOOSE(HR_Data[[#This Row],[JobSatisfaction]],"Low","Medium","High","Very High")</f>
        <v>Very High</v>
      </c>
      <c r="AM798" s="1" t="str">
        <f>CHOOSE(HR_Data[[#This Row],[EnvironmentSatisfaction]],"Low","Medium","High","Very High")</f>
        <v>Very High</v>
      </c>
      <c r="AN798" s="1" t="str">
        <f>CHOOSE(HR_Data[[#This Row],[WorkLifeBalance]],"Bad","Good","Better","Best")</f>
        <v>Best</v>
      </c>
      <c r="AO798" s="1" t="str">
        <f>IF(HR_Data[[#This Row],[PercentSalaryHike]]&lt;=13,"11-13%",IF(HR_Data[[#This Row],[PercentSalaryHike]]&lt;=16,"14-16%",IF(HR_Data[[#This Row],[PercentSalaryHike]]&lt;=19,"17-19%","20-25%")))</f>
        <v>14-16%</v>
      </c>
      <c r="AP798" s="1">
        <f>IF(HR_Data[[#This Row],[PercentSalaryHike]]&lt;=13,1,IF(HR_Data[[#This Row],[PercentSalaryHike]]&lt;=16,2,IF(HR_Data[[#This Row],[PercentSalaryHike]]&lt;=19,3,4)))</f>
        <v>2</v>
      </c>
      <c r="AQ798" s="1" t="str">
        <f>IF(HR_Data[[#This Row],[DistanceFromHome]]&lt;=5,"1 to 5",IF(HR_Data[[#This Row],[DistanceFromHome]]&lt;=10,"6 to 10",IF(HR_Data[[#This Row],[DistanceFromHome]]&lt;=20,"11 to 20","21 to 29")))</f>
        <v>1 to 5</v>
      </c>
      <c r="AR798" s="1">
        <f>IF(HR_Data[[#This Row],[DistanceFromHome]]&lt;=5,1,IF(HR_Data[[#This Row],[DistanceFromHome]]&lt;=10,2,IF(HR_Data[[#This Row],[DistanceFromHome]]&lt;=20,3,4)))</f>
        <v>1</v>
      </c>
      <c r="AS798" s="1" t="str">
        <f>IF(HR_Data[[#This Row],[TotalWorkingYears]]&lt;=5,"0-5 Yrs",IF(HR_Data[[#This Row],[TotalWorkingYears]]&lt;=10,"6-10 Yrs",IF(HR_Data[[#This Row],[TotalWorkingYears]]&lt;=20,"11-20 Yrs","20+ Yrs")))</f>
        <v>6-10 Yrs</v>
      </c>
      <c r="AT798" s="1">
        <f>IF(HR_Data[[#This Row],[TotalWorkingYears]]&lt;=5,1,IF(HR_Data[[#This Row],[TotalWorkingYears]]&lt;=10,2,IF(HR_Data[[#This Row],[TotalWorkingYears]]&lt;=20,3,4)))</f>
        <v>2</v>
      </c>
    </row>
    <row r="799" spans="1:46" x14ac:dyDescent="0.25">
      <c r="A799">
        <v>26</v>
      </c>
      <c r="B799" t="s">
        <v>29</v>
      </c>
      <c r="C799" t="s">
        <v>30</v>
      </c>
      <c r="D799" t="s">
        <v>38</v>
      </c>
      <c r="E799">
        <v>21</v>
      </c>
      <c r="F799">
        <v>3</v>
      </c>
      <c r="G799" t="s">
        <v>44</v>
      </c>
      <c r="H799">
        <v>1107</v>
      </c>
      <c r="I799">
        <v>1</v>
      </c>
      <c r="J799" t="s">
        <v>39</v>
      </c>
      <c r="K799">
        <v>3</v>
      </c>
      <c r="L799">
        <v>1</v>
      </c>
      <c r="M799" t="s">
        <v>43</v>
      </c>
      <c r="N799">
        <v>3</v>
      </c>
      <c r="O799" t="s">
        <v>45</v>
      </c>
      <c r="P799">
        <v>2377</v>
      </c>
      <c r="Q799">
        <v>1</v>
      </c>
      <c r="R799" t="s">
        <v>36</v>
      </c>
      <c r="S799">
        <v>20</v>
      </c>
      <c r="T799">
        <v>4</v>
      </c>
      <c r="U799">
        <v>3</v>
      </c>
      <c r="V799">
        <v>1</v>
      </c>
      <c r="W799">
        <v>1</v>
      </c>
      <c r="X799">
        <v>0</v>
      </c>
      <c r="Y799">
        <v>2</v>
      </c>
      <c r="Z799">
        <v>1</v>
      </c>
      <c r="AA799">
        <v>1</v>
      </c>
      <c r="AB799">
        <v>0</v>
      </c>
      <c r="AC799">
        <v>0</v>
      </c>
      <c r="AD799">
        <f>IF(HR_Data[[#This Row],[Attrition]]="Yes",1,0)</f>
        <v>1</v>
      </c>
      <c r="AE799" t="str">
        <f>IF(HR_Data[[#This Row],[Age]]&lt;=25,"18-25",IF(HR_Data[[#This Row],[Age]]&lt;=35,"26-35",IF(HR_Data[[#This Row],[Age]]&lt;=45,"36-45",IF(HR_Data[[#This Row],[Age]]&lt;=55,"46-55","55+"))))</f>
        <v>26-35</v>
      </c>
      <c r="AF799">
        <f>IF(HR_Data[[#This Row],[Age]]&lt;=25,1,IF(HR_Data[[#This Row],[Age]]&lt;=35,2,IF(HR_Data[[#This Row],[Age]]&lt;=45,3,IF(HR_Data[[#This Row],[Age]]&lt;=55,4,5))))</f>
        <v>2</v>
      </c>
      <c r="AG799" s="1" t="str">
        <f>IF(HR_Data[[#This Row],[MonthlyIncome]]&lt;3000,"&lt;3K",IF(HR_Data[[#This Row],[MonthlyIncome]]&lt;6000,"3K-6K",IF(HR_Data[[#This Row],[MonthlyIncome]]&lt;10000,"6K-10K","10K+")))</f>
        <v>&lt;3K</v>
      </c>
      <c r="AH799" s="1">
        <f>IF(HR_Data[[#This Row],[MonthlyIncome]]&lt;3000,1,IF(HR_Data[[#This Row],[MonthlyIncome]]&lt;6000,2,IF(HR_Data[[#This Row],[MonthlyIncome]]&lt;10000,3,4)))</f>
        <v>1</v>
      </c>
      <c r="AI799" s="1" t="str">
        <f>IF(HR_Data[[#This Row],[YearsAtCompany]]&lt;=2,"0-2 Yrs",IF(HR_Data[[#This Row],[YearsAtCompany]]&lt;=5,"3-5 Yrs",IF(HR_Data[[#This Row],[YearsAtCompany]]&lt;=10,"6-10 Yrs","10+ Yrs")))</f>
        <v>0-2 Yrs</v>
      </c>
      <c r="AJ799" s="1">
        <f>IF(HR_Data[[#This Row],[YearsAtCompany]]&lt;=2,1,IF(HR_Data[[#This Row],[YearsAtCompany]]&lt;=5,2,IF(HR_Data[[#This Row],[YearsAtCompany]]&lt;=10,3,4)))</f>
        <v>1</v>
      </c>
      <c r="AK799" s="1" t="str">
        <f>CHOOSE(HR_Data[[#This Row],[Education]],"Below College","College","Bachelor","Master","Doctor")</f>
        <v>Bachelor</v>
      </c>
      <c r="AL799" s="1" t="str">
        <f>CHOOSE(HR_Data[[#This Row],[JobSatisfaction]],"Low","Medium","High","Very High")</f>
        <v>High</v>
      </c>
      <c r="AM799" s="1" t="str">
        <f>CHOOSE(HR_Data[[#This Row],[EnvironmentSatisfaction]],"Low","Medium","High","Very High")</f>
        <v>Low</v>
      </c>
      <c r="AN799" s="1" t="str">
        <f>CHOOSE(HR_Data[[#This Row],[WorkLifeBalance]],"Bad","Good","Better","Best")</f>
        <v>Good</v>
      </c>
      <c r="AO799" s="1" t="str">
        <f>IF(HR_Data[[#This Row],[PercentSalaryHike]]&lt;=13,"11-13%",IF(HR_Data[[#This Row],[PercentSalaryHike]]&lt;=16,"14-16%",IF(HR_Data[[#This Row],[PercentSalaryHike]]&lt;=19,"17-19%","20-25%")))</f>
        <v>20-25%</v>
      </c>
      <c r="AP799" s="1">
        <f>IF(HR_Data[[#This Row],[PercentSalaryHike]]&lt;=13,1,IF(HR_Data[[#This Row],[PercentSalaryHike]]&lt;=16,2,IF(HR_Data[[#This Row],[PercentSalaryHike]]&lt;=19,3,4)))</f>
        <v>4</v>
      </c>
      <c r="AQ799" s="1" t="str">
        <f>IF(HR_Data[[#This Row],[DistanceFromHome]]&lt;=5,"1 to 5",IF(HR_Data[[#This Row],[DistanceFromHome]]&lt;=10,"6 to 10",IF(HR_Data[[#This Row],[DistanceFromHome]]&lt;=20,"11 to 20","21 to 29")))</f>
        <v>21 to 29</v>
      </c>
      <c r="AR799" s="1">
        <f>IF(HR_Data[[#This Row],[DistanceFromHome]]&lt;=5,1,IF(HR_Data[[#This Row],[DistanceFromHome]]&lt;=10,2,IF(HR_Data[[#This Row],[DistanceFromHome]]&lt;=20,3,4)))</f>
        <v>4</v>
      </c>
      <c r="AS799" s="1" t="str">
        <f>IF(HR_Data[[#This Row],[TotalWorkingYears]]&lt;=5,"0-5 Yrs",IF(HR_Data[[#This Row],[TotalWorkingYears]]&lt;=10,"6-10 Yrs",IF(HR_Data[[#This Row],[TotalWorkingYears]]&lt;=20,"11-20 Yrs","20+ Yrs")))</f>
        <v>0-5 Yrs</v>
      </c>
      <c r="AT799" s="1">
        <f>IF(HR_Data[[#This Row],[TotalWorkingYears]]&lt;=5,1,IF(HR_Data[[#This Row],[TotalWorkingYears]]&lt;=10,2,IF(HR_Data[[#This Row],[TotalWorkingYears]]&lt;=20,3,4)))</f>
        <v>1</v>
      </c>
    </row>
    <row r="800" spans="1:46" x14ac:dyDescent="0.25">
      <c r="A800">
        <v>33</v>
      </c>
      <c r="B800" t="s">
        <v>29</v>
      </c>
      <c r="C800" t="s">
        <v>30</v>
      </c>
      <c r="D800" t="s">
        <v>38</v>
      </c>
      <c r="E800">
        <v>25</v>
      </c>
      <c r="F800">
        <v>3</v>
      </c>
      <c r="G800" t="s">
        <v>44</v>
      </c>
      <c r="H800">
        <v>1108</v>
      </c>
      <c r="I800">
        <v>1</v>
      </c>
      <c r="J800" t="s">
        <v>39</v>
      </c>
      <c r="K800">
        <v>2</v>
      </c>
      <c r="L800">
        <v>1</v>
      </c>
      <c r="M800" t="s">
        <v>40</v>
      </c>
      <c r="N800">
        <v>2</v>
      </c>
      <c r="O800" t="s">
        <v>35</v>
      </c>
      <c r="P800">
        <v>2313</v>
      </c>
      <c r="Q800">
        <v>4</v>
      </c>
      <c r="R800" t="s">
        <v>29</v>
      </c>
      <c r="S800">
        <v>20</v>
      </c>
      <c r="T800">
        <v>4</v>
      </c>
      <c r="U800">
        <v>2</v>
      </c>
      <c r="V800">
        <v>0</v>
      </c>
      <c r="W800">
        <v>5</v>
      </c>
      <c r="X800">
        <v>0</v>
      </c>
      <c r="Y800">
        <v>3</v>
      </c>
      <c r="Z800">
        <v>2</v>
      </c>
      <c r="AA800">
        <v>2</v>
      </c>
      <c r="AB800">
        <v>2</v>
      </c>
      <c r="AC800">
        <v>2</v>
      </c>
      <c r="AD800">
        <f>IF(HR_Data[[#This Row],[Attrition]]="Yes",1,0)</f>
        <v>1</v>
      </c>
      <c r="AE800" t="str">
        <f>IF(HR_Data[[#This Row],[Age]]&lt;=25,"18-25",IF(HR_Data[[#This Row],[Age]]&lt;=35,"26-35",IF(HR_Data[[#This Row],[Age]]&lt;=45,"36-45",IF(HR_Data[[#This Row],[Age]]&lt;=55,"46-55","55+"))))</f>
        <v>26-35</v>
      </c>
      <c r="AF800">
        <f>IF(HR_Data[[#This Row],[Age]]&lt;=25,1,IF(HR_Data[[#This Row],[Age]]&lt;=35,2,IF(HR_Data[[#This Row],[Age]]&lt;=45,3,IF(HR_Data[[#This Row],[Age]]&lt;=55,4,5))))</f>
        <v>2</v>
      </c>
      <c r="AG800" s="1" t="str">
        <f>IF(HR_Data[[#This Row],[MonthlyIncome]]&lt;3000,"&lt;3K",IF(HR_Data[[#This Row],[MonthlyIncome]]&lt;6000,"3K-6K",IF(HR_Data[[#This Row],[MonthlyIncome]]&lt;10000,"6K-10K","10K+")))</f>
        <v>&lt;3K</v>
      </c>
      <c r="AH800" s="1">
        <f>IF(HR_Data[[#This Row],[MonthlyIncome]]&lt;3000,1,IF(HR_Data[[#This Row],[MonthlyIncome]]&lt;6000,2,IF(HR_Data[[#This Row],[MonthlyIncome]]&lt;10000,3,4)))</f>
        <v>1</v>
      </c>
      <c r="AI800" s="1" t="str">
        <f>IF(HR_Data[[#This Row],[YearsAtCompany]]&lt;=2,"0-2 Yrs",IF(HR_Data[[#This Row],[YearsAtCompany]]&lt;=5,"3-5 Yrs",IF(HR_Data[[#This Row],[YearsAtCompany]]&lt;=10,"6-10 Yrs","10+ Yrs")))</f>
        <v>0-2 Yrs</v>
      </c>
      <c r="AJ800" s="1">
        <f>IF(HR_Data[[#This Row],[YearsAtCompany]]&lt;=2,1,IF(HR_Data[[#This Row],[YearsAtCompany]]&lt;=5,2,IF(HR_Data[[#This Row],[YearsAtCompany]]&lt;=10,3,4)))</f>
        <v>1</v>
      </c>
      <c r="AK800" s="1" t="str">
        <f>CHOOSE(HR_Data[[#This Row],[Education]],"Below College","College","Bachelor","Master","Doctor")</f>
        <v>Bachelor</v>
      </c>
      <c r="AL800" s="1" t="str">
        <f>CHOOSE(HR_Data[[#This Row],[JobSatisfaction]],"Low","Medium","High","Very High")</f>
        <v>Medium</v>
      </c>
      <c r="AM800" s="1" t="str">
        <f>CHOOSE(HR_Data[[#This Row],[EnvironmentSatisfaction]],"Low","Medium","High","Very High")</f>
        <v>Low</v>
      </c>
      <c r="AN800" s="1" t="str">
        <f>CHOOSE(HR_Data[[#This Row],[WorkLifeBalance]],"Bad","Good","Better","Best")</f>
        <v>Better</v>
      </c>
      <c r="AO800" s="1" t="str">
        <f>IF(HR_Data[[#This Row],[PercentSalaryHike]]&lt;=13,"11-13%",IF(HR_Data[[#This Row],[PercentSalaryHike]]&lt;=16,"14-16%",IF(HR_Data[[#This Row],[PercentSalaryHike]]&lt;=19,"17-19%","20-25%")))</f>
        <v>20-25%</v>
      </c>
      <c r="AP800" s="1">
        <f>IF(HR_Data[[#This Row],[PercentSalaryHike]]&lt;=13,1,IF(HR_Data[[#This Row],[PercentSalaryHike]]&lt;=16,2,IF(HR_Data[[#This Row],[PercentSalaryHike]]&lt;=19,3,4)))</f>
        <v>4</v>
      </c>
      <c r="AQ800" s="1" t="str">
        <f>IF(HR_Data[[#This Row],[DistanceFromHome]]&lt;=5,"1 to 5",IF(HR_Data[[#This Row],[DistanceFromHome]]&lt;=10,"6 to 10",IF(HR_Data[[#This Row],[DistanceFromHome]]&lt;=20,"11 to 20","21 to 29")))</f>
        <v>21 to 29</v>
      </c>
      <c r="AR800" s="1">
        <f>IF(HR_Data[[#This Row],[DistanceFromHome]]&lt;=5,1,IF(HR_Data[[#This Row],[DistanceFromHome]]&lt;=10,2,IF(HR_Data[[#This Row],[DistanceFromHome]]&lt;=20,3,4)))</f>
        <v>4</v>
      </c>
      <c r="AS800" s="1" t="str">
        <f>IF(HR_Data[[#This Row],[TotalWorkingYears]]&lt;=5,"0-5 Yrs",IF(HR_Data[[#This Row],[TotalWorkingYears]]&lt;=10,"6-10 Yrs",IF(HR_Data[[#This Row],[TotalWorkingYears]]&lt;=20,"11-20 Yrs","20+ Yrs")))</f>
        <v>0-5 Yrs</v>
      </c>
      <c r="AT800" s="1">
        <f>IF(HR_Data[[#This Row],[TotalWorkingYears]]&lt;=5,1,IF(HR_Data[[#This Row],[TotalWorkingYears]]&lt;=10,2,IF(HR_Data[[#This Row],[TotalWorkingYears]]&lt;=20,3,4)))</f>
        <v>1</v>
      </c>
    </row>
    <row r="801" spans="1:46" x14ac:dyDescent="0.25">
      <c r="A801">
        <v>42</v>
      </c>
      <c r="B801" t="s">
        <v>36</v>
      </c>
      <c r="C801" t="s">
        <v>30</v>
      </c>
      <c r="D801" t="s">
        <v>38</v>
      </c>
      <c r="E801">
        <v>2</v>
      </c>
      <c r="F801">
        <v>2</v>
      </c>
      <c r="G801" t="s">
        <v>44</v>
      </c>
      <c r="H801">
        <v>1109</v>
      </c>
      <c r="I801">
        <v>4</v>
      </c>
      <c r="J801" t="s">
        <v>39</v>
      </c>
      <c r="K801">
        <v>3</v>
      </c>
      <c r="L801">
        <v>4</v>
      </c>
      <c r="M801" t="s">
        <v>49</v>
      </c>
      <c r="N801">
        <v>1</v>
      </c>
      <c r="O801" t="s">
        <v>41</v>
      </c>
      <c r="P801">
        <v>17665</v>
      </c>
      <c r="Q801">
        <v>0</v>
      </c>
      <c r="R801" t="s">
        <v>36</v>
      </c>
      <c r="S801">
        <v>17</v>
      </c>
      <c r="T801">
        <v>3</v>
      </c>
      <c r="U801">
        <v>4</v>
      </c>
      <c r="V801">
        <v>1</v>
      </c>
      <c r="W801">
        <v>23</v>
      </c>
      <c r="X801">
        <v>3</v>
      </c>
      <c r="Y801">
        <v>3</v>
      </c>
      <c r="Z801">
        <v>22</v>
      </c>
      <c r="AA801">
        <v>6</v>
      </c>
      <c r="AB801">
        <v>13</v>
      </c>
      <c r="AC801">
        <v>7</v>
      </c>
      <c r="AD801">
        <f>IF(HR_Data[[#This Row],[Attrition]]="Yes",1,0)</f>
        <v>0</v>
      </c>
      <c r="AE801" t="str">
        <f>IF(HR_Data[[#This Row],[Age]]&lt;=25,"18-25",IF(HR_Data[[#This Row],[Age]]&lt;=35,"26-35",IF(HR_Data[[#This Row],[Age]]&lt;=45,"36-45",IF(HR_Data[[#This Row],[Age]]&lt;=55,"46-55","55+"))))</f>
        <v>36-45</v>
      </c>
      <c r="AF801">
        <f>IF(HR_Data[[#This Row],[Age]]&lt;=25,1,IF(HR_Data[[#This Row],[Age]]&lt;=35,2,IF(HR_Data[[#This Row],[Age]]&lt;=45,3,IF(HR_Data[[#This Row],[Age]]&lt;=55,4,5))))</f>
        <v>3</v>
      </c>
      <c r="AG801" s="1" t="str">
        <f>IF(HR_Data[[#This Row],[MonthlyIncome]]&lt;3000,"&lt;3K",IF(HR_Data[[#This Row],[MonthlyIncome]]&lt;6000,"3K-6K",IF(HR_Data[[#This Row],[MonthlyIncome]]&lt;10000,"6K-10K","10K+")))</f>
        <v>10K+</v>
      </c>
      <c r="AH801" s="1">
        <f>IF(HR_Data[[#This Row],[MonthlyIncome]]&lt;3000,1,IF(HR_Data[[#This Row],[MonthlyIncome]]&lt;6000,2,IF(HR_Data[[#This Row],[MonthlyIncome]]&lt;10000,3,4)))</f>
        <v>4</v>
      </c>
      <c r="AI801" s="1" t="str">
        <f>IF(HR_Data[[#This Row],[YearsAtCompany]]&lt;=2,"0-2 Yrs",IF(HR_Data[[#This Row],[YearsAtCompany]]&lt;=5,"3-5 Yrs",IF(HR_Data[[#This Row],[YearsAtCompany]]&lt;=10,"6-10 Yrs","10+ Yrs")))</f>
        <v>10+ Yrs</v>
      </c>
      <c r="AJ801" s="1">
        <f>IF(HR_Data[[#This Row],[YearsAtCompany]]&lt;=2,1,IF(HR_Data[[#This Row],[YearsAtCompany]]&lt;=5,2,IF(HR_Data[[#This Row],[YearsAtCompany]]&lt;=10,3,4)))</f>
        <v>4</v>
      </c>
      <c r="AK801" s="1" t="str">
        <f>CHOOSE(HR_Data[[#This Row],[Education]],"Below College","College","Bachelor","Master","Doctor")</f>
        <v>College</v>
      </c>
      <c r="AL801" s="1" t="str">
        <f>CHOOSE(HR_Data[[#This Row],[JobSatisfaction]],"Low","Medium","High","Very High")</f>
        <v>Low</v>
      </c>
      <c r="AM801" s="1" t="str">
        <f>CHOOSE(HR_Data[[#This Row],[EnvironmentSatisfaction]],"Low","Medium","High","Very High")</f>
        <v>Very High</v>
      </c>
      <c r="AN801" s="1" t="str">
        <f>CHOOSE(HR_Data[[#This Row],[WorkLifeBalance]],"Bad","Good","Better","Best")</f>
        <v>Better</v>
      </c>
      <c r="AO801" s="1" t="str">
        <f>IF(HR_Data[[#This Row],[PercentSalaryHike]]&lt;=13,"11-13%",IF(HR_Data[[#This Row],[PercentSalaryHike]]&lt;=16,"14-16%",IF(HR_Data[[#This Row],[PercentSalaryHike]]&lt;=19,"17-19%","20-25%")))</f>
        <v>17-19%</v>
      </c>
      <c r="AP801" s="1">
        <f>IF(HR_Data[[#This Row],[PercentSalaryHike]]&lt;=13,1,IF(HR_Data[[#This Row],[PercentSalaryHike]]&lt;=16,2,IF(HR_Data[[#This Row],[PercentSalaryHike]]&lt;=19,3,4)))</f>
        <v>3</v>
      </c>
      <c r="AQ801" s="1" t="str">
        <f>IF(HR_Data[[#This Row],[DistanceFromHome]]&lt;=5,"1 to 5",IF(HR_Data[[#This Row],[DistanceFromHome]]&lt;=10,"6 to 10",IF(HR_Data[[#This Row],[DistanceFromHome]]&lt;=20,"11 to 20","21 to 29")))</f>
        <v>1 to 5</v>
      </c>
      <c r="AR801" s="1">
        <f>IF(HR_Data[[#This Row],[DistanceFromHome]]&lt;=5,1,IF(HR_Data[[#This Row],[DistanceFromHome]]&lt;=10,2,IF(HR_Data[[#This Row],[DistanceFromHome]]&lt;=20,3,4)))</f>
        <v>1</v>
      </c>
      <c r="AS801" s="1" t="str">
        <f>IF(HR_Data[[#This Row],[TotalWorkingYears]]&lt;=5,"0-5 Yrs",IF(HR_Data[[#This Row],[TotalWorkingYears]]&lt;=10,"6-10 Yrs",IF(HR_Data[[#This Row],[TotalWorkingYears]]&lt;=20,"11-20 Yrs","20+ Yrs")))</f>
        <v>20+ Yrs</v>
      </c>
      <c r="AT801" s="1">
        <f>IF(HR_Data[[#This Row],[TotalWorkingYears]]&lt;=5,1,IF(HR_Data[[#This Row],[TotalWorkingYears]]&lt;=10,2,IF(HR_Data[[#This Row],[TotalWorkingYears]]&lt;=20,3,4)))</f>
        <v>4</v>
      </c>
    </row>
    <row r="802" spans="1:46" x14ac:dyDescent="0.25">
      <c r="A802">
        <v>28</v>
      </c>
      <c r="B802" t="s">
        <v>29</v>
      </c>
      <c r="C802" t="s">
        <v>37</v>
      </c>
      <c r="D802" t="s">
        <v>38</v>
      </c>
      <c r="E802">
        <v>1</v>
      </c>
      <c r="F802">
        <v>3</v>
      </c>
      <c r="G802" t="s">
        <v>44</v>
      </c>
      <c r="H802">
        <v>1111</v>
      </c>
      <c r="I802">
        <v>1</v>
      </c>
      <c r="J802" t="s">
        <v>39</v>
      </c>
      <c r="K802">
        <v>2</v>
      </c>
      <c r="L802">
        <v>1</v>
      </c>
      <c r="M802" t="s">
        <v>43</v>
      </c>
      <c r="N802">
        <v>2</v>
      </c>
      <c r="O802" t="s">
        <v>45</v>
      </c>
      <c r="P802">
        <v>2596</v>
      </c>
      <c r="Q802">
        <v>1</v>
      </c>
      <c r="R802" t="s">
        <v>36</v>
      </c>
      <c r="S802">
        <v>15</v>
      </c>
      <c r="T802">
        <v>3</v>
      </c>
      <c r="U802">
        <v>1</v>
      </c>
      <c r="V802">
        <v>2</v>
      </c>
      <c r="W802">
        <v>1</v>
      </c>
      <c r="X802">
        <v>2</v>
      </c>
      <c r="Y802">
        <v>3</v>
      </c>
      <c r="Z802">
        <v>1</v>
      </c>
      <c r="AA802">
        <v>0</v>
      </c>
      <c r="AB802">
        <v>0</v>
      </c>
      <c r="AC802">
        <v>0</v>
      </c>
      <c r="AD802">
        <f>IF(HR_Data[[#This Row],[Attrition]]="Yes",1,0)</f>
        <v>1</v>
      </c>
      <c r="AE802" t="str">
        <f>IF(HR_Data[[#This Row],[Age]]&lt;=25,"18-25",IF(HR_Data[[#This Row],[Age]]&lt;=35,"26-35",IF(HR_Data[[#This Row],[Age]]&lt;=45,"36-45",IF(HR_Data[[#This Row],[Age]]&lt;=55,"46-55","55+"))))</f>
        <v>26-35</v>
      </c>
      <c r="AF802">
        <f>IF(HR_Data[[#This Row],[Age]]&lt;=25,1,IF(HR_Data[[#This Row],[Age]]&lt;=35,2,IF(HR_Data[[#This Row],[Age]]&lt;=45,3,IF(HR_Data[[#This Row],[Age]]&lt;=55,4,5))))</f>
        <v>2</v>
      </c>
      <c r="AG802" s="1" t="str">
        <f>IF(HR_Data[[#This Row],[MonthlyIncome]]&lt;3000,"&lt;3K",IF(HR_Data[[#This Row],[MonthlyIncome]]&lt;6000,"3K-6K",IF(HR_Data[[#This Row],[MonthlyIncome]]&lt;10000,"6K-10K","10K+")))</f>
        <v>&lt;3K</v>
      </c>
      <c r="AH802" s="1">
        <f>IF(HR_Data[[#This Row],[MonthlyIncome]]&lt;3000,1,IF(HR_Data[[#This Row],[MonthlyIncome]]&lt;6000,2,IF(HR_Data[[#This Row],[MonthlyIncome]]&lt;10000,3,4)))</f>
        <v>1</v>
      </c>
      <c r="AI802" s="1" t="str">
        <f>IF(HR_Data[[#This Row],[YearsAtCompany]]&lt;=2,"0-2 Yrs",IF(HR_Data[[#This Row],[YearsAtCompany]]&lt;=5,"3-5 Yrs",IF(HR_Data[[#This Row],[YearsAtCompany]]&lt;=10,"6-10 Yrs","10+ Yrs")))</f>
        <v>0-2 Yrs</v>
      </c>
      <c r="AJ802" s="1">
        <f>IF(HR_Data[[#This Row],[YearsAtCompany]]&lt;=2,1,IF(HR_Data[[#This Row],[YearsAtCompany]]&lt;=5,2,IF(HR_Data[[#This Row],[YearsAtCompany]]&lt;=10,3,4)))</f>
        <v>1</v>
      </c>
      <c r="AK802" s="1" t="str">
        <f>CHOOSE(HR_Data[[#This Row],[Education]],"Below College","College","Bachelor","Master","Doctor")</f>
        <v>Bachelor</v>
      </c>
      <c r="AL802" s="1" t="str">
        <f>CHOOSE(HR_Data[[#This Row],[JobSatisfaction]],"Low","Medium","High","Very High")</f>
        <v>Medium</v>
      </c>
      <c r="AM802" s="1" t="str">
        <f>CHOOSE(HR_Data[[#This Row],[EnvironmentSatisfaction]],"Low","Medium","High","Very High")</f>
        <v>Low</v>
      </c>
      <c r="AN802" s="1" t="str">
        <f>CHOOSE(HR_Data[[#This Row],[WorkLifeBalance]],"Bad","Good","Better","Best")</f>
        <v>Better</v>
      </c>
      <c r="AO802" s="1" t="str">
        <f>IF(HR_Data[[#This Row],[PercentSalaryHike]]&lt;=13,"11-13%",IF(HR_Data[[#This Row],[PercentSalaryHike]]&lt;=16,"14-16%",IF(HR_Data[[#This Row],[PercentSalaryHike]]&lt;=19,"17-19%","20-25%")))</f>
        <v>14-16%</v>
      </c>
      <c r="AP802" s="1">
        <f>IF(HR_Data[[#This Row],[PercentSalaryHike]]&lt;=13,1,IF(HR_Data[[#This Row],[PercentSalaryHike]]&lt;=16,2,IF(HR_Data[[#This Row],[PercentSalaryHike]]&lt;=19,3,4)))</f>
        <v>2</v>
      </c>
      <c r="AQ802" s="1" t="str">
        <f>IF(HR_Data[[#This Row],[DistanceFromHome]]&lt;=5,"1 to 5",IF(HR_Data[[#This Row],[DistanceFromHome]]&lt;=10,"6 to 10",IF(HR_Data[[#This Row],[DistanceFromHome]]&lt;=20,"11 to 20","21 to 29")))</f>
        <v>1 to 5</v>
      </c>
      <c r="AR802" s="1">
        <f>IF(HR_Data[[#This Row],[DistanceFromHome]]&lt;=5,1,IF(HR_Data[[#This Row],[DistanceFromHome]]&lt;=10,2,IF(HR_Data[[#This Row],[DistanceFromHome]]&lt;=20,3,4)))</f>
        <v>1</v>
      </c>
      <c r="AS802" s="1" t="str">
        <f>IF(HR_Data[[#This Row],[TotalWorkingYears]]&lt;=5,"0-5 Yrs",IF(HR_Data[[#This Row],[TotalWorkingYears]]&lt;=10,"6-10 Yrs",IF(HR_Data[[#This Row],[TotalWorkingYears]]&lt;=20,"11-20 Yrs","20+ Yrs")))</f>
        <v>0-5 Yrs</v>
      </c>
      <c r="AT802" s="1">
        <f>IF(HR_Data[[#This Row],[TotalWorkingYears]]&lt;=5,1,IF(HR_Data[[#This Row],[TotalWorkingYears]]&lt;=10,2,IF(HR_Data[[#This Row],[TotalWorkingYears]]&lt;=20,3,4)))</f>
        <v>1</v>
      </c>
    </row>
    <row r="803" spans="1:46" x14ac:dyDescent="0.25">
      <c r="A803">
        <v>50</v>
      </c>
      <c r="B803" t="s">
        <v>29</v>
      </c>
      <c r="C803" t="s">
        <v>37</v>
      </c>
      <c r="D803" t="s">
        <v>31</v>
      </c>
      <c r="E803">
        <v>1</v>
      </c>
      <c r="F803">
        <v>4</v>
      </c>
      <c r="G803" t="s">
        <v>42</v>
      </c>
      <c r="H803">
        <v>1113</v>
      </c>
      <c r="I803">
        <v>4</v>
      </c>
      <c r="J803" t="s">
        <v>39</v>
      </c>
      <c r="K803">
        <v>3</v>
      </c>
      <c r="L803">
        <v>2</v>
      </c>
      <c r="M803" t="s">
        <v>34</v>
      </c>
      <c r="N803">
        <v>3</v>
      </c>
      <c r="O803" t="s">
        <v>35</v>
      </c>
      <c r="P803">
        <v>4728</v>
      </c>
      <c r="Q803">
        <v>3</v>
      </c>
      <c r="R803" t="s">
        <v>29</v>
      </c>
      <c r="S803">
        <v>14</v>
      </c>
      <c r="T803">
        <v>3</v>
      </c>
      <c r="U803">
        <v>4</v>
      </c>
      <c r="V803">
        <v>0</v>
      </c>
      <c r="W803">
        <v>5</v>
      </c>
      <c r="X803">
        <v>4</v>
      </c>
      <c r="Y803">
        <v>3</v>
      </c>
      <c r="Z803">
        <v>0</v>
      </c>
      <c r="AA803">
        <v>0</v>
      </c>
      <c r="AB803">
        <v>0</v>
      </c>
      <c r="AC803">
        <v>0</v>
      </c>
      <c r="AD803">
        <f>IF(HR_Data[[#This Row],[Attrition]]="Yes",1,0)</f>
        <v>1</v>
      </c>
      <c r="AE803" t="str">
        <f>IF(HR_Data[[#This Row],[Age]]&lt;=25,"18-25",IF(HR_Data[[#This Row],[Age]]&lt;=35,"26-35",IF(HR_Data[[#This Row],[Age]]&lt;=45,"36-45",IF(HR_Data[[#This Row],[Age]]&lt;=55,"46-55","55+"))))</f>
        <v>46-55</v>
      </c>
      <c r="AF803">
        <f>IF(HR_Data[[#This Row],[Age]]&lt;=25,1,IF(HR_Data[[#This Row],[Age]]&lt;=35,2,IF(HR_Data[[#This Row],[Age]]&lt;=45,3,IF(HR_Data[[#This Row],[Age]]&lt;=55,4,5))))</f>
        <v>4</v>
      </c>
      <c r="AG803" s="1" t="str">
        <f>IF(HR_Data[[#This Row],[MonthlyIncome]]&lt;3000,"&lt;3K",IF(HR_Data[[#This Row],[MonthlyIncome]]&lt;6000,"3K-6K",IF(HR_Data[[#This Row],[MonthlyIncome]]&lt;10000,"6K-10K","10K+")))</f>
        <v>3K-6K</v>
      </c>
      <c r="AH803" s="1">
        <f>IF(HR_Data[[#This Row],[MonthlyIncome]]&lt;3000,1,IF(HR_Data[[#This Row],[MonthlyIncome]]&lt;6000,2,IF(HR_Data[[#This Row],[MonthlyIncome]]&lt;10000,3,4)))</f>
        <v>2</v>
      </c>
      <c r="AI803" s="1" t="str">
        <f>IF(HR_Data[[#This Row],[YearsAtCompany]]&lt;=2,"0-2 Yrs",IF(HR_Data[[#This Row],[YearsAtCompany]]&lt;=5,"3-5 Yrs",IF(HR_Data[[#This Row],[YearsAtCompany]]&lt;=10,"6-10 Yrs","10+ Yrs")))</f>
        <v>0-2 Yrs</v>
      </c>
      <c r="AJ803" s="1">
        <f>IF(HR_Data[[#This Row],[YearsAtCompany]]&lt;=2,1,IF(HR_Data[[#This Row],[YearsAtCompany]]&lt;=5,2,IF(HR_Data[[#This Row],[YearsAtCompany]]&lt;=10,3,4)))</f>
        <v>1</v>
      </c>
      <c r="AK803" s="1" t="str">
        <f>CHOOSE(HR_Data[[#This Row],[Education]],"Below College","College","Bachelor","Master","Doctor")</f>
        <v>Master</v>
      </c>
      <c r="AL803" s="1" t="str">
        <f>CHOOSE(HR_Data[[#This Row],[JobSatisfaction]],"Low","Medium","High","Very High")</f>
        <v>High</v>
      </c>
      <c r="AM803" s="1" t="str">
        <f>CHOOSE(HR_Data[[#This Row],[EnvironmentSatisfaction]],"Low","Medium","High","Very High")</f>
        <v>Very High</v>
      </c>
      <c r="AN803" s="1" t="str">
        <f>CHOOSE(HR_Data[[#This Row],[WorkLifeBalance]],"Bad","Good","Better","Best")</f>
        <v>Better</v>
      </c>
      <c r="AO803" s="1" t="str">
        <f>IF(HR_Data[[#This Row],[PercentSalaryHike]]&lt;=13,"11-13%",IF(HR_Data[[#This Row],[PercentSalaryHike]]&lt;=16,"14-16%",IF(HR_Data[[#This Row],[PercentSalaryHike]]&lt;=19,"17-19%","20-25%")))</f>
        <v>14-16%</v>
      </c>
      <c r="AP803" s="1">
        <f>IF(HR_Data[[#This Row],[PercentSalaryHike]]&lt;=13,1,IF(HR_Data[[#This Row],[PercentSalaryHike]]&lt;=16,2,IF(HR_Data[[#This Row],[PercentSalaryHike]]&lt;=19,3,4)))</f>
        <v>2</v>
      </c>
      <c r="AQ803" s="1" t="str">
        <f>IF(HR_Data[[#This Row],[DistanceFromHome]]&lt;=5,"1 to 5",IF(HR_Data[[#This Row],[DistanceFromHome]]&lt;=10,"6 to 10",IF(HR_Data[[#This Row],[DistanceFromHome]]&lt;=20,"11 to 20","21 to 29")))</f>
        <v>1 to 5</v>
      </c>
      <c r="AR803" s="1">
        <f>IF(HR_Data[[#This Row],[DistanceFromHome]]&lt;=5,1,IF(HR_Data[[#This Row],[DistanceFromHome]]&lt;=10,2,IF(HR_Data[[#This Row],[DistanceFromHome]]&lt;=20,3,4)))</f>
        <v>1</v>
      </c>
      <c r="AS803" s="1" t="str">
        <f>IF(HR_Data[[#This Row],[TotalWorkingYears]]&lt;=5,"0-5 Yrs",IF(HR_Data[[#This Row],[TotalWorkingYears]]&lt;=10,"6-10 Yrs",IF(HR_Data[[#This Row],[TotalWorkingYears]]&lt;=20,"11-20 Yrs","20+ Yrs")))</f>
        <v>0-5 Yrs</v>
      </c>
      <c r="AT803" s="1">
        <f>IF(HR_Data[[#This Row],[TotalWorkingYears]]&lt;=5,1,IF(HR_Data[[#This Row],[TotalWorkingYears]]&lt;=10,2,IF(HR_Data[[#This Row],[TotalWorkingYears]]&lt;=20,3,4)))</f>
        <v>1</v>
      </c>
    </row>
    <row r="804" spans="1:46" x14ac:dyDescent="0.25">
      <c r="A804">
        <v>33</v>
      </c>
      <c r="B804" t="s">
        <v>36</v>
      </c>
      <c r="C804" t="s">
        <v>37</v>
      </c>
      <c r="D804" t="s">
        <v>31</v>
      </c>
      <c r="E804">
        <v>7</v>
      </c>
      <c r="F804">
        <v>3</v>
      </c>
      <c r="G804" t="s">
        <v>32</v>
      </c>
      <c r="H804">
        <v>1114</v>
      </c>
      <c r="I804">
        <v>4</v>
      </c>
      <c r="J804" t="s">
        <v>33</v>
      </c>
      <c r="K804">
        <v>3</v>
      </c>
      <c r="L804">
        <v>2</v>
      </c>
      <c r="M804" t="s">
        <v>34</v>
      </c>
      <c r="N804">
        <v>2</v>
      </c>
      <c r="O804" t="s">
        <v>41</v>
      </c>
      <c r="P804">
        <v>4302</v>
      </c>
      <c r="Q804">
        <v>0</v>
      </c>
      <c r="R804" t="s">
        <v>36</v>
      </c>
      <c r="S804">
        <v>17</v>
      </c>
      <c r="T804">
        <v>3</v>
      </c>
      <c r="U804">
        <v>3</v>
      </c>
      <c r="V804">
        <v>1</v>
      </c>
      <c r="W804">
        <v>4</v>
      </c>
      <c r="X804">
        <v>3</v>
      </c>
      <c r="Y804">
        <v>3</v>
      </c>
      <c r="Z804">
        <v>3</v>
      </c>
      <c r="AA804">
        <v>2</v>
      </c>
      <c r="AB804">
        <v>0</v>
      </c>
      <c r="AC804">
        <v>2</v>
      </c>
      <c r="AD804">
        <f>IF(HR_Data[[#This Row],[Attrition]]="Yes",1,0)</f>
        <v>0</v>
      </c>
      <c r="AE804" t="str">
        <f>IF(HR_Data[[#This Row],[Age]]&lt;=25,"18-25",IF(HR_Data[[#This Row],[Age]]&lt;=35,"26-35",IF(HR_Data[[#This Row],[Age]]&lt;=45,"36-45",IF(HR_Data[[#This Row],[Age]]&lt;=55,"46-55","55+"))))</f>
        <v>26-35</v>
      </c>
      <c r="AF804">
        <f>IF(HR_Data[[#This Row],[Age]]&lt;=25,1,IF(HR_Data[[#This Row],[Age]]&lt;=35,2,IF(HR_Data[[#This Row],[Age]]&lt;=45,3,IF(HR_Data[[#This Row],[Age]]&lt;=55,4,5))))</f>
        <v>2</v>
      </c>
      <c r="AG804" s="1" t="str">
        <f>IF(HR_Data[[#This Row],[MonthlyIncome]]&lt;3000,"&lt;3K",IF(HR_Data[[#This Row],[MonthlyIncome]]&lt;6000,"3K-6K",IF(HR_Data[[#This Row],[MonthlyIncome]]&lt;10000,"6K-10K","10K+")))</f>
        <v>3K-6K</v>
      </c>
      <c r="AH804" s="1">
        <f>IF(HR_Data[[#This Row],[MonthlyIncome]]&lt;3000,1,IF(HR_Data[[#This Row],[MonthlyIncome]]&lt;6000,2,IF(HR_Data[[#This Row],[MonthlyIncome]]&lt;10000,3,4)))</f>
        <v>2</v>
      </c>
      <c r="AI804" s="1" t="str">
        <f>IF(HR_Data[[#This Row],[YearsAtCompany]]&lt;=2,"0-2 Yrs",IF(HR_Data[[#This Row],[YearsAtCompany]]&lt;=5,"3-5 Yrs",IF(HR_Data[[#This Row],[YearsAtCompany]]&lt;=10,"6-10 Yrs","10+ Yrs")))</f>
        <v>3-5 Yrs</v>
      </c>
      <c r="AJ804" s="1">
        <f>IF(HR_Data[[#This Row],[YearsAtCompany]]&lt;=2,1,IF(HR_Data[[#This Row],[YearsAtCompany]]&lt;=5,2,IF(HR_Data[[#This Row],[YearsAtCompany]]&lt;=10,3,4)))</f>
        <v>2</v>
      </c>
      <c r="AK804" s="1" t="str">
        <f>CHOOSE(HR_Data[[#This Row],[Education]],"Below College","College","Bachelor","Master","Doctor")</f>
        <v>Bachelor</v>
      </c>
      <c r="AL804" s="1" t="str">
        <f>CHOOSE(HR_Data[[#This Row],[JobSatisfaction]],"Low","Medium","High","Very High")</f>
        <v>Medium</v>
      </c>
      <c r="AM804" s="1" t="str">
        <f>CHOOSE(HR_Data[[#This Row],[EnvironmentSatisfaction]],"Low","Medium","High","Very High")</f>
        <v>Very High</v>
      </c>
      <c r="AN804" s="1" t="str">
        <f>CHOOSE(HR_Data[[#This Row],[WorkLifeBalance]],"Bad","Good","Better","Best")</f>
        <v>Better</v>
      </c>
      <c r="AO804" s="1" t="str">
        <f>IF(HR_Data[[#This Row],[PercentSalaryHike]]&lt;=13,"11-13%",IF(HR_Data[[#This Row],[PercentSalaryHike]]&lt;=16,"14-16%",IF(HR_Data[[#This Row],[PercentSalaryHike]]&lt;=19,"17-19%","20-25%")))</f>
        <v>17-19%</v>
      </c>
      <c r="AP804" s="1">
        <f>IF(HR_Data[[#This Row],[PercentSalaryHike]]&lt;=13,1,IF(HR_Data[[#This Row],[PercentSalaryHike]]&lt;=16,2,IF(HR_Data[[#This Row],[PercentSalaryHike]]&lt;=19,3,4)))</f>
        <v>3</v>
      </c>
      <c r="AQ804" s="1" t="str">
        <f>IF(HR_Data[[#This Row],[DistanceFromHome]]&lt;=5,"1 to 5",IF(HR_Data[[#This Row],[DistanceFromHome]]&lt;=10,"6 to 10",IF(HR_Data[[#This Row],[DistanceFromHome]]&lt;=20,"11 to 20","21 to 29")))</f>
        <v>6 to 10</v>
      </c>
      <c r="AR804" s="1">
        <f>IF(HR_Data[[#This Row],[DistanceFromHome]]&lt;=5,1,IF(HR_Data[[#This Row],[DistanceFromHome]]&lt;=10,2,IF(HR_Data[[#This Row],[DistanceFromHome]]&lt;=20,3,4)))</f>
        <v>2</v>
      </c>
      <c r="AS804" s="1" t="str">
        <f>IF(HR_Data[[#This Row],[TotalWorkingYears]]&lt;=5,"0-5 Yrs",IF(HR_Data[[#This Row],[TotalWorkingYears]]&lt;=10,"6-10 Yrs",IF(HR_Data[[#This Row],[TotalWorkingYears]]&lt;=20,"11-20 Yrs","20+ Yrs")))</f>
        <v>0-5 Yrs</v>
      </c>
      <c r="AT804" s="1">
        <f>IF(HR_Data[[#This Row],[TotalWorkingYears]]&lt;=5,1,IF(HR_Data[[#This Row],[TotalWorkingYears]]&lt;=10,2,IF(HR_Data[[#This Row],[TotalWorkingYears]]&lt;=20,3,4)))</f>
        <v>1</v>
      </c>
    </row>
    <row r="805" spans="1:46" x14ac:dyDescent="0.25">
      <c r="A805">
        <v>34</v>
      </c>
      <c r="B805" t="s">
        <v>36</v>
      </c>
      <c r="C805" t="s">
        <v>48</v>
      </c>
      <c r="D805" t="s">
        <v>38</v>
      </c>
      <c r="E805">
        <v>3</v>
      </c>
      <c r="F805">
        <v>4</v>
      </c>
      <c r="G805" t="s">
        <v>32</v>
      </c>
      <c r="H805">
        <v>1115</v>
      </c>
      <c r="I805">
        <v>3</v>
      </c>
      <c r="J805" t="s">
        <v>39</v>
      </c>
      <c r="K805">
        <v>2</v>
      </c>
      <c r="L805">
        <v>1</v>
      </c>
      <c r="M805" t="s">
        <v>40</v>
      </c>
      <c r="N805">
        <v>4</v>
      </c>
      <c r="O805" t="s">
        <v>41</v>
      </c>
      <c r="P805">
        <v>2979</v>
      </c>
      <c r="Q805">
        <v>3</v>
      </c>
      <c r="R805" t="s">
        <v>36</v>
      </c>
      <c r="S805">
        <v>17</v>
      </c>
      <c r="T805">
        <v>3</v>
      </c>
      <c r="U805">
        <v>4</v>
      </c>
      <c r="V805">
        <v>3</v>
      </c>
      <c r="W805">
        <v>6</v>
      </c>
      <c r="X805">
        <v>2</v>
      </c>
      <c r="Y805">
        <v>3</v>
      </c>
      <c r="Z805">
        <v>0</v>
      </c>
      <c r="AA805">
        <v>0</v>
      </c>
      <c r="AB805">
        <v>0</v>
      </c>
      <c r="AC805">
        <v>0</v>
      </c>
      <c r="AD805">
        <f>IF(HR_Data[[#This Row],[Attrition]]="Yes",1,0)</f>
        <v>0</v>
      </c>
      <c r="AE805" t="str">
        <f>IF(HR_Data[[#This Row],[Age]]&lt;=25,"18-25",IF(HR_Data[[#This Row],[Age]]&lt;=35,"26-35",IF(HR_Data[[#This Row],[Age]]&lt;=45,"36-45",IF(HR_Data[[#This Row],[Age]]&lt;=55,"46-55","55+"))))</f>
        <v>26-35</v>
      </c>
      <c r="AF805">
        <f>IF(HR_Data[[#This Row],[Age]]&lt;=25,1,IF(HR_Data[[#This Row],[Age]]&lt;=35,2,IF(HR_Data[[#This Row],[Age]]&lt;=45,3,IF(HR_Data[[#This Row],[Age]]&lt;=55,4,5))))</f>
        <v>2</v>
      </c>
      <c r="AG805" s="1" t="str">
        <f>IF(HR_Data[[#This Row],[MonthlyIncome]]&lt;3000,"&lt;3K",IF(HR_Data[[#This Row],[MonthlyIncome]]&lt;6000,"3K-6K",IF(HR_Data[[#This Row],[MonthlyIncome]]&lt;10000,"6K-10K","10K+")))</f>
        <v>&lt;3K</v>
      </c>
      <c r="AH805" s="1">
        <f>IF(HR_Data[[#This Row],[MonthlyIncome]]&lt;3000,1,IF(HR_Data[[#This Row],[MonthlyIncome]]&lt;6000,2,IF(HR_Data[[#This Row],[MonthlyIncome]]&lt;10000,3,4)))</f>
        <v>1</v>
      </c>
      <c r="AI805" s="1" t="str">
        <f>IF(HR_Data[[#This Row],[YearsAtCompany]]&lt;=2,"0-2 Yrs",IF(HR_Data[[#This Row],[YearsAtCompany]]&lt;=5,"3-5 Yrs",IF(HR_Data[[#This Row],[YearsAtCompany]]&lt;=10,"6-10 Yrs","10+ Yrs")))</f>
        <v>0-2 Yrs</v>
      </c>
      <c r="AJ805" s="1">
        <f>IF(HR_Data[[#This Row],[YearsAtCompany]]&lt;=2,1,IF(HR_Data[[#This Row],[YearsAtCompany]]&lt;=5,2,IF(HR_Data[[#This Row],[YearsAtCompany]]&lt;=10,3,4)))</f>
        <v>1</v>
      </c>
      <c r="AK805" s="1" t="str">
        <f>CHOOSE(HR_Data[[#This Row],[Education]],"Below College","College","Bachelor","Master","Doctor")</f>
        <v>Master</v>
      </c>
      <c r="AL805" s="1" t="str">
        <f>CHOOSE(HR_Data[[#This Row],[JobSatisfaction]],"Low","Medium","High","Very High")</f>
        <v>Very High</v>
      </c>
      <c r="AM805" s="1" t="str">
        <f>CHOOSE(HR_Data[[#This Row],[EnvironmentSatisfaction]],"Low","Medium","High","Very High")</f>
        <v>High</v>
      </c>
      <c r="AN805" s="1" t="str">
        <f>CHOOSE(HR_Data[[#This Row],[WorkLifeBalance]],"Bad","Good","Better","Best")</f>
        <v>Better</v>
      </c>
      <c r="AO805" s="1" t="str">
        <f>IF(HR_Data[[#This Row],[PercentSalaryHike]]&lt;=13,"11-13%",IF(HR_Data[[#This Row],[PercentSalaryHike]]&lt;=16,"14-16%",IF(HR_Data[[#This Row],[PercentSalaryHike]]&lt;=19,"17-19%","20-25%")))</f>
        <v>17-19%</v>
      </c>
      <c r="AP805" s="1">
        <f>IF(HR_Data[[#This Row],[PercentSalaryHike]]&lt;=13,1,IF(HR_Data[[#This Row],[PercentSalaryHike]]&lt;=16,2,IF(HR_Data[[#This Row],[PercentSalaryHike]]&lt;=19,3,4)))</f>
        <v>3</v>
      </c>
      <c r="AQ805" s="1" t="str">
        <f>IF(HR_Data[[#This Row],[DistanceFromHome]]&lt;=5,"1 to 5",IF(HR_Data[[#This Row],[DistanceFromHome]]&lt;=10,"6 to 10",IF(HR_Data[[#This Row],[DistanceFromHome]]&lt;=20,"11 to 20","21 to 29")))</f>
        <v>1 to 5</v>
      </c>
      <c r="AR805" s="1">
        <f>IF(HR_Data[[#This Row],[DistanceFromHome]]&lt;=5,1,IF(HR_Data[[#This Row],[DistanceFromHome]]&lt;=10,2,IF(HR_Data[[#This Row],[DistanceFromHome]]&lt;=20,3,4)))</f>
        <v>1</v>
      </c>
      <c r="AS805" s="1" t="str">
        <f>IF(HR_Data[[#This Row],[TotalWorkingYears]]&lt;=5,"0-5 Yrs",IF(HR_Data[[#This Row],[TotalWorkingYears]]&lt;=10,"6-10 Yrs",IF(HR_Data[[#This Row],[TotalWorkingYears]]&lt;=20,"11-20 Yrs","20+ Yrs")))</f>
        <v>6-10 Yrs</v>
      </c>
      <c r="AT805" s="1">
        <f>IF(HR_Data[[#This Row],[TotalWorkingYears]]&lt;=5,1,IF(HR_Data[[#This Row],[TotalWorkingYears]]&lt;=10,2,IF(HR_Data[[#This Row],[TotalWorkingYears]]&lt;=20,3,4)))</f>
        <v>2</v>
      </c>
    </row>
    <row r="806" spans="1:46" x14ac:dyDescent="0.25">
      <c r="A806">
        <v>48</v>
      </c>
      <c r="B806" t="s">
        <v>36</v>
      </c>
      <c r="C806" t="s">
        <v>48</v>
      </c>
      <c r="D806" t="s">
        <v>38</v>
      </c>
      <c r="E806">
        <v>1</v>
      </c>
      <c r="F806">
        <v>4</v>
      </c>
      <c r="G806" t="s">
        <v>44</v>
      </c>
      <c r="H806">
        <v>1116</v>
      </c>
      <c r="I806">
        <v>1</v>
      </c>
      <c r="J806" t="s">
        <v>39</v>
      </c>
      <c r="K806">
        <v>4</v>
      </c>
      <c r="L806">
        <v>4</v>
      </c>
      <c r="M806" t="s">
        <v>49</v>
      </c>
      <c r="N806">
        <v>4</v>
      </c>
      <c r="O806" t="s">
        <v>35</v>
      </c>
      <c r="P806">
        <v>16885</v>
      </c>
      <c r="Q806">
        <v>2</v>
      </c>
      <c r="R806" t="s">
        <v>36</v>
      </c>
      <c r="S806">
        <v>22</v>
      </c>
      <c r="T806">
        <v>4</v>
      </c>
      <c r="U806">
        <v>3</v>
      </c>
      <c r="V806">
        <v>0</v>
      </c>
      <c r="W806">
        <v>27</v>
      </c>
      <c r="X806">
        <v>3</v>
      </c>
      <c r="Y806">
        <v>2</v>
      </c>
      <c r="Z806">
        <v>5</v>
      </c>
      <c r="AA806">
        <v>4</v>
      </c>
      <c r="AB806">
        <v>2</v>
      </c>
      <c r="AC806">
        <v>1</v>
      </c>
      <c r="AD806">
        <f>IF(HR_Data[[#This Row],[Attrition]]="Yes",1,0)</f>
        <v>0</v>
      </c>
      <c r="AE806" t="str">
        <f>IF(HR_Data[[#This Row],[Age]]&lt;=25,"18-25",IF(HR_Data[[#This Row],[Age]]&lt;=35,"26-35",IF(HR_Data[[#This Row],[Age]]&lt;=45,"36-45",IF(HR_Data[[#This Row],[Age]]&lt;=55,"46-55","55+"))))</f>
        <v>46-55</v>
      </c>
      <c r="AF806">
        <f>IF(HR_Data[[#This Row],[Age]]&lt;=25,1,IF(HR_Data[[#This Row],[Age]]&lt;=35,2,IF(HR_Data[[#This Row],[Age]]&lt;=45,3,IF(HR_Data[[#This Row],[Age]]&lt;=55,4,5))))</f>
        <v>4</v>
      </c>
      <c r="AG806" s="1" t="str">
        <f>IF(HR_Data[[#This Row],[MonthlyIncome]]&lt;3000,"&lt;3K",IF(HR_Data[[#This Row],[MonthlyIncome]]&lt;6000,"3K-6K",IF(HR_Data[[#This Row],[MonthlyIncome]]&lt;10000,"6K-10K","10K+")))</f>
        <v>10K+</v>
      </c>
      <c r="AH806" s="1">
        <f>IF(HR_Data[[#This Row],[MonthlyIncome]]&lt;3000,1,IF(HR_Data[[#This Row],[MonthlyIncome]]&lt;6000,2,IF(HR_Data[[#This Row],[MonthlyIncome]]&lt;10000,3,4)))</f>
        <v>4</v>
      </c>
      <c r="AI806" s="1" t="str">
        <f>IF(HR_Data[[#This Row],[YearsAtCompany]]&lt;=2,"0-2 Yrs",IF(HR_Data[[#This Row],[YearsAtCompany]]&lt;=5,"3-5 Yrs",IF(HR_Data[[#This Row],[YearsAtCompany]]&lt;=10,"6-10 Yrs","10+ Yrs")))</f>
        <v>3-5 Yrs</v>
      </c>
      <c r="AJ806" s="1">
        <f>IF(HR_Data[[#This Row],[YearsAtCompany]]&lt;=2,1,IF(HR_Data[[#This Row],[YearsAtCompany]]&lt;=5,2,IF(HR_Data[[#This Row],[YearsAtCompany]]&lt;=10,3,4)))</f>
        <v>2</v>
      </c>
      <c r="AK806" s="1" t="str">
        <f>CHOOSE(HR_Data[[#This Row],[Education]],"Below College","College","Bachelor","Master","Doctor")</f>
        <v>Master</v>
      </c>
      <c r="AL806" s="1" t="str">
        <f>CHOOSE(HR_Data[[#This Row],[JobSatisfaction]],"Low","Medium","High","Very High")</f>
        <v>Very High</v>
      </c>
      <c r="AM806" s="1" t="str">
        <f>CHOOSE(HR_Data[[#This Row],[EnvironmentSatisfaction]],"Low","Medium","High","Very High")</f>
        <v>Low</v>
      </c>
      <c r="AN806" s="1" t="str">
        <f>CHOOSE(HR_Data[[#This Row],[WorkLifeBalance]],"Bad","Good","Better","Best")</f>
        <v>Good</v>
      </c>
      <c r="AO806" s="1" t="str">
        <f>IF(HR_Data[[#This Row],[PercentSalaryHike]]&lt;=13,"11-13%",IF(HR_Data[[#This Row],[PercentSalaryHike]]&lt;=16,"14-16%",IF(HR_Data[[#This Row],[PercentSalaryHike]]&lt;=19,"17-19%","20-25%")))</f>
        <v>20-25%</v>
      </c>
      <c r="AP806" s="1">
        <f>IF(HR_Data[[#This Row],[PercentSalaryHike]]&lt;=13,1,IF(HR_Data[[#This Row],[PercentSalaryHike]]&lt;=16,2,IF(HR_Data[[#This Row],[PercentSalaryHike]]&lt;=19,3,4)))</f>
        <v>4</v>
      </c>
      <c r="AQ806" s="1" t="str">
        <f>IF(HR_Data[[#This Row],[DistanceFromHome]]&lt;=5,"1 to 5",IF(HR_Data[[#This Row],[DistanceFromHome]]&lt;=10,"6 to 10",IF(HR_Data[[#This Row],[DistanceFromHome]]&lt;=20,"11 to 20","21 to 29")))</f>
        <v>1 to 5</v>
      </c>
      <c r="AR806" s="1">
        <f>IF(HR_Data[[#This Row],[DistanceFromHome]]&lt;=5,1,IF(HR_Data[[#This Row],[DistanceFromHome]]&lt;=10,2,IF(HR_Data[[#This Row],[DistanceFromHome]]&lt;=20,3,4)))</f>
        <v>1</v>
      </c>
      <c r="AS806" s="1" t="str">
        <f>IF(HR_Data[[#This Row],[TotalWorkingYears]]&lt;=5,"0-5 Yrs",IF(HR_Data[[#This Row],[TotalWorkingYears]]&lt;=10,"6-10 Yrs",IF(HR_Data[[#This Row],[TotalWorkingYears]]&lt;=20,"11-20 Yrs","20+ Yrs")))</f>
        <v>20+ Yrs</v>
      </c>
      <c r="AT806" s="1">
        <f>IF(HR_Data[[#This Row],[TotalWorkingYears]]&lt;=5,1,IF(HR_Data[[#This Row],[TotalWorkingYears]]&lt;=10,2,IF(HR_Data[[#This Row],[TotalWorkingYears]]&lt;=20,3,4)))</f>
        <v>4</v>
      </c>
    </row>
    <row r="807" spans="1:46" x14ac:dyDescent="0.25">
      <c r="A807">
        <v>45</v>
      </c>
      <c r="B807" t="s">
        <v>36</v>
      </c>
      <c r="C807" t="s">
        <v>48</v>
      </c>
      <c r="D807" t="s">
        <v>31</v>
      </c>
      <c r="E807">
        <v>9</v>
      </c>
      <c r="F807">
        <v>4</v>
      </c>
      <c r="G807" t="s">
        <v>32</v>
      </c>
      <c r="H807">
        <v>1117</v>
      </c>
      <c r="I807">
        <v>2</v>
      </c>
      <c r="J807" t="s">
        <v>33</v>
      </c>
      <c r="K807">
        <v>2</v>
      </c>
      <c r="L807">
        <v>2</v>
      </c>
      <c r="M807" t="s">
        <v>34</v>
      </c>
      <c r="N807">
        <v>3</v>
      </c>
      <c r="O807" t="s">
        <v>41</v>
      </c>
      <c r="P807">
        <v>5593</v>
      </c>
      <c r="Q807">
        <v>1</v>
      </c>
      <c r="R807" t="s">
        <v>36</v>
      </c>
      <c r="S807">
        <v>13</v>
      </c>
      <c r="T807">
        <v>3</v>
      </c>
      <c r="U807">
        <v>4</v>
      </c>
      <c r="V807">
        <v>1</v>
      </c>
      <c r="W807">
        <v>15</v>
      </c>
      <c r="X807">
        <v>2</v>
      </c>
      <c r="Y807">
        <v>3</v>
      </c>
      <c r="Z807">
        <v>15</v>
      </c>
      <c r="AA807">
        <v>10</v>
      </c>
      <c r="AB807">
        <v>4</v>
      </c>
      <c r="AC807">
        <v>12</v>
      </c>
      <c r="AD807">
        <f>IF(HR_Data[[#This Row],[Attrition]]="Yes",1,0)</f>
        <v>0</v>
      </c>
      <c r="AE807" t="str">
        <f>IF(HR_Data[[#This Row],[Age]]&lt;=25,"18-25",IF(HR_Data[[#This Row],[Age]]&lt;=35,"26-35",IF(HR_Data[[#This Row],[Age]]&lt;=45,"36-45",IF(HR_Data[[#This Row],[Age]]&lt;=55,"46-55","55+"))))</f>
        <v>36-45</v>
      </c>
      <c r="AF807">
        <f>IF(HR_Data[[#This Row],[Age]]&lt;=25,1,IF(HR_Data[[#This Row],[Age]]&lt;=35,2,IF(HR_Data[[#This Row],[Age]]&lt;=45,3,IF(HR_Data[[#This Row],[Age]]&lt;=55,4,5))))</f>
        <v>3</v>
      </c>
      <c r="AG807" s="1" t="str">
        <f>IF(HR_Data[[#This Row],[MonthlyIncome]]&lt;3000,"&lt;3K",IF(HR_Data[[#This Row],[MonthlyIncome]]&lt;6000,"3K-6K",IF(HR_Data[[#This Row],[MonthlyIncome]]&lt;10000,"6K-10K","10K+")))</f>
        <v>3K-6K</v>
      </c>
      <c r="AH807" s="1">
        <f>IF(HR_Data[[#This Row],[MonthlyIncome]]&lt;3000,1,IF(HR_Data[[#This Row],[MonthlyIncome]]&lt;6000,2,IF(HR_Data[[#This Row],[MonthlyIncome]]&lt;10000,3,4)))</f>
        <v>2</v>
      </c>
      <c r="AI807" s="1" t="str">
        <f>IF(HR_Data[[#This Row],[YearsAtCompany]]&lt;=2,"0-2 Yrs",IF(HR_Data[[#This Row],[YearsAtCompany]]&lt;=5,"3-5 Yrs",IF(HR_Data[[#This Row],[YearsAtCompany]]&lt;=10,"6-10 Yrs","10+ Yrs")))</f>
        <v>10+ Yrs</v>
      </c>
      <c r="AJ807" s="1">
        <f>IF(HR_Data[[#This Row],[YearsAtCompany]]&lt;=2,1,IF(HR_Data[[#This Row],[YearsAtCompany]]&lt;=5,2,IF(HR_Data[[#This Row],[YearsAtCompany]]&lt;=10,3,4)))</f>
        <v>4</v>
      </c>
      <c r="AK807" s="1" t="str">
        <f>CHOOSE(HR_Data[[#This Row],[Education]],"Below College","College","Bachelor","Master","Doctor")</f>
        <v>Master</v>
      </c>
      <c r="AL807" s="1" t="str">
        <f>CHOOSE(HR_Data[[#This Row],[JobSatisfaction]],"Low","Medium","High","Very High")</f>
        <v>High</v>
      </c>
      <c r="AM807" s="1" t="str">
        <f>CHOOSE(HR_Data[[#This Row],[EnvironmentSatisfaction]],"Low","Medium","High","Very High")</f>
        <v>Medium</v>
      </c>
      <c r="AN807" s="1" t="str">
        <f>CHOOSE(HR_Data[[#This Row],[WorkLifeBalance]],"Bad","Good","Better","Best")</f>
        <v>Better</v>
      </c>
      <c r="AO807" s="1" t="str">
        <f>IF(HR_Data[[#This Row],[PercentSalaryHike]]&lt;=13,"11-13%",IF(HR_Data[[#This Row],[PercentSalaryHike]]&lt;=16,"14-16%",IF(HR_Data[[#This Row],[PercentSalaryHike]]&lt;=19,"17-19%","20-25%")))</f>
        <v>11-13%</v>
      </c>
      <c r="AP807" s="1">
        <f>IF(HR_Data[[#This Row],[PercentSalaryHike]]&lt;=13,1,IF(HR_Data[[#This Row],[PercentSalaryHike]]&lt;=16,2,IF(HR_Data[[#This Row],[PercentSalaryHike]]&lt;=19,3,4)))</f>
        <v>1</v>
      </c>
      <c r="AQ807" s="1" t="str">
        <f>IF(HR_Data[[#This Row],[DistanceFromHome]]&lt;=5,"1 to 5",IF(HR_Data[[#This Row],[DistanceFromHome]]&lt;=10,"6 to 10",IF(HR_Data[[#This Row],[DistanceFromHome]]&lt;=20,"11 to 20","21 to 29")))</f>
        <v>6 to 10</v>
      </c>
      <c r="AR807" s="1">
        <f>IF(HR_Data[[#This Row],[DistanceFromHome]]&lt;=5,1,IF(HR_Data[[#This Row],[DistanceFromHome]]&lt;=10,2,IF(HR_Data[[#This Row],[DistanceFromHome]]&lt;=20,3,4)))</f>
        <v>2</v>
      </c>
      <c r="AS807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807" s="1">
        <f>IF(HR_Data[[#This Row],[TotalWorkingYears]]&lt;=5,1,IF(HR_Data[[#This Row],[TotalWorkingYears]]&lt;=10,2,IF(HR_Data[[#This Row],[TotalWorkingYears]]&lt;=20,3,4)))</f>
        <v>3</v>
      </c>
    </row>
    <row r="808" spans="1:46" x14ac:dyDescent="0.25">
      <c r="A808">
        <v>52</v>
      </c>
      <c r="B808" t="s">
        <v>36</v>
      </c>
      <c r="C808" t="s">
        <v>30</v>
      </c>
      <c r="D808" t="s">
        <v>38</v>
      </c>
      <c r="E808">
        <v>7</v>
      </c>
      <c r="F808">
        <v>4</v>
      </c>
      <c r="G808" t="s">
        <v>32</v>
      </c>
      <c r="H808">
        <v>1118</v>
      </c>
      <c r="I808">
        <v>2</v>
      </c>
      <c r="J808" t="s">
        <v>39</v>
      </c>
      <c r="K808">
        <v>3</v>
      </c>
      <c r="L808">
        <v>3</v>
      </c>
      <c r="M808" t="s">
        <v>47</v>
      </c>
      <c r="N808">
        <v>2</v>
      </c>
      <c r="O808" t="s">
        <v>35</v>
      </c>
      <c r="P808">
        <v>10445</v>
      </c>
      <c r="Q808">
        <v>7</v>
      </c>
      <c r="R808" t="s">
        <v>36</v>
      </c>
      <c r="S808">
        <v>19</v>
      </c>
      <c r="T808">
        <v>3</v>
      </c>
      <c r="U808">
        <v>4</v>
      </c>
      <c r="V808">
        <v>0</v>
      </c>
      <c r="W808">
        <v>18</v>
      </c>
      <c r="X808">
        <v>4</v>
      </c>
      <c r="Y808">
        <v>3</v>
      </c>
      <c r="Z808">
        <v>8</v>
      </c>
      <c r="AA808">
        <v>6</v>
      </c>
      <c r="AB808">
        <v>4</v>
      </c>
      <c r="AC808">
        <v>0</v>
      </c>
      <c r="AD808">
        <f>IF(HR_Data[[#This Row],[Attrition]]="Yes",1,0)</f>
        <v>0</v>
      </c>
      <c r="AE808" t="str">
        <f>IF(HR_Data[[#This Row],[Age]]&lt;=25,"18-25",IF(HR_Data[[#This Row],[Age]]&lt;=35,"26-35",IF(HR_Data[[#This Row],[Age]]&lt;=45,"36-45",IF(HR_Data[[#This Row],[Age]]&lt;=55,"46-55","55+"))))</f>
        <v>46-55</v>
      </c>
      <c r="AF808">
        <f>IF(HR_Data[[#This Row],[Age]]&lt;=25,1,IF(HR_Data[[#This Row],[Age]]&lt;=35,2,IF(HR_Data[[#This Row],[Age]]&lt;=45,3,IF(HR_Data[[#This Row],[Age]]&lt;=55,4,5))))</f>
        <v>4</v>
      </c>
      <c r="AG808" s="1" t="str">
        <f>IF(HR_Data[[#This Row],[MonthlyIncome]]&lt;3000,"&lt;3K",IF(HR_Data[[#This Row],[MonthlyIncome]]&lt;6000,"3K-6K",IF(HR_Data[[#This Row],[MonthlyIncome]]&lt;10000,"6K-10K","10K+")))</f>
        <v>10K+</v>
      </c>
      <c r="AH808" s="1">
        <f>IF(HR_Data[[#This Row],[MonthlyIncome]]&lt;3000,1,IF(HR_Data[[#This Row],[MonthlyIncome]]&lt;6000,2,IF(HR_Data[[#This Row],[MonthlyIncome]]&lt;10000,3,4)))</f>
        <v>4</v>
      </c>
      <c r="AI808" s="1" t="str">
        <f>IF(HR_Data[[#This Row],[YearsAtCompany]]&lt;=2,"0-2 Yrs",IF(HR_Data[[#This Row],[YearsAtCompany]]&lt;=5,"3-5 Yrs",IF(HR_Data[[#This Row],[YearsAtCompany]]&lt;=10,"6-10 Yrs","10+ Yrs")))</f>
        <v>6-10 Yrs</v>
      </c>
      <c r="AJ808" s="1">
        <f>IF(HR_Data[[#This Row],[YearsAtCompany]]&lt;=2,1,IF(HR_Data[[#This Row],[YearsAtCompany]]&lt;=5,2,IF(HR_Data[[#This Row],[YearsAtCompany]]&lt;=10,3,4)))</f>
        <v>3</v>
      </c>
      <c r="AK808" s="1" t="str">
        <f>CHOOSE(HR_Data[[#This Row],[Education]],"Below College","College","Bachelor","Master","Doctor")</f>
        <v>Master</v>
      </c>
      <c r="AL808" s="1" t="str">
        <f>CHOOSE(HR_Data[[#This Row],[JobSatisfaction]],"Low","Medium","High","Very High")</f>
        <v>Medium</v>
      </c>
      <c r="AM808" s="1" t="str">
        <f>CHOOSE(HR_Data[[#This Row],[EnvironmentSatisfaction]],"Low","Medium","High","Very High")</f>
        <v>Medium</v>
      </c>
      <c r="AN808" s="1" t="str">
        <f>CHOOSE(HR_Data[[#This Row],[WorkLifeBalance]],"Bad","Good","Better","Best")</f>
        <v>Better</v>
      </c>
      <c r="AO808" s="1" t="str">
        <f>IF(HR_Data[[#This Row],[PercentSalaryHike]]&lt;=13,"11-13%",IF(HR_Data[[#This Row],[PercentSalaryHike]]&lt;=16,"14-16%",IF(HR_Data[[#This Row],[PercentSalaryHike]]&lt;=19,"17-19%","20-25%")))</f>
        <v>17-19%</v>
      </c>
      <c r="AP808" s="1">
        <f>IF(HR_Data[[#This Row],[PercentSalaryHike]]&lt;=13,1,IF(HR_Data[[#This Row],[PercentSalaryHike]]&lt;=16,2,IF(HR_Data[[#This Row],[PercentSalaryHike]]&lt;=19,3,4)))</f>
        <v>3</v>
      </c>
      <c r="AQ808" s="1" t="str">
        <f>IF(HR_Data[[#This Row],[DistanceFromHome]]&lt;=5,"1 to 5",IF(HR_Data[[#This Row],[DistanceFromHome]]&lt;=10,"6 to 10",IF(HR_Data[[#This Row],[DistanceFromHome]]&lt;=20,"11 to 20","21 to 29")))</f>
        <v>6 to 10</v>
      </c>
      <c r="AR808" s="1">
        <f>IF(HR_Data[[#This Row],[DistanceFromHome]]&lt;=5,1,IF(HR_Data[[#This Row],[DistanceFromHome]]&lt;=10,2,IF(HR_Data[[#This Row],[DistanceFromHome]]&lt;=20,3,4)))</f>
        <v>2</v>
      </c>
      <c r="AS808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808" s="1">
        <f>IF(HR_Data[[#This Row],[TotalWorkingYears]]&lt;=5,1,IF(HR_Data[[#This Row],[TotalWorkingYears]]&lt;=10,2,IF(HR_Data[[#This Row],[TotalWorkingYears]]&lt;=20,3,4)))</f>
        <v>3</v>
      </c>
    </row>
    <row r="809" spans="1:46" x14ac:dyDescent="0.25">
      <c r="A809">
        <v>38</v>
      </c>
      <c r="B809" t="s">
        <v>36</v>
      </c>
      <c r="C809" t="s">
        <v>30</v>
      </c>
      <c r="D809" t="s">
        <v>31</v>
      </c>
      <c r="E809">
        <v>10</v>
      </c>
      <c r="F809">
        <v>4</v>
      </c>
      <c r="G809" t="s">
        <v>52</v>
      </c>
      <c r="H809">
        <v>1119</v>
      </c>
      <c r="I809">
        <v>3</v>
      </c>
      <c r="J809" t="s">
        <v>39</v>
      </c>
      <c r="K809">
        <v>2</v>
      </c>
      <c r="L809">
        <v>3</v>
      </c>
      <c r="M809" t="s">
        <v>34</v>
      </c>
      <c r="N809">
        <v>3</v>
      </c>
      <c r="O809" t="s">
        <v>45</v>
      </c>
      <c r="P809">
        <v>8740</v>
      </c>
      <c r="Q809">
        <v>0</v>
      </c>
      <c r="R809" t="s">
        <v>29</v>
      </c>
      <c r="S809">
        <v>14</v>
      </c>
      <c r="T809">
        <v>3</v>
      </c>
      <c r="U809">
        <v>2</v>
      </c>
      <c r="V809">
        <v>2</v>
      </c>
      <c r="W809">
        <v>9</v>
      </c>
      <c r="X809">
        <v>2</v>
      </c>
      <c r="Y809">
        <v>3</v>
      </c>
      <c r="Z809">
        <v>8</v>
      </c>
      <c r="AA809">
        <v>7</v>
      </c>
      <c r="AB809">
        <v>2</v>
      </c>
      <c r="AC809">
        <v>7</v>
      </c>
      <c r="AD809">
        <f>IF(HR_Data[[#This Row],[Attrition]]="Yes",1,0)</f>
        <v>0</v>
      </c>
      <c r="AE809" t="str">
        <f>IF(HR_Data[[#This Row],[Age]]&lt;=25,"18-25",IF(HR_Data[[#This Row],[Age]]&lt;=35,"26-35",IF(HR_Data[[#This Row],[Age]]&lt;=45,"36-45",IF(HR_Data[[#This Row],[Age]]&lt;=55,"46-55","55+"))))</f>
        <v>36-45</v>
      </c>
      <c r="AF809">
        <f>IF(HR_Data[[#This Row],[Age]]&lt;=25,1,IF(HR_Data[[#This Row],[Age]]&lt;=35,2,IF(HR_Data[[#This Row],[Age]]&lt;=45,3,IF(HR_Data[[#This Row],[Age]]&lt;=55,4,5))))</f>
        <v>3</v>
      </c>
      <c r="AG809" s="1" t="str">
        <f>IF(HR_Data[[#This Row],[MonthlyIncome]]&lt;3000,"&lt;3K",IF(HR_Data[[#This Row],[MonthlyIncome]]&lt;6000,"3K-6K",IF(HR_Data[[#This Row],[MonthlyIncome]]&lt;10000,"6K-10K","10K+")))</f>
        <v>6K-10K</v>
      </c>
      <c r="AH809" s="1">
        <f>IF(HR_Data[[#This Row],[MonthlyIncome]]&lt;3000,1,IF(HR_Data[[#This Row],[MonthlyIncome]]&lt;6000,2,IF(HR_Data[[#This Row],[MonthlyIncome]]&lt;10000,3,4)))</f>
        <v>3</v>
      </c>
      <c r="AI809" s="1" t="str">
        <f>IF(HR_Data[[#This Row],[YearsAtCompany]]&lt;=2,"0-2 Yrs",IF(HR_Data[[#This Row],[YearsAtCompany]]&lt;=5,"3-5 Yrs",IF(HR_Data[[#This Row],[YearsAtCompany]]&lt;=10,"6-10 Yrs","10+ Yrs")))</f>
        <v>6-10 Yrs</v>
      </c>
      <c r="AJ809" s="1">
        <f>IF(HR_Data[[#This Row],[YearsAtCompany]]&lt;=2,1,IF(HR_Data[[#This Row],[YearsAtCompany]]&lt;=5,2,IF(HR_Data[[#This Row],[YearsAtCompany]]&lt;=10,3,4)))</f>
        <v>3</v>
      </c>
      <c r="AK809" s="1" t="str">
        <f>CHOOSE(HR_Data[[#This Row],[Education]],"Below College","College","Bachelor","Master","Doctor")</f>
        <v>Master</v>
      </c>
      <c r="AL809" s="1" t="str">
        <f>CHOOSE(HR_Data[[#This Row],[JobSatisfaction]],"Low","Medium","High","Very High")</f>
        <v>High</v>
      </c>
      <c r="AM809" s="1" t="str">
        <f>CHOOSE(HR_Data[[#This Row],[EnvironmentSatisfaction]],"Low","Medium","High","Very High")</f>
        <v>High</v>
      </c>
      <c r="AN809" s="1" t="str">
        <f>CHOOSE(HR_Data[[#This Row],[WorkLifeBalance]],"Bad","Good","Better","Best")</f>
        <v>Better</v>
      </c>
      <c r="AO809" s="1" t="str">
        <f>IF(HR_Data[[#This Row],[PercentSalaryHike]]&lt;=13,"11-13%",IF(HR_Data[[#This Row],[PercentSalaryHike]]&lt;=16,"14-16%",IF(HR_Data[[#This Row],[PercentSalaryHike]]&lt;=19,"17-19%","20-25%")))</f>
        <v>14-16%</v>
      </c>
      <c r="AP809" s="1">
        <f>IF(HR_Data[[#This Row],[PercentSalaryHike]]&lt;=13,1,IF(HR_Data[[#This Row],[PercentSalaryHike]]&lt;=16,2,IF(HR_Data[[#This Row],[PercentSalaryHike]]&lt;=19,3,4)))</f>
        <v>2</v>
      </c>
      <c r="AQ809" s="1" t="str">
        <f>IF(HR_Data[[#This Row],[DistanceFromHome]]&lt;=5,"1 to 5",IF(HR_Data[[#This Row],[DistanceFromHome]]&lt;=10,"6 to 10",IF(HR_Data[[#This Row],[DistanceFromHome]]&lt;=20,"11 to 20","21 to 29")))</f>
        <v>6 to 10</v>
      </c>
      <c r="AR809" s="1">
        <f>IF(HR_Data[[#This Row],[DistanceFromHome]]&lt;=5,1,IF(HR_Data[[#This Row],[DistanceFromHome]]&lt;=10,2,IF(HR_Data[[#This Row],[DistanceFromHome]]&lt;=20,3,4)))</f>
        <v>2</v>
      </c>
      <c r="AS809" s="1" t="str">
        <f>IF(HR_Data[[#This Row],[TotalWorkingYears]]&lt;=5,"0-5 Yrs",IF(HR_Data[[#This Row],[TotalWorkingYears]]&lt;=10,"6-10 Yrs",IF(HR_Data[[#This Row],[TotalWorkingYears]]&lt;=20,"11-20 Yrs","20+ Yrs")))</f>
        <v>6-10 Yrs</v>
      </c>
      <c r="AT809" s="1">
        <f>IF(HR_Data[[#This Row],[TotalWorkingYears]]&lt;=5,1,IF(HR_Data[[#This Row],[TotalWorkingYears]]&lt;=10,2,IF(HR_Data[[#This Row],[TotalWorkingYears]]&lt;=20,3,4)))</f>
        <v>2</v>
      </c>
    </row>
    <row r="810" spans="1:46" x14ac:dyDescent="0.25">
      <c r="A810">
        <v>29</v>
      </c>
      <c r="B810" t="s">
        <v>36</v>
      </c>
      <c r="C810" t="s">
        <v>30</v>
      </c>
      <c r="D810" t="s">
        <v>38</v>
      </c>
      <c r="E810">
        <v>28</v>
      </c>
      <c r="F810">
        <v>4</v>
      </c>
      <c r="G810" t="s">
        <v>32</v>
      </c>
      <c r="H810">
        <v>1120</v>
      </c>
      <c r="I810">
        <v>3</v>
      </c>
      <c r="J810" t="s">
        <v>33</v>
      </c>
      <c r="K810">
        <v>3</v>
      </c>
      <c r="L810">
        <v>1</v>
      </c>
      <c r="M810" t="s">
        <v>40</v>
      </c>
      <c r="N810">
        <v>4</v>
      </c>
      <c r="O810" t="s">
        <v>45</v>
      </c>
      <c r="P810">
        <v>2514</v>
      </c>
      <c r="Q810">
        <v>4</v>
      </c>
      <c r="R810" t="s">
        <v>36</v>
      </c>
      <c r="S810">
        <v>22</v>
      </c>
      <c r="T810">
        <v>4</v>
      </c>
      <c r="U810">
        <v>1</v>
      </c>
      <c r="V810">
        <v>1</v>
      </c>
      <c r="W810">
        <v>11</v>
      </c>
      <c r="X810">
        <v>1</v>
      </c>
      <c r="Y810">
        <v>3</v>
      </c>
      <c r="Z810">
        <v>7</v>
      </c>
      <c r="AA810">
        <v>5</v>
      </c>
      <c r="AB810">
        <v>1</v>
      </c>
      <c r="AC810">
        <v>7</v>
      </c>
      <c r="AD810">
        <f>IF(HR_Data[[#This Row],[Attrition]]="Yes",1,0)</f>
        <v>0</v>
      </c>
      <c r="AE810" t="str">
        <f>IF(HR_Data[[#This Row],[Age]]&lt;=25,"18-25",IF(HR_Data[[#This Row],[Age]]&lt;=35,"26-35",IF(HR_Data[[#This Row],[Age]]&lt;=45,"36-45",IF(HR_Data[[#This Row],[Age]]&lt;=55,"46-55","55+"))))</f>
        <v>26-35</v>
      </c>
      <c r="AF810">
        <f>IF(HR_Data[[#This Row],[Age]]&lt;=25,1,IF(HR_Data[[#This Row],[Age]]&lt;=35,2,IF(HR_Data[[#This Row],[Age]]&lt;=45,3,IF(HR_Data[[#This Row],[Age]]&lt;=55,4,5))))</f>
        <v>2</v>
      </c>
      <c r="AG810" s="1" t="str">
        <f>IF(HR_Data[[#This Row],[MonthlyIncome]]&lt;3000,"&lt;3K",IF(HR_Data[[#This Row],[MonthlyIncome]]&lt;6000,"3K-6K",IF(HR_Data[[#This Row],[MonthlyIncome]]&lt;10000,"6K-10K","10K+")))</f>
        <v>&lt;3K</v>
      </c>
      <c r="AH810" s="1">
        <f>IF(HR_Data[[#This Row],[MonthlyIncome]]&lt;3000,1,IF(HR_Data[[#This Row],[MonthlyIncome]]&lt;6000,2,IF(HR_Data[[#This Row],[MonthlyIncome]]&lt;10000,3,4)))</f>
        <v>1</v>
      </c>
      <c r="AI810" s="1" t="str">
        <f>IF(HR_Data[[#This Row],[YearsAtCompany]]&lt;=2,"0-2 Yrs",IF(HR_Data[[#This Row],[YearsAtCompany]]&lt;=5,"3-5 Yrs",IF(HR_Data[[#This Row],[YearsAtCompany]]&lt;=10,"6-10 Yrs","10+ Yrs")))</f>
        <v>6-10 Yrs</v>
      </c>
      <c r="AJ810" s="1">
        <f>IF(HR_Data[[#This Row],[YearsAtCompany]]&lt;=2,1,IF(HR_Data[[#This Row],[YearsAtCompany]]&lt;=5,2,IF(HR_Data[[#This Row],[YearsAtCompany]]&lt;=10,3,4)))</f>
        <v>3</v>
      </c>
      <c r="AK810" s="1" t="str">
        <f>CHOOSE(HR_Data[[#This Row],[Education]],"Below College","College","Bachelor","Master","Doctor")</f>
        <v>Master</v>
      </c>
      <c r="AL810" s="1" t="str">
        <f>CHOOSE(HR_Data[[#This Row],[JobSatisfaction]],"Low","Medium","High","Very High")</f>
        <v>Very High</v>
      </c>
      <c r="AM810" s="1" t="str">
        <f>CHOOSE(HR_Data[[#This Row],[EnvironmentSatisfaction]],"Low","Medium","High","Very High")</f>
        <v>High</v>
      </c>
      <c r="AN810" s="1" t="str">
        <f>CHOOSE(HR_Data[[#This Row],[WorkLifeBalance]],"Bad","Good","Better","Best")</f>
        <v>Better</v>
      </c>
      <c r="AO810" s="1" t="str">
        <f>IF(HR_Data[[#This Row],[PercentSalaryHike]]&lt;=13,"11-13%",IF(HR_Data[[#This Row],[PercentSalaryHike]]&lt;=16,"14-16%",IF(HR_Data[[#This Row],[PercentSalaryHike]]&lt;=19,"17-19%","20-25%")))</f>
        <v>20-25%</v>
      </c>
      <c r="AP810" s="1">
        <f>IF(HR_Data[[#This Row],[PercentSalaryHike]]&lt;=13,1,IF(HR_Data[[#This Row],[PercentSalaryHike]]&lt;=16,2,IF(HR_Data[[#This Row],[PercentSalaryHike]]&lt;=19,3,4)))</f>
        <v>4</v>
      </c>
      <c r="AQ810" s="1" t="str">
        <f>IF(HR_Data[[#This Row],[DistanceFromHome]]&lt;=5,"1 to 5",IF(HR_Data[[#This Row],[DistanceFromHome]]&lt;=10,"6 to 10",IF(HR_Data[[#This Row],[DistanceFromHome]]&lt;=20,"11 to 20","21 to 29")))</f>
        <v>21 to 29</v>
      </c>
      <c r="AR810" s="1">
        <f>IF(HR_Data[[#This Row],[DistanceFromHome]]&lt;=5,1,IF(HR_Data[[#This Row],[DistanceFromHome]]&lt;=10,2,IF(HR_Data[[#This Row],[DistanceFromHome]]&lt;=20,3,4)))</f>
        <v>4</v>
      </c>
      <c r="AS810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810" s="1">
        <f>IF(HR_Data[[#This Row],[TotalWorkingYears]]&lt;=5,1,IF(HR_Data[[#This Row],[TotalWorkingYears]]&lt;=10,2,IF(HR_Data[[#This Row],[TotalWorkingYears]]&lt;=20,3,4)))</f>
        <v>3</v>
      </c>
    </row>
    <row r="811" spans="1:46" x14ac:dyDescent="0.25">
      <c r="A811">
        <v>28</v>
      </c>
      <c r="B811" t="s">
        <v>36</v>
      </c>
      <c r="C811" t="s">
        <v>30</v>
      </c>
      <c r="D811" t="s">
        <v>38</v>
      </c>
      <c r="E811">
        <v>3</v>
      </c>
      <c r="F811">
        <v>3</v>
      </c>
      <c r="G811" t="s">
        <v>44</v>
      </c>
      <c r="H811">
        <v>1121</v>
      </c>
      <c r="I811">
        <v>4</v>
      </c>
      <c r="J811" t="s">
        <v>33</v>
      </c>
      <c r="K811">
        <v>3</v>
      </c>
      <c r="L811">
        <v>3</v>
      </c>
      <c r="M811" t="s">
        <v>46</v>
      </c>
      <c r="N811">
        <v>2</v>
      </c>
      <c r="O811" t="s">
        <v>45</v>
      </c>
      <c r="P811">
        <v>7655</v>
      </c>
      <c r="Q811">
        <v>0</v>
      </c>
      <c r="R811" t="s">
        <v>36</v>
      </c>
      <c r="S811">
        <v>17</v>
      </c>
      <c r="T811">
        <v>3</v>
      </c>
      <c r="U811">
        <v>2</v>
      </c>
      <c r="V811">
        <v>3</v>
      </c>
      <c r="W811">
        <v>10</v>
      </c>
      <c r="X811">
        <v>3</v>
      </c>
      <c r="Y811">
        <v>2</v>
      </c>
      <c r="Z811">
        <v>9</v>
      </c>
      <c r="AA811">
        <v>7</v>
      </c>
      <c r="AB811">
        <v>1</v>
      </c>
      <c r="AC811">
        <v>7</v>
      </c>
      <c r="AD811">
        <f>IF(HR_Data[[#This Row],[Attrition]]="Yes",1,0)</f>
        <v>0</v>
      </c>
      <c r="AE811" t="str">
        <f>IF(HR_Data[[#This Row],[Age]]&lt;=25,"18-25",IF(HR_Data[[#This Row],[Age]]&lt;=35,"26-35",IF(HR_Data[[#This Row],[Age]]&lt;=45,"36-45",IF(HR_Data[[#This Row],[Age]]&lt;=55,"46-55","55+"))))</f>
        <v>26-35</v>
      </c>
      <c r="AF811">
        <f>IF(HR_Data[[#This Row],[Age]]&lt;=25,1,IF(HR_Data[[#This Row],[Age]]&lt;=35,2,IF(HR_Data[[#This Row],[Age]]&lt;=45,3,IF(HR_Data[[#This Row],[Age]]&lt;=55,4,5))))</f>
        <v>2</v>
      </c>
      <c r="AG811" s="1" t="str">
        <f>IF(HR_Data[[#This Row],[MonthlyIncome]]&lt;3000,"&lt;3K",IF(HR_Data[[#This Row],[MonthlyIncome]]&lt;6000,"3K-6K",IF(HR_Data[[#This Row],[MonthlyIncome]]&lt;10000,"6K-10K","10K+")))</f>
        <v>6K-10K</v>
      </c>
      <c r="AH811" s="1">
        <f>IF(HR_Data[[#This Row],[MonthlyIncome]]&lt;3000,1,IF(HR_Data[[#This Row],[MonthlyIncome]]&lt;6000,2,IF(HR_Data[[#This Row],[MonthlyIncome]]&lt;10000,3,4)))</f>
        <v>3</v>
      </c>
      <c r="AI811" s="1" t="str">
        <f>IF(HR_Data[[#This Row],[YearsAtCompany]]&lt;=2,"0-2 Yrs",IF(HR_Data[[#This Row],[YearsAtCompany]]&lt;=5,"3-5 Yrs",IF(HR_Data[[#This Row],[YearsAtCompany]]&lt;=10,"6-10 Yrs","10+ Yrs")))</f>
        <v>6-10 Yrs</v>
      </c>
      <c r="AJ811" s="1">
        <f>IF(HR_Data[[#This Row],[YearsAtCompany]]&lt;=2,1,IF(HR_Data[[#This Row],[YearsAtCompany]]&lt;=5,2,IF(HR_Data[[#This Row],[YearsAtCompany]]&lt;=10,3,4)))</f>
        <v>3</v>
      </c>
      <c r="AK811" s="1" t="str">
        <f>CHOOSE(HR_Data[[#This Row],[Education]],"Below College","College","Bachelor","Master","Doctor")</f>
        <v>Bachelor</v>
      </c>
      <c r="AL811" s="1" t="str">
        <f>CHOOSE(HR_Data[[#This Row],[JobSatisfaction]],"Low","Medium","High","Very High")</f>
        <v>Medium</v>
      </c>
      <c r="AM811" s="1" t="str">
        <f>CHOOSE(HR_Data[[#This Row],[EnvironmentSatisfaction]],"Low","Medium","High","Very High")</f>
        <v>Very High</v>
      </c>
      <c r="AN811" s="1" t="str">
        <f>CHOOSE(HR_Data[[#This Row],[WorkLifeBalance]],"Bad","Good","Better","Best")</f>
        <v>Good</v>
      </c>
      <c r="AO811" s="1" t="str">
        <f>IF(HR_Data[[#This Row],[PercentSalaryHike]]&lt;=13,"11-13%",IF(HR_Data[[#This Row],[PercentSalaryHike]]&lt;=16,"14-16%",IF(HR_Data[[#This Row],[PercentSalaryHike]]&lt;=19,"17-19%","20-25%")))</f>
        <v>17-19%</v>
      </c>
      <c r="AP811" s="1">
        <f>IF(HR_Data[[#This Row],[PercentSalaryHike]]&lt;=13,1,IF(HR_Data[[#This Row],[PercentSalaryHike]]&lt;=16,2,IF(HR_Data[[#This Row],[PercentSalaryHike]]&lt;=19,3,4)))</f>
        <v>3</v>
      </c>
      <c r="AQ811" s="1" t="str">
        <f>IF(HR_Data[[#This Row],[DistanceFromHome]]&lt;=5,"1 to 5",IF(HR_Data[[#This Row],[DistanceFromHome]]&lt;=10,"6 to 10",IF(HR_Data[[#This Row],[DistanceFromHome]]&lt;=20,"11 to 20","21 to 29")))</f>
        <v>1 to 5</v>
      </c>
      <c r="AR811" s="1">
        <f>IF(HR_Data[[#This Row],[DistanceFromHome]]&lt;=5,1,IF(HR_Data[[#This Row],[DistanceFromHome]]&lt;=10,2,IF(HR_Data[[#This Row],[DistanceFromHome]]&lt;=20,3,4)))</f>
        <v>1</v>
      </c>
      <c r="AS811" s="1" t="str">
        <f>IF(HR_Data[[#This Row],[TotalWorkingYears]]&lt;=5,"0-5 Yrs",IF(HR_Data[[#This Row],[TotalWorkingYears]]&lt;=10,"6-10 Yrs",IF(HR_Data[[#This Row],[TotalWorkingYears]]&lt;=20,"11-20 Yrs","20+ Yrs")))</f>
        <v>6-10 Yrs</v>
      </c>
      <c r="AT811" s="1">
        <f>IF(HR_Data[[#This Row],[TotalWorkingYears]]&lt;=5,1,IF(HR_Data[[#This Row],[TotalWorkingYears]]&lt;=10,2,IF(HR_Data[[#This Row],[TotalWorkingYears]]&lt;=20,3,4)))</f>
        <v>2</v>
      </c>
    </row>
    <row r="812" spans="1:46" x14ac:dyDescent="0.25">
      <c r="A812">
        <v>46</v>
      </c>
      <c r="B812" t="s">
        <v>36</v>
      </c>
      <c r="C812" t="s">
        <v>30</v>
      </c>
      <c r="D812" t="s">
        <v>31</v>
      </c>
      <c r="E812">
        <v>3</v>
      </c>
      <c r="F812">
        <v>1</v>
      </c>
      <c r="G812" t="s">
        <v>52</v>
      </c>
      <c r="H812">
        <v>1124</v>
      </c>
      <c r="I812">
        <v>1</v>
      </c>
      <c r="J812" t="s">
        <v>39</v>
      </c>
      <c r="K812">
        <v>3</v>
      </c>
      <c r="L812">
        <v>4</v>
      </c>
      <c r="M812" t="s">
        <v>49</v>
      </c>
      <c r="N812">
        <v>3</v>
      </c>
      <c r="O812" t="s">
        <v>41</v>
      </c>
      <c r="P812">
        <v>17465</v>
      </c>
      <c r="Q812">
        <v>3</v>
      </c>
      <c r="R812" t="s">
        <v>36</v>
      </c>
      <c r="S812">
        <v>12</v>
      </c>
      <c r="T812">
        <v>3</v>
      </c>
      <c r="U812">
        <v>4</v>
      </c>
      <c r="V812">
        <v>1</v>
      </c>
      <c r="W812">
        <v>23</v>
      </c>
      <c r="X812">
        <v>3</v>
      </c>
      <c r="Y812">
        <v>3</v>
      </c>
      <c r="Z812">
        <v>12</v>
      </c>
      <c r="AA812">
        <v>9</v>
      </c>
      <c r="AB812">
        <v>4</v>
      </c>
      <c r="AC812">
        <v>9</v>
      </c>
      <c r="AD812">
        <f>IF(HR_Data[[#This Row],[Attrition]]="Yes",1,0)</f>
        <v>0</v>
      </c>
      <c r="AE812" t="str">
        <f>IF(HR_Data[[#This Row],[Age]]&lt;=25,"18-25",IF(HR_Data[[#This Row],[Age]]&lt;=35,"26-35",IF(HR_Data[[#This Row],[Age]]&lt;=45,"36-45",IF(HR_Data[[#This Row],[Age]]&lt;=55,"46-55","55+"))))</f>
        <v>46-55</v>
      </c>
      <c r="AF812">
        <f>IF(HR_Data[[#This Row],[Age]]&lt;=25,1,IF(HR_Data[[#This Row],[Age]]&lt;=35,2,IF(HR_Data[[#This Row],[Age]]&lt;=45,3,IF(HR_Data[[#This Row],[Age]]&lt;=55,4,5))))</f>
        <v>4</v>
      </c>
      <c r="AG812" s="1" t="str">
        <f>IF(HR_Data[[#This Row],[MonthlyIncome]]&lt;3000,"&lt;3K",IF(HR_Data[[#This Row],[MonthlyIncome]]&lt;6000,"3K-6K",IF(HR_Data[[#This Row],[MonthlyIncome]]&lt;10000,"6K-10K","10K+")))</f>
        <v>10K+</v>
      </c>
      <c r="AH812" s="1">
        <f>IF(HR_Data[[#This Row],[MonthlyIncome]]&lt;3000,1,IF(HR_Data[[#This Row],[MonthlyIncome]]&lt;6000,2,IF(HR_Data[[#This Row],[MonthlyIncome]]&lt;10000,3,4)))</f>
        <v>4</v>
      </c>
      <c r="AI812" s="1" t="str">
        <f>IF(HR_Data[[#This Row],[YearsAtCompany]]&lt;=2,"0-2 Yrs",IF(HR_Data[[#This Row],[YearsAtCompany]]&lt;=5,"3-5 Yrs",IF(HR_Data[[#This Row],[YearsAtCompany]]&lt;=10,"6-10 Yrs","10+ Yrs")))</f>
        <v>10+ Yrs</v>
      </c>
      <c r="AJ812" s="1">
        <f>IF(HR_Data[[#This Row],[YearsAtCompany]]&lt;=2,1,IF(HR_Data[[#This Row],[YearsAtCompany]]&lt;=5,2,IF(HR_Data[[#This Row],[YearsAtCompany]]&lt;=10,3,4)))</f>
        <v>4</v>
      </c>
      <c r="AK812" s="1" t="str">
        <f>CHOOSE(HR_Data[[#This Row],[Education]],"Below College","College","Bachelor","Master","Doctor")</f>
        <v>Below College</v>
      </c>
      <c r="AL812" s="1" t="str">
        <f>CHOOSE(HR_Data[[#This Row],[JobSatisfaction]],"Low","Medium","High","Very High")</f>
        <v>High</v>
      </c>
      <c r="AM812" s="1" t="str">
        <f>CHOOSE(HR_Data[[#This Row],[EnvironmentSatisfaction]],"Low","Medium","High","Very High")</f>
        <v>Low</v>
      </c>
      <c r="AN812" s="1" t="str">
        <f>CHOOSE(HR_Data[[#This Row],[WorkLifeBalance]],"Bad","Good","Better","Best")</f>
        <v>Better</v>
      </c>
      <c r="AO812" s="1" t="str">
        <f>IF(HR_Data[[#This Row],[PercentSalaryHike]]&lt;=13,"11-13%",IF(HR_Data[[#This Row],[PercentSalaryHike]]&lt;=16,"14-16%",IF(HR_Data[[#This Row],[PercentSalaryHike]]&lt;=19,"17-19%","20-25%")))</f>
        <v>11-13%</v>
      </c>
      <c r="AP812" s="1">
        <f>IF(HR_Data[[#This Row],[PercentSalaryHike]]&lt;=13,1,IF(HR_Data[[#This Row],[PercentSalaryHike]]&lt;=16,2,IF(HR_Data[[#This Row],[PercentSalaryHike]]&lt;=19,3,4)))</f>
        <v>1</v>
      </c>
      <c r="AQ812" s="1" t="str">
        <f>IF(HR_Data[[#This Row],[DistanceFromHome]]&lt;=5,"1 to 5",IF(HR_Data[[#This Row],[DistanceFromHome]]&lt;=10,"6 to 10",IF(HR_Data[[#This Row],[DistanceFromHome]]&lt;=20,"11 to 20","21 to 29")))</f>
        <v>1 to 5</v>
      </c>
      <c r="AR812" s="1">
        <f>IF(HR_Data[[#This Row],[DistanceFromHome]]&lt;=5,1,IF(HR_Data[[#This Row],[DistanceFromHome]]&lt;=10,2,IF(HR_Data[[#This Row],[DistanceFromHome]]&lt;=20,3,4)))</f>
        <v>1</v>
      </c>
      <c r="AS812" s="1" t="str">
        <f>IF(HR_Data[[#This Row],[TotalWorkingYears]]&lt;=5,"0-5 Yrs",IF(HR_Data[[#This Row],[TotalWorkingYears]]&lt;=10,"6-10 Yrs",IF(HR_Data[[#This Row],[TotalWorkingYears]]&lt;=20,"11-20 Yrs","20+ Yrs")))</f>
        <v>20+ Yrs</v>
      </c>
      <c r="AT812" s="1">
        <f>IF(HR_Data[[#This Row],[TotalWorkingYears]]&lt;=5,1,IF(HR_Data[[#This Row],[TotalWorkingYears]]&lt;=10,2,IF(HR_Data[[#This Row],[TotalWorkingYears]]&lt;=20,3,4)))</f>
        <v>4</v>
      </c>
    </row>
    <row r="813" spans="1:46" x14ac:dyDescent="0.25">
      <c r="A813">
        <v>38</v>
      </c>
      <c r="B813" t="s">
        <v>36</v>
      </c>
      <c r="C813" t="s">
        <v>30</v>
      </c>
      <c r="D813" t="s">
        <v>31</v>
      </c>
      <c r="E813">
        <v>2</v>
      </c>
      <c r="F813">
        <v>2</v>
      </c>
      <c r="G813" t="s">
        <v>52</v>
      </c>
      <c r="H813">
        <v>1125</v>
      </c>
      <c r="I813">
        <v>4</v>
      </c>
      <c r="J813" t="s">
        <v>39</v>
      </c>
      <c r="K813">
        <v>3</v>
      </c>
      <c r="L813">
        <v>3</v>
      </c>
      <c r="M813" t="s">
        <v>34</v>
      </c>
      <c r="N813">
        <v>2</v>
      </c>
      <c r="O813" t="s">
        <v>35</v>
      </c>
      <c r="P813">
        <v>7351</v>
      </c>
      <c r="Q813">
        <v>7</v>
      </c>
      <c r="R813" t="s">
        <v>36</v>
      </c>
      <c r="S813">
        <v>16</v>
      </c>
      <c r="T813">
        <v>3</v>
      </c>
      <c r="U813">
        <v>3</v>
      </c>
      <c r="V813">
        <v>0</v>
      </c>
      <c r="W813">
        <v>10</v>
      </c>
      <c r="X813">
        <v>2</v>
      </c>
      <c r="Y813">
        <v>3</v>
      </c>
      <c r="Z813">
        <v>1</v>
      </c>
      <c r="AA813">
        <v>0</v>
      </c>
      <c r="AB813">
        <v>0</v>
      </c>
      <c r="AC813">
        <v>0</v>
      </c>
      <c r="AD813">
        <f>IF(HR_Data[[#This Row],[Attrition]]="Yes",1,0)</f>
        <v>0</v>
      </c>
      <c r="AE813" t="str">
        <f>IF(HR_Data[[#This Row],[Age]]&lt;=25,"18-25",IF(HR_Data[[#This Row],[Age]]&lt;=35,"26-35",IF(HR_Data[[#This Row],[Age]]&lt;=45,"36-45",IF(HR_Data[[#This Row],[Age]]&lt;=55,"46-55","55+"))))</f>
        <v>36-45</v>
      </c>
      <c r="AF813">
        <f>IF(HR_Data[[#This Row],[Age]]&lt;=25,1,IF(HR_Data[[#This Row],[Age]]&lt;=35,2,IF(HR_Data[[#This Row],[Age]]&lt;=45,3,IF(HR_Data[[#This Row],[Age]]&lt;=55,4,5))))</f>
        <v>3</v>
      </c>
      <c r="AG813" s="1" t="str">
        <f>IF(HR_Data[[#This Row],[MonthlyIncome]]&lt;3000,"&lt;3K",IF(HR_Data[[#This Row],[MonthlyIncome]]&lt;6000,"3K-6K",IF(HR_Data[[#This Row],[MonthlyIncome]]&lt;10000,"6K-10K","10K+")))</f>
        <v>6K-10K</v>
      </c>
      <c r="AH813" s="1">
        <f>IF(HR_Data[[#This Row],[MonthlyIncome]]&lt;3000,1,IF(HR_Data[[#This Row],[MonthlyIncome]]&lt;6000,2,IF(HR_Data[[#This Row],[MonthlyIncome]]&lt;10000,3,4)))</f>
        <v>3</v>
      </c>
      <c r="AI813" s="1" t="str">
        <f>IF(HR_Data[[#This Row],[YearsAtCompany]]&lt;=2,"0-2 Yrs",IF(HR_Data[[#This Row],[YearsAtCompany]]&lt;=5,"3-5 Yrs",IF(HR_Data[[#This Row],[YearsAtCompany]]&lt;=10,"6-10 Yrs","10+ Yrs")))</f>
        <v>0-2 Yrs</v>
      </c>
      <c r="AJ813" s="1">
        <f>IF(HR_Data[[#This Row],[YearsAtCompany]]&lt;=2,1,IF(HR_Data[[#This Row],[YearsAtCompany]]&lt;=5,2,IF(HR_Data[[#This Row],[YearsAtCompany]]&lt;=10,3,4)))</f>
        <v>1</v>
      </c>
      <c r="AK813" s="1" t="str">
        <f>CHOOSE(HR_Data[[#This Row],[Education]],"Below College","College","Bachelor","Master","Doctor")</f>
        <v>College</v>
      </c>
      <c r="AL813" s="1" t="str">
        <f>CHOOSE(HR_Data[[#This Row],[JobSatisfaction]],"Low","Medium","High","Very High")</f>
        <v>Medium</v>
      </c>
      <c r="AM813" s="1" t="str">
        <f>CHOOSE(HR_Data[[#This Row],[EnvironmentSatisfaction]],"Low","Medium","High","Very High")</f>
        <v>Very High</v>
      </c>
      <c r="AN813" s="1" t="str">
        <f>CHOOSE(HR_Data[[#This Row],[WorkLifeBalance]],"Bad","Good","Better","Best")</f>
        <v>Better</v>
      </c>
      <c r="AO813" s="1" t="str">
        <f>IF(HR_Data[[#This Row],[PercentSalaryHike]]&lt;=13,"11-13%",IF(HR_Data[[#This Row],[PercentSalaryHike]]&lt;=16,"14-16%",IF(HR_Data[[#This Row],[PercentSalaryHike]]&lt;=19,"17-19%","20-25%")))</f>
        <v>14-16%</v>
      </c>
      <c r="AP813" s="1">
        <f>IF(HR_Data[[#This Row],[PercentSalaryHike]]&lt;=13,1,IF(HR_Data[[#This Row],[PercentSalaryHike]]&lt;=16,2,IF(HR_Data[[#This Row],[PercentSalaryHike]]&lt;=19,3,4)))</f>
        <v>2</v>
      </c>
      <c r="AQ813" s="1" t="str">
        <f>IF(HR_Data[[#This Row],[DistanceFromHome]]&lt;=5,"1 to 5",IF(HR_Data[[#This Row],[DistanceFromHome]]&lt;=10,"6 to 10",IF(HR_Data[[#This Row],[DistanceFromHome]]&lt;=20,"11 to 20","21 to 29")))</f>
        <v>1 to 5</v>
      </c>
      <c r="AR813" s="1">
        <f>IF(HR_Data[[#This Row],[DistanceFromHome]]&lt;=5,1,IF(HR_Data[[#This Row],[DistanceFromHome]]&lt;=10,2,IF(HR_Data[[#This Row],[DistanceFromHome]]&lt;=20,3,4)))</f>
        <v>1</v>
      </c>
      <c r="AS813" s="1" t="str">
        <f>IF(HR_Data[[#This Row],[TotalWorkingYears]]&lt;=5,"0-5 Yrs",IF(HR_Data[[#This Row],[TotalWorkingYears]]&lt;=10,"6-10 Yrs",IF(HR_Data[[#This Row],[TotalWorkingYears]]&lt;=20,"11-20 Yrs","20+ Yrs")))</f>
        <v>6-10 Yrs</v>
      </c>
      <c r="AT813" s="1">
        <f>IF(HR_Data[[#This Row],[TotalWorkingYears]]&lt;=5,1,IF(HR_Data[[#This Row],[TotalWorkingYears]]&lt;=10,2,IF(HR_Data[[#This Row],[TotalWorkingYears]]&lt;=20,3,4)))</f>
        <v>2</v>
      </c>
    </row>
    <row r="814" spans="1:46" x14ac:dyDescent="0.25">
      <c r="A814">
        <v>43</v>
      </c>
      <c r="B814" t="s">
        <v>36</v>
      </c>
      <c r="C814" t="s">
        <v>37</v>
      </c>
      <c r="D814" t="s">
        <v>38</v>
      </c>
      <c r="E814">
        <v>27</v>
      </c>
      <c r="F814">
        <v>3</v>
      </c>
      <c r="G814" t="s">
        <v>32</v>
      </c>
      <c r="H814">
        <v>1126</v>
      </c>
      <c r="I814">
        <v>3</v>
      </c>
      <c r="J814" t="s">
        <v>33</v>
      </c>
      <c r="K814">
        <v>3</v>
      </c>
      <c r="L814">
        <v>3</v>
      </c>
      <c r="M814" t="s">
        <v>46</v>
      </c>
      <c r="N814">
        <v>1</v>
      </c>
      <c r="O814" t="s">
        <v>41</v>
      </c>
      <c r="P814">
        <v>10820</v>
      </c>
      <c r="Q814">
        <v>8</v>
      </c>
      <c r="R814" t="s">
        <v>36</v>
      </c>
      <c r="S814">
        <v>11</v>
      </c>
      <c r="T814">
        <v>3</v>
      </c>
      <c r="U814">
        <v>3</v>
      </c>
      <c r="V814">
        <v>1</v>
      </c>
      <c r="W814">
        <v>18</v>
      </c>
      <c r="X814">
        <v>1</v>
      </c>
      <c r="Y814">
        <v>3</v>
      </c>
      <c r="Z814">
        <v>8</v>
      </c>
      <c r="AA814">
        <v>7</v>
      </c>
      <c r="AB814">
        <v>0</v>
      </c>
      <c r="AC814">
        <v>1</v>
      </c>
      <c r="AD814">
        <f>IF(HR_Data[[#This Row],[Attrition]]="Yes",1,0)</f>
        <v>0</v>
      </c>
      <c r="AE814" t="str">
        <f>IF(HR_Data[[#This Row],[Age]]&lt;=25,"18-25",IF(HR_Data[[#This Row],[Age]]&lt;=35,"26-35",IF(HR_Data[[#This Row],[Age]]&lt;=45,"36-45",IF(HR_Data[[#This Row],[Age]]&lt;=55,"46-55","55+"))))</f>
        <v>36-45</v>
      </c>
      <c r="AF814">
        <f>IF(HR_Data[[#This Row],[Age]]&lt;=25,1,IF(HR_Data[[#This Row],[Age]]&lt;=35,2,IF(HR_Data[[#This Row],[Age]]&lt;=45,3,IF(HR_Data[[#This Row],[Age]]&lt;=55,4,5))))</f>
        <v>3</v>
      </c>
      <c r="AG814" s="1" t="str">
        <f>IF(HR_Data[[#This Row],[MonthlyIncome]]&lt;3000,"&lt;3K",IF(HR_Data[[#This Row],[MonthlyIncome]]&lt;6000,"3K-6K",IF(HR_Data[[#This Row],[MonthlyIncome]]&lt;10000,"6K-10K","10K+")))</f>
        <v>10K+</v>
      </c>
      <c r="AH814" s="1">
        <f>IF(HR_Data[[#This Row],[MonthlyIncome]]&lt;3000,1,IF(HR_Data[[#This Row],[MonthlyIncome]]&lt;6000,2,IF(HR_Data[[#This Row],[MonthlyIncome]]&lt;10000,3,4)))</f>
        <v>4</v>
      </c>
      <c r="AI814" s="1" t="str">
        <f>IF(HR_Data[[#This Row],[YearsAtCompany]]&lt;=2,"0-2 Yrs",IF(HR_Data[[#This Row],[YearsAtCompany]]&lt;=5,"3-5 Yrs",IF(HR_Data[[#This Row],[YearsAtCompany]]&lt;=10,"6-10 Yrs","10+ Yrs")))</f>
        <v>6-10 Yrs</v>
      </c>
      <c r="AJ814" s="1">
        <f>IF(HR_Data[[#This Row],[YearsAtCompany]]&lt;=2,1,IF(HR_Data[[#This Row],[YearsAtCompany]]&lt;=5,2,IF(HR_Data[[#This Row],[YearsAtCompany]]&lt;=10,3,4)))</f>
        <v>3</v>
      </c>
      <c r="AK814" s="1" t="str">
        <f>CHOOSE(HR_Data[[#This Row],[Education]],"Below College","College","Bachelor","Master","Doctor")</f>
        <v>Bachelor</v>
      </c>
      <c r="AL814" s="1" t="str">
        <f>CHOOSE(HR_Data[[#This Row],[JobSatisfaction]],"Low","Medium","High","Very High")</f>
        <v>Low</v>
      </c>
      <c r="AM814" s="1" t="str">
        <f>CHOOSE(HR_Data[[#This Row],[EnvironmentSatisfaction]],"Low","Medium","High","Very High")</f>
        <v>High</v>
      </c>
      <c r="AN814" s="1" t="str">
        <f>CHOOSE(HR_Data[[#This Row],[WorkLifeBalance]],"Bad","Good","Better","Best")</f>
        <v>Better</v>
      </c>
      <c r="AO814" s="1" t="str">
        <f>IF(HR_Data[[#This Row],[PercentSalaryHike]]&lt;=13,"11-13%",IF(HR_Data[[#This Row],[PercentSalaryHike]]&lt;=16,"14-16%",IF(HR_Data[[#This Row],[PercentSalaryHike]]&lt;=19,"17-19%","20-25%")))</f>
        <v>11-13%</v>
      </c>
      <c r="AP814" s="1">
        <f>IF(HR_Data[[#This Row],[PercentSalaryHike]]&lt;=13,1,IF(HR_Data[[#This Row],[PercentSalaryHike]]&lt;=16,2,IF(HR_Data[[#This Row],[PercentSalaryHike]]&lt;=19,3,4)))</f>
        <v>1</v>
      </c>
      <c r="AQ814" s="1" t="str">
        <f>IF(HR_Data[[#This Row],[DistanceFromHome]]&lt;=5,"1 to 5",IF(HR_Data[[#This Row],[DistanceFromHome]]&lt;=10,"6 to 10",IF(HR_Data[[#This Row],[DistanceFromHome]]&lt;=20,"11 to 20","21 to 29")))</f>
        <v>21 to 29</v>
      </c>
      <c r="AR814" s="1">
        <f>IF(HR_Data[[#This Row],[DistanceFromHome]]&lt;=5,1,IF(HR_Data[[#This Row],[DistanceFromHome]]&lt;=10,2,IF(HR_Data[[#This Row],[DistanceFromHome]]&lt;=20,3,4)))</f>
        <v>4</v>
      </c>
      <c r="AS814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814" s="1">
        <f>IF(HR_Data[[#This Row],[TotalWorkingYears]]&lt;=5,1,IF(HR_Data[[#This Row],[TotalWorkingYears]]&lt;=10,2,IF(HR_Data[[#This Row],[TotalWorkingYears]]&lt;=20,3,4)))</f>
        <v>3</v>
      </c>
    </row>
    <row r="815" spans="1:46" x14ac:dyDescent="0.25">
      <c r="A815">
        <v>39</v>
      </c>
      <c r="B815" t="s">
        <v>29</v>
      </c>
      <c r="C815" t="s">
        <v>37</v>
      </c>
      <c r="D815" t="s">
        <v>38</v>
      </c>
      <c r="E815">
        <v>2</v>
      </c>
      <c r="F815">
        <v>3</v>
      </c>
      <c r="G815" t="s">
        <v>32</v>
      </c>
      <c r="H815">
        <v>1127</v>
      </c>
      <c r="I815">
        <v>1</v>
      </c>
      <c r="J815" t="s">
        <v>39</v>
      </c>
      <c r="K815">
        <v>3</v>
      </c>
      <c r="L815">
        <v>4</v>
      </c>
      <c r="M815" t="s">
        <v>47</v>
      </c>
      <c r="N815">
        <v>4</v>
      </c>
      <c r="O815" t="s">
        <v>45</v>
      </c>
      <c r="P815">
        <v>12169</v>
      </c>
      <c r="Q815">
        <v>7</v>
      </c>
      <c r="R815" t="s">
        <v>36</v>
      </c>
      <c r="S815">
        <v>11</v>
      </c>
      <c r="T815">
        <v>3</v>
      </c>
      <c r="U815">
        <v>4</v>
      </c>
      <c r="V815">
        <v>3</v>
      </c>
      <c r="W815">
        <v>21</v>
      </c>
      <c r="X815">
        <v>4</v>
      </c>
      <c r="Y815">
        <v>3</v>
      </c>
      <c r="Z815">
        <v>18</v>
      </c>
      <c r="AA815">
        <v>7</v>
      </c>
      <c r="AB815">
        <v>11</v>
      </c>
      <c r="AC815">
        <v>5</v>
      </c>
      <c r="AD815">
        <f>IF(HR_Data[[#This Row],[Attrition]]="Yes",1,0)</f>
        <v>1</v>
      </c>
      <c r="AE815" t="str">
        <f>IF(HR_Data[[#This Row],[Age]]&lt;=25,"18-25",IF(HR_Data[[#This Row],[Age]]&lt;=35,"26-35",IF(HR_Data[[#This Row],[Age]]&lt;=45,"36-45",IF(HR_Data[[#This Row],[Age]]&lt;=55,"46-55","55+"))))</f>
        <v>36-45</v>
      </c>
      <c r="AF815">
        <f>IF(HR_Data[[#This Row],[Age]]&lt;=25,1,IF(HR_Data[[#This Row],[Age]]&lt;=35,2,IF(HR_Data[[#This Row],[Age]]&lt;=45,3,IF(HR_Data[[#This Row],[Age]]&lt;=55,4,5))))</f>
        <v>3</v>
      </c>
      <c r="AG815" s="1" t="str">
        <f>IF(HR_Data[[#This Row],[MonthlyIncome]]&lt;3000,"&lt;3K",IF(HR_Data[[#This Row],[MonthlyIncome]]&lt;6000,"3K-6K",IF(HR_Data[[#This Row],[MonthlyIncome]]&lt;10000,"6K-10K","10K+")))</f>
        <v>10K+</v>
      </c>
      <c r="AH815" s="1">
        <f>IF(HR_Data[[#This Row],[MonthlyIncome]]&lt;3000,1,IF(HR_Data[[#This Row],[MonthlyIncome]]&lt;6000,2,IF(HR_Data[[#This Row],[MonthlyIncome]]&lt;10000,3,4)))</f>
        <v>4</v>
      </c>
      <c r="AI815" s="1" t="str">
        <f>IF(HR_Data[[#This Row],[YearsAtCompany]]&lt;=2,"0-2 Yrs",IF(HR_Data[[#This Row],[YearsAtCompany]]&lt;=5,"3-5 Yrs",IF(HR_Data[[#This Row],[YearsAtCompany]]&lt;=10,"6-10 Yrs","10+ Yrs")))</f>
        <v>10+ Yrs</v>
      </c>
      <c r="AJ815" s="1">
        <f>IF(HR_Data[[#This Row],[YearsAtCompany]]&lt;=2,1,IF(HR_Data[[#This Row],[YearsAtCompany]]&lt;=5,2,IF(HR_Data[[#This Row],[YearsAtCompany]]&lt;=10,3,4)))</f>
        <v>4</v>
      </c>
      <c r="AK815" s="1" t="str">
        <f>CHOOSE(HR_Data[[#This Row],[Education]],"Below College","College","Bachelor","Master","Doctor")</f>
        <v>Bachelor</v>
      </c>
      <c r="AL815" s="1" t="str">
        <f>CHOOSE(HR_Data[[#This Row],[JobSatisfaction]],"Low","Medium","High","Very High")</f>
        <v>Very High</v>
      </c>
      <c r="AM815" s="1" t="str">
        <f>CHOOSE(HR_Data[[#This Row],[EnvironmentSatisfaction]],"Low","Medium","High","Very High")</f>
        <v>Low</v>
      </c>
      <c r="AN815" s="1" t="str">
        <f>CHOOSE(HR_Data[[#This Row],[WorkLifeBalance]],"Bad","Good","Better","Best")</f>
        <v>Better</v>
      </c>
      <c r="AO815" s="1" t="str">
        <f>IF(HR_Data[[#This Row],[PercentSalaryHike]]&lt;=13,"11-13%",IF(HR_Data[[#This Row],[PercentSalaryHike]]&lt;=16,"14-16%",IF(HR_Data[[#This Row],[PercentSalaryHike]]&lt;=19,"17-19%","20-25%")))</f>
        <v>11-13%</v>
      </c>
      <c r="AP815" s="1">
        <f>IF(HR_Data[[#This Row],[PercentSalaryHike]]&lt;=13,1,IF(HR_Data[[#This Row],[PercentSalaryHike]]&lt;=16,2,IF(HR_Data[[#This Row],[PercentSalaryHike]]&lt;=19,3,4)))</f>
        <v>1</v>
      </c>
      <c r="AQ815" s="1" t="str">
        <f>IF(HR_Data[[#This Row],[DistanceFromHome]]&lt;=5,"1 to 5",IF(HR_Data[[#This Row],[DistanceFromHome]]&lt;=10,"6 to 10",IF(HR_Data[[#This Row],[DistanceFromHome]]&lt;=20,"11 to 20","21 to 29")))</f>
        <v>1 to 5</v>
      </c>
      <c r="AR815" s="1">
        <f>IF(HR_Data[[#This Row],[DistanceFromHome]]&lt;=5,1,IF(HR_Data[[#This Row],[DistanceFromHome]]&lt;=10,2,IF(HR_Data[[#This Row],[DistanceFromHome]]&lt;=20,3,4)))</f>
        <v>1</v>
      </c>
      <c r="AS815" s="1" t="str">
        <f>IF(HR_Data[[#This Row],[TotalWorkingYears]]&lt;=5,"0-5 Yrs",IF(HR_Data[[#This Row],[TotalWorkingYears]]&lt;=10,"6-10 Yrs",IF(HR_Data[[#This Row],[TotalWorkingYears]]&lt;=20,"11-20 Yrs","20+ Yrs")))</f>
        <v>20+ Yrs</v>
      </c>
      <c r="AT815" s="1">
        <f>IF(HR_Data[[#This Row],[TotalWorkingYears]]&lt;=5,1,IF(HR_Data[[#This Row],[TotalWorkingYears]]&lt;=10,2,IF(HR_Data[[#This Row],[TotalWorkingYears]]&lt;=20,3,4)))</f>
        <v>4</v>
      </c>
    </row>
    <row r="816" spans="1:46" x14ac:dyDescent="0.25">
      <c r="A816">
        <v>40</v>
      </c>
      <c r="B816" t="s">
        <v>36</v>
      </c>
      <c r="C816" t="s">
        <v>30</v>
      </c>
      <c r="D816" t="s">
        <v>38</v>
      </c>
      <c r="E816">
        <v>14</v>
      </c>
      <c r="F816">
        <v>3</v>
      </c>
      <c r="G816" t="s">
        <v>44</v>
      </c>
      <c r="H816">
        <v>1128</v>
      </c>
      <c r="I816">
        <v>3</v>
      </c>
      <c r="J816" t="s">
        <v>39</v>
      </c>
      <c r="K816">
        <v>2</v>
      </c>
      <c r="L816">
        <v>5</v>
      </c>
      <c r="M816" t="s">
        <v>51</v>
      </c>
      <c r="N816">
        <v>3</v>
      </c>
      <c r="O816" t="s">
        <v>35</v>
      </c>
      <c r="P816">
        <v>19626</v>
      </c>
      <c r="Q816">
        <v>1</v>
      </c>
      <c r="R816" t="s">
        <v>36</v>
      </c>
      <c r="S816">
        <v>14</v>
      </c>
      <c r="T816">
        <v>3</v>
      </c>
      <c r="U816">
        <v>1</v>
      </c>
      <c r="V816">
        <v>0</v>
      </c>
      <c r="W816">
        <v>21</v>
      </c>
      <c r="X816">
        <v>2</v>
      </c>
      <c r="Y816">
        <v>4</v>
      </c>
      <c r="Z816">
        <v>20</v>
      </c>
      <c r="AA816">
        <v>7</v>
      </c>
      <c r="AB816">
        <v>4</v>
      </c>
      <c r="AC816">
        <v>9</v>
      </c>
      <c r="AD816">
        <f>IF(HR_Data[[#This Row],[Attrition]]="Yes",1,0)</f>
        <v>0</v>
      </c>
      <c r="AE816" t="str">
        <f>IF(HR_Data[[#This Row],[Age]]&lt;=25,"18-25",IF(HR_Data[[#This Row],[Age]]&lt;=35,"26-35",IF(HR_Data[[#This Row],[Age]]&lt;=45,"36-45",IF(HR_Data[[#This Row],[Age]]&lt;=55,"46-55","55+"))))</f>
        <v>36-45</v>
      </c>
      <c r="AF816">
        <f>IF(HR_Data[[#This Row],[Age]]&lt;=25,1,IF(HR_Data[[#This Row],[Age]]&lt;=35,2,IF(HR_Data[[#This Row],[Age]]&lt;=45,3,IF(HR_Data[[#This Row],[Age]]&lt;=55,4,5))))</f>
        <v>3</v>
      </c>
      <c r="AG816" s="1" t="str">
        <f>IF(HR_Data[[#This Row],[MonthlyIncome]]&lt;3000,"&lt;3K",IF(HR_Data[[#This Row],[MonthlyIncome]]&lt;6000,"3K-6K",IF(HR_Data[[#This Row],[MonthlyIncome]]&lt;10000,"6K-10K","10K+")))</f>
        <v>10K+</v>
      </c>
      <c r="AH816" s="1">
        <f>IF(HR_Data[[#This Row],[MonthlyIncome]]&lt;3000,1,IF(HR_Data[[#This Row],[MonthlyIncome]]&lt;6000,2,IF(HR_Data[[#This Row],[MonthlyIncome]]&lt;10000,3,4)))</f>
        <v>4</v>
      </c>
      <c r="AI816" s="1" t="str">
        <f>IF(HR_Data[[#This Row],[YearsAtCompany]]&lt;=2,"0-2 Yrs",IF(HR_Data[[#This Row],[YearsAtCompany]]&lt;=5,"3-5 Yrs",IF(HR_Data[[#This Row],[YearsAtCompany]]&lt;=10,"6-10 Yrs","10+ Yrs")))</f>
        <v>10+ Yrs</v>
      </c>
      <c r="AJ816" s="1">
        <f>IF(HR_Data[[#This Row],[YearsAtCompany]]&lt;=2,1,IF(HR_Data[[#This Row],[YearsAtCompany]]&lt;=5,2,IF(HR_Data[[#This Row],[YearsAtCompany]]&lt;=10,3,4)))</f>
        <v>4</v>
      </c>
      <c r="AK816" s="1" t="str">
        <f>CHOOSE(HR_Data[[#This Row],[Education]],"Below College","College","Bachelor","Master","Doctor")</f>
        <v>Bachelor</v>
      </c>
      <c r="AL816" s="1" t="str">
        <f>CHOOSE(HR_Data[[#This Row],[JobSatisfaction]],"Low","Medium","High","Very High")</f>
        <v>High</v>
      </c>
      <c r="AM816" s="1" t="str">
        <f>CHOOSE(HR_Data[[#This Row],[EnvironmentSatisfaction]],"Low","Medium","High","Very High")</f>
        <v>High</v>
      </c>
      <c r="AN816" s="1" t="str">
        <f>CHOOSE(HR_Data[[#This Row],[WorkLifeBalance]],"Bad","Good","Better","Best")</f>
        <v>Best</v>
      </c>
      <c r="AO816" s="1" t="str">
        <f>IF(HR_Data[[#This Row],[PercentSalaryHike]]&lt;=13,"11-13%",IF(HR_Data[[#This Row],[PercentSalaryHike]]&lt;=16,"14-16%",IF(HR_Data[[#This Row],[PercentSalaryHike]]&lt;=19,"17-19%","20-25%")))</f>
        <v>14-16%</v>
      </c>
      <c r="AP816" s="1">
        <f>IF(HR_Data[[#This Row],[PercentSalaryHike]]&lt;=13,1,IF(HR_Data[[#This Row],[PercentSalaryHike]]&lt;=16,2,IF(HR_Data[[#This Row],[PercentSalaryHike]]&lt;=19,3,4)))</f>
        <v>2</v>
      </c>
      <c r="AQ816" s="1" t="str">
        <f>IF(HR_Data[[#This Row],[DistanceFromHome]]&lt;=5,"1 to 5",IF(HR_Data[[#This Row],[DistanceFromHome]]&lt;=10,"6 to 10",IF(HR_Data[[#This Row],[DistanceFromHome]]&lt;=20,"11 to 20","21 to 29")))</f>
        <v>11 to 20</v>
      </c>
      <c r="AR816" s="1">
        <f>IF(HR_Data[[#This Row],[DistanceFromHome]]&lt;=5,1,IF(HR_Data[[#This Row],[DistanceFromHome]]&lt;=10,2,IF(HR_Data[[#This Row],[DistanceFromHome]]&lt;=20,3,4)))</f>
        <v>3</v>
      </c>
      <c r="AS816" s="1" t="str">
        <f>IF(HR_Data[[#This Row],[TotalWorkingYears]]&lt;=5,"0-5 Yrs",IF(HR_Data[[#This Row],[TotalWorkingYears]]&lt;=10,"6-10 Yrs",IF(HR_Data[[#This Row],[TotalWorkingYears]]&lt;=20,"11-20 Yrs","20+ Yrs")))</f>
        <v>20+ Yrs</v>
      </c>
      <c r="AT816" s="1">
        <f>IF(HR_Data[[#This Row],[TotalWorkingYears]]&lt;=5,1,IF(HR_Data[[#This Row],[TotalWorkingYears]]&lt;=10,2,IF(HR_Data[[#This Row],[TotalWorkingYears]]&lt;=20,3,4)))</f>
        <v>4</v>
      </c>
    </row>
    <row r="817" spans="1:46" x14ac:dyDescent="0.25">
      <c r="A817">
        <v>21</v>
      </c>
      <c r="B817" t="s">
        <v>36</v>
      </c>
      <c r="C817" t="s">
        <v>30</v>
      </c>
      <c r="D817" t="s">
        <v>38</v>
      </c>
      <c r="E817">
        <v>1</v>
      </c>
      <c r="F817">
        <v>1</v>
      </c>
      <c r="G817" t="s">
        <v>53</v>
      </c>
      <c r="H817">
        <v>1131</v>
      </c>
      <c r="I817">
        <v>4</v>
      </c>
      <c r="J817" t="s">
        <v>33</v>
      </c>
      <c r="K817">
        <v>2</v>
      </c>
      <c r="L817">
        <v>1</v>
      </c>
      <c r="M817" t="s">
        <v>40</v>
      </c>
      <c r="N817">
        <v>2</v>
      </c>
      <c r="O817" t="s">
        <v>35</v>
      </c>
      <c r="P817">
        <v>2070</v>
      </c>
      <c r="Q817">
        <v>1</v>
      </c>
      <c r="R817" t="s">
        <v>29</v>
      </c>
      <c r="S817">
        <v>11</v>
      </c>
      <c r="T817">
        <v>3</v>
      </c>
      <c r="U817">
        <v>3</v>
      </c>
      <c r="V817">
        <v>0</v>
      </c>
      <c r="W817">
        <v>2</v>
      </c>
      <c r="X817">
        <v>6</v>
      </c>
      <c r="Y817">
        <v>4</v>
      </c>
      <c r="Z817">
        <v>2</v>
      </c>
      <c r="AA817">
        <v>2</v>
      </c>
      <c r="AB817">
        <v>2</v>
      </c>
      <c r="AC817">
        <v>2</v>
      </c>
      <c r="AD817">
        <f>IF(HR_Data[[#This Row],[Attrition]]="Yes",1,0)</f>
        <v>0</v>
      </c>
      <c r="AE817" t="str">
        <f>IF(HR_Data[[#This Row],[Age]]&lt;=25,"18-25",IF(HR_Data[[#This Row],[Age]]&lt;=35,"26-35",IF(HR_Data[[#This Row],[Age]]&lt;=45,"36-45",IF(HR_Data[[#This Row],[Age]]&lt;=55,"46-55","55+"))))</f>
        <v>18-25</v>
      </c>
      <c r="AF817">
        <f>IF(HR_Data[[#This Row],[Age]]&lt;=25,1,IF(HR_Data[[#This Row],[Age]]&lt;=35,2,IF(HR_Data[[#This Row],[Age]]&lt;=45,3,IF(HR_Data[[#This Row],[Age]]&lt;=55,4,5))))</f>
        <v>1</v>
      </c>
      <c r="AG817" s="1" t="str">
        <f>IF(HR_Data[[#This Row],[MonthlyIncome]]&lt;3000,"&lt;3K",IF(HR_Data[[#This Row],[MonthlyIncome]]&lt;6000,"3K-6K",IF(HR_Data[[#This Row],[MonthlyIncome]]&lt;10000,"6K-10K","10K+")))</f>
        <v>&lt;3K</v>
      </c>
      <c r="AH817" s="1">
        <f>IF(HR_Data[[#This Row],[MonthlyIncome]]&lt;3000,1,IF(HR_Data[[#This Row],[MonthlyIncome]]&lt;6000,2,IF(HR_Data[[#This Row],[MonthlyIncome]]&lt;10000,3,4)))</f>
        <v>1</v>
      </c>
      <c r="AI817" s="1" t="str">
        <f>IF(HR_Data[[#This Row],[YearsAtCompany]]&lt;=2,"0-2 Yrs",IF(HR_Data[[#This Row],[YearsAtCompany]]&lt;=5,"3-5 Yrs",IF(HR_Data[[#This Row],[YearsAtCompany]]&lt;=10,"6-10 Yrs","10+ Yrs")))</f>
        <v>0-2 Yrs</v>
      </c>
      <c r="AJ817" s="1">
        <f>IF(HR_Data[[#This Row],[YearsAtCompany]]&lt;=2,1,IF(HR_Data[[#This Row],[YearsAtCompany]]&lt;=5,2,IF(HR_Data[[#This Row],[YearsAtCompany]]&lt;=10,3,4)))</f>
        <v>1</v>
      </c>
      <c r="AK817" s="1" t="str">
        <f>CHOOSE(HR_Data[[#This Row],[Education]],"Below College","College","Bachelor","Master","Doctor")</f>
        <v>Below College</v>
      </c>
      <c r="AL817" s="1" t="str">
        <f>CHOOSE(HR_Data[[#This Row],[JobSatisfaction]],"Low","Medium","High","Very High")</f>
        <v>Medium</v>
      </c>
      <c r="AM817" s="1" t="str">
        <f>CHOOSE(HR_Data[[#This Row],[EnvironmentSatisfaction]],"Low","Medium","High","Very High")</f>
        <v>Very High</v>
      </c>
      <c r="AN817" s="1" t="str">
        <f>CHOOSE(HR_Data[[#This Row],[WorkLifeBalance]],"Bad","Good","Better","Best")</f>
        <v>Best</v>
      </c>
      <c r="AO817" s="1" t="str">
        <f>IF(HR_Data[[#This Row],[PercentSalaryHike]]&lt;=13,"11-13%",IF(HR_Data[[#This Row],[PercentSalaryHike]]&lt;=16,"14-16%",IF(HR_Data[[#This Row],[PercentSalaryHike]]&lt;=19,"17-19%","20-25%")))</f>
        <v>11-13%</v>
      </c>
      <c r="AP817" s="1">
        <f>IF(HR_Data[[#This Row],[PercentSalaryHike]]&lt;=13,1,IF(HR_Data[[#This Row],[PercentSalaryHike]]&lt;=16,2,IF(HR_Data[[#This Row],[PercentSalaryHike]]&lt;=19,3,4)))</f>
        <v>1</v>
      </c>
      <c r="AQ817" s="1" t="str">
        <f>IF(HR_Data[[#This Row],[DistanceFromHome]]&lt;=5,"1 to 5",IF(HR_Data[[#This Row],[DistanceFromHome]]&lt;=10,"6 to 10",IF(HR_Data[[#This Row],[DistanceFromHome]]&lt;=20,"11 to 20","21 to 29")))</f>
        <v>1 to 5</v>
      </c>
      <c r="AR817" s="1">
        <f>IF(HR_Data[[#This Row],[DistanceFromHome]]&lt;=5,1,IF(HR_Data[[#This Row],[DistanceFromHome]]&lt;=10,2,IF(HR_Data[[#This Row],[DistanceFromHome]]&lt;=20,3,4)))</f>
        <v>1</v>
      </c>
      <c r="AS817" s="1" t="str">
        <f>IF(HR_Data[[#This Row],[TotalWorkingYears]]&lt;=5,"0-5 Yrs",IF(HR_Data[[#This Row],[TotalWorkingYears]]&lt;=10,"6-10 Yrs",IF(HR_Data[[#This Row],[TotalWorkingYears]]&lt;=20,"11-20 Yrs","20+ Yrs")))</f>
        <v>0-5 Yrs</v>
      </c>
      <c r="AT817" s="1">
        <f>IF(HR_Data[[#This Row],[TotalWorkingYears]]&lt;=5,1,IF(HR_Data[[#This Row],[TotalWorkingYears]]&lt;=10,2,IF(HR_Data[[#This Row],[TotalWorkingYears]]&lt;=20,3,4)))</f>
        <v>1</v>
      </c>
    </row>
    <row r="818" spans="1:46" x14ac:dyDescent="0.25">
      <c r="A818">
        <v>39</v>
      </c>
      <c r="B818" t="s">
        <v>36</v>
      </c>
      <c r="C818" t="s">
        <v>48</v>
      </c>
      <c r="D818" t="s">
        <v>38</v>
      </c>
      <c r="E818">
        <v>9</v>
      </c>
      <c r="F818">
        <v>3</v>
      </c>
      <c r="G818" t="s">
        <v>32</v>
      </c>
      <c r="H818">
        <v>1132</v>
      </c>
      <c r="I818">
        <v>3</v>
      </c>
      <c r="J818" t="s">
        <v>39</v>
      </c>
      <c r="K818">
        <v>3</v>
      </c>
      <c r="L818">
        <v>2</v>
      </c>
      <c r="M818" t="s">
        <v>43</v>
      </c>
      <c r="N818">
        <v>2</v>
      </c>
      <c r="O818" t="s">
        <v>35</v>
      </c>
      <c r="P818">
        <v>6782</v>
      </c>
      <c r="Q818">
        <v>9</v>
      </c>
      <c r="R818" t="s">
        <v>36</v>
      </c>
      <c r="S818">
        <v>15</v>
      </c>
      <c r="T818">
        <v>3</v>
      </c>
      <c r="U818">
        <v>3</v>
      </c>
      <c r="V818">
        <v>0</v>
      </c>
      <c r="W818">
        <v>9</v>
      </c>
      <c r="X818">
        <v>2</v>
      </c>
      <c r="Y818">
        <v>2</v>
      </c>
      <c r="Z818">
        <v>5</v>
      </c>
      <c r="AA818">
        <v>4</v>
      </c>
      <c r="AB818">
        <v>0</v>
      </c>
      <c r="AC818">
        <v>3</v>
      </c>
      <c r="AD818">
        <f>IF(HR_Data[[#This Row],[Attrition]]="Yes",1,0)</f>
        <v>0</v>
      </c>
      <c r="AE818" t="str">
        <f>IF(HR_Data[[#This Row],[Age]]&lt;=25,"18-25",IF(HR_Data[[#This Row],[Age]]&lt;=35,"26-35",IF(HR_Data[[#This Row],[Age]]&lt;=45,"36-45",IF(HR_Data[[#This Row],[Age]]&lt;=55,"46-55","55+"))))</f>
        <v>36-45</v>
      </c>
      <c r="AF818">
        <f>IF(HR_Data[[#This Row],[Age]]&lt;=25,1,IF(HR_Data[[#This Row],[Age]]&lt;=35,2,IF(HR_Data[[#This Row],[Age]]&lt;=45,3,IF(HR_Data[[#This Row],[Age]]&lt;=55,4,5))))</f>
        <v>3</v>
      </c>
      <c r="AG818" s="1" t="str">
        <f>IF(HR_Data[[#This Row],[MonthlyIncome]]&lt;3000,"&lt;3K",IF(HR_Data[[#This Row],[MonthlyIncome]]&lt;6000,"3K-6K",IF(HR_Data[[#This Row],[MonthlyIncome]]&lt;10000,"6K-10K","10K+")))</f>
        <v>6K-10K</v>
      </c>
      <c r="AH818" s="1">
        <f>IF(HR_Data[[#This Row],[MonthlyIncome]]&lt;3000,1,IF(HR_Data[[#This Row],[MonthlyIncome]]&lt;6000,2,IF(HR_Data[[#This Row],[MonthlyIncome]]&lt;10000,3,4)))</f>
        <v>3</v>
      </c>
      <c r="AI818" s="1" t="str">
        <f>IF(HR_Data[[#This Row],[YearsAtCompany]]&lt;=2,"0-2 Yrs",IF(HR_Data[[#This Row],[YearsAtCompany]]&lt;=5,"3-5 Yrs",IF(HR_Data[[#This Row],[YearsAtCompany]]&lt;=10,"6-10 Yrs","10+ Yrs")))</f>
        <v>3-5 Yrs</v>
      </c>
      <c r="AJ818" s="1">
        <f>IF(HR_Data[[#This Row],[YearsAtCompany]]&lt;=2,1,IF(HR_Data[[#This Row],[YearsAtCompany]]&lt;=5,2,IF(HR_Data[[#This Row],[YearsAtCompany]]&lt;=10,3,4)))</f>
        <v>2</v>
      </c>
      <c r="AK818" s="1" t="str">
        <f>CHOOSE(HR_Data[[#This Row],[Education]],"Below College","College","Bachelor","Master","Doctor")</f>
        <v>Bachelor</v>
      </c>
      <c r="AL818" s="1" t="str">
        <f>CHOOSE(HR_Data[[#This Row],[JobSatisfaction]],"Low","Medium","High","Very High")</f>
        <v>Medium</v>
      </c>
      <c r="AM818" s="1" t="str">
        <f>CHOOSE(HR_Data[[#This Row],[EnvironmentSatisfaction]],"Low","Medium","High","Very High")</f>
        <v>High</v>
      </c>
      <c r="AN818" s="1" t="str">
        <f>CHOOSE(HR_Data[[#This Row],[WorkLifeBalance]],"Bad","Good","Better","Best")</f>
        <v>Good</v>
      </c>
      <c r="AO818" s="1" t="str">
        <f>IF(HR_Data[[#This Row],[PercentSalaryHike]]&lt;=13,"11-13%",IF(HR_Data[[#This Row],[PercentSalaryHike]]&lt;=16,"14-16%",IF(HR_Data[[#This Row],[PercentSalaryHike]]&lt;=19,"17-19%","20-25%")))</f>
        <v>14-16%</v>
      </c>
      <c r="AP818" s="1">
        <f>IF(HR_Data[[#This Row],[PercentSalaryHike]]&lt;=13,1,IF(HR_Data[[#This Row],[PercentSalaryHike]]&lt;=16,2,IF(HR_Data[[#This Row],[PercentSalaryHike]]&lt;=19,3,4)))</f>
        <v>2</v>
      </c>
      <c r="AQ818" s="1" t="str">
        <f>IF(HR_Data[[#This Row],[DistanceFromHome]]&lt;=5,"1 to 5",IF(HR_Data[[#This Row],[DistanceFromHome]]&lt;=10,"6 to 10",IF(HR_Data[[#This Row],[DistanceFromHome]]&lt;=20,"11 to 20","21 to 29")))</f>
        <v>6 to 10</v>
      </c>
      <c r="AR818" s="1">
        <f>IF(HR_Data[[#This Row],[DistanceFromHome]]&lt;=5,1,IF(HR_Data[[#This Row],[DistanceFromHome]]&lt;=10,2,IF(HR_Data[[#This Row],[DistanceFromHome]]&lt;=20,3,4)))</f>
        <v>2</v>
      </c>
      <c r="AS818" s="1" t="str">
        <f>IF(HR_Data[[#This Row],[TotalWorkingYears]]&lt;=5,"0-5 Yrs",IF(HR_Data[[#This Row],[TotalWorkingYears]]&lt;=10,"6-10 Yrs",IF(HR_Data[[#This Row],[TotalWorkingYears]]&lt;=20,"11-20 Yrs","20+ Yrs")))</f>
        <v>6-10 Yrs</v>
      </c>
      <c r="AT818" s="1">
        <f>IF(HR_Data[[#This Row],[TotalWorkingYears]]&lt;=5,1,IF(HR_Data[[#This Row],[TotalWorkingYears]]&lt;=10,2,IF(HR_Data[[#This Row],[TotalWorkingYears]]&lt;=20,3,4)))</f>
        <v>2</v>
      </c>
    </row>
    <row r="819" spans="1:46" x14ac:dyDescent="0.25">
      <c r="A819">
        <v>36</v>
      </c>
      <c r="B819" t="s">
        <v>36</v>
      </c>
      <c r="C819" t="s">
        <v>48</v>
      </c>
      <c r="D819" t="s">
        <v>38</v>
      </c>
      <c r="E819">
        <v>18</v>
      </c>
      <c r="F819">
        <v>4</v>
      </c>
      <c r="G819" t="s">
        <v>32</v>
      </c>
      <c r="H819">
        <v>1133</v>
      </c>
      <c r="I819">
        <v>1</v>
      </c>
      <c r="J819" t="s">
        <v>39</v>
      </c>
      <c r="K819">
        <v>3</v>
      </c>
      <c r="L819">
        <v>2</v>
      </c>
      <c r="M819" t="s">
        <v>46</v>
      </c>
      <c r="N819">
        <v>4</v>
      </c>
      <c r="O819" t="s">
        <v>35</v>
      </c>
      <c r="P819">
        <v>7779</v>
      </c>
      <c r="Q819">
        <v>2</v>
      </c>
      <c r="R819" t="s">
        <v>36</v>
      </c>
      <c r="S819">
        <v>20</v>
      </c>
      <c r="T819">
        <v>4</v>
      </c>
      <c r="U819">
        <v>1</v>
      </c>
      <c r="V819">
        <v>0</v>
      </c>
      <c r="W819">
        <v>18</v>
      </c>
      <c r="X819">
        <v>0</v>
      </c>
      <c r="Y819">
        <v>3</v>
      </c>
      <c r="Z819">
        <v>11</v>
      </c>
      <c r="AA819">
        <v>9</v>
      </c>
      <c r="AB819">
        <v>0</v>
      </c>
      <c r="AC819">
        <v>9</v>
      </c>
      <c r="AD819">
        <f>IF(HR_Data[[#This Row],[Attrition]]="Yes",1,0)</f>
        <v>0</v>
      </c>
      <c r="AE819" t="str">
        <f>IF(HR_Data[[#This Row],[Age]]&lt;=25,"18-25",IF(HR_Data[[#This Row],[Age]]&lt;=35,"26-35",IF(HR_Data[[#This Row],[Age]]&lt;=45,"36-45",IF(HR_Data[[#This Row],[Age]]&lt;=55,"46-55","55+"))))</f>
        <v>36-45</v>
      </c>
      <c r="AF819">
        <f>IF(HR_Data[[#This Row],[Age]]&lt;=25,1,IF(HR_Data[[#This Row],[Age]]&lt;=35,2,IF(HR_Data[[#This Row],[Age]]&lt;=45,3,IF(HR_Data[[#This Row],[Age]]&lt;=55,4,5))))</f>
        <v>3</v>
      </c>
      <c r="AG819" s="1" t="str">
        <f>IF(HR_Data[[#This Row],[MonthlyIncome]]&lt;3000,"&lt;3K",IF(HR_Data[[#This Row],[MonthlyIncome]]&lt;6000,"3K-6K",IF(HR_Data[[#This Row],[MonthlyIncome]]&lt;10000,"6K-10K","10K+")))</f>
        <v>6K-10K</v>
      </c>
      <c r="AH819" s="1">
        <f>IF(HR_Data[[#This Row],[MonthlyIncome]]&lt;3000,1,IF(HR_Data[[#This Row],[MonthlyIncome]]&lt;6000,2,IF(HR_Data[[#This Row],[MonthlyIncome]]&lt;10000,3,4)))</f>
        <v>3</v>
      </c>
      <c r="AI819" s="1" t="str">
        <f>IF(HR_Data[[#This Row],[YearsAtCompany]]&lt;=2,"0-2 Yrs",IF(HR_Data[[#This Row],[YearsAtCompany]]&lt;=5,"3-5 Yrs",IF(HR_Data[[#This Row],[YearsAtCompany]]&lt;=10,"6-10 Yrs","10+ Yrs")))</f>
        <v>10+ Yrs</v>
      </c>
      <c r="AJ819" s="1">
        <f>IF(HR_Data[[#This Row],[YearsAtCompany]]&lt;=2,1,IF(HR_Data[[#This Row],[YearsAtCompany]]&lt;=5,2,IF(HR_Data[[#This Row],[YearsAtCompany]]&lt;=10,3,4)))</f>
        <v>4</v>
      </c>
      <c r="AK819" s="1" t="str">
        <f>CHOOSE(HR_Data[[#This Row],[Education]],"Below College","College","Bachelor","Master","Doctor")</f>
        <v>Master</v>
      </c>
      <c r="AL819" s="1" t="str">
        <f>CHOOSE(HR_Data[[#This Row],[JobSatisfaction]],"Low","Medium","High","Very High")</f>
        <v>Very High</v>
      </c>
      <c r="AM819" s="1" t="str">
        <f>CHOOSE(HR_Data[[#This Row],[EnvironmentSatisfaction]],"Low","Medium","High","Very High")</f>
        <v>Low</v>
      </c>
      <c r="AN819" s="1" t="str">
        <f>CHOOSE(HR_Data[[#This Row],[WorkLifeBalance]],"Bad","Good","Better","Best")</f>
        <v>Better</v>
      </c>
      <c r="AO819" s="1" t="str">
        <f>IF(HR_Data[[#This Row],[PercentSalaryHike]]&lt;=13,"11-13%",IF(HR_Data[[#This Row],[PercentSalaryHike]]&lt;=16,"14-16%",IF(HR_Data[[#This Row],[PercentSalaryHike]]&lt;=19,"17-19%","20-25%")))</f>
        <v>20-25%</v>
      </c>
      <c r="AP819" s="1">
        <f>IF(HR_Data[[#This Row],[PercentSalaryHike]]&lt;=13,1,IF(HR_Data[[#This Row],[PercentSalaryHike]]&lt;=16,2,IF(HR_Data[[#This Row],[PercentSalaryHike]]&lt;=19,3,4)))</f>
        <v>4</v>
      </c>
      <c r="AQ819" s="1" t="str">
        <f>IF(HR_Data[[#This Row],[DistanceFromHome]]&lt;=5,"1 to 5",IF(HR_Data[[#This Row],[DistanceFromHome]]&lt;=10,"6 to 10",IF(HR_Data[[#This Row],[DistanceFromHome]]&lt;=20,"11 to 20","21 to 29")))</f>
        <v>11 to 20</v>
      </c>
      <c r="AR819" s="1">
        <f>IF(HR_Data[[#This Row],[DistanceFromHome]]&lt;=5,1,IF(HR_Data[[#This Row],[DistanceFromHome]]&lt;=10,2,IF(HR_Data[[#This Row],[DistanceFromHome]]&lt;=20,3,4)))</f>
        <v>3</v>
      </c>
      <c r="AS819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819" s="1">
        <f>IF(HR_Data[[#This Row],[TotalWorkingYears]]&lt;=5,1,IF(HR_Data[[#This Row],[TotalWorkingYears]]&lt;=10,2,IF(HR_Data[[#This Row],[TotalWorkingYears]]&lt;=20,3,4)))</f>
        <v>3</v>
      </c>
    </row>
    <row r="820" spans="1:46" x14ac:dyDescent="0.25">
      <c r="A820">
        <v>31</v>
      </c>
      <c r="B820" t="s">
        <v>36</v>
      </c>
      <c r="C820" t="s">
        <v>37</v>
      </c>
      <c r="D820" t="s">
        <v>31</v>
      </c>
      <c r="E820">
        <v>20</v>
      </c>
      <c r="F820">
        <v>3</v>
      </c>
      <c r="G820" t="s">
        <v>32</v>
      </c>
      <c r="H820">
        <v>1135</v>
      </c>
      <c r="I820">
        <v>3</v>
      </c>
      <c r="J820" t="s">
        <v>39</v>
      </c>
      <c r="K820">
        <v>4</v>
      </c>
      <c r="L820">
        <v>1</v>
      </c>
      <c r="M820" t="s">
        <v>50</v>
      </c>
      <c r="N820">
        <v>4</v>
      </c>
      <c r="O820" t="s">
        <v>41</v>
      </c>
      <c r="P820">
        <v>2791</v>
      </c>
      <c r="Q820">
        <v>0</v>
      </c>
      <c r="R820" t="s">
        <v>36</v>
      </c>
      <c r="S820">
        <v>12</v>
      </c>
      <c r="T820">
        <v>3</v>
      </c>
      <c r="U820">
        <v>1</v>
      </c>
      <c r="V820">
        <v>1</v>
      </c>
      <c r="W820">
        <v>3</v>
      </c>
      <c r="X820">
        <v>4</v>
      </c>
      <c r="Y820">
        <v>3</v>
      </c>
      <c r="Z820">
        <v>2</v>
      </c>
      <c r="AA820">
        <v>2</v>
      </c>
      <c r="AB820">
        <v>2</v>
      </c>
      <c r="AC820">
        <v>2</v>
      </c>
      <c r="AD820">
        <f>IF(HR_Data[[#This Row],[Attrition]]="Yes",1,0)</f>
        <v>0</v>
      </c>
      <c r="AE820" t="str">
        <f>IF(HR_Data[[#This Row],[Age]]&lt;=25,"18-25",IF(HR_Data[[#This Row],[Age]]&lt;=35,"26-35",IF(HR_Data[[#This Row],[Age]]&lt;=45,"36-45",IF(HR_Data[[#This Row],[Age]]&lt;=55,"46-55","55+"))))</f>
        <v>26-35</v>
      </c>
      <c r="AF820">
        <f>IF(HR_Data[[#This Row],[Age]]&lt;=25,1,IF(HR_Data[[#This Row],[Age]]&lt;=35,2,IF(HR_Data[[#This Row],[Age]]&lt;=45,3,IF(HR_Data[[#This Row],[Age]]&lt;=55,4,5))))</f>
        <v>2</v>
      </c>
      <c r="AG820" s="1" t="str">
        <f>IF(HR_Data[[#This Row],[MonthlyIncome]]&lt;3000,"&lt;3K",IF(HR_Data[[#This Row],[MonthlyIncome]]&lt;6000,"3K-6K",IF(HR_Data[[#This Row],[MonthlyIncome]]&lt;10000,"6K-10K","10K+")))</f>
        <v>&lt;3K</v>
      </c>
      <c r="AH820" s="1">
        <f>IF(HR_Data[[#This Row],[MonthlyIncome]]&lt;3000,1,IF(HR_Data[[#This Row],[MonthlyIncome]]&lt;6000,2,IF(HR_Data[[#This Row],[MonthlyIncome]]&lt;10000,3,4)))</f>
        <v>1</v>
      </c>
      <c r="AI820" s="1" t="str">
        <f>IF(HR_Data[[#This Row],[YearsAtCompany]]&lt;=2,"0-2 Yrs",IF(HR_Data[[#This Row],[YearsAtCompany]]&lt;=5,"3-5 Yrs",IF(HR_Data[[#This Row],[YearsAtCompany]]&lt;=10,"6-10 Yrs","10+ Yrs")))</f>
        <v>0-2 Yrs</v>
      </c>
      <c r="AJ820" s="1">
        <f>IF(HR_Data[[#This Row],[YearsAtCompany]]&lt;=2,1,IF(HR_Data[[#This Row],[YearsAtCompany]]&lt;=5,2,IF(HR_Data[[#This Row],[YearsAtCompany]]&lt;=10,3,4)))</f>
        <v>1</v>
      </c>
      <c r="AK820" s="1" t="str">
        <f>CHOOSE(HR_Data[[#This Row],[Education]],"Below College","College","Bachelor","Master","Doctor")</f>
        <v>Bachelor</v>
      </c>
      <c r="AL820" s="1" t="str">
        <f>CHOOSE(HR_Data[[#This Row],[JobSatisfaction]],"Low","Medium","High","Very High")</f>
        <v>Very High</v>
      </c>
      <c r="AM820" s="1" t="str">
        <f>CHOOSE(HR_Data[[#This Row],[EnvironmentSatisfaction]],"Low","Medium","High","Very High")</f>
        <v>High</v>
      </c>
      <c r="AN820" s="1" t="str">
        <f>CHOOSE(HR_Data[[#This Row],[WorkLifeBalance]],"Bad","Good","Better","Best")</f>
        <v>Better</v>
      </c>
      <c r="AO820" s="1" t="str">
        <f>IF(HR_Data[[#This Row],[PercentSalaryHike]]&lt;=13,"11-13%",IF(HR_Data[[#This Row],[PercentSalaryHike]]&lt;=16,"14-16%",IF(HR_Data[[#This Row],[PercentSalaryHike]]&lt;=19,"17-19%","20-25%")))</f>
        <v>11-13%</v>
      </c>
      <c r="AP820" s="1">
        <f>IF(HR_Data[[#This Row],[PercentSalaryHike]]&lt;=13,1,IF(HR_Data[[#This Row],[PercentSalaryHike]]&lt;=16,2,IF(HR_Data[[#This Row],[PercentSalaryHike]]&lt;=19,3,4)))</f>
        <v>1</v>
      </c>
      <c r="AQ820" s="1" t="str">
        <f>IF(HR_Data[[#This Row],[DistanceFromHome]]&lt;=5,"1 to 5",IF(HR_Data[[#This Row],[DistanceFromHome]]&lt;=10,"6 to 10",IF(HR_Data[[#This Row],[DistanceFromHome]]&lt;=20,"11 to 20","21 to 29")))</f>
        <v>11 to 20</v>
      </c>
      <c r="AR820" s="1">
        <f>IF(HR_Data[[#This Row],[DistanceFromHome]]&lt;=5,1,IF(HR_Data[[#This Row],[DistanceFromHome]]&lt;=10,2,IF(HR_Data[[#This Row],[DistanceFromHome]]&lt;=20,3,4)))</f>
        <v>3</v>
      </c>
      <c r="AS820" s="1" t="str">
        <f>IF(HR_Data[[#This Row],[TotalWorkingYears]]&lt;=5,"0-5 Yrs",IF(HR_Data[[#This Row],[TotalWorkingYears]]&lt;=10,"6-10 Yrs",IF(HR_Data[[#This Row],[TotalWorkingYears]]&lt;=20,"11-20 Yrs","20+ Yrs")))</f>
        <v>0-5 Yrs</v>
      </c>
      <c r="AT820" s="1">
        <f>IF(HR_Data[[#This Row],[TotalWorkingYears]]&lt;=5,1,IF(HR_Data[[#This Row],[TotalWorkingYears]]&lt;=10,2,IF(HR_Data[[#This Row],[TotalWorkingYears]]&lt;=20,3,4)))</f>
        <v>1</v>
      </c>
    </row>
    <row r="821" spans="1:46" x14ac:dyDescent="0.25">
      <c r="A821">
        <v>28</v>
      </c>
      <c r="B821" t="s">
        <v>36</v>
      </c>
      <c r="C821" t="s">
        <v>30</v>
      </c>
      <c r="D821" t="s">
        <v>38</v>
      </c>
      <c r="E821">
        <v>2</v>
      </c>
      <c r="F821">
        <v>1</v>
      </c>
      <c r="G821" t="s">
        <v>32</v>
      </c>
      <c r="H821">
        <v>1136</v>
      </c>
      <c r="I821">
        <v>1</v>
      </c>
      <c r="J821" t="s">
        <v>39</v>
      </c>
      <c r="K821">
        <v>2</v>
      </c>
      <c r="L821">
        <v>1</v>
      </c>
      <c r="M821" t="s">
        <v>40</v>
      </c>
      <c r="N821">
        <v>2</v>
      </c>
      <c r="O821" t="s">
        <v>41</v>
      </c>
      <c r="P821">
        <v>3201</v>
      </c>
      <c r="Q821">
        <v>0</v>
      </c>
      <c r="R821" t="s">
        <v>36</v>
      </c>
      <c r="S821">
        <v>17</v>
      </c>
      <c r="T821">
        <v>3</v>
      </c>
      <c r="U821">
        <v>1</v>
      </c>
      <c r="V821">
        <v>0</v>
      </c>
      <c r="W821">
        <v>6</v>
      </c>
      <c r="X821">
        <v>2</v>
      </c>
      <c r="Y821">
        <v>1</v>
      </c>
      <c r="Z821">
        <v>5</v>
      </c>
      <c r="AA821">
        <v>3</v>
      </c>
      <c r="AB821">
        <v>0</v>
      </c>
      <c r="AC821">
        <v>4</v>
      </c>
      <c r="AD821">
        <f>IF(HR_Data[[#This Row],[Attrition]]="Yes",1,0)</f>
        <v>0</v>
      </c>
      <c r="AE821" t="str">
        <f>IF(HR_Data[[#This Row],[Age]]&lt;=25,"18-25",IF(HR_Data[[#This Row],[Age]]&lt;=35,"26-35",IF(HR_Data[[#This Row],[Age]]&lt;=45,"36-45",IF(HR_Data[[#This Row],[Age]]&lt;=55,"46-55","55+"))))</f>
        <v>26-35</v>
      </c>
      <c r="AF821">
        <f>IF(HR_Data[[#This Row],[Age]]&lt;=25,1,IF(HR_Data[[#This Row],[Age]]&lt;=35,2,IF(HR_Data[[#This Row],[Age]]&lt;=45,3,IF(HR_Data[[#This Row],[Age]]&lt;=55,4,5))))</f>
        <v>2</v>
      </c>
      <c r="AG821" s="1" t="str">
        <f>IF(HR_Data[[#This Row],[MonthlyIncome]]&lt;3000,"&lt;3K",IF(HR_Data[[#This Row],[MonthlyIncome]]&lt;6000,"3K-6K",IF(HR_Data[[#This Row],[MonthlyIncome]]&lt;10000,"6K-10K","10K+")))</f>
        <v>3K-6K</v>
      </c>
      <c r="AH821" s="1">
        <f>IF(HR_Data[[#This Row],[MonthlyIncome]]&lt;3000,1,IF(HR_Data[[#This Row],[MonthlyIncome]]&lt;6000,2,IF(HR_Data[[#This Row],[MonthlyIncome]]&lt;10000,3,4)))</f>
        <v>2</v>
      </c>
      <c r="AI821" s="1" t="str">
        <f>IF(HR_Data[[#This Row],[YearsAtCompany]]&lt;=2,"0-2 Yrs",IF(HR_Data[[#This Row],[YearsAtCompany]]&lt;=5,"3-5 Yrs",IF(HR_Data[[#This Row],[YearsAtCompany]]&lt;=10,"6-10 Yrs","10+ Yrs")))</f>
        <v>3-5 Yrs</v>
      </c>
      <c r="AJ821" s="1">
        <f>IF(HR_Data[[#This Row],[YearsAtCompany]]&lt;=2,1,IF(HR_Data[[#This Row],[YearsAtCompany]]&lt;=5,2,IF(HR_Data[[#This Row],[YearsAtCompany]]&lt;=10,3,4)))</f>
        <v>2</v>
      </c>
      <c r="AK821" s="1" t="str">
        <f>CHOOSE(HR_Data[[#This Row],[Education]],"Below College","College","Bachelor","Master","Doctor")</f>
        <v>Below College</v>
      </c>
      <c r="AL821" s="1" t="str">
        <f>CHOOSE(HR_Data[[#This Row],[JobSatisfaction]],"Low","Medium","High","Very High")</f>
        <v>Medium</v>
      </c>
      <c r="AM821" s="1" t="str">
        <f>CHOOSE(HR_Data[[#This Row],[EnvironmentSatisfaction]],"Low","Medium","High","Very High")</f>
        <v>Low</v>
      </c>
      <c r="AN821" s="1" t="str">
        <f>CHOOSE(HR_Data[[#This Row],[WorkLifeBalance]],"Bad","Good","Better","Best")</f>
        <v>Bad</v>
      </c>
      <c r="AO821" s="1" t="str">
        <f>IF(HR_Data[[#This Row],[PercentSalaryHike]]&lt;=13,"11-13%",IF(HR_Data[[#This Row],[PercentSalaryHike]]&lt;=16,"14-16%",IF(HR_Data[[#This Row],[PercentSalaryHike]]&lt;=19,"17-19%","20-25%")))</f>
        <v>17-19%</v>
      </c>
      <c r="AP821" s="1">
        <f>IF(HR_Data[[#This Row],[PercentSalaryHike]]&lt;=13,1,IF(HR_Data[[#This Row],[PercentSalaryHike]]&lt;=16,2,IF(HR_Data[[#This Row],[PercentSalaryHike]]&lt;=19,3,4)))</f>
        <v>3</v>
      </c>
      <c r="AQ821" s="1" t="str">
        <f>IF(HR_Data[[#This Row],[DistanceFromHome]]&lt;=5,"1 to 5",IF(HR_Data[[#This Row],[DistanceFromHome]]&lt;=10,"6 to 10",IF(HR_Data[[#This Row],[DistanceFromHome]]&lt;=20,"11 to 20","21 to 29")))</f>
        <v>1 to 5</v>
      </c>
      <c r="AR821" s="1">
        <f>IF(HR_Data[[#This Row],[DistanceFromHome]]&lt;=5,1,IF(HR_Data[[#This Row],[DistanceFromHome]]&lt;=10,2,IF(HR_Data[[#This Row],[DistanceFromHome]]&lt;=20,3,4)))</f>
        <v>1</v>
      </c>
      <c r="AS821" s="1" t="str">
        <f>IF(HR_Data[[#This Row],[TotalWorkingYears]]&lt;=5,"0-5 Yrs",IF(HR_Data[[#This Row],[TotalWorkingYears]]&lt;=10,"6-10 Yrs",IF(HR_Data[[#This Row],[TotalWorkingYears]]&lt;=20,"11-20 Yrs","20+ Yrs")))</f>
        <v>6-10 Yrs</v>
      </c>
      <c r="AT821" s="1">
        <f>IF(HR_Data[[#This Row],[TotalWorkingYears]]&lt;=5,1,IF(HR_Data[[#This Row],[TotalWorkingYears]]&lt;=10,2,IF(HR_Data[[#This Row],[TotalWorkingYears]]&lt;=20,3,4)))</f>
        <v>2</v>
      </c>
    </row>
    <row r="822" spans="1:46" x14ac:dyDescent="0.25">
      <c r="A822">
        <v>35</v>
      </c>
      <c r="B822" t="s">
        <v>36</v>
      </c>
      <c r="C822" t="s">
        <v>37</v>
      </c>
      <c r="D822" t="s">
        <v>31</v>
      </c>
      <c r="E822">
        <v>11</v>
      </c>
      <c r="F822">
        <v>2</v>
      </c>
      <c r="G822" t="s">
        <v>52</v>
      </c>
      <c r="H822">
        <v>1137</v>
      </c>
      <c r="I822">
        <v>4</v>
      </c>
      <c r="J822" t="s">
        <v>39</v>
      </c>
      <c r="K822">
        <v>3</v>
      </c>
      <c r="L822">
        <v>2</v>
      </c>
      <c r="M822" t="s">
        <v>34</v>
      </c>
      <c r="N822">
        <v>4</v>
      </c>
      <c r="O822" t="s">
        <v>45</v>
      </c>
      <c r="P822">
        <v>4968</v>
      </c>
      <c r="Q822">
        <v>1</v>
      </c>
      <c r="R822" t="s">
        <v>36</v>
      </c>
      <c r="S822">
        <v>11</v>
      </c>
      <c r="T822">
        <v>3</v>
      </c>
      <c r="U822">
        <v>4</v>
      </c>
      <c r="V822">
        <v>1</v>
      </c>
      <c r="W822">
        <v>5</v>
      </c>
      <c r="X822">
        <v>3</v>
      </c>
      <c r="Y822">
        <v>3</v>
      </c>
      <c r="Z822">
        <v>5</v>
      </c>
      <c r="AA822">
        <v>2</v>
      </c>
      <c r="AB822">
        <v>0</v>
      </c>
      <c r="AC822">
        <v>2</v>
      </c>
      <c r="AD822">
        <f>IF(HR_Data[[#This Row],[Attrition]]="Yes",1,0)</f>
        <v>0</v>
      </c>
      <c r="AE822" t="str">
        <f>IF(HR_Data[[#This Row],[Age]]&lt;=25,"18-25",IF(HR_Data[[#This Row],[Age]]&lt;=35,"26-35",IF(HR_Data[[#This Row],[Age]]&lt;=45,"36-45",IF(HR_Data[[#This Row],[Age]]&lt;=55,"46-55","55+"))))</f>
        <v>26-35</v>
      </c>
      <c r="AF822">
        <f>IF(HR_Data[[#This Row],[Age]]&lt;=25,1,IF(HR_Data[[#This Row],[Age]]&lt;=35,2,IF(HR_Data[[#This Row],[Age]]&lt;=45,3,IF(HR_Data[[#This Row],[Age]]&lt;=55,4,5))))</f>
        <v>2</v>
      </c>
      <c r="AG822" s="1" t="str">
        <f>IF(HR_Data[[#This Row],[MonthlyIncome]]&lt;3000,"&lt;3K",IF(HR_Data[[#This Row],[MonthlyIncome]]&lt;6000,"3K-6K",IF(HR_Data[[#This Row],[MonthlyIncome]]&lt;10000,"6K-10K","10K+")))</f>
        <v>3K-6K</v>
      </c>
      <c r="AH822" s="1">
        <f>IF(HR_Data[[#This Row],[MonthlyIncome]]&lt;3000,1,IF(HR_Data[[#This Row],[MonthlyIncome]]&lt;6000,2,IF(HR_Data[[#This Row],[MonthlyIncome]]&lt;10000,3,4)))</f>
        <v>2</v>
      </c>
      <c r="AI822" s="1" t="str">
        <f>IF(HR_Data[[#This Row],[YearsAtCompany]]&lt;=2,"0-2 Yrs",IF(HR_Data[[#This Row],[YearsAtCompany]]&lt;=5,"3-5 Yrs",IF(HR_Data[[#This Row],[YearsAtCompany]]&lt;=10,"6-10 Yrs","10+ Yrs")))</f>
        <v>3-5 Yrs</v>
      </c>
      <c r="AJ822" s="1">
        <f>IF(HR_Data[[#This Row],[YearsAtCompany]]&lt;=2,1,IF(HR_Data[[#This Row],[YearsAtCompany]]&lt;=5,2,IF(HR_Data[[#This Row],[YearsAtCompany]]&lt;=10,3,4)))</f>
        <v>2</v>
      </c>
      <c r="AK822" s="1" t="str">
        <f>CHOOSE(HR_Data[[#This Row],[Education]],"Below College","College","Bachelor","Master","Doctor")</f>
        <v>College</v>
      </c>
      <c r="AL822" s="1" t="str">
        <f>CHOOSE(HR_Data[[#This Row],[JobSatisfaction]],"Low","Medium","High","Very High")</f>
        <v>Very High</v>
      </c>
      <c r="AM822" s="1" t="str">
        <f>CHOOSE(HR_Data[[#This Row],[EnvironmentSatisfaction]],"Low","Medium","High","Very High")</f>
        <v>Very High</v>
      </c>
      <c r="AN822" s="1" t="str">
        <f>CHOOSE(HR_Data[[#This Row],[WorkLifeBalance]],"Bad","Good","Better","Best")</f>
        <v>Better</v>
      </c>
      <c r="AO822" s="1" t="str">
        <f>IF(HR_Data[[#This Row],[PercentSalaryHike]]&lt;=13,"11-13%",IF(HR_Data[[#This Row],[PercentSalaryHike]]&lt;=16,"14-16%",IF(HR_Data[[#This Row],[PercentSalaryHike]]&lt;=19,"17-19%","20-25%")))</f>
        <v>11-13%</v>
      </c>
      <c r="AP822" s="1">
        <f>IF(HR_Data[[#This Row],[PercentSalaryHike]]&lt;=13,1,IF(HR_Data[[#This Row],[PercentSalaryHike]]&lt;=16,2,IF(HR_Data[[#This Row],[PercentSalaryHike]]&lt;=19,3,4)))</f>
        <v>1</v>
      </c>
      <c r="AQ822" s="1" t="str">
        <f>IF(HR_Data[[#This Row],[DistanceFromHome]]&lt;=5,"1 to 5",IF(HR_Data[[#This Row],[DistanceFromHome]]&lt;=10,"6 to 10",IF(HR_Data[[#This Row],[DistanceFromHome]]&lt;=20,"11 to 20","21 to 29")))</f>
        <v>11 to 20</v>
      </c>
      <c r="AR822" s="1">
        <f>IF(HR_Data[[#This Row],[DistanceFromHome]]&lt;=5,1,IF(HR_Data[[#This Row],[DistanceFromHome]]&lt;=10,2,IF(HR_Data[[#This Row],[DistanceFromHome]]&lt;=20,3,4)))</f>
        <v>3</v>
      </c>
      <c r="AS822" s="1" t="str">
        <f>IF(HR_Data[[#This Row],[TotalWorkingYears]]&lt;=5,"0-5 Yrs",IF(HR_Data[[#This Row],[TotalWorkingYears]]&lt;=10,"6-10 Yrs",IF(HR_Data[[#This Row],[TotalWorkingYears]]&lt;=20,"11-20 Yrs","20+ Yrs")))</f>
        <v>0-5 Yrs</v>
      </c>
      <c r="AT822" s="1">
        <f>IF(HR_Data[[#This Row],[TotalWorkingYears]]&lt;=5,1,IF(HR_Data[[#This Row],[TotalWorkingYears]]&lt;=10,2,IF(HR_Data[[#This Row],[TotalWorkingYears]]&lt;=20,3,4)))</f>
        <v>1</v>
      </c>
    </row>
    <row r="823" spans="1:46" x14ac:dyDescent="0.25">
      <c r="A823">
        <v>49</v>
      </c>
      <c r="B823" t="s">
        <v>36</v>
      </c>
      <c r="C823" t="s">
        <v>30</v>
      </c>
      <c r="D823" t="s">
        <v>31</v>
      </c>
      <c r="E823">
        <v>8</v>
      </c>
      <c r="F823">
        <v>4</v>
      </c>
      <c r="G823" t="s">
        <v>53</v>
      </c>
      <c r="H823">
        <v>1138</v>
      </c>
      <c r="I823">
        <v>4</v>
      </c>
      <c r="J823" t="s">
        <v>39</v>
      </c>
      <c r="K823">
        <v>2</v>
      </c>
      <c r="L823">
        <v>4</v>
      </c>
      <c r="M823" t="s">
        <v>34</v>
      </c>
      <c r="N823">
        <v>2</v>
      </c>
      <c r="O823" t="s">
        <v>41</v>
      </c>
      <c r="P823">
        <v>13120</v>
      </c>
      <c r="Q823">
        <v>6</v>
      </c>
      <c r="R823" t="s">
        <v>36</v>
      </c>
      <c r="S823">
        <v>17</v>
      </c>
      <c r="T823">
        <v>3</v>
      </c>
      <c r="U823">
        <v>2</v>
      </c>
      <c r="V823">
        <v>1</v>
      </c>
      <c r="W823">
        <v>22</v>
      </c>
      <c r="X823">
        <v>3</v>
      </c>
      <c r="Y823">
        <v>3</v>
      </c>
      <c r="Z823">
        <v>9</v>
      </c>
      <c r="AA823">
        <v>8</v>
      </c>
      <c r="AB823">
        <v>2</v>
      </c>
      <c r="AC823">
        <v>3</v>
      </c>
      <c r="AD823">
        <f>IF(HR_Data[[#This Row],[Attrition]]="Yes",1,0)</f>
        <v>0</v>
      </c>
      <c r="AE823" t="str">
        <f>IF(HR_Data[[#This Row],[Age]]&lt;=25,"18-25",IF(HR_Data[[#This Row],[Age]]&lt;=35,"26-35",IF(HR_Data[[#This Row],[Age]]&lt;=45,"36-45",IF(HR_Data[[#This Row],[Age]]&lt;=55,"46-55","55+"))))</f>
        <v>46-55</v>
      </c>
      <c r="AF823">
        <f>IF(HR_Data[[#This Row],[Age]]&lt;=25,1,IF(HR_Data[[#This Row],[Age]]&lt;=35,2,IF(HR_Data[[#This Row],[Age]]&lt;=45,3,IF(HR_Data[[#This Row],[Age]]&lt;=55,4,5))))</f>
        <v>4</v>
      </c>
      <c r="AG823" s="1" t="str">
        <f>IF(HR_Data[[#This Row],[MonthlyIncome]]&lt;3000,"&lt;3K",IF(HR_Data[[#This Row],[MonthlyIncome]]&lt;6000,"3K-6K",IF(HR_Data[[#This Row],[MonthlyIncome]]&lt;10000,"6K-10K","10K+")))</f>
        <v>10K+</v>
      </c>
      <c r="AH823" s="1">
        <f>IF(HR_Data[[#This Row],[MonthlyIncome]]&lt;3000,1,IF(HR_Data[[#This Row],[MonthlyIncome]]&lt;6000,2,IF(HR_Data[[#This Row],[MonthlyIncome]]&lt;10000,3,4)))</f>
        <v>4</v>
      </c>
      <c r="AI823" s="1" t="str">
        <f>IF(HR_Data[[#This Row],[YearsAtCompany]]&lt;=2,"0-2 Yrs",IF(HR_Data[[#This Row],[YearsAtCompany]]&lt;=5,"3-5 Yrs",IF(HR_Data[[#This Row],[YearsAtCompany]]&lt;=10,"6-10 Yrs","10+ Yrs")))</f>
        <v>6-10 Yrs</v>
      </c>
      <c r="AJ823" s="1">
        <f>IF(HR_Data[[#This Row],[YearsAtCompany]]&lt;=2,1,IF(HR_Data[[#This Row],[YearsAtCompany]]&lt;=5,2,IF(HR_Data[[#This Row],[YearsAtCompany]]&lt;=10,3,4)))</f>
        <v>3</v>
      </c>
      <c r="AK823" s="1" t="str">
        <f>CHOOSE(HR_Data[[#This Row],[Education]],"Below College","College","Bachelor","Master","Doctor")</f>
        <v>Master</v>
      </c>
      <c r="AL823" s="1" t="str">
        <f>CHOOSE(HR_Data[[#This Row],[JobSatisfaction]],"Low","Medium","High","Very High")</f>
        <v>Medium</v>
      </c>
      <c r="AM823" s="1" t="str">
        <f>CHOOSE(HR_Data[[#This Row],[EnvironmentSatisfaction]],"Low","Medium","High","Very High")</f>
        <v>Very High</v>
      </c>
      <c r="AN823" s="1" t="str">
        <f>CHOOSE(HR_Data[[#This Row],[WorkLifeBalance]],"Bad","Good","Better","Best")</f>
        <v>Better</v>
      </c>
      <c r="AO823" s="1" t="str">
        <f>IF(HR_Data[[#This Row],[PercentSalaryHike]]&lt;=13,"11-13%",IF(HR_Data[[#This Row],[PercentSalaryHike]]&lt;=16,"14-16%",IF(HR_Data[[#This Row],[PercentSalaryHike]]&lt;=19,"17-19%","20-25%")))</f>
        <v>17-19%</v>
      </c>
      <c r="AP823" s="1">
        <f>IF(HR_Data[[#This Row],[PercentSalaryHike]]&lt;=13,1,IF(HR_Data[[#This Row],[PercentSalaryHike]]&lt;=16,2,IF(HR_Data[[#This Row],[PercentSalaryHike]]&lt;=19,3,4)))</f>
        <v>3</v>
      </c>
      <c r="AQ823" s="1" t="str">
        <f>IF(HR_Data[[#This Row],[DistanceFromHome]]&lt;=5,"1 to 5",IF(HR_Data[[#This Row],[DistanceFromHome]]&lt;=10,"6 to 10",IF(HR_Data[[#This Row],[DistanceFromHome]]&lt;=20,"11 to 20","21 to 29")))</f>
        <v>6 to 10</v>
      </c>
      <c r="AR823" s="1">
        <f>IF(HR_Data[[#This Row],[DistanceFromHome]]&lt;=5,1,IF(HR_Data[[#This Row],[DistanceFromHome]]&lt;=10,2,IF(HR_Data[[#This Row],[DistanceFromHome]]&lt;=20,3,4)))</f>
        <v>2</v>
      </c>
      <c r="AS823" s="1" t="str">
        <f>IF(HR_Data[[#This Row],[TotalWorkingYears]]&lt;=5,"0-5 Yrs",IF(HR_Data[[#This Row],[TotalWorkingYears]]&lt;=10,"6-10 Yrs",IF(HR_Data[[#This Row],[TotalWorkingYears]]&lt;=20,"11-20 Yrs","20+ Yrs")))</f>
        <v>20+ Yrs</v>
      </c>
      <c r="AT823" s="1">
        <f>IF(HR_Data[[#This Row],[TotalWorkingYears]]&lt;=5,1,IF(HR_Data[[#This Row],[TotalWorkingYears]]&lt;=10,2,IF(HR_Data[[#This Row],[TotalWorkingYears]]&lt;=20,3,4)))</f>
        <v>4</v>
      </c>
    </row>
    <row r="824" spans="1:46" x14ac:dyDescent="0.25">
      <c r="A824">
        <v>34</v>
      </c>
      <c r="B824" t="s">
        <v>36</v>
      </c>
      <c r="C824" t="s">
        <v>37</v>
      </c>
      <c r="D824" t="s">
        <v>38</v>
      </c>
      <c r="E824">
        <v>2</v>
      </c>
      <c r="F824">
        <v>2</v>
      </c>
      <c r="G824" t="s">
        <v>32</v>
      </c>
      <c r="H824">
        <v>1140</v>
      </c>
      <c r="I824">
        <v>4</v>
      </c>
      <c r="J824" t="s">
        <v>39</v>
      </c>
      <c r="K824">
        <v>3</v>
      </c>
      <c r="L824">
        <v>2</v>
      </c>
      <c r="M824" t="s">
        <v>46</v>
      </c>
      <c r="N824">
        <v>3</v>
      </c>
      <c r="O824" t="s">
        <v>35</v>
      </c>
      <c r="P824">
        <v>4033</v>
      </c>
      <c r="Q824">
        <v>2</v>
      </c>
      <c r="R824" t="s">
        <v>36</v>
      </c>
      <c r="S824">
        <v>11</v>
      </c>
      <c r="T824">
        <v>3</v>
      </c>
      <c r="U824">
        <v>4</v>
      </c>
      <c r="V824">
        <v>0</v>
      </c>
      <c r="W824">
        <v>5</v>
      </c>
      <c r="X824">
        <v>3</v>
      </c>
      <c r="Y824">
        <v>2</v>
      </c>
      <c r="Z824">
        <v>3</v>
      </c>
      <c r="AA824">
        <v>2</v>
      </c>
      <c r="AB824">
        <v>0</v>
      </c>
      <c r="AC824">
        <v>2</v>
      </c>
      <c r="AD824">
        <f>IF(HR_Data[[#This Row],[Attrition]]="Yes",1,0)</f>
        <v>0</v>
      </c>
      <c r="AE824" t="str">
        <f>IF(HR_Data[[#This Row],[Age]]&lt;=25,"18-25",IF(HR_Data[[#This Row],[Age]]&lt;=35,"26-35",IF(HR_Data[[#This Row],[Age]]&lt;=45,"36-45",IF(HR_Data[[#This Row],[Age]]&lt;=55,"46-55","55+"))))</f>
        <v>26-35</v>
      </c>
      <c r="AF824">
        <f>IF(HR_Data[[#This Row],[Age]]&lt;=25,1,IF(HR_Data[[#This Row],[Age]]&lt;=35,2,IF(HR_Data[[#This Row],[Age]]&lt;=45,3,IF(HR_Data[[#This Row],[Age]]&lt;=55,4,5))))</f>
        <v>2</v>
      </c>
      <c r="AG824" s="1" t="str">
        <f>IF(HR_Data[[#This Row],[MonthlyIncome]]&lt;3000,"&lt;3K",IF(HR_Data[[#This Row],[MonthlyIncome]]&lt;6000,"3K-6K",IF(HR_Data[[#This Row],[MonthlyIncome]]&lt;10000,"6K-10K","10K+")))</f>
        <v>3K-6K</v>
      </c>
      <c r="AH824" s="1">
        <f>IF(HR_Data[[#This Row],[MonthlyIncome]]&lt;3000,1,IF(HR_Data[[#This Row],[MonthlyIncome]]&lt;6000,2,IF(HR_Data[[#This Row],[MonthlyIncome]]&lt;10000,3,4)))</f>
        <v>2</v>
      </c>
      <c r="AI824" s="1" t="str">
        <f>IF(HR_Data[[#This Row],[YearsAtCompany]]&lt;=2,"0-2 Yrs",IF(HR_Data[[#This Row],[YearsAtCompany]]&lt;=5,"3-5 Yrs",IF(HR_Data[[#This Row],[YearsAtCompany]]&lt;=10,"6-10 Yrs","10+ Yrs")))</f>
        <v>3-5 Yrs</v>
      </c>
      <c r="AJ824" s="1">
        <f>IF(HR_Data[[#This Row],[YearsAtCompany]]&lt;=2,1,IF(HR_Data[[#This Row],[YearsAtCompany]]&lt;=5,2,IF(HR_Data[[#This Row],[YearsAtCompany]]&lt;=10,3,4)))</f>
        <v>2</v>
      </c>
      <c r="AK824" s="1" t="str">
        <f>CHOOSE(HR_Data[[#This Row],[Education]],"Below College","College","Bachelor","Master","Doctor")</f>
        <v>College</v>
      </c>
      <c r="AL824" s="1" t="str">
        <f>CHOOSE(HR_Data[[#This Row],[JobSatisfaction]],"Low","Medium","High","Very High")</f>
        <v>High</v>
      </c>
      <c r="AM824" s="1" t="str">
        <f>CHOOSE(HR_Data[[#This Row],[EnvironmentSatisfaction]],"Low","Medium","High","Very High")</f>
        <v>Very High</v>
      </c>
      <c r="AN824" s="1" t="str">
        <f>CHOOSE(HR_Data[[#This Row],[WorkLifeBalance]],"Bad","Good","Better","Best")</f>
        <v>Good</v>
      </c>
      <c r="AO824" s="1" t="str">
        <f>IF(HR_Data[[#This Row],[PercentSalaryHike]]&lt;=13,"11-13%",IF(HR_Data[[#This Row],[PercentSalaryHike]]&lt;=16,"14-16%",IF(HR_Data[[#This Row],[PercentSalaryHike]]&lt;=19,"17-19%","20-25%")))</f>
        <v>11-13%</v>
      </c>
      <c r="AP824" s="1">
        <f>IF(HR_Data[[#This Row],[PercentSalaryHike]]&lt;=13,1,IF(HR_Data[[#This Row],[PercentSalaryHike]]&lt;=16,2,IF(HR_Data[[#This Row],[PercentSalaryHike]]&lt;=19,3,4)))</f>
        <v>1</v>
      </c>
      <c r="AQ824" s="1" t="str">
        <f>IF(HR_Data[[#This Row],[DistanceFromHome]]&lt;=5,"1 to 5",IF(HR_Data[[#This Row],[DistanceFromHome]]&lt;=10,"6 to 10",IF(HR_Data[[#This Row],[DistanceFromHome]]&lt;=20,"11 to 20","21 to 29")))</f>
        <v>1 to 5</v>
      </c>
      <c r="AR824" s="1">
        <f>IF(HR_Data[[#This Row],[DistanceFromHome]]&lt;=5,1,IF(HR_Data[[#This Row],[DistanceFromHome]]&lt;=10,2,IF(HR_Data[[#This Row],[DistanceFromHome]]&lt;=20,3,4)))</f>
        <v>1</v>
      </c>
      <c r="AS824" s="1" t="str">
        <f>IF(HR_Data[[#This Row],[TotalWorkingYears]]&lt;=5,"0-5 Yrs",IF(HR_Data[[#This Row],[TotalWorkingYears]]&lt;=10,"6-10 Yrs",IF(HR_Data[[#This Row],[TotalWorkingYears]]&lt;=20,"11-20 Yrs","20+ Yrs")))</f>
        <v>0-5 Yrs</v>
      </c>
      <c r="AT824" s="1">
        <f>IF(HR_Data[[#This Row],[TotalWorkingYears]]&lt;=5,1,IF(HR_Data[[#This Row],[TotalWorkingYears]]&lt;=10,2,IF(HR_Data[[#This Row],[TotalWorkingYears]]&lt;=20,3,4)))</f>
        <v>1</v>
      </c>
    </row>
    <row r="825" spans="1:46" x14ac:dyDescent="0.25">
      <c r="A825">
        <v>29</v>
      </c>
      <c r="B825" t="s">
        <v>36</v>
      </c>
      <c r="C825" t="s">
        <v>37</v>
      </c>
      <c r="D825" t="s">
        <v>38</v>
      </c>
      <c r="E825">
        <v>10</v>
      </c>
      <c r="F825">
        <v>3</v>
      </c>
      <c r="G825" t="s">
        <v>32</v>
      </c>
      <c r="H825">
        <v>1143</v>
      </c>
      <c r="I825">
        <v>4</v>
      </c>
      <c r="J825" t="s">
        <v>33</v>
      </c>
      <c r="K825">
        <v>3</v>
      </c>
      <c r="L825">
        <v>1</v>
      </c>
      <c r="M825" t="s">
        <v>40</v>
      </c>
      <c r="N825">
        <v>2</v>
      </c>
      <c r="O825" t="s">
        <v>45</v>
      </c>
      <c r="P825">
        <v>3291</v>
      </c>
      <c r="Q825">
        <v>0</v>
      </c>
      <c r="R825" t="s">
        <v>36</v>
      </c>
      <c r="S825">
        <v>14</v>
      </c>
      <c r="T825">
        <v>3</v>
      </c>
      <c r="U825">
        <v>4</v>
      </c>
      <c r="V825">
        <v>2</v>
      </c>
      <c r="W825">
        <v>8</v>
      </c>
      <c r="X825">
        <v>2</v>
      </c>
      <c r="Y825">
        <v>2</v>
      </c>
      <c r="Z825">
        <v>7</v>
      </c>
      <c r="AA825">
        <v>5</v>
      </c>
      <c r="AB825">
        <v>1</v>
      </c>
      <c r="AC825">
        <v>1</v>
      </c>
      <c r="AD825">
        <f>IF(HR_Data[[#This Row],[Attrition]]="Yes",1,0)</f>
        <v>0</v>
      </c>
      <c r="AE825" t="str">
        <f>IF(HR_Data[[#This Row],[Age]]&lt;=25,"18-25",IF(HR_Data[[#This Row],[Age]]&lt;=35,"26-35",IF(HR_Data[[#This Row],[Age]]&lt;=45,"36-45",IF(HR_Data[[#This Row],[Age]]&lt;=55,"46-55","55+"))))</f>
        <v>26-35</v>
      </c>
      <c r="AF825">
        <f>IF(HR_Data[[#This Row],[Age]]&lt;=25,1,IF(HR_Data[[#This Row],[Age]]&lt;=35,2,IF(HR_Data[[#This Row],[Age]]&lt;=45,3,IF(HR_Data[[#This Row],[Age]]&lt;=55,4,5))))</f>
        <v>2</v>
      </c>
      <c r="AG825" s="1" t="str">
        <f>IF(HR_Data[[#This Row],[MonthlyIncome]]&lt;3000,"&lt;3K",IF(HR_Data[[#This Row],[MonthlyIncome]]&lt;6000,"3K-6K",IF(HR_Data[[#This Row],[MonthlyIncome]]&lt;10000,"6K-10K","10K+")))</f>
        <v>3K-6K</v>
      </c>
      <c r="AH825" s="1">
        <f>IF(HR_Data[[#This Row],[MonthlyIncome]]&lt;3000,1,IF(HR_Data[[#This Row],[MonthlyIncome]]&lt;6000,2,IF(HR_Data[[#This Row],[MonthlyIncome]]&lt;10000,3,4)))</f>
        <v>2</v>
      </c>
      <c r="AI825" s="1" t="str">
        <f>IF(HR_Data[[#This Row],[YearsAtCompany]]&lt;=2,"0-2 Yrs",IF(HR_Data[[#This Row],[YearsAtCompany]]&lt;=5,"3-5 Yrs",IF(HR_Data[[#This Row],[YearsAtCompany]]&lt;=10,"6-10 Yrs","10+ Yrs")))</f>
        <v>6-10 Yrs</v>
      </c>
      <c r="AJ825" s="1">
        <f>IF(HR_Data[[#This Row],[YearsAtCompany]]&lt;=2,1,IF(HR_Data[[#This Row],[YearsAtCompany]]&lt;=5,2,IF(HR_Data[[#This Row],[YearsAtCompany]]&lt;=10,3,4)))</f>
        <v>3</v>
      </c>
      <c r="AK825" s="1" t="str">
        <f>CHOOSE(HR_Data[[#This Row],[Education]],"Below College","College","Bachelor","Master","Doctor")</f>
        <v>Bachelor</v>
      </c>
      <c r="AL825" s="1" t="str">
        <f>CHOOSE(HR_Data[[#This Row],[JobSatisfaction]],"Low","Medium","High","Very High")</f>
        <v>Medium</v>
      </c>
      <c r="AM825" s="1" t="str">
        <f>CHOOSE(HR_Data[[#This Row],[EnvironmentSatisfaction]],"Low","Medium","High","Very High")</f>
        <v>Very High</v>
      </c>
      <c r="AN825" s="1" t="str">
        <f>CHOOSE(HR_Data[[#This Row],[WorkLifeBalance]],"Bad","Good","Better","Best")</f>
        <v>Good</v>
      </c>
      <c r="AO825" s="1" t="str">
        <f>IF(HR_Data[[#This Row],[PercentSalaryHike]]&lt;=13,"11-13%",IF(HR_Data[[#This Row],[PercentSalaryHike]]&lt;=16,"14-16%",IF(HR_Data[[#This Row],[PercentSalaryHike]]&lt;=19,"17-19%","20-25%")))</f>
        <v>14-16%</v>
      </c>
      <c r="AP825" s="1">
        <f>IF(HR_Data[[#This Row],[PercentSalaryHike]]&lt;=13,1,IF(HR_Data[[#This Row],[PercentSalaryHike]]&lt;=16,2,IF(HR_Data[[#This Row],[PercentSalaryHike]]&lt;=19,3,4)))</f>
        <v>2</v>
      </c>
      <c r="AQ825" s="1" t="str">
        <f>IF(HR_Data[[#This Row],[DistanceFromHome]]&lt;=5,"1 to 5",IF(HR_Data[[#This Row],[DistanceFromHome]]&lt;=10,"6 to 10",IF(HR_Data[[#This Row],[DistanceFromHome]]&lt;=20,"11 to 20","21 to 29")))</f>
        <v>6 to 10</v>
      </c>
      <c r="AR825" s="1">
        <f>IF(HR_Data[[#This Row],[DistanceFromHome]]&lt;=5,1,IF(HR_Data[[#This Row],[DistanceFromHome]]&lt;=10,2,IF(HR_Data[[#This Row],[DistanceFromHome]]&lt;=20,3,4)))</f>
        <v>2</v>
      </c>
      <c r="AS825" s="1" t="str">
        <f>IF(HR_Data[[#This Row],[TotalWorkingYears]]&lt;=5,"0-5 Yrs",IF(HR_Data[[#This Row],[TotalWorkingYears]]&lt;=10,"6-10 Yrs",IF(HR_Data[[#This Row],[TotalWorkingYears]]&lt;=20,"11-20 Yrs","20+ Yrs")))</f>
        <v>6-10 Yrs</v>
      </c>
      <c r="AT825" s="1">
        <f>IF(HR_Data[[#This Row],[TotalWorkingYears]]&lt;=5,1,IF(HR_Data[[#This Row],[TotalWorkingYears]]&lt;=10,2,IF(HR_Data[[#This Row],[TotalWorkingYears]]&lt;=20,3,4)))</f>
        <v>2</v>
      </c>
    </row>
    <row r="826" spans="1:46" x14ac:dyDescent="0.25">
      <c r="A826">
        <v>42</v>
      </c>
      <c r="B826" t="s">
        <v>36</v>
      </c>
      <c r="C826" t="s">
        <v>30</v>
      </c>
      <c r="D826" t="s">
        <v>38</v>
      </c>
      <c r="E826">
        <v>29</v>
      </c>
      <c r="F826">
        <v>3</v>
      </c>
      <c r="G826" t="s">
        <v>44</v>
      </c>
      <c r="H826">
        <v>1148</v>
      </c>
      <c r="I826">
        <v>2</v>
      </c>
      <c r="J826" t="s">
        <v>39</v>
      </c>
      <c r="K826">
        <v>1</v>
      </c>
      <c r="L826">
        <v>2</v>
      </c>
      <c r="M826" t="s">
        <v>43</v>
      </c>
      <c r="N826">
        <v>4</v>
      </c>
      <c r="O826" t="s">
        <v>35</v>
      </c>
      <c r="P826">
        <v>4272</v>
      </c>
      <c r="Q826">
        <v>4</v>
      </c>
      <c r="R826" t="s">
        <v>36</v>
      </c>
      <c r="S826">
        <v>19</v>
      </c>
      <c r="T826">
        <v>3</v>
      </c>
      <c r="U826">
        <v>1</v>
      </c>
      <c r="V826">
        <v>0</v>
      </c>
      <c r="W826">
        <v>16</v>
      </c>
      <c r="X826">
        <v>3</v>
      </c>
      <c r="Y826">
        <v>3</v>
      </c>
      <c r="Z826">
        <v>1</v>
      </c>
      <c r="AA826">
        <v>0</v>
      </c>
      <c r="AB826">
        <v>0</v>
      </c>
      <c r="AC826">
        <v>0</v>
      </c>
      <c r="AD826">
        <f>IF(HR_Data[[#This Row],[Attrition]]="Yes",1,0)</f>
        <v>0</v>
      </c>
      <c r="AE826" t="str">
        <f>IF(HR_Data[[#This Row],[Age]]&lt;=25,"18-25",IF(HR_Data[[#This Row],[Age]]&lt;=35,"26-35",IF(HR_Data[[#This Row],[Age]]&lt;=45,"36-45",IF(HR_Data[[#This Row],[Age]]&lt;=55,"46-55","55+"))))</f>
        <v>36-45</v>
      </c>
      <c r="AF826">
        <f>IF(HR_Data[[#This Row],[Age]]&lt;=25,1,IF(HR_Data[[#This Row],[Age]]&lt;=35,2,IF(HR_Data[[#This Row],[Age]]&lt;=45,3,IF(HR_Data[[#This Row],[Age]]&lt;=55,4,5))))</f>
        <v>3</v>
      </c>
      <c r="AG826" s="1" t="str">
        <f>IF(HR_Data[[#This Row],[MonthlyIncome]]&lt;3000,"&lt;3K",IF(HR_Data[[#This Row],[MonthlyIncome]]&lt;6000,"3K-6K",IF(HR_Data[[#This Row],[MonthlyIncome]]&lt;10000,"6K-10K","10K+")))</f>
        <v>3K-6K</v>
      </c>
      <c r="AH826" s="1">
        <f>IF(HR_Data[[#This Row],[MonthlyIncome]]&lt;3000,1,IF(HR_Data[[#This Row],[MonthlyIncome]]&lt;6000,2,IF(HR_Data[[#This Row],[MonthlyIncome]]&lt;10000,3,4)))</f>
        <v>2</v>
      </c>
      <c r="AI826" s="1" t="str">
        <f>IF(HR_Data[[#This Row],[YearsAtCompany]]&lt;=2,"0-2 Yrs",IF(HR_Data[[#This Row],[YearsAtCompany]]&lt;=5,"3-5 Yrs",IF(HR_Data[[#This Row],[YearsAtCompany]]&lt;=10,"6-10 Yrs","10+ Yrs")))</f>
        <v>0-2 Yrs</v>
      </c>
      <c r="AJ826" s="1">
        <f>IF(HR_Data[[#This Row],[YearsAtCompany]]&lt;=2,1,IF(HR_Data[[#This Row],[YearsAtCompany]]&lt;=5,2,IF(HR_Data[[#This Row],[YearsAtCompany]]&lt;=10,3,4)))</f>
        <v>1</v>
      </c>
      <c r="AK826" s="1" t="str">
        <f>CHOOSE(HR_Data[[#This Row],[Education]],"Below College","College","Bachelor","Master","Doctor")</f>
        <v>Bachelor</v>
      </c>
      <c r="AL826" s="1" t="str">
        <f>CHOOSE(HR_Data[[#This Row],[JobSatisfaction]],"Low","Medium","High","Very High")</f>
        <v>Very High</v>
      </c>
      <c r="AM826" s="1" t="str">
        <f>CHOOSE(HR_Data[[#This Row],[EnvironmentSatisfaction]],"Low","Medium","High","Very High")</f>
        <v>Medium</v>
      </c>
      <c r="AN826" s="1" t="str">
        <f>CHOOSE(HR_Data[[#This Row],[WorkLifeBalance]],"Bad","Good","Better","Best")</f>
        <v>Better</v>
      </c>
      <c r="AO826" s="1" t="str">
        <f>IF(HR_Data[[#This Row],[PercentSalaryHike]]&lt;=13,"11-13%",IF(HR_Data[[#This Row],[PercentSalaryHike]]&lt;=16,"14-16%",IF(HR_Data[[#This Row],[PercentSalaryHike]]&lt;=19,"17-19%","20-25%")))</f>
        <v>17-19%</v>
      </c>
      <c r="AP826" s="1">
        <f>IF(HR_Data[[#This Row],[PercentSalaryHike]]&lt;=13,1,IF(HR_Data[[#This Row],[PercentSalaryHike]]&lt;=16,2,IF(HR_Data[[#This Row],[PercentSalaryHike]]&lt;=19,3,4)))</f>
        <v>3</v>
      </c>
      <c r="AQ826" s="1" t="str">
        <f>IF(HR_Data[[#This Row],[DistanceFromHome]]&lt;=5,"1 to 5",IF(HR_Data[[#This Row],[DistanceFromHome]]&lt;=10,"6 to 10",IF(HR_Data[[#This Row],[DistanceFromHome]]&lt;=20,"11 to 20","21 to 29")))</f>
        <v>21 to 29</v>
      </c>
      <c r="AR826" s="1">
        <f>IF(HR_Data[[#This Row],[DistanceFromHome]]&lt;=5,1,IF(HR_Data[[#This Row],[DistanceFromHome]]&lt;=10,2,IF(HR_Data[[#This Row],[DistanceFromHome]]&lt;=20,3,4)))</f>
        <v>4</v>
      </c>
      <c r="AS826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826" s="1">
        <f>IF(HR_Data[[#This Row],[TotalWorkingYears]]&lt;=5,1,IF(HR_Data[[#This Row],[TotalWorkingYears]]&lt;=10,2,IF(HR_Data[[#This Row],[TotalWorkingYears]]&lt;=20,3,4)))</f>
        <v>3</v>
      </c>
    </row>
    <row r="827" spans="1:46" x14ac:dyDescent="0.25">
      <c r="A827">
        <v>29</v>
      </c>
      <c r="B827" t="s">
        <v>36</v>
      </c>
      <c r="C827" t="s">
        <v>30</v>
      </c>
      <c r="D827" t="s">
        <v>38</v>
      </c>
      <c r="E827">
        <v>8</v>
      </c>
      <c r="F827">
        <v>1</v>
      </c>
      <c r="G827" t="s">
        <v>44</v>
      </c>
      <c r="H827">
        <v>1150</v>
      </c>
      <c r="I827">
        <v>2</v>
      </c>
      <c r="J827" t="s">
        <v>39</v>
      </c>
      <c r="K827">
        <v>2</v>
      </c>
      <c r="L827">
        <v>2</v>
      </c>
      <c r="M827" t="s">
        <v>46</v>
      </c>
      <c r="N827">
        <v>4</v>
      </c>
      <c r="O827" t="s">
        <v>41</v>
      </c>
      <c r="P827">
        <v>5056</v>
      </c>
      <c r="Q827">
        <v>1</v>
      </c>
      <c r="R827" t="s">
        <v>29</v>
      </c>
      <c r="S827">
        <v>15</v>
      </c>
      <c r="T827">
        <v>3</v>
      </c>
      <c r="U827">
        <v>3</v>
      </c>
      <c r="V827">
        <v>1</v>
      </c>
      <c r="W827">
        <v>10</v>
      </c>
      <c r="X827">
        <v>2</v>
      </c>
      <c r="Y827">
        <v>2</v>
      </c>
      <c r="Z827">
        <v>10</v>
      </c>
      <c r="AA827">
        <v>7</v>
      </c>
      <c r="AB827">
        <v>1</v>
      </c>
      <c r="AC827">
        <v>2</v>
      </c>
      <c r="AD827">
        <f>IF(HR_Data[[#This Row],[Attrition]]="Yes",1,0)</f>
        <v>0</v>
      </c>
      <c r="AE827" t="str">
        <f>IF(HR_Data[[#This Row],[Age]]&lt;=25,"18-25",IF(HR_Data[[#This Row],[Age]]&lt;=35,"26-35",IF(HR_Data[[#This Row],[Age]]&lt;=45,"36-45",IF(HR_Data[[#This Row],[Age]]&lt;=55,"46-55","55+"))))</f>
        <v>26-35</v>
      </c>
      <c r="AF827">
        <f>IF(HR_Data[[#This Row],[Age]]&lt;=25,1,IF(HR_Data[[#This Row],[Age]]&lt;=35,2,IF(HR_Data[[#This Row],[Age]]&lt;=45,3,IF(HR_Data[[#This Row],[Age]]&lt;=55,4,5))))</f>
        <v>2</v>
      </c>
      <c r="AG827" s="1" t="str">
        <f>IF(HR_Data[[#This Row],[MonthlyIncome]]&lt;3000,"&lt;3K",IF(HR_Data[[#This Row],[MonthlyIncome]]&lt;6000,"3K-6K",IF(HR_Data[[#This Row],[MonthlyIncome]]&lt;10000,"6K-10K","10K+")))</f>
        <v>3K-6K</v>
      </c>
      <c r="AH827" s="1">
        <f>IF(HR_Data[[#This Row],[MonthlyIncome]]&lt;3000,1,IF(HR_Data[[#This Row],[MonthlyIncome]]&lt;6000,2,IF(HR_Data[[#This Row],[MonthlyIncome]]&lt;10000,3,4)))</f>
        <v>2</v>
      </c>
      <c r="AI827" s="1" t="str">
        <f>IF(HR_Data[[#This Row],[YearsAtCompany]]&lt;=2,"0-2 Yrs",IF(HR_Data[[#This Row],[YearsAtCompany]]&lt;=5,"3-5 Yrs",IF(HR_Data[[#This Row],[YearsAtCompany]]&lt;=10,"6-10 Yrs","10+ Yrs")))</f>
        <v>6-10 Yrs</v>
      </c>
      <c r="AJ827" s="1">
        <f>IF(HR_Data[[#This Row],[YearsAtCompany]]&lt;=2,1,IF(HR_Data[[#This Row],[YearsAtCompany]]&lt;=5,2,IF(HR_Data[[#This Row],[YearsAtCompany]]&lt;=10,3,4)))</f>
        <v>3</v>
      </c>
      <c r="AK827" s="1" t="str">
        <f>CHOOSE(HR_Data[[#This Row],[Education]],"Below College","College","Bachelor","Master","Doctor")</f>
        <v>Below College</v>
      </c>
      <c r="AL827" s="1" t="str">
        <f>CHOOSE(HR_Data[[#This Row],[JobSatisfaction]],"Low","Medium","High","Very High")</f>
        <v>Very High</v>
      </c>
      <c r="AM827" s="1" t="str">
        <f>CHOOSE(HR_Data[[#This Row],[EnvironmentSatisfaction]],"Low","Medium","High","Very High")</f>
        <v>Medium</v>
      </c>
      <c r="AN827" s="1" t="str">
        <f>CHOOSE(HR_Data[[#This Row],[WorkLifeBalance]],"Bad","Good","Better","Best")</f>
        <v>Good</v>
      </c>
      <c r="AO827" s="1" t="str">
        <f>IF(HR_Data[[#This Row],[PercentSalaryHike]]&lt;=13,"11-13%",IF(HR_Data[[#This Row],[PercentSalaryHike]]&lt;=16,"14-16%",IF(HR_Data[[#This Row],[PercentSalaryHike]]&lt;=19,"17-19%","20-25%")))</f>
        <v>14-16%</v>
      </c>
      <c r="AP827" s="1">
        <f>IF(HR_Data[[#This Row],[PercentSalaryHike]]&lt;=13,1,IF(HR_Data[[#This Row],[PercentSalaryHike]]&lt;=16,2,IF(HR_Data[[#This Row],[PercentSalaryHike]]&lt;=19,3,4)))</f>
        <v>2</v>
      </c>
      <c r="AQ827" s="1" t="str">
        <f>IF(HR_Data[[#This Row],[DistanceFromHome]]&lt;=5,"1 to 5",IF(HR_Data[[#This Row],[DistanceFromHome]]&lt;=10,"6 to 10",IF(HR_Data[[#This Row],[DistanceFromHome]]&lt;=20,"11 to 20","21 to 29")))</f>
        <v>6 to 10</v>
      </c>
      <c r="AR827" s="1">
        <f>IF(HR_Data[[#This Row],[DistanceFromHome]]&lt;=5,1,IF(HR_Data[[#This Row],[DistanceFromHome]]&lt;=10,2,IF(HR_Data[[#This Row],[DistanceFromHome]]&lt;=20,3,4)))</f>
        <v>2</v>
      </c>
      <c r="AS827" s="1" t="str">
        <f>IF(HR_Data[[#This Row],[TotalWorkingYears]]&lt;=5,"0-5 Yrs",IF(HR_Data[[#This Row],[TotalWorkingYears]]&lt;=10,"6-10 Yrs",IF(HR_Data[[#This Row],[TotalWorkingYears]]&lt;=20,"11-20 Yrs","20+ Yrs")))</f>
        <v>6-10 Yrs</v>
      </c>
      <c r="AT827" s="1">
        <f>IF(HR_Data[[#This Row],[TotalWorkingYears]]&lt;=5,1,IF(HR_Data[[#This Row],[TotalWorkingYears]]&lt;=10,2,IF(HR_Data[[#This Row],[TotalWorkingYears]]&lt;=20,3,4)))</f>
        <v>2</v>
      </c>
    </row>
    <row r="828" spans="1:46" x14ac:dyDescent="0.25">
      <c r="A828">
        <v>38</v>
      </c>
      <c r="B828" t="s">
        <v>36</v>
      </c>
      <c r="C828" t="s">
        <v>30</v>
      </c>
      <c r="D828" t="s">
        <v>54</v>
      </c>
      <c r="E828">
        <v>1</v>
      </c>
      <c r="F828">
        <v>3</v>
      </c>
      <c r="G828" t="s">
        <v>54</v>
      </c>
      <c r="H828">
        <v>1152</v>
      </c>
      <c r="I828">
        <v>3</v>
      </c>
      <c r="J828" t="s">
        <v>39</v>
      </c>
      <c r="K828">
        <v>4</v>
      </c>
      <c r="L828">
        <v>1</v>
      </c>
      <c r="M828" t="s">
        <v>54</v>
      </c>
      <c r="N828">
        <v>3</v>
      </c>
      <c r="O828" t="s">
        <v>41</v>
      </c>
      <c r="P828">
        <v>2844</v>
      </c>
      <c r="Q828">
        <v>1</v>
      </c>
      <c r="R828" t="s">
        <v>36</v>
      </c>
      <c r="S828">
        <v>13</v>
      </c>
      <c r="T828">
        <v>3</v>
      </c>
      <c r="U828">
        <v>4</v>
      </c>
      <c r="V828">
        <v>1</v>
      </c>
      <c r="W828">
        <v>7</v>
      </c>
      <c r="X828">
        <v>2</v>
      </c>
      <c r="Y828">
        <v>4</v>
      </c>
      <c r="Z828">
        <v>7</v>
      </c>
      <c r="AA828">
        <v>6</v>
      </c>
      <c r="AB828">
        <v>5</v>
      </c>
      <c r="AC828">
        <v>0</v>
      </c>
      <c r="AD828">
        <f>IF(HR_Data[[#This Row],[Attrition]]="Yes",1,0)</f>
        <v>0</v>
      </c>
      <c r="AE828" t="str">
        <f>IF(HR_Data[[#This Row],[Age]]&lt;=25,"18-25",IF(HR_Data[[#This Row],[Age]]&lt;=35,"26-35",IF(HR_Data[[#This Row],[Age]]&lt;=45,"36-45",IF(HR_Data[[#This Row],[Age]]&lt;=55,"46-55","55+"))))</f>
        <v>36-45</v>
      </c>
      <c r="AF828">
        <f>IF(HR_Data[[#This Row],[Age]]&lt;=25,1,IF(HR_Data[[#This Row],[Age]]&lt;=35,2,IF(HR_Data[[#This Row],[Age]]&lt;=45,3,IF(HR_Data[[#This Row],[Age]]&lt;=55,4,5))))</f>
        <v>3</v>
      </c>
      <c r="AG828" s="1" t="str">
        <f>IF(HR_Data[[#This Row],[MonthlyIncome]]&lt;3000,"&lt;3K",IF(HR_Data[[#This Row],[MonthlyIncome]]&lt;6000,"3K-6K",IF(HR_Data[[#This Row],[MonthlyIncome]]&lt;10000,"6K-10K","10K+")))</f>
        <v>&lt;3K</v>
      </c>
      <c r="AH828" s="1">
        <f>IF(HR_Data[[#This Row],[MonthlyIncome]]&lt;3000,1,IF(HR_Data[[#This Row],[MonthlyIncome]]&lt;6000,2,IF(HR_Data[[#This Row],[MonthlyIncome]]&lt;10000,3,4)))</f>
        <v>1</v>
      </c>
      <c r="AI828" s="1" t="str">
        <f>IF(HR_Data[[#This Row],[YearsAtCompany]]&lt;=2,"0-2 Yrs",IF(HR_Data[[#This Row],[YearsAtCompany]]&lt;=5,"3-5 Yrs",IF(HR_Data[[#This Row],[YearsAtCompany]]&lt;=10,"6-10 Yrs","10+ Yrs")))</f>
        <v>6-10 Yrs</v>
      </c>
      <c r="AJ828" s="1">
        <f>IF(HR_Data[[#This Row],[YearsAtCompany]]&lt;=2,1,IF(HR_Data[[#This Row],[YearsAtCompany]]&lt;=5,2,IF(HR_Data[[#This Row],[YearsAtCompany]]&lt;=10,3,4)))</f>
        <v>3</v>
      </c>
      <c r="AK828" s="1" t="str">
        <f>CHOOSE(HR_Data[[#This Row],[Education]],"Below College","College","Bachelor","Master","Doctor")</f>
        <v>Bachelor</v>
      </c>
      <c r="AL828" s="1" t="str">
        <f>CHOOSE(HR_Data[[#This Row],[JobSatisfaction]],"Low","Medium","High","Very High")</f>
        <v>High</v>
      </c>
      <c r="AM828" s="1" t="str">
        <f>CHOOSE(HR_Data[[#This Row],[EnvironmentSatisfaction]],"Low","Medium","High","Very High")</f>
        <v>High</v>
      </c>
      <c r="AN828" s="1" t="str">
        <f>CHOOSE(HR_Data[[#This Row],[WorkLifeBalance]],"Bad","Good","Better","Best")</f>
        <v>Best</v>
      </c>
      <c r="AO828" s="1" t="str">
        <f>IF(HR_Data[[#This Row],[PercentSalaryHike]]&lt;=13,"11-13%",IF(HR_Data[[#This Row],[PercentSalaryHike]]&lt;=16,"14-16%",IF(HR_Data[[#This Row],[PercentSalaryHike]]&lt;=19,"17-19%","20-25%")))</f>
        <v>11-13%</v>
      </c>
      <c r="AP828" s="1">
        <f>IF(HR_Data[[#This Row],[PercentSalaryHike]]&lt;=13,1,IF(HR_Data[[#This Row],[PercentSalaryHike]]&lt;=16,2,IF(HR_Data[[#This Row],[PercentSalaryHike]]&lt;=19,3,4)))</f>
        <v>1</v>
      </c>
      <c r="AQ828" s="1" t="str">
        <f>IF(HR_Data[[#This Row],[DistanceFromHome]]&lt;=5,"1 to 5",IF(HR_Data[[#This Row],[DistanceFromHome]]&lt;=10,"6 to 10",IF(HR_Data[[#This Row],[DistanceFromHome]]&lt;=20,"11 to 20","21 to 29")))</f>
        <v>1 to 5</v>
      </c>
      <c r="AR828" s="1">
        <f>IF(HR_Data[[#This Row],[DistanceFromHome]]&lt;=5,1,IF(HR_Data[[#This Row],[DistanceFromHome]]&lt;=10,2,IF(HR_Data[[#This Row],[DistanceFromHome]]&lt;=20,3,4)))</f>
        <v>1</v>
      </c>
      <c r="AS828" s="1" t="str">
        <f>IF(HR_Data[[#This Row],[TotalWorkingYears]]&lt;=5,"0-5 Yrs",IF(HR_Data[[#This Row],[TotalWorkingYears]]&lt;=10,"6-10 Yrs",IF(HR_Data[[#This Row],[TotalWorkingYears]]&lt;=20,"11-20 Yrs","20+ Yrs")))</f>
        <v>6-10 Yrs</v>
      </c>
      <c r="AT828" s="1">
        <f>IF(HR_Data[[#This Row],[TotalWorkingYears]]&lt;=5,1,IF(HR_Data[[#This Row],[TotalWorkingYears]]&lt;=10,2,IF(HR_Data[[#This Row],[TotalWorkingYears]]&lt;=20,3,4)))</f>
        <v>2</v>
      </c>
    </row>
    <row r="829" spans="1:46" x14ac:dyDescent="0.25">
      <c r="A829">
        <v>28</v>
      </c>
      <c r="B829" t="s">
        <v>36</v>
      </c>
      <c r="C829" t="s">
        <v>37</v>
      </c>
      <c r="D829" t="s">
        <v>38</v>
      </c>
      <c r="E829">
        <v>6</v>
      </c>
      <c r="F829">
        <v>3</v>
      </c>
      <c r="G829" t="s">
        <v>32</v>
      </c>
      <c r="H829">
        <v>1154</v>
      </c>
      <c r="I829">
        <v>3</v>
      </c>
      <c r="J829" t="s">
        <v>39</v>
      </c>
      <c r="K829">
        <v>2</v>
      </c>
      <c r="L829">
        <v>1</v>
      </c>
      <c r="M829" t="s">
        <v>40</v>
      </c>
      <c r="N829">
        <v>3</v>
      </c>
      <c r="O829" t="s">
        <v>45</v>
      </c>
      <c r="P829">
        <v>2703</v>
      </c>
      <c r="Q829">
        <v>1</v>
      </c>
      <c r="R829" t="s">
        <v>29</v>
      </c>
      <c r="S829">
        <v>14</v>
      </c>
      <c r="T829">
        <v>3</v>
      </c>
      <c r="U829">
        <v>4</v>
      </c>
      <c r="V829">
        <v>1</v>
      </c>
      <c r="W829">
        <v>3</v>
      </c>
      <c r="X829">
        <v>2</v>
      </c>
      <c r="Y829">
        <v>3</v>
      </c>
      <c r="Z829">
        <v>3</v>
      </c>
      <c r="AA829">
        <v>1</v>
      </c>
      <c r="AB829">
        <v>0</v>
      </c>
      <c r="AC829">
        <v>2</v>
      </c>
      <c r="AD829">
        <f>IF(HR_Data[[#This Row],[Attrition]]="Yes",1,0)</f>
        <v>0</v>
      </c>
      <c r="AE829" t="str">
        <f>IF(HR_Data[[#This Row],[Age]]&lt;=25,"18-25",IF(HR_Data[[#This Row],[Age]]&lt;=35,"26-35",IF(HR_Data[[#This Row],[Age]]&lt;=45,"36-45",IF(HR_Data[[#This Row],[Age]]&lt;=55,"46-55","55+"))))</f>
        <v>26-35</v>
      </c>
      <c r="AF829">
        <f>IF(HR_Data[[#This Row],[Age]]&lt;=25,1,IF(HR_Data[[#This Row],[Age]]&lt;=35,2,IF(HR_Data[[#This Row],[Age]]&lt;=45,3,IF(HR_Data[[#This Row],[Age]]&lt;=55,4,5))))</f>
        <v>2</v>
      </c>
      <c r="AG829" s="1" t="str">
        <f>IF(HR_Data[[#This Row],[MonthlyIncome]]&lt;3000,"&lt;3K",IF(HR_Data[[#This Row],[MonthlyIncome]]&lt;6000,"3K-6K",IF(HR_Data[[#This Row],[MonthlyIncome]]&lt;10000,"6K-10K","10K+")))</f>
        <v>&lt;3K</v>
      </c>
      <c r="AH829" s="1">
        <f>IF(HR_Data[[#This Row],[MonthlyIncome]]&lt;3000,1,IF(HR_Data[[#This Row],[MonthlyIncome]]&lt;6000,2,IF(HR_Data[[#This Row],[MonthlyIncome]]&lt;10000,3,4)))</f>
        <v>1</v>
      </c>
      <c r="AI829" s="1" t="str">
        <f>IF(HR_Data[[#This Row],[YearsAtCompany]]&lt;=2,"0-2 Yrs",IF(HR_Data[[#This Row],[YearsAtCompany]]&lt;=5,"3-5 Yrs",IF(HR_Data[[#This Row],[YearsAtCompany]]&lt;=10,"6-10 Yrs","10+ Yrs")))</f>
        <v>3-5 Yrs</v>
      </c>
      <c r="AJ829" s="1">
        <f>IF(HR_Data[[#This Row],[YearsAtCompany]]&lt;=2,1,IF(HR_Data[[#This Row],[YearsAtCompany]]&lt;=5,2,IF(HR_Data[[#This Row],[YearsAtCompany]]&lt;=10,3,4)))</f>
        <v>2</v>
      </c>
      <c r="AK829" s="1" t="str">
        <f>CHOOSE(HR_Data[[#This Row],[Education]],"Below College","College","Bachelor","Master","Doctor")</f>
        <v>Bachelor</v>
      </c>
      <c r="AL829" s="1" t="str">
        <f>CHOOSE(HR_Data[[#This Row],[JobSatisfaction]],"Low","Medium","High","Very High")</f>
        <v>High</v>
      </c>
      <c r="AM829" s="1" t="str">
        <f>CHOOSE(HR_Data[[#This Row],[EnvironmentSatisfaction]],"Low","Medium","High","Very High")</f>
        <v>High</v>
      </c>
      <c r="AN829" s="1" t="str">
        <f>CHOOSE(HR_Data[[#This Row],[WorkLifeBalance]],"Bad","Good","Better","Best")</f>
        <v>Better</v>
      </c>
      <c r="AO829" s="1" t="str">
        <f>IF(HR_Data[[#This Row],[PercentSalaryHike]]&lt;=13,"11-13%",IF(HR_Data[[#This Row],[PercentSalaryHike]]&lt;=16,"14-16%",IF(HR_Data[[#This Row],[PercentSalaryHike]]&lt;=19,"17-19%","20-25%")))</f>
        <v>14-16%</v>
      </c>
      <c r="AP829" s="1">
        <f>IF(HR_Data[[#This Row],[PercentSalaryHike]]&lt;=13,1,IF(HR_Data[[#This Row],[PercentSalaryHike]]&lt;=16,2,IF(HR_Data[[#This Row],[PercentSalaryHike]]&lt;=19,3,4)))</f>
        <v>2</v>
      </c>
      <c r="AQ829" s="1" t="str">
        <f>IF(HR_Data[[#This Row],[DistanceFromHome]]&lt;=5,"1 to 5",IF(HR_Data[[#This Row],[DistanceFromHome]]&lt;=10,"6 to 10",IF(HR_Data[[#This Row],[DistanceFromHome]]&lt;=20,"11 to 20","21 to 29")))</f>
        <v>6 to 10</v>
      </c>
      <c r="AR829" s="1">
        <f>IF(HR_Data[[#This Row],[DistanceFromHome]]&lt;=5,1,IF(HR_Data[[#This Row],[DistanceFromHome]]&lt;=10,2,IF(HR_Data[[#This Row],[DistanceFromHome]]&lt;=20,3,4)))</f>
        <v>2</v>
      </c>
      <c r="AS829" s="1" t="str">
        <f>IF(HR_Data[[#This Row],[TotalWorkingYears]]&lt;=5,"0-5 Yrs",IF(HR_Data[[#This Row],[TotalWorkingYears]]&lt;=10,"6-10 Yrs",IF(HR_Data[[#This Row],[TotalWorkingYears]]&lt;=20,"11-20 Yrs","20+ Yrs")))</f>
        <v>0-5 Yrs</v>
      </c>
      <c r="AT829" s="1">
        <f>IF(HR_Data[[#This Row],[TotalWorkingYears]]&lt;=5,1,IF(HR_Data[[#This Row],[TotalWorkingYears]]&lt;=10,2,IF(HR_Data[[#This Row],[TotalWorkingYears]]&lt;=20,3,4)))</f>
        <v>1</v>
      </c>
    </row>
    <row r="830" spans="1:46" x14ac:dyDescent="0.25">
      <c r="A830">
        <v>18</v>
      </c>
      <c r="B830" t="s">
        <v>29</v>
      </c>
      <c r="C830" t="s">
        <v>48</v>
      </c>
      <c r="D830" t="s">
        <v>38</v>
      </c>
      <c r="E830">
        <v>8</v>
      </c>
      <c r="F830">
        <v>1</v>
      </c>
      <c r="G830" t="s">
        <v>44</v>
      </c>
      <c r="H830">
        <v>1156</v>
      </c>
      <c r="I830">
        <v>3</v>
      </c>
      <c r="J830" t="s">
        <v>39</v>
      </c>
      <c r="K830">
        <v>3</v>
      </c>
      <c r="L830">
        <v>1</v>
      </c>
      <c r="M830" t="s">
        <v>43</v>
      </c>
      <c r="N830">
        <v>3</v>
      </c>
      <c r="O830" t="s">
        <v>35</v>
      </c>
      <c r="P830">
        <v>1904</v>
      </c>
      <c r="Q830">
        <v>1</v>
      </c>
      <c r="R830" t="s">
        <v>36</v>
      </c>
      <c r="S830">
        <v>12</v>
      </c>
      <c r="T830">
        <v>3</v>
      </c>
      <c r="U830">
        <v>4</v>
      </c>
      <c r="V830">
        <v>0</v>
      </c>
      <c r="W830">
        <v>0</v>
      </c>
      <c r="X830">
        <v>0</v>
      </c>
      <c r="Y830">
        <v>3</v>
      </c>
      <c r="Z830">
        <v>0</v>
      </c>
      <c r="AA830">
        <v>0</v>
      </c>
      <c r="AB830">
        <v>0</v>
      </c>
      <c r="AC830">
        <v>0</v>
      </c>
      <c r="AD830">
        <f>IF(HR_Data[[#This Row],[Attrition]]="Yes",1,0)</f>
        <v>1</v>
      </c>
      <c r="AE830" t="str">
        <f>IF(HR_Data[[#This Row],[Age]]&lt;=25,"18-25",IF(HR_Data[[#This Row],[Age]]&lt;=35,"26-35",IF(HR_Data[[#This Row],[Age]]&lt;=45,"36-45",IF(HR_Data[[#This Row],[Age]]&lt;=55,"46-55","55+"))))</f>
        <v>18-25</v>
      </c>
      <c r="AF830">
        <f>IF(HR_Data[[#This Row],[Age]]&lt;=25,1,IF(HR_Data[[#This Row],[Age]]&lt;=35,2,IF(HR_Data[[#This Row],[Age]]&lt;=45,3,IF(HR_Data[[#This Row],[Age]]&lt;=55,4,5))))</f>
        <v>1</v>
      </c>
      <c r="AG830" s="1" t="str">
        <f>IF(HR_Data[[#This Row],[MonthlyIncome]]&lt;3000,"&lt;3K",IF(HR_Data[[#This Row],[MonthlyIncome]]&lt;6000,"3K-6K",IF(HR_Data[[#This Row],[MonthlyIncome]]&lt;10000,"6K-10K","10K+")))</f>
        <v>&lt;3K</v>
      </c>
      <c r="AH830" s="1">
        <f>IF(HR_Data[[#This Row],[MonthlyIncome]]&lt;3000,1,IF(HR_Data[[#This Row],[MonthlyIncome]]&lt;6000,2,IF(HR_Data[[#This Row],[MonthlyIncome]]&lt;10000,3,4)))</f>
        <v>1</v>
      </c>
      <c r="AI830" s="1" t="str">
        <f>IF(HR_Data[[#This Row],[YearsAtCompany]]&lt;=2,"0-2 Yrs",IF(HR_Data[[#This Row],[YearsAtCompany]]&lt;=5,"3-5 Yrs",IF(HR_Data[[#This Row],[YearsAtCompany]]&lt;=10,"6-10 Yrs","10+ Yrs")))</f>
        <v>0-2 Yrs</v>
      </c>
      <c r="AJ830" s="1">
        <f>IF(HR_Data[[#This Row],[YearsAtCompany]]&lt;=2,1,IF(HR_Data[[#This Row],[YearsAtCompany]]&lt;=5,2,IF(HR_Data[[#This Row],[YearsAtCompany]]&lt;=10,3,4)))</f>
        <v>1</v>
      </c>
      <c r="AK830" s="1" t="str">
        <f>CHOOSE(HR_Data[[#This Row],[Education]],"Below College","College","Bachelor","Master","Doctor")</f>
        <v>Below College</v>
      </c>
      <c r="AL830" s="1" t="str">
        <f>CHOOSE(HR_Data[[#This Row],[JobSatisfaction]],"Low","Medium","High","Very High")</f>
        <v>High</v>
      </c>
      <c r="AM830" s="1" t="str">
        <f>CHOOSE(HR_Data[[#This Row],[EnvironmentSatisfaction]],"Low","Medium","High","Very High")</f>
        <v>High</v>
      </c>
      <c r="AN830" s="1" t="str">
        <f>CHOOSE(HR_Data[[#This Row],[WorkLifeBalance]],"Bad","Good","Better","Best")</f>
        <v>Better</v>
      </c>
      <c r="AO830" s="1" t="str">
        <f>IF(HR_Data[[#This Row],[PercentSalaryHike]]&lt;=13,"11-13%",IF(HR_Data[[#This Row],[PercentSalaryHike]]&lt;=16,"14-16%",IF(HR_Data[[#This Row],[PercentSalaryHike]]&lt;=19,"17-19%","20-25%")))</f>
        <v>11-13%</v>
      </c>
      <c r="AP830" s="1">
        <f>IF(HR_Data[[#This Row],[PercentSalaryHike]]&lt;=13,1,IF(HR_Data[[#This Row],[PercentSalaryHike]]&lt;=16,2,IF(HR_Data[[#This Row],[PercentSalaryHike]]&lt;=19,3,4)))</f>
        <v>1</v>
      </c>
      <c r="AQ830" s="1" t="str">
        <f>IF(HR_Data[[#This Row],[DistanceFromHome]]&lt;=5,"1 to 5",IF(HR_Data[[#This Row],[DistanceFromHome]]&lt;=10,"6 to 10",IF(HR_Data[[#This Row],[DistanceFromHome]]&lt;=20,"11 to 20","21 to 29")))</f>
        <v>6 to 10</v>
      </c>
      <c r="AR830" s="1">
        <f>IF(HR_Data[[#This Row],[DistanceFromHome]]&lt;=5,1,IF(HR_Data[[#This Row],[DistanceFromHome]]&lt;=10,2,IF(HR_Data[[#This Row],[DistanceFromHome]]&lt;=20,3,4)))</f>
        <v>2</v>
      </c>
      <c r="AS830" s="1" t="str">
        <f>IF(HR_Data[[#This Row],[TotalWorkingYears]]&lt;=5,"0-5 Yrs",IF(HR_Data[[#This Row],[TotalWorkingYears]]&lt;=10,"6-10 Yrs",IF(HR_Data[[#This Row],[TotalWorkingYears]]&lt;=20,"11-20 Yrs","20+ Yrs")))</f>
        <v>0-5 Yrs</v>
      </c>
      <c r="AT830" s="1">
        <f>IF(HR_Data[[#This Row],[TotalWorkingYears]]&lt;=5,1,IF(HR_Data[[#This Row],[TotalWorkingYears]]&lt;=10,2,IF(HR_Data[[#This Row],[TotalWorkingYears]]&lt;=20,3,4)))</f>
        <v>1</v>
      </c>
    </row>
    <row r="831" spans="1:46" x14ac:dyDescent="0.25">
      <c r="A831">
        <v>33</v>
      </c>
      <c r="B831" t="s">
        <v>29</v>
      </c>
      <c r="C831" t="s">
        <v>30</v>
      </c>
      <c r="D831" t="s">
        <v>31</v>
      </c>
      <c r="E831">
        <v>9</v>
      </c>
      <c r="F831">
        <v>4</v>
      </c>
      <c r="G831" t="s">
        <v>52</v>
      </c>
      <c r="H831">
        <v>1157</v>
      </c>
      <c r="I831">
        <v>1</v>
      </c>
      <c r="J831" t="s">
        <v>33</v>
      </c>
      <c r="K831">
        <v>3</v>
      </c>
      <c r="L831">
        <v>2</v>
      </c>
      <c r="M831" t="s">
        <v>34</v>
      </c>
      <c r="N831">
        <v>1</v>
      </c>
      <c r="O831" t="s">
        <v>35</v>
      </c>
      <c r="P831">
        <v>8224</v>
      </c>
      <c r="Q831">
        <v>0</v>
      </c>
      <c r="R831" t="s">
        <v>29</v>
      </c>
      <c r="S831">
        <v>17</v>
      </c>
      <c r="T831">
        <v>3</v>
      </c>
      <c r="U831">
        <v>1</v>
      </c>
      <c r="V831">
        <v>0</v>
      </c>
      <c r="W831">
        <v>6</v>
      </c>
      <c r="X831">
        <v>3</v>
      </c>
      <c r="Y831">
        <v>3</v>
      </c>
      <c r="Z831">
        <v>5</v>
      </c>
      <c r="AA831">
        <v>2</v>
      </c>
      <c r="AB831">
        <v>0</v>
      </c>
      <c r="AC831">
        <v>3</v>
      </c>
      <c r="AD831">
        <f>IF(HR_Data[[#This Row],[Attrition]]="Yes",1,0)</f>
        <v>1</v>
      </c>
      <c r="AE831" t="str">
        <f>IF(HR_Data[[#This Row],[Age]]&lt;=25,"18-25",IF(HR_Data[[#This Row],[Age]]&lt;=35,"26-35",IF(HR_Data[[#This Row],[Age]]&lt;=45,"36-45",IF(HR_Data[[#This Row],[Age]]&lt;=55,"46-55","55+"))))</f>
        <v>26-35</v>
      </c>
      <c r="AF831">
        <f>IF(HR_Data[[#This Row],[Age]]&lt;=25,1,IF(HR_Data[[#This Row],[Age]]&lt;=35,2,IF(HR_Data[[#This Row],[Age]]&lt;=45,3,IF(HR_Data[[#This Row],[Age]]&lt;=55,4,5))))</f>
        <v>2</v>
      </c>
      <c r="AG831" s="1" t="str">
        <f>IF(HR_Data[[#This Row],[MonthlyIncome]]&lt;3000,"&lt;3K",IF(HR_Data[[#This Row],[MonthlyIncome]]&lt;6000,"3K-6K",IF(HR_Data[[#This Row],[MonthlyIncome]]&lt;10000,"6K-10K","10K+")))</f>
        <v>6K-10K</v>
      </c>
      <c r="AH831" s="1">
        <f>IF(HR_Data[[#This Row],[MonthlyIncome]]&lt;3000,1,IF(HR_Data[[#This Row],[MonthlyIncome]]&lt;6000,2,IF(HR_Data[[#This Row],[MonthlyIncome]]&lt;10000,3,4)))</f>
        <v>3</v>
      </c>
      <c r="AI831" s="1" t="str">
        <f>IF(HR_Data[[#This Row],[YearsAtCompany]]&lt;=2,"0-2 Yrs",IF(HR_Data[[#This Row],[YearsAtCompany]]&lt;=5,"3-5 Yrs",IF(HR_Data[[#This Row],[YearsAtCompany]]&lt;=10,"6-10 Yrs","10+ Yrs")))</f>
        <v>3-5 Yrs</v>
      </c>
      <c r="AJ831" s="1">
        <f>IF(HR_Data[[#This Row],[YearsAtCompany]]&lt;=2,1,IF(HR_Data[[#This Row],[YearsAtCompany]]&lt;=5,2,IF(HR_Data[[#This Row],[YearsAtCompany]]&lt;=10,3,4)))</f>
        <v>2</v>
      </c>
      <c r="AK831" s="1" t="str">
        <f>CHOOSE(HR_Data[[#This Row],[Education]],"Below College","College","Bachelor","Master","Doctor")</f>
        <v>Master</v>
      </c>
      <c r="AL831" s="1" t="str">
        <f>CHOOSE(HR_Data[[#This Row],[JobSatisfaction]],"Low","Medium","High","Very High")</f>
        <v>Low</v>
      </c>
      <c r="AM831" s="1" t="str">
        <f>CHOOSE(HR_Data[[#This Row],[EnvironmentSatisfaction]],"Low","Medium","High","Very High")</f>
        <v>Low</v>
      </c>
      <c r="AN831" s="1" t="str">
        <f>CHOOSE(HR_Data[[#This Row],[WorkLifeBalance]],"Bad","Good","Better","Best")</f>
        <v>Better</v>
      </c>
      <c r="AO831" s="1" t="str">
        <f>IF(HR_Data[[#This Row],[PercentSalaryHike]]&lt;=13,"11-13%",IF(HR_Data[[#This Row],[PercentSalaryHike]]&lt;=16,"14-16%",IF(HR_Data[[#This Row],[PercentSalaryHike]]&lt;=19,"17-19%","20-25%")))</f>
        <v>17-19%</v>
      </c>
      <c r="AP831" s="1">
        <f>IF(HR_Data[[#This Row],[PercentSalaryHike]]&lt;=13,1,IF(HR_Data[[#This Row],[PercentSalaryHike]]&lt;=16,2,IF(HR_Data[[#This Row],[PercentSalaryHike]]&lt;=19,3,4)))</f>
        <v>3</v>
      </c>
      <c r="AQ831" s="1" t="str">
        <f>IF(HR_Data[[#This Row],[DistanceFromHome]]&lt;=5,"1 to 5",IF(HR_Data[[#This Row],[DistanceFromHome]]&lt;=10,"6 to 10",IF(HR_Data[[#This Row],[DistanceFromHome]]&lt;=20,"11 to 20","21 to 29")))</f>
        <v>6 to 10</v>
      </c>
      <c r="AR831" s="1">
        <f>IF(HR_Data[[#This Row],[DistanceFromHome]]&lt;=5,1,IF(HR_Data[[#This Row],[DistanceFromHome]]&lt;=10,2,IF(HR_Data[[#This Row],[DistanceFromHome]]&lt;=20,3,4)))</f>
        <v>2</v>
      </c>
      <c r="AS831" s="1" t="str">
        <f>IF(HR_Data[[#This Row],[TotalWorkingYears]]&lt;=5,"0-5 Yrs",IF(HR_Data[[#This Row],[TotalWorkingYears]]&lt;=10,"6-10 Yrs",IF(HR_Data[[#This Row],[TotalWorkingYears]]&lt;=20,"11-20 Yrs","20+ Yrs")))</f>
        <v>6-10 Yrs</v>
      </c>
      <c r="AT831" s="1">
        <f>IF(HR_Data[[#This Row],[TotalWorkingYears]]&lt;=5,1,IF(HR_Data[[#This Row],[TotalWorkingYears]]&lt;=10,2,IF(HR_Data[[#This Row],[TotalWorkingYears]]&lt;=20,3,4)))</f>
        <v>2</v>
      </c>
    </row>
    <row r="832" spans="1:46" x14ac:dyDescent="0.25">
      <c r="A832">
        <v>41</v>
      </c>
      <c r="B832" t="s">
        <v>36</v>
      </c>
      <c r="C832" t="s">
        <v>30</v>
      </c>
      <c r="D832" t="s">
        <v>38</v>
      </c>
      <c r="E832">
        <v>12</v>
      </c>
      <c r="F832">
        <v>4</v>
      </c>
      <c r="G832" t="s">
        <v>32</v>
      </c>
      <c r="H832">
        <v>1158</v>
      </c>
      <c r="I832">
        <v>2</v>
      </c>
      <c r="J832" t="s">
        <v>39</v>
      </c>
      <c r="K832">
        <v>3</v>
      </c>
      <c r="L832">
        <v>1</v>
      </c>
      <c r="M832" t="s">
        <v>43</v>
      </c>
      <c r="N832">
        <v>4</v>
      </c>
      <c r="O832" t="s">
        <v>41</v>
      </c>
      <c r="P832">
        <v>4766</v>
      </c>
      <c r="Q832">
        <v>3</v>
      </c>
      <c r="R832" t="s">
        <v>29</v>
      </c>
      <c r="S832">
        <v>11</v>
      </c>
      <c r="T832">
        <v>3</v>
      </c>
      <c r="U832">
        <v>1</v>
      </c>
      <c r="V832">
        <v>1</v>
      </c>
      <c r="W832">
        <v>6</v>
      </c>
      <c r="X832">
        <v>4</v>
      </c>
      <c r="Y832">
        <v>3</v>
      </c>
      <c r="Z832">
        <v>1</v>
      </c>
      <c r="AA832">
        <v>0</v>
      </c>
      <c r="AB832">
        <v>0</v>
      </c>
      <c r="AC832">
        <v>0</v>
      </c>
      <c r="AD832">
        <f>IF(HR_Data[[#This Row],[Attrition]]="Yes",1,0)</f>
        <v>0</v>
      </c>
      <c r="AE832" t="str">
        <f>IF(HR_Data[[#This Row],[Age]]&lt;=25,"18-25",IF(HR_Data[[#This Row],[Age]]&lt;=35,"26-35",IF(HR_Data[[#This Row],[Age]]&lt;=45,"36-45",IF(HR_Data[[#This Row],[Age]]&lt;=55,"46-55","55+"))))</f>
        <v>36-45</v>
      </c>
      <c r="AF832">
        <f>IF(HR_Data[[#This Row],[Age]]&lt;=25,1,IF(HR_Data[[#This Row],[Age]]&lt;=35,2,IF(HR_Data[[#This Row],[Age]]&lt;=45,3,IF(HR_Data[[#This Row],[Age]]&lt;=55,4,5))))</f>
        <v>3</v>
      </c>
      <c r="AG832" s="1" t="str">
        <f>IF(HR_Data[[#This Row],[MonthlyIncome]]&lt;3000,"&lt;3K",IF(HR_Data[[#This Row],[MonthlyIncome]]&lt;6000,"3K-6K",IF(HR_Data[[#This Row],[MonthlyIncome]]&lt;10000,"6K-10K","10K+")))</f>
        <v>3K-6K</v>
      </c>
      <c r="AH832" s="1">
        <f>IF(HR_Data[[#This Row],[MonthlyIncome]]&lt;3000,1,IF(HR_Data[[#This Row],[MonthlyIncome]]&lt;6000,2,IF(HR_Data[[#This Row],[MonthlyIncome]]&lt;10000,3,4)))</f>
        <v>2</v>
      </c>
      <c r="AI832" s="1" t="str">
        <f>IF(HR_Data[[#This Row],[YearsAtCompany]]&lt;=2,"0-2 Yrs",IF(HR_Data[[#This Row],[YearsAtCompany]]&lt;=5,"3-5 Yrs",IF(HR_Data[[#This Row],[YearsAtCompany]]&lt;=10,"6-10 Yrs","10+ Yrs")))</f>
        <v>0-2 Yrs</v>
      </c>
      <c r="AJ832" s="1">
        <f>IF(HR_Data[[#This Row],[YearsAtCompany]]&lt;=2,1,IF(HR_Data[[#This Row],[YearsAtCompany]]&lt;=5,2,IF(HR_Data[[#This Row],[YearsAtCompany]]&lt;=10,3,4)))</f>
        <v>1</v>
      </c>
      <c r="AK832" s="1" t="str">
        <f>CHOOSE(HR_Data[[#This Row],[Education]],"Below College","College","Bachelor","Master","Doctor")</f>
        <v>Master</v>
      </c>
      <c r="AL832" s="1" t="str">
        <f>CHOOSE(HR_Data[[#This Row],[JobSatisfaction]],"Low","Medium","High","Very High")</f>
        <v>Very High</v>
      </c>
      <c r="AM832" s="1" t="str">
        <f>CHOOSE(HR_Data[[#This Row],[EnvironmentSatisfaction]],"Low","Medium","High","Very High")</f>
        <v>Medium</v>
      </c>
      <c r="AN832" s="1" t="str">
        <f>CHOOSE(HR_Data[[#This Row],[WorkLifeBalance]],"Bad","Good","Better","Best")</f>
        <v>Better</v>
      </c>
      <c r="AO832" s="1" t="str">
        <f>IF(HR_Data[[#This Row],[PercentSalaryHike]]&lt;=13,"11-13%",IF(HR_Data[[#This Row],[PercentSalaryHike]]&lt;=16,"14-16%",IF(HR_Data[[#This Row],[PercentSalaryHike]]&lt;=19,"17-19%","20-25%")))</f>
        <v>11-13%</v>
      </c>
      <c r="AP832" s="1">
        <f>IF(HR_Data[[#This Row],[PercentSalaryHike]]&lt;=13,1,IF(HR_Data[[#This Row],[PercentSalaryHike]]&lt;=16,2,IF(HR_Data[[#This Row],[PercentSalaryHike]]&lt;=19,3,4)))</f>
        <v>1</v>
      </c>
      <c r="AQ832" s="1" t="str">
        <f>IF(HR_Data[[#This Row],[DistanceFromHome]]&lt;=5,"1 to 5",IF(HR_Data[[#This Row],[DistanceFromHome]]&lt;=10,"6 to 10",IF(HR_Data[[#This Row],[DistanceFromHome]]&lt;=20,"11 to 20","21 to 29")))</f>
        <v>11 to 20</v>
      </c>
      <c r="AR832" s="1">
        <f>IF(HR_Data[[#This Row],[DistanceFromHome]]&lt;=5,1,IF(HR_Data[[#This Row],[DistanceFromHome]]&lt;=10,2,IF(HR_Data[[#This Row],[DistanceFromHome]]&lt;=20,3,4)))</f>
        <v>3</v>
      </c>
      <c r="AS832" s="1" t="str">
        <f>IF(HR_Data[[#This Row],[TotalWorkingYears]]&lt;=5,"0-5 Yrs",IF(HR_Data[[#This Row],[TotalWorkingYears]]&lt;=10,"6-10 Yrs",IF(HR_Data[[#This Row],[TotalWorkingYears]]&lt;=20,"11-20 Yrs","20+ Yrs")))</f>
        <v>6-10 Yrs</v>
      </c>
      <c r="AT832" s="1">
        <f>IF(HR_Data[[#This Row],[TotalWorkingYears]]&lt;=5,1,IF(HR_Data[[#This Row],[TotalWorkingYears]]&lt;=10,2,IF(HR_Data[[#This Row],[TotalWorkingYears]]&lt;=20,3,4)))</f>
        <v>2</v>
      </c>
    </row>
    <row r="833" spans="1:46" x14ac:dyDescent="0.25">
      <c r="A833">
        <v>31</v>
      </c>
      <c r="B833" t="s">
        <v>29</v>
      </c>
      <c r="C833" t="s">
        <v>37</v>
      </c>
      <c r="D833" t="s">
        <v>38</v>
      </c>
      <c r="E833">
        <v>15</v>
      </c>
      <c r="F833">
        <v>3</v>
      </c>
      <c r="G833" t="s">
        <v>44</v>
      </c>
      <c r="H833">
        <v>1160</v>
      </c>
      <c r="I833">
        <v>3</v>
      </c>
      <c r="J833" t="s">
        <v>39</v>
      </c>
      <c r="K833">
        <v>3</v>
      </c>
      <c r="L833">
        <v>1</v>
      </c>
      <c r="M833" t="s">
        <v>43</v>
      </c>
      <c r="N833">
        <v>3</v>
      </c>
      <c r="O833" t="s">
        <v>41</v>
      </c>
      <c r="P833">
        <v>2610</v>
      </c>
      <c r="Q833">
        <v>1</v>
      </c>
      <c r="R833" t="s">
        <v>36</v>
      </c>
      <c r="S833">
        <v>12</v>
      </c>
      <c r="T833">
        <v>3</v>
      </c>
      <c r="U833">
        <v>3</v>
      </c>
      <c r="V833">
        <v>1</v>
      </c>
      <c r="W833">
        <v>2</v>
      </c>
      <c r="X833">
        <v>5</v>
      </c>
      <c r="Y833">
        <v>2</v>
      </c>
      <c r="Z833">
        <v>2</v>
      </c>
      <c r="AA833">
        <v>2</v>
      </c>
      <c r="AB833">
        <v>2</v>
      </c>
      <c r="AC833">
        <v>2</v>
      </c>
      <c r="AD833">
        <f>IF(HR_Data[[#This Row],[Attrition]]="Yes",1,0)</f>
        <v>1</v>
      </c>
      <c r="AE833" t="str">
        <f>IF(HR_Data[[#This Row],[Age]]&lt;=25,"18-25",IF(HR_Data[[#This Row],[Age]]&lt;=35,"26-35",IF(HR_Data[[#This Row],[Age]]&lt;=45,"36-45",IF(HR_Data[[#This Row],[Age]]&lt;=55,"46-55","55+"))))</f>
        <v>26-35</v>
      </c>
      <c r="AF833">
        <f>IF(HR_Data[[#This Row],[Age]]&lt;=25,1,IF(HR_Data[[#This Row],[Age]]&lt;=35,2,IF(HR_Data[[#This Row],[Age]]&lt;=45,3,IF(HR_Data[[#This Row],[Age]]&lt;=55,4,5))))</f>
        <v>2</v>
      </c>
      <c r="AG833" s="1" t="str">
        <f>IF(HR_Data[[#This Row],[MonthlyIncome]]&lt;3000,"&lt;3K",IF(HR_Data[[#This Row],[MonthlyIncome]]&lt;6000,"3K-6K",IF(HR_Data[[#This Row],[MonthlyIncome]]&lt;10000,"6K-10K","10K+")))</f>
        <v>&lt;3K</v>
      </c>
      <c r="AH833" s="1">
        <f>IF(HR_Data[[#This Row],[MonthlyIncome]]&lt;3000,1,IF(HR_Data[[#This Row],[MonthlyIncome]]&lt;6000,2,IF(HR_Data[[#This Row],[MonthlyIncome]]&lt;10000,3,4)))</f>
        <v>1</v>
      </c>
      <c r="AI833" s="1" t="str">
        <f>IF(HR_Data[[#This Row],[YearsAtCompany]]&lt;=2,"0-2 Yrs",IF(HR_Data[[#This Row],[YearsAtCompany]]&lt;=5,"3-5 Yrs",IF(HR_Data[[#This Row],[YearsAtCompany]]&lt;=10,"6-10 Yrs","10+ Yrs")))</f>
        <v>0-2 Yrs</v>
      </c>
      <c r="AJ833" s="1">
        <f>IF(HR_Data[[#This Row],[YearsAtCompany]]&lt;=2,1,IF(HR_Data[[#This Row],[YearsAtCompany]]&lt;=5,2,IF(HR_Data[[#This Row],[YearsAtCompany]]&lt;=10,3,4)))</f>
        <v>1</v>
      </c>
      <c r="AK833" s="1" t="str">
        <f>CHOOSE(HR_Data[[#This Row],[Education]],"Below College","College","Bachelor","Master","Doctor")</f>
        <v>Bachelor</v>
      </c>
      <c r="AL833" s="1" t="str">
        <f>CHOOSE(HR_Data[[#This Row],[JobSatisfaction]],"Low","Medium","High","Very High")</f>
        <v>High</v>
      </c>
      <c r="AM833" s="1" t="str">
        <f>CHOOSE(HR_Data[[#This Row],[EnvironmentSatisfaction]],"Low","Medium","High","Very High")</f>
        <v>High</v>
      </c>
      <c r="AN833" s="1" t="str">
        <f>CHOOSE(HR_Data[[#This Row],[WorkLifeBalance]],"Bad","Good","Better","Best")</f>
        <v>Good</v>
      </c>
      <c r="AO833" s="1" t="str">
        <f>IF(HR_Data[[#This Row],[PercentSalaryHike]]&lt;=13,"11-13%",IF(HR_Data[[#This Row],[PercentSalaryHike]]&lt;=16,"14-16%",IF(HR_Data[[#This Row],[PercentSalaryHike]]&lt;=19,"17-19%","20-25%")))</f>
        <v>11-13%</v>
      </c>
      <c r="AP833" s="1">
        <f>IF(HR_Data[[#This Row],[PercentSalaryHike]]&lt;=13,1,IF(HR_Data[[#This Row],[PercentSalaryHike]]&lt;=16,2,IF(HR_Data[[#This Row],[PercentSalaryHike]]&lt;=19,3,4)))</f>
        <v>1</v>
      </c>
      <c r="AQ833" s="1" t="str">
        <f>IF(HR_Data[[#This Row],[DistanceFromHome]]&lt;=5,"1 to 5",IF(HR_Data[[#This Row],[DistanceFromHome]]&lt;=10,"6 to 10",IF(HR_Data[[#This Row],[DistanceFromHome]]&lt;=20,"11 to 20","21 to 29")))</f>
        <v>11 to 20</v>
      </c>
      <c r="AR833" s="1">
        <f>IF(HR_Data[[#This Row],[DistanceFromHome]]&lt;=5,1,IF(HR_Data[[#This Row],[DistanceFromHome]]&lt;=10,2,IF(HR_Data[[#This Row],[DistanceFromHome]]&lt;=20,3,4)))</f>
        <v>3</v>
      </c>
      <c r="AS833" s="1" t="str">
        <f>IF(HR_Data[[#This Row],[TotalWorkingYears]]&lt;=5,"0-5 Yrs",IF(HR_Data[[#This Row],[TotalWorkingYears]]&lt;=10,"6-10 Yrs",IF(HR_Data[[#This Row],[TotalWorkingYears]]&lt;=20,"11-20 Yrs","20+ Yrs")))</f>
        <v>0-5 Yrs</v>
      </c>
      <c r="AT833" s="1">
        <f>IF(HR_Data[[#This Row],[TotalWorkingYears]]&lt;=5,1,IF(HR_Data[[#This Row],[TotalWorkingYears]]&lt;=10,2,IF(HR_Data[[#This Row],[TotalWorkingYears]]&lt;=20,3,4)))</f>
        <v>1</v>
      </c>
    </row>
    <row r="834" spans="1:46" x14ac:dyDescent="0.25">
      <c r="A834">
        <v>37</v>
      </c>
      <c r="B834" t="s">
        <v>36</v>
      </c>
      <c r="C834" t="s">
        <v>30</v>
      </c>
      <c r="D834" t="s">
        <v>38</v>
      </c>
      <c r="E834">
        <v>25</v>
      </c>
      <c r="F834">
        <v>2</v>
      </c>
      <c r="G834" t="s">
        <v>44</v>
      </c>
      <c r="H834">
        <v>1161</v>
      </c>
      <c r="I834">
        <v>3</v>
      </c>
      <c r="J834" t="s">
        <v>33</v>
      </c>
      <c r="K834">
        <v>2</v>
      </c>
      <c r="L834">
        <v>2</v>
      </c>
      <c r="M834" t="s">
        <v>47</v>
      </c>
      <c r="N834">
        <v>4</v>
      </c>
      <c r="O834" t="s">
        <v>45</v>
      </c>
      <c r="P834">
        <v>5731</v>
      </c>
      <c r="Q834">
        <v>7</v>
      </c>
      <c r="R834" t="s">
        <v>36</v>
      </c>
      <c r="S834">
        <v>13</v>
      </c>
      <c r="T834">
        <v>3</v>
      </c>
      <c r="U834">
        <v>3</v>
      </c>
      <c r="V834">
        <v>2</v>
      </c>
      <c r="W834">
        <v>9</v>
      </c>
      <c r="X834">
        <v>2</v>
      </c>
      <c r="Y834">
        <v>3</v>
      </c>
      <c r="Z834">
        <v>6</v>
      </c>
      <c r="AA834">
        <v>2</v>
      </c>
      <c r="AB834">
        <v>1</v>
      </c>
      <c r="AC834">
        <v>3</v>
      </c>
      <c r="AD834">
        <f>IF(HR_Data[[#This Row],[Attrition]]="Yes",1,0)</f>
        <v>0</v>
      </c>
      <c r="AE834" t="str">
        <f>IF(HR_Data[[#This Row],[Age]]&lt;=25,"18-25",IF(HR_Data[[#This Row],[Age]]&lt;=35,"26-35",IF(HR_Data[[#This Row],[Age]]&lt;=45,"36-45",IF(HR_Data[[#This Row],[Age]]&lt;=55,"46-55","55+"))))</f>
        <v>36-45</v>
      </c>
      <c r="AF834">
        <f>IF(HR_Data[[#This Row],[Age]]&lt;=25,1,IF(HR_Data[[#This Row],[Age]]&lt;=35,2,IF(HR_Data[[#This Row],[Age]]&lt;=45,3,IF(HR_Data[[#This Row],[Age]]&lt;=55,4,5))))</f>
        <v>3</v>
      </c>
      <c r="AG834" s="1" t="str">
        <f>IF(HR_Data[[#This Row],[MonthlyIncome]]&lt;3000,"&lt;3K",IF(HR_Data[[#This Row],[MonthlyIncome]]&lt;6000,"3K-6K",IF(HR_Data[[#This Row],[MonthlyIncome]]&lt;10000,"6K-10K","10K+")))</f>
        <v>3K-6K</v>
      </c>
      <c r="AH834" s="1">
        <f>IF(HR_Data[[#This Row],[MonthlyIncome]]&lt;3000,1,IF(HR_Data[[#This Row],[MonthlyIncome]]&lt;6000,2,IF(HR_Data[[#This Row],[MonthlyIncome]]&lt;10000,3,4)))</f>
        <v>2</v>
      </c>
      <c r="AI834" s="1" t="str">
        <f>IF(HR_Data[[#This Row],[YearsAtCompany]]&lt;=2,"0-2 Yrs",IF(HR_Data[[#This Row],[YearsAtCompany]]&lt;=5,"3-5 Yrs",IF(HR_Data[[#This Row],[YearsAtCompany]]&lt;=10,"6-10 Yrs","10+ Yrs")))</f>
        <v>6-10 Yrs</v>
      </c>
      <c r="AJ834" s="1">
        <f>IF(HR_Data[[#This Row],[YearsAtCompany]]&lt;=2,1,IF(HR_Data[[#This Row],[YearsAtCompany]]&lt;=5,2,IF(HR_Data[[#This Row],[YearsAtCompany]]&lt;=10,3,4)))</f>
        <v>3</v>
      </c>
      <c r="AK834" s="1" t="str">
        <f>CHOOSE(HR_Data[[#This Row],[Education]],"Below College","College","Bachelor","Master","Doctor")</f>
        <v>College</v>
      </c>
      <c r="AL834" s="1" t="str">
        <f>CHOOSE(HR_Data[[#This Row],[JobSatisfaction]],"Low","Medium","High","Very High")</f>
        <v>Very High</v>
      </c>
      <c r="AM834" s="1" t="str">
        <f>CHOOSE(HR_Data[[#This Row],[EnvironmentSatisfaction]],"Low","Medium","High","Very High")</f>
        <v>High</v>
      </c>
      <c r="AN834" s="1" t="str">
        <f>CHOOSE(HR_Data[[#This Row],[WorkLifeBalance]],"Bad","Good","Better","Best")</f>
        <v>Better</v>
      </c>
      <c r="AO834" s="1" t="str">
        <f>IF(HR_Data[[#This Row],[PercentSalaryHike]]&lt;=13,"11-13%",IF(HR_Data[[#This Row],[PercentSalaryHike]]&lt;=16,"14-16%",IF(HR_Data[[#This Row],[PercentSalaryHike]]&lt;=19,"17-19%","20-25%")))</f>
        <v>11-13%</v>
      </c>
      <c r="AP834" s="1">
        <f>IF(HR_Data[[#This Row],[PercentSalaryHike]]&lt;=13,1,IF(HR_Data[[#This Row],[PercentSalaryHike]]&lt;=16,2,IF(HR_Data[[#This Row],[PercentSalaryHike]]&lt;=19,3,4)))</f>
        <v>1</v>
      </c>
      <c r="AQ834" s="1" t="str">
        <f>IF(HR_Data[[#This Row],[DistanceFromHome]]&lt;=5,"1 to 5",IF(HR_Data[[#This Row],[DistanceFromHome]]&lt;=10,"6 to 10",IF(HR_Data[[#This Row],[DistanceFromHome]]&lt;=20,"11 to 20","21 to 29")))</f>
        <v>21 to 29</v>
      </c>
      <c r="AR834" s="1">
        <f>IF(HR_Data[[#This Row],[DistanceFromHome]]&lt;=5,1,IF(HR_Data[[#This Row],[DistanceFromHome]]&lt;=10,2,IF(HR_Data[[#This Row],[DistanceFromHome]]&lt;=20,3,4)))</f>
        <v>4</v>
      </c>
      <c r="AS834" s="1" t="str">
        <f>IF(HR_Data[[#This Row],[TotalWorkingYears]]&lt;=5,"0-5 Yrs",IF(HR_Data[[#This Row],[TotalWorkingYears]]&lt;=10,"6-10 Yrs",IF(HR_Data[[#This Row],[TotalWorkingYears]]&lt;=20,"11-20 Yrs","20+ Yrs")))</f>
        <v>6-10 Yrs</v>
      </c>
      <c r="AT834" s="1">
        <f>IF(HR_Data[[#This Row],[TotalWorkingYears]]&lt;=5,1,IF(HR_Data[[#This Row],[TotalWorkingYears]]&lt;=10,2,IF(HR_Data[[#This Row],[TotalWorkingYears]]&lt;=20,3,4)))</f>
        <v>2</v>
      </c>
    </row>
    <row r="835" spans="1:46" x14ac:dyDescent="0.25">
      <c r="A835">
        <v>27</v>
      </c>
      <c r="B835" t="s">
        <v>36</v>
      </c>
      <c r="C835" t="s">
        <v>30</v>
      </c>
      <c r="D835" t="s">
        <v>38</v>
      </c>
      <c r="E835">
        <v>6</v>
      </c>
      <c r="F835">
        <v>3</v>
      </c>
      <c r="G835" t="s">
        <v>32</v>
      </c>
      <c r="H835">
        <v>1162</v>
      </c>
      <c r="I835">
        <v>4</v>
      </c>
      <c r="J835" t="s">
        <v>39</v>
      </c>
      <c r="K835">
        <v>2</v>
      </c>
      <c r="L835">
        <v>1</v>
      </c>
      <c r="M835" t="s">
        <v>40</v>
      </c>
      <c r="N835">
        <v>3</v>
      </c>
      <c r="O835" t="s">
        <v>41</v>
      </c>
      <c r="P835">
        <v>2539</v>
      </c>
      <c r="Q835">
        <v>1</v>
      </c>
      <c r="R835" t="s">
        <v>36</v>
      </c>
      <c r="S835">
        <v>13</v>
      </c>
      <c r="T835">
        <v>3</v>
      </c>
      <c r="U835">
        <v>3</v>
      </c>
      <c r="V835">
        <v>1</v>
      </c>
      <c r="W835">
        <v>4</v>
      </c>
      <c r="X835">
        <v>0</v>
      </c>
      <c r="Y835">
        <v>3</v>
      </c>
      <c r="Z835">
        <v>4</v>
      </c>
      <c r="AA835">
        <v>2</v>
      </c>
      <c r="AB835">
        <v>2</v>
      </c>
      <c r="AC835">
        <v>2</v>
      </c>
      <c r="AD835">
        <f>IF(HR_Data[[#This Row],[Attrition]]="Yes",1,0)</f>
        <v>0</v>
      </c>
      <c r="AE835" t="str">
        <f>IF(HR_Data[[#This Row],[Age]]&lt;=25,"18-25",IF(HR_Data[[#This Row],[Age]]&lt;=35,"26-35",IF(HR_Data[[#This Row],[Age]]&lt;=45,"36-45",IF(HR_Data[[#This Row],[Age]]&lt;=55,"46-55","55+"))))</f>
        <v>26-35</v>
      </c>
      <c r="AF835">
        <f>IF(HR_Data[[#This Row],[Age]]&lt;=25,1,IF(HR_Data[[#This Row],[Age]]&lt;=35,2,IF(HR_Data[[#This Row],[Age]]&lt;=45,3,IF(HR_Data[[#This Row],[Age]]&lt;=55,4,5))))</f>
        <v>2</v>
      </c>
      <c r="AG835" s="1" t="str">
        <f>IF(HR_Data[[#This Row],[MonthlyIncome]]&lt;3000,"&lt;3K",IF(HR_Data[[#This Row],[MonthlyIncome]]&lt;6000,"3K-6K",IF(HR_Data[[#This Row],[MonthlyIncome]]&lt;10000,"6K-10K","10K+")))</f>
        <v>&lt;3K</v>
      </c>
      <c r="AH835" s="1">
        <f>IF(HR_Data[[#This Row],[MonthlyIncome]]&lt;3000,1,IF(HR_Data[[#This Row],[MonthlyIncome]]&lt;6000,2,IF(HR_Data[[#This Row],[MonthlyIncome]]&lt;10000,3,4)))</f>
        <v>1</v>
      </c>
      <c r="AI835" s="1" t="str">
        <f>IF(HR_Data[[#This Row],[YearsAtCompany]]&lt;=2,"0-2 Yrs",IF(HR_Data[[#This Row],[YearsAtCompany]]&lt;=5,"3-5 Yrs",IF(HR_Data[[#This Row],[YearsAtCompany]]&lt;=10,"6-10 Yrs","10+ Yrs")))</f>
        <v>3-5 Yrs</v>
      </c>
      <c r="AJ835" s="1">
        <f>IF(HR_Data[[#This Row],[YearsAtCompany]]&lt;=2,1,IF(HR_Data[[#This Row],[YearsAtCompany]]&lt;=5,2,IF(HR_Data[[#This Row],[YearsAtCompany]]&lt;=10,3,4)))</f>
        <v>2</v>
      </c>
      <c r="AK835" s="1" t="str">
        <f>CHOOSE(HR_Data[[#This Row],[Education]],"Below College","College","Bachelor","Master","Doctor")</f>
        <v>Bachelor</v>
      </c>
      <c r="AL835" s="1" t="str">
        <f>CHOOSE(HR_Data[[#This Row],[JobSatisfaction]],"Low","Medium","High","Very High")</f>
        <v>High</v>
      </c>
      <c r="AM835" s="1" t="str">
        <f>CHOOSE(HR_Data[[#This Row],[EnvironmentSatisfaction]],"Low","Medium","High","Very High")</f>
        <v>Very High</v>
      </c>
      <c r="AN835" s="1" t="str">
        <f>CHOOSE(HR_Data[[#This Row],[WorkLifeBalance]],"Bad","Good","Better","Best")</f>
        <v>Better</v>
      </c>
      <c r="AO835" s="1" t="str">
        <f>IF(HR_Data[[#This Row],[PercentSalaryHike]]&lt;=13,"11-13%",IF(HR_Data[[#This Row],[PercentSalaryHike]]&lt;=16,"14-16%",IF(HR_Data[[#This Row],[PercentSalaryHike]]&lt;=19,"17-19%","20-25%")))</f>
        <v>11-13%</v>
      </c>
      <c r="AP835" s="1">
        <f>IF(HR_Data[[#This Row],[PercentSalaryHike]]&lt;=13,1,IF(HR_Data[[#This Row],[PercentSalaryHike]]&lt;=16,2,IF(HR_Data[[#This Row],[PercentSalaryHike]]&lt;=19,3,4)))</f>
        <v>1</v>
      </c>
      <c r="AQ835" s="1" t="str">
        <f>IF(HR_Data[[#This Row],[DistanceFromHome]]&lt;=5,"1 to 5",IF(HR_Data[[#This Row],[DistanceFromHome]]&lt;=10,"6 to 10",IF(HR_Data[[#This Row],[DistanceFromHome]]&lt;=20,"11 to 20","21 to 29")))</f>
        <v>6 to 10</v>
      </c>
      <c r="AR835" s="1">
        <f>IF(HR_Data[[#This Row],[DistanceFromHome]]&lt;=5,1,IF(HR_Data[[#This Row],[DistanceFromHome]]&lt;=10,2,IF(HR_Data[[#This Row],[DistanceFromHome]]&lt;=20,3,4)))</f>
        <v>2</v>
      </c>
      <c r="AS835" s="1" t="str">
        <f>IF(HR_Data[[#This Row],[TotalWorkingYears]]&lt;=5,"0-5 Yrs",IF(HR_Data[[#This Row],[TotalWorkingYears]]&lt;=10,"6-10 Yrs",IF(HR_Data[[#This Row],[TotalWorkingYears]]&lt;=20,"11-20 Yrs","20+ Yrs")))</f>
        <v>0-5 Yrs</v>
      </c>
      <c r="AT835" s="1">
        <f>IF(HR_Data[[#This Row],[TotalWorkingYears]]&lt;=5,1,IF(HR_Data[[#This Row],[TotalWorkingYears]]&lt;=10,2,IF(HR_Data[[#This Row],[TotalWorkingYears]]&lt;=20,3,4)))</f>
        <v>1</v>
      </c>
    </row>
    <row r="836" spans="1:46" x14ac:dyDescent="0.25">
      <c r="A836">
        <v>34</v>
      </c>
      <c r="B836" t="s">
        <v>36</v>
      </c>
      <c r="C836" t="s">
        <v>30</v>
      </c>
      <c r="D836" t="s">
        <v>31</v>
      </c>
      <c r="E836">
        <v>9</v>
      </c>
      <c r="F836">
        <v>1</v>
      </c>
      <c r="G836" t="s">
        <v>32</v>
      </c>
      <c r="H836">
        <v>1163</v>
      </c>
      <c r="I836">
        <v>2</v>
      </c>
      <c r="J836" t="s">
        <v>33</v>
      </c>
      <c r="K836">
        <v>3</v>
      </c>
      <c r="L836">
        <v>2</v>
      </c>
      <c r="M836" t="s">
        <v>34</v>
      </c>
      <c r="N836">
        <v>3</v>
      </c>
      <c r="O836" t="s">
        <v>41</v>
      </c>
      <c r="P836">
        <v>5714</v>
      </c>
      <c r="Q836">
        <v>1</v>
      </c>
      <c r="R836" t="s">
        <v>36</v>
      </c>
      <c r="S836">
        <v>20</v>
      </c>
      <c r="T836">
        <v>4</v>
      </c>
      <c r="U836">
        <v>1</v>
      </c>
      <c r="V836">
        <v>0</v>
      </c>
      <c r="W836">
        <v>6</v>
      </c>
      <c r="X836">
        <v>3</v>
      </c>
      <c r="Y836">
        <v>2</v>
      </c>
      <c r="Z836">
        <v>6</v>
      </c>
      <c r="AA836">
        <v>5</v>
      </c>
      <c r="AB836">
        <v>1</v>
      </c>
      <c r="AC836">
        <v>3</v>
      </c>
      <c r="AD836">
        <f>IF(HR_Data[[#This Row],[Attrition]]="Yes",1,0)</f>
        <v>0</v>
      </c>
      <c r="AE836" t="str">
        <f>IF(HR_Data[[#This Row],[Age]]&lt;=25,"18-25",IF(HR_Data[[#This Row],[Age]]&lt;=35,"26-35",IF(HR_Data[[#This Row],[Age]]&lt;=45,"36-45",IF(HR_Data[[#This Row],[Age]]&lt;=55,"46-55","55+"))))</f>
        <v>26-35</v>
      </c>
      <c r="AF836">
        <f>IF(HR_Data[[#This Row],[Age]]&lt;=25,1,IF(HR_Data[[#This Row],[Age]]&lt;=35,2,IF(HR_Data[[#This Row],[Age]]&lt;=45,3,IF(HR_Data[[#This Row],[Age]]&lt;=55,4,5))))</f>
        <v>2</v>
      </c>
      <c r="AG836" s="1" t="str">
        <f>IF(HR_Data[[#This Row],[MonthlyIncome]]&lt;3000,"&lt;3K",IF(HR_Data[[#This Row],[MonthlyIncome]]&lt;6000,"3K-6K",IF(HR_Data[[#This Row],[MonthlyIncome]]&lt;10000,"6K-10K","10K+")))</f>
        <v>3K-6K</v>
      </c>
      <c r="AH836" s="1">
        <f>IF(HR_Data[[#This Row],[MonthlyIncome]]&lt;3000,1,IF(HR_Data[[#This Row],[MonthlyIncome]]&lt;6000,2,IF(HR_Data[[#This Row],[MonthlyIncome]]&lt;10000,3,4)))</f>
        <v>2</v>
      </c>
      <c r="AI836" s="1" t="str">
        <f>IF(HR_Data[[#This Row],[YearsAtCompany]]&lt;=2,"0-2 Yrs",IF(HR_Data[[#This Row],[YearsAtCompany]]&lt;=5,"3-5 Yrs",IF(HR_Data[[#This Row],[YearsAtCompany]]&lt;=10,"6-10 Yrs","10+ Yrs")))</f>
        <v>6-10 Yrs</v>
      </c>
      <c r="AJ836" s="1">
        <f>IF(HR_Data[[#This Row],[YearsAtCompany]]&lt;=2,1,IF(HR_Data[[#This Row],[YearsAtCompany]]&lt;=5,2,IF(HR_Data[[#This Row],[YearsAtCompany]]&lt;=10,3,4)))</f>
        <v>3</v>
      </c>
      <c r="AK836" s="1" t="str">
        <f>CHOOSE(HR_Data[[#This Row],[Education]],"Below College","College","Bachelor","Master","Doctor")</f>
        <v>Below College</v>
      </c>
      <c r="AL836" s="1" t="str">
        <f>CHOOSE(HR_Data[[#This Row],[JobSatisfaction]],"Low","Medium","High","Very High")</f>
        <v>High</v>
      </c>
      <c r="AM836" s="1" t="str">
        <f>CHOOSE(HR_Data[[#This Row],[EnvironmentSatisfaction]],"Low","Medium","High","Very High")</f>
        <v>Medium</v>
      </c>
      <c r="AN836" s="1" t="str">
        <f>CHOOSE(HR_Data[[#This Row],[WorkLifeBalance]],"Bad","Good","Better","Best")</f>
        <v>Good</v>
      </c>
      <c r="AO836" s="1" t="str">
        <f>IF(HR_Data[[#This Row],[PercentSalaryHike]]&lt;=13,"11-13%",IF(HR_Data[[#This Row],[PercentSalaryHike]]&lt;=16,"14-16%",IF(HR_Data[[#This Row],[PercentSalaryHike]]&lt;=19,"17-19%","20-25%")))</f>
        <v>20-25%</v>
      </c>
      <c r="AP836" s="1">
        <f>IF(HR_Data[[#This Row],[PercentSalaryHike]]&lt;=13,1,IF(HR_Data[[#This Row],[PercentSalaryHike]]&lt;=16,2,IF(HR_Data[[#This Row],[PercentSalaryHike]]&lt;=19,3,4)))</f>
        <v>4</v>
      </c>
      <c r="AQ836" s="1" t="str">
        <f>IF(HR_Data[[#This Row],[DistanceFromHome]]&lt;=5,"1 to 5",IF(HR_Data[[#This Row],[DistanceFromHome]]&lt;=10,"6 to 10",IF(HR_Data[[#This Row],[DistanceFromHome]]&lt;=20,"11 to 20","21 to 29")))</f>
        <v>6 to 10</v>
      </c>
      <c r="AR836" s="1">
        <f>IF(HR_Data[[#This Row],[DistanceFromHome]]&lt;=5,1,IF(HR_Data[[#This Row],[DistanceFromHome]]&lt;=10,2,IF(HR_Data[[#This Row],[DistanceFromHome]]&lt;=20,3,4)))</f>
        <v>2</v>
      </c>
      <c r="AS836" s="1" t="str">
        <f>IF(HR_Data[[#This Row],[TotalWorkingYears]]&lt;=5,"0-5 Yrs",IF(HR_Data[[#This Row],[TotalWorkingYears]]&lt;=10,"6-10 Yrs",IF(HR_Data[[#This Row],[TotalWorkingYears]]&lt;=20,"11-20 Yrs","20+ Yrs")))</f>
        <v>6-10 Yrs</v>
      </c>
      <c r="AT836" s="1">
        <f>IF(HR_Data[[#This Row],[TotalWorkingYears]]&lt;=5,1,IF(HR_Data[[#This Row],[TotalWorkingYears]]&lt;=10,2,IF(HR_Data[[#This Row],[TotalWorkingYears]]&lt;=20,3,4)))</f>
        <v>2</v>
      </c>
    </row>
    <row r="837" spans="1:46" x14ac:dyDescent="0.25">
      <c r="A837">
        <v>35</v>
      </c>
      <c r="B837" t="s">
        <v>36</v>
      </c>
      <c r="C837" t="s">
        <v>30</v>
      </c>
      <c r="D837" t="s">
        <v>54</v>
      </c>
      <c r="E837">
        <v>8</v>
      </c>
      <c r="F837">
        <v>4</v>
      </c>
      <c r="G837" t="s">
        <v>53</v>
      </c>
      <c r="H837">
        <v>1164</v>
      </c>
      <c r="I837">
        <v>3</v>
      </c>
      <c r="J837" t="s">
        <v>39</v>
      </c>
      <c r="K837">
        <v>3</v>
      </c>
      <c r="L837">
        <v>1</v>
      </c>
      <c r="M837" t="s">
        <v>54</v>
      </c>
      <c r="N837">
        <v>3</v>
      </c>
      <c r="O837" t="s">
        <v>35</v>
      </c>
      <c r="P837">
        <v>4323</v>
      </c>
      <c r="Q837">
        <v>1</v>
      </c>
      <c r="R837" t="s">
        <v>36</v>
      </c>
      <c r="S837">
        <v>17</v>
      </c>
      <c r="T837">
        <v>3</v>
      </c>
      <c r="U837">
        <v>2</v>
      </c>
      <c r="V837">
        <v>0</v>
      </c>
      <c r="W837">
        <v>6</v>
      </c>
      <c r="X837">
        <v>2</v>
      </c>
      <c r="Y837">
        <v>1</v>
      </c>
      <c r="Z837">
        <v>5</v>
      </c>
      <c r="AA837">
        <v>4</v>
      </c>
      <c r="AB837">
        <v>1</v>
      </c>
      <c r="AC837">
        <v>4</v>
      </c>
      <c r="AD837">
        <f>IF(HR_Data[[#This Row],[Attrition]]="Yes",1,0)</f>
        <v>0</v>
      </c>
      <c r="AE837" t="str">
        <f>IF(HR_Data[[#This Row],[Age]]&lt;=25,"18-25",IF(HR_Data[[#This Row],[Age]]&lt;=35,"26-35",IF(HR_Data[[#This Row],[Age]]&lt;=45,"36-45",IF(HR_Data[[#This Row],[Age]]&lt;=55,"46-55","55+"))))</f>
        <v>26-35</v>
      </c>
      <c r="AF837">
        <f>IF(HR_Data[[#This Row],[Age]]&lt;=25,1,IF(HR_Data[[#This Row],[Age]]&lt;=35,2,IF(HR_Data[[#This Row],[Age]]&lt;=45,3,IF(HR_Data[[#This Row],[Age]]&lt;=55,4,5))))</f>
        <v>2</v>
      </c>
      <c r="AG837" s="1" t="str">
        <f>IF(HR_Data[[#This Row],[MonthlyIncome]]&lt;3000,"&lt;3K",IF(HR_Data[[#This Row],[MonthlyIncome]]&lt;6000,"3K-6K",IF(HR_Data[[#This Row],[MonthlyIncome]]&lt;10000,"6K-10K","10K+")))</f>
        <v>3K-6K</v>
      </c>
      <c r="AH837" s="1">
        <f>IF(HR_Data[[#This Row],[MonthlyIncome]]&lt;3000,1,IF(HR_Data[[#This Row],[MonthlyIncome]]&lt;6000,2,IF(HR_Data[[#This Row],[MonthlyIncome]]&lt;10000,3,4)))</f>
        <v>2</v>
      </c>
      <c r="AI837" s="1" t="str">
        <f>IF(HR_Data[[#This Row],[YearsAtCompany]]&lt;=2,"0-2 Yrs",IF(HR_Data[[#This Row],[YearsAtCompany]]&lt;=5,"3-5 Yrs",IF(HR_Data[[#This Row],[YearsAtCompany]]&lt;=10,"6-10 Yrs","10+ Yrs")))</f>
        <v>3-5 Yrs</v>
      </c>
      <c r="AJ837" s="1">
        <f>IF(HR_Data[[#This Row],[YearsAtCompany]]&lt;=2,1,IF(HR_Data[[#This Row],[YearsAtCompany]]&lt;=5,2,IF(HR_Data[[#This Row],[YearsAtCompany]]&lt;=10,3,4)))</f>
        <v>2</v>
      </c>
      <c r="AK837" s="1" t="str">
        <f>CHOOSE(HR_Data[[#This Row],[Education]],"Below College","College","Bachelor","Master","Doctor")</f>
        <v>Master</v>
      </c>
      <c r="AL837" s="1" t="str">
        <f>CHOOSE(HR_Data[[#This Row],[JobSatisfaction]],"Low","Medium","High","Very High")</f>
        <v>High</v>
      </c>
      <c r="AM837" s="1" t="str">
        <f>CHOOSE(HR_Data[[#This Row],[EnvironmentSatisfaction]],"Low","Medium","High","Very High")</f>
        <v>High</v>
      </c>
      <c r="AN837" s="1" t="str">
        <f>CHOOSE(HR_Data[[#This Row],[WorkLifeBalance]],"Bad","Good","Better","Best")</f>
        <v>Bad</v>
      </c>
      <c r="AO837" s="1" t="str">
        <f>IF(HR_Data[[#This Row],[PercentSalaryHike]]&lt;=13,"11-13%",IF(HR_Data[[#This Row],[PercentSalaryHike]]&lt;=16,"14-16%",IF(HR_Data[[#This Row],[PercentSalaryHike]]&lt;=19,"17-19%","20-25%")))</f>
        <v>17-19%</v>
      </c>
      <c r="AP837" s="1">
        <f>IF(HR_Data[[#This Row],[PercentSalaryHike]]&lt;=13,1,IF(HR_Data[[#This Row],[PercentSalaryHike]]&lt;=16,2,IF(HR_Data[[#This Row],[PercentSalaryHike]]&lt;=19,3,4)))</f>
        <v>3</v>
      </c>
      <c r="AQ837" s="1" t="str">
        <f>IF(HR_Data[[#This Row],[DistanceFromHome]]&lt;=5,"1 to 5",IF(HR_Data[[#This Row],[DistanceFromHome]]&lt;=10,"6 to 10",IF(HR_Data[[#This Row],[DistanceFromHome]]&lt;=20,"11 to 20","21 to 29")))</f>
        <v>6 to 10</v>
      </c>
      <c r="AR837" s="1">
        <f>IF(HR_Data[[#This Row],[DistanceFromHome]]&lt;=5,1,IF(HR_Data[[#This Row],[DistanceFromHome]]&lt;=10,2,IF(HR_Data[[#This Row],[DistanceFromHome]]&lt;=20,3,4)))</f>
        <v>2</v>
      </c>
      <c r="AS837" s="1" t="str">
        <f>IF(HR_Data[[#This Row],[TotalWorkingYears]]&lt;=5,"0-5 Yrs",IF(HR_Data[[#This Row],[TotalWorkingYears]]&lt;=10,"6-10 Yrs",IF(HR_Data[[#This Row],[TotalWorkingYears]]&lt;=20,"11-20 Yrs","20+ Yrs")))</f>
        <v>6-10 Yrs</v>
      </c>
      <c r="AT837" s="1">
        <f>IF(HR_Data[[#This Row],[TotalWorkingYears]]&lt;=5,1,IF(HR_Data[[#This Row],[TotalWorkingYears]]&lt;=10,2,IF(HR_Data[[#This Row],[TotalWorkingYears]]&lt;=20,3,4)))</f>
        <v>2</v>
      </c>
    </row>
    <row r="838" spans="1:46" x14ac:dyDescent="0.25">
      <c r="A838">
        <v>29</v>
      </c>
      <c r="B838" t="s">
        <v>29</v>
      </c>
      <c r="C838" t="s">
        <v>30</v>
      </c>
      <c r="D838" t="s">
        <v>31</v>
      </c>
      <c r="E838">
        <v>23</v>
      </c>
      <c r="F838">
        <v>1</v>
      </c>
      <c r="G838" t="s">
        <v>32</v>
      </c>
      <c r="H838">
        <v>1165</v>
      </c>
      <c r="I838">
        <v>4</v>
      </c>
      <c r="J838" t="s">
        <v>33</v>
      </c>
      <c r="K838">
        <v>2</v>
      </c>
      <c r="L838">
        <v>3</v>
      </c>
      <c r="M838" t="s">
        <v>34</v>
      </c>
      <c r="N838">
        <v>1</v>
      </c>
      <c r="O838" t="s">
        <v>41</v>
      </c>
      <c r="P838">
        <v>7336</v>
      </c>
      <c r="Q838">
        <v>1</v>
      </c>
      <c r="R838" t="s">
        <v>36</v>
      </c>
      <c r="S838">
        <v>13</v>
      </c>
      <c r="T838">
        <v>3</v>
      </c>
      <c r="U838">
        <v>1</v>
      </c>
      <c r="V838">
        <v>1</v>
      </c>
      <c r="W838">
        <v>11</v>
      </c>
      <c r="X838">
        <v>3</v>
      </c>
      <c r="Y838">
        <v>1</v>
      </c>
      <c r="Z838">
        <v>11</v>
      </c>
      <c r="AA838">
        <v>8</v>
      </c>
      <c r="AB838">
        <v>3</v>
      </c>
      <c r="AC838">
        <v>10</v>
      </c>
      <c r="AD838">
        <f>IF(HR_Data[[#This Row],[Attrition]]="Yes",1,0)</f>
        <v>1</v>
      </c>
      <c r="AE838" t="str">
        <f>IF(HR_Data[[#This Row],[Age]]&lt;=25,"18-25",IF(HR_Data[[#This Row],[Age]]&lt;=35,"26-35",IF(HR_Data[[#This Row],[Age]]&lt;=45,"36-45",IF(HR_Data[[#This Row],[Age]]&lt;=55,"46-55","55+"))))</f>
        <v>26-35</v>
      </c>
      <c r="AF838">
        <f>IF(HR_Data[[#This Row],[Age]]&lt;=25,1,IF(HR_Data[[#This Row],[Age]]&lt;=35,2,IF(HR_Data[[#This Row],[Age]]&lt;=45,3,IF(HR_Data[[#This Row],[Age]]&lt;=55,4,5))))</f>
        <v>2</v>
      </c>
      <c r="AG838" s="1" t="str">
        <f>IF(HR_Data[[#This Row],[MonthlyIncome]]&lt;3000,"&lt;3K",IF(HR_Data[[#This Row],[MonthlyIncome]]&lt;6000,"3K-6K",IF(HR_Data[[#This Row],[MonthlyIncome]]&lt;10000,"6K-10K","10K+")))</f>
        <v>6K-10K</v>
      </c>
      <c r="AH838" s="1">
        <f>IF(HR_Data[[#This Row],[MonthlyIncome]]&lt;3000,1,IF(HR_Data[[#This Row],[MonthlyIncome]]&lt;6000,2,IF(HR_Data[[#This Row],[MonthlyIncome]]&lt;10000,3,4)))</f>
        <v>3</v>
      </c>
      <c r="AI838" s="1" t="str">
        <f>IF(HR_Data[[#This Row],[YearsAtCompany]]&lt;=2,"0-2 Yrs",IF(HR_Data[[#This Row],[YearsAtCompany]]&lt;=5,"3-5 Yrs",IF(HR_Data[[#This Row],[YearsAtCompany]]&lt;=10,"6-10 Yrs","10+ Yrs")))</f>
        <v>10+ Yrs</v>
      </c>
      <c r="AJ838" s="1">
        <f>IF(HR_Data[[#This Row],[YearsAtCompany]]&lt;=2,1,IF(HR_Data[[#This Row],[YearsAtCompany]]&lt;=5,2,IF(HR_Data[[#This Row],[YearsAtCompany]]&lt;=10,3,4)))</f>
        <v>4</v>
      </c>
      <c r="AK838" s="1" t="str">
        <f>CHOOSE(HR_Data[[#This Row],[Education]],"Below College","College","Bachelor","Master","Doctor")</f>
        <v>Below College</v>
      </c>
      <c r="AL838" s="1" t="str">
        <f>CHOOSE(HR_Data[[#This Row],[JobSatisfaction]],"Low","Medium","High","Very High")</f>
        <v>Low</v>
      </c>
      <c r="AM838" s="1" t="str">
        <f>CHOOSE(HR_Data[[#This Row],[EnvironmentSatisfaction]],"Low","Medium","High","Very High")</f>
        <v>Very High</v>
      </c>
      <c r="AN838" s="1" t="str">
        <f>CHOOSE(HR_Data[[#This Row],[WorkLifeBalance]],"Bad","Good","Better","Best")</f>
        <v>Bad</v>
      </c>
      <c r="AO838" s="1" t="str">
        <f>IF(HR_Data[[#This Row],[PercentSalaryHike]]&lt;=13,"11-13%",IF(HR_Data[[#This Row],[PercentSalaryHike]]&lt;=16,"14-16%",IF(HR_Data[[#This Row],[PercentSalaryHike]]&lt;=19,"17-19%","20-25%")))</f>
        <v>11-13%</v>
      </c>
      <c r="AP838" s="1">
        <f>IF(HR_Data[[#This Row],[PercentSalaryHike]]&lt;=13,1,IF(HR_Data[[#This Row],[PercentSalaryHike]]&lt;=16,2,IF(HR_Data[[#This Row],[PercentSalaryHike]]&lt;=19,3,4)))</f>
        <v>1</v>
      </c>
      <c r="AQ838" s="1" t="str">
        <f>IF(HR_Data[[#This Row],[DistanceFromHome]]&lt;=5,"1 to 5",IF(HR_Data[[#This Row],[DistanceFromHome]]&lt;=10,"6 to 10",IF(HR_Data[[#This Row],[DistanceFromHome]]&lt;=20,"11 to 20","21 to 29")))</f>
        <v>21 to 29</v>
      </c>
      <c r="AR838" s="1">
        <f>IF(HR_Data[[#This Row],[DistanceFromHome]]&lt;=5,1,IF(HR_Data[[#This Row],[DistanceFromHome]]&lt;=10,2,IF(HR_Data[[#This Row],[DistanceFromHome]]&lt;=20,3,4)))</f>
        <v>4</v>
      </c>
      <c r="AS838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838" s="1">
        <f>IF(HR_Data[[#This Row],[TotalWorkingYears]]&lt;=5,1,IF(HR_Data[[#This Row],[TotalWorkingYears]]&lt;=10,2,IF(HR_Data[[#This Row],[TotalWorkingYears]]&lt;=20,3,4)))</f>
        <v>3</v>
      </c>
    </row>
    <row r="839" spans="1:46" x14ac:dyDescent="0.25">
      <c r="A839">
        <v>40</v>
      </c>
      <c r="B839" t="s">
        <v>36</v>
      </c>
      <c r="C839" t="s">
        <v>37</v>
      </c>
      <c r="D839" t="s">
        <v>38</v>
      </c>
      <c r="E839">
        <v>9</v>
      </c>
      <c r="F839">
        <v>4</v>
      </c>
      <c r="G839" t="s">
        <v>44</v>
      </c>
      <c r="H839">
        <v>1166</v>
      </c>
      <c r="I839">
        <v>2</v>
      </c>
      <c r="J839" t="s">
        <v>33</v>
      </c>
      <c r="K839">
        <v>3</v>
      </c>
      <c r="L839">
        <v>3</v>
      </c>
      <c r="M839" t="s">
        <v>51</v>
      </c>
      <c r="N839">
        <v>3</v>
      </c>
      <c r="O839" t="s">
        <v>35</v>
      </c>
      <c r="P839">
        <v>13499</v>
      </c>
      <c r="Q839">
        <v>9</v>
      </c>
      <c r="R839" t="s">
        <v>36</v>
      </c>
      <c r="S839">
        <v>17</v>
      </c>
      <c r="T839">
        <v>3</v>
      </c>
      <c r="U839">
        <v>3</v>
      </c>
      <c r="V839">
        <v>0</v>
      </c>
      <c r="W839">
        <v>20</v>
      </c>
      <c r="X839">
        <v>3</v>
      </c>
      <c r="Y839">
        <v>2</v>
      </c>
      <c r="Z839">
        <v>18</v>
      </c>
      <c r="AA839">
        <v>7</v>
      </c>
      <c r="AB839">
        <v>2</v>
      </c>
      <c r="AC839">
        <v>13</v>
      </c>
      <c r="AD839">
        <f>IF(HR_Data[[#This Row],[Attrition]]="Yes",1,0)</f>
        <v>0</v>
      </c>
      <c r="AE839" t="str">
        <f>IF(HR_Data[[#This Row],[Age]]&lt;=25,"18-25",IF(HR_Data[[#This Row],[Age]]&lt;=35,"26-35",IF(HR_Data[[#This Row],[Age]]&lt;=45,"36-45",IF(HR_Data[[#This Row],[Age]]&lt;=55,"46-55","55+"))))</f>
        <v>36-45</v>
      </c>
      <c r="AF839">
        <f>IF(HR_Data[[#This Row],[Age]]&lt;=25,1,IF(HR_Data[[#This Row],[Age]]&lt;=35,2,IF(HR_Data[[#This Row],[Age]]&lt;=45,3,IF(HR_Data[[#This Row],[Age]]&lt;=55,4,5))))</f>
        <v>3</v>
      </c>
      <c r="AG839" s="1" t="str">
        <f>IF(HR_Data[[#This Row],[MonthlyIncome]]&lt;3000,"&lt;3K",IF(HR_Data[[#This Row],[MonthlyIncome]]&lt;6000,"3K-6K",IF(HR_Data[[#This Row],[MonthlyIncome]]&lt;10000,"6K-10K","10K+")))</f>
        <v>10K+</v>
      </c>
      <c r="AH839" s="1">
        <f>IF(HR_Data[[#This Row],[MonthlyIncome]]&lt;3000,1,IF(HR_Data[[#This Row],[MonthlyIncome]]&lt;6000,2,IF(HR_Data[[#This Row],[MonthlyIncome]]&lt;10000,3,4)))</f>
        <v>4</v>
      </c>
      <c r="AI839" s="1" t="str">
        <f>IF(HR_Data[[#This Row],[YearsAtCompany]]&lt;=2,"0-2 Yrs",IF(HR_Data[[#This Row],[YearsAtCompany]]&lt;=5,"3-5 Yrs",IF(HR_Data[[#This Row],[YearsAtCompany]]&lt;=10,"6-10 Yrs","10+ Yrs")))</f>
        <v>10+ Yrs</v>
      </c>
      <c r="AJ839" s="1">
        <f>IF(HR_Data[[#This Row],[YearsAtCompany]]&lt;=2,1,IF(HR_Data[[#This Row],[YearsAtCompany]]&lt;=5,2,IF(HR_Data[[#This Row],[YearsAtCompany]]&lt;=10,3,4)))</f>
        <v>4</v>
      </c>
      <c r="AK839" s="1" t="str">
        <f>CHOOSE(HR_Data[[#This Row],[Education]],"Below College","College","Bachelor","Master","Doctor")</f>
        <v>Master</v>
      </c>
      <c r="AL839" s="1" t="str">
        <f>CHOOSE(HR_Data[[#This Row],[JobSatisfaction]],"Low","Medium","High","Very High")</f>
        <v>High</v>
      </c>
      <c r="AM839" s="1" t="str">
        <f>CHOOSE(HR_Data[[#This Row],[EnvironmentSatisfaction]],"Low","Medium","High","Very High")</f>
        <v>Medium</v>
      </c>
      <c r="AN839" s="1" t="str">
        <f>CHOOSE(HR_Data[[#This Row],[WorkLifeBalance]],"Bad","Good","Better","Best")</f>
        <v>Good</v>
      </c>
      <c r="AO839" s="1" t="str">
        <f>IF(HR_Data[[#This Row],[PercentSalaryHike]]&lt;=13,"11-13%",IF(HR_Data[[#This Row],[PercentSalaryHike]]&lt;=16,"14-16%",IF(HR_Data[[#This Row],[PercentSalaryHike]]&lt;=19,"17-19%","20-25%")))</f>
        <v>17-19%</v>
      </c>
      <c r="AP839" s="1">
        <f>IF(HR_Data[[#This Row],[PercentSalaryHike]]&lt;=13,1,IF(HR_Data[[#This Row],[PercentSalaryHike]]&lt;=16,2,IF(HR_Data[[#This Row],[PercentSalaryHike]]&lt;=19,3,4)))</f>
        <v>3</v>
      </c>
      <c r="AQ839" s="1" t="str">
        <f>IF(HR_Data[[#This Row],[DistanceFromHome]]&lt;=5,"1 to 5",IF(HR_Data[[#This Row],[DistanceFromHome]]&lt;=10,"6 to 10",IF(HR_Data[[#This Row],[DistanceFromHome]]&lt;=20,"11 to 20","21 to 29")))</f>
        <v>6 to 10</v>
      </c>
      <c r="AR839" s="1">
        <f>IF(HR_Data[[#This Row],[DistanceFromHome]]&lt;=5,1,IF(HR_Data[[#This Row],[DistanceFromHome]]&lt;=10,2,IF(HR_Data[[#This Row],[DistanceFromHome]]&lt;=20,3,4)))</f>
        <v>2</v>
      </c>
      <c r="AS839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839" s="1">
        <f>IF(HR_Data[[#This Row],[TotalWorkingYears]]&lt;=5,1,IF(HR_Data[[#This Row],[TotalWorkingYears]]&lt;=10,2,IF(HR_Data[[#This Row],[TotalWorkingYears]]&lt;=20,3,4)))</f>
        <v>3</v>
      </c>
    </row>
    <row r="840" spans="1:46" x14ac:dyDescent="0.25">
      <c r="A840">
        <v>42</v>
      </c>
      <c r="B840" t="s">
        <v>29</v>
      </c>
      <c r="C840" t="s">
        <v>37</v>
      </c>
      <c r="D840" t="s">
        <v>31</v>
      </c>
      <c r="E840">
        <v>12</v>
      </c>
      <c r="F840">
        <v>3</v>
      </c>
      <c r="G840" t="s">
        <v>32</v>
      </c>
      <c r="H840">
        <v>1167</v>
      </c>
      <c r="I840">
        <v>3</v>
      </c>
      <c r="J840" t="s">
        <v>39</v>
      </c>
      <c r="K840">
        <v>3</v>
      </c>
      <c r="L840">
        <v>4</v>
      </c>
      <c r="M840" t="s">
        <v>34</v>
      </c>
      <c r="N840">
        <v>1</v>
      </c>
      <c r="O840" t="s">
        <v>35</v>
      </c>
      <c r="P840">
        <v>13758</v>
      </c>
      <c r="Q840">
        <v>0</v>
      </c>
      <c r="R840" t="s">
        <v>29</v>
      </c>
      <c r="S840">
        <v>12</v>
      </c>
      <c r="T840">
        <v>3</v>
      </c>
      <c r="U840">
        <v>2</v>
      </c>
      <c r="V840">
        <v>0</v>
      </c>
      <c r="W840">
        <v>22</v>
      </c>
      <c r="X840">
        <v>2</v>
      </c>
      <c r="Y840">
        <v>2</v>
      </c>
      <c r="Z840">
        <v>21</v>
      </c>
      <c r="AA840">
        <v>9</v>
      </c>
      <c r="AB840">
        <v>13</v>
      </c>
      <c r="AC840">
        <v>14</v>
      </c>
      <c r="AD840">
        <f>IF(HR_Data[[#This Row],[Attrition]]="Yes",1,0)</f>
        <v>1</v>
      </c>
      <c r="AE840" t="str">
        <f>IF(HR_Data[[#This Row],[Age]]&lt;=25,"18-25",IF(HR_Data[[#This Row],[Age]]&lt;=35,"26-35",IF(HR_Data[[#This Row],[Age]]&lt;=45,"36-45",IF(HR_Data[[#This Row],[Age]]&lt;=55,"46-55","55+"))))</f>
        <v>36-45</v>
      </c>
      <c r="AF840">
        <f>IF(HR_Data[[#This Row],[Age]]&lt;=25,1,IF(HR_Data[[#This Row],[Age]]&lt;=35,2,IF(HR_Data[[#This Row],[Age]]&lt;=45,3,IF(HR_Data[[#This Row],[Age]]&lt;=55,4,5))))</f>
        <v>3</v>
      </c>
      <c r="AG840" s="1" t="str">
        <f>IF(HR_Data[[#This Row],[MonthlyIncome]]&lt;3000,"&lt;3K",IF(HR_Data[[#This Row],[MonthlyIncome]]&lt;6000,"3K-6K",IF(HR_Data[[#This Row],[MonthlyIncome]]&lt;10000,"6K-10K","10K+")))</f>
        <v>10K+</v>
      </c>
      <c r="AH840" s="1">
        <f>IF(HR_Data[[#This Row],[MonthlyIncome]]&lt;3000,1,IF(HR_Data[[#This Row],[MonthlyIncome]]&lt;6000,2,IF(HR_Data[[#This Row],[MonthlyIncome]]&lt;10000,3,4)))</f>
        <v>4</v>
      </c>
      <c r="AI840" s="1" t="str">
        <f>IF(HR_Data[[#This Row],[YearsAtCompany]]&lt;=2,"0-2 Yrs",IF(HR_Data[[#This Row],[YearsAtCompany]]&lt;=5,"3-5 Yrs",IF(HR_Data[[#This Row],[YearsAtCompany]]&lt;=10,"6-10 Yrs","10+ Yrs")))</f>
        <v>10+ Yrs</v>
      </c>
      <c r="AJ840" s="1">
        <f>IF(HR_Data[[#This Row],[YearsAtCompany]]&lt;=2,1,IF(HR_Data[[#This Row],[YearsAtCompany]]&lt;=5,2,IF(HR_Data[[#This Row],[YearsAtCompany]]&lt;=10,3,4)))</f>
        <v>4</v>
      </c>
      <c r="AK840" s="1" t="str">
        <f>CHOOSE(HR_Data[[#This Row],[Education]],"Below College","College","Bachelor","Master","Doctor")</f>
        <v>Bachelor</v>
      </c>
      <c r="AL840" s="1" t="str">
        <f>CHOOSE(HR_Data[[#This Row],[JobSatisfaction]],"Low","Medium","High","Very High")</f>
        <v>Low</v>
      </c>
      <c r="AM840" s="1" t="str">
        <f>CHOOSE(HR_Data[[#This Row],[EnvironmentSatisfaction]],"Low","Medium","High","Very High")</f>
        <v>High</v>
      </c>
      <c r="AN840" s="1" t="str">
        <f>CHOOSE(HR_Data[[#This Row],[WorkLifeBalance]],"Bad","Good","Better","Best")</f>
        <v>Good</v>
      </c>
      <c r="AO840" s="1" t="str">
        <f>IF(HR_Data[[#This Row],[PercentSalaryHike]]&lt;=13,"11-13%",IF(HR_Data[[#This Row],[PercentSalaryHike]]&lt;=16,"14-16%",IF(HR_Data[[#This Row],[PercentSalaryHike]]&lt;=19,"17-19%","20-25%")))</f>
        <v>11-13%</v>
      </c>
      <c r="AP840" s="1">
        <f>IF(HR_Data[[#This Row],[PercentSalaryHike]]&lt;=13,1,IF(HR_Data[[#This Row],[PercentSalaryHike]]&lt;=16,2,IF(HR_Data[[#This Row],[PercentSalaryHike]]&lt;=19,3,4)))</f>
        <v>1</v>
      </c>
      <c r="AQ840" s="1" t="str">
        <f>IF(HR_Data[[#This Row],[DistanceFromHome]]&lt;=5,"1 to 5",IF(HR_Data[[#This Row],[DistanceFromHome]]&lt;=10,"6 to 10",IF(HR_Data[[#This Row],[DistanceFromHome]]&lt;=20,"11 to 20","21 to 29")))</f>
        <v>11 to 20</v>
      </c>
      <c r="AR840" s="1">
        <f>IF(HR_Data[[#This Row],[DistanceFromHome]]&lt;=5,1,IF(HR_Data[[#This Row],[DistanceFromHome]]&lt;=10,2,IF(HR_Data[[#This Row],[DistanceFromHome]]&lt;=20,3,4)))</f>
        <v>3</v>
      </c>
      <c r="AS840" s="1" t="str">
        <f>IF(HR_Data[[#This Row],[TotalWorkingYears]]&lt;=5,"0-5 Yrs",IF(HR_Data[[#This Row],[TotalWorkingYears]]&lt;=10,"6-10 Yrs",IF(HR_Data[[#This Row],[TotalWorkingYears]]&lt;=20,"11-20 Yrs","20+ Yrs")))</f>
        <v>20+ Yrs</v>
      </c>
      <c r="AT840" s="1">
        <f>IF(HR_Data[[#This Row],[TotalWorkingYears]]&lt;=5,1,IF(HR_Data[[#This Row],[TotalWorkingYears]]&lt;=10,2,IF(HR_Data[[#This Row],[TotalWorkingYears]]&lt;=20,3,4)))</f>
        <v>4</v>
      </c>
    </row>
    <row r="841" spans="1:46" x14ac:dyDescent="0.25">
      <c r="A841">
        <v>42</v>
      </c>
      <c r="B841" t="s">
        <v>36</v>
      </c>
      <c r="C841" t="s">
        <v>30</v>
      </c>
      <c r="D841" t="s">
        <v>31</v>
      </c>
      <c r="E841">
        <v>4</v>
      </c>
      <c r="F841">
        <v>4</v>
      </c>
      <c r="G841" t="s">
        <v>52</v>
      </c>
      <c r="H841">
        <v>1171</v>
      </c>
      <c r="I841">
        <v>2</v>
      </c>
      <c r="J841" t="s">
        <v>39</v>
      </c>
      <c r="K841">
        <v>3</v>
      </c>
      <c r="L841">
        <v>2</v>
      </c>
      <c r="M841" t="s">
        <v>34</v>
      </c>
      <c r="N841">
        <v>1</v>
      </c>
      <c r="O841" t="s">
        <v>35</v>
      </c>
      <c r="P841">
        <v>5155</v>
      </c>
      <c r="Q841">
        <v>7</v>
      </c>
      <c r="R841" t="s">
        <v>36</v>
      </c>
      <c r="S841">
        <v>13</v>
      </c>
      <c r="T841">
        <v>3</v>
      </c>
      <c r="U841">
        <v>4</v>
      </c>
      <c r="V841">
        <v>0</v>
      </c>
      <c r="W841">
        <v>9</v>
      </c>
      <c r="X841">
        <v>3</v>
      </c>
      <c r="Y841">
        <v>4</v>
      </c>
      <c r="Z841">
        <v>6</v>
      </c>
      <c r="AA841">
        <v>4</v>
      </c>
      <c r="AB841">
        <v>1</v>
      </c>
      <c r="AC841">
        <v>5</v>
      </c>
      <c r="AD841">
        <f>IF(HR_Data[[#This Row],[Attrition]]="Yes",1,0)</f>
        <v>0</v>
      </c>
      <c r="AE841" t="str">
        <f>IF(HR_Data[[#This Row],[Age]]&lt;=25,"18-25",IF(HR_Data[[#This Row],[Age]]&lt;=35,"26-35",IF(HR_Data[[#This Row],[Age]]&lt;=45,"36-45",IF(HR_Data[[#This Row],[Age]]&lt;=55,"46-55","55+"))))</f>
        <v>36-45</v>
      </c>
      <c r="AF841">
        <f>IF(HR_Data[[#This Row],[Age]]&lt;=25,1,IF(HR_Data[[#This Row],[Age]]&lt;=35,2,IF(HR_Data[[#This Row],[Age]]&lt;=45,3,IF(HR_Data[[#This Row],[Age]]&lt;=55,4,5))))</f>
        <v>3</v>
      </c>
      <c r="AG841" s="1" t="str">
        <f>IF(HR_Data[[#This Row],[MonthlyIncome]]&lt;3000,"&lt;3K",IF(HR_Data[[#This Row],[MonthlyIncome]]&lt;6000,"3K-6K",IF(HR_Data[[#This Row],[MonthlyIncome]]&lt;10000,"6K-10K","10K+")))</f>
        <v>3K-6K</v>
      </c>
      <c r="AH841" s="1">
        <f>IF(HR_Data[[#This Row],[MonthlyIncome]]&lt;3000,1,IF(HR_Data[[#This Row],[MonthlyIncome]]&lt;6000,2,IF(HR_Data[[#This Row],[MonthlyIncome]]&lt;10000,3,4)))</f>
        <v>2</v>
      </c>
      <c r="AI841" s="1" t="str">
        <f>IF(HR_Data[[#This Row],[YearsAtCompany]]&lt;=2,"0-2 Yrs",IF(HR_Data[[#This Row],[YearsAtCompany]]&lt;=5,"3-5 Yrs",IF(HR_Data[[#This Row],[YearsAtCompany]]&lt;=10,"6-10 Yrs","10+ Yrs")))</f>
        <v>6-10 Yrs</v>
      </c>
      <c r="AJ841" s="1">
        <f>IF(HR_Data[[#This Row],[YearsAtCompany]]&lt;=2,1,IF(HR_Data[[#This Row],[YearsAtCompany]]&lt;=5,2,IF(HR_Data[[#This Row],[YearsAtCompany]]&lt;=10,3,4)))</f>
        <v>3</v>
      </c>
      <c r="AK841" s="1" t="str">
        <f>CHOOSE(HR_Data[[#This Row],[Education]],"Below College","College","Bachelor","Master","Doctor")</f>
        <v>Master</v>
      </c>
      <c r="AL841" s="1" t="str">
        <f>CHOOSE(HR_Data[[#This Row],[JobSatisfaction]],"Low","Medium","High","Very High")</f>
        <v>Low</v>
      </c>
      <c r="AM841" s="1" t="str">
        <f>CHOOSE(HR_Data[[#This Row],[EnvironmentSatisfaction]],"Low","Medium","High","Very High")</f>
        <v>Medium</v>
      </c>
      <c r="AN841" s="1" t="str">
        <f>CHOOSE(HR_Data[[#This Row],[WorkLifeBalance]],"Bad","Good","Better","Best")</f>
        <v>Best</v>
      </c>
      <c r="AO841" s="1" t="str">
        <f>IF(HR_Data[[#This Row],[PercentSalaryHike]]&lt;=13,"11-13%",IF(HR_Data[[#This Row],[PercentSalaryHike]]&lt;=16,"14-16%",IF(HR_Data[[#This Row],[PercentSalaryHike]]&lt;=19,"17-19%","20-25%")))</f>
        <v>11-13%</v>
      </c>
      <c r="AP841" s="1">
        <f>IF(HR_Data[[#This Row],[PercentSalaryHike]]&lt;=13,1,IF(HR_Data[[#This Row],[PercentSalaryHike]]&lt;=16,2,IF(HR_Data[[#This Row],[PercentSalaryHike]]&lt;=19,3,4)))</f>
        <v>1</v>
      </c>
      <c r="AQ841" s="1" t="str">
        <f>IF(HR_Data[[#This Row],[DistanceFromHome]]&lt;=5,"1 to 5",IF(HR_Data[[#This Row],[DistanceFromHome]]&lt;=10,"6 to 10",IF(HR_Data[[#This Row],[DistanceFromHome]]&lt;=20,"11 to 20","21 to 29")))</f>
        <v>1 to 5</v>
      </c>
      <c r="AR841" s="1">
        <f>IF(HR_Data[[#This Row],[DistanceFromHome]]&lt;=5,1,IF(HR_Data[[#This Row],[DistanceFromHome]]&lt;=10,2,IF(HR_Data[[#This Row],[DistanceFromHome]]&lt;=20,3,4)))</f>
        <v>1</v>
      </c>
      <c r="AS841" s="1" t="str">
        <f>IF(HR_Data[[#This Row],[TotalWorkingYears]]&lt;=5,"0-5 Yrs",IF(HR_Data[[#This Row],[TotalWorkingYears]]&lt;=10,"6-10 Yrs",IF(HR_Data[[#This Row],[TotalWorkingYears]]&lt;=20,"11-20 Yrs","20+ Yrs")))</f>
        <v>6-10 Yrs</v>
      </c>
      <c r="AT841" s="1">
        <f>IF(HR_Data[[#This Row],[TotalWorkingYears]]&lt;=5,1,IF(HR_Data[[#This Row],[TotalWorkingYears]]&lt;=10,2,IF(HR_Data[[#This Row],[TotalWorkingYears]]&lt;=20,3,4)))</f>
        <v>2</v>
      </c>
    </row>
    <row r="842" spans="1:46" x14ac:dyDescent="0.25">
      <c r="A842">
        <v>35</v>
      </c>
      <c r="B842" t="s">
        <v>36</v>
      </c>
      <c r="C842" t="s">
        <v>30</v>
      </c>
      <c r="D842" t="s">
        <v>38</v>
      </c>
      <c r="E842">
        <v>1</v>
      </c>
      <c r="F842">
        <v>4</v>
      </c>
      <c r="G842" t="s">
        <v>44</v>
      </c>
      <c r="H842">
        <v>1172</v>
      </c>
      <c r="I842">
        <v>4</v>
      </c>
      <c r="J842" t="s">
        <v>39</v>
      </c>
      <c r="K842">
        <v>2</v>
      </c>
      <c r="L842">
        <v>1</v>
      </c>
      <c r="M842" t="s">
        <v>43</v>
      </c>
      <c r="N842">
        <v>3</v>
      </c>
      <c r="O842" t="s">
        <v>41</v>
      </c>
      <c r="P842">
        <v>2258</v>
      </c>
      <c r="Q842">
        <v>6</v>
      </c>
      <c r="R842" t="s">
        <v>36</v>
      </c>
      <c r="S842">
        <v>12</v>
      </c>
      <c r="T842">
        <v>3</v>
      </c>
      <c r="U842">
        <v>2</v>
      </c>
      <c r="V842">
        <v>1</v>
      </c>
      <c r="W842">
        <v>10</v>
      </c>
      <c r="X842">
        <v>2</v>
      </c>
      <c r="Y842">
        <v>3</v>
      </c>
      <c r="Z842">
        <v>8</v>
      </c>
      <c r="AA842">
        <v>0</v>
      </c>
      <c r="AB842">
        <v>1</v>
      </c>
      <c r="AC842">
        <v>7</v>
      </c>
      <c r="AD842">
        <f>IF(HR_Data[[#This Row],[Attrition]]="Yes",1,0)</f>
        <v>0</v>
      </c>
      <c r="AE842" t="str">
        <f>IF(HR_Data[[#This Row],[Age]]&lt;=25,"18-25",IF(HR_Data[[#This Row],[Age]]&lt;=35,"26-35",IF(HR_Data[[#This Row],[Age]]&lt;=45,"36-45",IF(HR_Data[[#This Row],[Age]]&lt;=55,"46-55","55+"))))</f>
        <v>26-35</v>
      </c>
      <c r="AF842">
        <f>IF(HR_Data[[#This Row],[Age]]&lt;=25,1,IF(HR_Data[[#This Row],[Age]]&lt;=35,2,IF(HR_Data[[#This Row],[Age]]&lt;=45,3,IF(HR_Data[[#This Row],[Age]]&lt;=55,4,5))))</f>
        <v>2</v>
      </c>
      <c r="AG842" s="1" t="str">
        <f>IF(HR_Data[[#This Row],[MonthlyIncome]]&lt;3000,"&lt;3K",IF(HR_Data[[#This Row],[MonthlyIncome]]&lt;6000,"3K-6K",IF(HR_Data[[#This Row],[MonthlyIncome]]&lt;10000,"6K-10K","10K+")))</f>
        <v>&lt;3K</v>
      </c>
      <c r="AH842" s="1">
        <f>IF(HR_Data[[#This Row],[MonthlyIncome]]&lt;3000,1,IF(HR_Data[[#This Row],[MonthlyIncome]]&lt;6000,2,IF(HR_Data[[#This Row],[MonthlyIncome]]&lt;10000,3,4)))</f>
        <v>1</v>
      </c>
      <c r="AI842" s="1" t="str">
        <f>IF(HR_Data[[#This Row],[YearsAtCompany]]&lt;=2,"0-2 Yrs",IF(HR_Data[[#This Row],[YearsAtCompany]]&lt;=5,"3-5 Yrs",IF(HR_Data[[#This Row],[YearsAtCompany]]&lt;=10,"6-10 Yrs","10+ Yrs")))</f>
        <v>6-10 Yrs</v>
      </c>
      <c r="AJ842" s="1">
        <f>IF(HR_Data[[#This Row],[YearsAtCompany]]&lt;=2,1,IF(HR_Data[[#This Row],[YearsAtCompany]]&lt;=5,2,IF(HR_Data[[#This Row],[YearsAtCompany]]&lt;=10,3,4)))</f>
        <v>3</v>
      </c>
      <c r="AK842" s="1" t="str">
        <f>CHOOSE(HR_Data[[#This Row],[Education]],"Below College","College","Bachelor","Master","Doctor")</f>
        <v>Master</v>
      </c>
      <c r="AL842" s="1" t="str">
        <f>CHOOSE(HR_Data[[#This Row],[JobSatisfaction]],"Low","Medium","High","Very High")</f>
        <v>High</v>
      </c>
      <c r="AM842" s="1" t="str">
        <f>CHOOSE(HR_Data[[#This Row],[EnvironmentSatisfaction]],"Low","Medium","High","Very High")</f>
        <v>Very High</v>
      </c>
      <c r="AN842" s="1" t="str">
        <f>CHOOSE(HR_Data[[#This Row],[WorkLifeBalance]],"Bad","Good","Better","Best")</f>
        <v>Better</v>
      </c>
      <c r="AO842" s="1" t="str">
        <f>IF(HR_Data[[#This Row],[PercentSalaryHike]]&lt;=13,"11-13%",IF(HR_Data[[#This Row],[PercentSalaryHike]]&lt;=16,"14-16%",IF(HR_Data[[#This Row],[PercentSalaryHike]]&lt;=19,"17-19%","20-25%")))</f>
        <v>11-13%</v>
      </c>
      <c r="AP842" s="1">
        <f>IF(HR_Data[[#This Row],[PercentSalaryHike]]&lt;=13,1,IF(HR_Data[[#This Row],[PercentSalaryHike]]&lt;=16,2,IF(HR_Data[[#This Row],[PercentSalaryHike]]&lt;=19,3,4)))</f>
        <v>1</v>
      </c>
      <c r="AQ842" s="1" t="str">
        <f>IF(HR_Data[[#This Row],[DistanceFromHome]]&lt;=5,"1 to 5",IF(HR_Data[[#This Row],[DistanceFromHome]]&lt;=10,"6 to 10",IF(HR_Data[[#This Row],[DistanceFromHome]]&lt;=20,"11 to 20","21 to 29")))</f>
        <v>1 to 5</v>
      </c>
      <c r="AR842" s="1">
        <f>IF(HR_Data[[#This Row],[DistanceFromHome]]&lt;=5,1,IF(HR_Data[[#This Row],[DistanceFromHome]]&lt;=10,2,IF(HR_Data[[#This Row],[DistanceFromHome]]&lt;=20,3,4)))</f>
        <v>1</v>
      </c>
      <c r="AS842" s="1" t="str">
        <f>IF(HR_Data[[#This Row],[TotalWorkingYears]]&lt;=5,"0-5 Yrs",IF(HR_Data[[#This Row],[TotalWorkingYears]]&lt;=10,"6-10 Yrs",IF(HR_Data[[#This Row],[TotalWorkingYears]]&lt;=20,"11-20 Yrs","20+ Yrs")))</f>
        <v>6-10 Yrs</v>
      </c>
      <c r="AT842" s="1">
        <f>IF(HR_Data[[#This Row],[TotalWorkingYears]]&lt;=5,1,IF(HR_Data[[#This Row],[TotalWorkingYears]]&lt;=10,2,IF(HR_Data[[#This Row],[TotalWorkingYears]]&lt;=20,3,4)))</f>
        <v>2</v>
      </c>
    </row>
    <row r="843" spans="1:46" x14ac:dyDescent="0.25">
      <c r="A843">
        <v>24</v>
      </c>
      <c r="B843" t="s">
        <v>36</v>
      </c>
      <c r="C843" t="s">
        <v>30</v>
      </c>
      <c r="D843" t="s">
        <v>38</v>
      </c>
      <c r="E843">
        <v>24</v>
      </c>
      <c r="F843">
        <v>3</v>
      </c>
      <c r="G843" t="s">
        <v>44</v>
      </c>
      <c r="H843">
        <v>1173</v>
      </c>
      <c r="I843">
        <v>4</v>
      </c>
      <c r="J843" t="s">
        <v>39</v>
      </c>
      <c r="K843">
        <v>3</v>
      </c>
      <c r="L843">
        <v>1</v>
      </c>
      <c r="M843" t="s">
        <v>43</v>
      </c>
      <c r="N843">
        <v>2</v>
      </c>
      <c r="O843" t="s">
        <v>35</v>
      </c>
      <c r="P843">
        <v>3597</v>
      </c>
      <c r="Q843">
        <v>8</v>
      </c>
      <c r="R843" t="s">
        <v>36</v>
      </c>
      <c r="S843">
        <v>22</v>
      </c>
      <c r="T843">
        <v>4</v>
      </c>
      <c r="U843">
        <v>4</v>
      </c>
      <c r="V843">
        <v>0</v>
      </c>
      <c r="W843">
        <v>6</v>
      </c>
      <c r="X843">
        <v>2</v>
      </c>
      <c r="Y843">
        <v>3</v>
      </c>
      <c r="Z843">
        <v>4</v>
      </c>
      <c r="AA843">
        <v>3</v>
      </c>
      <c r="AB843">
        <v>1</v>
      </c>
      <c r="AC843">
        <v>2</v>
      </c>
      <c r="AD843">
        <f>IF(HR_Data[[#This Row],[Attrition]]="Yes",1,0)</f>
        <v>0</v>
      </c>
      <c r="AE843" t="str">
        <f>IF(HR_Data[[#This Row],[Age]]&lt;=25,"18-25",IF(HR_Data[[#This Row],[Age]]&lt;=35,"26-35",IF(HR_Data[[#This Row],[Age]]&lt;=45,"36-45",IF(HR_Data[[#This Row],[Age]]&lt;=55,"46-55","55+"))))</f>
        <v>18-25</v>
      </c>
      <c r="AF843">
        <f>IF(HR_Data[[#This Row],[Age]]&lt;=25,1,IF(HR_Data[[#This Row],[Age]]&lt;=35,2,IF(HR_Data[[#This Row],[Age]]&lt;=45,3,IF(HR_Data[[#This Row],[Age]]&lt;=55,4,5))))</f>
        <v>1</v>
      </c>
      <c r="AG843" s="1" t="str">
        <f>IF(HR_Data[[#This Row],[MonthlyIncome]]&lt;3000,"&lt;3K",IF(HR_Data[[#This Row],[MonthlyIncome]]&lt;6000,"3K-6K",IF(HR_Data[[#This Row],[MonthlyIncome]]&lt;10000,"6K-10K","10K+")))</f>
        <v>3K-6K</v>
      </c>
      <c r="AH843" s="1">
        <f>IF(HR_Data[[#This Row],[MonthlyIncome]]&lt;3000,1,IF(HR_Data[[#This Row],[MonthlyIncome]]&lt;6000,2,IF(HR_Data[[#This Row],[MonthlyIncome]]&lt;10000,3,4)))</f>
        <v>2</v>
      </c>
      <c r="AI843" s="1" t="str">
        <f>IF(HR_Data[[#This Row],[YearsAtCompany]]&lt;=2,"0-2 Yrs",IF(HR_Data[[#This Row],[YearsAtCompany]]&lt;=5,"3-5 Yrs",IF(HR_Data[[#This Row],[YearsAtCompany]]&lt;=10,"6-10 Yrs","10+ Yrs")))</f>
        <v>3-5 Yrs</v>
      </c>
      <c r="AJ843" s="1">
        <f>IF(HR_Data[[#This Row],[YearsAtCompany]]&lt;=2,1,IF(HR_Data[[#This Row],[YearsAtCompany]]&lt;=5,2,IF(HR_Data[[#This Row],[YearsAtCompany]]&lt;=10,3,4)))</f>
        <v>2</v>
      </c>
      <c r="AK843" s="1" t="str">
        <f>CHOOSE(HR_Data[[#This Row],[Education]],"Below College","College","Bachelor","Master","Doctor")</f>
        <v>Bachelor</v>
      </c>
      <c r="AL843" s="1" t="str">
        <f>CHOOSE(HR_Data[[#This Row],[JobSatisfaction]],"Low","Medium","High","Very High")</f>
        <v>Medium</v>
      </c>
      <c r="AM843" s="1" t="str">
        <f>CHOOSE(HR_Data[[#This Row],[EnvironmentSatisfaction]],"Low","Medium","High","Very High")</f>
        <v>Very High</v>
      </c>
      <c r="AN843" s="1" t="str">
        <f>CHOOSE(HR_Data[[#This Row],[WorkLifeBalance]],"Bad","Good","Better","Best")</f>
        <v>Better</v>
      </c>
      <c r="AO843" s="1" t="str">
        <f>IF(HR_Data[[#This Row],[PercentSalaryHike]]&lt;=13,"11-13%",IF(HR_Data[[#This Row],[PercentSalaryHike]]&lt;=16,"14-16%",IF(HR_Data[[#This Row],[PercentSalaryHike]]&lt;=19,"17-19%","20-25%")))</f>
        <v>20-25%</v>
      </c>
      <c r="AP843" s="1">
        <f>IF(HR_Data[[#This Row],[PercentSalaryHike]]&lt;=13,1,IF(HR_Data[[#This Row],[PercentSalaryHike]]&lt;=16,2,IF(HR_Data[[#This Row],[PercentSalaryHike]]&lt;=19,3,4)))</f>
        <v>4</v>
      </c>
      <c r="AQ843" s="1" t="str">
        <f>IF(HR_Data[[#This Row],[DistanceFromHome]]&lt;=5,"1 to 5",IF(HR_Data[[#This Row],[DistanceFromHome]]&lt;=10,"6 to 10",IF(HR_Data[[#This Row],[DistanceFromHome]]&lt;=20,"11 to 20","21 to 29")))</f>
        <v>21 to 29</v>
      </c>
      <c r="AR843" s="1">
        <f>IF(HR_Data[[#This Row],[DistanceFromHome]]&lt;=5,1,IF(HR_Data[[#This Row],[DistanceFromHome]]&lt;=10,2,IF(HR_Data[[#This Row],[DistanceFromHome]]&lt;=20,3,4)))</f>
        <v>4</v>
      </c>
      <c r="AS843" s="1" t="str">
        <f>IF(HR_Data[[#This Row],[TotalWorkingYears]]&lt;=5,"0-5 Yrs",IF(HR_Data[[#This Row],[TotalWorkingYears]]&lt;=10,"6-10 Yrs",IF(HR_Data[[#This Row],[TotalWorkingYears]]&lt;=20,"11-20 Yrs","20+ Yrs")))</f>
        <v>6-10 Yrs</v>
      </c>
      <c r="AT843" s="1">
        <f>IF(HR_Data[[#This Row],[TotalWorkingYears]]&lt;=5,1,IF(HR_Data[[#This Row],[TotalWorkingYears]]&lt;=10,2,IF(HR_Data[[#This Row],[TotalWorkingYears]]&lt;=20,3,4)))</f>
        <v>2</v>
      </c>
    </row>
    <row r="844" spans="1:46" x14ac:dyDescent="0.25">
      <c r="A844">
        <v>28</v>
      </c>
      <c r="B844" t="s">
        <v>29</v>
      </c>
      <c r="C844" t="s">
        <v>30</v>
      </c>
      <c r="D844" t="s">
        <v>38</v>
      </c>
      <c r="E844">
        <v>12</v>
      </c>
      <c r="F844">
        <v>1</v>
      </c>
      <c r="G844" t="s">
        <v>32</v>
      </c>
      <c r="H844">
        <v>1175</v>
      </c>
      <c r="I844">
        <v>3</v>
      </c>
      <c r="J844" t="s">
        <v>33</v>
      </c>
      <c r="K844">
        <v>3</v>
      </c>
      <c r="L844">
        <v>1</v>
      </c>
      <c r="M844" t="s">
        <v>43</v>
      </c>
      <c r="N844">
        <v>4</v>
      </c>
      <c r="O844" t="s">
        <v>41</v>
      </c>
      <c r="P844">
        <v>2515</v>
      </c>
      <c r="Q844">
        <v>1</v>
      </c>
      <c r="R844" t="s">
        <v>29</v>
      </c>
      <c r="S844">
        <v>11</v>
      </c>
      <c r="T844">
        <v>3</v>
      </c>
      <c r="U844">
        <v>4</v>
      </c>
      <c r="V844">
        <v>0</v>
      </c>
      <c r="W844">
        <v>1</v>
      </c>
      <c r="X844">
        <v>4</v>
      </c>
      <c r="Y844">
        <v>2</v>
      </c>
      <c r="Z844">
        <v>1</v>
      </c>
      <c r="AA844">
        <v>1</v>
      </c>
      <c r="AB844">
        <v>0</v>
      </c>
      <c r="AC844">
        <v>0</v>
      </c>
      <c r="AD844">
        <f>IF(HR_Data[[#This Row],[Attrition]]="Yes",1,0)</f>
        <v>1</v>
      </c>
      <c r="AE844" t="str">
        <f>IF(HR_Data[[#This Row],[Age]]&lt;=25,"18-25",IF(HR_Data[[#This Row],[Age]]&lt;=35,"26-35",IF(HR_Data[[#This Row],[Age]]&lt;=45,"36-45",IF(HR_Data[[#This Row],[Age]]&lt;=55,"46-55","55+"))))</f>
        <v>26-35</v>
      </c>
      <c r="AF844">
        <f>IF(HR_Data[[#This Row],[Age]]&lt;=25,1,IF(HR_Data[[#This Row],[Age]]&lt;=35,2,IF(HR_Data[[#This Row],[Age]]&lt;=45,3,IF(HR_Data[[#This Row],[Age]]&lt;=55,4,5))))</f>
        <v>2</v>
      </c>
      <c r="AG844" s="1" t="str">
        <f>IF(HR_Data[[#This Row],[MonthlyIncome]]&lt;3000,"&lt;3K",IF(HR_Data[[#This Row],[MonthlyIncome]]&lt;6000,"3K-6K",IF(HR_Data[[#This Row],[MonthlyIncome]]&lt;10000,"6K-10K","10K+")))</f>
        <v>&lt;3K</v>
      </c>
      <c r="AH844" s="1">
        <f>IF(HR_Data[[#This Row],[MonthlyIncome]]&lt;3000,1,IF(HR_Data[[#This Row],[MonthlyIncome]]&lt;6000,2,IF(HR_Data[[#This Row],[MonthlyIncome]]&lt;10000,3,4)))</f>
        <v>1</v>
      </c>
      <c r="AI844" s="1" t="str">
        <f>IF(HR_Data[[#This Row],[YearsAtCompany]]&lt;=2,"0-2 Yrs",IF(HR_Data[[#This Row],[YearsAtCompany]]&lt;=5,"3-5 Yrs",IF(HR_Data[[#This Row],[YearsAtCompany]]&lt;=10,"6-10 Yrs","10+ Yrs")))</f>
        <v>0-2 Yrs</v>
      </c>
      <c r="AJ844" s="1">
        <f>IF(HR_Data[[#This Row],[YearsAtCompany]]&lt;=2,1,IF(HR_Data[[#This Row],[YearsAtCompany]]&lt;=5,2,IF(HR_Data[[#This Row],[YearsAtCompany]]&lt;=10,3,4)))</f>
        <v>1</v>
      </c>
      <c r="AK844" s="1" t="str">
        <f>CHOOSE(HR_Data[[#This Row],[Education]],"Below College","College","Bachelor","Master","Doctor")</f>
        <v>Below College</v>
      </c>
      <c r="AL844" s="1" t="str">
        <f>CHOOSE(HR_Data[[#This Row],[JobSatisfaction]],"Low","Medium","High","Very High")</f>
        <v>Very High</v>
      </c>
      <c r="AM844" s="1" t="str">
        <f>CHOOSE(HR_Data[[#This Row],[EnvironmentSatisfaction]],"Low","Medium","High","Very High")</f>
        <v>High</v>
      </c>
      <c r="AN844" s="1" t="str">
        <f>CHOOSE(HR_Data[[#This Row],[WorkLifeBalance]],"Bad","Good","Better","Best")</f>
        <v>Good</v>
      </c>
      <c r="AO844" s="1" t="str">
        <f>IF(HR_Data[[#This Row],[PercentSalaryHike]]&lt;=13,"11-13%",IF(HR_Data[[#This Row],[PercentSalaryHike]]&lt;=16,"14-16%",IF(HR_Data[[#This Row],[PercentSalaryHike]]&lt;=19,"17-19%","20-25%")))</f>
        <v>11-13%</v>
      </c>
      <c r="AP844" s="1">
        <f>IF(HR_Data[[#This Row],[PercentSalaryHike]]&lt;=13,1,IF(HR_Data[[#This Row],[PercentSalaryHike]]&lt;=16,2,IF(HR_Data[[#This Row],[PercentSalaryHike]]&lt;=19,3,4)))</f>
        <v>1</v>
      </c>
      <c r="AQ844" s="1" t="str">
        <f>IF(HR_Data[[#This Row],[DistanceFromHome]]&lt;=5,"1 to 5",IF(HR_Data[[#This Row],[DistanceFromHome]]&lt;=10,"6 to 10",IF(HR_Data[[#This Row],[DistanceFromHome]]&lt;=20,"11 to 20","21 to 29")))</f>
        <v>11 to 20</v>
      </c>
      <c r="AR844" s="1">
        <f>IF(HR_Data[[#This Row],[DistanceFromHome]]&lt;=5,1,IF(HR_Data[[#This Row],[DistanceFromHome]]&lt;=10,2,IF(HR_Data[[#This Row],[DistanceFromHome]]&lt;=20,3,4)))</f>
        <v>3</v>
      </c>
      <c r="AS844" s="1" t="str">
        <f>IF(HR_Data[[#This Row],[TotalWorkingYears]]&lt;=5,"0-5 Yrs",IF(HR_Data[[#This Row],[TotalWorkingYears]]&lt;=10,"6-10 Yrs",IF(HR_Data[[#This Row],[TotalWorkingYears]]&lt;=20,"11-20 Yrs","20+ Yrs")))</f>
        <v>0-5 Yrs</v>
      </c>
      <c r="AT844" s="1">
        <f>IF(HR_Data[[#This Row],[TotalWorkingYears]]&lt;=5,1,IF(HR_Data[[#This Row],[TotalWorkingYears]]&lt;=10,2,IF(HR_Data[[#This Row],[TotalWorkingYears]]&lt;=20,3,4)))</f>
        <v>1</v>
      </c>
    </row>
    <row r="845" spans="1:46" x14ac:dyDescent="0.25">
      <c r="A845">
        <v>26</v>
      </c>
      <c r="B845" t="s">
        <v>36</v>
      </c>
      <c r="C845" t="s">
        <v>30</v>
      </c>
      <c r="D845" t="s">
        <v>38</v>
      </c>
      <c r="E845">
        <v>3</v>
      </c>
      <c r="F845">
        <v>4</v>
      </c>
      <c r="G845" t="s">
        <v>44</v>
      </c>
      <c r="H845">
        <v>1177</v>
      </c>
      <c r="I845">
        <v>1</v>
      </c>
      <c r="J845" t="s">
        <v>39</v>
      </c>
      <c r="K845">
        <v>4</v>
      </c>
      <c r="L845">
        <v>1</v>
      </c>
      <c r="M845" t="s">
        <v>43</v>
      </c>
      <c r="N845">
        <v>4</v>
      </c>
      <c r="O845" t="s">
        <v>41</v>
      </c>
      <c r="P845">
        <v>4420</v>
      </c>
      <c r="Q845">
        <v>1</v>
      </c>
      <c r="R845" t="s">
        <v>36</v>
      </c>
      <c r="S845">
        <v>22</v>
      </c>
      <c r="T845">
        <v>4</v>
      </c>
      <c r="U845">
        <v>2</v>
      </c>
      <c r="V845">
        <v>1</v>
      </c>
      <c r="W845">
        <v>8</v>
      </c>
      <c r="X845">
        <v>2</v>
      </c>
      <c r="Y845">
        <v>3</v>
      </c>
      <c r="Z845">
        <v>8</v>
      </c>
      <c r="AA845">
        <v>7</v>
      </c>
      <c r="AB845">
        <v>0</v>
      </c>
      <c r="AC845">
        <v>7</v>
      </c>
      <c r="AD845">
        <f>IF(HR_Data[[#This Row],[Attrition]]="Yes",1,0)</f>
        <v>0</v>
      </c>
      <c r="AE845" t="str">
        <f>IF(HR_Data[[#This Row],[Age]]&lt;=25,"18-25",IF(HR_Data[[#This Row],[Age]]&lt;=35,"26-35",IF(HR_Data[[#This Row],[Age]]&lt;=45,"36-45",IF(HR_Data[[#This Row],[Age]]&lt;=55,"46-55","55+"))))</f>
        <v>26-35</v>
      </c>
      <c r="AF845">
        <f>IF(HR_Data[[#This Row],[Age]]&lt;=25,1,IF(HR_Data[[#This Row],[Age]]&lt;=35,2,IF(HR_Data[[#This Row],[Age]]&lt;=45,3,IF(HR_Data[[#This Row],[Age]]&lt;=55,4,5))))</f>
        <v>2</v>
      </c>
      <c r="AG845" s="1" t="str">
        <f>IF(HR_Data[[#This Row],[MonthlyIncome]]&lt;3000,"&lt;3K",IF(HR_Data[[#This Row],[MonthlyIncome]]&lt;6000,"3K-6K",IF(HR_Data[[#This Row],[MonthlyIncome]]&lt;10000,"6K-10K","10K+")))</f>
        <v>3K-6K</v>
      </c>
      <c r="AH845" s="1">
        <f>IF(HR_Data[[#This Row],[MonthlyIncome]]&lt;3000,1,IF(HR_Data[[#This Row],[MonthlyIncome]]&lt;6000,2,IF(HR_Data[[#This Row],[MonthlyIncome]]&lt;10000,3,4)))</f>
        <v>2</v>
      </c>
      <c r="AI845" s="1" t="str">
        <f>IF(HR_Data[[#This Row],[YearsAtCompany]]&lt;=2,"0-2 Yrs",IF(HR_Data[[#This Row],[YearsAtCompany]]&lt;=5,"3-5 Yrs",IF(HR_Data[[#This Row],[YearsAtCompany]]&lt;=10,"6-10 Yrs","10+ Yrs")))</f>
        <v>6-10 Yrs</v>
      </c>
      <c r="AJ845" s="1">
        <f>IF(HR_Data[[#This Row],[YearsAtCompany]]&lt;=2,1,IF(HR_Data[[#This Row],[YearsAtCompany]]&lt;=5,2,IF(HR_Data[[#This Row],[YearsAtCompany]]&lt;=10,3,4)))</f>
        <v>3</v>
      </c>
      <c r="AK845" s="1" t="str">
        <f>CHOOSE(HR_Data[[#This Row],[Education]],"Below College","College","Bachelor","Master","Doctor")</f>
        <v>Master</v>
      </c>
      <c r="AL845" s="1" t="str">
        <f>CHOOSE(HR_Data[[#This Row],[JobSatisfaction]],"Low","Medium","High","Very High")</f>
        <v>Very High</v>
      </c>
      <c r="AM845" s="1" t="str">
        <f>CHOOSE(HR_Data[[#This Row],[EnvironmentSatisfaction]],"Low","Medium","High","Very High")</f>
        <v>Low</v>
      </c>
      <c r="AN845" s="1" t="str">
        <f>CHOOSE(HR_Data[[#This Row],[WorkLifeBalance]],"Bad","Good","Better","Best")</f>
        <v>Better</v>
      </c>
      <c r="AO845" s="1" t="str">
        <f>IF(HR_Data[[#This Row],[PercentSalaryHike]]&lt;=13,"11-13%",IF(HR_Data[[#This Row],[PercentSalaryHike]]&lt;=16,"14-16%",IF(HR_Data[[#This Row],[PercentSalaryHike]]&lt;=19,"17-19%","20-25%")))</f>
        <v>20-25%</v>
      </c>
      <c r="AP845" s="1">
        <f>IF(HR_Data[[#This Row],[PercentSalaryHike]]&lt;=13,1,IF(HR_Data[[#This Row],[PercentSalaryHike]]&lt;=16,2,IF(HR_Data[[#This Row],[PercentSalaryHike]]&lt;=19,3,4)))</f>
        <v>4</v>
      </c>
      <c r="AQ845" s="1" t="str">
        <f>IF(HR_Data[[#This Row],[DistanceFromHome]]&lt;=5,"1 to 5",IF(HR_Data[[#This Row],[DistanceFromHome]]&lt;=10,"6 to 10",IF(HR_Data[[#This Row],[DistanceFromHome]]&lt;=20,"11 to 20","21 to 29")))</f>
        <v>1 to 5</v>
      </c>
      <c r="AR845" s="1">
        <f>IF(HR_Data[[#This Row],[DistanceFromHome]]&lt;=5,1,IF(HR_Data[[#This Row],[DistanceFromHome]]&lt;=10,2,IF(HR_Data[[#This Row],[DistanceFromHome]]&lt;=20,3,4)))</f>
        <v>1</v>
      </c>
      <c r="AS845" s="1" t="str">
        <f>IF(HR_Data[[#This Row],[TotalWorkingYears]]&lt;=5,"0-5 Yrs",IF(HR_Data[[#This Row],[TotalWorkingYears]]&lt;=10,"6-10 Yrs",IF(HR_Data[[#This Row],[TotalWorkingYears]]&lt;=20,"11-20 Yrs","20+ Yrs")))</f>
        <v>6-10 Yrs</v>
      </c>
      <c r="AT845" s="1">
        <f>IF(HR_Data[[#This Row],[TotalWorkingYears]]&lt;=5,1,IF(HR_Data[[#This Row],[TotalWorkingYears]]&lt;=10,2,IF(HR_Data[[#This Row],[TotalWorkingYears]]&lt;=20,3,4)))</f>
        <v>2</v>
      </c>
    </row>
    <row r="846" spans="1:46" x14ac:dyDescent="0.25">
      <c r="A846">
        <v>30</v>
      </c>
      <c r="B846" t="s">
        <v>36</v>
      </c>
      <c r="C846" t="s">
        <v>30</v>
      </c>
      <c r="D846" t="s">
        <v>31</v>
      </c>
      <c r="E846">
        <v>10</v>
      </c>
      <c r="F846">
        <v>3</v>
      </c>
      <c r="G846" t="s">
        <v>52</v>
      </c>
      <c r="H846">
        <v>1179</v>
      </c>
      <c r="I846">
        <v>3</v>
      </c>
      <c r="J846" t="s">
        <v>39</v>
      </c>
      <c r="K846">
        <v>2</v>
      </c>
      <c r="L846">
        <v>2</v>
      </c>
      <c r="M846" t="s">
        <v>34</v>
      </c>
      <c r="N846">
        <v>3</v>
      </c>
      <c r="O846" t="s">
        <v>41</v>
      </c>
      <c r="P846">
        <v>6578</v>
      </c>
      <c r="Q846">
        <v>1</v>
      </c>
      <c r="R846" t="s">
        <v>36</v>
      </c>
      <c r="S846">
        <v>18</v>
      </c>
      <c r="T846">
        <v>3</v>
      </c>
      <c r="U846">
        <v>1</v>
      </c>
      <c r="V846">
        <v>1</v>
      </c>
      <c r="W846">
        <v>10</v>
      </c>
      <c r="X846">
        <v>3</v>
      </c>
      <c r="Y846">
        <v>3</v>
      </c>
      <c r="Z846">
        <v>10</v>
      </c>
      <c r="AA846">
        <v>3</v>
      </c>
      <c r="AB846">
        <v>1</v>
      </c>
      <c r="AC846">
        <v>4</v>
      </c>
      <c r="AD846">
        <f>IF(HR_Data[[#This Row],[Attrition]]="Yes",1,0)</f>
        <v>0</v>
      </c>
      <c r="AE846" t="str">
        <f>IF(HR_Data[[#This Row],[Age]]&lt;=25,"18-25",IF(HR_Data[[#This Row],[Age]]&lt;=35,"26-35",IF(HR_Data[[#This Row],[Age]]&lt;=45,"36-45",IF(HR_Data[[#This Row],[Age]]&lt;=55,"46-55","55+"))))</f>
        <v>26-35</v>
      </c>
      <c r="AF846">
        <f>IF(HR_Data[[#This Row],[Age]]&lt;=25,1,IF(HR_Data[[#This Row],[Age]]&lt;=35,2,IF(HR_Data[[#This Row],[Age]]&lt;=45,3,IF(HR_Data[[#This Row],[Age]]&lt;=55,4,5))))</f>
        <v>2</v>
      </c>
      <c r="AG846" s="1" t="str">
        <f>IF(HR_Data[[#This Row],[MonthlyIncome]]&lt;3000,"&lt;3K",IF(HR_Data[[#This Row],[MonthlyIncome]]&lt;6000,"3K-6K",IF(HR_Data[[#This Row],[MonthlyIncome]]&lt;10000,"6K-10K","10K+")))</f>
        <v>6K-10K</v>
      </c>
      <c r="AH846" s="1">
        <f>IF(HR_Data[[#This Row],[MonthlyIncome]]&lt;3000,1,IF(HR_Data[[#This Row],[MonthlyIncome]]&lt;6000,2,IF(HR_Data[[#This Row],[MonthlyIncome]]&lt;10000,3,4)))</f>
        <v>3</v>
      </c>
      <c r="AI846" s="1" t="str">
        <f>IF(HR_Data[[#This Row],[YearsAtCompany]]&lt;=2,"0-2 Yrs",IF(HR_Data[[#This Row],[YearsAtCompany]]&lt;=5,"3-5 Yrs",IF(HR_Data[[#This Row],[YearsAtCompany]]&lt;=10,"6-10 Yrs","10+ Yrs")))</f>
        <v>6-10 Yrs</v>
      </c>
      <c r="AJ846" s="1">
        <f>IF(HR_Data[[#This Row],[YearsAtCompany]]&lt;=2,1,IF(HR_Data[[#This Row],[YearsAtCompany]]&lt;=5,2,IF(HR_Data[[#This Row],[YearsAtCompany]]&lt;=10,3,4)))</f>
        <v>3</v>
      </c>
      <c r="AK846" s="1" t="str">
        <f>CHOOSE(HR_Data[[#This Row],[Education]],"Below College","College","Bachelor","Master","Doctor")</f>
        <v>Bachelor</v>
      </c>
      <c r="AL846" s="1" t="str">
        <f>CHOOSE(HR_Data[[#This Row],[JobSatisfaction]],"Low","Medium","High","Very High")</f>
        <v>High</v>
      </c>
      <c r="AM846" s="1" t="str">
        <f>CHOOSE(HR_Data[[#This Row],[EnvironmentSatisfaction]],"Low","Medium","High","Very High")</f>
        <v>High</v>
      </c>
      <c r="AN846" s="1" t="str">
        <f>CHOOSE(HR_Data[[#This Row],[WorkLifeBalance]],"Bad","Good","Better","Best")</f>
        <v>Better</v>
      </c>
      <c r="AO846" s="1" t="str">
        <f>IF(HR_Data[[#This Row],[PercentSalaryHike]]&lt;=13,"11-13%",IF(HR_Data[[#This Row],[PercentSalaryHike]]&lt;=16,"14-16%",IF(HR_Data[[#This Row],[PercentSalaryHike]]&lt;=19,"17-19%","20-25%")))</f>
        <v>17-19%</v>
      </c>
      <c r="AP846" s="1">
        <f>IF(HR_Data[[#This Row],[PercentSalaryHike]]&lt;=13,1,IF(HR_Data[[#This Row],[PercentSalaryHike]]&lt;=16,2,IF(HR_Data[[#This Row],[PercentSalaryHike]]&lt;=19,3,4)))</f>
        <v>3</v>
      </c>
      <c r="AQ846" s="1" t="str">
        <f>IF(HR_Data[[#This Row],[DistanceFromHome]]&lt;=5,"1 to 5",IF(HR_Data[[#This Row],[DistanceFromHome]]&lt;=10,"6 to 10",IF(HR_Data[[#This Row],[DistanceFromHome]]&lt;=20,"11 to 20","21 to 29")))</f>
        <v>6 to 10</v>
      </c>
      <c r="AR846" s="1">
        <f>IF(HR_Data[[#This Row],[DistanceFromHome]]&lt;=5,1,IF(HR_Data[[#This Row],[DistanceFromHome]]&lt;=10,2,IF(HR_Data[[#This Row],[DistanceFromHome]]&lt;=20,3,4)))</f>
        <v>2</v>
      </c>
      <c r="AS846" s="1" t="str">
        <f>IF(HR_Data[[#This Row],[TotalWorkingYears]]&lt;=5,"0-5 Yrs",IF(HR_Data[[#This Row],[TotalWorkingYears]]&lt;=10,"6-10 Yrs",IF(HR_Data[[#This Row],[TotalWorkingYears]]&lt;=20,"11-20 Yrs","20+ Yrs")))</f>
        <v>6-10 Yrs</v>
      </c>
      <c r="AT846" s="1">
        <f>IF(HR_Data[[#This Row],[TotalWorkingYears]]&lt;=5,1,IF(HR_Data[[#This Row],[TotalWorkingYears]]&lt;=10,2,IF(HR_Data[[#This Row],[TotalWorkingYears]]&lt;=20,3,4)))</f>
        <v>2</v>
      </c>
    </row>
    <row r="847" spans="1:46" x14ac:dyDescent="0.25">
      <c r="A847">
        <v>40</v>
      </c>
      <c r="B847" t="s">
        <v>36</v>
      </c>
      <c r="C847" t="s">
        <v>37</v>
      </c>
      <c r="D847" t="s">
        <v>38</v>
      </c>
      <c r="E847">
        <v>26</v>
      </c>
      <c r="F847">
        <v>2</v>
      </c>
      <c r="G847" t="s">
        <v>44</v>
      </c>
      <c r="H847">
        <v>1180</v>
      </c>
      <c r="I847">
        <v>3</v>
      </c>
      <c r="J847" t="s">
        <v>33</v>
      </c>
      <c r="K847">
        <v>2</v>
      </c>
      <c r="L847">
        <v>2</v>
      </c>
      <c r="M847" t="s">
        <v>40</v>
      </c>
      <c r="N847">
        <v>4</v>
      </c>
      <c r="O847" t="s">
        <v>41</v>
      </c>
      <c r="P847">
        <v>4422</v>
      </c>
      <c r="Q847">
        <v>3</v>
      </c>
      <c r="R847" t="s">
        <v>29</v>
      </c>
      <c r="S847">
        <v>13</v>
      </c>
      <c r="T847">
        <v>3</v>
      </c>
      <c r="U847">
        <v>4</v>
      </c>
      <c r="V847">
        <v>1</v>
      </c>
      <c r="W847">
        <v>16</v>
      </c>
      <c r="X847">
        <v>3</v>
      </c>
      <c r="Y847">
        <v>1</v>
      </c>
      <c r="Z847">
        <v>1</v>
      </c>
      <c r="AA847">
        <v>1</v>
      </c>
      <c r="AB847">
        <v>0</v>
      </c>
      <c r="AC847">
        <v>0</v>
      </c>
      <c r="AD847">
        <f>IF(HR_Data[[#This Row],[Attrition]]="Yes",1,0)</f>
        <v>0</v>
      </c>
      <c r="AE847" t="str">
        <f>IF(HR_Data[[#This Row],[Age]]&lt;=25,"18-25",IF(HR_Data[[#This Row],[Age]]&lt;=35,"26-35",IF(HR_Data[[#This Row],[Age]]&lt;=45,"36-45",IF(HR_Data[[#This Row],[Age]]&lt;=55,"46-55","55+"))))</f>
        <v>36-45</v>
      </c>
      <c r="AF847">
        <f>IF(HR_Data[[#This Row],[Age]]&lt;=25,1,IF(HR_Data[[#This Row],[Age]]&lt;=35,2,IF(HR_Data[[#This Row],[Age]]&lt;=45,3,IF(HR_Data[[#This Row],[Age]]&lt;=55,4,5))))</f>
        <v>3</v>
      </c>
      <c r="AG847" s="1" t="str">
        <f>IF(HR_Data[[#This Row],[MonthlyIncome]]&lt;3000,"&lt;3K",IF(HR_Data[[#This Row],[MonthlyIncome]]&lt;6000,"3K-6K",IF(HR_Data[[#This Row],[MonthlyIncome]]&lt;10000,"6K-10K","10K+")))</f>
        <v>3K-6K</v>
      </c>
      <c r="AH847" s="1">
        <f>IF(HR_Data[[#This Row],[MonthlyIncome]]&lt;3000,1,IF(HR_Data[[#This Row],[MonthlyIncome]]&lt;6000,2,IF(HR_Data[[#This Row],[MonthlyIncome]]&lt;10000,3,4)))</f>
        <v>2</v>
      </c>
      <c r="AI847" s="1" t="str">
        <f>IF(HR_Data[[#This Row],[YearsAtCompany]]&lt;=2,"0-2 Yrs",IF(HR_Data[[#This Row],[YearsAtCompany]]&lt;=5,"3-5 Yrs",IF(HR_Data[[#This Row],[YearsAtCompany]]&lt;=10,"6-10 Yrs","10+ Yrs")))</f>
        <v>0-2 Yrs</v>
      </c>
      <c r="AJ847" s="1">
        <f>IF(HR_Data[[#This Row],[YearsAtCompany]]&lt;=2,1,IF(HR_Data[[#This Row],[YearsAtCompany]]&lt;=5,2,IF(HR_Data[[#This Row],[YearsAtCompany]]&lt;=10,3,4)))</f>
        <v>1</v>
      </c>
      <c r="AK847" s="1" t="str">
        <f>CHOOSE(HR_Data[[#This Row],[Education]],"Below College","College","Bachelor","Master","Doctor")</f>
        <v>College</v>
      </c>
      <c r="AL847" s="1" t="str">
        <f>CHOOSE(HR_Data[[#This Row],[JobSatisfaction]],"Low","Medium","High","Very High")</f>
        <v>Very High</v>
      </c>
      <c r="AM847" s="1" t="str">
        <f>CHOOSE(HR_Data[[#This Row],[EnvironmentSatisfaction]],"Low","Medium","High","Very High")</f>
        <v>High</v>
      </c>
      <c r="AN847" s="1" t="str">
        <f>CHOOSE(HR_Data[[#This Row],[WorkLifeBalance]],"Bad","Good","Better","Best")</f>
        <v>Bad</v>
      </c>
      <c r="AO847" s="1" t="str">
        <f>IF(HR_Data[[#This Row],[PercentSalaryHike]]&lt;=13,"11-13%",IF(HR_Data[[#This Row],[PercentSalaryHike]]&lt;=16,"14-16%",IF(HR_Data[[#This Row],[PercentSalaryHike]]&lt;=19,"17-19%","20-25%")))</f>
        <v>11-13%</v>
      </c>
      <c r="AP847" s="1">
        <f>IF(HR_Data[[#This Row],[PercentSalaryHike]]&lt;=13,1,IF(HR_Data[[#This Row],[PercentSalaryHike]]&lt;=16,2,IF(HR_Data[[#This Row],[PercentSalaryHike]]&lt;=19,3,4)))</f>
        <v>1</v>
      </c>
      <c r="AQ847" s="1" t="str">
        <f>IF(HR_Data[[#This Row],[DistanceFromHome]]&lt;=5,"1 to 5",IF(HR_Data[[#This Row],[DistanceFromHome]]&lt;=10,"6 to 10",IF(HR_Data[[#This Row],[DistanceFromHome]]&lt;=20,"11 to 20","21 to 29")))</f>
        <v>21 to 29</v>
      </c>
      <c r="AR847" s="1">
        <f>IF(HR_Data[[#This Row],[DistanceFromHome]]&lt;=5,1,IF(HR_Data[[#This Row],[DistanceFromHome]]&lt;=10,2,IF(HR_Data[[#This Row],[DistanceFromHome]]&lt;=20,3,4)))</f>
        <v>4</v>
      </c>
      <c r="AS847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847" s="1">
        <f>IF(HR_Data[[#This Row],[TotalWorkingYears]]&lt;=5,1,IF(HR_Data[[#This Row],[TotalWorkingYears]]&lt;=10,2,IF(HR_Data[[#This Row],[TotalWorkingYears]]&lt;=20,3,4)))</f>
        <v>3</v>
      </c>
    </row>
    <row r="848" spans="1:46" x14ac:dyDescent="0.25">
      <c r="A848">
        <v>35</v>
      </c>
      <c r="B848" t="s">
        <v>36</v>
      </c>
      <c r="C848" t="s">
        <v>30</v>
      </c>
      <c r="D848" t="s">
        <v>38</v>
      </c>
      <c r="E848">
        <v>2</v>
      </c>
      <c r="F848">
        <v>3</v>
      </c>
      <c r="G848" t="s">
        <v>32</v>
      </c>
      <c r="H848">
        <v>1182</v>
      </c>
      <c r="I848">
        <v>3</v>
      </c>
      <c r="J848" t="s">
        <v>39</v>
      </c>
      <c r="K848">
        <v>2</v>
      </c>
      <c r="L848">
        <v>3</v>
      </c>
      <c r="M848" t="s">
        <v>46</v>
      </c>
      <c r="N848">
        <v>2</v>
      </c>
      <c r="O848" t="s">
        <v>45</v>
      </c>
      <c r="P848">
        <v>10274</v>
      </c>
      <c r="Q848">
        <v>2</v>
      </c>
      <c r="R848" t="s">
        <v>36</v>
      </c>
      <c r="S848">
        <v>18</v>
      </c>
      <c r="T848">
        <v>3</v>
      </c>
      <c r="U848">
        <v>2</v>
      </c>
      <c r="V848">
        <v>1</v>
      </c>
      <c r="W848">
        <v>15</v>
      </c>
      <c r="X848">
        <v>2</v>
      </c>
      <c r="Y848">
        <v>4</v>
      </c>
      <c r="Z848">
        <v>7</v>
      </c>
      <c r="AA848">
        <v>7</v>
      </c>
      <c r="AB848">
        <v>6</v>
      </c>
      <c r="AC848">
        <v>4</v>
      </c>
      <c r="AD848">
        <f>IF(HR_Data[[#This Row],[Attrition]]="Yes",1,0)</f>
        <v>0</v>
      </c>
      <c r="AE848" t="str">
        <f>IF(HR_Data[[#This Row],[Age]]&lt;=25,"18-25",IF(HR_Data[[#This Row],[Age]]&lt;=35,"26-35",IF(HR_Data[[#This Row],[Age]]&lt;=45,"36-45",IF(HR_Data[[#This Row],[Age]]&lt;=55,"46-55","55+"))))</f>
        <v>26-35</v>
      </c>
      <c r="AF848">
        <f>IF(HR_Data[[#This Row],[Age]]&lt;=25,1,IF(HR_Data[[#This Row],[Age]]&lt;=35,2,IF(HR_Data[[#This Row],[Age]]&lt;=45,3,IF(HR_Data[[#This Row],[Age]]&lt;=55,4,5))))</f>
        <v>2</v>
      </c>
      <c r="AG848" s="1" t="str">
        <f>IF(HR_Data[[#This Row],[MonthlyIncome]]&lt;3000,"&lt;3K",IF(HR_Data[[#This Row],[MonthlyIncome]]&lt;6000,"3K-6K",IF(HR_Data[[#This Row],[MonthlyIncome]]&lt;10000,"6K-10K","10K+")))</f>
        <v>10K+</v>
      </c>
      <c r="AH848" s="1">
        <f>IF(HR_Data[[#This Row],[MonthlyIncome]]&lt;3000,1,IF(HR_Data[[#This Row],[MonthlyIncome]]&lt;6000,2,IF(HR_Data[[#This Row],[MonthlyIncome]]&lt;10000,3,4)))</f>
        <v>4</v>
      </c>
      <c r="AI848" s="1" t="str">
        <f>IF(HR_Data[[#This Row],[YearsAtCompany]]&lt;=2,"0-2 Yrs",IF(HR_Data[[#This Row],[YearsAtCompany]]&lt;=5,"3-5 Yrs",IF(HR_Data[[#This Row],[YearsAtCompany]]&lt;=10,"6-10 Yrs","10+ Yrs")))</f>
        <v>6-10 Yrs</v>
      </c>
      <c r="AJ848" s="1">
        <f>IF(HR_Data[[#This Row],[YearsAtCompany]]&lt;=2,1,IF(HR_Data[[#This Row],[YearsAtCompany]]&lt;=5,2,IF(HR_Data[[#This Row],[YearsAtCompany]]&lt;=10,3,4)))</f>
        <v>3</v>
      </c>
      <c r="AK848" s="1" t="str">
        <f>CHOOSE(HR_Data[[#This Row],[Education]],"Below College","College","Bachelor","Master","Doctor")</f>
        <v>Bachelor</v>
      </c>
      <c r="AL848" s="1" t="str">
        <f>CHOOSE(HR_Data[[#This Row],[JobSatisfaction]],"Low","Medium","High","Very High")</f>
        <v>Medium</v>
      </c>
      <c r="AM848" s="1" t="str">
        <f>CHOOSE(HR_Data[[#This Row],[EnvironmentSatisfaction]],"Low","Medium","High","Very High")</f>
        <v>High</v>
      </c>
      <c r="AN848" s="1" t="str">
        <f>CHOOSE(HR_Data[[#This Row],[WorkLifeBalance]],"Bad","Good","Better","Best")</f>
        <v>Best</v>
      </c>
      <c r="AO848" s="1" t="str">
        <f>IF(HR_Data[[#This Row],[PercentSalaryHike]]&lt;=13,"11-13%",IF(HR_Data[[#This Row],[PercentSalaryHike]]&lt;=16,"14-16%",IF(HR_Data[[#This Row],[PercentSalaryHike]]&lt;=19,"17-19%","20-25%")))</f>
        <v>17-19%</v>
      </c>
      <c r="AP848" s="1">
        <f>IF(HR_Data[[#This Row],[PercentSalaryHike]]&lt;=13,1,IF(HR_Data[[#This Row],[PercentSalaryHike]]&lt;=16,2,IF(HR_Data[[#This Row],[PercentSalaryHike]]&lt;=19,3,4)))</f>
        <v>3</v>
      </c>
      <c r="AQ848" s="1" t="str">
        <f>IF(HR_Data[[#This Row],[DistanceFromHome]]&lt;=5,"1 to 5",IF(HR_Data[[#This Row],[DistanceFromHome]]&lt;=10,"6 to 10",IF(HR_Data[[#This Row],[DistanceFromHome]]&lt;=20,"11 to 20","21 to 29")))</f>
        <v>1 to 5</v>
      </c>
      <c r="AR848" s="1">
        <f>IF(HR_Data[[#This Row],[DistanceFromHome]]&lt;=5,1,IF(HR_Data[[#This Row],[DistanceFromHome]]&lt;=10,2,IF(HR_Data[[#This Row],[DistanceFromHome]]&lt;=20,3,4)))</f>
        <v>1</v>
      </c>
      <c r="AS848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848" s="1">
        <f>IF(HR_Data[[#This Row],[TotalWorkingYears]]&lt;=5,1,IF(HR_Data[[#This Row],[TotalWorkingYears]]&lt;=10,2,IF(HR_Data[[#This Row],[TotalWorkingYears]]&lt;=20,3,4)))</f>
        <v>3</v>
      </c>
    </row>
    <row r="849" spans="1:46" x14ac:dyDescent="0.25">
      <c r="A849">
        <v>34</v>
      </c>
      <c r="B849" t="s">
        <v>36</v>
      </c>
      <c r="C849" t="s">
        <v>37</v>
      </c>
      <c r="D849" t="s">
        <v>38</v>
      </c>
      <c r="E849">
        <v>1</v>
      </c>
      <c r="F849">
        <v>3</v>
      </c>
      <c r="G849" t="s">
        <v>44</v>
      </c>
      <c r="H849">
        <v>1184</v>
      </c>
      <c r="I849">
        <v>4</v>
      </c>
      <c r="J849" t="s">
        <v>39</v>
      </c>
      <c r="K849">
        <v>2</v>
      </c>
      <c r="L849">
        <v>2</v>
      </c>
      <c r="M849" t="s">
        <v>47</v>
      </c>
      <c r="N849">
        <v>1</v>
      </c>
      <c r="O849" t="s">
        <v>35</v>
      </c>
      <c r="P849">
        <v>5343</v>
      </c>
      <c r="Q849">
        <v>0</v>
      </c>
      <c r="R849" t="s">
        <v>36</v>
      </c>
      <c r="S849">
        <v>20</v>
      </c>
      <c r="T849">
        <v>4</v>
      </c>
      <c r="U849">
        <v>3</v>
      </c>
      <c r="V849">
        <v>0</v>
      </c>
      <c r="W849">
        <v>14</v>
      </c>
      <c r="X849">
        <v>3</v>
      </c>
      <c r="Y849">
        <v>3</v>
      </c>
      <c r="Z849">
        <v>13</v>
      </c>
      <c r="AA849">
        <v>9</v>
      </c>
      <c r="AB849">
        <v>4</v>
      </c>
      <c r="AC849">
        <v>9</v>
      </c>
      <c r="AD849">
        <f>IF(HR_Data[[#This Row],[Attrition]]="Yes",1,0)</f>
        <v>0</v>
      </c>
      <c r="AE849" t="str">
        <f>IF(HR_Data[[#This Row],[Age]]&lt;=25,"18-25",IF(HR_Data[[#This Row],[Age]]&lt;=35,"26-35",IF(HR_Data[[#This Row],[Age]]&lt;=45,"36-45",IF(HR_Data[[#This Row],[Age]]&lt;=55,"46-55","55+"))))</f>
        <v>26-35</v>
      </c>
      <c r="AF849">
        <f>IF(HR_Data[[#This Row],[Age]]&lt;=25,1,IF(HR_Data[[#This Row],[Age]]&lt;=35,2,IF(HR_Data[[#This Row],[Age]]&lt;=45,3,IF(HR_Data[[#This Row],[Age]]&lt;=55,4,5))))</f>
        <v>2</v>
      </c>
      <c r="AG849" s="1" t="str">
        <f>IF(HR_Data[[#This Row],[MonthlyIncome]]&lt;3000,"&lt;3K",IF(HR_Data[[#This Row],[MonthlyIncome]]&lt;6000,"3K-6K",IF(HR_Data[[#This Row],[MonthlyIncome]]&lt;10000,"6K-10K","10K+")))</f>
        <v>3K-6K</v>
      </c>
      <c r="AH849" s="1">
        <f>IF(HR_Data[[#This Row],[MonthlyIncome]]&lt;3000,1,IF(HR_Data[[#This Row],[MonthlyIncome]]&lt;6000,2,IF(HR_Data[[#This Row],[MonthlyIncome]]&lt;10000,3,4)))</f>
        <v>2</v>
      </c>
      <c r="AI849" s="1" t="str">
        <f>IF(HR_Data[[#This Row],[YearsAtCompany]]&lt;=2,"0-2 Yrs",IF(HR_Data[[#This Row],[YearsAtCompany]]&lt;=5,"3-5 Yrs",IF(HR_Data[[#This Row],[YearsAtCompany]]&lt;=10,"6-10 Yrs","10+ Yrs")))</f>
        <v>10+ Yrs</v>
      </c>
      <c r="AJ849" s="1">
        <f>IF(HR_Data[[#This Row],[YearsAtCompany]]&lt;=2,1,IF(HR_Data[[#This Row],[YearsAtCompany]]&lt;=5,2,IF(HR_Data[[#This Row],[YearsAtCompany]]&lt;=10,3,4)))</f>
        <v>4</v>
      </c>
      <c r="AK849" s="1" t="str">
        <f>CHOOSE(HR_Data[[#This Row],[Education]],"Below College","College","Bachelor","Master","Doctor")</f>
        <v>Bachelor</v>
      </c>
      <c r="AL849" s="1" t="str">
        <f>CHOOSE(HR_Data[[#This Row],[JobSatisfaction]],"Low","Medium","High","Very High")</f>
        <v>Low</v>
      </c>
      <c r="AM849" s="1" t="str">
        <f>CHOOSE(HR_Data[[#This Row],[EnvironmentSatisfaction]],"Low","Medium","High","Very High")</f>
        <v>Very High</v>
      </c>
      <c r="AN849" s="1" t="str">
        <f>CHOOSE(HR_Data[[#This Row],[WorkLifeBalance]],"Bad","Good","Better","Best")</f>
        <v>Better</v>
      </c>
      <c r="AO849" s="1" t="str">
        <f>IF(HR_Data[[#This Row],[PercentSalaryHike]]&lt;=13,"11-13%",IF(HR_Data[[#This Row],[PercentSalaryHike]]&lt;=16,"14-16%",IF(HR_Data[[#This Row],[PercentSalaryHike]]&lt;=19,"17-19%","20-25%")))</f>
        <v>20-25%</v>
      </c>
      <c r="AP849" s="1">
        <f>IF(HR_Data[[#This Row],[PercentSalaryHike]]&lt;=13,1,IF(HR_Data[[#This Row],[PercentSalaryHike]]&lt;=16,2,IF(HR_Data[[#This Row],[PercentSalaryHike]]&lt;=19,3,4)))</f>
        <v>4</v>
      </c>
      <c r="AQ849" s="1" t="str">
        <f>IF(HR_Data[[#This Row],[DistanceFromHome]]&lt;=5,"1 to 5",IF(HR_Data[[#This Row],[DistanceFromHome]]&lt;=10,"6 to 10",IF(HR_Data[[#This Row],[DistanceFromHome]]&lt;=20,"11 to 20","21 to 29")))</f>
        <v>1 to 5</v>
      </c>
      <c r="AR849" s="1">
        <f>IF(HR_Data[[#This Row],[DistanceFromHome]]&lt;=5,1,IF(HR_Data[[#This Row],[DistanceFromHome]]&lt;=10,2,IF(HR_Data[[#This Row],[DistanceFromHome]]&lt;=20,3,4)))</f>
        <v>1</v>
      </c>
      <c r="AS849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849" s="1">
        <f>IF(HR_Data[[#This Row],[TotalWorkingYears]]&lt;=5,1,IF(HR_Data[[#This Row],[TotalWorkingYears]]&lt;=10,2,IF(HR_Data[[#This Row],[TotalWorkingYears]]&lt;=20,3,4)))</f>
        <v>3</v>
      </c>
    </row>
    <row r="850" spans="1:46" x14ac:dyDescent="0.25">
      <c r="A850">
        <v>35</v>
      </c>
      <c r="B850" t="s">
        <v>36</v>
      </c>
      <c r="C850" t="s">
        <v>37</v>
      </c>
      <c r="D850" t="s">
        <v>38</v>
      </c>
      <c r="E850">
        <v>4</v>
      </c>
      <c r="F850">
        <v>4</v>
      </c>
      <c r="G850" t="s">
        <v>42</v>
      </c>
      <c r="H850">
        <v>1185</v>
      </c>
      <c r="I850">
        <v>4</v>
      </c>
      <c r="J850" t="s">
        <v>39</v>
      </c>
      <c r="K850">
        <v>2</v>
      </c>
      <c r="L850">
        <v>1</v>
      </c>
      <c r="M850" t="s">
        <v>43</v>
      </c>
      <c r="N850">
        <v>4</v>
      </c>
      <c r="O850" t="s">
        <v>41</v>
      </c>
      <c r="P850">
        <v>2376</v>
      </c>
      <c r="Q850">
        <v>1</v>
      </c>
      <c r="R850" t="s">
        <v>36</v>
      </c>
      <c r="S850">
        <v>13</v>
      </c>
      <c r="T850">
        <v>3</v>
      </c>
      <c r="U850">
        <v>2</v>
      </c>
      <c r="V850">
        <v>1</v>
      </c>
      <c r="W850">
        <v>2</v>
      </c>
      <c r="X850">
        <v>2</v>
      </c>
      <c r="Y850">
        <v>4</v>
      </c>
      <c r="Z850">
        <v>2</v>
      </c>
      <c r="AA850">
        <v>2</v>
      </c>
      <c r="AB850">
        <v>2</v>
      </c>
      <c r="AC850">
        <v>2</v>
      </c>
      <c r="AD850">
        <f>IF(HR_Data[[#This Row],[Attrition]]="Yes",1,0)</f>
        <v>0</v>
      </c>
      <c r="AE850" t="str">
        <f>IF(HR_Data[[#This Row],[Age]]&lt;=25,"18-25",IF(HR_Data[[#This Row],[Age]]&lt;=35,"26-35",IF(HR_Data[[#This Row],[Age]]&lt;=45,"36-45",IF(HR_Data[[#This Row],[Age]]&lt;=55,"46-55","55+"))))</f>
        <v>26-35</v>
      </c>
      <c r="AF850">
        <f>IF(HR_Data[[#This Row],[Age]]&lt;=25,1,IF(HR_Data[[#This Row],[Age]]&lt;=35,2,IF(HR_Data[[#This Row],[Age]]&lt;=45,3,IF(HR_Data[[#This Row],[Age]]&lt;=55,4,5))))</f>
        <v>2</v>
      </c>
      <c r="AG850" s="1" t="str">
        <f>IF(HR_Data[[#This Row],[MonthlyIncome]]&lt;3000,"&lt;3K",IF(HR_Data[[#This Row],[MonthlyIncome]]&lt;6000,"3K-6K",IF(HR_Data[[#This Row],[MonthlyIncome]]&lt;10000,"6K-10K","10K+")))</f>
        <v>&lt;3K</v>
      </c>
      <c r="AH850" s="1">
        <f>IF(HR_Data[[#This Row],[MonthlyIncome]]&lt;3000,1,IF(HR_Data[[#This Row],[MonthlyIncome]]&lt;6000,2,IF(HR_Data[[#This Row],[MonthlyIncome]]&lt;10000,3,4)))</f>
        <v>1</v>
      </c>
      <c r="AI850" s="1" t="str">
        <f>IF(HR_Data[[#This Row],[YearsAtCompany]]&lt;=2,"0-2 Yrs",IF(HR_Data[[#This Row],[YearsAtCompany]]&lt;=5,"3-5 Yrs",IF(HR_Data[[#This Row],[YearsAtCompany]]&lt;=10,"6-10 Yrs","10+ Yrs")))</f>
        <v>0-2 Yrs</v>
      </c>
      <c r="AJ850" s="1">
        <f>IF(HR_Data[[#This Row],[YearsAtCompany]]&lt;=2,1,IF(HR_Data[[#This Row],[YearsAtCompany]]&lt;=5,2,IF(HR_Data[[#This Row],[YearsAtCompany]]&lt;=10,3,4)))</f>
        <v>1</v>
      </c>
      <c r="AK850" s="1" t="str">
        <f>CHOOSE(HR_Data[[#This Row],[Education]],"Below College","College","Bachelor","Master","Doctor")</f>
        <v>Master</v>
      </c>
      <c r="AL850" s="1" t="str">
        <f>CHOOSE(HR_Data[[#This Row],[JobSatisfaction]],"Low","Medium","High","Very High")</f>
        <v>Very High</v>
      </c>
      <c r="AM850" s="1" t="str">
        <f>CHOOSE(HR_Data[[#This Row],[EnvironmentSatisfaction]],"Low","Medium","High","Very High")</f>
        <v>Very High</v>
      </c>
      <c r="AN850" s="1" t="str">
        <f>CHOOSE(HR_Data[[#This Row],[WorkLifeBalance]],"Bad","Good","Better","Best")</f>
        <v>Best</v>
      </c>
      <c r="AO850" s="1" t="str">
        <f>IF(HR_Data[[#This Row],[PercentSalaryHike]]&lt;=13,"11-13%",IF(HR_Data[[#This Row],[PercentSalaryHike]]&lt;=16,"14-16%",IF(HR_Data[[#This Row],[PercentSalaryHike]]&lt;=19,"17-19%","20-25%")))</f>
        <v>11-13%</v>
      </c>
      <c r="AP850" s="1">
        <f>IF(HR_Data[[#This Row],[PercentSalaryHike]]&lt;=13,1,IF(HR_Data[[#This Row],[PercentSalaryHike]]&lt;=16,2,IF(HR_Data[[#This Row],[PercentSalaryHike]]&lt;=19,3,4)))</f>
        <v>1</v>
      </c>
      <c r="AQ850" s="1" t="str">
        <f>IF(HR_Data[[#This Row],[DistanceFromHome]]&lt;=5,"1 to 5",IF(HR_Data[[#This Row],[DistanceFromHome]]&lt;=10,"6 to 10",IF(HR_Data[[#This Row],[DistanceFromHome]]&lt;=20,"11 to 20","21 to 29")))</f>
        <v>1 to 5</v>
      </c>
      <c r="AR850" s="1">
        <f>IF(HR_Data[[#This Row],[DistanceFromHome]]&lt;=5,1,IF(HR_Data[[#This Row],[DistanceFromHome]]&lt;=10,2,IF(HR_Data[[#This Row],[DistanceFromHome]]&lt;=20,3,4)))</f>
        <v>1</v>
      </c>
      <c r="AS850" s="1" t="str">
        <f>IF(HR_Data[[#This Row],[TotalWorkingYears]]&lt;=5,"0-5 Yrs",IF(HR_Data[[#This Row],[TotalWorkingYears]]&lt;=10,"6-10 Yrs",IF(HR_Data[[#This Row],[TotalWorkingYears]]&lt;=20,"11-20 Yrs","20+ Yrs")))</f>
        <v>0-5 Yrs</v>
      </c>
      <c r="AT850" s="1">
        <f>IF(HR_Data[[#This Row],[TotalWorkingYears]]&lt;=5,1,IF(HR_Data[[#This Row],[TotalWorkingYears]]&lt;=10,2,IF(HR_Data[[#This Row],[TotalWorkingYears]]&lt;=20,3,4)))</f>
        <v>1</v>
      </c>
    </row>
    <row r="851" spans="1:46" x14ac:dyDescent="0.25">
      <c r="A851">
        <v>43</v>
      </c>
      <c r="B851" t="s">
        <v>29</v>
      </c>
      <c r="C851" t="s">
        <v>30</v>
      </c>
      <c r="D851" t="s">
        <v>31</v>
      </c>
      <c r="E851">
        <v>9</v>
      </c>
      <c r="F851">
        <v>3</v>
      </c>
      <c r="G851" t="s">
        <v>52</v>
      </c>
      <c r="H851">
        <v>1188</v>
      </c>
      <c r="I851">
        <v>1</v>
      </c>
      <c r="J851" t="s">
        <v>33</v>
      </c>
      <c r="K851">
        <v>1</v>
      </c>
      <c r="L851">
        <v>2</v>
      </c>
      <c r="M851" t="s">
        <v>34</v>
      </c>
      <c r="N851">
        <v>3</v>
      </c>
      <c r="O851" t="s">
        <v>35</v>
      </c>
      <c r="P851">
        <v>5346</v>
      </c>
      <c r="Q851">
        <v>8</v>
      </c>
      <c r="R851" t="s">
        <v>36</v>
      </c>
      <c r="S851">
        <v>13</v>
      </c>
      <c r="T851">
        <v>3</v>
      </c>
      <c r="U851">
        <v>2</v>
      </c>
      <c r="V851">
        <v>0</v>
      </c>
      <c r="W851">
        <v>7</v>
      </c>
      <c r="X851">
        <v>2</v>
      </c>
      <c r="Y851">
        <v>2</v>
      </c>
      <c r="Z851">
        <v>4</v>
      </c>
      <c r="AA851">
        <v>3</v>
      </c>
      <c r="AB851">
        <v>1</v>
      </c>
      <c r="AC851">
        <v>3</v>
      </c>
      <c r="AD851">
        <f>IF(HR_Data[[#This Row],[Attrition]]="Yes",1,0)</f>
        <v>1</v>
      </c>
      <c r="AE851" t="str">
        <f>IF(HR_Data[[#This Row],[Age]]&lt;=25,"18-25",IF(HR_Data[[#This Row],[Age]]&lt;=35,"26-35",IF(HR_Data[[#This Row],[Age]]&lt;=45,"36-45",IF(HR_Data[[#This Row],[Age]]&lt;=55,"46-55","55+"))))</f>
        <v>36-45</v>
      </c>
      <c r="AF851">
        <f>IF(HR_Data[[#This Row],[Age]]&lt;=25,1,IF(HR_Data[[#This Row],[Age]]&lt;=35,2,IF(HR_Data[[#This Row],[Age]]&lt;=45,3,IF(HR_Data[[#This Row],[Age]]&lt;=55,4,5))))</f>
        <v>3</v>
      </c>
      <c r="AG851" s="1" t="str">
        <f>IF(HR_Data[[#This Row],[MonthlyIncome]]&lt;3000,"&lt;3K",IF(HR_Data[[#This Row],[MonthlyIncome]]&lt;6000,"3K-6K",IF(HR_Data[[#This Row],[MonthlyIncome]]&lt;10000,"6K-10K","10K+")))</f>
        <v>3K-6K</v>
      </c>
      <c r="AH851" s="1">
        <f>IF(HR_Data[[#This Row],[MonthlyIncome]]&lt;3000,1,IF(HR_Data[[#This Row],[MonthlyIncome]]&lt;6000,2,IF(HR_Data[[#This Row],[MonthlyIncome]]&lt;10000,3,4)))</f>
        <v>2</v>
      </c>
      <c r="AI851" s="1" t="str">
        <f>IF(HR_Data[[#This Row],[YearsAtCompany]]&lt;=2,"0-2 Yrs",IF(HR_Data[[#This Row],[YearsAtCompany]]&lt;=5,"3-5 Yrs",IF(HR_Data[[#This Row],[YearsAtCompany]]&lt;=10,"6-10 Yrs","10+ Yrs")))</f>
        <v>3-5 Yrs</v>
      </c>
      <c r="AJ851" s="1">
        <f>IF(HR_Data[[#This Row],[YearsAtCompany]]&lt;=2,1,IF(HR_Data[[#This Row],[YearsAtCompany]]&lt;=5,2,IF(HR_Data[[#This Row],[YearsAtCompany]]&lt;=10,3,4)))</f>
        <v>2</v>
      </c>
      <c r="AK851" s="1" t="str">
        <f>CHOOSE(HR_Data[[#This Row],[Education]],"Below College","College","Bachelor","Master","Doctor")</f>
        <v>Bachelor</v>
      </c>
      <c r="AL851" s="1" t="str">
        <f>CHOOSE(HR_Data[[#This Row],[JobSatisfaction]],"Low","Medium","High","Very High")</f>
        <v>High</v>
      </c>
      <c r="AM851" s="1" t="str">
        <f>CHOOSE(HR_Data[[#This Row],[EnvironmentSatisfaction]],"Low","Medium","High","Very High")</f>
        <v>Low</v>
      </c>
      <c r="AN851" s="1" t="str">
        <f>CHOOSE(HR_Data[[#This Row],[WorkLifeBalance]],"Bad","Good","Better","Best")</f>
        <v>Good</v>
      </c>
      <c r="AO851" s="1" t="str">
        <f>IF(HR_Data[[#This Row],[PercentSalaryHike]]&lt;=13,"11-13%",IF(HR_Data[[#This Row],[PercentSalaryHike]]&lt;=16,"14-16%",IF(HR_Data[[#This Row],[PercentSalaryHike]]&lt;=19,"17-19%","20-25%")))</f>
        <v>11-13%</v>
      </c>
      <c r="AP851" s="1">
        <f>IF(HR_Data[[#This Row],[PercentSalaryHike]]&lt;=13,1,IF(HR_Data[[#This Row],[PercentSalaryHike]]&lt;=16,2,IF(HR_Data[[#This Row],[PercentSalaryHike]]&lt;=19,3,4)))</f>
        <v>1</v>
      </c>
      <c r="AQ851" s="1" t="str">
        <f>IF(HR_Data[[#This Row],[DistanceFromHome]]&lt;=5,"1 to 5",IF(HR_Data[[#This Row],[DistanceFromHome]]&lt;=10,"6 to 10",IF(HR_Data[[#This Row],[DistanceFromHome]]&lt;=20,"11 to 20","21 to 29")))</f>
        <v>6 to 10</v>
      </c>
      <c r="AR851" s="1">
        <f>IF(HR_Data[[#This Row],[DistanceFromHome]]&lt;=5,1,IF(HR_Data[[#This Row],[DistanceFromHome]]&lt;=10,2,IF(HR_Data[[#This Row],[DistanceFromHome]]&lt;=20,3,4)))</f>
        <v>2</v>
      </c>
      <c r="AS851" s="1" t="str">
        <f>IF(HR_Data[[#This Row],[TotalWorkingYears]]&lt;=5,"0-5 Yrs",IF(HR_Data[[#This Row],[TotalWorkingYears]]&lt;=10,"6-10 Yrs",IF(HR_Data[[#This Row],[TotalWorkingYears]]&lt;=20,"11-20 Yrs","20+ Yrs")))</f>
        <v>6-10 Yrs</v>
      </c>
      <c r="AT851" s="1">
        <f>IF(HR_Data[[#This Row],[TotalWorkingYears]]&lt;=5,1,IF(HR_Data[[#This Row],[TotalWorkingYears]]&lt;=10,2,IF(HR_Data[[#This Row],[TotalWorkingYears]]&lt;=20,3,4)))</f>
        <v>2</v>
      </c>
    </row>
    <row r="852" spans="1:46" x14ac:dyDescent="0.25">
      <c r="A852">
        <v>32</v>
      </c>
      <c r="B852" t="s">
        <v>36</v>
      </c>
      <c r="C852" t="s">
        <v>48</v>
      </c>
      <c r="D852" t="s">
        <v>31</v>
      </c>
      <c r="E852">
        <v>2</v>
      </c>
      <c r="F852">
        <v>1</v>
      </c>
      <c r="G852" t="s">
        <v>32</v>
      </c>
      <c r="H852">
        <v>1190</v>
      </c>
      <c r="I852">
        <v>3</v>
      </c>
      <c r="J852" t="s">
        <v>33</v>
      </c>
      <c r="K852">
        <v>3</v>
      </c>
      <c r="L852">
        <v>1</v>
      </c>
      <c r="M852" t="s">
        <v>50</v>
      </c>
      <c r="N852">
        <v>1</v>
      </c>
      <c r="O852" t="s">
        <v>45</v>
      </c>
      <c r="P852">
        <v>2827</v>
      </c>
      <c r="Q852">
        <v>1</v>
      </c>
      <c r="R852" t="s">
        <v>36</v>
      </c>
      <c r="S852">
        <v>12</v>
      </c>
      <c r="T852">
        <v>3</v>
      </c>
      <c r="U852">
        <v>3</v>
      </c>
      <c r="V852">
        <v>3</v>
      </c>
      <c r="W852">
        <v>1</v>
      </c>
      <c r="X852">
        <v>3</v>
      </c>
      <c r="Y852">
        <v>3</v>
      </c>
      <c r="Z852">
        <v>1</v>
      </c>
      <c r="AA852">
        <v>0</v>
      </c>
      <c r="AB852">
        <v>0</v>
      </c>
      <c r="AC852">
        <v>0</v>
      </c>
      <c r="AD852">
        <f>IF(HR_Data[[#This Row],[Attrition]]="Yes",1,0)</f>
        <v>0</v>
      </c>
      <c r="AE852" t="str">
        <f>IF(HR_Data[[#This Row],[Age]]&lt;=25,"18-25",IF(HR_Data[[#This Row],[Age]]&lt;=35,"26-35",IF(HR_Data[[#This Row],[Age]]&lt;=45,"36-45",IF(HR_Data[[#This Row],[Age]]&lt;=55,"46-55","55+"))))</f>
        <v>26-35</v>
      </c>
      <c r="AF852">
        <f>IF(HR_Data[[#This Row],[Age]]&lt;=25,1,IF(HR_Data[[#This Row],[Age]]&lt;=35,2,IF(HR_Data[[#This Row],[Age]]&lt;=45,3,IF(HR_Data[[#This Row],[Age]]&lt;=55,4,5))))</f>
        <v>2</v>
      </c>
      <c r="AG852" s="1" t="str">
        <f>IF(HR_Data[[#This Row],[MonthlyIncome]]&lt;3000,"&lt;3K",IF(HR_Data[[#This Row],[MonthlyIncome]]&lt;6000,"3K-6K",IF(HR_Data[[#This Row],[MonthlyIncome]]&lt;10000,"6K-10K","10K+")))</f>
        <v>&lt;3K</v>
      </c>
      <c r="AH852" s="1">
        <f>IF(HR_Data[[#This Row],[MonthlyIncome]]&lt;3000,1,IF(HR_Data[[#This Row],[MonthlyIncome]]&lt;6000,2,IF(HR_Data[[#This Row],[MonthlyIncome]]&lt;10000,3,4)))</f>
        <v>1</v>
      </c>
      <c r="AI852" s="1" t="str">
        <f>IF(HR_Data[[#This Row],[YearsAtCompany]]&lt;=2,"0-2 Yrs",IF(HR_Data[[#This Row],[YearsAtCompany]]&lt;=5,"3-5 Yrs",IF(HR_Data[[#This Row],[YearsAtCompany]]&lt;=10,"6-10 Yrs","10+ Yrs")))</f>
        <v>0-2 Yrs</v>
      </c>
      <c r="AJ852" s="1">
        <f>IF(HR_Data[[#This Row],[YearsAtCompany]]&lt;=2,1,IF(HR_Data[[#This Row],[YearsAtCompany]]&lt;=5,2,IF(HR_Data[[#This Row],[YearsAtCompany]]&lt;=10,3,4)))</f>
        <v>1</v>
      </c>
      <c r="AK852" s="1" t="str">
        <f>CHOOSE(HR_Data[[#This Row],[Education]],"Below College","College","Bachelor","Master","Doctor")</f>
        <v>Below College</v>
      </c>
      <c r="AL852" s="1" t="str">
        <f>CHOOSE(HR_Data[[#This Row],[JobSatisfaction]],"Low","Medium","High","Very High")</f>
        <v>Low</v>
      </c>
      <c r="AM852" s="1" t="str">
        <f>CHOOSE(HR_Data[[#This Row],[EnvironmentSatisfaction]],"Low","Medium","High","Very High")</f>
        <v>High</v>
      </c>
      <c r="AN852" s="1" t="str">
        <f>CHOOSE(HR_Data[[#This Row],[WorkLifeBalance]],"Bad","Good","Better","Best")</f>
        <v>Better</v>
      </c>
      <c r="AO852" s="1" t="str">
        <f>IF(HR_Data[[#This Row],[PercentSalaryHike]]&lt;=13,"11-13%",IF(HR_Data[[#This Row],[PercentSalaryHike]]&lt;=16,"14-16%",IF(HR_Data[[#This Row],[PercentSalaryHike]]&lt;=19,"17-19%","20-25%")))</f>
        <v>11-13%</v>
      </c>
      <c r="AP852" s="1">
        <f>IF(HR_Data[[#This Row],[PercentSalaryHike]]&lt;=13,1,IF(HR_Data[[#This Row],[PercentSalaryHike]]&lt;=16,2,IF(HR_Data[[#This Row],[PercentSalaryHike]]&lt;=19,3,4)))</f>
        <v>1</v>
      </c>
      <c r="AQ852" s="1" t="str">
        <f>IF(HR_Data[[#This Row],[DistanceFromHome]]&lt;=5,"1 to 5",IF(HR_Data[[#This Row],[DistanceFromHome]]&lt;=10,"6 to 10",IF(HR_Data[[#This Row],[DistanceFromHome]]&lt;=20,"11 to 20","21 to 29")))</f>
        <v>1 to 5</v>
      </c>
      <c r="AR852" s="1">
        <f>IF(HR_Data[[#This Row],[DistanceFromHome]]&lt;=5,1,IF(HR_Data[[#This Row],[DistanceFromHome]]&lt;=10,2,IF(HR_Data[[#This Row],[DistanceFromHome]]&lt;=20,3,4)))</f>
        <v>1</v>
      </c>
      <c r="AS852" s="1" t="str">
        <f>IF(HR_Data[[#This Row],[TotalWorkingYears]]&lt;=5,"0-5 Yrs",IF(HR_Data[[#This Row],[TotalWorkingYears]]&lt;=10,"6-10 Yrs",IF(HR_Data[[#This Row],[TotalWorkingYears]]&lt;=20,"11-20 Yrs","20+ Yrs")))</f>
        <v>0-5 Yrs</v>
      </c>
      <c r="AT852" s="1">
        <f>IF(HR_Data[[#This Row],[TotalWorkingYears]]&lt;=5,1,IF(HR_Data[[#This Row],[TotalWorkingYears]]&lt;=10,2,IF(HR_Data[[#This Row],[TotalWorkingYears]]&lt;=20,3,4)))</f>
        <v>1</v>
      </c>
    </row>
    <row r="853" spans="1:46" x14ac:dyDescent="0.25">
      <c r="A853">
        <v>56</v>
      </c>
      <c r="B853" t="s">
        <v>36</v>
      </c>
      <c r="C853" t="s">
        <v>30</v>
      </c>
      <c r="D853" t="s">
        <v>38</v>
      </c>
      <c r="E853">
        <v>4</v>
      </c>
      <c r="F853">
        <v>4</v>
      </c>
      <c r="G853" t="s">
        <v>53</v>
      </c>
      <c r="H853">
        <v>1191</v>
      </c>
      <c r="I853">
        <v>4</v>
      </c>
      <c r="J853" t="s">
        <v>33</v>
      </c>
      <c r="K853">
        <v>3</v>
      </c>
      <c r="L853">
        <v>5</v>
      </c>
      <c r="M853" t="s">
        <v>49</v>
      </c>
      <c r="N853">
        <v>1</v>
      </c>
      <c r="O853" t="s">
        <v>45</v>
      </c>
      <c r="P853">
        <v>19943</v>
      </c>
      <c r="Q853">
        <v>4</v>
      </c>
      <c r="R853" t="s">
        <v>36</v>
      </c>
      <c r="S853">
        <v>13</v>
      </c>
      <c r="T853">
        <v>3</v>
      </c>
      <c r="U853">
        <v>4</v>
      </c>
      <c r="V853">
        <v>1</v>
      </c>
      <c r="W853">
        <v>28</v>
      </c>
      <c r="X853">
        <v>2</v>
      </c>
      <c r="Y853">
        <v>3</v>
      </c>
      <c r="Z853">
        <v>5</v>
      </c>
      <c r="AA853">
        <v>2</v>
      </c>
      <c r="AB853">
        <v>4</v>
      </c>
      <c r="AC853">
        <v>2</v>
      </c>
      <c r="AD853">
        <f>IF(HR_Data[[#This Row],[Attrition]]="Yes",1,0)</f>
        <v>0</v>
      </c>
      <c r="AE853" t="str">
        <f>IF(HR_Data[[#This Row],[Age]]&lt;=25,"18-25",IF(HR_Data[[#This Row],[Age]]&lt;=35,"26-35",IF(HR_Data[[#This Row],[Age]]&lt;=45,"36-45",IF(HR_Data[[#This Row],[Age]]&lt;=55,"46-55","55+"))))</f>
        <v>55+</v>
      </c>
      <c r="AF853">
        <f>IF(HR_Data[[#This Row],[Age]]&lt;=25,1,IF(HR_Data[[#This Row],[Age]]&lt;=35,2,IF(HR_Data[[#This Row],[Age]]&lt;=45,3,IF(HR_Data[[#This Row],[Age]]&lt;=55,4,5))))</f>
        <v>5</v>
      </c>
      <c r="AG853" s="1" t="str">
        <f>IF(HR_Data[[#This Row],[MonthlyIncome]]&lt;3000,"&lt;3K",IF(HR_Data[[#This Row],[MonthlyIncome]]&lt;6000,"3K-6K",IF(HR_Data[[#This Row],[MonthlyIncome]]&lt;10000,"6K-10K","10K+")))</f>
        <v>10K+</v>
      </c>
      <c r="AH853" s="1">
        <f>IF(HR_Data[[#This Row],[MonthlyIncome]]&lt;3000,1,IF(HR_Data[[#This Row],[MonthlyIncome]]&lt;6000,2,IF(HR_Data[[#This Row],[MonthlyIncome]]&lt;10000,3,4)))</f>
        <v>4</v>
      </c>
      <c r="AI853" s="1" t="str">
        <f>IF(HR_Data[[#This Row],[YearsAtCompany]]&lt;=2,"0-2 Yrs",IF(HR_Data[[#This Row],[YearsAtCompany]]&lt;=5,"3-5 Yrs",IF(HR_Data[[#This Row],[YearsAtCompany]]&lt;=10,"6-10 Yrs","10+ Yrs")))</f>
        <v>3-5 Yrs</v>
      </c>
      <c r="AJ853" s="1">
        <f>IF(HR_Data[[#This Row],[YearsAtCompany]]&lt;=2,1,IF(HR_Data[[#This Row],[YearsAtCompany]]&lt;=5,2,IF(HR_Data[[#This Row],[YearsAtCompany]]&lt;=10,3,4)))</f>
        <v>2</v>
      </c>
      <c r="AK853" s="1" t="str">
        <f>CHOOSE(HR_Data[[#This Row],[Education]],"Below College","College","Bachelor","Master","Doctor")</f>
        <v>Master</v>
      </c>
      <c r="AL853" s="1" t="str">
        <f>CHOOSE(HR_Data[[#This Row],[JobSatisfaction]],"Low","Medium","High","Very High")</f>
        <v>Low</v>
      </c>
      <c r="AM853" s="1" t="str">
        <f>CHOOSE(HR_Data[[#This Row],[EnvironmentSatisfaction]],"Low","Medium","High","Very High")</f>
        <v>Very High</v>
      </c>
      <c r="AN853" s="1" t="str">
        <f>CHOOSE(HR_Data[[#This Row],[WorkLifeBalance]],"Bad","Good","Better","Best")</f>
        <v>Better</v>
      </c>
      <c r="AO853" s="1" t="str">
        <f>IF(HR_Data[[#This Row],[PercentSalaryHike]]&lt;=13,"11-13%",IF(HR_Data[[#This Row],[PercentSalaryHike]]&lt;=16,"14-16%",IF(HR_Data[[#This Row],[PercentSalaryHike]]&lt;=19,"17-19%","20-25%")))</f>
        <v>11-13%</v>
      </c>
      <c r="AP853" s="1">
        <f>IF(HR_Data[[#This Row],[PercentSalaryHike]]&lt;=13,1,IF(HR_Data[[#This Row],[PercentSalaryHike]]&lt;=16,2,IF(HR_Data[[#This Row],[PercentSalaryHike]]&lt;=19,3,4)))</f>
        <v>1</v>
      </c>
      <c r="AQ853" s="1" t="str">
        <f>IF(HR_Data[[#This Row],[DistanceFromHome]]&lt;=5,"1 to 5",IF(HR_Data[[#This Row],[DistanceFromHome]]&lt;=10,"6 to 10",IF(HR_Data[[#This Row],[DistanceFromHome]]&lt;=20,"11 to 20","21 to 29")))</f>
        <v>1 to 5</v>
      </c>
      <c r="AR853" s="1">
        <f>IF(HR_Data[[#This Row],[DistanceFromHome]]&lt;=5,1,IF(HR_Data[[#This Row],[DistanceFromHome]]&lt;=10,2,IF(HR_Data[[#This Row],[DistanceFromHome]]&lt;=20,3,4)))</f>
        <v>1</v>
      </c>
      <c r="AS853" s="1" t="str">
        <f>IF(HR_Data[[#This Row],[TotalWorkingYears]]&lt;=5,"0-5 Yrs",IF(HR_Data[[#This Row],[TotalWorkingYears]]&lt;=10,"6-10 Yrs",IF(HR_Data[[#This Row],[TotalWorkingYears]]&lt;=20,"11-20 Yrs","20+ Yrs")))</f>
        <v>20+ Yrs</v>
      </c>
      <c r="AT853" s="1">
        <f>IF(HR_Data[[#This Row],[TotalWorkingYears]]&lt;=5,1,IF(HR_Data[[#This Row],[TotalWorkingYears]]&lt;=10,2,IF(HR_Data[[#This Row],[TotalWorkingYears]]&lt;=20,3,4)))</f>
        <v>4</v>
      </c>
    </row>
    <row r="854" spans="1:46" x14ac:dyDescent="0.25">
      <c r="A854">
        <v>29</v>
      </c>
      <c r="B854" t="s">
        <v>36</v>
      </c>
      <c r="C854" t="s">
        <v>30</v>
      </c>
      <c r="D854" t="s">
        <v>38</v>
      </c>
      <c r="E854">
        <v>6</v>
      </c>
      <c r="F854">
        <v>1</v>
      </c>
      <c r="G854" t="s">
        <v>44</v>
      </c>
      <c r="H854">
        <v>1192</v>
      </c>
      <c r="I854">
        <v>2</v>
      </c>
      <c r="J854" t="s">
        <v>33</v>
      </c>
      <c r="K854">
        <v>3</v>
      </c>
      <c r="L854">
        <v>1</v>
      </c>
      <c r="M854" t="s">
        <v>43</v>
      </c>
      <c r="N854">
        <v>4</v>
      </c>
      <c r="O854" t="s">
        <v>41</v>
      </c>
      <c r="P854">
        <v>3131</v>
      </c>
      <c r="Q854">
        <v>1</v>
      </c>
      <c r="R854" t="s">
        <v>36</v>
      </c>
      <c r="S854">
        <v>13</v>
      </c>
      <c r="T854">
        <v>3</v>
      </c>
      <c r="U854">
        <v>1</v>
      </c>
      <c r="V854">
        <v>1</v>
      </c>
      <c r="W854">
        <v>10</v>
      </c>
      <c r="X854">
        <v>5</v>
      </c>
      <c r="Y854">
        <v>3</v>
      </c>
      <c r="Z854">
        <v>10</v>
      </c>
      <c r="AA854">
        <v>8</v>
      </c>
      <c r="AB854">
        <v>0</v>
      </c>
      <c r="AC854">
        <v>8</v>
      </c>
      <c r="AD854">
        <f>IF(HR_Data[[#This Row],[Attrition]]="Yes",1,0)</f>
        <v>0</v>
      </c>
      <c r="AE854" t="str">
        <f>IF(HR_Data[[#This Row],[Age]]&lt;=25,"18-25",IF(HR_Data[[#This Row],[Age]]&lt;=35,"26-35",IF(HR_Data[[#This Row],[Age]]&lt;=45,"36-45",IF(HR_Data[[#This Row],[Age]]&lt;=55,"46-55","55+"))))</f>
        <v>26-35</v>
      </c>
      <c r="AF854">
        <f>IF(HR_Data[[#This Row],[Age]]&lt;=25,1,IF(HR_Data[[#This Row],[Age]]&lt;=35,2,IF(HR_Data[[#This Row],[Age]]&lt;=45,3,IF(HR_Data[[#This Row],[Age]]&lt;=55,4,5))))</f>
        <v>2</v>
      </c>
      <c r="AG854" s="1" t="str">
        <f>IF(HR_Data[[#This Row],[MonthlyIncome]]&lt;3000,"&lt;3K",IF(HR_Data[[#This Row],[MonthlyIncome]]&lt;6000,"3K-6K",IF(HR_Data[[#This Row],[MonthlyIncome]]&lt;10000,"6K-10K","10K+")))</f>
        <v>3K-6K</v>
      </c>
      <c r="AH854" s="1">
        <f>IF(HR_Data[[#This Row],[MonthlyIncome]]&lt;3000,1,IF(HR_Data[[#This Row],[MonthlyIncome]]&lt;6000,2,IF(HR_Data[[#This Row],[MonthlyIncome]]&lt;10000,3,4)))</f>
        <v>2</v>
      </c>
      <c r="AI854" s="1" t="str">
        <f>IF(HR_Data[[#This Row],[YearsAtCompany]]&lt;=2,"0-2 Yrs",IF(HR_Data[[#This Row],[YearsAtCompany]]&lt;=5,"3-5 Yrs",IF(HR_Data[[#This Row],[YearsAtCompany]]&lt;=10,"6-10 Yrs","10+ Yrs")))</f>
        <v>6-10 Yrs</v>
      </c>
      <c r="AJ854" s="1">
        <f>IF(HR_Data[[#This Row],[YearsAtCompany]]&lt;=2,1,IF(HR_Data[[#This Row],[YearsAtCompany]]&lt;=5,2,IF(HR_Data[[#This Row],[YearsAtCompany]]&lt;=10,3,4)))</f>
        <v>3</v>
      </c>
      <c r="AK854" s="1" t="str">
        <f>CHOOSE(HR_Data[[#This Row],[Education]],"Below College","College","Bachelor","Master","Doctor")</f>
        <v>Below College</v>
      </c>
      <c r="AL854" s="1" t="str">
        <f>CHOOSE(HR_Data[[#This Row],[JobSatisfaction]],"Low","Medium","High","Very High")</f>
        <v>Very High</v>
      </c>
      <c r="AM854" s="1" t="str">
        <f>CHOOSE(HR_Data[[#This Row],[EnvironmentSatisfaction]],"Low","Medium","High","Very High")</f>
        <v>Medium</v>
      </c>
      <c r="AN854" s="1" t="str">
        <f>CHOOSE(HR_Data[[#This Row],[WorkLifeBalance]],"Bad","Good","Better","Best")</f>
        <v>Better</v>
      </c>
      <c r="AO854" s="1" t="str">
        <f>IF(HR_Data[[#This Row],[PercentSalaryHike]]&lt;=13,"11-13%",IF(HR_Data[[#This Row],[PercentSalaryHike]]&lt;=16,"14-16%",IF(HR_Data[[#This Row],[PercentSalaryHike]]&lt;=19,"17-19%","20-25%")))</f>
        <v>11-13%</v>
      </c>
      <c r="AP854" s="1">
        <f>IF(HR_Data[[#This Row],[PercentSalaryHike]]&lt;=13,1,IF(HR_Data[[#This Row],[PercentSalaryHike]]&lt;=16,2,IF(HR_Data[[#This Row],[PercentSalaryHike]]&lt;=19,3,4)))</f>
        <v>1</v>
      </c>
      <c r="AQ854" s="1" t="str">
        <f>IF(HR_Data[[#This Row],[DistanceFromHome]]&lt;=5,"1 to 5",IF(HR_Data[[#This Row],[DistanceFromHome]]&lt;=10,"6 to 10",IF(HR_Data[[#This Row],[DistanceFromHome]]&lt;=20,"11 to 20","21 to 29")))</f>
        <v>6 to 10</v>
      </c>
      <c r="AR854" s="1">
        <f>IF(HR_Data[[#This Row],[DistanceFromHome]]&lt;=5,1,IF(HR_Data[[#This Row],[DistanceFromHome]]&lt;=10,2,IF(HR_Data[[#This Row],[DistanceFromHome]]&lt;=20,3,4)))</f>
        <v>2</v>
      </c>
      <c r="AS854" s="1" t="str">
        <f>IF(HR_Data[[#This Row],[TotalWorkingYears]]&lt;=5,"0-5 Yrs",IF(HR_Data[[#This Row],[TotalWorkingYears]]&lt;=10,"6-10 Yrs",IF(HR_Data[[#This Row],[TotalWorkingYears]]&lt;=20,"11-20 Yrs","20+ Yrs")))</f>
        <v>6-10 Yrs</v>
      </c>
      <c r="AT854" s="1">
        <f>IF(HR_Data[[#This Row],[TotalWorkingYears]]&lt;=5,1,IF(HR_Data[[#This Row],[TotalWorkingYears]]&lt;=10,2,IF(HR_Data[[#This Row],[TotalWorkingYears]]&lt;=20,3,4)))</f>
        <v>2</v>
      </c>
    </row>
    <row r="855" spans="1:46" x14ac:dyDescent="0.25">
      <c r="A855">
        <v>19</v>
      </c>
      <c r="B855" t="s">
        <v>36</v>
      </c>
      <c r="C855" t="s">
        <v>30</v>
      </c>
      <c r="D855" t="s">
        <v>38</v>
      </c>
      <c r="E855">
        <v>9</v>
      </c>
      <c r="F855">
        <v>2</v>
      </c>
      <c r="G855" t="s">
        <v>32</v>
      </c>
      <c r="H855">
        <v>1193</v>
      </c>
      <c r="I855">
        <v>3</v>
      </c>
      <c r="J855" t="s">
        <v>39</v>
      </c>
      <c r="K855">
        <v>3</v>
      </c>
      <c r="L855">
        <v>1</v>
      </c>
      <c r="M855" t="s">
        <v>40</v>
      </c>
      <c r="N855">
        <v>1</v>
      </c>
      <c r="O855" t="s">
        <v>35</v>
      </c>
      <c r="P855">
        <v>2552</v>
      </c>
      <c r="Q855">
        <v>1</v>
      </c>
      <c r="R855" t="s">
        <v>36</v>
      </c>
      <c r="S855">
        <v>25</v>
      </c>
      <c r="T855">
        <v>4</v>
      </c>
      <c r="U855">
        <v>3</v>
      </c>
      <c r="V855">
        <v>0</v>
      </c>
      <c r="W855">
        <v>1</v>
      </c>
      <c r="X855">
        <v>4</v>
      </c>
      <c r="Y855">
        <v>3</v>
      </c>
      <c r="Z855">
        <v>1</v>
      </c>
      <c r="AA855">
        <v>1</v>
      </c>
      <c r="AB855">
        <v>0</v>
      </c>
      <c r="AC855">
        <v>0</v>
      </c>
      <c r="AD855">
        <f>IF(HR_Data[[#This Row],[Attrition]]="Yes",1,0)</f>
        <v>0</v>
      </c>
      <c r="AE855" t="str">
        <f>IF(HR_Data[[#This Row],[Age]]&lt;=25,"18-25",IF(HR_Data[[#This Row],[Age]]&lt;=35,"26-35",IF(HR_Data[[#This Row],[Age]]&lt;=45,"36-45",IF(HR_Data[[#This Row],[Age]]&lt;=55,"46-55","55+"))))</f>
        <v>18-25</v>
      </c>
      <c r="AF855">
        <f>IF(HR_Data[[#This Row],[Age]]&lt;=25,1,IF(HR_Data[[#This Row],[Age]]&lt;=35,2,IF(HR_Data[[#This Row],[Age]]&lt;=45,3,IF(HR_Data[[#This Row],[Age]]&lt;=55,4,5))))</f>
        <v>1</v>
      </c>
      <c r="AG855" s="1" t="str">
        <f>IF(HR_Data[[#This Row],[MonthlyIncome]]&lt;3000,"&lt;3K",IF(HR_Data[[#This Row],[MonthlyIncome]]&lt;6000,"3K-6K",IF(HR_Data[[#This Row],[MonthlyIncome]]&lt;10000,"6K-10K","10K+")))</f>
        <v>&lt;3K</v>
      </c>
      <c r="AH855" s="1">
        <f>IF(HR_Data[[#This Row],[MonthlyIncome]]&lt;3000,1,IF(HR_Data[[#This Row],[MonthlyIncome]]&lt;6000,2,IF(HR_Data[[#This Row],[MonthlyIncome]]&lt;10000,3,4)))</f>
        <v>1</v>
      </c>
      <c r="AI855" s="1" t="str">
        <f>IF(HR_Data[[#This Row],[YearsAtCompany]]&lt;=2,"0-2 Yrs",IF(HR_Data[[#This Row],[YearsAtCompany]]&lt;=5,"3-5 Yrs",IF(HR_Data[[#This Row],[YearsAtCompany]]&lt;=10,"6-10 Yrs","10+ Yrs")))</f>
        <v>0-2 Yrs</v>
      </c>
      <c r="AJ855" s="1">
        <f>IF(HR_Data[[#This Row],[YearsAtCompany]]&lt;=2,1,IF(HR_Data[[#This Row],[YearsAtCompany]]&lt;=5,2,IF(HR_Data[[#This Row],[YearsAtCompany]]&lt;=10,3,4)))</f>
        <v>1</v>
      </c>
      <c r="AK855" s="1" t="str">
        <f>CHOOSE(HR_Data[[#This Row],[Education]],"Below College","College","Bachelor","Master","Doctor")</f>
        <v>College</v>
      </c>
      <c r="AL855" s="1" t="str">
        <f>CHOOSE(HR_Data[[#This Row],[JobSatisfaction]],"Low","Medium","High","Very High")</f>
        <v>Low</v>
      </c>
      <c r="AM855" s="1" t="str">
        <f>CHOOSE(HR_Data[[#This Row],[EnvironmentSatisfaction]],"Low","Medium","High","Very High")</f>
        <v>High</v>
      </c>
      <c r="AN855" s="1" t="str">
        <f>CHOOSE(HR_Data[[#This Row],[WorkLifeBalance]],"Bad","Good","Better","Best")</f>
        <v>Better</v>
      </c>
      <c r="AO855" s="1" t="str">
        <f>IF(HR_Data[[#This Row],[PercentSalaryHike]]&lt;=13,"11-13%",IF(HR_Data[[#This Row],[PercentSalaryHike]]&lt;=16,"14-16%",IF(HR_Data[[#This Row],[PercentSalaryHike]]&lt;=19,"17-19%","20-25%")))</f>
        <v>20-25%</v>
      </c>
      <c r="AP855" s="1">
        <f>IF(HR_Data[[#This Row],[PercentSalaryHike]]&lt;=13,1,IF(HR_Data[[#This Row],[PercentSalaryHike]]&lt;=16,2,IF(HR_Data[[#This Row],[PercentSalaryHike]]&lt;=19,3,4)))</f>
        <v>4</v>
      </c>
      <c r="AQ855" s="1" t="str">
        <f>IF(HR_Data[[#This Row],[DistanceFromHome]]&lt;=5,"1 to 5",IF(HR_Data[[#This Row],[DistanceFromHome]]&lt;=10,"6 to 10",IF(HR_Data[[#This Row],[DistanceFromHome]]&lt;=20,"11 to 20","21 to 29")))</f>
        <v>6 to 10</v>
      </c>
      <c r="AR855" s="1">
        <f>IF(HR_Data[[#This Row],[DistanceFromHome]]&lt;=5,1,IF(HR_Data[[#This Row],[DistanceFromHome]]&lt;=10,2,IF(HR_Data[[#This Row],[DistanceFromHome]]&lt;=20,3,4)))</f>
        <v>2</v>
      </c>
      <c r="AS855" s="1" t="str">
        <f>IF(HR_Data[[#This Row],[TotalWorkingYears]]&lt;=5,"0-5 Yrs",IF(HR_Data[[#This Row],[TotalWorkingYears]]&lt;=10,"6-10 Yrs",IF(HR_Data[[#This Row],[TotalWorkingYears]]&lt;=20,"11-20 Yrs","20+ Yrs")))</f>
        <v>0-5 Yrs</v>
      </c>
      <c r="AT855" s="1">
        <f>IF(HR_Data[[#This Row],[TotalWorkingYears]]&lt;=5,1,IF(HR_Data[[#This Row],[TotalWorkingYears]]&lt;=10,2,IF(HR_Data[[#This Row],[TotalWorkingYears]]&lt;=20,3,4)))</f>
        <v>1</v>
      </c>
    </row>
    <row r="856" spans="1:46" x14ac:dyDescent="0.25">
      <c r="A856">
        <v>45</v>
      </c>
      <c r="B856" t="s">
        <v>36</v>
      </c>
      <c r="C856" t="s">
        <v>30</v>
      </c>
      <c r="D856" t="s">
        <v>38</v>
      </c>
      <c r="E856">
        <v>7</v>
      </c>
      <c r="F856">
        <v>3</v>
      </c>
      <c r="G856" t="s">
        <v>44</v>
      </c>
      <c r="H856">
        <v>1195</v>
      </c>
      <c r="I856">
        <v>1</v>
      </c>
      <c r="J856" t="s">
        <v>33</v>
      </c>
      <c r="K856">
        <v>3</v>
      </c>
      <c r="L856">
        <v>1</v>
      </c>
      <c r="M856" t="s">
        <v>40</v>
      </c>
      <c r="N856">
        <v>3</v>
      </c>
      <c r="O856" t="s">
        <v>41</v>
      </c>
      <c r="P856">
        <v>4477</v>
      </c>
      <c r="Q856">
        <v>4</v>
      </c>
      <c r="R856" t="s">
        <v>29</v>
      </c>
      <c r="S856">
        <v>19</v>
      </c>
      <c r="T856">
        <v>3</v>
      </c>
      <c r="U856">
        <v>3</v>
      </c>
      <c r="V856">
        <v>1</v>
      </c>
      <c r="W856">
        <v>7</v>
      </c>
      <c r="X856">
        <v>2</v>
      </c>
      <c r="Y856">
        <v>2</v>
      </c>
      <c r="Z856">
        <v>3</v>
      </c>
      <c r="AA856">
        <v>2</v>
      </c>
      <c r="AB856">
        <v>0</v>
      </c>
      <c r="AC856">
        <v>2</v>
      </c>
      <c r="AD856">
        <f>IF(HR_Data[[#This Row],[Attrition]]="Yes",1,0)</f>
        <v>0</v>
      </c>
      <c r="AE856" t="str">
        <f>IF(HR_Data[[#This Row],[Age]]&lt;=25,"18-25",IF(HR_Data[[#This Row],[Age]]&lt;=35,"26-35",IF(HR_Data[[#This Row],[Age]]&lt;=45,"36-45",IF(HR_Data[[#This Row],[Age]]&lt;=55,"46-55","55+"))))</f>
        <v>36-45</v>
      </c>
      <c r="AF856">
        <f>IF(HR_Data[[#This Row],[Age]]&lt;=25,1,IF(HR_Data[[#This Row],[Age]]&lt;=35,2,IF(HR_Data[[#This Row],[Age]]&lt;=45,3,IF(HR_Data[[#This Row],[Age]]&lt;=55,4,5))))</f>
        <v>3</v>
      </c>
      <c r="AG856" s="1" t="str">
        <f>IF(HR_Data[[#This Row],[MonthlyIncome]]&lt;3000,"&lt;3K",IF(HR_Data[[#This Row],[MonthlyIncome]]&lt;6000,"3K-6K",IF(HR_Data[[#This Row],[MonthlyIncome]]&lt;10000,"6K-10K","10K+")))</f>
        <v>3K-6K</v>
      </c>
      <c r="AH856" s="1">
        <f>IF(HR_Data[[#This Row],[MonthlyIncome]]&lt;3000,1,IF(HR_Data[[#This Row],[MonthlyIncome]]&lt;6000,2,IF(HR_Data[[#This Row],[MonthlyIncome]]&lt;10000,3,4)))</f>
        <v>2</v>
      </c>
      <c r="AI856" s="1" t="str">
        <f>IF(HR_Data[[#This Row],[YearsAtCompany]]&lt;=2,"0-2 Yrs",IF(HR_Data[[#This Row],[YearsAtCompany]]&lt;=5,"3-5 Yrs",IF(HR_Data[[#This Row],[YearsAtCompany]]&lt;=10,"6-10 Yrs","10+ Yrs")))</f>
        <v>3-5 Yrs</v>
      </c>
      <c r="AJ856" s="1">
        <f>IF(HR_Data[[#This Row],[YearsAtCompany]]&lt;=2,1,IF(HR_Data[[#This Row],[YearsAtCompany]]&lt;=5,2,IF(HR_Data[[#This Row],[YearsAtCompany]]&lt;=10,3,4)))</f>
        <v>2</v>
      </c>
      <c r="AK856" s="1" t="str">
        <f>CHOOSE(HR_Data[[#This Row],[Education]],"Below College","College","Bachelor","Master","Doctor")</f>
        <v>Bachelor</v>
      </c>
      <c r="AL856" s="1" t="str">
        <f>CHOOSE(HR_Data[[#This Row],[JobSatisfaction]],"Low","Medium","High","Very High")</f>
        <v>High</v>
      </c>
      <c r="AM856" s="1" t="str">
        <f>CHOOSE(HR_Data[[#This Row],[EnvironmentSatisfaction]],"Low","Medium","High","Very High")</f>
        <v>Low</v>
      </c>
      <c r="AN856" s="1" t="str">
        <f>CHOOSE(HR_Data[[#This Row],[WorkLifeBalance]],"Bad","Good","Better","Best")</f>
        <v>Good</v>
      </c>
      <c r="AO856" s="1" t="str">
        <f>IF(HR_Data[[#This Row],[PercentSalaryHike]]&lt;=13,"11-13%",IF(HR_Data[[#This Row],[PercentSalaryHike]]&lt;=16,"14-16%",IF(HR_Data[[#This Row],[PercentSalaryHike]]&lt;=19,"17-19%","20-25%")))</f>
        <v>17-19%</v>
      </c>
      <c r="AP856" s="1">
        <f>IF(HR_Data[[#This Row],[PercentSalaryHike]]&lt;=13,1,IF(HR_Data[[#This Row],[PercentSalaryHike]]&lt;=16,2,IF(HR_Data[[#This Row],[PercentSalaryHike]]&lt;=19,3,4)))</f>
        <v>3</v>
      </c>
      <c r="AQ856" s="1" t="str">
        <f>IF(HR_Data[[#This Row],[DistanceFromHome]]&lt;=5,"1 to 5",IF(HR_Data[[#This Row],[DistanceFromHome]]&lt;=10,"6 to 10",IF(HR_Data[[#This Row],[DistanceFromHome]]&lt;=20,"11 to 20","21 to 29")))</f>
        <v>6 to 10</v>
      </c>
      <c r="AR856" s="1">
        <f>IF(HR_Data[[#This Row],[DistanceFromHome]]&lt;=5,1,IF(HR_Data[[#This Row],[DistanceFromHome]]&lt;=10,2,IF(HR_Data[[#This Row],[DistanceFromHome]]&lt;=20,3,4)))</f>
        <v>2</v>
      </c>
      <c r="AS856" s="1" t="str">
        <f>IF(HR_Data[[#This Row],[TotalWorkingYears]]&lt;=5,"0-5 Yrs",IF(HR_Data[[#This Row],[TotalWorkingYears]]&lt;=10,"6-10 Yrs",IF(HR_Data[[#This Row],[TotalWorkingYears]]&lt;=20,"11-20 Yrs","20+ Yrs")))</f>
        <v>6-10 Yrs</v>
      </c>
      <c r="AT856" s="1">
        <f>IF(HR_Data[[#This Row],[TotalWorkingYears]]&lt;=5,1,IF(HR_Data[[#This Row],[TotalWorkingYears]]&lt;=10,2,IF(HR_Data[[#This Row],[TotalWorkingYears]]&lt;=20,3,4)))</f>
        <v>2</v>
      </c>
    </row>
    <row r="857" spans="1:46" x14ac:dyDescent="0.25">
      <c r="A857">
        <v>37</v>
      </c>
      <c r="B857" t="s">
        <v>36</v>
      </c>
      <c r="C857" t="s">
        <v>30</v>
      </c>
      <c r="D857" t="s">
        <v>38</v>
      </c>
      <c r="E857">
        <v>1</v>
      </c>
      <c r="F857">
        <v>3</v>
      </c>
      <c r="G857" t="s">
        <v>32</v>
      </c>
      <c r="H857">
        <v>1196</v>
      </c>
      <c r="I857">
        <v>4</v>
      </c>
      <c r="J857" t="s">
        <v>33</v>
      </c>
      <c r="K857">
        <v>2</v>
      </c>
      <c r="L857">
        <v>2</v>
      </c>
      <c r="M857" t="s">
        <v>46</v>
      </c>
      <c r="N857">
        <v>4</v>
      </c>
      <c r="O857" t="s">
        <v>41</v>
      </c>
      <c r="P857">
        <v>6474</v>
      </c>
      <c r="Q857">
        <v>1</v>
      </c>
      <c r="R857" t="s">
        <v>36</v>
      </c>
      <c r="S857">
        <v>13</v>
      </c>
      <c r="T857">
        <v>3</v>
      </c>
      <c r="U857">
        <v>2</v>
      </c>
      <c r="V857">
        <v>1</v>
      </c>
      <c r="W857">
        <v>14</v>
      </c>
      <c r="X857">
        <v>2</v>
      </c>
      <c r="Y857">
        <v>2</v>
      </c>
      <c r="Z857">
        <v>14</v>
      </c>
      <c r="AA857">
        <v>8</v>
      </c>
      <c r="AB857">
        <v>3</v>
      </c>
      <c r="AC857">
        <v>11</v>
      </c>
      <c r="AD857">
        <f>IF(HR_Data[[#This Row],[Attrition]]="Yes",1,0)</f>
        <v>0</v>
      </c>
      <c r="AE857" t="str">
        <f>IF(HR_Data[[#This Row],[Age]]&lt;=25,"18-25",IF(HR_Data[[#This Row],[Age]]&lt;=35,"26-35",IF(HR_Data[[#This Row],[Age]]&lt;=45,"36-45",IF(HR_Data[[#This Row],[Age]]&lt;=55,"46-55","55+"))))</f>
        <v>36-45</v>
      </c>
      <c r="AF857">
        <f>IF(HR_Data[[#This Row],[Age]]&lt;=25,1,IF(HR_Data[[#This Row],[Age]]&lt;=35,2,IF(HR_Data[[#This Row],[Age]]&lt;=45,3,IF(HR_Data[[#This Row],[Age]]&lt;=55,4,5))))</f>
        <v>3</v>
      </c>
      <c r="AG857" s="1" t="str">
        <f>IF(HR_Data[[#This Row],[MonthlyIncome]]&lt;3000,"&lt;3K",IF(HR_Data[[#This Row],[MonthlyIncome]]&lt;6000,"3K-6K",IF(HR_Data[[#This Row],[MonthlyIncome]]&lt;10000,"6K-10K","10K+")))</f>
        <v>6K-10K</v>
      </c>
      <c r="AH857" s="1">
        <f>IF(HR_Data[[#This Row],[MonthlyIncome]]&lt;3000,1,IF(HR_Data[[#This Row],[MonthlyIncome]]&lt;6000,2,IF(HR_Data[[#This Row],[MonthlyIncome]]&lt;10000,3,4)))</f>
        <v>3</v>
      </c>
      <c r="AI857" s="1" t="str">
        <f>IF(HR_Data[[#This Row],[YearsAtCompany]]&lt;=2,"0-2 Yrs",IF(HR_Data[[#This Row],[YearsAtCompany]]&lt;=5,"3-5 Yrs",IF(HR_Data[[#This Row],[YearsAtCompany]]&lt;=10,"6-10 Yrs","10+ Yrs")))</f>
        <v>10+ Yrs</v>
      </c>
      <c r="AJ857" s="1">
        <f>IF(HR_Data[[#This Row],[YearsAtCompany]]&lt;=2,1,IF(HR_Data[[#This Row],[YearsAtCompany]]&lt;=5,2,IF(HR_Data[[#This Row],[YearsAtCompany]]&lt;=10,3,4)))</f>
        <v>4</v>
      </c>
      <c r="AK857" s="1" t="str">
        <f>CHOOSE(HR_Data[[#This Row],[Education]],"Below College","College","Bachelor","Master","Doctor")</f>
        <v>Bachelor</v>
      </c>
      <c r="AL857" s="1" t="str">
        <f>CHOOSE(HR_Data[[#This Row],[JobSatisfaction]],"Low","Medium","High","Very High")</f>
        <v>Very High</v>
      </c>
      <c r="AM857" s="1" t="str">
        <f>CHOOSE(HR_Data[[#This Row],[EnvironmentSatisfaction]],"Low","Medium","High","Very High")</f>
        <v>Very High</v>
      </c>
      <c r="AN857" s="1" t="str">
        <f>CHOOSE(HR_Data[[#This Row],[WorkLifeBalance]],"Bad","Good","Better","Best")</f>
        <v>Good</v>
      </c>
      <c r="AO857" s="1" t="str">
        <f>IF(HR_Data[[#This Row],[PercentSalaryHike]]&lt;=13,"11-13%",IF(HR_Data[[#This Row],[PercentSalaryHike]]&lt;=16,"14-16%",IF(HR_Data[[#This Row],[PercentSalaryHike]]&lt;=19,"17-19%","20-25%")))</f>
        <v>11-13%</v>
      </c>
      <c r="AP857" s="1">
        <f>IF(HR_Data[[#This Row],[PercentSalaryHike]]&lt;=13,1,IF(HR_Data[[#This Row],[PercentSalaryHike]]&lt;=16,2,IF(HR_Data[[#This Row],[PercentSalaryHike]]&lt;=19,3,4)))</f>
        <v>1</v>
      </c>
      <c r="AQ857" s="1" t="str">
        <f>IF(HR_Data[[#This Row],[DistanceFromHome]]&lt;=5,"1 to 5",IF(HR_Data[[#This Row],[DistanceFromHome]]&lt;=10,"6 to 10",IF(HR_Data[[#This Row],[DistanceFromHome]]&lt;=20,"11 to 20","21 to 29")))</f>
        <v>1 to 5</v>
      </c>
      <c r="AR857" s="1">
        <f>IF(HR_Data[[#This Row],[DistanceFromHome]]&lt;=5,1,IF(HR_Data[[#This Row],[DistanceFromHome]]&lt;=10,2,IF(HR_Data[[#This Row],[DistanceFromHome]]&lt;=20,3,4)))</f>
        <v>1</v>
      </c>
      <c r="AS857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857" s="1">
        <f>IF(HR_Data[[#This Row],[TotalWorkingYears]]&lt;=5,1,IF(HR_Data[[#This Row],[TotalWorkingYears]]&lt;=10,2,IF(HR_Data[[#This Row],[TotalWorkingYears]]&lt;=20,3,4)))</f>
        <v>3</v>
      </c>
    </row>
    <row r="858" spans="1:46" x14ac:dyDescent="0.25">
      <c r="A858">
        <v>20</v>
      </c>
      <c r="B858" t="s">
        <v>36</v>
      </c>
      <c r="C858" t="s">
        <v>30</v>
      </c>
      <c r="D858" t="s">
        <v>38</v>
      </c>
      <c r="E858">
        <v>3</v>
      </c>
      <c r="F858">
        <v>3</v>
      </c>
      <c r="G858" t="s">
        <v>32</v>
      </c>
      <c r="H858">
        <v>1198</v>
      </c>
      <c r="I858">
        <v>1</v>
      </c>
      <c r="J858" t="s">
        <v>39</v>
      </c>
      <c r="K858">
        <v>2</v>
      </c>
      <c r="L858">
        <v>1</v>
      </c>
      <c r="M858" t="s">
        <v>43</v>
      </c>
      <c r="N858">
        <v>3</v>
      </c>
      <c r="O858" t="s">
        <v>35</v>
      </c>
      <c r="P858">
        <v>3033</v>
      </c>
      <c r="Q858">
        <v>1</v>
      </c>
      <c r="R858" t="s">
        <v>36</v>
      </c>
      <c r="S858">
        <v>12</v>
      </c>
      <c r="T858">
        <v>3</v>
      </c>
      <c r="U858">
        <v>1</v>
      </c>
      <c r="V858">
        <v>0</v>
      </c>
      <c r="W858">
        <v>2</v>
      </c>
      <c r="X858">
        <v>2</v>
      </c>
      <c r="Y858">
        <v>2</v>
      </c>
      <c r="Z858">
        <v>2</v>
      </c>
      <c r="AA858">
        <v>2</v>
      </c>
      <c r="AB858">
        <v>1</v>
      </c>
      <c r="AC858">
        <v>2</v>
      </c>
      <c r="AD858">
        <f>IF(HR_Data[[#This Row],[Attrition]]="Yes",1,0)</f>
        <v>0</v>
      </c>
      <c r="AE858" t="str">
        <f>IF(HR_Data[[#This Row],[Age]]&lt;=25,"18-25",IF(HR_Data[[#This Row],[Age]]&lt;=35,"26-35",IF(HR_Data[[#This Row],[Age]]&lt;=45,"36-45",IF(HR_Data[[#This Row],[Age]]&lt;=55,"46-55","55+"))))</f>
        <v>18-25</v>
      </c>
      <c r="AF858">
        <f>IF(HR_Data[[#This Row],[Age]]&lt;=25,1,IF(HR_Data[[#This Row],[Age]]&lt;=35,2,IF(HR_Data[[#This Row],[Age]]&lt;=45,3,IF(HR_Data[[#This Row],[Age]]&lt;=55,4,5))))</f>
        <v>1</v>
      </c>
      <c r="AG858" s="1" t="str">
        <f>IF(HR_Data[[#This Row],[MonthlyIncome]]&lt;3000,"&lt;3K",IF(HR_Data[[#This Row],[MonthlyIncome]]&lt;6000,"3K-6K",IF(HR_Data[[#This Row],[MonthlyIncome]]&lt;10000,"6K-10K","10K+")))</f>
        <v>3K-6K</v>
      </c>
      <c r="AH858" s="1">
        <f>IF(HR_Data[[#This Row],[MonthlyIncome]]&lt;3000,1,IF(HR_Data[[#This Row],[MonthlyIncome]]&lt;6000,2,IF(HR_Data[[#This Row],[MonthlyIncome]]&lt;10000,3,4)))</f>
        <v>2</v>
      </c>
      <c r="AI858" s="1" t="str">
        <f>IF(HR_Data[[#This Row],[YearsAtCompany]]&lt;=2,"0-2 Yrs",IF(HR_Data[[#This Row],[YearsAtCompany]]&lt;=5,"3-5 Yrs",IF(HR_Data[[#This Row],[YearsAtCompany]]&lt;=10,"6-10 Yrs","10+ Yrs")))</f>
        <v>0-2 Yrs</v>
      </c>
      <c r="AJ858" s="1">
        <f>IF(HR_Data[[#This Row],[YearsAtCompany]]&lt;=2,1,IF(HR_Data[[#This Row],[YearsAtCompany]]&lt;=5,2,IF(HR_Data[[#This Row],[YearsAtCompany]]&lt;=10,3,4)))</f>
        <v>1</v>
      </c>
      <c r="AK858" s="1" t="str">
        <f>CHOOSE(HR_Data[[#This Row],[Education]],"Below College","College","Bachelor","Master","Doctor")</f>
        <v>Bachelor</v>
      </c>
      <c r="AL858" s="1" t="str">
        <f>CHOOSE(HR_Data[[#This Row],[JobSatisfaction]],"Low","Medium","High","Very High")</f>
        <v>High</v>
      </c>
      <c r="AM858" s="1" t="str">
        <f>CHOOSE(HR_Data[[#This Row],[EnvironmentSatisfaction]],"Low","Medium","High","Very High")</f>
        <v>Low</v>
      </c>
      <c r="AN858" s="1" t="str">
        <f>CHOOSE(HR_Data[[#This Row],[WorkLifeBalance]],"Bad","Good","Better","Best")</f>
        <v>Good</v>
      </c>
      <c r="AO858" s="1" t="str">
        <f>IF(HR_Data[[#This Row],[PercentSalaryHike]]&lt;=13,"11-13%",IF(HR_Data[[#This Row],[PercentSalaryHike]]&lt;=16,"14-16%",IF(HR_Data[[#This Row],[PercentSalaryHike]]&lt;=19,"17-19%","20-25%")))</f>
        <v>11-13%</v>
      </c>
      <c r="AP858" s="1">
        <f>IF(HR_Data[[#This Row],[PercentSalaryHike]]&lt;=13,1,IF(HR_Data[[#This Row],[PercentSalaryHike]]&lt;=16,2,IF(HR_Data[[#This Row],[PercentSalaryHike]]&lt;=19,3,4)))</f>
        <v>1</v>
      </c>
      <c r="AQ858" s="1" t="str">
        <f>IF(HR_Data[[#This Row],[DistanceFromHome]]&lt;=5,"1 to 5",IF(HR_Data[[#This Row],[DistanceFromHome]]&lt;=10,"6 to 10",IF(HR_Data[[#This Row],[DistanceFromHome]]&lt;=20,"11 to 20","21 to 29")))</f>
        <v>1 to 5</v>
      </c>
      <c r="AR858" s="1">
        <f>IF(HR_Data[[#This Row],[DistanceFromHome]]&lt;=5,1,IF(HR_Data[[#This Row],[DistanceFromHome]]&lt;=10,2,IF(HR_Data[[#This Row],[DistanceFromHome]]&lt;=20,3,4)))</f>
        <v>1</v>
      </c>
      <c r="AS858" s="1" t="str">
        <f>IF(HR_Data[[#This Row],[TotalWorkingYears]]&lt;=5,"0-5 Yrs",IF(HR_Data[[#This Row],[TotalWorkingYears]]&lt;=10,"6-10 Yrs",IF(HR_Data[[#This Row],[TotalWorkingYears]]&lt;=20,"11-20 Yrs","20+ Yrs")))</f>
        <v>0-5 Yrs</v>
      </c>
      <c r="AT858" s="1">
        <f>IF(HR_Data[[#This Row],[TotalWorkingYears]]&lt;=5,1,IF(HR_Data[[#This Row],[TotalWorkingYears]]&lt;=10,2,IF(HR_Data[[#This Row],[TotalWorkingYears]]&lt;=20,3,4)))</f>
        <v>1</v>
      </c>
    </row>
    <row r="859" spans="1:46" x14ac:dyDescent="0.25">
      <c r="A859">
        <v>44</v>
      </c>
      <c r="B859" t="s">
        <v>29</v>
      </c>
      <c r="C859" t="s">
        <v>30</v>
      </c>
      <c r="D859" t="s">
        <v>38</v>
      </c>
      <c r="E859">
        <v>10</v>
      </c>
      <c r="F859">
        <v>4</v>
      </c>
      <c r="G859" t="s">
        <v>32</v>
      </c>
      <c r="H859">
        <v>1200</v>
      </c>
      <c r="I859">
        <v>3</v>
      </c>
      <c r="J859" t="s">
        <v>39</v>
      </c>
      <c r="K859">
        <v>3</v>
      </c>
      <c r="L859">
        <v>1</v>
      </c>
      <c r="M859" t="s">
        <v>40</v>
      </c>
      <c r="N859">
        <v>3</v>
      </c>
      <c r="O859" t="s">
        <v>35</v>
      </c>
      <c r="P859">
        <v>2936</v>
      </c>
      <c r="Q859">
        <v>1</v>
      </c>
      <c r="R859" t="s">
        <v>29</v>
      </c>
      <c r="S859">
        <v>11</v>
      </c>
      <c r="T859">
        <v>3</v>
      </c>
      <c r="U859">
        <v>3</v>
      </c>
      <c r="V859">
        <v>0</v>
      </c>
      <c r="W859">
        <v>6</v>
      </c>
      <c r="X859">
        <v>4</v>
      </c>
      <c r="Y859">
        <v>3</v>
      </c>
      <c r="Z859">
        <v>6</v>
      </c>
      <c r="AA859">
        <v>4</v>
      </c>
      <c r="AB859">
        <v>0</v>
      </c>
      <c r="AC859">
        <v>2</v>
      </c>
      <c r="AD859">
        <f>IF(HR_Data[[#This Row],[Attrition]]="Yes",1,0)</f>
        <v>1</v>
      </c>
      <c r="AE859" t="str">
        <f>IF(HR_Data[[#This Row],[Age]]&lt;=25,"18-25",IF(HR_Data[[#This Row],[Age]]&lt;=35,"26-35",IF(HR_Data[[#This Row],[Age]]&lt;=45,"36-45",IF(HR_Data[[#This Row],[Age]]&lt;=55,"46-55","55+"))))</f>
        <v>36-45</v>
      </c>
      <c r="AF859">
        <f>IF(HR_Data[[#This Row],[Age]]&lt;=25,1,IF(HR_Data[[#This Row],[Age]]&lt;=35,2,IF(HR_Data[[#This Row],[Age]]&lt;=45,3,IF(HR_Data[[#This Row],[Age]]&lt;=55,4,5))))</f>
        <v>3</v>
      </c>
      <c r="AG859" s="1" t="str">
        <f>IF(HR_Data[[#This Row],[MonthlyIncome]]&lt;3000,"&lt;3K",IF(HR_Data[[#This Row],[MonthlyIncome]]&lt;6000,"3K-6K",IF(HR_Data[[#This Row],[MonthlyIncome]]&lt;10000,"6K-10K","10K+")))</f>
        <v>&lt;3K</v>
      </c>
      <c r="AH859" s="1">
        <f>IF(HR_Data[[#This Row],[MonthlyIncome]]&lt;3000,1,IF(HR_Data[[#This Row],[MonthlyIncome]]&lt;6000,2,IF(HR_Data[[#This Row],[MonthlyIncome]]&lt;10000,3,4)))</f>
        <v>1</v>
      </c>
      <c r="AI859" s="1" t="str">
        <f>IF(HR_Data[[#This Row],[YearsAtCompany]]&lt;=2,"0-2 Yrs",IF(HR_Data[[#This Row],[YearsAtCompany]]&lt;=5,"3-5 Yrs",IF(HR_Data[[#This Row],[YearsAtCompany]]&lt;=10,"6-10 Yrs","10+ Yrs")))</f>
        <v>6-10 Yrs</v>
      </c>
      <c r="AJ859" s="1">
        <f>IF(HR_Data[[#This Row],[YearsAtCompany]]&lt;=2,1,IF(HR_Data[[#This Row],[YearsAtCompany]]&lt;=5,2,IF(HR_Data[[#This Row],[YearsAtCompany]]&lt;=10,3,4)))</f>
        <v>3</v>
      </c>
      <c r="AK859" s="1" t="str">
        <f>CHOOSE(HR_Data[[#This Row],[Education]],"Below College","College","Bachelor","Master","Doctor")</f>
        <v>Master</v>
      </c>
      <c r="AL859" s="1" t="str">
        <f>CHOOSE(HR_Data[[#This Row],[JobSatisfaction]],"Low","Medium","High","Very High")</f>
        <v>High</v>
      </c>
      <c r="AM859" s="1" t="str">
        <f>CHOOSE(HR_Data[[#This Row],[EnvironmentSatisfaction]],"Low","Medium","High","Very High")</f>
        <v>High</v>
      </c>
      <c r="AN859" s="1" t="str">
        <f>CHOOSE(HR_Data[[#This Row],[WorkLifeBalance]],"Bad","Good","Better","Best")</f>
        <v>Better</v>
      </c>
      <c r="AO859" s="1" t="str">
        <f>IF(HR_Data[[#This Row],[PercentSalaryHike]]&lt;=13,"11-13%",IF(HR_Data[[#This Row],[PercentSalaryHike]]&lt;=16,"14-16%",IF(HR_Data[[#This Row],[PercentSalaryHike]]&lt;=19,"17-19%","20-25%")))</f>
        <v>11-13%</v>
      </c>
      <c r="AP859" s="1">
        <f>IF(HR_Data[[#This Row],[PercentSalaryHike]]&lt;=13,1,IF(HR_Data[[#This Row],[PercentSalaryHike]]&lt;=16,2,IF(HR_Data[[#This Row],[PercentSalaryHike]]&lt;=19,3,4)))</f>
        <v>1</v>
      </c>
      <c r="AQ859" s="1" t="str">
        <f>IF(HR_Data[[#This Row],[DistanceFromHome]]&lt;=5,"1 to 5",IF(HR_Data[[#This Row],[DistanceFromHome]]&lt;=10,"6 to 10",IF(HR_Data[[#This Row],[DistanceFromHome]]&lt;=20,"11 to 20","21 to 29")))</f>
        <v>6 to 10</v>
      </c>
      <c r="AR859" s="1">
        <f>IF(HR_Data[[#This Row],[DistanceFromHome]]&lt;=5,1,IF(HR_Data[[#This Row],[DistanceFromHome]]&lt;=10,2,IF(HR_Data[[#This Row],[DistanceFromHome]]&lt;=20,3,4)))</f>
        <v>2</v>
      </c>
      <c r="AS859" s="1" t="str">
        <f>IF(HR_Data[[#This Row],[TotalWorkingYears]]&lt;=5,"0-5 Yrs",IF(HR_Data[[#This Row],[TotalWorkingYears]]&lt;=10,"6-10 Yrs",IF(HR_Data[[#This Row],[TotalWorkingYears]]&lt;=20,"11-20 Yrs","20+ Yrs")))</f>
        <v>6-10 Yrs</v>
      </c>
      <c r="AT859" s="1">
        <f>IF(HR_Data[[#This Row],[TotalWorkingYears]]&lt;=5,1,IF(HR_Data[[#This Row],[TotalWorkingYears]]&lt;=10,2,IF(HR_Data[[#This Row],[TotalWorkingYears]]&lt;=20,3,4)))</f>
        <v>2</v>
      </c>
    </row>
    <row r="860" spans="1:46" x14ac:dyDescent="0.25">
      <c r="A860">
        <v>53</v>
      </c>
      <c r="B860" t="s">
        <v>36</v>
      </c>
      <c r="C860" t="s">
        <v>30</v>
      </c>
      <c r="D860" t="s">
        <v>38</v>
      </c>
      <c r="E860">
        <v>7</v>
      </c>
      <c r="F860">
        <v>2</v>
      </c>
      <c r="G860" t="s">
        <v>44</v>
      </c>
      <c r="H860">
        <v>1201</v>
      </c>
      <c r="I860">
        <v>4</v>
      </c>
      <c r="J860" t="s">
        <v>33</v>
      </c>
      <c r="K860">
        <v>3</v>
      </c>
      <c r="L860">
        <v>5</v>
      </c>
      <c r="M860" t="s">
        <v>49</v>
      </c>
      <c r="N860">
        <v>3</v>
      </c>
      <c r="O860" t="s">
        <v>45</v>
      </c>
      <c r="P860">
        <v>18606</v>
      </c>
      <c r="Q860">
        <v>3</v>
      </c>
      <c r="R860" t="s">
        <v>36</v>
      </c>
      <c r="S860">
        <v>18</v>
      </c>
      <c r="T860">
        <v>3</v>
      </c>
      <c r="U860">
        <v>2</v>
      </c>
      <c r="V860">
        <v>1</v>
      </c>
      <c r="W860">
        <v>26</v>
      </c>
      <c r="X860">
        <v>6</v>
      </c>
      <c r="Y860">
        <v>3</v>
      </c>
      <c r="Z860">
        <v>7</v>
      </c>
      <c r="AA860">
        <v>7</v>
      </c>
      <c r="AB860">
        <v>4</v>
      </c>
      <c r="AC860">
        <v>7</v>
      </c>
      <c r="AD860">
        <f>IF(HR_Data[[#This Row],[Attrition]]="Yes",1,0)</f>
        <v>0</v>
      </c>
      <c r="AE860" t="str">
        <f>IF(HR_Data[[#This Row],[Age]]&lt;=25,"18-25",IF(HR_Data[[#This Row],[Age]]&lt;=35,"26-35",IF(HR_Data[[#This Row],[Age]]&lt;=45,"36-45",IF(HR_Data[[#This Row],[Age]]&lt;=55,"46-55","55+"))))</f>
        <v>46-55</v>
      </c>
      <c r="AF860">
        <f>IF(HR_Data[[#This Row],[Age]]&lt;=25,1,IF(HR_Data[[#This Row],[Age]]&lt;=35,2,IF(HR_Data[[#This Row],[Age]]&lt;=45,3,IF(HR_Data[[#This Row],[Age]]&lt;=55,4,5))))</f>
        <v>4</v>
      </c>
      <c r="AG860" s="1" t="str">
        <f>IF(HR_Data[[#This Row],[MonthlyIncome]]&lt;3000,"&lt;3K",IF(HR_Data[[#This Row],[MonthlyIncome]]&lt;6000,"3K-6K",IF(HR_Data[[#This Row],[MonthlyIncome]]&lt;10000,"6K-10K","10K+")))</f>
        <v>10K+</v>
      </c>
      <c r="AH860" s="1">
        <f>IF(HR_Data[[#This Row],[MonthlyIncome]]&lt;3000,1,IF(HR_Data[[#This Row],[MonthlyIncome]]&lt;6000,2,IF(HR_Data[[#This Row],[MonthlyIncome]]&lt;10000,3,4)))</f>
        <v>4</v>
      </c>
      <c r="AI860" s="1" t="str">
        <f>IF(HR_Data[[#This Row],[YearsAtCompany]]&lt;=2,"0-2 Yrs",IF(HR_Data[[#This Row],[YearsAtCompany]]&lt;=5,"3-5 Yrs",IF(HR_Data[[#This Row],[YearsAtCompany]]&lt;=10,"6-10 Yrs","10+ Yrs")))</f>
        <v>6-10 Yrs</v>
      </c>
      <c r="AJ860" s="1">
        <f>IF(HR_Data[[#This Row],[YearsAtCompany]]&lt;=2,1,IF(HR_Data[[#This Row],[YearsAtCompany]]&lt;=5,2,IF(HR_Data[[#This Row],[YearsAtCompany]]&lt;=10,3,4)))</f>
        <v>3</v>
      </c>
      <c r="AK860" s="1" t="str">
        <f>CHOOSE(HR_Data[[#This Row],[Education]],"Below College","College","Bachelor","Master","Doctor")</f>
        <v>College</v>
      </c>
      <c r="AL860" s="1" t="str">
        <f>CHOOSE(HR_Data[[#This Row],[JobSatisfaction]],"Low","Medium","High","Very High")</f>
        <v>High</v>
      </c>
      <c r="AM860" s="1" t="str">
        <f>CHOOSE(HR_Data[[#This Row],[EnvironmentSatisfaction]],"Low","Medium","High","Very High")</f>
        <v>Very High</v>
      </c>
      <c r="AN860" s="1" t="str">
        <f>CHOOSE(HR_Data[[#This Row],[WorkLifeBalance]],"Bad","Good","Better","Best")</f>
        <v>Better</v>
      </c>
      <c r="AO860" s="1" t="str">
        <f>IF(HR_Data[[#This Row],[PercentSalaryHike]]&lt;=13,"11-13%",IF(HR_Data[[#This Row],[PercentSalaryHike]]&lt;=16,"14-16%",IF(HR_Data[[#This Row],[PercentSalaryHike]]&lt;=19,"17-19%","20-25%")))</f>
        <v>17-19%</v>
      </c>
      <c r="AP860" s="1">
        <f>IF(HR_Data[[#This Row],[PercentSalaryHike]]&lt;=13,1,IF(HR_Data[[#This Row],[PercentSalaryHike]]&lt;=16,2,IF(HR_Data[[#This Row],[PercentSalaryHike]]&lt;=19,3,4)))</f>
        <v>3</v>
      </c>
      <c r="AQ860" s="1" t="str">
        <f>IF(HR_Data[[#This Row],[DistanceFromHome]]&lt;=5,"1 to 5",IF(HR_Data[[#This Row],[DistanceFromHome]]&lt;=10,"6 to 10",IF(HR_Data[[#This Row],[DistanceFromHome]]&lt;=20,"11 to 20","21 to 29")))</f>
        <v>6 to 10</v>
      </c>
      <c r="AR860" s="1">
        <f>IF(HR_Data[[#This Row],[DistanceFromHome]]&lt;=5,1,IF(HR_Data[[#This Row],[DistanceFromHome]]&lt;=10,2,IF(HR_Data[[#This Row],[DistanceFromHome]]&lt;=20,3,4)))</f>
        <v>2</v>
      </c>
      <c r="AS860" s="1" t="str">
        <f>IF(HR_Data[[#This Row],[TotalWorkingYears]]&lt;=5,"0-5 Yrs",IF(HR_Data[[#This Row],[TotalWorkingYears]]&lt;=10,"6-10 Yrs",IF(HR_Data[[#This Row],[TotalWorkingYears]]&lt;=20,"11-20 Yrs","20+ Yrs")))</f>
        <v>20+ Yrs</v>
      </c>
      <c r="AT860" s="1">
        <f>IF(HR_Data[[#This Row],[TotalWorkingYears]]&lt;=5,1,IF(HR_Data[[#This Row],[TotalWorkingYears]]&lt;=10,2,IF(HR_Data[[#This Row],[TotalWorkingYears]]&lt;=20,3,4)))</f>
        <v>4</v>
      </c>
    </row>
    <row r="861" spans="1:46" x14ac:dyDescent="0.25">
      <c r="A861">
        <v>29</v>
      </c>
      <c r="B861" t="s">
        <v>36</v>
      </c>
      <c r="C861" t="s">
        <v>30</v>
      </c>
      <c r="D861" t="s">
        <v>38</v>
      </c>
      <c r="E861">
        <v>15</v>
      </c>
      <c r="F861">
        <v>1</v>
      </c>
      <c r="G861" t="s">
        <v>32</v>
      </c>
      <c r="H861">
        <v>1202</v>
      </c>
      <c r="I861">
        <v>2</v>
      </c>
      <c r="J861" t="s">
        <v>33</v>
      </c>
      <c r="K861">
        <v>1</v>
      </c>
      <c r="L861">
        <v>1</v>
      </c>
      <c r="M861" t="s">
        <v>40</v>
      </c>
      <c r="N861">
        <v>4</v>
      </c>
      <c r="O861" t="s">
        <v>41</v>
      </c>
      <c r="P861">
        <v>2168</v>
      </c>
      <c r="Q861">
        <v>0</v>
      </c>
      <c r="R861" t="s">
        <v>29</v>
      </c>
      <c r="S861">
        <v>18</v>
      </c>
      <c r="T861">
        <v>3</v>
      </c>
      <c r="U861">
        <v>1</v>
      </c>
      <c r="V861">
        <v>1</v>
      </c>
      <c r="W861">
        <v>6</v>
      </c>
      <c r="X861">
        <v>2</v>
      </c>
      <c r="Y861">
        <v>2</v>
      </c>
      <c r="Z861">
        <v>5</v>
      </c>
      <c r="AA861">
        <v>4</v>
      </c>
      <c r="AB861">
        <v>1</v>
      </c>
      <c r="AC861">
        <v>3</v>
      </c>
      <c r="AD861">
        <f>IF(HR_Data[[#This Row],[Attrition]]="Yes",1,0)</f>
        <v>0</v>
      </c>
      <c r="AE861" t="str">
        <f>IF(HR_Data[[#This Row],[Age]]&lt;=25,"18-25",IF(HR_Data[[#This Row],[Age]]&lt;=35,"26-35",IF(HR_Data[[#This Row],[Age]]&lt;=45,"36-45",IF(HR_Data[[#This Row],[Age]]&lt;=55,"46-55","55+"))))</f>
        <v>26-35</v>
      </c>
      <c r="AF861">
        <f>IF(HR_Data[[#This Row],[Age]]&lt;=25,1,IF(HR_Data[[#This Row],[Age]]&lt;=35,2,IF(HR_Data[[#This Row],[Age]]&lt;=45,3,IF(HR_Data[[#This Row],[Age]]&lt;=55,4,5))))</f>
        <v>2</v>
      </c>
      <c r="AG861" s="1" t="str">
        <f>IF(HR_Data[[#This Row],[MonthlyIncome]]&lt;3000,"&lt;3K",IF(HR_Data[[#This Row],[MonthlyIncome]]&lt;6000,"3K-6K",IF(HR_Data[[#This Row],[MonthlyIncome]]&lt;10000,"6K-10K","10K+")))</f>
        <v>&lt;3K</v>
      </c>
      <c r="AH861" s="1">
        <f>IF(HR_Data[[#This Row],[MonthlyIncome]]&lt;3000,1,IF(HR_Data[[#This Row],[MonthlyIncome]]&lt;6000,2,IF(HR_Data[[#This Row],[MonthlyIncome]]&lt;10000,3,4)))</f>
        <v>1</v>
      </c>
      <c r="AI861" s="1" t="str">
        <f>IF(HR_Data[[#This Row],[YearsAtCompany]]&lt;=2,"0-2 Yrs",IF(HR_Data[[#This Row],[YearsAtCompany]]&lt;=5,"3-5 Yrs",IF(HR_Data[[#This Row],[YearsAtCompany]]&lt;=10,"6-10 Yrs","10+ Yrs")))</f>
        <v>3-5 Yrs</v>
      </c>
      <c r="AJ861" s="1">
        <f>IF(HR_Data[[#This Row],[YearsAtCompany]]&lt;=2,1,IF(HR_Data[[#This Row],[YearsAtCompany]]&lt;=5,2,IF(HR_Data[[#This Row],[YearsAtCompany]]&lt;=10,3,4)))</f>
        <v>2</v>
      </c>
      <c r="AK861" s="1" t="str">
        <f>CHOOSE(HR_Data[[#This Row],[Education]],"Below College","College","Bachelor","Master","Doctor")</f>
        <v>Below College</v>
      </c>
      <c r="AL861" s="1" t="str">
        <f>CHOOSE(HR_Data[[#This Row],[JobSatisfaction]],"Low","Medium","High","Very High")</f>
        <v>Very High</v>
      </c>
      <c r="AM861" s="1" t="str">
        <f>CHOOSE(HR_Data[[#This Row],[EnvironmentSatisfaction]],"Low","Medium","High","Very High")</f>
        <v>Medium</v>
      </c>
      <c r="AN861" s="1" t="str">
        <f>CHOOSE(HR_Data[[#This Row],[WorkLifeBalance]],"Bad","Good","Better","Best")</f>
        <v>Good</v>
      </c>
      <c r="AO861" s="1" t="str">
        <f>IF(HR_Data[[#This Row],[PercentSalaryHike]]&lt;=13,"11-13%",IF(HR_Data[[#This Row],[PercentSalaryHike]]&lt;=16,"14-16%",IF(HR_Data[[#This Row],[PercentSalaryHike]]&lt;=19,"17-19%","20-25%")))</f>
        <v>17-19%</v>
      </c>
      <c r="AP861" s="1">
        <f>IF(HR_Data[[#This Row],[PercentSalaryHike]]&lt;=13,1,IF(HR_Data[[#This Row],[PercentSalaryHike]]&lt;=16,2,IF(HR_Data[[#This Row],[PercentSalaryHike]]&lt;=19,3,4)))</f>
        <v>3</v>
      </c>
      <c r="AQ861" s="1" t="str">
        <f>IF(HR_Data[[#This Row],[DistanceFromHome]]&lt;=5,"1 to 5",IF(HR_Data[[#This Row],[DistanceFromHome]]&lt;=10,"6 to 10",IF(HR_Data[[#This Row],[DistanceFromHome]]&lt;=20,"11 to 20","21 to 29")))</f>
        <v>11 to 20</v>
      </c>
      <c r="AR861" s="1">
        <f>IF(HR_Data[[#This Row],[DistanceFromHome]]&lt;=5,1,IF(HR_Data[[#This Row],[DistanceFromHome]]&lt;=10,2,IF(HR_Data[[#This Row],[DistanceFromHome]]&lt;=20,3,4)))</f>
        <v>3</v>
      </c>
      <c r="AS861" s="1" t="str">
        <f>IF(HR_Data[[#This Row],[TotalWorkingYears]]&lt;=5,"0-5 Yrs",IF(HR_Data[[#This Row],[TotalWorkingYears]]&lt;=10,"6-10 Yrs",IF(HR_Data[[#This Row],[TotalWorkingYears]]&lt;=20,"11-20 Yrs","20+ Yrs")))</f>
        <v>6-10 Yrs</v>
      </c>
      <c r="AT861" s="1">
        <f>IF(HR_Data[[#This Row],[TotalWorkingYears]]&lt;=5,1,IF(HR_Data[[#This Row],[TotalWorkingYears]]&lt;=10,2,IF(HR_Data[[#This Row],[TotalWorkingYears]]&lt;=20,3,4)))</f>
        <v>2</v>
      </c>
    </row>
    <row r="862" spans="1:46" x14ac:dyDescent="0.25">
      <c r="A862">
        <v>22</v>
      </c>
      <c r="B862" t="s">
        <v>29</v>
      </c>
      <c r="C862" t="s">
        <v>37</v>
      </c>
      <c r="D862" t="s">
        <v>38</v>
      </c>
      <c r="E862">
        <v>3</v>
      </c>
      <c r="F862">
        <v>4</v>
      </c>
      <c r="G862" t="s">
        <v>32</v>
      </c>
      <c r="H862">
        <v>1203</v>
      </c>
      <c r="I862">
        <v>3</v>
      </c>
      <c r="J862" t="s">
        <v>39</v>
      </c>
      <c r="K862">
        <v>2</v>
      </c>
      <c r="L862">
        <v>1</v>
      </c>
      <c r="M862" t="s">
        <v>40</v>
      </c>
      <c r="N862">
        <v>4</v>
      </c>
      <c r="O862" t="s">
        <v>41</v>
      </c>
      <c r="P862">
        <v>2853</v>
      </c>
      <c r="Q862">
        <v>0</v>
      </c>
      <c r="R862" t="s">
        <v>29</v>
      </c>
      <c r="S862">
        <v>11</v>
      </c>
      <c r="T862">
        <v>3</v>
      </c>
      <c r="U862">
        <v>2</v>
      </c>
      <c r="V862">
        <v>1</v>
      </c>
      <c r="W862">
        <v>1</v>
      </c>
      <c r="X862">
        <v>5</v>
      </c>
      <c r="Y862">
        <v>3</v>
      </c>
      <c r="Z862">
        <v>0</v>
      </c>
      <c r="AA862">
        <v>0</v>
      </c>
      <c r="AB862">
        <v>0</v>
      </c>
      <c r="AC862">
        <v>0</v>
      </c>
      <c r="AD862">
        <f>IF(HR_Data[[#This Row],[Attrition]]="Yes",1,0)</f>
        <v>1</v>
      </c>
      <c r="AE862" t="str">
        <f>IF(HR_Data[[#This Row],[Age]]&lt;=25,"18-25",IF(HR_Data[[#This Row],[Age]]&lt;=35,"26-35",IF(HR_Data[[#This Row],[Age]]&lt;=45,"36-45",IF(HR_Data[[#This Row],[Age]]&lt;=55,"46-55","55+"))))</f>
        <v>18-25</v>
      </c>
      <c r="AF862">
        <f>IF(HR_Data[[#This Row],[Age]]&lt;=25,1,IF(HR_Data[[#This Row],[Age]]&lt;=35,2,IF(HR_Data[[#This Row],[Age]]&lt;=45,3,IF(HR_Data[[#This Row],[Age]]&lt;=55,4,5))))</f>
        <v>1</v>
      </c>
      <c r="AG862" s="1" t="str">
        <f>IF(HR_Data[[#This Row],[MonthlyIncome]]&lt;3000,"&lt;3K",IF(HR_Data[[#This Row],[MonthlyIncome]]&lt;6000,"3K-6K",IF(HR_Data[[#This Row],[MonthlyIncome]]&lt;10000,"6K-10K","10K+")))</f>
        <v>&lt;3K</v>
      </c>
      <c r="AH862" s="1">
        <f>IF(HR_Data[[#This Row],[MonthlyIncome]]&lt;3000,1,IF(HR_Data[[#This Row],[MonthlyIncome]]&lt;6000,2,IF(HR_Data[[#This Row],[MonthlyIncome]]&lt;10000,3,4)))</f>
        <v>1</v>
      </c>
      <c r="AI862" s="1" t="str">
        <f>IF(HR_Data[[#This Row],[YearsAtCompany]]&lt;=2,"0-2 Yrs",IF(HR_Data[[#This Row],[YearsAtCompany]]&lt;=5,"3-5 Yrs",IF(HR_Data[[#This Row],[YearsAtCompany]]&lt;=10,"6-10 Yrs","10+ Yrs")))</f>
        <v>0-2 Yrs</v>
      </c>
      <c r="AJ862" s="1">
        <f>IF(HR_Data[[#This Row],[YearsAtCompany]]&lt;=2,1,IF(HR_Data[[#This Row],[YearsAtCompany]]&lt;=5,2,IF(HR_Data[[#This Row],[YearsAtCompany]]&lt;=10,3,4)))</f>
        <v>1</v>
      </c>
      <c r="AK862" s="1" t="str">
        <f>CHOOSE(HR_Data[[#This Row],[Education]],"Below College","College","Bachelor","Master","Doctor")</f>
        <v>Master</v>
      </c>
      <c r="AL862" s="1" t="str">
        <f>CHOOSE(HR_Data[[#This Row],[JobSatisfaction]],"Low","Medium","High","Very High")</f>
        <v>Very High</v>
      </c>
      <c r="AM862" s="1" t="str">
        <f>CHOOSE(HR_Data[[#This Row],[EnvironmentSatisfaction]],"Low","Medium","High","Very High")</f>
        <v>High</v>
      </c>
      <c r="AN862" s="1" t="str">
        <f>CHOOSE(HR_Data[[#This Row],[WorkLifeBalance]],"Bad","Good","Better","Best")</f>
        <v>Better</v>
      </c>
      <c r="AO862" s="1" t="str">
        <f>IF(HR_Data[[#This Row],[PercentSalaryHike]]&lt;=13,"11-13%",IF(HR_Data[[#This Row],[PercentSalaryHike]]&lt;=16,"14-16%",IF(HR_Data[[#This Row],[PercentSalaryHike]]&lt;=19,"17-19%","20-25%")))</f>
        <v>11-13%</v>
      </c>
      <c r="AP862" s="1">
        <f>IF(HR_Data[[#This Row],[PercentSalaryHike]]&lt;=13,1,IF(HR_Data[[#This Row],[PercentSalaryHike]]&lt;=16,2,IF(HR_Data[[#This Row],[PercentSalaryHike]]&lt;=19,3,4)))</f>
        <v>1</v>
      </c>
      <c r="AQ862" s="1" t="str">
        <f>IF(HR_Data[[#This Row],[DistanceFromHome]]&lt;=5,"1 to 5",IF(HR_Data[[#This Row],[DistanceFromHome]]&lt;=10,"6 to 10",IF(HR_Data[[#This Row],[DistanceFromHome]]&lt;=20,"11 to 20","21 to 29")))</f>
        <v>1 to 5</v>
      </c>
      <c r="AR862" s="1">
        <f>IF(HR_Data[[#This Row],[DistanceFromHome]]&lt;=5,1,IF(HR_Data[[#This Row],[DistanceFromHome]]&lt;=10,2,IF(HR_Data[[#This Row],[DistanceFromHome]]&lt;=20,3,4)))</f>
        <v>1</v>
      </c>
      <c r="AS862" s="1" t="str">
        <f>IF(HR_Data[[#This Row],[TotalWorkingYears]]&lt;=5,"0-5 Yrs",IF(HR_Data[[#This Row],[TotalWorkingYears]]&lt;=10,"6-10 Yrs",IF(HR_Data[[#This Row],[TotalWorkingYears]]&lt;=20,"11-20 Yrs","20+ Yrs")))</f>
        <v>0-5 Yrs</v>
      </c>
      <c r="AT862" s="1">
        <f>IF(HR_Data[[#This Row],[TotalWorkingYears]]&lt;=5,1,IF(HR_Data[[#This Row],[TotalWorkingYears]]&lt;=10,2,IF(HR_Data[[#This Row],[TotalWorkingYears]]&lt;=20,3,4)))</f>
        <v>1</v>
      </c>
    </row>
    <row r="863" spans="1:46" x14ac:dyDescent="0.25">
      <c r="A863">
        <v>46</v>
      </c>
      <c r="B863" t="s">
        <v>36</v>
      </c>
      <c r="C863" t="s">
        <v>30</v>
      </c>
      <c r="D863" t="s">
        <v>31</v>
      </c>
      <c r="E863">
        <v>2</v>
      </c>
      <c r="F863">
        <v>3</v>
      </c>
      <c r="G863" t="s">
        <v>52</v>
      </c>
      <c r="H863">
        <v>1204</v>
      </c>
      <c r="I863">
        <v>3</v>
      </c>
      <c r="J863" t="s">
        <v>33</v>
      </c>
      <c r="K863">
        <v>3</v>
      </c>
      <c r="L863">
        <v>4</v>
      </c>
      <c r="M863" t="s">
        <v>49</v>
      </c>
      <c r="N863">
        <v>1</v>
      </c>
      <c r="O863" t="s">
        <v>41</v>
      </c>
      <c r="P863">
        <v>17048</v>
      </c>
      <c r="Q863">
        <v>8</v>
      </c>
      <c r="R863" t="s">
        <v>36</v>
      </c>
      <c r="S863">
        <v>23</v>
      </c>
      <c r="T863">
        <v>4</v>
      </c>
      <c r="U863">
        <v>1</v>
      </c>
      <c r="V863">
        <v>0</v>
      </c>
      <c r="W863">
        <v>28</v>
      </c>
      <c r="X863">
        <v>2</v>
      </c>
      <c r="Y863">
        <v>3</v>
      </c>
      <c r="Z863">
        <v>26</v>
      </c>
      <c r="AA863">
        <v>15</v>
      </c>
      <c r="AB863">
        <v>15</v>
      </c>
      <c r="AC863">
        <v>9</v>
      </c>
      <c r="AD863">
        <f>IF(HR_Data[[#This Row],[Attrition]]="Yes",1,0)</f>
        <v>0</v>
      </c>
      <c r="AE863" t="str">
        <f>IF(HR_Data[[#This Row],[Age]]&lt;=25,"18-25",IF(HR_Data[[#This Row],[Age]]&lt;=35,"26-35",IF(HR_Data[[#This Row],[Age]]&lt;=45,"36-45",IF(HR_Data[[#This Row],[Age]]&lt;=55,"46-55","55+"))))</f>
        <v>46-55</v>
      </c>
      <c r="AF863">
        <f>IF(HR_Data[[#This Row],[Age]]&lt;=25,1,IF(HR_Data[[#This Row],[Age]]&lt;=35,2,IF(HR_Data[[#This Row],[Age]]&lt;=45,3,IF(HR_Data[[#This Row],[Age]]&lt;=55,4,5))))</f>
        <v>4</v>
      </c>
      <c r="AG863" s="1" t="str">
        <f>IF(HR_Data[[#This Row],[MonthlyIncome]]&lt;3000,"&lt;3K",IF(HR_Data[[#This Row],[MonthlyIncome]]&lt;6000,"3K-6K",IF(HR_Data[[#This Row],[MonthlyIncome]]&lt;10000,"6K-10K","10K+")))</f>
        <v>10K+</v>
      </c>
      <c r="AH863" s="1">
        <f>IF(HR_Data[[#This Row],[MonthlyIncome]]&lt;3000,1,IF(HR_Data[[#This Row],[MonthlyIncome]]&lt;6000,2,IF(HR_Data[[#This Row],[MonthlyIncome]]&lt;10000,3,4)))</f>
        <v>4</v>
      </c>
      <c r="AI863" s="1" t="str">
        <f>IF(HR_Data[[#This Row],[YearsAtCompany]]&lt;=2,"0-2 Yrs",IF(HR_Data[[#This Row],[YearsAtCompany]]&lt;=5,"3-5 Yrs",IF(HR_Data[[#This Row],[YearsAtCompany]]&lt;=10,"6-10 Yrs","10+ Yrs")))</f>
        <v>10+ Yrs</v>
      </c>
      <c r="AJ863" s="1">
        <f>IF(HR_Data[[#This Row],[YearsAtCompany]]&lt;=2,1,IF(HR_Data[[#This Row],[YearsAtCompany]]&lt;=5,2,IF(HR_Data[[#This Row],[YearsAtCompany]]&lt;=10,3,4)))</f>
        <v>4</v>
      </c>
      <c r="AK863" s="1" t="str">
        <f>CHOOSE(HR_Data[[#This Row],[Education]],"Below College","College","Bachelor","Master","Doctor")</f>
        <v>Bachelor</v>
      </c>
      <c r="AL863" s="1" t="str">
        <f>CHOOSE(HR_Data[[#This Row],[JobSatisfaction]],"Low","Medium","High","Very High")</f>
        <v>Low</v>
      </c>
      <c r="AM863" s="1" t="str">
        <f>CHOOSE(HR_Data[[#This Row],[EnvironmentSatisfaction]],"Low","Medium","High","Very High")</f>
        <v>High</v>
      </c>
      <c r="AN863" s="1" t="str">
        <f>CHOOSE(HR_Data[[#This Row],[WorkLifeBalance]],"Bad","Good","Better","Best")</f>
        <v>Better</v>
      </c>
      <c r="AO863" s="1" t="str">
        <f>IF(HR_Data[[#This Row],[PercentSalaryHike]]&lt;=13,"11-13%",IF(HR_Data[[#This Row],[PercentSalaryHike]]&lt;=16,"14-16%",IF(HR_Data[[#This Row],[PercentSalaryHike]]&lt;=19,"17-19%","20-25%")))</f>
        <v>20-25%</v>
      </c>
      <c r="AP863" s="1">
        <f>IF(HR_Data[[#This Row],[PercentSalaryHike]]&lt;=13,1,IF(HR_Data[[#This Row],[PercentSalaryHike]]&lt;=16,2,IF(HR_Data[[#This Row],[PercentSalaryHike]]&lt;=19,3,4)))</f>
        <v>4</v>
      </c>
      <c r="AQ863" s="1" t="str">
        <f>IF(HR_Data[[#This Row],[DistanceFromHome]]&lt;=5,"1 to 5",IF(HR_Data[[#This Row],[DistanceFromHome]]&lt;=10,"6 to 10",IF(HR_Data[[#This Row],[DistanceFromHome]]&lt;=20,"11 to 20","21 to 29")))</f>
        <v>1 to 5</v>
      </c>
      <c r="AR863" s="1">
        <f>IF(HR_Data[[#This Row],[DistanceFromHome]]&lt;=5,1,IF(HR_Data[[#This Row],[DistanceFromHome]]&lt;=10,2,IF(HR_Data[[#This Row],[DistanceFromHome]]&lt;=20,3,4)))</f>
        <v>1</v>
      </c>
      <c r="AS863" s="1" t="str">
        <f>IF(HR_Data[[#This Row],[TotalWorkingYears]]&lt;=5,"0-5 Yrs",IF(HR_Data[[#This Row],[TotalWorkingYears]]&lt;=10,"6-10 Yrs",IF(HR_Data[[#This Row],[TotalWorkingYears]]&lt;=20,"11-20 Yrs","20+ Yrs")))</f>
        <v>20+ Yrs</v>
      </c>
      <c r="AT863" s="1">
        <f>IF(HR_Data[[#This Row],[TotalWorkingYears]]&lt;=5,1,IF(HR_Data[[#This Row],[TotalWorkingYears]]&lt;=10,2,IF(HR_Data[[#This Row],[TotalWorkingYears]]&lt;=20,3,4)))</f>
        <v>4</v>
      </c>
    </row>
    <row r="864" spans="1:46" x14ac:dyDescent="0.25">
      <c r="A864">
        <v>44</v>
      </c>
      <c r="B864" t="s">
        <v>36</v>
      </c>
      <c r="C864" t="s">
        <v>48</v>
      </c>
      <c r="D864" t="s">
        <v>38</v>
      </c>
      <c r="E864">
        <v>17</v>
      </c>
      <c r="F864">
        <v>3</v>
      </c>
      <c r="G864" t="s">
        <v>32</v>
      </c>
      <c r="H864">
        <v>1206</v>
      </c>
      <c r="I864">
        <v>4</v>
      </c>
      <c r="J864" t="s">
        <v>39</v>
      </c>
      <c r="K864">
        <v>1</v>
      </c>
      <c r="L864">
        <v>1</v>
      </c>
      <c r="M864" t="s">
        <v>40</v>
      </c>
      <c r="N864">
        <v>3</v>
      </c>
      <c r="O864" t="s">
        <v>35</v>
      </c>
      <c r="P864">
        <v>2290</v>
      </c>
      <c r="Q864">
        <v>2</v>
      </c>
      <c r="R864" t="s">
        <v>36</v>
      </c>
      <c r="S864">
        <v>13</v>
      </c>
      <c r="T864">
        <v>3</v>
      </c>
      <c r="U864">
        <v>4</v>
      </c>
      <c r="V864">
        <v>0</v>
      </c>
      <c r="W864">
        <v>6</v>
      </c>
      <c r="X864">
        <v>3</v>
      </c>
      <c r="Y864">
        <v>3</v>
      </c>
      <c r="Z864">
        <v>0</v>
      </c>
      <c r="AA864">
        <v>0</v>
      </c>
      <c r="AB864">
        <v>0</v>
      </c>
      <c r="AC864">
        <v>0</v>
      </c>
      <c r="AD864">
        <f>IF(HR_Data[[#This Row],[Attrition]]="Yes",1,0)</f>
        <v>0</v>
      </c>
      <c r="AE864" t="str">
        <f>IF(HR_Data[[#This Row],[Age]]&lt;=25,"18-25",IF(HR_Data[[#This Row],[Age]]&lt;=35,"26-35",IF(HR_Data[[#This Row],[Age]]&lt;=45,"36-45",IF(HR_Data[[#This Row],[Age]]&lt;=55,"46-55","55+"))))</f>
        <v>36-45</v>
      </c>
      <c r="AF864">
        <f>IF(HR_Data[[#This Row],[Age]]&lt;=25,1,IF(HR_Data[[#This Row],[Age]]&lt;=35,2,IF(HR_Data[[#This Row],[Age]]&lt;=45,3,IF(HR_Data[[#This Row],[Age]]&lt;=55,4,5))))</f>
        <v>3</v>
      </c>
      <c r="AG864" s="1" t="str">
        <f>IF(HR_Data[[#This Row],[MonthlyIncome]]&lt;3000,"&lt;3K",IF(HR_Data[[#This Row],[MonthlyIncome]]&lt;6000,"3K-6K",IF(HR_Data[[#This Row],[MonthlyIncome]]&lt;10000,"6K-10K","10K+")))</f>
        <v>&lt;3K</v>
      </c>
      <c r="AH864" s="1">
        <f>IF(HR_Data[[#This Row],[MonthlyIncome]]&lt;3000,1,IF(HR_Data[[#This Row],[MonthlyIncome]]&lt;6000,2,IF(HR_Data[[#This Row],[MonthlyIncome]]&lt;10000,3,4)))</f>
        <v>1</v>
      </c>
      <c r="AI864" s="1" t="str">
        <f>IF(HR_Data[[#This Row],[YearsAtCompany]]&lt;=2,"0-2 Yrs",IF(HR_Data[[#This Row],[YearsAtCompany]]&lt;=5,"3-5 Yrs",IF(HR_Data[[#This Row],[YearsAtCompany]]&lt;=10,"6-10 Yrs","10+ Yrs")))</f>
        <v>0-2 Yrs</v>
      </c>
      <c r="AJ864" s="1">
        <f>IF(HR_Data[[#This Row],[YearsAtCompany]]&lt;=2,1,IF(HR_Data[[#This Row],[YearsAtCompany]]&lt;=5,2,IF(HR_Data[[#This Row],[YearsAtCompany]]&lt;=10,3,4)))</f>
        <v>1</v>
      </c>
      <c r="AK864" s="1" t="str">
        <f>CHOOSE(HR_Data[[#This Row],[Education]],"Below College","College","Bachelor","Master","Doctor")</f>
        <v>Bachelor</v>
      </c>
      <c r="AL864" s="1" t="str">
        <f>CHOOSE(HR_Data[[#This Row],[JobSatisfaction]],"Low","Medium","High","Very High")</f>
        <v>High</v>
      </c>
      <c r="AM864" s="1" t="str">
        <f>CHOOSE(HR_Data[[#This Row],[EnvironmentSatisfaction]],"Low","Medium","High","Very High")</f>
        <v>Very High</v>
      </c>
      <c r="AN864" s="1" t="str">
        <f>CHOOSE(HR_Data[[#This Row],[WorkLifeBalance]],"Bad","Good","Better","Best")</f>
        <v>Better</v>
      </c>
      <c r="AO864" s="1" t="str">
        <f>IF(HR_Data[[#This Row],[PercentSalaryHike]]&lt;=13,"11-13%",IF(HR_Data[[#This Row],[PercentSalaryHike]]&lt;=16,"14-16%",IF(HR_Data[[#This Row],[PercentSalaryHike]]&lt;=19,"17-19%","20-25%")))</f>
        <v>11-13%</v>
      </c>
      <c r="AP864" s="1">
        <f>IF(HR_Data[[#This Row],[PercentSalaryHike]]&lt;=13,1,IF(HR_Data[[#This Row],[PercentSalaryHike]]&lt;=16,2,IF(HR_Data[[#This Row],[PercentSalaryHike]]&lt;=19,3,4)))</f>
        <v>1</v>
      </c>
      <c r="AQ864" s="1" t="str">
        <f>IF(HR_Data[[#This Row],[DistanceFromHome]]&lt;=5,"1 to 5",IF(HR_Data[[#This Row],[DistanceFromHome]]&lt;=10,"6 to 10",IF(HR_Data[[#This Row],[DistanceFromHome]]&lt;=20,"11 to 20","21 to 29")))</f>
        <v>11 to 20</v>
      </c>
      <c r="AR864" s="1">
        <f>IF(HR_Data[[#This Row],[DistanceFromHome]]&lt;=5,1,IF(HR_Data[[#This Row],[DistanceFromHome]]&lt;=10,2,IF(HR_Data[[#This Row],[DistanceFromHome]]&lt;=20,3,4)))</f>
        <v>3</v>
      </c>
      <c r="AS864" s="1" t="str">
        <f>IF(HR_Data[[#This Row],[TotalWorkingYears]]&lt;=5,"0-5 Yrs",IF(HR_Data[[#This Row],[TotalWorkingYears]]&lt;=10,"6-10 Yrs",IF(HR_Data[[#This Row],[TotalWorkingYears]]&lt;=20,"11-20 Yrs","20+ Yrs")))</f>
        <v>6-10 Yrs</v>
      </c>
      <c r="AT864" s="1">
        <f>IF(HR_Data[[#This Row],[TotalWorkingYears]]&lt;=5,1,IF(HR_Data[[#This Row],[TotalWorkingYears]]&lt;=10,2,IF(HR_Data[[#This Row],[TotalWorkingYears]]&lt;=20,3,4)))</f>
        <v>2</v>
      </c>
    </row>
    <row r="865" spans="1:46" x14ac:dyDescent="0.25">
      <c r="A865">
        <v>33</v>
      </c>
      <c r="B865" t="s">
        <v>36</v>
      </c>
      <c r="C865" t="s">
        <v>30</v>
      </c>
      <c r="D865" t="s">
        <v>54</v>
      </c>
      <c r="E865">
        <v>2</v>
      </c>
      <c r="F865">
        <v>3</v>
      </c>
      <c r="G865" t="s">
        <v>54</v>
      </c>
      <c r="H865">
        <v>1207</v>
      </c>
      <c r="I865">
        <v>2</v>
      </c>
      <c r="J865" t="s">
        <v>39</v>
      </c>
      <c r="K865">
        <v>3</v>
      </c>
      <c r="L865">
        <v>1</v>
      </c>
      <c r="M865" t="s">
        <v>54</v>
      </c>
      <c r="N865">
        <v>3</v>
      </c>
      <c r="O865" t="s">
        <v>41</v>
      </c>
      <c r="P865">
        <v>3600</v>
      </c>
      <c r="Q865">
        <v>1</v>
      </c>
      <c r="R865" t="s">
        <v>36</v>
      </c>
      <c r="S865">
        <v>13</v>
      </c>
      <c r="T865">
        <v>3</v>
      </c>
      <c r="U865">
        <v>4</v>
      </c>
      <c r="V865">
        <v>1</v>
      </c>
      <c r="W865">
        <v>5</v>
      </c>
      <c r="X865">
        <v>2</v>
      </c>
      <c r="Y865">
        <v>3</v>
      </c>
      <c r="Z865">
        <v>5</v>
      </c>
      <c r="AA865">
        <v>4</v>
      </c>
      <c r="AB865">
        <v>1</v>
      </c>
      <c r="AC865">
        <v>4</v>
      </c>
      <c r="AD865">
        <f>IF(HR_Data[[#This Row],[Attrition]]="Yes",1,0)</f>
        <v>0</v>
      </c>
      <c r="AE865" t="str">
        <f>IF(HR_Data[[#This Row],[Age]]&lt;=25,"18-25",IF(HR_Data[[#This Row],[Age]]&lt;=35,"26-35",IF(HR_Data[[#This Row],[Age]]&lt;=45,"36-45",IF(HR_Data[[#This Row],[Age]]&lt;=55,"46-55","55+"))))</f>
        <v>26-35</v>
      </c>
      <c r="AF865">
        <f>IF(HR_Data[[#This Row],[Age]]&lt;=25,1,IF(HR_Data[[#This Row],[Age]]&lt;=35,2,IF(HR_Data[[#This Row],[Age]]&lt;=45,3,IF(HR_Data[[#This Row],[Age]]&lt;=55,4,5))))</f>
        <v>2</v>
      </c>
      <c r="AG865" s="1" t="str">
        <f>IF(HR_Data[[#This Row],[MonthlyIncome]]&lt;3000,"&lt;3K",IF(HR_Data[[#This Row],[MonthlyIncome]]&lt;6000,"3K-6K",IF(HR_Data[[#This Row],[MonthlyIncome]]&lt;10000,"6K-10K","10K+")))</f>
        <v>3K-6K</v>
      </c>
      <c r="AH865" s="1">
        <f>IF(HR_Data[[#This Row],[MonthlyIncome]]&lt;3000,1,IF(HR_Data[[#This Row],[MonthlyIncome]]&lt;6000,2,IF(HR_Data[[#This Row],[MonthlyIncome]]&lt;10000,3,4)))</f>
        <v>2</v>
      </c>
      <c r="AI865" s="1" t="str">
        <f>IF(HR_Data[[#This Row],[YearsAtCompany]]&lt;=2,"0-2 Yrs",IF(HR_Data[[#This Row],[YearsAtCompany]]&lt;=5,"3-5 Yrs",IF(HR_Data[[#This Row],[YearsAtCompany]]&lt;=10,"6-10 Yrs","10+ Yrs")))</f>
        <v>3-5 Yrs</v>
      </c>
      <c r="AJ865" s="1">
        <f>IF(HR_Data[[#This Row],[YearsAtCompany]]&lt;=2,1,IF(HR_Data[[#This Row],[YearsAtCompany]]&lt;=5,2,IF(HR_Data[[#This Row],[YearsAtCompany]]&lt;=10,3,4)))</f>
        <v>2</v>
      </c>
      <c r="AK865" s="1" t="str">
        <f>CHOOSE(HR_Data[[#This Row],[Education]],"Below College","College","Bachelor","Master","Doctor")</f>
        <v>Bachelor</v>
      </c>
      <c r="AL865" s="1" t="str">
        <f>CHOOSE(HR_Data[[#This Row],[JobSatisfaction]],"Low","Medium","High","Very High")</f>
        <v>High</v>
      </c>
      <c r="AM865" s="1" t="str">
        <f>CHOOSE(HR_Data[[#This Row],[EnvironmentSatisfaction]],"Low","Medium","High","Very High")</f>
        <v>Medium</v>
      </c>
      <c r="AN865" s="1" t="str">
        <f>CHOOSE(HR_Data[[#This Row],[WorkLifeBalance]],"Bad","Good","Better","Best")</f>
        <v>Better</v>
      </c>
      <c r="AO865" s="1" t="str">
        <f>IF(HR_Data[[#This Row],[PercentSalaryHike]]&lt;=13,"11-13%",IF(HR_Data[[#This Row],[PercentSalaryHike]]&lt;=16,"14-16%",IF(HR_Data[[#This Row],[PercentSalaryHike]]&lt;=19,"17-19%","20-25%")))</f>
        <v>11-13%</v>
      </c>
      <c r="AP865" s="1">
        <f>IF(HR_Data[[#This Row],[PercentSalaryHike]]&lt;=13,1,IF(HR_Data[[#This Row],[PercentSalaryHike]]&lt;=16,2,IF(HR_Data[[#This Row],[PercentSalaryHike]]&lt;=19,3,4)))</f>
        <v>1</v>
      </c>
      <c r="AQ865" s="1" t="str">
        <f>IF(HR_Data[[#This Row],[DistanceFromHome]]&lt;=5,"1 to 5",IF(HR_Data[[#This Row],[DistanceFromHome]]&lt;=10,"6 to 10",IF(HR_Data[[#This Row],[DistanceFromHome]]&lt;=20,"11 to 20","21 to 29")))</f>
        <v>1 to 5</v>
      </c>
      <c r="AR865" s="1">
        <f>IF(HR_Data[[#This Row],[DistanceFromHome]]&lt;=5,1,IF(HR_Data[[#This Row],[DistanceFromHome]]&lt;=10,2,IF(HR_Data[[#This Row],[DistanceFromHome]]&lt;=20,3,4)))</f>
        <v>1</v>
      </c>
      <c r="AS865" s="1" t="str">
        <f>IF(HR_Data[[#This Row],[TotalWorkingYears]]&lt;=5,"0-5 Yrs",IF(HR_Data[[#This Row],[TotalWorkingYears]]&lt;=10,"6-10 Yrs",IF(HR_Data[[#This Row],[TotalWorkingYears]]&lt;=20,"11-20 Yrs","20+ Yrs")))</f>
        <v>0-5 Yrs</v>
      </c>
      <c r="AT865" s="1">
        <f>IF(HR_Data[[#This Row],[TotalWorkingYears]]&lt;=5,1,IF(HR_Data[[#This Row],[TotalWorkingYears]]&lt;=10,2,IF(HR_Data[[#This Row],[TotalWorkingYears]]&lt;=20,3,4)))</f>
        <v>1</v>
      </c>
    </row>
    <row r="866" spans="1:46" x14ac:dyDescent="0.25">
      <c r="A866">
        <v>41</v>
      </c>
      <c r="B866" t="s">
        <v>29</v>
      </c>
      <c r="C866" t="s">
        <v>48</v>
      </c>
      <c r="D866" t="s">
        <v>38</v>
      </c>
      <c r="E866">
        <v>5</v>
      </c>
      <c r="F866">
        <v>2</v>
      </c>
      <c r="G866" t="s">
        <v>32</v>
      </c>
      <c r="H866">
        <v>1210</v>
      </c>
      <c r="I866">
        <v>1</v>
      </c>
      <c r="J866" t="s">
        <v>39</v>
      </c>
      <c r="K866">
        <v>2</v>
      </c>
      <c r="L866">
        <v>1</v>
      </c>
      <c r="M866" t="s">
        <v>40</v>
      </c>
      <c r="N866">
        <v>1</v>
      </c>
      <c r="O866" t="s">
        <v>45</v>
      </c>
      <c r="P866">
        <v>2107</v>
      </c>
      <c r="Q866">
        <v>6</v>
      </c>
      <c r="R866" t="s">
        <v>36</v>
      </c>
      <c r="S866">
        <v>17</v>
      </c>
      <c r="T866">
        <v>3</v>
      </c>
      <c r="U866">
        <v>1</v>
      </c>
      <c r="V866">
        <v>1</v>
      </c>
      <c r="W866">
        <v>5</v>
      </c>
      <c r="X866">
        <v>2</v>
      </c>
      <c r="Y866">
        <v>1</v>
      </c>
      <c r="Z866">
        <v>1</v>
      </c>
      <c r="AA866">
        <v>0</v>
      </c>
      <c r="AB866">
        <v>0</v>
      </c>
      <c r="AC866">
        <v>0</v>
      </c>
      <c r="AD866">
        <f>IF(HR_Data[[#This Row],[Attrition]]="Yes",1,0)</f>
        <v>1</v>
      </c>
      <c r="AE866" t="str">
        <f>IF(HR_Data[[#This Row],[Age]]&lt;=25,"18-25",IF(HR_Data[[#This Row],[Age]]&lt;=35,"26-35",IF(HR_Data[[#This Row],[Age]]&lt;=45,"36-45",IF(HR_Data[[#This Row],[Age]]&lt;=55,"46-55","55+"))))</f>
        <v>36-45</v>
      </c>
      <c r="AF866">
        <f>IF(HR_Data[[#This Row],[Age]]&lt;=25,1,IF(HR_Data[[#This Row],[Age]]&lt;=35,2,IF(HR_Data[[#This Row],[Age]]&lt;=45,3,IF(HR_Data[[#This Row],[Age]]&lt;=55,4,5))))</f>
        <v>3</v>
      </c>
      <c r="AG866" s="1" t="str">
        <f>IF(HR_Data[[#This Row],[MonthlyIncome]]&lt;3000,"&lt;3K",IF(HR_Data[[#This Row],[MonthlyIncome]]&lt;6000,"3K-6K",IF(HR_Data[[#This Row],[MonthlyIncome]]&lt;10000,"6K-10K","10K+")))</f>
        <v>&lt;3K</v>
      </c>
      <c r="AH866" s="1">
        <f>IF(HR_Data[[#This Row],[MonthlyIncome]]&lt;3000,1,IF(HR_Data[[#This Row],[MonthlyIncome]]&lt;6000,2,IF(HR_Data[[#This Row],[MonthlyIncome]]&lt;10000,3,4)))</f>
        <v>1</v>
      </c>
      <c r="AI866" s="1" t="str">
        <f>IF(HR_Data[[#This Row],[YearsAtCompany]]&lt;=2,"0-2 Yrs",IF(HR_Data[[#This Row],[YearsAtCompany]]&lt;=5,"3-5 Yrs",IF(HR_Data[[#This Row],[YearsAtCompany]]&lt;=10,"6-10 Yrs","10+ Yrs")))</f>
        <v>0-2 Yrs</v>
      </c>
      <c r="AJ866" s="1">
        <f>IF(HR_Data[[#This Row],[YearsAtCompany]]&lt;=2,1,IF(HR_Data[[#This Row],[YearsAtCompany]]&lt;=5,2,IF(HR_Data[[#This Row],[YearsAtCompany]]&lt;=10,3,4)))</f>
        <v>1</v>
      </c>
      <c r="AK866" s="1" t="str">
        <f>CHOOSE(HR_Data[[#This Row],[Education]],"Below College","College","Bachelor","Master","Doctor")</f>
        <v>College</v>
      </c>
      <c r="AL866" s="1" t="str">
        <f>CHOOSE(HR_Data[[#This Row],[JobSatisfaction]],"Low","Medium","High","Very High")</f>
        <v>Low</v>
      </c>
      <c r="AM866" s="1" t="str">
        <f>CHOOSE(HR_Data[[#This Row],[EnvironmentSatisfaction]],"Low","Medium","High","Very High")</f>
        <v>Low</v>
      </c>
      <c r="AN866" s="1" t="str">
        <f>CHOOSE(HR_Data[[#This Row],[WorkLifeBalance]],"Bad","Good","Better","Best")</f>
        <v>Bad</v>
      </c>
      <c r="AO866" s="1" t="str">
        <f>IF(HR_Data[[#This Row],[PercentSalaryHike]]&lt;=13,"11-13%",IF(HR_Data[[#This Row],[PercentSalaryHike]]&lt;=16,"14-16%",IF(HR_Data[[#This Row],[PercentSalaryHike]]&lt;=19,"17-19%","20-25%")))</f>
        <v>17-19%</v>
      </c>
      <c r="AP866" s="1">
        <f>IF(HR_Data[[#This Row],[PercentSalaryHike]]&lt;=13,1,IF(HR_Data[[#This Row],[PercentSalaryHike]]&lt;=16,2,IF(HR_Data[[#This Row],[PercentSalaryHike]]&lt;=19,3,4)))</f>
        <v>3</v>
      </c>
      <c r="AQ866" s="1" t="str">
        <f>IF(HR_Data[[#This Row],[DistanceFromHome]]&lt;=5,"1 to 5",IF(HR_Data[[#This Row],[DistanceFromHome]]&lt;=10,"6 to 10",IF(HR_Data[[#This Row],[DistanceFromHome]]&lt;=20,"11 to 20","21 to 29")))</f>
        <v>1 to 5</v>
      </c>
      <c r="AR866" s="1">
        <f>IF(HR_Data[[#This Row],[DistanceFromHome]]&lt;=5,1,IF(HR_Data[[#This Row],[DistanceFromHome]]&lt;=10,2,IF(HR_Data[[#This Row],[DistanceFromHome]]&lt;=20,3,4)))</f>
        <v>1</v>
      </c>
      <c r="AS866" s="1" t="str">
        <f>IF(HR_Data[[#This Row],[TotalWorkingYears]]&lt;=5,"0-5 Yrs",IF(HR_Data[[#This Row],[TotalWorkingYears]]&lt;=10,"6-10 Yrs",IF(HR_Data[[#This Row],[TotalWorkingYears]]&lt;=20,"11-20 Yrs","20+ Yrs")))</f>
        <v>0-5 Yrs</v>
      </c>
      <c r="AT866" s="1">
        <f>IF(HR_Data[[#This Row],[TotalWorkingYears]]&lt;=5,1,IF(HR_Data[[#This Row],[TotalWorkingYears]]&lt;=10,2,IF(HR_Data[[#This Row],[TotalWorkingYears]]&lt;=20,3,4)))</f>
        <v>1</v>
      </c>
    </row>
    <row r="867" spans="1:46" x14ac:dyDescent="0.25">
      <c r="A867">
        <v>30</v>
      </c>
      <c r="B867" t="s">
        <v>36</v>
      </c>
      <c r="C867" t="s">
        <v>30</v>
      </c>
      <c r="D867" t="s">
        <v>31</v>
      </c>
      <c r="E867">
        <v>29</v>
      </c>
      <c r="F867">
        <v>4</v>
      </c>
      <c r="G867" t="s">
        <v>32</v>
      </c>
      <c r="H867">
        <v>1211</v>
      </c>
      <c r="I867">
        <v>3</v>
      </c>
      <c r="J867" t="s">
        <v>39</v>
      </c>
      <c r="K867">
        <v>3</v>
      </c>
      <c r="L867">
        <v>2</v>
      </c>
      <c r="M867" t="s">
        <v>34</v>
      </c>
      <c r="N867">
        <v>1</v>
      </c>
      <c r="O867" t="s">
        <v>45</v>
      </c>
      <c r="P867">
        <v>4115</v>
      </c>
      <c r="Q867">
        <v>8</v>
      </c>
      <c r="R867" t="s">
        <v>36</v>
      </c>
      <c r="S867">
        <v>19</v>
      </c>
      <c r="T867">
        <v>3</v>
      </c>
      <c r="U867">
        <v>3</v>
      </c>
      <c r="V867">
        <v>3</v>
      </c>
      <c r="W867">
        <v>8</v>
      </c>
      <c r="X867">
        <v>3</v>
      </c>
      <c r="Y867">
        <v>3</v>
      </c>
      <c r="Z867">
        <v>4</v>
      </c>
      <c r="AA867">
        <v>3</v>
      </c>
      <c r="AB867">
        <v>0</v>
      </c>
      <c r="AC867">
        <v>3</v>
      </c>
      <c r="AD867">
        <f>IF(HR_Data[[#This Row],[Attrition]]="Yes",1,0)</f>
        <v>0</v>
      </c>
      <c r="AE867" t="str">
        <f>IF(HR_Data[[#This Row],[Age]]&lt;=25,"18-25",IF(HR_Data[[#This Row],[Age]]&lt;=35,"26-35",IF(HR_Data[[#This Row],[Age]]&lt;=45,"36-45",IF(HR_Data[[#This Row],[Age]]&lt;=55,"46-55","55+"))))</f>
        <v>26-35</v>
      </c>
      <c r="AF867">
        <f>IF(HR_Data[[#This Row],[Age]]&lt;=25,1,IF(HR_Data[[#This Row],[Age]]&lt;=35,2,IF(HR_Data[[#This Row],[Age]]&lt;=45,3,IF(HR_Data[[#This Row],[Age]]&lt;=55,4,5))))</f>
        <v>2</v>
      </c>
      <c r="AG867" s="1" t="str">
        <f>IF(HR_Data[[#This Row],[MonthlyIncome]]&lt;3000,"&lt;3K",IF(HR_Data[[#This Row],[MonthlyIncome]]&lt;6000,"3K-6K",IF(HR_Data[[#This Row],[MonthlyIncome]]&lt;10000,"6K-10K","10K+")))</f>
        <v>3K-6K</v>
      </c>
      <c r="AH867" s="1">
        <f>IF(HR_Data[[#This Row],[MonthlyIncome]]&lt;3000,1,IF(HR_Data[[#This Row],[MonthlyIncome]]&lt;6000,2,IF(HR_Data[[#This Row],[MonthlyIncome]]&lt;10000,3,4)))</f>
        <v>2</v>
      </c>
      <c r="AI867" s="1" t="str">
        <f>IF(HR_Data[[#This Row],[YearsAtCompany]]&lt;=2,"0-2 Yrs",IF(HR_Data[[#This Row],[YearsAtCompany]]&lt;=5,"3-5 Yrs",IF(HR_Data[[#This Row],[YearsAtCompany]]&lt;=10,"6-10 Yrs","10+ Yrs")))</f>
        <v>3-5 Yrs</v>
      </c>
      <c r="AJ867" s="1">
        <f>IF(HR_Data[[#This Row],[YearsAtCompany]]&lt;=2,1,IF(HR_Data[[#This Row],[YearsAtCompany]]&lt;=5,2,IF(HR_Data[[#This Row],[YearsAtCompany]]&lt;=10,3,4)))</f>
        <v>2</v>
      </c>
      <c r="AK867" s="1" t="str">
        <f>CHOOSE(HR_Data[[#This Row],[Education]],"Below College","College","Bachelor","Master","Doctor")</f>
        <v>Master</v>
      </c>
      <c r="AL867" s="1" t="str">
        <f>CHOOSE(HR_Data[[#This Row],[JobSatisfaction]],"Low","Medium","High","Very High")</f>
        <v>Low</v>
      </c>
      <c r="AM867" s="1" t="str">
        <f>CHOOSE(HR_Data[[#This Row],[EnvironmentSatisfaction]],"Low","Medium","High","Very High")</f>
        <v>High</v>
      </c>
      <c r="AN867" s="1" t="str">
        <f>CHOOSE(HR_Data[[#This Row],[WorkLifeBalance]],"Bad","Good","Better","Best")</f>
        <v>Better</v>
      </c>
      <c r="AO867" s="1" t="str">
        <f>IF(HR_Data[[#This Row],[PercentSalaryHike]]&lt;=13,"11-13%",IF(HR_Data[[#This Row],[PercentSalaryHike]]&lt;=16,"14-16%",IF(HR_Data[[#This Row],[PercentSalaryHike]]&lt;=19,"17-19%","20-25%")))</f>
        <v>17-19%</v>
      </c>
      <c r="AP867" s="1">
        <f>IF(HR_Data[[#This Row],[PercentSalaryHike]]&lt;=13,1,IF(HR_Data[[#This Row],[PercentSalaryHike]]&lt;=16,2,IF(HR_Data[[#This Row],[PercentSalaryHike]]&lt;=19,3,4)))</f>
        <v>3</v>
      </c>
      <c r="AQ867" s="1" t="str">
        <f>IF(HR_Data[[#This Row],[DistanceFromHome]]&lt;=5,"1 to 5",IF(HR_Data[[#This Row],[DistanceFromHome]]&lt;=10,"6 to 10",IF(HR_Data[[#This Row],[DistanceFromHome]]&lt;=20,"11 to 20","21 to 29")))</f>
        <v>21 to 29</v>
      </c>
      <c r="AR867" s="1">
        <f>IF(HR_Data[[#This Row],[DistanceFromHome]]&lt;=5,1,IF(HR_Data[[#This Row],[DistanceFromHome]]&lt;=10,2,IF(HR_Data[[#This Row],[DistanceFromHome]]&lt;=20,3,4)))</f>
        <v>4</v>
      </c>
      <c r="AS867" s="1" t="str">
        <f>IF(HR_Data[[#This Row],[TotalWorkingYears]]&lt;=5,"0-5 Yrs",IF(HR_Data[[#This Row],[TotalWorkingYears]]&lt;=10,"6-10 Yrs",IF(HR_Data[[#This Row],[TotalWorkingYears]]&lt;=20,"11-20 Yrs","20+ Yrs")))</f>
        <v>6-10 Yrs</v>
      </c>
      <c r="AT867" s="1">
        <f>IF(HR_Data[[#This Row],[TotalWorkingYears]]&lt;=5,1,IF(HR_Data[[#This Row],[TotalWorkingYears]]&lt;=10,2,IF(HR_Data[[#This Row],[TotalWorkingYears]]&lt;=20,3,4)))</f>
        <v>2</v>
      </c>
    </row>
    <row r="868" spans="1:46" x14ac:dyDescent="0.25">
      <c r="A868">
        <v>40</v>
      </c>
      <c r="B868" t="s">
        <v>36</v>
      </c>
      <c r="C868" t="s">
        <v>37</v>
      </c>
      <c r="D868" t="s">
        <v>31</v>
      </c>
      <c r="E868">
        <v>2</v>
      </c>
      <c r="F868">
        <v>4</v>
      </c>
      <c r="G868" t="s">
        <v>44</v>
      </c>
      <c r="H868">
        <v>1212</v>
      </c>
      <c r="I868">
        <v>2</v>
      </c>
      <c r="J868" t="s">
        <v>39</v>
      </c>
      <c r="K868">
        <v>3</v>
      </c>
      <c r="L868">
        <v>2</v>
      </c>
      <c r="M868" t="s">
        <v>34</v>
      </c>
      <c r="N868">
        <v>2</v>
      </c>
      <c r="O868" t="s">
        <v>41</v>
      </c>
      <c r="P868">
        <v>4327</v>
      </c>
      <c r="Q868">
        <v>5</v>
      </c>
      <c r="R868" t="s">
        <v>36</v>
      </c>
      <c r="S868">
        <v>12</v>
      </c>
      <c r="T868">
        <v>3</v>
      </c>
      <c r="U868">
        <v>4</v>
      </c>
      <c r="V868">
        <v>3</v>
      </c>
      <c r="W868">
        <v>5</v>
      </c>
      <c r="X868">
        <v>2</v>
      </c>
      <c r="Y868">
        <v>3</v>
      </c>
      <c r="Z868">
        <v>0</v>
      </c>
      <c r="AA868">
        <v>0</v>
      </c>
      <c r="AB868">
        <v>0</v>
      </c>
      <c r="AC868">
        <v>0</v>
      </c>
      <c r="AD868">
        <f>IF(HR_Data[[#This Row],[Attrition]]="Yes",1,0)</f>
        <v>0</v>
      </c>
      <c r="AE868" t="str">
        <f>IF(HR_Data[[#This Row],[Age]]&lt;=25,"18-25",IF(HR_Data[[#This Row],[Age]]&lt;=35,"26-35",IF(HR_Data[[#This Row],[Age]]&lt;=45,"36-45",IF(HR_Data[[#This Row],[Age]]&lt;=55,"46-55","55+"))))</f>
        <v>36-45</v>
      </c>
      <c r="AF868">
        <f>IF(HR_Data[[#This Row],[Age]]&lt;=25,1,IF(HR_Data[[#This Row],[Age]]&lt;=35,2,IF(HR_Data[[#This Row],[Age]]&lt;=45,3,IF(HR_Data[[#This Row],[Age]]&lt;=55,4,5))))</f>
        <v>3</v>
      </c>
      <c r="AG868" s="1" t="str">
        <f>IF(HR_Data[[#This Row],[MonthlyIncome]]&lt;3000,"&lt;3K",IF(HR_Data[[#This Row],[MonthlyIncome]]&lt;6000,"3K-6K",IF(HR_Data[[#This Row],[MonthlyIncome]]&lt;10000,"6K-10K","10K+")))</f>
        <v>3K-6K</v>
      </c>
      <c r="AH868" s="1">
        <f>IF(HR_Data[[#This Row],[MonthlyIncome]]&lt;3000,1,IF(HR_Data[[#This Row],[MonthlyIncome]]&lt;6000,2,IF(HR_Data[[#This Row],[MonthlyIncome]]&lt;10000,3,4)))</f>
        <v>2</v>
      </c>
      <c r="AI868" s="1" t="str">
        <f>IF(HR_Data[[#This Row],[YearsAtCompany]]&lt;=2,"0-2 Yrs",IF(HR_Data[[#This Row],[YearsAtCompany]]&lt;=5,"3-5 Yrs",IF(HR_Data[[#This Row],[YearsAtCompany]]&lt;=10,"6-10 Yrs","10+ Yrs")))</f>
        <v>0-2 Yrs</v>
      </c>
      <c r="AJ868" s="1">
        <f>IF(HR_Data[[#This Row],[YearsAtCompany]]&lt;=2,1,IF(HR_Data[[#This Row],[YearsAtCompany]]&lt;=5,2,IF(HR_Data[[#This Row],[YearsAtCompany]]&lt;=10,3,4)))</f>
        <v>1</v>
      </c>
      <c r="AK868" s="1" t="str">
        <f>CHOOSE(HR_Data[[#This Row],[Education]],"Below College","College","Bachelor","Master","Doctor")</f>
        <v>Master</v>
      </c>
      <c r="AL868" s="1" t="str">
        <f>CHOOSE(HR_Data[[#This Row],[JobSatisfaction]],"Low","Medium","High","Very High")</f>
        <v>Medium</v>
      </c>
      <c r="AM868" s="1" t="str">
        <f>CHOOSE(HR_Data[[#This Row],[EnvironmentSatisfaction]],"Low","Medium","High","Very High")</f>
        <v>Medium</v>
      </c>
      <c r="AN868" s="1" t="str">
        <f>CHOOSE(HR_Data[[#This Row],[WorkLifeBalance]],"Bad","Good","Better","Best")</f>
        <v>Better</v>
      </c>
      <c r="AO868" s="1" t="str">
        <f>IF(HR_Data[[#This Row],[PercentSalaryHike]]&lt;=13,"11-13%",IF(HR_Data[[#This Row],[PercentSalaryHike]]&lt;=16,"14-16%",IF(HR_Data[[#This Row],[PercentSalaryHike]]&lt;=19,"17-19%","20-25%")))</f>
        <v>11-13%</v>
      </c>
      <c r="AP868" s="1">
        <f>IF(HR_Data[[#This Row],[PercentSalaryHike]]&lt;=13,1,IF(HR_Data[[#This Row],[PercentSalaryHike]]&lt;=16,2,IF(HR_Data[[#This Row],[PercentSalaryHike]]&lt;=19,3,4)))</f>
        <v>1</v>
      </c>
      <c r="AQ868" s="1" t="str">
        <f>IF(HR_Data[[#This Row],[DistanceFromHome]]&lt;=5,"1 to 5",IF(HR_Data[[#This Row],[DistanceFromHome]]&lt;=10,"6 to 10",IF(HR_Data[[#This Row],[DistanceFromHome]]&lt;=20,"11 to 20","21 to 29")))</f>
        <v>1 to 5</v>
      </c>
      <c r="AR868" s="1">
        <f>IF(HR_Data[[#This Row],[DistanceFromHome]]&lt;=5,1,IF(HR_Data[[#This Row],[DistanceFromHome]]&lt;=10,2,IF(HR_Data[[#This Row],[DistanceFromHome]]&lt;=20,3,4)))</f>
        <v>1</v>
      </c>
      <c r="AS868" s="1" t="str">
        <f>IF(HR_Data[[#This Row],[TotalWorkingYears]]&lt;=5,"0-5 Yrs",IF(HR_Data[[#This Row],[TotalWorkingYears]]&lt;=10,"6-10 Yrs",IF(HR_Data[[#This Row],[TotalWorkingYears]]&lt;=20,"11-20 Yrs","20+ Yrs")))</f>
        <v>0-5 Yrs</v>
      </c>
      <c r="AT868" s="1">
        <f>IF(HR_Data[[#This Row],[TotalWorkingYears]]&lt;=5,1,IF(HR_Data[[#This Row],[TotalWorkingYears]]&lt;=10,2,IF(HR_Data[[#This Row],[TotalWorkingYears]]&lt;=20,3,4)))</f>
        <v>1</v>
      </c>
    </row>
    <row r="869" spans="1:46" x14ac:dyDescent="0.25">
      <c r="A869">
        <v>50</v>
      </c>
      <c r="B869" t="s">
        <v>36</v>
      </c>
      <c r="C869" t="s">
        <v>37</v>
      </c>
      <c r="D869" t="s">
        <v>38</v>
      </c>
      <c r="E869">
        <v>2</v>
      </c>
      <c r="F869">
        <v>3</v>
      </c>
      <c r="G869" t="s">
        <v>44</v>
      </c>
      <c r="H869">
        <v>1215</v>
      </c>
      <c r="I869">
        <v>4</v>
      </c>
      <c r="J869" t="s">
        <v>33</v>
      </c>
      <c r="K869">
        <v>3</v>
      </c>
      <c r="L869">
        <v>4</v>
      </c>
      <c r="M869" t="s">
        <v>49</v>
      </c>
      <c r="N869">
        <v>1</v>
      </c>
      <c r="O869" t="s">
        <v>41</v>
      </c>
      <c r="P869">
        <v>17856</v>
      </c>
      <c r="Q869">
        <v>2</v>
      </c>
      <c r="R869" t="s">
        <v>36</v>
      </c>
      <c r="S869">
        <v>22</v>
      </c>
      <c r="T869">
        <v>4</v>
      </c>
      <c r="U869">
        <v>3</v>
      </c>
      <c r="V869">
        <v>1</v>
      </c>
      <c r="W869">
        <v>32</v>
      </c>
      <c r="X869">
        <v>3</v>
      </c>
      <c r="Y869">
        <v>3</v>
      </c>
      <c r="Z869">
        <v>2</v>
      </c>
      <c r="AA869">
        <v>2</v>
      </c>
      <c r="AB869">
        <v>2</v>
      </c>
      <c r="AC869">
        <v>2</v>
      </c>
      <c r="AD869">
        <f>IF(HR_Data[[#This Row],[Attrition]]="Yes",1,0)</f>
        <v>0</v>
      </c>
      <c r="AE869" t="str">
        <f>IF(HR_Data[[#This Row],[Age]]&lt;=25,"18-25",IF(HR_Data[[#This Row],[Age]]&lt;=35,"26-35",IF(HR_Data[[#This Row],[Age]]&lt;=45,"36-45",IF(HR_Data[[#This Row],[Age]]&lt;=55,"46-55","55+"))))</f>
        <v>46-55</v>
      </c>
      <c r="AF869">
        <f>IF(HR_Data[[#This Row],[Age]]&lt;=25,1,IF(HR_Data[[#This Row],[Age]]&lt;=35,2,IF(HR_Data[[#This Row],[Age]]&lt;=45,3,IF(HR_Data[[#This Row],[Age]]&lt;=55,4,5))))</f>
        <v>4</v>
      </c>
      <c r="AG869" s="1" t="str">
        <f>IF(HR_Data[[#This Row],[MonthlyIncome]]&lt;3000,"&lt;3K",IF(HR_Data[[#This Row],[MonthlyIncome]]&lt;6000,"3K-6K",IF(HR_Data[[#This Row],[MonthlyIncome]]&lt;10000,"6K-10K","10K+")))</f>
        <v>10K+</v>
      </c>
      <c r="AH869" s="1">
        <f>IF(HR_Data[[#This Row],[MonthlyIncome]]&lt;3000,1,IF(HR_Data[[#This Row],[MonthlyIncome]]&lt;6000,2,IF(HR_Data[[#This Row],[MonthlyIncome]]&lt;10000,3,4)))</f>
        <v>4</v>
      </c>
      <c r="AI869" s="1" t="str">
        <f>IF(HR_Data[[#This Row],[YearsAtCompany]]&lt;=2,"0-2 Yrs",IF(HR_Data[[#This Row],[YearsAtCompany]]&lt;=5,"3-5 Yrs",IF(HR_Data[[#This Row],[YearsAtCompany]]&lt;=10,"6-10 Yrs","10+ Yrs")))</f>
        <v>0-2 Yrs</v>
      </c>
      <c r="AJ869" s="1">
        <f>IF(HR_Data[[#This Row],[YearsAtCompany]]&lt;=2,1,IF(HR_Data[[#This Row],[YearsAtCompany]]&lt;=5,2,IF(HR_Data[[#This Row],[YearsAtCompany]]&lt;=10,3,4)))</f>
        <v>1</v>
      </c>
      <c r="AK869" s="1" t="str">
        <f>CHOOSE(HR_Data[[#This Row],[Education]],"Below College","College","Bachelor","Master","Doctor")</f>
        <v>Bachelor</v>
      </c>
      <c r="AL869" s="1" t="str">
        <f>CHOOSE(HR_Data[[#This Row],[JobSatisfaction]],"Low","Medium","High","Very High")</f>
        <v>Low</v>
      </c>
      <c r="AM869" s="1" t="str">
        <f>CHOOSE(HR_Data[[#This Row],[EnvironmentSatisfaction]],"Low","Medium","High","Very High")</f>
        <v>Very High</v>
      </c>
      <c r="AN869" s="1" t="str">
        <f>CHOOSE(HR_Data[[#This Row],[WorkLifeBalance]],"Bad","Good","Better","Best")</f>
        <v>Better</v>
      </c>
      <c r="AO869" s="1" t="str">
        <f>IF(HR_Data[[#This Row],[PercentSalaryHike]]&lt;=13,"11-13%",IF(HR_Data[[#This Row],[PercentSalaryHike]]&lt;=16,"14-16%",IF(HR_Data[[#This Row],[PercentSalaryHike]]&lt;=19,"17-19%","20-25%")))</f>
        <v>20-25%</v>
      </c>
      <c r="AP869" s="1">
        <f>IF(HR_Data[[#This Row],[PercentSalaryHike]]&lt;=13,1,IF(HR_Data[[#This Row],[PercentSalaryHike]]&lt;=16,2,IF(HR_Data[[#This Row],[PercentSalaryHike]]&lt;=19,3,4)))</f>
        <v>4</v>
      </c>
      <c r="AQ869" s="1" t="str">
        <f>IF(HR_Data[[#This Row],[DistanceFromHome]]&lt;=5,"1 to 5",IF(HR_Data[[#This Row],[DistanceFromHome]]&lt;=10,"6 to 10",IF(HR_Data[[#This Row],[DistanceFromHome]]&lt;=20,"11 to 20","21 to 29")))</f>
        <v>1 to 5</v>
      </c>
      <c r="AR869" s="1">
        <f>IF(HR_Data[[#This Row],[DistanceFromHome]]&lt;=5,1,IF(HR_Data[[#This Row],[DistanceFromHome]]&lt;=10,2,IF(HR_Data[[#This Row],[DistanceFromHome]]&lt;=20,3,4)))</f>
        <v>1</v>
      </c>
      <c r="AS869" s="1" t="str">
        <f>IF(HR_Data[[#This Row],[TotalWorkingYears]]&lt;=5,"0-5 Yrs",IF(HR_Data[[#This Row],[TotalWorkingYears]]&lt;=10,"6-10 Yrs",IF(HR_Data[[#This Row],[TotalWorkingYears]]&lt;=20,"11-20 Yrs","20+ Yrs")))</f>
        <v>20+ Yrs</v>
      </c>
      <c r="AT869" s="1">
        <f>IF(HR_Data[[#This Row],[TotalWorkingYears]]&lt;=5,1,IF(HR_Data[[#This Row],[TotalWorkingYears]]&lt;=10,2,IF(HR_Data[[#This Row],[TotalWorkingYears]]&lt;=20,3,4)))</f>
        <v>4</v>
      </c>
    </row>
    <row r="870" spans="1:46" x14ac:dyDescent="0.25">
      <c r="A870">
        <v>28</v>
      </c>
      <c r="B870" t="s">
        <v>36</v>
      </c>
      <c r="C870" t="s">
        <v>30</v>
      </c>
      <c r="D870" t="s">
        <v>38</v>
      </c>
      <c r="E870">
        <v>19</v>
      </c>
      <c r="F870">
        <v>4</v>
      </c>
      <c r="G870" t="s">
        <v>44</v>
      </c>
      <c r="H870">
        <v>1216</v>
      </c>
      <c r="I870">
        <v>4</v>
      </c>
      <c r="J870" t="s">
        <v>39</v>
      </c>
      <c r="K870">
        <v>2</v>
      </c>
      <c r="L870">
        <v>1</v>
      </c>
      <c r="M870" t="s">
        <v>43</v>
      </c>
      <c r="N870">
        <v>1</v>
      </c>
      <c r="O870" t="s">
        <v>41</v>
      </c>
      <c r="P870">
        <v>3196</v>
      </c>
      <c r="Q870">
        <v>1</v>
      </c>
      <c r="R870" t="s">
        <v>36</v>
      </c>
      <c r="S870">
        <v>12</v>
      </c>
      <c r="T870">
        <v>3</v>
      </c>
      <c r="U870">
        <v>3</v>
      </c>
      <c r="V870">
        <v>3</v>
      </c>
      <c r="W870">
        <v>6</v>
      </c>
      <c r="X870">
        <v>2</v>
      </c>
      <c r="Y870">
        <v>3</v>
      </c>
      <c r="Z870">
        <v>6</v>
      </c>
      <c r="AA870">
        <v>5</v>
      </c>
      <c r="AB870">
        <v>3</v>
      </c>
      <c r="AC870">
        <v>3</v>
      </c>
      <c r="AD870">
        <f>IF(HR_Data[[#This Row],[Attrition]]="Yes",1,0)</f>
        <v>0</v>
      </c>
      <c r="AE870" t="str">
        <f>IF(HR_Data[[#This Row],[Age]]&lt;=25,"18-25",IF(HR_Data[[#This Row],[Age]]&lt;=35,"26-35",IF(HR_Data[[#This Row],[Age]]&lt;=45,"36-45",IF(HR_Data[[#This Row],[Age]]&lt;=55,"46-55","55+"))))</f>
        <v>26-35</v>
      </c>
      <c r="AF870">
        <f>IF(HR_Data[[#This Row],[Age]]&lt;=25,1,IF(HR_Data[[#This Row],[Age]]&lt;=35,2,IF(HR_Data[[#This Row],[Age]]&lt;=45,3,IF(HR_Data[[#This Row],[Age]]&lt;=55,4,5))))</f>
        <v>2</v>
      </c>
      <c r="AG870" s="1" t="str">
        <f>IF(HR_Data[[#This Row],[MonthlyIncome]]&lt;3000,"&lt;3K",IF(HR_Data[[#This Row],[MonthlyIncome]]&lt;6000,"3K-6K",IF(HR_Data[[#This Row],[MonthlyIncome]]&lt;10000,"6K-10K","10K+")))</f>
        <v>3K-6K</v>
      </c>
      <c r="AH870" s="1">
        <f>IF(HR_Data[[#This Row],[MonthlyIncome]]&lt;3000,1,IF(HR_Data[[#This Row],[MonthlyIncome]]&lt;6000,2,IF(HR_Data[[#This Row],[MonthlyIncome]]&lt;10000,3,4)))</f>
        <v>2</v>
      </c>
      <c r="AI870" s="1" t="str">
        <f>IF(HR_Data[[#This Row],[YearsAtCompany]]&lt;=2,"0-2 Yrs",IF(HR_Data[[#This Row],[YearsAtCompany]]&lt;=5,"3-5 Yrs",IF(HR_Data[[#This Row],[YearsAtCompany]]&lt;=10,"6-10 Yrs","10+ Yrs")))</f>
        <v>6-10 Yrs</v>
      </c>
      <c r="AJ870" s="1">
        <f>IF(HR_Data[[#This Row],[YearsAtCompany]]&lt;=2,1,IF(HR_Data[[#This Row],[YearsAtCompany]]&lt;=5,2,IF(HR_Data[[#This Row],[YearsAtCompany]]&lt;=10,3,4)))</f>
        <v>3</v>
      </c>
      <c r="AK870" s="1" t="str">
        <f>CHOOSE(HR_Data[[#This Row],[Education]],"Below College","College","Bachelor","Master","Doctor")</f>
        <v>Master</v>
      </c>
      <c r="AL870" s="1" t="str">
        <f>CHOOSE(HR_Data[[#This Row],[JobSatisfaction]],"Low","Medium","High","Very High")</f>
        <v>Low</v>
      </c>
      <c r="AM870" s="1" t="str">
        <f>CHOOSE(HR_Data[[#This Row],[EnvironmentSatisfaction]],"Low","Medium","High","Very High")</f>
        <v>Very High</v>
      </c>
      <c r="AN870" s="1" t="str">
        <f>CHOOSE(HR_Data[[#This Row],[WorkLifeBalance]],"Bad","Good","Better","Best")</f>
        <v>Better</v>
      </c>
      <c r="AO870" s="1" t="str">
        <f>IF(HR_Data[[#This Row],[PercentSalaryHike]]&lt;=13,"11-13%",IF(HR_Data[[#This Row],[PercentSalaryHike]]&lt;=16,"14-16%",IF(HR_Data[[#This Row],[PercentSalaryHike]]&lt;=19,"17-19%","20-25%")))</f>
        <v>11-13%</v>
      </c>
      <c r="AP870" s="1">
        <f>IF(HR_Data[[#This Row],[PercentSalaryHike]]&lt;=13,1,IF(HR_Data[[#This Row],[PercentSalaryHike]]&lt;=16,2,IF(HR_Data[[#This Row],[PercentSalaryHike]]&lt;=19,3,4)))</f>
        <v>1</v>
      </c>
      <c r="AQ870" s="1" t="str">
        <f>IF(HR_Data[[#This Row],[DistanceFromHome]]&lt;=5,"1 to 5",IF(HR_Data[[#This Row],[DistanceFromHome]]&lt;=10,"6 to 10",IF(HR_Data[[#This Row],[DistanceFromHome]]&lt;=20,"11 to 20","21 to 29")))</f>
        <v>11 to 20</v>
      </c>
      <c r="AR870" s="1">
        <f>IF(HR_Data[[#This Row],[DistanceFromHome]]&lt;=5,1,IF(HR_Data[[#This Row],[DistanceFromHome]]&lt;=10,2,IF(HR_Data[[#This Row],[DistanceFromHome]]&lt;=20,3,4)))</f>
        <v>3</v>
      </c>
      <c r="AS870" s="1" t="str">
        <f>IF(HR_Data[[#This Row],[TotalWorkingYears]]&lt;=5,"0-5 Yrs",IF(HR_Data[[#This Row],[TotalWorkingYears]]&lt;=10,"6-10 Yrs",IF(HR_Data[[#This Row],[TotalWorkingYears]]&lt;=20,"11-20 Yrs","20+ Yrs")))</f>
        <v>6-10 Yrs</v>
      </c>
      <c r="AT870" s="1">
        <f>IF(HR_Data[[#This Row],[TotalWorkingYears]]&lt;=5,1,IF(HR_Data[[#This Row],[TotalWorkingYears]]&lt;=10,2,IF(HR_Data[[#This Row],[TotalWorkingYears]]&lt;=20,3,4)))</f>
        <v>2</v>
      </c>
    </row>
    <row r="871" spans="1:46" x14ac:dyDescent="0.25">
      <c r="A871">
        <v>46</v>
      </c>
      <c r="B871" t="s">
        <v>36</v>
      </c>
      <c r="C871" t="s">
        <v>30</v>
      </c>
      <c r="D871" t="s">
        <v>38</v>
      </c>
      <c r="E871">
        <v>15</v>
      </c>
      <c r="F871">
        <v>2</v>
      </c>
      <c r="G871" t="s">
        <v>32</v>
      </c>
      <c r="H871">
        <v>1217</v>
      </c>
      <c r="I871">
        <v>4</v>
      </c>
      <c r="J871" t="s">
        <v>39</v>
      </c>
      <c r="K871">
        <v>3</v>
      </c>
      <c r="L871">
        <v>5</v>
      </c>
      <c r="M871" t="s">
        <v>51</v>
      </c>
      <c r="N871">
        <v>2</v>
      </c>
      <c r="O871" t="s">
        <v>41</v>
      </c>
      <c r="P871">
        <v>19081</v>
      </c>
      <c r="Q871">
        <v>5</v>
      </c>
      <c r="R871" t="s">
        <v>36</v>
      </c>
      <c r="S871">
        <v>11</v>
      </c>
      <c r="T871">
        <v>3</v>
      </c>
      <c r="U871">
        <v>1</v>
      </c>
      <c r="V871">
        <v>1</v>
      </c>
      <c r="W871">
        <v>25</v>
      </c>
      <c r="X871">
        <v>2</v>
      </c>
      <c r="Y871">
        <v>3</v>
      </c>
      <c r="Z871">
        <v>4</v>
      </c>
      <c r="AA871">
        <v>2</v>
      </c>
      <c r="AB871">
        <v>0</v>
      </c>
      <c r="AC871">
        <v>3</v>
      </c>
      <c r="AD871">
        <f>IF(HR_Data[[#This Row],[Attrition]]="Yes",1,0)</f>
        <v>0</v>
      </c>
      <c r="AE871" t="str">
        <f>IF(HR_Data[[#This Row],[Age]]&lt;=25,"18-25",IF(HR_Data[[#This Row],[Age]]&lt;=35,"26-35",IF(HR_Data[[#This Row],[Age]]&lt;=45,"36-45",IF(HR_Data[[#This Row],[Age]]&lt;=55,"46-55","55+"))))</f>
        <v>46-55</v>
      </c>
      <c r="AF871">
        <f>IF(HR_Data[[#This Row],[Age]]&lt;=25,1,IF(HR_Data[[#This Row],[Age]]&lt;=35,2,IF(HR_Data[[#This Row],[Age]]&lt;=45,3,IF(HR_Data[[#This Row],[Age]]&lt;=55,4,5))))</f>
        <v>4</v>
      </c>
      <c r="AG871" s="1" t="str">
        <f>IF(HR_Data[[#This Row],[MonthlyIncome]]&lt;3000,"&lt;3K",IF(HR_Data[[#This Row],[MonthlyIncome]]&lt;6000,"3K-6K",IF(HR_Data[[#This Row],[MonthlyIncome]]&lt;10000,"6K-10K","10K+")))</f>
        <v>10K+</v>
      </c>
      <c r="AH871" s="1">
        <f>IF(HR_Data[[#This Row],[MonthlyIncome]]&lt;3000,1,IF(HR_Data[[#This Row],[MonthlyIncome]]&lt;6000,2,IF(HR_Data[[#This Row],[MonthlyIncome]]&lt;10000,3,4)))</f>
        <v>4</v>
      </c>
      <c r="AI871" s="1" t="str">
        <f>IF(HR_Data[[#This Row],[YearsAtCompany]]&lt;=2,"0-2 Yrs",IF(HR_Data[[#This Row],[YearsAtCompany]]&lt;=5,"3-5 Yrs",IF(HR_Data[[#This Row],[YearsAtCompany]]&lt;=10,"6-10 Yrs","10+ Yrs")))</f>
        <v>3-5 Yrs</v>
      </c>
      <c r="AJ871" s="1">
        <f>IF(HR_Data[[#This Row],[YearsAtCompany]]&lt;=2,1,IF(HR_Data[[#This Row],[YearsAtCompany]]&lt;=5,2,IF(HR_Data[[#This Row],[YearsAtCompany]]&lt;=10,3,4)))</f>
        <v>2</v>
      </c>
      <c r="AK871" s="1" t="str">
        <f>CHOOSE(HR_Data[[#This Row],[Education]],"Below College","College","Bachelor","Master","Doctor")</f>
        <v>College</v>
      </c>
      <c r="AL871" s="1" t="str">
        <f>CHOOSE(HR_Data[[#This Row],[JobSatisfaction]],"Low","Medium","High","Very High")</f>
        <v>Medium</v>
      </c>
      <c r="AM871" s="1" t="str">
        <f>CHOOSE(HR_Data[[#This Row],[EnvironmentSatisfaction]],"Low","Medium","High","Very High")</f>
        <v>Very High</v>
      </c>
      <c r="AN871" s="1" t="str">
        <f>CHOOSE(HR_Data[[#This Row],[WorkLifeBalance]],"Bad","Good","Better","Best")</f>
        <v>Better</v>
      </c>
      <c r="AO871" s="1" t="str">
        <f>IF(HR_Data[[#This Row],[PercentSalaryHike]]&lt;=13,"11-13%",IF(HR_Data[[#This Row],[PercentSalaryHike]]&lt;=16,"14-16%",IF(HR_Data[[#This Row],[PercentSalaryHike]]&lt;=19,"17-19%","20-25%")))</f>
        <v>11-13%</v>
      </c>
      <c r="AP871" s="1">
        <f>IF(HR_Data[[#This Row],[PercentSalaryHike]]&lt;=13,1,IF(HR_Data[[#This Row],[PercentSalaryHike]]&lt;=16,2,IF(HR_Data[[#This Row],[PercentSalaryHike]]&lt;=19,3,4)))</f>
        <v>1</v>
      </c>
      <c r="AQ871" s="1" t="str">
        <f>IF(HR_Data[[#This Row],[DistanceFromHome]]&lt;=5,"1 to 5",IF(HR_Data[[#This Row],[DistanceFromHome]]&lt;=10,"6 to 10",IF(HR_Data[[#This Row],[DistanceFromHome]]&lt;=20,"11 to 20","21 to 29")))</f>
        <v>11 to 20</v>
      </c>
      <c r="AR871" s="1">
        <f>IF(HR_Data[[#This Row],[DistanceFromHome]]&lt;=5,1,IF(HR_Data[[#This Row],[DistanceFromHome]]&lt;=10,2,IF(HR_Data[[#This Row],[DistanceFromHome]]&lt;=20,3,4)))</f>
        <v>3</v>
      </c>
      <c r="AS871" s="1" t="str">
        <f>IF(HR_Data[[#This Row],[TotalWorkingYears]]&lt;=5,"0-5 Yrs",IF(HR_Data[[#This Row],[TotalWorkingYears]]&lt;=10,"6-10 Yrs",IF(HR_Data[[#This Row],[TotalWorkingYears]]&lt;=20,"11-20 Yrs","20+ Yrs")))</f>
        <v>20+ Yrs</v>
      </c>
      <c r="AT871" s="1">
        <f>IF(HR_Data[[#This Row],[TotalWorkingYears]]&lt;=5,1,IF(HR_Data[[#This Row],[TotalWorkingYears]]&lt;=10,2,IF(HR_Data[[#This Row],[TotalWorkingYears]]&lt;=20,3,4)))</f>
        <v>4</v>
      </c>
    </row>
    <row r="872" spans="1:46" x14ac:dyDescent="0.25">
      <c r="A872">
        <v>35</v>
      </c>
      <c r="B872" t="s">
        <v>36</v>
      </c>
      <c r="C872" t="s">
        <v>30</v>
      </c>
      <c r="D872" t="s">
        <v>31</v>
      </c>
      <c r="E872">
        <v>17</v>
      </c>
      <c r="F872">
        <v>4</v>
      </c>
      <c r="G872" t="s">
        <v>32</v>
      </c>
      <c r="H872">
        <v>1218</v>
      </c>
      <c r="I872">
        <v>3</v>
      </c>
      <c r="J872" t="s">
        <v>39</v>
      </c>
      <c r="K872">
        <v>3</v>
      </c>
      <c r="L872">
        <v>2</v>
      </c>
      <c r="M872" t="s">
        <v>34</v>
      </c>
      <c r="N872">
        <v>1</v>
      </c>
      <c r="O872" t="s">
        <v>41</v>
      </c>
      <c r="P872">
        <v>8966</v>
      </c>
      <c r="Q872">
        <v>3</v>
      </c>
      <c r="R872" t="s">
        <v>29</v>
      </c>
      <c r="S872">
        <v>15</v>
      </c>
      <c r="T872">
        <v>3</v>
      </c>
      <c r="U872">
        <v>4</v>
      </c>
      <c r="V872">
        <v>3</v>
      </c>
      <c r="W872">
        <v>15</v>
      </c>
      <c r="X872">
        <v>2</v>
      </c>
      <c r="Y872">
        <v>3</v>
      </c>
      <c r="Z872">
        <v>7</v>
      </c>
      <c r="AA872">
        <v>7</v>
      </c>
      <c r="AB872">
        <v>1</v>
      </c>
      <c r="AC872">
        <v>7</v>
      </c>
      <c r="AD872">
        <f>IF(HR_Data[[#This Row],[Attrition]]="Yes",1,0)</f>
        <v>0</v>
      </c>
      <c r="AE872" t="str">
        <f>IF(HR_Data[[#This Row],[Age]]&lt;=25,"18-25",IF(HR_Data[[#This Row],[Age]]&lt;=35,"26-35",IF(HR_Data[[#This Row],[Age]]&lt;=45,"36-45",IF(HR_Data[[#This Row],[Age]]&lt;=55,"46-55","55+"))))</f>
        <v>26-35</v>
      </c>
      <c r="AF872">
        <f>IF(HR_Data[[#This Row],[Age]]&lt;=25,1,IF(HR_Data[[#This Row],[Age]]&lt;=35,2,IF(HR_Data[[#This Row],[Age]]&lt;=45,3,IF(HR_Data[[#This Row],[Age]]&lt;=55,4,5))))</f>
        <v>2</v>
      </c>
      <c r="AG872" s="1" t="str">
        <f>IF(HR_Data[[#This Row],[MonthlyIncome]]&lt;3000,"&lt;3K",IF(HR_Data[[#This Row],[MonthlyIncome]]&lt;6000,"3K-6K",IF(HR_Data[[#This Row],[MonthlyIncome]]&lt;10000,"6K-10K","10K+")))</f>
        <v>6K-10K</v>
      </c>
      <c r="AH872" s="1">
        <f>IF(HR_Data[[#This Row],[MonthlyIncome]]&lt;3000,1,IF(HR_Data[[#This Row],[MonthlyIncome]]&lt;6000,2,IF(HR_Data[[#This Row],[MonthlyIncome]]&lt;10000,3,4)))</f>
        <v>3</v>
      </c>
      <c r="AI872" s="1" t="str">
        <f>IF(HR_Data[[#This Row],[YearsAtCompany]]&lt;=2,"0-2 Yrs",IF(HR_Data[[#This Row],[YearsAtCompany]]&lt;=5,"3-5 Yrs",IF(HR_Data[[#This Row],[YearsAtCompany]]&lt;=10,"6-10 Yrs","10+ Yrs")))</f>
        <v>6-10 Yrs</v>
      </c>
      <c r="AJ872" s="1">
        <f>IF(HR_Data[[#This Row],[YearsAtCompany]]&lt;=2,1,IF(HR_Data[[#This Row],[YearsAtCompany]]&lt;=5,2,IF(HR_Data[[#This Row],[YearsAtCompany]]&lt;=10,3,4)))</f>
        <v>3</v>
      </c>
      <c r="AK872" s="1" t="str">
        <f>CHOOSE(HR_Data[[#This Row],[Education]],"Below College","College","Bachelor","Master","Doctor")</f>
        <v>Master</v>
      </c>
      <c r="AL872" s="1" t="str">
        <f>CHOOSE(HR_Data[[#This Row],[JobSatisfaction]],"Low","Medium","High","Very High")</f>
        <v>Low</v>
      </c>
      <c r="AM872" s="1" t="str">
        <f>CHOOSE(HR_Data[[#This Row],[EnvironmentSatisfaction]],"Low","Medium","High","Very High")</f>
        <v>High</v>
      </c>
      <c r="AN872" s="1" t="str">
        <f>CHOOSE(HR_Data[[#This Row],[WorkLifeBalance]],"Bad","Good","Better","Best")</f>
        <v>Better</v>
      </c>
      <c r="AO872" s="1" t="str">
        <f>IF(HR_Data[[#This Row],[PercentSalaryHike]]&lt;=13,"11-13%",IF(HR_Data[[#This Row],[PercentSalaryHike]]&lt;=16,"14-16%",IF(HR_Data[[#This Row],[PercentSalaryHike]]&lt;=19,"17-19%","20-25%")))</f>
        <v>14-16%</v>
      </c>
      <c r="AP872" s="1">
        <f>IF(HR_Data[[#This Row],[PercentSalaryHike]]&lt;=13,1,IF(HR_Data[[#This Row],[PercentSalaryHike]]&lt;=16,2,IF(HR_Data[[#This Row],[PercentSalaryHike]]&lt;=19,3,4)))</f>
        <v>2</v>
      </c>
      <c r="AQ872" s="1" t="str">
        <f>IF(HR_Data[[#This Row],[DistanceFromHome]]&lt;=5,"1 to 5",IF(HR_Data[[#This Row],[DistanceFromHome]]&lt;=10,"6 to 10",IF(HR_Data[[#This Row],[DistanceFromHome]]&lt;=20,"11 to 20","21 to 29")))</f>
        <v>11 to 20</v>
      </c>
      <c r="AR872" s="1">
        <f>IF(HR_Data[[#This Row],[DistanceFromHome]]&lt;=5,1,IF(HR_Data[[#This Row],[DistanceFromHome]]&lt;=10,2,IF(HR_Data[[#This Row],[DistanceFromHome]]&lt;=20,3,4)))</f>
        <v>3</v>
      </c>
      <c r="AS872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872" s="1">
        <f>IF(HR_Data[[#This Row],[TotalWorkingYears]]&lt;=5,1,IF(HR_Data[[#This Row],[TotalWorkingYears]]&lt;=10,2,IF(HR_Data[[#This Row],[TotalWorkingYears]]&lt;=20,3,4)))</f>
        <v>3</v>
      </c>
    </row>
    <row r="873" spans="1:46" x14ac:dyDescent="0.25">
      <c r="A873">
        <v>24</v>
      </c>
      <c r="B873" t="s">
        <v>29</v>
      </c>
      <c r="C873" t="s">
        <v>30</v>
      </c>
      <c r="D873" t="s">
        <v>38</v>
      </c>
      <c r="E873">
        <v>17</v>
      </c>
      <c r="F873">
        <v>2</v>
      </c>
      <c r="G873" t="s">
        <v>32</v>
      </c>
      <c r="H873">
        <v>1219</v>
      </c>
      <c r="I873">
        <v>4</v>
      </c>
      <c r="J873" t="s">
        <v>33</v>
      </c>
      <c r="K873">
        <v>3</v>
      </c>
      <c r="L873">
        <v>1</v>
      </c>
      <c r="M873" t="s">
        <v>43</v>
      </c>
      <c r="N873">
        <v>2</v>
      </c>
      <c r="O873" t="s">
        <v>41</v>
      </c>
      <c r="P873">
        <v>2210</v>
      </c>
      <c r="Q873">
        <v>1</v>
      </c>
      <c r="R873" t="s">
        <v>36</v>
      </c>
      <c r="S873">
        <v>13</v>
      </c>
      <c r="T873">
        <v>3</v>
      </c>
      <c r="U873">
        <v>1</v>
      </c>
      <c r="V873">
        <v>1</v>
      </c>
      <c r="W873">
        <v>1</v>
      </c>
      <c r="X873">
        <v>3</v>
      </c>
      <c r="Y873">
        <v>1</v>
      </c>
      <c r="Z873">
        <v>1</v>
      </c>
      <c r="AA873">
        <v>0</v>
      </c>
      <c r="AB873">
        <v>0</v>
      </c>
      <c r="AC873">
        <v>0</v>
      </c>
      <c r="AD873">
        <f>IF(HR_Data[[#This Row],[Attrition]]="Yes",1,0)</f>
        <v>1</v>
      </c>
      <c r="AE873" t="str">
        <f>IF(HR_Data[[#This Row],[Age]]&lt;=25,"18-25",IF(HR_Data[[#This Row],[Age]]&lt;=35,"26-35",IF(HR_Data[[#This Row],[Age]]&lt;=45,"36-45",IF(HR_Data[[#This Row],[Age]]&lt;=55,"46-55","55+"))))</f>
        <v>18-25</v>
      </c>
      <c r="AF873">
        <f>IF(HR_Data[[#This Row],[Age]]&lt;=25,1,IF(HR_Data[[#This Row],[Age]]&lt;=35,2,IF(HR_Data[[#This Row],[Age]]&lt;=45,3,IF(HR_Data[[#This Row],[Age]]&lt;=55,4,5))))</f>
        <v>1</v>
      </c>
      <c r="AG873" s="1" t="str">
        <f>IF(HR_Data[[#This Row],[MonthlyIncome]]&lt;3000,"&lt;3K",IF(HR_Data[[#This Row],[MonthlyIncome]]&lt;6000,"3K-6K",IF(HR_Data[[#This Row],[MonthlyIncome]]&lt;10000,"6K-10K","10K+")))</f>
        <v>&lt;3K</v>
      </c>
      <c r="AH873" s="1">
        <f>IF(HR_Data[[#This Row],[MonthlyIncome]]&lt;3000,1,IF(HR_Data[[#This Row],[MonthlyIncome]]&lt;6000,2,IF(HR_Data[[#This Row],[MonthlyIncome]]&lt;10000,3,4)))</f>
        <v>1</v>
      </c>
      <c r="AI873" s="1" t="str">
        <f>IF(HR_Data[[#This Row],[YearsAtCompany]]&lt;=2,"0-2 Yrs",IF(HR_Data[[#This Row],[YearsAtCompany]]&lt;=5,"3-5 Yrs",IF(HR_Data[[#This Row],[YearsAtCompany]]&lt;=10,"6-10 Yrs","10+ Yrs")))</f>
        <v>0-2 Yrs</v>
      </c>
      <c r="AJ873" s="1">
        <f>IF(HR_Data[[#This Row],[YearsAtCompany]]&lt;=2,1,IF(HR_Data[[#This Row],[YearsAtCompany]]&lt;=5,2,IF(HR_Data[[#This Row],[YearsAtCompany]]&lt;=10,3,4)))</f>
        <v>1</v>
      </c>
      <c r="AK873" s="1" t="str">
        <f>CHOOSE(HR_Data[[#This Row],[Education]],"Below College","College","Bachelor","Master","Doctor")</f>
        <v>College</v>
      </c>
      <c r="AL873" s="1" t="str">
        <f>CHOOSE(HR_Data[[#This Row],[JobSatisfaction]],"Low","Medium","High","Very High")</f>
        <v>Medium</v>
      </c>
      <c r="AM873" s="1" t="str">
        <f>CHOOSE(HR_Data[[#This Row],[EnvironmentSatisfaction]],"Low","Medium","High","Very High")</f>
        <v>Very High</v>
      </c>
      <c r="AN873" s="1" t="str">
        <f>CHOOSE(HR_Data[[#This Row],[WorkLifeBalance]],"Bad","Good","Better","Best")</f>
        <v>Bad</v>
      </c>
      <c r="AO873" s="1" t="str">
        <f>IF(HR_Data[[#This Row],[PercentSalaryHike]]&lt;=13,"11-13%",IF(HR_Data[[#This Row],[PercentSalaryHike]]&lt;=16,"14-16%",IF(HR_Data[[#This Row],[PercentSalaryHike]]&lt;=19,"17-19%","20-25%")))</f>
        <v>11-13%</v>
      </c>
      <c r="AP873" s="1">
        <f>IF(HR_Data[[#This Row],[PercentSalaryHike]]&lt;=13,1,IF(HR_Data[[#This Row],[PercentSalaryHike]]&lt;=16,2,IF(HR_Data[[#This Row],[PercentSalaryHike]]&lt;=19,3,4)))</f>
        <v>1</v>
      </c>
      <c r="AQ873" s="1" t="str">
        <f>IF(HR_Data[[#This Row],[DistanceFromHome]]&lt;=5,"1 to 5",IF(HR_Data[[#This Row],[DistanceFromHome]]&lt;=10,"6 to 10",IF(HR_Data[[#This Row],[DistanceFromHome]]&lt;=20,"11 to 20","21 to 29")))</f>
        <v>11 to 20</v>
      </c>
      <c r="AR873" s="1">
        <f>IF(HR_Data[[#This Row],[DistanceFromHome]]&lt;=5,1,IF(HR_Data[[#This Row],[DistanceFromHome]]&lt;=10,2,IF(HR_Data[[#This Row],[DistanceFromHome]]&lt;=20,3,4)))</f>
        <v>3</v>
      </c>
      <c r="AS873" s="1" t="str">
        <f>IF(HR_Data[[#This Row],[TotalWorkingYears]]&lt;=5,"0-5 Yrs",IF(HR_Data[[#This Row],[TotalWorkingYears]]&lt;=10,"6-10 Yrs",IF(HR_Data[[#This Row],[TotalWorkingYears]]&lt;=20,"11-20 Yrs","20+ Yrs")))</f>
        <v>0-5 Yrs</v>
      </c>
      <c r="AT873" s="1">
        <f>IF(HR_Data[[#This Row],[TotalWorkingYears]]&lt;=5,1,IF(HR_Data[[#This Row],[TotalWorkingYears]]&lt;=10,2,IF(HR_Data[[#This Row],[TotalWorkingYears]]&lt;=20,3,4)))</f>
        <v>1</v>
      </c>
    </row>
    <row r="874" spans="1:46" x14ac:dyDescent="0.25">
      <c r="A874">
        <v>33</v>
      </c>
      <c r="B874" t="s">
        <v>36</v>
      </c>
      <c r="C874" t="s">
        <v>37</v>
      </c>
      <c r="D874" t="s">
        <v>31</v>
      </c>
      <c r="E874">
        <v>25</v>
      </c>
      <c r="F874">
        <v>3</v>
      </c>
      <c r="G874" t="s">
        <v>44</v>
      </c>
      <c r="H874">
        <v>1220</v>
      </c>
      <c r="I874">
        <v>2</v>
      </c>
      <c r="J874" t="s">
        <v>33</v>
      </c>
      <c r="K874">
        <v>3</v>
      </c>
      <c r="L874">
        <v>2</v>
      </c>
      <c r="M874" t="s">
        <v>34</v>
      </c>
      <c r="N874">
        <v>3</v>
      </c>
      <c r="O874" t="s">
        <v>41</v>
      </c>
      <c r="P874">
        <v>4539</v>
      </c>
      <c r="Q874">
        <v>1</v>
      </c>
      <c r="R874" t="s">
        <v>36</v>
      </c>
      <c r="S874">
        <v>12</v>
      </c>
      <c r="T874">
        <v>3</v>
      </c>
      <c r="U874">
        <v>1</v>
      </c>
      <c r="V874">
        <v>1</v>
      </c>
      <c r="W874">
        <v>10</v>
      </c>
      <c r="X874">
        <v>3</v>
      </c>
      <c r="Y874">
        <v>2</v>
      </c>
      <c r="Z874">
        <v>10</v>
      </c>
      <c r="AA874">
        <v>7</v>
      </c>
      <c r="AB874">
        <v>0</v>
      </c>
      <c r="AC874">
        <v>1</v>
      </c>
      <c r="AD874">
        <f>IF(HR_Data[[#This Row],[Attrition]]="Yes",1,0)</f>
        <v>0</v>
      </c>
      <c r="AE874" t="str">
        <f>IF(HR_Data[[#This Row],[Age]]&lt;=25,"18-25",IF(HR_Data[[#This Row],[Age]]&lt;=35,"26-35",IF(HR_Data[[#This Row],[Age]]&lt;=45,"36-45",IF(HR_Data[[#This Row],[Age]]&lt;=55,"46-55","55+"))))</f>
        <v>26-35</v>
      </c>
      <c r="AF874">
        <f>IF(HR_Data[[#This Row],[Age]]&lt;=25,1,IF(HR_Data[[#This Row],[Age]]&lt;=35,2,IF(HR_Data[[#This Row],[Age]]&lt;=45,3,IF(HR_Data[[#This Row],[Age]]&lt;=55,4,5))))</f>
        <v>2</v>
      </c>
      <c r="AG874" s="1" t="str">
        <f>IF(HR_Data[[#This Row],[MonthlyIncome]]&lt;3000,"&lt;3K",IF(HR_Data[[#This Row],[MonthlyIncome]]&lt;6000,"3K-6K",IF(HR_Data[[#This Row],[MonthlyIncome]]&lt;10000,"6K-10K","10K+")))</f>
        <v>3K-6K</v>
      </c>
      <c r="AH874" s="1">
        <f>IF(HR_Data[[#This Row],[MonthlyIncome]]&lt;3000,1,IF(HR_Data[[#This Row],[MonthlyIncome]]&lt;6000,2,IF(HR_Data[[#This Row],[MonthlyIncome]]&lt;10000,3,4)))</f>
        <v>2</v>
      </c>
      <c r="AI874" s="1" t="str">
        <f>IF(HR_Data[[#This Row],[YearsAtCompany]]&lt;=2,"0-2 Yrs",IF(HR_Data[[#This Row],[YearsAtCompany]]&lt;=5,"3-5 Yrs",IF(HR_Data[[#This Row],[YearsAtCompany]]&lt;=10,"6-10 Yrs","10+ Yrs")))</f>
        <v>6-10 Yrs</v>
      </c>
      <c r="AJ874" s="1">
        <f>IF(HR_Data[[#This Row],[YearsAtCompany]]&lt;=2,1,IF(HR_Data[[#This Row],[YearsAtCompany]]&lt;=5,2,IF(HR_Data[[#This Row],[YearsAtCompany]]&lt;=10,3,4)))</f>
        <v>3</v>
      </c>
      <c r="AK874" s="1" t="str">
        <f>CHOOSE(HR_Data[[#This Row],[Education]],"Below College","College","Bachelor","Master","Doctor")</f>
        <v>Bachelor</v>
      </c>
      <c r="AL874" s="1" t="str">
        <f>CHOOSE(HR_Data[[#This Row],[JobSatisfaction]],"Low","Medium","High","Very High")</f>
        <v>High</v>
      </c>
      <c r="AM874" s="1" t="str">
        <f>CHOOSE(HR_Data[[#This Row],[EnvironmentSatisfaction]],"Low","Medium","High","Very High")</f>
        <v>Medium</v>
      </c>
      <c r="AN874" s="1" t="str">
        <f>CHOOSE(HR_Data[[#This Row],[WorkLifeBalance]],"Bad","Good","Better","Best")</f>
        <v>Good</v>
      </c>
      <c r="AO874" s="1" t="str">
        <f>IF(HR_Data[[#This Row],[PercentSalaryHike]]&lt;=13,"11-13%",IF(HR_Data[[#This Row],[PercentSalaryHike]]&lt;=16,"14-16%",IF(HR_Data[[#This Row],[PercentSalaryHike]]&lt;=19,"17-19%","20-25%")))</f>
        <v>11-13%</v>
      </c>
      <c r="AP874" s="1">
        <f>IF(HR_Data[[#This Row],[PercentSalaryHike]]&lt;=13,1,IF(HR_Data[[#This Row],[PercentSalaryHike]]&lt;=16,2,IF(HR_Data[[#This Row],[PercentSalaryHike]]&lt;=19,3,4)))</f>
        <v>1</v>
      </c>
      <c r="AQ874" s="1" t="str">
        <f>IF(HR_Data[[#This Row],[DistanceFromHome]]&lt;=5,"1 to 5",IF(HR_Data[[#This Row],[DistanceFromHome]]&lt;=10,"6 to 10",IF(HR_Data[[#This Row],[DistanceFromHome]]&lt;=20,"11 to 20","21 to 29")))</f>
        <v>21 to 29</v>
      </c>
      <c r="AR874" s="1">
        <f>IF(HR_Data[[#This Row],[DistanceFromHome]]&lt;=5,1,IF(HR_Data[[#This Row],[DistanceFromHome]]&lt;=10,2,IF(HR_Data[[#This Row],[DistanceFromHome]]&lt;=20,3,4)))</f>
        <v>4</v>
      </c>
      <c r="AS874" s="1" t="str">
        <f>IF(HR_Data[[#This Row],[TotalWorkingYears]]&lt;=5,"0-5 Yrs",IF(HR_Data[[#This Row],[TotalWorkingYears]]&lt;=10,"6-10 Yrs",IF(HR_Data[[#This Row],[TotalWorkingYears]]&lt;=20,"11-20 Yrs","20+ Yrs")))</f>
        <v>6-10 Yrs</v>
      </c>
      <c r="AT874" s="1">
        <f>IF(HR_Data[[#This Row],[TotalWorkingYears]]&lt;=5,1,IF(HR_Data[[#This Row],[TotalWorkingYears]]&lt;=10,2,IF(HR_Data[[#This Row],[TotalWorkingYears]]&lt;=20,3,4)))</f>
        <v>2</v>
      </c>
    </row>
    <row r="875" spans="1:46" x14ac:dyDescent="0.25">
      <c r="A875">
        <v>36</v>
      </c>
      <c r="B875" t="s">
        <v>36</v>
      </c>
      <c r="C875" t="s">
        <v>30</v>
      </c>
      <c r="D875" t="s">
        <v>38</v>
      </c>
      <c r="E875">
        <v>6</v>
      </c>
      <c r="F875">
        <v>4</v>
      </c>
      <c r="G875" t="s">
        <v>32</v>
      </c>
      <c r="H875">
        <v>1221</v>
      </c>
      <c r="I875">
        <v>3</v>
      </c>
      <c r="J875" t="s">
        <v>39</v>
      </c>
      <c r="K875">
        <v>1</v>
      </c>
      <c r="L875">
        <v>1</v>
      </c>
      <c r="M875" t="s">
        <v>43</v>
      </c>
      <c r="N875">
        <v>3</v>
      </c>
      <c r="O875" t="s">
        <v>45</v>
      </c>
      <c r="P875">
        <v>2741</v>
      </c>
      <c r="Q875">
        <v>1</v>
      </c>
      <c r="R875" t="s">
        <v>36</v>
      </c>
      <c r="S875">
        <v>14</v>
      </c>
      <c r="T875">
        <v>3</v>
      </c>
      <c r="U875">
        <v>3</v>
      </c>
      <c r="V875">
        <v>1</v>
      </c>
      <c r="W875">
        <v>7</v>
      </c>
      <c r="X875">
        <v>4</v>
      </c>
      <c r="Y875">
        <v>3</v>
      </c>
      <c r="Z875">
        <v>7</v>
      </c>
      <c r="AA875">
        <v>7</v>
      </c>
      <c r="AB875">
        <v>1</v>
      </c>
      <c r="AC875">
        <v>7</v>
      </c>
      <c r="AD875">
        <f>IF(HR_Data[[#This Row],[Attrition]]="Yes",1,0)</f>
        <v>0</v>
      </c>
      <c r="AE875" t="str">
        <f>IF(HR_Data[[#This Row],[Age]]&lt;=25,"18-25",IF(HR_Data[[#This Row],[Age]]&lt;=35,"26-35",IF(HR_Data[[#This Row],[Age]]&lt;=45,"36-45",IF(HR_Data[[#This Row],[Age]]&lt;=55,"46-55","55+"))))</f>
        <v>36-45</v>
      </c>
      <c r="AF875">
        <f>IF(HR_Data[[#This Row],[Age]]&lt;=25,1,IF(HR_Data[[#This Row],[Age]]&lt;=35,2,IF(HR_Data[[#This Row],[Age]]&lt;=45,3,IF(HR_Data[[#This Row],[Age]]&lt;=55,4,5))))</f>
        <v>3</v>
      </c>
      <c r="AG875" s="1" t="str">
        <f>IF(HR_Data[[#This Row],[MonthlyIncome]]&lt;3000,"&lt;3K",IF(HR_Data[[#This Row],[MonthlyIncome]]&lt;6000,"3K-6K",IF(HR_Data[[#This Row],[MonthlyIncome]]&lt;10000,"6K-10K","10K+")))</f>
        <v>&lt;3K</v>
      </c>
      <c r="AH875" s="1">
        <f>IF(HR_Data[[#This Row],[MonthlyIncome]]&lt;3000,1,IF(HR_Data[[#This Row],[MonthlyIncome]]&lt;6000,2,IF(HR_Data[[#This Row],[MonthlyIncome]]&lt;10000,3,4)))</f>
        <v>1</v>
      </c>
      <c r="AI875" s="1" t="str">
        <f>IF(HR_Data[[#This Row],[YearsAtCompany]]&lt;=2,"0-2 Yrs",IF(HR_Data[[#This Row],[YearsAtCompany]]&lt;=5,"3-5 Yrs",IF(HR_Data[[#This Row],[YearsAtCompany]]&lt;=10,"6-10 Yrs","10+ Yrs")))</f>
        <v>6-10 Yrs</v>
      </c>
      <c r="AJ875" s="1">
        <f>IF(HR_Data[[#This Row],[YearsAtCompany]]&lt;=2,1,IF(HR_Data[[#This Row],[YearsAtCompany]]&lt;=5,2,IF(HR_Data[[#This Row],[YearsAtCompany]]&lt;=10,3,4)))</f>
        <v>3</v>
      </c>
      <c r="AK875" s="1" t="str">
        <f>CHOOSE(HR_Data[[#This Row],[Education]],"Below College","College","Bachelor","Master","Doctor")</f>
        <v>Master</v>
      </c>
      <c r="AL875" s="1" t="str">
        <f>CHOOSE(HR_Data[[#This Row],[JobSatisfaction]],"Low","Medium","High","Very High")</f>
        <v>High</v>
      </c>
      <c r="AM875" s="1" t="str">
        <f>CHOOSE(HR_Data[[#This Row],[EnvironmentSatisfaction]],"Low","Medium","High","Very High")</f>
        <v>High</v>
      </c>
      <c r="AN875" s="1" t="str">
        <f>CHOOSE(HR_Data[[#This Row],[WorkLifeBalance]],"Bad","Good","Better","Best")</f>
        <v>Better</v>
      </c>
      <c r="AO875" s="1" t="str">
        <f>IF(HR_Data[[#This Row],[PercentSalaryHike]]&lt;=13,"11-13%",IF(HR_Data[[#This Row],[PercentSalaryHike]]&lt;=16,"14-16%",IF(HR_Data[[#This Row],[PercentSalaryHike]]&lt;=19,"17-19%","20-25%")))</f>
        <v>14-16%</v>
      </c>
      <c r="AP875" s="1">
        <f>IF(HR_Data[[#This Row],[PercentSalaryHike]]&lt;=13,1,IF(HR_Data[[#This Row],[PercentSalaryHike]]&lt;=16,2,IF(HR_Data[[#This Row],[PercentSalaryHike]]&lt;=19,3,4)))</f>
        <v>2</v>
      </c>
      <c r="AQ875" s="1" t="str">
        <f>IF(HR_Data[[#This Row],[DistanceFromHome]]&lt;=5,"1 to 5",IF(HR_Data[[#This Row],[DistanceFromHome]]&lt;=10,"6 to 10",IF(HR_Data[[#This Row],[DistanceFromHome]]&lt;=20,"11 to 20","21 to 29")))</f>
        <v>6 to 10</v>
      </c>
      <c r="AR875" s="1">
        <f>IF(HR_Data[[#This Row],[DistanceFromHome]]&lt;=5,1,IF(HR_Data[[#This Row],[DistanceFromHome]]&lt;=10,2,IF(HR_Data[[#This Row],[DistanceFromHome]]&lt;=20,3,4)))</f>
        <v>2</v>
      </c>
      <c r="AS875" s="1" t="str">
        <f>IF(HR_Data[[#This Row],[TotalWorkingYears]]&lt;=5,"0-5 Yrs",IF(HR_Data[[#This Row],[TotalWorkingYears]]&lt;=10,"6-10 Yrs",IF(HR_Data[[#This Row],[TotalWorkingYears]]&lt;=20,"11-20 Yrs","20+ Yrs")))</f>
        <v>6-10 Yrs</v>
      </c>
      <c r="AT875" s="1">
        <f>IF(HR_Data[[#This Row],[TotalWorkingYears]]&lt;=5,1,IF(HR_Data[[#This Row],[TotalWorkingYears]]&lt;=10,2,IF(HR_Data[[#This Row],[TotalWorkingYears]]&lt;=20,3,4)))</f>
        <v>2</v>
      </c>
    </row>
    <row r="876" spans="1:46" x14ac:dyDescent="0.25">
      <c r="A876">
        <v>30</v>
      </c>
      <c r="B876" t="s">
        <v>36</v>
      </c>
      <c r="C876" t="s">
        <v>30</v>
      </c>
      <c r="D876" t="s">
        <v>38</v>
      </c>
      <c r="E876">
        <v>7</v>
      </c>
      <c r="F876">
        <v>4</v>
      </c>
      <c r="G876" t="s">
        <v>32</v>
      </c>
      <c r="H876">
        <v>1224</v>
      </c>
      <c r="I876">
        <v>3</v>
      </c>
      <c r="J876" t="s">
        <v>39</v>
      </c>
      <c r="K876">
        <v>3</v>
      </c>
      <c r="L876">
        <v>2</v>
      </c>
      <c r="M876" t="s">
        <v>43</v>
      </c>
      <c r="N876">
        <v>3</v>
      </c>
      <c r="O876" t="s">
        <v>45</v>
      </c>
      <c r="P876">
        <v>3491</v>
      </c>
      <c r="Q876">
        <v>1</v>
      </c>
      <c r="R876" t="s">
        <v>36</v>
      </c>
      <c r="S876">
        <v>13</v>
      </c>
      <c r="T876">
        <v>3</v>
      </c>
      <c r="U876">
        <v>1</v>
      </c>
      <c r="V876">
        <v>3</v>
      </c>
      <c r="W876">
        <v>10</v>
      </c>
      <c r="X876">
        <v>4</v>
      </c>
      <c r="Y876">
        <v>2</v>
      </c>
      <c r="Z876">
        <v>10</v>
      </c>
      <c r="AA876">
        <v>7</v>
      </c>
      <c r="AB876">
        <v>8</v>
      </c>
      <c r="AC876">
        <v>9</v>
      </c>
      <c r="AD876">
        <f>IF(HR_Data[[#This Row],[Attrition]]="Yes",1,0)</f>
        <v>0</v>
      </c>
      <c r="AE876" t="str">
        <f>IF(HR_Data[[#This Row],[Age]]&lt;=25,"18-25",IF(HR_Data[[#This Row],[Age]]&lt;=35,"26-35",IF(HR_Data[[#This Row],[Age]]&lt;=45,"36-45",IF(HR_Data[[#This Row],[Age]]&lt;=55,"46-55","55+"))))</f>
        <v>26-35</v>
      </c>
      <c r="AF876">
        <f>IF(HR_Data[[#This Row],[Age]]&lt;=25,1,IF(HR_Data[[#This Row],[Age]]&lt;=35,2,IF(HR_Data[[#This Row],[Age]]&lt;=45,3,IF(HR_Data[[#This Row],[Age]]&lt;=55,4,5))))</f>
        <v>2</v>
      </c>
      <c r="AG876" s="1" t="str">
        <f>IF(HR_Data[[#This Row],[MonthlyIncome]]&lt;3000,"&lt;3K",IF(HR_Data[[#This Row],[MonthlyIncome]]&lt;6000,"3K-6K",IF(HR_Data[[#This Row],[MonthlyIncome]]&lt;10000,"6K-10K","10K+")))</f>
        <v>3K-6K</v>
      </c>
      <c r="AH876" s="1">
        <f>IF(HR_Data[[#This Row],[MonthlyIncome]]&lt;3000,1,IF(HR_Data[[#This Row],[MonthlyIncome]]&lt;6000,2,IF(HR_Data[[#This Row],[MonthlyIncome]]&lt;10000,3,4)))</f>
        <v>2</v>
      </c>
      <c r="AI876" s="1" t="str">
        <f>IF(HR_Data[[#This Row],[YearsAtCompany]]&lt;=2,"0-2 Yrs",IF(HR_Data[[#This Row],[YearsAtCompany]]&lt;=5,"3-5 Yrs",IF(HR_Data[[#This Row],[YearsAtCompany]]&lt;=10,"6-10 Yrs","10+ Yrs")))</f>
        <v>6-10 Yrs</v>
      </c>
      <c r="AJ876" s="1">
        <f>IF(HR_Data[[#This Row],[YearsAtCompany]]&lt;=2,1,IF(HR_Data[[#This Row],[YearsAtCompany]]&lt;=5,2,IF(HR_Data[[#This Row],[YearsAtCompany]]&lt;=10,3,4)))</f>
        <v>3</v>
      </c>
      <c r="AK876" s="1" t="str">
        <f>CHOOSE(HR_Data[[#This Row],[Education]],"Below College","College","Bachelor","Master","Doctor")</f>
        <v>Master</v>
      </c>
      <c r="AL876" s="1" t="str">
        <f>CHOOSE(HR_Data[[#This Row],[JobSatisfaction]],"Low","Medium","High","Very High")</f>
        <v>High</v>
      </c>
      <c r="AM876" s="1" t="str">
        <f>CHOOSE(HR_Data[[#This Row],[EnvironmentSatisfaction]],"Low","Medium","High","Very High")</f>
        <v>High</v>
      </c>
      <c r="AN876" s="1" t="str">
        <f>CHOOSE(HR_Data[[#This Row],[WorkLifeBalance]],"Bad","Good","Better","Best")</f>
        <v>Good</v>
      </c>
      <c r="AO876" s="1" t="str">
        <f>IF(HR_Data[[#This Row],[PercentSalaryHike]]&lt;=13,"11-13%",IF(HR_Data[[#This Row],[PercentSalaryHike]]&lt;=16,"14-16%",IF(HR_Data[[#This Row],[PercentSalaryHike]]&lt;=19,"17-19%","20-25%")))</f>
        <v>11-13%</v>
      </c>
      <c r="AP876" s="1">
        <f>IF(HR_Data[[#This Row],[PercentSalaryHike]]&lt;=13,1,IF(HR_Data[[#This Row],[PercentSalaryHike]]&lt;=16,2,IF(HR_Data[[#This Row],[PercentSalaryHike]]&lt;=19,3,4)))</f>
        <v>1</v>
      </c>
      <c r="AQ876" s="1" t="str">
        <f>IF(HR_Data[[#This Row],[DistanceFromHome]]&lt;=5,"1 to 5",IF(HR_Data[[#This Row],[DistanceFromHome]]&lt;=10,"6 to 10",IF(HR_Data[[#This Row],[DistanceFromHome]]&lt;=20,"11 to 20","21 to 29")))</f>
        <v>6 to 10</v>
      </c>
      <c r="AR876" s="1">
        <f>IF(HR_Data[[#This Row],[DistanceFromHome]]&lt;=5,1,IF(HR_Data[[#This Row],[DistanceFromHome]]&lt;=10,2,IF(HR_Data[[#This Row],[DistanceFromHome]]&lt;=20,3,4)))</f>
        <v>2</v>
      </c>
      <c r="AS876" s="1" t="str">
        <f>IF(HR_Data[[#This Row],[TotalWorkingYears]]&lt;=5,"0-5 Yrs",IF(HR_Data[[#This Row],[TotalWorkingYears]]&lt;=10,"6-10 Yrs",IF(HR_Data[[#This Row],[TotalWorkingYears]]&lt;=20,"11-20 Yrs","20+ Yrs")))</f>
        <v>6-10 Yrs</v>
      </c>
      <c r="AT876" s="1">
        <f>IF(HR_Data[[#This Row],[TotalWorkingYears]]&lt;=5,1,IF(HR_Data[[#This Row],[TotalWorkingYears]]&lt;=10,2,IF(HR_Data[[#This Row],[TotalWorkingYears]]&lt;=20,3,4)))</f>
        <v>2</v>
      </c>
    </row>
    <row r="877" spans="1:46" x14ac:dyDescent="0.25">
      <c r="A877">
        <v>44</v>
      </c>
      <c r="B877" t="s">
        <v>36</v>
      </c>
      <c r="C877" t="s">
        <v>30</v>
      </c>
      <c r="D877" t="s">
        <v>38</v>
      </c>
      <c r="E877">
        <v>29</v>
      </c>
      <c r="F877">
        <v>4</v>
      </c>
      <c r="G877" t="s">
        <v>42</v>
      </c>
      <c r="H877">
        <v>1225</v>
      </c>
      <c r="I877">
        <v>4</v>
      </c>
      <c r="J877" t="s">
        <v>39</v>
      </c>
      <c r="K877">
        <v>3</v>
      </c>
      <c r="L877">
        <v>2</v>
      </c>
      <c r="M877" t="s">
        <v>40</v>
      </c>
      <c r="N877">
        <v>4</v>
      </c>
      <c r="O877" t="s">
        <v>35</v>
      </c>
      <c r="P877">
        <v>4541</v>
      </c>
      <c r="Q877">
        <v>1</v>
      </c>
      <c r="R877" t="s">
        <v>36</v>
      </c>
      <c r="S877">
        <v>25</v>
      </c>
      <c r="T877">
        <v>4</v>
      </c>
      <c r="U877">
        <v>2</v>
      </c>
      <c r="V877">
        <v>0</v>
      </c>
      <c r="W877">
        <v>20</v>
      </c>
      <c r="X877">
        <v>3</v>
      </c>
      <c r="Y877">
        <v>3</v>
      </c>
      <c r="Z877">
        <v>20</v>
      </c>
      <c r="AA877">
        <v>11</v>
      </c>
      <c r="AB877">
        <v>13</v>
      </c>
      <c r="AC877">
        <v>17</v>
      </c>
      <c r="AD877">
        <f>IF(HR_Data[[#This Row],[Attrition]]="Yes",1,0)</f>
        <v>0</v>
      </c>
      <c r="AE877" t="str">
        <f>IF(HR_Data[[#This Row],[Age]]&lt;=25,"18-25",IF(HR_Data[[#This Row],[Age]]&lt;=35,"26-35",IF(HR_Data[[#This Row],[Age]]&lt;=45,"36-45",IF(HR_Data[[#This Row],[Age]]&lt;=55,"46-55","55+"))))</f>
        <v>36-45</v>
      </c>
      <c r="AF877">
        <f>IF(HR_Data[[#This Row],[Age]]&lt;=25,1,IF(HR_Data[[#This Row],[Age]]&lt;=35,2,IF(HR_Data[[#This Row],[Age]]&lt;=45,3,IF(HR_Data[[#This Row],[Age]]&lt;=55,4,5))))</f>
        <v>3</v>
      </c>
      <c r="AG877" s="1" t="str">
        <f>IF(HR_Data[[#This Row],[MonthlyIncome]]&lt;3000,"&lt;3K",IF(HR_Data[[#This Row],[MonthlyIncome]]&lt;6000,"3K-6K",IF(HR_Data[[#This Row],[MonthlyIncome]]&lt;10000,"6K-10K","10K+")))</f>
        <v>3K-6K</v>
      </c>
      <c r="AH877" s="1">
        <f>IF(HR_Data[[#This Row],[MonthlyIncome]]&lt;3000,1,IF(HR_Data[[#This Row],[MonthlyIncome]]&lt;6000,2,IF(HR_Data[[#This Row],[MonthlyIncome]]&lt;10000,3,4)))</f>
        <v>2</v>
      </c>
      <c r="AI877" s="1" t="str">
        <f>IF(HR_Data[[#This Row],[YearsAtCompany]]&lt;=2,"0-2 Yrs",IF(HR_Data[[#This Row],[YearsAtCompany]]&lt;=5,"3-5 Yrs",IF(HR_Data[[#This Row],[YearsAtCompany]]&lt;=10,"6-10 Yrs","10+ Yrs")))</f>
        <v>10+ Yrs</v>
      </c>
      <c r="AJ877" s="1">
        <f>IF(HR_Data[[#This Row],[YearsAtCompany]]&lt;=2,1,IF(HR_Data[[#This Row],[YearsAtCompany]]&lt;=5,2,IF(HR_Data[[#This Row],[YearsAtCompany]]&lt;=10,3,4)))</f>
        <v>4</v>
      </c>
      <c r="AK877" s="1" t="str">
        <f>CHOOSE(HR_Data[[#This Row],[Education]],"Below College","College","Bachelor","Master","Doctor")</f>
        <v>Master</v>
      </c>
      <c r="AL877" s="1" t="str">
        <f>CHOOSE(HR_Data[[#This Row],[JobSatisfaction]],"Low","Medium","High","Very High")</f>
        <v>Very High</v>
      </c>
      <c r="AM877" s="1" t="str">
        <f>CHOOSE(HR_Data[[#This Row],[EnvironmentSatisfaction]],"Low","Medium","High","Very High")</f>
        <v>Very High</v>
      </c>
      <c r="AN877" s="1" t="str">
        <f>CHOOSE(HR_Data[[#This Row],[WorkLifeBalance]],"Bad","Good","Better","Best")</f>
        <v>Better</v>
      </c>
      <c r="AO877" s="1" t="str">
        <f>IF(HR_Data[[#This Row],[PercentSalaryHike]]&lt;=13,"11-13%",IF(HR_Data[[#This Row],[PercentSalaryHike]]&lt;=16,"14-16%",IF(HR_Data[[#This Row],[PercentSalaryHike]]&lt;=19,"17-19%","20-25%")))</f>
        <v>20-25%</v>
      </c>
      <c r="AP877" s="1">
        <f>IF(HR_Data[[#This Row],[PercentSalaryHike]]&lt;=13,1,IF(HR_Data[[#This Row],[PercentSalaryHike]]&lt;=16,2,IF(HR_Data[[#This Row],[PercentSalaryHike]]&lt;=19,3,4)))</f>
        <v>4</v>
      </c>
      <c r="AQ877" s="1" t="str">
        <f>IF(HR_Data[[#This Row],[DistanceFromHome]]&lt;=5,"1 to 5",IF(HR_Data[[#This Row],[DistanceFromHome]]&lt;=10,"6 to 10",IF(HR_Data[[#This Row],[DistanceFromHome]]&lt;=20,"11 to 20","21 to 29")))</f>
        <v>21 to 29</v>
      </c>
      <c r="AR877" s="1">
        <f>IF(HR_Data[[#This Row],[DistanceFromHome]]&lt;=5,1,IF(HR_Data[[#This Row],[DistanceFromHome]]&lt;=10,2,IF(HR_Data[[#This Row],[DistanceFromHome]]&lt;=20,3,4)))</f>
        <v>4</v>
      </c>
      <c r="AS877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877" s="1">
        <f>IF(HR_Data[[#This Row],[TotalWorkingYears]]&lt;=5,1,IF(HR_Data[[#This Row],[TotalWorkingYears]]&lt;=10,2,IF(HR_Data[[#This Row],[TotalWorkingYears]]&lt;=20,3,4)))</f>
        <v>3</v>
      </c>
    </row>
    <row r="878" spans="1:46" x14ac:dyDescent="0.25">
      <c r="A878">
        <v>20</v>
      </c>
      <c r="B878" t="s">
        <v>36</v>
      </c>
      <c r="C878" t="s">
        <v>30</v>
      </c>
      <c r="D878" t="s">
        <v>31</v>
      </c>
      <c r="E878">
        <v>21</v>
      </c>
      <c r="F878">
        <v>3</v>
      </c>
      <c r="G878" t="s">
        <v>52</v>
      </c>
      <c r="H878">
        <v>1226</v>
      </c>
      <c r="I878">
        <v>3</v>
      </c>
      <c r="J878" t="s">
        <v>39</v>
      </c>
      <c r="K878">
        <v>4</v>
      </c>
      <c r="L878">
        <v>1</v>
      </c>
      <c r="M878" t="s">
        <v>50</v>
      </c>
      <c r="N878">
        <v>4</v>
      </c>
      <c r="O878" t="s">
        <v>35</v>
      </c>
      <c r="P878">
        <v>2678</v>
      </c>
      <c r="Q878">
        <v>1</v>
      </c>
      <c r="R878" t="s">
        <v>36</v>
      </c>
      <c r="S878">
        <v>17</v>
      </c>
      <c r="T878">
        <v>3</v>
      </c>
      <c r="U878">
        <v>4</v>
      </c>
      <c r="V878">
        <v>0</v>
      </c>
      <c r="W878">
        <v>2</v>
      </c>
      <c r="X878">
        <v>2</v>
      </c>
      <c r="Y878">
        <v>3</v>
      </c>
      <c r="Z878">
        <v>2</v>
      </c>
      <c r="AA878">
        <v>1</v>
      </c>
      <c r="AB878">
        <v>2</v>
      </c>
      <c r="AC878">
        <v>2</v>
      </c>
      <c r="AD878">
        <f>IF(HR_Data[[#This Row],[Attrition]]="Yes",1,0)</f>
        <v>0</v>
      </c>
      <c r="AE878" t="str">
        <f>IF(HR_Data[[#This Row],[Age]]&lt;=25,"18-25",IF(HR_Data[[#This Row],[Age]]&lt;=35,"26-35",IF(HR_Data[[#This Row],[Age]]&lt;=45,"36-45",IF(HR_Data[[#This Row],[Age]]&lt;=55,"46-55","55+"))))</f>
        <v>18-25</v>
      </c>
      <c r="AF878">
        <f>IF(HR_Data[[#This Row],[Age]]&lt;=25,1,IF(HR_Data[[#This Row],[Age]]&lt;=35,2,IF(HR_Data[[#This Row],[Age]]&lt;=45,3,IF(HR_Data[[#This Row],[Age]]&lt;=55,4,5))))</f>
        <v>1</v>
      </c>
      <c r="AG878" s="1" t="str">
        <f>IF(HR_Data[[#This Row],[MonthlyIncome]]&lt;3000,"&lt;3K",IF(HR_Data[[#This Row],[MonthlyIncome]]&lt;6000,"3K-6K",IF(HR_Data[[#This Row],[MonthlyIncome]]&lt;10000,"6K-10K","10K+")))</f>
        <v>&lt;3K</v>
      </c>
      <c r="AH878" s="1">
        <f>IF(HR_Data[[#This Row],[MonthlyIncome]]&lt;3000,1,IF(HR_Data[[#This Row],[MonthlyIncome]]&lt;6000,2,IF(HR_Data[[#This Row],[MonthlyIncome]]&lt;10000,3,4)))</f>
        <v>1</v>
      </c>
      <c r="AI878" s="1" t="str">
        <f>IF(HR_Data[[#This Row],[YearsAtCompany]]&lt;=2,"0-2 Yrs",IF(HR_Data[[#This Row],[YearsAtCompany]]&lt;=5,"3-5 Yrs",IF(HR_Data[[#This Row],[YearsAtCompany]]&lt;=10,"6-10 Yrs","10+ Yrs")))</f>
        <v>0-2 Yrs</v>
      </c>
      <c r="AJ878" s="1">
        <f>IF(HR_Data[[#This Row],[YearsAtCompany]]&lt;=2,1,IF(HR_Data[[#This Row],[YearsAtCompany]]&lt;=5,2,IF(HR_Data[[#This Row],[YearsAtCompany]]&lt;=10,3,4)))</f>
        <v>1</v>
      </c>
      <c r="AK878" s="1" t="str">
        <f>CHOOSE(HR_Data[[#This Row],[Education]],"Below College","College","Bachelor","Master","Doctor")</f>
        <v>Bachelor</v>
      </c>
      <c r="AL878" s="1" t="str">
        <f>CHOOSE(HR_Data[[#This Row],[JobSatisfaction]],"Low","Medium","High","Very High")</f>
        <v>Very High</v>
      </c>
      <c r="AM878" s="1" t="str">
        <f>CHOOSE(HR_Data[[#This Row],[EnvironmentSatisfaction]],"Low","Medium","High","Very High")</f>
        <v>High</v>
      </c>
      <c r="AN878" s="1" t="str">
        <f>CHOOSE(HR_Data[[#This Row],[WorkLifeBalance]],"Bad","Good","Better","Best")</f>
        <v>Better</v>
      </c>
      <c r="AO878" s="1" t="str">
        <f>IF(HR_Data[[#This Row],[PercentSalaryHike]]&lt;=13,"11-13%",IF(HR_Data[[#This Row],[PercentSalaryHike]]&lt;=16,"14-16%",IF(HR_Data[[#This Row],[PercentSalaryHike]]&lt;=19,"17-19%","20-25%")))</f>
        <v>17-19%</v>
      </c>
      <c r="AP878" s="1">
        <f>IF(HR_Data[[#This Row],[PercentSalaryHike]]&lt;=13,1,IF(HR_Data[[#This Row],[PercentSalaryHike]]&lt;=16,2,IF(HR_Data[[#This Row],[PercentSalaryHike]]&lt;=19,3,4)))</f>
        <v>3</v>
      </c>
      <c r="AQ878" s="1" t="str">
        <f>IF(HR_Data[[#This Row],[DistanceFromHome]]&lt;=5,"1 to 5",IF(HR_Data[[#This Row],[DistanceFromHome]]&lt;=10,"6 to 10",IF(HR_Data[[#This Row],[DistanceFromHome]]&lt;=20,"11 to 20","21 to 29")))</f>
        <v>21 to 29</v>
      </c>
      <c r="AR878" s="1">
        <f>IF(HR_Data[[#This Row],[DistanceFromHome]]&lt;=5,1,IF(HR_Data[[#This Row],[DistanceFromHome]]&lt;=10,2,IF(HR_Data[[#This Row],[DistanceFromHome]]&lt;=20,3,4)))</f>
        <v>4</v>
      </c>
      <c r="AS878" s="1" t="str">
        <f>IF(HR_Data[[#This Row],[TotalWorkingYears]]&lt;=5,"0-5 Yrs",IF(HR_Data[[#This Row],[TotalWorkingYears]]&lt;=10,"6-10 Yrs",IF(HR_Data[[#This Row],[TotalWorkingYears]]&lt;=20,"11-20 Yrs","20+ Yrs")))</f>
        <v>0-5 Yrs</v>
      </c>
      <c r="AT878" s="1">
        <f>IF(HR_Data[[#This Row],[TotalWorkingYears]]&lt;=5,1,IF(HR_Data[[#This Row],[TotalWorkingYears]]&lt;=10,2,IF(HR_Data[[#This Row],[TotalWorkingYears]]&lt;=20,3,4)))</f>
        <v>1</v>
      </c>
    </row>
    <row r="879" spans="1:46" x14ac:dyDescent="0.25">
      <c r="A879">
        <v>46</v>
      </c>
      <c r="B879" t="s">
        <v>36</v>
      </c>
      <c r="C879" t="s">
        <v>30</v>
      </c>
      <c r="D879" t="s">
        <v>38</v>
      </c>
      <c r="E879">
        <v>2</v>
      </c>
      <c r="F879">
        <v>4</v>
      </c>
      <c r="G879" t="s">
        <v>53</v>
      </c>
      <c r="H879">
        <v>1228</v>
      </c>
      <c r="I879">
        <v>4</v>
      </c>
      <c r="J879" t="s">
        <v>39</v>
      </c>
      <c r="K879">
        <v>3</v>
      </c>
      <c r="L879">
        <v>2</v>
      </c>
      <c r="M879" t="s">
        <v>46</v>
      </c>
      <c r="N879">
        <v>4</v>
      </c>
      <c r="O879" t="s">
        <v>45</v>
      </c>
      <c r="P879">
        <v>7379</v>
      </c>
      <c r="Q879">
        <v>2</v>
      </c>
      <c r="R879" t="s">
        <v>36</v>
      </c>
      <c r="S879">
        <v>11</v>
      </c>
      <c r="T879">
        <v>3</v>
      </c>
      <c r="U879">
        <v>3</v>
      </c>
      <c r="V879">
        <v>1</v>
      </c>
      <c r="W879">
        <v>12</v>
      </c>
      <c r="X879">
        <v>3</v>
      </c>
      <c r="Y879">
        <v>2</v>
      </c>
      <c r="Z879">
        <v>6</v>
      </c>
      <c r="AA879">
        <v>3</v>
      </c>
      <c r="AB879">
        <v>1</v>
      </c>
      <c r="AC879">
        <v>4</v>
      </c>
      <c r="AD879">
        <f>IF(HR_Data[[#This Row],[Attrition]]="Yes",1,0)</f>
        <v>0</v>
      </c>
      <c r="AE879" t="str">
        <f>IF(HR_Data[[#This Row],[Age]]&lt;=25,"18-25",IF(HR_Data[[#This Row],[Age]]&lt;=35,"26-35",IF(HR_Data[[#This Row],[Age]]&lt;=45,"36-45",IF(HR_Data[[#This Row],[Age]]&lt;=55,"46-55","55+"))))</f>
        <v>46-55</v>
      </c>
      <c r="AF879">
        <f>IF(HR_Data[[#This Row],[Age]]&lt;=25,1,IF(HR_Data[[#This Row],[Age]]&lt;=35,2,IF(HR_Data[[#This Row],[Age]]&lt;=45,3,IF(HR_Data[[#This Row],[Age]]&lt;=55,4,5))))</f>
        <v>4</v>
      </c>
      <c r="AG879" s="1" t="str">
        <f>IF(HR_Data[[#This Row],[MonthlyIncome]]&lt;3000,"&lt;3K",IF(HR_Data[[#This Row],[MonthlyIncome]]&lt;6000,"3K-6K",IF(HR_Data[[#This Row],[MonthlyIncome]]&lt;10000,"6K-10K","10K+")))</f>
        <v>6K-10K</v>
      </c>
      <c r="AH879" s="1">
        <f>IF(HR_Data[[#This Row],[MonthlyIncome]]&lt;3000,1,IF(HR_Data[[#This Row],[MonthlyIncome]]&lt;6000,2,IF(HR_Data[[#This Row],[MonthlyIncome]]&lt;10000,3,4)))</f>
        <v>3</v>
      </c>
      <c r="AI879" s="1" t="str">
        <f>IF(HR_Data[[#This Row],[YearsAtCompany]]&lt;=2,"0-2 Yrs",IF(HR_Data[[#This Row],[YearsAtCompany]]&lt;=5,"3-5 Yrs",IF(HR_Data[[#This Row],[YearsAtCompany]]&lt;=10,"6-10 Yrs","10+ Yrs")))</f>
        <v>6-10 Yrs</v>
      </c>
      <c r="AJ879" s="1">
        <f>IF(HR_Data[[#This Row],[YearsAtCompany]]&lt;=2,1,IF(HR_Data[[#This Row],[YearsAtCompany]]&lt;=5,2,IF(HR_Data[[#This Row],[YearsAtCompany]]&lt;=10,3,4)))</f>
        <v>3</v>
      </c>
      <c r="AK879" s="1" t="str">
        <f>CHOOSE(HR_Data[[#This Row],[Education]],"Below College","College","Bachelor","Master","Doctor")</f>
        <v>Master</v>
      </c>
      <c r="AL879" s="1" t="str">
        <f>CHOOSE(HR_Data[[#This Row],[JobSatisfaction]],"Low","Medium","High","Very High")</f>
        <v>Very High</v>
      </c>
      <c r="AM879" s="1" t="str">
        <f>CHOOSE(HR_Data[[#This Row],[EnvironmentSatisfaction]],"Low","Medium","High","Very High")</f>
        <v>Very High</v>
      </c>
      <c r="AN879" s="1" t="str">
        <f>CHOOSE(HR_Data[[#This Row],[WorkLifeBalance]],"Bad","Good","Better","Best")</f>
        <v>Good</v>
      </c>
      <c r="AO879" s="1" t="str">
        <f>IF(HR_Data[[#This Row],[PercentSalaryHike]]&lt;=13,"11-13%",IF(HR_Data[[#This Row],[PercentSalaryHike]]&lt;=16,"14-16%",IF(HR_Data[[#This Row],[PercentSalaryHike]]&lt;=19,"17-19%","20-25%")))</f>
        <v>11-13%</v>
      </c>
      <c r="AP879" s="1">
        <f>IF(HR_Data[[#This Row],[PercentSalaryHike]]&lt;=13,1,IF(HR_Data[[#This Row],[PercentSalaryHike]]&lt;=16,2,IF(HR_Data[[#This Row],[PercentSalaryHike]]&lt;=19,3,4)))</f>
        <v>1</v>
      </c>
      <c r="AQ879" s="1" t="str">
        <f>IF(HR_Data[[#This Row],[DistanceFromHome]]&lt;=5,"1 to 5",IF(HR_Data[[#This Row],[DistanceFromHome]]&lt;=10,"6 to 10",IF(HR_Data[[#This Row],[DistanceFromHome]]&lt;=20,"11 to 20","21 to 29")))</f>
        <v>1 to 5</v>
      </c>
      <c r="AR879" s="1">
        <f>IF(HR_Data[[#This Row],[DistanceFromHome]]&lt;=5,1,IF(HR_Data[[#This Row],[DistanceFromHome]]&lt;=10,2,IF(HR_Data[[#This Row],[DistanceFromHome]]&lt;=20,3,4)))</f>
        <v>1</v>
      </c>
      <c r="AS879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879" s="1">
        <f>IF(HR_Data[[#This Row],[TotalWorkingYears]]&lt;=5,1,IF(HR_Data[[#This Row],[TotalWorkingYears]]&lt;=10,2,IF(HR_Data[[#This Row],[TotalWorkingYears]]&lt;=20,3,4)))</f>
        <v>3</v>
      </c>
    </row>
    <row r="880" spans="1:46" x14ac:dyDescent="0.25">
      <c r="A880">
        <v>42</v>
      </c>
      <c r="B880" t="s">
        <v>36</v>
      </c>
      <c r="C880" t="s">
        <v>48</v>
      </c>
      <c r="D880" t="s">
        <v>54</v>
      </c>
      <c r="E880">
        <v>2</v>
      </c>
      <c r="F880">
        <v>5</v>
      </c>
      <c r="G880" t="s">
        <v>44</v>
      </c>
      <c r="H880">
        <v>1231</v>
      </c>
      <c r="I880">
        <v>4</v>
      </c>
      <c r="J880" t="s">
        <v>39</v>
      </c>
      <c r="K880">
        <v>4</v>
      </c>
      <c r="L880">
        <v>2</v>
      </c>
      <c r="M880" t="s">
        <v>54</v>
      </c>
      <c r="N880">
        <v>1</v>
      </c>
      <c r="O880" t="s">
        <v>41</v>
      </c>
      <c r="P880">
        <v>6272</v>
      </c>
      <c r="Q880">
        <v>7</v>
      </c>
      <c r="R880" t="s">
        <v>36</v>
      </c>
      <c r="S880">
        <v>16</v>
      </c>
      <c r="T880">
        <v>3</v>
      </c>
      <c r="U880">
        <v>1</v>
      </c>
      <c r="V880">
        <v>1</v>
      </c>
      <c r="W880">
        <v>10</v>
      </c>
      <c r="X880">
        <v>3</v>
      </c>
      <c r="Y880">
        <v>4</v>
      </c>
      <c r="Z880">
        <v>4</v>
      </c>
      <c r="AA880">
        <v>3</v>
      </c>
      <c r="AB880">
        <v>0</v>
      </c>
      <c r="AC880">
        <v>3</v>
      </c>
      <c r="AD880">
        <f>IF(HR_Data[[#This Row],[Attrition]]="Yes",1,0)</f>
        <v>0</v>
      </c>
      <c r="AE880" t="str">
        <f>IF(HR_Data[[#This Row],[Age]]&lt;=25,"18-25",IF(HR_Data[[#This Row],[Age]]&lt;=35,"26-35",IF(HR_Data[[#This Row],[Age]]&lt;=45,"36-45",IF(HR_Data[[#This Row],[Age]]&lt;=55,"46-55","55+"))))</f>
        <v>36-45</v>
      </c>
      <c r="AF880">
        <f>IF(HR_Data[[#This Row],[Age]]&lt;=25,1,IF(HR_Data[[#This Row],[Age]]&lt;=35,2,IF(HR_Data[[#This Row],[Age]]&lt;=45,3,IF(HR_Data[[#This Row],[Age]]&lt;=55,4,5))))</f>
        <v>3</v>
      </c>
      <c r="AG880" s="1" t="str">
        <f>IF(HR_Data[[#This Row],[MonthlyIncome]]&lt;3000,"&lt;3K",IF(HR_Data[[#This Row],[MonthlyIncome]]&lt;6000,"3K-6K",IF(HR_Data[[#This Row],[MonthlyIncome]]&lt;10000,"6K-10K","10K+")))</f>
        <v>6K-10K</v>
      </c>
      <c r="AH880" s="1">
        <f>IF(HR_Data[[#This Row],[MonthlyIncome]]&lt;3000,1,IF(HR_Data[[#This Row],[MonthlyIncome]]&lt;6000,2,IF(HR_Data[[#This Row],[MonthlyIncome]]&lt;10000,3,4)))</f>
        <v>3</v>
      </c>
      <c r="AI880" s="1" t="str">
        <f>IF(HR_Data[[#This Row],[YearsAtCompany]]&lt;=2,"0-2 Yrs",IF(HR_Data[[#This Row],[YearsAtCompany]]&lt;=5,"3-5 Yrs",IF(HR_Data[[#This Row],[YearsAtCompany]]&lt;=10,"6-10 Yrs","10+ Yrs")))</f>
        <v>3-5 Yrs</v>
      </c>
      <c r="AJ880" s="1">
        <f>IF(HR_Data[[#This Row],[YearsAtCompany]]&lt;=2,1,IF(HR_Data[[#This Row],[YearsAtCompany]]&lt;=5,2,IF(HR_Data[[#This Row],[YearsAtCompany]]&lt;=10,3,4)))</f>
        <v>2</v>
      </c>
      <c r="AK880" s="1" t="str">
        <f>CHOOSE(HR_Data[[#This Row],[Education]],"Below College","College","Bachelor","Master","Doctor")</f>
        <v>Doctor</v>
      </c>
      <c r="AL880" s="1" t="str">
        <f>CHOOSE(HR_Data[[#This Row],[JobSatisfaction]],"Low","Medium","High","Very High")</f>
        <v>Low</v>
      </c>
      <c r="AM880" s="1" t="str">
        <f>CHOOSE(HR_Data[[#This Row],[EnvironmentSatisfaction]],"Low","Medium","High","Very High")</f>
        <v>Very High</v>
      </c>
      <c r="AN880" s="1" t="str">
        <f>CHOOSE(HR_Data[[#This Row],[WorkLifeBalance]],"Bad","Good","Better","Best")</f>
        <v>Best</v>
      </c>
      <c r="AO880" s="1" t="str">
        <f>IF(HR_Data[[#This Row],[PercentSalaryHike]]&lt;=13,"11-13%",IF(HR_Data[[#This Row],[PercentSalaryHike]]&lt;=16,"14-16%",IF(HR_Data[[#This Row],[PercentSalaryHike]]&lt;=19,"17-19%","20-25%")))</f>
        <v>14-16%</v>
      </c>
      <c r="AP880" s="1">
        <f>IF(HR_Data[[#This Row],[PercentSalaryHike]]&lt;=13,1,IF(HR_Data[[#This Row],[PercentSalaryHike]]&lt;=16,2,IF(HR_Data[[#This Row],[PercentSalaryHike]]&lt;=19,3,4)))</f>
        <v>2</v>
      </c>
      <c r="AQ880" s="1" t="str">
        <f>IF(HR_Data[[#This Row],[DistanceFromHome]]&lt;=5,"1 to 5",IF(HR_Data[[#This Row],[DistanceFromHome]]&lt;=10,"6 to 10",IF(HR_Data[[#This Row],[DistanceFromHome]]&lt;=20,"11 to 20","21 to 29")))</f>
        <v>1 to 5</v>
      </c>
      <c r="AR880" s="1">
        <f>IF(HR_Data[[#This Row],[DistanceFromHome]]&lt;=5,1,IF(HR_Data[[#This Row],[DistanceFromHome]]&lt;=10,2,IF(HR_Data[[#This Row],[DistanceFromHome]]&lt;=20,3,4)))</f>
        <v>1</v>
      </c>
      <c r="AS880" s="1" t="str">
        <f>IF(HR_Data[[#This Row],[TotalWorkingYears]]&lt;=5,"0-5 Yrs",IF(HR_Data[[#This Row],[TotalWorkingYears]]&lt;=10,"6-10 Yrs",IF(HR_Data[[#This Row],[TotalWorkingYears]]&lt;=20,"11-20 Yrs","20+ Yrs")))</f>
        <v>6-10 Yrs</v>
      </c>
      <c r="AT880" s="1">
        <f>IF(HR_Data[[#This Row],[TotalWorkingYears]]&lt;=5,1,IF(HR_Data[[#This Row],[TotalWorkingYears]]&lt;=10,2,IF(HR_Data[[#This Row],[TotalWorkingYears]]&lt;=20,3,4)))</f>
        <v>2</v>
      </c>
    </row>
    <row r="881" spans="1:46" x14ac:dyDescent="0.25">
      <c r="A881">
        <v>60</v>
      </c>
      <c r="B881" t="s">
        <v>36</v>
      </c>
      <c r="C881" t="s">
        <v>30</v>
      </c>
      <c r="D881" t="s">
        <v>31</v>
      </c>
      <c r="E881">
        <v>7</v>
      </c>
      <c r="F881">
        <v>4</v>
      </c>
      <c r="G881" t="s">
        <v>52</v>
      </c>
      <c r="H881">
        <v>1233</v>
      </c>
      <c r="I881">
        <v>2</v>
      </c>
      <c r="J881" t="s">
        <v>39</v>
      </c>
      <c r="K881">
        <v>4</v>
      </c>
      <c r="L881">
        <v>2</v>
      </c>
      <c r="M881" t="s">
        <v>34</v>
      </c>
      <c r="N881">
        <v>4</v>
      </c>
      <c r="O881" t="s">
        <v>45</v>
      </c>
      <c r="P881">
        <v>5220</v>
      </c>
      <c r="Q881">
        <v>0</v>
      </c>
      <c r="R881" t="s">
        <v>29</v>
      </c>
      <c r="S881">
        <v>18</v>
      </c>
      <c r="T881">
        <v>3</v>
      </c>
      <c r="U881">
        <v>2</v>
      </c>
      <c r="V881">
        <v>1</v>
      </c>
      <c r="W881">
        <v>12</v>
      </c>
      <c r="X881">
        <v>3</v>
      </c>
      <c r="Y881">
        <v>3</v>
      </c>
      <c r="Z881">
        <v>11</v>
      </c>
      <c r="AA881">
        <v>7</v>
      </c>
      <c r="AB881">
        <v>1</v>
      </c>
      <c r="AC881">
        <v>9</v>
      </c>
      <c r="AD881">
        <f>IF(HR_Data[[#This Row],[Attrition]]="Yes",1,0)</f>
        <v>0</v>
      </c>
      <c r="AE881" t="str">
        <f>IF(HR_Data[[#This Row],[Age]]&lt;=25,"18-25",IF(HR_Data[[#This Row],[Age]]&lt;=35,"26-35",IF(HR_Data[[#This Row],[Age]]&lt;=45,"36-45",IF(HR_Data[[#This Row],[Age]]&lt;=55,"46-55","55+"))))</f>
        <v>55+</v>
      </c>
      <c r="AF881">
        <f>IF(HR_Data[[#This Row],[Age]]&lt;=25,1,IF(HR_Data[[#This Row],[Age]]&lt;=35,2,IF(HR_Data[[#This Row],[Age]]&lt;=45,3,IF(HR_Data[[#This Row],[Age]]&lt;=55,4,5))))</f>
        <v>5</v>
      </c>
      <c r="AG881" s="1" t="str">
        <f>IF(HR_Data[[#This Row],[MonthlyIncome]]&lt;3000,"&lt;3K",IF(HR_Data[[#This Row],[MonthlyIncome]]&lt;6000,"3K-6K",IF(HR_Data[[#This Row],[MonthlyIncome]]&lt;10000,"6K-10K","10K+")))</f>
        <v>3K-6K</v>
      </c>
      <c r="AH881" s="1">
        <f>IF(HR_Data[[#This Row],[MonthlyIncome]]&lt;3000,1,IF(HR_Data[[#This Row],[MonthlyIncome]]&lt;6000,2,IF(HR_Data[[#This Row],[MonthlyIncome]]&lt;10000,3,4)))</f>
        <v>2</v>
      </c>
      <c r="AI881" s="1" t="str">
        <f>IF(HR_Data[[#This Row],[YearsAtCompany]]&lt;=2,"0-2 Yrs",IF(HR_Data[[#This Row],[YearsAtCompany]]&lt;=5,"3-5 Yrs",IF(HR_Data[[#This Row],[YearsAtCompany]]&lt;=10,"6-10 Yrs","10+ Yrs")))</f>
        <v>10+ Yrs</v>
      </c>
      <c r="AJ881" s="1">
        <f>IF(HR_Data[[#This Row],[YearsAtCompany]]&lt;=2,1,IF(HR_Data[[#This Row],[YearsAtCompany]]&lt;=5,2,IF(HR_Data[[#This Row],[YearsAtCompany]]&lt;=10,3,4)))</f>
        <v>4</v>
      </c>
      <c r="AK881" s="1" t="str">
        <f>CHOOSE(HR_Data[[#This Row],[Education]],"Below College","College","Bachelor","Master","Doctor")</f>
        <v>Master</v>
      </c>
      <c r="AL881" s="1" t="str">
        <f>CHOOSE(HR_Data[[#This Row],[JobSatisfaction]],"Low","Medium","High","Very High")</f>
        <v>Very High</v>
      </c>
      <c r="AM881" s="1" t="str">
        <f>CHOOSE(HR_Data[[#This Row],[EnvironmentSatisfaction]],"Low","Medium","High","Very High")</f>
        <v>Medium</v>
      </c>
      <c r="AN881" s="1" t="str">
        <f>CHOOSE(HR_Data[[#This Row],[WorkLifeBalance]],"Bad","Good","Better","Best")</f>
        <v>Better</v>
      </c>
      <c r="AO881" s="1" t="str">
        <f>IF(HR_Data[[#This Row],[PercentSalaryHike]]&lt;=13,"11-13%",IF(HR_Data[[#This Row],[PercentSalaryHike]]&lt;=16,"14-16%",IF(HR_Data[[#This Row],[PercentSalaryHike]]&lt;=19,"17-19%","20-25%")))</f>
        <v>17-19%</v>
      </c>
      <c r="AP881" s="1">
        <f>IF(HR_Data[[#This Row],[PercentSalaryHike]]&lt;=13,1,IF(HR_Data[[#This Row],[PercentSalaryHike]]&lt;=16,2,IF(HR_Data[[#This Row],[PercentSalaryHike]]&lt;=19,3,4)))</f>
        <v>3</v>
      </c>
      <c r="AQ881" s="1" t="str">
        <f>IF(HR_Data[[#This Row],[DistanceFromHome]]&lt;=5,"1 to 5",IF(HR_Data[[#This Row],[DistanceFromHome]]&lt;=10,"6 to 10",IF(HR_Data[[#This Row],[DistanceFromHome]]&lt;=20,"11 to 20","21 to 29")))</f>
        <v>6 to 10</v>
      </c>
      <c r="AR881" s="1">
        <f>IF(HR_Data[[#This Row],[DistanceFromHome]]&lt;=5,1,IF(HR_Data[[#This Row],[DistanceFromHome]]&lt;=10,2,IF(HR_Data[[#This Row],[DistanceFromHome]]&lt;=20,3,4)))</f>
        <v>2</v>
      </c>
      <c r="AS881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881" s="1">
        <f>IF(HR_Data[[#This Row],[TotalWorkingYears]]&lt;=5,1,IF(HR_Data[[#This Row],[TotalWorkingYears]]&lt;=10,2,IF(HR_Data[[#This Row],[TotalWorkingYears]]&lt;=20,3,4)))</f>
        <v>3</v>
      </c>
    </row>
    <row r="882" spans="1:46" x14ac:dyDescent="0.25">
      <c r="A882">
        <v>32</v>
      </c>
      <c r="B882" t="s">
        <v>36</v>
      </c>
      <c r="C882" t="s">
        <v>37</v>
      </c>
      <c r="D882" t="s">
        <v>38</v>
      </c>
      <c r="E882">
        <v>13</v>
      </c>
      <c r="F882">
        <v>3</v>
      </c>
      <c r="G882" t="s">
        <v>42</v>
      </c>
      <c r="H882">
        <v>1234</v>
      </c>
      <c r="I882">
        <v>3</v>
      </c>
      <c r="J882" t="s">
        <v>33</v>
      </c>
      <c r="K882">
        <v>2</v>
      </c>
      <c r="L882">
        <v>1</v>
      </c>
      <c r="M882" t="s">
        <v>43</v>
      </c>
      <c r="N882">
        <v>2</v>
      </c>
      <c r="O882" t="s">
        <v>41</v>
      </c>
      <c r="P882">
        <v>2743</v>
      </c>
      <c r="Q882">
        <v>1</v>
      </c>
      <c r="R882" t="s">
        <v>36</v>
      </c>
      <c r="S882">
        <v>20</v>
      </c>
      <c r="T882">
        <v>4</v>
      </c>
      <c r="U882">
        <v>3</v>
      </c>
      <c r="V882">
        <v>1</v>
      </c>
      <c r="W882">
        <v>2</v>
      </c>
      <c r="X882">
        <v>2</v>
      </c>
      <c r="Y882">
        <v>3</v>
      </c>
      <c r="Z882">
        <v>2</v>
      </c>
      <c r="AA882">
        <v>2</v>
      </c>
      <c r="AB882">
        <v>2</v>
      </c>
      <c r="AC882">
        <v>2</v>
      </c>
      <c r="AD882">
        <f>IF(HR_Data[[#This Row],[Attrition]]="Yes",1,0)</f>
        <v>0</v>
      </c>
      <c r="AE882" t="str">
        <f>IF(HR_Data[[#This Row],[Age]]&lt;=25,"18-25",IF(HR_Data[[#This Row],[Age]]&lt;=35,"26-35",IF(HR_Data[[#This Row],[Age]]&lt;=45,"36-45",IF(HR_Data[[#This Row],[Age]]&lt;=55,"46-55","55+"))))</f>
        <v>26-35</v>
      </c>
      <c r="AF882">
        <f>IF(HR_Data[[#This Row],[Age]]&lt;=25,1,IF(HR_Data[[#This Row],[Age]]&lt;=35,2,IF(HR_Data[[#This Row],[Age]]&lt;=45,3,IF(HR_Data[[#This Row],[Age]]&lt;=55,4,5))))</f>
        <v>2</v>
      </c>
      <c r="AG882" s="1" t="str">
        <f>IF(HR_Data[[#This Row],[MonthlyIncome]]&lt;3000,"&lt;3K",IF(HR_Data[[#This Row],[MonthlyIncome]]&lt;6000,"3K-6K",IF(HR_Data[[#This Row],[MonthlyIncome]]&lt;10000,"6K-10K","10K+")))</f>
        <v>&lt;3K</v>
      </c>
      <c r="AH882" s="1">
        <f>IF(HR_Data[[#This Row],[MonthlyIncome]]&lt;3000,1,IF(HR_Data[[#This Row],[MonthlyIncome]]&lt;6000,2,IF(HR_Data[[#This Row],[MonthlyIncome]]&lt;10000,3,4)))</f>
        <v>1</v>
      </c>
      <c r="AI882" s="1" t="str">
        <f>IF(HR_Data[[#This Row],[YearsAtCompany]]&lt;=2,"0-2 Yrs",IF(HR_Data[[#This Row],[YearsAtCompany]]&lt;=5,"3-5 Yrs",IF(HR_Data[[#This Row],[YearsAtCompany]]&lt;=10,"6-10 Yrs","10+ Yrs")))</f>
        <v>0-2 Yrs</v>
      </c>
      <c r="AJ882" s="1">
        <f>IF(HR_Data[[#This Row],[YearsAtCompany]]&lt;=2,1,IF(HR_Data[[#This Row],[YearsAtCompany]]&lt;=5,2,IF(HR_Data[[#This Row],[YearsAtCompany]]&lt;=10,3,4)))</f>
        <v>1</v>
      </c>
      <c r="AK882" s="1" t="str">
        <f>CHOOSE(HR_Data[[#This Row],[Education]],"Below College","College","Bachelor","Master","Doctor")</f>
        <v>Bachelor</v>
      </c>
      <c r="AL882" s="1" t="str">
        <f>CHOOSE(HR_Data[[#This Row],[JobSatisfaction]],"Low","Medium","High","Very High")</f>
        <v>Medium</v>
      </c>
      <c r="AM882" s="1" t="str">
        <f>CHOOSE(HR_Data[[#This Row],[EnvironmentSatisfaction]],"Low","Medium","High","Very High")</f>
        <v>High</v>
      </c>
      <c r="AN882" s="1" t="str">
        <f>CHOOSE(HR_Data[[#This Row],[WorkLifeBalance]],"Bad","Good","Better","Best")</f>
        <v>Better</v>
      </c>
      <c r="AO882" s="1" t="str">
        <f>IF(HR_Data[[#This Row],[PercentSalaryHike]]&lt;=13,"11-13%",IF(HR_Data[[#This Row],[PercentSalaryHike]]&lt;=16,"14-16%",IF(HR_Data[[#This Row],[PercentSalaryHike]]&lt;=19,"17-19%","20-25%")))</f>
        <v>20-25%</v>
      </c>
      <c r="AP882" s="1">
        <f>IF(HR_Data[[#This Row],[PercentSalaryHike]]&lt;=13,1,IF(HR_Data[[#This Row],[PercentSalaryHike]]&lt;=16,2,IF(HR_Data[[#This Row],[PercentSalaryHike]]&lt;=19,3,4)))</f>
        <v>4</v>
      </c>
      <c r="AQ882" s="1" t="str">
        <f>IF(HR_Data[[#This Row],[DistanceFromHome]]&lt;=5,"1 to 5",IF(HR_Data[[#This Row],[DistanceFromHome]]&lt;=10,"6 to 10",IF(HR_Data[[#This Row],[DistanceFromHome]]&lt;=20,"11 to 20","21 to 29")))</f>
        <v>11 to 20</v>
      </c>
      <c r="AR882" s="1">
        <f>IF(HR_Data[[#This Row],[DistanceFromHome]]&lt;=5,1,IF(HR_Data[[#This Row],[DistanceFromHome]]&lt;=10,2,IF(HR_Data[[#This Row],[DistanceFromHome]]&lt;=20,3,4)))</f>
        <v>3</v>
      </c>
      <c r="AS882" s="1" t="str">
        <f>IF(HR_Data[[#This Row],[TotalWorkingYears]]&lt;=5,"0-5 Yrs",IF(HR_Data[[#This Row],[TotalWorkingYears]]&lt;=10,"6-10 Yrs",IF(HR_Data[[#This Row],[TotalWorkingYears]]&lt;=20,"11-20 Yrs","20+ Yrs")))</f>
        <v>0-5 Yrs</v>
      </c>
      <c r="AT882" s="1">
        <f>IF(HR_Data[[#This Row],[TotalWorkingYears]]&lt;=5,1,IF(HR_Data[[#This Row],[TotalWorkingYears]]&lt;=10,2,IF(HR_Data[[#This Row],[TotalWorkingYears]]&lt;=20,3,4)))</f>
        <v>1</v>
      </c>
    </row>
    <row r="883" spans="1:46" x14ac:dyDescent="0.25">
      <c r="A883">
        <v>32</v>
      </c>
      <c r="B883" t="s">
        <v>36</v>
      </c>
      <c r="C883" t="s">
        <v>37</v>
      </c>
      <c r="D883" t="s">
        <v>38</v>
      </c>
      <c r="E883">
        <v>2</v>
      </c>
      <c r="F883">
        <v>2</v>
      </c>
      <c r="G883" t="s">
        <v>32</v>
      </c>
      <c r="H883">
        <v>1235</v>
      </c>
      <c r="I883">
        <v>4</v>
      </c>
      <c r="J883" t="s">
        <v>33</v>
      </c>
      <c r="K883">
        <v>3</v>
      </c>
      <c r="L883">
        <v>2</v>
      </c>
      <c r="M883" t="s">
        <v>40</v>
      </c>
      <c r="N883">
        <v>3</v>
      </c>
      <c r="O883" t="s">
        <v>35</v>
      </c>
      <c r="P883">
        <v>4998</v>
      </c>
      <c r="Q883">
        <v>4</v>
      </c>
      <c r="R883" t="s">
        <v>29</v>
      </c>
      <c r="S883">
        <v>14</v>
      </c>
      <c r="T883">
        <v>3</v>
      </c>
      <c r="U883">
        <v>4</v>
      </c>
      <c r="V883">
        <v>0</v>
      </c>
      <c r="W883">
        <v>10</v>
      </c>
      <c r="X883">
        <v>2</v>
      </c>
      <c r="Y883">
        <v>3</v>
      </c>
      <c r="Z883">
        <v>8</v>
      </c>
      <c r="AA883">
        <v>7</v>
      </c>
      <c r="AB883">
        <v>0</v>
      </c>
      <c r="AC883">
        <v>7</v>
      </c>
      <c r="AD883">
        <f>IF(HR_Data[[#This Row],[Attrition]]="Yes",1,0)</f>
        <v>0</v>
      </c>
      <c r="AE883" t="str">
        <f>IF(HR_Data[[#This Row],[Age]]&lt;=25,"18-25",IF(HR_Data[[#This Row],[Age]]&lt;=35,"26-35",IF(HR_Data[[#This Row],[Age]]&lt;=45,"36-45",IF(HR_Data[[#This Row],[Age]]&lt;=55,"46-55","55+"))))</f>
        <v>26-35</v>
      </c>
      <c r="AF883">
        <f>IF(HR_Data[[#This Row],[Age]]&lt;=25,1,IF(HR_Data[[#This Row],[Age]]&lt;=35,2,IF(HR_Data[[#This Row],[Age]]&lt;=45,3,IF(HR_Data[[#This Row],[Age]]&lt;=55,4,5))))</f>
        <v>2</v>
      </c>
      <c r="AG883" s="1" t="str">
        <f>IF(HR_Data[[#This Row],[MonthlyIncome]]&lt;3000,"&lt;3K",IF(HR_Data[[#This Row],[MonthlyIncome]]&lt;6000,"3K-6K",IF(HR_Data[[#This Row],[MonthlyIncome]]&lt;10000,"6K-10K","10K+")))</f>
        <v>3K-6K</v>
      </c>
      <c r="AH883" s="1">
        <f>IF(HR_Data[[#This Row],[MonthlyIncome]]&lt;3000,1,IF(HR_Data[[#This Row],[MonthlyIncome]]&lt;6000,2,IF(HR_Data[[#This Row],[MonthlyIncome]]&lt;10000,3,4)))</f>
        <v>2</v>
      </c>
      <c r="AI883" s="1" t="str">
        <f>IF(HR_Data[[#This Row],[YearsAtCompany]]&lt;=2,"0-2 Yrs",IF(HR_Data[[#This Row],[YearsAtCompany]]&lt;=5,"3-5 Yrs",IF(HR_Data[[#This Row],[YearsAtCompany]]&lt;=10,"6-10 Yrs","10+ Yrs")))</f>
        <v>6-10 Yrs</v>
      </c>
      <c r="AJ883" s="1">
        <f>IF(HR_Data[[#This Row],[YearsAtCompany]]&lt;=2,1,IF(HR_Data[[#This Row],[YearsAtCompany]]&lt;=5,2,IF(HR_Data[[#This Row],[YearsAtCompany]]&lt;=10,3,4)))</f>
        <v>3</v>
      </c>
      <c r="AK883" s="1" t="str">
        <f>CHOOSE(HR_Data[[#This Row],[Education]],"Below College","College","Bachelor","Master","Doctor")</f>
        <v>College</v>
      </c>
      <c r="AL883" s="1" t="str">
        <f>CHOOSE(HR_Data[[#This Row],[JobSatisfaction]],"Low","Medium","High","Very High")</f>
        <v>High</v>
      </c>
      <c r="AM883" s="1" t="str">
        <f>CHOOSE(HR_Data[[#This Row],[EnvironmentSatisfaction]],"Low","Medium","High","Very High")</f>
        <v>Very High</v>
      </c>
      <c r="AN883" s="1" t="str">
        <f>CHOOSE(HR_Data[[#This Row],[WorkLifeBalance]],"Bad","Good","Better","Best")</f>
        <v>Better</v>
      </c>
      <c r="AO883" s="1" t="str">
        <f>IF(HR_Data[[#This Row],[PercentSalaryHike]]&lt;=13,"11-13%",IF(HR_Data[[#This Row],[PercentSalaryHike]]&lt;=16,"14-16%",IF(HR_Data[[#This Row],[PercentSalaryHike]]&lt;=19,"17-19%","20-25%")))</f>
        <v>14-16%</v>
      </c>
      <c r="AP883" s="1">
        <f>IF(HR_Data[[#This Row],[PercentSalaryHike]]&lt;=13,1,IF(HR_Data[[#This Row],[PercentSalaryHike]]&lt;=16,2,IF(HR_Data[[#This Row],[PercentSalaryHike]]&lt;=19,3,4)))</f>
        <v>2</v>
      </c>
      <c r="AQ883" s="1" t="str">
        <f>IF(HR_Data[[#This Row],[DistanceFromHome]]&lt;=5,"1 to 5",IF(HR_Data[[#This Row],[DistanceFromHome]]&lt;=10,"6 to 10",IF(HR_Data[[#This Row],[DistanceFromHome]]&lt;=20,"11 to 20","21 to 29")))</f>
        <v>1 to 5</v>
      </c>
      <c r="AR883" s="1">
        <f>IF(HR_Data[[#This Row],[DistanceFromHome]]&lt;=5,1,IF(HR_Data[[#This Row],[DistanceFromHome]]&lt;=10,2,IF(HR_Data[[#This Row],[DistanceFromHome]]&lt;=20,3,4)))</f>
        <v>1</v>
      </c>
      <c r="AS883" s="1" t="str">
        <f>IF(HR_Data[[#This Row],[TotalWorkingYears]]&lt;=5,"0-5 Yrs",IF(HR_Data[[#This Row],[TotalWorkingYears]]&lt;=10,"6-10 Yrs",IF(HR_Data[[#This Row],[TotalWorkingYears]]&lt;=20,"11-20 Yrs","20+ Yrs")))</f>
        <v>6-10 Yrs</v>
      </c>
      <c r="AT883" s="1">
        <f>IF(HR_Data[[#This Row],[TotalWorkingYears]]&lt;=5,1,IF(HR_Data[[#This Row],[TotalWorkingYears]]&lt;=10,2,IF(HR_Data[[#This Row],[TotalWorkingYears]]&lt;=20,3,4)))</f>
        <v>2</v>
      </c>
    </row>
    <row r="884" spans="1:46" x14ac:dyDescent="0.25">
      <c r="A884">
        <v>36</v>
      </c>
      <c r="B884" t="s">
        <v>36</v>
      </c>
      <c r="C884" t="s">
        <v>30</v>
      </c>
      <c r="D884" t="s">
        <v>38</v>
      </c>
      <c r="E884">
        <v>1</v>
      </c>
      <c r="F884">
        <v>3</v>
      </c>
      <c r="G884" t="s">
        <v>53</v>
      </c>
      <c r="H884">
        <v>1237</v>
      </c>
      <c r="I884">
        <v>3</v>
      </c>
      <c r="J884" t="s">
        <v>33</v>
      </c>
      <c r="K884">
        <v>1</v>
      </c>
      <c r="L884">
        <v>3</v>
      </c>
      <c r="M884" t="s">
        <v>46</v>
      </c>
      <c r="N884">
        <v>1</v>
      </c>
      <c r="O884" t="s">
        <v>45</v>
      </c>
      <c r="P884">
        <v>10252</v>
      </c>
      <c r="Q884">
        <v>2</v>
      </c>
      <c r="R884" t="s">
        <v>29</v>
      </c>
      <c r="S884">
        <v>21</v>
      </c>
      <c r="T884">
        <v>4</v>
      </c>
      <c r="U884">
        <v>3</v>
      </c>
      <c r="V884">
        <v>1</v>
      </c>
      <c r="W884">
        <v>17</v>
      </c>
      <c r="X884">
        <v>2</v>
      </c>
      <c r="Y884">
        <v>3</v>
      </c>
      <c r="Z884">
        <v>7</v>
      </c>
      <c r="AA884">
        <v>7</v>
      </c>
      <c r="AB884">
        <v>7</v>
      </c>
      <c r="AC884">
        <v>7</v>
      </c>
      <c r="AD884">
        <f>IF(HR_Data[[#This Row],[Attrition]]="Yes",1,0)</f>
        <v>0</v>
      </c>
      <c r="AE884" t="str">
        <f>IF(HR_Data[[#This Row],[Age]]&lt;=25,"18-25",IF(HR_Data[[#This Row],[Age]]&lt;=35,"26-35",IF(HR_Data[[#This Row],[Age]]&lt;=45,"36-45",IF(HR_Data[[#This Row],[Age]]&lt;=55,"46-55","55+"))))</f>
        <v>36-45</v>
      </c>
      <c r="AF884">
        <f>IF(HR_Data[[#This Row],[Age]]&lt;=25,1,IF(HR_Data[[#This Row],[Age]]&lt;=35,2,IF(HR_Data[[#This Row],[Age]]&lt;=45,3,IF(HR_Data[[#This Row],[Age]]&lt;=55,4,5))))</f>
        <v>3</v>
      </c>
      <c r="AG884" s="1" t="str">
        <f>IF(HR_Data[[#This Row],[MonthlyIncome]]&lt;3000,"&lt;3K",IF(HR_Data[[#This Row],[MonthlyIncome]]&lt;6000,"3K-6K",IF(HR_Data[[#This Row],[MonthlyIncome]]&lt;10000,"6K-10K","10K+")))</f>
        <v>10K+</v>
      </c>
      <c r="AH884" s="1">
        <f>IF(HR_Data[[#This Row],[MonthlyIncome]]&lt;3000,1,IF(HR_Data[[#This Row],[MonthlyIncome]]&lt;6000,2,IF(HR_Data[[#This Row],[MonthlyIncome]]&lt;10000,3,4)))</f>
        <v>4</v>
      </c>
      <c r="AI884" s="1" t="str">
        <f>IF(HR_Data[[#This Row],[YearsAtCompany]]&lt;=2,"0-2 Yrs",IF(HR_Data[[#This Row],[YearsAtCompany]]&lt;=5,"3-5 Yrs",IF(HR_Data[[#This Row],[YearsAtCompany]]&lt;=10,"6-10 Yrs","10+ Yrs")))</f>
        <v>6-10 Yrs</v>
      </c>
      <c r="AJ884" s="1">
        <f>IF(HR_Data[[#This Row],[YearsAtCompany]]&lt;=2,1,IF(HR_Data[[#This Row],[YearsAtCompany]]&lt;=5,2,IF(HR_Data[[#This Row],[YearsAtCompany]]&lt;=10,3,4)))</f>
        <v>3</v>
      </c>
      <c r="AK884" s="1" t="str">
        <f>CHOOSE(HR_Data[[#This Row],[Education]],"Below College","College","Bachelor","Master","Doctor")</f>
        <v>Bachelor</v>
      </c>
      <c r="AL884" s="1" t="str">
        <f>CHOOSE(HR_Data[[#This Row],[JobSatisfaction]],"Low","Medium","High","Very High")</f>
        <v>Low</v>
      </c>
      <c r="AM884" s="1" t="str">
        <f>CHOOSE(HR_Data[[#This Row],[EnvironmentSatisfaction]],"Low","Medium","High","Very High")</f>
        <v>High</v>
      </c>
      <c r="AN884" s="1" t="str">
        <f>CHOOSE(HR_Data[[#This Row],[WorkLifeBalance]],"Bad","Good","Better","Best")</f>
        <v>Better</v>
      </c>
      <c r="AO884" s="1" t="str">
        <f>IF(HR_Data[[#This Row],[PercentSalaryHike]]&lt;=13,"11-13%",IF(HR_Data[[#This Row],[PercentSalaryHike]]&lt;=16,"14-16%",IF(HR_Data[[#This Row],[PercentSalaryHike]]&lt;=19,"17-19%","20-25%")))</f>
        <v>20-25%</v>
      </c>
      <c r="AP884" s="1">
        <f>IF(HR_Data[[#This Row],[PercentSalaryHike]]&lt;=13,1,IF(HR_Data[[#This Row],[PercentSalaryHike]]&lt;=16,2,IF(HR_Data[[#This Row],[PercentSalaryHike]]&lt;=19,3,4)))</f>
        <v>4</v>
      </c>
      <c r="AQ884" s="1" t="str">
        <f>IF(HR_Data[[#This Row],[DistanceFromHome]]&lt;=5,"1 to 5",IF(HR_Data[[#This Row],[DistanceFromHome]]&lt;=10,"6 to 10",IF(HR_Data[[#This Row],[DistanceFromHome]]&lt;=20,"11 to 20","21 to 29")))</f>
        <v>1 to 5</v>
      </c>
      <c r="AR884" s="1">
        <f>IF(HR_Data[[#This Row],[DistanceFromHome]]&lt;=5,1,IF(HR_Data[[#This Row],[DistanceFromHome]]&lt;=10,2,IF(HR_Data[[#This Row],[DistanceFromHome]]&lt;=20,3,4)))</f>
        <v>1</v>
      </c>
      <c r="AS884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884" s="1">
        <f>IF(HR_Data[[#This Row],[TotalWorkingYears]]&lt;=5,1,IF(HR_Data[[#This Row],[TotalWorkingYears]]&lt;=10,2,IF(HR_Data[[#This Row],[TotalWorkingYears]]&lt;=20,3,4)))</f>
        <v>3</v>
      </c>
    </row>
    <row r="885" spans="1:46" x14ac:dyDescent="0.25">
      <c r="A885">
        <v>33</v>
      </c>
      <c r="B885" t="s">
        <v>36</v>
      </c>
      <c r="C885" t="s">
        <v>30</v>
      </c>
      <c r="D885" t="s">
        <v>38</v>
      </c>
      <c r="E885">
        <v>9</v>
      </c>
      <c r="F885">
        <v>3</v>
      </c>
      <c r="G885" t="s">
        <v>44</v>
      </c>
      <c r="H885">
        <v>1238</v>
      </c>
      <c r="I885">
        <v>1</v>
      </c>
      <c r="J885" t="s">
        <v>39</v>
      </c>
      <c r="K885">
        <v>3</v>
      </c>
      <c r="L885">
        <v>1</v>
      </c>
      <c r="M885" t="s">
        <v>40</v>
      </c>
      <c r="N885">
        <v>4</v>
      </c>
      <c r="O885" t="s">
        <v>41</v>
      </c>
      <c r="P885">
        <v>2781</v>
      </c>
      <c r="Q885">
        <v>0</v>
      </c>
      <c r="R885" t="s">
        <v>36</v>
      </c>
      <c r="S885">
        <v>13</v>
      </c>
      <c r="T885">
        <v>3</v>
      </c>
      <c r="U885">
        <v>2</v>
      </c>
      <c r="V885">
        <v>1</v>
      </c>
      <c r="W885">
        <v>15</v>
      </c>
      <c r="X885">
        <v>5</v>
      </c>
      <c r="Y885">
        <v>3</v>
      </c>
      <c r="Z885">
        <v>14</v>
      </c>
      <c r="AA885">
        <v>10</v>
      </c>
      <c r="AB885">
        <v>4</v>
      </c>
      <c r="AC885">
        <v>10</v>
      </c>
      <c r="AD885">
        <f>IF(HR_Data[[#This Row],[Attrition]]="Yes",1,0)</f>
        <v>0</v>
      </c>
      <c r="AE885" t="str">
        <f>IF(HR_Data[[#This Row],[Age]]&lt;=25,"18-25",IF(HR_Data[[#This Row],[Age]]&lt;=35,"26-35",IF(HR_Data[[#This Row],[Age]]&lt;=45,"36-45",IF(HR_Data[[#This Row],[Age]]&lt;=55,"46-55","55+"))))</f>
        <v>26-35</v>
      </c>
      <c r="AF885">
        <f>IF(HR_Data[[#This Row],[Age]]&lt;=25,1,IF(HR_Data[[#This Row],[Age]]&lt;=35,2,IF(HR_Data[[#This Row],[Age]]&lt;=45,3,IF(HR_Data[[#This Row],[Age]]&lt;=55,4,5))))</f>
        <v>2</v>
      </c>
      <c r="AG885" s="1" t="str">
        <f>IF(HR_Data[[#This Row],[MonthlyIncome]]&lt;3000,"&lt;3K",IF(HR_Data[[#This Row],[MonthlyIncome]]&lt;6000,"3K-6K",IF(HR_Data[[#This Row],[MonthlyIncome]]&lt;10000,"6K-10K","10K+")))</f>
        <v>&lt;3K</v>
      </c>
      <c r="AH885" s="1">
        <f>IF(HR_Data[[#This Row],[MonthlyIncome]]&lt;3000,1,IF(HR_Data[[#This Row],[MonthlyIncome]]&lt;6000,2,IF(HR_Data[[#This Row],[MonthlyIncome]]&lt;10000,3,4)))</f>
        <v>1</v>
      </c>
      <c r="AI885" s="1" t="str">
        <f>IF(HR_Data[[#This Row],[YearsAtCompany]]&lt;=2,"0-2 Yrs",IF(HR_Data[[#This Row],[YearsAtCompany]]&lt;=5,"3-5 Yrs",IF(HR_Data[[#This Row],[YearsAtCompany]]&lt;=10,"6-10 Yrs","10+ Yrs")))</f>
        <v>10+ Yrs</v>
      </c>
      <c r="AJ885" s="1">
        <f>IF(HR_Data[[#This Row],[YearsAtCompany]]&lt;=2,1,IF(HR_Data[[#This Row],[YearsAtCompany]]&lt;=5,2,IF(HR_Data[[#This Row],[YearsAtCompany]]&lt;=10,3,4)))</f>
        <v>4</v>
      </c>
      <c r="AK885" s="1" t="str">
        <f>CHOOSE(HR_Data[[#This Row],[Education]],"Below College","College","Bachelor","Master","Doctor")</f>
        <v>Bachelor</v>
      </c>
      <c r="AL885" s="1" t="str">
        <f>CHOOSE(HR_Data[[#This Row],[JobSatisfaction]],"Low","Medium","High","Very High")</f>
        <v>Very High</v>
      </c>
      <c r="AM885" s="1" t="str">
        <f>CHOOSE(HR_Data[[#This Row],[EnvironmentSatisfaction]],"Low","Medium","High","Very High")</f>
        <v>Low</v>
      </c>
      <c r="AN885" s="1" t="str">
        <f>CHOOSE(HR_Data[[#This Row],[WorkLifeBalance]],"Bad","Good","Better","Best")</f>
        <v>Better</v>
      </c>
      <c r="AO885" s="1" t="str">
        <f>IF(HR_Data[[#This Row],[PercentSalaryHike]]&lt;=13,"11-13%",IF(HR_Data[[#This Row],[PercentSalaryHike]]&lt;=16,"14-16%",IF(HR_Data[[#This Row],[PercentSalaryHike]]&lt;=19,"17-19%","20-25%")))</f>
        <v>11-13%</v>
      </c>
      <c r="AP885" s="1">
        <f>IF(HR_Data[[#This Row],[PercentSalaryHike]]&lt;=13,1,IF(HR_Data[[#This Row],[PercentSalaryHike]]&lt;=16,2,IF(HR_Data[[#This Row],[PercentSalaryHike]]&lt;=19,3,4)))</f>
        <v>1</v>
      </c>
      <c r="AQ885" s="1" t="str">
        <f>IF(HR_Data[[#This Row],[DistanceFromHome]]&lt;=5,"1 to 5",IF(HR_Data[[#This Row],[DistanceFromHome]]&lt;=10,"6 to 10",IF(HR_Data[[#This Row],[DistanceFromHome]]&lt;=20,"11 to 20","21 to 29")))</f>
        <v>6 to 10</v>
      </c>
      <c r="AR885" s="1">
        <f>IF(HR_Data[[#This Row],[DistanceFromHome]]&lt;=5,1,IF(HR_Data[[#This Row],[DistanceFromHome]]&lt;=10,2,IF(HR_Data[[#This Row],[DistanceFromHome]]&lt;=20,3,4)))</f>
        <v>2</v>
      </c>
      <c r="AS885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885" s="1">
        <f>IF(HR_Data[[#This Row],[TotalWorkingYears]]&lt;=5,1,IF(HR_Data[[#This Row],[TotalWorkingYears]]&lt;=10,2,IF(HR_Data[[#This Row],[TotalWorkingYears]]&lt;=20,3,4)))</f>
        <v>3</v>
      </c>
    </row>
    <row r="886" spans="1:46" x14ac:dyDescent="0.25">
      <c r="A886">
        <v>40</v>
      </c>
      <c r="B886" t="s">
        <v>36</v>
      </c>
      <c r="C886" t="s">
        <v>30</v>
      </c>
      <c r="D886" t="s">
        <v>31</v>
      </c>
      <c r="E886">
        <v>10</v>
      </c>
      <c r="F886">
        <v>3</v>
      </c>
      <c r="G886" t="s">
        <v>53</v>
      </c>
      <c r="H886">
        <v>1239</v>
      </c>
      <c r="I886">
        <v>2</v>
      </c>
      <c r="J886" t="s">
        <v>33</v>
      </c>
      <c r="K886">
        <v>2</v>
      </c>
      <c r="L886">
        <v>2</v>
      </c>
      <c r="M886" t="s">
        <v>34</v>
      </c>
      <c r="N886">
        <v>2</v>
      </c>
      <c r="O886" t="s">
        <v>45</v>
      </c>
      <c r="P886">
        <v>6852</v>
      </c>
      <c r="Q886">
        <v>7</v>
      </c>
      <c r="R886" t="s">
        <v>36</v>
      </c>
      <c r="S886">
        <v>12</v>
      </c>
      <c r="T886">
        <v>3</v>
      </c>
      <c r="U886">
        <v>2</v>
      </c>
      <c r="V886">
        <v>1</v>
      </c>
      <c r="W886">
        <v>7</v>
      </c>
      <c r="X886">
        <v>2</v>
      </c>
      <c r="Y886">
        <v>4</v>
      </c>
      <c r="Z886">
        <v>5</v>
      </c>
      <c r="AA886">
        <v>1</v>
      </c>
      <c r="AB886">
        <v>1</v>
      </c>
      <c r="AC886">
        <v>3</v>
      </c>
      <c r="AD886">
        <f>IF(HR_Data[[#This Row],[Attrition]]="Yes",1,0)</f>
        <v>0</v>
      </c>
      <c r="AE886" t="str">
        <f>IF(HR_Data[[#This Row],[Age]]&lt;=25,"18-25",IF(HR_Data[[#This Row],[Age]]&lt;=35,"26-35",IF(HR_Data[[#This Row],[Age]]&lt;=45,"36-45",IF(HR_Data[[#This Row],[Age]]&lt;=55,"46-55","55+"))))</f>
        <v>36-45</v>
      </c>
      <c r="AF886">
        <f>IF(HR_Data[[#This Row],[Age]]&lt;=25,1,IF(HR_Data[[#This Row],[Age]]&lt;=35,2,IF(HR_Data[[#This Row],[Age]]&lt;=45,3,IF(HR_Data[[#This Row],[Age]]&lt;=55,4,5))))</f>
        <v>3</v>
      </c>
      <c r="AG886" s="1" t="str">
        <f>IF(HR_Data[[#This Row],[MonthlyIncome]]&lt;3000,"&lt;3K",IF(HR_Data[[#This Row],[MonthlyIncome]]&lt;6000,"3K-6K",IF(HR_Data[[#This Row],[MonthlyIncome]]&lt;10000,"6K-10K","10K+")))</f>
        <v>6K-10K</v>
      </c>
      <c r="AH886" s="1">
        <f>IF(HR_Data[[#This Row],[MonthlyIncome]]&lt;3000,1,IF(HR_Data[[#This Row],[MonthlyIncome]]&lt;6000,2,IF(HR_Data[[#This Row],[MonthlyIncome]]&lt;10000,3,4)))</f>
        <v>3</v>
      </c>
      <c r="AI886" s="1" t="str">
        <f>IF(HR_Data[[#This Row],[YearsAtCompany]]&lt;=2,"0-2 Yrs",IF(HR_Data[[#This Row],[YearsAtCompany]]&lt;=5,"3-5 Yrs",IF(HR_Data[[#This Row],[YearsAtCompany]]&lt;=10,"6-10 Yrs","10+ Yrs")))</f>
        <v>3-5 Yrs</v>
      </c>
      <c r="AJ886" s="1">
        <f>IF(HR_Data[[#This Row],[YearsAtCompany]]&lt;=2,1,IF(HR_Data[[#This Row],[YearsAtCompany]]&lt;=5,2,IF(HR_Data[[#This Row],[YearsAtCompany]]&lt;=10,3,4)))</f>
        <v>2</v>
      </c>
      <c r="AK886" s="1" t="str">
        <f>CHOOSE(HR_Data[[#This Row],[Education]],"Below College","College","Bachelor","Master","Doctor")</f>
        <v>Bachelor</v>
      </c>
      <c r="AL886" s="1" t="str">
        <f>CHOOSE(HR_Data[[#This Row],[JobSatisfaction]],"Low","Medium","High","Very High")</f>
        <v>Medium</v>
      </c>
      <c r="AM886" s="1" t="str">
        <f>CHOOSE(HR_Data[[#This Row],[EnvironmentSatisfaction]],"Low","Medium","High","Very High")</f>
        <v>Medium</v>
      </c>
      <c r="AN886" s="1" t="str">
        <f>CHOOSE(HR_Data[[#This Row],[WorkLifeBalance]],"Bad","Good","Better","Best")</f>
        <v>Best</v>
      </c>
      <c r="AO886" s="1" t="str">
        <f>IF(HR_Data[[#This Row],[PercentSalaryHike]]&lt;=13,"11-13%",IF(HR_Data[[#This Row],[PercentSalaryHike]]&lt;=16,"14-16%",IF(HR_Data[[#This Row],[PercentSalaryHike]]&lt;=19,"17-19%","20-25%")))</f>
        <v>11-13%</v>
      </c>
      <c r="AP886" s="1">
        <f>IF(HR_Data[[#This Row],[PercentSalaryHike]]&lt;=13,1,IF(HR_Data[[#This Row],[PercentSalaryHike]]&lt;=16,2,IF(HR_Data[[#This Row],[PercentSalaryHike]]&lt;=19,3,4)))</f>
        <v>1</v>
      </c>
      <c r="AQ886" s="1" t="str">
        <f>IF(HR_Data[[#This Row],[DistanceFromHome]]&lt;=5,"1 to 5",IF(HR_Data[[#This Row],[DistanceFromHome]]&lt;=10,"6 to 10",IF(HR_Data[[#This Row],[DistanceFromHome]]&lt;=20,"11 to 20","21 to 29")))</f>
        <v>6 to 10</v>
      </c>
      <c r="AR886" s="1">
        <f>IF(HR_Data[[#This Row],[DistanceFromHome]]&lt;=5,1,IF(HR_Data[[#This Row],[DistanceFromHome]]&lt;=10,2,IF(HR_Data[[#This Row],[DistanceFromHome]]&lt;=20,3,4)))</f>
        <v>2</v>
      </c>
      <c r="AS886" s="1" t="str">
        <f>IF(HR_Data[[#This Row],[TotalWorkingYears]]&lt;=5,"0-5 Yrs",IF(HR_Data[[#This Row],[TotalWorkingYears]]&lt;=10,"6-10 Yrs",IF(HR_Data[[#This Row],[TotalWorkingYears]]&lt;=20,"11-20 Yrs","20+ Yrs")))</f>
        <v>6-10 Yrs</v>
      </c>
      <c r="AT886" s="1">
        <f>IF(HR_Data[[#This Row],[TotalWorkingYears]]&lt;=5,1,IF(HR_Data[[#This Row],[TotalWorkingYears]]&lt;=10,2,IF(HR_Data[[#This Row],[TotalWorkingYears]]&lt;=20,3,4)))</f>
        <v>2</v>
      </c>
    </row>
    <row r="887" spans="1:46" x14ac:dyDescent="0.25">
      <c r="A887">
        <v>25</v>
      </c>
      <c r="B887" t="s">
        <v>36</v>
      </c>
      <c r="C887" t="s">
        <v>30</v>
      </c>
      <c r="D887" t="s">
        <v>31</v>
      </c>
      <c r="E887">
        <v>10</v>
      </c>
      <c r="F887">
        <v>4</v>
      </c>
      <c r="G887" t="s">
        <v>32</v>
      </c>
      <c r="H887">
        <v>1240</v>
      </c>
      <c r="I887">
        <v>3</v>
      </c>
      <c r="J887" t="s">
        <v>39</v>
      </c>
      <c r="K887">
        <v>3</v>
      </c>
      <c r="L887">
        <v>2</v>
      </c>
      <c r="M887" t="s">
        <v>34</v>
      </c>
      <c r="N887">
        <v>4</v>
      </c>
      <c r="O887" t="s">
        <v>35</v>
      </c>
      <c r="P887">
        <v>4950</v>
      </c>
      <c r="Q887">
        <v>0</v>
      </c>
      <c r="R887" t="s">
        <v>36</v>
      </c>
      <c r="S887">
        <v>14</v>
      </c>
      <c r="T887">
        <v>3</v>
      </c>
      <c r="U887">
        <v>2</v>
      </c>
      <c r="V887">
        <v>0</v>
      </c>
      <c r="W887">
        <v>5</v>
      </c>
      <c r="X887">
        <v>4</v>
      </c>
      <c r="Y887">
        <v>3</v>
      </c>
      <c r="Z887">
        <v>4</v>
      </c>
      <c r="AA887">
        <v>3</v>
      </c>
      <c r="AB887">
        <v>1</v>
      </c>
      <c r="AC887">
        <v>1</v>
      </c>
      <c r="AD887">
        <f>IF(HR_Data[[#This Row],[Attrition]]="Yes",1,0)</f>
        <v>0</v>
      </c>
      <c r="AE887" t="str">
        <f>IF(HR_Data[[#This Row],[Age]]&lt;=25,"18-25",IF(HR_Data[[#This Row],[Age]]&lt;=35,"26-35",IF(HR_Data[[#This Row],[Age]]&lt;=45,"36-45",IF(HR_Data[[#This Row],[Age]]&lt;=55,"46-55","55+"))))</f>
        <v>18-25</v>
      </c>
      <c r="AF887">
        <f>IF(HR_Data[[#This Row],[Age]]&lt;=25,1,IF(HR_Data[[#This Row],[Age]]&lt;=35,2,IF(HR_Data[[#This Row],[Age]]&lt;=45,3,IF(HR_Data[[#This Row],[Age]]&lt;=55,4,5))))</f>
        <v>1</v>
      </c>
      <c r="AG887" s="1" t="str">
        <f>IF(HR_Data[[#This Row],[MonthlyIncome]]&lt;3000,"&lt;3K",IF(HR_Data[[#This Row],[MonthlyIncome]]&lt;6000,"3K-6K",IF(HR_Data[[#This Row],[MonthlyIncome]]&lt;10000,"6K-10K","10K+")))</f>
        <v>3K-6K</v>
      </c>
      <c r="AH887" s="1">
        <f>IF(HR_Data[[#This Row],[MonthlyIncome]]&lt;3000,1,IF(HR_Data[[#This Row],[MonthlyIncome]]&lt;6000,2,IF(HR_Data[[#This Row],[MonthlyIncome]]&lt;10000,3,4)))</f>
        <v>2</v>
      </c>
      <c r="AI887" s="1" t="str">
        <f>IF(HR_Data[[#This Row],[YearsAtCompany]]&lt;=2,"0-2 Yrs",IF(HR_Data[[#This Row],[YearsAtCompany]]&lt;=5,"3-5 Yrs",IF(HR_Data[[#This Row],[YearsAtCompany]]&lt;=10,"6-10 Yrs","10+ Yrs")))</f>
        <v>3-5 Yrs</v>
      </c>
      <c r="AJ887" s="1">
        <f>IF(HR_Data[[#This Row],[YearsAtCompany]]&lt;=2,1,IF(HR_Data[[#This Row],[YearsAtCompany]]&lt;=5,2,IF(HR_Data[[#This Row],[YearsAtCompany]]&lt;=10,3,4)))</f>
        <v>2</v>
      </c>
      <c r="AK887" s="1" t="str">
        <f>CHOOSE(HR_Data[[#This Row],[Education]],"Below College","College","Bachelor","Master","Doctor")</f>
        <v>Master</v>
      </c>
      <c r="AL887" s="1" t="str">
        <f>CHOOSE(HR_Data[[#This Row],[JobSatisfaction]],"Low","Medium","High","Very High")</f>
        <v>Very High</v>
      </c>
      <c r="AM887" s="1" t="str">
        <f>CHOOSE(HR_Data[[#This Row],[EnvironmentSatisfaction]],"Low","Medium","High","Very High")</f>
        <v>High</v>
      </c>
      <c r="AN887" s="1" t="str">
        <f>CHOOSE(HR_Data[[#This Row],[WorkLifeBalance]],"Bad","Good","Better","Best")</f>
        <v>Better</v>
      </c>
      <c r="AO887" s="1" t="str">
        <f>IF(HR_Data[[#This Row],[PercentSalaryHike]]&lt;=13,"11-13%",IF(HR_Data[[#This Row],[PercentSalaryHike]]&lt;=16,"14-16%",IF(HR_Data[[#This Row],[PercentSalaryHike]]&lt;=19,"17-19%","20-25%")))</f>
        <v>14-16%</v>
      </c>
      <c r="AP887" s="1">
        <f>IF(HR_Data[[#This Row],[PercentSalaryHike]]&lt;=13,1,IF(HR_Data[[#This Row],[PercentSalaryHike]]&lt;=16,2,IF(HR_Data[[#This Row],[PercentSalaryHike]]&lt;=19,3,4)))</f>
        <v>2</v>
      </c>
      <c r="AQ887" s="1" t="str">
        <f>IF(HR_Data[[#This Row],[DistanceFromHome]]&lt;=5,"1 to 5",IF(HR_Data[[#This Row],[DistanceFromHome]]&lt;=10,"6 to 10",IF(HR_Data[[#This Row],[DistanceFromHome]]&lt;=20,"11 to 20","21 to 29")))</f>
        <v>6 to 10</v>
      </c>
      <c r="AR887" s="1">
        <f>IF(HR_Data[[#This Row],[DistanceFromHome]]&lt;=5,1,IF(HR_Data[[#This Row],[DistanceFromHome]]&lt;=10,2,IF(HR_Data[[#This Row],[DistanceFromHome]]&lt;=20,3,4)))</f>
        <v>2</v>
      </c>
      <c r="AS887" s="1" t="str">
        <f>IF(HR_Data[[#This Row],[TotalWorkingYears]]&lt;=5,"0-5 Yrs",IF(HR_Data[[#This Row],[TotalWorkingYears]]&lt;=10,"6-10 Yrs",IF(HR_Data[[#This Row],[TotalWorkingYears]]&lt;=20,"11-20 Yrs","20+ Yrs")))</f>
        <v>0-5 Yrs</v>
      </c>
      <c r="AT887" s="1">
        <f>IF(HR_Data[[#This Row],[TotalWorkingYears]]&lt;=5,1,IF(HR_Data[[#This Row],[TotalWorkingYears]]&lt;=10,2,IF(HR_Data[[#This Row],[TotalWorkingYears]]&lt;=20,3,4)))</f>
        <v>1</v>
      </c>
    </row>
    <row r="888" spans="1:46" x14ac:dyDescent="0.25">
      <c r="A888">
        <v>30</v>
      </c>
      <c r="B888" t="s">
        <v>36</v>
      </c>
      <c r="C888" t="s">
        <v>30</v>
      </c>
      <c r="D888" t="s">
        <v>38</v>
      </c>
      <c r="E888">
        <v>1</v>
      </c>
      <c r="F888">
        <v>3</v>
      </c>
      <c r="G888" t="s">
        <v>44</v>
      </c>
      <c r="H888">
        <v>1241</v>
      </c>
      <c r="I888">
        <v>4</v>
      </c>
      <c r="J888" t="s">
        <v>39</v>
      </c>
      <c r="K888">
        <v>3</v>
      </c>
      <c r="L888">
        <v>1</v>
      </c>
      <c r="M888" t="s">
        <v>40</v>
      </c>
      <c r="N888">
        <v>2</v>
      </c>
      <c r="O888" t="s">
        <v>41</v>
      </c>
      <c r="P888">
        <v>3579</v>
      </c>
      <c r="Q888">
        <v>0</v>
      </c>
      <c r="R888" t="s">
        <v>29</v>
      </c>
      <c r="S888">
        <v>21</v>
      </c>
      <c r="T888">
        <v>4</v>
      </c>
      <c r="U888">
        <v>1</v>
      </c>
      <c r="V888">
        <v>1</v>
      </c>
      <c r="W888">
        <v>12</v>
      </c>
      <c r="X888">
        <v>2</v>
      </c>
      <c r="Y888">
        <v>3</v>
      </c>
      <c r="Z888">
        <v>11</v>
      </c>
      <c r="AA888">
        <v>9</v>
      </c>
      <c r="AB888">
        <v>5</v>
      </c>
      <c r="AC888">
        <v>7</v>
      </c>
      <c r="AD888">
        <f>IF(HR_Data[[#This Row],[Attrition]]="Yes",1,0)</f>
        <v>0</v>
      </c>
      <c r="AE888" t="str">
        <f>IF(HR_Data[[#This Row],[Age]]&lt;=25,"18-25",IF(HR_Data[[#This Row],[Age]]&lt;=35,"26-35",IF(HR_Data[[#This Row],[Age]]&lt;=45,"36-45",IF(HR_Data[[#This Row],[Age]]&lt;=55,"46-55","55+"))))</f>
        <v>26-35</v>
      </c>
      <c r="AF888">
        <f>IF(HR_Data[[#This Row],[Age]]&lt;=25,1,IF(HR_Data[[#This Row],[Age]]&lt;=35,2,IF(HR_Data[[#This Row],[Age]]&lt;=45,3,IF(HR_Data[[#This Row],[Age]]&lt;=55,4,5))))</f>
        <v>2</v>
      </c>
      <c r="AG888" s="1" t="str">
        <f>IF(HR_Data[[#This Row],[MonthlyIncome]]&lt;3000,"&lt;3K",IF(HR_Data[[#This Row],[MonthlyIncome]]&lt;6000,"3K-6K",IF(HR_Data[[#This Row],[MonthlyIncome]]&lt;10000,"6K-10K","10K+")))</f>
        <v>3K-6K</v>
      </c>
      <c r="AH888" s="1">
        <f>IF(HR_Data[[#This Row],[MonthlyIncome]]&lt;3000,1,IF(HR_Data[[#This Row],[MonthlyIncome]]&lt;6000,2,IF(HR_Data[[#This Row],[MonthlyIncome]]&lt;10000,3,4)))</f>
        <v>2</v>
      </c>
      <c r="AI888" s="1" t="str">
        <f>IF(HR_Data[[#This Row],[YearsAtCompany]]&lt;=2,"0-2 Yrs",IF(HR_Data[[#This Row],[YearsAtCompany]]&lt;=5,"3-5 Yrs",IF(HR_Data[[#This Row],[YearsAtCompany]]&lt;=10,"6-10 Yrs","10+ Yrs")))</f>
        <v>10+ Yrs</v>
      </c>
      <c r="AJ888" s="1">
        <f>IF(HR_Data[[#This Row],[YearsAtCompany]]&lt;=2,1,IF(HR_Data[[#This Row],[YearsAtCompany]]&lt;=5,2,IF(HR_Data[[#This Row],[YearsAtCompany]]&lt;=10,3,4)))</f>
        <v>4</v>
      </c>
      <c r="AK888" s="1" t="str">
        <f>CHOOSE(HR_Data[[#This Row],[Education]],"Below College","College","Bachelor","Master","Doctor")</f>
        <v>Bachelor</v>
      </c>
      <c r="AL888" s="1" t="str">
        <f>CHOOSE(HR_Data[[#This Row],[JobSatisfaction]],"Low","Medium","High","Very High")</f>
        <v>Medium</v>
      </c>
      <c r="AM888" s="1" t="str">
        <f>CHOOSE(HR_Data[[#This Row],[EnvironmentSatisfaction]],"Low","Medium","High","Very High")</f>
        <v>Very High</v>
      </c>
      <c r="AN888" s="1" t="str">
        <f>CHOOSE(HR_Data[[#This Row],[WorkLifeBalance]],"Bad","Good","Better","Best")</f>
        <v>Better</v>
      </c>
      <c r="AO888" s="1" t="str">
        <f>IF(HR_Data[[#This Row],[PercentSalaryHike]]&lt;=13,"11-13%",IF(HR_Data[[#This Row],[PercentSalaryHike]]&lt;=16,"14-16%",IF(HR_Data[[#This Row],[PercentSalaryHike]]&lt;=19,"17-19%","20-25%")))</f>
        <v>20-25%</v>
      </c>
      <c r="AP888" s="1">
        <f>IF(HR_Data[[#This Row],[PercentSalaryHike]]&lt;=13,1,IF(HR_Data[[#This Row],[PercentSalaryHike]]&lt;=16,2,IF(HR_Data[[#This Row],[PercentSalaryHike]]&lt;=19,3,4)))</f>
        <v>4</v>
      </c>
      <c r="AQ888" s="1" t="str">
        <f>IF(HR_Data[[#This Row],[DistanceFromHome]]&lt;=5,"1 to 5",IF(HR_Data[[#This Row],[DistanceFromHome]]&lt;=10,"6 to 10",IF(HR_Data[[#This Row],[DistanceFromHome]]&lt;=20,"11 to 20","21 to 29")))</f>
        <v>1 to 5</v>
      </c>
      <c r="AR888" s="1">
        <f>IF(HR_Data[[#This Row],[DistanceFromHome]]&lt;=5,1,IF(HR_Data[[#This Row],[DistanceFromHome]]&lt;=10,2,IF(HR_Data[[#This Row],[DistanceFromHome]]&lt;=20,3,4)))</f>
        <v>1</v>
      </c>
      <c r="AS888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888" s="1">
        <f>IF(HR_Data[[#This Row],[TotalWorkingYears]]&lt;=5,1,IF(HR_Data[[#This Row],[TotalWorkingYears]]&lt;=10,2,IF(HR_Data[[#This Row],[TotalWorkingYears]]&lt;=20,3,4)))</f>
        <v>3</v>
      </c>
    </row>
    <row r="889" spans="1:46" x14ac:dyDescent="0.25">
      <c r="A889">
        <v>42</v>
      </c>
      <c r="B889" t="s">
        <v>36</v>
      </c>
      <c r="C889" t="s">
        <v>37</v>
      </c>
      <c r="D889" t="s">
        <v>38</v>
      </c>
      <c r="E889">
        <v>26</v>
      </c>
      <c r="F889">
        <v>5</v>
      </c>
      <c r="G889" t="s">
        <v>44</v>
      </c>
      <c r="H889">
        <v>1242</v>
      </c>
      <c r="I889">
        <v>1</v>
      </c>
      <c r="J889" t="s">
        <v>33</v>
      </c>
      <c r="K889">
        <v>3</v>
      </c>
      <c r="L889">
        <v>3</v>
      </c>
      <c r="M889" t="s">
        <v>51</v>
      </c>
      <c r="N889">
        <v>1</v>
      </c>
      <c r="O889" t="s">
        <v>41</v>
      </c>
      <c r="P889">
        <v>13191</v>
      </c>
      <c r="Q889">
        <v>3</v>
      </c>
      <c r="R889" t="s">
        <v>29</v>
      </c>
      <c r="S889">
        <v>17</v>
      </c>
      <c r="T889">
        <v>3</v>
      </c>
      <c r="U889">
        <v>3</v>
      </c>
      <c r="V889">
        <v>0</v>
      </c>
      <c r="W889">
        <v>20</v>
      </c>
      <c r="X889">
        <v>6</v>
      </c>
      <c r="Y889">
        <v>3</v>
      </c>
      <c r="Z889">
        <v>1</v>
      </c>
      <c r="AA889">
        <v>0</v>
      </c>
      <c r="AB889">
        <v>0</v>
      </c>
      <c r="AC889">
        <v>0</v>
      </c>
      <c r="AD889">
        <f>IF(HR_Data[[#This Row],[Attrition]]="Yes",1,0)</f>
        <v>0</v>
      </c>
      <c r="AE889" t="str">
        <f>IF(HR_Data[[#This Row],[Age]]&lt;=25,"18-25",IF(HR_Data[[#This Row],[Age]]&lt;=35,"26-35",IF(HR_Data[[#This Row],[Age]]&lt;=45,"36-45",IF(HR_Data[[#This Row],[Age]]&lt;=55,"46-55","55+"))))</f>
        <v>36-45</v>
      </c>
      <c r="AF889">
        <f>IF(HR_Data[[#This Row],[Age]]&lt;=25,1,IF(HR_Data[[#This Row],[Age]]&lt;=35,2,IF(HR_Data[[#This Row],[Age]]&lt;=45,3,IF(HR_Data[[#This Row],[Age]]&lt;=55,4,5))))</f>
        <v>3</v>
      </c>
      <c r="AG889" s="1" t="str">
        <f>IF(HR_Data[[#This Row],[MonthlyIncome]]&lt;3000,"&lt;3K",IF(HR_Data[[#This Row],[MonthlyIncome]]&lt;6000,"3K-6K",IF(HR_Data[[#This Row],[MonthlyIncome]]&lt;10000,"6K-10K","10K+")))</f>
        <v>10K+</v>
      </c>
      <c r="AH889" s="1">
        <f>IF(HR_Data[[#This Row],[MonthlyIncome]]&lt;3000,1,IF(HR_Data[[#This Row],[MonthlyIncome]]&lt;6000,2,IF(HR_Data[[#This Row],[MonthlyIncome]]&lt;10000,3,4)))</f>
        <v>4</v>
      </c>
      <c r="AI889" s="1" t="str">
        <f>IF(HR_Data[[#This Row],[YearsAtCompany]]&lt;=2,"0-2 Yrs",IF(HR_Data[[#This Row],[YearsAtCompany]]&lt;=5,"3-5 Yrs",IF(HR_Data[[#This Row],[YearsAtCompany]]&lt;=10,"6-10 Yrs","10+ Yrs")))</f>
        <v>0-2 Yrs</v>
      </c>
      <c r="AJ889" s="1">
        <f>IF(HR_Data[[#This Row],[YearsAtCompany]]&lt;=2,1,IF(HR_Data[[#This Row],[YearsAtCompany]]&lt;=5,2,IF(HR_Data[[#This Row],[YearsAtCompany]]&lt;=10,3,4)))</f>
        <v>1</v>
      </c>
      <c r="AK889" s="1" t="str">
        <f>CHOOSE(HR_Data[[#This Row],[Education]],"Below College","College","Bachelor","Master","Doctor")</f>
        <v>Doctor</v>
      </c>
      <c r="AL889" s="1" t="str">
        <f>CHOOSE(HR_Data[[#This Row],[JobSatisfaction]],"Low","Medium","High","Very High")</f>
        <v>Low</v>
      </c>
      <c r="AM889" s="1" t="str">
        <f>CHOOSE(HR_Data[[#This Row],[EnvironmentSatisfaction]],"Low","Medium","High","Very High")</f>
        <v>Low</v>
      </c>
      <c r="AN889" s="1" t="str">
        <f>CHOOSE(HR_Data[[#This Row],[WorkLifeBalance]],"Bad","Good","Better","Best")</f>
        <v>Better</v>
      </c>
      <c r="AO889" s="1" t="str">
        <f>IF(HR_Data[[#This Row],[PercentSalaryHike]]&lt;=13,"11-13%",IF(HR_Data[[#This Row],[PercentSalaryHike]]&lt;=16,"14-16%",IF(HR_Data[[#This Row],[PercentSalaryHike]]&lt;=19,"17-19%","20-25%")))</f>
        <v>17-19%</v>
      </c>
      <c r="AP889" s="1">
        <f>IF(HR_Data[[#This Row],[PercentSalaryHike]]&lt;=13,1,IF(HR_Data[[#This Row],[PercentSalaryHike]]&lt;=16,2,IF(HR_Data[[#This Row],[PercentSalaryHike]]&lt;=19,3,4)))</f>
        <v>3</v>
      </c>
      <c r="AQ889" s="1" t="str">
        <f>IF(HR_Data[[#This Row],[DistanceFromHome]]&lt;=5,"1 to 5",IF(HR_Data[[#This Row],[DistanceFromHome]]&lt;=10,"6 to 10",IF(HR_Data[[#This Row],[DistanceFromHome]]&lt;=20,"11 to 20","21 to 29")))</f>
        <v>21 to 29</v>
      </c>
      <c r="AR889" s="1">
        <f>IF(HR_Data[[#This Row],[DistanceFromHome]]&lt;=5,1,IF(HR_Data[[#This Row],[DistanceFromHome]]&lt;=10,2,IF(HR_Data[[#This Row],[DistanceFromHome]]&lt;=20,3,4)))</f>
        <v>4</v>
      </c>
      <c r="AS889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889" s="1">
        <f>IF(HR_Data[[#This Row],[TotalWorkingYears]]&lt;=5,1,IF(HR_Data[[#This Row],[TotalWorkingYears]]&lt;=10,2,IF(HR_Data[[#This Row],[TotalWorkingYears]]&lt;=20,3,4)))</f>
        <v>3</v>
      </c>
    </row>
    <row r="890" spans="1:46" x14ac:dyDescent="0.25">
      <c r="A890">
        <v>35</v>
      </c>
      <c r="B890" t="s">
        <v>36</v>
      </c>
      <c r="C890" t="s">
        <v>48</v>
      </c>
      <c r="D890" t="s">
        <v>31</v>
      </c>
      <c r="E890">
        <v>8</v>
      </c>
      <c r="F890">
        <v>2</v>
      </c>
      <c r="G890" t="s">
        <v>52</v>
      </c>
      <c r="H890">
        <v>1243</v>
      </c>
      <c r="I890">
        <v>3</v>
      </c>
      <c r="J890" t="s">
        <v>33</v>
      </c>
      <c r="K890">
        <v>2</v>
      </c>
      <c r="L890">
        <v>3</v>
      </c>
      <c r="M890" t="s">
        <v>34</v>
      </c>
      <c r="N890">
        <v>4</v>
      </c>
      <c r="O890" t="s">
        <v>41</v>
      </c>
      <c r="P890">
        <v>10377</v>
      </c>
      <c r="Q890">
        <v>4</v>
      </c>
      <c r="R890" t="s">
        <v>29</v>
      </c>
      <c r="S890">
        <v>11</v>
      </c>
      <c r="T890">
        <v>3</v>
      </c>
      <c r="U890">
        <v>2</v>
      </c>
      <c r="V890">
        <v>1</v>
      </c>
      <c r="W890">
        <v>16</v>
      </c>
      <c r="X890">
        <v>6</v>
      </c>
      <c r="Y890">
        <v>2</v>
      </c>
      <c r="Z890">
        <v>13</v>
      </c>
      <c r="AA890">
        <v>2</v>
      </c>
      <c r="AB890">
        <v>4</v>
      </c>
      <c r="AC890">
        <v>12</v>
      </c>
      <c r="AD890">
        <f>IF(HR_Data[[#This Row],[Attrition]]="Yes",1,0)</f>
        <v>0</v>
      </c>
      <c r="AE890" t="str">
        <f>IF(HR_Data[[#This Row],[Age]]&lt;=25,"18-25",IF(HR_Data[[#This Row],[Age]]&lt;=35,"26-35",IF(HR_Data[[#This Row],[Age]]&lt;=45,"36-45",IF(HR_Data[[#This Row],[Age]]&lt;=55,"46-55","55+"))))</f>
        <v>26-35</v>
      </c>
      <c r="AF890">
        <f>IF(HR_Data[[#This Row],[Age]]&lt;=25,1,IF(HR_Data[[#This Row],[Age]]&lt;=35,2,IF(HR_Data[[#This Row],[Age]]&lt;=45,3,IF(HR_Data[[#This Row],[Age]]&lt;=55,4,5))))</f>
        <v>2</v>
      </c>
      <c r="AG890" s="1" t="str">
        <f>IF(HR_Data[[#This Row],[MonthlyIncome]]&lt;3000,"&lt;3K",IF(HR_Data[[#This Row],[MonthlyIncome]]&lt;6000,"3K-6K",IF(HR_Data[[#This Row],[MonthlyIncome]]&lt;10000,"6K-10K","10K+")))</f>
        <v>10K+</v>
      </c>
      <c r="AH890" s="1">
        <f>IF(HR_Data[[#This Row],[MonthlyIncome]]&lt;3000,1,IF(HR_Data[[#This Row],[MonthlyIncome]]&lt;6000,2,IF(HR_Data[[#This Row],[MonthlyIncome]]&lt;10000,3,4)))</f>
        <v>4</v>
      </c>
      <c r="AI890" s="1" t="str">
        <f>IF(HR_Data[[#This Row],[YearsAtCompany]]&lt;=2,"0-2 Yrs",IF(HR_Data[[#This Row],[YearsAtCompany]]&lt;=5,"3-5 Yrs",IF(HR_Data[[#This Row],[YearsAtCompany]]&lt;=10,"6-10 Yrs","10+ Yrs")))</f>
        <v>10+ Yrs</v>
      </c>
      <c r="AJ890" s="1">
        <f>IF(HR_Data[[#This Row],[YearsAtCompany]]&lt;=2,1,IF(HR_Data[[#This Row],[YearsAtCompany]]&lt;=5,2,IF(HR_Data[[#This Row],[YearsAtCompany]]&lt;=10,3,4)))</f>
        <v>4</v>
      </c>
      <c r="AK890" s="1" t="str">
        <f>CHOOSE(HR_Data[[#This Row],[Education]],"Below College","College","Bachelor","Master","Doctor")</f>
        <v>College</v>
      </c>
      <c r="AL890" s="1" t="str">
        <f>CHOOSE(HR_Data[[#This Row],[JobSatisfaction]],"Low","Medium","High","Very High")</f>
        <v>Very High</v>
      </c>
      <c r="AM890" s="1" t="str">
        <f>CHOOSE(HR_Data[[#This Row],[EnvironmentSatisfaction]],"Low","Medium","High","Very High")</f>
        <v>High</v>
      </c>
      <c r="AN890" s="1" t="str">
        <f>CHOOSE(HR_Data[[#This Row],[WorkLifeBalance]],"Bad","Good","Better","Best")</f>
        <v>Good</v>
      </c>
      <c r="AO890" s="1" t="str">
        <f>IF(HR_Data[[#This Row],[PercentSalaryHike]]&lt;=13,"11-13%",IF(HR_Data[[#This Row],[PercentSalaryHike]]&lt;=16,"14-16%",IF(HR_Data[[#This Row],[PercentSalaryHike]]&lt;=19,"17-19%","20-25%")))</f>
        <v>11-13%</v>
      </c>
      <c r="AP890" s="1">
        <f>IF(HR_Data[[#This Row],[PercentSalaryHike]]&lt;=13,1,IF(HR_Data[[#This Row],[PercentSalaryHike]]&lt;=16,2,IF(HR_Data[[#This Row],[PercentSalaryHike]]&lt;=19,3,4)))</f>
        <v>1</v>
      </c>
      <c r="AQ890" s="1" t="str">
        <f>IF(HR_Data[[#This Row],[DistanceFromHome]]&lt;=5,"1 to 5",IF(HR_Data[[#This Row],[DistanceFromHome]]&lt;=10,"6 to 10",IF(HR_Data[[#This Row],[DistanceFromHome]]&lt;=20,"11 to 20","21 to 29")))</f>
        <v>6 to 10</v>
      </c>
      <c r="AR890" s="1">
        <f>IF(HR_Data[[#This Row],[DistanceFromHome]]&lt;=5,1,IF(HR_Data[[#This Row],[DistanceFromHome]]&lt;=10,2,IF(HR_Data[[#This Row],[DistanceFromHome]]&lt;=20,3,4)))</f>
        <v>2</v>
      </c>
      <c r="AS890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890" s="1">
        <f>IF(HR_Data[[#This Row],[TotalWorkingYears]]&lt;=5,1,IF(HR_Data[[#This Row],[TotalWorkingYears]]&lt;=10,2,IF(HR_Data[[#This Row],[TotalWorkingYears]]&lt;=20,3,4)))</f>
        <v>3</v>
      </c>
    </row>
    <row r="891" spans="1:46" x14ac:dyDescent="0.25">
      <c r="A891">
        <v>27</v>
      </c>
      <c r="B891" t="s">
        <v>36</v>
      </c>
      <c r="C891" t="s">
        <v>30</v>
      </c>
      <c r="D891" t="s">
        <v>38</v>
      </c>
      <c r="E891">
        <v>14</v>
      </c>
      <c r="F891">
        <v>3</v>
      </c>
      <c r="G891" t="s">
        <v>32</v>
      </c>
      <c r="H891">
        <v>1244</v>
      </c>
      <c r="I891">
        <v>1</v>
      </c>
      <c r="J891" t="s">
        <v>39</v>
      </c>
      <c r="K891">
        <v>3</v>
      </c>
      <c r="L891">
        <v>1</v>
      </c>
      <c r="M891" t="s">
        <v>40</v>
      </c>
      <c r="N891">
        <v>1</v>
      </c>
      <c r="O891" t="s">
        <v>41</v>
      </c>
      <c r="P891">
        <v>2235</v>
      </c>
      <c r="Q891">
        <v>1</v>
      </c>
      <c r="R891" t="s">
        <v>29</v>
      </c>
      <c r="S891">
        <v>14</v>
      </c>
      <c r="T891">
        <v>3</v>
      </c>
      <c r="U891">
        <v>4</v>
      </c>
      <c r="V891">
        <v>2</v>
      </c>
      <c r="W891">
        <v>9</v>
      </c>
      <c r="X891">
        <v>3</v>
      </c>
      <c r="Y891">
        <v>2</v>
      </c>
      <c r="Z891">
        <v>9</v>
      </c>
      <c r="AA891">
        <v>7</v>
      </c>
      <c r="AB891">
        <v>6</v>
      </c>
      <c r="AC891">
        <v>8</v>
      </c>
      <c r="AD891">
        <f>IF(HR_Data[[#This Row],[Attrition]]="Yes",1,0)</f>
        <v>0</v>
      </c>
      <c r="AE891" t="str">
        <f>IF(HR_Data[[#This Row],[Age]]&lt;=25,"18-25",IF(HR_Data[[#This Row],[Age]]&lt;=35,"26-35",IF(HR_Data[[#This Row],[Age]]&lt;=45,"36-45",IF(HR_Data[[#This Row],[Age]]&lt;=55,"46-55","55+"))))</f>
        <v>26-35</v>
      </c>
      <c r="AF891">
        <f>IF(HR_Data[[#This Row],[Age]]&lt;=25,1,IF(HR_Data[[#This Row],[Age]]&lt;=35,2,IF(HR_Data[[#This Row],[Age]]&lt;=45,3,IF(HR_Data[[#This Row],[Age]]&lt;=55,4,5))))</f>
        <v>2</v>
      </c>
      <c r="AG891" s="1" t="str">
        <f>IF(HR_Data[[#This Row],[MonthlyIncome]]&lt;3000,"&lt;3K",IF(HR_Data[[#This Row],[MonthlyIncome]]&lt;6000,"3K-6K",IF(HR_Data[[#This Row],[MonthlyIncome]]&lt;10000,"6K-10K","10K+")))</f>
        <v>&lt;3K</v>
      </c>
      <c r="AH891" s="1">
        <f>IF(HR_Data[[#This Row],[MonthlyIncome]]&lt;3000,1,IF(HR_Data[[#This Row],[MonthlyIncome]]&lt;6000,2,IF(HR_Data[[#This Row],[MonthlyIncome]]&lt;10000,3,4)))</f>
        <v>1</v>
      </c>
      <c r="AI891" s="1" t="str">
        <f>IF(HR_Data[[#This Row],[YearsAtCompany]]&lt;=2,"0-2 Yrs",IF(HR_Data[[#This Row],[YearsAtCompany]]&lt;=5,"3-5 Yrs",IF(HR_Data[[#This Row],[YearsAtCompany]]&lt;=10,"6-10 Yrs","10+ Yrs")))</f>
        <v>6-10 Yrs</v>
      </c>
      <c r="AJ891" s="1">
        <f>IF(HR_Data[[#This Row],[YearsAtCompany]]&lt;=2,1,IF(HR_Data[[#This Row],[YearsAtCompany]]&lt;=5,2,IF(HR_Data[[#This Row],[YearsAtCompany]]&lt;=10,3,4)))</f>
        <v>3</v>
      </c>
      <c r="AK891" s="1" t="str">
        <f>CHOOSE(HR_Data[[#This Row],[Education]],"Below College","College","Bachelor","Master","Doctor")</f>
        <v>Bachelor</v>
      </c>
      <c r="AL891" s="1" t="str">
        <f>CHOOSE(HR_Data[[#This Row],[JobSatisfaction]],"Low","Medium","High","Very High")</f>
        <v>Low</v>
      </c>
      <c r="AM891" s="1" t="str">
        <f>CHOOSE(HR_Data[[#This Row],[EnvironmentSatisfaction]],"Low","Medium","High","Very High")</f>
        <v>Low</v>
      </c>
      <c r="AN891" s="1" t="str">
        <f>CHOOSE(HR_Data[[#This Row],[WorkLifeBalance]],"Bad","Good","Better","Best")</f>
        <v>Good</v>
      </c>
      <c r="AO891" s="1" t="str">
        <f>IF(HR_Data[[#This Row],[PercentSalaryHike]]&lt;=13,"11-13%",IF(HR_Data[[#This Row],[PercentSalaryHike]]&lt;=16,"14-16%",IF(HR_Data[[#This Row],[PercentSalaryHike]]&lt;=19,"17-19%","20-25%")))</f>
        <v>14-16%</v>
      </c>
      <c r="AP891" s="1">
        <f>IF(HR_Data[[#This Row],[PercentSalaryHike]]&lt;=13,1,IF(HR_Data[[#This Row],[PercentSalaryHike]]&lt;=16,2,IF(HR_Data[[#This Row],[PercentSalaryHike]]&lt;=19,3,4)))</f>
        <v>2</v>
      </c>
      <c r="AQ891" s="1" t="str">
        <f>IF(HR_Data[[#This Row],[DistanceFromHome]]&lt;=5,"1 to 5",IF(HR_Data[[#This Row],[DistanceFromHome]]&lt;=10,"6 to 10",IF(HR_Data[[#This Row],[DistanceFromHome]]&lt;=20,"11 to 20","21 to 29")))</f>
        <v>11 to 20</v>
      </c>
      <c r="AR891" s="1">
        <f>IF(HR_Data[[#This Row],[DistanceFromHome]]&lt;=5,1,IF(HR_Data[[#This Row],[DistanceFromHome]]&lt;=10,2,IF(HR_Data[[#This Row],[DistanceFromHome]]&lt;=20,3,4)))</f>
        <v>3</v>
      </c>
      <c r="AS891" s="1" t="str">
        <f>IF(HR_Data[[#This Row],[TotalWorkingYears]]&lt;=5,"0-5 Yrs",IF(HR_Data[[#This Row],[TotalWorkingYears]]&lt;=10,"6-10 Yrs",IF(HR_Data[[#This Row],[TotalWorkingYears]]&lt;=20,"11-20 Yrs","20+ Yrs")))</f>
        <v>6-10 Yrs</v>
      </c>
      <c r="AT891" s="1">
        <f>IF(HR_Data[[#This Row],[TotalWorkingYears]]&lt;=5,1,IF(HR_Data[[#This Row],[TotalWorkingYears]]&lt;=10,2,IF(HR_Data[[#This Row],[TotalWorkingYears]]&lt;=20,3,4)))</f>
        <v>2</v>
      </c>
    </row>
    <row r="892" spans="1:46" x14ac:dyDescent="0.25">
      <c r="A892">
        <v>54</v>
      </c>
      <c r="B892" t="s">
        <v>36</v>
      </c>
      <c r="C892" t="s">
        <v>37</v>
      </c>
      <c r="D892" t="s">
        <v>38</v>
      </c>
      <c r="E892">
        <v>1</v>
      </c>
      <c r="F892">
        <v>4</v>
      </c>
      <c r="G892" t="s">
        <v>32</v>
      </c>
      <c r="H892">
        <v>1245</v>
      </c>
      <c r="I892">
        <v>4</v>
      </c>
      <c r="J892" t="s">
        <v>33</v>
      </c>
      <c r="K892">
        <v>3</v>
      </c>
      <c r="L892">
        <v>3</v>
      </c>
      <c r="M892" t="s">
        <v>46</v>
      </c>
      <c r="N892">
        <v>3</v>
      </c>
      <c r="O892" t="s">
        <v>45</v>
      </c>
      <c r="P892">
        <v>10502</v>
      </c>
      <c r="Q892">
        <v>7</v>
      </c>
      <c r="R892" t="s">
        <v>36</v>
      </c>
      <c r="S892">
        <v>17</v>
      </c>
      <c r="T892">
        <v>3</v>
      </c>
      <c r="U892">
        <v>1</v>
      </c>
      <c r="V892">
        <v>1</v>
      </c>
      <c r="W892">
        <v>33</v>
      </c>
      <c r="X892">
        <v>2</v>
      </c>
      <c r="Y892">
        <v>1</v>
      </c>
      <c r="Z892">
        <v>5</v>
      </c>
      <c r="AA892">
        <v>4</v>
      </c>
      <c r="AB892">
        <v>1</v>
      </c>
      <c r="AC892">
        <v>4</v>
      </c>
      <c r="AD892">
        <f>IF(HR_Data[[#This Row],[Attrition]]="Yes",1,0)</f>
        <v>0</v>
      </c>
      <c r="AE892" t="str">
        <f>IF(HR_Data[[#This Row],[Age]]&lt;=25,"18-25",IF(HR_Data[[#This Row],[Age]]&lt;=35,"26-35",IF(HR_Data[[#This Row],[Age]]&lt;=45,"36-45",IF(HR_Data[[#This Row],[Age]]&lt;=55,"46-55","55+"))))</f>
        <v>46-55</v>
      </c>
      <c r="AF892">
        <f>IF(HR_Data[[#This Row],[Age]]&lt;=25,1,IF(HR_Data[[#This Row],[Age]]&lt;=35,2,IF(HR_Data[[#This Row],[Age]]&lt;=45,3,IF(HR_Data[[#This Row],[Age]]&lt;=55,4,5))))</f>
        <v>4</v>
      </c>
      <c r="AG892" s="1" t="str">
        <f>IF(HR_Data[[#This Row],[MonthlyIncome]]&lt;3000,"&lt;3K",IF(HR_Data[[#This Row],[MonthlyIncome]]&lt;6000,"3K-6K",IF(HR_Data[[#This Row],[MonthlyIncome]]&lt;10000,"6K-10K","10K+")))</f>
        <v>10K+</v>
      </c>
      <c r="AH892" s="1">
        <f>IF(HR_Data[[#This Row],[MonthlyIncome]]&lt;3000,1,IF(HR_Data[[#This Row],[MonthlyIncome]]&lt;6000,2,IF(HR_Data[[#This Row],[MonthlyIncome]]&lt;10000,3,4)))</f>
        <v>4</v>
      </c>
      <c r="AI892" s="1" t="str">
        <f>IF(HR_Data[[#This Row],[YearsAtCompany]]&lt;=2,"0-2 Yrs",IF(HR_Data[[#This Row],[YearsAtCompany]]&lt;=5,"3-5 Yrs",IF(HR_Data[[#This Row],[YearsAtCompany]]&lt;=10,"6-10 Yrs","10+ Yrs")))</f>
        <v>3-5 Yrs</v>
      </c>
      <c r="AJ892" s="1">
        <f>IF(HR_Data[[#This Row],[YearsAtCompany]]&lt;=2,1,IF(HR_Data[[#This Row],[YearsAtCompany]]&lt;=5,2,IF(HR_Data[[#This Row],[YearsAtCompany]]&lt;=10,3,4)))</f>
        <v>2</v>
      </c>
      <c r="AK892" s="1" t="str">
        <f>CHOOSE(HR_Data[[#This Row],[Education]],"Below College","College","Bachelor","Master","Doctor")</f>
        <v>Master</v>
      </c>
      <c r="AL892" s="1" t="str">
        <f>CHOOSE(HR_Data[[#This Row],[JobSatisfaction]],"Low","Medium","High","Very High")</f>
        <v>High</v>
      </c>
      <c r="AM892" s="1" t="str">
        <f>CHOOSE(HR_Data[[#This Row],[EnvironmentSatisfaction]],"Low","Medium","High","Very High")</f>
        <v>Very High</v>
      </c>
      <c r="AN892" s="1" t="str">
        <f>CHOOSE(HR_Data[[#This Row],[WorkLifeBalance]],"Bad","Good","Better","Best")</f>
        <v>Bad</v>
      </c>
      <c r="AO892" s="1" t="str">
        <f>IF(HR_Data[[#This Row],[PercentSalaryHike]]&lt;=13,"11-13%",IF(HR_Data[[#This Row],[PercentSalaryHike]]&lt;=16,"14-16%",IF(HR_Data[[#This Row],[PercentSalaryHike]]&lt;=19,"17-19%","20-25%")))</f>
        <v>17-19%</v>
      </c>
      <c r="AP892" s="1">
        <f>IF(HR_Data[[#This Row],[PercentSalaryHike]]&lt;=13,1,IF(HR_Data[[#This Row],[PercentSalaryHike]]&lt;=16,2,IF(HR_Data[[#This Row],[PercentSalaryHike]]&lt;=19,3,4)))</f>
        <v>3</v>
      </c>
      <c r="AQ892" s="1" t="str">
        <f>IF(HR_Data[[#This Row],[DistanceFromHome]]&lt;=5,"1 to 5",IF(HR_Data[[#This Row],[DistanceFromHome]]&lt;=10,"6 to 10",IF(HR_Data[[#This Row],[DistanceFromHome]]&lt;=20,"11 to 20","21 to 29")))</f>
        <v>1 to 5</v>
      </c>
      <c r="AR892" s="1">
        <f>IF(HR_Data[[#This Row],[DistanceFromHome]]&lt;=5,1,IF(HR_Data[[#This Row],[DistanceFromHome]]&lt;=10,2,IF(HR_Data[[#This Row],[DistanceFromHome]]&lt;=20,3,4)))</f>
        <v>1</v>
      </c>
      <c r="AS892" s="1" t="str">
        <f>IF(HR_Data[[#This Row],[TotalWorkingYears]]&lt;=5,"0-5 Yrs",IF(HR_Data[[#This Row],[TotalWorkingYears]]&lt;=10,"6-10 Yrs",IF(HR_Data[[#This Row],[TotalWorkingYears]]&lt;=20,"11-20 Yrs","20+ Yrs")))</f>
        <v>20+ Yrs</v>
      </c>
      <c r="AT892" s="1">
        <f>IF(HR_Data[[#This Row],[TotalWorkingYears]]&lt;=5,1,IF(HR_Data[[#This Row],[TotalWorkingYears]]&lt;=10,2,IF(HR_Data[[#This Row],[TotalWorkingYears]]&lt;=20,3,4)))</f>
        <v>4</v>
      </c>
    </row>
    <row r="893" spans="1:46" x14ac:dyDescent="0.25">
      <c r="A893">
        <v>44</v>
      </c>
      <c r="B893" t="s">
        <v>36</v>
      </c>
      <c r="C893" t="s">
        <v>30</v>
      </c>
      <c r="D893" t="s">
        <v>38</v>
      </c>
      <c r="E893">
        <v>2</v>
      </c>
      <c r="F893">
        <v>1</v>
      </c>
      <c r="G893" t="s">
        <v>32</v>
      </c>
      <c r="H893">
        <v>1246</v>
      </c>
      <c r="I893">
        <v>1</v>
      </c>
      <c r="J893" t="s">
        <v>33</v>
      </c>
      <c r="K893">
        <v>4</v>
      </c>
      <c r="L893">
        <v>1</v>
      </c>
      <c r="M893" t="s">
        <v>40</v>
      </c>
      <c r="N893">
        <v>4</v>
      </c>
      <c r="O893" t="s">
        <v>41</v>
      </c>
      <c r="P893">
        <v>2011</v>
      </c>
      <c r="Q893">
        <v>1</v>
      </c>
      <c r="R893" t="s">
        <v>36</v>
      </c>
      <c r="S893">
        <v>13</v>
      </c>
      <c r="T893">
        <v>3</v>
      </c>
      <c r="U893">
        <v>4</v>
      </c>
      <c r="V893">
        <v>1</v>
      </c>
      <c r="W893">
        <v>10</v>
      </c>
      <c r="X893">
        <v>5</v>
      </c>
      <c r="Y893">
        <v>3</v>
      </c>
      <c r="Z893">
        <v>10</v>
      </c>
      <c r="AA893">
        <v>5</v>
      </c>
      <c r="AB893">
        <v>7</v>
      </c>
      <c r="AC893">
        <v>7</v>
      </c>
      <c r="AD893">
        <f>IF(HR_Data[[#This Row],[Attrition]]="Yes",1,0)</f>
        <v>0</v>
      </c>
      <c r="AE893" t="str">
        <f>IF(HR_Data[[#This Row],[Age]]&lt;=25,"18-25",IF(HR_Data[[#This Row],[Age]]&lt;=35,"26-35",IF(HR_Data[[#This Row],[Age]]&lt;=45,"36-45",IF(HR_Data[[#This Row],[Age]]&lt;=55,"46-55","55+"))))</f>
        <v>36-45</v>
      </c>
      <c r="AF893">
        <f>IF(HR_Data[[#This Row],[Age]]&lt;=25,1,IF(HR_Data[[#This Row],[Age]]&lt;=35,2,IF(HR_Data[[#This Row],[Age]]&lt;=45,3,IF(HR_Data[[#This Row],[Age]]&lt;=55,4,5))))</f>
        <v>3</v>
      </c>
      <c r="AG893" s="1" t="str">
        <f>IF(HR_Data[[#This Row],[MonthlyIncome]]&lt;3000,"&lt;3K",IF(HR_Data[[#This Row],[MonthlyIncome]]&lt;6000,"3K-6K",IF(HR_Data[[#This Row],[MonthlyIncome]]&lt;10000,"6K-10K","10K+")))</f>
        <v>&lt;3K</v>
      </c>
      <c r="AH893" s="1">
        <f>IF(HR_Data[[#This Row],[MonthlyIncome]]&lt;3000,1,IF(HR_Data[[#This Row],[MonthlyIncome]]&lt;6000,2,IF(HR_Data[[#This Row],[MonthlyIncome]]&lt;10000,3,4)))</f>
        <v>1</v>
      </c>
      <c r="AI893" s="1" t="str">
        <f>IF(HR_Data[[#This Row],[YearsAtCompany]]&lt;=2,"0-2 Yrs",IF(HR_Data[[#This Row],[YearsAtCompany]]&lt;=5,"3-5 Yrs",IF(HR_Data[[#This Row],[YearsAtCompany]]&lt;=10,"6-10 Yrs","10+ Yrs")))</f>
        <v>6-10 Yrs</v>
      </c>
      <c r="AJ893" s="1">
        <f>IF(HR_Data[[#This Row],[YearsAtCompany]]&lt;=2,1,IF(HR_Data[[#This Row],[YearsAtCompany]]&lt;=5,2,IF(HR_Data[[#This Row],[YearsAtCompany]]&lt;=10,3,4)))</f>
        <v>3</v>
      </c>
      <c r="AK893" s="1" t="str">
        <f>CHOOSE(HR_Data[[#This Row],[Education]],"Below College","College","Bachelor","Master","Doctor")</f>
        <v>Below College</v>
      </c>
      <c r="AL893" s="1" t="str">
        <f>CHOOSE(HR_Data[[#This Row],[JobSatisfaction]],"Low","Medium","High","Very High")</f>
        <v>Very High</v>
      </c>
      <c r="AM893" s="1" t="str">
        <f>CHOOSE(HR_Data[[#This Row],[EnvironmentSatisfaction]],"Low","Medium","High","Very High")</f>
        <v>Low</v>
      </c>
      <c r="AN893" s="1" t="str">
        <f>CHOOSE(HR_Data[[#This Row],[WorkLifeBalance]],"Bad","Good","Better","Best")</f>
        <v>Better</v>
      </c>
      <c r="AO893" s="1" t="str">
        <f>IF(HR_Data[[#This Row],[PercentSalaryHike]]&lt;=13,"11-13%",IF(HR_Data[[#This Row],[PercentSalaryHike]]&lt;=16,"14-16%",IF(HR_Data[[#This Row],[PercentSalaryHike]]&lt;=19,"17-19%","20-25%")))</f>
        <v>11-13%</v>
      </c>
      <c r="AP893" s="1">
        <f>IF(HR_Data[[#This Row],[PercentSalaryHike]]&lt;=13,1,IF(HR_Data[[#This Row],[PercentSalaryHike]]&lt;=16,2,IF(HR_Data[[#This Row],[PercentSalaryHike]]&lt;=19,3,4)))</f>
        <v>1</v>
      </c>
      <c r="AQ893" s="1" t="str">
        <f>IF(HR_Data[[#This Row],[DistanceFromHome]]&lt;=5,"1 to 5",IF(HR_Data[[#This Row],[DistanceFromHome]]&lt;=10,"6 to 10",IF(HR_Data[[#This Row],[DistanceFromHome]]&lt;=20,"11 to 20","21 to 29")))</f>
        <v>1 to 5</v>
      </c>
      <c r="AR893" s="1">
        <f>IF(HR_Data[[#This Row],[DistanceFromHome]]&lt;=5,1,IF(HR_Data[[#This Row],[DistanceFromHome]]&lt;=10,2,IF(HR_Data[[#This Row],[DistanceFromHome]]&lt;=20,3,4)))</f>
        <v>1</v>
      </c>
      <c r="AS893" s="1" t="str">
        <f>IF(HR_Data[[#This Row],[TotalWorkingYears]]&lt;=5,"0-5 Yrs",IF(HR_Data[[#This Row],[TotalWorkingYears]]&lt;=10,"6-10 Yrs",IF(HR_Data[[#This Row],[TotalWorkingYears]]&lt;=20,"11-20 Yrs","20+ Yrs")))</f>
        <v>6-10 Yrs</v>
      </c>
      <c r="AT893" s="1">
        <f>IF(HR_Data[[#This Row],[TotalWorkingYears]]&lt;=5,1,IF(HR_Data[[#This Row],[TotalWorkingYears]]&lt;=10,2,IF(HR_Data[[#This Row],[TotalWorkingYears]]&lt;=20,3,4)))</f>
        <v>2</v>
      </c>
    </row>
    <row r="894" spans="1:46" x14ac:dyDescent="0.25">
      <c r="A894">
        <v>19</v>
      </c>
      <c r="B894" t="s">
        <v>29</v>
      </c>
      <c r="C894" t="s">
        <v>48</v>
      </c>
      <c r="D894" t="s">
        <v>38</v>
      </c>
      <c r="E894">
        <v>10</v>
      </c>
      <c r="F894">
        <v>3</v>
      </c>
      <c r="G894" t="s">
        <v>44</v>
      </c>
      <c r="H894">
        <v>1248</v>
      </c>
      <c r="I894">
        <v>1</v>
      </c>
      <c r="J894" t="s">
        <v>33</v>
      </c>
      <c r="K894">
        <v>2</v>
      </c>
      <c r="L894">
        <v>1</v>
      </c>
      <c r="M894" t="s">
        <v>40</v>
      </c>
      <c r="N894">
        <v>2</v>
      </c>
      <c r="O894" t="s">
        <v>35</v>
      </c>
      <c r="P894">
        <v>1859</v>
      </c>
      <c r="Q894">
        <v>1</v>
      </c>
      <c r="R894" t="s">
        <v>29</v>
      </c>
      <c r="S894">
        <v>25</v>
      </c>
      <c r="T894">
        <v>4</v>
      </c>
      <c r="U894">
        <v>2</v>
      </c>
      <c r="V894">
        <v>0</v>
      </c>
      <c r="W894">
        <v>1</v>
      </c>
      <c r="X894">
        <v>2</v>
      </c>
      <c r="Y894">
        <v>4</v>
      </c>
      <c r="Z894">
        <v>1</v>
      </c>
      <c r="AA894">
        <v>1</v>
      </c>
      <c r="AB894">
        <v>0</v>
      </c>
      <c r="AC894">
        <v>0</v>
      </c>
      <c r="AD894">
        <f>IF(HR_Data[[#This Row],[Attrition]]="Yes",1,0)</f>
        <v>1</v>
      </c>
      <c r="AE894" t="str">
        <f>IF(HR_Data[[#This Row],[Age]]&lt;=25,"18-25",IF(HR_Data[[#This Row],[Age]]&lt;=35,"26-35",IF(HR_Data[[#This Row],[Age]]&lt;=45,"36-45",IF(HR_Data[[#This Row],[Age]]&lt;=55,"46-55","55+"))))</f>
        <v>18-25</v>
      </c>
      <c r="AF894">
        <f>IF(HR_Data[[#This Row],[Age]]&lt;=25,1,IF(HR_Data[[#This Row],[Age]]&lt;=35,2,IF(HR_Data[[#This Row],[Age]]&lt;=45,3,IF(HR_Data[[#This Row],[Age]]&lt;=55,4,5))))</f>
        <v>1</v>
      </c>
      <c r="AG894" s="1" t="str">
        <f>IF(HR_Data[[#This Row],[MonthlyIncome]]&lt;3000,"&lt;3K",IF(HR_Data[[#This Row],[MonthlyIncome]]&lt;6000,"3K-6K",IF(HR_Data[[#This Row],[MonthlyIncome]]&lt;10000,"6K-10K","10K+")))</f>
        <v>&lt;3K</v>
      </c>
      <c r="AH894" s="1">
        <f>IF(HR_Data[[#This Row],[MonthlyIncome]]&lt;3000,1,IF(HR_Data[[#This Row],[MonthlyIncome]]&lt;6000,2,IF(HR_Data[[#This Row],[MonthlyIncome]]&lt;10000,3,4)))</f>
        <v>1</v>
      </c>
      <c r="AI894" s="1" t="str">
        <f>IF(HR_Data[[#This Row],[YearsAtCompany]]&lt;=2,"0-2 Yrs",IF(HR_Data[[#This Row],[YearsAtCompany]]&lt;=5,"3-5 Yrs",IF(HR_Data[[#This Row],[YearsAtCompany]]&lt;=10,"6-10 Yrs","10+ Yrs")))</f>
        <v>0-2 Yrs</v>
      </c>
      <c r="AJ894" s="1">
        <f>IF(HR_Data[[#This Row],[YearsAtCompany]]&lt;=2,1,IF(HR_Data[[#This Row],[YearsAtCompany]]&lt;=5,2,IF(HR_Data[[#This Row],[YearsAtCompany]]&lt;=10,3,4)))</f>
        <v>1</v>
      </c>
      <c r="AK894" s="1" t="str">
        <f>CHOOSE(HR_Data[[#This Row],[Education]],"Below College","College","Bachelor","Master","Doctor")</f>
        <v>Bachelor</v>
      </c>
      <c r="AL894" s="1" t="str">
        <f>CHOOSE(HR_Data[[#This Row],[JobSatisfaction]],"Low","Medium","High","Very High")</f>
        <v>Medium</v>
      </c>
      <c r="AM894" s="1" t="str">
        <f>CHOOSE(HR_Data[[#This Row],[EnvironmentSatisfaction]],"Low","Medium","High","Very High")</f>
        <v>Low</v>
      </c>
      <c r="AN894" s="1" t="str">
        <f>CHOOSE(HR_Data[[#This Row],[WorkLifeBalance]],"Bad","Good","Better","Best")</f>
        <v>Best</v>
      </c>
      <c r="AO894" s="1" t="str">
        <f>IF(HR_Data[[#This Row],[PercentSalaryHike]]&lt;=13,"11-13%",IF(HR_Data[[#This Row],[PercentSalaryHike]]&lt;=16,"14-16%",IF(HR_Data[[#This Row],[PercentSalaryHike]]&lt;=19,"17-19%","20-25%")))</f>
        <v>20-25%</v>
      </c>
      <c r="AP894" s="1">
        <f>IF(HR_Data[[#This Row],[PercentSalaryHike]]&lt;=13,1,IF(HR_Data[[#This Row],[PercentSalaryHike]]&lt;=16,2,IF(HR_Data[[#This Row],[PercentSalaryHike]]&lt;=19,3,4)))</f>
        <v>4</v>
      </c>
      <c r="AQ894" s="1" t="str">
        <f>IF(HR_Data[[#This Row],[DistanceFromHome]]&lt;=5,"1 to 5",IF(HR_Data[[#This Row],[DistanceFromHome]]&lt;=10,"6 to 10",IF(HR_Data[[#This Row],[DistanceFromHome]]&lt;=20,"11 to 20","21 to 29")))</f>
        <v>6 to 10</v>
      </c>
      <c r="AR894" s="1">
        <f>IF(HR_Data[[#This Row],[DistanceFromHome]]&lt;=5,1,IF(HR_Data[[#This Row],[DistanceFromHome]]&lt;=10,2,IF(HR_Data[[#This Row],[DistanceFromHome]]&lt;=20,3,4)))</f>
        <v>2</v>
      </c>
      <c r="AS894" s="1" t="str">
        <f>IF(HR_Data[[#This Row],[TotalWorkingYears]]&lt;=5,"0-5 Yrs",IF(HR_Data[[#This Row],[TotalWorkingYears]]&lt;=10,"6-10 Yrs",IF(HR_Data[[#This Row],[TotalWorkingYears]]&lt;=20,"11-20 Yrs","20+ Yrs")))</f>
        <v>0-5 Yrs</v>
      </c>
      <c r="AT894" s="1">
        <f>IF(HR_Data[[#This Row],[TotalWorkingYears]]&lt;=5,1,IF(HR_Data[[#This Row],[TotalWorkingYears]]&lt;=10,2,IF(HR_Data[[#This Row],[TotalWorkingYears]]&lt;=20,3,4)))</f>
        <v>1</v>
      </c>
    </row>
    <row r="895" spans="1:46" x14ac:dyDescent="0.25">
      <c r="A895">
        <v>29</v>
      </c>
      <c r="B895" t="s">
        <v>36</v>
      </c>
      <c r="C895" t="s">
        <v>30</v>
      </c>
      <c r="D895" t="s">
        <v>38</v>
      </c>
      <c r="E895">
        <v>1</v>
      </c>
      <c r="F895">
        <v>3</v>
      </c>
      <c r="G895" t="s">
        <v>32</v>
      </c>
      <c r="H895">
        <v>1249</v>
      </c>
      <c r="I895">
        <v>1</v>
      </c>
      <c r="J895" t="s">
        <v>33</v>
      </c>
      <c r="K895">
        <v>3</v>
      </c>
      <c r="L895">
        <v>1</v>
      </c>
      <c r="M895" t="s">
        <v>40</v>
      </c>
      <c r="N895">
        <v>4</v>
      </c>
      <c r="O895" t="s">
        <v>45</v>
      </c>
      <c r="P895">
        <v>3760</v>
      </c>
      <c r="Q895">
        <v>1</v>
      </c>
      <c r="R895" t="s">
        <v>36</v>
      </c>
      <c r="S895">
        <v>15</v>
      </c>
      <c r="T895">
        <v>3</v>
      </c>
      <c r="U895">
        <v>1</v>
      </c>
      <c r="V895">
        <v>3</v>
      </c>
      <c r="W895">
        <v>3</v>
      </c>
      <c r="X895">
        <v>5</v>
      </c>
      <c r="Y895">
        <v>3</v>
      </c>
      <c r="Z895">
        <v>3</v>
      </c>
      <c r="AA895">
        <v>2</v>
      </c>
      <c r="AB895">
        <v>1</v>
      </c>
      <c r="AC895">
        <v>2</v>
      </c>
      <c r="AD895">
        <f>IF(HR_Data[[#This Row],[Attrition]]="Yes",1,0)</f>
        <v>0</v>
      </c>
      <c r="AE895" t="str">
        <f>IF(HR_Data[[#This Row],[Age]]&lt;=25,"18-25",IF(HR_Data[[#This Row],[Age]]&lt;=35,"26-35",IF(HR_Data[[#This Row],[Age]]&lt;=45,"36-45",IF(HR_Data[[#This Row],[Age]]&lt;=55,"46-55","55+"))))</f>
        <v>26-35</v>
      </c>
      <c r="AF895">
        <f>IF(HR_Data[[#This Row],[Age]]&lt;=25,1,IF(HR_Data[[#This Row],[Age]]&lt;=35,2,IF(HR_Data[[#This Row],[Age]]&lt;=45,3,IF(HR_Data[[#This Row],[Age]]&lt;=55,4,5))))</f>
        <v>2</v>
      </c>
      <c r="AG895" s="1" t="str">
        <f>IF(HR_Data[[#This Row],[MonthlyIncome]]&lt;3000,"&lt;3K",IF(HR_Data[[#This Row],[MonthlyIncome]]&lt;6000,"3K-6K",IF(HR_Data[[#This Row],[MonthlyIncome]]&lt;10000,"6K-10K","10K+")))</f>
        <v>3K-6K</v>
      </c>
      <c r="AH895" s="1">
        <f>IF(HR_Data[[#This Row],[MonthlyIncome]]&lt;3000,1,IF(HR_Data[[#This Row],[MonthlyIncome]]&lt;6000,2,IF(HR_Data[[#This Row],[MonthlyIncome]]&lt;10000,3,4)))</f>
        <v>2</v>
      </c>
      <c r="AI895" s="1" t="str">
        <f>IF(HR_Data[[#This Row],[YearsAtCompany]]&lt;=2,"0-2 Yrs",IF(HR_Data[[#This Row],[YearsAtCompany]]&lt;=5,"3-5 Yrs",IF(HR_Data[[#This Row],[YearsAtCompany]]&lt;=10,"6-10 Yrs","10+ Yrs")))</f>
        <v>3-5 Yrs</v>
      </c>
      <c r="AJ895" s="1">
        <f>IF(HR_Data[[#This Row],[YearsAtCompany]]&lt;=2,1,IF(HR_Data[[#This Row],[YearsAtCompany]]&lt;=5,2,IF(HR_Data[[#This Row],[YearsAtCompany]]&lt;=10,3,4)))</f>
        <v>2</v>
      </c>
      <c r="AK895" s="1" t="str">
        <f>CHOOSE(HR_Data[[#This Row],[Education]],"Below College","College","Bachelor","Master","Doctor")</f>
        <v>Bachelor</v>
      </c>
      <c r="AL895" s="1" t="str">
        <f>CHOOSE(HR_Data[[#This Row],[JobSatisfaction]],"Low","Medium","High","Very High")</f>
        <v>Very High</v>
      </c>
      <c r="AM895" s="1" t="str">
        <f>CHOOSE(HR_Data[[#This Row],[EnvironmentSatisfaction]],"Low","Medium","High","Very High")</f>
        <v>Low</v>
      </c>
      <c r="AN895" s="1" t="str">
        <f>CHOOSE(HR_Data[[#This Row],[WorkLifeBalance]],"Bad","Good","Better","Best")</f>
        <v>Better</v>
      </c>
      <c r="AO895" s="1" t="str">
        <f>IF(HR_Data[[#This Row],[PercentSalaryHike]]&lt;=13,"11-13%",IF(HR_Data[[#This Row],[PercentSalaryHike]]&lt;=16,"14-16%",IF(HR_Data[[#This Row],[PercentSalaryHike]]&lt;=19,"17-19%","20-25%")))</f>
        <v>14-16%</v>
      </c>
      <c r="AP895" s="1">
        <f>IF(HR_Data[[#This Row],[PercentSalaryHike]]&lt;=13,1,IF(HR_Data[[#This Row],[PercentSalaryHike]]&lt;=16,2,IF(HR_Data[[#This Row],[PercentSalaryHike]]&lt;=19,3,4)))</f>
        <v>2</v>
      </c>
      <c r="AQ895" s="1" t="str">
        <f>IF(HR_Data[[#This Row],[DistanceFromHome]]&lt;=5,"1 to 5",IF(HR_Data[[#This Row],[DistanceFromHome]]&lt;=10,"6 to 10",IF(HR_Data[[#This Row],[DistanceFromHome]]&lt;=20,"11 to 20","21 to 29")))</f>
        <v>1 to 5</v>
      </c>
      <c r="AR895" s="1">
        <f>IF(HR_Data[[#This Row],[DistanceFromHome]]&lt;=5,1,IF(HR_Data[[#This Row],[DistanceFromHome]]&lt;=10,2,IF(HR_Data[[#This Row],[DistanceFromHome]]&lt;=20,3,4)))</f>
        <v>1</v>
      </c>
      <c r="AS895" s="1" t="str">
        <f>IF(HR_Data[[#This Row],[TotalWorkingYears]]&lt;=5,"0-5 Yrs",IF(HR_Data[[#This Row],[TotalWorkingYears]]&lt;=10,"6-10 Yrs",IF(HR_Data[[#This Row],[TotalWorkingYears]]&lt;=20,"11-20 Yrs","20+ Yrs")))</f>
        <v>0-5 Yrs</v>
      </c>
      <c r="AT895" s="1">
        <f>IF(HR_Data[[#This Row],[TotalWorkingYears]]&lt;=5,1,IF(HR_Data[[#This Row],[TotalWorkingYears]]&lt;=10,2,IF(HR_Data[[#This Row],[TotalWorkingYears]]&lt;=20,3,4)))</f>
        <v>1</v>
      </c>
    </row>
    <row r="896" spans="1:46" x14ac:dyDescent="0.25">
      <c r="A896">
        <v>54</v>
      </c>
      <c r="B896" t="s">
        <v>36</v>
      </c>
      <c r="C896" t="s">
        <v>30</v>
      </c>
      <c r="D896" t="s">
        <v>38</v>
      </c>
      <c r="E896">
        <v>3</v>
      </c>
      <c r="F896">
        <v>3</v>
      </c>
      <c r="G896" t="s">
        <v>32</v>
      </c>
      <c r="H896">
        <v>1250</v>
      </c>
      <c r="I896">
        <v>4</v>
      </c>
      <c r="J896" t="s">
        <v>39</v>
      </c>
      <c r="K896">
        <v>3</v>
      </c>
      <c r="L896">
        <v>4</v>
      </c>
      <c r="M896" t="s">
        <v>51</v>
      </c>
      <c r="N896">
        <v>4</v>
      </c>
      <c r="O896" t="s">
        <v>41</v>
      </c>
      <c r="P896">
        <v>17779</v>
      </c>
      <c r="Q896">
        <v>3</v>
      </c>
      <c r="R896" t="s">
        <v>36</v>
      </c>
      <c r="S896">
        <v>14</v>
      </c>
      <c r="T896">
        <v>3</v>
      </c>
      <c r="U896">
        <v>1</v>
      </c>
      <c r="V896">
        <v>0</v>
      </c>
      <c r="W896">
        <v>36</v>
      </c>
      <c r="X896">
        <v>2</v>
      </c>
      <c r="Y896">
        <v>3</v>
      </c>
      <c r="Z896">
        <v>10</v>
      </c>
      <c r="AA896">
        <v>9</v>
      </c>
      <c r="AB896">
        <v>0</v>
      </c>
      <c r="AC896">
        <v>9</v>
      </c>
      <c r="AD896">
        <f>IF(HR_Data[[#This Row],[Attrition]]="Yes",1,0)</f>
        <v>0</v>
      </c>
      <c r="AE896" t="str">
        <f>IF(HR_Data[[#This Row],[Age]]&lt;=25,"18-25",IF(HR_Data[[#This Row],[Age]]&lt;=35,"26-35",IF(HR_Data[[#This Row],[Age]]&lt;=45,"36-45",IF(HR_Data[[#This Row],[Age]]&lt;=55,"46-55","55+"))))</f>
        <v>46-55</v>
      </c>
      <c r="AF896">
        <f>IF(HR_Data[[#This Row],[Age]]&lt;=25,1,IF(HR_Data[[#This Row],[Age]]&lt;=35,2,IF(HR_Data[[#This Row],[Age]]&lt;=45,3,IF(HR_Data[[#This Row],[Age]]&lt;=55,4,5))))</f>
        <v>4</v>
      </c>
      <c r="AG896" s="1" t="str">
        <f>IF(HR_Data[[#This Row],[MonthlyIncome]]&lt;3000,"&lt;3K",IF(HR_Data[[#This Row],[MonthlyIncome]]&lt;6000,"3K-6K",IF(HR_Data[[#This Row],[MonthlyIncome]]&lt;10000,"6K-10K","10K+")))</f>
        <v>10K+</v>
      </c>
      <c r="AH896" s="1">
        <f>IF(HR_Data[[#This Row],[MonthlyIncome]]&lt;3000,1,IF(HR_Data[[#This Row],[MonthlyIncome]]&lt;6000,2,IF(HR_Data[[#This Row],[MonthlyIncome]]&lt;10000,3,4)))</f>
        <v>4</v>
      </c>
      <c r="AI896" s="1" t="str">
        <f>IF(HR_Data[[#This Row],[YearsAtCompany]]&lt;=2,"0-2 Yrs",IF(HR_Data[[#This Row],[YearsAtCompany]]&lt;=5,"3-5 Yrs",IF(HR_Data[[#This Row],[YearsAtCompany]]&lt;=10,"6-10 Yrs","10+ Yrs")))</f>
        <v>6-10 Yrs</v>
      </c>
      <c r="AJ896" s="1">
        <f>IF(HR_Data[[#This Row],[YearsAtCompany]]&lt;=2,1,IF(HR_Data[[#This Row],[YearsAtCompany]]&lt;=5,2,IF(HR_Data[[#This Row],[YearsAtCompany]]&lt;=10,3,4)))</f>
        <v>3</v>
      </c>
      <c r="AK896" s="1" t="str">
        <f>CHOOSE(HR_Data[[#This Row],[Education]],"Below College","College","Bachelor","Master","Doctor")</f>
        <v>Bachelor</v>
      </c>
      <c r="AL896" s="1" t="str">
        <f>CHOOSE(HR_Data[[#This Row],[JobSatisfaction]],"Low","Medium","High","Very High")</f>
        <v>Very High</v>
      </c>
      <c r="AM896" s="1" t="str">
        <f>CHOOSE(HR_Data[[#This Row],[EnvironmentSatisfaction]],"Low","Medium","High","Very High")</f>
        <v>Very High</v>
      </c>
      <c r="AN896" s="1" t="str">
        <f>CHOOSE(HR_Data[[#This Row],[WorkLifeBalance]],"Bad","Good","Better","Best")</f>
        <v>Better</v>
      </c>
      <c r="AO896" s="1" t="str">
        <f>IF(HR_Data[[#This Row],[PercentSalaryHike]]&lt;=13,"11-13%",IF(HR_Data[[#This Row],[PercentSalaryHike]]&lt;=16,"14-16%",IF(HR_Data[[#This Row],[PercentSalaryHike]]&lt;=19,"17-19%","20-25%")))</f>
        <v>14-16%</v>
      </c>
      <c r="AP896" s="1">
        <f>IF(HR_Data[[#This Row],[PercentSalaryHike]]&lt;=13,1,IF(HR_Data[[#This Row],[PercentSalaryHike]]&lt;=16,2,IF(HR_Data[[#This Row],[PercentSalaryHike]]&lt;=19,3,4)))</f>
        <v>2</v>
      </c>
      <c r="AQ896" s="1" t="str">
        <f>IF(HR_Data[[#This Row],[DistanceFromHome]]&lt;=5,"1 to 5",IF(HR_Data[[#This Row],[DistanceFromHome]]&lt;=10,"6 to 10",IF(HR_Data[[#This Row],[DistanceFromHome]]&lt;=20,"11 to 20","21 to 29")))</f>
        <v>1 to 5</v>
      </c>
      <c r="AR896" s="1">
        <f>IF(HR_Data[[#This Row],[DistanceFromHome]]&lt;=5,1,IF(HR_Data[[#This Row],[DistanceFromHome]]&lt;=10,2,IF(HR_Data[[#This Row],[DistanceFromHome]]&lt;=20,3,4)))</f>
        <v>1</v>
      </c>
      <c r="AS896" s="1" t="str">
        <f>IF(HR_Data[[#This Row],[TotalWorkingYears]]&lt;=5,"0-5 Yrs",IF(HR_Data[[#This Row],[TotalWorkingYears]]&lt;=10,"6-10 Yrs",IF(HR_Data[[#This Row],[TotalWorkingYears]]&lt;=20,"11-20 Yrs","20+ Yrs")))</f>
        <v>20+ Yrs</v>
      </c>
      <c r="AT896" s="1">
        <f>IF(HR_Data[[#This Row],[TotalWorkingYears]]&lt;=5,1,IF(HR_Data[[#This Row],[TotalWorkingYears]]&lt;=10,2,IF(HR_Data[[#This Row],[TotalWorkingYears]]&lt;=20,3,4)))</f>
        <v>4</v>
      </c>
    </row>
    <row r="897" spans="1:46" x14ac:dyDescent="0.25">
      <c r="A897">
        <v>31</v>
      </c>
      <c r="B897" t="s">
        <v>36</v>
      </c>
      <c r="C897" t="s">
        <v>30</v>
      </c>
      <c r="D897" t="s">
        <v>38</v>
      </c>
      <c r="E897">
        <v>11</v>
      </c>
      <c r="F897">
        <v>2</v>
      </c>
      <c r="G897" t="s">
        <v>44</v>
      </c>
      <c r="H897">
        <v>1251</v>
      </c>
      <c r="I897">
        <v>3</v>
      </c>
      <c r="J897" t="s">
        <v>39</v>
      </c>
      <c r="K897">
        <v>3</v>
      </c>
      <c r="L897">
        <v>2</v>
      </c>
      <c r="M897" t="s">
        <v>47</v>
      </c>
      <c r="N897">
        <v>1</v>
      </c>
      <c r="O897" t="s">
        <v>41</v>
      </c>
      <c r="P897">
        <v>6833</v>
      </c>
      <c r="Q897">
        <v>1</v>
      </c>
      <c r="R897" t="s">
        <v>29</v>
      </c>
      <c r="S897">
        <v>12</v>
      </c>
      <c r="T897">
        <v>3</v>
      </c>
      <c r="U897">
        <v>4</v>
      </c>
      <c r="V897">
        <v>0</v>
      </c>
      <c r="W897">
        <v>6</v>
      </c>
      <c r="X897">
        <v>2</v>
      </c>
      <c r="Y897">
        <v>2</v>
      </c>
      <c r="Z897">
        <v>6</v>
      </c>
      <c r="AA897">
        <v>5</v>
      </c>
      <c r="AB897">
        <v>0</v>
      </c>
      <c r="AC897">
        <v>1</v>
      </c>
      <c r="AD897">
        <f>IF(HR_Data[[#This Row],[Attrition]]="Yes",1,0)</f>
        <v>0</v>
      </c>
      <c r="AE897" t="str">
        <f>IF(HR_Data[[#This Row],[Age]]&lt;=25,"18-25",IF(HR_Data[[#This Row],[Age]]&lt;=35,"26-35",IF(HR_Data[[#This Row],[Age]]&lt;=45,"36-45",IF(HR_Data[[#This Row],[Age]]&lt;=55,"46-55","55+"))))</f>
        <v>26-35</v>
      </c>
      <c r="AF897">
        <f>IF(HR_Data[[#This Row],[Age]]&lt;=25,1,IF(HR_Data[[#This Row],[Age]]&lt;=35,2,IF(HR_Data[[#This Row],[Age]]&lt;=45,3,IF(HR_Data[[#This Row],[Age]]&lt;=55,4,5))))</f>
        <v>2</v>
      </c>
      <c r="AG897" s="1" t="str">
        <f>IF(HR_Data[[#This Row],[MonthlyIncome]]&lt;3000,"&lt;3K",IF(HR_Data[[#This Row],[MonthlyIncome]]&lt;6000,"3K-6K",IF(HR_Data[[#This Row],[MonthlyIncome]]&lt;10000,"6K-10K","10K+")))</f>
        <v>6K-10K</v>
      </c>
      <c r="AH897" s="1">
        <f>IF(HR_Data[[#This Row],[MonthlyIncome]]&lt;3000,1,IF(HR_Data[[#This Row],[MonthlyIncome]]&lt;6000,2,IF(HR_Data[[#This Row],[MonthlyIncome]]&lt;10000,3,4)))</f>
        <v>3</v>
      </c>
      <c r="AI897" s="1" t="str">
        <f>IF(HR_Data[[#This Row],[YearsAtCompany]]&lt;=2,"0-2 Yrs",IF(HR_Data[[#This Row],[YearsAtCompany]]&lt;=5,"3-5 Yrs",IF(HR_Data[[#This Row],[YearsAtCompany]]&lt;=10,"6-10 Yrs","10+ Yrs")))</f>
        <v>6-10 Yrs</v>
      </c>
      <c r="AJ897" s="1">
        <f>IF(HR_Data[[#This Row],[YearsAtCompany]]&lt;=2,1,IF(HR_Data[[#This Row],[YearsAtCompany]]&lt;=5,2,IF(HR_Data[[#This Row],[YearsAtCompany]]&lt;=10,3,4)))</f>
        <v>3</v>
      </c>
      <c r="AK897" s="1" t="str">
        <f>CHOOSE(HR_Data[[#This Row],[Education]],"Below College","College","Bachelor","Master","Doctor")</f>
        <v>College</v>
      </c>
      <c r="AL897" s="1" t="str">
        <f>CHOOSE(HR_Data[[#This Row],[JobSatisfaction]],"Low","Medium","High","Very High")</f>
        <v>Low</v>
      </c>
      <c r="AM897" s="1" t="str">
        <f>CHOOSE(HR_Data[[#This Row],[EnvironmentSatisfaction]],"Low","Medium","High","Very High")</f>
        <v>High</v>
      </c>
      <c r="AN897" s="1" t="str">
        <f>CHOOSE(HR_Data[[#This Row],[WorkLifeBalance]],"Bad","Good","Better","Best")</f>
        <v>Good</v>
      </c>
      <c r="AO897" s="1" t="str">
        <f>IF(HR_Data[[#This Row],[PercentSalaryHike]]&lt;=13,"11-13%",IF(HR_Data[[#This Row],[PercentSalaryHike]]&lt;=16,"14-16%",IF(HR_Data[[#This Row],[PercentSalaryHike]]&lt;=19,"17-19%","20-25%")))</f>
        <v>11-13%</v>
      </c>
      <c r="AP897" s="1">
        <f>IF(HR_Data[[#This Row],[PercentSalaryHike]]&lt;=13,1,IF(HR_Data[[#This Row],[PercentSalaryHike]]&lt;=16,2,IF(HR_Data[[#This Row],[PercentSalaryHike]]&lt;=19,3,4)))</f>
        <v>1</v>
      </c>
      <c r="AQ897" s="1" t="str">
        <f>IF(HR_Data[[#This Row],[DistanceFromHome]]&lt;=5,"1 to 5",IF(HR_Data[[#This Row],[DistanceFromHome]]&lt;=10,"6 to 10",IF(HR_Data[[#This Row],[DistanceFromHome]]&lt;=20,"11 to 20","21 to 29")))</f>
        <v>11 to 20</v>
      </c>
      <c r="AR897" s="1">
        <f>IF(HR_Data[[#This Row],[DistanceFromHome]]&lt;=5,1,IF(HR_Data[[#This Row],[DistanceFromHome]]&lt;=10,2,IF(HR_Data[[#This Row],[DistanceFromHome]]&lt;=20,3,4)))</f>
        <v>3</v>
      </c>
      <c r="AS897" s="1" t="str">
        <f>IF(HR_Data[[#This Row],[TotalWorkingYears]]&lt;=5,"0-5 Yrs",IF(HR_Data[[#This Row],[TotalWorkingYears]]&lt;=10,"6-10 Yrs",IF(HR_Data[[#This Row],[TotalWorkingYears]]&lt;=20,"11-20 Yrs","20+ Yrs")))</f>
        <v>6-10 Yrs</v>
      </c>
      <c r="AT897" s="1">
        <f>IF(HR_Data[[#This Row],[TotalWorkingYears]]&lt;=5,1,IF(HR_Data[[#This Row],[TotalWorkingYears]]&lt;=10,2,IF(HR_Data[[#This Row],[TotalWorkingYears]]&lt;=20,3,4)))</f>
        <v>2</v>
      </c>
    </row>
    <row r="898" spans="1:46" x14ac:dyDescent="0.25">
      <c r="A898">
        <v>31</v>
      </c>
      <c r="B898" t="s">
        <v>36</v>
      </c>
      <c r="C898" t="s">
        <v>30</v>
      </c>
      <c r="D898" t="s">
        <v>38</v>
      </c>
      <c r="E898">
        <v>24</v>
      </c>
      <c r="F898">
        <v>3</v>
      </c>
      <c r="G898" t="s">
        <v>44</v>
      </c>
      <c r="H898">
        <v>1252</v>
      </c>
      <c r="I898">
        <v>3</v>
      </c>
      <c r="J898" t="s">
        <v>33</v>
      </c>
      <c r="K898">
        <v>2</v>
      </c>
      <c r="L898">
        <v>2</v>
      </c>
      <c r="M898" t="s">
        <v>47</v>
      </c>
      <c r="N898">
        <v>1</v>
      </c>
      <c r="O898" t="s">
        <v>35</v>
      </c>
      <c r="P898">
        <v>6812</v>
      </c>
      <c r="Q898">
        <v>1</v>
      </c>
      <c r="R898" t="s">
        <v>36</v>
      </c>
      <c r="S898">
        <v>19</v>
      </c>
      <c r="T898">
        <v>3</v>
      </c>
      <c r="U898">
        <v>2</v>
      </c>
      <c r="V898">
        <v>0</v>
      </c>
      <c r="W898">
        <v>10</v>
      </c>
      <c r="X898">
        <v>2</v>
      </c>
      <c r="Y898">
        <v>3</v>
      </c>
      <c r="Z898">
        <v>10</v>
      </c>
      <c r="AA898">
        <v>9</v>
      </c>
      <c r="AB898">
        <v>1</v>
      </c>
      <c r="AC898">
        <v>8</v>
      </c>
      <c r="AD898">
        <f>IF(HR_Data[[#This Row],[Attrition]]="Yes",1,0)</f>
        <v>0</v>
      </c>
      <c r="AE898" t="str">
        <f>IF(HR_Data[[#This Row],[Age]]&lt;=25,"18-25",IF(HR_Data[[#This Row],[Age]]&lt;=35,"26-35",IF(HR_Data[[#This Row],[Age]]&lt;=45,"36-45",IF(HR_Data[[#This Row],[Age]]&lt;=55,"46-55","55+"))))</f>
        <v>26-35</v>
      </c>
      <c r="AF898">
        <f>IF(HR_Data[[#This Row],[Age]]&lt;=25,1,IF(HR_Data[[#This Row],[Age]]&lt;=35,2,IF(HR_Data[[#This Row],[Age]]&lt;=45,3,IF(HR_Data[[#This Row],[Age]]&lt;=55,4,5))))</f>
        <v>2</v>
      </c>
      <c r="AG898" s="1" t="str">
        <f>IF(HR_Data[[#This Row],[MonthlyIncome]]&lt;3000,"&lt;3K",IF(HR_Data[[#This Row],[MonthlyIncome]]&lt;6000,"3K-6K",IF(HR_Data[[#This Row],[MonthlyIncome]]&lt;10000,"6K-10K","10K+")))</f>
        <v>6K-10K</v>
      </c>
      <c r="AH898" s="1">
        <f>IF(HR_Data[[#This Row],[MonthlyIncome]]&lt;3000,1,IF(HR_Data[[#This Row],[MonthlyIncome]]&lt;6000,2,IF(HR_Data[[#This Row],[MonthlyIncome]]&lt;10000,3,4)))</f>
        <v>3</v>
      </c>
      <c r="AI898" s="1" t="str">
        <f>IF(HR_Data[[#This Row],[YearsAtCompany]]&lt;=2,"0-2 Yrs",IF(HR_Data[[#This Row],[YearsAtCompany]]&lt;=5,"3-5 Yrs",IF(HR_Data[[#This Row],[YearsAtCompany]]&lt;=10,"6-10 Yrs","10+ Yrs")))</f>
        <v>6-10 Yrs</v>
      </c>
      <c r="AJ898" s="1">
        <f>IF(HR_Data[[#This Row],[YearsAtCompany]]&lt;=2,1,IF(HR_Data[[#This Row],[YearsAtCompany]]&lt;=5,2,IF(HR_Data[[#This Row],[YearsAtCompany]]&lt;=10,3,4)))</f>
        <v>3</v>
      </c>
      <c r="AK898" s="1" t="str">
        <f>CHOOSE(HR_Data[[#This Row],[Education]],"Below College","College","Bachelor","Master","Doctor")</f>
        <v>Bachelor</v>
      </c>
      <c r="AL898" s="1" t="str">
        <f>CHOOSE(HR_Data[[#This Row],[JobSatisfaction]],"Low","Medium","High","Very High")</f>
        <v>Low</v>
      </c>
      <c r="AM898" s="1" t="str">
        <f>CHOOSE(HR_Data[[#This Row],[EnvironmentSatisfaction]],"Low","Medium","High","Very High")</f>
        <v>High</v>
      </c>
      <c r="AN898" s="1" t="str">
        <f>CHOOSE(HR_Data[[#This Row],[WorkLifeBalance]],"Bad","Good","Better","Best")</f>
        <v>Better</v>
      </c>
      <c r="AO898" s="1" t="str">
        <f>IF(HR_Data[[#This Row],[PercentSalaryHike]]&lt;=13,"11-13%",IF(HR_Data[[#This Row],[PercentSalaryHike]]&lt;=16,"14-16%",IF(HR_Data[[#This Row],[PercentSalaryHike]]&lt;=19,"17-19%","20-25%")))</f>
        <v>17-19%</v>
      </c>
      <c r="AP898" s="1">
        <f>IF(HR_Data[[#This Row],[PercentSalaryHike]]&lt;=13,1,IF(HR_Data[[#This Row],[PercentSalaryHike]]&lt;=16,2,IF(HR_Data[[#This Row],[PercentSalaryHike]]&lt;=19,3,4)))</f>
        <v>3</v>
      </c>
      <c r="AQ898" s="1" t="str">
        <f>IF(HR_Data[[#This Row],[DistanceFromHome]]&lt;=5,"1 to 5",IF(HR_Data[[#This Row],[DistanceFromHome]]&lt;=10,"6 to 10",IF(HR_Data[[#This Row],[DistanceFromHome]]&lt;=20,"11 to 20","21 to 29")))</f>
        <v>21 to 29</v>
      </c>
      <c r="AR898" s="1">
        <f>IF(HR_Data[[#This Row],[DistanceFromHome]]&lt;=5,1,IF(HR_Data[[#This Row],[DistanceFromHome]]&lt;=10,2,IF(HR_Data[[#This Row],[DistanceFromHome]]&lt;=20,3,4)))</f>
        <v>4</v>
      </c>
      <c r="AS898" s="1" t="str">
        <f>IF(HR_Data[[#This Row],[TotalWorkingYears]]&lt;=5,"0-5 Yrs",IF(HR_Data[[#This Row],[TotalWorkingYears]]&lt;=10,"6-10 Yrs",IF(HR_Data[[#This Row],[TotalWorkingYears]]&lt;=20,"11-20 Yrs","20+ Yrs")))</f>
        <v>6-10 Yrs</v>
      </c>
      <c r="AT898" s="1">
        <f>IF(HR_Data[[#This Row],[TotalWorkingYears]]&lt;=5,1,IF(HR_Data[[#This Row],[TotalWorkingYears]]&lt;=10,2,IF(HR_Data[[#This Row],[TotalWorkingYears]]&lt;=20,3,4)))</f>
        <v>2</v>
      </c>
    </row>
    <row r="899" spans="1:46" x14ac:dyDescent="0.25">
      <c r="A899">
        <v>59</v>
      </c>
      <c r="B899" t="s">
        <v>36</v>
      </c>
      <c r="C899" t="s">
        <v>30</v>
      </c>
      <c r="D899" t="s">
        <v>31</v>
      </c>
      <c r="E899">
        <v>3</v>
      </c>
      <c r="F899">
        <v>3</v>
      </c>
      <c r="G899" t="s">
        <v>32</v>
      </c>
      <c r="H899">
        <v>1254</v>
      </c>
      <c r="I899">
        <v>3</v>
      </c>
      <c r="J899" t="s">
        <v>33</v>
      </c>
      <c r="K899">
        <v>2</v>
      </c>
      <c r="L899">
        <v>2</v>
      </c>
      <c r="M899" t="s">
        <v>34</v>
      </c>
      <c r="N899">
        <v>4</v>
      </c>
      <c r="O899" t="s">
        <v>35</v>
      </c>
      <c r="P899">
        <v>5171</v>
      </c>
      <c r="Q899">
        <v>5</v>
      </c>
      <c r="R899" t="s">
        <v>36</v>
      </c>
      <c r="S899">
        <v>17</v>
      </c>
      <c r="T899">
        <v>3</v>
      </c>
      <c r="U899">
        <v>4</v>
      </c>
      <c r="V899">
        <v>0</v>
      </c>
      <c r="W899">
        <v>13</v>
      </c>
      <c r="X899">
        <v>2</v>
      </c>
      <c r="Y899">
        <v>3</v>
      </c>
      <c r="Z899">
        <v>6</v>
      </c>
      <c r="AA899">
        <v>1</v>
      </c>
      <c r="AB899">
        <v>0</v>
      </c>
      <c r="AC899">
        <v>5</v>
      </c>
      <c r="AD899">
        <f>IF(HR_Data[[#This Row],[Attrition]]="Yes",1,0)</f>
        <v>0</v>
      </c>
      <c r="AE899" t="str">
        <f>IF(HR_Data[[#This Row],[Age]]&lt;=25,"18-25",IF(HR_Data[[#This Row],[Age]]&lt;=35,"26-35",IF(HR_Data[[#This Row],[Age]]&lt;=45,"36-45",IF(HR_Data[[#This Row],[Age]]&lt;=55,"46-55","55+"))))</f>
        <v>55+</v>
      </c>
      <c r="AF899">
        <f>IF(HR_Data[[#This Row],[Age]]&lt;=25,1,IF(HR_Data[[#This Row],[Age]]&lt;=35,2,IF(HR_Data[[#This Row],[Age]]&lt;=45,3,IF(HR_Data[[#This Row],[Age]]&lt;=55,4,5))))</f>
        <v>5</v>
      </c>
      <c r="AG899" s="1" t="str">
        <f>IF(HR_Data[[#This Row],[MonthlyIncome]]&lt;3000,"&lt;3K",IF(HR_Data[[#This Row],[MonthlyIncome]]&lt;6000,"3K-6K",IF(HR_Data[[#This Row],[MonthlyIncome]]&lt;10000,"6K-10K","10K+")))</f>
        <v>3K-6K</v>
      </c>
      <c r="AH899" s="1">
        <f>IF(HR_Data[[#This Row],[MonthlyIncome]]&lt;3000,1,IF(HR_Data[[#This Row],[MonthlyIncome]]&lt;6000,2,IF(HR_Data[[#This Row],[MonthlyIncome]]&lt;10000,3,4)))</f>
        <v>2</v>
      </c>
      <c r="AI899" s="1" t="str">
        <f>IF(HR_Data[[#This Row],[YearsAtCompany]]&lt;=2,"0-2 Yrs",IF(HR_Data[[#This Row],[YearsAtCompany]]&lt;=5,"3-5 Yrs",IF(HR_Data[[#This Row],[YearsAtCompany]]&lt;=10,"6-10 Yrs","10+ Yrs")))</f>
        <v>6-10 Yrs</v>
      </c>
      <c r="AJ899" s="1">
        <f>IF(HR_Data[[#This Row],[YearsAtCompany]]&lt;=2,1,IF(HR_Data[[#This Row],[YearsAtCompany]]&lt;=5,2,IF(HR_Data[[#This Row],[YearsAtCompany]]&lt;=10,3,4)))</f>
        <v>3</v>
      </c>
      <c r="AK899" s="1" t="str">
        <f>CHOOSE(HR_Data[[#This Row],[Education]],"Below College","College","Bachelor","Master","Doctor")</f>
        <v>Bachelor</v>
      </c>
      <c r="AL899" s="1" t="str">
        <f>CHOOSE(HR_Data[[#This Row],[JobSatisfaction]],"Low","Medium","High","Very High")</f>
        <v>Very High</v>
      </c>
      <c r="AM899" s="1" t="str">
        <f>CHOOSE(HR_Data[[#This Row],[EnvironmentSatisfaction]],"Low","Medium","High","Very High")</f>
        <v>High</v>
      </c>
      <c r="AN899" s="1" t="str">
        <f>CHOOSE(HR_Data[[#This Row],[WorkLifeBalance]],"Bad","Good","Better","Best")</f>
        <v>Better</v>
      </c>
      <c r="AO899" s="1" t="str">
        <f>IF(HR_Data[[#This Row],[PercentSalaryHike]]&lt;=13,"11-13%",IF(HR_Data[[#This Row],[PercentSalaryHike]]&lt;=16,"14-16%",IF(HR_Data[[#This Row],[PercentSalaryHike]]&lt;=19,"17-19%","20-25%")))</f>
        <v>17-19%</v>
      </c>
      <c r="AP899" s="1">
        <f>IF(HR_Data[[#This Row],[PercentSalaryHike]]&lt;=13,1,IF(HR_Data[[#This Row],[PercentSalaryHike]]&lt;=16,2,IF(HR_Data[[#This Row],[PercentSalaryHike]]&lt;=19,3,4)))</f>
        <v>3</v>
      </c>
      <c r="AQ899" s="1" t="str">
        <f>IF(HR_Data[[#This Row],[DistanceFromHome]]&lt;=5,"1 to 5",IF(HR_Data[[#This Row],[DistanceFromHome]]&lt;=10,"6 to 10",IF(HR_Data[[#This Row],[DistanceFromHome]]&lt;=20,"11 to 20","21 to 29")))</f>
        <v>1 to 5</v>
      </c>
      <c r="AR899" s="1">
        <f>IF(HR_Data[[#This Row],[DistanceFromHome]]&lt;=5,1,IF(HR_Data[[#This Row],[DistanceFromHome]]&lt;=10,2,IF(HR_Data[[#This Row],[DistanceFromHome]]&lt;=20,3,4)))</f>
        <v>1</v>
      </c>
      <c r="AS899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899" s="1">
        <f>IF(HR_Data[[#This Row],[TotalWorkingYears]]&lt;=5,1,IF(HR_Data[[#This Row],[TotalWorkingYears]]&lt;=10,2,IF(HR_Data[[#This Row],[TotalWorkingYears]]&lt;=20,3,4)))</f>
        <v>3</v>
      </c>
    </row>
    <row r="900" spans="1:46" x14ac:dyDescent="0.25">
      <c r="A900">
        <v>43</v>
      </c>
      <c r="B900" t="s">
        <v>36</v>
      </c>
      <c r="C900" t="s">
        <v>30</v>
      </c>
      <c r="D900" t="s">
        <v>38</v>
      </c>
      <c r="E900">
        <v>3</v>
      </c>
      <c r="F900">
        <v>3</v>
      </c>
      <c r="G900" t="s">
        <v>32</v>
      </c>
      <c r="H900">
        <v>1255</v>
      </c>
      <c r="I900">
        <v>3</v>
      </c>
      <c r="J900" t="s">
        <v>39</v>
      </c>
      <c r="K900">
        <v>1</v>
      </c>
      <c r="L900">
        <v>5</v>
      </c>
      <c r="M900" t="s">
        <v>51</v>
      </c>
      <c r="N900">
        <v>4</v>
      </c>
      <c r="O900" t="s">
        <v>41</v>
      </c>
      <c r="P900">
        <v>19740</v>
      </c>
      <c r="Q900">
        <v>3</v>
      </c>
      <c r="R900" t="s">
        <v>36</v>
      </c>
      <c r="S900">
        <v>14</v>
      </c>
      <c r="T900">
        <v>3</v>
      </c>
      <c r="U900">
        <v>2</v>
      </c>
      <c r="V900">
        <v>1</v>
      </c>
      <c r="W900">
        <v>25</v>
      </c>
      <c r="X900">
        <v>2</v>
      </c>
      <c r="Y900">
        <v>3</v>
      </c>
      <c r="Z900">
        <v>8</v>
      </c>
      <c r="AA900">
        <v>7</v>
      </c>
      <c r="AB900">
        <v>0</v>
      </c>
      <c r="AC900">
        <v>7</v>
      </c>
      <c r="AD900">
        <f>IF(HR_Data[[#This Row],[Attrition]]="Yes",1,0)</f>
        <v>0</v>
      </c>
      <c r="AE900" t="str">
        <f>IF(HR_Data[[#This Row],[Age]]&lt;=25,"18-25",IF(HR_Data[[#This Row],[Age]]&lt;=35,"26-35",IF(HR_Data[[#This Row],[Age]]&lt;=45,"36-45",IF(HR_Data[[#This Row],[Age]]&lt;=55,"46-55","55+"))))</f>
        <v>36-45</v>
      </c>
      <c r="AF900">
        <f>IF(HR_Data[[#This Row],[Age]]&lt;=25,1,IF(HR_Data[[#This Row],[Age]]&lt;=35,2,IF(HR_Data[[#This Row],[Age]]&lt;=45,3,IF(HR_Data[[#This Row],[Age]]&lt;=55,4,5))))</f>
        <v>3</v>
      </c>
      <c r="AG900" s="1" t="str">
        <f>IF(HR_Data[[#This Row],[MonthlyIncome]]&lt;3000,"&lt;3K",IF(HR_Data[[#This Row],[MonthlyIncome]]&lt;6000,"3K-6K",IF(HR_Data[[#This Row],[MonthlyIncome]]&lt;10000,"6K-10K","10K+")))</f>
        <v>10K+</v>
      </c>
      <c r="AH900" s="1">
        <f>IF(HR_Data[[#This Row],[MonthlyIncome]]&lt;3000,1,IF(HR_Data[[#This Row],[MonthlyIncome]]&lt;6000,2,IF(HR_Data[[#This Row],[MonthlyIncome]]&lt;10000,3,4)))</f>
        <v>4</v>
      </c>
      <c r="AI900" s="1" t="str">
        <f>IF(HR_Data[[#This Row],[YearsAtCompany]]&lt;=2,"0-2 Yrs",IF(HR_Data[[#This Row],[YearsAtCompany]]&lt;=5,"3-5 Yrs",IF(HR_Data[[#This Row],[YearsAtCompany]]&lt;=10,"6-10 Yrs","10+ Yrs")))</f>
        <v>6-10 Yrs</v>
      </c>
      <c r="AJ900" s="1">
        <f>IF(HR_Data[[#This Row],[YearsAtCompany]]&lt;=2,1,IF(HR_Data[[#This Row],[YearsAtCompany]]&lt;=5,2,IF(HR_Data[[#This Row],[YearsAtCompany]]&lt;=10,3,4)))</f>
        <v>3</v>
      </c>
      <c r="AK900" s="1" t="str">
        <f>CHOOSE(HR_Data[[#This Row],[Education]],"Below College","College","Bachelor","Master","Doctor")</f>
        <v>Bachelor</v>
      </c>
      <c r="AL900" s="1" t="str">
        <f>CHOOSE(HR_Data[[#This Row],[JobSatisfaction]],"Low","Medium","High","Very High")</f>
        <v>Very High</v>
      </c>
      <c r="AM900" s="1" t="str">
        <f>CHOOSE(HR_Data[[#This Row],[EnvironmentSatisfaction]],"Low","Medium","High","Very High")</f>
        <v>High</v>
      </c>
      <c r="AN900" s="1" t="str">
        <f>CHOOSE(HR_Data[[#This Row],[WorkLifeBalance]],"Bad","Good","Better","Best")</f>
        <v>Better</v>
      </c>
      <c r="AO900" s="1" t="str">
        <f>IF(HR_Data[[#This Row],[PercentSalaryHike]]&lt;=13,"11-13%",IF(HR_Data[[#This Row],[PercentSalaryHike]]&lt;=16,"14-16%",IF(HR_Data[[#This Row],[PercentSalaryHike]]&lt;=19,"17-19%","20-25%")))</f>
        <v>14-16%</v>
      </c>
      <c r="AP900" s="1">
        <f>IF(HR_Data[[#This Row],[PercentSalaryHike]]&lt;=13,1,IF(HR_Data[[#This Row],[PercentSalaryHike]]&lt;=16,2,IF(HR_Data[[#This Row],[PercentSalaryHike]]&lt;=19,3,4)))</f>
        <v>2</v>
      </c>
      <c r="AQ900" s="1" t="str">
        <f>IF(HR_Data[[#This Row],[DistanceFromHome]]&lt;=5,"1 to 5",IF(HR_Data[[#This Row],[DistanceFromHome]]&lt;=10,"6 to 10",IF(HR_Data[[#This Row],[DistanceFromHome]]&lt;=20,"11 to 20","21 to 29")))</f>
        <v>1 to 5</v>
      </c>
      <c r="AR900" s="1">
        <f>IF(HR_Data[[#This Row],[DistanceFromHome]]&lt;=5,1,IF(HR_Data[[#This Row],[DistanceFromHome]]&lt;=10,2,IF(HR_Data[[#This Row],[DistanceFromHome]]&lt;=20,3,4)))</f>
        <v>1</v>
      </c>
      <c r="AS900" s="1" t="str">
        <f>IF(HR_Data[[#This Row],[TotalWorkingYears]]&lt;=5,"0-5 Yrs",IF(HR_Data[[#This Row],[TotalWorkingYears]]&lt;=10,"6-10 Yrs",IF(HR_Data[[#This Row],[TotalWorkingYears]]&lt;=20,"11-20 Yrs","20+ Yrs")))</f>
        <v>20+ Yrs</v>
      </c>
      <c r="AT900" s="1">
        <f>IF(HR_Data[[#This Row],[TotalWorkingYears]]&lt;=5,1,IF(HR_Data[[#This Row],[TotalWorkingYears]]&lt;=10,2,IF(HR_Data[[#This Row],[TotalWorkingYears]]&lt;=20,3,4)))</f>
        <v>4</v>
      </c>
    </row>
    <row r="901" spans="1:46" x14ac:dyDescent="0.25">
      <c r="A901">
        <v>49</v>
      </c>
      <c r="B901" t="s">
        <v>36</v>
      </c>
      <c r="C901" t="s">
        <v>30</v>
      </c>
      <c r="D901" t="s">
        <v>38</v>
      </c>
      <c r="E901">
        <v>4</v>
      </c>
      <c r="F901">
        <v>2</v>
      </c>
      <c r="G901" t="s">
        <v>44</v>
      </c>
      <c r="H901">
        <v>1256</v>
      </c>
      <c r="I901">
        <v>1</v>
      </c>
      <c r="J901" t="s">
        <v>39</v>
      </c>
      <c r="K901">
        <v>2</v>
      </c>
      <c r="L901">
        <v>5</v>
      </c>
      <c r="M901" t="s">
        <v>49</v>
      </c>
      <c r="N901">
        <v>3</v>
      </c>
      <c r="O901" t="s">
        <v>41</v>
      </c>
      <c r="P901">
        <v>18711</v>
      </c>
      <c r="Q901">
        <v>2</v>
      </c>
      <c r="R901" t="s">
        <v>36</v>
      </c>
      <c r="S901">
        <v>13</v>
      </c>
      <c r="T901">
        <v>3</v>
      </c>
      <c r="U901">
        <v>3</v>
      </c>
      <c r="V901">
        <v>1</v>
      </c>
      <c r="W901">
        <v>23</v>
      </c>
      <c r="X901">
        <v>2</v>
      </c>
      <c r="Y901">
        <v>4</v>
      </c>
      <c r="Z901">
        <v>1</v>
      </c>
      <c r="AA901">
        <v>0</v>
      </c>
      <c r="AB901">
        <v>0</v>
      </c>
      <c r="AC901">
        <v>0</v>
      </c>
      <c r="AD901">
        <f>IF(HR_Data[[#This Row],[Attrition]]="Yes",1,0)</f>
        <v>0</v>
      </c>
      <c r="AE901" t="str">
        <f>IF(HR_Data[[#This Row],[Age]]&lt;=25,"18-25",IF(HR_Data[[#This Row],[Age]]&lt;=35,"26-35",IF(HR_Data[[#This Row],[Age]]&lt;=45,"36-45",IF(HR_Data[[#This Row],[Age]]&lt;=55,"46-55","55+"))))</f>
        <v>46-55</v>
      </c>
      <c r="AF901">
        <f>IF(HR_Data[[#This Row],[Age]]&lt;=25,1,IF(HR_Data[[#This Row],[Age]]&lt;=35,2,IF(HR_Data[[#This Row],[Age]]&lt;=45,3,IF(HR_Data[[#This Row],[Age]]&lt;=55,4,5))))</f>
        <v>4</v>
      </c>
      <c r="AG901" s="1" t="str">
        <f>IF(HR_Data[[#This Row],[MonthlyIncome]]&lt;3000,"&lt;3K",IF(HR_Data[[#This Row],[MonthlyIncome]]&lt;6000,"3K-6K",IF(HR_Data[[#This Row],[MonthlyIncome]]&lt;10000,"6K-10K","10K+")))</f>
        <v>10K+</v>
      </c>
      <c r="AH901" s="1">
        <f>IF(HR_Data[[#This Row],[MonthlyIncome]]&lt;3000,1,IF(HR_Data[[#This Row],[MonthlyIncome]]&lt;6000,2,IF(HR_Data[[#This Row],[MonthlyIncome]]&lt;10000,3,4)))</f>
        <v>4</v>
      </c>
      <c r="AI901" s="1" t="str">
        <f>IF(HR_Data[[#This Row],[YearsAtCompany]]&lt;=2,"0-2 Yrs",IF(HR_Data[[#This Row],[YearsAtCompany]]&lt;=5,"3-5 Yrs",IF(HR_Data[[#This Row],[YearsAtCompany]]&lt;=10,"6-10 Yrs","10+ Yrs")))</f>
        <v>0-2 Yrs</v>
      </c>
      <c r="AJ901" s="1">
        <f>IF(HR_Data[[#This Row],[YearsAtCompany]]&lt;=2,1,IF(HR_Data[[#This Row],[YearsAtCompany]]&lt;=5,2,IF(HR_Data[[#This Row],[YearsAtCompany]]&lt;=10,3,4)))</f>
        <v>1</v>
      </c>
      <c r="AK901" s="1" t="str">
        <f>CHOOSE(HR_Data[[#This Row],[Education]],"Below College","College","Bachelor","Master","Doctor")</f>
        <v>College</v>
      </c>
      <c r="AL901" s="1" t="str">
        <f>CHOOSE(HR_Data[[#This Row],[JobSatisfaction]],"Low","Medium","High","Very High")</f>
        <v>High</v>
      </c>
      <c r="AM901" s="1" t="str">
        <f>CHOOSE(HR_Data[[#This Row],[EnvironmentSatisfaction]],"Low","Medium","High","Very High")</f>
        <v>Low</v>
      </c>
      <c r="AN901" s="1" t="str">
        <f>CHOOSE(HR_Data[[#This Row],[WorkLifeBalance]],"Bad","Good","Better","Best")</f>
        <v>Best</v>
      </c>
      <c r="AO901" s="1" t="str">
        <f>IF(HR_Data[[#This Row],[PercentSalaryHike]]&lt;=13,"11-13%",IF(HR_Data[[#This Row],[PercentSalaryHike]]&lt;=16,"14-16%",IF(HR_Data[[#This Row],[PercentSalaryHike]]&lt;=19,"17-19%","20-25%")))</f>
        <v>11-13%</v>
      </c>
      <c r="AP901" s="1">
        <f>IF(HR_Data[[#This Row],[PercentSalaryHike]]&lt;=13,1,IF(HR_Data[[#This Row],[PercentSalaryHike]]&lt;=16,2,IF(HR_Data[[#This Row],[PercentSalaryHike]]&lt;=19,3,4)))</f>
        <v>1</v>
      </c>
      <c r="AQ901" s="1" t="str">
        <f>IF(HR_Data[[#This Row],[DistanceFromHome]]&lt;=5,"1 to 5",IF(HR_Data[[#This Row],[DistanceFromHome]]&lt;=10,"6 to 10",IF(HR_Data[[#This Row],[DistanceFromHome]]&lt;=20,"11 to 20","21 to 29")))</f>
        <v>1 to 5</v>
      </c>
      <c r="AR901" s="1">
        <f>IF(HR_Data[[#This Row],[DistanceFromHome]]&lt;=5,1,IF(HR_Data[[#This Row],[DistanceFromHome]]&lt;=10,2,IF(HR_Data[[#This Row],[DistanceFromHome]]&lt;=20,3,4)))</f>
        <v>1</v>
      </c>
      <c r="AS901" s="1" t="str">
        <f>IF(HR_Data[[#This Row],[TotalWorkingYears]]&lt;=5,"0-5 Yrs",IF(HR_Data[[#This Row],[TotalWorkingYears]]&lt;=10,"6-10 Yrs",IF(HR_Data[[#This Row],[TotalWorkingYears]]&lt;=20,"11-20 Yrs","20+ Yrs")))</f>
        <v>20+ Yrs</v>
      </c>
      <c r="AT901" s="1">
        <f>IF(HR_Data[[#This Row],[TotalWorkingYears]]&lt;=5,1,IF(HR_Data[[#This Row],[TotalWorkingYears]]&lt;=10,2,IF(HR_Data[[#This Row],[TotalWorkingYears]]&lt;=20,3,4)))</f>
        <v>4</v>
      </c>
    </row>
    <row r="902" spans="1:46" x14ac:dyDescent="0.25">
      <c r="A902">
        <v>36</v>
      </c>
      <c r="B902" t="s">
        <v>36</v>
      </c>
      <c r="C902" t="s">
        <v>37</v>
      </c>
      <c r="D902" t="s">
        <v>38</v>
      </c>
      <c r="E902">
        <v>3</v>
      </c>
      <c r="F902">
        <v>3</v>
      </c>
      <c r="G902" t="s">
        <v>53</v>
      </c>
      <c r="H902">
        <v>1257</v>
      </c>
      <c r="I902">
        <v>3</v>
      </c>
      <c r="J902" t="s">
        <v>39</v>
      </c>
      <c r="K902">
        <v>3</v>
      </c>
      <c r="L902">
        <v>1</v>
      </c>
      <c r="M902" t="s">
        <v>40</v>
      </c>
      <c r="N902">
        <v>2</v>
      </c>
      <c r="O902" t="s">
        <v>41</v>
      </c>
      <c r="P902">
        <v>3692</v>
      </c>
      <c r="Q902">
        <v>1</v>
      </c>
      <c r="R902" t="s">
        <v>36</v>
      </c>
      <c r="S902">
        <v>12</v>
      </c>
      <c r="T902">
        <v>3</v>
      </c>
      <c r="U902">
        <v>3</v>
      </c>
      <c r="V902">
        <v>0</v>
      </c>
      <c r="W902">
        <v>12</v>
      </c>
      <c r="X902">
        <v>2</v>
      </c>
      <c r="Y902">
        <v>2</v>
      </c>
      <c r="Z902">
        <v>11</v>
      </c>
      <c r="AA902">
        <v>10</v>
      </c>
      <c r="AB902">
        <v>0</v>
      </c>
      <c r="AC902">
        <v>7</v>
      </c>
      <c r="AD902">
        <f>IF(HR_Data[[#This Row],[Attrition]]="Yes",1,0)</f>
        <v>0</v>
      </c>
      <c r="AE902" t="str">
        <f>IF(HR_Data[[#This Row],[Age]]&lt;=25,"18-25",IF(HR_Data[[#This Row],[Age]]&lt;=35,"26-35",IF(HR_Data[[#This Row],[Age]]&lt;=45,"36-45",IF(HR_Data[[#This Row],[Age]]&lt;=55,"46-55","55+"))))</f>
        <v>36-45</v>
      </c>
      <c r="AF902">
        <f>IF(HR_Data[[#This Row],[Age]]&lt;=25,1,IF(HR_Data[[#This Row],[Age]]&lt;=35,2,IF(HR_Data[[#This Row],[Age]]&lt;=45,3,IF(HR_Data[[#This Row],[Age]]&lt;=55,4,5))))</f>
        <v>3</v>
      </c>
      <c r="AG902" s="1" t="str">
        <f>IF(HR_Data[[#This Row],[MonthlyIncome]]&lt;3000,"&lt;3K",IF(HR_Data[[#This Row],[MonthlyIncome]]&lt;6000,"3K-6K",IF(HR_Data[[#This Row],[MonthlyIncome]]&lt;10000,"6K-10K","10K+")))</f>
        <v>3K-6K</v>
      </c>
      <c r="AH902" s="1">
        <f>IF(HR_Data[[#This Row],[MonthlyIncome]]&lt;3000,1,IF(HR_Data[[#This Row],[MonthlyIncome]]&lt;6000,2,IF(HR_Data[[#This Row],[MonthlyIncome]]&lt;10000,3,4)))</f>
        <v>2</v>
      </c>
      <c r="AI902" s="1" t="str">
        <f>IF(HR_Data[[#This Row],[YearsAtCompany]]&lt;=2,"0-2 Yrs",IF(HR_Data[[#This Row],[YearsAtCompany]]&lt;=5,"3-5 Yrs",IF(HR_Data[[#This Row],[YearsAtCompany]]&lt;=10,"6-10 Yrs","10+ Yrs")))</f>
        <v>10+ Yrs</v>
      </c>
      <c r="AJ902" s="1">
        <f>IF(HR_Data[[#This Row],[YearsAtCompany]]&lt;=2,1,IF(HR_Data[[#This Row],[YearsAtCompany]]&lt;=5,2,IF(HR_Data[[#This Row],[YearsAtCompany]]&lt;=10,3,4)))</f>
        <v>4</v>
      </c>
      <c r="AK902" s="1" t="str">
        <f>CHOOSE(HR_Data[[#This Row],[Education]],"Below College","College","Bachelor","Master","Doctor")</f>
        <v>Bachelor</v>
      </c>
      <c r="AL902" s="1" t="str">
        <f>CHOOSE(HR_Data[[#This Row],[JobSatisfaction]],"Low","Medium","High","Very High")</f>
        <v>Medium</v>
      </c>
      <c r="AM902" s="1" t="str">
        <f>CHOOSE(HR_Data[[#This Row],[EnvironmentSatisfaction]],"Low","Medium","High","Very High")</f>
        <v>High</v>
      </c>
      <c r="AN902" s="1" t="str">
        <f>CHOOSE(HR_Data[[#This Row],[WorkLifeBalance]],"Bad","Good","Better","Best")</f>
        <v>Good</v>
      </c>
      <c r="AO902" s="1" t="str">
        <f>IF(HR_Data[[#This Row],[PercentSalaryHike]]&lt;=13,"11-13%",IF(HR_Data[[#This Row],[PercentSalaryHike]]&lt;=16,"14-16%",IF(HR_Data[[#This Row],[PercentSalaryHike]]&lt;=19,"17-19%","20-25%")))</f>
        <v>11-13%</v>
      </c>
      <c r="AP902" s="1">
        <f>IF(HR_Data[[#This Row],[PercentSalaryHike]]&lt;=13,1,IF(HR_Data[[#This Row],[PercentSalaryHike]]&lt;=16,2,IF(HR_Data[[#This Row],[PercentSalaryHike]]&lt;=19,3,4)))</f>
        <v>1</v>
      </c>
      <c r="AQ902" s="1" t="str">
        <f>IF(HR_Data[[#This Row],[DistanceFromHome]]&lt;=5,"1 to 5",IF(HR_Data[[#This Row],[DistanceFromHome]]&lt;=10,"6 to 10",IF(HR_Data[[#This Row],[DistanceFromHome]]&lt;=20,"11 to 20","21 to 29")))</f>
        <v>1 to 5</v>
      </c>
      <c r="AR902" s="1">
        <f>IF(HR_Data[[#This Row],[DistanceFromHome]]&lt;=5,1,IF(HR_Data[[#This Row],[DistanceFromHome]]&lt;=10,2,IF(HR_Data[[#This Row],[DistanceFromHome]]&lt;=20,3,4)))</f>
        <v>1</v>
      </c>
      <c r="AS902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902" s="1">
        <f>IF(HR_Data[[#This Row],[TotalWorkingYears]]&lt;=5,1,IF(HR_Data[[#This Row],[TotalWorkingYears]]&lt;=10,2,IF(HR_Data[[#This Row],[TotalWorkingYears]]&lt;=20,3,4)))</f>
        <v>3</v>
      </c>
    </row>
    <row r="903" spans="1:46" x14ac:dyDescent="0.25">
      <c r="A903">
        <v>48</v>
      </c>
      <c r="B903" t="s">
        <v>36</v>
      </c>
      <c r="C903" t="s">
        <v>30</v>
      </c>
      <c r="D903" t="s">
        <v>38</v>
      </c>
      <c r="E903">
        <v>2</v>
      </c>
      <c r="F903">
        <v>2</v>
      </c>
      <c r="G903" t="s">
        <v>53</v>
      </c>
      <c r="H903">
        <v>1258</v>
      </c>
      <c r="I903">
        <v>4</v>
      </c>
      <c r="J903" t="s">
        <v>39</v>
      </c>
      <c r="K903">
        <v>4</v>
      </c>
      <c r="L903">
        <v>1</v>
      </c>
      <c r="M903" t="s">
        <v>43</v>
      </c>
      <c r="N903">
        <v>2</v>
      </c>
      <c r="O903" t="s">
        <v>35</v>
      </c>
      <c r="P903">
        <v>2559</v>
      </c>
      <c r="Q903">
        <v>5</v>
      </c>
      <c r="R903" t="s">
        <v>36</v>
      </c>
      <c r="S903">
        <v>11</v>
      </c>
      <c r="T903">
        <v>3</v>
      </c>
      <c r="U903">
        <v>3</v>
      </c>
      <c r="V903">
        <v>0</v>
      </c>
      <c r="W903">
        <v>7</v>
      </c>
      <c r="X903">
        <v>4</v>
      </c>
      <c r="Y903">
        <v>2</v>
      </c>
      <c r="Z903">
        <v>1</v>
      </c>
      <c r="AA903">
        <v>0</v>
      </c>
      <c r="AB903">
        <v>0</v>
      </c>
      <c r="AC903">
        <v>0</v>
      </c>
      <c r="AD903">
        <f>IF(HR_Data[[#This Row],[Attrition]]="Yes",1,0)</f>
        <v>0</v>
      </c>
      <c r="AE903" t="str">
        <f>IF(HR_Data[[#This Row],[Age]]&lt;=25,"18-25",IF(HR_Data[[#This Row],[Age]]&lt;=35,"26-35",IF(HR_Data[[#This Row],[Age]]&lt;=45,"36-45",IF(HR_Data[[#This Row],[Age]]&lt;=55,"46-55","55+"))))</f>
        <v>46-55</v>
      </c>
      <c r="AF903">
        <f>IF(HR_Data[[#This Row],[Age]]&lt;=25,1,IF(HR_Data[[#This Row],[Age]]&lt;=35,2,IF(HR_Data[[#This Row],[Age]]&lt;=45,3,IF(HR_Data[[#This Row],[Age]]&lt;=55,4,5))))</f>
        <v>4</v>
      </c>
      <c r="AG903" s="1" t="str">
        <f>IF(HR_Data[[#This Row],[MonthlyIncome]]&lt;3000,"&lt;3K",IF(HR_Data[[#This Row],[MonthlyIncome]]&lt;6000,"3K-6K",IF(HR_Data[[#This Row],[MonthlyIncome]]&lt;10000,"6K-10K","10K+")))</f>
        <v>&lt;3K</v>
      </c>
      <c r="AH903" s="1">
        <f>IF(HR_Data[[#This Row],[MonthlyIncome]]&lt;3000,1,IF(HR_Data[[#This Row],[MonthlyIncome]]&lt;6000,2,IF(HR_Data[[#This Row],[MonthlyIncome]]&lt;10000,3,4)))</f>
        <v>1</v>
      </c>
      <c r="AI903" s="1" t="str">
        <f>IF(HR_Data[[#This Row],[YearsAtCompany]]&lt;=2,"0-2 Yrs",IF(HR_Data[[#This Row],[YearsAtCompany]]&lt;=5,"3-5 Yrs",IF(HR_Data[[#This Row],[YearsAtCompany]]&lt;=10,"6-10 Yrs","10+ Yrs")))</f>
        <v>0-2 Yrs</v>
      </c>
      <c r="AJ903" s="1">
        <f>IF(HR_Data[[#This Row],[YearsAtCompany]]&lt;=2,1,IF(HR_Data[[#This Row],[YearsAtCompany]]&lt;=5,2,IF(HR_Data[[#This Row],[YearsAtCompany]]&lt;=10,3,4)))</f>
        <v>1</v>
      </c>
      <c r="AK903" s="1" t="str">
        <f>CHOOSE(HR_Data[[#This Row],[Education]],"Below College","College","Bachelor","Master","Doctor")</f>
        <v>College</v>
      </c>
      <c r="AL903" s="1" t="str">
        <f>CHOOSE(HR_Data[[#This Row],[JobSatisfaction]],"Low","Medium","High","Very High")</f>
        <v>Medium</v>
      </c>
      <c r="AM903" s="1" t="str">
        <f>CHOOSE(HR_Data[[#This Row],[EnvironmentSatisfaction]],"Low","Medium","High","Very High")</f>
        <v>Very High</v>
      </c>
      <c r="AN903" s="1" t="str">
        <f>CHOOSE(HR_Data[[#This Row],[WorkLifeBalance]],"Bad","Good","Better","Best")</f>
        <v>Good</v>
      </c>
      <c r="AO903" s="1" t="str">
        <f>IF(HR_Data[[#This Row],[PercentSalaryHike]]&lt;=13,"11-13%",IF(HR_Data[[#This Row],[PercentSalaryHike]]&lt;=16,"14-16%",IF(HR_Data[[#This Row],[PercentSalaryHike]]&lt;=19,"17-19%","20-25%")))</f>
        <v>11-13%</v>
      </c>
      <c r="AP903" s="1">
        <f>IF(HR_Data[[#This Row],[PercentSalaryHike]]&lt;=13,1,IF(HR_Data[[#This Row],[PercentSalaryHike]]&lt;=16,2,IF(HR_Data[[#This Row],[PercentSalaryHike]]&lt;=19,3,4)))</f>
        <v>1</v>
      </c>
      <c r="AQ903" s="1" t="str">
        <f>IF(HR_Data[[#This Row],[DistanceFromHome]]&lt;=5,"1 to 5",IF(HR_Data[[#This Row],[DistanceFromHome]]&lt;=10,"6 to 10",IF(HR_Data[[#This Row],[DistanceFromHome]]&lt;=20,"11 to 20","21 to 29")))</f>
        <v>1 to 5</v>
      </c>
      <c r="AR903" s="1">
        <f>IF(HR_Data[[#This Row],[DistanceFromHome]]&lt;=5,1,IF(HR_Data[[#This Row],[DistanceFromHome]]&lt;=10,2,IF(HR_Data[[#This Row],[DistanceFromHome]]&lt;=20,3,4)))</f>
        <v>1</v>
      </c>
      <c r="AS903" s="1" t="str">
        <f>IF(HR_Data[[#This Row],[TotalWorkingYears]]&lt;=5,"0-5 Yrs",IF(HR_Data[[#This Row],[TotalWorkingYears]]&lt;=10,"6-10 Yrs",IF(HR_Data[[#This Row],[TotalWorkingYears]]&lt;=20,"11-20 Yrs","20+ Yrs")))</f>
        <v>6-10 Yrs</v>
      </c>
      <c r="AT903" s="1">
        <f>IF(HR_Data[[#This Row],[TotalWorkingYears]]&lt;=5,1,IF(HR_Data[[#This Row],[TotalWorkingYears]]&lt;=10,2,IF(HR_Data[[#This Row],[TotalWorkingYears]]&lt;=20,3,4)))</f>
        <v>2</v>
      </c>
    </row>
    <row r="904" spans="1:46" x14ac:dyDescent="0.25">
      <c r="A904">
        <v>27</v>
      </c>
      <c r="B904" t="s">
        <v>36</v>
      </c>
      <c r="C904" t="s">
        <v>30</v>
      </c>
      <c r="D904" t="s">
        <v>38</v>
      </c>
      <c r="E904">
        <v>4</v>
      </c>
      <c r="F904">
        <v>2</v>
      </c>
      <c r="G904" t="s">
        <v>32</v>
      </c>
      <c r="H904">
        <v>1259</v>
      </c>
      <c r="I904">
        <v>1</v>
      </c>
      <c r="J904" t="s">
        <v>39</v>
      </c>
      <c r="K904">
        <v>3</v>
      </c>
      <c r="L904">
        <v>1</v>
      </c>
      <c r="M904" t="s">
        <v>40</v>
      </c>
      <c r="N904">
        <v>3</v>
      </c>
      <c r="O904" t="s">
        <v>45</v>
      </c>
      <c r="P904">
        <v>2517</v>
      </c>
      <c r="Q904">
        <v>1</v>
      </c>
      <c r="R904" t="s">
        <v>36</v>
      </c>
      <c r="S904">
        <v>11</v>
      </c>
      <c r="T904">
        <v>3</v>
      </c>
      <c r="U904">
        <v>2</v>
      </c>
      <c r="V904">
        <v>3</v>
      </c>
      <c r="W904">
        <v>5</v>
      </c>
      <c r="X904">
        <v>2</v>
      </c>
      <c r="Y904">
        <v>3</v>
      </c>
      <c r="Z904">
        <v>5</v>
      </c>
      <c r="AA904">
        <v>3</v>
      </c>
      <c r="AB904">
        <v>0</v>
      </c>
      <c r="AC904">
        <v>3</v>
      </c>
      <c r="AD904">
        <f>IF(HR_Data[[#This Row],[Attrition]]="Yes",1,0)</f>
        <v>0</v>
      </c>
      <c r="AE904" t="str">
        <f>IF(HR_Data[[#This Row],[Age]]&lt;=25,"18-25",IF(HR_Data[[#This Row],[Age]]&lt;=35,"26-35",IF(HR_Data[[#This Row],[Age]]&lt;=45,"36-45",IF(HR_Data[[#This Row],[Age]]&lt;=55,"46-55","55+"))))</f>
        <v>26-35</v>
      </c>
      <c r="AF904">
        <f>IF(HR_Data[[#This Row],[Age]]&lt;=25,1,IF(HR_Data[[#This Row],[Age]]&lt;=35,2,IF(HR_Data[[#This Row],[Age]]&lt;=45,3,IF(HR_Data[[#This Row],[Age]]&lt;=55,4,5))))</f>
        <v>2</v>
      </c>
      <c r="AG904" s="1" t="str">
        <f>IF(HR_Data[[#This Row],[MonthlyIncome]]&lt;3000,"&lt;3K",IF(HR_Data[[#This Row],[MonthlyIncome]]&lt;6000,"3K-6K",IF(HR_Data[[#This Row],[MonthlyIncome]]&lt;10000,"6K-10K","10K+")))</f>
        <v>&lt;3K</v>
      </c>
      <c r="AH904" s="1">
        <f>IF(HR_Data[[#This Row],[MonthlyIncome]]&lt;3000,1,IF(HR_Data[[#This Row],[MonthlyIncome]]&lt;6000,2,IF(HR_Data[[#This Row],[MonthlyIncome]]&lt;10000,3,4)))</f>
        <v>1</v>
      </c>
      <c r="AI904" s="1" t="str">
        <f>IF(HR_Data[[#This Row],[YearsAtCompany]]&lt;=2,"0-2 Yrs",IF(HR_Data[[#This Row],[YearsAtCompany]]&lt;=5,"3-5 Yrs",IF(HR_Data[[#This Row],[YearsAtCompany]]&lt;=10,"6-10 Yrs","10+ Yrs")))</f>
        <v>3-5 Yrs</v>
      </c>
      <c r="AJ904" s="1">
        <f>IF(HR_Data[[#This Row],[YearsAtCompany]]&lt;=2,1,IF(HR_Data[[#This Row],[YearsAtCompany]]&lt;=5,2,IF(HR_Data[[#This Row],[YearsAtCompany]]&lt;=10,3,4)))</f>
        <v>2</v>
      </c>
      <c r="AK904" s="1" t="str">
        <f>CHOOSE(HR_Data[[#This Row],[Education]],"Below College","College","Bachelor","Master","Doctor")</f>
        <v>College</v>
      </c>
      <c r="AL904" s="1" t="str">
        <f>CHOOSE(HR_Data[[#This Row],[JobSatisfaction]],"Low","Medium","High","Very High")</f>
        <v>High</v>
      </c>
      <c r="AM904" s="1" t="str">
        <f>CHOOSE(HR_Data[[#This Row],[EnvironmentSatisfaction]],"Low","Medium","High","Very High")</f>
        <v>Low</v>
      </c>
      <c r="AN904" s="1" t="str">
        <f>CHOOSE(HR_Data[[#This Row],[WorkLifeBalance]],"Bad","Good","Better","Best")</f>
        <v>Better</v>
      </c>
      <c r="AO904" s="1" t="str">
        <f>IF(HR_Data[[#This Row],[PercentSalaryHike]]&lt;=13,"11-13%",IF(HR_Data[[#This Row],[PercentSalaryHike]]&lt;=16,"14-16%",IF(HR_Data[[#This Row],[PercentSalaryHike]]&lt;=19,"17-19%","20-25%")))</f>
        <v>11-13%</v>
      </c>
      <c r="AP904" s="1">
        <f>IF(HR_Data[[#This Row],[PercentSalaryHike]]&lt;=13,1,IF(HR_Data[[#This Row],[PercentSalaryHike]]&lt;=16,2,IF(HR_Data[[#This Row],[PercentSalaryHike]]&lt;=19,3,4)))</f>
        <v>1</v>
      </c>
      <c r="AQ904" s="1" t="str">
        <f>IF(HR_Data[[#This Row],[DistanceFromHome]]&lt;=5,"1 to 5",IF(HR_Data[[#This Row],[DistanceFromHome]]&lt;=10,"6 to 10",IF(HR_Data[[#This Row],[DistanceFromHome]]&lt;=20,"11 to 20","21 to 29")))</f>
        <v>1 to 5</v>
      </c>
      <c r="AR904" s="1">
        <f>IF(HR_Data[[#This Row],[DistanceFromHome]]&lt;=5,1,IF(HR_Data[[#This Row],[DistanceFromHome]]&lt;=10,2,IF(HR_Data[[#This Row],[DistanceFromHome]]&lt;=20,3,4)))</f>
        <v>1</v>
      </c>
      <c r="AS904" s="1" t="str">
        <f>IF(HR_Data[[#This Row],[TotalWorkingYears]]&lt;=5,"0-5 Yrs",IF(HR_Data[[#This Row],[TotalWorkingYears]]&lt;=10,"6-10 Yrs",IF(HR_Data[[#This Row],[TotalWorkingYears]]&lt;=20,"11-20 Yrs","20+ Yrs")))</f>
        <v>0-5 Yrs</v>
      </c>
      <c r="AT904" s="1">
        <f>IF(HR_Data[[#This Row],[TotalWorkingYears]]&lt;=5,1,IF(HR_Data[[#This Row],[TotalWorkingYears]]&lt;=10,2,IF(HR_Data[[#This Row],[TotalWorkingYears]]&lt;=20,3,4)))</f>
        <v>1</v>
      </c>
    </row>
    <row r="905" spans="1:46" x14ac:dyDescent="0.25">
      <c r="A905">
        <v>29</v>
      </c>
      <c r="B905" t="s">
        <v>36</v>
      </c>
      <c r="C905" t="s">
        <v>30</v>
      </c>
      <c r="D905" t="s">
        <v>38</v>
      </c>
      <c r="E905">
        <v>7</v>
      </c>
      <c r="F905">
        <v>3</v>
      </c>
      <c r="G905" t="s">
        <v>32</v>
      </c>
      <c r="H905">
        <v>1260</v>
      </c>
      <c r="I905">
        <v>3</v>
      </c>
      <c r="J905" t="s">
        <v>39</v>
      </c>
      <c r="K905">
        <v>3</v>
      </c>
      <c r="L905">
        <v>2</v>
      </c>
      <c r="M905" t="s">
        <v>47</v>
      </c>
      <c r="N905">
        <v>4</v>
      </c>
      <c r="O905" t="s">
        <v>45</v>
      </c>
      <c r="P905">
        <v>6623</v>
      </c>
      <c r="Q905">
        <v>1</v>
      </c>
      <c r="R905" t="s">
        <v>29</v>
      </c>
      <c r="S905">
        <v>11</v>
      </c>
      <c r="T905">
        <v>3</v>
      </c>
      <c r="U905">
        <v>2</v>
      </c>
      <c r="V905">
        <v>2</v>
      </c>
      <c r="W905">
        <v>6</v>
      </c>
      <c r="X905">
        <v>2</v>
      </c>
      <c r="Y905">
        <v>3</v>
      </c>
      <c r="Z905">
        <v>6</v>
      </c>
      <c r="AA905">
        <v>0</v>
      </c>
      <c r="AB905">
        <v>1</v>
      </c>
      <c r="AC905">
        <v>0</v>
      </c>
      <c r="AD905">
        <f>IF(HR_Data[[#This Row],[Attrition]]="Yes",1,0)</f>
        <v>0</v>
      </c>
      <c r="AE905" t="str">
        <f>IF(HR_Data[[#This Row],[Age]]&lt;=25,"18-25",IF(HR_Data[[#This Row],[Age]]&lt;=35,"26-35",IF(HR_Data[[#This Row],[Age]]&lt;=45,"36-45",IF(HR_Data[[#This Row],[Age]]&lt;=55,"46-55","55+"))))</f>
        <v>26-35</v>
      </c>
      <c r="AF905">
        <f>IF(HR_Data[[#This Row],[Age]]&lt;=25,1,IF(HR_Data[[#This Row],[Age]]&lt;=35,2,IF(HR_Data[[#This Row],[Age]]&lt;=45,3,IF(HR_Data[[#This Row],[Age]]&lt;=55,4,5))))</f>
        <v>2</v>
      </c>
      <c r="AG905" s="1" t="str">
        <f>IF(HR_Data[[#This Row],[MonthlyIncome]]&lt;3000,"&lt;3K",IF(HR_Data[[#This Row],[MonthlyIncome]]&lt;6000,"3K-6K",IF(HR_Data[[#This Row],[MonthlyIncome]]&lt;10000,"6K-10K","10K+")))</f>
        <v>6K-10K</v>
      </c>
      <c r="AH905" s="1">
        <f>IF(HR_Data[[#This Row],[MonthlyIncome]]&lt;3000,1,IF(HR_Data[[#This Row],[MonthlyIncome]]&lt;6000,2,IF(HR_Data[[#This Row],[MonthlyIncome]]&lt;10000,3,4)))</f>
        <v>3</v>
      </c>
      <c r="AI905" s="1" t="str">
        <f>IF(HR_Data[[#This Row],[YearsAtCompany]]&lt;=2,"0-2 Yrs",IF(HR_Data[[#This Row],[YearsAtCompany]]&lt;=5,"3-5 Yrs",IF(HR_Data[[#This Row],[YearsAtCompany]]&lt;=10,"6-10 Yrs","10+ Yrs")))</f>
        <v>6-10 Yrs</v>
      </c>
      <c r="AJ905" s="1">
        <f>IF(HR_Data[[#This Row],[YearsAtCompany]]&lt;=2,1,IF(HR_Data[[#This Row],[YearsAtCompany]]&lt;=5,2,IF(HR_Data[[#This Row],[YearsAtCompany]]&lt;=10,3,4)))</f>
        <v>3</v>
      </c>
      <c r="AK905" s="1" t="str">
        <f>CHOOSE(HR_Data[[#This Row],[Education]],"Below College","College","Bachelor","Master","Doctor")</f>
        <v>Bachelor</v>
      </c>
      <c r="AL905" s="1" t="str">
        <f>CHOOSE(HR_Data[[#This Row],[JobSatisfaction]],"Low","Medium","High","Very High")</f>
        <v>Very High</v>
      </c>
      <c r="AM905" s="1" t="str">
        <f>CHOOSE(HR_Data[[#This Row],[EnvironmentSatisfaction]],"Low","Medium","High","Very High")</f>
        <v>High</v>
      </c>
      <c r="AN905" s="1" t="str">
        <f>CHOOSE(HR_Data[[#This Row],[WorkLifeBalance]],"Bad","Good","Better","Best")</f>
        <v>Better</v>
      </c>
      <c r="AO905" s="1" t="str">
        <f>IF(HR_Data[[#This Row],[PercentSalaryHike]]&lt;=13,"11-13%",IF(HR_Data[[#This Row],[PercentSalaryHike]]&lt;=16,"14-16%",IF(HR_Data[[#This Row],[PercentSalaryHike]]&lt;=19,"17-19%","20-25%")))</f>
        <v>11-13%</v>
      </c>
      <c r="AP905" s="1">
        <f>IF(HR_Data[[#This Row],[PercentSalaryHike]]&lt;=13,1,IF(HR_Data[[#This Row],[PercentSalaryHike]]&lt;=16,2,IF(HR_Data[[#This Row],[PercentSalaryHike]]&lt;=19,3,4)))</f>
        <v>1</v>
      </c>
      <c r="AQ905" s="1" t="str">
        <f>IF(HR_Data[[#This Row],[DistanceFromHome]]&lt;=5,"1 to 5",IF(HR_Data[[#This Row],[DistanceFromHome]]&lt;=10,"6 to 10",IF(HR_Data[[#This Row],[DistanceFromHome]]&lt;=20,"11 to 20","21 to 29")))</f>
        <v>6 to 10</v>
      </c>
      <c r="AR905" s="1">
        <f>IF(HR_Data[[#This Row],[DistanceFromHome]]&lt;=5,1,IF(HR_Data[[#This Row],[DistanceFromHome]]&lt;=10,2,IF(HR_Data[[#This Row],[DistanceFromHome]]&lt;=20,3,4)))</f>
        <v>2</v>
      </c>
      <c r="AS905" s="1" t="str">
        <f>IF(HR_Data[[#This Row],[TotalWorkingYears]]&lt;=5,"0-5 Yrs",IF(HR_Data[[#This Row],[TotalWorkingYears]]&lt;=10,"6-10 Yrs",IF(HR_Data[[#This Row],[TotalWorkingYears]]&lt;=20,"11-20 Yrs","20+ Yrs")))</f>
        <v>6-10 Yrs</v>
      </c>
      <c r="AT905" s="1">
        <f>IF(HR_Data[[#This Row],[TotalWorkingYears]]&lt;=5,1,IF(HR_Data[[#This Row],[TotalWorkingYears]]&lt;=10,2,IF(HR_Data[[#This Row],[TotalWorkingYears]]&lt;=20,3,4)))</f>
        <v>2</v>
      </c>
    </row>
    <row r="906" spans="1:46" x14ac:dyDescent="0.25">
      <c r="A906">
        <v>48</v>
      </c>
      <c r="B906" t="s">
        <v>36</v>
      </c>
      <c r="C906" t="s">
        <v>30</v>
      </c>
      <c r="D906" t="s">
        <v>38</v>
      </c>
      <c r="E906">
        <v>1</v>
      </c>
      <c r="F906">
        <v>3</v>
      </c>
      <c r="G906" t="s">
        <v>32</v>
      </c>
      <c r="H906">
        <v>1263</v>
      </c>
      <c r="I906">
        <v>4</v>
      </c>
      <c r="J906" t="s">
        <v>39</v>
      </c>
      <c r="K906">
        <v>2</v>
      </c>
      <c r="L906">
        <v>5</v>
      </c>
      <c r="M906" t="s">
        <v>51</v>
      </c>
      <c r="N906">
        <v>4</v>
      </c>
      <c r="O906" t="s">
        <v>35</v>
      </c>
      <c r="P906">
        <v>18265</v>
      </c>
      <c r="Q906">
        <v>6</v>
      </c>
      <c r="R906" t="s">
        <v>36</v>
      </c>
      <c r="S906">
        <v>12</v>
      </c>
      <c r="T906">
        <v>3</v>
      </c>
      <c r="U906">
        <v>3</v>
      </c>
      <c r="V906">
        <v>0</v>
      </c>
      <c r="W906">
        <v>25</v>
      </c>
      <c r="X906">
        <v>3</v>
      </c>
      <c r="Y906">
        <v>4</v>
      </c>
      <c r="Z906">
        <v>1</v>
      </c>
      <c r="AA906">
        <v>0</v>
      </c>
      <c r="AB906">
        <v>0</v>
      </c>
      <c r="AC906">
        <v>0</v>
      </c>
      <c r="AD906">
        <f>IF(HR_Data[[#This Row],[Attrition]]="Yes",1,0)</f>
        <v>0</v>
      </c>
      <c r="AE906" t="str">
        <f>IF(HR_Data[[#This Row],[Age]]&lt;=25,"18-25",IF(HR_Data[[#This Row],[Age]]&lt;=35,"26-35",IF(HR_Data[[#This Row],[Age]]&lt;=45,"36-45",IF(HR_Data[[#This Row],[Age]]&lt;=55,"46-55","55+"))))</f>
        <v>46-55</v>
      </c>
      <c r="AF906">
        <f>IF(HR_Data[[#This Row],[Age]]&lt;=25,1,IF(HR_Data[[#This Row],[Age]]&lt;=35,2,IF(HR_Data[[#This Row],[Age]]&lt;=45,3,IF(HR_Data[[#This Row],[Age]]&lt;=55,4,5))))</f>
        <v>4</v>
      </c>
      <c r="AG906" s="1" t="str">
        <f>IF(HR_Data[[#This Row],[MonthlyIncome]]&lt;3000,"&lt;3K",IF(HR_Data[[#This Row],[MonthlyIncome]]&lt;6000,"3K-6K",IF(HR_Data[[#This Row],[MonthlyIncome]]&lt;10000,"6K-10K","10K+")))</f>
        <v>10K+</v>
      </c>
      <c r="AH906" s="1">
        <f>IF(HR_Data[[#This Row],[MonthlyIncome]]&lt;3000,1,IF(HR_Data[[#This Row],[MonthlyIncome]]&lt;6000,2,IF(HR_Data[[#This Row],[MonthlyIncome]]&lt;10000,3,4)))</f>
        <v>4</v>
      </c>
      <c r="AI906" s="1" t="str">
        <f>IF(HR_Data[[#This Row],[YearsAtCompany]]&lt;=2,"0-2 Yrs",IF(HR_Data[[#This Row],[YearsAtCompany]]&lt;=5,"3-5 Yrs",IF(HR_Data[[#This Row],[YearsAtCompany]]&lt;=10,"6-10 Yrs","10+ Yrs")))</f>
        <v>0-2 Yrs</v>
      </c>
      <c r="AJ906" s="1">
        <f>IF(HR_Data[[#This Row],[YearsAtCompany]]&lt;=2,1,IF(HR_Data[[#This Row],[YearsAtCompany]]&lt;=5,2,IF(HR_Data[[#This Row],[YearsAtCompany]]&lt;=10,3,4)))</f>
        <v>1</v>
      </c>
      <c r="AK906" s="1" t="str">
        <f>CHOOSE(HR_Data[[#This Row],[Education]],"Below College","College","Bachelor","Master","Doctor")</f>
        <v>Bachelor</v>
      </c>
      <c r="AL906" s="1" t="str">
        <f>CHOOSE(HR_Data[[#This Row],[JobSatisfaction]],"Low","Medium","High","Very High")</f>
        <v>Very High</v>
      </c>
      <c r="AM906" s="1" t="str">
        <f>CHOOSE(HR_Data[[#This Row],[EnvironmentSatisfaction]],"Low","Medium","High","Very High")</f>
        <v>Very High</v>
      </c>
      <c r="AN906" s="1" t="str">
        <f>CHOOSE(HR_Data[[#This Row],[WorkLifeBalance]],"Bad","Good","Better","Best")</f>
        <v>Best</v>
      </c>
      <c r="AO906" s="1" t="str">
        <f>IF(HR_Data[[#This Row],[PercentSalaryHike]]&lt;=13,"11-13%",IF(HR_Data[[#This Row],[PercentSalaryHike]]&lt;=16,"14-16%",IF(HR_Data[[#This Row],[PercentSalaryHike]]&lt;=19,"17-19%","20-25%")))</f>
        <v>11-13%</v>
      </c>
      <c r="AP906" s="1">
        <f>IF(HR_Data[[#This Row],[PercentSalaryHike]]&lt;=13,1,IF(HR_Data[[#This Row],[PercentSalaryHike]]&lt;=16,2,IF(HR_Data[[#This Row],[PercentSalaryHike]]&lt;=19,3,4)))</f>
        <v>1</v>
      </c>
      <c r="AQ906" s="1" t="str">
        <f>IF(HR_Data[[#This Row],[DistanceFromHome]]&lt;=5,"1 to 5",IF(HR_Data[[#This Row],[DistanceFromHome]]&lt;=10,"6 to 10",IF(HR_Data[[#This Row],[DistanceFromHome]]&lt;=20,"11 to 20","21 to 29")))</f>
        <v>1 to 5</v>
      </c>
      <c r="AR906" s="1">
        <f>IF(HR_Data[[#This Row],[DistanceFromHome]]&lt;=5,1,IF(HR_Data[[#This Row],[DistanceFromHome]]&lt;=10,2,IF(HR_Data[[#This Row],[DistanceFromHome]]&lt;=20,3,4)))</f>
        <v>1</v>
      </c>
      <c r="AS906" s="1" t="str">
        <f>IF(HR_Data[[#This Row],[TotalWorkingYears]]&lt;=5,"0-5 Yrs",IF(HR_Data[[#This Row],[TotalWorkingYears]]&lt;=10,"6-10 Yrs",IF(HR_Data[[#This Row],[TotalWorkingYears]]&lt;=20,"11-20 Yrs","20+ Yrs")))</f>
        <v>20+ Yrs</v>
      </c>
      <c r="AT906" s="1">
        <f>IF(HR_Data[[#This Row],[TotalWorkingYears]]&lt;=5,1,IF(HR_Data[[#This Row],[TotalWorkingYears]]&lt;=10,2,IF(HR_Data[[#This Row],[TotalWorkingYears]]&lt;=20,3,4)))</f>
        <v>4</v>
      </c>
    </row>
    <row r="907" spans="1:46" x14ac:dyDescent="0.25">
      <c r="A907">
        <v>29</v>
      </c>
      <c r="B907" t="s">
        <v>36</v>
      </c>
      <c r="C907" t="s">
        <v>30</v>
      </c>
      <c r="D907" t="s">
        <v>38</v>
      </c>
      <c r="E907">
        <v>1</v>
      </c>
      <c r="F907">
        <v>3</v>
      </c>
      <c r="G907" t="s">
        <v>32</v>
      </c>
      <c r="H907">
        <v>1264</v>
      </c>
      <c r="I907">
        <v>4</v>
      </c>
      <c r="J907" t="s">
        <v>33</v>
      </c>
      <c r="K907">
        <v>2</v>
      </c>
      <c r="L907">
        <v>4</v>
      </c>
      <c r="M907" t="s">
        <v>51</v>
      </c>
      <c r="N907">
        <v>4</v>
      </c>
      <c r="O907" t="s">
        <v>45</v>
      </c>
      <c r="P907">
        <v>16124</v>
      </c>
      <c r="Q907">
        <v>3</v>
      </c>
      <c r="R907" t="s">
        <v>36</v>
      </c>
      <c r="S907">
        <v>14</v>
      </c>
      <c r="T907">
        <v>3</v>
      </c>
      <c r="U907">
        <v>2</v>
      </c>
      <c r="V907">
        <v>2</v>
      </c>
      <c r="W907">
        <v>9</v>
      </c>
      <c r="X907">
        <v>2</v>
      </c>
      <c r="Y907">
        <v>2</v>
      </c>
      <c r="Z907">
        <v>7</v>
      </c>
      <c r="AA907">
        <v>7</v>
      </c>
      <c r="AB907">
        <v>1</v>
      </c>
      <c r="AC907">
        <v>7</v>
      </c>
      <c r="AD907">
        <f>IF(HR_Data[[#This Row],[Attrition]]="Yes",1,0)</f>
        <v>0</v>
      </c>
      <c r="AE907" t="str">
        <f>IF(HR_Data[[#This Row],[Age]]&lt;=25,"18-25",IF(HR_Data[[#This Row],[Age]]&lt;=35,"26-35",IF(HR_Data[[#This Row],[Age]]&lt;=45,"36-45",IF(HR_Data[[#This Row],[Age]]&lt;=55,"46-55","55+"))))</f>
        <v>26-35</v>
      </c>
      <c r="AF907">
        <f>IF(HR_Data[[#This Row],[Age]]&lt;=25,1,IF(HR_Data[[#This Row],[Age]]&lt;=35,2,IF(HR_Data[[#This Row],[Age]]&lt;=45,3,IF(HR_Data[[#This Row],[Age]]&lt;=55,4,5))))</f>
        <v>2</v>
      </c>
      <c r="AG907" s="1" t="str">
        <f>IF(HR_Data[[#This Row],[MonthlyIncome]]&lt;3000,"&lt;3K",IF(HR_Data[[#This Row],[MonthlyIncome]]&lt;6000,"3K-6K",IF(HR_Data[[#This Row],[MonthlyIncome]]&lt;10000,"6K-10K","10K+")))</f>
        <v>10K+</v>
      </c>
      <c r="AH907" s="1">
        <f>IF(HR_Data[[#This Row],[MonthlyIncome]]&lt;3000,1,IF(HR_Data[[#This Row],[MonthlyIncome]]&lt;6000,2,IF(HR_Data[[#This Row],[MonthlyIncome]]&lt;10000,3,4)))</f>
        <v>4</v>
      </c>
      <c r="AI907" s="1" t="str">
        <f>IF(HR_Data[[#This Row],[YearsAtCompany]]&lt;=2,"0-2 Yrs",IF(HR_Data[[#This Row],[YearsAtCompany]]&lt;=5,"3-5 Yrs",IF(HR_Data[[#This Row],[YearsAtCompany]]&lt;=10,"6-10 Yrs","10+ Yrs")))</f>
        <v>6-10 Yrs</v>
      </c>
      <c r="AJ907" s="1">
        <f>IF(HR_Data[[#This Row],[YearsAtCompany]]&lt;=2,1,IF(HR_Data[[#This Row],[YearsAtCompany]]&lt;=5,2,IF(HR_Data[[#This Row],[YearsAtCompany]]&lt;=10,3,4)))</f>
        <v>3</v>
      </c>
      <c r="AK907" s="1" t="str">
        <f>CHOOSE(HR_Data[[#This Row],[Education]],"Below College","College","Bachelor","Master","Doctor")</f>
        <v>Bachelor</v>
      </c>
      <c r="AL907" s="1" t="str">
        <f>CHOOSE(HR_Data[[#This Row],[JobSatisfaction]],"Low","Medium","High","Very High")</f>
        <v>Very High</v>
      </c>
      <c r="AM907" s="1" t="str">
        <f>CHOOSE(HR_Data[[#This Row],[EnvironmentSatisfaction]],"Low","Medium","High","Very High")</f>
        <v>Very High</v>
      </c>
      <c r="AN907" s="1" t="str">
        <f>CHOOSE(HR_Data[[#This Row],[WorkLifeBalance]],"Bad","Good","Better","Best")</f>
        <v>Good</v>
      </c>
      <c r="AO907" s="1" t="str">
        <f>IF(HR_Data[[#This Row],[PercentSalaryHike]]&lt;=13,"11-13%",IF(HR_Data[[#This Row],[PercentSalaryHike]]&lt;=16,"14-16%",IF(HR_Data[[#This Row],[PercentSalaryHike]]&lt;=19,"17-19%","20-25%")))</f>
        <v>14-16%</v>
      </c>
      <c r="AP907" s="1">
        <f>IF(HR_Data[[#This Row],[PercentSalaryHike]]&lt;=13,1,IF(HR_Data[[#This Row],[PercentSalaryHike]]&lt;=16,2,IF(HR_Data[[#This Row],[PercentSalaryHike]]&lt;=19,3,4)))</f>
        <v>2</v>
      </c>
      <c r="AQ907" s="1" t="str">
        <f>IF(HR_Data[[#This Row],[DistanceFromHome]]&lt;=5,"1 to 5",IF(HR_Data[[#This Row],[DistanceFromHome]]&lt;=10,"6 to 10",IF(HR_Data[[#This Row],[DistanceFromHome]]&lt;=20,"11 to 20","21 to 29")))</f>
        <v>1 to 5</v>
      </c>
      <c r="AR907" s="1">
        <f>IF(HR_Data[[#This Row],[DistanceFromHome]]&lt;=5,1,IF(HR_Data[[#This Row],[DistanceFromHome]]&lt;=10,2,IF(HR_Data[[#This Row],[DistanceFromHome]]&lt;=20,3,4)))</f>
        <v>1</v>
      </c>
      <c r="AS907" s="1" t="str">
        <f>IF(HR_Data[[#This Row],[TotalWorkingYears]]&lt;=5,"0-5 Yrs",IF(HR_Data[[#This Row],[TotalWorkingYears]]&lt;=10,"6-10 Yrs",IF(HR_Data[[#This Row],[TotalWorkingYears]]&lt;=20,"11-20 Yrs","20+ Yrs")))</f>
        <v>6-10 Yrs</v>
      </c>
      <c r="AT907" s="1">
        <f>IF(HR_Data[[#This Row],[TotalWorkingYears]]&lt;=5,1,IF(HR_Data[[#This Row],[TotalWorkingYears]]&lt;=10,2,IF(HR_Data[[#This Row],[TotalWorkingYears]]&lt;=20,3,4)))</f>
        <v>2</v>
      </c>
    </row>
    <row r="908" spans="1:46" x14ac:dyDescent="0.25">
      <c r="A908">
        <v>34</v>
      </c>
      <c r="B908" t="s">
        <v>36</v>
      </c>
      <c r="C908" t="s">
        <v>30</v>
      </c>
      <c r="D908" t="s">
        <v>38</v>
      </c>
      <c r="E908">
        <v>20</v>
      </c>
      <c r="F908">
        <v>3</v>
      </c>
      <c r="G908" t="s">
        <v>53</v>
      </c>
      <c r="H908">
        <v>1265</v>
      </c>
      <c r="I908">
        <v>3</v>
      </c>
      <c r="J908" t="s">
        <v>33</v>
      </c>
      <c r="K908">
        <v>4</v>
      </c>
      <c r="L908">
        <v>1</v>
      </c>
      <c r="M908" t="s">
        <v>40</v>
      </c>
      <c r="N908">
        <v>3</v>
      </c>
      <c r="O908" t="s">
        <v>41</v>
      </c>
      <c r="P908">
        <v>2585</v>
      </c>
      <c r="Q908">
        <v>0</v>
      </c>
      <c r="R908" t="s">
        <v>36</v>
      </c>
      <c r="S908">
        <v>17</v>
      </c>
      <c r="T908">
        <v>3</v>
      </c>
      <c r="U908">
        <v>4</v>
      </c>
      <c r="V908">
        <v>0</v>
      </c>
      <c r="W908">
        <v>2</v>
      </c>
      <c r="X908">
        <v>5</v>
      </c>
      <c r="Y908">
        <v>2</v>
      </c>
      <c r="Z908">
        <v>1</v>
      </c>
      <c r="AA908">
        <v>0</v>
      </c>
      <c r="AB908">
        <v>0</v>
      </c>
      <c r="AC908">
        <v>0</v>
      </c>
      <c r="AD908">
        <f>IF(HR_Data[[#This Row],[Attrition]]="Yes",1,0)</f>
        <v>0</v>
      </c>
      <c r="AE908" t="str">
        <f>IF(HR_Data[[#This Row],[Age]]&lt;=25,"18-25",IF(HR_Data[[#This Row],[Age]]&lt;=35,"26-35",IF(HR_Data[[#This Row],[Age]]&lt;=45,"36-45",IF(HR_Data[[#This Row],[Age]]&lt;=55,"46-55","55+"))))</f>
        <v>26-35</v>
      </c>
      <c r="AF908">
        <f>IF(HR_Data[[#This Row],[Age]]&lt;=25,1,IF(HR_Data[[#This Row],[Age]]&lt;=35,2,IF(HR_Data[[#This Row],[Age]]&lt;=45,3,IF(HR_Data[[#This Row],[Age]]&lt;=55,4,5))))</f>
        <v>2</v>
      </c>
      <c r="AG908" s="1" t="str">
        <f>IF(HR_Data[[#This Row],[MonthlyIncome]]&lt;3000,"&lt;3K",IF(HR_Data[[#This Row],[MonthlyIncome]]&lt;6000,"3K-6K",IF(HR_Data[[#This Row],[MonthlyIncome]]&lt;10000,"6K-10K","10K+")))</f>
        <v>&lt;3K</v>
      </c>
      <c r="AH908" s="1">
        <f>IF(HR_Data[[#This Row],[MonthlyIncome]]&lt;3000,1,IF(HR_Data[[#This Row],[MonthlyIncome]]&lt;6000,2,IF(HR_Data[[#This Row],[MonthlyIncome]]&lt;10000,3,4)))</f>
        <v>1</v>
      </c>
      <c r="AI908" s="1" t="str">
        <f>IF(HR_Data[[#This Row],[YearsAtCompany]]&lt;=2,"0-2 Yrs",IF(HR_Data[[#This Row],[YearsAtCompany]]&lt;=5,"3-5 Yrs",IF(HR_Data[[#This Row],[YearsAtCompany]]&lt;=10,"6-10 Yrs","10+ Yrs")))</f>
        <v>0-2 Yrs</v>
      </c>
      <c r="AJ908" s="1">
        <f>IF(HR_Data[[#This Row],[YearsAtCompany]]&lt;=2,1,IF(HR_Data[[#This Row],[YearsAtCompany]]&lt;=5,2,IF(HR_Data[[#This Row],[YearsAtCompany]]&lt;=10,3,4)))</f>
        <v>1</v>
      </c>
      <c r="AK908" s="1" t="str">
        <f>CHOOSE(HR_Data[[#This Row],[Education]],"Below College","College","Bachelor","Master","Doctor")</f>
        <v>Bachelor</v>
      </c>
      <c r="AL908" s="1" t="str">
        <f>CHOOSE(HR_Data[[#This Row],[JobSatisfaction]],"Low","Medium","High","Very High")</f>
        <v>High</v>
      </c>
      <c r="AM908" s="1" t="str">
        <f>CHOOSE(HR_Data[[#This Row],[EnvironmentSatisfaction]],"Low","Medium","High","Very High")</f>
        <v>High</v>
      </c>
      <c r="AN908" s="1" t="str">
        <f>CHOOSE(HR_Data[[#This Row],[WorkLifeBalance]],"Bad","Good","Better","Best")</f>
        <v>Good</v>
      </c>
      <c r="AO908" s="1" t="str">
        <f>IF(HR_Data[[#This Row],[PercentSalaryHike]]&lt;=13,"11-13%",IF(HR_Data[[#This Row],[PercentSalaryHike]]&lt;=16,"14-16%",IF(HR_Data[[#This Row],[PercentSalaryHike]]&lt;=19,"17-19%","20-25%")))</f>
        <v>17-19%</v>
      </c>
      <c r="AP908" s="1">
        <f>IF(HR_Data[[#This Row],[PercentSalaryHike]]&lt;=13,1,IF(HR_Data[[#This Row],[PercentSalaryHike]]&lt;=16,2,IF(HR_Data[[#This Row],[PercentSalaryHike]]&lt;=19,3,4)))</f>
        <v>3</v>
      </c>
      <c r="AQ908" s="1" t="str">
        <f>IF(HR_Data[[#This Row],[DistanceFromHome]]&lt;=5,"1 to 5",IF(HR_Data[[#This Row],[DistanceFromHome]]&lt;=10,"6 to 10",IF(HR_Data[[#This Row],[DistanceFromHome]]&lt;=20,"11 to 20","21 to 29")))</f>
        <v>11 to 20</v>
      </c>
      <c r="AR908" s="1">
        <f>IF(HR_Data[[#This Row],[DistanceFromHome]]&lt;=5,1,IF(HR_Data[[#This Row],[DistanceFromHome]]&lt;=10,2,IF(HR_Data[[#This Row],[DistanceFromHome]]&lt;=20,3,4)))</f>
        <v>3</v>
      </c>
      <c r="AS908" s="1" t="str">
        <f>IF(HR_Data[[#This Row],[TotalWorkingYears]]&lt;=5,"0-5 Yrs",IF(HR_Data[[#This Row],[TotalWorkingYears]]&lt;=10,"6-10 Yrs",IF(HR_Data[[#This Row],[TotalWorkingYears]]&lt;=20,"11-20 Yrs","20+ Yrs")))</f>
        <v>0-5 Yrs</v>
      </c>
      <c r="AT908" s="1">
        <f>IF(HR_Data[[#This Row],[TotalWorkingYears]]&lt;=5,1,IF(HR_Data[[#This Row],[TotalWorkingYears]]&lt;=10,2,IF(HR_Data[[#This Row],[TotalWorkingYears]]&lt;=20,3,4)))</f>
        <v>1</v>
      </c>
    </row>
    <row r="909" spans="1:46" x14ac:dyDescent="0.25">
      <c r="A909">
        <v>44</v>
      </c>
      <c r="B909" t="s">
        <v>36</v>
      </c>
      <c r="C909" t="s">
        <v>30</v>
      </c>
      <c r="D909" t="s">
        <v>31</v>
      </c>
      <c r="E909">
        <v>5</v>
      </c>
      <c r="F909">
        <v>3</v>
      </c>
      <c r="G909" t="s">
        <v>52</v>
      </c>
      <c r="H909">
        <v>1267</v>
      </c>
      <c r="I909">
        <v>2</v>
      </c>
      <c r="J909" t="s">
        <v>39</v>
      </c>
      <c r="K909">
        <v>3</v>
      </c>
      <c r="L909">
        <v>5</v>
      </c>
      <c r="M909" t="s">
        <v>49</v>
      </c>
      <c r="N909">
        <v>2</v>
      </c>
      <c r="O909" t="s">
        <v>41</v>
      </c>
      <c r="P909">
        <v>18213</v>
      </c>
      <c r="Q909">
        <v>7</v>
      </c>
      <c r="R909" t="s">
        <v>36</v>
      </c>
      <c r="S909">
        <v>11</v>
      </c>
      <c r="T909">
        <v>3</v>
      </c>
      <c r="U909">
        <v>3</v>
      </c>
      <c r="V909">
        <v>1</v>
      </c>
      <c r="W909">
        <v>26</v>
      </c>
      <c r="X909">
        <v>5</v>
      </c>
      <c r="Y909">
        <v>3</v>
      </c>
      <c r="Z909">
        <v>22</v>
      </c>
      <c r="AA909">
        <v>9</v>
      </c>
      <c r="AB909">
        <v>3</v>
      </c>
      <c r="AC909">
        <v>10</v>
      </c>
      <c r="AD909">
        <f>IF(HR_Data[[#This Row],[Attrition]]="Yes",1,0)</f>
        <v>0</v>
      </c>
      <c r="AE909" t="str">
        <f>IF(HR_Data[[#This Row],[Age]]&lt;=25,"18-25",IF(HR_Data[[#This Row],[Age]]&lt;=35,"26-35",IF(HR_Data[[#This Row],[Age]]&lt;=45,"36-45",IF(HR_Data[[#This Row],[Age]]&lt;=55,"46-55","55+"))))</f>
        <v>36-45</v>
      </c>
      <c r="AF909">
        <f>IF(HR_Data[[#This Row],[Age]]&lt;=25,1,IF(HR_Data[[#This Row],[Age]]&lt;=35,2,IF(HR_Data[[#This Row],[Age]]&lt;=45,3,IF(HR_Data[[#This Row],[Age]]&lt;=55,4,5))))</f>
        <v>3</v>
      </c>
      <c r="AG909" s="1" t="str">
        <f>IF(HR_Data[[#This Row],[MonthlyIncome]]&lt;3000,"&lt;3K",IF(HR_Data[[#This Row],[MonthlyIncome]]&lt;6000,"3K-6K",IF(HR_Data[[#This Row],[MonthlyIncome]]&lt;10000,"6K-10K","10K+")))</f>
        <v>10K+</v>
      </c>
      <c r="AH909" s="1">
        <f>IF(HR_Data[[#This Row],[MonthlyIncome]]&lt;3000,1,IF(HR_Data[[#This Row],[MonthlyIncome]]&lt;6000,2,IF(HR_Data[[#This Row],[MonthlyIncome]]&lt;10000,3,4)))</f>
        <v>4</v>
      </c>
      <c r="AI909" s="1" t="str">
        <f>IF(HR_Data[[#This Row],[YearsAtCompany]]&lt;=2,"0-2 Yrs",IF(HR_Data[[#This Row],[YearsAtCompany]]&lt;=5,"3-5 Yrs",IF(HR_Data[[#This Row],[YearsAtCompany]]&lt;=10,"6-10 Yrs","10+ Yrs")))</f>
        <v>10+ Yrs</v>
      </c>
      <c r="AJ909" s="1">
        <f>IF(HR_Data[[#This Row],[YearsAtCompany]]&lt;=2,1,IF(HR_Data[[#This Row],[YearsAtCompany]]&lt;=5,2,IF(HR_Data[[#This Row],[YearsAtCompany]]&lt;=10,3,4)))</f>
        <v>4</v>
      </c>
      <c r="AK909" s="1" t="str">
        <f>CHOOSE(HR_Data[[#This Row],[Education]],"Below College","College","Bachelor","Master","Doctor")</f>
        <v>Bachelor</v>
      </c>
      <c r="AL909" s="1" t="str">
        <f>CHOOSE(HR_Data[[#This Row],[JobSatisfaction]],"Low","Medium","High","Very High")</f>
        <v>Medium</v>
      </c>
      <c r="AM909" s="1" t="str">
        <f>CHOOSE(HR_Data[[#This Row],[EnvironmentSatisfaction]],"Low","Medium","High","Very High")</f>
        <v>Medium</v>
      </c>
      <c r="AN909" s="1" t="str">
        <f>CHOOSE(HR_Data[[#This Row],[WorkLifeBalance]],"Bad","Good","Better","Best")</f>
        <v>Better</v>
      </c>
      <c r="AO909" s="1" t="str">
        <f>IF(HR_Data[[#This Row],[PercentSalaryHike]]&lt;=13,"11-13%",IF(HR_Data[[#This Row],[PercentSalaryHike]]&lt;=16,"14-16%",IF(HR_Data[[#This Row],[PercentSalaryHike]]&lt;=19,"17-19%","20-25%")))</f>
        <v>11-13%</v>
      </c>
      <c r="AP909" s="1">
        <f>IF(HR_Data[[#This Row],[PercentSalaryHike]]&lt;=13,1,IF(HR_Data[[#This Row],[PercentSalaryHike]]&lt;=16,2,IF(HR_Data[[#This Row],[PercentSalaryHike]]&lt;=19,3,4)))</f>
        <v>1</v>
      </c>
      <c r="AQ909" s="1" t="str">
        <f>IF(HR_Data[[#This Row],[DistanceFromHome]]&lt;=5,"1 to 5",IF(HR_Data[[#This Row],[DistanceFromHome]]&lt;=10,"6 to 10",IF(HR_Data[[#This Row],[DistanceFromHome]]&lt;=20,"11 to 20","21 to 29")))</f>
        <v>1 to 5</v>
      </c>
      <c r="AR909" s="1">
        <f>IF(HR_Data[[#This Row],[DistanceFromHome]]&lt;=5,1,IF(HR_Data[[#This Row],[DistanceFromHome]]&lt;=10,2,IF(HR_Data[[#This Row],[DistanceFromHome]]&lt;=20,3,4)))</f>
        <v>1</v>
      </c>
      <c r="AS909" s="1" t="str">
        <f>IF(HR_Data[[#This Row],[TotalWorkingYears]]&lt;=5,"0-5 Yrs",IF(HR_Data[[#This Row],[TotalWorkingYears]]&lt;=10,"6-10 Yrs",IF(HR_Data[[#This Row],[TotalWorkingYears]]&lt;=20,"11-20 Yrs","20+ Yrs")))</f>
        <v>20+ Yrs</v>
      </c>
      <c r="AT909" s="1">
        <f>IF(HR_Data[[#This Row],[TotalWorkingYears]]&lt;=5,1,IF(HR_Data[[#This Row],[TotalWorkingYears]]&lt;=10,2,IF(HR_Data[[#This Row],[TotalWorkingYears]]&lt;=20,3,4)))</f>
        <v>4</v>
      </c>
    </row>
    <row r="910" spans="1:46" x14ac:dyDescent="0.25">
      <c r="A910">
        <v>33</v>
      </c>
      <c r="B910" t="s">
        <v>36</v>
      </c>
      <c r="C910" t="s">
        <v>30</v>
      </c>
      <c r="D910" t="s">
        <v>31</v>
      </c>
      <c r="E910">
        <v>10</v>
      </c>
      <c r="F910">
        <v>5</v>
      </c>
      <c r="G910" t="s">
        <v>52</v>
      </c>
      <c r="H910">
        <v>1268</v>
      </c>
      <c r="I910">
        <v>4</v>
      </c>
      <c r="J910" t="s">
        <v>39</v>
      </c>
      <c r="K910">
        <v>4</v>
      </c>
      <c r="L910">
        <v>3</v>
      </c>
      <c r="M910" t="s">
        <v>34</v>
      </c>
      <c r="N910">
        <v>3</v>
      </c>
      <c r="O910" t="s">
        <v>45</v>
      </c>
      <c r="P910">
        <v>8380</v>
      </c>
      <c r="Q910">
        <v>0</v>
      </c>
      <c r="R910" t="s">
        <v>29</v>
      </c>
      <c r="S910">
        <v>14</v>
      </c>
      <c r="T910">
        <v>3</v>
      </c>
      <c r="U910">
        <v>4</v>
      </c>
      <c r="V910">
        <v>2</v>
      </c>
      <c r="W910">
        <v>10</v>
      </c>
      <c r="X910">
        <v>3</v>
      </c>
      <c r="Y910">
        <v>3</v>
      </c>
      <c r="Z910">
        <v>9</v>
      </c>
      <c r="AA910">
        <v>8</v>
      </c>
      <c r="AB910">
        <v>0</v>
      </c>
      <c r="AC910">
        <v>8</v>
      </c>
      <c r="AD910">
        <f>IF(HR_Data[[#This Row],[Attrition]]="Yes",1,0)</f>
        <v>0</v>
      </c>
      <c r="AE910" t="str">
        <f>IF(HR_Data[[#This Row],[Age]]&lt;=25,"18-25",IF(HR_Data[[#This Row],[Age]]&lt;=35,"26-35",IF(HR_Data[[#This Row],[Age]]&lt;=45,"36-45",IF(HR_Data[[#This Row],[Age]]&lt;=55,"46-55","55+"))))</f>
        <v>26-35</v>
      </c>
      <c r="AF910">
        <f>IF(HR_Data[[#This Row],[Age]]&lt;=25,1,IF(HR_Data[[#This Row],[Age]]&lt;=35,2,IF(HR_Data[[#This Row],[Age]]&lt;=45,3,IF(HR_Data[[#This Row],[Age]]&lt;=55,4,5))))</f>
        <v>2</v>
      </c>
      <c r="AG910" s="1" t="str">
        <f>IF(HR_Data[[#This Row],[MonthlyIncome]]&lt;3000,"&lt;3K",IF(HR_Data[[#This Row],[MonthlyIncome]]&lt;6000,"3K-6K",IF(HR_Data[[#This Row],[MonthlyIncome]]&lt;10000,"6K-10K","10K+")))</f>
        <v>6K-10K</v>
      </c>
      <c r="AH910" s="1">
        <f>IF(HR_Data[[#This Row],[MonthlyIncome]]&lt;3000,1,IF(HR_Data[[#This Row],[MonthlyIncome]]&lt;6000,2,IF(HR_Data[[#This Row],[MonthlyIncome]]&lt;10000,3,4)))</f>
        <v>3</v>
      </c>
      <c r="AI910" s="1" t="str">
        <f>IF(HR_Data[[#This Row],[YearsAtCompany]]&lt;=2,"0-2 Yrs",IF(HR_Data[[#This Row],[YearsAtCompany]]&lt;=5,"3-5 Yrs",IF(HR_Data[[#This Row],[YearsAtCompany]]&lt;=10,"6-10 Yrs","10+ Yrs")))</f>
        <v>6-10 Yrs</v>
      </c>
      <c r="AJ910" s="1">
        <f>IF(HR_Data[[#This Row],[YearsAtCompany]]&lt;=2,1,IF(HR_Data[[#This Row],[YearsAtCompany]]&lt;=5,2,IF(HR_Data[[#This Row],[YearsAtCompany]]&lt;=10,3,4)))</f>
        <v>3</v>
      </c>
      <c r="AK910" s="1" t="str">
        <f>CHOOSE(HR_Data[[#This Row],[Education]],"Below College","College","Bachelor","Master","Doctor")</f>
        <v>Doctor</v>
      </c>
      <c r="AL910" s="1" t="str">
        <f>CHOOSE(HR_Data[[#This Row],[JobSatisfaction]],"Low","Medium","High","Very High")</f>
        <v>High</v>
      </c>
      <c r="AM910" s="1" t="str">
        <f>CHOOSE(HR_Data[[#This Row],[EnvironmentSatisfaction]],"Low","Medium","High","Very High")</f>
        <v>Very High</v>
      </c>
      <c r="AN910" s="1" t="str">
        <f>CHOOSE(HR_Data[[#This Row],[WorkLifeBalance]],"Bad","Good","Better","Best")</f>
        <v>Better</v>
      </c>
      <c r="AO910" s="1" t="str">
        <f>IF(HR_Data[[#This Row],[PercentSalaryHike]]&lt;=13,"11-13%",IF(HR_Data[[#This Row],[PercentSalaryHike]]&lt;=16,"14-16%",IF(HR_Data[[#This Row],[PercentSalaryHike]]&lt;=19,"17-19%","20-25%")))</f>
        <v>14-16%</v>
      </c>
      <c r="AP910" s="1">
        <f>IF(HR_Data[[#This Row],[PercentSalaryHike]]&lt;=13,1,IF(HR_Data[[#This Row],[PercentSalaryHike]]&lt;=16,2,IF(HR_Data[[#This Row],[PercentSalaryHike]]&lt;=19,3,4)))</f>
        <v>2</v>
      </c>
      <c r="AQ910" s="1" t="str">
        <f>IF(HR_Data[[#This Row],[DistanceFromHome]]&lt;=5,"1 to 5",IF(HR_Data[[#This Row],[DistanceFromHome]]&lt;=10,"6 to 10",IF(HR_Data[[#This Row],[DistanceFromHome]]&lt;=20,"11 to 20","21 to 29")))</f>
        <v>6 to 10</v>
      </c>
      <c r="AR910" s="1">
        <f>IF(HR_Data[[#This Row],[DistanceFromHome]]&lt;=5,1,IF(HR_Data[[#This Row],[DistanceFromHome]]&lt;=10,2,IF(HR_Data[[#This Row],[DistanceFromHome]]&lt;=20,3,4)))</f>
        <v>2</v>
      </c>
      <c r="AS910" s="1" t="str">
        <f>IF(HR_Data[[#This Row],[TotalWorkingYears]]&lt;=5,"0-5 Yrs",IF(HR_Data[[#This Row],[TotalWorkingYears]]&lt;=10,"6-10 Yrs",IF(HR_Data[[#This Row],[TotalWorkingYears]]&lt;=20,"11-20 Yrs","20+ Yrs")))</f>
        <v>6-10 Yrs</v>
      </c>
      <c r="AT910" s="1">
        <f>IF(HR_Data[[#This Row],[TotalWorkingYears]]&lt;=5,1,IF(HR_Data[[#This Row],[TotalWorkingYears]]&lt;=10,2,IF(HR_Data[[#This Row],[TotalWorkingYears]]&lt;=20,3,4)))</f>
        <v>2</v>
      </c>
    </row>
    <row r="911" spans="1:46" x14ac:dyDescent="0.25">
      <c r="A911">
        <v>19</v>
      </c>
      <c r="B911" t="s">
        <v>36</v>
      </c>
      <c r="C911" t="s">
        <v>30</v>
      </c>
      <c r="D911" t="s">
        <v>38</v>
      </c>
      <c r="E911">
        <v>25</v>
      </c>
      <c r="F911">
        <v>3</v>
      </c>
      <c r="G911" t="s">
        <v>32</v>
      </c>
      <c r="H911">
        <v>1269</v>
      </c>
      <c r="I911">
        <v>2</v>
      </c>
      <c r="J911" t="s">
        <v>33</v>
      </c>
      <c r="K911">
        <v>4</v>
      </c>
      <c r="L911">
        <v>1</v>
      </c>
      <c r="M911" t="s">
        <v>40</v>
      </c>
      <c r="N911">
        <v>4</v>
      </c>
      <c r="O911" t="s">
        <v>35</v>
      </c>
      <c r="P911">
        <v>2994</v>
      </c>
      <c r="Q911">
        <v>1</v>
      </c>
      <c r="R911" t="s">
        <v>29</v>
      </c>
      <c r="S911">
        <v>12</v>
      </c>
      <c r="T911">
        <v>3</v>
      </c>
      <c r="U911">
        <v>4</v>
      </c>
      <c r="V911">
        <v>0</v>
      </c>
      <c r="W911">
        <v>1</v>
      </c>
      <c r="X911">
        <v>2</v>
      </c>
      <c r="Y911">
        <v>3</v>
      </c>
      <c r="Z911">
        <v>1</v>
      </c>
      <c r="AA911">
        <v>0</v>
      </c>
      <c r="AB911">
        <v>0</v>
      </c>
      <c r="AC911">
        <v>1</v>
      </c>
      <c r="AD911">
        <f>IF(HR_Data[[#This Row],[Attrition]]="Yes",1,0)</f>
        <v>0</v>
      </c>
      <c r="AE911" t="str">
        <f>IF(HR_Data[[#This Row],[Age]]&lt;=25,"18-25",IF(HR_Data[[#This Row],[Age]]&lt;=35,"26-35",IF(HR_Data[[#This Row],[Age]]&lt;=45,"36-45",IF(HR_Data[[#This Row],[Age]]&lt;=55,"46-55","55+"))))</f>
        <v>18-25</v>
      </c>
      <c r="AF911">
        <f>IF(HR_Data[[#This Row],[Age]]&lt;=25,1,IF(HR_Data[[#This Row],[Age]]&lt;=35,2,IF(HR_Data[[#This Row],[Age]]&lt;=45,3,IF(HR_Data[[#This Row],[Age]]&lt;=55,4,5))))</f>
        <v>1</v>
      </c>
      <c r="AG911" s="1" t="str">
        <f>IF(HR_Data[[#This Row],[MonthlyIncome]]&lt;3000,"&lt;3K",IF(HR_Data[[#This Row],[MonthlyIncome]]&lt;6000,"3K-6K",IF(HR_Data[[#This Row],[MonthlyIncome]]&lt;10000,"6K-10K","10K+")))</f>
        <v>&lt;3K</v>
      </c>
      <c r="AH911" s="1">
        <f>IF(HR_Data[[#This Row],[MonthlyIncome]]&lt;3000,1,IF(HR_Data[[#This Row],[MonthlyIncome]]&lt;6000,2,IF(HR_Data[[#This Row],[MonthlyIncome]]&lt;10000,3,4)))</f>
        <v>1</v>
      </c>
      <c r="AI911" s="1" t="str">
        <f>IF(HR_Data[[#This Row],[YearsAtCompany]]&lt;=2,"0-2 Yrs",IF(HR_Data[[#This Row],[YearsAtCompany]]&lt;=5,"3-5 Yrs",IF(HR_Data[[#This Row],[YearsAtCompany]]&lt;=10,"6-10 Yrs","10+ Yrs")))</f>
        <v>0-2 Yrs</v>
      </c>
      <c r="AJ911" s="1">
        <f>IF(HR_Data[[#This Row],[YearsAtCompany]]&lt;=2,1,IF(HR_Data[[#This Row],[YearsAtCompany]]&lt;=5,2,IF(HR_Data[[#This Row],[YearsAtCompany]]&lt;=10,3,4)))</f>
        <v>1</v>
      </c>
      <c r="AK911" s="1" t="str">
        <f>CHOOSE(HR_Data[[#This Row],[Education]],"Below College","College","Bachelor","Master","Doctor")</f>
        <v>Bachelor</v>
      </c>
      <c r="AL911" s="1" t="str">
        <f>CHOOSE(HR_Data[[#This Row],[JobSatisfaction]],"Low","Medium","High","Very High")</f>
        <v>Very High</v>
      </c>
      <c r="AM911" s="1" t="str">
        <f>CHOOSE(HR_Data[[#This Row],[EnvironmentSatisfaction]],"Low","Medium","High","Very High")</f>
        <v>Medium</v>
      </c>
      <c r="AN911" s="1" t="str">
        <f>CHOOSE(HR_Data[[#This Row],[WorkLifeBalance]],"Bad","Good","Better","Best")</f>
        <v>Better</v>
      </c>
      <c r="AO911" s="1" t="str">
        <f>IF(HR_Data[[#This Row],[PercentSalaryHike]]&lt;=13,"11-13%",IF(HR_Data[[#This Row],[PercentSalaryHike]]&lt;=16,"14-16%",IF(HR_Data[[#This Row],[PercentSalaryHike]]&lt;=19,"17-19%","20-25%")))</f>
        <v>11-13%</v>
      </c>
      <c r="AP911" s="1">
        <f>IF(HR_Data[[#This Row],[PercentSalaryHike]]&lt;=13,1,IF(HR_Data[[#This Row],[PercentSalaryHike]]&lt;=16,2,IF(HR_Data[[#This Row],[PercentSalaryHike]]&lt;=19,3,4)))</f>
        <v>1</v>
      </c>
      <c r="AQ911" s="1" t="str">
        <f>IF(HR_Data[[#This Row],[DistanceFromHome]]&lt;=5,"1 to 5",IF(HR_Data[[#This Row],[DistanceFromHome]]&lt;=10,"6 to 10",IF(HR_Data[[#This Row],[DistanceFromHome]]&lt;=20,"11 to 20","21 to 29")))</f>
        <v>21 to 29</v>
      </c>
      <c r="AR911" s="1">
        <f>IF(HR_Data[[#This Row],[DistanceFromHome]]&lt;=5,1,IF(HR_Data[[#This Row],[DistanceFromHome]]&lt;=10,2,IF(HR_Data[[#This Row],[DistanceFromHome]]&lt;=20,3,4)))</f>
        <v>4</v>
      </c>
      <c r="AS911" s="1" t="str">
        <f>IF(HR_Data[[#This Row],[TotalWorkingYears]]&lt;=5,"0-5 Yrs",IF(HR_Data[[#This Row],[TotalWorkingYears]]&lt;=10,"6-10 Yrs",IF(HR_Data[[#This Row],[TotalWorkingYears]]&lt;=20,"11-20 Yrs","20+ Yrs")))</f>
        <v>0-5 Yrs</v>
      </c>
      <c r="AT911" s="1">
        <f>IF(HR_Data[[#This Row],[TotalWorkingYears]]&lt;=5,1,IF(HR_Data[[#This Row],[TotalWorkingYears]]&lt;=10,2,IF(HR_Data[[#This Row],[TotalWorkingYears]]&lt;=20,3,4)))</f>
        <v>1</v>
      </c>
    </row>
    <row r="912" spans="1:46" x14ac:dyDescent="0.25">
      <c r="A912">
        <v>23</v>
      </c>
      <c r="B912" t="s">
        <v>36</v>
      </c>
      <c r="C912" t="s">
        <v>30</v>
      </c>
      <c r="D912" t="s">
        <v>38</v>
      </c>
      <c r="E912">
        <v>1</v>
      </c>
      <c r="F912">
        <v>2</v>
      </c>
      <c r="G912" t="s">
        <v>32</v>
      </c>
      <c r="H912">
        <v>1270</v>
      </c>
      <c r="I912">
        <v>4</v>
      </c>
      <c r="J912" t="s">
        <v>39</v>
      </c>
      <c r="K912">
        <v>3</v>
      </c>
      <c r="L912">
        <v>1</v>
      </c>
      <c r="M912" t="s">
        <v>40</v>
      </c>
      <c r="N912">
        <v>3</v>
      </c>
      <c r="O912" t="s">
        <v>41</v>
      </c>
      <c r="P912">
        <v>1223</v>
      </c>
      <c r="Q912">
        <v>1</v>
      </c>
      <c r="R912" t="s">
        <v>36</v>
      </c>
      <c r="S912">
        <v>22</v>
      </c>
      <c r="T912">
        <v>4</v>
      </c>
      <c r="U912">
        <v>4</v>
      </c>
      <c r="V912">
        <v>1</v>
      </c>
      <c r="W912">
        <v>1</v>
      </c>
      <c r="X912">
        <v>2</v>
      </c>
      <c r="Y912">
        <v>3</v>
      </c>
      <c r="Z912">
        <v>1</v>
      </c>
      <c r="AA912">
        <v>0</v>
      </c>
      <c r="AB912">
        <v>0</v>
      </c>
      <c r="AC912">
        <v>1</v>
      </c>
      <c r="AD912">
        <f>IF(HR_Data[[#This Row],[Attrition]]="Yes",1,0)</f>
        <v>0</v>
      </c>
      <c r="AE912" t="str">
        <f>IF(HR_Data[[#This Row],[Age]]&lt;=25,"18-25",IF(HR_Data[[#This Row],[Age]]&lt;=35,"26-35",IF(HR_Data[[#This Row],[Age]]&lt;=45,"36-45",IF(HR_Data[[#This Row],[Age]]&lt;=55,"46-55","55+"))))</f>
        <v>18-25</v>
      </c>
      <c r="AF912">
        <f>IF(HR_Data[[#This Row],[Age]]&lt;=25,1,IF(HR_Data[[#This Row],[Age]]&lt;=35,2,IF(HR_Data[[#This Row],[Age]]&lt;=45,3,IF(HR_Data[[#This Row],[Age]]&lt;=55,4,5))))</f>
        <v>1</v>
      </c>
      <c r="AG912" s="1" t="str">
        <f>IF(HR_Data[[#This Row],[MonthlyIncome]]&lt;3000,"&lt;3K",IF(HR_Data[[#This Row],[MonthlyIncome]]&lt;6000,"3K-6K",IF(HR_Data[[#This Row],[MonthlyIncome]]&lt;10000,"6K-10K","10K+")))</f>
        <v>&lt;3K</v>
      </c>
      <c r="AH912" s="1">
        <f>IF(HR_Data[[#This Row],[MonthlyIncome]]&lt;3000,1,IF(HR_Data[[#This Row],[MonthlyIncome]]&lt;6000,2,IF(HR_Data[[#This Row],[MonthlyIncome]]&lt;10000,3,4)))</f>
        <v>1</v>
      </c>
      <c r="AI912" s="1" t="str">
        <f>IF(HR_Data[[#This Row],[YearsAtCompany]]&lt;=2,"0-2 Yrs",IF(HR_Data[[#This Row],[YearsAtCompany]]&lt;=5,"3-5 Yrs",IF(HR_Data[[#This Row],[YearsAtCompany]]&lt;=10,"6-10 Yrs","10+ Yrs")))</f>
        <v>0-2 Yrs</v>
      </c>
      <c r="AJ912" s="1">
        <f>IF(HR_Data[[#This Row],[YearsAtCompany]]&lt;=2,1,IF(HR_Data[[#This Row],[YearsAtCompany]]&lt;=5,2,IF(HR_Data[[#This Row],[YearsAtCompany]]&lt;=10,3,4)))</f>
        <v>1</v>
      </c>
      <c r="AK912" s="1" t="str">
        <f>CHOOSE(HR_Data[[#This Row],[Education]],"Below College","College","Bachelor","Master","Doctor")</f>
        <v>College</v>
      </c>
      <c r="AL912" s="1" t="str">
        <f>CHOOSE(HR_Data[[#This Row],[JobSatisfaction]],"Low","Medium","High","Very High")</f>
        <v>High</v>
      </c>
      <c r="AM912" s="1" t="str">
        <f>CHOOSE(HR_Data[[#This Row],[EnvironmentSatisfaction]],"Low","Medium","High","Very High")</f>
        <v>Very High</v>
      </c>
      <c r="AN912" s="1" t="str">
        <f>CHOOSE(HR_Data[[#This Row],[WorkLifeBalance]],"Bad","Good","Better","Best")</f>
        <v>Better</v>
      </c>
      <c r="AO912" s="1" t="str">
        <f>IF(HR_Data[[#This Row],[PercentSalaryHike]]&lt;=13,"11-13%",IF(HR_Data[[#This Row],[PercentSalaryHike]]&lt;=16,"14-16%",IF(HR_Data[[#This Row],[PercentSalaryHike]]&lt;=19,"17-19%","20-25%")))</f>
        <v>20-25%</v>
      </c>
      <c r="AP912" s="1">
        <f>IF(HR_Data[[#This Row],[PercentSalaryHike]]&lt;=13,1,IF(HR_Data[[#This Row],[PercentSalaryHike]]&lt;=16,2,IF(HR_Data[[#This Row],[PercentSalaryHike]]&lt;=19,3,4)))</f>
        <v>4</v>
      </c>
      <c r="AQ912" s="1" t="str">
        <f>IF(HR_Data[[#This Row],[DistanceFromHome]]&lt;=5,"1 to 5",IF(HR_Data[[#This Row],[DistanceFromHome]]&lt;=10,"6 to 10",IF(HR_Data[[#This Row],[DistanceFromHome]]&lt;=20,"11 to 20","21 to 29")))</f>
        <v>1 to 5</v>
      </c>
      <c r="AR912" s="1">
        <f>IF(HR_Data[[#This Row],[DistanceFromHome]]&lt;=5,1,IF(HR_Data[[#This Row],[DistanceFromHome]]&lt;=10,2,IF(HR_Data[[#This Row],[DistanceFromHome]]&lt;=20,3,4)))</f>
        <v>1</v>
      </c>
      <c r="AS912" s="1" t="str">
        <f>IF(HR_Data[[#This Row],[TotalWorkingYears]]&lt;=5,"0-5 Yrs",IF(HR_Data[[#This Row],[TotalWorkingYears]]&lt;=10,"6-10 Yrs",IF(HR_Data[[#This Row],[TotalWorkingYears]]&lt;=20,"11-20 Yrs","20+ Yrs")))</f>
        <v>0-5 Yrs</v>
      </c>
      <c r="AT912" s="1">
        <f>IF(HR_Data[[#This Row],[TotalWorkingYears]]&lt;=5,1,IF(HR_Data[[#This Row],[TotalWorkingYears]]&lt;=10,2,IF(HR_Data[[#This Row],[TotalWorkingYears]]&lt;=20,3,4)))</f>
        <v>1</v>
      </c>
    </row>
    <row r="913" spans="1:46" x14ac:dyDescent="0.25">
      <c r="A913">
        <v>25</v>
      </c>
      <c r="B913" t="s">
        <v>29</v>
      </c>
      <c r="C913" t="s">
        <v>37</v>
      </c>
      <c r="D913" t="s">
        <v>31</v>
      </c>
      <c r="E913">
        <v>24</v>
      </c>
      <c r="F913">
        <v>1</v>
      </c>
      <c r="G913" t="s">
        <v>32</v>
      </c>
      <c r="H913">
        <v>1273</v>
      </c>
      <c r="I913">
        <v>3</v>
      </c>
      <c r="J913" t="s">
        <v>39</v>
      </c>
      <c r="K913">
        <v>1</v>
      </c>
      <c r="L913">
        <v>1</v>
      </c>
      <c r="M913" t="s">
        <v>50</v>
      </c>
      <c r="N913">
        <v>4</v>
      </c>
      <c r="O913" t="s">
        <v>35</v>
      </c>
      <c r="P913">
        <v>1118</v>
      </c>
      <c r="Q913">
        <v>1</v>
      </c>
      <c r="R913" t="s">
        <v>29</v>
      </c>
      <c r="S913">
        <v>14</v>
      </c>
      <c r="T913">
        <v>3</v>
      </c>
      <c r="U913">
        <v>4</v>
      </c>
      <c r="V913">
        <v>0</v>
      </c>
      <c r="W913">
        <v>1</v>
      </c>
      <c r="X913">
        <v>4</v>
      </c>
      <c r="Y913">
        <v>3</v>
      </c>
      <c r="Z913">
        <v>1</v>
      </c>
      <c r="AA913">
        <v>0</v>
      </c>
      <c r="AB913">
        <v>1</v>
      </c>
      <c r="AC913">
        <v>0</v>
      </c>
      <c r="AD913">
        <f>IF(HR_Data[[#This Row],[Attrition]]="Yes",1,0)</f>
        <v>1</v>
      </c>
      <c r="AE913" t="str">
        <f>IF(HR_Data[[#This Row],[Age]]&lt;=25,"18-25",IF(HR_Data[[#This Row],[Age]]&lt;=35,"26-35",IF(HR_Data[[#This Row],[Age]]&lt;=45,"36-45",IF(HR_Data[[#This Row],[Age]]&lt;=55,"46-55","55+"))))</f>
        <v>18-25</v>
      </c>
      <c r="AF913">
        <f>IF(HR_Data[[#This Row],[Age]]&lt;=25,1,IF(HR_Data[[#This Row],[Age]]&lt;=35,2,IF(HR_Data[[#This Row],[Age]]&lt;=45,3,IF(HR_Data[[#This Row],[Age]]&lt;=55,4,5))))</f>
        <v>1</v>
      </c>
      <c r="AG913" s="1" t="str">
        <f>IF(HR_Data[[#This Row],[MonthlyIncome]]&lt;3000,"&lt;3K",IF(HR_Data[[#This Row],[MonthlyIncome]]&lt;6000,"3K-6K",IF(HR_Data[[#This Row],[MonthlyIncome]]&lt;10000,"6K-10K","10K+")))</f>
        <v>&lt;3K</v>
      </c>
      <c r="AH913" s="1">
        <f>IF(HR_Data[[#This Row],[MonthlyIncome]]&lt;3000,1,IF(HR_Data[[#This Row],[MonthlyIncome]]&lt;6000,2,IF(HR_Data[[#This Row],[MonthlyIncome]]&lt;10000,3,4)))</f>
        <v>1</v>
      </c>
      <c r="AI913" s="1" t="str">
        <f>IF(HR_Data[[#This Row],[YearsAtCompany]]&lt;=2,"0-2 Yrs",IF(HR_Data[[#This Row],[YearsAtCompany]]&lt;=5,"3-5 Yrs",IF(HR_Data[[#This Row],[YearsAtCompany]]&lt;=10,"6-10 Yrs","10+ Yrs")))</f>
        <v>0-2 Yrs</v>
      </c>
      <c r="AJ913" s="1">
        <f>IF(HR_Data[[#This Row],[YearsAtCompany]]&lt;=2,1,IF(HR_Data[[#This Row],[YearsAtCompany]]&lt;=5,2,IF(HR_Data[[#This Row],[YearsAtCompany]]&lt;=10,3,4)))</f>
        <v>1</v>
      </c>
      <c r="AK913" s="1" t="str">
        <f>CHOOSE(HR_Data[[#This Row],[Education]],"Below College","College","Bachelor","Master","Doctor")</f>
        <v>Below College</v>
      </c>
      <c r="AL913" s="1" t="str">
        <f>CHOOSE(HR_Data[[#This Row],[JobSatisfaction]],"Low","Medium","High","Very High")</f>
        <v>Very High</v>
      </c>
      <c r="AM913" s="1" t="str">
        <f>CHOOSE(HR_Data[[#This Row],[EnvironmentSatisfaction]],"Low","Medium","High","Very High")</f>
        <v>High</v>
      </c>
      <c r="AN913" s="1" t="str">
        <f>CHOOSE(HR_Data[[#This Row],[WorkLifeBalance]],"Bad","Good","Better","Best")</f>
        <v>Better</v>
      </c>
      <c r="AO913" s="1" t="str">
        <f>IF(HR_Data[[#This Row],[PercentSalaryHike]]&lt;=13,"11-13%",IF(HR_Data[[#This Row],[PercentSalaryHike]]&lt;=16,"14-16%",IF(HR_Data[[#This Row],[PercentSalaryHike]]&lt;=19,"17-19%","20-25%")))</f>
        <v>14-16%</v>
      </c>
      <c r="AP913" s="1">
        <f>IF(HR_Data[[#This Row],[PercentSalaryHike]]&lt;=13,1,IF(HR_Data[[#This Row],[PercentSalaryHike]]&lt;=16,2,IF(HR_Data[[#This Row],[PercentSalaryHike]]&lt;=19,3,4)))</f>
        <v>2</v>
      </c>
      <c r="AQ913" s="1" t="str">
        <f>IF(HR_Data[[#This Row],[DistanceFromHome]]&lt;=5,"1 to 5",IF(HR_Data[[#This Row],[DistanceFromHome]]&lt;=10,"6 to 10",IF(HR_Data[[#This Row],[DistanceFromHome]]&lt;=20,"11 to 20","21 to 29")))</f>
        <v>21 to 29</v>
      </c>
      <c r="AR913" s="1">
        <f>IF(HR_Data[[#This Row],[DistanceFromHome]]&lt;=5,1,IF(HR_Data[[#This Row],[DistanceFromHome]]&lt;=10,2,IF(HR_Data[[#This Row],[DistanceFromHome]]&lt;=20,3,4)))</f>
        <v>4</v>
      </c>
      <c r="AS913" s="1" t="str">
        <f>IF(HR_Data[[#This Row],[TotalWorkingYears]]&lt;=5,"0-5 Yrs",IF(HR_Data[[#This Row],[TotalWorkingYears]]&lt;=10,"6-10 Yrs",IF(HR_Data[[#This Row],[TotalWorkingYears]]&lt;=20,"11-20 Yrs","20+ Yrs")))</f>
        <v>0-5 Yrs</v>
      </c>
      <c r="AT913" s="1">
        <f>IF(HR_Data[[#This Row],[TotalWorkingYears]]&lt;=5,1,IF(HR_Data[[#This Row],[TotalWorkingYears]]&lt;=10,2,IF(HR_Data[[#This Row],[TotalWorkingYears]]&lt;=20,3,4)))</f>
        <v>1</v>
      </c>
    </row>
    <row r="914" spans="1:46" x14ac:dyDescent="0.25">
      <c r="A914">
        <v>26</v>
      </c>
      <c r="B914" t="s">
        <v>36</v>
      </c>
      <c r="C914" t="s">
        <v>30</v>
      </c>
      <c r="D914" t="s">
        <v>38</v>
      </c>
      <c r="E914">
        <v>4</v>
      </c>
      <c r="F914">
        <v>2</v>
      </c>
      <c r="G914" t="s">
        <v>32</v>
      </c>
      <c r="H914">
        <v>1275</v>
      </c>
      <c r="I914">
        <v>3</v>
      </c>
      <c r="J914" t="s">
        <v>39</v>
      </c>
      <c r="K914">
        <v>3</v>
      </c>
      <c r="L914">
        <v>1</v>
      </c>
      <c r="M914" t="s">
        <v>40</v>
      </c>
      <c r="N914">
        <v>4</v>
      </c>
      <c r="O914" t="s">
        <v>35</v>
      </c>
      <c r="P914">
        <v>2875</v>
      </c>
      <c r="Q914">
        <v>1</v>
      </c>
      <c r="R914" t="s">
        <v>29</v>
      </c>
      <c r="S914">
        <v>20</v>
      </c>
      <c r="T914">
        <v>4</v>
      </c>
      <c r="U914">
        <v>2</v>
      </c>
      <c r="V914">
        <v>0</v>
      </c>
      <c r="W914">
        <v>8</v>
      </c>
      <c r="X914">
        <v>2</v>
      </c>
      <c r="Y914">
        <v>2</v>
      </c>
      <c r="Z914">
        <v>8</v>
      </c>
      <c r="AA914">
        <v>5</v>
      </c>
      <c r="AB914">
        <v>2</v>
      </c>
      <c r="AC914">
        <v>2</v>
      </c>
      <c r="AD914">
        <f>IF(HR_Data[[#This Row],[Attrition]]="Yes",1,0)</f>
        <v>0</v>
      </c>
      <c r="AE914" t="str">
        <f>IF(HR_Data[[#This Row],[Age]]&lt;=25,"18-25",IF(HR_Data[[#This Row],[Age]]&lt;=35,"26-35",IF(HR_Data[[#This Row],[Age]]&lt;=45,"36-45",IF(HR_Data[[#This Row],[Age]]&lt;=55,"46-55","55+"))))</f>
        <v>26-35</v>
      </c>
      <c r="AF914">
        <f>IF(HR_Data[[#This Row],[Age]]&lt;=25,1,IF(HR_Data[[#This Row],[Age]]&lt;=35,2,IF(HR_Data[[#This Row],[Age]]&lt;=45,3,IF(HR_Data[[#This Row],[Age]]&lt;=55,4,5))))</f>
        <v>2</v>
      </c>
      <c r="AG914" s="1" t="str">
        <f>IF(HR_Data[[#This Row],[MonthlyIncome]]&lt;3000,"&lt;3K",IF(HR_Data[[#This Row],[MonthlyIncome]]&lt;6000,"3K-6K",IF(HR_Data[[#This Row],[MonthlyIncome]]&lt;10000,"6K-10K","10K+")))</f>
        <v>&lt;3K</v>
      </c>
      <c r="AH914" s="1">
        <f>IF(HR_Data[[#This Row],[MonthlyIncome]]&lt;3000,1,IF(HR_Data[[#This Row],[MonthlyIncome]]&lt;6000,2,IF(HR_Data[[#This Row],[MonthlyIncome]]&lt;10000,3,4)))</f>
        <v>1</v>
      </c>
      <c r="AI914" s="1" t="str">
        <f>IF(HR_Data[[#This Row],[YearsAtCompany]]&lt;=2,"0-2 Yrs",IF(HR_Data[[#This Row],[YearsAtCompany]]&lt;=5,"3-5 Yrs",IF(HR_Data[[#This Row],[YearsAtCompany]]&lt;=10,"6-10 Yrs","10+ Yrs")))</f>
        <v>6-10 Yrs</v>
      </c>
      <c r="AJ914" s="1">
        <f>IF(HR_Data[[#This Row],[YearsAtCompany]]&lt;=2,1,IF(HR_Data[[#This Row],[YearsAtCompany]]&lt;=5,2,IF(HR_Data[[#This Row],[YearsAtCompany]]&lt;=10,3,4)))</f>
        <v>3</v>
      </c>
      <c r="AK914" s="1" t="str">
        <f>CHOOSE(HR_Data[[#This Row],[Education]],"Below College","College","Bachelor","Master","Doctor")</f>
        <v>College</v>
      </c>
      <c r="AL914" s="1" t="str">
        <f>CHOOSE(HR_Data[[#This Row],[JobSatisfaction]],"Low","Medium","High","Very High")</f>
        <v>Very High</v>
      </c>
      <c r="AM914" s="1" t="str">
        <f>CHOOSE(HR_Data[[#This Row],[EnvironmentSatisfaction]],"Low","Medium","High","Very High")</f>
        <v>High</v>
      </c>
      <c r="AN914" s="1" t="str">
        <f>CHOOSE(HR_Data[[#This Row],[WorkLifeBalance]],"Bad","Good","Better","Best")</f>
        <v>Good</v>
      </c>
      <c r="AO914" s="1" t="str">
        <f>IF(HR_Data[[#This Row],[PercentSalaryHike]]&lt;=13,"11-13%",IF(HR_Data[[#This Row],[PercentSalaryHike]]&lt;=16,"14-16%",IF(HR_Data[[#This Row],[PercentSalaryHike]]&lt;=19,"17-19%","20-25%")))</f>
        <v>20-25%</v>
      </c>
      <c r="AP914" s="1">
        <f>IF(HR_Data[[#This Row],[PercentSalaryHike]]&lt;=13,1,IF(HR_Data[[#This Row],[PercentSalaryHike]]&lt;=16,2,IF(HR_Data[[#This Row],[PercentSalaryHike]]&lt;=19,3,4)))</f>
        <v>4</v>
      </c>
      <c r="AQ914" s="1" t="str">
        <f>IF(HR_Data[[#This Row],[DistanceFromHome]]&lt;=5,"1 to 5",IF(HR_Data[[#This Row],[DistanceFromHome]]&lt;=10,"6 to 10",IF(HR_Data[[#This Row],[DistanceFromHome]]&lt;=20,"11 to 20","21 to 29")))</f>
        <v>1 to 5</v>
      </c>
      <c r="AR914" s="1">
        <f>IF(HR_Data[[#This Row],[DistanceFromHome]]&lt;=5,1,IF(HR_Data[[#This Row],[DistanceFromHome]]&lt;=10,2,IF(HR_Data[[#This Row],[DistanceFromHome]]&lt;=20,3,4)))</f>
        <v>1</v>
      </c>
      <c r="AS914" s="1" t="str">
        <f>IF(HR_Data[[#This Row],[TotalWorkingYears]]&lt;=5,"0-5 Yrs",IF(HR_Data[[#This Row],[TotalWorkingYears]]&lt;=10,"6-10 Yrs",IF(HR_Data[[#This Row],[TotalWorkingYears]]&lt;=20,"11-20 Yrs","20+ Yrs")))</f>
        <v>6-10 Yrs</v>
      </c>
      <c r="AT914" s="1">
        <f>IF(HR_Data[[#This Row],[TotalWorkingYears]]&lt;=5,1,IF(HR_Data[[#This Row],[TotalWorkingYears]]&lt;=10,2,IF(HR_Data[[#This Row],[TotalWorkingYears]]&lt;=20,3,4)))</f>
        <v>2</v>
      </c>
    </row>
    <row r="915" spans="1:46" x14ac:dyDescent="0.25">
      <c r="A915">
        <v>45</v>
      </c>
      <c r="B915" t="s">
        <v>29</v>
      </c>
      <c r="C915" t="s">
        <v>30</v>
      </c>
      <c r="D915" t="s">
        <v>31</v>
      </c>
      <c r="E915">
        <v>2</v>
      </c>
      <c r="F915">
        <v>3</v>
      </c>
      <c r="G915" t="s">
        <v>52</v>
      </c>
      <c r="H915">
        <v>1277</v>
      </c>
      <c r="I915">
        <v>1</v>
      </c>
      <c r="J915" t="s">
        <v>33</v>
      </c>
      <c r="K915">
        <v>1</v>
      </c>
      <c r="L915">
        <v>5</v>
      </c>
      <c r="M915" t="s">
        <v>49</v>
      </c>
      <c r="N915">
        <v>2</v>
      </c>
      <c r="O915" t="s">
        <v>35</v>
      </c>
      <c r="P915">
        <v>18824</v>
      </c>
      <c r="Q915">
        <v>2</v>
      </c>
      <c r="R915" t="s">
        <v>29</v>
      </c>
      <c r="S915">
        <v>16</v>
      </c>
      <c r="T915">
        <v>3</v>
      </c>
      <c r="U915">
        <v>1</v>
      </c>
      <c r="V915">
        <v>0</v>
      </c>
      <c r="W915">
        <v>26</v>
      </c>
      <c r="X915">
        <v>2</v>
      </c>
      <c r="Y915">
        <v>3</v>
      </c>
      <c r="Z915">
        <v>24</v>
      </c>
      <c r="AA915">
        <v>10</v>
      </c>
      <c r="AB915">
        <v>1</v>
      </c>
      <c r="AC915">
        <v>11</v>
      </c>
      <c r="AD915">
        <f>IF(HR_Data[[#This Row],[Attrition]]="Yes",1,0)</f>
        <v>1</v>
      </c>
      <c r="AE915" t="str">
        <f>IF(HR_Data[[#This Row],[Age]]&lt;=25,"18-25",IF(HR_Data[[#This Row],[Age]]&lt;=35,"26-35",IF(HR_Data[[#This Row],[Age]]&lt;=45,"36-45",IF(HR_Data[[#This Row],[Age]]&lt;=55,"46-55","55+"))))</f>
        <v>36-45</v>
      </c>
      <c r="AF915">
        <f>IF(HR_Data[[#This Row],[Age]]&lt;=25,1,IF(HR_Data[[#This Row],[Age]]&lt;=35,2,IF(HR_Data[[#This Row],[Age]]&lt;=45,3,IF(HR_Data[[#This Row],[Age]]&lt;=55,4,5))))</f>
        <v>3</v>
      </c>
      <c r="AG915" s="1" t="str">
        <f>IF(HR_Data[[#This Row],[MonthlyIncome]]&lt;3000,"&lt;3K",IF(HR_Data[[#This Row],[MonthlyIncome]]&lt;6000,"3K-6K",IF(HR_Data[[#This Row],[MonthlyIncome]]&lt;10000,"6K-10K","10K+")))</f>
        <v>10K+</v>
      </c>
      <c r="AH915" s="1">
        <f>IF(HR_Data[[#This Row],[MonthlyIncome]]&lt;3000,1,IF(HR_Data[[#This Row],[MonthlyIncome]]&lt;6000,2,IF(HR_Data[[#This Row],[MonthlyIncome]]&lt;10000,3,4)))</f>
        <v>4</v>
      </c>
      <c r="AI915" s="1" t="str">
        <f>IF(HR_Data[[#This Row],[YearsAtCompany]]&lt;=2,"0-2 Yrs",IF(HR_Data[[#This Row],[YearsAtCompany]]&lt;=5,"3-5 Yrs",IF(HR_Data[[#This Row],[YearsAtCompany]]&lt;=10,"6-10 Yrs","10+ Yrs")))</f>
        <v>10+ Yrs</v>
      </c>
      <c r="AJ915" s="1">
        <f>IF(HR_Data[[#This Row],[YearsAtCompany]]&lt;=2,1,IF(HR_Data[[#This Row],[YearsAtCompany]]&lt;=5,2,IF(HR_Data[[#This Row],[YearsAtCompany]]&lt;=10,3,4)))</f>
        <v>4</v>
      </c>
      <c r="AK915" s="1" t="str">
        <f>CHOOSE(HR_Data[[#This Row],[Education]],"Below College","College","Bachelor","Master","Doctor")</f>
        <v>Bachelor</v>
      </c>
      <c r="AL915" s="1" t="str">
        <f>CHOOSE(HR_Data[[#This Row],[JobSatisfaction]],"Low","Medium","High","Very High")</f>
        <v>Medium</v>
      </c>
      <c r="AM915" s="1" t="str">
        <f>CHOOSE(HR_Data[[#This Row],[EnvironmentSatisfaction]],"Low","Medium","High","Very High")</f>
        <v>Low</v>
      </c>
      <c r="AN915" s="1" t="str">
        <f>CHOOSE(HR_Data[[#This Row],[WorkLifeBalance]],"Bad","Good","Better","Best")</f>
        <v>Better</v>
      </c>
      <c r="AO915" s="1" t="str">
        <f>IF(HR_Data[[#This Row],[PercentSalaryHike]]&lt;=13,"11-13%",IF(HR_Data[[#This Row],[PercentSalaryHike]]&lt;=16,"14-16%",IF(HR_Data[[#This Row],[PercentSalaryHike]]&lt;=19,"17-19%","20-25%")))</f>
        <v>14-16%</v>
      </c>
      <c r="AP915" s="1">
        <f>IF(HR_Data[[#This Row],[PercentSalaryHike]]&lt;=13,1,IF(HR_Data[[#This Row],[PercentSalaryHike]]&lt;=16,2,IF(HR_Data[[#This Row],[PercentSalaryHike]]&lt;=19,3,4)))</f>
        <v>2</v>
      </c>
      <c r="AQ915" s="1" t="str">
        <f>IF(HR_Data[[#This Row],[DistanceFromHome]]&lt;=5,"1 to 5",IF(HR_Data[[#This Row],[DistanceFromHome]]&lt;=10,"6 to 10",IF(HR_Data[[#This Row],[DistanceFromHome]]&lt;=20,"11 to 20","21 to 29")))</f>
        <v>1 to 5</v>
      </c>
      <c r="AR915" s="1">
        <f>IF(HR_Data[[#This Row],[DistanceFromHome]]&lt;=5,1,IF(HR_Data[[#This Row],[DistanceFromHome]]&lt;=10,2,IF(HR_Data[[#This Row],[DistanceFromHome]]&lt;=20,3,4)))</f>
        <v>1</v>
      </c>
      <c r="AS915" s="1" t="str">
        <f>IF(HR_Data[[#This Row],[TotalWorkingYears]]&lt;=5,"0-5 Yrs",IF(HR_Data[[#This Row],[TotalWorkingYears]]&lt;=10,"6-10 Yrs",IF(HR_Data[[#This Row],[TotalWorkingYears]]&lt;=20,"11-20 Yrs","20+ Yrs")))</f>
        <v>20+ Yrs</v>
      </c>
      <c r="AT915" s="1">
        <f>IF(HR_Data[[#This Row],[TotalWorkingYears]]&lt;=5,1,IF(HR_Data[[#This Row],[TotalWorkingYears]]&lt;=10,2,IF(HR_Data[[#This Row],[TotalWorkingYears]]&lt;=20,3,4)))</f>
        <v>4</v>
      </c>
    </row>
    <row r="916" spans="1:46" x14ac:dyDescent="0.25">
      <c r="A916">
        <v>55</v>
      </c>
      <c r="B916" t="s">
        <v>36</v>
      </c>
      <c r="C916" t="s">
        <v>48</v>
      </c>
      <c r="D916" t="s">
        <v>38</v>
      </c>
      <c r="E916">
        <v>8</v>
      </c>
      <c r="F916">
        <v>1</v>
      </c>
      <c r="G916" t="s">
        <v>44</v>
      </c>
      <c r="H916">
        <v>1278</v>
      </c>
      <c r="I916">
        <v>4</v>
      </c>
      <c r="J916" t="s">
        <v>39</v>
      </c>
      <c r="K916">
        <v>2</v>
      </c>
      <c r="L916">
        <v>4</v>
      </c>
      <c r="M916" t="s">
        <v>47</v>
      </c>
      <c r="N916">
        <v>2</v>
      </c>
      <c r="O916" t="s">
        <v>45</v>
      </c>
      <c r="P916">
        <v>13577</v>
      </c>
      <c r="Q916">
        <v>1</v>
      </c>
      <c r="R916" t="s">
        <v>29</v>
      </c>
      <c r="S916">
        <v>15</v>
      </c>
      <c r="T916">
        <v>3</v>
      </c>
      <c r="U916">
        <v>4</v>
      </c>
      <c r="V916">
        <v>1</v>
      </c>
      <c r="W916">
        <v>34</v>
      </c>
      <c r="X916">
        <v>3</v>
      </c>
      <c r="Y916">
        <v>3</v>
      </c>
      <c r="Z916">
        <v>33</v>
      </c>
      <c r="AA916">
        <v>9</v>
      </c>
      <c r="AB916">
        <v>15</v>
      </c>
      <c r="AC916">
        <v>0</v>
      </c>
      <c r="AD916">
        <f>IF(HR_Data[[#This Row],[Attrition]]="Yes",1,0)</f>
        <v>0</v>
      </c>
      <c r="AE916" t="str">
        <f>IF(HR_Data[[#This Row],[Age]]&lt;=25,"18-25",IF(HR_Data[[#This Row],[Age]]&lt;=35,"26-35",IF(HR_Data[[#This Row],[Age]]&lt;=45,"36-45",IF(HR_Data[[#This Row],[Age]]&lt;=55,"46-55","55+"))))</f>
        <v>46-55</v>
      </c>
      <c r="AF916">
        <f>IF(HR_Data[[#This Row],[Age]]&lt;=25,1,IF(HR_Data[[#This Row],[Age]]&lt;=35,2,IF(HR_Data[[#This Row],[Age]]&lt;=45,3,IF(HR_Data[[#This Row],[Age]]&lt;=55,4,5))))</f>
        <v>4</v>
      </c>
      <c r="AG916" s="1" t="str">
        <f>IF(HR_Data[[#This Row],[MonthlyIncome]]&lt;3000,"&lt;3K",IF(HR_Data[[#This Row],[MonthlyIncome]]&lt;6000,"3K-6K",IF(HR_Data[[#This Row],[MonthlyIncome]]&lt;10000,"6K-10K","10K+")))</f>
        <v>10K+</v>
      </c>
      <c r="AH916" s="1">
        <f>IF(HR_Data[[#This Row],[MonthlyIncome]]&lt;3000,1,IF(HR_Data[[#This Row],[MonthlyIncome]]&lt;6000,2,IF(HR_Data[[#This Row],[MonthlyIncome]]&lt;10000,3,4)))</f>
        <v>4</v>
      </c>
      <c r="AI916" s="1" t="str">
        <f>IF(HR_Data[[#This Row],[YearsAtCompany]]&lt;=2,"0-2 Yrs",IF(HR_Data[[#This Row],[YearsAtCompany]]&lt;=5,"3-5 Yrs",IF(HR_Data[[#This Row],[YearsAtCompany]]&lt;=10,"6-10 Yrs","10+ Yrs")))</f>
        <v>10+ Yrs</v>
      </c>
      <c r="AJ916" s="1">
        <f>IF(HR_Data[[#This Row],[YearsAtCompany]]&lt;=2,1,IF(HR_Data[[#This Row],[YearsAtCompany]]&lt;=5,2,IF(HR_Data[[#This Row],[YearsAtCompany]]&lt;=10,3,4)))</f>
        <v>4</v>
      </c>
      <c r="AK916" s="1" t="str">
        <f>CHOOSE(HR_Data[[#This Row],[Education]],"Below College","College","Bachelor","Master","Doctor")</f>
        <v>Below College</v>
      </c>
      <c r="AL916" s="1" t="str">
        <f>CHOOSE(HR_Data[[#This Row],[JobSatisfaction]],"Low","Medium","High","Very High")</f>
        <v>Medium</v>
      </c>
      <c r="AM916" s="1" t="str">
        <f>CHOOSE(HR_Data[[#This Row],[EnvironmentSatisfaction]],"Low","Medium","High","Very High")</f>
        <v>Very High</v>
      </c>
      <c r="AN916" s="1" t="str">
        <f>CHOOSE(HR_Data[[#This Row],[WorkLifeBalance]],"Bad","Good","Better","Best")</f>
        <v>Better</v>
      </c>
      <c r="AO916" s="1" t="str">
        <f>IF(HR_Data[[#This Row],[PercentSalaryHike]]&lt;=13,"11-13%",IF(HR_Data[[#This Row],[PercentSalaryHike]]&lt;=16,"14-16%",IF(HR_Data[[#This Row],[PercentSalaryHike]]&lt;=19,"17-19%","20-25%")))</f>
        <v>14-16%</v>
      </c>
      <c r="AP916" s="1">
        <f>IF(HR_Data[[#This Row],[PercentSalaryHike]]&lt;=13,1,IF(HR_Data[[#This Row],[PercentSalaryHike]]&lt;=16,2,IF(HR_Data[[#This Row],[PercentSalaryHike]]&lt;=19,3,4)))</f>
        <v>2</v>
      </c>
      <c r="AQ916" s="1" t="str">
        <f>IF(HR_Data[[#This Row],[DistanceFromHome]]&lt;=5,"1 to 5",IF(HR_Data[[#This Row],[DistanceFromHome]]&lt;=10,"6 to 10",IF(HR_Data[[#This Row],[DistanceFromHome]]&lt;=20,"11 to 20","21 to 29")))</f>
        <v>6 to 10</v>
      </c>
      <c r="AR916" s="1">
        <f>IF(HR_Data[[#This Row],[DistanceFromHome]]&lt;=5,1,IF(HR_Data[[#This Row],[DistanceFromHome]]&lt;=10,2,IF(HR_Data[[#This Row],[DistanceFromHome]]&lt;=20,3,4)))</f>
        <v>2</v>
      </c>
      <c r="AS916" s="1" t="str">
        <f>IF(HR_Data[[#This Row],[TotalWorkingYears]]&lt;=5,"0-5 Yrs",IF(HR_Data[[#This Row],[TotalWorkingYears]]&lt;=10,"6-10 Yrs",IF(HR_Data[[#This Row],[TotalWorkingYears]]&lt;=20,"11-20 Yrs","20+ Yrs")))</f>
        <v>20+ Yrs</v>
      </c>
      <c r="AT916" s="1">
        <f>IF(HR_Data[[#This Row],[TotalWorkingYears]]&lt;=5,1,IF(HR_Data[[#This Row],[TotalWorkingYears]]&lt;=10,2,IF(HR_Data[[#This Row],[TotalWorkingYears]]&lt;=20,3,4)))</f>
        <v>4</v>
      </c>
    </row>
    <row r="917" spans="1:46" x14ac:dyDescent="0.25">
      <c r="A917">
        <v>21</v>
      </c>
      <c r="B917" t="s">
        <v>29</v>
      </c>
      <c r="C917" t="s">
        <v>37</v>
      </c>
      <c r="D917" t="s">
        <v>38</v>
      </c>
      <c r="E917">
        <v>10</v>
      </c>
      <c r="F917">
        <v>2</v>
      </c>
      <c r="G917" t="s">
        <v>32</v>
      </c>
      <c r="H917">
        <v>1279</v>
      </c>
      <c r="I917">
        <v>1</v>
      </c>
      <c r="J917" t="s">
        <v>33</v>
      </c>
      <c r="K917">
        <v>2</v>
      </c>
      <c r="L917">
        <v>1</v>
      </c>
      <c r="M917" t="s">
        <v>43</v>
      </c>
      <c r="N917">
        <v>3</v>
      </c>
      <c r="O917" t="s">
        <v>35</v>
      </c>
      <c r="P917">
        <v>2625</v>
      </c>
      <c r="Q917">
        <v>1</v>
      </c>
      <c r="R917" t="s">
        <v>36</v>
      </c>
      <c r="S917">
        <v>20</v>
      </c>
      <c r="T917">
        <v>4</v>
      </c>
      <c r="U917">
        <v>3</v>
      </c>
      <c r="V917">
        <v>0</v>
      </c>
      <c r="W917">
        <v>2</v>
      </c>
      <c r="X917">
        <v>2</v>
      </c>
      <c r="Y917">
        <v>1</v>
      </c>
      <c r="Z917">
        <v>2</v>
      </c>
      <c r="AA917">
        <v>2</v>
      </c>
      <c r="AB917">
        <v>2</v>
      </c>
      <c r="AC917">
        <v>2</v>
      </c>
      <c r="AD917">
        <f>IF(HR_Data[[#This Row],[Attrition]]="Yes",1,0)</f>
        <v>1</v>
      </c>
      <c r="AE917" t="str">
        <f>IF(HR_Data[[#This Row],[Age]]&lt;=25,"18-25",IF(HR_Data[[#This Row],[Age]]&lt;=35,"26-35",IF(HR_Data[[#This Row],[Age]]&lt;=45,"36-45",IF(HR_Data[[#This Row],[Age]]&lt;=55,"46-55","55+"))))</f>
        <v>18-25</v>
      </c>
      <c r="AF917">
        <f>IF(HR_Data[[#This Row],[Age]]&lt;=25,1,IF(HR_Data[[#This Row],[Age]]&lt;=35,2,IF(HR_Data[[#This Row],[Age]]&lt;=45,3,IF(HR_Data[[#This Row],[Age]]&lt;=55,4,5))))</f>
        <v>1</v>
      </c>
      <c r="AG917" s="1" t="str">
        <f>IF(HR_Data[[#This Row],[MonthlyIncome]]&lt;3000,"&lt;3K",IF(HR_Data[[#This Row],[MonthlyIncome]]&lt;6000,"3K-6K",IF(HR_Data[[#This Row],[MonthlyIncome]]&lt;10000,"6K-10K","10K+")))</f>
        <v>&lt;3K</v>
      </c>
      <c r="AH917" s="1">
        <f>IF(HR_Data[[#This Row],[MonthlyIncome]]&lt;3000,1,IF(HR_Data[[#This Row],[MonthlyIncome]]&lt;6000,2,IF(HR_Data[[#This Row],[MonthlyIncome]]&lt;10000,3,4)))</f>
        <v>1</v>
      </c>
      <c r="AI917" s="1" t="str">
        <f>IF(HR_Data[[#This Row],[YearsAtCompany]]&lt;=2,"0-2 Yrs",IF(HR_Data[[#This Row],[YearsAtCompany]]&lt;=5,"3-5 Yrs",IF(HR_Data[[#This Row],[YearsAtCompany]]&lt;=10,"6-10 Yrs","10+ Yrs")))</f>
        <v>0-2 Yrs</v>
      </c>
      <c r="AJ917" s="1">
        <f>IF(HR_Data[[#This Row],[YearsAtCompany]]&lt;=2,1,IF(HR_Data[[#This Row],[YearsAtCompany]]&lt;=5,2,IF(HR_Data[[#This Row],[YearsAtCompany]]&lt;=10,3,4)))</f>
        <v>1</v>
      </c>
      <c r="AK917" s="1" t="str">
        <f>CHOOSE(HR_Data[[#This Row],[Education]],"Below College","College","Bachelor","Master","Doctor")</f>
        <v>College</v>
      </c>
      <c r="AL917" s="1" t="str">
        <f>CHOOSE(HR_Data[[#This Row],[JobSatisfaction]],"Low","Medium","High","Very High")</f>
        <v>High</v>
      </c>
      <c r="AM917" s="1" t="str">
        <f>CHOOSE(HR_Data[[#This Row],[EnvironmentSatisfaction]],"Low","Medium","High","Very High")</f>
        <v>Low</v>
      </c>
      <c r="AN917" s="1" t="str">
        <f>CHOOSE(HR_Data[[#This Row],[WorkLifeBalance]],"Bad","Good","Better","Best")</f>
        <v>Bad</v>
      </c>
      <c r="AO917" s="1" t="str">
        <f>IF(HR_Data[[#This Row],[PercentSalaryHike]]&lt;=13,"11-13%",IF(HR_Data[[#This Row],[PercentSalaryHike]]&lt;=16,"14-16%",IF(HR_Data[[#This Row],[PercentSalaryHike]]&lt;=19,"17-19%","20-25%")))</f>
        <v>20-25%</v>
      </c>
      <c r="AP917" s="1">
        <f>IF(HR_Data[[#This Row],[PercentSalaryHike]]&lt;=13,1,IF(HR_Data[[#This Row],[PercentSalaryHike]]&lt;=16,2,IF(HR_Data[[#This Row],[PercentSalaryHike]]&lt;=19,3,4)))</f>
        <v>4</v>
      </c>
      <c r="AQ917" s="1" t="str">
        <f>IF(HR_Data[[#This Row],[DistanceFromHome]]&lt;=5,"1 to 5",IF(HR_Data[[#This Row],[DistanceFromHome]]&lt;=10,"6 to 10",IF(HR_Data[[#This Row],[DistanceFromHome]]&lt;=20,"11 to 20","21 to 29")))</f>
        <v>6 to 10</v>
      </c>
      <c r="AR917" s="1">
        <f>IF(HR_Data[[#This Row],[DistanceFromHome]]&lt;=5,1,IF(HR_Data[[#This Row],[DistanceFromHome]]&lt;=10,2,IF(HR_Data[[#This Row],[DistanceFromHome]]&lt;=20,3,4)))</f>
        <v>2</v>
      </c>
      <c r="AS917" s="1" t="str">
        <f>IF(HR_Data[[#This Row],[TotalWorkingYears]]&lt;=5,"0-5 Yrs",IF(HR_Data[[#This Row],[TotalWorkingYears]]&lt;=10,"6-10 Yrs",IF(HR_Data[[#This Row],[TotalWorkingYears]]&lt;=20,"11-20 Yrs","20+ Yrs")))</f>
        <v>0-5 Yrs</v>
      </c>
      <c r="AT917" s="1">
        <f>IF(HR_Data[[#This Row],[TotalWorkingYears]]&lt;=5,1,IF(HR_Data[[#This Row],[TotalWorkingYears]]&lt;=10,2,IF(HR_Data[[#This Row],[TotalWorkingYears]]&lt;=20,3,4)))</f>
        <v>1</v>
      </c>
    </row>
    <row r="918" spans="1:46" x14ac:dyDescent="0.25">
      <c r="A918">
        <v>46</v>
      </c>
      <c r="B918" t="s">
        <v>36</v>
      </c>
      <c r="C918" t="s">
        <v>30</v>
      </c>
      <c r="D918" t="s">
        <v>31</v>
      </c>
      <c r="E918">
        <v>4</v>
      </c>
      <c r="F918">
        <v>2</v>
      </c>
      <c r="G918" t="s">
        <v>52</v>
      </c>
      <c r="H918">
        <v>1280</v>
      </c>
      <c r="I918">
        <v>4</v>
      </c>
      <c r="J918" t="s">
        <v>33</v>
      </c>
      <c r="K918">
        <v>2</v>
      </c>
      <c r="L918">
        <v>5</v>
      </c>
      <c r="M918" t="s">
        <v>49</v>
      </c>
      <c r="N918">
        <v>2</v>
      </c>
      <c r="O918" t="s">
        <v>41</v>
      </c>
      <c r="P918">
        <v>18789</v>
      </c>
      <c r="Q918">
        <v>2</v>
      </c>
      <c r="R918" t="s">
        <v>36</v>
      </c>
      <c r="S918">
        <v>14</v>
      </c>
      <c r="T918">
        <v>3</v>
      </c>
      <c r="U918">
        <v>3</v>
      </c>
      <c r="V918">
        <v>1</v>
      </c>
      <c r="W918">
        <v>26</v>
      </c>
      <c r="X918">
        <v>2</v>
      </c>
      <c r="Y918">
        <v>3</v>
      </c>
      <c r="Z918">
        <v>11</v>
      </c>
      <c r="AA918">
        <v>4</v>
      </c>
      <c r="AB918">
        <v>0</v>
      </c>
      <c r="AC918">
        <v>8</v>
      </c>
      <c r="AD918">
        <f>IF(HR_Data[[#This Row],[Attrition]]="Yes",1,0)</f>
        <v>0</v>
      </c>
      <c r="AE918" t="str">
        <f>IF(HR_Data[[#This Row],[Age]]&lt;=25,"18-25",IF(HR_Data[[#This Row],[Age]]&lt;=35,"26-35",IF(HR_Data[[#This Row],[Age]]&lt;=45,"36-45",IF(HR_Data[[#This Row],[Age]]&lt;=55,"46-55","55+"))))</f>
        <v>46-55</v>
      </c>
      <c r="AF918">
        <f>IF(HR_Data[[#This Row],[Age]]&lt;=25,1,IF(HR_Data[[#This Row],[Age]]&lt;=35,2,IF(HR_Data[[#This Row],[Age]]&lt;=45,3,IF(HR_Data[[#This Row],[Age]]&lt;=55,4,5))))</f>
        <v>4</v>
      </c>
      <c r="AG918" s="1" t="str">
        <f>IF(HR_Data[[#This Row],[MonthlyIncome]]&lt;3000,"&lt;3K",IF(HR_Data[[#This Row],[MonthlyIncome]]&lt;6000,"3K-6K",IF(HR_Data[[#This Row],[MonthlyIncome]]&lt;10000,"6K-10K","10K+")))</f>
        <v>10K+</v>
      </c>
      <c r="AH918" s="1">
        <f>IF(HR_Data[[#This Row],[MonthlyIncome]]&lt;3000,1,IF(HR_Data[[#This Row],[MonthlyIncome]]&lt;6000,2,IF(HR_Data[[#This Row],[MonthlyIncome]]&lt;10000,3,4)))</f>
        <v>4</v>
      </c>
      <c r="AI918" s="1" t="str">
        <f>IF(HR_Data[[#This Row],[YearsAtCompany]]&lt;=2,"0-2 Yrs",IF(HR_Data[[#This Row],[YearsAtCompany]]&lt;=5,"3-5 Yrs",IF(HR_Data[[#This Row],[YearsAtCompany]]&lt;=10,"6-10 Yrs","10+ Yrs")))</f>
        <v>10+ Yrs</v>
      </c>
      <c r="AJ918" s="1">
        <f>IF(HR_Data[[#This Row],[YearsAtCompany]]&lt;=2,1,IF(HR_Data[[#This Row],[YearsAtCompany]]&lt;=5,2,IF(HR_Data[[#This Row],[YearsAtCompany]]&lt;=10,3,4)))</f>
        <v>4</v>
      </c>
      <c r="AK918" s="1" t="str">
        <f>CHOOSE(HR_Data[[#This Row],[Education]],"Below College","College","Bachelor","Master","Doctor")</f>
        <v>College</v>
      </c>
      <c r="AL918" s="1" t="str">
        <f>CHOOSE(HR_Data[[#This Row],[JobSatisfaction]],"Low","Medium","High","Very High")</f>
        <v>Medium</v>
      </c>
      <c r="AM918" s="1" t="str">
        <f>CHOOSE(HR_Data[[#This Row],[EnvironmentSatisfaction]],"Low","Medium","High","Very High")</f>
        <v>Very High</v>
      </c>
      <c r="AN918" s="1" t="str">
        <f>CHOOSE(HR_Data[[#This Row],[WorkLifeBalance]],"Bad","Good","Better","Best")</f>
        <v>Better</v>
      </c>
      <c r="AO918" s="1" t="str">
        <f>IF(HR_Data[[#This Row],[PercentSalaryHike]]&lt;=13,"11-13%",IF(HR_Data[[#This Row],[PercentSalaryHike]]&lt;=16,"14-16%",IF(HR_Data[[#This Row],[PercentSalaryHike]]&lt;=19,"17-19%","20-25%")))</f>
        <v>14-16%</v>
      </c>
      <c r="AP918" s="1">
        <f>IF(HR_Data[[#This Row],[PercentSalaryHike]]&lt;=13,1,IF(HR_Data[[#This Row],[PercentSalaryHike]]&lt;=16,2,IF(HR_Data[[#This Row],[PercentSalaryHike]]&lt;=19,3,4)))</f>
        <v>2</v>
      </c>
      <c r="AQ918" s="1" t="str">
        <f>IF(HR_Data[[#This Row],[DistanceFromHome]]&lt;=5,"1 to 5",IF(HR_Data[[#This Row],[DistanceFromHome]]&lt;=10,"6 to 10",IF(HR_Data[[#This Row],[DistanceFromHome]]&lt;=20,"11 to 20","21 to 29")))</f>
        <v>1 to 5</v>
      </c>
      <c r="AR918" s="1">
        <f>IF(HR_Data[[#This Row],[DistanceFromHome]]&lt;=5,1,IF(HR_Data[[#This Row],[DistanceFromHome]]&lt;=10,2,IF(HR_Data[[#This Row],[DistanceFromHome]]&lt;=20,3,4)))</f>
        <v>1</v>
      </c>
      <c r="AS918" s="1" t="str">
        <f>IF(HR_Data[[#This Row],[TotalWorkingYears]]&lt;=5,"0-5 Yrs",IF(HR_Data[[#This Row],[TotalWorkingYears]]&lt;=10,"6-10 Yrs",IF(HR_Data[[#This Row],[TotalWorkingYears]]&lt;=20,"11-20 Yrs","20+ Yrs")))</f>
        <v>20+ Yrs</v>
      </c>
      <c r="AT918" s="1">
        <f>IF(HR_Data[[#This Row],[TotalWorkingYears]]&lt;=5,1,IF(HR_Data[[#This Row],[TotalWorkingYears]]&lt;=10,2,IF(HR_Data[[#This Row],[TotalWorkingYears]]&lt;=20,3,4)))</f>
        <v>4</v>
      </c>
    </row>
    <row r="919" spans="1:46" x14ac:dyDescent="0.25">
      <c r="A919">
        <v>34</v>
      </c>
      <c r="B919" t="s">
        <v>36</v>
      </c>
      <c r="C919" t="s">
        <v>30</v>
      </c>
      <c r="D919" t="s">
        <v>31</v>
      </c>
      <c r="E919">
        <v>2</v>
      </c>
      <c r="F919">
        <v>3</v>
      </c>
      <c r="G919" t="s">
        <v>52</v>
      </c>
      <c r="H919">
        <v>1281</v>
      </c>
      <c r="I919">
        <v>3</v>
      </c>
      <c r="J919" t="s">
        <v>33</v>
      </c>
      <c r="K919">
        <v>3</v>
      </c>
      <c r="L919">
        <v>2</v>
      </c>
      <c r="M919" t="s">
        <v>34</v>
      </c>
      <c r="N919">
        <v>1</v>
      </c>
      <c r="O919" t="s">
        <v>35</v>
      </c>
      <c r="P919">
        <v>4538</v>
      </c>
      <c r="Q919">
        <v>0</v>
      </c>
      <c r="R919" t="s">
        <v>29</v>
      </c>
      <c r="S919">
        <v>12</v>
      </c>
      <c r="T919">
        <v>3</v>
      </c>
      <c r="U919">
        <v>4</v>
      </c>
      <c r="V919">
        <v>0</v>
      </c>
      <c r="W919">
        <v>4</v>
      </c>
      <c r="X919">
        <v>3</v>
      </c>
      <c r="Y919">
        <v>3</v>
      </c>
      <c r="Z919">
        <v>3</v>
      </c>
      <c r="AA919">
        <v>2</v>
      </c>
      <c r="AB919">
        <v>0</v>
      </c>
      <c r="AC919">
        <v>2</v>
      </c>
      <c r="AD919">
        <f>IF(HR_Data[[#This Row],[Attrition]]="Yes",1,0)</f>
        <v>0</v>
      </c>
      <c r="AE919" t="str">
        <f>IF(HR_Data[[#This Row],[Age]]&lt;=25,"18-25",IF(HR_Data[[#This Row],[Age]]&lt;=35,"26-35",IF(HR_Data[[#This Row],[Age]]&lt;=45,"36-45",IF(HR_Data[[#This Row],[Age]]&lt;=55,"46-55","55+"))))</f>
        <v>26-35</v>
      </c>
      <c r="AF919">
        <f>IF(HR_Data[[#This Row],[Age]]&lt;=25,1,IF(HR_Data[[#This Row],[Age]]&lt;=35,2,IF(HR_Data[[#This Row],[Age]]&lt;=45,3,IF(HR_Data[[#This Row],[Age]]&lt;=55,4,5))))</f>
        <v>2</v>
      </c>
      <c r="AG919" s="1" t="str">
        <f>IF(HR_Data[[#This Row],[MonthlyIncome]]&lt;3000,"&lt;3K",IF(HR_Data[[#This Row],[MonthlyIncome]]&lt;6000,"3K-6K",IF(HR_Data[[#This Row],[MonthlyIncome]]&lt;10000,"6K-10K","10K+")))</f>
        <v>3K-6K</v>
      </c>
      <c r="AH919" s="1">
        <f>IF(HR_Data[[#This Row],[MonthlyIncome]]&lt;3000,1,IF(HR_Data[[#This Row],[MonthlyIncome]]&lt;6000,2,IF(HR_Data[[#This Row],[MonthlyIncome]]&lt;10000,3,4)))</f>
        <v>2</v>
      </c>
      <c r="AI919" s="1" t="str">
        <f>IF(HR_Data[[#This Row],[YearsAtCompany]]&lt;=2,"0-2 Yrs",IF(HR_Data[[#This Row],[YearsAtCompany]]&lt;=5,"3-5 Yrs",IF(HR_Data[[#This Row],[YearsAtCompany]]&lt;=10,"6-10 Yrs","10+ Yrs")))</f>
        <v>3-5 Yrs</v>
      </c>
      <c r="AJ919" s="1">
        <f>IF(HR_Data[[#This Row],[YearsAtCompany]]&lt;=2,1,IF(HR_Data[[#This Row],[YearsAtCompany]]&lt;=5,2,IF(HR_Data[[#This Row],[YearsAtCompany]]&lt;=10,3,4)))</f>
        <v>2</v>
      </c>
      <c r="AK919" s="1" t="str">
        <f>CHOOSE(HR_Data[[#This Row],[Education]],"Below College","College","Bachelor","Master","Doctor")</f>
        <v>Bachelor</v>
      </c>
      <c r="AL919" s="1" t="str">
        <f>CHOOSE(HR_Data[[#This Row],[JobSatisfaction]],"Low","Medium","High","Very High")</f>
        <v>Low</v>
      </c>
      <c r="AM919" s="1" t="str">
        <f>CHOOSE(HR_Data[[#This Row],[EnvironmentSatisfaction]],"Low","Medium","High","Very High")</f>
        <v>High</v>
      </c>
      <c r="AN919" s="1" t="str">
        <f>CHOOSE(HR_Data[[#This Row],[WorkLifeBalance]],"Bad","Good","Better","Best")</f>
        <v>Better</v>
      </c>
      <c r="AO919" s="1" t="str">
        <f>IF(HR_Data[[#This Row],[PercentSalaryHike]]&lt;=13,"11-13%",IF(HR_Data[[#This Row],[PercentSalaryHike]]&lt;=16,"14-16%",IF(HR_Data[[#This Row],[PercentSalaryHike]]&lt;=19,"17-19%","20-25%")))</f>
        <v>11-13%</v>
      </c>
      <c r="AP919" s="1">
        <f>IF(HR_Data[[#This Row],[PercentSalaryHike]]&lt;=13,1,IF(HR_Data[[#This Row],[PercentSalaryHike]]&lt;=16,2,IF(HR_Data[[#This Row],[PercentSalaryHike]]&lt;=19,3,4)))</f>
        <v>1</v>
      </c>
      <c r="AQ919" s="1" t="str">
        <f>IF(HR_Data[[#This Row],[DistanceFromHome]]&lt;=5,"1 to 5",IF(HR_Data[[#This Row],[DistanceFromHome]]&lt;=10,"6 to 10",IF(HR_Data[[#This Row],[DistanceFromHome]]&lt;=20,"11 to 20","21 to 29")))</f>
        <v>1 to 5</v>
      </c>
      <c r="AR919" s="1">
        <f>IF(HR_Data[[#This Row],[DistanceFromHome]]&lt;=5,1,IF(HR_Data[[#This Row],[DistanceFromHome]]&lt;=10,2,IF(HR_Data[[#This Row],[DistanceFromHome]]&lt;=20,3,4)))</f>
        <v>1</v>
      </c>
      <c r="AS919" s="1" t="str">
        <f>IF(HR_Data[[#This Row],[TotalWorkingYears]]&lt;=5,"0-5 Yrs",IF(HR_Data[[#This Row],[TotalWorkingYears]]&lt;=10,"6-10 Yrs",IF(HR_Data[[#This Row],[TotalWorkingYears]]&lt;=20,"11-20 Yrs","20+ Yrs")))</f>
        <v>0-5 Yrs</v>
      </c>
      <c r="AT919" s="1">
        <f>IF(HR_Data[[#This Row],[TotalWorkingYears]]&lt;=5,1,IF(HR_Data[[#This Row],[TotalWorkingYears]]&lt;=10,2,IF(HR_Data[[#This Row],[TotalWorkingYears]]&lt;=20,3,4)))</f>
        <v>1</v>
      </c>
    </row>
    <row r="920" spans="1:46" x14ac:dyDescent="0.25">
      <c r="A920">
        <v>51</v>
      </c>
      <c r="B920" t="s">
        <v>36</v>
      </c>
      <c r="C920" t="s">
        <v>37</v>
      </c>
      <c r="D920" t="s">
        <v>31</v>
      </c>
      <c r="E920">
        <v>9</v>
      </c>
      <c r="F920">
        <v>3</v>
      </c>
      <c r="G920" t="s">
        <v>32</v>
      </c>
      <c r="H920">
        <v>1282</v>
      </c>
      <c r="I920">
        <v>4</v>
      </c>
      <c r="J920" t="s">
        <v>39</v>
      </c>
      <c r="K920">
        <v>3</v>
      </c>
      <c r="L920">
        <v>5</v>
      </c>
      <c r="M920" t="s">
        <v>49</v>
      </c>
      <c r="N920">
        <v>2</v>
      </c>
      <c r="O920" t="s">
        <v>45</v>
      </c>
      <c r="P920">
        <v>19847</v>
      </c>
      <c r="Q920">
        <v>4</v>
      </c>
      <c r="R920" t="s">
        <v>29</v>
      </c>
      <c r="S920">
        <v>24</v>
      </c>
      <c r="T920">
        <v>4</v>
      </c>
      <c r="U920">
        <v>1</v>
      </c>
      <c r="V920">
        <v>1</v>
      </c>
      <c r="W920">
        <v>31</v>
      </c>
      <c r="X920">
        <v>5</v>
      </c>
      <c r="Y920">
        <v>2</v>
      </c>
      <c r="Z920">
        <v>29</v>
      </c>
      <c r="AA920">
        <v>10</v>
      </c>
      <c r="AB920">
        <v>11</v>
      </c>
      <c r="AC920">
        <v>10</v>
      </c>
      <c r="AD920">
        <f>IF(HR_Data[[#This Row],[Attrition]]="Yes",1,0)</f>
        <v>0</v>
      </c>
      <c r="AE920" t="str">
        <f>IF(HR_Data[[#This Row],[Age]]&lt;=25,"18-25",IF(HR_Data[[#This Row],[Age]]&lt;=35,"26-35",IF(HR_Data[[#This Row],[Age]]&lt;=45,"36-45",IF(HR_Data[[#This Row],[Age]]&lt;=55,"46-55","55+"))))</f>
        <v>46-55</v>
      </c>
      <c r="AF920">
        <f>IF(HR_Data[[#This Row],[Age]]&lt;=25,1,IF(HR_Data[[#This Row],[Age]]&lt;=35,2,IF(HR_Data[[#This Row],[Age]]&lt;=45,3,IF(HR_Data[[#This Row],[Age]]&lt;=55,4,5))))</f>
        <v>4</v>
      </c>
      <c r="AG920" s="1" t="str">
        <f>IF(HR_Data[[#This Row],[MonthlyIncome]]&lt;3000,"&lt;3K",IF(HR_Data[[#This Row],[MonthlyIncome]]&lt;6000,"3K-6K",IF(HR_Data[[#This Row],[MonthlyIncome]]&lt;10000,"6K-10K","10K+")))</f>
        <v>10K+</v>
      </c>
      <c r="AH920" s="1">
        <f>IF(HR_Data[[#This Row],[MonthlyIncome]]&lt;3000,1,IF(HR_Data[[#This Row],[MonthlyIncome]]&lt;6000,2,IF(HR_Data[[#This Row],[MonthlyIncome]]&lt;10000,3,4)))</f>
        <v>4</v>
      </c>
      <c r="AI920" s="1" t="str">
        <f>IF(HR_Data[[#This Row],[YearsAtCompany]]&lt;=2,"0-2 Yrs",IF(HR_Data[[#This Row],[YearsAtCompany]]&lt;=5,"3-5 Yrs",IF(HR_Data[[#This Row],[YearsAtCompany]]&lt;=10,"6-10 Yrs","10+ Yrs")))</f>
        <v>10+ Yrs</v>
      </c>
      <c r="AJ920" s="1">
        <f>IF(HR_Data[[#This Row],[YearsAtCompany]]&lt;=2,1,IF(HR_Data[[#This Row],[YearsAtCompany]]&lt;=5,2,IF(HR_Data[[#This Row],[YearsAtCompany]]&lt;=10,3,4)))</f>
        <v>4</v>
      </c>
      <c r="AK920" s="1" t="str">
        <f>CHOOSE(HR_Data[[#This Row],[Education]],"Below College","College","Bachelor","Master","Doctor")</f>
        <v>Bachelor</v>
      </c>
      <c r="AL920" s="1" t="str">
        <f>CHOOSE(HR_Data[[#This Row],[JobSatisfaction]],"Low","Medium","High","Very High")</f>
        <v>Medium</v>
      </c>
      <c r="AM920" s="1" t="str">
        <f>CHOOSE(HR_Data[[#This Row],[EnvironmentSatisfaction]],"Low","Medium","High","Very High")</f>
        <v>Very High</v>
      </c>
      <c r="AN920" s="1" t="str">
        <f>CHOOSE(HR_Data[[#This Row],[WorkLifeBalance]],"Bad","Good","Better","Best")</f>
        <v>Good</v>
      </c>
      <c r="AO920" s="1" t="str">
        <f>IF(HR_Data[[#This Row],[PercentSalaryHike]]&lt;=13,"11-13%",IF(HR_Data[[#This Row],[PercentSalaryHike]]&lt;=16,"14-16%",IF(HR_Data[[#This Row],[PercentSalaryHike]]&lt;=19,"17-19%","20-25%")))</f>
        <v>20-25%</v>
      </c>
      <c r="AP920" s="1">
        <f>IF(HR_Data[[#This Row],[PercentSalaryHike]]&lt;=13,1,IF(HR_Data[[#This Row],[PercentSalaryHike]]&lt;=16,2,IF(HR_Data[[#This Row],[PercentSalaryHike]]&lt;=19,3,4)))</f>
        <v>4</v>
      </c>
      <c r="AQ920" s="1" t="str">
        <f>IF(HR_Data[[#This Row],[DistanceFromHome]]&lt;=5,"1 to 5",IF(HR_Data[[#This Row],[DistanceFromHome]]&lt;=10,"6 to 10",IF(HR_Data[[#This Row],[DistanceFromHome]]&lt;=20,"11 to 20","21 to 29")))</f>
        <v>6 to 10</v>
      </c>
      <c r="AR920" s="1">
        <f>IF(HR_Data[[#This Row],[DistanceFromHome]]&lt;=5,1,IF(HR_Data[[#This Row],[DistanceFromHome]]&lt;=10,2,IF(HR_Data[[#This Row],[DistanceFromHome]]&lt;=20,3,4)))</f>
        <v>2</v>
      </c>
      <c r="AS920" s="1" t="str">
        <f>IF(HR_Data[[#This Row],[TotalWorkingYears]]&lt;=5,"0-5 Yrs",IF(HR_Data[[#This Row],[TotalWorkingYears]]&lt;=10,"6-10 Yrs",IF(HR_Data[[#This Row],[TotalWorkingYears]]&lt;=20,"11-20 Yrs","20+ Yrs")))</f>
        <v>20+ Yrs</v>
      </c>
      <c r="AT920" s="1">
        <f>IF(HR_Data[[#This Row],[TotalWorkingYears]]&lt;=5,1,IF(HR_Data[[#This Row],[TotalWorkingYears]]&lt;=10,2,IF(HR_Data[[#This Row],[TotalWorkingYears]]&lt;=20,3,4)))</f>
        <v>4</v>
      </c>
    </row>
    <row r="921" spans="1:46" x14ac:dyDescent="0.25">
      <c r="A921">
        <v>59</v>
      </c>
      <c r="B921" t="s">
        <v>36</v>
      </c>
      <c r="C921" t="s">
        <v>30</v>
      </c>
      <c r="D921" t="s">
        <v>38</v>
      </c>
      <c r="E921">
        <v>18</v>
      </c>
      <c r="F921">
        <v>4</v>
      </c>
      <c r="G921" t="s">
        <v>44</v>
      </c>
      <c r="H921">
        <v>1283</v>
      </c>
      <c r="I921">
        <v>4</v>
      </c>
      <c r="J921" t="s">
        <v>39</v>
      </c>
      <c r="K921">
        <v>3</v>
      </c>
      <c r="L921">
        <v>3</v>
      </c>
      <c r="M921" t="s">
        <v>46</v>
      </c>
      <c r="N921">
        <v>4</v>
      </c>
      <c r="O921" t="s">
        <v>35</v>
      </c>
      <c r="P921">
        <v>10512</v>
      </c>
      <c r="Q921">
        <v>6</v>
      </c>
      <c r="R921" t="s">
        <v>36</v>
      </c>
      <c r="S921">
        <v>12</v>
      </c>
      <c r="T921">
        <v>3</v>
      </c>
      <c r="U921">
        <v>4</v>
      </c>
      <c r="V921">
        <v>0</v>
      </c>
      <c r="W921">
        <v>25</v>
      </c>
      <c r="X921">
        <v>6</v>
      </c>
      <c r="Y921">
        <v>2</v>
      </c>
      <c r="Z921">
        <v>9</v>
      </c>
      <c r="AA921">
        <v>7</v>
      </c>
      <c r="AB921">
        <v>5</v>
      </c>
      <c r="AC921">
        <v>4</v>
      </c>
      <c r="AD921">
        <f>IF(HR_Data[[#This Row],[Attrition]]="Yes",1,0)</f>
        <v>0</v>
      </c>
      <c r="AE921" t="str">
        <f>IF(HR_Data[[#This Row],[Age]]&lt;=25,"18-25",IF(HR_Data[[#This Row],[Age]]&lt;=35,"26-35",IF(HR_Data[[#This Row],[Age]]&lt;=45,"36-45",IF(HR_Data[[#This Row],[Age]]&lt;=55,"46-55","55+"))))</f>
        <v>55+</v>
      </c>
      <c r="AF921">
        <f>IF(HR_Data[[#This Row],[Age]]&lt;=25,1,IF(HR_Data[[#This Row],[Age]]&lt;=35,2,IF(HR_Data[[#This Row],[Age]]&lt;=45,3,IF(HR_Data[[#This Row],[Age]]&lt;=55,4,5))))</f>
        <v>5</v>
      </c>
      <c r="AG921" s="1" t="str">
        <f>IF(HR_Data[[#This Row],[MonthlyIncome]]&lt;3000,"&lt;3K",IF(HR_Data[[#This Row],[MonthlyIncome]]&lt;6000,"3K-6K",IF(HR_Data[[#This Row],[MonthlyIncome]]&lt;10000,"6K-10K","10K+")))</f>
        <v>10K+</v>
      </c>
      <c r="AH921" s="1">
        <f>IF(HR_Data[[#This Row],[MonthlyIncome]]&lt;3000,1,IF(HR_Data[[#This Row],[MonthlyIncome]]&lt;6000,2,IF(HR_Data[[#This Row],[MonthlyIncome]]&lt;10000,3,4)))</f>
        <v>4</v>
      </c>
      <c r="AI921" s="1" t="str">
        <f>IF(HR_Data[[#This Row],[YearsAtCompany]]&lt;=2,"0-2 Yrs",IF(HR_Data[[#This Row],[YearsAtCompany]]&lt;=5,"3-5 Yrs",IF(HR_Data[[#This Row],[YearsAtCompany]]&lt;=10,"6-10 Yrs","10+ Yrs")))</f>
        <v>6-10 Yrs</v>
      </c>
      <c r="AJ921" s="1">
        <f>IF(HR_Data[[#This Row],[YearsAtCompany]]&lt;=2,1,IF(HR_Data[[#This Row],[YearsAtCompany]]&lt;=5,2,IF(HR_Data[[#This Row],[YearsAtCompany]]&lt;=10,3,4)))</f>
        <v>3</v>
      </c>
      <c r="AK921" s="1" t="str">
        <f>CHOOSE(HR_Data[[#This Row],[Education]],"Below College","College","Bachelor","Master","Doctor")</f>
        <v>Master</v>
      </c>
      <c r="AL921" s="1" t="str">
        <f>CHOOSE(HR_Data[[#This Row],[JobSatisfaction]],"Low","Medium","High","Very High")</f>
        <v>Very High</v>
      </c>
      <c r="AM921" s="1" t="str">
        <f>CHOOSE(HR_Data[[#This Row],[EnvironmentSatisfaction]],"Low","Medium","High","Very High")</f>
        <v>Very High</v>
      </c>
      <c r="AN921" s="1" t="str">
        <f>CHOOSE(HR_Data[[#This Row],[WorkLifeBalance]],"Bad","Good","Better","Best")</f>
        <v>Good</v>
      </c>
      <c r="AO921" s="1" t="str">
        <f>IF(HR_Data[[#This Row],[PercentSalaryHike]]&lt;=13,"11-13%",IF(HR_Data[[#This Row],[PercentSalaryHike]]&lt;=16,"14-16%",IF(HR_Data[[#This Row],[PercentSalaryHike]]&lt;=19,"17-19%","20-25%")))</f>
        <v>11-13%</v>
      </c>
      <c r="AP921" s="1">
        <f>IF(HR_Data[[#This Row],[PercentSalaryHike]]&lt;=13,1,IF(HR_Data[[#This Row],[PercentSalaryHike]]&lt;=16,2,IF(HR_Data[[#This Row],[PercentSalaryHike]]&lt;=19,3,4)))</f>
        <v>1</v>
      </c>
      <c r="AQ921" s="1" t="str">
        <f>IF(HR_Data[[#This Row],[DistanceFromHome]]&lt;=5,"1 to 5",IF(HR_Data[[#This Row],[DistanceFromHome]]&lt;=10,"6 to 10",IF(HR_Data[[#This Row],[DistanceFromHome]]&lt;=20,"11 to 20","21 to 29")))</f>
        <v>11 to 20</v>
      </c>
      <c r="AR921" s="1">
        <f>IF(HR_Data[[#This Row],[DistanceFromHome]]&lt;=5,1,IF(HR_Data[[#This Row],[DistanceFromHome]]&lt;=10,2,IF(HR_Data[[#This Row],[DistanceFromHome]]&lt;=20,3,4)))</f>
        <v>3</v>
      </c>
      <c r="AS921" s="1" t="str">
        <f>IF(HR_Data[[#This Row],[TotalWorkingYears]]&lt;=5,"0-5 Yrs",IF(HR_Data[[#This Row],[TotalWorkingYears]]&lt;=10,"6-10 Yrs",IF(HR_Data[[#This Row],[TotalWorkingYears]]&lt;=20,"11-20 Yrs","20+ Yrs")))</f>
        <v>20+ Yrs</v>
      </c>
      <c r="AT921" s="1">
        <f>IF(HR_Data[[#This Row],[TotalWorkingYears]]&lt;=5,1,IF(HR_Data[[#This Row],[TotalWorkingYears]]&lt;=10,2,IF(HR_Data[[#This Row],[TotalWorkingYears]]&lt;=20,3,4)))</f>
        <v>4</v>
      </c>
    </row>
    <row r="922" spans="1:46" x14ac:dyDescent="0.25">
      <c r="A922">
        <v>34</v>
      </c>
      <c r="B922" t="s">
        <v>36</v>
      </c>
      <c r="C922" t="s">
        <v>37</v>
      </c>
      <c r="D922" t="s">
        <v>38</v>
      </c>
      <c r="E922">
        <v>19</v>
      </c>
      <c r="F922">
        <v>3</v>
      </c>
      <c r="G922" t="s">
        <v>44</v>
      </c>
      <c r="H922">
        <v>1285</v>
      </c>
      <c r="I922">
        <v>3</v>
      </c>
      <c r="J922" t="s">
        <v>33</v>
      </c>
      <c r="K922">
        <v>3</v>
      </c>
      <c r="L922">
        <v>2</v>
      </c>
      <c r="M922" t="s">
        <v>43</v>
      </c>
      <c r="N922">
        <v>2</v>
      </c>
      <c r="O922" t="s">
        <v>45</v>
      </c>
      <c r="P922">
        <v>4444</v>
      </c>
      <c r="Q922">
        <v>4</v>
      </c>
      <c r="R922" t="s">
        <v>36</v>
      </c>
      <c r="S922">
        <v>13</v>
      </c>
      <c r="T922">
        <v>3</v>
      </c>
      <c r="U922">
        <v>3</v>
      </c>
      <c r="V922">
        <v>2</v>
      </c>
      <c r="W922">
        <v>15</v>
      </c>
      <c r="X922">
        <v>2</v>
      </c>
      <c r="Y922">
        <v>4</v>
      </c>
      <c r="Z922">
        <v>11</v>
      </c>
      <c r="AA922">
        <v>8</v>
      </c>
      <c r="AB922">
        <v>5</v>
      </c>
      <c r="AC922">
        <v>10</v>
      </c>
      <c r="AD922">
        <f>IF(HR_Data[[#This Row],[Attrition]]="Yes",1,0)</f>
        <v>0</v>
      </c>
      <c r="AE922" t="str">
        <f>IF(HR_Data[[#This Row],[Age]]&lt;=25,"18-25",IF(HR_Data[[#This Row],[Age]]&lt;=35,"26-35",IF(HR_Data[[#This Row],[Age]]&lt;=45,"36-45",IF(HR_Data[[#This Row],[Age]]&lt;=55,"46-55","55+"))))</f>
        <v>26-35</v>
      </c>
      <c r="AF922">
        <f>IF(HR_Data[[#This Row],[Age]]&lt;=25,1,IF(HR_Data[[#This Row],[Age]]&lt;=35,2,IF(HR_Data[[#This Row],[Age]]&lt;=45,3,IF(HR_Data[[#This Row],[Age]]&lt;=55,4,5))))</f>
        <v>2</v>
      </c>
      <c r="AG922" s="1" t="str">
        <f>IF(HR_Data[[#This Row],[MonthlyIncome]]&lt;3000,"&lt;3K",IF(HR_Data[[#This Row],[MonthlyIncome]]&lt;6000,"3K-6K",IF(HR_Data[[#This Row],[MonthlyIncome]]&lt;10000,"6K-10K","10K+")))</f>
        <v>3K-6K</v>
      </c>
      <c r="AH922" s="1">
        <f>IF(HR_Data[[#This Row],[MonthlyIncome]]&lt;3000,1,IF(HR_Data[[#This Row],[MonthlyIncome]]&lt;6000,2,IF(HR_Data[[#This Row],[MonthlyIncome]]&lt;10000,3,4)))</f>
        <v>2</v>
      </c>
      <c r="AI922" s="1" t="str">
        <f>IF(HR_Data[[#This Row],[YearsAtCompany]]&lt;=2,"0-2 Yrs",IF(HR_Data[[#This Row],[YearsAtCompany]]&lt;=5,"3-5 Yrs",IF(HR_Data[[#This Row],[YearsAtCompany]]&lt;=10,"6-10 Yrs","10+ Yrs")))</f>
        <v>10+ Yrs</v>
      </c>
      <c r="AJ922" s="1">
        <f>IF(HR_Data[[#This Row],[YearsAtCompany]]&lt;=2,1,IF(HR_Data[[#This Row],[YearsAtCompany]]&lt;=5,2,IF(HR_Data[[#This Row],[YearsAtCompany]]&lt;=10,3,4)))</f>
        <v>4</v>
      </c>
      <c r="AK922" s="1" t="str">
        <f>CHOOSE(HR_Data[[#This Row],[Education]],"Below College","College","Bachelor","Master","Doctor")</f>
        <v>Bachelor</v>
      </c>
      <c r="AL922" s="1" t="str">
        <f>CHOOSE(HR_Data[[#This Row],[JobSatisfaction]],"Low","Medium","High","Very High")</f>
        <v>Medium</v>
      </c>
      <c r="AM922" s="1" t="str">
        <f>CHOOSE(HR_Data[[#This Row],[EnvironmentSatisfaction]],"Low","Medium","High","Very High")</f>
        <v>High</v>
      </c>
      <c r="AN922" s="1" t="str">
        <f>CHOOSE(HR_Data[[#This Row],[WorkLifeBalance]],"Bad","Good","Better","Best")</f>
        <v>Best</v>
      </c>
      <c r="AO922" s="1" t="str">
        <f>IF(HR_Data[[#This Row],[PercentSalaryHike]]&lt;=13,"11-13%",IF(HR_Data[[#This Row],[PercentSalaryHike]]&lt;=16,"14-16%",IF(HR_Data[[#This Row],[PercentSalaryHike]]&lt;=19,"17-19%","20-25%")))</f>
        <v>11-13%</v>
      </c>
      <c r="AP922" s="1">
        <f>IF(HR_Data[[#This Row],[PercentSalaryHike]]&lt;=13,1,IF(HR_Data[[#This Row],[PercentSalaryHike]]&lt;=16,2,IF(HR_Data[[#This Row],[PercentSalaryHike]]&lt;=19,3,4)))</f>
        <v>1</v>
      </c>
      <c r="AQ922" s="1" t="str">
        <f>IF(HR_Data[[#This Row],[DistanceFromHome]]&lt;=5,"1 to 5",IF(HR_Data[[#This Row],[DistanceFromHome]]&lt;=10,"6 to 10",IF(HR_Data[[#This Row],[DistanceFromHome]]&lt;=20,"11 to 20","21 to 29")))</f>
        <v>11 to 20</v>
      </c>
      <c r="AR922" s="1">
        <f>IF(HR_Data[[#This Row],[DistanceFromHome]]&lt;=5,1,IF(HR_Data[[#This Row],[DistanceFromHome]]&lt;=10,2,IF(HR_Data[[#This Row],[DistanceFromHome]]&lt;=20,3,4)))</f>
        <v>3</v>
      </c>
      <c r="AS922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922" s="1">
        <f>IF(HR_Data[[#This Row],[TotalWorkingYears]]&lt;=5,1,IF(HR_Data[[#This Row],[TotalWorkingYears]]&lt;=10,2,IF(HR_Data[[#This Row],[TotalWorkingYears]]&lt;=20,3,4)))</f>
        <v>3</v>
      </c>
    </row>
    <row r="923" spans="1:46" x14ac:dyDescent="0.25">
      <c r="A923">
        <v>28</v>
      </c>
      <c r="B923" t="s">
        <v>36</v>
      </c>
      <c r="C923" t="s">
        <v>37</v>
      </c>
      <c r="D923" t="s">
        <v>38</v>
      </c>
      <c r="E923">
        <v>1</v>
      </c>
      <c r="F923">
        <v>4</v>
      </c>
      <c r="G923" t="s">
        <v>44</v>
      </c>
      <c r="H923">
        <v>1286</v>
      </c>
      <c r="I923">
        <v>4</v>
      </c>
      <c r="J923" t="s">
        <v>39</v>
      </c>
      <c r="K923">
        <v>3</v>
      </c>
      <c r="L923">
        <v>1</v>
      </c>
      <c r="M923" t="s">
        <v>43</v>
      </c>
      <c r="N923">
        <v>3</v>
      </c>
      <c r="O923" t="s">
        <v>35</v>
      </c>
      <c r="P923">
        <v>2154</v>
      </c>
      <c r="Q923">
        <v>0</v>
      </c>
      <c r="R923" t="s">
        <v>29</v>
      </c>
      <c r="S923">
        <v>11</v>
      </c>
      <c r="T923">
        <v>3</v>
      </c>
      <c r="U923">
        <v>3</v>
      </c>
      <c r="V923">
        <v>0</v>
      </c>
      <c r="W923">
        <v>5</v>
      </c>
      <c r="X923">
        <v>2</v>
      </c>
      <c r="Y923">
        <v>2</v>
      </c>
      <c r="Z923">
        <v>4</v>
      </c>
      <c r="AA923">
        <v>2</v>
      </c>
      <c r="AB923">
        <v>0</v>
      </c>
      <c r="AC923">
        <v>2</v>
      </c>
      <c r="AD923">
        <f>IF(HR_Data[[#This Row],[Attrition]]="Yes",1,0)</f>
        <v>0</v>
      </c>
      <c r="AE923" t="str">
        <f>IF(HR_Data[[#This Row],[Age]]&lt;=25,"18-25",IF(HR_Data[[#This Row],[Age]]&lt;=35,"26-35",IF(HR_Data[[#This Row],[Age]]&lt;=45,"36-45",IF(HR_Data[[#This Row],[Age]]&lt;=55,"46-55","55+"))))</f>
        <v>26-35</v>
      </c>
      <c r="AF923">
        <f>IF(HR_Data[[#This Row],[Age]]&lt;=25,1,IF(HR_Data[[#This Row],[Age]]&lt;=35,2,IF(HR_Data[[#This Row],[Age]]&lt;=45,3,IF(HR_Data[[#This Row],[Age]]&lt;=55,4,5))))</f>
        <v>2</v>
      </c>
      <c r="AG923" s="1" t="str">
        <f>IF(HR_Data[[#This Row],[MonthlyIncome]]&lt;3000,"&lt;3K",IF(HR_Data[[#This Row],[MonthlyIncome]]&lt;6000,"3K-6K",IF(HR_Data[[#This Row],[MonthlyIncome]]&lt;10000,"6K-10K","10K+")))</f>
        <v>&lt;3K</v>
      </c>
      <c r="AH923" s="1">
        <f>IF(HR_Data[[#This Row],[MonthlyIncome]]&lt;3000,1,IF(HR_Data[[#This Row],[MonthlyIncome]]&lt;6000,2,IF(HR_Data[[#This Row],[MonthlyIncome]]&lt;10000,3,4)))</f>
        <v>1</v>
      </c>
      <c r="AI923" s="1" t="str">
        <f>IF(HR_Data[[#This Row],[YearsAtCompany]]&lt;=2,"0-2 Yrs",IF(HR_Data[[#This Row],[YearsAtCompany]]&lt;=5,"3-5 Yrs",IF(HR_Data[[#This Row],[YearsAtCompany]]&lt;=10,"6-10 Yrs","10+ Yrs")))</f>
        <v>3-5 Yrs</v>
      </c>
      <c r="AJ923" s="1">
        <f>IF(HR_Data[[#This Row],[YearsAtCompany]]&lt;=2,1,IF(HR_Data[[#This Row],[YearsAtCompany]]&lt;=5,2,IF(HR_Data[[#This Row],[YearsAtCompany]]&lt;=10,3,4)))</f>
        <v>2</v>
      </c>
      <c r="AK923" s="1" t="str">
        <f>CHOOSE(HR_Data[[#This Row],[Education]],"Below College","College","Bachelor","Master","Doctor")</f>
        <v>Master</v>
      </c>
      <c r="AL923" s="1" t="str">
        <f>CHOOSE(HR_Data[[#This Row],[JobSatisfaction]],"Low","Medium","High","Very High")</f>
        <v>High</v>
      </c>
      <c r="AM923" s="1" t="str">
        <f>CHOOSE(HR_Data[[#This Row],[EnvironmentSatisfaction]],"Low","Medium","High","Very High")</f>
        <v>Very High</v>
      </c>
      <c r="AN923" s="1" t="str">
        <f>CHOOSE(HR_Data[[#This Row],[WorkLifeBalance]],"Bad","Good","Better","Best")</f>
        <v>Good</v>
      </c>
      <c r="AO923" s="1" t="str">
        <f>IF(HR_Data[[#This Row],[PercentSalaryHike]]&lt;=13,"11-13%",IF(HR_Data[[#This Row],[PercentSalaryHike]]&lt;=16,"14-16%",IF(HR_Data[[#This Row],[PercentSalaryHike]]&lt;=19,"17-19%","20-25%")))</f>
        <v>11-13%</v>
      </c>
      <c r="AP923" s="1">
        <f>IF(HR_Data[[#This Row],[PercentSalaryHike]]&lt;=13,1,IF(HR_Data[[#This Row],[PercentSalaryHike]]&lt;=16,2,IF(HR_Data[[#This Row],[PercentSalaryHike]]&lt;=19,3,4)))</f>
        <v>1</v>
      </c>
      <c r="AQ923" s="1" t="str">
        <f>IF(HR_Data[[#This Row],[DistanceFromHome]]&lt;=5,"1 to 5",IF(HR_Data[[#This Row],[DistanceFromHome]]&lt;=10,"6 to 10",IF(HR_Data[[#This Row],[DistanceFromHome]]&lt;=20,"11 to 20","21 to 29")))</f>
        <v>1 to 5</v>
      </c>
      <c r="AR923" s="1">
        <f>IF(HR_Data[[#This Row],[DistanceFromHome]]&lt;=5,1,IF(HR_Data[[#This Row],[DistanceFromHome]]&lt;=10,2,IF(HR_Data[[#This Row],[DistanceFromHome]]&lt;=20,3,4)))</f>
        <v>1</v>
      </c>
      <c r="AS923" s="1" t="str">
        <f>IF(HR_Data[[#This Row],[TotalWorkingYears]]&lt;=5,"0-5 Yrs",IF(HR_Data[[#This Row],[TotalWorkingYears]]&lt;=10,"6-10 Yrs",IF(HR_Data[[#This Row],[TotalWorkingYears]]&lt;=20,"11-20 Yrs","20+ Yrs")))</f>
        <v>0-5 Yrs</v>
      </c>
      <c r="AT923" s="1">
        <f>IF(HR_Data[[#This Row],[TotalWorkingYears]]&lt;=5,1,IF(HR_Data[[#This Row],[TotalWorkingYears]]&lt;=10,2,IF(HR_Data[[#This Row],[TotalWorkingYears]]&lt;=20,3,4)))</f>
        <v>1</v>
      </c>
    </row>
    <row r="924" spans="1:46" x14ac:dyDescent="0.25">
      <c r="A924">
        <v>44</v>
      </c>
      <c r="B924" t="s">
        <v>36</v>
      </c>
      <c r="C924" t="s">
        <v>30</v>
      </c>
      <c r="D924" t="s">
        <v>38</v>
      </c>
      <c r="E924">
        <v>4</v>
      </c>
      <c r="F924">
        <v>2</v>
      </c>
      <c r="G924" t="s">
        <v>32</v>
      </c>
      <c r="H924">
        <v>1288</v>
      </c>
      <c r="I924">
        <v>3</v>
      </c>
      <c r="J924" t="s">
        <v>39</v>
      </c>
      <c r="K924">
        <v>4</v>
      </c>
      <c r="L924">
        <v>5</v>
      </c>
      <c r="M924" t="s">
        <v>49</v>
      </c>
      <c r="N924">
        <v>1</v>
      </c>
      <c r="O924" t="s">
        <v>45</v>
      </c>
      <c r="P924">
        <v>19190</v>
      </c>
      <c r="Q924">
        <v>1</v>
      </c>
      <c r="R924" t="s">
        <v>36</v>
      </c>
      <c r="S924">
        <v>14</v>
      </c>
      <c r="T924">
        <v>3</v>
      </c>
      <c r="U924">
        <v>4</v>
      </c>
      <c r="V924">
        <v>2</v>
      </c>
      <c r="W924">
        <v>26</v>
      </c>
      <c r="X924">
        <v>4</v>
      </c>
      <c r="Y924">
        <v>2</v>
      </c>
      <c r="Z924">
        <v>25</v>
      </c>
      <c r="AA924">
        <v>9</v>
      </c>
      <c r="AB924">
        <v>14</v>
      </c>
      <c r="AC924">
        <v>13</v>
      </c>
      <c r="AD924">
        <f>IF(HR_Data[[#This Row],[Attrition]]="Yes",1,0)</f>
        <v>0</v>
      </c>
      <c r="AE924" t="str">
        <f>IF(HR_Data[[#This Row],[Age]]&lt;=25,"18-25",IF(HR_Data[[#This Row],[Age]]&lt;=35,"26-35",IF(HR_Data[[#This Row],[Age]]&lt;=45,"36-45",IF(HR_Data[[#This Row],[Age]]&lt;=55,"46-55","55+"))))</f>
        <v>36-45</v>
      </c>
      <c r="AF924">
        <f>IF(HR_Data[[#This Row],[Age]]&lt;=25,1,IF(HR_Data[[#This Row],[Age]]&lt;=35,2,IF(HR_Data[[#This Row],[Age]]&lt;=45,3,IF(HR_Data[[#This Row],[Age]]&lt;=55,4,5))))</f>
        <v>3</v>
      </c>
      <c r="AG924" s="1" t="str">
        <f>IF(HR_Data[[#This Row],[MonthlyIncome]]&lt;3000,"&lt;3K",IF(HR_Data[[#This Row],[MonthlyIncome]]&lt;6000,"3K-6K",IF(HR_Data[[#This Row],[MonthlyIncome]]&lt;10000,"6K-10K","10K+")))</f>
        <v>10K+</v>
      </c>
      <c r="AH924" s="1">
        <f>IF(HR_Data[[#This Row],[MonthlyIncome]]&lt;3000,1,IF(HR_Data[[#This Row],[MonthlyIncome]]&lt;6000,2,IF(HR_Data[[#This Row],[MonthlyIncome]]&lt;10000,3,4)))</f>
        <v>4</v>
      </c>
      <c r="AI924" s="1" t="str">
        <f>IF(HR_Data[[#This Row],[YearsAtCompany]]&lt;=2,"0-2 Yrs",IF(HR_Data[[#This Row],[YearsAtCompany]]&lt;=5,"3-5 Yrs",IF(HR_Data[[#This Row],[YearsAtCompany]]&lt;=10,"6-10 Yrs","10+ Yrs")))</f>
        <v>10+ Yrs</v>
      </c>
      <c r="AJ924" s="1">
        <f>IF(HR_Data[[#This Row],[YearsAtCompany]]&lt;=2,1,IF(HR_Data[[#This Row],[YearsAtCompany]]&lt;=5,2,IF(HR_Data[[#This Row],[YearsAtCompany]]&lt;=10,3,4)))</f>
        <v>4</v>
      </c>
      <c r="AK924" s="1" t="str">
        <f>CHOOSE(HR_Data[[#This Row],[Education]],"Below College","College","Bachelor","Master","Doctor")</f>
        <v>College</v>
      </c>
      <c r="AL924" s="1" t="str">
        <f>CHOOSE(HR_Data[[#This Row],[JobSatisfaction]],"Low","Medium","High","Very High")</f>
        <v>Low</v>
      </c>
      <c r="AM924" s="1" t="str">
        <f>CHOOSE(HR_Data[[#This Row],[EnvironmentSatisfaction]],"Low","Medium","High","Very High")</f>
        <v>High</v>
      </c>
      <c r="AN924" s="1" t="str">
        <f>CHOOSE(HR_Data[[#This Row],[WorkLifeBalance]],"Bad","Good","Better","Best")</f>
        <v>Good</v>
      </c>
      <c r="AO924" s="1" t="str">
        <f>IF(HR_Data[[#This Row],[PercentSalaryHike]]&lt;=13,"11-13%",IF(HR_Data[[#This Row],[PercentSalaryHike]]&lt;=16,"14-16%",IF(HR_Data[[#This Row],[PercentSalaryHike]]&lt;=19,"17-19%","20-25%")))</f>
        <v>14-16%</v>
      </c>
      <c r="AP924" s="1">
        <f>IF(HR_Data[[#This Row],[PercentSalaryHike]]&lt;=13,1,IF(HR_Data[[#This Row],[PercentSalaryHike]]&lt;=16,2,IF(HR_Data[[#This Row],[PercentSalaryHike]]&lt;=19,3,4)))</f>
        <v>2</v>
      </c>
      <c r="AQ924" s="1" t="str">
        <f>IF(HR_Data[[#This Row],[DistanceFromHome]]&lt;=5,"1 to 5",IF(HR_Data[[#This Row],[DistanceFromHome]]&lt;=10,"6 to 10",IF(HR_Data[[#This Row],[DistanceFromHome]]&lt;=20,"11 to 20","21 to 29")))</f>
        <v>1 to 5</v>
      </c>
      <c r="AR924" s="1">
        <f>IF(HR_Data[[#This Row],[DistanceFromHome]]&lt;=5,1,IF(HR_Data[[#This Row],[DistanceFromHome]]&lt;=10,2,IF(HR_Data[[#This Row],[DistanceFromHome]]&lt;=20,3,4)))</f>
        <v>1</v>
      </c>
      <c r="AS924" s="1" t="str">
        <f>IF(HR_Data[[#This Row],[TotalWorkingYears]]&lt;=5,"0-5 Yrs",IF(HR_Data[[#This Row],[TotalWorkingYears]]&lt;=10,"6-10 Yrs",IF(HR_Data[[#This Row],[TotalWorkingYears]]&lt;=20,"11-20 Yrs","20+ Yrs")))</f>
        <v>20+ Yrs</v>
      </c>
      <c r="AT924" s="1">
        <f>IF(HR_Data[[#This Row],[TotalWorkingYears]]&lt;=5,1,IF(HR_Data[[#This Row],[TotalWorkingYears]]&lt;=10,2,IF(HR_Data[[#This Row],[TotalWorkingYears]]&lt;=20,3,4)))</f>
        <v>4</v>
      </c>
    </row>
    <row r="925" spans="1:46" x14ac:dyDescent="0.25">
      <c r="A925">
        <v>34</v>
      </c>
      <c r="B925" t="s">
        <v>36</v>
      </c>
      <c r="C925" t="s">
        <v>37</v>
      </c>
      <c r="D925" t="s">
        <v>54</v>
      </c>
      <c r="E925">
        <v>11</v>
      </c>
      <c r="F925">
        <v>3</v>
      </c>
      <c r="G925" t="s">
        <v>32</v>
      </c>
      <c r="H925">
        <v>1289</v>
      </c>
      <c r="I925">
        <v>3</v>
      </c>
      <c r="J925" t="s">
        <v>39</v>
      </c>
      <c r="K925">
        <v>2</v>
      </c>
      <c r="L925">
        <v>2</v>
      </c>
      <c r="M925" t="s">
        <v>54</v>
      </c>
      <c r="N925">
        <v>2</v>
      </c>
      <c r="O925" t="s">
        <v>41</v>
      </c>
      <c r="P925">
        <v>4490</v>
      </c>
      <c r="Q925">
        <v>4</v>
      </c>
      <c r="R925" t="s">
        <v>36</v>
      </c>
      <c r="S925">
        <v>11</v>
      </c>
      <c r="T925">
        <v>3</v>
      </c>
      <c r="U925">
        <v>4</v>
      </c>
      <c r="V925">
        <v>2</v>
      </c>
      <c r="W925">
        <v>14</v>
      </c>
      <c r="X925">
        <v>5</v>
      </c>
      <c r="Y925">
        <v>4</v>
      </c>
      <c r="Z925">
        <v>10</v>
      </c>
      <c r="AA925">
        <v>9</v>
      </c>
      <c r="AB925">
        <v>1</v>
      </c>
      <c r="AC925">
        <v>8</v>
      </c>
      <c r="AD925">
        <f>IF(HR_Data[[#This Row],[Attrition]]="Yes",1,0)</f>
        <v>0</v>
      </c>
      <c r="AE925" t="str">
        <f>IF(HR_Data[[#This Row],[Age]]&lt;=25,"18-25",IF(HR_Data[[#This Row],[Age]]&lt;=35,"26-35",IF(HR_Data[[#This Row],[Age]]&lt;=45,"36-45",IF(HR_Data[[#This Row],[Age]]&lt;=55,"46-55","55+"))))</f>
        <v>26-35</v>
      </c>
      <c r="AF925">
        <f>IF(HR_Data[[#This Row],[Age]]&lt;=25,1,IF(HR_Data[[#This Row],[Age]]&lt;=35,2,IF(HR_Data[[#This Row],[Age]]&lt;=45,3,IF(HR_Data[[#This Row],[Age]]&lt;=55,4,5))))</f>
        <v>2</v>
      </c>
      <c r="AG925" s="1" t="str">
        <f>IF(HR_Data[[#This Row],[MonthlyIncome]]&lt;3000,"&lt;3K",IF(HR_Data[[#This Row],[MonthlyIncome]]&lt;6000,"3K-6K",IF(HR_Data[[#This Row],[MonthlyIncome]]&lt;10000,"6K-10K","10K+")))</f>
        <v>3K-6K</v>
      </c>
      <c r="AH925" s="1">
        <f>IF(HR_Data[[#This Row],[MonthlyIncome]]&lt;3000,1,IF(HR_Data[[#This Row],[MonthlyIncome]]&lt;6000,2,IF(HR_Data[[#This Row],[MonthlyIncome]]&lt;10000,3,4)))</f>
        <v>2</v>
      </c>
      <c r="AI925" s="1" t="str">
        <f>IF(HR_Data[[#This Row],[YearsAtCompany]]&lt;=2,"0-2 Yrs",IF(HR_Data[[#This Row],[YearsAtCompany]]&lt;=5,"3-5 Yrs",IF(HR_Data[[#This Row],[YearsAtCompany]]&lt;=10,"6-10 Yrs","10+ Yrs")))</f>
        <v>6-10 Yrs</v>
      </c>
      <c r="AJ925" s="1">
        <f>IF(HR_Data[[#This Row],[YearsAtCompany]]&lt;=2,1,IF(HR_Data[[#This Row],[YearsAtCompany]]&lt;=5,2,IF(HR_Data[[#This Row],[YearsAtCompany]]&lt;=10,3,4)))</f>
        <v>3</v>
      </c>
      <c r="AK925" s="1" t="str">
        <f>CHOOSE(HR_Data[[#This Row],[Education]],"Below College","College","Bachelor","Master","Doctor")</f>
        <v>Bachelor</v>
      </c>
      <c r="AL925" s="1" t="str">
        <f>CHOOSE(HR_Data[[#This Row],[JobSatisfaction]],"Low","Medium","High","Very High")</f>
        <v>Medium</v>
      </c>
      <c r="AM925" s="1" t="str">
        <f>CHOOSE(HR_Data[[#This Row],[EnvironmentSatisfaction]],"Low","Medium","High","Very High")</f>
        <v>High</v>
      </c>
      <c r="AN925" s="1" t="str">
        <f>CHOOSE(HR_Data[[#This Row],[WorkLifeBalance]],"Bad","Good","Better","Best")</f>
        <v>Best</v>
      </c>
      <c r="AO925" s="1" t="str">
        <f>IF(HR_Data[[#This Row],[PercentSalaryHike]]&lt;=13,"11-13%",IF(HR_Data[[#This Row],[PercentSalaryHike]]&lt;=16,"14-16%",IF(HR_Data[[#This Row],[PercentSalaryHike]]&lt;=19,"17-19%","20-25%")))</f>
        <v>11-13%</v>
      </c>
      <c r="AP925" s="1">
        <f>IF(HR_Data[[#This Row],[PercentSalaryHike]]&lt;=13,1,IF(HR_Data[[#This Row],[PercentSalaryHike]]&lt;=16,2,IF(HR_Data[[#This Row],[PercentSalaryHike]]&lt;=19,3,4)))</f>
        <v>1</v>
      </c>
      <c r="AQ925" s="1" t="str">
        <f>IF(HR_Data[[#This Row],[DistanceFromHome]]&lt;=5,"1 to 5",IF(HR_Data[[#This Row],[DistanceFromHome]]&lt;=10,"6 to 10",IF(HR_Data[[#This Row],[DistanceFromHome]]&lt;=20,"11 to 20","21 to 29")))</f>
        <v>11 to 20</v>
      </c>
      <c r="AR925" s="1">
        <f>IF(HR_Data[[#This Row],[DistanceFromHome]]&lt;=5,1,IF(HR_Data[[#This Row],[DistanceFromHome]]&lt;=10,2,IF(HR_Data[[#This Row],[DistanceFromHome]]&lt;=20,3,4)))</f>
        <v>3</v>
      </c>
      <c r="AS925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925" s="1">
        <f>IF(HR_Data[[#This Row],[TotalWorkingYears]]&lt;=5,1,IF(HR_Data[[#This Row],[TotalWorkingYears]]&lt;=10,2,IF(HR_Data[[#This Row],[TotalWorkingYears]]&lt;=20,3,4)))</f>
        <v>3</v>
      </c>
    </row>
    <row r="926" spans="1:46" x14ac:dyDescent="0.25">
      <c r="A926">
        <v>35</v>
      </c>
      <c r="B926" t="s">
        <v>36</v>
      </c>
      <c r="C926" t="s">
        <v>30</v>
      </c>
      <c r="D926" t="s">
        <v>38</v>
      </c>
      <c r="E926">
        <v>6</v>
      </c>
      <c r="F926">
        <v>1</v>
      </c>
      <c r="G926" t="s">
        <v>32</v>
      </c>
      <c r="H926">
        <v>1291</v>
      </c>
      <c r="I926">
        <v>3</v>
      </c>
      <c r="J926" t="s">
        <v>39</v>
      </c>
      <c r="K926">
        <v>3</v>
      </c>
      <c r="L926">
        <v>1</v>
      </c>
      <c r="M926" t="s">
        <v>40</v>
      </c>
      <c r="N926">
        <v>3</v>
      </c>
      <c r="O926" t="s">
        <v>41</v>
      </c>
      <c r="P926">
        <v>3506</v>
      </c>
      <c r="Q926">
        <v>0</v>
      </c>
      <c r="R926" t="s">
        <v>29</v>
      </c>
      <c r="S926">
        <v>14</v>
      </c>
      <c r="T926">
        <v>3</v>
      </c>
      <c r="U926">
        <v>4</v>
      </c>
      <c r="V926">
        <v>0</v>
      </c>
      <c r="W926">
        <v>4</v>
      </c>
      <c r="X926">
        <v>3</v>
      </c>
      <c r="Y926">
        <v>3</v>
      </c>
      <c r="Z926">
        <v>3</v>
      </c>
      <c r="AA926">
        <v>2</v>
      </c>
      <c r="AB926">
        <v>2</v>
      </c>
      <c r="AC926">
        <v>2</v>
      </c>
      <c r="AD926">
        <f>IF(HR_Data[[#This Row],[Attrition]]="Yes",1,0)</f>
        <v>0</v>
      </c>
      <c r="AE926" t="str">
        <f>IF(HR_Data[[#This Row],[Age]]&lt;=25,"18-25",IF(HR_Data[[#This Row],[Age]]&lt;=35,"26-35",IF(HR_Data[[#This Row],[Age]]&lt;=45,"36-45",IF(HR_Data[[#This Row],[Age]]&lt;=55,"46-55","55+"))))</f>
        <v>26-35</v>
      </c>
      <c r="AF926">
        <f>IF(HR_Data[[#This Row],[Age]]&lt;=25,1,IF(HR_Data[[#This Row],[Age]]&lt;=35,2,IF(HR_Data[[#This Row],[Age]]&lt;=45,3,IF(HR_Data[[#This Row],[Age]]&lt;=55,4,5))))</f>
        <v>2</v>
      </c>
      <c r="AG926" s="1" t="str">
        <f>IF(HR_Data[[#This Row],[MonthlyIncome]]&lt;3000,"&lt;3K",IF(HR_Data[[#This Row],[MonthlyIncome]]&lt;6000,"3K-6K",IF(HR_Data[[#This Row],[MonthlyIncome]]&lt;10000,"6K-10K","10K+")))</f>
        <v>3K-6K</v>
      </c>
      <c r="AH926" s="1">
        <f>IF(HR_Data[[#This Row],[MonthlyIncome]]&lt;3000,1,IF(HR_Data[[#This Row],[MonthlyIncome]]&lt;6000,2,IF(HR_Data[[#This Row],[MonthlyIncome]]&lt;10000,3,4)))</f>
        <v>2</v>
      </c>
      <c r="AI926" s="1" t="str">
        <f>IF(HR_Data[[#This Row],[YearsAtCompany]]&lt;=2,"0-2 Yrs",IF(HR_Data[[#This Row],[YearsAtCompany]]&lt;=5,"3-5 Yrs",IF(HR_Data[[#This Row],[YearsAtCompany]]&lt;=10,"6-10 Yrs","10+ Yrs")))</f>
        <v>3-5 Yrs</v>
      </c>
      <c r="AJ926" s="1">
        <f>IF(HR_Data[[#This Row],[YearsAtCompany]]&lt;=2,1,IF(HR_Data[[#This Row],[YearsAtCompany]]&lt;=5,2,IF(HR_Data[[#This Row],[YearsAtCompany]]&lt;=10,3,4)))</f>
        <v>2</v>
      </c>
      <c r="AK926" s="1" t="str">
        <f>CHOOSE(HR_Data[[#This Row],[Education]],"Below College","College","Bachelor","Master","Doctor")</f>
        <v>Below College</v>
      </c>
      <c r="AL926" s="1" t="str">
        <f>CHOOSE(HR_Data[[#This Row],[JobSatisfaction]],"Low","Medium","High","Very High")</f>
        <v>High</v>
      </c>
      <c r="AM926" s="1" t="str">
        <f>CHOOSE(HR_Data[[#This Row],[EnvironmentSatisfaction]],"Low","Medium","High","Very High")</f>
        <v>High</v>
      </c>
      <c r="AN926" s="1" t="str">
        <f>CHOOSE(HR_Data[[#This Row],[WorkLifeBalance]],"Bad","Good","Better","Best")</f>
        <v>Better</v>
      </c>
      <c r="AO926" s="1" t="str">
        <f>IF(HR_Data[[#This Row],[PercentSalaryHike]]&lt;=13,"11-13%",IF(HR_Data[[#This Row],[PercentSalaryHike]]&lt;=16,"14-16%",IF(HR_Data[[#This Row],[PercentSalaryHike]]&lt;=19,"17-19%","20-25%")))</f>
        <v>14-16%</v>
      </c>
      <c r="AP926" s="1">
        <f>IF(HR_Data[[#This Row],[PercentSalaryHike]]&lt;=13,1,IF(HR_Data[[#This Row],[PercentSalaryHike]]&lt;=16,2,IF(HR_Data[[#This Row],[PercentSalaryHike]]&lt;=19,3,4)))</f>
        <v>2</v>
      </c>
      <c r="AQ926" s="1" t="str">
        <f>IF(HR_Data[[#This Row],[DistanceFromHome]]&lt;=5,"1 to 5",IF(HR_Data[[#This Row],[DistanceFromHome]]&lt;=10,"6 to 10",IF(HR_Data[[#This Row],[DistanceFromHome]]&lt;=20,"11 to 20","21 to 29")))</f>
        <v>6 to 10</v>
      </c>
      <c r="AR926" s="1">
        <f>IF(HR_Data[[#This Row],[DistanceFromHome]]&lt;=5,1,IF(HR_Data[[#This Row],[DistanceFromHome]]&lt;=10,2,IF(HR_Data[[#This Row],[DistanceFromHome]]&lt;=20,3,4)))</f>
        <v>2</v>
      </c>
      <c r="AS926" s="1" t="str">
        <f>IF(HR_Data[[#This Row],[TotalWorkingYears]]&lt;=5,"0-5 Yrs",IF(HR_Data[[#This Row],[TotalWorkingYears]]&lt;=10,"6-10 Yrs",IF(HR_Data[[#This Row],[TotalWorkingYears]]&lt;=20,"11-20 Yrs","20+ Yrs")))</f>
        <v>0-5 Yrs</v>
      </c>
      <c r="AT926" s="1">
        <f>IF(HR_Data[[#This Row],[TotalWorkingYears]]&lt;=5,1,IF(HR_Data[[#This Row],[TotalWorkingYears]]&lt;=10,2,IF(HR_Data[[#This Row],[TotalWorkingYears]]&lt;=20,3,4)))</f>
        <v>1</v>
      </c>
    </row>
    <row r="927" spans="1:46" x14ac:dyDescent="0.25">
      <c r="A927">
        <v>42</v>
      </c>
      <c r="B927" t="s">
        <v>36</v>
      </c>
      <c r="C927" t="s">
        <v>30</v>
      </c>
      <c r="D927" t="s">
        <v>38</v>
      </c>
      <c r="E927">
        <v>7</v>
      </c>
      <c r="F927">
        <v>4</v>
      </c>
      <c r="G927" t="s">
        <v>44</v>
      </c>
      <c r="H927">
        <v>1292</v>
      </c>
      <c r="I927">
        <v>2</v>
      </c>
      <c r="J927" t="s">
        <v>33</v>
      </c>
      <c r="K927">
        <v>4</v>
      </c>
      <c r="L927">
        <v>2</v>
      </c>
      <c r="M927" t="s">
        <v>40</v>
      </c>
      <c r="N927">
        <v>2</v>
      </c>
      <c r="O927" t="s">
        <v>41</v>
      </c>
      <c r="P927">
        <v>2372</v>
      </c>
      <c r="Q927">
        <v>6</v>
      </c>
      <c r="R927" t="s">
        <v>29</v>
      </c>
      <c r="S927">
        <v>16</v>
      </c>
      <c r="T927">
        <v>3</v>
      </c>
      <c r="U927">
        <v>4</v>
      </c>
      <c r="V927">
        <v>0</v>
      </c>
      <c r="W927">
        <v>18</v>
      </c>
      <c r="X927">
        <v>2</v>
      </c>
      <c r="Y927">
        <v>3</v>
      </c>
      <c r="Z927">
        <v>1</v>
      </c>
      <c r="AA927">
        <v>0</v>
      </c>
      <c r="AB927">
        <v>0</v>
      </c>
      <c r="AC927">
        <v>0</v>
      </c>
      <c r="AD927">
        <f>IF(HR_Data[[#This Row],[Attrition]]="Yes",1,0)</f>
        <v>0</v>
      </c>
      <c r="AE927" t="str">
        <f>IF(HR_Data[[#This Row],[Age]]&lt;=25,"18-25",IF(HR_Data[[#This Row],[Age]]&lt;=35,"26-35",IF(HR_Data[[#This Row],[Age]]&lt;=45,"36-45",IF(HR_Data[[#This Row],[Age]]&lt;=55,"46-55","55+"))))</f>
        <v>36-45</v>
      </c>
      <c r="AF927">
        <f>IF(HR_Data[[#This Row],[Age]]&lt;=25,1,IF(HR_Data[[#This Row],[Age]]&lt;=35,2,IF(HR_Data[[#This Row],[Age]]&lt;=45,3,IF(HR_Data[[#This Row],[Age]]&lt;=55,4,5))))</f>
        <v>3</v>
      </c>
      <c r="AG927" s="1" t="str">
        <f>IF(HR_Data[[#This Row],[MonthlyIncome]]&lt;3000,"&lt;3K",IF(HR_Data[[#This Row],[MonthlyIncome]]&lt;6000,"3K-6K",IF(HR_Data[[#This Row],[MonthlyIncome]]&lt;10000,"6K-10K","10K+")))</f>
        <v>&lt;3K</v>
      </c>
      <c r="AH927" s="1">
        <f>IF(HR_Data[[#This Row],[MonthlyIncome]]&lt;3000,1,IF(HR_Data[[#This Row],[MonthlyIncome]]&lt;6000,2,IF(HR_Data[[#This Row],[MonthlyIncome]]&lt;10000,3,4)))</f>
        <v>1</v>
      </c>
      <c r="AI927" s="1" t="str">
        <f>IF(HR_Data[[#This Row],[YearsAtCompany]]&lt;=2,"0-2 Yrs",IF(HR_Data[[#This Row],[YearsAtCompany]]&lt;=5,"3-5 Yrs",IF(HR_Data[[#This Row],[YearsAtCompany]]&lt;=10,"6-10 Yrs","10+ Yrs")))</f>
        <v>0-2 Yrs</v>
      </c>
      <c r="AJ927" s="1">
        <f>IF(HR_Data[[#This Row],[YearsAtCompany]]&lt;=2,1,IF(HR_Data[[#This Row],[YearsAtCompany]]&lt;=5,2,IF(HR_Data[[#This Row],[YearsAtCompany]]&lt;=10,3,4)))</f>
        <v>1</v>
      </c>
      <c r="AK927" s="1" t="str">
        <f>CHOOSE(HR_Data[[#This Row],[Education]],"Below College","College","Bachelor","Master","Doctor")</f>
        <v>Master</v>
      </c>
      <c r="AL927" s="1" t="str">
        <f>CHOOSE(HR_Data[[#This Row],[JobSatisfaction]],"Low","Medium","High","Very High")</f>
        <v>Medium</v>
      </c>
      <c r="AM927" s="1" t="str">
        <f>CHOOSE(HR_Data[[#This Row],[EnvironmentSatisfaction]],"Low","Medium","High","Very High")</f>
        <v>Medium</v>
      </c>
      <c r="AN927" s="1" t="str">
        <f>CHOOSE(HR_Data[[#This Row],[WorkLifeBalance]],"Bad","Good","Better","Best")</f>
        <v>Better</v>
      </c>
      <c r="AO927" s="1" t="str">
        <f>IF(HR_Data[[#This Row],[PercentSalaryHike]]&lt;=13,"11-13%",IF(HR_Data[[#This Row],[PercentSalaryHike]]&lt;=16,"14-16%",IF(HR_Data[[#This Row],[PercentSalaryHike]]&lt;=19,"17-19%","20-25%")))</f>
        <v>14-16%</v>
      </c>
      <c r="AP927" s="1">
        <f>IF(HR_Data[[#This Row],[PercentSalaryHike]]&lt;=13,1,IF(HR_Data[[#This Row],[PercentSalaryHike]]&lt;=16,2,IF(HR_Data[[#This Row],[PercentSalaryHike]]&lt;=19,3,4)))</f>
        <v>2</v>
      </c>
      <c r="AQ927" s="1" t="str">
        <f>IF(HR_Data[[#This Row],[DistanceFromHome]]&lt;=5,"1 to 5",IF(HR_Data[[#This Row],[DistanceFromHome]]&lt;=10,"6 to 10",IF(HR_Data[[#This Row],[DistanceFromHome]]&lt;=20,"11 to 20","21 to 29")))</f>
        <v>6 to 10</v>
      </c>
      <c r="AR927" s="1">
        <f>IF(HR_Data[[#This Row],[DistanceFromHome]]&lt;=5,1,IF(HR_Data[[#This Row],[DistanceFromHome]]&lt;=10,2,IF(HR_Data[[#This Row],[DistanceFromHome]]&lt;=20,3,4)))</f>
        <v>2</v>
      </c>
      <c r="AS927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927" s="1">
        <f>IF(HR_Data[[#This Row],[TotalWorkingYears]]&lt;=5,1,IF(HR_Data[[#This Row],[TotalWorkingYears]]&lt;=10,2,IF(HR_Data[[#This Row],[TotalWorkingYears]]&lt;=20,3,4)))</f>
        <v>3</v>
      </c>
    </row>
    <row r="928" spans="1:46" x14ac:dyDescent="0.25">
      <c r="A928">
        <v>43</v>
      </c>
      <c r="B928" t="s">
        <v>36</v>
      </c>
      <c r="C928" t="s">
        <v>30</v>
      </c>
      <c r="D928" t="s">
        <v>31</v>
      </c>
      <c r="E928">
        <v>4</v>
      </c>
      <c r="F928">
        <v>4</v>
      </c>
      <c r="G928" t="s">
        <v>52</v>
      </c>
      <c r="H928">
        <v>1293</v>
      </c>
      <c r="I928">
        <v>4</v>
      </c>
      <c r="J928" t="s">
        <v>33</v>
      </c>
      <c r="K928">
        <v>2</v>
      </c>
      <c r="L928">
        <v>3</v>
      </c>
      <c r="M928" t="s">
        <v>34</v>
      </c>
      <c r="N928">
        <v>4</v>
      </c>
      <c r="O928" t="s">
        <v>35</v>
      </c>
      <c r="P928">
        <v>10231</v>
      </c>
      <c r="Q928">
        <v>3</v>
      </c>
      <c r="R928" t="s">
        <v>36</v>
      </c>
      <c r="S928">
        <v>14</v>
      </c>
      <c r="T928">
        <v>3</v>
      </c>
      <c r="U928">
        <v>4</v>
      </c>
      <c r="V928">
        <v>0</v>
      </c>
      <c r="W928">
        <v>23</v>
      </c>
      <c r="X928">
        <v>3</v>
      </c>
      <c r="Y928">
        <v>4</v>
      </c>
      <c r="Z928">
        <v>21</v>
      </c>
      <c r="AA928">
        <v>7</v>
      </c>
      <c r="AB928">
        <v>15</v>
      </c>
      <c r="AC928">
        <v>17</v>
      </c>
      <c r="AD928">
        <f>IF(HR_Data[[#This Row],[Attrition]]="Yes",1,0)</f>
        <v>0</v>
      </c>
      <c r="AE928" t="str">
        <f>IF(HR_Data[[#This Row],[Age]]&lt;=25,"18-25",IF(HR_Data[[#This Row],[Age]]&lt;=35,"26-35",IF(HR_Data[[#This Row],[Age]]&lt;=45,"36-45",IF(HR_Data[[#This Row],[Age]]&lt;=55,"46-55","55+"))))</f>
        <v>36-45</v>
      </c>
      <c r="AF928">
        <f>IF(HR_Data[[#This Row],[Age]]&lt;=25,1,IF(HR_Data[[#This Row],[Age]]&lt;=35,2,IF(HR_Data[[#This Row],[Age]]&lt;=45,3,IF(HR_Data[[#This Row],[Age]]&lt;=55,4,5))))</f>
        <v>3</v>
      </c>
      <c r="AG928" s="1" t="str">
        <f>IF(HR_Data[[#This Row],[MonthlyIncome]]&lt;3000,"&lt;3K",IF(HR_Data[[#This Row],[MonthlyIncome]]&lt;6000,"3K-6K",IF(HR_Data[[#This Row],[MonthlyIncome]]&lt;10000,"6K-10K","10K+")))</f>
        <v>10K+</v>
      </c>
      <c r="AH928" s="1">
        <f>IF(HR_Data[[#This Row],[MonthlyIncome]]&lt;3000,1,IF(HR_Data[[#This Row],[MonthlyIncome]]&lt;6000,2,IF(HR_Data[[#This Row],[MonthlyIncome]]&lt;10000,3,4)))</f>
        <v>4</v>
      </c>
      <c r="AI928" s="1" t="str">
        <f>IF(HR_Data[[#This Row],[YearsAtCompany]]&lt;=2,"0-2 Yrs",IF(HR_Data[[#This Row],[YearsAtCompany]]&lt;=5,"3-5 Yrs",IF(HR_Data[[#This Row],[YearsAtCompany]]&lt;=10,"6-10 Yrs","10+ Yrs")))</f>
        <v>10+ Yrs</v>
      </c>
      <c r="AJ928" s="1">
        <f>IF(HR_Data[[#This Row],[YearsAtCompany]]&lt;=2,1,IF(HR_Data[[#This Row],[YearsAtCompany]]&lt;=5,2,IF(HR_Data[[#This Row],[YearsAtCompany]]&lt;=10,3,4)))</f>
        <v>4</v>
      </c>
      <c r="AK928" s="1" t="str">
        <f>CHOOSE(HR_Data[[#This Row],[Education]],"Below College","College","Bachelor","Master","Doctor")</f>
        <v>Master</v>
      </c>
      <c r="AL928" s="1" t="str">
        <f>CHOOSE(HR_Data[[#This Row],[JobSatisfaction]],"Low","Medium","High","Very High")</f>
        <v>Very High</v>
      </c>
      <c r="AM928" s="1" t="str">
        <f>CHOOSE(HR_Data[[#This Row],[EnvironmentSatisfaction]],"Low","Medium","High","Very High")</f>
        <v>Very High</v>
      </c>
      <c r="AN928" s="1" t="str">
        <f>CHOOSE(HR_Data[[#This Row],[WorkLifeBalance]],"Bad","Good","Better","Best")</f>
        <v>Best</v>
      </c>
      <c r="AO928" s="1" t="str">
        <f>IF(HR_Data[[#This Row],[PercentSalaryHike]]&lt;=13,"11-13%",IF(HR_Data[[#This Row],[PercentSalaryHike]]&lt;=16,"14-16%",IF(HR_Data[[#This Row],[PercentSalaryHike]]&lt;=19,"17-19%","20-25%")))</f>
        <v>14-16%</v>
      </c>
      <c r="AP928" s="1">
        <f>IF(HR_Data[[#This Row],[PercentSalaryHike]]&lt;=13,1,IF(HR_Data[[#This Row],[PercentSalaryHike]]&lt;=16,2,IF(HR_Data[[#This Row],[PercentSalaryHike]]&lt;=19,3,4)))</f>
        <v>2</v>
      </c>
      <c r="AQ928" s="1" t="str">
        <f>IF(HR_Data[[#This Row],[DistanceFromHome]]&lt;=5,"1 to 5",IF(HR_Data[[#This Row],[DistanceFromHome]]&lt;=10,"6 to 10",IF(HR_Data[[#This Row],[DistanceFromHome]]&lt;=20,"11 to 20","21 to 29")))</f>
        <v>1 to 5</v>
      </c>
      <c r="AR928" s="1">
        <f>IF(HR_Data[[#This Row],[DistanceFromHome]]&lt;=5,1,IF(HR_Data[[#This Row],[DistanceFromHome]]&lt;=10,2,IF(HR_Data[[#This Row],[DistanceFromHome]]&lt;=20,3,4)))</f>
        <v>1</v>
      </c>
      <c r="AS928" s="1" t="str">
        <f>IF(HR_Data[[#This Row],[TotalWorkingYears]]&lt;=5,"0-5 Yrs",IF(HR_Data[[#This Row],[TotalWorkingYears]]&lt;=10,"6-10 Yrs",IF(HR_Data[[#This Row],[TotalWorkingYears]]&lt;=20,"11-20 Yrs","20+ Yrs")))</f>
        <v>20+ Yrs</v>
      </c>
      <c r="AT928" s="1">
        <f>IF(HR_Data[[#This Row],[TotalWorkingYears]]&lt;=5,1,IF(HR_Data[[#This Row],[TotalWorkingYears]]&lt;=10,2,IF(HR_Data[[#This Row],[TotalWorkingYears]]&lt;=20,3,4)))</f>
        <v>4</v>
      </c>
    </row>
    <row r="929" spans="1:46" x14ac:dyDescent="0.25">
      <c r="A929">
        <v>36</v>
      </c>
      <c r="B929" t="s">
        <v>36</v>
      </c>
      <c r="C929" t="s">
        <v>30</v>
      </c>
      <c r="D929" t="s">
        <v>38</v>
      </c>
      <c r="E929">
        <v>2</v>
      </c>
      <c r="F929">
        <v>4</v>
      </c>
      <c r="G929" t="s">
        <v>32</v>
      </c>
      <c r="H929">
        <v>1294</v>
      </c>
      <c r="I929">
        <v>3</v>
      </c>
      <c r="J929" t="s">
        <v>33</v>
      </c>
      <c r="K929">
        <v>3</v>
      </c>
      <c r="L929">
        <v>2</v>
      </c>
      <c r="M929" t="s">
        <v>46</v>
      </c>
      <c r="N929">
        <v>2</v>
      </c>
      <c r="O929" t="s">
        <v>35</v>
      </c>
      <c r="P929">
        <v>5410</v>
      </c>
      <c r="Q929">
        <v>9</v>
      </c>
      <c r="R929" t="s">
        <v>29</v>
      </c>
      <c r="S929">
        <v>11</v>
      </c>
      <c r="T929">
        <v>3</v>
      </c>
      <c r="U929">
        <v>4</v>
      </c>
      <c r="V929">
        <v>0</v>
      </c>
      <c r="W929">
        <v>18</v>
      </c>
      <c r="X929">
        <v>2</v>
      </c>
      <c r="Y929">
        <v>3</v>
      </c>
      <c r="Z929">
        <v>16</v>
      </c>
      <c r="AA929">
        <v>14</v>
      </c>
      <c r="AB929">
        <v>5</v>
      </c>
      <c r="AC929">
        <v>12</v>
      </c>
      <c r="AD929">
        <f>IF(HR_Data[[#This Row],[Attrition]]="Yes",1,0)</f>
        <v>0</v>
      </c>
      <c r="AE929" t="str">
        <f>IF(HR_Data[[#This Row],[Age]]&lt;=25,"18-25",IF(HR_Data[[#This Row],[Age]]&lt;=35,"26-35",IF(HR_Data[[#This Row],[Age]]&lt;=45,"36-45",IF(HR_Data[[#This Row],[Age]]&lt;=55,"46-55","55+"))))</f>
        <v>36-45</v>
      </c>
      <c r="AF929">
        <f>IF(HR_Data[[#This Row],[Age]]&lt;=25,1,IF(HR_Data[[#This Row],[Age]]&lt;=35,2,IF(HR_Data[[#This Row],[Age]]&lt;=45,3,IF(HR_Data[[#This Row],[Age]]&lt;=55,4,5))))</f>
        <v>3</v>
      </c>
      <c r="AG929" s="1" t="str">
        <f>IF(HR_Data[[#This Row],[MonthlyIncome]]&lt;3000,"&lt;3K",IF(HR_Data[[#This Row],[MonthlyIncome]]&lt;6000,"3K-6K",IF(HR_Data[[#This Row],[MonthlyIncome]]&lt;10000,"6K-10K","10K+")))</f>
        <v>3K-6K</v>
      </c>
      <c r="AH929" s="1">
        <f>IF(HR_Data[[#This Row],[MonthlyIncome]]&lt;3000,1,IF(HR_Data[[#This Row],[MonthlyIncome]]&lt;6000,2,IF(HR_Data[[#This Row],[MonthlyIncome]]&lt;10000,3,4)))</f>
        <v>2</v>
      </c>
      <c r="AI929" s="1" t="str">
        <f>IF(HR_Data[[#This Row],[YearsAtCompany]]&lt;=2,"0-2 Yrs",IF(HR_Data[[#This Row],[YearsAtCompany]]&lt;=5,"3-5 Yrs",IF(HR_Data[[#This Row],[YearsAtCompany]]&lt;=10,"6-10 Yrs","10+ Yrs")))</f>
        <v>10+ Yrs</v>
      </c>
      <c r="AJ929" s="1">
        <f>IF(HR_Data[[#This Row],[YearsAtCompany]]&lt;=2,1,IF(HR_Data[[#This Row],[YearsAtCompany]]&lt;=5,2,IF(HR_Data[[#This Row],[YearsAtCompany]]&lt;=10,3,4)))</f>
        <v>4</v>
      </c>
      <c r="AK929" s="1" t="str">
        <f>CHOOSE(HR_Data[[#This Row],[Education]],"Below College","College","Bachelor","Master","Doctor")</f>
        <v>Master</v>
      </c>
      <c r="AL929" s="1" t="str">
        <f>CHOOSE(HR_Data[[#This Row],[JobSatisfaction]],"Low","Medium","High","Very High")</f>
        <v>Medium</v>
      </c>
      <c r="AM929" s="1" t="str">
        <f>CHOOSE(HR_Data[[#This Row],[EnvironmentSatisfaction]],"Low","Medium","High","Very High")</f>
        <v>High</v>
      </c>
      <c r="AN929" s="1" t="str">
        <f>CHOOSE(HR_Data[[#This Row],[WorkLifeBalance]],"Bad","Good","Better","Best")</f>
        <v>Better</v>
      </c>
      <c r="AO929" s="1" t="str">
        <f>IF(HR_Data[[#This Row],[PercentSalaryHike]]&lt;=13,"11-13%",IF(HR_Data[[#This Row],[PercentSalaryHike]]&lt;=16,"14-16%",IF(HR_Data[[#This Row],[PercentSalaryHike]]&lt;=19,"17-19%","20-25%")))</f>
        <v>11-13%</v>
      </c>
      <c r="AP929" s="1">
        <f>IF(HR_Data[[#This Row],[PercentSalaryHike]]&lt;=13,1,IF(HR_Data[[#This Row],[PercentSalaryHike]]&lt;=16,2,IF(HR_Data[[#This Row],[PercentSalaryHike]]&lt;=19,3,4)))</f>
        <v>1</v>
      </c>
      <c r="AQ929" s="1" t="str">
        <f>IF(HR_Data[[#This Row],[DistanceFromHome]]&lt;=5,"1 to 5",IF(HR_Data[[#This Row],[DistanceFromHome]]&lt;=10,"6 to 10",IF(HR_Data[[#This Row],[DistanceFromHome]]&lt;=20,"11 to 20","21 to 29")))</f>
        <v>1 to 5</v>
      </c>
      <c r="AR929" s="1">
        <f>IF(HR_Data[[#This Row],[DistanceFromHome]]&lt;=5,1,IF(HR_Data[[#This Row],[DistanceFromHome]]&lt;=10,2,IF(HR_Data[[#This Row],[DistanceFromHome]]&lt;=20,3,4)))</f>
        <v>1</v>
      </c>
      <c r="AS929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929" s="1">
        <f>IF(HR_Data[[#This Row],[TotalWorkingYears]]&lt;=5,1,IF(HR_Data[[#This Row],[TotalWorkingYears]]&lt;=10,2,IF(HR_Data[[#This Row],[TotalWorkingYears]]&lt;=20,3,4)))</f>
        <v>3</v>
      </c>
    </row>
    <row r="930" spans="1:46" x14ac:dyDescent="0.25">
      <c r="A930">
        <v>44</v>
      </c>
      <c r="B930" t="s">
        <v>29</v>
      </c>
      <c r="C930" t="s">
        <v>30</v>
      </c>
      <c r="D930" t="s">
        <v>38</v>
      </c>
      <c r="E930">
        <v>15</v>
      </c>
      <c r="F930">
        <v>3</v>
      </c>
      <c r="G930" t="s">
        <v>44</v>
      </c>
      <c r="H930">
        <v>1295</v>
      </c>
      <c r="I930">
        <v>1</v>
      </c>
      <c r="J930" t="s">
        <v>33</v>
      </c>
      <c r="K930">
        <v>3</v>
      </c>
      <c r="L930">
        <v>3</v>
      </c>
      <c r="M930" t="s">
        <v>47</v>
      </c>
      <c r="N930">
        <v>4</v>
      </c>
      <c r="O930" t="s">
        <v>41</v>
      </c>
      <c r="P930">
        <v>7978</v>
      </c>
      <c r="Q930">
        <v>1</v>
      </c>
      <c r="R930" t="s">
        <v>36</v>
      </c>
      <c r="S930">
        <v>11</v>
      </c>
      <c r="T930">
        <v>3</v>
      </c>
      <c r="U930">
        <v>4</v>
      </c>
      <c r="V930">
        <v>1</v>
      </c>
      <c r="W930">
        <v>10</v>
      </c>
      <c r="X930">
        <v>2</v>
      </c>
      <c r="Y930">
        <v>3</v>
      </c>
      <c r="Z930">
        <v>10</v>
      </c>
      <c r="AA930">
        <v>7</v>
      </c>
      <c r="AB930">
        <v>0</v>
      </c>
      <c r="AC930">
        <v>5</v>
      </c>
      <c r="AD930">
        <f>IF(HR_Data[[#This Row],[Attrition]]="Yes",1,0)</f>
        <v>1</v>
      </c>
      <c r="AE930" t="str">
        <f>IF(HR_Data[[#This Row],[Age]]&lt;=25,"18-25",IF(HR_Data[[#This Row],[Age]]&lt;=35,"26-35",IF(HR_Data[[#This Row],[Age]]&lt;=45,"36-45",IF(HR_Data[[#This Row],[Age]]&lt;=55,"46-55","55+"))))</f>
        <v>36-45</v>
      </c>
      <c r="AF930">
        <f>IF(HR_Data[[#This Row],[Age]]&lt;=25,1,IF(HR_Data[[#This Row],[Age]]&lt;=35,2,IF(HR_Data[[#This Row],[Age]]&lt;=45,3,IF(HR_Data[[#This Row],[Age]]&lt;=55,4,5))))</f>
        <v>3</v>
      </c>
      <c r="AG930" s="1" t="str">
        <f>IF(HR_Data[[#This Row],[MonthlyIncome]]&lt;3000,"&lt;3K",IF(HR_Data[[#This Row],[MonthlyIncome]]&lt;6000,"3K-6K",IF(HR_Data[[#This Row],[MonthlyIncome]]&lt;10000,"6K-10K","10K+")))</f>
        <v>6K-10K</v>
      </c>
      <c r="AH930" s="1">
        <f>IF(HR_Data[[#This Row],[MonthlyIncome]]&lt;3000,1,IF(HR_Data[[#This Row],[MonthlyIncome]]&lt;6000,2,IF(HR_Data[[#This Row],[MonthlyIncome]]&lt;10000,3,4)))</f>
        <v>3</v>
      </c>
      <c r="AI930" s="1" t="str">
        <f>IF(HR_Data[[#This Row],[YearsAtCompany]]&lt;=2,"0-2 Yrs",IF(HR_Data[[#This Row],[YearsAtCompany]]&lt;=5,"3-5 Yrs",IF(HR_Data[[#This Row],[YearsAtCompany]]&lt;=10,"6-10 Yrs","10+ Yrs")))</f>
        <v>6-10 Yrs</v>
      </c>
      <c r="AJ930" s="1">
        <f>IF(HR_Data[[#This Row],[YearsAtCompany]]&lt;=2,1,IF(HR_Data[[#This Row],[YearsAtCompany]]&lt;=5,2,IF(HR_Data[[#This Row],[YearsAtCompany]]&lt;=10,3,4)))</f>
        <v>3</v>
      </c>
      <c r="AK930" s="1" t="str">
        <f>CHOOSE(HR_Data[[#This Row],[Education]],"Below College","College","Bachelor","Master","Doctor")</f>
        <v>Bachelor</v>
      </c>
      <c r="AL930" s="1" t="str">
        <f>CHOOSE(HR_Data[[#This Row],[JobSatisfaction]],"Low","Medium","High","Very High")</f>
        <v>Very High</v>
      </c>
      <c r="AM930" s="1" t="str">
        <f>CHOOSE(HR_Data[[#This Row],[EnvironmentSatisfaction]],"Low","Medium","High","Very High")</f>
        <v>Low</v>
      </c>
      <c r="AN930" s="1" t="str">
        <f>CHOOSE(HR_Data[[#This Row],[WorkLifeBalance]],"Bad","Good","Better","Best")</f>
        <v>Better</v>
      </c>
      <c r="AO930" s="1" t="str">
        <f>IF(HR_Data[[#This Row],[PercentSalaryHike]]&lt;=13,"11-13%",IF(HR_Data[[#This Row],[PercentSalaryHike]]&lt;=16,"14-16%",IF(HR_Data[[#This Row],[PercentSalaryHike]]&lt;=19,"17-19%","20-25%")))</f>
        <v>11-13%</v>
      </c>
      <c r="AP930" s="1">
        <f>IF(HR_Data[[#This Row],[PercentSalaryHike]]&lt;=13,1,IF(HR_Data[[#This Row],[PercentSalaryHike]]&lt;=16,2,IF(HR_Data[[#This Row],[PercentSalaryHike]]&lt;=19,3,4)))</f>
        <v>1</v>
      </c>
      <c r="AQ930" s="1" t="str">
        <f>IF(HR_Data[[#This Row],[DistanceFromHome]]&lt;=5,"1 to 5",IF(HR_Data[[#This Row],[DistanceFromHome]]&lt;=10,"6 to 10",IF(HR_Data[[#This Row],[DistanceFromHome]]&lt;=20,"11 to 20","21 to 29")))</f>
        <v>11 to 20</v>
      </c>
      <c r="AR930" s="1">
        <f>IF(HR_Data[[#This Row],[DistanceFromHome]]&lt;=5,1,IF(HR_Data[[#This Row],[DistanceFromHome]]&lt;=10,2,IF(HR_Data[[#This Row],[DistanceFromHome]]&lt;=20,3,4)))</f>
        <v>3</v>
      </c>
      <c r="AS930" s="1" t="str">
        <f>IF(HR_Data[[#This Row],[TotalWorkingYears]]&lt;=5,"0-5 Yrs",IF(HR_Data[[#This Row],[TotalWorkingYears]]&lt;=10,"6-10 Yrs",IF(HR_Data[[#This Row],[TotalWorkingYears]]&lt;=20,"11-20 Yrs","20+ Yrs")))</f>
        <v>6-10 Yrs</v>
      </c>
      <c r="AT930" s="1">
        <f>IF(HR_Data[[#This Row],[TotalWorkingYears]]&lt;=5,1,IF(HR_Data[[#This Row],[TotalWorkingYears]]&lt;=10,2,IF(HR_Data[[#This Row],[TotalWorkingYears]]&lt;=20,3,4)))</f>
        <v>2</v>
      </c>
    </row>
    <row r="931" spans="1:46" x14ac:dyDescent="0.25">
      <c r="A931">
        <v>28</v>
      </c>
      <c r="B931" t="s">
        <v>36</v>
      </c>
      <c r="C931" t="s">
        <v>37</v>
      </c>
      <c r="D931" t="s">
        <v>38</v>
      </c>
      <c r="E931">
        <v>2</v>
      </c>
      <c r="F931">
        <v>3</v>
      </c>
      <c r="G931" t="s">
        <v>32</v>
      </c>
      <c r="H931">
        <v>1296</v>
      </c>
      <c r="I931">
        <v>4</v>
      </c>
      <c r="J931" t="s">
        <v>39</v>
      </c>
      <c r="K931">
        <v>2</v>
      </c>
      <c r="L931">
        <v>1</v>
      </c>
      <c r="M931" t="s">
        <v>43</v>
      </c>
      <c r="N931">
        <v>4</v>
      </c>
      <c r="O931" t="s">
        <v>41</v>
      </c>
      <c r="P931">
        <v>3867</v>
      </c>
      <c r="Q931">
        <v>1</v>
      </c>
      <c r="R931" t="s">
        <v>29</v>
      </c>
      <c r="S931">
        <v>12</v>
      </c>
      <c r="T931">
        <v>3</v>
      </c>
      <c r="U931">
        <v>2</v>
      </c>
      <c r="V931">
        <v>1</v>
      </c>
      <c r="W931">
        <v>2</v>
      </c>
      <c r="X931">
        <v>2</v>
      </c>
      <c r="Y931">
        <v>3</v>
      </c>
      <c r="Z931">
        <v>2</v>
      </c>
      <c r="AA931">
        <v>2</v>
      </c>
      <c r="AB931">
        <v>2</v>
      </c>
      <c r="AC931">
        <v>2</v>
      </c>
      <c r="AD931">
        <f>IF(HR_Data[[#This Row],[Attrition]]="Yes",1,0)</f>
        <v>0</v>
      </c>
      <c r="AE931" t="str">
        <f>IF(HR_Data[[#This Row],[Age]]&lt;=25,"18-25",IF(HR_Data[[#This Row],[Age]]&lt;=35,"26-35",IF(HR_Data[[#This Row],[Age]]&lt;=45,"36-45",IF(HR_Data[[#This Row],[Age]]&lt;=55,"46-55","55+"))))</f>
        <v>26-35</v>
      </c>
      <c r="AF931">
        <f>IF(HR_Data[[#This Row],[Age]]&lt;=25,1,IF(HR_Data[[#This Row],[Age]]&lt;=35,2,IF(HR_Data[[#This Row],[Age]]&lt;=45,3,IF(HR_Data[[#This Row],[Age]]&lt;=55,4,5))))</f>
        <v>2</v>
      </c>
      <c r="AG931" s="1" t="str">
        <f>IF(HR_Data[[#This Row],[MonthlyIncome]]&lt;3000,"&lt;3K",IF(HR_Data[[#This Row],[MonthlyIncome]]&lt;6000,"3K-6K",IF(HR_Data[[#This Row],[MonthlyIncome]]&lt;10000,"6K-10K","10K+")))</f>
        <v>3K-6K</v>
      </c>
      <c r="AH931" s="1">
        <f>IF(HR_Data[[#This Row],[MonthlyIncome]]&lt;3000,1,IF(HR_Data[[#This Row],[MonthlyIncome]]&lt;6000,2,IF(HR_Data[[#This Row],[MonthlyIncome]]&lt;10000,3,4)))</f>
        <v>2</v>
      </c>
      <c r="AI931" s="1" t="str">
        <f>IF(HR_Data[[#This Row],[YearsAtCompany]]&lt;=2,"0-2 Yrs",IF(HR_Data[[#This Row],[YearsAtCompany]]&lt;=5,"3-5 Yrs",IF(HR_Data[[#This Row],[YearsAtCompany]]&lt;=10,"6-10 Yrs","10+ Yrs")))</f>
        <v>0-2 Yrs</v>
      </c>
      <c r="AJ931" s="1">
        <f>IF(HR_Data[[#This Row],[YearsAtCompany]]&lt;=2,1,IF(HR_Data[[#This Row],[YearsAtCompany]]&lt;=5,2,IF(HR_Data[[#This Row],[YearsAtCompany]]&lt;=10,3,4)))</f>
        <v>1</v>
      </c>
      <c r="AK931" s="1" t="str">
        <f>CHOOSE(HR_Data[[#This Row],[Education]],"Below College","College","Bachelor","Master","Doctor")</f>
        <v>Bachelor</v>
      </c>
      <c r="AL931" s="1" t="str">
        <f>CHOOSE(HR_Data[[#This Row],[JobSatisfaction]],"Low","Medium","High","Very High")</f>
        <v>Very High</v>
      </c>
      <c r="AM931" s="1" t="str">
        <f>CHOOSE(HR_Data[[#This Row],[EnvironmentSatisfaction]],"Low","Medium","High","Very High")</f>
        <v>Very High</v>
      </c>
      <c r="AN931" s="1" t="str">
        <f>CHOOSE(HR_Data[[#This Row],[WorkLifeBalance]],"Bad","Good","Better","Best")</f>
        <v>Better</v>
      </c>
      <c r="AO931" s="1" t="str">
        <f>IF(HR_Data[[#This Row],[PercentSalaryHike]]&lt;=13,"11-13%",IF(HR_Data[[#This Row],[PercentSalaryHike]]&lt;=16,"14-16%",IF(HR_Data[[#This Row],[PercentSalaryHike]]&lt;=19,"17-19%","20-25%")))</f>
        <v>11-13%</v>
      </c>
      <c r="AP931" s="1">
        <f>IF(HR_Data[[#This Row],[PercentSalaryHike]]&lt;=13,1,IF(HR_Data[[#This Row],[PercentSalaryHike]]&lt;=16,2,IF(HR_Data[[#This Row],[PercentSalaryHike]]&lt;=19,3,4)))</f>
        <v>1</v>
      </c>
      <c r="AQ931" s="1" t="str">
        <f>IF(HR_Data[[#This Row],[DistanceFromHome]]&lt;=5,"1 to 5",IF(HR_Data[[#This Row],[DistanceFromHome]]&lt;=10,"6 to 10",IF(HR_Data[[#This Row],[DistanceFromHome]]&lt;=20,"11 to 20","21 to 29")))</f>
        <v>1 to 5</v>
      </c>
      <c r="AR931" s="1">
        <f>IF(HR_Data[[#This Row],[DistanceFromHome]]&lt;=5,1,IF(HR_Data[[#This Row],[DistanceFromHome]]&lt;=10,2,IF(HR_Data[[#This Row],[DistanceFromHome]]&lt;=20,3,4)))</f>
        <v>1</v>
      </c>
      <c r="AS931" s="1" t="str">
        <f>IF(HR_Data[[#This Row],[TotalWorkingYears]]&lt;=5,"0-5 Yrs",IF(HR_Data[[#This Row],[TotalWorkingYears]]&lt;=10,"6-10 Yrs",IF(HR_Data[[#This Row],[TotalWorkingYears]]&lt;=20,"11-20 Yrs","20+ Yrs")))</f>
        <v>0-5 Yrs</v>
      </c>
      <c r="AT931" s="1">
        <f>IF(HR_Data[[#This Row],[TotalWorkingYears]]&lt;=5,1,IF(HR_Data[[#This Row],[TotalWorkingYears]]&lt;=10,2,IF(HR_Data[[#This Row],[TotalWorkingYears]]&lt;=20,3,4)))</f>
        <v>1</v>
      </c>
    </row>
    <row r="932" spans="1:46" x14ac:dyDescent="0.25">
      <c r="A932">
        <v>51</v>
      </c>
      <c r="B932" t="s">
        <v>36</v>
      </c>
      <c r="C932" t="s">
        <v>37</v>
      </c>
      <c r="D932" t="s">
        <v>38</v>
      </c>
      <c r="E932">
        <v>6</v>
      </c>
      <c r="F932">
        <v>2</v>
      </c>
      <c r="G932" t="s">
        <v>44</v>
      </c>
      <c r="H932">
        <v>1297</v>
      </c>
      <c r="I932">
        <v>2</v>
      </c>
      <c r="J932" t="s">
        <v>33</v>
      </c>
      <c r="K932">
        <v>2</v>
      </c>
      <c r="L932">
        <v>1</v>
      </c>
      <c r="M932" t="s">
        <v>43</v>
      </c>
      <c r="N932">
        <v>3</v>
      </c>
      <c r="O932" t="s">
        <v>35</v>
      </c>
      <c r="P932">
        <v>2838</v>
      </c>
      <c r="Q932">
        <v>0</v>
      </c>
      <c r="R932" t="s">
        <v>36</v>
      </c>
      <c r="S932">
        <v>14</v>
      </c>
      <c r="T932">
        <v>3</v>
      </c>
      <c r="U932">
        <v>2</v>
      </c>
      <c r="V932">
        <v>0</v>
      </c>
      <c r="W932">
        <v>8</v>
      </c>
      <c r="X932">
        <v>6</v>
      </c>
      <c r="Y932">
        <v>2</v>
      </c>
      <c r="Z932">
        <v>7</v>
      </c>
      <c r="AA932">
        <v>0</v>
      </c>
      <c r="AB932">
        <v>7</v>
      </c>
      <c r="AC932">
        <v>7</v>
      </c>
      <c r="AD932">
        <f>IF(HR_Data[[#This Row],[Attrition]]="Yes",1,0)</f>
        <v>0</v>
      </c>
      <c r="AE932" t="str">
        <f>IF(HR_Data[[#This Row],[Age]]&lt;=25,"18-25",IF(HR_Data[[#This Row],[Age]]&lt;=35,"26-35",IF(HR_Data[[#This Row],[Age]]&lt;=45,"36-45",IF(HR_Data[[#This Row],[Age]]&lt;=55,"46-55","55+"))))</f>
        <v>46-55</v>
      </c>
      <c r="AF932">
        <f>IF(HR_Data[[#This Row],[Age]]&lt;=25,1,IF(HR_Data[[#This Row],[Age]]&lt;=35,2,IF(HR_Data[[#This Row],[Age]]&lt;=45,3,IF(HR_Data[[#This Row],[Age]]&lt;=55,4,5))))</f>
        <v>4</v>
      </c>
      <c r="AG932" s="1" t="str">
        <f>IF(HR_Data[[#This Row],[MonthlyIncome]]&lt;3000,"&lt;3K",IF(HR_Data[[#This Row],[MonthlyIncome]]&lt;6000,"3K-6K",IF(HR_Data[[#This Row],[MonthlyIncome]]&lt;10000,"6K-10K","10K+")))</f>
        <v>&lt;3K</v>
      </c>
      <c r="AH932" s="1">
        <f>IF(HR_Data[[#This Row],[MonthlyIncome]]&lt;3000,1,IF(HR_Data[[#This Row],[MonthlyIncome]]&lt;6000,2,IF(HR_Data[[#This Row],[MonthlyIncome]]&lt;10000,3,4)))</f>
        <v>1</v>
      </c>
      <c r="AI932" s="1" t="str">
        <f>IF(HR_Data[[#This Row],[YearsAtCompany]]&lt;=2,"0-2 Yrs",IF(HR_Data[[#This Row],[YearsAtCompany]]&lt;=5,"3-5 Yrs",IF(HR_Data[[#This Row],[YearsAtCompany]]&lt;=10,"6-10 Yrs","10+ Yrs")))</f>
        <v>6-10 Yrs</v>
      </c>
      <c r="AJ932" s="1">
        <f>IF(HR_Data[[#This Row],[YearsAtCompany]]&lt;=2,1,IF(HR_Data[[#This Row],[YearsAtCompany]]&lt;=5,2,IF(HR_Data[[#This Row],[YearsAtCompany]]&lt;=10,3,4)))</f>
        <v>3</v>
      </c>
      <c r="AK932" s="1" t="str">
        <f>CHOOSE(HR_Data[[#This Row],[Education]],"Below College","College","Bachelor","Master","Doctor")</f>
        <v>College</v>
      </c>
      <c r="AL932" s="1" t="str">
        <f>CHOOSE(HR_Data[[#This Row],[JobSatisfaction]],"Low","Medium","High","Very High")</f>
        <v>High</v>
      </c>
      <c r="AM932" s="1" t="str">
        <f>CHOOSE(HR_Data[[#This Row],[EnvironmentSatisfaction]],"Low","Medium","High","Very High")</f>
        <v>Medium</v>
      </c>
      <c r="AN932" s="1" t="str">
        <f>CHOOSE(HR_Data[[#This Row],[WorkLifeBalance]],"Bad","Good","Better","Best")</f>
        <v>Good</v>
      </c>
      <c r="AO932" s="1" t="str">
        <f>IF(HR_Data[[#This Row],[PercentSalaryHike]]&lt;=13,"11-13%",IF(HR_Data[[#This Row],[PercentSalaryHike]]&lt;=16,"14-16%",IF(HR_Data[[#This Row],[PercentSalaryHike]]&lt;=19,"17-19%","20-25%")))</f>
        <v>14-16%</v>
      </c>
      <c r="AP932" s="1">
        <f>IF(HR_Data[[#This Row],[PercentSalaryHike]]&lt;=13,1,IF(HR_Data[[#This Row],[PercentSalaryHike]]&lt;=16,2,IF(HR_Data[[#This Row],[PercentSalaryHike]]&lt;=19,3,4)))</f>
        <v>2</v>
      </c>
      <c r="AQ932" s="1" t="str">
        <f>IF(HR_Data[[#This Row],[DistanceFromHome]]&lt;=5,"1 to 5",IF(HR_Data[[#This Row],[DistanceFromHome]]&lt;=10,"6 to 10",IF(HR_Data[[#This Row],[DistanceFromHome]]&lt;=20,"11 to 20","21 to 29")))</f>
        <v>6 to 10</v>
      </c>
      <c r="AR932" s="1">
        <f>IF(HR_Data[[#This Row],[DistanceFromHome]]&lt;=5,1,IF(HR_Data[[#This Row],[DistanceFromHome]]&lt;=10,2,IF(HR_Data[[#This Row],[DistanceFromHome]]&lt;=20,3,4)))</f>
        <v>2</v>
      </c>
      <c r="AS932" s="1" t="str">
        <f>IF(HR_Data[[#This Row],[TotalWorkingYears]]&lt;=5,"0-5 Yrs",IF(HR_Data[[#This Row],[TotalWorkingYears]]&lt;=10,"6-10 Yrs",IF(HR_Data[[#This Row],[TotalWorkingYears]]&lt;=20,"11-20 Yrs","20+ Yrs")))</f>
        <v>6-10 Yrs</v>
      </c>
      <c r="AT932" s="1">
        <f>IF(HR_Data[[#This Row],[TotalWorkingYears]]&lt;=5,1,IF(HR_Data[[#This Row],[TotalWorkingYears]]&lt;=10,2,IF(HR_Data[[#This Row],[TotalWorkingYears]]&lt;=20,3,4)))</f>
        <v>2</v>
      </c>
    </row>
    <row r="933" spans="1:46" x14ac:dyDescent="0.25">
      <c r="A933">
        <v>30</v>
      </c>
      <c r="B933" t="s">
        <v>36</v>
      </c>
      <c r="C933" t="s">
        <v>48</v>
      </c>
      <c r="D933" t="s">
        <v>38</v>
      </c>
      <c r="E933">
        <v>9</v>
      </c>
      <c r="F933">
        <v>2</v>
      </c>
      <c r="G933" t="s">
        <v>44</v>
      </c>
      <c r="H933">
        <v>1298</v>
      </c>
      <c r="I933">
        <v>3</v>
      </c>
      <c r="J933" t="s">
        <v>33</v>
      </c>
      <c r="K933">
        <v>3</v>
      </c>
      <c r="L933">
        <v>2</v>
      </c>
      <c r="M933" t="s">
        <v>46</v>
      </c>
      <c r="N933">
        <v>3</v>
      </c>
      <c r="O933" t="s">
        <v>35</v>
      </c>
      <c r="P933">
        <v>4695</v>
      </c>
      <c r="Q933">
        <v>7</v>
      </c>
      <c r="R933" t="s">
        <v>29</v>
      </c>
      <c r="S933">
        <v>18</v>
      </c>
      <c r="T933">
        <v>3</v>
      </c>
      <c r="U933">
        <v>3</v>
      </c>
      <c r="V933">
        <v>0</v>
      </c>
      <c r="W933">
        <v>10</v>
      </c>
      <c r="X933">
        <v>3</v>
      </c>
      <c r="Y933">
        <v>3</v>
      </c>
      <c r="Z933">
        <v>8</v>
      </c>
      <c r="AA933">
        <v>4</v>
      </c>
      <c r="AB933">
        <v>1</v>
      </c>
      <c r="AC933">
        <v>7</v>
      </c>
      <c r="AD933">
        <f>IF(HR_Data[[#This Row],[Attrition]]="Yes",1,0)</f>
        <v>0</v>
      </c>
      <c r="AE933" t="str">
        <f>IF(HR_Data[[#This Row],[Age]]&lt;=25,"18-25",IF(HR_Data[[#This Row],[Age]]&lt;=35,"26-35",IF(HR_Data[[#This Row],[Age]]&lt;=45,"36-45",IF(HR_Data[[#This Row],[Age]]&lt;=55,"46-55","55+"))))</f>
        <v>26-35</v>
      </c>
      <c r="AF933">
        <f>IF(HR_Data[[#This Row],[Age]]&lt;=25,1,IF(HR_Data[[#This Row],[Age]]&lt;=35,2,IF(HR_Data[[#This Row],[Age]]&lt;=45,3,IF(HR_Data[[#This Row],[Age]]&lt;=55,4,5))))</f>
        <v>2</v>
      </c>
      <c r="AG933" s="1" t="str">
        <f>IF(HR_Data[[#This Row],[MonthlyIncome]]&lt;3000,"&lt;3K",IF(HR_Data[[#This Row],[MonthlyIncome]]&lt;6000,"3K-6K",IF(HR_Data[[#This Row],[MonthlyIncome]]&lt;10000,"6K-10K","10K+")))</f>
        <v>3K-6K</v>
      </c>
      <c r="AH933" s="1">
        <f>IF(HR_Data[[#This Row],[MonthlyIncome]]&lt;3000,1,IF(HR_Data[[#This Row],[MonthlyIncome]]&lt;6000,2,IF(HR_Data[[#This Row],[MonthlyIncome]]&lt;10000,3,4)))</f>
        <v>2</v>
      </c>
      <c r="AI933" s="1" t="str">
        <f>IF(HR_Data[[#This Row],[YearsAtCompany]]&lt;=2,"0-2 Yrs",IF(HR_Data[[#This Row],[YearsAtCompany]]&lt;=5,"3-5 Yrs",IF(HR_Data[[#This Row],[YearsAtCompany]]&lt;=10,"6-10 Yrs","10+ Yrs")))</f>
        <v>6-10 Yrs</v>
      </c>
      <c r="AJ933" s="1">
        <f>IF(HR_Data[[#This Row],[YearsAtCompany]]&lt;=2,1,IF(HR_Data[[#This Row],[YearsAtCompany]]&lt;=5,2,IF(HR_Data[[#This Row],[YearsAtCompany]]&lt;=10,3,4)))</f>
        <v>3</v>
      </c>
      <c r="AK933" s="1" t="str">
        <f>CHOOSE(HR_Data[[#This Row],[Education]],"Below College","College","Bachelor","Master","Doctor")</f>
        <v>College</v>
      </c>
      <c r="AL933" s="1" t="str">
        <f>CHOOSE(HR_Data[[#This Row],[JobSatisfaction]],"Low","Medium","High","Very High")</f>
        <v>High</v>
      </c>
      <c r="AM933" s="1" t="str">
        <f>CHOOSE(HR_Data[[#This Row],[EnvironmentSatisfaction]],"Low","Medium","High","Very High")</f>
        <v>High</v>
      </c>
      <c r="AN933" s="1" t="str">
        <f>CHOOSE(HR_Data[[#This Row],[WorkLifeBalance]],"Bad","Good","Better","Best")</f>
        <v>Better</v>
      </c>
      <c r="AO933" s="1" t="str">
        <f>IF(HR_Data[[#This Row],[PercentSalaryHike]]&lt;=13,"11-13%",IF(HR_Data[[#This Row],[PercentSalaryHike]]&lt;=16,"14-16%",IF(HR_Data[[#This Row],[PercentSalaryHike]]&lt;=19,"17-19%","20-25%")))</f>
        <v>17-19%</v>
      </c>
      <c r="AP933" s="1">
        <f>IF(HR_Data[[#This Row],[PercentSalaryHike]]&lt;=13,1,IF(HR_Data[[#This Row],[PercentSalaryHike]]&lt;=16,2,IF(HR_Data[[#This Row],[PercentSalaryHike]]&lt;=19,3,4)))</f>
        <v>3</v>
      </c>
      <c r="AQ933" s="1" t="str">
        <f>IF(HR_Data[[#This Row],[DistanceFromHome]]&lt;=5,"1 to 5",IF(HR_Data[[#This Row],[DistanceFromHome]]&lt;=10,"6 to 10",IF(HR_Data[[#This Row],[DistanceFromHome]]&lt;=20,"11 to 20","21 to 29")))</f>
        <v>6 to 10</v>
      </c>
      <c r="AR933" s="1">
        <f>IF(HR_Data[[#This Row],[DistanceFromHome]]&lt;=5,1,IF(HR_Data[[#This Row],[DistanceFromHome]]&lt;=10,2,IF(HR_Data[[#This Row],[DistanceFromHome]]&lt;=20,3,4)))</f>
        <v>2</v>
      </c>
      <c r="AS933" s="1" t="str">
        <f>IF(HR_Data[[#This Row],[TotalWorkingYears]]&lt;=5,"0-5 Yrs",IF(HR_Data[[#This Row],[TotalWorkingYears]]&lt;=10,"6-10 Yrs",IF(HR_Data[[#This Row],[TotalWorkingYears]]&lt;=20,"11-20 Yrs","20+ Yrs")))</f>
        <v>6-10 Yrs</v>
      </c>
      <c r="AT933" s="1">
        <f>IF(HR_Data[[#This Row],[TotalWorkingYears]]&lt;=5,1,IF(HR_Data[[#This Row],[TotalWorkingYears]]&lt;=10,2,IF(HR_Data[[#This Row],[TotalWorkingYears]]&lt;=20,3,4)))</f>
        <v>2</v>
      </c>
    </row>
    <row r="934" spans="1:46" x14ac:dyDescent="0.25">
      <c r="A934">
        <v>29</v>
      </c>
      <c r="B934" t="s">
        <v>29</v>
      </c>
      <c r="C934" t="s">
        <v>30</v>
      </c>
      <c r="D934" t="s">
        <v>38</v>
      </c>
      <c r="E934">
        <v>7</v>
      </c>
      <c r="F934">
        <v>3</v>
      </c>
      <c r="G934" t="s">
        <v>53</v>
      </c>
      <c r="H934">
        <v>1299</v>
      </c>
      <c r="I934">
        <v>2</v>
      </c>
      <c r="J934" t="s">
        <v>33</v>
      </c>
      <c r="K934">
        <v>3</v>
      </c>
      <c r="L934">
        <v>1</v>
      </c>
      <c r="M934" t="s">
        <v>43</v>
      </c>
      <c r="N934">
        <v>3</v>
      </c>
      <c r="O934" t="s">
        <v>45</v>
      </c>
      <c r="P934">
        <v>3339</v>
      </c>
      <c r="Q934">
        <v>3</v>
      </c>
      <c r="R934" t="s">
        <v>29</v>
      </c>
      <c r="S934">
        <v>13</v>
      </c>
      <c r="T934">
        <v>3</v>
      </c>
      <c r="U934">
        <v>1</v>
      </c>
      <c r="V934">
        <v>2</v>
      </c>
      <c r="W934">
        <v>10</v>
      </c>
      <c r="X934">
        <v>2</v>
      </c>
      <c r="Y934">
        <v>3</v>
      </c>
      <c r="Z934">
        <v>7</v>
      </c>
      <c r="AA934">
        <v>7</v>
      </c>
      <c r="AB934">
        <v>7</v>
      </c>
      <c r="AC934">
        <v>7</v>
      </c>
      <c r="AD934">
        <f>IF(HR_Data[[#This Row],[Attrition]]="Yes",1,0)</f>
        <v>1</v>
      </c>
      <c r="AE934" t="str">
        <f>IF(HR_Data[[#This Row],[Age]]&lt;=25,"18-25",IF(HR_Data[[#This Row],[Age]]&lt;=35,"26-35",IF(HR_Data[[#This Row],[Age]]&lt;=45,"36-45",IF(HR_Data[[#This Row],[Age]]&lt;=55,"46-55","55+"))))</f>
        <v>26-35</v>
      </c>
      <c r="AF934">
        <f>IF(HR_Data[[#This Row],[Age]]&lt;=25,1,IF(HR_Data[[#This Row],[Age]]&lt;=35,2,IF(HR_Data[[#This Row],[Age]]&lt;=45,3,IF(HR_Data[[#This Row],[Age]]&lt;=55,4,5))))</f>
        <v>2</v>
      </c>
      <c r="AG934" s="1" t="str">
        <f>IF(HR_Data[[#This Row],[MonthlyIncome]]&lt;3000,"&lt;3K",IF(HR_Data[[#This Row],[MonthlyIncome]]&lt;6000,"3K-6K",IF(HR_Data[[#This Row],[MonthlyIncome]]&lt;10000,"6K-10K","10K+")))</f>
        <v>3K-6K</v>
      </c>
      <c r="AH934" s="1">
        <f>IF(HR_Data[[#This Row],[MonthlyIncome]]&lt;3000,1,IF(HR_Data[[#This Row],[MonthlyIncome]]&lt;6000,2,IF(HR_Data[[#This Row],[MonthlyIncome]]&lt;10000,3,4)))</f>
        <v>2</v>
      </c>
      <c r="AI934" s="1" t="str">
        <f>IF(HR_Data[[#This Row],[YearsAtCompany]]&lt;=2,"0-2 Yrs",IF(HR_Data[[#This Row],[YearsAtCompany]]&lt;=5,"3-5 Yrs",IF(HR_Data[[#This Row],[YearsAtCompany]]&lt;=10,"6-10 Yrs","10+ Yrs")))</f>
        <v>6-10 Yrs</v>
      </c>
      <c r="AJ934" s="1">
        <f>IF(HR_Data[[#This Row],[YearsAtCompany]]&lt;=2,1,IF(HR_Data[[#This Row],[YearsAtCompany]]&lt;=5,2,IF(HR_Data[[#This Row],[YearsAtCompany]]&lt;=10,3,4)))</f>
        <v>3</v>
      </c>
      <c r="AK934" s="1" t="str">
        <f>CHOOSE(HR_Data[[#This Row],[Education]],"Below College","College","Bachelor","Master","Doctor")</f>
        <v>Bachelor</v>
      </c>
      <c r="AL934" s="1" t="str">
        <f>CHOOSE(HR_Data[[#This Row],[JobSatisfaction]],"Low","Medium","High","Very High")</f>
        <v>High</v>
      </c>
      <c r="AM934" s="1" t="str">
        <f>CHOOSE(HR_Data[[#This Row],[EnvironmentSatisfaction]],"Low","Medium","High","Very High")</f>
        <v>Medium</v>
      </c>
      <c r="AN934" s="1" t="str">
        <f>CHOOSE(HR_Data[[#This Row],[WorkLifeBalance]],"Bad","Good","Better","Best")</f>
        <v>Better</v>
      </c>
      <c r="AO934" s="1" t="str">
        <f>IF(HR_Data[[#This Row],[PercentSalaryHike]]&lt;=13,"11-13%",IF(HR_Data[[#This Row],[PercentSalaryHike]]&lt;=16,"14-16%",IF(HR_Data[[#This Row],[PercentSalaryHike]]&lt;=19,"17-19%","20-25%")))</f>
        <v>11-13%</v>
      </c>
      <c r="AP934" s="1">
        <f>IF(HR_Data[[#This Row],[PercentSalaryHike]]&lt;=13,1,IF(HR_Data[[#This Row],[PercentSalaryHike]]&lt;=16,2,IF(HR_Data[[#This Row],[PercentSalaryHike]]&lt;=19,3,4)))</f>
        <v>1</v>
      </c>
      <c r="AQ934" s="1" t="str">
        <f>IF(HR_Data[[#This Row],[DistanceFromHome]]&lt;=5,"1 to 5",IF(HR_Data[[#This Row],[DistanceFromHome]]&lt;=10,"6 to 10",IF(HR_Data[[#This Row],[DistanceFromHome]]&lt;=20,"11 to 20","21 to 29")))</f>
        <v>6 to 10</v>
      </c>
      <c r="AR934" s="1">
        <f>IF(HR_Data[[#This Row],[DistanceFromHome]]&lt;=5,1,IF(HR_Data[[#This Row],[DistanceFromHome]]&lt;=10,2,IF(HR_Data[[#This Row],[DistanceFromHome]]&lt;=20,3,4)))</f>
        <v>2</v>
      </c>
      <c r="AS934" s="1" t="str">
        <f>IF(HR_Data[[#This Row],[TotalWorkingYears]]&lt;=5,"0-5 Yrs",IF(HR_Data[[#This Row],[TotalWorkingYears]]&lt;=10,"6-10 Yrs",IF(HR_Data[[#This Row],[TotalWorkingYears]]&lt;=20,"11-20 Yrs","20+ Yrs")))</f>
        <v>6-10 Yrs</v>
      </c>
      <c r="AT934" s="1">
        <f>IF(HR_Data[[#This Row],[TotalWorkingYears]]&lt;=5,1,IF(HR_Data[[#This Row],[TotalWorkingYears]]&lt;=10,2,IF(HR_Data[[#This Row],[TotalWorkingYears]]&lt;=20,3,4)))</f>
        <v>2</v>
      </c>
    </row>
    <row r="935" spans="1:46" x14ac:dyDescent="0.25">
      <c r="A935">
        <v>28</v>
      </c>
      <c r="B935" t="s">
        <v>36</v>
      </c>
      <c r="C935" t="s">
        <v>30</v>
      </c>
      <c r="D935" t="s">
        <v>38</v>
      </c>
      <c r="E935">
        <v>1</v>
      </c>
      <c r="F935">
        <v>3</v>
      </c>
      <c r="G935" t="s">
        <v>53</v>
      </c>
      <c r="H935">
        <v>1301</v>
      </c>
      <c r="I935">
        <v>4</v>
      </c>
      <c r="J935" t="s">
        <v>39</v>
      </c>
      <c r="K935">
        <v>3</v>
      </c>
      <c r="L935">
        <v>1</v>
      </c>
      <c r="M935" t="s">
        <v>40</v>
      </c>
      <c r="N935">
        <v>1</v>
      </c>
      <c r="O935" t="s">
        <v>35</v>
      </c>
      <c r="P935">
        <v>2080</v>
      </c>
      <c r="Q935">
        <v>2</v>
      </c>
      <c r="R935" t="s">
        <v>36</v>
      </c>
      <c r="S935">
        <v>11</v>
      </c>
      <c r="T935">
        <v>3</v>
      </c>
      <c r="U935">
        <v>2</v>
      </c>
      <c r="V935">
        <v>0</v>
      </c>
      <c r="W935">
        <v>5</v>
      </c>
      <c r="X935">
        <v>2</v>
      </c>
      <c r="Y935">
        <v>2</v>
      </c>
      <c r="Z935">
        <v>3</v>
      </c>
      <c r="AA935">
        <v>2</v>
      </c>
      <c r="AB935">
        <v>1</v>
      </c>
      <c r="AC935">
        <v>2</v>
      </c>
      <c r="AD935">
        <f>IF(HR_Data[[#This Row],[Attrition]]="Yes",1,0)</f>
        <v>0</v>
      </c>
      <c r="AE935" t="str">
        <f>IF(HR_Data[[#This Row],[Age]]&lt;=25,"18-25",IF(HR_Data[[#This Row],[Age]]&lt;=35,"26-35",IF(HR_Data[[#This Row],[Age]]&lt;=45,"36-45",IF(HR_Data[[#This Row],[Age]]&lt;=55,"46-55","55+"))))</f>
        <v>26-35</v>
      </c>
      <c r="AF935">
        <f>IF(HR_Data[[#This Row],[Age]]&lt;=25,1,IF(HR_Data[[#This Row],[Age]]&lt;=35,2,IF(HR_Data[[#This Row],[Age]]&lt;=45,3,IF(HR_Data[[#This Row],[Age]]&lt;=55,4,5))))</f>
        <v>2</v>
      </c>
      <c r="AG935" s="1" t="str">
        <f>IF(HR_Data[[#This Row],[MonthlyIncome]]&lt;3000,"&lt;3K",IF(HR_Data[[#This Row],[MonthlyIncome]]&lt;6000,"3K-6K",IF(HR_Data[[#This Row],[MonthlyIncome]]&lt;10000,"6K-10K","10K+")))</f>
        <v>&lt;3K</v>
      </c>
      <c r="AH935" s="1">
        <f>IF(HR_Data[[#This Row],[MonthlyIncome]]&lt;3000,1,IF(HR_Data[[#This Row],[MonthlyIncome]]&lt;6000,2,IF(HR_Data[[#This Row],[MonthlyIncome]]&lt;10000,3,4)))</f>
        <v>1</v>
      </c>
      <c r="AI935" s="1" t="str">
        <f>IF(HR_Data[[#This Row],[YearsAtCompany]]&lt;=2,"0-2 Yrs",IF(HR_Data[[#This Row],[YearsAtCompany]]&lt;=5,"3-5 Yrs",IF(HR_Data[[#This Row],[YearsAtCompany]]&lt;=10,"6-10 Yrs","10+ Yrs")))</f>
        <v>3-5 Yrs</v>
      </c>
      <c r="AJ935" s="1">
        <f>IF(HR_Data[[#This Row],[YearsAtCompany]]&lt;=2,1,IF(HR_Data[[#This Row],[YearsAtCompany]]&lt;=5,2,IF(HR_Data[[#This Row],[YearsAtCompany]]&lt;=10,3,4)))</f>
        <v>2</v>
      </c>
      <c r="AK935" s="1" t="str">
        <f>CHOOSE(HR_Data[[#This Row],[Education]],"Below College","College","Bachelor","Master","Doctor")</f>
        <v>Bachelor</v>
      </c>
      <c r="AL935" s="1" t="str">
        <f>CHOOSE(HR_Data[[#This Row],[JobSatisfaction]],"Low","Medium","High","Very High")</f>
        <v>Low</v>
      </c>
      <c r="AM935" s="1" t="str">
        <f>CHOOSE(HR_Data[[#This Row],[EnvironmentSatisfaction]],"Low","Medium","High","Very High")</f>
        <v>Very High</v>
      </c>
      <c r="AN935" s="1" t="str">
        <f>CHOOSE(HR_Data[[#This Row],[WorkLifeBalance]],"Bad","Good","Better","Best")</f>
        <v>Good</v>
      </c>
      <c r="AO935" s="1" t="str">
        <f>IF(HR_Data[[#This Row],[PercentSalaryHike]]&lt;=13,"11-13%",IF(HR_Data[[#This Row],[PercentSalaryHike]]&lt;=16,"14-16%",IF(HR_Data[[#This Row],[PercentSalaryHike]]&lt;=19,"17-19%","20-25%")))</f>
        <v>11-13%</v>
      </c>
      <c r="AP935" s="1">
        <f>IF(HR_Data[[#This Row],[PercentSalaryHike]]&lt;=13,1,IF(HR_Data[[#This Row],[PercentSalaryHike]]&lt;=16,2,IF(HR_Data[[#This Row],[PercentSalaryHike]]&lt;=19,3,4)))</f>
        <v>1</v>
      </c>
      <c r="AQ935" s="1" t="str">
        <f>IF(HR_Data[[#This Row],[DistanceFromHome]]&lt;=5,"1 to 5",IF(HR_Data[[#This Row],[DistanceFromHome]]&lt;=10,"6 to 10",IF(HR_Data[[#This Row],[DistanceFromHome]]&lt;=20,"11 to 20","21 to 29")))</f>
        <v>1 to 5</v>
      </c>
      <c r="AR935" s="1">
        <f>IF(HR_Data[[#This Row],[DistanceFromHome]]&lt;=5,1,IF(HR_Data[[#This Row],[DistanceFromHome]]&lt;=10,2,IF(HR_Data[[#This Row],[DistanceFromHome]]&lt;=20,3,4)))</f>
        <v>1</v>
      </c>
      <c r="AS935" s="1" t="str">
        <f>IF(HR_Data[[#This Row],[TotalWorkingYears]]&lt;=5,"0-5 Yrs",IF(HR_Data[[#This Row],[TotalWorkingYears]]&lt;=10,"6-10 Yrs",IF(HR_Data[[#This Row],[TotalWorkingYears]]&lt;=20,"11-20 Yrs","20+ Yrs")))</f>
        <v>0-5 Yrs</v>
      </c>
      <c r="AT935" s="1">
        <f>IF(HR_Data[[#This Row],[TotalWorkingYears]]&lt;=5,1,IF(HR_Data[[#This Row],[TotalWorkingYears]]&lt;=10,2,IF(HR_Data[[#This Row],[TotalWorkingYears]]&lt;=20,3,4)))</f>
        <v>1</v>
      </c>
    </row>
    <row r="936" spans="1:46" x14ac:dyDescent="0.25">
      <c r="A936">
        <v>25</v>
      </c>
      <c r="B936" t="s">
        <v>36</v>
      </c>
      <c r="C936" t="s">
        <v>30</v>
      </c>
      <c r="D936" t="s">
        <v>38</v>
      </c>
      <c r="E936">
        <v>1</v>
      </c>
      <c r="F936">
        <v>3</v>
      </c>
      <c r="G936" t="s">
        <v>44</v>
      </c>
      <c r="H936">
        <v>1303</v>
      </c>
      <c r="I936">
        <v>4</v>
      </c>
      <c r="J936" t="s">
        <v>33</v>
      </c>
      <c r="K936">
        <v>3</v>
      </c>
      <c r="L936">
        <v>1</v>
      </c>
      <c r="M936" t="s">
        <v>40</v>
      </c>
      <c r="N936">
        <v>2</v>
      </c>
      <c r="O936" t="s">
        <v>35</v>
      </c>
      <c r="P936">
        <v>2096</v>
      </c>
      <c r="Q936">
        <v>1</v>
      </c>
      <c r="R936" t="s">
        <v>36</v>
      </c>
      <c r="S936">
        <v>18</v>
      </c>
      <c r="T936">
        <v>3</v>
      </c>
      <c r="U936">
        <v>4</v>
      </c>
      <c r="V936">
        <v>0</v>
      </c>
      <c r="W936">
        <v>2</v>
      </c>
      <c r="X936">
        <v>3</v>
      </c>
      <c r="Y936">
        <v>2</v>
      </c>
      <c r="Z936">
        <v>2</v>
      </c>
      <c r="AA936">
        <v>2</v>
      </c>
      <c r="AB936">
        <v>2</v>
      </c>
      <c r="AC936">
        <v>1</v>
      </c>
      <c r="AD936">
        <f>IF(HR_Data[[#This Row],[Attrition]]="Yes",1,0)</f>
        <v>0</v>
      </c>
      <c r="AE936" t="str">
        <f>IF(HR_Data[[#This Row],[Age]]&lt;=25,"18-25",IF(HR_Data[[#This Row],[Age]]&lt;=35,"26-35",IF(HR_Data[[#This Row],[Age]]&lt;=45,"36-45",IF(HR_Data[[#This Row],[Age]]&lt;=55,"46-55","55+"))))</f>
        <v>18-25</v>
      </c>
      <c r="AF936">
        <f>IF(HR_Data[[#This Row],[Age]]&lt;=25,1,IF(HR_Data[[#This Row],[Age]]&lt;=35,2,IF(HR_Data[[#This Row],[Age]]&lt;=45,3,IF(HR_Data[[#This Row],[Age]]&lt;=55,4,5))))</f>
        <v>1</v>
      </c>
      <c r="AG936" s="1" t="str">
        <f>IF(HR_Data[[#This Row],[MonthlyIncome]]&lt;3000,"&lt;3K",IF(HR_Data[[#This Row],[MonthlyIncome]]&lt;6000,"3K-6K",IF(HR_Data[[#This Row],[MonthlyIncome]]&lt;10000,"6K-10K","10K+")))</f>
        <v>&lt;3K</v>
      </c>
      <c r="AH936" s="1">
        <f>IF(HR_Data[[#This Row],[MonthlyIncome]]&lt;3000,1,IF(HR_Data[[#This Row],[MonthlyIncome]]&lt;6000,2,IF(HR_Data[[#This Row],[MonthlyIncome]]&lt;10000,3,4)))</f>
        <v>1</v>
      </c>
      <c r="AI936" s="1" t="str">
        <f>IF(HR_Data[[#This Row],[YearsAtCompany]]&lt;=2,"0-2 Yrs",IF(HR_Data[[#This Row],[YearsAtCompany]]&lt;=5,"3-5 Yrs",IF(HR_Data[[#This Row],[YearsAtCompany]]&lt;=10,"6-10 Yrs","10+ Yrs")))</f>
        <v>0-2 Yrs</v>
      </c>
      <c r="AJ936" s="1">
        <f>IF(HR_Data[[#This Row],[YearsAtCompany]]&lt;=2,1,IF(HR_Data[[#This Row],[YearsAtCompany]]&lt;=5,2,IF(HR_Data[[#This Row],[YearsAtCompany]]&lt;=10,3,4)))</f>
        <v>1</v>
      </c>
      <c r="AK936" s="1" t="str">
        <f>CHOOSE(HR_Data[[#This Row],[Education]],"Below College","College","Bachelor","Master","Doctor")</f>
        <v>Bachelor</v>
      </c>
      <c r="AL936" s="1" t="str">
        <f>CHOOSE(HR_Data[[#This Row],[JobSatisfaction]],"Low","Medium","High","Very High")</f>
        <v>Medium</v>
      </c>
      <c r="AM936" s="1" t="str">
        <f>CHOOSE(HR_Data[[#This Row],[EnvironmentSatisfaction]],"Low","Medium","High","Very High")</f>
        <v>Very High</v>
      </c>
      <c r="AN936" s="1" t="str">
        <f>CHOOSE(HR_Data[[#This Row],[WorkLifeBalance]],"Bad","Good","Better","Best")</f>
        <v>Good</v>
      </c>
      <c r="AO936" s="1" t="str">
        <f>IF(HR_Data[[#This Row],[PercentSalaryHike]]&lt;=13,"11-13%",IF(HR_Data[[#This Row],[PercentSalaryHike]]&lt;=16,"14-16%",IF(HR_Data[[#This Row],[PercentSalaryHike]]&lt;=19,"17-19%","20-25%")))</f>
        <v>17-19%</v>
      </c>
      <c r="AP936" s="1">
        <f>IF(HR_Data[[#This Row],[PercentSalaryHike]]&lt;=13,1,IF(HR_Data[[#This Row],[PercentSalaryHike]]&lt;=16,2,IF(HR_Data[[#This Row],[PercentSalaryHike]]&lt;=19,3,4)))</f>
        <v>3</v>
      </c>
      <c r="AQ936" s="1" t="str">
        <f>IF(HR_Data[[#This Row],[DistanceFromHome]]&lt;=5,"1 to 5",IF(HR_Data[[#This Row],[DistanceFromHome]]&lt;=10,"6 to 10",IF(HR_Data[[#This Row],[DistanceFromHome]]&lt;=20,"11 to 20","21 to 29")))</f>
        <v>1 to 5</v>
      </c>
      <c r="AR936" s="1">
        <f>IF(HR_Data[[#This Row],[DistanceFromHome]]&lt;=5,1,IF(HR_Data[[#This Row],[DistanceFromHome]]&lt;=10,2,IF(HR_Data[[#This Row],[DistanceFromHome]]&lt;=20,3,4)))</f>
        <v>1</v>
      </c>
      <c r="AS936" s="1" t="str">
        <f>IF(HR_Data[[#This Row],[TotalWorkingYears]]&lt;=5,"0-5 Yrs",IF(HR_Data[[#This Row],[TotalWorkingYears]]&lt;=10,"6-10 Yrs",IF(HR_Data[[#This Row],[TotalWorkingYears]]&lt;=20,"11-20 Yrs","20+ Yrs")))</f>
        <v>0-5 Yrs</v>
      </c>
      <c r="AT936" s="1">
        <f>IF(HR_Data[[#This Row],[TotalWorkingYears]]&lt;=5,1,IF(HR_Data[[#This Row],[TotalWorkingYears]]&lt;=10,2,IF(HR_Data[[#This Row],[TotalWorkingYears]]&lt;=20,3,4)))</f>
        <v>1</v>
      </c>
    </row>
    <row r="937" spans="1:46" x14ac:dyDescent="0.25">
      <c r="A937">
        <v>32</v>
      </c>
      <c r="B937" t="s">
        <v>36</v>
      </c>
      <c r="C937" t="s">
        <v>30</v>
      </c>
      <c r="D937" t="s">
        <v>31</v>
      </c>
      <c r="E937">
        <v>8</v>
      </c>
      <c r="F937">
        <v>3</v>
      </c>
      <c r="G937" t="s">
        <v>44</v>
      </c>
      <c r="H937">
        <v>1304</v>
      </c>
      <c r="I937">
        <v>3</v>
      </c>
      <c r="J937" t="s">
        <v>39</v>
      </c>
      <c r="K937">
        <v>4</v>
      </c>
      <c r="L937">
        <v>2</v>
      </c>
      <c r="M937" t="s">
        <v>34</v>
      </c>
      <c r="N937">
        <v>4</v>
      </c>
      <c r="O937" t="s">
        <v>41</v>
      </c>
      <c r="P937">
        <v>6209</v>
      </c>
      <c r="Q937">
        <v>1</v>
      </c>
      <c r="R937" t="s">
        <v>36</v>
      </c>
      <c r="S937">
        <v>15</v>
      </c>
      <c r="T937">
        <v>3</v>
      </c>
      <c r="U937">
        <v>3</v>
      </c>
      <c r="V937">
        <v>2</v>
      </c>
      <c r="W937">
        <v>10</v>
      </c>
      <c r="X937">
        <v>4</v>
      </c>
      <c r="Y937">
        <v>4</v>
      </c>
      <c r="Z937">
        <v>10</v>
      </c>
      <c r="AA937">
        <v>7</v>
      </c>
      <c r="AB937">
        <v>0</v>
      </c>
      <c r="AC937">
        <v>8</v>
      </c>
      <c r="AD937">
        <f>IF(HR_Data[[#This Row],[Attrition]]="Yes",1,0)</f>
        <v>0</v>
      </c>
      <c r="AE937" t="str">
        <f>IF(HR_Data[[#This Row],[Age]]&lt;=25,"18-25",IF(HR_Data[[#This Row],[Age]]&lt;=35,"26-35",IF(HR_Data[[#This Row],[Age]]&lt;=45,"36-45",IF(HR_Data[[#This Row],[Age]]&lt;=55,"46-55","55+"))))</f>
        <v>26-35</v>
      </c>
      <c r="AF937">
        <f>IF(HR_Data[[#This Row],[Age]]&lt;=25,1,IF(HR_Data[[#This Row],[Age]]&lt;=35,2,IF(HR_Data[[#This Row],[Age]]&lt;=45,3,IF(HR_Data[[#This Row],[Age]]&lt;=55,4,5))))</f>
        <v>2</v>
      </c>
      <c r="AG937" s="1" t="str">
        <f>IF(HR_Data[[#This Row],[MonthlyIncome]]&lt;3000,"&lt;3K",IF(HR_Data[[#This Row],[MonthlyIncome]]&lt;6000,"3K-6K",IF(HR_Data[[#This Row],[MonthlyIncome]]&lt;10000,"6K-10K","10K+")))</f>
        <v>6K-10K</v>
      </c>
      <c r="AH937" s="1">
        <f>IF(HR_Data[[#This Row],[MonthlyIncome]]&lt;3000,1,IF(HR_Data[[#This Row],[MonthlyIncome]]&lt;6000,2,IF(HR_Data[[#This Row],[MonthlyIncome]]&lt;10000,3,4)))</f>
        <v>3</v>
      </c>
      <c r="AI937" s="1" t="str">
        <f>IF(HR_Data[[#This Row],[YearsAtCompany]]&lt;=2,"0-2 Yrs",IF(HR_Data[[#This Row],[YearsAtCompany]]&lt;=5,"3-5 Yrs",IF(HR_Data[[#This Row],[YearsAtCompany]]&lt;=10,"6-10 Yrs","10+ Yrs")))</f>
        <v>6-10 Yrs</v>
      </c>
      <c r="AJ937" s="1">
        <f>IF(HR_Data[[#This Row],[YearsAtCompany]]&lt;=2,1,IF(HR_Data[[#This Row],[YearsAtCompany]]&lt;=5,2,IF(HR_Data[[#This Row],[YearsAtCompany]]&lt;=10,3,4)))</f>
        <v>3</v>
      </c>
      <c r="AK937" s="1" t="str">
        <f>CHOOSE(HR_Data[[#This Row],[Education]],"Below College","College","Bachelor","Master","Doctor")</f>
        <v>Bachelor</v>
      </c>
      <c r="AL937" s="1" t="str">
        <f>CHOOSE(HR_Data[[#This Row],[JobSatisfaction]],"Low","Medium","High","Very High")</f>
        <v>Very High</v>
      </c>
      <c r="AM937" s="1" t="str">
        <f>CHOOSE(HR_Data[[#This Row],[EnvironmentSatisfaction]],"Low","Medium","High","Very High")</f>
        <v>High</v>
      </c>
      <c r="AN937" s="1" t="str">
        <f>CHOOSE(HR_Data[[#This Row],[WorkLifeBalance]],"Bad","Good","Better","Best")</f>
        <v>Best</v>
      </c>
      <c r="AO937" s="1" t="str">
        <f>IF(HR_Data[[#This Row],[PercentSalaryHike]]&lt;=13,"11-13%",IF(HR_Data[[#This Row],[PercentSalaryHike]]&lt;=16,"14-16%",IF(HR_Data[[#This Row],[PercentSalaryHike]]&lt;=19,"17-19%","20-25%")))</f>
        <v>14-16%</v>
      </c>
      <c r="AP937" s="1">
        <f>IF(HR_Data[[#This Row],[PercentSalaryHike]]&lt;=13,1,IF(HR_Data[[#This Row],[PercentSalaryHike]]&lt;=16,2,IF(HR_Data[[#This Row],[PercentSalaryHike]]&lt;=19,3,4)))</f>
        <v>2</v>
      </c>
      <c r="AQ937" s="1" t="str">
        <f>IF(HR_Data[[#This Row],[DistanceFromHome]]&lt;=5,"1 to 5",IF(HR_Data[[#This Row],[DistanceFromHome]]&lt;=10,"6 to 10",IF(HR_Data[[#This Row],[DistanceFromHome]]&lt;=20,"11 to 20","21 to 29")))</f>
        <v>6 to 10</v>
      </c>
      <c r="AR937" s="1">
        <f>IF(HR_Data[[#This Row],[DistanceFromHome]]&lt;=5,1,IF(HR_Data[[#This Row],[DistanceFromHome]]&lt;=10,2,IF(HR_Data[[#This Row],[DistanceFromHome]]&lt;=20,3,4)))</f>
        <v>2</v>
      </c>
      <c r="AS937" s="1" t="str">
        <f>IF(HR_Data[[#This Row],[TotalWorkingYears]]&lt;=5,"0-5 Yrs",IF(HR_Data[[#This Row],[TotalWorkingYears]]&lt;=10,"6-10 Yrs",IF(HR_Data[[#This Row],[TotalWorkingYears]]&lt;=20,"11-20 Yrs","20+ Yrs")))</f>
        <v>6-10 Yrs</v>
      </c>
      <c r="AT937" s="1">
        <f>IF(HR_Data[[#This Row],[TotalWorkingYears]]&lt;=5,1,IF(HR_Data[[#This Row],[TotalWorkingYears]]&lt;=10,2,IF(HR_Data[[#This Row],[TotalWorkingYears]]&lt;=20,3,4)))</f>
        <v>2</v>
      </c>
    </row>
    <row r="938" spans="1:46" x14ac:dyDescent="0.25">
      <c r="A938">
        <v>45</v>
      </c>
      <c r="B938" t="s">
        <v>36</v>
      </c>
      <c r="C938" t="s">
        <v>37</v>
      </c>
      <c r="D938" t="s">
        <v>38</v>
      </c>
      <c r="E938">
        <v>25</v>
      </c>
      <c r="F938">
        <v>3</v>
      </c>
      <c r="G938" t="s">
        <v>44</v>
      </c>
      <c r="H938">
        <v>1306</v>
      </c>
      <c r="I938">
        <v>2</v>
      </c>
      <c r="J938" t="s">
        <v>33</v>
      </c>
      <c r="K938">
        <v>3</v>
      </c>
      <c r="L938">
        <v>5</v>
      </c>
      <c r="M938" t="s">
        <v>49</v>
      </c>
      <c r="N938">
        <v>2</v>
      </c>
      <c r="O938" t="s">
        <v>35</v>
      </c>
      <c r="P938">
        <v>18061</v>
      </c>
      <c r="Q938">
        <v>3</v>
      </c>
      <c r="R938" t="s">
        <v>36</v>
      </c>
      <c r="S938">
        <v>22</v>
      </c>
      <c r="T938">
        <v>4</v>
      </c>
      <c r="U938">
        <v>3</v>
      </c>
      <c r="V938">
        <v>0</v>
      </c>
      <c r="W938">
        <v>22</v>
      </c>
      <c r="X938">
        <v>4</v>
      </c>
      <c r="Y938">
        <v>3</v>
      </c>
      <c r="Z938">
        <v>0</v>
      </c>
      <c r="AA938">
        <v>0</v>
      </c>
      <c r="AB938">
        <v>0</v>
      </c>
      <c r="AC938">
        <v>0</v>
      </c>
      <c r="AD938">
        <f>IF(HR_Data[[#This Row],[Attrition]]="Yes",1,0)</f>
        <v>0</v>
      </c>
      <c r="AE938" t="str">
        <f>IF(HR_Data[[#This Row],[Age]]&lt;=25,"18-25",IF(HR_Data[[#This Row],[Age]]&lt;=35,"26-35",IF(HR_Data[[#This Row],[Age]]&lt;=45,"36-45",IF(HR_Data[[#This Row],[Age]]&lt;=55,"46-55","55+"))))</f>
        <v>36-45</v>
      </c>
      <c r="AF938">
        <f>IF(HR_Data[[#This Row],[Age]]&lt;=25,1,IF(HR_Data[[#This Row],[Age]]&lt;=35,2,IF(HR_Data[[#This Row],[Age]]&lt;=45,3,IF(HR_Data[[#This Row],[Age]]&lt;=55,4,5))))</f>
        <v>3</v>
      </c>
      <c r="AG938" s="1" t="str">
        <f>IF(HR_Data[[#This Row],[MonthlyIncome]]&lt;3000,"&lt;3K",IF(HR_Data[[#This Row],[MonthlyIncome]]&lt;6000,"3K-6K",IF(HR_Data[[#This Row],[MonthlyIncome]]&lt;10000,"6K-10K","10K+")))</f>
        <v>10K+</v>
      </c>
      <c r="AH938" s="1">
        <f>IF(HR_Data[[#This Row],[MonthlyIncome]]&lt;3000,1,IF(HR_Data[[#This Row],[MonthlyIncome]]&lt;6000,2,IF(HR_Data[[#This Row],[MonthlyIncome]]&lt;10000,3,4)))</f>
        <v>4</v>
      </c>
      <c r="AI938" s="1" t="str">
        <f>IF(HR_Data[[#This Row],[YearsAtCompany]]&lt;=2,"0-2 Yrs",IF(HR_Data[[#This Row],[YearsAtCompany]]&lt;=5,"3-5 Yrs",IF(HR_Data[[#This Row],[YearsAtCompany]]&lt;=10,"6-10 Yrs","10+ Yrs")))</f>
        <v>0-2 Yrs</v>
      </c>
      <c r="AJ938" s="1">
        <f>IF(HR_Data[[#This Row],[YearsAtCompany]]&lt;=2,1,IF(HR_Data[[#This Row],[YearsAtCompany]]&lt;=5,2,IF(HR_Data[[#This Row],[YearsAtCompany]]&lt;=10,3,4)))</f>
        <v>1</v>
      </c>
      <c r="AK938" s="1" t="str">
        <f>CHOOSE(HR_Data[[#This Row],[Education]],"Below College","College","Bachelor","Master","Doctor")</f>
        <v>Bachelor</v>
      </c>
      <c r="AL938" s="1" t="str">
        <f>CHOOSE(HR_Data[[#This Row],[JobSatisfaction]],"Low","Medium","High","Very High")</f>
        <v>Medium</v>
      </c>
      <c r="AM938" s="1" t="str">
        <f>CHOOSE(HR_Data[[#This Row],[EnvironmentSatisfaction]],"Low","Medium","High","Very High")</f>
        <v>Medium</v>
      </c>
      <c r="AN938" s="1" t="str">
        <f>CHOOSE(HR_Data[[#This Row],[WorkLifeBalance]],"Bad","Good","Better","Best")</f>
        <v>Better</v>
      </c>
      <c r="AO938" s="1" t="str">
        <f>IF(HR_Data[[#This Row],[PercentSalaryHike]]&lt;=13,"11-13%",IF(HR_Data[[#This Row],[PercentSalaryHike]]&lt;=16,"14-16%",IF(HR_Data[[#This Row],[PercentSalaryHike]]&lt;=19,"17-19%","20-25%")))</f>
        <v>20-25%</v>
      </c>
      <c r="AP938" s="1">
        <f>IF(HR_Data[[#This Row],[PercentSalaryHike]]&lt;=13,1,IF(HR_Data[[#This Row],[PercentSalaryHike]]&lt;=16,2,IF(HR_Data[[#This Row],[PercentSalaryHike]]&lt;=19,3,4)))</f>
        <v>4</v>
      </c>
      <c r="AQ938" s="1" t="str">
        <f>IF(HR_Data[[#This Row],[DistanceFromHome]]&lt;=5,"1 to 5",IF(HR_Data[[#This Row],[DistanceFromHome]]&lt;=10,"6 to 10",IF(HR_Data[[#This Row],[DistanceFromHome]]&lt;=20,"11 to 20","21 to 29")))</f>
        <v>21 to 29</v>
      </c>
      <c r="AR938" s="1">
        <f>IF(HR_Data[[#This Row],[DistanceFromHome]]&lt;=5,1,IF(HR_Data[[#This Row],[DistanceFromHome]]&lt;=10,2,IF(HR_Data[[#This Row],[DistanceFromHome]]&lt;=20,3,4)))</f>
        <v>4</v>
      </c>
      <c r="AS938" s="1" t="str">
        <f>IF(HR_Data[[#This Row],[TotalWorkingYears]]&lt;=5,"0-5 Yrs",IF(HR_Data[[#This Row],[TotalWorkingYears]]&lt;=10,"6-10 Yrs",IF(HR_Data[[#This Row],[TotalWorkingYears]]&lt;=20,"11-20 Yrs","20+ Yrs")))</f>
        <v>20+ Yrs</v>
      </c>
      <c r="AT938" s="1">
        <f>IF(HR_Data[[#This Row],[TotalWorkingYears]]&lt;=5,1,IF(HR_Data[[#This Row],[TotalWorkingYears]]&lt;=10,2,IF(HR_Data[[#This Row],[TotalWorkingYears]]&lt;=20,3,4)))</f>
        <v>4</v>
      </c>
    </row>
    <row r="939" spans="1:46" x14ac:dyDescent="0.25">
      <c r="A939">
        <v>39</v>
      </c>
      <c r="B939" t="s">
        <v>36</v>
      </c>
      <c r="C939" t="s">
        <v>30</v>
      </c>
      <c r="D939" t="s">
        <v>38</v>
      </c>
      <c r="E939">
        <v>13</v>
      </c>
      <c r="F939">
        <v>4</v>
      </c>
      <c r="G939" t="s">
        <v>44</v>
      </c>
      <c r="H939">
        <v>1307</v>
      </c>
      <c r="I939">
        <v>3</v>
      </c>
      <c r="J939" t="s">
        <v>33</v>
      </c>
      <c r="K939">
        <v>2</v>
      </c>
      <c r="L939">
        <v>4</v>
      </c>
      <c r="M939" t="s">
        <v>49</v>
      </c>
      <c r="N939">
        <v>2</v>
      </c>
      <c r="O939" t="s">
        <v>45</v>
      </c>
      <c r="P939">
        <v>17123</v>
      </c>
      <c r="Q939">
        <v>6</v>
      </c>
      <c r="R939" t="s">
        <v>29</v>
      </c>
      <c r="S939">
        <v>13</v>
      </c>
      <c r="T939">
        <v>3</v>
      </c>
      <c r="U939">
        <v>4</v>
      </c>
      <c r="V939">
        <v>2</v>
      </c>
      <c r="W939">
        <v>21</v>
      </c>
      <c r="X939">
        <v>4</v>
      </c>
      <c r="Y939">
        <v>3</v>
      </c>
      <c r="Z939">
        <v>19</v>
      </c>
      <c r="AA939">
        <v>9</v>
      </c>
      <c r="AB939">
        <v>15</v>
      </c>
      <c r="AC939">
        <v>2</v>
      </c>
      <c r="AD939">
        <f>IF(HR_Data[[#This Row],[Attrition]]="Yes",1,0)</f>
        <v>0</v>
      </c>
      <c r="AE939" t="str">
        <f>IF(HR_Data[[#This Row],[Age]]&lt;=25,"18-25",IF(HR_Data[[#This Row],[Age]]&lt;=35,"26-35",IF(HR_Data[[#This Row],[Age]]&lt;=45,"36-45",IF(HR_Data[[#This Row],[Age]]&lt;=55,"46-55","55+"))))</f>
        <v>36-45</v>
      </c>
      <c r="AF939">
        <f>IF(HR_Data[[#This Row],[Age]]&lt;=25,1,IF(HR_Data[[#This Row],[Age]]&lt;=35,2,IF(HR_Data[[#This Row],[Age]]&lt;=45,3,IF(HR_Data[[#This Row],[Age]]&lt;=55,4,5))))</f>
        <v>3</v>
      </c>
      <c r="AG939" s="1" t="str">
        <f>IF(HR_Data[[#This Row],[MonthlyIncome]]&lt;3000,"&lt;3K",IF(HR_Data[[#This Row],[MonthlyIncome]]&lt;6000,"3K-6K",IF(HR_Data[[#This Row],[MonthlyIncome]]&lt;10000,"6K-10K","10K+")))</f>
        <v>10K+</v>
      </c>
      <c r="AH939" s="1">
        <f>IF(HR_Data[[#This Row],[MonthlyIncome]]&lt;3000,1,IF(HR_Data[[#This Row],[MonthlyIncome]]&lt;6000,2,IF(HR_Data[[#This Row],[MonthlyIncome]]&lt;10000,3,4)))</f>
        <v>4</v>
      </c>
      <c r="AI939" s="1" t="str">
        <f>IF(HR_Data[[#This Row],[YearsAtCompany]]&lt;=2,"0-2 Yrs",IF(HR_Data[[#This Row],[YearsAtCompany]]&lt;=5,"3-5 Yrs",IF(HR_Data[[#This Row],[YearsAtCompany]]&lt;=10,"6-10 Yrs","10+ Yrs")))</f>
        <v>10+ Yrs</v>
      </c>
      <c r="AJ939" s="1">
        <f>IF(HR_Data[[#This Row],[YearsAtCompany]]&lt;=2,1,IF(HR_Data[[#This Row],[YearsAtCompany]]&lt;=5,2,IF(HR_Data[[#This Row],[YearsAtCompany]]&lt;=10,3,4)))</f>
        <v>4</v>
      </c>
      <c r="AK939" s="1" t="str">
        <f>CHOOSE(HR_Data[[#This Row],[Education]],"Below College","College","Bachelor","Master","Doctor")</f>
        <v>Master</v>
      </c>
      <c r="AL939" s="1" t="str">
        <f>CHOOSE(HR_Data[[#This Row],[JobSatisfaction]],"Low","Medium","High","Very High")</f>
        <v>Medium</v>
      </c>
      <c r="AM939" s="1" t="str">
        <f>CHOOSE(HR_Data[[#This Row],[EnvironmentSatisfaction]],"Low","Medium","High","Very High")</f>
        <v>High</v>
      </c>
      <c r="AN939" s="1" t="str">
        <f>CHOOSE(HR_Data[[#This Row],[WorkLifeBalance]],"Bad","Good","Better","Best")</f>
        <v>Better</v>
      </c>
      <c r="AO939" s="1" t="str">
        <f>IF(HR_Data[[#This Row],[PercentSalaryHike]]&lt;=13,"11-13%",IF(HR_Data[[#This Row],[PercentSalaryHike]]&lt;=16,"14-16%",IF(HR_Data[[#This Row],[PercentSalaryHike]]&lt;=19,"17-19%","20-25%")))</f>
        <v>11-13%</v>
      </c>
      <c r="AP939" s="1">
        <f>IF(HR_Data[[#This Row],[PercentSalaryHike]]&lt;=13,1,IF(HR_Data[[#This Row],[PercentSalaryHike]]&lt;=16,2,IF(HR_Data[[#This Row],[PercentSalaryHike]]&lt;=19,3,4)))</f>
        <v>1</v>
      </c>
      <c r="AQ939" s="1" t="str">
        <f>IF(HR_Data[[#This Row],[DistanceFromHome]]&lt;=5,"1 to 5",IF(HR_Data[[#This Row],[DistanceFromHome]]&lt;=10,"6 to 10",IF(HR_Data[[#This Row],[DistanceFromHome]]&lt;=20,"11 to 20","21 to 29")))</f>
        <v>11 to 20</v>
      </c>
      <c r="AR939" s="1">
        <f>IF(HR_Data[[#This Row],[DistanceFromHome]]&lt;=5,1,IF(HR_Data[[#This Row],[DistanceFromHome]]&lt;=10,2,IF(HR_Data[[#This Row],[DistanceFromHome]]&lt;=20,3,4)))</f>
        <v>3</v>
      </c>
      <c r="AS939" s="1" t="str">
        <f>IF(HR_Data[[#This Row],[TotalWorkingYears]]&lt;=5,"0-5 Yrs",IF(HR_Data[[#This Row],[TotalWorkingYears]]&lt;=10,"6-10 Yrs",IF(HR_Data[[#This Row],[TotalWorkingYears]]&lt;=20,"11-20 Yrs","20+ Yrs")))</f>
        <v>20+ Yrs</v>
      </c>
      <c r="AT939" s="1">
        <f>IF(HR_Data[[#This Row],[TotalWorkingYears]]&lt;=5,1,IF(HR_Data[[#This Row],[TotalWorkingYears]]&lt;=10,2,IF(HR_Data[[#This Row],[TotalWorkingYears]]&lt;=20,3,4)))</f>
        <v>4</v>
      </c>
    </row>
    <row r="940" spans="1:46" x14ac:dyDescent="0.25">
      <c r="A940">
        <v>58</v>
      </c>
      <c r="B940" t="s">
        <v>36</v>
      </c>
      <c r="C940" t="s">
        <v>30</v>
      </c>
      <c r="D940" t="s">
        <v>38</v>
      </c>
      <c r="E940">
        <v>23</v>
      </c>
      <c r="F940">
        <v>4</v>
      </c>
      <c r="G940" t="s">
        <v>32</v>
      </c>
      <c r="H940">
        <v>1308</v>
      </c>
      <c r="I940">
        <v>1</v>
      </c>
      <c r="J940" t="s">
        <v>39</v>
      </c>
      <c r="K940">
        <v>3</v>
      </c>
      <c r="L940">
        <v>1</v>
      </c>
      <c r="M940" t="s">
        <v>40</v>
      </c>
      <c r="N940">
        <v>3</v>
      </c>
      <c r="O940" t="s">
        <v>45</v>
      </c>
      <c r="P940">
        <v>2372</v>
      </c>
      <c r="Q940">
        <v>1</v>
      </c>
      <c r="R940" t="s">
        <v>36</v>
      </c>
      <c r="S940">
        <v>12</v>
      </c>
      <c r="T940">
        <v>3</v>
      </c>
      <c r="U940">
        <v>4</v>
      </c>
      <c r="V940">
        <v>2</v>
      </c>
      <c r="W940">
        <v>2</v>
      </c>
      <c r="X940">
        <v>3</v>
      </c>
      <c r="Y940">
        <v>3</v>
      </c>
      <c r="Z940">
        <v>2</v>
      </c>
      <c r="AA940">
        <v>2</v>
      </c>
      <c r="AB940">
        <v>2</v>
      </c>
      <c r="AC940">
        <v>2</v>
      </c>
      <c r="AD940">
        <f>IF(HR_Data[[#This Row],[Attrition]]="Yes",1,0)</f>
        <v>0</v>
      </c>
      <c r="AE940" t="str">
        <f>IF(HR_Data[[#This Row],[Age]]&lt;=25,"18-25",IF(HR_Data[[#This Row],[Age]]&lt;=35,"26-35",IF(HR_Data[[#This Row],[Age]]&lt;=45,"36-45",IF(HR_Data[[#This Row],[Age]]&lt;=55,"46-55","55+"))))</f>
        <v>55+</v>
      </c>
      <c r="AF940">
        <f>IF(HR_Data[[#This Row],[Age]]&lt;=25,1,IF(HR_Data[[#This Row],[Age]]&lt;=35,2,IF(HR_Data[[#This Row],[Age]]&lt;=45,3,IF(HR_Data[[#This Row],[Age]]&lt;=55,4,5))))</f>
        <v>5</v>
      </c>
      <c r="AG940" s="1" t="str">
        <f>IF(HR_Data[[#This Row],[MonthlyIncome]]&lt;3000,"&lt;3K",IF(HR_Data[[#This Row],[MonthlyIncome]]&lt;6000,"3K-6K",IF(HR_Data[[#This Row],[MonthlyIncome]]&lt;10000,"6K-10K","10K+")))</f>
        <v>&lt;3K</v>
      </c>
      <c r="AH940" s="1">
        <f>IF(HR_Data[[#This Row],[MonthlyIncome]]&lt;3000,1,IF(HR_Data[[#This Row],[MonthlyIncome]]&lt;6000,2,IF(HR_Data[[#This Row],[MonthlyIncome]]&lt;10000,3,4)))</f>
        <v>1</v>
      </c>
      <c r="AI940" s="1" t="str">
        <f>IF(HR_Data[[#This Row],[YearsAtCompany]]&lt;=2,"0-2 Yrs",IF(HR_Data[[#This Row],[YearsAtCompany]]&lt;=5,"3-5 Yrs",IF(HR_Data[[#This Row],[YearsAtCompany]]&lt;=10,"6-10 Yrs","10+ Yrs")))</f>
        <v>0-2 Yrs</v>
      </c>
      <c r="AJ940" s="1">
        <f>IF(HR_Data[[#This Row],[YearsAtCompany]]&lt;=2,1,IF(HR_Data[[#This Row],[YearsAtCompany]]&lt;=5,2,IF(HR_Data[[#This Row],[YearsAtCompany]]&lt;=10,3,4)))</f>
        <v>1</v>
      </c>
      <c r="AK940" s="1" t="str">
        <f>CHOOSE(HR_Data[[#This Row],[Education]],"Below College","College","Bachelor","Master","Doctor")</f>
        <v>Master</v>
      </c>
      <c r="AL940" s="1" t="str">
        <f>CHOOSE(HR_Data[[#This Row],[JobSatisfaction]],"Low","Medium","High","Very High")</f>
        <v>High</v>
      </c>
      <c r="AM940" s="1" t="str">
        <f>CHOOSE(HR_Data[[#This Row],[EnvironmentSatisfaction]],"Low","Medium","High","Very High")</f>
        <v>Low</v>
      </c>
      <c r="AN940" s="1" t="str">
        <f>CHOOSE(HR_Data[[#This Row],[WorkLifeBalance]],"Bad","Good","Better","Best")</f>
        <v>Better</v>
      </c>
      <c r="AO940" s="1" t="str">
        <f>IF(HR_Data[[#This Row],[PercentSalaryHike]]&lt;=13,"11-13%",IF(HR_Data[[#This Row],[PercentSalaryHike]]&lt;=16,"14-16%",IF(HR_Data[[#This Row],[PercentSalaryHike]]&lt;=19,"17-19%","20-25%")))</f>
        <v>11-13%</v>
      </c>
      <c r="AP940" s="1">
        <f>IF(HR_Data[[#This Row],[PercentSalaryHike]]&lt;=13,1,IF(HR_Data[[#This Row],[PercentSalaryHike]]&lt;=16,2,IF(HR_Data[[#This Row],[PercentSalaryHike]]&lt;=19,3,4)))</f>
        <v>1</v>
      </c>
      <c r="AQ940" s="1" t="str">
        <f>IF(HR_Data[[#This Row],[DistanceFromHome]]&lt;=5,"1 to 5",IF(HR_Data[[#This Row],[DistanceFromHome]]&lt;=10,"6 to 10",IF(HR_Data[[#This Row],[DistanceFromHome]]&lt;=20,"11 to 20","21 to 29")))</f>
        <v>21 to 29</v>
      </c>
      <c r="AR940" s="1">
        <f>IF(HR_Data[[#This Row],[DistanceFromHome]]&lt;=5,1,IF(HR_Data[[#This Row],[DistanceFromHome]]&lt;=10,2,IF(HR_Data[[#This Row],[DistanceFromHome]]&lt;=20,3,4)))</f>
        <v>4</v>
      </c>
      <c r="AS940" s="1" t="str">
        <f>IF(HR_Data[[#This Row],[TotalWorkingYears]]&lt;=5,"0-5 Yrs",IF(HR_Data[[#This Row],[TotalWorkingYears]]&lt;=10,"6-10 Yrs",IF(HR_Data[[#This Row],[TotalWorkingYears]]&lt;=20,"11-20 Yrs","20+ Yrs")))</f>
        <v>0-5 Yrs</v>
      </c>
      <c r="AT940" s="1">
        <f>IF(HR_Data[[#This Row],[TotalWorkingYears]]&lt;=5,1,IF(HR_Data[[#This Row],[TotalWorkingYears]]&lt;=10,2,IF(HR_Data[[#This Row],[TotalWorkingYears]]&lt;=20,3,4)))</f>
        <v>1</v>
      </c>
    </row>
    <row r="941" spans="1:46" x14ac:dyDescent="0.25">
      <c r="A941">
        <v>32</v>
      </c>
      <c r="B941" t="s">
        <v>29</v>
      </c>
      <c r="C941" t="s">
        <v>30</v>
      </c>
      <c r="D941" t="s">
        <v>38</v>
      </c>
      <c r="E941">
        <v>7</v>
      </c>
      <c r="F941">
        <v>2</v>
      </c>
      <c r="G941" t="s">
        <v>32</v>
      </c>
      <c r="H941">
        <v>1309</v>
      </c>
      <c r="I941">
        <v>4</v>
      </c>
      <c r="J941" t="s">
        <v>39</v>
      </c>
      <c r="K941">
        <v>3</v>
      </c>
      <c r="L941">
        <v>2</v>
      </c>
      <c r="M941" t="s">
        <v>43</v>
      </c>
      <c r="N941">
        <v>3</v>
      </c>
      <c r="O941" t="s">
        <v>41</v>
      </c>
      <c r="P941">
        <v>4883</v>
      </c>
      <c r="Q941">
        <v>1</v>
      </c>
      <c r="R941" t="s">
        <v>36</v>
      </c>
      <c r="S941">
        <v>18</v>
      </c>
      <c r="T941">
        <v>3</v>
      </c>
      <c r="U941">
        <v>1</v>
      </c>
      <c r="V941">
        <v>1</v>
      </c>
      <c r="W941">
        <v>10</v>
      </c>
      <c r="X941">
        <v>3</v>
      </c>
      <c r="Y941">
        <v>3</v>
      </c>
      <c r="Z941">
        <v>10</v>
      </c>
      <c r="AA941">
        <v>4</v>
      </c>
      <c r="AB941">
        <v>1</v>
      </c>
      <c r="AC941">
        <v>1</v>
      </c>
      <c r="AD941">
        <f>IF(HR_Data[[#This Row],[Attrition]]="Yes",1,0)</f>
        <v>1</v>
      </c>
      <c r="AE941" t="str">
        <f>IF(HR_Data[[#This Row],[Age]]&lt;=25,"18-25",IF(HR_Data[[#This Row],[Age]]&lt;=35,"26-35",IF(HR_Data[[#This Row],[Age]]&lt;=45,"36-45",IF(HR_Data[[#This Row],[Age]]&lt;=55,"46-55","55+"))))</f>
        <v>26-35</v>
      </c>
      <c r="AF941">
        <f>IF(HR_Data[[#This Row],[Age]]&lt;=25,1,IF(HR_Data[[#This Row],[Age]]&lt;=35,2,IF(HR_Data[[#This Row],[Age]]&lt;=45,3,IF(HR_Data[[#This Row],[Age]]&lt;=55,4,5))))</f>
        <v>2</v>
      </c>
      <c r="AG941" s="1" t="str">
        <f>IF(HR_Data[[#This Row],[MonthlyIncome]]&lt;3000,"&lt;3K",IF(HR_Data[[#This Row],[MonthlyIncome]]&lt;6000,"3K-6K",IF(HR_Data[[#This Row],[MonthlyIncome]]&lt;10000,"6K-10K","10K+")))</f>
        <v>3K-6K</v>
      </c>
      <c r="AH941" s="1">
        <f>IF(HR_Data[[#This Row],[MonthlyIncome]]&lt;3000,1,IF(HR_Data[[#This Row],[MonthlyIncome]]&lt;6000,2,IF(HR_Data[[#This Row],[MonthlyIncome]]&lt;10000,3,4)))</f>
        <v>2</v>
      </c>
      <c r="AI941" s="1" t="str">
        <f>IF(HR_Data[[#This Row],[YearsAtCompany]]&lt;=2,"0-2 Yrs",IF(HR_Data[[#This Row],[YearsAtCompany]]&lt;=5,"3-5 Yrs",IF(HR_Data[[#This Row],[YearsAtCompany]]&lt;=10,"6-10 Yrs","10+ Yrs")))</f>
        <v>6-10 Yrs</v>
      </c>
      <c r="AJ941" s="1">
        <f>IF(HR_Data[[#This Row],[YearsAtCompany]]&lt;=2,1,IF(HR_Data[[#This Row],[YearsAtCompany]]&lt;=5,2,IF(HR_Data[[#This Row],[YearsAtCompany]]&lt;=10,3,4)))</f>
        <v>3</v>
      </c>
      <c r="AK941" s="1" t="str">
        <f>CHOOSE(HR_Data[[#This Row],[Education]],"Below College","College","Bachelor","Master","Doctor")</f>
        <v>College</v>
      </c>
      <c r="AL941" s="1" t="str">
        <f>CHOOSE(HR_Data[[#This Row],[JobSatisfaction]],"Low","Medium","High","Very High")</f>
        <v>High</v>
      </c>
      <c r="AM941" s="1" t="str">
        <f>CHOOSE(HR_Data[[#This Row],[EnvironmentSatisfaction]],"Low","Medium","High","Very High")</f>
        <v>Very High</v>
      </c>
      <c r="AN941" s="1" t="str">
        <f>CHOOSE(HR_Data[[#This Row],[WorkLifeBalance]],"Bad","Good","Better","Best")</f>
        <v>Better</v>
      </c>
      <c r="AO941" s="1" t="str">
        <f>IF(HR_Data[[#This Row],[PercentSalaryHike]]&lt;=13,"11-13%",IF(HR_Data[[#This Row],[PercentSalaryHike]]&lt;=16,"14-16%",IF(HR_Data[[#This Row],[PercentSalaryHike]]&lt;=19,"17-19%","20-25%")))</f>
        <v>17-19%</v>
      </c>
      <c r="AP941" s="1">
        <f>IF(HR_Data[[#This Row],[PercentSalaryHike]]&lt;=13,1,IF(HR_Data[[#This Row],[PercentSalaryHike]]&lt;=16,2,IF(HR_Data[[#This Row],[PercentSalaryHike]]&lt;=19,3,4)))</f>
        <v>3</v>
      </c>
      <c r="AQ941" s="1" t="str">
        <f>IF(HR_Data[[#This Row],[DistanceFromHome]]&lt;=5,"1 to 5",IF(HR_Data[[#This Row],[DistanceFromHome]]&lt;=10,"6 to 10",IF(HR_Data[[#This Row],[DistanceFromHome]]&lt;=20,"11 to 20","21 to 29")))</f>
        <v>6 to 10</v>
      </c>
      <c r="AR941" s="1">
        <f>IF(HR_Data[[#This Row],[DistanceFromHome]]&lt;=5,1,IF(HR_Data[[#This Row],[DistanceFromHome]]&lt;=10,2,IF(HR_Data[[#This Row],[DistanceFromHome]]&lt;=20,3,4)))</f>
        <v>2</v>
      </c>
      <c r="AS941" s="1" t="str">
        <f>IF(HR_Data[[#This Row],[TotalWorkingYears]]&lt;=5,"0-5 Yrs",IF(HR_Data[[#This Row],[TotalWorkingYears]]&lt;=10,"6-10 Yrs",IF(HR_Data[[#This Row],[TotalWorkingYears]]&lt;=20,"11-20 Yrs","20+ Yrs")))</f>
        <v>6-10 Yrs</v>
      </c>
      <c r="AT941" s="1">
        <f>IF(HR_Data[[#This Row],[TotalWorkingYears]]&lt;=5,1,IF(HR_Data[[#This Row],[TotalWorkingYears]]&lt;=10,2,IF(HR_Data[[#This Row],[TotalWorkingYears]]&lt;=20,3,4)))</f>
        <v>2</v>
      </c>
    </row>
    <row r="942" spans="1:46" x14ac:dyDescent="0.25">
      <c r="A942">
        <v>39</v>
      </c>
      <c r="B942" t="s">
        <v>29</v>
      </c>
      <c r="C942" t="s">
        <v>30</v>
      </c>
      <c r="D942" t="s">
        <v>38</v>
      </c>
      <c r="E942">
        <v>23</v>
      </c>
      <c r="F942">
        <v>3</v>
      </c>
      <c r="G942" t="s">
        <v>44</v>
      </c>
      <c r="H942">
        <v>1310</v>
      </c>
      <c r="I942">
        <v>3</v>
      </c>
      <c r="J942" t="s">
        <v>39</v>
      </c>
      <c r="K942">
        <v>3</v>
      </c>
      <c r="L942">
        <v>1</v>
      </c>
      <c r="M942" t="s">
        <v>40</v>
      </c>
      <c r="N942">
        <v>1</v>
      </c>
      <c r="O942" t="s">
        <v>35</v>
      </c>
      <c r="P942">
        <v>3904</v>
      </c>
      <c r="Q942">
        <v>0</v>
      </c>
      <c r="R942" t="s">
        <v>36</v>
      </c>
      <c r="S942">
        <v>13</v>
      </c>
      <c r="T942">
        <v>3</v>
      </c>
      <c r="U942">
        <v>1</v>
      </c>
      <c r="V942">
        <v>0</v>
      </c>
      <c r="W942">
        <v>6</v>
      </c>
      <c r="X942">
        <v>2</v>
      </c>
      <c r="Y942">
        <v>3</v>
      </c>
      <c r="Z942">
        <v>5</v>
      </c>
      <c r="AA942">
        <v>2</v>
      </c>
      <c r="AB942">
        <v>0</v>
      </c>
      <c r="AC942">
        <v>3</v>
      </c>
      <c r="AD942">
        <f>IF(HR_Data[[#This Row],[Attrition]]="Yes",1,0)</f>
        <v>1</v>
      </c>
      <c r="AE942" t="str">
        <f>IF(HR_Data[[#This Row],[Age]]&lt;=25,"18-25",IF(HR_Data[[#This Row],[Age]]&lt;=35,"26-35",IF(HR_Data[[#This Row],[Age]]&lt;=45,"36-45",IF(HR_Data[[#This Row],[Age]]&lt;=55,"46-55","55+"))))</f>
        <v>36-45</v>
      </c>
      <c r="AF942">
        <f>IF(HR_Data[[#This Row],[Age]]&lt;=25,1,IF(HR_Data[[#This Row],[Age]]&lt;=35,2,IF(HR_Data[[#This Row],[Age]]&lt;=45,3,IF(HR_Data[[#This Row],[Age]]&lt;=55,4,5))))</f>
        <v>3</v>
      </c>
      <c r="AG942" s="1" t="str">
        <f>IF(HR_Data[[#This Row],[MonthlyIncome]]&lt;3000,"&lt;3K",IF(HR_Data[[#This Row],[MonthlyIncome]]&lt;6000,"3K-6K",IF(HR_Data[[#This Row],[MonthlyIncome]]&lt;10000,"6K-10K","10K+")))</f>
        <v>3K-6K</v>
      </c>
      <c r="AH942" s="1">
        <f>IF(HR_Data[[#This Row],[MonthlyIncome]]&lt;3000,1,IF(HR_Data[[#This Row],[MonthlyIncome]]&lt;6000,2,IF(HR_Data[[#This Row],[MonthlyIncome]]&lt;10000,3,4)))</f>
        <v>2</v>
      </c>
      <c r="AI942" s="1" t="str">
        <f>IF(HR_Data[[#This Row],[YearsAtCompany]]&lt;=2,"0-2 Yrs",IF(HR_Data[[#This Row],[YearsAtCompany]]&lt;=5,"3-5 Yrs",IF(HR_Data[[#This Row],[YearsAtCompany]]&lt;=10,"6-10 Yrs","10+ Yrs")))</f>
        <v>3-5 Yrs</v>
      </c>
      <c r="AJ942" s="1">
        <f>IF(HR_Data[[#This Row],[YearsAtCompany]]&lt;=2,1,IF(HR_Data[[#This Row],[YearsAtCompany]]&lt;=5,2,IF(HR_Data[[#This Row],[YearsAtCompany]]&lt;=10,3,4)))</f>
        <v>2</v>
      </c>
      <c r="AK942" s="1" t="str">
        <f>CHOOSE(HR_Data[[#This Row],[Education]],"Below College","College","Bachelor","Master","Doctor")</f>
        <v>Bachelor</v>
      </c>
      <c r="AL942" s="1" t="str">
        <f>CHOOSE(HR_Data[[#This Row],[JobSatisfaction]],"Low","Medium","High","Very High")</f>
        <v>Low</v>
      </c>
      <c r="AM942" s="1" t="str">
        <f>CHOOSE(HR_Data[[#This Row],[EnvironmentSatisfaction]],"Low","Medium","High","Very High")</f>
        <v>High</v>
      </c>
      <c r="AN942" s="1" t="str">
        <f>CHOOSE(HR_Data[[#This Row],[WorkLifeBalance]],"Bad","Good","Better","Best")</f>
        <v>Better</v>
      </c>
      <c r="AO942" s="1" t="str">
        <f>IF(HR_Data[[#This Row],[PercentSalaryHike]]&lt;=13,"11-13%",IF(HR_Data[[#This Row],[PercentSalaryHike]]&lt;=16,"14-16%",IF(HR_Data[[#This Row],[PercentSalaryHike]]&lt;=19,"17-19%","20-25%")))</f>
        <v>11-13%</v>
      </c>
      <c r="AP942" s="1">
        <f>IF(HR_Data[[#This Row],[PercentSalaryHike]]&lt;=13,1,IF(HR_Data[[#This Row],[PercentSalaryHike]]&lt;=16,2,IF(HR_Data[[#This Row],[PercentSalaryHike]]&lt;=19,3,4)))</f>
        <v>1</v>
      </c>
      <c r="AQ942" s="1" t="str">
        <f>IF(HR_Data[[#This Row],[DistanceFromHome]]&lt;=5,"1 to 5",IF(HR_Data[[#This Row],[DistanceFromHome]]&lt;=10,"6 to 10",IF(HR_Data[[#This Row],[DistanceFromHome]]&lt;=20,"11 to 20","21 to 29")))</f>
        <v>21 to 29</v>
      </c>
      <c r="AR942" s="1">
        <f>IF(HR_Data[[#This Row],[DistanceFromHome]]&lt;=5,1,IF(HR_Data[[#This Row],[DistanceFromHome]]&lt;=10,2,IF(HR_Data[[#This Row],[DistanceFromHome]]&lt;=20,3,4)))</f>
        <v>4</v>
      </c>
      <c r="AS942" s="1" t="str">
        <f>IF(HR_Data[[#This Row],[TotalWorkingYears]]&lt;=5,"0-5 Yrs",IF(HR_Data[[#This Row],[TotalWorkingYears]]&lt;=10,"6-10 Yrs",IF(HR_Data[[#This Row],[TotalWorkingYears]]&lt;=20,"11-20 Yrs","20+ Yrs")))</f>
        <v>6-10 Yrs</v>
      </c>
      <c r="AT942" s="1">
        <f>IF(HR_Data[[#This Row],[TotalWorkingYears]]&lt;=5,1,IF(HR_Data[[#This Row],[TotalWorkingYears]]&lt;=10,2,IF(HR_Data[[#This Row],[TotalWorkingYears]]&lt;=20,3,4)))</f>
        <v>2</v>
      </c>
    </row>
    <row r="943" spans="1:46" x14ac:dyDescent="0.25">
      <c r="A943">
        <v>30</v>
      </c>
      <c r="B943" t="s">
        <v>36</v>
      </c>
      <c r="C943" t="s">
        <v>30</v>
      </c>
      <c r="D943" t="s">
        <v>38</v>
      </c>
      <c r="E943">
        <v>6</v>
      </c>
      <c r="F943">
        <v>3</v>
      </c>
      <c r="G943" t="s">
        <v>53</v>
      </c>
      <c r="H943">
        <v>1311</v>
      </c>
      <c r="I943">
        <v>1</v>
      </c>
      <c r="J943" t="s">
        <v>33</v>
      </c>
      <c r="K943">
        <v>2</v>
      </c>
      <c r="L943">
        <v>2</v>
      </c>
      <c r="M943" t="s">
        <v>43</v>
      </c>
      <c r="N943">
        <v>4</v>
      </c>
      <c r="O943" t="s">
        <v>41</v>
      </c>
      <c r="P943">
        <v>4627</v>
      </c>
      <c r="Q943">
        <v>0</v>
      </c>
      <c r="R943" t="s">
        <v>36</v>
      </c>
      <c r="S943">
        <v>12</v>
      </c>
      <c r="T943">
        <v>3</v>
      </c>
      <c r="U943">
        <v>1</v>
      </c>
      <c r="V943">
        <v>1</v>
      </c>
      <c r="W943">
        <v>10</v>
      </c>
      <c r="X943">
        <v>6</v>
      </c>
      <c r="Y943">
        <v>3</v>
      </c>
      <c r="Z943">
        <v>9</v>
      </c>
      <c r="AA943">
        <v>2</v>
      </c>
      <c r="AB943">
        <v>6</v>
      </c>
      <c r="AC943">
        <v>7</v>
      </c>
      <c r="AD943">
        <f>IF(HR_Data[[#This Row],[Attrition]]="Yes",1,0)</f>
        <v>0</v>
      </c>
      <c r="AE943" t="str">
        <f>IF(HR_Data[[#This Row],[Age]]&lt;=25,"18-25",IF(HR_Data[[#This Row],[Age]]&lt;=35,"26-35",IF(HR_Data[[#This Row],[Age]]&lt;=45,"36-45",IF(HR_Data[[#This Row],[Age]]&lt;=55,"46-55","55+"))))</f>
        <v>26-35</v>
      </c>
      <c r="AF943">
        <f>IF(HR_Data[[#This Row],[Age]]&lt;=25,1,IF(HR_Data[[#This Row],[Age]]&lt;=35,2,IF(HR_Data[[#This Row],[Age]]&lt;=45,3,IF(HR_Data[[#This Row],[Age]]&lt;=55,4,5))))</f>
        <v>2</v>
      </c>
      <c r="AG943" s="1" t="str">
        <f>IF(HR_Data[[#This Row],[MonthlyIncome]]&lt;3000,"&lt;3K",IF(HR_Data[[#This Row],[MonthlyIncome]]&lt;6000,"3K-6K",IF(HR_Data[[#This Row],[MonthlyIncome]]&lt;10000,"6K-10K","10K+")))</f>
        <v>3K-6K</v>
      </c>
      <c r="AH943" s="1">
        <f>IF(HR_Data[[#This Row],[MonthlyIncome]]&lt;3000,1,IF(HR_Data[[#This Row],[MonthlyIncome]]&lt;6000,2,IF(HR_Data[[#This Row],[MonthlyIncome]]&lt;10000,3,4)))</f>
        <v>2</v>
      </c>
      <c r="AI943" s="1" t="str">
        <f>IF(HR_Data[[#This Row],[YearsAtCompany]]&lt;=2,"0-2 Yrs",IF(HR_Data[[#This Row],[YearsAtCompany]]&lt;=5,"3-5 Yrs",IF(HR_Data[[#This Row],[YearsAtCompany]]&lt;=10,"6-10 Yrs","10+ Yrs")))</f>
        <v>6-10 Yrs</v>
      </c>
      <c r="AJ943" s="1">
        <f>IF(HR_Data[[#This Row],[YearsAtCompany]]&lt;=2,1,IF(HR_Data[[#This Row],[YearsAtCompany]]&lt;=5,2,IF(HR_Data[[#This Row],[YearsAtCompany]]&lt;=10,3,4)))</f>
        <v>3</v>
      </c>
      <c r="AK943" s="1" t="str">
        <f>CHOOSE(HR_Data[[#This Row],[Education]],"Below College","College","Bachelor","Master","Doctor")</f>
        <v>Bachelor</v>
      </c>
      <c r="AL943" s="1" t="str">
        <f>CHOOSE(HR_Data[[#This Row],[JobSatisfaction]],"Low","Medium","High","Very High")</f>
        <v>Very High</v>
      </c>
      <c r="AM943" s="1" t="str">
        <f>CHOOSE(HR_Data[[#This Row],[EnvironmentSatisfaction]],"Low","Medium","High","Very High")</f>
        <v>Low</v>
      </c>
      <c r="AN943" s="1" t="str">
        <f>CHOOSE(HR_Data[[#This Row],[WorkLifeBalance]],"Bad","Good","Better","Best")</f>
        <v>Better</v>
      </c>
      <c r="AO943" s="1" t="str">
        <f>IF(HR_Data[[#This Row],[PercentSalaryHike]]&lt;=13,"11-13%",IF(HR_Data[[#This Row],[PercentSalaryHike]]&lt;=16,"14-16%",IF(HR_Data[[#This Row],[PercentSalaryHike]]&lt;=19,"17-19%","20-25%")))</f>
        <v>11-13%</v>
      </c>
      <c r="AP943" s="1">
        <f>IF(HR_Data[[#This Row],[PercentSalaryHike]]&lt;=13,1,IF(HR_Data[[#This Row],[PercentSalaryHike]]&lt;=16,2,IF(HR_Data[[#This Row],[PercentSalaryHike]]&lt;=19,3,4)))</f>
        <v>1</v>
      </c>
      <c r="AQ943" s="1" t="str">
        <f>IF(HR_Data[[#This Row],[DistanceFromHome]]&lt;=5,"1 to 5",IF(HR_Data[[#This Row],[DistanceFromHome]]&lt;=10,"6 to 10",IF(HR_Data[[#This Row],[DistanceFromHome]]&lt;=20,"11 to 20","21 to 29")))</f>
        <v>6 to 10</v>
      </c>
      <c r="AR943" s="1">
        <f>IF(HR_Data[[#This Row],[DistanceFromHome]]&lt;=5,1,IF(HR_Data[[#This Row],[DistanceFromHome]]&lt;=10,2,IF(HR_Data[[#This Row],[DistanceFromHome]]&lt;=20,3,4)))</f>
        <v>2</v>
      </c>
      <c r="AS943" s="1" t="str">
        <f>IF(HR_Data[[#This Row],[TotalWorkingYears]]&lt;=5,"0-5 Yrs",IF(HR_Data[[#This Row],[TotalWorkingYears]]&lt;=10,"6-10 Yrs",IF(HR_Data[[#This Row],[TotalWorkingYears]]&lt;=20,"11-20 Yrs","20+ Yrs")))</f>
        <v>6-10 Yrs</v>
      </c>
      <c r="AT943" s="1">
        <f>IF(HR_Data[[#This Row],[TotalWorkingYears]]&lt;=5,1,IF(HR_Data[[#This Row],[TotalWorkingYears]]&lt;=10,2,IF(HR_Data[[#This Row],[TotalWorkingYears]]&lt;=20,3,4)))</f>
        <v>2</v>
      </c>
    </row>
    <row r="944" spans="1:46" x14ac:dyDescent="0.25">
      <c r="A944">
        <v>36</v>
      </c>
      <c r="B944" t="s">
        <v>36</v>
      </c>
      <c r="C944" t="s">
        <v>30</v>
      </c>
      <c r="D944" t="s">
        <v>38</v>
      </c>
      <c r="E944">
        <v>10</v>
      </c>
      <c r="F944">
        <v>4</v>
      </c>
      <c r="G944" t="s">
        <v>53</v>
      </c>
      <c r="H944">
        <v>1312</v>
      </c>
      <c r="I944">
        <v>4</v>
      </c>
      <c r="J944" t="s">
        <v>33</v>
      </c>
      <c r="K944">
        <v>3</v>
      </c>
      <c r="L944">
        <v>3</v>
      </c>
      <c r="M944" t="s">
        <v>47</v>
      </c>
      <c r="N944">
        <v>3</v>
      </c>
      <c r="O944" t="s">
        <v>41</v>
      </c>
      <c r="P944">
        <v>7094</v>
      </c>
      <c r="Q944">
        <v>3</v>
      </c>
      <c r="R944" t="s">
        <v>36</v>
      </c>
      <c r="S944">
        <v>12</v>
      </c>
      <c r="T944">
        <v>3</v>
      </c>
      <c r="U944">
        <v>1</v>
      </c>
      <c r="V944">
        <v>0</v>
      </c>
      <c r="W944">
        <v>10</v>
      </c>
      <c r="X944">
        <v>0</v>
      </c>
      <c r="Y944">
        <v>3</v>
      </c>
      <c r="Z944">
        <v>7</v>
      </c>
      <c r="AA944">
        <v>7</v>
      </c>
      <c r="AB944">
        <v>1</v>
      </c>
      <c r="AC944">
        <v>7</v>
      </c>
      <c r="AD944">
        <f>IF(HR_Data[[#This Row],[Attrition]]="Yes",1,0)</f>
        <v>0</v>
      </c>
      <c r="AE944" t="str">
        <f>IF(HR_Data[[#This Row],[Age]]&lt;=25,"18-25",IF(HR_Data[[#This Row],[Age]]&lt;=35,"26-35",IF(HR_Data[[#This Row],[Age]]&lt;=45,"36-45",IF(HR_Data[[#This Row],[Age]]&lt;=55,"46-55","55+"))))</f>
        <v>36-45</v>
      </c>
      <c r="AF944">
        <f>IF(HR_Data[[#This Row],[Age]]&lt;=25,1,IF(HR_Data[[#This Row],[Age]]&lt;=35,2,IF(HR_Data[[#This Row],[Age]]&lt;=45,3,IF(HR_Data[[#This Row],[Age]]&lt;=55,4,5))))</f>
        <v>3</v>
      </c>
      <c r="AG944" s="1" t="str">
        <f>IF(HR_Data[[#This Row],[MonthlyIncome]]&lt;3000,"&lt;3K",IF(HR_Data[[#This Row],[MonthlyIncome]]&lt;6000,"3K-6K",IF(HR_Data[[#This Row],[MonthlyIncome]]&lt;10000,"6K-10K","10K+")))</f>
        <v>6K-10K</v>
      </c>
      <c r="AH944" s="1">
        <f>IF(HR_Data[[#This Row],[MonthlyIncome]]&lt;3000,1,IF(HR_Data[[#This Row],[MonthlyIncome]]&lt;6000,2,IF(HR_Data[[#This Row],[MonthlyIncome]]&lt;10000,3,4)))</f>
        <v>3</v>
      </c>
      <c r="AI944" s="1" t="str">
        <f>IF(HR_Data[[#This Row],[YearsAtCompany]]&lt;=2,"0-2 Yrs",IF(HR_Data[[#This Row],[YearsAtCompany]]&lt;=5,"3-5 Yrs",IF(HR_Data[[#This Row],[YearsAtCompany]]&lt;=10,"6-10 Yrs","10+ Yrs")))</f>
        <v>6-10 Yrs</v>
      </c>
      <c r="AJ944" s="1">
        <f>IF(HR_Data[[#This Row],[YearsAtCompany]]&lt;=2,1,IF(HR_Data[[#This Row],[YearsAtCompany]]&lt;=5,2,IF(HR_Data[[#This Row],[YearsAtCompany]]&lt;=10,3,4)))</f>
        <v>3</v>
      </c>
      <c r="AK944" s="1" t="str">
        <f>CHOOSE(HR_Data[[#This Row],[Education]],"Below College","College","Bachelor","Master","Doctor")</f>
        <v>Master</v>
      </c>
      <c r="AL944" s="1" t="str">
        <f>CHOOSE(HR_Data[[#This Row],[JobSatisfaction]],"Low","Medium","High","Very High")</f>
        <v>High</v>
      </c>
      <c r="AM944" s="1" t="str">
        <f>CHOOSE(HR_Data[[#This Row],[EnvironmentSatisfaction]],"Low","Medium","High","Very High")</f>
        <v>Very High</v>
      </c>
      <c r="AN944" s="1" t="str">
        <f>CHOOSE(HR_Data[[#This Row],[WorkLifeBalance]],"Bad","Good","Better","Best")</f>
        <v>Better</v>
      </c>
      <c r="AO944" s="1" t="str">
        <f>IF(HR_Data[[#This Row],[PercentSalaryHike]]&lt;=13,"11-13%",IF(HR_Data[[#This Row],[PercentSalaryHike]]&lt;=16,"14-16%",IF(HR_Data[[#This Row],[PercentSalaryHike]]&lt;=19,"17-19%","20-25%")))</f>
        <v>11-13%</v>
      </c>
      <c r="AP944" s="1">
        <f>IF(HR_Data[[#This Row],[PercentSalaryHike]]&lt;=13,1,IF(HR_Data[[#This Row],[PercentSalaryHike]]&lt;=16,2,IF(HR_Data[[#This Row],[PercentSalaryHike]]&lt;=19,3,4)))</f>
        <v>1</v>
      </c>
      <c r="AQ944" s="1" t="str">
        <f>IF(HR_Data[[#This Row],[DistanceFromHome]]&lt;=5,"1 to 5",IF(HR_Data[[#This Row],[DistanceFromHome]]&lt;=10,"6 to 10",IF(HR_Data[[#This Row],[DistanceFromHome]]&lt;=20,"11 to 20","21 to 29")))</f>
        <v>6 to 10</v>
      </c>
      <c r="AR944" s="1">
        <f>IF(HR_Data[[#This Row],[DistanceFromHome]]&lt;=5,1,IF(HR_Data[[#This Row],[DistanceFromHome]]&lt;=10,2,IF(HR_Data[[#This Row],[DistanceFromHome]]&lt;=20,3,4)))</f>
        <v>2</v>
      </c>
      <c r="AS944" s="1" t="str">
        <f>IF(HR_Data[[#This Row],[TotalWorkingYears]]&lt;=5,"0-5 Yrs",IF(HR_Data[[#This Row],[TotalWorkingYears]]&lt;=10,"6-10 Yrs",IF(HR_Data[[#This Row],[TotalWorkingYears]]&lt;=20,"11-20 Yrs","20+ Yrs")))</f>
        <v>6-10 Yrs</v>
      </c>
      <c r="AT944" s="1">
        <f>IF(HR_Data[[#This Row],[TotalWorkingYears]]&lt;=5,1,IF(HR_Data[[#This Row],[TotalWorkingYears]]&lt;=10,2,IF(HR_Data[[#This Row],[TotalWorkingYears]]&lt;=20,3,4)))</f>
        <v>2</v>
      </c>
    </row>
    <row r="945" spans="1:46" x14ac:dyDescent="0.25">
      <c r="A945">
        <v>46</v>
      </c>
      <c r="B945" t="s">
        <v>36</v>
      </c>
      <c r="C945" t="s">
        <v>30</v>
      </c>
      <c r="D945" t="s">
        <v>54</v>
      </c>
      <c r="E945">
        <v>1</v>
      </c>
      <c r="F945">
        <v>2</v>
      </c>
      <c r="G945" t="s">
        <v>32</v>
      </c>
      <c r="H945">
        <v>1314</v>
      </c>
      <c r="I945">
        <v>4</v>
      </c>
      <c r="J945" t="s">
        <v>33</v>
      </c>
      <c r="K945">
        <v>3</v>
      </c>
      <c r="L945">
        <v>1</v>
      </c>
      <c r="M945" t="s">
        <v>54</v>
      </c>
      <c r="N945">
        <v>1</v>
      </c>
      <c r="O945" t="s">
        <v>35</v>
      </c>
      <c r="P945">
        <v>3423</v>
      </c>
      <c r="Q945">
        <v>6</v>
      </c>
      <c r="R945" t="s">
        <v>36</v>
      </c>
      <c r="S945">
        <v>12</v>
      </c>
      <c r="T945">
        <v>3</v>
      </c>
      <c r="U945">
        <v>3</v>
      </c>
      <c r="V945">
        <v>0</v>
      </c>
      <c r="W945">
        <v>10</v>
      </c>
      <c r="X945">
        <v>3</v>
      </c>
      <c r="Y945">
        <v>4</v>
      </c>
      <c r="Z945">
        <v>7</v>
      </c>
      <c r="AA945">
        <v>6</v>
      </c>
      <c r="AB945">
        <v>5</v>
      </c>
      <c r="AC945">
        <v>7</v>
      </c>
      <c r="AD945">
        <f>IF(HR_Data[[#This Row],[Attrition]]="Yes",1,0)</f>
        <v>0</v>
      </c>
      <c r="AE945" t="str">
        <f>IF(HR_Data[[#This Row],[Age]]&lt;=25,"18-25",IF(HR_Data[[#This Row],[Age]]&lt;=35,"26-35",IF(HR_Data[[#This Row],[Age]]&lt;=45,"36-45",IF(HR_Data[[#This Row],[Age]]&lt;=55,"46-55","55+"))))</f>
        <v>46-55</v>
      </c>
      <c r="AF945">
        <f>IF(HR_Data[[#This Row],[Age]]&lt;=25,1,IF(HR_Data[[#This Row],[Age]]&lt;=35,2,IF(HR_Data[[#This Row],[Age]]&lt;=45,3,IF(HR_Data[[#This Row],[Age]]&lt;=55,4,5))))</f>
        <v>4</v>
      </c>
      <c r="AG945" s="1" t="str">
        <f>IF(HR_Data[[#This Row],[MonthlyIncome]]&lt;3000,"&lt;3K",IF(HR_Data[[#This Row],[MonthlyIncome]]&lt;6000,"3K-6K",IF(HR_Data[[#This Row],[MonthlyIncome]]&lt;10000,"6K-10K","10K+")))</f>
        <v>3K-6K</v>
      </c>
      <c r="AH945" s="1">
        <f>IF(HR_Data[[#This Row],[MonthlyIncome]]&lt;3000,1,IF(HR_Data[[#This Row],[MonthlyIncome]]&lt;6000,2,IF(HR_Data[[#This Row],[MonthlyIncome]]&lt;10000,3,4)))</f>
        <v>2</v>
      </c>
      <c r="AI945" s="1" t="str">
        <f>IF(HR_Data[[#This Row],[YearsAtCompany]]&lt;=2,"0-2 Yrs",IF(HR_Data[[#This Row],[YearsAtCompany]]&lt;=5,"3-5 Yrs",IF(HR_Data[[#This Row],[YearsAtCompany]]&lt;=10,"6-10 Yrs","10+ Yrs")))</f>
        <v>6-10 Yrs</v>
      </c>
      <c r="AJ945" s="1">
        <f>IF(HR_Data[[#This Row],[YearsAtCompany]]&lt;=2,1,IF(HR_Data[[#This Row],[YearsAtCompany]]&lt;=5,2,IF(HR_Data[[#This Row],[YearsAtCompany]]&lt;=10,3,4)))</f>
        <v>3</v>
      </c>
      <c r="AK945" s="1" t="str">
        <f>CHOOSE(HR_Data[[#This Row],[Education]],"Below College","College","Bachelor","Master","Doctor")</f>
        <v>College</v>
      </c>
      <c r="AL945" s="1" t="str">
        <f>CHOOSE(HR_Data[[#This Row],[JobSatisfaction]],"Low","Medium","High","Very High")</f>
        <v>Low</v>
      </c>
      <c r="AM945" s="1" t="str">
        <f>CHOOSE(HR_Data[[#This Row],[EnvironmentSatisfaction]],"Low","Medium","High","Very High")</f>
        <v>Very High</v>
      </c>
      <c r="AN945" s="1" t="str">
        <f>CHOOSE(HR_Data[[#This Row],[WorkLifeBalance]],"Bad","Good","Better","Best")</f>
        <v>Best</v>
      </c>
      <c r="AO945" s="1" t="str">
        <f>IF(HR_Data[[#This Row],[PercentSalaryHike]]&lt;=13,"11-13%",IF(HR_Data[[#This Row],[PercentSalaryHike]]&lt;=16,"14-16%",IF(HR_Data[[#This Row],[PercentSalaryHike]]&lt;=19,"17-19%","20-25%")))</f>
        <v>11-13%</v>
      </c>
      <c r="AP945" s="1">
        <f>IF(HR_Data[[#This Row],[PercentSalaryHike]]&lt;=13,1,IF(HR_Data[[#This Row],[PercentSalaryHike]]&lt;=16,2,IF(HR_Data[[#This Row],[PercentSalaryHike]]&lt;=19,3,4)))</f>
        <v>1</v>
      </c>
      <c r="AQ945" s="1" t="str">
        <f>IF(HR_Data[[#This Row],[DistanceFromHome]]&lt;=5,"1 to 5",IF(HR_Data[[#This Row],[DistanceFromHome]]&lt;=10,"6 to 10",IF(HR_Data[[#This Row],[DistanceFromHome]]&lt;=20,"11 to 20","21 to 29")))</f>
        <v>1 to 5</v>
      </c>
      <c r="AR945" s="1">
        <f>IF(HR_Data[[#This Row],[DistanceFromHome]]&lt;=5,1,IF(HR_Data[[#This Row],[DistanceFromHome]]&lt;=10,2,IF(HR_Data[[#This Row],[DistanceFromHome]]&lt;=20,3,4)))</f>
        <v>1</v>
      </c>
      <c r="AS945" s="1" t="str">
        <f>IF(HR_Data[[#This Row],[TotalWorkingYears]]&lt;=5,"0-5 Yrs",IF(HR_Data[[#This Row],[TotalWorkingYears]]&lt;=10,"6-10 Yrs",IF(HR_Data[[#This Row],[TotalWorkingYears]]&lt;=20,"11-20 Yrs","20+ Yrs")))</f>
        <v>6-10 Yrs</v>
      </c>
      <c r="AT945" s="1">
        <f>IF(HR_Data[[#This Row],[TotalWorkingYears]]&lt;=5,1,IF(HR_Data[[#This Row],[TotalWorkingYears]]&lt;=10,2,IF(HR_Data[[#This Row],[TotalWorkingYears]]&lt;=20,3,4)))</f>
        <v>2</v>
      </c>
    </row>
    <row r="946" spans="1:46" x14ac:dyDescent="0.25">
      <c r="A946">
        <v>28</v>
      </c>
      <c r="B946" t="s">
        <v>36</v>
      </c>
      <c r="C946" t="s">
        <v>48</v>
      </c>
      <c r="D946" t="s">
        <v>38</v>
      </c>
      <c r="E946">
        <v>1</v>
      </c>
      <c r="F946">
        <v>3</v>
      </c>
      <c r="G946" t="s">
        <v>32</v>
      </c>
      <c r="H946">
        <v>1315</v>
      </c>
      <c r="I946">
        <v>3</v>
      </c>
      <c r="J946" t="s">
        <v>33</v>
      </c>
      <c r="K946">
        <v>1</v>
      </c>
      <c r="L946">
        <v>2</v>
      </c>
      <c r="M946" t="s">
        <v>43</v>
      </c>
      <c r="N946">
        <v>4</v>
      </c>
      <c r="O946" t="s">
        <v>41</v>
      </c>
      <c r="P946">
        <v>6674</v>
      </c>
      <c r="Q946">
        <v>0</v>
      </c>
      <c r="R946" t="s">
        <v>36</v>
      </c>
      <c r="S946">
        <v>11</v>
      </c>
      <c r="T946">
        <v>3</v>
      </c>
      <c r="U946">
        <v>1</v>
      </c>
      <c r="V946">
        <v>3</v>
      </c>
      <c r="W946">
        <v>10</v>
      </c>
      <c r="X946">
        <v>6</v>
      </c>
      <c r="Y946">
        <v>3</v>
      </c>
      <c r="Z946">
        <v>9</v>
      </c>
      <c r="AA946">
        <v>8</v>
      </c>
      <c r="AB946">
        <v>7</v>
      </c>
      <c r="AC946">
        <v>5</v>
      </c>
      <c r="AD946">
        <f>IF(HR_Data[[#This Row],[Attrition]]="Yes",1,0)</f>
        <v>0</v>
      </c>
      <c r="AE946" t="str">
        <f>IF(HR_Data[[#This Row],[Age]]&lt;=25,"18-25",IF(HR_Data[[#This Row],[Age]]&lt;=35,"26-35",IF(HR_Data[[#This Row],[Age]]&lt;=45,"36-45",IF(HR_Data[[#This Row],[Age]]&lt;=55,"46-55","55+"))))</f>
        <v>26-35</v>
      </c>
      <c r="AF946">
        <f>IF(HR_Data[[#This Row],[Age]]&lt;=25,1,IF(HR_Data[[#This Row],[Age]]&lt;=35,2,IF(HR_Data[[#This Row],[Age]]&lt;=45,3,IF(HR_Data[[#This Row],[Age]]&lt;=55,4,5))))</f>
        <v>2</v>
      </c>
      <c r="AG946" s="1" t="str">
        <f>IF(HR_Data[[#This Row],[MonthlyIncome]]&lt;3000,"&lt;3K",IF(HR_Data[[#This Row],[MonthlyIncome]]&lt;6000,"3K-6K",IF(HR_Data[[#This Row],[MonthlyIncome]]&lt;10000,"6K-10K","10K+")))</f>
        <v>6K-10K</v>
      </c>
      <c r="AH946" s="1">
        <f>IF(HR_Data[[#This Row],[MonthlyIncome]]&lt;3000,1,IF(HR_Data[[#This Row],[MonthlyIncome]]&lt;6000,2,IF(HR_Data[[#This Row],[MonthlyIncome]]&lt;10000,3,4)))</f>
        <v>3</v>
      </c>
      <c r="AI946" s="1" t="str">
        <f>IF(HR_Data[[#This Row],[YearsAtCompany]]&lt;=2,"0-2 Yrs",IF(HR_Data[[#This Row],[YearsAtCompany]]&lt;=5,"3-5 Yrs",IF(HR_Data[[#This Row],[YearsAtCompany]]&lt;=10,"6-10 Yrs","10+ Yrs")))</f>
        <v>6-10 Yrs</v>
      </c>
      <c r="AJ946" s="1">
        <f>IF(HR_Data[[#This Row],[YearsAtCompany]]&lt;=2,1,IF(HR_Data[[#This Row],[YearsAtCompany]]&lt;=5,2,IF(HR_Data[[#This Row],[YearsAtCompany]]&lt;=10,3,4)))</f>
        <v>3</v>
      </c>
      <c r="AK946" s="1" t="str">
        <f>CHOOSE(HR_Data[[#This Row],[Education]],"Below College","College","Bachelor","Master","Doctor")</f>
        <v>Bachelor</v>
      </c>
      <c r="AL946" s="1" t="str">
        <f>CHOOSE(HR_Data[[#This Row],[JobSatisfaction]],"Low","Medium","High","Very High")</f>
        <v>Very High</v>
      </c>
      <c r="AM946" s="1" t="str">
        <f>CHOOSE(HR_Data[[#This Row],[EnvironmentSatisfaction]],"Low","Medium","High","Very High")</f>
        <v>High</v>
      </c>
      <c r="AN946" s="1" t="str">
        <f>CHOOSE(HR_Data[[#This Row],[WorkLifeBalance]],"Bad","Good","Better","Best")</f>
        <v>Better</v>
      </c>
      <c r="AO946" s="1" t="str">
        <f>IF(HR_Data[[#This Row],[PercentSalaryHike]]&lt;=13,"11-13%",IF(HR_Data[[#This Row],[PercentSalaryHike]]&lt;=16,"14-16%",IF(HR_Data[[#This Row],[PercentSalaryHike]]&lt;=19,"17-19%","20-25%")))</f>
        <v>11-13%</v>
      </c>
      <c r="AP946" s="1">
        <f>IF(HR_Data[[#This Row],[PercentSalaryHike]]&lt;=13,1,IF(HR_Data[[#This Row],[PercentSalaryHike]]&lt;=16,2,IF(HR_Data[[#This Row],[PercentSalaryHike]]&lt;=19,3,4)))</f>
        <v>1</v>
      </c>
      <c r="AQ946" s="1" t="str">
        <f>IF(HR_Data[[#This Row],[DistanceFromHome]]&lt;=5,"1 to 5",IF(HR_Data[[#This Row],[DistanceFromHome]]&lt;=10,"6 to 10",IF(HR_Data[[#This Row],[DistanceFromHome]]&lt;=20,"11 to 20","21 to 29")))</f>
        <v>1 to 5</v>
      </c>
      <c r="AR946" s="1">
        <f>IF(HR_Data[[#This Row],[DistanceFromHome]]&lt;=5,1,IF(HR_Data[[#This Row],[DistanceFromHome]]&lt;=10,2,IF(HR_Data[[#This Row],[DistanceFromHome]]&lt;=20,3,4)))</f>
        <v>1</v>
      </c>
      <c r="AS946" s="1" t="str">
        <f>IF(HR_Data[[#This Row],[TotalWorkingYears]]&lt;=5,"0-5 Yrs",IF(HR_Data[[#This Row],[TotalWorkingYears]]&lt;=10,"6-10 Yrs",IF(HR_Data[[#This Row],[TotalWorkingYears]]&lt;=20,"11-20 Yrs","20+ Yrs")))</f>
        <v>6-10 Yrs</v>
      </c>
      <c r="AT946" s="1">
        <f>IF(HR_Data[[#This Row],[TotalWorkingYears]]&lt;=5,1,IF(HR_Data[[#This Row],[TotalWorkingYears]]&lt;=10,2,IF(HR_Data[[#This Row],[TotalWorkingYears]]&lt;=20,3,4)))</f>
        <v>2</v>
      </c>
    </row>
    <row r="947" spans="1:46" x14ac:dyDescent="0.25">
      <c r="A947">
        <v>50</v>
      </c>
      <c r="B947" t="s">
        <v>36</v>
      </c>
      <c r="C947" t="s">
        <v>30</v>
      </c>
      <c r="D947" t="s">
        <v>38</v>
      </c>
      <c r="E947">
        <v>28</v>
      </c>
      <c r="F947">
        <v>3</v>
      </c>
      <c r="G947" t="s">
        <v>32</v>
      </c>
      <c r="H947">
        <v>1317</v>
      </c>
      <c r="I947">
        <v>4</v>
      </c>
      <c r="J947" t="s">
        <v>33</v>
      </c>
      <c r="K947">
        <v>3</v>
      </c>
      <c r="L947">
        <v>4</v>
      </c>
      <c r="M947" t="s">
        <v>51</v>
      </c>
      <c r="N947">
        <v>1</v>
      </c>
      <c r="O947" t="s">
        <v>41</v>
      </c>
      <c r="P947">
        <v>16880</v>
      </c>
      <c r="Q947">
        <v>4</v>
      </c>
      <c r="R947" t="s">
        <v>29</v>
      </c>
      <c r="S947">
        <v>11</v>
      </c>
      <c r="T947">
        <v>3</v>
      </c>
      <c r="U947">
        <v>2</v>
      </c>
      <c r="V947">
        <v>0</v>
      </c>
      <c r="W947">
        <v>25</v>
      </c>
      <c r="X947">
        <v>2</v>
      </c>
      <c r="Y947">
        <v>3</v>
      </c>
      <c r="Z947">
        <v>3</v>
      </c>
      <c r="AA947">
        <v>2</v>
      </c>
      <c r="AB947">
        <v>1</v>
      </c>
      <c r="AC947">
        <v>2</v>
      </c>
      <c r="AD947">
        <f>IF(HR_Data[[#This Row],[Attrition]]="Yes",1,0)</f>
        <v>0</v>
      </c>
      <c r="AE947" t="str">
        <f>IF(HR_Data[[#This Row],[Age]]&lt;=25,"18-25",IF(HR_Data[[#This Row],[Age]]&lt;=35,"26-35",IF(HR_Data[[#This Row],[Age]]&lt;=45,"36-45",IF(HR_Data[[#This Row],[Age]]&lt;=55,"46-55","55+"))))</f>
        <v>46-55</v>
      </c>
      <c r="AF947">
        <f>IF(HR_Data[[#This Row],[Age]]&lt;=25,1,IF(HR_Data[[#This Row],[Age]]&lt;=35,2,IF(HR_Data[[#This Row],[Age]]&lt;=45,3,IF(HR_Data[[#This Row],[Age]]&lt;=55,4,5))))</f>
        <v>4</v>
      </c>
      <c r="AG947" s="1" t="str">
        <f>IF(HR_Data[[#This Row],[MonthlyIncome]]&lt;3000,"&lt;3K",IF(HR_Data[[#This Row],[MonthlyIncome]]&lt;6000,"3K-6K",IF(HR_Data[[#This Row],[MonthlyIncome]]&lt;10000,"6K-10K","10K+")))</f>
        <v>10K+</v>
      </c>
      <c r="AH947" s="1">
        <f>IF(HR_Data[[#This Row],[MonthlyIncome]]&lt;3000,1,IF(HR_Data[[#This Row],[MonthlyIncome]]&lt;6000,2,IF(HR_Data[[#This Row],[MonthlyIncome]]&lt;10000,3,4)))</f>
        <v>4</v>
      </c>
      <c r="AI947" s="1" t="str">
        <f>IF(HR_Data[[#This Row],[YearsAtCompany]]&lt;=2,"0-2 Yrs",IF(HR_Data[[#This Row],[YearsAtCompany]]&lt;=5,"3-5 Yrs",IF(HR_Data[[#This Row],[YearsAtCompany]]&lt;=10,"6-10 Yrs","10+ Yrs")))</f>
        <v>3-5 Yrs</v>
      </c>
      <c r="AJ947" s="1">
        <f>IF(HR_Data[[#This Row],[YearsAtCompany]]&lt;=2,1,IF(HR_Data[[#This Row],[YearsAtCompany]]&lt;=5,2,IF(HR_Data[[#This Row],[YearsAtCompany]]&lt;=10,3,4)))</f>
        <v>2</v>
      </c>
      <c r="AK947" s="1" t="str">
        <f>CHOOSE(HR_Data[[#This Row],[Education]],"Below College","College","Bachelor","Master","Doctor")</f>
        <v>Bachelor</v>
      </c>
      <c r="AL947" s="1" t="str">
        <f>CHOOSE(HR_Data[[#This Row],[JobSatisfaction]],"Low","Medium","High","Very High")</f>
        <v>Low</v>
      </c>
      <c r="AM947" s="1" t="str">
        <f>CHOOSE(HR_Data[[#This Row],[EnvironmentSatisfaction]],"Low","Medium","High","Very High")</f>
        <v>Very High</v>
      </c>
      <c r="AN947" s="1" t="str">
        <f>CHOOSE(HR_Data[[#This Row],[WorkLifeBalance]],"Bad","Good","Better","Best")</f>
        <v>Better</v>
      </c>
      <c r="AO947" s="1" t="str">
        <f>IF(HR_Data[[#This Row],[PercentSalaryHike]]&lt;=13,"11-13%",IF(HR_Data[[#This Row],[PercentSalaryHike]]&lt;=16,"14-16%",IF(HR_Data[[#This Row],[PercentSalaryHike]]&lt;=19,"17-19%","20-25%")))</f>
        <v>11-13%</v>
      </c>
      <c r="AP947" s="1">
        <f>IF(HR_Data[[#This Row],[PercentSalaryHike]]&lt;=13,1,IF(HR_Data[[#This Row],[PercentSalaryHike]]&lt;=16,2,IF(HR_Data[[#This Row],[PercentSalaryHike]]&lt;=19,3,4)))</f>
        <v>1</v>
      </c>
      <c r="AQ947" s="1" t="str">
        <f>IF(HR_Data[[#This Row],[DistanceFromHome]]&lt;=5,"1 to 5",IF(HR_Data[[#This Row],[DistanceFromHome]]&lt;=10,"6 to 10",IF(HR_Data[[#This Row],[DistanceFromHome]]&lt;=20,"11 to 20","21 to 29")))</f>
        <v>21 to 29</v>
      </c>
      <c r="AR947" s="1">
        <f>IF(HR_Data[[#This Row],[DistanceFromHome]]&lt;=5,1,IF(HR_Data[[#This Row],[DistanceFromHome]]&lt;=10,2,IF(HR_Data[[#This Row],[DistanceFromHome]]&lt;=20,3,4)))</f>
        <v>4</v>
      </c>
      <c r="AS947" s="1" t="str">
        <f>IF(HR_Data[[#This Row],[TotalWorkingYears]]&lt;=5,"0-5 Yrs",IF(HR_Data[[#This Row],[TotalWorkingYears]]&lt;=10,"6-10 Yrs",IF(HR_Data[[#This Row],[TotalWorkingYears]]&lt;=20,"11-20 Yrs","20+ Yrs")))</f>
        <v>20+ Yrs</v>
      </c>
      <c r="AT947" s="1">
        <f>IF(HR_Data[[#This Row],[TotalWorkingYears]]&lt;=5,1,IF(HR_Data[[#This Row],[TotalWorkingYears]]&lt;=10,2,IF(HR_Data[[#This Row],[TotalWorkingYears]]&lt;=20,3,4)))</f>
        <v>4</v>
      </c>
    </row>
    <row r="948" spans="1:46" x14ac:dyDescent="0.25">
      <c r="A948">
        <v>40</v>
      </c>
      <c r="B948" t="s">
        <v>29</v>
      </c>
      <c r="C948" t="s">
        <v>30</v>
      </c>
      <c r="D948" t="s">
        <v>31</v>
      </c>
      <c r="E948">
        <v>25</v>
      </c>
      <c r="F948">
        <v>4</v>
      </c>
      <c r="G948" t="s">
        <v>52</v>
      </c>
      <c r="H948">
        <v>1318</v>
      </c>
      <c r="I948">
        <v>4</v>
      </c>
      <c r="J948" t="s">
        <v>39</v>
      </c>
      <c r="K948">
        <v>2</v>
      </c>
      <c r="L948">
        <v>3</v>
      </c>
      <c r="M948" t="s">
        <v>34</v>
      </c>
      <c r="N948">
        <v>2</v>
      </c>
      <c r="O948" t="s">
        <v>35</v>
      </c>
      <c r="P948">
        <v>9094</v>
      </c>
      <c r="Q948">
        <v>2</v>
      </c>
      <c r="R948" t="s">
        <v>29</v>
      </c>
      <c r="S948">
        <v>12</v>
      </c>
      <c r="T948">
        <v>3</v>
      </c>
      <c r="U948">
        <v>3</v>
      </c>
      <c r="V948">
        <v>0</v>
      </c>
      <c r="W948">
        <v>9</v>
      </c>
      <c r="X948">
        <v>2</v>
      </c>
      <c r="Y948">
        <v>3</v>
      </c>
      <c r="Z948">
        <v>5</v>
      </c>
      <c r="AA948">
        <v>4</v>
      </c>
      <c r="AB948">
        <v>1</v>
      </c>
      <c r="AC948">
        <v>0</v>
      </c>
      <c r="AD948">
        <f>IF(HR_Data[[#This Row],[Attrition]]="Yes",1,0)</f>
        <v>1</v>
      </c>
      <c r="AE948" t="str">
        <f>IF(HR_Data[[#This Row],[Age]]&lt;=25,"18-25",IF(HR_Data[[#This Row],[Age]]&lt;=35,"26-35",IF(HR_Data[[#This Row],[Age]]&lt;=45,"36-45",IF(HR_Data[[#This Row],[Age]]&lt;=55,"46-55","55+"))))</f>
        <v>36-45</v>
      </c>
      <c r="AF948">
        <f>IF(HR_Data[[#This Row],[Age]]&lt;=25,1,IF(HR_Data[[#This Row],[Age]]&lt;=35,2,IF(HR_Data[[#This Row],[Age]]&lt;=45,3,IF(HR_Data[[#This Row],[Age]]&lt;=55,4,5))))</f>
        <v>3</v>
      </c>
      <c r="AG948" s="1" t="str">
        <f>IF(HR_Data[[#This Row],[MonthlyIncome]]&lt;3000,"&lt;3K",IF(HR_Data[[#This Row],[MonthlyIncome]]&lt;6000,"3K-6K",IF(HR_Data[[#This Row],[MonthlyIncome]]&lt;10000,"6K-10K","10K+")))</f>
        <v>6K-10K</v>
      </c>
      <c r="AH948" s="1">
        <f>IF(HR_Data[[#This Row],[MonthlyIncome]]&lt;3000,1,IF(HR_Data[[#This Row],[MonthlyIncome]]&lt;6000,2,IF(HR_Data[[#This Row],[MonthlyIncome]]&lt;10000,3,4)))</f>
        <v>3</v>
      </c>
      <c r="AI948" s="1" t="str">
        <f>IF(HR_Data[[#This Row],[YearsAtCompany]]&lt;=2,"0-2 Yrs",IF(HR_Data[[#This Row],[YearsAtCompany]]&lt;=5,"3-5 Yrs",IF(HR_Data[[#This Row],[YearsAtCompany]]&lt;=10,"6-10 Yrs","10+ Yrs")))</f>
        <v>3-5 Yrs</v>
      </c>
      <c r="AJ948" s="1">
        <f>IF(HR_Data[[#This Row],[YearsAtCompany]]&lt;=2,1,IF(HR_Data[[#This Row],[YearsAtCompany]]&lt;=5,2,IF(HR_Data[[#This Row],[YearsAtCompany]]&lt;=10,3,4)))</f>
        <v>2</v>
      </c>
      <c r="AK948" s="1" t="str">
        <f>CHOOSE(HR_Data[[#This Row],[Education]],"Below College","College","Bachelor","Master","Doctor")</f>
        <v>Master</v>
      </c>
      <c r="AL948" s="1" t="str">
        <f>CHOOSE(HR_Data[[#This Row],[JobSatisfaction]],"Low","Medium","High","Very High")</f>
        <v>Medium</v>
      </c>
      <c r="AM948" s="1" t="str">
        <f>CHOOSE(HR_Data[[#This Row],[EnvironmentSatisfaction]],"Low","Medium","High","Very High")</f>
        <v>Very High</v>
      </c>
      <c r="AN948" s="1" t="str">
        <f>CHOOSE(HR_Data[[#This Row],[WorkLifeBalance]],"Bad","Good","Better","Best")</f>
        <v>Better</v>
      </c>
      <c r="AO948" s="1" t="str">
        <f>IF(HR_Data[[#This Row],[PercentSalaryHike]]&lt;=13,"11-13%",IF(HR_Data[[#This Row],[PercentSalaryHike]]&lt;=16,"14-16%",IF(HR_Data[[#This Row],[PercentSalaryHike]]&lt;=19,"17-19%","20-25%")))</f>
        <v>11-13%</v>
      </c>
      <c r="AP948" s="1">
        <f>IF(HR_Data[[#This Row],[PercentSalaryHike]]&lt;=13,1,IF(HR_Data[[#This Row],[PercentSalaryHike]]&lt;=16,2,IF(HR_Data[[#This Row],[PercentSalaryHike]]&lt;=19,3,4)))</f>
        <v>1</v>
      </c>
      <c r="AQ948" s="1" t="str">
        <f>IF(HR_Data[[#This Row],[DistanceFromHome]]&lt;=5,"1 to 5",IF(HR_Data[[#This Row],[DistanceFromHome]]&lt;=10,"6 to 10",IF(HR_Data[[#This Row],[DistanceFromHome]]&lt;=20,"11 to 20","21 to 29")))</f>
        <v>21 to 29</v>
      </c>
      <c r="AR948" s="1">
        <f>IF(HR_Data[[#This Row],[DistanceFromHome]]&lt;=5,1,IF(HR_Data[[#This Row],[DistanceFromHome]]&lt;=10,2,IF(HR_Data[[#This Row],[DistanceFromHome]]&lt;=20,3,4)))</f>
        <v>4</v>
      </c>
      <c r="AS948" s="1" t="str">
        <f>IF(HR_Data[[#This Row],[TotalWorkingYears]]&lt;=5,"0-5 Yrs",IF(HR_Data[[#This Row],[TotalWorkingYears]]&lt;=10,"6-10 Yrs",IF(HR_Data[[#This Row],[TotalWorkingYears]]&lt;=20,"11-20 Yrs","20+ Yrs")))</f>
        <v>6-10 Yrs</v>
      </c>
      <c r="AT948" s="1">
        <f>IF(HR_Data[[#This Row],[TotalWorkingYears]]&lt;=5,1,IF(HR_Data[[#This Row],[TotalWorkingYears]]&lt;=10,2,IF(HR_Data[[#This Row],[TotalWorkingYears]]&lt;=20,3,4)))</f>
        <v>2</v>
      </c>
    </row>
    <row r="949" spans="1:46" x14ac:dyDescent="0.25">
      <c r="A949">
        <v>52</v>
      </c>
      <c r="B949" t="s">
        <v>29</v>
      </c>
      <c r="C949" t="s">
        <v>30</v>
      </c>
      <c r="D949" t="s">
        <v>31</v>
      </c>
      <c r="E949">
        <v>5</v>
      </c>
      <c r="F949">
        <v>3</v>
      </c>
      <c r="G949" t="s">
        <v>32</v>
      </c>
      <c r="H949">
        <v>1319</v>
      </c>
      <c r="I949">
        <v>2</v>
      </c>
      <c r="J949" t="s">
        <v>39</v>
      </c>
      <c r="K949">
        <v>3</v>
      </c>
      <c r="L949">
        <v>3</v>
      </c>
      <c r="M949" t="s">
        <v>34</v>
      </c>
      <c r="N949">
        <v>2</v>
      </c>
      <c r="O949" t="s">
        <v>35</v>
      </c>
      <c r="P949">
        <v>8446</v>
      </c>
      <c r="Q949">
        <v>9</v>
      </c>
      <c r="R949" t="s">
        <v>29</v>
      </c>
      <c r="S949">
        <v>19</v>
      </c>
      <c r="T949">
        <v>3</v>
      </c>
      <c r="U949">
        <v>3</v>
      </c>
      <c r="V949">
        <v>0</v>
      </c>
      <c r="W949">
        <v>10</v>
      </c>
      <c r="X949">
        <v>2</v>
      </c>
      <c r="Y949">
        <v>2</v>
      </c>
      <c r="Z949">
        <v>8</v>
      </c>
      <c r="AA949">
        <v>7</v>
      </c>
      <c r="AB949">
        <v>7</v>
      </c>
      <c r="AC949">
        <v>7</v>
      </c>
      <c r="AD949">
        <f>IF(HR_Data[[#This Row],[Attrition]]="Yes",1,0)</f>
        <v>1</v>
      </c>
      <c r="AE949" t="str">
        <f>IF(HR_Data[[#This Row],[Age]]&lt;=25,"18-25",IF(HR_Data[[#This Row],[Age]]&lt;=35,"26-35",IF(HR_Data[[#This Row],[Age]]&lt;=45,"36-45",IF(HR_Data[[#This Row],[Age]]&lt;=55,"46-55","55+"))))</f>
        <v>46-55</v>
      </c>
      <c r="AF949">
        <f>IF(HR_Data[[#This Row],[Age]]&lt;=25,1,IF(HR_Data[[#This Row],[Age]]&lt;=35,2,IF(HR_Data[[#This Row],[Age]]&lt;=45,3,IF(HR_Data[[#This Row],[Age]]&lt;=55,4,5))))</f>
        <v>4</v>
      </c>
      <c r="AG949" s="1" t="str">
        <f>IF(HR_Data[[#This Row],[MonthlyIncome]]&lt;3000,"&lt;3K",IF(HR_Data[[#This Row],[MonthlyIncome]]&lt;6000,"3K-6K",IF(HR_Data[[#This Row],[MonthlyIncome]]&lt;10000,"6K-10K","10K+")))</f>
        <v>6K-10K</v>
      </c>
      <c r="AH949" s="1">
        <f>IF(HR_Data[[#This Row],[MonthlyIncome]]&lt;3000,1,IF(HR_Data[[#This Row],[MonthlyIncome]]&lt;6000,2,IF(HR_Data[[#This Row],[MonthlyIncome]]&lt;10000,3,4)))</f>
        <v>3</v>
      </c>
      <c r="AI949" s="1" t="str">
        <f>IF(HR_Data[[#This Row],[YearsAtCompany]]&lt;=2,"0-2 Yrs",IF(HR_Data[[#This Row],[YearsAtCompany]]&lt;=5,"3-5 Yrs",IF(HR_Data[[#This Row],[YearsAtCompany]]&lt;=10,"6-10 Yrs","10+ Yrs")))</f>
        <v>6-10 Yrs</v>
      </c>
      <c r="AJ949" s="1">
        <f>IF(HR_Data[[#This Row],[YearsAtCompany]]&lt;=2,1,IF(HR_Data[[#This Row],[YearsAtCompany]]&lt;=5,2,IF(HR_Data[[#This Row],[YearsAtCompany]]&lt;=10,3,4)))</f>
        <v>3</v>
      </c>
      <c r="AK949" s="1" t="str">
        <f>CHOOSE(HR_Data[[#This Row],[Education]],"Below College","College","Bachelor","Master","Doctor")</f>
        <v>Bachelor</v>
      </c>
      <c r="AL949" s="1" t="str">
        <f>CHOOSE(HR_Data[[#This Row],[JobSatisfaction]],"Low","Medium","High","Very High")</f>
        <v>Medium</v>
      </c>
      <c r="AM949" s="1" t="str">
        <f>CHOOSE(HR_Data[[#This Row],[EnvironmentSatisfaction]],"Low","Medium","High","Very High")</f>
        <v>Medium</v>
      </c>
      <c r="AN949" s="1" t="str">
        <f>CHOOSE(HR_Data[[#This Row],[WorkLifeBalance]],"Bad","Good","Better","Best")</f>
        <v>Good</v>
      </c>
      <c r="AO949" s="1" t="str">
        <f>IF(HR_Data[[#This Row],[PercentSalaryHike]]&lt;=13,"11-13%",IF(HR_Data[[#This Row],[PercentSalaryHike]]&lt;=16,"14-16%",IF(HR_Data[[#This Row],[PercentSalaryHike]]&lt;=19,"17-19%","20-25%")))</f>
        <v>17-19%</v>
      </c>
      <c r="AP949" s="1">
        <f>IF(HR_Data[[#This Row],[PercentSalaryHike]]&lt;=13,1,IF(HR_Data[[#This Row],[PercentSalaryHike]]&lt;=16,2,IF(HR_Data[[#This Row],[PercentSalaryHike]]&lt;=19,3,4)))</f>
        <v>3</v>
      </c>
      <c r="AQ949" s="1" t="str">
        <f>IF(HR_Data[[#This Row],[DistanceFromHome]]&lt;=5,"1 to 5",IF(HR_Data[[#This Row],[DistanceFromHome]]&lt;=10,"6 to 10",IF(HR_Data[[#This Row],[DistanceFromHome]]&lt;=20,"11 to 20","21 to 29")))</f>
        <v>1 to 5</v>
      </c>
      <c r="AR949" s="1">
        <f>IF(HR_Data[[#This Row],[DistanceFromHome]]&lt;=5,1,IF(HR_Data[[#This Row],[DistanceFromHome]]&lt;=10,2,IF(HR_Data[[#This Row],[DistanceFromHome]]&lt;=20,3,4)))</f>
        <v>1</v>
      </c>
      <c r="AS949" s="1" t="str">
        <f>IF(HR_Data[[#This Row],[TotalWorkingYears]]&lt;=5,"0-5 Yrs",IF(HR_Data[[#This Row],[TotalWorkingYears]]&lt;=10,"6-10 Yrs",IF(HR_Data[[#This Row],[TotalWorkingYears]]&lt;=20,"11-20 Yrs","20+ Yrs")))</f>
        <v>6-10 Yrs</v>
      </c>
      <c r="AT949" s="1">
        <f>IF(HR_Data[[#This Row],[TotalWorkingYears]]&lt;=5,1,IF(HR_Data[[#This Row],[TotalWorkingYears]]&lt;=10,2,IF(HR_Data[[#This Row],[TotalWorkingYears]]&lt;=20,3,4)))</f>
        <v>2</v>
      </c>
    </row>
    <row r="950" spans="1:46" x14ac:dyDescent="0.25">
      <c r="A950">
        <v>30</v>
      </c>
      <c r="B950" t="s">
        <v>36</v>
      </c>
      <c r="C950" t="s">
        <v>30</v>
      </c>
      <c r="D950" t="s">
        <v>38</v>
      </c>
      <c r="E950">
        <v>17</v>
      </c>
      <c r="F950">
        <v>4</v>
      </c>
      <c r="G950" t="s">
        <v>44</v>
      </c>
      <c r="H950">
        <v>1321</v>
      </c>
      <c r="I950">
        <v>2</v>
      </c>
      <c r="J950" t="s">
        <v>33</v>
      </c>
      <c r="K950">
        <v>3</v>
      </c>
      <c r="L950">
        <v>3</v>
      </c>
      <c r="M950" t="s">
        <v>49</v>
      </c>
      <c r="N950">
        <v>1</v>
      </c>
      <c r="O950" t="s">
        <v>41</v>
      </c>
      <c r="P950">
        <v>11916</v>
      </c>
      <c r="Q950">
        <v>1</v>
      </c>
      <c r="R950" t="s">
        <v>29</v>
      </c>
      <c r="S950">
        <v>23</v>
      </c>
      <c r="T950">
        <v>4</v>
      </c>
      <c r="U950">
        <v>4</v>
      </c>
      <c r="V950">
        <v>2</v>
      </c>
      <c r="W950">
        <v>9</v>
      </c>
      <c r="X950">
        <v>2</v>
      </c>
      <c r="Y950">
        <v>3</v>
      </c>
      <c r="Z950">
        <v>9</v>
      </c>
      <c r="AA950">
        <v>1</v>
      </c>
      <c r="AB950">
        <v>0</v>
      </c>
      <c r="AC950">
        <v>8</v>
      </c>
      <c r="AD950">
        <f>IF(HR_Data[[#This Row],[Attrition]]="Yes",1,0)</f>
        <v>0</v>
      </c>
      <c r="AE950" t="str">
        <f>IF(HR_Data[[#This Row],[Age]]&lt;=25,"18-25",IF(HR_Data[[#This Row],[Age]]&lt;=35,"26-35",IF(HR_Data[[#This Row],[Age]]&lt;=45,"36-45",IF(HR_Data[[#This Row],[Age]]&lt;=55,"46-55","55+"))))</f>
        <v>26-35</v>
      </c>
      <c r="AF950">
        <f>IF(HR_Data[[#This Row],[Age]]&lt;=25,1,IF(HR_Data[[#This Row],[Age]]&lt;=35,2,IF(HR_Data[[#This Row],[Age]]&lt;=45,3,IF(HR_Data[[#This Row],[Age]]&lt;=55,4,5))))</f>
        <v>2</v>
      </c>
      <c r="AG950" s="1" t="str">
        <f>IF(HR_Data[[#This Row],[MonthlyIncome]]&lt;3000,"&lt;3K",IF(HR_Data[[#This Row],[MonthlyIncome]]&lt;6000,"3K-6K",IF(HR_Data[[#This Row],[MonthlyIncome]]&lt;10000,"6K-10K","10K+")))</f>
        <v>10K+</v>
      </c>
      <c r="AH950" s="1">
        <f>IF(HR_Data[[#This Row],[MonthlyIncome]]&lt;3000,1,IF(HR_Data[[#This Row],[MonthlyIncome]]&lt;6000,2,IF(HR_Data[[#This Row],[MonthlyIncome]]&lt;10000,3,4)))</f>
        <v>4</v>
      </c>
      <c r="AI950" s="1" t="str">
        <f>IF(HR_Data[[#This Row],[YearsAtCompany]]&lt;=2,"0-2 Yrs",IF(HR_Data[[#This Row],[YearsAtCompany]]&lt;=5,"3-5 Yrs",IF(HR_Data[[#This Row],[YearsAtCompany]]&lt;=10,"6-10 Yrs","10+ Yrs")))</f>
        <v>6-10 Yrs</v>
      </c>
      <c r="AJ950" s="1">
        <f>IF(HR_Data[[#This Row],[YearsAtCompany]]&lt;=2,1,IF(HR_Data[[#This Row],[YearsAtCompany]]&lt;=5,2,IF(HR_Data[[#This Row],[YearsAtCompany]]&lt;=10,3,4)))</f>
        <v>3</v>
      </c>
      <c r="AK950" s="1" t="str">
        <f>CHOOSE(HR_Data[[#This Row],[Education]],"Below College","College","Bachelor","Master","Doctor")</f>
        <v>Master</v>
      </c>
      <c r="AL950" s="1" t="str">
        <f>CHOOSE(HR_Data[[#This Row],[JobSatisfaction]],"Low","Medium","High","Very High")</f>
        <v>Low</v>
      </c>
      <c r="AM950" s="1" t="str">
        <f>CHOOSE(HR_Data[[#This Row],[EnvironmentSatisfaction]],"Low","Medium","High","Very High")</f>
        <v>Medium</v>
      </c>
      <c r="AN950" s="1" t="str">
        <f>CHOOSE(HR_Data[[#This Row],[WorkLifeBalance]],"Bad","Good","Better","Best")</f>
        <v>Better</v>
      </c>
      <c r="AO950" s="1" t="str">
        <f>IF(HR_Data[[#This Row],[PercentSalaryHike]]&lt;=13,"11-13%",IF(HR_Data[[#This Row],[PercentSalaryHike]]&lt;=16,"14-16%",IF(HR_Data[[#This Row],[PercentSalaryHike]]&lt;=19,"17-19%","20-25%")))</f>
        <v>20-25%</v>
      </c>
      <c r="AP950" s="1">
        <f>IF(HR_Data[[#This Row],[PercentSalaryHike]]&lt;=13,1,IF(HR_Data[[#This Row],[PercentSalaryHike]]&lt;=16,2,IF(HR_Data[[#This Row],[PercentSalaryHike]]&lt;=19,3,4)))</f>
        <v>4</v>
      </c>
      <c r="AQ950" s="1" t="str">
        <f>IF(HR_Data[[#This Row],[DistanceFromHome]]&lt;=5,"1 to 5",IF(HR_Data[[#This Row],[DistanceFromHome]]&lt;=10,"6 to 10",IF(HR_Data[[#This Row],[DistanceFromHome]]&lt;=20,"11 to 20","21 to 29")))</f>
        <v>11 to 20</v>
      </c>
      <c r="AR950" s="1">
        <f>IF(HR_Data[[#This Row],[DistanceFromHome]]&lt;=5,1,IF(HR_Data[[#This Row],[DistanceFromHome]]&lt;=10,2,IF(HR_Data[[#This Row],[DistanceFromHome]]&lt;=20,3,4)))</f>
        <v>3</v>
      </c>
      <c r="AS950" s="1" t="str">
        <f>IF(HR_Data[[#This Row],[TotalWorkingYears]]&lt;=5,"0-5 Yrs",IF(HR_Data[[#This Row],[TotalWorkingYears]]&lt;=10,"6-10 Yrs",IF(HR_Data[[#This Row],[TotalWorkingYears]]&lt;=20,"11-20 Yrs","20+ Yrs")))</f>
        <v>6-10 Yrs</v>
      </c>
      <c r="AT950" s="1">
        <f>IF(HR_Data[[#This Row],[TotalWorkingYears]]&lt;=5,1,IF(HR_Data[[#This Row],[TotalWorkingYears]]&lt;=10,2,IF(HR_Data[[#This Row],[TotalWorkingYears]]&lt;=20,3,4)))</f>
        <v>2</v>
      </c>
    </row>
    <row r="951" spans="1:46" x14ac:dyDescent="0.25">
      <c r="A951">
        <v>39</v>
      </c>
      <c r="B951" t="s">
        <v>36</v>
      </c>
      <c r="C951" t="s">
        <v>30</v>
      </c>
      <c r="D951" t="s">
        <v>38</v>
      </c>
      <c r="E951">
        <v>18</v>
      </c>
      <c r="F951">
        <v>2</v>
      </c>
      <c r="G951" t="s">
        <v>32</v>
      </c>
      <c r="H951">
        <v>1322</v>
      </c>
      <c r="I951">
        <v>1</v>
      </c>
      <c r="J951" t="s">
        <v>39</v>
      </c>
      <c r="K951">
        <v>3</v>
      </c>
      <c r="L951">
        <v>2</v>
      </c>
      <c r="M951" t="s">
        <v>46</v>
      </c>
      <c r="N951">
        <v>3</v>
      </c>
      <c r="O951" t="s">
        <v>35</v>
      </c>
      <c r="P951">
        <v>4534</v>
      </c>
      <c r="Q951">
        <v>0</v>
      </c>
      <c r="R951" t="s">
        <v>36</v>
      </c>
      <c r="S951">
        <v>11</v>
      </c>
      <c r="T951">
        <v>3</v>
      </c>
      <c r="U951">
        <v>1</v>
      </c>
      <c r="V951">
        <v>0</v>
      </c>
      <c r="W951">
        <v>9</v>
      </c>
      <c r="X951">
        <v>6</v>
      </c>
      <c r="Y951">
        <v>3</v>
      </c>
      <c r="Z951">
        <v>8</v>
      </c>
      <c r="AA951">
        <v>7</v>
      </c>
      <c r="AB951">
        <v>1</v>
      </c>
      <c r="AC951">
        <v>7</v>
      </c>
      <c r="AD951">
        <f>IF(HR_Data[[#This Row],[Attrition]]="Yes",1,0)</f>
        <v>0</v>
      </c>
      <c r="AE951" t="str">
        <f>IF(HR_Data[[#This Row],[Age]]&lt;=25,"18-25",IF(HR_Data[[#This Row],[Age]]&lt;=35,"26-35",IF(HR_Data[[#This Row],[Age]]&lt;=45,"36-45",IF(HR_Data[[#This Row],[Age]]&lt;=55,"46-55","55+"))))</f>
        <v>36-45</v>
      </c>
      <c r="AF951">
        <f>IF(HR_Data[[#This Row],[Age]]&lt;=25,1,IF(HR_Data[[#This Row],[Age]]&lt;=35,2,IF(HR_Data[[#This Row],[Age]]&lt;=45,3,IF(HR_Data[[#This Row],[Age]]&lt;=55,4,5))))</f>
        <v>3</v>
      </c>
      <c r="AG951" s="1" t="str">
        <f>IF(HR_Data[[#This Row],[MonthlyIncome]]&lt;3000,"&lt;3K",IF(HR_Data[[#This Row],[MonthlyIncome]]&lt;6000,"3K-6K",IF(HR_Data[[#This Row],[MonthlyIncome]]&lt;10000,"6K-10K","10K+")))</f>
        <v>3K-6K</v>
      </c>
      <c r="AH951" s="1">
        <f>IF(HR_Data[[#This Row],[MonthlyIncome]]&lt;3000,1,IF(HR_Data[[#This Row],[MonthlyIncome]]&lt;6000,2,IF(HR_Data[[#This Row],[MonthlyIncome]]&lt;10000,3,4)))</f>
        <v>2</v>
      </c>
      <c r="AI951" s="1" t="str">
        <f>IF(HR_Data[[#This Row],[YearsAtCompany]]&lt;=2,"0-2 Yrs",IF(HR_Data[[#This Row],[YearsAtCompany]]&lt;=5,"3-5 Yrs",IF(HR_Data[[#This Row],[YearsAtCompany]]&lt;=10,"6-10 Yrs","10+ Yrs")))</f>
        <v>6-10 Yrs</v>
      </c>
      <c r="AJ951" s="1">
        <f>IF(HR_Data[[#This Row],[YearsAtCompany]]&lt;=2,1,IF(HR_Data[[#This Row],[YearsAtCompany]]&lt;=5,2,IF(HR_Data[[#This Row],[YearsAtCompany]]&lt;=10,3,4)))</f>
        <v>3</v>
      </c>
      <c r="AK951" s="1" t="str">
        <f>CHOOSE(HR_Data[[#This Row],[Education]],"Below College","College","Bachelor","Master","Doctor")</f>
        <v>College</v>
      </c>
      <c r="AL951" s="1" t="str">
        <f>CHOOSE(HR_Data[[#This Row],[JobSatisfaction]],"Low","Medium","High","Very High")</f>
        <v>High</v>
      </c>
      <c r="AM951" s="1" t="str">
        <f>CHOOSE(HR_Data[[#This Row],[EnvironmentSatisfaction]],"Low","Medium","High","Very High")</f>
        <v>Low</v>
      </c>
      <c r="AN951" s="1" t="str">
        <f>CHOOSE(HR_Data[[#This Row],[WorkLifeBalance]],"Bad","Good","Better","Best")</f>
        <v>Better</v>
      </c>
      <c r="AO951" s="1" t="str">
        <f>IF(HR_Data[[#This Row],[PercentSalaryHike]]&lt;=13,"11-13%",IF(HR_Data[[#This Row],[PercentSalaryHike]]&lt;=16,"14-16%",IF(HR_Data[[#This Row],[PercentSalaryHike]]&lt;=19,"17-19%","20-25%")))</f>
        <v>11-13%</v>
      </c>
      <c r="AP951" s="1">
        <f>IF(HR_Data[[#This Row],[PercentSalaryHike]]&lt;=13,1,IF(HR_Data[[#This Row],[PercentSalaryHike]]&lt;=16,2,IF(HR_Data[[#This Row],[PercentSalaryHike]]&lt;=19,3,4)))</f>
        <v>1</v>
      </c>
      <c r="AQ951" s="1" t="str">
        <f>IF(HR_Data[[#This Row],[DistanceFromHome]]&lt;=5,"1 to 5",IF(HR_Data[[#This Row],[DistanceFromHome]]&lt;=10,"6 to 10",IF(HR_Data[[#This Row],[DistanceFromHome]]&lt;=20,"11 to 20","21 to 29")))</f>
        <v>11 to 20</v>
      </c>
      <c r="AR951" s="1">
        <f>IF(HR_Data[[#This Row],[DistanceFromHome]]&lt;=5,1,IF(HR_Data[[#This Row],[DistanceFromHome]]&lt;=10,2,IF(HR_Data[[#This Row],[DistanceFromHome]]&lt;=20,3,4)))</f>
        <v>3</v>
      </c>
      <c r="AS951" s="1" t="str">
        <f>IF(HR_Data[[#This Row],[TotalWorkingYears]]&lt;=5,"0-5 Yrs",IF(HR_Data[[#This Row],[TotalWorkingYears]]&lt;=10,"6-10 Yrs",IF(HR_Data[[#This Row],[TotalWorkingYears]]&lt;=20,"11-20 Yrs","20+ Yrs")))</f>
        <v>6-10 Yrs</v>
      </c>
      <c r="AT951" s="1">
        <f>IF(HR_Data[[#This Row],[TotalWorkingYears]]&lt;=5,1,IF(HR_Data[[#This Row],[TotalWorkingYears]]&lt;=10,2,IF(HR_Data[[#This Row],[TotalWorkingYears]]&lt;=20,3,4)))</f>
        <v>2</v>
      </c>
    </row>
    <row r="952" spans="1:46" x14ac:dyDescent="0.25">
      <c r="A952">
        <v>31</v>
      </c>
      <c r="B952" t="s">
        <v>36</v>
      </c>
      <c r="C952" t="s">
        <v>48</v>
      </c>
      <c r="D952" t="s">
        <v>31</v>
      </c>
      <c r="E952">
        <v>2</v>
      </c>
      <c r="F952">
        <v>4</v>
      </c>
      <c r="G952" t="s">
        <v>32</v>
      </c>
      <c r="H952">
        <v>1324</v>
      </c>
      <c r="I952">
        <v>4</v>
      </c>
      <c r="J952" t="s">
        <v>33</v>
      </c>
      <c r="K952">
        <v>3</v>
      </c>
      <c r="L952">
        <v>3</v>
      </c>
      <c r="M952" t="s">
        <v>34</v>
      </c>
      <c r="N952">
        <v>3</v>
      </c>
      <c r="O952" t="s">
        <v>45</v>
      </c>
      <c r="P952">
        <v>9852</v>
      </c>
      <c r="Q952">
        <v>1</v>
      </c>
      <c r="R952" t="s">
        <v>29</v>
      </c>
      <c r="S952">
        <v>19</v>
      </c>
      <c r="T952">
        <v>3</v>
      </c>
      <c r="U952">
        <v>1</v>
      </c>
      <c r="V952">
        <v>1</v>
      </c>
      <c r="W952">
        <v>10</v>
      </c>
      <c r="X952">
        <v>5</v>
      </c>
      <c r="Y952">
        <v>2</v>
      </c>
      <c r="Z952">
        <v>10</v>
      </c>
      <c r="AA952">
        <v>8</v>
      </c>
      <c r="AB952">
        <v>9</v>
      </c>
      <c r="AC952">
        <v>6</v>
      </c>
      <c r="AD952">
        <f>IF(HR_Data[[#This Row],[Attrition]]="Yes",1,0)</f>
        <v>0</v>
      </c>
      <c r="AE952" t="str">
        <f>IF(HR_Data[[#This Row],[Age]]&lt;=25,"18-25",IF(HR_Data[[#This Row],[Age]]&lt;=35,"26-35",IF(HR_Data[[#This Row],[Age]]&lt;=45,"36-45",IF(HR_Data[[#This Row],[Age]]&lt;=55,"46-55","55+"))))</f>
        <v>26-35</v>
      </c>
      <c r="AF952">
        <f>IF(HR_Data[[#This Row],[Age]]&lt;=25,1,IF(HR_Data[[#This Row],[Age]]&lt;=35,2,IF(HR_Data[[#This Row],[Age]]&lt;=45,3,IF(HR_Data[[#This Row],[Age]]&lt;=55,4,5))))</f>
        <v>2</v>
      </c>
      <c r="AG952" s="1" t="str">
        <f>IF(HR_Data[[#This Row],[MonthlyIncome]]&lt;3000,"&lt;3K",IF(HR_Data[[#This Row],[MonthlyIncome]]&lt;6000,"3K-6K",IF(HR_Data[[#This Row],[MonthlyIncome]]&lt;10000,"6K-10K","10K+")))</f>
        <v>6K-10K</v>
      </c>
      <c r="AH952" s="1">
        <f>IF(HR_Data[[#This Row],[MonthlyIncome]]&lt;3000,1,IF(HR_Data[[#This Row],[MonthlyIncome]]&lt;6000,2,IF(HR_Data[[#This Row],[MonthlyIncome]]&lt;10000,3,4)))</f>
        <v>3</v>
      </c>
      <c r="AI952" s="1" t="str">
        <f>IF(HR_Data[[#This Row],[YearsAtCompany]]&lt;=2,"0-2 Yrs",IF(HR_Data[[#This Row],[YearsAtCompany]]&lt;=5,"3-5 Yrs",IF(HR_Data[[#This Row],[YearsAtCompany]]&lt;=10,"6-10 Yrs","10+ Yrs")))</f>
        <v>6-10 Yrs</v>
      </c>
      <c r="AJ952" s="1">
        <f>IF(HR_Data[[#This Row],[YearsAtCompany]]&lt;=2,1,IF(HR_Data[[#This Row],[YearsAtCompany]]&lt;=5,2,IF(HR_Data[[#This Row],[YearsAtCompany]]&lt;=10,3,4)))</f>
        <v>3</v>
      </c>
      <c r="AK952" s="1" t="str">
        <f>CHOOSE(HR_Data[[#This Row],[Education]],"Below College","College","Bachelor","Master","Doctor")</f>
        <v>Master</v>
      </c>
      <c r="AL952" s="1" t="str">
        <f>CHOOSE(HR_Data[[#This Row],[JobSatisfaction]],"Low","Medium","High","Very High")</f>
        <v>High</v>
      </c>
      <c r="AM952" s="1" t="str">
        <f>CHOOSE(HR_Data[[#This Row],[EnvironmentSatisfaction]],"Low","Medium","High","Very High")</f>
        <v>Very High</v>
      </c>
      <c r="AN952" s="1" t="str">
        <f>CHOOSE(HR_Data[[#This Row],[WorkLifeBalance]],"Bad","Good","Better","Best")</f>
        <v>Good</v>
      </c>
      <c r="AO952" s="1" t="str">
        <f>IF(HR_Data[[#This Row],[PercentSalaryHike]]&lt;=13,"11-13%",IF(HR_Data[[#This Row],[PercentSalaryHike]]&lt;=16,"14-16%",IF(HR_Data[[#This Row],[PercentSalaryHike]]&lt;=19,"17-19%","20-25%")))</f>
        <v>17-19%</v>
      </c>
      <c r="AP952" s="1">
        <f>IF(HR_Data[[#This Row],[PercentSalaryHike]]&lt;=13,1,IF(HR_Data[[#This Row],[PercentSalaryHike]]&lt;=16,2,IF(HR_Data[[#This Row],[PercentSalaryHike]]&lt;=19,3,4)))</f>
        <v>3</v>
      </c>
      <c r="AQ952" s="1" t="str">
        <f>IF(HR_Data[[#This Row],[DistanceFromHome]]&lt;=5,"1 to 5",IF(HR_Data[[#This Row],[DistanceFromHome]]&lt;=10,"6 to 10",IF(HR_Data[[#This Row],[DistanceFromHome]]&lt;=20,"11 to 20","21 to 29")))</f>
        <v>1 to 5</v>
      </c>
      <c r="AR952" s="1">
        <f>IF(HR_Data[[#This Row],[DistanceFromHome]]&lt;=5,1,IF(HR_Data[[#This Row],[DistanceFromHome]]&lt;=10,2,IF(HR_Data[[#This Row],[DistanceFromHome]]&lt;=20,3,4)))</f>
        <v>1</v>
      </c>
      <c r="AS952" s="1" t="str">
        <f>IF(HR_Data[[#This Row],[TotalWorkingYears]]&lt;=5,"0-5 Yrs",IF(HR_Data[[#This Row],[TotalWorkingYears]]&lt;=10,"6-10 Yrs",IF(HR_Data[[#This Row],[TotalWorkingYears]]&lt;=20,"11-20 Yrs","20+ Yrs")))</f>
        <v>6-10 Yrs</v>
      </c>
      <c r="AT952" s="1">
        <f>IF(HR_Data[[#This Row],[TotalWorkingYears]]&lt;=5,1,IF(HR_Data[[#This Row],[TotalWorkingYears]]&lt;=10,2,IF(HR_Data[[#This Row],[TotalWorkingYears]]&lt;=20,3,4)))</f>
        <v>2</v>
      </c>
    </row>
    <row r="953" spans="1:46" x14ac:dyDescent="0.25">
      <c r="A953">
        <v>41</v>
      </c>
      <c r="B953" t="s">
        <v>36</v>
      </c>
      <c r="C953" t="s">
        <v>48</v>
      </c>
      <c r="D953" t="s">
        <v>31</v>
      </c>
      <c r="E953">
        <v>10</v>
      </c>
      <c r="F953">
        <v>2</v>
      </c>
      <c r="G953" t="s">
        <v>44</v>
      </c>
      <c r="H953">
        <v>1329</v>
      </c>
      <c r="I953">
        <v>3</v>
      </c>
      <c r="J953" t="s">
        <v>39</v>
      </c>
      <c r="K953">
        <v>1</v>
      </c>
      <c r="L953">
        <v>2</v>
      </c>
      <c r="M953" t="s">
        <v>34</v>
      </c>
      <c r="N953">
        <v>2</v>
      </c>
      <c r="O953" t="s">
        <v>35</v>
      </c>
      <c r="P953">
        <v>6151</v>
      </c>
      <c r="Q953">
        <v>1</v>
      </c>
      <c r="R953" t="s">
        <v>36</v>
      </c>
      <c r="S953">
        <v>13</v>
      </c>
      <c r="T953">
        <v>3</v>
      </c>
      <c r="U953">
        <v>1</v>
      </c>
      <c r="V953">
        <v>0</v>
      </c>
      <c r="W953">
        <v>19</v>
      </c>
      <c r="X953">
        <v>4</v>
      </c>
      <c r="Y953">
        <v>3</v>
      </c>
      <c r="Z953">
        <v>19</v>
      </c>
      <c r="AA953">
        <v>2</v>
      </c>
      <c r="AB953">
        <v>11</v>
      </c>
      <c r="AC953">
        <v>9</v>
      </c>
      <c r="AD953">
        <f>IF(HR_Data[[#This Row],[Attrition]]="Yes",1,0)</f>
        <v>0</v>
      </c>
      <c r="AE953" t="str">
        <f>IF(HR_Data[[#This Row],[Age]]&lt;=25,"18-25",IF(HR_Data[[#This Row],[Age]]&lt;=35,"26-35",IF(HR_Data[[#This Row],[Age]]&lt;=45,"36-45",IF(HR_Data[[#This Row],[Age]]&lt;=55,"46-55","55+"))))</f>
        <v>36-45</v>
      </c>
      <c r="AF953">
        <f>IF(HR_Data[[#This Row],[Age]]&lt;=25,1,IF(HR_Data[[#This Row],[Age]]&lt;=35,2,IF(HR_Data[[#This Row],[Age]]&lt;=45,3,IF(HR_Data[[#This Row],[Age]]&lt;=55,4,5))))</f>
        <v>3</v>
      </c>
      <c r="AG953" s="1" t="str">
        <f>IF(HR_Data[[#This Row],[MonthlyIncome]]&lt;3000,"&lt;3K",IF(HR_Data[[#This Row],[MonthlyIncome]]&lt;6000,"3K-6K",IF(HR_Data[[#This Row],[MonthlyIncome]]&lt;10000,"6K-10K","10K+")))</f>
        <v>6K-10K</v>
      </c>
      <c r="AH953" s="1">
        <f>IF(HR_Data[[#This Row],[MonthlyIncome]]&lt;3000,1,IF(HR_Data[[#This Row],[MonthlyIncome]]&lt;6000,2,IF(HR_Data[[#This Row],[MonthlyIncome]]&lt;10000,3,4)))</f>
        <v>3</v>
      </c>
      <c r="AI953" s="1" t="str">
        <f>IF(HR_Data[[#This Row],[YearsAtCompany]]&lt;=2,"0-2 Yrs",IF(HR_Data[[#This Row],[YearsAtCompany]]&lt;=5,"3-5 Yrs",IF(HR_Data[[#This Row],[YearsAtCompany]]&lt;=10,"6-10 Yrs","10+ Yrs")))</f>
        <v>10+ Yrs</v>
      </c>
      <c r="AJ953" s="1">
        <f>IF(HR_Data[[#This Row],[YearsAtCompany]]&lt;=2,1,IF(HR_Data[[#This Row],[YearsAtCompany]]&lt;=5,2,IF(HR_Data[[#This Row],[YearsAtCompany]]&lt;=10,3,4)))</f>
        <v>4</v>
      </c>
      <c r="AK953" s="1" t="str">
        <f>CHOOSE(HR_Data[[#This Row],[Education]],"Below College","College","Bachelor","Master","Doctor")</f>
        <v>College</v>
      </c>
      <c r="AL953" s="1" t="str">
        <f>CHOOSE(HR_Data[[#This Row],[JobSatisfaction]],"Low","Medium","High","Very High")</f>
        <v>Medium</v>
      </c>
      <c r="AM953" s="1" t="str">
        <f>CHOOSE(HR_Data[[#This Row],[EnvironmentSatisfaction]],"Low","Medium","High","Very High")</f>
        <v>High</v>
      </c>
      <c r="AN953" s="1" t="str">
        <f>CHOOSE(HR_Data[[#This Row],[WorkLifeBalance]],"Bad","Good","Better","Best")</f>
        <v>Better</v>
      </c>
      <c r="AO953" s="1" t="str">
        <f>IF(HR_Data[[#This Row],[PercentSalaryHike]]&lt;=13,"11-13%",IF(HR_Data[[#This Row],[PercentSalaryHike]]&lt;=16,"14-16%",IF(HR_Data[[#This Row],[PercentSalaryHike]]&lt;=19,"17-19%","20-25%")))</f>
        <v>11-13%</v>
      </c>
      <c r="AP953" s="1">
        <f>IF(HR_Data[[#This Row],[PercentSalaryHike]]&lt;=13,1,IF(HR_Data[[#This Row],[PercentSalaryHike]]&lt;=16,2,IF(HR_Data[[#This Row],[PercentSalaryHike]]&lt;=19,3,4)))</f>
        <v>1</v>
      </c>
      <c r="AQ953" s="1" t="str">
        <f>IF(HR_Data[[#This Row],[DistanceFromHome]]&lt;=5,"1 to 5",IF(HR_Data[[#This Row],[DistanceFromHome]]&lt;=10,"6 to 10",IF(HR_Data[[#This Row],[DistanceFromHome]]&lt;=20,"11 to 20","21 to 29")))</f>
        <v>6 to 10</v>
      </c>
      <c r="AR953" s="1">
        <f>IF(HR_Data[[#This Row],[DistanceFromHome]]&lt;=5,1,IF(HR_Data[[#This Row],[DistanceFromHome]]&lt;=10,2,IF(HR_Data[[#This Row],[DistanceFromHome]]&lt;=20,3,4)))</f>
        <v>2</v>
      </c>
      <c r="AS953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953" s="1">
        <f>IF(HR_Data[[#This Row],[TotalWorkingYears]]&lt;=5,1,IF(HR_Data[[#This Row],[TotalWorkingYears]]&lt;=10,2,IF(HR_Data[[#This Row],[TotalWorkingYears]]&lt;=20,3,4)))</f>
        <v>3</v>
      </c>
    </row>
    <row r="954" spans="1:46" x14ac:dyDescent="0.25">
      <c r="A954">
        <v>31</v>
      </c>
      <c r="B954" t="s">
        <v>29</v>
      </c>
      <c r="C954" t="s">
        <v>37</v>
      </c>
      <c r="D954" t="s">
        <v>31</v>
      </c>
      <c r="E954">
        <v>1</v>
      </c>
      <c r="F954">
        <v>3</v>
      </c>
      <c r="G954" t="s">
        <v>32</v>
      </c>
      <c r="H954">
        <v>1331</v>
      </c>
      <c r="I954">
        <v>4</v>
      </c>
      <c r="J954" t="s">
        <v>33</v>
      </c>
      <c r="K954">
        <v>3</v>
      </c>
      <c r="L954">
        <v>1</v>
      </c>
      <c r="M954" t="s">
        <v>50</v>
      </c>
      <c r="N954">
        <v>2</v>
      </c>
      <c r="O954" t="s">
        <v>35</v>
      </c>
      <c r="P954">
        <v>2302</v>
      </c>
      <c r="Q954">
        <v>1</v>
      </c>
      <c r="R954" t="s">
        <v>29</v>
      </c>
      <c r="S954">
        <v>11</v>
      </c>
      <c r="T954">
        <v>3</v>
      </c>
      <c r="U954">
        <v>1</v>
      </c>
      <c r="V954">
        <v>0</v>
      </c>
      <c r="W954">
        <v>3</v>
      </c>
      <c r="X954">
        <v>2</v>
      </c>
      <c r="Y954">
        <v>4</v>
      </c>
      <c r="Z954">
        <v>3</v>
      </c>
      <c r="AA954">
        <v>2</v>
      </c>
      <c r="AB954">
        <v>2</v>
      </c>
      <c r="AC954">
        <v>2</v>
      </c>
      <c r="AD954">
        <f>IF(HR_Data[[#This Row],[Attrition]]="Yes",1,0)</f>
        <v>1</v>
      </c>
      <c r="AE954" t="str">
        <f>IF(HR_Data[[#This Row],[Age]]&lt;=25,"18-25",IF(HR_Data[[#This Row],[Age]]&lt;=35,"26-35",IF(HR_Data[[#This Row],[Age]]&lt;=45,"36-45",IF(HR_Data[[#This Row],[Age]]&lt;=55,"46-55","55+"))))</f>
        <v>26-35</v>
      </c>
      <c r="AF954">
        <f>IF(HR_Data[[#This Row],[Age]]&lt;=25,1,IF(HR_Data[[#This Row],[Age]]&lt;=35,2,IF(HR_Data[[#This Row],[Age]]&lt;=45,3,IF(HR_Data[[#This Row],[Age]]&lt;=55,4,5))))</f>
        <v>2</v>
      </c>
      <c r="AG954" s="1" t="str">
        <f>IF(HR_Data[[#This Row],[MonthlyIncome]]&lt;3000,"&lt;3K",IF(HR_Data[[#This Row],[MonthlyIncome]]&lt;6000,"3K-6K",IF(HR_Data[[#This Row],[MonthlyIncome]]&lt;10000,"6K-10K","10K+")))</f>
        <v>&lt;3K</v>
      </c>
      <c r="AH954" s="1">
        <f>IF(HR_Data[[#This Row],[MonthlyIncome]]&lt;3000,1,IF(HR_Data[[#This Row],[MonthlyIncome]]&lt;6000,2,IF(HR_Data[[#This Row],[MonthlyIncome]]&lt;10000,3,4)))</f>
        <v>1</v>
      </c>
      <c r="AI954" s="1" t="str">
        <f>IF(HR_Data[[#This Row],[YearsAtCompany]]&lt;=2,"0-2 Yrs",IF(HR_Data[[#This Row],[YearsAtCompany]]&lt;=5,"3-5 Yrs",IF(HR_Data[[#This Row],[YearsAtCompany]]&lt;=10,"6-10 Yrs","10+ Yrs")))</f>
        <v>3-5 Yrs</v>
      </c>
      <c r="AJ954" s="1">
        <f>IF(HR_Data[[#This Row],[YearsAtCompany]]&lt;=2,1,IF(HR_Data[[#This Row],[YearsAtCompany]]&lt;=5,2,IF(HR_Data[[#This Row],[YearsAtCompany]]&lt;=10,3,4)))</f>
        <v>2</v>
      </c>
      <c r="AK954" s="1" t="str">
        <f>CHOOSE(HR_Data[[#This Row],[Education]],"Below College","College","Bachelor","Master","Doctor")</f>
        <v>Bachelor</v>
      </c>
      <c r="AL954" s="1" t="str">
        <f>CHOOSE(HR_Data[[#This Row],[JobSatisfaction]],"Low","Medium","High","Very High")</f>
        <v>Medium</v>
      </c>
      <c r="AM954" s="1" t="str">
        <f>CHOOSE(HR_Data[[#This Row],[EnvironmentSatisfaction]],"Low","Medium","High","Very High")</f>
        <v>Very High</v>
      </c>
      <c r="AN954" s="1" t="str">
        <f>CHOOSE(HR_Data[[#This Row],[WorkLifeBalance]],"Bad","Good","Better","Best")</f>
        <v>Best</v>
      </c>
      <c r="AO954" s="1" t="str">
        <f>IF(HR_Data[[#This Row],[PercentSalaryHike]]&lt;=13,"11-13%",IF(HR_Data[[#This Row],[PercentSalaryHike]]&lt;=16,"14-16%",IF(HR_Data[[#This Row],[PercentSalaryHike]]&lt;=19,"17-19%","20-25%")))</f>
        <v>11-13%</v>
      </c>
      <c r="AP954" s="1">
        <f>IF(HR_Data[[#This Row],[PercentSalaryHike]]&lt;=13,1,IF(HR_Data[[#This Row],[PercentSalaryHike]]&lt;=16,2,IF(HR_Data[[#This Row],[PercentSalaryHike]]&lt;=19,3,4)))</f>
        <v>1</v>
      </c>
      <c r="AQ954" s="1" t="str">
        <f>IF(HR_Data[[#This Row],[DistanceFromHome]]&lt;=5,"1 to 5",IF(HR_Data[[#This Row],[DistanceFromHome]]&lt;=10,"6 to 10",IF(HR_Data[[#This Row],[DistanceFromHome]]&lt;=20,"11 to 20","21 to 29")))</f>
        <v>1 to 5</v>
      </c>
      <c r="AR954" s="1">
        <f>IF(HR_Data[[#This Row],[DistanceFromHome]]&lt;=5,1,IF(HR_Data[[#This Row],[DistanceFromHome]]&lt;=10,2,IF(HR_Data[[#This Row],[DistanceFromHome]]&lt;=20,3,4)))</f>
        <v>1</v>
      </c>
      <c r="AS954" s="1" t="str">
        <f>IF(HR_Data[[#This Row],[TotalWorkingYears]]&lt;=5,"0-5 Yrs",IF(HR_Data[[#This Row],[TotalWorkingYears]]&lt;=10,"6-10 Yrs",IF(HR_Data[[#This Row],[TotalWorkingYears]]&lt;=20,"11-20 Yrs","20+ Yrs")))</f>
        <v>0-5 Yrs</v>
      </c>
      <c r="AT954" s="1">
        <f>IF(HR_Data[[#This Row],[TotalWorkingYears]]&lt;=5,1,IF(HR_Data[[#This Row],[TotalWorkingYears]]&lt;=10,2,IF(HR_Data[[#This Row],[TotalWorkingYears]]&lt;=20,3,4)))</f>
        <v>1</v>
      </c>
    </row>
    <row r="955" spans="1:46" x14ac:dyDescent="0.25">
      <c r="A955">
        <v>44</v>
      </c>
      <c r="B955" t="s">
        <v>29</v>
      </c>
      <c r="C955" t="s">
        <v>30</v>
      </c>
      <c r="D955" t="s">
        <v>38</v>
      </c>
      <c r="E955">
        <v>3</v>
      </c>
      <c r="F955">
        <v>3</v>
      </c>
      <c r="G955" t="s">
        <v>32</v>
      </c>
      <c r="H955">
        <v>1333</v>
      </c>
      <c r="I955">
        <v>1</v>
      </c>
      <c r="J955" t="s">
        <v>39</v>
      </c>
      <c r="K955">
        <v>3</v>
      </c>
      <c r="L955">
        <v>1</v>
      </c>
      <c r="M955" t="s">
        <v>43</v>
      </c>
      <c r="N955">
        <v>1</v>
      </c>
      <c r="O955" t="s">
        <v>41</v>
      </c>
      <c r="P955">
        <v>2362</v>
      </c>
      <c r="Q955">
        <v>4</v>
      </c>
      <c r="R955" t="s">
        <v>36</v>
      </c>
      <c r="S955">
        <v>12</v>
      </c>
      <c r="T955">
        <v>3</v>
      </c>
      <c r="U955">
        <v>3</v>
      </c>
      <c r="V955">
        <v>0</v>
      </c>
      <c r="W955">
        <v>10</v>
      </c>
      <c r="X955">
        <v>4</v>
      </c>
      <c r="Y955">
        <v>4</v>
      </c>
      <c r="Z955">
        <v>3</v>
      </c>
      <c r="AA955">
        <v>2</v>
      </c>
      <c r="AB955">
        <v>1</v>
      </c>
      <c r="AC955">
        <v>2</v>
      </c>
      <c r="AD955">
        <f>IF(HR_Data[[#This Row],[Attrition]]="Yes",1,0)</f>
        <v>1</v>
      </c>
      <c r="AE955" t="str">
        <f>IF(HR_Data[[#This Row],[Age]]&lt;=25,"18-25",IF(HR_Data[[#This Row],[Age]]&lt;=35,"26-35",IF(HR_Data[[#This Row],[Age]]&lt;=45,"36-45",IF(HR_Data[[#This Row],[Age]]&lt;=55,"46-55","55+"))))</f>
        <v>36-45</v>
      </c>
      <c r="AF955">
        <f>IF(HR_Data[[#This Row],[Age]]&lt;=25,1,IF(HR_Data[[#This Row],[Age]]&lt;=35,2,IF(HR_Data[[#This Row],[Age]]&lt;=45,3,IF(HR_Data[[#This Row],[Age]]&lt;=55,4,5))))</f>
        <v>3</v>
      </c>
      <c r="AG955" s="1" t="str">
        <f>IF(HR_Data[[#This Row],[MonthlyIncome]]&lt;3000,"&lt;3K",IF(HR_Data[[#This Row],[MonthlyIncome]]&lt;6000,"3K-6K",IF(HR_Data[[#This Row],[MonthlyIncome]]&lt;10000,"6K-10K","10K+")))</f>
        <v>&lt;3K</v>
      </c>
      <c r="AH955" s="1">
        <f>IF(HR_Data[[#This Row],[MonthlyIncome]]&lt;3000,1,IF(HR_Data[[#This Row],[MonthlyIncome]]&lt;6000,2,IF(HR_Data[[#This Row],[MonthlyIncome]]&lt;10000,3,4)))</f>
        <v>1</v>
      </c>
      <c r="AI955" s="1" t="str">
        <f>IF(HR_Data[[#This Row],[YearsAtCompany]]&lt;=2,"0-2 Yrs",IF(HR_Data[[#This Row],[YearsAtCompany]]&lt;=5,"3-5 Yrs",IF(HR_Data[[#This Row],[YearsAtCompany]]&lt;=10,"6-10 Yrs","10+ Yrs")))</f>
        <v>3-5 Yrs</v>
      </c>
      <c r="AJ955" s="1">
        <f>IF(HR_Data[[#This Row],[YearsAtCompany]]&lt;=2,1,IF(HR_Data[[#This Row],[YearsAtCompany]]&lt;=5,2,IF(HR_Data[[#This Row],[YearsAtCompany]]&lt;=10,3,4)))</f>
        <v>2</v>
      </c>
      <c r="AK955" s="1" t="str">
        <f>CHOOSE(HR_Data[[#This Row],[Education]],"Below College","College","Bachelor","Master","Doctor")</f>
        <v>Bachelor</v>
      </c>
      <c r="AL955" s="1" t="str">
        <f>CHOOSE(HR_Data[[#This Row],[JobSatisfaction]],"Low","Medium","High","Very High")</f>
        <v>Low</v>
      </c>
      <c r="AM955" s="1" t="str">
        <f>CHOOSE(HR_Data[[#This Row],[EnvironmentSatisfaction]],"Low","Medium","High","Very High")</f>
        <v>Low</v>
      </c>
      <c r="AN955" s="1" t="str">
        <f>CHOOSE(HR_Data[[#This Row],[WorkLifeBalance]],"Bad","Good","Better","Best")</f>
        <v>Best</v>
      </c>
      <c r="AO955" s="1" t="str">
        <f>IF(HR_Data[[#This Row],[PercentSalaryHike]]&lt;=13,"11-13%",IF(HR_Data[[#This Row],[PercentSalaryHike]]&lt;=16,"14-16%",IF(HR_Data[[#This Row],[PercentSalaryHike]]&lt;=19,"17-19%","20-25%")))</f>
        <v>11-13%</v>
      </c>
      <c r="AP955" s="1">
        <f>IF(HR_Data[[#This Row],[PercentSalaryHike]]&lt;=13,1,IF(HR_Data[[#This Row],[PercentSalaryHike]]&lt;=16,2,IF(HR_Data[[#This Row],[PercentSalaryHike]]&lt;=19,3,4)))</f>
        <v>1</v>
      </c>
      <c r="AQ955" s="1" t="str">
        <f>IF(HR_Data[[#This Row],[DistanceFromHome]]&lt;=5,"1 to 5",IF(HR_Data[[#This Row],[DistanceFromHome]]&lt;=10,"6 to 10",IF(HR_Data[[#This Row],[DistanceFromHome]]&lt;=20,"11 to 20","21 to 29")))</f>
        <v>1 to 5</v>
      </c>
      <c r="AR955" s="1">
        <f>IF(HR_Data[[#This Row],[DistanceFromHome]]&lt;=5,1,IF(HR_Data[[#This Row],[DistanceFromHome]]&lt;=10,2,IF(HR_Data[[#This Row],[DistanceFromHome]]&lt;=20,3,4)))</f>
        <v>1</v>
      </c>
      <c r="AS955" s="1" t="str">
        <f>IF(HR_Data[[#This Row],[TotalWorkingYears]]&lt;=5,"0-5 Yrs",IF(HR_Data[[#This Row],[TotalWorkingYears]]&lt;=10,"6-10 Yrs",IF(HR_Data[[#This Row],[TotalWorkingYears]]&lt;=20,"11-20 Yrs","20+ Yrs")))</f>
        <v>6-10 Yrs</v>
      </c>
      <c r="AT955" s="1">
        <f>IF(HR_Data[[#This Row],[TotalWorkingYears]]&lt;=5,1,IF(HR_Data[[#This Row],[TotalWorkingYears]]&lt;=10,2,IF(HR_Data[[#This Row],[TotalWorkingYears]]&lt;=20,3,4)))</f>
        <v>2</v>
      </c>
    </row>
    <row r="956" spans="1:46" x14ac:dyDescent="0.25">
      <c r="A956">
        <v>42</v>
      </c>
      <c r="B956" t="s">
        <v>36</v>
      </c>
      <c r="C956" t="s">
        <v>48</v>
      </c>
      <c r="D956" t="s">
        <v>38</v>
      </c>
      <c r="E956">
        <v>2</v>
      </c>
      <c r="F956">
        <v>1</v>
      </c>
      <c r="G956" t="s">
        <v>32</v>
      </c>
      <c r="H956">
        <v>1334</v>
      </c>
      <c r="I956">
        <v>3</v>
      </c>
      <c r="J956" t="s">
        <v>39</v>
      </c>
      <c r="K956">
        <v>3</v>
      </c>
      <c r="L956">
        <v>4</v>
      </c>
      <c r="M956" t="s">
        <v>49</v>
      </c>
      <c r="N956">
        <v>3</v>
      </c>
      <c r="O956" t="s">
        <v>41</v>
      </c>
      <c r="P956">
        <v>17861</v>
      </c>
      <c r="Q956">
        <v>0</v>
      </c>
      <c r="R956" t="s">
        <v>29</v>
      </c>
      <c r="S956">
        <v>13</v>
      </c>
      <c r="T956">
        <v>3</v>
      </c>
      <c r="U956">
        <v>4</v>
      </c>
      <c r="V956">
        <v>0</v>
      </c>
      <c r="W956">
        <v>21</v>
      </c>
      <c r="X956">
        <v>3</v>
      </c>
      <c r="Y956">
        <v>2</v>
      </c>
      <c r="Z956">
        <v>20</v>
      </c>
      <c r="AA956">
        <v>8</v>
      </c>
      <c r="AB956">
        <v>2</v>
      </c>
      <c r="AC956">
        <v>10</v>
      </c>
      <c r="AD956">
        <f>IF(HR_Data[[#This Row],[Attrition]]="Yes",1,0)</f>
        <v>0</v>
      </c>
      <c r="AE956" t="str">
        <f>IF(HR_Data[[#This Row],[Age]]&lt;=25,"18-25",IF(HR_Data[[#This Row],[Age]]&lt;=35,"26-35",IF(HR_Data[[#This Row],[Age]]&lt;=45,"36-45",IF(HR_Data[[#This Row],[Age]]&lt;=55,"46-55","55+"))))</f>
        <v>36-45</v>
      </c>
      <c r="AF956">
        <f>IF(HR_Data[[#This Row],[Age]]&lt;=25,1,IF(HR_Data[[#This Row],[Age]]&lt;=35,2,IF(HR_Data[[#This Row],[Age]]&lt;=45,3,IF(HR_Data[[#This Row],[Age]]&lt;=55,4,5))))</f>
        <v>3</v>
      </c>
      <c r="AG956" s="1" t="str">
        <f>IF(HR_Data[[#This Row],[MonthlyIncome]]&lt;3000,"&lt;3K",IF(HR_Data[[#This Row],[MonthlyIncome]]&lt;6000,"3K-6K",IF(HR_Data[[#This Row],[MonthlyIncome]]&lt;10000,"6K-10K","10K+")))</f>
        <v>10K+</v>
      </c>
      <c r="AH956" s="1">
        <f>IF(HR_Data[[#This Row],[MonthlyIncome]]&lt;3000,1,IF(HR_Data[[#This Row],[MonthlyIncome]]&lt;6000,2,IF(HR_Data[[#This Row],[MonthlyIncome]]&lt;10000,3,4)))</f>
        <v>4</v>
      </c>
      <c r="AI956" s="1" t="str">
        <f>IF(HR_Data[[#This Row],[YearsAtCompany]]&lt;=2,"0-2 Yrs",IF(HR_Data[[#This Row],[YearsAtCompany]]&lt;=5,"3-5 Yrs",IF(HR_Data[[#This Row],[YearsAtCompany]]&lt;=10,"6-10 Yrs","10+ Yrs")))</f>
        <v>10+ Yrs</v>
      </c>
      <c r="AJ956" s="1">
        <f>IF(HR_Data[[#This Row],[YearsAtCompany]]&lt;=2,1,IF(HR_Data[[#This Row],[YearsAtCompany]]&lt;=5,2,IF(HR_Data[[#This Row],[YearsAtCompany]]&lt;=10,3,4)))</f>
        <v>4</v>
      </c>
      <c r="AK956" s="1" t="str">
        <f>CHOOSE(HR_Data[[#This Row],[Education]],"Below College","College","Bachelor","Master","Doctor")</f>
        <v>Below College</v>
      </c>
      <c r="AL956" s="1" t="str">
        <f>CHOOSE(HR_Data[[#This Row],[JobSatisfaction]],"Low","Medium","High","Very High")</f>
        <v>High</v>
      </c>
      <c r="AM956" s="1" t="str">
        <f>CHOOSE(HR_Data[[#This Row],[EnvironmentSatisfaction]],"Low","Medium","High","Very High")</f>
        <v>High</v>
      </c>
      <c r="AN956" s="1" t="str">
        <f>CHOOSE(HR_Data[[#This Row],[WorkLifeBalance]],"Bad","Good","Better","Best")</f>
        <v>Good</v>
      </c>
      <c r="AO956" s="1" t="str">
        <f>IF(HR_Data[[#This Row],[PercentSalaryHike]]&lt;=13,"11-13%",IF(HR_Data[[#This Row],[PercentSalaryHike]]&lt;=16,"14-16%",IF(HR_Data[[#This Row],[PercentSalaryHike]]&lt;=19,"17-19%","20-25%")))</f>
        <v>11-13%</v>
      </c>
      <c r="AP956" s="1">
        <f>IF(HR_Data[[#This Row],[PercentSalaryHike]]&lt;=13,1,IF(HR_Data[[#This Row],[PercentSalaryHike]]&lt;=16,2,IF(HR_Data[[#This Row],[PercentSalaryHike]]&lt;=19,3,4)))</f>
        <v>1</v>
      </c>
      <c r="AQ956" s="1" t="str">
        <f>IF(HR_Data[[#This Row],[DistanceFromHome]]&lt;=5,"1 to 5",IF(HR_Data[[#This Row],[DistanceFromHome]]&lt;=10,"6 to 10",IF(HR_Data[[#This Row],[DistanceFromHome]]&lt;=20,"11 to 20","21 to 29")))</f>
        <v>1 to 5</v>
      </c>
      <c r="AR956" s="1">
        <f>IF(HR_Data[[#This Row],[DistanceFromHome]]&lt;=5,1,IF(HR_Data[[#This Row],[DistanceFromHome]]&lt;=10,2,IF(HR_Data[[#This Row],[DistanceFromHome]]&lt;=20,3,4)))</f>
        <v>1</v>
      </c>
      <c r="AS956" s="1" t="str">
        <f>IF(HR_Data[[#This Row],[TotalWorkingYears]]&lt;=5,"0-5 Yrs",IF(HR_Data[[#This Row],[TotalWorkingYears]]&lt;=10,"6-10 Yrs",IF(HR_Data[[#This Row],[TotalWorkingYears]]&lt;=20,"11-20 Yrs","20+ Yrs")))</f>
        <v>20+ Yrs</v>
      </c>
      <c r="AT956" s="1">
        <f>IF(HR_Data[[#This Row],[TotalWorkingYears]]&lt;=5,1,IF(HR_Data[[#This Row],[TotalWorkingYears]]&lt;=10,2,IF(HR_Data[[#This Row],[TotalWorkingYears]]&lt;=20,3,4)))</f>
        <v>4</v>
      </c>
    </row>
    <row r="957" spans="1:46" x14ac:dyDescent="0.25">
      <c r="A957">
        <v>55</v>
      </c>
      <c r="B957" t="s">
        <v>36</v>
      </c>
      <c r="C957" t="s">
        <v>30</v>
      </c>
      <c r="D957" t="s">
        <v>38</v>
      </c>
      <c r="E957">
        <v>2</v>
      </c>
      <c r="F957">
        <v>2</v>
      </c>
      <c r="G957" t="s">
        <v>44</v>
      </c>
      <c r="H957">
        <v>1336</v>
      </c>
      <c r="I957">
        <v>4</v>
      </c>
      <c r="J957" t="s">
        <v>33</v>
      </c>
      <c r="K957">
        <v>1</v>
      </c>
      <c r="L957">
        <v>5</v>
      </c>
      <c r="M957" t="s">
        <v>49</v>
      </c>
      <c r="N957">
        <v>3</v>
      </c>
      <c r="O957" t="s">
        <v>41</v>
      </c>
      <c r="P957">
        <v>19187</v>
      </c>
      <c r="Q957">
        <v>4</v>
      </c>
      <c r="R957" t="s">
        <v>36</v>
      </c>
      <c r="S957">
        <v>14</v>
      </c>
      <c r="T957">
        <v>3</v>
      </c>
      <c r="U957">
        <v>4</v>
      </c>
      <c r="V957">
        <v>1</v>
      </c>
      <c r="W957">
        <v>23</v>
      </c>
      <c r="X957">
        <v>5</v>
      </c>
      <c r="Y957">
        <v>3</v>
      </c>
      <c r="Z957">
        <v>19</v>
      </c>
      <c r="AA957">
        <v>9</v>
      </c>
      <c r="AB957">
        <v>9</v>
      </c>
      <c r="AC957">
        <v>11</v>
      </c>
      <c r="AD957">
        <f>IF(HR_Data[[#This Row],[Attrition]]="Yes",1,0)</f>
        <v>0</v>
      </c>
      <c r="AE957" t="str">
        <f>IF(HR_Data[[#This Row],[Age]]&lt;=25,"18-25",IF(HR_Data[[#This Row],[Age]]&lt;=35,"26-35",IF(HR_Data[[#This Row],[Age]]&lt;=45,"36-45",IF(HR_Data[[#This Row],[Age]]&lt;=55,"46-55","55+"))))</f>
        <v>46-55</v>
      </c>
      <c r="AF957">
        <f>IF(HR_Data[[#This Row],[Age]]&lt;=25,1,IF(HR_Data[[#This Row],[Age]]&lt;=35,2,IF(HR_Data[[#This Row],[Age]]&lt;=45,3,IF(HR_Data[[#This Row],[Age]]&lt;=55,4,5))))</f>
        <v>4</v>
      </c>
      <c r="AG957" s="1" t="str">
        <f>IF(HR_Data[[#This Row],[MonthlyIncome]]&lt;3000,"&lt;3K",IF(HR_Data[[#This Row],[MonthlyIncome]]&lt;6000,"3K-6K",IF(HR_Data[[#This Row],[MonthlyIncome]]&lt;10000,"6K-10K","10K+")))</f>
        <v>10K+</v>
      </c>
      <c r="AH957" s="1">
        <f>IF(HR_Data[[#This Row],[MonthlyIncome]]&lt;3000,1,IF(HR_Data[[#This Row],[MonthlyIncome]]&lt;6000,2,IF(HR_Data[[#This Row],[MonthlyIncome]]&lt;10000,3,4)))</f>
        <v>4</v>
      </c>
      <c r="AI957" s="1" t="str">
        <f>IF(HR_Data[[#This Row],[YearsAtCompany]]&lt;=2,"0-2 Yrs",IF(HR_Data[[#This Row],[YearsAtCompany]]&lt;=5,"3-5 Yrs",IF(HR_Data[[#This Row],[YearsAtCompany]]&lt;=10,"6-10 Yrs","10+ Yrs")))</f>
        <v>10+ Yrs</v>
      </c>
      <c r="AJ957" s="1">
        <f>IF(HR_Data[[#This Row],[YearsAtCompany]]&lt;=2,1,IF(HR_Data[[#This Row],[YearsAtCompany]]&lt;=5,2,IF(HR_Data[[#This Row],[YearsAtCompany]]&lt;=10,3,4)))</f>
        <v>4</v>
      </c>
      <c r="AK957" s="1" t="str">
        <f>CHOOSE(HR_Data[[#This Row],[Education]],"Below College","College","Bachelor","Master","Doctor")</f>
        <v>College</v>
      </c>
      <c r="AL957" s="1" t="str">
        <f>CHOOSE(HR_Data[[#This Row],[JobSatisfaction]],"Low","Medium","High","Very High")</f>
        <v>High</v>
      </c>
      <c r="AM957" s="1" t="str">
        <f>CHOOSE(HR_Data[[#This Row],[EnvironmentSatisfaction]],"Low","Medium","High","Very High")</f>
        <v>Very High</v>
      </c>
      <c r="AN957" s="1" t="str">
        <f>CHOOSE(HR_Data[[#This Row],[WorkLifeBalance]],"Bad","Good","Better","Best")</f>
        <v>Better</v>
      </c>
      <c r="AO957" s="1" t="str">
        <f>IF(HR_Data[[#This Row],[PercentSalaryHike]]&lt;=13,"11-13%",IF(HR_Data[[#This Row],[PercentSalaryHike]]&lt;=16,"14-16%",IF(HR_Data[[#This Row],[PercentSalaryHike]]&lt;=19,"17-19%","20-25%")))</f>
        <v>14-16%</v>
      </c>
      <c r="AP957" s="1">
        <f>IF(HR_Data[[#This Row],[PercentSalaryHike]]&lt;=13,1,IF(HR_Data[[#This Row],[PercentSalaryHike]]&lt;=16,2,IF(HR_Data[[#This Row],[PercentSalaryHike]]&lt;=19,3,4)))</f>
        <v>2</v>
      </c>
      <c r="AQ957" s="1" t="str">
        <f>IF(HR_Data[[#This Row],[DistanceFromHome]]&lt;=5,"1 to 5",IF(HR_Data[[#This Row],[DistanceFromHome]]&lt;=10,"6 to 10",IF(HR_Data[[#This Row],[DistanceFromHome]]&lt;=20,"11 to 20","21 to 29")))</f>
        <v>1 to 5</v>
      </c>
      <c r="AR957" s="1">
        <f>IF(HR_Data[[#This Row],[DistanceFromHome]]&lt;=5,1,IF(HR_Data[[#This Row],[DistanceFromHome]]&lt;=10,2,IF(HR_Data[[#This Row],[DistanceFromHome]]&lt;=20,3,4)))</f>
        <v>1</v>
      </c>
      <c r="AS957" s="1" t="str">
        <f>IF(HR_Data[[#This Row],[TotalWorkingYears]]&lt;=5,"0-5 Yrs",IF(HR_Data[[#This Row],[TotalWorkingYears]]&lt;=10,"6-10 Yrs",IF(HR_Data[[#This Row],[TotalWorkingYears]]&lt;=20,"11-20 Yrs","20+ Yrs")))</f>
        <v>20+ Yrs</v>
      </c>
      <c r="AT957" s="1">
        <f>IF(HR_Data[[#This Row],[TotalWorkingYears]]&lt;=5,1,IF(HR_Data[[#This Row],[TotalWorkingYears]]&lt;=10,2,IF(HR_Data[[#This Row],[TotalWorkingYears]]&lt;=20,3,4)))</f>
        <v>4</v>
      </c>
    </row>
    <row r="958" spans="1:46" x14ac:dyDescent="0.25">
      <c r="A958">
        <v>56</v>
      </c>
      <c r="B958" t="s">
        <v>36</v>
      </c>
      <c r="C958" t="s">
        <v>30</v>
      </c>
      <c r="D958" t="s">
        <v>54</v>
      </c>
      <c r="E958">
        <v>8</v>
      </c>
      <c r="F958">
        <v>4</v>
      </c>
      <c r="G958" t="s">
        <v>32</v>
      </c>
      <c r="H958">
        <v>1338</v>
      </c>
      <c r="I958">
        <v>4</v>
      </c>
      <c r="J958" t="s">
        <v>39</v>
      </c>
      <c r="K958">
        <v>3</v>
      </c>
      <c r="L958">
        <v>5</v>
      </c>
      <c r="M958" t="s">
        <v>49</v>
      </c>
      <c r="N958">
        <v>2</v>
      </c>
      <c r="O958" t="s">
        <v>35</v>
      </c>
      <c r="P958">
        <v>19717</v>
      </c>
      <c r="Q958">
        <v>6</v>
      </c>
      <c r="R958" t="s">
        <v>36</v>
      </c>
      <c r="S958">
        <v>14</v>
      </c>
      <c r="T958">
        <v>3</v>
      </c>
      <c r="U958">
        <v>1</v>
      </c>
      <c r="V958">
        <v>0</v>
      </c>
      <c r="W958">
        <v>36</v>
      </c>
      <c r="X958">
        <v>4</v>
      </c>
      <c r="Y958">
        <v>3</v>
      </c>
      <c r="Z958">
        <v>7</v>
      </c>
      <c r="AA958">
        <v>3</v>
      </c>
      <c r="AB958">
        <v>7</v>
      </c>
      <c r="AC958">
        <v>7</v>
      </c>
      <c r="AD958">
        <f>IF(HR_Data[[#This Row],[Attrition]]="Yes",1,0)</f>
        <v>0</v>
      </c>
      <c r="AE958" t="str">
        <f>IF(HR_Data[[#This Row],[Age]]&lt;=25,"18-25",IF(HR_Data[[#This Row],[Age]]&lt;=35,"26-35",IF(HR_Data[[#This Row],[Age]]&lt;=45,"36-45",IF(HR_Data[[#This Row],[Age]]&lt;=55,"46-55","55+"))))</f>
        <v>55+</v>
      </c>
      <c r="AF958">
        <f>IF(HR_Data[[#This Row],[Age]]&lt;=25,1,IF(HR_Data[[#This Row],[Age]]&lt;=35,2,IF(HR_Data[[#This Row],[Age]]&lt;=45,3,IF(HR_Data[[#This Row],[Age]]&lt;=55,4,5))))</f>
        <v>5</v>
      </c>
      <c r="AG958" s="1" t="str">
        <f>IF(HR_Data[[#This Row],[MonthlyIncome]]&lt;3000,"&lt;3K",IF(HR_Data[[#This Row],[MonthlyIncome]]&lt;6000,"3K-6K",IF(HR_Data[[#This Row],[MonthlyIncome]]&lt;10000,"6K-10K","10K+")))</f>
        <v>10K+</v>
      </c>
      <c r="AH958" s="1">
        <f>IF(HR_Data[[#This Row],[MonthlyIncome]]&lt;3000,1,IF(HR_Data[[#This Row],[MonthlyIncome]]&lt;6000,2,IF(HR_Data[[#This Row],[MonthlyIncome]]&lt;10000,3,4)))</f>
        <v>4</v>
      </c>
      <c r="AI958" s="1" t="str">
        <f>IF(HR_Data[[#This Row],[YearsAtCompany]]&lt;=2,"0-2 Yrs",IF(HR_Data[[#This Row],[YearsAtCompany]]&lt;=5,"3-5 Yrs",IF(HR_Data[[#This Row],[YearsAtCompany]]&lt;=10,"6-10 Yrs","10+ Yrs")))</f>
        <v>6-10 Yrs</v>
      </c>
      <c r="AJ958" s="1">
        <f>IF(HR_Data[[#This Row],[YearsAtCompany]]&lt;=2,1,IF(HR_Data[[#This Row],[YearsAtCompany]]&lt;=5,2,IF(HR_Data[[#This Row],[YearsAtCompany]]&lt;=10,3,4)))</f>
        <v>3</v>
      </c>
      <c r="AK958" s="1" t="str">
        <f>CHOOSE(HR_Data[[#This Row],[Education]],"Below College","College","Bachelor","Master","Doctor")</f>
        <v>Master</v>
      </c>
      <c r="AL958" s="1" t="str">
        <f>CHOOSE(HR_Data[[#This Row],[JobSatisfaction]],"Low","Medium","High","Very High")</f>
        <v>Medium</v>
      </c>
      <c r="AM958" s="1" t="str">
        <f>CHOOSE(HR_Data[[#This Row],[EnvironmentSatisfaction]],"Low","Medium","High","Very High")</f>
        <v>Very High</v>
      </c>
      <c r="AN958" s="1" t="str">
        <f>CHOOSE(HR_Data[[#This Row],[WorkLifeBalance]],"Bad","Good","Better","Best")</f>
        <v>Better</v>
      </c>
      <c r="AO958" s="1" t="str">
        <f>IF(HR_Data[[#This Row],[PercentSalaryHike]]&lt;=13,"11-13%",IF(HR_Data[[#This Row],[PercentSalaryHike]]&lt;=16,"14-16%",IF(HR_Data[[#This Row],[PercentSalaryHike]]&lt;=19,"17-19%","20-25%")))</f>
        <v>14-16%</v>
      </c>
      <c r="AP958" s="1">
        <f>IF(HR_Data[[#This Row],[PercentSalaryHike]]&lt;=13,1,IF(HR_Data[[#This Row],[PercentSalaryHike]]&lt;=16,2,IF(HR_Data[[#This Row],[PercentSalaryHike]]&lt;=19,3,4)))</f>
        <v>2</v>
      </c>
      <c r="AQ958" s="1" t="str">
        <f>IF(HR_Data[[#This Row],[DistanceFromHome]]&lt;=5,"1 to 5",IF(HR_Data[[#This Row],[DistanceFromHome]]&lt;=10,"6 to 10",IF(HR_Data[[#This Row],[DistanceFromHome]]&lt;=20,"11 to 20","21 to 29")))</f>
        <v>6 to 10</v>
      </c>
      <c r="AR958" s="1">
        <f>IF(HR_Data[[#This Row],[DistanceFromHome]]&lt;=5,1,IF(HR_Data[[#This Row],[DistanceFromHome]]&lt;=10,2,IF(HR_Data[[#This Row],[DistanceFromHome]]&lt;=20,3,4)))</f>
        <v>2</v>
      </c>
      <c r="AS958" s="1" t="str">
        <f>IF(HR_Data[[#This Row],[TotalWorkingYears]]&lt;=5,"0-5 Yrs",IF(HR_Data[[#This Row],[TotalWorkingYears]]&lt;=10,"6-10 Yrs",IF(HR_Data[[#This Row],[TotalWorkingYears]]&lt;=20,"11-20 Yrs","20+ Yrs")))</f>
        <v>20+ Yrs</v>
      </c>
      <c r="AT958" s="1">
        <f>IF(HR_Data[[#This Row],[TotalWorkingYears]]&lt;=5,1,IF(HR_Data[[#This Row],[TotalWorkingYears]]&lt;=10,2,IF(HR_Data[[#This Row],[TotalWorkingYears]]&lt;=20,3,4)))</f>
        <v>4</v>
      </c>
    </row>
    <row r="959" spans="1:46" x14ac:dyDescent="0.25">
      <c r="A959">
        <v>40</v>
      </c>
      <c r="B959" t="s">
        <v>36</v>
      </c>
      <c r="C959" t="s">
        <v>48</v>
      </c>
      <c r="D959" t="s">
        <v>38</v>
      </c>
      <c r="E959">
        <v>16</v>
      </c>
      <c r="F959">
        <v>2</v>
      </c>
      <c r="G959" t="s">
        <v>32</v>
      </c>
      <c r="H959">
        <v>1340</v>
      </c>
      <c r="I959">
        <v>3</v>
      </c>
      <c r="J959" t="s">
        <v>39</v>
      </c>
      <c r="K959">
        <v>3</v>
      </c>
      <c r="L959">
        <v>1</v>
      </c>
      <c r="M959" t="s">
        <v>40</v>
      </c>
      <c r="N959">
        <v>3</v>
      </c>
      <c r="O959" t="s">
        <v>45</v>
      </c>
      <c r="P959">
        <v>3544</v>
      </c>
      <c r="Q959">
        <v>9</v>
      </c>
      <c r="R959" t="s">
        <v>36</v>
      </c>
      <c r="S959">
        <v>16</v>
      </c>
      <c r="T959">
        <v>3</v>
      </c>
      <c r="U959">
        <v>2</v>
      </c>
      <c r="V959">
        <v>1</v>
      </c>
      <c r="W959">
        <v>6</v>
      </c>
      <c r="X959">
        <v>0</v>
      </c>
      <c r="Y959">
        <v>3</v>
      </c>
      <c r="Z959">
        <v>4</v>
      </c>
      <c r="AA959">
        <v>2</v>
      </c>
      <c r="AB959">
        <v>0</v>
      </c>
      <c r="AC959">
        <v>0</v>
      </c>
      <c r="AD959">
        <f>IF(HR_Data[[#This Row],[Attrition]]="Yes",1,0)</f>
        <v>0</v>
      </c>
      <c r="AE959" t="str">
        <f>IF(HR_Data[[#This Row],[Age]]&lt;=25,"18-25",IF(HR_Data[[#This Row],[Age]]&lt;=35,"26-35",IF(HR_Data[[#This Row],[Age]]&lt;=45,"36-45",IF(HR_Data[[#This Row],[Age]]&lt;=55,"46-55","55+"))))</f>
        <v>36-45</v>
      </c>
      <c r="AF959">
        <f>IF(HR_Data[[#This Row],[Age]]&lt;=25,1,IF(HR_Data[[#This Row],[Age]]&lt;=35,2,IF(HR_Data[[#This Row],[Age]]&lt;=45,3,IF(HR_Data[[#This Row],[Age]]&lt;=55,4,5))))</f>
        <v>3</v>
      </c>
      <c r="AG959" s="1" t="str">
        <f>IF(HR_Data[[#This Row],[MonthlyIncome]]&lt;3000,"&lt;3K",IF(HR_Data[[#This Row],[MonthlyIncome]]&lt;6000,"3K-6K",IF(HR_Data[[#This Row],[MonthlyIncome]]&lt;10000,"6K-10K","10K+")))</f>
        <v>3K-6K</v>
      </c>
      <c r="AH959" s="1">
        <f>IF(HR_Data[[#This Row],[MonthlyIncome]]&lt;3000,1,IF(HR_Data[[#This Row],[MonthlyIncome]]&lt;6000,2,IF(HR_Data[[#This Row],[MonthlyIncome]]&lt;10000,3,4)))</f>
        <v>2</v>
      </c>
      <c r="AI959" s="1" t="str">
        <f>IF(HR_Data[[#This Row],[YearsAtCompany]]&lt;=2,"0-2 Yrs",IF(HR_Data[[#This Row],[YearsAtCompany]]&lt;=5,"3-5 Yrs",IF(HR_Data[[#This Row],[YearsAtCompany]]&lt;=10,"6-10 Yrs","10+ Yrs")))</f>
        <v>3-5 Yrs</v>
      </c>
      <c r="AJ959" s="1">
        <f>IF(HR_Data[[#This Row],[YearsAtCompany]]&lt;=2,1,IF(HR_Data[[#This Row],[YearsAtCompany]]&lt;=5,2,IF(HR_Data[[#This Row],[YearsAtCompany]]&lt;=10,3,4)))</f>
        <v>2</v>
      </c>
      <c r="AK959" s="1" t="str">
        <f>CHOOSE(HR_Data[[#This Row],[Education]],"Below College","College","Bachelor","Master","Doctor")</f>
        <v>College</v>
      </c>
      <c r="AL959" s="1" t="str">
        <f>CHOOSE(HR_Data[[#This Row],[JobSatisfaction]],"Low","Medium","High","Very High")</f>
        <v>High</v>
      </c>
      <c r="AM959" s="1" t="str">
        <f>CHOOSE(HR_Data[[#This Row],[EnvironmentSatisfaction]],"Low","Medium","High","Very High")</f>
        <v>High</v>
      </c>
      <c r="AN959" s="1" t="str">
        <f>CHOOSE(HR_Data[[#This Row],[WorkLifeBalance]],"Bad","Good","Better","Best")</f>
        <v>Better</v>
      </c>
      <c r="AO959" s="1" t="str">
        <f>IF(HR_Data[[#This Row],[PercentSalaryHike]]&lt;=13,"11-13%",IF(HR_Data[[#This Row],[PercentSalaryHike]]&lt;=16,"14-16%",IF(HR_Data[[#This Row],[PercentSalaryHike]]&lt;=19,"17-19%","20-25%")))</f>
        <v>14-16%</v>
      </c>
      <c r="AP959" s="1">
        <f>IF(HR_Data[[#This Row],[PercentSalaryHike]]&lt;=13,1,IF(HR_Data[[#This Row],[PercentSalaryHike]]&lt;=16,2,IF(HR_Data[[#This Row],[PercentSalaryHike]]&lt;=19,3,4)))</f>
        <v>2</v>
      </c>
      <c r="AQ959" s="1" t="str">
        <f>IF(HR_Data[[#This Row],[DistanceFromHome]]&lt;=5,"1 to 5",IF(HR_Data[[#This Row],[DistanceFromHome]]&lt;=10,"6 to 10",IF(HR_Data[[#This Row],[DistanceFromHome]]&lt;=20,"11 to 20","21 to 29")))</f>
        <v>11 to 20</v>
      </c>
      <c r="AR959" s="1">
        <f>IF(HR_Data[[#This Row],[DistanceFromHome]]&lt;=5,1,IF(HR_Data[[#This Row],[DistanceFromHome]]&lt;=10,2,IF(HR_Data[[#This Row],[DistanceFromHome]]&lt;=20,3,4)))</f>
        <v>3</v>
      </c>
      <c r="AS959" s="1" t="str">
        <f>IF(HR_Data[[#This Row],[TotalWorkingYears]]&lt;=5,"0-5 Yrs",IF(HR_Data[[#This Row],[TotalWorkingYears]]&lt;=10,"6-10 Yrs",IF(HR_Data[[#This Row],[TotalWorkingYears]]&lt;=20,"11-20 Yrs","20+ Yrs")))</f>
        <v>6-10 Yrs</v>
      </c>
      <c r="AT959" s="1">
        <f>IF(HR_Data[[#This Row],[TotalWorkingYears]]&lt;=5,1,IF(HR_Data[[#This Row],[TotalWorkingYears]]&lt;=10,2,IF(HR_Data[[#This Row],[TotalWorkingYears]]&lt;=20,3,4)))</f>
        <v>2</v>
      </c>
    </row>
    <row r="960" spans="1:46" x14ac:dyDescent="0.25">
      <c r="A960">
        <v>34</v>
      </c>
      <c r="B960" t="s">
        <v>36</v>
      </c>
      <c r="C960" t="s">
        <v>30</v>
      </c>
      <c r="D960" t="s">
        <v>38</v>
      </c>
      <c r="E960">
        <v>9</v>
      </c>
      <c r="F960">
        <v>3</v>
      </c>
      <c r="G960" t="s">
        <v>32</v>
      </c>
      <c r="H960">
        <v>1344</v>
      </c>
      <c r="I960">
        <v>4</v>
      </c>
      <c r="J960" t="s">
        <v>39</v>
      </c>
      <c r="K960">
        <v>3</v>
      </c>
      <c r="L960">
        <v>3</v>
      </c>
      <c r="M960" t="s">
        <v>47</v>
      </c>
      <c r="N960">
        <v>4</v>
      </c>
      <c r="O960" t="s">
        <v>45</v>
      </c>
      <c r="P960">
        <v>8500</v>
      </c>
      <c r="Q960">
        <v>0</v>
      </c>
      <c r="R960" t="s">
        <v>36</v>
      </c>
      <c r="S960">
        <v>11</v>
      </c>
      <c r="T960">
        <v>3</v>
      </c>
      <c r="U960">
        <v>4</v>
      </c>
      <c r="V960">
        <v>1</v>
      </c>
      <c r="W960">
        <v>10</v>
      </c>
      <c r="X960">
        <v>0</v>
      </c>
      <c r="Y960">
        <v>2</v>
      </c>
      <c r="Z960">
        <v>9</v>
      </c>
      <c r="AA960">
        <v>7</v>
      </c>
      <c r="AB960">
        <v>1</v>
      </c>
      <c r="AC960">
        <v>6</v>
      </c>
      <c r="AD960">
        <f>IF(HR_Data[[#This Row],[Attrition]]="Yes",1,0)</f>
        <v>0</v>
      </c>
      <c r="AE960" t="str">
        <f>IF(HR_Data[[#This Row],[Age]]&lt;=25,"18-25",IF(HR_Data[[#This Row],[Age]]&lt;=35,"26-35",IF(HR_Data[[#This Row],[Age]]&lt;=45,"36-45",IF(HR_Data[[#This Row],[Age]]&lt;=55,"46-55","55+"))))</f>
        <v>26-35</v>
      </c>
      <c r="AF960">
        <f>IF(HR_Data[[#This Row],[Age]]&lt;=25,1,IF(HR_Data[[#This Row],[Age]]&lt;=35,2,IF(HR_Data[[#This Row],[Age]]&lt;=45,3,IF(HR_Data[[#This Row],[Age]]&lt;=55,4,5))))</f>
        <v>2</v>
      </c>
      <c r="AG960" s="1" t="str">
        <f>IF(HR_Data[[#This Row],[MonthlyIncome]]&lt;3000,"&lt;3K",IF(HR_Data[[#This Row],[MonthlyIncome]]&lt;6000,"3K-6K",IF(HR_Data[[#This Row],[MonthlyIncome]]&lt;10000,"6K-10K","10K+")))</f>
        <v>6K-10K</v>
      </c>
      <c r="AH960" s="1">
        <f>IF(HR_Data[[#This Row],[MonthlyIncome]]&lt;3000,1,IF(HR_Data[[#This Row],[MonthlyIncome]]&lt;6000,2,IF(HR_Data[[#This Row],[MonthlyIncome]]&lt;10000,3,4)))</f>
        <v>3</v>
      </c>
      <c r="AI960" s="1" t="str">
        <f>IF(HR_Data[[#This Row],[YearsAtCompany]]&lt;=2,"0-2 Yrs",IF(HR_Data[[#This Row],[YearsAtCompany]]&lt;=5,"3-5 Yrs",IF(HR_Data[[#This Row],[YearsAtCompany]]&lt;=10,"6-10 Yrs","10+ Yrs")))</f>
        <v>6-10 Yrs</v>
      </c>
      <c r="AJ960" s="1">
        <f>IF(HR_Data[[#This Row],[YearsAtCompany]]&lt;=2,1,IF(HR_Data[[#This Row],[YearsAtCompany]]&lt;=5,2,IF(HR_Data[[#This Row],[YearsAtCompany]]&lt;=10,3,4)))</f>
        <v>3</v>
      </c>
      <c r="AK960" s="1" t="str">
        <f>CHOOSE(HR_Data[[#This Row],[Education]],"Below College","College","Bachelor","Master","Doctor")</f>
        <v>Bachelor</v>
      </c>
      <c r="AL960" s="1" t="str">
        <f>CHOOSE(HR_Data[[#This Row],[JobSatisfaction]],"Low","Medium","High","Very High")</f>
        <v>Very High</v>
      </c>
      <c r="AM960" s="1" t="str">
        <f>CHOOSE(HR_Data[[#This Row],[EnvironmentSatisfaction]],"Low","Medium","High","Very High")</f>
        <v>Very High</v>
      </c>
      <c r="AN960" s="1" t="str">
        <f>CHOOSE(HR_Data[[#This Row],[WorkLifeBalance]],"Bad","Good","Better","Best")</f>
        <v>Good</v>
      </c>
      <c r="AO960" s="1" t="str">
        <f>IF(HR_Data[[#This Row],[PercentSalaryHike]]&lt;=13,"11-13%",IF(HR_Data[[#This Row],[PercentSalaryHike]]&lt;=16,"14-16%",IF(HR_Data[[#This Row],[PercentSalaryHike]]&lt;=19,"17-19%","20-25%")))</f>
        <v>11-13%</v>
      </c>
      <c r="AP960" s="1">
        <f>IF(HR_Data[[#This Row],[PercentSalaryHike]]&lt;=13,1,IF(HR_Data[[#This Row],[PercentSalaryHike]]&lt;=16,2,IF(HR_Data[[#This Row],[PercentSalaryHike]]&lt;=19,3,4)))</f>
        <v>1</v>
      </c>
      <c r="AQ960" s="1" t="str">
        <f>IF(HR_Data[[#This Row],[DistanceFromHome]]&lt;=5,"1 to 5",IF(HR_Data[[#This Row],[DistanceFromHome]]&lt;=10,"6 to 10",IF(HR_Data[[#This Row],[DistanceFromHome]]&lt;=20,"11 to 20","21 to 29")))</f>
        <v>6 to 10</v>
      </c>
      <c r="AR960" s="1">
        <f>IF(HR_Data[[#This Row],[DistanceFromHome]]&lt;=5,1,IF(HR_Data[[#This Row],[DistanceFromHome]]&lt;=10,2,IF(HR_Data[[#This Row],[DistanceFromHome]]&lt;=20,3,4)))</f>
        <v>2</v>
      </c>
      <c r="AS960" s="1" t="str">
        <f>IF(HR_Data[[#This Row],[TotalWorkingYears]]&lt;=5,"0-5 Yrs",IF(HR_Data[[#This Row],[TotalWorkingYears]]&lt;=10,"6-10 Yrs",IF(HR_Data[[#This Row],[TotalWorkingYears]]&lt;=20,"11-20 Yrs","20+ Yrs")))</f>
        <v>6-10 Yrs</v>
      </c>
      <c r="AT960" s="1">
        <f>IF(HR_Data[[#This Row],[TotalWorkingYears]]&lt;=5,1,IF(HR_Data[[#This Row],[TotalWorkingYears]]&lt;=10,2,IF(HR_Data[[#This Row],[TotalWorkingYears]]&lt;=20,3,4)))</f>
        <v>2</v>
      </c>
    </row>
    <row r="961" spans="1:46" x14ac:dyDescent="0.25">
      <c r="A961">
        <v>40</v>
      </c>
      <c r="B961" t="s">
        <v>36</v>
      </c>
      <c r="C961" t="s">
        <v>30</v>
      </c>
      <c r="D961" t="s">
        <v>38</v>
      </c>
      <c r="E961">
        <v>2</v>
      </c>
      <c r="F961">
        <v>3</v>
      </c>
      <c r="G961" t="s">
        <v>32</v>
      </c>
      <c r="H961">
        <v>1346</v>
      </c>
      <c r="I961">
        <v>3</v>
      </c>
      <c r="J961" t="s">
        <v>39</v>
      </c>
      <c r="K961">
        <v>3</v>
      </c>
      <c r="L961">
        <v>2</v>
      </c>
      <c r="M961" t="s">
        <v>40</v>
      </c>
      <c r="N961">
        <v>4</v>
      </c>
      <c r="O961" t="s">
        <v>35</v>
      </c>
      <c r="P961">
        <v>4661</v>
      </c>
      <c r="Q961">
        <v>1</v>
      </c>
      <c r="R961" t="s">
        <v>36</v>
      </c>
      <c r="S961">
        <v>13</v>
      </c>
      <c r="T961">
        <v>3</v>
      </c>
      <c r="U961">
        <v>3</v>
      </c>
      <c r="V961">
        <v>0</v>
      </c>
      <c r="W961">
        <v>9</v>
      </c>
      <c r="X961">
        <v>4</v>
      </c>
      <c r="Y961">
        <v>3</v>
      </c>
      <c r="Z961">
        <v>9</v>
      </c>
      <c r="AA961">
        <v>8</v>
      </c>
      <c r="AB961">
        <v>8</v>
      </c>
      <c r="AC961">
        <v>8</v>
      </c>
      <c r="AD961">
        <f>IF(HR_Data[[#This Row],[Attrition]]="Yes",1,0)</f>
        <v>0</v>
      </c>
      <c r="AE961" t="str">
        <f>IF(HR_Data[[#This Row],[Age]]&lt;=25,"18-25",IF(HR_Data[[#This Row],[Age]]&lt;=35,"26-35",IF(HR_Data[[#This Row],[Age]]&lt;=45,"36-45",IF(HR_Data[[#This Row],[Age]]&lt;=55,"46-55","55+"))))</f>
        <v>36-45</v>
      </c>
      <c r="AF961">
        <f>IF(HR_Data[[#This Row],[Age]]&lt;=25,1,IF(HR_Data[[#This Row],[Age]]&lt;=35,2,IF(HR_Data[[#This Row],[Age]]&lt;=45,3,IF(HR_Data[[#This Row],[Age]]&lt;=55,4,5))))</f>
        <v>3</v>
      </c>
      <c r="AG961" s="1" t="str">
        <f>IF(HR_Data[[#This Row],[MonthlyIncome]]&lt;3000,"&lt;3K",IF(HR_Data[[#This Row],[MonthlyIncome]]&lt;6000,"3K-6K",IF(HR_Data[[#This Row],[MonthlyIncome]]&lt;10000,"6K-10K","10K+")))</f>
        <v>3K-6K</v>
      </c>
      <c r="AH961" s="1">
        <f>IF(HR_Data[[#This Row],[MonthlyIncome]]&lt;3000,1,IF(HR_Data[[#This Row],[MonthlyIncome]]&lt;6000,2,IF(HR_Data[[#This Row],[MonthlyIncome]]&lt;10000,3,4)))</f>
        <v>2</v>
      </c>
      <c r="AI961" s="1" t="str">
        <f>IF(HR_Data[[#This Row],[YearsAtCompany]]&lt;=2,"0-2 Yrs",IF(HR_Data[[#This Row],[YearsAtCompany]]&lt;=5,"3-5 Yrs",IF(HR_Data[[#This Row],[YearsAtCompany]]&lt;=10,"6-10 Yrs","10+ Yrs")))</f>
        <v>6-10 Yrs</v>
      </c>
      <c r="AJ961" s="1">
        <f>IF(HR_Data[[#This Row],[YearsAtCompany]]&lt;=2,1,IF(HR_Data[[#This Row],[YearsAtCompany]]&lt;=5,2,IF(HR_Data[[#This Row],[YearsAtCompany]]&lt;=10,3,4)))</f>
        <v>3</v>
      </c>
      <c r="AK961" s="1" t="str">
        <f>CHOOSE(HR_Data[[#This Row],[Education]],"Below College","College","Bachelor","Master","Doctor")</f>
        <v>Bachelor</v>
      </c>
      <c r="AL961" s="1" t="str">
        <f>CHOOSE(HR_Data[[#This Row],[JobSatisfaction]],"Low","Medium","High","Very High")</f>
        <v>Very High</v>
      </c>
      <c r="AM961" s="1" t="str">
        <f>CHOOSE(HR_Data[[#This Row],[EnvironmentSatisfaction]],"Low","Medium","High","Very High")</f>
        <v>High</v>
      </c>
      <c r="AN961" s="1" t="str">
        <f>CHOOSE(HR_Data[[#This Row],[WorkLifeBalance]],"Bad","Good","Better","Best")</f>
        <v>Better</v>
      </c>
      <c r="AO961" s="1" t="str">
        <f>IF(HR_Data[[#This Row],[PercentSalaryHike]]&lt;=13,"11-13%",IF(HR_Data[[#This Row],[PercentSalaryHike]]&lt;=16,"14-16%",IF(HR_Data[[#This Row],[PercentSalaryHike]]&lt;=19,"17-19%","20-25%")))</f>
        <v>11-13%</v>
      </c>
      <c r="AP961" s="1">
        <f>IF(HR_Data[[#This Row],[PercentSalaryHike]]&lt;=13,1,IF(HR_Data[[#This Row],[PercentSalaryHike]]&lt;=16,2,IF(HR_Data[[#This Row],[PercentSalaryHike]]&lt;=19,3,4)))</f>
        <v>1</v>
      </c>
      <c r="AQ961" s="1" t="str">
        <f>IF(HR_Data[[#This Row],[DistanceFromHome]]&lt;=5,"1 to 5",IF(HR_Data[[#This Row],[DistanceFromHome]]&lt;=10,"6 to 10",IF(HR_Data[[#This Row],[DistanceFromHome]]&lt;=20,"11 to 20","21 to 29")))</f>
        <v>1 to 5</v>
      </c>
      <c r="AR961" s="1">
        <f>IF(HR_Data[[#This Row],[DistanceFromHome]]&lt;=5,1,IF(HR_Data[[#This Row],[DistanceFromHome]]&lt;=10,2,IF(HR_Data[[#This Row],[DistanceFromHome]]&lt;=20,3,4)))</f>
        <v>1</v>
      </c>
      <c r="AS961" s="1" t="str">
        <f>IF(HR_Data[[#This Row],[TotalWorkingYears]]&lt;=5,"0-5 Yrs",IF(HR_Data[[#This Row],[TotalWorkingYears]]&lt;=10,"6-10 Yrs",IF(HR_Data[[#This Row],[TotalWorkingYears]]&lt;=20,"11-20 Yrs","20+ Yrs")))</f>
        <v>6-10 Yrs</v>
      </c>
      <c r="AT961" s="1">
        <f>IF(HR_Data[[#This Row],[TotalWorkingYears]]&lt;=5,1,IF(HR_Data[[#This Row],[TotalWorkingYears]]&lt;=10,2,IF(HR_Data[[#This Row],[TotalWorkingYears]]&lt;=20,3,4)))</f>
        <v>2</v>
      </c>
    </row>
    <row r="962" spans="1:46" x14ac:dyDescent="0.25">
      <c r="A962">
        <v>41</v>
      </c>
      <c r="B962" t="s">
        <v>36</v>
      </c>
      <c r="C962" t="s">
        <v>37</v>
      </c>
      <c r="D962" t="s">
        <v>31</v>
      </c>
      <c r="E962">
        <v>1</v>
      </c>
      <c r="F962">
        <v>3</v>
      </c>
      <c r="G962" t="s">
        <v>52</v>
      </c>
      <c r="H962">
        <v>1349</v>
      </c>
      <c r="I962">
        <v>3</v>
      </c>
      <c r="J962" t="s">
        <v>33</v>
      </c>
      <c r="K962">
        <v>3</v>
      </c>
      <c r="L962">
        <v>2</v>
      </c>
      <c r="M962" t="s">
        <v>34</v>
      </c>
      <c r="N962">
        <v>1</v>
      </c>
      <c r="O962" t="s">
        <v>45</v>
      </c>
      <c r="P962">
        <v>4103</v>
      </c>
      <c r="Q962">
        <v>0</v>
      </c>
      <c r="R962" t="s">
        <v>36</v>
      </c>
      <c r="S962">
        <v>17</v>
      </c>
      <c r="T962">
        <v>3</v>
      </c>
      <c r="U962">
        <v>4</v>
      </c>
      <c r="V962">
        <v>1</v>
      </c>
      <c r="W962">
        <v>10</v>
      </c>
      <c r="X962">
        <v>2</v>
      </c>
      <c r="Y962">
        <v>3</v>
      </c>
      <c r="Z962">
        <v>9</v>
      </c>
      <c r="AA962">
        <v>3</v>
      </c>
      <c r="AB962">
        <v>1</v>
      </c>
      <c r="AC962">
        <v>7</v>
      </c>
      <c r="AD962">
        <f>IF(HR_Data[[#This Row],[Attrition]]="Yes",1,0)</f>
        <v>0</v>
      </c>
      <c r="AE962" t="str">
        <f>IF(HR_Data[[#This Row],[Age]]&lt;=25,"18-25",IF(HR_Data[[#This Row],[Age]]&lt;=35,"26-35",IF(HR_Data[[#This Row],[Age]]&lt;=45,"36-45",IF(HR_Data[[#This Row],[Age]]&lt;=55,"46-55","55+"))))</f>
        <v>36-45</v>
      </c>
      <c r="AF962">
        <f>IF(HR_Data[[#This Row],[Age]]&lt;=25,1,IF(HR_Data[[#This Row],[Age]]&lt;=35,2,IF(HR_Data[[#This Row],[Age]]&lt;=45,3,IF(HR_Data[[#This Row],[Age]]&lt;=55,4,5))))</f>
        <v>3</v>
      </c>
      <c r="AG962" s="1" t="str">
        <f>IF(HR_Data[[#This Row],[MonthlyIncome]]&lt;3000,"&lt;3K",IF(HR_Data[[#This Row],[MonthlyIncome]]&lt;6000,"3K-6K",IF(HR_Data[[#This Row],[MonthlyIncome]]&lt;10000,"6K-10K","10K+")))</f>
        <v>3K-6K</v>
      </c>
      <c r="AH962" s="1">
        <f>IF(HR_Data[[#This Row],[MonthlyIncome]]&lt;3000,1,IF(HR_Data[[#This Row],[MonthlyIncome]]&lt;6000,2,IF(HR_Data[[#This Row],[MonthlyIncome]]&lt;10000,3,4)))</f>
        <v>2</v>
      </c>
      <c r="AI962" s="1" t="str">
        <f>IF(HR_Data[[#This Row],[YearsAtCompany]]&lt;=2,"0-2 Yrs",IF(HR_Data[[#This Row],[YearsAtCompany]]&lt;=5,"3-5 Yrs",IF(HR_Data[[#This Row],[YearsAtCompany]]&lt;=10,"6-10 Yrs","10+ Yrs")))</f>
        <v>6-10 Yrs</v>
      </c>
      <c r="AJ962" s="1">
        <f>IF(HR_Data[[#This Row],[YearsAtCompany]]&lt;=2,1,IF(HR_Data[[#This Row],[YearsAtCompany]]&lt;=5,2,IF(HR_Data[[#This Row],[YearsAtCompany]]&lt;=10,3,4)))</f>
        <v>3</v>
      </c>
      <c r="AK962" s="1" t="str">
        <f>CHOOSE(HR_Data[[#This Row],[Education]],"Below College","College","Bachelor","Master","Doctor")</f>
        <v>Bachelor</v>
      </c>
      <c r="AL962" s="1" t="str">
        <f>CHOOSE(HR_Data[[#This Row],[JobSatisfaction]],"Low","Medium","High","Very High")</f>
        <v>Low</v>
      </c>
      <c r="AM962" s="1" t="str">
        <f>CHOOSE(HR_Data[[#This Row],[EnvironmentSatisfaction]],"Low","Medium","High","Very High")</f>
        <v>High</v>
      </c>
      <c r="AN962" s="1" t="str">
        <f>CHOOSE(HR_Data[[#This Row],[WorkLifeBalance]],"Bad","Good","Better","Best")</f>
        <v>Better</v>
      </c>
      <c r="AO962" s="1" t="str">
        <f>IF(HR_Data[[#This Row],[PercentSalaryHike]]&lt;=13,"11-13%",IF(HR_Data[[#This Row],[PercentSalaryHike]]&lt;=16,"14-16%",IF(HR_Data[[#This Row],[PercentSalaryHike]]&lt;=19,"17-19%","20-25%")))</f>
        <v>17-19%</v>
      </c>
      <c r="AP962" s="1">
        <f>IF(HR_Data[[#This Row],[PercentSalaryHike]]&lt;=13,1,IF(HR_Data[[#This Row],[PercentSalaryHike]]&lt;=16,2,IF(HR_Data[[#This Row],[PercentSalaryHike]]&lt;=19,3,4)))</f>
        <v>3</v>
      </c>
      <c r="AQ962" s="1" t="str">
        <f>IF(HR_Data[[#This Row],[DistanceFromHome]]&lt;=5,"1 to 5",IF(HR_Data[[#This Row],[DistanceFromHome]]&lt;=10,"6 to 10",IF(HR_Data[[#This Row],[DistanceFromHome]]&lt;=20,"11 to 20","21 to 29")))</f>
        <v>1 to 5</v>
      </c>
      <c r="AR962" s="1">
        <f>IF(HR_Data[[#This Row],[DistanceFromHome]]&lt;=5,1,IF(HR_Data[[#This Row],[DistanceFromHome]]&lt;=10,2,IF(HR_Data[[#This Row],[DistanceFromHome]]&lt;=20,3,4)))</f>
        <v>1</v>
      </c>
      <c r="AS962" s="1" t="str">
        <f>IF(HR_Data[[#This Row],[TotalWorkingYears]]&lt;=5,"0-5 Yrs",IF(HR_Data[[#This Row],[TotalWorkingYears]]&lt;=10,"6-10 Yrs",IF(HR_Data[[#This Row],[TotalWorkingYears]]&lt;=20,"11-20 Yrs","20+ Yrs")))</f>
        <v>6-10 Yrs</v>
      </c>
      <c r="AT962" s="1">
        <f>IF(HR_Data[[#This Row],[TotalWorkingYears]]&lt;=5,1,IF(HR_Data[[#This Row],[TotalWorkingYears]]&lt;=10,2,IF(HR_Data[[#This Row],[TotalWorkingYears]]&lt;=20,3,4)))</f>
        <v>2</v>
      </c>
    </row>
    <row r="963" spans="1:46" x14ac:dyDescent="0.25">
      <c r="A963">
        <v>35</v>
      </c>
      <c r="B963" t="s">
        <v>36</v>
      </c>
      <c r="C963" t="s">
        <v>37</v>
      </c>
      <c r="D963" t="s">
        <v>38</v>
      </c>
      <c r="E963">
        <v>4</v>
      </c>
      <c r="F963">
        <v>4</v>
      </c>
      <c r="G963" t="s">
        <v>32</v>
      </c>
      <c r="H963">
        <v>1350</v>
      </c>
      <c r="I963">
        <v>3</v>
      </c>
      <c r="J963" t="s">
        <v>39</v>
      </c>
      <c r="K963">
        <v>3</v>
      </c>
      <c r="L963">
        <v>2</v>
      </c>
      <c r="M963" t="s">
        <v>40</v>
      </c>
      <c r="N963">
        <v>3</v>
      </c>
      <c r="O963" t="s">
        <v>35</v>
      </c>
      <c r="P963">
        <v>4249</v>
      </c>
      <c r="Q963">
        <v>1</v>
      </c>
      <c r="R963" t="s">
        <v>29</v>
      </c>
      <c r="S963">
        <v>11</v>
      </c>
      <c r="T963">
        <v>3</v>
      </c>
      <c r="U963">
        <v>2</v>
      </c>
      <c r="V963">
        <v>0</v>
      </c>
      <c r="W963">
        <v>9</v>
      </c>
      <c r="X963">
        <v>3</v>
      </c>
      <c r="Y963">
        <v>3</v>
      </c>
      <c r="Z963">
        <v>9</v>
      </c>
      <c r="AA963">
        <v>6</v>
      </c>
      <c r="AB963">
        <v>1</v>
      </c>
      <c r="AC963">
        <v>1</v>
      </c>
      <c r="AD963">
        <f>IF(HR_Data[[#This Row],[Attrition]]="Yes",1,0)</f>
        <v>0</v>
      </c>
      <c r="AE963" t="str">
        <f>IF(HR_Data[[#This Row],[Age]]&lt;=25,"18-25",IF(HR_Data[[#This Row],[Age]]&lt;=35,"26-35",IF(HR_Data[[#This Row],[Age]]&lt;=45,"36-45",IF(HR_Data[[#This Row],[Age]]&lt;=55,"46-55","55+"))))</f>
        <v>26-35</v>
      </c>
      <c r="AF963">
        <f>IF(HR_Data[[#This Row],[Age]]&lt;=25,1,IF(HR_Data[[#This Row],[Age]]&lt;=35,2,IF(HR_Data[[#This Row],[Age]]&lt;=45,3,IF(HR_Data[[#This Row],[Age]]&lt;=55,4,5))))</f>
        <v>2</v>
      </c>
      <c r="AG963" s="1" t="str">
        <f>IF(HR_Data[[#This Row],[MonthlyIncome]]&lt;3000,"&lt;3K",IF(HR_Data[[#This Row],[MonthlyIncome]]&lt;6000,"3K-6K",IF(HR_Data[[#This Row],[MonthlyIncome]]&lt;10000,"6K-10K","10K+")))</f>
        <v>3K-6K</v>
      </c>
      <c r="AH963" s="1">
        <f>IF(HR_Data[[#This Row],[MonthlyIncome]]&lt;3000,1,IF(HR_Data[[#This Row],[MonthlyIncome]]&lt;6000,2,IF(HR_Data[[#This Row],[MonthlyIncome]]&lt;10000,3,4)))</f>
        <v>2</v>
      </c>
      <c r="AI963" s="1" t="str">
        <f>IF(HR_Data[[#This Row],[YearsAtCompany]]&lt;=2,"0-2 Yrs",IF(HR_Data[[#This Row],[YearsAtCompany]]&lt;=5,"3-5 Yrs",IF(HR_Data[[#This Row],[YearsAtCompany]]&lt;=10,"6-10 Yrs","10+ Yrs")))</f>
        <v>6-10 Yrs</v>
      </c>
      <c r="AJ963" s="1">
        <f>IF(HR_Data[[#This Row],[YearsAtCompany]]&lt;=2,1,IF(HR_Data[[#This Row],[YearsAtCompany]]&lt;=5,2,IF(HR_Data[[#This Row],[YearsAtCompany]]&lt;=10,3,4)))</f>
        <v>3</v>
      </c>
      <c r="AK963" s="1" t="str">
        <f>CHOOSE(HR_Data[[#This Row],[Education]],"Below College","College","Bachelor","Master","Doctor")</f>
        <v>Master</v>
      </c>
      <c r="AL963" s="1" t="str">
        <f>CHOOSE(HR_Data[[#This Row],[JobSatisfaction]],"Low","Medium","High","Very High")</f>
        <v>High</v>
      </c>
      <c r="AM963" s="1" t="str">
        <f>CHOOSE(HR_Data[[#This Row],[EnvironmentSatisfaction]],"Low","Medium","High","Very High")</f>
        <v>High</v>
      </c>
      <c r="AN963" s="1" t="str">
        <f>CHOOSE(HR_Data[[#This Row],[WorkLifeBalance]],"Bad","Good","Better","Best")</f>
        <v>Better</v>
      </c>
      <c r="AO963" s="1" t="str">
        <f>IF(HR_Data[[#This Row],[PercentSalaryHike]]&lt;=13,"11-13%",IF(HR_Data[[#This Row],[PercentSalaryHike]]&lt;=16,"14-16%",IF(HR_Data[[#This Row],[PercentSalaryHike]]&lt;=19,"17-19%","20-25%")))</f>
        <v>11-13%</v>
      </c>
      <c r="AP963" s="1">
        <f>IF(HR_Data[[#This Row],[PercentSalaryHike]]&lt;=13,1,IF(HR_Data[[#This Row],[PercentSalaryHike]]&lt;=16,2,IF(HR_Data[[#This Row],[PercentSalaryHike]]&lt;=19,3,4)))</f>
        <v>1</v>
      </c>
      <c r="AQ963" s="1" t="str">
        <f>IF(HR_Data[[#This Row],[DistanceFromHome]]&lt;=5,"1 to 5",IF(HR_Data[[#This Row],[DistanceFromHome]]&lt;=10,"6 to 10",IF(HR_Data[[#This Row],[DistanceFromHome]]&lt;=20,"11 to 20","21 to 29")))</f>
        <v>1 to 5</v>
      </c>
      <c r="AR963" s="1">
        <f>IF(HR_Data[[#This Row],[DistanceFromHome]]&lt;=5,1,IF(HR_Data[[#This Row],[DistanceFromHome]]&lt;=10,2,IF(HR_Data[[#This Row],[DistanceFromHome]]&lt;=20,3,4)))</f>
        <v>1</v>
      </c>
      <c r="AS963" s="1" t="str">
        <f>IF(HR_Data[[#This Row],[TotalWorkingYears]]&lt;=5,"0-5 Yrs",IF(HR_Data[[#This Row],[TotalWorkingYears]]&lt;=10,"6-10 Yrs",IF(HR_Data[[#This Row],[TotalWorkingYears]]&lt;=20,"11-20 Yrs","20+ Yrs")))</f>
        <v>6-10 Yrs</v>
      </c>
      <c r="AT963" s="1">
        <f>IF(HR_Data[[#This Row],[TotalWorkingYears]]&lt;=5,1,IF(HR_Data[[#This Row],[TotalWorkingYears]]&lt;=10,2,IF(HR_Data[[#This Row],[TotalWorkingYears]]&lt;=20,3,4)))</f>
        <v>2</v>
      </c>
    </row>
    <row r="964" spans="1:46" x14ac:dyDescent="0.25">
      <c r="A964">
        <v>51</v>
      </c>
      <c r="B964" t="s">
        <v>36</v>
      </c>
      <c r="C964" t="s">
        <v>30</v>
      </c>
      <c r="D964" t="s">
        <v>54</v>
      </c>
      <c r="E964">
        <v>5</v>
      </c>
      <c r="F964">
        <v>3</v>
      </c>
      <c r="G964" t="s">
        <v>32</v>
      </c>
      <c r="H964">
        <v>1352</v>
      </c>
      <c r="I964">
        <v>3</v>
      </c>
      <c r="J964" t="s">
        <v>39</v>
      </c>
      <c r="K964">
        <v>3</v>
      </c>
      <c r="L964">
        <v>4</v>
      </c>
      <c r="M964" t="s">
        <v>49</v>
      </c>
      <c r="N964">
        <v>2</v>
      </c>
      <c r="O964" t="s">
        <v>45</v>
      </c>
      <c r="P964">
        <v>14026</v>
      </c>
      <c r="Q964">
        <v>1</v>
      </c>
      <c r="R964" t="s">
        <v>29</v>
      </c>
      <c r="S964">
        <v>11</v>
      </c>
      <c r="T964">
        <v>3</v>
      </c>
      <c r="U964">
        <v>2</v>
      </c>
      <c r="V964">
        <v>1</v>
      </c>
      <c r="W964">
        <v>33</v>
      </c>
      <c r="X964">
        <v>2</v>
      </c>
      <c r="Y964">
        <v>3</v>
      </c>
      <c r="Z964">
        <v>33</v>
      </c>
      <c r="AA964">
        <v>9</v>
      </c>
      <c r="AB964">
        <v>0</v>
      </c>
      <c r="AC964">
        <v>10</v>
      </c>
      <c r="AD964">
        <f>IF(HR_Data[[#This Row],[Attrition]]="Yes",1,0)</f>
        <v>0</v>
      </c>
      <c r="AE964" t="str">
        <f>IF(HR_Data[[#This Row],[Age]]&lt;=25,"18-25",IF(HR_Data[[#This Row],[Age]]&lt;=35,"26-35",IF(HR_Data[[#This Row],[Age]]&lt;=45,"36-45",IF(HR_Data[[#This Row],[Age]]&lt;=55,"46-55","55+"))))</f>
        <v>46-55</v>
      </c>
      <c r="AF964">
        <f>IF(HR_Data[[#This Row],[Age]]&lt;=25,1,IF(HR_Data[[#This Row],[Age]]&lt;=35,2,IF(HR_Data[[#This Row],[Age]]&lt;=45,3,IF(HR_Data[[#This Row],[Age]]&lt;=55,4,5))))</f>
        <v>4</v>
      </c>
      <c r="AG964" s="1" t="str">
        <f>IF(HR_Data[[#This Row],[MonthlyIncome]]&lt;3000,"&lt;3K",IF(HR_Data[[#This Row],[MonthlyIncome]]&lt;6000,"3K-6K",IF(HR_Data[[#This Row],[MonthlyIncome]]&lt;10000,"6K-10K","10K+")))</f>
        <v>10K+</v>
      </c>
      <c r="AH964" s="1">
        <f>IF(HR_Data[[#This Row],[MonthlyIncome]]&lt;3000,1,IF(HR_Data[[#This Row],[MonthlyIncome]]&lt;6000,2,IF(HR_Data[[#This Row],[MonthlyIncome]]&lt;10000,3,4)))</f>
        <v>4</v>
      </c>
      <c r="AI964" s="1" t="str">
        <f>IF(HR_Data[[#This Row],[YearsAtCompany]]&lt;=2,"0-2 Yrs",IF(HR_Data[[#This Row],[YearsAtCompany]]&lt;=5,"3-5 Yrs",IF(HR_Data[[#This Row],[YearsAtCompany]]&lt;=10,"6-10 Yrs","10+ Yrs")))</f>
        <v>10+ Yrs</v>
      </c>
      <c r="AJ964" s="1">
        <f>IF(HR_Data[[#This Row],[YearsAtCompany]]&lt;=2,1,IF(HR_Data[[#This Row],[YearsAtCompany]]&lt;=5,2,IF(HR_Data[[#This Row],[YearsAtCompany]]&lt;=10,3,4)))</f>
        <v>4</v>
      </c>
      <c r="AK964" s="1" t="str">
        <f>CHOOSE(HR_Data[[#This Row],[Education]],"Below College","College","Bachelor","Master","Doctor")</f>
        <v>Bachelor</v>
      </c>
      <c r="AL964" s="1" t="str">
        <f>CHOOSE(HR_Data[[#This Row],[JobSatisfaction]],"Low","Medium","High","Very High")</f>
        <v>Medium</v>
      </c>
      <c r="AM964" s="1" t="str">
        <f>CHOOSE(HR_Data[[#This Row],[EnvironmentSatisfaction]],"Low","Medium","High","Very High")</f>
        <v>High</v>
      </c>
      <c r="AN964" s="1" t="str">
        <f>CHOOSE(HR_Data[[#This Row],[WorkLifeBalance]],"Bad","Good","Better","Best")</f>
        <v>Better</v>
      </c>
      <c r="AO964" s="1" t="str">
        <f>IF(HR_Data[[#This Row],[PercentSalaryHike]]&lt;=13,"11-13%",IF(HR_Data[[#This Row],[PercentSalaryHike]]&lt;=16,"14-16%",IF(HR_Data[[#This Row],[PercentSalaryHike]]&lt;=19,"17-19%","20-25%")))</f>
        <v>11-13%</v>
      </c>
      <c r="AP964" s="1">
        <f>IF(HR_Data[[#This Row],[PercentSalaryHike]]&lt;=13,1,IF(HR_Data[[#This Row],[PercentSalaryHike]]&lt;=16,2,IF(HR_Data[[#This Row],[PercentSalaryHike]]&lt;=19,3,4)))</f>
        <v>1</v>
      </c>
      <c r="AQ964" s="1" t="str">
        <f>IF(HR_Data[[#This Row],[DistanceFromHome]]&lt;=5,"1 to 5",IF(HR_Data[[#This Row],[DistanceFromHome]]&lt;=10,"6 to 10",IF(HR_Data[[#This Row],[DistanceFromHome]]&lt;=20,"11 to 20","21 to 29")))</f>
        <v>1 to 5</v>
      </c>
      <c r="AR964" s="1">
        <f>IF(HR_Data[[#This Row],[DistanceFromHome]]&lt;=5,1,IF(HR_Data[[#This Row],[DistanceFromHome]]&lt;=10,2,IF(HR_Data[[#This Row],[DistanceFromHome]]&lt;=20,3,4)))</f>
        <v>1</v>
      </c>
      <c r="AS964" s="1" t="str">
        <f>IF(HR_Data[[#This Row],[TotalWorkingYears]]&lt;=5,"0-5 Yrs",IF(HR_Data[[#This Row],[TotalWorkingYears]]&lt;=10,"6-10 Yrs",IF(HR_Data[[#This Row],[TotalWorkingYears]]&lt;=20,"11-20 Yrs","20+ Yrs")))</f>
        <v>20+ Yrs</v>
      </c>
      <c r="AT964" s="1">
        <f>IF(HR_Data[[#This Row],[TotalWorkingYears]]&lt;=5,1,IF(HR_Data[[#This Row],[TotalWorkingYears]]&lt;=10,2,IF(HR_Data[[#This Row],[TotalWorkingYears]]&lt;=20,3,4)))</f>
        <v>4</v>
      </c>
    </row>
    <row r="965" spans="1:46" x14ac:dyDescent="0.25">
      <c r="A965">
        <v>38</v>
      </c>
      <c r="B965" t="s">
        <v>36</v>
      </c>
      <c r="C965" t="s">
        <v>30</v>
      </c>
      <c r="D965" t="s">
        <v>31</v>
      </c>
      <c r="E965">
        <v>2</v>
      </c>
      <c r="F965">
        <v>2</v>
      </c>
      <c r="G965" t="s">
        <v>32</v>
      </c>
      <c r="H965">
        <v>1355</v>
      </c>
      <c r="I965">
        <v>2</v>
      </c>
      <c r="J965" t="s">
        <v>33</v>
      </c>
      <c r="K965">
        <v>3</v>
      </c>
      <c r="L965">
        <v>2</v>
      </c>
      <c r="M965" t="s">
        <v>34</v>
      </c>
      <c r="N965">
        <v>1</v>
      </c>
      <c r="O965" t="s">
        <v>45</v>
      </c>
      <c r="P965">
        <v>6893</v>
      </c>
      <c r="Q965">
        <v>3</v>
      </c>
      <c r="R965" t="s">
        <v>36</v>
      </c>
      <c r="S965">
        <v>15</v>
      </c>
      <c r="T965">
        <v>3</v>
      </c>
      <c r="U965">
        <v>4</v>
      </c>
      <c r="V965">
        <v>1</v>
      </c>
      <c r="W965">
        <v>11</v>
      </c>
      <c r="X965">
        <v>3</v>
      </c>
      <c r="Y965">
        <v>3</v>
      </c>
      <c r="Z965">
        <v>7</v>
      </c>
      <c r="AA965">
        <v>7</v>
      </c>
      <c r="AB965">
        <v>1</v>
      </c>
      <c r="AC965">
        <v>7</v>
      </c>
      <c r="AD965">
        <f>IF(HR_Data[[#This Row],[Attrition]]="Yes",1,0)</f>
        <v>0</v>
      </c>
      <c r="AE965" t="str">
        <f>IF(HR_Data[[#This Row],[Age]]&lt;=25,"18-25",IF(HR_Data[[#This Row],[Age]]&lt;=35,"26-35",IF(HR_Data[[#This Row],[Age]]&lt;=45,"36-45",IF(HR_Data[[#This Row],[Age]]&lt;=55,"46-55","55+"))))</f>
        <v>36-45</v>
      </c>
      <c r="AF965">
        <f>IF(HR_Data[[#This Row],[Age]]&lt;=25,1,IF(HR_Data[[#This Row],[Age]]&lt;=35,2,IF(HR_Data[[#This Row],[Age]]&lt;=45,3,IF(HR_Data[[#This Row],[Age]]&lt;=55,4,5))))</f>
        <v>3</v>
      </c>
      <c r="AG965" s="1" t="str">
        <f>IF(HR_Data[[#This Row],[MonthlyIncome]]&lt;3000,"&lt;3K",IF(HR_Data[[#This Row],[MonthlyIncome]]&lt;6000,"3K-6K",IF(HR_Data[[#This Row],[MonthlyIncome]]&lt;10000,"6K-10K","10K+")))</f>
        <v>6K-10K</v>
      </c>
      <c r="AH965" s="1">
        <f>IF(HR_Data[[#This Row],[MonthlyIncome]]&lt;3000,1,IF(HR_Data[[#This Row],[MonthlyIncome]]&lt;6000,2,IF(HR_Data[[#This Row],[MonthlyIncome]]&lt;10000,3,4)))</f>
        <v>3</v>
      </c>
      <c r="AI965" s="1" t="str">
        <f>IF(HR_Data[[#This Row],[YearsAtCompany]]&lt;=2,"0-2 Yrs",IF(HR_Data[[#This Row],[YearsAtCompany]]&lt;=5,"3-5 Yrs",IF(HR_Data[[#This Row],[YearsAtCompany]]&lt;=10,"6-10 Yrs","10+ Yrs")))</f>
        <v>6-10 Yrs</v>
      </c>
      <c r="AJ965" s="1">
        <f>IF(HR_Data[[#This Row],[YearsAtCompany]]&lt;=2,1,IF(HR_Data[[#This Row],[YearsAtCompany]]&lt;=5,2,IF(HR_Data[[#This Row],[YearsAtCompany]]&lt;=10,3,4)))</f>
        <v>3</v>
      </c>
      <c r="AK965" s="1" t="str">
        <f>CHOOSE(HR_Data[[#This Row],[Education]],"Below College","College","Bachelor","Master","Doctor")</f>
        <v>College</v>
      </c>
      <c r="AL965" s="1" t="str">
        <f>CHOOSE(HR_Data[[#This Row],[JobSatisfaction]],"Low","Medium","High","Very High")</f>
        <v>Low</v>
      </c>
      <c r="AM965" s="1" t="str">
        <f>CHOOSE(HR_Data[[#This Row],[EnvironmentSatisfaction]],"Low","Medium","High","Very High")</f>
        <v>Medium</v>
      </c>
      <c r="AN965" s="1" t="str">
        <f>CHOOSE(HR_Data[[#This Row],[WorkLifeBalance]],"Bad","Good","Better","Best")</f>
        <v>Better</v>
      </c>
      <c r="AO965" s="1" t="str">
        <f>IF(HR_Data[[#This Row],[PercentSalaryHike]]&lt;=13,"11-13%",IF(HR_Data[[#This Row],[PercentSalaryHike]]&lt;=16,"14-16%",IF(HR_Data[[#This Row],[PercentSalaryHike]]&lt;=19,"17-19%","20-25%")))</f>
        <v>14-16%</v>
      </c>
      <c r="AP965" s="1">
        <f>IF(HR_Data[[#This Row],[PercentSalaryHike]]&lt;=13,1,IF(HR_Data[[#This Row],[PercentSalaryHike]]&lt;=16,2,IF(HR_Data[[#This Row],[PercentSalaryHike]]&lt;=19,3,4)))</f>
        <v>2</v>
      </c>
      <c r="AQ965" s="1" t="str">
        <f>IF(HR_Data[[#This Row],[DistanceFromHome]]&lt;=5,"1 to 5",IF(HR_Data[[#This Row],[DistanceFromHome]]&lt;=10,"6 to 10",IF(HR_Data[[#This Row],[DistanceFromHome]]&lt;=20,"11 to 20","21 to 29")))</f>
        <v>1 to 5</v>
      </c>
      <c r="AR965" s="1">
        <f>IF(HR_Data[[#This Row],[DistanceFromHome]]&lt;=5,1,IF(HR_Data[[#This Row],[DistanceFromHome]]&lt;=10,2,IF(HR_Data[[#This Row],[DistanceFromHome]]&lt;=20,3,4)))</f>
        <v>1</v>
      </c>
      <c r="AS965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965" s="1">
        <f>IF(HR_Data[[#This Row],[TotalWorkingYears]]&lt;=5,1,IF(HR_Data[[#This Row],[TotalWorkingYears]]&lt;=10,2,IF(HR_Data[[#This Row],[TotalWorkingYears]]&lt;=20,3,4)))</f>
        <v>3</v>
      </c>
    </row>
    <row r="966" spans="1:46" x14ac:dyDescent="0.25">
      <c r="A966">
        <v>34</v>
      </c>
      <c r="B966" t="s">
        <v>36</v>
      </c>
      <c r="C966" t="s">
        <v>30</v>
      </c>
      <c r="D966" t="s">
        <v>31</v>
      </c>
      <c r="E966">
        <v>15</v>
      </c>
      <c r="F966">
        <v>2</v>
      </c>
      <c r="G966" t="s">
        <v>44</v>
      </c>
      <c r="H966">
        <v>1356</v>
      </c>
      <c r="I966">
        <v>3</v>
      </c>
      <c r="J966" t="s">
        <v>33</v>
      </c>
      <c r="K966">
        <v>3</v>
      </c>
      <c r="L966">
        <v>2</v>
      </c>
      <c r="M966" t="s">
        <v>34</v>
      </c>
      <c r="N966">
        <v>1</v>
      </c>
      <c r="O966" t="s">
        <v>35</v>
      </c>
      <c r="P966">
        <v>6125</v>
      </c>
      <c r="Q966">
        <v>1</v>
      </c>
      <c r="R966" t="s">
        <v>36</v>
      </c>
      <c r="S966">
        <v>12</v>
      </c>
      <c r="T966">
        <v>3</v>
      </c>
      <c r="U966">
        <v>4</v>
      </c>
      <c r="V966">
        <v>0</v>
      </c>
      <c r="W966">
        <v>10</v>
      </c>
      <c r="X966">
        <v>6</v>
      </c>
      <c r="Y966">
        <v>4</v>
      </c>
      <c r="Z966">
        <v>10</v>
      </c>
      <c r="AA966">
        <v>8</v>
      </c>
      <c r="AB966">
        <v>9</v>
      </c>
      <c r="AC966">
        <v>6</v>
      </c>
      <c r="AD966">
        <f>IF(HR_Data[[#This Row],[Attrition]]="Yes",1,0)</f>
        <v>0</v>
      </c>
      <c r="AE966" t="str">
        <f>IF(HR_Data[[#This Row],[Age]]&lt;=25,"18-25",IF(HR_Data[[#This Row],[Age]]&lt;=35,"26-35",IF(HR_Data[[#This Row],[Age]]&lt;=45,"36-45",IF(HR_Data[[#This Row],[Age]]&lt;=55,"46-55","55+"))))</f>
        <v>26-35</v>
      </c>
      <c r="AF966">
        <f>IF(HR_Data[[#This Row],[Age]]&lt;=25,1,IF(HR_Data[[#This Row],[Age]]&lt;=35,2,IF(HR_Data[[#This Row],[Age]]&lt;=45,3,IF(HR_Data[[#This Row],[Age]]&lt;=55,4,5))))</f>
        <v>2</v>
      </c>
      <c r="AG966" s="1" t="str">
        <f>IF(HR_Data[[#This Row],[MonthlyIncome]]&lt;3000,"&lt;3K",IF(HR_Data[[#This Row],[MonthlyIncome]]&lt;6000,"3K-6K",IF(HR_Data[[#This Row],[MonthlyIncome]]&lt;10000,"6K-10K","10K+")))</f>
        <v>6K-10K</v>
      </c>
      <c r="AH966" s="1">
        <f>IF(HR_Data[[#This Row],[MonthlyIncome]]&lt;3000,1,IF(HR_Data[[#This Row],[MonthlyIncome]]&lt;6000,2,IF(HR_Data[[#This Row],[MonthlyIncome]]&lt;10000,3,4)))</f>
        <v>3</v>
      </c>
      <c r="AI966" s="1" t="str">
        <f>IF(HR_Data[[#This Row],[YearsAtCompany]]&lt;=2,"0-2 Yrs",IF(HR_Data[[#This Row],[YearsAtCompany]]&lt;=5,"3-5 Yrs",IF(HR_Data[[#This Row],[YearsAtCompany]]&lt;=10,"6-10 Yrs","10+ Yrs")))</f>
        <v>6-10 Yrs</v>
      </c>
      <c r="AJ966" s="1">
        <f>IF(HR_Data[[#This Row],[YearsAtCompany]]&lt;=2,1,IF(HR_Data[[#This Row],[YearsAtCompany]]&lt;=5,2,IF(HR_Data[[#This Row],[YearsAtCompany]]&lt;=10,3,4)))</f>
        <v>3</v>
      </c>
      <c r="AK966" s="1" t="str">
        <f>CHOOSE(HR_Data[[#This Row],[Education]],"Below College","College","Bachelor","Master","Doctor")</f>
        <v>College</v>
      </c>
      <c r="AL966" s="1" t="str">
        <f>CHOOSE(HR_Data[[#This Row],[JobSatisfaction]],"Low","Medium","High","Very High")</f>
        <v>Low</v>
      </c>
      <c r="AM966" s="1" t="str">
        <f>CHOOSE(HR_Data[[#This Row],[EnvironmentSatisfaction]],"Low","Medium","High","Very High")</f>
        <v>High</v>
      </c>
      <c r="AN966" s="1" t="str">
        <f>CHOOSE(HR_Data[[#This Row],[WorkLifeBalance]],"Bad","Good","Better","Best")</f>
        <v>Best</v>
      </c>
      <c r="AO966" s="1" t="str">
        <f>IF(HR_Data[[#This Row],[PercentSalaryHike]]&lt;=13,"11-13%",IF(HR_Data[[#This Row],[PercentSalaryHike]]&lt;=16,"14-16%",IF(HR_Data[[#This Row],[PercentSalaryHike]]&lt;=19,"17-19%","20-25%")))</f>
        <v>11-13%</v>
      </c>
      <c r="AP966" s="1">
        <f>IF(HR_Data[[#This Row],[PercentSalaryHike]]&lt;=13,1,IF(HR_Data[[#This Row],[PercentSalaryHike]]&lt;=16,2,IF(HR_Data[[#This Row],[PercentSalaryHike]]&lt;=19,3,4)))</f>
        <v>1</v>
      </c>
      <c r="AQ966" s="1" t="str">
        <f>IF(HR_Data[[#This Row],[DistanceFromHome]]&lt;=5,"1 to 5",IF(HR_Data[[#This Row],[DistanceFromHome]]&lt;=10,"6 to 10",IF(HR_Data[[#This Row],[DistanceFromHome]]&lt;=20,"11 to 20","21 to 29")))</f>
        <v>11 to 20</v>
      </c>
      <c r="AR966" s="1">
        <f>IF(HR_Data[[#This Row],[DistanceFromHome]]&lt;=5,1,IF(HR_Data[[#This Row],[DistanceFromHome]]&lt;=10,2,IF(HR_Data[[#This Row],[DistanceFromHome]]&lt;=20,3,4)))</f>
        <v>3</v>
      </c>
      <c r="AS966" s="1" t="str">
        <f>IF(HR_Data[[#This Row],[TotalWorkingYears]]&lt;=5,"0-5 Yrs",IF(HR_Data[[#This Row],[TotalWorkingYears]]&lt;=10,"6-10 Yrs",IF(HR_Data[[#This Row],[TotalWorkingYears]]&lt;=20,"11-20 Yrs","20+ Yrs")))</f>
        <v>6-10 Yrs</v>
      </c>
      <c r="AT966" s="1">
        <f>IF(HR_Data[[#This Row],[TotalWorkingYears]]&lt;=5,1,IF(HR_Data[[#This Row],[TotalWorkingYears]]&lt;=10,2,IF(HR_Data[[#This Row],[TotalWorkingYears]]&lt;=20,3,4)))</f>
        <v>2</v>
      </c>
    </row>
    <row r="967" spans="1:46" x14ac:dyDescent="0.25">
      <c r="A967">
        <v>25</v>
      </c>
      <c r="B967" t="s">
        <v>36</v>
      </c>
      <c r="C967" t="s">
        <v>30</v>
      </c>
      <c r="D967" t="s">
        <v>38</v>
      </c>
      <c r="E967">
        <v>19</v>
      </c>
      <c r="F967">
        <v>1</v>
      </c>
      <c r="G967" t="s">
        <v>44</v>
      </c>
      <c r="H967">
        <v>1358</v>
      </c>
      <c r="I967">
        <v>4</v>
      </c>
      <c r="J967" t="s">
        <v>39</v>
      </c>
      <c r="K967">
        <v>3</v>
      </c>
      <c r="L967">
        <v>1</v>
      </c>
      <c r="M967" t="s">
        <v>43</v>
      </c>
      <c r="N967">
        <v>4</v>
      </c>
      <c r="O967" t="s">
        <v>41</v>
      </c>
      <c r="P967">
        <v>3669</v>
      </c>
      <c r="Q967">
        <v>3</v>
      </c>
      <c r="R967" t="s">
        <v>36</v>
      </c>
      <c r="S967">
        <v>11</v>
      </c>
      <c r="T967">
        <v>3</v>
      </c>
      <c r="U967">
        <v>3</v>
      </c>
      <c r="V967">
        <v>3</v>
      </c>
      <c r="W967">
        <v>7</v>
      </c>
      <c r="X967">
        <v>6</v>
      </c>
      <c r="Y967">
        <v>2</v>
      </c>
      <c r="Z967">
        <v>3</v>
      </c>
      <c r="AA967">
        <v>2</v>
      </c>
      <c r="AB967">
        <v>1</v>
      </c>
      <c r="AC967">
        <v>2</v>
      </c>
      <c r="AD967">
        <f>IF(HR_Data[[#This Row],[Attrition]]="Yes",1,0)</f>
        <v>0</v>
      </c>
      <c r="AE967" t="str">
        <f>IF(HR_Data[[#This Row],[Age]]&lt;=25,"18-25",IF(HR_Data[[#This Row],[Age]]&lt;=35,"26-35",IF(HR_Data[[#This Row],[Age]]&lt;=45,"36-45",IF(HR_Data[[#This Row],[Age]]&lt;=55,"46-55","55+"))))</f>
        <v>18-25</v>
      </c>
      <c r="AF967">
        <f>IF(HR_Data[[#This Row],[Age]]&lt;=25,1,IF(HR_Data[[#This Row],[Age]]&lt;=35,2,IF(HR_Data[[#This Row],[Age]]&lt;=45,3,IF(HR_Data[[#This Row],[Age]]&lt;=55,4,5))))</f>
        <v>1</v>
      </c>
      <c r="AG967" s="1" t="str">
        <f>IF(HR_Data[[#This Row],[MonthlyIncome]]&lt;3000,"&lt;3K",IF(HR_Data[[#This Row],[MonthlyIncome]]&lt;6000,"3K-6K",IF(HR_Data[[#This Row],[MonthlyIncome]]&lt;10000,"6K-10K","10K+")))</f>
        <v>3K-6K</v>
      </c>
      <c r="AH967" s="1">
        <f>IF(HR_Data[[#This Row],[MonthlyIncome]]&lt;3000,1,IF(HR_Data[[#This Row],[MonthlyIncome]]&lt;6000,2,IF(HR_Data[[#This Row],[MonthlyIncome]]&lt;10000,3,4)))</f>
        <v>2</v>
      </c>
      <c r="AI967" s="1" t="str">
        <f>IF(HR_Data[[#This Row],[YearsAtCompany]]&lt;=2,"0-2 Yrs",IF(HR_Data[[#This Row],[YearsAtCompany]]&lt;=5,"3-5 Yrs",IF(HR_Data[[#This Row],[YearsAtCompany]]&lt;=10,"6-10 Yrs","10+ Yrs")))</f>
        <v>3-5 Yrs</v>
      </c>
      <c r="AJ967" s="1">
        <f>IF(HR_Data[[#This Row],[YearsAtCompany]]&lt;=2,1,IF(HR_Data[[#This Row],[YearsAtCompany]]&lt;=5,2,IF(HR_Data[[#This Row],[YearsAtCompany]]&lt;=10,3,4)))</f>
        <v>2</v>
      </c>
      <c r="AK967" s="1" t="str">
        <f>CHOOSE(HR_Data[[#This Row],[Education]],"Below College","College","Bachelor","Master","Doctor")</f>
        <v>Below College</v>
      </c>
      <c r="AL967" s="1" t="str">
        <f>CHOOSE(HR_Data[[#This Row],[JobSatisfaction]],"Low","Medium","High","Very High")</f>
        <v>Very High</v>
      </c>
      <c r="AM967" s="1" t="str">
        <f>CHOOSE(HR_Data[[#This Row],[EnvironmentSatisfaction]],"Low","Medium","High","Very High")</f>
        <v>Very High</v>
      </c>
      <c r="AN967" s="1" t="str">
        <f>CHOOSE(HR_Data[[#This Row],[WorkLifeBalance]],"Bad","Good","Better","Best")</f>
        <v>Good</v>
      </c>
      <c r="AO967" s="1" t="str">
        <f>IF(HR_Data[[#This Row],[PercentSalaryHike]]&lt;=13,"11-13%",IF(HR_Data[[#This Row],[PercentSalaryHike]]&lt;=16,"14-16%",IF(HR_Data[[#This Row],[PercentSalaryHike]]&lt;=19,"17-19%","20-25%")))</f>
        <v>11-13%</v>
      </c>
      <c r="AP967" s="1">
        <f>IF(HR_Data[[#This Row],[PercentSalaryHike]]&lt;=13,1,IF(HR_Data[[#This Row],[PercentSalaryHike]]&lt;=16,2,IF(HR_Data[[#This Row],[PercentSalaryHike]]&lt;=19,3,4)))</f>
        <v>1</v>
      </c>
      <c r="AQ967" s="1" t="str">
        <f>IF(HR_Data[[#This Row],[DistanceFromHome]]&lt;=5,"1 to 5",IF(HR_Data[[#This Row],[DistanceFromHome]]&lt;=10,"6 to 10",IF(HR_Data[[#This Row],[DistanceFromHome]]&lt;=20,"11 to 20","21 to 29")))</f>
        <v>11 to 20</v>
      </c>
      <c r="AR967" s="1">
        <f>IF(HR_Data[[#This Row],[DistanceFromHome]]&lt;=5,1,IF(HR_Data[[#This Row],[DistanceFromHome]]&lt;=10,2,IF(HR_Data[[#This Row],[DistanceFromHome]]&lt;=20,3,4)))</f>
        <v>3</v>
      </c>
      <c r="AS967" s="1" t="str">
        <f>IF(HR_Data[[#This Row],[TotalWorkingYears]]&lt;=5,"0-5 Yrs",IF(HR_Data[[#This Row],[TotalWorkingYears]]&lt;=10,"6-10 Yrs",IF(HR_Data[[#This Row],[TotalWorkingYears]]&lt;=20,"11-20 Yrs","20+ Yrs")))</f>
        <v>6-10 Yrs</v>
      </c>
      <c r="AT967" s="1">
        <f>IF(HR_Data[[#This Row],[TotalWorkingYears]]&lt;=5,1,IF(HR_Data[[#This Row],[TotalWorkingYears]]&lt;=10,2,IF(HR_Data[[#This Row],[TotalWorkingYears]]&lt;=20,3,4)))</f>
        <v>2</v>
      </c>
    </row>
    <row r="968" spans="1:46" x14ac:dyDescent="0.25">
      <c r="A968">
        <v>58</v>
      </c>
      <c r="B968" t="s">
        <v>29</v>
      </c>
      <c r="C968" t="s">
        <v>30</v>
      </c>
      <c r="D968" t="s">
        <v>38</v>
      </c>
      <c r="E968">
        <v>7</v>
      </c>
      <c r="F968">
        <v>4</v>
      </c>
      <c r="G968" t="s">
        <v>44</v>
      </c>
      <c r="H968">
        <v>1360</v>
      </c>
      <c r="I968">
        <v>3</v>
      </c>
      <c r="J968" t="s">
        <v>33</v>
      </c>
      <c r="K968">
        <v>2</v>
      </c>
      <c r="L968">
        <v>3</v>
      </c>
      <c r="M968" t="s">
        <v>46</v>
      </c>
      <c r="N968">
        <v>1</v>
      </c>
      <c r="O968" t="s">
        <v>41</v>
      </c>
      <c r="P968">
        <v>10008</v>
      </c>
      <c r="Q968">
        <v>7</v>
      </c>
      <c r="R968" t="s">
        <v>29</v>
      </c>
      <c r="S968">
        <v>14</v>
      </c>
      <c r="T968">
        <v>3</v>
      </c>
      <c r="U968">
        <v>4</v>
      </c>
      <c r="V968">
        <v>0</v>
      </c>
      <c r="W968">
        <v>31</v>
      </c>
      <c r="X968">
        <v>0</v>
      </c>
      <c r="Y968">
        <v>2</v>
      </c>
      <c r="Z968">
        <v>10</v>
      </c>
      <c r="AA968">
        <v>9</v>
      </c>
      <c r="AB968">
        <v>5</v>
      </c>
      <c r="AC968">
        <v>9</v>
      </c>
      <c r="AD968">
        <f>IF(HR_Data[[#This Row],[Attrition]]="Yes",1,0)</f>
        <v>1</v>
      </c>
      <c r="AE968" t="str">
        <f>IF(HR_Data[[#This Row],[Age]]&lt;=25,"18-25",IF(HR_Data[[#This Row],[Age]]&lt;=35,"26-35",IF(HR_Data[[#This Row],[Age]]&lt;=45,"36-45",IF(HR_Data[[#This Row],[Age]]&lt;=55,"46-55","55+"))))</f>
        <v>55+</v>
      </c>
      <c r="AF968">
        <f>IF(HR_Data[[#This Row],[Age]]&lt;=25,1,IF(HR_Data[[#This Row],[Age]]&lt;=35,2,IF(HR_Data[[#This Row],[Age]]&lt;=45,3,IF(HR_Data[[#This Row],[Age]]&lt;=55,4,5))))</f>
        <v>5</v>
      </c>
      <c r="AG968" s="1" t="str">
        <f>IF(HR_Data[[#This Row],[MonthlyIncome]]&lt;3000,"&lt;3K",IF(HR_Data[[#This Row],[MonthlyIncome]]&lt;6000,"3K-6K",IF(HR_Data[[#This Row],[MonthlyIncome]]&lt;10000,"6K-10K","10K+")))</f>
        <v>10K+</v>
      </c>
      <c r="AH968" s="1">
        <f>IF(HR_Data[[#This Row],[MonthlyIncome]]&lt;3000,1,IF(HR_Data[[#This Row],[MonthlyIncome]]&lt;6000,2,IF(HR_Data[[#This Row],[MonthlyIncome]]&lt;10000,3,4)))</f>
        <v>4</v>
      </c>
      <c r="AI968" s="1" t="str">
        <f>IF(HR_Data[[#This Row],[YearsAtCompany]]&lt;=2,"0-2 Yrs",IF(HR_Data[[#This Row],[YearsAtCompany]]&lt;=5,"3-5 Yrs",IF(HR_Data[[#This Row],[YearsAtCompany]]&lt;=10,"6-10 Yrs","10+ Yrs")))</f>
        <v>6-10 Yrs</v>
      </c>
      <c r="AJ968" s="1">
        <f>IF(HR_Data[[#This Row],[YearsAtCompany]]&lt;=2,1,IF(HR_Data[[#This Row],[YearsAtCompany]]&lt;=5,2,IF(HR_Data[[#This Row],[YearsAtCompany]]&lt;=10,3,4)))</f>
        <v>3</v>
      </c>
      <c r="AK968" s="1" t="str">
        <f>CHOOSE(HR_Data[[#This Row],[Education]],"Below College","College","Bachelor","Master","Doctor")</f>
        <v>Master</v>
      </c>
      <c r="AL968" s="1" t="str">
        <f>CHOOSE(HR_Data[[#This Row],[JobSatisfaction]],"Low","Medium","High","Very High")</f>
        <v>Low</v>
      </c>
      <c r="AM968" s="1" t="str">
        <f>CHOOSE(HR_Data[[#This Row],[EnvironmentSatisfaction]],"Low","Medium","High","Very High")</f>
        <v>High</v>
      </c>
      <c r="AN968" s="1" t="str">
        <f>CHOOSE(HR_Data[[#This Row],[WorkLifeBalance]],"Bad","Good","Better","Best")</f>
        <v>Good</v>
      </c>
      <c r="AO968" s="1" t="str">
        <f>IF(HR_Data[[#This Row],[PercentSalaryHike]]&lt;=13,"11-13%",IF(HR_Data[[#This Row],[PercentSalaryHike]]&lt;=16,"14-16%",IF(HR_Data[[#This Row],[PercentSalaryHike]]&lt;=19,"17-19%","20-25%")))</f>
        <v>14-16%</v>
      </c>
      <c r="AP968" s="1">
        <f>IF(HR_Data[[#This Row],[PercentSalaryHike]]&lt;=13,1,IF(HR_Data[[#This Row],[PercentSalaryHike]]&lt;=16,2,IF(HR_Data[[#This Row],[PercentSalaryHike]]&lt;=19,3,4)))</f>
        <v>2</v>
      </c>
      <c r="AQ968" s="1" t="str">
        <f>IF(HR_Data[[#This Row],[DistanceFromHome]]&lt;=5,"1 to 5",IF(HR_Data[[#This Row],[DistanceFromHome]]&lt;=10,"6 to 10",IF(HR_Data[[#This Row],[DistanceFromHome]]&lt;=20,"11 to 20","21 to 29")))</f>
        <v>6 to 10</v>
      </c>
      <c r="AR968" s="1">
        <f>IF(HR_Data[[#This Row],[DistanceFromHome]]&lt;=5,1,IF(HR_Data[[#This Row],[DistanceFromHome]]&lt;=10,2,IF(HR_Data[[#This Row],[DistanceFromHome]]&lt;=20,3,4)))</f>
        <v>2</v>
      </c>
      <c r="AS968" s="1" t="str">
        <f>IF(HR_Data[[#This Row],[TotalWorkingYears]]&lt;=5,"0-5 Yrs",IF(HR_Data[[#This Row],[TotalWorkingYears]]&lt;=10,"6-10 Yrs",IF(HR_Data[[#This Row],[TotalWorkingYears]]&lt;=20,"11-20 Yrs","20+ Yrs")))</f>
        <v>20+ Yrs</v>
      </c>
      <c r="AT968" s="1">
        <f>IF(HR_Data[[#This Row],[TotalWorkingYears]]&lt;=5,1,IF(HR_Data[[#This Row],[TotalWorkingYears]]&lt;=10,2,IF(HR_Data[[#This Row],[TotalWorkingYears]]&lt;=20,3,4)))</f>
        <v>4</v>
      </c>
    </row>
    <row r="969" spans="1:46" x14ac:dyDescent="0.25">
      <c r="A969">
        <v>40</v>
      </c>
      <c r="B969" t="s">
        <v>36</v>
      </c>
      <c r="C969" t="s">
        <v>30</v>
      </c>
      <c r="D969" t="s">
        <v>38</v>
      </c>
      <c r="E969">
        <v>1</v>
      </c>
      <c r="F969">
        <v>4</v>
      </c>
      <c r="G969" t="s">
        <v>32</v>
      </c>
      <c r="H969">
        <v>1361</v>
      </c>
      <c r="I969">
        <v>2</v>
      </c>
      <c r="J969" t="s">
        <v>39</v>
      </c>
      <c r="K969">
        <v>3</v>
      </c>
      <c r="L969">
        <v>1</v>
      </c>
      <c r="M969" t="s">
        <v>43</v>
      </c>
      <c r="N969">
        <v>2</v>
      </c>
      <c r="O969" t="s">
        <v>41</v>
      </c>
      <c r="P969">
        <v>2387</v>
      </c>
      <c r="Q969">
        <v>3</v>
      </c>
      <c r="R969" t="s">
        <v>36</v>
      </c>
      <c r="S969">
        <v>22</v>
      </c>
      <c r="T969">
        <v>4</v>
      </c>
      <c r="U969">
        <v>3</v>
      </c>
      <c r="V969">
        <v>1</v>
      </c>
      <c r="W969">
        <v>7</v>
      </c>
      <c r="X969">
        <v>3</v>
      </c>
      <c r="Y969">
        <v>3</v>
      </c>
      <c r="Z969">
        <v>4</v>
      </c>
      <c r="AA969">
        <v>2</v>
      </c>
      <c r="AB969">
        <v>0</v>
      </c>
      <c r="AC969">
        <v>3</v>
      </c>
      <c r="AD969">
        <f>IF(HR_Data[[#This Row],[Attrition]]="Yes",1,0)</f>
        <v>0</v>
      </c>
      <c r="AE969" t="str">
        <f>IF(HR_Data[[#This Row],[Age]]&lt;=25,"18-25",IF(HR_Data[[#This Row],[Age]]&lt;=35,"26-35",IF(HR_Data[[#This Row],[Age]]&lt;=45,"36-45",IF(HR_Data[[#This Row],[Age]]&lt;=55,"46-55","55+"))))</f>
        <v>36-45</v>
      </c>
      <c r="AF969">
        <f>IF(HR_Data[[#This Row],[Age]]&lt;=25,1,IF(HR_Data[[#This Row],[Age]]&lt;=35,2,IF(HR_Data[[#This Row],[Age]]&lt;=45,3,IF(HR_Data[[#This Row],[Age]]&lt;=55,4,5))))</f>
        <v>3</v>
      </c>
      <c r="AG969" s="1" t="str">
        <f>IF(HR_Data[[#This Row],[MonthlyIncome]]&lt;3000,"&lt;3K",IF(HR_Data[[#This Row],[MonthlyIncome]]&lt;6000,"3K-6K",IF(HR_Data[[#This Row],[MonthlyIncome]]&lt;10000,"6K-10K","10K+")))</f>
        <v>&lt;3K</v>
      </c>
      <c r="AH969" s="1">
        <f>IF(HR_Data[[#This Row],[MonthlyIncome]]&lt;3000,1,IF(HR_Data[[#This Row],[MonthlyIncome]]&lt;6000,2,IF(HR_Data[[#This Row],[MonthlyIncome]]&lt;10000,3,4)))</f>
        <v>1</v>
      </c>
      <c r="AI969" s="1" t="str">
        <f>IF(HR_Data[[#This Row],[YearsAtCompany]]&lt;=2,"0-2 Yrs",IF(HR_Data[[#This Row],[YearsAtCompany]]&lt;=5,"3-5 Yrs",IF(HR_Data[[#This Row],[YearsAtCompany]]&lt;=10,"6-10 Yrs","10+ Yrs")))</f>
        <v>3-5 Yrs</v>
      </c>
      <c r="AJ969" s="1">
        <f>IF(HR_Data[[#This Row],[YearsAtCompany]]&lt;=2,1,IF(HR_Data[[#This Row],[YearsAtCompany]]&lt;=5,2,IF(HR_Data[[#This Row],[YearsAtCompany]]&lt;=10,3,4)))</f>
        <v>2</v>
      </c>
      <c r="AK969" s="1" t="str">
        <f>CHOOSE(HR_Data[[#This Row],[Education]],"Below College","College","Bachelor","Master","Doctor")</f>
        <v>Master</v>
      </c>
      <c r="AL969" s="1" t="str">
        <f>CHOOSE(HR_Data[[#This Row],[JobSatisfaction]],"Low","Medium","High","Very High")</f>
        <v>Medium</v>
      </c>
      <c r="AM969" s="1" t="str">
        <f>CHOOSE(HR_Data[[#This Row],[EnvironmentSatisfaction]],"Low","Medium","High","Very High")</f>
        <v>Medium</v>
      </c>
      <c r="AN969" s="1" t="str">
        <f>CHOOSE(HR_Data[[#This Row],[WorkLifeBalance]],"Bad","Good","Better","Best")</f>
        <v>Better</v>
      </c>
      <c r="AO969" s="1" t="str">
        <f>IF(HR_Data[[#This Row],[PercentSalaryHike]]&lt;=13,"11-13%",IF(HR_Data[[#This Row],[PercentSalaryHike]]&lt;=16,"14-16%",IF(HR_Data[[#This Row],[PercentSalaryHike]]&lt;=19,"17-19%","20-25%")))</f>
        <v>20-25%</v>
      </c>
      <c r="AP969" s="1">
        <f>IF(HR_Data[[#This Row],[PercentSalaryHike]]&lt;=13,1,IF(HR_Data[[#This Row],[PercentSalaryHike]]&lt;=16,2,IF(HR_Data[[#This Row],[PercentSalaryHike]]&lt;=19,3,4)))</f>
        <v>4</v>
      </c>
      <c r="AQ969" s="1" t="str">
        <f>IF(HR_Data[[#This Row],[DistanceFromHome]]&lt;=5,"1 to 5",IF(HR_Data[[#This Row],[DistanceFromHome]]&lt;=10,"6 to 10",IF(HR_Data[[#This Row],[DistanceFromHome]]&lt;=20,"11 to 20","21 to 29")))</f>
        <v>1 to 5</v>
      </c>
      <c r="AR969" s="1">
        <f>IF(HR_Data[[#This Row],[DistanceFromHome]]&lt;=5,1,IF(HR_Data[[#This Row],[DistanceFromHome]]&lt;=10,2,IF(HR_Data[[#This Row],[DistanceFromHome]]&lt;=20,3,4)))</f>
        <v>1</v>
      </c>
      <c r="AS969" s="1" t="str">
        <f>IF(HR_Data[[#This Row],[TotalWorkingYears]]&lt;=5,"0-5 Yrs",IF(HR_Data[[#This Row],[TotalWorkingYears]]&lt;=10,"6-10 Yrs",IF(HR_Data[[#This Row],[TotalWorkingYears]]&lt;=20,"11-20 Yrs","20+ Yrs")))</f>
        <v>6-10 Yrs</v>
      </c>
      <c r="AT969" s="1">
        <f>IF(HR_Data[[#This Row],[TotalWorkingYears]]&lt;=5,1,IF(HR_Data[[#This Row],[TotalWorkingYears]]&lt;=10,2,IF(HR_Data[[#This Row],[TotalWorkingYears]]&lt;=20,3,4)))</f>
        <v>2</v>
      </c>
    </row>
    <row r="970" spans="1:46" x14ac:dyDescent="0.25">
      <c r="A970">
        <v>36</v>
      </c>
      <c r="B970" t="s">
        <v>36</v>
      </c>
      <c r="C970" t="s">
        <v>37</v>
      </c>
      <c r="D970" t="s">
        <v>31</v>
      </c>
      <c r="E970">
        <v>7</v>
      </c>
      <c r="F970">
        <v>3</v>
      </c>
      <c r="G970" t="s">
        <v>52</v>
      </c>
      <c r="H970">
        <v>1362</v>
      </c>
      <c r="I970">
        <v>1</v>
      </c>
      <c r="J970" t="s">
        <v>33</v>
      </c>
      <c r="K970">
        <v>4</v>
      </c>
      <c r="L970">
        <v>2</v>
      </c>
      <c r="M970" t="s">
        <v>34</v>
      </c>
      <c r="N970">
        <v>1</v>
      </c>
      <c r="O970" t="s">
        <v>41</v>
      </c>
      <c r="P970">
        <v>4639</v>
      </c>
      <c r="Q970">
        <v>2</v>
      </c>
      <c r="R970" t="s">
        <v>36</v>
      </c>
      <c r="S970">
        <v>16</v>
      </c>
      <c r="T970">
        <v>3</v>
      </c>
      <c r="U970">
        <v>4</v>
      </c>
      <c r="V970">
        <v>1</v>
      </c>
      <c r="W970">
        <v>17</v>
      </c>
      <c r="X970">
        <v>2</v>
      </c>
      <c r="Y970">
        <v>2</v>
      </c>
      <c r="Z970">
        <v>15</v>
      </c>
      <c r="AA970">
        <v>7</v>
      </c>
      <c r="AB970">
        <v>6</v>
      </c>
      <c r="AC970">
        <v>13</v>
      </c>
      <c r="AD970">
        <f>IF(HR_Data[[#This Row],[Attrition]]="Yes",1,0)</f>
        <v>0</v>
      </c>
      <c r="AE970" t="str">
        <f>IF(HR_Data[[#This Row],[Age]]&lt;=25,"18-25",IF(HR_Data[[#This Row],[Age]]&lt;=35,"26-35",IF(HR_Data[[#This Row],[Age]]&lt;=45,"36-45",IF(HR_Data[[#This Row],[Age]]&lt;=55,"46-55","55+"))))</f>
        <v>36-45</v>
      </c>
      <c r="AF970">
        <f>IF(HR_Data[[#This Row],[Age]]&lt;=25,1,IF(HR_Data[[#This Row],[Age]]&lt;=35,2,IF(HR_Data[[#This Row],[Age]]&lt;=45,3,IF(HR_Data[[#This Row],[Age]]&lt;=55,4,5))))</f>
        <v>3</v>
      </c>
      <c r="AG970" s="1" t="str">
        <f>IF(HR_Data[[#This Row],[MonthlyIncome]]&lt;3000,"&lt;3K",IF(HR_Data[[#This Row],[MonthlyIncome]]&lt;6000,"3K-6K",IF(HR_Data[[#This Row],[MonthlyIncome]]&lt;10000,"6K-10K","10K+")))</f>
        <v>3K-6K</v>
      </c>
      <c r="AH970" s="1">
        <f>IF(HR_Data[[#This Row],[MonthlyIncome]]&lt;3000,1,IF(HR_Data[[#This Row],[MonthlyIncome]]&lt;6000,2,IF(HR_Data[[#This Row],[MonthlyIncome]]&lt;10000,3,4)))</f>
        <v>2</v>
      </c>
      <c r="AI970" s="1" t="str">
        <f>IF(HR_Data[[#This Row],[YearsAtCompany]]&lt;=2,"0-2 Yrs",IF(HR_Data[[#This Row],[YearsAtCompany]]&lt;=5,"3-5 Yrs",IF(HR_Data[[#This Row],[YearsAtCompany]]&lt;=10,"6-10 Yrs","10+ Yrs")))</f>
        <v>10+ Yrs</v>
      </c>
      <c r="AJ970" s="1">
        <f>IF(HR_Data[[#This Row],[YearsAtCompany]]&lt;=2,1,IF(HR_Data[[#This Row],[YearsAtCompany]]&lt;=5,2,IF(HR_Data[[#This Row],[YearsAtCompany]]&lt;=10,3,4)))</f>
        <v>4</v>
      </c>
      <c r="AK970" s="1" t="str">
        <f>CHOOSE(HR_Data[[#This Row],[Education]],"Below College","College","Bachelor","Master","Doctor")</f>
        <v>Bachelor</v>
      </c>
      <c r="AL970" s="1" t="str">
        <f>CHOOSE(HR_Data[[#This Row],[JobSatisfaction]],"Low","Medium","High","Very High")</f>
        <v>Low</v>
      </c>
      <c r="AM970" s="1" t="str">
        <f>CHOOSE(HR_Data[[#This Row],[EnvironmentSatisfaction]],"Low","Medium","High","Very High")</f>
        <v>Low</v>
      </c>
      <c r="AN970" s="1" t="str">
        <f>CHOOSE(HR_Data[[#This Row],[WorkLifeBalance]],"Bad","Good","Better","Best")</f>
        <v>Good</v>
      </c>
      <c r="AO970" s="1" t="str">
        <f>IF(HR_Data[[#This Row],[PercentSalaryHike]]&lt;=13,"11-13%",IF(HR_Data[[#This Row],[PercentSalaryHike]]&lt;=16,"14-16%",IF(HR_Data[[#This Row],[PercentSalaryHike]]&lt;=19,"17-19%","20-25%")))</f>
        <v>14-16%</v>
      </c>
      <c r="AP970" s="1">
        <f>IF(HR_Data[[#This Row],[PercentSalaryHike]]&lt;=13,1,IF(HR_Data[[#This Row],[PercentSalaryHike]]&lt;=16,2,IF(HR_Data[[#This Row],[PercentSalaryHike]]&lt;=19,3,4)))</f>
        <v>2</v>
      </c>
      <c r="AQ970" s="1" t="str">
        <f>IF(HR_Data[[#This Row],[DistanceFromHome]]&lt;=5,"1 to 5",IF(HR_Data[[#This Row],[DistanceFromHome]]&lt;=10,"6 to 10",IF(HR_Data[[#This Row],[DistanceFromHome]]&lt;=20,"11 to 20","21 to 29")))</f>
        <v>6 to 10</v>
      </c>
      <c r="AR970" s="1">
        <f>IF(HR_Data[[#This Row],[DistanceFromHome]]&lt;=5,1,IF(HR_Data[[#This Row],[DistanceFromHome]]&lt;=10,2,IF(HR_Data[[#This Row],[DistanceFromHome]]&lt;=20,3,4)))</f>
        <v>2</v>
      </c>
      <c r="AS970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970" s="1">
        <f>IF(HR_Data[[#This Row],[TotalWorkingYears]]&lt;=5,1,IF(HR_Data[[#This Row],[TotalWorkingYears]]&lt;=10,2,IF(HR_Data[[#This Row],[TotalWorkingYears]]&lt;=20,3,4)))</f>
        <v>3</v>
      </c>
    </row>
    <row r="971" spans="1:46" x14ac:dyDescent="0.25">
      <c r="A971">
        <v>48</v>
      </c>
      <c r="B971" t="s">
        <v>36</v>
      </c>
      <c r="C971" t="s">
        <v>30</v>
      </c>
      <c r="D971" t="s">
        <v>38</v>
      </c>
      <c r="E971">
        <v>4</v>
      </c>
      <c r="F971">
        <v>3</v>
      </c>
      <c r="G971" t="s">
        <v>32</v>
      </c>
      <c r="H971">
        <v>1363</v>
      </c>
      <c r="I971">
        <v>4</v>
      </c>
      <c r="J971" t="s">
        <v>39</v>
      </c>
      <c r="K971">
        <v>3</v>
      </c>
      <c r="L971">
        <v>3</v>
      </c>
      <c r="M971" t="s">
        <v>46</v>
      </c>
      <c r="N971">
        <v>4</v>
      </c>
      <c r="O971" t="s">
        <v>35</v>
      </c>
      <c r="P971">
        <v>7898</v>
      </c>
      <c r="Q971">
        <v>1</v>
      </c>
      <c r="R971" t="s">
        <v>36</v>
      </c>
      <c r="S971">
        <v>11</v>
      </c>
      <c r="T971">
        <v>3</v>
      </c>
      <c r="U971">
        <v>3</v>
      </c>
      <c r="V971">
        <v>0</v>
      </c>
      <c r="W971">
        <v>11</v>
      </c>
      <c r="X971">
        <v>2</v>
      </c>
      <c r="Y971">
        <v>3</v>
      </c>
      <c r="Z971">
        <v>10</v>
      </c>
      <c r="AA971">
        <v>9</v>
      </c>
      <c r="AB971">
        <v>0</v>
      </c>
      <c r="AC971">
        <v>8</v>
      </c>
      <c r="AD971">
        <f>IF(HR_Data[[#This Row],[Attrition]]="Yes",1,0)</f>
        <v>0</v>
      </c>
      <c r="AE971" t="str">
        <f>IF(HR_Data[[#This Row],[Age]]&lt;=25,"18-25",IF(HR_Data[[#This Row],[Age]]&lt;=35,"26-35",IF(HR_Data[[#This Row],[Age]]&lt;=45,"36-45",IF(HR_Data[[#This Row],[Age]]&lt;=55,"46-55","55+"))))</f>
        <v>46-55</v>
      </c>
      <c r="AF971">
        <f>IF(HR_Data[[#This Row],[Age]]&lt;=25,1,IF(HR_Data[[#This Row],[Age]]&lt;=35,2,IF(HR_Data[[#This Row],[Age]]&lt;=45,3,IF(HR_Data[[#This Row],[Age]]&lt;=55,4,5))))</f>
        <v>4</v>
      </c>
      <c r="AG971" s="1" t="str">
        <f>IF(HR_Data[[#This Row],[MonthlyIncome]]&lt;3000,"&lt;3K",IF(HR_Data[[#This Row],[MonthlyIncome]]&lt;6000,"3K-6K",IF(HR_Data[[#This Row],[MonthlyIncome]]&lt;10000,"6K-10K","10K+")))</f>
        <v>6K-10K</v>
      </c>
      <c r="AH971" s="1">
        <f>IF(HR_Data[[#This Row],[MonthlyIncome]]&lt;3000,1,IF(HR_Data[[#This Row],[MonthlyIncome]]&lt;6000,2,IF(HR_Data[[#This Row],[MonthlyIncome]]&lt;10000,3,4)))</f>
        <v>3</v>
      </c>
      <c r="AI971" s="1" t="str">
        <f>IF(HR_Data[[#This Row],[YearsAtCompany]]&lt;=2,"0-2 Yrs",IF(HR_Data[[#This Row],[YearsAtCompany]]&lt;=5,"3-5 Yrs",IF(HR_Data[[#This Row],[YearsAtCompany]]&lt;=10,"6-10 Yrs","10+ Yrs")))</f>
        <v>6-10 Yrs</v>
      </c>
      <c r="AJ971" s="1">
        <f>IF(HR_Data[[#This Row],[YearsAtCompany]]&lt;=2,1,IF(HR_Data[[#This Row],[YearsAtCompany]]&lt;=5,2,IF(HR_Data[[#This Row],[YearsAtCompany]]&lt;=10,3,4)))</f>
        <v>3</v>
      </c>
      <c r="AK971" s="1" t="str">
        <f>CHOOSE(HR_Data[[#This Row],[Education]],"Below College","College","Bachelor","Master","Doctor")</f>
        <v>Bachelor</v>
      </c>
      <c r="AL971" s="1" t="str">
        <f>CHOOSE(HR_Data[[#This Row],[JobSatisfaction]],"Low","Medium","High","Very High")</f>
        <v>Very High</v>
      </c>
      <c r="AM971" s="1" t="str">
        <f>CHOOSE(HR_Data[[#This Row],[EnvironmentSatisfaction]],"Low","Medium","High","Very High")</f>
        <v>Very High</v>
      </c>
      <c r="AN971" s="1" t="str">
        <f>CHOOSE(HR_Data[[#This Row],[WorkLifeBalance]],"Bad","Good","Better","Best")</f>
        <v>Better</v>
      </c>
      <c r="AO971" s="1" t="str">
        <f>IF(HR_Data[[#This Row],[PercentSalaryHike]]&lt;=13,"11-13%",IF(HR_Data[[#This Row],[PercentSalaryHike]]&lt;=16,"14-16%",IF(HR_Data[[#This Row],[PercentSalaryHike]]&lt;=19,"17-19%","20-25%")))</f>
        <v>11-13%</v>
      </c>
      <c r="AP971" s="1">
        <f>IF(HR_Data[[#This Row],[PercentSalaryHike]]&lt;=13,1,IF(HR_Data[[#This Row],[PercentSalaryHike]]&lt;=16,2,IF(HR_Data[[#This Row],[PercentSalaryHike]]&lt;=19,3,4)))</f>
        <v>1</v>
      </c>
      <c r="AQ971" s="1" t="str">
        <f>IF(HR_Data[[#This Row],[DistanceFromHome]]&lt;=5,"1 to 5",IF(HR_Data[[#This Row],[DistanceFromHome]]&lt;=10,"6 to 10",IF(HR_Data[[#This Row],[DistanceFromHome]]&lt;=20,"11 to 20","21 to 29")))</f>
        <v>1 to 5</v>
      </c>
      <c r="AR971" s="1">
        <f>IF(HR_Data[[#This Row],[DistanceFromHome]]&lt;=5,1,IF(HR_Data[[#This Row],[DistanceFromHome]]&lt;=10,2,IF(HR_Data[[#This Row],[DistanceFromHome]]&lt;=20,3,4)))</f>
        <v>1</v>
      </c>
      <c r="AS971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971" s="1">
        <f>IF(HR_Data[[#This Row],[TotalWorkingYears]]&lt;=5,1,IF(HR_Data[[#This Row],[TotalWorkingYears]]&lt;=10,2,IF(HR_Data[[#This Row],[TotalWorkingYears]]&lt;=20,3,4)))</f>
        <v>3</v>
      </c>
    </row>
    <row r="972" spans="1:46" x14ac:dyDescent="0.25">
      <c r="A972">
        <v>27</v>
      </c>
      <c r="B972" t="s">
        <v>36</v>
      </c>
      <c r="C972" t="s">
        <v>30</v>
      </c>
      <c r="D972" t="s">
        <v>31</v>
      </c>
      <c r="E972">
        <v>11</v>
      </c>
      <c r="F972">
        <v>3</v>
      </c>
      <c r="G972" t="s">
        <v>44</v>
      </c>
      <c r="H972">
        <v>1364</v>
      </c>
      <c r="I972">
        <v>3</v>
      </c>
      <c r="J972" t="s">
        <v>33</v>
      </c>
      <c r="K972">
        <v>4</v>
      </c>
      <c r="L972">
        <v>1</v>
      </c>
      <c r="M972" t="s">
        <v>50</v>
      </c>
      <c r="N972">
        <v>4</v>
      </c>
      <c r="O972" t="s">
        <v>41</v>
      </c>
      <c r="P972">
        <v>2534</v>
      </c>
      <c r="Q972">
        <v>8</v>
      </c>
      <c r="R972" t="s">
        <v>36</v>
      </c>
      <c r="S972">
        <v>14</v>
      </c>
      <c r="T972">
        <v>3</v>
      </c>
      <c r="U972">
        <v>2</v>
      </c>
      <c r="V972">
        <v>1</v>
      </c>
      <c r="W972">
        <v>5</v>
      </c>
      <c r="X972">
        <v>4</v>
      </c>
      <c r="Y972">
        <v>3</v>
      </c>
      <c r="Z972">
        <v>1</v>
      </c>
      <c r="AA972">
        <v>0</v>
      </c>
      <c r="AB972">
        <v>0</v>
      </c>
      <c r="AC972">
        <v>0</v>
      </c>
      <c r="AD972">
        <f>IF(HR_Data[[#This Row],[Attrition]]="Yes",1,0)</f>
        <v>0</v>
      </c>
      <c r="AE972" t="str">
        <f>IF(HR_Data[[#This Row],[Age]]&lt;=25,"18-25",IF(HR_Data[[#This Row],[Age]]&lt;=35,"26-35",IF(HR_Data[[#This Row],[Age]]&lt;=45,"36-45",IF(HR_Data[[#This Row],[Age]]&lt;=55,"46-55","55+"))))</f>
        <v>26-35</v>
      </c>
      <c r="AF972">
        <f>IF(HR_Data[[#This Row],[Age]]&lt;=25,1,IF(HR_Data[[#This Row],[Age]]&lt;=35,2,IF(HR_Data[[#This Row],[Age]]&lt;=45,3,IF(HR_Data[[#This Row],[Age]]&lt;=55,4,5))))</f>
        <v>2</v>
      </c>
      <c r="AG972" s="1" t="str">
        <f>IF(HR_Data[[#This Row],[MonthlyIncome]]&lt;3000,"&lt;3K",IF(HR_Data[[#This Row],[MonthlyIncome]]&lt;6000,"3K-6K",IF(HR_Data[[#This Row],[MonthlyIncome]]&lt;10000,"6K-10K","10K+")))</f>
        <v>&lt;3K</v>
      </c>
      <c r="AH972" s="1">
        <f>IF(HR_Data[[#This Row],[MonthlyIncome]]&lt;3000,1,IF(HR_Data[[#This Row],[MonthlyIncome]]&lt;6000,2,IF(HR_Data[[#This Row],[MonthlyIncome]]&lt;10000,3,4)))</f>
        <v>1</v>
      </c>
      <c r="AI972" s="1" t="str">
        <f>IF(HR_Data[[#This Row],[YearsAtCompany]]&lt;=2,"0-2 Yrs",IF(HR_Data[[#This Row],[YearsAtCompany]]&lt;=5,"3-5 Yrs",IF(HR_Data[[#This Row],[YearsAtCompany]]&lt;=10,"6-10 Yrs","10+ Yrs")))</f>
        <v>0-2 Yrs</v>
      </c>
      <c r="AJ972" s="1">
        <f>IF(HR_Data[[#This Row],[YearsAtCompany]]&lt;=2,1,IF(HR_Data[[#This Row],[YearsAtCompany]]&lt;=5,2,IF(HR_Data[[#This Row],[YearsAtCompany]]&lt;=10,3,4)))</f>
        <v>1</v>
      </c>
      <c r="AK972" s="1" t="str">
        <f>CHOOSE(HR_Data[[#This Row],[Education]],"Below College","College","Bachelor","Master","Doctor")</f>
        <v>Bachelor</v>
      </c>
      <c r="AL972" s="1" t="str">
        <f>CHOOSE(HR_Data[[#This Row],[JobSatisfaction]],"Low","Medium","High","Very High")</f>
        <v>Very High</v>
      </c>
      <c r="AM972" s="1" t="str">
        <f>CHOOSE(HR_Data[[#This Row],[EnvironmentSatisfaction]],"Low","Medium","High","Very High")</f>
        <v>High</v>
      </c>
      <c r="AN972" s="1" t="str">
        <f>CHOOSE(HR_Data[[#This Row],[WorkLifeBalance]],"Bad","Good","Better","Best")</f>
        <v>Better</v>
      </c>
      <c r="AO972" s="1" t="str">
        <f>IF(HR_Data[[#This Row],[PercentSalaryHike]]&lt;=13,"11-13%",IF(HR_Data[[#This Row],[PercentSalaryHike]]&lt;=16,"14-16%",IF(HR_Data[[#This Row],[PercentSalaryHike]]&lt;=19,"17-19%","20-25%")))</f>
        <v>14-16%</v>
      </c>
      <c r="AP972" s="1">
        <f>IF(HR_Data[[#This Row],[PercentSalaryHike]]&lt;=13,1,IF(HR_Data[[#This Row],[PercentSalaryHike]]&lt;=16,2,IF(HR_Data[[#This Row],[PercentSalaryHike]]&lt;=19,3,4)))</f>
        <v>2</v>
      </c>
      <c r="AQ972" s="1" t="str">
        <f>IF(HR_Data[[#This Row],[DistanceFromHome]]&lt;=5,"1 to 5",IF(HR_Data[[#This Row],[DistanceFromHome]]&lt;=10,"6 to 10",IF(HR_Data[[#This Row],[DistanceFromHome]]&lt;=20,"11 to 20","21 to 29")))</f>
        <v>11 to 20</v>
      </c>
      <c r="AR972" s="1">
        <f>IF(HR_Data[[#This Row],[DistanceFromHome]]&lt;=5,1,IF(HR_Data[[#This Row],[DistanceFromHome]]&lt;=10,2,IF(HR_Data[[#This Row],[DistanceFromHome]]&lt;=20,3,4)))</f>
        <v>3</v>
      </c>
      <c r="AS972" s="1" t="str">
        <f>IF(HR_Data[[#This Row],[TotalWorkingYears]]&lt;=5,"0-5 Yrs",IF(HR_Data[[#This Row],[TotalWorkingYears]]&lt;=10,"6-10 Yrs",IF(HR_Data[[#This Row],[TotalWorkingYears]]&lt;=20,"11-20 Yrs","20+ Yrs")))</f>
        <v>0-5 Yrs</v>
      </c>
      <c r="AT972" s="1">
        <f>IF(HR_Data[[#This Row],[TotalWorkingYears]]&lt;=5,1,IF(HR_Data[[#This Row],[TotalWorkingYears]]&lt;=10,2,IF(HR_Data[[#This Row],[TotalWorkingYears]]&lt;=20,3,4)))</f>
        <v>1</v>
      </c>
    </row>
    <row r="973" spans="1:46" x14ac:dyDescent="0.25">
      <c r="A973">
        <v>51</v>
      </c>
      <c r="B973" t="s">
        <v>36</v>
      </c>
      <c r="C973" t="s">
        <v>30</v>
      </c>
      <c r="D973" t="s">
        <v>38</v>
      </c>
      <c r="E973">
        <v>11</v>
      </c>
      <c r="F973">
        <v>2</v>
      </c>
      <c r="G973" t="s">
        <v>53</v>
      </c>
      <c r="H973">
        <v>1367</v>
      </c>
      <c r="I973">
        <v>4</v>
      </c>
      <c r="J973" t="s">
        <v>33</v>
      </c>
      <c r="K973">
        <v>2</v>
      </c>
      <c r="L973">
        <v>4</v>
      </c>
      <c r="M973" t="s">
        <v>46</v>
      </c>
      <c r="N973">
        <v>2</v>
      </c>
      <c r="O973" t="s">
        <v>35</v>
      </c>
      <c r="P973">
        <v>13142</v>
      </c>
      <c r="Q973">
        <v>3</v>
      </c>
      <c r="R973" t="s">
        <v>36</v>
      </c>
      <c r="S973">
        <v>16</v>
      </c>
      <c r="T973">
        <v>3</v>
      </c>
      <c r="U973">
        <v>2</v>
      </c>
      <c r="V973">
        <v>0</v>
      </c>
      <c r="W973">
        <v>29</v>
      </c>
      <c r="X973">
        <v>1</v>
      </c>
      <c r="Y973">
        <v>2</v>
      </c>
      <c r="Z973">
        <v>5</v>
      </c>
      <c r="AA973">
        <v>2</v>
      </c>
      <c r="AB973">
        <v>0</v>
      </c>
      <c r="AC973">
        <v>3</v>
      </c>
      <c r="AD973">
        <f>IF(HR_Data[[#This Row],[Attrition]]="Yes",1,0)</f>
        <v>0</v>
      </c>
      <c r="AE973" t="str">
        <f>IF(HR_Data[[#This Row],[Age]]&lt;=25,"18-25",IF(HR_Data[[#This Row],[Age]]&lt;=35,"26-35",IF(HR_Data[[#This Row],[Age]]&lt;=45,"36-45",IF(HR_Data[[#This Row],[Age]]&lt;=55,"46-55","55+"))))</f>
        <v>46-55</v>
      </c>
      <c r="AF973">
        <f>IF(HR_Data[[#This Row],[Age]]&lt;=25,1,IF(HR_Data[[#This Row],[Age]]&lt;=35,2,IF(HR_Data[[#This Row],[Age]]&lt;=45,3,IF(HR_Data[[#This Row],[Age]]&lt;=55,4,5))))</f>
        <v>4</v>
      </c>
      <c r="AG973" s="1" t="str">
        <f>IF(HR_Data[[#This Row],[MonthlyIncome]]&lt;3000,"&lt;3K",IF(HR_Data[[#This Row],[MonthlyIncome]]&lt;6000,"3K-6K",IF(HR_Data[[#This Row],[MonthlyIncome]]&lt;10000,"6K-10K","10K+")))</f>
        <v>10K+</v>
      </c>
      <c r="AH973" s="1">
        <f>IF(HR_Data[[#This Row],[MonthlyIncome]]&lt;3000,1,IF(HR_Data[[#This Row],[MonthlyIncome]]&lt;6000,2,IF(HR_Data[[#This Row],[MonthlyIncome]]&lt;10000,3,4)))</f>
        <v>4</v>
      </c>
      <c r="AI973" s="1" t="str">
        <f>IF(HR_Data[[#This Row],[YearsAtCompany]]&lt;=2,"0-2 Yrs",IF(HR_Data[[#This Row],[YearsAtCompany]]&lt;=5,"3-5 Yrs",IF(HR_Data[[#This Row],[YearsAtCompany]]&lt;=10,"6-10 Yrs","10+ Yrs")))</f>
        <v>3-5 Yrs</v>
      </c>
      <c r="AJ973" s="1">
        <f>IF(HR_Data[[#This Row],[YearsAtCompany]]&lt;=2,1,IF(HR_Data[[#This Row],[YearsAtCompany]]&lt;=5,2,IF(HR_Data[[#This Row],[YearsAtCompany]]&lt;=10,3,4)))</f>
        <v>2</v>
      </c>
      <c r="AK973" s="1" t="str">
        <f>CHOOSE(HR_Data[[#This Row],[Education]],"Below College","College","Bachelor","Master","Doctor")</f>
        <v>College</v>
      </c>
      <c r="AL973" s="1" t="str">
        <f>CHOOSE(HR_Data[[#This Row],[JobSatisfaction]],"Low","Medium","High","Very High")</f>
        <v>Medium</v>
      </c>
      <c r="AM973" s="1" t="str">
        <f>CHOOSE(HR_Data[[#This Row],[EnvironmentSatisfaction]],"Low","Medium","High","Very High")</f>
        <v>Very High</v>
      </c>
      <c r="AN973" s="1" t="str">
        <f>CHOOSE(HR_Data[[#This Row],[WorkLifeBalance]],"Bad","Good","Better","Best")</f>
        <v>Good</v>
      </c>
      <c r="AO973" s="1" t="str">
        <f>IF(HR_Data[[#This Row],[PercentSalaryHike]]&lt;=13,"11-13%",IF(HR_Data[[#This Row],[PercentSalaryHike]]&lt;=16,"14-16%",IF(HR_Data[[#This Row],[PercentSalaryHike]]&lt;=19,"17-19%","20-25%")))</f>
        <v>14-16%</v>
      </c>
      <c r="AP973" s="1">
        <f>IF(HR_Data[[#This Row],[PercentSalaryHike]]&lt;=13,1,IF(HR_Data[[#This Row],[PercentSalaryHike]]&lt;=16,2,IF(HR_Data[[#This Row],[PercentSalaryHike]]&lt;=19,3,4)))</f>
        <v>2</v>
      </c>
      <c r="AQ973" s="1" t="str">
        <f>IF(HR_Data[[#This Row],[DistanceFromHome]]&lt;=5,"1 to 5",IF(HR_Data[[#This Row],[DistanceFromHome]]&lt;=10,"6 to 10",IF(HR_Data[[#This Row],[DistanceFromHome]]&lt;=20,"11 to 20","21 to 29")))</f>
        <v>11 to 20</v>
      </c>
      <c r="AR973" s="1">
        <f>IF(HR_Data[[#This Row],[DistanceFromHome]]&lt;=5,1,IF(HR_Data[[#This Row],[DistanceFromHome]]&lt;=10,2,IF(HR_Data[[#This Row],[DistanceFromHome]]&lt;=20,3,4)))</f>
        <v>3</v>
      </c>
      <c r="AS973" s="1" t="str">
        <f>IF(HR_Data[[#This Row],[TotalWorkingYears]]&lt;=5,"0-5 Yrs",IF(HR_Data[[#This Row],[TotalWorkingYears]]&lt;=10,"6-10 Yrs",IF(HR_Data[[#This Row],[TotalWorkingYears]]&lt;=20,"11-20 Yrs","20+ Yrs")))</f>
        <v>20+ Yrs</v>
      </c>
      <c r="AT973" s="1">
        <f>IF(HR_Data[[#This Row],[TotalWorkingYears]]&lt;=5,1,IF(HR_Data[[#This Row],[TotalWorkingYears]]&lt;=10,2,IF(HR_Data[[#This Row],[TotalWorkingYears]]&lt;=20,3,4)))</f>
        <v>4</v>
      </c>
    </row>
    <row r="974" spans="1:46" x14ac:dyDescent="0.25">
      <c r="A974">
        <v>18</v>
      </c>
      <c r="B974" t="s">
        <v>36</v>
      </c>
      <c r="C974" t="s">
        <v>48</v>
      </c>
      <c r="D974" t="s">
        <v>38</v>
      </c>
      <c r="E974">
        <v>1</v>
      </c>
      <c r="F974">
        <v>3</v>
      </c>
      <c r="G974" t="s">
        <v>32</v>
      </c>
      <c r="H974">
        <v>1368</v>
      </c>
      <c r="I974">
        <v>4</v>
      </c>
      <c r="J974" t="s">
        <v>33</v>
      </c>
      <c r="K974">
        <v>3</v>
      </c>
      <c r="L974">
        <v>1</v>
      </c>
      <c r="M974" t="s">
        <v>43</v>
      </c>
      <c r="N974">
        <v>4</v>
      </c>
      <c r="O974" t="s">
        <v>35</v>
      </c>
      <c r="P974">
        <v>1611</v>
      </c>
      <c r="Q974">
        <v>1</v>
      </c>
      <c r="R974" t="s">
        <v>36</v>
      </c>
      <c r="S974">
        <v>15</v>
      </c>
      <c r="T974">
        <v>3</v>
      </c>
      <c r="U974">
        <v>3</v>
      </c>
      <c r="V974">
        <v>0</v>
      </c>
      <c r="W974">
        <v>0</v>
      </c>
      <c r="X974">
        <v>5</v>
      </c>
      <c r="Y974">
        <v>4</v>
      </c>
      <c r="Z974">
        <v>0</v>
      </c>
      <c r="AA974">
        <v>0</v>
      </c>
      <c r="AB974">
        <v>0</v>
      </c>
      <c r="AC974">
        <v>0</v>
      </c>
      <c r="AD974">
        <f>IF(HR_Data[[#This Row],[Attrition]]="Yes",1,0)</f>
        <v>0</v>
      </c>
      <c r="AE974" t="str">
        <f>IF(HR_Data[[#This Row],[Age]]&lt;=25,"18-25",IF(HR_Data[[#This Row],[Age]]&lt;=35,"26-35",IF(HR_Data[[#This Row],[Age]]&lt;=45,"36-45",IF(HR_Data[[#This Row],[Age]]&lt;=55,"46-55","55+"))))</f>
        <v>18-25</v>
      </c>
      <c r="AF974">
        <f>IF(HR_Data[[#This Row],[Age]]&lt;=25,1,IF(HR_Data[[#This Row],[Age]]&lt;=35,2,IF(HR_Data[[#This Row],[Age]]&lt;=45,3,IF(HR_Data[[#This Row],[Age]]&lt;=55,4,5))))</f>
        <v>1</v>
      </c>
      <c r="AG974" s="1" t="str">
        <f>IF(HR_Data[[#This Row],[MonthlyIncome]]&lt;3000,"&lt;3K",IF(HR_Data[[#This Row],[MonthlyIncome]]&lt;6000,"3K-6K",IF(HR_Data[[#This Row],[MonthlyIncome]]&lt;10000,"6K-10K","10K+")))</f>
        <v>&lt;3K</v>
      </c>
      <c r="AH974" s="1">
        <f>IF(HR_Data[[#This Row],[MonthlyIncome]]&lt;3000,1,IF(HR_Data[[#This Row],[MonthlyIncome]]&lt;6000,2,IF(HR_Data[[#This Row],[MonthlyIncome]]&lt;10000,3,4)))</f>
        <v>1</v>
      </c>
      <c r="AI974" s="1" t="str">
        <f>IF(HR_Data[[#This Row],[YearsAtCompany]]&lt;=2,"0-2 Yrs",IF(HR_Data[[#This Row],[YearsAtCompany]]&lt;=5,"3-5 Yrs",IF(HR_Data[[#This Row],[YearsAtCompany]]&lt;=10,"6-10 Yrs","10+ Yrs")))</f>
        <v>0-2 Yrs</v>
      </c>
      <c r="AJ974" s="1">
        <f>IF(HR_Data[[#This Row],[YearsAtCompany]]&lt;=2,1,IF(HR_Data[[#This Row],[YearsAtCompany]]&lt;=5,2,IF(HR_Data[[#This Row],[YearsAtCompany]]&lt;=10,3,4)))</f>
        <v>1</v>
      </c>
      <c r="AK974" s="1" t="str">
        <f>CHOOSE(HR_Data[[#This Row],[Education]],"Below College","College","Bachelor","Master","Doctor")</f>
        <v>Bachelor</v>
      </c>
      <c r="AL974" s="1" t="str">
        <f>CHOOSE(HR_Data[[#This Row],[JobSatisfaction]],"Low","Medium","High","Very High")</f>
        <v>Very High</v>
      </c>
      <c r="AM974" s="1" t="str">
        <f>CHOOSE(HR_Data[[#This Row],[EnvironmentSatisfaction]],"Low","Medium","High","Very High")</f>
        <v>Very High</v>
      </c>
      <c r="AN974" s="1" t="str">
        <f>CHOOSE(HR_Data[[#This Row],[WorkLifeBalance]],"Bad","Good","Better","Best")</f>
        <v>Best</v>
      </c>
      <c r="AO974" s="1" t="str">
        <f>IF(HR_Data[[#This Row],[PercentSalaryHike]]&lt;=13,"11-13%",IF(HR_Data[[#This Row],[PercentSalaryHike]]&lt;=16,"14-16%",IF(HR_Data[[#This Row],[PercentSalaryHike]]&lt;=19,"17-19%","20-25%")))</f>
        <v>14-16%</v>
      </c>
      <c r="AP974" s="1">
        <f>IF(HR_Data[[#This Row],[PercentSalaryHike]]&lt;=13,1,IF(HR_Data[[#This Row],[PercentSalaryHike]]&lt;=16,2,IF(HR_Data[[#This Row],[PercentSalaryHike]]&lt;=19,3,4)))</f>
        <v>2</v>
      </c>
      <c r="AQ974" s="1" t="str">
        <f>IF(HR_Data[[#This Row],[DistanceFromHome]]&lt;=5,"1 to 5",IF(HR_Data[[#This Row],[DistanceFromHome]]&lt;=10,"6 to 10",IF(HR_Data[[#This Row],[DistanceFromHome]]&lt;=20,"11 to 20","21 to 29")))</f>
        <v>1 to 5</v>
      </c>
      <c r="AR974" s="1">
        <f>IF(HR_Data[[#This Row],[DistanceFromHome]]&lt;=5,1,IF(HR_Data[[#This Row],[DistanceFromHome]]&lt;=10,2,IF(HR_Data[[#This Row],[DistanceFromHome]]&lt;=20,3,4)))</f>
        <v>1</v>
      </c>
      <c r="AS974" s="1" t="str">
        <f>IF(HR_Data[[#This Row],[TotalWorkingYears]]&lt;=5,"0-5 Yrs",IF(HR_Data[[#This Row],[TotalWorkingYears]]&lt;=10,"6-10 Yrs",IF(HR_Data[[#This Row],[TotalWorkingYears]]&lt;=20,"11-20 Yrs","20+ Yrs")))</f>
        <v>0-5 Yrs</v>
      </c>
      <c r="AT974" s="1">
        <f>IF(HR_Data[[#This Row],[TotalWorkingYears]]&lt;=5,1,IF(HR_Data[[#This Row],[TotalWorkingYears]]&lt;=10,2,IF(HR_Data[[#This Row],[TotalWorkingYears]]&lt;=20,3,4)))</f>
        <v>1</v>
      </c>
    </row>
    <row r="975" spans="1:46" x14ac:dyDescent="0.25">
      <c r="A975">
        <v>35</v>
      </c>
      <c r="B975" t="s">
        <v>36</v>
      </c>
      <c r="C975" t="s">
        <v>30</v>
      </c>
      <c r="D975" t="s">
        <v>38</v>
      </c>
      <c r="E975">
        <v>1</v>
      </c>
      <c r="F975">
        <v>3</v>
      </c>
      <c r="G975" t="s">
        <v>44</v>
      </c>
      <c r="H975">
        <v>1369</v>
      </c>
      <c r="I975">
        <v>4</v>
      </c>
      <c r="J975" t="s">
        <v>33</v>
      </c>
      <c r="K975">
        <v>2</v>
      </c>
      <c r="L975">
        <v>2</v>
      </c>
      <c r="M975" t="s">
        <v>43</v>
      </c>
      <c r="N975">
        <v>4</v>
      </c>
      <c r="O975" t="s">
        <v>41</v>
      </c>
      <c r="P975">
        <v>5363</v>
      </c>
      <c r="Q975">
        <v>0</v>
      </c>
      <c r="R975" t="s">
        <v>36</v>
      </c>
      <c r="S975">
        <v>12</v>
      </c>
      <c r="T975">
        <v>3</v>
      </c>
      <c r="U975">
        <v>2</v>
      </c>
      <c r="V975">
        <v>1</v>
      </c>
      <c r="W975">
        <v>10</v>
      </c>
      <c r="X975">
        <v>0</v>
      </c>
      <c r="Y975">
        <v>3</v>
      </c>
      <c r="Z975">
        <v>9</v>
      </c>
      <c r="AA975">
        <v>7</v>
      </c>
      <c r="AB975">
        <v>0</v>
      </c>
      <c r="AC975">
        <v>0</v>
      </c>
      <c r="AD975">
        <f>IF(HR_Data[[#This Row],[Attrition]]="Yes",1,0)</f>
        <v>0</v>
      </c>
      <c r="AE975" t="str">
        <f>IF(HR_Data[[#This Row],[Age]]&lt;=25,"18-25",IF(HR_Data[[#This Row],[Age]]&lt;=35,"26-35",IF(HR_Data[[#This Row],[Age]]&lt;=45,"36-45",IF(HR_Data[[#This Row],[Age]]&lt;=55,"46-55","55+"))))</f>
        <v>26-35</v>
      </c>
      <c r="AF975">
        <f>IF(HR_Data[[#This Row],[Age]]&lt;=25,1,IF(HR_Data[[#This Row],[Age]]&lt;=35,2,IF(HR_Data[[#This Row],[Age]]&lt;=45,3,IF(HR_Data[[#This Row],[Age]]&lt;=55,4,5))))</f>
        <v>2</v>
      </c>
      <c r="AG975" s="1" t="str">
        <f>IF(HR_Data[[#This Row],[MonthlyIncome]]&lt;3000,"&lt;3K",IF(HR_Data[[#This Row],[MonthlyIncome]]&lt;6000,"3K-6K",IF(HR_Data[[#This Row],[MonthlyIncome]]&lt;10000,"6K-10K","10K+")))</f>
        <v>3K-6K</v>
      </c>
      <c r="AH975" s="1">
        <f>IF(HR_Data[[#This Row],[MonthlyIncome]]&lt;3000,1,IF(HR_Data[[#This Row],[MonthlyIncome]]&lt;6000,2,IF(HR_Data[[#This Row],[MonthlyIncome]]&lt;10000,3,4)))</f>
        <v>2</v>
      </c>
      <c r="AI975" s="1" t="str">
        <f>IF(HR_Data[[#This Row],[YearsAtCompany]]&lt;=2,"0-2 Yrs",IF(HR_Data[[#This Row],[YearsAtCompany]]&lt;=5,"3-5 Yrs",IF(HR_Data[[#This Row],[YearsAtCompany]]&lt;=10,"6-10 Yrs","10+ Yrs")))</f>
        <v>6-10 Yrs</v>
      </c>
      <c r="AJ975" s="1">
        <f>IF(HR_Data[[#This Row],[YearsAtCompany]]&lt;=2,1,IF(HR_Data[[#This Row],[YearsAtCompany]]&lt;=5,2,IF(HR_Data[[#This Row],[YearsAtCompany]]&lt;=10,3,4)))</f>
        <v>3</v>
      </c>
      <c r="AK975" s="1" t="str">
        <f>CHOOSE(HR_Data[[#This Row],[Education]],"Below College","College","Bachelor","Master","Doctor")</f>
        <v>Bachelor</v>
      </c>
      <c r="AL975" s="1" t="str">
        <f>CHOOSE(HR_Data[[#This Row],[JobSatisfaction]],"Low","Medium","High","Very High")</f>
        <v>Very High</v>
      </c>
      <c r="AM975" s="1" t="str">
        <f>CHOOSE(HR_Data[[#This Row],[EnvironmentSatisfaction]],"Low","Medium","High","Very High")</f>
        <v>Very High</v>
      </c>
      <c r="AN975" s="1" t="str">
        <f>CHOOSE(HR_Data[[#This Row],[WorkLifeBalance]],"Bad","Good","Better","Best")</f>
        <v>Better</v>
      </c>
      <c r="AO975" s="1" t="str">
        <f>IF(HR_Data[[#This Row],[PercentSalaryHike]]&lt;=13,"11-13%",IF(HR_Data[[#This Row],[PercentSalaryHike]]&lt;=16,"14-16%",IF(HR_Data[[#This Row],[PercentSalaryHike]]&lt;=19,"17-19%","20-25%")))</f>
        <v>11-13%</v>
      </c>
      <c r="AP975" s="1">
        <f>IF(HR_Data[[#This Row],[PercentSalaryHike]]&lt;=13,1,IF(HR_Data[[#This Row],[PercentSalaryHike]]&lt;=16,2,IF(HR_Data[[#This Row],[PercentSalaryHike]]&lt;=19,3,4)))</f>
        <v>1</v>
      </c>
      <c r="AQ975" s="1" t="str">
        <f>IF(HR_Data[[#This Row],[DistanceFromHome]]&lt;=5,"1 to 5",IF(HR_Data[[#This Row],[DistanceFromHome]]&lt;=10,"6 to 10",IF(HR_Data[[#This Row],[DistanceFromHome]]&lt;=20,"11 to 20","21 to 29")))</f>
        <v>1 to 5</v>
      </c>
      <c r="AR975" s="1">
        <f>IF(HR_Data[[#This Row],[DistanceFromHome]]&lt;=5,1,IF(HR_Data[[#This Row],[DistanceFromHome]]&lt;=10,2,IF(HR_Data[[#This Row],[DistanceFromHome]]&lt;=20,3,4)))</f>
        <v>1</v>
      </c>
      <c r="AS975" s="1" t="str">
        <f>IF(HR_Data[[#This Row],[TotalWorkingYears]]&lt;=5,"0-5 Yrs",IF(HR_Data[[#This Row],[TotalWorkingYears]]&lt;=10,"6-10 Yrs",IF(HR_Data[[#This Row],[TotalWorkingYears]]&lt;=20,"11-20 Yrs","20+ Yrs")))</f>
        <v>6-10 Yrs</v>
      </c>
      <c r="AT975" s="1">
        <f>IF(HR_Data[[#This Row],[TotalWorkingYears]]&lt;=5,1,IF(HR_Data[[#This Row],[TotalWorkingYears]]&lt;=10,2,IF(HR_Data[[#This Row],[TotalWorkingYears]]&lt;=20,3,4)))</f>
        <v>2</v>
      </c>
    </row>
    <row r="976" spans="1:46" x14ac:dyDescent="0.25">
      <c r="A976">
        <v>27</v>
      </c>
      <c r="B976" t="s">
        <v>36</v>
      </c>
      <c r="C976" t="s">
        <v>37</v>
      </c>
      <c r="D976" t="s">
        <v>31</v>
      </c>
      <c r="E976">
        <v>2</v>
      </c>
      <c r="F976">
        <v>1</v>
      </c>
      <c r="G976" t="s">
        <v>32</v>
      </c>
      <c r="H976">
        <v>1371</v>
      </c>
      <c r="I976">
        <v>4</v>
      </c>
      <c r="J976" t="s">
        <v>39</v>
      </c>
      <c r="K976">
        <v>1</v>
      </c>
      <c r="L976">
        <v>2</v>
      </c>
      <c r="M976" t="s">
        <v>34</v>
      </c>
      <c r="N976">
        <v>4</v>
      </c>
      <c r="O976" t="s">
        <v>35</v>
      </c>
      <c r="P976">
        <v>5071</v>
      </c>
      <c r="Q976">
        <v>3</v>
      </c>
      <c r="R976" t="s">
        <v>36</v>
      </c>
      <c r="S976">
        <v>20</v>
      </c>
      <c r="T976">
        <v>4</v>
      </c>
      <c r="U976">
        <v>2</v>
      </c>
      <c r="V976">
        <v>0</v>
      </c>
      <c r="W976">
        <v>8</v>
      </c>
      <c r="X976">
        <v>3</v>
      </c>
      <c r="Y976">
        <v>3</v>
      </c>
      <c r="Z976">
        <v>6</v>
      </c>
      <c r="AA976">
        <v>2</v>
      </c>
      <c r="AB976">
        <v>0</v>
      </c>
      <c r="AC976">
        <v>0</v>
      </c>
      <c r="AD976">
        <f>IF(HR_Data[[#This Row],[Attrition]]="Yes",1,0)</f>
        <v>0</v>
      </c>
      <c r="AE976" t="str">
        <f>IF(HR_Data[[#This Row],[Age]]&lt;=25,"18-25",IF(HR_Data[[#This Row],[Age]]&lt;=35,"26-35",IF(HR_Data[[#This Row],[Age]]&lt;=45,"36-45",IF(HR_Data[[#This Row],[Age]]&lt;=55,"46-55","55+"))))</f>
        <v>26-35</v>
      </c>
      <c r="AF976">
        <f>IF(HR_Data[[#This Row],[Age]]&lt;=25,1,IF(HR_Data[[#This Row],[Age]]&lt;=35,2,IF(HR_Data[[#This Row],[Age]]&lt;=45,3,IF(HR_Data[[#This Row],[Age]]&lt;=55,4,5))))</f>
        <v>2</v>
      </c>
      <c r="AG976" s="1" t="str">
        <f>IF(HR_Data[[#This Row],[MonthlyIncome]]&lt;3000,"&lt;3K",IF(HR_Data[[#This Row],[MonthlyIncome]]&lt;6000,"3K-6K",IF(HR_Data[[#This Row],[MonthlyIncome]]&lt;10000,"6K-10K","10K+")))</f>
        <v>3K-6K</v>
      </c>
      <c r="AH976" s="1">
        <f>IF(HR_Data[[#This Row],[MonthlyIncome]]&lt;3000,1,IF(HR_Data[[#This Row],[MonthlyIncome]]&lt;6000,2,IF(HR_Data[[#This Row],[MonthlyIncome]]&lt;10000,3,4)))</f>
        <v>2</v>
      </c>
      <c r="AI976" s="1" t="str">
        <f>IF(HR_Data[[#This Row],[YearsAtCompany]]&lt;=2,"0-2 Yrs",IF(HR_Data[[#This Row],[YearsAtCompany]]&lt;=5,"3-5 Yrs",IF(HR_Data[[#This Row],[YearsAtCompany]]&lt;=10,"6-10 Yrs","10+ Yrs")))</f>
        <v>6-10 Yrs</v>
      </c>
      <c r="AJ976" s="1">
        <f>IF(HR_Data[[#This Row],[YearsAtCompany]]&lt;=2,1,IF(HR_Data[[#This Row],[YearsAtCompany]]&lt;=5,2,IF(HR_Data[[#This Row],[YearsAtCompany]]&lt;=10,3,4)))</f>
        <v>3</v>
      </c>
      <c r="AK976" s="1" t="str">
        <f>CHOOSE(HR_Data[[#This Row],[Education]],"Below College","College","Bachelor","Master","Doctor")</f>
        <v>Below College</v>
      </c>
      <c r="AL976" s="1" t="str">
        <f>CHOOSE(HR_Data[[#This Row],[JobSatisfaction]],"Low","Medium","High","Very High")</f>
        <v>Very High</v>
      </c>
      <c r="AM976" s="1" t="str">
        <f>CHOOSE(HR_Data[[#This Row],[EnvironmentSatisfaction]],"Low","Medium","High","Very High")</f>
        <v>Very High</v>
      </c>
      <c r="AN976" s="1" t="str">
        <f>CHOOSE(HR_Data[[#This Row],[WorkLifeBalance]],"Bad","Good","Better","Best")</f>
        <v>Better</v>
      </c>
      <c r="AO976" s="1" t="str">
        <f>IF(HR_Data[[#This Row],[PercentSalaryHike]]&lt;=13,"11-13%",IF(HR_Data[[#This Row],[PercentSalaryHike]]&lt;=16,"14-16%",IF(HR_Data[[#This Row],[PercentSalaryHike]]&lt;=19,"17-19%","20-25%")))</f>
        <v>20-25%</v>
      </c>
      <c r="AP976" s="1">
        <f>IF(HR_Data[[#This Row],[PercentSalaryHike]]&lt;=13,1,IF(HR_Data[[#This Row],[PercentSalaryHike]]&lt;=16,2,IF(HR_Data[[#This Row],[PercentSalaryHike]]&lt;=19,3,4)))</f>
        <v>4</v>
      </c>
      <c r="AQ976" s="1" t="str">
        <f>IF(HR_Data[[#This Row],[DistanceFromHome]]&lt;=5,"1 to 5",IF(HR_Data[[#This Row],[DistanceFromHome]]&lt;=10,"6 to 10",IF(HR_Data[[#This Row],[DistanceFromHome]]&lt;=20,"11 to 20","21 to 29")))</f>
        <v>1 to 5</v>
      </c>
      <c r="AR976" s="1">
        <f>IF(HR_Data[[#This Row],[DistanceFromHome]]&lt;=5,1,IF(HR_Data[[#This Row],[DistanceFromHome]]&lt;=10,2,IF(HR_Data[[#This Row],[DistanceFromHome]]&lt;=20,3,4)))</f>
        <v>1</v>
      </c>
      <c r="AS976" s="1" t="str">
        <f>IF(HR_Data[[#This Row],[TotalWorkingYears]]&lt;=5,"0-5 Yrs",IF(HR_Data[[#This Row],[TotalWorkingYears]]&lt;=10,"6-10 Yrs",IF(HR_Data[[#This Row],[TotalWorkingYears]]&lt;=20,"11-20 Yrs","20+ Yrs")))</f>
        <v>6-10 Yrs</v>
      </c>
      <c r="AT976" s="1">
        <f>IF(HR_Data[[#This Row],[TotalWorkingYears]]&lt;=5,1,IF(HR_Data[[#This Row],[TotalWorkingYears]]&lt;=10,2,IF(HR_Data[[#This Row],[TotalWorkingYears]]&lt;=20,3,4)))</f>
        <v>2</v>
      </c>
    </row>
    <row r="977" spans="1:46" x14ac:dyDescent="0.25">
      <c r="A977">
        <v>55</v>
      </c>
      <c r="B977" t="s">
        <v>29</v>
      </c>
      <c r="C977" t="s">
        <v>30</v>
      </c>
      <c r="D977" t="s">
        <v>31</v>
      </c>
      <c r="E977">
        <v>13</v>
      </c>
      <c r="F977">
        <v>4</v>
      </c>
      <c r="G977" t="s">
        <v>52</v>
      </c>
      <c r="H977">
        <v>1372</v>
      </c>
      <c r="I977">
        <v>1</v>
      </c>
      <c r="J977" t="s">
        <v>39</v>
      </c>
      <c r="K977">
        <v>4</v>
      </c>
      <c r="L977">
        <v>4</v>
      </c>
      <c r="M977" t="s">
        <v>34</v>
      </c>
      <c r="N977">
        <v>3</v>
      </c>
      <c r="O977" t="s">
        <v>35</v>
      </c>
      <c r="P977">
        <v>13695</v>
      </c>
      <c r="Q977">
        <v>6</v>
      </c>
      <c r="R977" t="s">
        <v>29</v>
      </c>
      <c r="S977">
        <v>17</v>
      </c>
      <c r="T977">
        <v>3</v>
      </c>
      <c r="U977">
        <v>3</v>
      </c>
      <c r="V977">
        <v>0</v>
      </c>
      <c r="W977">
        <v>24</v>
      </c>
      <c r="X977">
        <v>2</v>
      </c>
      <c r="Y977">
        <v>2</v>
      </c>
      <c r="Z977">
        <v>19</v>
      </c>
      <c r="AA977">
        <v>7</v>
      </c>
      <c r="AB977">
        <v>3</v>
      </c>
      <c r="AC977">
        <v>8</v>
      </c>
      <c r="AD977">
        <f>IF(HR_Data[[#This Row],[Attrition]]="Yes",1,0)</f>
        <v>1</v>
      </c>
      <c r="AE977" t="str">
        <f>IF(HR_Data[[#This Row],[Age]]&lt;=25,"18-25",IF(HR_Data[[#This Row],[Age]]&lt;=35,"26-35",IF(HR_Data[[#This Row],[Age]]&lt;=45,"36-45",IF(HR_Data[[#This Row],[Age]]&lt;=55,"46-55","55+"))))</f>
        <v>46-55</v>
      </c>
      <c r="AF977">
        <f>IF(HR_Data[[#This Row],[Age]]&lt;=25,1,IF(HR_Data[[#This Row],[Age]]&lt;=35,2,IF(HR_Data[[#This Row],[Age]]&lt;=45,3,IF(HR_Data[[#This Row],[Age]]&lt;=55,4,5))))</f>
        <v>4</v>
      </c>
      <c r="AG977" s="1" t="str">
        <f>IF(HR_Data[[#This Row],[MonthlyIncome]]&lt;3000,"&lt;3K",IF(HR_Data[[#This Row],[MonthlyIncome]]&lt;6000,"3K-6K",IF(HR_Data[[#This Row],[MonthlyIncome]]&lt;10000,"6K-10K","10K+")))</f>
        <v>10K+</v>
      </c>
      <c r="AH977" s="1">
        <f>IF(HR_Data[[#This Row],[MonthlyIncome]]&lt;3000,1,IF(HR_Data[[#This Row],[MonthlyIncome]]&lt;6000,2,IF(HR_Data[[#This Row],[MonthlyIncome]]&lt;10000,3,4)))</f>
        <v>4</v>
      </c>
      <c r="AI977" s="1" t="str">
        <f>IF(HR_Data[[#This Row],[YearsAtCompany]]&lt;=2,"0-2 Yrs",IF(HR_Data[[#This Row],[YearsAtCompany]]&lt;=5,"3-5 Yrs",IF(HR_Data[[#This Row],[YearsAtCompany]]&lt;=10,"6-10 Yrs","10+ Yrs")))</f>
        <v>10+ Yrs</v>
      </c>
      <c r="AJ977" s="1">
        <f>IF(HR_Data[[#This Row],[YearsAtCompany]]&lt;=2,1,IF(HR_Data[[#This Row],[YearsAtCompany]]&lt;=5,2,IF(HR_Data[[#This Row],[YearsAtCompany]]&lt;=10,3,4)))</f>
        <v>4</v>
      </c>
      <c r="AK977" s="1" t="str">
        <f>CHOOSE(HR_Data[[#This Row],[Education]],"Below College","College","Bachelor","Master","Doctor")</f>
        <v>Master</v>
      </c>
      <c r="AL977" s="1" t="str">
        <f>CHOOSE(HR_Data[[#This Row],[JobSatisfaction]],"Low","Medium","High","Very High")</f>
        <v>High</v>
      </c>
      <c r="AM977" s="1" t="str">
        <f>CHOOSE(HR_Data[[#This Row],[EnvironmentSatisfaction]],"Low","Medium","High","Very High")</f>
        <v>Low</v>
      </c>
      <c r="AN977" s="1" t="str">
        <f>CHOOSE(HR_Data[[#This Row],[WorkLifeBalance]],"Bad","Good","Better","Best")</f>
        <v>Good</v>
      </c>
      <c r="AO977" s="1" t="str">
        <f>IF(HR_Data[[#This Row],[PercentSalaryHike]]&lt;=13,"11-13%",IF(HR_Data[[#This Row],[PercentSalaryHike]]&lt;=16,"14-16%",IF(HR_Data[[#This Row],[PercentSalaryHike]]&lt;=19,"17-19%","20-25%")))</f>
        <v>17-19%</v>
      </c>
      <c r="AP977" s="1">
        <f>IF(HR_Data[[#This Row],[PercentSalaryHike]]&lt;=13,1,IF(HR_Data[[#This Row],[PercentSalaryHike]]&lt;=16,2,IF(HR_Data[[#This Row],[PercentSalaryHike]]&lt;=19,3,4)))</f>
        <v>3</v>
      </c>
      <c r="AQ977" s="1" t="str">
        <f>IF(HR_Data[[#This Row],[DistanceFromHome]]&lt;=5,"1 to 5",IF(HR_Data[[#This Row],[DistanceFromHome]]&lt;=10,"6 to 10",IF(HR_Data[[#This Row],[DistanceFromHome]]&lt;=20,"11 to 20","21 to 29")))</f>
        <v>11 to 20</v>
      </c>
      <c r="AR977" s="1">
        <f>IF(HR_Data[[#This Row],[DistanceFromHome]]&lt;=5,1,IF(HR_Data[[#This Row],[DistanceFromHome]]&lt;=10,2,IF(HR_Data[[#This Row],[DistanceFromHome]]&lt;=20,3,4)))</f>
        <v>3</v>
      </c>
      <c r="AS977" s="1" t="str">
        <f>IF(HR_Data[[#This Row],[TotalWorkingYears]]&lt;=5,"0-5 Yrs",IF(HR_Data[[#This Row],[TotalWorkingYears]]&lt;=10,"6-10 Yrs",IF(HR_Data[[#This Row],[TotalWorkingYears]]&lt;=20,"11-20 Yrs","20+ Yrs")))</f>
        <v>20+ Yrs</v>
      </c>
      <c r="AT977" s="1">
        <f>IF(HR_Data[[#This Row],[TotalWorkingYears]]&lt;=5,1,IF(HR_Data[[#This Row],[TotalWorkingYears]]&lt;=10,2,IF(HR_Data[[#This Row],[TotalWorkingYears]]&lt;=20,3,4)))</f>
        <v>4</v>
      </c>
    </row>
    <row r="978" spans="1:46" x14ac:dyDescent="0.25">
      <c r="A978">
        <v>56</v>
      </c>
      <c r="B978" t="s">
        <v>36</v>
      </c>
      <c r="C978" t="s">
        <v>30</v>
      </c>
      <c r="D978" t="s">
        <v>38</v>
      </c>
      <c r="E978">
        <v>23</v>
      </c>
      <c r="F978">
        <v>3</v>
      </c>
      <c r="G978" t="s">
        <v>32</v>
      </c>
      <c r="H978">
        <v>1373</v>
      </c>
      <c r="I978">
        <v>4</v>
      </c>
      <c r="J978" t="s">
        <v>39</v>
      </c>
      <c r="K978">
        <v>3</v>
      </c>
      <c r="L978">
        <v>4</v>
      </c>
      <c r="M978" t="s">
        <v>46</v>
      </c>
      <c r="N978">
        <v>2</v>
      </c>
      <c r="O978" t="s">
        <v>41</v>
      </c>
      <c r="P978">
        <v>13402</v>
      </c>
      <c r="Q978">
        <v>4</v>
      </c>
      <c r="R978" t="s">
        <v>29</v>
      </c>
      <c r="S978">
        <v>12</v>
      </c>
      <c r="T978">
        <v>3</v>
      </c>
      <c r="U978">
        <v>1</v>
      </c>
      <c r="V978">
        <v>1</v>
      </c>
      <c r="W978">
        <v>33</v>
      </c>
      <c r="X978">
        <v>0</v>
      </c>
      <c r="Y978">
        <v>3</v>
      </c>
      <c r="Z978">
        <v>19</v>
      </c>
      <c r="AA978">
        <v>16</v>
      </c>
      <c r="AB978">
        <v>15</v>
      </c>
      <c r="AC978">
        <v>9</v>
      </c>
      <c r="AD978">
        <f>IF(HR_Data[[#This Row],[Attrition]]="Yes",1,0)</f>
        <v>0</v>
      </c>
      <c r="AE978" t="str">
        <f>IF(HR_Data[[#This Row],[Age]]&lt;=25,"18-25",IF(HR_Data[[#This Row],[Age]]&lt;=35,"26-35",IF(HR_Data[[#This Row],[Age]]&lt;=45,"36-45",IF(HR_Data[[#This Row],[Age]]&lt;=55,"46-55","55+"))))</f>
        <v>55+</v>
      </c>
      <c r="AF978">
        <f>IF(HR_Data[[#This Row],[Age]]&lt;=25,1,IF(HR_Data[[#This Row],[Age]]&lt;=35,2,IF(HR_Data[[#This Row],[Age]]&lt;=45,3,IF(HR_Data[[#This Row],[Age]]&lt;=55,4,5))))</f>
        <v>5</v>
      </c>
      <c r="AG978" s="1" t="str">
        <f>IF(HR_Data[[#This Row],[MonthlyIncome]]&lt;3000,"&lt;3K",IF(HR_Data[[#This Row],[MonthlyIncome]]&lt;6000,"3K-6K",IF(HR_Data[[#This Row],[MonthlyIncome]]&lt;10000,"6K-10K","10K+")))</f>
        <v>10K+</v>
      </c>
      <c r="AH978" s="1">
        <f>IF(HR_Data[[#This Row],[MonthlyIncome]]&lt;3000,1,IF(HR_Data[[#This Row],[MonthlyIncome]]&lt;6000,2,IF(HR_Data[[#This Row],[MonthlyIncome]]&lt;10000,3,4)))</f>
        <v>4</v>
      </c>
      <c r="AI978" s="1" t="str">
        <f>IF(HR_Data[[#This Row],[YearsAtCompany]]&lt;=2,"0-2 Yrs",IF(HR_Data[[#This Row],[YearsAtCompany]]&lt;=5,"3-5 Yrs",IF(HR_Data[[#This Row],[YearsAtCompany]]&lt;=10,"6-10 Yrs","10+ Yrs")))</f>
        <v>10+ Yrs</v>
      </c>
      <c r="AJ978" s="1">
        <f>IF(HR_Data[[#This Row],[YearsAtCompany]]&lt;=2,1,IF(HR_Data[[#This Row],[YearsAtCompany]]&lt;=5,2,IF(HR_Data[[#This Row],[YearsAtCompany]]&lt;=10,3,4)))</f>
        <v>4</v>
      </c>
      <c r="AK978" s="1" t="str">
        <f>CHOOSE(HR_Data[[#This Row],[Education]],"Below College","College","Bachelor","Master","Doctor")</f>
        <v>Bachelor</v>
      </c>
      <c r="AL978" s="1" t="str">
        <f>CHOOSE(HR_Data[[#This Row],[JobSatisfaction]],"Low","Medium","High","Very High")</f>
        <v>Medium</v>
      </c>
      <c r="AM978" s="1" t="str">
        <f>CHOOSE(HR_Data[[#This Row],[EnvironmentSatisfaction]],"Low","Medium","High","Very High")</f>
        <v>Very High</v>
      </c>
      <c r="AN978" s="1" t="str">
        <f>CHOOSE(HR_Data[[#This Row],[WorkLifeBalance]],"Bad","Good","Better","Best")</f>
        <v>Better</v>
      </c>
      <c r="AO978" s="1" t="str">
        <f>IF(HR_Data[[#This Row],[PercentSalaryHike]]&lt;=13,"11-13%",IF(HR_Data[[#This Row],[PercentSalaryHike]]&lt;=16,"14-16%",IF(HR_Data[[#This Row],[PercentSalaryHike]]&lt;=19,"17-19%","20-25%")))</f>
        <v>11-13%</v>
      </c>
      <c r="AP978" s="1">
        <f>IF(HR_Data[[#This Row],[PercentSalaryHike]]&lt;=13,1,IF(HR_Data[[#This Row],[PercentSalaryHike]]&lt;=16,2,IF(HR_Data[[#This Row],[PercentSalaryHike]]&lt;=19,3,4)))</f>
        <v>1</v>
      </c>
      <c r="AQ978" s="1" t="str">
        <f>IF(HR_Data[[#This Row],[DistanceFromHome]]&lt;=5,"1 to 5",IF(HR_Data[[#This Row],[DistanceFromHome]]&lt;=10,"6 to 10",IF(HR_Data[[#This Row],[DistanceFromHome]]&lt;=20,"11 to 20","21 to 29")))</f>
        <v>21 to 29</v>
      </c>
      <c r="AR978" s="1">
        <f>IF(HR_Data[[#This Row],[DistanceFromHome]]&lt;=5,1,IF(HR_Data[[#This Row],[DistanceFromHome]]&lt;=10,2,IF(HR_Data[[#This Row],[DistanceFromHome]]&lt;=20,3,4)))</f>
        <v>4</v>
      </c>
      <c r="AS978" s="1" t="str">
        <f>IF(HR_Data[[#This Row],[TotalWorkingYears]]&lt;=5,"0-5 Yrs",IF(HR_Data[[#This Row],[TotalWorkingYears]]&lt;=10,"6-10 Yrs",IF(HR_Data[[#This Row],[TotalWorkingYears]]&lt;=20,"11-20 Yrs","20+ Yrs")))</f>
        <v>20+ Yrs</v>
      </c>
      <c r="AT978" s="1">
        <f>IF(HR_Data[[#This Row],[TotalWorkingYears]]&lt;=5,1,IF(HR_Data[[#This Row],[TotalWorkingYears]]&lt;=10,2,IF(HR_Data[[#This Row],[TotalWorkingYears]]&lt;=20,3,4)))</f>
        <v>4</v>
      </c>
    </row>
    <row r="979" spans="1:46" x14ac:dyDescent="0.25">
      <c r="A979">
        <v>34</v>
      </c>
      <c r="B979" t="s">
        <v>36</v>
      </c>
      <c r="C979" t="s">
        <v>48</v>
      </c>
      <c r="D979" t="s">
        <v>38</v>
      </c>
      <c r="E979">
        <v>26</v>
      </c>
      <c r="F979">
        <v>1</v>
      </c>
      <c r="G979" t="s">
        <v>53</v>
      </c>
      <c r="H979">
        <v>1374</v>
      </c>
      <c r="I979">
        <v>1</v>
      </c>
      <c r="J979" t="s">
        <v>33</v>
      </c>
      <c r="K979">
        <v>2</v>
      </c>
      <c r="L979">
        <v>1</v>
      </c>
      <c r="M979" t="s">
        <v>40</v>
      </c>
      <c r="N979">
        <v>3</v>
      </c>
      <c r="O979" t="s">
        <v>45</v>
      </c>
      <c r="P979">
        <v>2029</v>
      </c>
      <c r="Q979">
        <v>1</v>
      </c>
      <c r="R979" t="s">
        <v>36</v>
      </c>
      <c r="S979">
        <v>20</v>
      </c>
      <c r="T979">
        <v>4</v>
      </c>
      <c r="U979">
        <v>3</v>
      </c>
      <c r="V979">
        <v>3</v>
      </c>
      <c r="W979">
        <v>5</v>
      </c>
      <c r="X979">
        <v>2</v>
      </c>
      <c r="Y979">
        <v>3</v>
      </c>
      <c r="Z979">
        <v>5</v>
      </c>
      <c r="AA979">
        <v>4</v>
      </c>
      <c r="AB979">
        <v>0</v>
      </c>
      <c r="AC979">
        <v>0</v>
      </c>
      <c r="AD979">
        <f>IF(HR_Data[[#This Row],[Attrition]]="Yes",1,0)</f>
        <v>0</v>
      </c>
      <c r="AE979" t="str">
        <f>IF(HR_Data[[#This Row],[Age]]&lt;=25,"18-25",IF(HR_Data[[#This Row],[Age]]&lt;=35,"26-35",IF(HR_Data[[#This Row],[Age]]&lt;=45,"36-45",IF(HR_Data[[#This Row],[Age]]&lt;=55,"46-55","55+"))))</f>
        <v>26-35</v>
      </c>
      <c r="AF979">
        <f>IF(HR_Data[[#This Row],[Age]]&lt;=25,1,IF(HR_Data[[#This Row],[Age]]&lt;=35,2,IF(HR_Data[[#This Row],[Age]]&lt;=45,3,IF(HR_Data[[#This Row],[Age]]&lt;=55,4,5))))</f>
        <v>2</v>
      </c>
      <c r="AG979" s="1" t="str">
        <f>IF(HR_Data[[#This Row],[MonthlyIncome]]&lt;3000,"&lt;3K",IF(HR_Data[[#This Row],[MonthlyIncome]]&lt;6000,"3K-6K",IF(HR_Data[[#This Row],[MonthlyIncome]]&lt;10000,"6K-10K","10K+")))</f>
        <v>&lt;3K</v>
      </c>
      <c r="AH979" s="1">
        <f>IF(HR_Data[[#This Row],[MonthlyIncome]]&lt;3000,1,IF(HR_Data[[#This Row],[MonthlyIncome]]&lt;6000,2,IF(HR_Data[[#This Row],[MonthlyIncome]]&lt;10000,3,4)))</f>
        <v>1</v>
      </c>
      <c r="AI979" s="1" t="str">
        <f>IF(HR_Data[[#This Row],[YearsAtCompany]]&lt;=2,"0-2 Yrs",IF(HR_Data[[#This Row],[YearsAtCompany]]&lt;=5,"3-5 Yrs",IF(HR_Data[[#This Row],[YearsAtCompany]]&lt;=10,"6-10 Yrs","10+ Yrs")))</f>
        <v>3-5 Yrs</v>
      </c>
      <c r="AJ979" s="1">
        <f>IF(HR_Data[[#This Row],[YearsAtCompany]]&lt;=2,1,IF(HR_Data[[#This Row],[YearsAtCompany]]&lt;=5,2,IF(HR_Data[[#This Row],[YearsAtCompany]]&lt;=10,3,4)))</f>
        <v>2</v>
      </c>
      <c r="AK979" s="1" t="str">
        <f>CHOOSE(HR_Data[[#This Row],[Education]],"Below College","College","Bachelor","Master","Doctor")</f>
        <v>Below College</v>
      </c>
      <c r="AL979" s="1" t="str">
        <f>CHOOSE(HR_Data[[#This Row],[JobSatisfaction]],"Low","Medium","High","Very High")</f>
        <v>High</v>
      </c>
      <c r="AM979" s="1" t="str">
        <f>CHOOSE(HR_Data[[#This Row],[EnvironmentSatisfaction]],"Low","Medium","High","Very High")</f>
        <v>Low</v>
      </c>
      <c r="AN979" s="1" t="str">
        <f>CHOOSE(HR_Data[[#This Row],[WorkLifeBalance]],"Bad","Good","Better","Best")</f>
        <v>Better</v>
      </c>
      <c r="AO979" s="1" t="str">
        <f>IF(HR_Data[[#This Row],[PercentSalaryHike]]&lt;=13,"11-13%",IF(HR_Data[[#This Row],[PercentSalaryHike]]&lt;=16,"14-16%",IF(HR_Data[[#This Row],[PercentSalaryHike]]&lt;=19,"17-19%","20-25%")))</f>
        <v>20-25%</v>
      </c>
      <c r="AP979" s="1">
        <f>IF(HR_Data[[#This Row],[PercentSalaryHike]]&lt;=13,1,IF(HR_Data[[#This Row],[PercentSalaryHike]]&lt;=16,2,IF(HR_Data[[#This Row],[PercentSalaryHike]]&lt;=19,3,4)))</f>
        <v>4</v>
      </c>
      <c r="AQ979" s="1" t="str">
        <f>IF(HR_Data[[#This Row],[DistanceFromHome]]&lt;=5,"1 to 5",IF(HR_Data[[#This Row],[DistanceFromHome]]&lt;=10,"6 to 10",IF(HR_Data[[#This Row],[DistanceFromHome]]&lt;=20,"11 to 20","21 to 29")))</f>
        <v>21 to 29</v>
      </c>
      <c r="AR979" s="1">
        <f>IF(HR_Data[[#This Row],[DistanceFromHome]]&lt;=5,1,IF(HR_Data[[#This Row],[DistanceFromHome]]&lt;=10,2,IF(HR_Data[[#This Row],[DistanceFromHome]]&lt;=20,3,4)))</f>
        <v>4</v>
      </c>
      <c r="AS979" s="1" t="str">
        <f>IF(HR_Data[[#This Row],[TotalWorkingYears]]&lt;=5,"0-5 Yrs",IF(HR_Data[[#This Row],[TotalWorkingYears]]&lt;=10,"6-10 Yrs",IF(HR_Data[[#This Row],[TotalWorkingYears]]&lt;=20,"11-20 Yrs","20+ Yrs")))</f>
        <v>0-5 Yrs</v>
      </c>
      <c r="AT979" s="1">
        <f>IF(HR_Data[[#This Row],[TotalWorkingYears]]&lt;=5,1,IF(HR_Data[[#This Row],[TotalWorkingYears]]&lt;=10,2,IF(HR_Data[[#This Row],[TotalWorkingYears]]&lt;=20,3,4)))</f>
        <v>1</v>
      </c>
    </row>
    <row r="980" spans="1:46" x14ac:dyDescent="0.25">
      <c r="A980">
        <v>40</v>
      </c>
      <c r="B980" t="s">
        <v>36</v>
      </c>
      <c r="C980" t="s">
        <v>30</v>
      </c>
      <c r="D980" t="s">
        <v>38</v>
      </c>
      <c r="E980">
        <v>2</v>
      </c>
      <c r="F980">
        <v>1</v>
      </c>
      <c r="G980" t="s">
        <v>44</v>
      </c>
      <c r="H980">
        <v>1375</v>
      </c>
      <c r="I980">
        <v>2</v>
      </c>
      <c r="J980" t="s">
        <v>33</v>
      </c>
      <c r="K980">
        <v>4</v>
      </c>
      <c r="L980">
        <v>2</v>
      </c>
      <c r="M980" t="s">
        <v>47</v>
      </c>
      <c r="N980">
        <v>3</v>
      </c>
      <c r="O980" t="s">
        <v>45</v>
      </c>
      <c r="P980">
        <v>6377</v>
      </c>
      <c r="Q980">
        <v>5</v>
      </c>
      <c r="R980" t="s">
        <v>36</v>
      </c>
      <c r="S980">
        <v>20</v>
      </c>
      <c r="T980">
        <v>4</v>
      </c>
      <c r="U980">
        <v>2</v>
      </c>
      <c r="V980">
        <v>3</v>
      </c>
      <c r="W980">
        <v>15</v>
      </c>
      <c r="X980">
        <v>0</v>
      </c>
      <c r="Y980">
        <v>3</v>
      </c>
      <c r="Z980">
        <v>12</v>
      </c>
      <c r="AA980">
        <v>11</v>
      </c>
      <c r="AB980">
        <v>11</v>
      </c>
      <c r="AC980">
        <v>8</v>
      </c>
      <c r="AD980">
        <f>IF(HR_Data[[#This Row],[Attrition]]="Yes",1,0)</f>
        <v>0</v>
      </c>
      <c r="AE980" t="str">
        <f>IF(HR_Data[[#This Row],[Age]]&lt;=25,"18-25",IF(HR_Data[[#This Row],[Age]]&lt;=35,"26-35",IF(HR_Data[[#This Row],[Age]]&lt;=45,"36-45",IF(HR_Data[[#This Row],[Age]]&lt;=55,"46-55","55+"))))</f>
        <v>36-45</v>
      </c>
      <c r="AF980">
        <f>IF(HR_Data[[#This Row],[Age]]&lt;=25,1,IF(HR_Data[[#This Row],[Age]]&lt;=35,2,IF(HR_Data[[#This Row],[Age]]&lt;=45,3,IF(HR_Data[[#This Row],[Age]]&lt;=55,4,5))))</f>
        <v>3</v>
      </c>
      <c r="AG980" s="1" t="str">
        <f>IF(HR_Data[[#This Row],[MonthlyIncome]]&lt;3000,"&lt;3K",IF(HR_Data[[#This Row],[MonthlyIncome]]&lt;6000,"3K-6K",IF(HR_Data[[#This Row],[MonthlyIncome]]&lt;10000,"6K-10K","10K+")))</f>
        <v>6K-10K</v>
      </c>
      <c r="AH980" s="1">
        <f>IF(HR_Data[[#This Row],[MonthlyIncome]]&lt;3000,1,IF(HR_Data[[#This Row],[MonthlyIncome]]&lt;6000,2,IF(HR_Data[[#This Row],[MonthlyIncome]]&lt;10000,3,4)))</f>
        <v>3</v>
      </c>
      <c r="AI980" s="1" t="str">
        <f>IF(HR_Data[[#This Row],[YearsAtCompany]]&lt;=2,"0-2 Yrs",IF(HR_Data[[#This Row],[YearsAtCompany]]&lt;=5,"3-5 Yrs",IF(HR_Data[[#This Row],[YearsAtCompany]]&lt;=10,"6-10 Yrs","10+ Yrs")))</f>
        <v>10+ Yrs</v>
      </c>
      <c r="AJ980" s="1">
        <f>IF(HR_Data[[#This Row],[YearsAtCompany]]&lt;=2,1,IF(HR_Data[[#This Row],[YearsAtCompany]]&lt;=5,2,IF(HR_Data[[#This Row],[YearsAtCompany]]&lt;=10,3,4)))</f>
        <v>4</v>
      </c>
      <c r="AK980" s="1" t="str">
        <f>CHOOSE(HR_Data[[#This Row],[Education]],"Below College","College","Bachelor","Master","Doctor")</f>
        <v>Below College</v>
      </c>
      <c r="AL980" s="1" t="str">
        <f>CHOOSE(HR_Data[[#This Row],[JobSatisfaction]],"Low","Medium","High","Very High")</f>
        <v>High</v>
      </c>
      <c r="AM980" s="1" t="str">
        <f>CHOOSE(HR_Data[[#This Row],[EnvironmentSatisfaction]],"Low","Medium","High","Very High")</f>
        <v>Medium</v>
      </c>
      <c r="AN980" s="1" t="str">
        <f>CHOOSE(HR_Data[[#This Row],[WorkLifeBalance]],"Bad","Good","Better","Best")</f>
        <v>Better</v>
      </c>
      <c r="AO980" s="1" t="str">
        <f>IF(HR_Data[[#This Row],[PercentSalaryHike]]&lt;=13,"11-13%",IF(HR_Data[[#This Row],[PercentSalaryHike]]&lt;=16,"14-16%",IF(HR_Data[[#This Row],[PercentSalaryHike]]&lt;=19,"17-19%","20-25%")))</f>
        <v>20-25%</v>
      </c>
      <c r="AP980" s="1">
        <f>IF(HR_Data[[#This Row],[PercentSalaryHike]]&lt;=13,1,IF(HR_Data[[#This Row],[PercentSalaryHike]]&lt;=16,2,IF(HR_Data[[#This Row],[PercentSalaryHike]]&lt;=19,3,4)))</f>
        <v>4</v>
      </c>
      <c r="AQ980" s="1" t="str">
        <f>IF(HR_Data[[#This Row],[DistanceFromHome]]&lt;=5,"1 to 5",IF(HR_Data[[#This Row],[DistanceFromHome]]&lt;=10,"6 to 10",IF(HR_Data[[#This Row],[DistanceFromHome]]&lt;=20,"11 to 20","21 to 29")))</f>
        <v>1 to 5</v>
      </c>
      <c r="AR980" s="1">
        <f>IF(HR_Data[[#This Row],[DistanceFromHome]]&lt;=5,1,IF(HR_Data[[#This Row],[DistanceFromHome]]&lt;=10,2,IF(HR_Data[[#This Row],[DistanceFromHome]]&lt;=20,3,4)))</f>
        <v>1</v>
      </c>
      <c r="AS980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980" s="1">
        <f>IF(HR_Data[[#This Row],[TotalWorkingYears]]&lt;=5,1,IF(HR_Data[[#This Row],[TotalWorkingYears]]&lt;=10,2,IF(HR_Data[[#This Row],[TotalWorkingYears]]&lt;=20,3,4)))</f>
        <v>3</v>
      </c>
    </row>
    <row r="981" spans="1:46" x14ac:dyDescent="0.25">
      <c r="A981">
        <v>34</v>
      </c>
      <c r="B981" t="s">
        <v>36</v>
      </c>
      <c r="C981" t="s">
        <v>30</v>
      </c>
      <c r="D981" t="s">
        <v>38</v>
      </c>
      <c r="E981">
        <v>29</v>
      </c>
      <c r="F981">
        <v>3</v>
      </c>
      <c r="G981" t="s">
        <v>44</v>
      </c>
      <c r="H981">
        <v>1377</v>
      </c>
      <c r="I981">
        <v>2</v>
      </c>
      <c r="J981" t="s">
        <v>39</v>
      </c>
      <c r="K981">
        <v>3</v>
      </c>
      <c r="L981">
        <v>2</v>
      </c>
      <c r="M981" t="s">
        <v>43</v>
      </c>
      <c r="N981">
        <v>3</v>
      </c>
      <c r="O981" t="s">
        <v>41</v>
      </c>
      <c r="P981">
        <v>5429</v>
      </c>
      <c r="Q981">
        <v>4</v>
      </c>
      <c r="R981" t="s">
        <v>36</v>
      </c>
      <c r="S981">
        <v>13</v>
      </c>
      <c r="T981">
        <v>3</v>
      </c>
      <c r="U981">
        <v>1</v>
      </c>
      <c r="V981">
        <v>2</v>
      </c>
      <c r="W981">
        <v>10</v>
      </c>
      <c r="X981">
        <v>1</v>
      </c>
      <c r="Y981">
        <v>3</v>
      </c>
      <c r="Z981">
        <v>8</v>
      </c>
      <c r="AA981">
        <v>7</v>
      </c>
      <c r="AB981">
        <v>7</v>
      </c>
      <c r="AC981">
        <v>7</v>
      </c>
      <c r="AD981">
        <f>IF(HR_Data[[#This Row],[Attrition]]="Yes",1,0)</f>
        <v>0</v>
      </c>
      <c r="AE981" t="str">
        <f>IF(HR_Data[[#This Row],[Age]]&lt;=25,"18-25",IF(HR_Data[[#This Row],[Age]]&lt;=35,"26-35",IF(HR_Data[[#This Row],[Age]]&lt;=45,"36-45",IF(HR_Data[[#This Row],[Age]]&lt;=55,"46-55","55+"))))</f>
        <v>26-35</v>
      </c>
      <c r="AF981">
        <f>IF(HR_Data[[#This Row],[Age]]&lt;=25,1,IF(HR_Data[[#This Row],[Age]]&lt;=35,2,IF(HR_Data[[#This Row],[Age]]&lt;=45,3,IF(HR_Data[[#This Row],[Age]]&lt;=55,4,5))))</f>
        <v>2</v>
      </c>
      <c r="AG981" s="1" t="str">
        <f>IF(HR_Data[[#This Row],[MonthlyIncome]]&lt;3000,"&lt;3K",IF(HR_Data[[#This Row],[MonthlyIncome]]&lt;6000,"3K-6K",IF(HR_Data[[#This Row],[MonthlyIncome]]&lt;10000,"6K-10K","10K+")))</f>
        <v>3K-6K</v>
      </c>
      <c r="AH981" s="1">
        <f>IF(HR_Data[[#This Row],[MonthlyIncome]]&lt;3000,1,IF(HR_Data[[#This Row],[MonthlyIncome]]&lt;6000,2,IF(HR_Data[[#This Row],[MonthlyIncome]]&lt;10000,3,4)))</f>
        <v>2</v>
      </c>
      <c r="AI981" s="1" t="str">
        <f>IF(HR_Data[[#This Row],[YearsAtCompany]]&lt;=2,"0-2 Yrs",IF(HR_Data[[#This Row],[YearsAtCompany]]&lt;=5,"3-5 Yrs",IF(HR_Data[[#This Row],[YearsAtCompany]]&lt;=10,"6-10 Yrs","10+ Yrs")))</f>
        <v>6-10 Yrs</v>
      </c>
      <c r="AJ981" s="1">
        <f>IF(HR_Data[[#This Row],[YearsAtCompany]]&lt;=2,1,IF(HR_Data[[#This Row],[YearsAtCompany]]&lt;=5,2,IF(HR_Data[[#This Row],[YearsAtCompany]]&lt;=10,3,4)))</f>
        <v>3</v>
      </c>
      <c r="AK981" s="1" t="str">
        <f>CHOOSE(HR_Data[[#This Row],[Education]],"Below College","College","Bachelor","Master","Doctor")</f>
        <v>Bachelor</v>
      </c>
      <c r="AL981" s="1" t="str">
        <f>CHOOSE(HR_Data[[#This Row],[JobSatisfaction]],"Low","Medium","High","Very High")</f>
        <v>High</v>
      </c>
      <c r="AM981" s="1" t="str">
        <f>CHOOSE(HR_Data[[#This Row],[EnvironmentSatisfaction]],"Low","Medium","High","Very High")</f>
        <v>Medium</v>
      </c>
      <c r="AN981" s="1" t="str">
        <f>CHOOSE(HR_Data[[#This Row],[WorkLifeBalance]],"Bad","Good","Better","Best")</f>
        <v>Better</v>
      </c>
      <c r="AO981" s="1" t="str">
        <f>IF(HR_Data[[#This Row],[PercentSalaryHike]]&lt;=13,"11-13%",IF(HR_Data[[#This Row],[PercentSalaryHike]]&lt;=16,"14-16%",IF(HR_Data[[#This Row],[PercentSalaryHike]]&lt;=19,"17-19%","20-25%")))</f>
        <v>11-13%</v>
      </c>
      <c r="AP981" s="1">
        <f>IF(HR_Data[[#This Row],[PercentSalaryHike]]&lt;=13,1,IF(HR_Data[[#This Row],[PercentSalaryHike]]&lt;=16,2,IF(HR_Data[[#This Row],[PercentSalaryHike]]&lt;=19,3,4)))</f>
        <v>1</v>
      </c>
      <c r="AQ981" s="1" t="str">
        <f>IF(HR_Data[[#This Row],[DistanceFromHome]]&lt;=5,"1 to 5",IF(HR_Data[[#This Row],[DistanceFromHome]]&lt;=10,"6 to 10",IF(HR_Data[[#This Row],[DistanceFromHome]]&lt;=20,"11 to 20","21 to 29")))</f>
        <v>21 to 29</v>
      </c>
      <c r="AR981" s="1">
        <f>IF(HR_Data[[#This Row],[DistanceFromHome]]&lt;=5,1,IF(HR_Data[[#This Row],[DistanceFromHome]]&lt;=10,2,IF(HR_Data[[#This Row],[DistanceFromHome]]&lt;=20,3,4)))</f>
        <v>4</v>
      </c>
      <c r="AS981" s="1" t="str">
        <f>IF(HR_Data[[#This Row],[TotalWorkingYears]]&lt;=5,"0-5 Yrs",IF(HR_Data[[#This Row],[TotalWorkingYears]]&lt;=10,"6-10 Yrs",IF(HR_Data[[#This Row],[TotalWorkingYears]]&lt;=20,"11-20 Yrs","20+ Yrs")))</f>
        <v>6-10 Yrs</v>
      </c>
      <c r="AT981" s="1">
        <f>IF(HR_Data[[#This Row],[TotalWorkingYears]]&lt;=5,1,IF(HR_Data[[#This Row],[TotalWorkingYears]]&lt;=10,2,IF(HR_Data[[#This Row],[TotalWorkingYears]]&lt;=20,3,4)))</f>
        <v>2</v>
      </c>
    </row>
    <row r="982" spans="1:46" x14ac:dyDescent="0.25">
      <c r="A982">
        <v>31</v>
      </c>
      <c r="B982" t="s">
        <v>29</v>
      </c>
      <c r="C982" t="s">
        <v>37</v>
      </c>
      <c r="D982" t="s">
        <v>31</v>
      </c>
      <c r="E982">
        <v>2</v>
      </c>
      <c r="F982">
        <v>3</v>
      </c>
      <c r="G982" t="s">
        <v>32</v>
      </c>
      <c r="H982">
        <v>1379</v>
      </c>
      <c r="I982">
        <v>3</v>
      </c>
      <c r="J982" t="s">
        <v>33</v>
      </c>
      <c r="K982">
        <v>2</v>
      </c>
      <c r="L982">
        <v>1</v>
      </c>
      <c r="M982" t="s">
        <v>50</v>
      </c>
      <c r="N982">
        <v>4</v>
      </c>
      <c r="O982" t="s">
        <v>35</v>
      </c>
      <c r="P982">
        <v>2785</v>
      </c>
      <c r="Q982">
        <v>7</v>
      </c>
      <c r="R982" t="s">
        <v>36</v>
      </c>
      <c r="S982">
        <v>14</v>
      </c>
      <c r="T982">
        <v>3</v>
      </c>
      <c r="U982">
        <v>3</v>
      </c>
      <c r="V982">
        <v>0</v>
      </c>
      <c r="W982">
        <v>3</v>
      </c>
      <c r="X982">
        <v>3</v>
      </c>
      <c r="Y982">
        <v>4</v>
      </c>
      <c r="Z982">
        <v>1</v>
      </c>
      <c r="AA982">
        <v>0</v>
      </c>
      <c r="AB982">
        <v>0</v>
      </c>
      <c r="AC982">
        <v>0</v>
      </c>
      <c r="AD982">
        <f>IF(HR_Data[[#This Row],[Attrition]]="Yes",1,0)</f>
        <v>1</v>
      </c>
      <c r="AE982" t="str">
        <f>IF(HR_Data[[#This Row],[Age]]&lt;=25,"18-25",IF(HR_Data[[#This Row],[Age]]&lt;=35,"26-35",IF(HR_Data[[#This Row],[Age]]&lt;=45,"36-45",IF(HR_Data[[#This Row],[Age]]&lt;=55,"46-55","55+"))))</f>
        <v>26-35</v>
      </c>
      <c r="AF982">
        <f>IF(HR_Data[[#This Row],[Age]]&lt;=25,1,IF(HR_Data[[#This Row],[Age]]&lt;=35,2,IF(HR_Data[[#This Row],[Age]]&lt;=45,3,IF(HR_Data[[#This Row],[Age]]&lt;=55,4,5))))</f>
        <v>2</v>
      </c>
      <c r="AG982" s="1" t="str">
        <f>IF(HR_Data[[#This Row],[MonthlyIncome]]&lt;3000,"&lt;3K",IF(HR_Data[[#This Row],[MonthlyIncome]]&lt;6000,"3K-6K",IF(HR_Data[[#This Row],[MonthlyIncome]]&lt;10000,"6K-10K","10K+")))</f>
        <v>&lt;3K</v>
      </c>
      <c r="AH982" s="1">
        <f>IF(HR_Data[[#This Row],[MonthlyIncome]]&lt;3000,1,IF(HR_Data[[#This Row],[MonthlyIncome]]&lt;6000,2,IF(HR_Data[[#This Row],[MonthlyIncome]]&lt;10000,3,4)))</f>
        <v>1</v>
      </c>
      <c r="AI982" s="1" t="str">
        <f>IF(HR_Data[[#This Row],[YearsAtCompany]]&lt;=2,"0-2 Yrs",IF(HR_Data[[#This Row],[YearsAtCompany]]&lt;=5,"3-5 Yrs",IF(HR_Data[[#This Row],[YearsAtCompany]]&lt;=10,"6-10 Yrs","10+ Yrs")))</f>
        <v>0-2 Yrs</v>
      </c>
      <c r="AJ982" s="1">
        <f>IF(HR_Data[[#This Row],[YearsAtCompany]]&lt;=2,1,IF(HR_Data[[#This Row],[YearsAtCompany]]&lt;=5,2,IF(HR_Data[[#This Row],[YearsAtCompany]]&lt;=10,3,4)))</f>
        <v>1</v>
      </c>
      <c r="AK982" s="1" t="str">
        <f>CHOOSE(HR_Data[[#This Row],[Education]],"Below College","College","Bachelor","Master","Doctor")</f>
        <v>Bachelor</v>
      </c>
      <c r="AL982" s="1" t="str">
        <f>CHOOSE(HR_Data[[#This Row],[JobSatisfaction]],"Low","Medium","High","Very High")</f>
        <v>Very High</v>
      </c>
      <c r="AM982" s="1" t="str">
        <f>CHOOSE(HR_Data[[#This Row],[EnvironmentSatisfaction]],"Low","Medium","High","Very High")</f>
        <v>High</v>
      </c>
      <c r="AN982" s="1" t="str">
        <f>CHOOSE(HR_Data[[#This Row],[WorkLifeBalance]],"Bad","Good","Better","Best")</f>
        <v>Best</v>
      </c>
      <c r="AO982" s="1" t="str">
        <f>IF(HR_Data[[#This Row],[PercentSalaryHike]]&lt;=13,"11-13%",IF(HR_Data[[#This Row],[PercentSalaryHike]]&lt;=16,"14-16%",IF(HR_Data[[#This Row],[PercentSalaryHike]]&lt;=19,"17-19%","20-25%")))</f>
        <v>14-16%</v>
      </c>
      <c r="AP982" s="1">
        <f>IF(HR_Data[[#This Row],[PercentSalaryHike]]&lt;=13,1,IF(HR_Data[[#This Row],[PercentSalaryHike]]&lt;=16,2,IF(HR_Data[[#This Row],[PercentSalaryHike]]&lt;=19,3,4)))</f>
        <v>2</v>
      </c>
      <c r="AQ982" s="1" t="str">
        <f>IF(HR_Data[[#This Row],[DistanceFromHome]]&lt;=5,"1 to 5",IF(HR_Data[[#This Row],[DistanceFromHome]]&lt;=10,"6 to 10",IF(HR_Data[[#This Row],[DistanceFromHome]]&lt;=20,"11 to 20","21 to 29")))</f>
        <v>1 to 5</v>
      </c>
      <c r="AR982" s="1">
        <f>IF(HR_Data[[#This Row],[DistanceFromHome]]&lt;=5,1,IF(HR_Data[[#This Row],[DistanceFromHome]]&lt;=10,2,IF(HR_Data[[#This Row],[DistanceFromHome]]&lt;=20,3,4)))</f>
        <v>1</v>
      </c>
      <c r="AS982" s="1" t="str">
        <f>IF(HR_Data[[#This Row],[TotalWorkingYears]]&lt;=5,"0-5 Yrs",IF(HR_Data[[#This Row],[TotalWorkingYears]]&lt;=10,"6-10 Yrs",IF(HR_Data[[#This Row],[TotalWorkingYears]]&lt;=20,"11-20 Yrs","20+ Yrs")))</f>
        <v>0-5 Yrs</v>
      </c>
      <c r="AT982" s="1">
        <f>IF(HR_Data[[#This Row],[TotalWorkingYears]]&lt;=5,1,IF(HR_Data[[#This Row],[TotalWorkingYears]]&lt;=10,2,IF(HR_Data[[#This Row],[TotalWorkingYears]]&lt;=20,3,4)))</f>
        <v>1</v>
      </c>
    </row>
    <row r="983" spans="1:46" x14ac:dyDescent="0.25">
      <c r="A983">
        <v>35</v>
      </c>
      <c r="B983" t="s">
        <v>29</v>
      </c>
      <c r="C983" t="s">
        <v>37</v>
      </c>
      <c r="D983" t="s">
        <v>31</v>
      </c>
      <c r="E983">
        <v>18</v>
      </c>
      <c r="F983">
        <v>4</v>
      </c>
      <c r="G983" t="s">
        <v>52</v>
      </c>
      <c r="H983">
        <v>1380</v>
      </c>
      <c r="I983">
        <v>4</v>
      </c>
      <c r="J983" t="s">
        <v>33</v>
      </c>
      <c r="K983">
        <v>3</v>
      </c>
      <c r="L983">
        <v>2</v>
      </c>
      <c r="M983" t="s">
        <v>34</v>
      </c>
      <c r="N983">
        <v>3</v>
      </c>
      <c r="O983" t="s">
        <v>41</v>
      </c>
      <c r="P983">
        <v>4614</v>
      </c>
      <c r="Q983">
        <v>0</v>
      </c>
      <c r="R983" t="s">
        <v>29</v>
      </c>
      <c r="S983">
        <v>18</v>
      </c>
      <c r="T983">
        <v>3</v>
      </c>
      <c r="U983">
        <v>3</v>
      </c>
      <c r="V983">
        <v>1</v>
      </c>
      <c r="W983">
        <v>5</v>
      </c>
      <c r="X983">
        <v>0</v>
      </c>
      <c r="Y983">
        <v>2</v>
      </c>
      <c r="Z983">
        <v>4</v>
      </c>
      <c r="AA983">
        <v>2</v>
      </c>
      <c r="AB983">
        <v>3</v>
      </c>
      <c r="AC983">
        <v>2</v>
      </c>
      <c r="AD983">
        <f>IF(HR_Data[[#This Row],[Attrition]]="Yes",1,0)</f>
        <v>1</v>
      </c>
      <c r="AE983" t="str">
        <f>IF(HR_Data[[#This Row],[Age]]&lt;=25,"18-25",IF(HR_Data[[#This Row],[Age]]&lt;=35,"26-35",IF(HR_Data[[#This Row],[Age]]&lt;=45,"36-45",IF(HR_Data[[#This Row],[Age]]&lt;=55,"46-55","55+"))))</f>
        <v>26-35</v>
      </c>
      <c r="AF983">
        <f>IF(HR_Data[[#This Row],[Age]]&lt;=25,1,IF(HR_Data[[#This Row],[Age]]&lt;=35,2,IF(HR_Data[[#This Row],[Age]]&lt;=45,3,IF(HR_Data[[#This Row],[Age]]&lt;=55,4,5))))</f>
        <v>2</v>
      </c>
      <c r="AG983" s="1" t="str">
        <f>IF(HR_Data[[#This Row],[MonthlyIncome]]&lt;3000,"&lt;3K",IF(HR_Data[[#This Row],[MonthlyIncome]]&lt;6000,"3K-6K",IF(HR_Data[[#This Row],[MonthlyIncome]]&lt;10000,"6K-10K","10K+")))</f>
        <v>3K-6K</v>
      </c>
      <c r="AH983" s="1">
        <f>IF(HR_Data[[#This Row],[MonthlyIncome]]&lt;3000,1,IF(HR_Data[[#This Row],[MonthlyIncome]]&lt;6000,2,IF(HR_Data[[#This Row],[MonthlyIncome]]&lt;10000,3,4)))</f>
        <v>2</v>
      </c>
      <c r="AI983" s="1" t="str">
        <f>IF(HR_Data[[#This Row],[YearsAtCompany]]&lt;=2,"0-2 Yrs",IF(HR_Data[[#This Row],[YearsAtCompany]]&lt;=5,"3-5 Yrs",IF(HR_Data[[#This Row],[YearsAtCompany]]&lt;=10,"6-10 Yrs","10+ Yrs")))</f>
        <v>3-5 Yrs</v>
      </c>
      <c r="AJ983" s="1">
        <f>IF(HR_Data[[#This Row],[YearsAtCompany]]&lt;=2,1,IF(HR_Data[[#This Row],[YearsAtCompany]]&lt;=5,2,IF(HR_Data[[#This Row],[YearsAtCompany]]&lt;=10,3,4)))</f>
        <v>2</v>
      </c>
      <c r="AK983" s="1" t="str">
        <f>CHOOSE(HR_Data[[#This Row],[Education]],"Below College","College","Bachelor","Master","Doctor")</f>
        <v>Master</v>
      </c>
      <c r="AL983" s="1" t="str">
        <f>CHOOSE(HR_Data[[#This Row],[JobSatisfaction]],"Low","Medium","High","Very High")</f>
        <v>High</v>
      </c>
      <c r="AM983" s="1" t="str">
        <f>CHOOSE(HR_Data[[#This Row],[EnvironmentSatisfaction]],"Low","Medium","High","Very High")</f>
        <v>Very High</v>
      </c>
      <c r="AN983" s="1" t="str">
        <f>CHOOSE(HR_Data[[#This Row],[WorkLifeBalance]],"Bad","Good","Better","Best")</f>
        <v>Good</v>
      </c>
      <c r="AO983" s="1" t="str">
        <f>IF(HR_Data[[#This Row],[PercentSalaryHike]]&lt;=13,"11-13%",IF(HR_Data[[#This Row],[PercentSalaryHike]]&lt;=16,"14-16%",IF(HR_Data[[#This Row],[PercentSalaryHike]]&lt;=19,"17-19%","20-25%")))</f>
        <v>17-19%</v>
      </c>
      <c r="AP983" s="1">
        <f>IF(HR_Data[[#This Row],[PercentSalaryHike]]&lt;=13,1,IF(HR_Data[[#This Row],[PercentSalaryHike]]&lt;=16,2,IF(HR_Data[[#This Row],[PercentSalaryHike]]&lt;=19,3,4)))</f>
        <v>3</v>
      </c>
      <c r="AQ983" s="1" t="str">
        <f>IF(HR_Data[[#This Row],[DistanceFromHome]]&lt;=5,"1 to 5",IF(HR_Data[[#This Row],[DistanceFromHome]]&lt;=10,"6 to 10",IF(HR_Data[[#This Row],[DistanceFromHome]]&lt;=20,"11 to 20","21 to 29")))</f>
        <v>11 to 20</v>
      </c>
      <c r="AR983" s="1">
        <f>IF(HR_Data[[#This Row],[DistanceFromHome]]&lt;=5,1,IF(HR_Data[[#This Row],[DistanceFromHome]]&lt;=10,2,IF(HR_Data[[#This Row],[DistanceFromHome]]&lt;=20,3,4)))</f>
        <v>3</v>
      </c>
      <c r="AS983" s="1" t="str">
        <f>IF(HR_Data[[#This Row],[TotalWorkingYears]]&lt;=5,"0-5 Yrs",IF(HR_Data[[#This Row],[TotalWorkingYears]]&lt;=10,"6-10 Yrs",IF(HR_Data[[#This Row],[TotalWorkingYears]]&lt;=20,"11-20 Yrs","20+ Yrs")))</f>
        <v>0-5 Yrs</v>
      </c>
      <c r="AT983" s="1">
        <f>IF(HR_Data[[#This Row],[TotalWorkingYears]]&lt;=5,1,IF(HR_Data[[#This Row],[TotalWorkingYears]]&lt;=10,2,IF(HR_Data[[#This Row],[TotalWorkingYears]]&lt;=20,3,4)))</f>
        <v>1</v>
      </c>
    </row>
    <row r="984" spans="1:46" x14ac:dyDescent="0.25">
      <c r="A984">
        <v>38</v>
      </c>
      <c r="B984" t="s">
        <v>36</v>
      </c>
      <c r="C984" t="s">
        <v>37</v>
      </c>
      <c r="D984" t="s">
        <v>38</v>
      </c>
      <c r="E984">
        <v>7</v>
      </c>
      <c r="F984">
        <v>3</v>
      </c>
      <c r="G984" t="s">
        <v>32</v>
      </c>
      <c r="H984">
        <v>1382</v>
      </c>
      <c r="I984">
        <v>4</v>
      </c>
      <c r="J984" t="s">
        <v>39</v>
      </c>
      <c r="K984">
        <v>4</v>
      </c>
      <c r="L984">
        <v>1</v>
      </c>
      <c r="M984" t="s">
        <v>40</v>
      </c>
      <c r="N984">
        <v>3</v>
      </c>
      <c r="O984" t="s">
        <v>45</v>
      </c>
      <c r="P984">
        <v>2610</v>
      </c>
      <c r="Q984">
        <v>1</v>
      </c>
      <c r="R984" t="s">
        <v>36</v>
      </c>
      <c r="S984">
        <v>11</v>
      </c>
      <c r="T984">
        <v>3</v>
      </c>
      <c r="U984">
        <v>4</v>
      </c>
      <c r="V984">
        <v>3</v>
      </c>
      <c r="W984">
        <v>4</v>
      </c>
      <c r="X984">
        <v>2</v>
      </c>
      <c r="Y984">
        <v>3</v>
      </c>
      <c r="Z984">
        <v>4</v>
      </c>
      <c r="AA984">
        <v>2</v>
      </c>
      <c r="AB984">
        <v>0</v>
      </c>
      <c r="AC984">
        <v>3</v>
      </c>
      <c r="AD984">
        <f>IF(HR_Data[[#This Row],[Attrition]]="Yes",1,0)</f>
        <v>0</v>
      </c>
      <c r="AE984" t="str">
        <f>IF(HR_Data[[#This Row],[Age]]&lt;=25,"18-25",IF(HR_Data[[#This Row],[Age]]&lt;=35,"26-35",IF(HR_Data[[#This Row],[Age]]&lt;=45,"36-45",IF(HR_Data[[#This Row],[Age]]&lt;=55,"46-55","55+"))))</f>
        <v>36-45</v>
      </c>
      <c r="AF984">
        <f>IF(HR_Data[[#This Row],[Age]]&lt;=25,1,IF(HR_Data[[#This Row],[Age]]&lt;=35,2,IF(HR_Data[[#This Row],[Age]]&lt;=45,3,IF(HR_Data[[#This Row],[Age]]&lt;=55,4,5))))</f>
        <v>3</v>
      </c>
      <c r="AG984" s="1" t="str">
        <f>IF(HR_Data[[#This Row],[MonthlyIncome]]&lt;3000,"&lt;3K",IF(HR_Data[[#This Row],[MonthlyIncome]]&lt;6000,"3K-6K",IF(HR_Data[[#This Row],[MonthlyIncome]]&lt;10000,"6K-10K","10K+")))</f>
        <v>&lt;3K</v>
      </c>
      <c r="AH984" s="1">
        <f>IF(HR_Data[[#This Row],[MonthlyIncome]]&lt;3000,1,IF(HR_Data[[#This Row],[MonthlyIncome]]&lt;6000,2,IF(HR_Data[[#This Row],[MonthlyIncome]]&lt;10000,3,4)))</f>
        <v>1</v>
      </c>
      <c r="AI984" s="1" t="str">
        <f>IF(HR_Data[[#This Row],[YearsAtCompany]]&lt;=2,"0-2 Yrs",IF(HR_Data[[#This Row],[YearsAtCompany]]&lt;=5,"3-5 Yrs",IF(HR_Data[[#This Row],[YearsAtCompany]]&lt;=10,"6-10 Yrs","10+ Yrs")))</f>
        <v>3-5 Yrs</v>
      </c>
      <c r="AJ984" s="1">
        <f>IF(HR_Data[[#This Row],[YearsAtCompany]]&lt;=2,1,IF(HR_Data[[#This Row],[YearsAtCompany]]&lt;=5,2,IF(HR_Data[[#This Row],[YearsAtCompany]]&lt;=10,3,4)))</f>
        <v>2</v>
      </c>
      <c r="AK984" s="1" t="str">
        <f>CHOOSE(HR_Data[[#This Row],[Education]],"Below College","College","Bachelor","Master","Doctor")</f>
        <v>Bachelor</v>
      </c>
      <c r="AL984" s="1" t="str">
        <f>CHOOSE(HR_Data[[#This Row],[JobSatisfaction]],"Low","Medium","High","Very High")</f>
        <v>High</v>
      </c>
      <c r="AM984" s="1" t="str">
        <f>CHOOSE(HR_Data[[#This Row],[EnvironmentSatisfaction]],"Low","Medium","High","Very High")</f>
        <v>Very High</v>
      </c>
      <c r="AN984" s="1" t="str">
        <f>CHOOSE(HR_Data[[#This Row],[WorkLifeBalance]],"Bad","Good","Better","Best")</f>
        <v>Better</v>
      </c>
      <c r="AO984" s="1" t="str">
        <f>IF(HR_Data[[#This Row],[PercentSalaryHike]]&lt;=13,"11-13%",IF(HR_Data[[#This Row],[PercentSalaryHike]]&lt;=16,"14-16%",IF(HR_Data[[#This Row],[PercentSalaryHike]]&lt;=19,"17-19%","20-25%")))</f>
        <v>11-13%</v>
      </c>
      <c r="AP984" s="1">
        <f>IF(HR_Data[[#This Row],[PercentSalaryHike]]&lt;=13,1,IF(HR_Data[[#This Row],[PercentSalaryHike]]&lt;=16,2,IF(HR_Data[[#This Row],[PercentSalaryHike]]&lt;=19,3,4)))</f>
        <v>1</v>
      </c>
      <c r="AQ984" s="1" t="str">
        <f>IF(HR_Data[[#This Row],[DistanceFromHome]]&lt;=5,"1 to 5",IF(HR_Data[[#This Row],[DistanceFromHome]]&lt;=10,"6 to 10",IF(HR_Data[[#This Row],[DistanceFromHome]]&lt;=20,"11 to 20","21 to 29")))</f>
        <v>6 to 10</v>
      </c>
      <c r="AR984" s="1">
        <f>IF(HR_Data[[#This Row],[DistanceFromHome]]&lt;=5,1,IF(HR_Data[[#This Row],[DistanceFromHome]]&lt;=10,2,IF(HR_Data[[#This Row],[DistanceFromHome]]&lt;=20,3,4)))</f>
        <v>2</v>
      </c>
      <c r="AS984" s="1" t="str">
        <f>IF(HR_Data[[#This Row],[TotalWorkingYears]]&lt;=5,"0-5 Yrs",IF(HR_Data[[#This Row],[TotalWorkingYears]]&lt;=10,"6-10 Yrs",IF(HR_Data[[#This Row],[TotalWorkingYears]]&lt;=20,"11-20 Yrs","20+ Yrs")))</f>
        <v>0-5 Yrs</v>
      </c>
      <c r="AT984" s="1">
        <f>IF(HR_Data[[#This Row],[TotalWorkingYears]]&lt;=5,1,IF(HR_Data[[#This Row],[TotalWorkingYears]]&lt;=10,2,IF(HR_Data[[#This Row],[TotalWorkingYears]]&lt;=20,3,4)))</f>
        <v>1</v>
      </c>
    </row>
    <row r="985" spans="1:46" x14ac:dyDescent="0.25">
      <c r="A985">
        <v>34</v>
      </c>
      <c r="B985" t="s">
        <v>36</v>
      </c>
      <c r="C985" t="s">
        <v>30</v>
      </c>
      <c r="D985" t="s">
        <v>38</v>
      </c>
      <c r="E985">
        <v>2</v>
      </c>
      <c r="F985">
        <v>4</v>
      </c>
      <c r="G985" t="s">
        <v>53</v>
      </c>
      <c r="H985">
        <v>1383</v>
      </c>
      <c r="I985">
        <v>3</v>
      </c>
      <c r="J985" t="s">
        <v>33</v>
      </c>
      <c r="K985">
        <v>3</v>
      </c>
      <c r="L985">
        <v>2</v>
      </c>
      <c r="M985" t="s">
        <v>47</v>
      </c>
      <c r="N985">
        <v>4</v>
      </c>
      <c r="O985" t="s">
        <v>35</v>
      </c>
      <c r="P985">
        <v>6687</v>
      </c>
      <c r="Q985">
        <v>1</v>
      </c>
      <c r="R985" t="s">
        <v>36</v>
      </c>
      <c r="S985">
        <v>11</v>
      </c>
      <c r="T985">
        <v>3</v>
      </c>
      <c r="U985">
        <v>4</v>
      </c>
      <c r="V985">
        <v>0</v>
      </c>
      <c r="W985">
        <v>14</v>
      </c>
      <c r="X985">
        <v>2</v>
      </c>
      <c r="Y985">
        <v>4</v>
      </c>
      <c r="Z985">
        <v>14</v>
      </c>
      <c r="AA985">
        <v>11</v>
      </c>
      <c r="AB985">
        <v>4</v>
      </c>
      <c r="AC985">
        <v>11</v>
      </c>
      <c r="AD985">
        <f>IF(HR_Data[[#This Row],[Attrition]]="Yes",1,0)</f>
        <v>0</v>
      </c>
      <c r="AE985" t="str">
        <f>IF(HR_Data[[#This Row],[Age]]&lt;=25,"18-25",IF(HR_Data[[#This Row],[Age]]&lt;=35,"26-35",IF(HR_Data[[#This Row],[Age]]&lt;=45,"36-45",IF(HR_Data[[#This Row],[Age]]&lt;=55,"46-55","55+"))))</f>
        <v>26-35</v>
      </c>
      <c r="AF985">
        <f>IF(HR_Data[[#This Row],[Age]]&lt;=25,1,IF(HR_Data[[#This Row],[Age]]&lt;=35,2,IF(HR_Data[[#This Row],[Age]]&lt;=45,3,IF(HR_Data[[#This Row],[Age]]&lt;=55,4,5))))</f>
        <v>2</v>
      </c>
      <c r="AG985" s="1" t="str">
        <f>IF(HR_Data[[#This Row],[MonthlyIncome]]&lt;3000,"&lt;3K",IF(HR_Data[[#This Row],[MonthlyIncome]]&lt;6000,"3K-6K",IF(HR_Data[[#This Row],[MonthlyIncome]]&lt;10000,"6K-10K","10K+")))</f>
        <v>6K-10K</v>
      </c>
      <c r="AH985" s="1">
        <f>IF(HR_Data[[#This Row],[MonthlyIncome]]&lt;3000,1,IF(HR_Data[[#This Row],[MonthlyIncome]]&lt;6000,2,IF(HR_Data[[#This Row],[MonthlyIncome]]&lt;10000,3,4)))</f>
        <v>3</v>
      </c>
      <c r="AI985" s="1" t="str">
        <f>IF(HR_Data[[#This Row],[YearsAtCompany]]&lt;=2,"0-2 Yrs",IF(HR_Data[[#This Row],[YearsAtCompany]]&lt;=5,"3-5 Yrs",IF(HR_Data[[#This Row],[YearsAtCompany]]&lt;=10,"6-10 Yrs","10+ Yrs")))</f>
        <v>10+ Yrs</v>
      </c>
      <c r="AJ985" s="1">
        <f>IF(HR_Data[[#This Row],[YearsAtCompany]]&lt;=2,1,IF(HR_Data[[#This Row],[YearsAtCompany]]&lt;=5,2,IF(HR_Data[[#This Row],[YearsAtCompany]]&lt;=10,3,4)))</f>
        <v>4</v>
      </c>
      <c r="AK985" s="1" t="str">
        <f>CHOOSE(HR_Data[[#This Row],[Education]],"Below College","College","Bachelor","Master","Doctor")</f>
        <v>Master</v>
      </c>
      <c r="AL985" s="1" t="str">
        <f>CHOOSE(HR_Data[[#This Row],[JobSatisfaction]],"Low","Medium","High","Very High")</f>
        <v>Very High</v>
      </c>
      <c r="AM985" s="1" t="str">
        <f>CHOOSE(HR_Data[[#This Row],[EnvironmentSatisfaction]],"Low","Medium","High","Very High")</f>
        <v>High</v>
      </c>
      <c r="AN985" s="1" t="str">
        <f>CHOOSE(HR_Data[[#This Row],[WorkLifeBalance]],"Bad","Good","Better","Best")</f>
        <v>Best</v>
      </c>
      <c r="AO985" s="1" t="str">
        <f>IF(HR_Data[[#This Row],[PercentSalaryHike]]&lt;=13,"11-13%",IF(HR_Data[[#This Row],[PercentSalaryHike]]&lt;=16,"14-16%",IF(HR_Data[[#This Row],[PercentSalaryHike]]&lt;=19,"17-19%","20-25%")))</f>
        <v>11-13%</v>
      </c>
      <c r="AP985" s="1">
        <f>IF(HR_Data[[#This Row],[PercentSalaryHike]]&lt;=13,1,IF(HR_Data[[#This Row],[PercentSalaryHike]]&lt;=16,2,IF(HR_Data[[#This Row],[PercentSalaryHike]]&lt;=19,3,4)))</f>
        <v>1</v>
      </c>
      <c r="AQ985" s="1" t="str">
        <f>IF(HR_Data[[#This Row],[DistanceFromHome]]&lt;=5,"1 to 5",IF(HR_Data[[#This Row],[DistanceFromHome]]&lt;=10,"6 to 10",IF(HR_Data[[#This Row],[DistanceFromHome]]&lt;=20,"11 to 20","21 to 29")))</f>
        <v>1 to 5</v>
      </c>
      <c r="AR985" s="1">
        <f>IF(HR_Data[[#This Row],[DistanceFromHome]]&lt;=5,1,IF(HR_Data[[#This Row],[DistanceFromHome]]&lt;=10,2,IF(HR_Data[[#This Row],[DistanceFromHome]]&lt;=20,3,4)))</f>
        <v>1</v>
      </c>
      <c r="AS985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985" s="1">
        <f>IF(HR_Data[[#This Row],[TotalWorkingYears]]&lt;=5,1,IF(HR_Data[[#This Row],[TotalWorkingYears]]&lt;=10,2,IF(HR_Data[[#This Row],[TotalWorkingYears]]&lt;=20,3,4)))</f>
        <v>3</v>
      </c>
    </row>
    <row r="986" spans="1:46" x14ac:dyDescent="0.25">
      <c r="A986">
        <v>28</v>
      </c>
      <c r="B986" t="s">
        <v>36</v>
      </c>
      <c r="C986" t="s">
        <v>30</v>
      </c>
      <c r="D986" t="s">
        <v>31</v>
      </c>
      <c r="E986">
        <v>26</v>
      </c>
      <c r="F986">
        <v>3</v>
      </c>
      <c r="G986" t="s">
        <v>32</v>
      </c>
      <c r="H986">
        <v>1387</v>
      </c>
      <c r="I986">
        <v>3</v>
      </c>
      <c r="J986" t="s">
        <v>39</v>
      </c>
      <c r="K986">
        <v>2</v>
      </c>
      <c r="L986">
        <v>2</v>
      </c>
      <c r="M986" t="s">
        <v>34</v>
      </c>
      <c r="N986">
        <v>1</v>
      </c>
      <c r="O986" t="s">
        <v>41</v>
      </c>
      <c r="P986">
        <v>4724</v>
      </c>
      <c r="Q986">
        <v>1</v>
      </c>
      <c r="R986" t="s">
        <v>36</v>
      </c>
      <c r="S986">
        <v>11</v>
      </c>
      <c r="T986">
        <v>3</v>
      </c>
      <c r="U986">
        <v>3</v>
      </c>
      <c r="V986">
        <v>1</v>
      </c>
      <c r="W986">
        <v>5</v>
      </c>
      <c r="X986">
        <v>0</v>
      </c>
      <c r="Y986">
        <v>3</v>
      </c>
      <c r="Z986">
        <v>5</v>
      </c>
      <c r="AA986">
        <v>3</v>
      </c>
      <c r="AB986">
        <v>0</v>
      </c>
      <c r="AC986">
        <v>4</v>
      </c>
      <c r="AD986">
        <f>IF(HR_Data[[#This Row],[Attrition]]="Yes",1,0)</f>
        <v>0</v>
      </c>
      <c r="AE986" t="str">
        <f>IF(HR_Data[[#This Row],[Age]]&lt;=25,"18-25",IF(HR_Data[[#This Row],[Age]]&lt;=35,"26-35",IF(HR_Data[[#This Row],[Age]]&lt;=45,"36-45",IF(HR_Data[[#This Row],[Age]]&lt;=55,"46-55","55+"))))</f>
        <v>26-35</v>
      </c>
      <c r="AF986">
        <f>IF(HR_Data[[#This Row],[Age]]&lt;=25,1,IF(HR_Data[[#This Row],[Age]]&lt;=35,2,IF(HR_Data[[#This Row],[Age]]&lt;=45,3,IF(HR_Data[[#This Row],[Age]]&lt;=55,4,5))))</f>
        <v>2</v>
      </c>
      <c r="AG986" s="1" t="str">
        <f>IF(HR_Data[[#This Row],[MonthlyIncome]]&lt;3000,"&lt;3K",IF(HR_Data[[#This Row],[MonthlyIncome]]&lt;6000,"3K-6K",IF(HR_Data[[#This Row],[MonthlyIncome]]&lt;10000,"6K-10K","10K+")))</f>
        <v>3K-6K</v>
      </c>
      <c r="AH986" s="1">
        <f>IF(HR_Data[[#This Row],[MonthlyIncome]]&lt;3000,1,IF(HR_Data[[#This Row],[MonthlyIncome]]&lt;6000,2,IF(HR_Data[[#This Row],[MonthlyIncome]]&lt;10000,3,4)))</f>
        <v>2</v>
      </c>
      <c r="AI986" s="1" t="str">
        <f>IF(HR_Data[[#This Row],[YearsAtCompany]]&lt;=2,"0-2 Yrs",IF(HR_Data[[#This Row],[YearsAtCompany]]&lt;=5,"3-5 Yrs",IF(HR_Data[[#This Row],[YearsAtCompany]]&lt;=10,"6-10 Yrs","10+ Yrs")))</f>
        <v>3-5 Yrs</v>
      </c>
      <c r="AJ986" s="1">
        <f>IF(HR_Data[[#This Row],[YearsAtCompany]]&lt;=2,1,IF(HR_Data[[#This Row],[YearsAtCompany]]&lt;=5,2,IF(HR_Data[[#This Row],[YearsAtCompany]]&lt;=10,3,4)))</f>
        <v>2</v>
      </c>
      <c r="AK986" s="1" t="str">
        <f>CHOOSE(HR_Data[[#This Row],[Education]],"Below College","College","Bachelor","Master","Doctor")</f>
        <v>Bachelor</v>
      </c>
      <c r="AL986" s="1" t="str">
        <f>CHOOSE(HR_Data[[#This Row],[JobSatisfaction]],"Low","Medium","High","Very High")</f>
        <v>Low</v>
      </c>
      <c r="AM986" s="1" t="str">
        <f>CHOOSE(HR_Data[[#This Row],[EnvironmentSatisfaction]],"Low","Medium","High","Very High")</f>
        <v>High</v>
      </c>
      <c r="AN986" s="1" t="str">
        <f>CHOOSE(HR_Data[[#This Row],[WorkLifeBalance]],"Bad","Good","Better","Best")</f>
        <v>Better</v>
      </c>
      <c r="AO986" s="1" t="str">
        <f>IF(HR_Data[[#This Row],[PercentSalaryHike]]&lt;=13,"11-13%",IF(HR_Data[[#This Row],[PercentSalaryHike]]&lt;=16,"14-16%",IF(HR_Data[[#This Row],[PercentSalaryHike]]&lt;=19,"17-19%","20-25%")))</f>
        <v>11-13%</v>
      </c>
      <c r="AP986" s="1">
        <f>IF(HR_Data[[#This Row],[PercentSalaryHike]]&lt;=13,1,IF(HR_Data[[#This Row],[PercentSalaryHike]]&lt;=16,2,IF(HR_Data[[#This Row],[PercentSalaryHike]]&lt;=19,3,4)))</f>
        <v>1</v>
      </c>
      <c r="AQ986" s="1" t="str">
        <f>IF(HR_Data[[#This Row],[DistanceFromHome]]&lt;=5,"1 to 5",IF(HR_Data[[#This Row],[DistanceFromHome]]&lt;=10,"6 to 10",IF(HR_Data[[#This Row],[DistanceFromHome]]&lt;=20,"11 to 20","21 to 29")))</f>
        <v>21 to 29</v>
      </c>
      <c r="AR986" s="1">
        <f>IF(HR_Data[[#This Row],[DistanceFromHome]]&lt;=5,1,IF(HR_Data[[#This Row],[DistanceFromHome]]&lt;=10,2,IF(HR_Data[[#This Row],[DistanceFromHome]]&lt;=20,3,4)))</f>
        <v>4</v>
      </c>
      <c r="AS986" s="1" t="str">
        <f>IF(HR_Data[[#This Row],[TotalWorkingYears]]&lt;=5,"0-5 Yrs",IF(HR_Data[[#This Row],[TotalWorkingYears]]&lt;=10,"6-10 Yrs",IF(HR_Data[[#This Row],[TotalWorkingYears]]&lt;=20,"11-20 Yrs","20+ Yrs")))</f>
        <v>0-5 Yrs</v>
      </c>
      <c r="AT986" s="1">
        <f>IF(HR_Data[[#This Row],[TotalWorkingYears]]&lt;=5,1,IF(HR_Data[[#This Row],[TotalWorkingYears]]&lt;=10,2,IF(HR_Data[[#This Row],[TotalWorkingYears]]&lt;=20,3,4)))</f>
        <v>1</v>
      </c>
    </row>
    <row r="987" spans="1:46" x14ac:dyDescent="0.25">
      <c r="A987">
        <v>31</v>
      </c>
      <c r="B987" t="s">
        <v>29</v>
      </c>
      <c r="C987" t="s">
        <v>30</v>
      </c>
      <c r="D987" t="s">
        <v>38</v>
      </c>
      <c r="E987">
        <v>22</v>
      </c>
      <c r="F987">
        <v>4</v>
      </c>
      <c r="G987" t="s">
        <v>44</v>
      </c>
      <c r="H987">
        <v>1389</v>
      </c>
      <c r="I987">
        <v>4</v>
      </c>
      <c r="J987" t="s">
        <v>39</v>
      </c>
      <c r="K987">
        <v>3</v>
      </c>
      <c r="L987">
        <v>2</v>
      </c>
      <c r="M987" t="s">
        <v>46</v>
      </c>
      <c r="N987">
        <v>3</v>
      </c>
      <c r="O987" t="s">
        <v>41</v>
      </c>
      <c r="P987">
        <v>6179</v>
      </c>
      <c r="Q987">
        <v>1</v>
      </c>
      <c r="R987" t="s">
        <v>29</v>
      </c>
      <c r="S987">
        <v>15</v>
      </c>
      <c r="T987">
        <v>3</v>
      </c>
      <c r="U987">
        <v>4</v>
      </c>
      <c r="V987">
        <v>2</v>
      </c>
      <c r="W987">
        <v>10</v>
      </c>
      <c r="X987">
        <v>3</v>
      </c>
      <c r="Y987">
        <v>2</v>
      </c>
      <c r="Z987">
        <v>10</v>
      </c>
      <c r="AA987">
        <v>2</v>
      </c>
      <c r="AB987">
        <v>6</v>
      </c>
      <c r="AC987">
        <v>7</v>
      </c>
      <c r="AD987">
        <f>IF(HR_Data[[#This Row],[Attrition]]="Yes",1,0)</f>
        <v>1</v>
      </c>
      <c r="AE987" t="str">
        <f>IF(HR_Data[[#This Row],[Age]]&lt;=25,"18-25",IF(HR_Data[[#This Row],[Age]]&lt;=35,"26-35",IF(HR_Data[[#This Row],[Age]]&lt;=45,"36-45",IF(HR_Data[[#This Row],[Age]]&lt;=55,"46-55","55+"))))</f>
        <v>26-35</v>
      </c>
      <c r="AF987">
        <f>IF(HR_Data[[#This Row],[Age]]&lt;=25,1,IF(HR_Data[[#This Row],[Age]]&lt;=35,2,IF(HR_Data[[#This Row],[Age]]&lt;=45,3,IF(HR_Data[[#This Row],[Age]]&lt;=55,4,5))))</f>
        <v>2</v>
      </c>
      <c r="AG987" s="1" t="str">
        <f>IF(HR_Data[[#This Row],[MonthlyIncome]]&lt;3000,"&lt;3K",IF(HR_Data[[#This Row],[MonthlyIncome]]&lt;6000,"3K-6K",IF(HR_Data[[#This Row],[MonthlyIncome]]&lt;10000,"6K-10K","10K+")))</f>
        <v>6K-10K</v>
      </c>
      <c r="AH987" s="1">
        <f>IF(HR_Data[[#This Row],[MonthlyIncome]]&lt;3000,1,IF(HR_Data[[#This Row],[MonthlyIncome]]&lt;6000,2,IF(HR_Data[[#This Row],[MonthlyIncome]]&lt;10000,3,4)))</f>
        <v>3</v>
      </c>
      <c r="AI987" s="1" t="str">
        <f>IF(HR_Data[[#This Row],[YearsAtCompany]]&lt;=2,"0-2 Yrs",IF(HR_Data[[#This Row],[YearsAtCompany]]&lt;=5,"3-5 Yrs",IF(HR_Data[[#This Row],[YearsAtCompany]]&lt;=10,"6-10 Yrs","10+ Yrs")))</f>
        <v>6-10 Yrs</v>
      </c>
      <c r="AJ987" s="1">
        <f>IF(HR_Data[[#This Row],[YearsAtCompany]]&lt;=2,1,IF(HR_Data[[#This Row],[YearsAtCompany]]&lt;=5,2,IF(HR_Data[[#This Row],[YearsAtCompany]]&lt;=10,3,4)))</f>
        <v>3</v>
      </c>
      <c r="AK987" s="1" t="str">
        <f>CHOOSE(HR_Data[[#This Row],[Education]],"Below College","College","Bachelor","Master","Doctor")</f>
        <v>Master</v>
      </c>
      <c r="AL987" s="1" t="str">
        <f>CHOOSE(HR_Data[[#This Row],[JobSatisfaction]],"Low","Medium","High","Very High")</f>
        <v>High</v>
      </c>
      <c r="AM987" s="1" t="str">
        <f>CHOOSE(HR_Data[[#This Row],[EnvironmentSatisfaction]],"Low","Medium","High","Very High")</f>
        <v>Very High</v>
      </c>
      <c r="AN987" s="1" t="str">
        <f>CHOOSE(HR_Data[[#This Row],[WorkLifeBalance]],"Bad","Good","Better","Best")</f>
        <v>Good</v>
      </c>
      <c r="AO987" s="1" t="str">
        <f>IF(HR_Data[[#This Row],[PercentSalaryHike]]&lt;=13,"11-13%",IF(HR_Data[[#This Row],[PercentSalaryHike]]&lt;=16,"14-16%",IF(HR_Data[[#This Row],[PercentSalaryHike]]&lt;=19,"17-19%","20-25%")))</f>
        <v>14-16%</v>
      </c>
      <c r="AP987" s="1">
        <f>IF(HR_Data[[#This Row],[PercentSalaryHike]]&lt;=13,1,IF(HR_Data[[#This Row],[PercentSalaryHike]]&lt;=16,2,IF(HR_Data[[#This Row],[PercentSalaryHike]]&lt;=19,3,4)))</f>
        <v>2</v>
      </c>
      <c r="AQ987" s="1" t="str">
        <f>IF(HR_Data[[#This Row],[DistanceFromHome]]&lt;=5,"1 to 5",IF(HR_Data[[#This Row],[DistanceFromHome]]&lt;=10,"6 to 10",IF(HR_Data[[#This Row],[DistanceFromHome]]&lt;=20,"11 to 20","21 to 29")))</f>
        <v>21 to 29</v>
      </c>
      <c r="AR987" s="1">
        <f>IF(HR_Data[[#This Row],[DistanceFromHome]]&lt;=5,1,IF(HR_Data[[#This Row],[DistanceFromHome]]&lt;=10,2,IF(HR_Data[[#This Row],[DistanceFromHome]]&lt;=20,3,4)))</f>
        <v>4</v>
      </c>
      <c r="AS987" s="1" t="str">
        <f>IF(HR_Data[[#This Row],[TotalWorkingYears]]&lt;=5,"0-5 Yrs",IF(HR_Data[[#This Row],[TotalWorkingYears]]&lt;=10,"6-10 Yrs",IF(HR_Data[[#This Row],[TotalWorkingYears]]&lt;=20,"11-20 Yrs","20+ Yrs")))</f>
        <v>6-10 Yrs</v>
      </c>
      <c r="AT987" s="1">
        <f>IF(HR_Data[[#This Row],[TotalWorkingYears]]&lt;=5,1,IF(HR_Data[[#This Row],[TotalWorkingYears]]&lt;=10,2,IF(HR_Data[[#This Row],[TotalWorkingYears]]&lt;=20,3,4)))</f>
        <v>2</v>
      </c>
    </row>
    <row r="988" spans="1:46" x14ac:dyDescent="0.25">
      <c r="A988">
        <v>39</v>
      </c>
      <c r="B988" t="s">
        <v>36</v>
      </c>
      <c r="C988" t="s">
        <v>30</v>
      </c>
      <c r="D988" t="s">
        <v>31</v>
      </c>
      <c r="E988">
        <v>21</v>
      </c>
      <c r="F988">
        <v>4</v>
      </c>
      <c r="G988" t="s">
        <v>32</v>
      </c>
      <c r="H988">
        <v>1390</v>
      </c>
      <c r="I988">
        <v>1</v>
      </c>
      <c r="J988" t="s">
        <v>39</v>
      </c>
      <c r="K988">
        <v>2</v>
      </c>
      <c r="L988">
        <v>2</v>
      </c>
      <c r="M988" t="s">
        <v>34</v>
      </c>
      <c r="N988">
        <v>4</v>
      </c>
      <c r="O988" t="s">
        <v>41</v>
      </c>
      <c r="P988">
        <v>6120</v>
      </c>
      <c r="Q988">
        <v>3</v>
      </c>
      <c r="R988" t="s">
        <v>29</v>
      </c>
      <c r="S988">
        <v>12</v>
      </c>
      <c r="T988">
        <v>3</v>
      </c>
      <c r="U988">
        <v>4</v>
      </c>
      <c r="V988">
        <v>2</v>
      </c>
      <c r="W988">
        <v>8</v>
      </c>
      <c r="X988">
        <v>2</v>
      </c>
      <c r="Y988">
        <v>4</v>
      </c>
      <c r="Z988">
        <v>5</v>
      </c>
      <c r="AA988">
        <v>4</v>
      </c>
      <c r="AB988">
        <v>1</v>
      </c>
      <c r="AC988">
        <v>4</v>
      </c>
      <c r="AD988">
        <f>IF(HR_Data[[#This Row],[Attrition]]="Yes",1,0)</f>
        <v>0</v>
      </c>
      <c r="AE988" t="str">
        <f>IF(HR_Data[[#This Row],[Age]]&lt;=25,"18-25",IF(HR_Data[[#This Row],[Age]]&lt;=35,"26-35",IF(HR_Data[[#This Row],[Age]]&lt;=45,"36-45",IF(HR_Data[[#This Row],[Age]]&lt;=55,"46-55","55+"))))</f>
        <v>36-45</v>
      </c>
      <c r="AF988">
        <f>IF(HR_Data[[#This Row],[Age]]&lt;=25,1,IF(HR_Data[[#This Row],[Age]]&lt;=35,2,IF(HR_Data[[#This Row],[Age]]&lt;=45,3,IF(HR_Data[[#This Row],[Age]]&lt;=55,4,5))))</f>
        <v>3</v>
      </c>
      <c r="AG988" s="1" t="str">
        <f>IF(HR_Data[[#This Row],[MonthlyIncome]]&lt;3000,"&lt;3K",IF(HR_Data[[#This Row],[MonthlyIncome]]&lt;6000,"3K-6K",IF(HR_Data[[#This Row],[MonthlyIncome]]&lt;10000,"6K-10K","10K+")))</f>
        <v>6K-10K</v>
      </c>
      <c r="AH988" s="1">
        <f>IF(HR_Data[[#This Row],[MonthlyIncome]]&lt;3000,1,IF(HR_Data[[#This Row],[MonthlyIncome]]&lt;6000,2,IF(HR_Data[[#This Row],[MonthlyIncome]]&lt;10000,3,4)))</f>
        <v>3</v>
      </c>
      <c r="AI988" s="1" t="str">
        <f>IF(HR_Data[[#This Row],[YearsAtCompany]]&lt;=2,"0-2 Yrs",IF(HR_Data[[#This Row],[YearsAtCompany]]&lt;=5,"3-5 Yrs",IF(HR_Data[[#This Row],[YearsAtCompany]]&lt;=10,"6-10 Yrs","10+ Yrs")))</f>
        <v>3-5 Yrs</v>
      </c>
      <c r="AJ988" s="1">
        <f>IF(HR_Data[[#This Row],[YearsAtCompany]]&lt;=2,1,IF(HR_Data[[#This Row],[YearsAtCompany]]&lt;=5,2,IF(HR_Data[[#This Row],[YearsAtCompany]]&lt;=10,3,4)))</f>
        <v>2</v>
      </c>
      <c r="AK988" s="1" t="str">
        <f>CHOOSE(HR_Data[[#This Row],[Education]],"Below College","College","Bachelor","Master","Doctor")</f>
        <v>Master</v>
      </c>
      <c r="AL988" s="1" t="str">
        <f>CHOOSE(HR_Data[[#This Row],[JobSatisfaction]],"Low","Medium","High","Very High")</f>
        <v>Very High</v>
      </c>
      <c r="AM988" s="1" t="str">
        <f>CHOOSE(HR_Data[[#This Row],[EnvironmentSatisfaction]],"Low","Medium","High","Very High")</f>
        <v>Low</v>
      </c>
      <c r="AN988" s="1" t="str">
        <f>CHOOSE(HR_Data[[#This Row],[WorkLifeBalance]],"Bad","Good","Better","Best")</f>
        <v>Best</v>
      </c>
      <c r="AO988" s="1" t="str">
        <f>IF(HR_Data[[#This Row],[PercentSalaryHike]]&lt;=13,"11-13%",IF(HR_Data[[#This Row],[PercentSalaryHike]]&lt;=16,"14-16%",IF(HR_Data[[#This Row],[PercentSalaryHike]]&lt;=19,"17-19%","20-25%")))</f>
        <v>11-13%</v>
      </c>
      <c r="AP988" s="1">
        <f>IF(HR_Data[[#This Row],[PercentSalaryHike]]&lt;=13,1,IF(HR_Data[[#This Row],[PercentSalaryHike]]&lt;=16,2,IF(HR_Data[[#This Row],[PercentSalaryHike]]&lt;=19,3,4)))</f>
        <v>1</v>
      </c>
      <c r="AQ988" s="1" t="str">
        <f>IF(HR_Data[[#This Row],[DistanceFromHome]]&lt;=5,"1 to 5",IF(HR_Data[[#This Row],[DistanceFromHome]]&lt;=10,"6 to 10",IF(HR_Data[[#This Row],[DistanceFromHome]]&lt;=20,"11 to 20","21 to 29")))</f>
        <v>21 to 29</v>
      </c>
      <c r="AR988" s="1">
        <f>IF(HR_Data[[#This Row],[DistanceFromHome]]&lt;=5,1,IF(HR_Data[[#This Row],[DistanceFromHome]]&lt;=10,2,IF(HR_Data[[#This Row],[DistanceFromHome]]&lt;=20,3,4)))</f>
        <v>4</v>
      </c>
      <c r="AS988" s="1" t="str">
        <f>IF(HR_Data[[#This Row],[TotalWorkingYears]]&lt;=5,"0-5 Yrs",IF(HR_Data[[#This Row],[TotalWorkingYears]]&lt;=10,"6-10 Yrs",IF(HR_Data[[#This Row],[TotalWorkingYears]]&lt;=20,"11-20 Yrs","20+ Yrs")))</f>
        <v>6-10 Yrs</v>
      </c>
      <c r="AT988" s="1">
        <f>IF(HR_Data[[#This Row],[TotalWorkingYears]]&lt;=5,1,IF(HR_Data[[#This Row],[TotalWorkingYears]]&lt;=10,2,IF(HR_Data[[#This Row],[TotalWorkingYears]]&lt;=20,3,4)))</f>
        <v>2</v>
      </c>
    </row>
    <row r="989" spans="1:46" x14ac:dyDescent="0.25">
      <c r="A989">
        <v>51</v>
      </c>
      <c r="B989" t="s">
        <v>36</v>
      </c>
      <c r="C989" t="s">
        <v>37</v>
      </c>
      <c r="D989" t="s">
        <v>31</v>
      </c>
      <c r="E989">
        <v>2</v>
      </c>
      <c r="F989">
        <v>3</v>
      </c>
      <c r="G989" t="s">
        <v>52</v>
      </c>
      <c r="H989">
        <v>1391</v>
      </c>
      <c r="I989">
        <v>2</v>
      </c>
      <c r="J989" t="s">
        <v>39</v>
      </c>
      <c r="K989">
        <v>3</v>
      </c>
      <c r="L989">
        <v>3</v>
      </c>
      <c r="M989" t="s">
        <v>34</v>
      </c>
      <c r="N989">
        <v>2</v>
      </c>
      <c r="O989" t="s">
        <v>41</v>
      </c>
      <c r="P989">
        <v>10596</v>
      </c>
      <c r="Q989">
        <v>2</v>
      </c>
      <c r="R989" t="s">
        <v>36</v>
      </c>
      <c r="S989">
        <v>11</v>
      </c>
      <c r="T989">
        <v>3</v>
      </c>
      <c r="U989">
        <v>2</v>
      </c>
      <c r="V989">
        <v>0</v>
      </c>
      <c r="W989">
        <v>14</v>
      </c>
      <c r="X989">
        <v>5</v>
      </c>
      <c r="Y989">
        <v>3</v>
      </c>
      <c r="Z989">
        <v>4</v>
      </c>
      <c r="AA989">
        <v>2</v>
      </c>
      <c r="AB989">
        <v>3</v>
      </c>
      <c r="AC989">
        <v>2</v>
      </c>
      <c r="AD989">
        <f>IF(HR_Data[[#This Row],[Attrition]]="Yes",1,0)</f>
        <v>0</v>
      </c>
      <c r="AE989" t="str">
        <f>IF(HR_Data[[#This Row],[Age]]&lt;=25,"18-25",IF(HR_Data[[#This Row],[Age]]&lt;=35,"26-35",IF(HR_Data[[#This Row],[Age]]&lt;=45,"36-45",IF(HR_Data[[#This Row],[Age]]&lt;=55,"46-55","55+"))))</f>
        <v>46-55</v>
      </c>
      <c r="AF989">
        <f>IF(HR_Data[[#This Row],[Age]]&lt;=25,1,IF(HR_Data[[#This Row],[Age]]&lt;=35,2,IF(HR_Data[[#This Row],[Age]]&lt;=45,3,IF(HR_Data[[#This Row],[Age]]&lt;=55,4,5))))</f>
        <v>4</v>
      </c>
      <c r="AG989" s="1" t="str">
        <f>IF(HR_Data[[#This Row],[MonthlyIncome]]&lt;3000,"&lt;3K",IF(HR_Data[[#This Row],[MonthlyIncome]]&lt;6000,"3K-6K",IF(HR_Data[[#This Row],[MonthlyIncome]]&lt;10000,"6K-10K","10K+")))</f>
        <v>10K+</v>
      </c>
      <c r="AH989" s="1">
        <f>IF(HR_Data[[#This Row],[MonthlyIncome]]&lt;3000,1,IF(HR_Data[[#This Row],[MonthlyIncome]]&lt;6000,2,IF(HR_Data[[#This Row],[MonthlyIncome]]&lt;10000,3,4)))</f>
        <v>4</v>
      </c>
      <c r="AI989" s="1" t="str">
        <f>IF(HR_Data[[#This Row],[YearsAtCompany]]&lt;=2,"0-2 Yrs",IF(HR_Data[[#This Row],[YearsAtCompany]]&lt;=5,"3-5 Yrs",IF(HR_Data[[#This Row],[YearsAtCompany]]&lt;=10,"6-10 Yrs","10+ Yrs")))</f>
        <v>3-5 Yrs</v>
      </c>
      <c r="AJ989" s="1">
        <f>IF(HR_Data[[#This Row],[YearsAtCompany]]&lt;=2,1,IF(HR_Data[[#This Row],[YearsAtCompany]]&lt;=5,2,IF(HR_Data[[#This Row],[YearsAtCompany]]&lt;=10,3,4)))</f>
        <v>2</v>
      </c>
      <c r="AK989" s="1" t="str">
        <f>CHOOSE(HR_Data[[#This Row],[Education]],"Below College","College","Bachelor","Master","Doctor")</f>
        <v>Bachelor</v>
      </c>
      <c r="AL989" s="1" t="str">
        <f>CHOOSE(HR_Data[[#This Row],[JobSatisfaction]],"Low","Medium","High","Very High")</f>
        <v>Medium</v>
      </c>
      <c r="AM989" s="1" t="str">
        <f>CHOOSE(HR_Data[[#This Row],[EnvironmentSatisfaction]],"Low","Medium","High","Very High")</f>
        <v>Medium</v>
      </c>
      <c r="AN989" s="1" t="str">
        <f>CHOOSE(HR_Data[[#This Row],[WorkLifeBalance]],"Bad","Good","Better","Best")</f>
        <v>Better</v>
      </c>
      <c r="AO989" s="1" t="str">
        <f>IF(HR_Data[[#This Row],[PercentSalaryHike]]&lt;=13,"11-13%",IF(HR_Data[[#This Row],[PercentSalaryHike]]&lt;=16,"14-16%",IF(HR_Data[[#This Row],[PercentSalaryHike]]&lt;=19,"17-19%","20-25%")))</f>
        <v>11-13%</v>
      </c>
      <c r="AP989" s="1">
        <f>IF(HR_Data[[#This Row],[PercentSalaryHike]]&lt;=13,1,IF(HR_Data[[#This Row],[PercentSalaryHike]]&lt;=16,2,IF(HR_Data[[#This Row],[PercentSalaryHike]]&lt;=19,3,4)))</f>
        <v>1</v>
      </c>
      <c r="AQ989" s="1" t="str">
        <f>IF(HR_Data[[#This Row],[DistanceFromHome]]&lt;=5,"1 to 5",IF(HR_Data[[#This Row],[DistanceFromHome]]&lt;=10,"6 to 10",IF(HR_Data[[#This Row],[DistanceFromHome]]&lt;=20,"11 to 20","21 to 29")))</f>
        <v>1 to 5</v>
      </c>
      <c r="AR989" s="1">
        <f>IF(HR_Data[[#This Row],[DistanceFromHome]]&lt;=5,1,IF(HR_Data[[#This Row],[DistanceFromHome]]&lt;=10,2,IF(HR_Data[[#This Row],[DistanceFromHome]]&lt;=20,3,4)))</f>
        <v>1</v>
      </c>
      <c r="AS989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989" s="1">
        <f>IF(HR_Data[[#This Row],[TotalWorkingYears]]&lt;=5,1,IF(HR_Data[[#This Row],[TotalWorkingYears]]&lt;=10,2,IF(HR_Data[[#This Row],[TotalWorkingYears]]&lt;=20,3,4)))</f>
        <v>3</v>
      </c>
    </row>
    <row r="990" spans="1:46" x14ac:dyDescent="0.25">
      <c r="A990">
        <v>41</v>
      </c>
      <c r="B990" t="s">
        <v>36</v>
      </c>
      <c r="C990" t="s">
        <v>37</v>
      </c>
      <c r="D990" t="s">
        <v>38</v>
      </c>
      <c r="E990">
        <v>22</v>
      </c>
      <c r="F990">
        <v>3</v>
      </c>
      <c r="G990" t="s">
        <v>32</v>
      </c>
      <c r="H990">
        <v>1392</v>
      </c>
      <c r="I990">
        <v>4</v>
      </c>
      <c r="J990" t="s">
        <v>33</v>
      </c>
      <c r="K990">
        <v>3</v>
      </c>
      <c r="L990">
        <v>2</v>
      </c>
      <c r="M990" t="s">
        <v>40</v>
      </c>
      <c r="N990">
        <v>4</v>
      </c>
      <c r="O990" t="s">
        <v>45</v>
      </c>
      <c r="P990">
        <v>5467</v>
      </c>
      <c r="Q990">
        <v>3</v>
      </c>
      <c r="R990" t="s">
        <v>29</v>
      </c>
      <c r="S990">
        <v>14</v>
      </c>
      <c r="T990">
        <v>3</v>
      </c>
      <c r="U990">
        <v>1</v>
      </c>
      <c r="V990">
        <v>2</v>
      </c>
      <c r="W990">
        <v>12</v>
      </c>
      <c r="X990">
        <v>4</v>
      </c>
      <c r="Y990">
        <v>2</v>
      </c>
      <c r="Z990">
        <v>6</v>
      </c>
      <c r="AA990">
        <v>2</v>
      </c>
      <c r="AB990">
        <v>3</v>
      </c>
      <c r="AC990">
        <v>3</v>
      </c>
      <c r="AD990">
        <f>IF(HR_Data[[#This Row],[Attrition]]="Yes",1,0)</f>
        <v>0</v>
      </c>
      <c r="AE990" t="str">
        <f>IF(HR_Data[[#This Row],[Age]]&lt;=25,"18-25",IF(HR_Data[[#This Row],[Age]]&lt;=35,"26-35",IF(HR_Data[[#This Row],[Age]]&lt;=45,"36-45",IF(HR_Data[[#This Row],[Age]]&lt;=55,"46-55","55+"))))</f>
        <v>36-45</v>
      </c>
      <c r="AF990">
        <f>IF(HR_Data[[#This Row],[Age]]&lt;=25,1,IF(HR_Data[[#This Row],[Age]]&lt;=35,2,IF(HR_Data[[#This Row],[Age]]&lt;=45,3,IF(HR_Data[[#This Row],[Age]]&lt;=55,4,5))))</f>
        <v>3</v>
      </c>
      <c r="AG990" s="1" t="str">
        <f>IF(HR_Data[[#This Row],[MonthlyIncome]]&lt;3000,"&lt;3K",IF(HR_Data[[#This Row],[MonthlyIncome]]&lt;6000,"3K-6K",IF(HR_Data[[#This Row],[MonthlyIncome]]&lt;10000,"6K-10K","10K+")))</f>
        <v>3K-6K</v>
      </c>
      <c r="AH990" s="1">
        <f>IF(HR_Data[[#This Row],[MonthlyIncome]]&lt;3000,1,IF(HR_Data[[#This Row],[MonthlyIncome]]&lt;6000,2,IF(HR_Data[[#This Row],[MonthlyIncome]]&lt;10000,3,4)))</f>
        <v>2</v>
      </c>
      <c r="AI990" s="1" t="str">
        <f>IF(HR_Data[[#This Row],[YearsAtCompany]]&lt;=2,"0-2 Yrs",IF(HR_Data[[#This Row],[YearsAtCompany]]&lt;=5,"3-5 Yrs",IF(HR_Data[[#This Row],[YearsAtCompany]]&lt;=10,"6-10 Yrs","10+ Yrs")))</f>
        <v>6-10 Yrs</v>
      </c>
      <c r="AJ990" s="1">
        <f>IF(HR_Data[[#This Row],[YearsAtCompany]]&lt;=2,1,IF(HR_Data[[#This Row],[YearsAtCompany]]&lt;=5,2,IF(HR_Data[[#This Row],[YearsAtCompany]]&lt;=10,3,4)))</f>
        <v>3</v>
      </c>
      <c r="AK990" s="1" t="str">
        <f>CHOOSE(HR_Data[[#This Row],[Education]],"Below College","College","Bachelor","Master","Doctor")</f>
        <v>Bachelor</v>
      </c>
      <c r="AL990" s="1" t="str">
        <f>CHOOSE(HR_Data[[#This Row],[JobSatisfaction]],"Low","Medium","High","Very High")</f>
        <v>Very High</v>
      </c>
      <c r="AM990" s="1" t="str">
        <f>CHOOSE(HR_Data[[#This Row],[EnvironmentSatisfaction]],"Low","Medium","High","Very High")</f>
        <v>Very High</v>
      </c>
      <c r="AN990" s="1" t="str">
        <f>CHOOSE(HR_Data[[#This Row],[WorkLifeBalance]],"Bad","Good","Better","Best")</f>
        <v>Good</v>
      </c>
      <c r="AO990" s="1" t="str">
        <f>IF(HR_Data[[#This Row],[PercentSalaryHike]]&lt;=13,"11-13%",IF(HR_Data[[#This Row],[PercentSalaryHike]]&lt;=16,"14-16%",IF(HR_Data[[#This Row],[PercentSalaryHike]]&lt;=19,"17-19%","20-25%")))</f>
        <v>14-16%</v>
      </c>
      <c r="AP990" s="1">
        <f>IF(HR_Data[[#This Row],[PercentSalaryHike]]&lt;=13,1,IF(HR_Data[[#This Row],[PercentSalaryHike]]&lt;=16,2,IF(HR_Data[[#This Row],[PercentSalaryHike]]&lt;=19,3,4)))</f>
        <v>2</v>
      </c>
      <c r="AQ990" s="1" t="str">
        <f>IF(HR_Data[[#This Row],[DistanceFromHome]]&lt;=5,"1 to 5",IF(HR_Data[[#This Row],[DistanceFromHome]]&lt;=10,"6 to 10",IF(HR_Data[[#This Row],[DistanceFromHome]]&lt;=20,"11 to 20","21 to 29")))</f>
        <v>21 to 29</v>
      </c>
      <c r="AR990" s="1">
        <f>IF(HR_Data[[#This Row],[DistanceFromHome]]&lt;=5,1,IF(HR_Data[[#This Row],[DistanceFromHome]]&lt;=10,2,IF(HR_Data[[#This Row],[DistanceFromHome]]&lt;=20,3,4)))</f>
        <v>4</v>
      </c>
      <c r="AS990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990" s="1">
        <f>IF(HR_Data[[#This Row],[TotalWorkingYears]]&lt;=5,1,IF(HR_Data[[#This Row],[TotalWorkingYears]]&lt;=10,2,IF(HR_Data[[#This Row],[TotalWorkingYears]]&lt;=20,3,4)))</f>
        <v>3</v>
      </c>
    </row>
    <row r="991" spans="1:46" x14ac:dyDescent="0.25">
      <c r="A991">
        <v>37</v>
      </c>
      <c r="B991" t="s">
        <v>36</v>
      </c>
      <c r="C991" t="s">
        <v>30</v>
      </c>
      <c r="D991" t="s">
        <v>38</v>
      </c>
      <c r="E991">
        <v>4</v>
      </c>
      <c r="F991">
        <v>1</v>
      </c>
      <c r="G991" t="s">
        <v>32</v>
      </c>
      <c r="H991">
        <v>1394</v>
      </c>
      <c r="I991">
        <v>3</v>
      </c>
      <c r="J991" t="s">
        <v>39</v>
      </c>
      <c r="K991">
        <v>3</v>
      </c>
      <c r="L991">
        <v>1</v>
      </c>
      <c r="M991" t="s">
        <v>40</v>
      </c>
      <c r="N991">
        <v>3</v>
      </c>
      <c r="O991" t="s">
        <v>41</v>
      </c>
      <c r="P991">
        <v>2996</v>
      </c>
      <c r="Q991">
        <v>7</v>
      </c>
      <c r="R991" t="s">
        <v>29</v>
      </c>
      <c r="S991">
        <v>15</v>
      </c>
      <c r="T991">
        <v>3</v>
      </c>
      <c r="U991">
        <v>4</v>
      </c>
      <c r="V991">
        <v>0</v>
      </c>
      <c r="W991">
        <v>8</v>
      </c>
      <c r="X991">
        <v>2</v>
      </c>
      <c r="Y991">
        <v>3</v>
      </c>
      <c r="Z991">
        <v>6</v>
      </c>
      <c r="AA991">
        <v>4</v>
      </c>
      <c r="AB991">
        <v>1</v>
      </c>
      <c r="AC991">
        <v>3</v>
      </c>
      <c r="AD991">
        <f>IF(HR_Data[[#This Row],[Attrition]]="Yes",1,0)</f>
        <v>0</v>
      </c>
      <c r="AE991" t="str">
        <f>IF(HR_Data[[#This Row],[Age]]&lt;=25,"18-25",IF(HR_Data[[#This Row],[Age]]&lt;=35,"26-35",IF(HR_Data[[#This Row],[Age]]&lt;=45,"36-45",IF(HR_Data[[#This Row],[Age]]&lt;=55,"46-55","55+"))))</f>
        <v>36-45</v>
      </c>
      <c r="AF991">
        <f>IF(HR_Data[[#This Row],[Age]]&lt;=25,1,IF(HR_Data[[#This Row],[Age]]&lt;=35,2,IF(HR_Data[[#This Row],[Age]]&lt;=45,3,IF(HR_Data[[#This Row],[Age]]&lt;=55,4,5))))</f>
        <v>3</v>
      </c>
      <c r="AG991" s="1" t="str">
        <f>IF(HR_Data[[#This Row],[MonthlyIncome]]&lt;3000,"&lt;3K",IF(HR_Data[[#This Row],[MonthlyIncome]]&lt;6000,"3K-6K",IF(HR_Data[[#This Row],[MonthlyIncome]]&lt;10000,"6K-10K","10K+")))</f>
        <v>&lt;3K</v>
      </c>
      <c r="AH991" s="1">
        <f>IF(HR_Data[[#This Row],[MonthlyIncome]]&lt;3000,1,IF(HR_Data[[#This Row],[MonthlyIncome]]&lt;6000,2,IF(HR_Data[[#This Row],[MonthlyIncome]]&lt;10000,3,4)))</f>
        <v>1</v>
      </c>
      <c r="AI991" s="1" t="str">
        <f>IF(HR_Data[[#This Row],[YearsAtCompany]]&lt;=2,"0-2 Yrs",IF(HR_Data[[#This Row],[YearsAtCompany]]&lt;=5,"3-5 Yrs",IF(HR_Data[[#This Row],[YearsAtCompany]]&lt;=10,"6-10 Yrs","10+ Yrs")))</f>
        <v>6-10 Yrs</v>
      </c>
      <c r="AJ991" s="1">
        <f>IF(HR_Data[[#This Row],[YearsAtCompany]]&lt;=2,1,IF(HR_Data[[#This Row],[YearsAtCompany]]&lt;=5,2,IF(HR_Data[[#This Row],[YearsAtCompany]]&lt;=10,3,4)))</f>
        <v>3</v>
      </c>
      <c r="AK991" s="1" t="str">
        <f>CHOOSE(HR_Data[[#This Row],[Education]],"Below College","College","Bachelor","Master","Doctor")</f>
        <v>Below College</v>
      </c>
      <c r="AL991" s="1" t="str">
        <f>CHOOSE(HR_Data[[#This Row],[JobSatisfaction]],"Low","Medium","High","Very High")</f>
        <v>High</v>
      </c>
      <c r="AM991" s="1" t="str">
        <f>CHOOSE(HR_Data[[#This Row],[EnvironmentSatisfaction]],"Low","Medium","High","Very High")</f>
        <v>High</v>
      </c>
      <c r="AN991" s="1" t="str">
        <f>CHOOSE(HR_Data[[#This Row],[WorkLifeBalance]],"Bad","Good","Better","Best")</f>
        <v>Better</v>
      </c>
      <c r="AO991" s="1" t="str">
        <f>IF(HR_Data[[#This Row],[PercentSalaryHike]]&lt;=13,"11-13%",IF(HR_Data[[#This Row],[PercentSalaryHike]]&lt;=16,"14-16%",IF(HR_Data[[#This Row],[PercentSalaryHike]]&lt;=19,"17-19%","20-25%")))</f>
        <v>14-16%</v>
      </c>
      <c r="AP991" s="1">
        <f>IF(HR_Data[[#This Row],[PercentSalaryHike]]&lt;=13,1,IF(HR_Data[[#This Row],[PercentSalaryHike]]&lt;=16,2,IF(HR_Data[[#This Row],[PercentSalaryHike]]&lt;=19,3,4)))</f>
        <v>2</v>
      </c>
      <c r="AQ991" s="1" t="str">
        <f>IF(HR_Data[[#This Row],[DistanceFromHome]]&lt;=5,"1 to 5",IF(HR_Data[[#This Row],[DistanceFromHome]]&lt;=10,"6 to 10",IF(HR_Data[[#This Row],[DistanceFromHome]]&lt;=20,"11 to 20","21 to 29")))</f>
        <v>1 to 5</v>
      </c>
      <c r="AR991" s="1">
        <f>IF(HR_Data[[#This Row],[DistanceFromHome]]&lt;=5,1,IF(HR_Data[[#This Row],[DistanceFromHome]]&lt;=10,2,IF(HR_Data[[#This Row],[DistanceFromHome]]&lt;=20,3,4)))</f>
        <v>1</v>
      </c>
      <c r="AS991" s="1" t="str">
        <f>IF(HR_Data[[#This Row],[TotalWorkingYears]]&lt;=5,"0-5 Yrs",IF(HR_Data[[#This Row],[TotalWorkingYears]]&lt;=10,"6-10 Yrs",IF(HR_Data[[#This Row],[TotalWorkingYears]]&lt;=20,"11-20 Yrs","20+ Yrs")))</f>
        <v>6-10 Yrs</v>
      </c>
      <c r="AT991" s="1">
        <f>IF(HR_Data[[#This Row],[TotalWorkingYears]]&lt;=5,1,IF(HR_Data[[#This Row],[TotalWorkingYears]]&lt;=10,2,IF(HR_Data[[#This Row],[TotalWorkingYears]]&lt;=20,3,4)))</f>
        <v>2</v>
      </c>
    </row>
    <row r="992" spans="1:46" x14ac:dyDescent="0.25">
      <c r="A992">
        <v>33</v>
      </c>
      <c r="B992" t="s">
        <v>36</v>
      </c>
      <c r="C992" t="s">
        <v>37</v>
      </c>
      <c r="D992" t="s">
        <v>31</v>
      </c>
      <c r="E992">
        <v>5</v>
      </c>
      <c r="F992">
        <v>1</v>
      </c>
      <c r="G992" t="s">
        <v>32</v>
      </c>
      <c r="H992">
        <v>1395</v>
      </c>
      <c r="I992">
        <v>2</v>
      </c>
      <c r="J992" t="s">
        <v>39</v>
      </c>
      <c r="K992">
        <v>3</v>
      </c>
      <c r="L992">
        <v>2</v>
      </c>
      <c r="M992" t="s">
        <v>34</v>
      </c>
      <c r="N992">
        <v>4</v>
      </c>
      <c r="O992" t="s">
        <v>41</v>
      </c>
      <c r="P992">
        <v>9998</v>
      </c>
      <c r="Q992">
        <v>6</v>
      </c>
      <c r="R992" t="s">
        <v>36</v>
      </c>
      <c r="S992">
        <v>13</v>
      </c>
      <c r="T992">
        <v>3</v>
      </c>
      <c r="U992">
        <v>1</v>
      </c>
      <c r="V992">
        <v>0</v>
      </c>
      <c r="W992">
        <v>8</v>
      </c>
      <c r="X992">
        <v>2</v>
      </c>
      <c r="Y992">
        <v>4</v>
      </c>
      <c r="Z992">
        <v>5</v>
      </c>
      <c r="AA992">
        <v>4</v>
      </c>
      <c r="AB992">
        <v>1</v>
      </c>
      <c r="AC992">
        <v>2</v>
      </c>
      <c r="AD992">
        <f>IF(HR_Data[[#This Row],[Attrition]]="Yes",1,0)</f>
        <v>0</v>
      </c>
      <c r="AE992" t="str">
        <f>IF(HR_Data[[#This Row],[Age]]&lt;=25,"18-25",IF(HR_Data[[#This Row],[Age]]&lt;=35,"26-35",IF(HR_Data[[#This Row],[Age]]&lt;=45,"36-45",IF(HR_Data[[#This Row],[Age]]&lt;=55,"46-55","55+"))))</f>
        <v>26-35</v>
      </c>
      <c r="AF992">
        <f>IF(HR_Data[[#This Row],[Age]]&lt;=25,1,IF(HR_Data[[#This Row],[Age]]&lt;=35,2,IF(HR_Data[[#This Row],[Age]]&lt;=45,3,IF(HR_Data[[#This Row],[Age]]&lt;=55,4,5))))</f>
        <v>2</v>
      </c>
      <c r="AG992" s="1" t="str">
        <f>IF(HR_Data[[#This Row],[MonthlyIncome]]&lt;3000,"&lt;3K",IF(HR_Data[[#This Row],[MonthlyIncome]]&lt;6000,"3K-6K",IF(HR_Data[[#This Row],[MonthlyIncome]]&lt;10000,"6K-10K","10K+")))</f>
        <v>6K-10K</v>
      </c>
      <c r="AH992" s="1">
        <f>IF(HR_Data[[#This Row],[MonthlyIncome]]&lt;3000,1,IF(HR_Data[[#This Row],[MonthlyIncome]]&lt;6000,2,IF(HR_Data[[#This Row],[MonthlyIncome]]&lt;10000,3,4)))</f>
        <v>3</v>
      </c>
      <c r="AI992" s="1" t="str">
        <f>IF(HR_Data[[#This Row],[YearsAtCompany]]&lt;=2,"0-2 Yrs",IF(HR_Data[[#This Row],[YearsAtCompany]]&lt;=5,"3-5 Yrs",IF(HR_Data[[#This Row],[YearsAtCompany]]&lt;=10,"6-10 Yrs","10+ Yrs")))</f>
        <v>3-5 Yrs</v>
      </c>
      <c r="AJ992" s="1">
        <f>IF(HR_Data[[#This Row],[YearsAtCompany]]&lt;=2,1,IF(HR_Data[[#This Row],[YearsAtCompany]]&lt;=5,2,IF(HR_Data[[#This Row],[YearsAtCompany]]&lt;=10,3,4)))</f>
        <v>2</v>
      </c>
      <c r="AK992" s="1" t="str">
        <f>CHOOSE(HR_Data[[#This Row],[Education]],"Below College","College","Bachelor","Master","Doctor")</f>
        <v>Below College</v>
      </c>
      <c r="AL992" s="1" t="str">
        <f>CHOOSE(HR_Data[[#This Row],[JobSatisfaction]],"Low","Medium","High","Very High")</f>
        <v>Very High</v>
      </c>
      <c r="AM992" s="1" t="str">
        <f>CHOOSE(HR_Data[[#This Row],[EnvironmentSatisfaction]],"Low","Medium","High","Very High")</f>
        <v>Medium</v>
      </c>
      <c r="AN992" s="1" t="str">
        <f>CHOOSE(HR_Data[[#This Row],[WorkLifeBalance]],"Bad","Good","Better","Best")</f>
        <v>Best</v>
      </c>
      <c r="AO992" s="1" t="str">
        <f>IF(HR_Data[[#This Row],[PercentSalaryHike]]&lt;=13,"11-13%",IF(HR_Data[[#This Row],[PercentSalaryHike]]&lt;=16,"14-16%",IF(HR_Data[[#This Row],[PercentSalaryHike]]&lt;=19,"17-19%","20-25%")))</f>
        <v>11-13%</v>
      </c>
      <c r="AP992" s="1">
        <f>IF(HR_Data[[#This Row],[PercentSalaryHike]]&lt;=13,1,IF(HR_Data[[#This Row],[PercentSalaryHike]]&lt;=16,2,IF(HR_Data[[#This Row],[PercentSalaryHike]]&lt;=19,3,4)))</f>
        <v>1</v>
      </c>
      <c r="AQ992" s="1" t="str">
        <f>IF(HR_Data[[#This Row],[DistanceFromHome]]&lt;=5,"1 to 5",IF(HR_Data[[#This Row],[DistanceFromHome]]&lt;=10,"6 to 10",IF(HR_Data[[#This Row],[DistanceFromHome]]&lt;=20,"11 to 20","21 to 29")))</f>
        <v>1 to 5</v>
      </c>
      <c r="AR992" s="1">
        <f>IF(HR_Data[[#This Row],[DistanceFromHome]]&lt;=5,1,IF(HR_Data[[#This Row],[DistanceFromHome]]&lt;=10,2,IF(HR_Data[[#This Row],[DistanceFromHome]]&lt;=20,3,4)))</f>
        <v>1</v>
      </c>
      <c r="AS992" s="1" t="str">
        <f>IF(HR_Data[[#This Row],[TotalWorkingYears]]&lt;=5,"0-5 Yrs",IF(HR_Data[[#This Row],[TotalWorkingYears]]&lt;=10,"6-10 Yrs",IF(HR_Data[[#This Row],[TotalWorkingYears]]&lt;=20,"11-20 Yrs","20+ Yrs")))</f>
        <v>6-10 Yrs</v>
      </c>
      <c r="AT992" s="1">
        <f>IF(HR_Data[[#This Row],[TotalWorkingYears]]&lt;=5,1,IF(HR_Data[[#This Row],[TotalWorkingYears]]&lt;=10,2,IF(HR_Data[[#This Row],[TotalWorkingYears]]&lt;=20,3,4)))</f>
        <v>2</v>
      </c>
    </row>
    <row r="993" spans="1:46" x14ac:dyDescent="0.25">
      <c r="A993">
        <v>32</v>
      </c>
      <c r="B993" t="s">
        <v>36</v>
      </c>
      <c r="C993" t="s">
        <v>30</v>
      </c>
      <c r="D993" t="s">
        <v>31</v>
      </c>
      <c r="E993">
        <v>2</v>
      </c>
      <c r="F993">
        <v>1</v>
      </c>
      <c r="G993" t="s">
        <v>52</v>
      </c>
      <c r="H993">
        <v>1396</v>
      </c>
      <c r="I993">
        <v>3</v>
      </c>
      <c r="J993" t="s">
        <v>39</v>
      </c>
      <c r="K993">
        <v>3</v>
      </c>
      <c r="L993">
        <v>2</v>
      </c>
      <c r="M993" t="s">
        <v>34</v>
      </c>
      <c r="N993">
        <v>2</v>
      </c>
      <c r="O993" t="s">
        <v>41</v>
      </c>
      <c r="P993">
        <v>4078</v>
      </c>
      <c r="Q993">
        <v>0</v>
      </c>
      <c r="R993" t="s">
        <v>29</v>
      </c>
      <c r="S993">
        <v>13</v>
      </c>
      <c r="T993">
        <v>3</v>
      </c>
      <c r="U993">
        <v>1</v>
      </c>
      <c r="V993">
        <v>3</v>
      </c>
      <c r="W993">
        <v>4</v>
      </c>
      <c r="X993">
        <v>3</v>
      </c>
      <c r="Y993">
        <v>2</v>
      </c>
      <c r="Z993">
        <v>3</v>
      </c>
      <c r="AA993">
        <v>2</v>
      </c>
      <c r="AB993">
        <v>1</v>
      </c>
      <c r="AC993">
        <v>2</v>
      </c>
      <c r="AD993">
        <f>IF(HR_Data[[#This Row],[Attrition]]="Yes",1,0)</f>
        <v>0</v>
      </c>
      <c r="AE993" t="str">
        <f>IF(HR_Data[[#This Row],[Age]]&lt;=25,"18-25",IF(HR_Data[[#This Row],[Age]]&lt;=35,"26-35",IF(HR_Data[[#This Row],[Age]]&lt;=45,"36-45",IF(HR_Data[[#This Row],[Age]]&lt;=55,"46-55","55+"))))</f>
        <v>26-35</v>
      </c>
      <c r="AF993">
        <f>IF(HR_Data[[#This Row],[Age]]&lt;=25,1,IF(HR_Data[[#This Row],[Age]]&lt;=35,2,IF(HR_Data[[#This Row],[Age]]&lt;=45,3,IF(HR_Data[[#This Row],[Age]]&lt;=55,4,5))))</f>
        <v>2</v>
      </c>
      <c r="AG993" s="1" t="str">
        <f>IF(HR_Data[[#This Row],[MonthlyIncome]]&lt;3000,"&lt;3K",IF(HR_Data[[#This Row],[MonthlyIncome]]&lt;6000,"3K-6K",IF(HR_Data[[#This Row],[MonthlyIncome]]&lt;10000,"6K-10K","10K+")))</f>
        <v>3K-6K</v>
      </c>
      <c r="AH993" s="1">
        <f>IF(HR_Data[[#This Row],[MonthlyIncome]]&lt;3000,1,IF(HR_Data[[#This Row],[MonthlyIncome]]&lt;6000,2,IF(HR_Data[[#This Row],[MonthlyIncome]]&lt;10000,3,4)))</f>
        <v>2</v>
      </c>
      <c r="AI993" s="1" t="str">
        <f>IF(HR_Data[[#This Row],[YearsAtCompany]]&lt;=2,"0-2 Yrs",IF(HR_Data[[#This Row],[YearsAtCompany]]&lt;=5,"3-5 Yrs",IF(HR_Data[[#This Row],[YearsAtCompany]]&lt;=10,"6-10 Yrs","10+ Yrs")))</f>
        <v>3-5 Yrs</v>
      </c>
      <c r="AJ993" s="1">
        <f>IF(HR_Data[[#This Row],[YearsAtCompany]]&lt;=2,1,IF(HR_Data[[#This Row],[YearsAtCompany]]&lt;=5,2,IF(HR_Data[[#This Row],[YearsAtCompany]]&lt;=10,3,4)))</f>
        <v>2</v>
      </c>
      <c r="AK993" s="1" t="str">
        <f>CHOOSE(HR_Data[[#This Row],[Education]],"Below College","College","Bachelor","Master","Doctor")</f>
        <v>Below College</v>
      </c>
      <c r="AL993" s="1" t="str">
        <f>CHOOSE(HR_Data[[#This Row],[JobSatisfaction]],"Low","Medium","High","Very High")</f>
        <v>Medium</v>
      </c>
      <c r="AM993" s="1" t="str">
        <f>CHOOSE(HR_Data[[#This Row],[EnvironmentSatisfaction]],"Low","Medium","High","Very High")</f>
        <v>High</v>
      </c>
      <c r="AN993" s="1" t="str">
        <f>CHOOSE(HR_Data[[#This Row],[WorkLifeBalance]],"Bad","Good","Better","Best")</f>
        <v>Good</v>
      </c>
      <c r="AO993" s="1" t="str">
        <f>IF(HR_Data[[#This Row],[PercentSalaryHike]]&lt;=13,"11-13%",IF(HR_Data[[#This Row],[PercentSalaryHike]]&lt;=16,"14-16%",IF(HR_Data[[#This Row],[PercentSalaryHike]]&lt;=19,"17-19%","20-25%")))</f>
        <v>11-13%</v>
      </c>
      <c r="AP993" s="1">
        <f>IF(HR_Data[[#This Row],[PercentSalaryHike]]&lt;=13,1,IF(HR_Data[[#This Row],[PercentSalaryHike]]&lt;=16,2,IF(HR_Data[[#This Row],[PercentSalaryHike]]&lt;=19,3,4)))</f>
        <v>1</v>
      </c>
      <c r="AQ993" s="1" t="str">
        <f>IF(HR_Data[[#This Row],[DistanceFromHome]]&lt;=5,"1 to 5",IF(HR_Data[[#This Row],[DistanceFromHome]]&lt;=10,"6 to 10",IF(HR_Data[[#This Row],[DistanceFromHome]]&lt;=20,"11 to 20","21 to 29")))</f>
        <v>1 to 5</v>
      </c>
      <c r="AR993" s="1">
        <f>IF(HR_Data[[#This Row],[DistanceFromHome]]&lt;=5,1,IF(HR_Data[[#This Row],[DistanceFromHome]]&lt;=10,2,IF(HR_Data[[#This Row],[DistanceFromHome]]&lt;=20,3,4)))</f>
        <v>1</v>
      </c>
      <c r="AS993" s="1" t="str">
        <f>IF(HR_Data[[#This Row],[TotalWorkingYears]]&lt;=5,"0-5 Yrs",IF(HR_Data[[#This Row],[TotalWorkingYears]]&lt;=10,"6-10 Yrs",IF(HR_Data[[#This Row],[TotalWorkingYears]]&lt;=20,"11-20 Yrs","20+ Yrs")))</f>
        <v>0-5 Yrs</v>
      </c>
      <c r="AT993" s="1">
        <f>IF(HR_Data[[#This Row],[TotalWorkingYears]]&lt;=5,1,IF(HR_Data[[#This Row],[TotalWorkingYears]]&lt;=10,2,IF(HR_Data[[#This Row],[TotalWorkingYears]]&lt;=20,3,4)))</f>
        <v>1</v>
      </c>
    </row>
    <row r="994" spans="1:46" x14ac:dyDescent="0.25">
      <c r="A994">
        <v>39</v>
      </c>
      <c r="B994" t="s">
        <v>36</v>
      </c>
      <c r="C994" t="s">
        <v>48</v>
      </c>
      <c r="D994" t="s">
        <v>38</v>
      </c>
      <c r="E994">
        <v>25</v>
      </c>
      <c r="F994">
        <v>2</v>
      </c>
      <c r="G994" t="s">
        <v>32</v>
      </c>
      <c r="H994">
        <v>1397</v>
      </c>
      <c r="I994">
        <v>3</v>
      </c>
      <c r="J994" t="s">
        <v>39</v>
      </c>
      <c r="K994">
        <v>3</v>
      </c>
      <c r="L994">
        <v>3</v>
      </c>
      <c r="M994" t="s">
        <v>47</v>
      </c>
      <c r="N994">
        <v>3</v>
      </c>
      <c r="O994" t="s">
        <v>41</v>
      </c>
      <c r="P994">
        <v>10920</v>
      </c>
      <c r="Q994">
        <v>3</v>
      </c>
      <c r="R994" t="s">
        <v>36</v>
      </c>
      <c r="S994">
        <v>21</v>
      </c>
      <c r="T994">
        <v>4</v>
      </c>
      <c r="U994">
        <v>2</v>
      </c>
      <c r="V994">
        <v>1</v>
      </c>
      <c r="W994">
        <v>13</v>
      </c>
      <c r="X994">
        <v>2</v>
      </c>
      <c r="Y994">
        <v>3</v>
      </c>
      <c r="Z994">
        <v>6</v>
      </c>
      <c r="AA994">
        <v>4</v>
      </c>
      <c r="AB994">
        <v>0</v>
      </c>
      <c r="AC994">
        <v>5</v>
      </c>
      <c r="AD994">
        <f>IF(HR_Data[[#This Row],[Attrition]]="Yes",1,0)</f>
        <v>0</v>
      </c>
      <c r="AE994" t="str">
        <f>IF(HR_Data[[#This Row],[Age]]&lt;=25,"18-25",IF(HR_Data[[#This Row],[Age]]&lt;=35,"26-35",IF(HR_Data[[#This Row],[Age]]&lt;=45,"36-45",IF(HR_Data[[#This Row],[Age]]&lt;=55,"46-55","55+"))))</f>
        <v>36-45</v>
      </c>
      <c r="AF994">
        <f>IF(HR_Data[[#This Row],[Age]]&lt;=25,1,IF(HR_Data[[#This Row],[Age]]&lt;=35,2,IF(HR_Data[[#This Row],[Age]]&lt;=45,3,IF(HR_Data[[#This Row],[Age]]&lt;=55,4,5))))</f>
        <v>3</v>
      </c>
      <c r="AG994" s="1" t="str">
        <f>IF(HR_Data[[#This Row],[MonthlyIncome]]&lt;3000,"&lt;3K",IF(HR_Data[[#This Row],[MonthlyIncome]]&lt;6000,"3K-6K",IF(HR_Data[[#This Row],[MonthlyIncome]]&lt;10000,"6K-10K","10K+")))</f>
        <v>10K+</v>
      </c>
      <c r="AH994" s="1">
        <f>IF(HR_Data[[#This Row],[MonthlyIncome]]&lt;3000,1,IF(HR_Data[[#This Row],[MonthlyIncome]]&lt;6000,2,IF(HR_Data[[#This Row],[MonthlyIncome]]&lt;10000,3,4)))</f>
        <v>4</v>
      </c>
      <c r="AI994" s="1" t="str">
        <f>IF(HR_Data[[#This Row],[YearsAtCompany]]&lt;=2,"0-2 Yrs",IF(HR_Data[[#This Row],[YearsAtCompany]]&lt;=5,"3-5 Yrs",IF(HR_Data[[#This Row],[YearsAtCompany]]&lt;=10,"6-10 Yrs","10+ Yrs")))</f>
        <v>6-10 Yrs</v>
      </c>
      <c r="AJ994" s="1">
        <f>IF(HR_Data[[#This Row],[YearsAtCompany]]&lt;=2,1,IF(HR_Data[[#This Row],[YearsAtCompany]]&lt;=5,2,IF(HR_Data[[#This Row],[YearsAtCompany]]&lt;=10,3,4)))</f>
        <v>3</v>
      </c>
      <c r="AK994" s="1" t="str">
        <f>CHOOSE(HR_Data[[#This Row],[Education]],"Below College","College","Bachelor","Master","Doctor")</f>
        <v>College</v>
      </c>
      <c r="AL994" s="1" t="str">
        <f>CHOOSE(HR_Data[[#This Row],[JobSatisfaction]],"Low","Medium","High","Very High")</f>
        <v>High</v>
      </c>
      <c r="AM994" s="1" t="str">
        <f>CHOOSE(HR_Data[[#This Row],[EnvironmentSatisfaction]],"Low","Medium","High","Very High")</f>
        <v>High</v>
      </c>
      <c r="AN994" s="1" t="str">
        <f>CHOOSE(HR_Data[[#This Row],[WorkLifeBalance]],"Bad","Good","Better","Best")</f>
        <v>Better</v>
      </c>
      <c r="AO994" s="1" t="str">
        <f>IF(HR_Data[[#This Row],[PercentSalaryHike]]&lt;=13,"11-13%",IF(HR_Data[[#This Row],[PercentSalaryHike]]&lt;=16,"14-16%",IF(HR_Data[[#This Row],[PercentSalaryHike]]&lt;=19,"17-19%","20-25%")))</f>
        <v>20-25%</v>
      </c>
      <c r="AP994" s="1">
        <f>IF(HR_Data[[#This Row],[PercentSalaryHike]]&lt;=13,1,IF(HR_Data[[#This Row],[PercentSalaryHike]]&lt;=16,2,IF(HR_Data[[#This Row],[PercentSalaryHike]]&lt;=19,3,4)))</f>
        <v>4</v>
      </c>
      <c r="AQ994" s="1" t="str">
        <f>IF(HR_Data[[#This Row],[DistanceFromHome]]&lt;=5,"1 to 5",IF(HR_Data[[#This Row],[DistanceFromHome]]&lt;=10,"6 to 10",IF(HR_Data[[#This Row],[DistanceFromHome]]&lt;=20,"11 to 20","21 to 29")))</f>
        <v>21 to 29</v>
      </c>
      <c r="AR994" s="1">
        <f>IF(HR_Data[[#This Row],[DistanceFromHome]]&lt;=5,1,IF(HR_Data[[#This Row],[DistanceFromHome]]&lt;=10,2,IF(HR_Data[[#This Row],[DistanceFromHome]]&lt;=20,3,4)))</f>
        <v>4</v>
      </c>
      <c r="AS994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994" s="1">
        <f>IF(HR_Data[[#This Row],[TotalWorkingYears]]&lt;=5,1,IF(HR_Data[[#This Row],[TotalWorkingYears]]&lt;=10,2,IF(HR_Data[[#This Row],[TotalWorkingYears]]&lt;=20,3,4)))</f>
        <v>3</v>
      </c>
    </row>
    <row r="995" spans="1:46" x14ac:dyDescent="0.25">
      <c r="A995">
        <v>25</v>
      </c>
      <c r="B995" t="s">
        <v>36</v>
      </c>
      <c r="C995" t="s">
        <v>30</v>
      </c>
      <c r="D995" t="s">
        <v>31</v>
      </c>
      <c r="E995">
        <v>18</v>
      </c>
      <c r="F995">
        <v>1</v>
      </c>
      <c r="G995" t="s">
        <v>32</v>
      </c>
      <c r="H995">
        <v>1399</v>
      </c>
      <c r="I995">
        <v>1</v>
      </c>
      <c r="J995" t="s">
        <v>39</v>
      </c>
      <c r="K995">
        <v>4</v>
      </c>
      <c r="L995">
        <v>2</v>
      </c>
      <c r="M995" t="s">
        <v>34</v>
      </c>
      <c r="N995">
        <v>3</v>
      </c>
      <c r="O995" t="s">
        <v>41</v>
      </c>
      <c r="P995">
        <v>6232</v>
      </c>
      <c r="Q995">
        <v>2</v>
      </c>
      <c r="R995" t="s">
        <v>36</v>
      </c>
      <c r="S995">
        <v>11</v>
      </c>
      <c r="T995">
        <v>3</v>
      </c>
      <c r="U995">
        <v>2</v>
      </c>
      <c r="V995">
        <v>0</v>
      </c>
      <c r="W995">
        <v>6</v>
      </c>
      <c r="X995">
        <v>3</v>
      </c>
      <c r="Y995">
        <v>2</v>
      </c>
      <c r="Z995">
        <v>3</v>
      </c>
      <c r="AA995">
        <v>2</v>
      </c>
      <c r="AB995">
        <v>1</v>
      </c>
      <c r="AC995">
        <v>2</v>
      </c>
      <c r="AD995">
        <f>IF(HR_Data[[#This Row],[Attrition]]="Yes",1,0)</f>
        <v>0</v>
      </c>
      <c r="AE995" t="str">
        <f>IF(HR_Data[[#This Row],[Age]]&lt;=25,"18-25",IF(HR_Data[[#This Row],[Age]]&lt;=35,"26-35",IF(HR_Data[[#This Row],[Age]]&lt;=45,"36-45",IF(HR_Data[[#This Row],[Age]]&lt;=55,"46-55","55+"))))</f>
        <v>18-25</v>
      </c>
      <c r="AF995">
        <f>IF(HR_Data[[#This Row],[Age]]&lt;=25,1,IF(HR_Data[[#This Row],[Age]]&lt;=35,2,IF(HR_Data[[#This Row],[Age]]&lt;=45,3,IF(HR_Data[[#This Row],[Age]]&lt;=55,4,5))))</f>
        <v>1</v>
      </c>
      <c r="AG995" s="1" t="str">
        <f>IF(HR_Data[[#This Row],[MonthlyIncome]]&lt;3000,"&lt;3K",IF(HR_Data[[#This Row],[MonthlyIncome]]&lt;6000,"3K-6K",IF(HR_Data[[#This Row],[MonthlyIncome]]&lt;10000,"6K-10K","10K+")))</f>
        <v>6K-10K</v>
      </c>
      <c r="AH995" s="1">
        <f>IF(HR_Data[[#This Row],[MonthlyIncome]]&lt;3000,1,IF(HR_Data[[#This Row],[MonthlyIncome]]&lt;6000,2,IF(HR_Data[[#This Row],[MonthlyIncome]]&lt;10000,3,4)))</f>
        <v>3</v>
      </c>
      <c r="AI995" s="1" t="str">
        <f>IF(HR_Data[[#This Row],[YearsAtCompany]]&lt;=2,"0-2 Yrs",IF(HR_Data[[#This Row],[YearsAtCompany]]&lt;=5,"3-5 Yrs",IF(HR_Data[[#This Row],[YearsAtCompany]]&lt;=10,"6-10 Yrs","10+ Yrs")))</f>
        <v>3-5 Yrs</v>
      </c>
      <c r="AJ995" s="1">
        <f>IF(HR_Data[[#This Row],[YearsAtCompany]]&lt;=2,1,IF(HR_Data[[#This Row],[YearsAtCompany]]&lt;=5,2,IF(HR_Data[[#This Row],[YearsAtCompany]]&lt;=10,3,4)))</f>
        <v>2</v>
      </c>
      <c r="AK995" s="1" t="str">
        <f>CHOOSE(HR_Data[[#This Row],[Education]],"Below College","College","Bachelor","Master","Doctor")</f>
        <v>Below College</v>
      </c>
      <c r="AL995" s="1" t="str">
        <f>CHOOSE(HR_Data[[#This Row],[JobSatisfaction]],"Low","Medium","High","Very High")</f>
        <v>High</v>
      </c>
      <c r="AM995" s="1" t="str">
        <f>CHOOSE(HR_Data[[#This Row],[EnvironmentSatisfaction]],"Low","Medium","High","Very High")</f>
        <v>Low</v>
      </c>
      <c r="AN995" s="1" t="str">
        <f>CHOOSE(HR_Data[[#This Row],[WorkLifeBalance]],"Bad","Good","Better","Best")</f>
        <v>Good</v>
      </c>
      <c r="AO995" s="1" t="str">
        <f>IF(HR_Data[[#This Row],[PercentSalaryHike]]&lt;=13,"11-13%",IF(HR_Data[[#This Row],[PercentSalaryHike]]&lt;=16,"14-16%",IF(HR_Data[[#This Row],[PercentSalaryHike]]&lt;=19,"17-19%","20-25%")))</f>
        <v>11-13%</v>
      </c>
      <c r="AP995" s="1">
        <f>IF(HR_Data[[#This Row],[PercentSalaryHike]]&lt;=13,1,IF(HR_Data[[#This Row],[PercentSalaryHike]]&lt;=16,2,IF(HR_Data[[#This Row],[PercentSalaryHike]]&lt;=19,3,4)))</f>
        <v>1</v>
      </c>
      <c r="AQ995" s="1" t="str">
        <f>IF(HR_Data[[#This Row],[DistanceFromHome]]&lt;=5,"1 to 5",IF(HR_Data[[#This Row],[DistanceFromHome]]&lt;=10,"6 to 10",IF(HR_Data[[#This Row],[DistanceFromHome]]&lt;=20,"11 to 20","21 to 29")))</f>
        <v>11 to 20</v>
      </c>
      <c r="AR995" s="1">
        <f>IF(HR_Data[[#This Row],[DistanceFromHome]]&lt;=5,1,IF(HR_Data[[#This Row],[DistanceFromHome]]&lt;=10,2,IF(HR_Data[[#This Row],[DistanceFromHome]]&lt;=20,3,4)))</f>
        <v>3</v>
      </c>
      <c r="AS995" s="1" t="str">
        <f>IF(HR_Data[[#This Row],[TotalWorkingYears]]&lt;=5,"0-5 Yrs",IF(HR_Data[[#This Row],[TotalWorkingYears]]&lt;=10,"6-10 Yrs",IF(HR_Data[[#This Row],[TotalWorkingYears]]&lt;=20,"11-20 Yrs","20+ Yrs")))</f>
        <v>6-10 Yrs</v>
      </c>
      <c r="AT995" s="1">
        <f>IF(HR_Data[[#This Row],[TotalWorkingYears]]&lt;=5,1,IF(HR_Data[[#This Row],[TotalWorkingYears]]&lt;=10,2,IF(HR_Data[[#This Row],[TotalWorkingYears]]&lt;=20,3,4)))</f>
        <v>2</v>
      </c>
    </row>
    <row r="996" spans="1:46" x14ac:dyDescent="0.25">
      <c r="A996">
        <v>52</v>
      </c>
      <c r="B996" t="s">
        <v>36</v>
      </c>
      <c r="C996" t="s">
        <v>37</v>
      </c>
      <c r="D996" t="s">
        <v>38</v>
      </c>
      <c r="E996">
        <v>28</v>
      </c>
      <c r="F996">
        <v>2</v>
      </c>
      <c r="G996" t="s">
        <v>44</v>
      </c>
      <c r="H996">
        <v>1401</v>
      </c>
      <c r="I996">
        <v>4</v>
      </c>
      <c r="J996" t="s">
        <v>33</v>
      </c>
      <c r="K996">
        <v>4</v>
      </c>
      <c r="L996">
        <v>4</v>
      </c>
      <c r="M996" t="s">
        <v>46</v>
      </c>
      <c r="N996">
        <v>3</v>
      </c>
      <c r="O996" t="s">
        <v>41</v>
      </c>
      <c r="P996">
        <v>13247</v>
      </c>
      <c r="Q996">
        <v>2</v>
      </c>
      <c r="R996" t="s">
        <v>29</v>
      </c>
      <c r="S996">
        <v>11</v>
      </c>
      <c r="T996">
        <v>3</v>
      </c>
      <c r="U996">
        <v>2</v>
      </c>
      <c r="V996">
        <v>1</v>
      </c>
      <c r="W996">
        <v>24</v>
      </c>
      <c r="X996">
        <v>3</v>
      </c>
      <c r="Y996">
        <v>2</v>
      </c>
      <c r="Z996">
        <v>5</v>
      </c>
      <c r="AA996">
        <v>3</v>
      </c>
      <c r="AB996">
        <v>0</v>
      </c>
      <c r="AC996">
        <v>2</v>
      </c>
      <c r="AD996">
        <f>IF(HR_Data[[#This Row],[Attrition]]="Yes",1,0)</f>
        <v>0</v>
      </c>
      <c r="AE996" t="str">
        <f>IF(HR_Data[[#This Row],[Age]]&lt;=25,"18-25",IF(HR_Data[[#This Row],[Age]]&lt;=35,"26-35",IF(HR_Data[[#This Row],[Age]]&lt;=45,"36-45",IF(HR_Data[[#This Row],[Age]]&lt;=55,"46-55","55+"))))</f>
        <v>46-55</v>
      </c>
      <c r="AF996">
        <f>IF(HR_Data[[#This Row],[Age]]&lt;=25,1,IF(HR_Data[[#This Row],[Age]]&lt;=35,2,IF(HR_Data[[#This Row],[Age]]&lt;=45,3,IF(HR_Data[[#This Row],[Age]]&lt;=55,4,5))))</f>
        <v>4</v>
      </c>
      <c r="AG996" s="1" t="str">
        <f>IF(HR_Data[[#This Row],[MonthlyIncome]]&lt;3000,"&lt;3K",IF(HR_Data[[#This Row],[MonthlyIncome]]&lt;6000,"3K-6K",IF(HR_Data[[#This Row],[MonthlyIncome]]&lt;10000,"6K-10K","10K+")))</f>
        <v>10K+</v>
      </c>
      <c r="AH996" s="1">
        <f>IF(HR_Data[[#This Row],[MonthlyIncome]]&lt;3000,1,IF(HR_Data[[#This Row],[MonthlyIncome]]&lt;6000,2,IF(HR_Data[[#This Row],[MonthlyIncome]]&lt;10000,3,4)))</f>
        <v>4</v>
      </c>
      <c r="AI996" s="1" t="str">
        <f>IF(HR_Data[[#This Row],[YearsAtCompany]]&lt;=2,"0-2 Yrs",IF(HR_Data[[#This Row],[YearsAtCompany]]&lt;=5,"3-5 Yrs",IF(HR_Data[[#This Row],[YearsAtCompany]]&lt;=10,"6-10 Yrs","10+ Yrs")))</f>
        <v>3-5 Yrs</v>
      </c>
      <c r="AJ996" s="1">
        <f>IF(HR_Data[[#This Row],[YearsAtCompany]]&lt;=2,1,IF(HR_Data[[#This Row],[YearsAtCompany]]&lt;=5,2,IF(HR_Data[[#This Row],[YearsAtCompany]]&lt;=10,3,4)))</f>
        <v>2</v>
      </c>
      <c r="AK996" s="1" t="str">
        <f>CHOOSE(HR_Data[[#This Row],[Education]],"Below College","College","Bachelor","Master","Doctor")</f>
        <v>College</v>
      </c>
      <c r="AL996" s="1" t="str">
        <f>CHOOSE(HR_Data[[#This Row],[JobSatisfaction]],"Low","Medium","High","Very High")</f>
        <v>High</v>
      </c>
      <c r="AM996" s="1" t="str">
        <f>CHOOSE(HR_Data[[#This Row],[EnvironmentSatisfaction]],"Low","Medium","High","Very High")</f>
        <v>Very High</v>
      </c>
      <c r="AN996" s="1" t="str">
        <f>CHOOSE(HR_Data[[#This Row],[WorkLifeBalance]],"Bad","Good","Better","Best")</f>
        <v>Good</v>
      </c>
      <c r="AO996" s="1" t="str">
        <f>IF(HR_Data[[#This Row],[PercentSalaryHike]]&lt;=13,"11-13%",IF(HR_Data[[#This Row],[PercentSalaryHike]]&lt;=16,"14-16%",IF(HR_Data[[#This Row],[PercentSalaryHike]]&lt;=19,"17-19%","20-25%")))</f>
        <v>11-13%</v>
      </c>
      <c r="AP996" s="1">
        <f>IF(HR_Data[[#This Row],[PercentSalaryHike]]&lt;=13,1,IF(HR_Data[[#This Row],[PercentSalaryHike]]&lt;=16,2,IF(HR_Data[[#This Row],[PercentSalaryHike]]&lt;=19,3,4)))</f>
        <v>1</v>
      </c>
      <c r="AQ996" s="1" t="str">
        <f>IF(HR_Data[[#This Row],[DistanceFromHome]]&lt;=5,"1 to 5",IF(HR_Data[[#This Row],[DistanceFromHome]]&lt;=10,"6 to 10",IF(HR_Data[[#This Row],[DistanceFromHome]]&lt;=20,"11 to 20","21 to 29")))</f>
        <v>21 to 29</v>
      </c>
      <c r="AR996" s="1">
        <f>IF(HR_Data[[#This Row],[DistanceFromHome]]&lt;=5,1,IF(HR_Data[[#This Row],[DistanceFromHome]]&lt;=10,2,IF(HR_Data[[#This Row],[DistanceFromHome]]&lt;=20,3,4)))</f>
        <v>4</v>
      </c>
      <c r="AS996" s="1" t="str">
        <f>IF(HR_Data[[#This Row],[TotalWorkingYears]]&lt;=5,"0-5 Yrs",IF(HR_Data[[#This Row],[TotalWorkingYears]]&lt;=10,"6-10 Yrs",IF(HR_Data[[#This Row],[TotalWorkingYears]]&lt;=20,"11-20 Yrs","20+ Yrs")))</f>
        <v>20+ Yrs</v>
      </c>
      <c r="AT996" s="1">
        <f>IF(HR_Data[[#This Row],[TotalWorkingYears]]&lt;=5,1,IF(HR_Data[[#This Row],[TotalWorkingYears]]&lt;=10,2,IF(HR_Data[[#This Row],[TotalWorkingYears]]&lt;=20,3,4)))</f>
        <v>4</v>
      </c>
    </row>
    <row r="997" spans="1:46" x14ac:dyDescent="0.25">
      <c r="A997">
        <v>43</v>
      </c>
      <c r="B997" t="s">
        <v>36</v>
      </c>
      <c r="C997" t="s">
        <v>30</v>
      </c>
      <c r="D997" t="s">
        <v>38</v>
      </c>
      <c r="E997">
        <v>6</v>
      </c>
      <c r="F997">
        <v>3</v>
      </c>
      <c r="G997" t="s">
        <v>44</v>
      </c>
      <c r="H997">
        <v>1402</v>
      </c>
      <c r="I997">
        <v>1</v>
      </c>
      <c r="J997" t="s">
        <v>33</v>
      </c>
      <c r="K997">
        <v>2</v>
      </c>
      <c r="L997">
        <v>2</v>
      </c>
      <c r="M997" t="s">
        <v>40</v>
      </c>
      <c r="N997">
        <v>3</v>
      </c>
      <c r="O997" t="s">
        <v>35</v>
      </c>
      <c r="P997">
        <v>4081</v>
      </c>
      <c r="Q997">
        <v>1</v>
      </c>
      <c r="R997" t="s">
        <v>29</v>
      </c>
      <c r="S997">
        <v>14</v>
      </c>
      <c r="T997">
        <v>3</v>
      </c>
      <c r="U997">
        <v>1</v>
      </c>
      <c r="V997">
        <v>0</v>
      </c>
      <c r="W997">
        <v>20</v>
      </c>
      <c r="X997">
        <v>3</v>
      </c>
      <c r="Y997">
        <v>1</v>
      </c>
      <c r="Z997">
        <v>20</v>
      </c>
      <c r="AA997">
        <v>7</v>
      </c>
      <c r="AB997">
        <v>1</v>
      </c>
      <c r="AC997">
        <v>8</v>
      </c>
      <c r="AD997">
        <f>IF(HR_Data[[#This Row],[Attrition]]="Yes",1,0)</f>
        <v>0</v>
      </c>
      <c r="AE997" t="str">
        <f>IF(HR_Data[[#This Row],[Age]]&lt;=25,"18-25",IF(HR_Data[[#This Row],[Age]]&lt;=35,"26-35",IF(HR_Data[[#This Row],[Age]]&lt;=45,"36-45",IF(HR_Data[[#This Row],[Age]]&lt;=55,"46-55","55+"))))</f>
        <v>36-45</v>
      </c>
      <c r="AF997">
        <f>IF(HR_Data[[#This Row],[Age]]&lt;=25,1,IF(HR_Data[[#This Row],[Age]]&lt;=35,2,IF(HR_Data[[#This Row],[Age]]&lt;=45,3,IF(HR_Data[[#This Row],[Age]]&lt;=55,4,5))))</f>
        <v>3</v>
      </c>
      <c r="AG997" s="1" t="str">
        <f>IF(HR_Data[[#This Row],[MonthlyIncome]]&lt;3000,"&lt;3K",IF(HR_Data[[#This Row],[MonthlyIncome]]&lt;6000,"3K-6K",IF(HR_Data[[#This Row],[MonthlyIncome]]&lt;10000,"6K-10K","10K+")))</f>
        <v>3K-6K</v>
      </c>
      <c r="AH997" s="1">
        <f>IF(HR_Data[[#This Row],[MonthlyIncome]]&lt;3000,1,IF(HR_Data[[#This Row],[MonthlyIncome]]&lt;6000,2,IF(HR_Data[[#This Row],[MonthlyIncome]]&lt;10000,3,4)))</f>
        <v>2</v>
      </c>
      <c r="AI997" s="1" t="str">
        <f>IF(HR_Data[[#This Row],[YearsAtCompany]]&lt;=2,"0-2 Yrs",IF(HR_Data[[#This Row],[YearsAtCompany]]&lt;=5,"3-5 Yrs",IF(HR_Data[[#This Row],[YearsAtCompany]]&lt;=10,"6-10 Yrs","10+ Yrs")))</f>
        <v>10+ Yrs</v>
      </c>
      <c r="AJ997" s="1">
        <f>IF(HR_Data[[#This Row],[YearsAtCompany]]&lt;=2,1,IF(HR_Data[[#This Row],[YearsAtCompany]]&lt;=5,2,IF(HR_Data[[#This Row],[YearsAtCompany]]&lt;=10,3,4)))</f>
        <v>4</v>
      </c>
      <c r="AK997" s="1" t="str">
        <f>CHOOSE(HR_Data[[#This Row],[Education]],"Below College","College","Bachelor","Master","Doctor")</f>
        <v>Bachelor</v>
      </c>
      <c r="AL997" s="1" t="str">
        <f>CHOOSE(HR_Data[[#This Row],[JobSatisfaction]],"Low","Medium","High","Very High")</f>
        <v>High</v>
      </c>
      <c r="AM997" s="1" t="str">
        <f>CHOOSE(HR_Data[[#This Row],[EnvironmentSatisfaction]],"Low","Medium","High","Very High")</f>
        <v>Low</v>
      </c>
      <c r="AN997" s="1" t="str">
        <f>CHOOSE(HR_Data[[#This Row],[WorkLifeBalance]],"Bad","Good","Better","Best")</f>
        <v>Bad</v>
      </c>
      <c r="AO997" s="1" t="str">
        <f>IF(HR_Data[[#This Row],[PercentSalaryHike]]&lt;=13,"11-13%",IF(HR_Data[[#This Row],[PercentSalaryHike]]&lt;=16,"14-16%",IF(HR_Data[[#This Row],[PercentSalaryHike]]&lt;=19,"17-19%","20-25%")))</f>
        <v>14-16%</v>
      </c>
      <c r="AP997" s="1">
        <f>IF(HR_Data[[#This Row],[PercentSalaryHike]]&lt;=13,1,IF(HR_Data[[#This Row],[PercentSalaryHike]]&lt;=16,2,IF(HR_Data[[#This Row],[PercentSalaryHike]]&lt;=19,3,4)))</f>
        <v>2</v>
      </c>
      <c r="AQ997" s="1" t="str">
        <f>IF(HR_Data[[#This Row],[DistanceFromHome]]&lt;=5,"1 to 5",IF(HR_Data[[#This Row],[DistanceFromHome]]&lt;=10,"6 to 10",IF(HR_Data[[#This Row],[DistanceFromHome]]&lt;=20,"11 to 20","21 to 29")))</f>
        <v>6 to 10</v>
      </c>
      <c r="AR997" s="1">
        <f>IF(HR_Data[[#This Row],[DistanceFromHome]]&lt;=5,1,IF(HR_Data[[#This Row],[DistanceFromHome]]&lt;=10,2,IF(HR_Data[[#This Row],[DistanceFromHome]]&lt;=20,3,4)))</f>
        <v>2</v>
      </c>
      <c r="AS997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997" s="1">
        <f>IF(HR_Data[[#This Row],[TotalWorkingYears]]&lt;=5,1,IF(HR_Data[[#This Row],[TotalWorkingYears]]&lt;=10,2,IF(HR_Data[[#This Row],[TotalWorkingYears]]&lt;=20,3,4)))</f>
        <v>3</v>
      </c>
    </row>
    <row r="998" spans="1:46" x14ac:dyDescent="0.25">
      <c r="A998">
        <v>27</v>
      </c>
      <c r="B998" t="s">
        <v>36</v>
      </c>
      <c r="C998" t="s">
        <v>30</v>
      </c>
      <c r="D998" t="s">
        <v>31</v>
      </c>
      <c r="E998">
        <v>10</v>
      </c>
      <c r="F998">
        <v>3</v>
      </c>
      <c r="G998" t="s">
        <v>52</v>
      </c>
      <c r="H998">
        <v>1403</v>
      </c>
      <c r="I998">
        <v>4</v>
      </c>
      <c r="J998" t="s">
        <v>33</v>
      </c>
      <c r="K998">
        <v>2</v>
      </c>
      <c r="L998">
        <v>2</v>
      </c>
      <c r="M998" t="s">
        <v>34</v>
      </c>
      <c r="N998">
        <v>4</v>
      </c>
      <c r="O998" t="s">
        <v>41</v>
      </c>
      <c r="P998">
        <v>5769</v>
      </c>
      <c r="Q998">
        <v>1</v>
      </c>
      <c r="R998" t="s">
        <v>29</v>
      </c>
      <c r="S998">
        <v>11</v>
      </c>
      <c r="T998">
        <v>3</v>
      </c>
      <c r="U998">
        <v>4</v>
      </c>
      <c r="V998">
        <v>0</v>
      </c>
      <c r="W998">
        <v>6</v>
      </c>
      <c r="X998">
        <v>3</v>
      </c>
      <c r="Y998">
        <v>3</v>
      </c>
      <c r="Z998">
        <v>6</v>
      </c>
      <c r="AA998">
        <v>2</v>
      </c>
      <c r="AB998">
        <v>4</v>
      </c>
      <c r="AC998">
        <v>4</v>
      </c>
      <c r="AD998">
        <f>IF(HR_Data[[#This Row],[Attrition]]="Yes",1,0)</f>
        <v>0</v>
      </c>
      <c r="AE998" t="str">
        <f>IF(HR_Data[[#This Row],[Age]]&lt;=25,"18-25",IF(HR_Data[[#This Row],[Age]]&lt;=35,"26-35",IF(HR_Data[[#This Row],[Age]]&lt;=45,"36-45",IF(HR_Data[[#This Row],[Age]]&lt;=55,"46-55","55+"))))</f>
        <v>26-35</v>
      </c>
      <c r="AF998">
        <f>IF(HR_Data[[#This Row],[Age]]&lt;=25,1,IF(HR_Data[[#This Row],[Age]]&lt;=35,2,IF(HR_Data[[#This Row],[Age]]&lt;=45,3,IF(HR_Data[[#This Row],[Age]]&lt;=55,4,5))))</f>
        <v>2</v>
      </c>
      <c r="AG998" s="1" t="str">
        <f>IF(HR_Data[[#This Row],[MonthlyIncome]]&lt;3000,"&lt;3K",IF(HR_Data[[#This Row],[MonthlyIncome]]&lt;6000,"3K-6K",IF(HR_Data[[#This Row],[MonthlyIncome]]&lt;10000,"6K-10K","10K+")))</f>
        <v>3K-6K</v>
      </c>
      <c r="AH998" s="1">
        <f>IF(HR_Data[[#This Row],[MonthlyIncome]]&lt;3000,1,IF(HR_Data[[#This Row],[MonthlyIncome]]&lt;6000,2,IF(HR_Data[[#This Row],[MonthlyIncome]]&lt;10000,3,4)))</f>
        <v>2</v>
      </c>
      <c r="AI998" s="1" t="str">
        <f>IF(HR_Data[[#This Row],[YearsAtCompany]]&lt;=2,"0-2 Yrs",IF(HR_Data[[#This Row],[YearsAtCompany]]&lt;=5,"3-5 Yrs",IF(HR_Data[[#This Row],[YearsAtCompany]]&lt;=10,"6-10 Yrs","10+ Yrs")))</f>
        <v>6-10 Yrs</v>
      </c>
      <c r="AJ998" s="1">
        <f>IF(HR_Data[[#This Row],[YearsAtCompany]]&lt;=2,1,IF(HR_Data[[#This Row],[YearsAtCompany]]&lt;=5,2,IF(HR_Data[[#This Row],[YearsAtCompany]]&lt;=10,3,4)))</f>
        <v>3</v>
      </c>
      <c r="AK998" s="1" t="str">
        <f>CHOOSE(HR_Data[[#This Row],[Education]],"Below College","College","Bachelor","Master","Doctor")</f>
        <v>Bachelor</v>
      </c>
      <c r="AL998" s="1" t="str">
        <f>CHOOSE(HR_Data[[#This Row],[JobSatisfaction]],"Low","Medium","High","Very High")</f>
        <v>Very High</v>
      </c>
      <c r="AM998" s="1" t="str">
        <f>CHOOSE(HR_Data[[#This Row],[EnvironmentSatisfaction]],"Low","Medium","High","Very High")</f>
        <v>Very High</v>
      </c>
      <c r="AN998" s="1" t="str">
        <f>CHOOSE(HR_Data[[#This Row],[WorkLifeBalance]],"Bad","Good","Better","Best")</f>
        <v>Better</v>
      </c>
      <c r="AO998" s="1" t="str">
        <f>IF(HR_Data[[#This Row],[PercentSalaryHike]]&lt;=13,"11-13%",IF(HR_Data[[#This Row],[PercentSalaryHike]]&lt;=16,"14-16%",IF(HR_Data[[#This Row],[PercentSalaryHike]]&lt;=19,"17-19%","20-25%")))</f>
        <v>11-13%</v>
      </c>
      <c r="AP998" s="1">
        <f>IF(HR_Data[[#This Row],[PercentSalaryHike]]&lt;=13,1,IF(HR_Data[[#This Row],[PercentSalaryHike]]&lt;=16,2,IF(HR_Data[[#This Row],[PercentSalaryHike]]&lt;=19,3,4)))</f>
        <v>1</v>
      </c>
      <c r="AQ998" s="1" t="str">
        <f>IF(HR_Data[[#This Row],[DistanceFromHome]]&lt;=5,"1 to 5",IF(HR_Data[[#This Row],[DistanceFromHome]]&lt;=10,"6 to 10",IF(HR_Data[[#This Row],[DistanceFromHome]]&lt;=20,"11 to 20","21 to 29")))</f>
        <v>6 to 10</v>
      </c>
      <c r="AR998" s="1">
        <f>IF(HR_Data[[#This Row],[DistanceFromHome]]&lt;=5,1,IF(HR_Data[[#This Row],[DistanceFromHome]]&lt;=10,2,IF(HR_Data[[#This Row],[DistanceFromHome]]&lt;=20,3,4)))</f>
        <v>2</v>
      </c>
      <c r="AS998" s="1" t="str">
        <f>IF(HR_Data[[#This Row],[TotalWorkingYears]]&lt;=5,"0-5 Yrs",IF(HR_Data[[#This Row],[TotalWorkingYears]]&lt;=10,"6-10 Yrs",IF(HR_Data[[#This Row],[TotalWorkingYears]]&lt;=20,"11-20 Yrs","20+ Yrs")))</f>
        <v>6-10 Yrs</v>
      </c>
      <c r="AT998" s="1">
        <f>IF(HR_Data[[#This Row],[TotalWorkingYears]]&lt;=5,1,IF(HR_Data[[#This Row],[TotalWorkingYears]]&lt;=10,2,IF(HR_Data[[#This Row],[TotalWorkingYears]]&lt;=20,3,4)))</f>
        <v>2</v>
      </c>
    </row>
    <row r="999" spans="1:46" x14ac:dyDescent="0.25">
      <c r="A999">
        <v>27</v>
      </c>
      <c r="B999" t="s">
        <v>29</v>
      </c>
      <c r="C999" t="s">
        <v>30</v>
      </c>
      <c r="D999" t="s">
        <v>38</v>
      </c>
      <c r="E999">
        <v>17</v>
      </c>
      <c r="F999">
        <v>4</v>
      </c>
      <c r="G999" t="s">
        <v>32</v>
      </c>
      <c r="H999">
        <v>1405</v>
      </c>
      <c r="I999">
        <v>4</v>
      </c>
      <c r="J999" t="s">
        <v>33</v>
      </c>
      <c r="K999">
        <v>3</v>
      </c>
      <c r="L999">
        <v>1</v>
      </c>
      <c r="M999" t="s">
        <v>40</v>
      </c>
      <c r="N999">
        <v>3</v>
      </c>
      <c r="O999" t="s">
        <v>35</v>
      </c>
      <c r="P999">
        <v>2394</v>
      </c>
      <c r="Q999">
        <v>1</v>
      </c>
      <c r="R999" t="s">
        <v>29</v>
      </c>
      <c r="S999">
        <v>13</v>
      </c>
      <c r="T999">
        <v>3</v>
      </c>
      <c r="U999">
        <v>4</v>
      </c>
      <c r="V999">
        <v>0</v>
      </c>
      <c r="W999">
        <v>8</v>
      </c>
      <c r="X999">
        <v>2</v>
      </c>
      <c r="Y999">
        <v>3</v>
      </c>
      <c r="Z999">
        <v>8</v>
      </c>
      <c r="AA999">
        <v>2</v>
      </c>
      <c r="AB999">
        <v>7</v>
      </c>
      <c r="AC999">
        <v>7</v>
      </c>
      <c r="AD999">
        <f>IF(HR_Data[[#This Row],[Attrition]]="Yes",1,0)</f>
        <v>1</v>
      </c>
      <c r="AE999" t="str">
        <f>IF(HR_Data[[#This Row],[Age]]&lt;=25,"18-25",IF(HR_Data[[#This Row],[Age]]&lt;=35,"26-35",IF(HR_Data[[#This Row],[Age]]&lt;=45,"36-45",IF(HR_Data[[#This Row],[Age]]&lt;=55,"46-55","55+"))))</f>
        <v>26-35</v>
      </c>
      <c r="AF999">
        <f>IF(HR_Data[[#This Row],[Age]]&lt;=25,1,IF(HR_Data[[#This Row],[Age]]&lt;=35,2,IF(HR_Data[[#This Row],[Age]]&lt;=45,3,IF(HR_Data[[#This Row],[Age]]&lt;=55,4,5))))</f>
        <v>2</v>
      </c>
      <c r="AG999" s="1" t="str">
        <f>IF(HR_Data[[#This Row],[MonthlyIncome]]&lt;3000,"&lt;3K",IF(HR_Data[[#This Row],[MonthlyIncome]]&lt;6000,"3K-6K",IF(HR_Data[[#This Row],[MonthlyIncome]]&lt;10000,"6K-10K","10K+")))</f>
        <v>&lt;3K</v>
      </c>
      <c r="AH999" s="1">
        <f>IF(HR_Data[[#This Row],[MonthlyIncome]]&lt;3000,1,IF(HR_Data[[#This Row],[MonthlyIncome]]&lt;6000,2,IF(HR_Data[[#This Row],[MonthlyIncome]]&lt;10000,3,4)))</f>
        <v>1</v>
      </c>
      <c r="AI999" s="1" t="str">
        <f>IF(HR_Data[[#This Row],[YearsAtCompany]]&lt;=2,"0-2 Yrs",IF(HR_Data[[#This Row],[YearsAtCompany]]&lt;=5,"3-5 Yrs",IF(HR_Data[[#This Row],[YearsAtCompany]]&lt;=10,"6-10 Yrs","10+ Yrs")))</f>
        <v>6-10 Yrs</v>
      </c>
      <c r="AJ999" s="1">
        <f>IF(HR_Data[[#This Row],[YearsAtCompany]]&lt;=2,1,IF(HR_Data[[#This Row],[YearsAtCompany]]&lt;=5,2,IF(HR_Data[[#This Row],[YearsAtCompany]]&lt;=10,3,4)))</f>
        <v>3</v>
      </c>
      <c r="AK999" s="1" t="str">
        <f>CHOOSE(HR_Data[[#This Row],[Education]],"Below College","College","Bachelor","Master","Doctor")</f>
        <v>Master</v>
      </c>
      <c r="AL999" s="1" t="str">
        <f>CHOOSE(HR_Data[[#This Row],[JobSatisfaction]],"Low","Medium","High","Very High")</f>
        <v>High</v>
      </c>
      <c r="AM999" s="1" t="str">
        <f>CHOOSE(HR_Data[[#This Row],[EnvironmentSatisfaction]],"Low","Medium","High","Very High")</f>
        <v>Very High</v>
      </c>
      <c r="AN999" s="1" t="str">
        <f>CHOOSE(HR_Data[[#This Row],[WorkLifeBalance]],"Bad","Good","Better","Best")</f>
        <v>Better</v>
      </c>
      <c r="AO999" s="1" t="str">
        <f>IF(HR_Data[[#This Row],[PercentSalaryHike]]&lt;=13,"11-13%",IF(HR_Data[[#This Row],[PercentSalaryHike]]&lt;=16,"14-16%",IF(HR_Data[[#This Row],[PercentSalaryHike]]&lt;=19,"17-19%","20-25%")))</f>
        <v>11-13%</v>
      </c>
      <c r="AP999" s="1">
        <f>IF(HR_Data[[#This Row],[PercentSalaryHike]]&lt;=13,1,IF(HR_Data[[#This Row],[PercentSalaryHike]]&lt;=16,2,IF(HR_Data[[#This Row],[PercentSalaryHike]]&lt;=19,3,4)))</f>
        <v>1</v>
      </c>
      <c r="AQ999" s="1" t="str">
        <f>IF(HR_Data[[#This Row],[DistanceFromHome]]&lt;=5,"1 to 5",IF(HR_Data[[#This Row],[DistanceFromHome]]&lt;=10,"6 to 10",IF(HR_Data[[#This Row],[DistanceFromHome]]&lt;=20,"11 to 20","21 to 29")))</f>
        <v>11 to 20</v>
      </c>
      <c r="AR999" s="1">
        <f>IF(HR_Data[[#This Row],[DistanceFromHome]]&lt;=5,1,IF(HR_Data[[#This Row],[DistanceFromHome]]&lt;=10,2,IF(HR_Data[[#This Row],[DistanceFromHome]]&lt;=20,3,4)))</f>
        <v>3</v>
      </c>
      <c r="AS999" s="1" t="str">
        <f>IF(HR_Data[[#This Row],[TotalWorkingYears]]&lt;=5,"0-5 Yrs",IF(HR_Data[[#This Row],[TotalWorkingYears]]&lt;=10,"6-10 Yrs",IF(HR_Data[[#This Row],[TotalWorkingYears]]&lt;=20,"11-20 Yrs","20+ Yrs")))</f>
        <v>6-10 Yrs</v>
      </c>
      <c r="AT999" s="1">
        <f>IF(HR_Data[[#This Row],[TotalWorkingYears]]&lt;=5,1,IF(HR_Data[[#This Row],[TotalWorkingYears]]&lt;=10,2,IF(HR_Data[[#This Row],[TotalWorkingYears]]&lt;=20,3,4)))</f>
        <v>2</v>
      </c>
    </row>
    <row r="1000" spans="1:46" x14ac:dyDescent="0.25">
      <c r="A1000">
        <v>26</v>
      </c>
      <c r="B1000" t="s">
        <v>36</v>
      </c>
      <c r="C1000" t="s">
        <v>30</v>
      </c>
      <c r="D1000" t="s">
        <v>38</v>
      </c>
      <c r="E1000">
        <v>2</v>
      </c>
      <c r="F1000">
        <v>1</v>
      </c>
      <c r="G1000" t="s">
        <v>44</v>
      </c>
      <c r="H1000">
        <v>1407</v>
      </c>
      <c r="I1000">
        <v>1</v>
      </c>
      <c r="J1000" t="s">
        <v>39</v>
      </c>
      <c r="K1000">
        <v>2</v>
      </c>
      <c r="L1000">
        <v>1</v>
      </c>
      <c r="M1000" t="s">
        <v>40</v>
      </c>
      <c r="N1000">
        <v>4</v>
      </c>
      <c r="O1000" t="s">
        <v>35</v>
      </c>
      <c r="P1000">
        <v>3904</v>
      </c>
      <c r="Q1000">
        <v>0</v>
      </c>
      <c r="R1000" t="s">
        <v>36</v>
      </c>
      <c r="S1000">
        <v>12</v>
      </c>
      <c r="T1000">
        <v>3</v>
      </c>
      <c r="U1000">
        <v>4</v>
      </c>
      <c r="V1000">
        <v>0</v>
      </c>
      <c r="W1000">
        <v>5</v>
      </c>
      <c r="X1000">
        <v>2</v>
      </c>
      <c r="Y1000">
        <v>3</v>
      </c>
      <c r="Z1000">
        <v>4</v>
      </c>
      <c r="AA1000">
        <v>3</v>
      </c>
      <c r="AB1000">
        <v>1</v>
      </c>
      <c r="AC1000">
        <v>1</v>
      </c>
      <c r="AD1000">
        <f>IF(HR_Data[[#This Row],[Attrition]]="Yes",1,0)</f>
        <v>0</v>
      </c>
      <c r="AE1000" t="str">
        <f>IF(HR_Data[[#This Row],[Age]]&lt;=25,"18-25",IF(HR_Data[[#This Row],[Age]]&lt;=35,"26-35",IF(HR_Data[[#This Row],[Age]]&lt;=45,"36-45",IF(HR_Data[[#This Row],[Age]]&lt;=55,"46-55","55+"))))</f>
        <v>26-35</v>
      </c>
      <c r="AF1000">
        <f>IF(HR_Data[[#This Row],[Age]]&lt;=25,1,IF(HR_Data[[#This Row],[Age]]&lt;=35,2,IF(HR_Data[[#This Row],[Age]]&lt;=45,3,IF(HR_Data[[#This Row],[Age]]&lt;=55,4,5))))</f>
        <v>2</v>
      </c>
      <c r="AG1000" s="1" t="str">
        <f>IF(HR_Data[[#This Row],[MonthlyIncome]]&lt;3000,"&lt;3K",IF(HR_Data[[#This Row],[MonthlyIncome]]&lt;6000,"3K-6K",IF(HR_Data[[#This Row],[MonthlyIncome]]&lt;10000,"6K-10K","10K+")))</f>
        <v>3K-6K</v>
      </c>
      <c r="AH1000" s="1">
        <f>IF(HR_Data[[#This Row],[MonthlyIncome]]&lt;3000,1,IF(HR_Data[[#This Row],[MonthlyIncome]]&lt;6000,2,IF(HR_Data[[#This Row],[MonthlyIncome]]&lt;10000,3,4)))</f>
        <v>2</v>
      </c>
      <c r="AI1000" s="1" t="str">
        <f>IF(HR_Data[[#This Row],[YearsAtCompany]]&lt;=2,"0-2 Yrs",IF(HR_Data[[#This Row],[YearsAtCompany]]&lt;=5,"3-5 Yrs",IF(HR_Data[[#This Row],[YearsAtCompany]]&lt;=10,"6-10 Yrs","10+ Yrs")))</f>
        <v>3-5 Yrs</v>
      </c>
      <c r="AJ1000" s="1">
        <f>IF(HR_Data[[#This Row],[YearsAtCompany]]&lt;=2,1,IF(HR_Data[[#This Row],[YearsAtCompany]]&lt;=5,2,IF(HR_Data[[#This Row],[YearsAtCompany]]&lt;=10,3,4)))</f>
        <v>2</v>
      </c>
      <c r="AK1000" s="1" t="str">
        <f>CHOOSE(HR_Data[[#This Row],[Education]],"Below College","College","Bachelor","Master","Doctor")</f>
        <v>Below College</v>
      </c>
      <c r="AL1000" s="1" t="str">
        <f>CHOOSE(HR_Data[[#This Row],[JobSatisfaction]],"Low","Medium","High","Very High")</f>
        <v>Very High</v>
      </c>
      <c r="AM1000" s="1" t="str">
        <f>CHOOSE(HR_Data[[#This Row],[EnvironmentSatisfaction]],"Low","Medium","High","Very High")</f>
        <v>Low</v>
      </c>
      <c r="AN1000" s="1" t="str">
        <f>CHOOSE(HR_Data[[#This Row],[WorkLifeBalance]],"Bad","Good","Better","Best")</f>
        <v>Better</v>
      </c>
      <c r="AO1000" s="1" t="str">
        <f>IF(HR_Data[[#This Row],[PercentSalaryHike]]&lt;=13,"11-13%",IF(HR_Data[[#This Row],[PercentSalaryHike]]&lt;=16,"14-16%",IF(HR_Data[[#This Row],[PercentSalaryHike]]&lt;=19,"17-19%","20-25%")))</f>
        <v>11-13%</v>
      </c>
      <c r="AP1000" s="1">
        <f>IF(HR_Data[[#This Row],[PercentSalaryHike]]&lt;=13,1,IF(HR_Data[[#This Row],[PercentSalaryHike]]&lt;=16,2,IF(HR_Data[[#This Row],[PercentSalaryHike]]&lt;=19,3,4)))</f>
        <v>1</v>
      </c>
      <c r="AQ1000" s="1" t="str">
        <f>IF(HR_Data[[#This Row],[DistanceFromHome]]&lt;=5,"1 to 5",IF(HR_Data[[#This Row],[DistanceFromHome]]&lt;=10,"6 to 10",IF(HR_Data[[#This Row],[DistanceFromHome]]&lt;=20,"11 to 20","21 to 29")))</f>
        <v>1 to 5</v>
      </c>
      <c r="AR1000" s="1">
        <f>IF(HR_Data[[#This Row],[DistanceFromHome]]&lt;=5,1,IF(HR_Data[[#This Row],[DistanceFromHome]]&lt;=10,2,IF(HR_Data[[#This Row],[DistanceFromHome]]&lt;=20,3,4)))</f>
        <v>1</v>
      </c>
      <c r="AS1000" s="1" t="str">
        <f>IF(HR_Data[[#This Row],[TotalWorkingYears]]&lt;=5,"0-5 Yrs",IF(HR_Data[[#This Row],[TotalWorkingYears]]&lt;=10,"6-10 Yrs",IF(HR_Data[[#This Row],[TotalWorkingYears]]&lt;=20,"11-20 Yrs","20+ Yrs")))</f>
        <v>0-5 Yrs</v>
      </c>
      <c r="AT1000" s="1">
        <f>IF(HR_Data[[#This Row],[TotalWorkingYears]]&lt;=5,1,IF(HR_Data[[#This Row],[TotalWorkingYears]]&lt;=10,2,IF(HR_Data[[#This Row],[TotalWorkingYears]]&lt;=20,3,4)))</f>
        <v>1</v>
      </c>
    </row>
    <row r="1001" spans="1:46" x14ac:dyDescent="0.25">
      <c r="A1001">
        <v>42</v>
      </c>
      <c r="B1001" t="s">
        <v>36</v>
      </c>
      <c r="C1001" t="s">
        <v>30</v>
      </c>
      <c r="D1001" t="s">
        <v>54</v>
      </c>
      <c r="E1001">
        <v>10</v>
      </c>
      <c r="F1001">
        <v>3</v>
      </c>
      <c r="G1001" t="s">
        <v>54</v>
      </c>
      <c r="H1001">
        <v>1408</v>
      </c>
      <c r="I1001">
        <v>3</v>
      </c>
      <c r="J1001" t="s">
        <v>33</v>
      </c>
      <c r="K1001">
        <v>3</v>
      </c>
      <c r="L1001">
        <v>4</v>
      </c>
      <c r="M1001" t="s">
        <v>49</v>
      </c>
      <c r="N1001">
        <v>1</v>
      </c>
      <c r="O1001" t="s">
        <v>41</v>
      </c>
      <c r="P1001">
        <v>16799</v>
      </c>
      <c r="Q1001">
        <v>0</v>
      </c>
      <c r="R1001" t="s">
        <v>36</v>
      </c>
      <c r="S1001">
        <v>14</v>
      </c>
      <c r="T1001">
        <v>3</v>
      </c>
      <c r="U1001">
        <v>3</v>
      </c>
      <c r="V1001">
        <v>1</v>
      </c>
      <c r="W1001">
        <v>21</v>
      </c>
      <c r="X1001">
        <v>5</v>
      </c>
      <c r="Y1001">
        <v>3</v>
      </c>
      <c r="Z1001">
        <v>20</v>
      </c>
      <c r="AA1001">
        <v>7</v>
      </c>
      <c r="AB1001">
        <v>0</v>
      </c>
      <c r="AC1001">
        <v>9</v>
      </c>
      <c r="AD1001">
        <f>IF(HR_Data[[#This Row],[Attrition]]="Yes",1,0)</f>
        <v>0</v>
      </c>
      <c r="AE1001" t="str">
        <f>IF(HR_Data[[#This Row],[Age]]&lt;=25,"18-25",IF(HR_Data[[#This Row],[Age]]&lt;=35,"26-35",IF(HR_Data[[#This Row],[Age]]&lt;=45,"36-45",IF(HR_Data[[#This Row],[Age]]&lt;=55,"46-55","55+"))))</f>
        <v>36-45</v>
      </c>
      <c r="AF1001">
        <f>IF(HR_Data[[#This Row],[Age]]&lt;=25,1,IF(HR_Data[[#This Row],[Age]]&lt;=35,2,IF(HR_Data[[#This Row],[Age]]&lt;=45,3,IF(HR_Data[[#This Row],[Age]]&lt;=55,4,5))))</f>
        <v>3</v>
      </c>
      <c r="AG1001" s="1" t="str">
        <f>IF(HR_Data[[#This Row],[MonthlyIncome]]&lt;3000,"&lt;3K",IF(HR_Data[[#This Row],[MonthlyIncome]]&lt;6000,"3K-6K",IF(HR_Data[[#This Row],[MonthlyIncome]]&lt;10000,"6K-10K","10K+")))</f>
        <v>10K+</v>
      </c>
      <c r="AH1001" s="1">
        <f>IF(HR_Data[[#This Row],[MonthlyIncome]]&lt;3000,1,IF(HR_Data[[#This Row],[MonthlyIncome]]&lt;6000,2,IF(HR_Data[[#This Row],[MonthlyIncome]]&lt;10000,3,4)))</f>
        <v>4</v>
      </c>
      <c r="AI1001" s="1" t="str">
        <f>IF(HR_Data[[#This Row],[YearsAtCompany]]&lt;=2,"0-2 Yrs",IF(HR_Data[[#This Row],[YearsAtCompany]]&lt;=5,"3-5 Yrs",IF(HR_Data[[#This Row],[YearsAtCompany]]&lt;=10,"6-10 Yrs","10+ Yrs")))</f>
        <v>10+ Yrs</v>
      </c>
      <c r="AJ1001" s="1">
        <f>IF(HR_Data[[#This Row],[YearsAtCompany]]&lt;=2,1,IF(HR_Data[[#This Row],[YearsAtCompany]]&lt;=5,2,IF(HR_Data[[#This Row],[YearsAtCompany]]&lt;=10,3,4)))</f>
        <v>4</v>
      </c>
      <c r="AK1001" s="1" t="str">
        <f>CHOOSE(HR_Data[[#This Row],[Education]],"Below College","College","Bachelor","Master","Doctor")</f>
        <v>Bachelor</v>
      </c>
      <c r="AL1001" s="1" t="str">
        <f>CHOOSE(HR_Data[[#This Row],[JobSatisfaction]],"Low","Medium","High","Very High")</f>
        <v>Low</v>
      </c>
      <c r="AM1001" s="1" t="str">
        <f>CHOOSE(HR_Data[[#This Row],[EnvironmentSatisfaction]],"Low","Medium","High","Very High")</f>
        <v>High</v>
      </c>
      <c r="AN1001" s="1" t="str">
        <f>CHOOSE(HR_Data[[#This Row],[WorkLifeBalance]],"Bad","Good","Better","Best")</f>
        <v>Better</v>
      </c>
      <c r="AO1001" s="1" t="str">
        <f>IF(HR_Data[[#This Row],[PercentSalaryHike]]&lt;=13,"11-13%",IF(HR_Data[[#This Row],[PercentSalaryHike]]&lt;=16,"14-16%",IF(HR_Data[[#This Row],[PercentSalaryHike]]&lt;=19,"17-19%","20-25%")))</f>
        <v>14-16%</v>
      </c>
      <c r="AP1001" s="1">
        <f>IF(HR_Data[[#This Row],[PercentSalaryHike]]&lt;=13,1,IF(HR_Data[[#This Row],[PercentSalaryHike]]&lt;=16,2,IF(HR_Data[[#This Row],[PercentSalaryHike]]&lt;=19,3,4)))</f>
        <v>2</v>
      </c>
      <c r="AQ1001" s="1" t="str">
        <f>IF(HR_Data[[#This Row],[DistanceFromHome]]&lt;=5,"1 to 5",IF(HR_Data[[#This Row],[DistanceFromHome]]&lt;=10,"6 to 10",IF(HR_Data[[#This Row],[DistanceFromHome]]&lt;=20,"11 to 20","21 to 29")))</f>
        <v>6 to 10</v>
      </c>
      <c r="AR1001" s="1">
        <f>IF(HR_Data[[#This Row],[DistanceFromHome]]&lt;=5,1,IF(HR_Data[[#This Row],[DistanceFromHome]]&lt;=10,2,IF(HR_Data[[#This Row],[DistanceFromHome]]&lt;=20,3,4)))</f>
        <v>2</v>
      </c>
      <c r="AS1001" s="1" t="str">
        <f>IF(HR_Data[[#This Row],[TotalWorkingYears]]&lt;=5,"0-5 Yrs",IF(HR_Data[[#This Row],[TotalWorkingYears]]&lt;=10,"6-10 Yrs",IF(HR_Data[[#This Row],[TotalWorkingYears]]&lt;=20,"11-20 Yrs","20+ Yrs")))</f>
        <v>20+ Yrs</v>
      </c>
      <c r="AT1001" s="1">
        <f>IF(HR_Data[[#This Row],[TotalWorkingYears]]&lt;=5,1,IF(HR_Data[[#This Row],[TotalWorkingYears]]&lt;=10,2,IF(HR_Data[[#This Row],[TotalWorkingYears]]&lt;=20,3,4)))</f>
        <v>4</v>
      </c>
    </row>
    <row r="1002" spans="1:46" x14ac:dyDescent="0.25">
      <c r="A1002">
        <v>52</v>
      </c>
      <c r="B1002" t="s">
        <v>36</v>
      </c>
      <c r="C1002" t="s">
        <v>30</v>
      </c>
      <c r="D1002" t="s">
        <v>38</v>
      </c>
      <c r="E1002">
        <v>8</v>
      </c>
      <c r="F1002">
        <v>4</v>
      </c>
      <c r="G1002" t="s">
        <v>42</v>
      </c>
      <c r="H1002">
        <v>1409</v>
      </c>
      <c r="I1002">
        <v>3</v>
      </c>
      <c r="J1002" t="s">
        <v>33</v>
      </c>
      <c r="K1002">
        <v>3</v>
      </c>
      <c r="L1002">
        <v>1</v>
      </c>
      <c r="M1002" t="s">
        <v>43</v>
      </c>
      <c r="N1002">
        <v>1</v>
      </c>
      <c r="O1002" t="s">
        <v>41</v>
      </c>
      <c r="P1002">
        <v>2950</v>
      </c>
      <c r="Q1002">
        <v>9</v>
      </c>
      <c r="R1002" t="s">
        <v>36</v>
      </c>
      <c r="S1002">
        <v>13</v>
      </c>
      <c r="T1002">
        <v>3</v>
      </c>
      <c r="U1002">
        <v>3</v>
      </c>
      <c r="V1002">
        <v>0</v>
      </c>
      <c r="W1002">
        <v>12</v>
      </c>
      <c r="X1002">
        <v>2</v>
      </c>
      <c r="Y1002">
        <v>1</v>
      </c>
      <c r="Z1002">
        <v>5</v>
      </c>
      <c r="AA1002">
        <v>4</v>
      </c>
      <c r="AB1002">
        <v>0</v>
      </c>
      <c r="AC1002">
        <v>4</v>
      </c>
      <c r="AD1002">
        <f>IF(HR_Data[[#This Row],[Attrition]]="Yes",1,0)</f>
        <v>0</v>
      </c>
      <c r="AE1002" t="str">
        <f>IF(HR_Data[[#This Row],[Age]]&lt;=25,"18-25",IF(HR_Data[[#This Row],[Age]]&lt;=35,"26-35",IF(HR_Data[[#This Row],[Age]]&lt;=45,"36-45",IF(HR_Data[[#This Row],[Age]]&lt;=55,"46-55","55+"))))</f>
        <v>46-55</v>
      </c>
      <c r="AF1002">
        <f>IF(HR_Data[[#This Row],[Age]]&lt;=25,1,IF(HR_Data[[#This Row],[Age]]&lt;=35,2,IF(HR_Data[[#This Row],[Age]]&lt;=45,3,IF(HR_Data[[#This Row],[Age]]&lt;=55,4,5))))</f>
        <v>4</v>
      </c>
      <c r="AG1002" s="1" t="str">
        <f>IF(HR_Data[[#This Row],[MonthlyIncome]]&lt;3000,"&lt;3K",IF(HR_Data[[#This Row],[MonthlyIncome]]&lt;6000,"3K-6K",IF(HR_Data[[#This Row],[MonthlyIncome]]&lt;10000,"6K-10K","10K+")))</f>
        <v>&lt;3K</v>
      </c>
      <c r="AH1002" s="1">
        <f>IF(HR_Data[[#This Row],[MonthlyIncome]]&lt;3000,1,IF(HR_Data[[#This Row],[MonthlyIncome]]&lt;6000,2,IF(HR_Data[[#This Row],[MonthlyIncome]]&lt;10000,3,4)))</f>
        <v>1</v>
      </c>
      <c r="AI1002" s="1" t="str">
        <f>IF(HR_Data[[#This Row],[YearsAtCompany]]&lt;=2,"0-2 Yrs",IF(HR_Data[[#This Row],[YearsAtCompany]]&lt;=5,"3-5 Yrs",IF(HR_Data[[#This Row],[YearsAtCompany]]&lt;=10,"6-10 Yrs","10+ Yrs")))</f>
        <v>3-5 Yrs</v>
      </c>
      <c r="AJ1002" s="1">
        <f>IF(HR_Data[[#This Row],[YearsAtCompany]]&lt;=2,1,IF(HR_Data[[#This Row],[YearsAtCompany]]&lt;=5,2,IF(HR_Data[[#This Row],[YearsAtCompany]]&lt;=10,3,4)))</f>
        <v>2</v>
      </c>
      <c r="AK1002" s="1" t="str">
        <f>CHOOSE(HR_Data[[#This Row],[Education]],"Below College","College","Bachelor","Master","Doctor")</f>
        <v>Master</v>
      </c>
      <c r="AL1002" s="1" t="str">
        <f>CHOOSE(HR_Data[[#This Row],[JobSatisfaction]],"Low","Medium","High","Very High")</f>
        <v>Low</v>
      </c>
      <c r="AM1002" s="1" t="str">
        <f>CHOOSE(HR_Data[[#This Row],[EnvironmentSatisfaction]],"Low","Medium","High","Very High")</f>
        <v>High</v>
      </c>
      <c r="AN1002" s="1" t="str">
        <f>CHOOSE(HR_Data[[#This Row],[WorkLifeBalance]],"Bad","Good","Better","Best")</f>
        <v>Bad</v>
      </c>
      <c r="AO1002" s="1" t="str">
        <f>IF(HR_Data[[#This Row],[PercentSalaryHike]]&lt;=13,"11-13%",IF(HR_Data[[#This Row],[PercentSalaryHike]]&lt;=16,"14-16%",IF(HR_Data[[#This Row],[PercentSalaryHike]]&lt;=19,"17-19%","20-25%")))</f>
        <v>11-13%</v>
      </c>
      <c r="AP1002" s="1">
        <f>IF(HR_Data[[#This Row],[PercentSalaryHike]]&lt;=13,1,IF(HR_Data[[#This Row],[PercentSalaryHike]]&lt;=16,2,IF(HR_Data[[#This Row],[PercentSalaryHike]]&lt;=19,3,4)))</f>
        <v>1</v>
      </c>
      <c r="AQ1002" s="1" t="str">
        <f>IF(HR_Data[[#This Row],[DistanceFromHome]]&lt;=5,"1 to 5",IF(HR_Data[[#This Row],[DistanceFromHome]]&lt;=10,"6 to 10",IF(HR_Data[[#This Row],[DistanceFromHome]]&lt;=20,"11 to 20","21 to 29")))</f>
        <v>6 to 10</v>
      </c>
      <c r="AR1002" s="1">
        <f>IF(HR_Data[[#This Row],[DistanceFromHome]]&lt;=5,1,IF(HR_Data[[#This Row],[DistanceFromHome]]&lt;=10,2,IF(HR_Data[[#This Row],[DistanceFromHome]]&lt;=20,3,4)))</f>
        <v>2</v>
      </c>
      <c r="AS1002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002" s="1">
        <f>IF(HR_Data[[#This Row],[TotalWorkingYears]]&lt;=5,1,IF(HR_Data[[#This Row],[TotalWorkingYears]]&lt;=10,2,IF(HR_Data[[#This Row],[TotalWorkingYears]]&lt;=20,3,4)))</f>
        <v>3</v>
      </c>
    </row>
    <row r="1003" spans="1:46" x14ac:dyDescent="0.25">
      <c r="A1003">
        <v>37</v>
      </c>
      <c r="B1003" t="s">
        <v>36</v>
      </c>
      <c r="C1003" t="s">
        <v>30</v>
      </c>
      <c r="D1003" t="s">
        <v>38</v>
      </c>
      <c r="E1003">
        <v>11</v>
      </c>
      <c r="F1003">
        <v>3</v>
      </c>
      <c r="G1003" t="s">
        <v>44</v>
      </c>
      <c r="H1003">
        <v>1411</v>
      </c>
      <c r="I1003">
        <v>1</v>
      </c>
      <c r="J1003" t="s">
        <v>33</v>
      </c>
      <c r="K1003">
        <v>3</v>
      </c>
      <c r="L1003">
        <v>1</v>
      </c>
      <c r="M1003" t="s">
        <v>43</v>
      </c>
      <c r="N1003">
        <v>3</v>
      </c>
      <c r="O1003" t="s">
        <v>35</v>
      </c>
      <c r="P1003">
        <v>3629</v>
      </c>
      <c r="Q1003">
        <v>4</v>
      </c>
      <c r="R1003" t="s">
        <v>36</v>
      </c>
      <c r="S1003">
        <v>18</v>
      </c>
      <c r="T1003">
        <v>3</v>
      </c>
      <c r="U1003">
        <v>1</v>
      </c>
      <c r="V1003">
        <v>0</v>
      </c>
      <c r="W1003">
        <v>8</v>
      </c>
      <c r="X1003">
        <v>6</v>
      </c>
      <c r="Y1003">
        <v>3</v>
      </c>
      <c r="Z1003">
        <v>3</v>
      </c>
      <c r="AA1003">
        <v>2</v>
      </c>
      <c r="AB1003">
        <v>0</v>
      </c>
      <c r="AC1003">
        <v>2</v>
      </c>
      <c r="AD1003">
        <f>IF(HR_Data[[#This Row],[Attrition]]="Yes",1,0)</f>
        <v>0</v>
      </c>
      <c r="AE1003" t="str">
        <f>IF(HR_Data[[#This Row],[Age]]&lt;=25,"18-25",IF(HR_Data[[#This Row],[Age]]&lt;=35,"26-35",IF(HR_Data[[#This Row],[Age]]&lt;=45,"36-45",IF(HR_Data[[#This Row],[Age]]&lt;=55,"46-55","55+"))))</f>
        <v>36-45</v>
      </c>
      <c r="AF1003">
        <f>IF(HR_Data[[#This Row],[Age]]&lt;=25,1,IF(HR_Data[[#This Row],[Age]]&lt;=35,2,IF(HR_Data[[#This Row],[Age]]&lt;=45,3,IF(HR_Data[[#This Row],[Age]]&lt;=55,4,5))))</f>
        <v>3</v>
      </c>
      <c r="AG1003" s="1" t="str">
        <f>IF(HR_Data[[#This Row],[MonthlyIncome]]&lt;3000,"&lt;3K",IF(HR_Data[[#This Row],[MonthlyIncome]]&lt;6000,"3K-6K",IF(HR_Data[[#This Row],[MonthlyIncome]]&lt;10000,"6K-10K","10K+")))</f>
        <v>3K-6K</v>
      </c>
      <c r="AH1003" s="1">
        <f>IF(HR_Data[[#This Row],[MonthlyIncome]]&lt;3000,1,IF(HR_Data[[#This Row],[MonthlyIncome]]&lt;6000,2,IF(HR_Data[[#This Row],[MonthlyIncome]]&lt;10000,3,4)))</f>
        <v>2</v>
      </c>
      <c r="AI1003" s="1" t="str">
        <f>IF(HR_Data[[#This Row],[YearsAtCompany]]&lt;=2,"0-2 Yrs",IF(HR_Data[[#This Row],[YearsAtCompany]]&lt;=5,"3-5 Yrs",IF(HR_Data[[#This Row],[YearsAtCompany]]&lt;=10,"6-10 Yrs","10+ Yrs")))</f>
        <v>3-5 Yrs</v>
      </c>
      <c r="AJ1003" s="1">
        <f>IF(HR_Data[[#This Row],[YearsAtCompany]]&lt;=2,1,IF(HR_Data[[#This Row],[YearsAtCompany]]&lt;=5,2,IF(HR_Data[[#This Row],[YearsAtCompany]]&lt;=10,3,4)))</f>
        <v>2</v>
      </c>
      <c r="AK1003" s="1" t="str">
        <f>CHOOSE(HR_Data[[#This Row],[Education]],"Below College","College","Bachelor","Master","Doctor")</f>
        <v>Bachelor</v>
      </c>
      <c r="AL1003" s="1" t="str">
        <f>CHOOSE(HR_Data[[#This Row],[JobSatisfaction]],"Low","Medium","High","Very High")</f>
        <v>High</v>
      </c>
      <c r="AM1003" s="1" t="str">
        <f>CHOOSE(HR_Data[[#This Row],[EnvironmentSatisfaction]],"Low","Medium","High","Very High")</f>
        <v>Low</v>
      </c>
      <c r="AN1003" s="1" t="str">
        <f>CHOOSE(HR_Data[[#This Row],[WorkLifeBalance]],"Bad","Good","Better","Best")</f>
        <v>Better</v>
      </c>
      <c r="AO1003" s="1" t="str">
        <f>IF(HR_Data[[#This Row],[PercentSalaryHike]]&lt;=13,"11-13%",IF(HR_Data[[#This Row],[PercentSalaryHike]]&lt;=16,"14-16%",IF(HR_Data[[#This Row],[PercentSalaryHike]]&lt;=19,"17-19%","20-25%")))</f>
        <v>17-19%</v>
      </c>
      <c r="AP1003" s="1">
        <f>IF(HR_Data[[#This Row],[PercentSalaryHike]]&lt;=13,1,IF(HR_Data[[#This Row],[PercentSalaryHike]]&lt;=16,2,IF(HR_Data[[#This Row],[PercentSalaryHike]]&lt;=19,3,4)))</f>
        <v>3</v>
      </c>
      <c r="AQ1003" s="1" t="str">
        <f>IF(HR_Data[[#This Row],[DistanceFromHome]]&lt;=5,"1 to 5",IF(HR_Data[[#This Row],[DistanceFromHome]]&lt;=10,"6 to 10",IF(HR_Data[[#This Row],[DistanceFromHome]]&lt;=20,"11 to 20","21 to 29")))</f>
        <v>11 to 20</v>
      </c>
      <c r="AR1003" s="1">
        <f>IF(HR_Data[[#This Row],[DistanceFromHome]]&lt;=5,1,IF(HR_Data[[#This Row],[DistanceFromHome]]&lt;=10,2,IF(HR_Data[[#This Row],[DistanceFromHome]]&lt;=20,3,4)))</f>
        <v>3</v>
      </c>
      <c r="AS1003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003" s="1">
        <f>IF(HR_Data[[#This Row],[TotalWorkingYears]]&lt;=5,1,IF(HR_Data[[#This Row],[TotalWorkingYears]]&lt;=10,2,IF(HR_Data[[#This Row],[TotalWorkingYears]]&lt;=20,3,4)))</f>
        <v>2</v>
      </c>
    </row>
    <row r="1004" spans="1:46" x14ac:dyDescent="0.25">
      <c r="A1004">
        <v>35</v>
      </c>
      <c r="B1004" t="s">
        <v>36</v>
      </c>
      <c r="C1004" t="s">
        <v>37</v>
      </c>
      <c r="D1004" t="s">
        <v>38</v>
      </c>
      <c r="E1004">
        <v>18</v>
      </c>
      <c r="F1004">
        <v>2</v>
      </c>
      <c r="G1004" t="s">
        <v>32</v>
      </c>
      <c r="H1004">
        <v>1412</v>
      </c>
      <c r="I1004">
        <v>3</v>
      </c>
      <c r="J1004" t="s">
        <v>39</v>
      </c>
      <c r="K1004">
        <v>3</v>
      </c>
      <c r="L1004">
        <v>3</v>
      </c>
      <c r="M1004" t="s">
        <v>46</v>
      </c>
      <c r="N1004">
        <v>4</v>
      </c>
      <c r="O1004" t="s">
        <v>35</v>
      </c>
      <c r="P1004">
        <v>9362</v>
      </c>
      <c r="Q1004">
        <v>2</v>
      </c>
      <c r="R1004" t="s">
        <v>36</v>
      </c>
      <c r="S1004">
        <v>11</v>
      </c>
      <c r="T1004">
        <v>3</v>
      </c>
      <c r="U1004">
        <v>3</v>
      </c>
      <c r="V1004">
        <v>0</v>
      </c>
      <c r="W1004">
        <v>10</v>
      </c>
      <c r="X1004">
        <v>2</v>
      </c>
      <c r="Y1004">
        <v>3</v>
      </c>
      <c r="Z1004">
        <v>2</v>
      </c>
      <c r="AA1004">
        <v>2</v>
      </c>
      <c r="AB1004">
        <v>2</v>
      </c>
      <c r="AC1004">
        <v>2</v>
      </c>
      <c r="AD1004">
        <f>IF(HR_Data[[#This Row],[Attrition]]="Yes",1,0)</f>
        <v>0</v>
      </c>
      <c r="AE1004" t="str">
        <f>IF(HR_Data[[#This Row],[Age]]&lt;=25,"18-25",IF(HR_Data[[#This Row],[Age]]&lt;=35,"26-35",IF(HR_Data[[#This Row],[Age]]&lt;=45,"36-45",IF(HR_Data[[#This Row],[Age]]&lt;=55,"46-55","55+"))))</f>
        <v>26-35</v>
      </c>
      <c r="AF1004">
        <f>IF(HR_Data[[#This Row],[Age]]&lt;=25,1,IF(HR_Data[[#This Row],[Age]]&lt;=35,2,IF(HR_Data[[#This Row],[Age]]&lt;=45,3,IF(HR_Data[[#This Row],[Age]]&lt;=55,4,5))))</f>
        <v>2</v>
      </c>
      <c r="AG1004" s="1" t="str">
        <f>IF(HR_Data[[#This Row],[MonthlyIncome]]&lt;3000,"&lt;3K",IF(HR_Data[[#This Row],[MonthlyIncome]]&lt;6000,"3K-6K",IF(HR_Data[[#This Row],[MonthlyIncome]]&lt;10000,"6K-10K","10K+")))</f>
        <v>6K-10K</v>
      </c>
      <c r="AH1004" s="1">
        <f>IF(HR_Data[[#This Row],[MonthlyIncome]]&lt;3000,1,IF(HR_Data[[#This Row],[MonthlyIncome]]&lt;6000,2,IF(HR_Data[[#This Row],[MonthlyIncome]]&lt;10000,3,4)))</f>
        <v>3</v>
      </c>
      <c r="AI1004" s="1" t="str">
        <f>IF(HR_Data[[#This Row],[YearsAtCompany]]&lt;=2,"0-2 Yrs",IF(HR_Data[[#This Row],[YearsAtCompany]]&lt;=5,"3-5 Yrs",IF(HR_Data[[#This Row],[YearsAtCompany]]&lt;=10,"6-10 Yrs","10+ Yrs")))</f>
        <v>0-2 Yrs</v>
      </c>
      <c r="AJ1004" s="1">
        <f>IF(HR_Data[[#This Row],[YearsAtCompany]]&lt;=2,1,IF(HR_Data[[#This Row],[YearsAtCompany]]&lt;=5,2,IF(HR_Data[[#This Row],[YearsAtCompany]]&lt;=10,3,4)))</f>
        <v>1</v>
      </c>
      <c r="AK1004" s="1" t="str">
        <f>CHOOSE(HR_Data[[#This Row],[Education]],"Below College","College","Bachelor","Master","Doctor")</f>
        <v>College</v>
      </c>
      <c r="AL1004" s="1" t="str">
        <f>CHOOSE(HR_Data[[#This Row],[JobSatisfaction]],"Low","Medium","High","Very High")</f>
        <v>Very High</v>
      </c>
      <c r="AM1004" s="1" t="str">
        <f>CHOOSE(HR_Data[[#This Row],[EnvironmentSatisfaction]],"Low","Medium","High","Very High")</f>
        <v>High</v>
      </c>
      <c r="AN1004" s="1" t="str">
        <f>CHOOSE(HR_Data[[#This Row],[WorkLifeBalance]],"Bad","Good","Better","Best")</f>
        <v>Better</v>
      </c>
      <c r="AO1004" s="1" t="str">
        <f>IF(HR_Data[[#This Row],[PercentSalaryHike]]&lt;=13,"11-13%",IF(HR_Data[[#This Row],[PercentSalaryHike]]&lt;=16,"14-16%",IF(HR_Data[[#This Row],[PercentSalaryHike]]&lt;=19,"17-19%","20-25%")))</f>
        <v>11-13%</v>
      </c>
      <c r="AP1004" s="1">
        <f>IF(HR_Data[[#This Row],[PercentSalaryHike]]&lt;=13,1,IF(HR_Data[[#This Row],[PercentSalaryHike]]&lt;=16,2,IF(HR_Data[[#This Row],[PercentSalaryHike]]&lt;=19,3,4)))</f>
        <v>1</v>
      </c>
      <c r="AQ1004" s="1" t="str">
        <f>IF(HR_Data[[#This Row],[DistanceFromHome]]&lt;=5,"1 to 5",IF(HR_Data[[#This Row],[DistanceFromHome]]&lt;=10,"6 to 10",IF(HR_Data[[#This Row],[DistanceFromHome]]&lt;=20,"11 to 20","21 to 29")))</f>
        <v>11 to 20</v>
      </c>
      <c r="AR1004" s="1">
        <f>IF(HR_Data[[#This Row],[DistanceFromHome]]&lt;=5,1,IF(HR_Data[[#This Row],[DistanceFromHome]]&lt;=10,2,IF(HR_Data[[#This Row],[DistanceFromHome]]&lt;=20,3,4)))</f>
        <v>3</v>
      </c>
      <c r="AS1004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004" s="1">
        <f>IF(HR_Data[[#This Row],[TotalWorkingYears]]&lt;=5,1,IF(HR_Data[[#This Row],[TotalWorkingYears]]&lt;=10,2,IF(HR_Data[[#This Row],[TotalWorkingYears]]&lt;=20,3,4)))</f>
        <v>2</v>
      </c>
    </row>
    <row r="1005" spans="1:46" x14ac:dyDescent="0.25">
      <c r="A1005">
        <v>25</v>
      </c>
      <c r="B1005" t="s">
        <v>36</v>
      </c>
      <c r="C1005" t="s">
        <v>30</v>
      </c>
      <c r="D1005" t="s">
        <v>38</v>
      </c>
      <c r="E1005">
        <v>1</v>
      </c>
      <c r="F1005">
        <v>3</v>
      </c>
      <c r="G1005" t="s">
        <v>53</v>
      </c>
      <c r="H1005">
        <v>1415</v>
      </c>
      <c r="I1005">
        <v>1</v>
      </c>
      <c r="J1005" t="s">
        <v>39</v>
      </c>
      <c r="K1005">
        <v>3</v>
      </c>
      <c r="L1005">
        <v>1</v>
      </c>
      <c r="M1005" t="s">
        <v>43</v>
      </c>
      <c r="N1005">
        <v>4</v>
      </c>
      <c r="O1005" t="s">
        <v>41</v>
      </c>
      <c r="P1005">
        <v>3229</v>
      </c>
      <c r="Q1005">
        <v>4</v>
      </c>
      <c r="R1005" t="s">
        <v>36</v>
      </c>
      <c r="S1005">
        <v>11</v>
      </c>
      <c r="T1005">
        <v>3</v>
      </c>
      <c r="U1005">
        <v>2</v>
      </c>
      <c r="V1005">
        <v>1</v>
      </c>
      <c r="W1005">
        <v>7</v>
      </c>
      <c r="X1005">
        <v>2</v>
      </c>
      <c r="Y1005">
        <v>2</v>
      </c>
      <c r="Z1005">
        <v>3</v>
      </c>
      <c r="AA1005">
        <v>2</v>
      </c>
      <c r="AB1005">
        <v>0</v>
      </c>
      <c r="AC1005">
        <v>2</v>
      </c>
      <c r="AD1005">
        <f>IF(HR_Data[[#This Row],[Attrition]]="Yes",1,0)</f>
        <v>0</v>
      </c>
      <c r="AE1005" t="str">
        <f>IF(HR_Data[[#This Row],[Age]]&lt;=25,"18-25",IF(HR_Data[[#This Row],[Age]]&lt;=35,"26-35",IF(HR_Data[[#This Row],[Age]]&lt;=45,"36-45",IF(HR_Data[[#This Row],[Age]]&lt;=55,"46-55","55+"))))</f>
        <v>18-25</v>
      </c>
      <c r="AF1005">
        <f>IF(HR_Data[[#This Row],[Age]]&lt;=25,1,IF(HR_Data[[#This Row],[Age]]&lt;=35,2,IF(HR_Data[[#This Row],[Age]]&lt;=45,3,IF(HR_Data[[#This Row],[Age]]&lt;=55,4,5))))</f>
        <v>1</v>
      </c>
      <c r="AG1005" s="1" t="str">
        <f>IF(HR_Data[[#This Row],[MonthlyIncome]]&lt;3000,"&lt;3K",IF(HR_Data[[#This Row],[MonthlyIncome]]&lt;6000,"3K-6K",IF(HR_Data[[#This Row],[MonthlyIncome]]&lt;10000,"6K-10K","10K+")))</f>
        <v>3K-6K</v>
      </c>
      <c r="AH1005" s="1">
        <f>IF(HR_Data[[#This Row],[MonthlyIncome]]&lt;3000,1,IF(HR_Data[[#This Row],[MonthlyIncome]]&lt;6000,2,IF(HR_Data[[#This Row],[MonthlyIncome]]&lt;10000,3,4)))</f>
        <v>2</v>
      </c>
      <c r="AI1005" s="1" t="str">
        <f>IF(HR_Data[[#This Row],[YearsAtCompany]]&lt;=2,"0-2 Yrs",IF(HR_Data[[#This Row],[YearsAtCompany]]&lt;=5,"3-5 Yrs",IF(HR_Data[[#This Row],[YearsAtCompany]]&lt;=10,"6-10 Yrs","10+ Yrs")))</f>
        <v>3-5 Yrs</v>
      </c>
      <c r="AJ1005" s="1">
        <f>IF(HR_Data[[#This Row],[YearsAtCompany]]&lt;=2,1,IF(HR_Data[[#This Row],[YearsAtCompany]]&lt;=5,2,IF(HR_Data[[#This Row],[YearsAtCompany]]&lt;=10,3,4)))</f>
        <v>2</v>
      </c>
      <c r="AK1005" s="1" t="str">
        <f>CHOOSE(HR_Data[[#This Row],[Education]],"Below College","College","Bachelor","Master","Doctor")</f>
        <v>Bachelor</v>
      </c>
      <c r="AL1005" s="1" t="str">
        <f>CHOOSE(HR_Data[[#This Row],[JobSatisfaction]],"Low","Medium","High","Very High")</f>
        <v>Very High</v>
      </c>
      <c r="AM1005" s="1" t="str">
        <f>CHOOSE(HR_Data[[#This Row],[EnvironmentSatisfaction]],"Low","Medium","High","Very High")</f>
        <v>Low</v>
      </c>
      <c r="AN1005" s="1" t="str">
        <f>CHOOSE(HR_Data[[#This Row],[WorkLifeBalance]],"Bad","Good","Better","Best")</f>
        <v>Good</v>
      </c>
      <c r="AO1005" s="1" t="str">
        <f>IF(HR_Data[[#This Row],[PercentSalaryHike]]&lt;=13,"11-13%",IF(HR_Data[[#This Row],[PercentSalaryHike]]&lt;=16,"14-16%",IF(HR_Data[[#This Row],[PercentSalaryHike]]&lt;=19,"17-19%","20-25%")))</f>
        <v>11-13%</v>
      </c>
      <c r="AP1005" s="1">
        <f>IF(HR_Data[[#This Row],[PercentSalaryHike]]&lt;=13,1,IF(HR_Data[[#This Row],[PercentSalaryHike]]&lt;=16,2,IF(HR_Data[[#This Row],[PercentSalaryHike]]&lt;=19,3,4)))</f>
        <v>1</v>
      </c>
      <c r="AQ1005" s="1" t="str">
        <f>IF(HR_Data[[#This Row],[DistanceFromHome]]&lt;=5,"1 to 5",IF(HR_Data[[#This Row],[DistanceFromHome]]&lt;=10,"6 to 10",IF(HR_Data[[#This Row],[DistanceFromHome]]&lt;=20,"11 to 20","21 to 29")))</f>
        <v>1 to 5</v>
      </c>
      <c r="AR1005" s="1">
        <f>IF(HR_Data[[#This Row],[DistanceFromHome]]&lt;=5,1,IF(HR_Data[[#This Row],[DistanceFromHome]]&lt;=10,2,IF(HR_Data[[#This Row],[DistanceFromHome]]&lt;=20,3,4)))</f>
        <v>1</v>
      </c>
      <c r="AS1005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005" s="1">
        <f>IF(HR_Data[[#This Row],[TotalWorkingYears]]&lt;=5,1,IF(HR_Data[[#This Row],[TotalWorkingYears]]&lt;=10,2,IF(HR_Data[[#This Row],[TotalWorkingYears]]&lt;=20,3,4)))</f>
        <v>2</v>
      </c>
    </row>
    <row r="1006" spans="1:46" x14ac:dyDescent="0.25">
      <c r="A1006">
        <v>26</v>
      </c>
      <c r="B1006" t="s">
        <v>36</v>
      </c>
      <c r="C1006" t="s">
        <v>30</v>
      </c>
      <c r="D1006" t="s">
        <v>38</v>
      </c>
      <c r="E1006">
        <v>7</v>
      </c>
      <c r="F1006">
        <v>3</v>
      </c>
      <c r="G1006" t="s">
        <v>42</v>
      </c>
      <c r="H1006">
        <v>1417</v>
      </c>
      <c r="I1006">
        <v>3</v>
      </c>
      <c r="J1006" t="s">
        <v>39</v>
      </c>
      <c r="K1006">
        <v>4</v>
      </c>
      <c r="L1006">
        <v>1</v>
      </c>
      <c r="M1006" t="s">
        <v>43</v>
      </c>
      <c r="N1006">
        <v>1</v>
      </c>
      <c r="O1006" t="s">
        <v>35</v>
      </c>
      <c r="P1006">
        <v>3578</v>
      </c>
      <c r="Q1006">
        <v>0</v>
      </c>
      <c r="R1006" t="s">
        <v>36</v>
      </c>
      <c r="S1006">
        <v>12</v>
      </c>
      <c r="T1006">
        <v>3</v>
      </c>
      <c r="U1006">
        <v>4</v>
      </c>
      <c r="V1006">
        <v>0</v>
      </c>
      <c r="W1006">
        <v>8</v>
      </c>
      <c r="X1006">
        <v>2</v>
      </c>
      <c r="Y1006">
        <v>3</v>
      </c>
      <c r="Z1006">
        <v>7</v>
      </c>
      <c r="AA1006">
        <v>7</v>
      </c>
      <c r="AB1006">
        <v>0</v>
      </c>
      <c r="AC1006">
        <v>7</v>
      </c>
      <c r="AD1006">
        <f>IF(HR_Data[[#This Row],[Attrition]]="Yes",1,0)</f>
        <v>0</v>
      </c>
      <c r="AE1006" t="str">
        <f>IF(HR_Data[[#This Row],[Age]]&lt;=25,"18-25",IF(HR_Data[[#This Row],[Age]]&lt;=35,"26-35",IF(HR_Data[[#This Row],[Age]]&lt;=45,"36-45",IF(HR_Data[[#This Row],[Age]]&lt;=55,"46-55","55+"))))</f>
        <v>26-35</v>
      </c>
      <c r="AF1006">
        <f>IF(HR_Data[[#This Row],[Age]]&lt;=25,1,IF(HR_Data[[#This Row],[Age]]&lt;=35,2,IF(HR_Data[[#This Row],[Age]]&lt;=45,3,IF(HR_Data[[#This Row],[Age]]&lt;=55,4,5))))</f>
        <v>2</v>
      </c>
      <c r="AG1006" s="1" t="str">
        <f>IF(HR_Data[[#This Row],[MonthlyIncome]]&lt;3000,"&lt;3K",IF(HR_Data[[#This Row],[MonthlyIncome]]&lt;6000,"3K-6K",IF(HR_Data[[#This Row],[MonthlyIncome]]&lt;10000,"6K-10K","10K+")))</f>
        <v>3K-6K</v>
      </c>
      <c r="AH1006" s="1">
        <f>IF(HR_Data[[#This Row],[MonthlyIncome]]&lt;3000,1,IF(HR_Data[[#This Row],[MonthlyIncome]]&lt;6000,2,IF(HR_Data[[#This Row],[MonthlyIncome]]&lt;10000,3,4)))</f>
        <v>2</v>
      </c>
      <c r="AI1006" s="1" t="str">
        <f>IF(HR_Data[[#This Row],[YearsAtCompany]]&lt;=2,"0-2 Yrs",IF(HR_Data[[#This Row],[YearsAtCompany]]&lt;=5,"3-5 Yrs",IF(HR_Data[[#This Row],[YearsAtCompany]]&lt;=10,"6-10 Yrs","10+ Yrs")))</f>
        <v>6-10 Yrs</v>
      </c>
      <c r="AJ1006" s="1">
        <f>IF(HR_Data[[#This Row],[YearsAtCompany]]&lt;=2,1,IF(HR_Data[[#This Row],[YearsAtCompany]]&lt;=5,2,IF(HR_Data[[#This Row],[YearsAtCompany]]&lt;=10,3,4)))</f>
        <v>3</v>
      </c>
      <c r="AK1006" s="1" t="str">
        <f>CHOOSE(HR_Data[[#This Row],[Education]],"Below College","College","Bachelor","Master","Doctor")</f>
        <v>Bachelor</v>
      </c>
      <c r="AL1006" s="1" t="str">
        <f>CHOOSE(HR_Data[[#This Row],[JobSatisfaction]],"Low","Medium","High","Very High")</f>
        <v>Low</v>
      </c>
      <c r="AM1006" s="1" t="str">
        <f>CHOOSE(HR_Data[[#This Row],[EnvironmentSatisfaction]],"Low","Medium","High","Very High")</f>
        <v>High</v>
      </c>
      <c r="AN1006" s="1" t="str">
        <f>CHOOSE(HR_Data[[#This Row],[WorkLifeBalance]],"Bad","Good","Better","Best")</f>
        <v>Better</v>
      </c>
      <c r="AO1006" s="1" t="str">
        <f>IF(HR_Data[[#This Row],[PercentSalaryHike]]&lt;=13,"11-13%",IF(HR_Data[[#This Row],[PercentSalaryHike]]&lt;=16,"14-16%",IF(HR_Data[[#This Row],[PercentSalaryHike]]&lt;=19,"17-19%","20-25%")))</f>
        <v>11-13%</v>
      </c>
      <c r="AP1006" s="1">
        <f>IF(HR_Data[[#This Row],[PercentSalaryHike]]&lt;=13,1,IF(HR_Data[[#This Row],[PercentSalaryHike]]&lt;=16,2,IF(HR_Data[[#This Row],[PercentSalaryHike]]&lt;=19,3,4)))</f>
        <v>1</v>
      </c>
      <c r="AQ1006" s="1" t="str">
        <f>IF(HR_Data[[#This Row],[DistanceFromHome]]&lt;=5,"1 to 5",IF(HR_Data[[#This Row],[DistanceFromHome]]&lt;=10,"6 to 10",IF(HR_Data[[#This Row],[DistanceFromHome]]&lt;=20,"11 to 20","21 to 29")))</f>
        <v>6 to 10</v>
      </c>
      <c r="AR1006" s="1">
        <f>IF(HR_Data[[#This Row],[DistanceFromHome]]&lt;=5,1,IF(HR_Data[[#This Row],[DistanceFromHome]]&lt;=10,2,IF(HR_Data[[#This Row],[DistanceFromHome]]&lt;=20,3,4)))</f>
        <v>2</v>
      </c>
      <c r="AS1006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006" s="1">
        <f>IF(HR_Data[[#This Row],[TotalWorkingYears]]&lt;=5,1,IF(HR_Data[[#This Row],[TotalWorkingYears]]&lt;=10,2,IF(HR_Data[[#This Row],[TotalWorkingYears]]&lt;=20,3,4)))</f>
        <v>2</v>
      </c>
    </row>
    <row r="1007" spans="1:46" x14ac:dyDescent="0.25">
      <c r="A1007">
        <v>29</v>
      </c>
      <c r="B1007" t="s">
        <v>36</v>
      </c>
      <c r="C1007" t="s">
        <v>30</v>
      </c>
      <c r="D1007" t="s">
        <v>54</v>
      </c>
      <c r="E1007">
        <v>17</v>
      </c>
      <c r="F1007">
        <v>3</v>
      </c>
      <c r="G1007" t="s">
        <v>42</v>
      </c>
      <c r="H1007">
        <v>1419</v>
      </c>
      <c r="I1007">
        <v>2</v>
      </c>
      <c r="J1007" t="s">
        <v>39</v>
      </c>
      <c r="K1007">
        <v>2</v>
      </c>
      <c r="L1007">
        <v>3</v>
      </c>
      <c r="M1007" t="s">
        <v>54</v>
      </c>
      <c r="N1007">
        <v>1</v>
      </c>
      <c r="O1007" t="s">
        <v>35</v>
      </c>
      <c r="P1007">
        <v>7988</v>
      </c>
      <c r="Q1007">
        <v>1</v>
      </c>
      <c r="R1007" t="s">
        <v>36</v>
      </c>
      <c r="S1007">
        <v>13</v>
      </c>
      <c r="T1007">
        <v>3</v>
      </c>
      <c r="U1007">
        <v>1</v>
      </c>
      <c r="V1007">
        <v>0</v>
      </c>
      <c r="W1007">
        <v>10</v>
      </c>
      <c r="X1007">
        <v>3</v>
      </c>
      <c r="Y1007">
        <v>2</v>
      </c>
      <c r="Z1007">
        <v>10</v>
      </c>
      <c r="AA1007">
        <v>9</v>
      </c>
      <c r="AB1007">
        <v>0</v>
      </c>
      <c r="AC1007">
        <v>9</v>
      </c>
      <c r="AD1007">
        <f>IF(HR_Data[[#This Row],[Attrition]]="Yes",1,0)</f>
        <v>0</v>
      </c>
      <c r="AE1007" t="str">
        <f>IF(HR_Data[[#This Row],[Age]]&lt;=25,"18-25",IF(HR_Data[[#This Row],[Age]]&lt;=35,"26-35",IF(HR_Data[[#This Row],[Age]]&lt;=45,"36-45",IF(HR_Data[[#This Row],[Age]]&lt;=55,"46-55","55+"))))</f>
        <v>26-35</v>
      </c>
      <c r="AF1007">
        <f>IF(HR_Data[[#This Row],[Age]]&lt;=25,1,IF(HR_Data[[#This Row],[Age]]&lt;=35,2,IF(HR_Data[[#This Row],[Age]]&lt;=45,3,IF(HR_Data[[#This Row],[Age]]&lt;=55,4,5))))</f>
        <v>2</v>
      </c>
      <c r="AG1007" s="1" t="str">
        <f>IF(HR_Data[[#This Row],[MonthlyIncome]]&lt;3000,"&lt;3K",IF(HR_Data[[#This Row],[MonthlyIncome]]&lt;6000,"3K-6K",IF(HR_Data[[#This Row],[MonthlyIncome]]&lt;10000,"6K-10K","10K+")))</f>
        <v>6K-10K</v>
      </c>
      <c r="AH1007" s="1">
        <f>IF(HR_Data[[#This Row],[MonthlyIncome]]&lt;3000,1,IF(HR_Data[[#This Row],[MonthlyIncome]]&lt;6000,2,IF(HR_Data[[#This Row],[MonthlyIncome]]&lt;10000,3,4)))</f>
        <v>3</v>
      </c>
      <c r="AI1007" s="1" t="str">
        <f>IF(HR_Data[[#This Row],[YearsAtCompany]]&lt;=2,"0-2 Yrs",IF(HR_Data[[#This Row],[YearsAtCompany]]&lt;=5,"3-5 Yrs",IF(HR_Data[[#This Row],[YearsAtCompany]]&lt;=10,"6-10 Yrs","10+ Yrs")))</f>
        <v>6-10 Yrs</v>
      </c>
      <c r="AJ1007" s="1">
        <f>IF(HR_Data[[#This Row],[YearsAtCompany]]&lt;=2,1,IF(HR_Data[[#This Row],[YearsAtCompany]]&lt;=5,2,IF(HR_Data[[#This Row],[YearsAtCompany]]&lt;=10,3,4)))</f>
        <v>3</v>
      </c>
      <c r="AK1007" s="1" t="str">
        <f>CHOOSE(HR_Data[[#This Row],[Education]],"Below College","College","Bachelor","Master","Doctor")</f>
        <v>Bachelor</v>
      </c>
      <c r="AL1007" s="1" t="str">
        <f>CHOOSE(HR_Data[[#This Row],[JobSatisfaction]],"Low","Medium","High","Very High")</f>
        <v>Low</v>
      </c>
      <c r="AM1007" s="1" t="str">
        <f>CHOOSE(HR_Data[[#This Row],[EnvironmentSatisfaction]],"Low","Medium","High","Very High")</f>
        <v>Medium</v>
      </c>
      <c r="AN1007" s="1" t="str">
        <f>CHOOSE(HR_Data[[#This Row],[WorkLifeBalance]],"Bad","Good","Better","Best")</f>
        <v>Good</v>
      </c>
      <c r="AO1007" s="1" t="str">
        <f>IF(HR_Data[[#This Row],[PercentSalaryHike]]&lt;=13,"11-13%",IF(HR_Data[[#This Row],[PercentSalaryHike]]&lt;=16,"14-16%",IF(HR_Data[[#This Row],[PercentSalaryHike]]&lt;=19,"17-19%","20-25%")))</f>
        <v>11-13%</v>
      </c>
      <c r="AP1007" s="1">
        <f>IF(HR_Data[[#This Row],[PercentSalaryHike]]&lt;=13,1,IF(HR_Data[[#This Row],[PercentSalaryHike]]&lt;=16,2,IF(HR_Data[[#This Row],[PercentSalaryHike]]&lt;=19,3,4)))</f>
        <v>1</v>
      </c>
      <c r="AQ1007" s="1" t="str">
        <f>IF(HR_Data[[#This Row],[DistanceFromHome]]&lt;=5,"1 to 5",IF(HR_Data[[#This Row],[DistanceFromHome]]&lt;=10,"6 to 10",IF(HR_Data[[#This Row],[DistanceFromHome]]&lt;=20,"11 to 20","21 to 29")))</f>
        <v>11 to 20</v>
      </c>
      <c r="AR1007" s="1">
        <f>IF(HR_Data[[#This Row],[DistanceFromHome]]&lt;=5,1,IF(HR_Data[[#This Row],[DistanceFromHome]]&lt;=10,2,IF(HR_Data[[#This Row],[DistanceFromHome]]&lt;=20,3,4)))</f>
        <v>3</v>
      </c>
      <c r="AS1007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007" s="1">
        <f>IF(HR_Data[[#This Row],[TotalWorkingYears]]&lt;=5,1,IF(HR_Data[[#This Row],[TotalWorkingYears]]&lt;=10,2,IF(HR_Data[[#This Row],[TotalWorkingYears]]&lt;=20,3,4)))</f>
        <v>2</v>
      </c>
    </row>
    <row r="1008" spans="1:46" x14ac:dyDescent="0.25">
      <c r="A1008">
        <v>49</v>
      </c>
      <c r="B1008" t="s">
        <v>29</v>
      </c>
      <c r="C1008" t="s">
        <v>37</v>
      </c>
      <c r="D1008" t="s">
        <v>38</v>
      </c>
      <c r="E1008">
        <v>28</v>
      </c>
      <c r="F1008">
        <v>2</v>
      </c>
      <c r="G1008" t="s">
        <v>32</v>
      </c>
      <c r="H1008">
        <v>1420</v>
      </c>
      <c r="I1008">
        <v>1</v>
      </c>
      <c r="J1008" t="s">
        <v>39</v>
      </c>
      <c r="K1008">
        <v>2</v>
      </c>
      <c r="L1008">
        <v>2</v>
      </c>
      <c r="M1008" t="s">
        <v>43</v>
      </c>
      <c r="N1008">
        <v>1</v>
      </c>
      <c r="O1008" t="s">
        <v>35</v>
      </c>
      <c r="P1008">
        <v>4284</v>
      </c>
      <c r="Q1008">
        <v>3</v>
      </c>
      <c r="R1008" t="s">
        <v>36</v>
      </c>
      <c r="S1008">
        <v>20</v>
      </c>
      <c r="T1008">
        <v>4</v>
      </c>
      <c r="U1008">
        <v>1</v>
      </c>
      <c r="V1008">
        <v>0</v>
      </c>
      <c r="W1008">
        <v>20</v>
      </c>
      <c r="X1008">
        <v>2</v>
      </c>
      <c r="Y1008">
        <v>3</v>
      </c>
      <c r="Z1008">
        <v>4</v>
      </c>
      <c r="AA1008">
        <v>3</v>
      </c>
      <c r="AB1008">
        <v>1</v>
      </c>
      <c r="AC1008">
        <v>3</v>
      </c>
      <c r="AD1008">
        <f>IF(HR_Data[[#This Row],[Attrition]]="Yes",1,0)</f>
        <v>1</v>
      </c>
      <c r="AE1008" t="str">
        <f>IF(HR_Data[[#This Row],[Age]]&lt;=25,"18-25",IF(HR_Data[[#This Row],[Age]]&lt;=35,"26-35",IF(HR_Data[[#This Row],[Age]]&lt;=45,"36-45",IF(HR_Data[[#This Row],[Age]]&lt;=55,"46-55","55+"))))</f>
        <v>46-55</v>
      </c>
      <c r="AF1008">
        <f>IF(HR_Data[[#This Row],[Age]]&lt;=25,1,IF(HR_Data[[#This Row],[Age]]&lt;=35,2,IF(HR_Data[[#This Row],[Age]]&lt;=45,3,IF(HR_Data[[#This Row],[Age]]&lt;=55,4,5))))</f>
        <v>4</v>
      </c>
      <c r="AG1008" s="1" t="str">
        <f>IF(HR_Data[[#This Row],[MonthlyIncome]]&lt;3000,"&lt;3K",IF(HR_Data[[#This Row],[MonthlyIncome]]&lt;6000,"3K-6K",IF(HR_Data[[#This Row],[MonthlyIncome]]&lt;10000,"6K-10K","10K+")))</f>
        <v>3K-6K</v>
      </c>
      <c r="AH1008" s="1">
        <f>IF(HR_Data[[#This Row],[MonthlyIncome]]&lt;3000,1,IF(HR_Data[[#This Row],[MonthlyIncome]]&lt;6000,2,IF(HR_Data[[#This Row],[MonthlyIncome]]&lt;10000,3,4)))</f>
        <v>2</v>
      </c>
      <c r="AI1008" s="1" t="str">
        <f>IF(HR_Data[[#This Row],[YearsAtCompany]]&lt;=2,"0-2 Yrs",IF(HR_Data[[#This Row],[YearsAtCompany]]&lt;=5,"3-5 Yrs",IF(HR_Data[[#This Row],[YearsAtCompany]]&lt;=10,"6-10 Yrs","10+ Yrs")))</f>
        <v>3-5 Yrs</v>
      </c>
      <c r="AJ1008" s="1">
        <f>IF(HR_Data[[#This Row],[YearsAtCompany]]&lt;=2,1,IF(HR_Data[[#This Row],[YearsAtCompany]]&lt;=5,2,IF(HR_Data[[#This Row],[YearsAtCompany]]&lt;=10,3,4)))</f>
        <v>2</v>
      </c>
      <c r="AK1008" s="1" t="str">
        <f>CHOOSE(HR_Data[[#This Row],[Education]],"Below College","College","Bachelor","Master","Doctor")</f>
        <v>College</v>
      </c>
      <c r="AL1008" s="1" t="str">
        <f>CHOOSE(HR_Data[[#This Row],[JobSatisfaction]],"Low","Medium","High","Very High")</f>
        <v>Low</v>
      </c>
      <c r="AM1008" s="1" t="str">
        <f>CHOOSE(HR_Data[[#This Row],[EnvironmentSatisfaction]],"Low","Medium","High","Very High")</f>
        <v>Low</v>
      </c>
      <c r="AN1008" s="1" t="str">
        <f>CHOOSE(HR_Data[[#This Row],[WorkLifeBalance]],"Bad","Good","Better","Best")</f>
        <v>Better</v>
      </c>
      <c r="AO1008" s="1" t="str">
        <f>IF(HR_Data[[#This Row],[PercentSalaryHike]]&lt;=13,"11-13%",IF(HR_Data[[#This Row],[PercentSalaryHike]]&lt;=16,"14-16%",IF(HR_Data[[#This Row],[PercentSalaryHike]]&lt;=19,"17-19%","20-25%")))</f>
        <v>20-25%</v>
      </c>
      <c r="AP1008" s="1">
        <f>IF(HR_Data[[#This Row],[PercentSalaryHike]]&lt;=13,1,IF(HR_Data[[#This Row],[PercentSalaryHike]]&lt;=16,2,IF(HR_Data[[#This Row],[PercentSalaryHike]]&lt;=19,3,4)))</f>
        <v>4</v>
      </c>
      <c r="AQ1008" s="1" t="str">
        <f>IF(HR_Data[[#This Row],[DistanceFromHome]]&lt;=5,"1 to 5",IF(HR_Data[[#This Row],[DistanceFromHome]]&lt;=10,"6 to 10",IF(HR_Data[[#This Row],[DistanceFromHome]]&lt;=20,"11 to 20","21 to 29")))</f>
        <v>21 to 29</v>
      </c>
      <c r="AR1008" s="1">
        <f>IF(HR_Data[[#This Row],[DistanceFromHome]]&lt;=5,1,IF(HR_Data[[#This Row],[DistanceFromHome]]&lt;=10,2,IF(HR_Data[[#This Row],[DistanceFromHome]]&lt;=20,3,4)))</f>
        <v>4</v>
      </c>
      <c r="AS1008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008" s="1">
        <f>IF(HR_Data[[#This Row],[TotalWorkingYears]]&lt;=5,1,IF(HR_Data[[#This Row],[TotalWorkingYears]]&lt;=10,2,IF(HR_Data[[#This Row],[TotalWorkingYears]]&lt;=20,3,4)))</f>
        <v>3</v>
      </c>
    </row>
    <row r="1009" spans="1:46" x14ac:dyDescent="0.25">
      <c r="A1009">
        <v>29</v>
      </c>
      <c r="B1009" t="s">
        <v>29</v>
      </c>
      <c r="C1009" t="s">
        <v>37</v>
      </c>
      <c r="D1009" t="s">
        <v>38</v>
      </c>
      <c r="E1009">
        <v>14</v>
      </c>
      <c r="F1009">
        <v>1</v>
      </c>
      <c r="G1009" t="s">
        <v>42</v>
      </c>
      <c r="H1009">
        <v>1421</v>
      </c>
      <c r="I1009">
        <v>3</v>
      </c>
      <c r="J1009" t="s">
        <v>33</v>
      </c>
      <c r="K1009">
        <v>3</v>
      </c>
      <c r="L1009">
        <v>3</v>
      </c>
      <c r="M1009" t="s">
        <v>47</v>
      </c>
      <c r="N1009">
        <v>4</v>
      </c>
      <c r="O1009" t="s">
        <v>35</v>
      </c>
      <c r="P1009">
        <v>7553</v>
      </c>
      <c r="Q1009">
        <v>0</v>
      </c>
      <c r="R1009" t="s">
        <v>29</v>
      </c>
      <c r="S1009">
        <v>12</v>
      </c>
      <c r="T1009">
        <v>3</v>
      </c>
      <c r="U1009">
        <v>1</v>
      </c>
      <c r="V1009">
        <v>0</v>
      </c>
      <c r="W1009">
        <v>9</v>
      </c>
      <c r="X1009">
        <v>1</v>
      </c>
      <c r="Y1009">
        <v>3</v>
      </c>
      <c r="Z1009">
        <v>8</v>
      </c>
      <c r="AA1009">
        <v>7</v>
      </c>
      <c r="AB1009">
        <v>7</v>
      </c>
      <c r="AC1009">
        <v>7</v>
      </c>
      <c r="AD1009">
        <f>IF(HR_Data[[#This Row],[Attrition]]="Yes",1,0)</f>
        <v>1</v>
      </c>
      <c r="AE1009" t="str">
        <f>IF(HR_Data[[#This Row],[Age]]&lt;=25,"18-25",IF(HR_Data[[#This Row],[Age]]&lt;=35,"26-35",IF(HR_Data[[#This Row],[Age]]&lt;=45,"36-45",IF(HR_Data[[#This Row],[Age]]&lt;=55,"46-55","55+"))))</f>
        <v>26-35</v>
      </c>
      <c r="AF1009">
        <f>IF(HR_Data[[#This Row],[Age]]&lt;=25,1,IF(HR_Data[[#This Row],[Age]]&lt;=35,2,IF(HR_Data[[#This Row],[Age]]&lt;=45,3,IF(HR_Data[[#This Row],[Age]]&lt;=55,4,5))))</f>
        <v>2</v>
      </c>
      <c r="AG1009" s="1" t="str">
        <f>IF(HR_Data[[#This Row],[MonthlyIncome]]&lt;3000,"&lt;3K",IF(HR_Data[[#This Row],[MonthlyIncome]]&lt;6000,"3K-6K",IF(HR_Data[[#This Row],[MonthlyIncome]]&lt;10000,"6K-10K","10K+")))</f>
        <v>6K-10K</v>
      </c>
      <c r="AH1009" s="1">
        <f>IF(HR_Data[[#This Row],[MonthlyIncome]]&lt;3000,1,IF(HR_Data[[#This Row],[MonthlyIncome]]&lt;6000,2,IF(HR_Data[[#This Row],[MonthlyIncome]]&lt;10000,3,4)))</f>
        <v>3</v>
      </c>
      <c r="AI1009" s="1" t="str">
        <f>IF(HR_Data[[#This Row],[YearsAtCompany]]&lt;=2,"0-2 Yrs",IF(HR_Data[[#This Row],[YearsAtCompany]]&lt;=5,"3-5 Yrs",IF(HR_Data[[#This Row],[YearsAtCompany]]&lt;=10,"6-10 Yrs","10+ Yrs")))</f>
        <v>6-10 Yrs</v>
      </c>
      <c r="AJ1009" s="1">
        <f>IF(HR_Data[[#This Row],[YearsAtCompany]]&lt;=2,1,IF(HR_Data[[#This Row],[YearsAtCompany]]&lt;=5,2,IF(HR_Data[[#This Row],[YearsAtCompany]]&lt;=10,3,4)))</f>
        <v>3</v>
      </c>
      <c r="AK1009" s="1" t="str">
        <f>CHOOSE(HR_Data[[#This Row],[Education]],"Below College","College","Bachelor","Master","Doctor")</f>
        <v>Below College</v>
      </c>
      <c r="AL1009" s="1" t="str">
        <f>CHOOSE(HR_Data[[#This Row],[JobSatisfaction]],"Low","Medium","High","Very High")</f>
        <v>Very High</v>
      </c>
      <c r="AM1009" s="1" t="str">
        <f>CHOOSE(HR_Data[[#This Row],[EnvironmentSatisfaction]],"Low","Medium","High","Very High")</f>
        <v>High</v>
      </c>
      <c r="AN1009" s="1" t="str">
        <f>CHOOSE(HR_Data[[#This Row],[WorkLifeBalance]],"Bad","Good","Better","Best")</f>
        <v>Better</v>
      </c>
      <c r="AO1009" s="1" t="str">
        <f>IF(HR_Data[[#This Row],[PercentSalaryHike]]&lt;=13,"11-13%",IF(HR_Data[[#This Row],[PercentSalaryHike]]&lt;=16,"14-16%",IF(HR_Data[[#This Row],[PercentSalaryHike]]&lt;=19,"17-19%","20-25%")))</f>
        <v>11-13%</v>
      </c>
      <c r="AP1009" s="1">
        <f>IF(HR_Data[[#This Row],[PercentSalaryHike]]&lt;=13,1,IF(HR_Data[[#This Row],[PercentSalaryHike]]&lt;=16,2,IF(HR_Data[[#This Row],[PercentSalaryHike]]&lt;=19,3,4)))</f>
        <v>1</v>
      </c>
      <c r="AQ1009" s="1" t="str">
        <f>IF(HR_Data[[#This Row],[DistanceFromHome]]&lt;=5,"1 to 5",IF(HR_Data[[#This Row],[DistanceFromHome]]&lt;=10,"6 to 10",IF(HR_Data[[#This Row],[DistanceFromHome]]&lt;=20,"11 to 20","21 to 29")))</f>
        <v>11 to 20</v>
      </c>
      <c r="AR1009" s="1">
        <f>IF(HR_Data[[#This Row],[DistanceFromHome]]&lt;=5,1,IF(HR_Data[[#This Row],[DistanceFromHome]]&lt;=10,2,IF(HR_Data[[#This Row],[DistanceFromHome]]&lt;=20,3,4)))</f>
        <v>3</v>
      </c>
      <c r="AS1009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009" s="1">
        <f>IF(HR_Data[[#This Row],[TotalWorkingYears]]&lt;=5,1,IF(HR_Data[[#This Row],[TotalWorkingYears]]&lt;=10,2,IF(HR_Data[[#This Row],[TotalWorkingYears]]&lt;=20,3,4)))</f>
        <v>2</v>
      </c>
    </row>
    <row r="1010" spans="1:46" x14ac:dyDescent="0.25">
      <c r="A1010">
        <v>54</v>
      </c>
      <c r="B1010" t="s">
        <v>36</v>
      </c>
      <c r="C1010" t="s">
        <v>30</v>
      </c>
      <c r="D1010" t="s">
        <v>38</v>
      </c>
      <c r="E1010">
        <v>1</v>
      </c>
      <c r="F1010">
        <v>3</v>
      </c>
      <c r="G1010" t="s">
        <v>44</v>
      </c>
      <c r="H1010">
        <v>1422</v>
      </c>
      <c r="I1010">
        <v>4</v>
      </c>
      <c r="J1010" t="s">
        <v>33</v>
      </c>
      <c r="K1010">
        <v>3</v>
      </c>
      <c r="L1010">
        <v>4</v>
      </c>
      <c r="M1010" t="s">
        <v>51</v>
      </c>
      <c r="N1010">
        <v>4</v>
      </c>
      <c r="O1010" t="s">
        <v>35</v>
      </c>
      <c r="P1010">
        <v>17328</v>
      </c>
      <c r="Q1010">
        <v>6</v>
      </c>
      <c r="R1010" t="s">
        <v>36</v>
      </c>
      <c r="S1010">
        <v>19</v>
      </c>
      <c r="T1010">
        <v>3</v>
      </c>
      <c r="U1010">
        <v>4</v>
      </c>
      <c r="V1010">
        <v>0</v>
      </c>
      <c r="W1010">
        <v>29</v>
      </c>
      <c r="X1010">
        <v>3</v>
      </c>
      <c r="Y1010">
        <v>2</v>
      </c>
      <c r="Z1010">
        <v>20</v>
      </c>
      <c r="AA1010">
        <v>7</v>
      </c>
      <c r="AB1010">
        <v>12</v>
      </c>
      <c r="AC1010">
        <v>7</v>
      </c>
      <c r="AD1010">
        <f>IF(HR_Data[[#This Row],[Attrition]]="Yes",1,0)</f>
        <v>0</v>
      </c>
      <c r="AE1010" t="str">
        <f>IF(HR_Data[[#This Row],[Age]]&lt;=25,"18-25",IF(HR_Data[[#This Row],[Age]]&lt;=35,"26-35",IF(HR_Data[[#This Row],[Age]]&lt;=45,"36-45",IF(HR_Data[[#This Row],[Age]]&lt;=55,"46-55","55+"))))</f>
        <v>46-55</v>
      </c>
      <c r="AF1010">
        <f>IF(HR_Data[[#This Row],[Age]]&lt;=25,1,IF(HR_Data[[#This Row],[Age]]&lt;=35,2,IF(HR_Data[[#This Row],[Age]]&lt;=45,3,IF(HR_Data[[#This Row],[Age]]&lt;=55,4,5))))</f>
        <v>4</v>
      </c>
      <c r="AG1010" s="1" t="str">
        <f>IF(HR_Data[[#This Row],[MonthlyIncome]]&lt;3000,"&lt;3K",IF(HR_Data[[#This Row],[MonthlyIncome]]&lt;6000,"3K-6K",IF(HR_Data[[#This Row],[MonthlyIncome]]&lt;10000,"6K-10K","10K+")))</f>
        <v>10K+</v>
      </c>
      <c r="AH1010" s="1">
        <f>IF(HR_Data[[#This Row],[MonthlyIncome]]&lt;3000,1,IF(HR_Data[[#This Row],[MonthlyIncome]]&lt;6000,2,IF(HR_Data[[#This Row],[MonthlyIncome]]&lt;10000,3,4)))</f>
        <v>4</v>
      </c>
      <c r="AI1010" s="1" t="str">
        <f>IF(HR_Data[[#This Row],[YearsAtCompany]]&lt;=2,"0-2 Yrs",IF(HR_Data[[#This Row],[YearsAtCompany]]&lt;=5,"3-5 Yrs",IF(HR_Data[[#This Row],[YearsAtCompany]]&lt;=10,"6-10 Yrs","10+ Yrs")))</f>
        <v>10+ Yrs</v>
      </c>
      <c r="AJ1010" s="1">
        <f>IF(HR_Data[[#This Row],[YearsAtCompany]]&lt;=2,1,IF(HR_Data[[#This Row],[YearsAtCompany]]&lt;=5,2,IF(HR_Data[[#This Row],[YearsAtCompany]]&lt;=10,3,4)))</f>
        <v>4</v>
      </c>
      <c r="AK1010" s="1" t="str">
        <f>CHOOSE(HR_Data[[#This Row],[Education]],"Below College","College","Bachelor","Master","Doctor")</f>
        <v>Bachelor</v>
      </c>
      <c r="AL1010" s="1" t="str">
        <f>CHOOSE(HR_Data[[#This Row],[JobSatisfaction]],"Low","Medium","High","Very High")</f>
        <v>Very High</v>
      </c>
      <c r="AM1010" s="1" t="str">
        <f>CHOOSE(HR_Data[[#This Row],[EnvironmentSatisfaction]],"Low","Medium","High","Very High")</f>
        <v>Very High</v>
      </c>
      <c r="AN1010" s="1" t="str">
        <f>CHOOSE(HR_Data[[#This Row],[WorkLifeBalance]],"Bad","Good","Better","Best")</f>
        <v>Good</v>
      </c>
      <c r="AO1010" s="1" t="str">
        <f>IF(HR_Data[[#This Row],[PercentSalaryHike]]&lt;=13,"11-13%",IF(HR_Data[[#This Row],[PercentSalaryHike]]&lt;=16,"14-16%",IF(HR_Data[[#This Row],[PercentSalaryHike]]&lt;=19,"17-19%","20-25%")))</f>
        <v>17-19%</v>
      </c>
      <c r="AP1010" s="1">
        <f>IF(HR_Data[[#This Row],[PercentSalaryHike]]&lt;=13,1,IF(HR_Data[[#This Row],[PercentSalaryHike]]&lt;=16,2,IF(HR_Data[[#This Row],[PercentSalaryHike]]&lt;=19,3,4)))</f>
        <v>3</v>
      </c>
      <c r="AQ1010" s="1" t="str">
        <f>IF(HR_Data[[#This Row],[DistanceFromHome]]&lt;=5,"1 to 5",IF(HR_Data[[#This Row],[DistanceFromHome]]&lt;=10,"6 to 10",IF(HR_Data[[#This Row],[DistanceFromHome]]&lt;=20,"11 to 20","21 to 29")))</f>
        <v>1 to 5</v>
      </c>
      <c r="AR1010" s="1">
        <f>IF(HR_Data[[#This Row],[DistanceFromHome]]&lt;=5,1,IF(HR_Data[[#This Row],[DistanceFromHome]]&lt;=10,2,IF(HR_Data[[#This Row],[DistanceFromHome]]&lt;=20,3,4)))</f>
        <v>1</v>
      </c>
      <c r="AS1010" s="1" t="str">
        <f>IF(HR_Data[[#This Row],[TotalWorkingYears]]&lt;=5,"0-5 Yrs",IF(HR_Data[[#This Row],[TotalWorkingYears]]&lt;=10,"6-10 Yrs",IF(HR_Data[[#This Row],[TotalWorkingYears]]&lt;=20,"11-20 Yrs","20+ Yrs")))</f>
        <v>20+ Yrs</v>
      </c>
      <c r="AT1010" s="1">
        <f>IF(HR_Data[[#This Row],[TotalWorkingYears]]&lt;=5,1,IF(HR_Data[[#This Row],[TotalWorkingYears]]&lt;=10,2,IF(HR_Data[[#This Row],[TotalWorkingYears]]&lt;=20,3,4)))</f>
        <v>4</v>
      </c>
    </row>
    <row r="1011" spans="1:46" x14ac:dyDescent="0.25">
      <c r="A1011">
        <v>58</v>
      </c>
      <c r="B1011" t="s">
        <v>36</v>
      </c>
      <c r="C1011" t="s">
        <v>30</v>
      </c>
      <c r="D1011" t="s">
        <v>38</v>
      </c>
      <c r="E1011">
        <v>1</v>
      </c>
      <c r="F1011">
        <v>3</v>
      </c>
      <c r="G1011" t="s">
        <v>44</v>
      </c>
      <c r="H1011">
        <v>1423</v>
      </c>
      <c r="I1011">
        <v>4</v>
      </c>
      <c r="J1011" t="s">
        <v>33</v>
      </c>
      <c r="K1011">
        <v>3</v>
      </c>
      <c r="L1011">
        <v>5</v>
      </c>
      <c r="M1011" t="s">
        <v>51</v>
      </c>
      <c r="N1011">
        <v>1</v>
      </c>
      <c r="O1011" t="s">
        <v>41</v>
      </c>
      <c r="P1011">
        <v>19701</v>
      </c>
      <c r="Q1011">
        <v>3</v>
      </c>
      <c r="R1011" t="s">
        <v>29</v>
      </c>
      <c r="S1011">
        <v>21</v>
      </c>
      <c r="T1011">
        <v>4</v>
      </c>
      <c r="U1011">
        <v>3</v>
      </c>
      <c r="V1011">
        <v>1</v>
      </c>
      <c r="W1011">
        <v>32</v>
      </c>
      <c r="X1011">
        <v>3</v>
      </c>
      <c r="Y1011">
        <v>3</v>
      </c>
      <c r="Z1011">
        <v>9</v>
      </c>
      <c r="AA1011">
        <v>8</v>
      </c>
      <c r="AB1011">
        <v>1</v>
      </c>
      <c r="AC1011">
        <v>5</v>
      </c>
      <c r="AD1011">
        <f>IF(HR_Data[[#This Row],[Attrition]]="Yes",1,0)</f>
        <v>0</v>
      </c>
      <c r="AE1011" t="str">
        <f>IF(HR_Data[[#This Row],[Age]]&lt;=25,"18-25",IF(HR_Data[[#This Row],[Age]]&lt;=35,"26-35",IF(HR_Data[[#This Row],[Age]]&lt;=45,"36-45",IF(HR_Data[[#This Row],[Age]]&lt;=55,"46-55","55+"))))</f>
        <v>55+</v>
      </c>
      <c r="AF1011">
        <f>IF(HR_Data[[#This Row],[Age]]&lt;=25,1,IF(HR_Data[[#This Row],[Age]]&lt;=35,2,IF(HR_Data[[#This Row],[Age]]&lt;=45,3,IF(HR_Data[[#This Row],[Age]]&lt;=55,4,5))))</f>
        <v>5</v>
      </c>
      <c r="AG1011" s="1" t="str">
        <f>IF(HR_Data[[#This Row],[MonthlyIncome]]&lt;3000,"&lt;3K",IF(HR_Data[[#This Row],[MonthlyIncome]]&lt;6000,"3K-6K",IF(HR_Data[[#This Row],[MonthlyIncome]]&lt;10000,"6K-10K","10K+")))</f>
        <v>10K+</v>
      </c>
      <c r="AH1011" s="1">
        <f>IF(HR_Data[[#This Row],[MonthlyIncome]]&lt;3000,1,IF(HR_Data[[#This Row],[MonthlyIncome]]&lt;6000,2,IF(HR_Data[[#This Row],[MonthlyIncome]]&lt;10000,3,4)))</f>
        <v>4</v>
      </c>
      <c r="AI1011" s="1" t="str">
        <f>IF(HR_Data[[#This Row],[YearsAtCompany]]&lt;=2,"0-2 Yrs",IF(HR_Data[[#This Row],[YearsAtCompany]]&lt;=5,"3-5 Yrs",IF(HR_Data[[#This Row],[YearsAtCompany]]&lt;=10,"6-10 Yrs","10+ Yrs")))</f>
        <v>6-10 Yrs</v>
      </c>
      <c r="AJ1011" s="1">
        <f>IF(HR_Data[[#This Row],[YearsAtCompany]]&lt;=2,1,IF(HR_Data[[#This Row],[YearsAtCompany]]&lt;=5,2,IF(HR_Data[[#This Row],[YearsAtCompany]]&lt;=10,3,4)))</f>
        <v>3</v>
      </c>
      <c r="AK1011" s="1" t="str">
        <f>CHOOSE(HR_Data[[#This Row],[Education]],"Below College","College","Bachelor","Master","Doctor")</f>
        <v>Bachelor</v>
      </c>
      <c r="AL1011" s="1" t="str">
        <f>CHOOSE(HR_Data[[#This Row],[JobSatisfaction]],"Low","Medium","High","Very High")</f>
        <v>Low</v>
      </c>
      <c r="AM1011" s="1" t="str">
        <f>CHOOSE(HR_Data[[#This Row],[EnvironmentSatisfaction]],"Low","Medium","High","Very High")</f>
        <v>Very High</v>
      </c>
      <c r="AN1011" s="1" t="str">
        <f>CHOOSE(HR_Data[[#This Row],[WorkLifeBalance]],"Bad","Good","Better","Best")</f>
        <v>Better</v>
      </c>
      <c r="AO1011" s="1" t="str">
        <f>IF(HR_Data[[#This Row],[PercentSalaryHike]]&lt;=13,"11-13%",IF(HR_Data[[#This Row],[PercentSalaryHike]]&lt;=16,"14-16%",IF(HR_Data[[#This Row],[PercentSalaryHike]]&lt;=19,"17-19%","20-25%")))</f>
        <v>20-25%</v>
      </c>
      <c r="AP1011" s="1">
        <f>IF(HR_Data[[#This Row],[PercentSalaryHike]]&lt;=13,1,IF(HR_Data[[#This Row],[PercentSalaryHike]]&lt;=16,2,IF(HR_Data[[#This Row],[PercentSalaryHike]]&lt;=19,3,4)))</f>
        <v>4</v>
      </c>
      <c r="AQ1011" s="1" t="str">
        <f>IF(HR_Data[[#This Row],[DistanceFromHome]]&lt;=5,"1 to 5",IF(HR_Data[[#This Row],[DistanceFromHome]]&lt;=10,"6 to 10",IF(HR_Data[[#This Row],[DistanceFromHome]]&lt;=20,"11 to 20","21 to 29")))</f>
        <v>1 to 5</v>
      </c>
      <c r="AR1011" s="1">
        <f>IF(HR_Data[[#This Row],[DistanceFromHome]]&lt;=5,1,IF(HR_Data[[#This Row],[DistanceFromHome]]&lt;=10,2,IF(HR_Data[[#This Row],[DistanceFromHome]]&lt;=20,3,4)))</f>
        <v>1</v>
      </c>
      <c r="AS1011" s="1" t="str">
        <f>IF(HR_Data[[#This Row],[TotalWorkingYears]]&lt;=5,"0-5 Yrs",IF(HR_Data[[#This Row],[TotalWorkingYears]]&lt;=10,"6-10 Yrs",IF(HR_Data[[#This Row],[TotalWorkingYears]]&lt;=20,"11-20 Yrs","20+ Yrs")))</f>
        <v>20+ Yrs</v>
      </c>
      <c r="AT1011" s="1">
        <f>IF(HR_Data[[#This Row],[TotalWorkingYears]]&lt;=5,1,IF(HR_Data[[#This Row],[TotalWorkingYears]]&lt;=10,2,IF(HR_Data[[#This Row],[TotalWorkingYears]]&lt;=20,3,4)))</f>
        <v>4</v>
      </c>
    </row>
    <row r="1012" spans="1:46" x14ac:dyDescent="0.25">
      <c r="A1012">
        <v>55</v>
      </c>
      <c r="B1012" t="s">
        <v>36</v>
      </c>
      <c r="C1012" t="s">
        <v>30</v>
      </c>
      <c r="D1012" t="s">
        <v>38</v>
      </c>
      <c r="E1012">
        <v>1</v>
      </c>
      <c r="F1012">
        <v>4</v>
      </c>
      <c r="G1012" t="s">
        <v>44</v>
      </c>
      <c r="H1012">
        <v>1424</v>
      </c>
      <c r="I1012">
        <v>2</v>
      </c>
      <c r="J1012" t="s">
        <v>39</v>
      </c>
      <c r="K1012">
        <v>4</v>
      </c>
      <c r="L1012">
        <v>4</v>
      </c>
      <c r="M1012" t="s">
        <v>51</v>
      </c>
      <c r="N1012">
        <v>4</v>
      </c>
      <c r="O1012" t="s">
        <v>45</v>
      </c>
      <c r="P1012">
        <v>14732</v>
      </c>
      <c r="Q1012">
        <v>2</v>
      </c>
      <c r="R1012" t="s">
        <v>36</v>
      </c>
      <c r="S1012">
        <v>13</v>
      </c>
      <c r="T1012">
        <v>3</v>
      </c>
      <c r="U1012">
        <v>4</v>
      </c>
      <c r="V1012">
        <v>2</v>
      </c>
      <c r="W1012">
        <v>31</v>
      </c>
      <c r="X1012">
        <v>4</v>
      </c>
      <c r="Y1012">
        <v>4</v>
      </c>
      <c r="Z1012">
        <v>7</v>
      </c>
      <c r="AA1012">
        <v>7</v>
      </c>
      <c r="AB1012">
        <v>0</v>
      </c>
      <c r="AC1012">
        <v>0</v>
      </c>
      <c r="AD1012">
        <f>IF(HR_Data[[#This Row],[Attrition]]="Yes",1,0)</f>
        <v>0</v>
      </c>
      <c r="AE1012" t="str">
        <f>IF(HR_Data[[#This Row],[Age]]&lt;=25,"18-25",IF(HR_Data[[#This Row],[Age]]&lt;=35,"26-35",IF(HR_Data[[#This Row],[Age]]&lt;=45,"36-45",IF(HR_Data[[#This Row],[Age]]&lt;=55,"46-55","55+"))))</f>
        <v>46-55</v>
      </c>
      <c r="AF1012">
        <f>IF(HR_Data[[#This Row],[Age]]&lt;=25,1,IF(HR_Data[[#This Row],[Age]]&lt;=35,2,IF(HR_Data[[#This Row],[Age]]&lt;=45,3,IF(HR_Data[[#This Row],[Age]]&lt;=55,4,5))))</f>
        <v>4</v>
      </c>
      <c r="AG1012" s="1" t="str">
        <f>IF(HR_Data[[#This Row],[MonthlyIncome]]&lt;3000,"&lt;3K",IF(HR_Data[[#This Row],[MonthlyIncome]]&lt;6000,"3K-6K",IF(HR_Data[[#This Row],[MonthlyIncome]]&lt;10000,"6K-10K","10K+")))</f>
        <v>10K+</v>
      </c>
      <c r="AH1012" s="1">
        <f>IF(HR_Data[[#This Row],[MonthlyIncome]]&lt;3000,1,IF(HR_Data[[#This Row],[MonthlyIncome]]&lt;6000,2,IF(HR_Data[[#This Row],[MonthlyIncome]]&lt;10000,3,4)))</f>
        <v>4</v>
      </c>
      <c r="AI1012" s="1" t="str">
        <f>IF(HR_Data[[#This Row],[YearsAtCompany]]&lt;=2,"0-2 Yrs",IF(HR_Data[[#This Row],[YearsAtCompany]]&lt;=5,"3-5 Yrs",IF(HR_Data[[#This Row],[YearsAtCompany]]&lt;=10,"6-10 Yrs","10+ Yrs")))</f>
        <v>6-10 Yrs</v>
      </c>
      <c r="AJ1012" s="1">
        <f>IF(HR_Data[[#This Row],[YearsAtCompany]]&lt;=2,1,IF(HR_Data[[#This Row],[YearsAtCompany]]&lt;=5,2,IF(HR_Data[[#This Row],[YearsAtCompany]]&lt;=10,3,4)))</f>
        <v>3</v>
      </c>
      <c r="AK1012" s="1" t="str">
        <f>CHOOSE(HR_Data[[#This Row],[Education]],"Below College","College","Bachelor","Master","Doctor")</f>
        <v>Master</v>
      </c>
      <c r="AL1012" s="1" t="str">
        <f>CHOOSE(HR_Data[[#This Row],[JobSatisfaction]],"Low","Medium","High","Very High")</f>
        <v>Very High</v>
      </c>
      <c r="AM1012" s="1" t="str">
        <f>CHOOSE(HR_Data[[#This Row],[EnvironmentSatisfaction]],"Low","Medium","High","Very High")</f>
        <v>Medium</v>
      </c>
      <c r="AN1012" s="1" t="str">
        <f>CHOOSE(HR_Data[[#This Row],[WorkLifeBalance]],"Bad","Good","Better","Best")</f>
        <v>Best</v>
      </c>
      <c r="AO1012" s="1" t="str">
        <f>IF(HR_Data[[#This Row],[PercentSalaryHike]]&lt;=13,"11-13%",IF(HR_Data[[#This Row],[PercentSalaryHike]]&lt;=16,"14-16%",IF(HR_Data[[#This Row],[PercentSalaryHike]]&lt;=19,"17-19%","20-25%")))</f>
        <v>11-13%</v>
      </c>
      <c r="AP1012" s="1">
        <f>IF(HR_Data[[#This Row],[PercentSalaryHike]]&lt;=13,1,IF(HR_Data[[#This Row],[PercentSalaryHike]]&lt;=16,2,IF(HR_Data[[#This Row],[PercentSalaryHike]]&lt;=19,3,4)))</f>
        <v>1</v>
      </c>
      <c r="AQ1012" s="1" t="str">
        <f>IF(HR_Data[[#This Row],[DistanceFromHome]]&lt;=5,"1 to 5",IF(HR_Data[[#This Row],[DistanceFromHome]]&lt;=10,"6 to 10",IF(HR_Data[[#This Row],[DistanceFromHome]]&lt;=20,"11 to 20","21 to 29")))</f>
        <v>1 to 5</v>
      </c>
      <c r="AR1012" s="1">
        <f>IF(HR_Data[[#This Row],[DistanceFromHome]]&lt;=5,1,IF(HR_Data[[#This Row],[DistanceFromHome]]&lt;=10,2,IF(HR_Data[[#This Row],[DistanceFromHome]]&lt;=20,3,4)))</f>
        <v>1</v>
      </c>
      <c r="AS1012" s="1" t="str">
        <f>IF(HR_Data[[#This Row],[TotalWorkingYears]]&lt;=5,"0-5 Yrs",IF(HR_Data[[#This Row],[TotalWorkingYears]]&lt;=10,"6-10 Yrs",IF(HR_Data[[#This Row],[TotalWorkingYears]]&lt;=20,"11-20 Yrs","20+ Yrs")))</f>
        <v>20+ Yrs</v>
      </c>
      <c r="AT1012" s="1">
        <f>IF(HR_Data[[#This Row],[TotalWorkingYears]]&lt;=5,1,IF(HR_Data[[#This Row],[TotalWorkingYears]]&lt;=10,2,IF(HR_Data[[#This Row],[TotalWorkingYears]]&lt;=20,3,4)))</f>
        <v>4</v>
      </c>
    </row>
    <row r="1013" spans="1:46" x14ac:dyDescent="0.25">
      <c r="A1013">
        <v>36</v>
      </c>
      <c r="B1013" t="s">
        <v>36</v>
      </c>
      <c r="C1013" t="s">
        <v>30</v>
      </c>
      <c r="D1013" t="s">
        <v>31</v>
      </c>
      <c r="E1013">
        <v>3</v>
      </c>
      <c r="F1013">
        <v>4</v>
      </c>
      <c r="G1013" t="s">
        <v>52</v>
      </c>
      <c r="H1013">
        <v>1425</v>
      </c>
      <c r="I1013">
        <v>1</v>
      </c>
      <c r="J1013" t="s">
        <v>33</v>
      </c>
      <c r="K1013">
        <v>3</v>
      </c>
      <c r="L1013">
        <v>2</v>
      </c>
      <c r="M1013" t="s">
        <v>34</v>
      </c>
      <c r="N1013">
        <v>2</v>
      </c>
      <c r="O1013" t="s">
        <v>35</v>
      </c>
      <c r="P1013">
        <v>9278</v>
      </c>
      <c r="Q1013">
        <v>3</v>
      </c>
      <c r="R1013" t="s">
        <v>29</v>
      </c>
      <c r="S1013">
        <v>16</v>
      </c>
      <c r="T1013">
        <v>3</v>
      </c>
      <c r="U1013">
        <v>4</v>
      </c>
      <c r="V1013">
        <v>0</v>
      </c>
      <c r="W1013">
        <v>15</v>
      </c>
      <c r="X1013">
        <v>3</v>
      </c>
      <c r="Y1013">
        <v>3</v>
      </c>
      <c r="Z1013">
        <v>5</v>
      </c>
      <c r="AA1013">
        <v>4</v>
      </c>
      <c r="AB1013">
        <v>0</v>
      </c>
      <c r="AC1013">
        <v>1</v>
      </c>
      <c r="AD1013">
        <f>IF(HR_Data[[#This Row],[Attrition]]="Yes",1,0)</f>
        <v>0</v>
      </c>
      <c r="AE1013" t="str">
        <f>IF(HR_Data[[#This Row],[Age]]&lt;=25,"18-25",IF(HR_Data[[#This Row],[Age]]&lt;=35,"26-35",IF(HR_Data[[#This Row],[Age]]&lt;=45,"36-45",IF(HR_Data[[#This Row],[Age]]&lt;=55,"46-55","55+"))))</f>
        <v>36-45</v>
      </c>
      <c r="AF1013">
        <f>IF(HR_Data[[#This Row],[Age]]&lt;=25,1,IF(HR_Data[[#This Row],[Age]]&lt;=35,2,IF(HR_Data[[#This Row],[Age]]&lt;=45,3,IF(HR_Data[[#This Row],[Age]]&lt;=55,4,5))))</f>
        <v>3</v>
      </c>
      <c r="AG1013" s="1" t="str">
        <f>IF(HR_Data[[#This Row],[MonthlyIncome]]&lt;3000,"&lt;3K",IF(HR_Data[[#This Row],[MonthlyIncome]]&lt;6000,"3K-6K",IF(HR_Data[[#This Row],[MonthlyIncome]]&lt;10000,"6K-10K","10K+")))</f>
        <v>6K-10K</v>
      </c>
      <c r="AH1013" s="1">
        <f>IF(HR_Data[[#This Row],[MonthlyIncome]]&lt;3000,1,IF(HR_Data[[#This Row],[MonthlyIncome]]&lt;6000,2,IF(HR_Data[[#This Row],[MonthlyIncome]]&lt;10000,3,4)))</f>
        <v>3</v>
      </c>
      <c r="AI1013" s="1" t="str">
        <f>IF(HR_Data[[#This Row],[YearsAtCompany]]&lt;=2,"0-2 Yrs",IF(HR_Data[[#This Row],[YearsAtCompany]]&lt;=5,"3-5 Yrs",IF(HR_Data[[#This Row],[YearsAtCompany]]&lt;=10,"6-10 Yrs","10+ Yrs")))</f>
        <v>3-5 Yrs</v>
      </c>
      <c r="AJ1013" s="1">
        <f>IF(HR_Data[[#This Row],[YearsAtCompany]]&lt;=2,1,IF(HR_Data[[#This Row],[YearsAtCompany]]&lt;=5,2,IF(HR_Data[[#This Row],[YearsAtCompany]]&lt;=10,3,4)))</f>
        <v>2</v>
      </c>
      <c r="AK1013" s="1" t="str">
        <f>CHOOSE(HR_Data[[#This Row],[Education]],"Below College","College","Bachelor","Master","Doctor")</f>
        <v>Master</v>
      </c>
      <c r="AL1013" s="1" t="str">
        <f>CHOOSE(HR_Data[[#This Row],[JobSatisfaction]],"Low","Medium","High","Very High")</f>
        <v>Medium</v>
      </c>
      <c r="AM1013" s="1" t="str">
        <f>CHOOSE(HR_Data[[#This Row],[EnvironmentSatisfaction]],"Low","Medium","High","Very High")</f>
        <v>Low</v>
      </c>
      <c r="AN1013" s="1" t="str">
        <f>CHOOSE(HR_Data[[#This Row],[WorkLifeBalance]],"Bad","Good","Better","Best")</f>
        <v>Better</v>
      </c>
      <c r="AO1013" s="1" t="str">
        <f>IF(HR_Data[[#This Row],[PercentSalaryHike]]&lt;=13,"11-13%",IF(HR_Data[[#This Row],[PercentSalaryHike]]&lt;=16,"14-16%",IF(HR_Data[[#This Row],[PercentSalaryHike]]&lt;=19,"17-19%","20-25%")))</f>
        <v>14-16%</v>
      </c>
      <c r="AP1013" s="1">
        <f>IF(HR_Data[[#This Row],[PercentSalaryHike]]&lt;=13,1,IF(HR_Data[[#This Row],[PercentSalaryHike]]&lt;=16,2,IF(HR_Data[[#This Row],[PercentSalaryHike]]&lt;=19,3,4)))</f>
        <v>2</v>
      </c>
      <c r="AQ1013" s="1" t="str">
        <f>IF(HR_Data[[#This Row],[DistanceFromHome]]&lt;=5,"1 to 5",IF(HR_Data[[#This Row],[DistanceFromHome]]&lt;=10,"6 to 10",IF(HR_Data[[#This Row],[DistanceFromHome]]&lt;=20,"11 to 20","21 to 29")))</f>
        <v>1 to 5</v>
      </c>
      <c r="AR1013" s="1">
        <f>IF(HR_Data[[#This Row],[DistanceFromHome]]&lt;=5,1,IF(HR_Data[[#This Row],[DistanceFromHome]]&lt;=10,2,IF(HR_Data[[#This Row],[DistanceFromHome]]&lt;=20,3,4)))</f>
        <v>1</v>
      </c>
      <c r="AS1013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013" s="1">
        <f>IF(HR_Data[[#This Row],[TotalWorkingYears]]&lt;=5,1,IF(HR_Data[[#This Row],[TotalWorkingYears]]&lt;=10,2,IF(HR_Data[[#This Row],[TotalWorkingYears]]&lt;=20,3,4)))</f>
        <v>3</v>
      </c>
    </row>
    <row r="1014" spans="1:46" x14ac:dyDescent="0.25">
      <c r="A1014">
        <v>31</v>
      </c>
      <c r="B1014" t="s">
        <v>29</v>
      </c>
      <c r="C1014" t="s">
        <v>37</v>
      </c>
      <c r="D1014" t="s">
        <v>31</v>
      </c>
      <c r="E1014">
        <v>1</v>
      </c>
      <c r="F1014">
        <v>4</v>
      </c>
      <c r="G1014" t="s">
        <v>32</v>
      </c>
      <c r="H1014">
        <v>1427</v>
      </c>
      <c r="I1014">
        <v>2</v>
      </c>
      <c r="J1014" t="s">
        <v>33</v>
      </c>
      <c r="K1014">
        <v>1</v>
      </c>
      <c r="L1014">
        <v>1</v>
      </c>
      <c r="M1014" t="s">
        <v>50</v>
      </c>
      <c r="N1014">
        <v>3</v>
      </c>
      <c r="O1014" t="s">
        <v>35</v>
      </c>
      <c r="P1014">
        <v>1359</v>
      </c>
      <c r="Q1014">
        <v>1</v>
      </c>
      <c r="R1014" t="s">
        <v>36</v>
      </c>
      <c r="S1014">
        <v>12</v>
      </c>
      <c r="T1014">
        <v>3</v>
      </c>
      <c r="U1014">
        <v>2</v>
      </c>
      <c r="V1014">
        <v>0</v>
      </c>
      <c r="W1014">
        <v>1</v>
      </c>
      <c r="X1014">
        <v>3</v>
      </c>
      <c r="Y1014">
        <v>3</v>
      </c>
      <c r="Z1014">
        <v>1</v>
      </c>
      <c r="AA1014">
        <v>0</v>
      </c>
      <c r="AB1014">
        <v>0</v>
      </c>
      <c r="AC1014">
        <v>0</v>
      </c>
      <c r="AD1014">
        <f>IF(HR_Data[[#This Row],[Attrition]]="Yes",1,0)</f>
        <v>1</v>
      </c>
      <c r="AE1014" t="str">
        <f>IF(HR_Data[[#This Row],[Age]]&lt;=25,"18-25",IF(HR_Data[[#This Row],[Age]]&lt;=35,"26-35",IF(HR_Data[[#This Row],[Age]]&lt;=45,"36-45",IF(HR_Data[[#This Row],[Age]]&lt;=55,"46-55","55+"))))</f>
        <v>26-35</v>
      </c>
      <c r="AF1014">
        <f>IF(HR_Data[[#This Row],[Age]]&lt;=25,1,IF(HR_Data[[#This Row],[Age]]&lt;=35,2,IF(HR_Data[[#This Row],[Age]]&lt;=45,3,IF(HR_Data[[#This Row],[Age]]&lt;=55,4,5))))</f>
        <v>2</v>
      </c>
      <c r="AG1014" s="1" t="str">
        <f>IF(HR_Data[[#This Row],[MonthlyIncome]]&lt;3000,"&lt;3K",IF(HR_Data[[#This Row],[MonthlyIncome]]&lt;6000,"3K-6K",IF(HR_Data[[#This Row],[MonthlyIncome]]&lt;10000,"6K-10K","10K+")))</f>
        <v>&lt;3K</v>
      </c>
      <c r="AH1014" s="1">
        <f>IF(HR_Data[[#This Row],[MonthlyIncome]]&lt;3000,1,IF(HR_Data[[#This Row],[MonthlyIncome]]&lt;6000,2,IF(HR_Data[[#This Row],[MonthlyIncome]]&lt;10000,3,4)))</f>
        <v>1</v>
      </c>
      <c r="AI1014" s="1" t="str">
        <f>IF(HR_Data[[#This Row],[YearsAtCompany]]&lt;=2,"0-2 Yrs",IF(HR_Data[[#This Row],[YearsAtCompany]]&lt;=5,"3-5 Yrs",IF(HR_Data[[#This Row],[YearsAtCompany]]&lt;=10,"6-10 Yrs","10+ Yrs")))</f>
        <v>0-2 Yrs</v>
      </c>
      <c r="AJ1014" s="1">
        <f>IF(HR_Data[[#This Row],[YearsAtCompany]]&lt;=2,1,IF(HR_Data[[#This Row],[YearsAtCompany]]&lt;=5,2,IF(HR_Data[[#This Row],[YearsAtCompany]]&lt;=10,3,4)))</f>
        <v>1</v>
      </c>
      <c r="AK1014" s="1" t="str">
        <f>CHOOSE(HR_Data[[#This Row],[Education]],"Below College","College","Bachelor","Master","Doctor")</f>
        <v>Master</v>
      </c>
      <c r="AL1014" s="1" t="str">
        <f>CHOOSE(HR_Data[[#This Row],[JobSatisfaction]],"Low","Medium","High","Very High")</f>
        <v>High</v>
      </c>
      <c r="AM1014" s="1" t="str">
        <f>CHOOSE(HR_Data[[#This Row],[EnvironmentSatisfaction]],"Low","Medium","High","Very High")</f>
        <v>Medium</v>
      </c>
      <c r="AN1014" s="1" t="str">
        <f>CHOOSE(HR_Data[[#This Row],[WorkLifeBalance]],"Bad","Good","Better","Best")</f>
        <v>Better</v>
      </c>
      <c r="AO1014" s="1" t="str">
        <f>IF(HR_Data[[#This Row],[PercentSalaryHike]]&lt;=13,"11-13%",IF(HR_Data[[#This Row],[PercentSalaryHike]]&lt;=16,"14-16%",IF(HR_Data[[#This Row],[PercentSalaryHike]]&lt;=19,"17-19%","20-25%")))</f>
        <v>11-13%</v>
      </c>
      <c r="AP1014" s="1">
        <f>IF(HR_Data[[#This Row],[PercentSalaryHike]]&lt;=13,1,IF(HR_Data[[#This Row],[PercentSalaryHike]]&lt;=16,2,IF(HR_Data[[#This Row],[PercentSalaryHike]]&lt;=19,3,4)))</f>
        <v>1</v>
      </c>
      <c r="AQ1014" s="1" t="str">
        <f>IF(HR_Data[[#This Row],[DistanceFromHome]]&lt;=5,"1 to 5",IF(HR_Data[[#This Row],[DistanceFromHome]]&lt;=10,"6 to 10",IF(HR_Data[[#This Row],[DistanceFromHome]]&lt;=20,"11 to 20","21 to 29")))</f>
        <v>1 to 5</v>
      </c>
      <c r="AR1014" s="1">
        <f>IF(HR_Data[[#This Row],[DistanceFromHome]]&lt;=5,1,IF(HR_Data[[#This Row],[DistanceFromHome]]&lt;=10,2,IF(HR_Data[[#This Row],[DistanceFromHome]]&lt;=20,3,4)))</f>
        <v>1</v>
      </c>
      <c r="AS1014" s="1" t="str">
        <f>IF(HR_Data[[#This Row],[TotalWorkingYears]]&lt;=5,"0-5 Yrs",IF(HR_Data[[#This Row],[TotalWorkingYears]]&lt;=10,"6-10 Yrs",IF(HR_Data[[#This Row],[TotalWorkingYears]]&lt;=20,"11-20 Yrs","20+ Yrs")))</f>
        <v>0-5 Yrs</v>
      </c>
      <c r="AT1014" s="1">
        <f>IF(HR_Data[[#This Row],[TotalWorkingYears]]&lt;=5,1,IF(HR_Data[[#This Row],[TotalWorkingYears]]&lt;=10,2,IF(HR_Data[[#This Row],[TotalWorkingYears]]&lt;=20,3,4)))</f>
        <v>1</v>
      </c>
    </row>
    <row r="1015" spans="1:46" x14ac:dyDescent="0.25">
      <c r="A1015">
        <v>30</v>
      </c>
      <c r="B1015" t="s">
        <v>36</v>
      </c>
      <c r="C1015" t="s">
        <v>30</v>
      </c>
      <c r="D1015" t="s">
        <v>31</v>
      </c>
      <c r="E1015">
        <v>7</v>
      </c>
      <c r="F1015">
        <v>4</v>
      </c>
      <c r="G1015" t="s">
        <v>52</v>
      </c>
      <c r="H1015">
        <v>1428</v>
      </c>
      <c r="I1015">
        <v>4</v>
      </c>
      <c r="J1015" t="s">
        <v>33</v>
      </c>
      <c r="K1015">
        <v>3</v>
      </c>
      <c r="L1015">
        <v>2</v>
      </c>
      <c r="M1015" t="s">
        <v>34</v>
      </c>
      <c r="N1015">
        <v>1</v>
      </c>
      <c r="O1015" t="s">
        <v>45</v>
      </c>
      <c r="P1015">
        <v>4779</v>
      </c>
      <c r="Q1015">
        <v>7</v>
      </c>
      <c r="R1015" t="s">
        <v>36</v>
      </c>
      <c r="S1015">
        <v>14</v>
      </c>
      <c r="T1015">
        <v>3</v>
      </c>
      <c r="U1015">
        <v>2</v>
      </c>
      <c r="V1015">
        <v>2</v>
      </c>
      <c r="W1015">
        <v>8</v>
      </c>
      <c r="X1015">
        <v>3</v>
      </c>
      <c r="Y1015">
        <v>3</v>
      </c>
      <c r="Z1015">
        <v>3</v>
      </c>
      <c r="AA1015">
        <v>2</v>
      </c>
      <c r="AB1015">
        <v>0</v>
      </c>
      <c r="AC1015">
        <v>2</v>
      </c>
      <c r="AD1015">
        <f>IF(HR_Data[[#This Row],[Attrition]]="Yes",1,0)</f>
        <v>0</v>
      </c>
      <c r="AE1015" t="str">
        <f>IF(HR_Data[[#This Row],[Age]]&lt;=25,"18-25",IF(HR_Data[[#This Row],[Age]]&lt;=35,"26-35",IF(HR_Data[[#This Row],[Age]]&lt;=45,"36-45",IF(HR_Data[[#This Row],[Age]]&lt;=55,"46-55","55+"))))</f>
        <v>26-35</v>
      </c>
      <c r="AF1015">
        <f>IF(HR_Data[[#This Row],[Age]]&lt;=25,1,IF(HR_Data[[#This Row],[Age]]&lt;=35,2,IF(HR_Data[[#This Row],[Age]]&lt;=45,3,IF(HR_Data[[#This Row],[Age]]&lt;=55,4,5))))</f>
        <v>2</v>
      </c>
      <c r="AG1015" s="1" t="str">
        <f>IF(HR_Data[[#This Row],[MonthlyIncome]]&lt;3000,"&lt;3K",IF(HR_Data[[#This Row],[MonthlyIncome]]&lt;6000,"3K-6K",IF(HR_Data[[#This Row],[MonthlyIncome]]&lt;10000,"6K-10K","10K+")))</f>
        <v>3K-6K</v>
      </c>
      <c r="AH1015" s="1">
        <f>IF(HR_Data[[#This Row],[MonthlyIncome]]&lt;3000,1,IF(HR_Data[[#This Row],[MonthlyIncome]]&lt;6000,2,IF(HR_Data[[#This Row],[MonthlyIncome]]&lt;10000,3,4)))</f>
        <v>2</v>
      </c>
      <c r="AI1015" s="1" t="str">
        <f>IF(HR_Data[[#This Row],[YearsAtCompany]]&lt;=2,"0-2 Yrs",IF(HR_Data[[#This Row],[YearsAtCompany]]&lt;=5,"3-5 Yrs",IF(HR_Data[[#This Row],[YearsAtCompany]]&lt;=10,"6-10 Yrs","10+ Yrs")))</f>
        <v>3-5 Yrs</v>
      </c>
      <c r="AJ1015" s="1">
        <f>IF(HR_Data[[#This Row],[YearsAtCompany]]&lt;=2,1,IF(HR_Data[[#This Row],[YearsAtCompany]]&lt;=5,2,IF(HR_Data[[#This Row],[YearsAtCompany]]&lt;=10,3,4)))</f>
        <v>2</v>
      </c>
      <c r="AK1015" s="1" t="str">
        <f>CHOOSE(HR_Data[[#This Row],[Education]],"Below College","College","Bachelor","Master","Doctor")</f>
        <v>Master</v>
      </c>
      <c r="AL1015" s="1" t="str">
        <f>CHOOSE(HR_Data[[#This Row],[JobSatisfaction]],"Low","Medium","High","Very High")</f>
        <v>Low</v>
      </c>
      <c r="AM1015" s="1" t="str">
        <f>CHOOSE(HR_Data[[#This Row],[EnvironmentSatisfaction]],"Low","Medium","High","Very High")</f>
        <v>Very High</v>
      </c>
      <c r="AN1015" s="1" t="str">
        <f>CHOOSE(HR_Data[[#This Row],[WorkLifeBalance]],"Bad","Good","Better","Best")</f>
        <v>Better</v>
      </c>
      <c r="AO1015" s="1" t="str">
        <f>IF(HR_Data[[#This Row],[PercentSalaryHike]]&lt;=13,"11-13%",IF(HR_Data[[#This Row],[PercentSalaryHike]]&lt;=16,"14-16%",IF(HR_Data[[#This Row],[PercentSalaryHike]]&lt;=19,"17-19%","20-25%")))</f>
        <v>14-16%</v>
      </c>
      <c r="AP1015" s="1">
        <f>IF(HR_Data[[#This Row],[PercentSalaryHike]]&lt;=13,1,IF(HR_Data[[#This Row],[PercentSalaryHike]]&lt;=16,2,IF(HR_Data[[#This Row],[PercentSalaryHike]]&lt;=19,3,4)))</f>
        <v>2</v>
      </c>
      <c r="AQ1015" s="1" t="str">
        <f>IF(HR_Data[[#This Row],[DistanceFromHome]]&lt;=5,"1 to 5",IF(HR_Data[[#This Row],[DistanceFromHome]]&lt;=10,"6 to 10",IF(HR_Data[[#This Row],[DistanceFromHome]]&lt;=20,"11 to 20","21 to 29")))</f>
        <v>6 to 10</v>
      </c>
      <c r="AR1015" s="1">
        <f>IF(HR_Data[[#This Row],[DistanceFromHome]]&lt;=5,1,IF(HR_Data[[#This Row],[DistanceFromHome]]&lt;=10,2,IF(HR_Data[[#This Row],[DistanceFromHome]]&lt;=20,3,4)))</f>
        <v>2</v>
      </c>
      <c r="AS1015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015" s="1">
        <f>IF(HR_Data[[#This Row],[TotalWorkingYears]]&lt;=5,1,IF(HR_Data[[#This Row],[TotalWorkingYears]]&lt;=10,2,IF(HR_Data[[#This Row],[TotalWorkingYears]]&lt;=20,3,4)))</f>
        <v>2</v>
      </c>
    </row>
    <row r="1016" spans="1:46" x14ac:dyDescent="0.25">
      <c r="A1016">
        <v>31</v>
      </c>
      <c r="B1016" t="s">
        <v>36</v>
      </c>
      <c r="C1016" t="s">
        <v>30</v>
      </c>
      <c r="D1016" t="s">
        <v>38</v>
      </c>
      <c r="E1016">
        <v>8</v>
      </c>
      <c r="F1016">
        <v>5</v>
      </c>
      <c r="G1016" t="s">
        <v>32</v>
      </c>
      <c r="H1016">
        <v>1430</v>
      </c>
      <c r="I1016">
        <v>1</v>
      </c>
      <c r="J1016" t="s">
        <v>33</v>
      </c>
      <c r="K1016">
        <v>3</v>
      </c>
      <c r="L1016">
        <v>4</v>
      </c>
      <c r="M1016" t="s">
        <v>51</v>
      </c>
      <c r="N1016">
        <v>2</v>
      </c>
      <c r="O1016" t="s">
        <v>35</v>
      </c>
      <c r="P1016">
        <v>16422</v>
      </c>
      <c r="Q1016">
        <v>3</v>
      </c>
      <c r="R1016" t="s">
        <v>36</v>
      </c>
      <c r="S1016">
        <v>11</v>
      </c>
      <c r="T1016">
        <v>3</v>
      </c>
      <c r="U1016">
        <v>3</v>
      </c>
      <c r="V1016">
        <v>0</v>
      </c>
      <c r="W1016">
        <v>9</v>
      </c>
      <c r="X1016">
        <v>3</v>
      </c>
      <c r="Y1016">
        <v>4</v>
      </c>
      <c r="Z1016">
        <v>3</v>
      </c>
      <c r="AA1016">
        <v>2</v>
      </c>
      <c r="AB1016">
        <v>1</v>
      </c>
      <c r="AC1016">
        <v>0</v>
      </c>
      <c r="AD1016">
        <f>IF(HR_Data[[#This Row],[Attrition]]="Yes",1,0)</f>
        <v>0</v>
      </c>
      <c r="AE1016" t="str">
        <f>IF(HR_Data[[#This Row],[Age]]&lt;=25,"18-25",IF(HR_Data[[#This Row],[Age]]&lt;=35,"26-35",IF(HR_Data[[#This Row],[Age]]&lt;=45,"36-45",IF(HR_Data[[#This Row],[Age]]&lt;=55,"46-55","55+"))))</f>
        <v>26-35</v>
      </c>
      <c r="AF1016">
        <f>IF(HR_Data[[#This Row],[Age]]&lt;=25,1,IF(HR_Data[[#This Row],[Age]]&lt;=35,2,IF(HR_Data[[#This Row],[Age]]&lt;=45,3,IF(HR_Data[[#This Row],[Age]]&lt;=55,4,5))))</f>
        <v>2</v>
      </c>
      <c r="AG1016" s="1" t="str">
        <f>IF(HR_Data[[#This Row],[MonthlyIncome]]&lt;3000,"&lt;3K",IF(HR_Data[[#This Row],[MonthlyIncome]]&lt;6000,"3K-6K",IF(HR_Data[[#This Row],[MonthlyIncome]]&lt;10000,"6K-10K","10K+")))</f>
        <v>10K+</v>
      </c>
      <c r="AH1016" s="1">
        <f>IF(HR_Data[[#This Row],[MonthlyIncome]]&lt;3000,1,IF(HR_Data[[#This Row],[MonthlyIncome]]&lt;6000,2,IF(HR_Data[[#This Row],[MonthlyIncome]]&lt;10000,3,4)))</f>
        <v>4</v>
      </c>
      <c r="AI1016" s="1" t="str">
        <f>IF(HR_Data[[#This Row],[YearsAtCompany]]&lt;=2,"0-2 Yrs",IF(HR_Data[[#This Row],[YearsAtCompany]]&lt;=5,"3-5 Yrs",IF(HR_Data[[#This Row],[YearsAtCompany]]&lt;=10,"6-10 Yrs","10+ Yrs")))</f>
        <v>3-5 Yrs</v>
      </c>
      <c r="AJ1016" s="1">
        <f>IF(HR_Data[[#This Row],[YearsAtCompany]]&lt;=2,1,IF(HR_Data[[#This Row],[YearsAtCompany]]&lt;=5,2,IF(HR_Data[[#This Row],[YearsAtCompany]]&lt;=10,3,4)))</f>
        <v>2</v>
      </c>
      <c r="AK1016" s="1" t="str">
        <f>CHOOSE(HR_Data[[#This Row],[Education]],"Below College","College","Bachelor","Master","Doctor")</f>
        <v>Doctor</v>
      </c>
      <c r="AL1016" s="1" t="str">
        <f>CHOOSE(HR_Data[[#This Row],[JobSatisfaction]],"Low","Medium","High","Very High")</f>
        <v>Medium</v>
      </c>
      <c r="AM1016" s="1" t="str">
        <f>CHOOSE(HR_Data[[#This Row],[EnvironmentSatisfaction]],"Low","Medium","High","Very High")</f>
        <v>Low</v>
      </c>
      <c r="AN1016" s="1" t="str">
        <f>CHOOSE(HR_Data[[#This Row],[WorkLifeBalance]],"Bad","Good","Better","Best")</f>
        <v>Best</v>
      </c>
      <c r="AO1016" s="1" t="str">
        <f>IF(HR_Data[[#This Row],[PercentSalaryHike]]&lt;=13,"11-13%",IF(HR_Data[[#This Row],[PercentSalaryHike]]&lt;=16,"14-16%",IF(HR_Data[[#This Row],[PercentSalaryHike]]&lt;=19,"17-19%","20-25%")))</f>
        <v>11-13%</v>
      </c>
      <c r="AP1016" s="1">
        <f>IF(HR_Data[[#This Row],[PercentSalaryHike]]&lt;=13,1,IF(HR_Data[[#This Row],[PercentSalaryHike]]&lt;=16,2,IF(HR_Data[[#This Row],[PercentSalaryHike]]&lt;=19,3,4)))</f>
        <v>1</v>
      </c>
      <c r="AQ1016" s="1" t="str">
        <f>IF(HR_Data[[#This Row],[DistanceFromHome]]&lt;=5,"1 to 5",IF(HR_Data[[#This Row],[DistanceFromHome]]&lt;=10,"6 to 10",IF(HR_Data[[#This Row],[DistanceFromHome]]&lt;=20,"11 to 20","21 to 29")))</f>
        <v>6 to 10</v>
      </c>
      <c r="AR1016" s="1">
        <f>IF(HR_Data[[#This Row],[DistanceFromHome]]&lt;=5,1,IF(HR_Data[[#This Row],[DistanceFromHome]]&lt;=10,2,IF(HR_Data[[#This Row],[DistanceFromHome]]&lt;=20,3,4)))</f>
        <v>2</v>
      </c>
      <c r="AS1016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016" s="1">
        <f>IF(HR_Data[[#This Row],[TotalWorkingYears]]&lt;=5,1,IF(HR_Data[[#This Row],[TotalWorkingYears]]&lt;=10,2,IF(HR_Data[[#This Row],[TotalWorkingYears]]&lt;=20,3,4)))</f>
        <v>2</v>
      </c>
    </row>
    <row r="1017" spans="1:46" x14ac:dyDescent="0.25">
      <c r="A1017">
        <v>34</v>
      </c>
      <c r="B1017" t="s">
        <v>36</v>
      </c>
      <c r="C1017" t="s">
        <v>37</v>
      </c>
      <c r="D1017" t="s">
        <v>38</v>
      </c>
      <c r="E1017">
        <v>1</v>
      </c>
      <c r="F1017">
        <v>4</v>
      </c>
      <c r="G1017" t="s">
        <v>42</v>
      </c>
      <c r="H1017">
        <v>1431</v>
      </c>
      <c r="I1017">
        <v>4</v>
      </c>
      <c r="J1017" t="s">
        <v>39</v>
      </c>
      <c r="K1017">
        <v>3</v>
      </c>
      <c r="L1017">
        <v>1</v>
      </c>
      <c r="M1017" t="s">
        <v>40</v>
      </c>
      <c r="N1017">
        <v>1</v>
      </c>
      <c r="O1017" t="s">
        <v>45</v>
      </c>
      <c r="P1017">
        <v>2996</v>
      </c>
      <c r="Q1017">
        <v>5</v>
      </c>
      <c r="R1017" t="s">
        <v>36</v>
      </c>
      <c r="S1017">
        <v>14</v>
      </c>
      <c r="T1017">
        <v>3</v>
      </c>
      <c r="U1017">
        <v>3</v>
      </c>
      <c r="V1017">
        <v>2</v>
      </c>
      <c r="W1017">
        <v>10</v>
      </c>
      <c r="X1017">
        <v>2</v>
      </c>
      <c r="Y1017">
        <v>3</v>
      </c>
      <c r="Z1017">
        <v>4</v>
      </c>
      <c r="AA1017">
        <v>3</v>
      </c>
      <c r="AB1017">
        <v>1</v>
      </c>
      <c r="AC1017">
        <v>3</v>
      </c>
      <c r="AD1017">
        <f>IF(HR_Data[[#This Row],[Attrition]]="Yes",1,0)</f>
        <v>0</v>
      </c>
      <c r="AE1017" t="str">
        <f>IF(HR_Data[[#This Row],[Age]]&lt;=25,"18-25",IF(HR_Data[[#This Row],[Age]]&lt;=35,"26-35",IF(HR_Data[[#This Row],[Age]]&lt;=45,"36-45",IF(HR_Data[[#This Row],[Age]]&lt;=55,"46-55","55+"))))</f>
        <v>26-35</v>
      </c>
      <c r="AF1017">
        <f>IF(HR_Data[[#This Row],[Age]]&lt;=25,1,IF(HR_Data[[#This Row],[Age]]&lt;=35,2,IF(HR_Data[[#This Row],[Age]]&lt;=45,3,IF(HR_Data[[#This Row],[Age]]&lt;=55,4,5))))</f>
        <v>2</v>
      </c>
      <c r="AG1017" s="1" t="str">
        <f>IF(HR_Data[[#This Row],[MonthlyIncome]]&lt;3000,"&lt;3K",IF(HR_Data[[#This Row],[MonthlyIncome]]&lt;6000,"3K-6K",IF(HR_Data[[#This Row],[MonthlyIncome]]&lt;10000,"6K-10K","10K+")))</f>
        <v>&lt;3K</v>
      </c>
      <c r="AH1017" s="1">
        <f>IF(HR_Data[[#This Row],[MonthlyIncome]]&lt;3000,1,IF(HR_Data[[#This Row],[MonthlyIncome]]&lt;6000,2,IF(HR_Data[[#This Row],[MonthlyIncome]]&lt;10000,3,4)))</f>
        <v>1</v>
      </c>
      <c r="AI1017" s="1" t="str">
        <f>IF(HR_Data[[#This Row],[YearsAtCompany]]&lt;=2,"0-2 Yrs",IF(HR_Data[[#This Row],[YearsAtCompany]]&lt;=5,"3-5 Yrs",IF(HR_Data[[#This Row],[YearsAtCompany]]&lt;=10,"6-10 Yrs","10+ Yrs")))</f>
        <v>3-5 Yrs</v>
      </c>
      <c r="AJ1017" s="1">
        <f>IF(HR_Data[[#This Row],[YearsAtCompany]]&lt;=2,1,IF(HR_Data[[#This Row],[YearsAtCompany]]&lt;=5,2,IF(HR_Data[[#This Row],[YearsAtCompany]]&lt;=10,3,4)))</f>
        <v>2</v>
      </c>
      <c r="AK1017" s="1" t="str">
        <f>CHOOSE(HR_Data[[#This Row],[Education]],"Below College","College","Bachelor","Master","Doctor")</f>
        <v>Master</v>
      </c>
      <c r="AL1017" s="1" t="str">
        <f>CHOOSE(HR_Data[[#This Row],[JobSatisfaction]],"Low","Medium","High","Very High")</f>
        <v>Low</v>
      </c>
      <c r="AM1017" s="1" t="str">
        <f>CHOOSE(HR_Data[[#This Row],[EnvironmentSatisfaction]],"Low","Medium","High","Very High")</f>
        <v>Very High</v>
      </c>
      <c r="AN1017" s="1" t="str">
        <f>CHOOSE(HR_Data[[#This Row],[WorkLifeBalance]],"Bad","Good","Better","Best")</f>
        <v>Better</v>
      </c>
      <c r="AO1017" s="1" t="str">
        <f>IF(HR_Data[[#This Row],[PercentSalaryHike]]&lt;=13,"11-13%",IF(HR_Data[[#This Row],[PercentSalaryHike]]&lt;=16,"14-16%",IF(HR_Data[[#This Row],[PercentSalaryHike]]&lt;=19,"17-19%","20-25%")))</f>
        <v>14-16%</v>
      </c>
      <c r="AP1017" s="1">
        <f>IF(HR_Data[[#This Row],[PercentSalaryHike]]&lt;=13,1,IF(HR_Data[[#This Row],[PercentSalaryHike]]&lt;=16,2,IF(HR_Data[[#This Row],[PercentSalaryHike]]&lt;=19,3,4)))</f>
        <v>2</v>
      </c>
      <c r="AQ1017" s="1" t="str">
        <f>IF(HR_Data[[#This Row],[DistanceFromHome]]&lt;=5,"1 to 5",IF(HR_Data[[#This Row],[DistanceFromHome]]&lt;=10,"6 to 10",IF(HR_Data[[#This Row],[DistanceFromHome]]&lt;=20,"11 to 20","21 to 29")))</f>
        <v>1 to 5</v>
      </c>
      <c r="AR1017" s="1">
        <f>IF(HR_Data[[#This Row],[DistanceFromHome]]&lt;=5,1,IF(HR_Data[[#This Row],[DistanceFromHome]]&lt;=10,2,IF(HR_Data[[#This Row],[DistanceFromHome]]&lt;=20,3,4)))</f>
        <v>1</v>
      </c>
      <c r="AS1017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017" s="1">
        <f>IF(HR_Data[[#This Row],[TotalWorkingYears]]&lt;=5,1,IF(HR_Data[[#This Row],[TotalWorkingYears]]&lt;=10,2,IF(HR_Data[[#This Row],[TotalWorkingYears]]&lt;=20,3,4)))</f>
        <v>2</v>
      </c>
    </row>
    <row r="1018" spans="1:46" x14ac:dyDescent="0.25">
      <c r="A1018">
        <v>31</v>
      </c>
      <c r="B1018" t="s">
        <v>29</v>
      </c>
      <c r="C1018" t="s">
        <v>30</v>
      </c>
      <c r="D1018" t="s">
        <v>38</v>
      </c>
      <c r="E1018">
        <v>8</v>
      </c>
      <c r="F1018">
        <v>3</v>
      </c>
      <c r="G1018" t="s">
        <v>32</v>
      </c>
      <c r="H1018">
        <v>1433</v>
      </c>
      <c r="I1018">
        <v>1</v>
      </c>
      <c r="J1018" t="s">
        <v>33</v>
      </c>
      <c r="K1018">
        <v>2</v>
      </c>
      <c r="L1018">
        <v>1</v>
      </c>
      <c r="M1018" t="s">
        <v>40</v>
      </c>
      <c r="N1018">
        <v>2</v>
      </c>
      <c r="O1018" t="s">
        <v>35</v>
      </c>
      <c r="P1018">
        <v>1261</v>
      </c>
      <c r="Q1018">
        <v>1</v>
      </c>
      <c r="R1018" t="s">
        <v>36</v>
      </c>
      <c r="S1018">
        <v>12</v>
      </c>
      <c r="T1018">
        <v>3</v>
      </c>
      <c r="U1018">
        <v>3</v>
      </c>
      <c r="V1018">
        <v>0</v>
      </c>
      <c r="W1018">
        <v>1</v>
      </c>
      <c r="X1018">
        <v>3</v>
      </c>
      <c r="Y1018">
        <v>4</v>
      </c>
      <c r="Z1018">
        <v>1</v>
      </c>
      <c r="AA1018">
        <v>0</v>
      </c>
      <c r="AB1018">
        <v>0</v>
      </c>
      <c r="AC1018">
        <v>0</v>
      </c>
      <c r="AD1018">
        <f>IF(HR_Data[[#This Row],[Attrition]]="Yes",1,0)</f>
        <v>1</v>
      </c>
      <c r="AE1018" t="str">
        <f>IF(HR_Data[[#This Row],[Age]]&lt;=25,"18-25",IF(HR_Data[[#This Row],[Age]]&lt;=35,"26-35",IF(HR_Data[[#This Row],[Age]]&lt;=45,"36-45",IF(HR_Data[[#This Row],[Age]]&lt;=55,"46-55","55+"))))</f>
        <v>26-35</v>
      </c>
      <c r="AF1018">
        <f>IF(HR_Data[[#This Row],[Age]]&lt;=25,1,IF(HR_Data[[#This Row],[Age]]&lt;=35,2,IF(HR_Data[[#This Row],[Age]]&lt;=45,3,IF(HR_Data[[#This Row],[Age]]&lt;=55,4,5))))</f>
        <v>2</v>
      </c>
      <c r="AG1018" s="1" t="str">
        <f>IF(HR_Data[[#This Row],[MonthlyIncome]]&lt;3000,"&lt;3K",IF(HR_Data[[#This Row],[MonthlyIncome]]&lt;6000,"3K-6K",IF(HR_Data[[#This Row],[MonthlyIncome]]&lt;10000,"6K-10K","10K+")))</f>
        <v>&lt;3K</v>
      </c>
      <c r="AH1018" s="1">
        <f>IF(HR_Data[[#This Row],[MonthlyIncome]]&lt;3000,1,IF(HR_Data[[#This Row],[MonthlyIncome]]&lt;6000,2,IF(HR_Data[[#This Row],[MonthlyIncome]]&lt;10000,3,4)))</f>
        <v>1</v>
      </c>
      <c r="AI1018" s="1" t="str">
        <f>IF(HR_Data[[#This Row],[YearsAtCompany]]&lt;=2,"0-2 Yrs",IF(HR_Data[[#This Row],[YearsAtCompany]]&lt;=5,"3-5 Yrs",IF(HR_Data[[#This Row],[YearsAtCompany]]&lt;=10,"6-10 Yrs","10+ Yrs")))</f>
        <v>0-2 Yrs</v>
      </c>
      <c r="AJ1018" s="1">
        <f>IF(HR_Data[[#This Row],[YearsAtCompany]]&lt;=2,1,IF(HR_Data[[#This Row],[YearsAtCompany]]&lt;=5,2,IF(HR_Data[[#This Row],[YearsAtCompany]]&lt;=10,3,4)))</f>
        <v>1</v>
      </c>
      <c r="AK1018" s="1" t="str">
        <f>CHOOSE(HR_Data[[#This Row],[Education]],"Below College","College","Bachelor","Master","Doctor")</f>
        <v>Bachelor</v>
      </c>
      <c r="AL1018" s="1" t="str">
        <f>CHOOSE(HR_Data[[#This Row],[JobSatisfaction]],"Low","Medium","High","Very High")</f>
        <v>Medium</v>
      </c>
      <c r="AM1018" s="1" t="str">
        <f>CHOOSE(HR_Data[[#This Row],[EnvironmentSatisfaction]],"Low","Medium","High","Very High")</f>
        <v>Low</v>
      </c>
      <c r="AN1018" s="1" t="str">
        <f>CHOOSE(HR_Data[[#This Row],[WorkLifeBalance]],"Bad","Good","Better","Best")</f>
        <v>Best</v>
      </c>
      <c r="AO1018" s="1" t="str">
        <f>IF(HR_Data[[#This Row],[PercentSalaryHike]]&lt;=13,"11-13%",IF(HR_Data[[#This Row],[PercentSalaryHike]]&lt;=16,"14-16%",IF(HR_Data[[#This Row],[PercentSalaryHike]]&lt;=19,"17-19%","20-25%")))</f>
        <v>11-13%</v>
      </c>
      <c r="AP1018" s="1">
        <f>IF(HR_Data[[#This Row],[PercentSalaryHike]]&lt;=13,1,IF(HR_Data[[#This Row],[PercentSalaryHike]]&lt;=16,2,IF(HR_Data[[#This Row],[PercentSalaryHike]]&lt;=19,3,4)))</f>
        <v>1</v>
      </c>
      <c r="AQ1018" s="1" t="str">
        <f>IF(HR_Data[[#This Row],[DistanceFromHome]]&lt;=5,"1 to 5",IF(HR_Data[[#This Row],[DistanceFromHome]]&lt;=10,"6 to 10",IF(HR_Data[[#This Row],[DistanceFromHome]]&lt;=20,"11 to 20","21 to 29")))</f>
        <v>6 to 10</v>
      </c>
      <c r="AR1018" s="1">
        <f>IF(HR_Data[[#This Row],[DistanceFromHome]]&lt;=5,1,IF(HR_Data[[#This Row],[DistanceFromHome]]&lt;=10,2,IF(HR_Data[[#This Row],[DistanceFromHome]]&lt;=20,3,4)))</f>
        <v>2</v>
      </c>
      <c r="AS1018" s="1" t="str">
        <f>IF(HR_Data[[#This Row],[TotalWorkingYears]]&lt;=5,"0-5 Yrs",IF(HR_Data[[#This Row],[TotalWorkingYears]]&lt;=10,"6-10 Yrs",IF(HR_Data[[#This Row],[TotalWorkingYears]]&lt;=20,"11-20 Yrs","20+ Yrs")))</f>
        <v>0-5 Yrs</v>
      </c>
      <c r="AT1018" s="1">
        <f>IF(HR_Data[[#This Row],[TotalWorkingYears]]&lt;=5,1,IF(HR_Data[[#This Row],[TotalWorkingYears]]&lt;=10,2,IF(HR_Data[[#This Row],[TotalWorkingYears]]&lt;=20,3,4)))</f>
        <v>1</v>
      </c>
    </row>
    <row r="1019" spans="1:46" x14ac:dyDescent="0.25">
      <c r="A1019">
        <v>27</v>
      </c>
      <c r="B1019" t="s">
        <v>36</v>
      </c>
      <c r="C1019" t="s">
        <v>30</v>
      </c>
      <c r="D1019" t="s">
        <v>38</v>
      </c>
      <c r="E1019">
        <v>11</v>
      </c>
      <c r="F1019">
        <v>1</v>
      </c>
      <c r="G1019" t="s">
        <v>32</v>
      </c>
      <c r="H1019">
        <v>1434</v>
      </c>
      <c r="I1019">
        <v>2</v>
      </c>
      <c r="J1019" t="s">
        <v>39</v>
      </c>
      <c r="K1019">
        <v>3</v>
      </c>
      <c r="L1019">
        <v>1</v>
      </c>
      <c r="M1019" t="s">
        <v>43</v>
      </c>
      <c r="N1019">
        <v>1</v>
      </c>
      <c r="O1019" t="s">
        <v>41</v>
      </c>
      <c r="P1019">
        <v>2099</v>
      </c>
      <c r="Q1019">
        <v>0</v>
      </c>
      <c r="R1019" t="s">
        <v>36</v>
      </c>
      <c r="S1019">
        <v>14</v>
      </c>
      <c r="T1019">
        <v>3</v>
      </c>
      <c r="U1019">
        <v>2</v>
      </c>
      <c r="V1019">
        <v>0</v>
      </c>
      <c r="W1019">
        <v>6</v>
      </c>
      <c r="X1019">
        <v>3</v>
      </c>
      <c r="Y1019">
        <v>4</v>
      </c>
      <c r="Z1019">
        <v>5</v>
      </c>
      <c r="AA1019">
        <v>0</v>
      </c>
      <c r="AB1019">
        <v>1</v>
      </c>
      <c r="AC1019">
        <v>4</v>
      </c>
      <c r="AD1019">
        <f>IF(HR_Data[[#This Row],[Attrition]]="Yes",1,0)</f>
        <v>0</v>
      </c>
      <c r="AE1019" t="str">
        <f>IF(HR_Data[[#This Row],[Age]]&lt;=25,"18-25",IF(HR_Data[[#This Row],[Age]]&lt;=35,"26-35",IF(HR_Data[[#This Row],[Age]]&lt;=45,"36-45",IF(HR_Data[[#This Row],[Age]]&lt;=55,"46-55","55+"))))</f>
        <v>26-35</v>
      </c>
      <c r="AF1019">
        <f>IF(HR_Data[[#This Row],[Age]]&lt;=25,1,IF(HR_Data[[#This Row],[Age]]&lt;=35,2,IF(HR_Data[[#This Row],[Age]]&lt;=45,3,IF(HR_Data[[#This Row],[Age]]&lt;=55,4,5))))</f>
        <v>2</v>
      </c>
      <c r="AG1019" s="1" t="str">
        <f>IF(HR_Data[[#This Row],[MonthlyIncome]]&lt;3000,"&lt;3K",IF(HR_Data[[#This Row],[MonthlyIncome]]&lt;6000,"3K-6K",IF(HR_Data[[#This Row],[MonthlyIncome]]&lt;10000,"6K-10K","10K+")))</f>
        <v>&lt;3K</v>
      </c>
      <c r="AH1019" s="1">
        <f>IF(HR_Data[[#This Row],[MonthlyIncome]]&lt;3000,1,IF(HR_Data[[#This Row],[MonthlyIncome]]&lt;6000,2,IF(HR_Data[[#This Row],[MonthlyIncome]]&lt;10000,3,4)))</f>
        <v>1</v>
      </c>
      <c r="AI1019" s="1" t="str">
        <f>IF(HR_Data[[#This Row],[YearsAtCompany]]&lt;=2,"0-2 Yrs",IF(HR_Data[[#This Row],[YearsAtCompany]]&lt;=5,"3-5 Yrs",IF(HR_Data[[#This Row],[YearsAtCompany]]&lt;=10,"6-10 Yrs","10+ Yrs")))</f>
        <v>3-5 Yrs</v>
      </c>
      <c r="AJ1019" s="1">
        <f>IF(HR_Data[[#This Row],[YearsAtCompany]]&lt;=2,1,IF(HR_Data[[#This Row],[YearsAtCompany]]&lt;=5,2,IF(HR_Data[[#This Row],[YearsAtCompany]]&lt;=10,3,4)))</f>
        <v>2</v>
      </c>
      <c r="AK1019" s="1" t="str">
        <f>CHOOSE(HR_Data[[#This Row],[Education]],"Below College","College","Bachelor","Master","Doctor")</f>
        <v>Below College</v>
      </c>
      <c r="AL1019" s="1" t="str">
        <f>CHOOSE(HR_Data[[#This Row],[JobSatisfaction]],"Low","Medium","High","Very High")</f>
        <v>Low</v>
      </c>
      <c r="AM1019" s="1" t="str">
        <f>CHOOSE(HR_Data[[#This Row],[EnvironmentSatisfaction]],"Low","Medium","High","Very High")</f>
        <v>Medium</v>
      </c>
      <c r="AN1019" s="1" t="str">
        <f>CHOOSE(HR_Data[[#This Row],[WorkLifeBalance]],"Bad","Good","Better","Best")</f>
        <v>Best</v>
      </c>
      <c r="AO1019" s="1" t="str">
        <f>IF(HR_Data[[#This Row],[PercentSalaryHike]]&lt;=13,"11-13%",IF(HR_Data[[#This Row],[PercentSalaryHike]]&lt;=16,"14-16%",IF(HR_Data[[#This Row],[PercentSalaryHike]]&lt;=19,"17-19%","20-25%")))</f>
        <v>14-16%</v>
      </c>
      <c r="AP1019" s="1">
        <f>IF(HR_Data[[#This Row],[PercentSalaryHike]]&lt;=13,1,IF(HR_Data[[#This Row],[PercentSalaryHike]]&lt;=16,2,IF(HR_Data[[#This Row],[PercentSalaryHike]]&lt;=19,3,4)))</f>
        <v>2</v>
      </c>
      <c r="AQ1019" s="1" t="str">
        <f>IF(HR_Data[[#This Row],[DistanceFromHome]]&lt;=5,"1 to 5",IF(HR_Data[[#This Row],[DistanceFromHome]]&lt;=10,"6 to 10",IF(HR_Data[[#This Row],[DistanceFromHome]]&lt;=20,"11 to 20","21 to 29")))</f>
        <v>11 to 20</v>
      </c>
      <c r="AR1019" s="1">
        <f>IF(HR_Data[[#This Row],[DistanceFromHome]]&lt;=5,1,IF(HR_Data[[#This Row],[DistanceFromHome]]&lt;=10,2,IF(HR_Data[[#This Row],[DistanceFromHome]]&lt;=20,3,4)))</f>
        <v>3</v>
      </c>
      <c r="AS1019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019" s="1">
        <f>IF(HR_Data[[#This Row],[TotalWorkingYears]]&lt;=5,1,IF(HR_Data[[#This Row],[TotalWorkingYears]]&lt;=10,2,IF(HR_Data[[#This Row],[TotalWorkingYears]]&lt;=20,3,4)))</f>
        <v>2</v>
      </c>
    </row>
    <row r="1020" spans="1:46" x14ac:dyDescent="0.25">
      <c r="A1020">
        <v>36</v>
      </c>
      <c r="B1020" t="s">
        <v>36</v>
      </c>
      <c r="C1020" t="s">
        <v>30</v>
      </c>
      <c r="D1020" t="s">
        <v>38</v>
      </c>
      <c r="E1020">
        <v>4</v>
      </c>
      <c r="F1020">
        <v>4</v>
      </c>
      <c r="G1020" t="s">
        <v>32</v>
      </c>
      <c r="H1020">
        <v>1435</v>
      </c>
      <c r="I1020">
        <v>1</v>
      </c>
      <c r="J1020" t="s">
        <v>39</v>
      </c>
      <c r="K1020">
        <v>2</v>
      </c>
      <c r="L1020">
        <v>2</v>
      </c>
      <c r="M1020" t="s">
        <v>43</v>
      </c>
      <c r="N1020">
        <v>4</v>
      </c>
      <c r="O1020" t="s">
        <v>35</v>
      </c>
      <c r="P1020">
        <v>5810</v>
      </c>
      <c r="Q1020">
        <v>1</v>
      </c>
      <c r="R1020" t="s">
        <v>36</v>
      </c>
      <c r="S1020">
        <v>16</v>
      </c>
      <c r="T1020">
        <v>3</v>
      </c>
      <c r="U1020">
        <v>3</v>
      </c>
      <c r="V1020">
        <v>0</v>
      </c>
      <c r="W1020">
        <v>10</v>
      </c>
      <c r="X1020">
        <v>2</v>
      </c>
      <c r="Y1020">
        <v>2</v>
      </c>
      <c r="Z1020">
        <v>10</v>
      </c>
      <c r="AA1020">
        <v>4</v>
      </c>
      <c r="AB1020">
        <v>1</v>
      </c>
      <c r="AC1020">
        <v>8</v>
      </c>
      <c r="AD1020">
        <f>IF(HR_Data[[#This Row],[Attrition]]="Yes",1,0)</f>
        <v>0</v>
      </c>
      <c r="AE1020" t="str">
        <f>IF(HR_Data[[#This Row],[Age]]&lt;=25,"18-25",IF(HR_Data[[#This Row],[Age]]&lt;=35,"26-35",IF(HR_Data[[#This Row],[Age]]&lt;=45,"36-45",IF(HR_Data[[#This Row],[Age]]&lt;=55,"46-55","55+"))))</f>
        <v>36-45</v>
      </c>
      <c r="AF1020">
        <f>IF(HR_Data[[#This Row],[Age]]&lt;=25,1,IF(HR_Data[[#This Row],[Age]]&lt;=35,2,IF(HR_Data[[#This Row],[Age]]&lt;=45,3,IF(HR_Data[[#This Row],[Age]]&lt;=55,4,5))))</f>
        <v>3</v>
      </c>
      <c r="AG1020" s="1" t="str">
        <f>IF(HR_Data[[#This Row],[MonthlyIncome]]&lt;3000,"&lt;3K",IF(HR_Data[[#This Row],[MonthlyIncome]]&lt;6000,"3K-6K",IF(HR_Data[[#This Row],[MonthlyIncome]]&lt;10000,"6K-10K","10K+")))</f>
        <v>3K-6K</v>
      </c>
      <c r="AH1020" s="1">
        <f>IF(HR_Data[[#This Row],[MonthlyIncome]]&lt;3000,1,IF(HR_Data[[#This Row],[MonthlyIncome]]&lt;6000,2,IF(HR_Data[[#This Row],[MonthlyIncome]]&lt;10000,3,4)))</f>
        <v>2</v>
      </c>
      <c r="AI1020" s="1" t="str">
        <f>IF(HR_Data[[#This Row],[YearsAtCompany]]&lt;=2,"0-2 Yrs",IF(HR_Data[[#This Row],[YearsAtCompany]]&lt;=5,"3-5 Yrs",IF(HR_Data[[#This Row],[YearsAtCompany]]&lt;=10,"6-10 Yrs","10+ Yrs")))</f>
        <v>6-10 Yrs</v>
      </c>
      <c r="AJ1020" s="1">
        <f>IF(HR_Data[[#This Row],[YearsAtCompany]]&lt;=2,1,IF(HR_Data[[#This Row],[YearsAtCompany]]&lt;=5,2,IF(HR_Data[[#This Row],[YearsAtCompany]]&lt;=10,3,4)))</f>
        <v>3</v>
      </c>
      <c r="AK1020" s="1" t="str">
        <f>CHOOSE(HR_Data[[#This Row],[Education]],"Below College","College","Bachelor","Master","Doctor")</f>
        <v>Master</v>
      </c>
      <c r="AL1020" s="1" t="str">
        <f>CHOOSE(HR_Data[[#This Row],[JobSatisfaction]],"Low","Medium","High","Very High")</f>
        <v>Very High</v>
      </c>
      <c r="AM1020" s="1" t="str">
        <f>CHOOSE(HR_Data[[#This Row],[EnvironmentSatisfaction]],"Low","Medium","High","Very High")</f>
        <v>Low</v>
      </c>
      <c r="AN1020" s="1" t="str">
        <f>CHOOSE(HR_Data[[#This Row],[WorkLifeBalance]],"Bad","Good","Better","Best")</f>
        <v>Good</v>
      </c>
      <c r="AO1020" s="1" t="str">
        <f>IF(HR_Data[[#This Row],[PercentSalaryHike]]&lt;=13,"11-13%",IF(HR_Data[[#This Row],[PercentSalaryHike]]&lt;=16,"14-16%",IF(HR_Data[[#This Row],[PercentSalaryHike]]&lt;=19,"17-19%","20-25%")))</f>
        <v>14-16%</v>
      </c>
      <c r="AP1020" s="1">
        <f>IF(HR_Data[[#This Row],[PercentSalaryHike]]&lt;=13,1,IF(HR_Data[[#This Row],[PercentSalaryHike]]&lt;=16,2,IF(HR_Data[[#This Row],[PercentSalaryHike]]&lt;=19,3,4)))</f>
        <v>2</v>
      </c>
      <c r="AQ1020" s="1" t="str">
        <f>IF(HR_Data[[#This Row],[DistanceFromHome]]&lt;=5,"1 to 5",IF(HR_Data[[#This Row],[DistanceFromHome]]&lt;=10,"6 to 10",IF(HR_Data[[#This Row],[DistanceFromHome]]&lt;=20,"11 to 20","21 to 29")))</f>
        <v>1 to 5</v>
      </c>
      <c r="AR1020" s="1">
        <f>IF(HR_Data[[#This Row],[DistanceFromHome]]&lt;=5,1,IF(HR_Data[[#This Row],[DistanceFromHome]]&lt;=10,2,IF(HR_Data[[#This Row],[DistanceFromHome]]&lt;=20,3,4)))</f>
        <v>1</v>
      </c>
      <c r="AS1020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020" s="1">
        <f>IF(HR_Data[[#This Row],[TotalWorkingYears]]&lt;=5,1,IF(HR_Data[[#This Row],[TotalWorkingYears]]&lt;=10,2,IF(HR_Data[[#This Row],[TotalWorkingYears]]&lt;=20,3,4)))</f>
        <v>2</v>
      </c>
    </row>
    <row r="1021" spans="1:46" x14ac:dyDescent="0.25">
      <c r="A1021">
        <v>36</v>
      </c>
      <c r="B1021" t="s">
        <v>36</v>
      </c>
      <c r="C1021" t="s">
        <v>30</v>
      </c>
      <c r="D1021" t="s">
        <v>31</v>
      </c>
      <c r="E1021">
        <v>16</v>
      </c>
      <c r="F1021">
        <v>4</v>
      </c>
      <c r="G1021" t="s">
        <v>52</v>
      </c>
      <c r="H1021">
        <v>1436</v>
      </c>
      <c r="I1021">
        <v>3</v>
      </c>
      <c r="J1021" t="s">
        <v>33</v>
      </c>
      <c r="K1021">
        <v>2</v>
      </c>
      <c r="L1021">
        <v>2</v>
      </c>
      <c r="M1021" t="s">
        <v>34</v>
      </c>
      <c r="N1021">
        <v>1</v>
      </c>
      <c r="O1021" t="s">
        <v>41</v>
      </c>
      <c r="P1021">
        <v>5647</v>
      </c>
      <c r="Q1021">
        <v>4</v>
      </c>
      <c r="R1021" t="s">
        <v>36</v>
      </c>
      <c r="S1021">
        <v>13</v>
      </c>
      <c r="T1021">
        <v>3</v>
      </c>
      <c r="U1021">
        <v>1</v>
      </c>
      <c r="V1021">
        <v>2</v>
      </c>
      <c r="W1021">
        <v>11</v>
      </c>
      <c r="X1021">
        <v>3</v>
      </c>
      <c r="Y1021">
        <v>2</v>
      </c>
      <c r="Z1021">
        <v>3</v>
      </c>
      <c r="AA1021">
        <v>2</v>
      </c>
      <c r="AB1021">
        <v>0</v>
      </c>
      <c r="AC1021">
        <v>2</v>
      </c>
      <c r="AD1021">
        <f>IF(HR_Data[[#This Row],[Attrition]]="Yes",1,0)</f>
        <v>0</v>
      </c>
      <c r="AE1021" t="str">
        <f>IF(HR_Data[[#This Row],[Age]]&lt;=25,"18-25",IF(HR_Data[[#This Row],[Age]]&lt;=35,"26-35",IF(HR_Data[[#This Row],[Age]]&lt;=45,"36-45",IF(HR_Data[[#This Row],[Age]]&lt;=55,"46-55","55+"))))</f>
        <v>36-45</v>
      </c>
      <c r="AF1021">
        <f>IF(HR_Data[[#This Row],[Age]]&lt;=25,1,IF(HR_Data[[#This Row],[Age]]&lt;=35,2,IF(HR_Data[[#This Row],[Age]]&lt;=45,3,IF(HR_Data[[#This Row],[Age]]&lt;=55,4,5))))</f>
        <v>3</v>
      </c>
      <c r="AG1021" s="1" t="str">
        <f>IF(HR_Data[[#This Row],[MonthlyIncome]]&lt;3000,"&lt;3K",IF(HR_Data[[#This Row],[MonthlyIncome]]&lt;6000,"3K-6K",IF(HR_Data[[#This Row],[MonthlyIncome]]&lt;10000,"6K-10K","10K+")))</f>
        <v>3K-6K</v>
      </c>
      <c r="AH1021" s="1">
        <f>IF(HR_Data[[#This Row],[MonthlyIncome]]&lt;3000,1,IF(HR_Data[[#This Row],[MonthlyIncome]]&lt;6000,2,IF(HR_Data[[#This Row],[MonthlyIncome]]&lt;10000,3,4)))</f>
        <v>2</v>
      </c>
      <c r="AI1021" s="1" t="str">
        <f>IF(HR_Data[[#This Row],[YearsAtCompany]]&lt;=2,"0-2 Yrs",IF(HR_Data[[#This Row],[YearsAtCompany]]&lt;=5,"3-5 Yrs",IF(HR_Data[[#This Row],[YearsAtCompany]]&lt;=10,"6-10 Yrs","10+ Yrs")))</f>
        <v>3-5 Yrs</v>
      </c>
      <c r="AJ1021" s="1">
        <f>IF(HR_Data[[#This Row],[YearsAtCompany]]&lt;=2,1,IF(HR_Data[[#This Row],[YearsAtCompany]]&lt;=5,2,IF(HR_Data[[#This Row],[YearsAtCompany]]&lt;=10,3,4)))</f>
        <v>2</v>
      </c>
      <c r="AK1021" s="1" t="str">
        <f>CHOOSE(HR_Data[[#This Row],[Education]],"Below College","College","Bachelor","Master","Doctor")</f>
        <v>Master</v>
      </c>
      <c r="AL1021" s="1" t="str">
        <f>CHOOSE(HR_Data[[#This Row],[JobSatisfaction]],"Low","Medium","High","Very High")</f>
        <v>Low</v>
      </c>
      <c r="AM1021" s="1" t="str">
        <f>CHOOSE(HR_Data[[#This Row],[EnvironmentSatisfaction]],"Low","Medium","High","Very High")</f>
        <v>High</v>
      </c>
      <c r="AN1021" s="1" t="str">
        <f>CHOOSE(HR_Data[[#This Row],[WorkLifeBalance]],"Bad","Good","Better","Best")</f>
        <v>Good</v>
      </c>
      <c r="AO1021" s="1" t="str">
        <f>IF(HR_Data[[#This Row],[PercentSalaryHike]]&lt;=13,"11-13%",IF(HR_Data[[#This Row],[PercentSalaryHike]]&lt;=16,"14-16%",IF(HR_Data[[#This Row],[PercentSalaryHike]]&lt;=19,"17-19%","20-25%")))</f>
        <v>11-13%</v>
      </c>
      <c r="AP1021" s="1">
        <f>IF(HR_Data[[#This Row],[PercentSalaryHike]]&lt;=13,1,IF(HR_Data[[#This Row],[PercentSalaryHike]]&lt;=16,2,IF(HR_Data[[#This Row],[PercentSalaryHike]]&lt;=19,3,4)))</f>
        <v>1</v>
      </c>
      <c r="AQ1021" s="1" t="str">
        <f>IF(HR_Data[[#This Row],[DistanceFromHome]]&lt;=5,"1 to 5",IF(HR_Data[[#This Row],[DistanceFromHome]]&lt;=10,"6 to 10",IF(HR_Data[[#This Row],[DistanceFromHome]]&lt;=20,"11 to 20","21 to 29")))</f>
        <v>11 to 20</v>
      </c>
      <c r="AR1021" s="1">
        <f>IF(HR_Data[[#This Row],[DistanceFromHome]]&lt;=5,1,IF(HR_Data[[#This Row],[DistanceFromHome]]&lt;=10,2,IF(HR_Data[[#This Row],[DistanceFromHome]]&lt;=20,3,4)))</f>
        <v>3</v>
      </c>
      <c r="AS1021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021" s="1">
        <f>IF(HR_Data[[#This Row],[TotalWorkingYears]]&lt;=5,1,IF(HR_Data[[#This Row],[TotalWorkingYears]]&lt;=10,2,IF(HR_Data[[#This Row],[TotalWorkingYears]]&lt;=20,3,4)))</f>
        <v>3</v>
      </c>
    </row>
    <row r="1022" spans="1:46" x14ac:dyDescent="0.25">
      <c r="A1022">
        <v>47</v>
      </c>
      <c r="B1022" t="s">
        <v>36</v>
      </c>
      <c r="C1022" t="s">
        <v>30</v>
      </c>
      <c r="D1022" t="s">
        <v>38</v>
      </c>
      <c r="E1022">
        <v>1</v>
      </c>
      <c r="F1022">
        <v>3</v>
      </c>
      <c r="G1022" t="s">
        <v>53</v>
      </c>
      <c r="H1022">
        <v>1438</v>
      </c>
      <c r="I1022">
        <v>1</v>
      </c>
      <c r="J1022" t="s">
        <v>39</v>
      </c>
      <c r="K1022">
        <v>3</v>
      </c>
      <c r="L1022">
        <v>1</v>
      </c>
      <c r="M1022" t="s">
        <v>40</v>
      </c>
      <c r="N1022">
        <v>4</v>
      </c>
      <c r="O1022" t="s">
        <v>41</v>
      </c>
      <c r="P1022">
        <v>3420</v>
      </c>
      <c r="Q1022">
        <v>7</v>
      </c>
      <c r="R1022" t="s">
        <v>36</v>
      </c>
      <c r="S1022">
        <v>12</v>
      </c>
      <c r="T1022">
        <v>3</v>
      </c>
      <c r="U1022">
        <v>3</v>
      </c>
      <c r="V1022">
        <v>1</v>
      </c>
      <c r="W1022">
        <v>17</v>
      </c>
      <c r="X1022">
        <v>2</v>
      </c>
      <c r="Y1022">
        <v>2</v>
      </c>
      <c r="Z1022">
        <v>6</v>
      </c>
      <c r="AA1022">
        <v>5</v>
      </c>
      <c r="AB1022">
        <v>1</v>
      </c>
      <c r="AC1022">
        <v>2</v>
      </c>
      <c r="AD1022">
        <f>IF(HR_Data[[#This Row],[Attrition]]="Yes",1,0)</f>
        <v>0</v>
      </c>
      <c r="AE1022" t="str">
        <f>IF(HR_Data[[#This Row],[Age]]&lt;=25,"18-25",IF(HR_Data[[#This Row],[Age]]&lt;=35,"26-35",IF(HR_Data[[#This Row],[Age]]&lt;=45,"36-45",IF(HR_Data[[#This Row],[Age]]&lt;=55,"46-55","55+"))))</f>
        <v>46-55</v>
      </c>
      <c r="AF1022">
        <f>IF(HR_Data[[#This Row],[Age]]&lt;=25,1,IF(HR_Data[[#This Row],[Age]]&lt;=35,2,IF(HR_Data[[#This Row],[Age]]&lt;=45,3,IF(HR_Data[[#This Row],[Age]]&lt;=55,4,5))))</f>
        <v>4</v>
      </c>
      <c r="AG1022" s="1" t="str">
        <f>IF(HR_Data[[#This Row],[MonthlyIncome]]&lt;3000,"&lt;3K",IF(HR_Data[[#This Row],[MonthlyIncome]]&lt;6000,"3K-6K",IF(HR_Data[[#This Row],[MonthlyIncome]]&lt;10000,"6K-10K","10K+")))</f>
        <v>3K-6K</v>
      </c>
      <c r="AH1022" s="1">
        <f>IF(HR_Data[[#This Row],[MonthlyIncome]]&lt;3000,1,IF(HR_Data[[#This Row],[MonthlyIncome]]&lt;6000,2,IF(HR_Data[[#This Row],[MonthlyIncome]]&lt;10000,3,4)))</f>
        <v>2</v>
      </c>
      <c r="AI1022" s="1" t="str">
        <f>IF(HR_Data[[#This Row],[YearsAtCompany]]&lt;=2,"0-2 Yrs",IF(HR_Data[[#This Row],[YearsAtCompany]]&lt;=5,"3-5 Yrs",IF(HR_Data[[#This Row],[YearsAtCompany]]&lt;=10,"6-10 Yrs","10+ Yrs")))</f>
        <v>6-10 Yrs</v>
      </c>
      <c r="AJ1022" s="1">
        <f>IF(HR_Data[[#This Row],[YearsAtCompany]]&lt;=2,1,IF(HR_Data[[#This Row],[YearsAtCompany]]&lt;=5,2,IF(HR_Data[[#This Row],[YearsAtCompany]]&lt;=10,3,4)))</f>
        <v>3</v>
      </c>
      <c r="AK1022" s="1" t="str">
        <f>CHOOSE(HR_Data[[#This Row],[Education]],"Below College","College","Bachelor","Master","Doctor")</f>
        <v>Bachelor</v>
      </c>
      <c r="AL1022" s="1" t="str">
        <f>CHOOSE(HR_Data[[#This Row],[JobSatisfaction]],"Low","Medium","High","Very High")</f>
        <v>Very High</v>
      </c>
      <c r="AM1022" s="1" t="str">
        <f>CHOOSE(HR_Data[[#This Row],[EnvironmentSatisfaction]],"Low","Medium","High","Very High")</f>
        <v>Low</v>
      </c>
      <c r="AN1022" s="1" t="str">
        <f>CHOOSE(HR_Data[[#This Row],[WorkLifeBalance]],"Bad","Good","Better","Best")</f>
        <v>Good</v>
      </c>
      <c r="AO1022" s="1" t="str">
        <f>IF(HR_Data[[#This Row],[PercentSalaryHike]]&lt;=13,"11-13%",IF(HR_Data[[#This Row],[PercentSalaryHike]]&lt;=16,"14-16%",IF(HR_Data[[#This Row],[PercentSalaryHike]]&lt;=19,"17-19%","20-25%")))</f>
        <v>11-13%</v>
      </c>
      <c r="AP1022" s="1">
        <f>IF(HR_Data[[#This Row],[PercentSalaryHike]]&lt;=13,1,IF(HR_Data[[#This Row],[PercentSalaryHike]]&lt;=16,2,IF(HR_Data[[#This Row],[PercentSalaryHike]]&lt;=19,3,4)))</f>
        <v>1</v>
      </c>
      <c r="AQ1022" s="1" t="str">
        <f>IF(HR_Data[[#This Row],[DistanceFromHome]]&lt;=5,"1 to 5",IF(HR_Data[[#This Row],[DistanceFromHome]]&lt;=10,"6 to 10",IF(HR_Data[[#This Row],[DistanceFromHome]]&lt;=20,"11 to 20","21 to 29")))</f>
        <v>1 to 5</v>
      </c>
      <c r="AR1022" s="1">
        <f>IF(HR_Data[[#This Row],[DistanceFromHome]]&lt;=5,1,IF(HR_Data[[#This Row],[DistanceFromHome]]&lt;=10,2,IF(HR_Data[[#This Row],[DistanceFromHome]]&lt;=20,3,4)))</f>
        <v>1</v>
      </c>
      <c r="AS1022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022" s="1">
        <f>IF(HR_Data[[#This Row],[TotalWorkingYears]]&lt;=5,1,IF(HR_Data[[#This Row],[TotalWorkingYears]]&lt;=10,2,IF(HR_Data[[#This Row],[TotalWorkingYears]]&lt;=20,3,4)))</f>
        <v>3</v>
      </c>
    </row>
    <row r="1023" spans="1:46" x14ac:dyDescent="0.25">
      <c r="A1023">
        <v>25</v>
      </c>
      <c r="B1023" t="s">
        <v>29</v>
      </c>
      <c r="C1023" t="s">
        <v>30</v>
      </c>
      <c r="D1023" t="s">
        <v>31</v>
      </c>
      <c r="E1023">
        <v>9</v>
      </c>
      <c r="F1023">
        <v>2</v>
      </c>
      <c r="G1023" t="s">
        <v>32</v>
      </c>
      <c r="H1023">
        <v>1439</v>
      </c>
      <c r="I1023">
        <v>1</v>
      </c>
      <c r="J1023" t="s">
        <v>39</v>
      </c>
      <c r="K1023">
        <v>2</v>
      </c>
      <c r="L1023">
        <v>1</v>
      </c>
      <c r="M1023" t="s">
        <v>50</v>
      </c>
      <c r="N1023">
        <v>1</v>
      </c>
      <c r="O1023" t="s">
        <v>41</v>
      </c>
      <c r="P1023">
        <v>4400</v>
      </c>
      <c r="Q1023">
        <v>3</v>
      </c>
      <c r="R1023" t="s">
        <v>36</v>
      </c>
      <c r="S1023">
        <v>12</v>
      </c>
      <c r="T1023">
        <v>3</v>
      </c>
      <c r="U1023">
        <v>1</v>
      </c>
      <c r="V1023">
        <v>0</v>
      </c>
      <c r="W1023">
        <v>6</v>
      </c>
      <c r="X1023">
        <v>2</v>
      </c>
      <c r="Y1023">
        <v>3</v>
      </c>
      <c r="Z1023">
        <v>3</v>
      </c>
      <c r="AA1023">
        <v>2</v>
      </c>
      <c r="AB1023">
        <v>2</v>
      </c>
      <c r="AC1023">
        <v>2</v>
      </c>
      <c r="AD1023">
        <f>IF(HR_Data[[#This Row],[Attrition]]="Yes",1,0)</f>
        <v>1</v>
      </c>
      <c r="AE1023" t="str">
        <f>IF(HR_Data[[#This Row],[Age]]&lt;=25,"18-25",IF(HR_Data[[#This Row],[Age]]&lt;=35,"26-35",IF(HR_Data[[#This Row],[Age]]&lt;=45,"36-45",IF(HR_Data[[#This Row],[Age]]&lt;=55,"46-55","55+"))))</f>
        <v>18-25</v>
      </c>
      <c r="AF1023">
        <f>IF(HR_Data[[#This Row],[Age]]&lt;=25,1,IF(HR_Data[[#This Row],[Age]]&lt;=35,2,IF(HR_Data[[#This Row],[Age]]&lt;=45,3,IF(HR_Data[[#This Row],[Age]]&lt;=55,4,5))))</f>
        <v>1</v>
      </c>
      <c r="AG1023" s="1" t="str">
        <f>IF(HR_Data[[#This Row],[MonthlyIncome]]&lt;3000,"&lt;3K",IF(HR_Data[[#This Row],[MonthlyIncome]]&lt;6000,"3K-6K",IF(HR_Data[[#This Row],[MonthlyIncome]]&lt;10000,"6K-10K","10K+")))</f>
        <v>3K-6K</v>
      </c>
      <c r="AH1023" s="1">
        <f>IF(HR_Data[[#This Row],[MonthlyIncome]]&lt;3000,1,IF(HR_Data[[#This Row],[MonthlyIncome]]&lt;6000,2,IF(HR_Data[[#This Row],[MonthlyIncome]]&lt;10000,3,4)))</f>
        <v>2</v>
      </c>
      <c r="AI1023" s="1" t="str">
        <f>IF(HR_Data[[#This Row],[YearsAtCompany]]&lt;=2,"0-2 Yrs",IF(HR_Data[[#This Row],[YearsAtCompany]]&lt;=5,"3-5 Yrs",IF(HR_Data[[#This Row],[YearsAtCompany]]&lt;=10,"6-10 Yrs","10+ Yrs")))</f>
        <v>3-5 Yrs</v>
      </c>
      <c r="AJ1023" s="1">
        <f>IF(HR_Data[[#This Row],[YearsAtCompany]]&lt;=2,1,IF(HR_Data[[#This Row],[YearsAtCompany]]&lt;=5,2,IF(HR_Data[[#This Row],[YearsAtCompany]]&lt;=10,3,4)))</f>
        <v>2</v>
      </c>
      <c r="AK1023" s="1" t="str">
        <f>CHOOSE(HR_Data[[#This Row],[Education]],"Below College","College","Bachelor","Master","Doctor")</f>
        <v>College</v>
      </c>
      <c r="AL1023" s="1" t="str">
        <f>CHOOSE(HR_Data[[#This Row],[JobSatisfaction]],"Low","Medium","High","Very High")</f>
        <v>Low</v>
      </c>
      <c r="AM1023" s="1" t="str">
        <f>CHOOSE(HR_Data[[#This Row],[EnvironmentSatisfaction]],"Low","Medium","High","Very High")</f>
        <v>Low</v>
      </c>
      <c r="AN1023" s="1" t="str">
        <f>CHOOSE(HR_Data[[#This Row],[WorkLifeBalance]],"Bad","Good","Better","Best")</f>
        <v>Better</v>
      </c>
      <c r="AO1023" s="1" t="str">
        <f>IF(HR_Data[[#This Row],[PercentSalaryHike]]&lt;=13,"11-13%",IF(HR_Data[[#This Row],[PercentSalaryHike]]&lt;=16,"14-16%",IF(HR_Data[[#This Row],[PercentSalaryHike]]&lt;=19,"17-19%","20-25%")))</f>
        <v>11-13%</v>
      </c>
      <c r="AP1023" s="1">
        <f>IF(HR_Data[[#This Row],[PercentSalaryHike]]&lt;=13,1,IF(HR_Data[[#This Row],[PercentSalaryHike]]&lt;=16,2,IF(HR_Data[[#This Row],[PercentSalaryHike]]&lt;=19,3,4)))</f>
        <v>1</v>
      </c>
      <c r="AQ1023" s="1" t="str">
        <f>IF(HR_Data[[#This Row],[DistanceFromHome]]&lt;=5,"1 to 5",IF(HR_Data[[#This Row],[DistanceFromHome]]&lt;=10,"6 to 10",IF(HR_Data[[#This Row],[DistanceFromHome]]&lt;=20,"11 to 20","21 to 29")))</f>
        <v>6 to 10</v>
      </c>
      <c r="AR1023" s="1">
        <f>IF(HR_Data[[#This Row],[DistanceFromHome]]&lt;=5,1,IF(HR_Data[[#This Row],[DistanceFromHome]]&lt;=10,2,IF(HR_Data[[#This Row],[DistanceFromHome]]&lt;=20,3,4)))</f>
        <v>2</v>
      </c>
      <c r="AS1023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023" s="1">
        <f>IF(HR_Data[[#This Row],[TotalWorkingYears]]&lt;=5,1,IF(HR_Data[[#This Row],[TotalWorkingYears]]&lt;=10,2,IF(HR_Data[[#This Row],[TotalWorkingYears]]&lt;=20,3,4)))</f>
        <v>2</v>
      </c>
    </row>
    <row r="1024" spans="1:46" x14ac:dyDescent="0.25">
      <c r="A1024">
        <v>37</v>
      </c>
      <c r="B1024" t="s">
        <v>36</v>
      </c>
      <c r="C1024" t="s">
        <v>48</v>
      </c>
      <c r="D1024" t="s">
        <v>38</v>
      </c>
      <c r="E1024">
        <v>5</v>
      </c>
      <c r="F1024">
        <v>2</v>
      </c>
      <c r="G1024" t="s">
        <v>53</v>
      </c>
      <c r="H1024">
        <v>1440</v>
      </c>
      <c r="I1024">
        <v>3</v>
      </c>
      <c r="J1024" t="s">
        <v>39</v>
      </c>
      <c r="K1024">
        <v>4</v>
      </c>
      <c r="L1024">
        <v>1</v>
      </c>
      <c r="M1024" t="s">
        <v>43</v>
      </c>
      <c r="N1024">
        <v>3</v>
      </c>
      <c r="O1024" t="s">
        <v>35</v>
      </c>
      <c r="P1024">
        <v>3500</v>
      </c>
      <c r="Q1024">
        <v>0</v>
      </c>
      <c r="R1024" t="s">
        <v>36</v>
      </c>
      <c r="S1024">
        <v>14</v>
      </c>
      <c r="T1024">
        <v>3</v>
      </c>
      <c r="U1024">
        <v>1</v>
      </c>
      <c r="V1024">
        <v>0</v>
      </c>
      <c r="W1024">
        <v>7</v>
      </c>
      <c r="X1024">
        <v>2</v>
      </c>
      <c r="Y1024">
        <v>1</v>
      </c>
      <c r="Z1024">
        <v>6</v>
      </c>
      <c r="AA1024">
        <v>5</v>
      </c>
      <c r="AB1024">
        <v>1</v>
      </c>
      <c r="AC1024">
        <v>3</v>
      </c>
      <c r="AD1024">
        <f>IF(HR_Data[[#This Row],[Attrition]]="Yes",1,0)</f>
        <v>0</v>
      </c>
      <c r="AE1024" t="str">
        <f>IF(HR_Data[[#This Row],[Age]]&lt;=25,"18-25",IF(HR_Data[[#This Row],[Age]]&lt;=35,"26-35",IF(HR_Data[[#This Row],[Age]]&lt;=45,"36-45",IF(HR_Data[[#This Row],[Age]]&lt;=55,"46-55","55+"))))</f>
        <v>36-45</v>
      </c>
      <c r="AF1024">
        <f>IF(HR_Data[[#This Row],[Age]]&lt;=25,1,IF(HR_Data[[#This Row],[Age]]&lt;=35,2,IF(HR_Data[[#This Row],[Age]]&lt;=45,3,IF(HR_Data[[#This Row],[Age]]&lt;=55,4,5))))</f>
        <v>3</v>
      </c>
      <c r="AG1024" s="1" t="str">
        <f>IF(HR_Data[[#This Row],[MonthlyIncome]]&lt;3000,"&lt;3K",IF(HR_Data[[#This Row],[MonthlyIncome]]&lt;6000,"3K-6K",IF(HR_Data[[#This Row],[MonthlyIncome]]&lt;10000,"6K-10K","10K+")))</f>
        <v>3K-6K</v>
      </c>
      <c r="AH1024" s="1">
        <f>IF(HR_Data[[#This Row],[MonthlyIncome]]&lt;3000,1,IF(HR_Data[[#This Row],[MonthlyIncome]]&lt;6000,2,IF(HR_Data[[#This Row],[MonthlyIncome]]&lt;10000,3,4)))</f>
        <v>2</v>
      </c>
      <c r="AI1024" s="1" t="str">
        <f>IF(HR_Data[[#This Row],[YearsAtCompany]]&lt;=2,"0-2 Yrs",IF(HR_Data[[#This Row],[YearsAtCompany]]&lt;=5,"3-5 Yrs",IF(HR_Data[[#This Row],[YearsAtCompany]]&lt;=10,"6-10 Yrs","10+ Yrs")))</f>
        <v>6-10 Yrs</v>
      </c>
      <c r="AJ1024" s="1">
        <f>IF(HR_Data[[#This Row],[YearsAtCompany]]&lt;=2,1,IF(HR_Data[[#This Row],[YearsAtCompany]]&lt;=5,2,IF(HR_Data[[#This Row],[YearsAtCompany]]&lt;=10,3,4)))</f>
        <v>3</v>
      </c>
      <c r="AK1024" s="1" t="str">
        <f>CHOOSE(HR_Data[[#This Row],[Education]],"Below College","College","Bachelor","Master","Doctor")</f>
        <v>College</v>
      </c>
      <c r="AL1024" s="1" t="str">
        <f>CHOOSE(HR_Data[[#This Row],[JobSatisfaction]],"Low","Medium","High","Very High")</f>
        <v>High</v>
      </c>
      <c r="AM1024" s="1" t="str">
        <f>CHOOSE(HR_Data[[#This Row],[EnvironmentSatisfaction]],"Low","Medium","High","Very High")</f>
        <v>High</v>
      </c>
      <c r="AN1024" s="1" t="str">
        <f>CHOOSE(HR_Data[[#This Row],[WorkLifeBalance]],"Bad","Good","Better","Best")</f>
        <v>Bad</v>
      </c>
      <c r="AO1024" s="1" t="str">
        <f>IF(HR_Data[[#This Row],[PercentSalaryHike]]&lt;=13,"11-13%",IF(HR_Data[[#This Row],[PercentSalaryHike]]&lt;=16,"14-16%",IF(HR_Data[[#This Row],[PercentSalaryHike]]&lt;=19,"17-19%","20-25%")))</f>
        <v>14-16%</v>
      </c>
      <c r="AP1024" s="1">
        <f>IF(HR_Data[[#This Row],[PercentSalaryHike]]&lt;=13,1,IF(HR_Data[[#This Row],[PercentSalaryHike]]&lt;=16,2,IF(HR_Data[[#This Row],[PercentSalaryHike]]&lt;=19,3,4)))</f>
        <v>2</v>
      </c>
      <c r="AQ1024" s="1" t="str">
        <f>IF(HR_Data[[#This Row],[DistanceFromHome]]&lt;=5,"1 to 5",IF(HR_Data[[#This Row],[DistanceFromHome]]&lt;=10,"6 to 10",IF(HR_Data[[#This Row],[DistanceFromHome]]&lt;=20,"11 to 20","21 to 29")))</f>
        <v>1 to 5</v>
      </c>
      <c r="AR1024" s="1">
        <f>IF(HR_Data[[#This Row],[DistanceFromHome]]&lt;=5,1,IF(HR_Data[[#This Row],[DistanceFromHome]]&lt;=10,2,IF(HR_Data[[#This Row],[DistanceFromHome]]&lt;=20,3,4)))</f>
        <v>1</v>
      </c>
      <c r="AS1024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024" s="1">
        <f>IF(HR_Data[[#This Row],[TotalWorkingYears]]&lt;=5,1,IF(HR_Data[[#This Row],[TotalWorkingYears]]&lt;=10,2,IF(HR_Data[[#This Row],[TotalWorkingYears]]&lt;=20,3,4)))</f>
        <v>2</v>
      </c>
    </row>
    <row r="1025" spans="1:46" x14ac:dyDescent="0.25">
      <c r="A1025">
        <v>56</v>
      </c>
      <c r="B1025" t="s">
        <v>36</v>
      </c>
      <c r="C1025" t="s">
        <v>30</v>
      </c>
      <c r="D1025" t="s">
        <v>38</v>
      </c>
      <c r="E1025">
        <v>1</v>
      </c>
      <c r="F1025">
        <v>2</v>
      </c>
      <c r="G1025" t="s">
        <v>32</v>
      </c>
      <c r="H1025">
        <v>1441</v>
      </c>
      <c r="I1025">
        <v>1</v>
      </c>
      <c r="J1025" t="s">
        <v>33</v>
      </c>
      <c r="K1025">
        <v>3</v>
      </c>
      <c r="L1025">
        <v>1</v>
      </c>
      <c r="M1025" t="s">
        <v>40</v>
      </c>
      <c r="N1025">
        <v>1</v>
      </c>
      <c r="O1025" t="s">
        <v>41</v>
      </c>
      <c r="P1025">
        <v>2066</v>
      </c>
      <c r="Q1025">
        <v>2</v>
      </c>
      <c r="R1025" t="s">
        <v>36</v>
      </c>
      <c r="S1025">
        <v>22</v>
      </c>
      <c r="T1025">
        <v>4</v>
      </c>
      <c r="U1025">
        <v>4</v>
      </c>
      <c r="V1025">
        <v>1</v>
      </c>
      <c r="W1025">
        <v>5</v>
      </c>
      <c r="X1025">
        <v>3</v>
      </c>
      <c r="Y1025">
        <v>4</v>
      </c>
      <c r="Z1025">
        <v>3</v>
      </c>
      <c r="AA1025">
        <v>2</v>
      </c>
      <c r="AB1025">
        <v>1</v>
      </c>
      <c r="AC1025">
        <v>0</v>
      </c>
      <c r="AD1025">
        <f>IF(HR_Data[[#This Row],[Attrition]]="Yes",1,0)</f>
        <v>0</v>
      </c>
      <c r="AE1025" t="str">
        <f>IF(HR_Data[[#This Row],[Age]]&lt;=25,"18-25",IF(HR_Data[[#This Row],[Age]]&lt;=35,"26-35",IF(HR_Data[[#This Row],[Age]]&lt;=45,"36-45",IF(HR_Data[[#This Row],[Age]]&lt;=55,"46-55","55+"))))</f>
        <v>55+</v>
      </c>
      <c r="AF1025">
        <f>IF(HR_Data[[#This Row],[Age]]&lt;=25,1,IF(HR_Data[[#This Row],[Age]]&lt;=35,2,IF(HR_Data[[#This Row],[Age]]&lt;=45,3,IF(HR_Data[[#This Row],[Age]]&lt;=55,4,5))))</f>
        <v>5</v>
      </c>
      <c r="AG1025" s="1" t="str">
        <f>IF(HR_Data[[#This Row],[MonthlyIncome]]&lt;3000,"&lt;3K",IF(HR_Data[[#This Row],[MonthlyIncome]]&lt;6000,"3K-6K",IF(HR_Data[[#This Row],[MonthlyIncome]]&lt;10000,"6K-10K","10K+")))</f>
        <v>&lt;3K</v>
      </c>
      <c r="AH1025" s="1">
        <f>IF(HR_Data[[#This Row],[MonthlyIncome]]&lt;3000,1,IF(HR_Data[[#This Row],[MonthlyIncome]]&lt;6000,2,IF(HR_Data[[#This Row],[MonthlyIncome]]&lt;10000,3,4)))</f>
        <v>1</v>
      </c>
      <c r="AI1025" s="1" t="str">
        <f>IF(HR_Data[[#This Row],[YearsAtCompany]]&lt;=2,"0-2 Yrs",IF(HR_Data[[#This Row],[YearsAtCompany]]&lt;=5,"3-5 Yrs",IF(HR_Data[[#This Row],[YearsAtCompany]]&lt;=10,"6-10 Yrs","10+ Yrs")))</f>
        <v>3-5 Yrs</v>
      </c>
      <c r="AJ1025" s="1">
        <f>IF(HR_Data[[#This Row],[YearsAtCompany]]&lt;=2,1,IF(HR_Data[[#This Row],[YearsAtCompany]]&lt;=5,2,IF(HR_Data[[#This Row],[YearsAtCompany]]&lt;=10,3,4)))</f>
        <v>2</v>
      </c>
      <c r="AK1025" s="1" t="str">
        <f>CHOOSE(HR_Data[[#This Row],[Education]],"Below College","College","Bachelor","Master","Doctor")</f>
        <v>College</v>
      </c>
      <c r="AL1025" s="1" t="str">
        <f>CHOOSE(HR_Data[[#This Row],[JobSatisfaction]],"Low","Medium","High","Very High")</f>
        <v>Low</v>
      </c>
      <c r="AM1025" s="1" t="str">
        <f>CHOOSE(HR_Data[[#This Row],[EnvironmentSatisfaction]],"Low","Medium","High","Very High")</f>
        <v>Low</v>
      </c>
      <c r="AN1025" s="1" t="str">
        <f>CHOOSE(HR_Data[[#This Row],[WorkLifeBalance]],"Bad","Good","Better","Best")</f>
        <v>Best</v>
      </c>
      <c r="AO1025" s="1" t="str">
        <f>IF(HR_Data[[#This Row],[PercentSalaryHike]]&lt;=13,"11-13%",IF(HR_Data[[#This Row],[PercentSalaryHike]]&lt;=16,"14-16%",IF(HR_Data[[#This Row],[PercentSalaryHike]]&lt;=19,"17-19%","20-25%")))</f>
        <v>20-25%</v>
      </c>
      <c r="AP1025" s="1">
        <f>IF(HR_Data[[#This Row],[PercentSalaryHike]]&lt;=13,1,IF(HR_Data[[#This Row],[PercentSalaryHike]]&lt;=16,2,IF(HR_Data[[#This Row],[PercentSalaryHike]]&lt;=19,3,4)))</f>
        <v>4</v>
      </c>
      <c r="AQ1025" s="1" t="str">
        <f>IF(HR_Data[[#This Row],[DistanceFromHome]]&lt;=5,"1 to 5",IF(HR_Data[[#This Row],[DistanceFromHome]]&lt;=10,"6 to 10",IF(HR_Data[[#This Row],[DistanceFromHome]]&lt;=20,"11 to 20","21 to 29")))</f>
        <v>1 to 5</v>
      </c>
      <c r="AR1025" s="1">
        <f>IF(HR_Data[[#This Row],[DistanceFromHome]]&lt;=5,1,IF(HR_Data[[#This Row],[DistanceFromHome]]&lt;=10,2,IF(HR_Data[[#This Row],[DistanceFromHome]]&lt;=20,3,4)))</f>
        <v>1</v>
      </c>
      <c r="AS1025" s="1" t="str">
        <f>IF(HR_Data[[#This Row],[TotalWorkingYears]]&lt;=5,"0-5 Yrs",IF(HR_Data[[#This Row],[TotalWorkingYears]]&lt;=10,"6-10 Yrs",IF(HR_Data[[#This Row],[TotalWorkingYears]]&lt;=20,"11-20 Yrs","20+ Yrs")))</f>
        <v>0-5 Yrs</v>
      </c>
      <c r="AT1025" s="1">
        <f>IF(HR_Data[[#This Row],[TotalWorkingYears]]&lt;=5,1,IF(HR_Data[[#This Row],[TotalWorkingYears]]&lt;=10,2,IF(HR_Data[[#This Row],[TotalWorkingYears]]&lt;=20,3,4)))</f>
        <v>1</v>
      </c>
    </row>
    <row r="1026" spans="1:46" x14ac:dyDescent="0.25">
      <c r="A1026">
        <v>47</v>
      </c>
      <c r="B1026" t="s">
        <v>36</v>
      </c>
      <c r="C1026" t="s">
        <v>30</v>
      </c>
      <c r="D1026" t="s">
        <v>38</v>
      </c>
      <c r="E1026">
        <v>2</v>
      </c>
      <c r="F1026">
        <v>4</v>
      </c>
      <c r="G1026" t="s">
        <v>44</v>
      </c>
      <c r="H1026">
        <v>1443</v>
      </c>
      <c r="I1026">
        <v>1</v>
      </c>
      <c r="J1026" t="s">
        <v>33</v>
      </c>
      <c r="K1026">
        <v>3</v>
      </c>
      <c r="L1026">
        <v>4</v>
      </c>
      <c r="M1026" t="s">
        <v>51</v>
      </c>
      <c r="N1026">
        <v>3</v>
      </c>
      <c r="O1026" t="s">
        <v>41</v>
      </c>
      <c r="P1026">
        <v>17169</v>
      </c>
      <c r="Q1026">
        <v>3</v>
      </c>
      <c r="R1026" t="s">
        <v>36</v>
      </c>
      <c r="S1026">
        <v>19</v>
      </c>
      <c r="T1026">
        <v>3</v>
      </c>
      <c r="U1026">
        <v>2</v>
      </c>
      <c r="V1026">
        <v>2</v>
      </c>
      <c r="W1026">
        <v>26</v>
      </c>
      <c r="X1026">
        <v>2</v>
      </c>
      <c r="Y1026">
        <v>4</v>
      </c>
      <c r="Z1026">
        <v>20</v>
      </c>
      <c r="AA1026">
        <v>17</v>
      </c>
      <c r="AB1026">
        <v>5</v>
      </c>
      <c r="AC1026">
        <v>6</v>
      </c>
      <c r="AD1026">
        <f>IF(HR_Data[[#This Row],[Attrition]]="Yes",1,0)</f>
        <v>0</v>
      </c>
      <c r="AE1026" t="str">
        <f>IF(HR_Data[[#This Row],[Age]]&lt;=25,"18-25",IF(HR_Data[[#This Row],[Age]]&lt;=35,"26-35",IF(HR_Data[[#This Row],[Age]]&lt;=45,"36-45",IF(HR_Data[[#This Row],[Age]]&lt;=55,"46-55","55+"))))</f>
        <v>46-55</v>
      </c>
      <c r="AF1026">
        <f>IF(HR_Data[[#This Row],[Age]]&lt;=25,1,IF(HR_Data[[#This Row],[Age]]&lt;=35,2,IF(HR_Data[[#This Row],[Age]]&lt;=45,3,IF(HR_Data[[#This Row],[Age]]&lt;=55,4,5))))</f>
        <v>4</v>
      </c>
      <c r="AG1026" s="1" t="str">
        <f>IF(HR_Data[[#This Row],[MonthlyIncome]]&lt;3000,"&lt;3K",IF(HR_Data[[#This Row],[MonthlyIncome]]&lt;6000,"3K-6K",IF(HR_Data[[#This Row],[MonthlyIncome]]&lt;10000,"6K-10K","10K+")))</f>
        <v>10K+</v>
      </c>
      <c r="AH1026" s="1">
        <f>IF(HR_Data[[#This Row],[MonthlyIncome]]&lt;3000,1,IF(HR_Data[[#This Row],[MonthlyIncome]]&lt;6000,2,IF(HR_Data[[#This Row],[MonthlyIncome]]&lt;10000,3,4)))</f>
        <v>4</v>
      </c>
      <c r="AI1026" s="1" t="str">
        <f>IF(HR_Data[[#This Row],[YearsAtCompany]]&lt;=2,"0-2 Yrs",IF(HR_Data[[#This Row],[YearsAtCompany]]&lt;=5,"3-5 Yrs",IF(HR_Data[[#This Row],[YearsAtCompany]]&lt;=10,"6-10 Yrs","10+ Yrs")))</f>
        <v>10+ Yrs</v>
      </c>
      <c r="AJ1026" s="1">
        <f>IF(HR_Data[[#This Row],[YearsAtCompany]]&lt;=2,1,IF(HR_Data[[#This Row],[YearsAtCompany]]&lt;=5,2,IF(HR_Data[[#This Row],[YearsAtCompany]]&lt;=10,3,4)))</f>
        <v>4</v>
      </c>
      <c r="AK1026" s="1" t="str">
        <f>CHOOSE(HR_Data[[#This Row],[Education]],"Below College","College","Bachelor","Master","Doctor")</f>
        <v>Master</v>
      </c>
      <c r="AL1026" s="1" t="str">
        <f>CHOOSE(HR_Data[[#This Row],[JobSatisfaction]],"Low","Medium","High","Very High")</f>
        <v>High</v>
      </c>
      <c r="AM1026" s="1" t="str">
        <f>CHOOSE(HR_Data[[#This Row],[EnvironmentSatisfaction]],"Low","Medium","High","Very High")</f>
        <v>Low</v>
      </c>
      <c r="AN1026" s="1" t="str">
        <f>CHOOSE(HR_Data[[#This Row],[WorkLifeBalance]],"Bad","Good","Better","Best")</f>
        <v>Best</v>
      </c>
      <c r="AO1026" s="1" t="str">
        <f>IF(HR_Data[[#This Row],[PercentSalaryHike]]&lt;=13,"11-13%",IF(HR_Data[[#This Row],[PercentSalaryHike]]&lt;=16,"14-16%",IF(HR_Data[[#This Row],[PercentSalaryHike]]&lt;=19,"17-19%","20-25%")))</f>
        <v>17-19%</v>
      </c>
      <c r="AP1026" s="1">
        <f>IF(HR_Data[[#This Row],[PercentSalaryHike]]&lt;=13,1,IF(HR_Data[[#This Row],[PercentSalaryHike]]&lt;=16,2,IF(HR_Data[[#This Row],[PercentSalaryHike]]&lt;=19,3,4)))</f>
        <v>3</v>
      </c>
      <c r="AQ1026" s="1" t="str">
        <f>IF(HR_Data[[#This Row],[DistanceFromHome]]&lt;=5,"1 to 5",IF(HR_Data[[#This Row],[DistanceFromHome]]&lt;=10,"6 to 10",IF(HR_Data[[#This Row],[DistanceFromHome]]&lt;=20,"11 to 20","21 to 29")))</f>
        <v>1 to 5</v>
      </c>
      <c r="AR1026" s="1">
        <f>IF(HR_Data[[#This Row],[DistanceFromHome]]&lt;=5,1,IF(HR_Data[[#This Row],[DistanceFromHome]]&lt;=10,2,IF(HR_Data[[#This Row],[DistanceFromHome]]&lt;=20,3,4)))</f>
        <v>1</v>
      </c>
      <c r="AS1026" s="1" t="str">
        <f>IF(HR_Data[[#This Row],[TotalWorkingYears]]&lt;=5,"0-5 Yrs",IF(HR_Data[[#This Row],[TotalWorkingYears]]&lt;=10,"6-10 Yrs",IF(HR_Data[[#This Row],[TotalWorkingYears]]&lt;=20,"11-20 Yrs","20+ Yrs")))</f>
        <v>20+ Yrs</v>
      </c>
      <c r="AT1026" s="1">
        <f>IF(HR_Data[[#This Row],[TotalWorkingYears]]&lt;=5,1,IF(HR_Data[[#This Row],[TotalWorkingYears]]&lt;=10,2,IF(HR_Data[[#This Row],[TotalWorkingYears]]&lt;=20,3,4)))</f>
        <v>4</v>
      </c>
    </row>
    <row r="1027" spans="1:46" x14ac:dyDescent="0.25">
      <c r="A1027">
        <v>24</v>
      </c>
      <c r="B1027" t="s">
        <v>36</v>
      </c>
      <c r="C1027" t="s">
        <v>30</v>
      </c>
      <c r="D1027" t="s">
        <v>31</v>
      </c>
      <c r="E1027">
        <v>4</v>
      </c>
      <c r="F1027">
        <v>1</v>
      </c>
      <c r="G1027" t="s">
        <v>44</v>
      </c>
      <c r="H1027">
        <v>1445</v>
      </c>
      <c r="I1027">
        <v>4</v>
      </c>
      <c r="J1027" t="s">
        <v>33</v>
      </c>
      <c r="K1027">
        <v>3</v>
      </c>
      <c r="L1027">
        <v>2</v>
      </c>
      <c r="M1027" t="s">
        <v>34</v>
      </c>
      <c r="N1027">
        <v>3</v>
      </c>
      <c r="O1027" t="s">
        <v>41</v>
      </c>
      <c r="P1027">
        <v>4162</v>
      </c>
      <c r="Q1027">
        <v>1</v>
      </c>
      <c r="R1027" t="s">
        <v>29</v>
      </c>
      <c r="S1027">
        <v>12</v>
      </c>
      <c r="T1027">
        <v>3</v>
      </c>
      <c r="U1027">
        <v>3</v>
      </c>
      <c r="V1027">
        <v>2</v>
      </c>
      <c r="W1027">
        <v>5</v>
      </c>
      <c r="X1027">
        <v>3</v>
      </c>
      <c r="Y1027">
        <v>3</v>
      </c>
      <c r="Z1027">
        <v>5</v>
      </c>
      <c r="AA1027">
        <v>4</v>
      </c>
      <c r="AB1027">
        <v>0</v>
      </c>
      <c r="AC1027">
        <v>3</v>
      </c>
      <c r="AD1027">
        <f>IF(HR_Data[[#This Row],[Attrition]]="Yes",1,0)</f>
        <v>0</v>
      </c>
      <c r="AE1027" t="str">
        <f>IF(HR_Data[[#This Row],[Age]]&lt;=25,"18-25",IF(HR_Data[[#This Row],[Age]]&lt;=35,"26-35",IF(HR_Data[[#This Row],[Age]]&lt;=45,"36-45",IF(HR_Data[[#This Row],[Age]]&lt;=55,"46-55","55+"))))</f>
        <v>18-25</v>
      </c>
      <c r="AF1027">
        <f>IF(HR_Data[[#This Row],[Age]]&lt;=25,1,IF(HR_Data[[#This Row],[Age]]&lt;=35,2,IF(HR_Data[[#This Row],[Age]]&lt;=45,3,IF(HR_Data[[#This Row],[Age]]&lt;=55,4,5))))</f>
        <v>1</v>
      </c>
      <c r="AG1027" s="1" t="str">
        <f>IF(HR_Data[[#This Row],[MonthlyIncome]]&lt;3000,"&lt;3K",IF(HR_Data[[#This Row],[MonthlyIncome]]&lt;6000,"3K-6K",IF(HR_Data[[#This Row],[MonthlyIncome]]&lt;10000,"6K-10K","10K+")))</f>
        <v>3K-6K</v>
      </c>
      <c r="AH1027" s="1">
        <f>IF(HR_Data[[#This Row],[MonthlyIncome]]&lt;3000,1,IF(HR_Data[[#This Row],[MonthlyIncome]]&lt;6000,2,IF(HR_Data[[#This Row],[MonthlyIncome]]&lt;10000,3,4)))</f>
        <v>2</v>
      </c>
      <c r="AI1027" s="1" t="str">
        <f>IF(HR_Data[[#This Row],[YearsAtCompany]]&lt;=2,"0-2 Yrs",IF(HR_Data[[#This Row],[YearsAtCompany]]&lt;=5,"3-5 Yrs",IF(HR_Data[[#This Row],[YearsAtCompany]]&lt;=10,"6-10 Yrs","10+ Yrs")))</f>
        <v>3-5 Yrs</v>
      </c>
      <c r="AJ1027" s="1">
        <f>IF(HR_Data[[#This Row],[YearsAtCompany]]&lt;=2,1,IF(HR_Data[[#This Row],[YearsAtCompany]]&lt;=5,2,IF(HR_Data[[#This Row],[YearsAtCompany]]&lt;=10,3,4)))</f>
        <v>2</v>
      </c>
      <c r="AK1027" s="1" t="str">
        <f>CHOOSE(HR_Data[[#This Row],[Education]],"Below College","College","Bachelor","Master","Doctor")</f>
        <v>Below College</v>
      </c>
      <c r="AL1027" s="1" t="str">
        <f>CHOOSE(HR_Data[[#This Row],[JobSatisfaction]],"Low","Medium","High","Very High")</f>
        <v>High</v>
      </c>
      <c r="AM1027" s="1" t="str">
        <f>CHOOSE(HR_Data[[#This Row],[EnvironmentSatisfaction]],"Low","Medium","High","Very High")</f>
        <v>Very High</v>
      </c>
      <c r="AN1027" s="1" t="str">
        <f>CHOOSE(HR_Data[[#This Row],[WorkLifeBalance]],"Bad","Good","Better","Best")</f>
        <v>Better</v>
      </c>
      <c r="AO1027" s="1" t="str">
        <f>IF(HR_Data[[#This Row],[PercentSalaryHike]]&lt;=13,"11-13%",IF(HR_Data[[#This Row],[PercentSalaryHike]]&lt;=16,"14-16%",IF(HR_Data[[#This Row],[PercentSalaryHike]]&lt;=19,"17-19%","20-25%")))</f>
        <v>11-13%</v>
      </c>
      <c r="AP1027" s="1">
        <f>IF(HR_Data[[#This Row],[PercentSalaryHike]]&lt;=13,1,IF(HR_Data[[#This Row],[PercentSalaryHike]]&lt;=16,2,IF(HR_Data[[#This Row],[PercentSalaryHike]]&lt;=19,3,4)))</f>
        <v>1</v>
      </c>
      <c r="AQ1027" s="1" t="str">
        <f>IF(HR_Data[[#This Row],[DistanceFromHome]]&lt;=5,"1 to 5",IF(HR_Data[[#This Row],[DistanceFromHome]]&lt;=10,"6 to 10",IF(HR_Data[[#This Row],[DistanceFromHome]]&lt;=20,"11 to 20","21 to 29")))</f>
        <v>1 to 5</v>
      </c>
      <c r="AR1027" s="1">
        <f>IF(HR_Data[[#This Row],[DistanceFromHome]]&lt;=5,1,IF(HR_Data[[#This Row],[DistanceFromHome]]&lt;=10,2,IF(HR_Data[[#This Row],[DistanceFromHome]]&lt;=20,3,4)))</f>
        <v>1</v>
      </c>
      <c r="AS1027" s="1" t="str">
        <f>IF(HR_Data[[#This Row],[TotalWorkingYears]]&lt;=5,"0-5 Yrs",IF(HR_Data[[#This Row],[TotalWorkingYears]]&lt;=10,"6-10 Yrs",IF(HR_Data[[#This Row],[TotalWorkingYears]]&lt;=20,"11-20 Yrs","20+ Yrs")))</f>
        <v>0-5 Yrs</v>
      </c>
      <c r="AT1027" s="1">
        <f>IF(HR_Data[[#This Row],[TotalWorkingYears]]&lt;=5,1,IF(HR_Data[[#This Row],[TotalWorkingYears]]&lt;=10,2,IF(HR_Data[[#This Row],[TotalWorkingYears]]&lt;=20,3,4)))</f>
        <v>1</v>
      </c>
    </row>
    <row r="1028" spans="1:46" x14ac:dyDescent="0.25">
      <c r="A1028">
        <v>32</v>
      </c>
      <c r="B1028" t="s">
        <v>36</v>
      </c>
      <c r="C1028" t="s">
        <v>30</v>
      </c>
      <c r="D1028" t="s">
        <v>31</v>
      </c>
      <c r="E1028">
        <v>7</v>
      </c>
      <c r="F1028">
        <v>5</v>
      </c>
      <c r="G1028" t="s">
        <v>52</v>
      </c>
      <c r="H1028">
        <v>1446</v>
      </c>
      <c r="I1028">
        <v>4</v>
      </c>
      <c r="J1028" t="s">
        <v>39</v>
      </c>
      <c r="K1028">
        <v>3</v>
      </c>
      <c r="L1028">
        <v>2</v>
      </c>
      <c r="M1028" t="s">
        <v>34</v>
      </c>
      <c r="N1028">
        <v>4</v>
      </c>
      <c r="O1028" t="s">
        <v>41</v>
      </c>
      <c r="P1028">
        <v>9204</v>
      </c>
      <c r="Q1028">
        <v>4</v>
      </c>
      <c r="R1028" t="s">
        <v>36</v>
      </c>
      <c r="S1028">
        <v>12</v>
      </c>
      <c r="T1028">
        <v>3</v>
      </c>
      <c r="U1028">
        <v>3</v>
      </c>
      <c r="V1028">
        <v>1</v>
      </c>
      <c r="W1028">
        <v>7</v>
      </c>
      <c r="X1028">
        <v>3</v>
      </c>
      <c r="Y1028">
        <v>2</v>
      </c>
      <c r="Z1028">
        <v>4</v>
      </c>
      <c r="AA1028">
        <v>3</v>
      </c>
      <c r="AB1028">
        <v>0</v>
      </c>
      <c r="AC1028">
        <v>3</v>
      </c>
      <c r="AD1028">
        <f>IF(HR_Data[[#This Row],[Attrition]]="Yes",1,0)</f>
        <v>0</v>
      </c>
      <c r="AE1028" t="str">
        <f>IF(HR_Data[[#This Row],[Age]]&lt;=25,"18-25",IF(HR_Data[[#This Row],[Age]]&lt;=35,"26-35",IF(HR_Data[[#This Row],[Age]]&lt;=45,"36-45",IF(HR_Data[[#This Row],[Age]]&lt;=55,"46-55","55+"))))</f>
        <v>26-35</v>
      </c>
      <c r="AF1028">
        <f>IF(HR_Data[[#This Row],[Age]]&lt;=25,1,IF(HR_Data[[#This Row],[Age]]&lt;=35,2,IF(HR_Data[[#This Row],[Age]]&lt;=45,3,IF(HR_Data[[#This Row],[Age]]&lt;=55,4,5))))</f>
        <v>2</v>
      </c>
      <c r="AG1028" s="1" t="str">
        <f>IF(HR_Data[[#This Row],[MonthlyIncome]]&lt;3000,"&lt;3K",IF(HR_Data[[#This Row],[MonthlyIncome]]&lt;6000,"3K-6K",IF(HR_Data[[#This Row],[MonthlyIncome]]&lt;10000,"6K-10K","10K+")))</f>
        <v>6K-10K</v>
      </c>
      <c r="AH1028" s="1">
        <f>IF(HR_Data[[#This Row],[MonthlyIncome]]&lt;3000,1,IF(HR_Data[[#This Row],[MonthlyIncome]]&lt;6000,2,IF(HR_Data[[#This Row],[MonthlyIncome]]&lt;10000,3,4)))</f>
        <v>3</v>
      </c>
      <c r="AI1028" s="1" t="str">
        <f>IF(HR_Data[[#This Row],[YearsAtCompany]]&lt;=2,"0-2 Yrs",IF(HR_Data[[#This Row],[YearsAtCompany]]&lt;=5,"3-5 Yrs",IF(HR_Data[[#This Row],[YearsAtCompany]]&lt;=10,"6-10 Yrs","10+ Yrs")))</f>
        <v>3-5 Yrs</v>
      </c>
      <c r="AJ1028" s="1">
        <f>IF(HR_Data[[#This Row],[YearsAtCompany]]&lt;=2,1,IF(HR_Data[[#This Row],[YearsAtCompany]]&lt;=5,2,IF(HR_Data[[#This Row],[YearsAtCompany]]&lt;=10,3,4)))</f>
        <v>2</v>
      </c>
      <c r="AK1028" s="1" t="str">
        <f>CHOOSE(HR_Data[[#This Row],[Education]],"Below College","College","Bachelor","Master","Doctor")</f>
        <v>Doctor</v>
      </c>
      <c r="AL1028" s="1" t="str">
        <f>CHOOSE(HR_Data[[#This Row],[JobSatisfaction]],"Low","Medium","High","Very High")</f>
        <v>Very High</v>
      </c>
      <c r="AM1028" s="1" t="str">
        <f>CHOOSE(HR_Data[[#This Row],[EnvironmentSatisfaction]],"Low","Medium","High","Very High")</f>
        <v>Very High</v>
      </c>
      <c r="AN1028" s="1" t="str">
        <f>CHOOSE(HR_Data[[#This Row],[WorkLifeBalance]],"Bad","Good","Better","Best")</f>
        <v>Good</v>
      </c>
      <c r="AO1028" s="1" t="str">
        <f>IF(HR_Data[[#This Row],[PercentSalaryHike]]&lt;=13,"11-13%",IF(HR_Data[[#This Row],[PercentSalaryHike]]&lt;=16,"14-16%",IF(HR_Data[[#This Row],[PercentSalaryHike]]&lt;=19,"17-19%","20-25%")))</f>
        <v>11-13%</v>
      </c>
      <c r="AP1028" s="1">
        <f>IF(HR_Data[[#This Row],[PercentSalaryHike]]&lt;=13,1,IF(HR_Data[[#This Row],[PercentSalaryHike]]&lt;=16,2,IF(HR_Data[[#This Row],[PercentSalaryHike]]&lt;=19,3,4)))</f>
        <v>1</v>
      </c>
      <c r="AQ1028" s="1" t="str">
        <f>IF(HR_Data[[#This Row],[DistanceFromHome]]&lt;=5,"1 to 5",IF(HR_Data[[#This Row],[DistanceFromHome]]&lt;=10,"6 to 10",IF(HR_Data[[#This Row],[DistanceFromHome]]&lt;=20,"11 to 20","21 to 29")))</f>
        <v>6 to 10</v>
      </c>
      <c r="AR1028" s="1">
        <f>IF(HR_Data[[#This Row],[DistanceFromHome]]&lt;=5,1,IF(HR_Data[[#This Row],[DistanceFromHome]]&lt;=10,2,IF(HR_Data[[#This Row],[DistanceFromHome]]&lt;=20,3,4)))</f>
        <v>2</v>
      </c>
      <c r="AS1028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028" s="1">
        <f>IF(HR_Data[[#This Row],[TotalWorkingYears]]&lt;=5,1,IF(HR_Data[[#This Row],[TotalWorkingYears]]&lt;=10,2,IF(HR_Data[[#This Row],[TotalWorkingYears]]&lt;=20,3,4)))</f>
        <v>2</v>
      </c>
    </row>
    <row r="1029" spans="1:46" x14ac:dyDescent="0.25">
      <c r="A1029">
        <v>34</v>
      </c>
      <c r="B1029" t="s">
        <v>36</v>
      </c>
      <c r="C1029" t="s">
        <v>30</v>
      </c>
      <c r="D1029" t="s">
        <v>38</v>
      </c>
      <c r="E1029">
        <v>1</v>
      </c>
      <c r="F1029">
        <v>3</v>
      </c>
      <c r="G1029" t="s">
        <v>32</v>
      </c>
      <c r="H1029">
        <v>1447</v>
      </c>
      <c r="I1029">
        <v>4</v>
      </c>
      <c r="J1029" t="s">
        <v>33</v>
      </c>
      <c r="K1029">
        <v>2</v>
      </c>
      <c r="L1029">
        <v>1</v>
      </c>
      <c r="M1029" t="s">
        <v>43</v>
      </c>
      <c r="N1029">
        <v>2</v>
      </c>
      <c r="O1029" t="s">
        <v>41</v>
      </c>
      <c r="P1029">
        <v>3294</v>
      </c>
      <c r="Q1029">
        <v>5</v>
      </c>
      <c r="R1029" t="s">
        <v>36</v>
      </c>
      <c r="S1029">
        <v>17</v>
      </c>
      <c r="T1029">
        <v>3</v>
      </c>
      <c r="U1029">
        <v>1</v>
      </c>
      <c r="V1029">
        <v>1</v>
      </c>
      <c r="W1029">
        <v>7</v>
      </c>
      <c r="X1029">
        <v>2</v>
      </c>
      <c r="Y1029">
        <v>2</v>
      </c>
      <c r="Z1029">
        <v>5</v>
      </c>
      <c r="AA1029">
        <v>4</v>
      </c>
      <c r="AB1029">
        <v>0</v>
      </c>
      <c r="AC1029">
        <v>2</v>
      </c>
      <c r="AD1029">
        <f>IF(HR_Data[[#This Row],[Attrition]]="Yes",1,0)</f>
        <v>0</v>
      </c>
      <c r="AE1029" t="str">
        <f>IF(HR_Data[[#This Row],[Age]]&lt;=25,"18-25",IF(HR_Data[[#This Row],[Age]]&lt;=35,"26-35",IF(HR_Data[[#This Row],[Age]]&lt;=45,"36-45",IF(HR_Data[[#This Row],[Age]]&lt;=55,"46-55","55+"))))</f>
        <v>26-35</v>
      </c>
      <c r="AF1029">
        <f>IF(HR_Data[[#This Row],[Age]]&lt;=25,1,IF(HR_Data[[#This Row],[Age]]&lt;=35,2,IF(HR_Data[[#This Row],[Age]]&lt;=45,3,IF(HR_Data[[#This Row],[Age]]&lt;=55,4,5))))</f>
        <v>2</v>
      </c>
      <c r="AG1029" s="1" t="str">
        <f>IF(HR_Data[[#This Row],[MonthlyIncome]]&lt;3000,"&lt;3K",IF(HR_Data[[#This Row],[MonthlyIncome]]&lt;6000,"3K-6K",IF(HR_Data[[#This Row],[MonthlyIncome]]&lt;10000,"6K-10K","10K+")))</f>
        <v>3K-6K</v>
      </c>
      <c r="AH1029" s="1">
        <f>IF(HR_Data[[#This Row],[MonthlyIncome]]&lt;3000,1,IF(HR_Data[[#This Row],[MonthlyIncome]]&lt;6000,2,IF(HR_Data[[#This Row],[MonthlyIncome]]&lt;10000,3,4)))</f>
        <v>2</v>
      </c>
      <c r="AI1029" s="1" t="str">
        <f>IF(HR_Data[[#This Row],[YearsAtCompany]]&lt;=2,"0-2 Yrs",IF(HR_Data[[#This Row],[YearsAtCompany]]&lt;=5,"3-5 Yrs",IF(HR_Data[[#This Row],[YearsAtCompany]]&lt;=10,"6-10 Yrs","10+ Yrs")))</f>
        <v>3-5 Yrs</v>
      </c>
      <c r="AJ1029" s="1">
        <f>IF(HR_Data[[#This Row],[YearsAtCompany]]&lt;=2,1,IF(HR_Data[[#This Row],[YearsAtCompany]]&lt;=5,2,IF(HR_Data[[#This Row],[YearsAtCompany]]&lt;=10,3,4)))</f>
        <v>2</v>
      </c>
      <c r="AK1029" s="1" t="str">
        <f>CHOOSE(HR_Data[[#This Row],[Education]],"Below College","College","Bachelor","Master","Doctor")</f>
        <v>Bachelor</v>
      </c>
      <c r="AL1029" s="1" t="str">
        <f>CHOOSE(HR_Data[[#This Row],[JobSatisfaction]],"Low","Medium","High","Very High")</f>
        <v>Medium</v>
      </c>
      <c r="AM1029" s="1" t="str">
        <f>CHOOSE(HR_Data[[#This Row],[EnvironmentSatisfaction]],"Low","Medium","High","Very High")</f>
        <v>Very High</v>
      </c>
      <c r="AN1029" s="1" t="str">
        <f>CHOOSE(HR_Data[[#This Row],[WorkLifeBalance]],"Bad","Good","Better","Best")</f>
        <v>Good</v>
      </c>
      <c r="AO1029" s="1" t="str">
        <f>IF(HR_Data[[#This Row],[PercentSalaryHike]]&lt;=13,"11-13%",IF(HR_Data[[#This Row],[PercentSalaryHike]]&lt;=16,"14-16%",IF(HR_Data[[#This Row],[PercentSalaryHike]]&lt;=19,"17-19%","20-25%")))</f>
        <v>17-19%</v>
      </c>
      <c r="AP1029" s="1">
        <f>IF(HR_Data[[#This Row],[PercentSalaryHike]]&lt;=13,1,IF(HR_Data[[#This Row],[PercentSalaryHike]]&lt;=16,2,IF(HR_Data[[#This Row],[PercentSalaryHike]]&lt;=19,3,4)))</f>
        <v>3</v>
      </c>
      <c r="AQ1029" s="1" t="str">
        <f>IF(HR_Data[[#This Row],[DistanceFromHome]]&lt;=5,"1 to 5",IF(HR_Data[[#This Row],[DistanceFromHome]]&lt;=10,"6 to 10",IF(HR_Data[[#This Row],[DistanceFromHome]]&lt;=20,"11 to 20","21 to 29")))</f>
        <v>1 to 5</v>
      </c>
      <c r="AR1029" s="1">
        <f>IF(HR_Data[[#This Row],[DistanceFromHome]]&lt;=5,1,IF(HR_Data[[#This Row],[DistanceFromHome]]&lt;=10,2,IF(HR_Data[[#This Row],[DistanceFromHome]]&lt;=20,3,4)))</f>
        <v>1</v>
      </c>
      <c r="AS1029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029" s="1">
        <f>IF(HR_Data[[#This Row],[TotalWorkingYears]]&lt;=5,1,IF(HR_Data[[#This Row],[TotalWorkingYears]]&lt;=10,2,IF(HR_Data[[#This Row],[TotalWorkingYears]]&lt;=20,3,4)))</f>
        <v>2</v>
      </c>
    </row>
    <row r="1030" spans="1:46" x14ac:dyDescent="0.25">
      <c r="A1030">
        <v>41</v>
      </c>
      <c r="B1030" t="s">
        <v>36</v>
      </c>
      <c r="C1030" t="s">
        <v>30</v>
      </c>
      <c r="D1030" t="s">
        <v>38</v>
      </c>
      <c r="E1030">
        <v>5</v>
      </c>
      <c r="F1030">
        <v>5</v>
      </c>
      <c r="G1030" t="s">
        <v>44</v>
      </c>
      <c r="H1030">
        <v>1448</v>
      </c>
      <c r="I1030">
        <v>2</v>
      </c>
      <c r="J1030" t="s">
        <v>39</v>
      </c>
      <c r="K1030">
        <v>4</v>
      </c>
      <c r="L1030">
        <v>1</v>
      </c>
      <c r="M1030" t="s">
        <v>40</v>
      </c>
      <c r="N1030">
        <v>3</v>
      </c>
      <c r="O1030" t="s">
        <v>41</v>
      </c>
      <c r="P1030">
        <v>2127</v>
      </c>
      <c r="Q1030">
        <v>2</v>
      </c>
      <c r="R1030" t="s">
        <v>29</v>
      </c>
      <c r="S1030">
        <v>12</v>
      </c>
      <c r="T1030">
        <v>3</v>
      </c>
      <c r="U1030">
        <v>1</v>
      </c>
      <c r="V1030">
        <v>0</v>
      </c>
      <c r="W1030">
        <v>7</v>
      </c>
      <c r="X1030">
        <v>5</v>
      </c>
      <c r="Y1030">
        <v>2</v>
      </c>
      <c r="Z1030">
        <v>4</v>
      </c>
      <c r="AA1030">
        <v>2</v>
      </c>
      <c r="AB1030">
        <v>0</v>
      </c>
      <c r="AC1030">
        <v>3</v>
      </c>
      <c r="AD1030">
        <f>IF(HR_Data[[#This Row],[Attrition]]="Yes",1,0)</f>
        <v>0</v>
      </c>
      <c r="AE1030" t="str">
        <f>IF(HR_Data[[#This Row],[Age]]&lt;=25,"18-25",IF(HR_Data[[#This Row],[Age]]&lt;=35,"26-35",IF(HR_Data[[#This Row],[Age]]&lt;=45,"36-45",IF(HR_Data[[#This Row],[Age]]&lt;=55,"46-55","55+"))))</f>
        <v>36-45</v>
      </c>
      <c r="AF1030">
        <f>IF(HR_Data[[#This Row],[Age]]&lt;=25,1,IF(HR_Data[[#This Row],[Age]]&lt;=35,2,IF(HR_Data[[#This Row],[Age]]&lt;=45,3,IF(HR_Data[[#This Row],[Age]]&lt;=55,4,5))))</f>
        <v>3</v>
      </c>
      <c r="AG1030" s="1" t="str">
        <f>IF(HR_Data[[#This Row],[MonthlyIncome]]&lt;3000,"&lt;3K",IF(HR_Data[[#This Row],[MonthlyIncome]]&lt;6000,"3K-6K",IF(HR_Data[[#This Row],[MonthlyIncome]]&lt;10000,"6K-10K","10K+")))</f>
        <v>&lt;3K</v>
      </c>
      <c r="AH1030" s="1">
        <f>IF(HR_Data[[#This Row],[MonthlyIncome]]&lt;3000,1,IF(HR_Data[[#This Row],[MonthlyIncome]]&lt;6000,2,IF(HR_Data[[#This Row],[MonthlyIncome]]&lt;10000,3,4)))</f>
        <v>1</v>
      </c>
      <c r="AI1030" s="1" t="str">
        <f>IF(HR_Data[[#This Row],[YearsAtCompany]]&lt;=2,"0-2 Yrs",IF(HR_Data[[#This Row],[YearsAtCompany]]&lt;=5,"3-5 Yrs",IF(HR_Data[[#This Row],[YearsAtCompany]]&lt;=10,"6-10 Yrs","10+ Yrs")))</f>
        <v>3-5 Yrs</v>
      </c>
      <c r="AJ1030" s="1">
        <f>IF(HR_Data[[#This Row],[YearsAtCompany]]&lt;=2,1,IF(HR_Data[[#This Row],[YearsAtCompany]]&lt;=5,2,IF(HR_Data[[#This Row],[YearsAtCompany]]&lt;=10,3,4)))</f>
        <v>2</v>
      </c>
      <c r="AK1030" s="1" t="str">
        <f>CHOOSE(HR_Data[[#This Row],[Education]],"Below College","College","Bachelor","Master","Doctor")</f>
        <v>Doctor</v>
      </c>
      <c r="AL1030" s="1" t="str">
        <f>CHOOSE(HR_Data[[#This Row],[JobSatisfaction]],"Low","Medium","High","Very High")</f>
        <v>High</v>
      </c>
      <c r="AM1030" s="1" t="str">
        <f>CHOOSE(HR_Data[[#This Row],[EnvironmentSatisfaction]],"Low","Medium","High","Very High")</f>
        <v>Medium</v>
      </c>
      <c r="AN1030" s="1" t="str">
        <f>CHOOSE(HR_Data[[#This Row],[WorkLifeBalance]],"Bad","Good","Better","Best")</f>
        <v>Good</v>
      </c>
      <c r="AO1030" s="1" t="str">
        <f>IF(HR_Data[[#This Row],[PercentSalaryHike]]&lt;=13,"11-13%",IF(HR_Data[[#This Row],[PercentSalaryHike]]&lt;=16,"14-16%",IF(HR_Data[[#This Row],[PercentSalaryHike]]&lt;=19,"17-19%","20-25%")))</f>
        <v>11-13%</v>
      </c>
      <c r="AP1030" s="1">
        <f>IF(HR_Data[[#This Row],[PercentSalaryHike]]&lt;=13,1,IF(HR_Data[[#This Row],[PercentSalaryHike]]&lt;=16,2,IF(HR_Data[[#This Row],[PercentSalaryHike]]&lt;=19,3,4)))</f>
        <v>1</v>
      </c>
      <c r="AQ1030" s="1" t="str">
        <f>IF(HR_Data[[#This Row],[DistanceFromHome]]&lt;=5,"1 to 5",IF(HR_Data[[#This Row],[DistanceFromHome]]&lt;=10,"6 to 10",IF(HR_Data[[#This Row],[DistanceFromHome]]&lt;=20,"11 to 20","21 to 29")))</f>
        <v>1 to 5</v>
      </c>
      <c r="AR1030" s="1">
        <f>IF(HR_Data[[#This Row],[DistanceFromHome]]&lt;=5,1,IF(HR_Data[[#This Row],[DistanceFromHome]]&lt;=10,2,IF(HR_Data[[#This Row],[DistanceFromHome]]&lt;=20,3,4)))</f>
        <v>1</v>
      </c>
      <c r="AS1030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030" s="1">
        <f>IF(HR_Data[[#This Row],[TotalWorkingYears]]&lt;=5,1,IF(HR_Data[[#This Row],[TotalWorkingYears]]&lt;=10,2,IF(HR_Data[[#This Row],[TotalWorkingYears]]&lt;=20,3,4)))</f>
        <v>2</v>
      </c>
    </row>
    <row r="1031" spans="1:46" x14ac:dyDescent="0.25">
      <c r="A1031">
        <v>40</v>
      </c>
      <c r="B1031" t="s">
        <v>36</v>
      </c>
      <c r="C1031" t="s">
        <v>48</v>
      </c>
      <c r="D1031" t="s">
        <v>38</v>
      </c>
      <c r="E1031">
        <v>9</v>
      </c>
      <c r="F1031">
        <v>4</v>
      </c>
      <c r="G1031" t="s">
        <v>42</v>
      </c>
      <c r="H1031">
        <v>1449</v>
      </c>
      <c r="I1031">
        <v>3</v>
      </c>
      <c r="J1031" t="s">
        <v>39</v>
      </c>
      <c r="K1031">
        <v>3</v>
      </c>
      <c r="L1031">
        <v>2</v>
      </c>
      <c r="M1031" t="s">
        <v>43</v>
      </c>
      <c r="N1031">
        <v>3</v>
      </c>
      <c r="O1031" t="s">
        <v>45</v>
      </c>
      <c r="P1031">
        <v>3975</v>
      </c>
      <c r="Q1031">
        <v>3</v>
      </c>
      <c r="R1031" t="s">
        <v>36</v>
      </c>
      <c r="S1031">
        <v>11</v>
      </c>
      <c r="T1031">
        <v>3</v>
      </c>
      <c r="U1031">
        <v>3</v>
      </c>
      <c r="V1031">
        <v>2</v>
      </c>
      <c r="W1031">
        <v>11</v>
      </c>
      <c r="X1031">
        <v>2</v>
      </c>
      <c r="Y1031">
        <v>4</v>
      </c>
      <c r="Z1031">
        <v>8</v>
      </c>
      <c r="AA1031">
        <v>7</v>
      </c>
      <c r="AB1031">
        <v>0</v>
      </c>
      <c r="AC1031">
        <v>7</v>
      </c>
      <c r="AD1031">
        <f>IF(HR_Data[[#This Row],[Attrition]]="Yes",1,0)</f>
        <v>0</v>
      </c>
      <c r="AE1031" t="str">
        <f>IF(HR_Data[[#This Row],[Age]]&lt;=25,"18-25",IF(HR_Data[[#This Row],[Age]]&lt;=35,"26-35",IF(HR_Data[[#This Row],[Age]]&lt;=45,"36-45",IF(HR_Data[[#This Row],[Age]]&lt;=55,"46-55","55+"))))</f>
        <v>36-45</v>
      </c>
      <c r="AF1031">
        <f>IF(HR_Data[[#This Row],[Age]]&lt;=25,1,IF(HR_Data[[#This Row],[Age]]&lt;=35,2,IF(HR_Data[[#This Row],[Age]]&lt;=45,3,IF(HR_Data[[#This Row],[Age]]&lt;=55,4,5))))</f>
        <v>3</v>
      </c>
      <c r="AG1031" s="1" t="str">
        <f>IF(HR_Data[[#This Row],[MonthlyIncome]]&lt;3000,"&lt;3K",IF(HR_Data[[#This Row],[MonthlyIncome]]&lt;6000,"3K-6K",IF(HR_Data[[#This Row],[MonthlyIncome]]&lt;10000,"6K-10K","10K+")))</f>
        <v>3K-6K</v>
      </c>
      <c r="AH1031" s="1">
        <f>IF(HR_Data[[#This Row],[MonthlyIncome]]&lt;3000,1,IF(HR_Data[[#This Row],[MonthlyIncome]]&lt;6000,2,IF(HR_Data[[#This Row],[MonthlyIncome]]&lt;10000,3,4)))</f>
        <v>2</v>
      </c>
      <c r="AI1031" s="1" t="str">
        <f>IF(HR_Data[[#This Row],[YearsAtCompany]]&lt;=2,"0-2 Yrs",IF(HR_Data[[#This Row],[YearsAtCompany]]&lt;=5,"3-5 Yrs",IF(HR_Data[[#This Row],[YearsAtCompany]]&lt;=10,"6-10 Yrs","10+ Yrs")))</f>
        <v>6-10 Yrs</v>
      </c>
      <c r="AJ1031" s="1">
        <f>IF(HR_Data[[#This Row],[YearsAtCompany]]&lt;=2,1,IF(HR_Data[[#This Row],[YearsAtCompany]]&lt;=5,2,IF(HR_Data[[#This Row],[YearsAtCompany]]&lt;=10,3,4)))</f>
        <v>3</v>
      </c>
      <c r="AK1031" s="1" t="str">
        <f>CHOOSE(HR_Data[[#This Row],[Education]],"Below College","College","Bachelor","Master","Doctor")</f>
        <v>Master</v>
      </c>
      <c r="AL1031" s="1" t="str">
        <f>CHOOSE(HR_Data[[#This Row],[JobSatisfaction]],"Low","Medium","High","Very High")</f>
        <v>High</v>
      </c>
      <c r="AM1031" s="1" t="str">
        <f>CHOOSE(HR_Data[[#This Row],[EnvironmentSatisfaction]],"Low","Medium","High","Very High")</f>
        <v>High</v>
      </c>
      <c r="AN1031" s="1" t="str">
        <f>CHOOSE(HR_Data[[#This Row],[WorkLifeBalance]],"Bad","Good","Better","Best")</f>
        <v>Best</v>
      </c>
      <c r="AO1031" s="1" t="str">
        <f>IF(HR_Data[[#This Row],[PercentSalaryHike]]&lt;=13,"11-13%",IF(HR_Data[[#This Row],[PercentSalaryHike]]&lt;=16,"14-16%",IF(HR_Data[[#This Row],[PercentSalaryHike]]&lt;=19,"17-19%","20-25%")))</f>
        <v>11-13%</v>
      </c>
      <c r="AP1031" s="1">
        <f>IF(HR_Data[[#This Row],[PercentSalaryHike]]&lt;=13,1,IF(HR_Data[[#This Row],[PercentSalaryHike]]&lt;=16,2,IF(HR_Data[[#This Row],[PercentSalaryHike]]&lt;=19,3,4)))</f>
        <v>1</v>
      </c>
      <c r="AQ1031" s="1" t="str">
        <f>IF(HR_Data[[#This Row],[DistanceFromHome]]&lt;=5,"1 to 5",IF(HR_Data[[#This Row],[DistanceFromHome]]&lt;=10,"6 to 10",IF(HR_Data[[#This Row],[DistanceFromHome]]&lt;=20,"11 to 20","21 to 29")))</f>
        <v>6 to 10</v>
      </c>
      <c r="AR1031" s="1">
        <f>IF(HR_Data[[#This Row],[DistanceFromHome]]&lt;=5,1,IF(HR_Data[[#This Row],[DistanceFromHome]]&lt;=10,2,IF(HR_Data[[#This Row],[DistanceFromHome]]&lt;=20,3,4)))</f>
        <v>2</v>
      </c>
      <c r="AS1031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031" s="1">
        <f>IF(HR_Data[[#This Row],[TotalWorkingYears]]&lt;=5,1,IF(HR_Data[[#This Row],[TotalWorkingYears]]&lt;=10,2,IF(HR_Data[[#This Row],[TotalWorkingYears]]&lt;=20,3,4)))</f>
        <v>3</v>
      </c>
    </row>
    <row r="1032" spans="1:46" x14ac:dyDescent="0.25">
      <c r="A1032">
        <v>31</v>
      </c>
      <c r="B1032" t="s">
        <v>36</v>
      </c>
      <c r="C1032" t="s">
        <v>30</v>
      </c>
      <c r="D1032" t="s">
        <v>31</v>
      </c>
      <c r="E1032">
        <v>8</v>
      </c>
      <c r="F1032">
        <v>2</v>
      </c>
      <c r="G1032" t="s">
        <v>32</v>
      </c>
      <c r="H1032">
        <v>1453</v>
      </c>
      <c r="I1032">
        <v>1</v>
      </c>
      <c r="J1032" t="s">
        <v>39</v>
      </c>
      <c r="K1032">
        <v>3</v>
      </c>
      <c r="L1032">
        <v>3</v>
      </c>
      <c r="M1032" t="s">
        <v>34</v>
      </c>
      <c r="N1032">
        <v>4</v>
      </c>
      <c r="O1032" t="s">
        <v>45</v>
      </c>
      <c r="P1032">
        <v>10793</v>
      </c>
      <c r="Q1032">
        <v>1</v>
      </c>
      <c r="R1032" t="s">
        <v>36</v>
      </c>
      <c r="S1032">
        <v>18</v>
      </c>
      <c r="T1032">
        <v>3</v>
      </c>
      <c r="U1032">
        <v>1</v>
      </c>
      <c r="V1032">
        <v>1</v>
      </c>
      <c r="W1032">
        <v>13</v>
      </c>
      <c r="X1032">
        <v>5</v>
      </c>
      <c r="Y1032">
        <v>3</v>
      </c>
      <c r="Z1032">
        <v>13</v>
      </c>
      <c r="AA1032">
        <v>7</v>
      </c>
      <c r="AB1032">
        <v>9</v>
      </c>
      <c r="AC1032">
        <v>9</v>
      </c>
      <c r="AD1032">
        <f>IF(HR_Data[[#This Row],[Attrition]]="Yes",1,0)</f>
        <v>0</v>
      </c>
      <c r="AE1032" t="str">
        <f>IF(HR_Data[[#This Row],[Age]]&lt;=25,"18-25",IF(HR_Data[[#This Row],[Age]]&lt;=35,"26-35",IF(HR_Data[[#This Row],[Age]]&lt;=45,"36-45",IF(HR_Data[[#This Row],[Age]]&lt;=55,"46-55","55+"))))</f>
        <v>26-35</v>
      </c>
      <c r="AF1032">
        <f>IF(HR_Data[[#This Row],[Age]]&lt;=25,1,IF(HR_Data[[#This Row],[Age]]&lt;=35,2,IF(HR_Data[[#This Row],[Age]]&lt;=45,3,IF(HR_Data[[#This Row],[Age]]&lt;=55,4,5))))</f>
        <v>2</v>
      </c>
      <c r="AG1032" s="1" t="str">
        <f>IF(HR_Data[[#This Row],[MonthlyIncome]]&lt;3000,"&lt;3K",IF(HR_Data[[#This Row],[MonthlyIncome]]&lt;6000,"3K-6K",IF(HR_Data[[#This Row],[MonthlyIncome]]&lt;10000,"6K-10K","10K+")))</f>
        <v>10K+</v>
      </c>
      <c r="AH1032" s="1">
        <f>IF(HR_Data[[#This Row],[MonthlyIncome]]&lt;3000,1,IF(HR_Data[[#This Row],[MonthlyIncome]]&lt;6000,2,IF(HR_Data[[#This Row],[MonthlyIncome]]&lt;10000,3,4)))</f>
        <v>4</v>
      </c>
      <c r="AI1032" s="1" t="str">
        <f>IF(HR_Data[[#This Row],[YearsAtCompany]]&lt;=2,"0-2 Yrs",IF(HR_Data[[#This Row],[YearsAtCompany]]&lt;=5,"3-5 Yrs",IF(HR_Data[[#This Row],[YearsAtCompany]]&lt;=10,"6-10 Yrs","10+ Yrs")))</f>
        <v>10+ Yrs</v>
      </c>
      <c r="AJ1032" s="1">
        <f>IF(HR_Data[[#This Row],[YearsAtCompany]]&lt;=2,1,IF(HR_Data[[#This Row],[YearsAtCompany]]&lt;=5,2,IF(HR_Data[[#This Row],[YearsAtCompany]]&lt;=10,3,4)))</f>
        <v>4</v>
      </c>
      <c r="AK1032" s="1" t="str">
        <f>CHOOSE(HR_Data[[#This Row],[Education]],"Below College","College","Bachelor","Master","Doctor")</f>
        <v>College</v>
      </c>
      <c r="AL1032" s="1" t="str">
        <f>CHOOSE(HR_Data[[#This Row],[JobSatisfaction]],"Low","Medium","High","Very High")</f>
        <v>Very High</v>
      </c>
      <c r="AM1032" s="1" t="str">
        <f>CHOOSE(HR_Data[[#This Row],[EnvironmentSatisfaction]],"Low","Medium","High","Very High")</f>
        <v>Low</v>
      </c>
      <c r="AN1032" s="1" t="str">
        <f>CHOOSE(HR_Data[[#This Row],[WorkLifeBalance]],"Bad","Good","Better","Best")</f>
        <v>Better</v>
      </c>
      <c r="AO1032" s="1" t="str">
        <f>IF(HR_Data[[#This Row],[PercentSalaryHike]]&lt;=13,"11-13%",IF(HR_Data[[#This Row],[PercentSalaryHike]]&lt;=16,"14-16%",IF(HR_Data[[#This Row],[PercentSalaryHike]]&lt;=19,"17-19%","20-25%")))</f>
        <v>17-19%</v>
      </c>
      <c r="AP1032" s="1">
        <f>IF(HR_Data[[#This Row],[PercentSalaryHike]]&lt;=13,1,IF(HR_Data[[#This Row],[PercentSalaryHike]]&lt;=16,2,IF(HR_Data[[#This Row],[PercentSalaryHike]]&lt;=19,3,4)))</f>
        <v>3</v>
      </c>
      <c r="AQ1032" s="1" t="str">
        <f>IF(HR_Data[[#This Row],[DistanceFromHome]]&lt;=5,"1 to 5",IF(HR_Data[[#This Row],[DistanceFromHome]]&lt;=10,"6 to 10",IF(HR_Data[[#This Row],[DistanceFromHome]]&lt;=20,"11 to 20","21 to 29")))</f>
        <v>6 to 10</v>
      </c>
      <c r="AR1032" s="1">
        <f>IF(HR_Data[[#This Row],[DistanceFromHome]]&lt;=5,1,IF(HR_Data[[#This Row],[DistanceFromHome]]&lt;=10,2,IF(HR_Data[[#This Row],[DistanceFromHome]]&lt;=20,3,4)))</f>
        <v>2</v>
      </c>
      <c r="AS1032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032" s="1">
        <f>IF(HR_Data[[#This Row],[TotalWorkingYears]]&lt;=5,1,IF(HR_Data[[#This Row],[TotalWorkingYears]]&lt;=10,2,IF(HR_Data[[#This Row],[TotalWorkingYears]]&lt;=20,3,4)))</f>
        <v>3</v>
      </c>
    </row>
    <row r="1033" spans="1:46" x14ac:dyDescent="0.25">
      <c r="A1033">
        <v>46</v>
      </c>
      <c r="B1033" t="s">
        <v>29</v>
      </c>
      <c r="C1033" t="s">
        <v>30</v>
      </c>
      <c r="D1033" t="s">
        <v>31</v>
      </c>
      <c r="E1033">
        <v>9</v>
      </c>
      <c r="F1033">
        <v>3</v>
      </c>
      <c r="G1033" t="s">
        <v>52</v>
      </c>
      <c r="H1033">
        <v>1457</v>
      </c>
      <c r="I1033">
        <v>1</v>
      </c>
      <c r="J1033" t="s">
        <v>39</v>
      </c>
      <c r="K1033">
        <v>3</v>
      </c>
      <c r="L1033">
        <v>3</v>
      </c>
      <c r="M1033" t="s">
        <v>34</v>
      </c>
      <c r="N1033">
        <v>4</v>
      </c>
      <c r="O1033" t="s">
        <v>45</v>
      </c>
      <c r="P1033">
        <v>10096</v>
      </c>
      <c r="Q1033">
        <v>4</v>
      </c>
      <c r="R1033" t="s">
        <v>36</v>
      </c>
      <c r="S1033">
        <v>11</v>
      </c>
      <c r="T1033">
        <v>3</v>
      </c>
      <c r="U1033">
        <v>1</v>
      </c>
      <c r="V1033">
        <v>1</v>
      </c>
      <c r="W1033">
        <v>28</v>
      </c>
      <c r="X1033">
        <v>1</v>
      </c>
      <c r="Y1033">
        <v>4</v>
      </c>
      <c r="Z1033">
        <v>7</v>
      </c>
      <c r="AA1033">
        <v>7</v>
      </c>
      <c r="AB1033">
        <v>4</v>
      </c>
      <c r="AC1033">
        <v>3</v>
      </c>
      <c r="AD1033">
        <f>IF(HR_Data[[#This Row],[Attrition]]="Yes",1,0)</f>
        <v>1</v>
      </c>
      <c r="AE1033" t="str">
        <f>IF(HR_Data[[#This Row],[Age]]&lt;=25,"18-25",IF(HR_Data[[#This Row],[Age]]&lt;=35,"26-35",IF(HR_Data[[#This Row],[Age]]&lt;=45,"36-45",IF(HR_Data[[#This Row],[Age]]&lt;=55,"46-55","55+"))))</f>
        <v>46-55</v>
      </c>
      <c r="AF1033">
        <f>IF(HR_Data[[#This Row],[Age]]&lt;=25,1,IF(HR_Data[[#This Row],[Age]]&lt;=35,2,IF(HR_Data[[#This Row],[Age]]&lt;=45,3,IF(HR_Data[[#This Row],[Age]]&lt;=55,4,5))))</f>
        <v>4</v>
      </c>
      <c r="AG1033" s="1" t="str">
        <f>IF(HR_Data[[#This Row],[MonthlyIncome]]&lt;3000,"&lt;3K",IF(HR_Data[[#This Row],[MonthlyIncome]]&lt;6000,"3K-6K",IF(HR_Data[[#This Row],[MonthlyIncome]]&lt;10000,"6K-10K","10K+")))</f>
        <v>10K+</v>
      </c>
      <c r="AH1033" s="1">
        <f>IF(HR_Data[[#This Row],[MonthlyIncome]]&lt;3000,1,IF(HR_Data[[#This Row],[MonthlyIncome]]&lt;6000,2,IF(HR_Data[[#This Row],[MonthlyIncome]]&lt;10000,3,4)))</f>
        <v>4</v>
      </c>
      <c r="AI1033" s="1" t="str">
        <f>IF(HR_Data[[#This Row],[YearsAtCompany]]&lt;=2,"0-2 Yrs",IF(HR_Data[[#This Row],[YearsAtCompany]]&lt;=5,"3-5 Yrs",IF(HR_Data[[#This Row],[YearsAtCompany]]&lt;=10,"6-10 Yrs","10+ Yrs")))</f>
        <v>6-10 Yrs</v>
      </c>
      <c r="AJ1033" s="1">
        <f>IF(HR_Data[[#This Row],[YearsAtCompany]]&lt;=2,1,IF(HR_Data[[#This Row],[YearsAtCompany]]&lt;=5,2,IF(HR_Data[[#This Row],[YearsAtCompany]]&lt;=10,3,4)))</f>
        <v>3</v>
      </c>
      <c r="AK1033" s="1" t="str">
        <f>CHOOSE(HR_Data[[#This Row],[Education]],"Below College","College","Bachelor","Master","Doctor")</f>
        <v>Bachelor</v>
      </c>
      <c r="AL1033" s="1" t="str">
        <f>CHOOSE(HR_Data[[#This Row],[JobSatisfaction]],"Low","Medium","High","Very High")</f>
        <v>Very High</v>
      </c>
      <c r="AM1033" s="1" t="str">
        <f>CHOOSE(HR_Data[[#This Row],[EnvironmentSatisfaction]],"Low","Medium","High","Very High")</f>
        <v>Low</v>
      </c>
      <c r="AN1033" s="1" t="str">
        <f>CHOOSE(HR_Data[[#This Row],[WorkLifeBalance]],"Bad","Good","Better","Best")</f>
        <v>Best</v>
      </c>
      <c r="AO1033" s="1" t="str">
        <f>IF(HR_Data[[#This Row],[PercentSalaryHike]]&lt;=13,"11-13%",IF(HR_Data[[#This Row],[PercentSalaryHike]]&lt;=16,"14-16%",IF(HR_Data[[#This Row],[PercentSalaryHike]]&lt;=19,"17-19%","20-25%")))</f>
        <v>11-13%</v>
      </c>
      <c r="AP1033" s="1">
        <f>IF(HR_Data[[#This Row],[PercentSalaryHike]]&lt;=13,1,IF(HR_Data[[#This Row],[PercentSalaryHike]]&lt;=16,2,IF(HR_Data[[#This Row],[PercentSalaryHike]]&lt;=19,3,4)))</f>
        <v>1</v>
      </c>
      <c r="AQ1033" s="1" t="str">
        <f>IF(HR_Data[[#This Row],[DistanceFromHome]]&lt;=5,"1 to 5",IF(HR_Data[[#This Row],[DistanceFromHome]]&lt;=10,"6 to 10",IF(HR_Data[[#This Row],[DistanceFromHome]]&lt;=20,"11 to 20","21 to 29")))</f>
        <v>6 to 10</v>
      </c>
      <c r="AR1033" s="1">
        <f>IF(HR_Data[[#This Row],[DistanceFromHome]]&lt;=5,1,IF(HR_Data[[#This Row],[DistanceFromHome]]&lt;=10,2,IF(HR_Data[[#This Row],[DistanceFromHome]]&lt;=20,3,4)))</f>
        <v>2</v>
      </c>
      <c r="AS1033" s="1" t="str">
        <f>IF(HR_Data[[#This Row],[TotalWorkingYears]]&lt;=5,"0-5 Yrs",IF(HR_Data[[#This Row],[TotalWorkingYears]]&lt;=10,"6-10 Yrs",IF(HR_Data[[#This Row],[TotalWorkingYears]]&lt;=20,"11-20 Yrs","20+ Yrs")))</f>
        <v>20+ Yrs</v>
      </c>
      <c r="AT1033" s="1">
        <f>IF(HR_Data[[#This Row],[TotalWorkingYears]]&lt;=5,1,IF(HR_Data[[#This Row],[TotalWorkingYears]]&lt;=10,2,IF(HR_Data[[#This Row],[TotalWorkingYears]]&lt;=20,3,4)))</f>
        <v>4</v>
      </c>
    </row>
    <row r="1034" spans="1:46" x14ac:dyDescent="0.25">
      <c r="A1034">
        <v>39</v>
      </c>
      <c r="B1034" t="s">
        <v>29</v>
      </c>
      <c r="C1034" t="s">
        <v>48</v>
      </c>
      <c r="D1034" t="s">
        <v>38</v>
      </c>
      <c r="E1034">
        <v>2</v>
      </c>
      <c r="F1034">
        <v>3</v>
      </c>
      <c r="G1034" t="s">
        <v>32</v>
      </c>
      <c r="H1034">
        <v>1458</v>
      </c>
      <c r="I1034">
        <v>1</v>
      </c>
      <c r="J1034" t="s">
        <v>33</v>
      </c>
      <c r="K1034">
        <v>2</v>
      </c>
      <c r="L1034">
        <v>1</v>
      </c>
      <c r="M1034" t="s">
        <v>43</v>
      </c>
      <c r="N1034">
        <v>1</v>
      </c>
      <c r="O1034" t="s">
        <v>35</v>
      </c>
      <c r="P1034">
        <v>3646</v>
      </c>
      <c r="Q1034">
        <v>2</v>
      </c>
      <c r="R1034" t="s">
        <v>29</v>
      </c>
      <c r="S1034">
        <v>23</v>
      </c>
      <c r="T1034">
        <v>4</v>
      </c>
      <c r="U1034">
        <v>2</v>
      </c>
      <c r="V1034">
        <v>0</v>
      </c>
      <c r="W1034">
        <v>11</v>
      </c>
      <c r="X1034">
        <v>2</v>
      </c>
      <c r="Y1034">
        <v>4</v>
      </c>
      <c r="Z1034">
        <v>1</v>
      </c>
      <c r="AA1034">
        <v>0</v>
      </c>
      <c r="AB1034">
        <v>0</v>
      </c>
      <c r="AC1034">
        <v>0</v>
      </c>
      <c r="AD1034">
        <f>IF(HR_Data[[#This Row],[Attrition]]="Yes",1,0)</f>
        <v>1</v>
      </c>
      <c r="AE1034" t="str">
        <f>IF(HR_Data[[#This Row],[Age]]&lt;=25,"18-25",IF(HR_Data[[#This Row],[Age]]&lt;=35,"26-35",IF(HR_Data[[#This Row],[Age]]&lt;=45,"36-45",IF(HR_Data[[#This Row],[Age]]&lt;=55,"46-55","55+"))))</f>
        <v>36-45</v>
      </c>
      <c r="AF1034">
        <f>IF(HR_Data[[#This Row],[Age]]&lt;=25,1,IF(HR_Data[[#This Row],[Age]]&lt;=35,2,IF(HR_Data[[#This Row],[Age]]&lt;=45,3,IF(HR_Data[[#This Row],[Age]]&lt;=55,4,5))))</f>
        <v>3</v>
      </c>
      <c r="AG1034" s="1" t="str">
        <f>IF(HR_Data[[#This Row],[MonthlyIncome]]&lt;3000,"&lt;3K",IF(HR_Data[[#This Row],[MonthlyIncome]]&lt;6000,"3K-6K",IF(HR_Data[[#This Row],[MonthlyIncome]]&lt;10000,"6K-10K","10K+")))</f>
        <v>3K-6K</v>
      </c>
      <c r="AH1034" s="1">
        <f>IF(HR_Data[[#This Row],[MonthlyIncome]]&lt;3000,1,IF(HR_Data[[#This Row],[MonthlyIncome]]&lt;6000,2,IF(HR_Data[[#This Row],[MonthlyIncome]]&lt;10000,3,4)))</f>
        <v>2</v>
      </c>
      <c r="AI1034" s="1" t="str">
        <f>IF(HR_Data[[#This Row],[YearsAtCompany]]&lt;=2,"0-2 Yrs",IF(HR_Data[[#This Row],[YearsAtCompany]]&lt;=5,"3-5 Yrs",IF(HR_Data[[#This Row],[YearsAtCompany]]&lt;=10,"6-10 Yrs","10+ Yrs")))</f>
        <v>0-2 Yrs</v>
      </c>
      <c r="AJ1034" s="1">
        <f>IF(HR_Data[[#This Row],[YearsAtCompany]]&lt;=2,1,IF(HR_Data[[#This Row],[YearsAtCompany]]&lt;=5,2,IF(HR_Data[[#This Row],[YearsAtCompany]]&lt;=10,3,4)))</f>
        <v>1</v>
      </c>
      <c r="AK1034" s="1" t="str">
        <f>CHOOSE(HR_Data[[#This Row],[Education]],"Below College","College","Bachelor","Master","Doctor")</f>
        <v>Bachelor</v>
      </c>
      <c r="AL1034" s="1" t="str">
        <f>CHOOSE(HR_Data[[#This Row],[JobSatisfaction]],"Low","Medium","High","Very High")</f>
        <v>Low</v>
      </c>
      <c r="AM1034" s="1" t="str">
        <f>CHOOSE(HR_Data[[#This Row],[EnvironmentSatisfaction]],"Low","Medium","High","Very High")</f>
        <v>Low</v>
      </c>
      <c r="AN1034" s="1" t="str">
        <f>CHOOSE(HR_Data[[#This Row],[WorkLifeBalance]],"Bad","Good","Better","Best")</f>
        <v>Best</v>
      </c>
      <c r="AO1034" s="1" t="str">
        <f>IF(HR_Data[[#This Row],[PercentSalaryHike]]&lt;=13,"11-13%",IF(HR_Data[[#This Row],[PercentSalaryHike]]&lt;=16,"14-16%",IF(HR_Data[[#This Row],[PercentSalaryHike]]&lt;=19,"17-19%","20-25%")))</f>
        <v>20-25%</v>
      </c>
      <c r="AP1034" s="1">
        <f>IF(HR_Data[[#This Row],[PercentSalaryHike]]&lt;=13,1,IF(HR_Data[[#This Row],[PercentSalaryHike]]&lt;=16,2,IF(HR_Data[[#This Row],[PercentSalaryHike]]&lt;=19,3,4)))</f>
        <v>4</v>
      </c>
      <c r="AQ1034" s="1" t="str">
        <f>IF(HR_Data[[#This Row],[DistanceFromHome]]&lt;=5,"1 to 5",IF(HR_Data[[#This Row],[DistanceFromHome]]&lt;=10,"6 to 10",IF(HR_Data[[#This Row],[DistanceFromHome]]&lt;=20,"11 to 20","21 to 29")))</f>
        <v>1 to 5</v>
      </c>
      <c r="AR1034" s="1">
        <f>IF(HR_Data[[#This Row],[DistanceFromHome]]&lt;=5,1,IF(HR_Data[[#This Row],[DistanceFromHome]]&lt;=10,2,IF(HR_Data[[#This Row],[DistanceFromHome]]&lt;=20,3,4)))</f>
        <v>1</v>
      </c>
      <c r="AS1034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034" s="1">
        <f>IF(HR_Data[[#This Row],[TotalWorkingYears]]&lt;=5,1,IF(HR_Data[[#This Row],[TotalWorkingYears]]&lt;=10,2,IF(HR_Data[[#This Row],[TotalWorkingYears]]&lt;=20,3,4)))</f>
        <v>3</v>
      </c>
    </row>
    <row r="1035" spans="1:46" x14ac:dyDescent="0.25">
      <c r="A1035">
        <v>31</v>
      </c>
      <c r="B1035" t="s">
        <v>29</v>
      </c>
      <c r="C1035" t="s">
        <v>37</v>
      </c>
      <c r="D1035" t="s">
        <v>38</v>
      </c>
      <c r="E1035">
        <v>1</v>
      </c>
      <c r="F1035">
        <v>5</v>
      </c>
      <c r="G1035" t="s">
        <v>32</v>
      </c>
      <c r="H1035">
        <v>1459</v>
      </c>
      <c r="I1035">
        <v>3</v>
      </c>
      <c r="J1035" t="s">
        <v>33</v>
      </c>
      <c r="K1035">
        <v>4</v>
      </c>
      <c r="L1035">
        <v>3</v>
      </c>
      <c r="M1035" t="s">
        <v>46</v>
      </c>
      <c r="N1035">
        <v>2</v>
      </c>
      <c r="O1035" t="s">
        <v>35</v>
      </c>
      <c r="P1035">
        <v>7446</v>
      </c>
      <c r="Q1035">
        <v>1</v>
      </c>
      <c r="R1035" t="s">
        <v>36</v>
      </c>
      <c r="S1035">
        <v>11</v>
      </c>
      <c r="T1035">
        <v>3</v>
      </c>
      <c r="U1035">
        <v>1</v>
      </c>
      <c r="V1035">
        <v>0</v>
      </c>
      <c r="W1035">
        <v>10</v>
      </c>
      <c r="X1035">
        <v>2</v>
      </c>
      <c r="Y1035">
        <v>3</v>
      </c>
      <c r="Z1035">
        <v>10</v>
      </c>
      <c r="AA1035">
        <v>8</v>
      </c>
      <c r="AB1035">
        <v>4</v>
      </c>
      <c r="AC1035">
        <v>7</v>
      </c>
      <c r="AD1035">
        <f>IF(HR_Data[[#This Row],[Attrition]]="Yes",1,0)</f>
        <v>1</v>
      </c>
      <c r="AE1035" t="str">
        <f>IF(HR_Data[[#This Row],[Age]]&lt;=25,"18-25",IF(HR_Data[[#This Row],[Age]]&lt;=35,"26-35",IF(HR_Data[[#This Row],[Age]]&lt;=45,"36-45",IF(HR_Data[[#This Row],[Age]]&lt;=55,"46-55","55+"))))</f>
        <v>26-35</v>
      </c>
      <c r="AF1035">
        <f>IF(HR_Data[[#This Row],[Age]]&lt;=25,1,IF(HR_Data[[#This Row],[Age]]&lt;=35,2,IF(HR_Data[[#This Row],[Age]]&lt;=45,3,IF(HR_Data[[#This Row],[Age]]&lt;=55,4,5))))</f>
        <v>2</v>
      </c>
      <c r="AG1035" s="1" t="str">
        <f>IF(HR_Data[[#This Row],[MonthlyIncome]]&lt;3000,"&lt;3K",IF(HR_Data[[#This Row],[MonthlyIncome]]&lt;6000,"3K-6K",IF(HR_Data[[#This Row],[MonthlyIncome]]&lt;10000,"6K-10K","10K+")))</f>
        <v>6K-10K</v>
      </c>
      <c r="AH1035" s="1">
        <f>IF(HR_Data[[#This Row],[MonthlyIncome]]&lt;3000,1,IF(HR_Data[[#This Row],[MonthlyIncome]]&lt;6000,2,IF(HR_Data[[#This Row],[MonthlyIncome]]&lt;10000,3,4)))</f>
        <v>3</v>
      </c>
      <c r="AI1035" s="1" t="str">
        <f>IF(HR_Data[[#This Row],[YearsAtCompany]]&lt;=2,"0-2 Yrs",IF(HR_Data[[#This Row],[YearsAtCompany]]&lt;=5,"3-5 Yrs",IF(HR_Data[[#This Row],[YearsAtCompany]]&lt;=10,"6-10 Yrs","10+ Yrs")))</f>
        <v>6-10 Yrs</v>
      </c>
      <c r="AJ1035" s="1">
        <f>IF(HR_Data[[#This Row],[YearsAtCompany]]&lt;=2,1,IF(HR_Data[[#This Row],[YearsAtCompany]]&lt;=5,2,IF(HR_Data[[#This Row],[YearsAtCompany]]&lt;=10,3,4)))</f>
        <v>3</v>
      </c>
      <c r="AK1035" s="1" t="str">
        <f>CHOOSE(HR_Data[[#This Row],[Education]],"Below College","College","Bachelor","Master","Doctor")</f>
        <v>Doctor</v>
      </c>
      <c r="AL1035" s="1" t="str">
        <f>CHOOSE(HR_Data[[#This Row],[JobSatisfaction]],"Low","Medium","High","Very High")</f>
        <v>Medium</v>
      </c>
      <c r="AM1035" s="1" t="str">
        <f>CHOOSE(HR_Data[[#This Row],[EnvironmentSatisfaction]],"Low","Medium","High","Very High")</f>
        <v>High</v>
      </c>
      <c r="AN1035" s="1" t="str">
        <f>CHOOSE(HR_Data[[#This Row],[WorkLifeBalance]],"Bad","Good","Better","Best")</f>
        <v>Better</v>
      </c>
      <c r="AO1035" s="1" t="str">
        <f>IF(HR_Data[[#This Row],[PercentSalaryHike]]&lt;=13,"11-13%",IF(HR_Data[[#This Row],[PercentSalaryHike]]&lt;=16,"14-16%",IF(HR_Data[[#This Row],[PercentSalaryHike]]&lt;=19,"17-19%","20-25%")))</f>
        <v>11-13%</v>
      </c>
      <c r="AP1035" s="1">
        <f>IF(HR_Data[[#This Row],[PercentSalaryHike]]&lt;=13,1,IF(HR_Data[[#This Row],[PercentSalaryHike]]&lt;=16,2,IF(HR_Data[[#This Row],[PercentSalaryHike]]&lt;=19,3,4)))</f>
        <v>1</v>
      </c>
      <c r="AQ1035" s="1" t="str">
        <f>IF(HR_Data[[#This Row],[DistanceFromHome]]&lt;=5,"1 to 5",IF(HR_Data[[#This Row],[DistanceFromHome]]&lt;=10,"6 to 10",IF(HR_Data[[#This Row],[DistanceFromHome]]&lt;=20,"11 to 20","21 to 29")))</f>
        <v>1 to 5</v>
      </c>
      <c r="AR1035" s="1">
        <f>IF(HR_Data[[#This Row],[DistanceFromHome]]&lt;=5,1,IF(HR_Data[[#This Row],[DistanceFromHome]]&lt;=10,2,IF(HR_Data[[#This Row],[DistanceFromHome]]&lt;=20,3,4)))</f>
        <v>1</v>
      </c>
      <c r="AS1035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035" s="1">
        <f>IF(HR_Data[[#This Row],[TotalWorkingYears]]&lt;=5,1,IF(HR_Data[[#This Row],[TotalWorkingYears]]&lt;=10,2,IF(HR_Data[[#This Row],[TotalWorkingYears]]&lt;=20,3,4)))</f>
        <v>2</v>
      </c>
    </row>
    <row r="1036" spans="1:46" x14ac:dyDescent="0.25">
      <c r="A1036">
        <v>45</v>
      </c>
      <c r="B1036" t="s">
        <v>36</v>
      </c>
      <c r="C1036" t="s">
        <v>30</v>
      </c>
      <c r="D1036" t="s">
        <v>38</v>
      </c>
      <c r="E1036">
        <v>20</v>
      </c>
      <c r="F1036">
        <v>3</v>
      </c>
      <c r="G1036" t="s">
        <v>44</v>
      </c>
      <c r="H1036">
        <v>1460</v>
      </c>
      <c r="I1036">
        <v>2</v>
      </c>
      <c r="J1036" t="s">
        <v>39</v>
      </c>
      <c r="K1036">
        <v>1</v>
      </c>
      <c r="L1036">
        <v>3</v>
      </c>
      <c r="M1036" t="s">
        <v>47</v>
      </c>
      <c r="N1036">
        <v>1</v>
      </c>
      <c r="O1036" t="s">
        <v>45</v>
      </c>
      <c r="P1036">
        <v>10851</v>
      </c>
      <c r="Q1036">
        <v>2</v>
      </c>
      <c r="R1036" t="s">
        <v>29</v>
      </c>
      <c r="S1036">
        <v>18</v>
      </c>
      <c r="T1036">
        <v>3</v>
      </c>
      <c r="U1036">
        <v>2</v>
      </c>
      <c r="V1036">
        <v>1</v>
      </c>
      <c r="W1036">
        <v>24</v>
      </c>
      <c r="X1036">
        <v>2</v>
      </c>
      <c r="Y1036">
        <v>3</v>
      </c>
      <c r="Z1036">
        <v>7</v>
      </c>
      <c r="AA1036">
        <v>7</v>
      </c>
      <c r="AB1036">
        <v>0</v>
      </c>
      <c r="AC1036">
        <v>7</v>
      </c>
      <c r="AD1036">
        <f>IF(HR_Data[[#This Row],[Attrition]]="Yes",1,0)</f>
        <v>0</v>
      </c>
      <c r="AE1036" t="str">
        <f>IF(HR_Data[[#This Row],[Age]]&lt;=25,"18-25",IF(HR_Data[[#This Row],[Age]]&lt;=35,"26-35",IF(HR_Data[[#This Row],[Age]]&lt;=45,"36-45",IF(HR_Data[[#This Row],[Age]]&lt;=55,"46-55","55+"))))</f>
        <v>36-45</v>
      </c>
      <c r="AF1036">
        <f>IF(HR_Data[[#This Row],[Age]]&lt;=25,1,IF(HR_Data[[#This Row],[Age]]&lt;=35,2,IF(HR_Data[[#This Row],[Age]]&lt;=45,3,IF(HR_Data[[#This Row],[Age]]&lt;=55,4,5))))</f>
        <v>3</v>
      </c>
      <c r="AG1036" s="1" t="str">
        <f>IF(HR_Data[[#This Row],[MonthlyIncome]]&lt;3000,"&lt;3K",IF(HR_Data[[#This Row],[MonthlyIncome]]&lt;6000,"3K-6K",IF(HR_Data[[#This Row],[MonthlyIncome]]&lt;10000,"6K-10K","10K+")))</f>
        <v>10K+</v>
      </c>
      <c r="AH1036" s="1">
        <f>IF(HR_Data[[#This Row],[MonthlyIncome]]&lt;3000,1,IF(HR_Data[[#This Row],[MonthlyIncome]]&lt;6000,2,IF(HR_Data[[#This Row],[MonthlyIncome]]&lt;10000,3,4)))</f>
        <v>4</v>
      </c>
      <c r="AI1036" s="1" t="str">
        <f>IF(HR_Data[[#This Row],[YearsAtCompany]]&lt;=2,"0-2 Yrs",IF(HR_Data[[#This Row],[YearsAtCompany]]&lt;=5,"3-5 Yrs",IF(HR_Data[[#This Row],[YearsAtCompany]]&lt;=10,"6-10 Yrs","10+ Yrs")))</f>
        <v>6-10 Yrs</v>
      </c>
      <c r="AJ1036" s="1">
        <f>IF(HR_Data[[#This Row],[YearsAtCompany]]&lt;=2,1,IF(HR_Data[[#This Row],[YearsAtCompany]]&lt;=5,2,IF(HR_Data[[#This Row],[YearsAtCompany]]&lt;=10,3,4)))</f>
        <v>3</v>
      </c>
      <c r="AK1036" s="1" t="str">
        <f>CHOOSE(HR_Data[[#This Row],[Education]],"Below College","College","Bachelor","Master","Doctor")</f>
        <v>Bachelor</v>
      </c>
      <c r="AL1036" s="1" t="str">
        <f>CHOOSE(HR_Data[[#This Row],[JobSatisfaction]],"Low","Medium","High","Very High")</f>
        <v>Low</v>
      </c>
      <c r="AM1036" s="1" t="str">
        <f>CHOOSE(HR_Data[[#This Row],[EnvironmentSatisfaction]],"Low","Medium","High","Very High")</f>
        <v>Medium</v>
      </c>
      <c r="AN1036" s="1" t="str">
        <f>CHOOSE(HR_Data[[#This Row],[WorkLifeBalance]],"Bad","Good","Better","Best")</f>
        <v>Better</v>
      </c>
      <c r="AO1036" s="1" t="str">
        <f>IF(HR_Data[[#This Row],[PercentSalaryHike]]&lt;=13,"11-13%",IF(HR_Data[[#This Row],[PercentSalaryHike]]&lt;=16,"14-16%",IF(HR_Data[[#This Row],[PercentSalaryHike]]&lt;=19,"17-19%","20-25%")))</f>
        <v>17-19%</v>
      </c>
      <c r="AP1036" s="1">
        <f>IF(HR_Data[[#This Row],[PercentSalaryHike]]&lt;=13,1,IF(HR_Data[[#This Row],[PercentSalaryHike]]&lt;=16,2,IF(HR_Data[[#This Row],[PercentSalaryHike]]&lt;=19,3,4)))</f>
        <v>3</v>
      </c>
      <c r="AQ1036" s="1" t="str">
        <f>IF(HR_Data[[#This Row],[DistanceFromHome]]&lt;=5,"1 to 5",IF(HR_Data[[#This Row],[DistanceFromHome]]&lt;=10,"6 to 10",IF(HR_Data[[#This Row],[DistanceFromHome]]&lt;=20,"11 to 20","21 to 29")))</f>
        <v>11 to 20</v>
      </c>
      <c r="AR1036" s="1">
        <f>IF(HR_Data[[#This Row],[DistanceFromHome]]&lt;=5,1,IF(HR_Data[[#This Row],[DistanceFromHome]]&lt;=10,2,IF(HR_Data[[#This Row],[DistanceFromHome]]&lt;=20,3,4)))</f>
        <v>3</v>
      </c>
      <c r="AS1036" s="1" t="str">
        <f>IF(HR_Data[[#This Row],[TotalWorkingYears]]&lt;=5,"0-5 Yrs",IF(HR_Data[[#This Row],[TotalWorkingYears]]&lt;=10,"6-10 Yrs",IF(HR_Data[[#This Row],[TotalWorkingYears]]&lt;=20,"11-20 Yrs","20+ Yrs")))</f>
        <v>20+ Yrs</v>
      </c>
      <c r="AT1036" s="1">
        <f>IF(HR_Data[[#This Row],[TotalWorkingYears]]&lt;=5,1,IF(HR_Data[[#This Row],[TotalWorkingYears]]&lt;=10,2,IF(HR_Data[[#This Row],[TotalWorkingYears]]&lt;=20,3,4)))</f>
        <v>4</v>
      </c>
    </row>
    <row r="1037" spans="1:46" x14ac:dyDescent="0.25">
      <c r="A1037">
        <v>31</v>
      </c>
      <c r="B1037" t="s">
        <v>36</v>
      </c>
      <c r="C1037" t="s">
        <v>30</v>
      </c>
      <c r="D1037" t="s">
        <v>54</v>
      </c>
      <c r="E1037">
        <v>8</v>
      </c>
      <c r="F1037">
        <v>2</v>
      </c>
      <c r="G1037" t="s">
        <v>44</v>
      </c>
      <c r="H1037">
        <v>1461</v>
      </c>
      <c r="I1037">
        <v>4</v>
      </c>
      <c r="J1037" t="s">
        <v>33</v>
      </c>
      <c r="K1037">
        <v>4</v>
      </c>
      <c r="L1037">
        <v>1</v>
      </c>
      <c r="M1037" t="s">
        <v>54</v>
      </c>
      <c r="N1037">
        <v>2</v>
      </c>
      <c r="O1037" t="s">
        <v>35</v>
      </c>
      <c r="P1037">
        <v>2109</v>
      </c>
      <c r="Q1037">
        <v>9</v>
      </c>
      <c r="R1037" t="s">
        <v>36</v>
      </c>
      <c r="S1037">
        <v>18</v>
      </c>
      <c r="T1037">
        <v>3</v>
      </c>
      <c r="U1037">
        <v>4</v>
      </c>
      <c r="V1037">
        <v>0</v>
      </c>
      <c r="W1037">
        <v>8</v>
      </c>
      <c r="X1037">
        <v>3</v>
      </c>
      <c r="Y1037">
        <v>3</v>
      </c>
      <c r="Z1037">
        <v>3</v>
      </c>
      <c r="AA1037">
        <v>2</v>
      </c>
      <c r="AB1037">
        <v>0</v>
      </c>
      <c r="AC1037">
        <v>2</v>
      </c>
      <c r="AD1037">
        <f>IF(HR_Data[[#This Row],[Attrition]]="Yes",1,0)</f>
        <v>0</v>
      </c>
      <c r="AE1037" t="str">
        <f>IF(HR_Data[[#This Row],[Age]]&lt;=25,"18-25",IF(HR_Data[[#This Row],[Age]]&lt;=35,"26-35",IF(HR_Data[[#This Row],[Age]]&lt;=45,"36-45",IF(HR_Data[[#This Row],[Age]]&lt;=55,"46-55","55+"))))</f>
        <v>26-35</v>
      </c>
      <c r="AF1037">
        <f>IF(HR_Data[[#This Row],[Age]]&lt;=25,1,IF(HR_Data[[#This Row],[Age]]&lt;=35,2,IF(HR_Data[[#This Row],[Age]]&lt;=45,3,IF(HR_Data[[#This Row],[Age]]&lt;=55,4,5))))</f>
        <v>2</v>
      </c>
      <c r="AG1037" s="1" t="str">
        <f>IF(HR_Data[[#This Row],[MonthlyIncome]]&lt;3000,"&lt;3K",IF(HR_Data[[#This Row],[MonthlyIncome]]&lt;6000,"3K-6K",IF(HR_Data[[#This Row],[MonthlyIncome]]&lt;10000,"6K-10K","10K+")))</f>
        <v>&lt;3K</v>
      </c>
      <c r="AH1037" s="1">
        <f>IF(HR_Data[[#This Row],[MonthlyIncome]]&lt;3000,1,IF(HR_Data[[#This Row],[MonthlyIncome]]&lt;6000,2,IF(HR_Data[[#This Row],[MonthlyIncome]]&lt;10000,3,4)))</f>
        <v>1</v>
      </c>
      <c r="AI1037" s="1" t="str">
        <f>IF(HR_Data[[#This Row],[YearsAtCompany]]&lt;=2,"0-2 Yrs",IF(HR_Data[[#This Row],[YearsAtCompany]]&lt;=5,"3-5 Yrs",IF(HR_Data[[#This Row],[YearsAtCompany]]&lt;=10,"6-10 Yrs","10+ Yrs")))</f>
        <v>3-5 Yrs</v>
      </c>
      <c r="AJ1037" s="1">
        <f>IF(HR_Data[[#This Row],[YearsAtCompany]]&lt;=2,1,IF(HR_Data[[#This Row],[YearsAtCompany]]&lt;=5,2,IF(HR_Data[[#This Row],[YearsAtCompany]]&lt;=10,3,4)))</f>
        <v>2</v>
      </c>
      <c r="AK1037" s="1" t="str">
        <f>CHOOSE(HR_Data[[#This Row],[Education]],"Below College","College","Bachelor","Master","Doctor")</f>
        <v>College</v>
      </c>
      <c r="AL1037" s="1" t="str">
        <f>CHOOSE(HR_Data[[#This Row],[JobSatisfaction]],"Low","Medium","High","Very High")</f>
        <v>Medium</v>
      </c>
      <c r="AM1037" s="1" t="str">
        <f>CHOOSE(HR_Data[[#This Row],[EnvironmentSatisfaction]],"Low","Medium","High","Very High")</f>
        <v>Very High</v>
      </c>
      <c r="AN1037" s="1" t="str">
        <f>CHOOSE(HR_Data[[#This Row],[WorkLifeBalance]],"Bad","Good","Better","Best")</f>
        <v>Better</v>
      </c>
      <c r="AO1037" s="1" t="str">
        <f>IF(HR_Data[[#This Row],[PercentSalaryHike]]&lt;=13,"11-13%",IF(HR_Data[[#This Row],[PercentSalaryHike]]&lt;=16,"14-16%",IF(HR_Data[[#This Row],[PercentSalaryHike]]&lt;=19,"17-19%","20-25%")))</f>
        <v>17-19%</v>
      </c>
      <c r="AP1037" s="1">
        <f>IF(HR_Data[[#This Row],[PercentSalaryHike]]&lt;=13,1,IF(HR_Data[[#This Row],[PercentSalaryHike]]&lt;=16,2,IF(HR_Data[[#This Row],[PercentSalaryHike]]&lt;=19,3,4)))</f>
        <v>3</v>
      </c>
      <c r="AQ1037" s="1" t="str">
        <f>IF(HR_Data[[#This Row],[DistanceFromHome]]&lt;=5,"1 to 5",IF(HR_Data[[#This Row],[DistanceFromHome]]&lt;=10,"6 to 10",IF(HR_Data[[#This Row],[DistanceFromHome]]&lt;=20,"11 to 20","21 to 29")))</f>
        <v>6 to 10</v>
      </c>
      <c r="AR1037" s="1">
        <f>IF(HR_Data[[#This Row],[DistanceFromHome]]&lt;=5,1,IF(HR_Data[[#This Row],[DistanceFromHome]]&lt;=10,2,IF(HR_Data[[#This Row],[DistanceFromHome]]&lt;=20,3,4)))</f>
        <v>2</v>
      </c>
      <c r="AS1037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037" s="1">
        <f>IF(HR_Data[[#This Row],[TotalWorkingYears]]&lt;=5,1,IF(HR_Data[[#This Row],[TotalWorkingYears]]&lt;=10,2,IF(HR_Data[[#This Row],[TotalWorkingYears]]&lt;=20,3,4)))</f>
        <v>2</v>
      </c>
    </row>
    <row r="1038" spans="1:46" x14ac:dyDescent="0.25">
      <c r="A1038">
        <v>31</v>
      </c>
      <c r="B1038" t="s">
        <v>29</v>
      </c>
      <c r="C1038" t="s">
        <v>37</v>
      </c>
      <c r="D1038" t="s">
        <v>38</v>
      </c>
      <c r="E1038">
        <v>2</v>
      </c>
      <c r="F1038">
        <v>3</v>
      </c>
      <c r="G1038" t="s">
        <v>32</v>
      </c>
      <c r="H1038">
        <v>1464</v>
      </c>
      <c r="I1038">
        <v>2</v>
      </c>
      <c r="J1038" t="s">
        <v>39</v>
      </c>
      <c r="K1038">
        <v>3</v>
      </c>
      <c r="L1038">
        <v>1</v>
      </c>
      <c r="M1038" t="s">
        <v>43</v>
      </c>
      <c r="N1038">
        <v>4</v>
      </c>
      <c r="O1038" t="s">
        <v>41</v>
      </c>
      <c r="P1038">
        <v>3722</v>
      </c>
      <c r="Q1038">
        <v>6</v>
      </c>
      <c r="R1038" t="s">
        <v>29</v>
      </c>
      <c r="S1038">
        <v>13</v>
      </c>
      <c r="T1038">
        <v>3</v>
      </c>
      <c r="U1038">
        <v>3</v>
      </c>
      <c r="V1038">
        <v>1</v>
      </c>
      <c r="W1038">
        <v>7</v>
      </c>
      <c r="X1038">
        <v>2</v>
      </c>
      <c r="Y1038">
        <v>1</v>
      </c>
      <c r="Z1038">
        <v>2</v>
      </c>
      <c r="AA1038">
        <v>2</v>
      </c>
      <c r="AB1038">
        <v>2</v>
      </c>
      <c r="AC1038">
        <v>2</v>
      </c>
      <c r="AD1038">
        <f>IF(HR_Data[[#This Row],[Attrition]]="Yes",1,0)</f>
        <v>1</v>
      </c>
      <c r="AE1038" t="str">
        <f>IF(HR_Data[[#This Row],[Age]]&lt;=25,"18-25",IF(HR_Data[[#This Row],[Age]]&lt;=35,"26-35",IF(HR_Data[[#This Row],[Age]]&lt;=45,"36-45",IF(HR_Data[[#This Row],[Age]]&lt;=55,"46-55","55+"))))</f>
        <v>26-35</v>
      </c>
      <c r="AF1038">
        <f>IF(HR_Data[[#This Row],[Age]]&lt;=25,1,IF(HR_Data[[#This Row],[Age]]&lt;=35,2,IF(HR_Data[[#This Row],[Age]]&lt;=45,3,IF(HR_Data[[#This Row],[Age]]&lt;=55,4,5))))</f>
        <v>2</v>
      </c>
      <c r="AG1038" s="1" t="str">
        <f>IF(HR_Data[[#This Row],[MonthlyIncome]]&lt;3000,"&lt;3K",IF(HR_Data[[#This Row],[MonthlyIncome]]&lt;6000,"3K-6K",IF(HR_Data[[#This Row],[MonthlyIncome]]&lt;10000,"6K-10K","10K+")))</f>
        <v>3K-6K</v>
      </c>
      <c r="AH1038" s="1">
        <f>IF(HR_Data[[#This Row],[MonthlyIncome]]&lt;3000,1,IF(HR_Data[[#This Row],[MonthlyIncome]]&lt;6000,2,IF(HR_Data[[#This Row],[MonthlyIncome]]&lt;10000,3,4)))</f>
        <v>2</v>
      </c>
      <c r="AI1038" s="1" t="str">
        <f>IF(HR_Data[[#This Row],[YearsAtCompany]]&lt;=2,"0-2 Yrs",IF(HR_Data[[#This Row],[YearsAtCompany]]&lt;=5,"3-5 Yrs",IF(HR_Data[[#This Row],[YearsAtCompany]]&lt;=10,"6-10 Yrs","10+ Yrs")))</f>
        <v>0-2 Yrs</v>
      </c>
      <c r="AJ1038" s="1">
        <f>IF(HR_Data[[#This Row],[YearsAtCompany]]&lt;=2,1,IF(HR_Data[[#This Row],[YearsAtCompany]]&lt;=5,2,IF(HR_Data[[#This Row],[YearsAtCompany]]&lt;=10,3,4)))</f>
        <v>1</v>
      </c>
      <c r="AK1038" s="1" t="str">
        <f>CHOOSE(HR_Data[[#This Row],[Education]],"Below College","College","Bachelor","Master","Doctor")</f>
        <v>Bachelor</v>
      </c>
      <c r="AL1038" s="1" t="str">
        <f>CHOOSE(HR_Data[[#This Row],[JobSatisfaction]],"Low","Medium","High","Very High")</f>
        <v>Very High</v>
      </c>
      <c r="AM1038" s="1" t="str">
        <f>CHOOSE(HR_Data[[#This Row],[EnvironmentSatisfaction]],"Low","Medium","High","Very High")</f>
        <v>Medium</v>
      </c>
      <c r="AN1038" s="1" t="str">
        <f>CHOOSE(HR_Data[[#This Row],[WorkLifeBalance]],"Bad","Good","Better","Best")</f>
        <v>Bad</v>
      </c>
      <c r="AO1038" s="1" t="str">
        <f>IF(HR_Data[[#This Row],[PercentSalaryHike]]&lt;=13,"11-13%",IF(HR_Data[[#This Row],[PercentSalaryHike]]&lt;=16,"14-16%",IF(HR_Data[[#This Row],[PercentSalaryHike]]&lt;=19,"17-19%","20-25%")))</f>
        <v>11-13%</v>
      </c>
      <c r="AP1038" s="1">
        <f>IF(HR_Data[[#This Row],[PercentSalaryHike]]&lt;=13,1,IF(HR_Data[[#This Row],[PercentSalaryHike]]&lt;=16,2,IF(HR_Data[[#This Row],[PercentSalaryHike]]&lt;=19,3,4)))</f>
        <v>1</v>
      </c>
      <c r="AQ1038" s="1" t="str">
        <f>IF(HR_Data[[#This Row],[DistanceFromHome]]&lt;=5,"1 to 5",IF(HR_Data[[#This Row],[DistanceFromHome]]&lt;=10,"6 to 10",IF(HR_Data[[#This Row],[DistanceFromHome]]&lt;=20,"11 to 20","21 to 29")))</f>
        <v>1 to 5</v>
      </c>
      <c r="AR1038" s="1">
        <f>IF(HR_Data[[#This Row],[DistanceFromHome]]&lt;=5,1,IF(HR_Data[[#This Row],[DistanceFromHome]]&lt;=10,2,IF(HR_Data[[#This Row],[DistanceFromHome]]&lt;=20,3,4)))</f>
        <v>1</v>
      </c>
      <c r="AS1038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038" s="1">
        <f>IF(HR_Data[[#This Row],[TotalWorkingYears]]&lt;=5,1,IF(HR_Data[[#This Row],[TotalWorkingYears]]&lt;=10,2,IF(HR_Data[[#This Row],[TotalWorkingYears]]&lt;=20,3,4)))</f>
        <v>2</v>
      </c>
    </row>
    <row r="1039" spans="1:46" x14ac:dyDescent="0.25">
      <c r="A1039">
        <v>45</v>
      </c>
      <c r="B1039" t="s">
        <v>36</v>
      </c>
      <c r="C1039" t="s">
        <v>30</v>
      </c>
      <c r="D1039" t="s">
        <v>38</v>
      </c>
      <c r="E1039">
        <v>29</v>
      </c>
      <c r="F1039">
        <v>3</v>
      </c>
      <c r="G1039" t="s">
        <v>53</v>
      </c>
      <c r="H1039">
        <v>1465</v>
      </c>
      <c r="I1039">
        <v>2</v>
      </c>
      <c r="J1039" t="s">
        <v>39</v>
      </c>
      <c r="K1039">
        <v>3</v>
      </c>
      <c r="L1039">
        <v>3</v>
      </c>
      <c r="M1039" t="s">
        <v>46</v>
      </c>
      <c r="N1039">
        <v>4</v>
      </c>
      <c r="O1039" t="s">
        <v>41</v>
      </c>
      <c r="P1039">
        <v>9380</v>
      </c>
      <c r="Q1039">
        <v>4</v>
      </c>
      <c r="R1039" t="s">
        <v>29</v>
      </c>
      <c r="S1039">
        <v>18</v>
      </c>
      <c r="T1039">
        <v>3</v>
      </c>
      <c r="U1039">
        <v>4</v>
      </c>
      <c r="V1039">
        <v>2</v>
      </c>
      <c r="W1039">
        <v>10</v>
      </c>
      <c r="X1039">
        <v>4</v>
      </c>
      <c r="Y1039">
        <v>4</v>
      </c>
      <c r="Z1039">
        <v>3</v>
      </c>
      <c r="AA1039">
        <v>1</v>
      </c>
      <c r="AB1039">
        <v>1</v>
      </c>
      <c r="AC1039">
        <v>2</v>
      </c>
      <c r="AD1039">
        <f>IF(HR_Data[[#This Row],[Attrition]]="Yes",1,0)</f>
        <v>0</v>
      </c>
      <c r="AE1039" t="str">
        <f>IF(HR_Data[[#This Row],[Age]]&lt;=25,"18-25",IF(HR_Data[[#This Row],[Age]]&lt;=35,"26-35",IF(HR_Data[[#This Row],[Age]]&lt;=45,"36-45",IF(HR_Data[[#This Row],[Age]]&lt;=55,"46-55","55+"))))</f>
        <v>36-45</v>
      </c>
      <c r="AF1039">
        <f>IF(HR_Data[[#This Row],[Age]]&lt;=25,1,IF(HR_Data[[#This Row],[Age]]&lt;=35,2,IF(HR_Data[[#This Row],[Age]]&lt;=45,3,IF(HR_Data[[#This Row],[Age]]&lt;=55,4,5))))</f>
        <v>3</v>
      </c>
      <c r="AG1039" s="1" t="str">
        <f>IF(HR_Data[[#This Row],[MonthlyIncome]]&lt;3000,"&lt;3K",IF(HR_Data[[#This Row],[MonthlyIncome]]&lt;6000,"3K-6K",IF(HR_Data[[#This Row],[MonthlyIncome]]&lt;10000,"6K-10K","10K+")))</f>
        <v>6K-10K</v>
      </c>
      <c r="AH1039" s="1">
        <f>IF(HR_Data[[#This Row],[MonthlyIncome]]&lt;3000,1,IF(HR_Data[[#This Row],[MonthlyIncome]]&lt;6000,2,IF(HR_Data[[#This Row],[MonthlyIncome]]&lt;10000,3,4)))</f>
        <v>3</v>
      </c>
      <c r="AI1039" s="1" t="str">
        <f>IF(HR_Data[[#This Row],[YearsAtCompany]]&lt;=2,"0-2 Yrs",IF(HR_Data[[#This Row],[YearsAtCompany]]&lt;=5,"3-5 Yrs",IF(HR_Data[[#This Row],[YearsAtCompany]]&lt;=10,"6-10 Yrs","10+ Yrs")))</f>
        <v>3-5 Yrs</v>
      </c>
      <c r="AJ1039" s="1">
        <f>IF(HR_Data[[#This Row],[YearsAtCompany]]&lt;=2,1,IF(HR_Data[[#This Row],[YearsAtCompany]]&lt;=5,2,IF(HR_Data[[#This Row],[YearsAtCompany]]&lt;=10,3,4)))</f>
        <v>2</v>
      </c>
      <c r="AK1039" s="1" t="str">
        <f>CHOOSE(HR_Data[[#This Row],[Education]],"Below College","College","Bachelor","Master","Doctor")</f>
        <v>Bachelor</v>
      </c>
      <c r="AL1039" s="1" t="str">
        <f>CHOOSE(HR_Data[[#This Row],[JobSatisfaction]],"Low","Medium","High","Very High")</f>
        <v>Very High</v>
      </c>
      <c r="AM1039" s="1" t="str">
        <f>CHOOSE(HR_Data[[#This Row],[EnvironmentSatisfaction]],"Low","Medium","High","Very High")</f>
        <v>Medium</v>
      </c>
      <c r="AN1039" s="1" t="str">
        <f>CHOOSE(HR_Data[[#This Row],[WorkLifeBalance]],"Bad","Good","Better","Best")</f>
        <v>Best</v>
      </c>
      <c r="AO1039" s="1" t="str">
        <f>IF(HR_Data[[#This Row],[PercentSalaryHike]]&lt;=13,"11-13%",IF(HR_Data[[#This Row],[PercentSalaryHike]]&lt;=16,"14-16%",IF(HR_Data[[#This Row],[PercentSalaryHike]]&lt;=19,"17-19%","20-25%")))</f>
        <v>17-19%</v>
      </c>
      <c r="AP1039" s="1">
        <f>IF(HR_Data[[#This Row],[PercentSalaryHike]]&lt;=13,1,IF(HR_Data[[#This Row],[PercentSalaryHike]]&lt;=16,2,IF(HR_Data[[#This Row],[PercentSalaryHike]]&lt;=19,3,4)))</f>
        <v>3</v>
      </c>
      <c r="AQ1039" s="1" t="str">
        <f>IF(HR_Data[[#This Row],[DistanceFromHome]]&lt;=5,"1 to 5",IF(HR_Data[[#This Row],[DistanceFromHome]]&lt;=10,"6 to 10",IF(HR_Data[[#This Row],[DistanceFromHome]]&lt;=20,"11 to 20","21 to 29")))</f>
        <v>21 to 29</v>
      </c>
      <c r="AR1039" s="1">
        <f>IF(HR_Data[[#This Row],[DistanceFromHome]]&lt;=5,1,IF(HR_Data[[#This Row],[DistanceFromHome]]&lt;=10,2,IF(HR_Data[[#This Row],[DistanceFromHome]]&lt;=20,3,4)))</f>
        <v>4</v>
      </c>
      <c r="AS1039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039" s="1">
        <f>IF(HR_Data[[#This Row],[TotalWorkingYears]]&lt;=5,1,IF(HR_Data[[#This Row],[TotalWorkingYears]]&lt;=10,2,IF(HR_Data[[#This Row],[TotalWorkingYears]]&lt;=20,3,4)))</f>
        <v>2</v>
      </c>
    </row>
    <row r="1040" spans="1:46" x14ac:dyDescent="0.25">
      <c r="A1040">
        <v>48</v>
      </c>
      <c r="B1040" t="s">
        <v>36</v>
      </c>
      <c r="C1040" t="s">
        <v>30</v>
      </c>
      <c r="D1040" t="s">
        <v>31</v>
      </c>
      <c r="E1040">
        <v>7</v>
      </c>
      <c r="F1040">
        <v>3</v>
      </c>
      <c r="G1040" t="s">
        <v>52</v>
      </c>
      <c r="H1040">
        <v>1466</v>
      </c>
      <c r="I1040">
        <v>3</v>
      </c>
      <c r="J1040" t="s">
        <v>39</v>
      </c>
      <c r="K1040">
        <v>3</v>
      </c>
      <c r="L1040">
        <v>2</v>
      </c>
      <c r="M1040" t="s">
        <v>34</v>
      </c>
      <c r="N1040">
        <v>1</v>
      </c>
      <c r="O1040" t="s">
        <v>45</v>
      </c>
      <c r="P1040">
        <v>5486</v>
      </c>
      <c r="Q1040">
        <v>4</v>
      </c>
      <c r="R1040" t="s">
        <v>36</v>
      </c>
      <c r="S1040">
        <v>11</v>
      </c>
      <c r="T1040">
        <v>3</v>
      </c>
      <c r="U1040">
        <v>1</v>
      </c>
      <c r="V1040">
        <v>3</v>
      </c>
      <c r="W1040">
        <v>15</v>
      </c>
      <c r="X1040">
        <v>3</v>
      </c>
      <c r="Y1040">
        <v>3</v>
      </c>
      <c r="Z1040">
        <v>2</v>
      </c>
      <c r="AA1040">
        <v>2</v>
      </c>
      <c r="AB1040">
        <v>2</v>
      </c>
      <c r="AC1040">
        <v>2</v>
      </c>
      <c r="AD1040">
        <f>IF(HR_Data[[#This Row],[Attrition]]="Yes",1,0)</f>
        <v>0</v>
      </c>
      <c r="AE1040" t="str">
        <f>IF(HR_Data[[#This Row],[Age]]&lt;=25,"18-25",IF(HR_Data[[#This Row],[Age]]&lt;=35,"26-35",IF(HR_Data[[#This Row],[Age]]&lt;=45,"36-45",IF(HR_Data[[#This Row],[Age]]&lt;=55,"46-55","55+"))))</f>
        <v>46-55</v>
      </c>
      <c r="AF1040">
        <f>IF(HR_Data[[#This Row],[Age]]&lt;=25,1,IF(HR_Data[[#This Row],[Age]]&lt;=35,2,IF(HR_Data[[#This Row],[Age]]&lt;=45,3,IF(HR_Data[[#This Row],[Age]]&lt;=55,4,5))))</f>
        <v>4</v>
      </c>
      <c r="AG1040" s="1" t="str">
        <f>IF(HR_Data[[#This Row],[MonthlyIncome]]&lt;3000,"&lt;3K",IF(HR_Data[[#This Row],[MonthlyIncome]]&lt;6000,"3K-6K",IF(HR_Data[[#This Row],[MonthlyIncome]]&lt;10000,"6K-10K","10K+")))</f>
        <v>3K-6K</v>
      </c>
      <c r="AH1040" s="1">
        <f>IF(HR_Data[[#This Row],[MonthlyIncome]]&lt;3000,1,IF(HR_Data[[#This Row],[MonthlyIncome]]&lt;6000,2,IF(HR_Data[[#This Row],[MonthlyIncome]]&lt;10000,3,4)))</f>
        <v>2</v>
      </c>
      <c r="AI1040" s="1" t="str">
        <f>IF(HR_Data[[#This Row],[YearsAtCompany]]&lt;=2,"0-2 Yrs",IF(HR_Data[[#This Row],[YearsAtCompany]]&lt;=5,"3-5 Yrs",IF(HR_Data[[#This Row],[YearsAtCompany]]&lt;=10,"6-10 Yrs","10+ Yrs")))</f>
        <v>0-2 Yrs</v>
      </c>
      <c r="AJ1040" s="1">
        <f>IF(HR_Data[[#This Row],[YearsAtCompany]]&lt;=2,1,IF(HR_Data[[#This Row],[YearsAtCompany]]&lt;=5,2,IF(HR_Data[[#This Row],[YearsAtCompany]]&lt;=10,3,4)))</f>
        <v>1</v>
      </c>
      <c r="AK1040" s="1" t="str">
        <f>CHOOSE(HR_Data[[#This Row],[Education]],"Below College","College","Bachelor","Master","Doctor")</f>
        <v>Bachelor</v>
      </c>
      <c r="AL1040" s="1" t="str">
        <f>CHOOSE(HR_Data[[#This Row],[JobSatisfaction]],"Low","Medium","High","Very High")</f>
        <v>Low</v>
      </c>
      <c r="AM1040" s="1" t="str">
        <f>CHOOSE(HR_Data[[#This Row],[EnvironmentSatisfaction]],"Low","Medium","High","Very High")</f>
        <v>High</v>
      </c>
      <c r="AN1040" s="1" t="str">
        <f>CHOOSE(HR_Data[[#This Row],[WorkLifeBalance]],"Bad","Good","Better","Best")</f>
        <v>Better</v>
      </c>
      <c r="AO1040" s="1" t="str">
        <f>IF(HR_Data[[#This Row],[PercentSalaryHike]]&lt;=13,"11-13%",IF(HR_Data[[#This Row],[PercentSalaryHike]]&lt;=16,"14-16%",IF(HR_Data[[#This Row],[PercentSalaryHike]]&lt;=19,"17-19%","20-25%")))</f>
        <v>11-13%</v>
      </c>
      <c r="AP1040" s="1">
        <f>IF(HR_Data[[#This Row],[PercentSalaryHike]]&lt;=13,1,IF(HR_Data[[#This Row],[PercentSalaryHike]]&lt;=16,2,IF(HR_Data[[#This Row],[PercentSalaryHike]]&lt;=19,3,4)))</f>
        <v>1</v>
      </c>
      <c r="AQ1040" s="1" t="str">
        <f>IF(HR_Data[[#This Row],[DistanceFromHome]]&lt;=5,"1 to 5",IF(HR_Data[[#This Row],[DistanceFromHome]]&lt;=10,"6 to 10",IF(HR_Data[[#This Row],[DistanceFromHome]]&lt;=20,"11 to 20","21 to 29")))</f>
        <v>6 to 10</v>
      </c>
      <c r="AR1040" s="1">
        <f>IF(HR_Data[[#This Row],[DistanceFromHome]]&lt;=5,1,IF(HR_Data[[#This Row],[DistanceFromHome]]&lt;=10,2,IF(HR_Data[[#This Row],[DistanceFromHome]]&lt;=20,3,4)))</f>
        <v>2</v>
      </c>
      <c r="AS1040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040" s="1">
        <f>IF(HR_Data[[#This Row],[TotalWorkingYears]]&lt;=5,1,IF(HR_Data[[#This Row],[TotalWorkingYears]]&lt;=10,2,IF(HR_Data[[#This Row],[TotalWorkingYears]]&lt;=20,3,4)))</f>
        <v>3</v>
      </c>
    </row>
    <row r="1041" spans="1:46" x14ac:dyDescent="0.25">
      <c r="A1041">
        <v>34</v>
      </c>
      <c r="B1041" t="s">
        <v>29</v>
      </c>
      <c r="C1041" t="s">
        <v>30</v>
      </c>
      <c r="D1041" t="s">
        <v>54</v>
      </c>
      <c r="E1041">
        <v>9</v>
      </c>
      <c r="F1041">
        <v>4</v>
      </c>
      <c r="G1041" t="s">
        <v>53</v>
      </c>
      <c r="H1041">
        <v>1467</v>
      </c>
      <c r="I1041">
        <v>1</v>
      </c>
      <c r="J1041" t="s">
        <v>33</v>
      </c>
      <c r="K1041">
        <v>3</v>
      </c>
      <c r="L1041">
        <v>1</v>
      </c>
      <c r="M1041" t="s">
        <v>54</v>
      </c>
      <c r="N1041">
        <v>3</v>
      </c>
      <c r="O1041" t="s">
        <v>41</v>
      </c>
      <c r="P1041">
        <v>2742</v>
      </c>
      <c r="Q1041">
        <v>1</v>
      </c>
      <c r="R1041" t="s">
        <v>36</v>
      </c>
      <c r="S1041">
        <v>15</v>
      </c>
      <c r="T1041">
        <v>3</v>
      </c>
      <c r="U1041">
        <v>4</v>
      </c>
      <c r="V1041">
        <v>0</v>
      </c>
      <c r="W1041">
        <v>2</v>
      </c>
      <c r="X1041">
        <v>0</v>
      </c>
      <c r="Y1041">
        <v>3</v>
      </c>
      <c r="Z1041">
        <v>2</v>
      </c>
      <c r="AA1041">
        <v>2</v>
      </c>
      <c r="AB1041">
        <v>2</v>
      </c>
      <c r="AC1041">
        <v>2</v>
      </c>
      <c r="AD1041">
        <f>IF(HR_Data[[#This Row],[Attrition]]="Yes",1,0)</f>
        <v>1</v>
      </c>
      <c r="AE1041" t="str">
        <f>IF(HR_Data[[#This Row],[Age]]&lt;=25,"18-25",IF(HR_Data[[#This Row],[Age]]&lt;=35,"26-35",IF(HR_Data[[#This Row],[Age]]&lt;=45,"36-45",IF(HR_Data[[#This Row],[Age]]&lt;=55,"46-55","55+"))))</f>
        <v>26-35</v>
      </c>
      <c r="AF1041">
        <f>IF(HR_Data[[#This Row],[Age]]&lt;=25,1,IF(HR_Data[[#This Row],[Age]]&lt;=35,2,IF(HR_Data[[#This Row],[Age]]&lt;=45,3,IF(HR_Data[[#This Row],[Age]]&lt;=55,4,5))))</f>
        <v>2</v>
      </c>
      <c r="AG1041" s="1" t="str">
        <f>IF(HR_Data[[#This Row],[MonthlyIncome]]&lt;3000,"&lt;3K",IF(HR_Data[[#This Row],[MonthlyIncome]]&lt;6000,"3K-6K",IF(HR_Data[[#This Row],[MonthlyIncome]]&lt;10000,"6K-10K","10K+")))</f>
        <v>&lt;3K</v>
      </c>
      <c r="AH1041" s="1">
        <f>IF(HR_Data[[#This Row],[MonthlyIncome]]&lt;3000,1,IF(HR_Data[[#This Row],[MonthlyIncome]]&lt;6000,2,IF(HR_Data[[#This Row],[MonthlyIncome]]&lt;10000,3,4)))</f>
        <v>1</v>
      </c>
      <c r="AI1041" s="1" t="str">
        <f>IF(HR_Data[[#This Row],[YearsAtCompany]]&lt;=2,"0-2 Yrs",IF(HR_Data[[#This Row],[YearsAtCompany]]&lt;=5,"3-5 Yrs",IF(HR_Data[[#This Row],[YearsAtCompany]]&lt;=10,"6-10 Yrs","10+ Yrs")))</f>
        <v>0-2 Yrs</v>
      </c>
      <c r="AJ1041" s="1">
        <f>IF(HR_Data[[#This Row],[YearsAtCompany]]&lt;=2,1,IF(HR_Data[[#This Row],[YearsAtCompany]]&lt;=5,2,IF(HR_Data[[#This Row],[YearsAtCompany]]&lt;=10,3,4)))</f>
        <v>1</v>
      </c>
      <c r="AK1041" s="1" t="str">
        <f>CHOOSE(HR_Data[[#This Row],[Education]],"Below College","College","Bachelor","Master","Doctor")</f>
        <v>Master</v>
      </c>
      <c r="AL1041" s="1" t="str">
        <f>CHOOSE(HR_Data[[#This Row],[JobSatisfaction]],"Low","Medium","High","Very High")</f>
        <v>High</v>
      </c>
      <c r="AM1041" s="1" t="str">
        <f>CHOOSE(HR_Data[[#This Row],[EnvironmentSatisfaction]],"Low","Medium","High","Very High")</f>
        <v>Low</v>
      </c>
      <c r="AN1041" s="1" t="str">
        <f>CHOOSE(HR_Data[[#This Row],[WorkLifeBalance]],"Bad","Good","Better","Best")</f>
        <v>Better</v>
      </c>
      <c r="AO1041" s="1" t="str">
        <f>IF(HR_Data[[#This Row],[PercentSalaryHike]]&lt;=13,"11-13%",IF(HR_Data[[#This Row],[PercentSalaryHike]]&lt;=16,"14-16%",IF(HR_Data[[#This Row],[PercentSalaryHike]]&lt;=19,"17-19%","20-25%")))</f>
        <v>14-16%</v>
      </c>
      <c r="AP1041" s="1">
        <f>IF(HR_Data[[#This Row],[PercentSalaryHike]]&lt;=13,1,IF(HR_Data[[#This Row],[PercentSalaryHike]]&lt;=16,2,IF(HR_Data[[#This Row],[PercentSalaryHike]]&lt;=19,3,4)))</f>
        <v>2</v>
      </c>
      <c r="AQ1041" s="1" t="str">
        <f>IF(HR_Data[[#This Row],[DistanceFromHome]]&lt;=5,"1 to 5",IF(HR_Data[[#This Row],[DistanceFromHome]]&lt;=10,"6 to 10",IF(HR_Data[[#This Row],[DistanceFromHome]]&lt;=20,"11 to 20","21 to 29")))</f>
        <v>6 to 10</v>
      </c>
      <c r="AR1041" s="1">
        <f>IF(HR_Data[[#This Row],[DistanceFromHome]]&lt;=5,1,IF(HR_Data[[#This Row],[DistanceFromHome]]&lt;=10,2,IF(HR_Data[[#This Row],[DistanceFromHome]]&lt;=20,3,4)))</f>
        <v>2</v>
      </c>
      <c r="AS1041" s="1" t="str">
        <f>IF(HR_Data[[#This Row],[TotalWorkingYears]]&lt;=5,"0-5 Yrs",IF(HR_Data[[#This Row],[TotalWorkingYears]]&lt;=10,"6-10 Yrs",IF(HR_Data[[#This Row],[TotalWorkingYears]]&lt;=20,"11-20 Yrs","20+ Yrs")))</f>
        <v>0-5 Yrs</v>
      </c>
      <c r="AT1041" s="1">
        <f>IF(HR_Data[[#This Row],[TotalWorkingYears]]&lt;=5,1,IF(HR_Data[[#This Row],[TotalWorkingYears]]&lt;=10,2,IF(HR_Data[[#This Row],[TotalWorkingYears]]&lt;=20,3,4)))</f>
        <v>1</v>
      </c>
    </row>
    <row r="1042" spans="1:46" x14ac:dyDescent="0.25">
      <c r="A1042">
        <v>40</v>
      </c>
      <c r="B1042" t="s">
        <v>36</v>
      </c>
      <c r="C1042" t="s">
        <v>48</v>
      </c>
      <c r="D1042" t="s">
        <v>38</v>
      </c>
      <c r="E1042">
        <v>8</v>
      </c>
      <c r="F1042">
        <v>1</v>
      </c>
      <c r="G1042" t="s">
        <v>44</v>
      </c>
      <c r="H1042">
        <v>1468</v>
      </c>
      <c r="I1042">
        <v>4</v>
      </c>
      <c r="J1042" t="s">
        <v>39</v>
      </c>
      <c r="K1042">
        <v>2</v>
      </c>
      <c r="L1042">
        <v>3</v>
      </c>
      <c r="M1042" t="s">
        <v>51</v>
      </c>
      <c r="N1042">
        <v>2</v>
      </c>
      <c r="O1042" t="s">
        <v>45</v>
      </c>
      <c r="P1042">
        <v>13757</v>
      </c>
      <c r="Q1042">
        <v>2</v>
      </c>
      <c r="R1042" t="s">
        <v>36</v>
      </c>
      <c r="S1042">
        <v>11</v>
      </c>
      <c r="T1042">
        <v>3</v>
      </c>
      <c r="U1042">
        <v>3</v>
      </c>
      <c r="V1042">
        <v>1</v>
      </c>
      <c r="W1042">
        <v>16</v>
      </c>
      <c r="X1042">
        <v>5</v>
      </c>
      <c r="Y1042">
        <v>3</v>
      </c>
      <c r="Z1042">
        <v>9</v>
      </c>
      <c r="AA1042">
        <v>8</v>
      </c>
      <c r="AB1042">
        <v>4</v>
      </c>
      <c r="AC1042">
        <v>8</v>
      </c>
      <c r="AD1042">
        <f>IF(HR_Data[[#This Row],[Attrition]]="Yes",1,0)</f>
        <v>0</v>
      </c>
      <c r="AE1042" t="str">
        <f>IF(HR_Data[[#This Row],[Age]]&lt;=25,"18-25",IF(HR_Data[[#This Row],[Age]]&lt;=35,"26-35",IF(HR_Data[[#This Row],[Age]]&lt;=45,"36-45",IF(HR_Data[[#This Row],[Age]]&lt;=55,"46-55","55+"))))</f>
        <v>36-45</v>
      </c>
      <c r="AF1042">
        <f>IF(HR_Data[[#This Row],[Age]]&lt;=25,1,IF(HR_Data[[#This Row],[Age]]&lt;=35,2,IF(HR_Data[[#This Row],[Age]]&lt;=45,3,IF(HR_Data[[#This Row],[Age]]&lt;=55,4,5))))</f>
        <v>3</v>
      </c>
      <c r="AG1042" s="1" t="str">
        <f>IF(HR_Data[[#This Row],[MonthlyIncome]]&lt;3000,"&lt;3K",IF(HR_Data[[#This Row],[MonthlyIncome]]&lt;6000,"3K-6K",IF(HR_Data[[#This Row],[MonthlyIncome]]&lt;10000,"6K-10K","10K+")))</f>
        <v>10K+</v>
      </c>
      <c r="AH1042" s="1">
        <f>IF(HR_Data[[#This Row],[MonthlyIncome]]&lt;3000,1,IF(HR_Data[[#This Row],[MonthlyIncome]]&lt;6000,2,IF(HR_Data[[#This Row],[MonthlyIncome]]&lt;10000,3,4)))</f>
        <v>4</v>
      </c>
      <c r="AI1042" s="1" t="str">
        <f>IF(HR_Data[[#This Row],[YearsAtCompany]]&lt;=2,"0-2 Yrs",IF(HR_Data[[#This Row],[YearsAtCompany]]&lt;=5,"3-5 Yrs",IF(HR_Data[[#This Row],[YearsAtCompany]]&lt;=10,"6-10 Yrs","10+ Yrs")))</f>
        <v>6-10 Yrs</v>
      </c>
      <c r="AJ1042" s="1">
        <f>IF(HR_Data[[#This Row],[YearsAtCompany]]&lt;=2,1,IF(HR_Data[[#This Row],[YearsAtCompany]]&lt;=5,2,IF(HR_Data[[#This Row],[YearsAtCompany]]&lt;=10,3,4)))</f>
        <v>3</v>
      </c>
      <c r="AK1042" s="1" t="str">
        <f>CHOOSE(HR_Data[[#This Row],[Education]],"Below College","College","Bachelor","Master","Doctor")</f>
        <v>Below College</v>
      </c>
      <c r="AL1042" s="1" t="str">
        <f>CHOOSE(HR_Data[[#This Row],[JobSatisfaction]],"Low","Medium","High","Very High")</f>
        <v>Medium</v>
      </c>
      <c r="AM1042" s="1" t="str">
        <f>CHOOSE(HR_Data[[#This Row],[EnvironmentSatisfaction]],"Low","Medium","High","Very High")</f>
        <v>Very High</v>
      </c>
      <c r="AN1042" s="1" t="str">
        <f>CHOOSE(HR_Data[[#This Row],[WorkLifeBalance]],"Bad","Good","Better","Best")</f>
        <v>Better</v>
      </c>
      <c r="AO1042" s="1" t="str">
        <f>IF(HR_Data[[#This Row],[PercentSalaryHike]]&lt;=13,"11-13%",IF(HR_Data[[#This Row],[PercentSalaryHike]]&lt;=16,"14-16%",IF(HR_Data[[#This Row],[PercentSalaryHike]]&lt;=19,"17-19%","20-25%")))</f>
        <v>11-13%</v>
      </c>
      <c r="AP1042" s="1">
        <f>IF(HR_Data[[#This Row],[PercentSalaryHike]]&lt;=13,1,IF(HR_Data[[#This Row],[PercentSalaryHike]]&lt;=16,2,IF(HR_Data[[#This Row],[PercentSalaryHike]]&lt;=19,3,4)))</f>
        <v>1</v>
      </c>
      <c r="AQ1042" s="1" t="str">
        <f>IF(HR_Data[[#This Row],[DistanceFromHome]]&lt;=5,"1 to 5",IF(HR_Data[[#This Row],[DistanceFromHome]]&lt;=10,"6 to 10",IF(HR_Data[[#This Row],[DistanceFromHome]]&lt;=20,"11 to 20","21 to 29")))</f>
        <v>6 to 10</v>
      </c>
      <c r="AR1042" s="1">
        <f>IF(HR_Data[[#This Row],[DistanceFromHome]]&lt;=5,1,IF(HR_Data[[#This Row],[DistanceFromHome]]&lt;=10,2,IF(HR_Data[[#This Row],[DistanceFromHome]]&lt;=20,3,4)))</f>
        <v>2</v>
      </c>
      <c r="AS1042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042" s="1">
        <f>IF(HR_Data[[#This Row],[TotalWorkingYears]]&lt;=5,1,IF(HR_Data[[#This Row],[TotalWorkingYears]]&lt;=10,2,IF(HR_Data[[#This Row],[TotalWorkingYears]]&lt;=20,3,4)))</f>
        <v>3</v>
      </c>
    </row>
    <row r="1043" spans="1:46" x14ac:dyDescent="0.25">
      <c r="A1043">
        <v>28</v>
      </c>
      <c r="B1043" t="s">
        <v>36</v>
      </c>
      <c r="C1043" t="s">
        <v>30</v>
      </c>
      <c r="D1043" t="s">
        <v>31</v>
      </c>
      <c r="E1043">
        <v>5</v>
      </c>
      <c r="F1043">
        <v>3</v>
      </c>
      <c r="G1043" t="s">
        <v>44</v>
      </c>
      <c r="H1043">
        <v>1469</v>
      </c>
      <c r="I1043">
        <v>4</v>
      </c>
      <c r="J1043" t="s">
        <v>39</v>
      </c>
      <c r="K1043">
        <v>3</v>
      </c>
      <c r="L1043">
        <v>2</v>
      </c>
      <c r="M1043" t="s">
        <v>34</v>
      </c>
      <c r="N1043">
        <v>1</v>
      </c>
      <c r="O1043" t="s">
        <v>35</v>
      </c>
      <c r="P1043">
        <v>8463</v>
      </c>
      <c r="Q1043">
        <v>0</v>
      </c>
      <c r="R1043" t="s">
        <v>36</v>
      </c>
      <c r="S1043">
        <v>18</v>
      </c>
      <c r="T1043">
        <v>3</v>
      </c>
      <c r="U1043">
        <v>4</v>
      </c>
      <c r="V1043">
        <v>0</v>
      </c>
      <c r="W1043">
        <v>6</v>
      </c>
      <c r="X1043">
        <v>4</v>
      </c>
      <c r="Y1043">
        <v>3</v>
      </c>
      <c r="Z1043">
        <v>5</v>
      </c>
      <c r="AA1043">
        <v>4</v>
      </c>
      <c r="AB1043">
        <v>1</v>
      </c>
      <c r="AC1043">
        <v>3</v>
      </c>
      <c r="AD1043">
        <f>IF(HR_Data[[#This Row],[Attrition]]="Yes",1,0)</f>
        <v>0</v>
      </c>
      <c r="AE1043" t="str">
        <f>IF(HR_Data[[#This Row],[Age]]&lt;=25,"18-25",IF(HR_Data[[#This Row],[Age]]&lt;=35,"26-35",IF(HR_Data[[#This Row],[Age]]&lt;=45,"36-45",IF(HR_Data[[#This Row],[Age]]&lt;=55,"46-55","55+"))))</f>
        <v>26-35</v>
      </c>
      <c r="AF1043">
        <f>IF(HR_Data[[#This Row],[Age]]&lt;=25,1,IF(HR_Data[[#This Row],[Age]]&lt;=35,2,IF(HR_Data[[#This Row],[Age]]&lt;=45,3,IF(HR_Data[[#This Row],[Age]]&lt;=55,4,5))))</f>
        <v>2</v>
      </c>
      <c r="AG1043" s="1" t="str">
        <f>IF(HR_Data[[#This Row],[MonthlyIncome]]&lt;3000,"&lt;3K",IF(HR_Data[[#This Row],[MonthlyIncome]]&lt;6000,"3K-6K",IF(HR_Data[[#This Row],[MonthlyIncome]]&lt;10000,"6K-10K","10K+")))</f>
        <v>6K-10K</v>
      </c>
      <c r="AH1043" s="1">
        <f>IF(HR_Data[[#This Row],[MonthlyIncome]]&lt;3000,1,IF(HR_Data[[#This Row],[MonthlyIncome]]&lt;6000,2,IF(HR_Data[[#This Row],[MonthlyIncome]]&lt;10000,3,4)))</f>
        <v>3</v>
      </c>
      <c r="AI1043" s="1" t="str">
        <f>IF(HR_Data[[#This Row],[YearsAtCompany]]&lt;=2,"0-2 Yrs",IF(HR_Data[[#This Row],[YearsAtCompany]]&lt;=5,"3-5 Yrs",IF(HR_Data[[#This Row],[YearsAtCompany]]&lt;=10,"6-10 Yrs","10+ Yrs")))</f>
        <v>3-5 Yrs</v>
      </c>
      <c r="AJ1043" s="1">
        <f>IF(HR_Data[[#This Row],[YearsAtCompany]]&lt;=2,1,IF(HR_Data[[#This Row],[YearsAtCompany]]&lt;=5,2,IF(HR_Data[[#This Row],[YearsAtCompany]]&lt;=10,3,4)))</f>
        <v>2</v>
      </c>
      <c r="AK1043" s="1" t="str">
        <f>CHOOSE(HR_Data[[#This Row],[Education]],"Below College","College","Bachelor","Master","Doctor")</f>
        <v>Bachelor</v>
      </c>
      <c r="AL1043" s="1" t="str">
        <f>CHOOSE(HR_Data[[#This Row],[JobSatisfaction]],"Low","Medium","High","Very High")</f>
        <v>Low</v>
      </c>
      <c r="AM1043" s="1" t="str">
        <f>CHOOSE(HR_Data[[#This Row],[EnvironmentSatisfaction]],"Low","Medium","High","Very High")</f>
        <v>Very High</v>
      </c>
      <c r="AN1043" s="1" t="str">
        <f>CHOOSE(HR_Data[[#This Row],[WorkLifeBalance]],"Bad","Good","Better","Best")</f>
        <v>Better</v>
      </c>
      <c r="AO1043" s="1" t="str">
        <f>IF(HR_Data[[#This Row],[PercentSalaryHike]]&lt;=13,"11-13%",IF(HR_Data[[#This Row],[PercentSalaryHike]]&lt;=16,"14-16%",IF(HR_Data[[#This Row],[PercentSalaryHike]]&lt;=19,"17-19%","20-25%")))</f>
        <v>17-19%</v>
      </c>
      <c r="AP1043" s="1">
        <f>IF(HR_Data[[#This Row],[PercentSalaryHike]]&lt;=13,1,IF(HR_Data[[#This Row],[PercentSalaryHike]]&lt;=16,2,IF(HR_Data[[#This Row],[PercentSalaryHike]]&lt;=19,3,4)))</f>
        <v>3</v>
      </c>
      <c r="AQ1043" s="1" t="str">
        <f>IF(HR_Data[[#This Row],[DistanceFromHome]]&lt;=5,"1 to 5",IF(HR_Data[[#This Row],[DistanceFromHome]]&lt;=10,"6 to 10",IF(HR_Data[[#This Row],[DistanceFromHome]]&lt;=20,"11 to 20","21 to 29")))</f>
        <v>1 to 5</v>
      </c>
      <c r="AR1043" s="1">
        <f>IF(HR_Data[[#This Row],[DistanceFromHome]]&lt;=5,1,IF(HR_Data[[#This Row],[DistanceFromHome]]&lt;=10,2,IF(HR_Data[[#This Row],[DistanceFromHome]]&lt;=20,3,4)))</f>
        <v>1</v>
      </c>
      <c r="AS1043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043" s="1">
        <f>IF(HR_Data[[#This Row],[TotalWorkingYears]]&lt;=5,1,IF(HR_Data[[#This Row],[TotalWorkingYears]]&lt;=10,2,IF(HR_Data[[#This Row],[TotalWorkingYears]]&lt;=20,3,4)))</f>
        <v>2</v>
      </c>
    </row>
    <row r="1044" spans="1:46" x14ac:dyDescent="0.25">
      <c r="A1044">
        <v>44</v>
      </c>
      <c r="B1044" t="s">
        <v>36</v>
      </c>
      <c r="C1044" t="s">
        <v>48</v>
      </c>
      <c r="D1044" t="s">
        <v>38</v>
      </c>
      <c r="E1044">
        <v>5</v>
      </c>
      <c r="F1044">
        <v>3</v>
      </c>
      <c r="G1044" t="s">
        <v>32</v>
      </c>
      <c r="H1044">
        <v>1471</v>
      </c>
      <c r="I1044">
        <v>3</v>
      </c>
      <c r="J1044" t="s">
        <v>39</v>
      </c>
      <c r="K1044">
        <v>2</v>
      </c>
      <c r="L1044">
        <v>1</v>
      </c>
      <c r="M1044" t="s">
        <v>43</v>
      </c>
      <c r="N1044">
        <v>3</v>
      </c>
      <c r="O1044" t="s">
        <v>35</v>
      </c>
      <c r="P1044">
        <v>3162</v>
      </c>
      <c r="Q1044">
        <v>3</v>
      </c>
      <c r="R1044" t="s">
        <v>36</v>
      </c>
      <c r="S1044">
        <v>14</v>
      </c>
      <c r="T1044">
        <v>3</v>
      </c>
      <c r="U1044">
        <v>4</v>
      </c>
      <c r="V1044">
        <v>0</v>
      </c>
      <c r="W1044">
        <v>7</v>
      </c>
      <c r="X1044">
        <v>5</v>
      </c>
      <c r="Y1044">
        <v>3</v>
      </c>
      <c r="Z1044">
        <v>5</v>
      </c>
      <c r="AA1044">
        <v>2</v>
      </c>
      <c r="AB1044">
        <v>0</v>
      </c>
      <c r="AC1044">
        <v>3</v>
      </c>
      <c r="AD1044">
        <f>IF(HR_Data[[#This Row],[Attrition]]="Yes",1,0)</f>
        <v>0</v>
      </c>
      <c r="AE1044" t="str">
        <f>IF(HR_Data[[#This Row],[Age]]&lt;=25,"18-25",IF(HR_Data[[#This Row],[Age]]&lt;=35,"26-35",IF(HR_Data[[#This Row],[Age]]&lt;=45,"36-45",IF(HR_Data[[#This Row],[Age]]&lt;=55,"46-55","55+"))))</f>
        <v>36-45</v>
      </c>
      <c r="AF1044">
        <f>IF(HR_Data[[#This Row],[Age]]&lt;=25,1,IF(HR_Data[[#This Row],[Age]]&lt;=35,2,IF(HR_Data[[#This Row],[Age]]&lt;=45,3,IF(HR_Data[[#This Row],[Age]]&lt;=55,4,5))))</f>
        <v>3</v>
      </c>
      <c r="AG1044" s="1" t="str">
        <f>IF(HR_Data[[#This Row],[MonthlyIncome]]&lt;3000,"&lt;3K",IF(HR_Data[[#This Row],[MonthlyIncome]]&lt;6000,"3K-6K",IF(HR_Data[[#This Row],[MonthlyIncome]]&lt;10000,"6K-10K","10K+")))</f>
        <v>3K-6K</v>
      </c>
      <c r="AH1044" s="1">
        <f>IF(HR_Data[[#This Row],[MonthlyIncome]]&lt;3000,1,IF(HR_Data[[#This Row],[MonthlyIncome]]&lt;6000,2,IF(HR_Data[[#This Row],[MonthlyIncome]]&lt;10000,3,4)))</f>
        <v>2</v>
      </c>
      <c r="AI1044" s="1" t="str">
        <f>IF(HR_Data[[#This Row],[YearsAtCompany]]&lt;=2,"0-2 Yrs",IF(HR_Data[[#This Row],[YearsAtCompany]]&lt;=5,"3-5 Yrs",IF(HR_Data[[#This Row],[YearsAtCompany]]&lt;=10,"6-10 Yrs","10+ Yrs")))</f>
        <v>3-5 Yrs</v>
      </c>
      <c r="AJ1044" s="1">
        <f>IF(HR_Data[[#This Row],[YearsAtCompany]]&lt;=2,1,IF(HR_Data[[#This Row],[YearsAtCompany]]&lt;=5,2,IF(HR_Data[[#This Row],[YearsAtCompany]]&lt;=10,3,4)))</f>
        <v>2</v>
      </c>
      <c r="AK1044" s="1" t="str">
        <f>CHOOSE(HR_Data[[#This Row],[Education]],"Below College","College","Bachelor","Master","Doctor")</f>
        <v>Bachelor</v>
      </c>
      <c r="AL1044" s="1" t="str">
        <f>CHOOSE(HR_Data[[#This Row],[JobSatisfaction]],"Low","Medium","High","Very High")</f>
        <v>High</v>
      </c>
      <c r="AM1044" s="1" t="str">
        <f>CHOOSE(HR_Data[[#This Row],[EnvironmentSatisfaction]],"Low","Medium","High","Very High")</f>
        <v>High</v>
      </c>
      <c r="AN1044" s="1" t="str">
        <f>CHOOSE(HR_Data[[#This Row],[WorkLifeBalance]],"Bad","Good","Better","Best")</f>
        <v>Better</v>
      </c>
      <c r="AO1044" s="1" t="str">
        <f>IF(HR_Data[[#This Row],[PercentSalaryHike]]&lt;=13,"11-13%",IF(HR_Data[[#This Row],[PercentSalaryHike]]&lt;=16,"14-16%",IF(HR_Data[[#This Row],[PercentSalaryHike]]&lt;=19,"17-19%","20-25%")))</f>
        <v>14-16%</v>
      </c>
      <c r="AP1044" s="1">
        <f>IF(HR_Data[[#This Row],[PercentSalaryHike]]&lt;=13,1,IF(HR_Data[[#This Row],[PercentSalaryHike]]&lt;=16,2,IF(HR_Data[[#This Row],[PercentSalaryHike]]&lt;=19,3,4)))</f>
        <v>2</v>
      </c>
      <c r="AQ1044" s="1" t="str">
        <f>IF(HR_Data[[#This Row],[DistanceFromHome]]&lt;=5,"1 to 5",IF(HR_Data[[#This Row],[DistanceFromHome]]&lt;=10,"6 to 10",IF(HR_Data[[#This Row],[DistanceFromHome]]&lt;=20,"11 to 20","21 to 29")))</f>
        <v>1 to 5</v>
      </c>
      <c r="AR1044" s="1">
        <f>IF(HR_Data[[#This Row],[DistanceFromHome]]&lt;=5,1,IF(HR_Data[[#This Row],[DistanceFromHome]]&lt;=10,2,IF(HR_Data[[#This Row],[DistanceFromHome]]&lt;=20,3,4)))</f>
        <v>1</v>
      </c>
      <c r="AS1044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044" s="1">
        <f>IF(HR_Data[[#This Row],[TotalWorkingYears]]&lt;=5,1,IF(HR_Data[[#This Row],[TotalWorkingYears]]&lt;=10,2,IF(HR_Data[[#This Row],[TotalWorkingYears]]&lt;=20,3,4)))</f>
        <v>2</v>
      </c>
    </row>
    <row r="1045" spans="1:46" x14ac:dyDescent="0.25">
      <c r="A1045">
        <v>53</v>
      </c>
      <c r="B1045" t="s">
        <v>36</v>
      </c>
      <c r="C1045" t="s">
        <v>30</v>
      </c>
      <c r="D1045" t="s">
        <v>38</v>
      </c>
      <c r="E1045">
        <v>2</v>
      </c>
      <c r="F1045">
        <v>3</v>
      </c>
      <c r="G1045" t="s">
        <v>44</v>
      </c>
      <c r="H1045">
        <v>1472</v>
      </c>
      <c r="I1045">
        <v>4</v>
      </c>
      <c r="J1045" t="s">
        <v>39</v>
      </c>
      <c r="K1045">
        <v>4</v>
      </c>
      <c r="L1045">
        <v>4</v>
      </c>
      <c r="M1045" t="s">
        <v>51</v>
      </c>
      <c r="N1045">
        <v>2</v>
      </c>
      <c r="O1045" t="s">
        <v>35</v>
      </c>
      <c r="P1045">
        <v>16598</v>
      </c>
      <c r="Q1045">
        <v>4</v>
      </c>
      <c r="R1045" t="s">
        <v>36</v>
      </c>
      <c r="S1045">
        <v>12</v>
      </c>
      <c r="T1045">
        <v>3</v>
      </c>
      <c r="U1045">
        <v>2</v>
      </c>
      <c r="V1045">
        <v>0</v>
      </c>
      <c r="W1045">
        <v>35</v>
      </c>
      <c r="X1045">
        <v>2</v>
      </c>
      <c r="Y1045">
        <v>2</v>
      </c>
      <c r="Z1045">
        <v>9</v>
      </c>
      <c r="AA1045">
        <v>8</v>
      </c>
      <c r="AB1045">
        <v>8</v>
      </c>
      <c r="AC1045">
        <v>8</v>
      </c>
      <c r="AD1045">
        <f>IF(HR_Data[[#This Row],[Attrition]]="Yes",1,0)</f>
        <v>0</v>
      </c>
      <c r="AE1045" t="str">
        <f>IF(HR_Data[[#This Row],[Age]]&lt;=25,"18-25",IF(HR_Data[[#This Row],[Age]]&lt;=35,"26-35",IF(HR_Data[[#This Row],[Age]]&lt;=45,"36-45",IF(HR_Data[[#This Row],[Age]]&lt;=55,"46-55","55+"))))</f>
        <v>46-55</v>
      </c>
      <c r="AF1045">
        <f>IF(HR_Data[[#This Row],[Age]]&lt;=25,1,IF(HR_Data[[#This Row],[Age]]&lt;=35,2,IF(HR_Data[[#This Row],[Age]]&lt;=45,3,IF(HR_Data[[#This Row],[Age]]&lt;=55,4,5))))</f>
        <v>4</v>
      </c>
      <c r="AG1045" s="1" t="str">
        <f>IF(HR_Data[[#This Row],[MonthlyIncome]]&lt;3000,"&lt;3K",IF(HR_Data[[#This Row],[MonthlyIncome]]&lt;6000,"3K-6K",IF(HR_Data[[#This Row],[MonthlyIncome]]&lt;10000,"6K-10K","10K+")))</f>
        <v>10K+</v>
      </c>
      <c r="AH1045" s="1">
        <f>IF(HR_Data[[#This Row],[MonthlyIncome]]&lt;3000,1,IF(HR_Data[[#This Row],[MonthlyIncome]]&lt;6000,2,IF(HR_Data[[#This Row],[MonthlyIncome]]&lt;10000,3,4)))</f>
        <v>4</v>
      </c>
      <c r="AI1045" s="1" t="str">
        <f>IF(HR_Data[[#This Row],[YearsAtCompany]]&lt;=2,"0-2 Yrs",IF(HR_Data[[#This Row],[YearsAtCompany]]&lt;=5,"3-5 Yrs",IF(HR_Data[[#This Row],[YearsAtCompany]]&lt;=10,"6-10 Yrs","10+ Yrs")))</f>
        <v>6-10 Yrs</v>
      </c>
      <c r="AJ1045" s="1">
        <f>IF(HR_Data[[#This Row],[YearsAtCompany]]&lt;=2,1,IF(HR_Data[[#This Row],[YearsAtCompany]]&lt;=5,2,IF(HR_Data[[#This Row],[YearsAtCompany]]&lt;=10,3,4)))</f>
        <v>3</v>
      </c>
      <c r="AK1045" s="1" t="str">
        <f>CHOOSE(HR_Data[[#This Row],[Education]],"Below College","College","Bachelor","Master","Doctor")</f>
        <v>Bachelor</v>
      </c>
      <c r="AL1045" s="1" t="str">
        <f>CHOOSE(HR_Data[[#This Row],[JobSatisfaction]],"Low","Medium","High","Very High")</f>
        <v>Medium</v>
      </c>
      <c r="AM1045" s="1" t="str">
        <f>CHOOSE(HR_Data[[#This Row],[EnvironmentSatisfaction]],"Low","Medium","High","Very High")</f>
        <v>Very High</v>
      </c>
      <c r="AN1045" s="1" t="str">
        <f>CHOOSE(HR_Data[[#This Row],[WorkLifeBalance]],"Bad","Good","Better","Best")</f>
        <v>Good</v>
      </c>
      <c r="AO1045" s="1" t="str">
        <f>IF(HR_Data[[#This Row],[PercentSalaryHike]]&lt;=13,"11-13%",IF(HR_Data[[#This Row],[PercentSalaryHike]]&lt;=16,"14-16%",IF(HR_Data[[#This Row],[PercentSalaryHike]]&lt;=19,"17-19%","20-25%")))</f>
        <v>11-13%</v>
      </c>
      <c r="AP1045" s="1">
        <f>IF(HR_Data[[#This Row],[PercentSalaryHike]]&lt;=13,1,IF(HR_Data[[#This Row],[PercentSalaryHike]]&lt;=16,2,IF(HR_Data[[#This Row],[PercentSalaryHike]]&lt;=19,3,4)))</f>
        <v>1</v>
      </c>
      <c r="AQ1045" s="1" t="str">
        <f>IF(HR_Data[[#This Row],[DistanceFromHome]]&lt;=5,"1 to 5",IF(HR_Data[[#This Row],[DistanceFromHome]]&lt;=10,"6 to 10",IF(HR_Data[[#This Row],[DistanceFromHome]]&lt;=20,"11 to 20","21 to 29")))</f>
        <v>1 to 5</v>
      </c>
      <c r="AR1045" s="1">
        <f>IF(HR_Data[[#This Row],[DistanceFromHome]]&lt;=5,1,IF(HR_Data[[#This Row],[DistanceFromHome]]&lt;=10,2,IF(HR_Data[[#This Row],[DistanceFromHome]]&lt;=20,3,4)))</f>
        <v>1</v>
      </c>
      <c r="AS1045" s="1" t="str">
        <f>IF(HR_Data[[#This Row],[TotalWorkingYears]]&lt;=5,"0-5 Yrs",IF(HR_Data[[#This Row],[TotalWorkingYears]]&lt;=10,"6-10 Yrs",IF(HR_Data[[#This Row],[TotalWorkingYears]]&lt;=20,"11-20 Yrs","20+ Yrs")))</f>
        <v>20+ Yrs</v>
      </c>
      <c r="AT1045" s="1">
        <f>IF(HR_Data[[#This Row],[TotalWorkingYears]]&lt;=5,1,IF(HR_Data[[#This Row],[TotalWorkingYears]]&lt;=10,2,IF(HR_Data[[#This Row],[TotalWorkingYears]]&lt;=20,3,4)))</f>
        <v>4</v>
      </c>
    </row>
    <row r="1046" spans="1:46" x14ac:dyDescent="0.25">
      <c r="A1046">
        <v>49</v>
      </c>
      <c r="B1046" t="s">
        <v>36</v>
      </c>
      <c r="C1046" t="s">
        <v>30</v>
      </c>
      <c r="D1046" t="s">
        <v>38</v>
      </c>
      <c r="E1046">
        <v>5</v>
      </c>
      <c r="F1046">
        <v>4</v>
      </c>
      <c r="G1046" t="s">
        <v>53</v>
      </c>
      <c r="H1046">
        <v>1473</v>
      </c>
      <c r="I1046">
        <v>1</v>
      </c>
      <c r="J1046" t="s">
        <v>39</v>
      </c>
      <c r="K1046">
        <v>3</v>
      </c>
      <c r="L1046">
        <v>2</v>
      </c>
      <c r="M1046" t="s">
        <v>47</v>
      </c>
      <c r="N1046">
        <v>3</v>
      </c>
      <c r="O1046" t="s">
        <v>41</v>
      </c>
      <c r="P1046">
        <v>6651</v>
      </c>
      <c r="Q1046">
        <v>2</v>
      </c>
      <c r="R1046" t="s">
        <v>36</v>
      </c>
      <c r="S1046">
        <v>14</v>
      </c>
      <c r="T1046">
        <v>3</v>
      </c>
      <c r="U1046">
        <v>2</v>
      </c>
      <c r="V1046">
        <v>1</v>
      </c>
      <c r="W1046">
        <v>20</v>
      </c>
      <c r="X1046">
        <v>0</v>
      </c>
      <c r="Y1046">
        <v>2</v>
      </c>
      <c r="Z1046">
        <v>3</v>
      </c>
      <c r="AA1046">
        <v>2</v>
      </c>
      <c r="AB1046">
        <v>1</v>
      </c>
      <c r="AC1046">
        <v>2</v>
      </c>
      <c r="AD1046">
        <f>IF(HR_Data[[#This Row],[Attrition]]="Yes",1,0)</f>
        <v>0</v>
      </c>
      <c r="AE1046" t="str">
        <f>IF(HR_Data[[#This Row],[Age]]&lt;=25,"18-25",IF(HR_Data[[#This Row],[Age]]&lt;=35,"26-35",IF(HR_Data[[#This Row],[Age]]&lt;=45,"36-45",IF(HR_Data[[#This Row],[Age]]&lt;=55,"46-55","55+"))))</f>
        <v>46-55</v>
      </c>
      <c r="AF1046">
        <f>IF(HR_Data[[#This Row],[Age]]&lt;=25,1,IF(HR_Data[[#This Row],[Age]]&lt;=35,2,IF(HR_Data[[#This Row],[Age]]&lt;=45,3,IF(HR_Data[[#This Row],[Age]]&lt;=55,4,5))))</f>
        <v>4</v>
      </c>
      <c r="AG1046" s="1" t="str">
        <f>IF(HR_Data[[#This Row],[MonthlyIncome]]&lt;3000,"&lt;3K",IF(HR_Data[[#This Row],[MonthlyIncome]]&lt;6000,"3K-6K",IF(HR_Data[[#This Row],[MonthlyIncome]]&lt;10000,"6K-10K","10K+")))</f>
        <v>6K-10K</v>
      </c>
      <c r="AH1046" s="1">
        <f>IF(HR_Data[[#This Row],[MonthlyIncome]]&lt;3000,1,IF(HR_Data[[#This Row],[MonthlyIncome]]&lt;6000,2,IF(HR_Data[[#This Row],[MonthlyIncome]]&lt;10000,3,4)))</f>
        <v>3</v>
      </c>
      <c r="AI1046" s="1" t="str">
        <f>IF(HR_Data[[#This Row],[YearsAtCompany]]&lt;=2,"0-2 Yrs",IF(HR_Data[[#This Row],[YearsAtCompany]]&lt;=5,"3-5 Yrs",IF(HR_Data[[#This Row],[YearsAtCompany]]&lt;=10,"6-10 Yrs","10+ Yrs")))</f>
        <v>3-5 Yrs</v>
      </c>
      <c r="AJ1046" s="1">
        <f>IF(HR_Data[[#This Row],[YearsAtCompany]]&lt;=2,1,IF(HR_Data[[#This Row],[YearsAtCompany]]&lt;=5,2,IF(HR_Data[[#This Row],[YearsAtCompany]]&lt;=10,3,4)))</f>
        <v>2</v>
      </c>
      <c r="AK1046" s="1" t="str">
        <f>CHOOSE(HR_Data[[#This Row],[Education]],"Below College","College","Bachelor","Master","Doctor")</f>
        <v>Master</v>
      </c>
      <c r="AL1046" s="1" t="str">
        <f>CHOOSE(HR_Data[[#This Row],[JobSatisfaction]],"Low","Medium","High","Very High")</f>
        <v>High</v>
      </c>
      <c r="AM1046" s="1" t="str">
        <f>CHOOSE(HR_Data[[#This Row],[EnvironmentSatisfaction]],"Low","Medium","High","Very High")</f>
        <v>Low</v>
      </c>
      <c r="AN1046" s="1" t="str">
        <f>CHOOSE(HR_Data[[#This Row],[WorkLifeBalance]],"Bad","Good","Better","Best")</f>
        <v>Good</v>
      </c>
      <c r="AO1046" s="1" t="str">
        <f>IF(HR_Data[[#This Row],[PercentSalaryHike]]&lt;=13,"11-13%",IF(HR_Data[[#This Row],[PercentSalaryHike]]&lt;=16,"14-16%",IF(HR_Data[[#This Row],[PercentSalaryHike]]&lt;=19,"17-19%","20-25%")))</f>
        <v>14-16%</v>
      </c>
      <c r="AP1046" s="1">
        <f>IF(HR_Data[[#This Row],[PercentSalaryHike]]&lt;=13,1,IF(HR_Data[[#This Row],[PercentSalaryHike]]&lt;=16,2,IF(HR_Data[[#This Row],[PercentSalaryHike]]&lt;=19,3,4)))</f>
        <v>2</v>
      </c>
      <c r="AQ1046" s="1" t="str">
        <f>IF(HR_Data[[#This Row],[DistanceFromHome]]&lt;=5,"1 to 5",IF(HR_Data[[#This Row],[DistanceFromHome]]&lt;=10,"6 to 10",IF(HR_Data[[#This Row],[DistanceFromHome]]&lt;=20,"11 to 20","21 to 29")))</f>
        <v>1 to 5</v>
      </c>
      <c r="AR1046" s="1">
        <f>IF(HR_Data[[#This Row],[DistanceFromHome]]&lt;=5,1,IF(HR_Data[[#This Row],[DistanceFromHome]]&lt;=10,2,IF(HR_Data[[#This Row],[DistanceFromHome]]&lt;=20,3,4)))</f>
        <v>1</v>
      </c>
      <c r="AS1046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046" s="1">
        <f>IF(HR_Data[[#This Row],[TotalWorkingYears]]&lt;=5,1,IF(HR_Data[[#This Row],[TotalWorkingYears]]&lt;=10,2,IF(HR_Data[[#This Row],[TotalWorkingYears]]&lt;=20,3,4)))</f>
        <v>3</v>
      </c>
    </row>
    <row r="1047" spans="1:46" x14ac:dyDescent="0.25">
      <c r="A1047">
        <v>40</v>
      </c>
      <c r="B1047" t="s">
        <v>36</v>
      </c>
      <c r="C1047" t="s">
        <v>30</v>
      </c>
      <c r="D1047" t="s">
        <v>38</v>
      </c>
      <c r="E1047">
        <v>2</v>
      </c>
      <c r="F1047">
        <v>3</v>
      </c>
      <c r="G1047" t="s">
        <v>44</v>
      </c>
      <c r="H1047">
        <v>1474</v>
      </c>
      <c r="I1047">
        <v>3</v>
      </c>
      <c r="J1047" t="s">
        <v>39</v>
      </c>
      <c r="K1047">
        <v>3</v>
      </c>
      <c r="L1047">
        <v>1</v>
      </c>
      <c r="M1047" t="s">
        <v>40</v>
      </c>
      <c r="N1047">
        <v>3</v>
      </c>
      <c r="O1047" t="s">
        <v>45</v>
      </c>
      <c r="P1047">
        <v>2345</v>
      </c>
      <c r="Q1047">
        <v>2</v>
      </c>
      <c r="R1047" t="s">
        <v>36</v>
      </c>
      <c r="S1047">
        <v>14</v>
      </c>
      <c r="T1047">
        <v>3</v>
      </c>
      <c r="U1047">
        <v>3</v>
      </c>
      <c r="V1047">
        <v>1</v>
      </c>
      <c r="W1047">
        <v>8</v>
      </c>
      <c r="X1047">
        <v>3</v>
      </c>
      <c r="Y1047">
        <v>4</v>
      </c>
      <c r="Z1047">
        <v>3</v>
      </c>
      <c r="AA1047">
        <v>1</v>
      </c>
      <c r="AB1047">
        <v>1</v>
      </c>
      <c r="AC1047">
        <v>2</v>
      </c>
      <c r="AD1047">
        <f>IF(HR_Data[[#This Row],[Attrition]]="Yes",1,0)</f>
        <v>0</v>
      </c>
      <c r="AE1047" t="str">
        <f>IF(HR_Data[[#This Row],[Age]]&lt;=25,"18-25",IF(HR_Data[[#This Row],[Age]]&lt;=35,"26-35",IF(HR_Data[[#This Row],[Age]]&lt;=45,"36-45",IF(HR_Data[[#This Row],[Age]]&lt;=55,"46-55","55+"))))</f>
        <v>36-45</v>
      </c>
      <c r="AF1047">
        <f>IF(HR_Data[[#This Row],[Age]]&lt;=25,1,IF(HR_Data[[#This Row],[Age]]&lt;=35,2,IF(HR_Data[[#This Row],[Age]]&lt;=45,3,IF(HR_Data[[#This Row],[Age]]&lt;=55,4,5))))</f>
        <v>3</v>
      </c>
      <c r="AG1047" s="1" t="str">
        <f>IF(HR_Data[[#This Row],[MonthlyIncome]]&lt;3000,"&lt;3K",IF(HR_Data[[#This Row],[MonthlyIncome]]&lt;6000,"3K-6K",IF(HR_Data[[#This Row],[MonthlyIncome]]&lt;10000,"6K-10K","10K+")))</f>
        <v>&lt;3K</v>
      </c>
      <c r="AH1047" s="1">
        <f>IF(HR_Data[[#This Row],[MonthlyIncome]]&lt;3000,1,IF(HR_Data[[#This Row],[MonthlyIncome]]&lt;6000,2,IF(HR_Data[[#This Row],[MonthlyIncome]]&lt;10000,3,4)))</f>
        <v>1</v>
      </c>
      <c r="AI1047" s="1" t="str">
        <f>IF(HR_Data[[#This Row],[YearsAtCompany]]&lt;=2,"0-2 Yrs",IF(HR_Data[[#This Row],[YearsAtCompany]]&lt;=5,"3-5 Yrs",IF(HR_Data[[#This Row],[YearsAtCompany]]&lt;=10,"6-10 Yrs","10+ Yrs")))</f>
        <v>3-5 Yrs</v>
      </c>
      <c r="AJ1047" s="1">
        <f>IF(HR_Data[[#This Row],[YearsAtCompany]]&lt;=2,1,IF(HR_Data[[#This Row],[YearsAtCompany]]&lt;=5,2,IF(HR_Data[[#This Row],[YearsAtCompany]]&lt;=10,3,4)))</f>
        <v>2</v>
      </c>
      <c r="AK1047" s="1" t="str">
        <f>CHOOSE(HR_Data[[#This Row],[Education]],"Below College","College","Bachelor","Master","Doctor")</f>
        <v>Bachelor</v>
      </c>
      <c r="AL1047" s="1" t="str">
        <f>CHOOSE(HR_Data[[#This Row],[JobSatisfaction]],"Low","Medium","High","Very High")</f>
        <v>High</v>
      </c>
      <c r="AM1047" s="1" t="str">
        <f>CHOOSE(HR_Data[[#This Row],[EnvironmentSatisfaction]],"Low","Medium","High","Very High")</f>
        <v>High</v>
      </c>
      <c r="AN1047" s="1" t="str">
        <f>CHOOSE(HR_Data[[#This Row],[WorkLifeBalance]],"Bad","Good","Better","Best")</f>
        <v>Best</v>
      </c>
      <c r="AO1047" s="1" t="str">
        <f>IF(HR_Data[[#This Row],[PercentSalaryHike]]&lt;=13,"11-13%",IF(HR_Data[[#This Row],[PercentSalaryHike]]&lt;=16,"14-16%",IF(HR_Data[[#This Row],[PercentSalaryHike]]&lt;=19,"17-19%","20-25%")))</f>
        <v>14-16%</v>
      </c>
      <c r="AP1047" s="1">
        <f>IF(HR_Data[[#This Row],[PercentSalaryHike]]&lt;=13,1,IF(HR_Data[[#This Row],[PercentSalaryHike]]&lt;=16,2,IF(HR_Data[[#This Row],[PercentSalaryHike]]&lt;=19,3,4)))</f>
        <v>2</v>
      </c>
      <c r="AQ1047" s="1" t="str">
        <f>IF(HR_Data[[#This Row],[DistanceFromHome]]&lt;=5,"1 to 5",IF(HR_Data[[#This Row],[DistanceFromHome]]&lt;=10,"6 to 10",IF(HR_Data[[#This Row],[DistanceFromHome]]&lt;=20,"11 to 20","21 to 29")))</f>
        <v>1 to 5</v>
      </c>
      <c r="AR1047" s="1">
        <f>IF(HR_Data[[#This Row],[DistanceFromHome]]&lt;=5,1,IF(HR_Data[[#This Row],[DistanceFromHome]]&lt;=10,2,IF(HR_Data[[#This Row],[DistanceFromHome]]&lt;=20,3,4)))</f>
        <v>1</v>
      </c>
      <c r="AS1047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047" s="1">
        <f>IF(HR_Data[[#This Row],[TotalWorkingYears]]&lt;=5,1,IF(HR_Data[[#This Row],[TotalWorkingYears]]&lt;=10,2,IF(HR_Data[[#This Row],[TotalWorkingYears]]&lt;=20,3,4)))</f>
        <v>2</v>
      </c>
    </row>
    <row r="1048" spans="1:46" x14ac:dyDescent="0.25">
      <c r="A1048">
        <v>44</v>
      </c>
      <c r="B1048" t="s">
        <v>36</v>
      </c>
      <c r="C1048" t="s">
        <v>30</v>
      </c>
      <c r="D1048" t="s">
        <v>38</v>
      </c>
      <c r="E1048">
        <v>20</v>
      </c>
      <c r="F1048">
        <v>3</v>
      </c>
      <c r="G1048" t="s">
        <v>32</v>
      </c>
      <c r="H1048">
        <v>1475</v>
      </c>
      <c r="I1048">
        <v>4</v>
      </c>
      <c r="J1048" t="s">
        <v>39</v>
      </c>
      <c r="K1048">
        <v>3</v>
      </c>
      <c r="L1048">
        <v>1</v>
      </c>
      <c r="M1048" t="s">
        <v>40</v>
      </c>
      <c r="N1048">
        <v>2</v>
      </c>
      <c r="O1048" t="s">
        <v>35</v>
      </c>
      <c r="P1048">
        <v>3420</v>
      </c>
      <c r="Q1048">
        <v>1</v>
      </c>
      <c r="R1048" t="s">
        <v>36</v>
      </c>
      <c r="S1048">
        <v>13</v>
      </c>
      <c r="T1048">
        <v>3</v>
      </c>
      <c r="U1048">
        <v>3</v>
      </c>
      <c r="V1048">
        <v>0</v>
      </c>
      <c r="W1048">
        <v>6</v>
      </c>
      <c r="X1048">
        <v>3</v>
      </c>
      <c r="Y1048">
        <v>2</v>
      </c>
      <c r="Z1048">
        <v>5</v>
      </c>
      <c r="AA1048">
        <v>2</v>
      </c>
      <c r="AB1048">
        <v>1</v>
      </c>
      <c r="AC1048">
        <v>3</v>
      </c>
      <c r="AD1048">
        <f>IF(HR_Data[[#This Row],[Attrition]]="Yes",1,0)</f>
        <v>0</v>
      </c>
      <c r="AE1048" t="str">
        <f>IF(HR_Data[[#This Row],[Age]]&lt;=25,"18-25",IF(HR_Data[[#This Row],[Age]]&lt;=35,"26-35",IF(HR_Data[[#This Row],[Age]]&lt;=45,"36-45",IF(HR_Data[[#This Row],[Age]]&lt;=55,"46-55","55+"))))</f>
        <v>36-45</v>
      </c>
      <c r="AF1048">
        <f>IF(HR_Data[[#This Row],[Age]]&lt;=25,1,IF(HR_Data[[#This Row],[Age]]&lt;=35,2,IF(HR_Data[[#This Row],[Age]]&lt;=45,3,IF(HR_Data[[#This Row],[Age]]&lt;=55,4,5))))</f>
        <v>3</v>
      </c>
      <c r="AG1048" s="1" t="str">
        <f>IF(HR_Data[[#This Row],[MonthlyIncome]]&lt;3000,"&lt;3K",IF(HR_Data[[#This Row],[MonthlyIncome]]&lt;6000,"3K-6K",IF(HR_Data[[#This Row],[MonthlyIncome]]&lt;10000,"6K-10K","10K+")))</f>
        <v>3K-6K</v>
      </c>
      <c r="AH1048" s="1">
        <f>IF(HR_Data[[#This Row],[MonthlyIncome]]&lt;3000,1,IF(HR_Data[[#This Row],[MonthlyIncome]]&lt;6000,2,IF(HR_Data[[#This Row],[MonthlyIncome]]&lt;10000,3,4)))</f>
        <v>2</v>
      </c>
      <c r="AI1048" s="1" t="str">
        <f>IF(HR_Data[[#This Row],[YearsAtCompany]]&lt;=2,"0-2 Yrs",IF(HR_Data[[#This Row],[YearsAtCompany]]&lt;=5,"3-5 Yrs",IF(HR_Data[[#This Row],[YearsAtCompany]]&lt;=10,"6-10 Yrs","10+ Yrs")))</f>
        <v>3-5 Yrs</v>
      </c>
      <c r="AJ1048" s="1">
        <f>IF(HR_Data[[#This Row],[YearsAtCompany]]&lt;=2,1,IF(HR_Data[[#This Row],[YearsAtCompany]]&lt;=5,2,IF(HR_Data[[#This Row],[YearsAtCompany]]&lt;=10,3,4)))</f>
        <v>2</v>
      </c>
      <c r="AK1048" s="1" t="str">
        <f>CHOOSE(HR_Data[[#This Row],[Education]],"Below College","College","Bachelor","Master","Doctor")</f>
        <v>Bachelor</v>
      </c>
      <c r="AL1048" s="1" t="str">
        <f>CHOOSE(HR_Data[[#This Row],[JobSatisfaction]],"Low","Medium","High","Very High")</f>
        <v>Medium</v>
      </c>
      <c r="AM1048" s="1" t="str">
        <f>CHOOSE(HR_Data[[#This Row],[EnvironmentSatisfaction]],"Low","Medium","High","Very High")</f>
        <v>Very High</v>
      </c>
      <c r="AN1048" s="1" t="str">
        <f>CHOOSE(HR_Data[[#This Row],[WorkLifeBalance]],"Bad","Good","Better","Best")</f>
        <v>Good</v>
      </c>
      <c r="AO1048" s="1" t="str">
        <f>IF(HR_Data[[#This Row],[PercentSalaryHike]]&lt;=13,"11-13%",IF(HR_Data[[#This Row],[PercentSalaryHike]]&lt;=16,"14-16%",IF(HR_Data[[#This Row],[PercentSalaryHike]]&lt;=19,"17-19%","20-25%")))</f>
        <v>11-13%</v>
      </c>
      <c r="AP1048" s="1">
        <f>IF(HR_Data[[#This Row],[PercentSalaryHike]]&lt;=13,1,IF(HR_Data[[#This Row],[PercentSalaryHike]]&lt;=16,2,IF(HR_Data[[#This Row],[PercentSalaryHike]]&lt;=19,3,4)))</f>
        <v>1</v>
      </c>
      <c r="AQ1048" s="1" t="str">
        <f>IF(HR_Data[[#This Row],[DistanceFromHome]]&lt;=5,"1 to 5",IF(HR_Data[[#This Row],[DistanceFromHome]]&lt;=10,"6 to 10",IF(HR_Data[[#This Row],[DistanceFromHome]]&lt;=20,"11 to 20","21 to 29")))</f>
        <v>11 to 20</v>
      </c>
      <c r="AR1048" s="1">
        <f>IF(HR_Data[[#This Row],[DistanceFromHome]]&lt;=5,1,IF(HR_Data[[#This Row],[DistanceFromHome]]&lt;=10,2,IF(HR_Data[[#This Row],[DistanceFromHome]]&lt;=20,3,4)))</f>
        <v>3</v>
      </c>
      <c r="AS1048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048" s="1">
        <f>IF(HR_Data[[#This Row],[TotalWorkingYears]]&lt;=5,1,IF(HR_Data[[#This Row],[TotalWorkingYears]]&lt;=10,2,IF(HR_Data[[#This Row],[TotalWorkingYears]]&lt;=20,3,4)))</f>
        <v>2</v>
      </c>
    </row>
    <row r="1049" spans="1:46" x14ac:dyDescent="0.25">
      <c r="A1049">
        <v>33</v>
      </c>
      <c r="B1049" t="s">
        <v>36</v>
      </c>
      <c r="C1049" t="s">
        <v>37</v>
      </c>
      <c r="D1049" t="s">
        <v>31</v>
      </c>
      <c r="E1049">
        <v>7</v>
      </c>
      <c r="F1049">
        <v>3</v>
      </c>
      <c r="G1049" t="s">
        <v>44</v>
      </c>
      <c r="H1049">
        <v>1477</v>
      </c>
      <c r="I1049">
        <v>4</v>
      </c>
      <c r="J1049" t="s">
        <v>39</v>
      </c>
      <c r="K1049">
        <v>3</v>
      </c>
      <c r="L1049">
        <v>2</v>
      </c>
      <c r="M1049" t="s">
        <v>34</v>
      </c>
      <c r="N1049">
        <v>1</v>
      </c>
      <c r="O1049" t="s">
        <v>41</v>
      </c>
      <c r="P1049">
        <v>4373</v>
      </c>
      <c r="Q1049">
        <v>0</v>
      </c>
      <c r="R1049" t="s">
        <v>36</v>
      </c>
      <c r="S1049">
        <v>14</v>
      </c>
      <c r="T1049">
        <v>3</v>
      </c>
      <c r="U1049">
        <v>1</v>
      </c>
      <c r="V1049">
        <v>2</v>
      </c>
      <c r="W1049">
        <v>5</v>
      </c>
      <c r="X1049">
        <v>2</v>
      </c>
      <c r="Y1049">
        <v>3</v>
      </c>
      <c r="Z1049">
        <v>4</v>
      </c>
      <c r="AA1049">
        <v>3</v>
      </c>
      <c r="AB1049">
        <v>0</v>
      </c>
      <c r="AC1049">
        <v>3</v>
      </c>
      <c r="AD1049">
        <f>IF(HR_Data[[#This Row],[Attrition]]="Yes",1,0)</f>
        <v>0</v>
      </c>
      <c r="AE1049" t="str">
        <f>IF(HR_Data[[#This Row],[Age]]&lt;=25,"18-25",IF(HR_Data[[#This Row],[Age]]&lt;=35,"26-35",IF(HR_Data[[#This Row],[Age]]&lt;=45,"36-45",IF(HR_Data[[#This Row],[Age]]&lt;=55,"46-55","55+"))))</f>
        <v>26-35</v>
      </c>
      <c r="AF1049">
        <f>IF(HR_Data[[#This Row],[Age]]&lt;=25,1,IF(HR_Data[[#This Row],[Age]]&lt;=35,2,IF(HR_Data[[#This Row],[Age]]&lt;=45,3,IF(HR_Data[[#This Row],[Age]]&lt;=55,4,5))))</f>
        <v>2</v>
      </c>
      <c r="AG1049" s="1" t="str">
        <f>IF(HR_Data[[#This Row],[MonthlyIncome]]&lt;3000,"&lt;3K",IF(HR_Data[[#This Row],[MonthlyIncome]]&lt;6000,"3K-6K",IF(HR_Data[[#This Row],[MonthlyIncome]]&lt;10000,"6K-10K","10K+")))</f>
        <v>3K-6K</v>
      </c>
      <c r="AH1049" s="1">
        <f>IF(HR_Data[[#This Row],[MonthlyIncome]]&lt;3000,1,IF(HR_Data[[#This Row],[MonthlyIncome]]&lt;6000,2,IF(HR_Data[[#This Row],[MonthlyIncome]]&lt;10000,3,4)))</f>
        <v>2</v>
      </c>
      <c r="AI1049" s="1" t="str">
        <f>IF(HR_Data[[#This Row],[YearsAtCompany]]&lt;=2,"0-2 Yrs",IF(HR_Data[[#This Row],[YearsAtCompany]]&lt;=5,"3-5 Yrs",IF(HR_Data[[#This Row],[YearsAtCompany]]&lt;=10,"6-10 Yrs","10+ Yrs")))</f>
        <v>3-5 Yrs</v>
      </c>
      <c r="AJ1049" s="1">
        <f>IF(HR_Data[[#This Row],[YearsAtCompany]]&lt;=2,1,IF(HR_Data[[#This Row],[YearsAtCompany]]&lt;=5,2,IF(HR_Data[[#This Row],[YearsAtCompany]]&lt;=10,3,4)))</f>
        <v>2</v>
      </c>
      <c r="AK1049" s="1" t="str">
        <f>CHOOSE(HR_Data[[#This Row],[Education]],"Below College","College","Bachelor","Master","Doctor")</f>
        <v>Bachelor</v>
      </c>
      <c r="AL1049" s="1" t="str">
        <f>CHOOSE(HR_Data[[#This Row],[JobSatisfaction]],"Low","Medium","High","Very High")</f>
        <v>Low</v>
      </c>
      <c r="AM1049" s="1" t="str">
        <f>CHOOSE(HR_Data[[#This Row],[EnvironmentSatisfaction]],"Low","Medium","High","Very High")</f>
        <v>Very High</v>
      </c>
      <c r="AN1049" s="1" t="str">
        <f>CHOOSE(HR_Data[[#This Row],[WorkLifeBalance]],"Bad","Good","Better","Best")</f>
        <v>Better</v>
      </c>
      <c r="AO1049" s="1" t="str">
        <f>IF(HR_Data[[#This Row],[PercentSalaryHike]]&lt;=13,"11-13%",IF(HR_Data[[#This Row],[PercentSalaryHike]]&lt;=16,"14-16%",IF(HR_Data[[#This Row],[PercentSalaryHike]]&lt;=19,"17-19%","20-25%")))</f>
        <v>14-16%</v>
      </c>
      <c r="AP1049" s="1">
        <f>IF(HR_Data[[#This Row],[PercentSalaryHike]]&lt;=13,1,IF(HR_Data[[#This Row],[PercentSalaryHike]]&lt;=16,2,IF(HR_Data[[#This Row],[PercentSalaryHike]]&lt;=19,3,4)))</f>
        <v>2</v>
      </c>
      <c r="AQ1049" s="1" t="str">
        <f>IF(HR_Data[[#This Row],[DistanceFromHome]]&lt;=5,"1 to 5",IF(HR_Data[[#This Row],[DistanceFromHome]]&lt;=10,"6 to 10",IF(HR_Data[[#This Row],[DistanceFromHome]]&lt;=20,"11 to 20","21 to 29")))</f>
        <v>6 to 10</v>
      </c>
      <c r="AR1049" s="1">
        <f>IF(HR_Data[[#This Row],[DistanceFromHome]]&lt;=5,1,IF(HR_Data[[#This Row],[DistanceFromHome]]&lt;=10,2,IF(HR_Data[[#This Row],[DistanceFromHome]]&lt;=20,3,4)))</f>
        <v>2</v>
      </c>
      <c r="AS1049" s="1" t="str">
        <f>IF(HR_Data[[#This Row],[TotalWorkingYears]]&lt;=5,"0-5 Yrs",IF(HR_Data[[#This Row],[TotalWorkingYears]]&lt;=10,"6-10 Yrs",IF(HR_Data[[#This Row],[TotalWorkingYears]]&lt;=20,"11-20 Yrs","20+ Yrs")))</f>
        <v>0-5 Yrs</v>
      </c>
      <c r="AT1049" s="1">
        <f>IF(HR_Data[[#This Row],[TotalWorkingYears]]&lt;=5,1,IF(HR_Data[[#This Row],[TotalWorkingYears]]&lt;=10,2,IF(HR_Data[[#This Row],[TotalWorkingYears]]&lt;=20,3,4)))</f>
        <v>1</v>
      </c>
    </row>
    <row r="1050" spans="1:46" x14ac:dyDescent="0.25">
      <c r="A1050">
        <v>34</v>
      </c>
      <c r="B1050" t="s">
        <v>36</v>
      </c>
      <c r="C1050" t="s">
        <v>30</v>
      </c>
      <c r="D1050" t="s">
        <v>31</v>
      </c>
      <c r="E1050">
        <v>3</v>
      </c>
      <c r="F1050">
        <v>3</v>
      </c>
      <c r="G1050" t="s">
        <v>42</v>
      </c>
      <c r="H1050">
        <v>1478</v>
      </c>
      <c r="I1050">
        <v>4</v>
      </c>
      <c r="J1050" t="s">
        <v>39</v>
      </c>
      <c r="K1050">
        <v>1</v>
      </c>
      <c r="L1050">
        <v>2</v>
      </c>
      <c r="M1050" t="s">
        <v>34</v>
      </c>
      <c r="N1050">
        <v>1</v>
      </c>
      <c r="O1050" t="s">
        <v>35</v>
      </c>
      <c r="P1050">
        <v>4759</v>
      </c>
      <c r="Q1050">
        <v>3</v>
      </c>
      <c r="R1050" t="s">
        <v>36</v>
      </c>
      <c r="S1050">
        <v>18</v>
      </c>
      <c r="T1050">
        <v>3</v>
      </c>
      <c r="U1050">
        <v>4</v>
      </c>
      <c r="V1050">
        <v>0</v>
      </c>
      <c r="W1050">
        <v>15</v>
      </c>
      <c r="X1050">
        <v>2</v>
      </c>
      <c r="Y1050">
        <v>3</v>
      </c>
      <c r="Z1050">
        <v>13</v>
      </c>
      <c r="AA1050">
        <v>9</v>
      </c>
      <c r="AB1050">
        <v>3</v>
      </c>
      <c r="AC1050">
        <v>12</v>
      </c>
      <c r="AD1050">
        <f>IF(HR_Data[[#This Row],[Attrition]]="Yes",1,0)</f>
        <v>0</v>
      </c>
      <c r="AE1050" t="str">
        <f>IF(HR_Data[[#This Row],[Age]]&lt;=25,"18-25",IF(HR_Data[[#This Row],[Age]]&lt;=35,"26-35",IF(HR_Data[[#This Row],[Age]]&lt;=45,"36-45",IF(HR_Data[[#This Row],[Age]]&lt;=55,"46-55","55+"))))</f>
        <v>26-35</v>
      </c>
      <c r="AF1050">
        <f>IF(HR_Data[[#This Row],[Age]]&lt;=25,1,IF(HR_Data[[#This Row],[Age]]&lt;=35,2,IF(HR_Data[[#This Row],[Age]]&lt;=45,3,IF(HR_Data[[#This Row],[Age]]&lt;=55,4,5))))</f>
        <v>2</v>
      </c>
      <c r="AG1050" s="1" t="str">
        <f>IF(HR_Data[[#This Row],[MonthlyIncome]]&lt;3000,"&lt;3K",IF(HR_Data[[#This Row],[MonthlyIncome]]&lt;6000,"3K-6K",IF(HR_Data[[#This Row],[MonthlyIncome]]&lt;10000,"6K-10K","10K+")))</f>
        <v>3K-6K</v>
      </c>
      <c r="AH1050" s="1">
        <f>IF(HR_Data[[#This Row],[MonthlyIncome]]&lt;3000,1,IF(HR_Data[[#This Row],[MonthlyIncome]]&lt;6000,2,IF(HR_Data[[#This Row],[MonthlyIncome]]&lt;10000,3,4)))</f>
        <v>2</v>
      </c>
      <c r="AI1050" s="1" t="str">
        <f>IF(HR_Data[[#This Row],[YearsAtCompany]]&lt;=2,"0-2 Yrs",IF(HR_Data[[#This Row],[YearsAtCompany]]&lt;=5,"3-5 Yrs",IF(HR_Data[[#This Row],[YearsAtCompany]]&lt;=10,"6-10 Yrs","10+ Yrs")))</f>
        <v>10+ Yrs</v>
      </c>
      <c r="AJ1050" s="1">
        <f>IF(HR_Data[[#This Row],[YearsAtCompany]]&lt;=2,1,IF(HR_Data[[#This Row],[YearsAtCompany]]&lt;=5,2,IF(HR_Data[[#This Row],[YearsAtCompany]]&lt;=10,3,4)))</f>
        <v>4</v>
      </c>
      <c r="AK1050" s="1" t="str">
        <f>CHOOSE(HR_Data[[#This Row],[Education]],"Below College","College","Bachelor","Master","Doctor")</f>
        <v>Bachelor</v>
      </c>
      <c r="AL1050" s="1" t="str">
        <f>CHOOSE(HR_Data[[#This Row],[JobSatisfaction]],"Low","Medium","High","Very High")</f>
        <v>Low</v>
      </c>
      <c r="AM1050" s="1" t="str">
        <f>CHOOSE(HR_Data[[#This Row],[EnvironmentSatisfaction]],"Low","Medium","High","Very High")</f>
        <v>Very High</v>
      </c>
      <c r="AN1050" s="1" t="str">
        <f>CHOOSE(HR_Data[[#This Row],[WorkLifeBalance]],"Bad","Good","Better","Best")</f>
        <v>Better</v>
      </c>
      <c r="AO1050" s="1" t="str">
        <f>IF(HR_Data[[#This Row],[PercentSalaryHike]]&lt;=13,"11-13%",IF(HR_Data[[#This Row],[PercentSalaryHike]]&lt;=16,"14-16%",IF(HR_Data[[#This Row],[PercentSalaryHike]]&lt;=19,"17-19%","20-25%")))</f>
        <v>17-19%</v>
      </c>
      <c r="AP1050" s="1">
        <f>IF(HR_Data[[#This Row],[PercentSalaryHike]]&lt;=13,1,IF(HR_Data[[#This Row],[PercentSalaryHike]]&lt;=16,2,IF(HR_Data[[#This Row],[PercentSalaryHike]]&lt;=19,3,4)))</f>
        <v>3</v>
      </c>
      <c r="AQ1050" s="1" t="str">
        <f>IF(HR_Data[[#This Row],[DistanceFromHome]]&lt;=5,"1 to 5",IF(HR_Data[[#This Row],[DistanceFromHome]]&lt;=10,"6 to 10",IF(HR_Data[[#This Row],[DistanceFromHome]]&lt;=20,"11 to 20","21 to 29")))</f>
        <v>1 to 5</v>
      </c>
      <c r="AR1050" s="1">
        <f>IF(HR_Data[[#This Row],[DistanceFromHome]]&lt;=5,1,IF(HR_Data[[#This Row],[DistanceFromHome]]&lt;=10,2,IF(HR_Data[[#This Row],[DistanceFromHome]]&lt;=20,3,4)))</f>
        <v>1</v>
      </c>
      <c r="AS1050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050" s="1">
        <f>IF(HR_Data[[#This Row],[TotalWorkingYears]]&lt;=5,1,IF(HR_Data[[#This Row],[TotalWorkingYears]]&lt;=10,2,IF(HR_Data[[#This Row],[TotalWorkingYears]]&lt;=20,3,4)))</f>
        <v>3</v>
      </c>
    </row>
    <row r="1051" spans="1:46" x14ac:dyDescent="0.25">
      <c r="A1051">
        <v>30</v>
      </c>
      <c r="B1051" t="s">
        <v>36</v>
      </c>
      <c r="C1051" t="s">
        <v>30</v>
      </c>
      <c r="D1051" t="s">
        <v>31</v>
      </c>
      <c r="E1051">
        <v>16</v>
      </c>
      <c r="F1051">
        <v>1</v>
      </c>
      <c r="G1051" t="s">
        <v>32</v>
      </c>
      <c r="H1051">
        <v>1479</v>
      </c>
      <c r="I1051">
        <v>4</v>
      </c>
      <c r="J1051" t="s">
        <v>39</v>
      </c>
      <c r="K1051">
        <v>3</v>
      </c>
      <c r="L1051">
        <v>2</v>
      </c>
      <c r="M1051" t="s">
        <v>34</v>
      </c>
      <c r="N1051">
        <v>3</v>
      </c>
      <c r="O1051" t="s">
        <v>41</v>
      </c>
      <c r="P1051">
        <v>5301</v>
      </c>
      <c r="Q1051">
        <v>8</v>
      </c>
      <c r="R1051" t="s">
        <v>36</v>
      </c>
      <c r="S1051">
        <v>15</v>
      </c>
      <c r="T1051">
        <v>3</v>
      </c>
      <c r="U1051">
        <v>3</v>
      </c>
      <c r="V1051">
        <v>2</v>
      </c>
      <c r="W1051">
        <v>4</v>
      </c>
      <c r="X1051">
        <v>2</v>
      </c>
      <c r="Y1051">
        <v>2</v>
      </c>
      <c r="Z1051">
        <v>2</v>
      </c>
      <c r="AA1051">
        <v>1</v>
      </c>
      <c r="AB1051">
        <v>2</v>
      </c>
      <c r="AC1051">
        <v>2</v>
      </c>
      <c r="AD1051">
        <f>IF(HR_Data[[#This Row],[Attrition]]="Yes",1,0)</f>
        <v>0</v>
      </c>
      <c r="AE1051" t="str">
        <f>IF(HR_Data[[#This Row],[Age]]&lt;=25,"18-25",IF(HR_Data[[#This Row],[Age]]&lt;=35,"26-35",IF(HR_Data[[#This Row],[Age]]&lt;=45,"36-45",IF(HR_Data[[#This Row],[Age]]&lt;=55,"46-55","55+"))))</f>
        <v>26-35</v>
      </c>
      <c r="AF1051">
        <f>IF(HR_Data[[#This Row],[Age]]&lt;=25,1,IF(HR_Data[[#This Row],[Age]]&lt;=35,2,IF(HR_Data[[#This Row],[Age]]&lt;=45,3,IF(HR_Data[[#This Row],[Age]]&lt;=55,4,5))))</f>
        <v>2</v>
      </c>
      <c r="AG1051" s="1" t="str">
        <f>IF(HR_Data[[#This Row],[MonthlyIncome]]&lt;3000,"&lt;3K",IF(HR_Data[[#This Row],[MonthlyIncome]]&lt;6000,"3K-6K",IF(HR_Data[[#This Row],[MonthlyIncome]]&lt;10000,"6K-10K","10K+")))</f>
        <v>3K-6K</v>
      </c>
      <c r="AH1051" s="1">
        <f>IF(HR_Data[[#This Row],[MonthlyIncome]]&lt;3000,1,IF(HR_Data[[#This Row],[MonthlyIncome]]&lt;6000,2,IF(HR_Data[[#This Row],[MonthlyIncome]]&lt;10000,3,4)))</f>
        <v>2</v>
      </c>
      <c r="AI1051" s="1" t="str">
        <f>IF(HR_Data[[#This Row],[YearsAtCompany]]&lt;=2,"0-2 Yrs",IF(HR_Data[[#This Row],[YearsAtCompany]]&lt;=5,"3-5 Yrs",IF(HR_Data[[#This Row],[YearsAtCompany]]&lt;=10,"6-10 Yrs","10+ Yrs")))</f>
        <v>0-2 Yrs</v>
      </c>
      <c r="AJ1051" s="1">
        <f>IF(HR_Data[[#This Row],[YearsAtCompany]]&lt;=2,1,IF(HR_Data[[#This Row],[YearsAtCompany]]&lt;=5,2,IF(HR_Data[[#This Row],[YearsAtCompany]]&lt;=10,3,4)))</f>
        <v>1</v>
      </c>
      <c r="AK1051" s="1" t="str">
        <f>CHOOSE(HR_Data[[#This Row],[Education]],"Below College","College","Bachelor","Master","Doctor")</f>
        <v>Below College</v>
      </c>
      <c r="AL1051" s="1" t="str">
        <f>CHOOSE(HR_Data[[#This Row],[JobSatisfaction]],"Low","Medium","High","Very High")</f>
        <v>High</v>
      </c>
      <c r="AM1051" s="1" t="str">
        <f>CHOOSE(HR_Data[[#This Row],[EnvironmentSatisfaction]],"Low","Medium","High","Very High")</f>
        <v>Very High</v>
      </c>
      <c r="AN1051" s="1" t="str">
        <f>CHOOSE(HR_Data[[#This Row],[WorkLifeBalance]],"Bad","Good","Better","Best")</f>
        <v>Good</v>
      </c>
      <c r="AO1051" s="1" t="str">
        <f>IF(HR_Data[[#This Row],[PercentSalaryHike]]&lt;=13,"11-13%",IF(HR_Data[[#This Row],[PercentSalaryHike]]&lt;=16,"14-16%",IF(HR_Data[[#This Row],[PercentSalaryHike]]&lt;=19,"17-19%","20-25%")))</f>
        <v>14-16%</v>
      </c>
      <c r="AP1051" s="1">
        <f>IF(HR_Data[[#This Row],[PercentSalaryHike]]&lt;=13,1,IF(HR_Data[[#This Row],[PercentSalaryHike]]&lt;=16,2,IF(HR_Data[[#This Row],[PercentSalaryHike]]&lt;=19,3,4)))</f>
        <v>2</v>
      </c>
      <c r="AQ1051" s="1" t="str">
        <f>IF(HR_Data[[#This Row],[DistanceFromHome]]&lt;=5,"1 to 5",IF(HR_Data[[#This Row],[DistanceFromHome]]&lt;=10,"6 to 10",IF(HR_Data[[#This Row],[DistanceFromHome]]&lt;=20,"11 to 20","21 to 29")))</f>
        <v>11 to 20</v>
      </c>
      <c r="AR1051" s="1">
        <f>IF(HR_Data[[#This Row],[DistanceFromHome]]&lt;=5,1,IF(HR_Data[[#This Row],[DistanceFromHome]]&lt;=10,2,IF(HR_Data[[#This Row],[DistanceFromHome]]&lt;=20,3,4)))</f>
        <v>3</v>
      </c>
      <c r="AS1051" s="1" t="str">
        <f>IF(HR_Data[[#This Row],[TotalWorkingYears]]&lt;=5,"0-5 Yrs",IF(HR_Data[[#This Row],[TotalWorkingYears]]&lt;=10,"6-10 Yrs",IF(HR_Data[[#This Row],[TotalWorkingYears]]&lt;=20,"11-20 Yrs","20+ Yrs")))</f>
        <v>0-5 Yrs</v>
      </c>
      <c r="AT1051" s="1">
        <f>IF(HR_Data[[#This Row],[TotalWorkingYears]]&lt;=5,1,IF(HR_Data[[#This Row],[TotalWorkingYears]]&lt;=10,2,IF(HR_Data[[#This Row],[TotalWorkingYears]]&lt;=20,3,4)))</f>
        <v>1</v>
      </c>
    </row>
    <row r="1052" spans="1:46" x14ac:dyDescent="0.25">
      <c r="A1052">
        <v>42</v>
      </c>
      <c r="B1052" t="s">
        <v>36</v>
      </c>
      <c r="C1052" t="s">
        <v>37</v>
      </c>
      <c r="D1052" t="s">
        <v>38</v>
      </c>
      <c r="E1052">
        <v>9</v>
      </c>
      <c r="F1052">
        <v>2</v>
      </c>
      <c r="G1052" t="s">
        <v>44</v>
      </c>
      <c r="H1052">
        <v>1480</v>
      </c>
      <c r="I1052">
        <v>1</v>
      </c>
      <c r="J1052" t="s">
        <v>33</v>
      </c>
      <c r="K1052">
        <v>3</v>
      </c>
      <c r="L1052">
        <v>1</v>
      </c>
      <c r="M1052" t="s">
        <v>43</v>
      </c>
      <c r="N1052">
        <v>4</v>
      </c>
      <c r="O1052" t="s">
        <v>35</v>
      </c>
      <c r="P1052">
        <v>3673</v>
      </c>
      <c r="Q1052">
        <v>1</v>
      </c>
      <c r="R1052" t="s">
        <v>36</v>
      </c>
      <c r="S1052">
        <v>13</v>
      </c>
      <c r="T1052">
        <v>3</v>
      </c>
      <c r="U1052">
        <v>3</v>
      </c>
      <c r="V1052">
        <v>0</v>
      </c>
      <c r="W1052">
        <v>12</v>
      </c>
      <c r="X1052">
        <v>3</v>
      </c>
      <c r="Y1052">
        <v>3</v>
      </c>
      <c r="Z1052">
        <v>12</v>
      </c>
      <c r="AA1052">
        <v>9</v>
      </c>
      <c r="AB1052">
        <v>5</v>
      </c>
      <c r="AC1052">
        <v>8</v>
      </c>
      <c r="AD1052">
        <f>IF(HR_Data[[#This Row],[Attrition]]="Yes",1,0)</f>
        <v>0</v>
      </c>
      <c r="AE1052" t="str">
        <f>IF(HR_Data[[#This Row],[Age]]&lt;=25,"18-25",IF(HR_Data[[#This Row],[Age]]&lt;=35,"26-35",IF(HR_Data[[#This Row],[Age]]&lt;=45,"36-45",IF(HR_Data[[#This Row],[Age]]&lt;=55,"46-55","55+"))))</f>
        <v>36-45</v>
      </c>
      <c r="AF1052">
        <f>IF(HR_Data[[#This Row],[Age]]&lt;=25,1,IF(HR_Data[[#This Row],[Age]]&lt;=35,2,IF(HR_Data[[#This Row],[Age]]&lt;=45,3,IF(HR_Data[[#This Row],[Age]]&lt;=55,4,5))))</f>
        <v>3</v>
      </c>
      <c r="AG1052" s="1" t="str">
        <f>IF(HR_Data[[#This Row],[MonthlyIncome]]&lt;3000,"&lt;3K",IF(HR_Data[[#This Row],[MonthlyIncome]]&lt;6000,"3K-6K",IF(HR_Data[[#This Row],[MonthlyIncome]]&lt;10000,"6K-10K","10K+")))</f>
        <v>3K-6K</v>
      </c>
      <c r="AH1052" s="1">
        <f>IF(HR_Data[[#This Row],[MonthlyIncome]]&lt;3000,1,IF(HR_Data[[#This Row],[MonthlyIncome]]&lt;6000,2,IF(HR_Data[[#This Row],[MonthlyIncome]]&lt;10000,3,4)))</f>
        <v>2</v>
      </c>
      <c r="AI1052" s="1" t="str">
        <f>IF(HR_Data[[#This Row],[YearsAtCompany]]&lt;=2,"0-2 Yrs",IF(HR_Data[[#This Row],[YearsAtCompany]]&lt;=5,"3-5 Yrs",IF(HR_Data[[#This Row],[YearsAtCompany]]&lt;=10,"6-10 Yrs","10+ Yrs")))</f>
        <v>10+ Yrs</v>
      </c>
      <c r="AJ1052" s="1">
        <f>IF(HR_Data[[#This Row],[YearsAtCompany]]&lt;=2,1,IF(HR_Data[[#This Row],[YearsAtCompany]]&lt;=5,2,IF(HR_Data[[#This Row],[YearsAtCompany]]&lt;=10,3,4)))</f>
        <v>4</v>
      </c>
      <c r="AK1052" s="1" t="str">
        <f>CHOOSE(HR_Data[[#This Row],[Education]],"Below College","College","Bachelor","Master","Doctor")</f>
        <v>College</v>
      </c>
      <c r="AL1052" s="1" t="str">
        <f>CHOOSE(HR_Data[[#This Row],[JobSatisfaction]],"Low","Medium","High","Very High")</f>
        <v>Very High</v>
      </c>
      <c r="AM1052" s="1" t="str">
        <f>CHOOSE(HR_Data[[#This Row],[EnvironmentSatisfaction]],"Low","Medium","High","Very High")</f>
        <v>Low</v>
      </c>
      <c r="AN1052" s="1" t="str">
        <f>CHOOSE(HR_Data[[#This Row],[WorkLifeBalance]],"Bad","Good","Better","Best")</f>
        <v>Better</v>
      </c>
      <c r="AO1052" s="1" t="str">
        <f>IF(HR_Data[[#This Row],[PercentSalaryHike]]&lt;=13,"11-13%",IF(HR_Data[[#This Row],[PercentSalaryHike]]&lt;=16,"14-16%",IF(HR_Data[[#This Row],[PercentSalaryHike]]&lt;=19,"17-19%","20-25%")))</f>
        <v>11-13%</v>
      </c>
      <c r="AP1052" s="1">
        <f>IF(HR_Data[[#This Row],[PercentSalaryHike]]&lt;=13,1,IF(HR_Data[[#This Row],[PercentSalaryHike]]&lt;=16,2,IF(HR_Data[[#This Row],[PercentSalaryHike]]&lt;=19,3,4)))</f>
        <v>1</v>
      </c>
      <c r="AQ1052" s="1" t="str">
        <f>IF(HR_Data[[#This Row],[DistanceFromHome]]&lt;=5,"1 to 5",IF(HR_Data[[#This Row],[DistanceFromHome]]&lt;=10,"6 to 10",IF(HR_Data[[#This Row],[DistanceFromHome]]&lt;=20,"11 to 20","21 to 29")))</f>
        <v>6 to 10</v>
      </c>
      <c r="AR1052" s="1">
        <f>IF(HR_Data[[#This Row],[DistanceFromHome]]&lt;=5,1,IF(HR_Data[[#This Row],[DistanceFromHome]]&lt;=10,2,IF(HR_Data[[#This Row],[DistanceFromHome]]&lt;=20,3,4)))</f>
        <v>2</v>
      </c>
      <c r="AS1052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052" s="1">
        <f>IF(HR_Data[[#This Row],[TotalWorkingYears]]&lt;=5,1,IF(HR_Data[[#This Row],[TotalWorkingYears]]&lt;=10,2,IF(HR_Data[[#This Row],[TotalWorkingYears]]&lt;=20,3,4)))</f>
        <v>3</v>
      </c>
    </row>
    <row r="1053" spans="1:46" x14ac:dyDescent="0.25">
      <c r="A1053">
        <v>44</v>
      </c>
      <c r="B1053" t="s">
        <v>36</v>
      </c>
      <c r="C1053" t="s">
        <v>37</v>
      </c>
      <c r="D1053" t="s">
        <v>31</v>
      </c>
      <c r="E1053">
        <v>1</v>
      </c>
      <c r="F1053">
        <v>5</v>
      </c>
      <c r="G1053" t="s">
        <v>52</v>
      </c>
      <c r="H1053">
        <v>1481</v>
      </c>
      <c r="I1053">
        <v>1</v>
      </c>
      <c r="J1053" t="s">
        <v>33</v>
      </c>
      <c r="K1053">
        <v>3</v>
      </c>
      <c r="L1053">
        <v>2</v>
      </c>
      <c r="M1053" t="s">
        <v>34</v>
      </c>
      <c r="N1053">
        <v>3</v>
      </c>
      <c r="O1053" t="s">
        <v>41</v>
      </c>
      <c r="P1053">
        <v>4768</v>
      </c>
      <c r="Q1053">
        <v>7</v>
      </c>
      <c r="R1053" t="s">
        <v>36</v>
      </c>
      <c r="S1053">
        <v>12</v>
      </c>
      <c r="T1053">
        <v>3</v>
      </c>
      <c r="U1053">
        <v>3</v>
      </c>
      <c r="V1053">
        <v>1</v>
      </c>
      <c r="W1053">
        <v>11</v>
      </c>
      <c r="X1053">
        <v>4</v>
      </c>
      <c r="Y1053">
        <v>2</v>
      </c>
      <c r="Z1053">
        <v>1</v>
      </c>
      <c r="AA1053">
        <v>0</v>
      </c>
      <c r="AB1053">
        <v>0</v>
      </c>
      <c r="AC1053">
        <v>0</v>
      </c>
      <c r="AD1053">
        <f>IF(HR_Data[[#This Row],[Attrition]]="Yes",1,0)</f>
        <v>0</v>
      </c>
      <c r="AE1053" t="str">
        <f>IF(HR_Data[[#This Row],[Age]]&lt;=25,"18-25",IF(HR_Data[[#This Row],[Age]]&lt;=35,"26-35",IF(HR_Data[[#This Row],[Age]]&lt;=45,"36-45",IF(HR_Data[[#This Row],[Age]]&lt;=55,"46-55","55+"))))</f>
        <v>36-45</v>
      </c>
      <c r="AF1053">
        <f>IF(HR_Data[[#This Row],[Age]]&lt;=25,1,IF(HR_Data[[#This Row],[Age]]&lt;=35,2,IF(HR_Data[[#This Row],[Age]]&lt;=45,3,IF(HR_Data[[#This Row],[Age]]&lt;=55,4,5))))</f>
        <v>3</v>
      </c>
      <c r="AG1053" s="1" t="str">
        <f>IF(HR_Data[[#This Row],[MonthlyIncome]]&lt;3000,"&lt;3K",IF(HR_Data[[#This Row],[MonthlyIncome]]&lt;6000,"3K-6K",IF(HR_Data[[#This Row],[MonthlyIncome]]&lt;10000,"6K-10K","10K+")))</f>
        <v>3K-6K</v>
      </c>
      <c r="AH1053" s="1">
        <f>IF(HR_Data[[#This Row],[MonthlyIncome]]&lt;3000,1,IF(HR_Data[[#This Row],[MonthlyIncome]]&lt;6000,2,IF(HR_Data[[#This Row],[MonthlyIncome]]&lt;10000,3,4)))</f>
        <v>2</v>
      </c>
      <c r="AI1053" s="1" t="str">
        <f>IF(HR_Data[[#This Row],[YearsAtCompany]]&lt;=2,"0-2 Yrs",IF(HR_Data[[#This Row],[YearsAtCompany]]&lt;=5,"3-5 Yrs",IF(HR_Data[[#This Row],[YearsAtCompany]]&lt;=10,"6-10 Yrs","10+ Yrs")))</f>
        <v>0-2 Yrs</v>
      </c>
      <c r="AJ1053" s="1">
        <f>IF(HR_Data[[#This Row],[YearsAtCompany]]&lt;=2,1,IF(HR_Data[[#This Row],[YearsAtCompany]]&lt;=5,2,IF(HR_Data[[#This Row],[YearsAtCompany]]&lt;=10,3,4)))</f>
        <v>1</v>
      </c>
      <c r="AK1053" s="1" t="str">
        <f>CHOOSE(HR_Data[[#This Row],[Education]],"Below College","College","Bachelor","Master","Doctor")</f>
        <v>Doctor</v>
      </c>
      <c r="AL1053" s="1" t="str">
        <f>CHOOSE(HR_Data[[#This Row],[JobSatisfaction]],"Low","Medium","High","Very High")</f>
        <v>High</v>
      </c>
      <c r="AM1053" s="1" t="str">
        <f>CHOOSE(HR_Data[[#This Row],[EnvironmentSatisfaction]],"Low","Medium","High","Very High")</f>
        <v>Low</v>
      </c>
      <c r="AN1053" s="1" t="str">
        <f>CHOOSE(HR_Data[[#This Row],[WorkLifeBalance]],"Bad","Good","Better","Best")</f>
        <v>Good</v>
      </c>
      <c r="AO1053" s="1" t="str">
        <f>IF(HR_Data[[#This Row],[PercentSalaryHike]]&lt;=13,"11-13%",IF(HR_Data[[#This Row],[PercentSalaryHike]]&lt;=16,"14-16%",IF(HR_Data[[#This Row],[PercentSalaryHike]]&lt;=19,"17-19%","20-25%")))</f>
        <v>11-13%</v>
      </c>
      <c r="AP1053" s="1">
        <f>IF(HR_Data[[#This Row],[PercentSalaryHike]]&lt;=13,1,IF(HR_Data[[#This Row],[PercentSalaryHike]]&lt;=16,2,IF(HR_Data[[#This Row],[PercentSalaryHike]]&lt;=19,3,4)))</f>
        <v>1</v>
      </c>
      <c r="AQ1053" s="1" t="str">
        <f>IF(HR_Data[[#This Row],[DistanceFromHome]]&lt;=5,"1 to 5",IF(HR_Data[[#This Row],[DistanceFromHome]]&lt;=10,"6 to 10",IF(HR_Data[[#This Row],[DistanceFromHome]]&lt;=20,"11 to 20","21 to 29")))</f>
        <v>1 to 5</v>
      </c>
      <c r="AR1053" s="1">
        <f>IF(HR_Data[[#This Row],[DistanceFromHome]]&lt;=5,1,IF(HR_Data[[#This Row],[DistanceFromHome]]&lt;=10,2,IF(HR_Data[[#This Row],[DistanceFromHome]]&lt;=20,3,4)))</f>
        <v>1</v>
      </c>
      <c r="AS1053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053" s="1">
        <f>IF(HR_Data[[#This Row],[TotalWorkingYears]]&lt;=5,1,IF(HR_Data[[#This Row],[TotalWorkingYears]]&lt;=10,2,IF(HR_Data[[#This Row],[TotalWorkingYears]]&lt;=20,3,4)))</f>
        <v>3</v>
      </c>
    </row>
    <row r="1054" spans="1:46" x14ac:dyDescent="0.25">
      <c r="A1054">
        <v>30</v>
      </c>
      <c r="B1054" t="s">
        <v>36</v>
      </c>
      <c r="C1054" t="s">
        <v>48</v>
      </c>
      <c r="D1054" t="s">
        <v>38</v>
      </c>
      <c r="E1054">
        <v>7</v>
      </c>
      <c r="F1054">
        <v>3</v>
      </c>
      <c r="G1054" t="s">
        <v>53</v>
      </c>
      <c r="H1054">
        <v>1482</v>
      </c>
      <c r="I1054">
        <v>3</v>
      </c>
      <c r="J1054" t="s">
        <v>39</v>
      </c>
      <c r="K1054">
        <v>3</v>
      </c>
      <c r="L1054">
        <v>1</v>
      </c>
      <c r="M1054" t="s">
        <v>40</v>
      </c>
      <c r="N1054">
        <v>3</v>
      </c>
      <c r="O1054" t="s">
        <v>45</v>
      </c>
      <c r="P1054">
        <v>1274</v>
      </c>
      <c r="Q1054">
        <v>1</v>
      </c>
      <c r="R1054" t="s">
        <v>36</v>
      </c>
      <c r="S1054">
        <v>13</v>
      </c>
      <c r="T1054">
        <v>3</v>
      </c>
      <c r="U1054">
        <v>2</v>
      </c>
      <c r="V1054">
        <v>2</v>
      </c>
      <c r="W1054">
        <v>1</v>
      </c>
      <c r="X1054">
        <v>2</v>
      </c>
      <c r="Y1054">
        <v>2</v>
      </c>
      <c r="Z1054">
        <v>1</v>
      </c>
      <c r="AA1054">
        <v>0</v>
      </c>
      <c r="AB1054">
        <v>0</v>
      </c>
      <c r="AC1054">
        <v>0</v>
      </c>
      <c r="AD1054">
        <f>IF(HR_Data[[#This Row],[Attrition]]="Yes",1,0)</f>
        <v>0</v>
      </c>
      <c r="AE1054" t="str">
        <f>IF(HR_Data[[#This Row],[Age]]&lt;=25,"18-25",IF(HR_Data[[#This Row],[Age]]&lt;=35,"26-35",IF(HR_Data[[#This Row],[Age]]&lt;=45,"36-45",IF(HR_Data[[#This Row],[Age]]&lt;=55,"46-55","55+"))))</f>
        <v>26-35</v>
      </c>
      <c r="AF1054">
        <f>IF(HR_Data[[#This Row],[Age]]&lt;=25,1,IF(HR_Data[[#This Row],[Age]]&lt;=35,2,IF(HR_Data[[#This Row],[Age]]&lt;=45,3,IF(HR_Data[[#This Row],[Age]]&lt;=55,4,5))))</f>
        <v>2</v>
      </c>
      <c r="AG1054" s="1" t="str">
        <f>IF(HR_Data[[#This Row],[MonthlyIncome]]&lt;3000,"&lt;3K",IF(HR_Data[[#This Row],[MonthlyIncome]]&lt;6000,"3K-6K",IF(HR_Data[[#This Row],[MonthlyIncome]]&lt;10000,"6K-10K","10K+")))</f>
        <v>&lt;3K</v>
      </c>
      <c r="AH1054" s="1">
        <f>IF(HR_Data[[#This Row],[MonthlyIncome]]&lt;3000,1,IF(HR_Data[[#This Row],[MonthlyIncome]]&lt;6000,2,IF(HR_Data[[#This Row],[MonthlyIncome]]&lt;10000,3,4)))</f>
        <v>1</v>
      </c>
      <c r="AI1054" s="1" t="str">
        <f>IF(HR_Data[[#This Row],[YearsAtCompany]]&lt;=2,"0-2 Yrs",IF(HR_Data[[#This Row],[YearsAtCompany]]&lt;=5,"3-5 Yrs",IF(HR_Data[[#This Row],[YearsAtCompany]]&lt;=10,"6-10 Yrs","10+ Yrs")))</f>
        <v>0-2 Yrs</v>
      </c>
      <c r="AJ1054" s="1">
        <f>IF(HR_Data[[#This Row],[YearsAtCompany]]&lt;=2,1,IF(HR_Data[[#This Row],[YearsAtCompany]]&lt;=5,2,IF(HR_Data[[#This Row],[YearsAtCompany]]&lt;=10,3,4)))</f>
        <v>1</v>
      </c>
      <c r="AK1054" s="1" t="str">
        <f>CHOOSE(HR_Data[[#This Row],[Education]],"Below College","College","Bachelor","Master","Doctor")</f>
        <v>Bachelor</v>
      </c>
      <c r="AL1054" s="1" t="str">
        <f>CHOOSE(HR_Data[[#This Row],[JobSatisfaction]],"Low","Medium","High","Very High")</f>
        <v>High</v>
      </c>
      <c r="AM1054" s="1" t="str">
        <f>CHOOSE(HR_Data[[#This Row],[EnvironmentSatisfaction]],"Low","Medium","High","Very High")</f>
        <v>High</v>
      </c>
      <c r="AN1054" s="1" t="str">
        <f>CHOOSE(HR_Data[[#This Row],[WorkLifeBalance]],"Bad","Good","Better","Best")</f>
        <v>Good</v>
      </c>
      <c r="AO1054" s="1" t="str">
        <f>IF(HR_Data[[#This Row],[PercentSalaryHike]]&lt;=13,"11-13%",IF(HR_Data[[#This Row],[PercentSalaryHike]]&lt;=16,"14-16%",IF(HR_Data[[#This Row],[PercentSalaryHike]]&lt;=19,"17-19%","20-25%")))</f>
        <v>11-13%</v>
      </c>
      <c r="AP1054" s="1">
        <f>IF(HR_Data[[#This Row],[PercentSalaryHike]]&lt;=13,1,IF(HR_Data[[#This Row],[PercentSalaryHike]]&lt;=16,2,IF(HR_Data[[#This Row],[PercentSalaryHike]]&lt;=19,3,4)))</f>
        <v>1</v>
      </c>
      <c r="AQ1054" s="1" t="str">
        <f>IF(HR_Data[[#This Row],[DistanceFromHome]]&lt;=5,"1 to 5",IF(HR_Data[[#This Row],[DistanceFromHome]]&lt;=10,"6 to 10",IF(HR_Data[[#This Row],[DistanceFromHome]]&lt;=20,"11 to 20","21 to 29")))</f>
        <v>6 to 10</v>
      </c>
      <c r="AR1054" s="1">
        <f>IF(HR_Data[[#This Row],[DistanceFromHome]]&lt;=5,1,IF(HR_Data[[#This Row],[DistanceFromHome]]&lt;=10,2,IF(HR_Data[[#This Row],[DistanceFromHome]]&lt;=20,3,4)))</f>
        <v>2</v>
      </c>
      <c r="AS1054" s="1" t="str">
        <f>IF(HR_Data[[#This Row],[TotalWorkingYears]]&lt;=5,"0-5 Yrs",IF(HR_Data[[#This Row],[TotalWorkingYears]]&lt;=10,"6-10 Yrs",IF(HR_Data[[#This Row],[TotalWorkingYears]]&lt;=20,"11-20 Yrs","20+ Yrs")))</f>
        <v>0-5 Yrs</v>
      </c>
      <c r="AT1054" s="1">
        <f>IF(HR_Data[[#This Row],[TotalWorkingYears]]&lt;=5,1,IF(HR_Data[[#This Row],[TotalWorkingYears]]&lt;=10,2,IF(HR_Data[[#This Row],[TotalWorkingYears]]&lt;=20,3,4)))</f>
        <v>1</v>
      </c>
    </row>
    <row r="1055" spans="1:46" x14ac:dyDescent="0.25">
      <c r="A1055">
        <v>57</v>
      </c>
      <c r="B1055" t="s">
        <v>36</v>
      </c>
      <c r="C1055" t="s">
        <v>30</v>
      </c>
      <c r="D1055" t="s">
        <v>38</v>
      </c>
      <c r="E1055">
        <v>1</v>
      </c>
      <c r="F1055">
        <v>2</v>
      </c>
      <c r="G1055" t="s">
        <v>32</v>
      </c>
      <c r="H1055">
        <v>1483</v>
      </c>
      <c r="I1055">
        <v>2</v>
      </c>
      <c r="J1055" t="s">
        <v>39</v>
      </c>
      <c r="K1055">
        <v>4</v>
      </c>
      <c r="L1055">
        <v>2</v>
      </c>
      <c r="M1055" t="s">
        <v>40</v>
      </c>
      <c r="N1055">
        <v>3</v>
      </c>
      <c r="O1055" t="s">
        <v>41</v>
      </c>
      <c r="P1055">
        <v>4900</v>
      </c>
      <c r="Q1055">
        <v>0</v>
      </c>
      <c r="R1055" t="s">
        <v>36</v>
      </c>
      <c r="S1055">
        <v>24</v>
      </c>
      <c r="T1055">
        <v>4</v>
      </c>
      <c r="U1055">
        <v>1</v>
      </c>
      <c r="V1055">
        <v>1</v>
      </c>
      <c r="W1055">
        <v>13</v>
      </c>
      <c r="X1055">
        <v>2</v>
      </c>
      <c r="Y1055">
        <v>2</v>
      </c>
      <c r="Z1055">
        <v>12</v>
      </c>
      <c r="AA1055">
        <v>9</v>
      </c>
      <c r="AB1055">
        <v>2</v>
      </c>
      <c r="AC1055">
        <v>8</v>
      </c>
      <c r="AD1055">
        <f>IF(HR_Data[[#This Row],[Attrition]]="Yes",1,0)</f>
        <v>0</v>
      </c>
      <c r="AE1055" t="str">
        <f>IF(HR_Data[[#This Row],[Age]]&lt;=25,"18-25",IF(HR_Data[[#This Row],[Age]]&lt;=35,"26-35",IF(HR_Data[[#This Row],[Age]]&lt;=45,"36-45",IF(HR_Data[[#This Row],[Age]]&lt;=55,"46-55","55+"))))</f>
        <v>55+</v>
      </c>
      <c r="AF1055">
        <f>IF(HR_Data[[#This Row],[Age]]&lt;=25,1,IF(HR_Data[[#This Row],[Age]]&lt;=35,2,IF(HR_Data[[#This Row],[Age]]&lt;=45,3,IF(HR_Data[[#This Row],[Age]]&lt;=55,4,5))))</f>
        <v>5</v>
      </c>
      <c r="AG1055" s="1" t="str">
        <f>IF(HR_Data[[#This Row],[MonthlyIncome]]&lt;3000,"&lt;3K",IF(HR_Data[[#This Row],[MonthlyIncome]]&lt;6000,"3K-6K",IF(HR_Data[[#This Row],[MonthlyIncome]]&lt;10000,"6K-10K","10K+")))</f>
        <v>3K-6K</v>
      </c>
      <c r="AH1055" s="1">
        <f>IF(HR_Data[[#This Row],[MonthlyIncome]]&lt;3000,1,IF(HR_Data[[#This Row],[MonthlyIncome]]&lt;6000,2,IF(HR_Data[[#This Row],[MonthlyIncome]]&lt;10000,3,4)))</f>
        <v>2</v>
      </c>
      <c r="AI1055" s="1" t="str">
        <f>IF(HR_Data[[#This Row],[YearsAtCompany]]&lt;=2,"0-2 Yrs",IF(HR_Data[[#This Row],[YearsAtCompany]]&lt;=5,"3-5 Yrs",IF(HR_Data[[#This Row],[YearsAtCompany]]&lt;=10,"6-10 Yrs","10+ Yrs")))</f>
        <v>10+ Yrs</v>
      </c>
      <c r="AJ1055" s="1">
        <f>IF(HR_Data[[#This Row],[YearsAtCompany]]&lt;=2,1,IF(HR_Data[[#This Row],[YearsAtCompany]]&lt;=5,2,IF(HR_Data[[#This Row],[YearsAtCompany]]&lt;=10,3,4)))</f>
        <v>4</v>
      </c>
      <c r="AK1055" s="1" t="str">
        <f>CHOOSE(HR_Data[[#This Row],[Education]],"Below College","College","Bachelor","Master","Doctor")</f>
        <v>College</v>
      </c>
      <c r="AL1055" s="1" t="str">
        <f>CHOOSE(HR_Data[[#This Row],[JobSatisfaction]],"Low","Medium","High","Very High")</f>
        <v>High</v>
      </c>
      <c r="AM1055" s="1" t="str">
        <f>CHOOSE(HR_Data[[#This Row],[EnvironmentSatisfaction]],"Low","Medium","High","Very High")</f>
        <v>Medium</v>
      </c>
      <c r="AN1055" s="1" t="str">
        <f>CHOOSE(HR_Data[[#This Row],[WorkLifeBalance]],"Bad","Good","Better","Best")</f>
        <v>Good</v>
      </c>
      <c r="AO1055" s="1" t="str">
        <f>IF(HR_Data[[#This Row],[PercentSalaryHike]]&lt;=13,"11-13%",IF(HR_Data[[#This Row],[PercentSalaryHike]]&lt;=16,"14-16%",IF(HR_Data[[#This Row],[PercentSalaryHike]]&lt;=19,"17-19%","20-25%")))</f>
        <v>20-25%</v>
      </c>
      <c r="AP1055" s="1">
        <f>IF(HR_Data[[#This Row],[PercentSalaryHike]]&lt;=13,1,IF(HR_Data[[#This Row],[PercentSalaryHike]]&lt;=16,2,IF(HR_Data[[#This Row],[PercentSalaryHike]]&lt;=19,3,4)))</f>
        <v>4</v>
      </c>
      <c r="AQ1055" s="1" t="str">
        <f>IF(HR_Data[[#This Row],[DistanceFromHome]]&lt;=5,"1 to 5",IF(HR_Data[[#This Row],[DistanceFromHome]]&lt;=10,"6 to 10",IF(HR_Data[[#This Row],[DistanceFromHome]]&lt;=20,"11 to 20","21 to 29")))</f>
        <v>1 to 5</v>
      </c>
      <c r="AR1055" s="1">
        <f>IF(HR_Data[[#This Row],[DistanceFromHome]]&lt;=5,1,IF(HR_Data[[#This Row],[DistanceFromHome]]&lt;=10,2,IF(HR_Data[[#This Row],[DistanceFromHome]]&lt;=20,3,4)))</f>
        <v>1</v>
      </c>
      <c r="AS1055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055" s="1">
        <f>IF(HR_Data[[#This Row],[TotalWorkingYears]]&lt;=5,1,IF(HR_Data[[#This Row],[TotalWorkingYears]]&lt;=10,2,IF(HR_Data[[#This Row],[TotalWorkingYears]]&lt;=20,3,4)))</f>
        <v>3</v>
      </c>
    </row>
    <row r="1056" spans="1:46" x14ac:dyDescent="0.25">
      <c r="A1056">
        <v>49</v>
      </c>
      <c r="B1056" t="s">
        <v>36</v>
      </c>
      <c r="C1056" t="s">
        <v>30</v>
      </c>
      <c r="D1056" t="s">
        <v>38</v>
      </c>
      <c r="E1056">
        <v>7</v>
      </c>
      <c r="F1056">
        <v>4</v>
      </c>
      <c r="G1056" t="s">
        <v>32</v>
      </c>
      <c r="H1056">
        <v>1484</v>
      </c>
      <c r="I1056">
        <v>3</v>
      </c>
      <c r="J1056" t="s">
        <v>39</v>
      </c>
      <c r="K1056">
        <v>3</v>
      </c>
      <c r="L1056">
        <v>3</v>
      </c>
      <c r="M1056" t="s">
        <v>47</v>
      </c>
      <c r="N1056">
        <v>2</v>
      </c>
      <c r="O1056" t="s">
        <v>45</v>
      </c>
      <c r="P1056">
        <v>10466</v>
      </c>
      <c r="Q1056">
        <v>3</v>
      </c>
      <c r="R1056" t="s">
        <v>36</v>
      </c>
      <c r="S1056">
        <v>14</v>
      </c>
      <c r="T1056">
        <v>3</v>
      </c>
      <c r="U1056">
        <v>2</v>
      </c>
      <c r="V1056">
        <v>2</v>
      </c>
      <c r="W1056">
        <v>29</v>
      </c>
      <c r="X1056">
        <v>3</v>
      </c>
      <c r="Y1056">
        <v>3</v>
      </c>
      <c r="Z1056">
        <v>8</v>
      </c>
      <c r="AA1056">
        <v>7</v>
      </c>
      <c r="AB1056">
        <v>0</v>
      </c>
      <c r="AC1056">
        <v>7</v>
      </c>
      <c r="AD1056">
        <f>IF(HR_Data[[#This Row],[Attrition]]="Yes",1,0)</f>
        <v>0</v>
      </c>
      <c r="AE1056" t="str">
        <f>IF(HR_Data[[#This Row],[Age]]&lt;=25,"18-25",IF(HR_Data[[#This Row],[Age]]&lt;=35,"26-35",IF(HR_Data[[#This Row],[Age]]&lt;=45,"36-45",IF(HR_Data[[#This Row],[Age]]&lt;=55,"46-55","55+"))))</f>
        <v>46-55</v>
      </c>
      <c r="AF1056">
        <f>IF(HR_Data[[#This Row],[Age]]&lt;=25,1,IF(HR_Data[[#This Row],[Age]]&lt;=35,2,IF(HR_Data[[#This Row],[Age]]&lt;=45,3,IF(HR_Data[[#This Row],[Age]]&lt;=55,4,5))))</f>
        <v>4</v>
      </c>
      <c r="AG1056" s="1" t="str">
        <f>IF(HR_Data[[#This Row],[MonthlyIncome]]&lt;3000,"&lt;3K",IF(HR_Data[[#This Row],[MonthlyIncome]]&lt;6000,"3K-6K",IF(HR_Data[[#This Row],[MonthlyIncome]]&lt;10000,"6K-10K","10K+")))</f>
        <v>10K+</v>
      </c>
      <c r="AH1056" s="1">
        <f>IF(HR_Data[[#This Row],[MonthlyIncome]]&lt;3000,1,IF(HR_Data[[#This Row],[MonthlyIncome]]&lt;6000,2,IF(HR_Data[[#This Row],[MonthlyIncome]]&lt;10000,3,4)))</f>
        <v>4</v>
      </c>
      <c r="AI1056" s="1" t="str">
        <f>IF(HR_Data[[#This Row],[YearsAtCompany]]&lt;=2,"0-2 Yrs",IF(HR_Data[[#This Row],[YearsAtCompany]]&lt;=5,"3-5 Yrs",IF(HR_Data[[#This Row],[YearsAtCompany]]&lt;=10,"6-10 Yrs","10+ Yrs")))</f>
        <v>6-10 Yrs</v>
      </c>
      <c r="AJ1056" s="1">
        <f>IF(HR_Data[[#This Row],[YearsAtCompany]]&lt;=2,1,IF(HR_Data[[#This Row],[YearsAtCompany]]&lt;=5,2,IF(HR_Data[[#This Row],[YearsAtCompany]]&lt;=10,3,4)))</f>
        <v>3</v>
      </c>
      <c r="AK1056" s="1" t="str">
        <f>CHOOSE(HR_Data[[#This Row],[Education]],"Below College","College","Bachelor","Master","Doctor")</f>
        <v>Master</v>
      </c>
      <c r="AL1056" s="1" t="str">
        <f>CHOOSE(HR_Data[[#This Row],[JobSatisfaction]],"Low","Medium","High","Very High")</f>
        <v>Medium</v>
      </c>
      <c r="AM1056" s="1" t="str">
        <f>CHOOSE(HR_Data[[#This Row],[EnvironmentSatisfaction]],"Low","Medium","High","Very High")</f>
        <v>High</v>
      </c>
      <c r="AN1056" s="1" t="str">
        <f>CHOOSE(HR_Data[[#This Row],[WorkLifeBalance]],"Bad","Good","Better","Best")</f>
        <v>Better</v>
      </c>
      <c r="AO1056" s="1" t="str">
        <f>IF(HR_Data[[#This Row],[PercentSalaryHike]]&lt;=13,"11-13%",IF(HR_Data[[#This Row],[PercentSalaryHike]]&lt;=16,"14-16%",IF(HR_Data[[#This Row],[PercentSalaryHike]]&lt;=19,"17-19%","20-25%")))</f>
        <v>14-16%</v>
      </c>
      <c r="AP1056" s="1">
        <f>IF(HR_Data[[#This Row],[PercentSalaryHike]]&lt;=13,1,IF(HR_Data[[#This Row],[PercentSalaryHike]]&lt;=16,2,IF(HR_Data[[#This Row],[PercentSalaryHike]]&lt;=19,3,4)))</f>
        <v>2</v>
      </c>
      <c r="AQ1056" s="1" t="str">
        <f>IF(HR_Data[[#This Row],[DistanceFromHome]]&lt;=5,"1 to 5",IF(HR_Data[[#This Row],[DistanceFromHome]]&lt;=10,"6 to 10",IF(HR_Data[[#This Row],[DistanceFromHome]]&lt;=20,"11 to 20","21 to 29")))</f>
        <v>6 to 10</v>
      </c>
      <c r="AR1056" s="1">
        <f>IF(HR_Data[[#This Row],[DistanceFromHome]]&lt;=5,1,IF(HR_Data[[#This Row],[DistanceFromHome]]&lt;=10,2,IF(HR_Data[[#This Row],[DistanceFromHome]]&lt;=20,3,4)))</f>
        <v>2</v>
      </c>
      <c r="AS1056" s="1" t="str">
        <f>IF(HR_Data[[#This Row],[TotalWorkingYears]]&lt;=5,"0-5 Yrs",IF(HR_Data[[#This Row],[TotalWorkingYears]]&lt;=10,"6-10 Yrs",IF(HR_Data[[#This Row],[TotalWorkingYears]]&lt;=20,"11-20 Yrs","20+ Yrs")))</f>
        <v>20+ Yrs</v>
      </c>
      <c r="AT1056" s="1">
        <f>IF(HR_Data[[#This Row],[TotalWorkingYears]]&lt;=5,1,IF(HR_Data[[#This Row],[TotalWorkingYears]]&lt;=10,2,IF(HR_Data[[#This Row],[TotalWorkingYears]]&lt;=20,3,4)))</f>
        <v>4</v>
      </c>
    </row>
    <row r="1057" spans="1:46" x14ac:dyDescent="0.25">
      <c r="A1057">
        <v>34</v>
      </c>
      <c r="B1057" t="s">
        <v>36</v>
      </c>
      <c r="C1057" t="s">
        <v>37</v>
      </c>
      <c r="D1057" t="s">
        <v>38</v>
      </c>
      <c r="E1057">
        <v>15</v>
      </c>
      <c r="F1057">
        <v>3</v>
      </c>
      <c r="G1057" t="s">
        <v>44</v>
      </c>
      <c r="H1057">
        <v>1485</v>
      </c>
      <c r="I1057">
        <v>2</v>
      </c>
      <c r="J1057" t="s">
        <v>39</v>
      </c>
      <c r="K1057">
        <v>3</v>
      </c>
      <c r="L1057">
        <v>4</v>
      </c>
      <c r="M1057" t="s">
        <v>51</v>
      </c>
      <c r="N1057">
        <v>1</v>
      </c>
      <c r="O1057" t="s">
        <v>45</v>
      </c>
      <c r="P1057">
        <v>17007</v>
      </c>
      <c r="Q1057">
        <v>7</v>
      </c>
      <c r="R1057" t="s">
        <v>36</v>
      </c>
      <c r="S1057">
        <v>14</v>
      </c>
      <c r="T1057">
        <v>3</v>
      </c>
      <c r="U1057">
        <v>4</v>
      </c>
      <c r="V1057">
        <v>2</v>
      </c>
      <c r="W1057">
        <v>16</v>
      </c>
      <c r="X1057">
        <v>3</v>
      </c>
      <c r="Y1057">
        <v>2</v>
      </c>
      <c r="Z1057">
        <v>14</v>
      </c>
      <c r="AA1057">
        <v>8</v>
      </c>
      <c r="AB1057">
        <v>6</v>
      </c>
      <c r="AC1057">
        <v>9</v>
      </c>
      <c r="AD1057">
        <f>IF(HR_Data[[#This Row],[Attrition]]="Yes",1,0)</f>
        <v>0</v>
      </c>
      <c r="AE1057" t="str">
        <f>IF(HR_Data[[#This Row],[Age]]&lt;=25,"18-25",IF(HR_Data[[#This Row],[Age]]&lt;=35,"26-35",IF(HR_Data[[#This Row],[Age]]&lt;=45,"36-45",IF(HR_Data[[#This Row],[Age]]&lt;=55,"46-55","55+"))))</f>
        <v>26-35</v>
      </c>
      <c r="AF1057">
        <f>IF(HR_Data[[#This Row],[Age]]&lt;=25,1,IF(HR_Data[[#This Row],[Age]]&lt;=35,2,IF(HR_Data[[#This Row],[Age]]&lt;=45,3,IF(HR_Data[[#This Row],[Age]]&lt;=55,4,5))))</f>
        <v>2</v>
      </c>
      <c r="AG1057" s="1" t="str">
        <f>IF(HR_Data[[#This Row],[MonthlyIncome]]&lt;3000,"&lt;3K",IF(HR_Data[[#This Row],[MonthlyIncome]]&lt;6000,"3K-6K",IF(HR_Data[[#This Row],[MonthlyIncome]]&lt;10000,"6K-10K","10K+")))</f>
        <v>10K+</v>
      </c>
      <c r="AH1057" s="1">
        <f>IF(HR_Data[[#This Row],[MonthlyIncome]]&lt;3000,1,IF(HR_Data[[#This Row],[MonthlyIncome]]&lt;6000,2,IF(HR_Data[[#This Row],[MonthlyIncome]]&lt;10000,3,4)))</f>
        <v>4</v>
      </c>
      <c r="AI1057" s="1" t="str">
        <f>IF(HR_Data[[#This Row],[YearsAtCompany]]&lt;=2,"0-2 Yrs",IF(HR_Data[[#This Row],[YearsAtCompany]]&lt;=5,"3-5 Yrs",IF(HR_Data[[#This Row],[YearsAtCompany]]&lt;=10,"6-10 Yrs","10+ Yrs")))</f>
        <v>10+ Yrs</v>
      </c>
      <c r="AJ1057" s="1">
        <f>IF(HR_Data[[#This Row],[YearsAtCompany]]&lt;=2,1,IF(HR_Data[[#This Row],[YearsAtCompany]]&lt;=5,2,IF(HR_Data[[#This Row],[YearsAtCompany]]&lt;=10,3,4)))</f>
        <v>4</v>
      </c>
      <c r="AK1057" s="1" t="str">
        <f>CHOOSE(HR_Data[[#This Row],[Education]],"Below College","College","Bachelor","Master","Doctor")</f>
        <v>Bachelor</v>
      </c>
      <c r="AL1057" s="1" t="str">
        <f>CHOOSE(HR_Data[[#This Row],[JobSatisfaction]],"Low","Medium","High","Very High")</f>
        <v>Low</v>
      </c>
      <c r="AM1057" s="1" t="str">
        <f>CHOOSE(HR_Data[[#This Row],[EnvironmentSatisfaction]],"Low","Medium","High","Very High")</f>
        <v>Medium</v>
      </c>
      <c r="AN1057" s="1" t="str">
        <f>CHOOSE(HR_Data[[#This Row],[WorkLifeBalance]],"Bad","Good","Better","Best")</f>
        <v>Good</v>
      </c>
      <c r="AO1057" s="1" t="str">
        <f>IF(HR_Data[[#This Row],[PercentSalaryHike]]&lt;=13,"11-13%",IF(HR_Data[[#This Row],[PercentSalaryHike]]&lt;=16,"14-16%",IF(HR_Data[[#This Row],[PercentSalaryHike]]&lt;=19,"17-19%","20-25%")))</f>
        <v>14-16%</v>
      </c>
      <c r="AP1057" s="1">
        <f>IF(HR_Data[[#This Row],[PercentSalaryHike]]&lt;=13,1,IF(HR_Data[[#This Row],[PercentSalaryHike]]&lt;=16,2,IF(HR_Data[[#This Row],[PercentSalaryHike]]&lt;=19,3,4)))</f>
        <v>2</v>
      </c>
      <c r="AQ1057" s="1" t="str">
        <f>IF(HR_Data[[#This Row],[DistanceFromHome]]&lt;=5,"1 to 5",IF(HR_Data[[#This Row],[DistanceFromHome]]&lt;=10,"6 to 10",IF(HR_Data[[#This Row],[DistanceFromHome]]&lt;=20,"11 to 20","21 to 29")))</f>
        <v>11 to 20</v>
      </c>
      <c r="AR1057" s="1">
        <f>IF(HR_Data[[#This Row],[DistanceFromHome]]&lt;=5,1,IF(HR_Data[[#This Row],[DistanceFromHome]]&lt;=10,2,IF(HR_Data[[#This Row],[DistanceFromHome]]&lt;=20,3,4)))</f>
        <v>3</v>
      </c>
      <c r="AS1057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057" s="1">
        <f>IF(HR_Data[[#This Row],[TotalWorkingYears]]&lt;=5,1,IF(HR_Data[[#This Row],[TotalWorkingYears]]&lt;=10,2,IF(HR_Data[[#This Row],[TotalWorkingYears]]&lt;=20,3,4)))</f>
        <v>3</v>
      </c>
    </row>
    <row r="1058" spans="1:46" x14ac:dyDescent="0.25">
      <c r="A1058">
        <v>28</v>
      </c>
      <c r="B1058" t="s">
        <v>29</v>
      </c>
      <c r="C1058" t="s">
        <v>37</v>
      </c>
      <c r="D1058" t="s">
        <v>31</v>
      </c>
      <c r="E1058">
        <v>1</v>
      </c>
      <c r="F1058">
        <v>3</v>
      </c>
      <c r="G1058" t="s">
        <v>53</v>
      </c>
      <c r="H1058">
        <v>1486</v>
      </c>
      <c r="I1058">
        <v>1</v>
      </c>
      <c r="J1058" t="s">
        <v>39</v>
      </c>
      <c r="K1058">
        <v>3</v>
      </c>
      <c r="L1058">
        <v>1</v>
      </c>
      <c r="M1058" t="s">
        <v>50</v>
      </c>
      <c r="N1058">
        <v>3</v>
      </c>
      <c r="O1058" t="s">
        <v>41</v>
      </c>
      <c r="P1058">
        <v>2909</v>
      </c>
      <c r="Q1058">
        <v>3</v>
      </c>
      <c r="R1058" t="s">
        <v>36</v>
      </c>
      <c r="S1058">
        <v>15</v>
      </c>
      <c r="T1058">
        <v>3</v>
      </c>
      <c r="U1058">
        <v>4</v>
      </c>
      <c r="V1058">
        <v>1</v>
      </c>
      <c r="W1058">
        <v>5</v>
      </c>
      <c r="X1058">
        <v>3</v>
      </c>
      <c r="Y1058">
        <v>4</v>
      </c>
      <c r="Z1058">
        <v>3</v>
      </c>
      <c r="AA1058">
        <v>2</v>
      </c>
      <c r="AB1058">
        <v>1</v>
      </c>
      <c r="AC1058">
        <v>2</v>
      </c>
      <c r="AD1058">
        <f>IF(HR_Data[[#This Row],[Attrition]]="Yes",1,0)</f>
        <v>1</v>
      </c>
      <c r="AE1058" t="str">
        <f>IF(HR_Data[[#This Row],[Age]]&lt;=25,"18-25",IF(HR_Data[[#This Row],[Age]]&lt;=35,"26-35",IF(HR_Data[[#This Row],[Age]]&lt;=45,"36-45",IF(HR_Data[[#This Row],[Age]]&lt;=55,"46-55","55+"))))</f>
        <v>26-35</v>
      </c>
      <c r="AF1058">
        <f>IF(HR_Data[[#This Row],[Age]]&lt;=25,1,IF(HR_Data[[#This Row],[Age]]&lt;=35,2,IF(HR_Data[[#This Row],[Age]]&lt;=45,3,IF(HR_Data[[#This Row],[Age]]&lt;=55,4,5))))</f>
        <v>2</v>
      </c>
      <c r="AG1058" s="1" t="str">
        <f>IF(HR_Data[[#This Row],[MonthlyIncome]]&lt;3000,"&lt;3K",IF(HR_Data[[#This Row],[MonthlyIncome]]&lt;6000,"3K-6K",IF(HR_Data[[#This Row],[MonthlyIncome]]&lt;10000,"6K-10K","10K+")))</f>
        <v>&lt;3K</v>
      </c>
      <c r="AH1058" s="1">
        <f>IF(HR_Data[[#This Row],[MonthlyIncome]]&lt;3000,1,IF(HR_Data[[#This Row],[MonthlyIncome]]&lt;6000,2,IF(HR_Data[[#This Row],[MonthlyIncome]]&lt;10000,3,4)))</f>
        <v>1</v>
      </c>
      <c r="AI1058" s="1" t="str">
        <f>IF(HR_Data[[#This Row],[YearsAtCompany]]&lt;=2,"0-2 Yrs",IF(HR_Data[[#This Row],[YearsAtCompany]]&lt;=5,"3-5 Yrs",IF(HR_Data[[#This Row],[YearsAtCompany]]&lt;=10,"6-10 Yrs","10+ Yrs")))</f>
        <v>3-5 Yrs</v>
      </c>
      <c r="AJ1058" s="1">
        <f>IF(HR_Data[[#This Row],[YearsAtCompany]]&lt;=2,1,IF(HR_Data[[#This Row],[YearsAtCompany]]&lt;=5,2,IF(HR_Data[[#This Row],[YearsAtCompany]]&lt;=10,3,4)))</f>
        <v>2</v>
      </c>
      <c r="AK1058" s="1" t="str">
        <f>CHOOSE(HR_Data[[#This Row],[Education]],"Below College","College","Bachelor","Master","Doctor")</f>
        <v>Bachelor</v>
      </c>
      <c r="AL1058" s="1" t="str">
        <f>CHOOSE(HR_Data[[#This Row],[JobSatisfaction]],"Low","Medium","High","Very High")</f>
        <v>High</v>
      </c>
      <c r="AM1058" s="1" t="str">
        <f>CHOOSE(HR_Data[[#This Row],[EnvironmentSatisfaction]],"Low","Medium","High","Very High")</f>
        <v>Low</v>
      </c>
      <c r="AN1058" s="1" t="str">
        <f>CHOOSE(HR_Data[[#This Row],[WorkLifeBalance]],"Bad","Good","Better","Best")</f>
        <v>Best</v>
      </c>
      <c r="AO1058" s="1" t="str">
        <f>IF(HR_Data[[#This Row],[PercentSalaryHike]]&lt;=13,"11-13%",IF(HR_Data[[#This Row],[PercentSalaryHike]]&lt;=16,"14-16%",IF(HR_Data[[#This Row],[PercentSalaryHike]]&lt;=19,"17-19%","20-25%")))</f>
        <v>14-16%</v>
      </c>
      <c r="AP1058" s="1">
        <f>IF(HR_Data[[#This Row],[PercentSalaryHike]]&lt;=13,1,IF(HR_Data[[#This Row],[PercentSalaryHike]]&lt;=16,2,IF(HR_Data[[#This Row],[PercentSalaryHike]]&lt;=19,3,4)))</f>
        <v>2</v>
      </c>
      <c r="AQ1058" s="1" t="str">
        <f>IF(HR_Data[[#This Row],[DistanceFromHome]]&lt;=5,"1 to 5",IF(HR_Data[[#This Row],[DistanceFromHome]]&lt;=10,"6 to 10",IF(HR_Data[[#This Row],[DistanceFromHome]]&lt;=20,"11 to 20","21 to 29")))</f>
        <v>1 to 5</v>
      </c>
      <c r="AR1058" s="1">
        <f>IF(HR_Data[[#This Row],[DistanceFromHome]]&lt;=5,1,IF(HR_Data[[#This Row],[DistanceFromHome]]&lt;=10,2,IF(HR_Data[[#This Row],[DistanceFromHome]]&lt;=20,3,4)))</f>
        <v>1</v>
      </c>
      <c r="AS1058" s="1" t="str">
        <f>IF(HR_Data[[#This Row],[TotalWorkingYears]]&lt;=5,"0-5 Yrs",IF(HR_Data[[#This Row],[TotalWorkingYears]]&lt;=10,"6-10 Yrs",IF(HR_Data[[#This Row],[TotalWorkingYears]]&lt;=20,"11-20 Yrs","20+ Yrs")))</f>
        <v>0-5 Yrs</v>
      </c>
      <c r="AT1058" s="1">
        <f>IF(HR_Data[[#This Row],[TotalWorkingYears]]&lt;=5,1,IF(HR_Data[[#This Row],[TotalWorkingYears]]&lt;=10,2,IF(HR_Data[[#This Row],[TotalWorkingYears]]&lt;=20,3,4)))</f>
        <v>1</v>
      </c>
    </row>
    <row r="1059" spans="1:46" x14ac:dyDescent="0.25">
      <c r="A1059">
        <v>29</v>
      </c>
      <c r="B1059" t="s">
        <v>29</v>
      </c>
      <c r="C1059" t="s">
        <v>37</v>
      </c>
      <c r="D1059" t="s">
        <v>31</v>
      </c>
      <c r="E1059">
        <v>13</v>
      </c>
      <c r="F1059">
        <v>3</v>
      </c>
      <c r="G1059" t="s">
        <v>53</v>
      </c>
      <c r="H1059">
        <v>1487</v>
      </c>
      <c r="I1059">
        <v>1</v>
      </c>
      <c r="J1059" t="s">
        <v>33</v>
      </c>
      <c r="K1059">
        <v>3</v>
      </c>
      <c r="L1059">
        <v>2</v>
      </c>
      <c r="M1059" t="s">
        <v>34</v>
      </c>
      <c r="N1059">
        <v>2</v>
      </c>
      <c r="O1059" t="s">
        <v>35</v>
      </c>
      <c r="P1059">
        <v>5765</v>
      </c>
      <c r="Q1059">
        <v>5</v>
      </c>
      <c r="R1059" t="s">
        <v>36</v>
      </c>
      <c r="S1059">
        <v>11</v>
      </c>
      <c r="T1059">
        <v>3</v>
      </c>
      <c r="U1059">
        <v>1</v>
      </c>
      <c r="V1059">
        <v>0</v>
      </c>
      <c r="W1059">
        <v>7</v>
      </c>
      <c r="X1059">
        <v>4</v>
      </c>
      <c r="Y1059">
        <v>1</v>
      </c>
      <c r="Z1059">
        <v>5</v>
      </c>
      <c r="AA1059">
        <v>3</v>
      </c>
      <c r="AB1059">
        <v>0</v>
      </c>
      <c r="AC1059">
        <v>0</v>
      </c>
      <c r="AD1059">
        <f>IF(HR_Data[[#This Row],[Attrition]]="Yes",1,0)</f>
        <v>1</v>
      </c>
      <c r="AE1059" t="str">
        <f>IF(HR_Data[[#This Row],[Age]]&lt;=25,"18-25",IF(HR_Data[[#This Row],[Age]]&lt;=35,"26-35",IF(HR_Data[[#This Row],[Age]]&lt;=45,"36-45",IF(HR_Data[[#This Row],[Age]]&lt;=55,"46-55","55+"))))</f>
        <v>26-35</v>
      </c>
      <c r="AF1059">
        <f>IF(HR_Data[[#This Row],[Age]]&lt;=25,1,IF(HR_Data[[#This Row],[Age]]&lt;=35,2,IF(HR_Data[[#This Row],[Age]]&lt;=45,3,IF(HR_Data[[#This Row],[Age]]&lt;=55,4,5))))</f>
        <v>2</v>
      </c>
      <c r="AG1059" s="1" t="str">
        <f>IF(HR_Data[[#This Row],[MonthlyIncome]]&lt;3000,"&lt;3K",IF(HR_Data[[#This Row],[MonthlyIncome]]&lt;6000,"3K-6K",IF(HR_Data[[#This Row],[MonthlyIncome]]&lt;10000,"6K-10K","10K+")))</f>
        <v>3K-6K</v>
      </c>
      <c r="AH1059" s="1">
        <f>IF(HR_Data[[#This Row],[MonthlyIncome]]&lt;3000,1,IF(HR_Data[[#This Row],[MonthlyIncome]]&lt;6000,2,IF(HR_Data[[#This Row],[MonthlyIncome]]&lt;10000,3,4)))</f>
        <v>2</v>
      </c>
      <c r="AI1059" s="1" t="str">
        <f>IF(HR_Data[[#This Row],[YearsAtCompany]]&lt;=2,"0-2 Yrs",IF(HR_Data[[#This Row],[YearsAtCompany]]&lt;=5,"3-5 Yrs",IF(HR_Data[[#This Row],[YearsAtCompany]]&lt;=10,"6-10 Yrs","10+ Yrs")))</f>
        <v>3-5 Yrs</v>
      </c>
      <c r="AJ1059" s="1">
        <f>IF(HR_Data[[#This Row],[YearsAtCompany]]&lt;=2,1,IF(HR_Data[[#This Row],[YearsAtCompany]]&lt;=5,2,IF(HR_Data[[#This Row],[YearsAtCompany]]&lt;=10,3,4)))</f>
        <v>2</v>
      </c>
      <c r="AK1059" s="1" t="str">
        <f>CHOOSE(HR_Data[[#This Row],[Education]],"Below College","College","Bachelor","Master","Doctor")</f>
        <v>Bachelor</v>
      </c>
      <c r="AL1059" s="1" t="str">
        <f>CHOOSE(HR_Data[[#This Row],[JobSatisfaction]],"Low","Medium","High","Very High")</f>
        <v>Medium</v>
      </c>
      <c r="AM1059" s="1" t="str">
        <f>CHOOSE(HR_Data[[#This Row],[EnvironmentSatisfaction]],"Low","Medium","High","Very High")</f>
        <v>Low</v>
      </c>
      <c r="AN1059" s="1" t="str">
        <f>CHOOSE(HR_Data[[#This Row],[WorkLifeBalance]],"Bad","Good","Better","Best")</f>
        <v>Bad</v>
      </c>
      <c r="AO1059" s="1" t="str">
        <f>IF(HR_Data[[#This Row],[PercentSalaryHike]]&lt;=13,"11-13%",IF(HR_Data[[#This Row],[PercentSalaryHike]]&lt;=16,"14-16%",IF(HR_Data[[#This Row],[PercentSalaryHike]]&lt;=19,"17-19%","20-25%")))</f>
        <v>11-13%</v>
      </c>
      <c r="AP1059" s="1">
        <f>IF(HR_Data[[#This Row],[PercentSalaryHike]]&lt;=13,1,IF(HR_Data[[#This Row],[PercentSalaryHike]]&lt;=16,2,IF(HR_Data[[#This Row],[PercentSalaryHike]]&lt;=19,3,4)))</f>
        <v>1</v>
      </c>
      <c r="AQ1059" s="1" t="str">
        <f>IF(HR_Data[[#This Row],[DistanceFromHome]]&lt;=5,"1 to 5",IF(HR_Data[[#This Row],[DistanceFromHome]]&lt;=10,"6 to 10",IF(HR_Data[[#This Row],[DistanceFromHome]]&lt;=20,"11 to 20","21 to 29")))</f>
        <v>11 to 20</v>
      </c>
      <c r="AR1059" s="1">
        <f>IF(HR_Data[[#This Row],[DistanceFromHome]]&lt;=5,1,IF(HR_Data[[#This Row],[DistanceFromHome]]&lt;=10,2,IF(HR_Data[[#This Row],[DistanceFromHome]]&lt;=20,3,4)))</f>
        <v>3</v>
      </c>
      <c r="AS1059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059" s="1">
        <f>IF(HR_Data[[#This Row],[TotalWorkingYears]]&lt;=5,1,IF(HR_Data[[#This Row],[TotalWorkingYears]]&lt;=10,2,IF(HR_Data[[#This Row],[TotalWorkingYears]]&lt;=20,3,4)))</f>
        <v>2</v>
      </c>
    </row>
    <row r="1060" spans="1:46" x14ac:dyDescent="0.25">
      <c r="A1060">
        <v>34</v>
      </c>
      <c r="B1060" t="s">
        <v>29</v>
      </c>
      <c r="C1060" t="s">
        <v>30</v>
      </c>
      <c r="D1060" t="s">
        <v>31</v>
      </c>
      <c r="E1060">
        <v>24</v>
      </c>
      <c r="F1060">
        <v>4</v>
      </c>
      <c r="G1060" t="s">
        <v>44</v>
      </c>
      <c r="H1060">
        <v>1489</v>
      </c>
      <c r="I1060">
        <v>1</v>
      </c>
      <c r="J1060" t="s">
        <v>33</v>
      </c>
      <c r="K1060">
        <v>2</v>
      </c>
      <c r="L1060">
        <v>2</v>
      </c>
      <c r="M1060" t="s">
        <v>34</v>
      </c>
      <c r="N1060">
        <v>2</v>
      </c>
      <c r="O1060" t="s">
        <v>35</v>
      </c>
      <c r="P1060">
        <v>4599</v>
      </c>
      <c r="Q1060">
        <v>0</v>
      </c>
      <c r="R1060" t="s">
        <v>29</v>
      </c>
      <c r="S1060">
        <v>23</v>
      </c>
      <c r="T1060">
        <v>4</v>
      </c>
      <c r="U1060">
        <v>3</v>
      </c>
      <c r="V1060">
        <v>0</v>
      </c>
      <c r="W1060">
        <v>16</v>
      </c>
      <c r="X1060">
        <v>2</v>
      </c>
      <c r="Y1060">
        <v>4</v>
      </c>
      <c r="Z1060">
        <v>15</v>
      </c>
      <c r="AA1060">
        <v>9</v>
      </c>
      <c r="AB1060">
        <v>10</v>
      </c>
      <c r="AC1060">
        <v>10</v>
      </c>
      <c r="AD1060">
        <f>IF(HR_Data[[#This Row],[Attrition]]="Yes",1,0)</f>
        <v>1</v>
      </c>
      <c r="AE1060" t="str">
        <f>IF(HR_Data[[#This Row],[Age]]&lt;=25,"18-25",IF(HR_Data[[#This Row],[Age]]&lt;=35,"26-35",IF(HR_Data[[#This Row],[Age]]&lt;=45,"36-45",IF(HR_Data[[#This Row],[Age]]&lt;=55,"46-55","55+"))))</f>
        <v>26-35</v>
      </c>
      <c r="AF1060">
        <f>IF(HR_Data[[#This Row],[Age]]&lt;=25,1,IF(HR_Data[[#This Row],[Age]]&lt;=35,2,IF(HR_Data[[#This Row],[Age]]&lt;=45,3,IF(HR_Data[[#This Row],[Age]]&lt;=55,4,5))))</f>
        <v>2</v>
      </c>
      <c r="AG1060" s="1" t="str">
        <f>IF(HR_Data[[#This Row],[MonthlyIncome]]&lt;3000,"&lt;3K",IF(HR_Data[[#This Row],[MonthlyIncome]]&lt;6000,"3K-6K",IF(HR_Data[[#This Row],[MonthlyIncome]]&lt;10000,"6K-10K","10K+")))</f>
        <v>3K-6K</v>
      </c>
      <c r="AH1060" s="1">
        <f>IF(HR_Data[[#This Row],[MonthlyIncome]]&lt;3000,1,IF(HR_Data[[#This Row],[MonthlyIncome]]&lt;6000,2,IF(HR_Data[[#This Row],[MonthlyIncome]]&lt;10000,3,4)))</f>
        <v>2</v>
      </c>
      <c r="AI1060" s="1" t="str">
        <f>IF(HR_Data[[#This Row],[YearsAtCompany]]&lt;=2,"0-2 Yrs",IF(HR_Data[[#This Row],[YearsAtCompany]]&lt;=5,"3-5 Yrs",IF(HR_Data[[#This Row],[YearsAtCompany]]&lt;=10,"6-10 Yrs","10+ Yrs")))</f>
        <v>10+ Yrs</v>
      </c>
      <c r="AJ1060" s="1">
        <f>IF(HR_Data[[#This Row],[YearsAtCompany]]&lt;=2,1,IF(HR_Data[[#This Row],[YearsAtCompany]]&lt;=5,2,IF(HR_Data[[#This Row],[YearsAtCompany]]&lt;=10,3,4)))</f>
        <v>4</v>
      </c>
      <c r="AK1060" s="1" t="str">
        <f>CHOOSE(HR_Data[[#This Row],[Education]],"Below College","College","Bachelor","Master","Doctor")</f>
        <v>Master</v>
      </c>
      <c r="AL1060" s="1" t="str">
        <f>CHOOSE(HR_Data[[#This Row],[JobSatisfaction]],"Low","Medium","High","Very High")</f>
        <v>Medium</v>
      </c>
      <c r="AM1060" s="1" t="str">
        <f>CHOOSE(HR_Data[[#This Row],[EnvironmentSatisfaction]],"Low","Medium","High","Very High")</f>
        <v>Low</v>
      </c>
      <c r="AN1060" s="1" t="str">
        <f>CHOOSE(HR_Data[[#This Row],[WorkLifeBalance]],"Bad","Good","Better","Best")</f>
        <v>Best</v>
      </c>
      <c r="AO1060" s="1" t="str">
        <f>IF(HR_Data[[#This Row],[PercentSalaryHike]]&lt;=13,"11-13%",IF(HR_Data[[#This Row],[PercentSalaryHike]]&lt;=16,"14-16%",IF(HR_Data[[#This Row],[PercentSalaryHike]]&lt;=19,"17-19%","20-25%")))</f>
        <v>20-25%</v>
      </c>
      <c r="AP1060" s="1">
        <f>IF(HR_Data[[#This Row],[PercentSalaryHike]]&lt;=13,1,IF(HR_Data[[#This Row],[PercentSalaryHike]]&lt;=16,2,IF(HR_Data[[#This Row],[PercentSalaryHike]]&lt;=19,3,4)))</f>
        <v>4</v>
      </c>
      <c r="AQ1060" s="1" t="str">
        <f>IF(HR_Data[[#This Row],[DistanceFromHome]]&lt;=5,"1 to 5",IF(HR_Data[[#This Row],[DistanceFromHome]]&lt;=10,"6 to 10",IF(HR_Data[[#This Row],[DistanceFromHome]]&lt;=20,"11 to 20","21 to 29")))</f>
        <v>21 to 29</v>
      </c>
      <c r="AR1060" s="1">
        <f>IF(HR_Data[[#This Row],[DistanceFromHome]]&lt;=5,1,IF(HR_Data[[#This Row],[DistanceFromHome]]&lt;=10,2,IF(HR_Data[[#This Row],[DistanceFromHome]]&lt;=20,3,4)))</f>
        <v>4</v>
      </c>
      <c r="AS1060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060" s="1">
        <f>IF(HR_Data[[#This Row],[TotalWorkingYears]]&lt;=5,1,IF(HR_Data[[#This Row],[TotalWorkingYears]]&lt;=10,2,IF(HR_Data[[#This Row],[TotalWorkingYears]]&lt;=20,3,4)))</f>
        <v>3</v>
      </c>
    </row>
    <row r="1061" spans="1:46" x14ac:dyDescent="0.25">
      <c r="A1061">
        <v>35</v>
      </c>
      <c r="B1061" t="s">
        <v>36</v>
      </c>
      <c r="C1061" t="s">
        <v>30</v>
      </c>
      <c r="D1061" t="s">
        <v>31</v>
      </c>
      <c r="E1061">
        <v>7</v>
      </c>
      <c r="F1061">
        <v>1</v>
      </c>
      <c r="G1061" t="s">
        <v>32</v>
      </c>
      <c r="H1061">
        <v>1492</v>
      </c>
      <c r="I1061">
        <v>4</v>
      </c>
      <c r="J1061" t="s">
        <v>39</v>
      </c>
      <c r="K1061">
        <v>3</v>
      </c>
      <c r="L1061">
        <v>1</v>
      </c>
      <c r="M1061" t="s">
        <v>50</v>
      </c>
      <c r="N1061">
        <v>3</v>
      </c>
      <c r="O1061" t="s">
        <v>41</v>
      </c>
      <c r="P1061">
        <v>2404</v>
      </c>
      <c r="Q1061">
        <v>1</v>
      </c>
      <c r="R1061" t="s">
        <v>36</v>
      </c>
      <c r="S1061">
        <v>13</v>
      </c>
      <c r="T1061">
        <v>3</v>
      </c>
      <c r="U1061">
        <v>1</v>
      </c>
      <c r="V1061">
        <v>1</v>
      </c>
      <c r="W1061">
        <v>1</v>
      </c>
      <c r="X1061">
        <v>3</v>
      </c>
      <c r="Y1061">
        <v>3</v>
      </c>
      <c r="Z1061">
        <v>1</v>
      </c>
      <c r="AA1061">
        <v>0</v>
      </c>
      <c r="AB1061">
        <v>0</v>
      </c>
      <c r="AC1061">
        <v>0</v>
      </c>
      <c r="AD1061">
        <f>IF(HR_Data[[#This Row],[Attrition]]="Yes",1,0)</f>
        <v>0</v>
      </c>
      <c r="AE1061" t="str">
        <f>IF(HR_Data[[#This Row],[Age]]&lt;=25,"18-25",IF(HR_Data[[#This Row],[Age]]&lt;=35,"26-35",IF(HR_Data[[#This Row],[Age]]&lt;=45,"36-45",IF(HR_Data[[#This Row],[Age]]&lt;=55,"46-55","55+"))))</f>
        <v>26-35</v>
      </c>
      <c r="AF1061">
        <f>IF(HR_Data[[#This Row],[Age]]&lt;=25,1,IF(HR_Data[[#This Row],[Age]]&lt;=35,2,IF(HR_Data[[#This Row],[Age]]&lt;=45,3,IF(HR_Data[[#This Row],[Age]]&lt;=55,4,5))))</f>
        <v>2</v>
      </c>
      <c r="AG1061" s="1" t="str">
        <f>IF(HR_Data[[#This Row],[MonthlyIncome]]&lt;3000,"&lt;3K",IF(HR_Data[[#This Row],[MonthlyIncome]]&lt;6000,"3K-6K",IF(HR_Data[[#This Row],[MonthlyIncome]]&lt;10000,"6K-10K","10K+")))</f>
        <v>&lt;3K</v>
      </c>
      <c r="AH1061" s="1">
        <f>IF(HR_Data[[#This Row],[MonthlyIncome]]&lt;3000,1,IF(HR_Data[[#This Row],[MonthlyIncome]]&lt;6000,2,IF(HR_Data[[#This Row],[MonthlyIncome]]&lt;10000,3,4)))</f>
        <v>1</v>
      </c>
      <c r="AI1061" s="1" t="str">
        <f>IF(HR_Data[[#This Row],[YearsAtCompany]]&lt;=2,"0-2 Yrs",IF(HR_Data[[#This Row],[YearsAtCompany]]&lt;=5,"3-5 Yrs",IF(HR_Data[[#This Row],[YearsAtCompany]]&lt;=10,"6-10 Yrs","10+ Yrs")))</f>
        <v>0-2 Yrs</v>
      </c>
      <c r="AJ1061" s="1">
        <f>IF(HR_Data[[#This Row],[YearsAtCompany]]&lt;=2,1,IF(HR_Data[[#This Row],[YearsAtCompany]]&lt;=5,2,IF(HR_Data[[#This Row],[YearsAtCompany]]&lt;=10,3,4)))</f>
        <v>1</v>
      </c>
      <c r="AK1061" s="1" t="str">
        <f>CHOOSE(HR_Data[[#This Row],[Education]],"Below College","College","Bachelor","Master","Doctor")</f>
        <v>Below College</v>
      </c>
      <c r="AL1061" s="1" t="str">
        <f>CHOOSE(HR_Data[[#This Row],[JobSatisfaction]],"Low","Medium","High","Very High")</f>
        <v>High</v>
      </c>
      <c r="AM1061" s="1" t="str">
        <f>CHOOSE(HR_Data[[#This Row],[EnvironmentSatisfaction]],"Low","Medium","High","Very High")</f>
        <v>Very High</v>
      </c>
      <c r="AN1061" s="1" t="str">
        <f>CHOOSE(HR_Data[[#This Row],[WorkLifeBalance]],"Bad","Good","Better","Best")</f>
        <v>Better</v>
      </c>
      <c r="AO1061" s="1" t="str">
        <f>IF(HR_Data[[#This Row],[PercentSalaryHike]]&lt;=13,"11-13%",IF(HR_Data[[#This Row],[PercentSalaryHike]]&lt;=16,"14-16%",IF(HR_Data[[#This Row],[PercentSalaryHike]]&lt;=19,"17-19%","20-25%")))</f>
        <v>11-13%</v>
      </c>
      <c r="AP1061" s="1">
        <f>IF(HR_Data[[#This Row],[PercentSalaryHike]]&lt;=13,1,IF(HR_Data[[#This Row],[PercentSalaryHike]]&lt;=16,2,IF(HR_Data[[#This Row],[PercentSalaryHike]]&lt;=19,3,4)))</f>
        <v>1</v>
      </c>
      <c r="AQ1061" s="1" t="str">
        <f>IF(HR_Data[[#This Row],[DistanceFromHome]]&lt;=5,"1 to 5",IF(HR_Data[[#This Row],[DistanceFromHome]]&lt;=10,"6 to 10",IF(HR_Data[[#This Row],[DistanceFromHome]]&lt;=20,"11 to 20","21 to 29")))</f>
        <v>6 to 10</v>
      </c>
      <c r="AR1061" s="1">
        <f>IF(HR_Data[[#This Row],[DistanceFromHome]]&lt;=5,1,IF(HR_Data[[#This Row],[DistanceFromHome]]&lt;=10,2,IF(HR_Data[[#This Row],[DistanceFromHome]]&lt;=20,3,4)))</f>
        <v>2</v>
      </c>
      <c r="AS1061" s="1" t="str">
        <f>IF(HR_Data[[#This Row],[TotalWorkingYears]]&lt;=5,"0-5 Yrs",IF(HR_Data[[#This Row],[TotalWorkingYears]]&lt;=10,"6-10 Yrs",IF(HR_Data[[#This Row],[TotalWorkingYears]]&lt;=20,"11-20 Yrs","20+ Yrs")))</f>
        <v>0-5 Yrs</v>
      </c>
      <c r="AT1061" s="1">
        <f>IF(HR_Data[[#This Row],[TotalWorkingYears]]&lt;=5,1,IF(HR_Data[[#This Row],[TotalWorkingYears]]&lt;=10,2,IF(HR_Data[[#This Row],[TotalWorkingYears]]&lt;=20,3,4)))</f>
        <v>1</v>
      </c>
    </row>
    <row r="1062" spans="1:46" x14ac:dyDescent="0.25">
      <c r="A1062">
        <v>24</v>
      </c>
      <c r="B1062" t="s">
        <v>29</v>
      </c>
      <c r="C1062" t="s">
        <v>37</v>
      </c>
      <c r="D1062" t="s">
        <v>38</v>
      </c>
      <c r="E1062">
        <v>9</v>
      </c>
      <c r="F1062">
        <v>3</v>
      </c>
      <c r="G1062" t="s">
        <v>44</v>
      </c>
      <c r="H1062">
        <v>1494</v>
      </c>
      <c r="I1062">
        <v>2</v>
      </c>
      <c r="J1062" t="s">
        <v>39</v>
      </c>
      <c r="K1062">
        <v>3</v>
      </c>
      <c r="L1062">
        <v>1</v>
      </c>
      <c r="M1062" t="s">
        <v>43</v>
      </c>
      <c r="N1062">
        <v>1</v>
      </c>
      <c r="O1062" t="s">
        <v>35</v>
      </c>
      <c r="P1062">
        <v>3172</v>
      </c>
      <c r="Q1062">
        <v>2</v>
      </c>
      <c r="R1062" t="s">
        <v>29</v>
      </c>
      <c r="S1062">
        <v>11</v>
      </c>
      <c r="T1062">
        <v>3</v>
      </c>
      <c r="U1062">
        <v>3</v>
      </c>
      <c r="V1062">
        <v>0</v>
      </c>
      <c r="W1062">
        <v>4</v>
      </c>
      <c r="X1062">
        <v>2</v>
      </c>
      <c r="Y1062">
        <v>2</v>
      </c>
      <c r="Z1062">
        <v>0</v>
      </c>
      <c r="AA1062">
        <v>0</v>
      </c>
      <c r="AB1062">
        <v>0</v>
      </c>
      <c r="AC1062">
        <v>0</v>
      </c>
      <c r="AD1062">
        <f>IF(HR_Data[[#This Row],[Attrition]]="Yes",1,0)</f>
        <v>1</v>
      </c>
      <c r="AE1062" t="str">
        <f>IF(HR_Data[[#This Row],[Age]]&lt;=25,"18-25",IF(HR_Data[[#This Row],[Age]]&lt;=35,"26-35",IF(HR_Data[[#This Row],[Age]]&lt;=45,"36-45",IF(HR_Data[[#This Row],[Age]]&lt;=55,"46-55","55+"))))</f>
        <v>18-25</v>
      </c>
      <c r="AF1062">
        <f>IF(HR_Data[[#This Row],[Age]]&lt;=25,1,IF(HR_Data[[#This Row],[Age]]&lt;=35,2,IF(HR_Data[[#This Row],[Age]]&lt;=45,3,IF(HR_Data[[#This Row],[Age]]&lt;=55,4,5))))</f>
        <v>1</v>
      </c>
      <c r="AG1062" s="1" t="str">
        <f>IF(HR_Data[[#This Row],[MonthlyIncome]]&lt;3000,"&lt;3K",IF(HR_Data[[#This Row],[MonthlyIncome]]&lt;6000,"3K-6K",IF(HR_Data[[#This Row],[MonthlyIncome]]&lt;10000,"6K-10K","10K+")))</f>
        <v>3K-6K</v>
      </c>
      <c r="AH1062" s="1">
        <f>IF(HR_Data[[#This Row],[MonthlyIncome]]&lt;3000,1,IF(HR_Data[[#This Row],[MonthlyIncome]]&lt;6000,2,IF(HR_Data[[#This Row],[MonthlyIncome]]&lt;10000,3,4)))</f>
        <v>2</v>
      </c>
      <c r="AI1062" s="1" t="str">
        <f>IF(HR_Data[[#This Row],[YearsAtCompany]]&lt;=2,"0-2 Yrs",IF(HR_Data[[#This Row],[YearsAtCompany]]&lt;=5,"3-5 Yrs",IF(HR_Data[[#This Row],[YearsAtCompany]]&lt;=10,"6-10 Yrs","10+ Yrs")))</f>
        <v>0-2 Yrs</v>
      </c>
      <c r="AJ1062" s="1">
        <f>IF(HR_Data[[#This Row],[YearsAtCompany]]&lt;=2,1,IF(HR_Data[[#This Row],[YearsAtCompany]]&lt;=5,2,IF(HR_Data[[#This Row],[YearsAtCompany]]&lt;=10,3,4)))</f>
        <v>1</v>
      </c>
      <c r="AK1062" s="1" t="str">
        <f>CHOOSE(HR_Data[[#This Row],[Education]],"Below College","College","Bachelor","Master","Doctor")</f>
        <v>Bachelor</v>
      </c>
      <c r="AL1062" s="1" t="str">
        <f>CHOOSE(HR_Data[[#This Row],[JobSatisfaction]],"Low","Medium","High","Very High")</f>
        <v>Low</v>
      </c>
      <c r="AM1062" s="1" t="str">
        <f>CHOOSE(HR_Data[[#This Row],[EnvironmentSatisfaction]],"Low","Medium","High","Very High")</f>
        <v>Medium</v>
      </c>
      <c r="AN1062" s="1" t="str">
        <f>CHOOSE(HR_Data[[#This Row],[WorkLifeBalance]],"Bad","Good","Better","Best")</f>
        <v>Good</v>
      </c>
      <c r="AO1062" s="1" t="str">
        <f>IF(HR_Data[[#This Row],[PercentSalaryHike]]&lt;=13,"11-13%",IF(HR_Data[[#This Row],[PercentSalaryHike]]&lt;=16,"14-16%",IF(HR_Data[[#This Row],[PercentSalaryHike]]&lt;=19,"17-19%","20-25%")))</f>
        <v>11-13%</v>
      </c>
      <c r="AP1062" s="1">
        <f>IF(HR_Data[[#This Row],[PercentSalaryHike]]&lt;=13,1,IF(HR_Data[[#This Row],[PercentSalaryHike]]&lt;=16,2,IF(HR_Data[[#This Row],[PercentSalaryHike]]&lt;=19,3,4)))</f>
        <v>1</v>
      </c>
      <c r="AQ1062" s="1" t="str">
        <f>IF(HR_Data[[#This Row],[DistanceFromHome]]&lt;=5,"1 to 5",IF(HR_Data[[#This Row],[DistanceFromHome]]&lt;=10,"6 to 10",IF(HR_Data[[#This Row],[DistanceFromHome]]&lt;=20,"11 to 20","21 to 29")))</f>
        <v>6 to 10</v>
      </c>
      <c r="AR1062" s="1">
        <f>IF(HR_Data[[#This Row],[DistanceFromHome]]&lt;=5,1,IF(HR_Data[[#This Row],[DistanceFromHome]]&lt;=10,2,IF(HR_Data[[#This Row],[DistanceFromHome]]&lt;=20,3,4)))</f>
        <v>2</v>
      </c>
      <c r="AS1062" s="1" t="str">
        <f>IF(HR_Data[[#This Row],[TotalWorkingYears]]&lt;=5,"0-5 Yrs",IF(HR_Data[[#This Row],[TotalWorkingYears]]&lt;=10,"6-10 Yrs",IF(HR_Data[[#This Row],[TotalWorkingYears]]&lt;=20,"11-20 Yrs","20+ Yrs")))</f>
        <v>0-5 Yrs</v>
      </c>
      <c r="AT1062" s="1">
        <f>IF(HR_Data[[#This Row],[TotalWorkingYears]]&lt;=5,1,IF(HR_Data[[#This Row],[TotalWorkingYears]]&lt;=10,2,IF(HR_Data[[#This Row],[TotalWorkingYears]]&lt;=20,3,4)))</f>
        <v>1</v>
      </c>
    </row>
    <row r="1063" spans="1:46" x14ac:dyDescent="0.25">
      <c r="A1063">
        <v>24</v>
      </c>
      <c r="B1063" t="s">
        <v>36</v>
      </c>
      <c r="C1063" t="s">
        <v>48</v>
      </c>
      <c r="D1063" t="s">
        <v>31</v>
      </c>
      <c r="E1063">
        <v>13</v>
      </c>
      <c r="F1063">
        <v>2</v>
      </c>
      <c r="G1063" t="s">
        <v>32</v>
      </c>
      <c r="H1063">
        <v>1495</v>
      </c>
      <c r="I1063">
        <v>4</v>
      </c>
      <c r="J1063" t="s">
        <v>33</v>
      </c>
      <c r="K1063">
        <v>3</v>
      </c>
      <c r="L1063">
        <v>1</v>
      </c>
      <c r="M1063" t="s">
        <v>50</v>
      </c>
      <c r="N1063">
        <v>2</v>
      </c>
      <c r="O1063" t="s">
        <v>41</v>
      </c>
      <c r="P1063">
        <v>2033</v>
      </c>
      <c r="Q1063">
        <v>1</v>
      </c>
      <c r="R1063" t="s">
        <v>36</v>
      </c>
      <c r="S1063">
        <v>13</v>
      </c>
      <c r="T1063">
        <v>3</v>
      </c>
      <c r="U1063">
        <v>3</v>
      </c>
      <c r="V1063">
        <v>1</v>
      </c>
      <c r="W1063">
        <v>1</v>
      </c>
      <c r="X1063">
        <v>2</v>
      </c>
      <c r="Y1063">
        <v>3</v>
      </c>
      <c r="Z1063">
        <v>1</v>
      </c>
      <c r="AA1063">
        <v>0</v>
      </c>
      <c r="AB1063">
        <v>0</v>
      </c>
      <c r="AC1063">
        <v>0</v>
      </c>
      <c r="AD1063">
        <f>IF(HR_Data[[#This Row],[Attrition]]="Yes",1,0)</f>
        <v>0</v>
      </c>
      <c r="AE1063" t="str">
        <f>IF(HR_Data[[#This Row],[Age]]&lt;=25,"18-25",IF(HR_Data[[#This Row],[Age]]&lt;=35,"26-35",IF(HR_Data[[#This Row],[Age]]&lt;=45,"36-45",IF(HR_Data[[#This Row],[Age]]&lt;=55,"46-55","55+"))))</f>
        <v>18-25</v>
      </c>
      <c r="AF1063">
        <f>IF(HR_Data[[#This Row],[Age]]&lt;=25,1,IF(HR_Data[[#This Row],[Age]]&lt;=35,2,IF(HR_Data[[#This Row],[Age]]&lt;=45,3,IF(HR_Data[[#This Row],[Age]]&lt;=55,4,5))))</f>
        <v>1</v>
      </c>
      <c r="AG1063" s="1" t="str">
        <f>IF(HR_Data[[#This Row],[MonthlyIncome]]&lt;3000,"&lt;3K",IF(HR_Data[[#This Row],[MonthlyIncome]]&lt;6000,"3K-6K",IF(HR_Data[[#This Row],[MonthlyIncome]]&lt;10000,"6K-10K","10K+")))</f>
        <v>&lt;3K</v>
      </c>
      <c r="AH1063" s="1">
        <f>IF(HR_Data[[#This Row],[MonthlyIncome]]&lt;3000,1,IF(HR_Data[[#This Row],[MonthlyIncome]]&lt;6000,2,IF(HR_Data[[#This Row],[MonthlyIncome]]&lt;10000,3,4)))</f>
        <v>1</v>
      </c>
      <c r="AI1063" s="1" t="str">
        <f>IF(HR_Data[[#This Row],[YearsAtCompany]]&lt;=2,"0-2 Yrs",IF(HR_Data[[#This Row],[YearsAtCompany]]&lt;=5,"3-5 Yrs",IF(HR_Data[[#This Row],[YearsAtCompany]]&lt;=10,"6-10 Yrs","10+ Yrs")))</f>
        <v>0-2 Yrs</v>
      </c>
      <c r="AJ1063" s="1">
        <f>IF(HR_Data[[#This Row],[YearsAtCompany]]&lt;=2,1,IF(HR_Data[[#This Row],[YearsAtCompany]]&lt;=5,2,IF(HR_Data[[#This Row],[YearsAtCompany]]&lt;=10,3,4)))</f>
        <v>1</v>
      </c>
      <c r="AK1063" s="1" t="str">
        <f>CHOOSE(HR_Data[[#This Row],[Education]],"Below College","College","Bachelor","Master","Doctor")</f>
        <v>College</v>
      </c>
      <c r="AL1063" s="1" t="str">
        <f>CHOOSE(HR_Data[[#This Row],[JobSatisfaction]],"Low","Medium","High","Very High")</f>
        <v>Medium</v>
      </c>
      <c r="AM1063" s="1" t="str">
        <f>CHOOSE(HR_Data[[#This Row],[EnvironmentSatisfaction]],"Low","Medium","High","Very High")</f>
        <v>Very High</v>
      </c>
      <c r="AN1063" s="1" t="str">
        <f>CHOOSE(HR_Data[[#This Row],[WorkLifeBalance]],"Bad","Good","Better","Best")</f>
        <v>Better</v>
      </c>
      <c r="AO1063" s="1" t="str">
        <f>IF(HR_Data[[#This Row],[PercentSalaryHike]]&lt;=13,"11-13%",IF(HR_Data[[#This Row],[PercentSalaryHike]]&lt;=16,"14-16%",IF(HR_Data[[#This Row],[PercentSalaryHike]]&lt;=19,"17-19%","20-25%")))</f>
        <v>11-13%</v>
      </c>
      <c r="AP1063" s="1">
        <f>IF(HR_Data[[#This Row],[PercentSalaryHike]]&lt;=13,1,IF(HR_Data[[#This Row],[PercentSalaryHike]]&lt;=16,2,IF(HR_Data[[#This Row],[PercentSalaryHike]]&lt;=19,3,4)))</f>
        <v>1</v>
      </c>
      <c r="AQ1063" s="1" t="str">
        <f>IF(HR_Data[[#This Row],[DistanceFromHome]]&lt;=5,"1 to 5",IF(HR_Data[[#This Row],[DistanceFromHome]]&lt;=10,"6 to 10",IF(HR_Data[[#This Row],[DistanceFromHome]]&lt;=20,"11 to 20","21 to 29")))</f>
        <v>11 to 20</v>
      </c>
      <c r="AR1063" s="1">
        <f>IF(HR_Data[[#This Row],[DistanceFromHome]]&lt;=5,1,IF(HR_Data[[#This Row],[DistanceFromHome]]&lt;=10,2,IF(HR_Data[[#This Row],[DistanceFromHome]]&lt;=20,3,4)))</f>
        <v>3</v>
      </c>
      <c r="AS1063" s="1" t="str">
        <f>IF(HR_Data[[#This Row],[TotalWorkingYears]]&lt;=5,"0-5 Yrs",IF(HR_Data[[#This Row],[TotalWorkingYears]]&lt;=10,"6-10 Yrs",IF(HR_Data[[#This Row],[TotalWorkingYears]]&lt;=20,"11-20 Yrs","20+ Yrs")))</f>
        <v>0-5 Yrs</v>
      </c>
      <c r="AT1063" s="1">
        <f>IF(HR_Data[[#This Row],[TotalWorkingYears]]&lt;=5,1,IF(HR_Data[[#This Row],[TotalWorkingYears]]&lt;=10,2,IF(HR_Data[[#This Row],[TotalWorkingYears]]&lt;=20,3,4)))</f>
        <v>1</v>
      </c>
    </row>
    <row r="1064" spans="1:46" x14ac:dyDescent="0.25">
      <c r="A1064">
        <v>44</v>
      </c>
      <c r="B1064" t="s">
        <v>36</v>
      </c>
      <c r="C1064" t="s">
        <v>37</v>
      </c>
      <c r="D1064" t="s">
        <v>38</v>
      </c>
      <c r="E1064">
        <v>2</v>
      </c>
      <c r="F1064">
        <v>1</v>
      </c>
      <c r="G1064" t="s">
        <v>44</v>
      </c>
      <c r="H1064">
        <v>1496</v>
      </c>
      <c r="I1064">
        <v>2</v>
      </c>
      <c r="J1064" t="s">
        <v>39</v>
      </c>
      <c r="K1064">
        <v>3</v>
      </c>
      <c r="L1064">
        <v>3</v>
      </c>
      <c r="M1064" t="s">
        <v>46</v>
      </c>
      <c r="N1064">
        <v>3</v>
      </c>
      <c r="O1064" t="s">
        <v>35</v>
      </c>
      <c r="P1064">
        <v>10209</v>
      </c>
      <c r="Q1064">
        <v>5</v>
      </c>
      <c r="R1064" t="s">
        <v>29</v>
      </c>
      <c r="S1064">
        <v>18</v>
      </c>
      <c r="T1064">
        <v>3</v>
      </c>
      <c r="U1064">
        <v>2</v>
      </c>
      <c r="V1064">
        <v>0</v>
      </c>
      <c r="W1064">
        <v>16</v>
      </c>
      <c r="X1064">
        <v>2</v>
      </c>
      <c r="Y1064">
        <v>2</v>
      </c>
      <c r="Z1064">
        <v>2</v>
      </c>
      <c r="AA1064">
        <v>2</v>
      </c>
      <c r="AB1064">
        <v>2</v>
      </c>
      <c r="AC1064">
        <v>2</v>
      </c>
      <c r="AD1064">
        <f>IF(HR_Data[[#This Row],[Attrition]]="Yes",1,0)</f>
        <v>0</v>
      </c>
      <c r="AE1064" t="str">
        <f>IF(HR_Data[[#This Row],[Age]]&lt;=25,"18-25",IF(HR_Data[[#This Row],[Age]]&lt;=35,"26-35",IF(HR_Data[[#This Row],[Age]]&lt;=45,"36-45",IF(HR_Data[[#This Row],[Age]]&lt;=55,"46-55","55+"))))</f>
        <v>36-45</v>
      </c>
      <c r="AF1064">
        <f>IF(HR_Data[[#This Row],[Age]]&lt;=25,1,IF(HR_Data[[#This Row],[Age]]&lt;=35,2,IF(HR_Data[[#This Row],[Age]]&lt;=45,3,IF(HR_Data[[#This Row],[Age]]&lt;=55,4,5))))</f>
        <v>3</v>
      </c>
      <c r="AG1064" s="1" t="str">
        <f>IF(HR_Data[[#This Row],[MonthlyIncome]]&lt;3000,"&lt;3K",IF(HR_Data[[#This Row],[MonthlyIncome]]&lt;6000,"3K-6K",IF(HR_Data[[#This Row],[MonthlyIncome]]&lt;10000,"6K-10K","10K+")))</f>
        <v>10K+</v>
      </c>
      <c r="AH1064" s="1">
        <f>IF(HR_Data[[#This Row],[MonthlyIncome]]&lt;3000,1,IF(HR_Data[[#This Row],[MonthlyIncome]]&lt;6000,2,IF(HR_Data[[#This Row],[MonthlyIncome]]&lt;10000,3,4)))</f>
        <v>4</v>
      </c>
      <c r="AI1064" s="1" t="str">
        <f>IF(HR_Data[[#This Row],[YearsAtCompany]]&lt;=2,"0-2 Yrs",IF(HR_Data[[#This Row],[YearsAtCompany]]&lt;=5,"3-5 Yrs",IF(HR_Data[[#This Row],[YearsAtCompany]]&lt;=10,"6-10 Yrs","10+ Yrs")))</f>
        <v>0-2 Yrs</v>
      </c>
      <c r="AJ1064" s="1">
        <f>IF(HR_Data[[#This Row],[YearsAtCompany]]&lt;=2,1,IF(HR_Data[[#This Row],[YearsAtCompany]]&lt;=5,2,IF(HR_Data[[#This Row],[YearsAtCompany]]&lt;=10,3,4)))</f>
        <v>1</v>
      </c>
      <c r="AK1064" s="1" t="str">
        <f>CHOOSE(HR_Data[[#This Row],[Education]],"Below College","College","Bachelor","Master","Doctor")</f>
        <v>Below College</v>
      </c>
      <c r="AL1064" s="1" t="str">
        <f>CHOOSE(HR_Data[[#This Row],[JobSatisfaction]],"Low","Medium","High","Very High")</f>
        <v>High</v>
      </c>
      <c r="AM1064" s="1" t="str">
        <f>CHOOSE(HR_Data[[#This Row],[EnvironmentSatisfaction]],"Low","Medium","High","Very High")</f>
        <v>Medium</v>
      </c>
      <c r="AN1064" s="1" t="str">
        <f>CHOOSE(HR_Data[[#This Row],[WorkLifeBalance]],"Bad","Good","Better","Best")</f>
        <v>Good</v>
      </c>
      <c r="AO1064" s="1" t="str">
        <f>IF(HR_Data[[#This Row],[PercentSalaryHike]]&lt;=13,"11-13%",IF(HR_Data[[#This Row],[PercentSalaryHike]]&lt;=16,"14-16%",IF(HR_Data[[#This Row],[PercentSalaryHike]]&lt;=19,"17-19%","20-25%")))</f>
        <v>17-19%</v>
      </c>
      <c r="AP1064" s="1">
        <f>IF(HR_Data[[#This Row],[PercentSalaryHike]]&lt;=13,1,IF(HR_Data[[#This Row],[PercentSalaryHike]]&lt;=16,2,IF(HR_Data[[#This Row],[PercentSalaryHike]]&lt;=19,3,4)))</f>
        <v>3</v>
      </c>
      <c r="AQ1064" s="1" t="str">
        <f>IF(HR_Data[[#This Row],[DistanceFromHome]]&lt;=5,"1 to 5",IF(HR_Data[[#This Row],[DistanceFromHome]]&lt;=10,"6 to 10",IF(HR_Data[[#This Row],[DistanceFromHome]]&lt;=20,"11 to 20","21 to 29")))</f>
        <v>1 to 5</v>
      </c>
      <c r="AR1064" s="1">
        <f>IF(HR_Data[[#This Row],[DistanceFromHome]]&lt;=5,1,IF(HR_Data[[#This Row],[DistanceFromHome]]&lt;=10,2,IF(HR_Data[[#This Row],[DistanceFromHome]]&lt;=20,3,4)))</f>
        <v>1</v>
      </c>
      <c r="AS1064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064" s="1">
        <f>IF(HR_Data[[#This Row],[TotalWorkingYears]]&lt;=5,1,IF(HR_Data[[#This Row],[TotalWorkingYears]]&lt;=10,2,IF(HR_Data[[#This Row],[TotalWorkingYears]]&lt;=20,3,4)))</f>
        <v>3</v>
      </c>
    </row>
    <row r="1065" spans="1:46" x14ac:dyDescent="0.25">
      <c r="A1065">
        <v>29</v>
      </c>
      <c r="B1065" t="s">
        <v>36</v>
      </c>
      <c r="C1065" t="s">
        <v>30</v>
      </c>
      <c r="D1065" t="s">
        <v>31</v>
      </c>
      <c r="E1065">
        <v>19</v>
      </c>
      <c r="F1065">
        <v>3</v>
      </c>
      <c r="G1065" t="s">
        <v>32</v>
      </c>
      <c r="H1065">
        <v>1497</v>
      </c>
      <c r="I1065">
        <v>3</v>
      </c>
      <c r="J1065" t="s">
        <v>39</v>
      </c>
      <c r="K1065">
        <v>2</v>
      </c>
      <c r="L1065">
        <v>2</v>
      </c>
      <c r="M1065" t="s">
        <v>34</v>
      </c>
      <c r="N1065">
        <v>3</v>
      </c>
      <c r="O1065" t="s">
        <v>45</v>
      </c>
      <c r="P1065">
        <v>8620</v>
      </c>
      <c r="Q1065">
        <v>1</v>
      </c>
      <c r="R1065" t="s">
        <v>36</v>
      </c>
      <c r="S1065">
        <v>14</v>
      </c>
      <c r="T1065">
        <v>3</v>
      </c>
      <c r="U1065">
        <v>3</v>
      </c>
      <c r="V1065">
        <v>2</v>
      </c>
      <c r="W1065">
        <v>10</v>
      </c>
      <c r="X1065">
        <v>3</v>
      </c>
      <c r="Y1065">
        <v>3</v>
      </c>
      <c r="Z1065">
        <v>10</v>
      </c>
      <c r="AA1065">
        <v>7</v>
      </c>
      <c r="AB1065">
        <v>0</v>
      </c>
      <c r="AC1065">
        <v>4</v>
      </c>
      <c r="AD1065">
        <f>IF(HR_Data[[#This Row],[Attrition]]="Yes",1,0)</f>
        <v>0</v>
      </c>
      <c r="AE1065" t="str">
        <f>IF(HR_Data[[#This Row],[Age]]&lt;=25,"18-25",IF(HR_Data[[#This Row],[Age]]&lt;=35,"26-35",IF(HR_Data[[#This Row],[Age]]&lt;=45,"36-45",IF(HR_Data[[#This Row],[Age]]&lt;=55,"46-55","55+"))))</f>
        <v>26-35</v>
      </c>
      <c r="AF1065">
        <f>IF(HR_Data[[#This Row],[Age]]&lt;=25,1,IF(HR_Data[[#This Row],[Age]]&lt;=35,2,IF(HR_Data[[#This Row],[Age]]&lt;=45,3,IF(HR_Data[[#This Row],[Age]]&lt;=55,4,5))))</f>
        <v>2</v>
      </c>
      <c r="AG1065" s="1" t="str">
        <f>IF(HR_Data[[#This Row],[MonthlyIncome]]&lt;3000,"&lt;3K",IF(HR_Data[[#This Row],[MonthlyIncome]]&lt;6000,"3K-6K",IF(HR_Data[[#This Row],[MonthlyIncome]]&lt;10000,"6K-10K","10K+")))</f>
        <v>6K-10K</v>
      </c>
      <c r="AH1065" s="1">
        <f>IF(HR_Data[[#This Row],[MonthlyIncome]]&lt;3000,1,IF(HR_Data[[#This Row],[MonthlyIncome]]&lt;6000,2,IF(HR_Data[[#This Row],[MonthlyIncome]]&lt;10000,3,4)))</f>
        <v>3</v>
      </c>
      <c r="AI1065" s="1" t="str">
        <f>IF(HR_Data[[#This Row],[YearsAtCompany]]&lt;=2,"0-2 Yrs",IF(HR_Data[[#This Row],[YearsAtCompany]]&lt;=5,"3-5 Yrs",IF(HR_Data[[#This Row],[YearsAtCompany]]&lt;=10,"6-10 Yrs","10+ Yrs")))</f>
        <v>6-10 Yrs</v>
      </c>
      <c r="AJ1065" s="1">
        <f>IF(HR_Data[[#This Row],[YearsAtCompany]]&lt;=2,1,IF(HR_Data[[#This Row],[YearsAtCompany]]&lt;=5,2,IF(HR_Data[[#This Row],[YearsAtCompany]]&lt;=10,3,4)))</f>
        <v>3</v>
      </c>
      <c r="AK1065" s="1" t="str">
        <f>CHOOSE(HR_Data[[#This Row],[Education]],"Below College","College","Bachelor","Master","Doctor")</f>
        <v>Bachelor</v>
      </c>
      <c r="AL1065" s="1" t="str">
        <f>CHOOSE(HR_Data[[#This Row],[JobSatisfaction]],"Low","Medium","High","Very High")</f>
        <v>High</v>
      </c>
      <c r="AM1065" s="1" t="str">
        <f>CHOOSE(HR_Data[[#This Row],[EnvironmentSatisfaction]],"Low","Medium","High","Very High")</f>
        <v>High</v>
      </c>
      <c r="AN1065" s="1" t="str">
        <f>CHOOSE(HR_Data[[#This Row],[WorkLifeBalance]],"Bad","Good","Better","Best")</f>
        <v>Better</v>
      </c>
      <c r="AO1065" s="1" t="str">
        <f>IF(HR_Data[[#This Row],[PercentSalaryHike]]&lt;=13,"11-13%",IF(HR_Data[[#This Row],[PercentSalaryHike]]&lt;=16,"14-16%",IF(HR_Data[[#This Row],[PercentSalaryHike]]&lt;=19,"17-19%","20-25%")))</f>
        <v>14-16%</v>
      </c>
      <c r="AP1065" s="1">
        <f>IF(HR_Data[[#This Row],[PercentSalaryHike]]&lt;=13,1,IF(HR_Data[[#This Row],[PercentSalaryHike]]&lt;=16,2,IF(HR_Data[[#This Row],[PercentSalaryHike]]&lt;=19,3,4)))</f>
        <v>2</v>
      </c>
      <c r="AQ1065" s="1" t="str">
        <f>IF(HR_Data[[#This Row],[DistanceFromHome]]&lt;=5,"1 to 5",IF(HR_Data[[#This Row],[DistanceFromHome]]&lt;=10,"6 to 10",IF(HR_Data[[#This Row],[DistanceFromHome]]&lt;=20,"11 to 20","21 to 29")))</f>
        <v>11 to 20</v>
      </c>
      <c r="AR1065" s="1">
        <f>IF(HR_Data[[#This Row],[DistanceFromHome]]&lt;=5,1,IF(HR_Data[[#This Row],[DistanceFromHome]]&lt;=10,2,IF(HR_Data[[#This Row],[DistanceFromHome]]&lt;=20,3,4)))</f>
        <v>3</v>
      </c>
      <c r="AS1065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065" s="1">
        <f>IF(HR_Data[[#This Row],[TotalWorkingYears]]&lt;=5,1,IF(HR_Data[[#This Row],[TotalWorkingYears]]&lt;=10,2,IF(HR_Data[[#This Row],[TotalWorkingYears]]&lt;=20,3,4)))</f>
        <v>2</v>
      </c>
    </row>
    <row r="1066" spans="1:46" x14ac:dyDescent="0.25">
      <c r="A1066">
        <v>30</v>
      </c>
      <c r="B1066" t="s">
        <v>36</v>
      </c>
      <c r="C1066" t="s">
        <v>30</v>
      </c>
      <c r="D1066" t="s">
        <v>54</v>
      </c>
      <c r="E1066">
        <v>1</v>
      </c>
      <c r="F1066">
        <v>3</v>
      </c>
      <c r="G1066" t="s">
        <v>32</v>
      </c>
      <c r="H1066">
        <v>1499</v>
      </c>
      <c r="I1066">
        <v>3</v>
      </c>
      <c r="J1066" t="s">
        <v>39</v>
      </c>
      <c r="K1066">
        <v>3</v>
      </c>
      <c r="L1066">
        <v>1</v>
      </c>
      <c r="M1066" t="s">
        <v>54</v>
      </c>
      <c r="N1066">
        <v>3</v>
      </c>
      <c r="O1066" t="s">
        <v>45</v>
      </c>
      <c r="P1066">
        <v>2064</v>
      </c>
      <c r="Q1066">
        <v>0</v>
      </c>
      <c r="R1066" t="s">
        <v>36</v>
      </c>
      <c r="S1066">
        <v>21</v>
      </c>
      <c r="T1066">
        <v>4</v>
      </c>
      <c r="U1066">
        <v>1</v>
      </c>
      <c r="V1066">
        <v>1</v>
      </c>
      <c r="W1066">
        <v>6</v>
      </c>
      <c r="X1066">
        <v>3</v>
      </c>
      <c r="Y1066">
        <v>4</v>
      </c>
      <c r="Z1066">
        <v>5</v>
      </c>
      <c r="AA1066">
        <v>3</v>
      </c>
      <c r="AB1066">
        <v>1</v>
      </c>
      <c r="AC1066">
        <v>3</v>
      </c>
      <c r="AD1066">
        <f>IF(HR_Data[[#This Row],[Attrition]]="Yes",1,0)</f>
        <v>0</v>
      </c>
      <c r="AE1066" t="str">
        <f>IF(HR_Data[[#This Row],[Age]]&lt;=25,"18-25",IF(HR_Data[[#This Row],[Age]]&lt;=35,"26-35",IF(HR_Data[[#This Row],[Age]]&lt;=45,"36-45",IF(HR_Data[[#This Row],[Age]]&lt;=55,"46-55","55+"))))</f>
        <v>26-35</v>
      </c>
      <c r="AF1066">
        <f>IF(HR_Data[[#This Row],[Age]]&lt;=25,1,IF(HR_Data[[#This Row],[Age]]&lt;=35,2,IF(HR_Data[[#This Row],[Age]]&lt;=45,3,IF(HR_Data[[#This Row],[Age]]&lt;=55,4,5))))</f>
        <v>2</v>
      </c>
      <c r="AG1066" s="1" t="str">
        <f>IF(HR_Data[[#This Row],[MonthlyIncome]]&lt;3000,"&lt;3K",IF(HR_Data[[#This Row],[MonthlyIncome]]&lt;6000,"3K-6K",IF(HR_Data[[#This Row],[MonthlyIncome]]&lt;10000,"6K-10K","10K+")))</f>
        <v>&lt;3K</v>
      </c>
      <c r="AH1066" s="1">
        <f>IF(HR_Data[[#This Row],[MonthlyIncome]]&lt;3000,1,IF(HR_Data[[#This Row],[MonthlyIncome]]&lt;6000,2,IF(HR_Data[[#This Row],[MonthlyIncome]]&lt;10000,3,4)))</f>
        <v>1</v>
      </c>
      <c r="AI1066" s="1" t="str">
        <f>IF(HR_Data[[#This Row],[YearsAtCompany]]&lt;=2,"0-2 Yrs",IF(HR_Data[[#This Row],[YearsAtCompany]]&lt;=5,"3-5 Yrs",IF(HR_Data[[#This Row],[YearsAtCompany]]&lt;=10,"6-10 Yrs","10+ Yrs")))</f>
        <v>3-5 Yrs</v>
      </c>
      <c r="AJ1066" s="1">
        <f>IF(HR_Data[[#This Row],[YearsAtCompany]]&lt;=2,1,IF(HR_Data[[#This Row],[YearsAtCompany]]&lt;=5,2,IF(HR_Data[[#This Row],[YearsAtCompany]]&lt;=10,3,4)))</f>
        <v>2</v>
      </c>
      <c r="AK1066" s="1" t="str">
        <f>CHOOSE(HR_Data[[#This Row],[Education]],"Below College","College","Bachelor","Master","Doctor")</f>
        <v>Bachelor</v>
      </c>
      <c r="AL1066" s="1" t="str">
        <f>CHOOSE(HR_Data[[#This Row],[JobSatisfaction]],"Low","Medium","High","Very High")</f>
        <v>High</v>
      </c>
      <c r="AM1066" s="1" t="str">
        <f>CHOOSE(HR_Data[[#This Row],[EnvironmentSatisfaction]],"Low","Medium","High","Very High")</f>
        <v>High</v>
      </c>
      <c r="AN1066" s="1" t="str">
        <f>CHOOSE(HR_Data[[#This Row],[WorkLifeBalance]],"Bad","Good","Better","Best")</f>
        <v>Best</v>
      </c>
      <c r="AO1066" s="1" t="str">
        <f>IF(HR_Data[[#This Row],[PercentSalaryHike]]&lt;=13,"11-13%",IF(HR_Data[[#This Row],[PercentSalaryHike]]&lt;=16,"14-16%",IF(HR_Data[[#This Row],[PercentSalaryHike]]&lt;=19,"17-19%","20-25%")))</f>
        <v>20-25%</v>
      </c>
      <c r="AP1066" s="1">
        <f>IF(HR_Data[[#This Row],[PercentSalaryHike]]&lt;=13,1,IF(HR_Data[[#This Row],[PercentSalaryHike]]&lt;=16,2,IF(HR_Data[[#This Row],[PercentSalaryHike]]&lt;=19,3,4)))</f>
        <v>4</v>
      </c>
      <c r="AQ1066" s="1" t="str">
        <f>IF(HR_Data[[#This Row],[DistanceFromHome]]&lt;=5,"1 to 5",IF(HR_Data[[#This Row],[DistanceFromHome]]&lt;=10,"6 to 10",IF(HR_Data[[#This Row],[DistanceFromHome]]&lt;=20,"11 to 20","21 to 29")))</f>
        <v>1 to 5</v>
      </c>
      <c r="AR1066" s="1">
        <f>IF(HR_Data[[#This Row],[DistanceFromHome]]&lt;=5,1,IF(HR_Data[[#This Row],[DistanceFromHome]]&lt;=10,2,IF(HR_Data[[#This Row],[DistanceFromHome]]&lt;=20,3,4)))</f>
        <v>1</v>
      </c>
      <c r="AS1066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066" s="1">
        <f>IF(HR_Data[[#This Row],[TotalWorkingYears]]&lt;=5,1,IF(HR_Data[[#This Row],[TotalWorkingYears]]&lt;=10,2,IF(HR_Data[[#This Row],[TotalWorkingYears]]&lt;=20,3,4)))</f>
        <v>2</v>
      </c>
    </row>
    <row r="1067" spans="1:46" x14ac:dyDescent="0.25">
      <c r="A1067">
        <v>55</v>
      </c>
      <c r="B1067" t="s">
        <v>36</v>
      </c>
      <c r="C1067" t="s">
        <v>30</v>
      </c>
      <c r="D1067" t="s">
        <v>38</v>
      </c>
      <c r="E1067">
        <v>4</v>
      </c>
      <c r="F1067">
        <v>4</v>
      </c>
      <c r="G1067" t="s">
        <v>32</v>
      </c>
      <c r="H1067">
        <v>1501</v>
      </c>
      <c r="I1067">
        <v>4</v>
      </c>
      <c r="J1067" t="s">
        <v>39</v>
      </c>
      <c r="K1067">
        <v>3</v>
      </c>
      <c r="L1067">
        <v>2</v>
      </c>
      <c r="M1067" t="s">
        <v>47</v>
      </c>
      <c r="N1067">
        <v>3</v>
      </c>
      <c r="O1067" t="s">
        <v>41</v>
      </c>
      <c r="P1067">
        <v>4035</v>
      </c>
      <c r="Q1067">
        <v>0</v>
      </c>
      <c r="R1067" t="s">
        <v>29</v>
      </c>
      <c r="S1067">
        <v>16</v>
      </c>
      <c r="T1067">
        <v>3</v>
      </c>
      <c r="U1067">
        <v>2</v>
      </c>
      <c r="V1067">
        <v>0</v>
      </c>
      <c r="W1067">
        <v>4</v>
      </c>
      <c r="X1067">
        <v>2</v>
      </c>
      <c r="Y1067">
        <v>3</v>
      </c>
      <c r="Z1067">
        <v>3</v>
      </c>
      <c r="AA1067">
        <v>2</v>
      </c>
      <c r="AB1067">
        <v>1</v>
      </c>
      <c r="AC1067">
        <v>2</v>
      </c>
      <c r="AD1067">
        <f>IF(HR_Data[[#This Row],[Attrition]]="Yes",1,0)</f>
        <v>0</v>
      </c>
      <c r="AE1067" t="str">
        <f>IF(HR_Data[[#This Row],[Age]]&lt;=25,"18-25",IF(HR_Data[[#This Row],[Age]]&lt;=35,"26-35",IF(HR_Data[[#This Row],[Age]]&lt;=45,"36-45",IF(HR_Data[[#This Row],[Age]]&lt;=55,"46-55","55+"))))</f>
        <v>46-55</v>
      </c>
      <c r="AF1067">
        <f>IF(HR_Data[[#This Row],[Age]]&lt;=25,1,IF(HR_Data[[#This Row],[Age]]&lt;=35,2,IF(HR_Data[[#This Row],[Age]]&lt;=45,3,IF(HR_Data[[#This Row],[Age]]&lt;=55,4,5))))</f>
        <v>4</v>
      </c>
      <c r="AG1067" s="1" t="str">
        <f>IF(HR_Data[[#This Row],[MonthlyIncome]]&lt;3000,"&lt;3K",IF(HR_Data[[#This Row],[MonthlyIncome]]&lt;6000,"3K-6K",IF(HR_Data[[#This Row],[MonthlyIncome]]&lt;10000,"6K-10K","10K+")))</f>
        <v>3K-6K</v>
      </c>
      <c r="AH1067" s="1">
        <f>IF(HR_Data[[#This Row],[MonthlyIncome]]&lt;3000,1,IF(HR_Data[[#This Row],[MonthlyIncome]]&lt;6000,2,IF(HR_Data[[#This Row],[MonthlyIncome]]&lt;10000,3,4)))</f>
        <v>2</v>
      </c>
      <c r="AI1067" s="1" t="str">
        <f>IF(HR_Data[[#This Row],[YearsAtCompany]]&lt;=2,"0-2 Yrs",IF(HR_Data[[#This Row],[YearsAtCompany]]&lt;=5,"3-5 Yrs",IF(HR_Data[[#This Row],[YearsAtCompany]]&lt;=10,"6-10 Yrs","10+ Yrs")))</f>
        <v>3-5 Yrs</v>
      </c>
      <c r="AJ1067" s="1">
        <f>IF(HR_Data[[#This Row],[YearsAtCompany]]&lt;=2,1,IF(HR_Data[[#This Row],[YearsAtCompany]]&lt;=5,2,IF(HR_Data[[#This Row],[YearsAtCompany]]&lt;=10,3,4)))</f>
        <v>2</v>
      </c>
      <c r="AK1067" s="1" t="str">
        <f>CHOOSE(HR_Data[[#This Row],[Education]],"Below College","College","Bachelor","Master","Doctor")</f>
        <v>Master</v>
      </c>
      <c r="AL1067" s="1" t="str">
        <f>CHOOSE(HR_Data[[#This Row],[JobSatisfaction]],"Low","Medium","High","Very High")</f>
        <v>High</v>
      </c>
      <c r="AM1067" s="1" t="str">
        <f>CHOOSE(HR_Data[[#This Row],[EnvironmentSatisfaction]],"Low","Medium","High","Very High")</f>
        <v>Very High</v>
      </c>
      <c r="AN1067" s="1" t="str">
        <f>CHOOSE(HR_Data[[#This Row],[WorkLifeBalance]],"Bad","Good","Better","Best")</f>
        <v>Better</v>
      </c>
      <c r="AO1067" s="1" t="str">
        <f>IF(HR_Data[[#This Row],[PercentSalaryHike]]&lt;=13,"11-13%",IF(HR_Data[[#This Row],[PercentSalaryHike]]&lt;=16,"14-16%",IF(HR_Data[[#This Row],[PercentSalaryHike]]&lt;=19,"17-19%","20-25%")))</f>
        <v>14-16%</v>
      </c>
      <c r="AP1067" s="1">
        <f>IF(HR_Data[[#This Row],[PercentSalaryHike]]&lt;=13,1,IF(HR_Data[[#This Row],[PercentSalaryHike]]&lt;=16,2,IF(HR_Data[[#This Row],[PercentSalaryHike]]&lt;=19,3,4)))</f>
        <v>2</v>
      </c>
      <c r="AQ1067" s="1" t="str">
        <f>IF(HR_Data[[#This Row],[DistanceFromHome]]&lt;=5,"1 to 5",IF(HR_Data[[#This Row],[DistanceFromHome]]&lt;=10,"6 to 10",IF(HR_Data[[#This Row],[DistanceFromHome]]&lt;=20,"11 to 20","21 to 29")))</f>
        <v>1 to 5</v>
      </c>
      <c r="AR1067" s="1">
        <f>IF(HR_Data[[#This Row],[DistanceFromHome]]&lt;=5,1,IF(HR_Data[[#This Row],[DistanceFromHome]]&lt;=10,2,IF(HR_Data[[#This Row],[DistanceFromHome]]&lt;=20,3,4)))</f>
        <v>1</v>
      </c>
      <c r="AS1067" s="1" t="str">
        <f>IF(HR_Data[[#This Row],[TotalWorkingYears]]&lt;=5,"0-5 Yrs",IF(HR_Data[[#This Row],[TotalWorkingYears]]&lt;=10,"6-10 Yrs",IF(HR_Data[[#This Row],[TotalWorkingYears]]&lt;=20,"11-20 Yrs","20+ Yrs")))</f>
        <v>0-5 Yrs</v>
      </c>
      <c r="AT1067" s="1">
        <f>IF(HR_Data[[#This Row],[TotalWorkingYears]]&lt;=5,1,IF(HR_Data[[#This Row],[TotalWorkingYears]]&lt;=10,2,IF(HR_Data[[#This Row],[TotalWorkingYears]]&lt;=20,3,4)))</f>
        <v>1</v>
      </c>
    </row>
    <row r="1068" spans="1:46" x14ac:dyDescent="0.25">
      <c r="A1068">
        <v>33</v>
      </c>
      <c r="B1068" t="s">
        <v>36</v>
      </c>
      <c r="C1068" t="s">
        <v>30</v>
      </c>
      <c r="D1068" t="s">
        <v>38</v>
      </c>
      <c r="E1068">
        <v>4</v>
      </c>
      <c r="F1068">
        <v>4</v>
      </c>
      <c r="G1068" t="s">
        <v>44</v>
      </c>
      <c r="H1068">
        <v>1502</v>
      </c>
      <c r="I1068">
        <v>1</v>
      </c>
      <c r="J1068" t="s">
        <v>33</v>
      </c>
      <c r="K1068">
        <v>2</v>
      </c>
      <c r="L1068">
        <v>1</v>
      </c>
      <c r="M1068" t="s">
        <v>43</v>
      </c>
      <c r="N1068">
        <v>2</v>
      </c>
      <c r="O1068" t="s">
        <v>41</v>
      </c>
      <c r="P1068">
        <v>3838</v>
      </c>
      <c r="Q1068">
        <v>8</v>
      </c>
      <c r="R1068" t="s">
        <v>36</v>
      </c>
      <c r="S1068">
        <v>11</v>
      </c>
      <c r="T1068">
        <v>3</v>
      </c>
      <c r="U1068">
        <v>4</v>
      </c>
      <c r="V1068">
        <v>0</v>
      </c>
      <c r="W1068">
        <v>8</v>
      </c>
      <c r="X1068">
        <v>5</v>
      </c>
      <c r="Y1068">
        <v>3</v>
      </c>
      <c r="Z1068">
        <v>5</v>
      </c>
      <c r="AA1068">
        <v>4</v>
      </c>
      <c r="AB1068">
        <v>0</v>
      </c>
      <c r="AC1068">
        <v>2</v>
      </c>
      <c r="AD1068">
        <f>IF(HR_Data[[#This Row],[Attrition]]="Yes",1,0)</f>
        <v>0</v>
      </c>
      <c r="AE1068" t="str">
        <f>IF(HR_Data[[#This Row],[Age]]&lt;=25,"18-25",IF(HR_Data[[#This Row],[Age]]&lt;=35,"26-35",IF(HR_Data[[#This Row],[Age]]&lt;=45,"36-45",IF(HR_Data[[#This Row],[Age]]&lt;=55,"46-55","55+"))))</f>
        <v>26-35</v>
      </c>
      <c r="AF1068">
        <f>IF(HR_Data[[#This Row],[Age]]&lt;=25,1,IF(HR_Data[[#This Row],[Age]]&lt;=35,2,IF(HR_Data[[#This Row],[Age]]&lt;=45,3,IF(HR_Data[[#This Row],[Age]]&lt;=55,4,5))))</f>
        <v>2</v>
      </c>
      <c r="AG1068" s="1" t="str">
        <f>IF(HR_Data[[#This Row],[MonthlyIncome]]&lt;3000,"&lt;3K",IF(HR_Data[[#This Row],[MonthlyIncome]]&lt;6000,"3K-6K",IF(HR_Data[[#This Row],[MonthlyIncome]]&lt;10000,"6K-10K","10K+")))</f>
        <v>3K-6K</v>
      </c>
      <c r="AH1068" s="1">
        <f>IF(HR_Data[[#This Row],[MonthlyIncome]]&lt;3000,1,IF(HR_Data[[#This Row],[MonthlyIncome]]&lt;6000,2,IF(HR_Data[[#This Row],[MonthlyIncome]]&lt;10000,3,4)))</f>
        <v>2</v>
      </c>
      <c r="AI1068" s="1" t="str">
        <f>IF(HR_Data[[#This Row],[YearsAtCompany]]&lt;=2,"0-2 Yrs",IF(HR_Data[[#This Row],[YearsAtCompany]]&lt;=5,"3-5 Yrs",IF(HR_Data[[#This Row],[YearsAtCompany]]&lt;=10,"6-10 Yrs","10+ Yrs")))</f>
        <v>3-5 Yrs</v>
      </c>
      <c r="AJ1068" s="1">
        <f>IF(HR_Data[[#This Row],[YearsAtCompany]]&lt;=2,1,IF(HR_Data[[#This Row],[YearsAtCompany]]&lt;=5,2,IF(HR_Data[[#This Row],[YearsAtCompany]]&lt;=10,3,4)))</f>
        <v>2</v>
      </c>
      <c r="AK1068" s="1" t="str">
        <f>CHOOSE(HR_Data[[#This Row],[Education]],"Below College","College","Bachelor","Master","Doctor")</f>
        <v>Master</v>
      </c>
      <c r="AL1068" s="1" t="str">
        <f>CHOOSE(HR_Data[[#This Row],[JobSatisfaction]],"Low","Medium","High","Very High")</f>
        <v>Medium</v>
      </c>
      <c r="AM1068" s="1" t="str">
        <f>CHOOSE(HR_Data[[#This Row],[EnvironmentSatisfaction]],"Low","Medium","High","Very High")</f>
        <v>Low</v>
      </c>
      <c r="AN1068" s="1" t="str">
        <f>CHOOSE(HR_Data[[#This Row],[WorkLifeBalance]],"Bad","Good","Better","Best")</f>
        <v>Better</v>
      </c>
      <c r="AO1068" s="1" t="str">
        <f>IF(HR_Data[[#This Row],[PercentSalaryHike]]&lt;=13,"11-13%",IF(HR_Data[[#This Row],[PercentSalaryHike]]&lt;=16,"14-16%",IF(HR_Data[[#This Row],[PercentSalaryHike]]&lt;=19,"17-19%","20-25%")))</f>
        <v>11-13%</v>
      </c>
      <c r="AP1068" s="1">
        <f>IF(HR_Data[[#This Row],[PercentSalaryHike]]&lt;=13,1,IF(HR_Data[[#This Row],[PercentSalaryHike]]&lt;=16,2,IF(HR_Data[[#This Row],[PercentSalaryHike]]&lt;=19,3,4)))</f>
        <v>1</v>
      </c>
      <c r="AQ1068" s="1" t="str">
        <f>IF(HR_Data[[#This Row],[DistanceFromHome]]&lt;=5,"1 to 5",IF(HR_Data[[#This Row],[DistanceFromHome]]&lt;=10,"6 to 10",IF(HR_Data[[#This Row],[DistanceFromHome]]&lt;=20,"11 to 20","21 to 29")))</f>
        <v>1 to 5</v>
      </c>
      <c r="AR1068" s="1">
        <f>IF(HR_Data[[#This Row],[DistanceFromHome]]&lt;=5,1,IF(HR_Data[[#This Row],[DistanceFromHome]]&lt;=10,2,IF(HR_Data[[#This Row],[DistanceFromHome]]&lt;=20,3,4)))</f>
        <v>1</v>
      </c>
      <c r="AS1068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068" s="1">
        <f>IF(HR_Data[[#This Row],[TotalWorkingYears]]&lt;=5,1,IF(HR_Data[[#This Row],[TotalWorkingYears]]&lt;=10,2,IF(HR_Data[[#This Row],[TotalWorkingYears]]&lt;=20,3,4)))</f>
        <v>2</v>
      </c>
    </row>
    <row r="1069" spans="1:46" x14ac:dyDescent="0.25">
      <c r="A1069">
        <v>47</v>
      </c>
      <c r="B1069" t="s">
        <v>36</v>
      </c>
      <c r="C1069" t="s">
        <v>30</v>
      </c>
      <c r="D1069" t="s">
        <v>31</v>
      </c>
      <c r="E1069">
        <v>14</v>
      </c>
      <c r="F1069">
        <v>3</v>
      </c>
      <c r="G1069" t="s">
        <v>44</v>
      </c>
      <c r="H1069">
        <v>1503</v>
      </c>
      <c r="I1069">
        <v>3</v>
      </c>
      <c r="J1069" t="s">
        <v>33</v>
      </c>
      <c r="K1069">
        <v>3</v>
      </c>
      <c r="L1069">
        <v>2</v>
      </c>
      <c r="M1069" t="s">
        <v>34</v>
      </c>
      <c r="N1069">
        <v>3</v>
      </c>
      <c r="O1069" t="s">
        <v>41</v>
      </c>
      <c r="P1069">
        <v>4591</v>
      </c>
      <c r="Q1069">
        <v>3</v>
      </c>
      <c r="R1069" t="s">
        <v>29</v>
      </c>
      <c r="S1069">
        <v>17</v>
      </c>
      <c r="T1069">
        <v>3</v>
      </c>
      <c r="U1069">
        <v>3</v>
      </c>
      <c r="V1069">
        <v>1</v>
      </c>
      <c r="W1069">
        <v>11</v>
      </c>
      <c r="X1069">
        <v>4</v>
      </c>
      <c r="Y1069">
        <v>2</v>
      </c>
      <c r="Z1069">
        <v>5</v>
      </c>
      <c r="AA1069">
        <v>4</v>
      </c>
      <c r="AB1069">
        <v>1</v>
      </c>
      <c r="AC1069">
        <v>2</v>
      </c>
      <c r="AD1069">
        <f>IF(HR_Data[[#This Row],[Attrition]]="Yes",1,0)</f>
        <v>0</v>
      </c>
      <c r="AE1069" t="str">
        <f>IF(HR_Data[[#This Row],[Age]]&lt;=25,"18-25",IF(HR_Data[[#This Row],[Age]]&lt;=35,"26-35",IF(HR_Data[[#This Row],[Age]]&lt;=45,"36-45",IF(HR_Data[[#This Row],[Age]]&lt;=55,"46-55","55+"))))</f>
        <v>46-55</v>
      </c>
      <c r="AF1069">
        <f>IF(HR_Data[[#This Row],[Age]]&lt;=25,1,IF(HR_Data[[#This Row],[Age]]&lt;=35,2,IF(HR_Data[[#This Row],[Age]]&lt;=45,3,IF(HR_Data[[#This Row],[Age]]&lt;=55,4,5))))</f>
        <v>4</v>
      </c>
      <c r="AG1069" s="1" t="str">
        <f>IF(HR_Data[[#This Row],[MonthlyIncome]]&lt;3000,"&lt;3K",IF(HR_Data[[#This Row],[MonthlyIncome]]&lt;6000,"3K-6K",IF(HR_Data[[#This Row],[MonthlyIncome]]&lt;10000,"6K-10K","10K+")))</f>
        <v>3K-6K</v>
      </c>
      <c r="AH1069" s="1">
        <f>IF(HR_Data[[#This Row],[MonthlyIncome]]&lt;3000,1,IF(HR_Data[[#This Row],[MonthlyIncome]]&lt;6000,2,IF(HR_Data[[#This Row],[MonthlyIncome]]&lt;10000,3,4)))</f>
        <v>2</v>
      </c>
      <c r="AI1069" s="1" t="str">
        <f>IF(HR_Data[[#This Row],[YearsAtCompany]]&lt;=2,"0-2 Yrs",IF(HR_Data[[#This Row],[YearsAtCompany]]&lt;=5,"3-5 Yrs",IF(HR_Data[[#This Row],[YearsAtCompany]]&lt;=10,"6-10 Yrs","10+ Yrs")))</f>
        <v>3-5 Yrs</v>
      </c>
      <c r="AJ1069" s="1">
        <f>IF(HR_Data[[#This Row],[YearsAtCompany]]&lt;=2,1,IF(HR_Data[[#This Row],[YearsAtCompany]]&lt;=5,2,IF(HR_Data[[#This Row],[YearsAtCompany]]&lt;=10,3,4)))</f>
        <v>2</v>
      </c>
      <c r="AK1069" s="1" t="str">
        <f>CHOOSE(HR_Data[[#This Row],[Education]],"Below College","College","Bachelor","Master","Doctor")</f>
        <v>Bachelor</v>
      </c>
      <c r="AL1069" s="1" t="str">
        <f>CHOOSE(HR_Data[[#This Row],[JobSatisfaction]],"Low","Medium","High","Very High")</f>
        <v>High</v>
      </c>
      <c r="AM1069" s="1" t="str">
        <f>CHOOSE(HR_Data[[#This Row],[EnvironmentSatisfaction]],"Low","Medium","High","Very High")</f>
        <v>High</v>
      </c>
      <c r="AN1069" s="1" t="str">
        <f>CHOOSE(HR_Data[[#This Row],[WorkLifeBalance]],"Bad","Good","Better","Best")</f>
        <v>Good</v>
      </c>
      <c r="AO1069" s="1" t="str">
        <f>IF(HR_Data[[#This Row],[PercentSalaryHike]]&lt;=13,"11-13%",IF(HR_Data[[#This Row],[PercentSalaryHike]]&lt;=16,"14-16%",IF(HR_Data[[#This Row],[PercentSalaryHike]]&lt;=19,"17-19%","20-25%")))</f>
        <v>17-19%</v>
      </c>
      <c r="AP1069" s="1">
        <f>IF(HR_Data[[#This Row],[PercentSalaryHike]]&lt;=13,1,IF(HR_Data[[#This Row],[PercentSalaryHike]]&lt;=16,2,IF(HR_Data[[#This Row],[PercentSalaryHike]]&lt;=19,3,4)))</f>
        <v>3</v>
      </c>
      <c r="AQ1069" s="1" t="str">
        <f>IF(HR_Data[[#This Row],[DistanceFromHome]]&lt;=5,"1 to 5",IF(HR_Data[[#This Row],[DistanceFromHome]]&lt;=10,"6 to 10",IF(HR_Data[[#This Row],[DistanceFromHome]]&lt;=20,"11 to 20","21 to 29")))</f>
        <v>11 to 20</v>
      </c>
      <c r="AR1069" s="1">
        <f>IF(HR_Data[[#This Row],[DistanceFromHome]]&lt;=5,1,IF(HR_Data[[#This Row],[DistanceFromHome]]&lt;=10,2,IF(HR_Data[[#This Row],[DistanceFromHome]]&lt;=20,3,4)))</f>
        <v>3</v>
      </c>
      <c r="AS1069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069" s="1">
        <f>IF(HR_Data[[#This Row],[TotalWorkingYears]]&lt;=5,1,IF(HR_Data[[#This Row],[TotalWorkingYears]]&lt;=10,2,IF(HR_Data[[#This Row],[TotalWorkingYears]]&lt;=20,3,4)))</f>
        <v>3</v>
      </c>
    </row>
    <row r="1070" spans="1:46" x14ac:dyDescent="0.25">
      <c r="A1070">
        <v>28</v>
      </c>
      <c r="B1070" t="s">
        <v>29</v>
      </c>
      <c r="C1070" t="s">
        <v>37</v>
      </c>
      <c r="D1070" t="s">
        <v>38</v>
      </c>
      <c r="E1070">
        <v>2</v>
      </c>
      <c r="F1070">
        <v>2</v>
      </c>
      <c r="G1070" t="s">
        <v>44</v>
      </c>
      <c r="H1070">
        <v>1504</v>
      </c>
      <c r="I1070">
        <v>3</v>
      </c>
      <c r="J1070" t="s">
        <v>39</v>
      </c>
      <c r="K1070">
        <v>2</v>
      </c>
      <c r="L1070">
        <v>1</v>
      </c>
      <c r="M1070" t="s">
        <v>43</v>
      </c>
      <c r="N1070">
        <v>1</v>
      </c>
      <c r="O1070" t="s">
        <v>35</v>
      </c>
      <c r="P1070">
        <v>2561</v>
      </c>
      <c r="Q1070">
        <v>7</v>
      </c>
      <c r="R1070" t="s">
        <v>36</v>
      </c>
      <c r="S1070">
        <v>11</v>
      </c>
      <c r="T1070">
        <v>3</v>
      </c>
      <c r="U1070">
        <v>3</v>
      </c>
      <c r="V1070">
        <v>0</v>
      </c>
      <c r="W1070">
        <v>8</v>
      </c>
      <c r="X1070">
        <v>2</v>
      </c>
      <c r="Y1070">
        <v>2</v>
      </c>
      <c r="Z1070">
        <v>0</v>
      </c>
      <c r="AA1070">
        <v>0</v>
      </c>
      <c r="AB1070">
        <v>0</v>
      </c>
      <c r="AC1070">
        <v>0</v>
      </c>
      <c r="AD1070">
        <f>IF(HR_Data[[#This Row],[Attrition]]="Yes",1,0)</f>
        <v>1</v>
      </c>
      <c r="AE1070" t="str">
        <f>IF(HR_Data[[#This Row],[Age]]&lt;=25,"18-25",IF(HR_Data[[#This Row],[Age]]&lt;=35,"26-35",IF(HR_Data[[#This Row],[Age]]&lt;=45,"36-45",IF(HR_Data[[#This Row],[Age]]&lt;=55,"46-55","55+"))))</f>
        <v>26-35</v>
      </c>
      <c r="AF1070">
        <f>IF(HR_Data[[#This Row],[Age]]&lt;=25,1,IF(HR_Data[[#This Row],[Age]]&lt;=35,2,IF(HR_Data[[#This Row],[Age]]&lt;=45,3,IF(HR_Data[[#This Row],[Age]]&lt;=55,4,5))))</f>
        <v>2</v>
      </c>
      <c r="AG1070" s="1" t="str">
        <f>IF(HR_Data[[#This Row],[MonthlyIncome]]&lt;3000,"&lt;3K",IF(HR_Data[[#This Row],[MonthlyIncome]]&lt;6000,"3K-6K",IF(HR_Data[[#This Row],[MonthlyIncome]]&lt;10000,"6K-10K","10K+")))</f>
        <v>&lt;3K</v>
      </c>
      <c r="AH1070" s="1">
        <f>IF(HR_Data[[#This Row],[MonthlyIncome]]&lt;3000,1,IF(HR_Data[[#This Row],[MonthlyIncome]]&lt;6000,2,IF(HR_Data[[#This Row],[MonthlyIncome]]&lt;10000,3,4)))</f>
        <v>1</v>
      </c>
      <c r="AI1070" s="1" t="str">
        <f>IF(HR_Data[[#This Row],[YearsAtCompany]]&lt;=2,"0-2 Yrs",IF(HR_Data[[#This Row],[YearsAtCompany]]&lt;=5,"3-5 Yrs",IF(HR_Data[[#This Row],[YearsAtCompany]]&lt;=10,"6-10 Yrs","10+ Yrs")))</f>
        <v>0-2 Yrs</v>
      </c>
      <c r="AJ1070" s="1">
        <f>IF(HR_Data[[#This Row],[YearsAtCompany]]&lt;=2,1,IF(HR_Data[[#This Row],[YearsAtCompany]]&lt;=5,2,IF(HR_Data[[#This Row],[YearsAtCompany]]&lt;=10,3,4)))</f>
        <v>1</v>
      </c>
      <c r="AK1070" s="1" t="str">
        <f>CHOOSE(HR_Data[[#This Row],[Education]],"Below College","College","Bachelor","Master","Doctor")</f>
        <v>College</v>
      </c>
      <c r="AL1070" s="1" t="str">
        <f>CHOOSE(HR_Data[[#This Row],[JobSatisfaction]],"Low","Medium","High","Very High")</f>
        <v>Low</v>
      </c>
      <c r="AM1070" s="1" t="str">
        <f>CHOOSE(HR_Data[[#This Row],[EnvironmentSatisfaction]],"Low","Medium","High","Very High")</f>
        <v>High</v>
      </c>
      <c r="AN1070" s="1" t="str">
        <f>CHOOSE(HR_Data[[#This Row],[WorkLifeBalance]],"Bad","Good","Better","Best")</f>
        <v>Good</v>
      </c>
      <c r="AO1070" s="1" t="str">
        <f>IF(HR_Data[[#This Row],[PercentSalaryHike]]&lt;=13,"11-13%",IF(HR_Data[[#This Row],[PercentSalaryHike]]&lt;=16,"14-16%",IF(HR_Data[[#This Row],[PercentSalaryHike]]&lt;=19,"17-19%","20-25%")))</f>
        <v>11-13%</v>
      </c>
      <c r="AP1070" s="1">
        <f>IF(HR_Data[[#This Row],[PercentSalaryHike]]&lt;=13,1,IF(HR_Data[[#This Row],[PercentSalaryHike]]&lt;=16,2,IF(HR_Data[[#This Row],[PercentSalaryHike]]&lt;=19,3,4)))</f>
        <v>1</v>
      </c>
      <c r="AQ1070" s="1" t="str">
        <f>IF(HR_Data[[#This Row],[DistanceFromHome]]&lt;=5,"1 to 5",IF(HR_Data[[#This Row],[DistanceFromHome]]&lt;=10,"6 to 10",IF(HR_Data[[#This Row],[DistanceFromHome]]&lt;=20,"11 to 20","21 to 29")))</f>
        <v>1 to 5</v>
      </c>
      <c r="AR1070" s="1">
        <f>IF(HR_Data[[#This Row],[DistanceFromHome]]&lt;=5,1,IF(HR_Data[[#This Row],[DistanceFromHome]]&lt;=10,2,IF(HR_Data[[#This Row],[DistanceFromHome]]&lt;=20,3,4)))</f>
        <v>1</v>
      </c>
      <c r="AS1070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070" s="1">
        <f>IF(HR_Data[[#This Row],[TotalWorkingYears]]&lt;=5,1,IF(HR_Data[[#This Row],[TotalWorkingYears]]&lt;=10,2,IF(HR_Data[[#This Row],[TotalWorkingYears]]&lt;=20,3,4)))</f>
        <v>2</v>
      </c>
    </row>
    <row r="1071" spans="1:46" x14ac:dyDescent="0.25">
      <c r="A1071">
        <v>28</v>
      </c>
      <c r="B1071" t="s">
        <v>36</v>
      </c>
      <c r="C1071" t="s">
        <v>30</v>
      </c>
      <c r="D1071" t="s">
        <v>38</v>
      </c>
      <c r="E1071">
        <v>1</v>
      </c>
      <c r="F1071">
        <v>3</v>
      </c>
      <c r="G1071" t="s">
        <v>32</v>
      </c>
      <c r="H1071">
        <v>1506</v>
      </c>
      <c r="I1071">
        <v>1</v>
      </c>
      <c r="J1071" t="s">
        <v>39</v>
      </c>
      <c r="K1071">
        <v>2</v>
      </c>
      <c r="L1071">
        <v>1</v>
      </c>
      <c r="M1071" t="s">
        <v>40</v>
      </c>
      <c r="N1071">
        <v>3</v>
      </c>
      <c r="O1071" t="s">
        <v>45</v>
      </c>
      <c r="P1071">
        <v>1563</v>
      </c>
      <c r="Q1071">
        <v>1</v>
      </c>
      <c r="R1071" t="s">
        <v>36</v>
      </c>
      <c r="S1071">
        <v>14</v>
      </c>
      <c r="T1071">
        <v>3</v>
      </c>
      <c r="U1071">
        <v>4</v>
      </c>
      <c r="V1071">
        <v>1</v>
      </c>
      <c r="W1071">
        <v>1</v>
      </c>
      <c r="X1071">
        <v>2</v>
      </c>
      <c r="Y1071">
        <v>1</v>
      </c>
      <c r="Z1071">
        <v>1</v>
      </c>
      <c r="AA1071">
        <v>0</v>
      </c>
      <c r="AB1071">
        <v>0</v>
      </c>
      <c r="AC1071">
        <v>0</v>
      </c>
      <c r="AD1071">
        <f>IF(HR_Data[[#This Row],[Attrition]]="Yes",1,0)</f>
        <v>0</v>
      </c>
      <c r="AE1071" t="str">
        <f>IF(HR_Data[[#This Row],[Age]]&lt;=25,"18-25",IF(HR_Data[[#This Row],[Age]]&lt;=35,"26-35",IF(HR_Data[[#This Row],[Age]]&lt;=45,"36-45",IF(HR_Data[[#This Row],[Age]]&lt;=55,"46-55","55+"))))</f>
        <v>26-35</v>
      </c>
      <c r="AF1071">
        <f>IF(HR_Data[[#This Row],[Age]]&lt;=25,1,IF(HR_Data[[#This Row],[Age]]&lt;=35,2,IF(HR_Data[[#This Row],[Age]]&lt;=45,3,IF(HR_Data[[#This Row],[Age]]&lt;=55,4,5))))</f>
        <v>2</v>
      </c>
      <c r="AG1071" s="1" t="str">
        <f>IF(HR_Data[[#This Row],[MonthlyIncome]]&lt;3000,"&lt;3K",IF(HR_Data[[#This Row],[MonthlyIncome]]&lt;6000,"3K-6K",IF(HR_Data[[#This Row],[MonthlyIncome]]&lt;10000,"6K-10K","10K+")))</f>
        <v>&lt;3K</v>
      </c>
      <c r="AH1071" s="1">
        <f>IF(HR_Data[[#This Row],[MonthlyIncome]]&lt;3000,1,IF(HR_Data[[#This Row],[MonthlyIncome]]&lt;6000,2,IF(HR_Data[[#This Row],[MonthlyIncome]]&lt;10000,3,4)))</f>
        <v>1</v>
      </c>
      <c r="AI1071" s="1" t="str">
        <f>IF(HR_Data[[#This Row],[YearsAtCompany]]&lt;=2,"0-2 Yrs",IF(HR_Data[[#This Row],[YearsAtCompany]]&lt;=5,"3-5 Yrs",IF(HR_Data[[#This Row],[YearsAtCompany]]&lt;=10,"6-10 Yrs","10+ Yrs")))</f>
        <v>0-2 Yrs</v>
      </c>
      <c r="AJ1071" s="1">
        <f>IF(HR_Data[[#This Row],[YearsAtCompany]]&lt;=2,1,IF(HR_Data[[#This Row],[YearsAtCompany]]&lt;=5,2,IF(HR_Data[[#This Row],[YearsAtCompany]]&lt;=10,3,4)))</f>
        <v>1</v>
      </c>
      <c r="AK1071" s="1" t="str">
        <f>CHOOSE(HR_Data[[#This Row],[Education]],"Below College","College","Bachelor","Master","Doctor")</f>
        <v>Bachelor</v>
      </c>
      <c r="AL1071" s="1" t="str">
        <f>CHOOSE(HR_Data[[#This Row],[JobSatisfaction]],"Low","Medium","High","Very High")</f>
        <v>High</v>
      </c>
      <c r="AM1071" s="1" t="str">
        <f>CHOOSE(HR_Data[[#This Row],[EnvironmentSatisfaction]],"Low","Medium","High","Very High")</f>
        <v>Low</v>
      </c>
      <c r="AN1071" s="1" t="str">
        <f>CHOOSE(HR_Data[[#This Row],[WorkLifeBalance]],"Bad","Good","Better","Best")</f>
        <v>Bad</v>
      </c>
      <c r="AO1071" s="1" t="str">
        <f>IF(HR_Data[[#This Row],[PercentSalaryHike]]&lt;=13,"11-13%",IF(HR_Data[[#This Row],[PercentSalaryHike]]&lt;=16,"14-16%",IF(HR_Data[[#This Row],[PercentSalaryHike]]&lt;=19,"17-19%","20-25%")))</f>
        <v>14-16%</v>
      </c>
      <c r="AP1071" s="1">
        <f>IF(HR_Data[[#This Row],[PercentSalaryHike]]&lt;=13,1,IF(HR_Data[[#This Row],[PercentSalaryHike]]&lt;=16,2,IF(HR_Data[[#This Row],[PercentSalaryHike]]&lt;=19,3,4)))</f>
        <v>2</v>
      </c>
      <c r="AQ1071" s="1" t="str">
        <f>IF(HR_Data[[#This Row],[DistanceFromHome]]&lt;=5,"1 to 5",IF(HR_Data[[#This Row],[DistanceFromHome]]&lt;=10,"6 to 10",IF(HR_Data[[#This Row],[DistanceFromHome]]&lt;=20,"11 to 20","21 to 29")))</f>
        <v>1 to 5</v>
      </c>
      <c r="AR1071" s="1">
        <f>IF(HR_Data[[#This Row],[DistanceFromHome]]&lt;=5,1,IF(HR_Data[[#This Row],[DistanceFromHome]]&lt;=10,2,IF(HR_Data[[#This Row],[DistanceFromHome]]&lt;=20,3,4)))</f>
        <v>1</v>
      </c>
      <c r="AS1071" s="1" t="str">
        <f>IF(HR_Data[[#This Row],[TotalWorkingYears]]&lt;=5,"0-5 Yrs",IF(HR_Data[[#This Row],[TotalWorkingYears]]&lt;=10,"6-10 Yrs",IF(HR_Data[[#This Row],[TotalWorkingYears]]&lt;=20,"11-20 Yrs","20+ Yrs")))</f>
        <v>0-5 Yrs</v>
      </c>
      <c r="AT1071" s="1">
        <f>IF(HR_Data[[#This Row],[TotalWorkingYears]]&lt;=5,1,IF(HR_Data[[#This Row],[TotalWorkingYears]]&lt;=10,2,IF(HR_Data[[#This Row],[TotalWorkingYears]]&lt;=20,3,4)))</f>
        <v>1</v>
      </c>
    </row>
    <row r="1072" spans="1:46" x14ac:dyDescent="0.25">
      <c r="A1072">
        <v>28</v>
      </c>
      <c r="B1072" t="s">
        <v>36</v>
      </c>
      <c r="C1072" t="s">
        <v>37</v>
      </c>
      <c r="D1072" t="s">
        <v>31</v>
      </c>
      <c r="E1072">
        <v>7</v>
      </c>
      <c r="F1072">
        <v>3</v>
      </c>
      <c r="G1072" t="s">
        <v>32</v>
      </c>
      <c r="H1072">
        <v>1507</v>
      </c>
      <c r="I1072">
        <v>3</v>
      </c>
      <c r="J1072" t="s">
        <v>39</v>
      </c>
      <c r="K1072">
        <v>3</v>
      </c>
      <c r="L1072">
        <v>2</v>
      </c>
      <c r="M1072" t="s">
        <v>34</v>
      </c>
      <c r="N1072">
        <v>1</v>
      </c>
      <c r="O1072" t="s">
        <v>35</v>
      </c>
      <c r="P1072">
        <v>4898</v>
      </c>
      <c r="Q1072">
        <v>0</v>
      </c>
      <c r="R1072" t="s">
        <v>36</v>
      </c>
      <c r="S1072">
        <v>14</v>
      </c>
      <c r="T1072">
        <v>3</v>
      </c>
      <c r="U1072">
        <v>4</v>
      </c>
      <c r="V1072">
        <v>0</v>
      </c>
      <c r="W1072">
        <v>5</v>
      </c>
      <c r="X1072">
        <v>5</v>
      </c>
      <c r="Y1072">
        <v>3</v>
      </c>
      <c r="Z1072">
        <v>4</v>
      </c>
      <c r="AA1072">
        <v>2</v>
      </c>
      <c r="AB1072">
        <v>1</v>
      </c>
      <c r="AC1072">
        <v>3</v>
      </c>
      <c r="AD1072">
        <f>IF(HR_Data[[#This Row],[Attrition]]="Yes",1,0)</f>
        <v>0</v>
      </c>
      <c r="AE1072" t="str">
        <f>IF(HR_Data[[#This Row],[Age]]&lt;=25,"18-25",IF(HR_Data[[#This Row],[Age]]&lt;=35,"26-35",IF(HR_Data[[#This Row],[Age]]&lt;=45,"36-45",IF(HR_Data[[#This Row],[Age]]&lt;=55,"46-55","55+"))))</f>
        <v>26-35</v>
      </c>
      <c r="AF1072">
        <f>IF(HR_Data[[#This Row],[Age]]&lt;=25,1,IF(HR_Data[[#This Row],[Age]]&lt;=35,2,IF(HR_Data[[#This Row],[Age]]&lt;=45,3,IF(HR_Data[[#This Row],[Age]]&lt;=55,4,5))))</f>
        <v>2</v>
      </c>
      <c r="AG1072" s="1" t="str">
        <f>IF(HR_Data[[#This Row],[MonthlyIncome]]&lt;3000,"&lt;3K",IF(HR_Data[[#This Row],[MonthlyIncome]]&lt;6000,"3K-6K",IF(HR_Data[[#This Row],[MonthlyIncome]]&lt;10000,"6K-10K","10K+")))</f>
        <v>3K-6K</v>
      </c>
      <c r="AH1072" s="1">
        <f>IF(HR_Data[[#This Row],[MonthlyIncome]]&lt;3000,1,IF(HR_Data[[#This Row],[MonthlyIncome]]&lt;6000,2,IF(HR_Data[[#This Row],[MonthlyIncome]]&lt;10000,3,4)))</f>
        <v>2</v>
      </c>
      <c r="AI1072" s="1" t="str">
        <f>IF(HR_Data[[#This Row],[YearsAtCompany]]&lt;=2,"0-2 Yrs",IF(HR_Data[[#This Row],[YearsAtCompany]]&lt;=5,"3-5 Yrs",IF(HR_Data[[#This Row],[YearsAtCompany]]&lt;=10,"6-10 Yrs","10+ Yrs")))</f>
        <v>3-5 Yrs</v>
      </c>
      <c r="AJ1072" s="1">
        <f>IF(HR_Data[[#This Row],[YearsAtCompany]]&lt;=2,1,IF(HR_Data[[#This Row],[YearsAtCompany]]&lt;=5,2,IF(HR_Data[[#This Row],[YearsAtCompany]]&lt;=10,3,4)))</f>
        <v>2</v>
      </c>
      <c r="AK1072" s="1" t="str">
        <f>CHOOSE(HR_Data[[#This Row],[Education]],"Below College","College","Bachelor","Master","Doctor")</f>
        <v>Bachelor</v>
      </c>
      <c r="AL1072" s="1" t="str">
        <f>CHOOSE(HR_Data[[#This Row],[JobSatisfaction]],"Low","Medium","High","Very High")</f>
        <v>Low</v>
      </c>
      <c r="AM1072" s="1" t="str">
        <f>CHOOSE(HR_Data[[#This Row],[EnvironmentSatisfaction]],"Low","Medium","High","Very High")</f>
        <v>High</v>
      </c>
      <c r="AN1072" s="1" t="str">
        <f>CHOOSE(HR_Data[[#This Row],[WorkLifeBalance]],"Bad","Good","Better","Best")</f>
        <v>Better</v>
      </c>
      <c r="AO1072" s="1" t="str">
        <f>IF(HR_Data[[#This Row],[PercentSalaryHike]]&lt;=13,"11-13%",IF(HR_Data[[#This Row],[PercentSalaryHike]]&lt;=16,"14-16%",IF(HR_Data[[#This Row],[PercentSalaryHike]]&lt;=19,"17-19%","20-25%")))</f>
        <v>14-16%</v>
      </c>
      <c r="AP1072" s="1">
        <f>IF(HR_Data[[#This Row],[PercentSalaryHike]]&lt;=13,1,IF(HR_Data[[#This Row],[PercentSalaryHike]]&lt;=16,2,IF(HR_Data[[#This Row],[PercentSalaryHike]]&lt;=19,3,4)))</f>
        <v>2</v>
      </c>
      <c r="AQ1072" s="1" t="str">
        <f>IF(HR_Data[[#This Row],[DistanceFromHome]]&lt;=5,"1 to 5",IF(HR_Data[[#This Row],[DistanceFromHome]]&lt;=10,"6 to 10",IF(HR_Data[[#This Row],[DistanceFromHome]]&lt;=20,"11 to 20","21 to 29")))</f>
        <v>6 to 10</v>
      </c>
      <c r="AR1072" s="1">
        <f>IF(HR_Data[[#This Row],[DistanceFromHome]]&lt;=5,1,IF(HR_Data[[#This Row],[DistanceFromHome]]&lt;=10,2,IF(HR_Data[[#This Row],[DistanceFromHome]]&lt;=20,3,4)))</f>
        <v>2</v>
      </c>
      <c r="AS1072" s="1" t="str">
        <f>IF(HR_Data[[#This Row],[TotalWorkingYears]]&lt;=5,"0-5 Yrs",IF(HR_Data[[#This Row],[TotalWorkingYears]]&lt;=10,"6-10 Yrs",IF(HR_Data[[#This Row],[TotalWorkingYears]]&lt;=20,"11-20 Yrs","20+ Yrs")))</f>
        <v>0-5 Yrs</v>
      </c>
      <c r="AT1072" s="1">
        <f>IF(HR_Data[[#This Row],[TotalWorkingYears]]&lt;=5,1,IF(HR_Data[[#This Row],[TotalWorkingYears]]&lt;=10,2,IF(HR_Data[[#This Row],[TotalWorkingYears]]&lt;=20,3,4)))</f>
        <v>1</v>
      </c>
    </row>
    <row r="1073" spans="1:46" x14ac:dyDescent="0.25">
      <c r="A1073">
        <v>49</v>
      </c>
      <c r="B1073" t="s">
        <v>36</v>
      </c>
      <c r="C1073" t="s">
        <v>30</v>
      </c>
      <c r="D1073" t="s">
        <v>38</v>
      </c>
      <c r="E1073">
        <v>3</v>
      </c>
      <c r="F1073">
        <v>2</v>
      </c>
      <c r="G1073" t="s">
        <v>44</v>
      </c>
      <c r="H1073">
        <v>1509</v>
      </c>
      <c r="I1073">
        <v>3</v>
      </c>
      <c r="J1073" t="s">
        <v>33</v>
      </c>
      <c r="K1073">
        <v>2</v>
      </c>
      <c r="L1073">
        <v>2</v>
      </c>
      <c r="M1073" t="s">
        <v>43</v>
      </c>
      <c r="N1073">
        <v>1</v>
      </c>
      <c r="O1073" t="s">
        <v>41</v>
      </c>
      <c r="P1073">
        <v>4789</v>
      </c>
      <c r="Q1073">
        <v>4</v>
      </c>
      <c r="R1073" t="s">
        <v>36</v>
      </c>
      <c r="S1073">
        <v>25</v>
      </c>
      <c r="T1073">
        <v>4</v>
      </c>
      <c r="U1073">
        <v>1</v>
      </c>
      <c r="V1073">
        <v>1</v>
      </c>
      <c r="W1073">
        <v>10</v>
      </c>
      <c r="X1073">
        <v>3</v>
      </c>
      <c r="Y1073">
        <v>3</v>
      </c>
      <c r="Z1073">
        <v>3</v>
      </c>
      <c r="AA1073">
        <v>2</v>
      </c>
      <c r="AB1073">
        <v>1</v>
      </c>
      <c r="AC1073">
        <v>2</v>
      </c>
      <c r="AD1073">
        <f>IF(HR_Data[[#This Row],[Attrition]]="Yes",1,0)</f>
        <v>0</v>
      </c>
      <c r="AE1073" t="str">
        <f>IF(HR_Data[[#This Row],[Age]]&lt;=25,"18-25",IF(HR_Data[[#This Row],[Age]]&lt;=35,"26-35",IF(HR_Data[[#This Row],[Age]]&lt;=45,"36-45",IF(HR_Data[[#This Row],[Age]]&lt;=55,"46-55","55+"))))</f>
        <v>46-55</v>
      </c>
      <c r="AF1073">
        <f>IF(HR_Data[[#This Row],[Age]]&lt;=25,1,IF(HR_Data[[#This Row],[Age]]&lt;=35,2,IF(HR_Data[[#This Row],[Age]]&lt;=45,3,IF(HR_Data[[#This Row],[Age]]&lt;=55,4,5))))</f>
        <v>4</v>
      </c>
      <c r="AG1073" s="1" t="str">
        <f>IF(HR_Data[[#This Row],[MonthlyIncome]]&lt;3000,"&lt;3K",IF(HR_Data[[#This Row],[MonthlyIncome]]&lt;6000,"3K-6K",IF(HR_Data[[#This Row],[MonthlyIncome]]&lt;10000,"6K-10K","10K+")))</f>
        <v>3K-6K</v>
      </c>
      <c r="AH1073" s="1">
        <f>IF(HR_Data[[#This Row],[MonthlyIncome]]&lt;3000,1,IF(HR_Data[[#This Row],[MonthlyIncome]]&lt;6000,2,IF(HR_Data[[#This Row],[MonthlyIncome]]&lt;10000,3,4)))</f>
        <v>2</v>
      </c>
      <c r="AI1073" s="1" t="str">
        <f>IF(HR_Data[[#This Row],[YearsAtCompany]]&lt;=2,"0-2 Yrs",IF(HR_Data[[#This Row],[YearsAtCompany]]&lt;=5,"3-5 Yrs",IF(HR_Data[[#This Row],[YearsAtCompany]]&lt;=10,"6-10 Yrs","10+ Yrs")))</f>
        <v>3-5 Yrs</v>
      </c>
      <c r="AJ1073" s="1">
        <f>IF(HR_Data[[#This Row],[YearsAtCompany]]&lt;=2,1,IF(HR_Data[[#This Row],[YearsAtCompany]]&lt;=5,2,IF(HR_Data[[#This Row],[YearsAtCompany]]&lt;=10,3,4)))</f>
        <v>2</v>
      </c>
      <c r="AK1073" s="1" t="str">
        <f>CHOOSE(HR_Data[[#This Row],[Education]],"Below College","College","Bachelor","Master","Doctor")</f>
        <v>College</v>
      </c>
      <c r="AL1073" s="1" t="str">
        <f>CHOOSE(HR_Data[[#This Row],[JobSatisfaction]],"Low","Medium","High","Very High")</f>
        <v>Low</v>
      </c>
      <c r="AM1073" s="1" t="str">
        <f>CHOOSE(HR_Data[[#This Row],[EnvironmentSatisfaction]],"Low","Medium","High","Very High")</f>
        <v>High</v>
      </c>
      <c r="AN1073" s="1" t="str">
        <f>CHOOSE(HR_Data[[#This Row],[WorkLifeBalance]],"Bad","Good","Better","Best")</f>
        <v>Better</v>
      </c>
      <c r="AO1073" s="1" t="str">
        <f>IF(HR_Data[[#This Row],[PercentSalaryHike]]&lt;=13,"11-13%",IF(HR_Data[[#This Row],[PercentSalaryHike]]&lt;=16,"14-16%",IF(HR_Data[[#This Row],[PercentSalaryHike]]&lt;=19,"17-19%","20-25%")))</f>
        <v>20-25%</v>
      </c>
      <c r="AP1073" s="1">
        <f>IF(HR_Data[[#This Row],[PercentSalaryHike]]&lt;=13,1,IF(HR_Data[[#This Row],[PercentSalaryHike]]&lt;=16,2,IF(HR_Data[[#This Row],[PercentSalaryHike]]&lt;=19,3,4)))</f>
        <v>4</v>
      </c>
      <c r="AQ1073" s="1" t="str">
        <f>IF(HR_Data[[#This Row],[DistanceFromHome]]&lt;=5,"1 to 5",IF(HR_Data[[#This Row],[DistanceFromHome]]&lt;=10,"6 to 10",IF(HR_Data[[#This Row],[DistanceFromHome]]&lt;=20,"11 to 20","21 to 29")))</f>
        <v>1 to 5</v>
      </c>
      <c r="AR1073" s="1">
        <f>IF(HR_Data[[#This Row],[DistanceFromHome]]&lt;=5,1,IF(HR_Data[[#This Row],[DistanceFromHome]]&lt;=10,2,IF(HR_Data[[#This Row],[DistanceFromHome]]&lt;=20,3,4)))</f>
        <v>1</v>
      </c>
      <c r="AS1073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073" s="1">
        <f>IF(HR_Data[[#This Row],[TotalWorkingYears]]&lt;=5,1,IF(HR_Data[[#This Row],[TotalWorkingYears]]&lt;=10,2,IF(HR_Data[[#This Row],[TotalWorkingYears]]&lt;=20,3,4)))</f>
        <v>2</v>
      </c>
    </row>
    <row r="1074" spans="1:46" x14ac:dyDescent="0.25">
      <c r="A1074">
        <v>29</v>
      </c>
      <c r="B1074" t="s">
        <v>36</v>
      </c>
      <c r="C1074" t="s">
        <v>37</v>
      </c>
      <c r="D1074" t="s">
        <v>38</v>
      </c>
      <c r="E1074">
        <v>2</v>
      </c>
      <c r="F1074">
        <v>1</v>
      </c>
      <c r="G1074" t="s">
        <v>32</v>
      </c>
      <c r="H1074">
        <v>1513</v>
      </c>
      <c r="I1074">
        <v>4</v>
      </c>
      <c r="J1074" t="s">
        <v>33</v>
      </c>
      <c r="K1074">
        <v>3</v>
      </c>
      <c r="L1074">
        <v>1</v>
      </c>
      <c r="M1074" t="s">
        <v>43</v>
      </c>
      <c r="N1074">
        <v>2</v>
      </c>
      <c r="O1074" t="s">
        <v>41</v>
      </c>
      <c r="P1074">
        <v>3180</v>
      </c>
      <c r="Q1074">
        <v>0</v>
      </c>
      <c r="R1074" t="s">
        <v>36</v>
      </c>
      <c r="S1074">
        <v>13</v>
      </c>
      <c r="T1074">
        <v>3</v>
      </c>
      <c r="U1074">
        <v>3</v>
      </c>
      <c r="V1074">
        <v>3</v>
      </c>
      <c r="W1074">
        <v>4</v>
      </c>
      <c r="X1074">
        <v>3</v>
      </c>
      <c r="Y1074">
        <v>3</v>
      </c>
      <c r="Z1074">
        <v>3</v>
      </c>
      <c r="AA1074">
        <v>2</v>
      </c>
      <c r="AB1074">
        <v>0</v>
      </c>
      <c r="AC1074">
        <v>2</v>
      </c>
      <c r="AD1074">
        <f>IF(HR_Data[[#This Row],[Attrition]]="Yes",1,0)</f>
        <v>0</v>
      </c>
      <c r="AE1074" t="str">
        <f>IF(HR_Data[[#This Row],[Age]]&lt;=25,"18-25",IF(HR_Data[[#This Row],[Age]]&lt;=35,"26-35",IF(HR_Data[[#This Row],[Age]]&lt;=45,"36-45",IF(HR_Data[[#This Row],[Age]]&lt;=55,"46-55","55+"))))</f>
        <v>26-35</v>
      </c>
      <c r="AF1074">
        <f>IF(HR_Data[[#This Row],[Age]]&lt;=25,1,IF(HR_Data[[#This Row],[Age]]&lt;=35,2,IF(HR_Data[[#This Row],[Age]]&lt;=45,3,IF(HR_Data[[#This Row],[Age]]&lt;=55,4,5))))</f>
        <v>2</v>
      </c>
      <c r="AG1074" s="1" t="str">
        <f>IF(HR_Data[[#This Row],[MonthlyIncome]]&lt;3000,"&lt;3K",IF(HR_Data[[#This Row],[MonthlyIncome]]&lt;6000,"3K-6K",IF(HR_Data[[#This Row],[MonthlyIncome]]&lt;10000,"6K-10K","10K+")))</f>
        <v>3K-6K</v>
      </c>
      <c r="AH1074" s="1">
        <f>IF(HR_Data[[#This Row],[MonthlyIncome]]&lt;3000,1,IF(HR_Data[[#This Row],[MonthlyIncome]]&lt;6000,2,IF(HR_Data[[#This Row],[MonthlyIncome]]&lt;10000,3,4)))</f>
        <v>2</v>
      </c>
      <c r="AI1074" s="1" t="str">
        <f>IF(HR_Data[[#This Row],[YearsAtCompany]]&lt;=2,"0-2 Yrs",IF(HR_Data[[#This Row],[YearsAtCompany]]&lt;=5,"3-5 Yrs",IF(HR_Data[[#This Row],[YearsAtCompany]]&lt;=10,"6-10 Yrs","10+ Yrs")))</f>
        <v>3-5 Yrs</v>
      </c>
      <c r="AJ1074" s="1">
        <f>IF(HR_Data[[#This Row],[YearsAtCompany]]&lt;=2,1,IF(HR_Data[[#This Row],[YearsAtCompany]]&lt;=5,2,IF(HR_Data[[#This Row],[YearsAtCompany]]&lt;=10,3,4)))</f>
        <v>2</v>
      </c>
      <c r="AK1074" s="1" t="str">
        <f>CHOOSE(HR_Data[[#This Row],[Education]],"Below College","College","Bachelor","Master","Doctor")</f>
        <v>Below College</v>
      </c>
      <c r="AL1074" s="1" t="str">
        <f>CHOOSE(HR_Data[[#This Row],[JobSatisfaction]],"Low","Medium","High","Very High")</f>
        <v>Medium</v>
      </c>
      <c r="AM1074" s="1" t="str">
        <f>CHOOSE(HR_Data[[#This Row],[EnvironmentSatisfaction]],"Low","Medium","High","Very High")</f>
        <v>Very High</v>
      </c>
      <c r="AN1074" s="1" t="str">
        <f>CHOOSE(HR_Data[[#This Row],[WorkLifeBalance]],"Bad","Good","Better","Best")</f>
        <v>Better</v>
      </c>
      <c r="AO1074" s="1" t="str">
        <f>IF(HR_Data[[#This Row],[PercentSalaryHike]]&lt;=13,"11-13%",IF(HR_Data[[#This Row],[PercentSalaryHike]]&lt;=16,"14-16%",IF(HR_Data[[#This Row],[PercentSalaryHike]]&lt;=19,"17-19%","20-25%")))</f>
        <v>11-13%</v>
      </c>
      <c r="AP1074" s="1">
        <f>IF(HR_Data[[#This Row],[PercentSalaryHike]]&lt;=13,1,IF(HR_Data[[#This Row],[PercentSalaryHike]]&lt;=16,2,IF(HR_Data[[#This Row],[PercentSalaryHike]]&lt;=19,3,4)))</f>
        <v>1</v>
      </c>
      <c r="AQ1074" s="1" t="str">
        <f>IF(HR_Data[[#This Row],[DistanceFromHome]]&lt;=5,"1 to 5",IF(HR_Data[[#This Row],[DistanceFromHome]]&lt;=10,"6 to 10",IF(HR_Data[[#This Row],[DistanceFromHome]]&lt;=20,"11 to 20","21 to 29")))</f>
        <v>1 to 5</v>
      </c>
      <c r="AR1074" s="1">
        <f>IF(HR_Data[[#This Row],[DistanceFromHome]]&lt;=5,1,IF(HR_Data[[#This Row],[DistanceFromHome]]&lt;=10,2,IF(HR_Data[[#This Row],[DistanceFromHome]]&lt;=20,3,4)))</f>
        <v>1</v>
      </c>
      <c r="AS1074" s="1" t="str">
        <f>IF(HR_Data[[#This Row],[TotalWorkingYears]]&lt;=5,"0-5 Yrs",IF(HR_Data[[#This Row],[TotalWorkingYears]]&lt;=10,"6-10 Yrs",IF(HR_Data[[#This Row],[TotalWorkingYears]]&lt;=20,"11-20 Yrs","20+ Yrs")))</f>
        <v>0-5 Yrs</v>
      </c>
      <c r="AT1074" s="1">
        <f>IF(HR_Data[[#This Row],[TotalWorkingYears]]&lt;=5,1,IF(HR_Data[[#This Row],[TotalWorkingYears]]&lt;=10,2,IF(HR_Data[[#This Row],[TotalWorkingYears]]&lt;=20,3,4)))</f>
        <v>1</v>
      </c>
    </row>
    <row r="1075" spans="1:46" x14ac:dyDescent="0.25">
      <c r="A1075">
        <v>28</v>
      </c>
      <c r="B1075" t="s">
        <v>36</v>
      </c>
      <c r="C1075" t="s">
        <v>30</v>
      </c>
      <c r="D1075" t="s">
        <v>38</v>
      </c>
      <c r="E1075">
        <v>29</v>
      </c>
      <c r="F1075">
        <v>1</v>
      </c>
      <c r="G1075" t="s">
        <v>32</v>
      </c>
      <c r="H1075">
        <v>1514</v>
      </c>
      <c r="I1075">
        <v>3</v>
      </c>
      <c r="J1075" t="s">
        <v>39</v>
      </c>
      <c r="K1075">
        <v>1</v>
      </c>
      <c r="L1075">
        <v>2</v>
      </c>
      <c r="M1075" t="s">
        <v>46</v>
      </c>
      <c r="N1075">
        <v>2</v>
      </c>
      <c r="O1075" t="s">
        <v>41</v>
      </c>
      <c r="P1075">
        <v>6549</v>
      </c>
      <c r="Q1075">
        <v>1</v>
      </c>
      <c r="R1075" t="s">
        <v>36</v>
      </c>
      <c r="S1075">
        <v>14</v>
      </c>
      <c r="T1075">
        <v>3</v>
      </c>
      <c r="U1075">
        <v>2</v>
      </c>
      <c r="V1075">
        <v>2</v>
      </c>
      <c r="W1075">
        <v>8</v>
      </c>
      <c r="X1075">
        <v>2</v>
      </c>
      <c r="Y1075">
        <v>2</v>
      </c>
      <c r="Z1075">
        <v>8</v>
      </c>
      <c r="AA1075">
        <v>6</v>
      </c>
      <c r="AB1075">
        <v>1</v>
      </c>
      <c r="AC1075">
        <v>7</v>
      </c>
      <c r="AD1075">
        <f>IF(HR_Data[[#This Row],[Attrition]]="Yes",1,0)</f>
        <v>0</v>
      </c>
      <c r="AE1075" t="str">
        <f>IF(HR_Data[[#This Row],[Age]]&lt;=25,"18-25",IF(HR_Data[[#This Row],[Age]]&lt;=35,"26-35",IF(HR_Data[[#This Row],[Age]]&lt;=45,"36-45",IF(HR_Data[[#This Row],[Age]]&lt;=55,"46-55","55+"))))</f>
        <v>26-35</v>
      </c>
      <c r="AF1075">
        <f>IF(HR_Data[[#This Row],[Age]]&lt;=25,1,IF(HR_Data[[#This Row],[Age]]&lt;=35,2,IF(HR_Data[[#This Row],[Age]]&lt;=45,3,IF(HR_Data[[#This Row],[Age]]&lt;=55,4,5))))</f>
        <v>2</v>
      </c>
      <c r="AG1075" s="1" t="str">
        <f>IF(HR_Data[[#This Row],[MonthlyIncome]]&lt;3000,"&lt;3K",IF(HR_Data[[#This Row],[MonthlyIncome]]&lt;6000,"3K-6K",IF(HR_Data[[#This Row],[MonthlyIncome]]&lt;10000,"6K-10K","10K+")))</f>
        <v>6K-10K</v>
      </c>
      <c r="AH1075" s="1">
        <f>IF(HR_Data[[#This Row],[MonthlyIncome]]&lt;3000,1,IF(HR_Data[[#This Row],[MonthlyIncome]]&lt;6000,2,IF(HR_Data[[#This Row],[MonthlyIncome]]&lt;10000,3,4)))</f>
        <v>3</v>
      </c>
      <c r="AI1075" s="1" t="str">
        <f>IF(HR_Data[[#This Row],[YearsAtCompany]]&lt;=2,"0-2 Yrs",IF(HR_Data[[#This Row],[YearsAtCompany]]&lt;=5,"3-5 Yrs",IF(HR_Data[[#This Row],[YearsAtCompany]]&lt;=10,"6-10 Yrs","10+ Yrs")))</f>
        <v>6-10 Yrs</v>
      </c>
      <c r="AJ1075" s="1">
        <f>IF(HR_Data[[#This Row],[YearsAtCompany]]&lt;=2,1,IF(HR_Data[[#This Row],[YearsAtCompany]]&lt;=5,2,IF(HR_Data[[#This Row],[YearsAtCompany]]&lt;=10,3,4)))</f>
        <v>3</v>
      </c>
      <c r="AK1075" s="1" t="str">
        <f>CHOOSE(HR_Data[[#This Row],[Education]],"Below College","College","Bachelor","Master","Doctor")</f>
        <v>Below College</v>
      </c>
      <c r="AL1075" s="1" t="str">
        <f>CHOOSE(HR_Data[[#This Row],[JobSatisfaction]],"Low","Medium","High","Very High")</f>
        <v>Medium</v>
      </c>
      <c r="AM1075" s="1" t="str">
        <f>CHOOSE(HR_Data[[#This Row],[EnvironmentSatisfaction]],"Low","Medium","High","Very High")</f>
        <v>High</v>
      </c>
      <c r="AN1075" s="1" t="str">
        <f>CHOOSE(HR_Data[[#This Row],[WorkLifeBalance]],"Bad","Good","Better","Best")</f>
        <v>Good</v>
      </c>
      <c r="AO1075" s="1" t="str">
        <f>IF(HR_Data[[#This Row],[PercentSalaryHike]]&lt;=13,"11-13%",IF(HR_Data[[#This Row],[PercentSalaryHike]]&lt;=16,"14-16%",IF(HR_Data[[#This Row],[PercentSalaryHike]]&lt;=19,"17-19%","20-25%")))</f>
        <v>14-16%</v>
      </c>
      <c r="AP1075" s="1">
        <f>IF(HR_Data[[#This Row],[PercentSalaryHike]]&lt;=13,1,IF(HR_Data[[#This Row],[PercentSalaryHike]]&lt;=16,2,IF(HR_Data[[#This Row],[PercentSalaryHike]]&lt;=19,3,4)))</f>
        <v>2</v>
      </c>
      <c r="AQ1075" s="1" t="str">
        <f>IF(HR_Data[[#This Row],[DistanceFromHome]]&lt;=5,"1 to 5",IF(HR_Data[[#This Row],[DistanceFromHome]]&lt;=10,"6 to 10",IF(HR_Data[[#This Row],[DistanceFromHome]]&lt;=20,"11 to 20","21 to 29")))</f>
        <v>21 to 29</v>
      </c>
      <c r="AR1075" s="1">
        <f>IF(HR_Data[[#This Row],[DistanceFromHome]]&lt;=5,1,IF(HR_Data[[#This Row],[DistanceFromHome]]&lt;=10,2,IF(HR_Data[[#This Row],[DistanceFromHome]]&lt;=20,3,4)))</f>
        <v>4</v>
      </c>
      <c r="AS1075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075" s="1">
        <f>IF(HR_Data[[#This Row],[TotalWorkingYears]]&lt;=5,1,IF(HR_Data[[#This Row],[TotalWorkingYears]]&lt;=10,2,IF(HR_Data[[#This Row],[TotalWorkingYears]]&lt;=20,3,4)))</f>
        <v>2</v>
      </c>
    </row>
    <row r="1076" spans="1:46" x14ac:dyDescent="0.25">
      <c r="A1076">
        <v>33</v>
      </c>
      <c r="B1076" t="s">
        <v>36</v>
      </c>
      <c r="C1076" t="s">
        <v>30</v>
      </c>
      <c r="D1076" t="s">
        <v>38</v>
      </c>
      <c r="E1076">
        <v>8</v>
      </c>
      <c r="F1076">
        <v>5</v>
      </c>
      <c r="G1076" t="s">
        <v>32</v>
      </c>
      <c r="H1076">
        <v>1515</v>
      </c>
      <c r="I1076">
        <v>4</v>
      </c>
      <c r="J1076" t="s">
        <v>39</v>
      </c>
      <c r="K1076">
        <v>3</v>
      </c>
      <c r="L1076">
        <v>2</v>
      </c>
      <c r="M1076" t="s">
        <v>47</v>
      </c>
      <c r="N1076">
        <v>3</v>
      </c>
      <c r="O1076" t="s">
        <v>35</v>
      </c>
      <c r="P1076">
        <v>6388</v>
      </c>
      <c r="Q1076">
        <v>2</v>
      </c>
      <c r="R1076" t="s">
        <v>29</v>
      </c>
      <c r="S1076">
        <v>17</v>
      </c>
      <c r="T1076">
        <v>3</v>
      </c>
      <c r="U1076">
        <v>1</v>
      </c>
      <c r="V1076">
        <v>0</v>
      </c>
      <c r="W1076">
        <v>14</v>
      </c>
      <c r="X1076">
        <v>6</v>
      </c>
      <c r="Y1076">
        <v>3</v>
      </c>
      <c r="Z1076">
        <v>0</v>
      </c>
      <c r="AA1076">
        <v>0</v>
      </c>
      <c r="AB1076">
        <v>0</v>
      </c>
      <c r="AC1076">
        <v>0</v>
      </c>
      <c r="AD1076">
        <f>IF(HR_Data[[#This Row],[Attrition]]="Yes",1,0)</f>
        <v>0</v>
      </c>
      <c r="AE1076" t="str">
        <f>IF(HR_Data[[#This Row],[Age]]&lt;=25,"18-25",IF(HR_Data[[#This Row],[Age]]&lt;=35,"26-35",IF(HR_Data[[#This Row],[Age]]&lt;=45,"36-45",IF(HR_Data[[#This Row],[Age]]&lt;=55,"46-55","55+"))))</f>
        <v>26-35</v>
      </c>
      <c r="AF1076">
        <f>IF(HR_Data[[#This Row],[Age]]&lt;=25,1,IF(HR_Data[[#This Row],[Age]]&lt;=35,2,IF(HR_Data[[#This Row],[Age]]&lt;=45,3,IF(HR_Data[[#This Row],[Age]]&lt;=55,4,5))))</f>
        <v>2</v>
      </c>
      <c r="AG1076" s="1" t="str">
        <f>IF(HR_Data[[#This Row],[MonthlyIncome]]&lt;3000,"&lt;3K",IF(HR_Data[[#This Row],[MonthlyIncome]]&lt;6000,"3K-6K",IF(HR_Data[[#This Row],[MonthlyIncome]]&lt;10000,"6K-10K","10K+")))</f>
        <v>6K-10K</v>
      </c>
      <c r="AH1076" s="1">
        <f>IF(HR_Data[[#This Row],[MonthlyIncome]]&lt;3000,1,IF(HR_Data[[#This Row],[MonthlyIncome]]&lt;6000,2,IF(HR_Data[[#This Row],[MonthlyIncome]]&lt;10000,3,4)))</f>
        <v>3</v>
      </c>
      <c r="AI1076" s="1" t="str">
        <f>IF(HR_Data[[#This Row],[YearsAtCompany]]&lt;=2,"0-2 Yrs",IF(HR_Data[[#This Row],[YearsAtCompany]]&lt;=5,"3-5 Yrs",IF(HR_Data[[#This Row],[YearsAtCompany]]&lt;=10,"6-10 Yrs","10+ Yrs")))</f>
        <v>0-2 Yrs</v>
      </c>
      <c r="AJ1076" s="1">
        <f>IF(HR_Data[[#This Row],[YearsAtCompany]]&lt;=2,1,IF(HR_Data[[#This Row],[YearsAtCompany]]&lt;=5,2,IF(HR_Data[[#This Row],[YearsAtCompany]]&lt;=10,3,4)))</f>
        <v>1</v>
      </c>
      <c r="AK1076" s="1" t="str">
        <f>CHOOSE(HR_Data[[#This Row],[Education]],"Below College","College","Bachelor","Master","Doctor")</f>
        <v>Doctor</v>
      </c>
      <c r="AL1076" s="1" t="str">
        <f>CHOOSE(HR_Data[[#This Row],[JobSatisfaction]],"Low","Medium","High","Very High")</f>
        <v>High</v>
      </c>
      <c r="AM1076" s="1" t="str">
        <f>CHOOSE(HR_Data[[#This Row],[EnvironmentSatisfaction]],"Low","Medium","High","Very High")</f>
        <v>Very High</v>
      </c>
      <c r="AN1076" s="1" t="str">
        <f>CHOOSE(HR_Data[[#This Row],[WorkLifeBalance]],"Bad","Good","Better","Best")</f>
        <v>Better</v>
      </c>
      <c r="AO1076" s="1" t="str">
        <f>IF(HR_Data[[#This Row],[PercentSalaryHike]]&lt;=13,"11-13%",IF(HR_Data[[#This Row],[PercentSalaryHike]]&lt;=16,"14-16%",IF(HR_Data[[#This Row],[PercentSalaryHike]]&lt;=19,"17-19%","20-25%")))</f>
        <v>17-19%</v>
      </c>
      <c r="AP1076" s="1">
        <f>IF(HR_Data[[#This Row],[PercentSalaryHike]]&lt;=13,1,IF(HR_Data[[#This Row],[PercentSalaryHike]]&lt;=16,2,IF(HR_Data[[#This Row],[PercentSalaryHike]]&lt;=19,3,4)))</f>
        <v>3</v>
      </c>
      <c r="AQ1076" s="1" t="str">
        <f>IF(HR_Data[[#This Row],[DistanceFromHome]]&lt;=5,"1 to 5",IF(HR_Data[[#This Row],[DistanceFromHome]]&lt;=10,"6 to 10",IF(HR_Data[[#This Row],[DistanceFromHome]]&lt;=20,"11 to 20","21 to 29")))</f>
        <v>6 to 10</v>
      </c>
      <c r="AR1076" s="1">
        <f>IF(HR_Data[[#This Row],[DistanceFromHome]]&lt;=5,1,IF(HR_Data[[#This Row],[DistanceFromHome]]&lt;=10,2,IF(HR_Data[[#This Row],[DistanceFromHome]]&lt;=20,3,4)))</f>
        <v>2</v>
      </c>
      <c r="AS1076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076" s="1">
        <f>IF(HR_Data[[#This Row],[TotalWorkingYears]]&lt;=5,1,IF(HR_Data[[#This Row],[TotalWorkingYears]]&lt;=10,2,IF(HR_Data[[#This Row],[TotalWorkingYears]]&lt;=20,3,4)))</f>
        <v>3</v>
      </c>
    </row>
    <row r="1077" spans="1:46" x14ac:dyDescent="0.25">
      <c r="A1077">
        <v>32</v>
      </c>
      <c r="B1077" t="s">
        <v>36</v>
      </c>
      <c r="C1077" t="s">
        <v>30</v>
      </c>
      <c r="D1077" t="s">
        <v>38</v>
      </c>
      <c r="E1077">
        <v>10</v>
      </c>
      <c r="F1077">
        <v>3</v>
      </c>
      <c r="G1077" t="s">
        <v>44</v>
      </c>
      <c r="H1077">
        <v>1516</v>
      </c>
      <c r="I1077">
        <v>3</v>
      </c>
      <c r="J1077" t="s">
        <v>39</v>
      </c>
      <c r="K1077">
        <v>3</v>
      </c>
      <c r="L1077">
        <v>3</v>
      </c>
      <c r="M1077" t="s">
        <v>49</v>
      </c>
      <c r="N1077">
        <v>4</v>
      </c>
      <c r="O1077" t="s">
        <v>35</v>
      </c>
      <c r="P1077">
        <v>11244</v>
      </c>
      <c r="Q1077">
        <v>2</v>
      </c>
      <c r="R1077" t="s">
        <v>36</v>
      </c>
      <c r="S1077">
        <v>25</v>
      </c>
      <c r="T1077">
        <v>4</v>
      </c>
      <c r="U1077">
        <v>2</v>
      </c>
      <c r="V1077">
        <v>0</v>
      </c>
      <c r="W1077">
        <v>10</v>
      </c>
      <c r="X1077">
        <v>5</v>
      </c>
      <c r="Y1077">
        <v>4</v>
      </c>
      <c r="Z1077">
        <v>5</v>
      </c>
      <c r="AA1077">
        <v>2</v>
      </c>
      <c r="AB1077">
        <v>0</v>
      </c>
      <c r="AC1077">
        <v>0</v>
      </c>
      <c r="AD1077">
        <f>IF(HR_Data[[#This Row],[Attrition]]="Yes",1,0)</f>
        <v>0</v>
      </c>
      <c r="AE1077" t="str">
        <f>IF(HR_Data[[#This Row],[Age]]&lt;=25,"18-25",IF(HR_Data[[#This Row],[Age]]&lt;=35,"26-35",IF(HR_Data[[#This Row],[Age]]&lt;=45,"36-45",IF(HR_Data[[#This Row],[Age]]&lt;=55,"46-55","55+"))))</f>
        <v>26-35</v>
      </c>
      <c r="AF1077">
        <f>IF(HR_Data[[#This Row],[Age]]&lt;=25,1,IF(HR_Data[[#This Row],[Age]]&lt;=35,2,IF(HR_Data[[#This Row],[Age]]&lt;=45,3,IF(HR_Data[[#This Row],[Age]]&lt;=55,4,5))))</f>
        <v>2</v>
      </c>
      <c r="AG1077" s="1" t="str">
        <f>IF(HR_Data[[#This Row],[MonthlyIncome]]&lt;3000,"&lt;3K",IF(HR_Data[[#This Row],[MonthlyIncome]]&lt;6000,"3K-6K",IF(HR_Data[[#This Row],[MonthlyIncome]]&lt;10000,"6K-10K","10K+")))</f>
        <v>10K+</v>
      </c>
      <c r="AH1077" s="1">
        <f>IF(HR_Data[[#This Row],[MonthlyIncome]]&lt;3000,1,IF(HR_Data[[#This Row],[MonthlyIncome]]&lt;6000,2,IF(HR_Data[[#This Row],[MonthlyIncome]]&lt;10000,3,4)))</f>
        <v>4</v>
      </c>
      <c r="AI1077" s="1" t="str">
        <f>IF(HR_Data[[#This Row],[YearsAtCompany]]&lt;=2,"0-2 Yrs",IF(HR_Data[[#This Row],[YearsAtCompany]]&lt;=5,"3-5 Yrs",IF(HR_Data[[#This Row],[YearsAtCompany]]&lt;=10,"6-10 Yrs","10+ Yrs")))</f>
        <v>3-5 Yrs</v>
      </c>
      <c r="AJ1077" s="1">
        <f>IF(HR_Data[[#This Row],[YearsAtCompany]]&lt;=2,1,IF(HR_Data[[#This Row],[YearsAtCompany]]&lt;=5,2,IF(HR_Data[[#This Row],[YearsAtCompany]]&lt;=10,3,4)))</f>
        <v>2</v>
      </c>
      <c r="AK1077" s="1" t="str">
        <f>CHOOSE(HR_Data[[#This Row],[Education]],"Below College","College","Bachelor","Master","Doctor")</f>
        <v>Bachelor</v>
      </c>
      <c r="AL1077" s="1" t="str">
        <f>CHOOSE(HR_Data[[#This Row],[JobSatisfaction]],"Low","Medium","High","Very High")</f>
        <v>Very High</v>
      </c>
      <c r="AM1077" s="1" t="str">
        <f>CHOOSE(HR_Data[[#This Row],[EnvironmentSatisfaction]],"Low","Medium","High","Very High")</f>
        <v>High</v>
      </c>
      <c r="AN1077" s="1" t="str">
        <f>CHOOSE(HR_Data[[#This Row],[WorkLifeBalance]],"Bad","Good","Better","Best")</f>
        <v>Best</v>
      </c>
      <c r="AO1077" s="1" t="str">
        <f>IF(HR_Data[[#This Row],[PercentSalaryHike]]&lt;=13,"11-13%",IF(HR_Data[[#This Row],[PercentSalaryHike]]&lt;=16,"14-16%",IF(HR_Data[[#This Row],[PercentSalaryHike]]&lt;=19,"17-19%","20-25%")))</f>
        <v>20-25%</v>
      </c>
      <c r="AP1077" s="1">
        <f>IF(HR_Data[[#This Row],[PercentSalaryHike]]&lt;=13,1,IF(HR_Data[[#This Row],[PercentSalaryHike]]&lt;=16,2,IF(HR_Data[[#This Row],[PercentSalaryHike]]&lt;=19,3,4)))</f>
        <v>4</v>
      </c>
      <c r="AQ1077" s="1" t="str">
        <f>IF(HR_Data[[#This Row],[DistanceFromHome]]&lt;=5,"1 to 5",IF(HR_Data[[#This Row],[DistanceFromHome]]&lt;=10,"6 to 10",IF(HR_Data[[#This Row],[DistanceFromHome]]&lt;=20,"11 to 20","21 to 29")))</f>
        <v>6 to 10</v>
      </c>
      <c r="AR1077" s="1">
        <f>IF(HR_Data[[#This Row],[DistanceFromHome]]&lt;=5,1,IF(HR_Data[[#This Row],[DistanceFromHome]]&lt;=10,2,IF(HR_Data[[#This Row],[DistanceFromHome]]&lt;=20,3,4)))</f>
        <v>2</v>
      </c>
      <c r="AS1077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077" s="1">
        <f>IF(HR_Data[[#This Row],[TotalWorkingYears]]&lt;=5,1,IF(HR_Data[[#This Row],[TotalWorkingYears]]&lt;=10,2,IF(HR_Data[[#This Row],[TotalWorkingYears]]&lt;=20,3,4)))</f>
        <v>2</v>
      </c>
    </row>
    <row r="1078" spans="1:46" x14ac:dyDescent="0.25">
      <c r="A1078">
        <v>54</v>
      </c>
      <c r="B1078" t="s">
        <v>36</v>
      </c>
      <c r="C1078" t="s">
        <v>37</v>
      </c>
      <c r="D1078" t="s">
        <v>38</v>
      </c>
      <c r="E1078">
        <v>11</v>
      </c>
      <c r="F1078">
        <v>4</v>
      </c>
      <c r="G1078" t="s">
        <v>44</v>
      </c>
      <c r="H1078">
        <v>1520</v>
      </c>
      <c r="I1078">
        <v>2</v>
      </c>
      <c r="J1078" t="s">
        <v>33</v>
      </c>
      <c r="K1078">
        <v>3</v>
      </c>
      <c r="L1078">
        <v>4</v>
      </c>
      <c r="M1078" t="s">
        <v>49</v>
      </c>
      <c r="N1078">
        <v>4</v>
      </c>
      <c r="O1078" t="s">
        <v>45</v>
      </c>
      <c r="P1078">
        <v>16032</v>
      </c>
      <c r="Q1078">
        <v>3</v>
      </c>
      <c r="R1078" t="s">
        <v>36</v>
      </c>
      <c r="S1078">
        <v>20</v>
      </c>
      <c r="T1078">
        <v>4</v>
      </c>
      <c r="U1078">
        <v>1</v>
      </c>
      <c r="V1078">
        <v>1</v>
      </c>
      <c r="W1078">
        <v>26</v>
      </c>
      <c r="X1078">
        <v>2</v>
      </c>
      <c r="Y1078">
        <v>3</v>
      </c>
      <c r="Z1078">
        <v>14</v>
      </c>
      <c r="AA1078">
        <v>9</v>
      </c>
      <c r="AB1078">
        <v>1</v>
      </c>
      <c r="AC1078">
        <v>12</v>
      </c>
      <c r="AD1078">
        <f>IF(HR_Data[[#This Row],[Attrition]]="Yes",1,0)</f>
        <v>0</v>
      </c>
      <c r="AE1078" t="str">
        <f>IF(HR_Data[[#This Row],[Age]]&lt;=25,"18-25",IF(HR_Data[[#This Row],[Age]]&lt;=35,"26-35",IF(HR_Data[[#This Row],[Age]]&lt;=45,"36-45",IF(HR_Data[[#This Row],[Age]]&lt;=55,"46-55","55+"))))</f>
        <v>46-55</v>
      </c>
      <c r="AF1078">
        <f>IF(HR_Data[[#This Row],[Age]]&lt;=25,1,IF(HR_Data[[#This Row],[Age]]&lt;=35,2,IF(HR_Data[[#This Row],[Age]]&lt;=45,3,IF(HR_Data[[#This Row],[Age]]&lt;=55,4,5))))</f>
        <v>4</v>
      </c>
      <c r="AG1078" s="1" t="str">
        <f>IF(HR_Data[[#This Row],[MonthlyIncome]]&lt;3000,"&lt;3K",IF(HR_Data[[#This Row],[MonthlyIncome]]&lt;6000,"3K-6K",IF(HR_Data[[#This Row],[MonthlyIncome]]&lt;10000,"6K-10K","10K+")))</f>
        <v>10K+</v>
      </c>
      <c r="AH1078" s="1">
        <f>IF(HR_Data[[#This Row],[MonthlyIncome]]&lt;3000,1,IF(HR_Data[[#This Row],[MonthlyIncome]]&lt;6000,2,IF(HR_Data[[#This Row],[MonthlyIncome]]&lt;10000,3,4)))</f>
        <v>4</v>
      </c>
      <c r="AI1078" s="1" t="str">
        <f>IF(HR_Data[[#This Row],[YearsAtCompany]]&lt;=2,"0-2 Yrs",IF(HR_Data[[#This Row],[YearsAtCompany]]&lt;=5,"3-5 Yrs",IF(HR_Data[[#This Row],[YearsAtCompany]]&lt;=10,"6-10 Yrs","10+ Yrs")))</f>
        <v>10+ Yrs</v>
      </c>
      <c r="AJ1078" s="1">
        <f>IF(HR_Data[[#This Row],[YearsAtCompany]]&lt;=2,1,IF(HR_Data[[#This Row],[YearsAtCompany]]&lt;=5,2,IF(HR_Data[[#This Row],[YearsAtCompany]]&lt;=10,3,4)))</f>
        <v>4</v>
      </c>
      <c r="AK1078" s="1" t="str">
        <f>CHOOSE(HR_Data[[#This Row],[Education]],"Below College","College","Bachelor","Master","Doctor")</f>
        <v>Master</v>
      </c>
      <c r="AL1078" s="1" t="str">
        <f>CHOOSE(HR_Data[[#This Row],[JobSatisfaction]],"Low","Medium","High","Very High")</f>
        <v>Very High</v>
      </c>
      <c r="AM1078" s="1" t="str">
        <f>CHOOSE(HR_Data[[#This Row],[EnvironmentSatisfaction]],"Low","Medium","High","Very High")</f>
        <v>Medium</v>
      </c>
      <c r="AN1078" s="1" t="str">
        <f>CHOOSE(HR_Data[[#This Row],[WorkLifeBalance]],"Bad","Good","Better","Best")</f>
        <v>Better</v>
      </c>
      <c r="AO1078" s="1" t="str">
        <f>IF(HR_Data[[#This Row],[PercentSalaryHike]]&lt;=13,"11-13%",IF(HR_Data[[#This Row],[PercentSalaryHike]]&lt;=16,"14-16%",IF(HR_Data[[#This Row],[PercentSalaryHike]]&lt;=19,"17-19%","20-25%")))</f>
        <v>20-25%</v>
      </c>
      <c r="AP1078" s="1">
        <f>IF(HR_Data[[#This Row],[PercentSalaryHike]]&lt;=13,1,IF(HR_Data[[#This Row],[PercentSalaryHike]]&lt;=16,2,IF(HR_Data[[#This Row],[PercentSalaryHike]]&lt;=19,3,4)))</f>
        <v>4</v>
      </c>
      <c r="AQ1078" s="1" t="str">
        <f>IF(HR_Data[[#This Row],[DistanceFromHome]]&lt;=5,"1 to 5",IF(HR_Data[[#This Row],[DistanceFromHome]]&lt;=10,"6 to 10",IF(HR_Data[[#This Row],[DistanceFromHome]]&lt;=20,"11 to 20","21 to 29")))</f>
        <v>11 to 20</v>
      </c>
      <c r="AR1078" s="1">
        <f>IF(HR_Data[[#This Row],[DistanceFromHome]]&lt;=5,1,IF(HR_Data[[#This Row],[DistanceFromHome]]&lt;=10,2,IF(HR_Data[[#This Row],[DistanceFromHome]]&lt;=20,3,4)))</f>
        <v>3</v>
      </c>
      <c r="AS1078" s="1" t="str">
        <f>IF(HR_Data[[#This Row],[TotalWorkingYears]]&lt;=5,"0-5 Yrs",IF(HR_Data[[#This Row],[TotalWorkingYears]]&lt;=10,"6-10 Yrs",IF(HR_Data[[#This Row],[TotalWorkingYears]]&lt;=20,"11-20 Yrs","20+ Yrs")))</f>
        <v>20+ Yrs</v>
      </c>
      <c r="AT1078" s="1">
        <f>IF(HR_Data[[#This Row],[TotalWorkingYears]]&lt;=5,1,IF(HR_Data[[#This Row],[TotalWorkingYears]]&lt;=10,2,IF(HR_Data[[#This Row],[TotalWorkingYears]]&lt;=20,3,4)))</f>
        <v>4</v>
      </c>
    </row>
    <row r="1079" spans="1:46" x14ac:dyDescent="0.25">
      <c r="A1079">
        <v>29</v>
      </c>
      <c r="B1079" t="s">
        <v>29</v>
      </c>
      <c r="C1079" t="s">
        <v>30</v>
      </c>
      <c r="D1079" t="s">
        <v>38</v>
      </c>
      <c r="E1079">
        <v>1</v>
      </c>
      <c r="F1079">
        <v>4</v>
      </c>
      <c r="G1079" t="s">
        <v>53</v>
      </c>
      <c r="H1079">
        <v>1522</v>
      </c>
      <c r="I1079">
        <v>1</v>
      </c>
      <c r="J1079" t="s">
        <v>39</v>
      </c>
      <c r="K1079">
        <v>2</v>
      </c>
      <c r="L1079">
        <v>1</v>
      </c>
      <c r="M1079" t="s">
        <v>40</v>
      </c>
      <c r="N1079">
        <v>1</v>
      </c>
      <c r="O1079" t="s">
        <v>35</v>
      </c>
      <c r="P1079">
        <v>2362</v>
      </c>
      <c r="Q1079">
        <v>6</v>
      </c>
      <c r="R1079" t="s">
        <v>36</v>
      </c>
      <c r="S1079">
        <v>13</v>
      </c>
      <c r="T1079">
        <v>3</v>
      </c>
      <c r="U1079">
        <v>3</v>
      </c>
      <c r="V1079">
        <v>0</v>
      </c>
      <c r="W1079">
        <v>11</v>
      </c>
      <c r="X1079">
        <v>2</v>
      </c>
      <c r="Y1079">
        <v>1</v>
      </c>
      <c r="Z1079">
        <v>9</v>
      </c>
      <c r="AA1079">
        <v>7</v>
      </c>
      <c r="AB1079">
        <v>0</v>
      </c>
      <c r="AC1079">
        <v>7</v>
      </c>
      <c r="AD1079">
        <f>IF(HR_Data[[#This Row],[Attrition]]="Yes",1,0)</f>
        <v>1</v>
      </c>
      <c r="AE1079" t="str">
        <f>IF(HR_Data[[#This Row],[Age]]&lt;=25,"18-25",IF(HR_Data[[#This Row],[Age]]&lt;=35,"26-35",IF(HR_Data[[#This Row],[Age]]&lt;=45,"36-45",IF(HR_Data[[#This Row],[Age]]&lt;=55,"46-55","55+"))))</f>
        <v>26-35</v>
      </c>
      <c r="AF1079">
        <f>IF(HR_Data[[#This Row],[Age]]&lt;=25,1,IF(HR_Data[[#This Row],[Age]]&lt;=35,2,IF(HR_Data[[#This Row],[Age]]&lt;=45,3,IF(HR_Data[[#This Row],[Age]]&lt;=55,4,5))))</f>
        <v>2</v>
      </c>
      <c r="AG1079" s="1" t="str">
        <f>IF(HR_Data[[#This Row],[MonthlyIncome]]&lt;3000,"&lt;3K",IF(HR_Data[[#This Row],[MonthlyIncome]]&lt;6000,"3K-6K",IF(HR_Data[[#This Row],[MonthlyIncome]]&lt;10000,"6K-10K","10K+")))</f>
        <v>&lt;3K</v>
      </c>
      <c r="AH1079" s="1">
        <f>IF(HR_Data[[#This Row],[MonthlyIncome]]&lt;3000,1,IF(HR_Data[[#This Row],[MonthlyIncome]]&lt;6000,2,IF(HR_Data[[#This Row],[MonthlyIncome]]&lt;10000,3,4)))</f>
        <v>1</v>
      </c>
      <c r="AI1079" s="1" t="str">
        <f>IF(HR_Data[[#This Row],[YearsAtCompany]]&lt;=2,"0-2 Yrs",IF(HR_Data[[#This Row],[YearsAtCompany]]&lt;=5,"3-5 Yrs",IF(HR_Data[[#This Row],[YearsAtCompany]]&lt;=10,"6-10 Yrs","10+ Yrs")))</f>
        <v>6-10 Yrs</v>
      </c>
      <c r="AJ1079" s="1">
        <f>IF(HR_Data[[#This Row],[YearsAtCompany]]&lt;=2,1,IF(HR_Data[[#This Row],[YearsAtCompany]]&lt;=5,2,IF(HR_Data[[#This Row],[YearsAtCompany]]&lt;=10,3,4)))</f>
        <v>3</v>
      </c>
      <c r="AK1079" s="1" t="str">
        <f>CHOOSE(HR_Data[[#This Row],[Education]],"Below College","College","Bachelor","Master","Doctor")</f>
        <v>Master</v>
      </c>
      <c r="AL1079" s="1" t="str">
        <f>CHOOSE(HR_Data[[#This Row],[JobSatisfaction]],"Low","Medium","High","Very High")</f>
        <v>Low</v>
      </c>
      <c r="AM1079" s="1" t="str">
        <f>CHOOSE(HR_Data[[#This Row],[EnvironmentSatisfaction]],"Low","Medium","High","Very High")</f>
        <v>Low</v>
      </c>
      <c r="AN1079" s="1" t="str">
        <f>CHOOSE(HR_Data[[#This Row],[WorkLifeBalance]],"Bad","Good","Better","Best")</f>
        <v>Bad</v>
      </c>
      <c r="AO1079" s="1" t="str">
        <f>IF(HR_Data[[#This Row],[PercentSalaryHike]]&lt;=13,"11-13%",IF(HR_Data[[#This Row],[PercentSalaryHike]]&lt;=16,"14-16%",IF(HR_Data[[#This Row],[PercentSalaryHike]]&lt;=19,"17-19%","20-25%")))</f>
        <v>11-13%</v>
      </c>
      <c r="AP1079" s="1">
        <f>IF(HR_Data[[#This Row],[PercentSalaryHike]]&lt;=13,1,IF(HR_Data[[#This Row],[PercentSalaryHike]]&lt;=16,2,IF(HR_Data[[#This Row],[PercentSalaryHike]]&lt;=19,3,4)))</f>
        <v>1</v>
      </c>
      <c r="AQ1079" s="1" t="str">
        <f>IF(HR_Data[[#This Row],[DistanceFromHome]]&lt;=5,"1 to 5",IF(HR_Data[[#This Row],[DistanceFromHome]]&lt;=10,"6 to 10",IF(HR_Data[[#This Row],[DistanceFromHome]]&lt;=20,"11 to 20","21 to 29")))</f>
        <v>1 to 5</v>
      </c>
      <c r="AR1079" s="1">
        <f>IF(HR_Data[[#This Row],[DistanceFromHome]]&lt;=5,1,IF(HR_Data[[#This Row],[DistanceFromHome]]&lt;=10,2,IF(HR_Data[[#This Row],[DistanceFromHome]]&lt;=20,3,4)))</f>
        <v>1</v>
      </c>
      <c r="AS1079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079" s="1">
        <f>IF(HR_Data[[#This Row],[TotalWorkingYears]]&lt;=5,1,IF(HR_Data[[#This Row],[TotalWorkingYears]]&lt;=10,2,IF(HR_Data[[#This Row],[TotalWorkingYears]]&lt;=20,3,4)))</f>
        <v>3</v>
      </c>
    </row>
    <row r="1080" spans="1:46" x14ac:dyDescent="0.25">
      <c r="A1080">
        <v>44</v>
      </c>
      <c r="B1080" t="s">
        <v>36</v>
      </c>
      <c r="C1080" t="s">
        <v>30</v>
      </c>
      <c r="D1080" t="s">
        <v>38</v>
      </c>
      <c r="E1080">
        <v>28</v>
      </c>
      <c r="F1080">
        <v>3</v>
      </c>
      <c r="G1080" t="s">
        <v>32</v>
      </c>
      <c r="H1080">
        <v>1523</v>
      </c>
      <c r="I1080">
        <v>4</v>
      </c>
      <c r="J1080" t="s">
        <v>39</v>
      </c>
      <c r="K1080">
        <v>3</v>
      </c>
      <c r="L1080">
        <v>4</v>
      </c>
      <c r="M1080" t="s">
        <v>51</v>
      </c>
      <c r="N1080">
        <v>1</v>
      </c>
      <c r="O1080" t="s">
        <v>41</v>
      </c>
      <c r="P1080">
        <v>16328</v>
      </c>
      <c r="Q1080">
        <v>3</v>
      </c>
      <c r="R1080" t="s">
        <v>36</v>
      </c>
      <c r="S1080">
        <v>13</v>
      </c>
      <c r="T1080">
        <v>3</v>
      </c>
      <c r="U1080">
        <v>3</v>
      </c>
      <c r="V1080">
        <v>1</v>
      </c>
      <c r="W1080">
        <v>24</v>
      </c>
      <c r="X1080">
        <v>1</v>
      </c>
      <c r="Y1080">
        <v>4</v>
      </c>
      <c r="Z1080">
        <v>20</v>
      </c>
      <c r="AA1080">
        <v>6</v>
      </c>
      <c r="AB1080">
        <v>14</v>
      </c>
      <c r="AC1080">
        <v>17</v>
      </c>
      <c r="AD1080">
        <f>IF(HR_Data[[#This Row],[Attrition]]="Yes",1,0)</f>
        <v>0</v>
      </c>
      <c r="AE1080" t="str">
        <f>IF(HR_Data[[#This Row],[Age]]&lt;=25,"18-25",IF(HR_Data[[#This Row],[Age]]&lt;=35,"26-35",IF(HR_Data[[#This Row],[Age]]&lt;=45,"36-45",IF(HR_Data[[#This Row],[Age]]&lt;=55,"46-55","55+"))))</f>
        <v>36-45</v>
      </c>
      <c r="AF1080">
        <f>IF(HR_Data[[#This Row],[Age]]&lt;=25,1,IF(HR_Data[[#This Row],[Age]]&lt;=35,2,IF(HR_Data[[#This Row],[Age]]&lt;=45,3,IF(HR_Data[[#This Row],[Age]]&lt;=55,4,5))))</f>
        <v>3</v>
      </c>
      <c r="AG1080" s="1" t="str">
        <f>IF(HR_Data[[#This Row],[MonthlyIncome]]&lt;3000,"&lt;3K",IF(HR_Data[[#This Row],[MonthlyIncome]]&lt;6000,"3K-6K",IF(HR_Data[[#This Row],[MonthlyIncome]]&lt;10000,"6K-10K","10K+")))</f>
        <v>10K+</v>
      </c>
      <c r="AH1080" s="1">
        <f>IF(HR_Data[[#This Row],[MonthlyIncome]]&lt;3000,1,IF(HR_Data[[#This Row],[MonthlyIncome]]&lt;6000,2,IF(HR_Data[[#This Row],[MonthlyIncome]]&lt;10000,3,4)))</f>
        <v>4</v>
      </c>
      <c r="AI1080" s="1" t="str">
        <f>IF(HR_Data[[#This Row],[YearsAtCompany]]&lt;=2,"0-2 Yrs",IF(HR_Data[[#This Row],[YearsAtCompany]]&lt;=5,"3-5 Yrs",IF(HR_Data[[#This Row],[YearsAtCompany]]&lt;=10,"6-10 Yrs","10+ Yrs")))</f>
        <v>10+ Yrs</v>
      </c>
      <c r="AJ1080" s="1">
        <f>IF(HR_Data[[#This Row],[YearsAtCompany]]&lt;=2,1,IF(HR_Data[[#This Row],[YearsAtCompany]]&lt;=5,2,IF(HR_Data[[#This Row],[YearsAtCompany]]&lt;=10,3,4)))</f>
        <v>4</v>
      </c>
      <c r="AK1080" s="1" t="str">
        <f>CHOOSE(HR_Data[[#This Row],[Education]],"Below College","College","Bachelor","Master","Doctor")</f>
        <v>Bachelor</v>
      </c>
      <c r="AL1080" s="1" t="str">
        <f>CHOOSE(HR_Data[[#This Row],[JobSatisfaction]],"Low","Medium","High","Very High")</f>
        <v>Low</v>
      </c>
      <c r="AM1080" s="1" t="str">
        <f>CHOOSE(HR_Data[[#This Row],[EnvironmentSatisfaction]],"Low","Medium","High","Very High")</f>
        <v>Very High</v>
      </c>
      <c r="AN1080" s="1" t="str">
        <f>CHOOSE(HR_Data[[#This Row],[WorkLifeBalance]],"Bad","Good","Better","Best")</f>
        <v>Best</v>
      </c>
      <c r="AO1080" s="1" t="str">
        <f>IF(HR_Data[[#This Row],[PercentSalaryHike]]&lt;=13,"11-13%",IF(HR_Data[[#This Row],[PercentSalaryHike]]&lt;=16,"14-16%",IF(HR_Data[[#This Row],[PercentSalaryHike]]&lt;=19,"17-19%","20-25%")))</f>
        <v>11-13%</v>
      </c>
      <c r="AP1080" s="1">
        <f>IF(HR_Data[[#This Row],[PercentSalaryHike]]&lt;=13,1,IF(HR_Data[[#This Row],[PercentSalaryHike]]&lt;=16,2,IF(HR_Data[[#This Row],[PercentSalaryHike]]&lt;=19,3,4)))</f>
        <v>1</v>
      </c>
      <c r="AQ1080" s="1" t="str">
        <f>IF(HR_Data[[#This Row],[DistanceFromHome]]&lt;=5,"1 to 5",IF(HR_Data[[#This Row],[DistanceFromHome]]&lt;=10,"6 to 10",IF(HR_Data[[#This Row],[DistanceFromHome]]&lt;=20,"11 to 20","21 to 29")))</f>
        <v>21 to 29</v>
      </c>
      <c r="AR1080" s="1">
        <f>IF(HR_Data[[#This Row],[DistanceFromHome]]&lt;=5,1,IF(HR_Data[[#This Row],[DistanceFromHome]]&lt;=10,2,IF(HR_Data[[#This Row],[DistanceFromHome]]&lt;=20,3,4)))</f>
        <v>4</v>
      </c>
      <c r="AS1080" s="1" t="str">
        <f>IF(HR_Data[[#This Row],[TotalWorkingYears]]&lt;=5,"0-5 Yrs",IF(HR_Data[[#This Row],[TotalWorkingYears]]&lt;=10,"6-10 Yrs",IF(HR_Data[[#This Row],[TotalWorkingYears]]&lt;=20,"11-20 Yrs","20+ Yrs")))</f>
        <v>20+ Yrs</v>
      </c>
      <c r="AT1080" s="1">
        <f>IF(HR_Data[[#This Row],[TotalWorkingYears]]&lt;=5,1,IF(HR_Data[[#This Row],[TotalWorkingYears]]&lt;=10,2,IF(HR_Data[[#This Row],[TotalWorkingYears]]&lt;=20,3,4)))</f>
        <v>4</v>
      </c>
    </row>
    <row r="1081" spans="1:46" x14ac:dyDescent="0.25">
      <c r="A1081">
        <v>39</v>
      </c>
      <c r="B1081" t="s">
        <v>36</v>
      </c>
      <c r="C1081" t="s">
        <v>30</v>
      </c>
      <c r="D1081" t="s">
        <v>38</v>
      </c>
      <c r="E1081">
        <v>6</v>
      </c>
      <c r="F1081">
        <v>3</v>
      </c>
      <c r="G1081" t="s">
        <v>32</v>
      </c>
      <c r="H1081">
        <v>1525</v>
      </c>
      <c r="I1081">
        <v>2</v>
      </c>
      <c r="J1081" t="s">
        <v>33</v>
      </c>
      <c r="K1081">
        <v>3</v>
      </c>
      <c r="L1081">
        <v>3</v>
      </c>
      <c r="M1081" t="s">
        <v>46</v>
      </c>
      <c r="N1081">
        <v>2</v>
      </c>
      <c r="O1081" t="s">
        <v>35</v>
      </c>
      <c r="P1081">
        <v>8376</v>
      </c>
      <c r="Q1081">
        <v>4</v>
      </c>
      <c r="R1081" t="s">
        <v>36</v>
      </c>
      <c r="S1081">
        <v>18</v>
      </c>
      <c r="T1081">
        <v>3</v>
      </c>
      <c r="U1081">
        <v>4</v>
      </c>
      <c r="V1081">
        <v>0</v>
      </c>
      <c r="W1081">
        <v>9</v>
      </c>
      <c r="X1081">
        <v>3</v>
      </c>
      <c r="Y1081">
        <v>3</v>
      </c>
      <c r="Z1081">
        <v>2</v>
      </c>
      <c r="AA1081">
        <v>0</v>
      </c>
      <c r="AB1081">
        <v>2</v>
      </c>
      <c r="AC1081">
        <v>2</v>
      </c>
      <c r="AD1081">
        <f>IF(HR_Data[[#This Row],[Attrition]]="Yes",1,0)</f>
        <v>0</v>
      </c>
      <c r="AE1081" t="str">
        <f>IF(HR_Data[[#This Row],[Age]]&lt;=25,"18-25",IF(HR_Data[[#This Row],[Age]]&lt;=35,"26-35",IF(HR_Data[[#This Row],[Age]]&lt;=45,"36-45",IF(HR_Data[[#This Row],[Age]]&lt;=55,"46-55","55+"))))</f>
        <v>36-45</v>
      </c>
      <c r="AF1081">
        <f>IF(HR_Data[[#This Row],[Age]]&lt;=25,1,IF(HR_Data[[#This Row],[Age]]&lt;=35,2,IF(HR_Data[[#This Row],[Age]]&lt;=45,3,IF(HR_Data[[#This Row],[Age]]&lt;=55,4,5))))</f>
        <v>3</v>
      </c>
      <c r="AG1081" s="1" t="str">
        <f>IF(HR_Data[[#This Row],[MonthlyIncome]]&lt;3000,"&lt;3K",IF(HR_Data[[#This Row],[MonthlyIncome]]&lt;6000,"3K-6K",IF(HR_Data[[#This Row],[MonthlyIncome]]&lt;10000,"6K-10K","10K+")))</f>
        <v>6K-10K</v>
      </c>
      <c r="AH1081" s="1">
        <f>IF(HR_Data[[#This Row],[MonthlyIncome]]&lt;3000,1,IF(HR_Data[[#This Row],[MonthlyIncome]]&lt;6000,2,IF(HR_Data[[#This Row],[MonthlyIncome]]&lt;10000,3,4)))</f>
        <v>3</v>
      </c>
      <c r="AI1081" s="1" t="str">
        <f>IF(HR_Data[[#This Row],[YearsAtCompany]]&lt;=2,"0-2 Yrs",IF(HR_Data[[#This Row],[YearsAtCompany]]&lt;=5,"3-5 Yrs",IF(HR_Data[[#This Row],[YearsAtCompany]]&lt;=10,"6-10 Yrs","10+ Yrs")))</f>
        <v>0-2 Yrs</v>
      </c>
      <c r="AJ1081" s="1">
        <f>IF(HR_Data[[#This Row],[YearsAtCompany]]&lt;=2,1,IF(HR_Data[[#This Row],[YearsAtCompany]]&lt;=5,2,IF(HR_Data[[#This Row],[YearsAtCompany]]&lt;=10,3,4)))</f>
        <v>1</v>
      </c>
      <c r="AK1081" s="1" t="str">
        <f>CHOOSE(HR_Data[[#This Row],[Education]],"Below College","College","Bachelor","Master","Doctor")</f>
        <v>Bachelor</v>
      </c>
      <c r="AL1081" s="1" t="str">
        <f>CHOOSE(HR_Data[[#This Row],[JobSatisfaction]],"Low","Medium","High","Very High")</f>
        <v>Medium</v>
      </c>
      <c r="AM1081" s="1" t="str">
        <f>CHOOSE(HR_Data[[#This Row],[EnvironmentSatisfaction]],"Low","Medium","High","Very High")</f>
        <v>Medium</v>
      </c>
      <c r="AN1081" s="1" t="str">
        <f>CHOOSE(HR_Data[[#This Row],[WorkLifeBalance]],"Bad","Good","Better","Best")</f>
        <v>Better</v>
      </c>
      <c r="AO1081" s="1" t="str">
        <f>IF(HR_Data[[#This Row],[PercentSalaryHike]]&lt;=13,"11-13%",IF(HR_Data[[#This Row],[PercentSalaryHike]]&lt;=16,"14-16%",IF(HR_Data[[#This Row],[PercentSalaryHike]]&lt;=19,"17-19%","20-25%")))</f>
        <v>17-19%</v>
      </c>
      <c r="AP1081" s="1">
        <f>IF(HR_Data[[#This Row],[PercentSalaryHike]]&lt;=13,1,IF(HR_Data[[#This Row],[PercentSalaryHike]]&lt;=16,2,IF(HR_Data[[#This Row],[PercentSalaryHike]]&lt;=19,3,4)))</f>
        <v>3</v>
      </c>
      <c r="AQ1081" s="1" t="str">
        <f>IF(HR_Data[[#This Row],[DistanceFromHome]]&lt;=5,"1 to 5",IF(HR_Data[[#This Row],[DistanceFromHome]]&lt;=10,"6 to 10",IF(HR_Data[[#This Row],[DistanceFromHome]]&lt;=20,"11 to 20","21 to 29")))</f>
        <v>6 to 10</v>
      </c>
      <c r="AR1081" s="1">
        <f>IF(HR_Data[[#This Row],[DistanceFromHome]]&lt;=5,1,IF(HR_Data[[#This Row],[DistanceFromHome]]&lt;=10,2,IF(HR_Data[[#This Row],[DistanceFromHome]]&lt;=20,3,4)))</f>
        <v>2</v>
      </c>
      <c r="AS1081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081" s="1">
        <f>IF(HR_Data[[#This Row],[TotalWorkingYears]]&lt;=5,1,IF(HR_Data[[#This Row],[TotalWorkingYears]]&lt;=10,2,IF(HR_Data[[#This Row],[TotalWorkingYears]]&lt;=20,3,4)))</f>
        <v>2</v>
      </c>
    </row>
    <row r="1082" spans="1:46" x14ac:dyDescent="0.25">
      <c r="A1082">
        <v>46</v>
      </c>
      <c r="B1082" t="s">
        <v>36</v>
      </c>
      <c r="C1082" t="s">
        <v>30</v>
      </c>
      <c r="D1082" t="s">
        <v>31</v>
      </c>
      <c r="E1082">
        <v>3</v>
      </c>
      <c r="F1082">
        <v>3</v>
      </c>
      <c r="G1082" t="s">
        <v>32</v>
      </c>
      <c r="H1082">
        <v>1527</v>
      </c>
      <c r="I1082">
        <v>3</v>
      </c>
      <c r="J1082" t="s">
        <v>33</v>
      </c>
      <c r="K1082">
        <v>3</v>
      </c>
      <c r="L1082">
        <v>4</v>
      </c>
      <c r="M1082" t="s">
        <v>49</v>
      </c>
      <c r="N1082">
        <v>2</v>
      </c>
      <c r="O1082" t="s">
        <v>41</v>
      </c>
      <c r="P1082">
        <v>16606</v>
      </c>
      <c r="Q1082">
        <v>8</v>
      </c>
      <c r="R1082" t="s">
        <v>36</v>
      </c>
      <c r="S1082">
        <v>12</v>
      </c>
      <c r="T1082">
        <v>3</v>
      </c>
      <c r="U1082">
        <v>4</v>
      </c>
      <c r="V1082">
        <v>1</v>
      </c>
      <c r="W1082">
        <v>23</v>
      </c>
      <c r="X1082">
        <v>2</v>
      </c>
      <c r="Y1082">
        <v>4</v>
      </c>
      <c r="Z1082">
        <v>13</v>
      </c>
      <c r="AA1082">
        <v>12</v>
      </c>
      <c r="AB1082">
        <v>5</v>
      </c>
      <c r="AC1082">
        <v>1</v>
      </c>
      <c r="AD1082">
        <f>IF(HR_Data[[#This Row],[Attrition]]="Yes",1,0)</f>
        <v>0</v>
      </c>
      <c r="AE1082" t="str">
        <f>IF(HR_Data[[#This Row],[Age]]&lt;=25,"18-25",IF(HR_Data[[#This Row],[Age]]&lt;=35,"26-35",IF(HR_Data[[#This Row],[Age]]&lt;=45,"36-45",IF(HR_Data[[#This Row],[Age]]&lt;=55,"46-55","55+"))))</f>
        <v>46-55</v>
      </c>
      <c r="AF1082">
        <f>IF(HR_Data[[#This Row],[Age]]&lt;=25,1,IF(HR_Data[[#This Row],[Age]]&lt;=35,2,IF(HR_Data[[#This Row],[Age]]&lt;=45,3,IF(HR_Data[[#This Row],[Age]]&lt;=55,4,5))))</f>
        <v>4</v>
      </c>
      <c r="AG1082" s="1" t="str">
        <f>IF(HR_Data[[#This Row],[MonthlyIncome]]&lt;3000,"&lt;3K",IF(HR_Data[[#This Row],[MonthlyIncome]]&lt;6000,"3K-6K",IF(HR_Data[[#This Row],[MonthlyIncome]]&lt;10000,"6K-10K","10K+")))</f>
        <v>10K+</v>
      </c>
      <c r="AH1082" s="1">
        <f>IF(HR_Data[[#This Row],[MonthlyIncome]]&lt;3000,1,IF(HR_Data[[#This Row],[MonthlyIncome]]&lt;6000,2,IF(HR_Data[[#This Row],[MonthlyIncome]]&lt;10000,3,4)))</f>
        <v>4</v>
      </c>
      <c r="AI1082" s="1" t="str">
        <f>IF(HR_Data[[#This Row],[YearsAtCompany]]&lt;=2,"0-2 Yrs",IF(HR_Data[[#This Row],[YearsAtCompany]]&lt;=5,"3-5 Yrs",IF(HR_Data[[#This Row],[YearsAtCompany]]&lt;=10,"6-10 Yrs","10+ Yrs")))</f>
        <v>10+ Yrs</v>
      </c>
      <c r="AJ1082" s="1">
        <f>IF(HR_Data[[#This Row],[YearsAtCompany]]&lt;=2,1,IF(HR_Data[[#This Row],[YearsAtCompany]]&lt;=5,2,IF(HR_Data[[#This Row],[YearsAtCompany]]&lt;=10,3,4)))</f>
        <v>4</v>
      </c>
      <c r="AK1082" s="1" t="str">
        <f>CHOOSE(HR_Data[[#This Row],[Education]],"Below College","College","Bachelor","Master","Doctor")</f>
        <v>Bachelor</v>
      </c>
      <c r="AL1082" s="1" t="str">
        <f>CHOOSE(HR_Data[[#This Row],[JobSatisfaction]],"Low","Medium","High","Very High")</f>
        <v>Medium</v>
      </c>
      <c r="AM1082" s="1" t="str">
        <f>CHOOSE(HR_Data[[#This Row],[EnvironmentSatisfaction]],"Low","Medium","High","Very High")</f>
        <v>High</v>
      </c>
      <c r="AN1082" s="1" t="str">
        <f>CHOOSE(HR_Data[[#This Row],[WorkLifeBalance]],"Bad","Good","Better","Best")</f>
        <v>Best</v>
      </c>
      <c r="AO1082" s="1" t="str">
        <f>IF(HR_Data[[#This Row],[PercentSalaryHike]]&lt;=13,"11-13%",IF(HR_Data[[#This Row],[PercentSalaryHike]]&lt;=16,"14-16%",IF(HR_Data[[#This Row],[PercentSalaryHike]]&lt;=19,"17-19%","20-25%")))</f>
        <v>11-13%</v>
      </c>
      <c r="AP1082" s="1">
        <f>IF(HR_Data[[#This Row],[PercentSalaryHike]]&lt;=13,1,IF(HR_Data[[#This Row],[PercentSalaryHike]]&lt;=16,2,IF(HR_Data[[#This Row],[PercentSalaryHike]]&lt;=19,3,4)))</f>
        <v>1</v>
      </c>
      <c r="AQ1082" s="1" t="str">
        <f>IF(HR_Data[[#This Row],[DistanceFromHome]]&lt;=5,"1 to 5",IF(HR_Data[[#This Row],[DistanceFromHome]]&lt;=10,"6 to 10",IF(HR_Data[[#This Row],[DistanceFromHome]]&lt;=20,"11 to 20","21 to 29")))</f>
        <v>1 to 5</v>
      </c>
      <c r="AR1082" s="1">
        <f>IF(HR_Data[[#This Row],[DistanceFromHome]]&lt;=5,1,IF(HR_Data[[#This Row],[DistanceFromHome]]&lt;=10,2,IF(HR_Data[[#This Row],[DistanceFromHome]]&lt;=20,3,4)))</f>
        <v>1</v>
      </c>
      <c r="AS1082" s="1" t="str">
        <f>IF(HR_Data[[#This Row],[TotalWorkingYears]]&lt;=5,"0-5 Yrs",IF(HR_Data[[#This Row],[TotalWorkingYears]]&lt;=10,"6-10 Yrs",IF(HR_Data[[#This Row],[TotalWorkingYears]]&lt;=20,"11-20 Yrs","20+ Yrs")))</f>
        <v>20+ Yrs</v>
      </c>
      <c r="AT1082" s="1">
        <f>IF(HR_Data[[#This Row],[TotalWorkingYears]]&lt;=5,1,IF(HR_Data[[#This Row],[TotalWorkingYears]]&lt;=10,2,IF(HR_Data[[#This Row],[TotalWorkingYears]]&lt;=20,3,4)))</f>
        <v>4</v>
      </c>
    </row>
    <row r="1083" spans="1:46" x14ac:dyDescent="0.25">
      <c r="A1083">
        <v>35</v>
      </c>
      <c r="B1083" t="s">
        <v>36</v>
      </c>
      <c r="C1083" t="s">
        <v>30</v>
      </c>
      <c r="D1083" t="s">
        <v>38</v>
      </c>
      <c r="E1083">
        <v>16</v>
      </c>
      <c r="F1083">
        <v>3</v>
      </c>
      <c r="G1083" t="s">
        <v>32</v>
      </c>
      <c r="H1083">
        <v>1529</v>
      </c>
      <c r="I1083">
        <v>4</v>
      </c>
      <c r="J1083" t="s">
        <v>33</v>
      </c>
      <c r="K1083">
        <v>2</v>
      </c>
      <c r="L1083">
        <v>3</v>
      </c>
      <c r="M1083" t="s">
        <v>47</v>
      </c>
      <c r="N1083">
        <v>2</v>
      </c>
      <c r="O1083" t="s">
        <v>35</v>
      </c>
      <c r="P1083">
        <v>8606</v>
      </c>
      <c r="Q1083">
        <v>1</v>
      </c>
      <c r="R1083" t="s">
        <v>36</v>
      </c>
      <c r="S1083">
        <v>19</v>
      </c>
      <c r="T1083">
        <v>3</v>
      </c>
      <c r="U1083">
        <v>4</v>
      </c>
      <c r="V1083">
        <v>0</v>
      </c>
      <c r="W1083">
        <v>11</v>
      </c>
      <c r="X1083">
        <v>3</v>
      </c>
      <c r="Y1083">
        <v>1</v>
      </c>
      <c r="Z1083">
        <v>11</v>
      </c>
      <c r="AA1083">
        <v>8</v>
      </c>
      <c r="AB1083">
        <v>3</v>
      </c>
      <c r="AC1083">
        <v>3</v>
      </c>
      <c r="AD1083">
        <f>IF(HR_Data[[#This Row],[Attrition]]="Yes",1,0)</f>
        <v>0</v>
      </c>
      <c r="AE1083" t="str">
        <f>IF(HR_Data[[#This Row],[Age]]&lt;=25,"18-25",IF(HR_Data[[#This Row],[Age]]&lt;=35,"26-35",IF(HR_Data[[#This Row],[Age]]&lt;=45,"36-45",IF(HR_Data[[#This Row],[Age]]&lt;=55,"46-55","55+"))))</f>
        <v>26-35</v>
      </c>
      <c r="AF1083">
        <f>IF(HR_Data[[#This Row],[Age]]&lt;=25,1,IF(HR_Data[[#This Row],[Age]]&lt;=35,2,IF(HR_Data[[#This Row],[Age]]&lt;=45,3,IF(HR_Data[[#This Row],[Age]]&lt;=55,4,5))))</f>
        <v>2</v>
      </c>
      <c r="AG1083" s="1" t="str">
        <f>IF(HR_Data[[#This Row],[MonthlyIncome]]&lt;3000,"&lt;3K",IF(HR_Data[[#This Row],[MonthlyIncome]]&lt;6000,"3K-6K",IF(HR_Data[[#This Row],[MonthlyIncome]]&lt;10000,"6K-10K","10K+")))</f>
        <v>6K-10K</v>
      </c>
      <c r="AH1083" s="1">
        <f>IF(HR_Data[[#This Row],[MonthlyIncome]]&lt;3000,1,IF(HR_Data[[#This Row],[MonthlyIncome]]&lt;6000,2,IF(HR_Data[[#This Row],[MonthlyIncome]]&lt;10000,3,4)))</f>
        <v>3</v>
      </c>
      <c r="AI1083" s="1" t="str">
        <f>IF(HR_Data[[#This Row],[YearsAtCompany]]&lt;=2,"0-2 Yrs",IF(HR_Data[[#This Row],[YearsAtCompany]]&lt;=5,"3-5 Yrs",IF(HR_Data[[#This Row],[YearsAtCompany]]&lt;=10,"6-10 Yrs","10+ Yrs")))</f>
        <v>10+ Yrs</v>
      </c>
      <c r="AJ1083" s="1">
        <f>IF(HR_Data[[#This Row],[YearsAtCompany]]&lt;=2,1,IF(HR_Data[[#This Row],[YearsAtCompany]]&lt;=5,2,IF(HR_Data[[#This Row],[YearsAtCompany]]&lt;=10,3,4)))</f>
        <v>4</v>
      </c>
      <c r="AK1083" s="1" t="str">
        <f>CHOOSE(HR_Data[[#This Row],[Education]],"Below College","College","Bachelor","Master","Doctor")</f>
        <v>Bachelor</v>
      </c>
      <c r="AL1083" s="1" t="str">
        <f>CHOOSE(HR_Data[[#This Row],[JobSatisfaction]],"Low","Medium","High","Very High")</f>
        <v>Medium</v>
      </c>
      <c r="AM1083" s="1" t="str">
        <f>CHOOSE(HR_Data[[#This Row],[EnvironmentSatisfaction]],"Low","Medium","High","Very High")</f>
        <v>Very High</v>
      </c>
      <c r="AN1083" s="1" t="str">
        <f>CHOOSE(HR_Data[[#This Row],[WorkLifeBalance]],"Bad","Good","Better","Best")</f>
        <v>Bad</v>
      </c>
      <c r="AO1083" s="1" t="str">
        <f>IF(HR_Data[[#This Row],[PercentSalaryHike]]&lt;=13,"11-13%",IF(HR_Data[[#This Row],[PercentSalaryHike]]&lt;=16,"14-16%",IF(HR_Data[[#This Row],[PercentSalaryHike]]&lt;=19,"17-19%","20-25%")))</f>
        <v>17-19%</v>
      </c>
      <c r="AP1083" s="1">
        <f>IF(HR_Data[[#This Row],[PercentSalaryHike]]&lt;=13,1,IF(HR_Data[[#This Row],[PercentSalaryHike]]&lt;=16,2,IF(HR_Data[[#This Row],[PercentSalaryHike]]&lt;=19,3,4)))</f>
        <v>3</v>
      </c>
      <c r="AQ1083" s="1" t="str">
        <f>IF(HR_Data[[#This Row],[DistanceFromHome]]&lt;=5,"1 to 5",IF(HR_Data[[#This Row],[DistanceFromHome]]&lt;=10,"6 to 10",IF(HR_Data[[#This Row],[DistanceFromHome]]&lt;=20,"11 to 20","21 to 29")))</f>
        <v>11 to 20</v>
      </c>
      <c r="AR1083" s="1">
        <f>IF(HR_Data[[#This Row],[DistanceFromHome]]&lt;=5,1,IF(HR_Data[[#This Row],[DistanceFromHome]]&lt;=10,2,IF(HR_Data[[#This Row],[DistanceFromHome]]&lt;=20,3,4)))</f>
        <v>3</v>
      </c>
      <c r="AS1083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083" s="1">
        <f>IF(HR_Data[[#This Row],[TotalWorkingYears]]&lt;=5,1,IF(HR_Data[[#This Row],[TotalWorkingYears]]&lt;=10,2,IF(HR_Data[[#This Row],[TotalWorkingYears]]&lt;=20,3,4)))</f>
        <v>3</v>
      </c>
    </row>
    <row r="1084" spans="1:46" x14ac:dyDescent="0.25">
      <c r="A1084">
        <v>23</v>
      </c>
      <c r="B1084" t="s">
        <v>36</v>
      </c>
      <c r="C1084" t="s">
        <v>30</v>
      </c>
      <c r="D1084" t="s">
        <v>38</v>
      </c>
      <c r="E1084">
        <v>20</v>
      </c>
      <c r="F1084">
        <v>1</v>
      </c>
      <c r="G1084" t="s">
        <v>32</v>
      </c>
      <c r="H1084">
        <v>1533</v>
      </c>
      <c r="I1084">
        <v>1</v>
      </c>
      <c r="J1084" t="s">
        <v>39</v>
      </c>
      <c r="K1084">
        <v>3</v>
      </c>
      <c r="L1084">
        <v>2</v>
      </c>
      <c r="M1084" t="s">
        <v>43</v>
      </c>
      <c r="N1084">
        <v>3</v>
      </c>
      <c r="O1084" t="s">
        <v>35</v>
      </c>
      <c r="P1084">
        <v>2272</v>
      </c>
      <c r="Q1084">
        <v>0</v>
      </c>
      <c r="R1084" t="s">
        <v>36</v>
      </c>
      <c r="S1084">
        <v>14</v>
      </c>
      <c r="T1084">
        <v>3</v>
      </c>
      <c r="U1084">
        <v>2</v>
      </c>
      <c r="V1084">
        <v>0</v>
      </c>
      <c r="W1084">
        <v>5</v>
      </c>
      <c r="X1084">
        <v>2</v>
      </c>
      <c r="Y1084">
        <v>3</v>
      </c>
      <c r="Z1084">
        <v>4</v>
      </c>
      <c r="AA1084">
        <v>3</v>
      </c>
      <c r="AB1084">
        <v>1</v>
      </c>
      <c r="AC1084">
        <v>2</v>
      </c>
      <c r="AD1084">
        <f>IF(HR_Data[[#This Row],[Attrition]]="Yes",1,0)</f>
        <v>0</v>
      </c>
      <c r="AE1084" t="str">
        <f>IF(HR_Data[[#This Row],[Age]]&lt;=25,"18-25",IF(HR_Data[[#This Row],[Age]]&lt;=35,"26-35",IF(HR_Data[[#This Row],[Age]]&lt;=45,"36-45",IF(HR_Data[[#This Row],[Age]]&lt;=55,"46-55","55+"))))</f>
        <v>18-25</v>
      </c>
      <c r="AF1084">
        <f>IF(HR_Data[[#This Row],[Age]]&lt;=25,1,IF(HR_Data[[#This Row],[Age]]&lt;=35,2,IF(HR_Data[[#This Row],[Age]]&lt;=45,3,IF(HR_Data[[#This Row],[Age]]&lt;=55,4,5))))</f>
        <v>1</v>
      </c>
      <c r="AG1084" s="1" t="str">
        <f>IF(HR_Data[[#This Row],[MonthlyIncome]]&lt;3000,"&lt;3K",IF(HR_Data[[#This Row],[MonthlyIncome]]&lt;6000,"3K-6K",IF(HR_Data[[#This Row],[MonthlyIncome]]&lt;10000,"6K-10K","10K+")))</f>
        <v>&lt;3K</v>
      </c>
      <c r="AH1084" s="1">
        <f>IF(HR_Data[[#This Row],[MonthlyIncome]]&lt;3000,1,IF(HR_Data[[#This Row],[MonthlyIncome]]&lt;6000,2,IF(HR_Data[[#This Row],[MonthlyIncome]]&lt;10000,3,4)))</f>
        <v>1</v>
      </c>
      <c r="AI1084" s="1" t="str">
        <f>IF(HR_Data[[#This Row],[YearsAtCompany]]&lt;=2,"0-2 Yrs",IF(HR_Data[[#This Row],[YearsAtCompany]]&lt;=5,"3-5 Yrs",IF(HR_Data[[#This Row],[YearsAtCompany]]&lt;=10,"6-10 Yrs","10+ Yrs")))</f>
        <v>3-5 Yrs</v>
      </c>
      <c r="AJ1084" s="1">
        <f>IF(HR_Data[[#This Row],[YearsAtCompany]]&lt;=2,1,IF(HR_Data[[#This Row],[YearsAtCompany]]&lt;=5,2,IF(HR_Data[[#This Row],[YearsAtCompany]]&lt;=10,3,4)))</f>
        <v>2</v>
      </c>
      <c r="AK1084" s="1" t="str">
        <f>CHOOSE(HR_Data[[#This Row],[Education]],"Below College","College","Bachelor","Master","Doctor")</f>
        <v>Below College</v>
      </c>
      <c r="AL1084" s="1" t="str">
        <f>CHOOSE(HR_Data[[#This Row],[JobSatisfaction]],"Low","Medium","High","Very High")</f>
        <v>High</v>
      </c>
      <c r="AM1084" s="1" t="str">
        <f>CHOOSE(HR_Data[[#This Row],[EnvironmentSatisfaction]],"Low","Medium","High","Very High")</f>
        <v>Low</v>
      </c>
      <c r="AN1084" s="1" t="str">
        <f>CHOOSE(HR_Data[[#This Row],[WorkLifeBalance]],"Bad","Good","Better","Best")</f>
        <v>Better</v>
      </c>
      <c r="AO1084" s="1" t="str">
        <f>IF(HR_Data[[#This Row],[PercentSalaryHike]]&lt;=13,"11-13%",IF(HR_Data[[#This Row],[PercentSalaryHike]]&lt;=16,"14-16%",IF(HR_Data[[#This Row],[PercentSalaryHike]]&lt;=19,"17-19%","20-25%")))</f>
        <v>14-16%</v>
      </c>
      <c r="AP1084" s="1">
        <f>IF(HR_Data[[#This Row],[PercentSalaryHike]]&lt;=13,1,IF(HR_Data[[#This Row],[PercentSalaryHike]]&lt;=16,2,IF(HR_Data[[#This Row],[PercentSalaryHike]]&lt;=19,3,4)))</f>
        <v>2</v>
      </c>
      <c r="AQ1084" s="1" t="str">
        <f>IF(HR_Data[[#This Row],[DistanceFromHome]]&lt;=5,"1 to 5",IF(HR_Data[[#This Row],[DistanceFromHome]]&lt;=10,"6 to 10",IF(HR_Data[[#This Row],[DistanceFromHome]]&lt;=20,"11 to 20","21 to 29")))</f>
        <v>11 to 20</v>
      </c>
      <c r="AR1084" s="1">
        <f>IF(HR_Data[[#This Row],[DistanceFromHome]]&lt;=5,1,IF(HR_Data[[#This Row],[DistanceFromHome]]&lt;=10,2,IF(HR_Data[[#This Row],[DistanceFromHome]]&lt;=20,3,4)))</f>
        <v>3</v>
      </c>
      <c r="AS1084" s="1" t="str">
        <f>IF(HR_Data[[#This Row],[TotalWorkingYears]]&lt;=5,"0-5 Yrs",IF(HR_Data[[#This Row],[TotalWorkingYears]]&lt;=10,"6-10 Yrs",IF(HR_Data[[#This Row],[TotalWorkingYears]]&lt;=20,"11-20 Yrs","20+ Yrs")))</f>
        <v>0-5 Yrs</v>
      </c>
      <c r="AT1084" s="1">
        <f>IF(HR_Data[[#This Row],[TotalWorkingYears]]&lt;=5,1,IF(HR_Data[[#This Row],[TotalWorkingYears]]&lt;=10,2,IF(HR_Data[[#This Row],[TotalWorkingYears]]&lt;=20,3,4)))</f>
        <v>1</v>
      </c>
    </row>
    <row r="1085" spans="1:46" x14ac:dyDescent="0.25">
      <c r="A1085">
        <v>40</v>
      </c>
      <c r="B1085" t="s">
        <v>29</v>
      </c>
      <c r="C1085" t="s">
        <v>30</v>
      </c>
      <c r="D1085" t="s">
        <v>38</v>
      </c>
      <c r="E1085">
        <v>9</v>
      </c>
      <c r="F1085">
        <v>4</v>
      </c>
      <c r="G1085" t="s">
        <v>32</v>
      </c>
      <c r="H1085">
        <v>1534</v>
      </c>
      <c r="I1085">
        <v>4</v>
      </c>
      <c r="J1085" t="s">
        <v>39</v>
      </c>
      <c r="K1085">
        <v>3</v>
      </c>
      <c r="L1085">
        <v>1</v>
      </c>
      <c r="M1085" t="s">
        <v>43</v>
      </c>
      <c r="N1085">
        <v>1</v>
      </c>
      <c r="O1085" t="s">
        <v>35</v>
      </c>
      <c r="P1085">
        <v>2018</v>
      </c>
      <c r="Q1085">
        <v>3</v>
      </c>
      <c r="R1085" t="s">
        <v>36</v>
      </c>
      <c r="S1085">
        <v>14</v>
      </c>
      <c r="T1085">
        <v>3</v>
      </c>
      <c r="U1085">
        <v>2</v>
      </c>
      <c r="V1085">
        <v>0</v>
      </c>
      <c r="W1085">
        <v>15</v>
      </c>
      <c r="X1085">
        <v>3</v>
      </c>
      <c r="Y1085">
        <v>1</v>
      </c>
      <c r="Z1085">
        <v>5</v>
      </c>
      <c r="AA1085">
        <v>4</v>
      </c>
      <c r="AB1085">
        <v>1</v>
      </c>
      <c r="AC1085">
        <v>0</v>
      </c>
      <c r="AD1085">
        <f>IF(HR_Data[[#This Row],[Attrition]]="Yes",1,0)</f>
        <v>1</v>
      </c>
      <c r="AE1085" t="str">
        <f>IF(HR_Data[[#This Row],[Age]]&lt;=25,"18-25",IF(HR_Data[[#This Row],[Age]]&lt;=35,"26-35",IF(HR_Data[[#This Row],[Age]]&lt;=45,"36-45",IF(HR_Data[[#This Row],[Age]]&lt;=55,"46-55","55+"))))</f>
        <v>36-45</v>
      </c>
      <c r="AF1085">
        <f>IF(HR_Data[[#This Row],[Age]]&lt;=25,1,IF(HR_Data[[#This Row],[Age]]&lt;=35,2,IF(HR_Data[[#This Row],[Age]]&lt;=45,3,IF(HR_Data[[#This Row],[Age]]&lt;=55,4,5))))</f>
        <v>3</v>
      </c>
      <c r="AG1085" s="1" t="str">
        <f>IF(HR_Data[[#This Row],[MonthlyIncome]]&lt;3000,"&lt;3K",IF(HR_Data[[#This Row],[MonthlyIncome]]&lt;6000,"3K-6K",IF(HR_Data[[#This Row],[MonthlyIncome]]&lt;10000,"6K-10K","10K+")))</f>
        <v>&lt;3K</v>
      </c>
      <c r="AH1085" s="1">
        <f>IF(HR_Data[[#This Row],[MonthlyIncome]]&lt;3000,1,IF(HR_Data[[#This Row],[MonthlyIncome]]&lt;6000,2,IF(HR_Data[[#This Row],[MonthlyIncome]]&lt;10000,3,4)))</f>
        <v>1</v>
      </c>
      <c r="AI1085" s="1" t="str">
        <f>IF(HR_Data[[#This Row],[YearsAtCompany]]&lt;=2,"0-2 Yrs",IF(HR_Data[[#This Row],[YearsAtCompany]]&lt;=5,"3-5 Yrs",IF(HR_Data[[#This Row],[YearsAtCompany]]&lt;=10,"6-10 Yrs","10+ Yrs")))</f>
        <v>3-5 Yrs</v>
      </c>
      <c r="AJ1085" s="1">
        <f>IF(HR_Data[[#This Row],[YearsAtCompany]]&lt;=2,1,IF(HR_Data[[#This Row],[YearsAtCompany]]&lt;=5,2,IF(HR_Data[[#This Row],[YearsAtCompany]]&lt;=10,3,4)))</f>
        <v>2</v>
      </c>
      <c r="AK1085" s="1" t="str">
        <f>CHOOSE(HR_Data[[#This Row],[Education]],"Below College","College","Bachelor","Master","Doctor")</f>
        <v>Master</v>
      </c>
      <c r="AL1085" s="1" t="str">
        <f>CHOOSE(HR_Data[[#This Row],[JobSatisfaction]],"Low","Medium","High","Very High")</f>
        <v>Low</v>
      </c>
      <c r="AM1085" s="1" t="str">
        <f>CHOOSE(HR_Data[[#This Row],[EnvironmentSatisfaction]],"Low","Medium","High","Very High")</f>
        <v>Very High</v>
      </c>
      <c r="AN1085" s="1" t="str">
        <f>CHOOSE(HR_Data[[#This Row],[WorkLifeBalance]],"Bad","Good","Better","Best")</f>
        <v>Bad</v>
      </c>
      <c r="AO1085" s="1" t="str">
        <f>IF(HR_Data[[#This Row],[PercentSalaryHike]]&lt;=13,"11-13%",IF(HR_Data[[#This Row],[PercentSalaryHike]]&lt;=16,"14-16%",IF(HR_Data[[#This Row],[PercentSalaryHike]]&lt;=19,"17-19%","20-25%")))</f>
        <v>14-16%</v>
      </c>
      <c r="AP1085" s="1">
        <f>IF(HR_Data[[#This Row],[PercentSalaryHike]]&lt;=13,1,IF(HR_Data[[#This Row],[PercentSalaryHike]]&lt;=16,2,IF(HR_Data[[#This Row],[PercentSalaryHike]]&lt;=19,3,4)))</f>
        <v>2</v>
      </c>
      <c r="AQ1085" s="1" t="str">
        <f>IF(HR_Data[[#This Row],[DistanceFromHome]]&lt;=5,"1 to 5",IF(HR_Data[[#This Row],[DistanceFromHome]]&lt;=10,"6 to 10",IF(HR_Data[[#This Row],[DistanceFromHome]]&lt;=20,"11 to 20","21 to 29")))</f>
        <v>6 to 10</v>
      </c>
      <c r="AR1085" s="1">
        <f>IF(HR_Data[[#This Row],[DistanceFromHome]]&lt;=5,1,IF(HR_Data[[#This Row],[DistanceFromHome]]&lt;=10,2,IF(HR_Data[[#This Row],[DistanceFromHome]]&lt;=20,3,4)))</f>
        <v>2</v>
      </c>
      <c r="AS1085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085" s="1">
        <f>IF(HR_Data[[#This Row],[TotalWorkingYears]]&lt;=5,1,IF(HR_Data[[#This Row],[TotalWorkingYears]]&lt;=10,2,IF(HR_Data[[#This Row],[TotalWorkingYears]]&lt;=20,3,4)))</f>
        <v>3</v>
      </c>
    </row>
    <row r="1086" spans="1:46" x14ac:dyDescent="0.25">
      <c r="A1086">
        <v>34</v>
      </c>
      <c r="B1086" t="s">
        <v>36</v>
      </c>
      <c r="C1086" t="s">
        <v>30</v>
      </c>
      <c r="D1086" t="s">
        <v>31</v>
      </c>
      <c r="E1086">
        <v>1</v>
      </c>
      <c r="F1086">
        <v>3</v>
      </c>
      <c r="G1086" t="s">
        <v>53</v>
      </c>
      <c r="H1086">
        <v>1535</v>
      </c>
      <c r="I1086">
        <v>4</v>
      </c>
      <c r="J1086" t="s">
        <v>39</v>
      </c>
      <c r="K1086">
        <v>2</v>
      </c>
      <c r="L1086">
        <v>3</v>
      </c>
      <c r="M1086" t="s">
        <v>34</v>
      </c>
      <c r="N1086">
        <v>3</v>
      </c>
      <c r="O1086" t="s">
        <v>41</v>
      </c>
      <c r="P1086">
        <v>7083</v>
      </c>
      <c r="Q1086">
        <v>1</v>
      </c>
      <c r="R1086" t="s">
        <v>29</v>
      </c>
      <c r="S1086">
        <v>14</v>
      </c>
      <c r="T1086">
        <v>3</v>
      </c>
      <c r="U1086">
        <v>4</v>
      </c>
      <c r="V1086">
        <v>0</v>
      </c>
      <c r="W1086">
        <v>10</v>
      </c>
      <c r="X1086">
        <v>3</v>
      </c>
      <c r="Y1086">
        <v>3</v>
      </c>
      <c r="Z1086">
        <v>10</v>
      </c>
      <c r="AA1086">
        <v>9</v>
      </c>
      <c r="AB1086">
        <v>8</v>
      </c>
      <c r="AC1086">
        <v>6</v>
      </c>
      <c r="AD1086">
        <f>IF(HR_Data[[#This Row],[Attrition]]="Yes",1,0)</f>
        <v>0</v>
      </c>
      <c r="AE1086" t="str">
        <f>IF(HR_Data[[#This Row],[Age]]&lt;=25,"18-25",IF(HR_Data[[#This Row],[Age]]&lt;=35,"26-35",IF(HR_Data[[#This Row],[Age]]&lt;=45,"36-45",IF(HR_Data[[#This Row],[Age]]&lt;=55,"46-55","55+"))))</f>
        <v>26-35</v>
      </c>
      <c r="AF1086">
        <f>IF(HR_Data[[#This Row],[Age]]&lt;=25,1,IF(HR_Data[[#This Row],[Age]]&lt;=35,2,IF(HR_Data[[#This Row],[Age]]&lt;=45,3,IF(HR_Data[[#This Row],[Age]]&lt;=55,4,5))))</f>
        <v>2</v>
      </c>
      <c r="AG1086" s="1" t="str">
        <f>IF(HR_Data[[#This Row],[MonthlyIncome]]&lt;3000,"&lt;3K",IF(HR_Data[[#This Row],[MonthlyIncome]]&lt;6000,"3K-6K",IF(HR_Data[[#This Row],[MonthlyIncome]]&lt;10000,"6K-10K","10K+")))</f>
        <v>6K-10K</v>
      </c>
      <c r="AH1086" s="1">
        <f>IF(HR_Data[[#This Row],[MonthlyIncome]]&lt;3000,1,IF(HR_Data[[#This Row],[MonthlyIncome]]&lt;6000,2,IF(HR_Data[[#This Row],[MonthlyIncome]]&lt;10000,3,4)))</f>
        <v>3</v>
      </c>
      <c r="AI1086" s="1" t="str">
        <f>IF(HR_Data[[#This Row],[YearsAtCompany]]&lt;=2,"0-2 Yrs",IF(HR_Data[[#This Row],[YearsAtCompany]]&lt;=5,"3-5 Yrs",IF(HR_Data[[#This Row],[YearsAtCompany]]&lt;=10,"6-10 Yrs","10+ Yrs")))</f>
        <v>6-10 Yrs</v>
      </c>
      <c r="AJ1086" s="1">
        <f>IF(HR_Data[[#This Row],[YearsAtCompany]]&lt;=2,1,IF(HR_Data[[#This Row],[YearsAtCompany]]&lt;=5,2,IF(HR_Data[[#This Row],[YearsAtCompany]]&lt;=10,3,4)))</f>
        <v>3</v>
      </c>
      <c r="AK1086" s="1" t="str">
        <f>CHOOSE(HR_Data[[#This Row],[Education]],"Below College","College","Bachelor","Master","Doctor")</f>
        <v>Bachelor</v>
      </c>
      <c r="AL1086" s="1" t="str">
        <f>CHOOSE(HR_Data[[#This Row],[JobSatisfaction]],"Low","Medium","High","Very High")</f>
        <v>High</v>
      </c>
      <c r="AM1086" s="1" t="str">
        <f>CHOOSE(HR_Data[[#This Row],[EnvironmentSatisfaction]],"Low","Medium","High","Very High")</f>
        <v>Very High</v>
      </c>
      <c r="AN1086" s="1" t="str">
        <f>CHOOSE(HR_Data[[#This Row],[WorkLifeBalance]],"Bad","Good","Better","Best")</f>
        <v>Better</v>
      </c>
      <c r="AO1086" s="1" t="str">
        <f>IF(HR_Data[[#This Row],[PercentSalaryHike]]&lt;=13,"11-13%",IF(HR_Data[[#This Row],[PercentSalaryHike]]&lt;=16,"14-16%",IF(HR_Data[[#This Row],[PercentSalaryHike]]&lt;=19,"17-19%","20-25%")))</f>
        <v>14-16%</v>
      </c>
      <c r="AP1086" s="1">
        <f>IF(HR_Data[[#This Row],[PercentSalaryHike]]&lt;=13,1,IF(HR_Data[[#This Row],[PercentSalaryHike]]&lt;=16,2,IF(HR_Data[[#This Row],[PercentSalaryHike]]&lt;=19,3,4)))</f>
        <v>2</v>
      </c>
      <c r="AQ1086" s="1" t="str">
        <f>IF(HR_Data[[#This Row],[DistanceFromHome]]&lt;=5,"1 to 5",IF(HR_Data[[#This Row],[DistanceFromHome]]&lt;=10,"6 to 10",IF(HR_Data[[#This Row],[DistanceFromHome]]&lt;=20,"11 to 20","21 to 29")))</f>
        <v>1 to 5</v>
      </c>
      <c r="AR1086" s="1">
        <f>IF(HR_Data[[#This Row],[DistanceFromHome]]&lt;=5,1,IF(HR_Data[[#This Row],[DistanceFromHome]]&lt;=10,2,IF(HR_Data[[#This Row],[DistanceFromHome]]&lt;=20,3,4)))</f>
        <v>1</v>
      </c>
      <c r="AS1086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086" s="1">
        <f>IF(HR_Data[[#This Row],[TotalWorkingYears]]&lt;=5,1,IF(HR_Data[[#This Row],[TotalWorkingYears]]&lt;=10,2,IF(HR_Data[[#This Row],[TotalWorkingYears]]&lt;=20,3,4)))</f>
        <v>2</v>
      </c>
    </row>
    <row r="1087" spans="1:46" x14ac:dyDescent="0.25">
      <c r="A1087">
        <v>31</v>
      </c>
      <c r="B1087" t="s">
        <v>29</v>
      </c>
      <c r="C1087" t="s">
        <v>37</v>
      </c>
      <c r="D1087" t="s">
        <v>38</v>
      </c>
      <c r="E1087">
        <v>3</v>
      </c>
      <c r="F1087">
        <v>3</v>
      </c>
      <c r="G1087" t="s">
        <v>32</v>
      </c>
      <c r="H1087">
        <v>1537</v>
      </c>
      <c r="I1087">
        <v>4</v>
      </c>
      <c r="J1087" t="s">
        <v>33</v>
      </c>
      <c r="K1087">
        <v>3</v>
      </c>
      <c r="L1087">
        <v>1</v>
      </c>
      <c r="M1087" t="s">
        <v>40</v>
      </c>
      <c r="N1087">
        <v>3</v>
      </c>
      <c r="O1087" t="s">
        <v>35</v>
      </c>
      <c r="P1087">
        <v>4084</v>
      </c>
      <c r="Q1087">
        <v>1</v>
      </c>
      <c r="R1087" t="s">
        <v>36</v>
      </c>
      <c r="S1087">
        <v>12</v>
      </c>
      <c r="T1087">
        <v>3</v>
      </c>
      <c r="U1087">
        <v>1</v>
      </c>
      <c r="V1087">
        <v>0</v>
      </c>
      <c r="W1087">
        <v>7</v>
      </c>
      <c r="X1087">
        <v>2</v>
      </c>
      <c r="Y1087">
        <v>1</v>
      </c>
      <c r="Z1087">
        <v>7</v>
      </c>
      <c r="AA1087">
        <v>2</v>
      </c>
      <c r="AB1087">
        <v>7</v>
      </c>
      <c r="AC1087">
        <v>7</v>
      </c>
      <c r="AD1087">
        <f>IF(HR_Data[[#This Row],[Attrition]]="Yes",1,0)</f>
        <v>1</v>
      </c>
      <c r="AE1087" t="str">
        <f>IF(HR_Data[[#This Row],[Age]]&lt;=25,"18-25",IF(HR_Data[[#This Row],[Age]]&lt;=35,"26-35",IF(HR_Data[[#This Row],[Age]]&lt;=45,"36-45",IF(HR_Data[[#This Row],[Age]]&lt;=55,"46-55","55+"))))</f>
        <v>26-35</v>
      </c>
      <c r="AF1087">
        <f>IF(HR_Data[[#This Row],[Age]]&lt;=25,1,IF(HR_Data[[#This Row],[Age]]&lt;=35,2,IF(HR_Data[[#This Row],[Age]]&lt;=45,3,IF(HR_Data[[#This Row],[Age]]&lt;=55,4,5))))</f>
        <v>2</v>
      </c>
      <c r="AG1087" s="1" t="str">
        <f>IF(HR_Data[[#This Row],[MonthlyIncome]]&lt;3000,"&lt;3K",IF(HR_Data[[#This Row],[MonthlyIncome]]&lt;6000,"3K-6K",IF(HR_Data[[#This Row],[MonthlyIncome]]&lt;10000,"6K-10K","10K+")))</f>
        <v>3K-6K</v>
      </c>
      <c r="AH1087" s="1">
        <f>IF(HR_Data[[#This Row],[MonthlyIncome]]&lt;3000,1,IF(HR_Data[[#This Row],[MonthlyIncome]]&lt;6000,2,IF(HR_Data[[#This Row],[MonthlyIncome]]&lt;10000,3,4)))</f>
        <v>2</v>
      </c>
      <c r="AI1087" s="1" t="str">
        <f>IF(HR_Data[[#This Row],[YearsAtCompany]]&lt;=2,"0-2 Yrs",IF(HR_Data[[#This Row],[YearsAtCompany]]&lt;=5,"3-5 Yrs",IF(HR_Data[[#This Row],[YearsAtCompany]]&lt;=10,"6-10 Yrs","10+ Yrs")))</f>
        <v>6-10 Yrs</v>
      </c>
      <c r="AJ1087" s="1">
        <f>IF(HR_Data[[#This Row],[YearsAtCompany]]&lt;=2,1,IF(HR_Data[[#This Row],[YearsAtCompany]]&lt;=5,2,IF(HR_Data[[#This Row],[YearsAtCompany]]&lt;=10,3,4)))</f>
        <v>3</v>
      </c>
      <c r="AK1087" s="1" t="str">
        <f>CHOOSE(HR_Data[[#This Row],[Education]],"Below College","College","Bachelor","Master","Doctor")</f>
        <v>Bachelor</v>
      </c>
      <c r="AL1087" s="1" t="str">
        <f>CHOOSE(HR_Data[[#This Row],[JobSatisfaction]],"Low","Medium","High","Very High")</f>
        <v>High</v>
      </c>
      <c r="AM1087" s="1" t="str">
        <f>CHOOSE(HR_Data[[#This Row],[EnvironmentSatisfaction]],"Low","Medium","High","Very High")</f>
        <v>Very High</v>
      </c>
      <c r="AN1087" s="1" t="str">
        <f>CHOOSE(HR_Data[[#This Row],[WorkLifeBalance]],"Bad","Good","Better","Best")</f>
        <v>Bad</v>
      </c>
      <c r="AO1087" s="1" t="str">
        <f>IF(HR_Data[[#This Row],[PercentSalaryHike]]&lt;=13,"11-13%",IF(HR_Data[[#This Row],[PercentSalaryHike]]&lt;=16,"14-16%",IF(HR_Data[[#This Row],[PercentSalaryHike]]&lt;=19,"17-19%","20-25%")))</f>
        <v>11-13%</v>
      </c>
      <c r="AP1087" s="1">
        <f>IF(HR_Data[[#This Row],[PercentSalaryHike]]&lt;=13,1,IF(HR_Data[[#This Row],[PercentSalaryHike]]&lt;=16,2,IF(HR_Data[[#This Row],[PercentSalaryHike]]&lt;=19,3,4)))</f>
        <v>1</v>
      </c>
      <c r="AQ1087" s="1" t="str">
        <f>IF(HR_Data[[#This Row],[DistanceFromHome]]&lt;=5,"1 to 5",IF(HR_Data[[#This Row],[DistanceFromHome]]&lt;=10,"6 to 10",IF(HR_Data[[#This Row],[DistanceFromHome]]&lt;=20,"11 to 20","21 to 29")))</f>
        <v>1 to 5</v>
      </c>
      <c r="AR1087" s="1">
        <f>IF(HR_Data[[#This Row],[DistanceFromHome]]&lt;=5,1,IF(HR_Data[[#This Row],[DistanceFromHome]]&lt;=10,2,IF(HR_Data[[#This Row],[DistanceFromHome]]&lt;=20,3,4)))</f>
        <v>1</v>
      </c>
      <c r="AS1087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087" s="1">
        <f>IF(HR_Data[[#This Row],[TotalWorkingYears]]&lt;=5,1,IF(HR_Data[[#This Row],[TotalWorkingYears]]&lt;=10,2,IF(HR_Data[[#This Row],[TotalWorkingYears]]&lt;=20,3,4)))</f>
        <v>2</v>
      </c>
    </row>
    <row r="1088" spans="1:46" x14ac:dyDescent="0.25">
      <c r="A1088">
        <v>50</v>
      </c>
      <c r="B1088" t="s">
        <v>36</v>
      </c>
      <c r="C1088" t="s">
        <v>37</v>
      </c>
      <c r="D1088" t="s">
        <v>38</v>
      </c>
      <c r="E1088">
        <v>22</v>
      </c>
      <c r="F1088">
        <v>5</v>
      </c>
      <c r="G1088" t="s">
        <v>44</v>
      </c>
      <c r="H1088">
        <v>1539</v>
      </c>
      <c r="I1088">
        <v>3</v>
      </c>
      <c r="J1088" t="s">
        <v>39</v>
      </c>
      <c r="K1088">
        <v>1</v>
      </c>
      <c r="L1088">
        <v>4</v>
      </c>
      <c r="M1088" t="s">
        <v>51</v>
      </c>
      <c r="N1088">
        <v>4</v>
      </c>
      <c r="O1088" t="s">
        <v>35</v>
      </c>
      <c r="P1088">
        <v>14411</v>
      </c>
      <c r="Q1088">
        <v>1</v>
      </c>
      <c r="R1088" t="s">
        <v>29</v>
      </c>
      <c r="S1088">
        <v>13</v>
      </c>
      <c r="T1088">
        <v>3</v>
      </c>
      <c r="U1088">
        <v>4</v>
      </c>
      <c r="V1088">
        <v>0</v>
      </c>
      <c r="W1088">
        <v>32</v>
      </c>
      <c r="X1088">
        <v>2</v>
      </c>
      <c r="Y1088">
        <v>3</v>
      </c>
      <c r="Z1088">
        <v>32</v>
      </c>
      <c r="AA1088">
        <v>6</v>
      </c>
      <c r="AB1088">
        <v>13</v>
      </c>
      <c r="AC1088">
        <v>9</v>
      </c>
      <c r="AD1088">
        <f>IF(HR_Data[[#This Row],[Attrition]]="Yes",1,0)</f>
        <v>0</v>
      </c>
      <c r="AE1088" t="str">
        <f>IF(HR_Data[[#This Row],[Age]]&lt;=25,"18-25",IF(HR_Data[[#This Row],[Age]]&lt;=35,"26-35",IF(HR_Data[[#This Row],[Age]]&lt;=45,"36-45",IF(HR_Data[[#This Row],[Age]]&lt;=55,"46-55","55+"))))</f>
        <v>46-55</v>
      </c>
      <c r="AF1088">
        <f>IF(HR_Data[[#This Row],[Age]]&lt;=25,1,IF(HR_Data[[#This Row],[Age]]&lt;=35,2,IF(HR_Data[[#This Row],[Age]]&lt;=45,3,IF(HR_Data[[#This Row],[Age]]&lt;=55,4,5))))</f>
        <v>4</v>
      </c>
      <c r="AG1088" s="1" t="str">
        <f>IF(HR_Data[[#This Row],[MonthlyIncome]]&lt;3000,"&lt;3K",IF(HR_Data[[#This Row],[MonthlyIncome]]&lt;6000,"3K-6K",IF(HR_Data[[#This Row],[MonthlyIncome]]&lt;10000,"6K-10K","10K+")))</f>
        <v>10K+</v>
      </c>
      <c r="AH1088" s="1">
        <f>IF(HR_Data[[#This Row],[MonthlyIncome]]&lt;3000,1,IF(HR_Data[[#This Row],[MonthlyIncome]]&lt;6000,2,IF(HR_Data[[#This Row],[MonthlyIncome]]&lt;10000,3,4)))</f>
        <v>4</v>
      </c>
      <c r="AI1088" s="1" t="str">
        <f>IF(HR_Data[[#This Row],[YearsAtCompany]]&lt;=2,"0-2 Yrs",IF(HR_Data[[#This Row],[YearsAtCompany]]&lt;=5,"3-5 Yrs",IF(HR_Data[[#This Row],[YearsAtCompany]]&lt;=10,"6-10 Yrs","10+ Yrs")))</f>
        <v>10+ Yrs</v>
      </c>
      <c r="AJ1088" s="1">
        <f>IF(HR_Data[[#This Row],[YearsAtCompany]]&lt;=2,1,IF(HR_Data[[#This Row],[YearsAtCompany]]&lt;=5,2,IF(HR_Data[[#This Row],[YearsAtCompany]]&lt;=10,3,4)))</f>
        <v>4</v>
      </c>
      <c r="AK1088" s="1" t="str">
        <f>CHOOSE(HR_Data[[#This Row],[Education]],"Below College","College","Bachelor","Master","Doctor")</f>
        <v>Doctor</v>
      </c>
      <c r="AL1088" s="1" t="str">
        <f>CHOOSE(HR_Data[[#This Row],[JobSatisfaction]],"Low","Medium","High","Very High")</f>
        <v>Very High</v>
      </c>
      <c r="AM1088" s="1" t="str">
        <f>CHOOSE(HR_Data[[#This Row],[EnvironmentSatisfaction]],"Low","Medium","High","Very High")</f>
        <v>High</v>
      </c>
      <c r="AN1088" s="1" t="str">
        <f>CHOOSE(HR_Data[[#This Row],[WorkLifeBalance]],"Bad","Good","Better","Best")</f>
        <v>Better</v>
      </c>
      <c r="AO1088" s="1" t="str">
        <f>IF(HR_Data[[#This Row],[PercentSalaryHike]]&lt;=13,"11-13%",IF(HR_Data[[#This Row],[PercentSalaryHike]]&lt;=16,"14-16%",IF(HR_Data[[#This Row],[PercentSalaryHike]]&lt;=19,"17-19%","20-25%")))</f>
        <v>11-13%</v>
      </c>
      <c r="AP1088" s="1">
        <f>IF(HR_Data[[#This Row],[PercentSalaryHike]]&lt;=13,1,IF(HR_Data[[#This Row],[PercentSalaryHike]]&lt;=16,2,IF(HR_Data[[#This Row],[PercentSalaryHike]]&lt;=19,3,4)))</f>
        <v>1</v>
      </c>
      <c r="AQ1088" s="1" t="str">
        <f>IF(HR_Data[[#This Row],[DistanceFromHome]]&lt;=5,"1 to 5",IF(HR_Data[[#This Row],[DistanceFromHome]]&lt;=10,"6 to 10",IF(HR_Data[[#This Row],[DistanceFromHome]]&lt;=20,"11 to 20","21 to 29")))</f>
        <v>21 to 29</v>
      </c>
      <c r="AR1088" s="1">
        <f>IF(HR_Data[[#This Row],[DistanceFromHome]]&lt;=5,1,IF(HR_Data[[#This Row],[DistanceFromHome]]&lt;=10,2,IF(HR_Data[[#This Row],[DistanceFromHome]]&lt;=20,3,4)))</f>
        <v>4</v>
      </c>
      <c r="AS1088" s="1" t="str">
        <f>IF(HR_Data[[#This Row],[TotalWorkingYears]]&lt;=5,"0-5 Yrs",IF(HR_Data[[#This Row],[TotalWorkingYears]]&lt;=10,"6-10 Yrs",IF(HR_Data[[#This Row],[TotalWorkingYears]]&lt;=20,"11-20 Yrs","20+ Yrs")))</f>
        <v>20+ Yrs</v>
      </c>
      <c r="AT1088" s="1">
        <f>IF(HR_Data[[#This Row],[TotalWorkingYears]]&lt;=5,1,IF(HR_Data[[#This Row],[TotalWorkingYears]]&lt;=10,2,IF(HR_Data[[#This Row],[TotalWorkingYears]]&lt;=20,3,4)))</f>
        <v>4</v>
      </c>
    </row>
    <row r="1089" spans="1:46" x14ac:dyDescent="0.25">
      <c r="A1089">
        <v>34</v>
      </c>
      <c r="B1089" t="s">
        <v>36</v>
      </c>
      <c r="C1089" t="s">
        <v>30</v>
      </c>
      <c r="D1089" t="s">
        <v>31</v>
      </c>
      <c r="E1089">
        <v>7</v>
      </c>
      <c r="F1089">
        <v>2</v>
      </c>
      <c r="G1089" t="s">
        <v>53</v>
      </c>
      <c r="H1089">
        <v>1541</v>
      </c>
      <c r="I1089">
        <v>2</v>
      </c>
      <c r="J1089" t="s">
        <v>39</v>
      </c>
      <c r="K1089">
        <v>3</v>
      </c>
      <c r="L1089">
        <v>1</v>
      </c>
      <c r="M1089" t="s">
        <v>50</v>
      </c>
      <c r="N1089">
        <v>3</v>
      </c>
      <c r="O1089" t="s">
        <v>41</v>
      </c>
      <c r="P1089">
        <v>2308</v>
      </c>
      <c r="Q1089">
        <v>0</v>
      </c>
      <c r="R1089" t="s">
        <v>29</v>
      </c>
      <c r="S1089">
        <v>25</v>
      </c>
      <c r="T1089">
        <v>4</v>
      </c>
      <c r="U1089">
        <v>2</v>
      </c>
      <c r="V1089">
        <v>1</v>
      </c>
      <c r="W1089">
        <v>12</v>
      </c>
      <c r="X1089">
        <v>4</v>
      </c>
      <c r="Y1089">
        <v>3</v>
      </c>
      <c r="Z1089">
        <v>11</v>
      </c>
      <c r="AA1089">
        <v>10</v>
      </c>
      <c r="AB1089">
        <v>5</v>
      </c>
      <c r="AC1089">
        <v>7</v>
      </c>
      <c r="AD1089">
        <f>IF(HR_Data[[#This Row],[Attrition]]="Yes",1,0)</f>
        <v>0</v>
      </c>
      <c r="AE1089" t="str">
        <f>IF(HR_Data[[#This Row],[Age]]&lt;=25,"18-25",IF(HR_Data[[#This Row],[Age]]&lt;=35,"26-35",IF(HR_Data[[#This Row],[Age]]&lt;=45,"36-45",IF(HR_Data[[#This Row],[Age]]&lt;=55,"46-55","55+"))))</f>
        <v>26-35</v>
      </c>
      <c r="AF1089">
        <f>IF(HR_Data[[#This Row],[Age]]&lt;=25,1,IF(HR_Data[[#This Row],[Age]]&lt;=35,2,IF(HR_Data[[#This Row],[Age]]&lt;=45,3,IF(HR_Data[[#This Row],[Age]]&lt;=55,4,5))))</f>
        <v>2</v>
      </c>
      <c r="AG1089" s="1" t="str">
        <f>IF(HR_Data[[#This Row],[MonthlyIncome]]&lt;3000,"&lt;3K",IF(HR_Data[[#This Row],[MonthlyIncome]]&lt;6000,"3K-6K",IF(HR_Data[[#This Row],[MonthlyIncome]]&lt;10000,"6K-10K","10K+")))</f>
        <v>&lt;3K</v>
      </c>
      <c r="AH1089" s="1">
        <f>IF(HR_Data[[#This Row],[MonthlyIncome]]&lt;3000,1,IF(HR_Data[[#This Row],[MonthlyIncome]]&lt;6000,2,IF(HR_Data[[#This Row],[MonthlyIncome]]&lt;10000,3,4)))</f>
        <v>1</v>
      </c>
      <c r="AI1089" s="1" t="str">
        <f>IF(HR_Data[[#This Row],[YearsAtCompany]]&lt;=2,"0-2 Yrs",IF(HR_Data[[#This Row],[YearsAtCompany]]&lt;=5,"3-5 Yrs",IF(HR_Data[[#This Row],[YearsAtCompany]]&lt;=10,"6-10 Yrs","10+ Yrs")))</f>
        <v>10+ Yrs</v>
      </c>
      <c r="AJ1089" s="1">
        <f>IF(HR_Data[[#This Row],[YearsAtCompany]]&lt;=2,1,IF(HR_Data[[#This Row],[YearsAtCompany]]&lt;=5,2,IF(HR_Data[[#This Row],[YearsAtCompany]]&lt;=10,3,4)))</f>
        <v>4</v>
      </c>
      <c r="AK1089" s="1" t="str">
        <f>CHOOSE(HR_Data[[#This Row],[Education]],"Below College","College","Bachelor","Master","Doctor")</f>
        <v>College</v>
      </c>
      <c r="AL1089" s="1" t="str">
        <f>CHOOSE(HR_Data[[#This Row],[JobSatisfaction]],"Low","Medium","High","Very High")</f>
        <v>High</v>
      </c>
      <c r="AM1089" s="1" t="str">
        <f>CHOOSE(HR_Data[[#This Row],[EnvironmentSatisfaction]],"Low","Medium","High","Very High")</f>
        <v>Medium</v>
      </c>
      <c r="AN1089" s="1" t="str">
        <f>CHOOSE(HR_Data[[#This Row],[WorkLifeBalance]],"Bad","Good","Better","Best")</f>
        <v>Better</v>
      </c>
      <c r="AO1089" s="1" t="str">
        <f>IF(HR_Data[[#This Row],[PercentSalaryHike]]&lt;=13,"11-13%",IF(HR_Data[[#This Row],[PercentSalaryHike]]&lt;=16,"14-16%",IF(HR_Data[[#This Row],[PercentSalaryHike]]&lt;=19,"17-19%","20-25%")))</f>
        <v>20-25%</v>
      </c>
      <c r="AP1089" s="1">
        <f>IF(HR_Data[[#This Row],[PercentSalaryHike]]&lt;=13,1,IF(HR_Data[[#This Row],[PercentSalaryHike]]&lt;=16,2,IF(HR_Data[[#This Row],[PercentSalaryHike]]&lt;=19,3,4)))</f>
        <v>4</v>
      </c>
      <c r="AQ1089" s="1" t="str">
        <f>IF(HR_Data[[#This Row],[DistanceFromHome]]&lt;=5,"1 to 5",IF(HR_Data[[#This Row],[DistanceFromHome]]&lt;=10,"6 to 10",IF(HR_Data[[#This Row],[DistanceFromHome]]&lt;=20,"11 to 20","21 to 29")))</f>
        <v>6 to 10</v>
      </c>
      <c r="AR1089" s="1">
        <f>IF(HR_Data[[#This Row],[DistanceFromHome]]&lt;=5,1,IF(HR_Data[[#This Row],[DistanceFromHome]]&lt;=10,2,IF(HR_Data[[#This Row],[DistanceFromHome]]&lt;=20,3,4)))</f>
        <v>2</v>
      </c>
      <c r="AS1089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089" s="1">
        <f>IF(HR_Data[[#This Row],[TotalWorkingYears]]&lt;=5,1,IF(HR_Data[[#This Row],[TotalWorkingYears]]&lt;=10,2,IF(HR_Data[[#This Row],[TotalWorkingYears]]&lt;=20,3,4)))</f>
        <v>3</v>
      </c>
    </row>
    <row r="1090" spans="1:46" x14ac:dyDescent="0.25">
      <c r="A1090">
        <v>42</v>
      </c>
      <c r="B1090" t="s">
        <v>36</v>
      </c>
      <c r="C1090" t="s">
        <v>30</v>
      </c>
      <c r="D1090" t="s">
        <v>38</v>
      </c>
      <c r="E1090">
        <v>2</v>
      </c>
      <c r="F1090">
        <v>3</v>
      </c>
      <c r="G1090" t="s">
        <v>44</v>
      </c>
      <c r="H1090">
        <v>1542</v>
      </c>
      <c r="I1090">
        <v>3</v>
      </c>
      <c r="J1090" t="s">
        <v>39</v>
      </c>
      <c r="K1090">
        <v>2</v>
      </c>
      <c r="L1090">
        <v>1</v>
      </c>
      <c r="M1090" t="s">
        <v>43</v>
      </c>
      <c r="N1090">
        <v>2</v>
      </c>
      <c r="O1090" t="s">
        <v>41</v>
      </c>
      <c r="P1090">
        <v>4841</v>
      </c>
      <c r="Q1090">
        <v>4</v>
      </c>
      <c r="R1090" t="s">
        <v>36</v>
      </c>
      <c r="S1090">
        <v>14</v>
      </c>
      <c r="T1090">
        <v>3</v>
      </c>
      <c r="U1090">
        <v>2</v>
      </c>
      <c r="V1090">
        <v>1</v>
      </c>
      <c r="W1090">
        <v>4</v>
      </c>
      <c r="X1090">
        <v>3</v>
      </c>
      <c r="Y1090">
        <v>3</v>
      </c>
      <c r="Z1090">
        <v>1</v>
      </c>
      <c r="AA1090">
        <v>0</v>
      </c>
      <c r="AB1090">
        <v>0</v>
      </c>
      <c r="AC1090">
        <v>0</v>
      </c>
      <c r="AD1090">
        <f>IF(HR_Data[[#This Row],[Attrition]]="Yes",1,0)</f>
        <v>0</v>
      </c>
      <c r="AE1090" t="str">
        <f>IF(HR_Data[[#This Row],[Age]]&lt;=25,"18-25",IF(HR_Data[[#This Row],[Age]]&lt;=35,"26-35",IF(HR_Data[[#This Row],[Age]]&lt;=45,"36-45",IF(HR_Data[[#This Row],[Age]]&lt;=55,"46-55","55+"))))</f>
        <v>36-45</v>
      </c>
      <c r="AF1090">
        <f>IF(HR_Data[[#This Row],[Age]]&lt;=25,1,IF(HR_Data[[#This Row],[Age]]&lt;=35,2,IF(HR_Data[[#This Row],[Age]]&lt;=45,3,IF(HR_Data[[#This Row],[Age]]&lt;=55,4,5))))</f>
        <v>3</v>
      </c>
      <c r="AG1090" s="1" t="str">
        <f>IF(HR_Data[[#This Row],[MonthlyIncome]]&lt;3000,"&lt;3K",IF(HR_Data[[#This Row],[MonthlyIncome]]&lt;6000,"3K-6K",IF(HR_Data[[#This Row],[MonthlyIncome]]&lt;10000,"6K-10K","10K+")))</f>
        <v>3K-6K</v>
      </c>
      <c r="AH1090" s="1">
        <f>IF(HR_Data[[#This Row],[MonthlyIncome]]&lt;3000,1,IF(HR_Data[[#This Row],[MonthlyIncome]]&lt;6000,2,IF(HR_Data[[#This Row],[MonthlyIncome]]&lt;10000,3,4)))</f>
        <v>2</v>
      </c>
      <c r="AI1090" s="1" t="str">
        <f>IF(HR_Data[[#This Row],[YearsAtCompany]]&lt;=2,"0-2 Yrs",IF(HR_Data[[#This Row],[YearsAtCompany]]&lt;=5,"3-5 Yrs",IF(HR_Data[[#This Row],[YearsAtCompany]]&lt;=10,"6-10 Yrs","10+ Yrs")))</f>
        <v>0-2 Yrs</v>
      </c>
      <c r="AJ1090" s="1">
        <f>IF(HR_Data[[#This Row],[YearsAtCompany]]&lt;=2,1,IF(HR_Data[[#This Row],[YearsAtCompany]]&lt;=5,2,IF(HR_Data[[#This Row],[YearsAtCompany]]&lt;=10,3,4)))</f>
        <v>1</v>
      </c>
      <c r="AK1090" s="1" t="str">
        <f>CHOOSE(HR_Data[[#This Row],[Education]],"Below College","College","Bachelor","Master","Doctor")</f>
        <v>Bachelor</v>
      </c>
      <c r="AL1090" s="1" t="str">
        <f>CHOOSE(HR_Data[[#This Row],[JobSatisfaction]],"Low","Medium","High","Very High")</f>
        <v>Medium</v>
      </c>
      <c r="AM1090" s="1" t="str">
        <f>CHOOSE(HR_Data[[#This Row],[EnvironmentSatisfaction]],"Low","Medium","High","Very High")</f>
        <v>High</v>
      </c>
      <c r="AN1090" s="1" t="str">
        <f>CHOOSE(HR_Data[[#This Row],[WorkLifeBalance]],"Bad","Good","Better","Best")</f>
        <v>Better</v>
      </c>
      <c r="AO1090" s="1" t="str">
        <f>IF(HR_Data[[#This Row],[PercentSalaryHike]]&lt;=13,"11-13%",IF(HR_Data[[#This Row],[PercentSalaryHike]]&lt;=16,"14-16%",IF(HR_Data[[#This Row],[PercentSalaryHike]]&lt;=19,"17-19%","20-25%")))</f>
        <v>14-16%</v>
      </c>
      <c r="AP1090" s="1">
        <f>IF(HR_Data[[#This Row],[PercentSalaryHike]]&lt;=13,1,IF(HR_Data[[#This Row],[PercentSalaryHike]]&lt;=16,2,IF(HR_Data[[#This Row],[PercentSalaryHike]]&lt;=19,3,4)))</f>
        <v>2</v>
      </c>
      <c r="AQ1090" s="1" t="str">
        <f>IF(HR_Data[[#This Row],[DistanceFromHome]]&lt;=5,"1 to 5",IF(HR_Data[[#This Row],[DistanceFromHome]]&lt;=10,"6 to 10",IF(HR_Data[[#This Row],[DistanceFromHome]]&lt;=20,"11 to 20","21 to 29")))</f>
        <v>1 to 5</v>
      </c>
      <c r="AR1090" s="1">
        <f>IF(HR_Data[[#This Row],[DistanceFromHome]]&lt;=5,1,IF(HR_Data[[#This Row],[DistanceFromHome]]&lt;=10,2,IF(HR_Data[[#This Row],[DistanceFromHome]]&lt;=20,3,4)))</f>
        <v>1</v>
      </c>
      <c r="AS1090" s="1" t="str">
        <f>IF(HR_Data[[#This Row],[TotalWorkingYears]]&lt;=5,"0-5 Yrs",IF(HR_Data[[#This Row],[TotalWorkingYears]]&lt;=10,"6-10 Yrs",IF(HR_Data[[#This Row],[TotalWorkingYears]]&lt;=20,"11-20 Yrs","20+ Yrs")))</f>
        <v>0-5 Yrs</v>
      </c>
      <c r="AT1090" s="1">
        <f>IF(HR_Data[[#This Row],[TotalWorkingYears]]&lt;=5,1,IF(HR_Data[[#This Row],[TotalWorkingYears]]&lt;=10,2,IF(HR_Data[[#This Row],[TotalWorkingYears]]&lt;=20,3,4)))</f>
        <v>1</v>
      </c>
    </row>
    <row r="1091" spans="1:46" x14ac:dyDescent="0.25">
      <c r="A1091">
        <v>37</v>
      </c>
      <c r="B1091" t="s">
        <v>36</v>
      </c>
      <c r="C1091" t="s">
        <v>30</v>
      </c>
      <c r="D1091" t="s">
        <v>38</v>
      </c>
      <c r="E1091">
        <v>13</v>
      </c>
      <c r="F1091">
        <v>3</v>
      </c>
      <c r="G1091" t="s">
        <v>44</v>
      </c>
      <c r="H1091">
        <v>1543</v>
      </c>
      <c r="I1091">
        <v>1</v>
      </c>
      <c r="J1091" t="s">
        <v>39</v>
      </c>
      <c r="K1091">
        <v>3</v>
      </c>
      <c r="L1091">
        <v>2</v>
      </c>
      <c r="M1091" t="s">
        <v>40</v>
      </c>
      <c r="N1091">
        <v>4</v>
      </c>
      <c r="O1091" t="s">
        <v>41</v>
      </c>
      <c r="P1091">
        <v>4285</v>
      </c>
      <c r="Q1091">
        <v>1</v>
      </c>
      <c r="R1091" t="s">
        <v>36</v>
      </c>
      <c r="S1091">
        <v>17</v>
      </c>
      <c r="T1091">
        <v>3</v>
      </c>
      <c r="U1091">
        <v>1</v>
      </c>
      <c r="V1091">
        <v>0</v>
      </c>
      <c r="W1091">
        <v>10</v>
      </c>
      <c r="X1091">
        <v>2</v>
      </c>
      <c r="Y1091">
        <v>3</v>
      </c>
      <c r="Z1091">
        <v>10</v>
      </c>
      <c r="AA1091">
        <v>8</v>
      </c>
      <c r="AB1091">
        <v>3</v>
      </c>
      <c r="AC1091">
        <v>7</v>
      </c>
      <c r="AD1091">
        <f>IF(HR_Data[[#This Row],[Attrition]]="Yes",1,0)</f>
        <v>0</v>
      </c>
      <c r="AE1091" t="str">
        <f>IF(HR_Data[[#This Row],[Age]]&lt;=25,"18-25",IF(HR_Data[[#This Row],[Age]]&lt;=35,"26-35",IF(HR_Data[[#This Row],[Age]]&lt;=45,"36-45",IF(HR_Data[[#This Row],[Age]]&lt;=55,"46-55","55+"))))</f>
        <v>36-45</v>
      </c>
      <c r="AF1091">
        <f>IF(HR_Data[[#This Row],[Age]]&lt;=25,1,IF(HR_Data[[#This Row],[Age]]&lt;=35,2,IF(HR_Data[[#This Row],[Age]]&lt;=45,3,IF(HR_Data[[#This Row],[Age]]&lt;=55,4,5))))</f>
        <v>3</v>
      </c>
      <c r="AG1091" s="1" t="str">
        <f>IF(HR_Data[[#This Row],[MonthlyIncome]]&lt;3000,"&lt;3K",IF(HR_Data[[#This Row],[MonthlyIncome]]&lt;6000,"3K-6K",IF(HR_Data[[#This Row],[MonthlyIncome]]&lt;10000,"6K-10K","10K+")))</f>
        <v>3K-6K</v>
      </c>
      <c r="AH1091" s="1">
        <f>IF(HR_Data[[#This Row],[MonthlyIncome]]&lt;3000,1,IF(HR_Data[[#This Row],[MonthlyIncome]]&lt;6000,2,IF(HR_Data[[#This Row],[MonthlyIncome]]&lt;10000,3,4)))</f>
        <v>2</v>
      </c>
      <c r="AI1091" s="1" t="str">
        <f>IF(HR_Data[[#This Row],[YearsAtCompany]]&lt;=2,"0-2 Yrs",IF(HR_Data[[#This Row],[YearsAtCompany]]&lt;=5,"3-5 Yrs",IF(HR_Data[[#This Row],[YearsAtCompany]]&lt;=10,"6-10 Yrs","10+ Yrs")))</f>
        <v>6-10 Yrs</v>
      </c>
      <c r="AJ1091" s="1">
        <f>IF(HR_Data[[#This Row],[YearsAtCompany]]&lt;=2,1,IF(HR_Data[[#This Row],[YearsAtCompany]]&lt;=5,2,IF(HR_Data[[#This Row],[YearsAtCompany]]&lt;=10,3,4)))</f>
        <v>3</v>
      </c>
      <c r="AK1091" s="1" t="str">
        <f>CHOOSE(HR_Data[[#This Row],[Education]],"Below College","College","Bachelor","Master","Doctor")</f>
        <v>Bachelor</v>
      </c>
      <c r="AL1091" s="1" t="str">
        <f>CHOOSE(HR_Data[[#This Row],[JobSatisfaction]],"Low","Medium","High","Very High")</f>
        <v>Very High</v>
      </c>
      <c r="AM1091" s="1" t="str">
        <f>CHOOSE(HR_Data[[#This Row],[EnvironmentSatisfaction]],"Low","Medium","High","Very High")</f>
        <v>Low</v>
      </c>
      <c r="AN1091" s="1" t="str">
        <f>CHOOSE(HR_Data[[#This Row],[WorkLifeBalance]],"Bad","Good","Better","Best")</f>
        <v>Better</v>
      </c>
      <c r="AO1091" s="1" t="str">
        <f>IF(HR_Data[[#This Row],[PercentSalaryHike]]&lt;=13,"11-13%",IF(HR_Data[[#This Row],[PercentSalaryHike]]&lt;=16,"14-16%",IF(HR_Data[[#This Row],[PercentSalaryHike]]&lt;=19,"17-19%","20-25%")))</f>
        <v>17-19%</v>
      </c>
      <c r="AP1091" s="1">
        <f>IF(HR_Data[[#This Row],[PercentSalaryHike]]&lt;=13,1,IF(HR_Data[[#This Row],[PercentSalaryHike]]&lt;=16,2,IF(HR_Data[[#This Row],[PercentSalaryHike]]&lt;=19,3,4)))</f>
        <v>3</v>
      </c>
      <c r="AQ1091" s="1" t="str">
        <f>IF(HR_Data[[#This Row],[DistanceFromHome]]&lt;=5,"1 to 5",IF(HR_Data[[#This Row],[DistanceFromHome]]&lt;=10,"6 to 10",IF(HR_Data[[#This Row],[DistanceFromHome]]&lt;=20,"11 to 20","21 to 29")))</f>
        <v>11 to 20</v>
      </c>
      <c r="AR1091" s="1">
        <f>IF(HR_Data[[#This Row],[DistanceFromHome]]&lt;=5,1,IF(HR_Data[[#This Row],[DistanceFromHome]]&lt;=10,2,IF(HR_Data[[#This Row],[DistanceFromHome]]&lt;=20,3,4)))</f>
        <v>3</v>
      </c>
      <c r="AS1091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091" s="1">
        <f>IF(HR_Data[[#This Row],[TotalWorkingYears]]&lt;=5,1,IF(HR_Data[[#This Row],[TotalWorkingYears]]&lt;=10,2,IF(HR_Data[[#This Row],[TotalWorkingYears]]&lt;=20,3,4)))</f>
        <v>2</v>
      </c>
    </row>
    <row r="1092" spans="1:46" x14ac:dyDescent="0.25">
      <c r="A1092">
        <v>29</v>
      </c>
      <c r="B1092" t="s">
        <v>36</v>
      </c>
      <c r="C1092" t="s">
        <v>30</v>
      </c>
      <c r="D1092" t="s">
        <v>38</v>
      </c>
      <c r="E1092">
        <v>8</v>
      </c>
      <c r="F1092">
        <v>1</v>
      </c>
      <c r="G1092" t="s">
        <v>42</v>
      </c>
      <c r="H1092">
        <v>1544</v>
      </c>
      <c r="I1092">
        <v>3</v>
      </c>
      <c r="J1092" t="s">
        <v>33</v>
      </c>
      <c r="K1092">
        <v>1</v>
      </c>
      <c r="L1092">
        <v>2</v>
      </c>
      <c r="M1092" t="s">
        <v>47</v>
      </c>
      <c r="N1092">
        <v>1</v>
      </c>
      <c r="O1092" t="s">
        <v>41</v>
      </c>
      <c r="P1092">
        <v>9715</v>
      </c>
      <c r="Q1092">
        <v>3</v>
      </c>
      <c r="R1092" t="s">
        <v>36</v>
      </c>
      <c r="S1092">
        <v>13</v>
      </c>
      <c r="T1092">
        <v>3</v>
      </c>
      <c r="U1092">
        <v>3</v>
      </c>
      <c r="V1092">
        <v>1</v>
      </c>
      <c r="W1092">
        <v>9</v>
      </c>
      <c r="X1092">
        <v>3</v>
      </c>
      <c r="Y1092">
        <v>3</v>
      </c>
      <c r="Z1092">
        <v>7</v>
      </c>
      <c r="AA1092">
        <v>7</v>
      </c>
      <c r="AB1092">
        <v>0</v>
      </c>
      <c r="AC1092">
        <v>7</v>
      </c>
      <c r="AD1092">
        <f>IF(HR_Data[[#This Row],[Attrition]]="Yes",1,0)</f>
        <v>0</v>
      </c>
      <c r="AE1092" t="str">
        <f>IF(HR_Data[[#This Row],[Age]]&lt;=25,"18-25",IF(HR_Data[[#This Row],[Age]]&lt;=35,"26-35",IF(HR_Data[[#This Row],[Age]]&lt;=45,"36-45",IF(HR_Data[[#This Row],[Age]]&lt;=55,"46-55","55+"))))</f>
        <v>26-35</v>
      </c>
      <c r="AF1092">
        <f>IF(HR_Data[[#This Row],[Age]]&lt;=25,1,IF(HR_Data[[#This Row],[Age]]&lt;=35,2,IF(HR_Data[[#This Row],[Age]]&lt;=45,3,IF(HR_Data[[#This Row],[Age]]&lt;=55,4,5))))</f>
        <v>2</v>
      </c>
      <c r="AG1092" s="1" t="str">
        <f>IF(HR_Data[[#This Row],[MonthlyIncome]]&lt;3000,"&lt;3K",IF(HR_Data[[#This Row],[MonthlyIncome]]&lt;6000,"3K-6K",IF(HR_Data[[#This Row],[MonthlyIncome]]&lt;10000,"6K-10K","10K+")))</f>
        <v>6K-10K</v>
      </c>
      <c r="AH1092" s="1">
        <f>IF(HR_Data[[#This Row],[MonthlyIncome]]&lt;3000,1,IF(HR_Data[[#This Row],[MonthlyIncome]]&lt;6000,2,IF(HR_Data[[#This Row],[MonthlyIncome]]&lt;10000,3,4)))</f>
        <v>3</v>
      </c>
      <c r="AI1092" s="1" t="str">
        <f>IF(HR_Data[[#This Row],[YearsAtCompany]]&lt;=2,"0-2 Yrs",IF(HR_Data[[#This Row],[YearsAtCompany]]&lt;=5,"3-5 Yrs",IF(HR_Data[[#This Row],[YearsAtCompany]]&lt;=10,"6-10 Yrs","10+ Yrs")))</f>
        <v>6-10 Yrs</v>
      </c>
      <c r="AJ1092" s="1">
        <f>IF(HR_Data[[#This Row],[YearsAtCompany]]&lt;=2,1,IF(HR_Data[[#This Row],[YearsAtCompany]]&lt;=5,2,IF(HR_Data[[#This Row],[YearsAtCompany]]&lt;=10,3,4)))</f>
        <v>3</v>
      </c>
      <c r="AK1092" s="1" t="str">
        <f>CHOOSE(HR_Data[[#This Row],[Education]],"Below College","College","Bachelor","Master","Doctor")</f>
        <v>Below College</v>
      </c>
      <c r="AL1092" s="1" t="str">
        <f>CHOOSE(HR_Data[[#This Row],[JobSatisfaction]],"Low","Medium","High","Very High")</f>
        <v>Low</v>
      </c>
      <c r="AM1092" s="1" t="str">
        <f>CHOOSE(HR_Data[[#This Row],[EnvironmentSatisfaction]],"Low","Medium","High","Very High")</f>
        <v>High</v>
      </c>
      <c r="AN1092" s="1" t="str">
        <f>CHOOSE(HR_Data[[#This Row],[WorkLifeBalance]],"Bad","Good","Better","Best")</f>
        <v>Better</v>
      </c>
      <c r="AO1092" s="1" t="str">
        <f>IF(HR_Data[[#This Row],[PercentSalaryHike]]&lt;=13,"11-13%",IF(HR_Data[[#This Row],[PercentSalaryHike]]&lt;=16,"14-16%",IF(HR_Data[[#This Row],[PercentSalaryHike]]&lt;=19,"17-19%","20-25%")))</f>
        <v>11-13%</v>
      </c>
      <c r="AP1092" s="1">
        <f>IF(HR_Data[[#This Row],[PercentSalaryHike]]&lt;=13,1,IF(HR_Data[[#This Row],[PercentSalaryHike]]&lt;=16,2,IF(HR_Data[[#This Row],[PercentSalaryHike]]&lt;=19,3,4)))</f>
        <v>1</v>
      </c>
      <c r="AQ1092" s="1" t="str">
        <f>IF(HR_Data[[#This Row],[DistanceFromHome]]&lt;=5,"1 to 5",IF(HR_Data[[#This Row],[DistanceFromHome]]&lt;=10,"6 to 10",IF(HR_Data[[#This Row],[DistanceFromHome]]&lt;=20,"11 to 20","21 to 29")))</f>
        <v>6 to 10</v>
      </c>
      <c r="AR1092" s="1">
        <f>IF(HR_Data[[#This Row],[DistanceFromHome]]&lt;=5,1,IF(HR_Data[[#This Row],[DistanceFromHome]]&lt;=10,2,IF(HR_Data[[#This Row],[DistanceFromHome]]&lt;=20,3,4)))</f>
        <v>2</v>
      </c>
      <c r="AS1092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092" s="1">
        <f>IF(HR_Data[[#This Row],[TotalWorkingYears]]&lt;=5,1,IF(HR_Data[[#This Row],[TotalWorkingYears]]&lt;=10,2,IF(HR_Data[[#This Row],[TotalWorkingYears]]&lt;=20,3,4)))</f>
        <v>2</v>
      </c>
    </row>
    <row r="1093" spans="1:46" x14ac:dyDescent="0.25">
      <c r="A1093">
        <v>33</v>
      </c>
      <c r="B1093" t="s">
        <v>36</v>
      </c>
      <c r="C1093" t="s">
        <v>30</v>
      </c>
      <c r="D1093" t="s">
        <v>38</v>
      </c>
      <c r="E1093">
        <v>25</v>
      </c>
      <c r="F1093">
        <v>3</v>
      </c>
      <c r="G1093" t="s">
        <v>32</v>
      </c>
      <c r="H1093">
        <v>1545</v>
      </c>
      <c r="I1093">
        <v>4</v>
      </c>
      <c r="J1093" t="s">
        <v>39</v>
      </c>
      <c r="K1093">
        <v>2</v>
      </c>
      <c r="L1093">
        <v>2</v>
      </c>
      <c r="M1093" t="s">
        <v>46</v>
      </c>
      <c r="N1093">
        <v>2</v>
      </c>
      <c r="O1093" t="s">
        <v>35</v>
      </c>
      <c r="P1093">
        <v>4320</v>
      </c>
      <c r="Q1093">
        <v>1</v>
      </c>
      <c r="R1093" t="s">
        <v>36</v>
      </c>
      <c r="S1093">
        <v>13</v>
      </c>
      <c r="T1093">
        <v>3</v>
      </c>
      <c r="U1093">
        <v>4</v>
      </c>
      <c r="V1093">
        <v>0</v>
      </c>
      <c r="W1093">
        <v>5</v>
      </c>
      <c r="X1093">
        <v>2</v>
      </c>
      <c r="Y1093">
        <v>3</v>
      </c>
      <c r="Z1093">
        <v>5</v>
      </c>
      <c r="AA1093">
        <v>3</v>
      </c>
      <c r="AB1093">
        <v>0</v>
      </c>
      <c r="AC1093">
        <v>2</v>
      </c>
      <c r="AD1093">
        <f>IF(HR_Data[[#This Row],[Attrition]]="Yes",1,0)</f>
        <v>0</v>
      </c>
      <c r="AE1093" t="str">
        <f>IF(HR_Data[[#This Row],[Age]]&lt;=25,"18-25",IF(HR_Data[[#This Row],[Age]]&lt;=35,"26-35",IF(HR_Data[[#This Row],[Age]]&lt;=45,"36-45",IF(HR_Data[[#This Row],[Age]]&lt;=55,"46-55","55+"))))</f>
        <v>26-35</v>
      </c>
      <c r="AF1093">
        <f>IF(HR_Data[[#This Row],[Age]]&lt;=25,1,IF(HR_Data[[#This Row],[Age]]&lt;=35,2,IF(HR_Data[[#This Row],[Age]]&lt;=45,3,IF(HR_Data[[#This Row],[Age]]&lt;=55,4,5))))</f>
        <v>2</v>
      </c>
      <c r="AG1093" s="1" t="str">
        <f>IF(HR_Data[[#This Row],[MonthlyIncome]]&lt;3000,"&lt;3K",IF(HR_Data[[#This Row],[MonthlyIncome]]&lt;6000,"3K-6K",IF(HR_Data[[#This Row],[MonthlyIncome]]&lt;10000,"6K-10K","10K+")))</f>
        <v>3K-6K</v>
      </c>
      <c r="AH1093" s="1">
        <f>IF(HR_Data[[#This Row],[MonthlyIncome]]&lt;3000,1,IF(HR_Data[[#This Row],[MonthlyIncome]]&lt;6000,2,IF(HR_Data[[#This Row],[MonthlyIncome]]&lt;10000,3,4)))</f>
        <v>2</v>
      </c>
      <c r="AI1093" s="1" t="str">
        <f>IF(HR_Data[[#This Row],[YearsAtCompany]]&lt;=2,"0-2 Yrs",IF(HR_Data[[#This Row],[YearsAtCompany]]&lt;=5,"3-5 Yrs",IF(HR_Data[[#This Row],[YearsAtCompany]]&lt;=10,"6-10 Yrs","10+ Yrs")))</f>
        <v>3-5 Yrs</v>
      </c>
      <c r="AJ1093" s="1">
        <f>IF(HR_Data[[#This Row],[YearsAtCompany]]&lt;=2,1,IF(HR_Data[[#This Row],[YearsAtCompany]]&lt;=5,2,IF(HR_Data[[#This Row],[YearsAtCompany]]&lt;=10,3,4)))</f>
        <v>2</v>
      </c>
      <c r="AK1093" s="1" t="str">
        <f>CHOOSE(HR_Data[[#This Row],[Education]],"Below College","College","Bachelor","Master","Doctor")</f>
        <v>Bachelor</v>
      </c>
      <c r="AL1093" s="1" t="str">
        <f>CHOOSE(HR_Data[[#This Row],[JobSatisfaction]],"Low","Medium","High","Very High")</f>
        <v>Medium</v>
      </c>
      <c r="AM1093" s="1" t="str">
        <f>CHOOSE(HR_Data[[#This Row],[EnvironmentSatisfaction]],"Low","Medium","High","Very High")</f>
        <v>Very High</v>
      </c>
      <c r="AN1093" s="1" t="str">
        <f>CHOOSE(HR_Data[[#This Row],[WorkLifeBalance]],"Bad","Good","Better","Best")</f>
        <v>Better</v>
      </c>
      <c r="AO1093" s="1" t="str">
        <f>IF(HR_Data[[#This Row],[PercentSalaryHike]]&lt;=13,"11-13%",IF(HR_Data[[#This Row],[PercentSalaryHike]]&lt;=16,"14-16%",IF(HR_Data[[#This Row],[PercentSalaryHike]]&lt;=19,"17-19%","20-25%")))</f>
        <v>11-13%</v>
      </c>
      <c r="AP1093" s="1">
        <f>IF(HR_Data[[#This Row],[PercentSalaryHike]]&lt;=13,1,IF(HR_Data[[#This Row],[PercentSalaryHike]]&lt;=16,2,IF(HR_Data[[#This Row],[PercentSalaryHike]]&lt;=19,3,4)))</f>
        <v>1</v>
      </c>
      <c r="AQ1093" s="1" t="str">
        <f>IF(HR_Data[[#This Row],[DistanceFromHome]]&lt;=5,"1 to 5",IF(HR_Data[[#This Row],[DistanceFromHome]]&lt;=10,"6 to 10",IF(HR_Data[[#This Row],[DistanceFromHome]]&lt;=20,"11 to 20","21 to 29")))</f>
        <v>21 to 29</v>
      </c>
      <c r="AR1093" s="1">
        <f>IF(HR_Data[[#This Row],[DistanceFromHome]]&lt;=5,1,IF(HR_Data[[#This Row],[DistanceFromHome]]&lt;=10,2,IF(HR_Data[[#This Row],[DistanceFromHome]]&lt;=20,3,4)))</f>
        <v>4</v>
      </c>
      <c r="AS1093" s="1" t="str">
        <f>IF(HR_Data[[#This Row],[TotalWorkingYears]]&lt;=5,"0-5 Yrs",IF(HR_Data[[#This Row],[TotalWorkingYears]]&lt;=10,"6-10 Yrs",IF(HR_Data[[#This Row],[TotalWorkingYears]]&lt;=20,"11-20 Yrs","20+ Yrs")))</f>
        <v>0-5 Yrs</v>
      </c>
      <c r="AT1093" s="1">
        <f>IF(HR_Data[[#This Row],[TotalWorkingYears]]&lt;=5,1,IF(HR_Data[[#This Row],[TotalWorkingYears]]&lt;=10,2,IF(HR_Data[[#This Row],[TotalWorkingYears]]&lt;=20,3,4)))</f>
        <v>1</v>
      </c>
    </row>
    <row r="1094" spans="1:46" x14ac:dyDescent="0.25">
      <c r="A1094">
        <v>45</v>
      </c>
      <c r="B1094" t="s">
        <v>36</v>
      </c>
      <c r="C1094" t="s">
        <v>30</v>
      </c>
      <c r="D1094" t="s">
        <v>38</v>
      </c>
      <c r="E1094">
        <v>28</v>
      </c>
      <c r="F1094">
        <v>3</v>
      </c>
      <c r="G1094" t="s">
        <v>53</v>
      </c>
      <c r="H1094">
        <v>1546</v>
      </c>
      <c r="I1094">
        <v>4</v>
      </c>
      <c r="J1094" t="s">
        <v>39</v>
      </c>
      <c r="K1094">
        <v>3</v>
      </c>
      <c r="L1094">
        <v>1</v>
      </c>
      <c r="M1094" t="s">
        <v>40</v>
      </c>
      <c r="N1094">
        <v>4</v>
      </c>
      <c r="O1094" t="s">
        <v>41</v>
      </c>
      <c r="P1094">
        <v>2132</v>
      </c>
      <c r="Q1094">
        <v>4</v>
      </c>
      <c r="R1094" t="s">
        <v>36</v>
      </c>
      <c r="S1094">
        <v>20</v>
      </c>
      <c r="T1094">
        <v>4</v>
      </c>
      <c r="U1094">
        <v>4</v>
      </c>
      <c r="V1094">
        <v>1</v>
      </c>
      <c r="W1094">
        <v>8</v>
      </c>
      <c r="X1094">
        <v>3</v>
      </c>
      <c r="Y1094">
        <v>3</v>
      </c>
      <c r="Z1094">
        <v>5</v>
      </c>
      <c r="AA1094">
        <v>4</v>
      </c>
      <c r="AB1094">
        <v>0</v>
      </c>
      <c r="AC1094">
        <v>3</v>
      </c>
      <c r="AD1094">
        <f>IF(HR_Data[[#This Row],[Attrition]]="Yes",1,0)</f>
        <v>0</v>
      </c>
      <c r="AE1094" t="str">
        <f>IF(HR_Data[[#This Row],[Age]]&lt;=25,"18-25",IF(HR_Data[[#This Row],[Age]]&lt;=35,"26-35",IF(HR_Data[[#This Row],[Age]]&lt;=45,"36-45",IF(HR_Data[[#This Row],[Age]]&lt;=55,"46-55","55+"))))</f>
        <v>36-45</v>
      </c>
      <c r="AF1094">
        <f>IF(HR_Data[[#This Row],[Age]]&lt;=25,1,IF(HR_Data[[#This Row],[Age]]&lt;=35,2,IF(HR_Data[[#This Row],[Age]]&lt;=45,3,IF(HR_Data[[#This Row],[Age]]&lt;=55,4,5))))</f>
        <v>3</v>
      </c>
      <c r="AG1094" s="1" t="str">
        <f>IF(HR_Data[[#This Row],[MonthlyIncome]]&lt;3000,"&lt;3K",IF(HR_Data[[#This Row],[MonthlyIncome]]&lt;6000,"3K-6K",IF(HR_Data[[#This Row],[MonthlyIncome]]&lt;10000,"6K-10K","10K+")))</f>
        <v>&lt;3K</v>
      </c>
      <c r="AH1094" s="1">
        <f>IF(HR_Data[[#This Row],[MonthlyIncome]]&lt;3000,1,IF(HR_Data[[#This Row],[MonthlyIncome]]&lt;6000,2,IF(HR_Data[[#This Row],[MonthlyIncome]]&lt;10000,3,4)))</f>
        <v>1</v>
      </c>
      <c r="AI1094" s="1" t="str">
        <f>IF(HR_Data[[#This Row],[YearsAtCompany]]&lt;=2,"0-2 Yrs",IF(HR_Data[[#This Row],[YearsAtCompany]]&lt;=5,"3-5 Yrs",IF(HR_Data[[#This Row],[YearsAtCompany]]&lt;=10,"6-10 Yrs","10+ Yrs")))</f>
        <v>3-5 Yrs</v>
      </c>
      <c r="AJ1094" s="1">
        <f>IF(HR_Data[[#This Row],[YearsAtCompany]]&lt;=2,1,IF(HR_Data[[#This Row],[YearsAtCompany]]&lt;=5,2,IF(HR_Data[[#This Row],[YearsAtCompany]]&lt;=10,3,4)))</f>
        <v>2</v>
      </c>
      <c r="AK1094" s="1" t="str">
        <f>CHOOSE(HR_Data[[#This Row],[Education]],"Below College","College","Bachelor","Master","Doctor")</f>
        <v>Bachelor</v>
      </c>
      <c r="AL1094" s="1" t="str">
        <f>CHOOSE(HR_Data[[#This Row],[JobSatisfaction]],"Low","Medium","High","Very High")</f>
        <v>Very High</v>
      </c>
      <c r="AM1094" s="1" t="str">
        <f>CHOOSE(HR_Data[[#This Row],[EnvironmentSatisfaction]],"Low","Medium","High","Very High")</f>
        <v>Very High</v>
      </c>
      <c r="AN1094" s="1" t="str">
        <f>CHOOSE(HR_Data[[#This Row],[WorkLifeBalance]],"Bad","Good","Better","Best")</f>
        <v>Better</v>
      </c>
      <c r="AO1094" s="1" t="str">
        <f>IF(HR_Data[[#This Row],[PercentSalaryHike]]&lt;=13,"11-13%",IF(HR_Data[[#This Row],[PercentSalaryHike]]&lt;=16,"14-16%",IF(HR_Data[[#This Row],[PercentSalaryHike]]&lt;=19,"17-19%","20-25%")))</f>
        <v>20-25%</v>
      </c>
      <c r="AP1094" s="1">
        <f>IF(HR_Data[[#This Row],[PercentSalaryHike]]&lt;=13,1,IF(HR_Data[[#This Row],[PercentSalaryHike]]&lt;=16,2,IF(HR_Data[[#This Row],[PercentSalaryHike]]&lt;=19,3,4)))</f>
        <v>4</v>
      </c>
      <c r="AQ1094" s="1" t="str">
        <f>IF(HR_Data[[#This Row],[DistanceFromHome]]&lt;=5,"1 to 5",IF(HR_Data[[#This Row],[DistanceFromHome]]&lt;=10,"6 to 10",IF(HR_Data[[#This Row],[DistanceFromHome]]&lt;=20,"11 to 20","21 to 29")))</f>
        <v>21 to 29</v>
      </c>
      <c r="AR1094" s="1">
        <f>IF(HR_Data[[#This Row],[DistanceFromHome]]&lt;=5,1,IF(HR_Data[[#This Row],[DistanceFromHome]]&lt;=10,2,IF(HR_Data[[#This Row],[DistanceFromHome]]&lt;=20,3,4)))</f>
        <v>4</v>
      </c>
      <c r="AS1094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094" s="1">
        <f>IF(HR_Data[[#This Row],[TotalWorkingYears]]&lt;=5,1,IF(HR_Data[[#This Row],[TotalWorkingYears]]&lt;=10,2,IF(HR_Data[[#This Row],[TotalWorkingYears]]&lt;=20,3,4)))</f>
        <v>2</v>
      </c>
    </row>
    <row r="1095" spans="1:46" x14ac:dyDescent="0.25">
      <c r="A1095">
        <v>42</v>
      </c>
      <c r="B1095" t="s">
        <v>36</v>
      </c>
      <c r="C1095" t="s">
        <v>37</v>
      </c>
      <c r="D1095" t="s">
        <v>38</v>
      </c>
      <c r="E1095">
        <v>2</v>
      </c>
      <c r="F1095">
        <v>3</v>
      </c>
      <c r="G1095" t="s">
        <v>32</v>
      </c>
      <c r="H1095">
        <v>1547</v>
      </c>
      <c r="I1095">
        <v>4</v>
      </c>
      <c r="J1095" t="s">
        <v>39</v>
      </c>
      <c r="K1095">
        <v>3</v>
      </c>
      <c r="L1095">
        <v>3</v>
      </c>
      <c r="M1095" t="s">
        <v>47</v>
      </c>
      <c r="N1095">
        <v>4</v>
      </c>
      <c r="O1095" t="s">
        <v>41</v>
      </c>
      <c r="P1095">
        <v>10124</v>
      </c>
      <c r="Q1095">
        <v>2</v>
      </c>
      <c r="R1095" t="s">
        <v>29</v>
      </c>
      <c r="S1095">
        <v>14</v>
      </c>
      <c r="T1095">
        <v>3</v>
      </c>
      <c r="U1095">
        <v>3</v>
      </c>
      <c r="V1095">
        <v>1</v>
      </c>
      <c r="W1095">
        <v>24</v>
      </c>
      <c r="X1095">
        <v>3</v>
      </c>
      <c r="Y1095">
        <v>1</v>
      </c>
      <c r="Z1095">
        <v>20</v>
      </c>
      <c r="AA1095">
        <v>8</v>
      </c>
      <c r="AB1095">
        <v>13</v>
      </c>
      <c r="AC1095">
        <v>9</v>
      </c>
      <c r="AD1095">
        <f>IF(HR_Data[[#This Row],[Attrition]]="Yes",1,0)</f>
        <v>0</v>
      </c>
      <c r="AE1095" t="str">
        <f>IF(HR_Data[[#This Row],[Age]]&lt;=25,"18-25",IF(HR_Data[[#This Row],[Age]]&lt;=35,"26-35",IF(HR_Data[[#This Row],[Age]]&lt;=45,"36-45",IF(HR_Data[[#This Row],[Age]]&lt;=55,"46-55","55+"))))</f>
        <v>36-45</v>
      </c>
      <c r="AF1095">
        <f>IF(HR_Data[[#This Row],[Age]]&lt;=25,1,IF(HR_Data[[#This Row],[Age]]&lt;=35,2,IF(HR_Data[[#This Row],[Age]]&lt;=45,3,IF(HR_Data[[#This Row],[Age]]&lt;=55,4,5))))</f>
        <v>3</v>
      </c>
      <c r="AG1095" s="1" t="str">
        <f>IF(HR_Data[[#This Row],[MonthlyIncome]]&lt;3000,"&lt;3K",IF(HR_Data[[#This Row],[MonthlyIncome]]&lt;6000,"3K-6K",IF(HR_Data[[#This Row],[MonthlyIncome]]&lt;10000,"6K-10K","10K+")))</f>
        <v>10K+</v>
      </c>
      <c r="AH1095" s="1">
        <f>IF(HR_Data[[#This Row],[MonthlyIncome]]&lt;3000,1,IF(HR_Data[[#This Row],[MonthlyIncome]]&lt;6000,2,IF(HR_Data[[#This Row],[MonthlyIncome]]&lt;10000,3,4)))</f>
        <v>4</v>
      </c>
      <c r="AI1095" s="1" t="str">
        <f>IF(HR_Data[[#This Row],[YearsAtCompany]]&lt;=2,"0-2 Yrs",IF(HR_Data[[#This Row],[YearsAtCompany]]&lt;=5,"3-5 Yrs",IF(HR_Data[[#This Row],[YearsAtCompany]]&lt;=10,"6-10 Yrs","10+ Yrs")))</f>
        <v>10+ Yrs</v>
      </c>
      <c r="AJ1095" s="1">
        <f>IF(HR_Data[[#This Row],[YearsAtCompany]]&lt;=2,1,IF(HR_Data[[#This Row],[YearsAtCompany]]&lt;=5,2,IF(HR_Data[[#This Row],[YearsAtCompany]]&lt;=10,3,4)))</f>
        <v>4</v>
      </c>
      <c r="AK1095" s="1" t="str">
        <f>CHOOSE(HR_Data[[#This Row],[Education]],"Below College","College","Bachelor","Master","Doctor")</f>
        <v>Bachelor</v>
      </c>
      <c r="AL1095" s="1" t="str">
        <f>CHOOSE(HR_Data[[#This Row],[JobSatisfaction]],"Low","Medium","High","Very High")</f>
        <v>Very High</v>
      </c>
      <c r="AM1095" s="1" t="str">
        <f>CHOOSE(HR_Data[[#This Row],[EnvironmentSatisfaction]],"Low","Medium","High","Very High")</f>
        <v>Very High</v>
      </c>
      <c r="AN1095" s="1" t="str">
        <f>CHOOSE(HR_Data[[#This Row],[WorkLifeBalance]],"Bad","Good","Better","Best")</f>
        <v>Bad</v>
      </c>
      <c r="AO1095" s="1" t="str">
        <f>IF(HR_Data[[#This Row],[PercentSalaryHike]]&lt;=13,"11-13%",IF(HR_Data[[#This Row],[PercentSalaryHike]]&lt;=16,"14-16%",IF(HR_Data[[#This Row],[PercentSalaryHike]]&lt;=19,"17-19%","20-25%")))</f>
        <v>14-16%</v>
      </c>
      <c r="AP1095" s="1">
        <f>IF(HR_Data[[#This Row],[PercentSalaryHike]]&lt;=13,1,IF(HR_Data[[#This Row],[PercentSalaryHike]]&lt;=16,2,IF(HR_Data[[#This Row],[PercentSalaryHike]]&lt;=19,3,4)))</f>
        <v>2</v>
      </c>
      <c r="AQ1095" s="1" t="str">
        <f>IF(HR_Data[[#This Row],[DistanceFromHome]]&lt;=5,"1 to 5",IF(HR_Data[[#This Row],[DistanceFromHome]]&lt;=10,"6 to 10",IF(HR_Data[[#This Row],[DistanceFromHome]]&lt;=20,"11 to 20","21 to 29")))</f>
        <v>1 to 5</v>
      </c>
      <c r="AR1095" s="1">
        <f>IF(HR_Data[[#This Row],[DistanceFromHome]]&lt;=5,1,IF(HR_Data[[#This Row],[DistanceFromHome]]&lt;=10,2,IF(HR_Data[[#This Row],[DistanceFromHome]]&lt;=20,3,4)))</f>
        <v>1</v>
      </c>
      <c r="AS1095" s="1" t="str">
        <f>IF(HR_Data[[#This Row],[TotalWorkingYears]]&lt;=5,"0-5 Yrs",IF(HR_Data[[#This Row],[TotalWorkingYears]]&lt;=10,"6-10 Yrs",IF(HR_Data[[#This Row],[TotalWorkingYears]]&lt;=20,"11-20 Yrs","20+ Yrs")))</f>
        <v>20+ Yrs</v>
      </c>
      <c r="AT1095" s="1">
        <f>IF(HR_Data[[#This Row],[TotalWorkingYears]]&lt;=5,1,IF(HR_Data[[#This Row],[TotalWorkingYears]]&lt;=10,2,IF(HR_Data[[#This Row],[TotalWorkingYears]]&lt;=20,3,4)))</f>
        <v>4</v>
      </c>
    </row>
    <row r="1096" spans="1:46" x14ac:dyDescent="0.25">
      <c r="A1096">
        <v>40</v>
      </c>
      <c r="B1096" t="s">
        <v>36</v>
      </c>
      <c r="C1096" t="s">
        <v>30</v>
      </c>
      <c r="D1096" t="s">
        <v>31</v>
      </c>
      <c r="E1096">
        <v>9</v>
      </c>
      <c r="F1096">
        <v>2</v>
      </c>
      <c r="G1096" t="s">
        <v>44</v>
      </c>
      <c r="H1096">
        <v>1548</v>
      </c>
      <c r="I1096">
        <v>1</v>
      </c>
      <c r="J1096" t="s">
        <v>39</v>
      </c>
      <c r="K1096">
        <v>3</v>
      </c>
      <c r="L1096">
        <v>2</v>
      </c>
      <c r="M1096" t="s">
        <v>34</v>
      </c>
      <c r="N1096">
        <v>1</v>
      </c>
      <c r="O1096" t="s">
        <v>41</v>
      </c>
      <c r="P1096">
        <v>5473</v>
      </c>
      <c r="Q1096">
        <v>0</v>
      </c>
      <c r="R1096" t="s">
        <v>36</v>
      </c>
      <c r="S1096">
        <v>12</v>
      </c>
      <c r="T1096">
        <v>3</v>
      </c>
      <c r="U1096">
        <v>4</v>
      </c>
      <c r="V1096">
        <v>0</v>
      </c>
      <c r="W1096">
        <v>9</v>
      </c>
      <c r="X1096">
        <v>5</v>
      </c>
      <c r="Y1096">
        <v>4</v>
      </c>
      <c r="Z1096">
        <v>8</v>
      </c>
      <c r="AA1096">
        <v>4</v>
      </c>
      <c r="AB1096">
        <v>7</v>
      </c>
      <c r="AC1096">
        <v>1</v>
      </c>
      <c r="AD1096">
        <f>IF(HR_Data[[#This Row],[Attrition]]="Yes",1,0)</f>
        <v>0</v>
      </c>
      <c r="AE1096" t="str">
        <f>IF(HR_Data[[#This Row],[Age]]&lt;=25,"18-25",IF(HR_Data[[#This Row],[Age]]&lt;=35,"26-35",IF(HR_Data[[#This Row],[Age]]&lt;=45,"36-45",IF(HR_Data[[#This Row],[Age]]&lt;=55,"46-55","55+"))))</f>
        <v>36-45</v>
      </c>
      <c r="AF1096">
        <f>IF(HR_Data[[#This Row],[Age]]&lt;=25,1,IF(HR_Data[[#This Row],[Age]]&lt;=35,2,IF(HR_Data[[#This Row],[Age]]&lt;=45,3,IF(HR_Data[[#This Row],[Age]]&lt;=55,4,5))))</f>
        <v>3</v>
      </c>
      <c r="AG1096" s="1" t="str">
        <f>IF(HR_Data[[#This Row],[MonthlyIncome]]&lt;3000,"&lt;3K",IF(HR_Data[[#This Row],[MonthlyIncome]]&lt;6000,"3K-6K",IF(HR_Data[[#This Row],[MonthlyIncome]]&lt;10000,"6K-10K","10K+")))</f>
        <v>3K-6K</v>
      </c>
      <c r="AH1096" s="1">
        <f>IF(HR_Data[[#This Row],[MonthlyIncome]]&lt;3000,1,IF(HR_Data[[#This Row],[MonthlyIncome]]&lt;6000,2,IF(HR_Data[[#This Row],[MonthlyIncome]]&lt;10000,3,4)))</f>
        <v>2</v>
      </c>
      <c r="AI1096" s="1" t="str">
        <f>IF(HR_Data[[#This Row],[YearsAtCompany]]&lt;=2,"0-2 Yrs",IF(HR_Data[[#This Row],[YearsAtCompany]]&lt;=5,"3-5 Yrs",IF(HR_Data[[#This Row],[YearsAtCompany]]&lt;=10,"6-10 Yrs","10+ Yrs")))</f>
        <v>6-10 Yrs</v>
      </c>
      <c r="AJ1096" s="1">
        <f>IF(HR_Data[[#This Row],[YearsAtCompany]]&lt;=2,1,IF(HR_Data[[#This Row],[YearsAtCompany]]&lt;=5,2,IF(HR_Data[[#This Row],[YearsAtCompany]]&lt;=10,3,4)))</f>
        <v>3</v>
      </c>
      <c r="AK1096" s="1" t="str">
        <f>CHOOSE(HR_Data[[#This Row],[Education]],"Below College","College","Bachelor","Master","Doctor")</f>
        <v>College</v>
      </c>
      <c r="AL1096" s="1" t="str">
        <f>CHOOSE(HR_Data[[#This Row],[JobSatisfaction]],"Low","Medium","High","Very High")</f>
        <v>Low</v>
      </c>
      <c r="AM1096" s="1" t="str">
        <f>CHOOSE(HR_Data[[#This Row],[EnvironmentSatisfaction]],"Low","Medium","High","Very High")</f>
        <v>Low</v>
      </c>
      <c r="AN1096" s="1" t="str">
        <f>CHOOSE(HR_Data[[#This Row],[WorkLifeBalance]],"Bad","Good","Better","Best")</f>
        <v>Best</v>
      </c>
      <c r="AO1096" s="1" t="str">
        <f>IF(HR_Data[[#This Row],[PercentSalaryHike]]&lt;=13,"11-13%",IF(HR_Data[[#This Row],[PercentSalaryHike]]&lt;=16,"14-16%",IF(HR_Data[[#This Row],[PercentSalaryHike]]&lt;=19,"17-19%","20-25%")))</f>
        <v>11-13%</v>
      </c>
      <c r="AP1096" s="1">
        <f>IF(HR_Data[[#This Row],[PercentSalaryHike]]&lt;=13,1,IF(HR_Data[[#This Row],[PercentSalaryHike]]&lt;=16,2,IF(HR_Data[[#This Row],[PercentSalaryHike]]&lt;=19,3,4)))</f>
        <v>1</v>
      </c>
      <c r="AQ1096" s="1" t="str">
        <f>IF(HR_Data[[#This Row],[DistanceFromHome]]&lt;=5,"1 to 5",IF(HR_Data[[#This Row],[DistanceFromHome]]&lt;=10,"6 to 10",IF(HR_Data[[#This Row],[DistanceFromHome]]&lt;=20,"11 to 20","21 to 29")))</f>
        <v>6 to 10</v>
      </c>
      <c r="AR1096" s="1">
        <f>IF(HR_Data[[#This Row],[DistanceFromHome]]&lt;=5,1,IF(HR_Data[[#This Row],[DistanceFromHome]]&lt;=10,2,IF(HR_Data[[#This Row],[DistanceFromHome]]&lt;=20,3,4)))</f>
        <v>2</v>
      </c>
      <c r="AS1096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096" s="1">
        <f>IF(HR_Data[[#This Row],[TotalWorkingYears]]&lt;=5,1,IF(HR_Data[[#This Row],[TotalWorkingYears]]&lt;=10,2,IF(HR_Data[[#This Row],[TotalWorkingYears]]&lt;=20,3,4)))</f>
        <v>2</v>
      </c>
    </row>
    <row r="1097" spans="1:46" x14ac:dyDescent="0.25">
      <c r="A1097">
        <v>33</v>
      </c>
      <c r="B1097" t="s">
        <v>36</v>
      </c>
      <c r="C1097" t="s">
        <v>30</v>
      </c>
      <c r="D1097" t="s">
        <v>38</v>
      </c>
      <c r="E1097">
        <v>28</v>
      </c>
      <c r="F1097">
        <v>4</v>
      </c>
      <c r="G1097" t="s">
        <v>32</v>
      </c>
      <c r="H1097">
        <v>1549</v>
      </c>
      <c r="I1097">
        <v>2</v>
      </c>
      <c r="J1097" t="s">
        <v>39</v>
      </c>
      <c r="K1097">
        <v>3</v>
      </c>
      <c r="L1097">
        <v>2</v>
      </c>
      <c r="M1097" t="s">
        <v>43</v>
      </c>
      <c r="N1097">
        <v>3</v>
      </c>
      <c r="O1097" t="s">
        <v>41</v>
      </c>
      <c r="P1097">
        <v>5207</v>
      </c>
      <c r="Q1097">
        <v>1</v>
      </c>
      <c r="R1097" t="s">
        <v>29</v>
      </c>
      <c r="S1097">
        <v>12</v>
      </c>
      <c r="T1097">
        <v>3</v>
      </c>
      <c r="U1097">
        <v>2</v>
      </c>
      <c r="V1097">
        <v>1</v>
      </c>
      <c r="W1097">
        <v>15</v>
      </c>
      <c r="X1097">
        <v>3</v>
      </c>
      <c r="Y1097">
        <v>3</v>
      </c>
      <c r="Z1097">
        <v>15</v>
      </c>
      <c r="AA1097">
        <v>14</v>
      </c>
      <c r="AB1097">
        <v>5</v>
      </c>
      <c r="AC1097">
        <v>7</v>
      </c>
      <c r="AD1097">
        <f>IF(HR_Data[[#This Row],[Attrition]]="Yes",1,0)</f>
        <v>0</v>
      </c>
      <c r="AE1097" t="str">
        <f>IF(HR_Data[[#This Row],[Age]]&lt;=25,"18-25",IF(HR_Data[[#This Row],[Age]]&lt;=35,"26-35",IF(HR_Data[[#This Row],[Age]]&lt;=45,"36-45",IF(HR_Data[[#This Row],[Age]]&lt;=55,"46-55","55+"))))</f>
        <v>26-35</v>
      </c>
      <c r="AF1097">
        <f>IF(HR_Data[[#This Row],[Age]]&lt;=25,1,IF(HR_Data[[#This Row],[Age]]&lt;=35,2,IF(HR_Data[[#This Row],[Age]]&lt;=45,3,IF(HR_Data[[#This Row],[Age]]&lt;=55,4,5))))</f>
        <v>2</v>
      </c>
      <c r="AG1097" s="1" t="str">
        <f>IF(HR_Data[[#This Row],[MonthlyIncome]]&lt;3000,"&lt;3K",IF(HR_Data[[#This Row],[MonthlyIncome]]&lt;6000,"3K-6K",IF(HR_Data[[#This Row],[MonthlyIncome]]&lt;10000,"6K-10K","10K+")))</f>
        <v>3K-6K</v>
      </c>
      <c r="AH1097" s="1">
        <f>IF(HR_Data[[#This Row],[MonthlyIncome]]&lt;3000,1,IF(HR_Data[[#This Row],[MonthlyIncome]]&lt;6000,2,IF(HR_Data[[#This Row],[MonthlyIncome]]&lt;10000,3,4)))</f>
        <v>2</v>
      </c>
      <c r="AI1097" s="1" t="str">
        <f>IF(HR_Data[[#This Row],[YearsAtCompany]]&lt;=2,"0-2 Yrs",IF(HR_Data[[#This Row],[YearsAtCompany]]&lt;=5,"3-5 Yrs",IF(HR_Data[[#This Row],[YearsAtCompany]]&lt;=10,"6-10 Yrs","10+ Yrs")))</f>
        <v>10+ Yrs</v>
      </c>
      <c r="AJ1097" s="1">
        <f>IF(HR_Data[[#This Row],[YearsAtCompany]]&lt;=2,1,IF(HR_Data[[#This Row],[YearsAtCompany]]&lt;=5,2,IF(HR_Data[[#This Row],[YearsAtCompany]]&lt;=10,3,4)))</f>
        <v>4</v>
      </c>
      <c r="AK1097" s="1" t="str">
        <f>CHOOSE(HR_Data[[#This Row],[Education]],"Below College","College","Bachelor","Master","Doctor")</f>
        <v>Master</v>
      </c>
      <c r="AL1097" s="1" t="str">
        <f>CHOOSE(HR_Data[[#This Row],[JobSatisfaction]],"Low","Medium","High","Very High")</f>
        <v>High</v>
      </c>
      <c r="AM1097" s="1" t="str">
        <f>CHOOSE(HR_Data[[#This Row],[EnvironmentSatisfaction]],"Low","Medium","High","Very High")</f>
        <v>Medium</v>
      </c>
      <c r="AN1097" s="1" t="str">
        <f>CHOOSE(HR_Data[[#This Row],[WorkLifeBalance]],"Bad","Good","Better","Best")</f>
        <v>Better</v>
      </c>
      <c r="AO1097" s="1" t="str">
        <f>IF(HR_Data[[#This Row],[PercentSalaryHike]]&lt;=13,"11-13%",IF(HR_Data[[#This Row],[PercentSalaryHike]]&lt;=16,"14-16%",IF(HR_Data[[#This Row],[PercentSalaryHike]]&lt;=19,"17-19%","20-25%")))</f>
        <v>11-13%</v>
      </c>
      <c r="AP1097" s="1">
        <f>IF(HR_Data[[#This Row],[PercentSalaryHike]]&lt;=13,1,IF(HR_Data[[#This Row],[PercentSalaryHike]]&lt;=16,2,IF(HR_Data[[#This Row],[PercentSalaryHike]]&lt;=19,3,4)))</f>
        <v>1</v>
      </c>
      <c r="AQ1097" s="1" t="str">
        <f>IF(HR_Data[[#This Row],[DistanceFromHome]]&lt;=5,"1 to 5",IF(HR_Data[[#This Row],[DistanceFromHome]]&lt;=10,"6 to 10",IF(HR_Data[[#This Row],[DistanceFromHome]]&lt;=20,"11 to 20","21 to 29")))</f>
        <v>21 to 29</v>
      </c>
      <c r="AR1097" s="1">
        <f>IF(HR_Data[[#This Row],[DistanceFromHome]]&lt;=5,1,IF(HR_Data[[#This Row],[DistanceFromHome]]&lt;=10,2,IF(HR_Data[[#This Row],[DistanceFromHome]]&lt;=20,3,4)))</f>
        <v>4</v>
      </c>
      <c r="AS1097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097" s="1">
        <f>IF(HR_Data[[#This Row],[TotalWorkingYears]]&lt;=5,1,IF(HR_Data[[#This Row],[TotalWorkingYears]]&lt;=10,2,IF(HR_Data[[#This Row],[TotalWorkingYears]]&lt;=20,3,4)))</f>
        <v>3</v>
      </c>
    </row>
    <row r="1098" spans="1:46" x14ac:dyDescent="0.25">
      <c r="A1098">
        <v>40</v>
      </c>
      <c r="B1098" t="s">
        <v>36</v>
      </c>
      <c r="C1098" t="s">
        <v>30</v>
      </c>
      <c r="D1098" t="s">
        <v>54</v>
      </c>
      <c r="E1098">
        <v>6</v>
      </c>
      <c r="F1098">
        <v>2</v>
      </c>
      <c r="G1098" t="s">
        <v>44</v>
      </c>
      <c r="H1098">
        <v>1550</v>
      </c>
      <c r="I1098">
        <v>3</v>
      </c>
      <c r="J1098" t="s">
        <v>39</v>
      </c>
      <c r="K1098">
        <v>3</v>
      </c>
      <c r="L1098">
        <v>4</v>
      </c>
      <c r="M1098" t="s">
        <v>49</v>
      </c>
      <c r="N1098">
        <v>4</v>
      </c>
      <c r="O1098" t="s">
        <v>35</v>
      </c>
      <c r="P1098">
        <v>16437</v>
      </c>
      <c r="Q1098">
        <v>1</v>
      </c>
      <c r="R1098" t="s">
        <v>29</v>
      </c>
      <c r="S1098">
        <v>21</v>
      </c>
      <c r="T1098">
        <v>4</v>
      </c>
      <c r="U1098">
        <v>4</v>
      </c>
      <c r="V1098">
        <v>0</v>
      </c>
      <c r="W1098">
        <v>21</v>
      </c>
      <c r="X1098">
        <v>2</v>
      </c>
      <c r="Y1098">
        <v>3</v>
      </c>
      <c r="Z1098">
        <v>21</v>
      </c>
      <c r="AA1098">
        <v>7</v>
      </c>
      <c r="AB1098">
        <v>7</v>
      </c>
      <c r="AC1098">
        <v>7</v>
      </c>
      <c r="AD1098">
        <f>IF(HR_Data[[#This Row],[Attrition]]="Yes",1,0)</f>
        <v>0</v>
      </c>
      <c r="AE1098" t="str">
        <f>IF(HR_Data[[#This Row],[Age]]&lt;=25,"18-25",IF(HR_Data[[#This Row],[Age]]&lt;=35,"26-35",IF(HR_Data[[#This Row],[Age]]&lt;=45,"36-45",IF(HR_Data[[#This Row],[Age]]&lt;=55,"46-55","55+"))))</f>
        <v>36-45</v>
      </c>
      <c r="AF1098">
        <f>IF(HR_Data[[#This Row],[Age]]&lt;=25,1,IF(HR_Data[[#This Row],[Age]]&lt;=35,2,IF(HR_Data[[#This Row],[Age]]&lt;=45,3,IF(HR_Data[[#This Row],[Age]]&lt;=55,4,5))))</f>
        <v>3</v>
      </c>
      <c r="AG1098" s="1" t="str">
        <f>IF(HR_Data[[#This Row],[MonthlyIncome]]&lt;3000,"&lt;3K",IF(HR_Data[[#This Row],[MonthlyIncome]]&lt;6000,"3K-6K",IF(HR_Data[[#This Row],[MonthlyIncome]]&lt;10000,"6K-10K","10K+")))</f>
        <v>10K+</v>
      </c>
      <c r="AH1098" s="1">
        <f>IF(HR_Data[[#This Row],[MonthlyIncome]]&lt;3000,1,IF(HR_Data[[#This Row],[MonthlyIncome]]&lt;6000,2,IF(HR_Data[[#This Row],[MonthlyIncome]]&lt;10000,3,4)))</f>
        <v>4</v>
      </c>
      <c r="AI1098" s="1" t="str">
        <f>IF(HR_Data[[#This Row],[YearsAtCompany]]&lt;=2,"0-2 Yrs",IF(HR_Data[[#This Row],[YearsAtCompany]]&lt;=5,"3-5 Yrs",IF(HR_Data[[#This Row],[YearsAtCompany]]&lt;=10,"6-10 Yrs","10+ Yrs")))</f>
        <v>10+ Yrs</v>
      </c>
      <c r="AJ1098" s="1">
        <f>IF(HR_Data[[#This Row],[YearsAtCompany]]&lt;=2,1,IF(HR_Data[[#This Row],[YearsAtCompany]]&lt;=5,2,IF(HR_Data[[#This Row],[YearsAtCompany]]&lt;=10,3,4)))</f>
        <v>4</v>
      </c>
      <c r="AK1098" s="1" t="str">
        <f>CHOOSE(HR_Data[[#This Row],[Education]],"Below College","College","Bachelor","Master","Doctor")</f>
        <v>College</v>
      </c>
      <c r="AL1098" s="1" t="str">
        <f>CHOOSE(HR_Data[[#This Row],[JobSatisfaction]],"Low","Medium","High","Very High")</f>
        <v>Very High</v>
      </c>
      <c r="AM1098" s="1" t="str">
        <f>CHOOSE(HR_Data[[#This Row],[EnvironmentSatisfaction]],"Low","Medium","High","Very High")</f>
        <v>High</v>
      </c>
      <c r="AN1098" s="1" t="str">
        <f>CHOOSE(HR_Data[[#This Row],[WorkLifeBalance]],"Bad","Good","Better","Best")</f>
        <v>Better</v>
      </c>
      <c r="AO1098" s="1" t="str">
        <f>IF(HR_Data[[#This Row],[PercentSalaryHike]]&lt;=13,"11-13%",IF(HR_Data[[#This Row],[PercentSalaryHike]]&lt;=16,"14-16%",IF(HR_Data[[#This Row],[PercentSalaryHike]]&lt;=19,"17-19%","20-25%")))</f>
        <v>20-25%</v>
      </c>
      <c r="AP1098" s="1">
        <f>IF(HR_Data[[#This Row],[PercentSalaryHike]]&lt;=13,1,IF(HR_Data[[#This Row],[PercentSalaryHike]]&lt;=16,2,IF(HR_Data[[#This Row],[PercentSalaryHike]]&lt;=19,3,4)))</f>
        <v>4</v>
      </c>
      <c r="AQ1098" s="1" t="str">
        <f>IF(HR_Data[[#This Row],[DistanceFromHome]]&lt;=5,"1 to 5",IF(HR_Data[[#This Row],[DistanceFromHome]]&lt;=10,"6 to 10",IF(HR_Data[[#This Row],[DistanceFromHome]]&lt;=20,"11 to 20","21 to 29")))</f>
        <v>6 to 10</v>
      </c>
      <c r="AR1098" s="1">
        <f>IF(HR_Data[[#This Row],[DistanceFromHome]]&lt;=5,1,IF(HR_Data[[#This Row],[DistanceFromHome]]&lt;=10,2,IF(HR_Data[[#This Row],[DistanceFromHome]]&lt;=20,3,4)))</f>
        <v>2</v>
      </c>
      <c r="AS1098" s="1" t="str">
        <f>IF(HR_Data[[#This Row],[TotalWorkingYears]]&lt;=5,"0-5 Yrs",IF(HR_Data[[#This Row],[TotalWorkingYears]]&lt;=10,"6-10 Yrs",IF(HR_Data[[#This Row],[TotalWorkingYears]]&lt;=20,"11-20 Yrs","20+ Yrs")))</f>
        <v>20+ Yrs</v>
      </c>
      <c r="AT1098" s="1">
        <f>IF(HR_Data[[#This Row],[TotalWorkingYears]]&lt;=5,1,IF(HR_Data[[#This Row],[TotalWorkingYears]]&lt;=10,2,IF(HR_Data[[#This Row],[TotalWorkingYears]]&lt;=20,3,4)))</f>
        <v>4</v>
      </c>
    </row>
    <row r="1099" spans="1:46" x14ac:dyDescent="0.25">
      <c r="A1099">
        <v>24</v>
      </c>
      <c r="B1099" t="s">
        <v>36</v>
      </c>
      <c r="C1099" t="s">
        <v>30</v>
      </c>
      <c r="D1099" t="s">
        <v>38</v>
      </c>
      <c r="E1099">
        <v>21</v>
      </c>
      <c r="F1099">
        <v>2</v>
      </c>
      <c r="G1099" t="s">
        <v>53</v>
      </c>
      <c r="H1099">
        <v>1551</v>
      </c>
      <c r="I1099">
        <v>3</v>
      </c>
      <c r="J1099" t="s">
        <v>39</v>
      </c>
      <c r="K1099">
        <v>2</v>
      </c>
      <c r="L1099">
        <v>1</v>
      </c>
      <c r="M1099" t="s">
        <v>43</v>
      </c>
      <c r="N1099">
        <v>1</v>
      </c>
      <c r="O1099" t="s">
        <v>45</v>
      </c>
      <c r="P1099">
        <v>2296</v>
      </c>
      <c r="Q1099">
        <v>0</v>
      </c>
      <c r="R1099" t="s">
        <v>36</v>
      </c>
      <c r="S1099">
        <v>14</v>
      </c>
      <c r="T1099">
        <v>3</v>
      </c>
      <c r="U1099">
        <v>2</v>
      </c>
      <c r="V1099">
        <v>3</v>
      </c>
      <c r="W1099">
        <v>2</v>
      </c>
      <c r="X1099">
        <v>3</v>
      </c>
      <c r="Y1099">
        <v>3</v>
      </c>
      <c r="Z1099">
        <v>1</v>
      </c>
      <c r="AA1099">
        <v>1</v>
      </c>
      <c r="AB1099">
        <v>0</v>
      </c>
      <c r="AC1099">
        <v>0</v>
      </c>
      <c r="AD1099">
        <f>IF(HR_Data[[#This Row],[Attrition]]="Yes",1,0)</f>
        <v>0</v>
      </c>
      <c r="AE1099" t="str">
        <f>IF(HR_Data[[#This Row],[Age]]&lt;=25,"18-25",IF(HR_Data[[#This Row],[Age]]&lt;=35,"26-35",IF(HR_Data[[#This Row],[Age]]&lt;=45,"36-45",IF(HR_Data[[#This Row],[Age]]&lt;=55,"46-55","55+"))))</f>
        <v>18-25</v>
      </c>
      <c r="AF1099">
        <f>IF(HR_Data[[#This Row],[Age]]&lt;=25,1,IF(HR_Data[[#This Row],[Age]]&lt;=35,2,IF(HR_Data[[#This Row],[Age]]&lt;=45,3,IF(HR_Data[[#This Row],[Age]]&lt;=55,4,5))))</f>
        <v>1</v>
      </c>
      <c r="AG1099" s="1" t="str">
        <f>IF(HR_Data[[#This Row],[MonthlyIncome]]&lt;3000,"&lt;3K",IF(HR_Data[[#This Row],[MonthlyIncome]]&lt;6000,"3K-6K",IF(HR_Data[[#This Row],[MonthlyIncome]]&lt;10000,"6K-10K","10K+")))</f>
        <v>&lt;3K</v>
      </c>
      <c r="AH1099" s="1">
        <f>IF(HR_Data[[#This Row],[MonthlyIncome]]&lt;3000,1,IF(HR_Data[[#This Row],[MonthlyIncome]]&lt;6000,2,IF(HR_Data[[#This Row],[MonthlyIncome]]&lt;10000,3,4)))</f>
        <v>1</v>
      </c>
      <c r="AI1099" s="1" t="str">
        <f>IF(HR_Data[[#This Row],[YearsAtCompany]]&lt;=2,"0-2 Yrs",IF(HR_Data[[#This Row],[YearsAtCompany]]&lt;=5,"3-5 Yrs",IF(HR_Data[[#This Row],[YearsAtCompany]]&lt;=10,"6-10 Yrs","10+ Yrs")))</f>
        <v>0-2 Yrs</v>
      </c>
      <c r="AJ1099" s="1">
        <f>IF(HR_Data[[#This Row],[YearsAtCompany]]&lt;=2,1,IF(HR_Data[[#This Row],[YearsAtCompany]]&lt;=5,2,IF(HR_Data[[#This Row],[YearsAtCompany]]&lt;=10,3,4)))</f>
        <v>1</v>
      </c>
      <c r="AK1099" s="1" t="str">
        <f>CHOOSE(HR_Data[[#This Row],[Education]],"Below College","College","Bachelor","Master","Doctor")</f>
        <v>College</v>
      </c>
      <c r="AL1099" s="1" t="str">
        <f>CHOOSE(HR_Data[[#This Row],[JobSatisfaction]],"Low","Medium","High","Very High")</f>
        <v>Low</v>
      </c>
      <c r="AM1099" s="1" t="str">
        <f>CHOOSE(HR_Data[[#This Row],[EnvironmentSatisfaction]],"Low","Medium","High","Very High")</f>
        <v>High</v>
      </c>
      <c r="AN1099" s="1" t="str">
        <f>CHOOSE(HR_Data[[#This Row],[WorkLifeBalance]],"Bad","Good","Better","Best")</f>
        <v>Better</v>
      </c>
      <c r="AO1099" s="1" t="str">
        <f>IF(HR_Data[[#This Row],[PercentSalaryHike]]&lt;=13,"11-13%",IF(HR_Data[[#This Row],[PercentSalaryHike]]&lt;=16,"14-16%",IF(HR_Data[[#This Row],[PercentSalaryHike]]&lt;=19,"17-19%","20-25%")))</f>
        <v>14-16%</v>
      </c>
      <c r="AP1099" s="1">
        <f>IF(HR_Data[[#This Row],[PercentSalaryHike]]&lt;=13,1,IF(HR_Data[[#This Row],[PercentSalaryHike]]&lt;=16,2,IF(HR_Data[[#This Row],[PercentSalaryHike]]&lt;=19,3,4)))</f>
        <v>2</v>
      </c>
      <c r="AQ1099" s="1" t="str">
        <f>IF(HR_Data[[#This Row],[DistanceFromHome]]&lt;=5,"1 to 5",IF(HR_Data[[#This Row],[DistanceFromHome]]&lt;=10,"6 to 10",IF(HR_Data[[#This Row],[DistanceFromHome]]&lt;=20,"11 to 20","21 to 29")))</f>
        <v>21 to 29</v>
      </c>
      <c r="AR1099" s="1">
        <f>IF(HR_Data[[#This Row],[DistanceFromHome]]&lt;=5,1,IF(HR_Data[[#This Row],[DistanceFromHome]]&lt;=10,2,IF(HR_Data[[#This Row],[DistanceFromHome]]&lt;=20,3,4)))</f>
        <v>4</v>
      </c>
      <c r="AS1099" s="1" t="str">
        <f>IF(HR_Data[[#This Row],[TotalWorkingYears]]&lt;=5,"0-5 Yrs",IF(HR_Data[[#This Row],[TotalWorkingYears]]&lt;=10,"6-10 Yrs",IF(HR_Data[[#This Row],[TotalWorkingYears]]&lt;=20,"11-20 Yrs","20+ Yrs")))</f>
        <v>0-5 Yrs</v>
      </c>
      <c r="AT1099" s="1">
        <f>IF(HR_Data[[#This Row],[TotalWorkingYears]]&lt;=5,1,IF(HR_Data[[#This Row],[TotalWorkingYears]]&lt;=10,2,IF(HR_Data[[#This Row],[TotalWorkingYears]]&lt;=20,3,4)))</f>
        <v>1</v>
      </c>
    </row>
    <row r="1100" spans="1:46" x14ac:dyDescent="0.25">
      <c r="A1100">
        <v>40</v>
      </c>
      <c r="B1100" t="s">
        <v>36</v>
      </c>
      <c r="C1100" t="s">
        <v>48</v>
      </c>
      <c r="D1100" t="s">
        <v>38</v>
      </c>
      <c r="E1100">
        <v>8</v>
      </c>
      <c r="F1100">
        <v>2</v>
      </c>
      <c r="G1100" t="s">
        <v>32</v>
      </c>
      <c r="H1100">
        <v>1552</v>
      </c>
      <c r="I1100">
        <v>4</v>
      </c>
      <c r="J1100" t="s">
        <v>39</v>
      </c>
      <c r="K1100">
        <v>3</v>
      </c>
      <c r="L1100">
        <v>2</v>
      </c>
      <c r="M1100" t="s">
        <v>47</v>
      </c>
      <c r="N1100">
        <v>4</v>
      </c>
      <c r="O1100" t="s">
        <v>45</v>
      </c>
      <c r="P1100">
        <v>4069</v>
      </c>
      <c r="Q1100">
        <v>3</v>
      </c>
      <c r="R1100" t="s">
        <v>29</v>
      </c>
      <c r="S1100">
        <v>18</v>
      </c>
      <c r="T1100">
        <v>3</v>
      </c>
      <c r="U1100">
        <v>3</v>
      </c>
      <c r="V1100">
        <v>0</v>
      </c>
      <c r="W1100">
        <v>8</v>
      </c>
      <c r="X1100">
        <v>2</v>
      </c>
      <c r="Y1100">
        <v>3</v>
      </c>
      <c r="Z1100">
        <v>2</v>
      </c>
      <c r="AA1100">
        <v>2</v>
      </c>
      <c r="AB1100">
        <v>2</v>
      </c>
      <c r="AC1100">
        <v>2</v>
      </c>
      <c r="AD1100">
        <f>IF(HR_Data[[#This Row],[Attrition]]="Yes",1,0)</f>
        <v>0</v>
      </c>
      <c r="AE1100" t="str">
        <f>IF(HR_Data[[#This Row],[Age]]&lt;=25,"18-25",IF(HR_Data[[#This Row],[Age]]&lt;=35,"26-35",IF(HR_Data[[#This Row],[Age]]&lt;=45,"36-45",IF(HR_Data[[#This Row],[Age]]&lt;=55,"46-55","55+"))))</f>
        <v>36-45</v>
      </c>
      <c r="AF1100">
        <f>IF(HR_Data[[#This Row],[Age]]&lt;=25,1,IF(HR_Data[[#This Row],[Age]]&lt;=35,2,IF(HR_Data[[#This Row],[Age]]&lt;=45,3,IF(HR_Data[[#This Row],[Age]]&lt;=55,4,5))))</f>
        <v>3</v>
      </c>
      <c r="AG1100" s="1" t="str">
        <f>IF(HR_Data[[#This Row],[MonthlyIncome]]&lt;3000,"&lt;3K",IF(HR_Data[[#This Row],[MonthlyIncome]]&lt;6000,"3K-6K",IF(HR_Data[[#This Row],[MonthlyIncome]]&lt;10000,"6K-10K","10K+")))</f>
        <v>3K-6K</v>
      </c>
      <c r="AH1100" s="1">
        <f>IF(HR_Data[[#This Row],[MonthlyIncome]]&lt;3000,1,IF(HR_Data[[#This Row],[MonthlyIncome]]&lt;6000,2,IF(HR_Data[[#This Row],[MonthlyIncome]]&lt;10000,3,4)))</f>
        <v>2</v>
      </c>
      <c r="AI1100" s="1" t="str">
        <f>IF(HR_Data[[#This Row],[YearsAtCompany]]&lt;=2,"0-2 Yrs",IF(HR_Data[[#This Row],[YearsAtCompany]]&lt;=5,"3-5 Yrs",IF(HR_Data[[#This Row],[YearsAtCompany]]&lt;=10,"6-10 Yrs","10+ Yrs")))</f>
        <v>0-2 Yrs</v>
      </c>
      <c r="AJ1100" s="1">
        <f>IF(HR_Data[[#This Row],[YearsAtCompany]]&lt;=2,1,IF(HR_Data[[#This Row],[YearsAtCompany]]&lt;=5,2,IF(HR_Data[[#This Row],[YearsAtCompany]]&lt;=10,3,4)))</f>
        <v>1</v>
      </c>
      <c r="AK1100" s="1" t="str">
        <f>CHOOSE(HR_Data[[#This Row],[Education]],"Below College","College","Bachelor","Master","Doctor")</f>
        <v>College</v>
      </c>
      <c r="AL1100" s="1" t="str">
        <f>CHOOSE(HR_Data[[#This Row],[JobSatisfaction]],"Low","Medium","High","Very High")</f>
        <v>Very High</v>
      </c>
      <c r="AM1100" s="1" t="str">
        <f>CHOOSE(HR_Data[[#This Row],[EnvironmentSatisfaction]],"Low","Medium","High","Very High")</f>
        <v>Very High</v>
      </c>
      <c r="AN1100" s="1" t="str">
        <f>CHOOSE(HR_Data[[#This Row],[WorkLifeBalance]],"Bad","Good","Better","Best")</f>
        <v>Better</v>
      </c>
      <c r="AO1100" s="1" t="str">
        <f>IF(HR_Data[[#This Row],[PercentSalaryHike]]&lt;=13,"11-13%",IF(HR_Data[[#This Row],[PercentSalaryHike]]&lt;=16,"14-16%",IF(HR_Data[[#This Row],[PercentSalaryHike]]&lt;=19,"17-19%","20-25%")))</f>
        <v>17-19%</v>
      </c>
      <c r="AP1100" s="1">
        <f>IF(HR_Data[[#This Row],[PercentSalaryHike]]&lt;=13,1,IF(HR_Data[[#This Row],[PercentSalaryHike]]&lt;=16,2,IF(HR_Data[[#This Row],[PercentSalaryHike]]&lt;=19,3,4)))</f>
        <v>3</v>
      </c>
      <c r="AQ1100" s="1" t="str">
        <f>IF(HR_Data[[#This Row],[DistanceFromHome]]&lt;=5,"1 to 5",IF(HR_Data[[#This Row],[DistanceFromHome]]&lt;=10,"6 to 10",IF(HR_Data[[#This Row],[DistanceFromHome]]&lt;=20,"11 to 20","21 to 29")))</f>
        <v>6 to 10</v>
      </c>
      <c r="AR1100" s="1">
        <f>IF(HR_Data[[#This Row],[DistanceFromHome]]&lt;=5,1,IF(HR_Data[[#This Row],[DistanceFromHome]]&lt;=10,2,IF(HR_Data[[#This Row],[DistanceFromHome]]&lt;=20,3,4)))</f>
        <v>2</v>
      </c>
      <c r="AS1100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100" s="1">
        <f>IF(HR_Data[[#This Row],[TotalWorkingYears]]&lt;=5,1,IF(HR_Data[[#This Row],[TotalWorkingYears]]&lt;=10,2,IF(HR_Data[[#This Row],[TotalWorkingYears]]&lt;=20,3,4)))</f>
        <v>2</v>
      </c>
    </row>
    <row r="1101" spans="1:46" x14ac:dyDescent="0.25">
      <c r="A1101">
        <v>45</v>
      </c>
      <c r="B1101" t="s">
        <v>36</v>
      </c>
      <c r="C1101" t="s">
        <v>30</v>
      </c>
      <c r="D1101" t="s">
        <v>38</v>
      </c>
      <c r="E1101">
        <v>1</v>
      </c>
      <c r="F1101">
        <v>4</v>
      </c>
      <c r="G1101" t="s">
        <v>53</v>
      </c>
      <c r="H1101">
        <v>1553</v>
      </c>
      <c r="I1101">
        <v>1</v>
      </c>
      <c r="J1101" t="s">
        <v>39</v>
      </c>
      <c r="K1101">
        <v>3</v>
      </c>
      <c r="L1101">
        <v>3</v>
      </c>
      <c r="M1101" t="s">
        <v>47</v>
      </c>
      <c r="N1101">
        <v>2</v>
      </c>
      <c r="O1101" t="s">
        <v>45</v>
      </c>
      <c r="P1101">
        <v>7441</v>
      </c>
      <c r="Q1101">
        <v>1</v>
      </c>
      <c r="R1101" t="s">
        <v>36</v>
      </c>
      <c r="S1101">
        <v>12</v>
      </c>
      <c r="T1101">
        <v>3</v>
      </c>
      <c r="U1101">
        <v>1</v>
      </c>
      <c r="V1101">
        <v>3</v>
      </c>
      <c r="W1101">
        <v>10</v>
      </c>
      <c r="X1101">
        <v>4</v>
      </c>
      <c r="Y1101">
        <v>3</v>
      </c>
      <c r="Z1101">
        <v>10</v>
      </c>
      <c r="AA1101">
        <v>8</v>
      </c>
      <c r="AB1101">
        <v>7</v>
      </c>
      <c r="AC1101">
        <v>7</v>
      </c>
      <c r="AD1101">
        <f>IF(HR_Data[[#This Row],[Attrition]]="Yes",1,0)</f>
        <v>0</v>
      </c>
      <c r="AE1101" t="str">
        <f>IF(HR_Data[[#This Row],[Age]]&lt;=25,"18-25",IF(HR_Data[[#This Row],[Age]]&lt;=35,"26-35",IF(HR_Data[[#This Row],[Age]]&lt;=45,"36-45",IF(HR_Data[[#This Row],[Age]]&lt;=55,"46-55","55+"))))</f>
        <v>36-45</v>
      </c>
      <c r="AF1101">
        <f>IF(HR_Data[[#This Row],[Age]]&lt;=25,1,IF(HR_Data[[#This Row],[Age]]&lt;=35,2,IF(HR_Data[[#This Row],[Age]]&lt;=45,3,IF(HR_Data[[#This Row],[Age]]&lt;=55,4,5))))</f>
        <v>3</v>
      </c>
      <c r="AG1101" s="1" t="str">
        <f>IF(HR_Data[[#This Row],[MonthlyIncome]]&lt;3000,"&lt;3K",IF(HR_Data[[#This Row],[MonthlyIncome]]&lt;6000,"3K-6K",IF(HR_Data[[#This Row],[MonthlyIncome]]&lt;10000,"6K-10K","10K+")))</f>
        <v>6K-10K</v>
      </c>
      <c r="AH1101" s="1">
        <f>IF(HR_Data[[#This Row],[MonthlyIncome]]&lt;3000,1,IF(HR_Data[[#This Row],[MonthlyIncome]]&lt;6000,2,IF(HR_Data[[#This Row],[MonthlyIncome]]&lt;10000,3,4)))</f>
        <v>3</v>
      </c>
      <c r="AI1101" s="1" t="str">
        <f>IF(HR_Data[[#This Row],[YearsAtCompany]]&lt;=2,"0-2 Yrs",IF(HR_Data[[#This Row],[YearsAtCompany]]&lt;=5,"3-5 Yrs",IF(HR_Data[[#This Row],[YearsAtCompany]]&lt;=10,"6-10 Yrs","10+ Yrs")))</f>
        <v>6-10 Yrs</v>
      </c>
      <c r="AJ1101" s="1">
        <f>IF(HR_Data[[#This Row],[YearsAtCompany]]&lt;=2,1,IF(HR_Data[[#This Row],[YearsAtCompany]]&lt;=5,2,IF(HR_Data[[#This Row],[YearsAtCompany]]&lt;=10,3,4)))</f>
        <v>3</v>
      </c>
      <c r="AK1101" s="1" t="str">
        <f>CHOOSE(HR_Data[[#This Row],[Education]],"Below College","College","Bachelor","Master","Doctor")</f>
        <v>Master</v>
      </c>
      <c r="AL1101" s="1" t="str">
        <f>CHOOSE(HR_Data[[#This Row],[JobSatisfaction]],"Low","Medium","High","Very High")</f>
        <v>Medium</v>
      </c>
      <c r="AM1101" s="1" t="str">
        <f>CHOOSE(HR_Data[[#This Row],[EnvironmentSatisfaction]],"Low","Medium","High","Very High")</f>
        <v>Low</v>
      </c>
      <c r="AN1101" s="1" t="str">
        <f>CHOOSE(HR_Data[[#This Row],[WorkLifeBalance]],"Bad","Good","Better","Best")</f>
        <v>Better</v>
      </c>
      <c r="AO1101" s="1" t="str">
        <f>IF(HR_Data[[#This Row],[PercentSalaryHike]]&lt;=13,"11-13%",IF(HR_Data[[#This Row],[PercentSalaryHike]]&lt;=16,"14-16%",IF(HR_Data[[#This Row],[PercentSalaryHike]]&lt;=19,"17-19%","20-25%")))</f>
        <v>11-13%</v>
      </c>
      <c r="AP1101" s="1">
        <f>IF(HR_Data[[#This Row],[PercentSalaryHike]]&lt;=13,1,IF(HR_Data[[#This Row],[PercentSalaryHike]]&lt;=16,2,IF(HR_Data[[#This Row],[PercentSalaryHike]]&lt;=19,3,4)))</f>
        <v>1</v>
      </c>
      <c r="AQ1101" s="1" t="str">
        <f>IF(HR_Data[[#This Row],[DistanceFromHome]]&lt;=5,"1 to 5",IF(HR_Data[[#This Row],[DistanceFromHome]]&lt;=10,"6 to 10",IF(HR_Data[[#This Row],[DistanceFromHome]]&lt;=20,"11 to 20","21 to 29")))</f>
        <v>1 to 5</v>
      </c>
      <c r="AR1101" s="1">
        <f>IF(HR_Data[[#This Row],[DistanceFromHome]]&lt;=5,1,IF(HR_Data[[#This Row],[DistanceFromHome]]&lt;=10,2,IF(HR_Data[[#This Row],[DistanceFromHome]]&lt;=20,3,4)))</f>
        <v>1</v>
      </c>
      <c r="AS1101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101" s="1">
        <f>IF(HR_Data[[#This Row],[TotalWorkingYears]]&lt;=5,1,IF(HR_Data[[#This Row],[TotalWorkingYears]]&lt;=10,2,IF(HR_Data[[#This Row],[TotalWorkingYears]]&lt;=20,3,4)))</f>
        <v>2</v>
      </c>
    </row>
    <row r="1102" spans="1:46" x14ac:dyDescent="0.25">
      <c r="A1102">
        <v>35</v>
      </c>
      <c r="B1102" t="s">
        <v>36</v>
      </c>
      <c r="C1102" t="s">
        <v>30</v>
      </c>
      <c r="D1102" t="s">
        <v>31</v>
      </c>
      <c r="E1102">
        <v>28</v>
      </c>
      <c r="F1102">
        <v>4</v>
      </c>
      <c r="G1102" t="s">
        <v>32</v>
      </c>
      <c r="H1102">
        <v>1554</v>
      </c>
      <c r="I1102">
        <v>2</v>
      </c>
      <c r="J1102" t="s">
        <v>33</v>
      </c>
      <c r="K1102">
        <v>2</v>
      </c>
      <c r="L1102">
        <v>1</v>
      </c>
      <c r="M1102" t="s">
        <v>50</v>
      </c>
      <c r="N1102">
        <v>3</v>
      </c>
      <c r="O1102" t="s">
        <v>41</v>
      </c>
      <c r="P1102">
        <v>2430</v>
      </c>
      <c r="Q1102">
        <v>0</v>
      </c>
      <c r="R1102" t="s">
        <v>36</v>
      </c>
      <c r="S1102">
        <v>23</v>
      </c>
      <c r="T1102">
        <v>4</v>
      </c>
      <c r="U1102">
        <v>1</v>
      </c>
      <c r="V1102">
        <v>2</v>
      </c>
      <c r="W1102">
        <v>6</v>
      </c>
      <c r="X1102">
        <v>5</v>
      </c>
      <c r="Y1102">
        <v>3</v>
      </c>
      <c r="Z1102">
        <v>5</v>
      </c>
      <c r="AA1102">
        <v>3</v>
      </c>
      <c r="AB1102">
        <v>4</v>
      </c>
      <c r="AC1102">
        <v>2</v>
      </c>
      <c r="AD1102">
        <f>IF(HR_Data[[#This Row],[Attrition]]="Yes",1,0)</f>
        <v>0</v>
      </c>
      <c r="AE1102" t="str">
        <f>IF(HR_Data[[#This Row],[Age]]&lt;=25,"18-25",IF(HR_Data[[#This Row],[Age]]&lt;=35,"26-35",IF(HR_Data[[#This Row],[Age]]&lt;=45,"36-45",IF(HR_Data[[#This Row],[Age]]&lt;=55,"46-55","55+"))))</f>
        <v>26-35</v>
      </c>
      <c r="AF1102">
        <f>IF(HR_Data[[#This Row],[Age]]&lt;=25,1,IF(HR_Data[[#This Row],[Age]]&lt;=35,2,IF(HR_Data[[#This Row],[Age]]&lt;=45,3,IF(HR_Data[[#This Row],[Age]]&lt;=55,4,5))))</f>
        <v>2</v>
      </c>
      <c r="AG1102" s="1" t="str">
        <f>IF(HR_Data[[#This Row],[MonthlyIncome]]&lt;3000,"&lt;3K",IF(HR_Data[[#This Row],[MonthlyIncome]]&lt;6000,"3K-6K",IF(HR_Data[[#This Row],[MonthlyIncome]]&lt;10000,"6K-10K","10K+")))</f>
        <v>&lt;3K</v>
      </c>
      <c r="AH1102" s="1">
        <f>IF(HR_Data[[#This Row],[MonthlyIncome]]&lt;3000,1,IF(HR_Data[[#This Row],[MonthlyIncome]]&lt;6000,2,IF(HR_Data[[#This Row],[MonthlyIncome]]&lt;10000,3,4)))</f>
        <v>1</v>
      </c>
      <c r="AI1102" s="1" t="str">
        <f>IF(HR_Data[[#This Row],[YearsAtCompany]]&lt;=2,"0-2 Yrs",IF(HR_Data[[#This Row],[YearsAtCompany]]&lt;=5,"3-5 Yrs",IF(HR_Data[[#This Row],[YearsAtCompany]]&lt;=10,"6-10 Yrs","10+ Yrs")))</f>
        <v>3-5 Yrs</v>
      </c>
      <c r="AJ1102" s="1">
        <f>IF(HR_Data[[#This Row],[YearsAtCompany]]&lt;=2,1,IF(HR_Data[[#This Row],[YearsAtCompany]]&lt;=5,2,IF(HR_Data[[#This Row],[YearsAtCompany]]&lt;=10,3,4)))</f>
        <v>2</v>
      </c>
      <c r="AK1102" s="1" t="str">
        <f>CHOOSE(HR_Data[[#This Row],[Education]],"Below College","College","Bachelor","Master","Doctor")</f>
        <v>Master</v>
      </c>
      <c r="AL1102" s="1" t="str">
        <f>CHOOSE(HR_Data[[#This Row],[JobSatisfaction]],"Low","Medium","High","Very High")</f>
        <v>High</v>
      </c>
      <c r="AM1102" s="1" t="str">
        <f>CHOOSE(HR_Data[[#This Row],[EnvironmentSatisfaction]],"Low","Medium","High","Very High")</f>
        <v>Medium</v>
      </c>
      <c r="AN1102" s="1" t="str">
        <f>CHOOSE(HR_Data[[#This Row],[WorkLifeBalance]],"Bad","Good","Better","Best")</f>
        <v>Better</v>
      </c>
      <c r="AO1102" s="1" t="str">
        <f>IF(HR_Data[[#This Row],[PercentSalaryHike]]&lt;=13,"11-13%",IF(HR_Data[[#This Row],[PercentSalaryHike]]&lt;=16,"14-16%",IF(HR_Data[[#This Row],[PercentSalaryHike]]&lt;=19,"17-19%","20-25%")))</f>
        <v>20-25%</v>
      </c>
      <c r="AP1102" s="1">
        <f>IF(HR_Data[[#This Row],[PercentSalaryHike]]&lt;=13,1,IF(HR_Data[[#This Row],[PercentSalaryHike]]&lt;=16,2,IF(HR_Data[[#This Row],[PercentSalaryHike]]&lt;=19,3,4)))</f>
        <v>4</v>
      </c>
      <c r="AQ1102" s="1" t="str">
        <f>IF(HR_Data[[#This Row],[DistanceFromHome]]&lt;=5,"1 to 5",IF(HR_Data[[#This Row],[DistanceFromHome]]&lt;=10,"6 to 10",IF(HR_Data[[#This Row],[DistanceFromHome]]&lt;=20,"11 to 20","21 to 29")))</f>
        <v>21 to 29</v>
      </c>
      <c r="AR1102" s="1">
        <f>IF(HR_Data[[#This Row],[DistanceFromHome]]&lt;=5,1,IF(HR_Data[[#This Row],[DistanceFromHome]]&lt;=10,2,IF(HR_Data[[#This Row],[DistanceFromHome]]&lt;=20,3,4)))</f>
        <v>4</v>
      </c>
      <c r="AS1102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102" s="1">
        <f>IF(HR_Data[[#This Row],[TotalWorkingYears]]&lt;=5,1,IF(HR_Data[[#This Row],[TotalWorkingYears]]&lt;=10,2,IF(HR_Data[[#This Row],[TotalWorkingYears]]&lt;=20,3,4)))</f>
        <v>2</v>
      </c>
    </row>
    <row r="1103" spans="1:46" x14ac:dyDescent="0.25">
      <c r="A1103">
        <v>32</v>
      </c>
      <c r="B1103" t="s">
        <v>36</v>
      </c>
      <c r="C1103" t="s">
        <v>30</v>
      </c>
      <c r="D1103" t="s">
        <v>38</v>
      </c>
      <c r="E1103">
        <v>5</v>
      </c>
      <c r="F1103">
        <v>2</v>
      </c>
      <c r="G1103" t="s">
        <v>32</v>
      </c>
      <c r="H1103">
        <v>1555</v>
      </c>
      <c r="I1103">
        <v>4</v>
      </c>
      <c r="J1103" t="s">
        <v>33</v>
      </c>
      <c r="K1103">
        <v>2</v>
      </c>
      <c r="L1103">
        <v>2</v>
      </c>
      <c r="M1103" t="s">
        <v>40</v>
      </c>
      <c r="N1103">
        <v>2</v>
      </c>
      <c r="O1103" t="s">
        <v>41</v>
      </c>
      <c r="P1103">
        <v>5878</v>
      </c>
      <c r="Q1103">
        <v>3</v>
      </c>
      <c r="R1103" t="s">
        <v>36</v>
      </c>
      <c r="S1103">
        <v>12</v>
      </c>
      <c r="T1103">
        <v>3</v>
      </c>
      <c r="U1103">
        <v>1</v>
      </c>
      <c r="V1103">
        <v>1</v>
      </c>
      <c r="W1103">
        <v>12</v>
      </c>
      <c r="X1103">
        <v>2</v>
      </c>
      <c r="Y1103">
        <v>3</v>
      </c>
      <c r="Z1103">
        <v>7</v>
      </c>
      <c r="AA1103">
        <v>1</v>
      </c>
      <c r="AB1103">
        <v>2</v>
      </c>
      <c r="AC1103">
        <v>5</v>
      </c>
      <c r="AD1103">
        <f>IF(HR_Data[[#This Row],[Attrition]]="Yes",1,0)</f>
        <v>0</v>
      </c>
      <c r="AE1103" t="str">
        <f>IF(HR_Data[[#This Row],[Age]]&lt;=25,"18-25",IF(HR_Data[[#This Row],[Age]]&lt;=35,"26-35",IF(HR_Data[[#This Row],[Age]]&lt;=45,"36-45",IF(HR_Data[[#This Row],[Age]]&lt;=55,"46-55","55+"))))</f>
        <v>26-35</v>
      </c>
      <c r="AF1103">
        <f>IF(HR_Data[[#This Row],[Age]]&lt;=25,1,IF(HR_Data[[#This Row],[Age]]&lt;=35,2,IF(HR_Data[[#This Row],[Age]]&lt;=45,3,IF(HR_Data[[#This Row],[Age]]&lt;=55,4,5))))</f>
        <v>2</v>
      </c>
      <c r="AG1103" s="1" t="str">
        <f>IF(HR_Data[[#This Row],[MonthlyIncome]]&lt;3000,"&lt;3K",IF(HR_Data[[#This Row],[MonthlyIncome]]&lt;6000,"3K-6K",IF(HR_Data[[#This Row],[MonthlyIncome]]&lt;10000,"6K-10K","10K+")))</f>
        <v>3K-6K</v>
      </c>
      <c r="AH1103" s="1">
        <f>IF(HR_Data[[#This Row],[MonthlyIncome]]&lt;3000,1,IF(HR_Data[[#This Row],[MonthlyIncome]]&lt;6000,2,IF(HR_Data[[#This Row],[MonthlyIncome]]&lt;10000,3,4)))</f>
        <v>2</v>
      </c>
      <c r="AI1103" s="1" t="str">
        <f>IF(HR_Data[[#This Row],[YearsAtCompany]]&lt;=2,"0-2 Yrs",IF(HR_Data[[#This Row],[YearsAtCompany]]&lt;=5,"3-5 Yrs",IF(HR_Data[[#This Row],[YearsAtCompany]]&lt;=10,"6-10 Yrs","10+ Yrs")))</f>
        <v>6-10 Yrs</v>
      </c>
      <c r="AJ1103" s="1">
        <f>IF(HR_Data[[#This Row],[YearsAtCompany]]&lt;=2,1,IF(HR_Data[[#This Row],[YearsAtCompany]]&lt;=5,2,IF(HR_Data[[#This Row],[YearsAtCompany]]&lt;=10,3,4)))</f>
        <v>3</v>
      </c>
      <c r="AK1103" s="1" t="str">
        <f>CHOOSE(HR_Data[[#This Row],[Education]],"Below College","College","Bachelor","Master","Doctor")</f>
        <v>College</v>
      </c>
      <c r="AL1103" s="1" t="str">
        <f>CHOOSE(HR_Data[[#This Row],[JobSatisfaction]],"Low","Medium","High","Very High")</f>
        <v>Medium</v>
      </c>
      <c r="AM1103" s="1" t="str">
        <f>CHOOSE(HR_Data[[#This Row],[EnvironmentSatisfaction]],"Low","Medium","High","Very High")</f>
        <v>Very High</v>
      </c>
      <c r="AN1103" s="1" t="str">
        <f>CHOOSE(HR_Data[[#This Row],[WorkLifeBalance]],"Bad","Good","Better","Best")</f>
        <v>Better</v>
      </c>
      <c r="AO1103" s="1" t="str">
        <f>IF(HR_Data[[#This Row],[PercentSalaryHike]]&lt;=13,"11-13%",IF(HR_Data[[#This Row],[PercentSalaryHike]]&lt;=16,"14-16%",IF(HR_Data[[#This Row],[PercentSalaryHike]]&lt;=19,"17-19%","20-25%")))</f>
        <v>11-13%</v>
      </c>
      <c r="AP1103" s="1">
        <f>IF(HR_Data[[#This Row],[PercentSalaryHike]]&lt;=13,1,IF(HR_Data[[#This Row],[PercentSalaryHike]]&lt;=16,2,IF(HR_Data[[#This Row],[PercentSalaryHike]]&lt;=19,3,4)))</f>
        <v>1</v>
      </c>
      <c r="AQ1103" s="1" t="str">
        <f>IF(HR_Data[[#This Row],[DistanceFromHome]]&lt;=5,"1 to 5",IF(HR_Data[[#This Row],[DistanceFromHome]]&lt;=10,"6 to 10",IF(HR_Data[[#This Row],[DistanceFromHome]]&lt;=20,"11 to 20","21 to 29")))</f>
        <v>1 to 5</v>
      </c>
      <c r="AR1103" s="1">
        <f>IF(HR_Data[[#This Row],[DistanceFromHome]]&lt;=5,1,IF(HR_Data[[#This Row],[DistanceFromHome]]&lt;=10,2,IF(HR_Data[[#This Row],[DistanceFromHome]]&lt;=20,3,4)))</f>
        <v>1</v>
      </c>
      <c r="AS1103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103" s="1">
        <f>IF(HR_Data[[#This Row],[TotalWorkingYears]]&lt;=5,1,IF(HR_Data[[#This Row],[TotalWorkingYears]]&lt;=10,2,IF(HR_Data[[#This Row],[TotalWorkingYears]]&lt;=20,3,4)))</f>
        <v>3</v>
      </c>
    </row>
    <row r="1104" spans="1:46" x14ac:dyDescent="0.25">
      <c r="A1104">
        <v>36</v>
      </c>
      <c r="B1104" t="s">
        <v>36</v>
      </c>
      <c r="C1104" t="s">
        <v>30</v>
      </c>
      <c r="D1104" t="s">
        <v>31</v>
      </c>
      <c r="E1104">
        <v>2</v>
      </c>
      <c r="F1104">
        <v>4</v>
      </c>
      <c r="G1104" t="s">
        <v>32</v>
      </c>
      <c r="H1104">
        <v>1556</v>
      </c>
      <c r="I1104">
        <v>3</v>
      </c>
      <c r="J1104" t="s">
        <v>39</v>
      </c>
      <c r="K1104">
        <v>3</v>
      </c>
      <c r="L1104">
        <v>1</v>
      </c>
      <c r="M1104" t="s">
        <v>50</v>
      </c>
      <c r="N1104">
        <v>4</v>
      </c>
      <c r="O1104" t="s">
        <v>35</v>
      </c>
      <c r="P1104">
        <v>2644</v>
      </c>
      <c r="Q1104">
        <v>3</v>
      </c>
      <c r="R1104" t="s">
        <v>29</v>
      </c>
      <c r="S1104">
        <v>21</v>
      </c>
      <c r="T1104">
        <v>4</v>
      </c>
      <c r="U1104">
        <v>4</v>
      </c>
      <c r="V1104">
        <v>0</v>
      </c>
      <c r="W1104">
        <v>7</v>
      </c>
      <c r="X1104">
        <v>3</v>
      </c>
      <c r="Y1104">
        <v>2</v>
      </c>
      <c r="Z1104">
        <v>3</v>
      </c>
      <c r="AA1104">
        <v>2</v>
      </c>
      <c r="AB1104">
        <v>1</v>
      </c>
      <c r="AC1104">
        <v>2</v>
      </c>
      <c r="AD1104">
        <f>IF(HR_Data[[#This Row],[Attrition]]="Yes",1,0)</f>
        <v>0</v>
      </c>
      <c r="AE1104" t="str">
        <f>IF(HR_Data[[#This Row],[Age]]&lt;=25,"18-25",IF(HR_Data[[#This Row],[Age]]&lt;=35,"26-35",IF(HR_Data[[#This Row],[Age]]&lt;=45,"36-45",IF(HR_Data[[#This Row],[Age]]&lt;=55,"46-55","55+"))))</f>
        <v>36-45</v>
      </c>
      <c r="AF1104">
        <f>IF(HR_Data[[#This Row],[Age]]&lt;=25,1,IF(HR_Data[[#This Row],[Age]]&lt;=35,2,IF(HR_Data[[#This Row],[Age]]&lt;=45,3,IF(HR_Data[[#This Row],[Age]]&lt;=55,4,5))))</f>
        <v>3</v>
      </c>
      <c r="AG1104" s="1" t="str">
        <f>IF(HR_Data[[#This Row],[MonthlyIncome]]&lt;3000,"&lt;3K",IF(HR_Data[[#This Row],[MonthlyIncome]]&lt;6000,"3K-6K",IF(HR_Data[[#This Row],[MonthlyIncome]]&lt;10000,"6K-10K","10K+")))</f>
        <v>&lt;3K</v>
      </c>
      <c r="AH1104" s="1">
        <f>IF(HR_Data[[#This Row],[MonthlyIncome]]&lt;3000,1,IF(HR_Data[[#This Row],[MonthlyIncome]]&lt;6000,2,IF(HR_Data[[#This Row],[MonthlyIncome]]&lt;10000,3,4)))</f>
        <v>1</v>
      </c>
      <c r="AI1104" s="1" t="str">
        <f>IF(HR_Data[[#This Row],[YearsAtCompany]]&lt;=2,"0-2 Yrs",IF(HR_Data[[#This Row],[YearsAtCompany]]&lt;=5,"3-5 Yrs",IF(HR_Data[[#This Row],[YearsAtCompany]]&lt;=10,"6-10 Yrs","10+ Yrs")))</f>
        <v>3-5 Yrs</v>
      </c>
      <c r="AJ1104" s="1">
        <f>IF(HR_Data[[#This Row],[YearsAtCompany]]&lt;=2,1,IF(HR_Data[[#This Row],[YearsAtCompany]]&lt;=5,2,IF(HR_Data[[#This Row],[YearsAtCompany]]&lt;=10,3,4)))</f>
        <v>2</v>
      </c>
      <c r="AK1104" s="1" t="str">
        <f>CHOOSE(HR_Data[[#This Row],[Education]],"Below College","College","Bachelor","Master","Doctor")</f>
        <v>Master</v>
      </c>
      <c r="AL1104" s="1" t="str">
        <f>CHOOSE(HR_Data[[#This Row],[JobSatisfaction]],"Low","Medium","High","Very High")</f>
        <v>Very High</v>
      </c>
      <c r="AM1104" s="1" t="str">
        <f>CHOOSE(HR_Data[[#This Row],[EnvironmentSatisfaction]],"Low","Medium","High","Very High")</f>
        <v>High</v>
      </c>
      <c r="AN1104" s="1" t="str">
        <f>CHOOSE(HR_Data[[#This Row],[WorkLifeBalance]],"Bad","Good","Better","Best")</f>
        <v>Good</v>
      </c>
      <c r="AO1104" s="1" t="str">
        <f>IF(HR_Data[[#This Row],[PercentSalaryHike]]&lt;=13,"11-13%",IF(HR_Data[[#This Row],[PercentSalaryHike]]&lt;=16,"14-16%",IF(HR_Data[[#This Row],[PercentSalaryHike]]&lt;=19,"17-19%","20-25%")))</f>
        <v>20-25%</v>
      </c>
      <c r="AP1104" s="1">
        <f>IF(HR_Data[[#This Row],[PercentSalaryHike]]&lt;=13,1,IF(HR_Data[[#This Row],[PercentSalaryHike]]&lt;=16,2,IF(HR_Data[[#This Row],[PercentSalaryHike]]&lt;=19,3,4)))</f>
        <v>4</v>
      </c>
      <c r="AQ1104" s="1" t="str">
        <f>IF(HR_Data[[#This Row],[DistanceFromHome]]&lt;=5,"1 to 5",IF(HR_Data[[#This Row],[DistanceFromHome]]&lt;=10,"6 to 10",IF(HR_Data[[#This Row],[DistanceFromHome]]&lt;=20,"11 to 20","21 to 29")))</f>
        <v>1 to 5</v>
      </c>
      <c r="AR1104" s="1">
        <f>IF(HR_Data[[#This Row],[DistanceFromHome]]&lt;=5,1,IF(HR_Data[[#This Row],[DistanceFromHome]]&lt;=10,2,IF(HR_Data[[#This Row],[DistanceFromHome]]&lt;=20,3,4)))</f>
        <v>1</v>
      </c>
      <c r="AS1104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104" s="1">
        <f>IF(HR_Data[[#This Row],[TotalWorkingYears]]&lt;=5,1,IF(HR_Data[[#This Row],[TotalWorkingYears]]&lt;=10,2,IF(HR_Data[[#This Row],[TotalWorkingYears]]&lt;=20,3,4)))</f>
        <v>2</v>
      </c>
    </row>
    <row r="1105" spans="1:46" x14ac:dyDescent="0.25">
      <c r="A1105">
        <v>48</v>
      </c>
      <c r="B1105" t="s">
        <v>36</v>
      </c>
      <c r="C1105" t="s">
        <v>30</v>
      </c>
      <c r="D1105" t="s">
        <v>31</v>
      </c>
      <c r="E1105">
        <v>16</v>
      </c>
      <c r="F1105">
        <v>4</v>
      </c>
      <c r="G1105" t="s">
        <v>32</v>
      </c>
      <c r="H1105">
        <v>1557</v>
      </c>
      <c r="I1105">
        <v>3</v>
      </c>
      <c r="J1105" t="s">
        <v>33</v>
      </c>
      <c r="K1105">
        <v>3</v>
      </c>
      <c r="L1105">
        <v>2</v>
      </c>
      <c r="M1105" t="s">
        <v>34</v>
      </c>
      <c r="N1105">
        <v>3</v>
      </c>
      <c r="O1105" t="s">
        <v>45</v>
      </c>
      <c r="P1105">
        <v>6439</v>
      </c>
      <c r="Q1105">
        <v>8</v>
      </c>
      <c r="R1105" t="s">
        <v>36</v>
      </c>
      <c r="S1105">
        <v>14</v>
      </c>
      <c r="T1105">
        <v>3</v>
      </c>
      <c r="U1105">
        <v>3</v>
      </c>
      <c r="V1105">
        <v>1</v>
      </c>
      <c r="W1105">
        <v>18</v>
      </c>
      <c r="X1105">
        <v>2</v>
      </c>
      <c r="Y1105">
        <v>3</v>
      </c>
      <c r="Z1105">
        <v>8</v>
      </c>
      <c r="AA1105">
        <v>7</v>
      </c>
      <c r="AB1105">
        <v>7</v>
      </c>
      <c r="AC1105">
        <v>7</v>
      </c>
      <c r="AD1105">
        <f>IF(HR_Data[[#This Row],[Attrition]]="Yes",1,0)</f>
        <v>0</v>
      </c>
      <c r="AE1105" t="str">
        <f>IF(HR_Data[[#This Row],[Age]]&lt;=25,"18-25",IF(HR_Data[[#This Row],[Age]]&lt;=35,"26-35",IF(HR_Data[[#This Row],[Age]]&lt;=45,"36-45",IF(HR_Data[[#This Row],[Age]]&lt;=55,"46-55","55+"))))</f>
        <v>46-55</v>
      </c>
      <c r="AF1105">
        <f>IF(HR_Data[[#This Row],[Age]]&lt;=25,1,IF(HR_Data[[#This Row],[Age]]&lt;=35,2,IF(HR_Data[[#This Row],[Age]]&lt;=45,3,IF(HR_Data[[#This Row],[Age]]&lt;=55,4,5))))</f>
        <v>4</v>
      </c>
      <c r="AG1105" s="1" t="str">
        <f>IF(HR_Data[[#This Row],[MonthlyIncome]]&lt;3000,"&lt;3K",IF(HR_Data[[#This Row],[MonthlyIncome]]&lt;6000,"3K-6K",IF(HR_Data[[#This Row],[MonthlyIncome]]&lt;10000,"6K-10K","10K+")))</f>
        <v>6K-10K</v>
      </c>
      <c r="AH1105" s="1">
        <f>IF(HR_Data[[#This Row],[MonthlyIncome]]&lt;3000,1,IF(HR_Data[[#This Row],[MonthlyIncome]]&lt;6000,2,IF(HR_Data[[#This Row],[MonthlyIncome]]&lt;10000,3,4)))</f>
        <v>3</v>
      </c>
      <c r="AI1105" s="1" t="str">
        <f>IF(HR_Data[[#This Row],[YearsAtCompany]]&lt;=2,"0-2 Yrs",IF(HR_Data[[#This Row],[YearsAtCompany]]&lt;=5,"3-5 Yrs",IF(HR_Data[[#This Row],[YearsAtCompany]]&lt;=10,"6-10 Yrs","10+ Yrs")))</f>
        <v>6-10 Yrs</v>
      </c>
      <c r="AJ1105" s="1">
        <f>IF(HR_Data[[#This Row],[YearsAtCompany]]&lt;=2,1,IF(HR_Data[[#This Row],[YearsAtCompany]]&lt;=5,2,IF(HR_Data[[#This Row],[YearsAtCompany]]&lt;=10,3,4)))</f>
        <v>3</v>
      </c>
      <c r="AK1105" s="1" t="str">
        <f>CHOOSE(HR_Data[[#This Row],[Education]],"Below College","College","Bachelor","Master","Doctor")</f>
        <v>Master</v>
      </c>
      <c r="AL1105" s="1" t="str">
        <f>CHOOSE(HR_Data[[#This Row],[JobSatisfaction]],"Low","Medium","High","Very High")</f>
        <v>High</v>
      </c>
      <c r="AM1105" s="1" t="str">
        <f>CHOOSE(HR_Data[[#This Row],[EnvironmentSatisfaction]],"Low","Medium","High","Very High")</f>
        <v>High</v>
      </c>
      <c r="AN1105" s="1" t="str">
        <f>CHOOSE(HR_Data[[#This Row],[WorkLifeBalance]],"Bad","Good","Better","Best")</f>
        <v>Better</v>
      </c>
      <c r="AO1105" s="1" t="str">
        <f>IF(HR_Data[[#This Row],[PercentSalaryHike]]&lt;=13,"11-13%",IF(HR_Data[[#This Row],[PercentSalaryHike]]&lt;=16,"14-16%",IF(HR_Data[[#This Row],[PercentSalaryHike]]&lt;=19,"17-19%","20-25%")))</f>
        <v>14-16%</v>
      </c>
      <c r="AP1105" s="1">
        <f>IF(HR_Data[[#This Row],[PercentSalaryHike]]&lt;=13,1,IF(HR_Data[[#This Row],[PercentSalaryHike]]&lt;=16,2,IF(HR_Data[[#This Row],[PercentSalaryHike]]&lt;=19,3,4)))</f>
        <v>2</v>
      </c>
      <c r="AQ1105" s="1" t="str">
        <f>IF(HR_Data[[#This Row],[DistanceFromHome]]&lt;=5,"1 to 5",IF(HR_Data[[#This Row],[DistanceFromHome]]&lt;=10,"6 to 10",IF(HR_Data[[#This Row],[DistanceFromHome]]&lt;=20,"11 to 20","21 to 29")))</f>
        <v>11 to 20</v>
      </c>
      <c r="AR1105" s="1">
        <f>IF(HR_Data[[#This Row],[DistanceFromHome]]&lt;=5,1,IF(HR_Data[[#This Row],[DistanceFromHome]]&lt;=10,2,IF(HR_Data[[#This Row],[DistanceFromHome]]&lt;=20,3,4)))</f>
        <v>3</v>
      </c>
      <c r="AS1105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105" s="1">
        <f>IF(HR_Data[[#This Row],[TotalWorkingYears]]&lt;=5,1,IF(HR_Data[[#This Row],[TotalWorkingYears]]&lt;=10,2,IF(HR_Data[[#This Row],[TotalWorkingYears]]&lt;=20,3,4)))</f>
        <v>3</v>
      </c>
    </row>
    <row r="1106" spans="1:46" x14ac:dyDescent="0.25">
      <c r="A1106">
        <v>29</v>
      </c>
      <c r="B1106" t="s">
        <v>36</v>
      </c>
      <c r="C1106" t="s">
        <v>30</v>
      </c>
      <c r="D1106" t="s">
        <v>38</v>
      </c>
      <c r="E1106">
        <v>9</v>
      </c>
      <c r="F1106">
        <v>3</v>
      </c>
      <c r="G1106" t="s">
        <v>32</v>
      </c>
      <c r="H1106">
        <v>1558</v>
      </c>
      <c r="I1106">
        <v>3</v>
      </c>
      <c r="J1106" t="s">
        <v>39</v>
      </c>
      <c r="K1106">
        <v>4</v>
      </c>
      <c r="L1106">
        <v>1</v>
      </c>
      <c r="M1106" t="s">
        <v>40</v>
      </c>
      <c r="N1106">
        <v>3</v>
      </c>
      <c r="O1106" t="s">
        <v>41</v>
      </c>
      <c r="P1106">
        <v>2451</v>
      </c>
      <c r="Q1106">
        <v>6</v>
      </c>
      <c r="R1106" t="s">
        <v>36</v>
      </c>
      <c r="S1106">
        <v>18</v>
      </c>
      <c r="T1106">
        <v>3</v>
      </c>
      <c r="U1106">
        <v>1</v>
      </c>
      <c r="V1106">
        <v>2</v>
      </c>
      <c r="W1106">
        <v>5</v>
      </c>
      <c r="X1106">
        <v>2</v>
      </c>
      <c r="Y1106">
        <v>2</v>
      </c>
      <c r="Z1106">
        <v>1</v>
      </c>
      <c r="AA1106">
        <v>0</v>
      </c>
      <c r="AB1106">
        <v>0</v>
      </c>
      <c r="AC1106">
        <v>0</v>
      </c>
      <c r="AD1106">
        <f>IF(HR_Data[[#This Row],[Attrition]]="Yes",1,0)</f>
        <v>0</v>
      </c>
      <c r="AE1106" t="str">
        <f>IF(HR_Data[[#This Row],[Age]]&lt;=25,"18-25",IF(HR_Data[[#This Row],[Age]]&lt;=35,"26-35",IF(HR_Data[[#This Row],[Age]]&lt;=45,"36-45",IF(HR_Data[[#This Row],[Age]]&lt;=55,"46-55","55+"))))</f>
        <v>26-35</v>
      </c>
      <c r="AF1106">
        <f>IF(HR_Data[[#This Row],[Age]]&lt;=25,1,IF(HR_Data[[#This Row],[Age]]&lt;=35,2,IF(HR_Data[[#This Row],[Age]]&lt;=45,3,IF(HR_Data[[#This Row],[Age]]&lt;=55,4,5))))</f>
        <v>2</v>
      </c>
      <c r="AG1106" s="1" t="str">
        <f>IF(HR_Data[[#This Row],[MonthlyIncome]]&lt;3000,"&lt;3K",IF(HR_Data[[#This Row],[MonthlyIncome]]&lt;6000,"3K-6K",IF(HR_Data[[#This Row],[MonthlyIncome]]&lt;10000,"6K-10K","10K+")))</f>
        <v>&lt;3K</v>
      </c>
      <c r="AH1106" s="1">
        <f>IF(HR_Data[[#This Row],[MonthlyIncome]]&lt;3000,1,IF(HR_Data[[#This Row],[MonthlyIncome]]&lt;6000,2,IF(HR_Data[[#This Row],[MonthlyIncome]]&lt;10000,3,4)))</f>
        <v>1</v>
      </c>
      <c r="AI1106" s="1" t="str">
        <f>IF(HR_Data[[#This Row],[YearsAtCompany]]&lt;=2,"0-2 Yrs",IF(HR_Data[[#This Row],[YearsAtCompany]]&lt;=5,"3-5 Yrs",IF(HR_Data[[#This Row],[YearsAtCompany]]&lt;=10,"6-10 Yrs","10+ Yrs")))</f>
        <v>0-2 Yrs</v>
      </c>
      <c r="AJ1106" s="1">
        <f>IF(HR_Data[[#This Row],[YearsAtCompany]]&lt;=2,1,IF(HR_Data[[#This Row],[YearsAtCompany]]&lt;=5,2,IF(HR_Data[[#This Row],[YearsAtCompany]]&lt;=10,3,4)))</f>
        <v>1</v>
      </c>
      <c r="AK1106" s="1" t="str">
        <f>CHOOSE(HR_Data[[#This Row],[Education]],"Below College","College","Bachelor","Master","Doctor")</f>
        <v>Bachelor</v>
      </c>
      <c r="AL1106" s="1" t="str">
        <f>CHOOSE(HR_Data[[#This Row],[JobSatisfaction]],"Low","Medium","High","Very High")</f>
        <v>High</v>
      </c>
      <c r="AM1106" s="1" t="str">
        <f>CHOOSE(HR_Data[[#This Row],[EnvironmentSatisfaction]],"Low","Medium","High","Very High")</f>
        <v>High</v>
      </c>
      <c r="AN1106" s="1" t="str">
        <f>CHOOSE(HR_Data[[#This Row],[WorkLifeBalance]],"Bad","Good","Better","Best")</f>
        <v>Good</v>
      </c>
      <c r="AO1106" s="1" t="str">
        <f>IF(HR_Data[[#This Row],[PercentSalaryHike]]&lt;=13,"11-13%",IF(HR_Data[[#This Row],[PercentSalaryHike]]&lt;=16,"14-16%",IF(HR_Data[[#This Row],[PercentSalaryHike]]&lt;=19,"17-19%","20-25%")))</f>
        <v>17-19%</v>
      </c>
      <c r="AP1106" s="1">
        <f>IF(HR_Data[[#This Row],[PercentSalaryHike]]&lt;=13,1,IF(HR_Data[[#This Row],[PercentSalaryHike]]&lt;=16,2,IF(HR_Data[[#This Row],[PercentSalaryHike]]&lt;=19,3,4)))</f>
        <v>3</v>
      </c>
      <c r="AQ1106" s="1" t="str">
        <f>IF(HR_Data[[#This Row],[DistanceFromHome]]&lt;=5,"1 to 5",IF(HR_Data[[#This Row],[DistanceFromHome]]&lt;=10,"6 to 10",IF(HR_Data[[#This Row],[DistanceFromHome]]&lt;=20,"11 to 20","21 to 29")))</f>
        <v>6 to 10</v>
      </c>
      <c r="AR1106" s="1">
        <f>IF(HR_Data[[#This Row],[DistanceFromHome]]&lt;=5,1,IF(HR_Data[[#This Row],[DistanceFromHome]]&lt;=10,2,IF(HR_Data[[#This Row],[DistanceFromHome]]&lt;=20,3,4)))</f>
        <v>2</v>
      </c>
      <c r="AS1106" s="1" t="str">
        <f>IF(HR_Data[[#This Row],[TotalWorkingYears]]&lt;=5,"0-5 Yrs",IF(HR_Data[[#This Row],[TotalWorkingYears]]&lt;=10,"6-10 Yrs",IF(HR_Data[[#This Row],[TotalWorkingYears]]&lt;=20,"11-20 Yrs","20+ Yrs")))</f>
        <v>0-5 Yrs</v>
      </c>
      <c r="AT1106" s="1">
        <f>IF(HR_Data[[#This Row],[TotalWorkingYears]]&lt;=5,1,IF(HR_Data[[#This Row],[TotalWorkingYears]]&lt;=10,2,IF(HR_Data[[#This Row],[TotalWorkingYears]]&lt;=20,3,4)))</f>
        <v>1</v>
      </c>
    </row>
    <row r="1107" spans="1:46" x14ac:dyDescent="0.25">
      <c r="A1107">
        <v>33</v>
      </c>
      <c r="B1107" t="s">
        <v>36</v>
      </c>
      <c r="C1107" t="s">
        <v>30</v>
      </c>
      <c r="D1107" t="s">
        <v>31</v>
      </c>
      <c r="E1107">
        <v>8</v>
      </c>
      <c r="F1107">
        <v>4</v>
      </c>
      <c r="G1107" t="s">
        <v>32</v>
      </c>
      <c r="H1107">
        <v>1560</v>
      </c>
      <c r="I1107">
        <v>1</v>
      </c>
      <c r="J1107" t="s">
        <v>39</v>
      </c>
      <c r="K1107">
        <v>3</v>
      </c>
      <c r="L1107">
        <v>2</v>
      </c>
      <c r="M1107" t="s">
        <v>34</v>
      </c>
      <c r="N1107">
        <v>1</v>
      </c>
      <c r="O1107" t="s">
        <v>41</v>
      </c>
      <c r="P1107">
        <v>6392</v>
      </c>
      <c r="Q1107">
        <v>2</v>
      </c>
      <c r="R1107" t="s">
        <v>36</v>
      </c>
      <c r="S1107">
        <v>13</v>
      </c>
      <c r="T1107">
        <v>3</v>
      </c>
      <c r="U1107">
        <v>4</v>
      </c>
      <c r="V1107">
        <v>1</v>
      </c>
      <c r="W1107">
        <v>8</v>
      </c>
      <c r="X1107">
        <v>6</v>
      </c>
      <c r="Y1107">
        <v>1</v>
      </c>
      <c r="Z1107">
        <v>2</v>
      </c>
      <c r="AA1107">
        <v>2</v>
      </c>
      <c r="AB1107">
        <v>2</v>
      </c>
      <c r="AC1107">
        <v>2</v>
      </c>
      <c r="AD1107">
        <f>IF(HR_Data[[#This Row],[Attrition]]="Yes",1,0)</f>
        <v>0</v>
      </c>
      <c r="AE1107" t="str">
        <f>IF(HR_Data[[#This Row],[Age]]&lt;=25,"18-25",IF(HR_Data[[#This Row],[Age]]&lt;=35,"26-35",IF(HR_Data[[#This Row],[Age]]&lt;=45,"36-45",IF(HR_Data[[#This Row],[Age]]&lt;=55,"46-55","55+"))))</f>
        <v>26-35</v>
      </c>
      <c r="AF1107">
        <f>IF(HR_Data[[#This Row],[Age]]&lt;=25,1,IF(HR_Data[[#This Row],[Age]]&lt;=35,2,IF(HR_Data[[#This Row],[Age]]&lt;=45,3,IF(HR_Data[[#This Row],[Age]]&lt;=55,4,5))))</f>
        <v>2</v>
      </c>
      <c r="AG1107" s="1" t="str">
        <f>IF(HR_Data[[#This Row],[MonthlyIncome]]&lt;3000,"&lt;3K",IF(HR_Data[[#This Row],[MonthlyIncome]]&lt;6000,"3K-6K",IF(HR_Data[[#This Row],[MonthlyIncome]]&lt;10000,"6K-10K","10K+")))</f>
        <v>6K-10K</v>
      </c>
      <c r="AH1107" s="1">
        <f>IF(HR_Data[[#This Row],[MonthlyIncome]]&lt;3000,1,IF(HR_Data[[#This Row],[MonthlyIncome]]&lt;6000,2,IF(HR_Data[[#This Row],[MonthlyIncome]]&lt;10000,3,4)))</f>
        <v>3</v>
      </c>
      <c r="AI1107" s="1" t="str">
        <f>IF(HR_Data[[#This Row],[YearsAtCompany]]&lt;=2,"0-2 Yrs",IF(HR_Data[[#This Row],[YearsAtCompany]]&lt;=5,"3-5 Yrs",IF(HR_Data[[#This Row],[YearsAtCompany]]&lt;=10,"6-10 Yrs","10+ Yrs")))</f>
        <v>0-2 Yrs</v>
      </c>
      <c r="AJ1107" s="1">
        <f>IF(HR_Data[[#This Row],[YearsAtCompany]]&lt;=2,1,IF(HR_Data[[#This Row],[YearsAtCompany]]&lt;=5,2,IF(HR_Data[[#This Row],[YearsAtCompany]]&lt;=10,3,4)))</f>
        <v>1</v>
      </c>
      <c r="AK1107" s="1" t="str">
        <f>CHOOSE(HR_Data[[#This Row],[Education]],"Below College","College","Bachelor","Master","Doctor")</f>
        <v>Master</v>
      </c>
      <c r="AL1107" s="1" t="str">
        <f>CHOOSE(HR_Data[[#This Row],[JobSatisfaction]],"Low","Medium","High","Very High")</f>
        <v>Low</v>
      </c>
      <c r="AM1107" s="1" t="str">
        <f>CHOOSE(HR_Data[[#This Row],[EnvironmentSatisfaction]],"Low","Medium","High","Very High")</f>
        <v>Low</v>
      </c>
      <c r="AN1107" s="1" t="str">
        <f>CHOOSE(HR_Data[[#This Row],[WorkLifeBalance]],"Bad","Good","Better","Best")</f>
        <v>Bad</v>
      </c>
      <c r="AO1107" s="1" t="str">
        <f>IF(HR_Data[[#This Row],[PercentSalaryHike]]&lt;=13,"11-13%",IF(HR_Data[[#This Row],[PercentSalaryHike]]&lt;=16,"14-16%",IF(HR_Data[[#This Row],[PercentSalaryHike]]&lt;=19,"17-19%","20-25%")))</f>
        <v>11-13%</v>
      </c>
      <c r="AP1107" s="1">
        <f>IF(HR_Data[[#This Row],[PercentSalaryHike]]&lt;=13,1,IF(HR_Data[[#This Row],[PercentSalaryHike]]&lt;=16,2,IF(HR_Data[[#This Row],[PercentSalaryHike]]&lt;=19,3,4)))</f>
        <v>1</v>
      </c>
      <c r="AQ1107" s="1" t="str">
        <f>IF(HR_Data[[#This Row],[DistanceFromHome]]&lt;=5,"1 to 5",IF(HR_Data[[#This Row],[DistanceFromHome]]&lt;=10,"6 to 10",IF(HR_Data[[#This Row],[DistanceFromHome]]&lt;=20,"11 to 20","21 to 29")))</f>
        <v>6 to 10</v>
      </c>
      <c r="AR1107" s="1">
        <f>IF(HR_Data[[#This Row],[DistanceFromHome]]&lt;=5,1,IF(HR_Data[[#This Row],[DistanceFromHome]]&lt;=10,2,IF(HR_Data[[#This Row],[DistanceFromHome]]&lt;=20,3,4)))</f>
        <v>2</v>
      </c>
      <c r="AS1107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107" s="1">
        <f>IF(HR_Data[[#This Row],[TotalWorkingYears]]&lt;=5,1,IF(HR_Data[[#This Row],[TotalWorkingYears]]&lt;=10,2,IF(HR_Data[[#This Row],[TotalWorkingYears]]&lt;=20,3,4)))</f>
        <v>2</v>
      </c>
    </row>
    <row r="1108" spans="1:46" x14ac:dyDescent="0.25">
      <c r="A1108">
        <v>30</v>
      </c>
      <c r="B1108" t="s">
        <v>29</v>
      </c>
      <c r="C1108" t="s">
        <v>30</v>
      </c>
      <c r="D1108" t="s">
        <v>31</v>
      </c>
      <c r="E1108">
        <v>1</v>
      </c>
      <c r="F1108">
        <v>3</v>
      </c>
      <c r="G1108" t="s">
        <v>32</v>
      </c>
      <c r="H1108">
        <v>1562</v>
      </c>
      <c r="I1108">
        <v>2</v>
      </c>
      <c r="J1108" t="s">
        <v>39</v>
      </c>
      <c r="K1108">
        <v>2</v>
      </c>
      <c r="L1108">
        <v>2</v>
      </c>
      <c r="M1108" t="s">
        <v>34</v>
      </c>
      <c r="N1108">
        <v>1</v>
      </c>
      <c r="O1108" t="s">
        <v>41</v>
      </c>
      <c r="P1108">
        <v>9714</v>
      </c>
      <c r="Q1108">
        <v>1</v>
      </c>
      <c r="R1108" t="s">
        <v>36</v>
      </c>
      <c r="S1108">
        <v>11</v>
      </c>
      <c r="T1108">
        <v>3</v>
      </c>
      <c r="U1108">
        <v>4</v>
      </c>
      <c r="V1108">
        <v>1</v>
      </c>
      <c r="W1108">
        <v>10</v>
      </c>
      <c r="X1108">
        <v>4</v>
      </c>
      <c r="Y1108">
        <v>3</v>
      </c>
      <c r="Z1108">
        <v>10</v>
      </c>
      <c r="AA1108">
        <v>8</v>
      </c>
      <c r="AB1108">
        <v>6</v>
      </c>
      <c r="AC1108">
        <v>7</v>
      </c>
      <c r="AD1108">
        <f>IF(HR_Data[[#This Row],[Attrition]]="Yes",1,0)</f>
        <v>1</v>
      </c>
      <c r="AE1108" t="str">
        <f>IF(HR_Data[[#This Row],[Age]]&lt;=25,"18-25",IF(HR_Data[[#This Row],[Age]]&lt;=35,"26-35",IF(HR_Data[[#This Row],[Age]]&lt;=45,"36-45",IF(HR_Data[[#This Row],[Age]]&lt;=55,"46-55","55+"))))</f>
        <v>26-35</v>
      </c>
      <c r="AF1108">
        <f>IF(HR_Data[[#This Row],[Age]]&lt;=25,1,IF(HR_Data[[#This Row],[Age]]&lt;=35,2,IF(HR_Data[[#This Row],[Age]]&lt;=45,3,IF(HR_Data[[#This Row],[Age]]&lt;=55,4,5))))</f>
        <v>2</v>
      </c>
      <c r="AG1108" s="1" t="str">
        <f>IF(HR_Data[[#This Row],[MonthlyIncome]]&lt;3000,"&lt;3K",IF(HR_Data[[#This Row],[MonthlyIncome]]&lt;6000,"3K-6K",IF(HR_Data[[#This Row],[MonthlyIncome]]&lt;10000,"6K-10K","10K+")))</f>
        <v>6K-10K</v>
      </c>
      <c r="AH1108" s="1">
        <f>IF(HR_Data[[#This Row],[MonthlyIncome]]&lt;3000,1,IF(HR_Data[[#This Row],[MonthlyIncome]]&lt;6000,2,IF(HR_Data[[#This Row],[MonthlyIncome]]&lt;10000,3,4)))</f>
        <v>3</v>
      </c>
      <c r="AI1108" s="1" t="str">
        <f>IF(HR_Data[[#This Row],[YearsAtCompany]]&lt;=2,"0-2 Yrs",IF(HR_Data[[#This Row],[YearsAtCompany]]&lt;=5,"3-5 Yrs",IF(HR_Data[[#This Row],[YearsAtCompany]]&lt;=10,"6-10 Yrs","10+ Yrs")))</f>
        <v>6-10 Yrs</v>
      </c>
      <c r="AJ1108" s="1">
        <f>IF(HR_Data[[#This Row],[YearsAtCompany]]&lt;=2,1,IF(HR_Data[[#This Row],[YearsAtCompany]]&lt;=5,2,IF(HR_Data[[#This Row],[YearsAtCompany]]&lt;=10,3,4)))</f>
        <v>3</v>
      </c>
      <c r="AK1108" s="1" t="str">
        <f>CHOOSE(HR_Data[[#This Row],[Education]],"Below College","College","Bachelor","Master","Doctor")</f>
        <v>Bachelor</v>
      </c>
      <c r="AL1108" s="1" t="str">
        <f>CHOOSE(HR_Data[[#This Row],[JobSatisfaction]],"Low","Medium","High","Very High")</f>
        <v>Low</v>
      </c>
      <c r="AM1108" s="1" t="str">
        <f>CHOOSE(HR_Data[[#This Row],[EnvironmentSatisfaction]],"Low","Medium","High","Very High")</f>
        <v>Medium</v>
      </c>
      <c r="AN1108" s="1" t="str">
        <f>CHOOSE(HR_Data[[#This Row],[WorkLifeBalance]],"Bad","Good","Better","Best")</f>
        <v>Better</v>
      </c>
      <c r="AO1108" s="1" t="str">
        <f>IF(HR_Data[[#This Row],[PercentSalaryHike]]&lt;=13,"11-13%",IF(HR_Data[[#This Row],[PercentSalaryHike]]&lt;=16,"14-16%",IF(HR_Data[[#This Row],[PercentSalaryHike]]&lt;=19,"17-19%","20-25%")))</f>
        <v>11-13%</v>
      </c>
      <c r="AP1108" s="1">
        <f>IF(HR_Data[[#This Row],[PercentSalaryHike]]&lt;=13,1,IF(HR_Data[[#This Row],[PercentSalaryHike]]&lt;=16,2,IF(HR_Data[[#This Row],[PercentSalaryHike]]&lt;=19,3,4)))</f>
        <v>1</v>
      </c>
      <c r="AQ1108" s="1" t="str">
        <f>IF(HR_Data[[#This Row],[DistanceFromHome]]&lt;=5,"1 to 5",IF(HR_Data[[#This Row],[DistanceFromHome]]&lt;=10,"6 to 10",IF(HR_Data[[#This Row],[DistanceFromHome]]&lt;=20,"11 to 20","21 to 29")))</f>
        <v>1 to 5</v>
      </c>
      <c r="AR1108" s="1">
        <f>IF(HR_Data[[#This Row],[DistanceFromHome]]&lt;=5,1,IF(HR_Data[[#This Row],[DistanceFromHome]]&lt;=10,2,IF(HR_Data[[#This Row],[DistanceFromHome]]&lt;=20,3,4)))</f>
        <v>1</v>
      </c>
      <c r="AS1108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108" s="1">
        <f>IF(HR_Data[[#This Row],[TotalWorkingYears]]&lt;=5,1,IF(HR_Data[[#This Row],[TotalWorkingYears]]&lt;=10,2,IF(HR_Data[[#This Row],[TotalWorkingYears]]&lt;=20,3,4)))</f>
        <v>2</v>
      </c>
    </row>
    <row r="1109" spans="1:46" x14ac:dyDescent="0.25">
      <c r="A1109">
        <v>38</v>
      </c>
      <c r="B1109" t="s">
        <v>36</v>
      </c>
      <c r="C1109" t="s">
        <v>37</v>
      </c>
      <c r="D1109" t="s">
        <v>54</v>
      </c>
      <c r="E1109">
        <v>10</v>
      </c>
      <c r="F1109">
        <v>4</v>
      </c>
      <c r="G1109" t="s">
        <v>54</v>
      </c>
      <c r="H1109">
        <v>1563</v>
      </c>
      <c r="I1109">
        <v>3</v>
      </c>
      <c r="J1109" t="s">
        <v>39</v>
      </c>
      <c r="K1109">
        <v>3</v>
      </c>
      <c r="L1109">
        <v>2</v>
      </c>
      <c r="M1109" t="s">
        <v>54</v>
      </c>
      <c r="N1109">
        <v>3</v>
      </c>
      <c r="O1109" t="s">
        <v>41</v>
      </c>
      <c r="P1109">
        <v>6077</v>
      </c>
      <c r="Q1109">
        <v>3</v>
      </c>
      <c r="R1109" t="s">
        <v>36</v>
      </c>
      <c r="S1109">
        <v>11</v>
      </c>
      <c r="T1109">
        <v>3</v>
      </c>
      <c r="U1109">
        <v>3</v>
      </c>
      <c r="V1109">
        <v>0</v>
      </c>
      <c r="W1109">
        <v>10</v>
      </c>
      <c r="X1109">
        <v>2</v>
      </c>
      <c r="Y1109">
        <v>3</v>
      </c>
      <c r="Z1109">
        <v>6</v>
      </c>
      <c r="AA1109">
        <v>3</v>
      </c>
      <c r="AB1109">
        <v>1</v>
      </c>
      <c r="AC1109">
        <v>2</v>
      </c>
      <c r="AD1109">
        <f>IF(HR_Data[[#This Row],[Attrition]]="Yes",1,0)</f>
        <v>0</v>
      </c>
      <c r="AE1109" t="str">
        <f>IF(HR_Data[[#This Row],[Age]]&lt;=25,"18-25",IF(HR_Data[[#This Row],[Age]]&lt;=35,"26-35",IF(HR_Data[[#This Row],[Age]]&lt;=45,"36-45",IF(HR_Data[[#This Row],[Age]]&lt;=55,"46-55","55+"))))</f>
        <v>36-45</v>
      </c>
      <c r="AF1109">
        <f>IF(HR_Data[[#This Row],[Age]]&lt;=25,1,IF(HR_Data[[#This Row],[Age]]&lt;=35,2,IF(HR_Data[[#This Row],[Age]]&lt;=45,3,IF(HR_Data[[#This Row],[Age]]&lt;=55,4,5))))</f>
        <v>3</v>
      </c>
      <c r="AG1109" s="1" t="str">
        <f>IF(HR_Data[[#This Row],[MonthlyIncome]]&lt;3000,"&lt;3K",IF(HR_Data[[#This Row],[MonthlyIncome]]&lt;6000,"3K-6K",IF(HR_Data[[#This Row],[MonthlyIncome]]&lt;10000,"6K-10K","10K+")))</f>
        <v>6K-10K</v>
      </c>
      <c r="AH1109" s="1">
        <f>IF(HR_Data[[#This Row],[MonthlyIncome]]&lt;3000,1,IF(HR_Data[[#This Row],[MonthlyIncome]]&lt;6000,2,IF(HR_Data[[#This Row],[MonthlyIncome]]&lt;10000,3,4)))</f>
        <v>3</v>
      </c>
      <c r="AI1109" s="1" t="str">
        <f>IF(HR_Data[[#This Row],[YearsAtCompany]]&lt;=2,"0-2 Yrs",IF(HR_Data[[#This Row],[YearsAtCompany]]&lt;=5,"3-5 Yrs",IF(HR_Data[[#This Row],[YearsAtCompany]]&lt;=10,"6-10 Yrs","10+ Yrs")))</f>
        <v>6-10 Yrs</v>
      </c>
      <c r="AJ1109" s="1">
        <f>IF(HR_Data[[#This Row],[YearsAtCompany]]&lt;=2,1,IF(HR_Data[[#This Row],[YearsAtCompany]]&lt;=5,2,IF(HR_Data[[#This Row],[YearsAtCompany]]&lt;=10,3,4)))</f>
        <v>3</v>
      </c>
      <c r="AK1109" s="1" t="str">
        <f>CHOOSE(HR_Data[[#This Row],[Education]],"Below College","College","Bachelor","Master","Doctor")</f>
        <v>Master</v>
      </c>
      <c r="AL1109" s="1" t="str">
        <f>CHOOSE(HR_Data[[#This Row],[JobSatisfaction]],"Low","Medium","High","Very High")</f>
        <v>High</v>
      </c>
      <c r="AM1109" s="1" t="str">
        <f>CHOOSE(HR_Data[[#This Row],[EnvironmentSatisfaction]],"Low","Medium","High","Very High")</f>
        <v>High</v>
      </c>
      <c r="AN1109" s="1" t="str">
        <f>CHOOSE(HR_Data[[#This Row],[WorkLifeBalance]],"Bad","Good","Better","Best")</f>
        <v>Better</v>
      </c>
      <c r="AO1109" s="1" t="str">
        <f>IF(HR_Data[[#This Row],[PercentSalaryHike]]&lt;=13,"11-13%",IF(HR_Data[[#This Row],[PercentSalaryHike]]&lt;=16,"14-16%",IF(HR_Data[[#This Row],[PercentSalaryHike]]&lt;=19,"17-19%","20-25%")))</f>
        <v>11-13%</v>
      </c>
      <c r="AP1109" s="1">
        <f>IF(HR_Data[[#This Row],[PercentSalaryHike]]&lt;=13,1,IF(HR_Data[[#This Row],[PercentSalaryHike]]&lt;=16,2,IF(HR_Data[[#This Row],[PercentSalaryHike]]&lt;=19,3,4)))</f>
        <v>1</v>
      </c>
      <c r="AQ1109" s="1" t="str">
        <f>IF(HR_Data[[#This Row],[DistanceFromHome]]&lt;=5,"1 to 5",IF(HR_Data[[#This Row],[DistanceFromHome]]&lt;=10,"6 to 10",IF(HR_Data[[#This Row],[DistanceFromHome]]&lt;=20,"11 to 20","21 to 29")))</f>
        <v>6 to 10</v>
      </c>
      <c r="AR1109" s="1">
        <f>IF(HR_Data[[#This Row],[DistanceFromHome]]&lt;=5,1,IF(HR_Data[[#This Row],[DistanceFromHome]]&lt;=10,2,IF(HR_Data[[#This Row],[DistanceFromHome]]&lt;=20,3,4)))</f>
        <v>2</v>
      </c>
      <c r="AS1109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109" s="1">
        <f>IF(HR_Data[[#This Row],[TotalWorkingYears]]&lt;=5,1,IF(HR_Data[[#This Row],[TotalWorkingYears]]&lt;=10,2,IF(HR_Data[[#This Row],[TotalWorkingYears]]&lt;=20,3,4)))</f>
        <v>2</v>
      </c>
    </row>
    <row r="1110" spans="1:46" x14ac:dyDescent="0.25">
      <c r="A1110">
        <v>35</v>
      </c>
      <c r="B1110" t="s">
        <v>36</v>
      </c>
      <c r="C1110" t="s">
        <v>30</v>
      </c>
      <c r="D1110" t="s">
        <v>38</v>
      </c>
      <c r="E1110">
        <v>1</v>
      </c>
      <c r="F1110">
        <v>3</v>
      </c>
      <c r="G1110" t="s">
        <v>44</v>
      </c>
      <c r="H1110">
        <v>1564</v>
      </c>
      <c r="I1110">
        <v>4</v>
      </c>
      <c r="J1110" t="s">
        <v>39</v>
      </c>
      <c r="K1110">
        <v>2</v>
      </c>
      <c r="L1110">
        <v>1</v>
      </c>
      <c r="M1110" t="s">
        <v>43</v>
      </c>
      <c r="N1110">
        <v>1</v>
      </c>
      <c r="O1110" t="s">
        <v>35</v>
      </c>
      <c r="P1110">
        <v>2450</v>
      </c>
      <c r="Q1110">
        <v>1</v>
      </c>
      <c r="R1110" t="s">
        <v>36</v>
      </c>
      <c r="S1110">
        <v>19</v>
      </c>
      <c r="T1110">
        <v>3</v>
      </c>
      <c r="U1110">
        <v>2</v>
      </c>
      <c r="V1110">
        <v>0</v>
      </c>
      <c r="W1110">
        <v>3</v>
      </c>
      <c r="X1110">
        <v>3</v>
      </c>
      <c r="Y1110">
        <v>3</v>
      </c>
      <c r="Z1110">
        <v>3</v>
      </c>
      <c r="AA1110">
        <v>0</v>
      </c>
      <c r="AB1110">
        <v>1</v>
      </c>
      <c r="AC1110">
        <v>2</v>
      </c>
      <c r="AD1110">
        <f>IF(HR_Data[[#This Row],[Attrition]]="Yes",1,0)</f>
        <v>0</v>
      </c>
      <c r="AE1110" t="str">
        <f>IF(HR_Data[[#This Row],[Age]]&lt;=25,"18-25",IF(HR_Data[[#This Row],[Age]]&lt;=35,"26-35",IF(HR_Data[[#This Row],[Age]]&lt;=45,"36-45",IF(HR_Data[[#This Row],[Age]]&lt;=55,"46-55","55+"))))</f>
        <v>26-35</v>
      </c>
      <c r="AF1110">
        <f>IF(HR_Data[[#This Row],[Age]]&lt;=25,1,IF(HR_Data[[#This Row],[Age]]&lt;=35,2,IF(HR_Data[[#This Row],[Age]]&lt;=45,3,IF(HR_Data[[#This Row],[Age]]&lt;=55,4,5))))</f>
        <v>2</v>
      </c>
      <c r="AG1110" s="1" t="str">
        <f>IF(HR_Data[[#This Row],[MonthlyIncome]]&lt;3000,"&lt;3K",IF(HR_Data[[#This Row],[MonthlyIncome]]&lt;6000,"3K-6K",IF(HR_Data[[#This Row],[MonthlyIncome]]&lt;10000,"6K-10K","10K+")))</f>
        <v>&lt;3K</v>
      </c>
      <c r="AH1110" s="1">
        <f>IF(HR_Data[[#This Row],[MonthlyIncome]]&lt;3000,1,IF(HR_Data[[#This Row],[MonthlyIncome]]&lt;6000,2,IF(HR_Data[[#This Row],[MonthlyIncome]]&lt;10000,3,4)))</f>
        <v>1</v>
      </c>
      <c r="AI1110" s="1" t="str">
        <f>IF(HR_Data[[#This Row],[YearsAtCompany]]&lt;=2,"0-2 Yrs",IF(HR_Data[[#This Row],[YearsAtCompany]]&lt;=5,"3-5 Yrs",IF(HR_Data[[#This Row],[YearsAtCompany]]&lt;=10,"6-10 Yrs","10+ Yrs")))</f>
        <v>3-5 Yrs</v>
      </c>
      <c r="AJ1110" s="1">
        <f>IF(HR_Data[[#This Row],[YearsAtCompany]]&lt;=2,1,IF(HR_Data[[#This Row],[YearsAtCompany]]&lt;=5,2,IF(HR_Data[[#This Row],[YearsAtCompany]]&lt;=10,3,4)))</f>
        <v>2</v>
      </c>
      <c r="AK1110" s="1" t="str">
        <f>CHOOSE(HR_Data[[#This Row],[Education]],"Below College","College","Bachelor","Master","Doctor")</f>
        <v>Bachelor</v>
      </c>
      <c r="AL1110" s="1" t="str">
        <f>CHOOSE(HR_Data[[#This Row],[JobSatisfaction]],"Low","Medium","High","Very High")</f>
        <v>Low</v>
      </c>
      <c r="AM1110" s="1" t="str">
        <f>CHOOSE(HR_Data[[#This Row],[EnvironmentSatisfaction]],"Low","Medium","High","Very High")</f>
        <v>Very High</v>
      </c>
      <c r="AN1110" s="1" t="str">
        <f>CHOOSE(HR_Data[[#This Row],[WorkLifeBalance]],"Bad","Good","Better","Best")</f>
        <v>Better</v>
      </c>
      <c r="AO1110" s="1" t="str">
        <f>IF(HR_Data[[#This Row],[PercentSalaryHike]]&lt;=13,"11-13%",IF(HR_Data[[#This Row],[PercentSalaryHike]]&lt;=16,"14-16%",IF(HR_Data[[#This Row],[PercentSalaryHike]]&lt;=19,"17-19%","20-25%")))</f>
        <v>17-19%</v>
      </c>
      <c r="AP1110" s="1">
        <f>IF(HR_Data[[#This Row],[PercentSalaryHike]]&lt;=13,1,IF(HR_Data[[#This Row],[PercentSalaryHike]]&lt;=16,2,IF(HR_Data[[#This Row],[PercentSalaryHike]]&lt;=19,3,4)))</f>
        <v>3</v>
      </c>
      <c r="AQ1110" s="1" t="str">
        <f>IF(HR_Data[[#This Row],[DistanceFromHome]]&lt;=5,"1 to 5",IF(HR_Data[[#This Row],[DistanceFromHome]]&lt;=10,"6 to 10",IF(HR_Data[[#This Row],[DistanceFromHome]]&lt;=20,"11 to 20","21 to 29")))</f>
        <v>1 to 5</v>
      </c>
      <c r="AR1110" s="1">
        <f>IF(HR_Data[[#This Row],[DistanceFromHome]]&lt;=5,1,IF(HR_Data[[#This Row],[DistanceFromHome]]&lt;=10,2,IF(HR_Data[[#This Row],[DistanceFromHome]]&lt;=20,3,4)))</f>
        <v>1</v>
      </c>
      <c r="AS1110" s="1" t="str">
        <f>IF(HR_Data[[#This Row],[TotalWorkingYears]]&lt;=5,"0-5 Yrs",IF(HR_Data[[#This Row],[TotalWorkingYears]]&lt;=10,"6-10 Yrs",IF(HR_Data[[#This Row],[TotalWorkingYears]]&lt;=20,"11-20 Yrs","20+ Yrs")))</f>
        <v>0-5 Yrs</v>
      </c>
      <c r="AT1110" s="1">
        <f>IF(HR_Data[[#This Row],[TotalWorkingYears]]&lt;=5,1,IF(HR_Data[[#This Row],[TotalWorkingYears]]&lt;=10,2,IF(HR_Data[[#This Row],[TotalWorkingYears]]&lt;=20,3,4)))</f>
        <v>1</v>
      </c>
    </row>
    <row r="1111" spans="1:46" x14ac:dyDescent="0.25">
      <c r="A1111">
        <v>30</v>
      </c>
      <c r="B1111" t="s">
        <v>36</v>
      </c>
      <c r="C1111" t="s">
        <v>30</v>
      </c>
      <c r="D1111" t="s">
        <v>31</v>
      </c>
      <c r="E1111">
        <v>29</v>
      </c>
      <c r="F1111">
        <v>4</v>
      </c>
      <c r="G1111" t="s">
        <v>53</v>
      </c>
      <c r="H1111">
        <v>1568</v>
      </c>
      <c r="I1111">
        <v>3</v>
      </c>
      <c r="J1111" t="s">
        <v>39</v>
      </c>
      <c r="K1111">
        <v>3</v>
      </c>
      <c r="L1111">
        <v>3</v>
      </c>
      <c r="M1111" t="s">
        <v>34</v>
      </c>
      <c r="N1111">
        <v>2</v>
      </c>
      <c r="O1111" t="s">
        <v>41</v>
      </c>
      <c r="P1111">
        <v>9250</v>
      </c>
      <c r="Q1111">
        <v>3</v>
      </c>
      <c r="R1111" t="s">
        <v>36</v>
      </c>
      <c r="S1111">
        <v>12</v>
      </c>
      <c r="T1111">
        <v>3</v>
      </c>
      <c r="U1111">
        <v>2</v>
      </c>
      <c r="V1111">
        <v>1</v>
      </c>
      <c r="W1111">
        <v>9</v>
      </c>
      <c r="X1111">
        <v>3</v>
      </c>
      <c r="Y1111">
        <v>3</v>
      </c>
      <c r="Z1111">
        <v>4</v>
      </c>
      <c r="AA1111">
        <v>2</v>
      </c>
      <c r="AB1111">
        <v>1</v>
      </c>
      <c r="AC1111">
        <v>3</v>
      </c>
      <c r="AD1111">
        <f>IF(HR_Data[[#This Row],[Attrition]]="Yes",1,0)</f>
        <v>0</v>
      </c>
      <c r="AE1111" t="str">
        <f>IF(HR_Data[[#This Row],[Age]]&lt;=25,"18-25",IF(HR_Data[[#This Row],[Age]]&lt;=35,"26-35",IF(HR_Data[[#This Row],[Age]]&lt;=45,"36-45",IF(HR_Data[[#This Row],[Age]]&lt;=55,"46-55","55+"))))</f>
        <v>26-35</v>
      </c>
      <c r="AF1111">
        <f>IF(HR_Data[[#This Row],[Age]]&lt;=25,1,IF(HR_Data[[#This Row],[Age]]&lt;=35,2,IF(HR_Data[[#This Row],[Age]]&lt;=45,3,IF(HR_Data[[#This Row],[Age]]&lt;=55,4,5))))</f>
        <v>2</v>
      </c>
      <c r="AG1111" s="1" t="str">
        <f>IF(HR_Data[[#This Row],[MonthlyIncome]]&lt;3000,"&lt;3K",IF(HR_Data[[#This Row],[MonthlyIncome]]&lt;6000,"3K-6K",IF(HR_Data[[#This Row],[MonthlyIncome]]&lt;10000,"6K-10K","10K+")))</f>
        <v>6K-10K</v>
      </c>
      <c r="AH1111" s="1">
        <f>IF(HR_Data[[#This Row],[MonthlyIncome]]&lt;3000,1,IF(HR_Data[[#This Row],[MonthlyIncome]]&lt;6000,2,IF(HR_Data[[#This Row],[MonthlyIncome]]&lt;10000,3,4)))</f>
        <v>3</v>
      </c>
      <c r="AI1111" s="1" t="str">
        <f>IF(HR_Data[[#This Row],[YearsAtCompany]]&lt;=2,"0-2 Yrs",IF(HR_Data[[#This Row],[YearsAtCompany]]&lt;=5,"3-5 Yrs",IF(HR_Data[[#This Row],[YearsAtCompany]]&lt;=10,"6-10 Yrs","10+ Yrs")))</f>
        <v>3-5 Yrs</v>
      </c>
      <c r="AJ1111" s="1">
        <f>IF(HR_Data[[#This Row],[YearsAtCompany]]&lt;=2,1,IF(HR_Data[[#This Row],[YearsAtCompany]]&lt;=5,2,IF(HR_Data[[#This Row],[YearsAtCompany]]&lt;=10,3,4)))</f>
        <v>2</v>
      </c>
      <c r="AK1111" s="1" t="str">
        <f>CHOOSE(HR_Data[[#This Row],[Education]],"Below College","College","Bachelor","Master","Doctor")</f>
        <v>Master</v>
      </c>
      <c r="AL1111" s="1" t="str">
        <f>CHOOSE(HR_Data[[#This Row],[JobSatisfaction]],"Low","Medium","High","Very High")</f>
        <v>Medium</v>
      </c>
      <c r="AM1111" s="1" t="str">
        <f>CHOOSE(HR_Data[[#This Row],[EnvironmentSatisfaction]],"Low","Medium","High","Very High")</f>
        <v>High</v>
      </c>
      <c r="AN1111" s="1" t="str">
        <f>CHOOSE(HR_Data[[#This Row],[WorkLifeBalance]],"Bad","Good","Better","Best")</f>
        <v>Better</v>
      </c>
      <c r="AO1111" s="1" t="str">
        <f>IF(HR_Data[[#This Row],[PercentSalaryHike]]&lt;=13,"11-13%",IF(HR_Data[[#This Row],[PercentSalaryHike]]&lt;=16,"14-16%",IF(HR_Data[[#This Row],[PercentSalaryHike]]&lt;=19,"17-19%","20-25%")))</f>
        <v>11-13%</v>
      </c>
      <c r="AP1111" s="1">
        <f>IF(HR_Data[[#This Row],[PercentSalaryHike]]&lt;=13,1,IF(HR_Data[[#This Row],[PercentSalaryHike]]&lt;=16,2,IF(HR_Data[[#This Row],[PercentSalaryHike]]&lt;=19,3,4)))</f>
        <v>1</v>
      </c>
      <c r="AQ1111" s="1" t="str">
        <f>IF(HR_Data[[#This Row],[DistanceFromHome]]&lt;=5,"1 to 5",IF(HR_Data[[#This Row],[DistanceFromHome]]&lt;=10,"6 to 10",IF(HR_Data[[#This Row],[DistanceFromHome]]&lt;=20,"11 to 20","21 to 29")))</f>
        <v>21 to 29</v>
      </c>
      <c r="AR1111" s="1">
        <f>IF(HR_Data[[#This Row],[DistanceFromHome]]&lt;=5,1,IF(HR_Data[[#This Row],[DistanceFromHome]]&lt;=10,2,IF(HR_Data[[#This Row],[DistanceFromHome]]&lt;=20,3,4)))</f>
        <v>4</v>
      </c>
      <c r="AS1111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111" s="1">
        <f>IF(HR_Data[[#This Row],[TotalWorkingYears]]&lt;=5,1,IF(HR_Data[[#This Row],[TotalWorkingYears]]&lt;=10,2,IF(HR_Data[[#This Row],[TotalWorkingYears]]&lt;=20,3,4)))</f>
        <v>2</v>
      </c>
    </row>
    <row r="1112" spans="1:46" x14ac:dyDescent="0.25">
      <c r="A1112">
        <v>35</v>
      </c>
      <c r="B1112" t="s">
        <v>29</v>
      </c>
      <c r="C1112" t="s">
        <v>30</v>
      </c>
      <c r="D1112" t="s">
        <v>38</v>
      </c>
      <c r="E1112">
        <v>2</v>
      </c>
      <c r="F1112">
        <v>3</v>
      </c>
      <c r="G1112" t="s">
        <v>32</v>
      </c>
      <c r="H1112">
        <v>1569</v>
      </c>
      <c r="I1112">
        <v>1</v>
      </c>
      <c r="J1112" t="s">
        <v>33</v>
      </c>
      <c r="K1112">
        <v>3</v>
      </c>
      <c r="L1112">
        <v>1</v>
      </c>
      <c r="M1112" t="s">
        <v>43</v>
      </c>
      <c r="N1112">
        <v>1</v>
      </c>
      <c r="O1112" t="s">
        <v>45</v>
      </c>
      <c r="P1112">
        <v>2074</v>
      </c>
      <c r="Q1112">
        <v>1</v>
      </c>
      <c r="R1112" t="s">
        <v>29</v>
      </c>
      <c r="S1112">
        <v>12</v>
      </c>
      <c r="T1112">
        <v>3</v>
      </c>
      <c r="U1112">
        <v>4</v>
      </c>
      <c r="V1112">
        <v>1</v>
      </c>
      <c r="W1112">
        <v>1</v>
      </c>
      <c r="X1112">
        <v>2</v>
      </c>
      <c r="Y1112">
        <v>3</v>
      </c>
      <c r="Z1112">
        <v>1</v>
      </c>
      <c r="AA1112">
        <v>0</v>
      </c>
      <c r="AB1112">
        <v>0</v>
      </c>
      <c r="AC1112">
        <v>0</v>
      </c>
      <c r="AD1112">
        <f>IF(HR_Data[[#This Row],[Attrition]]="Yes",1,0)</f>
        <v>1</v>
      </c>
      <c r="AE1112" t="str">
        <f>IF(HR_Data[[#This Row],[Age]]&lt;=25,"18-25",IF(HR_Data[[#This Row],[Age]]&lt;=35,"26-35",IF(HR_Data[[#This Row],[Age]]&lt;=45,"36-45",IF(HR_Data[[#This Row],[Age]]&lt;=55,"46-55","55+"))))</f>
        <v>26-35</v>
      </c>
      <c r="AF1112">
        <f>IF(HR_Data[[#This Row],[Age]]&lt;=25,1,IF(HR_Data[[#This Row],[Age]]&lt;=35,2,IF(HR_Data[[#This Row],[Age]]&lt;=45,3,IF(HR_Data[[#This Row],[Age]]&lt;=55,4,5))))</f>
        <v>2</v>
      </c>
      <c r="AG1112" s="1" t="str">
        <f>IF(HR_Data[[#This Row],[MonthlyIncome]]&lt;3000,"&lt;3K",IF(HR_Data[[#This Row],[MonthlyIncome]]&lt;6000,"3K-6K",IF(HR_Data[[#This Row],[MonthlyIncome]]&lt;10000,"6K-10K","10K+")))</f>
        <v>&lt;3K</v>
      </c>
      <c r="AH1112" s="1">
        <f>IF(HR_Data[[#This Row],[MonthlyIncome]]&lt;3000,1,IF(HR_Data[[#This Row],[MonthlyIncome]]&lt;6000,2,IF(HR_Data[[#This Row],[MonthlyIncome]]&lt;10000,3,4)))</f>
        <v>1</v>
      </c>
      <c r="AI1112" s="1" t="str">
        <f>IF(HR_Data[[#This Row],[YearsAtCompany]]&lt;=2,"0-2 Yrs",IF(HR_Data[[#This Row],[YearsAtCompany]]&lt;=5,"3-5 Yrs",IF(HR_Data[[#This Row],[YearsAtCompany]]&lt;=10,"6-10 Yrs","10+ Yrs")))</f>
        <v>0-2 Yrs</v>
      </c>
      <c r="AJ1112" s="1">
        <f>IF(HR_Data[[#This Row],[YearsAtCompany]]&lt;=2,1,IF(HR_Data[[#This Row],[YearsAtCompany]]&lt;=5,2,IF(HR_Data[[#This Row],[YearsAtCompany]]&lt;=10,3,4)))</f>
        <v>1</v>
      </c>
      <c r="AK1112" s="1" t="str">
        <f>CHOOSE(HR_Data[[#This Row],[Education]],"Below College","College","Bachelor","Master","Doctor")</f>
        <v>Bachelor</v>
      </c>
      <c r="AL1112" s="1" t="str">
        <f>CHOOSE(HR_Data[[#This Row],[JobSatisfaction]],"Low","Medium","High","Very High")</f>
        <v>Low</v>
      </c>
      <c r="AM1112" s="1" t="str">
        <f>CHOOSE(HR_Data[[#This Row],[EnvironmentSatisfaction]],"Low","Medium","High","Very High")</f>
        <v>Low</v>
      </c>
      <c r="AN1112" s="1" t="str">
        <f>CHOOSE(HR_Data[[#This Row],[WorkLifeBalance]],"Bad","Good","Better","Best")</f>
        <v>Better</v>
      </c>
      <c r="AO1112" s="1" t="str">
        <f>IF(HR_Data[[#This Row],[PercentSalaryHike]]&lt;=13,"11-13%",IF(HR_Data[[#This Row],[PercentSalaryHike]]&lt;=16,"14-16%",IF(HR_Data[[#This Row],[PercentSalaryHike]]&lt;=19,"17-19%","20-25%")))</f>
        <v>11-13%</v>
      </c>
      <c r="AP1112" s="1">
        <f>IF(HR_Data[[#This Row],[PercentSalaryHike]]&lt;=13,1,IF(HR_Data[[#This Row],[PercentSalaryHike]]&lt;=16,2,IF(HR_Data[[#This Row],[PercentSalaryHike]]&lt;=19,3,4)))</f>
        <v>1</v>
      </c>
      <c r="AQ1112" s="1" t="str">
        <f>IF(HR_Data[[#This Row],[DistanceFromHome]]&lt;=5,"1 to 5",IF(HR_Data[[#This Row],[DistanceFromHome]]&lt;=10,"6 to 10",IF(HR_Data[[#This Row],[DistanceFromHome]]&lt;=20,"11 to 20","21 to 29")))</f>
        <v>1 to 5</v>
      </c>
      <c r="AR1112" s="1">
        <f>IF(HR_Data[[#This Row],[DistanceFromHome]]&lt;=5,1,IF(HR_Data[[#This Row],[DistanceFromHome]]&lt;=10,2,IF(HR_Data[[#This Row],[DistanceFromHome]]&lt;=20,3,4)))</f>
        <v>1</v>
      </c>
      <c r="AS1112" s="1" t="str">
        <f>IF(HR_Data[[#This Row],[TotalWorkingYears]]&lt;=5,"0-5 Yrs",IF(HR_Data[[#This Row],[TotalWorkingYears]]&lt;=10,"6-10 Yrs",IF(HR_Data[[#This Row],[TotalWorkingYears]]&lt;=20,"11-20 Yrs","20+ Yrs")))</f>
        <v>0-5 Yrs</v>
      </c>
      <c r="AT1112" s="1">
        <f>IF(HR_Data[[#This Row],[TotalWorkingYears]]&lt;=5,1,IF(HR_Data[[#This Row],[TotalWorkingYears]]&lt;=10,2,IF(HR_Data[[#This Row],[TotalWorkingYears]]&lt;=20,3,4)))</f>
        <v>1</v>
      </c>
    </row>
    <row r="1113" spans="1:46" x14ac:dyDescent="0.25">
      <c r="A1113">
        <v>53</v>
      </c>
      <c r="B1113" t="s">
        <v>29</v>
      </c>
      <c r="C1113" t="s">
        <v>30</v>
      </c>
      <c r="D1113" t="s">
        <v>38</v>
      </c>
      <c r="E1113">
        <v>2</v>
      </c>
      <c r="F1113">
        <v>5</v>
      </c>
      <c r="G1113" t="s">
        <v>53</v>
      </c>
      <c r="H1113">
        <v>1572</v>
      </c>
      <c r="I1113">
        <v>3</v>
      </c>
      <c r="J1113" t="s">
        <v>33</v>
      </c>
      <c r="K1113">
        <v>2</v>
      </c>
      <c r="L1113">
        <v>3</v>
      </c>
      <c r="M1113" t="s">
        <v>46</v>
      </c>
      <c r="N1113">
        <v>4</v>
      </c>
      <c r="O1113" t="s">
        <v>41</v>
      </c>
      <c r="P1113">
        <v>10169</v>
      </c>
      <c r="Q1113">
        <v>0</v>
      </c>
      <c r="R1113" t="s">
        <v>36</v>
      </c>
      <c r="S1113">
        <v>16</v>
      </c>
      <c r="T1113">
        <v>3</v>
      </c>
      <c r="U1113">
        <v>2</v>
      </c>
      <c r="V1113">
        <v>1</v>
      </c>
      <c r="W1113">
        <v>34</v>
      </c>
      <c r="X1113">
        <v>4</v>
      </c>
      <c r="Y1113">
        <v>3</v>
      </c>
      <c r="Z1113">
        <v>33</v>
      </c>
      <c r="AA1113">
        <v>7</v>
      </c>
      <c r="AB1113">
        <v>1</v>
      </c>
      <c r="AC1113">
        <v>9</v>
      </c>
      <c r="AD1113">
        <f>IF(HR_Data[[#This Row],[Attrition]]="Yes",1,0)</f>
        <v>1</v>
      </c>
      <c r="AE1113" t="str">
        <f>IF(HR_Data[[#This Row],[Age]]&lt;=25,"18-25",IF(HR_Data[[#This Row],[Age]]&lt;=35,"26-35",IF(HR_Data[[#This Row],[Age]]&lt;=45,"36-45",IF(HR_Data[[#This Row],[Age]]&lt;=55,"46-55","55+"))))</f>
        <v>46-55</v>
      </c>
      <c r="AF1113">
        <f>IF(HR_Data[[#This Row],[Age]]&lt;=25,1,IF(HR_Data[[#This Row],[Age]]&lt;=35,2,IF(HR_Data[[#This Row],[Age]]&lt;=45,3,IF(HR_Data[[#This Row],[Age]]&lt;=55,4,5))))</f>
        <v>4</v>
      </c>
      <c r="AG1113" s="1" t="str">
        <f>IF(HR_Data[[#This Row],[MonthlyIncome]]&lt;3000,"&lt;3K",IF(HR_Data[[#This Row],[MonthlyIncome]]&lt;6000,"3K-6K",IF(HR_Data[[#This Row],[MonthlyIncome]]&lt;10000,"6K-10K","10K+")))</f>
        <v>10K+</v>
      </c>
      <c r="AH1113" s="1">
        <f>IF(HR_Data[[#This Row],[MonthlyIncome]]&lt;3000,1,IF(HR_Data[[#This Row],[MonthlyIncome]]&lt;6000,2,IF(HR_Data[[#This Row],[MonthlyIncome]]&lt;10000,3,4)))</f>
        <v>4</v>
      </c>
      <c r="AI1113" s="1" t="str">
        <f>IF(HR_Data[[#This Row],[YearsAtCompany]]&lt;=2,"0-2 Yrs",IF(HR_Data[[#This Row],[YearsAtCompany]]&lt;=5,"3-5 Yrs",IF(HR_Data[[#This Row],[YearsAtCompany]]&lt;=10,"6-10 Yrs","10+ Yrs")))</f>
        <v>10+ Yrs</v>
      </c>
      <c r="AJ1113" s="1">
        <f>IF(HR_Data[[#This Row],[YearsAtCompany]]&lt;=2,1,IF(HR_Data[[#This Row],[YearsAtCompany]]&lt;=5,2,IF(HR_Data[[#This Row],[YearsAtCompany]]&lt;=10,3,4)))</f>
        <v>4</v>
      </c>
      <c r="AK1113" s="1" t="str">
        <f>CHOOSE(HR_Data[[#This Row],[Education]],"Below College","College","Bachelor","Master","Doctor")</f>
        <v>Doctor</v>
      </c>
      <c r="AL1113" s="1" t="str">
        <f>CHOOSE(HR_Data[[#This Row],[JobSatisfaction]],"Low","Medium","High","Very High")</f>
        <v>Very High</v>
      </c>
      <c r="AM1113" s="1" t="str">
        <f>CHOOSE(HR_Data[[#This Row],[EnvironmentSatisfaction]],"Low","Medium","High","Very High")</f>
        <v>High</v>
      </c>
      <c r="AN1113" s="1" t="str">
        <f>CHOOSE(HR_Data[[#This Row],[WorkLifeBalance]],"Bad","Good","Better","Best")</f>
        <v>Better</v>
      </c>
      <c r="AO1113" s="1" t="str">
        <f>IF(HR_Data[[#This Row],[PercentSalaryHike]]&lt;=13,"11-13%",IF(HR_Data[[#This Row],[PercentSalaryHike]]&lt;=16,"14-16%",IF(HR_Data[[#This Row],[PercentSalaryHike]]&lt;=19,"17-19%","20-25%")))</f>
        <v>14-16%</v>
      </c>
      <c r="AP1113" s="1">
        <f>IF(HR_Data[[#This Row],[PercentSalaryHike]]&lt;=13,1,IF(HR_Data[[#This Row],[PercentSalaryHike]]&lt;=16,2,IF(HR_Data[[#This Row],[PercentSalaryHike]]&lt;=19,3,4)))</f>
        <v>2</v>
      </c>
      <c r="AQ1113" s="1" t="str">
        <f>IF(HR_Data[[#This Row],[DistanceFromHome]]&lt;=5,"1 to 5",IF(HR_Data[[#This Row],[DistanceFromHome]]&lt;=10,"6 to 10",IF(HR_Data[[#This Row],[DistanceFromHome]]&lt;=20,"11 to 20","21 to 29")))</f>
        <v>1 to 5</v>
      </c>
      <c r="AR1113" s="1">
        <f>IF(HR_Data[[#This Row],[DistanceFromHome]]&lt;=5,1,IF(HR_Data[[#This Row],[DistanceFromHome]]&lt;=10,2,IF(HR_Data[[#This Row],[DistanceFromHome]]&lt;=20,3,4)))</f>
        <v>1</v>
      </c>
      <c r="AS1113" s="1" t="str">
        <f>IF(HR_Data[[#This Row],[TotalWorkingYears]]&lt;=5,"0-5 Yrs",IF(HR_Data[[#This Row],[TotalWorkingYears]]&lt;=10,"6-10 Yrs",IF(HR_Data[[#This Row],[TotalWorkingYears]]&lt;=20,"11-20 Yrs","20+ Yrs")))</f>
        <v>20+ Yrs</v>
      </c>
      <c r="AT1113" s="1">
        <f>IF(HR_Data[[#This Row],[TotalWorkingYears]]&lt;=5,1,IF(HR_Data[[#This Row],[TotalWorkingYears]]&lt;=10,2,IF(HR_Data[[#This Row],[TotalWorkingYears]]&lt;=20,3,4)))</f>
        <v>4</v>
      </c>
    </row>
    <row r="1114" spans="1:46" x14ac:dyDescent="0.25">
      <c r="A1114">
        <v>38</v>
      </c>
      <c r="B1114" t="s">
        <v>29</v>
      </c>
      <c r="C1114" t="s">
        <v>30</v>
      </c>
      <c r="D1114" t="s">
        <v>38</v>
      </c>
      <c r="E1114">
        <v>2</v>
      </c>
      <c r="F1114">
        <v>3</v>
      </c>
      <c r="G1114" t="s">
        <v>44</v>
      </c>
      <c r="H1114">
        <v>1573</v>
      </c>
      <c r="I1114">
        <v>3</v>
      </c>
      <c r="J1114" t="s">
        <v>39</v>
      </c>
      <c r="K1114">
        <v>3</v>
      </c>
      <c r="L1114">
        <v>2</v>
      </c>
      <c r="M1114" t="s">
        <v>46</v>
      </c>
      <c r="N1114">
        <v>2</v>
      </c>
      <c r="O1114" t="s">
        <v>41</v>
      </c>
      <c r="P1114">
        <v>4855</v>
      </c>
      <c r="Q1114">
        <v>4</v>
      </c>
      <c r="R1114" t="s">
        <v>36</v>
      </c>
      <c r="S1114">
        <v>11</v>
      </c>
      <c r="T1114">
        <v>3</v>
      </c>
      <c r="U1114">
        <v>1</v>
      </c>
      <c r="V1114">
        <v>2</v>
      </c>
      <c r="W1114">
        <v>7</v>
      </c>
      <c r="X1114">
        <v>2</v>
      </c>
      <c r="Y1114">
        <v>3</v>
      </c>
      <c r="Z1114">
        <v>5</v>
      </c>
      <c r="AA1114">
        <v>2</v>
      </c>
      <c r="AB1114">
        <v>1</v>
      </c>
      <c r="AC1114">
        <v>4</v>
      </c>
      <c r="AD1114">
        <f>IF(HR_Data[[#This Row],[Attrition]]="Yes",1,0)</f>
        <v>1</v>
      </c>
      <c r="AE1114" t="str">
        <f>IF(HR_Data[[#This Row],[Age]]&lt;=25,"18-25",IF(HR_Data[[#This Row],[Age]]&lt;=35,"26-35",IF(HR_Data[[#This Row],[Age]]&lt;=45,"36-45",IF(HR_Data[[#This Row],[Age]]&lt;=55,"46-55","55+"))))</f>
        <v>36-45</v>
      </c>
      <c r="AF1114">
        <f>IF(HR_Data[[#This Row],[Age]]&lt;=25,1,IF(HR_Data[[#This Row],[Age]]&lt;=35,2,IF(HR_Data[[#This Row],[Age]]&lt;=45,3,IF(HR_Data[[#This Row],[Age]]&lt;=55,4,5))))</f>
        <v>3</v>
      </c>
      <c r="AG1114" s="1" t="str">
        <f>IF(HR_Data[[#This Row],[MonthlyIncome]]&lt;3000,"&lt;3K",IF(HR_Data[[#This Row],[MonthlyIncome]]&lt;6000,"3K-6K",IF(HR_Data[[#This Row],[MonthlyIncome]]&lt;10000,"6K-10K","10K+")))</f>
        <v>3K-6K</v>
      </c>
      <c r="AH1114" s="1">
        <f>IF(HR_Data[[#This Row],[MonthlyIncome]]&lt;3000,1,IF(HR_Data[[#This Row],[MonthlyIncome]]&lt;6000,2,IF(HR_Data[[#This Row],[MonthlyIncome]]&lt;10000,3,4)))</f>
        <v>2</v>
      </c>
      <c r="AI1114" s="1" t="str">
        <f>IF(HR_Data[[#This Row],[YearsAtCompany]]&lt;=2,"0-2 Yrs",IF(HR_Data[[#This Row],[YearsAtCompany]]&lt;=5,"3-5 Yrs",IF(HR_Data[[#This Row],[YearsAtCompany]]&lt;=10,"6-10 Yrs","10+ Yrs")))</f>
        <v>3-5 Yrs</v>
      </c>
      <c r="AJ1114" s="1">
        <f>IF(HR_Data[[#This Row],[YearsAtCompany]]&lt;=2,1,IF(HR_Data[[#This Row],[YearsAtCompany]]&lt;=5,2,IF(HR_Data[[#This Row],[YearsAtCompany]]&lt;=10,3,4)))</f>
        <v>2</v>
      </c>
      <c r="AK1114" s="1" t="str">
        <f>CHOOSE(HR_Data[[#This Row],[Education]],"Below College","College","Bachelor","Master","Doctor")</f>
        <v>Bachelor</v>
      </c>
      <c r="AL1114" s="1" t="str">
        <f>CHOOSE(HR_Data[[#This Row],[JobSatisfaction]],"Low","Medium","High","Very High")</f>
        <v>Medium</v>
      </c>
      <c r="AM1114" s="1" t="str">
        <f>CHOOSE(HR_Data[[#This Row],[EnvironmentSatisfaction]],"Low","Medium","High","Very High")</f>
        <v>High</v>
      </c>
      <c r="AN1114" s="1" t="str">
        <f>CHOOSE(HR_Data[[#This Row],[WorkLifeBalance]],"Bad","Good","Better","Best")</f>
        <v>Better</v>
      </c>
      <c r="AO1114" s="1" t="str">
        <f>IF(HR_Data[[#This Row],[PercentSalaryHike]]&lt;=13,"11-13%",IF(HR_Data[[#This Row],[PercentSalaryHike]]&lt;=16,"14-16%",IF(HR_Data[[#This Row],[PercentSalaryHike]]&lt;=19,"17-19%","20-25%")))</f>
        <v>11-13%</v>
      </c>
      <c r="AP1114" s="1">
        <f>IF(HR_Data[[#This Row],[PercentSalaryHike]]&lt;=13,1,IF(HR_Data[[#This Row],[PercentSalaryHike]]&lt;=16,2,IF(HR_Data[[#This Row],[PercentSalaryHike]]&lt;=19,3,4)))</f>
        <v>1</v>
      </c>
      <c r="AQ1114" s="1" t="str">
        <f>IF(HR_Data[[#This Row],[DistanceFromHome]]&lt;=5,"1 to 5",IF(HR_Data[[#This Row],[DistanceFromHome]]&lt;=10,"6 to 10",IF(HR_Data[[#This Row],[DistanceFromHome]]&lt;=20,"11 to 20","21 to 29")))</f>
        <v>1 to 5</v>
      </c>
      <c r="AR1114" s="1">
        <f>IF(HR_Data[[#This Row],[DistanceFromHome]]&lt;=5,1,IF(HR_Data[[#This Row],[DistanceFromHome]]&lt;=10,2,IF(HR_Data[[#This Row],[DistanceFromHome]]&lt;=20,3,4)))</f>
        <v>1</v>
      </c>
      <c r="AS1114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114" s="1">
        <f>IF(HR_Data[[#This Row],[TotalWorkingYears]]&lt;=5,1,IF(HR_Data[[#This Row],[TotalWorkingYears]]&lt;=10,2,IF(HR_Data[[#This Row],[TotalWorkingYears]]&lt;=20,3,4)))</f>
        <v>2</v>
      </c>
    </row>
    <row r="1115" spans="1:46" x14ac:dyDescent="0.25">
      <c r="A1115">
        <v>32</v>
      </c>
      <c r="B1115" t="s">
        <v>36</v>
      </c>
      <c r="C1115" t="s">
        <v>48</v>
      </c>
      <c r="D1115" t="s">
        <v>38</v>
      </c>
      <c r="E1115">
        <v>1</v>
      </c>
      <c r="F1115">
        <v>4</v>
      </c>
      <c r="G1115" t="s">
        <v>53</v>
      </c>
      <c r="H1115">
        <v>1574</v>
      </c>
      <c r="I1115">
        <v>4</v>
      </c>
      <c r="J1115" t="s">
        <v>39</v>
      </c>
      <c r="K1115">
        <v>3</v>
      </c>
      <c r="L1115">
        <v>2</v>
      </c>
      <c r="M1115" t="s">
        <v>40</v>
      </c>
      <c r="N1115">
        <v>1</v>
      </c>
      <c r="O1115" t="s">
        <v>41</v>
      </c>
      <c r="P1115">
        <v>4087</v>
      </c>
      <c r="Q1115">
        <v>4</v>
      </c>
      <c r="R1115" t="s">
        <v>36</v>
      </c>
      <c r="S1115">
        <v>14</v>
      </c>
      <c r="T1115">
        <v>3</v>
      </c>
      <c r="U1115">
        <v>2</v>
      </c>
      <c r="V1115">
        <v>1</v>
      </c>
      <c r="W1115">
        <v>9</v>
      </c>
      <c r="X1115">
        <v>3</v>
      </c>
      <c r="Y1115">
        <v>2</v>
      </c>
      <c r="Z1115">
        <v>6</v>
      </c>
      <c r="AA1115">
        <v>5</v>
      </c>
      <c r="AB1115">
        <v>1</v>
      </c>
      <c r="AC1115">
        <v>2</v>
      </c>
      <c r="AD1115">
        <f>IF(HR_Data[[#This Row],[Attrition]]="Yes",1,0)</f>
        <v>0</v>
      </c>
      <c r="AE1115" t="str">
        <f>IF(HR_Data[[#This Row],[Age]]&lt;=25,"18-25",IF(HR_Data[[#This Row],[Age]]&lt;=35,"26-35",IF(HR_Data[[#This Row],[Age]]&lt;=45,"36-45",IF(HR_Data[[#This Row],[Age]]&lt;=55,"46-55","55+"))))</f>
        <v>26-35</v>
      </c>
      <c r="AF1115">
        <f>IF(HR_Data[[#This Row],[Age]]&lt;=25,1,IF(HR_Data[[#This Row],[Age]]&lt;=35,2,IF(HR_Data[[#This Row],[Age]]&lt;=45,3,IF(HR_Data[[#This Row],[Age]]&lt;=55,4,5))))</f>
        <v>2</v>
      </c>
      <c r="AG1115" s="1" t="str">
        <f>IF(HR_Data[[#This Row],[MonthlyIncome]]&lt;3000,"&lt;3K",IF(HR_Data[[#This Row],[MonthlyIncome]]&lt;6000,"3K-6K",IF(HR_Data[[#This Row],[MonthlyIncome]]&lt;10000,"6K-10K","10K+")))</f>
        <v>3K-6K</v>
      </c>
      <c r="AH1115" s="1">
        <f>IF(HR_Data[[#This Row],[MonthlyIncome]]&lt;3000,1,IF(HR_Data[[#This Row],[MonthlyIncome]]&lt;6000,2,IF(HR_Data[[#This Row],[MonthlyIncome]]&lt;10000,3,4)))</f>
        <v>2</v>
      </c>
      <c r="AI1115" s="1" t="str">
        <f>IF(HR_Data[[#This Row],[YearsAtCompany]]&lt;=2,"0-2 Yrs",IF(HR_Data[[#This Row],[YearsAtCompany]]&lt;=5,"3-5 Yrs",IF(HR_Data[[#This Row],[YearsAtCompany]]&lt;=10,"6-10 Yrs","10+ Yrs")))</f>
        <v>6-10 Yrs</v>
      </c>
      <c r="AJ1115" s="1">
        <f>IF(HR_Data[[#This Row],[YearsAtCompany]]&lt;=2,1,IF(HR_Data[[#This Row],[YearsAtCompany]]&lt;=5,2,IF(HR_Data[[#This Row],[YearsAtCompany]]&lt;=10,3,4)))</f>
        <v>3</v>
      </c>
      <c r="AK1115" s="1" t="str">
        <f>CHOOSE(HR_Data[[#This Row],[Education]],"Below College","College","Bachelor","Master","Doctor")</f>
        <v>Master</v>
      </c>
      <c r="AL1115" s="1" t="str">
        <f>CHOOSE(HR_Data[[#This Row],[JobSatisfaction]],"Low","Medium","High","Very High")</f>
        <v>Low</v>
      </c>
      <c r="AM1115" s="1" t="str">
        <f>CHOOSE(HR_Data[[#This Row],[EnvironmentSatisfaction]],"Low","Medium","High","Very High")</f>
        <v>Very High</v>
      </c>
      <c r="AN1115" s="1" t="str">
        <f>CHOOSE(HR_Data[[#This Row],[WorkLifeBalance]],"Bad","Good","Better","Best")</f>
        <v>Good</v>
      </c>
      <c r="AO1115" s="1" t="str">
        <f>IF(HR_Data[[#This Row],[PercentSalaryHike]]&lt;=13,"11-13%",IF(HR_Data[[#This Row],[PercentSalaryHike]]&lt;=16,"14-16%",IF(HR_Data[[#This Row],[PercentSalaryHike]]&lt;=19,"17-19%","20-25%")))</f>
        <v>14-16%</v>
      </c>
      <c r="AP1115" s="1">
        <f>IF(HR_Data[[#This Row],[PercentSalaryHike]]&lt;=13,1,IF(HR_Data[[#This Row],[PercentSalaryHike]]&lt;=16,2,IF(HR_Data[[#This Row],[PercentSalaryHike]]&lt;=19,3,4)))</f>
        <v>2</v>
      </c>
      <c r="AQ1115" s="1" t="str">
        <f>IF(HR_Data[[#This Row],[DistanceFromHome]]&lt;=5,"1 to 5",IF(HR_Data[[#This Row],[DistanceFromHome]]&lt;=10,"6 to 10",IF(HR_Data[[#This Row],[DistanceFromHome]]&lt;=20,"11 to 20","21 to 29")))</f>
        <v>1 to 5</v>
      </c>
      <c r="AR1115" s="1">
        <f>IF(HR_Data[[#This Row],[DistanceFromHome]]&lt;=5,1,IF(HR_Data[[#This Row],[DistanceFromHome]]&lt;=10,2,IF(HR_Data[[#This Row],[DistanceFromHome]]&lt;=20,3,4)))</f>
        <v>1</v>
      </c>
      <c r="AS1115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115" s="1">
        <f>IF(HR_Data[[#This Row],[TotalWorkingYears]]&lt;=5,1,IF(HR_Data[[#This Row],[TotalWorkingYears]]&lt;=10,2,IF(HR_Data[[#This Row],[TotalWorkingYears]]&lt;=20,3,4)))</f>
        <v>2</v>
      </c>
    </row>
    <row r="1116" spans="1:46" x14ac:dyDescent="0.25">
      <c r="A1116">
        <v>48</v>
      </c>
      <c r="B1116" t="s">
        <v>36</v>
      </c>
      <c r="C1116" t="s">
        <v>30</v>
      </c>
      <c r="D1116" t="s">
        <v>38</v>
      </c>
      <c r="E1116">
        <v>15</v>
      </c>
      <c r="F1116">
        <v>4</v>
      </c>
      <c r="G1116" t="s">
        <v>42</v>
      </c>
      <c r="H1116">
        <v>1576</v>
      </c>
      <c r="I1116">
        <v>3</v>
      </c>
      <c r="J1116" t="s">
        <v>33</v>
      </c>
      <c r="K1116">
        <v>3</v>
      </c>
      <c r="L1116">
        <v>1</v>
      </c>
      <c r="M1116" t="s">
        <v>40</v>
      </c>
      <c r="N1116">
        <v>1</v>
      </c>
      <c r="O1116" t="s">
        <v>41</v>
      </c>
      <c r="P1116">
        <v>2367</v>
      </c>
      <c r="Q1116">
        <v>8</v>
      </c>
      <c r="R1116" t="s">
        <v>36</v>
      </c>
      <c r="S1116">
        <v>12</v>
      </c>
      <c r="T1116">
        <v>3</v>
      </c>
      <c r="U1116">
        <v>4</v>
      </c>
      <c r="V1116">
        <v>1</v>
      </c>
      <c r="W1116">
        <v>10</v>
      </c>
      <c r="X1116">
        <v>3</v>
      </c>
      <c r="Y1116">
        <v>2</v>
      </c>
      <c r="Z1116">
        <v>8</v>
      </c>
      <c r="AA1116">
        <v>2</v>
      </c>
      <c r="AB1116">
        <v>7</v>
      </c>
      <c r="AC1116">
        <v>6</v>
      </c>
      <c r="AD1116">
        <f>IF(HR_Data[[#This Row],[Attrition]]="Yes",1,0)</f>
        <v>0</v>
      </c>
      <c r="AE1116" t="str">
        <f>IF(HR_Data[[#This Row],[Age]]&lt;=25,"18-25",IF(HR_Data[[#This Row],[Age]]&lt;=35,"26-35",IF(HR_Data[[#This Row],[Age]]&lt;=45,"36-45",IF(HR_Data[[#This Row],[Age]]&lt;=55,"46-55","55+"))))</f>
        <v>46-55</v>
      </c>
      <c r="AF1116">
        <f>IF(HR_Data[[#This Row],[Age]]&lt;=25,1,IF(HR_Data[[#This Row],[Age]]&lt;=35,2,IF(HR_Data[[#This Row],[Age]]&lt;=45,3,IF(HR_Data[[#This Row],[Age]]&lt;=55,4,5))))</f>
        <v>4</v>
      </c>
      <c r="AG1116" s="1" t="str">
        <f>IF(HR_Data[[#This Row],[MonthlyIncome]]&lt;3000,"&lt;3K",IF(HR_Data[[#This Row],[MonthlyIncome]]&lt;6000,"3K-6K",IF(HR_Data[[#This Row],[MonthlyIncome]]&lt;10000,"6K-10K","10K+")))</f>
        <v>&lt;3K</v>
      </c>
      <c r="AH1116" s="1">
        <f>IF(HR_Data[[#This Row],[MonthlyIncome]]&lt;3000,1,IF(HR_Data[[#This Row],[MonthlyIncome]]&lt;6000,2,IF(HR_Data[[#This Row],[MonthlyIncome]]&lt;10000,3,4)))</f>
        <v>1</v>
      </c>
      <c r="AI1116" s="1" t="str">
        <f>IF(HR_Data[[#This Row],[YearsAtCompany]]&lt;=2,"0-2 Yrs",IF(HR_Data[[#This Row],[YearsAtCompany]]&lt;=5,"3-5 Yrs",IF(HR_Data[[#This Row],[YearsAtCompany]]&lt;=10,"6-10 Yrs","10+ Yrs")))</f>
        <v>6-10 Yrs</v>
      </c>
      <c r="AJ1116" s="1">
        <f>IF(HR_Data[[#This Row],[YearsAtCompany]]&lt;=2,1,IF(HR_Data[[#This Row],[YearsAtCompany]]&lt;=5,2,IF(HR_Data[[#This Row],[YearsAtCompany]]&lt;=10,3,4)))</f>
        <v>3</v>
      </c>
      <c r="AK1116" s="1" t="str">
        <f>CHOOSE(HR_Data[[#This Row],[Education]],"Below College","College","Bachelor","Master","Doctor")</f>
        <v>Master</v>
      </c>
      <c r="AL1116" s="1" t="str">
        <f>CHOOSE(HR_Data[[#This Row],[JobSatisfaction]],"Low","Medium","High","Very High")</f>
        <v>Low</v>
      </c>
      <c r="AM1116" s="1" t="str">
        <f>CHOOSE(HR_Data[[#This Row],[EnvironmentSatisfaction]],"Low","Medium","High","Very High")</f>
        <v>High</v>
      </c>
      <c r="AN1116" s="1" t="str">
        <f>CHOOSE(HR_Data[[#This Row],[WorkLifeBalance]],"Bad","Good","Better","Best")</f>
        <v>Good</v>
      </c>
      <c r="AO1116" s="1" t="str">
        <f>IF(HR_Data[[#This Row],[PercentSalaryHike]]&lt;=13,"11-13%",IF(HR_Data[[#This Row],[PercentSalaryHike]]&lt;=16,"14-16%",IF(HR_Data[[#This Row],[PercentSalaryHike]]&lt;=19,"17-19%","20-25%")))</f>
        <v>11-13%</v>
      </c>
      <c r="AP1116" s="1">
        <f>IF(HR_Data[[#This Row],[PercentSalaryHike]]&lt;=13,1,IF(HR_Data[[#This Row],[PercentSalaryHike]]&lt;=16,2,IF(HR_Data[[#This Row],[PercentSalaryHike]]&lt;=19,3,4)))</f>
        <v>1</v>
      </c>
      <c r="AQ1116" s="1" t="str">
        <f>IF(HR_Data[[#This Row],[DistanceFromHome]]&lt;=5,"1 to 5",IF(HR_Data[[#This Row],[DistanceFromHome]]&lt;=10,"6 to 10",IF(HR_Data[[#This Row],[DistanceFromHome]]&lt;=20,"11 to 20","21 to 29")))</f>
        <v>11 to 20</v>
      </c>
      <c r="AR1116" s="1">
        <f>IF(HR_Data[[#This Row],[DistanceFromHome]]&lt;=5,1,IF(HR_Data[[#This Row],[DistanceFromHome]]&lt;=10,2,IF(HR_Data[[#This Row],[DistanceFromHome]]&lt;=20,3,4)))</f>
        <v>3</v>
      </c>
      <c r="AS1116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116" s="1">
        <f>IF(HR_Data[[#This Row],[TotalWorkingYears]]&lt;=5,1,IF(HR_Data[[#This Row],[TotalWorkingYears]]&lt;=10,2,IF(HR_Data[[#This Row],[TotalWorkingYears]]&lt;=20,3,4)))</f>
        <v>2</v>
      </c>
    </row>
    <row r="1117" spans="1:46" x14ac:dyDescent="0.25">
      <c r="A1117">
        <v>34</v>
      </c>
      <c r="B1117" t="s">
        <v>36</v>
      </c>
      <c r="C1117" t="s">
        <v>30</v>
      </c>
      <c r="D1117" t="s">
        <v>38</v>
      </c>
      <c r="E1117">
        <v>7</v>
      </c>
      <c r="F1117">
        <v>4</v>
      </c>
      <c r="G1117" t="s">
        <v>44</v>
      </c>
      <c r="H1117">
        <v>1577</v>
      </c>
      <c r="I1117">
        <v>1</v>
      </c>
      <c r="J1117" t="s">
        <v>39</v>
      </c>
      <c r="K1117">
        <v>3</v>
      </c>
      <c r="L1117">
        <v>1</v>
      </c>
      <c r="M1117" t="s">
        <v>40</v>
      </c>
      <c r="N1117">
        <v>4</v>
      </c>
      <c r="O1117" t="s">
        <v>35</v>
      </c>
      <c r="P1117">
        <v>2972</v>
      </c>
      <c r="Q1117">
        <v>1</v>
      </c>
      <c r="R1117" t="s">
        <v>36</v>
      </c>
      <c r="S1117">
        <v>13</v>
      </c>
      <c r="T1117">
        <v>3</v>
      </c>
      <c r="U1117">
        <v>3</v>
      </c>
      <c r="V1117">
        <v>0</v>
      </c>
      <c r="W1117">
        <v>1</v>
      </c>
      <c r="X1117">
        <v>4</v>
      </c>
      <c r="Y1117">
        <v>1</v>
      </c>
      <c r="Z1117">
        <v>1</v>
      </c>
      <c r="AA1117">
        <v>0</v>
      </c>
      <c r="AB1117">
        <v>0</v>
      </c>
      <c r="AC1117">
        <v>0</v>
      </c>
      <c r="AD1117">
        <f>IF(HR_Data[[#This Row],[Attrition]]="Yes",1,0)</f>
        <v>0</v>
      </c>
      <c r="AE1117" t="str">
        <f>IF(HR_Data[[#This Row],[Age]]&lt;=25,"18-25",IF(HR_Data[[#This Row],[Age]]&lt;=35,"26-35",IF(HR_Data[[#This Row],[Age]]&lt;=45,"36-45",IF(HR_Data[[#This Row],[Age]]&lt;=55,"46-55","55+"))))</f>
        <v>26-35</v>
      </c>
      <c r="AF1117">
        <f>IF(HR_Data[[#This Row],[Age]]&lt;=25,1,IF(HR_Data[[#This Row],[Age]]&lt;=35,2,IF(HR_Data[[#This Row],[Age]]&lt;=45,3,IF(HR_Data[[#This Row],[Age]]&lt;=55,4,5))))</f>
        <v>2</v>
      </c>
      <c r="AG1117" s="1" t="str">
        <f>IF(HR_Data[[#This Row],[MonthlyIncome]]&lt;3000,"&lt;3K",IF(HR_Data[[#This Row],[MonthlyIncome]]&lt;6000,"3K-6K",IF(HR_Data[[#This Row],[MonthlyIncome]]&lt;10000,"6K-10K","10K+")))</f>
        <v>&lt;3K</v>
      </c>
      <c r="AH1117" s="1">
        <f>IF(HR_Data[[#This Row],[MonthlyIncome]]&lt;3000,1,IF(HR_Data[[#This Row],[MonthlyIncome]]&lt;6000,2,IF(HR_Data[[#This Row],[MonthlyIncome]]&lt;10000,3,4)))</f>
        <v>1</v>
      </c>
      <c r="AI1117" s="1" t="str">
        <f>IF(HR_Data[[#This Row],[YearsAtCompany]]&lt;=2,"0-2 Yrs",IF(HR_Data[[#This Row],[YearsAtCompany]]&lt;=5,"3-5 Yrs",IF(HR_Data[[#This Row],[YearsAtCompany]]&lt;=10,"6-10 Yrs","10+ Yrs")))</f>
        <v>0-2 Yrs</v>
      </c>
      <c r="AJ1117" s="1">
        <f>IF(HR_Data[[#This Row],[YearsAtCompany]]&lt;=2,1,IF(HR_Data[[#This Row],[YearsAtCompany]]&lt;=5,2,IF(HR_Data[[#This Row],[YearsAtCompany]]&lt;=10,3,4)))</f>
        <v>1</v>
      </c>
      <c r="AK1117" s="1" t="str">
        <f>CHOOSE(HR_Data[[#This Row],[Education]],"Below College","College","Bachelor","Master","Doctor")</f>
        <v>Master</v>
      </c>
      <c r="AL1117" s="1" t="str">
        <f>CHOOSE(HR_Data[[#This Row],[JobSatisfaction]],"Low","Medium","High","Very High")</f>
        <v>Very High</v>
      </c>
      <c r="AM1117" s="1" t="str">
        <f>CHOOSE(HR_Data[[#This Row],[EnvironmentSatisfaction]],"Low","Medium","High","Very High")</f>
        <v>Low</v>
      </c>
      <c r="AN1117" s="1" t="str">
        <f>CHOOSE(HR_Data[[#This Row],[WorkLifeBalance]],"Bad","Good","Better","Best")</f>
        <v>Bad</v>
      </c>
      <c r="AO1117" s="1" t="str">
        <f>IF(HR_Data[[#This Row],[PercentSalaryHike]]&lt;=13,"11-13%",IF(HR_Data[[#This Row],[PercentSalaryHike]]&lt;=16,"14-16%",IF(HR_Data[[#This Row],[PercentSalaryHike]]&lt;=19,"17-19%","20-25%")))</f>
        <v>11-13%</v>
      </c>
      <c r="AP1117" s="1">
        <f>IF(HR_Data[[#This Row],[PercentSalaryHike]]&lt;=13,1,IF(HR_Data[[#This Row],[PercentSalaryHike]]&lt;=16,2,IF(HR_Data[[#This Row],[PercentSalaryHike]]&lt;=19,3,4)))</f>
        <v>1</v>
      </c>
      <c r="AQ1117" s="1" t="str">
        <f>IF(HR_Data[[#This Row],[DistanceFromHome]]&lt;=5,"1 to 5",IF(HR_Data[[#This Row],[DistanceFromHome]]&lt;=10,"6 to 10",IF(HR_Data[[#This Row],[DistanceFromHome]]&lt;=20,"11 to 20","21 to 29")))</f>
        <v>6 to 10</v>
      </c>
      <c r="AR1117" s="1">
        <f>IF(HR_Data[[#This Row],[DistanceFromHome]]&lt;=5,1,IF(HR_Data[[#This Row],[DistanceFromHome]]&lt;=10,2,IF(HR_Data[[#This Row],[DistanceFromHome]]&lt;=20,3,4)))</f>
        <v>2</v>
      </c>
      <c r="AS1117" s="1" t="str">
        <f>IF(HR_Data[[#This Row],[TotalWorkingYears]]&lt;=5,"0-5 Yrs",IF(HR_Data[[#This Row],[TotalWorkingYears]]&lt;=10,"6-10 Yrs",IF(HR_Data[[#This Row],[TotalWorkingYears]]&lt;=20,"11-20 Yrs","20+ Yrs")))</f>
        <v>0-5 Yrs</v>
      </c>
      <c r="AT1117" s="1">
        <f>IF(HR_Data[[#This Row],[TotalWorkingYears]]&lt;=5,1,IF(HR_Data[[#This Row],[TotalWorkingYears]]&lt;=10,2,IF(HR_Data[[#This Row],[TotalWorkingYears]]&lt;=20,3,4)))</f>
        <v>1</v>
      </c>
    </row>
    <row r="1118" spans="1:46" x14ac:dyDescent="0.25">
      <c r="A1118">
        <v>55</v>
      </c>
      <c r="B1118" t="s">
        <v>36</v>
      </c>
      <c r="C1118" t="s">
        <v>30</v>
      </c>
      <c r="D1118" t="s">
        <v>31</v>
      </c>
      <c r="E1118">
        <v>26</v>
      </c>
      <c r="F1118">
        <v>5</v>
      </c>
      <c r="G1118" t="s">
        <v>52</v>
      </c>
      <c r="H1118">
        <v>1578</v>
      </c>
      <c r="I1118">
        <v>3</v>
      </c>
      <c r="J1118" t="s">
        <v>39</v>
      </c>
      <c r="K1118">
        <v>2</v>
      </c>
      <c r="L1118">
        <v>5</v>
      </c>
      <c r="M1118" t="s">
        <v>49</v>
      </c>
      <c r="N1118">
        <v>4</v>
      </c>
      <c r="O1118" t="s">
        <v>41</v>
      </c>
      <c r="P1118">
        <v>19586</v>
      </c>
      <c r="Q1118">
        <v>1</v>
      </c>
      <c r="R1118" t="s">
        <v>36</v>
      </c>
      <c r="S1118">
        <v>21</v>
      </c>
      <c r="T1118">
        <v>4</v>
      </c>
      <c r="U1118">
        <v>3</v>
      </c>
      <c r="V1118">
        <v>1</v>
      </c>
      <c r="W1118">
        <v>36</v>
      </c>
      <c r="X1118">
        <v>3</v>
      </c>
      <c r="Y1118">
        <v>3</v>
      </c>
      <c r="Z1118">
        <v>36</v>
      </c>
      <c r="AA1118">
        <v>6</v>
      </c>
      <c r="AB1118">
        <v>2</v>
      </c>
      <c r="AC1118">
        <v>13</v>
      </c>
      <c r="AD1118">
        <f>IF(HR_Data[[#This Row],[Attrition]]="Yes",1,0)</f>
        <v>0</v>
      </c>
      <c r="AE1118" t="str">
        <f>IF(HR_Data[[#This Row],[Age]]&lt;=25,"18-25",IF(HR_Data[[#This Row],[Age]]&lt;=35,"26-35",IF(HR_Data[[#This Row],[Age]]&lt;=45,"36-45",IF(HR_Data[[#This Row],[Age]]&lt;=55,"46-55","55+"))))</f>
        <v>46-55</v>
      </c>
      <c r="AF1118">
        <f>IF(HR_Data[[#This Row],[Age]]&lt;=25,1,IF(HR_Data[[#This Row],[Age]]&lt;=35,2,IF(HR_Data[[#This Row],[Age]]&lt;=45,3,IF(HR_Data[[#This Row],[Age]]&lt;=55,4,5))))</f>
        <v>4</v>
      </c>
      <c r="AG1118" s="1" t="str">
        <f>IF(HR_Data[[#This Row],[MonthlyIncome]]&lt;3000,"&lt;3K",IF(HR_Data[[#This Row],[MonthlyIncome]]&lt;6000,"3K-6K",IF(HR_Data[[#This Row],[MonthlyIncome]]&lt;10000,"6K-10K","10K+")))</f>
        <v>10K+</v>
      </c>
      <c r="AH1118" s="1">
        <f>IF(HR_Data[[#This Row],[MonthlyIncome]]&lt;3000,1,IF(HR_Data[[#This Row],[MonthlyIncome]]&lt;6000,2,IF(HR_Data[[#This Row],[MonthlyIncome]]&lt;10000,3,4)))</f>
        <v>4</v>
      </c>
      <c r="AI1118" s="1" t="str">
        <f>IF(HR_Data[[#This Row],[YearsAtCompany]]&lt;=2,"0-2 Yrs",IF(HR_Data[[#This Row],[YearsAtCompany]]&lt;=5,"3-5 Yrs",IF(HR_Data[[#This Row],[YearsAtCompany]]&lt;=10,"6-10 Yrs","10+ Yrs")))</f>
        <v>10+ Yrs</v>
      </c>
      <c r="AJ1118" s="1">
        <f>IF(HR_Data[[#This Row],[YearsAtCompany]]&lt;=2,1,IF(HR_Data[[#This Row],[YearsAtCompany]]&lt;=5,2,IF(HR_Data[[#This Row],[YearsAtCompany]]&lt;=10,3,4)))</f>
        <v>4</v>
      </c>
      <c r="AK1118" s="1" t="str">
        <f>CHOOSE(HR_Data[[#This Row],[Education]],"Below College","College","Bachelor","Master","Doctor")</f>
        <v>Doctor</v>
      </c>
      <c r="AL1118" s="1" t="str">
        <f>CHOOSE(HR_Data[[#This Row],[JobSatisfaction]],"Low","Medium","High","Very High")</f>
        <v>Very High</v>
      </c>
      <c r="AM1118" s="1" t="str">
        <f>CHOOSE(HR_Data[[#This Row],[EnvironmentSatisfaction]],"Low","Medium","High","Very High")</f>
        <v>High</v>
      </c>
      <c r="AN1118" s="1" t="str">
        <f>CHOOSE(HR_Data[[#This Row],[WorkLifeBalance]],"Bad","Good","Better","Best")</f>
        <v>Better</v>
      </c>
      <c r="AO1118" s="1" t="str">
        <f>IF(HR_Data[[#This Row],[PercentSalaryHike]]&lt;=13,"11-13%",IF(HR_Data[[#This Row],[PercentSalaryHike]]&lt;=16,"14-16%",IF(HR_Data[[#This Row],[PercentSalaryHike]]&lt;=19,"17-19%","20-25%")))</f>
        <v>20-25%</v>
      </c>
      <c r="AP1118" s="1">
        <f>IF(HR_Data[[#This Row],[PercentSalaryHike]]&lt;=13,1,IF(HR_Data[[#This Row],[PercentSalaryHike]]&lt;=16,2,IF(HR_Data[[#This Row],[PercentSalaryHike]]&lt;=19,3,4)))</f>
        <v>4</v>
      </c>
      <c r="AQ1118" s="1" t="str">
        <f>IF(HR_Data[[#This Row],[DistanceFromHome]]&lt;=5,"1 to 5",IF(HR_Data[[#This Row],[DistanceFromHome]]&lt;=10,"6 to 10",IF(HR_Data[[#This Row],[DistanceFromHome]]&lt;=20,"11 to 20","21 to 29")))</f>
        <v>21 to 29</v>
      </c>
      <c r="AR1118" s="1">
        <f>IF(HR_Data[[#This Row],[DistanceFromHome]]&lt;=5,1,IF(HR_Data[[#This Row],[DistanceFromHome]]&lt;=10,2,IF(HR_Data[[#This Row],[DistanceFromHome]]&lt;=20,3,4)))</f>
        <v>4</v>
      </c>
      <c r="AS1118" s="1" t="str">
        <f>IF(HR_Data[[#This Row],[TotalWorkingYears]]&lt;=5,"0-5 Yrs",IF(HR_Data[[#This Row],[TotalWorkingYears]]&lt;=10,"6-10 Yrs",IF(HR_Data[[#This Row],[TotalWorkingYears]]&lt;=20,"11-20 Yrs","20+ Yrs")))</f>
        <v>20+ Yrs</v>
      </c>
      <c r="AT1118" s="1">
        <f>IF(HR_Data[[#This Row],[TotalWorkingYears]]&lt;=5,1,IF(HR_Data[[#This Row],[TotalWorkingYears]]&lt;=10,2,IF(HR_Data[[#This Row],[TotalWorkingYears]]&lt;=20,3,4)))</f>
        <v>4</v>
      </c>
    </row>
    <row r="1119" spans="1:46" x14ac:dyDescent="0.25">
      <c r="A1119">
        <v>34</v>
      </c>
      <c r="B1119" t="s">
        <v>36</v>
      </c>
      <c r="C1119" t="s">
        <v>30</v>
      </c>
      <c r="D1119" t="s">
        <v>38</v>
      </c>
      <c r="E1119">
        <v>1</v>
      </c>
      <c r="F1119">
        <v>4</v>
      </c>
      <c r="G1119" t="s">
        <v>32</v>
      </c>
      <c r="H1119">
        <v>1580</v>
      </c>
      <c r="I1119">
        <v>2</v>
      </c>
      <c r="J1119" t="s">
        <v>39</v>
      </c>
      <c r="K1119">
        <v>3</v>
      </c>
      <c r="L1119">
        <v>2</v>
      </c>
      <c r="M1119" t="s">
        <v>40</v>
      </c>
      <c r="N1119">
        <v>4</v>
      </c>
      <c r="O1119" t="s">
        <v>41</v>
      </c>
      <c r="P1119">
        <v>5484</v>
      </c>
      <c r="Q1119">
        <v>9</v>
      </c>
      <c r="R1119" t="s">
        <v>36</v>
      </c>
      <c r="S1119">
        <v>17</v>
      </c>
      <c r="T1119">
        <v>3</v>
      </c>
      <c r="U1119">
        <v>2</v>
      </c>
      <c r="V1119">
        <v>1</v>
      </c>
      <c r="W1119">
        <v>9</v>
      </c>
      <c r="X1119">
        <v>3</v>
      </c>
      <c r="Y1119">
        <v>2</v>
      </c>
      <c r="Z1119">
        <v>2</v>
      </c>
      <c r="AA1119">
        <v>2</v>
      </c>
      <c r="AB1119">
        <v>2</v>
      </c>
      <c r="AC1119">
        <v>1</v>
      </c>
      <c r="AD1119">
        <f>IF(HR_Data[[#This Row],[Attrition]]="Yes",1,0)</f>
        <v>0</v>
      </c>
      <c r="AE1119" t="str">
        <f>IF(HR_Data[[#This Row],[Age]]&lt;=25,"18-25",IF(HR_Data[[#This Row],[Age]]&lt;=35,"26-35",IF(HR_Data[[#This Row],[Age]]&lt;=45,"36-45",IF(HR_Data[[#This Row],[Age]]&lt;=55,"46-55","55+"))))</f>
        <v>26-35</v>
      </c>
      <c r="AF1119">
        <f>IF(HR_Data[[#This Row],[Age]]&lt;=25,1,IF(HR_Data[[#This Row],[Age]]&lt;=35,2,IF(HR_Data[[#This Row],[Age]]&lt;=45,3,IF(HR_Data[[#This Row],[Age]]&lt;=55,4,5))))</f>
        <v>2</v>
      </c>
      <c r="AG1119" s="1" t="str">
        <f>IF(HR_Data[[#This Row],[MonthlyIncome]]&lt;3000,"&lt;3K",IF(HR_Data[[#This Row],[MonthlyIncome]]&lt;6000,"3K-6K",IF(HR_Data[[#This Row],[MonthlyIncome]]&lt;10000,"6K-10K","10K+")))</f>
        <v>3K-6K</v>
      </c>
      <c r="AH1119" s="1">
        <f>IF(HR_Data[[#This Row],[MonthlyIncome]]&lt;3000,1,IF(HR_Data[[#This Row],[MonthlyIncome]]&lt;6000,2,IF(HR_Data[[#This Row],[MonthlyIncome]]&lt;10000,3,4)))</f>
        <v>2</v>
      </c>
      <c r="AI1119" s="1" t="str">
        <f>IF(HR_Data[[#This Row],[YearsAtCompany]]&lt;=2,"0-2 Yrs",IF(HR_Data[[#This Row],[YearsAtCompany]]&lt;=5,"3-5 Yrs",IF(HR_Data[[#This Row],[YearsAtCompany]]&lt;=10,"6-10 Yrs","10+ Yrs")))</f>
        <v>0-2 Yrs</v>
      </c>
      <c r="AJ1119" s="1">
        <f>IF(HR_Data[[#This Row],[YearsAtCompany]]&lt;=2,1,IF(HR_Data[[#This Row],[YearsAtCompany]]&lt;=5,2,IF(HR_Data[[#This Row],[YearsAtCompany]]&lt;=10,3,4)))</f>
        <v>1</v>
      </c>
      <c r="AK1119" s="1" t="str">
        <f>CHOOSE(HR_Data[[#This Row],[Education]],"Below College","College","Bachelor","Master","Doctor")</f>
        <v>Master</v>
      </c>
      <c r="AL1119" s="1" t="str">
        <f>CHOOSE(HR_Data[[#This Row],[JobSatisfaction]],"Low","Medium","High","Very High")</f>
        <v>Very High</v>
      </c>
      <c r="AM1119" s="1" t="str">
        <f>CHOOSE(HR_Data[[#This Row],[EnvironmentSatisfaction]],"Low","Medium","High","Very High")</f>
        <v>Medium</v>
      </c>
      <c r="AN1119" s="1" t="str">
        <f>CHOOSE(HR_Data[[#This Row],[WorkLifeBalance]],"Bad","Good","Better","Best")</f>
        <v>Good</v>
      </c>
      <c r="AO1119" s="1" t="str">
        <f>IF(HR_Data[[#This Row],[PercentSalaryHike]]&lt;=13,"11-13%",IF(HR_Data[[#This Row],[PercentSalaryHike]]&lt;=16,"14-16%",IF(HR_Data[[#This Row],[PercentSalaryHike]]&lt;=19,"17-19%","20-25%")))</f>
        <v>17-19%</v>
      </c>
      <c r="AP1119" s="1">
        <f>IF(HR_Data[[#This Row],[PercentSalaryHike]]&lt;=13,1,IF(HR_Data[[#This Row],[PercentSalaryHike]]&lt;=16,2,IF(HR_Data[[#This Row],[PercentSalaryHike]]&lt;=19,3,4)))</f>
        <v>3</v>
      </c>
      <c r="AQ1119" s="1" t="str">
        <f>IF(HR_Data[[#This Row],[DistanceFromHome]]&lt;=5,"1 to 5",IF(HR_Data[[#This Row],[DistanceFromHome]]&lt;=10,"6 to 10",IF(HR_Data[[#This Row],[DistanceFromHome]]&lt;=20,"11 to 20","21 to 29")))</f>
        <v>1 to 5</v>
      </c>
      <c r="AR1119" s="1">
        <f>IF(HR_Data[[#This Row],[DistanceFromHome]]&lt;=5,1,IF(HR_Data[[#This Row],[DistanceFromHome]]&lt;=10,2,IF(HR_Data[[#This Row],[DistanceFromHome]]&lt;=20,3,4)))</f>
        <v>1</v>
      </c>
      <c r="AS1119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119" s="1">
        <f>IF(HR_Data[[#This Row],[TotalWorkingYears]]&lt;=5,1,IF(HR_Data[[#This Row],[TotalWorkingYears]]&lt;=10,2,IF(HR_Data[[#This Row],[TotalWorkingYears]]&lt;=20,3,4)))</f>
        <v>2</v>
      </c>
    </row>
    <row r="1120" spans="1:46" x14ac:dyDescent="0.25">
      <c r="A1120">
        <v>26</v>
      </c>
      <c r="B1120" t="s">
        <v>36</v>
      </c>
      <c r="C1120" t="s">
        <v>30</v>
      </c>
      <c r="D1120" t="s">
        <v>38</v>
      </c>
      <c r="E1120">
        <v>3</v>
      </c>
      <c r="F1120">
        <v>3</v>
      </c>
      <c r="G1120" t="s">
        <v>32</v>
      </c>
      <c r="H1120">
        <v>1581</v>
      </c>
      <c r="I1120">
        <v>1</v>
      </c>
      <c r="J1120" t="s">
        <v>33</v>
      </c>
      <c r="K1120">
        <v>3</v>
      </c>
      <c r="L1120">
        <v>1</v>
      </c>
      <c r="M1120" t="s">
        <v>40</v>
      </c>
      <c r="N1120">
        <v>4</v>
      </c>
      <c r="O1120" t="s">
        <v>41</v>
      </c>
      <c r="P1120">
        <v>2061</v>
      </c>
      <c r="Q1120">
        <v>1</v>
      </c>
      <c r="R1120" t="s">
        <v>36</v>
      </c>
      <c r="S1120">
        <v>21</v>
      </c>
      <c r="T1120">
        <v>4</v>
      </c>
      <c r="U1120">
        <v>1</v>
      </c>
      <c r="V1120">
        <v>0</v>
      </c>
      <c r="W1120">
        <v>1</v>
      </c>
      <c r="X1120">
        <v>5</v>
      </c>
      <c r="Y1120">
        <v>3</v>
      </c>
      <c r="Z1120">
        <v>1</v>
      </c>
      <c r="AA1120">
        <v>0</v>
      </c>
      <c r="AB1120">
        <v>0</v>
      </c>
      <c r="AC1120">
        <v>0</v>
      </c>
      <c r="AD1120">
        <f>IF(HR_Data[[#This Row],[Attrition]]="Yes",1,0)</f>
        <v>0</v>
      </c>
      <c r="AE1120" t="str">
        <f>IF(HR_Data[[#This Row],[Age]]&lt;=25,"18-25",IF(HR_Data[[#This Row],[Age]]&lt;=35,"26-35",IF(HR_Data[[#This Row],[Age]]&lt;=45,"36-45",IF(HR_Data[[#This Row],[Age]]&lt;=55,"46-55","55+"))))</f>
        <v>26-35</v>
      </c>
      <c r="AF1120">
        <f>IF(HR_Data[[#This Row],[Age]]&lt;=25,1,IF(HR_Data[[#This Row],[Age]]&lt;=35,2,IF(HR_Data[[#This Row],[Age]]&lt;=45,3,IF(HR_Data[[#This Row],[Age]]&lt;=55,4,5))))</f>
        <v>2</v>
      </c>
      <c r="AG1120" s="1" t="str">
        <f>IF(HR_Data[[#This Row],[MonthlyIncome]]&lt;3000,"&lt;3K",IF(HR_Data[[#This Row],[MonthlyIncome]]&lt;6000,"3K-6K",IF(HR_Data[[#This Row],[MonthlyIncome]]&lt;10000,"6K-10K","10K+")))</f>
        <v>&lt;3K</v>
      </c>
      <c r="AH1120" s="1">
        <f>IF(HR_Data[[#This Row],[MonthlyIncome]]&lt;3000,1,IF(HR_Data[[#This Row],[MonthlyIncome]]&lt;6000,2,IF(HR_Data[[#This Row],[MonthlyIncome]]&lt;10000,3,4)))</f>
        <v>1</v>
      </c>
      <c r="AI1120" s="1" t="str">
        <f>IF(HR_Data[[#This Row],[YearsAtCompany]]&lt;=2,"0-2 Yrs",IF(HR_Data[[#This Row],[YearsAtCompany]]&lt;=5,"3-5 Yrs",IF(HR_Data[[#This Row],[YearsAtCompany]]&lt;=10,"6-10 Yrs","10+ Yrs")))</f>
        <v>0-2 Yrs</v>
      </c>
      <c r="AJ1120" s="1">
        <f>IF(HR_Data[[#This Row],[YearsAtCompany]]&lt;=2,1,IF(HR_Data[[#This Row],[YearsAtCompany]]&lt;=5,2,IF(HR_Data[[#This Row],[YearsAtCompany]]&lt;=10,3,4)))</f>
        <v>1</v>
      </c>
      <c r="AK1120" s="1" t="str">
        <f>CHOOSE(HR_Data[[#This Row],[Education]],"Below College","College","Bachelor","Master","Doctor")</f>
        <v>Bachelor</v>
      </c>
      <c r="AL1120" s="1" t="str">
        <f>CHOOSE(HR_Data[[#This Row],[JobSatisfaction]],"Low","Medium","High","Very High")</f>
        <v>Very High</v>
      </c>
      <c r="AM1120" s="1" t="str">
        <f>CHOOSE(HR_Data[[#This Row],[EnvironmentSatisfaction]],"Low","Medium","High","Very High")</f>
        <v>Low</v>
      </c>
      <c r="AN1120" s="1" t="str">
        <f>CHOOSE(HR_Data[[#This Row],[WorkLifeBalance]],"Bad","Good","Better","Best")</f>
        <v>Better</v>
      </c>
      <c r="AO1120" s="1" t="str">
        <f>IF(HR_Data[[#This Row],[PercentSalaryHike]]&lt;=13,"11-13%",IF(HR_Data[[#This Row],[PercentSalaryHike]]&lt;=16,"14-16%",IF(HR_Data[[#This Row],[PercentSalaryHike]]&lt;=19,"17-19%","20-25%")))</f>
        <v>20-25%</v>
      </c>
      <c r="AP1120" s="1">
        <f>IF(HR_Data[[#This Row],[PercentSalaryHike]]&lt;=13,1,IF(HR_Data[[#This Row],[PercentSalaryHike]]&lt;=16,2,IF(HR_Data[[#This Row],[PercentSalaryHike]]&lt;=19,3,4)))</f>
        <v>4</v>
      </c>
      <c r="AQ1120" s="1" t="str">
        <f>IF(HR_Data[[#This Row],[DistanceFromHome]]&lt;=5,"1 to 5",IF(HR_Data[[#This Row],[DistanceFromHome]]&lt;=10,"6 to 10",IF(HR_Data[[#This Row],[DistanceFromHome]]&lt;=20,"11 to 20","21 to 29")))</f>
        <v>1 to 5</v>
      </c>
      <c r="AR1120" s="1">
        <f>IF(HR_Data[[#This Row],[DistanceFromHome]]&lt;=5,1,IF(HR_Data[[#This Row],[DistanceFromHome]]&lt;=10,2,IF(HR_Data[[#This Row],[DistanceFromHome]]&lt;=20,3,4)))</f>
        <v>1</v>
      </c>
      <c r="AS1120" s="1" t="str">
        <f>IF(HR_Data[[#This Row],[TotalWorkingYears]]&lt;=5,"0-5 Yrs",IF(HR_Data[[#This Row],[TotalWorkingYears]]&lt;=10,"6-10 Yrs",IF(HR_Data[[#This Row],[TotalWorkingYears]]&lt;=20,"11-20 Yrs","20+ Yrs")))</f>
        <v>0-5 Yrs</v>
      </c>
      <c r="AT1120" s="1">
        <f>IF(HR_Data[[#This Row],[TotalWorkingYears]]&lt;=5,1,IF(HR_Data[[#This Row],[TotalWorkingYears]]&lt;=10,2,IF(HR_Data[[#This Row],[TotalWorkingYears]]&lt;=20,3,4)))</f>
        <v>1</v>
      </c>
    </row>
    <row r="1121" spans="1:46" x14ac:dyDescent="0.25">
      <c r="A1121">
        <v>38</v>
      </c>
      <c r="B1121" t="s">
        <v>36</v>
      </c>
      <c r="C1121" t="s">
        <v>30</v>
      </c>
      <c r="D1121" t="s">
        <v>31</v>
      </c>
      <c r="E1121">
        <v>14</v>
      </c>
      <c r="F1121">
        <v>3</v>
      </c>
      <c r="G1121" t="s">
        <v>32</v>
      </c>
      <c r="H1121">
        <v>1582</v>
      </c>
      <c r="I1121">
        <v>3</v>
      </c>
      <c r="J1121" t="s">
        <v>39</v>
      </c>
      <c r="K1121">
        <v>3</v>
      </c>
      <c r="L1121">
        <v>2</v>
      </c>
      <c r="M1121" t="s">
        <v>34</v>
      </c>
      <c r="N1121">
        <v>2</v>
      </c>
      <c r="O1121" t="s">
        <v>41</v>
      </c>
      <c r="P1121">
        <v>9924</v>
      </c>
      <c r="Q1121">
        <v>0</v>
      </c>
      <c r="R1121" t="s">
        <v>36</v>
      </c>
      <c r="S1121">
        <v>11</v>
      </c>
      <c r="T1121">
        <v>3</v>
      </c>
      <c r="U1121">
        <v>4</v>
      </c>
      <c r="V1121">
        <v>1</v>
      </c>
      <c r="W1121">
        <v>10</v>
      </c>
      <c r="X1121">
        <v>3</v>
      </c>
      <c r="Y1121">
        <v>3</v>
      </c>
      <c r="Z1121">
        <v>9</v>
      </c>
      <c r="AA1121">
        <v>8</v>
      </c>
      <c r="AB1121">
        <v>7</v>
      </c>
      <c r="AC1121">
        <v>7</v>
      </c>
      <c r="AD1121">
        <f>IF(HR_Data[[#This Row],[Attrition]]="Yes",1,0)</f>
        <v>0</v>
      </c>
      <c r="AE1121" t="str">
        <f>IF(HR_Data[[#This Row],[Age]]&lt;=25,"18-25",IF(HR_Data[[#This Row],[Age]]&lt;=35,"26-35",IF(HR_Data[[#This Row],[Age]]&lt;=45,"36-45",IF(HR_Data[[#This Row],[Age]]&lt;=55,"46-55","55+"))))</f>
        <v>36-45</v>
      </c>
      <c r="AF1121">
        <f>IF(HR_Data[[#This Row],[Age]]&lt;=25,1,IF(HR_Data[[#This Row],[Age]]&lt;=35,2,IF(HR_Data[[#This Row],[Age]]&lt;=45,3,IF(HR_Data[[#This Row],[Age]]&lt;=55,4,5))))</f>
        <v>3</v>
      </c>
      <c r="AG1121" s="1" t="str">
        <f>IF(HR_Data[[#This Row],[MonthlyIncome]]&lt;3000,"&lt;3K",IF(HR_Data[[#This Row],[MonthlyIncome]]&lt;6000,"3K-6K",IF(HR_Data[[#This Row],[MonthlyIncome]]&lt;10000,"6K-10K","10K+")))</f>
        <v>6K-10K</v>
      </c>
      <c r="AH1121" s="1">
        <f>IF(HR_Data[[#This Row],[MonthlyIncome]]&lt;3000,1,IF(HR_Data[[#This Row],[MonthlyIncome]]&lt;6000,2,IF(HR_Data[[#This Row],[MonthlyIncome]]&lt;10000,3,4)))</f>
        <v>3</v>
      </c>
      <c r="AI1121" s="1" t="str">
        <f>IF(HR_Data[[#This Row],[YearsAtCompany]]&lt;=2,"0-2 Yrs",IF(HR_Data[[#This Row],[YearsAtCompany]]&lt;=5,"3-5 Yrs",IF(HR_Data[[#This Row],[YearsAtCompany]]&lt;=10,"6-10 Yrs","10+ Yrs")))</f>
        <v>6-10 Yrs</v>
      </c>
      <c r="AJ1121" s="1">
        <f>IF(HR_Data[[#This Row],[YearsAtCompany]]&lt;=2,1,IF(HR_Data[[#This Row],[YearsAtCompany]]&lt;=5,2,IF(HR_Data[[#This Row],[YearsAtCompany]]&lt;=10,3,4)))</f>
        <v>3</v>
      </c>
      <c r="AK1121" s="1" t="str">
        <f>CHOOSE(HR_Data[[#This Row],[Education]],"Below College","College","Bachelor","Master","Doctor")</f>
        <v>Bachelor</v>
      </c>
      <c r="AL1121" s="1" t="str">
        <f>CHOOSE(HR_Data[[#This Row],[JobSatisfaction]],"Low","Medium","High","Very High")</f>
        <v>Medium</v>
      </c>
      <c r="AM1121" s="1" t="str">
        <f>CHOOSE(HR_Data[[#This Row],[EnvironmentSatisfaction]],"Low","Medium","High","Very High")</f>
        <v>High</v>
      </c>
      <c r="AN1121" s="1" t="str">
        <f>CHOOSE(HR_Data[[#This Row],[WorkLifeBalance]],"Bad","Good","Better","Best")</f>
        <v>Better</v>
      </c>
      <c r="AO1121" s="1" t="str">
        <f>IF(HR_Data[[#This Row],[PercentSalaryHike]]&lt;=13,"11-13%",IF(HR_Data[[#This Row],[PercentSalaryHike]]&lt;=16,"14-16%",IF(HR_Data[[#This Row],[PercentSalaryHike]]&lt;=19,"17-19%","20-25%")))</f>
        <v>11-13%</v>
      </c>
      <c r="AP1121" s="1">
        <f>IF(HR_Data[[#This Row],[PercentSalaryHike]]&lt;=13,1,IF(HR_Data[[#This Row],[PercentSalaryHike]]&lt;=16,2,IF(HR_Data[[#This Row],[PercentSalaryHike]]&lt;=19,3,4)))</f>
        <v>1</v>
      </c>
      <c r="AQ1121" s="1" t="str">
        <f>IF(HR_Data[[#This Row],[DistanceFromHome]]&lt;=5,"1 to 5",IF(HR_Data[[#This Row],[DistanceFromHome]]&lt;=10,"6 to 10",IF(HR_Data[[#This Row],[DistanceFromHome]]&lt;=20,"11 to 20","21 to 29")))</f>
        <v>11 to 20</v>
      </c>
      <c r="AR1121" s="1">
        <f>IF(HR_Data[[#This Row],[DistanceFromHome]]&lt;=5,1,IF(HR_Data[[#This Row],[DistanceFromHome]]&lt;=10,2,IF(HR_Data[[#This Row],[DistanceFromHome]]&lt;=20,3,4)))</f>
        <v>3</v>
      </c>
      <c r="AS1121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121" s="1">
        <f>IF(HR_Data[[#This Row],[TotalWorkingYears]]&lt;=5,1,IF(HR_Data[[#This Row],[TotalWorkingYears]]&lt;=10,2,IF(HR_Data[[#This Row],[TotalWorkingYears]]&lt;=20,3,4)))</f>
        <v>2</v>
      </c>
    </row>
    <row r="1122" spans="1:46" x14ac:dyDescent="0.25">
      <c r="A1122">
        <v>38</v>
      </c>
      <c r="B1122" t="s">
        <v>36</v>
      </c>
      <c r="C1122" t="s">
        <v>30</v>
      </c>
      <c r="D1122" t="s">
        <v>31</v>
      </c>
      <c r="E1122">
        <v>16</v>
      </c>
      <c r="F1122">
        <v>3</v>
      </c>
      <c r="G1122" t="s">
        <v>32</v>
      </c>
      <c r="H1122">
        <v>1583</v>
      </c>
      <c r="I1122">
        <v>2</v>
      </c>
      <c r="J1122" t="s">
        <v>33</v>
      </c>
      <c r="K1122">
        <v>3</v>
      </c>
      <c r="L1122">
        <v>2</v>
      </c>
      <c r="M1122" t="s">
        <v>34</v>
      </c>
      <c r="N1122">
        <v>2</v>
      </c>
      <c r="O1122" t="s">
        <v>35</v>
      </c>
      <c r="P1122">
        <v>4198</v>
      </c>
      <c r="Q1122">
        <v>2</v>
      </c>
      <c r="R1122" t="s">
        <v>36</v>
      </c>
      <c r="S1122">
        <v>12</v>
      </c>
      <c r="T1122">
        <v>3</v>
      </c>
      <c r="U1122">
        <v>2</v>
      </c>
      <c r="V1122">
        <v>0</v>
      </c>
      <c r="W1122">
        <v>8</v>
      </c>
      <c r="X1122">
        <v>5</v>
      </c>
      <c r="Y1122">
        <v>4</v>
      </c>
      <c r="Z1122">
        <v>3</v>
      </c>
      <c r="AA1122">
        <v>2</v>
      </c>
      <c r="AB1122">
        <v>1</v>
      </c>
      <c r="AC1122">
        <v>2</v>
      </c>
      <c r="AD1122">
        <f>IF(HR_Data[[#This Row],[Attrition]]="Yes",1,0)</f>
        <v>0</v>
      </c>
      <c r="AE1122" t="str">
        <f>IF(HR_Data[[#This Row],[Age]]&lt;=25,"18-25",IF(HR_Data[[#This Row],[Age]]&lt;=35,"26-35",IF(HR_Data[[#This Row],[Age]]&lt;=45,"36-45",IF(HR_Data[[#This Row],[Age]]&lt;=55,"46-55","55+"))))</f>
        <v>36-45</v>
      </c>
      <c r="AF1122">
        <f>IF(HR_Data[[#This Row],[Age]]&lt;=25,1,IF(HR_Data[[#This Row],[Age]]&lt;=35,2,IF(HR_Data[[#This Row],[Age]]&lt;=45,3,IF(HR_Data[[#This Row],[Age]]&lt;=55,4,5))))</f>
        <v>3</v>
      </c>
      <c r="AG1122" s="1" t="str">
        <f>IF(HR_Data[[#This Row],[MonthlyIncome]]&lt;3000,"&lt;3K",IF(HR_Data[[#This Row],[MonthlyIncome]]&lt;6000,"3K-6K",IF(HR_Data[[#This Row],[MonthlyIncome]]&lt;10000,"6K-10K","10K+")))</f>
        <v>3K-6K</v>
      </c>
      <c r="AH1122" s="1">
        <f>IF(HR_Data[[#This Row],[MonthlyIncome]]&lt;3000,1,IF(HR_Data[[#This Row],[MonthlyIncome]]&lt;6000,2,IF(HR_Data[[#This Row],[MonthlyIncome]]&lt;10000,3,4)))</f>
        <v>2</v>
      </c>
      <c r="AI1122" s="1" t="str">
        <f>IF(HR_Data[[#This Row],[YearsAtCompany]]&lt;=2,"0-2 Yrs",IF(HR_Data[[#This Row],[YearsAtCompany]]&lt;=5,"3-5 Yrs",IF(HR_Data[[#This Row],[YearsAtCompany]]&lt;=10,"6-10 Yrs","10+ Yrs")))</f>
        <v>3-5 Yrs</v>
      </c>
      <c r="AJ1122" s="1">
        <f>IF(HR_Data[[#This Row],[YearsAtCompany]]&lt;=2,1,IF(HR_Data[[#This Row],[YearsAtCompany]]&lt;=5,2,IF(HR_Data[[#This Row],[YearsAtCompany]]&lt;=10,3,4)))</f>
        <v>2</v>
      </c>
      <c r="AK1122" s="1" t="str">
        <f>CHOOSE(HR_Data[[#This Row],[Education]],"Below College","College","Bachelor","Master","Doctor")</f>
        <v>Bachelor</v>
      </c>
      <c r="AL1122" s="1" t="str">
        <f>CHOOSE(HR_Data[[#This Row],[JobSatisfaction]],"Low","Medium","High","Very High")</f>
        <v>Medium</v>
      </c>
      <c r="AM1122" s="1" t="str">
        <f>CHOOSE(HR_Data[[#This Row],[EnvironmentSatisfaction]],"Low","Medium","High","Very High")</f>
        <v>Medium</v>
      </c>
      <c r="AN1122" s="1" t="str">
        <f>CHOOSE(HR_Data[[#This Row],[WorkLifeBalance]],"Bad","Good","Better","Best")</f>
        <v>Best</v>
      </c>
      <c r="AO1122" s="1" t="str">
        <f>IF(HR_Data[[#This Row],[PercentSalaryHike]]&lt;=13,"11-13%",IF(HR_Data[[#This Row],[PercentSalaryHike]]&lt;=16,"14-16%",IF(HR_Data[[#This Row],[PercentSalaryHike]]&lt;=19,"17-19%","20-25%")))</f>
        <v>11-13%</v>
      </c>
      <c r="AP1122" s="1">
        <f>IF(HR_Data[[#This Row],[PercentSalaryHike]]&lt;=13,1,IF(HR_Data[[#This Row],[PercentSalaryHike]]&lt;=16,2,IF(HR_Data[[#This Row],[PercentSalaryHike]]&lt;=19,3,4)))</f>
        <v>1</v>
      </c>
      <c r="AQ1122" s="1" t="str">
        <f>IF(HR_Data[[#This Row],[DistanceFromHome]]&lt;=5,"1 to 5",IF(HR_Data[[#This Row],[DistanceFromHome]]&lt;=10,"6 to 10",IF(HR_Data[[#This Row],[DistanceFromHome]]&lt;=20,"11 to 20","21 to 29")))</f>
        <v>11 to 20</v>
      </c>
      <c r="AR1122" s="1">
        <f>IF(HR_Data[[#This Row],[DistanceFromHome]]&lt;=5,1,IF(HR_Data[[#This Row],[DistanceFromHome]]&lt;=10,2,IF(HR_Data[[#This Row],[DistanceFromHome]]&lt;=20,3,4)))</f>
        <v>3</v>
      </c>
      <c r="AS1122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122" s="1">
        <f>IF(HR_Data[[#This Row],[TotalWorkingYears]]&lt;=5,1,IF(HR_Data[[#This Row],[TotalWorkingYears]]&lt;=10,2,IF(HR_Data[[#This Row],[TotalWorkingYears]]&lt;=20,3,4)))</f>
        <v>2</v>
      </c>
    </row>
    <row r="1123" spans="1:46" x14ac:dyDescent="0.25">
      <c r="A1123">
        <v>36</v>
      </c>
      <c r="B1123" t="s">
        <v>36</v>
      </c>
      <c r="C1123" t="s">
        <v>30</v>
      </c>
      <c r="D1123" t="s">
        <v>31</v>
      </c>
      <c r="E1123">
        <v>1</v>
      </c>
      <c r="F1123">
        <v>4</v>
      </c>
      <c r="G1123" t="s">
        <v>32</v>
      </c>
      <c r="H1123">
        <v>1585</v>
      </c>
      <c r="I1123">
        <v>2</v>
      </c>
      <c r="J1123" t="s">
        <v>33</v>
      </c>
      <c r="K1123">
        <v>3</v>
      </c>
      <c r="L1123">
        <v>2</v>
      </c>
      <c r="M1123" t="s">
        <v>34</v>
      </c>
      <c r="N1123">
        <v>3</v>
      </c>
      <c r="O1123" t="s">
        <v>35</v>
      </c>
      <c r="P1123">
        <v>6815</v>
      </c>
      <c r="Q1123">
        <v>6</v>
      </c>
      <c r="R1123" t="s">
        <v>36</v>
      </c>
      <c r="S1123">
        <v>13</v>
      </c>
      <c r="T1123">
        <v>3</v>
      </c>
      <c r="U1123">
        <v>1</v>
      </c>
      <c r="V1123">
        <v>0</v>
      </c>
      <c r="W1123">
        <v>15</v>
      </c>
      <c r="X1123">
        <v>5</v>
      </c>
      <c r="Y1123">
        <v>3</v>
      </c>
      <c r="Z1123">
        <v>1</v>
      </c>
      <c r="AA1123">
        <v>0</v>
      </c>
      <c r="AB1123">
        <v>0</v>
      </c>
      <c r="AC1123">
        <v>0</v>
      </c>
      <c r="AD1123">
        <f>IF(HR_Data[[#This Row],[Attrition]]="Yes",1,0)</f>
        <v>0</v>
      </c>
      <c r="AE1123" t="str">
        <f>IF(HR_Data[[#This Row],[Age]]&lt;=25,"18-25",IF(HR_Data[[#This Row],[Age]]&lt;=35,"26-35",IF(HR_Data[[#This Row],[Age]]&lt;=45,"36-45",IF(HR_Data[[#This Row],[Age]]&lt;=55,"46-55","55+"))))</f>
        <v>36-45</v>
      </c>
      <c r="AF1123">
        <f>IF(HR_Data[[#This Row],[Age]]&lt;=25,1,IF(HR_Data[[#This Row],[Age]]&lt;=35,2,IF(HR_Data[[#This Row],[Age]]&lt;=45,3,IF(HR_Data[[#This Row],[Age]]&lt;=55,4,5))))</f>
        <v>3</v>
      </c>
      <c r="AG1123" s="1" t="str">
        <f>IF(HR_Data[[#This Row],[MonthlyIncome]]&lt;3000,"&lt;3K",IF(HR_Data[[#This Row],[MonthlyIncome]]&lt;6000,"3K-6K",IF(HR_Data[[#This Row],[MonthlyIncome]]&lt;10000,"6K-10K","10K+")))</f>
        <v>6K-10K</v>
      </c>
      <c r="AH1123" s="1">
        <f>IF(HR_Data[[#This Row],[MonthlyIncome]]&lt;3000,1,IF(HR_Data[[#This Row],[MonthlyIncome]]&lt;6000,2,IF(HR_Data[[#This Row],[MonthlyIncome]]&lt;10000,3,4)))</f>
        <v>3</v>
      </c>
      <c r="AI1123" s="1" t="str">
        <f>IF(HR_Data[[#This Row],[YearsAtCompany]]&lt;=2,"0-2 Yrs",IF(HR_Data[[#This Row],[YearsAtCompany]]&lt;=5,"3-5 Yrs",IF(HR_Data[[#This Row],[YearsAtCompany]]&lt;=10,"6-10 Yrs","10+ Yrs")))</f>
        <v>0-2 Yrs</v>
      </c>
      <c r="AJ1123" s="1">
        <f>IF(HR_Data[[#This Row],[YearsAtCompany]]&lt;=2,1,IF(HR_Data[[#This Row],[YearsAtCompany]]&lt;=5,2,IF(HR_Data[[#This Row],[YearsAtCompany]]&lt;=10,3,4)))</f>
        <v>1</v>
      </c>
      <c r="AK1123" s="1" t="str">
        <f>CHOOSE(HR_Data[[#This Row],[Education]],"Below College","College","Bachelor","Master","Doctor")</f>
        <v>Master</v>
      </c>
      <c r="AL1123" s="1" t="str">
        <f>CHOOSE(HR_Data[[#This Row],[JobSatisfaction]],"Low","Medium","High","Very High")</f>
        <v>High</v>
      </c>
      <c r="AM1123" s="1" t="str">
        <f>CHOOSE(HR_Data[[#This Row],[EnvironmentSatisfaction]],"Low","Medium","High","Very High")</f>
        <v>Medium</v>
      </c>
      <c r="AN1123" s="1" t="str">
        <f>CHOOSE(HR_Data[[#This Row],[WorkLifeBalance]],"Bad","Good","Better","Best")</f>
        <v>Better</v>
      </c>
      <c r="AO1123" s="1" t="str">
        <f>IF(HR_Data[[#This Row],[PercentSalaryHike]]&lt;=13,"11-13%",IF(HR_Data[[#This Row],[PercentSalaryHike]]&lt;=16,"14-16%",IF(HR_Data[[#This Row],[PercentSalaryHike]]&lt;=19,"17-19%","20-25%")))</f>
        <v>11-13%</v>
      </c>
      <c r="AP1123" s="1">
        <f>IF(HR_Data[[#This Row],[PercentSalaryHike]]&lt;=13,1,IF(HR_Data[[#This Row],[PercentSalaryHike]]&lt;=16,2,IF(HR_Data[[#This Row],[PercentSalaryHike]]&lt;=19,3,4)))</f>
        <v>1</v>
      </c>
      <c r="AQ1123" s="1" t="str">
        <f>IF(HR_Data[[#This Row],[DistanceFromHome]]&lt;=5,"1 to 5",IF(HR_Data[[#This Row],[DistanceFromHome]]&lt;=10,"6 to 10",IF(HR_Data[[#This Row],[DistanceFromHome]]&lt;=20,"11 to 20","21 to 29")))</f>
        <v>1 to 5</v>
      </c>
      <c r="AR1123" s="1">
        <f>IF(HR_Data[[#This Row],[DistanceFromHome]]&lt;=5,1,IF(HR_Data[[#This Row],[DistanceFromHome]]&lt;=10,2,IF(HR_Data[[#This Row],[DistanceFromHome]]&lt;=20,3,4)))</f>
        <v>1</v>
      </c>
      <c r="AS1123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123" s="1">
        <f>IF(HR_Data[[#This Row],[TotalWorkingYears]]&lt;=5,1,IF(HR_Data[[#This Row],[TotalWorkingYears]]&lt;=10,2,IF(HR_Data[[#This Row],[TotalWorkingYears]]&lt;=20,3,4)))</f>
        <v>3</v>
      </c>
    </row>
    <row r="1124" spans="1:46" x14ac:dyDescent="0.25">
      <c r="A1124">
        <v>29</v>
      </c>
      <c r="B1124" t="s">
        <v>36</v>
      </c>
      <c r="C1124" t="s">
        <v>30</v>
      </c>
      <c r="D1124" t="s">
        <v>38</v>
      </c>
      <c r="E1124">
        <v>3</v>
      </c>
      <c r="F1124">
        <v>1</v>
      </c>
      <c r="G1124" t="s">
        <v>44</v>
      </c>
      <c r="H1124">
        <v>1586</v>
      </c>
      <c r="I1124">
        <v>2</v>
      </c>
      <c r="J1124" t="s">
        <v>39</v>
      </c>
      <c r="K1124">
        <v>3</v>
      </c>
      <c r="L1124">
        <v>1</v>
      </c>
      <c r="M1124" t="s">
        <v>43</v>
      </c>
      <c r="N1124">
        <v>1</v>
      </c>
      <c r="O1124" t="s">
        <v>35</v>
      </c>
      <c r="P1124">
        <v>4723</v>
      </c>
      <c r="Q1124">
        <v>1</v>
      </c>
      <c r="R1124" t="s">
        <v>29</v>
      </c>
      <c r="S1124">
        <v>18</v>
      </c>
      <c r="T1124">
        <v>3</v>
      </c>
      <c r="U1124">
        <v>4</v>
      </c>
      <c r="V1124">
        <v>0</v>
      </c>
      <c r="W1124">
        <v>10</v>
      </c>
      <c r="X1124">
        <v>3</v>
      </c>
      <c r="Y1124">
        <v>3</v>
      </c>
      <c r="Z1124">
        <v>10</v>
      </c>
      <c r="AA1124">
        <v>9</v>
      </c>
      <c r="AB1124">
        <v>1</v>
      </c>
      <c r="AC1124">
        <v>5</v>
      </c>
      <c r="AD1124">
        <f>IF(HR_Data[[#This Row],[Attrition]]="Yes",1,0)</f>
        <v>0</v>
      </c>
      <c r="AE1124" t="str">
        <f>IF(HR_Data[[#This Row],[Age]]&lt;=25,"18-25",IF(HR_Data[[#This Row],[Age]]&lt;=35,"26-35",IF(HR_Data[[#This Row],[Age]]&lt;=45,"36-45",IF(HR_Data[[#This Row],[Age]]&lt;=55,"46-55","55+"))))</f>
        <v>26-35</v>
      </c>
      <c r="AF1124">
        <f>IF(HR_Data[[#This Row],[Age]]&lt;=25,1,IF(HR_Data[[#This Row],[Age]]&lt;=35,2,IF(HR_Data[[#This Row],[Age]]&lt;=45,3,IF(HR_Data[[#This Row],[Age]]&lt;=55,4,5))))</f>
        <v>2</v>
      </c>
      <c r="AG1124" s="1" t="str">
        <f>IF(HR_Data[[#This Row],[MonthlyIncome]]&lt;3000,"&lt;3K",IF(HR_Data[[#This Row],[MonthlyIncome]]&lt;6000,"3K-6K",IF(HR_Data[[#This Row],[MonthlyIncome]]&lt;10000,"6K-10K","10K+")))</f>
        <v>3K-6K</v>
      </c>
      <c r="AH1124" s="1">
        <f>IF(HR_Data[[#This Row],[MonthlyIncome]]&lt;3000,1,IF(HR_Data[[#This Row],[MonthlyIncome]]&lt;6000,2,IF(HR_Data[[#This Row],[MonthlyIncome]]&lt;10000,3,4)))</f>
        <v>2</v>
      </c>
      <c r="AI1124" s="1" t="str">
        <f>IF(HR_Data[[#This Row],[YearsAtCompany]]&lt;=2,"0-2 Yrs",IF(HR_Data[[#This Row],[YearsAtCompany]]&lt;=5,"3-5 Yrs",IF(HR_Data[[#This Row],[YearsAtCompany]]&lt;=10,"6-10 Yrs","10+ Yrs")))</f>
        <v>6-10 Yrs</v>
      </c>
      <c r="AJ1124" s="1">
        <f>IF(HR_Data[[#This Row],[YearsAtCompany]]&lt;=2,1,IF(HR_Data[[#This Row],[YearsAtCompany]]&lt;=5,2,IF(HR_Data[[#This Row],[YearsAtCompany]]&lt;=10,3,4)))</f>
        <v>3</v>
      </c>
      <c r="AK1124" s="1" t="str">
        <f>CHOOSE(HR_Data[[#This Row],[Education]],"Below College","College","Bachelor","Master","Doctor")</f>
        <v>Below College</v>
      </c>
      <c r="AL1124" s="1" t="str">
        <f>CHOOSE(HR_Data[[#This Row],[JobSatisfaction]],"Low","Medium","High","Very High")</f>
        <v>Low</v>
      </c>
      <c r="AM1124" s="1" t="str">
        <f>CHOOSE(HR_Data[[#This Row],[EnvironmentSatisfaction]],"Low","Medium","High","Very High")</f>
        <v>Medium</v>
      </c>
      <c r="AN1124" s="1" t="str">
        <f>CHOOSE(HR_Data[[#This Row],[WorkLifeBalance]],"Bad","Good","Better","Best")</f>
        <v>Better</v>
      </c>
      <c r="AO1124" s="1" t="str">
        <f>IF(HR_Data[[#This Row],[PercentSalaryHike]]&lt;=13,"11-13%",IF(HR_Data[[#This Row],[PercentSalaryHike]]&lt;=16,"14-16%",IF(HR_Data[[#This Row],[PercentSalaryHike]]&lt;=19,"17-19%","20-25%")))</f>
        <v>17-19%</v>
      </c>
      <c r="AP1124" s="1">
        <f>IF(HR_Data[[#This Row],[PercentSalaryHike]]&lt;=13,1,IF(HR_Data[[#This Row],[PercentSalaryHike]]&lt;=16,2,IF(HR_Data[[#This Row],[PercentSalaryHike]]&lt;=19,3,4)))</f>
        <v>3</v>
      </c>
      <c r="AQ1124" s="1" t="str">
        <f>IF(HR_Data[[#This Row],[DistanceFromHome]]&lt;=5,"1 to 5",IF(HR_Data[[#This Row],[DistanceFromHome]]&lt;=10,"6 to 10",IF(HR_Data[[#This Row],[DistanceFromHome]]&lt;=20,"11 to 20","21 to 29")))</f>
        <v>1 to 5</v>
      </c>
      <c r="AR1124" s="1">
        <f>IF(HR_Data[[#This Row],[DistanceFromHome]]&lt;=5,1,IF(HR_Data[[#This Row],[DistanceFromHome]]&lt;=10,2,IF(HR_Data[[#This Row],[DistanceFromHome]]&lt;=20,3,4)))</f>
        <v>1</v>
      </c>
      <c r="AS1124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124" s="1">
        <f>IF(HR_Data[[#This Row],[TotalWorkingYears]]&lt;=5,1,IF(HR_Data[[#This Row],[TotalWorkingYears]]&lt;=10,2,IF(HR_Data[[#This Row],[TotalWorkingYears]]&lt;=20,3,4)))</f>
        <v>2</v>
      </c>
    </row>
    <row r="1125" spans="1:46" x14ac:dyDescent="0.25">
      <c r="A1125">
        <v>35</v>
      </c>
      <c r="B1125" t="s">
        <v>36</v>
      </c>
      <c r="C1125" t="s">
        <v>30</v>
      </c>
      <c r="D1125" t="s">
        <v>38</v>
      </c>
      <c r="E1125">
        <v>10</v>
      </c>
      <c r="F1125">
        <v>4</v>
      </c>
      <c r="G1125" t="s">
        <v>44</v>
      </c>
      <c r="H1125">
        <v>1587</v>
      </c>
      <c r="I1125">
        <v>1</v>
      </c>
      <c r="J1125" t="s">
        <v>33</v>
      </c>
      <c r="K1125">
        <v>3</v>
      </c>
      <c r="L1125">
        <v>2</v>
      </c>
      <c r="M1125" t="s">
        <v>47</v>
      </c>
      <c r="N1125">
        <v>3</v>
      </c>
      <c r="O1125" t="s">
        <v>35</v>
      </c>
      <c r="P1125">
        <v>6142</v>
      </c>
      <c r="Q1125">
        <v>3</v>
      </c>
      <c r="R1125" t="s">
        <v>29</v>
      </c>
      <c r="S1125">
        <v>16</v>
      </c>
      <c r="T1125">
        <v>3</v>
      </c>
      <c r="U1125">
        <v>3</v>
      </c>
      <c r="V1125">
        <v>0</v>
      </c>
      <c r="W1125">
        <v>10</v>
      </c>
      <c r="X1125">
        <v>4</v>
      </c>
      <c r="Y1125">
        <v>3</v>
      </c>
      <c r="Z1125">
        <v>5</v>
      </c>
      <c r="AA1125">
        <v>2</v>
      </c>
      <c r="AB1125">
        <v>0</v>
      </c>
      <c r="AC1125">
        <v>4</v>
      </c>
      <c r="AD1125">
        <f>IF(HR_Data[[#This Row],[Attrition]]="Yes",1,0)</f>
        <v>0</v>
      </c>
      <c r="AE1125" t="str">
        <f>IF(HR_Data[[#This Row],[Age]]&lt;=25,"18-25",IF(HR_Data[[#This Row],[Age]]&lt;=35,"26-35",IF(HR_Data[[#This Row],[Age]]&lt;=45,"36-45",IF(HR_Data[[#This Row],[Age]]&lt;=55,"46-55","55+"))))</f>
        <v>26-35</v>
      </c>
      <c r="AF1125">
        <f>IF(HR_Data[[#This Row],[Age]]&lt;=25,1,IF(HR_Data[[#This Row],[Age]]&lt;=35,2,IF(HR_Data[[#This Row],[Age]]&lt;=45,3,IF(HR_Data[[#This Row],[Age]]&lt;=55,4,5))))</f>
        <v>2</v>
      </c>
      <c r="AG1125" s="1" t="str">
        <f>IF(HR_Data[[#This Row],[MonthlyIncome]]&lt;3000,"&lt;3K",IF(HR_Data[[#This Row],[MonthlyIncome]]&lt;6000,"3K-6K",IF(HR_Data[[#This Row],[MonthlyIncome]]&lt;10000,"6K-10K","10K+")))</f>
        <v>6K-10K</v>
      </c>
      <c r="AH1125" s="1">
        <f>IF(HR_Data[[#This Row],[MonthlyIncome]]&lt;3000,1,IF(HR_Data[[#This Row],[MonthlyIncome]]&lt;6000,2,IF(HR_Data[[#This Row],[MonthlyIncome]]&lt;10000,3,4)))</f>
        <v>3</v>
      </c>
      <c r="AI1125" s="1" t="str">
        <f>IF(HR_Data[[#This Row],[YearsAtCompany]]&lt;=2,"0-2 Yrs",IF(HR_Data[[#This Row],[YearsAtCompany]]&lt;=5,"3-5 Yrs",IF(HR_Data[[#This Row],[YearsAtCompany]]&lt;=10,"6-10 Yrs","10+ Yrs")))</f>
        <v>3-5 Yrs</v>
      </c>
      <c r="AJ1125" s="1">
        <f>IF(HR_Data[[#This Row],[YearsAtCompany]]&lt;=2,1,IF(HR_Data[[#This Row],[YearsAtCompany]]&lt;=5,2,IF(HR_Data[[#This Row],[YearsAtCompany]]&lt;=10,3,4)))</f>
        <v>2</v>
      </c>
      <c r="AK1125" s="1" t="str">
        <f>CHOOSE(HR_Data[[#This Row],[Education]],"Below College","College","Bachelor","Master","Doctor")</f>
        <v>Master</v>
      </c>
      <c r="AL1125" s="1" t="str">
        <f>CHOOSE(HR_Data[[#This Row],[JobSatisfaction]],"Low","Medium","High","Very High")</f>
        <v>High</v>
      </c>
      <c r="AM1125" s="1" t="str">
        <f>CHOOSE(HR_Data[[#This Row],[EnvironmentSatisfaction]],"Low","Medium","High","Very High")</f>
        <v>Low</v>
      </c>
      <c r="AN1125" s="1" t="str">
        <f>CHOOSE(HR_Data[[#This Row],[WorkLifeBalance]],"Bad","Good","Better","Best")</f>
        <v>Better</v>
      </c>
      <c r="AO1125" s="1" t="str">
        <f>IF(HR_Data[[#This Row],[PercentSalaryHike]]&lt;=13,"11-13%",IF(HR_Data[[#This Row],[PercentSalaryHike]]&lt;=16,"14-16%",IF(HR_Data[[#This Row],[PercentSalaryHike]]&lt;=19,"17-19%","20-25%")))</f>
        <v>14-16%</v>
      </c>
      <c r="AP1125" s="1">
        <f>IF(HR_Data[[#This Row],[PercentSalaryHike]]&lt;=13,1,IF(HR_Data[[#This Row],[PercentSalaryHike]]&lt;=16,2,IF(HR_Data[[#This Row],[PercentSalaryHike]]&lt;=19,3,4)))</f>
        <v>2</v>
      </c>
      <c r="AQ1125" s="1" t="str">
        <f>IF(HR_Data[[#This Row],[DistanceFromHome]]&lt;=5,"1 to 5",IF(HR_Data[[#This Row],[DistanceFromHome]]&lt;=10,"6 to 10",IF(HR_Data[[#This Row],[DistanceFromHome]]&lt;=20,"11 to 20","21 to 29")))</f>
        <v>6 to 10</v>
      </c>
      <c r="AR1125" s="1">
        <f>IF(HR_Data[[#This Row],[DistanceFromHome]]&lt;=5,1,IF(HR_Data[[#This Row],[DistanceFromHome]]&lt;=10,2,IF(HR_Data[[#This Row],[DistanceFromHome]]&lt;=20,3,4)))</f>
        <v>2</v>
      </c>
      <c r="AS1125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125" s="1">
        <f>IF(HR_Data[[#This Row],[TotalWorkingYears]]&lt;=5,1,IF(HR_Data[[#This Row],[TotalWorkingYears]]&lt;=10,2,IF(HR_Data[[#This Row],[TotalWorkingYears]]&lt;=20,3,4)))</f>
        <v>2</v>
      </c>
    </row>
    <row r="1126" spans="1:46" x14ac:dyDescent="0.25">
      <c r="A1126">
        <v>39</v>
      </c>
      <c r="B1126" t="s">
        <v>36</v>
      </c>
      <c r="C1126" t="s">
        <v>30</v>
      </c>
      <c r="D1126" t="s">
        <v>31</v>
      </c>
      <c r="E1126">
        <v>6</v>
      </c>
      <c r="F1126">
        <v>3</v>
      </c>
      <c r="G1126" t="s">
        <v>44</v>
      </c>
      <c r="H1126">
        <v>1588</v>
      </c>
      <c r="I1126">
        <v>4</v>
      </c>
      <c r="J1126" t="s">
        <v>39</v>
      </c>
      <c r="K1126">
        <v>4</v>
      </c>
      <c r="L1126">
        <v>3</v>
      </c>
      <c r="M1126" t="s">
        <v>34</v>
      </c>
      <c r="N1126">
        <v>3</v>
      </c>
      <c r="O1126" t="s">
        <v>41</v>
      </c>
      <c r="P1126">
        <v>8237</v>
      </c>
      <c r="Q1126">
        <v>2</v>
      </c>
      <c r="R1126" t="s">
        <v>36</v>
      </c>
      <c r="S1126">
        <v>11</v>
      </c>
      <c r="T1126">
        <v>3</v>
      </c>
      <c r="U1126">
        <v>1</v>
      </c>
      <c r="V1126">
        <v>1</v>
      </c>
      <c r="W1126">
        <v>11</v>
      </c>
      <c r="X1126">
        <v>3</v>
      </c>
      <c r="Y1126">
        <v>3</v>
      </c>
      <c r="Z1126">
        <v>7</v>
      </c>
      <c r="AA1126">
        <v>6</v>
      </c>
      <c r="AB1126">
        <v>7</v>
      </c>
      <c r="AC1126">
        <v>6</v>
      </c>
      <c r="AD1126">
        <f>IF(HR_Data[[#This Row],[Attrition]]="Yes",1,0)</f>
        <v>0</v>
      </c>
      <c r="AE1126" t="str">
        <f>IF(HR_Data[[#This Row],[Age]]&lt;=25,"18-25",IF(HR_Data[[#This Row],[Age]]&lt;=35,"26-35",IF(HR_Data[[#This Row],[Age]]&lt;=45,"36-45",IF(HR_Data[[#This Row],[Age]]&lt;=55,"46-55","55+"))))</f>
        <v>36-45</v>
      </c>
      <c r="AF1126">
        <f>IF(HR_Data[[#This Row],[Age]]&lt;=25,1,IF(HR_Data[[#This Row],[Age]]&lt;=35,2,IF(HR_Data[[#This Row],[Age]]&lt;=45,3,IF(HR_Data[[#This Row],[Age]]&lt;=55,4,5))))</f>
        <v>3</v>
      </c>
      <c r="AG1126" s="1" t="str">
        <f>IF(HR_Data[[#This Row],[MonthlyIncome]]&lt;3000,"&lt;3K",IF(HR_Data[[#This Row],[MonthlyIncome]]&lt;6000,"3K-6K",IF(HR_Data[[#This Row],[MonthlyIncome]]&lt;10000,"6K-10K","10K+")))</f>
        <v>6K-10K</v>
      </c>
      <c r="AH1126" s="1">
        <f>IF(HR_Data[[#This Row],[MonthlyIncome]]&lt;3000,1,IF(HR_Data[[#This Row],[MonthlyIncome]]&lt;6000,2,IF(HR_Data[[#This Row],[MonthlyIncome]]&lt;10000,3,4)))</f>
        <v>3</v>
      </c>
      <c r="AI1126" s="1" t="str">
        <f>IF(HR_Data[[#This Row],[YearsAtCompany]]&lt;=2,"0-2 Yrs",IF(HR_Data[[#This Row],[YearsAtCompany]]&lt;=5,"3-5 Yrs",IF(HR_Data[[#This Row],[YearsAtCompany]]&lt;=10,"6-10 Yrs","10+ Yrs")))</f>
        <v>6-10 Yrs</v>
      </c>
      <c r="AJ1126" s="1">
        <f>IF(HR_Data[[#This Row],[YearsAtCompany]]&lt;=2,1,IF(HR_Data[[#This Row],[YearsAtCompany]]&lt;=5,2,IF(HR_Data[[#This Row],[YearsAtCompany]]&lt;=10,3,4)))</f>
        <v>3</v>
      </c>
      <c r="AK1126" s="1" t="str">
        <f>CHOOSE(HR_Data[[#This Row],[Education]],"Below College","College","Bachelor","Master","Doctor")</f>
        <v>Bachelor</v>
      </c>
      <c r="AL1126" s="1" t="str">
        <f>CHOOSE(HR_Data[[#This Row],[JobSatisfaction]],"Low","Medium","High","Very High")</f>
        <v>High</v>
      </c>
      <c r="AM1126" s="1" t="str">
        <f>CHOOSE(HR_Data[[#This Row],[EnvironmentSatisfaction]],"Low","Medium","High","Very High")</f>
        <v>Very High</v>
      </c>
      <c r="AN1126" s="1" t="str">
        <f>CHOOSE(HR_Data[[#This Row],[WorkLifeBalance]],"Bad","Good","Better","Best")</f>
        <v>Better</v>
      </c>
      <c r="AO1126" s="1" t="str">
        <f>IF(HR_Data[[#This Row],[PercentSalaryHike]]&lt;=13,"11-13%",IF(HR_Data[[#This Row],[PercentSalaryHike]]&lt;=16,"14-16%",IF(HR_Data[[#This Row],[PercentSalaryHike]]&lt;=19,"17-19%","20-25%")))</f>
        <v>11-13%</v>
      </c>
      <c r="AP1126" s="1">
        <f>IF(HR_Data[[#This Row],[PercentSalaryHike]]&lt;=13,1,IF(HR_Data[[#This Row],[PercentSalaryHike]]&lt;=16,2,IF(HR_Data[[#This Row],[PercentSalaryHike]]&lt;=19,3,4)))</f>
        <v>1</v>
      </c>
      <c r="AQ1126" s="1" t="str">
        <f>IF(HR_Data[[#This Row],[DistanceFromHome]]&lt;=5,"1 to 5",IF(HR_Data[[#This Row],[DistanceFromHome]]&lt;=10,"6 to 10",IF(HR_Data[[#This Row],[DistanceFromHome]]&lt;=20,"11 to 20","21 to 29")))</f>
        <v>6 to 10</v>
      </c>
      <c r="AR1126" s="1">
        <f>IF(HR_Data[[#This Row],[DistanceFromHome]]&lt;=5,1,IF(HR_Data[[#This Row],[DistanceFromHome]]&lt;=10,2,IF(HR_Data[[#This Row],[DistanceFromHome]]&lt;=20,3,4)))</f>
        <v>2</v>
      </c>
      <c r="AS1126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126" s="1">
        <f>IF(HR_Data[[#This Row],[TotalWorkingYears]]&lt;=5,1,IF(HR_Data[[#This Row],[TotalWorkingYears]]&lt;=10,2,IF(HR_Data[[#This Row],[TotalWorkingYears]]&lt;=20,3,4)))</f>
        <v>3</v>
      </c>
    </row>
    <row r="1127" spans="1:46" x14ac:dyDescent="0.25">
      <c r="A1127">
        <v>29</v>
      </c>
      <c r="B1127" t="s">
        <v>36</v>
      </c>
      <c r="C1127" t="s">
        <v>37</v>
      </c>
      <c r="D1127" t="s">
        <v>38</v>
      </c>
      <c r="E1127">
        <v>2</v>
      </c>
      <c r="F1127">
        <v>1</v>
      </c>
      <c r="G1127" t="s">
        <v>32</v>
      </c>
      <c r="H1127">
        <v>1590</v>
      </c>
      <c r="I1127">
        <v>1</v>
      </c>
      <c r="J1127" t="s">
        <v>39</v>
      </c>
      <c r="K1127">
        <v>3</v>
      </c>
      <c r="L1127">
        <v>2</v>
      </c>
      <c r="M1127" t="s">
        <v>47</v>
      </c>
      <c r="N1127">
        <v>4</v>
      </c>
      <c r="O1127" t="s">
        <v>45</v>
      </c>
      <c r="P1127">
        <v>8853</v>
      </c>
      <c r="Q1127">
        <v>1</v>
      </c>
      <c r="R1127" t="s">
        <v>36</v>
      </c>
      <c r="S1127">
        <v>19</v>
      </c>
      <c r="T1127">
        <v>3</v>
      </c>
      <c r="U1127">
        <v>4</v>
      </c>
      <c r="V1127">
        <v>1</v>
      </c>
      <c r="W1127">
        <v>6</v>
      </c>
      <c r="X1127">
        <v>0</v>
      </c>
      <c r="Y1127">
        <v>4</v>
      </c>
      <c r="Z1127">
        <v>6</v>
      </c>
      <c r="AA1127">
        <v>4</v>
      </c>
      <c r="AB1127">
        <v>1</v>
      </c>
      <c r="AC1127">
        <v>3</v>
      </c>
      <c r="AD1127">
        <f>IF(HR_Data[[#This Row],[Attrition]]="Yes",1,0)</f>
        <v>0</v>
      </c>
      <c r="AE1127" t="str">
        <f>IF(HR_Data[[#This Row],[Age]]&lt;=25,"18-25",IF(HR_Data[[#This Row],[Age]]&lt;=35,"26-35",IF(HR_Data[[#This Row],[Age]]&lt;=45,"36-45",IF(HR_Data[[#This Row],[Age]]&lt;=55,"46-55","55+"))))</f>
        <v>26-35</v>
      </c>
      <c r="AF1127">
        <f>IF(HR_Data[[#This Row],[Age]]&lt;=25,1,IF(HR_Data[[#This Row],[Age]]&lt;=35,2,IF(HR_Data[[#This Row],[Age]]&lt;=45,3,IF(HR_Data[[#This Row],[Age]]&lt;=55,4,5))))</f>
        <v>2</v>
      </c>
      <c r="AG1127" s="1" t="str">
        <f>IF(HR_Data[[#This Row],[MonthlyIncome]]&lt;3000,"&lt;3K",IF(HR_Data[[#This Row],[MonthlyIncome]]&lt;6000,"3K-6K",IF(HR_Data[[#This Row],[MonthlyIncome]]&lt;10000,"6K-10K","10K+")))</f>
        <v>6K-10K</v>
      </c>
      <c r="AH1127" s="1">
        <f>IF(HR_Data[[#This Row],[MonthlyIncome]]&lt;3000,1,IF(HR_Data[[#This Row],[MonthlyIncome]]&lt;6000,2,IF(HR_Data[[#This Row],[MonthlyIncome]]&lt;10000,3,4)))</f>
        <v>3</v>
      </c>
      <c r="AI1127" s="1" t="str">
        <f>IF(HR_Data[[#This Row],[YearsAtCompany]]&lt;=2,"0-2 Yrs",IF(HR_Data[[#This Row],[YearsAtCompany]]&lt;=5,"3-5 Yrs",IF(HR_Data[[#This Row],[YearsAtCompany]]&lt;=10,"6-10 Yrs","10+ Yrs")))</f>
        <v>6-10 Yrs</v>
      </c>
      <c r="AJ1127" s="1">
        <f>IF(HR_Data[[#This Row],[YearsAtCompany]]&lt;=2,1,IF(HR_Data[[#This Row],[YearsAtCompany]]&lt;=5,2,IF(HR_Data[[#This Row],[YearsAtCompany]]&lt;=10,3,4)))</f>
        <v>3</v>
      </c>
      <c r="AK1127" s="1" t="str">
        <f>CHOOSE(HR_Data[[#This Row],[Education]],"Below College","College","Bachelor","Master","Doctor")</f>
        <v>Below College</v>
      </c>
      <c r="AL1127" s="1" t="str">
        <f>CHOOSE(HR_Data[[#This Row],[JobSatisfaction]],"Low","Medium","High","Very High")</f>
        <v>Very High</v>
      </c>
      <c r="AM1127" s="1" t="str">
        <f>CHOOSE(HR_Data[[#This Row],[EnvironmentSatisfaction]],"Low","Medium","High","Very High")</f>
        <v>Low</v>
      </c>
      <c r="AN1127" s="1" t="str">
        <f>CHOOSE(HR_Data[[#This Row],[WorkLifeBalance]],"Bad","Good","Better","Best")</f>
        <v>Best</v>
      </c>
      <c r="AO1127" s="1" t="str">
        <f>IF(HR_Data[[#This Row],[PercentSalaryHike]]&lt;=13,"11-13%",IF(HR_Data[[#This Row],[PercentSalaryHike]]&lt;=16,"14-16%",IF(HR_Data[[#This Row],[PercentSalaryHike]]&lt;=19,"17-19%","20-25%")))</f>
        <v>17-19%</v>
      </c>
      <c r="AP1127" s="1">
        <f>IF(HR_Data[[#This Row],[PercentSalaryHike]]&lt;=13,1,IF(HR_Data[[#This Row],[PercentSalaryHike]]&lt;=16,2,IF(HR_Data[[#This Row],[PercentSalaryHike]]&lt;=19,3,4)))</f>
        <v>3</v>
      </c>
      <c r="AQ1127" s="1" t="str">
        <f>IF(HR_Data[[#This Row],[DistanceFromHome]]&lt;=5,"1 to 5",IF(HR_Data[[#This Row],[DistanceFromHome]]&lt;=10,"6 to 10",IF(HR_Data[[#This Row],[DistanceFromHome]]&lt;=20,"11 to 20","21 to 29")))</f>
        <v>1 to 5</v>
      </c>
      <c r="AR1127" s="1">
        <f>IF(HR_Data[[#This Row],[DistanceFromHome]]&lt;=5,1,IF(HR_Data[[#This Row],[DistanceFromHome]]&lt;=10,2,IF(HR_Data[[#This Row],[DistanceFromHome]]&lt;=20,3,4)))</f>
        <v>1</v>
      </c>
      <c r="AS1127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127" s="1">
        <f>IF(HR_Data[[#This Row],[TotalWorkingYears]]&lt;=5,1,IF(HR_Data[[#This Row],[TotalWorkingYears]]&lt;=10,2,IF(HR_Data[[#This Row],[TotalWorkingYears]]&lt;=20,3,4)))</f>
        <v>2</v>
      </c>
    </row>
    <row r="1128" spans="1:46" x14ac:dyDescent="0.25">
      <c r="A1128">
        <v>50</v>
      </c>
      <c r="B1128" t="s">
        <v>36</v>
      </c>
      <c r="C1128" t="s">
        <v>30</v>
      </c>
      <c r="D1128" t="s">
        <v>31</v>
      </c>
      <c r="E1128">
        <v>9</v>
      </c>
      <c r="F1128">
        <v>3</v>
      </c>
      <c r="G1128" t="s">
        <v>52</v>
      </c>
      <c r="H1128">
        <v>1591</v>
      </c>
      <c r="I1128">
        <v>3</v>
      </c>
      <c r="J1128" t="s">
        <v>39</v>
      </c>
      <c r="K1128">
        <v>3</v>
      </c>
      <c r="L1128">
        <v>5</v>
      </c>
      <c r="M1128" t="s">
        <v>49</v>
      </c>
      <c r="N1128">
        <v>3</v>
      </c>
      <c r="O1128" t="s">
        <v>41</v>
      </c>
      <c r="P1128">
        <v>19331</v>
      </c>
      <c r="Q1128">
        <v>4</v>
      </c>
      <c r="R1128" t="s">
        <v>29</v>
      </c>
      <c r="S1128">
        <v>16</v>
      </c>
      <c r="T1128">
        <v>3</v>
      </c>
      <c r="U1128">
        <v>3</v>
      </c>
      <c r="V1128">
        <v>1</v>
      </c>
      <c r="W1128">
        <v>27</v>
      </c>
      <c r="X1128">
        <v>2</v>
      </c>
      <c r="Y1128">
        <v>3</v>
      </c>
      <c r="Z1128">
        <v>1</v>
      </c>
      <c r="AA1128">
        <v>0</v>
      </c>
      <c r="AB1128">
        <v>0</v>
      </c>
      <c r="AC1128">
        <v>0</v>
      </c>
      <c r="AD1128">
        <f>IF(HR_Data[[#This Row],[Attrition]]="Yes",1,0)</f>
        <v>0</v>
      </c>
      <c r="AE1128" t="str">
        <f>IF(HR_Data[[#This Row],[Age]]&lt;=25,"18-25",IF(HR_Data[[#This Row],[Age]]&lt;=35,"26-35",IF(HR_Data[[#This Row],[Age]]&lt;=45,"36-45",IF(HR_Data[[#This Row],[Age]]&lt;=55,"46-55","55+"))))</f>
        <v>46-55</v>
      </c>
      <c r="AF1128">
        <f>IF(HR_Data[[#This Row],[Age]]&lt;=25,1,IF(HR_Data[[#This Row],[Age]]&lt;=35,2,IF(HR_Data[[#This Row],[Age]]&lt;=45,3,IF(HR_Data[[#This Row],[Age]]&lt;=55,4,5))))</f>
        <v>4</v>
      </c>
      <c r="AG1128" s="1" t="str">
        <f>IF(HR_Data[[#This Row],[MonthlyIncome]]&lt;3000,"&lt;3K",IF(HR_Data[[#This Row],[MonthlyIncome]]&lt;6000,"3K-6K",IF(HR_Data[[#This Row],[MonthlyIncome]]&lt;10000,"6K-10K","10K+")))</f>
        <v>10K+</v>
      </c>
      <c r="AH1128" s="1">
        <f>IF(HR_Data[[#This Row],[MonthlyIncome]]&lt;3000,1,IF(HR_Data[[#This Row],[MonthlyIncome]]&lt;6000,2,IF(HR_Data[[#This Row],[MonthlyIncome]]&lt;10000,3,4)))</f>
        <v>4</v>
      </c>
      <c r="AI1128" s="1" t="str">
        <f>IF(HR_Data[[#This Row],[YearsAtCompany]]&lt;=2,"0-2 Yrs",IF(HR_Data[[#This Row],[YearsAtCompany]]&lt;=5,"3-5 Yrs",IF(HR_Data[[#This Row],[YearsAtCompany]]&lt;=10,"6-10 Yrs","10+ Yrs")))</f>
        <v>0-2 Yrs</v>
      </c>
      <c r="AJ1128" s="1">
        <f>IF(HR_Data[[#This Row],[YearsAtCompany]]&lt;=2,1,IF(HR_Data[[#This Row],[YearsAtCompany]]&lt;=5,2,IF(HR_Data[[#This Row],[YearsAtCompany]]&lt;=10,3,4)))</f>
        <v>1</v>
      </c>
      <c r="AK1128" s="1" t="str">
        <f>CHOOSE(HR_Data[[#This Row],[Education]],"Below College","College","Bachelor","Master","Doctor")</f>
        <v>Bachelor</v>
      </c>
      <c r="AL1128" s="1" t="str">
        <f>CHOOSE(HR_Data[[#This Row],[JobSatisfaction]],"Low","Medium","High","Very High")</f>
        <v>High</v>
      </c>
      <c r="AM1128" s="1" t="str">
        <f>CHOOSE(HR_Data[[#This Row],[EnvironmentSatisfaction]],"Low","Medium","High","Very High")</f>
        <v>High</v>
      </c>
      <c r="AN1128" s="1" t="str">
        <f>CHOOSE(HR_Data[[#This Row],[WorkLifeBalance]],"Bad","Good","Better","Best")</f>
        <v>Better</v>
      </c>
      <c r="AO1128" s="1" t="str">
        <f>IF(HR_Data[[#This Row],[PercentSalaryHike]]&lt;=13,"11-13%",IF(HR_Data[[#This Row],[PercentSalaryHike]]&lt;=16,"14-16%",IF(HR_Data[[#This Row],[PercentSalaryHike]]&lt;=19,"17-19%","20-25%")))</f>
        <v>14-16%</v>
      </c>
      <c r="AP1128" s="1">
        <f>IF(HR_Data[[#This Row],[PercentSalaryHike]]&lt;=13,1,IF(HR_Data[[#This Row],[PercentSalaryHike]]&lt;=16,2,IF(HR_Data[[#This Row],[PercentSalaryHike]]&lt;=19,3,4)))</f>
        <v>2</v>
      </c>
      <c r="AQ1128" s="1" t="str">
        <f>IF(HR_Data[[#This Row],[DistanceFromHome]]&lt;=5,"1 to 5",IF(HR_Data[[#This Row],[DistanceFromHome]]&lt;=10,"6 to 10",IF(HR_Data[[#This Row],[DistanceFromHome]]&lt;=20,"11 to 20","21 to 29")))</f>
        <v>6 to 10</v>
      </c>
      <c r="AR1128" s="1">
        <f>IF(HR_Data[[#This Row],[DistanceFromHome]]&lt;=5,1,IF(HR_Data[[#This Row],[DistanceFromHome]]&lt;=10,2,IF(HR_Data[[#This Row],[DistanceFromHome]]&lt;=20,3,4)))</f>
        <v>2</v>
      </c>
      <c r="AS1128" s="1" t="str">
        <f>IF(HR_Data[[#This Row],[TotalWorkingYears]]&lt;=5,"0-5 Yrs",IF(HR_Data[[#This Row],[TotalWorkingYears]]&lt;=10,"6-10 Yrs",IF(HR_Data[[#This Row],[TotalWorkingYears]]&lt;=20,"11-20 Yrs","20+ Yrs")))</f>
        <v>20+ Yrs</v>
      </c>
      <c r="AT1128" s="1">
        <f>IF(HR_Data[[#This Row],[TotalWorkingYears]]&lt;=5,1,IF(HR_Data[[#This Row],[TotalWorkingYears]]&lt;=10,2,IF(HR_Data[[#This Row],[TotalWorkingYears]]&lt;=20,3,4)))</f>
        <v>4</v>
      </c>
    </row>
    <row r="1129" spans="1:46" x14ac:dyDescent="0.25">
      <c r="A1129">
        <v>23</v>
      </c>
      <c r="B1129" t="s">
        <v>36</v>
      </c>
      <c r="C1129" t="s">
        <v>30</v>
      </c>
      <c r="D1129" t="s">
        <v>38</v>
      </c>
      <c r="E1129">
        <v>10</v>
      </c>
      <c r="F1129">
        <v>3</v>
      </c>
      <c r="G1129" t="s">
        <v>53</v>
      </c>
      <c r="H1129">
        <v>1592</v>
      </c>
      <c r="I1129">
        <v>4</v>
      </c>
      <c r="J1129" t="s">
        <v>39</v>
      </c>
      <c r="K1129">
        <v>4</v>
      </c>
      <c r="L1129">
        <v>1</v>
      </c>
      <c r="M1129" t="s">
        <v>40</v>
      </c>
      <c r="N1129">
        <v>3</v>
      </c>
      <c r="O1129" t="s">
        <v>41</v>
      </c>
      <c r="P1129">
        <v>2073</v>
      </c>
      <c r="Q1129">
        <v>2</v>
      </c>
      <c r="R1129" t="s">
        <v>36</v>
      </c>
      <c r="S1129">
        <v>16</v>
      </c>
      <c r="T1129">
        <v>3</v>
      </c>
      <c r="U1129">
        <v>4</v>
      </c>
      <c r="V1129">
        <v>1</v>
      </c>
      <c r="W1129">
        <v>4</v>
      </c>
      <c r="X1129">
        <v>2</v>
      </c>
      <c r="Y1129">
        <v>3</v>
      </c>
      <c r="Z1129">
        <v>2</v>
      </c>
      <c r="AA1129">
        <v>2</v>
      </c>
      <c r="AB1129">
        <v>2</v>
      </c>
      <c r="AC1129">
        <v>2</v>
      </c>
      <c r="AD1129">
        <f>IF(HR_Data[[#This Row],[Attrition]]="Yes",1,0)</f>
        <v>0</v>
      </c>
      <c r="AE1129" t="str">
        <f>IF(HR_Data[[#This Row],[Age]]&lt;=25,"18-25",IF(HR_Data[[#This Row],[Age]]&lt;=35,"26-35",IF(HR_Data[[#This Row],[Age]]&lt;=45,"36-45",IF(HR_Data[[#This Row],[Age]]&lt;=55,"46-55","55+"))))</f>
        <v>18-25</v>
      </c>
      <c r="AF1129">
        <f>IF(HR_Data[[#This Row],[Age]]&lt;=25,1,IF(HR_Data[[#This Row],[Age]]&lt;=35,2,IF(HR_Data[[#This Row],[Age]]&lt;=45,3,IF(HR_Data[[#This Row],[Age]]&lt;=55,4,5))))</f>
        <v>1</v>
      </c>
      <c r="AG1129" s="1" t="str">
        <f>IF(HR_Data[[#This Row],[MonthlyIncome]]&lt;3000,"&lt;3K",IF(HR_Data[[#This Row],[MonthlyIncome]]&lt;6000,"3K-6K",IF(HR_Data[[#This Row],[MonthlyIncome]]&lt;10000,"6K-10K","10K+")))</f>
        <v>&lt;3K</v>
      </c>
      <c r="AH1129" s="1">
        <f>IF(HR_Data[[#This Row],[MonthlyIncome]]&lt;3000,1,IF(HR_Data[[#This Row],[MonthlyIncome]]&lt;6000,2,IF(HR_Data[[#This Row],[MonthlyIncome]]&lt;10000,3,4)))</f>
        <v>1</v>
      </c>
      <c r="AI1129" s="1" t="str">
        <f>IF(HR_Data[[#This Row],[YearsAtCompany]]&lt;=2,"0-2 Yrs",IF(HR_Data[[#This Row],[YearsAtCompany]]&lt;=5,"3-5 Yrs",IF(HR_Data[[#This Row],[YearsAtCompany]]&lt;=10,"6-10 Yrs","10+ Yrs")))</f>
        <v>0-2 Yrs</v>
      </c>
      <c r="AJ1129" s="1">
        <f>IF(HR_Data[[#This Row],[YearsAtCompany]]&lt;=2,1,IF(HR_Data[[#This Row],[YearsAtCompany]]&lt;=5,2,IF(HR_Data[[#This Row],[YearsAtCompany]]&lt;=10,3,4)))</f>
        <v>1</v>
      </c>
      <c r="AK1129" s="1" t="str">
        <f>CHOOSE(HR_Data[[#This Row],[Education]],"Below College","College","Bachelor","Master","Doctor")</f>
        <v>Bachelor</v>
      </c>
      <c r="AL1129" s="1" t="str">
        <f>CHOOSE(HR_Data[[#This Row],[JobSatisfaction]],"Low","Medium","High","Very High")</f>
        <v>High</v>
      </c>
      <c r="AM1129" s="1" t="str">
        <f>CHOOSE(HR_Data[[#This Row],[EnvironmentSatisfaction]],"Low","Medium","High","Very High")</f>
        <v>Very High</v>
      </c>
      <c r="AN1129" s="1" t="str">
        <f>CHOOSE(HR_Data[[#This Row],[WorkLifeBalance]],"Bad","Good","Better","Best")</f>
        <v>Better</v>
      </c>
      <c r="AO1129" s="1" t="str">
        <f>IF(HR_Data[[#This Row],[PercentSalaryHike]]&lt;=13,"11-13%",IF(HR_Data[[#This Row],[PercentSalaryHike]]&lt;=16,"14-16%",IF(HR_Data[[#This Row],[PercentSalaryHike]]&lt;=19,"17-19%","20-25%")))</f>
        <v>14-16%</v>
      </c>
      <c r="AP1129" s="1">
        <f>IF(HR_Data[[#This Row],[PercentSalaryHike]]&lt;=13,1,IF(HR_Data[[#This Row],[PercentSalaryHike]]&lt;=16,2,IF(HR_Data[[#This Row],[PercentSalaryHike]]&lt;=19,3,4)))</f>
        <v>2</v>
      </c>
      <c r="AQ1129" s="1" t="str">
        <f>IF(HR_Data[[#This Row],[DistanceFromHome]]&lt;=5,"1 to 5",IF(HR_Data[[#This Row],[DistanceFromHome]]&lt;=10,"6 to 10",IF(HR_Data[[#This Row],[DistanceFromHome]]&lt;=20,"11 to 20","21 to 29")))</f>
        <v>6 to 10</v>
      </c>
      <c r="AR1129" s="1">
        <f>IF(HR_Data[[#This Row],[DistanceFromHome]]&lt;=5,1,IF(HR_Data[[#This Row],[DistanceFromHome]]&lt;=10,2,IF(HR_Data[[#This Row],[DistanceFromHome]]&lt;=20,3,4)))</f>
        <v>2</v>
      </c>
      <c r="AS1129" s="1" t="str">
        <f>IF(HR_Data[[#This Row],[TotalWorkingYears]]&lt;=5,"0-5 Yrs",IF(HR_Data[[#This Row],[TotalWorkingYears]]&lt;=10,"6-10 Yrs",IF(HR_Data[[#This Row],[TotalWorkingYears]]&lt;=20,"11-20 Yrs","20+ Yrs")))</f>
        <v>0-5 Yrs</v>
      </c>
      <c r="AT1129" s="1">
        <f>IF(HR_Data[[#This Row],[TotalWorkingYears]]&lt;=5,1,IF(HR_Data[[#This Row],[TotalWorkingYears]]&lt;=10,2,IF(HR_Data[[#This Row],[TotalWorkingYears]]&lt;=20,3,4)))</f>
        <v>1</v>
      </c>
    </row>
    <row r="1130" spans="1:46" x14ac:dyDescent="0.25">
      <c r="A1130">
        <v>36</v>
      </c>
      <c r="B1130" t="s">
        <v>36</v>
      </c>
      <c r="C1130" t="s">
        <v>37</v>
      </c>
      <c r="D1130" t="s">
        <v>38</v>
      </c>
      <c r="E1130">
        <v>6</v>
      </c>
      <c r="F1130">
        <v>4</v>
      </c>
      <c r="G1130" t="s">
        <v>32</v>
      </c>
      <c r="H1130">
        <v>1594</v>
      </c>
      <c r="I1130">
        <v>1</v>
      </c>
      <c r="J1130" t="s">
        <v>39</v>
      </c>
      <c r="K1130">
        <v>4</v>
      </c>
      <c r="L1130">
        <v>2</v>
      </c>
      <c r="M1130" t="s">
        <v>43</v>
      </c>
      <c r="N1130">
        <v>1</v>
      </c>
      <c r="O1130" t="s">
        <v>41</v>
      </c>
      <c r="P1130">
        <v>5562</v>
      </c>
      <c r="Q1130">
        <v>3</v>
      </c>
      <c r="R1130" t="s">
        <v>29</v>
      </c>
      <c r="S1130">
        <v>13</v>
      </c>
      <c r="T1130">
        <v>3</v>
      </c>
      <c r="U1130">
        <v>4</v>
      </c>
      <c r="V1130">
        <v>1</v>
      </c>
      <c r="W1130">
        <v>9</v>
      </c>
      <c r="X1130">
        <v>3</v>
      </c>
      <c r="Y1130">
        <v>3</v>
      </c>
      <c r="Z1130">
        <v>3</v>
      </c>
      <c r="AA1130">
        <v>2</v>
      </c>
      <c r="AB1130">
        <v>0</v>
      </c>
      <c r="AC1130">
        <v>2</v>
      </c>
      <c r="AD1130">
        <f>IF(HR_Data[[#This Row],[Attrition]]="Yes",1,0)</f>
        <v>0</v>
      </c>
      <c r="AE1130" t="str">
        <f>IF(HR_Data[[#This Row],[Age]]&lt;=25,"18-25",IF(HR_Data[[#This Row],[Age]]&lt;=35,"26-35",IF(HR_Data[[#This Row],[Age]]&lt;=45,"36-45",IF(HR_Data[[#This Row],[Age]]&lt;=55,"46-55","55+"))))</f>
        <v>36-45</v>
      </c>
      <c r="AF1130">
        <f>IF(HR_Data[[#This Row],[Age]]&lt;=25,1,IF(HR_Data[[#This Row],[Age]]&lt;=35,2,IF(HR_Data[[#This Row],[Age]]&lt;=45,3,IF(HR_Data[[#This Row],[Age]]&lt;=55,4,5))))</f>
        <v>3</v>
      </c>
      <c r="AG1130" s="1" t="str">
        <f>IF(HR_Data[[#This Row],[MonthlyIncome]]&lt;3000,"&lt;3K",IF(HR_Data[[#This Row],[MonthlyIncome]]&lt;6000,"3K-6K",IF(HR_Data[[#This Row],[MonthlyIncome]]&lt;10000,"6K-10K","10K+")))</f>
        <v>3K-6K</v>
      </c>
      <c r="AH1130" s="1">
        <f>IF(HR_Data[[#This Row],[MonthlyIncome]]&lt;3000,1,IF(HR_Data[[#This Row],[MonthlyIncome]]&lt;6000,2,IF(HR_Data[[#This Row],[MonthlyIncome]]&lt;10000,3,4)))</f>
        <v>2</v>
      </c>
      <c r="AI1130" s="1" t="str">
        <f>IF(HR_Data[[#This Row],[YearsAtCompany]]&lt;=2,"0-2 Yrs",IF(HR_Data[[#This Row],[YearsAtCompany]]&lt;=5,"3-5 Yrs",IF(HR_Data[[#This Row],[YearsAtCompany]]&lt;=10,"6-10 Yrs","10+ Yrs")))</f>
        <v>3-5 Yrs</v>
      </c>
      <c r="AJ1130" s="1">
        <f>IF(HR_Data[[#This Row],[YearsAtCompany]]&lt;=2,1,IF(HR_Data[[#This Row],[YearsAtCompany]]&lt;=5,2,IF(HR_Data[[#This Row],[YearsAtCompany]]&lt;=10,3,4)))</f>
        <v>2</v>
      </c>
      <c r="AK1130" s="1" t="str">
        <f>CHOOSE(HR_Data[[#This Row],[Education]],"Below College","College","Bachelor","Master","Doctor")</f>
        <v>Master</v>
      </c>
      <c r="AL1130" s="1" t="str">
        <f>CHOOSE(HR_Data[[#This Row],[JobSatisfaction]],"Low","Medium","High","Very High")</f>
        <v>Low</v>
      </c>
      <c r="AM1130" s="1" t="str">
        <f>CHOOSE(HR_Data[[#This Row],[EnvironmentSatisfaction]],"Low","Medium","High","Very High")</f>
        <v>Low</v>
      </c>
      <c r="AN1130" s="1" t="str">
        <f>CHOOSE(HR_Data[[#This Row],[WorkLifeBalance]],"Bad","Good","Better","Best")</f>
        <v>Better</v>
      </c>
      <c r="AO1130" s="1" t="str">
        <f>IF(HR_Data[[#This Row],[PercentSalaryHike]]&lt;=13,"11-13%",IF(HR_Data[[#This Row],[PercentSalaryHike]]&lt;=16,"14-16%",IF(HR_Data[[#This Row],[PercentSalaryHike]]&lt;=19,"17-19%","20-25%")))</f>
        <v>11-13%</v>
      </c>
      <c r="AP1130" s="1">
        <f>IF(HR_Data[[#This Row],[PercentSalaryHike]]&lt;=13,1,IF(HR_Data[[#This Row],[PercentSalaryHike]]&lt;=16,2,IF(HR_Data[[#This Row],[PercentSalaryHike]]&lt;=19,3,4)))</f>
        <v>1</v>
      </c>
      <c r="AQ1130" s="1" t="str">
        <f>IF(HR_Data[[#This Row],[DistanceFromHome]]&lt;=5,"1 to 5",IF(HR_Data[[#This Row],[DistanceFromHome]]&lt;=10,"6 to 10",IF(HR_Data[[#This Row],[DistanceFromHome]]&lt;=20,"11 to 20","21 to 29")))</f>
        <v>6 to 10</v>
      </c>
      <c r="AR1130" s="1">
        <f>IF(HR_Data[[#This Row],[DistanceFromHome]]&lt;=5,1,IF(HR_Data[[#This Row],[DistanceFromHome]]&lt;=10,2,IF(HR_Data[[#This Row],[DistanceFromHome]]&lt;=20,3,4)))</f>
        <v>2</v>
      </c>
      <c r="AS1130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130" s="1">
        <f>IF(HR_Data[[#This Row],[TotalWorkingYears]]&lt;=5,1,IF(HR_Data[[#This Row],[TotalWorkingYears]]&lt;=10,2,IF(HR_Data[[#This Row],[TotalWorkingYears]]&lt;=20,3,4)))</f>
        <v>2</v>
      </c>
    </row>
    <row r="1131" spans="1:46" x14ac:dyDescent="0.25">
      <c r="A1131">
        <v>42</v>
      </c>
      <c r="B1131" t="s">
        <v>36</v>
      </c>
      <c r="C1131" t="s">
        <v>30</v>
      </c>
      <c r="D1131" t="s">
        <v>38</v>
      </c>
      <c r="E1131">
        <v>9</v>
      </c>
      <c r="F1131">
        <v>2</v>
      </c>
      <c r="G1131" t="s">
        <v>42</v>
      </c>
      <c r="H1131">
        <v>1595</v>
      </c>
      <c r="I1131">
        <v>4</v>
      </c>
      <c r="J1131" t="s">
        <v>39</v>
      </c>
      <c r="K1131">
        <v>2</v>
      </c>
      <c r="L1131">
        <v>5</v>
      </c>
      <c r="M1131" t="s">
        <v>49</v>
      </c>
      <c r="N1131">
        <v>4</v>
      </c>
      <c r="O1131" t="s">
        <v>35</v>
      </c>
      <c r="P1131">
        <v>19613</v>
      </c>
      <c r="Q1131">
        <v>8</v>
      </c>
      <c r="R1131" t="s">
        <v>36</v>
      </c>
      <c r="S1131">
        <v>22</v>
      </c>
      <c r="T1131">
        <v>4</v>
      </c>
      <c r="U1131">
        <v>4</v>
      </c>
      <c r="V1131">
        <v>0</v>
      </c>
      <c r="W1131">
        <v>24</v>
      </c>
      <c r="X1131">
        <v>2</v>
      </c>
      <c r="Y1131">
        <v>3</v>
      </c>
      <c r="Z1131">
        <v>1</v>
      </c>
      <c r="AA1131">
        <v>0</v>
      </c>
      <c r="AB1131">
        <v>0</v>
      </c>
      <c r="AC1131">
        <v>1</v>
      </c>
      <c r="AD1131">
        <f>IF(HR_Data[[#This Row],[Attrition]]="Yes",1,0)</f>
        <v>0</v>
      </c>
      <c r="AE1131" t="str">
        <f>IF(HR_Data[[#This Row],[Age]]&lt;=25,"18-25",IF(HR_Data[[#This Row],[Age]]&lt;=35,"26-35",IF(HR_Data[[#This Row],[Age]]&lt;=45,"36-45",IF(HR_Data[[#This Row],[Age]]&lt;=55,"46-55","55+"))))</f>
        <v>36-45</v>
      </c>
      <c r="AF1131">
        <f>IF(HR_Data[[#This Row],[Age]]&lt;=25,1,IF(HR_Data[[#This Row],[Age]]&lt;=35,2,IF(HR_Data[[#This Row],[Age]]&lt;=45,3,IF(HR_Data[[#This Row],[Age]]&lt;=55,4,5))))</f>
        <v>3</v>
      </c>
      <c r="AG1131" s="1" t="str">
        <f>IF(HR_Data[[#This Row],[MonthlyIncome]]&lt;3000,"&lt;3K",IF(HR_Data[[#This Row],[MonthlyIncome]]&lt;6000,"3K-6K",IF(HR_Data[[#This Row],[MonthlyIncome]]&lt;10000,"6K-10K","10K+")))</f>
        <v>10K+</v>
      </c>
      <c r="AH1131" s="1">
        <f>IF(HR_Data[[#This Row],[MonthlyIncome]]&lt;3000,1,IF(HR_Data[[#This Row],[MonthlyIncome]]&lt;6000,2,IF(HR_Data[[#This Row],[MonthlyIncome]]&lt;10000,3,4)))</f>
        <v>4</v>
      </c>
      <c r="AI1131" s="1" t="str">
        <f>IF(HR_Data[[#This Row],[YearsAtCompany]]&lt;=2,"0-2 Yrs",IF(HR_Data[[#This Row],[YearsAtCompany]]&lt;=5,"3-5 Yrs",IF(HR_Data[[#This Row],[YearsAtCompany]]&lt;=10,"6-10 Yrs","10+ Yrs")))</f>
        <v>0-2 Yrs</v>
      </c>
      <c r="AJ1131" s="1">
        <f>IF(HR_Data[[#This Row],[YearsAtCompany]]&lt;=2,1,IF(HR_Data[[#This Row],[YearsAtCompany]]&lt;=5,2,IF(HR_Data[[#This Row],[YearsAtCompany]]&lt;=10,3,4)))</f>
        <v>1</v>
      </c>
      <c r="AK1131" s="1" t="str">
        <f>CHOOSE(HR_Data[[#This Row],[Education]],"Below College","College","Bachelor","Master","Doctor")</f>
        <v>College</v>
      </c>
      <c r="AL1131" s="1" t="str">
        <f>CHOOSE(HR_Data[[#This Row],[JobSatisfaction]],"Low","Medium","High","Very High")</f>
        <v>Very High</v>
      </c>
      <c r="AM1131" s="1" t="str">
        <f>CHOOSE(HR_Data[[#This Row],[EnvironmentSatisfaction]],"Low","Medium","High","Very High")</f>
        <v>Very High</v>
      </c>
      <c r="AN1131" s="1" t="str">
        <f>CHOOSE(HR_Data[[#This Row],[WorkLifeBalance]],"Bad","Good","Better","Best")</f>
        <v>Better</v>
      </c>
      <c r="AO1131" s="1" t="str">
        <f>IF(HR_Data[[#This Row],[PercentSalaryHike]]&lt;=13,"11-13%",IF(HR_Data[[#This Row],[PercentSalaryHike]]&lt;=16,"14-16%",IF(HR_Data[[#This Row],[PercentSalaryHike]]&lt;=19,"17-19%","20-25%")))</f>
        <v>20-25%</v>
      </c>
      <c r="AP1131" s="1">
        <f>IF(HR_Data[[#This Row],[PercentSalaryHike]]&lt;=13,1,IF(HR_Data[[#This Row],[PercentSalaryHike]]&lt;=16,2,IF(HR_Data[[#This Row],[PercentSalaryHike]]&lt;=19,3,4)))</f>
        <v>4</v>
      </c>
      <c r="AQ1131" s="1" t="str">
        <f>IF(HR_Data[[#This Row],[DistanceFromHome]]&lt;=5,"1 to 5",IF(HR_Data[[#This Row],[DistanceFromHome]]&lt;=10,"6 to 10",IF(HR_Data[[#This Row],[DistanceFromHome]]&lt;=20,"11 to 20","21 to 29")))</f>
        <v>6 to 10</v>
      </c>
      <c r="AR1131" s="1">
        <f>IF(HR_Data[[#This Row],[DistanceFromHome]]&lt;=5,1,IF(HR_Data[[#This Row],[DistanceFromHome]]&lt;=10,2,IF(HR_Data[[#This Row],[DistanceFromHome]]&lt;=20,3,4)))</f>
        <v>2</v>
      </c>
      <c r="AS1131" s="1" t="str">
        <f>IF(HR_Data[[#This Row],[TotalWorkingYears]]&lt;=5,"0-5 Yrs",IF(HR_Data[[#This Row],[TotalWorkingYears]]&lt;=10,"6-10 Yrs",IF(HR_Data[[#This Row],[TotalWorkingYears]]&lt;=20,"11-20 Yrs","20+ Yrs")))</f>
        <v>20+ Yrs</v>
      </c>
      <c r="AT1131" s="1">
        <f>IF(HR_Data[[#This Row],[TotalWorkingYears]]&lt;=5,1,IF(HR_Data[[#This Row],[TotalWorkingYears]]&lt;=10,2,IF(HR_Data[[#This Row],[TotalWorkingYears]]&lt;=20,3,4)))</f>
        <v>4</v>
      </c>
    </row>
    <row r="1132" spans="1:46" x14ac:dyDescent="0.25">
      <c r="A1132">
        <v>35</v>
      </c>
      <c r="B1132" t="s">
        <v>36</v>
      </c>
      <c r="C1132" t="s">
        <v>30</v>
      </c>
      <c r="D1132" t="s">
        <v>38</v>
      </c>
      <c r="E1132">
        <v>28</v>
      </c>
      <c r="F1132">
        <v>3</v>
      </c>
      <c r="G1132" t="s">
        <v>32</v>
      </c>
      <c r="H1132">
        <v>1596</v>
      </c>
      <c r="I1132">
        <v>2</v>
      </c>
      <c r="J1132" t="s">
        <v>39</v>
      </c>
      <c r="K1132">
        <v>4</v>
      </c>
      <c r="L1132">
        <v>2</v>
      </c>
      <c r="M1132" t="s">
        <v>43</v>
      </c>
      <c r="N1132">
        <v>3</v>
      </c>
      <c r="O1132" t="s">
        <v>41</v>
      </c>
      <c r="P1132">
        <v>3407</v>
      </c>
      <c r="Q1132">
        <v>1</v>
      </c>
      <c r="R1132" t="s">
        <v>36</v>
      </c>
      <c r="S1132">
        <v>17</v>
      </c>
      <c r="T1132">
        <v>3</v>
      </c>
      <c r="U1132">
        <v>4</v>
      </c>
      <c r="V1132">
        <v>2</v>
      </c>
      <c r="W1132">
        <v>10</v>
      </c>
      <c r="X1132">
        <v>3</v>
      </c>
      <c r="Y1132">
        <v>2</v>
      </c>
      <c r="Z1132">
        <v>10</v>
      </c>
      <c r="AA1132">
        <v>9</v>
      </c>
      <c r="AB1132">
        <v>6</v>
      </c>
      <c r="AC1132">
        <v>8</v>
      </c>
      <c r="AD1132">
        <f>IF(HR_Data[[#This Row],[Attrition]]="Yes",1,0)</f>
        <v>0</v>
      </c>
      <c r="AE1132" t="str">
        <f>IF(HR_Data[[#This Row],[Age]]&lt;=25,"18-25",IF(HR_Data[[#This Row],[Age]]&lt;=35,"26-35",IF(HR_Data[[#This Row],[Age]]&lt;=45,"36-45",IF(HR_Data[[#This Row],[Age]]&lt;=55,"46-55","55+"))))</f>
        <v>26-35</v>
      </c>
      <c r="AF1132">
        <f>IF(HR_Data[[#This Row],[Age]]&lt;=25,1,IF(HR_Data[[#This Row],[Age]]&lt;=35,2,IF(HR_Data[[#This Row],[Age]]&lt;=45,3,IF(HR_Data[[#This Row],[Age]]&lt;=55,4,5))))</f>
        <v>2</v>
      </c>
      <c r="AG1132" s="1" t="str">
        <f>IF(HR_Data[[#This Row],[MonthlyIncome]]&lt;3000,"&lt;3K",IF(HR_Data[[#This Row],[MonthlyIncome]]&lt;6000,"3K-6K",IF(HR_Data[[#This Row],[MonthlyIncome]]&lt;10000,"6K-10K","10K+")))</f>
        <v>3K-6K</v>
      </c>
      <c r="AH1132" s="1">
        <f>IF(HR_Data[[#This Row],[MonthlyIncome]]&lt;3000,1,IF(HR_Data[[#This Row],[MonthlyIncome]]&lt;6000,2,IF(HR_Data[[#This Row],[MonthlyIncome]]&lt;10000,3,4)))</f>
        <v>2</v>
      </c>
      <c r="AI1132" s="1" t="str">
        <f>IF(HR_Data[[#This Row],[YearsAtCompany]]&lt;=2,"0-2 Yrs",IF(HR_Data[[#This Row],[YearsAtCompany]]&lt;=5,"3-5 Yrs",IF(HR_Data[[#This Row],[YearsAtCompany]]&lt;=10,"6-10 Yrs","10+ Yrs")))</f>
        <v>6-10 Yrs</v>
      </c>
      <c r="AJ1132" s="1">
        <f>IF(HR_Data[[#This Row],[YearsAtCompany]]&lt;=2,1,IF(HR_Data[[#This Row],[YearsAtCompany]]&lt;=5,2,IF(HR_Data[[#This Row],[YearsAtCompany]]&lt;=10,3,4)))</f>
        <v>3</v>
      </c>
      <c r="AK1132" s="1" t="str">
        <f>CHOOSE(HR_Data[[#This Row],[Education]],"Below College","College","Bachelor","Master","Doctor")</f>
        <v>Bachelor</v>
      </c>
      <c r="AL1132" s="1" t="str">
        <f>CHOOSE(HR_Data[[#This Row],[JobSatisfaction]],"Low","Medium","High","Very High")</f>
        <v>High</v>
      </c>
      <c r="AM1132" s="1" t="str">
        <f>CHOOSE(HR_Data[[#This Row],[EnvironmentSatisfaction]],"Low","Medium","High","Very High")</f>
        <v>Medium</v>
      </c>
      <c r="AN1132" s="1" t="str">
        <f>CHOOSE(HR_Data[[#This Row],[WorkLifeBalance]],"Bad","Good","Better","Best")</f>
        <v>Good</v>
      </c>
      <c r="AO1132" s="1" t="str">
        <f>IF(HR_Data[[#This Row],[PercentSalaryHike]]&lt;=13,"11-13%",IF(HR_Data[[#This Row],[PercentSalaryHike]]&lt;=16,"14-16%",IF(HR_Data[[#This Row],[PercentSalaryHike]]&lt;=19,"17-19%","20-25%")))</f>
        <v>17-19%</v>
      </c>
      <c r="AP1132" s="1">
        <f>IF(HR_Data[[#This Row],[PercentSalaryHike]]&lt;=13,1,IF(HR_Data[[#This Row],[PercentSalaryHike]]&lt;=16,2,IF(HR_Data[[#This Row],[PercentSalaryHike]]&lt;=19,3,4)))</f>
        <v>3</v>
      </c>
      <c r="AQ1132" s="1" t="str">
        <f>IF(HR_Data[[#This Row],[DistanceFromHome]]&lt;=5,"1 to 5",IF(HR_Data[[#This Row],[DistanceFromHome]]&lt;=10,"6 to 10",IF(HR_Data[[#This Row],[DistanceFromHome]]&lt;=20,"11 to 20","21 to 29")))</f>
        <v>21 to 29</v>
      </c>
      <c r="AR1132" s="1">
        <f>IF(HR_Data[[#This Row],[DistanceFromHome]]&lt;=5,1,IF(HR_Data[[#This Row],[DistanceFromHome]]&lt;=10,2,IF(HR_Data[[#This Row],[DistanceFromHome]]&lt;=20,3,4)))</f>
        <v>4</v>
      </c>
      <c r="AS1132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132" s="1">
        <f>IF(HR_Data[[#This Row],[TotalWorkingYears]]&lt;=5,1,IF(HR_Data[[#This Row],[TotalWorkingYears]]&lt;=10,2,IF(HR_Data[[#This Row],[TotalWorkingYears]]&lt;=20,3,4)))</f>
        <v>2</v>
      </c>
    </row>
    <row r="1133" spans="1:46" x14ac:dyDescent="0.25">
      <c r="A1133">
        <v>34</v>
      </c>
      <c r="B1133" t="s">
        <v>36</v>
      </c>
      <c r="C1133" t="s">
        <v>37</v>
      </c>
      <c r="D1133" t="s">
        <v>38</v>
      </c>
      <c r="E1133">
        <v>10</v>
      </c>
      <c r="F1133">
        <v>4</v>
      </c>
      <c r="G1133" t="s">
        <v>53</v>
      </c>
      <c r="H1133">
        <v>1597</v>
      </c>
      <c r="I1133">
        <v>4</v>
      </c>
      <c r="J1133" t="s">
        <v>39</v>
      </c>
      <c r="K1133">
        <v>2</v>
      </c>
      <c r="L1133">
        <v>2</v>
      </c>
      <c r="M1133" t="s">
        <v>47</v>
      </c>
      <c r="N1133">
        <v>3</v>
      </c>
      <c r="O1133" t="s">
        <v>41</v>
      </c>
      <c r="P1133">
        <v>5063</v>
      </c>
      <c r="Q1133">
        <v>1</v>
      </c>
      <c r="R1133" t="s">
        <v>36</v>
      </c>
      <c r="S1133">
        <v>14</v>
      </c>
      <c r="T1133">
        <v>3</v>
      </c>
      <c r="U1133">
        <v>2</v>
      </c>
      <c r="V1133">
        <v>1</v>
      </c>
      <c r="W1133">
        <v>8</v>
      </c>
      <c r="X1133">
        <v>3</v>
      </c>
      <c r="Y1133">
        <v>2</v>
      </c>
      <c r="Z1133">
        <v>8</v>
      </c>
      <c r="AA1133">
        <v>2</v>
      </c>
      <c r="AB1133">
        <v>7</v>
      </c>
      <c r="AC1133">
        <v>7</v>
      </c>
      <c r="AD1133">
        <f>IF(HR_Data[[#This Row],[Attrition]]="Yes",1,0)</f>
        <v>0</v>
      </c>
      <c r="AE1133" t="str">
        <f>IF(HR_Data[[#This Row],[Age]]&lt;=25,"18-25",IF(HR_Data[[#This Row],[Age]]&lt;=35,"26-35",IF(HR_Data[[#This Row],[Age]]&lt;=45,"36-45",IF(HR_Data[[#This Row],[Age]]&lt;=55,"46-55","55+"))))</f>
        <v>26-35</v>
      </c>
      <c r="AF1133">
        <f>IF(HR_Data[[#This Row],[Age]]&lt;=25,1,IF(HR_Data[[#This Row],[Age]]&lt;=35,2,IF(HR_Data[[#This Row],[Age]]&lt;=45,3,IF(HR_Data[[#This Row],[Age]]&lt;=55,4,5))))</f>
        <v>2</v>
      </c>
      <c r="AG1133" s="1" t="str">
        <f>IF(HR_Data[[#This Row],[MonthlyIncome]]&lt;3000,"&lt;3K",IF(HR_Data[[#This Row],[MonthlyIncome]]&lt;6000,"3K-6K",IF(HR_Data[[#This Row],[MonthlyIncome]]&lt;10000,"6K-10K","10K+")))</f>
        <v>3K-6K</v>
      </c>
      <c r="AH1133" s="1">
        <f>IF(HR_Data[[#This Row],[MonthlyIncome]]&lt;3000,1,IF(HR_Data[[#This Row],[MonthlyIncome]]&lt;6000,2,IF(HR_Data[[#This Row],[MonthlyIncome]]&lt;10000,3,4)))</f>
        <v>2</v>
      </c>
      <c r="AI1133" s="1" t="str">
        <f>IF(HR_Data[[#This Row],[YearsAtCompany]]&lt;=2,"0-2 Yrs",IF(HR_Data[[#This Row],[YearsAtCompany]]&lt;=5,"3-5 Yrs",IF(HR_Data[[#This Row],[YearsAtCompany]]&lt;=10,"6-10 Yrs","10+ Yrs")))</f>
        <v>6-10 Yrs</v>
      </c>
      <c r="AJ1133" s="1">
        <f>IF(HR_Data[[#This Row],[YearsAtCompany]]&lt;=2,1,IF(HR_Data[[#This Row],[YearsAtCompany]]&lt;=5,2,IF(HR_Data[[#This Row],[YearsAtCompany]]&lt;=10,3,4)))</f>
        <v>3</v>
      </c>
      <c r="AK1133" s="1" t="str">
        <f>CHOOSE(HR_Data[[#This Row],[Education]],"Below College","College","Bachelor","Master","Doctor")</f>
        <v>Master</v>
      </c>
      <c r="AL1133" s="1" t="str">
        <f>CHOOSE(HR_Data[[#This Row],[JobSatisfaction]],"Low","Medium","High","Very High")</f>
        <v>High</v>
      </c>
      <c r="AM1133" s="1" t="str">
        <f>CHOOSE(HR_Data[[#This Row],[EnvironmentSatisfaction]],"Low","Medium","High","Very High")</f>
        <v>Very High</v>
      </c>
      <c r="AN1133" s="1" t="str">
        <f>CHOOSE(HR_Data[[#This Row],[WorkLifeBalance]],"Bad","Good","Better","Best")</f>
        <v>Good</v>
      </c>
      <c r="AO1133" s="1" t="str">
        <f>IF(HR_Data[[#This Row],[PercentSalaryHike]]&lt;=13,"11-13%",IF(HR_Data[[#This Row],[PercentSalaryHike]]&lt;=16,"14-16%",IF(HR_Data[[#This Row],[PercentSalaryHike]]&lt;=19,"17-19%","20-25%")))</f>
        <v>14-16%</v>
      </c>
      <c r="AP1133" s="1">
        <f>IF(HR_Data[[#This Row],[PercentSalaryHike]]&lt;=13,1,IF(HR_Data[[#This Row],[PercentSalaryHike]]&lt;=16,2,IF(HR_Data[[#This Row],[PercentSalaryHike]]&lt;=19,3,4)))</f>
        <v>2</v>
      </c>
      <c r="AQ1133" s="1" t="str">
        <f>IF(HR_Data[[#This Row],[DistanceFromHome]]&lt;=5,"1 to 5",IF(HR_Data[[#This Row],[DistanceFromHome]]&lt;=10,"6 to 10",IF(HR_Data[[#This Row],[DistanceFromHome]]&lt;=20,"11 to 20","21 to 29")))</f>
        <v>6 to 10</v>
      </c>
      <c r="AR1133" s="1">
        <f>IF(HR_Data[[#This Row],[DistanceFromHome]]&lt;=5,1,IF(HR_Data[[#This Row],[DistanceFromHome]]&lt;=10,2,IF(HR_Data[[#This Row],[DistanceFromHome]]&lt;=20,3,4)))</f>
        <v>2</v>
      </c>
      <c r="AS1133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133" s="1">
        <f>IF(HR_Data[[#This Row],[TotalWorkingYears]]&lt;=5,1,IF(HR_Data[[#This Row],[TotalWorkingYears]]&lt;=10,2,IF(HR_Data[[#This Row],[TotalWorkingYears]]&lt;=20,3,4)))</f>
        <v>2</v>
      </c>
    </row>
    <row r="1134" spans="1:46" x14ac:dyDescent="0.25">
      <c r="A1134">
        <v>40</v>
      </c>
      <c r="B1134" t="s">
        <v>36</v>
      </c>
      <c r="C1134" t="s">
        <v>30</v>
      </c>
      <c r="D1134" t="s">
        <v>31</v>
      </c>
      <c r="E1134">
        <v>14</v>
      </c>
      <c r="F1134">
        <v>2</v>
      </c>
      <c r="G1134" t="s">
        <v>32</v>
      </c>
      <c r="H1134">
        <v>1598</v>
      </c>
      <c r="I1134">
        <v>4</v>
      </c>
      <c r="J1134" t="s">
        <v>33</v>
      </c>
      <c r="K1134">
        <v>3</v>
      </c>
      <c r="L1134">
        <v>2</v>
      </c>
      <c r="M1134" t="s">
        <v>34</v>
      </c>
      <c r="N1134">
        <v>1</v>
      </c>
      <c r="O1134" t="s">
        <v>41</v>
      </c>
      <c r="P1134">
        <v>4639</v>
      </c>
      <c r="Q1134">
        <v>1</v>
      </c>
      <c r="R1134" t="s">
        <v>36</v>
      </c>
      <c r="S1134">
        <v>15</v>
      </c>
      <c r="T1134">
        <v>3</v>
      </c>
      <c r="U1134">
        <v>3</v>
      </c>
      <c r="V1134">
        <v>1</v>
      </c>
      <c r="W1134">
        <v>5</v>
      </c>
      <c r="X1134">
        <v>2</v>
      </c>
      <c r="Y1134">
        <v>3</v>
      </c>
      <c r="Z1134">
        <v>5</v>
      </c>
      <c r="AA1134">
        <v>4</v>
      </c>
      <c r="AB1134">
        <v>1</v>
      </c>
      <c r="AC1134">
        <v>2</v>
      </c>
      <c r="AD1134">
        <f>IF(HR_Data[[#This Row],[Attrition]]="Yes",1,0)</f>
        <v>0</v>
      </c>
      <c r="AE1134" t="str">
        <f>IF(HR_Data[[#This Row],[Age]]&lt;=25,"18-25",IF(HR_Data[[#This Row],[Age]]&lt;=35,"26-35",IF(HR_Data[[#This Row],[Age]]&lt;=45,"36-45",IF(HR_Data[[#This Row],[Age]]&lt;=55,"46-55","55+"))))</f>
        <v>36-45</v>
      </c>
      <c r="AF1134">
        <f>IF(HR_Data[[#This Row],[Age]]&lt;=25,1,IF(HR_Data[[#This Row],[Age]]&lt;=35,2,IF(HR_Data[[#This Row],[Age]]&lt;=45,3,IF(HR_Data[[#This Row],[Age]]&lt;=55,4,5))))</f>
        <v>3</v>
      </c>
      <c r="AG1134" s="1" t="str">
        <f>IF(HR_Data[[#This Row],[MonthlyIncome]]&lt;3000,"&lt;3K",IF(HR_Data[[#This Row],[MonthlyIncome]]&lt;6000,"3K-6K",IF(HR_Data[[#This Row],[MonthlyIncome]]&lt;10000,"6K-10K","10K+")))</f>
        <v>3K-6K</v>
      </c>
      <c r="AH1134" s="1">
        <f>IF(HR_Data[[#This Row],[MonthlyIncome]]&lt;3000,1,IF(HR_Data[[#This Row],[MonthlyIncome]]&lt;6000,2,IF(HR_Data[[#This Row],[MonthlyIncome]]&lt;10000,3,4)))</f>
        <v>2</v>
      </c>
      <c r="AI1134" s="1" t="str">
        <f>IF(HR_Data[[#This Row],[YearsAtCompany]]&lt;=2,"0-2 Yrs",IF(HR_Data[[#This Row],[YearsAtCompany]]&lt;=5,"3-5 Yrs",IF(HR_Data[[#This Row],[YearsAtCompany]]&lt;=10,"6-10 Yrs","10+ Yrs")))</f>
        <v>3-5 Yrs</v>
      </c>
      <c r="AJ1134" s="1">
        <f>IF(HR_Data[[#This Row],[YearsAtCompany]]&lt;=2,1,IF(HR_Data[[#This Row],[YearsAtCompany]]&lt;=5,2,IF(HR_Data[[#This Row],[YearsAtCompany]]&lt;=10,3,4)))</f>
        <v>2</v>
      </c>
      <c r="AK1134" s="1" t="str">
        <f>CHOOSE(HR_Data[[#This Row],[Education]],"Below College","College","Bachelor","Master","Doctor")</f>
        <v>College</v>
      </c>
      <c r="AL1134" s="1" t="str">
        <f>CHOOSE(HR_Data[[#This Row],[JobSatisfaction]],"Low","Medium","High","Very High")</f>
        <v>Low</v>
      </c>
      <c r="AM1134" s="1" t="str">
        <f>CHOOSE(HR_Data[[#This Row],[EnvironmentSatisfaction]],"Low","Medium","High","Very High")</f>
        <v>Very High</v>
      </c>
      <c r="AN1134" s="1" t="str">
        <f>CHOOSE(HR_Data[[#This Row],[WorkLifeBalance]],"Bad","Good","Better","Best")</f>
        <v>Better</v>
      </c>
      <c r="AO1134" s="1" t="str">
        <f>IF(HR_Data[[#This Row],[PercentSalaryHike]]&lt;=13,"11-13%",IF(HR_Data[[#This Row],[PercentSalaryHike]]&lt;=16,"14-16%",IF(HR_Data[[#This Row],[PercentSalaryHike]]&lt;=19,"17-19%","20-25%")))</f>
        <v>14-16%</v>
      </c>
      <c r="AP1134" s="1">
        <f>IF(HR_Data[[#This Row],[PercentSalaryHike]]&lt;=13,1,IF(HR_Data[[#This Row],[PercentSalaryHike]]&lt;=16,2,IF(HR_Data[[#This Row],[PercentSalaryHike]]&lt;=19,3,4)))</f>
        <v>2</v>
      </c>
      <c r="AQ1134" s="1" t="str">
        <f>IF(HR_Data[[#This Row],[DistanceFromHome]]&lt;=5,"1 to 5",IF(HR_Data[[#This Row],[DistanceFromHome]]&lt;=10,"6 to 10",IF(HR_Data[[#This Row],[DistanceFromHome]]&lt;=20,"11 to 20","21 to 29")))</f>
        <v>11 to 20</v>
      </c>
      <c r="AR1134" s="1">
        <f>IF(HR_Data[[#This Row],[DistanceFromHome]]&lt;=5,1,IF(HR_Data[[#This Row],[DistanceFromHome]]&lt;=10,2,IF(HR_Data[[#This Row],[DistanceFromHome]]&lt;=20,3,4)))</f>
        <v>3</v>
      </c>
      <c r="AS1134" s="1" t="str">
        <f>IF(HR_Data[[#This Row],[TotalWorkingYears]]&lt;=5,"0-5 Yrs",IF(HR_Data[[#This Row],[TotalWorkingYears]]&lt;=10,"6-10 Yrs",IF(HR_Data[[#This Row],[TotalWorkingYears]]&lt;=20,"11-20 Yrs","20+ Yrs")))</f>
        <v>0-5 Yrs</v>
      </c>
      <c r="AT1134" s="1">
        <f>IF(HR_Data[[#This Row],[TotalWorkingYears]]&lt;=5,1,IF(HR_Data[[#This Row],[TotalWorkingYears]]&lt;=10,2,IF(HR_Data[[#This Row],[TotalWorkingYears]]&lt;=20,3,4)))</f>
        <v>1</v>
      </c>
    </row>
    <row r="1135" spans="1:46" x14ac:dyDescent="0.25">
      <c r="A1135">
        <v>43</v>
      </c>
      <c r="B1135" t="s">
        <v>36</v>
      </c>
      <c r="C1135" t="s">
        <v>30</v>
      </c>
      <c r="D1135" t="s">
        <v>38</v>
      </c>
      <c r="E1135">
        <v>27</v>
      </c>
      <c r="F1135">
        <v>3</v>
      </c>
      <c r="G1135" t="s">
        <v>53</v>
      </c>
      <c r="H1135">
        <v>1599</v>
      </c>
      <c r="I1135">
        <v>4</v>
      </c>
      <c r="J1135" t="s">
        <v>39</v>
      </c>
      <c r="K1135">
        <v>4</v>
      </c>
      <c r="L1135">
        <v>1</v>
      </c>
      <c r="M1135" t="s">
        <v>43</v>
      </c>
      <c r="N1135">
        <v>2</v>
      </c>
      <c r="O1135" t="s">
        <v>45</v>
      </c>
      <c r="P1135">
        <v>4876</v>
      </c>
      <c r="Q1135">
        <v>5</v>
      </c>
      <c r="R1135" t="s">
        <v>36</v>
      </c>
      <c r="S1135">
        <v>12</v>
      </c>
      <c r="T1135">
        <v>3</v>
      </c>
      <c r="U1135">
        <v>3</v>
      </c>
      <c r="V1135">
        <v>1</v>
      </c>
      <c r="W1135">
        <v>8</v>
      </c>
      <c r="X1135">
        <v>0</v>
      </c>
      <c r="Y1135">
        <v>3</v>
      </c>
      <c r="Z1135">
        <v>6</v>
      </c>
      <c r="AA1135">
        <v>4</v>
      </c>
      <c r="AB1135">
        <v>0</v>
      </c>
      <c r="AC1135">
        <v>2</v>
      </c>
      <c r="AD1135">
        <f>IF(HR_Data[[#This Row],[Attrition]]="Yes",1,0)</f>
        <v>0</v>
      </c>
      <c r="AE1135" t="str">
        <f>IF(HR_Data[[#This Row],[Age]]&lt;=25,"18-25",IF(HR_Data[[#This Row],[Age]]&lt;=35,"26-35",IF(HR_Data[[#This Row],[Age]]&lt;=45,"36-45",IF(HR_Data[[#This Row],[Age]]&lt;=55,"46-55","55+"))))</f>
        <v>36-45</v>
      </c>
      <c r="AF1135">
        <f>IF(HR_Data[[#This Row],[Age]]&lt;=25,1,IF(HR_Data[[#This Row],[Age]]&lt;=35,2,IF(HR_Data[[#This Row],[Age]]&lt;=45,3,IF(HR_Data[[#This Row],[Age]]&lt;=55,4,5))))</f>
        <v>3</v>
      </c>
      <c r="AG1135" s="1" t="str">
        <f>IF(HR_Data[[#This Row],[MonthlyIncome]]&lt;3000,"&lt;3K",IF(HR_Data[[#This Row],[MonthlyIncome]]&lt;6000,"3K-6K",IF(HR_Data[[#This Row],[MonthlyIncome]]&lt;10000,"6K-10K","10K+")))</f>
        <v>3K-6K</v>
      </c>
      <c r="AH1135" s="1">
        <f>IF(HR_Data[[#This Row],[MonthlyIncome]]&lt;3000,1,IF(HR_Data[[#This Row],[MonthlyIncome]]&lt;6000,2,IF(HR_Data[[#This Row],[MonthlyIncome]]&lt;10000,3,4)))</f>
        <v>2</v>
      </c>
      <c r="AI1135" s="1" t="str">
        <f>IF(HR_Data[[#This Row],[YearsAtCompany]]&lt;=2,"0-2 Yrs",IF(HR_Data[[#This Row],[YearsAtCompany]]&lt;=5,"3-5 Yrs",IF(HR_Data[[#This Row],[YearsAtCompany]]&lt;=10,"6-10 Yrs","10+ Yrs")))</f>
        <v>6-10 Yrs</v>
      </c>
      <c r="AJ1135" s="1">
        <f>IF(HR_Data[[#This Row],[YearsAtCompany]]&lt;=2,1,IF(HR_Data[[#This Row],[YearsAtCompany]]&lt;=5,2,IF(HR_Data[[#This Row],[YearsAtCompany]]&lt;=10,3,4)))</f>
        <v>3</v>
      </c>
      <c r="AK1135" s="1" t="str">
        <f>CHOOSE(HR_Data[[#This Row],[Education]],"Below College","College","Bachelor","Master","Doctor")</f>
        <v>Bachelor</v>
      </c>
      <c r="AL1135" s="1" t="str">
        <f>CHOOSE(HR_Data[[#This Row],[JobSatisfaction]],"Low","Medium","High","Very High")</f>
        <v>Medium</v>
      </c>
      <c r="AM1135" s="1" t="str">
        <f>CHOOSE(HR_Data[[#This Row],[EnvironmentSatisfaction]],"Low","Medium","High","Very High")</f>
        <v>Very High</v>
      </c>
      <c r="AN1135" s="1" t="str">
        <f>CHOOSE(HR_Data[[#This Row],[WorkLifeBalance]],"Bad","Good","Better","Best")</f>
        <v>Better</v>
      </c>
      <c r="AO1135" s="1" t="str">
        <f>IF(HR_Data[[#This Row],[PercentSalaryHike]]&lt;=13,"11-13%",IF(HR_Data[[#This Row],[PercentSalaryHike]]&lt;=16,"14-16%",IF(HR_Data[[#This Row],[PercentSalaryHike]]&lt;=19,"17-19%","20-25%")))</f>
        <v>11-13%</v>
      </c>
      <c r="AP1135" s="1">
        <f>IF(HR_Data[[#This Row],[PercentSalaryHike]]&lt;=13,1,IF(HR_Data[[#This Row],[PercentSalaryHike]]&lt;=16,2,IF(HR_Data[[#This Row],[PercentSalaryHike]]&lt;=19,3,4)))</f>
        <v>1</v>
      </c>
      <c r="AQ1135" s="1" t="str">
        <f>IF(HR_Data[[#This Row],[DistanceFromHome]]&lt;=5,"1 to 5",IF(HR_Data[[#This Row],[DistanceFromHome]]&lt;=10,"6 to 10",IF(HR_Data[[#This Row],[DistanceFromHome]]&lt;=20,"11 to 20","21 to 29")))</f>
        <v>21 to 29</v>
      </c>
      <c r="AR1135" s="1">
        <f>IF(HR_Data[[#This Row],[DistanceFromHome]]&lt;=5,1,IF(HR_Data[[#This Row],[DistanceFromHome]]&lt;=10,2,IF(HR_Data[[#This Row],[DistanceFromHome]]&lt;=20,3,4)))</f>
        <v>4</v>
      </c>
      <c r="AS1135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135" s="1">
        <f>IF(HR_Data[[#This Row],[TotalWorkingYears]]&lt;=5,1,IF(HR_Data[[#This Row],[TotalWorkingYears]]&lt;=10,2,IF(HR_Data[[#This Row],[TotalWorkingYears]]&lt;=20,3,4)))</f>
        <v>2</v>
      </c>
    </row>
    <row r="1136" spans="1:46" x14ac:dyDescent="0.25">
      <c r="A1136">
        <v>35</v>
      </c>
      <c r="B1136" t="s">
        <v>36</v>
      </c>
      <c r="C1136" t="s">
        <v>30</v>
      </c>
      <c r="D1136" t="s">
        <v>38</v>
      </c>
      <c r="E1136">
        <v>7</v>
      </c>
      <c r="F1136">
        <v>2</v>
      </c>
      <c r="G1136" t="s">
        <v>32</v>
      </c>
      <c r="H1136">
        <v>1601</v>
      </c>
      <c r="I1136">
        <v>3</v>
      </c>
      <c r="J1136" t="s">
        <v>39</v>
      </c>
      <c r="K1136">
        <v>2</v>
      </c>
      <c r="L1136">
        <v>1</v>
      </c>
      <c r="M1136" t="s">
        <v>43</v>
      </c>
      <c r="N1136">
        <v>4</v>
      </c>
      <c r="O1136" t="s">
        <v>41</v>
      </c>
      <c r="P1136">
        <v>2690</v>
      </c>
      <c r="Q1136">
        <v>1</v>
      </c>
      <c r="R1136" t="s">
        <v>36</v>
      </c>
      <c r="S1136">
        <v>18</v>
      </c>
      <c r="T1136">
        <v>3</v>
      </c>
      <c r="U1136">
        <v>4</v>
      </c>
      <c r="V1136">
        <v>1</v>
      </c>
      <c r="W1136">
        <v>1</v>
      </c>
      <c r="X1136">
        <v>5</v>
      </c>
      <c r="Y1136">
        <v>2</v>
      </c>
      <c r="Z1136">
        <v>1</v>
      </c>
      <c r="AA1136">
        <v>0</v>
      </c>
      <c r="AB1136">
        <v>0</v>
      </c>
      <c r="AC1136">
        <v>1</v>
      </c>
      <c r="AD1136">
        <f>IF(HR_Data[[#This Row],[Attrition]]="Yes",1,0)</f>
        <v>0</v>
      </c>
      <c r="AE1136" t="str">
        <f>IF(HR_Data[[#This Row],[Age]]&lt;=25,"18-25",IF(HR_Data[[#This Row],[Age]]&lt;=35,"26-35",IF(HR_Data[[#This Row],[Age]]&lt;=45,"36-45",IF(HR_Data[[#This Row],[Age]]&lt;=55,"46-55","55+"))))</f>
        <v>26-35</v>
      </c>
      <c r="AF1136">
        <f>IF(HR_Data[[#This Row],[Age]]&lt;=25,1,IF(HR_Data[[#This Row],[Age]]&lt;=35,2,IF(HR_Data[[#This Row],[Age]]&lt;=45,3,IF(HR_Data[[#This Row],[Age]]&lt;=55,4,5))))</f>
        <v>2</v>
      </c>
      <c r="AG1136" s="1" t="str">
        <f>IF(HR_Data[[#This Row],[MonthlyIncome]]&lt;3000,"&lt;3K",IF(HR_Data[[#This Row],[MonthlyIncome]]&lt;6000,"3K-6K",IF(HR_Data[[#This Row],[MonthlyIncome]]&lt;10000,"6K-10K","10K+")))</f>
        <v>&lt;3K</v>
      </c>
      <c r="AH1136" s="1">
        <f>IF(HR_Data[[#This Row],[MonthlyIncome]]&lt;3000,1,IF(HR_Data[[#This Row],[MonthlyIncome]]&lt;6000,2,IF(HR_Data[[#This Row],[MonthlyIncome]]&lt;10000,3,4)))</f>
        <v>1</v>
      </c>
      <c r="AI1136" s="1" t="str">
        <f>IF(HR_Data[[#This Row],[YearsAtCompany]]&lt;=2,"0-2 Yrs",IF(HR_Data[[#This Row],[YearsAtCompany]]&lt;=5,"3-5 Yrs",IF(HR_Data[[#This Row],[YearsAtCompany]]&lt;=10,"6-10 Yrs","10+ Yrs")))</f>
        <v>0-2 Yrs</v>
      </c>
      <c r="AJ1136" s="1">
        <f>IF(HR_Data[[#This Row],[YearsAtCompany]]&lt;=2,1,IF(HR_Data[[#This Row],[YearsAtCompany]]&lt;=5,2,IF(HR_Data[[#This Row],[YearsAtCompany]]&lt;=10,3,4)))</f>
        <v>1</v>
      </c>
      <c r="AK1136" s="1" t="str">
        <f>CHOOSE(HR_Data[[#This Row],[Education]],"Below College","College","Bachelor","Master","Doctor")</f>
        <v>College</v>
      </c>
      <c r="AL1136" s="1" t="str">
        <f>CHOOSE(HR_Data[[#This Row],[JobSatisfaction]],"Low","Medium","High","Very High")</f>
        <v>Very High</v>
      </c>
      <c r="AM1136" s="1" t="str">
        <f>CHOOSE(HR_Data[[#This Row],[EnvironmentSatisfaction]],"Low","Medium","High","Very High")</f>
        <v>High</v>
      </c>
      <c r="AN1136" s="1" t="str">
        <f>CHOOSE(HR_Data[[#This Row],[WorkLifeBalance]],"Bad","Good","Better","Best")</f>
        <v>Good</v>
      </c>
      <c r="AO1136" s="1" t="str">
        <f>IF(HR_Data[[#This Row],[PercentSalaryHike]]&lt;=13,"11-13%",IF(HR_Data[[#This Row],[PercentSalaryHike]]&lt;=16,"14-16%",IF(HR_Data[[#This Row],[PercentSalaryHike]]&lt;=19,"17-19%","20-25%")))</f>
        <v>17-19%</v>
      </c>
      <c r="AP1136" s="1">
        <f>IF(HR_Data[[#This Row],[PercentSalaryHike]]&lt;=13,1,IF(HR_Data[[#This Row],[PercentSalaryHike]]&lt;=16,2,IF(HR_Data[[#This Row],[PercentSalaryHike]]&lt;=19,3,4)))</f>
        <v>3</v>
      </c>
      <c r="AQ1136" s="1" t="str">
        <f>IF(HR_Data[[#This Row],[DistanceFromHome]]&lt;=5,"1 to 5",IF(HR_Data[[#This Row],[DistanceFromHome]]&lt;=10,"6 to 10",IF(HR_Data[[#This Row],[DistanceFromHome]]&lt;=20,"11 to 20","21 to 29")))</f>
        <v>6 to 10</v>
      </c>
      <c r="AR1136" s="1">
        <f>IF(HR_Data[[#This Row],[DistanceFromHome]]&lt;=5,1,IF(HR_Data[[#This Row],[DistanceFromHome]]&lt;=10,2,IF(HR_Data[[#This Row],[DistanceFromHome]]&lt;=20,3,4)))</f>
        <v>2</v>
      </c>
      <c r="AS1136" s="1" t="str">
        <f>IF(HR_Data[[#This Row],[TotalWorkingYears]]&lt;=5,"0-5 Yrs",IF(HR_Data[[#This Row],[TotalWorkingYears]]&lt;=10,"6-10 Yrs",IF(HR_Data[[#This Row],[TotalWorkingYears]]&lt;=20,"11-20 Yrs","20+ Yrs")))</f>
        <v>0-5 Yrs</v>
      </c>
      <c r="AT1136" s="1">
        <f>IF(HR_Data[[#This Row],[TotalWorkingYears]]&lt;=5,1,IF(HR_Data[[#This Row],[TotalWorkingYears]]&lt;=10,2,IF(HR_Data[[#This Row],[TotalWorkingYears]]&lt;=20,3,4)))</f>
        <v>1</v>
      </c>
    </row>
    <row r="1137" spans="1:46" x14ac:dyDescent="0.25">
      <c r="A1137">
        <v>46</v>
      </c>
      <c r="B1137" t="s">
        <v>36</v>
      </c>
      <c r="C1137" t="s">
        <v>30</v>
      </c>
      <c r="D1137" t="s">
        <v>31</v>
      </c>
      <c r="E1137">
        <v>1</v>
      </c>
      <c r="F1137">
        <v>4</v>
      </c>
      <c r="G1137" t="s">
        <v>32</v>
      </c>
      <c r="H1137">
        <v>1602</v>
      </c>
      <c r="I1137">
        <v>4</v>
      </c>
      <c r="J1137" t="s">
        <v>39</v>
      </c>
      <c r="K1137">
        <v>4</v>
      </c>
      <c r="L1137">
        <v>4</v>
      </c>
      <c r="M1137" t="s">
        <v>49</v>
      </c>
      <c r="N1137">
        <v>1</v>
      </c>
      <c r="O1137" t="s">
        <v>35</v>
      </c>
      <c r="P1137">
        <v>17567</v>
      </c>
      <c r="Q1137">
        <v>1</v>
      </c>
      <c r="R1137" t="s">
        <v>36</v>
      </c>
      <c r="S1137">
        <v>15</v>
      </c>
      <c r="T1137">
        <v>3</v>
      </c>
      <c r="U1137">
        <v>2</v>
      </c>
      <c r="V1137">
        <v>0</v>
      </c>
      <c r="W1137">
        <v>27</v>
      </c>
      <c r="X1137">
        <v>5</v>
      </c>
      <c r="Y1137">
        <v>1</v>
      </c>
      <c r="Z1137">
        <v>26</v>
      </c>
      <c r="AA1137">
        <v>0</v>
      </c>
      <c r="AB1137">
        <v>0</v>
      </c>
      <c r="AC1137">
        <v>12</v>
      </c>
      <c r="AD1137">
        <f>IF(HR_Data[[#This Row],[Attrition]]="Yes",1,0)</f>
        <v>0</v>
      </c>
      <c r="AE1137" t="str">
        <f>IF(HR_Data[[#This Row],[Age]]&lt;=25,"18-25",IF(HR_Data[[#This Row],[Age]]&lt;=35,"26-35",IF(HR_Data[[#This Row],[Age]]&lt;=45,"36-45",IF(HR_Data[[#This Row],[Age]]&lt;=55,"46-55","55+"))))</f>
        <v>46-55</v>
      </c>
      <c r="AF1137">
        <f>IF(HR_Data[[#This Row],[Age]]&lt;=25,1,IF(HR_Data[[#This Row],[Age]]&lt;=35,2,IF(HR_Data[[#This Row],[Age]]&lt;=45,3,IF(HR_Data[[#This Row],[Age]]&lt;=55,4,5))))</f>
        <v>4</v>
      </c>
      <c r="AG1137" s="1" t="str">
        <f>IF(HR_Data[[#This Row],[MonthlyIncome]]&lt;3000,"&lt;3K",IF(HR_Data[[#This Row],[MonthlyIncome]]&lt;6000,"3K-6K",IF(HR_Data[[#This Row],[MonthlyIncome]]&lt;10000,"6K-10K","10K+")))</f>
        <v>10K+</v>
      </c>
      <c r="AH1137" s="1">
        <f>IF(HR_Data[[#This Row],[MonthlyIncome]]&lt;3000,1,IF(HR_Data[[#This Row],[MonthlyIncome]]&lt;6000,2,IF(HR_Data[[#This Row],[MonthlyIncome]]&lt;10000,3,4)))</f>
        <v>4</v>
      </c>
      <c r="AI1137" s="1" t="str">
        <f>IF(HR_Data[[#This Row],[YearsAtCompany]]&lt;=2,"0-2 Yrs",IF(HR_Data[[#This Row],[YearsAtCompany]]&lt;=5,"3-5 Yrs",IF(HR_Data[[#This Row],[YearsAtCompany]]&lt;=10,"6-10 Yrs","10+ Yrs")))</f>
        <v>10+ Yrs</v>
      </c>
      <c r="AJ1137" s="1">
        <f>IF(HR_Data[[#This Row],[YearsAtCompany]]&lt;=2,1,IF(HR_Data[[#This Row],[YearsAtCompany]]&lt;=5,2,IF(HR_Data[[#This Row],[YearsAtCompany]]&lt;=10,3,4)))</f>
        <v>4</v>
      </c>
      <c r="AK1137" s="1" t="str">
        <f>CHOOSE(HR_Data[[#This Row],[Education]],"Below College","College","Bachelor","Master","Doctor")</f>
        <v>Master</v>
      </c>
      <c r="AL1137" s="1" t="str">
        <f>CHOOSE(HR_Data[[#This Row],[JobSatisfaction]],"Low","Medium","High","Very High")</f>
        <v>Low</v>
      </c>
      <c r="AM1137" s="1" t="str">
        <f>CHOOSE(HR_Data[[#This Row],[EnvironmentSatisfaction]],"Low","Medium","High","Very High")</f>
        <v>Very High</v>
      </c>
      <c r="AN1137" s="1" t="str">
        <f>CHOOSE(HR_Data[[#This Row],[WorkLifeBalance]],"Bad","Good","Better","Best")</f>
        <v>Bad</v>
      </c>
      <c r="AO1137" s="1" t="str">
        <f>IF(HR_Data[[#This Row],[PercentSalaryHike]]&lt;=13,"11-13%",IF(HR_Data[[#This Row],[PercentSalaryHike]]&lt;=16,"14-16%",IF(HR_Data[[#This Row],[PercentSalaryHike]]&lt;=19,"17-19%","20-25%")))</f>
        <v>14-16%</v>
      </c>
      <c r="AP1137" s="1">
        <f>IF(HR_Data[[#This Row],[PercentSalaryHike]]&lt;=13,1,IF(HR_Data[[#This Row],[PercentSalaryHike]]&lt;=16,2,IF(HR_Data[[#This Row],[PercentSalaryHike]]&lt;=19,3,4)))</f>
        <v>2</v>
      </c>
      <c r="AQ1137" s="1" t="str">
        <f>IF(HR_Data[[#This Row],[DistanceFromHome]]&lt;=5,"1 to 5",IF(HR_Data[[#This Row],[DistanceFromHome]]&lt;=10,"6 to 10",IF(HR_Data[[#This Row],[DistanceFromHome]]&lt;=20,"11 to 20","21 to 29")))</f>
        <v>1 to 5</v>
      </c>
      <c r="AR1137" s="1">
        <f>IF(HR_Data[[#This Row],[DistanceFromHome]]&lt;=5,1,IF(HR_Data[[#This Row],[DistanceFromHome]]&lt;=10,2,IF(HR_Data[[#This Row],[DistanceFromHome]]&lt;=20,3,4)))</f>
        <v>1</v>
      </c>
      <c r="AS1137" s="1" t="str">
        <f>IF(HR_Data[[#This Row],[TotalWorkingYears]]&lt;=5,"0-5 Yrs",IF(HR_Data[[#This Row],[TotalWorkingYears]]&lt;=10,"6-10 Yrs",IF(HR_Data[[#This Row],[TotalWorkingYears]]&lt;=20,"11-20 Yrs","20+ Yrs")))</f>
        <v>20+ Yrs</v>
      </c>
      <c r="AT1137" s="1">
        <f>IF(HR_Data[[#This Row],[TotalWorkingYears]]&lt;=5,1,IF(HR_Data[[#This Row],[TotalWorkingYears]]&lt;=10,2,IF(HR_Data[[#This Row],[TotalWorkingYears]]&lt;=20,3,4)))</f>
        <v>4</v>
      </c>
    </row>
    <row r="1138" spans="1:46" x14ac:dyDescent="0.25">
      <c r="A1138">
        <v>28</v>
      </c>
      <c r="B1138" t="s">
        <v>29</v>
      </c>
      <c r="C1138" t="s">
        <v>30</v>
      </c>
      <c r="D1138" t="s">
        <v>38</v>
      </c>
      <c r="E1138">
        <v>24</v>
      </c>
      <c r="F1138">
        <v>3</v>
      </c>
      <c r="G1138" t="s">
        <v>44</v>
      </c>
      <c r="H1138">
        <v>1604</v>
      </c>
      <c r="I1138">
        <v>3</v>
      </c>
      <c r="J1138" t="s">
        <v>39</v>
      </c>
      <c r="K1138">
        <v>3</v>
      </c>
      <c r="L1138">
        <v>1</v>
      </c>
      <c r="M1138" t="s">
        <v>43</v>
      </c>
      <c r="N1138">
        <v>2</v>
      </c>
      <c r="O1138" t="s">
        <v>41</v>
      </c>
      <c r="P1138">
        <v>2408</v>
      </c>
      <c r="Q1138">
        <v>1</v>
      </c>
      <c r="R1138" t="s">
        <v>29</v>
      </c>
      <c r="S1138">
        <v>17</v>
      </c>
      <c r="T1138">
        <v>3</v>
      </c>
      <c r="U1138">
        <v>3</v>
      </c>
      <c r="V1138">
        <v>3</v>
      </c>
      <c r="W1138">
        <v>1</v>
      </c>
      <c r="X1138">
        <v>3</v>
      </c>
      <c r="Y1138">
        <v>3</v>
      </c>
      <c r="Z1138">
        <v>1</v>
      </c>
      <c r="AA1138">
        <v>1</v>
      </c>
      <c r="AB1138">
        <v>0</v>
      </c>
      <c r="AC1138">
        <v>0</v>
      </c>
      <c r="AD1138">
        <f>IF(HR_Data[[#This Row],[Attrition]]="Yes",1,0)</f>
        <v>1</v>
      </c>
      <c r="AE1138" t="str">
        <f>IF(HR_Data[[#This Row],[Age]]&lt;=25,"18-25",IF(HR_Data[[#This Row],[Age]]&lt;=35,"26-35",IF(HR_Data[[#This Row],[Age]]&lt;=45,"36-45",IF(HR_Data[[#This Row],[Age]]&lt;=55,"46-55","55+"))))</f>
        <v>26-35</v>
      </c>
      <c r="AF1138">
        <f>IF(HR_Data[[#This Row],[Age]]&lt;=25,1,IF(HR_Data[[#This Row],[Age]]&lt;=35,2,IF(HR_Data[[#This Row],[Age]]&lt;=45,3,IF(HR_Data[[#This Row],[Age]]&lt;=55,4,5))))</f>
        <v>2</v>
      </c>
      <c r="AG1138" s="1" t="str">
        <f>IF(HR_Data[[#This Row],[MonthlyIncome]]&lt;3000,"&lt;3K",IF(HR_Data[[#This Row],[MonthlyIncome]]&lt;6000,"3K-6K",IF(HR_Data[[#This Row],[MonthlyIncome]]&lt;10000,"6K-10K","10K+")))</f>
        <v>&lt;3K</v>
      </c>
      <c r="AH1138" s="1">
        <f>IF(HR_Data[[#This Row],[MonthlyIncome]]&lt;3000,1,IF(HR_Data[[#This Row],[MonthlyIncome]]&lt;6000,2,IF(HR_Data[[#This Row],[MonthlyIncome]]&lt;10000,3,4)))</f>
        <v>1</v>
      </c>
      <c r="AI1138" s="1" t="str">
        <f>IF(HR_Data[[#This Row],[YearsAtCompany]]&lt;=2,"0-2 Yrs",IF(HR_Data[[#This Row],[YearsAtCompany]]&lt;=5,"3-5 Yrs",IF(HR_Data[[#This Row],[YearsAtCompany]]&lt;=10,"6-10 Yrs","10+ Yrs")))</f>
        <v>0-2 Yrs</v>
      </c>
      <c r="AJ1138" s="1">
        <f>IF(HR_Data[[#This Row],[YearsAtCompany]]&lt;=2,1,IF(HR_Data[[#This Row],[YearsAtCompany]]&lt;=5,2,IF(HR_Data[[#This Row],[YearsAtCompany]]&lt;=10,3,4)))</f>
        <v>1</v>
      </c>
      <c r="AK1138" s="1" t="str">
        <f>CHOOSE(HR_Data[[#This Row],[Education]],"Below College","College","Bachelor","Master","Doctor")</f>
        <v>Bachelor</v>
      </c>
      <c r="AL1138" s="1" t="str">
        <f>CHOOSE(HR_Data[[#This Row],[JobSatisfaction]],"Low","Medium","High","Very High")</f>
        <v>Medium</v>
      </c>
      <c r="AM1138" s="1" t="str">
        <f>CHOOSE(HR_Data[[#This Row],[EnvironmentSatisfaction]],"Low","Medium","High","Very High")</f>
        <v>High</v>
      </c>
      <c r="AN1138" s="1" t="str">
        <f>CHOOSE(HR_Data[[#This Row],[WorkLifeBalance]],"Bad","Good","Better","Best")</f>
        <v>Better</v>
      </c>
      <c r="AO1138" s="1" t="str">
        <f>IF(HR_Data[[#This Row],[PercentSalaryHike]]&lt;=13,"11-13%",IF(HR_Data[[#This Row],[PercentSalaryHike]]&lt;=16,"14-16%",IF(HR_Data[[#This Row],[PercentSalaryHike]]&lt;=19,"17-19%","20-25%")))</f>
        <v>17-19%</v>
      </c>
      <c r="AP1138" s="1">
        <f>IF(HR_Data[[#This Row],[PercentSalaryHike]]&lt;=13,1,IF(HR_Data[[#This Row],[PercentSalaryHike]]&lt;=16,2,IF(HR_Data[[#This Row],[PercentSalaryHike]]&lt;=19,3,4)))</f>
        <v>3</v>
      </c>
      <c r="AQ1138" s="1" t="str">
        <f>IF(HR_Data[[#This Row],[DistanceFromHome]]&lt;=5,"1 to 5",IF(HR_Data[[#This Row],[DistanceFromHome]]&lt;=10,"6 to 10",IF(HR_Data[[#This Row],[DistanceFromHome]]&lt;=20,"11 to 20","21 to 29")))</f>
        <v>21 to 29</v>
      </c>
      <c r="AR1138" s="1">
        <f>IF(HR_Data[[#This Row],[DistanceFromHome]]&lt;=5,1,IF(HR_Data[[#This Row],[DistanceFromHome]]&lt;=10,2,IF(HR_Data[[#This Row],[DistanceFromHome]]&lt;=20,3,4)))</f>
        <v>4</v>
      </c>
      <c r="AS1138" s="1" t="str">
        <f>IF(HR_Data[[#This Row],[TotalWorkingYears]]&lt;=5,"0-5 Yrs",IF(HR_Data[[#This Row],[TotalWorkingYears]]&lt;=10,"6-10 Yrs",IF(HR_Data[[#This Row],[TotalWorkingYears]]&lt;=20,"11-20 Yrs","20+ Yrs")))</f>
        <v>0-5 Yrs</v>
      </c>
      <c r="AT1138" s="1">
        <f>IF(HR_Data[[#This Row],[TotalWorkingYears]]&lt;=5,1,IF(HR_Data[[#This Row],[TotalWorkingYears]]&lt;=10,2,IF(HR_Data[[#This Row],[TotalWorkingYears]]&lt;=20,3,4)))</f>
        <v>1</v>
      </c>
    </row>
    <row r="1139" spans="1:46" x14ac:dyDescent="0.25">
      <c r="A1139">
        <v>22</v>
      </c>
      <c r="B1139" t="s">
        <v>36</v>
      </c>
      <c r="C1139" t="s">
        <v>48</v>
      </c>
      <c r="D1139" t="s">
        <v>38</v>
      </c>
      <c r="E1139">
        <v>26</v>
      </c>
      <c r="F1139">
        <v>2</v>
      </c>
      <c r="G1139" t="s">
        <v>42</v>
      </c>
      <c r="H1139">
        <v>1605</v>
      </c>
      <c r="I1139">
        <v>2</v>
      </c>
      <c r="J1139" t="s">
        <v>33</v>
      </c>
      <c r="K1139">
        <v>2</v>
      </c>
      <c r="L1139">
        <v>1</v>
      </c>
      <c r="M1139" t="s">
        <v>40</v>
      </c>
      <c r="N1139">
        <v>3</v>
      </c>
      <c r="O1139" t="s">
        <v>41</v>
      </c>
      <c r="P1139">
        <v>2814</v>
      </c>
      <c r="Q1139">
        <v>1</v>
      </c>
      <c r="R1139" t="s">
        <v>29</v>
      </c>
      <c r="S1139">
        <v>14</v>
      </c>
      <c r="T1139">
        <v>3</v>
      </c>
      <c r="U1139">
        <v>2</v>
      </c>
      <c r="V1139">
        <v>0</v>
      </c>
      <c r="W1139">
        <v>4</v>
      </c>
      <c r="X1139">
        <v>2</v>
      </c>
      <c r="Y1139">
        <v>2</v>
      </c>
      <c r="Z1139">
        <v>4</v>
      </c>
      <c r="AA1139">
        <v>2</v>
      </c>
      <c r="AB1139">
        <v>1</v>
      </c>
      <c r="AC1139">
        <v>3</v>
      </c>
      <c r="AD1139">
        <f>IF(HR_Data[[#This Row],[Attrition]]="Yes",1,0)</f>
        <v>0</v>
      </c>
      <c r="AE1139" t="str">
        <f>IF(HR_Data[[#This Row],[Age]]&lt;=25,"18-25",IF(HR_Data[[#This Row],[Age]]&lt;=35,"26-35",IF(HR_Data[[#This Row],[Age]]&lt;=45,"36-45",IF(HR_Data[[#This Row],[Age]]&lt;=55,"46-55","55+"))))</f>
        <v>18-25</v>
      </c>
      <c r="AF1139">
        <f>IF(HR_Data[[#This Row],[Age]]&lt;=25,1,IF(HR_Data[[#This Row],[Age]]&lt;=35,2,IF(HR_Data[[#This Row],[Age]]&lt;=45,3,IF(HR_Data[[#This Row],[Age]]&lt;=55,4,5))))</f>
        <v>1</v>
      </c>
      <c r="AG1139" s="1" t="str">
        <f>IF(HR_Data[[#This Row],[MonthlyIncome]]&lt;3000,"&lt;3K",IF(HR_Data[[#This Row],[MonthlyIncome]]&lt;6000,"3K-6K",IF(HR_Data[[#This Row],[MonthlyIncome]]&lt;10000,"6K-10K","10K+")))</f>
        <v>&lt;3K</v>
      </c>
      <c r="AH1139" s="1">
        <f>IF(HR_Data[[#This Row],[MonthlyIncome]]&lt;3000,1,IF(HR_Data[[#This Row],[MonthlyIncome]]&lt;6000,2,IF(HR_Data[[#This Row],[MonthlyIncome]]&lt;10000,3,4)))</f>
        <v>1</v>
      </c>
      <c r="AI1139" s="1" t="str">
        <f>IF(HR_Data[[#This Row],[YearsAtCompany]]&lt;=2,"0-2 Yrs",IF(HR_Data[[#This Row],[YearsAtCompany]]&lt;=5,"3-5 Yrs",IF(HR_Data[[#This Row],[YearsAtCompany]]&lt;=10,"6-10 Yrs","10+ Yrs")))</f>
        <v>3-5 Yrs</v>
      </c>
      <c r="AJ1139" s="1">
        <f>IF(HR_Data[[#This Row],[YearsAtCompany]]&lt;=2,1,IF(HR_Data[[#This Row],[YearsAtCompany]]&lt;=5,2,IF(HR_Data[[#This Row],[YearsAtCompany]]&lt;=10,3,4)))</f>
        <v>2</v>
      </c>
      <c r="AK1139" s="1" t="str">
        <f>CHOOSE(HR_Data[[#This Row],[Education]],"Below College","College","Bachelor","Master","Doctor")</f>
        <v>College</v>
      </c>
      <c r="AL1139" s="1" t="str">
        <f>CHOOSE(HR_Data[[#This Row],[JobSatisfaction]],"Low","Medium","High","Very High")</f>
        <v>High</v>
      </c>
      <c r="AM1139" s="1" t="str">
        <f>CHOOSE(HR_Data[[#This Row],[EnvironmentSatisfaction]],"Low","Medium","High","Very High")</f>
        <v>Medium</v>
      </c>
      <c r="AN1139" s="1" t="str">
        <f>CHOOSE(HR_Data[[#This Row],[WorkLifeBalance]],"Bad","Good","Better","Best")</f>
        <v>Good</v>
      </c>
      <c r="AO1139" s="1" t="str">
        <f>IF(HR_Data[[#This Row],[PercentSalaryHike]]&lt;=13,"11-13%",IF(HR_Data[[#This Row],[PercentSalaryHike]]&lt;=16,"14-16%",IF(HR_Data[[#This Row],[PercentSalaryHike]]&lt;=19,"17-19%","20-25%")))</f>
        <v>14-16%</v>
      </c>
      <c r="AP1139" s="1">
        <f>IF(HR_Data[[#This Row],[PercentSalaryHike]]&lt;=13,1,IF(HR_Data[[#This Row],[PercentSalaryHike]]&lt;=16,2,IF(HR_Data[[#This Row],[PercentSalaryHike]]&lt;=19,3,4)))</f>
        <v>2</v>
      </c>
      <c r="AQ1139" s="1" t="str">
        <f>IF(HR_Data[[#This Row],[DistanceFromHome]]&lt;=5,"1 to 5",IF(HR_Data[[#This Row],[DistanceFromHome]]&lt;=10,"6 to 10",IF(HR_Data[[#This Row],[DistanceFromHome]]&lt;=20,"11 to 20","21 to 29")))</f>
        <v>21 to 29</v>
      </c>
      <c r="AR1139" s="1">
        <f>IF(HR_Data[[#This Row],[DistanceFromHome]]&lt;=5,1,IF(HR_Data[[#This Row],[DistanceFromHome]]&lt;=10,2,IF(HR_Data[[#This Row],[DistanceFromHome]]&lt;=20,3,4)))</f>
        <v>4</v>
      </c>
      <c r="AS1139" s="1" t="str">
        <f>IF(HR_Data[[#This Row],[TotalWorkingYears]]&lt;=5,"0-5 Yrs",IF(HR_Data[[#This Row],[TotalWorkingYears]]&lt;=10,"6-10 Yrs",IF(HR_Data[[#This Row],[TotalWorkingYears]]&lt;=20,"11-20 Yrs","20+ Yrs")))</f>
        <v>0-5 Yrs</v>
      </c>
      <c r="AT1139" s="1">
        <f>IF(HR_Data[[#This Row],[TotalWorkingYears]]&lt;=5,1,IF(HR_Data[[#This Row],[TotalWorkingYears]]&lt;=10,2,IF(HR_Data[[#This Row],[TotalWorkingYears]]&lt;=20,3,4)))</f>
        <v>1</v>
      </c>
    </row>
    <row r="1140" spans="1:46" x14ac:dyDescent="0.25">
      <c r="A1140">
        <v>50</v>
      </c>
      <c r="B1140" t="s">
        <v>36</v>
      </c>
      <c r="C1140" t="s">
        <v>37</v>
      </c>
      <c r="D1140" t="s">
        <v>38</v>
      </c>
      <c r="E1140">
        <v>20</v>
      </c>
      <c r="F1140">
        <v>5</v>
      </c>
      <c r="G1140" t="s">
        <v>44</v>
      </c>
      <c r="H1140">
        <v>1606</v>
      </c>
      <c r="I1140">
        <v>2</v>
      </c>
      <c r="J1140" t="s">
        <v>39</v>
      </c>
      <c r="K1140">
        <v>3</v>
      </c>
      <c r="L1140">
        <v>4</v>
      </c>
      <c r="M1140" t="s">
        <v>47</v>
      </c>
      <c r="N1140">
        <v>3</v>
      </c>
      <c r="O1140" t="s">
        <v>41</v>
      </c>
      <c r="P1140">
        <v>11245</v>
      </c>
      <c r="Q1140">
        <v>2</v>
      </c>
      <c r="R1140" t="s">
        <v>29</v>
      </c>
      <c r="S1140">
        <v>15</v>
      </c>
      <c r="T1140">
        <v>3</v>
      </c>
      <c r="U1140">
        <v>3</v>
      </c>
      <c r="V1140">
        <v>1</v>
      </c>
      <c r="W1140">
        <v>32</v>
      </c>
      <c r="X1140">
        <v>3</v>
      </c>
      <c r="Y1140">
        <v>3</v>
      </c>
      <c r="Z1140">
        <v>30</v>
      </c>
      <c r="AA1140">
        <v>8</v>
      </c>
      <c r="AB1140">
        <v>12</v>
      </c>
      <c r="AC1140">
        <v>13</v>
      </c>
      <c r="AD1140">
        <f>IF(HR_Data[[#This Row],[Attrition]]="Yes",1,0)</f>
        <v>0</v>
      </c>
      <c r="AE1140" t="str">
        <f>IF(HR_Data[[#This Row],[Age]]&lt;=25,"18-25",IF(HR_Data[[#This Row],[Age]]&lt;=35,"26-35",IF(HR_Data[[#This Row],[Age]]&lt;=45,"36-45",IF(HR_Data[[#This Row],[Age]]&lt;=55,"46-55","55+"))))</f>
        <v>46-55</v>
      </c>
      <c r="AF1140">
        <f>IF(HR_Data[[#This Row],[Age]]&lt;=25,1,IF(HR_Data[[#This Row],[Age]]&lt;=35,2,IF(HR_Data[[#This Row],[Age]]&lt;=45,3,IF(HR_Data[[#This Row],[Age]]&lt;=55,4,5))))</f>
        <v>4</v>
      </c>
      <c r="AG1140" s="1" t="str">
        <f>IF(HR_Data[[#This Row],[MonthlyIncome]]&lt;3000,"&lt;3K",IF(HR_Data[[#This Row],[MonthlyIncome]]&lt;6000,"3K-6K",IF(HR_Data[[#This Row],[MonthlyIncome]]&lt;10000,"6K-10K","10K+")))</f>
        <v>10K+</v>
      </c>
      <c r="AH1140" s="1">
        <f>IF(HR_Data[[#This Row],[MonthlyIncome]]&lt;3000,1,IF(HR_Data[[#This Row],[MonthlyIncome]]&lt;6000,2,IF(HR_Data[[#This Row],[MonthlyIncome]]&lt;10000,3,4)))</f>
        <v>4</v>
      </c>
      <c r="AI1140" s="1" t="str">
        <f>IF(HR_Data[[#This Row],[YearsAtCompany]]&lt;=2,"0-2 Yrs",IF(HR_Data[[#This Row],[YearsAtCompany]]&lt;=5,"3-5 Yrs",IF(HR_Data[[#This Row],[YearsAtCompany]]&lt;=10,"6-10 Yrs","10+ Yrs")))</f>
        <v>10+ Yrs</v>
      </c>
      <c r="AJ1140" s="1">
        <f>IF(HR_Data[[#This Row],[YearsAtCompany]]&lt;=2,1,IF(HR_Data[[#This Row],[YearsAtCompany]]&lt;=5,2,IF(HR_Data[[#This Row],[YearsAtCompany]]&lt;=10,3,4)))</f>
        <v>4</v>
      </c>
      <c r="AK1140" s="1" t="str">
        <f>CHOOSE(HR_Data[[#This Row],[Education]],"Below College","College","Bachelor","Master","Doctor")</f>
        <v>Doctor</v>
      </c>
      <c r="AL1140" s="1" t="str">
        <f>CHOOSE(HR_Data[[#This Row],[JobSatisfaction]],"Low","Medium","High","Very High")</f>
        <v>High</v>
      </c>
      <c r="AM1140" s="1" t="str">
        <f>CHOOSE(HR_Data[[#This Row],[EnvironmentSatisfaction]],"Low","Medium","High","Very High")</f>
        <v>Medium</v>
      </c>
      <c r="AN1140" s="1" t="str">
        <f>CHOOSE(HR_Data[[#This Row],[WorkLifeBalance]],"Bad","Good","Better","Best")</f>
        <v>Better</v>
      </c>
      <c r="AO1140" s="1" t="str">
        <f>IF(HR_Data[[#This Row],[PercentSalaryHike]]&lt;=13,"11-13%",IF(HR_Data[[#This Row],[PercentSalaryHike]]&lt;=16,"14-16%",IF(HR_Data[[#This Row],[PercentSalaryHike]]&lt;=19,"17-19%","20-25%")))</f>
        <v>14-16%</v>
      </c>
      <c r="AP1140" s="1">
        <f>IF(HR_Data[[#This Row],[PercentSalaryHike]]&lt;=13,1,IF(HR_Data[[#This Row],[PercentSalaryHike]]&lt;=16,2,IF(HR_Data[[#This Row],[PercentSalaryHike]]&lt;=19,3,4)))</f>
        <v>2</v>
      </c>
      <c r="AQ1140" s="1" t="str">
        <f>IF(HR_Data[[#This Row],[DistanceFromHome]]&lt;=5,"1 to 5",IF(HR_Data[[#This Row],[DistanceFromHome]]&lt;=10,"6 to 10",IF(HR_Data[[#This Row],[DistanceFromHome]]&lt;=20,"11 to 20","21 to 29")))</f>
        <v>11 to 20</v>
      </c>
      <c r="AR1140" s="1">
        <f>IF(HR_Data[[#This Row],[DistanceFromHome]]&lt;=5,1,IF(HR_Data[[#This Row],[DistanceFromHome]]&lt;=10,2,IF(HR_Data[[#This Row],[DistanceFromHome]]&lt;=20,3,4)))</f>
        <v>3</v>
      </c>
      <c r="AS1140" s="1" t="str">
        <f>IF(HR_Data[[#This Row],[TotalWorkingYears]]&lt;=5,"0-5 Yrs",IF(HR_Data[[#This Row],[TotalWorkingYears]]&lt;=10,"6-10 Yrs",IF(HR_Data[[#This Row],[TotalWorkingYears]]&lt;=20,"11-20 Yrs","20+ Yrs")))</f>
        <v>20+ Yrs</v>
      </c>
      <c r="AT1140" s="1">
        <f>IF(HR_Data[[#This Row],[TotalWorkingYears]]&lt;=5,1,IF(HR_Data[[#This Row],[TotalWorkingYears]]&lt;=10,2,IF(HR_Data[[#This Row],[TotalWorkingYears]]&lt;=20,3,4)))</f>
        <v>4</v>
      </c>
    </row>
    <row r="1141" spans="1:46" x14ac:dyDescent="0.25">
      <c r="A1141">
        <v>32</v>
      </c>
      <c r="B1141" t="s">
        <v>36</v>
      </c>
      <c r="C1141" t="s">
        <v>30</v>
      </c>
      <c r="D1141" t="s">
        <v>38</v>
      </c>
      <c r="E1141">
        <v>5</v>
      </c>
      <c r="F1141">
        <v>4</v>
      </c>
      <c r="G1141" t="s">
        <v>42</v>
      </c>
      <c r="H1141">
        <v>1607</v>
      </c>
      <c r="I1141">
        <v>2</v>
      </c>
      <c r="J1141" t="s">
        <v>33</v>
      </c>
      <c r="K1141">
        <v>4</v>
      </c>
      <c r="L1141">
        <v>1</v>
      </c>
      <c r="M1141" t="s">
        <v>40</v>
      </c>
      <c r="N1141">
        <v>4</v>
      </c>
      <c r="O1141" t="s">
        <v>41</v>
      </c>
      <c r="P1141">
        <v>3312</v>
      </c>
      <c r="Q1141">
        <v>3</v>
      </c>
      <c r="R1141" t="s">
        <v>36</v>
      </c>
      <c r="S1141">
        <v>17</v>
      </c>
      <c r="T1141">
        <v>3</v>
      </c>
      <c r="U1141">
        <v>4</v>
      </c>
      <c r="V1141">
        <v>2</v>
      </c>
      <c r="W1141">
        <v>6</v>
      </c>
      <c r="X1141">
        <v>3</v>
      </c>
      <c r="Y1141">
        <v>3</v>
      </c>
      <c r="Z1141">
        <v>3</v>
      </c>
      <c r="AA1141">
        <v>2</v>
      </c>
      <c r="AB1141">
        <v>0</v>
      </c>
      <c r="AC1141">
        <v>2</v>
      </c>
      <c r="AD1141">
        <f>IF(HR_Data[[#This Row],[Attrition]]="Yes",1,0)</f>
        <v>0</v>
      </c>
      <c r="AE1141" t="str">
        <f>IF(HR_Data[[#This Row],[Age]]&lt;=25,"18-25",IF(HR_Data[[#This Row],[Age]]&lt;=35,"26-35",IF(HR_Data[[#This Row],[Age]]&lt;=45,"36-45",IF(HR_Data[[#This Row],[Age]]&lt;=55,"46-55","55+"))))</f>
        <v>26-35</v>
      </c>
      <c r="AF1141">
        <f>IF(HR_Data[[#This Row],[Age]]&lt;=25,1,IF(HR_Data[[#This Row],[Age]]&lt;=35,2,IF(HR_Data[[#This Row],[Age]]&lt;=45,3,IF(HR_Data[[#This Row],[Age]]&lt;=55,4,5))))</f>
        <v>2</v>
      </c>
      <c r="AG1141" s="1" t="str">
        <f>IF(HR_Data[[#This Row],[MonthlyIncome]]&lt;3000,"&lt;3K",IF(HR_Data[[#This Row],[MonthlyIncome]]&lt;6000,"3K-6K",IF(HR_Data[[#This Row],[MonthlyIncome]]&lt;10000,"6K-10K","10K+")))</f>
        <v>3K-6K</v>
      </c>
      <c r="AH1141" s="1">
        <f>IF(HR_Data[[#This Row],[MonthlyIncome]]&lt;3000,1,IF(HR_Data[[#This Row],[MonthlyIncome]]&lt;6000,2,IF(HR_Data[[#This Row],[MonthlyIncome]]&lt;10000,3,4)))</f>
        <v>2</v>
      </c>
      <c r="AI1141" s="1" t="str">
        <f>IF(HR_Data[[#This Row],[YearsAtCompany]]&lt;=2,"0-2 Yrs",IF(HR_Data[[#This Row],[YearsAtCompany]]&lt;=5,"3-5 Yrs",IF(HR_Data[[#This Row],[YearsAtCompany]]&lt;=10,"6-10 Yrs","10+ Yrs")))</f>
        <v>3-5 Yrs</v>
      </c>
      <c r="AJ1141" s="1">
        <f>IF(HR_Data[[#This Row],[YearsAtCompany]]&lt;=2,1,IF(HR_Data[[#This Row],[YearsAtCompany]]&lt;=5,2,IF(HR_Data[[#This Row],[YearsAtCompany]]&lt;=10,3,4)))</f>
        <v>2</v>
      </c>
      <c r="AK1141" s="1" t="str">
        <f>CHOOSE(HR_Data[[#This Row],[Education]],"Below College","College","Bachelor","Master","Doctor")</f>
        <v>Master</v>
      </c>
      <c r="AL1141" s="1" t="str">
        <f>CHOOSE(HR_Data[[#This Row],[JobSatisfaction]],"Low","Medium","High","Very High")</f>
        <v>Very High</v>
      </c>
      <c r="AM1141" s="1" t="str">
        <f>CHOOSE(HR_Data[[#This Row],[EnvironmentSatisfaction]],"Low","Medium","High","Very High")</f>
        <v>Medium</v>
      </c>
      <c r="AN1141" s="1" t="str">
        <f>CHOOSE(HR_Data[[#This Row],[WorkLifeBalance]],"Bad","Good","Better","Best")</f>
        <v>Better</v>
      </c>
      <c r="AO1141" s="1" t="str">
        <f>IF(HR_Data[[#This Row],[PercentSalaryHike]]&lt;=13,"11-13%",IF(HR_Data[[#This Row],[PercentSalaryHike]]&lt;=16,"14-16%",IF(HR_Data[[#This Row],[PercentSalaryHike]]&lt;=19,"17-19%","20-25%")))</f>
        <v>17-19%</v>
      </c>
      <c r="AP1141" s="1">
        <f>IF(HR_Data[[#This Row],[PercentSalaryHike]]&lt;=13,1,IF(HR_Data[[#This Row],[PercentSalaryHike]]&lt;=16,2,IF(HR_Data[[#This Row],[PercentSalaryHike]]&lt;=19,3,4)))</f>
        <v>3</v>
      </c>
      <c r="AQ1141" s="1" t="str">
        <f>IF(HR_Data[[#This Row],[DistanceFromHome]]&lt;=5,"1 to 5",IF(HR_Data[[#This Row],[DistanceFromHome]]&lt;=10,"6 to 10",IF(HR_Data[[#This Row],[DistanceFromHome]]&lt;=20,"11 to 20","21 to 29")))</f>
        <v>1 to 5</v>
      </c>
      <c r="AR1141" s="1">
        <f>IF(HR_Data[[#This Row],[DistanceFromHome]]&lt;=5,1,IF(HR_Data[[#This Row],[DistanceFromHome]]&lt;=10,2,IF(HR_Data[[#This Row],[DistanceFromHome]]&lt;=20,3,4)))</f>
        <v>1</v>
      </c>
      <c r="AS1141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141" s="1">
        <f>IF(HR_Data[[#This Row],[TotalWorkingYears]]&lt;=5,1,IF(HR_Data[[#This Row],[TotalWorkingYears]]&lt;=10,2,IF(HR_Data[[#This Row],[TotalWorkingYears]]&lt;=20,3,4)))</f>
        <v>2</v>
      </c>
    </row>
    <row r="1142" spans="1:46" x14ac:dyDescent="0.25">
      <c r="A1142">
        <v>44</v>
      </c>
      <c r="B1142" t="s">
        <v>36</v>
      </c>
      <c r="C1142" t="s">
        <v>30</v>
      </c>
      <c r="D1142" t="s">
        <v>38</v>
      </c>
      <c r="E1142">
        <v>7</v>
      </c>
      <c r="F1142">
        <v>3</v>
      </c>
      <c r="G1142" t="s">
        <v>44</v>
      </c>
      <c r="H1142">
        <v>1608</v>
      </c>
      <c r="I1142">
        <v>2</v>
      </c>
      <c r="J1142" t="s">
        <v>33</v>
      </c>
      <c r="K1142">
        <v>3</v>
      </c>
      <c r="L1142">
        <v>5</v>
      </c>
      <c r="M1142" t="s">
        <v>51</v>
      </c>
      <c r="N1142">
        <v>4</v>
      </c>
      <c r="O1142" t="s">
        <v>45</v>
      </c>
      <c r="P1142">
        <v>19049</v>
      </c>
      <c r="Q1142">
        <v>0</v>
      </c>
      <c r="R1142" t="s">
        <v>29</v>
      </c>
      <c r="S1142">
        <v>14</v>
      </c>
      <c r="T1142">
        <v>3</v>
      </c>
      <c r="U1142">
        <v>4</v>
      </c>
      <c r="V1142">
        <v>1</v>
      </c>
      <c r="W1142">
        <v>23</v>
      </c>
      <c r="X1142">
        <v>4</v>
      </c>
      <c r="Y1142">
        <v>2</v>
      </c>
      <c r="Z1142">
        <v>22</v>
      </c>
      <c r="AA1142">
        <v>7</v>
      </c>
      <c r="AB1142">
        <v>1</v>
      </c>
      <c r="AC1142">
        <v>10</v>
      </c>
      <c r="AD1142">
        <f>IF(HR_Data[[#This Row],[Attrition]]="Yes",1,0)</f>
        <v>0</v>
      </c>
      <c r="AE1142" t="str">
        <f>IF(HR_Data[[#This Row],[Age]]&lt;=25,"18-25",IF(HR_Data[[#This Row],[Age]]&lt;=35,"26-35",IF(HR_Data[[#This Row],[Age]]&lt;=45,"36-45",IF(HR_Data[[#This Row],[Age]]&lt;=55,"46-55","55+"))))</f>
        <v>36-45</v>
      </c>
      <c r="AF1142">
        <f>IF(HR_Data[[#This Row],[Age]]&lt;=25,1,IF(HR_Data[[#This Row],[Age]]&lt;=35,2,IF(HR_Data[[#This Row],[Age]]&lt;=45,3,IF(HR_Data[[#This Row],[Age]]&lt;=55,4,5))))</f>
        <v>3</v>
      </c>
      <c r="AG1142" s="1" t="str">
        <f>IF(HR_Data[[#This Row],[MonthlyIncome]]&lt;3000,"&lt;3K",IF(HR_Data[[#This Row],[MonthlyIncome]]&lt;6000,"3K-6K",IF(HR_Data[[#This Row],[MonthlyIncome]]&lt;10000,"6K-10K","10K+")))</f>
        <v>10K+</v>
      </c>
      <c r="AH1142" s="1">
        <f>IF(HR_Data[[#This Row],[MonthlyIncome]]&lt;3000,1,IF(HR_Data[[#This Row],[MonthlyIncome]]&lt;6000,2,IF(HR_Data[[#This Row],[MonthlyIncome]]&lt;10000,3,4)))</f>
        <v>4</v>
      </c>
      <c r="AI1142" s="1" t="str">
        <f>IF(HR_Data[[#This Row],[YearsAtCompany]]&lt;=2,"0-2 Yrs",IF(HR_Data[[#This Row],[YearsAtCompany]]&lt;=5,"3-5 Yrs",IF(HR_Data[[#This Row],[YearsAtCompany]]&lt;=10,"6-10 Yrs","10+ Yrs")))</f>
        <v>10+ Yrs</v>
      </c>
      <c r="AJ1142" s="1">
        <f>IF(HR_Data[[#This Row],[YearsAtCompany]]&lt;=2,1,IF(HR_Data[[#This Row],[YearsAtCompany]]&lt;=5,2,IF(HR_Data[[#This Row],[YearsAtCompany]]&lt;=10,3,4)))</f>
        <v>4</v>
      </c>
      <c r="AK1142" s="1" t="str">
        <f>CHOOSE(HR_Data[[#This Row],[Education]],"Below College","College","Bachelor","Master","Doctor")</f>
        <v>Bachelor</v>
      </c>
      <c r="AL1142" s="1" t="str">
        <f>CHOOSE(HR_Data[[#This Row],[JobSatisfaction]],"Low","Medium","High","Very High")</f>
        <v>Very High</v>
      </c>
      <c r="AM1142" s="1" t="str">
        <f>CHOOSE(HR_Data[[#This Row],[EnvironmentSatisfaction]],"Low","Medium","High","Very High")</f>
        <v>Medium</v>
      </c>
      <c r="AN1142" s="1" t="str">
        <f>CHOOSE(HR_Data[[#This Row],[WorkLifeBalance]],"Bad","Good","Better","Best")</f>
        <v>Good</v>
      </c>
      <c r="AO1142" s="1" t="str">
        <f>IF(HR_Data[[#This Row],[PercentSalaryHike]]&lt;=13,"11-13%",IF(HR_Data[[#This Row],[PercentSalaryHike]]&lt;=16,"14-16%",IF(HR_Data[[#This Row],[PercentSalaryHike]]&lt;=19,"17-19%","20-25%")))</f>
        <v>14-16%</v>
      </c>
      <c r="AP1142" s="1">
        <f>IF(HR_Data[[#This Row],[PercentSalaryHike]]&lt;=13,1,IF(HR_Data[[#This Row],[PercentSalaryHike]]&lt;=16,2,IF(HR_Data[[#This Row],[PercentSalaryHike]]&lt;=19,3,4)))</f>
        <v>2</v>
      </c>
      <c r="AQ1142" s="1" t="str">
        <f>IF(HR_Data[[#This Row],[DistanceFromHome]]&lt;=5,"1 to 5",IF(HR_Data[[#This Row],[DistanceFromHome]]&lt;=10,"6 to 10",IF(HR_Data[[#This Row],[DistanceFromHome]]&lt;=20,"11 to 20","21 to 29")))</f>
        <v>6 to 10</v>
      </c>
      <c r="AR1142" s="1">
        <f>IF(HR_Data[[#This Row],[DistanceFromHome]]&lt;=5,1,IF(HR_Data[[#This Row],[DistanceFromHome]]&lt;=10,2,IF(HR_Data[[#This Row],[DistanceFromHome]]&lt;=20,3,4)))</f>
        <v>2</v>
      </c>
      <c r="AS1142" s="1" t="str">
        <f>IF(HR_Data[[#This Row],[TotalWorkingYears]]&lt;=5,"0-5 Yrs",IF(HR_Data[[#This Row],[TotalWorkingYears]]&lt;=10,"6-10 Yrs",IF(HR_Data[[#This Row],[TotalWorkingYears]]&lt;=20,"11-20 Yrs","20+ Yrs")))</f>
        <v>20+ Yrs</v>
      </c>
      <c r="AT1142" s="1">
        <f>IF(HR_Data[[#This Row],[TotalWorkingYears]]&lt;=5,1,IF(HR_Data[[#This Row],[TotalWorkingYears]]&lt;=10,2,IF(HR_Data[[#This Row],[TotalWorkingYears]]&lt;=20,3,4)))</f>
        <v>4</v>
      </c>
    </row>
    <row r="1143" spans="1:46" x14ac:dyDescent="0.25">
      <c r="A1143">
        <v>30</v>
      </c>
      <c r="B1143" t="s">
        <v>36</v>
      </c>
      <c r="C1143" t="s">
        <v>30</v>
      </c>
      <c r="D1143" t="s">
        <v>38</v>
      </c>
      <c r="E1143">
        <v>7</v>
      </c>
      <c r="F1143">
        <v>3</v>
      </c>
      <c r="G1143" t="s">
        <v>44</v>
      </c>
      <c r="H1143">
        <v>1609</v>
      </c>
      <c r="I1143">
        <v>2</v>
      </c>
      <c r="J1143" t="s">
        <v>39</v>
      </c>
      <c r="K1143">
        <v>2</v>
      </c>
      <c r="L1143">
        <v>1</v>
      </c>
      <c r="M1143" t="s">
        <v>40</v>
      </c>
      <c r="N1143">
        <v>2</v>
      </c>
      <c r="O1143" t="s">
        <v>41</v>
      </c>
      <c r="P1143">
        <v>2141</v>
      </c>
      <c r="Q1143">
        <v>1</v>
      </c>
      <c r="R1143" t="s">
        <v>36</v>
      </c>
      <c r="S1143">
        <v>12</v>
      </c>
      <c r="T1143">
        <v>3</v>
      </c>
      <c r="U1143">
        <v>2</v>
      </c>
      <c r="V1143">
        <v>1</v>
      </c>
      <c r="W1143">
        <v>6</v>
      </c>
      <c r="X1143">
        <v>3</v>
      </c>
      <c r="Y1143">
        <v>2</v>
      </c>
      <c r="Z1143">
        <v>6</v>
      </c>
      <c r="AA1143">
        <v>4</v>
      </c>
      <c r="AB1143">
        <v>1</v>
      </c>
      <c r="AC1143">
        <v>1</v>
      </c>
      <c r="AD1143">
        <f>IF(HR_Data[[#This Row],[Attrition]]="Yes",1,0)</f>
        <v>0</v>
      </c>
      <c r="AE1143" t="str">
        <f>IF(HR_Data[[#This Row],[Age]]&lt;=25,"18-25",IF(HR_Data[[#This Row],[Age]]&lt;=35,"26-35",IF(HR_Data[[#This Row],[Age]]&lt;=45,"36-45",IF(HR_Data[[#This Row],[Age]]&lt;=55,"46-55","55+"))))</f>
        <v>26-35</v>
      </c>
      <c r="AF1143">
        <f>IF(HR_Data[[#This Row],[Age]]&lt;=25,1,IF(HR_Data[[#This Row],[Age]]&lt;=35,2,IF(HR_Data[[#This Row],[Age]]&lt;=45,3,IF(HR_Data[[#This Row],[Age]]&lt;=55,4,5))))</f>
        <v>2</v>
      </c>
      <c r="AG1143" s="1" t="str">
        <f>IF(HR_Data[[#This Row],[MonthlyIncome]]&lt;3000,"&lt;3K",IF(HR_Data[[#This Row],[MonthlyIncome]]&lt;6000,"3K-6K",IF(HR_Data[[#This Row],[MonthlyIncome]]&lt;10000,"6K-10K","10K+")))</f>
        <v>&lt;3K</v>
      </c>
      <c r="AH1143" s="1">
        <f>IF(HR_Data[[#This Row],[MonthlyIncome]]&lt;3000,1,IF(HR_Data[[#This Row],[MonthlyIncome]]&lt;6000,2,IF(HR_Data[[#This Row],[MonthlyIncome]]&lt;10000,3,4)))</f>
        <v>1</v>
      </c>
      <c r="AI1143" s="1" t="str">
        <f>IF(HR_Data[[#This Row],[YearsAtCompany]]&lt;=2,"0-2 Yrs",IF(HR_Data[[#This Row],[YearsAtCompany]]&lt;=5,"3-5 Yrs",IF(HR_Data[[#This Row],[YearsAtCompany]]&lt;=10,"6-10 Yrs","10+ Yrs")))</f>
        <v>6-10 Yrs</v>
      </c>
      <c r="AJ1143" s="1">
        <f>IF(HR_Data[[#This Row],[YearsAtCompany]]&lt;=2,1,IF(HR_Data[[#This Row],[YearsAtCompany]]&lt;=5,2,IF(HR_Data[[#This Row],[YearsAtCompany]]&lt;=10,3,4)))</f>
        <v>3</v>
      </c>
      <c r="AK1143" s="1" t="str">
        <f>CHOOSE(HR_Data[[#This Row],[Education]],"Below College","College","Bachelor","Master","Doctor")</f>
        <v>Bachelor</v>
      </c>
      <c r="AL1143" s="1" t="str">
        <f>CHOOSE(HR_Data[[#This Row],[JobSatisfaction]],"Low","Medium","High","Very High")</f>
        <v>Medium</v>
      </c>
      <c r="AM1143" s="1" t="str">
        <f>CHOOSE(HR_Data[[#This Row],[EnvironmentSatisfaction]],"Low","Medium","High","Very High")</f>
        <v>Medium</v>
      </c>
      <c r="AN1143" s="1" t="str">
        <f>CHOOSE(HR_Data[[#This Row],[WorkLifeBalance]],"Bad","Good","Better","Best")</f>
        <v>Good</v>
      </c>
      <c r="AO1143" s="1" t="str">
        <f>IF(HR_Data[[#This Row],[PercentSalaryHike]]&lt;=13,"11-13%",IF(HR_Data[[#This Row],[PercentSalaryHike]]&lt;=16,"14-16%",IF(HR_Data[[#This Row],[PercentSalaryHike]]&lt;=19,"17-19%","20-25%")))</f>
        <v>11-13%</v>
      </c>
      <c r="AP1143" s="1">
        <f>IF(HR_Data[[#This Row],[PercentSalaryHike]]&lt;=13,1,IF(HR_Data[[#This Row],[PercentSalaryHike]]&lt;=16,2,IF(HR_Data[[#This Row],[PercentSalaryHike]]&lt;=19,3,4)))</f>
        <v>1</v>
      </c>
      <c r="AQ1143" s="1" t="str">
        <f>IF(HR_Data[[#This Row],[DistanceFromHome]]&lt;=5,"1 to 5",IF(HR_Data[[#This Row],[DistanceFromHome]]&lt;=10,"6 to 10",IF(HR_Data[[#This Row],[DistanceFromHome]]&lt;=20,"11 to 20","21 to 29")))</f>
        <v>6 to 10</v>
      </c>
      <c r="AR1143" s="1">
        <f>IF(HR_Data[[#This Row],[DistanceFromHome]]&lt;=5,1,IF(HR_Data[[#This Row],[DistanceFromHome]]&lt;=10,2,IF(HR_Data[[#This Row],[DistanceFromHome]]&lt;=20,3,4)))</f>
        <v>2</v>
      </c>
      <c r="AS1143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143" s="1">
        <f>IF(HR_Data[[#This Row],[TotalWorkingYears]]&lt;=5,1,IF(HR_Data[[#This Row],[TotalWorkingYears]]&lt;=10,2,IF(HR_Data[[#This Row],[TotalWorkingYears]]&lt;=20,3,4)))</f>
        <v>2</v>
      </c>
    </row>
    <row r="1144" spans="1:46" x14ac:dyDescent="0.25">
      <c r="A1144">
        <v>45</v>
      </c>
      <c r="B1144" t="s">
        <v>36</v>
      </c>
      <c r="C1144" t="s">
        <v>30</v>
      </c>
      <c r="D1144" t="s">
        <v>38</v>
      </c>
      <c r="E1144">
        <v>5</v>
      </c>
      <c r="F1144">
        <v>5</v>
      </c>
      <c r="G1144" t="s">
        <v>44</v>
      </c>
      <c r="H1144">
        <v>1611</v>
      </c>
      <c r="I1144">
        <v>3</v>
      </c>
      <c r="J1144" t="s">
        <v>33</v>
      </c>
      <c r="K1144">
        <v>1</v>
      </c>
      <c r="L1144">
        <v>2</v>
      </c>
      <c r="M1144" t="s">
        <v>43</v>
      </c>
      <c r="N1144">
        <v>1</v>
      </c>
      <c r="O1144" t="s">
        <v>35</v>
      </c>
      <c r="P1144">
        <v>5769</v>
      </c>
      <c r="Q1144">
        <v>1</v>
      </c>
      <c r="R1144" t="s">
        <v>29</v>
      </c>
      <c r="S1144">
        <v>14</v>
      </c>
      <c r="T1144">
        <v>3</v>
      </c>
      <c r="U1144">
        <v>1</v>
      </c>
      <c r="V1144">
        <v>0</v>
      </c>
      <c r="W1144">
        <v>10</v>
      </c>
      <c r="X1144">
        <v>3</v>
      </c>
      <c r="Y1144">
        <v>3</v>
      </c>
      <c r="Z1144">
        <v>10</v>
      </c>
      <c r="AA1144">
        <v>7</v>
      </c>
      <c r="AB1144">
        <v>1</v>
      </c>
      <c r="AC1144">
        <v>4</v>
      </c>
      <c r="AD1144">
        <f>IF(HR_Data[[#This Row],[Attrition]]="Yes",1,0)</f>
        <v>0</v>
      </c>
      <c r="AE1144" t="str">
        <f>IF(HR_Data[[#This Row],[Age]]&lt;=25,"18-25",IF(HR_Data[[#This Row],[Age]]&lt;=35,"26-35",IF(HR_Data[[#This Row],[Age]]&lt;=45,"36-45",IF(HR_Data[[#This Row],[Age]]&lt;=55,"46-55","55+"))))</f>
        <v>36-45</v>
      </c>
      <c r="AF1144">
        <f>IF(HR_Data[[#This Row],[Age]]&lt;=25,1,IF(HR_Data[[#This Row],[Age]]&lt;=35,2,IF(HR_Data[[#This Row],[Age]]&lt;=45,3,IF(HR_Data[[#This Row],[Age]]&lt;=55,4,5))))</f>
        <v>3</v>
      </c>
      <c r="AG1144" s="1" t="str">
        <f>IF(HR_Data[[#This Row],[MonthlyIncome]]&lt;3000,"&lt;3K",IF(HR_Data[[#This Row],[MonthlyIncome]]&lt;6000,"3K-6K",IF(HR_Data[[#This Row],[MonthlyIncome]]&lt;10000,"6K-10K","10K+")))</f>
        <v>3K-6K</v>
      </c>
      <c r="AH1144" s="1">
        <f>IF(HR_Data[[#This Row],[MonthlyIncome]]&lt;3000,1,IF(HR_Data[[#This Row],[MonthlyIncome]]&lt;6000,2,IF(HR_Data[[#This Row],[MonthlyIncome]]&lt;10000,3,4)))</f>
        <v>2</v>
      </c>
      <c r="AI1144" s="1" t="str">
        <f>IF(HR_Data[[#This Row],[YearsAtCompany]]&lt;=2,"0-2 Yrs",IF(HR_Data[[#This Row],[YearsAtCompany]]&lt;=5,"3-5 Yrs",IF(HR_Data[[#This Row],[YearsAtCompany]]&lt;=10,"6-10 Yrs","10+ Yrs")))</f>
        <v>6-10 Yrs</v>
      </c>
      <c r="AJ1144" s="1">
        <f>IF(HR_Data[[#This Row],[YearsAtCompany]]&lt;=2,1,IF(HR_Data[[#This Row],[YearsAtCompany]]&lt;=5,2,IF(HR_Data[[#This Row],[YearsAtCompany]]&lt;=10,3,4)))</f>
        <v>3</v>
      </c>
      <c r="AK1144" s="1" t="str">
        <f>CHOOSE(HR_Data[[#This Row],[Education]],"Below College","College","Bachelor","Master","Doctor")</f>
        <v>Doctor</v>
      </c>
      <c r="AL1144" s="1" t="str">
        <f>CHOOSE(HR_Data[[#This Row],[JobSatisfaction]],"Low","Medium","High","Very High")</f>
        <v>Low</v>
      </c>
      <c r="AM1144" s="1" t="str">
        <f>CHOOSE(HR_Data[[#This Row],[EnvironmentSatisfaction]],"Low","Medium","High","Very High")</f>
        <v>High</v>
      </c>
      <c r="AN1144" s="1" t="str">
        <f>CHOOSE(HR_Data[[#This Row],[WorkLifeBalance]],"Bad","Good","Better","Best")</f>
        <v>Better</v>
      </c>
      <c r="AO1144" s="1" t="str">
        <f>IF(HR_Data[[#This Row],[PercentSalaryHike]]&lt;=13,"11-13%",IF(HR_Data[[#This Row],[PercentSalaryHike]]&lt;=16,"14-16%",IF(HR_Data[[#This Row],[PercentSalaryHike]]&lt;=19,"17-19%","20-25%")))</f>
        <v>14-16%</v>
      </c>
      <c r="AP1144" s="1">
        <f>IF(HR_Data[[#This Row],[PercentSalaryHike]]&lt;=13,1,IF(HR_Data[[#This Row],[PercentSalaryHike]]&lt;=16,2,IF(HR_Data[[#This Row],[PercentSalaryHike]]&lt;=19,3,4)))</f>
        <v>2</v>
      </c>
      <c r="AQ1144" s="1" t="str">
        <f>IF(HR_Data[[#This Row],[DistanceFromHome]]&lt;=5,"1 to 5",IF(HR_Data[[#This Row],[DistanceFromHome]]&lt;=10,"6 to 10",IF(HR_Data[[#This Row],[DistanceFromHome]]&lt;=20,"11 to 20","21 to 29")))</f>
        <v>1 to 5</v>
      </c>
      <c r="AR1144" s="1">
        <f>IF(HR_Data[[#This Row],[DistanceFromHome]]&lt;=5,1,IF(HR_Data[[#This Row],[DistanceFromHome]]&lt;=10,2,IF(HR_Data[[#This Row],[DistanceFromHome]]&lt;=20,3,4)))</f>
        <v>1</v>
      </c>
      <c r="AS1144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144" s="1">
        <f>IF(HR_Data[[#This Row],[TotalWorkingYears]]&lt;=5,1,IF(HR_Data[[#This Row],[TotalWorkingYears]]&lt;=10,2,IF(HR_Data[[#This Row],[TotalWorkingYears]]&lt;=20,3,4)))</f>
        <v>2</v>
      </c>
    </row>
    <row r="1145" spans="1:46" x14ac:dyDescent="0.25">
      <c r="A1145">
        <v>45</v>
      </c>
      <c r="B1145" t="s">
        <v>36</v>
      </c>
      <c r="C1145" t="s">
        <v>48</v>
      </c>
      <c r="D1145" t="s">
        <v>31</v>
      </c>
      <c r="E1145">
        <v>26</v>
      </c>
      <c r="F1145">
        <v>3</v>
      </c>
      <c r="G1145" t="s">
        <v>52</v>
      </c>
      <c r="H1145">
        <v>1612</v>
      </c>
      <c r="I1145">
        <v>1</v>
      </c>
      <c r="J1145" t="s">
        <v>39</v>
      </c>
      <c r="K1145">
        <v>2</v>
      </c>
      <c r="L1145">
        <v>2</v>
      </c>
      <c r="M1145" t="s">
        <v>34</v>
      </c>
      <c r="N1145">
        <v>1</v>
      </c>
      <c r="O1145" t="s">
        <v>41</v>
      </c>
      <c r="P1145">
        <v>4385</v>
      </c>
      <c r="Q1145">
        <v>1</v>
      </c>
      <c r="R1145" t="s">
        <v>36</v>
      </c>
      <c r="S1145">
        <v>15</v>
      </c>
      <c r="T1145">
        <v>3</v>
      </c>
      <c r="U1145">
        <v>1</v>
      </c>
      <c r="V1145">
        <v>1</v>
      </c>
      <c r="W1145">
        <v>10</v>
      </c>
      <c r="X1145">
        <v>2</v>
      </c>
      <c r="Y1145">
        <v>3</v>
      </c>
      <c r="Z1145">
        <v>10</v>
      </c>
      <c r="AA1145">
        <v>7</v>
      </c>
      <c r="AB1145">
        <v>4</v>
      </c>
      <c r="AC1145">
        <v>5</v>
      </c>
      <c r="AD1145">
        <f>IF(HR_Data[[#This Row],[Attrition]]="Yes",1,0)</f>
        <v>0</v>
      </c>
      <c r="AE1145" t="str">
        <f>IF(HR_Data[[#This Row],[Age]]&lt;=25,"18-25",IF(HR_Data[[#This Row],[Age]]&lt;=35,"26-35",IF(HR_Data[[#This Row],[Age]]&lt;=45,"36-45",IF(HR_Data[[#This Row],[Age]]&lt;=55,"46-55","55+"))))</f>
        <v>36-45</v>
      </c>
      <c r="AF1145">
        <f>IF(HR_Data[[#This Row],[Age]]&lt;=25,1,IF(HR_Data[[#This Row],[Age]]&lt;=35,2,IF(HR_Data[[#This Row],[Age]]&lt;=45,3,IF(HR_Data[[#This Row],[Age]]&lt;=55,4,5))))</f>
        <v>3</v>
      </c>
      <c r="AG1145" s="1" t="str">
        <f>IF(HR_Data[[#This Row],[MonthlyIncome]]&lt;3000,"&lt;3K",IF(HR_Data[[#This Row],[MonthlyIncome]]&lt;6000,"3K-6K",IF(HR_Data[[#This Row],[MonthlyIncome]]&lt;10000,"6K-10K","10K+")))</f>
        <v>3K-6K</v>
      </c>
      <c r="AH1145" s="1">
        <f>IF(HR_Data[[#This Row],[MonthlyIncome]]&lt;3000,1,IF(HR_Data[[#This Row],[MonthlyIncome]]&lt;6000,2,IF(HR_Data[[#This Row],[MonthlyIncome]]&lt;10000,3,4)))</f>
        <v>2</v>
      </c>
      <c r="AI1145" s="1" t="str">
        <f>IF(HR_Data[[#This Row],[YearsAtCompany]]&lt;=2,"0-2 Yrs",IF(HR_Data[[#This Row],[YearsAtCompany]]&lt;=5,"3-5 Yrs",IF(HR_Data[[#This Row],[YearsAtCompany]]&lt;=10,"6-10 Yrs","10+ Yrs")))</f>
        <v>6-10 Yrs</v>
      </c>
      <c r="AJ1145" s="1">
        <f>IF(HR_Data[[#This Row],[YearsAtCompany]]&lt;=2,1,IF(HR_Data[[#This Row],[YearsAtCompany]]&lt;=5,2,IF(HR_Data[[#This Row],[YearsAtCompany]]&lt;=10,3,4)))</f>
        <v>3</v>
      </c>
      <c r="AK1145" s="1" t="str">
        <f>CHOOSE(HR_Data[[#This Row],[Education]],"Below College","College","Bachelor","Master","Doctor")</f>
        <v>Bachelor</v>
      </c>
      <c r="AL1145" s="1" t="str">
        <f>CHOOSE(HR_Data[[#This Row],[JobSatisfaction]],"Low","Medium","High","Very High")</f>
        <v>Low</v>
      </c>
      <c r="AM1145" s="1" t="str">
        <f>CHOOSE(HR_Data[[#This Row],[EnvironmentSatisfaction]],"Low","Medium","High","Very High")</f>
        <v>Low</v>
      </c>
      <c r="AN1145" s="1" t="str">
        <f>CHOOSE(HR_Data[[#This Row],[WorkLifeBalance]],"Bad","Good","Better","Best")</f>
        <v>Better</v>
      </c>
      <c r="AO1145" s="1" t="str">
        <f>IF(HR_Data[[#This Row],[PercentSalaryHike]]&lt;=13,"11-13%",IF(HR_Data[[#This Row],[PercentSalaryHike]]&lt;=16,"14-16%",IF(HR_Data[[#This Row],[PercentSalaryHike]]&lt;=19,"17-19%","20-25%")))</f>
        <v>14-16%</v>
      </c>
      <c r="AP1145" s="1">
        <f>IF(HR_Data[[#This Row],[PercentSalaryHike]]&lt;=13,1,IF(HR_Data[[#This Row],[PercentSalaryHike]]&lt;=16,2,IF(HR_Data[[#This Row],[PercentSalaryHike]]&lt;=19,3,4)))</f>
        <v>2</v>
      </c>
      <c r="AQ1145" s="1" t="str">
        <f>IF(HR_Data[[#This Row],[DistanceFromHome]]&lt;=5,"1 to 5",IF(HR_Data[[#This Row],[DistanceFromHome]]&lt;=10,"6 to 10",IF(HR_Data[[#This Row],[DistanceFromHome]]&lt;=20,"11 to 20","21 to 29")))</f>
        <v>21 to 29</v>
      </c>
      <c r="AR1145" s="1">
        <f>IF(HR_Data[[#This Row],[DistanceFromHome]]&lt;=5,1,IF(HR_Data[[#This Row],[DistanceFromHome]]&lt;=10,2,IF(HR_Data[[#This Row],[DistanceFromHome]]&lt;=20,3,4)))</f>
        <v>4</v>
      </c>
      <c r="AS1145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145" s="1">
        <f>IF(HR_Data[[#This Row],[TotalWorkingYears]]&lt;=5,1,IF(HR_Data[[#This Row],[TotalWorkingYears]]&lt;=10,2,IF(HR_Data[[#This Row],[TotalWorkingYears]]&lt;=20,3,4)))</f>
        <v>2</v>
      </c>
    </row>
    <row r="1146" spans="1:46" x14ac:dyDescent="0.25">
      <c r="A1146">
        <v>31</v>
      </c>
      <c r="B1146" t="s">
        <v>36</v>
      </c>
      <c r="C1146" t="s">
        <v>37</v>
      </c>
      <c r="D1146" t="s">
        <v>31</v>
      </c>
      <c r="E1146">
        <v>2</v>
      </c>
      <c r="F1146">
        <v>4</v>
      </c>
      <c r="G1146" t="s">
        <v>42</v>
      </c>
      <c r="H1146">
        <v>1613</v>
      </c>
      <c r="I1146">
        <v>4</v>
      </c>
      <c r="J1146" t="s">
        <v>39</v>
      </c>
      <c r="K1146">
        <v>3</v>
      </c>
      <c r="L1146">
        <v>2</v>
      </c>
      <c r="M1146" t="s">
        <v>34</v>
      </c>
      <c r="N1146">
        <v>1</v>
      </c>
      <c r="O1146" t="s">
        <v>35</v>
      </c>
      <c r="P1146">
        <v>5332</v>
      </c>
      <c r="Q1146">
        <v>7</v>
      </c>
      <c r="R1146" t="s">
        <v>36</v>
      </c>
      <c r="S1146">
        <v>13</v>
      </c>
      <c r="T1146">
        <v>3</v>
      </c>
      <c r="U1146">
        <v>4</v>
      </c>
      <c r="V1146">
        <v>0</v>
      </c>
      <c r="W1146">
        <v>10</v>
      </c>
      <c r="X1146">
        <v>3</v>
      </c>
      <c r="Y1146">
        <v>3</v>
      </c>
      <c r="Z1146">
        <v>5</v>
      </c>
      <c r="AA1146">
        <v>2</v>
      </c>
      <c r="AB1146">
        <v>0</v>
      </c>
      <c r="AC1146">
        <v>3</v>
      </c>
      <c r="AD1146">
        <f>IF(HR_Data[[#This Row],[Attrition]]="Yes",1,0)</f>
        <v>0</v>
      </c>
      <c r="AE1146" t="str">
        <f>IF(HR_Data[[#This Row],[Age]]&lt;=25,"18-25",IF(HR_Data[[#This Row],[Age]]&lt;=35,"26-35",IF(HR_Data[[#This Row],[Age]]&lt;=45,"36-45",IF(HR_Data[[#This Row],[Age]]&lt;=55,"46-55","55+"))))</f>
        <v>26-35</v>
      </c>
      <c r="AF1146">
        <f>IF(HR_Data[[#This Row],[Age]]&lt;=25,1,IF(HR_Data[[#This Row],[Age]]&lt;=35,2,IF(HR_Data[[#This Row],[Age]]&lt;=45,3,IF(HR_Data[[#This Row],[Age]]&lt;=55,4,5))))</f>
        <v>2</v>
      </c>
      <c r="AG1146" s="1" t="str">
        <f>IF(HR_Data[[#This Row],[MonthlyIncome]]&lt;3000,"&lt;3K",IF(HR_Data[[#This Row],[MonthlyIncome]]&lt;6000,"3K-6K",IF(HR_Data[[#This Row],[MonthlyIncome]]&lt;10000,"6K-10K","10K+")))</f>
        <v>3K-6K</v>
      </c>
      <c r="AH1146" s="1">
        <f>IF(HR_Data[[#This Row],[MonthlyIncome]]&lt;3000,1,IF(HR_Data[[#This Row],[MonthlyIncome]]&lt;6000,2,IF(HR_Data[[#This Row],[MonthlyIncome]]&lt;10000,3,4)))</f>
        <v>2</v>
      </c>
      <c r="AI1146" s="1" t="str">
        <f>IF(HR_Data[[#This Row],[YearsAtCompany]]&lt;=2,"0-2 Yrs",IF(HR_Data[[#This Row],[YearsAtCompany]]&lt;=5,"3-5 Yrs",IF(HR_Data[[#This Row],[YearsAtCompany]]&lt;=10,"6-10 Yrs","10+ Yrs")))</f>
        <v>3-5 Yrs</v>
      </c>
      <c r="AJ1146" s="1">
        <f>IF(HR_Data[[#This Row],[YearsAtCompany]]&lt;=2,1,IF(HR_Data[[#This Row],[YearsAtCompany]]&lt;=5,2,IF(HR_Data[[#This Row],[YearsAtCompany]]&lt;=10,3,4)))</f>
        <v>2</v>
      </c>
      <c r="AK1146" s="1" t="str">
        <f>CHOOSE(HR_Data[[#This Row],[Education]],"Below College","College","Bachelor","Master","Doctor")</f>
        <v>Master</v>
      </c>
      <c r="AL1146" s="1" t="str">
        <f>CHOOSE(HR_Data[[#This Row],[JobSatisfaction]],"Low","Medium","High","Very High")</f>
        <v>Low</v>
      </c>
      <c r="AM1146" s="1" t="str">
        <f>CHOOSE(HR_Data[[#This Row],[EnvironmentSatisfaction]],"Low","Medium","High","Very High")</f>
        <v>Very High</v>
      </c>
      <c r="AN1146" s="1" t="str">
        <f>CHOOSE(HR_Data[[#This Row],[WorkLifeBalance]],"Bad","Good","Better","Best")</f>
        <v>Better</v>
      </c>
      <c r="AO1146" s="1" t="str">
        <f>IF(HR_Data[[#This Row],[PercentSalaryHike]]&lt;=13,"11-13%",IF(HR_Data[[#This Row],[PercentSalaryHike]]&lt;=16,"14-16%",IF(HR_Data[[#This Row],[PercentSalaryHike]]&lt;=19,"17-19%","20-25%")))</f>
        <v>11-13%</v>
      </c>
      <c r="AP1146" s="1">
        <f>IF(HR_Data[[#This Row],[PercentSalaryHike]]&lt;=13,1,IF(HR_Data[[#This Row],[PercentSalaryHike]]&lt;=16,2,IF(HR_Data[[#This Row],[PercentSalaryHike]]&lt;=19,3,4)))</f>
        <v>1</v>
      </c>
      <c r="AQ1146" s="1" t="str">
        <f>IF(HR_Data[[#This Row],[DistanceFromHome]]&lt;=5,"1 to 5",IF(HR_Data[[#This Row],[DistanceFromHome]]&lt;=10,"6 to 10",IF(HR_Data[[#This Row],[DistanceFromHome]]&lt;=20,"11 to 20","21 to 29")))</f>
        <v>1 to 5</v>
      </c>
      <c r="AR1146" s="1">
        <f>IF(HR_Data[[#This Row],[DistanceFromHome]]&lt;=5,1,IF(HR_Data[[#This Row],[DistanceFromHome]]&lt;=10,2,IF(HR_Data[[#This Row],[DistanceFromHome]]&lt;=20,3,4)))</f>
        <v>1</v>
      </c>
      <c r="AS1146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146" s="1">
        <f>IF(HR_Data[[#This Row],[TotalWorkingYears]]&lt;=5,1,IF(HR_Data[[#This Row],[TotalWorkingYears]]&lt;=10,2,IF(HR_Data[[#This Row],[TotalWorkingYears]]&lt;=20,3,4)))</f>
        <v>2</v>
      </c>
    </row>
    <row r="1147" spans="1:46" x14ac:dyDescent="0.25">
      <c r="A1147">
        <v>36</v>
      </c>
      <c r="B1147" t="s">
        <v>36</v>
      </c>
      <c r="C1147" t="s">
        <v>30</v>
      </c>
      <c r="D1147" t="s">
        <v>38</v>
      </c>
      <c r="E1147">
        <v>12</v>
      </c>
      <c r="F1147">
        <v>4</v>
      </c>
      <c r="G1147" t="s">
        <v>32</v>
      </c>
      <c r="H1147">
        <v>1614</v>
      </c>
      <c r="I1147">
        <v>3</v>
      </c>
      <c r="J1147" t="s">
        <v>33</v>
      </c>
      <c r="K1147">
        <v>3</v>
      </c>
      <c r="L1147">
        <v>2</v>
      </c>
      <c r="M1147" t="s">
        <v>46</v>
      </c>
      <c r="N1147">
        <v>3</v>
      </c>
      <c r="O1147" t="s">
        <v>41</v>
      </c>
      <c r="P1147">
        <v>4663</v>
      </c>
      <c r="Q1147">
        <v>9</v>
      </c>
      <c r="R1147" t="s">
        <v>29</v>
      </c>
      <c r="S1147">
        <v>12</v>
      </c>
      <c r="T1147">
        <v>3</v>
      </c>
      <c r="U1147">
        <v>2</v>
      </c>
      <c r="V1147">
        <v>2</v>
      </c>
      <c r="W1147">
        <v>7</v>
      </c>
      <c r="X1147">
        <v>2</v>
      </c>
      <c r="Y1147">
        <v>3</v>
      </c>
      <c r="Z1147">
        <v>3</v>
      </c>
      <c r="AA1147">
        <v>2</v>
      </c>
      <c r="AB1147">
        <v>1</v>
      </c>
      <c r="AC1147">
        <v>1</v>
      </c>
      <c r="AD1147">
        <f>IF(HR_Data[[#This Row],[Attrition]]="Yes",1,0)</f>
        <v>0</v>
      </c>
      <c r="AE1147" t="str">
        <f>IF(HR_Data[[#This Row],[Age]]&lt;=25,"18-25",IF(HR_Data[[#This Row],[Age]]&lt;=35,"26-35",IF(HR_Data[[#This Row],[Age]]&lt;=45,"36-45",IF(HR_Data[[#This Row],[Age]]&lt;=55,"46-55","55+"))))</f>
        <v>36-45</v>
      </c>
      <c r="AF1147">
        <f>IF(HR_Data[[#This Row],[Age]]&lt;=25,1,IF(HR_Data[[#This Row],[Age]]&lt;=35,2,IF(HR_Data[[#This Row],[Age]]&lt;=45,3,IF(HR_Data[[#This Row],[Age]]&lt;=55,4,5))))</f>
        <v>3</v>
      </c>
      <c r="AG1147" s="1" t="str">
        <f>IF(HR_Data[[#This Row],[MonthlyIncome]]&lt;3000,"&lt;3K",IF(HR_Data[[#This Row],[MonthlyIncome]]&lt;6000,"3K-6K",IF(HR_Data[[#This Row],[MonthlyIncome]]&lt;10000,"6K-10K","10K+")))</f>
        <v>3K-6K</v>
      </c>
      <c r="AH1147" s="1">
        <f>IF(HR_Data[[#This Row],[MonthlyIncome]]&lt;3000,1,IF(HR_Data[[#This Row],[MonthlyIncome]]&lt;6000,2,IF(HR_Data[[#This Row],[MonthlyIncome]]&lt;10000,3,4)))</f>
        <v>2</v>
      </c>
      <c r="AI1147" s="1" t="str">
        <f>IF(HR_Data[[#This Row],[YearsAtCompany]]&lt;=2,"0-2 Yrs",IF(HR_Data[[#This Row],[YearsAtCompany]]&lt;=5,"3-5 Yrs",IF(HR_Data[[#This Row],[YearsAtCompany]]&lt;=10,"6-10 Yrs","10+ Yrs")))</f>
        <v>3-5 Yrs</v>
      </c>
      <c r="AJ1147" s="1">
        <f>IF(HR_Data[[#This Row],[YearsAtCompany]]&lt;=2,1,IF(HR_Data[[#This Row],[YearsAtCompany]]&lt;=5,2,IF(HR_Data[[#This Row],[YearsAtCompany]]&lt;=10,3,4)))</f>
        <v>2</v>
      </c>
      <c r="AK1147" s="1" t="str">
        <f>CHOOSE(HR_Data[[#This Row],[Education]],"Below College","College","Bachelor","Master","Doctor")</f>
        <v>Master</v>
      </c>
      <c r="AL1147" s="1" t="str">
        <f>CHOOSE(HR_Data[[#This Row],[JobSatisfaction]],"Low","Medium","High","Very High")</f>
        <v>High</v>
      </c>
      <c r="AM1147" s="1" t="str">
        <f>CHOOSE(HR_Data[[#This Row],[EnvironmentSatisfaction]],"Low","Medium","High","Very High")</f>
        <v>High</v>
      </c>
      <c r="AN1147" s="1" t="str">
        <f>CHOOSE(HR_Data[[#This Row],[WorkLifeBalance]],"Bad","Good","Better","Best")</f>
        <v>Better</v>
      </c>
      <c r="AO1147" s="1" t="str">
        <f>IF(HR_Data[[#This Row],[PercentSalaryHike]]&lt;=13,"11-13%",IF(HR_Data[[#This Row],[PercentSalaryHike]]&lt;=16,"14-16%",IF(HR_Data[[#This Row],[PercentSalaryHike]]&lt;=19,"17-19%","20-25%")))</f>
        <v>11-13%</v>
      </c>
      <c r="AP1147" s="1">
        <f>IF(HR_Data[[#This Row],[PercentSalaryHike]]&lt;=13,1,IF(HR_Data[[#This Row],[PercentSalaryHike]]&lt;=16,2,IF(HR_Data[[#This Row],[PercentSalaryHike]]&lt;=19,3,4)))</f>
        <v>1</v>
      </c>
      <c r="AQ1147" s="1" t="str">
        <f>IF(HR_Data[[#This Row],[DistanceFromHome]]&lt;=5,"1 to 5",IF(HR_Data[[#This Row],[DistanceFromHome]]&lt;=10,"6 to 10",IF(HR_Data[[#This Row],[DistanceFromHome]]&lt;=20,"11 to 20","21 to 29")))</f>
        <v>11 to 20</v>
      </c>
      <c r="AR1147" s="1">
        <f>IF(HR_Data[[#This Row],[DistanceFromHome]]&lt;=5,1,IF(HR_Data[[#This Row],[DistanceFromHome]]&lt;=10,2,IF(HR_Data[[#This Row],[DistanceFromHome]]&lt;=20,3,4)))</f>
        <v>3</v>
      </c>
      <c r="AS1147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147" s="1">
        <f>IF(HR_Data[[#This Row],[TotalWorkingYears]]&lt;=5,1,IF(HR_Data[[#This Row],[TotalWorkingYears]]&lt;=10,2,IF(HR_Data[[#This Row],[TotalWorkingYears]]&lt;=20,3,4)))</f>
        <v>2</v>
      </c>
    </row>
    <row r="1148" spans="1:46" x14ac:dyDescent="0.25">
      <c r="A1148">
        <v>34</v>
      </c>
      <c r="B1148" t="s">
        <v>36</v>
      </c>
      <c r="C1148" t="s">
        <v>37</v>
      </c>
      <c r="D1148" t="s">
        <v>38</v>
      </c>
      <c r="E1148">
        <v>10</v>
      </c>
      <c r="F1148">
        <v>4</v>
      </c>
      <c r="G1148" t="s">
        <v>32</v>
      </c>
      <c r="H1148">
        <v>1615</v>
      </c>
      <c r="I1148">
        <v>3</v>
      </c>
      <c r="J1148" t="s">
        <v>39</v>
      </c>
      <c r="K1148">
        <v>4</v>
      </c>
      <c r="L1148">
        <v>2</v>
      </c>
      <c r="M1148" t="s">
        <v>46</v>
      </c>
      <c r="N1148">
        <v>4</v>
      </c>
      <c r="O1148" t="s">
        <v>45</v>
      </c>
      <c r="P1148">
        <v>4724</v>
      </c>
      <c r="Q1148">
        <v>1</v>
      </c>
      <c r="R1148" t="s">
        <v>36</v>
      </c>
      <c r="S1148">
        <v>13</v>
      </c>
      <c r="T1148">
        <v>3</v>
      </c>
      <c r="U1148">
        <v>1</v>
      </c>
      <c r="V1148">
        <v>1</v>
      </c>
      <c r="W1148">
        <v>9</v>
      </c>
      <c r="X1148">
        <v>3</v>
      </c>
      <c r="Y1148">
        <v>3</v>
      </c>
      <c r="Z1148">
        <v>9</v>
      </c>
      <c r="AA1148">
        <v>7</v>
      </c>
      <c r="AB1148">
        <v>7</v>
      </c>
      <c r="AC1148">
        <v>2</v>
      </c>
      <c r="AD1148">
        <f>IF(HR_Data[[#This Row],[Attrition]]="Yes",1,0)</f>
        <v>0</v>
      </c>
      <c r="AE1148" t="str">
        <f>IF(HR_Data[[#This Row],[Age]]&lt;=25,"18-25",IF(HR_Data[[#This Row],[Age]]&lt;=35,"26-35",IF(HR_Data[[#This Row],[Age]]&lt;=45,"36-45",IF(HR_Data[[#This Row],[Age]]&lt;=55,"46-55","55+"))))</f>
        <v>26-35</v>
      </c>
      <c r="AF1148">
        <f>IF(HR_Data[[#This Row],[Age]]&lt;=25,1,IF(HR_Data[[#This Row],[Age]]&lt;=35,2,IF(HR_Data[[#This Row],[Age]]&lt;=45,3,IF(HR_Data[[#This Row],[Age]]&lt;=55,4,5))))</f>
        <v>2</v>
      </c>
      <c r="AG1148" s="1" t="str">
        <f>IF(HR_Data[[#This Row],[MonthlyIncome]]&lt;3000,"&lt;3K",IF(HR_Data[[#This Row],[MonthlyIncome]]&lt;6000,"3K-6K",IF(HR_Data[[#This Row],[MonthlyIncome]]&lt;10000,"6K-10K","10K+")))</f>
        <v>3K-6K</v>
      </c>
      <c r="AH1148" s="1">
        <f>IF(HR_Data[[#This Row],[MonthlyIncome]]&lt;3000,1,IF(HR_Data[[#This Row],[MonthlyIncome]]&lt;6000,2,IF(HR_Data[[#This Row],[MonthlyIncome]]&lt;10000,3,4)))</f>
        <v>2</v>
      </c>
      <c r="AI1148" s="1" t="str">
        <f>IF(HR_Data[[#This Row],[YearsAtCompany]]&lt;=2,"0-2 Yrs",IF(HR_Data[[#This Row],[YearsAtCompany]]&lt;=5,"3-5 Yrs",IF(HR_Data[[#This Row],[YearsAtCompany]]&lt;=10,"6-10 Yrs","10+ Yrs")))</f>
        <v>6-10 Yrs</v>
      </c>
      <c r="AJ1148" s="1">
        <f>IF(HR_Data[[#This Row],[YearsAtCompany]]&lt;=2,1,IF(HR_Data[[#This Row],[YearsAtCompany]]&lt;=5,2,IF(HR_Data[[#This Row],[YearsAtCompany]]&lt;=10,3,4)))</f>
        <v>3</v>
      </c>
      <c r="AK1148" s="1" t="str">
        <f>CHOOSE(HR_Data[[#This Row],[Education]],"Below College","College","Bachelor","Master","Doctor")</f>
        <v>Master</v>
      </c>
      <c r="AL1148" s="1" t="str">
        <f>CHOOSE(HR_Data[[#This Row],[JobSatisfaction]],"Low","Medium","High","Very High")</f>
        <v>Very High</v>
      </c>
      <c r="AM1148" s="1" t="str">
        <f>CHOOSE(HR_Data[[#This Row],[EnvironmentSatisfaction]],"Low","Medium","High","Very High")</f>
        <v>High</v>
      </c>
      <c r="AN1148" s="1" t="str">
        <f>CHOOSE(HR_Data[[#This Row],[WorkLifeBalance]],"Bad","Good","Better","Best")</f>
        <v>Better</v>
      </c>
      <c r="AO1148" s="1" t="str">
        <f>IF(HR_Data[[#This Row],[PercentSalaryHike]]&lt;=13,"11-13%",IF(HR_Data[[#This Row],[PercentSalaryHike]]&lt;=16,"14-16%",IF(HR_Data[[#This Row],[PercentSalaryHike]]&lt;=19,"17-19%","20-25%")))</f>
        <v>11-13%</v>
      </c>
      <c r="AP1148" s="1">
        <f>IF(HR_Data[[#This Row],[PercentSalaryHike]]&lt;=13,1,IF(HR_Data[[#This Row],[PercentSalaryHike]]&lt;=16,2,IF(HR_Data[[#This Row],[PercentSalaryHike]]&lt;=19,3,4)))</f>
        <v>1</v>
      </c>
      <c r="AQ1148" s="1" t="str">
        <f>IF(HR_Data[[#This Row],[DistanceFromHome]]&lt;=5,"1 to 5",IF(HR_Data[[#This Row],[DistanceFromHome]]&lt;=10,"6 to 10",IF(HR_Data[[#This Row],[DistanceFromHome]]&lt;=20,"11 to 20","21 to 29")))</f>
        <v>6 to 10</v>
      </c>
      <c r="AR1148" s="1">
        <f>IF(HR_Data[[#This Row],[DistanceFromHome]]&lt;=5,1,IF(HR_Data[[#This Row],[DistanceFromHome]]&lt;=10,2,IF(HR_Data[[#This Row],[DistanceFromHome]]&lt;=20,3,4)))</f>
        <v>2</v>
      </c>
      <c r="AS1148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148" s="1">
        <f>IF(HR_Data[[#This Row],[TotalWorkingYears]]&lt;=5,1,IF(HR_Data[[#This Row],[TotalWorkingYears]]&lt;=10,2,IF(HR_Data[[#This Row],[TotalWorkingYears]]&lt;=20,3,4)))</f>
        <v>2</v>
      </c>
    </row>
    <row r="1149" spans="1:46" x14ac:dyDescent="0.25">
      <c r="A1149">
        <v>49</v>
      </c>
      <c r="B1149" t="s">
        <v>36</v>
      </c>
      <c r="C1149" t="s">
        <v>30</v>
      </c>
      <c r="D1149" t="s">
        <v>38</v>
      </c>
      <c r="E1149">
        <v>25</v>
      </c>
      <c r="F1149">
        <v>4</v>
      </c>
      <c r="G1149" t="s">
        <v>32</v>
      </c>
      <c r="H1149">
        <v>1617</v>
      </c>
      <c r="I1149">
        <v>3</v>
      </c>
      <c r="J1149" t="s">
        <v>33</v>
      </c>
      <c r="K1149">
        <v>3</v>
      </c>
      <c r="L1149">
        <v>1</v>
      </c>
      <c r="M1149" t="s">
        <v>43</v>
      </c>
      <c r="N1149">
        <v>1</v>
      </c>
      <c r="O1149" t="s">
        <v>41</v>
      </c>
      <c r="P1149">
        <v>3211</v>
      </c>
      <c r="Q1149">
        <v>1</v>
      </c>
      <c r="R1149" t="s">
        <v>36</v>
      </c>
      <c r="S1149">
        <v>14</v>
      </c>
      <c r="T1149">
        <v>3</v>
      </c>
      <c r="U1149">
        <v>4</v>
      </c>
      <c r="V1149">
        <v>1</v>
      </c>
      <c r="W1149">
        <v>10</v>
      </c>
      <c r="X1149">
        <v>3</v>
      </c>
      <c r="Y1149">
        <v>2</v>
      </c>
      <c r="Z1149">
        <v>9</v>
      </c>
      <c r="AA1149">
        <v>6</v>
      </c>
      <c r="AB1149">
        <v>1</v>
      </c>
      <c r="AC1149">
        <v>4</v>
      </c>
      <c r="AD1149">
        <f>IF(HR_Data[[#This Row],[Attrition]]="Yes",1,0)</f>
        <v>0</v>
      </c>
      <c r="AE1149" t="str">
        <f>IF(HR_Data[[#This Row],[Age]]&lt;=25,"18-25",IF(HR_Data[[#This Row],[Age]]&lt;=35,"26-35",IF(HR_Data[[#This Row],[Age]]&lt;=45,"36-45",IF(HR_Data[[#This Row],[Age]]&lt;=55,"46-55","55+"))))</f>
        <v>46-55</v>
      </c>
      <c r="AF1149">
        <f>IF(HR_Data[[#This Row],[Age]]&lt;=25,1,IF(HR_Data[[#This Row],[Age]]&lt;=35,2,IF(HR_Data[[#This Row],[Age]]&lt;=45,3,IF(HR_Data[[#This Row],[Age]]&lt;=55,4,5))))</f>
        <v>4</v>
      </c>
      <c r="AG1149" s="1" t="str">
        <f>IF(HR_Data[[#This Row],[MonthlyIncome]]&lt;3000,"&lt;3K",IF(HR_Data[[#This Row],[MonthlyIncome]]&lt;6000,"3K-6K",IF(HR_Data[[#This Row],[MonthlyIncome]]&lt;10000,"6K-10K","10K+")))</f>
        <v>3K-6K</v>
      </c>
      <c r="AH1149" s="1">
        <f>IF(HR_Data[[#This Row],[MonthlyIncome]]&lt;3000,1,IF(HR_Data[[#This Row],[MonthlyIncome]]&lt;6000,2,IF(HR_Data[[#This Row],[MonthlyIncome]]&lt;10000,3,4)))</f>
        <v>2</v>
      </c>
      <c r="AI1149" s="1" t="str">
        <f>IF(HR_Data[[#This Row],[YearsAtCompany]]&lt;=2,"0-2 Yrs",IF(HR_Data[[#This Row],[YearsAtCompany]]&lt;=5,"3-5 Yrs",IF(HR_Data[[#This Row],[YearsAtCompany]]&lt;=10,"6-10 Yrs","10+ Yrs")))</f>
        <v>6-10 Yrs</v>
      </c>
      <c r="AJ1149" s="1">
        <f>IF(HR_Data[[#This Row],[YearsAtCompany]]&lt;=2,1,IF(HR_Data[[#This Row],[YearsAtCompany]]&lt;=5,2,IF(HR_Data[[#This Row],[YearsAtCompany]]&lt;=10,3,4)))</f>
        <v>3</v>
      </c>
      <c r="AK1149" s="1" t="str">
        <f>CHOOSE(HR_Data[[#This Row],[Education]],"Below College","College","Bachelor","Master","Doctor")</f>
        <v>Master</v>
      </c>
      <c r="AL1149" s="1" t="str">
        <f>CHOOSE(HR_Data[[#This Row],[JobSatisfaction]],"Low","Medium","High","Very High")</f>
        <v>Low</v>
      </c>
      <c r="AM1149" s="1" t="str">
        <f>CHOOSE(HR_Data[[#This Row],[EnvironmentSatisfaction]],"Low","Medium","High","Very High")</f>
        <v>High</v>
      </c>
      <c r="AN1149" s="1" t="str">
        <f>CHOOSE(HR_Data[[#This Row],[WorkLifeBalance]],"Bad","Good","Better","Best")</f>
        <v>Good</v>
      </c>
      <c r="AO1149" s="1" t="str">
        <f>IF(HR_Data[[#This Row],[PercentSalaryHike]]&lt;=13,"11-13%",IF(HR_Data[[#This Row],[PercentSalaryHike]]&lt;=16,"14-16%",IF(HR_Data[[#This Row],[PercentSalaryHike]]&lt;=19,"17-19%","20-25%")))</f>
        <v>14-16%</v>
      </c>
      <c r="AP1149" s="1">
        <f>IF(HR_Data[[#This Row],[PercentSalaryHike]]&lt;=13,1,IF(HR_Data[[#This Row],[PercentSalaryHike]]&lt;=16,2,IF(HR_Data[[#This Row],[PercentSalaryHike]]&lt;=19,3,4)))</f>
        <v>2</v>
      </c>
      <c r="AQ1149" s="1" t="str">
        <f>IF(HR_Data[[#This Row],[DistanceFromHome]]&lt;=5,"1 to 5",IF(HR_Data[[#This Row],[DistanceFromHome]]&lt;=10,"6 to 10",IF(HR_Data[[#This Row],[DistanceFromHome]]&lt;=20,"11 to 20","21 to 29")))</f>
        <v>21 to 29</v>
      </c>
      <c r="AR1149" s="1">
        <f>IF(HR_Data[[#This Row],[DistanceFromHome]]&lt;=5,1,IF(HR_Data[[#This Row],[DistanceFromHome]]&lt;=10,2,IF(HR_Data[[#This Row],[DistanceFromHome]]&lt;=20,3,4)))</f>
        <v>4</v>
      </c>
      <c r="AS1149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149" s="1">
        <f>IF(HR_Data[[#This Row],[TotalWorkingYears]]&lt;=5,1,IF(HR_Data[[#This Row],[TotalWorkingYears]]&lt;=10,2,IF(HR_Data[[#This Row],[TotalWorkingYears]]&lt;=20,3,4)))</f>
        <v>2</v>
      </c>
    </row>
    <row r="1150" spans="1:46" x14ac:dyDescent="0.25">
      <c r="A1150">
        <v>39</v>
      </c>
      <c r="B1150" t="s">
        <v>36</v>
      </c>
      <c r="C1150" t="s">
        <v>30</v>
      </c>
      <c r="D1150" t="s">
        <v>38</v>
      </c>
      <c r="E1150">
        <v>10</v>
      </c>
      <c r="F1150">
        <v>5</v>
      </c>
      <c r="G1150" t="s">
        <v>44</v>
      </c>
      <c r="H1150">
        <v>1618</v>
      </c>
      <c r="I1150">
        <v>2</v>
      </c>
      <c r="J1150" t="s">
        <v>39</v>
      </c>
      <c r="K1150">
        <v>3</v>
      </c>
      <c r="L1150">
        <v>2</v>
      </c>
      <c r="M1150" t="s">
        <v>46</v>
      </c>
      <c r="N1150">
        <v>1</v>
      </c>
      <c r="O1150" t="s">
        <v>41</v>
      </c>
      <c r="P1150">
        <v>5377</v>
      </c>
      <c r="Q1150">
        <v>2</v>
      </c>
      <c r="R1150" t="s">
        <v>36</v>
      </c>
      <c r="S1150">
        <v>13</v>
      </c>
      <c r="T1150">
        <v>3</v>
      </c>
      <c r="U1150">
        <v>4</v>
      </c>
      <c r="V1150">
        <v>3</v>
      </c>
      <c r="W1150">
        <v>10</v>
      </c>
      <c r="X1150">
        <v>3</v>
      </c>
      <c r="Y1150">
        <v>3</v>
      </c>
      <c r="Z1150">
        <v>7</v>
      </c>
      <c r="AA1150">
        <v>7</v>
      </c>
      <c r="AB1150">
        <v>7</v>
      </c>
      <c r="AC1150">
        <v>7</v>
      </c>
      <c r="AD1150">
        <f>IF(HR_Data[[#This Row],[Attrition]]="Yes",1,0)</f>
        <v>0</v>
      </c>
      <c r="AE1150" t="str">
        <f>IF(HR_Data[[#This Row],[Age]]&lt;=25,"18-25",IF(HR_Data[[#This Row],[Age]]&lt;=35,"26-35",IF(HR_Data[[#This Row],[Age]]&lt;=45,"36-45",IF(HR_Data[[#This Row],[Age]]&lt;=55,"46-55","55+"))))</f>
        <v>36-45</v>
      </c>
      <c r="AF1150">
        <f>IF(HR_Data[[#This Row],[Age]]&lt;=25,1,IF(HR_Data[[#This Row],[Age]]&lt;=35,2,IF(HR_Data[[#This Row],[Age]]&lt;=45,3,IF(HR_Data[[#This Row],[Age]]&lt;=55,4,5))))</f>
        <v>3</v>
      </c>
      <c r="AG1150" s="1" t="str">
        <f>IF(HR_Data[[#This Row],[MonthlyIncome]]&lt;3000,"&lt;3K",IF(HR_Data[[#This Row],[MonthlyIncome]]&lt;6000,"3K-6K",IF(HR_Data[[#This Row],[MonthlyIncome]]&lt;10000,"6K-10K","10K+")))</f>
        <v>3K-6K</v>
      </c>
      <c r="AH1150" s="1">
        <f>IF(HR_Data[[#This Row],[MonthlyIncome]]&lt;3000,1,IF(HR_Data[[#This Row],[MonthlyIncome]]&lt;6000,2,IF(HR_Data[[#This Row],[MonthlyIncome]]&lt;10000,3,4)))</f>
        <v>2</v>
      </c>
      <c r="AI1150" s="1" t="str">
        <f>IF(HR_Data[[#This Row],[YearsAtCompany]]&lt;=2,"0-2 Yrs",IF(HR_Data[[#This Row],[YearsAtCompany]]&lt;=5,"3-5 Yrs",IF(HR_Data[[#This Row],[YearsAtCompany]]&lt;=10,"6-10 Yrs","10+ Yrs")))</f>
        <v>6-10 Yrs</v>
      </c>
      <c r="AJ1150" s="1">
        <f>IF(HR_Data[[#This Row],[YearsAtCompany]]&lt;=2,1,IF(HR_Data[[#This Row],[YearsAtCompany]]&lt;=5,2,IF(HR_Data[[#This Row],[YearsAtCompany]]&lt;=10,3,4)))</f>
        <v>3</v>
      </c>
      <c r="AK1150" s="1" t="str">
        <f>CHOOSE(HR_Data[[#This Row],[Education]],"Below College","College","Bachelor","Master","Doctor")</f>
        <v>Doctor</v>
      </c>
      <c r="AL1150" s="1" t="str">
        <f>CHOOSE(HR_Data[[#This Row],[JobSatisfaction]],"Low","Medium","High","Very High")</f>
        <v>Low</v>
      </c>
      <c r="AM1150" s="1" t="str">
        <f>CHOOSE(HR_Data[[#This Row],[EnvironmentSatisfaction]],"Low","Medium","High","Very High")</f>
        <v>Medium</v>
      </c>
      <c r="AN1150" s="1" t="str">
        <f>CHOOSE(HR_Data[[#This Row],[WorkLifeBalance]],"Bad","Good","Better","Best")</f>
        <v>Better</v>
      </c>
      <c r="AO1150" s="1" t="str">
        <f>IF(HR_Data[[#This Row],[PercentSalaryHike]]&lt;=13,"11-13%",IF(HR_Data[[#This Row],[PercentSalaryHike]]&lt;=16,"14-16%",IF(HR_Data[[#This Row],[PercentSalaryHike]]&lt;=19,"17-19%","20-25%")))</f>
        <v>11-13%</v>
      </c>
      <c r="AP1150" s="1">
        <f>IF(HR_Data[[#This Row],[PercentSalaryHike]]&lt;=13,1,IF(HR_Data[[#This Row],[PercentSalaryHike]]&lt;=16,2,IF(HR_Data[[#This Row],[PercentSalaryHike]]&lt;=19,3,4)))</f>
        <v>1</v>
      </c>
      <c r="AQ1150" s="1" t="str">
        <f>IF(HR_Data[[#This Row],[DistanceFromHome]]&lt;=5,"1 to 5",IF(HR_Data[[#This Row],[DistanceFromHome]]&lt;=10,"6 to 10",IF(HR_Data[[#This Row],[DistanceFromHome]]&lt;=20,"11 to 20","21 to 29")))</f>
        <v>6 to 10</v>
      </c>
      <c r="AR1150" s="1">
        <f>IF(HR_Data[[#This Row],[DistanceFromHome]]&lt;=5,1,IF(HR_Data[[#This Row],[DistanceFromHome]]&lt;=10,2,IF(HR_Data[[#This Row],[DistanceFromHome]]&lt;=20,3,4)))</f>
        <v>2</v>
      </c>
      <c r="AS1150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150" s="1">
        <f>IF(HR_Data[[#This Row],[TotalWorkingYears]]&lt;=5,1,IF(HR_Data[[#This Row],[TotalWorkingYears]]&lt;=10,2,IF(HR_Data[[#This Row],[TotalWorkingYears]]&lt;=20,3,4)))</f>
        <v>2</v>
      </c>
    </row>
    <row r="1151" spans="1:46" x14ac:dyDescent="0.25">
      <c r="A1151">
        <v>27</v>
      </c>
      <c r="B1151" t="s">
        <v>36</v>
      </c>
      <c r="C1151" t="s">
        <v>30</v>
      </c>
      <c r="D1151" t="s">
        <v>38</v>
      </c>
      <c r="E1151">
        <v>19</v>
      </c>
      <c r="F1151">
        <v>3</v>
      </c>
      <c r="G1151" t="s">
        <v>42</v>
      </c>
      <c r="H1151">
        <v>1619</v>
      </c>
      <c r="I1151">
        <v>4</v>
      </c>
      <c r="J1151" t="s">
        <v>39</v>
      </c>
      <c r="K1151">
        <v>2</v>
      </c>
      <c r="L1151">
        <v>1</v>
      </c>
      <c r="M1151" t="s">
        <v>43</v>
      </c>
      <c r="N1151">
        <v>1</v>
      </c>
      <c r="O1151" t="s">
        <v>45</v>
      </c>
      <c r="P1151">
        <v>4066</v>
      </c>
      <c r="Q1151">
        <v>1</v>
      </c>
      <c r="R1151" t="s">
        <v>36</v>
      </c>
      <c r="S1151">
        <v>11</v>
      </c>
      <c r="T1151">
        <v>3</v>
      </c>
      <c r="U1151">
        <v>1</v>
      </c>
      <c r="V1151">
        <v>2</v>
      </c>
      <c r="W1151">
        <v>7</v>
      </c>
      <c r="X1151">
        <v>3</v>
      </c>
      <c r="Y1151">
        <v>3</v>
      </c>
      <c r="Z1151">
        <v>7</v>
      </c>
      <c r="AA1151">
        <v>7</v>
      </c>
      <c r="AB1151">
        <v>0</v>
      </c>
      <c r="AC1151">
        <v>7</v>
      </c>
      <c r="AD1151">
        <f>IF(HR_Data[[#This Row],[Attrition]]="Yes",1,0)</f>
        <v>0</v>
      </c>
      <c r="AE1151" t="str">
        <f>IF(HR_Data[[#This Row],[Age]]&lt;=25,"18-25",IF(HR_Data[[#This Row],[Age]]&lt;=35,"26-35",IF(HR_Data[[#This Row],[Age]]&lt;=45,"36-45",IF(HR_Data[[#This Row],[Age]]&lt;=55,"46-55","55+"))))</f>
        <v>26-35</v>
      </c>
      <c r="AF1151">
        <f>IF(HR_Data[[#This Row],[Age]]&lt;=25,1,IF(HR_Data[[#This Row],[Age]]&lt;=35,2,IF(HR_Data[[#This Row],[Age]]&lt;=45,3,IF(HR_Data[[#This Row],[Age]]&lt;=55,4,5))))</f>
        <v>2</v>
      </c>
      <c r="AG1151" s="1" t="str">
        <f>IF(HR_Data[[#This Row],[MonthlyIncome]]&lt;3000,"&lt;3K",IF(HR_Data[[#This Row],[MonthlyIncome]]&lt;6000,"3K-6K",IF(HR_Data[[#This Row],[MonthlyIncome]]&lt;10000,"6K-10K","10K+")))</f>
        <v>3K-6K</v>
      </c>
      <c r="AH1151" s="1">
        <f>IF(HR_Data[[#This Row],[MonthlyIncome]]&lt;3000,1,IF(HR_Data[[#This Row],[MonthlyIncome]]&lt;6000,2,IF(HR_Data[[#This Row],[MonthlyIncome]]&lt;10000,3,4)))</f>
        <v>2</v>
      </c>
      <c r="AI1151" s="1" t="str">
        <f>IF(HR_Data[[#This Row],[YearsAtCompany]]&lt;=2,"0-2 Yrs",IF(HR_Data[[#This Row],[YearsAtCompany]]&lt;=5,"3-5 Yrs",IF(HR_Data[[#This Row],[YearsAtCompany]]&lt;=10,"6-10 Yrs","10+ Yrs")))</f>
        <v>6-10 Yrs</v>
      </c>
      <c r="AJ1151" s="1">
        <f>IF(HR_Data[[#This Row],[YearsAtCompany]]&lt;=2,1,IF(HR_Data[[#This Row],[YearsAtCompany]]&lt;=5,2,IF(HR_Data[[#This Row],[YearsAtCompany]]&lt;=10,3,4)))</f>
        <v>3</v>
      </c>
      <c r="AK1151" s="1" t="str">
        <f>CHOOSE(HR_Data[[#This Row],[Education]],"Below College","College","Bachelor","Master","Doctor")</f>
        <v>Bachelor</v>
      </c>
      <c r="AL1151" s="1" t="str">
        <f>CHOOSE(HR_Data[[#This Row],[JobSatisfaction]],"Low","Medium","High","Very High")</f>
        <v>Low</v>
      </c>
      <c r="AM1151" s="1" t="str">
        <f>CHOOSE(HR_Data[[#This Row],[EnvironmentSatisfaction]],"Low","Medium","High","Very High")</f>
        <v>Very High</v>
      </c>
      <c r="AN1151" s="1" t="str">
        <f>CHOOSE(HR_Data[[#This Row],[WorkLifeBalance]],"Bad","Good","Better","Best")</f>
        <v>Better</v>
      </c>
      <c r="AO1151" s="1" t="str">
        <f>IF(HR_Data[[#This Row],[PercentSalaryHike]]&lt;=13,"11-13%",IF(HR_Data[[#This Row],[PercentSalaryHike]]&lt;=16,"14-16%",IF(HR_Data[[#This Row],[PercentSalaryHike]]&lt;=19,"17-19%","20-25%")))</f>
        <v>11-13%</v>
      </c>
      <c r="AP1151" s="1">
        <f>IF(HR_Data[[#This Row],[PercentSalaryHike]]&lt;=13,1,IF(HR_Data[[#This Row],[PercentSalaryHike]]&lt;=16,2,IF(HR_Data[[#This Row],[PercentSalaryHike]]&lt;=19,3,4)))</f>
        <v>1</v>
      </c>
      <c r="AQ1151" s="1" t="str">
        <f>IF(HR_Data[[#This Row],[DistanceFromHome]]&lt;=5,"1 to 5",IF(HR_Data[[#This Row],[DistanceFromHome]]&lt;=10,"6 to 10",IF(HR_Data[[#This Row],[DistanceFromHome]]&lt;=20,"11 to 20","21 to 29")))</f>
        <v>11 to 20</v>
      </c>
      <c r="AR1151" s="1">
        <f>IF(HR_Data[[#This Row],[DistanceFromHome]]&lt;=5,1,IF(HR_Data[[#This Row],[DistanceFromHome]]&lt;=10,2,IF(HR_Data[[#This Row],[DistanceFromHome]]&lt;=20,3,4)))</f>
        <v>3</v>
      </c>
      <c r="AS1151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151" s="1">
        <f>IF(HR_Data[[#This Row],[TotalWorkingYears]]&lt;=5,1,IF(HR_Data[[#This Row],[TotalWorkingYears]]&lt;=10,2,IF(HR_Data[[#This Row],[TotalWorkingYears]]&lt;=20,3,4)))</f>
        <v>2</v>
      </c>
    </row>
    <row r="1152" spans="1:46" x14ac:dyDescent="0.25">
      <c r="A1152">
        <v>35</v>
      </c>
      <c r="B1152" t="s">
        <v>36</v>
      </c>
      <c r="C1152" t="s">
        <v>30</v>
      </c>
      <c r="D1152" t="s">
        <v>38</v>
      </c>
      <c r="E1152">
        <v>18</v>
      </c>
      <c r="F1152">
        <v>5</v>
      </c>
      <c r="G1152" t="s">
        <v>32</v>
      </c>
      <c r="H1152">
        <v>1621</v>
      </c>
      <c r="I1152">
        <v>2</v>
      </c>
      <c r="J1152" t="s">
        <v>39</v>
      </c>
      <c r="K1152">
        <v>4</v>
      </c>
      <c r="L1152">
        <v>2</v>
      </c>
      <c r="M1152" t="s">
        <v>40</v>
      </c>
      <c r="N1152">
        <v>1</v>
      </c>
      <c r="O1152" t="s">
        <v>41</v>
      </c>
      <c r="P1152">
        <v>5208</v>
      </c>
      <c r="Q1152">
        <v>1</v>
      </c>
      <c r="R1152" t="s">
        <v>36</v>
      </c>
      <c r="S1152">
        <v>11</v>
      </c>
      <c r="T1152">
        <v>3</v>
      </c>
      <c r="U1152">
        <v>4</v>
      </c>
      <c r="V1152">
        <v>0</v>
      </c>
      <c r="W1152">
        <v>16</v>
      </c>
      <c r="X1152">
        <v>2</v>
      </c>
      <c r="Y1152">
        <v>3</v>
      </c>
      <c r="Z1152">
        <v>16</v>
      </c>
      <c r="AA1152">
        <v>15</v>
      </c>
      <c r="AB1152">
        <v>1</v>
      </c>
      <c r="AC1152">
        <v>10</v>
      </c>
      <c r="AD1152">
        <f>IF(HR_Data[[#This Row],[Attrition]]="Yes",1,0)</f>
        <v>0</v>
      </c>
      <c r="AE1152" t="str">
        <f>IF(HR_Data[[#This Row],[Age]]&lt;=25,"18-25",IF(HR_Data[[#This Row],[Age]]&lt;=35,"26-35",IF(HR_Data[[#This Row],[Age]]&lt;=45,"36-45",IF(HR_Data[[#This Row],[Age]]&lt;=55,"46-55","55+"))))</f>
        <v>26-35</v>
      </c>
      <c r="AF1152">
        <f>IF(HR_Data[[#This Row],[Age]]&lt;=25,1,IF(HR_Data[[#This Row],[Age]]&lt;=35,2,IF(HR_Data[[#This Row],[Age]]&lt;=45,3,IF(HR_Data[[#This Row],[Age]]&lt;=55,4,5))))</f>
        <v>2</v>
      </c>
      <c r="AG1152" s="1" t="str">
        <f>IF(HR_Data[[#This Row],[MonthlyIncome]]&lt;3000,"&lt;3K",IF(HR_Data[[#This Row],[MonthlyIncome]]&lt;6000,"3K-6K",IF(HR_Data[[#This Row],[MonthlyIncome]]&lt;10000,"6K-10K","10K+")))</f>
        <v>3K-6K</v>
      </c>
      <c r="AH1152" s="1">
        <f>IF(HR_Data[[#This Row],[MonthlyIncome]]&lt;3000,1,IF(HR_Data[[#This Row],[MonthlyIncome]]&lt;6000,2,IF(HR_Data[[#This Row],[MonthlyIncome]]&lt;10000,3,4)))</f>
        <v>2</v>
      </c>
      <c r="AI1152" s="1" t="str">
        <f>IF(HR_Data[[#This Row],[YearsAtCompany]]&lt;=2,"0-2 Yrs",IF(HR_Data[[#This Row],[YearsAtCompany]]&lt;=5,"3-5 Yrs",IF(HR_Data[[#This Row],[YearsAtCompany]]&lt;=10,"6-10 Yrs","10+ Yrs")))</f>
        <v>10+ Yrs</v>
      </c>
      <c r="AJ1152" s="1">
        <f>IF(HR_Data[[#This Row],[YearsAtCompany]]&lt;=2,1,IF(HR_Data[[#This Row],[YearsAtCompany]]&lt;=5,2,IF(HR_Data[[#This Row],[YearsAtCompany]]&lt;=10,3,4)))</f>
        <v>4</v>
      </c>
      <c r="AK1152" s="1" t="str">
        <f>CHOOSE(HR_Data[[#This Row],[Education]],"Below College","College","Bachelor","Master","Doctor")</f>
        <v>Doctor</v>
      </c>
      <c r="AL1152" s="1" t="str">
        <f>CHOOSE(HR_Data[[#This Row],[JobSatisfaction]],"Low","Medium","High","Very High")</f>
        <v>Low</v>
      </c>
      <c r="AM1152" s="1" t="str">
        <f>CHOOSE(HR_Data[[#This Row],[EnvironmentSatisfaction]],"Low","Medium","High","Very High")</f>
        <v>Medium</v>
      </c>
      <c r="AN1152" s="1" t="str">
        <f>CHOOSE(HR_Data[[#This Row],[WorkLifeBalance]],"Bad","Good","Better","Best")</f>
        <v>Better</v>
      </c>
      <c r="AO1152" s="1" t="str">
        <f>IF(HR_Data[[#This Row],[PercentSalaryHike]]&lt;=13,"11-13%",IF(HR_Data[[#This Row],[PercentSalaryHike]]&lt;=16,"14-16%",IF(HR_Data[[#This Row],[PercentSalaryHike]]&lt;=19,"17-19%","20-25%")))</f>
        <v>11-13%</v>
      </c>
      <c r="AP1152" s="1">
        <f>IF(HR_Data[[#This Row],[PercentSalaryHike]]&lt;=13,1,IF(HR_Data[[#This Row],[PercentSalaryHike]]&lt;=16,2,IF(HR_Data[[#This Row],[PercentSalaryHike]]&lt;=19,3,4)))</f>
        <v>1</v>
      </c>
      <c r="AQ1152" s="1" t="str">
        <f>IF(HR_Data[[#This Row],[DistanceFromHome]]&lt;=5,"1 to 5",IF(HR_Data[[#This Row],[DistanceFromHome]]&lt;=10,"6 to 10",IF(HR_Data[[#This Row],[DistanceFromHome]]&lt;=20,"11 to 20","21 to 29")))</f>
        <v>11 to 20</v>
      </c>
      <c r="AR1152" s="1">
        <f>IF(HR_Data[[#This Row],[DistanceFromHome]]&lt;=5,1,IF(HR_Data[[#This Row],[DistanceFromHome]]&lt;=10,2,IF(HR_Data[[#This Row],[DistanceFromHome]]&lt;=20,3,4)))</f>
        <v>3</v>
      </c>
      <c r="AS1152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152" s="1">
        <f>IF(HR_Data[[#This Row],[TotalWorkingYears]]&lt;=5,1,IF(HR_Data[[#This Row],[TotalWorkingYears]]&lt;=10,2,IF(HR_Data[[#This Row],[TotalWorkingYears]]&lt;=20,3,4)))</f>
        <v>3</v>
      </c>
    </row>
    <row r="1153" spans="1:46" x14ac:dyDescent="0.25">
      <c r="A1153">
        <v>28</v>
      </c>
      <c r="B1153" t="s">
        <v>36</v>
      </c>
      <c r="C1153" t="s">
        <v>30</v>
      </c>
      <c r="D1153" t="s">
        <v>38</v>
      </c>
      <c r="E1153">
        <v>27</v>
      </c>
      <c r="F1153">
        <v>3</v>
      </c>
      <c r="G1153" t="s">
        <v>44</v>
      </c>
      <c r="H1153">
        <v>1622</v>
      </c>
      <c r="I1153">
        <v>2</v>
      </c>
      <c r="J1153" t="s">
        <v>33</v>
      </c>
      <c r="K1153">
        <v>1</v>
      </c>
      <c r="L1153">
        <v>2</v>
      </c>
      <c r="M1153" t="s">
        <v>46</v>
      </c>
      <c r="N1153">
        <v>1</v>
      </c>
      <c r="O1153" t="s">
        <v>45</v>
      </c>
      <c r="P1153">
        <v>4877</v>
      </c>
      <c r="Q1153">
        <v>0</v>
      </c>
      <c r="R1153" t="s">
        <v>36</v>
      </c>
      <c r="S1153">
        <v>21</v>
      </c>
      <c r="T1153">
        <v>4</v>
      </c>
      <c r="U1153">
        <v>2</v>
      </c>
      <c r="V1153">
        <v>1</v>
      </c>
      <c r="W1153">
        <v>6</v>
      </c>
      <c r="X1153">
        <v>5</v>
      </c>
      <c r="Y1153">
        <v>2</v>
      </c>
      <c r="Z1153">
        <v>5</v>
      </c>
      <c r="AA1153">
        <v>3</v>
      </c>
      <c r="AB1153">
        <v>0</v>
      </c>
      <c r="AC1153">
        <v>0</v>
      </c>
      <c r="AD1153">
        <f>IF(HR_Data[[#This Row],[Attrition]]="Yes",1,0)</f>
        <v>0</v>
      </c>
      <c r="AE1153" t="str">
        <f>IF(HR_Data[[#This Row],[Age]]&lt;=25,"18-25",IF(HR_Data[[#This Row],[Age]]&lt;=35,"26-35",IF(HR_Data[[#This Row],[Age]]&lt;=45,"36-45",IF(HR_Data[[#This Row],[Age]]&lt;=55,"46-55","55+"))))</f>
        <v>26-35</v>
      </c>
      <c r="AF1153">
        <f>IF(HR_Data[[#This Row],[Age]]&lt;=25,1,IF(HR_Data[[#This Row],[Age]]&lt;=35,2,IF(HR_Data[[#This Row],[Age]]&lt;=45,3,IF(HR_Data[[#This Row],[Age]]&lt;=55,4,5))))</f>
        <v>2</v>
      </c>
      <c r="AG1153" s="1" t="str">
        <f>IF(HR_Data[[#This Row],[MonthlyIncome]]&lt;3000,"&lt;3K",IF(HR_Data[[#This Row],[MonthlyIncome]]&lt;6000,"3K-6K",IF(HR_Data[[#This Row],[MonthlyIncome]]&lt;10000,"6K-10K","10K+")))</f>
        <v>3K-6K</v>
      </c>
      <c r="AH1153" s="1">
        <f>IF(HR_Data[[#This Row],[MonthlyIncome]]&lt;3000,1,IF(HR_Data[[#This Row],[MonthlyIncome]]&lt;6000,2,IF(HR_Data[[#This Row],[MonthlyIncome]]&lt;10000,3,4)))</f>
        <v>2</v>
      </c>
      <c r="AI1153" s="1" t="str">
        <f>IF(HR_Data[[#This Row],[YearsAtCompany]]&lt;=2,"0-2 Yrs",IF(HR_Data[[#This Row],[YearsAtCompany]]&lt;=5,"3-5 Yrs",IF(HR_Data[[#This Row],[YearsAtCompany]]&lt;=10,"6-10 Yrs","10+ Yrs")))</f>
        <v>3-5 Yrs</v>
      </c>
      <c r="AJ1153" s="1">
        <f>IF(HR_Data[[#This Row],[YearsAtCompany]]&lt;=2,1,IF(HR_Data[[#This Row],[YearsAtCompany]]&lt;=5,2,IF(HR_Data[[#This Row],[YearsAtCompany]]&lt;=10,3,4)))</f>
        <v>2</v>
      </c>
      <c r="AK1153" s="1" t="str">
        <f>CHOOSE(HR_Data[[#This Row],[Education]],"Below College","College","Bachelor","Master","Doctor")</f>
        <v>Bachelor</v>
      </c>
      <c r="AL1153" s="1" t="str">
        <f>CHOOSE(HR_Data[[#This Row],[JobSatisfaction]],"Low","Medium","High","Very High")</f>
        <v>Low</v>
      </c>
      <c r="AM1153" s="1" t="str">
        <f>CHOOSE(HR_Data[[#This Row],[EnvironmentSatisfaction]],"Low","Medium","High","Very High")</f>
        <v>Medium</v>
      </c>
      <c r="AN1153" s="1" t="str">
        <f>CHOOSE(HR_Data[[#This Row],[WorkLifeBalance]],"Bad","Good","Better","Best")</f>
        <v>Good</v>
      </c>
      <c r="AO1153" s="1" t="str">
        <f>IF(HR_Data[[#This Row],[PercentSalaryHike]]&lt;=13,"11-13%",IF(HR_Data[[#This Row],[PercentSalaryHike]]&lt;=16,"14-16%",IF(HR_Data[[#This Row],[PercentSalaryHike]]&lt;=19,"17-19%","20-25%")))</f>
        <v>20-25%</v>
      </c>
      <c r="AP1153" s="1">
        <f>IF(HR_Data[[#This Row],[PercentSalaryHike]]&lt;=13,1,IF(HR_Data[[#This Row],[PercentSalaryHike]]&lt;=16,2,IF(HR_Data[[#This Row],[PercentSalaryHike]]&lt;=19,3,4)))</f>
        <v>4</v>
      </c>
      <c r="AQ1153" s="1" t="str">
        <f>IF(HR_Data[[#This Row],[DistanceFromHome]]&lt;=5,"1 to 5",IF(HR_Data[[#This Row],[DistanceFromHome]]&lt;=10,"6 to 10",IF(HR_Data[[#This Row],[DistanceFromHome]]&lt;=20,"11 to 20","21 to 29")))</f>
        <v>21 to 29</v>
      </c>
      <c r="AR1153" s="1">
        <f>IF(HR_Data[[#This Row],[DistanceFromHome]]&lt;=5,1,IF(HR_Data[[#This Row],[DistanceFromHome]]&lt;=10,2,IF(HR_Data[[#This Row],[DistanceFromHome]]&lt;=20,3,4)))</f>
        <v>4</v>
      </c>
      <c r="AS1153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153" s="1">
        <f>IF(HR_Data[[#This Row],[TotalWorkingYears]]&lt;=5,1,IF(HR_Data[[#This Row],[TotalWorkingYears]]&lt;=10,2,IF(HR_Data[[#This Row],[TotalWorkingYears]]&lt;=20,3,4)))</f>
        <v>2</v>
      </c>
    </row>
    <row r="1154" spans="1:46" x14ac:dyDescent="0.25">
      <c r="A1154">
        <v>21</v>
      </c>
      <c r="B1154" t="s">
        <v>36</v>
      </c>
      <c r="C1154" t="s">
        <v>30</v>
      </c>
      <c r="D1154" t="s">
        <v>38</v>
      </c>
      <c r="E1154">
        <v>5</v>
      </c>
      <c r="F1154">
        <v>1</v>
      </c>
      <c r="G1154" t="s">
        <v>44</v>
      </c>
      <c r="H1154">
        <v>1623</v>
      </c>
      <c r="I1154">
        <v>3</v>
      </c>
      <c r="J1154" t="s">
        <v>39</v>
      </c>
      <c r="K1154">
        <v>3</v>
      </c>
      <c r="L1154">
        <v>1</v>
      </c>
      <c r="M1154" t="s">
        <v>40</v>
      </c>
      <c r="N1154">
        <v>4</v>
      </c>
      <c r="O1154" t="s">
        <v>35</v>
      </c>
      <c r="P1154">
        <v>3117</v>
      </c>
      <c r="Q1154">
        <v>1</v>
      </c>
      <c r="R1154" t="s">
        <v>36</v>
      </c>
      <c r="S1154">
        <v>18</v>
      </c>
      <c r="T1154">
        <v>3</v>
      </c>
      <c r="U1154">
        <v>3</v>
      </c>
      <c r="V1154">
        <v>0</v>
      </c>
      <c r="W1154">
        <v>3</v>
      </c>
      <c r="X1154">
        <v>2</v>
      </c>
      <c r="Y1154">
        <v>3</v>
      </c>
      <c r="Z1154">
        <v>2</v>
      </c>
      <c r="AA1154">
        <v>2</v>
      </c>
      <c r="AB1154">
        <v>2</v>
      </c>
      <c r="AC1154">
        <v>2</v>
      </c>
      <c r="AD1154">
        <f>IF(HR_Data[[#This Row],[Attrition]]="Yes",1,0)</f>
        <v>0</v>
      </c>
      <c r="AE1154" t="str">
        <f>IF(HR_Data[[#This Row],[Age]]&lt;=25,"18-25",IF(HR_Data[[#This Row],[Age]]&lt;=35,"26-35",IF(HR_Data[[#This Row],[Age]]&lt;=45,"36-45",IF(HR_Data[[#This Row],[Age]]&lt;=55,"46-55","55+"))))</f>
        <v>18-25</v>
      </c>
      <c r="AF1154">
        <f>IF(HR_Data[[#This Row],[Age]]&lt;=25,1,IF(HR_Data[[#This Row],[Age]]&lt;=35,2,IF(HR_Data[[#This Row],[Age]]&lt;=45,3,IF(HR_Data[[#This Row],[Age]]&lt;=55,4,5))))</f>
        <v>1</v>
      </c>
      <c r="AG1154" s="1" t="str">
        <f>IF(HR_Data[[#This Row],[MonthlyIncome]]&lt;3000,"&lt;3K",IF(HR_Data[[#This Row],[MonthlyIncome]]&lt;6000,"3K-6K",IF(HR_Data[[#This Row],[MonthlyIncome]]&lt;10000,"6K-10K","10K+")))</f>
        <v>3K-6K</v>
      </c>
      <c r="AH1154" s="1">
        <f>IF(HR_Data[[#This Row],[MonthlyIncome]]&lt;3000,1,IF(HR_Data[[#This Row],[MonthlyIncome]]&lt;6000,2,IF(HR_Data[[#This Row],[MonthlyIncome]]&lt;10000,3,4)))</f>
        <v>2</v>
      </c>
      <c r="AI1154" s="1" t="str">
        <f>IF(HR_Data[[#This Row],[YearsAtCompany]]&lt;=2,"0-2 Yrs",IF(HR_Data[[#This Row],[YearsAtCompany]]&lt;=5,"3-5 Yrs",IF(HR_Data[[#This Row],[YearsAtCompany]]&lt;=10,"6-10 Yrs","10+ Yrs")))</f>
        <v>0-2 Yrs</v>
      </c>
      <c r="AJ1154" s="1">
        <f>IF(HR_Data[[#This Row],[YearsAtCompany]]&lt;=2,1,IF(HR_Data[[#This Row],[YearsAtCompany]]&lt;=5,2,IF(HR_Data[[#This Row],[YearsAtCompany]]&lt;=10,3,4)))</f>
        <v>1</v>
      </c>
      <c r="AK1154" s="1" t="str">
        <f>CHOOSE(HR_Data[[#This Row],[Education]],"Below College","College","Bachelor","Master","Doctor")</f>
        <v>Below College</v>
      </c>
      <c r="AL1154" s="1" t="str">
        <f>CHOOSE(HR_Data[[#This Row],[JobSatisfaction]],"Low","Medium","High","Very High")</f>
        <v>Very High</v>
      </c>
      <c r="AM1154" s="1" t="str">
        <f>CHOOSE(HR_Data[[#This Row],[EnvironmentSatisfaction]],"Low","Medium","High","Very High")</f>
        <v>High</v>
      </c>
      <c r="AN1154" s="1" t="str">
        <f>CHOOSE(HR_Data[[#This Row],[WorkLifeBalance]],"Bad","Good","Better","Best")</f>
        <v>Better</v>
      </c>
      <c r="AO1154" s="1" t="str">
        <f>IF(HR_Data[[#This Row],[PercentSalaryHike]]&lt;=13,"11-13%",IF(HR_Data[[#This Row],[PercentSalaryHike]]&lt;=16,"14-16%",IF(HR_Data[[#This Row],[PercentSalaryHike]]&lt;=19,"17-19%","20-25%")))</f>
        <v>17-19%</v>
      </c>
      <c r="AP1154" s="1">
        <f>IF(HR_Data[[#This Row],[PercentSalaryHike]]&lt;=13,1,IF(HR_Data[[#This Row],[PercentSalaryHike]]&lt;=16,2,IF(HR_Data[[#This Row],[PercentSalaryHike]]&lt;=19,3,4)))</f>
        <v>3</v>
      </c>
      <c r="AQ1154" s="1" t="str">
        <f>IF(HR_Data[[#This Row],[DistanceFromHome]]&lt;=5,"1 to 5",IF(HR_Data[[#This Row],[DistanceFromHome]]&lt;=10,"6 to 10",IF(HR_Data[[#This Row],[DistanceFromHome]]&lt;=20,"11 to 20","21 to 29")))</f>
        <v>1 to 5</v>
      </c>
      <c r="AR1154" s="1">
        <f>IF(HR_Data[[#This Row],[DistanceFromHome]]&lt;=5,1,IF(HR_Data[[#This Row],[DistanceFromHome]]&lt;=10,2,IF(HR_Data[[#This Row],[DistanceFromHome]]&lt;=20,3,4)))</f>
        <v>1</v>
      </c>
      <c r="AS1154" s="1" t="str">
        <f>IF(HR_Data[[#This Row],[TotalWorkingYears]]&lt;=5,"0-5 Yrs",IF(HR_Data[[#This Row],[TotalWorkingYears]]&lt;=10,"6-10 Yrs",IF(HR_Data[[#This Row],[TotalWorkingYears]]&lt;=20,"11-20 Yrs","20+ Yrs")))</f>
        <v>0-5 Yrs</v>
      </c>
      <c r="AT1154" s="1">
        <f>IF(HR_Data[[#This Row],[TotalWorkingYears]]&lt;=5,1,IF(HR_Data[[#This Row],[TotalWorkingYears]]&lt;=10,2,IF(HR_Data[[#This Row],[TotalWorkingYears]]&lt;=20,3,4)))</f>
        <v>1</v>
      </c>
    </row>
    <row r="1155" spans="1:46" x14ac:dyDescent="0.25">
      <c r="A1155">
        <v>18</v>
      </c>
      <c r="B1155" t="s">
        <v>29</v>
      </c>
      <c r="C1155" t="s">
        <v>37</v>
      </c>
      <c r="D1155" t="s">
        <v>31</v>
      </c>
      <c r="E1155">
        <v>3</v>
      </c>
      <c r="F1155">
        <v>2</v>
      </c>
      <c r="G1155" t="s">
        <v>44</v>
      </c>
      <c r="H1155">
        <v>1624</v>
      </c>
      <c r="I1155">
        <v>2</v>
      </c>
      <c r="J1155" t="s">
        <v>33</v>
      </c>
      <c r="K1155">
        <v>3</v>
      </c>
      <c r="L1155">
        <v>1</v>
      </c>
      <c r="M1155" t="s">
        <v>50</v>
      </c>
      <c r="N1155">
        <v>4</v>
      </c>
      <c r="O1155" t="s">
        <v>35</v>
      </c>
      <c r="P1155">
        <v>1569</v>
      </c>
      <c r="Q1155">
        <v>1</v>
      </c>
      <c r="R1155" t="s">
        <v>29</v>
      </c>
      <c r="S1155">
        <v>12</v>
      </c>
      <c r="T1155">
        <v>3</v>
      </c>
      <c r="U1155">
        <v>3</v>
      </c>
      <c r="V1155">
        <v>0</v>
      </c>
      <c r="W1155">
        <v>0</v>
      </c>
      <c r="X1155">
        <v>2</v>
      </c>
      <c r="Y1155">
        <v>4</v>
      </c>
      <c r="Z1155">
        <v>0</v>
      </c>
      <c r="AA1155">
        <v>0</v>
      </c>
      <c r="AB1155">
        <v>0</v>
      </c>
      <c r="AC1155">
        <v>0</v>
      </c>
      <c r="AD1155">
        <f>IF(HR_Data[[#This Row],[Attrition]]="Yes",1,0)</f>
        <v>1</v>
      </c>
      <c r="AE1155" t="str">
        <f>IF(HR_Data[[#This Row],[Age]]&lt;=25,"18-25",IF(HR_Data[[#This Row],[Age]]&lt;=35,"26-35",IF(HR_Data[[#This Row],[Age]]&lt;=45,"36-45",IF(HR_Data[[#This Row],[Age]]&lt;=55,"46-55","55+"))))</f>
        <v>18-25</v>
      </c>
      <c r="AF1155">
        <f>IF(HR_Data[[#This Row],[Age]]&lt;=25,1,IF(HR_Data[[#This Row],[Age]]&lt;=35,2,IF(HR_Data[[#This Row],[Age]]&lt;=45,3,IF(HR_Data[[#This Row],[Age]]&lt;=55,4,5))))</f>
        <v>1</v>
      </c>
      <c r="AG1155" s="1" t="str">
        <f>IF(HR_Data[[#This Row],[MonthlyIncome]]&lt;3000,"&lt;3K",IF(HR_Data[[#This Row],[MonthlyIncome]]&lt;6000,"3K-6K",IF(HR_Data[[#This Row],[MonthlyIncome]]&lt;10000,"6K-10K","10K+")))</f>
        <v>&lt;3K</v>
      </c>
      <c r="AH1155" s="1">
        <f>IF(HR_Data[[#This Row],[MonthlyIncome]]&lt;3000,1,IF(HR_Data[[#This Row],[MonthlyIncome]]&lt;6000,2,IF(HR_Data[[#This Row],[MonthlyIncome]]&lt;10000,3,4)))</f>
        <v>1</v>
      </c>
      <c r="AI1155" s="1" t="str">
        <f>IF(HR_Data[[#This Row],[YearsAtCompany]]&lt;=2,"0-2 Yrs",IF(HR_Data[[#This Row],[YearsAtCompany]]&lt;=5,"3-5 Yrs",IF(HR_Data[[#This Row],[YearsAtCompany]]&lt;=10,"6-10 Yrs","10+ Yrs")))</f>
        <v>0-2 Yrs</v>
      </c>
      <c r="AJ1155" s="1">
        <f>IF(HR_Data[[#This Row],[YearsAtCompany]]&lt;=2,1,IF(HR_Data[[#This Row],[YearsAtCompany]]&lt;=5,2,IF(HR_Data[[#This Row],[YearsAtCompany]]&lt;=10,3,4)))</f>
        <v>1</v>
      </c>
      <c r="AK1155" s="1" t="str">
        <f>CHOOSE(HR_Data[[#This Row],[Education]],"Below College","College","Bachelor","Master","Doctor")</f>
        <v>College</v>
      </c>
      <c r="AL1155" s="1" t="str">
        <f>CHOOSE(HR_Data[[#This Row],[JobSatisfaction]],"Low","Medium","High","Very High")</f>
        <v>Very High</v>
      </c>
      <c r="AM1155" s="1" t="str">
        <f>CHOOSE(HR_Data[[#This Row],[EnvironmentSatisfaction]],"Low","Medium","High","Very High")</f>
        <v>Medium</v>
      </c>
      <c r="AN1155" s="1" t="str">
        <f>CHOOSE(HR_Data[[#This Row],[WorkLifeBalance]],"Bad","Good","Better","Best")</f>
        <v>Best</v>
      </c>
      <c r="AO1155" s="1" t="str">
        <f>IF(HR_Data[[#This Row],[PercentSalaryHike]]&lt;=13,"11-13%",IF(HR_Data[[#This Row],[PercentSalaryHike]]&lt;=16,"14-16%",IF(HR_Data[[#This Row],[PercentSalaryHike]]&lt;=19,"17-19%","20-25%")))</f>
        <v>11-13%</v>
      </c>
      <c r="AP1155" s="1">
        <f>IF(HR_Data[[#This Row],[PercentSalaryHike]]&lt;=13,1,IF(HR_Data[[#This Row],[PercentSalaryHike]]&lt;=16,2,IF(HR_Data[[#This Row],[PercentSalaryHike]]&lt;=19,3,4)))</f>
        <v>1</v>
      </c>
      <c r="AQ1155" s="1" t="str">
        <f>IF(HR_Data[[#This Row],[DistanceFromHome]]&lt;=5,"1 to 5",IF(HR_Data[[#This Row],[DistanceFromHome]]&lt;=10,"6 to 10",IF(HR_Data[[#This Row],[DistanceFromHome]]&lt;=20,"11 to 20","21 to 29")))</f>
        <v>1 to 5</v>
      </c>
      <c r="AR1155" s="1">
        <f>IF(HR_Data[[#This Row],[DistanceFromHome]]&lt;=5,1,IF(HR_Data[[#This Row],[DistanceFromHome]]&lt;=10,2,IF(HR_Data[[#This Row],[DistanceFromHome]]&lt;=20,3,4)))</f>
        <v>1</v>
      </c>
      <c r="AS1155" s="1" t="str">
        <f>IF(HR_Data[[#This Row],[TotalWorkingYears]]&lt;=5,"0-5 Yrs",IF(HR_Data[[#This Row],[TotalWorkingYears]]&lt;=10,"6-10 Yrs",IF(HR_Data[[#This Row],[TotalWorkingYears]]&lt;=20,"11-20 Yrs","20+ Yrs")))</f>
        <v>0-5 Yrs</v>
      </c>
      <c r="AT1155" s="1">
        <f>IF(HR_Data[[#This Row],[TotalWorkingYears]]&lt;=5,1,IF(HR_Data[[#This Row],[TotalWorkingYears]]&lt;=10,2,IF(HR_Data[[#This Row],[TotalWorkingYears]]&lt;=20,3,4)))</f>
        <v>1</v>
      </c>
    </row>
    <row r="1156" spans="1:46" x14ac:dyDescent="0.25">
      <c r="A1156">
        <v>47</v>
      </c>
      <c r="B1156" t="s">
        <v>36</v>
      </c>
      <c r="C1156" t="s">
        <v>30</v>
      </c>
      <c r="D1156" t="s">
        <v>54</v>
      </c>
      <c r="E1156">
        <v>26</v>
      </c>
      <c r="F1156">
        <v>4</v>
      </c>
      <c r="G1156" t="s">
        <v>32</v>
      </c>
      <c r="H1156">
        <v>1625</v>
      </c>
      <c r="I1156">
        <v>4</v>
      </c>
      <c r="J1156" t="s">
        <v>33</v>
      </c>
      <c r="K1156">
        <v>3</v>
      </c>
      <c r="L1156">
        <v>5</v>
      </c>
      <c r="M1156" t="s">
        <v>49</v>
      </c>
      <c r="N1156">
        <v>3</v>
      </c>
      <c r="O1156" t="s">
        <v>41</v>
      </c>
      <c r="P1156">
        <v>19658</v>
      </c>
      <c r="Q1156">
        <v>3</v>
      </c>
      <c r="R1156" t="s">
        <v>36</v>
      </c>
      <c r="S1156">
        <v>11</v>
      </c>
      <c r="T1156">
        <v>3</v>
      </c>
      <c r="U1156">
        <v>3</v>
      </c>
      <c r="V1156">
        <v>1</v>
      </c>
      <c r="W1156">
        <v>27</v>
      </c>
      <c r="X1156">
        <v>2</v>
      </c>
      <c r="Y1156">
        <v>3</v>
      </c>
      <c r="Z1156">
        <v>5</v>
      </c>
      <c r="AA1156">
        <v>2</v>
      </c>
      <c r="AB1156">
        <v>1</v>
      </c>
      <c r="AC1156">
        <v>0</v>
      </c>
      <c r="AD1156">
        <f>IF(HR_Data[[#This Row],[Attrition]]="Yes",1,0)</f>
        <v>0</v>
      </c>
      <c r="AE1156" t="str">
        <f>IF(HR_Data[[#This Row],[Age]]&lt;=25,"18-25",IF(HR_Data[[#This Row],[Age]]&lt;=35,"26-35",IF(HR_Data[[#This Row],[Age]]&lt;=45,"36-45",IF(HR_Data[[#This Row],[Age]]&lt;=55,"46-55","55+"))))</f>
        <v>46-55</v>
      </c>
      <c r="AF1156">
        <f>IF(HR_Data[[#This Row],[Age]]&lt;=25,1,IF(HR_Data[[#This Row],[Age]]&lt;=35,2,IF(HR_Data[[#This Row],[Age]]&lt;=45,3,IF(HR_Data[[#This Row],[Age]]&lt;=55,4,5))))</f>
        <v>4</v>
      </c>
      <c r="AG1156" s="1" t="str">
        <f>IF(HR_Data[[#This Row],[MonthlyIncome]]&lt;3000,"&lt;3K",IF(HR_Data[[#This Row],[MonthlyIncome]]&lt;6000,"3K-6K",IF(HR_Data[[#This Row],[MonthlyIncome]]&lt;10000,"6K-10K","10K+")))</f>
        <v>10K+</v>
      </c>
      <c r="AH1156" s="1">
        <f>IF(HR_Data[[#This Row],[MonthlyIncome]]&lt;3000,1,IF(HR_Data[[#This Row],[MonthlyIncome]]&lt;6000,2,IF(HR_Data[[#This Row],[MonthlyIncome]]&lt;10000,3,4)))</f>
        <v>4</v>
      </c>
      <c r="AI1156" s="1" t="str">
        <f>IF(HR_Data[[#This Row],[YearsAtCompany]]&lt;=2,"0-2 Yrs",IF(HR_Data[[#This Row],[YearsAtCompany]]&lt;=5,"3-5 Yrs",IF(HR_Data[[#This Row],[YearsAtCompany]]&lt;=10,"6-10 Yrs","10+ Yrs")))</f>
        <v>3-5 Yrs</v>
      </c>
      <c r="AJ1156" s="1">
        <f>IF(HR_Data[[#This Row],[YearsAtCompany]]&lt;=2,1,IF(HR_Data[[#This Row],[YearsAtCompany]]&lt;=5,2,IF(HR_Data[[#This Row],[YearsAtCompany]]&lt;=10,3,4)))</f>
        <v>2</v>
      </c>
      <c r="AK1156" s="1" t="str">
        <f>CHOOSE(HR_Data[[#This Row],[Education]],"Below College","College","Bachelor","Master","Doctor")</f>
        <v>Master</v>
      </c>
      <c r="AL1156" s="1" t="str">
        <f>CHOOSE(HR_Data[[#This Row],[JobSatisfaction]],"Low","Medium","High","Very High")</f>
        <v>High</v>
      </c>
      <c r="AM1156" s="1" t="str">
        <f>CHOOSE(HR_Data[[#This Row],[EnvironmentSatisfaction]],"Low","Medium","High","Very High")</f>
        <v>Very High</v>
      </c>
      <c r="AN1156" s="1" t="str">
        <f>CHOOSE(HR_Data[[#This Row],[WorkLifeBalance]],"Bad","Good","Better","Best")</f>
        <v>Better</v>
      </c>
      <c r="AO1156" s="1" t="str">
        <f>IF(HR_Data[[#This Row],[PercentSalaryHike]]&lt;=13,"11-13%",IF(HR_Data[[#This Row],[PercentSalaryHike]]&lt;=16,"14-16%",IF(HR_Data[[#This Row],[PercentSalaryHike]]&lt;=19,"17-19%","20-25%")))</f>
        <v>11-13%</v>
      </c>
      <c r="AP1156" s="1">
        <f>IF(HR_Data[[#This Row],[PercentSalaryHike]]&lt;=13,1,IF(HR_Data[[#This Row],[PercentSalaryHike]]&lt;=16,2,IF(HR_Data[[#This Row],[PercentSalaryHike]]&lt;=19,3,4)))</f>
        <v>1</v>
      </c>
      <c r="AQ1156" s="1" t="str">
        <f>IF(HR_Data[[#This Row],[DistanceFromHome]]&lt;=5,"1 to 5",IF(HR_Data[[#This Row],[DistanceFromHome]]&lt;=10,"6 to 10",IF(HR_Data[[#This Row],[DistanceFromHome]]&lt;=20,"11 to 20","21 to 29")))</f>
        <v>21 to 29</v>
      </c>
      <c r="AR1156" s="1">
        <f>IF(HR_Data[[#This Row],[DistanceFromHome]]&lt;=5,1,IF(HR_Data[[#This Row],[DistanceFromHome]]&lt;=10,2,IF(HR_Data[[#This Row],[DistanceFromHome]]&lt;=20,3,4)))</f>
        <v>4</v>
      </c>
      <c r="AS1156" s="1" t="str">
        <f>IF(HR_Data[[#This Row],[TotalWorkingYears]]&lt;=5,"0-5 Yrs",IF(HR_Data[[#This Row],[TotalWorkingYears]]&lt;=10,"6-10 Yrs",IF(HR_Data[[#This Row],[TotalWorkingYears]]&lt;=20,"11-20 Yrs","20+ Yrs")))</f>
        <v>20+ Yrs</v>
      </c>
      <c r="AT1156" s="1">
        <f>IF(HR_Data[[#This Row],[TotalWorkingYears]]&lt;=5,1,IF(HR_Data[[#This Row],[TotalWorkingYears]]&lt;=10,2,IF(HR_Data[[#This Row],[TotalWorkingYears]]&lt;=20,3,4)))</f>
        <v>4</v>
      </c>
    </row>
    <row r="1157" spans="1:46" x14ac:dyDescent="0.25">
      <c r="A1157">
        <v>39</v>
      </c>
      <c r="B1157" t="s">
        <v>36</v>
      </c>
      <c r="C1157" t="s">
        <v>30</v>
      </c>
      <c r="D1157" t="s">
        <v>38</v>
      </c>
      <c r="E1157">
        <v>3</v>
      </c>
      <c r="F1157">
        <v>2</v>
      </c>
      <c r="G1157" t="s">
        <v>44</v>
      </c>
      <c r="H1157">
        <v>1627</v>
      </c>
      <c r="I1157">
        <v>3</v>
      </c>
      <c r="J1157" t="s">
        <v>39</v>
      </c>
      <c r="K1157">
        <v>2</v>
      </c>
      <c r="L1157">
        <v>2</v>
      </c>
      <c r="M1157" t="s">
        <v>43</v>
      </c>
      <c r="N1157">
        <v>3</v>
      </c>
      <c r="O1157" t="s">
        <v>45</v>
      </c>
      <c r="P1157">
        <v>3069</v>
      </c>
      <c r="Q1157">
        <v>0</v>
      </c>
      <c r="R1157" t="s">
        <v>36</v>
      </c>
      <c r="S1157">
        <v>15</v>
      </c>
      <c r="T1157">
        <v>3</v>
      </c>
      <c r="U1157">
        <v>4</v>
      </c>
      <c r="V1157">
        <v>1</v>
      </c>
      <c r="W1157">
        <v>11</v>
      </c>
      <c r="X1157">
        <v>3</v>
      </c>
      <c r="Y1157">
        <v>3</v>
      </c>
      <c r="Z1157">
        <v>10</v>
      </c>
      <c r="AA1157">
        <v>8</v>
      </c>
      <c r="AB1157">
        <v>0</v>
      </c>
      <c r="AC1157">
        <v>7</v>
      </c>
      <c r="AD1157">
        <f>IF(HR_Data[[#This Row],[Attrition]]="Yes",1,0)</f>
        <v>0</v>
      </c>
      <c r="AE1157" t="str">
        <f>IF(HR_Data[[#This Row],[Age]]&lt;=25,"18-25",IF(HR_Data[[#This Row],[Age]]&lt;=35,"26-35",IF(HR_Data[[#This Row],[Age]]&lt;=45,"36-45",IF(HR_Data[[#This Row],[Age]]&lt;=55,"46-55","55+"))))</f>
        <v>36-45</v>
      </c>
      <c r="AF1157">
        <f>IF(HR_Data[[#This Row],[Age]]&lt;=25,1,IF(HR_Data[[#This Row],[Age]]&lt;=35,2,IF(HR_Data[[#This Row],[Age]]&lt;=45,3,IF(HR_Data[[#This Row],[Age]]&lt;=55,4,5))))</f>
        <v>3</v>
      </c>
      <c r="AG1157" s="1" t="str">
        <f>IF(HR_Data[[#This Row],[MonthlyIncome]]&lt;3000,"&lt;3K",IF(HR_Data[[#This Row],[MonthlyIncome]]&lt;6000,"3K-6K",IF(HR_Data[[#This Row],[MonthlyIncome]]&lt;10000,"6K-10K","10K+")))</f>
        <v>3K-6K</v>
      </c>
      <c r="AH1157" s="1">
        <f>IF(HR_Data[[#This Row],[MonthlyIncome]]&lt;3000,1,IF(HR_Data[[#This Row],[MonthlyIncome]]&lt;6000,2,IF(HR_Data[[#This Row],[MonthlyIncome]]&lt;10000,3,4)))</f>
        <v>2</v>
      </c>
      <c r="AI1157" s="1" t="str">
        <f>IF(HR_Data[[#This Row],[YearsAtCompany]]&lt;=2,"0-2 Yrs",IF(HR_Data[[#This Row],[YearsAtCompany]]&lt;=5,"3-5 Yrs",IF(HR_Data[[#This Row],[YearsAtCompany]]&lt;=10,"6-10 Yrs","10+ Yrs")))</f>
        <v>6-10 Yrs</v>
      </c>
      <c r="AJ1157" s="1">
        <f>IF(HR_Data[[#This Row],[YearsAtCompany]]&lt;=2,1,IF(HR_Data[[#This Row],[YearsAtCompany]]&lt;=5,2,IF(HR_Data[[#This Row],[YearsAtCompany]]&lt;=10,3,4)))</f>
        <v>3</v>
      </c>
      <c r="AK1157" s="1" t="str">
        <f>CHOOSE(HR_Data[[#This Row],[Education]],"Below College","College","Bachelor","Master","Doctor")</f>
        <v>College</v>
      </c>
      <c r="AL1157" s="1" t="str">
        <f>CHOOSE(HR_Data[[#This Row],[JobSatisfaction]],"Low","Medium","High","Very High")</f>
        <v>High</v>
      </c>
      <c r="AM1157" s="1" t="str">
        <f>CHOOSE(HR_Data[[#This Row],[EnvironmentSatisfaction]],"Low","Medium","High","Very High")</f>
        <v>High</v>
      </c>
      <c r="AN1157" s="1" t="str">
        <f>CHOOSE(HR_Data[[#This Row],[WorkLifeBalance]],"Bad","Good","Better","Best")</f>
        <v>Better</v>
      </c>
      <c r="AO1157" s="1" t="str">
        <f>IF(HR_Data[[#This Row],[PercentSalaryHike]]&lt;=13,"11-13%",IF(HR_Data[[#This Row],[PercentSalaryHike]]&lt;=16,"14-16%",IF(HR_Data[[#This Row],[PercentSalaryHike]]&lt;=19,"17-19%","20-25%")))</f>
        <v>14-16%</v>
      </c>
      <c r="AP1157" s="1">
        <f>IF(HR_Data[[#This Row],[PercentSalaryHike]]&lt;=13,1,IF(HR_Data[[#This Row],[PercentSalaryHike]]&lt;=16,2,IF(HR_Data[[#This Row],[PercentSalaryHike]]&lt;=19,3,4)))</f>
        <v>2</v>
      </c>
      <c r="AQ1157" s="1" t="str">
        <f>IF(HR_Data[[#This Row],[DistanceFromHome]]&lt;=5,"1 to 5",IF(HR_Data[[#This Row],[DistanceFromHome]]&lt;=10,"6 to 10",IF(HR_Data[[#This Row],[DistanceFromHome]]&lt;=20,"11 to 20","21 to 29")))</f>
        <v>1 to 5</v>
      </c>
      <c r="AR1157" s="1">
        <f>IF(HR_Data[[#This Row],[DistanceFromHome]]&lt;=5,1,IF(HR_Data[[#This Row],[DistanceFromHome]]&lt;=10,2,IF(HR_Data[[#This Row],[DistanceFromHome]]&lt;=20,3,4)))</f>
        <v>1</v>
      </c>
      <c r="AS1157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157" s="1">
        <f>IF(HR_Data[[#This Row],[TotalWorkingYears]]&lt;=5,1,IF(HR_Data[[#This Row],[TotalWorkingYears]]&lt;=10,2,IF(HR_Data[[#This Row],[TotalWorkingYears]]&lt;=20,3,4)))</f>
        <v>3</v>
      </c>
    </row>
    <row r="1158" spans="1:46" x14ac:dyDescent="0.25">
      <c r="A1158">
        <v>40</v>
      </c>
      <c r="B1158" t="s">
        <v>36</v>
      </c>
      <c r="C1158" t="s">
        <v>30</v>
      </c>
      <c r="D1158" t="s">
        <v>38</v>
      </c>
      <c r="E1158">
        <v>15</v>
      </c>
      <c r="F1158">
        <v>3</v>
      </c>
      <c r="G1158" t="s">
        <v>32</v>
      </c>
      <c r="H1158">
        <v>1628</v>
      </c>
      <c r="I1158">
        <v>1</v>
      </c>
      <c r="J1158" t="s">
        <v>33</v>
      </c>
      <c r="K1158">
        <v>2</v>
      </c>
      <c r="L1158">
        <v>3</v>
      </c>
      <c r="M1158" t="s">
        <v>46</v>
      </c>
      <c r="N1158">
        <v>3</v>
      </c>
      <c r="O1158" t="s">
        <v>41</v>
      </c>
      <c r="P1158">
        <v>10435</v>
      </c>
      <c r="Q1158">
        <v>1</v>
      </c>
      <c r="R1158" t="s">
        <v>36</v>
      </c>
      <c r="S1158">
        <v>13</v>
      </c>
      <c r="T1158">
        <v>3</v>
      </c>
      <c r="U1158">
        <v>4</v>
      </c>
      <c r="V1158">
        <v>2</v>
      </c>
      <c r="W1158">
        <v>18</v>
      </c>
      <c r="X1158">
        <v>2</v>
      </c>
      <c r="Y1158">
        <v>3</v>
      </c>
      <c r="Z1158">
        <v>18</v>
      </c>
      <c r="AA1158">
        <v>15</v>
      </c>
      <c r="AB1158">
        <v>14</v>
      </c>
      <c r="AC1158">
        <v>12</v>
      </c>
      <c r="AD1158">
        <f>IF(HR_Data[[#This Row],[Attrition]]="Yes",1,0)</f>
        <v>0</v>
      </c>
      <c r="AE1158" t="str">
        <f>IF(HR_Data[[#This Row],[Age]]&lt;=25,"18-25",IF(HR_Data[[#This Row],[Age]]&lt;=35,"26-35",IF(HR_Data[[#This Row],[Age]]&lt;=45,"36-45",IF(HR_Data[[#This Row],[Age]]&lt;=55,"46-55","55+"))))</f>
        <v>36-45</v>
      </c>
      <c r="AF1158">
        <f>IF(HR_Data[[#This Row],[Age]]&lt;=25,1,IF(HR_Data[[#This Row],[Age]]&lt;=35,2,IF(HR_Data[[#This Row],[Age]]&lt;=45,3,IF(HR_Data[[#This Row],[Age]]&lt;=55,4,5))))</f>
        <v>3</v>
      </c>
      <c r="AG1158" s="1" t="str">
        <f>IF(HR_Data[[#This Row],[MonthlyIncome]]&lt;3000,"&lt;3K",IF(HR_Data[[#This Row],[MonthlyIncome]]&lt;6000,"3K-6K",IF(HR_Data[[#This Row],[MonthlyIncome]]&lt;10000,"6K-10K","10K+")))</f>
        <v>10K+</v>
      </c>
      <c r="AH1158" s="1">
        <f>IF(HR_Data[[#This Row],[MonthlyIncome]]&lt;3000,1,IF(HR_Data[[#This Row],[MonthlyIncome]]&lt;6000,2,IF(HR_Data[[#This Row],[MonthlyIncome]]&lt;10000,3,4)))</f>
        <v>4</v>
      </c>
      <c r="AI1158" s="1" t="str">
        <f>IF(HR_Data[[#This Row],[YearsAtCompany]]&lt;=2,"0-2 Yrs",IF(HR_Data[[#This Row],[YearsAtCompany]]&lt;=5,"3-5 Yrs",IF(HR_Data[[#This Row],[YearsAtCompany]]&lt;=10,"6-10 Yrs","10+ Yrs")))</f>
        <v>10+ Yrs</v>
      </c>
      <c r="AJ1158" s="1">
        <f>IF(HR_Data[[#This Row],[YearsAtCompany]]&lt;=2,1,IF(HR_Data[[#This Row],[YearsAtCompany]]&lt;=5,2,IF(HR_Data[[#This Row],[YearsAtCompany]]&lt;=10,3,4)))</f>
        <v>4</v>
      </c>
      <c r="AK1158" s="1" t="str">
        <f>CHOOSE(HR_Data[[#This Row],[Education]],"Below College","College","Bachelor","Master","Doctor")</f>
        <v>Bachelor</v>
      </c>
      <c r="AL1158" s="1" t="str">
        <f>CHOOSE(HR_Data[[#This Row],[JobSatisfaction]],"Low","Medium","High","Very High")</f>
        <v>High</v>
      </c>
      <c r="AM1158" s="1" t="str">
        <f>CHOOSE(HR_Data[[#This Row],[EnvironmentSatisfaction]],"Low","Medium","High","Very High")</f>
        <v>Low</v>
      </c>
      <c r="AN1158" s="1" t="str">
        <f>CHOOSE(HR_Data[[#This Row],[WorkLifeBalance]],"Bad","Good","Better","Best")</f>
        <v>Better</v>
      </c>
      <c r="AO1158" s="1" t="str">
        <f>IF(HR_Data[[#This Row],[PercentSalaryHike]]&lt;=13,"11-13%",IF(HR_Data[[#This Row],[PercentSalaryHike]]&lt;=16,"14-16%",IF(HR_Data[[#This Row],[PercentSalaryHike]]&lt;=19,"17-19%","20-25%")))</f>
        <v>11-13%</v>
      </c>
      <c r="AP1158" s="1">
        <f>IF(HR_Data[[#This Row],[PercentSalaryHike]]&lt;=13,1,IF(HR_Data[[#This Row],[PercentSalaryHike]]&lt;=16,2,IF(HR_Data[[#This Row],[PercentSalaryHike]]&lt;=19,3,4)))</f>
        <v>1</v>
      </c>
      <c r="AQ1158" s="1" t="str">
        <f>IF(HR_Data[[#This Row],[DistanceFromHome]]&lt;=5,"1 to 5",IF(HR_Data[[#This Row],[DistanceFromHome]]&lt;=10,"6 to 10",IF(HR_Data[[#This Row],[DistanceFromHome]]&lt;=20,"11 to 20","21 to 29")))</f>
        <v>11 to 20</v>
      </c>
      <c r="AR1158" s="1">
        <f>IF(HR_Data[[#This Row],[DistanceFromHome]]&lt;=5,1,IF(HR_Data[[#This Row],[DistanceFromHome]]&lt;=10,2,IF(HR_Data[[#This Row],[DistanceFromHome]]&lt;=20,3,4)))</f>
        <v>3</v>
      </c>
      <c r="AS1158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158" s="1">
        <f>IF(HR_Data[[#This Row],[TotalWorkingYears]]&lt;=5,1,IF(HR_Data[[#This Row],[TotalWorkingYears]]&lt;=10,2,IF(HR_Data[[#This Row],[TotalWorkingYears]]&lt;=20,3,4)))</f>
        <v>3</v>
      </c>
    </row>
    <row r="1159" spans="1:46" x14ac:dyDescent="0.25">
      <c r="A1159">
        <v>35</v>
      </c>
      <c r="B1159" t="s">
        <v>36</v>
      </c>
      <c r="C1159" t="s">
        <v>48</v>
      </c>
      <c r="D1159" t="s">
        <v>38</v>
      </c>
      <c r="E1159">
        <v>8</v>
      </c>
      <c r="F1159">
        <v>4</v>
      </c>
      <c r="G1159" t="s">
        <v>32</v>
      </c>
      <c r="H1159">
        <v>1630</v>
      </c>
      <c r="I1159">
        <v>3</v>
      </c>
      <c r="J1159" t="s">
        <v>33</v>
      </c>
      <c r="K1159">
        <v>3</v>
      </c>
      <c r="L1159">
        <v>2</v>
      </c>
      <c r="M1159" t="s">
        <v>47</v>
      </c>
      <c r="N1159">
        <v>3</v>
      </c>
      <c r="O1159" t="s">
        <v>41</v>
      </c>
      <c r="P1159">
        <v>4148</v>
      </c>
      <c r="Q1159">
        <v>1</v>
      </c>
      <c r="R1159" t="s">
        <v>36</v>
      </c>
      <c r="S1159">
        <v>12</v>
      </c>
      <c r="T1159">
        <v>3</v>
      </c>
      <c r="U1159">
        <v>4</v>
      </c>
      <c r="V1159">
        <v>1</v>
      </c>
      <c r="W1159">
        <v>15</v>
      </c>
      <c r="X1159">
        <v>5</v>
      </c>
      <c r="Y1159">
        <v>3</v>
      </c>
      <c r="Z1159">
        <v>14</v>
      </c>
      <c r="AA1159">
        <v>11</v>
      </c>
      <c r="AB1159">
        <v>2</v>
      </c>
      <c r="AC1159">
        <v>9</v>
      </c>
      <c r="AD1159">
        <f>IF(HR_Data[[#This Row],[Attrition]]="Yes",1,0)</f>
        <v>0</v>
      </c>
      <c r="AE1159" t="str">
        <f>IF(HR_Data[[#This Row],[Age]]&lt;=25,"18-25",IF(HR_Data[[#This Row],[Age]]&lt;=35,"26-35",IF(HR_Data[[#This Row],[Age]]&lt;=45,"36-45",IF(HR_Data[[#This Row],[Age]]&lt;=55,"46-55","55+"))))</f>
        <v>26-35</v>
      </c>
      <c r="AF1159">
        <f>IF(HR_Data[[#This Row],[Age]]&lt;=25,1,IF(HR_Data[[#This Row],[Age]]&lt;=35,2,IF(HR_Data[[#This Row],[Age]]&lt;=45,3,IF(HR_Data[[#This Row],[Age]]&lt;=55,4,5))))</f>
        <v>2</v>
      </c>
      <c r="AG1159" s="1" t="str">
        <f>IF(HR_Data[[#This Row],[MonthlyIncome]]&lt;3000,"&lt;3K",IF(HR_Data[[#This Row],[MonthlyIncome]]&lt;6000,"3K-6K",IF(HR_Data[[#This Row],[MonthlyIncome]]&lt;10000,"6K-10K","10K+")))</f>
        <v>3K-6K</v>
      </c>
      <c r="AH1159" s="1">
        <f>IF(HR_Data[[#This Row],[MonthlyIncome]]&lt;3000,1,IF(HR_Data[[#This Row],[MonthlyIncome]]&lt;6000,2,IF(HR_Data[[#This Row],[MonthlyIncome]]&lt;10000,3,4)))</f>
        <v>2</v>
      </c>
      <c r="AI1159" s="1" t="str">
        <f>IF(HR_Data[[#This Row],[YearsAtCompany]]&lt;=2,"0-2 Yrs",IF(HR_Data[[#This Row],[YearsAtCompany]]&lt;=5,"3-5 Yrs",IF(HR_Data[[#This Row],[YearsAtCompany]]&lt;=10,"6-10 Yrs","10+ Yrs")))</f>
        <v>10+ Yrs</v>
      </c>
      <c r="AJ1159" s="1">
        <f>IF(HR_Data[[#This Row],[YearsAtCompany]]&lt;=2,1,IF(HR_Data[[#This Row],[YearsAtCompany]]&lt;=5,2,IF(HR_Data[[#This Row],[YearsAtCompany]]&lt;=10,3,4)))</f>
        <v>4</v>
      </c>
      <c r="AK1159" s="1" t="str">
        <f>CHOOSE(HR_Data[[#This Row],[Education]],"Below College","College","Bachelor","Master","Doctor")</f>
        <v>Master</v>
      </c>
      <c r="AL1159" s="1" t="str">
        <f>CHOOSE(HR_Data[[#This Row],[JobSatisfaction]],"Low","Medium","High","Very High")</f>
        <v>High</v>
      </c>
      <c r="AM1159" s="1" t="str">
        <f>CHOOSE(HR_Data[[#This Row],[EnvironmentSatisfaction]],"Low","Medium","High","Very High")</f>
        <v>High</v>
      </c>
      <c r="AN1159" s="1" t="str">
        <f>CHOOSE(HR_Data[[#This Row],[WorkLifeBalance]],"Bad","Good","Better","Best")</f>
        <v>Better</v>
      </c>
      <c r="AO1159" s="1" t="str">
        <f>IF(HR_Data[[#This Row],[PercentSalaryHike]]&lt;=13,"11-13%",IF(HR_Data[[#This Row],[PercentSalaryHike]]&lt;=16,"14-16%",IF(HR_Data[[#This Row],[PercentSalaryHike]]&lt;=19,"17-19%","20-25%")))</f>
        <v>11-13%</v>
      </c>
      <c r="AP1159" s="1">
        <f>IF(HR_Data[[#This Row],[PercentSalaryHike]]&lt;=13,1,IF(HR_Data[[#This Row],[PercentSalaryHike]]&lt;=16,2,IF(HR_Data[[#This Row],[PercentSalaryHike]]&lt;=19,3,4)))</f>
        <v>1</v>
      </c>
      <c r="AQ1159" s="1" t="str">
        <f>IF(HR_Data[[#This Row],[DistanceFromHome]]&lt;=5,"1 to 5",IF(HR_Data[[#This Row],[DistanceFromHome]]&lt;=10,"6 to 10",IF(HR_Data[[#This Row],[DistanceFromHome]]&lt;=20,"11 to 20","21 to 29")))</f>
        <v>6 to 10</v>
      </c>
      <c r="AR1159" s="1">
        <f>IF(HR_Data[[#This Row],[DistanceFromHome]]&lt;=5,1,IF(HR_Data[[#This Row],[DistanceFromHome]]&lt;=10,2,IF(HR_Data[[#This Row],[DistanceFromHome]]&lt;=20,3,4)))</f>
        <v>2</v>
      </c>
      <c r="AS1159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159" s="1">
        <f>IF(HR_Data[[#This Row],[TotalWorkingYears]]&lt;=5,1,IF(HR_Data[[#This Row],[TotalWorkingYears]]&lt;=10,2,IF(HR_Data[[#This Row],[TotalWorkingYears]]&lt;=20,3,4)))</f>
        <v>3</v>
      </c>
    </row>
    <row r="1160" spans="1:46" x14ac:dyDescent="0.25">
      <c r="A1160">
        <v>37</v>
      </c>
      <c r="B1160" t="s">
        <v>36</v>
      </c>
      <c r="C1160" t="s">
        <v>30</v>
      </c>
      <c r="D1160" t="s">
        <v>38</v>
      </c>
      <c r="E1160">
        <v>19</v>
      </c>
      <c r="F1160">
        <v>3</v>
      </c>
      <c r="G1160" t="s">
        <v>32</v>
      </c>
      <c r="H1160">
        <v>1631</v>
      </c>
      <c r="I1160">
        <v>3</v>
      </c>
      <c r="J1160" t="s">
        <v>39</v>
      </c>
      <c r="K1160">
        <v>3</v>
      </c>
      <c r="L1160">
        <v>2</v>
      </c>
      <c r="M1160" t="s">
        <v>46</v>
      </c>
      <c r="N1160">
        <v>3</v>
      </c>
      <c r="O1160" t="s">
        <v>41</v>
      </c>
      <c r="P1160">
        <v>5768</v>
      </c>
      <c r="Q1160">
        <v>3</v>
      </c>
      <c r="R1160" t="s">
        <v>36</v>
      </c>
      <c r="S1160">
        <v>17</v>
      </c>
      <c r="T1160">
        <v>3</v>
      </c>
      <c r="U1160">
        <v>1</v>
      </c>
      <c r="V1160">
        <v>3</v>
      </c>
      <c r="W1160">
        <v>9</v>
      </c>
      <c r="X1160">
        <v>2</v>
      </c>
      <c r="Y1160">
        <v>2</v>
      </c>
      <c r="Z1160">
        <v>4</v>
      </c>
      <c r="AA1160">
        <v>3</v>
      </c>
      <c r="AB1160">
        <v>0</v>
      </c>
      <c r="AC1160">
        <v>2</v>
      </c>
      <c r="AD1160">
        <f>IF(HR_Data[[#This Row],[Attrition]]="Yes",1,0)</f>
        <v>0</v>
      </c>
      <c r="AE1160" t="str">
        <f>IF(HR_Data[[#This Row],[Age]]&lt;=25,"18-25",IF(HR_Data[[#This Row],[Age]]&lt;=35,"26-35",IF(HR_Data[[#This Row],[Age]]&lt;=45,"36-45",IF(HR_Data[[#This Row],[Age]]&lt;=55,"46-55","55+"))))</f>
        <v>36-45</v>
      </c>
      <c r="AF1160">
        <f>IF(HR_Data[[#This Row],[Age]]&lt;=25,1,IF(HR_Data[[#This Row],[Age]]&lt;=35,2,IF(HR_Data[[#This Row],[Age]]&lt;=45,3,IF(HR_Data[[#This Row],[Age]]&lt;=55,4,5))))</f>
        <v>3</v>
      </c>
      <c r="AG1160" s="1" t="str">
        <f>IF(HR_Data[[#This Row],[MonthlyIncome]]&lt;3000,"&lt;3K",IF(HR_Data[[#This Row],[MonthlyIncome]]&lt;6000,"3K-6K",IF(HR_Data[[#This Row],[MonthlyIncome]]&lt;10000,"6K-10K","10K+")))</f>
        <v>3K-6K</v>
      </c>
      <c r="AH1160" s="1">
        <f>IF(HR_Data[[#This Row],[MonthlyIncome]]&lt;3000,1,IF(HR_Data[[#This Row],[MonthlyIncome]]&lt;6000,2,IF(HR_Data[[#This Row],[MonthlyIncome]]&lt;10000,3,4)))</f>
        <v>2</v>
      </c>
      <c r="AI1160" s="1" t="str">
        <f>IF(HR_Data[[#This Row],[YearsAtCompany]]&lt;=2,"0-2 Yrs",IF(HR_Data[[#This Row],[YearsAtCompany]]&lt;=5,"3-5 Yrs",IF(HR_Data[[#This Row],[YearsAtCompany]]&lt;=10,"6-10 Yrs","10+ Yrs")))</f>
        <v>3-5 Yrs</v>
      </c>
      <c r="AJ1160" s="1">
        <f>IF(HR_Data[[#This Row],[YearsAtCompany]]&lt;=2,1,IF(HR_Data[[#This Row],[YearsAtCompany]]&lt;=5,2,IF(HR_Data[[#This Row],[YearsAtCompany]]&lt;=10,3,4)))</f>
        <v>2</v>
      </c>
      <c r="AK1160" s="1" t="str">
        <f>CHOOSE(HR_Data[[#This Row],[Education]],"Below College","College","Bachelor","Master","Doctor")</f>
        <v>Bachelor</v>
      </c>
      <c r="AL1160" s="1" t="str">
        <f>CHOOSE(HR_Data[[#This Row],[JobSatisfaction]],"Low","Medium","High","Very High")</f>
        <v>High</v>
      </c>
      <c r="AM1160" s="1" t="str">
        <f>CHOOSE(HR_Data[[#This Row],[EnvironmentSatisfaction]],"Low","Medium","High","Very High")</f>
        <v>High</v>
      </c>
      <c r="AN1160" s="1" t="str">
        <f>CHOOSE(HR_Data[[#This Row],[WorkLifeBalance]],"Bad","Good","Better","Best")</f>
        <v>Good</v>
      </c>
      <c r="AO1160" s="1" t="str">
        <f>IF(HR_Data[[#This Row],[PercentSalaryHike]]&lt;=13,"11-13%",IF(HR_Data[[#This Row],[PercentSalaryHike]]&lt;=16,"14-16%",IF(HR_Data[[#This Row],[PercentSalaryHike]]&lt;=19,"17-19%","20-25%")))</f>
        <v>17-19%</v>
      </c>
      <c r="AP1160" s="1">
        <f>IF(HR_Data[[#This Row],[PercentSalaryHike]]&lt;=13,1,IF(HR_Data[[#This Row],[PercentSalaryHike]]&lt;=16,2,IF(HR_Data[[#This Row],[PercentSalaryHike]]&lt;=19,3,4)))</f>
        <v>3</v>
      </c>
      <c r="AQ1160" s="1" t="str">
        <f>IF(HR_Data[[#This Row],[DistanceFromHome]]&lt;=5,"1 to 5",IF(HR_Data[[#This Row],[DistanceFromHome]]&lt;=10,"6 to 10",IF(HR_Data[[#This Row],[DistanceFromHome]]&lt;=20,"11 to 20","21 to 29")))</f>
        <v>11 to 20</v>
      </c>
      <c r="AR1160" s="1">
        <f>IF(HR_Data[[#This Row],[DistanceFromHome]]&lt;=5,1,IF(HR_Data[[#This Row],[DistanceFromHome]]&lt;=10,2,IF(HR_Data[[#This Row],[DistanceFromHome]]&lt;=20,3,4)))</f>
        <v>3</v>
      </c>
      <c r="AS1160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160" s="1">
        <f>IF(HR_Data[[#This Row],[TotalWorkingYears]]&lt;=5,1,IF(HR_Data[[#This Row],[TotalWorkingYears]]&lt;=10,2,IF(HR_Data[[#This Row],[TotalWorkingYears]]&lt;=20,3,4)))</f>
        <v>2</v>
      </c>
    </row>
    <row r="1161" spans="1:46" x14ac:dyDescent="0.25">
      <c r="A1161">
        <v>39</v>
      </c>
      <c r="B1161" t="s">
        <v>36</v>
      </c>
      <c r="C1161" t="s">
        <v>37</v>
      </c>
      <c r="D1161" t="s">
        <v>38</v>
      </c>
      <c r="E1161">
        <v>4</v>
      </c>
      <c r="F1161">
        <v>3</v>
      </c>
      <c r="G1161" t="s">
        <v>44</v>
      </c>
      <c r="H1161">
        <v>1633</v>
      </c>
      <c r="I1161">
        <v>1</v>
      </c>
      <c r="J1161" t="s">
        <v>33</v>
      </c>
      <c r="K1161">
        <v>3</v>
      </c>
      <c r="L1161">
        <v>2</v>
      </c>
      <c r="M1161" t="s">
        <v>46</v>
      </c>
      <c r="N1161">
        <v>3</v>
      </c>
      <c r="O1161" t="s">
        <v>35</v>
      </c>
      <c r="P1161">
        <v>5042</v>
      </c>
      <c r="Q1161">
        <v>0</v>
      </c>
      <c r="R1161" t="s">
        <v>36</v>
      </c>
      <c r="S1161">
        <v>13</v>
      </c>
      <c r="T1161">
        <v>3</v>
      </c>
      <c r="U1161">
        <v>4</v>
      </c>
      <c r="V1161">
        <v>0</v>
      </c>
      <c r="W1161">
        <v>10</v>
      </c>
      <c r="X1161">
        <v>2</v>
      </c>
      <c r="Y1161">
        <v>1</v>
      </c>
      <c r="Z1161">
        <v>9</v>
      </c>
      <c r="AA1161">
        <v>2</v>
      </c>
      <c r="AB1161">
        <v>3</v>
      </c>
      <c r="AC1161">
        <v>8</v>
      </c>
      <c r="AD1161">
        <f>IF(HR_Data[[#This Row],[Attrition]]="Yes",1,0)</f>
        <v>0</v>
      </c>
      <c r="AE1161" t="str">
        <f>IF(HR_Data[[#This Row],[Age]]&lt;=25,"18-25",IF(HR_Data[[#This Row],[Age]]&lt;=35,"26-35",IF(HR_Data[[#This Row],[Age]]&lt;=45,"36-45",IF(HR_Data[[#This Row],[Age]]&lt;=55,"46-55","55+"))))</f>
        <v>36-45</v>
      </c>
      <c r="AF1161">
        <f>IF(HR_Data[[#This Row],[Age]]&lt;=25,1,IF(HR_Data[[#This Row],[Age]]&lt;=35,2,IF(HR_Data[[#This Row],[Age]]&lt;=45,3,IF(HR_Data[[#This Row],[Age]]&lt;=55,4,5))))</f>
        <v>3</v>
      </c>
      <c r="AG1161" s="1" t="str">
        <f>IF(HR_Data[[#This Row],[MonthlyIncome]]&lt;3000,"&lt;3K",IF(HR_Data[[#This Row],[MonthlyIncome]]&lt;6000,"3K-6K",IF(HR_Data[[#This Row],[MonthlyIncome]]&lt;10000,"6K-10K","10K+")))</f>
        <v>3K-6K</v>
      </c>
      <c r="AH1161" s="1">
        <f>IF(HR_Data[[#This Row],[MonthlyIncome]]&lt;3000,1,IF(HR_Data[[#This Row],[MonthlyIncome]]&lt;6000,2,IF(HR_Data[[#This Row],[MonthlyIncome]]&lt;10000,3,4)))</f>
        <v>2</v>
      </c>
      <c r="AI1161" s="1" t="str">
        <f>IF(HR_Data[[#This Row],[YearsAtCompany]]&lt;=2,"0-2 Yrs",IF(HR_Data[[#This Row],[YearsAtCompany]]&lt;=5,"3-5 Yrs",IF(HR_Data[[#This Row],[YearsAtCompany]]&lt;=10,"6-10 Yrs","10+ Yrs")))</f>
        <v>6-10 Yrs</v>
      </c>
      <c r="AJ1161" s="1">
        <f>IF(HR_Data[[#This Row],[YearsAtCompany]]&lt;=2,1,IF(HR_Data[[#This Row],[YearsAtCompany]]&lt;=5,2,IF(HR_Data[[#This Row],[YearsAtCompany]]&lt;=10,3,4)))</f>
        <v>3</v>
      </c>
      <c r="AK1161" s="1" t="str">
        <f>CHOOSE(HR_Data[[#This Row],[Education]],"Below College","College","Bachelor","Master","Doctor")</f>
        <v>Bachelor</v>
      </c>
      <c r="AL1161" s="1" t="str">
        <f>CHOOSE(HR_Data[[#This Row],[JobSatisfaction]],"Low","Medium","High","Very High")</f>
        <v>High</v>
      </c>
      <c r="AM1161" s="1" t="str">
        <f>CHOOSE(HR_Data[[#This Row],[EnvironmentSatisfaction]],"Low","Medium","High","Very High")</f>
        <v>Low</v>
      </c>
      <c r="AN1161" s="1" t="str">
        <f>CHOOSE(HR_Data[[#This Row],[WorkLifeBalance]],"Bad","Good","Better","Best")</f>
        <v>Bad</v>
      </c>
      <c r="AO1161" s="1" t="str">
        <f>IF(HR_Data[[#This Row],[PercentSalaryHike]]&lt;=13,"11-13%",IF(HR_Data[[#This Row],[PercentSalaryHike]]&lt;=16,"14-16%",IF(HR_Data[[#This Row],[PercentSalaryHike]]&lt;=19,"17-19%","20-25%")))</f>
        <v>11-13%</v>
      </c>
      <c r="AP1161" s="1">
        <f>IF(HR_Data[[#This Row],[PercentSalaryHike]]&lt;=13,1,IF(HR_Data[[#This Row],[PercentSalaryHike]]&lt;=16,2,IF(HR_Data[[#This Row],[PercentSalaryHike]]&lt;=19,3,4)))</f>
        <v>1</v>
      </c>
      <c r="AQ1161" s="1" t="str">
        <f>IF(HR_Data[[#This Row],[DistanceFromHome]]&lt;=5,"1 to 5",IF(HR_Data[[#This Row],[DistanceFromHome]]&lt;=10,"6 to 10",IF(HR_Data[[#This Row],[DistanceFromHome]]&lt;=20,"11 to 20","21 to 29")))</f>
        <v>1 to 5</v>
      </c>
      <c r="AR1161" s="1">
        <f>IF(HR_Data[[#This Row],[DistanceFromHome]]&lt;=5,1,IF(HR_Data[[#This Row],[DistanceFromHome]]&lt;=10,2,IF(HR_Data[[#This Row],[DistanceFromHome]]&lt;=20,3,4)))</f>
        <v>1</v>
      </c>
      <c r="AS1161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161" s="1">
        <f>IF(HR_Data[[#This Row],[TotalWorkingYears]]&lt;=5,1,IF(HR_Data[[#This Row],[TotalWorkingYears]]&lt;=10,2,IF(HR_Data[[#This Row],[TotalWorkingYears]]&lt;=20,3,4)))</f>
        <v>2</v>
      </c>
    </row>
    <row r="1162" spans="1:46" x14ac:dyDescent="0.25">
      <c r="A1162">
        <v>45</v>
      </c>
      <c r="B1162" t="s">
        <v>36</v>
      </c>
      <c r="C1162" t="s">
        <v>30</v>
      </c>
      <c r="D1162" t="s">
        <v>38</v>
      </c>
      <c r="E1162">
        <v>2</v>
      </c>
      <c r="F1162">
        <v>2</v>
      </c>
      <c r="G1162" t="s">
        <v>42</v>
      </c>
      <c r="H1162">
        <v>1635</v>
      </c>
      <c r="I1162">
        <v>4</v>
      </c>
      <c r="J1162" t="s">
        <v>33</v>
      </c>
      <c r="K1162">
        <v>2</v>
      </c>
      <c r="L1162">
        <v>2</v>
      </c>
      <c r="M1162" t="s">
        <v>46</v>
      </c>
      <c r="N1162">
        <v>4</v>
      </c>
      <c r="O1162" t="s">
        <v>45</v>
      </c>
      <c r="P1162">
        <v>5770</v>
      </c>
      <c r="Q1162">
        <v>1</v>
      </c>
      <c r="R1162" t="s">
        <v>36</v>
      </c>
      <c r="S1162">
        <v>19</v>
      </c>
      <c r="T1162">
        <v>3</v>
      </c>
      <c r="U1162">
        <v>1</v>
      </c>
      <c r="V1162">
        <v>2</v>
      </c>
      <c r="W1162">
        <v>10</v>
      </c>
      <c r="X1162">
        <v>3</v>
      </c>
      <c r="Y1162">
        <v>3</v>
      </c>
      <c r="Z1162">
        <v>10</v>
      </c>
      <c r="AA1162">
        <v>7</v>
      </c>
      <c r="AB1162">
        <v>3</v>
      </c>
      <c r="AC1162">
        <v>9</v>
      </c>
      <c r="AD1162">
        <f>IF(HR_Data[[#This Row],[Attrition]]="Yes",1,0)</f>
        <v>0</v>
      </c>
      <c r="AE1162" t="str">
        <f>IF(HR_Data[[#This Row],[Age]]&lt;=25,"18-25",IF(HR_Data[[#This Row],[Age]]&lt;=35,"26-35",IF(HR_Data[[#This Row],[Age]]&lt;=45,"36-45",IF(HR_Data[[#This Row],[Age]]&lt;=55,"46-55","55+"))))</f>
        <v>36-45</v>
      </c>
      <c r="AF1162">
        <f>IF(HR_Data[[#This Row],[Age]]&lt;=25,1,IF(HR_Data[[#This Row],[Age]]&lt;=35,2,IF(HR_Data[[#This Row],[Age]]&lt;=45,3,IF(HR_Data[[#This Row],[Age]]&lt;=55,4,5))))</f>
        <v>3</v>
      </c>
      <c r="AG1162" s="1" t="str">
        <f>IF(HR_Data[[#This Row],[MonthlyIncome]]&lt;3000,"&lt;3K",IF(HR_Data[[#This Row],[MonthlyIncome]]&lt;6000,"3K-6K",IF(HR_Data[[#This Row],[MonthlyIncome]]&lt;10000,"6K-10K","10K+")))</f>
        <v>3K-6K</v>
      </c>
      <c r="AH1162" s="1">
        <f>IF(HR_Data[[#This Row],[MonthlyIncome]]&lt;3000,1,IF(HR_Data[[#This Row],[MonthlyIncome]]&lt;6000,2,IF(HR_Data[[#This Row],[MonthlyIncome]]&lt;10000,3,4)))</f>
        <v>2</v>
      </c>
      <c r="AI1162" s="1" t="str">
        <f>IF(HR_Data[[#This Row],[YearsAtCompany]]&lt;=2,"0-2 Yrs",IF(HR_Data[[#This Row],[YearsAtCompany]]&lt;=5,"3-5 Yrs",IF(HR_Data[[#This Row],[YearsAtCompany]]&lt;=10,"6-10 Yrs","10+ Yrs")))</f>
        <v>6-10 Yrs</v>
      </c>
      <c r="AJ1162" s="1">
        <f>IF(HR_Data[[#This Row],[YearsAtCompany]]&lt;=2,1,IF(HR_Data[[#This Row],[YearsAtCompany]]&lt;=5,2,IF(HR_Data[[#This Row],[YearsAtCompany]]&lt;=10,3,4)))</f>
        <v>3</v>
      </c>
      <c r="AK1162" s="1" t="str">
        <f>CHOOSE(HR_Data[[#This Row],[Education]],"Below College","College","Bachelor","Master","Doctor")</f>
        <v>College</v>
      </c>
      <c r="AL1162" s="1" t="str">
        <f>CHOOSE(HR_Data[[#This Row],[JobSatisfaction]],"Low","Medium","High","Very High")</f>
        <v>Very High</v>
      </c>
      <c r="AM1162" s="1" t="str">
        <f>CHOOSE(HR_Data[[#This Row],[EnvironmentSatisfaction]],"Low","Medium","High","Very High")</f>
        <v>Very High</v>
      </c>
      <c r="AN1162" s="1" t="str">
        <f>CHOOSE(HR_Data[[#This Row],[WorkLifeBalance]],"Bad","Good","Better","Best")</f>
        <v>Better</v>
      </c>
      <c r="AO1162" s="1" t="str">
        <f>IF(HR_Data[[#This Row],[PercentSalaryHike]]&lt;=13,"11-13%",IF(HR_Data[[#This Row],[PercentSalaryHike]]&lt;=16,"14-16%",IF(HR_Data[[#This Row],[PercentSalaryHike]]&lt;=19,"17-19%","20-25%")))</f>
        <v>17-19%</v>
      </c>
      <c r="AP1162" s="1">
        <f>IF(HR_Data[[#This Row],[PercentSalaryHike]]&lt;=13,1,IF(HR_Data[[#This Row],[PercentSalaryHike]]&lt;=16,2,IF(HR_Data[[#This Row],[PercentSalaryHike]]&lt;=19,3,4)))</f>
        <v>3</v>
      </c>
      <c r="AQ1162" s="1" t="str">
        <f>IF(HR_Data[[#This Row],[DistanceFromHome]]&lt;=5,"1 to 5",IF(HR_Data[[#This Row],[DistanceFromHome]]&lt;=10,"6 to 10",IF(HR_Data[[#This Row],[DistanceFromHome]]&lt;=20,"11 to 20","21 to 29")))</f>
        <v>1 to 5</v>
      </c>
      <c r="AR1162" s="1">
        <f>IF(HR_Data[[#This Row],[DistanceFromHome]]&lt;=5,1,IF(HR_Data[[#This Row],[DistanceFromHome]]&lt;=10,2,IF(HR_Data[[#This Row],[DistanceFromHome]]&lt;=20,3,4)))</f>
        <v>1</v>
      </c>
      <c r="AS1162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162" s="1">
        <f>IF(HR_Data[[#This Row],[TotalWorkingYears]]&lt;=5,1,IF(HR_Data[[#This Row],[TotalWorkingYears]]&lt;=10,2,IF(HR_Data[[#This Row],[TotalWorkingYears]]&lt;=20,3,4)))</f>
        <v>2</v>
      </c>
    </row>
    <row r="1163" spans="1:46" x14ac:dyDescent="0.25">
      <c r="A1163">
        <v>38</v>
      </c>
      <c r="B1163" t="s">
        <v>36</v>
      </c>
      <c r="C1163" t="s">
        <v>30</v>
      </c>
      <c r="D1163" t="s">
        <v>38</v>
      </c>
      <c r="E1163">
        <v>2</v>
      </c>
      <c r="F1163">
        <v>2</v>
      </c>
      <c r="G1163" t="s">
        <v>44</v>
      </c>
      <c r="H1163">
        <v>1638</v>
      </c>
      <c r="I1163">
        <v>4</v>
      </c>
      <c r="J1163" t="s">
        <v>33</v>
      </c>
      <c r="K1163">
        <v>2</v>
      </c>
      <c r="L1163">
        <v>3</v>
      </c>
      <c r="M1163" t="s">
        <v>46</v>
      </c>
      <c r="N1163">
        <v>3</v>
      </c>
      <c r="O1163" t="s">
        <v>41</v>
      </c>
      <c r="P1163">
        <v>7756</v>
      </c>
      <c r="Q1163">
        <v>3</v>
      </c>
      <c r="R1163" t="s">
        <v>29</v>
      </c>
      <c r="S1163">
        <v>19</v>
      </c>
      <c r="T1163">
        <v>3</v>
      </c>
      <c r="U1163">
        <v>4</v>
      </c>
      <c r="V1163">
        <v>1</v>
      </c>
      <c r="W1163">
        <v>10</v>
      </c>
      <c r="X1163">
        <v>6</v>
      </c>
      <c r="Y1163">
        <v>4</v>
      </c>
      <c r="Z1163">
        <v>5</v>
      </c>
      <c r="AA1163">
        <v>4</v>
      </c>
      <c r="AB1163">
        <v>0</v>
      </c>
      <c r="AC1163">
        <v>2</v>
      </c>
      <c r="AD1163">
        <f>IF(HR_Data[[#This Row],[Attrition]]="Yes",1,0)</f>
        <v>0</v>
      </c>
      <c r="AE1163" t="str">
        <f>IF(HR_Data[[#This Row],[Age]]&lt;=25,"18-25",IF(HR_Data[[#This Row],[Age]]&lt;=35,"26-35",IF(HR_Data[[#This Row],[Age]]&lt;=45,"36-45",IF(HR_Data[[#This Row],[Age]]&lt;=55,"46-55","55+"))))</f>
        <v>36-45</v>
      </c>
      <c r="AF1163">
        <f>IF(HR_Data[[#This Row],[Age]]&lt;=25,1,IF(HR_Data[[#This Row],[Age]]&lt;=35,2,IF(HR_Data[[#This Row],[Age]]&lt;=45,3,IF(HR_Data[[#This Row],[Age]]&lt;=55,4,5))))</f>
        <v>3</v>
      </c>
      <c r="AG1163" s="1" t="str">
        <f>IF(HR_Data[[#This Row],[MonthlyIncome]]&lt;3000,"&lt;3K",IF(HR_Data[[#This Row],[MonthlyIncome]]&lt;6000,"3K-6K",IF(HR_Data[[#This Row],[MonthlyIncome]]&lt;10000,"6K-10K","10K+")))</f>
        <v>6K-10K</v>
      </c>
      <c r="AH1163" s="1">
        <f>IF(HR_Data[[#This Row],[MonthlyIncome]]&lt;3000,1,IF(HR_Data[[#This Row],[MonthlyIncome]]&lt;6000,2,IF(HR_Data[[#This Row],[MonthlyIncome]]&lt;10000,3,4)))</f>
        <v>3</v>
      </c>
      <c r="AI1163" s="1" t="str">
        <f>IF(HR_Data[[#This Row],[YearsAtCompany]]&lt;=2,"0-2 Yrs",IF(HR_Data[[#This Row],[YearsAtCompany]]&lt;=5,"3-5 Yrs",IF(HR_Data[[#This Row],[YearsAtCompany]]&lt;=10,"6-10 Yrs","10+ Yrs")))</f>
        <v>3-5 Yrs</v>
      </c>
      <c r="AJ1163" s="1">
        <f>IF(HR_Data[[#This Row],[YearsAtCompany]]&lt;=2,1,IF(HR_Data[[#This Row],[YearsAtCompany]]&lt;=5,2,IF(HR_Data[[#This Row],[YearsAtCompany]]&lt;=10,3,4)))</f>
        <v>2</v>
      </c>
      <c r="AK1163" s="1" t="str">
        <f>CHOOSE(HR_Data[[#This Row],[Education]],"Below College","College","Bachelor","Master","Doctor")</f>
        <v>College</v>
      </c>
      <c r="AL1163" s="1" t="str">
        <f>CHOOSE(HR_Data[[#This Row],[JobSatisfaction]],"Low","Medium","High","Very High")</f>
        <v>High</v>
      </c>
      <c r="AM1163" s="1" t="str">
        <f>CHOOSE(HR_Data[[#This Row],[EnvironmentSatisfaction]],"Low","Medium","High","Very High")</f>
        <v>Very High</v>
      </c>
      <c r="AN1163" s="1" t="str">
        <f>CHOOSE(HR_Data[[#This Row],[WorkLifeBalance]],"Bad","Good","Better","Best")</f>
        <v>Best</v>
      </c>
      <c r="AO1163" s="1" t="str">
        <f>IF(HR_Data[[#This Row],[PercentSalaryHike]]&lt;=13,"11-13%",IF(HR_Data[[#This Row],[PercentSalaryHike]]&lt;=16,"14-16%",IF(HR_Data[[#This Row],[PercentSalaryHike]]&lt;=19,"17-19%","20-25%")))</f>
        <v>17-19%</v>
      </c>
      <c r="AP1163" s="1">
        <f>IF(HR_Data[[#This Row],[PercentSalaryHike]]&lt;=13,1,IF(HR_Data[[#This Row],[PercentSalaryHike]]&lt;=16,2,IF(HR_Data[[#This Row],[PercentSalaryHike]]&lt;=19,3,4)))</f>
        <v>3</v>
      </c>
      <c r="AQ1163" s="1" t="str">
        <f>IF(HR_Data[[#This Row],[DistanceFromHome]]&lt;=5,"1 to 5",IF(HR_Data[[#This Row],[DistanceFromHome]]&lt;=10,"6 to 10",IF(HR_Data[[#This Row],[DistanceFromHome]]&lt;=20,"11 to 20","21 to 29")))</f>
        <v>1 to 5</v>
      </c>
      <c r="AR1163" s="1">
        <f>IF(HR_Data[[#This Row],[DistanceFromHome]]&lt;=5,1,IF(HR_Data[[#This Row],[DistanceFromHome]]&lt;=10,2,IF(HR_Data[[#This Row],[DistanceFromHome]]&lt;=20,3,4)))</f>
        <v>1</v>
      </c>
      <c r="AS1163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163" s="1">
        <f>IF(HR_Data[[#This Row],[TotalWorkingYears]]&lt;=5,1,IF(HR_Data[[#This Row],[TotalWorkingYears]]&lt;=10,2,IF(HR_Data[[#This Row],[TotalWorkingYears]]&lt;=20,3,4)))</f>
        <v>2</v>
      </c>
    </row>
    <row r="1164" spans="1:46" x14ac:dyDescent="0.25">
      <c r="A1164">
        <v>35</v>
      </c>
      <c r="B1164" t="s">
        <v>29</v>
      </c>
      <c r="C1164" t="s">
        <v>30</v>
      </c>
      <c r="D1164" t="s">
        <v>31</v>
      </c>
      <c r="E1164">
        <v>10</v>
      </c>
      <c r="F1164">
        <v>3</v>
      </c>
      <c r="G1164" t="s">
        <v>44</v>
      </c>
      <c r="H1164">
        <v>1639</v>
      </c>
      <c r="I1164">
        <v>4</v>
      </c>
      <c r="J1164" t="s">
        <v>39</v>
      </c>
      <c r="K1164">
        <v>2</v>
      </c>
      <c r="L1164">
        <v>3</v>
      </c>
      <c r="M1164" t="s">
        <v>34</v>
      </c>
      <c r="N1164">
        <v>1</v>
      </c>
      <c r="O1164" t="s">
        <v>41</v>
      </c>
      <c r="P1164">
        <v>10306</v>
      </c>
      <c r="Q1164">
        <v>9</v>
      </c>
      <c r="R1164" t="s">
        <v>36</v>
      </c>
      <c r="S1164">
        <v>17</v>
      </c>
      <c r="T1164">
        <v>3</v>
      </c>
      <c r="U1164">
        <v>3</v>
      </c>
      <c r="V1164">
        <v>0</v>
      </c>
      <c r="W1164">
        <v>15</v>
      </c>
      <c r="X1164">
        <v>3</v>
      </c>
      <c r="Y1164">
        <v>3</v>
      </c>
      <c r="Z1164">
        <v>13</v>
      </c>
      <c r="AA1164">
        <v>12</v>
      </c>
      <c r="AB1164">
        <v>6</v>
      </c>
      <c r="AC1164">
        <v>0</v>
      </c>
      <c r="AD1164">
        <f>IF(HR_Data[[#This Row],[Attrition]]="Yes",1,0)</f>
        <v>1</v>
      </c>
      <c r="AE1164" t="str">
        <f>IF(HR_Data[[#This Row],[Age]]&lt;=25,"18-25",IF(HR_Data[[#This Row],[Age]]&lt;=35,"26-35",IF(HR_Data[[#This Row],[Age]]&lt;=45,"36-45",IF(HR_Data[[#This Row],[Age]]&lt;=55,"46-55","55+"))))</f>
        <v>26-35</v>
      </c>
      <c r="AF1164">
        <f>IF(HR_Data[[#This Row],[Age]]&lt;=25,1,IF(HR_Data[[#This Row],[Age]]&lt;=35,2,IF(HR_Data[[#This Row],[Age]]&lt;=45,3,IF(HR_Data[[#This Row],[Age]]&lt;=55,4,5))))</f>
        <v>2</v>
      </c>
      <c r="AG1164" s="1" t="str">
        <f>IF(HR_Data[[#This Row],[MonthlyIncome]]&lt;3000,"&lt;3K",IF(HR_Data[[#This Row],[MonthlyIncome]]&lt;6000,"3K-6K",IF(HR_Data[[#This Row],[MonthlyIncome]]&lt;10000,"6K-10K","10K+")))</f>
        <v>10K+</v>
      </c>
      <c r="AH1164" s="1">
        <f>IF(HR_Data[[#This Row],[MonthlyIncome]]&lt;3000,1,IF(HR_Data[[#This Row],[MonthlyIncome]]&lt;6000,2,IF(HR_Data[[#This Row],[MonthlyIncome]]&lt;10000,3,4)))</f>
        <v>4</v>
      </c>
      <c r="AI1164" s="1" t="str">
        <f>IF(HR_Data[[#This Row],[YearsAtCompany]]&lt;=2,"0-2 Yrs",IF(HR_Data[[#This Row],[YearsAtCompany]]&lt;=5,"3-5 Yrs",IF(HR_Data[[#This Row],[YearsAtCompany]]&lt;=10,"6-10 Yrs","10+ Yrs")))</f>
        <v>10+ Yrs</v>
      </c>
      <c r="AJ1164" s="1">
        <f>IF(HR_Data[[#This Row],[YearsAtCompany]]&lt;=2,1,IF(HR_Data[[#This Row],[YearsAtCompany]]&lt;=5,2,IF(HR_Data[[#This Row],[YearsAtCompany]]&lt;=10,3,4)))</f>
        <v>4</v>
      </c>
      <c r="AK1164" s="1" t="str">
        <f>CHOOSE(HR_Data[[#This Row],[Education]],"Below College","College","Bachelor","Master","Doctor")</f>
        <v>Bachelor</v>
      </c>
      <c r="AL1164" s="1" t="str">
        <f>CHOOSE(HR_Data[[#This Row],[JobSatisfaction]],"Low","Medium","High","Very High")</f>
        <v>Low</v>
      </c>
      <c r="AM1164" s="1" t="str">
        <f>CHOOSE(HR_Data[[#This Row],[EnvironmentSatisfaction]],"Low","Medium","High","Very High")</f>
        <v>Very High</v>
      </c>
      <c r="AN1164" s="1" t="str">
        <f>CHOOSE(HR_Data[[#This Row],[WorkLifeBalance]],"Bad","Good","Better","Best")</f>
        <v>Better</v>
      </c>
      <c r="AO1164" s="1" t="str">
        <f>IF(HR_Data[[#This Row],[PercentSalaryHike]]&lt;=13,"11-13%",IF(HR_Data[[#This Row],[PercentSalaryHike]]&lt;=16,"14-16%",IF(HR_Data[[#This Row],[PercentSalaryHike]]&lt;=19,"17-19%","20-25%")))</f>
        <v>17-19%</v>
      </c>
      <c r="AP1164" s="1">
        <f>IF(HR_Data[[#This Row],[PercentSalaryHike]]&lt;=13,1,IF(HR_Data[[#This Row],[PercentSalaryHike]]&lt;=16,2,IF(HR_Data[[#This Row],[PercentSalaryHike]]&lt;=19,3,4)))</f>
        <v>3</v>
      </c>
      <c r="AQ1164" s="1" t="str">
        <f>IF(HR_Data[[#This Row],[DistanceFromHome]]&lt;=5,"1 to 5",IF(HR_Data[[#This Row],[DistanceFromHome]]&lt;=10,"6 to 10",IF(HR_Data[[#This Row],[DistanceFromHome]]&lt;=20,"11 to 20","21 to 29")))</f>
        <v>6 to 10</v>
      </c>
      <c r="AR1164" s="1">
        <f>IF(HR_Data[[#This Row],[DistanceFromHome]]&lt;=5,1,IF(HR_Data[[#This Row],[DistanceFromHome]]&lt;=10,2,IF(HR_Data[[#This Row],[DistanceFromHome]]&lt;=20,3,4)))</f>
        <v>2</v>
      </c>
      <c r="AS1164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164" s="1">
        <f>IF(HR_Data[[#This Row],[TotalWorkingYears]]&lt;=5,1,IF(HR_Data[[#This Row],[TotalWorkingYears]]&lt;=10,2,IF(HR_Data[[#This Row],[TotalWorkingYears]]&lt;=20,3,4)))</f>
        <v>3</v>
      </c>
    </row>
    <row r="1165" spans="1:46" x14ac:dyDescent="0.25">
      <c r="A1165">
        <v>37</v>
      </c>
      <c r="B1165" t="s">
        <v>36</v>
      </c>
      <c r="C1165" t="s">
        <v>30</v>
      </c>
      <c r="D1165" t="s">
        <v>38</v>
      </c>
      <c r="E1165">
        <v>10</v>
      </c>
      <c r="F1165">
        <v>3</v>
      </c>
      <c r="G1165" t="s">
        <v>44</v>
      </c>
      <c r="H1165">
        <v>1640</v>
      </c>
      <c r="I1165">
        <v>2</v>
      </c>
      <c r="J1165" t="s">
        <v>33</v>
      </c>
      <c r="K1165">
        <v>3</v>
      </c>
      <c r="L1165">
        <v>1</v>
      </c>
      <c r="M1165" t="s">
        <v>40</v>
      </c>
      <c r="N1165">
        <v>2</v>
      </c>
      <c r="O1165" t="s">
        <v>41</v>
      </c>
      <c r="P1165">
        <v>3936</v>
      </c>
      <c r="Q1165">
        <v>1</v>
      </c>
      <c r="R1165" t="s">
        <v>36</v>
      </c>
      <c r="S1165">
        <v>11</v>
      </c>
      <c r="T1165">
        <v>3</v>
      </c>
      <c r="U1165">
        <v>1</v>
      </c>
      <c r="V1165">
        <v>1</v>
      </c>
      <c r="W1165">
        <v>8</v>
      </c>
      <c r="X1165">
        <v>2</v>
      </c>
      <c r="Y1165">
        <v>1</v>
      </c>
      <c r="Z1165">
        <v>8</v>
      </c>
      <c r="AA1165">
        <v>4</v>
      </c>
      <c r="AB1165">
        <v>7</v>
      </c>
      <c r="AC1165">
        <v>7</v>
      </c>
      <c r="AD1165">
        <f>IF(HR_Data[[#This Row],[Attrition]]="Yes",1,0)</f>
        <v>0</v>
      </c>
      <c r="AE1165" t="str">
        <f>IF(HR_Data[[#This Row],[Age]]&lt;=25,"18-25",IF(HR_Data[[#This Row],[Age]]&lt;=35,"26-35",IF(HR_Data[[#This Row],[Age]]&lt;=45,"36-45",IF(HR_Data[[#This Row],[Age]]&lt;=55,"46-55","55+"))))</f>
        <v>36-45</v>
      </c>
      <c r="AF1165">
        <f>IF(HR_Data[[#This Row],[Age]]&lt;=25,1,IF(HR_Data[[#This Row],[Age]]&lt;=35,2,IF(HR_Data[[#This Row],[Age]]&lt;=45,3,IF(HR_Data[[#This Row],[Age]]&lt;=55,4,5))))</f>
        <v>3</v>
      </c>
      <c r="AG1165" s="1" t="str">
        <f>IF(HR_Data[[#This Row],[MonthlyIncome]]&lt;3000,"&lt;3K",IF(HR_Data[[#This Row],[MonthlyIncome]]&lt;6000,"3K-6K",IF(HR_Data[[#This Row],[MonthlyIncome]]&lt;10000,"6K-10K","10K+")))</f>
        <v>3K-6K</v>
      </c>
      <c r="AH1165" s="1">
        <f>IF(HR_Data[[#This Row],[MonthlyIncome]]&lt;3000,1,IF(HR_Data[[#This Row],[MonthlyIncome]]&lt;6000,2,IF(HR_Data[[#This Row],[MonthlyIncome]]&lt;10000,3,4)))</f>
        <v>2</v>
      </c>
      <c r="AI1165" s="1" t="str">
        <f>IF(HR_Data[[#This Row],[YearsAtCompany]]&lt;=2,"0-2 Yrs",IF(HR_Data[[#This Row],[YearsAtCompany]]&lt;=5,"3-5 Yrs",IF(HR_Data[[#This Row],[YearsAtCompany]]&lt;=10,"6-10 Yrs","10+ Yrs")))</f>
        <v>6-10 Yrs</v>
      </c>
      <c r="AJ1165" s="1">
        <f>IF(HR_Data[[#This Row],[YearsAtCompany]]&lt;=2,1,IF(HR_Data[[#This Row],[YearsAtCompany]]&lt;=5,2,IF(HR_Data[[#This Row],[YearsAtCompany]]&lt;=10,3,4)))</f>
        <v>3</v>
      </c>
      <c r="AK1165" s="1" t="str">
        <f>CHOOSE(HR_Data[[#This Row],[Education]],"Below College","College","Bachelor","Master","Doctor")</f>
        <v>Bachelor</v>
      </c>
      <c r="AL1165" s="1" t="str">
        <f>CHOOSE(HR_Data[[#This Row],[JobSatisfaction]],"Low","Medium","High","Very High")</f>
        <v>Medium</v>
      </c>
      <c r="AM1165" s="1" t="str">
        <f>CHOOSE(HR_Data[[#This Row],[EnvironmentSatisfaction]],"Low","Medium","High","Very High")</f>
        <v>Medium</v>
      </c>
      <c r="AN1165" s="1" t="str">
        <f>CHOOSE(HR_Data[[#This Row],[WorkLifeBalance]],"Bad","Good","Better","Best")</f>
        <v>Bad</v>
      </c>
      <c r="AO1165" s="1" t="str">
        <f>IF(HR_Data[[#This Row],[PercentSalaryHike]]&lt;=13,"11-13%",IF(HR_Data[[#This Row],[PercentSalaryHike]]&lt;=16,"14-16%",IF(HR_Data[[#This Row],[PercentSalaryHike]]&lt;=19,"17-19%","20-25%")))</f>
        <v>11-13%</v>
      </c>
      <c r="AP1165" s="1">
        <f>IF(HR_Data[[#This Row],[PercentSalaryHike]]&lt;=13,1,IF(HR_Data[[#This Row],[PercentSalaryHike]]&lt;=16,2,IF(HR_Data[[#This Row],[PercentSalaryHike]]&lt;=19,3,4)))</f>
        <v>1</v>
      </c>
      <c r="AQ1165" s="1" t="str">
        <f>IF(HR_Data[[#This Row],[DistanceFromHome]]&lt;=5,"1 to 5",IF(HR_Data[[#This Row],[DistanceFromHome]]&lt;=10,"6 to 10",IF(HR_Data[[#This Row],[DistanceFromHome]]&lt;=20,"11 to 20","21 to 29")))</f>
        <v>6 to 10</v>
      </c>
      <c r="AR1165" s="1">
        <f>IF(HR_Data[[#This Row],[DistanceFromHome]]&lt;=5,1,IF(HR_Data[[#This Row],[DistanceFromHome]]&lt;=10,2,IF(HR_Data[[#This Row],[DistanceFromHome]]&lt;=20,3,4)))</f>
        <v>2</v>
      </c>
      <c r="AS1165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165" s="1">
        <f>IF(HR_Data[[#This Row],[TotalWorkingYears]]&lt;=5,1,IF(HR_Data[[#This Row],[TotalWorkingYears]]&lt;=10,2,IF(HR_Data[[#This Row],[TotalWorkingYears]]&lt;=20,3,4)))</f>
        <v>2</v>
      </c>
    </row>
    <row r="1166" spans="1:46" x14ac:dyDescent="0.25">
      <c r="A1166">
        <v>40</v>
      </c>
      <c r="B1166" t="s">
        <v>36</v>
      </c>
      <c r="C1166" t="s">
        <v>30</v>
      </c>
      <c r="D1166" t="s">
        <v>38</v>
      </c>
      <c r="E1166">
        <v>16</v>
      </c>
      <c r="F1166">
        <v>3</v>
      </c>
      <c r="G1166" t="s">
        <v>32</v>
      </c>
      <c r="H1166">
        <v>1641</v>
      </c>
      <c r="I1166">
        <v>3</v>
      </c>
      <c r="J1166" t="s">
        <v>33</v>
      </c>
      <c r="K1166">
        <v>3</v>
      </c>
      <c r="L1166">
        <v>3</v>
      </c>
      <c r="M1166" t="s">
        <v>46</v>
      </c>
      <c r="N1166">
        <v>4</v>
      </c>
      <c r="O1166" t="s">
        <v>35</v>
      </c>
      <c r="P1166">
        <v>7945</v>
      </c>
      <c r="Q1166">
        <v>6</v>
      </c>
      <c r="R1166" t="s">
        <v>29</v>
      </c>
      <c r="S1166">
        <v>15</v>
      </c>
      <c r="T1166">
        <v>3</v>
      </c>
      <c r="U1166">
        <v>4</v>
      </c>
      <c r="V1166">
        <v>0</v>
      </c>
      <c r="W1166">
        <v>18</v>
      </c>
      <c r="X1166">
        <v>2</v>
      </c>
      <c r="Y1166">
        <v>2</v>
      </c>
      <c r="Z1166">
        <v>4</v>
      </c>
      <c r="AA1166">
        <v>2</v>
      </c>
      <c r="AB1166">
        <v>3</v>
      </c>
      <c r="AC1166">
        <v>3</v>
      </c>
      <c r="AD1166">
        <f>IF(HR_Data[[#This Row],[Attrition]]="Yes",1,0)</f>
        <v>0</v>
      </c>
      <c r="AE1166" t="str">
        <f>IF(HR_Data[[#This Row],[Age]]&lt;=25,"18-25",IF(HR_Data[[#This Row],[Age]]&lt;=35,"26-35",IF(HR_Data[[#This Row],[Age]]&lt;=45,"36-45",IF(HR_Data[[#This Row],[Age]]&lt;=55,"46-55","55+"))))</f>
        <v>36-45</v>
      </c>
      <c r="AF1166">
        <f>IF(HR_Data[[#This Row],[Age]]&lt;=25,1,IF(HR_Data[[#This Row],[Age]]&lt;=35,2,IF(HR_Data[[#This Row],[Age]]&lt;=45,3,IF(HR_Data[[#This Row],[Age]]&lt;=55,4,5))))</f>
        <v>3</v>
      </c>
      <c r="AG1166" s="1" t="str">
        <f>IF(HR_Data[[#This Row],[MonthlyIncome]]&lt;3000,"&lt;3K",IF(HR_Data[[#This Row],[MonthlyIncome]]&lt;6000,"3K-6K",IF(HR_Data[[#This Row],[MonthlyIncome]]&lt;10000,"6K-10K","10K+")))</f>
        <v>6K-10K</v>
      </c>
      <c r="AH1166" s="1">
        <f>IF(HR_Data[[#This Row],[MonthlyIncome]]&lt;3000,1,IF(HR_Data[[#This Row],[MonthlyIncome]]&lt;6000,2,IF(HR_Data[[#This Row],[MonthlyIncome]]&lt;10000,3,4)))</f>
        <v>3</v>
      </c>
      <c r="AI1166" s="1" t="str">
        <f>IF(HR_Data[[#This Row],[YearsAtCompany]]&lt;=2,"0-2 Yrs",IF(HR_Data[[#This Row],[YearsAtCompany]]&lt;=5,"3-5 Yrs",IF(HR_Data[[#This Row],[YearsAtCompany]]&lt;=10,"6-10 Yrs","10+ Yrs")))</f>
        <v>3-5 Yrs</v>
      </c>
      <c r="AJ1166" s="1">
        <f>IF(HR_Data[[#This Row],[YearsAtCompany]]&lt;=2,1,IF(HR_Data[[#This Row],[YearsAtCompany]]&lt;=5,2,IF(HR_Data[[#This Row],[YearsAtCompany]]&lt;=10,3,4)))</f>
        <v>2</v>
      </c>
      <c r="AK1166" s="1" t="str">
        <f>CHOOSE(HR_Data[[#This Row],[Education]],"Below College","College","Bachelor","Master","Doctor")</f>
        <v>Bachelor</v>
      </c>
      <c r="AL1166" s="1" t="str">
        <f>CHOOSE(HR_Data[[#This Row],[JobSatisfaction]],"Low","Medium","High","Very High")</f>
        <v>Very High</v>
      </c>
      <c r="AM1166" s="1" t="str">
        <f>CHOOSE(HR_Data[[#This Row],[EnvironmentSatisfaction]],"Low","Medium","High","Very High")</f>
        <v>High</v>
      </c>
      <c r="AN1166" s="1" t="str">
        <f>CHOOSE(HR_Data[[#This Row],[WorkLifeBalance]],"Bad","Good","Better","Best")</f>
        <v>Good</v>
      </c>
      <c r="AO1166" s="1" t="str">
        <f>IF(HR_Data[[#This Row],[PercentSalaryHike]]&lt;=13,"11-13%",IF(HR_Data[[#This Row],[PercentSalaryHike]]&lt;=16,"14-16%",IF(HR_Data[[#This Row],[PercentSalaryHike]]&lt;=19,"17-19%","20-25%")))</f>
        <v>14-16%</v>
      </c>
      <c r="AP1166" s="1">
        <f>IF(HR_Data[[#This Row],[PercentSalaryHike]]&lt;=13,1,IF(HR_Data[[#This Row],[PercentSalaryHike]]&lt;=16,2,IF(HR_Data[[#This Row],[PercentSalaryHike]]&lt;=19,3,4)))</f>
        <v>2</v>
      </c>
      <c r="AQ1166" s="1" t="str">
        <f>IF(HR_Data[[#This Row],[DistanceFromHome]]&lt;=5,"1 to 5",IF(HR_Data[[#This Row],[DistanceFromHome]]&lt;=10,"6 to 10",IF(HR_Data[[#This Row],[DistanceFromHome]]&lt;=20,"11 to 20","21 to 29")))</f>
        <v>11 to 20</v>
      </c>
      <c r="AR1166" s="1">
        <f>IF(HR_Data[[#This Row],[DistanceFromHome]]&lt;=5,1,IF(HR_Data[[#This Row],[DistanceFromHome]]&lt;=10,2,IF(HR_Data[[#This Row],[DistanceFromHome]]&lt;=20,3,4)))</f>
        <v>3</v>
      </c>
      <c r="AS1166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166" s="1">
        <f>IF(HR_Data[[#This Row],[TotalWorkingYears]]&lt;=5,1,IF(HR_Data[[#This Row],[TotalWorkingYears]]&lt;=10,2,IF(HR_Data[[#This Row],[TotalWorkingYears]]&lt;=20,3,4)))</f>
        <v>3</v>
      </c>
    </row>
    <row r="1167" spans="1:46" x14ac:dyDescent="0.25">
      <c r="A1167">
        <v>44</v>
      </c>
      <c r="B1167" t="s">
        <v>36</v>
      </c>
      <c r="C1167" t="s">
        <v>37</v>
      </c>
      <c r="D1167" t="s">
        <v>54</v>
      </c>
      <c r="E1167">
        <v>1</v>
      </c>
      <c r="F1167">
        <v>5</v>
      </c>
      <c r="G1167" t="s">
        <v>54</v>
      </c>
      <c r="H1167">
        <v>1642</v>
      </c>
      <c r="I1167">
        <v>1</v>
      </c>
      <c r="J1167" t="s">
        <v>39</v>
      </c>
      <c r="K1167">
        <v>3</v>
      </c>
      <c r="L1167">
        <v>2</v>
      </c>
      <c r="M1167" t="s">
        <v>54</v>
      </c>
      <c r="N1167">
        <v>4</v>
      </c>
      <c r="O1167" t="s">
        <v>41</v>
      </c>
      <c r="P1167">
        <v>5743</v>
      </c>
      <c r="Q1167">
        <v>4</v>
      </c>
      <c r="R1167" t="s">
        <v>29</v>
      </c>
      <c r="S1167">
        <v>11</v>
      </c>
      <c r="T1167">
        <v>3</v>
      </c>
      <c r="U1167">
        <v>3</v>
      </c>
      <c r="V1167">
        <v>0</v>
      </c>
      <c r="W1167">
        <v>14</v>
      </c>
      <c r="X1167">
        <v>3</v>
      </c>
      <c r="Y1167">
        <v>3</v>
      </c>
      <c r="Z1167">
        <v>10</v>
      </c>
      <c r="AA1167">
        <v>7</v>
      </c>
      <c r="AB1167">
        <v>0</v>
      </c>
      <c r="AC1167">
        <v>2</v>
      </c>
      <c r="AD1167">
        <f>IF(HR_Data[[#This Row],[Attrition]]="Yes",1,0)</f>
        <v>0</v>
      </c>
      <c r="AE1167" t="str">
        <f>IF(HR_Data[[#This Row],[Age]]&lt;=25,"18-25",IF(HR_Data[[#This Row],[Age]]&lt;=35,"26-35",IF(HR_Data[[#This Row],[Age]]&lt;=45,"36-45",IF(HR_Data[[#This Row],[Age]]&lt;=55,"46-55","55+"))))</f>
        <v>36-45</v>
      </c>
      <c r="AF1167">
        <f>IF(HR_Data[[#This Row],[Age]]&lt;=25,1,IF(HR_Data[[#This Row],[Age]]&lt;=35,2,IF(HR_Data[[#This Row],[Age]]&lt;=45,3,IF(HR_Data[[#This Row],[Age]]&lt;=55,4,5))))</f>
        <v>3</v>
      </c>
      <c r="AG1167" s="1" t="str">
        <f>IF(HR_Data[[#This Row],[MonthlyIncome]]&lt;3000,"&lt;3K",IF(HR_Data[[#This Row],[MonthlyIncome]]&lt;6000,"3K-6K",IF(HR_Data[[#This Row],[MonthlyIncome]]&lt;10000,"6K-10K","10K+")))</f>
        <v>3K-6K</v>
      </c>
      <c r="AH1167" s="1">
        <f>IF(HR_Data[[#This Row],[MonthlyIncome]]&lt;3000,1,IF(HR_Data[[#This Row],[MonthlyIncome]]&lt;6000,2,IF(HR_Data[[#This Row],[MonthlyIncome]]&lt;10000,3,4)))</f>
        <v>2</v>
      </c>
      <c r="AI1167" s="1" t="str">
        <f>IF(HR_Data[[#This Row],[YearsAtCompany]]&lt;=2,"0-2 Yrs",IF(HR_Data[[#This Row],[YearsAtCompany]]&lt;=5,"3-5 Yrs",IF(HR_Data[[#This Row],[YearsAtCompany]]&lt;=10,"6-10 Yrs","10+ Yrs")))</f>
        <v>6-10 Yrs</v>
      </c>
      <c r="AJ1167" s="1">
        <f>IF(HR_Data[[#This Row],[YearsAtCompany]]&lt;=2,1,IF(HR_Data[[#This Row],[YearsAtCompany]]&lt;=5,2,IF(HR_Data[[#This Row],[YearsAtCompany]]&lt;=10,3,4)))</f>
        <v>3</v>
      </c>
      <c r="AK1167" s="1" t="str">
        <f>CHOOSE(HR_Data[[#This Row],[Education]],"Below College","College","Bachelor","Master","Doctor")</f>
        <v>Doctor</v>
      </c>
      <c r="AL1167" s="1" t="str">
        <f>CHOOSE(HR_Data[[#This Row],[JobSatisfaction]],"Low","Medium","High","Very High")</f>
        <v>Very High</v>
      </c>
      <c r="AM1167" s="1" t="str">
        <f>CHOOSE(HR_Data[[#This Row],[EnvironmentSatisfaction]],"Low","Medium","High","Very High")</f>
        <v>Low</v>
      </c>
      <c r="AN1167" s="1" t="str">
        <f>CHOOSE(HR_Data[[#This Row],[WorkLifeBalance]],"Bad","Good","Better","Best")</f>
        <v>Better</v>
      </c>
      <c r="AO1167" s="1" t="str">
        <f>IF(HR_Data[[#This Row],[PercentSalaryHike]]&lt;=13,"11-13%",IF(HR_Data[[#This Row],[PercentSalaryHike]]&lt;=16,"14-16%",IF(HR_Data[[#This Row],[PercentSalaryHike]]&lt;=19,"17-19%","20-25%")))</f>
        <v>11-13%</v>
      </c>
      <c r="AP1167" s="1">
        <f>IF(HR_Data[[#This Row],[PercentSalaryHike]]&lt;=13,1,IF(HR_Data[[#This Row],[PercentSalaryHike]]&lt;=16,2,IF(HR_Data[[#This Row],[PercentSalaryHike]]&lt;=19,3,4)))</f>
        <v>1</v>
      </c>
      <c r="AQ1167" s="1" t="str">
        <f>IF(HR_Data[[#This Row],[DistanceFromHome]]&lt;=5,"1 to 5",IF(HR_Data[[#This Row],[DistanceFromHome]]&lt;=10,"6 to 10",IF(HR_Data[[#This Row],[DistanceFromHome]]&lt;=20,"11 to 20","21 to 29")))</f>
        <v>1 to 5</v>
      </c>
      <c r="AR1167" s="1">
        <f>IF(HR_Data[[#This Row],[DistanceFromHome]]&lt;=5,1,IF(HR_Data[[#This Row],[DistanceFromHome]]&lt;=10,2,IF(HR_Data[[#This Row],[DistanceFromHome]]&lt;=20,3,4)))</f>
        <v>1</v>
      </c>
      <c r="AS1167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167" s="1">
        <f>IF(HR_Data[[#This Row],[TotalWorkingYears]]&lt;=5,1,IF(HR_Data[[#This Row],[TotalWorkingYears]]&lt;=10,2,IF(HR_Data[[#This Row],[TotalWorkingYears]]&lt;=20,3,4)))</f>
        <v>3</v>
      </c>
    </row>
    <row r="1168" spans="1:46" x14ac:dyDescent="0.25">
      <c r="A1168">
        <v>48</v>
      </c>
      <c r="B1168" t="s">
        <v>36</v>
      </c>
      <c r="C1168" t="s">
        <v>37</v>
      </c>
      <c r="D1168" t="s">
        <v>38</v>
      </c>
      <c r="E1168">
        <v>4</v>
      </c>
      <c r="F1168">
        <v>5</v>
      </c>
      <c r="G1168" t="s">
        <v>44</v>
      </c>
      <c r="H1168">
        <v>1644</v>
      </c>
      <c r="I1168">
        <v>3</v>
      </c>
      <c r="J1168" t="s">
        <v>39</v>
      </c>
      <c r="K1168">
        <v>2</v>
      </c>
      <c r="L1168">
        <v>4</v>
      </c>
      <c r="M1168" t="s">
        <v>49</v>
      </c>
      <c r="N1168">
        <v>4</v>
      </c>
      <c r="O1168" t="s">
        <v>41</v>
      </c>
      <c r="P1168">
        <v>15202</v>
      </c>
      <c r="Q1168">
        <v>2</v>
      </c>
      <c r="R1168" t="s">
        <v>36</v>
      </c>
      <c r="S1168">
        <v>25</v>
      </c>
      <c r="T1168">
        <v>4</v>
      </c>
      <c r="U1168">
        <v>2</v>
      </c>
      <c r="V1168">
        <v>1</v>
      </c>
      <c r="W1168">
        <v>23</v>
      </c>
      <c r="X1168">
        <v>3</v>
      </c>
      <c r="Y1168">
        <v>3</v>
      </c>
      <c r="Z1168">
        <v>2</v>
      </c>
      <c r="AA1168">
        <v>2</v>
      </c>
      <c r="AB1168">
        <v>2</v>
      </c>
      <c r="AC1168">
        <v>2</v>
      </c>
      <c r="AD1168">
        <f>IF(HR_Data[[#This Row],[Attrition]]="Yes",1,0)</f>
        <v>0</v>
      </c>
      <c r="AE1168" t="str">
        <f>IF(HR_Data[[#This Row],[Age]]&lt;=25,"18-25",IF(HR_Data[[#This Row],[Age]]&lt;=35,"26-35",IF(HR_Data[[#This Row],[Age]]&lt;=45,"36-45",IF(HR_Data[[#This Row],[Age]]&lt;=55,"46-55","55+"))))</f>
        <v>46-55</v>
      </c>
      <c r="AF1168">
        <f>IF(HR_Data[[#This Row],[Age]]&lt;=25,1,IF(HR_Data[[#This Row],[Age]]&lt;=35,2,IF(HR_Data[[#This Row],[Age]]&lt;=45,3,IF(HR_Data[[#This Row],[Age]]&lt;=55,4,5))))</f>
        <v>4</v>
      </c>
      <c r="AG1168" s="1" t="str">
        <f>IF(HR_Data[[#This Row],[MonthlyIncome]]&lt;3000,"&lt;3K",IF(HR_Data[[#This Row],[MonthlyIncome]]&lt;6000,"3K-6K",IF(HR_Data[[#This Row],[MonthlyIncome]]&lt;10000,"6K-10K","10K+")))</f>
        <v>10K+</v>
      </c>
      <c r="AH1168" s="1">
        <f>IF(HR_Data[[#This Row],[MonthlyIncome]]&lt;3000,1,IF(HR_Data[[#This Row],[MonthlyIncome]]&lt;6000,2,IF(HR_Data[[#This Row],[MonthlyIncome]]&lt;10000,3,4)))</f>
        <v>4</v>
      </c>
      <c r="AI1168" s="1" t="str">
        <f>IF(HR_Data[[#This Row],[YearsAtCompany]]&lt;=2,"0-2 Yrs",IF(HR_Data[[#This Row],[YearsAtCompany]]&lt;=5,"3-5 Yrs",IF(HR_Data[[#This Row],[YearsAtCompany]]&lt;=10,"6-10 Yrs","10+ Yrs")))</f>
        <v>0-2 Yrs</v>
      </c>
      <c r="AJ1168" s="1">
        <f>IF(HR_Data[[#This Row],[YearsAtCompany]]&lt;=2,1,IF(HR_Data[[#This Row],[YearsAtCompany]]&lt;=5,2,IF(HR_Data[[#This Row],[YearsAtCompany]]&lt;=10,3,4)))</f>
        <v>1</v>
      </c>
      <c r="AK1168" s="1" t="str">
        <f>CHOOSE(HR_Data[[#This Row],[Education]],"Below College","College","Bachelor","Master","Doctor")</f>
        <v>Doctor</v>
      </c>
      <c r="AL1168" s="1" t="str">
        <f>CHOOSE(HR_Data[[#This Row],[JobSatisfaction]],"Low","Medium","High","Very High")</f>
        <v>Very High</v>
      </c>
      <c r="AM1168" s="1" t="str">
        <f>CHOOSE(HR_Data[[#This Row],[EnvironmentSatisfaction]],"Low","Medium","High","Very High")</f>
        <v>High</v>
      </c>
      <c r="AN1168" s="1" t="str">
        <f>CHOOSE(HR_Data[[#This Row],[WorkLifeBalance]],"Bad","Good","Better","Best")</f>
        <v>Better</v>
      </c>
      <c r="AO1168" s="1" t="str">
        <f>IF(HR_Data[[#This Row],[PercentSalaryHike]]&lt;=13,"11-13%",IF(HR_Data[[#This Row],[PercentSalaryHike]]&lt;=16,"14-16%",IF(HR_Data[[#This Row],[PercentSalaryHike]]&lt;=19,"17-19%","20-25%")))</f>
        <v>20-25%</v>
      </c>
      <c r="AP1168" s="1">
        <f>IF(HR_Data[[#This Row],[PercentSalaryHike]]&lt;=13,1,IF(HR_Data[[#This Row],[PercentSalaryHike]]&lt;=16,2,IF(HR_Data[[#This Row],[PercentSalaryHike]]&lt;=19,3,4)))</f>
        <v>4</v>
      </c>
      <c r="AQ1168" s="1" t="str">
        <f>IF(HR_Data[[#This Row],[DistanceFromHome]]&lt;=5,"1 to 5",IF(HR_Data[[#This Row],[DistanceFromHome]]&lt;=10,"6 to 10",IF(HR_Data[[#This Row],[DistanceFromHome]]&lt;=20,"11 to 20","21 to 29")))</f>
        <v>1 to 5</v>
      </c>
      <c r="AR1168" s="1">
        <f>IF(HR_Data[[#This Row],[DistanceFromHome]]&lt;=5,1,IF(HR_Data[[#This Row],[DistanceFromHome]]&lt;=10,2,IF(HR_Data[[#This Row],[DistanceFromHome]]&lt;=20,3,4)))</f>
        <v>1</v>
      </c>
      <c r="AS1168" s="1" t="str">
        <f>IF(HR_Data[[#This Row],[TotalWorkingYears]]&lt;=5,"0-5 Yrs",IF(HR_Data[[#This Row],[TotalWorkingYears]]&lt;=10,"6-10 Yrs",IF(HR_Data[[#This Row],[TotalWorkingYears]]&lt;=20,"11-20 Yrs","20+ Yrs")))</f>
        <v>20+ Yrs</v>
      </c>
      <c r="AT1168" s="1">
        <f>IF(HR_Data[[#This Row],[TotalWorkingYears]]&lt;=5,1,IF(HR_Data[[#This Row],[TotalWorkingYears]]&lt;=10,2,IF(HR_Data[[#This Row],[TotalWorkingYears]]&lt;=20,3,4)))</f>
        <v>4</v>
      </c>
    </row>
    <row r="1169" spans="1:46" x14ac:dyDescent="0.25">
      <c r="A1169">
        <v>35</v>
      </c>
      <c r="B1169" t="s">
        <v>29</v>
      </c>
      <c r="C1169" t="s">
        <v>30</v>
      </c>
      <c r="D1169" t="s">
        <v>31</v>
      </c>
      <c r="E1169">
        <v>15</v>
      </c>
      <c r="F1169">
        <v>2</v>
      </c>
      <c r="G1169" t="s">
        <v>44</v>
      </c>
      <c r="H1169">
        <v>1645</v>
      </c>
      <c r="I1169">
        <v>1</v>
      </c>
      <c r="J1169" t="s">
        <v>39</v>
      </c>
      <c r="K1169">
        <v>1</v>
      </c>
      <c r="L1169">
        <v>2</v>
      </c>
      <c r="M1169" t="s">
        <v>34</v>
      </c>
      <c r="N1169">
        <v>4</v>
      </c>
      <c r="O1169" t="s">
        <v>45</v>
      </c>
      <c r="P1169">
        <v>5440</v>
      </c>
      <c r="Q1169">
        <v>6</v>
      </c>
      <c r="R1169" t="s">
        <v>29</v>
      </c>
      <c r="S1169">
        <v>14</v>
      </c>
      <c r="T1169">
        <v>3</v>
      </c>
      <c r="U1169">
        <v>4</v>
      </c>
      <c r="V1169">
        <v>2</v>
      </c>
      <c r="W1169">
        <v>7</v>
      </c>
      <c r="X1169">
        <v>2</v>
      </c>
      <c r="Y1169">
        <v>2</v>
      </c>
      <c r="Z1169">
        <v>2</v>
      </c>
      <c r="AA1169">
        <v>2</v>
      </c>
      <c r="AB1169">
        <v>2</v>
      </c>
      <c r="AC1169">
        <v>2</v>
      </c>
      <c r="AD1169">
        <f>IF(HR_Data[[#This Row],[Attrition]]="Yes",1,0)</f>
        <v>1</v>
      </c>
      <c r="AE1169" t="str">
        <f>IF(HR_Data[[#This Row],[Age]]&lt;=25,"18-25",IF(HR_Data[[#This Row],[Age]]&lt;=35,"26-35",IF(HR_Data[[#This Row],[Age]]&lt;=45,"36-45",IF(HR_Data[[#This Row],[Age]]&lt;=55,"46-55","55+"))))</f>
        <v>26-35</v>
      </c>
      <c r="AF1169">
        <f>IF(HR_Data[[#This Row],[Age]]&lt;=25,1,IF(HR_Data[[#This Row],[Age]]&lt;=35,2,IF(HR_Data[[#This Row],[Age]]&lt;=45,3,IF(HR_Data[[#This Row],[Age]]&lt;=55,4,5))))</f>
        <v>2</v>
      </c>
      <c r="AG1169" s="1" t="str">
        <f>IF(HR_Data[[#This Row],[MonthlyIncome]]&lt;3000,"&lt;3K",IF(HR_Data[[#This Row],[MonthlyIncome]]&lt;6000,"3K-6K",IF(HR_Data[[#This Row],[MonthlyIncome]]&lt;10000,"6K-10K","10K+")))</f>
        <v>3K-6K</v>
      </c>
      <c r="AH1169" s="1">
        <f>IF(HR_Data[[#This Row],[MonthlyIncome]]&lt;3000,1,IF(HR_Data[[#This Row],[MonthlyIncome]]&lt;6000,2,IF(HR_Data[[#This Row],[MonthlyIncome]]&lt;10000,3,4)))</f>
        <v>2</v>
      </c>
      <c r="AI1169" s="1" t="str">
        <f>IF(HR_Data[[#This Row],[YearsAtCompany]]&lt;=2,"0-2 Yrs",IF(HR_Data[[#This Row],[YearsAtCompany]]&lt;=5,"3-5 Yrs",IF(HR_Data[[#This Row],[YearsAtCompany]]&lt;=10,"6-10 Yrs","10+ Yrs")))</f>
        <v>0-2 Yrs</v>
      </c>
      <c r="AJ1169" s="1">
        <f>IF(HR_Data[[#This Row],[YearsAtCompany]]&lt;=2,1,IF(HR_Data[[#This Row],[YearsAtCompany]]&lt;=5,2,IF(HR_Data[[#This Row],[YearsAtCompany]]&lt;=10,3,4)))</f>
        <v>1</v>
      </c>
      <c r="AK1169" s="1" t="str">
        <f>CHOOSE(HR_Data[[#This Row],[Education]],"Below College","College","Bachelor","Master","Doctor")</f>
        <v>College</v>
      </c>
      <c r="AL1169" s="1" t="str">
        <f>CHOOSE(HR_Data[[#This Row],[JobSatisfaction]],"Low","Medium","High","Very High")</f>
        <v>Very High</v>
      </c>
      <c r="AM1169" s="1" t="str">
        <f>CHOOSE(HR_Data[[#This Row],[EnvironmentSatisfaction]],"Low","Medium","High","Very High")</f>
        <v>Low</v>
      </c>
      <c r="AN1169" s="1" t="str">
        <f>CHOOSE(HR_Data[[#This Row],[WorkLifeBalance]],"Bad","Good","Better","Best")</f>
        <v>Good</v>
      </c>
      <c r="AO1169" s="1" t="str">
        <f>IF(HR_Data[[#This Row],[PercentSalaryHike]]&lt;=13,"11-13%",IF(HR_Data[[#This Row],[PercentSalaryHike]]&lt;=16,"14-16%",IF(HR_Data[[#This Row],[PercentSalaryHike]]&lt;=19,"17-19%","20-25%")))</f>
        <v>14-16%</v>
      </c>
      <c r="AP1169" s="1">
        <f>IF(HR_Data[[#This Row],[PercentSalaryHike]]&lt;=13,1,IF(HR_Data[[#This Row],[PercentSalaryHike]]&lt;=16,2,IF(HR_Data[[#This Row],[PercentSalaryHike]]&lt;=19,3,4)))</f>
        <v>2</v>
      </c>
      <c r="AQ1169" s="1" t="str">
        <f>IF(HR_Data[[#This Row],[DistanceFromHome]]&lt;=5,"1 to 5",IF(HR_Data[[#This Row],[DistanceFromHome]]&lt;=10,"6 to 10",IF(HR_Data[[#This Row],[DistanceFromHome]]&lt;=20,"11 to 20","21 to 29")))</f>
        <v>11 to 20</v>
      </c>
      <c r="AR1169" s="1">
        <f>IF(HR_Data[[#This Row],[DistanceFromHome]]&lt;=5,1,IF(HR_Data[[#This Row],[DistanceFromHome]]&lt;=10,2,IF(HR_Data[[#This Row],[DistanceFromHome]]&lt;=20,3,4)))</f>
        <v>3</v>
      </c>
      <c r="AS1169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169" s="1">
        <f>IF(HR_Data[[#This Row],[TotalWorkingYears]]&lt;=5,1,IF(HR_Data[[#This Row],[TotalWorkingYears]]&lt;=10,2,IF(HR_Data[[#This Row],[TotalWorkingYears]]&lt;=20,3,4)))</f>
        <v>2</v>
      </c>
    </row>
    <row r="1170" spans="1:46" x14ac:dyDescent="0.25">
      <c r="A1170">
        <v>24</v>
      </c>
      <c r="B1170" t="s">
        <v>36</v>
      </c>
      <c r="C1170" t="s">
        <v>37</v>
      </c>
      <c r="D1170" t="s">
        <v>38</v>
      </c>
      <c r="E1170">
        <v>2</v>
      </c>
      <c r="F1170">
        <v>1</v>
      </c>
      <c r="G1170" t="s">
        <v>53</v>
      </c>
      <c r="H1170">
        <v>1646</v>
      </c>
      <c r="I1170">
        <v>1</v>
      </c>
      <c r="J1170" t="s">
        <v>33</v>
      </c>
      <c r="K1170">
        <v>3</v>
      </c>
      <c r="L1170">
        <v>1</v>
      </c>
      <c r="M1170" t="s">
        <v>40</v>
      </c>
      <c r="N1170">
        <v>4</v>
      </c>
      <c r="O1170" t="s">
        <v>35</v>
      </c>
      <c r="P1170">
        <v>3760</v>
      </c>
      <c r="Q1170">
        <v>1</v>
      </c>
      <c r="R1170" t="s">
        <v>29</v>
      </c>
      <c r="S1170">
        <v>13</v>
      </c>
      <c r="T1170">
        <v>3</v>
      </c>
      <c r="U1170">
        <v>3</v>
      </c>
      <c r="V1170">
        <v>0</v>
      </c>
      <c r="W1170">
        <v>6</v>
      </c>
      <c r="X1170">
        <v>2</v>
      </c>
      <c r="Y1170">
        <v>3</v>
      </c>
      <c r="Z1170">
        <v>6</v>
      </c>
      <c r="AA1170">
        <v>3</v>
      </c>
      <c r="AB1170">
        <v>1</v>
      </c>
      <c r="AC1170">
        <v>3</v>
      </c>
      <c r="AD1170">
        <f>IF(HR_Data[[#This Row],[Attrition]]="Yes",1,0)</f>
        <v>0</v>
      </c>
      <c r="AE1170" t="str">
        <f>IF(HR_Data[[#This Row],[Age]]&lt;=25,"18-25",IF(HR_Data[[#This Row],[Age]]&lt;=35,"26-35",IF(HR_Data[[#This Row],[Age]]&lt;=45,"36-45",IF(HR_Data[[#This Row],[Age]]&lt;=55,"46-55","55+"))))</f>
        <v>18-25</v>
      </c>
      <c r="AF1170">
        <f>IF(HR_Data[[#This Row],[Age]]&lt;=25,1,IF(HR_Data[[#This Row],[Age]]&lt;=35,2,IF(HR_Data[[#This Row],[Age]]&lt;=45,3,IF(HR_Data[[#This Row],[Age]]&lt;=55,4,5))))</f>
        <v>1</v>
      </c>
      <c r="AG1170" s="1" t="str">
        <f>IF(HR_Data[[#This Row],[MonthlyIncome]]&lt;3000,"&lt;3K",IF(HR_Data[[#This Row],[MonthlyIncome]]&lt;6000,"3K-6K",IF(HR_Data[[#This Row],[MonthlyIncome]]&lt;10000,"6K-10K","10K+")))</f>
        <v>3K-6K</v>
      </c>
      <c r="AH1170" s="1">
        <f>IF(HR_Data[[#This Row],[MonthlyIncome]]&lt;3000,1,IF(HR_Data[[#This Row],[MonthlyIncome]]&lt;6000,2,IF(HR_Data[[#This Row],[MonthlyIncome]]&lt;10000,3,4)))</f>
        <v>2</v>
      </c>
      <c r="AI1170" s="1" t="str">
        <f>IF(HR_Data[[#This Row],[YearsAtCompany]]&lt;=2,"0-2 Yrs",IF(HR_Data[[#This Row],[YearsAtCompany]]&lt;=5,"3-5 Yrs",IF(HR_Data[[#This Row],[YearsAtCompany]]&lt;=10,"6-10 Yrs","10+ Yrs")))</f>
        <v>6-10 Yrs</v>
      </c>
      <c r="AJ1170" s="1">
        <f>IF(HR_Data[[#This Row],[YearsAtCompany]]&lt;=2,1,IF(HR_Data[[#This Row],[YearsAtCompany]]&lt;=5,2,IF(HR_Data[[#This Row],[YearsAtCompany]]&lt;=10,3,4)))</f>
        <v>3</v>
      </c>
      <c r="AK1170" s="1" t="str">
        <f>CHOOSE(HR_Data[[#This Row],[Education]],"Below College","College","Bachelor","Master","Doctor")</f>
        <v>Below College</v>
      </c>
      <c r="AL1170" s="1" t="str">
        <f>CHOOSE(HR_Data[[#This Row],[JobSatisfaction]],"Low","Medium","High","Very High")</f>
        <v>Very High</v>
      </c>
      <c r="AM1170" s="1" t="str">
        <f>CHOOSE(HR_Data[[#This Row],[EnvironmentSatisfaction]],"Low","Medium","High","Very High")</f>
        <v>Low</v>
      </c>
      <c r="AN1170" s="1" t="str">
        <f>CHOOSE(HR_Data[[#This Row],[WorkLifeBalance]],"Bad","Good","Better","Best")</f>
        <v>Better</v>
      </c>
      <c r="AO1170" s="1" t="str">
        <f>IF(HR_Data[[#This Row],[PercentSalaryHike]]&lt;=13,"11-13%",IF(HR_Data[[#This Row],[PercentSalaryHike]]&lt;=16,"14-16%",IF(HR_Data[[#This Row],[PercentSalaryHike]]&lt;=19,"17-19%","20-25%")))</f>
        <v>11-13%</v>
      </c>
      <c r="AP1170" s="1">
        <f>IF(HR_Data[[#This Row],[PercentSalaryHike]]&lt;=13,1,IF(HR_Data[[#This Row],[PercentSalaryHike]]&lt;=16,2,IF(HR_Data[[#This Row],[PercentSalaryHike]]&lt;=19,3,4)))</f>
        <v>1</v>
      </c>
      <c r="AQ1170" s="1" t="str">
        <f>IF(HR_Data[[#This Row],[DistanceFromHome]]&lt;=5,"1 to 5",IF(HR_Data[[#This Row],[DistanceFromHome]]&lt;=10,"6 to 10",IF(HR_Data[[#This Row],[DistanceFromHome]]&lt;=20,"11 to 20","21 to 29")))</f>
        <v>1 to 5</v>
      </c>
      <c r="AR1170" s="1">
        <f>IF(HR_Data[[#This Row],[DistanceFromHome]]&lt;=5,1,IF(HR_Data[[#This Row],[DistanceFromHome]]&lt;=10,2,IF(HR_Data[[#This Row],[DistanceFromHome]]&lt;=20,3,4)))</f>
        <v>1</v>
      </c>
      <c r="AS1170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170" s="1">
        <f>IF(HR_Data[[#This Row],[TotalWorkingYears]]&lt;=5,1,IF(HR_Data[[#This Row],[TotalWorkingYears]]&lt;=10,2,IF(HR_Data[[#This Row],[TotalWorkingYears]]&lt;=20,3,4)))</f>
        <v>2</v>
      </c>
    </row>
    <row r="1171" spans="1:46" x14ac:dyDescent="0.25">
      <c r="A1171">
        <v>27</v>
      </c>
      <c r="B1171" t="s">
        <v>36</v>
      </c>
      <c r="C1171" t="s">
        <v>30</v>
      </c>
      <c r="D1171" t="s">
        <v>38</v>
      </c>
      <c r="E1171">
        <v>8</v>
      </c>
      <c r="F1171">
        <v>3</v>
      </c>
      <c r="G1171" t="s">
        <v>44</v>
      </c>
      <c r="H1171">
        <v>1647</v>
      </c>
      <c r="I1171">
        <v>2</v>
      </c>
      <c r="J1171" t="s">
        <v>33</v>
      </c>
      <c r="K1171">
        <v>4</v>
      </c>
      <c r="L1171">
        <v>1</v>
      </c>
      <c r="M1171" t="s">
        <v>40</v>
      </c>
      <c r="N1171">
        <v>3</v>
      </c>
      <c r="O1171" t="s">
        <v>41</v>
      </c>
      <c r="P1171">
        <v>3517</v>
      </c>
      <c r="Q1171">
        <v>7</v>
      </c>
      <c r="R1171" t="s">
        <v>36</v>
      </c>
      <c r="S1171">
        <v>17</v>
      </c>
      <c r="T1171">
        <v>3</v>
      </c>
      <c r="U1171">
        <v>1</v>
      </c>
      <c r="V1171">
        <v>0</v>
      </c>
      <c r="W1171">
        <v>5</v>
      </c>
      <c r="X1171">
        <v>0</v>
      </c>
      <c r="Y1171">
        <v>3</v>
      </c>
      <c r="Z1171">
        <v>3</v>
      </c>
      <c r="AA1171">
        <v>2</v>
      </c>
      <c r="AB1171">
        <v>0</v>
      </c>
      <c r="AC1171">
        <v>2</v>
      </c>
      <c r="AD1171">
        <f>IF(HR_Data[[#This Row],[Attrition]]="Yes",1,0)</f>
        <v>0</v>
      </c>
      <c r="AE1171" t="str">
        <f>IF(HR_Data[[#This Row],[Age]]&lt;=25,"18-25",IF(HR_Data[[#This Row],[Age]]&lt;=35,"26-35",IF(HR_Data[[#This Row],[Age]]&lt;=45,"36-45",IF(HR_Data[[#This Row],[Age]]&lt;=55,"46-55","55+"))))</f>
        <v>26-35</v>
      </c>
      <c r="AF1171">
        <f>IF(HR_Data[[#This Row],[Age]]&lt;=25,1,IF(HR_Data[[#This Row],[Age]]&lt;=35,2,IF(HR_Data[[#This Row],[Age]]&lt;=45,3,IF(HR_Data[[#This Row],[Age]]&lt;=55,4,5))))</f>
        <v>2</v>
      </c>
      <c r="AG1171" s="1" t="str">
        <f>IF(HR_Data[[#This Row],[MonthlyIncome]]&lt;3000,"&lt;3K",IF(HR_Data[[#This Row],[MonthlyIncome]]&lt;6000,"3K-6K",IF(HR_Data[[#This Row],[MonthlyIncome]]&lt;10000,"6K-10K","10K+")))</f>
        <v>3K-6K</v>
      </c>
      <c r="AH1171" s="1">
        <f>IF(HR_Data[[#This Row],[MonthlyIncome]]&lt;3000,1,IF(HR_Data[[#This Row],[MonthlyIncome]]&lt;6000,2,IF(HR_Data[[#This Row],[MonthlyIncome]]&lt;10000,3,4)))</f>
        <v>2</v>
      </c>
      <c r="AI1171" s="1" t="str">
        <f>IF(HR_Data[[#This Row],[YearsAtCompany]]&lt;=2,"0-2 Yrs",IF(HR_Data[[#This Row],[YearsAtCompany]]&lt;=5,"3-5 Yrs",IF(HR_Data[[#This Row],[YearsAtCompany]]&lt;=10,"6-10 Yrs","10+ Yrs")))</f>
        <v>3-5 Yrs</v>
      </c>
      <c r="AJ1171" s="1">
        <f>IF(HR_Data[[#This Row],[YearsAtCompany]]&lt;=2,1,IF(HR_Data[[#This Row],[YearsAtCompany]]&lt;=5,2,IF(HR_Data[[#This Row],[YearsAtCompany]]&lt;=10,3,4)))</f>
        <v>2</v>
      </c>
      <c r="AK1171" s="1" t="str">
        <f>CHOOSE(HR_Data[[#This Row],[Education]],"Below College","College","Bachelor","Master","Doctor")</f>
        <v>Bachelor</v>
      </c>
      <c r="AL1171" s="1" t="str">
        <f>CHOOSE(HR_Data[[#This Row],[JobSatisfaction]],"Low","Medium","High","Very High")</f>
        <v>High</v>
      </c>
      <c r="AM1171" s="1" t="str">
        <f>CHOOSE(HR_Data[[#This Row],[EnvironmentSatisfaction]],"Low","Medium","High","Very High")</f>
        <v>Medium</v>
      </c>
      <c r="AN1171" s="1" t="str">
        <f>CHOOSE(HR_Data[[#This Row],[WorkLifeBalance]],"Bad","Good","Better","Best")</f>
        <v>Better</v>
      </c>
      <c r="AO1171" s="1" t="str">
        <f>IF(HR_Data[[#This Row],[PercentSalaryHike]]&lt;=13,"11-13%",IF(HR_Data[[#This Row],[PercentSalaryHike]]&lt;=16,"14-16%",IF(HR_Data[[#This Row],[PercentSalaryHike]]&lt;=19,"17-19%","20-25%")))</f>
        <v>17-19%</v>
      </c>
      <c r="AP1171" s="1">
        <f>IF(HR_Data[[#This Row],[PercentSalaryHike]]&lt;=13,1,IF(HR_Data[[#This Row],[PercentSalaryHike]]&lt;=16,2,IF(HR_Data[[#This Row],[PercentSalaryHike]]&lt;=19,3,4)))</f>
        <v>3</v>
      </c>
      <c r="AQ1171" s="1" t="str">
        <f>IF(HR_Data[[#This Row],[DistanceFromHome]]&lt;=5,"1 to 5",IF(HR_Data[[#This Row],[DistanceFromHome]]&lt;=10,"6 to 10",IF(HR_Data[[#This Row],[DistanceFromHome]]&lt;=20,"11 to 20","21 to 29")))</f>
        <v>6 to 10</v>
      </c>
      <c r="AR1171" s="1">
        <f>IF(HR_Data[[#This Row],[DistanceFromHome]]&lt;=5,1,IF(HR_Data[[#This Row],[DistanceFromHome]]&lt;=10,2,IF(HR_Data[[#This Row],[DistanceFromHome]]&lt;=20,3,4)))</f>
        <v>2</v>
      </c>
      <c r="AS1171" s="1" t="str">
        <f>IF(HR_Data[[#This Row],[TotalWorkingYears]]&lt;=5,"0-5 Yrs",IF(HR_Data[[#This Row],[TotalWorkingYears]]&lt;=10,"6-10 Yrs",IF(HR_Data[[#This Row],[TotalWorkingYears]]&lt;=20,"11-20 Yrs","20+ Yrs")))</f>
        <v>0-5 Yrs</v>
      </c>
      <c r="AT1171" s="1">
        <f>IF(HR_Data[[#This Row],[TotalWorkingYears]]&lt;=5,1,IF(HR_Data[[#This Row],[TotalWorkingYears]]&lt;=10,2,IF(HR_Data[[#This Row],[TotalWorkingYears]]&lt;=20,3,4)))</f>
        <v>1</v>
      </c>
    </row>
    <row r="1172" spans="1:46" x14ac:dyDescent="0.25">
      <c r="A1172">
        <v>27</v>
      </c>
      <c r="B1172" t="s">
        <v>36</v>
      </c>
      <c r="C1172" t="s">
        <v>37</v>
      </c>
      <c r="D1172" t="s">
        <v>38</v>
      </c>
      <c r="E1172">
        <v>2</v>
      </c>
      <c r="F1172">
        <v>3</v>
      </c>
      <c r="G1172" t="s">
        <v>44</v>
      </c>
      <c r="H1172">
        <v>1648</v>
      </c>
      <c r="I1172">
        <v>4</v>
      </c>
      <c r="J1172" t="s">
        <v>39</v>
      </c>
      <c r="K1172">
        <v>3</v>
      </c>
      <c r="L1172">
        <v>1</v>
      </c>
      <c r="M1172" t="s">
        <v>40</v>
      </c>
      <c r="N1172">
        <v>4</v>
      </c>
      <c r="O1172" t="s">
        <v>35</v>
      </c>
      <c r="P1172">
        <v>2580</v>
      </c>
      <c r="Q1172">
        <v>2</v>
      </c>
      <c r="R1172" t="s">
        <v>36</v>
      </c>
      <c r="S1172">
        <v>13</v>
      </c>
      <c r="T1172">
        <v>3</v>
      </c>
      <c r="U1172">
        <v>3</v>
      </c>
      <c r="V1172">
        <v>0</v>
      </c>
      <c r="W1172">
        <v>6</v>
      </c>
      <c r="X1172">
        <v>0</v>
      </c>
      <c r="Y1172">
        <v>2</v>
      </c>
      <c r="Z1172">
        <v>4</v>
      </c>
      <c r="AA1172">
        <v>2</v>
      </c>
      <c r="AB1172">
        <v>1</v>
      </c>
      <c r="AC1172">
        <v>2</v>
      </c>
      <c r="AD1172">
        <f>IF(HR_Data[[#This Row],[Attrition]]="Yes",1,0)</f>
        <v>0</v>
      </c>
      <c r="AE1172" t="str">
        <f>IF(HR_Data[[#This Row],[Age]]&lt;=25,"18-25",IF(HR_Data[[#This Row],[Age]]&lt;=35,"26-35",IF(HR_Data[[#This Row],[Age]]&lt;=45,"36-45",IF(HR_Data[[#This Row],[Age]]&lt;=55,"46-55","55+"))))</f>
        <v>26-35</v>
      </c>
      <c r="AF1172">
        <f>IF(HR_Data[[#This Row],[Age]]&lt;=25,1,IF(HR_Data[[#This Row],[Age]]&lt;=35,2,IF(HR_Data[[#This Row],[Age]]&lt;=45,3,IF(HR_Data[[#This Row],[Age]]&lt;=55,4,5))))</f>
        <v>2</v>
      </c>
      <c r="AG1172" s="1" t="str">
        <f>IF(HR_Data[[#This Row],[MonthlyIncome]]&lt;3000,"&lt;3K",IF(HR_Data[[#This Row],[MonthlyIncome]]&lt;6000,"3K-6K",IF(HR_Data[[#This Row],[MonthlyIncome]]&lt;10000,"6K-10K","10K+")))</f>
        <v>&lt;3K</v>
      </c>
      <c r="AH1172" s="1">
        <f>IF(HR_Data[[#This Row],[MonthlyIncome]]&lt;3000,1,IF(HR_Data[[#This Row],[MonthlyIncome]]&lt;6000,2,IF(HR_Data[[#This Row],[MonthlyIncome]]&lt;10000,3,4)))</f>
        <v>1</v>
      </c>
      <c r="AI1172" s="1" t="str">
        <f>IF(HR_Data[[#This Row],[YearsAtCompany]]&lt;=2,"0-2 Yrs",IF(HR_Data[[#This Row],[YearsAtCompany]]&lt;=5,"3-5 Yrs",IF(HR_Data[[#This Row],[YearsAtCompany]]&lt;=10,"6-10 Yrs","10+ Yrs")))</f>
        <v>3-5 Yrs</v>
      </c>
      <c r="AJ1172" s="1">
        <f>IF(HR_Data[[#This Row],[YearsAtCompany]]&lt;=2,1,IF(HR_Data[[#This Row],[YearsAtCompany]]&lt;=5,2,IF(HR_Data[[#This Row],[YearsAtCompany]]&lt;=10,3,4)))</f>
        <v>2</v>
      </c>
      <c r="AK1172" s="1" t="str">
        <f>CHOOSE(HR_Data[[#This Row],[Education]],"Below College","College","Bachelor","Master","Doctor")</f>
        <v>Bachelor</v>
      </c>
      <c r="AL1172" s="1" t="str">
        <f>CHOOSE(HR_Data[[#This Row],[JobSatisfaction]],"Low","Medium","High","Very High")</f>
        <v>Very High</v>
      </c>
      <c r="AM1172" s="1" t="str">
        <f>CHOOSE(HR_Data[[#This Row],[EnvironmentSatisfaction]],"Low","Medium","High","Very High")</f>
        <v>Very High</v>
      </c>
      <c r="AN1172" s="1" t="str">
        <f>CHOOSE(HR_Data[[#This Row],[WorkLifeBalance]],"Bad","Good","Better","Best")</f>
        <v>Good</v>
      </c>
      <c r="AO1172" s="1" t="str">
        <f>IF(HR_Data[[#This Row],[PercentSalaryHike]]&lt;=13,"11-13%",IF(HR_Data[[#This Row],[PercentSalaryHike]]&lt;=16,"14-16%",IF(HR_Data[[#This Row],[PercentSalaryHike]]&lt;=19,"17-19%","20-25%")))</f>
        <v>11-13%</v>
      </c>
      <c r="AP1172" s="1">
        <f>IF(HR_Data[[#This Row],[PercentSalaryHike]]&lt;=13,1,IF(HR_Data[[#This Row],[PercentSalaryHike]]&lt;=16,2,IF(HR_Data[[#This Row],[PercentSalaryHike]]&lt;=19,3,4)))</f>
        <v>1</v>
      </c>
      <c r="AQ1172" s="1" t="str">
        <f>IF(HR_Data[[#This Row],[DistanceFromHome]]&lt;=5,"1 to 5",IF(HR_Data[[#This Row],[DistanceFromHome]]&lt;=10,"6 to 10",IF(HR_Data[[#This Row],[DistanceFromHome]]&lt;=20,"11 to 20","21 to 29")))</f>
        <v>1 to 5</v>
      </c>
      <c r="AR1172" s="1">
        <f>IF(HR_Data[[#This Row],[DistanceFromHome]]&lt;=5,1,IF(HR_Data[[#This Row],[DistanceFromHome]]&lt;=10,2,IF(HR_Data[[#This Row],[DistanceFromHome]]&lt;=20,3,4)))</f>
        <v>1</v>
      </c>
      <c r="AS1172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172" s="1">
        <f>IF(HR_Data[[#This Row],[TotalWorkingYears]]&lt;=5,1,IF(HR_Data[[#This Row],[TotalWorkingYears]]&lt;=10,2,IF(HR_Data[[#This Row],[TotalWorkingYears]]&lt;=20,3,4)))</f>
        <v>2</v>
      </c>
    </row>
    <row r="1173" spans="1:46" x14ac:dyDescent="0.25">
      <c r="A1173">
        <v>40</v>
      </c>
      <c r="B1173" t="s">
        <v>29</v>
      </c>
      <c r="C1173" t="s">
        <v>30</v>
      </c>
      <c r="D1173" t="s">
        <v>38</v>
      </c>
      <c r="E1173">
        <v>7</v>
      </c>
      <c r="F1173">
        <v>3</v>
      </c>
      <c r="G1173" t="s">
        <v>32</v>
      </c>
      <c r="H1173">
        <v>1649</v>
      </c>
      <c r="I1173">
        <v>1</v>
      </c>
      <c r="J1173" t="s">
        <v>39</v>
      </c>
      <c r="K1173">
        <v>3</v>
      </c>
      <c r="L1173">
        <v>1</v>
      </c>
      <c r="M1173" t="s">
        <v>43</v>
      </c>
      <c r="N1173">
        <v>1</v>
      </c>
      <c r="O1173" t="s">
        <v>35</v>
      </c>
      <c r="P1173">
        <v>2166</v>
      </c>
      <c r="Q1173">
        <v>3</v>
      </c>
      <c r="R1173" t="s">
        <v>29</v>
      </c>
      <c r="S1173">
        <v>14</v>
      </c>
      <c r="T1173">
        <v>3</v>
      </c>
      <c r="U1173">
        <v>2</v>
      </c>
      <c r="V1173">
        <v>0</v>
      </c>
      <c r="W1173">
        <v>10</v>
      </c>
      <c r="X1173">
        <v>3</v>
      </c>
      <c r="Y1173">
        <v>1</v>
      </c>
      <c r="Z1173">
        <v>4</v>
      </c>
      <c r="AA1173">
        <v>2</v>
      </c>
      <c r="AB1173">
        <v>0</v>
      </c>
      <c r="AC1173">
        <v>3</v>
      </c>
      <c r="AD1173">
        <f>IF(HR_Data[[#This Row],[Attrition]]="Yes",1,0)</f>
        <v>1</v>
      </c>
      <c r="AE1173" t="str">
        <f>IF(HR_Data[[#This Row],[Age]]&lt;=25,"18-25",IF(HR_Data[[#This Row],[Age]]&lt;=35,"26-35",IF(HR_Data[[#This Row],[Age]]&lt;=45,"36-45",IF(HR_Data[[#This Row],[Age]]&lt;=55,"46-55","55+"))))</f>
        <v>36-45</v>
      </c>
      <c r="AF1173">
        <f>IF(HR_Data[[#This Row],[Age]]&lt;=25,1,IF(HR_Data[[#This Row],[Age]]&lt;=35,2,IF(HR_Data[[#This Row],[Age]]&lt;=45,3,IF(HR_Data[[#This Row],[Age]]&lt;=55,4,5))))</f>
        <v>3</v>
      </c>
      <c r="AG1173" s="1" t="str">
        <f>IF(HR_Data[[#This Row],[MonthlyIncome]]&lt;3000,"&lt;3K",IF(HR_Data[[#This Row],[MonthlyIncome]]&lt;6000,"3K-6K",IF(HR_Data[[#This Row],[MonthlyIncome]]&lt;10000,"6K-10K","10K+")))</f>
        <v>&lt;3K</v>
      </c>
      <c r="AH1173" s="1">
        <f>IF(HR_Data[[#This Row],[MonthlyIncome]]&lt;3000,1,IF(HR_Data[[#This Row],[MonthlyIncome]]&lt;6000,2,IF(HR_Data[[#This Row],[MonthlyIncome]]&lt;10000,3,4)))</f>
        <v>1</v>
      </c>
      <c r="AI1173" s="1" t="str">
        <f>IF(HR_Data[[#This Row],[YearsAtCompany]]&lt;=2,"0-2 Yrs",IF(HR_Data[[#This Row],[YearsAtCompany]]&lt;=5,"3-5 Yrs",IF(HR_Data[[#This Row],[YearsAtCompany]]&lt;=10,"6-10 Yrs","10+ Yrs")))</f>
        <v>3-5 Yrs</v>
      </c>
      <c r="AJ1173" s="1">
        <f>IF(HR_Data[[#This Row],[YearsAtCompany]]&lt;=2,1,IF(HR_Data[[#This Row],[YearsAtCompany]]&lt;=5,2,IF(HR_Data[[#This Row],[YearsAtCompany]]&lt;=10,3,4)))</f>
        <v>2</v>
      </c>
      <c r="AK1173" s="1" t="str">
        <f>CHOOSE(HR_Data[[#This Row],[Education]],"Below College","College","Bachelor","Master","Doctor")</f>
        <v>Bachelor</v>
      </c>
      <c r="AL1173" s="1" t="str">
        <f>CHOOSE(HR_Data[[#This Row],[JobSatisfaction]],"Low","Medium","High","Very High")</f>
        <v>Low</v>
      </c>
      <c r="AM1173" s="1" t="str">
        <f>CHOOSE(HR_Data[[#This Row],[EnvironmentSatisfaction]],"Low","Medium","High","Very High")</f>
        <v>Low</v>
      </c>
      <c r="AN1173" s="1" t="str">
        <f>CHOOSE(HR_Data[[#This Row],[WorkLifeBalance]],"Bad","Good","Better","Best")</f>
        <v>Bad</v>
      </c>
      <c r="AO1173" s="1" t="str">
        <f>IF(HR_Data[[#This Row],[PercentSalaryHike]]&lt;=13,"11-13%",IF(HR_Data[[#This Row],[PercentSalaryHike]]&lt;=16,"14-16%",IF(HR_Data[[#This Row],[PercentSalaryHike]]&lt;=19,"17-19%","20-25%")))</f>
        <v>14-16%</v>
      </c>
      <c r="AP1173" s="1">
        <f>IF(HR_Data[[#This Row],[PercentSalaryHike]]&lt;=13,1,IF(HR_Data[[#This Row],[PercentSalaryHike]]&lt;=16,2,IF(HR_Data[[#This Row],[PercentSalaryHike]]&lt;=19,3,4)))</f>
        <v>2</v>
      </c>
      <c r="AQ1173" s="1" t="str">
        <f>IF(HR_Data[[#This Row],[DistanceFromHome]]&lt;=5,"1 to 5",IF(HR_Data[[#This Row],[DistanceFromHome]]&lt;=10,"6 to 10",IF(HR_Data[[#This Row],[DistanceFromHome]]&lt;=20,"11 to 20","21 to 29")))</f>
        <v>6 to 10</v>
      </c>
      <c r="AR1173" s="1">
        <f>IF(HR_Data[[#This Row],[DistanceFromHome]]&lt;=5,1,IF(HR_Data[[#This Row],[DistanceFromHome]]&lt;=10,2,IF(HR_Data[[#This Row],[DistanceFromHome]]&lt;=20,3,4)))</f>
        <v>2</v>
      </c>
      <c r="AS1173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173" s="1">
        <f>IF(HR_Data[[#This Row],[TotalWorkingYears]]&lt;=5,1,IF(HR_Data[[#This Row],[TotalWorkingYears]]&lt;=10,2,IF(HR_Data[[#This Row],[TotalWorkingYears]]&lt;=20,3,4)))</f>
        <v>2</v>
      </c>
    </row>
    <row r="1174" spans="1:46" x14ac:dyDescent="0.25">
      <c r="A1174">
        <v>29</v>
      </c>
      <c r="B1174" t="s">
        <v>36</v>
      </c>
      <c r="C1174" t="s">
        <v>30</v>
      </c>
      <c r="D1174" t="s">
        <v>31</v>
      </c>
      <c r="E1174">
        <v>10</v>
      </c>
      <c r="F1174">
        <v>3</v>
      </c>
      <c r="G1174" t="s">
        <v>44</v>
      </c>
      <c r="H1174">
        <v>1650</v>
      </c>
      <c r="I1174">
        <v>3</v>
      </c>
      <c r="J1174" t="s">
        <v>39</v>
      </c>
      <c r="K1174">
        <v>2</v>
      </c>
      <c r="L1174">
        <v>2</v>
      </c>
      <c r="M1174" t="s">
        <v>34</v>
      </c>
      <c r="N1174">
        <v>3</v>
      </c>
      <c r="O1174" t="s">
        <v>35</v>
      </c>
      <c r="P1174">
        <v>5869</v>
      </c>
      <c r="Q1174">
        <v>9</v>
      </c>
      <c r="R1174" t="s">
        <v>36</v>
      </c>
      <c r="S1174">
        <v>11</v>
      </c>
      <c r="T1174">
        <v>3</v>
      </c>
      <c r="U1174">
        <v>3</v>
      </c>
      <c r="V1174">
        <v>0</v>
      </c>
      <c r="W1174">
        <v>8</v>
      </c>
      <c r="X1174">
        <v>2</v>
      </c>
      <c r="Y1174">
        <v>3</v>
      </c>
      <c r="Z1174">
        <v>5</v>
      </c>
      <c r="AA1174">
        <v>2</v>
      </c>
      <c r="AB1174">
        <v>1</v>
      </c>
      <c r="AC1174">
        <v>4</v>
      </c>
      <c r="AD1174">
        <f>IF(HR_Data[[#This Row],[Attrition]]="Yes",1,0)</f>
        <v>0</v>
      </c>
      <c r="AE1174" t="str">
        <f>IF(HR_Data[[#This Row],[Age]]&lt;=25,"18-25",IF(HR_Data[[#This Row],[Age]]&lt;=35,"26-35",IF(HR_Data[[#This Row],[Age]]&lt;=45,"36-45",IF(HR_Data[[#This Row],[Age]]&lt;=55,"46-55","55+"))))</f>
        <v>26-35</v>
      </c>
      <c r="AF1174">
        <f>IF(HR_Data[[#This Row],[Age]]&lt;=25,1,IF(HR_Data[[#This Row],[Age]]&lt;=35,2,IF(HR_Data[[#This Row],[Age]]&lt;=45,3,IF(HR_Data[[#This Row],[Age]]&lt;=55,4,5))))</f>
        <v>2</v>
      </c>
      <c r="AG1174" s="1" t="str">
        <f>IF(HR_Data[[#This Row],[MonthlyIncome]]&lt;3000,"&lt;3K",IF(HR_Data[[#This Row],[MonthlyIncome]]&lt;6000,"3K-6K",IF(HR_Data[[#This Row],[MonthlyIncome]]&lt;10000,"6K-10K","10K+")))</f>
        <v>3K-6K</v>
      </c>
      <c r="AH1174" s="1">
        <f>IF(HR_Data[[#This Row],[MonthlyIncome]]&lt;3000,1,IF(HR_Data[[#This Row],[MonthlyIncome]]&lt;6000,2,IF(HR_Data[[#This Row],[MonthlyIncome]]&lt;10000,3,4)))</f>
        <v>2</v>
      </c>
      <c r="AI1174" s="1" t="str">
        <f>IF(HR_Data[[#This Row],[YearsAtCompany]]&lt;=2,"0-2 Yrs",IF(HR_Data[[#This Row],[YearsAtCompany]]&lt;=5,"3-5 Yrs",IF(HR_Data[[#This Row],[YearsAtCompany]]&lt;=10,"6-10 Yrs","10+ Yrs")))</f>
        <v>3-5 Yrs</v>
      </c>
      <c r="AJ1174" s="1">
        <f>IF(HR_Data[[#This Row],[YearsAtCompany]]&lt;=2,1,IF(HR_Data[[#This Row],[YearsAtCompany]]&lt;=5,2,IF(HR_Data[[#This Row],[YearsAtCompany]]&lt;=10,3,4)))</f>
        <v>2</v>
      </c>
      <c r="AK1174" s="1" t="str">
        <f>CHOOSE(HR_Data[[#This Row],[Education]],"Below College","College","Bachelor","Master","Doctor")</f>
        <v>Bachelor</v>
      </c>
      <c r="AL1174" s="1" t="str">
        <f>CHOOSE(HR_Data[[#This Row],[JobSatisfaction]],"Low","Medium","High","Very High")</f>
        <v>High</v>
      </c>
      <c r="AM1174" s="1" t="str">
        <f>CHOOSE(HR_Data[[#This Row],[EnvironmentSatisfaction]],"Low","Medium","High","Very High")</f>
        <v>High</v>
      </c>
      <c r="AN1174" s="1" t="str">
        <f>CHOOSE(HR_Data[[#This Row],[WorkLifeBalance]],"Bad","Good","Better","Best")</f>
        <v>Better</v>
      </c>
      <c r="AO1174" s="1" t="str">
        <f>IF(HR_Data[[#This Row],[PercentSalaryHike]]&lt;=13,"11-13%",IF(HR_Data[[#This Row],[PercentSalaryHike]]&lt;=16,"14-16%",IF(HR_Data[[#This Row],[PercentSalaryHike]]&lt;=19,"17-19%","20-25%")))</f>
        <v>11-13%</v>
      </c>
      <c r="AP1174" s="1">
        <f>IF(HR_Data[[#This Row],[PercentSalaryHike]]&lt;=13,1,IF(HR_Data[[#This Row],[PercentSalaryHike]]&lt;=16,2,IF(HR_Data[[#This Row],[PercentSalaryHike]]&lt;=19,3,4)))</f>
        <v>1</v>
      </c>
      <c r="AQ1174" s="1" t="str">
        <f>IF(HR_Data[[#This Row],[DistanceFromHome]]&lt;=5,"1 to 5",IF(HR_Data[[#This Row],[DistanceFromHome]]&lt;=10,"6 to 10",IF(HR_Data[[#This Row],[DistanceFromHome]]&lt;=20,"11 to 20","21 to 29")))</f>
        <v>6 to 10</v>
      </c>
      <c r="AR1174" s="1">
        <f>IF(HR_Data[[#This Row],[DistanceFromHome]]&lt;=5,1,IF(HR_Data[[#This Row],[DistanceFromHome]]&lt;=10,2,IF(HR_Data[[#This Row],[DistanceFromHome]]&lt;=20,3,4)))</f>
        <v>2</v>
      </c>
      <c r="AS1174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174" s="1">
        <f>IF(HR_Data[[#This Row],[TotalWorkingYears]]&lt;=5,1,IF(HR_Data[[#This Row],[TotalWorkingYears]]&lt;=10,2,IF(HR_Data[[#This Row],[TotalWorkingYears]]&lt;=20,3,4)))</f>
        <v>2</v>
      </c>
    </row>
    <row r="1175" spans="1:46" x14ac:dyDescent="0.25">
      <c r="A1175">
        <v>36</v>
      </c>
      <c r="B1175" t="s">
        <v>36</v>
      </c>
      <c r="C1175" t="s">
        <v>30</v>
      </c>
      <c r="D1175" t="s">
        <v>38</v>
      </c>
      <c r="E1175">
        <v>5</v>
      </c>
      <c r="F1175">
        <v>4</v>
      </c>
      <c r="G1175" t="s">
        <v>32</v>
      </c>
      <c r="H1175">
        <v>1651</v>
      </c>
      <c r="I1175">
        <v>2</v>
      </c>
      <c r="J1175" t="s">
        <v>33</v>
      </c>
      <c r="K1175">
        <v>3</v>
      </c>
      <c r="L1175">
        <v>3</v>
      </c>
      <c r="M1175" t="s">
        <v>47</v>
      </c>
      <c r="N1175">
        <v>1</v>
      </c>
      <c r="O1175" t="s">
        <v>41</v>
      </c>
      <c r="P1175">
        <v>8008</v>
      </c>
      <c r="Q1175">
        <v>4</v>
      </c>
      <c r="R1175" t="s">
        <v>36</v>
      </c>
      <c r="S1175">
        <v>12</v>
      </c>
      <c r="T1175">
        <v>3</v>
      </c>
      <c r="U1175">
        <v>3</v>
      </c>
      <c r="V1175">
        <v>2</v>
      </c>
      <c r="W1175">
        <v>9</v>
      </c>
      <c r="X1175">
        <v>6</v>
      </c>
      <c r="Y1175">
        <v>3</v>
      </c>
      <c r="Z1175">
        <v>3</v>
      </c>
      <c r="AA1175">
        <v>2</v>
      </c>
      <c r="AB1175">
        <v>0</v>
      </c>
      <c r="AC1175">
        <v>2</v>
      </c>
      <c r="AD1175">
        <f>IF(HR_Data[[#This Row],[Attrition]]="Yes",1,0)</f>
        <v>0</v>
      </c>
      <c r="AE1175" t="str">
        <f>IF(HR_Data[[#This Row],[Age]]&lt;=25,"18-25",IF(HR_Data[[#This Row],[Age]]&lt;=35,"26-35",IF(HR_Data[[#This Row],[Age]]&lt;=45,"36-45",IF(HR_Data[[#This Row],[Age]]&lt;=55,"46-55","55+"))))</f>
        <v>36-45</v>
      </c>
      <c r="AF1175">
        <f>IF(HR_Data[[#This Row],[Age]]&lt;=25,1,IF(HR_Data[[#This Row],[Age]]&lt;=35,2,IF(HR_Data[[#This Row],[Age]]&lt;=45,3,IF(HR_Data[[#This Row],[Age]]&lt;=55,4,5))))</f>
        <v>3</v>
      </c>
      <c r="AG1175" s="1" t="str">
        <f>IF(HR_Data[[#This Row],[MonthlyIncome]]&lt;3000,"&lt;3K",IF(HR_Data[[#This Row],[MonthlyIncome]]&lt;6000,"3K-6K",IF(HR_Data[[#This Row],[MonthlyIncome]]&lt;10000,"6K-10K","10K+")))</f>
        <v>6K-10K</v>
      </c>
      <c r="AH1175" s="1">
        <f>IF(HR_Data[[#This Row],[MonthlyIncome]]&lt;3000,1,IF(HR_Data[[#This Row],[MonthlyIncome]]&lt;6000,2,IF(HR_Data[[#This Row],[MonthlyIncome]]&lt;10000,3,4)))</f>
        <v>3</v>
      </c>
      <c r="AI1175" s="1" t="str">
        <f>IF(HR_Data[[#This Row],[YearsAtCompany]]&lt;=2,"0-2 Yrs",IF(HR_Data[[#This Row],[YearsAtCompany]]&lt;=5,"3-5 Yrs",IF(HR_Data[[#This Row],[YearsAtCompany]]&lt;=10,"6-10 Yrs","10+ Yrs")))</f>
        <v>3-5 Yrs</v>
      </c>
      <c r="AJ1175" s="1">
        <f>IF(HR_Data[[#This Row],[YearsAtCompany]]&lt;=2,1,IF(HR_Data[[#This Row],[YearsAtCompany]]&lt;=5,2,IF(HR_Data[[#This Row],[YearsAtCompany]]&lt;=10,3,4)))</f>
        <v>2</v>
      </c>
      <c r="AK1175" s="1" t="str">
        <f>CHOOSE(HR_Data[[#This Row],[Education]],"Below College","College","Bachelor","Master","Doctor")</f>
        <v>Master</v>
      </c>
      <c r="AL1175" s="1" t="str">
        <f>CHOOSE(HR_Data[[#This Row],[JobSatisfaction]],"Low","Medium","High","Very High")</f>
        <v>Low</v>
      </c>
      <c r="AM1175" s="1" t="str">
        <f>CHOOSE(HR_Data[[#This Row],[EnvironmentSatisfaction]],"Low","Medium","High","Very High")</f>
        <v>Medium</v>
      </c>
      <c r="AN1175" s="1" t="str">
        <f>CHOOSE(HR_Data[[#This Row],[WorkLifeBalance]],"Bad","Good","Better","Best")</f>
        <v>Better</v>
      </c>
      <c r="AO1175" s="1" t="str">
        <f>IF(HR_Data[[#This Row],[PercentSalaryHike]]&lt;=13,"11-13%",IF(HR_Data[[#This Row],[PercentSalaryHike]]&lt;=16,"14-16%",IF(HR_Data[[#This Row],[PercentSalaryHike]]&lt;=19,"17-19%","20-25%")))</f>
        <v>11-13%</v>
      </c>
      <c r="AP1175" s="1">
        <f>IF(HR_Data[[#This Row],[PercentSalaryHike]]&lt;=13,1,IF(HR_Data[[#This Row],[PercentSalaryHike]]&lt;=16,2,IF(HR_Data[[#This Row],[PercentSalaryHike]]&lt;=19,3,4)))</f>
        <v>1</v>
      </c>
      <c r="AQ1175" s="1" t="str">
        <f>IF(HR_Data[[#This Row],[DistanceFromHome]]&lt;=5,"1 to 5",IF(HR_Data[[#This Row],[DistanceFromHome]]&lt;=10,"6 to 10",IF(HR_Data[[#This Row],[DistanceFromHome]]&lt;=20,"11 to 20","21 to 29")))</f>
        <v>1 to 5</v>
      </c>
      <c r="AR1175" s="1">
        <f>IF(HR_Data[[#This Row],[DistanceFromHome]]&lt;=5,1,IF(HR_Data[[#This Row],[DistanceFromHome]]&lt;=10,2,IF(HR_Data[[#This Row],[DistanceFromHome]]&lt;=20,3,4)))</f>
        <v>1</v>
      </c>
      <c r="AS1175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175" s="1">
        <f>IF(HR_Data[[#This Row],[TotalWorkingYears]]&lt;=5,1,IF(HR_Data[[#This Row],[TotalWorkingYears]]&lt;=10,2,IF(HR_Data[[#This Row],[TotalWorkingYears]]&lt;=20,3,4)))</f>
        <v>2</v>
      </c>
    </row>
    <row r="1176" spans="1:46" x14ac:dyDescent="0.25">
      <c r="A1176">
        <v>25</v>
      </c>
      <c r="B1176" t="s">
        <v>36</v>
      </c>
      <c r="C1176" t="s">
        <v>37</v>
      </c>
      <c r="D1176" t="s">
        <v>38</v>
      </c>
      <c r="E1176">
        <v>2</v>
      </c>
      <c r="F1176">
        <v>1</v>
      </c>
      <c r="G1176" t="s">
        <v>32</v>
      </c>
      <c r="H1176">
        <v>1653</v>
      </c>
      <c r="I1176">
        <v>4</v>
      </c>
      <c r="J1176" t="s">
        <v>39</v>
      </c>
      <c r="K1176">
        <v>4</v>
      </c>
      <c r="L1176">
        <v>2</v>
      </c>
      <c r="M1176" t="s">
        <v>46</v>
      </c>
      <c r="N1176">
        <v>3</v>
      </c>
      <c r="O1176" t="s">
        <v>45</v>
      </c>
      <c r="P1176">
        <v>5206</v>
      </c>
      <c r="Q1176">
        <v>1</v>
      </c>
      <c r="R1176" t="s">
        <v>36</v>
      </c>
      <c r="S1176">
        <v>17</v>
      </c>
      <c r="T1176">
        <v>3</v>
      </c>
      <c r="U1176">
        <v>3</v>
      </c>
      <c r="V1176">
        <v>2</v>
      </c>
      <c r="W1176">
        <v>7</v>
      </c>
      <c r="X1176">
        <v>6</v>
      </c>
      <c r="Y1176">
        <v>3</v>
      </c>
      <c r="Z1176">
        <v>7</v>
      </c>
      <c r="AA1176">
        <v>7</v>
      </c>
      <c r="AB1176">
        <v>0</v>
      </c>
      <c r="AC1176">
        <v>7</v>
      </c>
      <c r="AD1176">
        <f>IF(HR_Data[[#This Row],[Attrition]]="Yes",1,0)</f>
        <v>0</v>
      </c>
      <c r="AE1176" t="str">
        <f>IF(HR_Data[[#This Row],[Age]]&lt;=25,"18-25",IF(HR_Data[[#This Row],[Age]]&lt;=35,"26-35",IF(HR_Data[[#This Row],[Age]]&lt;=45,"36-45",IF(HR_Data[[#This Row],[Age]]&lt;=55,"46-55","55+"))))</f>
        <v>18-25</v>
      </c>
      <c r="AF1176">
        <f>IF(HR_Data[[#This Row],[Age]]&lt;=25,1,IF(HR_Data[[#This Row],[Age]]&lt;=35,2,IF(HR_Data[[#This Row],[Age]]&lt;=45,3,IF(HR_Data[[#This Row],[Age]]&lt;=55,4,5))))</f>
        <v>1</v>
      </c>
      <c r="AG1176" s="1" t="str">
        <f>IF(HR_Data[[#This Row],[MonthlyIncome]]&lt;3000,"&lt;3K",IF(HR_Data[[#This Row],[MonthlyIncome]]&lt;6000,"3K-6K",IF(HR_Data[[#This Row],[MonthlyIncome]]&lt;10000,"6K-10K","10K+")))</f>
        <v>3K-6K</v>
      </c>
      <c r="AH1176" s="1">
        <f>IF(HR_Data[[#This Row],[MonthlyIncome]]&lt;3000,1,IF(HR_Data[[#This Row],[MonthlyIncome]]&lt;6000,2,IF(HR_Data[[#This Row],[MonthlyIncome]]&lt;10000,3,4)))</f>
        <v>2</v>
      </c>
      <c r="AI1176" s="1" t="str">
        <f>IF(HR_Data[[#This Row],[YearsAtCompany]]&lt;=2,"0-2 Yrs",IF(HR_Data[[#This Row],[YearsAtCompany]]&lt;=5,"3-5 Yrs",IF(HR_Data[[#This Row],[YearsAtCompany]]&lt;=10,"6-10 Yrs","10+ Yrs")))</f>
        <v>6-10 Yrs</v>
      </c>
      <c r="AJ1176" s="1">
        <f>IF(HR_Data[[#This Row],[YearsAtCompany]]&lt;=2,1,IF(HR_Data[[#This Row],[YearsAtCompany]]&lt;=5,2,IF(HR_Data[[#This Row],[YearsAtCompany]]&lt;=10,3,4)))</f>
        <v>3</v>
      </c>
      <c r="AK1176" s="1" t="str">
        <f>CHOOSE(HR_Data[[#This Row],[Education]],"Below College","College","Bachelor","Master","Doctor")</f>
        <v>Below College</v>
      </c>
      <c r="AL1176" s="1" t="str">
        <f>CHOOSE(HR_Data[[#This Row],[JobSatisfaction]],"Low","Medium","High","Very High")</f>
        <v>High</v>
      </c>
      <c r="AM1176" s="1" t="str">
        <f>CHOOSE(HR_Data[[#This Row],[EnvironmentSatisfaction]],"Low","Medium","High","Very High")</f>
        <v>Very High</v>
      </c>
      <c r="AN1176" s="1" t="str">
        <f>CHOOSE(HR_Data[[#This Row],[WorkLifeBalance]],"Bad","Good","Better","Best")</f>
        <v>Better</v>
      </c>
      <c r="AO1176" s="1" t="str">
        <f>IF(HR_Data[[#This Row],[PercentSalaryHike]]&lt;=13,"11-13%",IF(HR_Data[[#This Row],[PercentSalaryHike]]&lt;=16,"14-16%",IF(HR_Data[[#This Row],[PercentSalaryHike]]&lt;=19,"17-19%","20-25%")))</f>
        <v>17-19%</v>
      </c>
      <c r="AP1176" s="1">
        <f>IF(HR_Data[[#This Row],[PercentSalaryHike]]&lt;=13,1,IF(HR_Data[[#This Row],[PercentSalaryHike]]&lt;=16,2,IF(HR_Data[[#This Row],[PercentSalaryHike]]&lt;=19,3,4)))</f>
        <v>3</v>
      </c>
      <c r="AQ1176" s="1" t="str">
        <f>IF(HR_Data[[#This Row],[DistanceFromHome]]&lt;=5,"1 to 5",IF(HR_Data[[#This Row],[DistanceFromHome]]&lt;=10,"6 to 10",IF(HR_Data[[#This Row],[DistanceFromHome]]&lt;=20,"11 to 20","21 to 29")))</f>
        <v>1 to 5</v>
      </c>
      <c r="AR1176" s="1">
        <f>IF(HR_Data[[#This Row],[DistanceFromHome]]&lt;=5,1,IF(HR_Data[[#This Row],[DistanceFromHome]]&lt;=10,2,IF(HR_Data[[#This Row],[DistanceFromHome]]&lt;=20,3,4)))</f>
        <v>1</v>
      </c>
      <c r="AS1176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176" s="1">
        <f>IF(HR_Data[[#This Row],[TotalWorkingYears]]&lt;=5,1,IF(HR_Data[[#This Row],[TotalWorkingYears]]&lt;=10,2,IF(HR_Data[[#This Row],[TotalWorkingYears]]&lt;=20,3,4)))</f>
        <v>2</v>
      </c>
    </row>
    <row r="1177" spans="1:46" x14ac:dyDescent="0.25">
      <c r="A1177">
        <v>39</v>
      </c>
      <c r="B1177" t="s">
        <v>36</v>
      </c>
      <c r="C1177" t="s">
        <v>30</v>
      </c>
      <c r="D1177" t="s">
        <v>38</v>
      </c>
      <c r="E1177">
        <v>12</v>
      </c>
      <c r="F1177">
        <v>3</v>
      </c>
      <c r="G1177" t="s">
        <v>44</v>
      </c>
      <c r="H1177">
        <v>1654</v>
      </c>
      <c r="I1177">
        <v>4</v>
      </c>
      <c r="J1177" t="s">
        <v>39</v>
      </c>
      <c r="K1177">
        <v>3</v>
      </c>
      <c r="L1177">
        <v>2</v>
      </c>
      <c r="M1177" t="s">
        <v>46</v>
      </c>
      <c r="N1177">
        <v>2</v>
      </c>
      <c r="O1177" t="s">
        <v>41</v>
      </c>
      <c r="P1177">
        <v>5295</v>
      </c>
      <c r="Q1177">
        <v>4</v>
      </c>
      <c r="R1177" t="s">
        <v>36</v>
      </c>
      <c r="S1177">
        <v>21</v>
      </c>
      <c r="T1177">
        <v>4</v>
      </c>
      <c r="U1177">
        <v>3</v>
      </c>
      <c r="V1177">
        <v>0</v>
      </c>
      <c r="W1177">
        <v>7</v>
      </c>
      <c r="X1177">
        <v>3</v>
      </c>
      <c r="Y1177">
        <v>3</v>
      </c>
      <c r="Z1177">
        <v>5</v>
      </c>
      <c r="AA1177">
        <v>4</v>
      </c>
      <c r="AB1177">
        <v>1</v>
      </c>
      <c r="AC1177">
        <v>0</v>
      </c>
      <c r="AD1177">
        <f>IF(HR_Data[[#This Row],[Attrition]]="Yes",1,0)</f>
        <v>0</v>
      </c>
      <c r="AE1177" t="str">
        <f>IF(HR_Data[[#This Row],[Age]]&lt;=25,"18-25",IF(HR_Data[[#This Row],[Age]]&lt;=35,"26-35",IF(HR_Data[[#This Row],[Age]]&lt;=45,"36-45",IF(HR_Data[[#This Row],[Age]]&lt;=55,"46-55","55+"))))</f>
        <v>36-45</v>
      </c>
      <c r="AF1177">
        <f>IF(HR_Data[[#This Row],[Age]]&lt;=25,1,IF(HR_Data[[#This Row],[Age]]&lt;=35,2,IF(HR_Data[[#This Row],[Age]]&lt;=45,3,IF(HR_Data[[#This Row],[Age]]&lt;=55,4,5))))</f>
        <v>3</v>
      </c>
      <c r="AG1177" s="1" t="str">
        <f>IF(HR_Data[[#This Row],[MonthlyIncome]]&lt;3000,"&lt;3K",IF(HR_Data[[#This Row],[MonthlyIncome]]&lt;6000,"3K-6K",IF(HR_Data[[#This Row],[MonthlyIncome]]&lt;10000,"6K-10K","10K+")))</f>
        <v>3K-6K</v>
      </c>
      <c r="AH1177" s="1">
        <f>IF(HR_Data[[#This Row],[MonthlyIncome]]&lt;3000,1,IF(HR_Data[[#This Row],[MonthlyIncome]]&lt;6000,2,IF(HR_Data[[#This Row],[MonthlyIncome]]&lt;10000,3,4)))</f>
        <v>2</v>
      </c>
      <c r="AI1177" s="1" t="str">
        <f>IF(HR_Data[[#This Row],[YearsAtCompany]]&lt;=2,"0-2 Yrs",IF(HR_Data[[#This Row],[YearsAtCompany]]&lt;=5,"3-5 Yrs",IF(HR_Data[[#This Row],[YearsAtCompany]]&lt;=10,"6-10 Yrs","10+ Yrs")))</f>
        <v>3-5 Yrs</v>
      </c>
      <c r="AJ1177" s="1">
        <f>IF(HR_Data[[#This Row],[YearsAtCompany]]&lt;=2,1,IF(HR_Data[[#This Row],[YearsAtCompany]]&lt;=5,2,IF(HR_Data[[#This Row],[YearsAtCompany]]&lt;=10,3,4)))</f>
        <v>2</v>
      </c>
      <c r="AK1177" s="1" t="str">
        <f>CHOOSE(HR_Data[[#This Row],[Education]],"Below College","College","Bachelor","Master","Doctor")</f>
        <v>Bachelor</v>
      </c>
      <c r="AL1177" s="1" t="str">
        <f>CHOOSE(HR_Data[[#This Row],[JobSatisfaction]],"Low","Medium","High","Very High")</f>
        <v>Medium</v>
      </c>
      <c r="AM1177" s="1" t="str">
        <f>CHOOSE(HR_Data[[#This Row],[EnvironmentSatisfaction]],"Low","Medium","High","Very High")</f>
        <v>Very High</v>
      </c>
      <c r="AN1177" s="1" t="str">
        <f>CHOOSE(HR_Data[[#This Row],[WorkLifeBalance]],"Bad","Good","Better","Best")</f>
        <v>Better</v>
      </c>
      <c r="AO1177" s="1" t="str">
        <f>IF(HR_Data[[#This Row],[PercentSalaryHike]]&lt;=13,"11-13%",IF(HR_Data[[#This Row],[PercentSalaryHike]]&lt;=16,"14-16%",IF(HR_Data[[#This Row],[PercentSalaryHike]]&lt;=19,"17-19%","20-25%")))</f>
        <v>20-25%</v>
      </c>
      <c r="AP1177" s="1">
        <f>IF(HR_Data[[#This Row],[PercentSalaryHike]]&lt;=13,1,IF(HR_Data[[#This Row],[PercentSalaryHike]]&lt;=16,2,IF(HR_Data[[#This Row],[PercentSalaryHike]]&lt;=19,3,4)))</f>
        <v>4</v>
      </c>
      <c r="AQ1177" s="1" t="str">
        <f>IF(HR_Data[[#This Row],[DistanceFromHome]]&lt;=5,"1 to 5",IF(HR_Data[[#This Row],[DistanceFromHome]]&lt;=10,"6 to 10",IF(HR_Data[[#This Row],[DistanceFromHome]]&lt;=20,"11 to 20","21 to 29")))</f>
        <v>11 to 20</v>
      </c>
      <c r="AR1177" s="1">
        <f>IF(HR_Data[[#This Row],[DistanceFromHome]]&lt;=5,1,IF(HR_Data[[#This Row],[DistanceFromHome]]&lt;=10,2,IF(HR_Data[[#This Row],[DistanceFromHome]]&lt;=20,3,4)))</f>
        <v>3</v>
      </c>
      <c r="AS1177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177" s="1">
        <f>IF(HR_Data[[#This Row],[TotalWorkingYears]]&lt;=5,1,IF(HR_Data[[#This Row],[TotalWorkingYears]]&lt;=10,2,IF(HR_Data[[#This Row],[TotalWorkingYears]]&lt;=20,3,4)))</f>
        <v>2</v>
      </c>
    </row>
    <row r="1178" spans="1:46" x14ac:dyDescent="0.25">
      <c r="A1178">
        <v>49</v>
      </c>
      <c r="B1178" t="s">
        <v>36</v>
      </c>
      <c r="C1178" t="s">
        <v>30</v>
      </c>
      <c r="D1178" t="s">
        <v>38</v>
      </c>
      <c r="E1178">
        <v>22</v>
      </c>
      <c r="F1178">
        <v>4</v>
      </c>
      <c r="G1178" t="s">
        <v>42</v>
      </c>
      <c r="H1178">
        <v>1655</v>
      </c>
      <c r="I1178">
        <v>1</v>
      </c>
      <c r="J1178" t="s">
        <v>33</v>
      </c>
      <c r="K1178">
        <v>3</v>
      </c>
      <c r="L1178">
        <v>4</v>
      </c>
      <c r="M1178" t="s">
        <v>51</v>
      </c>
      <c r="N1178">
        <v>2</v>
      </c>
      <c r="O1178" t="s">
        <v>41</v>
      </c>
      <c r="P1178">
        <v>16413</v>
      </c>
      <c r="Q1178">
        <v>3</v>
      </c>
      <c r="R1178" t="s">
        <v>36</v>
      </c>
      <c r="S1178">
        <v>16</v>
      </c>
      <c r="T1178">
        <v>3</v>
      </c>
      <c r="U1178">
        <v>2</v>
      </c>
      <c r="V1178">
        <v>2</v>
      </c>
      <c r="W1178">
        <v>27</v>
      </c>
      <c r="X1178">
        <v>2</v>
      </c>
      <c r="Y1178">
        <v>3</v>
      </c>
      <c r="Z1178">
        <v>4</v>
      </c>
      <c r="AA1178">
        <v>2</v>
      </c>
      <c r="AB1178">
        <v>1</v>
      </c>
      <c r="AC1178">
        <v>2</v>
      </c>
      <c r="AD1178">
        <f>IF(HR_Data[[#This Row],[Attrition]]="Yes",1,0)</f>
        <v>0</v>
      </c>
      <c r="AE1178" t="str">
        <f>IF(HR_Data[[#This Row],[Age]]&lt;=25,"18-25",IF(HR_Data[[#This Row],[Age]]&lt;=35,"26-35",IF(HR_Data[[#This Row],[Age]]&lt;=45,"36-45",IF(HR_Data[[#This Row],[Age]]&lt;=55,"46-55","55+"))))</f>
        <v>46-55</v>
      </c>
      <c r="AF1178">
        <f>IF(HR_Data[[#This Row],[Age]]&lt;=25,1,IF(HR_Data[[#This Row],[Age]]&lt;=35,2,IF(HR_Data[[#This Row],[Age]]&lt;=45,3,IF(HR_Data[[#This Row],[Age]]&lt;=55,4,5))))</f>
        <v>4</v>
      </c>
      <c r="AG1178" s="1" t="str">
        <f>IF(HR_Data[[#This Row],[MonthlyIncome]]&lt;3000,"&lt;3K",IF(HR_Data[[#This Row],[MonthlyIncome]]&lt;6000,"3K-6K",IF(HR_Data[[#This Row],[MonthlyIncome]]&lt;10000,"6K-10K","10K+")))</f>
        <v>10K+</v>
      </c>
      <c r="AH1178" s="1">
        <f>IF(HR_Data[[#This Row],[MonthlyIncome]]&lt;3000,1,IF(HR_Data[[#This Row],[MonthlyIncome]]&lt;6000,2,IF(HR_Data[[#This Row],[MonthlyIncome]]&lt;10000,3,4)))</f>
        <v>4</v>
      </c>
      <c r="AI1178" s="1" t="str">
        <f>IF(HR_Data[[#This Row],[YearsAtCompany]]&lt;=2,"0-2 Yrs",IF(HR_Data[[#This Row],[YearsAtCompany]]&lt;=5,"3-5 Yrs",IF(HR_Data[[#This Row],[YearsAtCompany]]&lt;=10,"6-10 Yrs","10+ Yrs")))</f>
        <v>3-5 Yrs</v>
      </c>
      <c r="AJ1178" s="1">
        <f>IF(HR_Data[[#This Row],[YearsAtCompany]]&lt;=2,1,IF(HR_Data[[#This Row],[YearsAtCompany]]&lt;=5,2,IF(HR_Data[[#This Row],[YearsAtCompany]]&lt;=10,3,4)))</f>
        <v>2</v>
      </c>
      <c r="AK1178" s="1" t="str">
        <f>CHOOSE(HR_Data[[#This Row],[Education]],"Below College","College","Bachelor","Master","Doctor")</f>
        <v>Master</v>
      </c>
      <c r="AL1178" s="1" t="str">
        <f>CHOOSE(HR_Data[[#This Row],[JobSatisfaction]],"Low","Medium","High","Very High")</f>
        <v>Medium</v>
      </c>
      <c r="AM1178" s="1" t="str">
        <f>CHOOSE(HR_Data[[#This Row],[EnvironmentSatisfaction]],"Low","Medium","High","Very High")</f>
        <v>Low</v>
      </c>
      <c r="AN1178" s="1" t="str">
        <f>CHOOSE(HR_Data[[#This Row],[WorkLifeBalance]],"Bad","Good","Better","Best")</f>
        <v>Better</v>
      </c>
      <c r="AO1178" s="1" t="str">
        <f>IF(HR_Data[[#This Row],[PercentSalaryHike]]&lt;=13,"11-13%",IF(HR_Data[[#This Row],[PercentSalaryHike]]&lt;=16,"14-16%",IF(HR_Data[[#This Row],[PercentSalaryHike]]&lt;=19,"17-19%","20-25%")))</f>
        <v>14-16%</v>
      </c>
      <c r="AP1178" s="1">
        <f>IF(HR_Data[[#This Row],[PercentSalaryHike]]&lt;=13,1,IF(HR_Data[[#This Row],[PercentSalaryHike]]&lt;=16,2,IF(HR_Data[[#This Row],[PercentSalaryHike]]&lt;=19,3,4)))</f>
        <v>2</v>
      </c>
      <c r="AQ1178" s="1" t="str">
        <f>IF(HR_Data[[#This Row],[DistanceFromHome]]&lt;=5,"1 to 5",IF(HR_Data[[#This Row],[DistanceFromHome]]&lt;=10,"6 to 10",IF(HR_Data[[#This Row],[DistanceFromHome]]&lt;=20,"11 to 20","21 to 29")))</f>
        <v>21 to 29</v>
      </c>
      <c r="AR1178" s="1">
        <f>IF(HR_Data[[#This Row],[DistanceFromHome]]&lt;=5,1,IF(HR_Data[[#This Row],[DistanceFromHome]]&lt;=10,2,IF(HR_Data[[#This Row],[DistanceFromHome]]&lt;=20,3,4)))</f>
        <v>4</v>
      </c>
      <c r="AS1178" s="1" t="str">
        <f>IF(HR_Data[[#This Row],[TotalWorkingYears]]&lt;=5,"0-5 Yrs",IF(HR_Data[[#This Row],[TotalWorkingYears]]&lt;=10,"6-10 Yrs",IF(HR_Data[[#This Row],[TotalWorkingYears]]&lt;=20,"11-20 Yrs","20+ Yrs")))</f>
        <v>20+ Yrs</v>
      </c>
      <c r="AT1178" s="1">
        <f>IF(HR_Data[[#This Row],[TotalWorkingYears]]&lt;=5,1,IF(HR_Data[[#This Row],[TotalWorkingYears]]&lt;=10,2,IF(HR_Data[[#This Row],[TotalWorkingYears]]&lt;=20,3,4)))</f>
        <v>4</v>
      </c>
    </row>
    <row r="1179" spans="1:46" x14ac:dyDescent="0.25">
      <c r="A1179">
        <v>50</v>
      </c>
      <c r="B1179" t="s">
        <v>36</v>
      </c>
      <c r="C1179" t="s">
        <v>30</v>
      </c>
      <c r="D1179" t="s">
        <v>38</v>
      </c>
      <c r="E1179">
        <v>17</v>
      </c>
      <c r="F1179">
        <v>5</v>
      </c>
      <c r="G1179" t="s">
        <v>32</v>
      </c>
      <c r="H1179">
        <v>1656</v>
      </c>
      <c r="I1179">
        <v>4</v>
      </c>
      <c r="J1179" t="s">
        <v>33</v>
      </c>
      <c r="K1179">
        <v>2</v>
      </c>
      <c r="L1179">
        <v>3</v>
      </c>
      <c r="M1179" t="s">
        <v>51</v>
      </c>
      <c r="N1179">
        <v>1</v>
      </c>
      <c r="O1179" t="s">
        <v>45</v>
      </c>
      <c r="P1179">
        <v>13269</v>
      </c>
      <c r="Q1179">
        <v>5</v>
      </c>
      <c r="R1179" t="s">
        <v>36</v>
      </c>
      <c r="S1179">
        <v>15</v>
      </c>
      <c r="T1179">
        <v>3</v>
      </c>
      <c r="U1179">
        <v>3</v>
      </c>
      <c r="V1179">
        <v>3</v>
      </c>
      <c r="W1179">
        <v>19</v>
      </c>
      <c r="X1179">
        <v>3</v>
      </c>
      <c r="Y1179">
        <v>3</v>
      </c>
      <c r="Z1179">
        <v>14</v>
      </c>
      <c r="AA1179">
        <v>11</v>
      </c>
      <c r="AB1179">
        <v>1</v>
      </c>
      <c r="AC1179">
        <v>11</v>
      </c>
      <c r="AD1179">
        <f>IF(HR_Data[[#This Row],[Attrition]]="Yes",1,0)</f>
        <v>0</v>
      </c>
      <c r="AE1179" t="str">
        <f>IF(HR_Data[[#This Row],[Age]]&lt;=25,"18-25",IF(HR_Data[[#This Row],[Age]]&lt;=35,"26-35",IF(HR_Data[[#This Row],[Age]]&lt;=45,"36-45",IF(HR_Data[[#This Row],[Age]]&lt;=55,"46-55","55+"))))</f>
        <v>46-55</v>
      </c>
      <c r="AF1179">
        <f>IF(HR_Data[[#This Row],[Age]]&lt;=25,1,IF(HR_Data[[#This Row],[Age]]&lt;=35,2,IF(HR_Data[[#This Row],[Age]]&lt;=45,3,IF(HR_Data[[#This Row],[Age]]&lt;=55,4,5))))</f>
        <v>4</v>
      </c>
      <c r="AG1179" s="1" t="str">
        <f>IF(HR_Data[[#This Row],[MonthlyIncome]]&lt;3000,"&lt;3K",IF(HR_Data[[#This Row],[MonthlyIncome]]&lt;6000,"3K-6K",IF(HR_Data[[#This Row],[MonthlyIncome]]&lt;10000,"6K-10K","10K+")))</f>
        <v>10K+</v>
      </c>
      <c r="AH1179" s="1">
        <f>IF(HR_Data[[#This Row],[MonthlyIncome]]&lt;3000,1,IF(HR_Data[[#This Row],[MonthlyIncome]]&lt;6000,2,IF(HR_Data[[#This Row],[MonthlyIncome]]&lt;10000,3,4)))</f>
        <v>4</v>
      </c>
      <c r="AI1179" s="1" t="str">
        <f>IF(HR_Data[[#This Row],[YearsAtCompany]]&lt;=2,"0-2 Yrs",IF(HR_Data[[#This Row],[YearsAtCompany]]&lt;=5,"3-5 Yrs",IF(HR_Data[[#This Row],[YearsAtCompany]]&lt;=10,"6-10 Yrs","10+ Yrs")))</f>
        <v>10+ Yrs</v>
      </c>
      <c r="AJ1179" s="1">
        <f>IF(HR_Data[[#This Row],[YearsAtCompany]]&lt;=2,1,IF(HR_Data[[#This Row],[YearsAtCompany]]&lt;=5,2,IF(HR_Data[[#This Row],[YearsAtCompany]]&lt;=10,3,4)))</f>
        <v>4</v>
      </c>
      <c r="AK1179" s="1" t="str">
        <f>CHOOSE(HR_Data[[#This Row],[Education]],"Below College","College","Bachelor","Master","Doctor")</f>
        <v>Doctor</v>
      </c>
      <c r="AL1179" s="1" t="str">
        <f>CHOOSE(HR_Data[[#This Row],[JobSatisfaction]],"Low","Medium","High","Very High")</f>
        <v>Low</v>
      </c>
      <c r="AM1179" s="1" t="str">
        <f>CHOOSE(HR_Data[[#This Row],[EnvironmentSatisfaction]],"Low","Medium","High","Very High")</f>
        <v>Very High</v>
      </c>
      <c r="AN1179" s="1" t="str">
        <f>CHOOSE(HR_Data[[#This Row],[WorkLifeBalance]],"Bad","Good","Better","Best")</f>
        <v>Better</v>
      </c>
      <c r="AO1179" s="1" t="str">
        <f>IF(HR_Data[[#This Row],[PercentSalaryHike]]&lt;=13,"11-13%",IF(HR_Data[[#This Row],[PercentSalaryHike]]&lt;=16,"14-16%",IF(HR_Data[[#This Row],[PercentSalaryHike]]&lt;=19,"17-19%","20-25%")))</f>
        <v>14-16%</v>
      </c>
      <c r="AP1179" s="1">
        <f>IF(HR_Data[[#This Row],[PercentSalaryHike]]&lt;=13,1,IF(HR_Data[[#This Row],[PercentSalaryHike]]&lt;=16,2,IF(HR_Data[[#This Row],[PercentSalaryHike]]&lt;=19,3,4)))</f>
        <v>2</v>
      </c>
      <c r="AQ1179" s="1" t="str">
        <f>IF(HR_Data[[#This Row],[DistanceFromHome]]&lt;=5,"1 to 5",IF(HR_Data[[#This Row],[DistanceFromHome]]&lt;=10,"6 to 10",IF(HR_Data[[#This Row],[DistanceFromHome]]&lt;=20,"11 to 20","21 to 29")))</f>
        <v>11 to 20</v>
      </c>
      <c r="AR1179" s="1">
        <f>IF(HR_Data[[#This Row],[DistanceFromHome]]&lt;=5,1,IF(HR_Data[[#This Row],[DistanceFromHome]]&lt;=10,2,IF(HR_Data[[#This Row],[DistanceFromHome]]&lt;=20,3,4)))</f>
        <v>3</v>
      </c>
      <c r="AS1179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179" s="1">
        <f>IF(HR_Data[[#This Row],[TotalWorkingYears]]&lt;=5,1,IF(HR_Data[[#This Row],[TotalWorkingYears]]&lt;=10,2,IF(HR_Data[[#This Row],[TotalWorkingYears]]&lt;=20,3,4)))</f>
        <v>3</v>
      </c>
    </row>
    <row r="1180" spans="1:46" x14ac:dyDescent="0.25">
      <c r="A1180">
        <v>20</v>
      </c>
      <c r="B1180" t="s">
        <v>36</v>
      </c>
      <c r="C1180" t="s">
        <v>30</v>
      </c>
      <c r="D1180" t="s">
        <v>31</v>
      </c>
      <c r="E1180">
        <v>2</v>
      </c>
      <c r="F1180">
        <v>3</v>
      </c>
      <c r="G1180" t="s">
        <v>44</v>
      </c>
      <c r="H1180">
        <v>1657</v>
      </c>
      <c r="I1180">
        <v>3</v>
      </c>
      <c r="J1180" t="s">
        <v>33</v>
      </c>
      <c r="K1180">
        <v>3</v>
      </c>
      <c r="L1180">
        <v>1</v>
      </c>
      <c r="M1180" t="s">
        <v>50</v>
      </c>
      <c r="N1180">
        <v>3</v>
      </c>
      <c r="O1180" t="s">
        <v>35</v>
      </c>
      <c r="P1180">
        <v>2783</v>
      </c>
      <c r="Q1180">
        <v>1</v>
      </c>
      <c r="R1180" t="s">
        <v>36</v>
      </c>
      <c r="S1180">
        <v>19</v>
      </c>
      <c r="T1180">
        <v>3</v>
      </c>
      <c r="U1180">
        <v>1</v>
      </c>
      <c r="V1180">
        <v>0</v>
      </c>
      <c r="W1180">
        <v>2</v>
      </c>
      <c r="X1180">
        <v>3</v>
      </c>
      <c r="Y1180">
        <v>3</v>
      </c>
      <c r="Z1180">
        <v>2</v>
      </c>
      <c r="AA1180">
        <v>2</v>
      </c>
      <c r="AB1180">
        <v>2</v>
      </c>
      <c r="AC1180">
        <v>2</v>
      </c>
      <c r="AD1180">
        <f>IF(HR_Data[[#This Row],[Attrition]]="Yes",1,0)</f>
        <v>0</v>
      </c>
      <c r="AE1180" t="str">
        <f>IF(HR_Data[[#This Row],[Age]]&lt;=25,"18-25",IF(HR_Data[[#This Row],[Age]]&lt;=35,"26-35",IF(HR_Data[[#This Row],[Age]]&lt;=45,"36-45",IF(HR_Data[[#This Row],[Age]]&lt;=55,"46-55","55+"))))</f>
        <v>18-25</v>
      </c>
      <c r="AF1180">
        <f>IF(HR_Data[[#This Row],[Age]]&lt;=25,1,IF(HR_Data[[#This Row],[Age]]&lt;=35,2,IF(HR_Data[[#This Row],[Age]]&lt;=45,3,IF(HR_Data[[#This Row],[Age]]&lt;=55,4,5))))</f>
        <v>1</v>
      </c>
      <c r="AG1180" s="1" t="str">
        <f>IF(HR_Data[[#This Row],[MonthlyIncome]]&lt;3000,"&lt;3K",IF(HR_Data[[#This Row],[MonthlyIncome]]&lt;6000,"3K-6K",IF(HR_Data[[#This Row],[MonthlyIncome]]&lt;10000,"6K-10K","10K+")))</f>
        <v>&lt;3K</v>
      </c>
      <c r="AH1180" s="1">
        <f>IF(HR_Data[[#This Row],[MonthlyIncome]]&lt;3000,1,IF(HR_Data[[#This Row],[MonthlyIncome]]&lt;6000,2,IF(HR_Data[[#This Row],[MonthlyIncome]]&lt;10000,3,4)))</f>
        <v>1</v>
      </c>
      <c r="AI1180" s="1" t="str">
        <f>IF(HR_Data[[#This Row],[YearsAtCompany]]&lt;=2,"0-2 Yrs",IF(HR_Data[[#This Row],[YearsAtCompany]]&lt;=5,"3-5 Yrs",IF(HR_Data[[#This Row],[YearsAtCompany]]&lt;=10,"6-10 Yrs","10+ Yrs")))</f>
        <v>0-2 Yrs</v>
      </c>
      <c r="AJ1180" s="1">
        <f>IF(HR_Data[[#This Row],[YearsAtCompany]]&lt;=2,1,IF(HR_Data[[#This Row],[YearsAtCompany]]&lt;=5,2,IF(HR_Data[[#This Row],[YearsAtCompany]]&lt;=10,3,4)))</f>
        <v>1</v>
      </c>
      <c r="AK1180" s="1" t="str">
        <f>CHOOSE(HR_Data[[#This Row],[Education]],"Below College","College","Bachelor","Master","Doctor")</f>
        <v>Bachelor</v>
      </c>
      <c r="AL1180" s="1" t="str">
        <f>CHOOSE(HR_Data[[#This Row],[JobSatisfaction]],"Low","Medium","High","Very High")</f>
        <v>High</v>
      </c>
      <c r="AM1180" s="1" t="str">
        <f>CHOOSE(HR_Data[[#This Row],[EnvironmentSatisfaction]],"Low","Medium","High","Very High")</f>
        <v>High</v>
      </c>
      <c r="AN1180" s="1" t="str">
        <f>CHOOSE(HR_Data[[#This Row],[WorkLifeBalance]],"Bad","Good","Better","Best")</f>
        <v>Better</v>
      </c>
      <c r="AO1180" s="1" t="str">
        <f>IF(HR_Data[[#This Row],[PercentSalaryHike]]&lt;=13,"11-13%",IF(HR_Data[[#This Row],[PercentSalaryHike]]&lt;=16,"14-16%",IF(HR_Data[[#This Row],[PercentSalaryHike]]&lt;=19,"17-19%","20-25%")))</f>
        <v>17-19%</v>
      </c>
      <c r="AP1180" s="1">
        <f>IF(HR_Data[[#This Row],[PercentSalaryHike]]&lt;=13,1,IF(HR_Data[[#This Row],[PercentSalaryHike]]&lt;=16,2,IF(HR_Data[[#This Row],[PercentSalaryHike]]&lt;=19,3,4)))</f>
        <v>3</v>
      </c>
      <c r="AQ1180" s="1" t="str">
        <f>IF(HR_Data[[#This Row],[DistanceFromHome]]&lt;=5,"1 to 5",IF(HR_Data[[#This Row],[DistanceFromHome]]&lt;=10,"6 to 10",IF(HR_Data[[#This Row],[DistanceFromHome]]&lt;=20,"11 to 20","21 to 29")))</f>
        <v>1 to 5</v>
      </c>
      <c r="AR1180" s="1">
        <f>IF(HR_Data[[#This Row],[DistanceFromHome]]&lt;=5,1,IF(HR_Data[[#This Row],[DistanceFromHome]]&lt;=10,2,IF(HR_Data[[#This Row],[DistanceFromHome]]&lt;=20,3,4)))</f>
        <v>1</v>
      </c>
      <c r="AS1180" s="1" t="str">
        <f>IF(HR_Data[[#This Row],[TotalWorkingYears]]&lt;=5,"0-5 Yrs",IF(HR_Data[[#This Row],[TotalWorkingYears]]&lt;=10,"6-10 Yrs",IF(HR_Data[[#This Row],[TotalWorkingYears]]&lt;=20,"11-20 Yrs","20+ Yrs")))</f>
        <v>0-5 Yrs</v>
      </c>
      <c r="AT1180" s="1">
        <f>IF(HR_Data[[#This Row],[TotalWorkingYears]]&lt;=5,1,IF(HR_Data[[#This Row],[TotalWorkingYears]]&lt;=10,2,IF(HR_Data[[#This Row],[TotalWorkingYears]]&lt;=20,3,4)))</f>
        <v>1</v>
      </c>
    </row>
    <row r="1181" spans="1:46" x14ac:dyDescent="0.25">
      <c r="A1181">
        <v>34</v>
      </c>
      <c r="B1181" t="s">
        <v>36</v>
      </c>
      <c r="C1181" t="s">
        <v>30</v>
      </c>
      <c r="D1181" t="s">
        <v>38</v>
      </c>
      <c r="E1181">
        <v>3</v>
      </c>
      <c r="F1181">
        <v>3</v>
      </c>
      <c r="G1181" t="s">
        <v>32</v>
      </c>
      <c r="H1181">
        <v>1658</v>
      </c>
      <c r="I1181">
        <v>4</v>
      </c>
      <c r="J1181" t="s">
        <v>33</v>
      </c>
      <c r="K1181">
        <v>3</v>
      </c>
      <c r="L1181">
        <v>2</v>
      </c>
      <c r="M1181" t="s">
        <v>40</v>
      </c>
      <c r="N1181">
        <v>2</v>
      </c>
      <c r="O1181" t="s">
        <v>45</v>
      </c>
      <c r="P1181">
        <v>5433</v>
      </c>
      <c r="Q1181">
        <v>1</v>
      </c>
      <c r="R1181" t="s">
        <v>36</v>
      </c>
      <c r="S1181">
        <v>12</v>
      </c>
      <c r="T1181">
        <v>3</v>
      </c>
      <c r="U1181">
        <v>3</v>
      </c>
      <c r="V1181">
        <v>1</v>
      </c>
      <c r="W1181">
        <v>11</v>
      </c>
      <c r="X1181">
        <v>2</v>
      </c>
      <c r="Y1181">
        <v>3</v>
      </c>
      <c r="Z1181">
        <v>11</v>
      </c>
      <c r="AA1181">
        <v>8</v>
      </c>
      <c r="AB1181">
        <v>7</v>
      </c>
      <c r="AC1181">
        <v>9</v>
      </c>
      <c r="AD1181">
        <f>IF(HR_Data[[#This Row],[Attrition]]="Yes",1,0)</f>
        <v>0</v>
      </c>
      <c r="AE1181" t="str">
        <f>IF(HR_Data[[#This Row],[Age]]&lt;=25,"18-25",IF(HR_Data[[#This Row],[Age]]&lt;=35,"26-35",IF(HR_Data[[#This Row],[Age]]&lt;=45,"36-45",IF(HR_Data[[#This Row],[Age]]&lt;=55,"46-55","55+"))))</f>
        <v>26-35</v>
      </c>
      <c r="AF1181">
        <f>IF(HR_Data[[#This Row],[Age]]&lt;=25,1,IF(HR_Data[[#This Row],[Age]]&lt;=35,2,IF(HR_Data[[#This Row],[Age]]&lt;=45,3,IF(HR_Data[[#This Row],[Age]]&lt;=55,4,5))))</f>
        <v>2</v>
      </c>
      <c r="AG1181" s="1" t="str">
        <f>IF(HR_Data[[#This Row],[MonthlyIncome]]&lt;3000,"&lt;3K",IF(HR_Data[[#This Row],[MonthlyIncome]]&lt;6000,"3K-6K",IF(HR_Data[[#This Row],[MonthlyIncome]]&lt;10000,"6K-10K","10K+")))</f>
        <v>3K-6K</v>
      </c>
      <c r="AH1181" s="1">
        <f>IF(HR_Data[[#This Row],[MonthlyIncome]]&lt;3000,1,IF(HR_Data[[#This Row],[MonthlyIncome]]&lt;6000,2,IF(HR_Data[[#This Row],[MonthlyIncome]]&lt;10000,3,4)))</f>
        <v>2</v>
      </c>
      <c r="AI1181" s="1" t="str">
        <f>IF(HR_Data[[#This Row],[YearsAtCompany]]&lt;=2,"0-2 Yrs",IF(HR_Data[[#This Row],[YearsAtCompany]]&lt;=5,"3-5 Yrs",IF(HR_Data[[#This Row],[YearsAtCompany]]&lt;=10,"6-10 Yrs","10+ Yrs")))</f>
        <v>10+ Yrs</v>
      </c>
      <c r="AJ1181" s="1">
        <f>IF(HR_Data[[#This Row],[YearsAtCompany]]&lt;=2,1,IF(HR_Data[[#This Row],[YearsAtCompany]]&lt;=5,2,IF(HR_Data[[#This Row],[YearsAtCompany]]&lt;=10,3,4)))</f>
        <v>4</v>
      </c>
      <c r="AK1181" s="1" t="str">
        <f>CHOOSE(HR_Data[[#This Row],[Education]],"Below College","College","Bachelor","Master","Doctor")</f>
        <v>Bachelor</v>
      </c>
      <c r="AL1181" s="1" t="str">
        <f>CHOOSE(HR_Data[[#This Row],[JobSatisfaction]],"Low","Medium","High","Very High")</f>
        <v>Medium</v>
      </c>
      <c r="AM1181" s="1" t="str">
        <f>CHOOSE(HR_Data[[#This Row],[EnvironmentSatisfaction]],"Low","Medium","High","Very High")</f>
        <v>Very High</v>
      </c>
      <c r="AN1181" s="1" t="str">
        <f>CHOOSE(HR_Data[[#This Row],[WorkLifeBalance]],"Bad","Good","Better","Best")</f>
        <v>Better</v>
      </c>
      <c r="AO1181" s="1" t="str">
        <f>IF(HR_Data[[#This Row],[PercentSalaryHike]]&lt;=13,"11-13%",IF(HR_Data[[#This Row],[PercentSalaryHike]]&lt;=16,"14-16%",IF(HR_Data[[#This Row],[PercentSalaryHike]]&lt;=19,"17-19%","20-25%")))</f>
        <v>11-13%</v>
      </c>
      <c r="AP1181" s="1">
        <f>IF(HR_Data[[#This Row],[PercentSalaryHike]]&lt;=13,1,IF(HR_Data[[#This Row],[PercentSalaryHike]]&lt;=16,2,IF(HR_Data[[#This Row],[PercentSalaryHike]]&lt;=19,3,4)))</f>
        <v>1</v>
      </c>
      <c r="AQ1181" s="1" t="str">
        <f>IF(HR_Data[[#This Row],[DistanceFromHome]]&lt;=5,"1 to 5",IF(HR_Data[[#This Row],[DistanceFromHome]]&lt;=10,"6 to 10",IF(HR_Data[[#This Row],[DistanceFromHome]]&lt;=20,"11 to 20","21 to 29")))</f>
        <v>1 to 5</v>
      </c>
      <c r="AR1181" s="1">
        <f>IF(HR_Data[[#This Row],[DistanceFromHome]]&lt;=5,1,IF(HR_Data[[#This Row],[DistanceFromHome]]&lt;=10,2,IF(HR_Data[[#This Row],[DistanceFromHome]]&lt;=20,3,4)))</f>
        <v>1</v>
      </c>
      <c r="AS1181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181" s="1">
        <f>IF(HR_Data[[#This Row],[TotalWorkingYears]]&lt;=5,1,IF(HR_Data[[#This Row],[TotalWorkingYears]]&lt;=10,2,IF(HR_Data[[#This Row],[TotalWorkingYears]]&lt;=20,3,4)))</f>
        <v>3</v>
      </c>
    </row>
    <row r="1182" spans="1:46" x14ac:dyDescent="0.25">
      <c r="A1182">
        <v>36</v>
      </c>
      <c r="B1182" t="s">
        <v>36</v>
      </c>
      <c r="C1182" t="s">
        <v>30</v>
      </c>
      <c r="D1182" t="s">
        <v>38</v>
      </c>
      <c r="E1182">
        <v>7</v>
      </c>
      <c r="F1182">
        <v>3</v>
      </c>
      <c r="G1182" t="s">
        <v>32</v>
      </c>
      <c r="H1182">
        <v>1659</v>
      </c>
      <c r="I1182">
        <v>1</v>
      </c>
      <c r="J1182" t="s">
        <v>39</v>
      </c>
      <c r="K1182">
        <v>3</v>
      </c>
      <c r="L1182">
        <v>1</v>
      </c>
      <c r="M1182" t="s">
        <v>43</v>
      </c>
      <c r="N1182">
        <v>2</v>
      </c>
      <c r="O1182" t="s">
        <v>35</v>
      </c>
      <c r="P1182">
        <v>2013</v>
      </c>
      <c r="Q1182">
        <v>2</v>
      </c>
      <c r="R1182" t="s">
        <v>36</v>
      </c>
      <c r="S1182">
        <v>11</v>
      </c>
      <c r="T1182">
        <v>3</v>
      </c>
      <c r="U1182">
        <v>3</v>
      </c>
      <c r="V1182">
        <v>0</v>
      </c>
      <c r="W1182">
        <v>15</v>
      </c>
      <c r="X1182">
        <v>4</v>
      </c>
      <c r="Y1182">
        <v>3</v>
      </c>
      <c r="Z1182">
        <v>4</v>
      </c>
      <c r="AA1182">
        <v>3</v>
      </c>
      <c r="AB1182">
        <v>1</v>
      </c>
      <c r="AC1182">
        <v>3</v>
      </c>
      <c r="AD1182">
        <f>IF(HR_Data[[#This Row],[Attrition]]="Yes",1,0)</f>
        <v>0</v>
      </c>
      <c r="AE1182" t="str">
        <f>IF(HR_Data[[#This Row],[Age]]&lt;=25,"18-25",IF(HR_Data[[#This Row],[Age]]&lt;=35,"26-35",IF(HR_Data[[#This Row],[Age]]&lt;=45,"36-45",IF(HR_Data[[#This Row],[Age]]&lt;=55,"46-55","55+"))))</f>
        <v>36-45</v>
      </c>
      <c r="AF1182">
        <f>IF(HR_Data[[#This Row],[Age]]&lt;=25,1,IF(HR_Data[[#This Row],[Age]]&lt;=35,2,IF(HR_Data[[#This Row],[Age]]&lt;=45,3,IF(HR_Data[[#This Row],[Age]]&lt;=55,4,5))))</f>
        <v>3</v>
      </c>
      <c r="AG1182" s="1" t="str">
        <f>IF(HR_Data[[#This Row],[MonthlyIncome]]&lt;3000,"&lt;3K",IF(HR_Data[[#This Row],[MonthlyIncome]]&lt;6000,"3K-6K",IF(HR_Data[[#This Row],[MonthlyIncome]]&lt;10000,"6K-10K","10K+")))</f>
        <v>&lt;3K</v>
      </c>
      <c r="AH1182" s="1">
        <f>IF(HR_Data[[#This Row],[MonthlyIncome]]&lt;3000,1,IF(HR_Data[[#This Row],[MonthlyIncome]]&lt;6000,2,IF(HR_Data[[#This Row],[MonthlyIncome]]&lt;10000,3,4)))</f>
        <v>1</v>
      </c>
      <c r="AI1182" s="1" t="str">
        <f>IF(HR_Data[[#This Row],[YearsAtCompany]]&lt;=2,"0-2 Yrs",IF(HR_Data[[#This Row],[YearsAtCompany]]&lt;=5,"3-5 Yrs",IF(HR_Data[[#This Row],[YearsAtCompany]]&lt;=10,"6-10 Yrs","10+ Yrs")))</f>
        <v>3-5 Yrs</v>
      </c>
      <c r="AJ1182" s="1">
        <f>IF(HR_Data[[#This Row],[YearsAtCompany]]&lt;=2,1,IF(HR_Data[[#This Row],[YearsAtCompany]]&lt;=5,2,IF(HR_Data[[#This Row],[YearsAtCompany]]&lt;=10,3,4)))</f>
        <v>2</v>
      </c>
      <c r="AK1182" s="1" t="str">
        <f>CHOOSE(HR_Data[[#This Row],[Education]],"Below College","College","Bachelor","Master","Doctor")</f>
        <v>Bachelor</v>
      </c>
      <c r="AL1182" s="1" t="str">
        <f>CHOOSE(HR_Data[[#This Row],[JobSatisfaction]],"Low","Medium","High","Very High")</f>
        <v>Medium</v>
      </c>
      <c r="AM1182" s="1" t="str">
        <f>CHOOSE(HR_Data[[#This Row],[EnvironmentSatisfaction]],"Low","Medium","High","Very High")</f>
        <v>Low</v>
      </c>
      <c r="AN1182" s="1" t="str">
        <f>CHOOSE(HR_Data[[#This Row],[WorkLifeBalance]],"Bad","Good","Better","Best")</f>
        <v>Better</v>
      </c>
      <c r="AO1182" s="1" t="str">
        <f>IF(HR_Data[[#This Row],[PercentSalaryHike]]&lt;=13,"11-13%",IF(HR_Data[[#This Row],[PercentSalaryHike]]&lt;=16,"14-16%",IF(HR_Data[[#This Row],[PercentSalaryHike]]&lt;=19,"17-19%","20-25%")))</f>
        <v>11-13%</v>
      </c>
      <c r="AP1182" s="1">
        <f>IF(HR_Data[[#This Row],[PercentSalaryHike]]&lt;=13,1,IF(HR_Data[[#This Row],[PercentSalaryHike]]&lt;=16,2,IF(HR_Data[[#This Row],[PercentSalaryHike]]&lt;=19,3,4)))</f>
        <v>1</v>
      </c>
      <c r="AQ1182" s="1" t="str">
        <f>IF(HR_Data[[#This Row],[DistanceFromHome]]&lt;=5,"1 to 5",IF(HR_Data[[#This Row],[DistanceFromHome]]&lt;=10,"6 to 10",IF(HR_Data[[#This Row],[DistanceFromHome]]&lt;=20,"11 to 20","21 to 29")))</f>
        <v>6 to 10</v>
      </c>
      <c r="AR1182" s="1">
        <f>IF(HR_Data[[#This Row],[DistanceFromHome]]&lt;=5,1,IF(HR_Data[[#This Row],[DistanceFromHome]]&lt;=10,2,IF(HR_Data[[#This Row],[DistanceFromHome]]&lt;=20,3,4)))</f>
        <v>2</v>
      </c>
      <c r="AS1182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182" s="1">
        <f>IF(HR_Data[[#This Row],[TotalWorkingYears]]&lt;=5,1,IF(HR_Data[[#This Row],[TotalWorkingYears]]&lt;=10,2,IF(HR_Data[[#This Row],[TotalWorkingYears]]&lt;=20,3,4)))</f>
        <v>3</v>
      </c>
    </row>
    <row r="1183" spans="1:46" x14ac:dyDescent="0.25">
      <c r="A1183">
        <v>49</v>
      </c>
      <c r="B1183" t="s">
        <v>36</v>
      </c>
      <c r="C1183" t="s">
        <v>30</v>
      </c>
      <c r="D1183" t="s">
        <v>38</v>
      </c>
      <c r="E1183">
        <v>6</v>
      </c>
      <c r="F1183">
        <v>1</v>
      </c>
      <c r="G1183" t="s">
        <v>32</v>
      </c>
      <c r="H1183">
        <v>1661</v>
      </c>
      <c r="I1183">
        <v>3</v>
      </c>
      <c r="J1183" t="s">
        <v>33</v>
      </c>
      <c r="K1183">
        <v>2</v>
      </c>
      <c r="L1183">
        <v>4</v>
      </c>
      <c r="M1183" t="s">
        <v>47</v>
      </c>
      <c r="N1183">
        <v>3</v>
      </c>
      <c r="O1183" t="s">
        <v>41</v>
      </c>
      <c r="P1183">
        <v>13966</v>
      </c>
      <c r="Q1183">
        <v>2</v>
      </c>
      <c r="R1183" t="s">
        <v>29</v>
      </c>
      <c r="S1183">
        <v>19</v>
      </c>
      <c r="T1183">
        <v>3</v>
      </c>
      <c r="U1183">
        <v>2</v>
      </c>
      <c r="V1183">
        <v>1</v>
      </c>
      <c r="W1183">
        <v>30</v>
      </c>
      <c r="X1183">
        <v>3</v>
      </c>
      <c r="Y1183">
        <v>3</v>
      </c>
      <c r="Z1183">
        <v>15</v>
      </c>
      <c r="AA1183">
        <v>11</v>
      </c>
      <c r="AB1183">
        <v>2</v>
      </c>
      <c r="AC1183">
        <v>12</v>
      </c>
      <c r="AD1183">
        <f>IF(HR_Data[[#This Row],[Attrition]]="Yes",1,0)</f>
        <v>0</v>
      </c>
      <c r="AE1183" t="str">
        <f>IF(HR_Data[[#This Row],[Age]]&lt;=25,"18-25",IF(HR_Data[[#This Row],[Age]]&lt;=35,"26-35",IF(HR_Data[[#This Row],[Age]]&lt;=45,"36-45",IF(HR_Data[[#This Row],[Age]]&lt;=55,"46-55","55+"))))</f>
        <v>46-55</v>
      </c>
      <c r="AF1183">
        <f>IF(HR_Data[[#This Row],[Age]]&lt;=25,1,IF(HR_Data[[#This Row],[Age]]&lt;=35,2,IF(HR_Data[[#This Row],[Age]]&lt;=45,3,IF(HR_Data[[#This Row],[Age]]&lt;=55,4,5))))</f>
        <v>4</v>
      </c>
      <c r="AG1183" s="1" t="str">
        <f>IF(HR_Data[[#This Row],[MonthlyIncome]]&lt;3000,"&lt;3K",IF(HR_Data[[#This Row],[MonthlyIncome]]&lt;6000,"3K-6K",IF(HR_Data[[#This Row],[MonthlyIncome]]&lt;10000,"6K-10K","10K+")))</f>
        <v>10K+</v>
      </c>
      <c r="AH1183" s="1">
        <f>IF(HR_Data[[#This Row],[MonthlyIncome]]&lt;3000,1,IF(HR_Data[[#This Row],[MonthlyIncome]]&lt;6000,2,IF(HR_Data[[#This Row],[MonthlyIncome]]&lt;10000,3,4)))</f>
        <v>4</v>
      </c>
      <c r="AI1183" s="1" t="str">
        <f>IF(HR_Data[[#This Row],[YearsAtCompany]]&lt;=2,"0-2 Yrs",IF(HR_Data[[#This Row],[YearsAtCompany]]&lt;=5,"3-5 Yrs",IF(HR_Data[[#This Row],[YearsAtCompany]]&lt;=10,"6-10 Yrs","10+ Yrs")))</f>
        <v>10+ Yrs</v>
      </c>
      <c r="AJ1183" s="1">
        <f>IF(HR_Data[[#This Row],[YearsAtCompany]]&lt;=2,1,IF(HR_Data[[#This Row],[YearsAtCompany]]&lt;=5,2,IF(HR_Data[[#This Row],[YearsAtCompany]]&lt;=10,3,4)))</f>
        <v>4</v>
      </c>
      <c r="AK1183" s="1" t="str">
        <f>CHOOSE(HR_Data[[#This Row],[Education]],"Below College","College","Bachelor","Master","Doctor")</f>
        <v>Below College</v>
      </c>
      <c r="AL1183" s="1" t="str">
        <f>CHOOSE(HR_Data[[#This Row],[JobSatisfaction]],"Low","Medium","High","Very High")</f>
        <v>High</v>
      </c>
      <c r="AM1183" s="1" t="str">
        <f>CHOOSE(HR_Data[[#This Row],[EnvironmentSatisfaction]],"Low","Medium","High","Very High")</f>
        <v>High</v>
      </c>
      <c r="AN1183" s="1" t="str">
        <f>CHOOSE(HR_Data[[#This Row],[WorkLifeBalance]],"Bad","Good","Better","Best")</f>
        <v>Better</v>
      </c>
      <c r="AO1183" s="1" t="str">
        <f>IF(HR_Data[[#This Row],[PercentSalaryHike]]&lt;=13,"11-13%",IF(HR_Data[[#This Row],[PercentSalaryHike]]&lt;=16,"14-16%",IF(HR_Data[[#This Row],[PercentSalaryHike]]&lt;=19,"17-19%","20-25%")))</f>
        <v>17-19%</v>
      </c>
      <c r="AP1183" s="1">
        <f>IF(HR_Data[[#This Row],[PercentSalaryHike]]&lt;=13,1,IF(HR_Data[[#This Row],[PercentSalaryHike]]&lt;=16,2,IF(HR_Data[[#This Row],[PercentSalaryHike]]&lt;=19,3,4)))</f>
        <v>3</v>
      </c>
      <c r="AQ1183" s="1" t="str">
        <f>IF(HR_Data[[#This Row],[DistanceFromHome]]&lt;=5,"1 to 5",IF(HR_Data[[#This Row],[DistanceFromHome]]&lt;=10,"6 to 10",IF(HR_Data[[#This Row],[DistanceFromHome]]&lt;=20,"11 to 20","21 to 29")))</f>
        <v>6 to 10</v>
      </c>
      <c r="AR1183" s="1">
        <f>IF(HR_Data[[#This Row],[DistanceFromHome]]&lt;=5,1,IF(HR_Data[[#This Row],[DistanceFromHome]]&lt;=10,2,IF(HR_Data[[#This Row],[DistanceFromHome]]&lt;=20,3,4)))</f>
        <v>2</v>
      </c>
      <c r="AS1183" s="1" t="str">
        <f>IF(HR_Data[[#This Row],[TotalWorkingYears]]&lt;=5,"0-5 Yrs",IF(HR_Data[[#This Row],[TotalWorkingYears]]&lt;=10,"6-10 Yrs",IF(HR_Data[[#This Row],[TotalWorkingYears]]&lt;=20,"11-20 Yrs","20+ Yrs")))</f>
        <v>20+ Yrs</v>
      </c>
      <c r="AT1183" s="1">
        <f>IF(HR_Data[[#This Row],[TotalWorkingYears]]&lt;=5,1,IF(HR_Data[[#This Row],[TotalWorkingYears]]&lt;=10,2,IF(HR_Data[[#This Row],[TotalWorkingYears]]&lt;=20,3,4)))</f>
        <v>4</v>
      </c>
    </row>
    <row r="1184" spans="1:46" x14ac:dyDescent="0.25">
      <c r="A1184">
        <v>36</v>
      </c>
      <c r="B1184" t="s">
        <v>36</v>
      </c>
      <c r="C1184" t="s">
        <v>48</v>
      </c>
      <c r="D1184" t="s">
        <v>38</v>
      </c>
      <c r="E1184">
        <v>1</v>
      </c>
      <c r="F1184">
        <v>4</v>
      </c>
      <c r="G1184" t="s">
        <v>44</v>
      </c>
      <c r="H1184">
        <v>1662</v>
      </c>
      <c r="I1184">
        <v>4</v>
      </c>
      <c r="J1184" t="s">
        <v>33</v>
      </c>
      <c r="K1184">
        <v>2</v>
      </c>
      <c r="L1184">
        <v>2</v>
      </c>
      <c r="M1184" t="s">
        <v>46</v>
      </c>
      <c r="N1184">
        <v>3</v>
      </c>
      <c r="O1184" t="s">
        <v>41</v>
      </c>
      <c r="P1184">
        <v>4374</v>
      </c>
      <c r="Q1184">
        <v>0</v>
      </c>
      <c r="R1184" t="s">
        <v>36</v>
      </c>
      <c r="S1184">
        <v>15</v>
      </c>
      <c r="T1184">
        <v>3</v>
      </c>
      <c r="U1184">
        <v>3</v>
      </c>
      <c r="V1184">
        <v>0</v>
      </c>
      <c r="W1184">
        <v>4</v>
      </c>
      <c r="X1184">
        <v>6</v>
      </c>
      <c r="Y1184">
        <v>3</v>
      </c>
      <c r="Z1184">
        <v>3</v>
      </c>
      <c r="AA1184">
        <v>2</v>
      </c>
      <c r="AB1184">
        <v>1</v>
      </c>
      <c r="AC1184">
        <v>2</v>
      </c>
      <c r="AD1184">
        <f>IF(HR_Data[[#This Row],[Attrition]]="Yes",1,0)</f>
        <v>0</v>
      </c>
      <c r="AE1184" t="str">
        <f>IF(HR_Data[[#This Row],[Age]]&lt;=25,"18-25",IF(HR_Data[[#This Row],[Age]]&lt;=35,"26-35",IF(HR_Data[[#This Row],[Age]]&lt;=45,"36-45",IF(HR_Data[[#This Row],[Age]]&lt;=55,"46-55","55+"))))</f>
        <v>36-45</v>
      </c>
      <c r="AF1184">
        <f>IF(HR_Data[[#This Row],[Age]]&lt;=25,1,IF(HR_Data[[#This Row],[Age]]&lt;=35,2,IF(HR_Data[[#This Row],[Age]]&lt;=45,3,IF(HR_Data[[#This Row],[Age]]&lt;=55,4,5))))</f>
        <v>3</v>
      </c>
      <c r="AG1184" s="1" t="str">
        <f>IF(HR_Data[[#This Row],[MonthlyIncome]]&lt;3000,"&lt;3K",IF(HR_Data[[#This Row],[MonthlyIncome]]&lt;6000,"3K-6K",IF(HR_Data[[#This Row],[MonthlyIncome]]&lt;10000,"6K-10K","10K+")))</f>
        <v>3K-6K</v>
      </c>
      <c r="AH1184" s="1">
        <f>IF(HR_Data[[#This Row],[MonthlyIncome]]&lt;3000,1,IF(HR_Data[[#This Row],[MonthlyIncome]]&lt;6000,2,IF(HR_Data[[#This Row],[MonthlyIncome]]&lt;10000,3,4)))</f>
        <v>2</v>
      </c>
      <c r="AI1184" s="1" t="str">
        <f>IF(HR_Data[[#This Row],[YearsAtCompany]]&lt;=2,"0-2 Yrs",IF(HR_Data[[#This Row],[YearsAtCompany]]&lt;=5,"3-5 Yrs",IF(HR_Data[[#This Row],[YearsAtCompany]]&lt;=10,"6-10 Yrs","10+ Yrs")))</f>
        <v>3-5 Yrs</v>
      </c>
      <c r="AJ1184" s="1">
        <f>IF(HR_Data[[#This Row],[YearsAtCompany]]&lt;=2,1,IF(HR_Data[[#This Row],[YearsAtCompany]]&lt;=5,2,IF(HR_Data[[#This Row],[YearsAtCompany]]&lt;=10,3,4)))</f>
        <v>2</v>
      </c>
      <c r="AK1184" s="1" t="str">
        <f>CHOOSE(HR_Data[[#This Row],[Education]],"Below College","College","Bachelor","Master","Doctor")</f>
        <v>Master</v>
      </c>
      <c r="AL1184" s="1" t="str">
        <f>CHOOSE(HR_Data[[#This Row],[JobSatisfaction]],"Low","Medium","High","Very High")</f>
        <v>High</v>
      </c>
      <c r="AM1184" s="1" t="str">
        <f>CHOOSE(HR_Data[[#This Row],[EnvironmentSatisfaction]],"Low","Medium","High","Very High")</f>
        <v>Very High</v>
      </c>
      <c r="AN1184" s="1" t="str">
        <f>CHOOSE(HR_Data[[#This Row],[WorkLifeBalance]],"Bad","Good","Better","Best")</f>
        <v>Better</v>
      </c>
      <c r="AO1184" s="1" t="str">
        <f>IF(HR_Data[[#This Row],[PercentSalaryHike]]&lt;=13,"11-13%",IF(HR_Data[[#This Row],[PercentSalaryHike]]&lt;=16,"14-16%",IF(HR_Data[[#This Row],[PercentSalaryHike]]&lt;=19,"17-19%","20-25%")))</f>
        <v>14-16%</v>
      </c>
      <c r="AP1184" s="1">
        <f>IF(HR_Data[[#This Row],[PercentSalaryHike]]&lt;=13,1,IF(HR_Data[[#This Row],[PercentSalaryHike]]&lt;=16,2,IF(HR_Data[[#This Row],[PercentSalaryHike]]&lt;=19,3,4)))</f>
        <v>2</v>
      </c>
      <c r="AQ1184" s="1" t="str">
        <f>IF(HR_Data[[#This Row],[DistanceFromHome]]&lt;=5,"1 to 5",IF(HR_Data[[#This Row],[DistanceFromHome]]&lt;=10,"6 to 10",IF(HR_Data[[#This Row],[DistanceFromHome]]&lt;=20,"11 to 20","21 to 29")))</f>
        <v>1 to 5</v>
      </c>
      <c r="AR1184" s="1">
        <f>IF(HR_Data[[#This Row],[DistanceFromHome]]&lt;=5,1,IF(HR_Data[[#This Row],[DistanceFromHome]]&lt;=10,2,IF(HR_Data[[#This Row],[DistanceFromHome]]&lt;=20,3,4)))</f>
        <v>1</v>
      </c>
      <c r="AS1184" s="1" t="str">
        <f>IF(HR_Data[[#This Row],[TotalWorkingYears]]&lt;=5,"0-5 Yrs",IF(HR_Data[[#This Row],[TotalWorkingYears]]&lt;=10,"6-10 Yrs",IF(HR_Data[[#This Row],[TotalWorkingYears]]&lt;=20,"11-20 Yrs","20+ Yrs")))</f>
        <v>0-5 Yrs</v>
      </c>
      <c r="AT1184" s="1">
        <f>IF(HR_Data[[#This Row],[TotalWorkingYears]]&lt;=5,1,IF(HR_Data[[#This Row],[TotalWorkingYears]]&lt;=10,2,IF(HR_Data[[#This Row],[TotalWorkingYears]]&lt;=20,3,4)))</f>
        <v>1</v>
      </c>
    </row>
    <row r="1185" spans="1:46" x14ac:dyDescent="0.25">
      <c r="A1185">
        <v>36</v>
      </c>
      <c r="B1185" t="s">
        <v>36</v>
      </c>
      <c r="C1185" t="s">
        <v>30</v>
      </c>
      <c r="D1185" t="s">
        <v>38</v>
      </c>
      <c r="E1185">
        <v>3</v>
      </c>
      <c r="F1185">
        <v>2</v>
      </c>
      <c r="G1185" t="s">
        <v>32</v>
      </c>
      <c r="H1185">
        <v>1664</v>
      </c>
      <c r="I1185">
        <v>4</v>
      </c>
      <c r="J1185" t="s">
        <v>39</v>
      </c>
      <c r="K1185">
        <v>4</v>
      </c>
      <c r="L1185">
        <v>2</v>
      </c>
      <c r="M1185" t="s">
        <v>47</v>
      </c>
      <c r="N1185">
        <v>1</v>
      </c>
      <c r="O1185" t="s">
        <v>45</v>
      </c>
      <c r="P1185">
        <v>6842</v>
      </c>
      <c r="Q1185">
        <v>6</v>
      </c>
      <c r="R1185" t="s">
        <v>36</v>
      </c>
      <c r="S1185">
        <v>20</v>
      </c>
      <c r="T1185">
        <v>4</v>
      </c>
      <c r="U1185">
        <v>1</v>
      </c>
      <c r="V1185">
        <v>1</v>
      </c>
      <c r="W1185">
        <v>13</v>
      </c>
      <c r="X1185">
        <v>3</v>
      </c>
      <c r="Y1185">
        <v>3</v>
      </c>
      <c r="Z1185">
        <v>5</v>
      </c>
      <c r="AA1185">
        <v>4</v>
      </c>
      <c r="AB1185">
        <v>0</v>
      </c>
      <c r="AC1185">
        <v>4</v>
      </c>
      <c r="AD1185">
        <f>IF(HR_Data[[#This Row],[Attrition]]="Yes",1,0)</f>
        <v>0</v>
      </c>
      <c r="AE1185" t="str">
        <f>IF(HR_Data[[#This Row],[Age]]&lt;=25,"18-25",IF(HR_Data[[#This Row],[Age]]&lt;=35,"26-35",IF(HR_Data[[#This Row],[Age]]&lt;=45,"36-45",IF(HR_Data[[#This Row],[Age]]&lt;=55,"46-55","55+"))))</f>
        <v>36-45</v>
      </c>
      <c r="AF1185">
        <f>IF(HR_Data[[#This Row],[Age]]&lt;=25,1,IF(HR_Data[[#This Row],[Age]]&lt;=35,2,IF(HR_Data[[#This Row],[Age]]&lt;=45,3,IF(HR_Data[[#This Row],[Age]]&lt;=55,4,5))))</f>
        <v>3</v>
      </c>
      <c r="AG1185" s="1" t="str">
        <f>IF(HR_Data[[#This Row],[MonthlyIncome]]&lt;3000,"&lt;3K",IF(HR_Data[[#This Row],[MonthlyIncome]]&lt;6000,"3K-6K",IF(HR_Data[[#This Row],[MonthlyIncome]]&lt;10000,"6K-10K","10K+")))</f>
        <v>6K-10K</v>
      </c>
      <c r="AH1185" s="1">
        <f>IF(HR_Data[[#This Row],[MonthlyIncome]]&lt;3000,1,IF(HR_Data[[#This Row],[MonthlyIncome]]&lt;6000,2,IF(HR_Data[[#This Row],[MonthlyIncome]]&lt;10000,3,4)))</f>
        <v>3</v>
      </c>
      <c r="AI1185" s="1" t="str">
        <f>IF(HR_Data[[#This Row],[YearsAtCompany]]&lt;=2,"0-2 Yrs",IF(HR_Data[[#This Row],[YearsAtCompany]]&lt;=5,"3-5 Yrs",IF(HR_Data[[#This Row],[YearsAtCompany]]&lt;=10,"6-10 Yrs","10+ Yrs")))</f>
        <v>3-5 Yrs</v>
      </c>
      <c r="AJ1185" s="1">
        <f>IF(HR_Data[[#This Row],[YearsAtCompany]]&lt;=2,1,IF(HR_Data[[#This Row],[YearsAtCompany]]&lt;=5,2,IF(HR_Data[[#This Row],[YearsAtCompany]]&lt;=10,3,4)))</f>
        <v>2</v>
      </c>
      <c r="AK1185" s="1" t="str">
        <f>CHOOSE(HR_Data[[#This Row],[Education]],"Below College","College","Bachelor","Master","Doctor")</f>
        <v>College</v>
      </c>
      <c r="AL1185" s="1" t="str">
        <f>CHOOSE(HR_Data[[#This Row],[JobSatisfaction]],"Low","Medium","High","Very High")</f>
        <v>Low</v>
      </c>
      <c r="AM1185" s="1" t="str">
        <f>CHOOSE(HR_Data[[#This Row],[EnvironmentSatisfaction]],"Low","Medium","High","Very High")</f>
        <v>Very High</v>
      </c>
      <c r="AN1185" s="1" t="str">
        <f>CHOOSE(HR_Data[[#This Row],[WorkLifeBalance]],"Bad","Good","Better","Best")</f>
        <v>Better</v>
      </c>
      <c r="AO1185" s="1" t="str">
        <f>IF(HR_Data[[#This Row],[PercentSalaryHike]]&lt;=13,"11-13%",IF(HR_Data[[#This Row],[PercentSalaryHike]]&lt;=16,"14-16%",IF(HR_Data[[#This Row],[PercentSalaryHike]]&lt;=19,"17-19%","20-25%")))</f>
        <v>20-25%</v>
      </c>
      <c r="AP1185" s="1">
        <f>IF(HR_Data[[#This Row],[PercentSalaryHike]]&lt;=13,1,IF(HR_Data[[#This Row],[PercentSalaryHike]]&lt;=16,2,IF(HR_Data[[#This Row],[PercentSalaryHike]]&lt;=19,3,4)))</f>
        <v>4</v>
      </c>
      <c r="AQ1185" s="1" t="str">
        <f>IF(HR_Data[[#This Row],[DistanceFromHome]]&lt;=5,"1 to 5",IF(HR_Data[[#This Row],[DistanceFromHome]]&lt;=10,"6 to 10",IF(HR_Data[[#This Row],[DistanceFromHome]]&lt;=20,"11 to 20","21 to 29")))</f>
        <v>1 to 5</v>
      </c>
      <c r="AR1185" s="1">
        <f>IF(HR_Data[[#This Row],[DistanceFromHome]]&lt;=5,1,IF(HR_Data[[#This Row],[DistanceFromHome]]&lt;=10,2,IF(HR_Data[[#This Row],[DistanceFromHome]]&lt;=20,3,4)))</f>
        <v>1</v>
      </c>
      <c r="AS1185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185" s="1">
        <f>IF(HR_Data[[#This Row],[TotalWorkingYears]]&lt;=5,1,IF(HR_Data[[#This Row],[TotalWorkingYears]]&lt;=10,2,IF(HR_Data[[#This Row],[TotalWorkingYears]]&lt;=20,3,4)))</f>
        <v>3</v>
      </c>
    </row>
    <row r="1186" spans="1:46" x14ac:dyDescent="0.25">
      <c r="A1186">
        <v>54</v>
      </c>
      <c r="B1186" t="s">
        <v>36</v>
      </c>
      <c r="C1186" t="s">
        <v>30</v>
      </c>
      <c r="D1186" t="s">
        <v>38</v>
      </c>
      <c r="E1186">
        <v>22</v>
      </c>
      <c r="F1186">
        <v>5</v>
      </c>
      <c r="G1186" t="s">
        <v>44</v>
      </c>
      <c r="H1186">
        <v>1665</v>
      </c>
      <c r="I1186">
        <v>2</v>
      </c>
      <c r="J1186" t="s">
        <v>33</v>
      </c>
      <c r="K1186">
        <v>3</v>
      </c>
      <c r="L1186">
        <v>4</v>
      </c>
      <c r="M1186" t="s">
        <v>49</v>
      </c>
      <c r="N1186">
        <v>3</v>
      </c>
      <c r="O1186" t="s">
        <v>41</v>
      </c>
      <c r="P1186">
        <v>17426</v>
      </c>
      <c r="Q1186">
        <v>3</v>
      </c>
      <c r="R1186" t="s">
        <v>36</v>
      </c>
      <c r="S1186">
        <v>25</v>
      </c>
      <c r="T1186">
        <v>4</v>
      </c>
      <c r="U1186">
        <v>3</v>
      </c>
      <c r="V1186">
        <v>1</v>
      </c>
      <c r="W1186">
        <v>36</v>
      </c>
      <c r="X1186">
        <v>6</v>
      </c>
      <c r="Y1186">
        <v>3</v>
      </c>
      <c r="Z1186">
        <v>10</v>
      </c>
      <c r="AA1186">
        <v>8</v>
      </c>
      <c r="AB1186">
        <v>4</v>
      </c>
      <c r="AC1186">
        <v>7</v>
      </c>
      <c r="AD1186">
        <f>IF(HR_Data[[#This Row],[Attrition]]="Yes",1,0)</f>
        <v>0</v>
      </c>
      <c r="AE1186" t="str">
        <f>IF(HR_Data[[#This Row],[Age]]&lt;=25,"18-25",IF(HR_Data[[#This Row],[Age]]&lt;=35,"26-35",IF(HR_Data[[#This Row],[Age]]&lt;=45,"36-45",IF(HR_Data[[#This Row],[Age]]&lt;=55,"46-55","55+"))))</f>
        <v>46-55</v>
      </c>
      <c r="AF1186">
        <f>IF(HR_Data[[#This Row],[Age]]&lt;=25,1,IF(HR_Data[[#This Row],[Age]]&lt;=35,2,IF(HR_Data[[#This Row],[Age]]&lt;=45,3,IF(HR_Data[[#This Row],[Age]]&lt;=55,4,5))))</f>
        <v>4</v>
      </c>
      <c r="AG1186" s="1" t="str">
        <f>IF(HR_Data[[#This Row],[MonthlyIncome]]&lt;3000,"&lt;3K",IF(HR_Data[[#This Row],[MonthlyIncome]]&lt;6000,"3K-6K",IF(HR_Data[[#This Row],[MonthlyIncome]]&lt;10000,"6K-10K","10K+")))</f>
        <v>10K+</v>
      </c>
      <c r="AH1186" s="1">
        <f>IF(HR_Data[[#This Row],[MonthlyIncome]]&lt;3000,1,IF(HR_Data[[#This Row],[MonthlyIncome]]&lt;6000,2,IF(HR_Data[[#This Row],[MonthlyIncome]]&lt;10000,3,4)))</f>
        <v>4</v>
      </c>
      <c r="AI1186" s="1" t="str">
        <f>IF(HR_Data[[#This Row],[YearsAtCompany]]&lt;=2,"0-2 Yrs",IF(HR_Data[[#This Row],[YearsAtCompany]]&lt;=5,"3-5 Yrs",IF(HR_Data[[#This Row],[YearsAtCompany]]&lt;=10,"6-10 Yrs","10+ Yrs")))</f>
        <v>6-10 Yrs</v>
      </c>
      <c r="AJ1186" s="1">
        <f>IF(HR_Data[[#This Row],[YearsAtCompany]]&lt;=2,1,IF(HR_Data[[#This Row],[YearsAtCompany]]&lt;=5,2,IF(HR_Data[[#This Row],[YearsAtCompany]]&lt;=10,3,4)))</f>
        <v>3</v>
      </c>
      <c r="AK1186" s="1" t="str">
        <f>CHOOSE(HR_Data[[#This Row],[Education]],"Below College","College","Bachelor","Master","Doctor")</f>
        <v>Doctor</v>
      </c>
      <c r="AL1186" s="1" t="str">
        <f>CHOOSE(HR_Data[[#This Row],[JobSatisfaction]],"Low","Medium","High","Very High")</f>
        <v>High</v>
      </c>
      <c r="AM1186" s="1" t="str">
        <f>CHOOSE(HR_Data[[#This Row],[EnvironmentSatisfaction]],"Low","Medium","High","Very High")</f>
        <v>Medium</v>
      </c>
      <c r="AN1186" s="1" t="str">
        <f>CHOOSE(HR_Data[[#This Row],[WorkLifeBalance]],"Bad","Good","Better","Best")</f>
        <v>Better</v>
      </c>
      <c r="AO1186" s="1" t="str">
        <f>IF(HR_Data[[#This Row],[PercentSalaryHike]]&lt;=13,"11-13%",IF(HR_Data[[#This Row],[PercentSalaryHike]]&lt;=16,"14-16%",IF(HR_Data[[#This Row],[PercentSalaryHike]]&lt;=19,"17-19%","20-25%")))</f>
        <v>20-25%</v>
      </c>
      <c r="AP1186" s="1">
        <f>IF(HR_Data[[#This Row],[PercentSalaryHike]]&lt;=13,1,IF(HR_Data[[#This Row],[PercentSalaryHike]]&lt;=16,2,IF(HR_Data[[#This Row],[PercentSalaryHike]]&lt;=19,3,4)))</f>
        <v>4</v>
      </c>
      <c r="AQ1186" s="1" t="str">
        <f>IF(HR_Data[[#This Row],[DistanceFromHome]]&lt;=5,"1 to 5",IF(HR_Data[[#This Row],[DistanceFromHome]]&lt;=10,"6 to 10",IF(HR_Data[[#This Row],[DistanceFromHome]]&lt;=20,"11 to 20","21 to 29")))</f>
        <v>21 to 29</v>
      </c>
      <c r="AR1186" s="1">
        <f>IF(HR_Data[[#This Row],[DistanceFromHome]]&lt;=5,1,IF(HR_Data[[#This Row],[DistanceFromHome]]&lt;=10,2,IF(HR_Data[[#This Row],[DistanceFromHome]]&lt;=20,3,4)))</f>
        <v>4</v>
      </c>
      <c r="AS1186" s="1" t="str">
        <f>IF(HR_Data[[#This Row],[TotalWorkingYears]]&lt;=5,"0-5 Yrs",IF(HR_Data[[#This Row],[TotalWorkingYears]]&lt;=10,"6-10 Yrs",IF(HR_Data[[#This Row],[TotalWorkingYears]]&lt;=20,"11-20 Yrs","20+ Yrs")))</f>
        <v>20+ Yrs</v>
      </c>
      <c r="AT1186" s="1">
        <f>IF(HR_Data[[#This Row],[TotalWorkingYears]]&lt;=5,1,IF(HR_Data[[#This Row],[TotalWorkingYears]]&lt;=10,2,IF(HR_Data[[#This Row],[TotalWorkingYears]]&lt;=20,3,4)))</f>
        <v>4</v>
      </c>
    </row>
    <row r="1187" spans="1:46" x14ac:dyDescent="0.25">
      <c r="A1187">
        <v>43</v>
      </c>
      <c r="B1187" t="s">
        <v>36</v>
      </c>
      <c r="C1187" t="s">
        <v>30</v>
      </c>
      <c r="D1187" t="s">
        <v>38</v>
      </c>
      <c r="E1187">
        <v>15</v>
      </c>
      <c r="F1187">
        <v>2</v>
      </c>
      <c r="G1187" t="s">
        <v>32</v>
      </c>
      <c r="H1187">
        <v>1666</v>
      </c>
      <c r="I1187">
        <v>3</v>
      </c>
      <c r="J1187" t="s">
        <v>39</v>
      </c>
      <c r="K1187">
        <v>2</v>
      </c>
      <c r="L1187">
        <v>4</v>
      </c>
      <c r="M1187" t="s">
        <v>51</v>
      </c>
      <c r="N1187">
        <v>3</v>
      </c>
      <c r="O1187" t="s">
        <v>41</v>
      </c>
      <c r="P1187">
        <v>17603</v>
      </c>
      <c r="Q1187">
        <v>1</v>
      </c>
      <c r="R1187" t="s">
        <v>36</v>
      </c>
      <c r="S1187">
        <v>24</v>
      </c>
      <c r="T1187">
        <v>4</v>
      </c>
      <c r="U1187">
        <v>1</v>
      </c>
      <c r="V1187">
        <v>1</v>
      </c>
      <c r="W1187">
        <v>14</v>
      </c>
      <c r="X1187">
        <v>3</v>
      </c>
      <c r="Y1187">
        <v>3</v>
      </c>
      <c r="Z1187">
        <v>14</v>
      </c>
      <c r="AA1187">
        <v>10</v>
      </c>
      <c r="AB1187">
        <v>6</v>
      </c>
      <c r="AC1187">
        <v>11</v>
      </c>
      <c r="AD1187">
        <f>IF(HR_Data[[#This Row],[Attrition]]="Yes",1,0)</f>
        <v>0</v>
      </c>
      <c r="AE1187" t="str">
        <f>IF(HR_Data[[#This Row],[Age]]&lt;=25,"18-25",IF(HR_Data[[#This Row],[Age]]&lt;=35,"26-35",IF(HR_Data[[#This Row],[Age]]&lt;=45,"36-45",IF(HR_Data[[#This Row],[Age]]&lt;=55,"46-55","55+"))))</f>
        <v>36-45</v>
      </c>
      <c r="AF1187">
        <f>IF(HR_Data[[#This Row],[Age]]&lt;=25,1,IF(HR_Data[[#This Row],[Age]]&lt;=35,2,IF(HR_Data[[#This Row],[Age]]&lt;=45,3,IF(HR_Data[[#This Row],[Age]]&lt;=55,4,5))))</f>
        <v>3</v>
      </c>
      <c r="AG1187" s="1" t="str">
        <f>IF(HR_Data[[#This Row],[MonthlyIncome]]&lt;3000,"&lt;3K",IF(HR_Data[[#This Row],[MonthlyIncome]]&lt;6000,"3K-6K",IF(HR_Data[[#This Row],[MonthlyIncome]]&lt;10000,"6K-10K","10K+")))</f>
        <v>10K+</v>
      </c>
      <c r="AH1187" s="1">
        <f>IF(HR_Data[[#This Row],[MonthlyIncome]]&lt;3000,1,IF(HR_Data[[#This Row],[MonthlyIncome]]&lt;6000,2,IF(HR_Data[[#This Row],[MonthlyIncome]]&lt;10000,3,4)))</f>
        <v>4</v>
      </c>
      <c r="AI1187" s="1" t="str">
        <f>IF(HR_Data[[#This Row],[YearsAtCompany]]&lt;=2,"0-2 Yrs",IF(HR_Data[[#This Row],[YearsAtCompany]]&lt;=5,"3-5 Yrs",IF(HR_Data[[#This Row],[YearsAtCompany]]&lt;=10,"6-10 Yrs","10+ Yrs")))</f>
        <v>10+ Yrs</v>
      </c>
      <c r="AJ1187" s="1">
        <f>IF(HR_Data[[#This Row],[YearsAtCompany]]&lt;=2,1,IF(HR_Data[[#This Row],[YearsAtCompany]]&lt;=5,2,IF(HR_Data[[#This Row],[YearsAtCompany]]&lt;=10,3,4)))</f>
        <v>4</v>
      </c>
      <c r="AK1187" s="1" t="str">
        <f>CHOOSE(HR_Data[[#This Row],[Education]],"Below College","College","Bachelor","Master","Doctor")</f>
        <v>College</v>
      </c>
      <c r="AL1187" s="1" t="str">
        <f>CHOOSE(HR_Data[[#This Row],[JobSatisfaction]],"Low","Medium","High","Very High")</f>
        <v>High</v>
      </c>
      <c r="AM1187" s="1" t="str">
        <f>CHOOSE(HR_Data[[#This Row],[EnvironmentSatisfaction]],"Low","Medium","High","Very High")</f>
        <v>High</v>
      </c>
      <c r="AN1187" s="1" t="str">
        <f>CHOOSE(HR_Data[[#This Row],[WorkLifeBalance]],"Bad","Good","Better","Best")</f>
        <v>Better</v>
      </c>
      <c r="AO1187" s="1" t="str">
        <f>IF(HR_Data[[#This Row],[PercentSalaryHike]]&lt;=13,"11-13%",IF(HR_Data[[#This Row],[PercentSalaryHike]]&lt;=16,"14-16%",IF(HR_Data[[#This Row],[PercentSalaryHike]]&lt;=19,"17-19%","20-25%")))</f>
        <v>20-25%</v>
      </c>
      <c r="AP1187" s="1">
        <f>IF(HR_Data[[#This Row],[PercentSalaryHike]]&lt;=13,1,IF(HR_Data[[#This Row],[PercentSalaryHike]]&lt;=16,2,IF(HR_Data[[#This Row],[PercentSalaryHike]]&lt;=19,3,4)))</f>
        <v>4</v>
      </c>
      <c r="AQ1187" s="1" t="str">
        <f>IF(HR_Data[[#This Row],[DistanceFromHome]]&lt;=5,"1 to 5",IF(HR_Data[[#This Row],[DistanceFromHome]]&lt;=10,"6 to 10",IF(HR_Data[[#This Row],[DistanceFromHome]]&lt;=20,"11 to 20","21 to 29")))</f>
        <v>11 to 20</v>
      </c>
      <c r="AR1187" s="1">
        <f>IF(HR_Data[[#This Row],[DistanceFromHome]]&lt;=5,1,IF(HR_Data[[#This Row],[DistanceFromHome]]&lt;=10,2,IF(HR_Data[[#This Row],[DistanceFromHome]]&lt;=20,3,4)))</f>
        <v>3</v>
      </c>
      <c r="AS1187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187" s="1">
        <f>IF(HR_Data[[#This Row],[TotalWorkingYears]]&lt;=5,1,IF(HR_Data[[#This Row],[TotalWorkingYears]]&lt;=10,2,IF(HR_Data[[#This Row],[TotalWorkingYears]]&lt;=20,3,4)))</f>
        <v>3</v>
      </c>
    </row>
    <row r="1188" spans="1:46" x14ac:dyDescent="0.25">
      <c r="A1188">
        <v>35</v>
      </c>
      <c r="B1188" t="s">
        <v>29</v>
      </c>
      <c r="C1188" t="s">
        <v>37</v>
      </c>
      <c r="D1188" t="s">
        <v>31</v>
      </c>
      <c r="E1188">
        <v>12</v>
      </c>
      <c r="F1188">
        <v>4</v>
      </c>
      <c r="G1188" t="s">
        <v>42</v>
      </c>
      <c r="H1188">
        <v>1667</v>
      </c>
      <c r="I1188">
        <v>4</v>
      </c>
      <c r="J1188" t="s">
        <v>39</v>
      </c>
      <c r="K1188">
        <v>3</v>
      </c>
      <c r="L1188">
        <v>2</v>
      </c>
      <c r="M1188" t="s">
        <v>34</v>
      </c>
      <c r="N1188">
        <v>4</v>
      </c>
      <c r="O1188" t="s">
        <v>35</v>
      </c>
      <c r="P1188">
        <v>4581</v>
      </c>
      <c r="Q1188">
        <v>3</v>
      </c>
      <c r="R1188" t="s">
        <v>29</v>
      </c>
      <c r="S1188">
        <v>24</v>
      </c>
      <c r="T1188">
        <v>4</v>
      </c>
      <c r="U1188">
        <v>1</v>
      </c>
      <c r="V1188">
        <v>0</v>
      </c>
      <c r="W1188">
        <v>13</v>
      </c>
      <c r="X1188">
        <v>2</v>
      </c>
      <c r="Y1188">
        <v>4</v>
      </c>
      <c r="Z1188">
        <v>11</v>
      </c>
      <c r="AA1188">
        <v>9</v>
      </c>
      <c r="AB1188">
        <v>6</v>
      </c>
      <c r="AC1188">
        <v>7</v>
      </c>
      <c r="AD1188">
        <f>IF(HR_Data[[#This Row],[Attrition]]="Yes",1,0)</f>
        <v>1</v>
      </c>
      <c r="AE1188" t="str">
        <f>IF(HR_Data[[#This Row],[Age]]&lt;=25,"18-25",IF(HR_Data[[#This Row],[Age]]&lt;=35,"26-35",IF(HR_Data[[#This Row],[Age]]&lt;=45,"36-45",IF(HR_Data[[#This Row],[Age]]&lt;=55,"46-55","55+"))))</f>
        <v>26-35</v>
      </c>
      <c r="AF1188">
        <f>IF(HR_Data[[#This Row],[Age]]&lt;=25,1,IF(HR_Data[[#This Row],[Age]]&lt;=35,2,IF(HR_Data[[#This Row],[Age]]&lt;=45,3,IF(HR_Data[[#This Row],[Age]]&lt;=55,4,5))))</f>
        <v>2</v>
      </c>
      <c r="AG1188" s="1" t="str">
        <f>IF(HR_Data[[#This Row],[MonthlyIncome]]&lt;3000,"&lt;3K",IF(HR_Data[[#This Row],[MonthlyIncome]]&lt;6000,"3K-6K",IF(HR_Data[[#This Row],[MonthlyIncome]]&lt;10000,"6K-10K","10K+")))</f>
        <v>3K-6K</v>
      </c>
      <c r="AH1188" s="1">
        <f>IF(HR_Data[[#This Row],[MonthlyIncome]]&lt;3000,1,IF(HR_Data[[#This Row],[MonthlyIncome]]&lt;6000,2,IF(HR_Data[[#This Row],[MonthlyIncome]]&lt;10000,3,4)))</f>
        <v>2</v>
      </c>
      <c r="AI1188" s="1" t="str">
        <f>IF(HR_Data[[#This Row],[YearsAtCompany]]&lt;=2,"0-2 Yrs",IF(HR_Data[[#This Row],[YearsAtCompany]]&lt;=5,"3-5 Yrs",IF(HR_Data[[#This Row],[YearsAtCompany]]&lt;=10,"6-10 Yrs","10+ Yrs")))</f>
        <v>10+ Yrs</v>
      </c>
      <c r="AJ1188" s="1">
        <f>IF(HR_Data[[#This Row],[YearsAtCompany]]&lt;=2,1,IF(HR_Data[[#This Row],[YearsAtCompany]]&lt;=5,2,IF(HR_Data[[#This Row],[YearsAtCompany]]&lt;=10,3,4)))</f>
        <v>4</v>
      </c>
      <c r="AK1188" s="1" t="str">
        <f>CHOOSE(HR_Data[[#This Row],[Education]],"Below College","College","Bachelor","Master","Doctor")</f>
        <v>Master</v>
      </c>
      <c r="AL1188" s="1" t="str">
        <f>CHOOSE(HR_Data[[#This Row],[JobSatisfaction]],"Low","Medium","High","Very High")</f>
        <v>Very High</v>
      </c>
      <c r="AM1188" s="1" t="str">
        <f>CHOOSE(HR_Data[[#This Row],[EnvironmentSatisfaction]],"Low","Medium","High","Very High")</f>
        <v>Very High</v>
      </c>
      <c r="AN1188" s="1" t="str">
        <f>CHOOSE(HR_Data[[#This Row],[WorkLifeBalance]],"Bad","Good","Better","Best")</f>
        <v>Best</v>
      </c>
      <c r="AO1188" s="1" t="str">
        <f>IF(HR_Data[[#This Row],[PercentSalaryHike]]&lt;=13,"11-13%",IF(HR_Data[[#This Row],[PercentSalaryHike]]&lt;=16,"14-16%",IF(HR_Data[[#This Row],[PercentSalaryHike]]&lt;=19,"17-19%","20-25%")))</f>
        <v>20-25%</v>
      </c>
      <c r="AP1188" s="1">
        <f>IF(HR_Data[[#This Row],[PercentSalaryHike]]&lt;=13,1,IF(HR_Data[[#This Row],[PercentSalaryHike]]&lt;=16,2,IF(HR_Data[[#This Row],[PercentSalaryHike]]&lt;=19,3,4)))</f>
        <v>4</v>
      </c>
      <c r="AQ1188" s="1" t="str">
        <f>IF(HR_Data[[#This Row],[DistanceFromHome]]&lt;=5,"1 to 5",IF(HR_Data[[#This Row],[DistanceFromHome]]&lt;=10,"6 to 10",IF(HR_Data[[#This Row],[DistanceFromHome]]&lt;=20,"11 to 20","21 to 29")))</f>
        <v>11 to 20</v>
      </c>
      <c r="AR1188" s="1">
        <f>IF(HR_Data[[#This Row],[DistanceFromHome]]&lt;=5,1,IF(HR_Data[[#This Row],[DistanceFromHome]]&lt;=10,2,IF(HR_Data[[#This Row],[DistanceFromHome]]&lt;=20,3,4)))</f>
        <v>3</v>
      </c>
      <c r="AS1188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188" s="1">
        <f>IF(HR_Data[[#This Row],[TotalWorkingYears]]&lt;=5,1,IF(HR_Data[[#This Row],[TotalWorkingYears]]&lt;=10,2,IF(HR_Data[[#This Row],[TotalWorkingYears]]&lt;=20,3,4)))</f>
        <v>3</v>
      </c>
    </row>
    <row r="1189" spans="1:46" x14ac:dyDescent="0.25">
      <c r="A1189">
        <v>38</v>
      </c>
      <c r="B1189" t="s">
        <v>36</v>
      </c>
      <c r="C1189" t="s">
        <v>37</v>
      </c>
      <c r="D1189" t="s">
        <v>38</v>
      </c>
      <c r="E1189">
        <v>1</v>
      </c>
      <c r="F1189">
        <v>3</v>
      </c>
      <c r="G1189" t="s">
        <v>32</v>
      </c>
      <c r="H1189">
        <v>1668</v>
      </c>
      <c r="I1189">
        <v>4</v>
      </c>
      <c r="J1189" t="s">
        <v>39</v>
      </c>
      <c r="K1189">
        <v>3</v>
      </c>
      <c r="L1189">
        <v>2</v>
      </c>
      <c r="M1189" t="s">
        <v>40</v>
      </c>
      <c r="N1189">
        <v>4</v>
      </c>
      <c r="O1189" t="s">
        <v>41</v>
      </c>
      <c r="P1189">
        <v>4735</v>
      </c>
      <c r="Q1189">
        <v>7</v>
      </c>
      <c r="R1189" t="s">
        <v>36</v>
      </c>
      <c r="S1189">
        <v>15</v>
      </c>
      <c r="T1189">
        <v>3</v>
      </c>
      <c r="U1189">
        <v>4</v>
      </c>
      <c r="V1189">
        <v>2</v>
      </c>
      <c r="W1189">
        <v>19</v>
      </c>
      <c r="X1189">
        <v>4</v>
      </c>
      <c r="Y1189">
        <v>4</v>
      </c>
      <c r="Z1189">
        <v>13</v>
      </c>
      <c r="AA1189">
        <v>11</v>
      </c>
      <c r="AB1189">
        <v>2</v>
      </c>
      <c r="AC1189">
        <v>9</v>
      </c>
      <c r="AD1189">
        <f>IF(HR_Data[[#This Row],[Attrition]]="Yes",1,0)</f>
        <v>0</v>
      </c>
      <c r="AE1189" t="str">
        <f>IF(HR_Data[[#This Row],[Age]]&lt;=25,"18-25",IF(HR_Data[[#This Row],[Age]]&lt;=35,"26-35",IF(HR_Data[[#This Row],[Age]]&lt;=45,"36-45",IF(HR_Data[[#This Row],[Age]]&lt;=55,"46-55","55+"))))</f>
        <v>36-45</v>
      </c>
      <c r="AF1189">
        <f>IF(HR_Data[[#This Row],[Age]]&lt;=25,1,IF(HR_Data[[#This Row],[Age]]&lt;=35,2,IF(HR_Data[[#This Row],[Age]]&lt;=45,3,IF(HR_Data[[#This Row],[Age]]&lt;=55,4,5))))</f>
        <v>3</v>
      </c>
      <c r="AG1189" s="1" t="str">
        <f>IF(HR_Data[[#This Row],[MonthlyIncome]]&lt;3000,"&lt;3K",IF(HR_Data[[#This Row],[MonthlyIncome]]&lt;6000,"3K-6K",IF(HR_Data[[#This Row],[MonthlyIncome]]&lt;10000,"6K-10K","10K+")))</f>
        <v>3K-6K</v>
      </c>
      <c r="AH1189" s="1">
        <f>IF(HR_Data[[#This Row],[MonthlyIncome]]&lt;3000,1,IF(HR_Data[[#This Row],[MonthlyIncome]]&lt;6000,2,IF(HR_Data[[#This Row],[MonthlyIncome]]&lt;10000,3,4)))</f>
        <v>2</v>
      </c>
      <c r="AI1189" s="1" t="str">
        <f>IF(HR_Data[[#This Row],[YearsAtCompany]]&lt;=2,"0-2 Yrs",IF(HR_Data[[#This Row],[YearsAtCompany]]&lt;=5,"3-5 Yrs",IF(HR_Data[[#This Row],[YearsAtCompany]]&lt;=10,"6-10 Yrs","10+ Yrs")))</f>
        <v>10+ Yrs</v>
      </c>
      <c r="AJ1189" s="1">
        <f>IF(HR_Data[[#This Row],[YearsAtCompany]]&lt;=2,1,IF(HR_Data[[#This Row],[YearsAtCompany]]&lt;=5,2,IF(HR_Data[[#This Row],[YearsAtCompany]]&lt;=10,3,4)))</f>
        <v>4</v>
      </c>
      <c r="AK1189" s="1" t="str">
        <f>CHOOSE(HR_Data[[#This Row],[Education]],"Below College","College","Bachelor","Master","Doctor")</f>
        <v>Bachelor</v>
      </c>
      <c r="AL1189" s="1" t="str">
        <f>CHOOSE(HR_Data[[#This Row],[JobSatisfaction]],"Low","Medium","High","Very High")</f>
        <v>Very High</v>
      </c>
      <c r="AM1189" s="1" t="str">
        <f>CHOOSE(HR_Data[[#This Row],[EnvironmentSatisfaction]],"Low","Medium","High","Very High")</f>
        <v>Very High</v>
      </c>
      <c r="AN1189" s="1" t="str">
        <f>CHOOSE(HR_Data[[#This Row],[WorkLifeBalance]],"Bad","Good","Better","Best")</f>
        <v>Best</v>
      </c>
      <c r="AO1189" s="1" t="str">
        <f>IF(HR_Data[[#This Row],[PercentSalaryHike]]&lt;=13,"11-13%",IF(HR_Data[[#This Row],[PercentSalaryHike]]&lt;=16,"14-16%",IF(HR_Data[[#This Row],[PercentSalaryHike]]&lt;=19,"17-19%","20-25%")))</f>
        <v>14-16%</v>
      </c>
      <c r="AP1189" s="1">
        <f>IF(HR_Data[[#This Row],[PercentSalaryHike]]&lt;=13,1,IF(HR_Data[[#This Row],[PercentSalaryHike]]&lt;=16,2,IF(HR_Data[[#This Row],[PercentSalaryHike]]&lt;=19,3,4)))</f>
        <v>2</v>
      </c>
      <c r="AQ1189" s="1" t="str">
        <f>IF(HR_Data[[#This Row],[DistanceFromHome]]&lt;=5,"1 to 5",IF(HR_Data[[#This Row],[DistanceFromHome]]&lt;=10,"6 to 10",IF(HR_Data[[#This Row],[DistanceFromHome]]&lt;=20,"11 to 20","21 to 29")))</f>
        <v>1 to 5</v>
      </c>
      <c r="AR1189" s="1">
        <f>IF(HR_Data[[#This Row],[DistanceFromHome]]&lt;=5,1,IF(HR_Data[[#This Row],[DistanceFromHome]]&lt;=10,2,IF(HR_Data[[#This Row],[DistanceFromHome]]&lt;=20,3,4)))</f>
        <v>1</v>
      </c>
      <c r="AS1189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189" s="1">
        <f>IF(HR_Data[[#This Row],[TotalWorkingYears]]&lt;=5,1,IF(HR_Data[[#This Row],[TotalWorkingYears]]&lt;=10,2,IF(HR_Data[[#This Row],[TotalWorkingYears]]&lt;=20,3,4)))</f>
        <v>3</v>
      </c>
    </row>
    <row r="1190" spans="1:46" x14ac:dyDescent="0.25">
      <c r="A1190">
        <v>29</v>
      </c>
      <c r="B1190" t="s">
        <v>36</v>
      </c>
      <c r="C1190" t="s">
        <v>30</v>
      </c>
      <c r="D1190" t="s">
        <v>31</v>
      </c>
      <c r="E1190">
        <v>5</v>
      </c>
      <c r="F1190">
        <v>3</v>
      </c>
      <c r="G1190" t="s">
        <v>44</v>
      </c>
      <c r="H1190">
        <v>1669</v>
      </c>
      <c r="I1190">
        <v>1</v>
      </c>
      <c r="J1190" t="s">
        <v>39</v>
      </c>
      <c r="K1190">
        <v>2</v>
      </c>
      <c r="L1190">
        <v>2</v>
      </c>
      <c r="M1190" t="s">
        <v>34</v>
      </c>
      <c r="N1190">
        <v>2</v>
      </c>
      <c r="O1190" t="s">
        <v>45</v>
      </c>
      <c r="P1190">
        <v>4187</v>
      </c>
      <c r="Q1190">
        <v>1</v>
      </c>
      <c r="R1190" t="s">
        <v>29</v>
      </c>
      <c r="S1190">
        <v>13</v>
      </c>
      <c r="T1190">
        <v>3</v>
      </c>
      <c r="U1190">
        <v>2</v>
      </c>
      <c r="V1190">
        <v>1</v>
      </c>
      <c r="W1190">
        <v>10</v>
      </c>
      <c r="X1190">
        <v>3</v>
      </c>
      <c r="Y1190">
        <v>2</v>
      </c>
      <c r="Z1190">
        <v>10</v>
      </c>
      <c r="AA1190">
        <v>0</v>
      </c>
      <c r="AB1190">
        <v>0</v>
      </c>
      <c r="AC1190">
        <v>9</v>
      </c>
      <c r="AD1190">
        <f>IF(HR_Data[[#This Row],[Attrition]]="Yes",1,0)</f>
        <v>0</v>
      </c>
      <c r="AE1190" t="str">
        <f>IF(HR_Data[[#This Row],[Age]]&lt;=25,"18-25",IF(HR_Data[[#This Row],[Age]]&lt;=35,"26-35",IF(HR_Data[[#This Row],[Age]]&lt;=45,"36-45",IF(HR_Data[[#This Row],[Age]]&lt;=55,"46-55","55+"))))</f>
        <v>26-35</v>
      </c>
      <c r="AF1190">
        <f>IF(HR_Data[[#This Row],[Age]]&lt;=25,1,IF(HR_Data[[#This Row],[Age]]&lt;=35,2,IF(HR_Data[[#This Row],[Age]]&lt;=45,3,IF(HR_Data[[#This Row],[Age]]&lt;=55,4,5))))</f>
        <v>2</v>
      </c>
      <c r="AG1190" s="1" t="str">
        <f>IF(HR_Data[[#This Row],[MonthlyIncome]]&lt;3000,"&lt;3K",IF(HR_Data[[#This Row],[MonthlyIncome]]&lt;6000,"3K-6K",IF(HR_Data[[#This Row],[MonthlyIncome]]&lt;10000,"6K-10K","10K+")))</f>
        <v>3K-6K</v>
      </c>
      <c r="AH1190" s="1">
        <f>IF(HR_Data[[#This Row],[MonthlyIncome]]&lt;3000,1,IF(HR_Data[[#This Row],[MonthlyIncome]]&lt;6000,2,IF(HR_Data[[#This Row],[MonthlyIncome]]&lt;10000,3,4)))</f>
        <v>2</v>
      </c>
      <c r="AI1190" s="1" t="str">
        <f>IF(HR_Data[[#This Row],[YearsAtCompany]]&lt;=2,"0-2 Yrs",IF(HR_Data[[#This Row],[YearsAtCompany]]&lt;=5,"3-5 Yrs",IF(HR_Data[[#This Row],[YearsAtCompany]]&lt;=10,"6-10 Yrs","10+ Yrs")))</f>
        <v>6-10 Yrs</v>
      </c>
      <c r="AJ1190" s="1">
        <f>IF(HR_Data[[#This Row],[YearsAtCompany]]&lt;=2,1,IF(HR_Data[[#This Row],[YearsAtCompany]]&lt;=5,2,IF(HR_Data[[#This Row],[YearsAtCompany]]&lt;=10,3,4)))</f>
        <v>3</v>
      </c>
      <c r="AK1190" s="1" t="str">
        <f>CHOOSE(HR_Data[[#This Row],[Education]],"Below College","College","Bachelor","Master","Doctor")</f>
        <v>Bachelor</v>
      </c>
      <c r="AL1190" s="1" t="str">
        <f>CHOOSE(HR_Data[[#This Row],[JobSatisfaction]],"Low","Medium","High","Very High")</f>
        <v>Medium</v>
      </c>
      <c r="AM1190" s="1" t="str">
        <f>CHOOSE(HR_Data[[#This Row],[EnvironmentSatisfaction]],"Low","Medium","High","Very High")</f>
        <v>Low</v>
      </c>
      <c r="AN1190" s="1" t="str">
        <f>CHOOSE(HR_Data[[#This Row],[WorkLifeBalance]],"Bad","Good","Better","Best")</f>
        <v>Good</v>
      </c>
      <c r="AO1190" s="1" t="str">
        <f>IF(HR_Data[[#This Row],[PercentSalaryHike]]&lt;=13,"11-13%",IF(HR_Data[[#This Row],[PercentSalaryHike]]&lt;=16,"14-16%",IF(HR_Data[[#This Row],[PercentSalaryHike]]&lt;=19,"17-19%","20-25%")))</f>
        <v>11-13%</v>
      </c>
      <c r="AP1190" s="1">
        <f>IF(HR_Data[[#This Row],[PercentSalaryHike]]&lt;=13,1,IF(HR_Data[[#This Row],[PercentSalaryHike]]&lt;=16,2,IF(HR_Data[[#This Row],[PercentSalaryHike]]&lt;=19,3,4)))</f>
        <v>1</v>
      </c>
      <c r="AQ1190" s="1" t="str">
        <f>IF(HR_Data[[#This Row],[DistanceFromHome]]&lt;=5,"1 to 5",IF(HR_Data[[#This Row],[DistanceFromHome]]&lt;=10,"6 to 10",IF(HR_Data[[#This Row],[DistanceFromHome]]&lt;=20,"11 to 20","21 to 29")))</f>
        <v>1 to 5</v>
      </c>
      <c r="AR1190" s="1">
        <f>IF(HR_Data[[#This Row],[DistanceFromHome]]&lt;=5,1,IF(HR_Data[[#This Row],[DistanceFromHome]]&lt;=10,2,IF(HR_Data[[#This Row],[DistanceFromHome]]&lt;=20,3,4)))</f>
        <v>1</v>
      </c>
      <c r="AS1190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190" s="1">
        <f>IF(HR_Data[[#This Row],[TotalWorkingYears]]&lt;=5,1,IF(HR_Data[[#This Row],[TotalWorkingYears]]&lt;=10,2,IF(HR_Data[[#This Row],[TotalWorkingYears]]&lt;=20,3,4)))</f>
        <v>2</v>
      </c>
    </row>
    <row r="1191" spans="1:46" x14ac:dyDescent="0.25">
      <c r="A1191">
        <v>33</v>
      </c>
      <c r="B1191" t="s">
        <v>36</v>
      </c>
      <c r="C1191" t="s">
        <v>30</v>
      </c>
      <c r="D1191" t="s">
        <v>31</v>
      </c>
      <c r="E1191">
        <v>2</v>
      </c>
      <c r="F1191">
        <v>4</v>
      </c>
      <c r="G1191" t="s">
        <v>44</v>
      </c>
      <c r="H1191">
        <v>1670</v>
      </c>
      <c r="I1191">
        <v>4</v>
      </c>
      <c r="J1191" t="s">
        <v>39</v>
      </c>
      <c r="K1191">
        <v>3</v>
      </c>
      <c r="L1191">
        <v>2</v>
      </c>
      <c r="M1191" t="s">
        <v>34</v>
      </c>
      <c r="N1191">
        <v>4</v>
      </c>
      <c r="O1191" t="s">
        <v>45</v>
      </c>
      <c r="P1191">
        <v>5505</v>
      </c>
      <c r="Q1191">
        <v>1</v>
      </c>
      <c r="R1191" t="s">
        <v>36</v>
      </c>
      <c r="S1191">
        <v>14</v>
      </c>
      <c r="T1191">
        <v>3</v>
      </c>
      <c r="U1191">
        <v>3</v>
      </c>
      <c r="V1191">
        <v>2</v>
      </c>
      <c r="W1191">
        <v>6</v>
      </c>
      <c r="X1191">
        <v>5</v>
      </c>
      <c r="Y1191">
        <v>3</v>
      </c>
      <c r="Z1191">
        <v>6</v>
      </c>
      <c r="AA1191">
        <v>2</v>
      </c>
      <c r="AB1191">
        <v>0</v>
      </c>
      <c r="AC1191">
        <v>4</v>
      </c>
      <c r="AD1191">
        <f>IF(HR_Data[[#This Row],[Attrition]]="Yes",1,0)</f>
        <v>0</v>
      </c>
      <c r="AE1191" t="str">
        <f>IF(HR_Data[[#This Row],[Age]]&lt;=25,"18-25",IF(HR_Data[[#This Row],[Age]]&lt;=35,"26-35",IF(HR_Data[[#This Row],[Age]]&lt;=45,"36-45",IF(HR_Data[[#This Row],[Age]]&lt;=55,"46-55","55+"))))</f>
        <v>26-35</v>
      </c>
      <c r="AF1191">
        <f>IF(HR_Data[[#This Row],[Age]]&lt;=25,1,IF(HR_Data[[#This Row],[Age]]&lt;=35,2,IF(HR_Data[[#This Row],[Age]]&lt;=45,3,IF(HR_Data[[#This Row],[Age]]&lt;=55,4,5))))</f>
        <v>2</v>
      </c>
      <c r="AG1191" s="1" t="str">
        <f>IF(HR_Data[[#This Row],[MonthlyIncome]]&lt;3000,"&lt;3K",IF(HR_Data[[#This Row],[MonthlyIncome]]&lt;6000,"3K-6K",IF(HR_Data[[#This Row],[MonthlyIncome]]&lt;10000,"6K-10K","10K+")))</f>
        <v>3K-6K</v>
      </c>
      <c r="AH1191" s="1">
        <f>IF(HR_Data[[#This Row],[MonthlyIncome]]&lt;3000,1,IF(HR_Data[[#This Row],[MonthlyIncome]]&lt;6000,2,IF(HR_Data[[#This Row],[MonthlyIncome]]&lt;10000,3,4)))</f>
        <v>2</v>
      </c>
      <c r="AI1191" s="1" t="str">
        <f>IF(HR_Data[[#This Row],[YearsAtCompany]]&lt;=2,"0-2 Yrs",IF(HR_Data[[#This Row],[YearsAtCompany]]&lt;=5,"3-5 Yrs",IF(HR_Data[[#This Row],[YearsAtCompany]]&lt;=10,"6-10 Yrs","10+ Yrs")))</f>
        <v>6-10 Yrs</v>
      </c>
      <c r="AJ1191" s="1">
        <f>IF(HR_Data[[#This Row],[YearsAtCompany]]&lt;=2,1,IF(HR_Data[[#This Row],[YearsAtCompany]]&lt;=5,2,IF(HR_Data[[#This Row],[YearsAtCompany]]&lt;=10,3,4)))</f>
        <v>3</v>
      </c>
      <c r="AK1191" s="1" t="str">
        <f>CHOOSE(HR_Data[[#This Row],[Education]],"Below College","College","Bachelor","Master","Doctor")</f>
        <v>Master</v>
      </c>
      <c r="AL1191" s="1" t="str">
        <f>CHOOSE(HR_Data[[#This Row],[JobSatisfaction]],"Low","Medium","High","Very High")</f>
        <v>Very High</v>
      </c>
      <c r="AM1191" s="1" t="str">
        <f>CHOOSE(HR_Data[[#This Row],[EnvironmentSatisfaction]],"Low","Medium","High","Very High")</f>
        <v>Very High</v>
      </c>
      <c r="AN1191" s="1" t="str">
        <f>CHOOSE(HR_Data[[#This Row],[WorkLifeBalance]],"Bad","Good","Better","Best")</f>
        <v>Better</v>
      </c>
      <c r="AO1191" s="1" t="str">
        <f>IF(HR_Data[[#This Row],[PercentSalaryHike]]&lt;=13,"11-13%",IF(HR_Data[[#This Row],[PercentSalaryHike]]&lt;=16,"14-16%",IF(HR_Data[[#This Row],[PercentSalaryHike]]&lt;=19,"17-19%","20-25%")))</f>
        <v>14-16%</v>
      </c>
      <c r="AP1191" s="1">
        <f>IF(HR_Data[[#This Row],[PercentSalaryHike]]&lt;=13,1,IF(HR_Data[[#This Row],[PercentSalaryHike]]&lt;=16,2,IF(HR_Data[[#This Row],[PercentSalaryHike]]&lt;=19,3,4)))</f>
        <v>2</v>
      </c>
      <c r="AQ1191" s="1" t="str">
        <f>IF(HR_Data[[#This Row],[DistanceFromHome]]&lt;=5,"1 to 5",IF(HR_Data[[#This Row],[DistanceFromHome]]&lt;=10,"6 to 10",IF(HR_Data[[#This Row],[DistanceFromHome]]&lt;=20,"11 to 20","21 to 29")))</f>
        <v>1 to 5</v>
      </c>
      <c r="AR1191" s="1">
        <f>IF(HR_Data[[#This Row],[DistanceFromHome]]&lt;=5,1,IF(HR_Data[[#This Row],[DistanceFromHome]]&lt;=10,2,IF(HR_Data[[#This Row],[DistanceFromHome]]&lt;=20,3,4)))</f>
        <v>1</v>
      </c>
      <c r="AS1191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191" s="1">
        <f>IF(HR_Data[[#This Row],[TotalWorkingYears]]&lt;=5,1,IF(HR_Data[[#This Row],[TotalWorkingYears]]&lt;=10,2,IF(HR_Data[[#This Row],[TotalWorkingYears]]&lt;=20,3,4)))</f>
        <v>2</v>
      </c>
    </row>
    <row r="1192" spans="1:46" x14ac:dyDescent="0.25">
      <c r="A1192">
        <v>32</v>
      </c>
      <c r="B1192" t="s">
        <v>36</v>
      </c>
      <c r="C1192" t="s">
        <v>30</v>
      </c>
      <c r="D1192" t="s">
        <v>38</v>
      </c>
      <c r="E1192">
        <v>2</v>
      </c>
      <c r="F1192">
        <v>3</v>
      </c>
      <c r="G1192" t="s">
        <v>44</v>
      </c>
      <c r="H1192">
        <v>1671</v>
      </c>
      <c r="I1192">
        <v>4</v>
      </c>
      <c r="J1192" t="s">
        <v>39</v>
      </c>
      <c r="K1192">
        <v>3</v>
      </c>
      <c r="L1192">
        <v>2</v>
      </c>
      <c r="M1192" t="s">
        <v>40</v>
      </c>
      <c r="N1192">
        <v>2</v>
      </c>
      <c r="O1192" t="s">
        <v>45</v>
      </c>
      <c r="P1192">
        <v>5470</v>
      </c>
      <c r="Q1192">
        <v>0</v>
      </c>
      <c r="R1192" t="s">
        <v>36</v>
      </c>
      <c r="S1192">
        <v>13</v>
      </c>
      <c r="T1192">
        <v>3</v>
      </c>
      <c r="U1192">
        <v>3</v>
      </c>
      <c r="V1192">
        <v>2</v>
      </c>
      <c r="W1192">
        <v>10</v>
      </c>
      <c r="X1192">
        <v>4</v>
      </c>
      <c r="Y1192">
        <v>2</v>
      </c>
      <c r="Z1192">
        <v>9</v>
      </c>
      <c r="AA1192">
        <v>5</v>
      </c>
      <c r="AB1192">
        <v>1</v>
      </c>
      <c r="AC1192">
        <v>6</v>
      </c>
      <c r="AD1192">
        <f>IF(HR_Data[[#This Row],[Attrition]]="Yes",1,0)</f>
        <v>0</v>
      </c>
      <c r="AE1192" t="str">
        <f>IF(HR_Data[[#This Row],[Age]]&lt;=25,"18-25",IF(HR_Data[[#This Row],[Age]]&lt;=35,"26-35",IF(HR_Data[[#This Row],[Age]]&lt;=45,"36-45",IF(HR_Data[[#This Row],[Age]]&lt;=55,"46-55","55+"))))</f>
        <v>26-35</v>
      </c>
      <c r="AF1192">
        <f>IF(HR_Data[[#This Row],[Age]]&lt;=25,1,IF(HR_Data[[#This Row],[Age]]&lt;=35,2,IF(HR_Data[[#This Row],[Age]]&lt;=45,3,IF(HR_Data[[#This Row],[Age]]&lt;=55,4,5))))</f>
        <v>2</v>
      </c>
      <c r="AG1192" s="1" t="str">
        <f>IF(HR_Data[[#This Row],[MonthlyIncome]]&lt;3000,"&lt;3K",IF(HR_Data[[#This Row],[MonthlyIncome]]&lt;6000,"3K-6K",IF(HR_Data[[#This Row],[MonthlyIncome]]&lt;10000,"6K-10K","10K+")))</f>
        <v>3K-6K</v>
      </c>
      <c r="AH1192" s="1">
        <f>IF(HR_Data[[#This Row],[MonthlyIncome]]&lt;3000,1,IF(HR_Data[[#This Row],[MonthlyIncome]]&lt;6000,2,IF(HR_Data[[#This Row],[MonthlyIncome]]&lt;10000,3,4)))</f>
        <v>2</v>
      </c>
      <c r="AI1192" s="1" t="str">
        <f>IF(HR_Data[[#This Row],[YearsAtCompany]]&lt;=2,"0-2 Yrs",IF(HR_Data[[#This Row],[YearsAtCompany]]&lt;=5,"3-5 Yrs",IF(HR_Data[[#This Row],[YearsAtCompany]]&lt;=10,"6-10 Yrs","10+ Yrs")))</f>
        <v>6-10 Yrs</v>
      </c>
      <c r="AJ1192" s="1">
        <f>IF(HR_Data[[#This Row],[YearsAtCompany]]&lt;=2,1,IF(HR_Data[[#This Row],[YearsAtCompany]]&lt;=5,2,IF(HR_Data[[#This Row],[YearsAtCompany]]&lt;=10,3,4)))</f>
        <v>3</v>
      </c>
      <c r="AK1192" s="1" t="str">
        <f>CHOOSE(HR_Data[[#This Row],[Education]],"Below College","College","Bachelor","Master","Doctor")</f>
        <v>Bachelor</v>
      </c>
      <c r="AL1192" s="1" t="str">
        <f>CHOOSE(HR_Data[[#This Row],[JobSatisfaction]],"Low","Medium","High","Very High")</f>
        <v>Medium</v>
      </c>
      <c r="AM1192" s="1" t="str">
        <f>CHOOSE(HR_Data[[#This Row],[EnvironmentSatisfaction]],"Low","Medium","High","Very High")</f>
        <v>Very High</v>
      </c>
      <c r="AN1192" s="1" t="str">
        <f>CHOOSE(HR_Data[[#This Row],[WorkLifeBalance]],"Bad","Good","Better","Best")</f>
        <v>Good</v>
      </c>
      <c r="AO1192" s="1" t="str">
        <f>IF(HR_Data[[#This Row],[PercentSalaryHike]]&lt;=13,"11-13%",IF(HR_Data[[#This Row],[PercentSalaryHike]]&lt;=16,"14-16%",IF(HR_Data[[#This Row],[PercentSalaryHike]]&lt;=19,"17-19%","20-25%")))</f>
        <v>11-13%</v>
      </c>
      <c r="AP1192" s="1">
        <f>IF(HR_Data[[#This Row],[PercentSalaryHike]]&lt;=13,1,IF(HR_Data[[#This Row],[PercentSalaryHike]]&lt;=16,2,IF(HR_Data[[#This Row],[PercentSalaryHike]]&lt;=19,3,4)))</f>
        <v>1</v>
      </c>
      <c r="AQ1192" s="1" t="str">
        <f>IF(HR_Data[[#This Row],[DistanceFromHome]]&lt;=5,"1 to 5",IF(HR_Data[[#This Row],[DistanceFromHome]]&lt;=10,"6 to 10",IF(HR_Data[[#This Row],[DistanceFromHome]]&lt;=20,"11 to 20","21 to 29")))</f>
        <v>1 to 5</v>
      </c>
      <c r="AR1192" s="1">
        <f>IF(HR_Data[[#This Row],[DistanceFromHome]]&lt;=5,1,IF(HR_Data[[#This Row],[DistanceFromHome]]&lt;=10,2,IF(HR_Data[[#This Row],[DistanceFromHome]]&lt;=20,3,4)))</f>
        <v>1</v>
      </c>
      <c r="AS1192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192" s="1">
        <f>IF(HR_Data[[#This Row],[TotalWorkingYears]]&lt;=5,1,IF(HR_Data[[#This Row],[TotalWorkingYears]]&lt;=10,2,IF(HR_Data[[#This Row],[TotalWorkingYears]]&lt;=20,3,4)))</f>
        <v>2</v>
      </c>
    </row>
    <row r="1193" spans="1:46" x14ac:dyDescent="0.25">
      <c r="A1193">
        <v>31</v>
      </c>
      <c r="B1193" t="s">
        <v>36</v>
      </c>
      <c r="C1193" t="s">
        <v>30</v>
      </c>
      <c r="D1193" t="s">
        <v>31</v>
      </c>
      <c r="E1193">
        <v>5</v>
      </c>
      <c r="F1193">
        <v>4</v>
      </c>
      <c r="G1193" t="s">
        <v>32</v>
      </c>
      <c r="H1193">
        <v>1673</v>
      </c>
      <c r="I1193">
        <v>1</v>
      </c>
      <c r="J1193" t="s">
        <v>33</v>
      </c>
      <c r="K1193">
        <v>3</v>
      </c>
      <c r="L1193">
        <v>2</v>
      </c>
      <c r="M1193" t="s">
        <v>34</v>
      </c>
      <c r="N1193">
        <v>4</v>
      </c>
      <c r="O1193" t="s">
        <v>41</v>
      </c>
      <c r="P1193">
        <v>5476</v>
      </c>
      <c r="Q1193">
        <v>1</v>
      </c>
      <c r="R1193" t="s">
        <v>36</v>
      </c>
      <c r="S1193">
        <v>11</v>
      </c>
      <c r="T1193">
        <v>3</v>
      </c>
      <c r="U1193">
        <v>1</v>
      </c>
      <c r="V1193">
        <v>2</v>
      </c>
      <c r="W1193">
        <v>10</v>
      </c>
      <c r="X1193">
        <v>2</v>
      </c>
      <c r="Y1193">
        <v>3</v>
      </c>
      <c r="Z1193">
        <v>10</v>
      </c>
      <c r="AA1193">
        <v>0</v>
      </c>
      <c r="AB1193">
        <v>0</v>
      </c>
      <c r="AC1193">
        <v>2</v>
      </c>
      <c r="AD1193">
        <f>IF(HR_Data[[#This Row],[Attrition]]="Yes",1,0)</f>
        <v>0</v>
      </c>
      <c r="AE1193" t="str">
        <f>IF(HR_Data[[#This Row],[Age]]&lt;=25,"18-25",IF(HR_Data[[#This Row],[Age]]&lt;=35,"26-35",IF(HR_Data[[#This Row],[Age]]&lt;=45,"36-45",IF(HR_Data[[#This Row],[Age]]&lt;=55,"46-55","55+"))))</f>
        <v>26-35</v>
      </c>
      <c r="AF1193">
        <f>IF(HR_Data[[#This Row],[Age]]&lt;=25,1,IF(HR_Data[[#This Row],[Age]]&lt;=35,2,IF(HR_Data[[#This Row],[Age]]&lt;=45,3,IF(HR_Data[[#This Row],[Age]]&lt;=55,4,5))))</f>
        <v>2</v>
      </c>
      <c r="AG1193" s="1" t="str">
        <f>IF(HR_Data[[#This Row],[MonthlyIncome]]&lt;3000,"&lt;3K",IF(HR_Data[[#This Row],[MonthlyIncome]]&lt;6000,"3K-6K",IF(HR_Data[[#This Row],[MonthlyIncome]]&lt;10000,"6K-10K","10K+")))</f>
        <v>3K-6K</v>
      </c>
      <c r="AH1193" s="1">
        <f>IF(HR_Data[[#This Row],[MonthlyIncome]]&lt;3000,1,IF(HR_Data[[#This Row],[MonthlyIncome]]&lt;6000,2,IF(HR_Data[[#This Row],[MonthlyIncome]]&lt;10000,3,4)))</f>
        <v>2</v>
      </c>
      <c r="AI1193" s="1" t="str">
        <f>IF(HR_Data[[#This Row],[YearsAtCompany]]&lt;=2,"0-2 Yrs",IF(HR_Data[[#This Row],[YearsAtCompany]]&lt;=5,"3-5 Yrs",IF(HR_Data[[#This Row],[YearsAtCompany]]&lt;=10,"6-10 Yrs","10+ Yrs")))</f>
        <v>6-10 Yrs</v>
      </c>
      <c r="AJ1193" s="1">
        <f>IF(HR_Data[[#This Row],[YearsAtCompany]]&lt;=2,1,IF(HR_Data[[#This Row],[YearsAtCompany]]&lt;=5,2,IF(HR_Data[[#This Row],[YearsAtCompany]]&lt;=10,3,4)))</f>
        <v>3</v>
      </c>
      <c r="AK1193" s="1" t="str">
        <f>CHOOSE(HR_Data[[#This Row],[Education]],"Below College","College","Bachelor","Master","Doctor")</f>
        <v>Master</v>
      </c>
      <c r="AL1193" s="1" t="str">
        <f>CHOOSE(HR_Data[[#This Row],[JobSatisfaction]],"Low","Medium","High","Very High")</f>
        <v>Very High</v>
      </c>
      <c r="AM1193" s="1" t="str">
        <f>CHOOSE(HR_Data[[#This Row],[EnvironmentSatisfaction]],"Low","Medium","High","Very High")</f>
        <v>Low</v>
      </c>
      <c r="AN1193" s="1" t="str">
        <f>CHOOSE(HR_Data[[#This Row],[WorkLifeBalance]],"Bad","Good","Better","Best")</f>
        <v>Better</v>
      </c>
      <c r="AO1193" s="1" t="str">
        <f>IF(HR_Data[[#This Row],[PercentSalaryHike]]&lt;=13,"11-13%",IF(HR_Data[[#This Row],[PercentSalaryHike]]&lt;=16,"14-16%",IF(HR_Data[[#This Row],[PercentSalaryHike]]&lt;=19,"17-19%","20-25%")))</f>
        <v>11-13%</v>
      </c>
      <c r="AP1193" s="1">
        <f>IF(HR_Data[[#This Row],[PercentSalaryHike]]&lt;=13,1,IF(HR_Data[[#This Row],[PercentSalaryHike]]&lt;=16,2,IF(HR_Data[[#This Row],[PercentSalaryHike]]&lt;=19,3,4)))</f>
        <v>1</v>
      </c>
      <c r="AQ1193" s="1" t="str">
        <f>IF(HR_Data[[#This Row],[DistanceFromHome]]&lt;=5,"1 to 5",IF(HR_Data[[#This Row],[DistanceFromHome]]&lt;=10,"6 to 10",IF(HR_Data[[#This Row],[DistanceFromHome]]&lt;=20,"11 to 20","21 to 29")))</f>
        <v>1 to 5</v>
      </c>
      <c r="AR1193" s="1">
        <f>IF(HR_Data[[#This Row],[DistanceFromHome]]&lt;=5,1,IF(HR_Data[[#This Row],[DistanceFromHome]]&lt;=10,2,IF(HR_Data[[#This Row],[DistanceFromHome]]&lt;=20,3,4)))</f>
        <v>1</v>
      </c>
      <c r="AS1193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193" s="1">
        <f>IF(HR_Data[[#This Row],[TotalWorkingYears]]&lt;=5,1,IF(HR_Data[[#This Row],[TotalWorkingYears]]&lt;=10,2,IF(HR_Data[[#This Row],[TotalWorkingYears]]&lt;=20,3,4)))</f>
        <v>2</v>
      </c>
    </row>
    <row r="1194" spans="1:46" x14ac:dyDescent="0.25">
      <c r="A1194">
        <v>49</v>
      </c>
      <c r="B1194" t="s">
        <v>36</v>
      </c>
      <c r="C1194" t="s">
        <v>30</v>
      </c>
      <c r="D1194" t="s">
        <v>38</v>
      </c>
      <c r="E1194">
        <v>16</v>
      </c>
      <c r="F1194">
        <v>3</v>
      </c>
      <c r="G1194" t="s">
        <v>44</v>
      </c>
      <c r="H1194">
        <v>1674</v>
      </c>
      <c r="I1194">
        <v>4</v>
      </c>
      <c r="J1194" t="s">
        <v>33</v>
      </c>
      <c r="K1194">
        <v>3</v>
      </c>
      <c r="L1194">
        <v>1</v>
      </c>
      <c r="M1194" t="s">
        <v>43</v>
      </c>
      <c r="N1194">
        <v>1</v>
      </c>
      <c r="O1194" t="s">
        <v>45</v>
      </c>
      <c r="P1194">
        <v>2587</v>
      </c>
      <c r="Q1194">
        <v>4</v>
      </c>
      <c r="R1194" t="s">
        <v>29</v>
      </c>
      <c r="S1194">
        <v>16</v>
      </c>
      <c r="T1194">
        <v>3</v>
      </c>
      <c r="U1194">
        <v>2</v>
      </c>
      <c r="V1194">
        <v>1</v>
      </c>
      <c r="W1194">
        <v>17</v>
      </c>
      <c r="X1194">
        <v>2</v>
      </c>
      <c r="Y1194">
        <v>2</v>
      </c>
      <c r="Z1194">
        <v>2</v>
      </c>
      <c r="AA1194">
        <v>2</v>
      </c>
      <c r="AB1194">
        <v>2</v>
      </c>
      <c r="AC1194">
        <v>2</v>
      </c>
      <c r="AD1194">
        <f>IF(HR_Data[[#This Row],[Attrition]]="Yes",1,0)</f>
        <v>0</v>
      </c>
      <c r="AE1194" t="str">
        <f>IF(HR_Data[[#This Row],[Age]]&lt;=25,"18-25",IF(HR_Data[[#This Row],[Age]]&lt;=35,"26-35",IF(HR_Data[[#This Row],[Age]]&lt;=45,"36-45",IF(HR_Data[[#This Row],[Age]]&lt;=55,"46-55","55+"))))</f>
        <v>46-55</v>
      </c>
      <c r="AF1194">
        <f>IF(HR_Data[[#This Row],[Age]]&lt;=25,1,IF(HR_Data[[#This Row],[Age]]&lt;=35,2,IF(HR_Data[[#This Row],[Age]]&lt;=45,3,IF(HR_Data[[#This Row],[Age]]&lt;=55,4,5))))</f>
        <v>4</v>
      </c>
      <c r="AG1194" s="1" t="str">
        <f>IF(HR_Data[[#This Row],[MonthlyIncome]]&lt;3000,"&lt;3K",IF(HR_Data[[#This Row],[MonthlyIncome]]&lt;6000,"3K-6K",IF(HR_Data[[#This Row],[MonthlyIncome]]&lt;10000,"6K-10K","10K+")))</f>
        <v>&lt;3K</v>
      </c>
      <c r="AH1194" s="1">
        <f>IF(HR_Data[[#This Row],[MonthlyIncome]]&lt;3000,1,IF(HR_Data[[#This Row],[MonthlyIncome]]&lt;6000,2,IF(HR_Data[[#This Row],[MonthlyIncome]]&lt;10000,3,4)))</f>
        <v>1</v>
      </c>
      <c r="AI1194" s="1" t="str">
        <f>IF(HR_Data[[#This Row],[YearsAtCompany]]&lt;=2,"0-2 Yrs",IF(HR_Data[[#This Row],[YearsAtCompany]]&lt;=5,"3-5 Yrs",IF(HR_Data[[#This Row],[YearsAtCompany]]&lt;=10,"6-10 Yrs","10+ Yrs")))</f>
        <v>0-2 Yrs</v>
      </c>
      <c r="AJ1194" s="1">
        <f>IF(HR_Data[[#This Row],[YearsAtCompany]]&lt;=2,1,IF(HR_Data[[#This Row],[YearsAtCompany]]&lt;=5,2,IF(HR_Data[[#This Row],[YearsAtCompany]]&lt;=10,3,4)))</f>
        <v>1</v>
      </c>
      <c r="AK1194" s="1" t="str">
        <f>CHOOSE(HR_Data[[#This Row],[Education]],"Below College","College","Bachelor","Master","Doctor")</f>
        <v>Bachelor</v>
      </c>
      <c r="AL1194" s="1" t="str">
        <f>CHOOSE(HR_Data[[#This Row],[JobSatisfaction]],"Low","Medium","High","Very High")</f>
        <v>Low</v>
      </c>
      <c r="AM1194" s="1" t="str">
        <f>CHOOSE(HR_Data[[#This Row],[EnvironmentSatisfaction]],"Low","Medium","High","Very High")</f>
        <v>Very High</v>
      </c>
      <c r="AN1194" s="1" t="str">
        <f>CHOOSE(HR_Data[[#This Row],[WorkLifeBalance]],"Bad","Good","Better","Best")</f>
        <v>Good</v>
      </c>
      <c r="AO1194" s="1" t="str">
        <f>IF(HR_Data[[#This Row],[PercentSalaryHike]]&lt;=13,"11-13%",IF(HR_Data[[#This Row],[PercentSalaryHike]]&lt;=16,"14-16%",IF(HR_Data[[#This Row],[PercentSalaryHike]]&lt;=19,"17-19%","20-25%")))</f>
        <v>14-16%</v>
      </c>
      <c r="AP1194" s="1">
        <f>IF(HR_Data[[#This Row],[PercentSalaryHike]]&lt;=13,1,IF(HR_Data[[#This Row],[PercentSalaryHike]]&lt;=16,2,IF(HR_Data[[#This Row],[PercentSalaryHike]]&lt;=19,3,4)))</f>
        <v>2</v>
      </c>
      <c r="AQ1194" s="1" t="str">
        <f>IF(HR_Data[[#This Row],[DistanceFromHome]]&lt;=5,"1 to 5",IF(HR_Data[[#This Row],[DistanceFromHome]]&lt;=10,"6 to 10",IF(HR_Data[[#This Row],[DistanceFromHome]]&lt;=20,"11 to 20","21 to 29")))</f>
        <v>11 to 20</v>
      </c>
      <c r="AR1194" s="1">
        <f>IF(HR_Data[[#This Row],[DistanceFromHome]]&lt;=5,1,IF(HR_Data[[#This Row],[DistanceFromHome]]&lt;=10,2,IF(HR_Data[[#This Row],[DistanceFromHome]]&lt;=20,3,4)))</f>
        <v>3</v>
      </c>
      <c r="AS1194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194" s="1">
        <f>IF(HR_Data[[#This Row],[TotalWorkingYears]]&lt;=5,1,IF(HR_Data[[#This Row],[TotalWorkingYears]]&lt;=10,2,IF(HR_Data[[#This Row],[TotalWorkingYears]]&lt;=20,3,4)))</f>
        <v>3</v>
      </c>
    </row>
    <row r="1195" spans="1:46" x14ac:dyDescent="0.25">
      <c r="A1195">
        <v>38</v>
      </c>
      <c r="B1195" t="s">
        <v>36</v>
      </c>
      <c r="C1195" t="s">
        <v>37</v>
      </c>
      <c r="D1195" t="s">
        <v>38</v>
      </c>
      <c r="E1195">
        <v>2</v>
      </c>
      <c r="F1195">
        <v>3</v>
      </c>
      <c r="G1195" t="s">
        <v>44</v>
      </c>
      <c r="H1195">
        <v>1675</v>
      </c>
      <c r="I1195">
        <v>4</v>
      </c>
      <c r="J1195" t="s">
        <v>33</v>
      </c>
      <c r="K1195">
        <v>2</v>
      </c>
      <c r="L1195">
        <v>1</v>
      </c>
      <c r="M1195" t="s">
        <v>43</v>
      </c>
      <c r="N1195">
        <v>2</v>
      </c>
      <c r="O1195" t="s">
        <v>35</v>
      </c>
      <c r="P1195">
        <v>2440</v>
      </c>
      <c r="Q1195">
        <v>1</v>
      </c>
      <c r="R1195" t="s">
        <v>36</v>
      </c>
      <c r="S1195">
        <v>22</v>
      </c>
      <c r="T1195">
        <v>4</v>
      </c>
      <c r="U1195">
        <v>2</v>
      </c>
      <c r="V1195">
        <v>0</v>
      </c>
      <c r="W1195">
        <v>4</v>
      </c>
      <c r="X1195">
        <v>3</v>
      </c>
      <c r="Y1195">
        <v>3</v>
      </c>
      <c r="Z1195">
        <v>4</v>
      </c>
      <c r="AA1195">
        <v>3</v>
      </c>
      <c r="AB1195">
        <v>3</v>
      </c>
      <c r="AC1195">
        <v>3</v>
      </c>
      <c r="AD1195">
        <f>IF(HR_Data[[#This Row],[Attrition]]="Yes",1,0)</f>
        <v>0</v>
      </c>
      <c r="AE1195" t="str">
        <f>IF(HR_Data[[#This Row],[Age]]&lt;=25,"18-25",IF(HR_Data[[#This Row],[Age]]&lt;=35,"26-35",IF(HR_Data[[#This Row],[Age]]&lt;=45,"36-45",IF(HR_Data[[#This Row],[Age]]&lt;=55,"46-55","55+"))))</f>
        <v>36-45</v>
      </c>
      <c r="AF1195">
        <f>IF(HR_Data[[#This Row],[Age]]&lt;=25,1,IF(HR_Data[[#This Row],[Age]]&lt;=35,2,IF(HR_Data[[#This Row],[Age]]&lt;=45,3,IF(HR_Data[[#This Row],[Age]]&lt;=55,4,5))))</f>
        <v>3</v>
      </c>
      <c r="AG1195" s="1" t="str">
        <f>IF(HR_Data[[#This Row],[MonthlyIncome]]&lt;3000,"&lt;3K",IF(HR_Data[[#This Row],[MonthlyIncome]]&lt;6000,"3K-6K",IF(HR_Data[[#This Row],[MonthlyIncome]]&lt;10000,"6K-10K","10K+")))</f>
        <v>&lt;3K</v>
      </c>
      <c r="AH1195" s="1">
        <f>IF(HR_Data[[#This Row],[MonthlyIncome]]&lt;3000,1,IF(HR_Data[[#This Row],[MonthlyIncome]]&lt;6000,2,IF(HR_Data[[#This Row],[MonthlyIncome]]&lt;10000,3,4)))</f>
        <v>1</v>
      </c>
      <c r="AI1195" s="1" t="str">
        <f>IF(HR_Data[[#This Row],[YearsAtCompany]]&lt;=2,"0-2 Yrs",IF(HR_Data[[#This Row],[YearsAtCompany]]&lt;=5,"3-5 Yrs",IF(HR_Data[[#This Row],[YearsAtCompany]]&lt;=10,"6-10 Yrs","10+ Yrs")))</f>
        <v>3-5 Yrs</v>
      </c>
      <c r="AJ1195" s="1">
        <f>IF(HR_Data[[#This Row],[YearsAtCompany]]&lt;=2,1,IF(HR_Data[[#This Row],[YearsAtCompany]]&lt;=5,2,IF(HR_Data[[#This Row],[YearsAtCompany]]&lt;=10,3,4)))</f>
        <v>2</v>
      </c>
      <c r="AK1195" s="1" t="str">
        <f>CHOOSE(HR_Data[[#This Row],[Education]],"Below College","College","Bachelor","Master","Doctor")</f>
        <v>Bachelor</v>
      </c>
      <c r="AL1195" s="1" t="str">
        <f>CHOOSE(HR_Data[[#This Row],[JobSatisfaction]],"Low","Medium","High","Very High")</f>
        <v>Medium</v>
      </c>
      <c r="AM1195" s="1" t="str">
        <f>CHOOSE(HR_Data[[#This Row],[EnvironmentSatisfaction]],"Low","Medium","High","Very High")</f>
        <v>Very High</v>
      </c>
      <c r="AN1195" s="1" t="str">
        <f>CHOOSE(HR_Data[[#This Row],[WorkLifeBalance]],"Bad","Good","Better","Best")</f>
        <v>Better</v>
      </c>
      <c r="AO1195" s="1" t="str">
        <f>IF(HR_Data[[#This Row],[PercentSalaryHike]]&lt;=13,"11-13%",IF(HR_Data[[#This Row],[PercentSalaryHike]]&lt;=16,"14-16%",IF(HR_Data[[#This Row],[PercentSalaryHike]]&lt;=19,"17-19%","20-25%")))</f>
        <v>20-25%</v>
      </c>
      <c r="AP1195" s="1">
        <f>IF(HR_Data[[#This Row],[PercentSalaryHike]]&lt;=13,1,IF(HR_Data[[#This Row],[PercentSalaryHike]]&lt;=16,2,IF(HR_Data[[#This Row],[PercentSalaryHike]]&lt;=19,3,4)))</f>
        <v>4</v>
      </c>
      <c r="AQ1195" s="1" t="str">
        <f>IF(HR_Data[[#This Row],[DistanceFromHome]]&lt;=5,"1 to 5",IF(HR_Data[[#This Row],[DistanceFromHome]]&lt;=10,"6 to 10",IF(HR_Data[[#This Row],[DistanceFromHome]]&lt;=20,"11 to 20","21 to 29")))</f>
        <v>1 to 5</v>
      </c>
      <c r="AR1195" s="1">
        <f>IF(HR_Data[[#This Row],[DistanceFromHome]]&lt;=5,1,IF(HR_Data[[#This Row],[DistanceFromHome]]&lt;=10,2,IF(HR_Data[[#This Row],[DistanceFromHome]]&lt;=20,3,4)))</f>
        <v>1</v>
      </c>
      <c r="AS1195" s="1" t="str">
        <f>IF(HR_Data[[#This Row],[TotalWorkingYears]]&lt;=5,"0-5 Yrs",IF(HR_Data[[#This Row],[TotalWorkingYears]]&lt;=10,"6-10 Yrs",IF(HR_Data[[#This Row],[TotalWorkingYears]]&lt;=20,"11-20 Yrs","20+ Yrs")))</f>
        <v>0-5 Yrs</v>
      </c>
      <c r="AT1195" s="1">
        <f>IF(HR_Data[[#This Row],[TotalWorkingYears]]&lt;=5,1,IF(HR_Data[[#This Row],[TotalWorkingYears]]&lt;=10,2,IF(HR_Data[[#This Row],[TotalWorkingYears]]&lt;=20,3,4)))</f>
        <v>1</v>
      </c>
    </row>
    <row r="1196" spans="1:46" x14ac:dyDescent="0.25">
      <c r="A1196">
        <v>47</v>
      </c>
      <c r="B1196" t="s">
        <v>36</v>
      </c>
      <c r="C1196" t="s">
        <v>30</v>
      </c>
      <c r="D1196" t="s">
        <v>31</v>
      </c>
      <c r="E1196">
        <v>2</v>
      </c>
      <c r="F1196">
        <v>4</v>
      </c>
      <c r="G1196" t="s">
        <v>32</v>
      </c>
      <c r="H1196">
        <v>1676</v>
      </c>
      <c r="I1196">
        <v>2</v>
      </c>
      <c r="J1196" t="s">
        <v>33</v>
      </c>
      <c r="K1196">
        <v>4</v>
      </c>
      <c r="L1196">
        <v>4</v>
      </c>
      <c r="M1196" t="s">
        <v>49</v>
      </c>
      <c r="N1196">
        <v>2</v>
      </c>
      <c r="O1196" t="s">
        <v>45</v>
      </c>
      <c r="P1196">
        <v>15972</v>
      </c>
      <c r="Q1196">
        <v>6</v>
      </c>
      <c r="R1196" t="s">
        <v>36</v>
      </c>
      <c r="S1196">
        <v>14</v>
      </c>
      <c r="T1196">
        <v>3</v>
      </c>
      <c r="U1196">
        <v>3</v>
      </c>
      <c r="V1196">
        <v>3</v>
      </c>
      <c r="W1196">
        <v>29</v>
      </c>
      <c r="X1196">
        <v>2</v>
      </c>
      <c r="Y1196">
        <v>3</v>
      </c>
      <c r="Z1196">
        <v>3</v>
      </c>
      <c r="AA1196">
        <v>2</v>
      </c>
      <c r="AB1196">
        <v>1</v>
      </c>
      <c r="AC1196">
        <v>2</v>
      </c>
      <c r="AD1196">
        <f>IF(HR_Data[[#This Row],[Attrition]]="Yes",1,0)</f>
        <v>0</v>
      </c>
      <c r="AE1196" t="str">
        <f>IF(HR_Data[[#This Row],[Age]]&lt;=25,"18-25",IF(HR_Data[[#This Row],[Age]]&lt;=35,"26-35",IF(HR_Data[[#This Row],[Age]]&lt;=45,"36-45",IF(HR_Data[[#This Row],[Age]]&lt;=55,"46-55","55+"))))</f>
        <v>46-55</v>
      </c>
      <c r="AF1196">
        <f>IF(HR_Data[[#This Row],[Age]]&lt;=25,1,IF(HR_Data[[#This Row],[Age]]&lt;=35,2,IF(HR_Data[[#This Row],[Age]]&lt;=45,3,IF(HR_Data[[#This Row],[Age]]&lt;=55,4,5))))</f>
        <v>4</v>
      </c>
      <c r="AG1196" s="1" t="str">
        <f>IF(HR_Data[[#This Row],[MonthlyIncome]]&lt;3000,"&lt;3K",IF(HR_Data[[#This Row],[MonthlyIncome]]&lt;6000,"3K-6K",IF(HR_Data[[#This Row],[MonthlyIncome]]&lt;10000,"6K-10K","10K+")))</f>
        <v>10K+</v>
      </c>
      <c r="AH1196" s="1">
        <f>IF(HR_Data[[#This Row],[MonthlyIncome]]&lt;3000,1,IF(HR_Data[[#This Row],[MonthlyIncome]]&lt;6000,2,IF(HR_Data[[#This Row],[MonthlyIncome]]&lt;10000,3,4)))</f>
        <v>4</v>
      </c>
      <c r="AI1196" s="1" t="str">
        <f>IF(HR_Data[[#This Row],[YearsAtCompany]]&lt;=2,"0-2 Yrs",IF(HR_Data[[#This Row],[YearsAtCompany]]&lt;=5,"3-5 Yrs",IF(HR_Data[[#This Row],[YearsAtCompany]]&lt;=10,"6-10 Yrs","10+ Yrs")))</f>
        <v>3-5 Yrs</v>
      </c>
      <c r="AJ1196" s="1">
        <f>IF(HR_Data[[#This Row],[YearsAtCompany]]&lt;=2,1,IF(HR_Data[[#This Row],[YearsAtCompany]]&lt;=5,2,IF(HR_Data[[#This Row],[YearsAtCompany]]&lt;=10,3,4)))</f>
        <v>2</v>
      </c>
      <c r="AK1196" s="1" t="str">
        <f>CHOOSE(HR_Data[[#This Row],[Education]],"Below College","College","Bachelor","Master","Doctor")</f>
        <v>Master</v>
      </c>
      <c r="AL1196" s="1" t="str">
        <f>CHOOSE(HR_Data[[#This Row],[JobSatisfaction]],"Low","Medium","High","Very High")</f>
        <v>Medium</v>
      </c>
      <c r="AM1196" s="1" t="str">
        <f>CHOOSE(HR_Data[[#This Row],[EnvironmentSatisfaction]],"Low","Medium","High","Very High")</f>
        <v>Medium</v>
      </c>
      <c r="AN1196" s="1" t="str">
        <f>CHOOSE(HR_Data[[#This Row],[WorkLifeBalance]],"Bad","Good","Better","Best")</f>
        <v>Better</v>
      </c>
      <c r="AO1196" s="1" t="str">
        <f>IF(HR_Data[[#This Row],[PercentSalaryHike]]&lt;=13,"11-13%",IF(HR_Data[[#This Row],[PercentSalaryHike]]&lt;=16,"14-16%",IF(HR_Data[[#This Row],[PercentSalaryHike]]&lt;=19,"17-19%","20-25%")))</f>
        <v>14-16%</v>
      </c>
      <c r="AP1196" s="1">
        <f>IF(HR_Data[[#This Row],[PercentSalaryHike]]&lt;=13,1,IF(HR_Data[[#This Row],[PercentSalaryHike]]&lt;=16,2,IF(HR_Data[[#This Row],[PercentSalaryHike]]&lt;=19,3,4)))</f>
        <v>2</v>
      </c>
      <c r="AQ1196" s="1" t="str">
        <f>IF(HR_Data[[#This Row],[DistanceFromHome]]&lt;=5,"1 to 5",IF(HR_Data[[#This Row],[DistanceFromHome]]&lt;=10,"6 to 10",IF(HR_Data[[#This Row],[DistanceFromHome]]&lt;=20,"11 to 20","21 to 29")))</f>
        <v>1 to 5</v>
      </c>
      <c r="AR1196" s="1">
        <f>IF(HR_Data[[#This Row],[DistanceFromHome]]&lt;=5,1,IF(HR_Data[[#This Row],[DistanceFromHome]]&lt;=10,2,IF(HR_Data[[#This Row],[DistanceFromHome]]&lt;=20,3,4)))</f>
        <v>1</v>
      </c>
      <c r="AS1196" s="1" t="str">
        <f>IF(HR_Data[[#This Row],[TotalWorkingYears]]&lt;=5,"0-5 Yrs",IF(HR_Data[[#This Row],[TotalWorkingYears]]&lt;=10,"6-10 Yrs",IF(HR_Data[[#This Row],[TotalWorkingYears]]&lt;=20,"11-20 Yrs","20+ Yrs")))</f>
        <v>20+ Yrs</v>
      </c>
      <c r="AT1196" s="1">
        <f>IF(HR_Data[[#This Row],[TotalWorkingYears]]&lt;=5,1,IF(HR_Data[[#This Row],[TotalWorkingYears]]&lt;=10,2,IF(HR_Data[[#This Row],[TotalWorkingYears]]&lt;=20,3,4)))</f>
        <v>4</v>
      </c>
    </row>
    <row r="1197" spans="1:46" x14ac:dyDescent="0.25">
      <c r="A1197">
        <v>49</v>
      </c>
      <c r="B1197" t="s">
        <v>36</v>
      </c>
      <c r="C1197" t="s">
        <v>30</v>
      </c>
      <c r="D1197" t="s">
        <v>38</v>
      </c>
      <c r="E1197">
        <v>1</v>
      </c>
      <c r="F1197">
        <v>3</v>
      </c>
      <c r="G1197" t="s">
        <v>32</v>
      </c>
      <c r="H1197">
        <v>1677</v>
      </c>
      <c r="I1197">
        <v>3</v>
      </c>
      <c r="J1197" t="s">
        <v>39</v>
      </c>
      <c r="K1197">
        <v>3</v>
      </c>
      <c r="L1197">
        <v>4</v>
      </c>
      <c r="M1197" t="s">
        <v>49</v>
      </c>
      <c r="N1197">
        <v>3</v>
      </c>
      <c r="O1197" t="s">
        <v>35</v>
      </c>
      <c r="P1197">
        <v>15379</v>
      </c>
      <c r="Q1197">
        <v>4</v>
      </c>
      <c r="R1197" t="s">
        <v>36</v>
      </c>
      <c r="S1197">
        <v>14</v>
      </c>
      <c r="T1197">
        <v>3</v>
      </c>
      <c r="U1197">
        <v>1</v>
      </c>
      <c r="V1197">
        <v>0</v>
      </c>
      <c r="W1197">
        <v>23</v>
      </c>
      <c r="X1197">
        <v>2</v>
      </c>
      <c r="Y1197">
        <v>3</v>
      </c>
      <c r="Z1197">
        <v>8</v>
      </c>
      <c r="AA1197">
        <v>7</v>
      </c>
      <c r="AB1197">
        <v>0</v>
      </c>
      <c r="AC1197">
        <v>0</v>
      </c>
      <c r="AD1197">
        <f>IF(HR_Data[[#This Row],[Attrition]]="Yes",1,0)</f>
        <v>0</v>
      </c>
      <c r="AE1197" t="str">
        <f>IF(HR_Data[[#This Row],[Age]]&lt;=25,"18-25",IF(HR_Data[[#This Row],[Age]]&lt;=35,"26-35",IF(HR_Data[[#This Row],[Age]]&lt;=45,"36-45",IF(HR_Data[[#This Row],[Age]]&lt;=55,"46-55","55+"))))</f>
        <v>46-55</v>
      </c>
      <c r="AF1197">
        <f>IF(HR_Data[[#This Row],[Age]]&lt;=25,1,IF(HR_Data[[#This Row],[Age]]&lt;=35,2,IF(HR_Data[[#This Row],[Age]]&lt;=45,3,IF(HR_Data[[#This Row],[Age]]&lt;=55,4,5))))</f>
        <v>4</v>
      </c>
      <c r="AG1197" s="1" t="str">
        <f>IF(HR_Data[[#This Row],[MonthlyIncome]]&lt;3000,"&lt;3K",IF(HR_Data[[#This Row],[MonthlyIncome]]&lt;6000,"3K-6K",IF(HR_Data[[#This Row],[MonthlyIncome]]&lt;10000,"6K-10K","10K+")))</f>
        <v>10K+</v>
      </c>
      <c r="AH1197" s="1">
        <f>IF(HR_Data[[#This Row],[MonthlyIncome]]&lt;3000,1,IF(HR_Data[[#This Row],[MonthlyIncome]]&lt;6000,2,IF(HR_Data[[#This Row],[MonthlyIncome]]&lt;10000,3,4)))</f>
        <v>4</v>
      </c>
      <c r="AI1197" s="1" t="str">
        <f>IF(HR_Data[[#This Row],[YearsAtCompany]]&lt;=2,"0-2 Yrs",IF(HR_Data[[#This Row],[YearsAtCompany]]&lt;=5,"3-5 Yrs",IF(HR_Data[[#This Row],[YearsAtCompany]]&lt;=10,"6-10 Yrs","10+ Yrs")))</f>
        <v>6-10 Yrs</v>
      </c>
      <c r="AJ1197" s="1">
        <f>IF(HR_Data[[#This Row],[YearsAtCompany]]&lt;=2,1,IF(HR_Data[[#This Row],[YearsAtCompany]]&lt;=5,2,IF(HR_Data[[#This Row],[YearsAtCompany]]&lt;=10,3,4)))</f>
        <v>3</v>
      </c>
      <c r="AK1197" s="1" t="str">
        <f>CHOOSE(HR_Data[[#This Row],[Education]],"Below College","College","Bachelor","Master","Doctor")</f>
        <v>Bachelor</v>
      </c>
      <c r="AL1197" s="1" t="str">
        <f>CHOOSE(HR_Data[[#This Row],[JobSatisfaction]],"Low","Medium","High","Very High")</f>
        <v>High</v>
      </c>
      <c r="AM1197" s="1" t="str">
        <f>CHOOSE(HR_Data[[#This Row],[EnvironmentSatisfaction]],"Low","Medium","High","Very High")</f>
        <v>High</v>
      </c>
      <c r="AN1197" s="1" t="str">
        <f>CHOOSE(HR_Data[[#This Row],[WorkLifeBalance]],"Bad","Good","Better","Best")</f>
        <v>Better</v>
      </c>
      <c r="AO1197" s="1" t="str">
        <f>IF(HR_Data[[#This Row],[PercentSalaryHike]]&lt;=13,"11-13%",IF(HR_Data[[#This Row],[PercentSalaryHike]]&lt;=16,"14-16%",IF(HR_Data[[#This Row],[PercentSalaryHike]]&lt;=19,"17-19%","20-25%")))</f>
        <v>14-16%</v>
      </c>
      <c r="AP1197" s="1">
        <f>IF(HR_Data[[#This Row],[PercentSalaryHike]]&lt;=13,1,IF(HR_Data[[#This Row],[PercentSalaryHike]]&lt;=16,2,IF(HR_Data[[#This Row],[PercentSalaryHike]]&lt;=19,3,4)))</f>
        <v>2</v>
      </c>
      <c r="AQ1197" s="1" t="str">
        <f>IF(HR_Data[[#This Row],[DistanceFromHome]]&lt;=5,"1 to 5",IF(HR_Data[[#This Row],[DistanceFromHome]]&lt;=10,"6 to 10",IF(HR_Data[[#This Row],[DistanceFromHome]]&lt;=20,"11 to 20","21 to 29")))</f>
        <v>1 to 5</v>
      </c>
      <c r="AR1197" s="1">
        <f>IF(HR_Data[[#This Row],[DistanceFromHome]]&lt;=5,1,IF(HR_Data[[#This Row],[DistanceFromHome]]&lt;=10,2,IF(HR_Data[[#This Row],[DistanceFromHome]]&lt;=20,3,4)))</f>
        <v>1</v>
      </c>
      <c r="AS1197" s="1" t="str">
        <f>IF(HR_Data[[#This Row],[TotalWorkingYears]]&lt;=5,"0-5 Yrs",IF(HR_Data[[#This Row],[TotalWorkingYears]]&lt;=10,"6-10 Yrs",IF(HR_Data[[#This Row],[TotalWorkingYears]]&lt;=20,"11-20 Yrs","20+ Yrs")))</f>
        <v>20+ Yrs</v>
      </c>
      <c r="AT1197" s="1">
        <f>IF(HR_Data[[#This Row],[TotalWorkingYears]]&lt;=5,1,IF(HR_Data[[#This Row],[TotalWorkingYears]]&lt;=10,2,IF(HR_Data[[#This Row],[TotalWorkingYears]]&lt;=20,3,4)))</f>
        <v>4</v>
      </c>
    </row>
    <row r="1198" spans="1:46" x14ac:dyDescent="0.25">
      <c r="A1198">
        <v>41</v>
      </c>
      <c r="B1198" t="s">
        <v>36</v>
      </c>
      <c r="C1198" t="s">
        <v>30</v>
      </c>
      <c r="D1198" t="s">
        <v>31</v>
      </c>
      <c r="E1198">
        <v>23</v>
      </c>
      <c r="F1198">
        <v>2</v>
      </c>
      <c r="G1198" t="s">
        <v>32</v>
      </c>
      <c r="H1198">
        <v>1678</v>
      </c>
      <c r="I1198">
        <v>4</v>
      </c>
      <c r="J1198" t="s">
        <v>39</v>
      </c>
      <c r="K1198">
        <v>3</v>
      </c>
      <c r="L1198">
        <v>3</v>
      </c>
      <c r="M1198" t="s">
        <v>34</v>
      </c>
      <c r="N1198">
        <v>3</v>
      </c>
      <c r="O1198" t="s">
        <v>35</v>
      </c>
      <c r="P1198">
        <v>7082</v>
      </c>
      <c r="Q1198">
        <v>3</v>
      </c>
      <c r="R1198" t="s">
        <v>29</v>
      </c>
      <c r="S1198">
        <v>16</v>
      </c>
      <c r="T1198">
        <v>3</v>
      </c>
      <c r="U1198">
        <v>4</v>
      </c>
      <c r="V1198">
        <v>0</v>
      </c>
      <c r="W1198">
        <v>21</v>
      </c>
      <c r="X1198">
        <v>2</v>
      </c>
      <c r="Y1198">
        <v>3</v>
      </c>
      <c r="Z1198">
        <v>2</v>
      </c>
      <c r="AA1198">
        <v>0</v>
      </c>
      <c r="AB1198">
        <v>0</v>
      </c>
      <c r="AC1198">
        <v>2</v>
      </c>
      <c r="AD1198">
        <f>IF(HR_Data[[#This Row],[Attrition]]="Yes",1,0)</f>
        <v>0</v>
      </c>
      <c r="AE1198" t="str">
        <f>IF(HR_Data[[#This Row],[Age]]&lt;=25,"18-25",IF(HR_Data[[#This Row],[Age]]&lt;=35,"26-35",IF(HR_Data[[#This Row],[Age]]&lt;=45,"36-45",IF(HR_Data[[#This Row],[Age]]&lt;=55,"46-55","55+"))))</f>
        <v>36-45</v>
      </c>
      <c r="AF1198">
        <f>IF(HR_Data[[#This Row],[Age]]&lt;=25,1,IF(HR_Data[[#This Row],[Age]]&lt;=35,2,IF(HR_Data[[#This Row],[Age]]&lt;=45,3,IF(HR_Data[[#This Row],[Age]]&lt;=55,4,5))))</f>
        <v>3</v>
      </c>
      <c r="AG1198" s="1" t="str">
        <f>IF(HR_Data[[#This Row],[MonthlyIncome]]&lt;3000,"&lt;3K",IF(HR_Data[[#This Row],[MonthlyIncome]]&lt;6000,"3K-6K",IF(HR_Data[[#This Row],[MonthlyIncome]]&lt;10000,"6K-10K","10K+")))</f>
        <v>6K-10K</v>
      </c>
      <c r="AH1198" s="1">
        <f>IF(HR_Data[[#This Row],[MonthlyIncome]]&lt;3000,1,IF(HR_Data[[#This Row],[MonthlyIncome]]&lt;6000,2,IF(HR_Data[[#This Row],[MonthlyIncome]]&lt;10000,3,4)))</f>
        <v>3</v>
      </c>
      <c r="AI1198" s="1" t="str">
        <f>IF(HR_Data[[#This Row],[YearsAtCompany]]&lt;=2,"0-2 Yrs",IF(HR_Data[[#This Row],[YearsAtCompany]]&lt;=5,"3-5 Yrs",IF(HR_Data[[#This Row],[YearsAtCompany]]&lt;=10,"6-10 Yrs","10+ Yrs")))</f>
        <v>0-2 Yrs</v>
      </c>
      <c r="AJ1198" s="1">
        <f>IF(HR_Data[[#This Row],[YearsAtCompany]]&lt;=2,1,IF(HR_Data[[#This Row],[YearsAtCompany]]&lt;=5,2,IF(HR_Data[[#This Row],[YearsAtCompany]]&lt;=10,3,4)))</f>
        <v>1</v>
      </c>
      <c r="AK1198" s="1" t="str">
        <f>CHOOSE(HR_Data[[#This Row],[Education]],"Below College","College","Bachelor","Master","Doctor")</f>
        <v>College</v>
      </c>
      <c r="AL1198" s="1" t="str">
        <f>CHOOSE(HR_Data[[#This Row],[JobSatisfaction]],"Low","Medium","High","Very High")</f>
        <v>High</v>
      </c>
      <c r="AM1198" s="1" t="str">
        <f>CHOOSE(HR_Data[[#This Row],[EnvironmentSatisfaction]],"Low","Medium","High","Very High")</f>
        <v>Very High</v>
      </c>
      <c r="AN1198" s="1" t="str">
        <f>CHOOSE(HR_Data[[#This Row],[WorkLifeBalance]],"Bad","Good","Better","Best")</f>
        <v>Better</v>
      </c>
      <c r="AO1198" s="1" t="str">
        <f>IF(HR_Data[[#This Row],[PercentSalaryHike]]&lt;=13,"11-13%",IF(HR_Data[[#This Row],[PercentSalaryHike]]&lt;=16,"14-16%",IF(HR_Data[[#This Row],[PercentSalaryHike]]&lt;=19,"17-19%","20-25%")))</f>
        <v>14-16%</v>
      </c>
      <c r="AP1198" s="1">
        <f>IF(HR_Data[[#This Row],[PercentSalaryHike]]&lt;=13,1,IF(HR_Data[[#This Row],[PercentSalaryHike]]&lt;=16,2,IF(HR_Data[[#This Row],[PercentSalaryHike]]&lt;=19,3,4)))</f>
        <v>2</v>
      </c>
      <c r="AQ1198" s="1" t="str">
        <f>IF(HR_Data[[#This Row],[DistanceFromHome]]&lt;=5,"1 to 5",IF(HR_Data[[#This Row],[DistanceFromHome]]&lt;=10,"6 to 10",IF(HR_Data[[#This Row],[DistanceFromHome]]&lt;=20,"11 to 20","21 to 29")))</f>
        <v>21 to 29</v>
      </c>
      <c r="AR1198" s="1">
        <f>IF(HR_Data[[#This Row],[DistanceFromHome]]&lt;=5,1,IF(HR_Data[[#This Row],[DistanceFromHome]]&lt;=10,2,IF(HR_Data[[#This Row],[DistanceFromHome]]&lt;=20,3,4)))</f>
        <v>4</v>
      </c>
      <c r="AS1198" s="1" t="str">
        <f>IF(HR_Data[[#This Row],[TotalWorkingYears]]&lt;=5,"0-5 Yrs",IF(HR_Data[[#This Row],[TotalWorkingYears]]&lt;=10,"6-10 Yrs",IF(HR_Data[[#This Row],[TotalWorkingYears]]&lt;=20,"11-20 Yrs","20+ Yrs")))</f>
        <v>20+ Yrs</v>
      </c>
      <c r="AT1198" s="1">
        <f>IF(HR_Data[[#This Row],[TotalWorkingYears]]&lt;=5,1,IF(HR_Data[[#This Row],[TotalWorkingYears]]&lt;=10,2,IF(HR_Data[[#This Row],[TotalWorkingYears]]&lt;=20,3,4)))</f>
        <v>4</v>
      </c>
    </row>
    <row r="1199" spans="1:46" x14ac:dyDescent="0.25">
      <c r="A1199">
        <v>20</v>
      </c>
      <c r="B1199" t="s">
        <v>36</v>
      </c>
      <c r="C1199" t="s">
        <v>30</v>
      </c>
      <c r="D1199" t="s">
        <v>31</v>
      </c>
      <c r="E1199">
        <v>9</v>
      </c>
      <c r="F1199">
        <v>1</v>
      </c>
      <c r="G1199" t="s">
        <v>32</v>
      </c>
      <c r="H1199">
        <v>1680</v>
      </c>
      <c r="I1199">
        <v>4</v>
      </c>
      <c r="J1199" t="s">
        <v>39</v>
      </c>
      <c r="K1199">
        <v>3</v>
      </c>
      <c r="L1199">
        <v>1</v>
      </c>
      <c r="M1199" t="s">
        <v>50</v>
      </c>
      <c r="N1199">
        <v>1</v>
      </c>
      <c r="O1199" t="s">
        <v>35</v>
      </c>
      <c r="P1199">
        <v>2728</v>
      </c>
      <c r="Q1199">
        <v>1</v>
      </c>
      <c r="R1199" t="s">
        <v>36</v>
      </c>
      <c r="S1199">
        <v>11</v>
      </c>
      <c r="T1199">
        <v>3</v>
      </c>
      <c r="U1199">
        <v>1</v>
      </c>
      <c r="V1199">
        <v>0</v>
      </c>
      <c r="W1199">
        <v>2</v>
      </c>
      <c r="X1199">
        <v>3</v>
      </c>
      <c r="Y1199">
        <v>3</v>
      </c>
      <c r="Z1199">
        <v>2</v>
      </c>
      <c r="AA1199">
        <v>2</v>
      </c>
      <c r="AB1199">
        <v>0</v>
      </c>
      <c r="AC1199">
        <v>2</v>
      </c>
      <c r="AD1199">
        <f>IF(HR_Data[[#This Row],[Attrition]]="Yes",1,0)</f>
        <v>0</v>
      </c>
      <c r="AE1199" t="str">
        <f>IF(HR_Data[[#This Row],[Age]]&lt;=25,"18-25",IF(HR_Data[[#This Row],[Age]]&lt;=35,"26-35",IF(HR_Data[[#This Row],[Age]]&lt;=45,"36-45",IF(HR_Data[[#This Row],[Age]]&lt;=55,"46-55","55+"))))</f>
        <v>18-25</v>
      </c>
      <c r="AF1199">
        <f>IF(HR_Data[[#This Row],[Age]]&lt;=25,1,IF(HR_Data[[#This Row],[Age]]&lt;=35,2,IF(HR_Data[[#This Row],[Age]]&lt;=45,3,IF(HR_Data[[#This Row],[Age]]&lt;=55,4,5))))</f>
        <v>1</v>
      </c>
      <c r="AG1199" s="1" t="str">
        <f>IF(HR_Data[[#This Row],[MonthlyIncome]]&lt;3000,"&lt;3K",IF(HR_Data[[#This Row],[MonthlyIncome]]&lt;6000,"3K-6K",IF(HR_Data[[#This Row],[MonthlyIncome]]&lt;10000,"6K-10K","10K+")))</f>
        <v>&lt;3K</v>
      </c>
      <c r="AH1199" s="1">
        <f>IF(HR_Data[[#This Row],[MonthlyIncome]]&lt;3000,1,IF(HR_Data[[#This Row],[MonthlyIncome]]&lt;6000,2,IF(HR_Data[[#This Row],[MonthlyIncome]]&lt;10000,3,4)))</f>
        <v>1</v>
      </c>
      <c r="AI1199" s="1" t="str">
        <f>IF(HR_Data[[#This Row],[YearsAtCompany]]&lt;=2,"0-2 Yrs",IF(HR_Data[[#This Row],[YearsAtCompany]]&lt;=5,"3-5 Yrs",IF(HR_Data[[#This Row],[YearsAtCompany]]&lt;=10,"6-10 Yrs","10+ Yrs")))</f>
        <v>0-2 Yrs</v>
      </c>
      <c r="AJ1199" s="1">
        <f>IF(HR_Data[[#This Row],[YearsAtCompany]]&lt;=2,1,IF(HR_Data[[#This Row],[YearsAtCompany]]&lt;=5,2,IF(HR_Data[[#This Row],[YearsAtCompany]]&lt;=10,3,4)))</f>
        <v>1</v>
      </c>
      <c r="AK1199" s="1" t="str">
        <f>CHOOSE(HR_Data[[#This Row],[Education]],"Below College","College","Bachelor","Master","Doctor")</f>
        <v>Below College</v>
      </c>
      <c r="AL1199" s="1" t="str">
        <f>CHOOSE(HR_Data[[#This Row],[JobSatisfaction]],"Low","Medium","High","Very High")</f>
        <v>Low</v>
      </c>
      <c r="AM1199" s="1" t="str">
        <f>CHOOSE(HR_Data[[#This Row],[EnvironmentSatisfaction]],"Low","Medium","High","Very High")</f>
        <v>Very High</v>
      </c>
      <c r="AN1199" s="1" t="str">
        <f>CHOOSE(HR_Data[[#This Row],[WorkLifeBalance]],"Bad","Good","Better","Best")</f>
        <v>Better</v>
      </c>
      <c r="AO1199" s="1" t="str">
        <f>IF(HR_Data[[#This Row],[PercentSalaryHike]]&lt;=13,"11-13%",IF(HR_Data[[#This Row],[PercentSalaryHike]]&lt;=16,"14-16%",IF(HR_Data[[#This Row],[PercentSalaryHike]]&lt;=19,"17-19%","20-25%")))</f>
        <v>11-13%</v>
      </c>
      <c r="AP1199" s="1">
        <f>IF(HR_Data[[#This Row],[PercentSalaryHike]]&lt;=13,1,IF(HR_Data[[#This Row],[PercentSalaryHike]]&lt;=16,2,IF(HR_Data[[#This Row],[PercentSalaryHike]]&lt;=19,3,4)))</f>
        <v>1</v>
      </c>
      <c r="AQ1199" s="1" t="str">
        <f>IF(HR_Data[[#This Row],[DistanceFromHome]]&lt;=5,"1 to 5",IF(HR_Data[[#This Row],[DistanceFromHome]]&lt;=10,"6 to 10",IF(HR_Data[[#This Row],[DistanceFromHome]]&lt;=20,"11 to 20","21 to 29")))</f>
        <v>6 to 10</v>
      </c>
      <c r="AR1199" s="1">
        <f>IF(HR_Data[[#This Row],[DistanceFromHome]]&lt;=5,1,IF(HR_Data[[#This Row],[DistanceFromHome]]&lt;=10,2,IF(HR_Data[[#This Row],[DistanceFromHome]]&lt;=20,3,4)))</f>
        <v>2</v>
      </c>
      <c r="AS1199" s="1" t="str">
        <f>IF(HR_Data[[#This Row],[TotalWorkingYears]]&lt;=5,"0-5 Yrs",IF(HR_Data[[#This Row],[TotalWorkingYears]]&lt;=10,"6-10 Yrs",IF(HR_Data[[#This Row],[TotalWorkingYears]]&lt;=20,"11-20 Yrs","20+ Yrs")))</f>
        <v>0-5 Yrs</v>
      </c>
      <c r="AT1199" s="1">
        <f>IF(HR_Data[[#This Row],[TotalWorkingYears]]&lt;=5,1,IF(HR_Data[[#This Row],[TotalWorkingYears]]&lt;=10,2,IF(HR_Data[[#This Row],[TotalWorkingYears]]&lt;=20,3,4)))</f>
        <v>1</v>
      </c>
    </row>
    <row r="1200" spans="1:46" x14ac:dyDescent="0.25">
      <c r="A1200">
        <v>33</v>
      </c>
      <c r="B1200" t="s">
        <v>36</v>
      </c>
      <c r="C1200" t="s">
        <v>48</v>
      </c>
      <c r="D1200" t="s">
        <v>31</v>
      </c>
      <c r="E1200">
        <v>16</v>
      </c>
      <c r="F1200">
        <v>3</v>
      </c>
      <c r="G1200" t="s">
        <v>32</v>
      </c>
      <c r="H1200">
        <v>1681</v>
      </c>
      <c r="I1200">
        <v>3</v>
      </c>
      <c r="J1200" t="s">
        <v>33</v>
      </c>
      <c r="K1200">
        <v>3</v>
      </c>
      <c r="L1200">
        <v>2</v>
      </c>
      <c r="M1200" t="s">
        <v>34</v>
      </c>
      <c r="N1200">
        <v>4</v>
      </c>
      <c r="O1200" t="s">
        <v>45</v>
      </c>
      <c r="P1200">
        <v>5368</v>
      </c>
      <c r="Q1200">
        <v>1</v>
      </c>
      <c r="R1200" t="s">
        <v>29</v>
      </c>
      <c r="S1200">
        <v>25</v>
      </c>
      <c r="T1200">
        <v>4</v>
      </c>
      <c r="U1200">
        <v>3</v>
      </c>
      <c r="V1200">
        <v>1</v>
      </c>
      <c r="W1200">
        <v>7</v>
      </c>
      <c r="X1200">
        <v>2</v>
      </c>
      <c r="Y1200">
        <v>3</v>
      </c>
      <c r="Z1200">
        <v>6</v>
      </c>
      <c r="AA1200">
        <v>5</v>
      </c>
      <c r="AB1200">
        <v>1</v>
      </c>
      <c r="AC1200">
        <v>2</v>
      </c>
      <c r="AD1200">
        <f>IF(HR_Data[[#This Row],[Attrition]]="Yes",1,0)</f>
        <v>0</v>
      </c>
      <c r="AE1200" t="str">
        <f>IF(HR_Data[[#This Row],[Age]]&lt;=25,"18-25",IF(HR_Data[[#This Row],[Age]]&lt;=35,"26-35",IF(HR_Data[[#This Row],[Age]]&lt;=45,"36-45",IF(HR_Data[[#This Row],[Age]]&lt;=55,"46-55","55+"))))</f>
        <v>26-35</v>
      </c>
      <c r="AF1200">
        <f>IF(HR_Data[[#This Row],[Age]]&lt;=25,1,IF(HR_Data[[#This Row],[Age]]&lt;=35,2,IF(HR_Data[[#This Row],[Age]]&lt;=45,3,IF(HR_Data[[#This Row],[Age]]&lt;=55,4,5))))</f>
        <v>2</v>
      </c>
      <c r="AG1200" s="1" t="str">
        <f>IF(HR_Data[[#This Row],[MonthlyIncome]]&lt;3000,"&lt;3K",IF(HR_Data[[#This Row],[MonthlyIncome]]&lt;6000,"3K-6K",IF(HR_Data[[#This Row],[MonthlyIncome]]&lt;10000,"6K-10K","10K+")))</f>
        <v>3K-6K</v>
      </c>
      <c r="AH1200" s="1">
        <f>IF(HR_Data[[#This Row],[MonthlyIncome]]&lt;3000,1,IF(HR_Data[[#This Row],[MonthlyIncome]]&lt;6000,2,IF(HR_Data[[#This Row],[MonthlyIncome]]&lt;10000,3,4)))</f>
        <v>2</v>
      </c>
      <c r="AI1200" s="1" t="str">
        <f>IF(HR_Data[[#This Row],[YearsAtCompany]]&lt;=2,"0-2 Yrs",IF(HR_Data[[#This Row],[YearsAtCompany]]&lt;=5,"3-5 Yrs",IF(HR_Data[[#This Row],[YearsAtCompany]]&lt;=10,"6-10 Yrs","10+ Yrs")))</f>
        <v>6-10 Yrs</v>
      </c>
      <c r="AJ1200" s="1">
        <f>IF(HR_Data[[#This Row],[YearsAtCompany]]&lt;=2,1,IF(HR_Data[[#This Row],[YearsAtCompany]]&lt;=5,2,IF(HR_Data[[#This Row],[YearsAtCompany]]&lt;=10,3,4)))</f>
        <v>3</v>
      </c>
      <c r="AK1200" s="1" t="str">
        <f>CHOOSE(HR_Data[[#This Row],[Education]],"Below College","College","Bachelor","Master","Doctor")</f>
        <v>Bachelor</v>
      </c>
      <c r="AL1200" s="1" t="str">
        <f>CHOOSE(HR_Data[[#This Row],[JobSatisfaction]],"Low","Medium","High","Very High")</f>
        <v>Very High</v>
      </c>
      <c r="AM1200" s="1" t="str">
        <f>CHOOSE(HR_Data[[#This Row],[EnvironmentSatisfaction]],"Low","Medium","High","Very High")</f>
        <v>High</v>
      </c>
      <c r="AN1200" s="1" t="str">
        <f>CHOOSE(HR_Data[[#This Row],[WorkLifeBalance]],"Bad","Good","Better","Best")</f>
        <v>Better</v>
      </c>
      <c r="AO1200" s="1" t="str">
        <f>IF(HR_Data[[#This Row],[PercentSalaryHike]]&lt;=13,"11-13%",IF(HR_Data[[#This Row],[PercentSalaryHike]]&lt;=16,"14-16%",IF(HR_Data[[#This Row],[PercentSalaryHike]]&lt;=19,"17-19%","20-25%")))</f>
        <v>20-25%</v>
      </c>
      <c r="AP1200" s="1">
        <f>IF(HR_Data[[#This Row],[PercentSalaryHike]]&lt;=13,1,IF(HR_Data[[#This Row],[PercentSalaryHike]]&lt;=16,2,IF(HR_Data[[#This Row],[PercentSalaryHike]]&lt;=19,3,4)))</f>
        <v>4</v>
      </c>
      <c r="AQ1200" s="1" t="str">
        <f>IF(HR_Data[[#This Row],[DistanceFromHome]]&lt;=5,"1 to 5",IF(HR_Data[[#This Row],[DistanceFromHome]]&lt;=10,"6 to 10",IF(HR_Data[[#This Row],[DistanceFromHome]]&lt;=20,"11 to 20","21 to 29")))</f>
        <v>11 to 20</v>
      </c>
      <c r="AR1200" s="1">
        <f>IF(HR_Data[[#This Row],[DistanceFromHome]]&lt;=5,1,IF(HR_Data[[#This Row],[DistanceFromHome]]&lt;=10,2,IF(HR_Data[[#This Row],[DistanceFromHome]]&lt;=20,3,4)))</f>
        <v>3</v>
      </c>
      <c r="AS1200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200" s="1">
        <f>IF(HR_Data[[#This Row],[TotalWorkingYears]]&lt;=5,1,IF(HR_Data[[#This Row],[TotalWorkingYears]]&lt;=10,2,IF(HR_Data[[#This Row],[TotalWorkingYears]]&lt;=20,3,4)))</f>
        <v>2</v>
      </c>
    </row>
    <row r="1201" spans="1:46" x14ac:dyDescent="0.25">
      <c r="A1201">
        <v>36</v>
      </c>
      <c r="B1201" t="s">
        <v>36</v>
      </c>
      <c r="C1201" t="s">
        <v>30</v>
      </c>
      <c r="D1201" t="s">
        <v>38</v>
      </c>
      <c r="E1201">
        <v>26</v>
      </c>
      <c r="F1201">
        <v>4</v>
      </c>
      <c r="G1201" t="s">
        <v>32</v>
      </c>
      <c r="H1201">
        <v>1682</v>
      </c>
      <c r="I1201">
        <v>1</v>
      </c>
      <c r="J1201" t="s">
        <v>39</v>
      </c>
      <c r="K1201">
        <v>3</v>
      </c>
      <c r="L1201">
        <v>2</v>
      </c>
      <c r="M1201" t="s">
        <v>47</v>
      </c>
      <c r="N1201">
        <v>3</v>
      </c>
      <c r="O1201" t="s">
        <v>41</v>
      </c>
      <c r="P1201">
        <v>5347</v>
      </c>
      <c r="Q1201">
        <v>6</v>
      </c>
      <c r="R1201" t="s">
        <v>36</v>
      </c>
      <c r="S1201">
        <v>14</v>
      </c>
      <c r="T1201">
        <v>3</v>
      </c>
      <c r="U1201">
        <v>2</v>
      </c>
      <c r="V1201">
        <v>2</v>
      </c>
      <c r="W1201">
        <v>10</v>
      </c>
      <c r="X1201">
        <v>2</v>
      </c>
      <c r="Y1201">
        <v>2</v>
      </c>
      <c r="Z1201">
        <v>3</v>
      </c>
      <c r="AA1201">
        <v>2</v>
      </c>
      <c r="AB1201">
        <v>0</v>
      </c>
      <c r="AC1201">
        <v>2</v>
      </c>
      <c r="AD1201">
        <f>IF(HR_Data[[#This Row],[Attrition]]="Yes",1,0)</f>
        <v>0</v>
      </c>
      <c r="AE1201" t="str">
        <f>IF(HR_Data[[#This Row],[Age]]&lt;=25,"18-25",IF(HR_Data[[#This Row],[Age]]&lt;=35,"26-35",IF(HR_Data[[#This Row],[Age]]&lt;=45,"36-45",IF(HR_Data[[#This Row],[Age]]&lt;=55,"46-55","55+"))))</f>
        <v>36-45</v>
      </c>
      <c r="AF1201">
        <f>IF(HR_Data[[#This Row],[Age]]&lt;=25,1,IF(HR_Data[[#This Row],[Age]]&lt;=35,2,IF(HR_Data[[#This Row],[Age]]&lt;=45,3,IF(HR_Data[[#This Row],[Age]]&lt;=55,4,5))))</f>
        <v>3</v>
      </c>
      <c r="AG1201" s="1" t="str">
        <f>IF(HR_Data[[#This Row],[MonthlyIncome]]&lt;3000,"&lt;3K",IF(HR_Data[[#This Row],[MonthlyIncome]]&lt;6000,"3K-6K",IF(HR_Data[[#This Row],[MonthlyIncome]]&lt;10000,"6K-10K","10K+")))</f>
        <v>3K-6K</v>
      </c>
      <c r="AH1201" s="1">
        <f>IF(HR_Data[[#This Row],[MonthlyIncome]]&lt;3000,1,IF(HR_Data[[#This Row],[MonthlyIncome]]&lt;6000,2,IF(HR_Data[[#This Row],[MonthlyIncome]]&lt;10000,3,4)))</f>
        <v>2</v>
      </c>
      <c r="AI1201" s="1" t="str">
        <f>IF(HR_Data[[#This Row],[YearsAtCompany]]&lt;=2,"0-2 Yrs",IF(HR_Data[[#This Row],[YearsAtCompany]]&lt;=5,"3-5 Yrs",IF(HR_Data[[#This Row],[YearsAtCompany]]&lt;=10,"6-10 Yrs","10+ Yrs")))</f>
        <v>3-5 Yrs</v>
      </c>
      <c r="AJ1201" s="1">
        <f>IF(HR_Data[[#This Row],[YearsAtCompany]]&lt;=2,1,IF(HR_Data[[#This Row],[YearsAtCompany]]&lt;=5,2,IF(HR_Data[[#This Row],[YearsAtCompany]]&lt;=10,3,4)))</f>
        <v>2</v>
      </c>
      <c r="AK1201" s="1" t="str">
        <f>CHOOSE(HR_Data[[#This Row],[Education]],"Below College","College","Bachelor","Master","Doctor")</f>
        <v>Master</v>
      </c>
      <c r="AL1201" s="1" t="str">
        <f>CHOOSE(HR_Data[[#This Row],[JobSatisfaction]],"Low","Medium","High","Very High")</f>
        <v>High</v>
      </c>
      <c r="AM1201" s="1" t="str">
        <f>CHOOSE(HR_Data[[#This Row],[EnvironmentSatisfaction]],"Low","Medium","High","Very High")</f>
        <v>Low</v>
      </c>
      <c r="AN1201" s="1" t="str">
        <f>CHOOSE(HR_Data[[#This Row],[WorkLifeBalance]],"Bad","Good","Better","Best")</f>
        <v>Good</v>
      </c>
      <c r="AO1201" s="1" t="str">
        <f>IF(HR_Data[[#This Row],[PercentSalaryHike]]&lt;=13,"11-13%",IF(HR_Data[[#This Row],[PercentSalaryHike]]&lt;=16,"14-16%",IF(HR_Data[[#This Row],[PercentSalaryHike]]&lt;=19,"17-19%","20-25%")))</f>
        <v>14-16%</v>
      </c>
      <c r="AP1201" s="1">
        <f>IF(HR_Data[[#This Row],[PercentSalaryHike]]&lt;=13,1,IF(HR_Data[[#This Row],[PercentSalaryHike]]&lt;=16,2,IF(HR_Data[[#This Row],[PercentSalaryHike]]&lt;=19,3,4)))</f>
        <v>2</v>
      </c>
      <c r="AQ1201" s="1" t="str">
        <f>IF(HR_Data[[#This Row],[DistanceFromHome]]&lt;=5,"1 to 5",IF(HR_Data[[#This Row],[DistanceFromHome]]&lt;=10,"6 to 10",IF(HR_Data[[#This Row],[DistanceFromHome]]&lt;=20,"11 to 20","21 to 29")))</f>
        <v>21 to 29</v>
      </c>
      <c r="AR1201" s="1">
        <f>IF(HR_Data[[#This Row],[DistanceFromHome]]&lt;=5,1,IF(HR_Data[[#This Row],[DistanceFromHome]]&lt;=10,2,IF(HR_Data[[#This Row],[DistanceFromHome]]&lt;=20,3,4)))</f>
        <v>4</v>
      </c>
      <c r="AS1201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201" s="1">
        <f>IF(HR_Data[[#This Row],[TotalWorkingYears]]&lt;=5,1,IF(HR_Data[[#This Row],[TotalWorkingYears]]&lt;=10,2,IF(HR_Data[[#This Row],[TotalWorkingYears]]&lt;=20,3,4)))</f>
        <v>2</v>
      </c>
    </row>
    <row r="1202" spans="1:46" x14ac:dyDescent="0.25">
      <c r="A1202">
        <v>44</v>
      </c>
      <c r="B1202" t="s">
        <v>36</v>
      </c>
      <c r="C1202" t="s">
        <v>30</v>
      </c>
      <c r="D1202" t="s">
        <v>54</v>
      </c>
      <c r="E1202">
        <v>1</v>
      </c>
      <c r="F1202">
        <v>3</v>
      </c>
      <c r="G1202" t="s">
        <v>32</v>
      </c>
      <c r="H1202">
        <v>1683</v>
      </c>
      <c r="I1202">
        <v>3</v>
      </c>
      <c r="J1202" t="s">
        <v>33</v>
      </c>
      <c r="K1202">
        <v>3</v>
      </c>
      <c r="L1202">
        <v>1</v>
      </c>
      <c r="M1202" t="s">
        <v>54</v>
      </c>
      <c r="N1202">
        <v>4</v>
      </c>
      <c r="O1202" t="s">
        <v>45</v>
      </c>
      <c r="P1202">
        <v>3195</v>
      </c>
      <c r="Q1202">
        <v>4</v>
      </c>
      <c r="R1202" t="s">
        <v>29</v>
      </c>
      <c r="S1202">
        <v>18</v>
      </c>
      <c r="T1202">
        <v>3</v>
      </c>
      <c r="U1202">
        <v>1</v>
      </c>
      <c r="V1202">
        <v>3</v>
      </c>
      <c r="W1202">
        <v>8</v>
      </c>
      <c r="X1202">
        <v>2</v>
      </c>
      <c r="Y1202">
        <v>3</v>
      </c>
      <c r="Z1202">
        <v>2</v>
      </c>
      <c r="AA1202">
        <v>2</v>
      </c>
      <c r="AB1202">
        <v>2</v>
      </c>
      <c r="AC1202">
        <v>2</v>
      </c>
      <c r="AD1202">
        <f>IF(HR_Data[[#This Row],[Attrition]]="Yes",1,0)</f>
        <v>0</v>
      </c>
      <c r="AE1202" t="str">
        <f>IF(HR_Data[[#This Row],[Age]]&lt;=25,"18-25",IF(HR_Data[[#This Row],[Age]]&lt;=35,"26-35",IF(HR_Data[[#This Row],[Age]]&lt;=45,"36-45",IF(HR_Data[[#This Row],[Age]]&lt;=55,"46-55","55+"))))</f>
        <v>36-45</v>
      </c>
      <c r="AF1202">
        <f>IF(HR_Data[[#This Row],[Age]]&lt;=25,1,IF(HR_Data[[#This Row],[Age]]&lt;=35,2,IF(HR_Data[[#This Row],[Age]]&lt;=45,3,IF(HR_Data[[#This Row],[Age]]&lt;=55,4,5))))</f>
        <v>3</v>
      </c>
      <c r="AG1202" s="1" t="str">
        <f>IF(HR_Data[[#This Row],[MonthlyIncome]]&lt;3000,"&lt;3K",IF(HR_Data[[#This Row],[MonthlyIncome]]&lt;6000,"3K-6K",IF(HR_Data[[#This Row],[MonthlyIncome]]&lt;10000,"6K-10K","10K+")))</f>
        <v>3K-6K</v>
      </c>
      <c r="AH1202" s="1">
        <f>IF(HR_Data[[#This Row],[MonthlyIncome]]&lt;3000,1,IF(HR_Data[[#This Row],[MonthlyIncome]]&lt;6000,2,IF(HR_Data[[#This Row],[MonthlyIncome]]&lt;10000,3,4)))</f>
        <v>2</v>
      </c>
      <c r="AI1202" s="1" t="str">
        <f>IF(HR_Data[[#This Row],[YearsAtCompany]]&lt;=2,"0-2 Yrs",IF(HR_Data[[#This Row],[YearsAtCompany]]&lt;=5,"3-5 Yrs",IF(HR_Data[[#This Row],[YearsAtCompany]]&lt;=10,"6-10 Yrs","10+ Yrs")))</f>
        <v>0-2 Yrs</v>
      </c>
      <c r="AJ1202" s="1">
        <f>IF(HR_Data[[#This Row],[YearsAtCompany]]&lt;=2,1,IF(HR_Data[[#This Row],[YearsAtCompany]]&lt;=5,2,IF(HR_Data[[#This Row],[YearsAtCompany]]&lt;=10,3,4)))</f>
        <v>1</v>
      </c>
      <c r="AK1202" s="1" t="str">
        <f>CHOOSE(HR_Data[[#This Row],[Education]],"Below College","College","Bachelor","Master","Doctor")</f>
        <v>Bachelor</v>
      </c>
      <c r="AL1202" s="1" t="str">
        <f>CHOOSE(HR_Data[[#This Row],[JobSatisfaction]],"Low","Medium","High","Very High")</f>
        <v>Very High</v>
      </c>
      <c r="AM1202" s="1" t="str">
        <f>CHOOSE(HR_Data[[#This Row],[EnvironmentSatisfaction]],"Low","Medium","High","Very High")</f>
        <v>High</v>
      </c>
      <c r="AN1202" s="1" t="str">
        <f>CHOOSE(HR_Data[[#This Row],[WorkLifeBalance]],"Bad","Good","Better","Best")</f>
        <v>Better</v>
      </c>
      <c r="AO1202" s="1" t="str">
        <f>IF(HR_Data[[#This Row],[PercentSalaryHike]]&lt;=13,"11-13%",IF(HR_Data[[#This Row],[PercentSalaryHike]]&lt;=16,"14-16%",IF(HR_Data[[#This Row],[PercentSalaryHike]]&lt;=19,"17-19%","20-25%")))</f>
        <v>17-19%</v>
      </c>
      <c r="AP1202" s="1">
        <f>IF(HR_Data[[#This Row],[PercentSalaryHike]]&lt;=13,1,IF(HR_Data[[#This Row],[PercentSalaryHike]]&lt;=16,2,IF(HR_Data[[#This Row],[PercentSalaryHike]]&lt;=19,3,4)))</f>
        <v>3</v>
      </c>
      <c r="AQ1202" s="1" t="str">
        <f>IF(HR_Data[[#This Row],[DistanceFromHome]]&lt;=5,"1 to 5",IF(HR_Data[[#This Row],[DistanceFromHome]]&lt;=10,"6 to 10",IF(HR_Data[[#This Row],[DistanceFromHome]]&lt;=20,"11 to 20","21 to 29")))</f>
        <v>1 to 5</v>
      </c>
      <c r="AR1202" s="1">
        <f>IF(HR_Data[[#This Row],[DistanceFromHome]]&lt;=5,1,IF(HR_Data[[#This Row],[DistanceFromHome]]&lt;=10,2,IF(HR_Data[[#This Row],[DistanceFromHome]]&lt;=20,3,4)))</f>
        <v>1</v>
      </c>
      <c r="AS1202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202" s="1">
        <f>IF(HR_Data[[#This Row],[TotalWorkingYears]]&lt;=5,1,IF(HR_Data[[#This Row],[TotalWorkingYears]]&lt;=10,2,IF(HR_Data[[#This Row],[TotalWorkingYears]]&lt;=20,3,4)))</f>
        <v>2</v>
      </c>
    </row>
    <row r="1203" spans="1:46" x14ac:dyDescent="0.25">
      <c r="A1203">
        <v>23</v>
      </c>
      <c r="B1203" t="s">
        <v>29</v>
      </c>
      <c r="C1203" t="s">
        <v>30</v>
      </c>
      <c r="D1203" t="s">
        <v>38</v>
      </c>
      <c r="E1203">
        <v>8</v>
      </c>
      <c r="F1203">
        <v>1</v>
      </c>
      <c r="G1203" t="s">
        <v>44</v>
      </c>
      <c r="H1203">
        <v>1684</v>
      </c>
      <c r="I1203">
        <v>4</v>
      </c>
      <c r="J1203" t="s">
        <v>39</v>
      </c>
      <c r="K1203">
        <v>2</v>
      </c>
      <c r="L1203">
        <v>1</v>
      </c>
      <c r="M1203" t="s">
        <v>43</v>
      </c>
      <c r="N1203">
        <v>3</v>
      </c>
      <c r="O1203" t="s">
        <v>35</v>
      </c>
      <c r="P1203">
        <v>3989</v>
      </c>
      <c r="Q1203">
        <v>1</v>
      </c>
      <c r="R1203" t="s">
        <v>29</v>
      </c>
      <c r="S1203">
        <v>11</v>
      </c>
      <c r="T1203">
        <v>3</v>
      </c>
      <c r="U1203">
        <v>1</v>
      </c>
      <c r="V1203">
        <v>0</v>
      </c>
      <c r="W1203">
        <v>5</v>
      </c>
      <c r="X1203">
        <v>2</v>
      </c>
      <c r="Y1203">
        <v>3</v>
      </c>
      <c r="Z1203">
        <v>5</v>
      </c>
      <c r="AA1203">
        <v>4</v>
      </c>
      <c r="AB1203">
        <v>1</v>
      </c>
      <c r="AC1203">
        <v>2</v>
      </c>
      <c r="AD1203">
        <f>IF(HR_Data[[#This Row],[Attrition]]="Yes",1,0)</f>
        <v>1</v>
      </c>
      <c r="AE1203" t="str">
        <f>IF(HR_Data[[#This Row],[Age]]&lt;=25,"18-25",IF(HR_Data[[#This Row],[Age]]&lt;=35,"26-35",IF(HR_Data[[#This Row],[Age]]&lt;=45,"36-45",IF(HR_Data[[#This Row],[Age]]&lt;=55,"46-55","55+"))))</f>
        <v>18-25</v>
      </c>
      <c r="AF1203">
        <f>IF(HR_Data[[#This Row],[Age]]&lt;=25,1,IF(HR_Data[[#This Row],[Age]]&lt;=35,2,IF(HR_Data[[#This Row],[Age]]&lt;=45,3,IF(HR_Data[[#This Row],[Age]]&lt;=55,4,5))))</f>
        <v>1</v>
      </c>
      <c r="AG1203" s="1" t="str">
        <f>IF(HR_Data[[#This Row],[MonthlyIncome]]&lt;3000,"&lt;3K",IF(HR_Data[[#This Row],[MonthlyIncome]]&lt;6000,"3K-6K",IF(HR_Data[[#This Row],[MonthlyIncome]]&lt;10000,"6K-10K","10K+")))</f>
        <v>3K-6K</v>
      </c>
      <c r="AH1203" s="1">
        <f>IF(HR_Data[[#This Row],[MonthlyIncome]]&lt;3000,1,IF(HR_Data[[#This Row],[MonthlyIncome]]&lt;6000,2,IF(HR_Data[[#This Row],[MonthlyIncome]]&lt;10000,3,4)))</f>
        <v>2</v>
      </c>
      <c r="AI1203" s="1" t="str">
        <f>IF(HR_Data[[#This Row],[YearsAtCompany]]&lt;=2,"0-2 Yrs",IF(HR_Data[[#This Row],[YearsAtCompany]]&lt;=5,"3-5 Yrs",IF(HR_Data[[#This Row],[YearsAtCompany]]&lt;=10,"6-10 Yrs","10+ Yrs")))</f>
        <v>3-5 Yrs</v>
      </c>
      <c r="AJ1203" s="1">
        <f>IF(HR_Data[[#This Row],[YearsAtCompany]]&lt;=2,1,IF(HR_Data[[#This Row],[YearsAtCompany]]&lt;=5,2,IF(HR_Data[[#This Row],[YearsAtCompany]]&lt;=10,3,4)))</f>
        <v>2</v>
      </c>
      <c r="AK1203" s="1" t="str">
        <f>CHOOSE(HR_Data[[#This Row],[Education]],"Below College","College","Bachelor","Master","Doctor")</f>
        <v>Below College</v>
      </c>
      <c r="AL1203" s="1" t="str">
        <f>CHOOSE(HR_Data[[#This Row],[JobSatisfaction]],"Low","Medium","High","Very High")</f>
        <v>High</v>
      </c>
      <c r="AM1203" s="1" t="str">
        <f>CHOOSE(HR_Data[[#This Row],[EnvironmentSatisfaction]],"Low","Medium","High","Very High")</f>
        <v>Very High</v>
      </c>
      <c r="AN1203" s="1" t="str">
        <f>CHOOSE(HR_Data[[#This Row],[WorkLifeBalance]],"Bad","Good","Better","Best")</f>
        <v>Better</v>
      </c>
      <c r="AO1203" s="1" t="str">
        <f>IF(HR_Data[[#This Row],[PercentSalaryHike]]&lt;=13,"11-13%",IF(HR_Data[[#This Row],[PercentSalaryHike]]&lt;=16,"14-16%",IF(HR_Data[[#This Row],[PercentSalaryHike]]&lt;=19,"17-19%","20-25%")))</f>
        <v>11-13%</v>
      </c>
      <c r="AP1203" s="1">
        <f>IF(HR_Data[[#This Row],[PercentSalaryHike]]&lt;=13,1,IF(HR_Data[[#This Row],[PercentSalaryHike]]&lt;=16,2,IF(HR_Data[[#This Row],[PercentSalaryHike]]&lt;=19,3,4)))</f>
        <v>1</v>
      </c>
      <c r="AQ1203" s="1" t="str">
        <f>IF(HR_Data[[#This Row],[DistanceFromHome]]&lt;=5,"1 to 5",IF(HR_Data[[#This Row],[DistanceFromHome]]&lt;=10,"6 to 10",IF(HR_Data[[#This Row],[DistanceFromHome]]&lt;=20,"11 to 20","21 to 29")))</f>
        <v>6 to 10</v>
      </c>
      <c r="AR1203" s="1">
        <f>IF(HR_Data[[#This Row],[DistanceFromHome]]&lt;=5,1,IF(HR_Data[[#This Row],[DistanceFromHome]]&lt;=10,2,IF(HR_Data[[#This Row],[DistanceFromHome]]&lt;=20,3,4)))</f>
        <v>2</v>
      </c>
      <c r="AS1203" s="1" t="str">
        <f>IF(HR_Data[[#This Row],[TotalWorkingYears]]&lt;=5,"0-5 Yrs",IF(HR_Data[[#This Row],[TotalWorkingYears]]&lt;=10,"6-10 Yrs",IF(HR_Data[[#This Row],[TotalWorkingYears]]&lt;=20,"11-20 Yrs","20+ Yrs")))</f>
        <v>0-5 Yrs</v>
      </c>
      <c r="AT1203" s="1">
        <f>IF(HR_Data[[#This Row],[TotalWorkingYears]]&lt;=5,1,IF(HR_Data[[#This Row],[TotalWorkingYears]]&lt;=10,2,IF(HR_Data[[#This Row],[TotalWorkingYears]]&lt;=20,3,4)))</f>
        <v>1</v>
      </c>
    </row>
    <row r="1204" spans="1:46" x14ac:dyDescent="0.25">
      <c r="A1204">
        <v>38</v>
      </c>
      <c r="B1204" t="s">
        <v>36</v>
      </c>
      <c r="C1204" t="s">
        <v>30</v>
      </c>
      <c r="D1204" t="s">
        <v>38</v>
      </c>
      <c r="E1204">
        <v>4</v>
      </c>
      <c r="F1204">
        <v>2</v>
      </c>
      <c r="G1204" t="s">
        <v>44</v>
      </c>
      <c r="H1204">
        <v>1687</v>
      </c>
      <c r="I1204">
        <v>4</v>
      </c>
      <c r="J1204" t="s">
        <v>33</v>
      </c>
      <c r="K1204">
        <v>3</v>
      </c>
      <c r="L1204">
        <v>1</v>
      </c>
      <c r="M1204" t="s">
        <v>43</v>
      </c>
      <c r="N1204">
        <v>3</v>
      </c>
      <c r="O1204" t="s">
        <v>41</v>
      </c>
      <c r="P1204">
        <v>3306</v>
      </c>
      <c r="Q1204">
        <v>7</v>
      </c>
      <c r="R1204" t="s">
        <v>36</v>
      </c>
      <c r="S1204">
        <v>19</v>
      </c>
      <c r="T1204">
        <v>3</v>
      </c>
      <c r="U1204">
        <v>4</v>
      </c>
      <c r="V1204">
        <v>1</v>
      </c>
      <c r="W1204">
        <v>7</v>
      </c>
      <c r="X1204">
        <v>5</v>
      </c>
      <c r="Y1204">
        <v>2</v>
      </c>
      <c r="Z1204">
        <v>0</v>
      </c>
      <c r="AA1204">
        <v>0</v>
      </c>
      <c r="AB1204">
        <v>0</v>
      </c>
      <c r="AC1204">
        <v>0</v>
      </c>
      <c r="AD1204">
        <f>IF(HR_Data[[#This Row],[Attrition]]="Yes",1,0)</f>
        <v>0</v>
      </c>
      <c r="AE1204" t="str">
        <f>IF(HR_Data[[#This Row],[Age]]&lt;=25,"18-25",IF(HR_Data[[#This Row],[Age]]&lt;=35,"26-35",IF(HR_Data[[#This Row],[Age]]&lt;=45,"36-45",IF(HR_Data[[#This Row],[Age]]&lt;=55,"46-55","55+"))))</f>
        <v>36-45</v>
      </c>
      <c r="AF1204">
        <f>IF(HR_Data[[#This Row],[Age]]&lt;=25,1,IF(HR_Data[[#This Row],[Age]]&lt;=35,2,IF(HR_Data[[#This Row],[Age]]&lt;=45,3,IF(HR_Data[[#This Row],[Age]]&lt;=55,4,5))))</f>
        <v>3</v>
      </c>
      <c r="AG1204" s="1" t="str">
        <f>IF(HR_Data[[#This Row],[MonthlyIncome]]&lt;3000,"&lt;3K",IF(HR_Data[[#This Row],[MonthlyIncome]]&lt;6000,"3K-6K",IF(HR_Data[[#This Row],[MonthlyIncome]]&lt;10000,"6K-10K","10K+")))</f>
        <v>3K-6K</v>
      </c>
      <c r="AH1204" s="1">
        <f>IF(HR_Data[[#This Row],[MonthlyIncome]]&lt;3000,1,IF(HR_Data[[#This Row],[MonthlyIncome]]&lt;6000,2,IF(HR_Data[[#This Row],[MonthlyIncome]]&lt;10000,3,4)))</f>
        <v>2</v>
      </c>
      <c r="AI1204" s="1" t="str">
        <f>IF(HR_Data[[#This Row],[YearsAtCompany]]&lt;=2,"0-2 Yrs",IF(HR_Data[[#This Row],[YearsAtCompany]]&lt;=5,"3-5 Yrs",IF(HR_Data[[#This Row],[YearsAtCompany]]&lt;=10,"6-10 Yrs","10+ Yrs")))</f>
        <v>0-2 Yrs</v>
      </c>
      <c r="AJ1204" s="1">
        <f>IF(HR_Data[[#This Row],[YearsAtCompany]]&lt;=2,1,IF(HR_Data[[#This Row],[YearsAtCompany]]&lt;=5,2,IF(HR_Data[[#This Row],[YearsAtCompany]]&lt;=10,3,4)))</f>
        <v>1</v>
      </c>
      <c r="AK1204" s="1" t="str">
        <f>CHOOSE(HR_Data[[#This Row],[Education]],"Below College","College","Bachelor","Master","Doctor")</f>
        <v>College</v>
      </c>
      <c r="AL1204" s="1" t="str">
        <f>CHOOSE(HR_Data[[#This Row],[JobSatisfaction]],"Low","Medium","High","Very High")</f>
        <v>High</v>
      </c>
      <c r="AM1204" s="1" t="str">
        <f>CHOOSE(HR_Data[[#This Row],[EnvironmentSatisfaction]],"Low","Medium","High","Very High")</f>
        <v>Very High</v>
      </c>
      <c r="AN1204" s="1" t="str">
        <f>CHOOSE(HR_Data[[#This Row],[WorkLifeBalance]],"Bad","Good","Better","Best")</f>
        <v>Good</v>
      </c>
      <c r="AO1204" s="1" t="str">
        <f>IF(HR_Data[[#This Row],[PercentSalaryHike]]&lt;=13,"11-13%",IF(HR_Data[[#This Row],[PercentSalaryHike]]&lt;=16,"14-16%",IF(HR_Data[[#This Row],[PercentSalaryHike]]&lt;=19,"17-19%","20-25%")))</f>
        <v>17-19%</v>
      </c>
      <c r="AP1204" s="1">
        <f>IF(HR_Data[[#This Row],[PercentSalaryHike]]&lt;=13,1,IF(HR_Data[[#This Row],[PercentSalaryHike]]&lt;=16,2,IF(HR_Data[[#This Row],[PercentSalaryHike]]&lt;=19,3,4)))</f>
        <v>3</v>
      </c>
      <c r="AQ1204" s="1" t="str">
        <f>IF(HR_Data[[#This Row],[DistanceFromHome]]&lt;=5,"1 to 5",IF(HR_Data[[#This Row],[DistanceFromHome]]&lt;=10,"6 to 10",IF(HR_Data[[#This Row],[DistanceFromHome]]&lt;=20,"11 to 20","21 to 29")))</f>
        <v>1 to 5</v>
      </c>
      <c r="AR1204" s="1">
        <f>IF(HR_Data[[#This Row],[DistanceFromHome]]&lt;=5,1,IF(HR_Data[[#This Row],[DistanceFromHome]]&lt;=10,2,IF(HR_Data[[#This Row],[DistanceFromHome]]&lt;=20,3,4)))</f>
        <v>1</v>
      </c>
      <c r="AS1204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204" s="1">
        <f>IF(HR_Data[[#This Row],[TotalWorkingYears]]&lt;=5,1,IF(HR_Data[[#This Row],[TotalWorkingYears]]&lt;=10,2,IF(HR_Data[[#This Row],[TotalWorkingYears]]&lt;=20,3,4)))</f>
        <v>2</v>
      </c>
    </row>
    <row r="1205" spans="1:46" x14ac:dyDescent="0.25">
      <c r="A1205">
        <v>53</v>
      </c>
      <c r="B1205" t="s">
        <v>36</v>
      </c>
      <c r="C1205" t="s">
        <v>30</v>
      </c>
      <c r="D1205" t="s">
        <v>38</v>
      </c>
      <c r="E1205">
        <v>24</v>
      </c>
      <c r="F1205">
        <v>4</v>
      </c>
      <c r="G1205" t="s">
        <v>44</v>
      </c>
      <c r="H1205">
        <v>1689</v>
      </c>
      <c r="I1205">
        <v>2</v>
      </c>
      <c r="J1205" t="s">
        <v>39</v>
      </c>
      <c r="K1205">
        <v>4</v>
      </c>
      <c r="L1205">
        <v>3</v>
      </c>
      <c r="M1205" t="s">
        <v>47</v>
      </c>
      <c r="N1205">
        <v>4</v>
      </c>
      <c r="O1205" t="s">
        <v>41</v>
      </c>
      <c r="P1205">
        <v>7005</v>
      </c>
      <c r="Q1205">
        <v>3</v>
      </c>
      <c r="R1205" t="s">
        <v>36</v>
      </c>
      <c r="S1205">
        <v>15</v>
      </c>
      <c r="T1205">
        <v>3</v>
      </c>
      <c r="U1205">
        <v>3</v>
      </c>
      <c r="V1205">
        <v>0</v>
      </c>
      <c r="W1205">
        <v>11</v>
      </c>
      <c r="X1205">
        <v>2</v>
      </c>
      <c r="Y1205">
        <v>3</v>
      </c>
      <c r="Z1205">
        <v>4</v>
      </c>
      <c r="AA1205">
        <v>3</v>
      </c>
      <c r="AB1205">
        <v>1</v>
      </c>
      <c r="AC1205">
        <v>2</v>
      </c>
      <c r="AD1205">
        <f>IF(HR_Data[[#This Row],[Attrition]]="Yes",1,0)</f>
        <v>0</v>
      </c>
      <c r="AE1205" t="str">
        <f>IF(HR_Data[[#This Row],[Age]]&lt;=25,"18-25",IF(HR_Data[[#This Row],[Age]]&lt;=35,"26-35",IF(HR_Data[[#This Row],[Age]]&lt;=45,"36-45",IF(HR_Data[[#This Row],[Age]]&lt;=55,"46-55","55+"))))</f>
        <v>46-55</v>
      </c>
      <c r="AF1205">
        <f>IF(HR_Data[[#This Row],[Age]]&lt;=25,1,IF(HR_Data[[#This Row],[Age]]&lt;=35,2,IF(HR_Data[[#This Row],[Age]]&lt;=45,3,IF(HR_Data[[#This Row],[Age]]&lt;=55,4,5))))</f>
        <v>4</v>
      </c>
      <c r="AG1205" s="1" t="str">
        <f>IF(HR_Data[[#This Row],[MonthlyIncome]]&lt;3000,"&lt;3K",IF(HR_Data[[#This Row],[MonthlyIncome]]&lt;6000,"3K-6K",IF(HR_Data[[#This Row],[MonthlyIncome]]&lt;10000,"6K-10K","10K+")))</f>
        <v>6K-10K</v>
      </c>
      <c r="AH1205" s="1">
        <f>IF(HR_Data[[#This Row],[MonthlyIncome]]&lt;3000,1,IF(HR_Data[[#This Row],[MonthlyIncome]]&lt;6000,2,IF(HR_Data[[#This Row],[MonthlyIncome]]&lt;10000,3,4)))</f>
        <v>3</v>
      </c>
      <c r="AI1205" s="1" t="str">
        <f>IF(HR_Data[[#This Row],[YearsAtCompany]]&lt;=2,"0-2 Yrs",IF(HR_Data[[#This Row],[YearsAtCompany]]&lt;=5,"3-5 Yrs",IF(HR_Data[[#This Row],[YearsAtCompany]]&lt;=10,"6-10 Yrs","10+ Yrs")))</f>
        <v>3-5 Yrs</v>
      </c>
      <c r="AJ1205" s="1">
        <f>IF(HR_Data[[#This Row],[YearsAtCompany]]&lt;=2,1,IF(HR_Data[[#This Row],[YearsAtCompany]]&lt;=5,2,IF(HR_Data[[#This Row],[YearsAtCompany]]&lt;=10,3,4)))</f>
        <v>2</v>
      </c>
      <c r="AK1205" s="1" t="str">
        <f>CHOOSE(HR_Data[[#This Row],[Education]],"Below College","College","Bachelor","Master","Doctor")</f>
        <v>Master</v>
      </c>
      <c r="AL1205" s="1" t="str">
        <f>CHOOSE(HR_Data[[#This Row],[JobSatisfaction]],"Low","Medium","High","Very High")</f>
        <v>Very High</v>
      </c>
      <c r="AM1205" s="1" t="str">
        <f>CHOOSE(HR_Data[[#This Row],[EnvironmentSatisfaction]],"Low","Medium","High","Very High")</f>
        <v>Medium</v>
      </c>
      <c r="AN1205" s="1" t="str">
        <f>CHOOSE(HR_Data[[#This Row],[WorkLifeBalance]],"Bad","Good","Better","Best")</f>
        <v>Better</v>
      </c>
      <c r="AO1205" s="1" t="str">
        <f>IF(HR_Data[[#This Row],[PercentSalaryHike]]&lt;=13,"11-13%",IF(HR_Data[[#This Row],[PercentSalaryHike]]&lt;=16,"14-16%",IF(HR_Data[[#This Row],[PercentSalaryHike]]&lt;=19,"17-19%","20-25%")))</f>
        <v>14-16%</v>
      </c>
      <c r="AP1205" s="1">
        <f>IF(HR_Data[[#This Row],[PercentSalaryHike]]&lt;=13,1,IF(HR_Data[[#This Row],[PercentSalaryHike]]&lt;=16,2,IF(HR_Data[[#This Row],[PercentSalaryHike]]&lt;=19,3,4)))</f>
        <v>2</v>
      </c>
      <c r="AQ1205" s="1" t="str">
        <f>IF(HR_Data[[#This Row],[DistanceFromHome]]&lt;=5,"1 to 5",IF(HR_Data[[#This Row],[DistanceFromHome]]&lt;=10,"6 to 10",IF(HR_Data[[#This Row],[DistanceFromHome]]&lt;=20,"11 to 20","21 to 29")))</f>
        <v>21 to 29</v>
      </c>
      <c r="AR1205" s="1">
        <f>IF(HR_Data[[#This Row],[DistanceFromHome]]&lt;=5,1,IF(HR_Data[[#This Row],[DistanceFromHome]]&lt;=10,2,IF(HR_Data[[#This Row],[DistanceFromHome]]&lt;=20,3,4)))</f>
        <v>4</v>
      </c>
      <c r="AS1205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205" s="1">
        <f>IF(HR_Data[[#This Row],[TotalWorkingYears]]&lt;=5,1,IF(HR_Data[[#This Row],[TotalWorkingYears]]&lt;=10,2,IF(HR_Data[[#This Row],[TotalWorkingYears]]&lt;=20,3,4)))</f>
        <v>3</v>
      </c>
    </row>
    <row r="1206" spans="1:46" x14ac:dyDescent="0.25">
      <c r="A1206">
        <v>48</v>
      </c>
      <c r="B1206" t="s">
        <v>29</v>
      </c>
      <c r="C1206" t="s">
        <v>37</v>
      </c>
      <c r="D1206" t="s">
        <v>31</v>
      </c>
      <c r="E1206">
        <v>7</v>
      </c>
      <c r="F1206">
        <v>2</v>
      </c>
      <c r="G1206" t="s">
        <v>44</v>
      </c>
      <c r="H1206">
        <v>1691</v>
      </c>
      <c r="I1206">
        <v>4</v>
      </c>
      <c r="J1206" t="s">
        <v>33</v>
      </c>
      <c r="K1206">
        <v>3</v>
      </c>
      <c r="L1206">
        <v>1</v>
      </c>
      <c r="M1206" t="s">
        <v>50</v>
      </c>
      <c r="N1206">
        <v>3</v>
      </c>
      <c r="O1206" t="s">
        <v>41</v>
      </c>
      <c r="P1206">
        <v>2655</v>
      </c>
      <c r="Q1206">
        <v>2</v>
      </c>
      <c r="R1206" t="s">
        <v>29</v>
      </c>
      <c r="S1206">
        <v>11</v>
      </c>
      <c r="T1206">
        <v>3</v>
      </c>
      <c r="U1206">
        <v>3</v>
      </c>
      <c r="V1206">
        <v>2</v>
      </c>
      <c r="W1206">
        <v>19</v>
      </c>
      <c r="X1206">
        <v>3</v>
      </c>
      <c r="Y1206">
        <v>3</v>
      </c>
      <c r="Z1206">
        <v>9</v>
      </c>
      <c r="AA1206">
        <v>7</v>
      </c>
      <c r="AB1206">
        <v>7</v>
      </c>
      <c r="AC1206">
        <v>7</v>
      </c>
      <c r="AD1206">
        <f>IF(HR_Data[[#This Row],[Attrition]]="Yes",1,0)</f>
        <v>1</v>
      </c>
      <c r="AE1206" t="str">
        <f>IF(HR_Data[[#This Row],[Age]]&lt;=25,"18-25",IF(HR_Data[[#This Row],[Age]]&lt;=35,"26-35",IF(HR_Data[[#This Row],[Age]]&lt;=45,"36-45",IF(HR_Data[[#This Row],[Age]]&lt;=55,"46-55","55+"))))</f>
        <v>46-55</v>
      </c>
      <c r="AF1206">
        <f>IF(HR_Data[[#This Row],[Age]]&lt;=25,1,IF(HR_Data[[#This Row],[Age]]&lt;=35,2,IF(HR_Data[[#This Row],[Age]]&lt;=45,3,IF(HR_Data[[#This Row],[Age]]&lt;=55,4,5))))</f>
        <v>4</v>
      </c>
      <c r="AG1206" s="1" t="str">
        <f>IF(HR_Data[[#This Row],[MonthlyIncome]]&lt;3000,"&lt;3K",IF(HR_Data[[#This Row],[MonthlyIncome]]&lt;6000,"3K-6K",IF(HR_Data[[#This Row],[MonthlyIncome]]&lt;10000,"6K-10K","10K+")))</f>
        <v>&lt;3K</v>
      </c>
      <c r="AH1206" s="1">
        <f>IF(HR_Data[[#This Row],[MonthlyIncome]]&lt;3000,1,IF(HR_Data[[#This Row],[MonthlyIncome]]&lt;6000,2,IF(HR_Data[[#This Row],[MonthlyIncome]]&lt;10000,3,4)))</f>
        <v>1</v>
      </c>
      <c r="AI1206" s="1" t="str">
        <f>IF(HR_Data[[#This Row],[YearsAtCompany]]&lt;=2,"0-2 Yrs",IF(HR_Data[[#This Row],[YearsAtCompany]]&lt;=5,"3-5 Yrs",IF(HR_Data[[#This Row],[YearsAtCompany]]&lt;=10,"6-10 Yrs","10+ Yrs")))</f>
        <v>6-10 Yrs</v>
      </c>
      <c r="AJ1206" s="1">
        <f>IF(HR_Data[[#This Row],[YearsAtCompany]]&lt;=2,1,IF(HR_Data[[#This Row],[YearsAtCompany]]&lt;=5,2,IF(HR_Data[[#This Row],[YearsAtCompany]]&lt;=10,3,4)))</f>
        <v>3</v>
      </c>
      <c r="AK1206" s="1" t="str">
        <f>CHOOSE(HR_Data[[#This Row],[Education]],"Below College","College","Bachelor","Master","Doctor")</f>
        <v>College</v>
      </c>
      <c r="AL1206" s="1" t="str">
        <f>CHOOSE(HR_Data[[#This Row],[JobSatisfaction]],"Low","Medium","High","Very High")</f>
        <v>High</v>
      </c>
      <c r="AM1206" s="1" t="str">
        <f>CHOOSE(HR_Data[[#This Row],[EnvironmentSatisfaction]],"Low","Medium","High","Very High")</f>
        <v>Very High</v>
      </c>
      <c r="AN1206" s="1" t="str">
        <f>CHOOSE(HR_Data[[#This Row],[WorkLifeBalance]],"Bad","Good","Better","Best")</f>
        <v>Better</v>
      </c>
      <c r="AO1206" s="1" t="str">
        <f>IF(HR_Data[[#This Row],[PercentSalaryHike]]&lt;=13,"11-13%",IF(HR_Data[[#This Row],[PercentSalaryHike]]&lt;=16,"14-16%",IF(HR_Data[[#This Row],[PercentSalaryHike]]&lt;=19,"17-19%","20-25%")))</f>
        <v>11-13%</v>
      </c>
      <c r="AP1206" s="1">
        <f>IF(HR_Data[[#This Row],[PercentSalaryHike]]&lt;=13,1,IF(HR_Data[[#This Row],[PercentSalaryHike]]&lt;=16,2,IF(HR_Data[[#This Row],[PercentSalaryHike]]&lt;=19,3,4)))</f>
        <v>1</v>
      </c>
      <c r="AQ1206" s="1" t="str">
        <f>IF(HR_Data[[#This Row],[DistanceFromHome]]&lt;=5,"1 to 5",IF(HR_Data[[#This Row],[DistanceFromHome]]&lt;=10,"6 to 10",IF(HR_Data[[#This Row],[DistanceFromHome]]&lt;=20,"11 to 20","21 to 29")))</f>
        <v>6 to 10</v>
      </c>
      <c r="AR1206" s="1">
        <f>IF(HR_Data[[#This Row],[DistanceFromHome]]&lt;=5,1,IF(HR_Data[[#This Row],[DistanceFromHome]]&lt;=10,2,IF(HR_Data[[#This Row],[DistanceFromHome]]&lt;=20,3,4)))</f>
        <v>2</v>
      </c>
      <c r="AS1206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206" s="1">
        <f>IF(HR_Data[[#This Row],[TotalWorkingYears]]&lt;=5,1,IF(HR_Data[[#This Row],[TotalWorkingYears]]&lt;=10,2,IF(HR_Data[[#This Row],[TotalWorkingYears]]&lt;=20,3,4)))</f>
        <v>3</v>
      </c>
    </row>
    <row r="1207" spans="1:46" x14ac:dyDescent="0.25">
      <c r="A1207">
        <v>32</v>
      </c>
      <c r="B1207" t="s">
        <v>29</v>
      </c>
      <c r="C1207" t="s">
        <v>30</v>
      </c>
      <c r="D1207" t="s">
        <v>38</v>
      </c>
      <c r="E1207">
        <v>2</v>
      </c>
      <c r="F1207">
        <v>4</v>
      </c>
      <c r="G1207" t="s">
        <v>32</v>
      </c>
      <c r="H1207">
        <v>1692</v>
      </c>
      <c r="I1207">
        <v>4</v>
      </c>
      <c r="J1207" t="s">
        <v>39</v>
      </c>
      <c r="K1207">
        <v>3</v>
      </c>
      <c r="L1207">
        <v>1</v>
      </c>
      <c r="M1207" t="s">
        <v>43</v>
      </c>
      <c r="N1207">
        <v>2</v>
      </c>
      <c r="O1207" t="s">
        <v>35</v>
      </c>
      <c r="P1207">
        <v>1393</v>
      </c>
      <c r="Q1207">
        <v>1</v>
      </c>
      <c r="R1207" t="s">
        <v>36</v>
      </c>
      <c r="S1207">
        <v>12</v>
      </c>
      <c r="T1207">
        <v>3</v>
      </c>
      <c r="U1207">
        <v>1</v>
      </c>
      <c r="V1207">
        <v>0</v>
      </c>
      <c r="W1207">
        <v>1</v>
      </c>
      <c r="X1207">
        <v>2</v>
      </c>
      <c r="Y1207">
        <v>3</v>
      </c>
      <c r="Z1207">
        <v>1</v>
      </c>
      <c r="AA1207">
        <v>0</v>
      </c>
      <c r="AB1207">
        <v>0</v>
      </c>
      <c r="AC1207">
        <v>0</v>
      </c>
      <c r="AD1207">
        <f>IF(HR_Data[[#This Row],[Attrition]]="Yes",1,0)</f>
        <v>1</v>
      </c>
      <c r="AE1207" t="str">
        <f>IF(HR_Data[[#This Row],[Age]]&lt;=25,"18-25",IF(HR_Data[[#This Row],[Age]]&lt;=35,"26-35",IF(HR_Data[[#This Row],[Age]]&lt;=45,"36-45",IF(HR_Data[[#This Row],[Age]]&lt;=55,"46-55","55+"))))</f>
        <v>26-35</v>
      </c>
      <c r="AF1207">
        <f>IF(HR_Data[[#This Row],[Age]]&lt;=25,1,IF(HR_Data[[#This Row],[Age]]&lt;=35,2,IF(HR_Data[[#This Row],[Age]]&lt;=45,3,IF(HR_Data[[#This Row],[Age]]&lt;=55,4,5))))</f>
        <v>2</v>
      </c>
      <c r="AG1207" s="1" t="str">
        <f>IF(HR_Data[[#This Row],[MonthlyIncome]]&lt;3000,"&lt;3K",IF(HR_Data[[#This Row],[MonthlyIncome]]&lt;6000,"3K-6K",IF(HR_Data[[#This Row],[MonthlyIncome]]&lt;10000,"6K-10K","10K+")))</f>
        <v>&lt;3K</v>
      </c>
      <c r="AH1207" s="1">
        <f>IF(HR_Data[[#This Row],[MonthlyIncome]]&lt;3000,1,IF(HR_Data[[#This Row],[MonthlyIncome]]&lt;6000,2,IF(HR_Data[[#This Row],[MonthlyIncome]]&lt;10000,3,4)))</f>
        <v>1</v>
      </c>
      <c r="AI1207" s="1" t="str">
        <f>IF(HR_Data[[#This Row],[YearsAtCompany]]&lt;=2,"0-2 Yrs",IF(HR_Data[[#This Row],[YearsAtCompany]]&lt;=5,"3-5 Yrs",IF(HR_Data[[#This Row],[YearsAtCompany]]&lt;=10,"6-10 Yrs","10+ Yrs")))</f>
        <v>0-2 Yrs</v>
      </c>
      <c r="AJ1207" s="1">
        <f>IF(HR_Data[[#This Row],[YearsAtCompany]]&lt;=2,1,IF(HR_Data[[#This Row],[YearsAtCompany]]&lt;=5,2,IF(HR_Data[[#This Row],[YearsAtCompany]]&lt;=10,3,4)))</f>
        <v>1</v>
      </c>
      <c r="AK1207" s="1" t="str">
        <f>CHOOSE(HR_Data[[#This Row],[Education]],"Below College","College","Bachelor","Master","Doctor")</f>
        <v>Master</v>
      </c>
      <c r="AL1207" s="1" t="str">
        <f>CHOOSE(HR_Data[[#This Row],[JobSatisfaction]],"Low","Medium","High","Very High")</f>
        <v>Medium</v>
      </c>
      <c r="AM1207" s="1" t="str">
        <f>CHOOSE(HR_Data[[#This Row],[EnvironmentSatisfaction]],"Low","Medium","High","Very High")</f>
        <v>Very High</v>
      </c>
      <c r="AN1207" s="1" t="str">
        <f>CHOOSE(HR_Data[[#This Row],[WorkLifeBalance]],"Bad","Good","Better","Best")</f>
        <v>Better</v>
      </c>
      <c r="AO1207" s="1" t="str">
        <f>IF(HR_Data[[#This Row],[PercentSalaryHike]]&lt;=13,"11-13%",IF(HR_Data[[#This Row],[PercentSalaryHike]]&lt;=16,"14-16%",IF(HR_Data[[#This Row],[PercentSalaryHike]]&lt;=19,"17-19%","20-25%")))</f>
        <v>11-13%</v>
      </c>
      <c r="AP1207" s="1">
        <f>IF(HR_Data[[#This Row],[PercentSalaryHike]]&lt;=13,1,IF(HR_Data[[#This Row],[PercentSalaryHike]]&lt;=16,2,IF(HR_Data[[#This Row],[PercentSalaryHike]]&lt;=19,3,4)))</f>
        <v>1</v>
      </c>
      <c r="AQ1207" s="1" t="str">
        <f>IF(HR_Data[[#This Row],[DistanceFromHome]]&lt;=5,"1 to 5",IF(HR_Data[[#This Row],[DistanceFromHome]]&lt;=10,"6 to 10",IF(HR_Data[[#This Row],[DistanceFromHome]]&lt;=20,"11 to 20","21 to 29")))</f>
        <v>1 to 5</v>
      </c>
      <c r="AR1207" s="1">
        <f>IF(HR_Data[[#This Row],[DistanceFromHome]]&lt;=5,1,IF(HR_Data[[#This Row],[DistanceFromHome]]&lt;=10,2,IF(HR_Data[[#This Row],[DistanceFromHome]]&lt;=20,3,4)))</f>
        <v>1</v>
      </c>
      <c r="AS1207" s="1" t="str">
        <f>IF(HR_Data[[#This Row],[TotalWorkingYears]]&lt;=5,"0-5 Yrs",IF(HR_Data[[#This Row],[TotalWorkingYears]]&lt;=10,"6-10 Yrs",IF(HR_Data[[#This Row],[TotalWorkingYears]]&lt;=20,"11-20 Yrs","20+ Yrs")))</f>
        <v>0-5 Yrs</v>
      </c>
      <c r="AT1207" s="1">
        <f>IF(HR_Data[[#This Row],[TotalWorkingYears]]&lt;=5,1,IF(HR_Data[[#This Row],[TotalWorkingYears]]&lt;=10,2,IF(HR_Data[[#This Row],[TotalWorkingYears]]&lt;=20,3,4)))</f>
        <v>1</v>
      </c>
    </row>
    <row r="1208" spans="1:46" x14ac:dyDescent="0.25">
      <c r="A1208">
        <v>26</v>
      </c>
      <c r="B1208" t="s">
        <v>36</v>
      </c>
      <c r="C1208" t="s">
        <v>48</v>
      </c>
      <c r="D1208" t="s">
        <v>38</v>
      </c>
      <c r="E1208">
        <v>7</v>
      </c>
      <c r="F1208">
        <v>3</v>
      </c>
      <c r="G1208" t="s">
        <v>44</v>
      </c>
      <c r="H1208">
        <v>1693</v>
      </c>
      <c r="I1208">
        <v>4</v>
      </c>
      <c r="J1208" t="s">
        <v>39</v>
      </c>
      <c r="K1208">
        <v>3</v>
      </c>
      <c r="L1208">
        <v>1</v>
      </c>
      <c r="M1208" t="s">
        <v>43</v>
      </c>
      <c r="N1208">
        <v>4</v>
      </c>
      <c r="O1208" t="s">
        <v>35</v>
      </c>
      <c r="P1208">
        <v>2570</v>
      </c>
      <c r="Q1208">
        <v>1</v>
      </c>
      <c r="R1208" t="s">
        <v>36</v>
      </c>
      <c r="S1208">
        <v>20</v>
      </c>
      <c r="T1208">
        <v>4</v>
      </c>
      <c r="U1208">
        <v>3</v>
      </c>
      <c r="V1208">
        <v>0</v>
      </c>
      <c r="W1208">
        <v>7</v>
      </c>
      <c r="X1208">
        <v>5</v>
      </c>
      <c r="Y1208">
        <v>3</v>
      </c>
      <c r="Z1208">
        <v>7</v>
      </c>
      <c r="AA1208">
        <v>7</v>
      </c>
      <c r="AB1208">
        <v>5</v>
      </c>
      <c r="AC1208">
        <v>7</v>
      </c>
      <c r="AD1208">
        <f>IF(HR_Data[[#This Row],[Attrition]]="Yes",1,0)</f>
        <v>0</v>
      </c>
      <c r="AE1208" t="str">
        <f>IF(HR_Data[[#This Row],[Age]]&lt;=25,"18-25",IF(HR_Data[[#This Row],[Age]]&lt;=35,"26-35",IF(HR_Data[[#This Row],[Age]]&lt;=45,"36-45",IF(HR_Data[[#This Row],[Age]]&lt;=55,"46-55","55+"))))</f>
        <v>26-35</v>
      </c>
      <c r="AF1208">
        <f>IF(HR_Data[[#This Row],[Age]]&lt;=25,1,IF(HR_Data[[#This Row],[Age]]&lt;=35,2,IF(HR_Data[[#This Row],[Age]]&lt;=45,3,IF(HR_Data[[#This Row],[Age]]&lt;=55,4,5))))</f>
        <v>2</v>
      </c>
      <c r="AG1208" s="1" t="str">
        <f>IF(HR_Data[[#This Row],[MonthlyIncome]]&lt;3000,"&lt;3K",IF(HR_Data[[#This Row],[MonthlyIncome]]&lt;6000,"3K-6K",IF(HR_Data[[#This Row],[MonthlyIncome]]&lt;10000,"6K-10K","10K+")))</f>
        <v>&lt;3K</v>
      </c>
      <c r="AH1208" s="1">
        <f>IF(HR_Data[[#This Row],[MonthlyIncome]]&lt;3000,1,IF(HR_Data[[#This Row],[MonthlyIncome]]&lt;6000,2,IF(HR_Data[[#This Row],[MonthlyIncome]]&lt;10000,3,4)))</f>
        <v>1</v>
      </c>
      <c r="AI1208" s="1" t="str">
        <f>IF(HR_Data[[#This Row],[YearsAtCompany]]&lt;=2,"0-2 Yrs",IF(HR_Data[[#This Row],[YearsAtCompany]]&lt;=5,"3-5 Yrs",IF(HR_Data[[#This Row],[YearsAtCompany]]&lt;=10,"6-10 Yrs","10+ Yrs")))</f>
        <v>6-10 Yrs</v>
      </c>
      <c r="AJ1208" s="1">
        <f>IF(HR_Data[[#This Row],[YearsAtCompany]]&lt;=2,1,IF(HR_Data[[#This Row],[YearsAtCompany]]&lt;=5,2,IF(HR_Data[[#This Row],[YearsAtCompany]]&lt;=10,3,4)))</f>
        <v>3</v>
      </c>
      <c r="AK1208" s="1" t="str">
        <f>CHOOSE(HR_Data[[#This Row],[Education]],"Below College","College","Bachelor","Master","Doctor")</f>
        <v>Bachelor</v>
      </c>
      <c r="AL1208" s="1" t="str">
        <f>CHOOSE(HR_Data[[#This Row],[JobSatisfaction]],"Low","Medium","High","Very High")</f>
        <v>Very High</v>
      </c>
      <c r="AM1208" s="1" t="str">
        <f>CHOOSE(HR_Data[[#This Row],[EnvironmentSatisfaction]],"Low","Medium","High","Very High")</f>
        <v>Very High</v>
      </c>
      <c r="AN1208" s="1" t="str">
        <f>CHOOSE(HR_Data[[#This Row],[WorkLifeBalance]],"Bad","Good","Better","Best")</f>
        <v>Better</v>
      </c>
      <c r="AO1208" s="1" t="str">
        <f>IF(HR_Data[[#This Row],[PercentSalaryHike]]&lt;=13,"11-13%",IF(HR_Data[[#This Row],[PercentSalaryHike]]&lt;=16,"14-16%",IF(HR_Data[[#This Row],[PercentSalaryHike]]&lt;=19,"17-19%","20-25%")))</f>
        <v>20-25%</v>
      </c>
      <c r="AP1208" s="1">
        <f>IF(HR_Data[[#This Row],[PercentSalaryHike]]&lt;=13,1,IF(HR_Data[[#This Row],[PercentSalaryHike]]&lt;=16,2,IF(HR_Data[[#This Row],[PercentSalaryHike]]&lt;=19,3,4)))</f>
        <v>4</v>
      </c>
      <c r="AQ1208" s="1" t="str">
        <f>IF(HR_Data[[#This Row],[DistanceFromHome]]&lt;=5,"1 to 5",IF(HR_Data[[#This Row],[DistanceFromHome]]&lt;=10,"6 to 10",IF(HR_Data[[#This Row],[DistanceFromHome]]&lt;=20,"11 to 20","21 to 29")))</f>
        <v>6 to 10</v>
      </c>
      <c r="AR1208" s="1">
        <f>IF(HR_Data[[#This Row],[DistanceFromHome]]&lt;=5,1,IF(HR_Data[[#This Row],[DistanceFromHome]]&lt;=10,2,IF(HR_Data[[#This Row],[DistanceFromHome]]&lt;=20,3,4)))</f>
        <v>2</v>
      </c>
      <c r="AS1208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208" s="1">
        <f>IF(HR_Data[[#This Row],[TotalWorkingYears]]&lt;=5,1,IF(HR_Data[[#This Row],[TotalWorkingYears]]&lt;=10,2,IF(HR_Data[[#This Row],[TotalWorkingYears]]&lt;=20,3,4)))</f>
        <v>2</v>
      </c>
    </row>
    <row r="1209" spans="1:46" x14ac:dyDescent="0.25">
      <c r="A1209">
        <v>55</v>
      </c>
      <c r="B1209" t="s">
        <v>36</v>
      </c>
      <c r="C1209" t="s">
        <v>30</v>
      </c>
      <c r="D1209" t="s">
        <v>38</v>
      </c>
      <c r="E1209">
        <v>22</v>
      </c>
      <c r="F1209">
        <v>3</v>
      </c>
      <c r="G1209" t="s">
        <v>53</v>
      </c>
      <c r="H1209">
        <v>1694</v>
      </c>
      <c r="I1209">
        <v>1</v>
      </c>
      <c r="J1209" t="s">
        <v>39</v>
      </c>
      <c r="K1209">
        <v>2</v>
      </c>
      <c r="L1209">
        <v>1</v>
      </c>
      <c r="M1209" t="s">
        <v>40</v>
      </c>
      <c r="N1209">
        <v>2</v>
      </c>
      <c r="O1209" t="s">
        <v>45</v>
      </c>
      <c r="P1209">
        <v>3537</v>
      </c>
      <c r="Q1209">
        <v>5</v>
      </c>
      <c r="R1209" t="s">
        <v>36</v>
      </c>
      <c r="S1209">
        <v>12</v>
      </c>
      <c r="T1209">
        <v>3</v>
      </c>
      <c r="U1209">
        <v>4</v>
      </c>
      <c r="V1209">
        <v>1</v>
      </c>
      <c r="W1209">
        <v>8</v>
      </c>
      <c r="X1209">
        <v>1</v>
      </c>
      <c r="Y1209">
        <v>3</v>
      </c>
      <c r="Z1209">
        <v>4</v>
      </c>
      <c r="AA1209">
        <v>2</v>
      </c>
      <c r="AB1209">
        <v>1</v>
      </c>
      <c r="AC1209">
        <v>2</v>
      </c>
      <c r="AD1209">
        <f>IF(HR_Data[[#This Row],[Attrition]]="Yes",1,0)</f>
        <v>0</v>
      </c>
      <c r="AE1209" t="str">
        <f>IF(HR_Data[[#This Row],[Age]]&lt;=25,"18-25",IF(HR_Data[[#This Row],[Age]]&lt;=35,"26-35",IF(HR_Data[[#This Row],[Age]]&lt;=45,"36-45",IF(HR_Data[[#This Row],[Age]]&lt;=55,"46-55","55+"))))</f>
        <v>46-55</v>
      </c>
      <c r="AF1209">
        <f>IF(HR_Data[[#This Row],[Age]]&lt;=25,1,IF(HR_Data[[#This Row],[Age]]&lt;=35,2,IF(HR_Data[[#This Row],[Age]]&lt;=45,3,IF(HR_Data[[#This Row],[Age]]&lt;=55,4,5))))</f>
        <v>4</v>
      </c>
      <c r="AG1209" s="1" t="str">
        <f>IF(HR_Data[[#This Row],[MonthlyIncome]]&lt;3000,"&lt;3K",IF(HR_Data[[#This Row],[MonthlyIncome]]&lt;6000,"3K-6K",IF(HR_Data[[#This Row],[MonthlyIncome]]&lt;10000,"6K-10K","10K+")))</f>
        <v>3K-6K</v>
      </c>
      <c r="AH1209" s="1">
        <f>IF(HR_Data[[#This Row],[MonthlyIncome]]&lt;3000,1,IF(HR_Data[[#This Row],[MonthlyIncome]]&lt;6000,2,IF(HR_Data[[#This Row],[MonthlyIncome]]&lt;10000,3,4)))</f>
        <v>2</v>
      </c>
      <c r="AI1209" s="1" t="str">
        <f>IF(HR_Data[[#This Row],[YearsAtCompany]]&lt;=2,"0-2 Yrs",IF(HR_Data[[#This Row],[YearsAtCompany]]&lt;=5,"3-5 Yrs",IF(HR_Data[[#This Row],[YearsAtCompany]]&lt;=10,"6-10 Yrs","10+ Yrs")))</f>
        <v>3-5 Yrs</v>
      </c>
      <c r="AJ1209" s="1">
        <f>IF(HR_Data[[#This Row],[YearsAtCompany]]&lt;=2,1,IF(HR_Data[[#This Row],[YearsAtCompany]]&lt;=5,2,IF(HR_Data[[#This Row],[YearsAtCompany]]&lt;=10,3,4)))</f>
        <v>2</v>
      </c>
      <c r="AK1209" s="1" t="str">
        <f>CHOOSE(HR_Data[[#This Row],[Education]],"Below College","College","Bachelor","Master","Doctor")</f>
        <v>Bachelor</v>
      </c>
      <c r="AL1209" s="1" t="str">
        <f>CHOOSE(HR_Data[[#This Row],[JobSatisfaction]],"Low","Medium","High","Very High")</f>
        <v>Medium</v>
      </c>
      <c r="AM1209" s="1" t="str">
        <f>CHOOSE(HR_Data[[#This Row],[EnvironmentSatisfaction]],"Low","Medium","High","Very High")</f>
        <v>Low</v>
      </c>
      <c r="AN1209" s="1" t="str">
        <f>CHOOSE(HR_Data[[#This Row],[WorkLifeBalance]],"Bad","Good","Better","Best")</f>
        <v>Better</v>
      </c>
      <c r="AO1209" s="1" t="str">
        <f>IF(HR_Data[[#This Row],[PercentSalaryHike]]&lt;=13,"11-13%",IF(HR_Data[[#This Row],[PercentSalaryHike]]&lt;=16,"14-16%",IF(HR_Data[[#This Row],[PercentSalaryHike]]&lt;=19,"17-19%","20-25%")))</f>
        <v>11-13%</v>
      </c>
      <c r="AP1209" s="1">
        <f>IF(HR_Data[[#This Row],[PercentSalaryHike]]&lt;=13,1,IF(HR_Data[[#This Row],[PercentSalaryHike]]&lt;=16,2,IF(HR_Data[[#This Row],[PercentSalaryHike]]&lt;=19,3,4)))</f>
        <v>1</v>
      </c>
      <c r="AQ1209" s="1" t="str">
        <f>IF(HR_Data[[#This Row],[DistanceFromHome]]&lt;=5,"1 to 5",IF(HR_Data[[#This Row],[DistanceFromHome]]&lt;=10,"6 to 10",IF(HR_Data[[#This Row],[DistanceFromHome]]&lt;=20,"11 to 20","21 to 29")))</f>
        <v>21 to 29</v>
      </c>
      <c r="AR1209" s="1">
        <f>IF(HR_Data[[#This Row],[DistanceFromHome]]&lt;=5,1,IF(HR_Data[[#This Row],[DistanceFromHome]]&lt;=10,2,IF(HR_Data[[#This Row],[DistanceFromHome]]&lt;=20,3,4)))</f>
        <v>4</v>
      </c>
      <c r="AS1209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209" s="1">
        <f>IF(HR_Data[[#This Row],[TotalWorkingYears]]&lt;=5,1,IF(HR_Data[[#This Row],[TotalWorkingYears]]&lt;=10,2,IF(HR_Data[[#This Row],[TotalWorkingYears]]&lt;=20,3,4)))</f>
        <v>2</v>
      </c>
    </row>
    <row r="1210" spans="1:46" x14ac:dyDescent="0.25">
      <c r="A1210">
        <v>34</v>
      </c>
      <c r="B1210" t="s">
        <v>36</v>
      </c>
      <c r="C1210" t="s">
        <v>30</v>
      </c>
      <c r="D1210" t="s">
        <v>38</v>
      </c>
      <c r="E1210">
        <v>5</v>
      </c>
      <c r="F1210">
        <v>2</v>
      </c>
      <c r="G1210" t="s">
        <v>44</v>
      </c>
      <c r="H1210">
        <v>1696</v>
      </c>
      <c r="I1210">
        <v>2</v>
      </c>
      <c r="J1210" t="s">
        <v>39</v>
      </c>
      <c r="K1210">
        <v>2</v>
      </c>
      <c r="L1210">
        <v>2</v>
      </c>
      <c r="M1210" t="s">
        <v>43</v>
      </c>
      <c r="N1210">
        <v>4</v>
      </c>
      <c r="O1210" t="s">
        <v>41</v>
      </c>
      <c r="P1210">
        <v>3986</v>
      </c>
      <c r="Q1210">
        <v>1</v>
      </c>
      <c r="R1210" t="s">
        <v>36</v>
      </c>
      <c r="S1210">
        <v>14</v>
      </c>
      <c r="T1210">
        <v>3</v>
      </c>
      <c r="U1210">
        <v>3</v>
      </c>
      <c r="V1210">
        <v>1</v>
      </c>
      <c r="W1210">
        <v>15</v>
      </c>
      <c r="X1210">
        <v>3</v>
      </c>
      <c r="Y1210">
        <v>4</v>
      </c>
      <c r="Z1210">
        <v>15</v>
      </c>
      <c r="AA1210">
        <v>10</v>
      </c>
      <c r="AB1210">
        <v>4</v>
      </c>
      <c r="AC1210">
        <v>13</v>
      </c>
      <c r="AD1210">
        <f>IF(HR_Data[[#This Row],[Attrition]]="Yes",1,0)</f>
        <v>0</v>
      </c>
      <c r="AE1210" t="str">
        <f>IF(HR_Data[[#This Row],[Age]]&lt;=25,"18-25",IF(HR_Data[[#This Row],[Age]]&lt;=35,"26-35",IF(HR_Data[[#This Row],[Age]]&lt;=45,"36-45",IF(HR_Data[[#This Row],[Age]]&lt;=55,"46-55","55+"))))</f>
        <v>26-35</v>
      </c>
      <c r="AF1210">
        <f>IF(HR_Data[[#This Row],[Age]]&lt;=25,1,IF(HR_Data[[#This Row],[Age]]&lt;=35,2,IF(HR_Data[[#This Row],[Age]]&lt;=45,3,IF(HR_Data[[#This Row],[Age]]&lt;=55,4,5))))</f>
        <v>2</v>
      </c>
      <c r="AG1210" s="1" t="str">
        <f>IF(HR_Data[[#This Row],[MonthlyIncome]]&lt;3000,"&lt;3K",IF(HR_Data[[#This Row],[MonthlyIncome]]&lt;6000,"3K-6K",IF(HR_Data[[#This Row],[MonthlyIncome]]&lt;10000,"6K-10K","10K+")))</f>
        <v>3K-6K</v>
      </c>
      <c r="AH1210" s="1">
        <f>IF(HR_Data[[#This Row],[MonthlyIncome]]&lt;3000,1,IF(HR_Data[[#This Row],[MonthlyIncome]]&lt;6000,2,IF(HR_Data[[#This Row],[MonthlyIncome]]&lt;10000,3,4)))</f>
        <v>2</v>
      </c>
      <c r="AI1210" s="1" t="str">
        <f>IF(HR_Data[[#This Row],[YearsAtCompany]]&lt;=2,"0-2 Yrs",IF(HR_Data[[#This Row],[YearsAtCompany]]&lt;=5,"3-5 Yrs",IF(HR_Data[[#This Row],[YearsAtCompany]]&lt;=10,"6-10 Yrs","10+ Yrs")))</f>
        <v>10+ Yrs</v>
      </c>
      <c r="AJ1210" s="1">
        <f>IF(HR_Data[[#This Row],[YearsAtCompany]]&lt;=2,1,IF(HR_Data[[#This Row],[YearsAtCompany]]&lt;=5,2,IF(HR_Data[[#This Row],[YearsAtCompany]]&lt;=10,3,4)))</f>
        <v>4</v>
      </c>
      <c r="AK1210" s="1" t="str">
        <f>CHOOSE(HR_Data[[#This Row],[Education]],"Below College","College","Bachelor","Master","Doctor")</f>
        <v>College</v>
      </c>
      <c r="AL1210" s="1" t="str">
        <f>CHOOSE(HR_Data[[#This Row],[JobSatisfaction]],"Low","Medium","High","Very High")</f>
        <v>Very High</v>
      </c>
      <c r="AM1210" s="1" t="str">
        <f>CHOOSE(HR_Data[[#This Row],[EnvironmentSatisfaction]],"Low","Medium","High","Very High")</f>
        <v>Medium</v>
      </c>
      <c r="AN1210" s="1" t="str">
        <f>CHOOSE(HR_Data[[#This Row],[WorkLifeBalance]],"Bad","Good","Better","Best")</f>
        <v>Best</v>
      </c>
      <c r="AO1210" s="1" t="str">
        <f>IF(HR_Data[[#This Row],[PercentSalaryHike]]&lt;=13,"11-13%",IF(HR_Data[[#This Row],[PercentSalaryHike]]&lt;=16,"14-16%",IF(HR_Data[[#This Row],[PercentSalaryHike]]&lt;=19,"17-19%","20-25%")))</f>
        <v>14-16%</v>
      </c>
      <c r="AP1210" s="1">
        <f>IF(HR_Data[[#This Row],[PercentSalaryHike]]&lt;=13,1,IF(HR_Data[[#This Row],[PercentSalaryHike]]&lt;=16,2,IF(HR_Data[[#This Row],[PercentSalaryHike]]&lt;=19,3,4)))</f>
        <v>2</v>
      </c>
      <c r="AQ1210" s="1" t="str">
        <f>IF(HR_Data[[#This Row],[DistanceFromHome]]&lt;=5,"1 to 5",IF(HR_Data[[#This Row],[DistanceFromHome]]&lt;=10,"6 to 10",IF(HR_Data[[#This Row],[DistanceFromHome]]&lt;=20,"11 to 20","21 to 29")))</f>
        <v>1 to 5</v>
      </c>
      <c r="AR1210" s="1">
        <f>IF(HR_Data[[#This Row],[DistanceFromHome]]&lt;=5,1,IF(HR_Data[[#This Row],[DistanceFromHome]]&lt;=10,2,IF(HR_Data[[#This Row],[DistanceFromHome]]&lt;=20,3,4)))</f>
        <v>1</v>
      </c>
      <c r="AS1210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210" s="1">
        <f>IF(HR_Data[[#This Row],[TotalWorkingYears]]&lt;=5,1,IF(HR_Data[[#This Row],[TotalWorkingYears]]&lt;=10,2,IF(HR_Data[[#This Row],[TotalWorkingYears]]&lt;=20,3,4)))</f>
        <v>3</v>
      </c>
    </row>
    <row r="1211" spans="1:46" x14ac:dyDescent="0.25">
      <c r="A1211">
        <v>60</v>
      </c>
      <c r="B1211" t="s">
        <v>36</v>
      </c>
      <c r="C1211" t="s">
        <v>30</v>
      </c>
      <c r="D1211" t="s">
        <v>38</v>
      </c>
      <c r="E1211">
        <v>1</v>
      </c>
      <c r="F1211">
        <v>4</v>
      </c>
      <c r="G1211" t="s">
        <v>44</v>
      </c>
      <c r="H1211">
        <v>1697</v>
      </c>
      <c r="I1211">
        <v>3</v>
      </c>
      <c r="J1211" t="s">
        <v>39</v>
      </c>
      <c r="K1211">
        <v>1</v>
      </c>
      <c r="L1211">
        <v>3</v>
      </c>
      <c r="M1211" t="s">
        <v>47</v>
      </c>
      <c r="N1211">
        <v>4</v>
      </c>
      <c r="O1211" t="s">
        <v>45</v>
      </c>
      <c r="P1211">
        <v>10883</v>
      </c>
      <c r="Q1211">
        <v>3</v>
      </c>
      <c r="R1211" t="s">
        <v>36</v>
      </c>
      <c r="S1211">
        <v>20</v>
      </c>
      <c r="T1211">
        <v>4</v>
      </c>
      <c r="U1211">
        <v>3</v>
      </c>
      <c r="V1211">
        <v>1</v>
      </c>
      <c r="W1211">
        <v>19</v>
      </c>
      <c r="X1211">
        <v>2</v>
      </c>
      <c r="Y1211">
        <v>4</v>
      </c>
      <c r="Z1211">
        <v>1</v>
      </c>
      <c r="AA1211">
        <v>0</v>
      </c>
      <c r="AB1211">
        <v>0</v>
      </c>
      <c r="AC1211">
        <v>0</v>
      </c>
      <c r="AD1211">
        <f>IF(HR_Data[[#This Row],[Attrition]]="Yes",1,0)</f>
        <v>0</v>
      </c>
      <c r="AE1211" t="str">
        <f>IF(HR_Data[[#This Row],[Age]]&lt;=25,"18-25",IF(HR_Data[[#This Row],[Age]]&lt;=35,"26-35",IF(HR_Data[[#This Row],[Age]]&lt;=45,"36-45",IF(HR_Data[[#This Row],[Age]]&lt;=55,"46-55","55+"))))</f>
        <v>55+</v>
      </c>
      <c r="AF1211">
        <f>IF(HR_Data[[#This Row],[Age]]&lt;=25,1,IF(HR_Data[[#This Row],[Age]]&lt;=35,2,IF(HR_Data[[#This Row],[Age]]&lt;=45,3,IF(HR_Data[[#This Row],[Age]]&lt;=55,4,5))))</f>
        <v>5</v>
      </c>
      <c r="AG1211" s="1" t="str">
        <f>IF(HR_Data[[#This Row],[MonthlyIncome]]&lt;3000,"&lt;3K",IF(HR_Data[[#This Row],[MonthlyIncome]]&lt;6000,"3K-6K",IF(HR_Data[[#This Row],[MonthlyIncome]]&lt;10000,"6K-10K","10K+")))</f>
        <v>10K+</v>
      </c>
      <c r="AH1211" s="1">
        <f>IF(HR_Data[[#This Row],[MonthlyIncome]]&lt;3000,1,IF(HR_Data[[#This Row],[MonthlyIncome]]&lt;6000,2,IF(HR_Data[[#This Row],[MonthlyIncome]]&lt;10000,3,4)))</f>
        <v>4</v>
      </c>
      <c r="AI1211" s="1" t="str">
        <f>IF(HR_Data[[#This Row],[YearsAtCompany]]&lt;=2,"0-2 Yrs",IF(HR_Data[[#This Row],[YearsAtCompany]]&lt;=5,"3-5 Yrs",IF(HR_Data[[#This Row],[YearsAtCompany]]&lt;=10,"6-10 Yrs","10+ Yrs")))</f>
        <v>0-2 Yrs</v>
      </c>
      <c r="AJ1211" s="1">
        <f>IF(HR_Data[[#This Row],[YearsAtCompany]]&lt;=2,1,IF(HR_Data[[#This Row],[YearsAtCompany]]&lt;=5,2,IF(HR_Data[[#This Row],[YearsAtCompany]]&lt;=10,3,4)))</f>
        <v>1</v>
      </c>
      <c r="AK1211" s="1" t="str">
        <f>CHOOSE(HR_Data[[#This Row],[Education]],"Below College","College","Bachelor","Master","Doctor")</f>
        <v>Master</v>
      </c>
      <c r="AL1211" s="1" t="str">
        <f>CHOOSE(HR_Data[[#This Row],[JobSatisfaction]],"Low","Medium","High","Very High")</f>
        <v>Very High</v>
      </c>
      <c r="AM1211" s="1" t="str">
        <f>CHOOSE(HR_Data[[#This Row],[EnvironmentSatisfaction]],"Low","Medium","High","Very High")</f>
        <v>High</v>
      </c>
      <c r="AN1211" s="1" t="str">
        <f>CHOOSE(HR_Data[[#This Row],[WorkLifeBalance]],"Bad","Good","Better","Best")</f>
        <v>Best</v>
      </c>
      <c r="AO1211" s="1" t="str">
        <f>IF(HR_Data[[#This Row],[PercentSalaryHike]]&lt;=13,"11-13%",IF(HR_Data[[#This Row],[PercentSalaryHike]]&lt;=16,"14-16%",IF(HR_Data[[#This Row],[PercentSalaryHike]]&lt;=19,"17-19%","20-25%")))</f>
        <v>20-25%</v>
      </c>
      <c r="AP1211" s="1">
        <f>IF(HR_Data[[#This Row],[PercentSalaryHike]]&lt;=13,1,IF(HR_Data[[#This Row],[PercentSalaryHike]]&lt;=16,2,IF(HR_Data[[#This Row],[PercentSalaryHike]]&lt;=19,3,4)))</f>
        <v>4</v>
      </c>
      <c r="AQ1211" s="1" t="str">
        <f>IF(HR_Data[[#This Row],[DistanceFromHome]]&lt;=5,"1 to 5",IF(HR_Data[[#This Row],[DistanceFromHome]]&lt;=10,"6 to 10",IF(HR_Data[[#This Row],[DistanceFromHome]]&lt;=20,"11 to 20","21 to 29")))</f>
        <v>1 to 5</v>
      </c>
      <c r="AR1211" s="1">
        <f>IF(HR_Data[[#This Row],[DistanceFromHome]]&lt;=5,1,IF(HR_Data[[#This Row],[DistanceFromHome]]&lt;=10,2,IF(HR_Data[[#This Row],[DistanceFromHome]]&lt;=20,3,4)))</f>
        <v>1</v>
      </c>
      <c r="AS1211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211" s="1">
        <f>IF(HR_Data[[#This Row],[TotalWorkingYears]]&lt;=5,1,IF(HR_Data[[#This Row],[TotalWorkingYears]]&lt;=10,2,IF(HR_Data[[#This Row],[TotalWorkingYears]]&lt;=20,3,4)))</f>
        <v>3</v>
      </c>
    </row>
    <row r="1212" spans="1:46" x14ac:dyDescent="0.25">
      <c r="A1212">
        <v>33</v>
      </c>
      <c r="B1212" t="s">
        <v>36</v>
      </c>
      <c r="C1212" t="s">
        <v>30</v>
      </c>
      <c r="D1212" t="s">
        <v>38</v>
      </c>
      <c r="E1212">
        <v>21</v>
      </c>
      <c r="F1212">
        <v>3</v>
      </c>
      <c r="G1212" t="s">
        <v>44</v>
      </c>
      <c r="H1212">
        <v>1698</v>
      </c>
      <c r="I1212">
        <v>2</v>
      </c>
      <c r="J1212" t="s">
        <v>39</v>
      </c>
      <c r="K1212">
        <v>4</v>
      </c>
      <c r="L1212">
        <v>1</v>
      </c>
      <c r="M1212" t="s">
        <v>43</v>
      </c>
      <c r="N1212">
        <v>2</v>
      </c>
      <c r="O1212" t="s">
        <v>41</v>
      </c>
      <c r="P1212">
        <v>2028</v>
      </c>
      <c r="Q1212">
        <v>1</v>
      </c>
      <c r="R1212" t="s">
        <v>36</v>
      </c>
      <c r="S1212">
        <v>18</v>
      </c>
      <c r="T1212">
        <v>3</v>
      </c>
      <c r="U1212">
        <v>4</v>
      </c>
      <c r="V1212">
        <v>3</v>
      </c>
      <c r="W1212">
        <v>14</v>
      </c>
      <c r="X1212">
        <v>6</v>
      </c>
      <c r="Y1212">
        <v>3</v>
      </c>
      <c r="Z1212">
        <v>14</v>
      </c>
      <c r="AA1212">
        <v>11</v>
      </c>
      <c r="AB1212">
        <v>2</v>
      </c>
      <c r="AC1212">
        <v>13</v>
      </c>
      <c r="AD1212">
        <f>IF(HR_Data[[#This Row],[Attrition]]="Yes",1,0)</f>
        <v>0</v>
      </c>
      <c r="AE1212" t="str">
        <f>IF(HR_Data[[#This Row],[Age]]&lt;=25,"18-25",IF(HR_Data[[#This Row],[Age]]&lt;=35,"26-35",IF(HR_Data[[#This Row],[Age]]&lt;=45,"36-45",IF(HR_Data[[#This Row],[Age]]&lt;=55,"46-55","55+"))))</f>
        <v>26-35</v>
      </c>
      <c r="AF1212">
        <f>IF(HR_Data[[#This Row],[Age]]&lt;=25,1,IF(HR_Data[[#This Row],[Age]]&lt;=35,2,IF(HR_Data[[#This Row],[Age]]&lt;=45,3,IF(HR_Data[[#This Row],[Age]]&lt;=55,4,5))))</f>
        <v>2</v>
      </c>
      <c r="AG1212" s="1" t="str">
        <f>IF(HR_Data[[#This Row],[MonthlyIncome]]&lt;3000,"&lt;3K",IF(HR_Data[[#This Row],[MonthlyIncome]]&lt;6000,"3K-6K",IF(HR_Data[[#This Row],[MonthlyIncome]]&lt;10000,"6K-10K","10K+")))</f>
        <v>&lt;3K</v>
      </c>
      <c r="AH1212" s="1">
        <f>IF(HR_Data[[#This Row],[MonthlyIncome]]&lt;3000,1,IF(HR_Data[[#This Row],[MonthlyIncome]]&lt;6000,2,IF(HR_Data[[#This Row],[MonthlyIncome]]&lt;10000,3,4)))</f>
        <v>1</v>
      </c>
      <c r="AI1212" s="1" t="str">
        <f>IF(HR_Data[[#This Row],[YearsAtCompany]]&lt;=2,"0-2 Yrs",IF(HR_Data[[#This Row],[YearsAtCompany]]&lt;=5,"3-5 Yrs",IF(HR_Data[[#This Row],[YearsAtCompany]]&lt;=10,"6-10 Yrs","10+ Yrs")))</f>
        <v>10+ Yrs</v>
      </c>
      <c r="AJ1212" s="1">
        <f>IF(HR_Data[[#This Row],[YearsAtCompany]]&lt;=2,1,IF(HR_Data[[#This Row],[YearsAtCompany]]&lt;=5,2,IF(HR_Data[[#This Row],[YearsAtCompany]]&lt;=10,3,4)))</f>
        <v>4</v>
      </c>
      <c r="AK1212" s="1" t="str">
        <f>CHOOSE(HR_Data[[#This Row],[Education]],"Below College","College","Bachelor","Master","Doctor")</f>
        <v>Bachelor</v>
      </c>
      <c r="AL1212" s="1" t="str">
        <f>CHOOSE(HR_Data[[#This Row],[JobSatisfaction]],"Low","Medium","High","Very High")</f>
        <v>Medium</v>
      </c>
      <c r="AM1212" s="1" t="str">
        <f>CHOOSE(HR_Data[[#This Row],[EnvironmentSatisfaction]],"Low","Medium","High","Very High")</f>
        <v>Medium</v>
      </c>
      <c r="AN1212" s="1" t="str">
        <f>CHOOSE(HR_Data[[#This Row],[WorkLifeBalance]],"Bad","Good","Better","Best")</f>
        <v>Better</v>
      </c>
      <c r="AO1212" s="1" t="str">
        <f>IF(HR_Data[[#This Row],[PercentSalaryHike]]&lt;=13,"11-13%",IF(HR_Data[[#This Row],[PercentSalaryHike]]&lt;=16,"14-16%",IF(HR_Data[[#This Row],[PercentSalaryHike]]&lt;=19,"17-19%","20-25%")))</f>
        <v>17-19%</v>
      </c>
      <c r="AP1212" s="1">
        <f>IF(HR_Data[[#This Row],[PercentSalaryHike]]&lt;=13,1,IF(HR_Data[[#This Row],[PercentSalaryHike]]&lt;=16,2,IF(HR_Data[[#This Row],[PercentSalaryHike]]&lt;=19,3,4)))</f>
        <v>3</v>
      </c>
      <c r="AQ1212" s="1" t="str">
        <f>IF(HR_Data[[#This Row],[DistanceFromHome]]&lt;=5,"1 to 5",IF(HR_Data[[#This Row],[DistanceFromHome]]&lt;=10,"6 to 10",IF(HR_Data[[#This Row],[DistanceFromHome]]&lt;=20,"11 to 20","21 to 29")))</f>
        <v>21 to 29</v>
      </c>
      <c r="AR1212" s="1">
        <f>IF(HR_Data[[#This Row],[DistanceFromHome]]&lt;=5,1,IF(HR_Data[[#This Row],[DistanceFromHome]]&lt;=10,2,IF(HR_Data[[#This Row],[DistanceFromHome]]&lt;=20,3,4)))</f>
        <v>4</v>
      </c>
      <c r="AS1212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212" s="1">
        <f>IF(HR_Data[[#This Row],[TotalWorkingYears]]&lt;=5,1,IF(HR_Data[[#This Row],[TotalWorkingYears]]&lt;=10,2,IF(HR_Data[[#This Row],[TotalWorkingYears]]&lt;=20,3,4)))</f>
        <v>3</v>
      </c>
    </row>
    <row r="1213" spans="1:46" x14ac:dyDescent="0.25">
      <c r="A1213">
        <v>37</v>
      </c>
      <c r="B1213" t="s">
        <v>36</v>
      </c>
      <c r="C1213" t="s">
        <v>37</v>
      </c>
      <c r="D1213" t="s">
        <v>31</v>
      </c>
      <c r="E1213">
        <v>1</v>
      </c>
      <c r="F1213">
        <v>4</v>
      </c>
      <c r="G1213" t="s">
        <v>44</v>
      </c>
      <c r="H1213">
        <v>1700</v>
      </c>
      <c r="I1213">
        <v>3</v>
      </c>
      <c r="J1213" t="s">
        <v>39</v>
      </c>
      <c r="K1213">
        <v>1</v>
      </c>
      <c r="L1213">
        <v>2</v>
      </c>
      <c r="M1213" t="s">
        <v>34</v>
      </c>
      <c r="N1213">
        <v>4</v>
      </c>
      <c r="O1213" t="s">
        <v>45</v>
      </c>
      <c r="P1213">
        <v>9525</v>
      </c>
      <c r="Q1213">
        <v>1</v>
      </c>
      <c r="R1213" t="s">
        <v>36</v>
      </c>
      <c r="S1213">
        <v>14</v>
      </c>
      <c r="T1213">
        <v>3</v>
      </c>
      <c r="U1213">
        <v>3</v>
      </c>
      <c r="V1213">
        <v>2</v>
      </c>
      <c r="W1213">
        <v>6</v>
      </c>
      <c r="X1213">
        <v>2</v>
      </c>
      <c r="Y1213">
        <v>2</v>
      </c>
      <c r="Z1213">
        <v>6</v>
      </c>
      <c r="AA1213">
        <v>3</v>
      </c>
      <c r="AB1213">
        <v>1</v>
      </c>
      <c r="AC1213">
        <v>3</v>
      </c>
      <c r="AD1213">
        <f>IF(HR_Data[[#This Row],[Attrition]]="Yes",1,0)</f>
        <v>0</v>
      </c>
      <c r="AE1213" t="str">
        <f>IF(HR_Data[[#This Row],[Age]]&lt;=25,"18-25",IF(HR_Data[[#This Row],[Age]]&lt;=35,"26-35",IF(HR_Data[[#This Row],[Age]]&lt;=45,"36-45",IF(HR_Data[[#This Row],[Age]]&lt;=55,"46-55","55+"))))</f>
        <v>36-45</v>
      </c>
      <c r="AF1213">
        <f>IF(HR_Data[[#This Row],[Age]]&lt;=25,1,IF(HR_Data[[#This Row],[Age]]&lt;=35,2,IF(HR_Data[[#This Row],[Age]]&lt;=45,3,IF(HR_Data[[#This Row],[Age]]&lt;=55,4,5))))</f>
        <v>3</v>
      </c>
      <c r="AG1213" s="1" t="str">
        <f>IF(HR_Data[[#This Row],[MonthlyIncome]]&lt;3000,"&lt;3K",IF(HR_Data[[#This Row],[MonthlyIncome]]&lt;6000,"3K-6K",IF(HR_Data[[#This Row],[MonthlyIncome]]&lt;10000,"6K-10K","10K+")))</f>
        <v>6K-10K</v>
      </c>
      <c r="AH1213" s="1">
        <f>IF(HR_Data[[#This Row],[MonthlyIncome]]&lt;3000,1,IF(HR_Data[[#This Row],[MonthlyIncome]]&lt;6000,2,IF(HR_Data[[#This Row],[MonthlyIncome]]&lt;10000,3,4)))</f>
        <v>3</v>
      </c>
      <c r="AI1213" s="1" t="str">
        <f>IF(HR_Data[[#This Row],[YearsAtCompany]]&lt;=2,"0-2 Yrs",IF(HR_Data[[#This Row],[YearsAtCompany]]&lt;=5,"3-5 Yrs",IF(HR_Data[[#This Row],[YearsAtCompany]]&lt;=10,"6-10 Yrs","10+ Yrs")))</f>
        <v>6-10 Yrs</v>
      </c>
      <c r="AJ1213" s="1">
        <f>IF(HR_Data[[#This Row],[YearsAtCompany]]&lt;=2,1,IF(HR_Data[[#This Row],[YearsAtCompany]]&lt;=5,2,IF(HR_Data[[#This Row],[YearsAtCompany]]&lt;=10,3,4)))</f>
        <v>3</v>
      </c>
      <c r="AK1213" s="1" t="str">
        <f>CHOOSE(HR_Data[[#This Row],[Education]],"Below College","College","Bachelor","Master","Doctor")</f>
        <v>Master</v>
      </c>
      <c r="AL1213" s="1" t="str">
        <f>CHOOSE(HR_Data[[#This Row],[JobSatisfaction]],"Low","Medium","High","Very High")</f>
        <v>Very High</v>
      </c>
      <c r="AM1213" s="1" t="str">
        <f>CHOOSE(HR_Data[[#This Row],[EnvironmentSatisfaction]],"Low","Medium","High","Very High")</f>
        <v>High</v>
      </c>
      <c r="AN1213" s="1" t="str">
        <f>CHOOSE(HR_Data[[#This Row],[WorkLifeBalance]],"Bad","Good","Better","Best")</f>
        <v>Good</v>
      </c>
      <c r="AO1213" s="1" t="str">
        <f>IF(HR_Data[[#This Row],[PercentSalaryHike]]&lt;=13,"11-13%",IF(HR_Data[[#This Row],[PercentSalaryHike]]&lt;=16,"14-16%",IF(HR_Data[[#This Row],[PercentSalaryHike]]&lt;=19,"17-19%","20-25%")))</f>
        <v>14-16%</v>
      </c>
      <c r="AP1213" s="1">
        <f>IF(HR_Data[[#This Row],[PercentSalaryHike]]&lt;=13,1,IF(HR_Data[[#This Row],[PercentSalaryHike]]&lt;=16,2,IF(HR_Data[[#This Row],[PercentSalaryHike]]&lt;=19,3,4)))</f>
        <v>2</v>
      </c>
      <c r="AQ1213" s="1" t="str">
        <f>IF(HR_Data[[#This Row],[DistanceFromHome]]&lt;=5,"1 to 5",IF(HR_Data[[#This Row],[DistanceFromHome]]&lt;=10,"6 to 10",IF(HR_Data[[#This Row],[DistanceFromHome]]&lt;=20,"11 to 20","21 to 29")))</f>
        <v>1 to 5</v>
      </c>
      <c r="AR1213" s="1">
        <f>IF(HR_Data[[#This Row],[DistanceFromHome]]&lt;=5,1,IF(HR_Data[[#This Row],[DistanceFromHome]]&lt;=10,2,IF(HR_Data[[#This Row],[DistanceFromHome]]&lt;=20,3,4)))</f>
        <v>1</v>
      </c>
      <c r="AS1213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213" s="1">
        <f>IF(HR_Data[[#This Row],[TotalWorkingYears]]&lt;=5,1,IF(HR_Data[[#This Row],[TotalWorkingYears]]&lt;=10,2,IF(HR_Data[[#This Row],[TotalWorkingYears]]&lt;=20,3,4)))</f>
        <v>2</v>
      </c>
    </row>
    <row r="1214" spans="1:46" x14ac:dyDescent="0.25">
      <c r="A1214">
        <v>34</v>
      </c>
      <c r="B1214" t="s">
        <v>36</v>
      </c>
      <c r="C1214" t="s">
        <v>30</v>
      </c>
      <c r="D1214" t="s">
        <v>38</v>
      </c>
      <c r="E1214">
        <v>19</v>
      </c>
      <c r="F1214">
        <v>3</v>
      </c>
      <c r="G1214" t="s">
        <v>32</v>
      </c>
      <c r="H1214">
        <v>1701</v>
      </c>
      <c r="I1214">
        <v>2</v>
      </c>
      <c r="J1214" t="s">
        <v>33</v>
      </c>
      <c r="K1214">
        <v>2</v>
      </c>
      <c r="L1214">
        <v>1</v>
      </c>
      <c r="M1214" t="s">
        <v>40</v>
      </c>
      <c r="N1214">
        <v>4</v>
      </c>
      <c r="O1214" t="s">
        <v>41</v>
      </c>
      <c r="P1214">
        <v>2929</v>
      </c>
      <c r="Q1214">
        <v>1</v>
      </c>
      <c r="R1214" t="s">
        <v>36</v>
      </c>
      <c r="S1214">
        <v>12</v>
      </c>
      <c r="T1214">
        <v>3</v>
      </c>
      <c r="U1214">
        <v>2</v>
      </c>
      <c r="V1214">
        <v>0</v>
      </c>
      <c r="W1214">
        <v>10</v>
      </c>
      <c r="X1214">
        <v>3</v>
      </c>
      <c r="Y1214">
        <v>3</v>
      </c>
      <c r="Z1214">
        <v>10</v>
      </c>
      <c r="AA1214">
        <v>9</v>
      </c>
      <c r="AB1214">
        <v>8</v>
      </c>
      <c r="AC1214">
        <v>7</v>
      </c>
      <c r="AD1214">
        <f>IF(HR_Data[[#This Row],[Attrition]]="Yes",1,0)</f>
        <v>0</v>
      </c>
      <c r="AE1214" t="str">
        <f>IF(HR_Data[[#This Row],[Age]]&lt;=25,"18-25",IF(HR_Data[[#This Row],[Age]]&lt;=35,"26-35",IF(HR_Data[[#This Row],[Age]]&lt;=45,"36-45",IF(HR_Data[[#This Row],[Age]]&lt;=55,"46-55","55+"))))</f>
        <v>26-35</v>
      </c>
      <c r="AF1214">
        <f>IF(HR_Data[[#This Row],[Age]]&lt;=25,1,IF(HR_Data[[#This Row],[Age]]&lt;=35,2,IF(HR_Data[[#This Row],[Age]]&lt;=45,3,IF(HR_Data[[#This Row],[Age]]&lt;=55,4,5))))</f>
        <v>2</v>
      </c>
      <c r="AG1214" s="1" t="str">
        <f>IF(HR_Data[[#This Row],[MonthlyIncome]]&lt;3000,"&lt;3K",IF(HR_Data[[#This Row],[MonthlyIncome]]&lt;6000,"3K-6K",IF(HR_Data[[#This Row],[MonthlyIncome]]&lt;10000,"6K-10K","10K+")))</f>
        <v>&lt;3K</v>
      </c>
      <c r="AH1214" s="1">
        <f>IF(HR_Data[[#This Row],[MonthlyIncome]]&lt;3000,1,IF(HR_Data[[#This Row],[MonthlyIncome]]&lt;6000,2,IF(HR_Data[[#This Row],[MonthlyIncome]]&lt;10000,3,4)))</f>
        <v>1</v>
      </c>
      <c r="AI1214" s="1" t="str">
        <f>IF(HR_Data[[#This Row],[YearsAtCompany]]&lt;=2,"0-2 Yrs",IF(HR_Data[[#This Row],[YearsAtCompany]]&lt;=5,"3-5 Yrs",IF(HR_Data[[#This Row],[YearsAtCompany]]&lt;=10,"6-10 Yrs","10+ Yrs")))</f>
        <v>6-10 Yrs</v>
      </c>
      <c r="AJ1214" s="1">
        <f>IF(HR_Data[[#This Row],[YearsAtCompany]]&lt;=2,1,IF(HR_Data[[#This Row],[YearsAtCompany]]&lt;=5,2,IF(HR_Data[[#This Row],[YearsAtCompany]]&lt;=10,3,4)))</f>
        <v>3</v>
      </c>
      <c r="AK1214" s="1" t="str">
        <f>CHOOSE(HR_Data[[#This Row],[Education]],"Below College","College","Bachelor","Master","Doctor")</f>
        <v>Bachelor</v>
      </c>
      <c r="AL1214" s="1" t="str">
        <f>CHOOSE(HR_Data[[#This Row],[JobSatisfaction]],"Low","Medium","High","Very High")</f>
        <v>Very High</v>
      </c>
      <c r="AM1214" s="1" t="str">
        <f>CHOOSE(HR_Data[[#This Row],[EnvironmentSatisfaction]],"Low","Medium","High","Very High")</f>
        <v>Medium</v>
      </c>
      <c r="AN1214" s="1" t="str">
        <f>CHOOSE(HR_Data[[#This Row],[WorkLifeBalance]],"Bad","Good","Better","Best")</f>
        <v>Better</v>
      </c>
      <c r="AO1214" s="1" t="str">
        <f>IF(HR_Data[[#This Row],[PercentSalaryHike]]&lt;=13,"11-13%",IF(HR_Data[[#This Row],[PercentSalaryHike]]&lt;=16,"14-16%",IF(HR_Data[[#This Row],[PercentSalaryHike]]&lt;=19,"17-19%","20-25%")))</f>
        <v>11-13%</v>
      </c>
      <c r="AP1214" s="1">
        <f>IF(HR_Data[[#This Row],[PercentSalaryHike]]&lt;=13,1,IF(HR_Data[[#This Row],[PercentSalaryHike]]&lt;=16,2,IF(HR_Data[[#This Row],[PercentSalaryHike]]&lt;=19,3,4)))</f>
        <v>1</v>
      </c>
      <c r="AQ1214" s="1" t="str">
        <f>IF(HR_Data[[#This Row],[DistanceFromHome]]&lt;=5,"1 to 5",IF(HR_Data[[#This Row],[DistanceFromHome]]&lt;=10,"6 to 10",IF(HR_Data[[#This Row],[DistanceFromHome]]&lt;=20,"11 to 20","21 to 29")))</f>
        <v>11 to 20</v>
      </c>
      <c r="AR1214" s="1">
        <f>IF(HR_Data[[#This Row],[DistanceFromHome]]&lt;=5,1,IF(HR_Data[[#This Row],[DistanceFromHome]]&lt;=10,2,IF(HR_Data[[#This Row],[DistanceFromHome]]&lt;=20,3,4)))</f>
        <v>3</v>
      </c>
      <c r="AS1214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214" s="1">
        <f>IF(HR_Data[[#This Row],[TotalWorkingYears]]&lt;=5,1,IF(HR_Data[[#This Row],[TotalWorkingYears]]&lt;=10,2,IF(HR_Data[[#This Row],[TotalWorkingYears]]&lt;=20,3,4)))</f>
        <v>2</v>
      </c>
    </row>
    <row r="1215" spans="1:46" x14ac:dyDescent="0.25">
      <c r="A1215">
        <v>23</v>
      </c>
      <c r="B1215" t="s">
        <v>29</v>
      </c>
      <c r="C1215" t="s">
        <v>30</v>
      </c>
      <c r="D1215" t="s">
        <v>31</v>
      </c>
      <c r="E1215">
        <v>7</v>
      </c>
      <c r="F1215">
        <v>3</v>
      </c>
      <c r="G1215" t="s">
        <v>32</v>
      </c>
      <c r="H1215">
        <v>1702</v>
      </c>
      <c r="I1215">
        <v>3</v>
      </c>
      <c r="J1215" t="s">
        <v>39</v>
      </c>
      <c r="K1215">
        <v>3</v>
      </c>
      <c r="L1215">
        <v>1</v>
      </c>
      <c r="M1215" t="s">
        <v>50</v>
      </c>
      <c r="N1215">
        <v>4</v>
      </c>
      <c r="O1215" t="s">
        <v>45</v>
      </c>
      <c r="P1215">
        <v>2275</v>
      </c>
      <c r="Q1215">
        <v>1</v>
      </c>
      <c r="R1215" t="s">
        <v>29</v>
      </c>
      <c r="S1215">
        <v>21</v>
      </c>
      <c r="T1215">
        <v>4</v>
      </c>
      <c r="U1215">
        <v>2</v>
      </c>
      <c r="V1215">
        <v>1</v>
      </c>
      <c r="W1215">
        <v>3</v>
      </c>
      <c r="X1215">
        <v>2</v>
      </c>
      <c r="Y1215">
        <v>3</v>
      </c>
      <c r="Z1215">
        <v>3</v>
      </c>
      <c r="AA1215">
        <v>2</v>
      </c>
      <c r="AB1215">
        <v>0</v>
      </c>
      <c r="AC1215">
        <v>2</v>
      </c>
      <c r="AD1215">
        <f>IF(HR_Data[[#This Row],[Attrition]]="Yes",1,0)</f>
        <v>1</v>
      </c>
      <c r="AE1215" t="str">
        <f>IF(HR_Data[[#This Row],[Age]]&lt;=25,"18-25",IF(HR_Data[[#This Row],[Age]]&lt;=35,"26-35",IF(HR_Data[[#This Row],[Age]]&lt;=45,"36-45",IF(HR_Data[[#This Row],[Age]]&lt;=55,"46-55","55+"))))</f>
        <v>18-25</v>
      </c>
      <c r="AF1215">
        <f>IF(HR_Data[[#This Row],[Age]]&lt;=25,1,IF(HR_Data[[#This Row],[Age]]&lt;=35,2,IF(HR_Data[[#This Row],[Age]]&lt;=45,3,IF(HR_Data[[#This Row],[Age]]&lt;=55,4,5))))</f>
        <v>1</v>
      </c>
      <c r="AG1215" s="1" t="str">
        <f>IF(HR_Data[[#This Row],[MonthlyIncome]]&lt;3000,"&lt;3K",IF(HR_Data[[#This Row],[MonthlyIncome]]&lt;6000,"3K-6K",IF(HR_Data[[#This Row],[MonthlyIncome]]&lt;10000,"6K-10K","10K+")))</f>
        <v>&lt;3K</v>
      </c>
      <c r="AH1215" s="1">
        <f>IF(HR_Data[[#This Row],[MonthlyIncome]]&lt;3000,1,IF(HR_Data[[#This Row],[MonthlyIncome]]&lt;6000,2,IF(HR_Data[[#This Row],[MonthlyIncome]]&lt;10000,3,4)))</f>
        <v>1</v>
      </c>
      <c r="AI1215" s="1" t="str">
        <f>IF(HR_Data[[#This Row],[YearsAtCompany]]&lt;=2,"0-2 Yrs",IF(HR_Data[[#This Row],[YearsAtCompany]]&lt;=5,"3-5 Yrs",IF(HR_Data[[#This Row],[YearsAtCompany]]&lt;=10,"6-10 Yrs","10+ Yrs")))</f>
        <v>3-5 Yrs</v>
      </c>
      <c r="AJ1215" s="1">
        <f>IF(HR_Data[[#This Row],[YearsAtCompany]]&lt;=2,1,IF(HR_Data[[#This Row],[YearsAtCompany]]&lt;=5,2,IF(HR_Data[[#This Row],[YearsAtCompany]]&lt;=10,3,4)))</f>
        <v>2</v>
      </c>
      <c r="AK1215" s="1" t="str">
        <f>CHOOSE(HR_Data[[#This Row],[Education]],"Below College","College","Bachelor","Master","Doctor")</f>
        <v>Bachelor</v>
      </c>
      <c r="AL1215" s="1" t="str">
        <f>CHOOSE(HR_Data[[#This Row],[JobSatisfaction]],"Low","Medium","High","Very High")</f>
        <v>Very High</v>
      </c>
      <c r="AM1215" s="1" t="str">
        <f>CHOOSE(HR_Data[[#This Row],[EnvironmentSatisfaction]],"Low","Medium","High","Very High")</f>
        <v>High</v>
      </c>
      <c r="AN1215" s="1" t="str">
        <f>CHOOSE(HR_Data[[#This Row],[WorkLifeBalance]],"Bad","Good","Better","Best")</f>
        <v>Better</v>
      </c>
      <c r="AO1215" s="1" t="str">
        <f>IF(HR_Data[[#This Row],[PercentSalaryHike]]&lt;=13,"11-13%",IF(HR_Data[[#This Row],[PercentSalaryHike]]&lt;=16,"14-16%",IF(HR_Data[[#This Row],[PercentSalaryHike]]&lt;=19,"17-19%","20-25%")))</f>
        <v>20-25%</v>
      </c>
      <c r="AP1215" s="1">
        <f>IF(HR_Data[[#This Row],[PercentSalaryHike]]&lt;=13,1,IF(HR_Data[[#This Row],[PercentSalaryHike]]&lt;=16,2,IF(HR_Data[[#This Row],[PercentSalaryHike]]&lt;=19,3,4)))</f>
        <v>4</v>
      </c>
      <c r="AQ1215" s="1" t="str">
        <f>IF(HR_Data[[#This Row],[DistanceFromHome]]&lt;=5,"1 to 5",IF(HR_Data[[#This Row],[DistanceFromHome]]&lt;=10,"6 to 10",IF(HR_Data[[#This Row],[DistanceFromHome]]&lt;=20,"11 to 20","21 to 29")))</f>
        <v>6 to 10</v>
      </c>
      <c r="AR1215" s="1">
        <f>IF(HR_Data[[#This Row],[DistanceFromHome]]&lt;=5,1,IF(HR_Data[[#This Row],[DistanceFromHome]]&lt;=10,2,IF(HR_Data[[#This Row],[DistanceFromHome]]&lt;=20,3,4)))</f>
        <v>2</v>
      </c>
      <c r="AS1215" s="1" t="str">
        <f>IF(HR_Data[[#This Row],[TotalWorkingYears]]&lt;=5,"0-5 Yrs",IF(HR_Data[[#This Row],[TotalWorkingYears]]&lt;=10,"6-10 Yrs",IF(HR_Data[[#This Row],[TotalWorkingYears]]&lt;=20,"11-20 Yrs","20+ Yrs")))</f>
        <v>0-5 Yrs</v>
      </c>
      <c r="AT1215" s="1">
        <f>IF(HR_Data[[#This Row],[TotalWorkingYears]]&lt;=5,1,IF(HR_Data[[#This Row],[TotalWorkingYears]]&lt;=10,2,IF(HR_Data[[#This Row],[TotalWorkingYears]]&lt;=20,3,4)))</f>
        <v>1</v>
      </c>
    </row>
    <row r="1216" spans="1:46" x14ac:dyDescent="0.25">
      <c r="A1216">
        <v>44</v>
      </c>
      <c r="B1216" t="s">
        <v>36</v>
      </c>
      <c r="C1216" t="s">
        <v>30</v>
      </c>
      <c r="D1216" t="s">
        <v>38</v>
      </c>
      <c r="E1216">
        <v>2</v>
      </c>
      <c r="F1216">
        <v>3</v>
      </c>
      <c r="G1216" t="s">
        <v>32</v>
      </c>
      <c r="H1216">
        <v>1703</v>
      </c>
      <c r="I1216">
        <v>3</v>
      </c>
      <c r="J1216" t="s">
        <v>33</v>
      </c>
      <c r="K1216">
        <v>4</v>
      </c>
      <c r="L1216">
        <v>3</v>
      </c>
      <c r="M1216" t="s">
        <v>47</v>
      </c>
      <c r="N1216">
        <v>4</v>
      </c>
      <c r="O1216" t="s">
        <v>41</v>
      </c>
      <c r="P1216">
        <v>7879</v>
      </c>
      <c r="Q1216">
        <v>1</v>
      </c>
      <c r="R1216" t="s">
        <v>29</v>
      </c>
      <c r="S1216">
        <v>19</v>
      </c>
      <c r="T1216">
        <v>3</v>
      </c>
      <c r="U1216">
        <v>2</v>
      </c>
      <c r="V1216">
        <v>1</v>
      </c>
      <c r="W1216">
        <v>9</v>
      </c>
      <c r="X1216">
        <v>2</v>
      </c>
      <c r="Y1216">
        <v>3</v>
      </c>
      <c r="Z1216">
        <v>8</v>
      </c>
      <c r="AA1216">
        <v>7</v>
      </c>
      <c r="AB1216">
        <v>6</v>
      </c>
      <c r="AC1216">
        <v>7</v>
      </c>
      <c r="AD1216">
        <f>IF(HR_Data[[#This Row],[Attrition]]="Yes",1,0)</f>
        <v>0</v>
      </c>
      <c r="AE1216" t="str">
        <f>IF(HR_Data[[#This Row],[Age]]&lt;=25,"18-25",IF(HR_Data[[#This Row],[Age]]&lt;=35,"26-35",IF(HR_Data[[#This Row],[Age]]&lt;=45,"36-45",IF(HR_Data[[#This Row],[Age]]&lt;=55,"46-55","55+"))))</f>
        <v>36-45</v>
      </c>
      <c r="AF1216">
        <f>IF(HR_Data[[#This Row],[Age]]&lt;=25,1,IF(HR_Data[[#This Row],[Age]]&lt;=35,2,IF(HR_Data[[#This Row],[Age]]&lt;=45,3,IF(HR_Data[[#This Row],[Age]]&lt;=55,4,5))))</f>
        <v>3</v>
      </c>
      <c r="AG1216" s="1" t="str">
        <f>IF(HR_Data[[#This Row],[MonthlyIncome]]&lt;3000,"&lt;3K",IF(HR_Data[[#This Row],[MonthlyIncome]]&lt;6000,"3K-6K",IF(HR_Data[[#This Row],[MonthlyIncome]]&lt;10000,"6K-10K","10K+")))</f>
        <v>6K-10K</v>
      </c>
      <c r="AH1216" s="1">
        <f>IF(HR_Data[[#This Row],[MonthlyIncome]]&lt;3000,1,IF(HR_Data[[#This Row],[MonthlyIncome]]&lt;6000,2,IF(HR_Data[[#This Row],[MonthlyIncome]]&lt;10000,3,4)))</f>
        <v>3</v>
      </c>
      <c r="AI1216" s="1" t="str">
        <f>IF(HR_Data[[#This Row],[YearsAtCompany]]&lt;=2,"0-2 Yrs",IF(HR_Data[[#This Row],[YearsAtCompany]]&lt;=5,"3-5 Yrs",IF(HR_Data[[#This Row],[YearsAtCompany]]&lt;=10,"6-10 Yrs","10+ Yrs")))</f>
        <v>6-10 Yrs</v>
      </c>
      <c r="AJ1216" s="1">
        <f>IF(HR_Data[[#This Row],[YearsAtCompany]]&lt;=2,1,IF(HR_Data[[#This Row],[YearsAtCompany]]&lt;=5,2,IF(HR_Data[[#This Row],[YearsAtCompany]]&lt;=10,3,4)))</f>
        <v>3</v>
      </c>
      <c r="AK1216" s="1" t="str">
        <f>CHOOSE(HR_Data[[#This Row],[Education]],"Below College","College","Bachelor","Master","Doctor")</f>
        <v>Bachelor</v>
      </c>
      <c r="AL1216" s="1" t="str">
        <f>CHOOSE(HR_Data[[#This Row],[JobSatisfaction]],"Low","Medium","High","Very High")</f>
        <v>Very High</v>
      </c>
      <c r="AM1216" s="1" t="str">
        <f>CHOOSE(HR_Data[[#This Row],[EnvironmentSatisfaction]],"Low","Medium","High","Very High")</f>
        <v>High</v>
      </c>
      <c r="AN1216" s="1" t="str">
        <f>CHOOSE(HR_Data[[#This Row],[WorkLifeBalance]],"Bad","Good","Better","Best")</f>
        <v>Better</v>
      </c>
      <c r="AO1216" s="1" t="str">
        <f>IF(HR_Data[[#This Row],[PercentSalaryHike]]&lt;=13,"11-13%",IF(HR_Data[[#This Row],[PercentSalaryHike]]&lt;=16,"14-16%",IF(HR_Data[[#This Row],[PercentSalaryHike]]&lt;=19,"17-19%","20-25%")))</f>
        <v>17-19%</v>
      </c>
      <c r="AP1216" s="1">
        <f>IF(HR_Data[[#This Row],[PercentSalaryHike]]&lt;=13,1,IF(HR_Data[[#This Row],[PercentSalaryHike]]&lt;=16,2,IF(HR_Data[[#This Row],[PercentSalaryHike]]&lt;=19,3,4)))</f>
        <v>3</v>
      </c>
      <c r="AQ1216" s="1" t="str">
        <f>IF(HR_Data[[#This Row],[DistanceFromHome]]&lt;=5,"1 to 5",IF(HR_Data[[#This Row],[DistanceFromHome]]&lt;=10,"6 to 10",IF(HR_Data[[#This Row],[DistanceFromHome]]&lt;=20,"11 to 20","21 to 29")))</f>
        <v>1 to 5</v>
      </c>
      <c r="AR1216" s="1">
        <f>IF(HR_Data[[#This Row],[DistanceFromHome]]&lt;=5,1,IF(HR_Data[[#This Row],[DistanceFromHome]]&lt;=10,2,IF(HR_Data[[#This Row],[DistanceFromHome]]&lt;=20,3,4)))</f>
        <v>1</v>
      </c>
      <c r="AS1216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216" s="1">
        <f>IF(HR_Data[[#This Row],[TotalWorkingYears]]&lt;=5,1,IF(HR_Data[[#This Row],[TotalWorkingYears]]&lt;=10,2,IF(HR_Data[[#This Row],[TotalWorkingYears]]&lt;=20,3,4)))</f>
        <v>2</v>
      </c>
    </row>
    <row r="1217" spans="1:46" x14ac:dyDescent="0.25">
      <c r="A1217">
        <v>35</v>
      </c>
      <c r="B1217" t="s">
        <v>36</v>
      </c>
      <c r="C1217" t="s">
        <v>37</v>
      </c>
      <c r="D1217" t="s">
        <v>38</v>
      </c>
      <c r="E1217">
        <v>2</v>
      </c>
      <c r="F1217">
        <v>4</v>
      </c>
      <c r="G1217" t="s">
        <v>44</v>
      </c>
      <c r="H1217">
        <v>1704</v>
      </c>
      <c r="I1217">
        <v>1</v>
      </c>
      <c r="J1217" t="s">
        <v>39</v>
      </c>
      <c r="K1217">
        <v>2</v>
      </c>
      <c r="L1217">
        <v>1</v>
      </c>
      <c r="M1217" t="s">
        <v>40</v>
      </c>
      <c r="N1217">
        <v>4</v>
      </c>
      <c r="O1217" t="s">
        <v>35</v>
      </c>
      <c r="P1217">
        <v>4930</v>
      </c>
      <c r="Q1217">
        <v>0</v>
      </c>
      <c r="R1217" t="s">
        <v>29</v>
      </c>
      <c r="S1217">
        <v>14</v>
      </c>
      <c r="T1217">
        <v>3</v>
      </c>
      <c r="U1217">
        <v>3</v>
      </c>
      <c r="V1217">
        <v>0</v>
      </c>
      <c r="W1217">
        <v>6</v>
      </c>
      <c r="X1217">
        <v>2</v>
      </c>
      <c r="Y1217">
        <v>4</v>
      </c>
      <c r="Z1217">
        <v>5</v>
      </c>
      <c r="AA1217">
        <v>4</v>
      </c>
      <c r="AB1217">
        <v>1</v>
      </c>
      <c r="AC1217">
        <v>4</v>
      </c>
      <c r="AD1217">
        <f>IF(HR_Data[[#This Row],[Attrition]]="Yes",1,0)</f>
        <v>0</v>
      </c>
      <c r="AE1217" t="str">
        <f>IF(HR_Data[[#This Row],[Age]]&lt;=25,"18-25",IF(HR_Data[[#This Row],[Age]]&lt;=35,"26-35",IF(HR_Data[[#This Row],[Age]]&lt;=45,"36-45",IF(HR_Data[[#This Row],[Age]]&lt;=55,"46-55","55+"))))</f>
        <v>26-35</v>
      </c>
      <c r="AF1217">
        <f>IF(HR_Data[[#This Row],[Age]]&lt;=25,1,IF(HR_Data[[#This Row],[Age]]&lt;=35,2,IF(HR_Data[[#This Row],[Age]]&lt;=45,3,IF(HR_Data[[#This Row],[Age]]&lt;=55,4,5))))</f>
        <v>2</v>
      </c>
      <c r="AG1217" s="1" t="str">
        <f>IF(HR_Data[[#This Row],[MonthlyIncome]]&lt;3000,"&lt;3K",IF(HR_Data[[#This Row],[MonthlyIncome]]&lt;6000,"3K-6K",IF(HR_Data[[#This Row],[MonthlyIncome]]&lt;10000,"6K-10K","10K+")))</f>
        <v>3K-6K</v>
      </c>
      <c r="AH1217" s="1">
        <f>IF(HR_Data[[#This Row],[MonthlyIncome]]&lt;3000,1,IF(HR_Data[[#This Row],[MonthlyIncome]]&lt;6000,2,IF(HR_Data[[#This Row],[MonthlyIncome]]&lt;10000,3,4)))</f>
        <v>2</v>
      </c>
      <c r="AI1217" s="1" t="str">
        <f>IF(HR_Data[[#This Row],[YearsAtCompany]]&lt;=2,"0-2 Yrs",IF(HR_Data[[#This Row],[YearsAtCompany]]&lt;=5,"3-5 Yrs",IF(HR_Data[[#This Row],[YearsAtCompany]]&lt;=10,"6-10 Yrs","10+ Yrs")))</f>
        <v>3-5 Yrs</v>
      </c>
      <c r="AJ1217" s="1">
        <f>IF(HR_Data[[#This Row],[YearsAtCompany]]&lt;=2,1,IF(HR_Data[[#This Row],[YearsAtCompany]]&lt;=5,2,IF(HR_Data[[#This Row],[YearsAtCompany]]&lt;=10,3,4)))</f>
        <v>2</v>
      </c>
      <c r="AK1217" s="1" t="str">
        <f>CHOOSE(HR_Data[[#This Row],[Education]],"Below College","College","Bachelor","Master","Doctor")</f>
        <v>Master</v>
      </c>
      <c r="AL1217" s="1" t="str">
        <f>CHOOSE(HR_Data[[#This Row],[JobSatisfaction]],"Low","Medium","High","Very High")</f>
        <v>Very High</v>
      </c>
      <c r="AM1217" s="1" t="str">
        <f>CHOOSE(HR_Data[[#This Row],[EnvironmentSatisfaction]],"Low","Medium","High","Very High")</f>
        <v>Low</v>
      </c>
      <c r="AN1217" s="1" t="str">
        <f>CHOOSE(HR_Data[[#This Row],[WorkLifeBalance]],"Bad","Good","Better","Best")</f>
        <v>Best</v>
      </c>
      <c r="AO1217" s="1" t="str">
        <f>IF(HR_Data[[#This Row],[PercentSalaryHike]]&lt;=13,"11-13%",IF(HR_Data[[#This Row],[PercentSalaryHike]]&lt;=16,"14-16%",IF(HR_Data[[#This Row],[PercentSalaryHike]]&lt;=19,"17-19%","20-25%")))</f>
        <v>14-16%</v>
      </c>
      <c r="AP1217" s="1">
        <f>IF(HR_Data[[#This Row],[PercentSalaryHike]]&lt;=13,1,IF(HR_Data[[#This Row],[PercentSalaryHike]]&lt;=16,2,IF(HR_Data[[#This Row],[PercentSalaryHike]]&lt;=19,3,4)))</f>
        <v>2</v>
      </c>
      <c r="AQ1217" s="1" t="str">
        <f>IF(HR_Data[[#This Row],[DistanceFromHome]]&lt;=5,"1 to 5",IF(HR_Data[[#This Row],[DistanceFromHome]]&lt;=10,"6 to 10",IF(HR_Data[[#This Row],[DistanceFromHome]]&lt;=20,"11 to 20","21 to 29")))</f>
        <v>1 to 5</v>
      </c>
      <c r="AR1217" s="1">
        <f>IF(HR_Data[[#This Row],[DistanceFromHome]]&lt;=5,1,IF(HR_Data[[#This Row],[DistanceFromHome]]&lt;=10,2,IF(HR_Data[[#This Row],[DistanceFromHome]]&lt;=20,3,4)))</f>
        <v>1</v>
      </c>
      <c r="AS1217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217" s="1">
        <f>IF(HR_Data[[#This Row],[TotalWorkingYears]]&lt;=5,1,IF(HR_Data[[#This Row],[TotalWorkingYears]]&lt;=10,2,IF(HR_Data[[#This Row],[TotalWorkingYears]]&lt;=20,3,4)))</f>
        <v>2</v>
      </c>
    </row>
    <row r="1218" spans="1:46" x14ac:dyDescent="0.25">
      <c r="A1218">
        <v>43</v>
      </c>
      <c r="B1218" t="s">
        <v>36</v>
      </c>
      <c r="C1218" t="s">
        <v>30</v>
      </c>
      <c r="D1218" t="s">
        <v>31</v>
      </c>
      <c r="E1218">
        <v>2</v>
      </c>
      <c r="F1218">
        <v>3</v>
      </c>
      <c r="G1218" t="s">
        <v>44</v>
      </c>
      <c r="H1218">
        <v>1706</v>
      </c>
      <c r="I1218">
        <v>4</v>
      </c>
      <c r="J1218" t="s">
        <v>39</v>
      </c>
      <c r="K1218">
        <v>3</v>
      </c>
      <c r="L1218">
        <v>2</v>
      </c>
      <c r="M1218" t="s">
        <v>34</v>
      </c>
      <c r="N1218">
        <v>4</v>
      </c>
      <c r="O1218" t="s">
        <v>41</v>
      </c>
      <c r="P1218">
        <v>7847</v>
      </c>
      <c r="Q1218">
        <v>1</v>
      </c>
      <c r="R1218" t="s">
        <v>29</v>
      </c>
      <c r="S1218">
        <v>17</v>
      </c>
      <c r="T1218">
        <v>3</v>
      </c>
      <c r="U1218">
        <v>1</v>
      </c>
      <c r="V1218">
        <v>1</v>
      </c>
      <c r="W1218">
        <v>10</v>
      </c>
      <c r="X1218">
        <v>3</v>
      </c>
      <c r="Y1218">
        <v>3</v>
      </c>
      <c r="Z1218">
        <v>10</v>
      </c>
      <c r="AA1218">
        <v>9</v>
      </c>
      <c r="AB1218">
        <v>8</v>
      </c>
      <c r="AC1218">
        <v>8</v>
      </c>
      <c r="AD1218">
        <f>IF(HR_Data[[#This Row],[Attrition]]="Yes",1,0)</f>
        <v>0</v>
      </c>
      <c r="AE1218" t="str">
        <f>IF(HR_Data[[#This Row],[Age]]&lt;=25,"18-25",IF(HR_Data[[#This Row],[Age]]&lt;=35,"26-35",IF(HR_Data[[#This Row],[Age]]&lt;=45,"36-45",IF(HR_Data[[#This Row],[Age]]&lt;=55,"46-55","55+"))))</f>
        <v>36-45</v>
      </c>
      <c r="AF1218">
        <f>IF(HR_Data[[#This Row],[Age]]&lt;=25,1,IF(HR_Data[[#This Row],[Age]]&lt;=35,2,IF(HR_Data[[#This Row],[Age]]&lt;=45,3,IF(HR_Data[[#This Row],[Age]]&lt;=55,4,5))))</f>
        <v>3</v>
      </c>
      <c r="AG1218" s="1" t="str">
        <f>IF(HR_Data[[#This Row],[MonthlyIncome]]&lt;3000,"&lt;3K",IF(HR_Data[[#This Row],[MonthlyIncome]]&lt;6000,"3K-6K",IF(HR_Data[[#This Row],[MonthlyIncome]]&lt;10000,"6K-10K","10K+")))</f>
        <v>6K-10K</v>
      </c>
      <c r="AH1218" s="1">
        <f>IF(HR_Data[[#This Row],[MonthlyIncome]]&lt;3000,1,IF(HR_Data[[#This Row],[MonthlyIncome]]&lt;6000,2,IF(HR_Data[[#This Row],[MonthlyIncome]]&lt;10000,3,4)))</f>
        <v>3</v>
      </c>
      <c r="AI1218" s="1" t="str">
        <f>IF(HR_Data[[#This Row],[YearsAtCompany]]&lt;=2,"0-2 Yrs",IF(HR_Data[[#This Row],[YearsAtCompany]]&lt;=5,"3-5 Yrs",IF(HR_Data[[#This Row],[YearsAtCompany]]&lt;=10,"6-10 Yrs","10+ Yrs")))</f>
        <v>6-10 Yrs</v>
      </c>
      <c r="AJ1218" s="1">
        <f>IF(HR_Data[[#This Row],[YearsAtCompany]]&lt;=2,1,IF(HR_Data[[#This Row],[YearsAtCompany]]&lt;=5,2,IF(HR_Data[[#This Row],[YearsAtCompany]]&lt;=10,3,4)))</f>
        <v>3</v>
      </c>
      <c r="AK1218" s="1" t="str">
        <f>CHOOSE(HR_Data[[#This Row],[Education]],"Below College","College","Bachelor","Master","Doctor")</f>
        <v>Bachelor</v>
      </c>
      <c r="AL1218" s="1" t="str">
        <f>CHOOSE(HR_Data[[#This Row],[JobSatisfaction]],"Low","Medium","High","Very High")</f>
        <v>Very High</v>
      </c>
      <c r="AM1218" s="1" t="str">
        <f>CHOOSE(HR_Data[[#This Row],[EnvironmentSatisfaction]],"Low","Medium","High","Very High")</f>
        <v>Very High</v>
      </c>
      <c r="AN1218" s="1" t="str">
        <f>CHOOSE(HR_Data[[#This Row],[WorkLifeBalance]],"Bad","Good","Better","Best")</f>
        <v>Better</v>
      </c>
      <c r="AO1218" s="1" t="str">
        <f>IF(HR_Data[[#This Row],[PercentSalaryHike]]&lt;=13,"11-13%",IF(HR_Data[[#This Row],[PercentSalaryHike]]&lt;=16,"14-16%",IF(HR_Data[[#This Row],[PercentSalaryHike]]&lt;=19,"17-19%","20-25%")))</f>
        <v>17-19%</v>
      </c>
      <c r="AP1218" s="1">
        <f>IF(HR_Data[[#This Row],[PercentSalaryHike]]&lt;=13,1,IF(HR_Data[[#This Row],[PercentSalaryHike]]&lt;=16,2,IF(HR_Data[[#This Row],[PercentSalaryHike]]&lt;=19,3,4)))</f>
        <v>3</v>
      </c>
      <c r="AQ1218" s="1" t="str">
        <f>IF(HR_Data[[#This Row],[DistanceFromHome]]&lt;=5,"1 to 5",IF(HR_Data[[#This Row],[DistanceFromHome]]&lt;=10,"6 to 10",IF(HR_Data[[#This Row],[DistanceFromHome]]&lt;=20,"11 to 20","21 to 29")))</f>
        <v>1 to 5</v>
      </c>
      <c r="AR1218" s="1">
        <f>IF(HR_Data[[#This Row],[DistanceFromHome]]&lt;=5,1,IF(HR_Data[[#This Row],[DistanceFromHome]]&lt;=10,2,IF(HR_Data[[#This Row],[DistanceFromHome]]&lt;=20,3,4)))</f>
        <v>1</v>
      </c>
      <c r="AS1218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218" s="1">
        <f>IF(HR_Data[[#This Row],[TotalWorkingYears]]&lt;=5,1,IF(HR_Data[[#This Row],[TotalWorkingYears]]&lt;=10,2,IF(HR_Data[[#This Row],[TotalWorkingYears]]&lt;=20,3,4)))</f>
        <v>2</v>
      </c>
    </row>
    <row r="1219" spans="1:46" x14ac:dyDescent="0.25">
      <c r="A1219">
        <v>24</v>
      </c>
      <c r="B1219" t="s">
        <v>36</v>
      </c>
      <c r="C1219" t="s">
        <v>30</v>
      </c>
      <c r="D1219" t="s">
        <v>38</v>
      </c>
      <c r="E1219">
        <v>9</v>
      </c>
      <c r="F1219">
        <v>3</v>
      </c>
      <c r="G1219" t="s">
        <v>44</v>
      </c>
      <c r="H1219">
        <v>1707</v>
      </c>
      <c r="I1219">
        <v>3</v>
      </c>
      <c r="J1219" t="s">
        <v>39</v>
      </c>
      <c r="K1219">
        <v>4</v>
      </c>
      <c r="L1219">
        <v>1</v>
      </c>
      <c r="M1219" t="s">
        <v>40</v>
      </c>
      <c r="N1219">
        <v>3</v>
      </c>
      <c r="O1219" t="s">
        <v>41</v>
      </c>
      <c r="P1219">
        <v>4401</v>
      </c>
      <c r="Q1219">
        <v>1</v>
      </c>
      <c r="R1219" t="s">
        <v>36</v>
      </c>
      <c r="S1219">
        <v>16</v>
      </c>
      <c r="T1219">
        <v>3</v>
      </c>
      <c r="U1219">
        <v>4</v>
      </c>
      <c r="V1219">
        <v>1</v>
      </c>
      <c r="W1219">
        <v>5</v>
      </c>
      <c r="X1219">
        <v>1</v>
      </c>
      <c r="Y1219">
        <v>3</v>
      </c>
      <c r="Z1219">
        <v>5</v>
      </c>
      <c r="AA1219">
        <v>3</v>
      </c>
      <c r="AB1219">
        <v>0</v>
      </c>
      <c r="AC1219">
        <v>4</v>
      </c>
      <c r="AD1219">
        <f>IF(HR_Data[[#This Row],[Attrition]]="Yes",1,0)</f>
        <v>0</v>
      </c>
      <c r="AE1219" t="str">
        <f>IF(HR_Data[[#This Row],[Age]]&lt;=25,"18-25",IF(HR_Data[[#This Row],[Age]]&lt;=35,"26-35",IF(HR_Data[[#This Row],[Age]]&lt;=45,"36-45",IF(HR_Data[[#This Row],[Age]]&lt;=55,"46-55","55+"))))</f>
        <v>18-25</v>
      </c>
      <c r="AF1219">
        <f>IF(HR_Data[[#This Row],[Age]]&lt;=25,1,IF(HR_Data[[#This Row],[Age]]&lt;=35,2,IF(HR_Data[[#This Row],[Age]]&lt;=45,3,IF(HR_Data[[#This Row],[Age]]&lt;=55,4,5))))</f>
        <v>1</v>
      </c>
      <c r="AG1219" s="1" t="str">
        <f>IF(HR_Data[[#This Row],[MonthlyIncome]]&lt;3000,"&lt;3K",IF(HR_Data[[#This Row],[MonthlyIncome]]&lt;6000,"3K-6K",IF(HR_Data[[#This Row],[MonthlyIncome]]&lt;10000,"6K-10K","10K+")))</f>
        <v>3K-6K</v>
      </c>
      <c r="AH1219" s="1">
        <f>IF(HR_Data[[#This Row],[MonthlyIncome]]&lt;3000,1,IF(HR_Data[[#This Row],[MonthlyIncome]]&lt;6000,2,IF(HR_Data[[#This Row],[MonthlyIncome]]&lt;10000,3,4)))</f>
        <v>2</v>
      </c>
      <c r="AI1219" s="1" t="str">
        <f>IF(HR_Data[[#This Row],[YearsAtCompany]]&lt;=2,"0-2 Yrs",IF(HR_Data[[#This Row],[YearsAtCompany]]&lt;=5,"3-5 Yrs",IF(HR_Data[[#This Row],[YearsAtCompany]]&lt;=10,"6-10 Yrs","10+ Yrs")))</f>
        <v>3-5 Yrs</v>
      </c>
      <c r="AJ1219" s="1">
        <f>IF(HR_Data[[#This Row],[YearsAtCompany]]&lt;=2,1,IF(HR_Data[[#This Row],[YearsAtCompany]]&lt;=5,2,IF(HR_Data[[#This Row],[YearsAtCompany]]&lt;=10,3,4)))</f>
        <v>2</v>
      </c>
      <c r="AK1219" s="1" t="str">
        <f>CHOOSE(HR_Data[[#This Row],[Education]],"Below College","College","Bachelor","Master","Doctor")</f>
        <v>Bachelor</v>
      </c>
      <c r="AL1219" s="1" t="str">
        <f>CHOOSE(HR_Data[[#This Row],[JobSatisfaction]],"Low","Medium","High","Very High")</f>
        <v>High</v>
      </c>
      <c r="AM1219" s="1" t="str">
        <f>CHOOSE(HR_Data[[#This Row],[EnvironmentSatisfaction]],"Low","Medium","High","Very High")</f>
        <v>High</v>
      </c>
      <c r="AN1219" s="1" t="str">
        <f>CHOOSE(HR_Data[[#This Row],[WorkLifeBalance]],"Bad","Good","Better","Best")</f>
        <v>Better</v>
      </c>
      <c r="AO1219" s="1" t="str">
        <f>IF(HR_Data[[#This Row],[PercentSalaryHike]]&lt;=13,"11-13%",IF(HR_Data[[#This Row],[PercentSalaryHike]]&lt;=16,"14-16%",IF(HR_Data[[#This Row],[PercentSalaryHike]]&lt;=19,"17-19%","20-25%")))</f>
        <v>14-16%</v>
      </c>
      <c r="AP1219" s="1">
        <f>IF(HR_Data[[#This Row],[PercentSalaryHike]]&lt;=13,1,IF(HR_Data[[#This Row],[PercentSalaryHike]]&lt;=16,2,IF(HR_Data[[#This Row],[PercentSalaryHike]]&lt;=19,3,4)))</f>
        <v>2</v>
      </c>
      <c r="AQ1219" s="1" t="str">
        <f>IF(HR_Data[[#This Row],[DistanceFromHome]]&lt;=5,"1 to 5",IF(HR_Data[[#This Row],[DistanceFromHome]]&lt;=10,"6 to 10",IF(HR_Data[[#This Row],[DistanceFromHome]]&lt;=20,"11 to 20","21 to 29")))</f>
        <v>6 to 10</v>
      </c>
      <c r="AR1219" s="1">
        <f>IF(HR_Data[[#This Row],[DistanceFromHome]]&lt;=5,1,IF(HR_Data[[#This Row],[DistanceFromHome]]&lt;=10,2,IF(HR_Data[[#This Row],[DistanceFromHome]]&lt;=20,3,4)))</f>
        <v>2</v>
      </c>
      <c r="AS1219" s="1" t="str">
        <f>IF(HR_Data[[#This Row],[TotalWorkingYears]]&lt;=5,"0-5 Yrs",IF(HR_Data[[#This Row],[TotalWorkingYears]]&lt;=10,"6-10 Yrs",IF(HR_Data[[#This Row],[TotalWorkingYears]]&lt;=20,"11-20 Yrs","20+ Yrs")))</f>
        <v>0-5 Yrs</v>
      </c>
      <c r="AT1219" s="1">
        <f>IF(HR_Data[[#This Row],[TotalWorkingYears]]&lt;=5,1,IF(HR_Data[[#This Row],[TotalWorkingYears]]&lt;=10,2,IF(HR_Data[[#This Row],[TotalWorkingYears]]&lt;=20,3,4)))</f>
        <v>1</v>
      </c>
    </row>
    <row r="1220" spans="1:46" x14ac:dyDescent="0.25">
      <c r="A1220">
        <v>41</v>
      </c>
      <c r="B1220" t="s">
        <v>36</v>
      </c>
      <c r="C1220" t="s">
        <v>30</v>
      </c>
      <c r="D1220" t="s">
        <v>31</v>
      </c>
      <c r="E1220">
        <v>6</v>
      </c>
      <c r="F1220">
        <v>3</v>
      </c>
      <c r="G1220" t="s">
        <v>52</v>
      </c>
      <c r="H1220">
        <v>1708</v>
      </c>
      <c r="I1220">
        <v>4</v>
      </c>
      <c r="J1220" t="s">
        <v>39</v>
      </c>
      <c r="K1220">
        <v>3</v>
      </c>
      <c r="L1220">
        <v>3</v>
      </c>
      <c r="M1220" t="s">
        <v>34</v>
      </c>
      <c r="N1220">
        <v>3</v>
      </c>
      <c r="O1220" t="s">
        <v>35</v>
      </c>
      <c r="P1220">
        <v>9241</v>
      </c>
      <c r="Q1220">
        <v>1</v>
      </c>
      <c r="R1220" t="s">
        <v>36</v>
      </c>
      <c r="S1220">
        <v>12</v>
      </c>
      <c r="T1220">
        <v>3</v>
      </c>
      <c r="U1220">
        <v>2</v>
      </c>
      <c r="V1220">
        <v>0</v>
      </c>
      <c r="W1220">
        <v>10</v>
      </c>
      <c r="X1220">
        <v>3</v>
      </c>
      <c r="Y1220">
        <v>3</v>
      </c>
      <c r="Z1220">
        <v>10</v>
      </c>
      <c r="AA1220">
        <v>8</v>
      </c>
      <c r="AB1220">
        <v>8</v>
      </c>
      <c r="AC1220">
        <v>7</v>
      </c>
      <c r="AD1220">
        <f>IF(HR_Data[[#This Row],[Attrition]]="Yes",1,0)</f>
        <v>0</v>
      </c>
      <c r="AE1220" t="str">
        <f>IF(HR_Data[[#This Row],[Age]]&lt;=25,"18-25",IF(HR_Data[[#This Row],[Age]]&lt;=35,"26-35",IF(HR_Data[[#This Row],[Age]]&lt;=45,"36-45",IF(HR_Data[[#This Row],[Age]]&lt;=55,"46-55","55+"))))</f>
        <v>36-45</v>
      </c>
      <c r="AF1220">
        <f>IF(HR_Data[[#This Row],[Age]]&lt;=25,1,IF(HR_Data[[#This Row],[Age]]&lt;=35,2,IF(HR_Data[[#This Row],[Age]]&lt;=45,3,IF(HR_Data[[#This Row],[Age]]&lt;=55,4,5))))</f>
        <v>3</v>
      </c>
      <c r="AG1220" s="1" t="str">
        <f>IF(HR_Data[[#This Row],[MonthlyIncome]]&lt;3000,"&lt;3K",IF(HR_Data[[#This Row],[MonthlyIncome]]&lt;6000,"3K-6K",IF(HR_Data[[#This Row],[MonthlyIncome]]&lt;10000,"6K-10K","10K+")))</f>
        <v>6K-10K</v>
      </c>
      <c r="AH1220" s="1">
        <f>IF(HR_Data[[#This Row],[MonthlyIncome]]&lt;3000,1,IF(HR_Data[[#This Row],[MonthlyIncome]]&lt;6000,2,IF(HR_Data[[#This Row],[MonthlyIncome]]&lt;10000,3,4)))</f>
        <v>3</v>
      </c>
      <c r="AI1220" s="1" t="str">
        <f>IF(HR_Data[[#This Row],[YearsAtCompany]]&lt;=2,"0-2 Yrs",IF(HR_Data[[#This Row],[YearsAtCompany]]&lt;=5,"3-5 Yrs",IF(HR_Data[[#This Row],[YearsAtCompany]]&lt;=10,"6-10 Yrs","10+ Yrs")))</f>
        <v>6-10 Yrs</v>
      </c>
      <c r="AJ1220" s="1">
        <f>IF(HR_Data[[#This Row],[YearsAtCompany]]&lt;=2,1,IF(HR_Data[[#This Row],[YearsAtCompany]]&lt;=5,2,IF(HR_Data[[#This Row],[YearsAtCompany]]&lt;=10,3,4)))</f>
        <v>3</v>
      </c>
      <c r="AK1220" s="1" t="str">
        <f>CHOOSE(HR_Data[[#This Row],[Education]],"Below College","College","Bachelor","Master","Doctor")</f>
        <v>Bachelor</v>
      </c>
      <c r="AL1220" s="1" t="str">
        <f>CHOOSE(HR_Data[[#This Row],[JobSatisfaction]],"Low","Medium","High","Very High")</f>
        <v>High</v>
      </c>
      <c r="AM1220" s="1" t="str">
        <f>CHOOSE(HR_Data[[#This Row],[EnvironmentSatisfaction]],"Low","Medium","High","Very High")</f>
        <v>Very High</v>
      </c>
      <c r="AN1220" s="1" t="str">
        <f>CHOOSE(HR_Data[[#This Row],[WorkLifeBalance]],"Bad","Good","Better","Best")</f>
        <v>Better</v>
      </c>
      <c r="AO1220" s="1" t="str">
        <f>IF(HR_Data[[#This Row],[PercentSalaryHike]]&lt;=13,"11-13%",IF(HR_Data[[#This Row],[PercentSalaryHike]]&lt;=16,"14-16%",IF(HR_Data[[#This Row],[PercentSalaryHike]]&lt;=19,"17-19%","20-25%")))</f>
        <v>11-13%</v>
      </c>
      <c r="AP1220" s="1">
        <f>IF(HR_Data[[#This Row],[PercentSalaryHike]]&lt;=13,1,IF(HR_Data[[#This Row],[PercentSalaryHike]]&lt;=16,2,IF(HR_Data[[#This Row],[PercentSalaryHike]]&lt;=19,3,4)))</f>
        <v>1</v>
      </c>
      <c r="AQ1220" s="1" t="str">
        <f>IF(HR_Data[[#This Row],[DistanceFromHome]]&lt;=5,"1 to 5",IF(HR_Data[[#This Row],[DistanceFromHome]]&lt;=10,"6 to 10",IF(HR_Data[[#This Row],[DistanceFromHome]]&lt;=20,"11 to 20","21 to 29")))</f>
        <v>6 to 10</v>
      </c>
      <c r="AR1220" s="1">
        <f>IF(HR_Data[[#This Row],[DistanceFromHome]]&lt;=5,1,IF(HR_Data[[#This Row],[DistanceFromHome]]&lt;=10,2,IF(HR_Data[[#This Row],[DistanceFromHome]]&lt;=20,3,4)))</f>
        <v>2</v>
      </c>
      <c r="AS1220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220" s="1">
        <f>IF(HR_Data[[#This Row],[TotalWorkingYears]]&lt;=5,1,IF(HR_Data[[#This Row],[TotalWorkingYears]]&lt;=10,2,IF(HR_Data[[#This Row],[TotalWorkingYears]]&lt;=20,3,4)))</f>
        <v>2</v>
      </c>
    </row>
    <row r="1221" spans="1:46" x14ac:dyDescent="0.25">
      <c r="A1221">
        <v>29</v>
      </c>
      <c r="B1221" t="s">
        <v>36</v>
      </c>
      <c r="C1221" t="s">
        <v>30</v>
      </c>
      <c r="D1221" t="s">
        <v>38</v>
      </c>
      <c r="E1221">
        <v>9</v>
      </c>
      <c r="F1221">
        <v>4</v>
      </c>
      <c r="G1221" t="s">
        <v>44</v>
      </c>
      <c r="H1221">
        <v>1709</v>
      </c>
      <c r="I1221">
        <v>4</v>
      </c>
      <c r="J1221" t="s">
        <v>33</v>
      </c>
      <c r="K1221">
        <v>3</v>
      </c>
      <c r="L1221">
        <v>1</v>
      </c>
      <c r="M1221" t="s">
        <v>43</v>
      </c>
      <c r="N1221">
        <v>3</v>
      </c>
      <c r="O1221" t="s">
        <v>41</v>
      </c>
      <c r="P1221">
        <v>2974</v>
      </c>
      <c r="Q1221">
        <v>9</v>
      </c>
      <c r="R1221" t="s">
        <v>36</v>
      </c>
      <c r="S1221">
        <v>17</v>
      </c>
      <c r="T1221">
        <v>3</v>
      </c>
      <c r="U1221">
        <v>3</v>
      </c>
      <c r="V1221">
        <v>1</v>
      </c>
      <c r="W1221">
        <v>9</v>
      </c>
      <c r="X1221">
        <v>2</v>
      </c>
      <c r="Y1221">
        <v>3</v>
      </c>
      <c r="Z1221">
        <v>5</v>
      </c>
      <c r="AA1221">
        <v>3</v>
      </c>
      <c r="AB1221">
        <v>1</v>
      </c>
      <c r="AC1221">
        <v>2</v>
      </c>
      <c r="AD1221">
        <f>IF(HR_Data[[#This Row],[Attrition]]="Yes",1,0)</f>
        <v>0</v>
      </c>
      <c r="AE1221" t="str">
        <f>IF(HR_Data[[#This Row],[Age]]&lt;=25,"18-25",IF(HR_Data[[#This Row],[Age]]&lt;=35,"26-35",IF(HR_Data[[#This Row],[Age]]&lt;=45,"36-45",IF(HR_Data[[#This Row],[Age]]&lt;=55,"46-55","55+"))))</f>
        <v>26-35</v>
      </c>
      <c r="AF1221">
        <f>IF(HR_Data[[#This Row],[Age]]&lt;=25,1,IF(HR_Data[[#This Row],[Age]]&lt;=35,2,IF(HR_Data[[#This Row],[Age]]&lt;=45,3,IF(HR_Data[[#This Row],[Age]]&lt;=55,4,5))))</f>
        <v>2</v>
      </c>
      <c r="AG1221" s="1" t="str">
        <f>IF(HR_Data[[#This Row],[MonthlyIncome]]&lt;3000,"&lt;3K",IF(HR_Data[[#This Row],[MonthlyIncome]]&lt;6000,"3K-6K",IF(HR_Data[[#This Row],[MonthlyIncome]]&lt;10000,"6K-10K","10K+")))</f>
        <v>&lt;3K</v>
      </c>
      <c r="AH1221" s="1">
        <f>IF(HR_Data[[#This Row],[MonthlyIncome]]&lt;3000,1,IF(HR_Data[[#This Row],[MonthlyIncome]]&lt;6000,2,IF(HR_Data[[#This Row],[MonthlyIncome]]&lt;10000,3,4)))</f>
        <v>1</v>
      </c>
      <c r="AI1221" s="1" t="str">
        <f>IF(HR_Data[[#This Row],[YearsAtCompany]]&lt;=2,"0-2 Yrs",IF(HR_Data[[#This Row],[YearsAtCompany]]&lt;=5,"3-5 Yrs",IF(HR_Data[[#This Row],[YearsAtCompany]]&lt;=10,"6-10 Yrs","10+ Yrs")))</f>
        <v>3-5 Yrs</v>
      </c>
      <c r="AJ1221" s="1">
        <f>IF(HR_Data[[#This Row],[YearsAtCompany]]&lt;=2,1,IF(HR_Data[[#This Row],[YearsAtCompany]]&lt;=5,2,IF(HR_Data[[#This Row],[YearsAtCompany]]&lt;=10,3,4)))</f>
        <v>2</v>
      </c>
      <c r="AK1221" s="1" t="str">
        <f>CHOOSE(HR_Data[[#This Row],[Education]],"Below College","College","Bachelor","Master","Doctor")</f>
        <v>Master</v>
      </c>
      <c r="AL1221" s="1" t="str">
        <f>CHOOSE(HR_Data[[#This Row],[JobSatisfaction]],"Low","Medium","High","Very High")</f>
        <v>High</v>
      </c>
      <c r="AM1221" s="1" t="str">
        <f>CHOOSE(HR_Data[[#This Row],[EnvironmentSatisfaction]],"Low","Medium","High","Very High")</f>
        <v>Very High</v>
      </c>
      <c r="AN1221" s="1" t="str">
        <f>CHOOSE(HR_Data[[#This Row],[WorkLifeBalance]],"Bad","Good","Better","Best")</f>
        <v>Better</v>
      </c>
      <c r="AO1221" s="1" t="str">
        <f>IF(HR_Data[[#This Row],[PercentSalaryHike]]&lt;=13,"11-13%",IF(HR_Data[[#This Row],[PercentSalaryHike]]&lt;=16,"14-16%",IF(HR_Data[[#This Row],[PercentSalaryHike]]&lt;=19,"17-19%","20-25%")))</f>
        <v>17-19%</v>
      </c>
      <c r="AP1221" s="1">
        <f>IF(HR_Data[[#This Row],[PercentSalaryHike]]&lt;=13,1,IF(HR_Data[[#This Row],[PercentSalaryHike]]&lt;=16,2,IF(HR_Data[[#This Row],[PercentSalaryHike]]&lt;=19,3,4)))</f>
        <v>3</v>
      </c>
      <c r="AQ1221" s="1" t="str">
        <f>IF(HR_Data[[#This Row],[DistanceFromHome]]&lt;=5,"1 to 5",IF(HR_Data[[#This Row],[DistanceFromHome]]&lt;=10,"6 to 10",IF(HR_Data[[#This Row],[DistanceFromHome]]&lt;=20,"11 to 20","21 to 29")))</f>
        <v>6 to 10</v>
      </c>
      <c r="AR1221" s="1">
        <f>IF(HR_Data[[#This Row],[DistanceFromHome]]&lt;=5,1,IF(HR_Data[[#This Row],[DistanceFromHome]]&lt;=10,2,IF(HR_Data[[#This Row],[DistanceFromHome]]&lt;=20,3,4)))</f>
        <v>2</v>
      </c>
      <c r="AS1221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221" s="1">
        <f>IF(HR_Data[[#This Row],[TotalWorkingYears]]&lt;=5,1,IF(HR_Data[[#This Row],[TotalWorkingYears]]&lt;=10,2,IF(HR_Data[[#This Row],[TotalWorkingYears]]&lt;=20,3,4)))</f>
        <v>2</v>
      </c>
    </row>
    <row r="1222" spans="1:46" x14ac:dyDescent="0.25">
      <c r="A1222">
        <v>36</v>
      </c>
      <c r="B1222" t="s">
        <v>36</v>
      </c>
      <c r="C1222" t="s">
        <v>30</v>
      </c>
      <c r="D1222" t="s">
        <v>31</v>
      </c>
      <c r="E1222">
        <v>2</v>
      </c>
      <c r="F1222">
        <v>4</v>
      </c>
      <c r="G1222" t="s">
        <v>32</v>
      </c>
      <c r="H1222">
        <v>1710</v>
      </c>
      <c r="I1222">
        <v>3</v>
      </c>
      <c r="J1222" t="s">
        <v>33</v>
      </c>
      <c r="K1222">
        <v>3</v>
      </c>
      <c r="L1222">
        <v>2</v>
      </c>
      <c r="M1222" t="s">
        <v>50</v>
      </c>
      <c r="N1222">
        <v>4</v>
      </c>
      <c r="O1222" t="s">
        <v>35</v>
      </c>
      <c r="P1222">
        <v>4502</v>
      </c>
      <c r="Q1222">
        <v>3</v>
      </c>
      <c r="R1222" t="s">
        <v>36</v>
      </c>
      <c r="S1222">
        <v>15</v>
      </c>
      <c r="T1222">
        <v>3</v>
      </c>
      <c r="U1222">
        <v>3</v>
      </c>
      <c r="V1222">
        <v>0</v>
      </c>
      <c r="W1222">
        <v>17</v>
      </c>
      <c r="X1222">
        <v>2</v>
      </c>
      <c r="Y1222">
        <v>2</v>
      </c>
      <c r="Z1222">
        <v>13</v>
      </c>
      <c r="AA1222">
        <v>7</v>
      </c>
      <c r="AB1222">
        <v>6</v>
      </c>
      <c r="AC1222">
        <v>7</v>
      </c>
      <c r="AD1222">
        <f>IF(HR_Data[[#This Row],[Attrition]]="Yes",1,0)</f>
        <v>0</v>
      </c>
      <c r="AE1222" t="str">
        <f>IF(HR_Data[[#This Row],[Age]]&lt;=25,"18-25",IF(HR_Data[[#This Row],[Age]]&lt;=35,"26-35",IF(HR_Data[[#This Row],[Age]]&lt;=45,"36-45",IF(HR_Data[[#This Row],[Age]]&lt;=55,"46-55","55+"))))</f>
        <v>36-45</v>
      </c>
      <c r="AF1222">
        <f>IF(HR_Data[[#This Row],[Age]]&lt;=25,1,IF(HR_Data[[#This Row],[Age]]&lt;=35,2,IF(HR_Data[[#This Row],[Age]]&lt;=45,3,IF(HR_Data[[#This Row],[Age]]&lt;=55,4,5))))</f>
        <v>3</v>
      </c>
      <c r="AG1222" s="1" t="str">
        <f>IF(HR_Data[[#This Row],[MonthlyIncome]]&lt;3000,"&lt;3K",IF(HR_Data[[#This Row],[MonthlyIncome]]&lt;6000,"3K-6K",IF(HR_Data[[#This Row],[MonthlyIncome]]&lt;10000,"6K-10K","10K+")))</f>
        <v>3K-6K</v>
      </c>
      <c r="AH1222" s="1">
        <f>IF(HR_Data[[#This Row],[MonthlyIncome]]&lt;3000,1,IF(HR_Data[[#This Row],[MonthlyIncome]]&lt;6000,2,IF(HR_Data[[#This Row],[MonthlyIncome]]&lt;10000,3,4)))</f>
        <v>2</v>
      </c>
      <c r="AI1222" s="1" t="str">
        <f>IF(HR_Data[[#This Row],[YearsAtCompany]]&lt;=2,"0-2 Yrs",IF(HR_Data[[#This Row],[YearsAtCompany]]&lt;=5,"3-5 Yrs",IF(HR_Data[[#This Row],[YearsAtCompany]]&lt;=10,"6-10 Yrs","10+ Yrs")))</f>
        <v>10+ Yrs</v>
      </c>
      <c r="AJ1222" s="1">
        <f>IF(HR_Data[[#This Row],[YearsAtCompany]]&lt;=2,1,IF(HR_Data[[#This Row],[YearsAtCompany]]&lt;=5,2,IF(HR_Data[[#This Row],[YearsAtCompany]]&lt;=10,3,4)))</f>
        <v>4</v>
      </c>
      <c r="AK1222" s="1" t="str">
        <f>CHOOSE(HR_Data[[#This Row],[Education]],"Below College","College","Bachelor","Master","Doctor")</f>
        <v>Master</v>
      </c>
      <c r="AL1222" s="1" t="str">
        <f>CHOOSE(HR_Data[[#This Row],[JobSatisfaction]],"Low","Medium","High","Very High")</f>
        <v>Very High</v>
      </c>
      <c r="AM1222" s="1" t="str">
        <f>CHOOSE(HR_Data[[#This Row],[EnvironmentSatisfaction]],"Low","Medium","High","Very High")</f>
        <v>High</v>
      </c>
      <c r="AN1222" s="1" t="str">
        <f>CHOOSE(HR_Data[[#This Row],[WorkLifeBalance]],"Bad","Good","Better","Best")</f>
        <v>Good</v>
      </c>
      <c r="AO1222" s="1" t="str">
        <f>IF(HR_Data[[#This Row],[PercentSalaryHike]]&lt;=13,"11-13%",IF(HR_Data[[#This Row],[PercentSalaryHike]]&lt;=16,"14-16%",IF(HR_Data[[#This Row],[PercentSalaryHike]]&lt;=19,"17-19%","20-25%")))</f>
        <v>14-16%</v>
      </c>
      <c r="AP1222" s="1">
        <f>IF(HR_Data[[#This Row],[PercentSalaryHike]]&lt;=13,1,IF(HR_Data[[#This Row],[PercentSalaryHike]]&lt;=16,2,IF(HR_Data[[#This Row],[PercentSalaryHike]]&lt;=19,3,4)))</f>
        <v>2</v>
      </c>
      <c r="AQ1222" s="1" t="str">
        <f>IF(HR_Data[[#This Row],[DistanceFromHome]]&lt;=5,"1 to 5",IF(HR_Data[[#This Row],[DistanceFromHome]]&lt;=10,"6 to 10",IF(HR_Data[[#This Row],[DistanceFromHome]]&lt;=20,"11 to 20","21 to 29")))</f>
        <v>1 to 5</v>
      </c>
      <c r="AR1222" s="1">
        <f>IF(HR_Data[[#This Row],[DistanceFromHome]]&lt;=5,1,IF(HR_Data[[#This Row],[DistanceFromHome]]&lt;=10,2,IF(HR_Data[[#This Row],[DistanceFromHome]]&lt;=20,3,4)))</f>
        <v>1</v>
      </c>
      <c r="AS1222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222" s="1">
        <f>IF(HR_Data[[#This Row],[TotalWorkingYears]]&lt;=5,1,IF(HR_Data[[#This Row],[TotalWorkingYears]]&lt;=10,2,IF(HR_Data[[#This Row],[TotalWorkingYears]]&lt;=20,3,4)))</f>
        <v>3</v>
      </c>
    </row>
    <row r="1223" spans="1:46" x14ac:dyDescent="0.25">
      <c r="A1223">
        <v>45</v>
      </c>
      <c r="B1223" t="s">
        <v>36</v>
      </c>
      <c r="C1223" t="s">
        <v>48</v>
      </c>
      <c r="D1223" t="s">
        <v>38</v>
      </c>
      <c r="E1223">
        <v>1</v>
      </c>
      <c r="F1223">
        <v>1</v>
      </c>
      <c r="G1223" t="s">
        <v>32</v>
      </c>
      <c r="H1223">
        <v>1712</v>
      </c>
      <c r="I1223">
        <v>3</v>
      </c>
      <c r="J1223" t="s">
        <v>39</v>
      </c>
      <c r="K1223">
        <v>2</v>
      </c>
      <c r="L1223">
        <v>3</v>
      </c>
      <c r="M1223" t="s">
        <v>47</v>
      </c>
      <c r="N1223">
        <v>3</v>
      </c>
      <c r="O1223" t="s">
        <v>41</v>
      </c>
      <c r="P1223">
        <v>10748</v>
      </c>
      <c r="Q1223">
        <v>3</v>
      </c>
      <c r="R1223" t="s">
        <v>36</v>
      </c>
      <c r="S1223">
        <v>23</v>
      </c>
      <c r="T1223">
        <v>4</v>
      </c>
      <c r="U1223">
        <v>4</v>
      </c>
      <c r="V1223">
        <v>1</v>
      </c>
      <c r="W1223">
        <v>25</v>
      </c>
      <c r="X1223">
        <v>3</v>
      </c>
      <c r="Y1223">
        <v>2</v>
      </c>
      <c r="Z1223">
        <v>23</v>
      </c>
      <c r="AA1223">
        <v>15</v>
      </c>
      <c r="AB1223">
        <v>14</v>
      </c>
      <c r="AC1223">
        <v>4</v>
      </c>
      <c r="AD1223">
        <f>IF(HR_Data[[#This Row],[Attrition]]="Yes",1,0)</f>
        <v>0</v>
      </c>
      <c r="AE1223" t="str">
        <f>IF(HR_Data[[#This Row],[Age]]&lt;=25,"18-25",IF(HR_Data[[#This Row],[Age]]&lt;=35,"26-35",IF(HR_Data[[#This Row],[Age]]&lt;=45,"36-45",IF(HR_Data[[#This Row],[Age]]&lt;=55,"46-55","55+"))))</f>
        <v>36-45</v>
      </c>
      <c r="AF1223">
        <f>IF(HR_Data[[#This Row],[Age]]&lt;=25,1,IF(HR_Data[[#This Row],[Age]]&lt;=35,2,IF(HR_Data[[#This Row],[Age]]&lt;=45,3,IF(HR_Data[[#This Row],[Age]]&lt;=55,4,5))))</f>
        <v>3</v>
      </c>
      <c r="AG1223" s="1" t="str">
        <f>IF(HR_Data[[#This Row],[MonthlyIncome]]&lt;3000,"&lt;3K",IF(HR_Data[[#This Row],[MonthlyIncome]]&lt;6000,"3K-6K",IF(HR_Data[[#This Row],[MonthlyIncome]]&lt;10000,"6K-10K","10K+")))</f>
        <v>10K+</v>
      </c>
      <c r="AH1223" s="1">
        <f>IF(HR_Data[[#This Row],[MonthlyIncome]]&lt;3000,1,IF(HR_Data[[#This Row],[MonthlyIncome]]&lt;6000,2,IF(HR_Data[[#This Row],[MonthlyIncome]]&lt;10000,3,4)))</f>
        <v>4</v>
      </c>
      <c r="AI1223" s="1" t="str">
        <f>IF(HR_Data[[#This Row],[YearsAtCompany]]&lt;=2,"0-2 Yrs",IF(HR_Data[[#This Row],[YearsAtCompany]]&lt;=5,"3-5 Yrs",IF(HR_Data[[#This Row],[YearsAtCompany]]&lt;=10,"6-10 Yrs","10+ Yrs")))</f>
        <v>10+ Yrs</v>
      </c>
      <c r="AJ1223" s="1">
        <f>IF(HR_Data[[#This Row],[YearsAtCompany]]&lt;=2,1,IF(HR_Data[[#This Row],[YearsAtCompany]]&lt;=5,2,IF(HR_Data[[#This Row],[YearsAtCompany]]&lt;=10,3,4)))</f>
        <v>4</v>
      </c>
      <c r="AK1223" s="1" t="str">
        <f>CHOOSE(HR_Data[[#This Row],[Education]],"Below College","College","Bachelor","Master","Doctor")</f>
        <v>Below College</v>
      </c>
      <c r="AL1223" s="1" t="str">
        <f>CHOOSE(HR_Data[[#This Row],[JobSatisfaction]],"Low","Medium","High","Very High")</f>
        <v>High</v>
      </c>
      <c r="AM1223" s="1" t="str">
        <f>CHOOSE(HR_Data[[#This Row],[EnvironmentSatisfaction]],"Low","Medium","High","Very High")</f>
        <v>High</v>
      </c>
      <c r="AN1223" s="1" t="str">
        <f>CHOOSE(HR_Data[[#This Row],[WorkLifeBalance]],"Bad","Good","Better","Best")</f>
        <v>Good</v>
      </c>
      <c r="AO1223" s="1" t="str">
        <f>IF(HR_Data[[#This Row],[PercentSalaryHike]]&lt;=13,"11-13%",IF(HR_Data[[#This Row],[PercentSalaryHike]]&lt;=16,"14-16%",IF(HR_Data[[#This Row],[PercentSalaryHike]]&lt;=19,"17-19%","20-25%")))</f>
        <v>20-25%</v>
      </c>
      <c r="AP1223" s="1">
        <f>IF(HR_Data[[#This Row],[PercentSalaryHike]]&lt;=13,1,IF(HR_Data[[#This Row],[PercentSalaryHike]]&lt;=16,2,IF(HR_Data[[#This Row],[PercentSalaryHike]]&lt;=19,3,4)))</f>
        <v>4</v>
      </c>
      <c r="AQ1223" s="1" t="str">
        <f>IF(HR_Data[[#This Row],[DistanceFromHome]]&lt;=5,"1 to 5",IF(HR_Data[[#This Row],[DistanceFromHome]]&lt;=10,"6 to 10",IF(HR_Data[[#This Row],[DistanceFromHome]]&lt;=20,"11 to 20","21 to 29")))</f>
        <v>1 to 5</v>
      </c>
      <c r="AR1223" s="1">
        <f>IF(HR_Data[[#This Row],[DistanceFromHome]]&lt;=5,1,IF(HR_Data[[#This Row],[DistanceFromHome]]&lt;=10,2,IF(HR_Data[[#This Row],[DistanceFromHome]]&lt;=20,3,4)))</f>
        <v>1</v>
      </c>
      <c r="AS1223" s="1" t="str">
        <f>IF(HR_Data[[#This Row],[TotalWorkingYears]]&lt;=5,"0-5 Yrs",IF(HR_Data[[#This Row],[TotalWorkingYears]]&lt;=10,"6-10 Yrs",IF(HR_Data[[#This Row],[TotalWorkingYears]]&lt;=20,"11-20 Yrs","20+ Yrs")))</f>
        <v>20+ Yrs</v>
      </c>
      <c r="AT1223" s="1">
        <f>IF(HR_Data[[#This Row],[TotalWorkingYears]]&lt;=5,1,IF(HR_Data[[#This Row],[TotalWorkingYears]]&lt;=10,2,IF(HR_Data[[#This Row],[TotalWorkingYears]]&lt;=20,3,4)))</f>
        <v>4</v>
      </c>
    </row>
    <row r="1224" spans="1:46" x14ac:dyDescent="0.25">
      <c r="A1224">
        <v>24</v>
      </c>
      <c r="B1224" t="s">
        <v>29</v>
      </c>
      <c r="C1224" t="s">
        <v>30</v>
      </c>
      <c r="D1224" t="s">
        <v>54</v>
      </c>
      <c r="E1224">
        <v>22</v>
      </c>
      <c r="F1224">
        <v>1</v>
      </c>
      <c r="G1224" t="s">
        <v>54</v>
      </c>
      <c r="H1224">
        <v>1714</v>
      </c>
      <c r="I1224">
        <v>4</v>
      </c>
      <c r="J1224" t="s">
        <v>39</v>
      </c>
      <c r="K1224">
        <v>1</v>
      </c>
      <c r="L1224">
        <v>1</v>
      </c>
      <c r="M1224" t="s">
        <v>54</v>
      </c>
      <c r="N1224">
        <v>3</v>
      </c>
      <c r="O1224" t="s">
        <v>41</v>
      </c>
      <c r="P1224">
        <v>1555</v>
      </c>
      <c r="Q1224">
        <v>1</v>
      </c>
      <c r="R1224" t="s">
        <v>36</v>
      </c>
      <c r="S1224">
        <v>11</v>
      </c>
      <c r="T1224">
        <v>3</v>
      </c>
      <c r="U1224">
        <v>3</v>
      </c>
      <c r="V1224">
        <v>1</v>
      </c>
      <c r="W1224">
        <v>1</v>
      </c>
      <c r="X1224">
        <v>2</v>
      </c>
      <c r="Y1224">
        <v>3</v>
      </c>
      <c r="Z1224">
        <v>1</v>
      </c>
      <c r="AA1224">
        <v>0</v>
      </c>
      <c r="AB1224">
        <v>0</v>
      </c>
      <c r="AC1224">
        <v>0</v>
      </c>
      <c r="AD1224">
        <f>IF(HR_Data[[#This Row],[Attrition]]="Yes",1,0)</f>
        <v>1</v>
      </c>
      <c r="AE1224" t="str">
        <f>IF(HR_Data[[#This Row],[Age]]&lt;=25,"18-25",IF(HR_Data[[#This Row],[Age]]&lt;=35,"26-35",IF(HR_Data[[#This Row],[Age]]&lt;=45,"36-45",IF(HR_Data[[#This Row],[Age]]&lt;=55,"46-55","55+"))))</f>
        <v>18-25</v>
      </c>
      <c r="AF1224">
        <f>IF(HR_Data[[#This Row],[Age]]&lt;=25,1,IF(HR_Data[[#This Row],[Age]]&lt;=35,2,IF(HR_Data[[#This Row],[Age]]&lt;=45,3,IF(HR_Data[[#This Row],[Age]]&lt;=55,4,5))))</f>
        <v>1</v>
      </c>
      <c r="AG1224" s="1" t="str">
        <f>IF(HR_Data[[#This Row],[MonthlyIncome]]&lt;3000,"&lt;3K",IF(HR_Data[[#This Row],[MonthlyIncome]]&lt;6000,"3K-6K",IF(HR_Data[[#This Row],[MonthlyIncome]]&lt;10000,"6K-10K","10K+")))</f>
        <v>&lt;3K</v>
      </c>
      <c r="AH1224" s="1">
        <f>IF(HR_Data[[#This Row],[MonthlyIncome]]&lt;3000,1,IF(HR_Data[[#This Row],[MonthlyIncome]]&lt;6000,2,IF(HR_Data[[#This Row],[MonthlyIncome]]&lt;10000,3,4)))</f>
        <v>1</v>
      </c>
      <c r="AI1224" s="1" t="str">
        <f>IF(HR_Data[[#This Row],[YearsAtCompany]]&lt;=2,"0-2 Yrs",IF(HR_Data[[#This Row],[YearsAtCompany]]&lt;=5,"3-5 Yrs",IF(HR_Data[[#This Row],[YearsAtCompany]]&lt;=10,"6-10 Yrs","10+ Yrs")))</f>
        <v>0-2 Yrs</v>
      </c>
      <c r="AJ1224" s="1">
        <f>IF(HR_Data[[#This Row],[YearsAtCompany]]&lt;=2,1,IF(HR_Data[[#This Row],[YearsAtCompany]]&lt;=5,2,IF(HR_Data[[#This Row],[YearsAtCompany]]&lt;=10,3,4)))</f>
        <v>1</v>
      </c>
      <c r="AK1224" s="1" t="str">
        <f>CHOOSE(HR_Data[[#This Row],[Education]],"Below College","College","Bachelor","Master","Doctor")</f>
        <v>Below College</v>
      </c>
      <c r="AL1224" s="1" t="str">
        <f>CHOOSE(HR_Data[[#This Row],[JobSatisfaction]],"Low","Medium","High","Very High")</f>
        <v>High</v>
      </c>
      <c r="AM1224" s="1" t="str">
        <f>CHOOSE(HR_Data[[#This Row],[EnvironmentSatisfaction]],"Low","Medium","High","Very High")</f>
        <v>Very High</v>
      </c>
      <c r="AN1224" s="1" t="str">
        <f>CHOOSE(HR_Data[[#This Row],[WorkLifeBalance]],"Bad","Good","Better","Best")</f>
        <v>Better</v>
      </c>
      <c r="AO1224" s="1" t="str">
        <f>IF(HR_Data[[#This Row],[PercentSalaryHike]]&lt;=13,"11-13%",IF(HR_Data[[#This Row],[PercentSalaryHike]]&lt;=16,"14-16%",IF(HR_Data[[#This Row],[PercentSalaryHike]]&lt;=19,"17-19%","20-25%")))</f>
        <v>11-13%</v>
      </c>
      <c r="AP1224" s="1">
        <f>IF(HR_Data[[#This Row],[PercentSalaryHike]]&lt;=13,1,IF(HR_Data[[#This Row],[PercentSalaryHike]]&lt;=16,2,IF(HR_Data[[#This Row],[PercentSalaryHike]]&lt;=19,3,4)))</f>
        <v>1</v>
      </c>
      <c r="AQ1224" s="1" t="str">
        <f>IF(HR_Data[[#This Row],[DistanceFromHome]]&lt;=5,"1 to 5",IF(HR_Data[[#This Row],[DistanceFromHome]]&lt;=10,"6 to 10",IF(HR_Data[[#This Row],[DistanceFromHome]]&lt;=20,"11 to 20","21 to 29")))</f>
        <v>21 to 29</v>
      </c>
      <c r="AR1224" s="1">
        <f>IF(HR_Data[[#This Row],[DistanceFromHome]]&lt;=5,1,IF(HR_Data[[#This Row],[DistanceFromHome]]&lt;=10,2,IF(HR_Data[[#This Row],[DistanceFromHome]]&lt;=20,3,4)))</f>
        <v>4</v>
      </c>
      <c r="AS1224" s="1" t="str">
        <f>IF(HR_Data[[#This Row],[TotalWorkingYears]]&lt;=5,"0-5 Yrs",IF(HR_Data[[#This Row],[TotalWorkingYears]]&lt;=10,"6-10 Yrs",IF(HR_Data[[#This Row],[TotalWorkingYears]]&lt;=20,"11-20 Yrs","20+ Yrs")))</f>
        <v>0-5 Yrs</v>
      </c>
      <c r="AT1224" s="1">
        <f>IF(HR_Data[[#This Row],[TotalWorkingYears]]&lt;=5,1,IF(HR_Data[[#This Row],[TotalWorkingYears]]&lt;=10,2,IF(HR_Data[[#This Row],[TotalWorkingYears]]&lt;=20,3,4)))</f>
        <v>1</v>
      </c>
    </row>
    <row r="1225" spans="1:46" x14ac:dyDescent="0.25">
      <c r="A1225">
        <v>47</v>
      </c>
      <c r="B1225" t="s">
        <v>29</v>
      </c>
      <c r="C1225" t="s">
        <v>37</v>
      </c>
      <c r="D1225" t="s">
        <v>31</v>
      </c>
      <c r="E1225">
        <v>9</v>
      </c>
      <c r="F1225">
        <v>3</v>
      </c>
      <c r="G1225" t="s">
        <v>32</v>
      </c>
      <c r="H1225">
        <v>1716</v>
      </c>
      <c r="I1225">
        <v>3</v>
      </c>
      <c r="J1225" t="s">
        <v>39</v>
      </c>
      <c r="K1225">
        <v>1</v>
      </c>
      <c r="L1225">
        <v>4</v>
      </c>
      <c r="M1225" t="s">
        <v>34</v>
      </c>
      <c r="N1225">
        <v>3</v>
      </c>
      <c r="O1225" t="s">
        <v>41</v>
      </c>
      <c r="P1225">
        <v>12936</v>
      </c>
      <c r="Q1225">
        <v>7</v>
      </c>
      <c r="R1225" t="s">
        <v>36</v>
      </c>
      <c r="S1225">
        <v>11</v>
      </c>
      <c r="T1225">
        <v>3</v>
      </c>
      <c r="U1225">
        <v>3</v>
      </c>
      <c r="V1225">
        <v>0</v>
      </c>
      <c r="W1225">
        <v>25</v>
      </c>
      <c r="X1225">
        <v>3</v>
      </c>
      <c r="Y1225">
        <v>1</v>
      </c>
      <c r="Z1225">
        <v>23</v>
      </c>
      <c r="AA1225">
        <v>5</v>
      </c>
      <c r="AB1225">
        <v>14</v>
      </c>
      <c r="AC1225">
        <v>10</v>
      </c>
      <c r="AD1225">
        <f>IF(HR_Data[[#This Row],[Attrition]]="Yes",1,0)</f>
        <v>1</v>
      </c>
      <c r="AE1225" t="str">
        <f>IF(HR_Data[[#This Row],[Age]]&lt;=25,"18-25",IF(HR_Data[[#This Row],[Age]]&lt;=35,"26-35",IF(HR_Data[[#This Row],[Age]]&lt;=45,"36-45",IF(HR_Data[[#This Row],[Age]]&lt;=55,"46-55","55+"))))</f>
        <v>46-55</v>
      </c>
      <c r="AF1225">
        <f>IF(HR_Data[[#This Row],[Age]]&lt;=25,1,IF(HR_Data[[#This Row],[Age]]&lt;=35,2,IF(HR_Data[[#This Row],[Age]]&lt;=45,3,IF(HR_Data[[#This Row],[Age]]&lt;=55,4,5))))</f>
        <v>4</v>
      </c>
      <c r="AG1225" s="1" t="str">
        <f>IF(HR_Data[[#This Row],[MonthlyIncome]]&lt;3000,"&lt;3K",IF(HR_Data[[#This Row],[MonthlyIncome]]&lt;6000,"3K-6K",IF(HR_Data[[#This Row],[MonthlyIncome]]&lt;10000,"6K-10K","10K+")))</f>
        <v>10K+</v>
      </c>
      <c r="AH1225" s="1">
        <f>IF(HR_Data[[#This Row],[MonthlyIncome]]&lt;3000,1,IF(HR_Data[[#This Row],[MonthlyIncome]]&lt;6000,2,IF(HR_Data[[#This Row],[MonthlyIncome]]&lt;10000,3,4)))</f>
        <v>4</v>
      </c>
      <c r="AI1225" s="1" t="str">
        <f>IF(HR_Data[[#This Row],[YearsAtCompany]]&lt;=2,"0-2 Yrs",IF(HR_Data[[#This Row],[YearsAtCompany]]&lt;=5,"3-5 Yrs",IF(HR_Data[[#This Row],[YearsAtCompany]]&lt;=10,"6-10 Yrs","10+ Yrs")))</f>
        <v>10+ Yrs</v>
      </c>
      <c r="AJ1225" s="1">
        <f>IF(HR_Data[[#This Row],[YearsAtCompany]]&lt;=2,1,IF(HR_Data[[#This Row],[YearsAtCompany]]&lt;=5,2,IF(HR_Data[[#This Row],[YearsAtCompany]]&lt;=10,3,4)))</f>
        <v>4</v>
      </c>
      <c r="AK1225" s="1" t="str">
        <f>CHOOSE(HR_Data[[#This Row],[Education]],"Below College","College","Bachelor","Master","Doctor")</f>
        <v>Bachelor</v>
      </c>
      <c r="AL1225" s="1" t="str">
        <f>CHOOSE(HR_Data[[#This Row],[JobSatisfaction]],"Low","Medium","High","Very High")</f>
        <v>High</v>
      </c>
      <c r="AM1225" s="1" t="str">
        <f>CHOOSE(HR_Data[[#This Row],[EnvironmentSatisfaction]],"Low","Medium","High","Very High")</f>
        <v>High</v>
      </c>
      <c r="AN1225" s="1" t="str">
        <f>CHOOSE(HR_Data[[#This Row],[WorkLifeBalance]],"Bad","Good","Better","Best")</f>
        <v>Bad</v>
      </c>
      <c r="AO1225" s="1" t="str">
        <f>IF(HR_Data[[#This Row],[PercentSalaryHike]]&lt;=13,"11-13%",IF(HR_Data[[#This Row],[PercentSalaryHike]]&lt;=16,"14-16%",IF(HR_Data[[#This Row],[PercentSalaryHike]]&lt;=19,"17-19%","20-25%")))</f>
        <v>11-13%</v>
      </c>
      <c r="AP1225" s="1">
        <f>IF(HR_Data[[#This Row],[PercentSalaryHike]]&lt;=13,1,IF(HR_Data[[#This Row],[PercentSalaryHike]]&lt;=16,2,IF(HR_Data[[#This Row],[PercentSalaryHike]]&lt;=19,3,4)))</f>
        <v>1</v>
      </c>
      <c r="AQ1225" s="1" t="str">
        <f>IF(HR_Data[[#This Row],[DistanceFromHome]]&lt;=5,"1 to 5",IF(HR_Data[[#This Row],[DistanceFromHome]]&lt;=10,"6 to 10",IF(HR_Data[[#This Row],[DistanceFromHome]]&lt;=20,"11 to 20","21 to 29")))</f>
        <v>6 to 10</v>
      </c>
      <c r="AR1225" s="1">
        <f>IF(HR_Data[[#This Row],[DistanceFromHome]]&lt;=5,1,IF(HR_Data[[#This Row],[DistanceFromHome]]&lt;=10,2,IF(HR_Data[[#This Row],[DistanceFromHome]]&lt;=20,3,4)))</f>
        <v>2</v>
      </c>
      <c r="AS1225" s="1" t="str">
        <f>IF(HR_Data[[#This Row],[TotalWorkingYears]]&lt;=5,"0-5 Yrs",IF(HR_Data[[#This Row],[TotalWorkingYears]]&lt;=10,"6-10 Yrs",IF(HR_Data[[#This Row],[TotalWorkingYears]]&lt;=20,"11-20 Yrs","20+ Yrs")))</f>
        <v>20+ Yrs</v>
      </c>
      <c r="AT1225" s="1">
        <f>IF(HR_Data[[#This Row],[TotalWorkingYears]]&lt;=5,1,IF(HR_Data[[#This Row],[TotalWorkingYears]]&lt;=10,2,IF(HR_Data[[#This Row],[TotalWorkingYears]]&lt;=20,3,4)))</f>
        <v>4</v>
      </c>
    </row>
    <row r="1226" spans="1:46" x14ac:dyDescent="0.25">
      <c r="A1226">
        <v>26</v>
      </c>
      <c r="B1226" t="s">
        <v>36</v>
      </c>
      <c r="C1226" t="s">
        <v>30</v>
      </c>
      <c r="D1226" t="s">
        <v>38</v>
      </c>
      <c r="E1226">
        <v>17</v>
      </c>
      <c r="F1226">
        <v>4</v>
      </c>
      <c r="G1226" t="s">
        <v>44</v>
      </c>
      <c r="H1226">
        <v>1718</v>
      </c>
      <c r="I1226">
        <v>4</v>
      </c>
      <c r="J1226" t="s">
        <v>39</v>
      </c>
      <c r="K1226">
        <v>1</v>
      </c>
      <c r="L1226">
        <v>1</v>
      </c>
      <c r="M1226" t="s">
        <v>43</v>
      </c>
      <c r="N1226">
        <v>3</v>
      </c>
      <c r="O1226" t="s">
        <v>41</v>
      </c>
      <c r="P1226">
        <v>2305</v>
      </c>
      <c r="Q1226">
        <v>1</v>
      </c>
      <c r="R1226" t="s">
        <v>36</v>
      </c>
      <c r="S1226">
        <v>15</v>
      </c>
      <c r="T1226">
        <v>3</v>
      </c>
      <c r="U1226">
        <v>3</v>
      </c>
      <c r="V1226">
        <v>3</v>
      </c>
      <c r="W1226">
        <v>3</v>
      </c>
      <c r="X1226">
        <v>3</v>
      </c>
      <c r="Y1226">
        <v>4</v>
      </c>
      <c r="Z1226">
        <v>3</v>
      </c>
      <c r="AA1226">
        <v>2</v>
      </c>
      <c r="AB1226">
        <v>0</v>
      </c>
      <c r="AC1226">
        <v>2</v>
      </c>
      <c r="AD1226">
        <f>IF(HR_Data[[#This Row],[Attrition]]="Yes",1,0)</f>
        <v>0</v>
      </c>
      <c r="AE1226" t="str">
        <f>IF(HR_Data[[#This Row],[Age]]&lt;=25,"18-25",IF(HR_Data[[#This Row],[Age]]&lt;=35,"26-35",IF(HR_Data[[#This Row],[Age]]&lt;=45,"36-45",IF(HR_Data[[#This Row],[Age]]&lt;=55,"46-55","55+"))))</f>
        <v>26-35</v>
      </c>
      <c r="AF1226">
        <f>IF(HR_Data[[#This Row],[Age]]&lt;=25,1,IF(HR_Data[[#This Row],[Age]]&lt;=35,2,IF(HR_Data[[#This Row],[Age]]&lt;=45,3,IF(HR_Data[[#This Row],[Age]]&lt;=55,4,5))))</f>
        <v>2</v>
      </c>
      <c r="AG1226" s="1" t="str">
        <f>IF(HR_Data[[#This Row],[MonthlyIncome]]&lt;3000,"&lt;3K",IF(HR_Data[[#This Row],[MonthlyIncome]]&lt;6000,"3K-6K",IF(HR_Data[[#This Row],[MonthlyIncome]]&lt;10000,"6K-10K","10K+")))</f>
        <v>&lt;3K</v>
      </c>
      <c r="AH1226" s="1">
        <f>IF(HR_Data[[#This Row],[MonthlyIncome]]&lt;3000,1,IF(HR_Data[[#This Row],[MonthlyIncome]]&lt;6000,2,IF(HR_Data[[#This Row],[MonthlyIncome]]&lt;10000,3,4)))</f>
        <v>1</v>
      </c>
      <c r="AI1226" s="1" t="str">
        <f>IF(HR_Data[[#This Row],[YearsAtCompany]]&lt;=2,"0-2 Yrs",IF(HR_Data[[#This Row],[YearsAtCompany]]&lt;=5,"3-5 Yrs",IF(HR_Data[[#This Row],[YearsAtCompany]]&lt;=10,"6-10 Yrs","10+ Yrs")))</f>
        <v>3-5 Yrs</v>
      </c>
      <c r="AJ1226" s="1">
        <f>IF(HR_Data[[#This Row],[YearsAtCompany]]&lt;=2,1,IF(HR_Data[[#This Row],[YearsAtCompany]]&lt;=5,2,IF(HR_Data[[#This Row],[YearsAtCompany]]&lt;=10,3,4)))</f>
        <v>2</v>
      </c>
      <c r="AK1226" s="1" t="str">
        <f>CHOOSE(HR_Data[[#This Row],[Education]],"Below College","College","Bachelor","Master","Doctor")</f>
        <v>Master</v>
      </c>
      <c r="AL1226" s="1" t="str">
        <f>CHOOSE(HR_Data[[#This Row],[JobSatisfaction]],"Low","Medium","High","Very High")</f>
        <v>High</v>
      </c>
      <c r="AM1226" s="1" t="str">
        <f>CHOOSE(HR_Data[[#This Row],[EnvironmentSatisfaction]],"Low","Medium","High","Very High")</f>
        <v>Very High</v>
      </c>
      <c r="AN1226" s="1" t="str">
        <f>CHOOSE(HR_Data[[#This Row],[WorkLifeBalance]],"Bad","Good","Better","Best")</f>
        <v>Best</v>
      </c>
      <c r="AO1226" s="1" t="str">
        <f>IF(HR_Data[[#This Row],[PercentSalaryHike]]&lt;=13,"11-13%",IF(HR_Data[[#This Row],[PercentSalaryHike]]&lt;=16,"14-16%",IF(HR_Data[[#This Row],[PercentSalaryHike]]&lt;=19,"17-19%","20-25%")))</f>
        <v>14-16%</v>
      </c>
      <c r="AP1226" s="1">
        <f>IF(HR_Data[[#This Row],[PercentSalaryHike]]&lt;=13,1,IF(HR_Data[[#This Row],[PercentSalaryHike]]&lt;=16,2,IF(HR_Data[[#This Row],[PercentSalaryHike]]&lt;=19,3,4)))</f>
        <v>2</v>
      </c>
      <c r="AQ1226" s="1" t="str">
        <f>IF(HR_Data[[#This Row],[DistanceFromHome]]&lt;=5,"1 to 5",IF(HR_Data[[#This Row],[DistanceFromHome]]&lt;=10,"6 to 10",IF(HR_Data[[#This Row],[DistanceFromHome]]&lt;=20,"11 to 20","21 to 29")))</f>
        <v>11 to 20</v>
      </c>
      <c r="AR1226" s="1">
        <f>IF(HR_Data[[#This Row],[DistanceFromHome]]&lt;=5,1,IF(HR_Data[[#This Row],[DistanceFromHome]]&lt;=10,2,IF(HR_Data[[#This Row],[DistanceFromHome]]&lt;=20,3,4)))</f>
        <v>3</v>
      </c>
      <c r="AS1226" s="1" t="str">
        <f>IF(HR_Data[[#This Row],[TotalWorkingYears]]&lt;=5,"0-5 Yrs",IF(HR_Data[[#This Row],[TotalWorkingYears]]&lt;=10,"6-10 Yrs",IF(HR_Data[[#This Row],[TotalWorkingYears]]&lt;=20,"11-20 Yrs","20+ Yrs")))</f>
        <v>0-5 Yrs</v>
      </c>
      <c r="AT1226" s="1">
        <f>IF(HR_Data[[#This Row],[TotalWorkingYears]]&lt;=5,1,IF(HR_Data[[#This Row],[TotalWorkingYears]]&lt;=10,2,IF(HR_Data[[#This Row],[TotalWorkingYears]]&lt;=20,3,4)))</f>
        <v>1</v>
      </c>
    </row>
    <row r="1227" spans="1:46" x14ac:dyDescent="0.25">
      <c r="A1227">
        <v>45</v>
      </c>
      <c r="B1227" t="s">
        <v>36</v>
      </c>
      <c r="C1227" t="s">
        <v>30</v>
      </c>
      <c r="D1227" t="s">
        <v>38</v>
      </c>
      <c r="E1227">
        <v>28</v>
      </c>
      <c r="F1227">
        <v>2</v>
      </c>
      <c r="G1227" t="s">
        <v>53</v>
      </c>
      <c r="H1227">
        <v>1719</v>
      </c>
      <c r="I1227">
        <v>4</v>
      </c>
      <c r="J1227" t="s">
        <v>33</v>
      </c>
      <c r="K1227">
        <v>2</v>
      </c>
      <c r="L1227">
        <v>4</v>
      </c>
      <c r="M1227" t="s">
        <v>51</v>
      </c>
      <c r="N1227">
        <v>2</v>
      </c>
      <c r="O1227" t="s">
        <v>35</v>
      </c>
      <c r="P1227">
        <v>16704</v>
      </c>
      <c r="Q1227">
        <v>1</v>
      </c>
      <c r="R1227" t="s">
        <v>36</v>
      </c>
      <c r="S1227">
        <v>11</v>
      </c>
      <c r="T1227">
        <v>3</v>
      </c>
      <c r="U1227">
        <v>3</v>
      </c>
      <c r="V1227">
        <v>0</v>
      </c>
      <c r="W1227">
        <v>21</v>
      </c>
      <c r="X1227">
        <v>2</v>
      </c>
      <c r="Y1227">
        <v>3</v>
      </c>
      <c r="Z1227">
        <v>21</v>
      </c>
      <c r="AA1227">
        <v>6</v>
      </c>
      <c r="AB1227">
        <v>8</v>
      </c>
      <c r="AC1227">
        <v>6</v>
      </c>
      <c r="AD1227">
        <f>IF(HR_Data[[#This Row],[Attrition]]="Yes",1,0)</f>
        <v>0</v>
      </c>
      <c r="AE1227" t="str">
        <f>IF(HR_Data[[#This Row],[Age]]&lt;=25,"18-25",IF(HR_Data[[#This Row],[Age]]&lt;=35,"26-35",IF(HR_Data[[#This Row],[Age]]&lt;=45,"36-45",IF(HR_Data[[#This Row],[Age]]&lt;=55,"46-55","55+"))))</f>
        <v>36-45</v>
      </c>
      <c r="AF1227">
        <f>IF(HR_Data[[#This Row],[Age]]&lt;=25,1,IF(HR_Data[[#This Row],[Age]]&lt;=35,2,IF(HR_Data[[#This Row],[Age]]&lt;=45,3,IF(HR_Data[[#This Row],[Age]]&lt;=55,4,5))))</f>
        <v>3</v>
      </c>
      <c r="AG1227" s="1" t="str">
        <f>IF(HR_Data[[#This Row],[MonthlyIncome]]&lt;3000,"&lt;3K",IF(HR_Data[[#This Row],[MonthlyIncome]]&lt;6000,"3K-6K",IF(HR_Data[[#This Row],[MonthlyIncome]]&lt;10000,"6K-10K","10K+")))</f>
        <v>10K+</v>
      </c>
      <c r="AH1227" s="1">
        <f>IF(HR_Data[[#This Row],[MonthlyIncome]]&lt;3000,1,IF(HR_Data[[#This Row],[MonthlyIncome]]&lt;6000,2,IF(HR_Data[[#This Row],[MonthlyIncome]]&lt;10000,3,4)))</f>
        <v>4</v>
      </c>
      <c r="AI1227" s="1" t="str">
        <f>IF(HR_Data[[#This Row],[YearsAtCompany]]&lt;=2,"0-2 Yrs",IF(HR_Data[[#This Row],[YearsAtCompany]]&lt;=5,"3-5 Yrs",IF(HR_Data[[#This Row],[YearsAtCompany]]&lt;=10,"6-10 Yrs","10+ Yrs")))</f>
        <v>10+ Yrs</v>
      </c>
      <c r="AJ1227" s="1">
        <f>IF(HR_Data[[#This Row],[YearsAtCompany]]&lt;=2,1,IF(HR_Data[[#This Row],[YearsAtCompany]]&lt;=5,2,IF(HR_Data[[#This Row],[YearsAtCompany]]&lt;=10,3,4)))</f>
        <v>4</v>
      </c>
      <c r="AK1227" s="1" t="str">
        <f>CHOOSE(HR_Data[[#This Row],[Education]],"Below College","College","Bachelor","Master","Doctor")</f>
        <v>College</v>
      </c>
      <c r="AL1227" s="1" t="str">
        <f>CHOOSE(HR_Data[[#This Row],[JobSatisfaction]],"Low","Medium","High","Very High")</f>
        <v>Medium</v>
      </c>
      <c r="AM1227" s="1" t="str">
        <f>CHOOSE(HR_Data[[#This Row],[EnvironmentSatisfaction]],"Low","Medium","High","Very High")</f>
        <v>Very High</v>
      </c>
      <c r="AN1227" s="1" t="str">
        <f>CHOOSE(HR_Data[[#This Row],[WorkLifeBalance]],"Bad","Good","Better","Best")</f>
        <v>Better</v>
      </c>
      <c r="AO1227" s="1" t="str">
        <f>IF(HR_Data[[#This Row],[PercentSalaryHike]]&lt;=13,"11-13%",IF(HR_Data[[#This Row],[PercentSalaryHike]]&lt;=16,"14-16%",IF(HR_Data[[#This Row],[PercentSalaryHike]]&lt;=19,"17-19%","20-25%")))</f>
        <v>11-13%</v>
      </c>
      <c r="AP1227" s="1">
        <f>IF(HR_Data[[#This Row],[PercentSalaryHike]]&lt;=13,1,IF(HR_Data[[#This Row],[PercentSalaryHike]]&lt;=16,2,IF(HR_Data[[#This Row],[PercentSalaryHike]]&lt;=19,3,4)))</f>
        <v>1</v>
      </c>
      <c r="AQ1227" s="1" t="str">
        <f>IF(HR_Data[[#This Row],[DistanceFromHome]]&lt;=5,"1 to 5",IF(HR_Data[[#This Row],[DistanceFromHome]]&lt;=10,"6 to 10",IF(HR_Data[[#This Row],[DistanceFromHome]]&lt;=20,"11 to 20","21 to 29")))</f>
        <v>21 to 29</v>
      </c>
      <c r="AR1227" s="1">
        <f>IF(HR_Data[[#This Row],[DistanceFromHome]]&lt;=5,1,IF(HR_Data[[#This Row],[DistanceFromHome]]&lt;=10,2,IF(HR_Data[[#This Row],[DistanceFromHome]]&lt;=20,3,4)))</f>
        <v>4</v>
      </c>
      <c r="AS1227" s="1" t="str">
        <f>IF(HR_Data[[#This Row],[TotalWorkingYears]]&lt;=5,"0-5 Yrs",IF(HR_Data[[#This Row],[TotalWorkingYears]]&lt;=10,"6-10 Yrs",IF(HR_Data[[#This Row],[TotalWorkingYears]]&lt;=20,"11-20 Yrs","20+ Yrs")))</f>
        <v>20+ Yrs</v>
      </c>
      <c r="AT1227" s="1">
        <f>IF(HR_Data[[#This Row],[TotalWorkingYears]]&lt;=5,1,IF(HR_Data[[#This Row],[TotalWorkingYears]]&lt;=10,2,IF(HR_Data[[#This Row],[TotalWorkingYears]]&lt;=20,3,4)))</f>
        <v>4</v>
      </c>
    </row>
    <row r="1228" spans="1:46" x14ac:dyDescent="0.25">
      <c r="A1228">
        <v>32</v>
      </c>
      <c r="B1228" t="s">
        <v>36</v>
      </c>
      <c r="C1228" t="s">
        <v>37</v>
      </c>
      <c r="D1228" t="s">
        <v>38</v>
      </c>
      <c r="E1228">
        <v>10</v>
      </c>
      <c r="F1228">
        <v>3</v>
      </c>
      <c r="G1228" t="s">
        <v>32</v>
      </c>
      <c r="H1228">
        <v>1720</v>
      </c>
      <c r="I1228">
        <v>1</v>
      </c>
      <c r="J1228" t="s">
        <v>39</v>
      </c>
      <c r="K1228">
        <v>3</v>
      </c>
      <c r="L1228">
        <v>1</v>
      </c>
      <c r="M1228" t="s">
        <v>40</v>
      </c>
      <c r="N1228">
        <v>3</v>
      </c>
      <c r="O1228" t="s">
        <v>41</v>
      </c>
      <c r="P1228">
        <v>3433</v>
      </c>
      <c r="Q1228">
        <v>6</v>
      </c>
      <c r="R1228" t="s">
        <v>36</v>
      </c>
      <c r="S1228">
        <v>13</v>
      </c>
      <c r="T1228">
        <v>3</v>
      </c>
      <c r="U1228">
        <v>1</v>
      </c>
      <c r="V1228">
        <v>1</v>
      </c>
      <c r="W1228">
        <v>10</v>
      </c>
      <c r="X1228">
        <v>3</v>
      </c>
      <c r="Y1228">
        <v>2</v>
      </c>
      <c r="Z1228">
        <v>5</v>
      </c>
      <c r="AA1228">
        <v>2</v>
      </c>
      <c r="AB1228">
        <v>1</v>
      </c>
      <c r="AC1228">
        <v>3</v>
      </c>
      <c r="AD1228">
        <f>IF(HR_Data[[#This Row],[Attrition]]="Yes",1,0)</f>
        <v>0</v>
      </c>
      <c r="AE1228" t="str">
        <f>IF(HR_Data[[#This Row],[Age]]&lt;=25,"18-25",IF(HR_Data[[#This Row],[Age]]&lt;=35,"26-35",IF(HR_Data[[#This Row],[Age]]&lt;=45,"36-45",IF(HR_Data[[#This Row],[Age]]&lt;=55,"46-55","55+"))))</f>
        <v>26-35</v>
      </c>
      <c r="AF1228">
        <f>IF(HR_Data[[#This Row],[Age]]&lt;=25,1,IF(HR_Data[[#This Row],[Age]]&lt;=35,2,IF(HR_Data[[#This Row],[Age]]&lt;=45,3,IF(HR_Data[[#This Row],[Age]]&lt;=55,4,5))))</f>
        <v>2</v>
      </c>
      <c r="AG1228" s="1" t="str">
        <f>IF(HR_Data[[#This Row],[MonthlyIncome]]&lt;3000,"&lt;3K",IF(HR_Data[[#This Row],[MonthlyIncome]]&lt;6000,"3K-6K",IF(HR_Data[[#This Row],[MonthlyIncome]]&lt;10000,"6K-10K","10K+")))</f>
        <v>3K-6K</v>
      </c>
      <c r="AH1228" s="1">
        <f>IF(HR_Data[[#This Row],[MonthlyIncome]]&lt;3000,1,IF(HR_Data[[#This Row],[MonthlyIncome]]&lt;6000,2,IF(HR_Data[[#This Row],[MonthlyIncome]]&lt;10000,3,4)))</f>
        <v>2</v>
      </c>
      <c r="AI1228" s="1" t="str">
        <f>IF(HR_Data[[#This Row],[YearsAtCompany]]&lt;=2,"0-2 Yrs",IF(HR_Data[[#This Row],[YearsAtCompany]]&lt;=5,"3-5 Yrs",IF(HR_Data[[#This Row],[YearsAtCompany]]&lt;=10,"6-10 Yrs","10+ Yrs")))</f>
        <v>3-5 Yrs</v>
      </c>
      <c r="AJ1228" s="1">
        <f>IF(HR_Data[[#This Row],[YearsAtCompany]]&lt;=2,1,IF(HR_Data[[#This Row],[YearsAtCompany]]&lt;=5,2,IF(HR_Data[[#This Row],[YearsAtCompany]]&lt;=10,3,4)))</f>
        <v>2</v>
      </c>
      <c r="AK1228" s="1" t="str">
        <f>CHOOSE(HR_Data[[#This Row],[Education]],"Below College","College","Bachelor","Master","Doctor")</f>
        <v>Bachelor</v>
      </c>
      <c r="AL1228" s="1" t="str">
        <f>CHOOSE(HR_Data[[#This Row],[JobSatisfaction]],"Low","Medium","High","Very High")</f>
        <v>High</v>
      </c>
      <c r="AM1228" s="1" t="str">
        <f>CHOOSE(HR_Data[[#This Row],[EnvironmentSatisfaction]],"Low","Medium","High","Very High")</f>
        <v>Low</v>
      </c>
      <c r="AN1228" s="1" t="str">
        <f>CHOOSE(HR_Data[[#This Row],[WorkLifeBalance]],"Bad","Good","Better","Best")</f>
        <v>Good</v>
      </c>
      <c r="AO1228" s="1" t="str">
        <f>IF(HR_Data[[#This Row],[PercentSalaryHike]]&lt;=13,"11-13%",IF(HR_Data[[#This Row],[PercentSalaryHike]]&lt;=16,"14-16%",IF(HR_Data[[#This Row],[PercentSalaryHike]]&lt;=19,"17-19%","20-25%")))</f>
        <v>11-13%</v>
      </c>
      <c r="AP1228" s="1">
        <f>IF(HR_Data[[#This Row],[PercentSalaryHike]]&lt;=13,1,IF(HR_Data[[#This Row],[PercentSalaryHike]]&lt;=16,2,IF(HR_Data[[#This Row],[PercentSalaryHike]]&lt;=19,3,4)))</f>
        <v>1</v>
      </c>
      <c r="AQ1228" s="1" t="str">
        <f>IF(HR_Data[[#This Row],[DistanceFromHome]]&lt;=5,"1 to 5",IF(HR_Data[[#This Row],[DistanceFromHome]]&lt;=10,"6 to 10",IF(HR_Data[[#This Row],[DistanceFromHome]]&lt;=20,"11 to 20","21 to 29")))</f>
        <v>6 to 10</v>
      </c>
      <c r="AR1228" s="1">
        <f>IF(HR_Data[[#This Row],[DistanceFromHome]]&lt;=5,1,IF(HR_Data[[#This Row],[DistanceFromHome]]&lt;=10,2,IF(HR_Data[[#This Row],[DistanceFromHome]]&lt;=20,3,4)))</f>
        <v>2</v>
      </c>
      <c r="AS1228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228" s="1">
        <f>IF(HR_Data[[#This Row],[TotalWorkingYears]]&lt;=5,1,IF(HR_Data[[#This Row],[TotalWorkingYears]]&lt;=10,2,IF(HR_Data[[#This Row],[TotalWorkingYears]]&lt;=20,3,4)))</f>
        <v>2</v>
      </c>
    </row>
    <row r="1229" spans="1:46" x14ac:dyDescent="0.25">
      <c r="A1229">
        <v>31</v>
      </c>
      <c r="B1229" t="s">
        <v>36</v>
      </c>
      <c r="C1229" t="s">
        <v>30</v>
      </c>
      <c r="D1229" t="s">
        <v>38</v>
      </c>
      <c r="E1229">
        <v>2</v>
      </c>
      <c r="F1229">
        <v>4</v>
      </c>
      <c r="G1229" t="s">
        <v>32</v>
      </c>
      <c r="H1229">
        <v>1721</v>
      </c>
      <c r="I1229">
        <v>2</v>
      </c>
      <c r="J1229" t="s">
        <v>39</v>
      </c>
      <c r="K1229">
        <v>3</v>
      </c>
      <c r="L1229">
        <v>1</v>
      </c>
      <c r="M1229" t="s">
        <v>43</v>
      </c>
      <c r="N1229">
        <v>3</v>
      </c>
      <c r="O1229" t="s">
        <v>41</v>
      </c>
      <c r="P1229">
        <v>3477</v>
      </c>
      <c r="Q1229">
        <v>1</v>
      </c>
      <c r="R1229" t="s">
        <v>36</v>
      </c>
      <c r="S1229">
        <v>14</v>
      </c>
      <c r="T1229">
        <v>3</v>
      </c>
      <c r="U1229">
        <v>4</v>
      </c>
      <c r="V1229">
        <v>1</v>
      </c>
      <c r="W1229">
        <v>6</v>
      </c>
      <c r="X1229">
        <v>2</v>
      </c>
      <c r="Y1229">
        <v>4</v>
      </c>
      <c r="Z1229">
        <v>5</v>
      </c>
      <c r="AA1229">
        <v>2</v>
      </c>
      <c r="AB1229">
        <v>0</v>
      </c>
      <c r="AC1229">
        <v>3</v>
      </c>
      <c r="AD1229">
        <f>IF(HR_Data[[#This Row],[Attrition]]="Yes",1,0)</f>
        <v>0</v>
      </c>
      <c r="AE1229" t="str">
        <f>IF(HR_Data[[#This Row],[Age]]&lt;=25,"18-25",IF(HR_Data[[#This Row],[Age]]&lt;=35,"26-35",IF(HR_Data[[#This Row],[Age]]&lt;=45,"36-45",IF(HR_Data[[#This Row],[Age]]&lt;=55,"46-55","55+"))))</f>
        <v>26-35</v>
      </c>
      <c r="AF1229">
        <f>IF(HR_Data[[#This Row],[Age]]&lt;=25,1,IF(HR_Data[[#This Row],[Age]]&lt;=35,2,IF(HR_Data[[#This Row],[Age]]&lt;=45,3,IF(HR_Data[[#This Row],[Age]]&lt;=55,4,5))))</f>
        <v>2</v>
      </c>
      <c r="AG1229" s="1" t="str">
        <f>IF(HR_Data[[#This Row],[MonthlyIncome]]&lt;3000,"&lt;3K",IF(HR_Data[[#This Row],[MonthlyIncome]]&lt;6000,"3K-6K",IF(HR_Data[[#This Row],[MonthlyIncome]]&lt;10000,"6K-10K","10K+")))</f>
        <v>3K-6K</v>
      </c>
      <c r="AH1229" s="1">
        <f>IF(HR_Data[[#This Row],[MonthlyIncome]]&lt;3000,1,IF(HR_Data[[#This Row],[MonthlyIncome]]&lt;6000,2,IF(HR_Data[[#This Row],[MonthlyIncome]]&lt;10000,3,4)))</f>
        <v>2</v>
      </c>
      <c r="AI1229" s="1" t="str">
        <f>IF(HR_Data[[#This Row],[YearsAtCompany]]&lt;=2,"0-2 Yrs",IF(HR_Data[[#This Row],[YearsAtCompany]]&lt;=5,"3-5 Yrs",IF(HR_Data[[#This Row],[YearsAtCompany]]&lt;=10,"6-10 Yrs","10+ Yrs")))</f>
        <v>3-5 Yrs</v>
      </c>
      <c r="AJ1229" s="1">
        <f>IF(HR_Data[[#This Row],[YearsAtCompany]]&lt;=2,1,IF(HR_Data[[#This Row],[YearsAtCompany]]&lt;=5,2,IF(HR_Data[[#This Row],[YearsAtCompany]]&lt;=10,3,4)))</f>
        <v>2</v>
      </c>
      <c r="AK1229" s="1" t="str">
        <f>CHOOSE(HR_Data[[#This Row],[Education]],"Below College","College","Bachelor","Master","Doctor")</f>
        <v>Master</v>
      </c>
      <c r="AL1229" s="1" t="str">
        <f>CHOOSE(HR_Data[[#This Row],[JobSatisfaction]],"Low","Medium","High","Very High")</f>
        <v>High</v>
      </c>
      <c r="AM1229" s="1" t="str">
        <f>CHOOSE(HR_Data[[#This Row],[EnvironmentSatisfaction]],"Low","Medium","High","Very High")</f>
        <v>Medium</v>
      </c>
      <c r="AN1229" s="1" t="str">
        <f>CHOOSE(HR_Data[[#This Row],[WorkLifeBalance]],"Bad","Good","Better","Best")</f>
        <v>Best</v>
      </c>
      <c r="AO1229" s="1" t="str">
        <f>IF(HR_Data[[#This Row],[PercentSalaryHike]]&lt;=13,"11-13%",IF(HR_Data[[#This Row],[PercentSalaryHike]]&lt;=16,"14-16%",IF(HR_Data[[#This Row],[PercentSalaryHike]]&lt;=19,"17-19%","20-25%")))</f>
        <v>14-16%</v>
      </c>
      <c r="AP1229" s="1">
        <f>IF(HR_Data[[#This Row],[PercentSalaryHike]]&lt;=13,1,IF(HR_Data[[#This Row],[PercentSalaryHike]]&lt;=16,2,IF(HR_Data[[#This Row],[PercentSalaryHike]]&lt;=19,3,4)))</f>
        <v>2</v>
      </c>
      <c r="AQ1229" s="1" t="str">
        <f>IF(HR_Data[[#This Row],[DistanceFromHome]]&lt;=5,"1 to 5",IF(HR_Data[[#This Row],[DistanceFromHome]]&lt;=10,"6 to 10",IF(HR_Data[[#This Row],[DistanceFromHome]]&lt;=20,"11 to 20","21 to 29")))</f>
        <v>1 to 5</v>
      </c>
      <c r="AR1229" s="1">
        <f>IF(HR_Data[[#This Row],[DistanceFromHome]]&lt;=5,1,IF(HR_Data[[#This Row],[DistanceFromHome]]&lt;=10,2,IF(HR_Data[[#This Row],[DistanceFromHome]]&lt;=20,3,4)))</f>
        <v>1</v>
      </c>
      <c r="AS1229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229" s="1">
        <f>IF(HR_Data[[#This Row],[TotalWorkingYears]]&lt;=5,1,IF(HR_Data[[#This Row],[TotalWorkingYears]]&lt;=10,2,IF(HR_Data[[#This Row],[TotalWorkingYears]]&lt;=20,3,4)))</f>
        <v>2</v>
      </c>
    </row>
    <row r="1230" spans="1:46" x14ac:dyDescent="0.25">
      <c r="A1230">
        <v>41</v>
      </c>
      <c r="B1230" t="s">
        <v>36</v>
      </c>
      <c r="C1230" t="s">
        <v>48</v>
      </c>
      <c r="D1230" t="s">
        <v>54</v>
      </c>
      <c r="E1230">
        <v>4</v>
      </c>
      <c r="F1230">
        <v>3</v>
      </c>
      <c r="G1230" t="s">
        <v>54</v>
      </c>
      <c r="H1230">
        <v>1722</v>
      </c>
      <c r="I1230">
        <v>3</v>
      </c>
      <c r="J1230" t="s">
        <v>39</v>
      </c>
      <c r="K1230">
        <v>1</v>
      </c>
      <c r="L1230">
        <v>2</v>
      </c>
      <c r="M1230" t="s">
        <v>54</v>
      </c>
      <c r="N1230">
        <v>2</v>
      </c>
      <c r="O1230" t="s">
        <v>41</v>
      </c>
      <c r="P1230">
        <v>6430</v>
      </c>
      <c r="Q1230">
        <v>6</v>
      </c>
      <c r="R1230" t="s">
        <v>36</v>
      </c>
      <c r="S1230">
        <v>19</v>
      </c>
      <c r="T1230">
        <v>3</v>
      </c>
      <c r="U1230">
        <v>2</v>
      </c>
      <c r="V1230">
        <v>1</v>
      </c>
      <c r="W1230">
        <v>10</v>
      </c>
      <c r="X1230">
        <v>4</v>
      </c>
      <c r="Y1230">
        <v>3</v>
      </c>
      <c r="Z1230">
        <v>3</v>
      </c>
      <c r="AA1230">
        <v>2</v>
      </c>
      <c r="AB1230">
        <v>1</v>
      </c>
      <c r="AC1230">
        <v>2</v>
      </c>
      <c r="AD1230">
        <f>IF(HR_Data[[#This Row],[Attrition]]="Yes",1,0)</f>
        <v>0</v>
      </c>
      <c r="AE1230" t="str">
        <f>IF(HR_Data[[#This Row],[Age]]&lt;=25,"18-25",IF(HR_Data[[#This Row],[Age]]&lt;=35,"26-35",IF(HR_Data[[#This Row],[Age]]&lt;=45,"36-45",IF(HR_Data[[#This Row],[Age]]&lt;=55,"46-55","55+"))))</f>
        <v>36-45</v>
      </c>
      <c r="AF1230">
        <f>IF(HR_Data[[#This Row],[Age]]&lt;=25,1,IF(HR_Data[[#This Row],[Age]]&lt;=35,2,IF(HR_Data[[#This Row],[Age]]&lt;=45,3,IF(HR_Data[[#This Row],[Age]]&lt;=55,4,5))))</f>
        <v>3</v>
      </c>
      <c r="AG1230" s="1" t="str">
        <f>IF(HR_Data[[#This Row],[MonthlyIncome]]&lt;3000,"&lt;3K",IF(HR_Data[[#This Row],[MonthlyIncome]]&lt;6000,"3K-6K",IF(HR_Data[[#This Row],[MonthlyIncome]]&lt;10000,"6K-10K","10K+")))</f>
        <v>6K-10K</v>
      </c>
      <c r="AH1230" s="1">
        <f>IF(HR_Data[[#This Row],[MonthlyIncome]]&lt;3000,1,IF(HR_Data[[#This Row],[MonthlyIncome]]&lt;6000,2,IF(HR_Data[[#This Row],[MonthlyIncome]]&lt;10000,3,4)))</f>
        <v>3</v>
      </c>
      <c r="AI1230" s="1" t="str">
        <f>IF(HR_Data[[#This Row],[YearsAtCompany]]&lt;=2,"0-2 Yrs",IF(HR_Data[[#This Row],[YearsAtCompany]]&lt;=5,"3-5 Yrs",IF(HR_Data[[#This Row],[YearsAtCompany]]&lt;=10,"6-10 Yrs","10+ Yrs")))</f>
        <v>3-5 Yrs</v>
      </c>
      <c r="AJ1230" s="1">
        <f>IF(HR_Data[[#This Row],[YearsAtCompany]]&lt;=2,1,IF(HR_Data[[#This Row],[YearsAtCompany]]&lt;=5,2,IF(HR_Data[[#This Row],[YearsAtCompany]]&lt;=10,3,4)))</f>
        <v>2</v>
      </c>
      <c r="AK1230" s="1" t="str">
        <f>CHOOSE(HR_Data[[#This Row],[Education]],"Below College","College","Bachelor","Master","Doctor")</f>
        <v>Bachelor</v>
      </c>
      <c r="AL1230" s="1" t="str">
        <f>CHOOSE(HR_Data[[#This Row],[JobSatisfaction]],"Low","Medium","High","Very High")</f>
        <v>Medium</v>
      </c>
      <c r="AM1230" s="1" t="str">
        <f>CHOOSE(HR_Data[[#This Row],[EnvironmentSatisfaction]],"Low","Medium","High","Very High")</f>
        <v>High</v>
      </c>
      <c r="AN1230" s="1" t="str">
        <f>CHOOSE(HR_Data[[#This Row],[WorkLifeBalance]],"Bad","Good","Better","Best")</f>
        <v>Better</v>
      </c>
      <c r="AO1230" s="1" t="str">
        <f>IF(HR_Data[[#This Row],[PercentSalaryHike]]&lt;=13,"11-13%",IF(HR_Data[[#This Row],[PercentSalaryHike]]&lt;=16,"14-16%",IF(HR_Data[[#This Row],[PercentSalaryHike]]&lt;=19,"17-19%","20-25%")))</f>
        <v>17-19%</v>
      </c>
      <c r="AP1230" s="1">
        <f>IF(HR_Data[[#This Row],[PercentSalaryHike]]&lt;=13,1,IF(HR_Data[[#This Row],[PercentSalaryHike]]&lt;=16,2,IF(HR_Data[[#This Row],[PercentSalaryHike]]&lt;=19,3,4)))</f>
        <v>3</v>
      </c>
      <c r="AQ1230" s="1" t="str">
        <f>IF(HR_Data[[#This Row],[DistanceFromHome]]&lt;=5,"1 to 5",IF(HR_Data[[#This Row],[DistanceFromHome]]&lt;=10,"6 to 10",IF(HR_Data[[#This Row],[DistanceFromHome]]&lt;=20,"11 to 20","21 to 29")))</f>
        <v>1 to 5</v>
      </c>
      <c r="AR1230" s="1">
        <f>IF(HR_Data[[#This Row],[DistanceFromHome]]&lt;=5,1,IF(HR_Data[[#This Row],[DistanceFromHome]]&lt;=10,2,IF(HR_Data[[#This Row],[DistanceFromHome]]&lt;=20,3,4)))</f>
        <v>1</v>
      </c>
      <c r="AS1230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230" s="1">
        <f>IF(HR_Data[[#This Row],[TotalWorkingYears]]&lt;=5,1,IF(HR_Data[[#This Row],[TotalWorkingYears]]&lt;=10,2,IF(HR_Data[[#This Row],[TotalWorkingYears]]&lt;=20,3,4)))</f>
        <v>2</v>
      </c>
    </row>
    <row r="1231" spans="1:46" x14ac:dyDescent="0.25">
      <c r="A1231">
        <v>40</v>
      </c>
      <c r="B1231" t="s">
        <v>36</v>
      </c>
      <c r="C1231" t="s">
        <v>30</v>
      </c>
      <c r="D1231" t="s">
        <v>38</v>
      </c>
      <c r="E1231">
        <v>8</v>
      </c>
      <c r="F1231">
        <v>2</v>
      </c>
      <c r="G1231" t="s">
        <v>32</v>
      </c>
      <c r="H1231">
        <v>1724</v>
      </c>
      <c r="I1231">
        <v>2</v>
      </c>
      <c r="J1231" t="s">
        <v>33</v>
      </c>
      <c r="K1231">
        <v>3</v>
      </c>
      <c r="L1231">
        <v>2</v>
      </c>
      <c r="M1231" t="s">
        <v>46</v>
      </c>
      <c r="N1231">
        <v>1</v>
      </c>
      <c r="O1231" t="s">
        <v>41</v>
      </c>
      <c r="P1231">
        <v>6516</v>
      </c>
      <c r="Q1231">
        <v>2</v>
      </c>
      <c r="R1231" t="s">
        <v>29</v>
      </c>
      <c r="S1231">
        <v>16</v>
      </c>
      <c r="T1231">
        <v>3</v>
      </c>
      <c r="U1231">
        <v>2</v>
      </c>
      <c r="V1231">
        <v>1</v>
      </c>
      <c r="W1231">
        <v>18</v>
      </c>
      <c r="X1231">
        <v>3</v>
      </c>
      <c r="Y1231">
        <v>3</v>
      </c>
      <c r="Z1231">
        <v>1</v>
      </c>
      <c r="AA1231">
        <v>0</v>
      </c>
      <c r="AB1231">
        <v>0</v>
      </c>
      <c r="AC1231">
        <v>0</v>
      </c>
      <c r="AD1231">
        <f>IF(HR_Data[[#This Row],[Attrition]]="Yes",1,0)</f>
        <v>0</v>
      </c>
      <c r="AE1231" t="str">
        <f>IF(HR_Data[[#This Row],[Age]]&lt;=25,"18-25",IF(HR_Data[[#This Row],[Age]]&lt;=35,"26-35",IF(HR_Data[[#This Row],[Age]]&lt;=45,"36-45",IF(HR_Data[[#This Row],[Age]]&lt;=55,"46-55","55+"))))</f>
        <v>36-45</v>
      </c>
      <c r="AF1231">
        <f>IF(HR_Data[[#This Row],[Age]]&lt;=25,1,IF(HR_Data[[#This Row],[Age]]&lt;=35,2,IF(HR_Data[[#This Row],[Age]]&lt;=45,3,IF(HR_Data[[#This Row],[Age]]&lt;=55,4,5))))</f>
        <v>3</v>
      </c>
      <c r="AG1231" s="1" t="str">
        <f>IF(HR_Data[[#This Row],[MonthlyIncome]]&lt;3000,"&lt;3K",IF(HR_Data[[#This Row],[MonthlyIncome]]&lt;6000,"3K-6K",IF(HR_Data[[#This Row],[MonthlyIncome]]&lt;10000,"6K-10K","10K+")))</f>
        <v>6K-10K</v>
      </c>
      <c r="AH1231" s="1">
        <f>IF(HR_Data[[#This Row],[MonthlyIncome]]&lt;3000,1,IF(HR_Data[[#This Row],[MonthlyIncome]]&lt;6000,2,IF(HR_Data[[#This Row],[MonthlyIncome]]&lt;10000,3,4)))</f>
        <v>3</v>
      </c>
      <c r="AI1231" s="1" t="str">
        <f>IF(HR_Data[[#This Row],[YearsAtCompany]]&lt;=2,"0-2 Yrs",IF(HR_Data[[#This Row],[YearsAtCompany]]&lt;=5,"3-5 Yrs",IF(HR_Data[[#This Row],[YearsAtCompany]]&lt;=10,"6-10 Yrs","10+ Yrs")))</f>
        <v>0-2 Yrs</v>
      </c>
      <c r="AJ1231" s="1">
        <f>IF(HR_Data[[#This Row],[YearsAtCompany]]&lt;=2,1,IF(HR_Data[[#This Row],[YearsAtCompany]]&lt;=5,2,IF(HR_Data[[#This Row],[YearsAtCompany]]&lt;=10,3,4)))</f>
        <v>1</v>
      </c>
      <c r="AK1231" s="1" t="str">
        <f>CHOOSE(HR_Data[[#This Row],[Education]],"Below College","College","Bachelor","Master","Doctor")</f>
        <v>College</v>
      </c>
      <c r="AL1231" s="1" t="str">
        <f>CHOOSE(HR_Data[[#This Row],[JobSatisfaction]],"Low","Medium","High","Very High")</f>
        <v>Low</v>
      </c>
      <c r="AM1231" s="1" t="str">
        <f>CHOOSE(HR_Data[[#This Row],[EnvironmentSatisfaction]],"Low","Medium","High","Very High")</f>
        <v>Medium</v>
      </c>
      <c r="AN1231" s="1" t="str">
        <f>CHOOSE(HR_Data[[#This Row],[WorkLifeBalance]],"Bad","Good","Better","Best")</f>
        <v>Better</v>
      </c>
      <c r="AO1231" s="1" t="str">
        <f>IF(HR_Data[[#This Row],[PercentSalaryHike]]&lt;=13,"11-13%",IF(HR_Data[[#This Row],[PercentSalaryHike]]&lt;=16,"14-16%",IF(HR_Data[[#This Row],[PercentSalaryHike]]&lt;=19,"17-19%","20-25%")))</f>
        <v>14-16%</v>
      </c>
      <c r="AP1231" s="1">
        <f>IF(HR_Data[[#This Row],[PercentSalaryHike]]&lt;=13,1,IF(HR_Data[[#This Row],[PercentSalaryHike]]&lt;=16,2,IF(HR_Data[[#This Row],[PercentSalaryHike]]&lt;=19,3,4)))</f>
        <v>2</v>
      </c>
      <c r="AQ1231" s="1" t="str">
        <f>IF(HR_Data[[#This Row],[DistanceFromHome]]&lt;=5,"1 to 5",IF(HR_Data[[#This Row],[DistanceFromHome]]&lt;=10,"6 to 10",IF(HR_Data[[#This Row],[DistanceFromHome]]&lt;=20,"11 to 20","21 to 29")))</f>
        <v>6 to 10</v>
      </c>
      <c r="AR1231" s="1">
        <f>IF(HR_Data[[#This Row],[DistanceFromHome]]&lt;=5,1,IF(HR_Data[[#This Row],[DistanceFromHome]]&lt;=10,2,IF(HR_Data[[#This Row],[DistanceFromHome]]&lt;=20,3,4)))</f>
        <v>2</v>
      </c>
      <c r="AS1231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231" s="1">
        <f>IF(HR_Data[[#This Row],[TotalWorkingYears]]&lt;=5,1,IF(HR_Data[[#This Row],[TotalWorkingYears]]&lt;=10,2,IF(HR_Data[[#This Row],[TotalWorkingYears]]&lt;=20,3,4)))</f>
        <v>3</v>
      </c>
    </row>
    <row r="1232" spans="1:46" x14ac:dyDescent="0.25">
      <c r="A1232">
        <v>24</v>
      </c>
      <c r="B1232" t="s">
        <v>36</v>
      </c>
      <c r="C1232" t="s">
        <v>30</v>
      </c>
      <c r="D1232" t="s">
        <v>38</v>
      </c>
      <c r="E1232">
        <v>29</v>
      </c>
      <c r="F1232">
        <v>1</v>
      </c>
      <c r="G1232" t="s">
        <v>44</v>
      </c>
      <c r="H1232">
        <v>1725</v>
      </c>
      <c r="I1232">
        <v>2</v>
      </c>
      <c r="J1232" t="s">
        <v>39</v>
      </c>
      <c r="K1232">
        <v>3</v>
      </c>
      <c r="L1232">
        <v>1</v>
      </c>
      <c r="M1232" t="s">
        <v>43</v>
      </c>
      <c r="N1232">
        <v>1</v>
      </c>
      <c r="O1232" t="s">
        <v>45</v>
      </c>
      <c r="P1232">
        <v>3907</v>
      </c>
      <c r="Q1232">
        <v>1</v>
      </c>
      <c r="R1232" t="s">
        <v>36</v>
      </c>
      <c r="S1232">
        <v>13</v>
      </c>
      <c r="T1232">
        <v>3</v>
      </c>
      <c r="U1232">
        <v>2</v>
      </c>
      <c r="V1232">
        <v>3</v>
      </c>
      <c r="W1232">
        <v>6</v>
      </c>
      <c r="X1232">
        <v>2</v>
      </c>
      <c r="Y1232">
        <v>4</v>
      </c>
      <c r="Z1232">
        <v>6</v>
      </c>
      <c r="AA1232">
        <v>2</v>
      </c>
      <c r="AB1232">
        <v>1</v>
      </c>
      <c r="AC1232">
        <v>2</v>
      </c>
      <c r="AD1232">
        <f>IF(HR_Data[[#This Row],[Attrition]]="Yes",1,0)</f>
        <v>0</v>
      </c>
      <c r="AE1232" t="str">
        <f>IF(HR_Data[[#This Row],[Age]]&lt;=25,"18-25",IF(HR_Data[[#This Row],[Age]]&lt;=35,"26-35",IF(HR_Data[[#This Row],[Age]]&lt;=45,"36-45",IF(HR_Data[[#This Row],[Age]]&lt;=55,"46-55","55+"))))</f>
        <v>18-25</v>
      </c>
      <c r="AF1232">
        <f>IF(HR_Data[[#This Row],[Age]]&lt;=25,1,IF(HR_Data[[#This Row],[Age]]&lt;=35,2,IF(HR_Data[[#This Row],[Age]]&lt;=45,3,IF(HR_Data[[#This Row],[Age]]&lt;=55,4,5))))</f>
        <v>1</v>
      </c>
      <c r="AG1232" s="1" t="str">
        <f>IF(HR_Data[[#This Row],[MonthlyIncome]]&lt;3000,"&lt;3K",IF(HR_Data[[#This Row],[MonthlyIncome]]&lt;6000,"3K-6K",IF(HR_Data[[#This Row],[MonthlyIncome]]&lt;10000,"6K-10K","10K+")))</f>
        <v>3K-6K</v>
      </c>
      <c r="AH1232" s="1">
        <f>IF(HR_Data[[#This Row],[MonthlyIncome]]&lt;3000,1,IF(HR_Data[[#This Row],[MonthlyIncome]]&lt;6000,2,IF(HR_Data[[#This Row],[MonthlyIncome]]&lt;10000,3,4)))</f>
        <v>2</v>
      </c>
      <c r="AI1232" s="1" t="str">
        <f>IF(HR_Data[[#This Row],[YearsAtCompany]]&lt;=2,"0-2 Yrs",IF(HR_Data[[#This Row],[YearsAtCompany]]&lt;=5,"3-5 Yrs",IF(HR_Data[[#This Row],[YearsAtCompany]]&lt;=10,"6-10 Yrs","10+ Yrs")))</f>
        <v>6-10 Yrs</v>
      </c>
      <c r="AJ1232" s="1">
        <f>IF(HR_Data[[#This Row],[YearsAtCompany]]&lt;=2,1,IF(HR_Data[[#This Row],[YearsAtCompany]]&lt;=5,2,IF(HR_Data[[#This Row],[YearsAtCompany]]&lt;=10,3,4)))</f>
        <v>3</v>
      </c>
      <c r="AK1232" s="1" t="str">
        <f>CHOOSE(HR_Data[[#This Row],[Education]],"Below College","College","Bachelor","Master","Doctor")</f>
        <v>Below College</v>
      </c>
      <c r="AL1232" s="1" t="str">
        <f>CHOOSE(HR_Data[[#This Row],[JobSatisfaction]],"Low","Medium","High","Very High")</f>
        <v>Low</v>
      </c>
      <c r="AM1232" s="1" t="str">
        <f>CHOOSE(HR_Data[[#This Row],[EnvironmentSatisfaction]],"Low","Medium","High","Very High")</f>
        <v>Medium</v>
      </c>
      <c r="AN1232" s="1" t="str">
        <f>CHOOSE(HR_Data[[#This Row],[WorkLifeBalance]],"Bad","Good","Better","Best")</f>
        <v>Best</v>
      </c>
      <c r="AO1232" s="1" t="str">
        <f>IF(HR_Data[[#This Row],[PercentSalaryHike]]&lt;=13,"11-13%",IF(HR_Data[[#This Row],[PercentSalaryHike]]&lt;=16,"14-16%",IF(HR_Data[[#This Row],[PercentSalaryHike]]&lt;=19,"17-19%","20-25%")))</f>
        <v>11-13%</v>
      </c>
      <c r="AP1232" s="1">
        <f>IF(HR_Data[[#This Row],[PercentSalaryHike]]&lt;=13,1,IF(HR_Data[[#This Row],[PercentSalaryHike]]&lt;=16,2,IF(HR_Data[[#This Row],[PercentSalaryHike]]&lt;=19,3,4)))</f>
        <v>1</v>
      </c>
      <c r="AQ1232" s="1" t="str">
        <f>IF(HR_Data[[#This Row],[DistanceFromHome]]&lt;=5,"1 to 5",IF(HR_Data[[#This Row],[DistanceFromHome]]&lt;=10,"6 to 10",IF(HR_Data[[#This Row],[DistanceFromHome]]&lt;=20,"11 to 20","21 to 29")))</f>
        <v>21 to 29</v>
      </c>
      <c r="AR1232" s="1">
        <f>IF(HR_Data[[#This Row],[DistanceFromHome]]&lt;=5,1,IF(HR_Data[[#This Row],[DistanceFromHome]]&lt;=10,2,IF(HR_Data[[#This Row],[DistanceFromHome]]&lt;=20,3,4)))</f>
        <v>4</v>
      </c>
      <c r="AS1232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232" s="1">
        <f>IF(HR_Data[[#This Row],[TotalWorkingYears]]&lt;=5,1,IF(HR_Data[[#This Row],[TotalWorkingYears]]&lt;=10,2,IF(HR_Data[[#This Row],[TotalWorkingYears]]&lt;=20,3,4)))</f>
        <v>2</v>
      </c>
    </row>
    <row r="1233" spans="1:46" x14ac:dyDescent="0.25">
      <c r="A1233">
        <v>46</v>
      </c>
      <c r="B1233" t="s">
        <v>36</v>
      </c>
      <c r="C1233" t="s">
        <v>30</v>
      </c>
      <c r="D1233" t="s">
        <v>38</v>
      </c>
      <c r="E1233">
        <v>13</v>
      </c>
      <c r="F1233">
        <v>4</v>
      </c>
      <c r="G1233" t="s">
        <v>32</v>
      </c>
      <c r="H1233">
        <v>1727</v>
      </c>
      <c r="I1233">
        <v>3</v>
      </c>
      <c r="J1233" t="s">
        <v>39</v>
      </c>
      <c r="K1233">
        <v>3</v>
      </c>
      <c r="L1233">
        <v>2</v>
      </c>
      <c r="M1233" t="s">
        <v>47</v>
      </c>
      <c r="N1233">
        <v>2</v>
      </c>
      <c r="O1233" t="s">
        <v>35</v>
      </c>
      <c r="P1233">
        <v>5562</v>
      </c>
      <c r="Q1233">
        <v>6</v>
      </c>
      <c r="R1233" t="s">
        <v>36</v>
      </c>
      <c r="S1233">
        <v>14</v>
      </c>
      <c r="T1233">
        <v>3</v>
      </c>
      <c r="U1233">
        <v>4</v>
      </c>
      <c r="V1233">
        <v>0</v>
      </c>
      <c r="W1233">
        <v>19</v>
      </c>
      <c r="X1233">
        <v>3</v>
      </c>
      <c r="Y1233">
        <v>3</v>
      </c>
      <c r="Z1233">
        <v>10</v>
      </c>
      <c r="AA1233">
        <v>7</v>
      </c>
      <c r="AB1233">
        <v>0</v>
      </c>
      <c r="AC1233">
        <v>9</v>
      </c>
      <c r="AD1233">
        <f>IF(HR_Data[[#This Row],[Attrition]]="Yes",1,0)</f>
        <v>0</v>
      </c>
      <c r="AE1233" t="str">
        <f>IF(HR_Data[[#This Row],[Age]]&lt;=25,"18-25",IF(HR_Data[[#This Row],[Age]]&lt;=35,"26-35",IF(HR_Data[[#This Row],[Age]]&lt;=45,"36-45",IF(HR_Data[[#This Row],[Age]]&lt;=55,"46-55","55+"))))</f>
        <v>46-55</v>
      </c>
      <c r="AF1233">
        <f>IF(HR_Data[[#This Row],[Age]]&lt;=25,1,IF(HR_Data[[#This Row],[Age]]&lt;=35,2,IF(HR_Data[[#This Row],[Age]]&lt;=45,3,IF(HR_Data[[#This Row],[Age]]&lt;=55,4,5))))</f>
        <v>4</v>
      </c>
      <c r="AG1233" s="1" t="str">
        <f>IF(HR_Data[[#This Row],[MonthlyIncome]]&lt;3000,"&lt;3K",IF(HR_Data[[#This Row],[MonthlyIncome]]&lt;6000,"3K-6K",IF(HR_Data[[#This Row],[MonthlyIncome]]&lt;10000,"6K-10K","10K+")))</f>
        <v>3K-6K</v>
      </c>
      <c r="AH1233" s="1">
        <f>IF(HR_Data[[#This Row],[MonthlyIncome]]&lt;3000,1,IF(HR_Data[[#This Row],[MonthlyIncome]]&lt;6000,2,IF(HR_Data[[#This Row],[MonthlyIncome]]&lt;10000,3,4)))</f>
        <v>2</v>
      </c>
      <c r="AI1233" s="1" t="str">
        <f>IF(HR_Data[[#This Row],[YearsAtCompany]]&lt;=2,"0-2 Yrs",IF(HR_Data[[#This Row],[YearsAtCompany]]&lt;=5,"3-5 Yrs",IF(HR_Data[[#This Row],[YearsAtCompany]]&lt;=10,"6-10 Yrs","10+ Yrs")))</f>
        <v>6-10 Yrs</v>
      </c>
      <c r="AJ1233" s="1">
        <f>IF(HR_Data[[#This Row],[YearsAtCompany]]&lt;=2,1,IF(HR_Data[[#This Row],[YearsAtCompany]]&lt;=5,2,IF(HR_Data[[#This Row],[YearsAtCompany]]&lt;=10,3,4)))</f>
        <v>3</v>
      </c>
      <c r="AK1233" s="1" t="str">
        <f>CHOOSE(HR_Data[[#This Row],[Education]],"Below College","College","Bachelor","Master","Doctor")</f>
        <v>Master</v>
      </c>
      <c r="AL1233" s="1" t="str">
        <f>CHOOSE(HR_Data[[#This Row],[JobSatisfaction]],"Low","Medium","High","Very High")</f>
        <v>Medium</v>
      </c>
      <c r="AM1233" s="1" t="str">
        <f>CHOOSE(HR_Data[[#This Row],[EnvironmentSatisfaction]],"Low","Medium","High","Very High")</f>
        <v>High</v>
      </c>
      <c r="AN1233" s="1" t="str">
        <f>CHOOSE(HR_Data[[#This Row],[WorkLifeBalance]],"Bad","Good","Better","Best")</f>
        <v>Better</v>
      </c>
      <c r="AO1233" s="1" t="str">
        <f>IF(HR_Data[[#This Row],[PercentSalaryHike]]&lt;=13,"11-13%",IF(HR_Data[[#This Row],[PercentSalaryHike]]&lt;=16,"14-16%",IF(HR_Data[[#This Row],[PercentSalaryHike]]&lt;=19,"17-19%","20-25%")))</f>
        <v>14-16%</v>
      </c>
      <c r="AP1233" s="1">
        <f>IF(HR_Data[[#This Row],[PercentSalaryHike]]&lt;=13,1,IF(HR_Data[[#This Row],[PercentSalaryHike]]&lt;=16,2,IF(HR_Data[[#This Row],[PercentSalaryHike]]&lt;=19,3,4)))</f>
        <v>2</v>
      </c>
      <c r="AQ1233" s="1" t="str">
        <f>IF(HR_Data[[#This Row],[DistanceFromHome]]&lt;=5,"1 to 5",IF(HR_Data[[#This Row],[DistanceFromHome]]&lt;=10,"6 to 10",IF(HR_Data[[#This Row],[DistanceFromHome]]&lt;=20,"11 to 20","21 to 29")))</f>
        <v>11 to 20</v>
      </c>
      <c r="AR1233" s="1">
        <f>IF(HR_Data[[#This Row],[DistanceFromHome]]&lt;=5,1,IF(HR_Data[[#This Row],[DistanceFromHome]]&lt;=10,2,IF(HR_Data[[#This Row],[DistanceFromHome]]&lt;=20,3,4)))</f>
        <v>3</v>
      </c>
      <c r="AS1233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233" s="1">
        <f>IF(HR_Data[[#This Row],[TotalWorkingYears]]&lt;=5,1,IF(HR_Data[[#This Row],[TotalWorkingYears]]&lt;=10,2,IF(HR_Data[[#This Row],[TotalWorkingYears]]&lt;=20,3,4)))</f>
        <v>3</v>
      </c>
    </row>
    <row r="1234" spans="1:46" x14ac:dyDescent="0.25">
      <c r="A1234">
        <v>35</v>
      </c>
      <c r="B1234" t="s">
        <v>36</v>
      </c>
      <c r="C1234" t="s">
        <v>30</v>
      </c>
      <c r="D1234" t="s">
        <v>38</v>
      </c>
      <c r="E1234">
        <v>27</v>
      </c>
      <c r="F1234">
        <v>4</v>
      </c>
      <c r="G1234" t="s">
        <v>32</v>
      </c>
      <c r="H1234">
        <v>1728</v>
      </c>
      <c r="I1234">
        <v>4</v>
      </c>
      <c r="J1234" t="s">
        <v>39</v>
      </c>
      <c r="K1234">
        <v>3</v>
      </c>
      <c r="L1234">
        <v>2</v>
      </c>
      <c r="M1234" t="s">
        <v>46</v>
      </c>
      <c r="N1234">
        <v>3</v>
      </c>
      <c r="O1234" t="s">
        <v>41</v>
      </c>
      <c r="P1234">
        <v>6883</v>
      </c>
      <c r="Q1234">
        <v>2</v>
      </c>
      <c r="R1234" t="s">
        <v>36</v>
      </c>
      <c r="S1234">
        <v>16</v>
      </c>
      <c r="T1234">
        <v>3</v>
      </c>
      <c r="U1234">
        <v>2</v>
      </c>
      <c r="V1234">
        <v>1</v>
      </c>
      <c r="W1234">
        <v>17</v>
      </c>
      <c r="X1234">
        <v>3</v>
      </c>
      <c r="Y1234">
        <v>3</v>
      </c>
      <c r="Z1234">
        <v>7</v>
      </c>
      <c r="AA1234">
        <v>7</v>
      </c>
      <c r="AB1234">
        <v>0</v>
      </c>
      <c r="AC1234">
        <v>7</v>
      </c>
      <c r="AD1234">
        <f>IF(HR_Data[[#This Row],[Attrition]]="Yes",1,0)</f>
        <v>0</v>
      </c>
      <c r="AE1234" t="str">
        <f>IF(HR_Data[[#This Row],[Age]]&lt;=25,"18-25",IF(HR_Data[[#This Row],[Age]]&lt;=35,"26-35",IF(HR_Data[[#This Row],[Age]]&lt;=45,"36-45",IF(HR_Data[[#This Row],[Age]]&lt;=55,"46-55","55+"))))</f>
        <v>26-35</v>
      </c>
      <c r="AF1234">
        <f>IF(HR_Data[[#This Row],[Age]]&lt;=25,1,IF(HR_Data[[#This Row],[Age]]&lt;=35,2,IF(HR_Data[[#This Row],[Age]]&lt;=45,3,IF(HR_Data[[#This Row],[Age]]&lt;=55,4,5))))</f>
        <v>2</v>
      </c>
      <c r="AG1234" s="1" t="str">
        <f>IF(HR_Data[[#This Row],[MonthlyIncome]]&lt;3000,"&lt;3K",IF(HR_Data[[#This Row],[MonthlyIncome]]&lt;6000,"3K-6K",IF(HR_Data[[#This Row],[MonthlyIncome]]&lt;10000,"6K-10K","10K+")))</f>
        <v>6K-10K</v>
      </c>
      <c r="AH1234" s="1">
        <f>IF(HR_Data[[#This Row],[MonthlyIncome]]&lt;3000,1,IF(HR_Data[[#This Row],[MonthlyIncome]]&lt;6000,2,IF(HR_Data[[#This Row],[MonthlyIncome]]&lt;10000,3,4)))</f>
        <v>3</v>
      </c>
      <c r="AI1234" s="1" t="str">
        <f>IF(HR_Data[[#This Row],[YearsAtCompany]]&lt;=2,"0-2 Yrs",IF(HR_Data[[#This Row],[YearsAtCompany]]&lt;=5,"3-5 Yrs",IF(HR_Data[[#This Row],[YearsAtCompany]]&lt;=10,"6-10 Yrs","10+ Yrs")))</f>
        <v>6-10 Yrs</v>
      </c>
      <c r="AJ1234" s="1">
        <f>IF(HR_Data[[#This Row],[YearsAtCompany]]&lt;=2,1,IF(HR_Data[[#This Row],[YearsAtCompany]]&lt;=5,2,IF(HR_Data[[#This Row],[YearsAtCompany]]&lt;=10,3,4)))</f>
        <v>3</v>
      </c>
      <c r="AK1234" s="1" t="str">
        <f>CHOOSE(HR_Data[[#This Row],[Education]],"Below College","College","Bachelor","Master","Doctor")</f>
        <v>Master</v>
      </c>
      <c r="AL1234" s="1" t="str">
        <f>CHOOSE(HR_Data[[#This Row],[JobSatisfaction]],"Low","Medium","High","Very High")</f>
        <v>High</v>
      </c>
      <c r="AM1234" s="1" t="str">
        <f>CHOOSE(HR_Data[[#This Row],[EnvironmentSatisfaction]],"Low","Medium","High","Very High")</f>
        <v>Very High</v>
      </c>
      <c r="AN1234" s="1" t="str">
        <f>CHOOSE(HR_Data[[#This Row],[WorkLifeBalance]],"Bad","Good","Better","Best")</f>
        <v>Better</v>
      </c>
      <c r="AO1234" s="1" t="str">
        <f>IF(HR_Data[[#This Row],[PercentSalaryHike]]&lt;=13,"11-13%",IF(HR_Data[[#This Row],[PercentSalaryHike]]&lt;=16,"14-16%",IF(HR_Data[[#This Row],[PercentSalaryHike]]&lt;=19,"17-19%","20-25%")))</f>
        <v>14-16%</v>
      </c>
      <c r="AP1234" s="1">
        <f>IF(HR_Data[[#This Row],[PercentSalaryHike]]&lt;=13,1,IF(HR_Data[[#This Row],[PercentSalaryHike]]&lt;=16,2,IF(HR_Data[[#This Row],[PercentSalaryHike]]&lt;=19,3,4)))</f>
        <v>2</v>
      </c>
      <c r="AQ1234" s="1" t="str">
        <f>IF(HR_Data[[#This Row],[DistanceFromHome]]&lt;=5,"1 to 5",IF(HR_Data[[#This Row],[DistanceFromHome]]&lt;=10,"6 to 10",IF(HR_Data[[#This Row],[DistanceFromHome]]&lt;=20,"11 to 20","21 to 29")))</f>
        <v>21 to 29</v>
      </c>
      <c r="AR1234" s="1">
        <f>IF(HR_Data[[#This Row],[DistanceFromHome]]&lt;=5,1,IF(HR_Data[[#This Row],[DistanceFromHome]]&lt;=10,2,IF(HR_Data[[#This Row],[DistanceFromHome]]&lt;=20,3,4)))</f>
        <v>4</v>
      </c>
      <c r="AS1234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234" s="1">
        <f>IF(HR_Data[[#This Row],[TotalWorkingYears]]&lt;=5,1,IF(HR_Data[[#This Row],[TotalWorkingYears]]&lt;=10,2,IF(HR_Data[[#This Row],[TotalWorkingYears]]&lt;=20,3,4)))</f>
        <v>3</v>
      </c>
    </row>
    <row r="1235" spans="1:46" x14ac:dyDescent="0.25">
      <c r="A1235">
        <v>30</v>
      </c>
      <c r="B1235" t="s">
        <v>36</v>
      </c>
      <c r="C1235" t="s">
        <v>30</v>
      </c>
      <c r="D1235" t="s">
        <v>38</v>
      </c>
      <c r="E1235">
        <v>16</v>
      </c>
      <c r="F1235">
        <v>1</v>
      </c>
      <c r="G1235" t="s">
        <v>32</v>
      </c>
      <c r="H1235">
        <v>1729</v>
      </c>
      <c r="I1235">
        <v>2</v>
      </c>
      <c r="J1235" t="s">
        <v>39</v>
      </c>
      <c r="K1235">
        <v>3</v>
      </c>
      <c r="L1235">
        <v>1</v>
      </c>
      <c r="M1235" t="s">
        <v>40</v>
      </c>
      <c r="N1235">
        <v>4</v>
      </c>
      <c r="O1235" t="s">
        <v>41</v>
      </c>
      <c r="P1235">
        <v>2862</v>
      </c>
      <c r="Q1235">
        <v>1</v>
      </c>
      <c r="R1235" t="s">
        <v>36</v>
      </c>
      <c r="S1235">
        <v>12</v>
      </c>
      <c r="T1235">
        <v>3</v>
      </c>
      <c r="U1235">
        <v>2</v>
      </c>
      <c r="V1235">
        <v>1</v>
      </c>
      <c r="W1235">
        <v>10</v>
      </c>
      <c r="X1235">
        <v>2</v>
      </c>
      <c r="Y1235">
        <v>2</v>
      </c>
      <c r="Z1235">
        <v>10</v>
      </c>
      <c r="AA1235">
        <v>0</v>
      </c>
      <c r="AB1235">
        <v>0</v>
      </c>
      <c r="AC1235">
        <v>8</v>
      </c>
      <c r="AD1235">
        <f>IF(HR_Data[[#This Row],[Attrition]]="Yes",1,0)</f>
        <v>0</v>
      </c>
      <c r="AE1235" t="str">
        <f>IF(HR_Data[[#This Row],[Age]]&lt;=25,"18-25",IF(HR_Data[[#This Row],[Age]]&lt;=35,"26-35",IF(HR_Data[[#This Row],[Age]]&lt;=45,"36-45",IF(HR_Data[[#This Row],[Age]]&lt;=55,"46-55","55+"))))</f>
        <v>26-35</v>
      </c>
      <c r="AF1235">
        <f>IF(HR_Data[[#This Row],[Age]]&lt;=25,1,IF(HR_Data[[#This Row],[Age]]&lt;=35,2,IF(HR_Data[[#This Row],[Age]]&lt;=45,3,IF(HR_Data[[#This Row],[Age]]&lt;=55,4,5))))</f>
        <v>2</v>
      </c>
      <c r="AG1235" s="1" t="str">
        <f>IF(HR_Data[[#This Row],[MonthlyIncome]]&lt;3000,"&lt;3K",IF(HR_Data[[#This Row],[MonthlyIncome]]&lt;6000,"3K-6K",IF(HR_Data[[#This Row],[MonthlyIncome]]&lt;10000,"6K-10K","10K+")))</f>
        <v>&lt;3K</v>
      </c>
      <c r="AH1235" s="1">
        <f>IF(HR_Data[[#This Row],[MonthlyIncome]]&lt;3000,1,IF(HR_Data[[#This Row],[MonthlyIncome]]&lt;6000,2,IF(HR_Data[[#This Row],[MonthlyIncome]]&lt;10000,3,4)))</f>
        <v>1</v>
      </c>
      <c r="AI1235" s="1" t="str">
        <f>IF(HR_Data[[#This Row],[YearsAtCompany]]&lt;=2,"0-2 Yrs",IF(HR_Data[[#This Row],[YearsAtCompany]]&lt;=5,"3-5 Yrs",IF(HR_Data[[#This Row],[YearsAtCompany]]&lt;=10,"6-10 Yrs","10+ Yrs")))</f>
        <v>6-10 Yrs</v>
      </c>
      <c r="AJ1235" s="1">
        <f>IF(HR_Data[[#This Row],[YearsAtCompany]]&lt;=2,1,IF(HR_Data[[#This Row],[YearsAtCompany]]&lt;=5,2,IF(HR_Data[[#This Row],[YearsAtCompany]]&lt;=10,3,4)))</f>
        <v>3</v>
      </c>
      <c r="AK1235" s="1" t="str">
        <f>CHOOSE(HR_Data[[#This Row],[Education]],"Below College","College","Bachelor","Master","Doctor")</f>
        <v>Below College</v>
      </c>
      <c r="AL1235" s="1" t="str">
        <f>CHOOSE(HR_Data[[#This Row],[JobSatisfaction]],"Low","Medium","High","Very High")</f>
        <v>Very High</v>
      </c>
      <c r="AM1235" s="1" t="str">
        <f>CHOOSE(HR_Data[[#This Row],[EnvironmentSatisfaction]],"Low","Medium","High","Very High")</f>
        <v>Medium</v>
      </c>
      <c r="AN1235" s="1" t="str">
        <f>CHOOSE(HR_Data[[#This Row],[WorkLifeBalance]],"Bad","Good","Better","Best")</f>
        <v>Good</v>
      </c>
      <c r="AO1235" s="1" t="str">
        <f>IF(HR_Data[[#This Row],[PercentSalaryHike]]&lt;=13,"11-13%",IF(HR_Data[[#This Row],[PercentSalaryHike]]&lt;=16,"14-16%",IF(HR_Data[[#This Row],[PercentSalaryHike]]&lt;=19,"17-19%","20-25%")))</f>
        <v>11-13%</v>
      </c>
      <c r="AP1235" s="1">
        <f>IF(HR_Data[[#This Row],[PercentSalaryHike]]&lt;=13,1,IF(HR_Data[[#This Row],[PercentSalaryHike]]&lt;=16,2,IF(HR_Data[[#This Row],[PercentSalaryHike]]&lt;=19,3,4)))</f>
        <v>1</v>
      </c>
      <c r="AQ1235" s="1" t="str">
        <f>IF(HR_Data[[#This Row],[DistanceFromHome]]&lt;=5,"1 to 5",IF(HR_Data[[#This Row],[DistanceFromHome]]&lt;=10,"6 to 10",IF(HR_Data[[#This Row],[DistanceFromHome]]&lt;=20,"11 to 20","21 to 29")))</f>
        <v>11 to 20</v>
      </c>
      <c r="AR1235" s="1">
        <f>IF(HR_Data[[#This Row],[DistanceFromHome]]&lt;=5,1,IF(HR_Data[[#This Row],[DistanceFromHome]]&lt;=10,2,IF(HR_Data[[#This Row],[DistanceFromHome]]&lt;=20,3,4)))</f>
        <v>3</v>
      </c>
      <c r="AS1235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235" s="1">
        <f>IF(HR_Data[[#This Row],[TotalWorkingYears]]&lt;=5,1,IF(HR_Data[[#This Row],[TotalWorkingYears]]&lt;=10,2,IF(HR_Data[[#This Row],[TotalWorkingYears]]&lt;=20,3,4)))</f>
        <v>2</v>
      </c>
    </row>
    <row r="1236" spans="1:46" x14ac:dyDescent="0.25">
      <c r="A1236">
        <v>47</v>
      </c>
      <c r="B1236" t="s">
        <v>36</v>
      </c>
      <c r="C1236" t="s">
        <v>48</v>
      </c>
      <c r="D1236" t="s">
        <v>31</v>
      </c>
      <c r="E1236">
        <v>2</v>
      </c>
      <c r="F1236">
        <v>4</v>
      </c>
      <c r="G1236" t="s">
        <v>52</v>
      </c>
      <c r="H1236">
        <v>1731</v>
      </c>
      <c r="I1236">
        <v>3</v>
      </c>
      <c r="J1236" t="s">
        <v>39</v>
      </c>
      <c r="K1236">
        <v>3</v>
      </c>
      <c r="L1236">
        <v>2</v>
      </c>
      <c r="M1236" t="s">
        <v>34</v>
      </c>
      <c r="N1236">
        <v>2</v>
      </c>
      <c r="O1236" t="s">
        <v>41</v>
      </c>
      <c r="P1236">
        <v>4978</v>
      </c>
      <c r="Q1236">
        <v>7</v>
      </c>
      <c r="R1236" t="s">
        <v>36</v>
      </c>
      <c r="S1236">
        <v>11</v>
      </c>
      <c r="T1236">
        <v>3</v>
      </c>
      <c r="U1236">
        <v>4</v>
      </c>
      <c r="V1236">
        <v>1</v>
      </c>
      <c r="W1236">
        <v>4</v>
      </c>
      <c r="X1236">
        <v>3</v>
      </c>
      <c r="Y1236">
        <v>1</v>
      </c>
      <c r="Z1236">
        <v>1</v>
      </c>
      <c r="AA1236">
        <v>0</v>
      </c>
      <c r="AB1236">
        <v>0</v>
      </c>
      <c r="AC1236">
        <v>0</v>
      </c>
      <c r="AD1236">
        <f>IF(HR_Data[[#This Row],[Attrition]]="Yes",1,0)</f>
        <v>0</v>
      </c>
      <c r="AE1236" t="str">
        <f>IF(HR_Data[[#This Row],[Age]]&lt;=25,"18-25",IF(HR_Data[[#This Row],[Age]]&lt;=35,"26-35",IF(HR_Data[[#This Row],[Age]]&lt;=45,"36-45",IF(HR_Data[[#This Row],[Age]]&lt;=55,"46-55","55+"))))</f>
        <v>46-55</v>
      </c>
      <c r="AF1236">
        <f>IF(HR_Data[[#This Row],[Age]]&lt;=25,1,IF(HR_Data[[#This Row],[Age]]&lt;=35,2,IF(HR_Data[[#This Row],[Age]]&lt;=45,3,IF(HR_Data[[#This Row],[Age]]&lt;=55,4,5))))</f>
        <v>4</v>
      </c>
      <c r="AG1236" s="1" t="str">
        <f>IF(HR_Data[[#This Row],[MonthlyIncome]]&lt;3000,"&lt;3K",IF(HR_Data[[#This Row],[MonthlyIncome]]&lt;6000,"3K-6K",IF(HR_Data[[#This Row],[MonthlyIncome]]&lt;10000,"6K-10K","10K+")))</f>
        <v>3K-6K</v>
      </c>
      <c r="AH1236" s="1">
        <f>IF(HR_Data[[#This Row],[MonthlyIncome]]&lt;3000,1,IF(HR_Data[[#This Row],[MonthlyIncome]]&lt;6000,2,IF(HR_Data[[#This Row],[MonthlyIncome]]&lt;10000,3,4)))</f>
        <v>2</v>
      </c>
      <c r="AI1236" s="1" t="str">
        <f>IF(HR_Data[[#This Row],[YearsAtCompany]]&lt;=2,"0-2 Yrs",IF(HR_Data[[#This Row],[YearsAtCompany]]&lt;=5,"3-5 Yrs",IF(HR_Data[[#This Row],[YearsAtCompany]]&lt;=10,"6-10 Yrs","10+ Yrs")))</f>
        <v>0-2 Yrs</v>
      </c>
      <c r="AJ1236" s="1">
        <f>IF(HR_Data[[#This Row],[YearsAtCompany]]&lt;=2,1,IF(HR_Data[[#This Row],[YearsAtCompany]]&lt;=5,2,IF(HR_Data[[#This Row],[YearsAtCompany]]&lt;=10,3,4)))</f>
        <v>1</v>
      </c>
      <c r="AK1236" s="1" t="str">
        <f>CHOOSE(HR_Data[[#This Row],[Education]],"Below College","College","Bachelor","Master","Doctor")</f>
        <v>Master</v>
      </c>
      <c r="AL1236" s="1" t="str">
        <f>CHOOSE(HR_Data[[#This Row],[JobSatisfaction]],"Low","Medium","High","Very High")</f>
        <v>Medium</v>
      </c>
      <c r="AM1236" s="1" t="str">
        <f>CHOOSE(HR_Data[[#This Row],[EnvironmentSatisfaction]],"Low","Medium","High","Very High")</f>
        <v>High</v>
      </c>
      <c r="AN1236" s="1" t="str">
        <f>CHOOSE(HR_Data[[#This Row],[WorkLifeBalance]],"Bad","Good","Better","Best")</f>
        <v>Bad</v>
      </c>
      <c r="AO1236" s="1" t="str">
        <f>IF(HR_Data[[#This Row],[PercentSalaryHike]]&lt;=13,"11-13%",IF(HR_Data[[#This Row],[PercentSalaryHike]]&lt;=16,"14-16%",IF(HR_Data[[#This Row],[PercentSalaryHike]]&lt;=19,"17-19%","20-25%")))</f>
        <v>11-13%</v>
      </c>
      <c r="AP1236" s="1">
        <f>IF(HR_Data[[#This Row],[PercentSalaryHike]]&lt;=13,1,IF(HR_Data[[#This Row],[PercentSalaryHike]]&lt;=16,2,IF(HR_Data[[#This Row],[PercentSalaryHike]]&lt;=19,3,4)))</f>
        <v>1</v>
      </c>
      <c r="AQ1236" s="1" t="str">
        <f>IF(HR_Data[[#This Row],[DistanceFromHome]]&lt;=5,"1 to 5",IF(HR_Data[[#This Row],[DistanceFromHome]]&lt;=10,"6 to 10",IF(HR_Data[[#This Row],[DistanceFromHome]]&lt;=20,"11 to 20","21 to 29")))</f>
        <v>1 to 5</v>
      </c>
      <c r="AR1236" s="1">
        <f>IF(HR_Data[[#This Row],[DistanceFromHome]]&lt;=5,1,IF(HR_Data[[#This Row],[DistanceFromHome]]&lt;=10,2,IF(HR_Data[[#This Row],[DistanceFromHome]]&lt;=20,3,4)))</f>
        <v>1</v>
      </c>
      <c r="AS1236" s="1" t="str">
        <f>IF(HR_Data[[#This Row],[TotalWorkingYears]]&lt;=5,"0-5 Yrs",IF(HR_Data[[#This Row],[TotalWorkingYears]]&lt;=10,"6-10 Yrs",IF(HR_Data[[#This Row],[TotalWorkingYears]]&lt;=20,"11-20 Yrs","20+ Yrs")))</f>
        <v>0-5 Yrs</v>
      </c>
      <c r="AT1236" s="1">
        <f>IF(HR_Data[[#This Row],[TotalWorkingYears]]&lt;=5,1,IF(HR_Data[[#This Row],[TotalWorkingYears]]&lt;=10,2,IF(HR_Data[[#This Row],[TotalWorkingYears]]&lt;=20,3,4)))</f>
        <v>1</v>
      </c>
    </row>
    <row r="1237" spans="1:46" x14ac:dyDescent="0.25">
      <c r="A1237">
        <v>46</v>
      </c>
      <c r="B1237" t="s">
        <v>36</v>
      </c>
      <c r="C1237" t="s">
        <v>30</v>
      </c>
      <c r="D1237" t="s">
        <v>31</v>
      </c>
      <c r="E1237">
        <v>2</v>
      </c>
      <c r="F1237">
        <v>3</v>
      </c>
      <c r="G1237" t="s">
        <v>32</v>
      </c>
      <c r="H1237">
        <v>1732</v>
      </c>
      <c r="I1237">
        <v>3</v>
      </c>
      <c r="J1237" t="s">
        <v>39</v>
      </c>
      <c r="K1237">
        <v>3</v>
      </c>
      <c r="L1237">
        <v>3</v>
      </c>
      <c r="M1237" t="s">
        <v>34</v>
      </c>
      <c r="N1237">
        <v>4</v>
      </c>
      <c r="O1237" t="s">
        <v>45</v>
      </c>
      <c r="P1237">
        <v>10368</v>
      </c>
      <c r="Q1237">
        <v>4</v>
      </c>
      <c r="R1237" t="s">
        <v>29</v>
      </c>
      <c r="S1237">
        <v>12</v>
      </c>
      <c r="T1237">
        <v>3</v>
      </c>
      <c r="U1237">
        <v>2</v>
      </c>
      <c r="V1237">
        <v>1</v>
      </c>
      <c r="W1237">
        <v>13</v>
      </c>
      <c r="X1237">
        <v>5</v>
      </c>
      <c r="Y1237">
        <v>2</v>
      </c>
      <c r="Z1237">
        <v>10</v>
      </c>
      <c r="AA1237">
        <v>6</v>
      </c>
      <c r="AB1237">
        <v>0</v>
      </c>
      <c r="AC1237">
        <v>3</v>
      </c>
      <c r="AD1237">
        <f>IF(HR_Data[[#This Row],[Attrition]]="Yes",1,0)</f>
        <v>0</v>
      </c>
      <c r="AE1237" t="str">
        <f>IF(HR_Data[[#This Row],[Age]]&lt;=25,"18-25",IF(HR_Data[[#This Row],[Age]]&lt;=35,"26-35",IF(HR_Data[[#This Row],[Age]]&lt;=45,"36-45",IF(HR_Data[[#This Row],[Age]]&lt;=55,"46-55","55+"))))</f>
        <v>46-55</v>
      </c>
      <c r="AF1237">
        <f>IF(HR_Data[[#This Row],[Age]]&lt;=25,1,IF(HR_Data[[#This Row],[Age]]&lt;=35,2,IF(HR_Data[[#This Row],[Age]]&lt;=45,3,IF(HR_Data[[#This Row],[Age]]&lt;=55,4,5))))</f>
        <v>4</v>
      </c>
      <c r="AG1237" s="1" t="str">
        <f>IF(HR_Data[[#This Row],[MonthlyIncome]]&lt;3000,"&lt;3K",IF(HR_Data[[#This Row],[MonthlyIncome]]&lt;6000,"3K-6K",IF(HR_Data[[#This Row],[MonthlyIncome]]&lt;10000,"6K-10K","10K+")))</f>
        <v>10K+</v>
      </c>
      <c r="AH1237" s="1">
        <f>IF(HR_Data[[#This Row],[MonthlyIncome]]&lt;3000,1,IF(HR_Data[[#This Row],[MonthlyIncome]]&lt;6000,2,IF(HR_Data[[#This Row],[MonthlyIncome]]&lt;10000,3,4)))</f>
        <v>4</v>
      </c>
      <c r="AI1237" s="1" t="str">
        <f>IF(HR_Data[[#This Row],[YearsAtCompany]]&lt;=2,"0-2 Yrs",IF(HR_Data[[#This Row],[YearsAtCompany]]&lt;=5,"3-5 Yrs",IF(HR_Data[[#This Row],[YearsAtCompany]]&lt;=10,"6-10 Yrs","10+ Yrs")))</f>
        <v>6-10 Yrs</v>
      </c>
      <c r="AJ1237" s="1">
        <f>IF(HR_Data[[#This Row],[YearsAtCompany]]&lt;=2,1,IF(HR_Data[[#This Row],[YearsAtCompany]]&lt;=5,2,IF(HR_Data[[#This Row],[YearsAtCompany]]&lt;=10,3,4)))</f>
        <v>3</v>
      </c>
      <c r="AK1237" s="1" t="str">
        <f>CHOOSE(HR_Data[[#This Row],[Education]],"Below College","College","Bachelor","Master","Doctor")</f>
        <v>Bachelor</v>
      </c>
      <c r="AL1237" s="1" t="str">
        <f>CHOOSE(HR_Data[[#This Row],[JobSatisfaction]],"Low","Medium","High","Very High")</f>
        <v>Very High</v>
      </c>
      <c r="AM1237" s="1" t="str">
        <f>CHOOSE(HR_Data[[#This Row],[EnvironmentSatisfaction]],"Low","Medium","High","Very High")</f>
        <v>High</v>
      </c>
      <c r="AN1237" s="1" t="str">
        <f>CHOOSE(HR_Data[[#This Row],[WorkLifeBalance]],"Bad","Good","Better","Best")</f>
        <v>Good</v>
      </c>
      <c r="AO1237" s="1" t="str">
        <f>IF(HR_Data[[#This Row],[PercentSalaryHike]]&lt;=13,"11-13%",IF(HR_Data[[#This Row],[PercentSalaryHike]]&lt;=16,"14-16%",IF(HR_Data[[#This Row],[PercentSalaryHike]]&lt;=19,"17-19%","20-25%")))</f>
        <v>11-13%</v>
      </c>
      <c r="AP1237" s="1">
        <f>IF(HR_Data[[#This Row],[PercentSalaryHike]]&lt;=13,1,IF(HR_Data[[#This Row],[PercentSalaryHike]]&lt;=16,2,IF(HR_Data[[#This Row],[PercentSalaryHike]]&lt;=19,3,4)))</f>
        <v>1</v>
      </c>
      <c r="AQ1237" s="1" t="str">
        <f>IF(HR_Data[[#This Row],[DistanceFromHome]]&lt;=5,"1 to 5",IF(HR_Data[[#This Row],[DistanceFromHome]]&lt;=10,"6 to 10",IF(HR_Data[[#This Row],[DistanceFromHome]]&lt;=20,"11 to 20","21 to 29")))</f>
        <v>1 to 5</v>
      </c>
      <c r="AR1237" s="1">
        <f>IF(HR_Data[[#This Row],[DistanceFromHome]]&lt;=5,1,IF(HR_Data[[#This Row],[DistanceFromHome]]&lt;=10,2,IF(HR_Data[[#This Row],[DistanceFromHome]]&lt;=20,3,4)))</f>
        <v>1</v>
      </c>
      <c r="AS1237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237" s="1">
        <f>IF(HR_Data[[#This Row],[TotalWorkingYears]]&lt;=5,1,IF(HR_Data[[#This Row],[TotalWorkingYears]]&lt;=10,2,IF(HR_Data[[#This Row],[TotalWorkingYears]]&lt;=20,3,4)))</f>
        <v>3</v>
      </c>
    </row>
    <row r="1238" spans="1:46" x14ac:dyDescent="0.25">
      <c r="A1238">
        <v>36</v>
      </c>
      <c r="B1238" t="s">
        <v>29</v>
      </c>
      <c r="C1238" t="s">
        <v>30</v>
      </c>
      <c r="D1238" t="s">
        <v>31</v>
      </c>
      <c r="E1238">
        <v>13</v>
      </c>
      <c r="F1238">
        <v>5</v>
      </c>
      <c r="G1238" t="s">
        <v>52</v>
      </c>
      <c r="H1238">
        <v>1733</v>
      </c>
      <c r="I1238">
        <v>2</v>
      </c>
      <c r="J1238" t="s">
        <v>39</v>
      </c>
      <c r="K1238">
        <v>2</v>
      </c>
      <c r="L1238">
        <v>2</v>
      </c>
      <c r="M1238" t="s">
        <v>34</v>
      </c>
      <c r="N1238">
        <v>1</v>
      </c>
      <c r="O1238" t="s">
        <v>45</v>
      </c>
      <c r="P1238">
        <v>6134</v>
      </c>
      <c r="Q1238">
        <v>5</v>
      </c>
      <c r="R1238" t="s">
        <v>29</v>
      </c>
      <c r="S1238">
        <v>13</v>
      </c>
      <c r="T1238">
        <v>3</v>
      </c>
      <c r="U1238">
        <v>2</v>
      </c>
      <c r="V1238">
        <v>3</v>
      </c>
      <c r="W1238">
        <v>16</v>
      </c>
      <c r="X1238">
        <v>3</v>
      </c>
      <c r="Y1238">
        <v>3</v>
      </c>
      <c r="Z1238">
        <v>2</v>
      </c>
      <c r="AA1238">
        <v>2</v>
      </c>
      <c r="AB1238">
        <v>2</v>
      </c>
      <c r="AC1238">
        <v>2</v>
      </c>
      <c r="AD1238">
        <f>IF(HR_Data[[#This Row],[Attrition]]="Yes",1,0)</f>
        <v>1</v>
      </c>
      <c r="AE1238" t="str">
        <f>IF(HR_Data[[#This Row],[Age]]&lt;=25,"18-25",IF(HR_Data[[#This Row],[Age]]&lt;=35,"26-35",IF(HR_Data[[#This Row],[Age]]&lt;=45,"36-45",IF(HR_Data[[#This Row],[Age]]&lt;=55,"46-55","55+"))))</f>
        <v>36-45</v>
      </c>
      <c r="AF1238">
        <f>IF(HR_Data[[#This Row],[Age]]&lt;=25,1,IF(HR_Data[[#This Row],[Age]]&lt;=35,2,IF(HR_Data[[#This Row],[Age]]&lt;=45,3,IF(HR_Data[[#This Row],[Age]]&lt;=55,4,5))))</f>
        <v>3</v>
      </c>
      <c r="AG1238" s="1" t="str">
        <f>IF(HR_Data[[#This Row],[MonthlyIncome]]&lt;3000,"&lt;3K",IF(HR_Data[[#This Row],[MonthlyIncome]]&lt;6000,"3K-6K",IF(HR_Data[[#This Row],[MonthlyIncome]]&lt;10000,"6K-10K","10K+")))</f>
        <v>6K-10K</v>
      </c>
      <c r="AH1238" s="1">
        <f>IF(HR_Data[[#This Row],[MonthlyIncome]]&lt;3000,1,IF(HR_Data[[#This Row],[MonthlyIncome]]&lt;6000,2,IF(HR_Data[[#This Row],[MonthlyIncome]]&lt;10000,3,4)))</f>
        <v>3</v>
      </c>
      <c r="AI1238" s="1" t="str">
        <f>IF(HR_Data[[#This Row],[YearsAtCompany]]&lt;=2,"0-2 Yrs",IF(HR_Data[[#This Row],[YearsAtCompany]]&lt;=5,"3-5 Yrs",IF(HR_Data[[#This Row],[YearsAtCompany]]&lt;=10,"6-10 Yrs","10+ Yrs")))</f>
        <v>0-2 Yrs</v>
      </c>
      <c r="AJ1238" s="1">
        <f>IF(HR_Data[[#This Row],[YearsAtCompany]]&lt;=2,1,IF(HR_Data[[#This Row],[YearsAtCompany]]&lt;=5,2,IF(HR_Data[[#This Row],[YearsAtCompany]]&lt;=10,3,4)))</f>
        <v>1</v>
      </c>
      <c r="AK1238" s="1" t="str">
        <f>CHOOSE(HR_Data[[#This Row],[Education]],"Below College","College","Bachelor","Master","Doctor")</f>
        <v>Doctor</v>
      </c>
      <c r="AL1238" s="1" t="str">
        <f>CHOOSE(HR_Data[[#This Row],[JobSatisfaction]],"Low","Medium","High","Very High")</f>
        <v>Low</v>
      </c>
      <c r="AM1238" s="1" t="str">
        <f>CHOOSE(HR_Data[[#This Row],[EnvironmentSatisfaction]],"Low","Medium","High","Very High")</f>
        <v>Medium</v>
      </c>
      <c r="AN1238" s="1" t="str">
        <f>CHOOSE(HR_Data[[#This Row],[WorkLifeBalance]],"Bad","Good","Better","Best")</f>
        <v>Better</v>
      </c>
      <c r="AO1238" s="1" t="str">
        <f>IF(HR_Data[[#This Row],[PercentSalaryHike]]&lt;=13,"11-13%",IF(HR_Data[[#This Row],[PercentSalaryHike]]&lt;=16,"14-16%",IF(HR_Data[[#This Row],[PercentSalaryHike]]&lt;=19,"17-19%","20-25%")))</f>
        <v>11-13%</v>
      </c>
      <c r="AP1238" s="1">
        <f>IF(HR_Data[[#This Row],[PercentSalaryHike]]&lt;=13,1,IF(HR_Data[[#This Row],[PercentSalaryHike]]&lt;=16,2,IF(HR_Data[[#This Row],[PercentSalaryHike]]&lt;=19,3,4)))</f>
        <v>1</v>
      </c>
      <c r="AQ1238" s="1" t="str">
        <f>IF(HR_Data[[#This Row],[DistanceFromHome]]&lt;=5,"1 to 5",IF(HR_Data[[#This Row],[DistanceFromHome]]&lt;=10,"6 to 10",IF(HR_Data[[#This Row],[DistanceFromHome]]&lt;=20,"11 to 20","21 to 29")))</f>
        <v>11 to 20</v>
      </c>
      <c r="AR1238" s="1">
        <f>IF(HR_Data[[#This Row],[DistanceFromHome]]&lt;=5,1,IF(HR_Data[[#This Row],[DistanceFromHome]]&lt;=10,2,IF(HR_Data[[#This Row],[DistanceFromHome]]&lt;=20,3,4)))</f>
        <v>3</v>
      </c>
      <c r="AS1238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238" s="1">
        <f>IF(HR_Data[[#This Row],[TotalWorkingYears]]&lt;=5,1,IF(HR_Data[[#This Row],[TotalWorkingYears]]&lt;=10,2,IF(HR_Data[[#This Row],[TotalWorkingYears]]&lt;=20,3,4)))</f>
        <v>3</v>
      </c>
    </row>
    <row r="1239" spans="1:46" x14ac:dyDescent="0.25">
      <c r="A1239">
        <v>32</v>
      </c>
      <c r="B1239" t="s">
        <v>29</v>
      </c>
      <c r="C1239" t="s">
        <v>30</v>
      </c>
      <c r="D1239" t="s">
        <v>31</v>
      </c>
      <c r="E1239">
        <v>1</v>
      </c>
      <c r="F1239">
        <v>2</v>
      </c>
      <c r="G1239" t="s">
        <v>32</v>
      </c>
      <c r="H1239">
        <v>1734</v>
      </c>
      <c r="I1239">
        <v>1</v>
      </c>
      <c r="J1239" t="s">
        <v>39</v>
      </c>
      <c r="K1239">
        <v>1</v>
      </c>
      <c r="L1239">
        <v>2</v>
      </c>
      <c r="M1239" t="s">
        <v>34</v>
      </c>
      <c r="N1239">
        <v>2</v>
      </c>
      <c r="O1239" t="s">
        <v>35</v>
      </c>
      <c r="P1239">
        <v>6735</v>
      </c>
      <c r="Q1239">
        <v>6</v>
      </c>
      <c r="R1239" t="s">
        <v>36</v>
      </c>
      <c r="S1239">
        <v>15</v>
      </c>
      <c r="T1239">
        <v>3</v>
      </c>
      <c r="U1239">
        <v>2</v>
      </c>
      <c r="V1239">
        <v>0</v>
      </c>
      <c r="W1239">
        <v>10</v>
      </c>
      <c r="X1239">
        <v>2</v>
      </c>
      <c r="Y1239">
        <v>3</v>
      </c>
      <c r="Z1239">
        <v>0</v>
      </c>
      <c r="AA1239">
        <v>0</v>
      </c>
      <c r="AB1239">
        <v>0</v>
      </c>
      <c r="AC1239">
        <v>0</v>
      </c>
      <c r="AD1239">
        <f>IF(HR_Data[[#This Row],[Attrition]]="Yes",1,0)</f>
        <v>1</v>
      </c>
      <c r="AE1239" t="str">
        <f>IF(HR_Data[[#This Row],[Age]]&lt;=25,"18-25",IF(HR_Data[[#This Row],[Age]]&lt;=35,"26-35",IF(HR_Data[[#This Row],[Age]]&lt;=45,"36-45",IF(HR_Data[[#This Row],[Age]]&lt;=55,"46-55","55+"))))</f>
        <v>26-35</v>
      </c>
      <c r="AF1239">
        <f>IF(HR_Data[[#This Row],[Age]]&lt;=25,1,IF(HR_Data[[#This Row],[Age]]&lt;=35,2,IF(HR_Data[[#This Row],[Age]]&lt;=45,3,IF(HR_Data[[#This Row],[Age]]&lt;=55,4,5))))</f>
        <v>2</v>
      </c>
      <c r="AG1239" s="1" t="str">
        <f>IF(HR_Data[[#This Row],[MonthlyIncome]]&lt;3000,"&lt;3K",IF(HR_Data[[#This Row],[MonthlyIncome]]&lt;6000,"3K-6K",IF(HR_Data[[#This Row],[MonthlyIncome]]&lt;10000,"6K-10K","10K+")))</f>
        <v>6K-10K</v>
      </c>
      <c r="AH1239" s="1">
        <f>IF(HR_Data[[#This Row],[MonthlyIncome]]&lt;3000,1,IF(HR_Data[[#This Row],[MonthlyIncome]]&lt;6000,2,IF(HR_Data[[#This Row],[MonthlyIncome]]&lt;10000,3,4)))</f>
        <v>3</v>
      </c>
      <c r="AI1239" s="1" t="str">
        <f>IF(HR_Data[[#This Row],[YearsAtCompany]]&lt;=2,"0-2 Yrs",IF(HR_Data[[#This Row],[YearsAtCompany]]&lt;=5,"3-5 Yrs",IF(HR_Data[[#This Row],[YearsAtCompany]]&lt;=10,"6-10 Yrs","10+ Yrs")))</f>
        <v>0-2 Yrs</v>
      </c>
      <c r="AJ1239" s="1">
        <f>IF(HR_Data[[#This Row],[YearsAtCompany]]&lt;=2,1,IF(HR_Data[[#This Row],[YearsAtCompany]]&lt;=5,2,IF(HR_Data[[#This Row],[YearsAtCompany]]&lt;=10,3,4)))</f>
        <v>1</v>
      </c>
      <c r="AK1239" s="1" t="str">
        <f>CHOOSE(HR_Data[[#This Row],[Education]],"Below College","College","Bachelor","Master","Doctor")</f>
        <v>College</v>
      </c>
      <c r="AL1239" s="1" t="str">
        <f>CHOOSE(HR_Data[[#This Row],[JobSatisfaction]],"Low","Medium","High","Very High")</f>
        <v>Medium</v>
      </c>
      <c r="AM1239" s="1" t="str">
        <f>CHOOSE(HR_Data[[#This Row],[EnvironmentSatisfaction]],"Low","Medium","High","Very High")</f>
        <v>Low</v>
      </c>
      <c r="AN1239" s="1" t="str">
        <f>CHOOSE(HR_Data[[#This Row],[WorkLifeBalance]],"Bad","Good","Better","Best")</f>
        <v>Better</v>
      </c>
      <c r="AO1239" s="1" t="str">
        <f>IF(HR_Data[[#This Row],[PercentSalaryHike]]&lt;=13,"11-13%",IF(HR_Data[[#This Row],[PercentSalaryHike]]&lt;=16,"14-16%",IF(HR_Data[[#This Row],[PercentSalaryHike]]&lt;=19,"17-19%","20-25%")))</f>
        <v>14-16%</v>
      </c>
      <c r="AP1239" s="1">
        <f>IF(HR_Data[[#This Row],[PercentSalaryHike]]&lt;=13,1,IF(HR_Data[[#This Row],[PercentSalaryHike]]&lt;=16,2,IF(HR_Data[[#This Row],[PercentSalaryHike]]&lt;=19,3,4)))</f>
        <v>2</v>
      </c>
      <c r="AQ1239" s="1" t="str">
        <f>IF(HR_Data[[#This Row],[DistanceFromHome]]&lt;=5,"1 to 5",IF(HR_Data[[#This Row],[DistanceFromHome]]&lt;=10,"6 to 10",IF(HR_Data[[#This Row],[DistanceFromHome]]&lt;=20,"11 to 20","21 to 29")))</f>
        <v>1 to 5</v>
      </c>
      <c r="AR1239" s="1">
        <f>IF(HR_Data[[#This Row],[DistanceFromHome]]&lt;=5,1,IF(HR_Data[[#This Row],[DistanceFromHome]]&lt;=10,2,IF(HR_Data[[#This Row],[DistanceFromHome]]&lt;=20,3,4)))</f>
        <v>1</v>
      </c>
      <c r="AS1239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239" s="1">
        <f>IF(HR_Data[[#This Row],[TotalWorkingYears]]&lt;=5,1,IF(HR_Data[[#This Row],[TotalWorkingYears]]&lt;=10,2,IF(HR_Data[[#This Row],[TotalWorkingYears]]&lt;=20,3,4)))</f>
        <v>2</v>
      </c>
    </row>
    <row r="1240" spans="1:46" x14ac:dyDescent="0.25">
      <c r="A1240">
        <v>23</v>
      </c>
      <c r="B1240" t="s">
        <v>36</v>
      </c>
      <c r="C1240" t="s">
        <v>30</v>
      </c>
      <c r="D1240" t="s">
        <v>38</v>
      </c>
      <c r="E1240">
        <v>4</v>
      </c>
      <c r="F1240">
        <v>1</v>
      </c>
      <c r="G1240" t="s">
        <v>44</v>
      </c>
      <c r="H1240">
        <v>1735</v>
      </c>
      <c r="I1240">
        <v>3</v>
      </c>
      <c r="J1240" t="s">
        <v>33</v>
      </c>
      <c r="K1240">
        <v>3</v>
      </c>
      <c r="L1240">
        <v>1</v>
      </c>
      <c r="M1240" t="s">
        <v>43</v>
      </c>
      <c r="N1240">
        <v>2</v>
      </c>
      <c r="O1240" t="s">
        <v>35</v>
      </c>
      <c r="P1240">
        <v>3295</v>
      </c>
      <c r="Q1240">
        <v>1</v>
      </c>
      <c r="R1240" t="s">
        <v>36</v>
      </c>
      <c r="S1240">
        <v>13</v>
      </c>
      <c r="T1240">
        <v>3</v>
      </c>
      <c r="U1240">
        <v>3</v>
      </c>
      <c r="V1240">
        <v>0</v>
      </c>
      <c r="W1240">
        <v>3</v>
      </c>
      <c r="X1240">
        <v>3</v>
      </c>
      <c r="Y1240">
        <v>1</v>
      </c>
      <c r="Z1240">
        <v>3</v>
      </c>
      <c r="AA1240">
        <v>2</v>
      </c>
      <c r="AB1240">
        <v>1</v>
      </c>
      <c r="AC1240">
        <v>2</v>
      </c>
      <c r="AD1240">
        <f>IF(HR_Data[[#This Row],[Attrition]]="Yes",1,0)</f>
        <v>0</v>
      </c>
      <c r="AE1240" t="str">
        <f>IF(HR_Data[[#This Row],[Age]]&lt;=25,"18-25",IF(HR_Data[[#This Row],[Age]]&lt;=35,"26-35",IF(HR_Data[[#This Row],[Age]]&lt;=45,"36-45",IF(HR_Data[[#This Row],[Age]]&lt;=55,"46-55","55+"))))</f>
        <v>18-25</v>
      </c>
      <c r="AF1240">
        <f>IF(HR_Data[[#This Row],[Age]]&lt;=25,1,IF(HR_Data[[#This Row],[Age]]&lt;=35,2,IF(HR_Data[[#This Row],[Age]]&lt;=45,3,IF(HR_Data[[#This Row],[Age]]&lt;=55,4,5))))</f>
        <v>1</v>
      </c>
      <c r="AG1240" s="1" t="str">
        <f>IF(HR_Data[[#This Row],[MonthlyIncome]]&lt;3000,"&lt;3K",IF(HR_Data[[#This Row],[MonthlyIncome]]&lt;6000,"3K-6K",IF(HR_Data[[#This Row],[MonthlyIncome]]&lt;10000,"6K-10K","10K+")))</f>
        <v>3K-6K</v>
      </c>
      <c r="AH1240" s="1">
        <f>IF(HR_Data[[#This Row],[MonthlyIncome]]&lt;3000,1,IF(HR_Data[[#This Row],[MonthlyIncome]]&lt;6000,2,IF(HR_Data[[#This Row],[MonthlyIncome]]&lt;10000,3,4)))</f>
        <v>2</v>
      </c>
      <c r="AI1240" s="1" t="str">
        <f>IF(HR_Data[[#This Row],[YearsAtCompany]]&lt;=2,"0-2 Yrs",IF(HR_Data[[#This Row],[YearsAtCompany]]&lt;=5,"3-5 Yrs",IF(HR_Data[[#This Row],[YearsAtCompany]]&lt;=10,"6-10 Yrs","10+ Yrs")))</f>
        <v>3-5 Yrs</v>
      </c>
      <c r="AJ1240" s="1">
        <f>IF(HR_Data[[#This Row],[YearsAtCompany]]&lt;=2,1,IF(HR_Data[[#This Row],[YearsAtCompany]]&lt;=5,2,IF(HR_Data[[#This Row],[YearsAtCompany]]&lt;=10,3,4)))</f>
        <v>2</v>
      </c>
      <c r="AK1240" s="1" t="str">
        <f>CHOOSE(HR_Data[[#This Row],[Education]],"Below College","College","Bachelor","Master","Doctor")</f>
        <v>Below College</v>
      </c>
      <c r="AL1240" s="1" t="str">
        <f>CHOOSE(HR_Data[[#This Row],[JobSatisfaction]],"Low","Medium","High","Very High")</f>
        <v>Medium</v>
      </c>
      <c r="AM1240" s="1" t="str">
        <f>CHOOSE(HR_Data[[#This Row],[EnvironmentSatisfaction]],"Low","Medium","High","Very High")</f>
        <v>High</v>
      </c>
      <c r="AN1240" s="1" t="str">
        <f>CHOOSE(HR_Data[[#This Row],[WorkLifeBalance]],"Bad","Good","Better","Best")</f>
        <v>Bad</v>
      </c>
      <c r="AO1240" s="1" t="str">
        <f>IF(HR_Data[[#This Row],[PercentSalaryHike]]&lt;=13,"11-13%",IF(HR_Data[[#This Row],[PercentSalaryHike]]&lt;=16,"14-16%",IF(HR_Data[[#This Row],[PercentSalaryHike]]&lt;=19,"17-19%","20-25%")))</f>
        <v>11-13%</v>
      </c>
      <c r="AP1240" s="1">
        <f>IF(HR_Data[[#This Row],[PercentSalaryHike]]&lt;=13,1,IF(HR_Data[[#This Row],[PercentSalaryHike]]&lt;=16,2,IF(HR_Data[[#This Row],[PercentSalaryHike]]&lt;=19,3,4)))</f>
        <v>1</v>
      </c>
      <c r="AQ1240" s="1" t="str">
        <f>IF(HR_Data[[#This Row],[DistanceFromHome]]&lt;=5,"1 to 5",IF(HR_Data[[#This Row],[DistanceFromHome]]&lt;=10,"6 to 10",IF(HR_Data[[#This Row],[DistanceFromHome]]&lt;=20,"11 to 20","21 to 29")))</f>
        <v>1 to 5</v>
      </c>
      <c r="AR1240" s="1">
        <f>IF(HR_Data[[#This Row],[DistanceFromHome]]&lt;=5,1,IF(HR_Data[[#This Row],[DistanceFromHome]]&lt;=10,2,IF(HR_Data[[#This Row],[DistanceFromHome]]&lt;=20,3,4)))</f>
        <v>1</v>
      </c>
      <c r="AS1240" s="1" t="str">
        <f>IF(HR_Data[[#This Row],[TotalWorkingYears]]&lt;=5,"0-5 Yrs",IF(HR_Data[[#This Row],[TotalWorkingYears]]&lt;=10,"6-10 Yrs",IF(HR_Data[[#This Row],[TotalWorkingYears]]&lt;=20,"11-20 Yrs","20+ Yrs")))</f>
        <v>0-5 Yrs</v>
      </c>
      <c r="AT1240" s="1">
        <f>IF(HR_Data[[#This Row],[TotalWorkingYears]]&lt;=5,1,IF(HR_Data[[#This Row],[TotalWorkingYears]]&lt;=10,2,IF(HR_Data[[#This Row],[TotalWorkingYears]]&lt;=20,3,4)))</f>
        <v>1</v>
      </c>
    </row>
    <row r="1241" spans="1:46" x14ac:dyDescent="0.25">
      <c r="A1241">
        <v>31</v>
      </c>
      <c r="B1241" t="s">
        <v>36</v>
      </c>
      <c r="C1241" t="s">
        <v>37</v>
      </c>
      <c r="D1241" t="s">
        <v>38</v>
      </c>
      <c r="E1241">
        <v>24</v>
      </c>
      <c r="F1241">
        <v>1</v>
      </c>
      <c r="G1241" t="s">
        <v>53</v>
      </c>
      <c r="H1241">
        <v>1736</v>
      </c>
      <c r="I1241">
        <v>4</v>
      </c>
      <c r="J1241" t="s">
        <v>33</v>
      </c>
      <c r="K1241">
        <v>3</v>
      </c>
      <c r="L1241">
        <v>2</v>
      </c>
      <c r="M1241" t="s">
        <v>46</v>
      </c>
      <c r="N1241">
        <v>4</v>
      </c>
      <c r="O1241" t="s">
        <v>35</v>
      </c>
      <c r="P1241">
        <v>5238</v>
      </c>
      <c r="Q1241">
        <v>2</v>
      </c>
      <c r="R1241" t="s">
        <v>36</v>
      </c>
      <c r="S1241">
        <v>20</v>
      </c>
      <c r="T1241">
        <v>4</v>
      </c>
      <c r="U1241">
        <v>4</v>
      </c>
      <c r="V1241">
        <v>0</v>
      </c>
      <c r="W1241">
        <v>9</v>
      </c>
      <c r="X1241">
        <v>3</v>
      </c>
      <c r="Y1241">
        <v>2</v>
      </c>
      <c r="Z1241">
        <v>5</v>
      </c>
      <c r="AA1241">
        <v>4</v>
      </c>
      <c r="AB1241">
        <v>1</v>
      </c>
      <c r="AC1241">
        <v>4</v>
      </c>
      <c r="AD1241">
        <f>IF(HR_Data[[#This Row],[Attrition]]="Yes",1,0)</f>
        <v>0</v>
      </c>
      <c r="AE1241" t="str">
        <f>IF(HR_Data[[#This Row],[Age]]&lt;=25,"18-25",IF(HR_Data[[#This Row],[Age]]&lt;=35,"26-35",IF(HR_Data[[#This Row],[Age]]&lt;=45,"36-45",IF(HR_Data[[#This Row],[Age]]&lt;=55,"46-55","55+"))))</f>
        <v>26-35</v>
      </c>
      <c r="AF1241">
        <f>IF(HR_Data[[#This Row],[Age]]&lt;=25,1,IF(HR_Data[[#This Row],[Age]]&lt;=35,2,IF(HR_Data[[#This Row],[Age]]&lt;=45,3,IF(HR_Data[[#This Row],[Age]]&lt;=55,4,5))))</f>
        <v>2</v>
      </c>
      <c r="AG1241" s="1" t="str">
        <f>IF(HR_Data[[#This Row],[MonthlyIncome]]&lt;3000,"&lt;3K",IF(HR_Data[[#This Row],[MonthlyIncome]]&lt;6000,"3K-6K",IF(HR_Data[[#This Row],[MonthlyIncome]]&lt;10000,"6K-10K","10K+")))</f>
        <v>3K-6K</v>
      </c>
      <c r="AH1241" s="1">
        <f>IF(HR_Data[[#This Row],[MonthlyIncome]]&lt;3000,1,IF(HR_Data[[#This Row],[MonthlyIncome]]&lt;6000,2,IF(HR_Data[[#This Row],[MonthlyIncome]]&lt;10000,3,4)))</f>
        <v>2</v>
      </c>
      <c r="AI1241" s="1" t="str">
        <f>IF(HR_Data[[#This Row],[YearsAtCompany]]&lt;=2,"0-2 Yrs",IF(HR_Data[[#This Row],[YearsAtCompany]]&lt;=5,"3-5 Yrs",IF(HR_Data[[#This Row],[YearsAtCompany]]&lt;=10,"6-10 Yrs","10+ Yrs")))</f>
        <v>3-5 Yrs</v>
      </c>
      <c r="AJ1241" s="1">
        <f>IF(HR_Data[[#This Row],[YearsAtCompany]]&lt;=2,1,IF(HR_Data[[#This Row],[YearsAtCompany]]&lt;=5,2,IF(HR_Data[[#This Row],[YearsAtCompany]]&lt;=10,3,4)))</f>
        <v>2</v>
      </c>
      <c r="AK1241" s="1" t="str">
        <f>CHOOSE(HR_Data[[#This Row],[Education]],"Below College","College","Bachelor","Master","Doctor")</f>
        <v>Below College</v>
      </c>
      <c r="AL1241" s="1" t="str">
        <f>CHOOSE(HR_Data[[#This Row],[JobSatisfaction]],"Low","Medium","High","Very High")</f>
        <v>Very High</v>
      </c>
      <c r="AM1241" s="1" t="str">
        <f>CHOOSE(HR_Data[[#This Row],[EnvironmentSatisfaction]],"Low","Medium","High","Very High")</f>
        <v>Very High</v>
      </c>
      <c r="AN1241" s="1" t="str">
        <f>CHOOSE(HR_Data[[#This Row],[WorkLifeBalance]],"Bad","Good","Better","Best")</f>
        <v>Good</v>
      </c>
      <c r="AO1241" s="1" t="str">
        <f>IF(HR_Data[[#This Row],[PercentSalaryHike]]&lt;=13,"11-13%",IF(HR_Data[[#This Row],[PercentSalaryHike]]&lt;=16,"14-16%",IF(HR_Data[[#This Row],[PercentSalaryHike]]&lt;=19,"17-19%","20-25%")))</f>
        <v>20-25%</v>
      </c>
      <c r="AP1241" s="1">
        <f>IF(HR_Data[[#This Row],[PercentSalaryHike]]&lt;=13,1,IF(HR_Data[[#This Row],[PercentSalaryHike]]&lt;=16,2,IF(HR_Data[[#This Row],[PercentSalaryHike]]&lt;=19,3,4)))</f>
        <v>4</v>
      </c>
      <c r="AQ1241" s="1" t="str">
        <f>IF(HR_Data[[#This Row],[DistanceFromHome]]&lt;=5,"1 to 5",IF(HR_Data[[#This Row],[DistanceFromHome]]&lt;=10,"6 to 10",IF(HR_Data[[#This Row],[DistanceFromHome]]&lt;=20,"11 to 20","21 to 29")))</f>
        <v>21 to 29</v>
      </c>
      <c r="AR1241" s="1">
        <f>IF(HR_Data[[#This Row],[DistanceFromHome]]&lt;=5,1,IF(HR_Data[[#This Row],[DistanceFromHome]]&lt;=10,2,IF(HR_Data[[#This Row],[DistanceFromHome]]&lt;=20,3,4)))</f>
        <v>4</v>
      </c>
      <c r="AS1241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241" s="1">
        <f>IF(HR_Data[[#This Row],[TotalWorkingYears]]&lt;=5,1,IF(HR_Data[[#This Row],[TotalWorkingYears]]&lt;=10,2,IF(HR_Data[[#This Row],[TotalWorkingYears]]&lt;=20,3,4)))</f>
        <v>2</v>
      </c>
    </row>
    <row r="1242" spans="1:46" x14ac:dyDescent="0.25">
      <c r="A1242">
        <v>39</v>
      </c>
      <c r="B1242" t="s">
        <v>36</v>
      </c>
      <c r="C1242" t="s">
        <v>48</v>
      </c>
      <c r="D1242" t="s">
        <v>38</v>
      </c>
      <c r="E1242">
        <v>1</v>
      </c>
      <c r="F1242">
        <v>3</v>
      </c>
      <c r="G1242" t="s">
        <v>32</v>
      </c>
      <c r="H1242">
        <v>1737</v>
      </c>
      <c r="I1242">
        <v>4</v>
      </c>
      <c r="J1242" t="s">
        <v>39</v>
      </c>
      <c r="K1242">
        <v>3</v>
      </c>
      <c r="L1242">
        <v>2</v>
      </c>
      <c r="M1242" t="s">
        <v>43</v>
      </c>
      <c r="N1242">
        <v>4</v>
      </c>
      <c r="O1242" t="s">
        <v>41</v>
      </c>
      <c r="P1242">
        <v>6472</v>
      </c>
      <c r="Q1242">
        <v>1</v>
      </c>
      <c r="R1242" t="s">
        <v>29</v>
      </c>
      <c r="S1242">
        <v>15</v>
      </c>
      <c r="T1242">
        <v>3</v>
      </c>
      <c r="U1242">
        <v>4</v>
      </c>
      <c r="V1242">
        <v>1</v>
      </c>
      <c r="W1242">
        <v>9</v>
      </c>
      <c r="X1242">
        <v>2</v>
      </c>
      <c r="Y1242">
        <v>3</v>
      </c>
      <c r="Z1242">
        <v>9</v>
      </c>
      <c r="AA1242">
        <v>8</v>
      </c>
      <c r="AB1242">
        <v>5</v>
      </c>
      <c r="AC1242">
        <v>8</v>
      </c>
      <c r="AD1242">
        <f>IF(HR_Data[[#This Row],[Attrition]]="Yes",1,0)</f>
        <v>0</v>
      </c>
      <c r="AE1242" t="str">
        <f>IF(HR_Data[[#This Row],[Age]]&lt;=25,"18-25",IF(HR_Data[[#This Row],[Age]]&lt;=35,"26-35",IF(HR_Data[[#This Row],[Age]]&lt;=45,"36-45",IF(HR_Data[[#This Row],[Age]]&lt;=55,"46-55","55+"))))</f>
        <v>36-45</v>
      </c>
      <c r="AF1242">
        <f>IF(HR_Data[[#This Row],[Age]]&lt;=25,1,IF(HR_Data[[#This Row],[Age]]&lt;=35,2,IF(HR_Data[[#This Row],[Age]]&lt;=45,3,IF(HR_Data[[#This Row],[Age]]&lt;=55,4,5))))</f>
        <v>3</v>
      </c>
      <c r="AG1242" s="1" t="str">
        <f>IF(HR_Data[[#This Row],[MonthlyIncome]]&lt;3000,"&lt;3K",IF(HR_Data[[#This Row],[MonthlyIncome]]&lt;6000,"3K-6K",IF(HR_Data[[#This Row],[MonthlyIncome]]&lt;10000,"6K-10K","10K+")))</f>
        <v>6K-10K</v>
      </c>
      <c r="AH1242" s="1">
        <f>IF(HR_Data[[#This Row],[MonthlyIncome]]&lt;3000,1,IF(HR_Data[[#This Row],[MonthlyIncome]]&lt;6000,2,IF(HR_Data[[#This Row],[MonthlyIncome]]&lt;10000,3,4)))</f>
        <v>3</v>
      </c>
      <c r="AI1242" s="1" t="str">
        <f>IF(HR_Data[[#This Row],[YearsAtCompany]]&lt;=2,"0-2 Yrs",IF(HR_Data[[#This Row],[YearsAtCompany]]&lt;=5,"3-5 Yrs",IF(HR_Data[[#This Row],[YearsAtCompany]]&lt;=10,"6-10 Yrs","10+ Yrs")))</f>
        <v>6-10 Yrs</v>
      </c>
      <c r="AJ1242" s="1">
        <f>IF(HR_Data[[#This Row],[YearsAtCompany]]&lt;=2,1,IF(HR_Data[[#This Row],[YearsAtCompany]]&lt;=5,2,IF(HR_Data[[#This Row],[YearsAtCompany]]&lt;=10,3,4)))</f>
        <v>3</v>
      </c>
      <c r="AK1242" s="1" t="str">
        <f>CHOOSE(HR_Data[[#This Row],[Education]],"Below College","College","Bachelor","Master","Doctor")</f>
        <v>Bachelor</v>
      </c>
      <c r="AL1242" s="1" t="str">
        <f>CHOOSE(HR_Data[[#This Row],[JobSatisfaction]],"Low","Medium","High","Very High")</f>
        <v>Very High</v>
      </c>
      <c r="AM1242" s="1" t="str">
        <f>CHOOSE(HR_Data[[#This Row],[EnvironmentSatisfaction]],"Low","Medium","High","Very High")</f>
        <v>Very High</v>
      </c>
      <c r="AN1242" s="1" t="str">
        <f>CHOOSE(HR_Data[[#This Row],[WorkLifeBalance]],"Bad","Good","Better","Best")</f>
        <v>Better</v>
      </c>
      <c r="AO1242" s="1" t="str">
        <f>IF(HR_Data[[#This Row],[PercentSalaryHike]]&lt;=13,"11-13%",IF(HR_Data[[#This Row],[PercentSalaryHike]]&lt;=16,"14-16%",IF(HR_Data[[#This Row],[PercentSalaryHike]]&lt;=19,"17-19%","20-25%")))</f>
        <v>14-16%</v>
      </c>
      <c r="AP1242" s="1">
        <f>IF(HR_Data[[#This Row],[PercentSalaryHike]]&lt;=13,1,IF(HR_Data[[#This Row],[PercentSalaryHike]]&lt;=16,2,IF(HR_Data[[#This Row],[PercentSalaryHike]]&lt;=19,3,4)))</f>
        <v>2</v>
      </c>
      <c r="AQ1242" s="1" t="str">
        <f>IF(HR_Data[[#This Row],[DistanceFromHome]]&lt;=5,"1 to 5",IF(HR_Data[[#This Row],[DistanceFromHome]]&lt;=10,"6 to 10",IF(HR_Data[[#This Row],[DistanceFromHome]]&lt;=20,"11 to 20","21 to 29")))</f>
        <v>1 to 5</v>
      </c>
      <c r="AR1242" s="1">
        <f>IF(HR_Data[[#This Row],[DistanceFromHome]]&lt;=5,1,IF(HR_Data[[#This Row],[DistanceFromHome]]&lt;=10,2,IF(HR_Data[[#This Row],[DistanceFromHome]]&lt;=20,3,4)))</f>
        <v>1</v>
      </c>
      <c r="AS1242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242" s="1">
        <f>IF(HR_Data[[#This Row],[TotalWorkingYears]]&lt;=5,1,IF(HR_Data[[#This Row],[TotalWorkingYears]]&lt;=10,2,IF(HR_Data[[#This Row],[TotalWorkingYears]]&lt;=20,3,4)))</f>
        <v>2</v>
      </c>
    </row>
    <row r="1243" spans="1:46" x14ac:dyDescent="0.25">
      <c r="A1243">
        <v>32</v>
      </c>
      <c r="B1243" t="s">
        <v>36</v>
      </c>
      <c r="C1243" t="s">
        <v>30</v>
      </c>
      <c r="D1243" t="s">
        <v>31</v>
      </c>
      <c r="E1243">
        <v>19</v>
      </c>
      <c r="F1243">
        <v>3</v>
      </c>
      <c r="G1243" t="s">
        <v>32</v>
      </c>
      <c r="H1243">
        <v>1739</v>
      </c>
      <c r="I1243">
        <v>4</v>
      </c>
      <c r="J1243" t="s">
        <v>39</v>
      </c>
      <c r="K1243">
        <v>1</v>
      </c>
      <c r="L1243">
        <v>3</v>
      </c>
      <c r="M1243" t="s">
        <v>34</v>
      </c>
      <c r="N1243">
        <v>3</v>
      </c>
      <c r="O1243" t="s">
        <v>41</v>
      </c>
      <c r="P1243">
        <v>9610</v>
      </c>
      <c r="Q1243">
        <v>3</v>
      </c>
      <c r="R1243" t="s">
        <v>36</v>
      </c>
      <c r="S1243">
        <v>13</v>
      </c>
      <c r="T1243">
        <v>3</v>
      </c>
      <c r="U1243">
        <v>3</v>
      </c>
      <c r="V1243">
        <v>1</v>
      </c>
      <c r="W1243">
        <v>10</v>
      </c>
      <c r="X1243">
        <v>2</v>
      </c>
      <c r="Y1243">
        <v>1</v>
      </c>
      <c r="Z1243">
        <v>4</v>
      </c>
      <c r="AA1243">
        <v>3</v>
      </c>
      <c r="AB1243">
        <v>0</v>
      </c>
      <c r="AC1243">
        <v>2</v>
      </c>
      <c r="AD1243">
        <f>IF(HR_Data[[#This Row],[Attrition]]="Yes",1,0)</f>
        <v>0</v>
      </c>
      <c r="AE1243" t="str">
        <f>IF(HR_Data[[#This Row],[Age]]&lt;=25,"18-25",IF(HR_Data[[#This Row],[Age]]&lt;=35,"26-35",IF(HR_Data[[#This Row],[Age]]&lt;=45,"36-45",IF(HR_Data[[#This Row],[Age]]&lt;=55,"46-55","55+"))))</f>
        <v>26-35</v>
      </c>
      <c r="AF1243">
        <f>IF(HR_Data[[#This Row],[Age]]&lt;=25,1,IF(HR_Data[[#This Row],[Age]]&lt;=35,2,IF(HR_Data[[#This Row],[Age]]&lt;=45,3,IF(HR_Data[[#This Row],[Age]]&lt;=55,4,5))))</f>
        <v>2</v>
      </c>
      <c r="AG1243" s="1" t="str">
        <f>IF(HR_Data[[#This Row],[MonthlyIncome]]&lt;3000,"&lt;3K",IF(HR_Data[[#This Row],[MonthlyIncome]]&lt;6000,"3K-6K",IF(HR_Data[[#This Row],[MonthlyIncome]]&lt;10000,"6K-10K","10K+")))</f>
        <v>6K-10K</v>
      </c>
      <c r="AH1243" s="1">
        <f>IF(HR_Data[[#This Row],[MonthlyIncome]]&lt;3000,1,IF(HR_Data[[#This Row],[MonthlyIncome]]&lt;6000,2,IF(HR_Data[[#This Row],[MonthlyIncome]]&lt;10000,3,4)))</f>
        <v>3</v>
      </c>
      <c r="AI1243" s="1" t="str">
        <f>IF(HR_Data[[#This Row],[YearsAtCompany]]&lt;=2,"0-2 Yrs",IF(HR_Data[[#This Row],[YearsAtCompany]]&lt;=5,"3-5 Yrs",IF(HR_Data[[#This Row],[YearsAtCompany]]&lt;=10,"6-10 Yrs","10+ Yrs")))</f>
        <v>3-5 Yrs</v>
      </c>
      <c r="AJ1243" s="1">
        <f>IF(HR_Data[[#This Row],[YearsAtCompany]]&lt;=2,1,IF(HR_Data[[#This Row],[YearsAtCompany]]&lt;=5,2,IF(HR_Data[[#This Row],[YearsAtCompany]]&lt;=10,3,4)))</f>
        <v>2</v>
      </c>
      <c r="AK1243" s="1" t="str">
        <f>CHOOSE(HR_Data[[#This Row],[Education]],"Below College","College","Bachelor","Master","Doctor")</f>
        <v>Bachelor</v>
      </c>
      <c r="AL1243" s="1" t="str">
        <f>CHOOSE(HR_Data[[#This Row],[JobSatisfaction]],"Low","Medium","High","Very High")</f>
        <v>High</v>
      </c>
      <c r="AM1243" s="1" t="str">
        <f>CHOOSE(HR_Data[[#This Row],[EnvironmentSatisfaction]],"Low","Medium","High","Very High")</f>
        <v>Very High</v>
      </c>
      <c r="AN1243" s="1" t="str">
        <f>CHOOSE(HR_Data[[#This Row],[WorkLifeBalance]],"Bad","Good","Better","Best")</f>
        <v>Bad</v>
      </c>
      <c r="AO1243" s="1" t="str">
        <f>IF(HR_Data[[#This Row],[PercentSalaryHike]]&lt;=13,"11-13%",IF(HR_Data[[#This Row],[PercentSalaryHike]]&lt;=16,"14-16%",IF(HR_Data[[#This Row],[PercentSalaryHike]]&lt;=19,"17-19%","20-25%")))</f>
        <v>11-13%</v>
      </c>
      <c r="AP1243" s="1">
        <f>IF(HR_Data[[#This Row],[PercentSalaryHike]]&lt;=13,1,IF(HR_Data[[#This Row],[PercentSalaryHike]]&lt;=16,2,IF(HR_Data[[#This Row],[PercentSalaryHike]]&lt;=19,3,4)))</f>
        <v>1</v>
      </c>
      <c r="AQ1243" s="1" t="str">
        <f>IF(HR_Data[[#This Row],[DistanceFromHome]]&lt;=5,"1 to 5",IF(HR_Data[[#This Row],[DistanceFromHome]]&lt;=10,"6 to 10",IF(HR_Data[[#This Row],[DistanceFromHome]]&lt;=20,"11 to 20","21 to 29")))</f>
        <v>11 to 20</v>
      </c>
      <c r="AR1243" s="1">
        <f>IF(HR_Data[[#This Row],[DistanceFromHome]]&lt;=5,1,IF(HR_Data[[#This Row],[DistanceFromHome]]&lt;=10,2,IF(HR_Data[[#This Row],[DistanceFromHome]]&lt;=20,3,4)))</f>
        <v>3</v>
      </c>
      <c r="AS1243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243" s="1">
        <f>IF(HR_Data[[#This Row],[TotalWorkingYears]]&lt;=5,1,IF(HR_Data[[#This Row],[TotalWorkingYears]]&lt;=10,2,IF(HR_Data[[#This Row],[TotalWorkingYears]]&lt;=20,3,4)))</f>
        <v>2</v>
      </c>
    </row>
    <row r="1244" spans="1:46" x14ac:dyDescent="0.25">
      <c r="A1244">
        <v>40</v>
      </c>
      <c r="B1244" t="s">
        <v>36</v>
      </c>
      <c r="C1244" t="s">
        <v>30</v>
      </c>
      <c r="D1244" t="s">
        <v>31</v>
      </c>
      <c r="E1244">
        <v>7</v>
      </c>
      <c r="F1244">
        <v>4</v>
      </c>
      <c r="G1244" t="s">
        <v>44</v>
      </c>
      <c r="H1244">
        <v>1740</v>
      </c>
      <c r="I1244">
        <v>2</v>
      </c>
      <c r="J1244" t="s">
        <v>39</v>
      </c>
      <c r="K1244">
        <v>3</v>
      </c>
      <c r="L1244">
        <v>5</v>
      </c>
      <c r="M1244" t="s">
        <v>49</v>
      </c>
      <c r="N1244">
        <v>2</v>
      </c>
      <c r="O1244" t="s">
        <v>35</v>
      </c>
      <c r="P1244">
        <v>19833</v>
      </c>
      <c r="Q1244">
        <v>1</v>
      </c>
      <c r="R1244" t="s">
        <v>36</v>
      </c>
      <c r="S1244">
        <v>14</v>
      </c>
      <c r="T1244">
        <v>3</v>
      </c>
      <c r="U1244">
        <v>2</v>
      </c>
      <c r="V1244">
        <v>0</v>
      </c>
      <c r="W1244">
        <v>21</v>
      </c>
      <c r="X1244">
        <v>3</v>
      </c>
      <c r="Y1244">
        <v>2</v>
      </c>
      <c r="Z1244">
        <v>21</v>
      </c>
      <c r="AA1244">
        <v>8</v>
      </c>
      <c r="AB1244">
        <v>12</v>
      </c>
      <c r="AC1244">
        <v>8</v>
      </c>
      <c r="AD1244">
        <f>IF(HR_Data[[#This Row],[Attrition]]="Yes",1,0)</f>
        <v>0</v>
      </c>
      <c r="AE1244" t="str">
        <f>IF(HR_Data[[#This Row],[Age]]&lt;=25,"18-25",IF(HR_Data[[#This Row],[Age]]&lt;=35,"26-35",IF(HR_Data[[#This Row],[Age]]&lt;=45,"36-45",IF(HR_Data[[#This Row],[Age]]&lt;=55,"46-55","55+"))))</f>
        <v>36-45</v>
      </c>
      <c r="AF1244">
        <f>IF(HR_Data[[#This Row],[Age]]&lt;=25,1,IF(HR_Data[[#This Row],[Age]]&lt;=35,2,IF(HR_Data[[#This Row],[Age]]&lt;=45,3,IF(HR_Data[[#This Row],[Age]]&lt;=55,4,5))))</f>
        <v>3</v>
      </c>
      <c r="AG1244" s="1" t="str">
        <f>IF(HR_Data[[#This Row],[MonthlyIncome]]&lt;3000,"&lt;3K",IF(HR_Data[[#This Row],[MonthlyIncome]]&lt;6000,"3K-6K",IF(HR_Data[[#This Row],[MonthlyIncome]]&lt;10000,"6K-10K","10K+")))</f>
        <v>10K+</v>
      </c>
      <c r="AH1244" s="1">
        <f>IF(HR_Data[[#This Row],[MonthlyIncome]]&lt;3000,1,IF(HR_Data[[#This Row],[MonthlyIncome]]&lt;6000,2,IF(HR_Data[[#This Row],[MonthlyIncome]]&lt;10000,3,4)))</f>
        <v>4</v>
      </c>
      <c r="AI1244" s="1" t="str">
        <f>IF(HR_Data[[#This Row],[YearsAtCompany]]&lt;=2,"0-2 Yrs",IF(HR_Data[[#This Row],[YearsAtCompany]]&lt;=5,"3-5 Yrs",IF(HR_Data[[#This Row],[YearsAtCompany]]&lt;=10,"6-10 Yrs","10+ Yrs")))</f>
        <v>10+ Yrs</v>
      </c>
      <c r="AJ1244" s="1">
        <f>IF(HR_Data[[#This Row],[YearsAtCompany]]&lt;=2,1,IF(HR_Data[[#This Row],[YearsAtCompany]]&lt;=5,2,IF(HR_Data[[#This Row],[YearsAtCompany]]&lt;=10,3,4)))</f>
        <v>4</v>
      </c>
      <c r="AK1244" s="1" t="str">
        <f>CHOOSE(HR_Data[[#This Row],[Education]],"Below College","College","Bachelor","Master","Doctor")</f>
        <v>Master</v>
      </c>
      <c r="AL1244" s="1" t="str">
        <f>CHOOSE(HR_Data[[#This Row],[JobSatisfaction]],"Low","Medium","High","Very High")</f>
        <v>Medium</v>
      </c>
      <c r="AM1244" s="1" t="str">
        <f>CHOOSE(HR_Data[[#This Row],[EnvironmentSatisfaction]],"Low","Medium","High","Very High")</f>
        <v>Medium</v>
      </c>
      <c r="AN1244" s="1" t="str">
        <f>CHOOSE(HR_Data[[#This Row],[WorkLifeBalance]],"Bad","Good","Better","Best")</f>
        <v>Good</v>
      </c>
      <c r="AO1244" s="1" t="str">
        <f>IF(HR_Data[[#This Row],[PercentSalaryHike]]&lt;=13,"11-13%",IF(HR_Data[[#This Row],[PercentSalaryHike]]&lt;=16,"14-16%",IF(HR_Data[[#This Row],[PercentSalaryHike]]&lt;=19,"17-19%","20-25%")))</f>
        <v>14-16%</v>
      </c>
      <c r="AP1244" s="1">
        <f>IF(HR_Data[[#This Row],[PercentSalaryHike]]&lt;=13,1,IF(HR_Data[[#This Row],[PercentSalaryHike]]&lt;=16,2,IF(HR_Data[[#This Row],[PercentSalaryHike]]&lt;=19,3,4)))</f>
        <v>2</v>
      </c>
      <c r="AQ1244" s="1" t="str">
        <f>IF(HR_Data[[#This Row],[DistanceFromHome]]&lt;=5,"1 to 5",IF(HR_Data[[#This Row],[DistanceFromHome]]&lt;=10,"6 to 10",IF(HR_Data[[#This Row],[DistanceFromHome]]&lt;=20,"11 to 20","21 to 29")))</f>
        <v>6 to 10</v>
      </c>
      <c r="AR1244" s="1">
        <f>IF(HR_Data[[#This Row],[DistanceFromHome]]&lt;=5,1,IF(HR_Data[[#This Row],[DistanceFromHome]]&lt;=10,2,IF(HR_Data[[#This Row],[DistanceFromHome]]&lt;=20,3,4)))</f>
        <v>2</v>
      </c>
      <c r="AS1244" s="1" t="str">
        <f>IF(HR_Data[[#This Row],[TotalWorkingYears]]&lt;=5,"0-5 Yrs",IF(HR_Data[[#This Row],[TotalWorkingYears]]&lt;=10,"6-10 Yrs",IF(HR_Data[[#This Row],[TotalWorkingYears]]&lt;=20,"11-20 Yrs","20+ Yrs")))</f>
        <v>20+ Yrs</v>
      </c>
      <c r="AT1244" s="1">
        <f>IF(HR_Data[[#This Row],[TotalWorkingYears]]&lt;=5,1,IF(HR_Data[[#This Row],[TotalWorkingYears]]&lt;=10,2,IF(HR_Data[[#This Row],[TotalWorkingYears]]&lt;=20,3,4)))</f>
        <v>4</v>
      </c>
    </row>
    <row r="1245" spans="1:46" x14ac:dyDescent="0.25">
      <c r="A1245">
        <v>45</v>
      </c>
      <c r="B1245" t="s">
        <v>36</v>
      </c>
      <c r="C1245" t="s">
        <v>30</v>
      </c>
      <c r="D1245" t="s">
        <v>54</v>
      </c>
      <c r="E1245">
        <v>4</v>
      </c>
      <c r="F1245">
        <v>3</v>
      </c>
      <c r="G1245" t="s">
        <v>32</v>
      </c>
      <c r="H1245">
        <v>1744</v>
      </c>
      <c r="I1245">
        <v>3</v>
      </c>
      <c r="J1245" t="s">
        <v>33</v>
      </c>
      <c r="K1245">
        <v>1</v>
      </c>
      <c r="L1245">
        <v>3</v>
      </c>
      <c r="M1245" t="s">
        <v>54</v>
      </c>
      <c r="N1245">
        <v>3</v>
      </c>
      <c r="O1245" t="s">
        <v>41</v>
      </c>
      <c r="P1245">
        <v>9756</v>
      </c>
      <c r="Q1245">
        <v>4</v>
      </c>
      <c r="R1245" t="s">
        <v>36</v>
      </c>
      <c r="S1245">
        <v>21</v>
      </c>
      <c r="T1245">
        <v>4</v>
      </c>
      <c r="U1245">
        <v>3</v>
      </c>
      <c r="V1245">
        <v>2</v>
      </c>
      <c r="W1245">
        <v>9</v>
      </c>
      <c r="X1245">
        <v>2</v>
      </c>
      <c r="Y1245">
        <v>4</v>
      </c>
      <c r="Z1245">
        <v>5</v>
      </c>
      <c r="AA1245">
        <v>0</v>
      </c>
      <c r="AB1245">
        <v>0</v>
      </c>
      <c r="AC1245">
        <v>3</v>
      </c>
      <c r="AD1245">
        <f>IF(HR_Data[[#This Row],[Attrition]]="Yes",1,0)</f>
        <v>0</v>
      </c>
      <c r="AE1245" t="str">
        <f>IF(HR_Data[[#This Row],[Age]]&lt;=25,"18-25",IF(HR_Data[[#This Row],[Age]]&lt;=35,"26-35",IF(HR_Data[[#This Row],[Age]]&lt;=45,"36-45",IF(HR_Data[[#This Row],[Age]]&lt;=55,"46-55","55+"))))</f>
        <v>36-45</v>
      </c>
      <c r="AF1245">
        <f>IF(HR_Data[[#This Row],[Age]]&lt;=25,1,IF(HR_Data[[#This Row],[Age]]&lt;=35,2,IF(HR_Data[[#This Row],[Age]]&lt;=45,3,IF(HR_Data[[#This Row],[Age]]&lt;=55,4,5))))</f>
        <v>3</v>
      </c>
      <c r="AG1245" s="1" t="str">
        <f>IF(HR_Data[[#This Row],[MonthlyIncome]]&lt;3000,"&lt;3K",IF(HR_Data[[#This Row],[MonthlyIncome]]&lt;6000,"3K-6K",IF(HR_Data[[#This Row],[MonthlyIncome]]&lt;10000,"6K-10K","10K+")))</f>
        <v>6K-10K</v>
      </c>
      <c r="AH1245" s="1">
        <f>IF(HR_Data[[#This Row],[MonthlyIncome]]&lt;3000,1,IF(HR_Data[[#This Row],[MonthlyIncome]]&lt;6000,2,IF(HR_Data[[#This Row],[MonthlyIncome]]&lt;10000,3,4)))</f>
        <v>3</v>
      </c>
      <c r="AI1245" s="1" t="str">
        <f>IF(HR_Data[[#This Row],[YearsAtCompany]]&lt;=2,"0-2 Yrs",IF(HR_Data[[#This Row],[YearsAtCompany]]&lt;=5,"3-5 Yrs",IF(HR_Data[[#This Row],[YearsAtCompany]]&lt;=10,"6-10 Yrs","10+ Yrs")))</f>
        <v>3-5 Yrs</v>
      </c>
      <c r="AJ1245" s="1">
        <f>IF(HR_Data[[#This Row],[YearsAtCompany]]&lt;=2,1,IF(HR_Data[[#This Row],[YearsAtCompany]]&lt;=5,2,IF(HR_Data[[#This Row],[YearsAtCompany]]&lt;=10,3,4)))</f>
        <v>2</v>
      </c>
      <c r="AK1245" s="1" t="str">
        <f>CHOOSE(HR_Data[[#This Row],[Education]],"Below College","College","Bachelor","Master","Doctor")</f>
        <v>Bachelor</v>
      </c>
      <c r="AL1245" s="1" t="str">
        <f>CHOOSE(HR_Data[[#This Row],[JobSatisfaction]],"Low","Medium","High","Very High")</f>
        <v>High</v>
      </c>
      <c r="AM1245" s="1" t="str">
        <f>CHOOSE(HR_Data[[#This Row],[EnvironmentSatisfaction]],"Low","Medium","High","Very High")</f>
        <v>High</v>
      </c>
      <c r="AN1245" s="1" t="str">
        <f>CHOOSE(HR_Data[[#This Row],[WorkLifeBalance]],"Bad","Good","Better","Best")</f>
        <v>Best</v>
      </c>
      <c r="AO1245" s="1" t="str">
        <f>IF(HR_Data[[#This Row],[PercentSalaryHike]]&lt;=13,"11-13%",IF(HR_Data[[#This Row],[PercentSalaryHike]]&lt;=16,"14-16%",IF(HR_Data[[#This Row],[PercentSalaryHike]]&lt;=19,"17-19%","20-25%")))</f>
        <v>20-25%</v>
      </c>
      <c r="AP1245" s="1">
        <f>IF(HR_Data[[#This Row],[PercentSalaryHike]]&lt;=13,1,IF(HR_Data[[#This Row],[PercentSalaryHike]]&lt;=16,2,IF(HR_Data[[#This Row],[PercentSalaryHike]]&lt;=19,3,4)))</f>
        <v>4</v>
      </c>
      <c r="AQ1245" s="1" t="str">
        <f>IF(HR_Data[[#This Row],[DistanceFromHome]]&lt;=5,"1 to 5",IF(HR_Data[[#This Row],[DistanceFromHome]]&lt;=10,"6 to 10",IF(HR_Data[[#This Row],[DistanceFromHome]]&lt;=20,"11 to 20","21 to 29")))</f>
        <v>1 to 5</v>
      </c>
      <c r="AR1245" s="1">
        <f>IF(HR_Data[[#This Row],[DistanceFromHome]]&lt;=5,1,IF(HR_Data[[#This Row],[DistanceFromHome]]&lt;=10,2,IF(HR_Data[[#This Row],[DistanceFromHome]]&lt;=20,3,4)))</f>
        <v>1</v>
      </c>
      <c r="AS1245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245" s="1">
        <f>IF(HR_Data[[#This Row],[TotalWorkingYears]]&lt;=5,1,IF(HR_Data[[#This Row],[TotalWorkingYears]]&lt;=10,2,IF(HR_Data[[#This Row],[TotalWorkingYears]]&lt;=20,3,4)))</f>
        <v>2</v>
      </c>
    </row>
    <row r="1246" spans="1:46" x14ac:dyDescent="0.25">
      <c r="A1246">
        <v>30</v>
      </c>
      <c r="B1246" t="s">
        <v>36</v>
      </c>
      <c r="C1246" t="s">
        <v>37</v>
      </c>
      <c r="D1246" t="s">
        <v>38</v>
      </c>
      <c r="E1246">
        <v>2</v>
      </c>
      <c r="F1246">
        <v>4</v>
      </c>
      <c r="G1246" t="s">
        <v>53</v>
      </c>
      <c r="H1246">
        <v>1745</v>
      </c>
      <c r="I1246">
        <v>4</v>
      </c>
      <c r="J1246" t="s">
        <v>33</v>
      </c>
      <c r="K1246">
        <v>2</v>
      </c>
      <c r="L1246">
        <v>1</v>
      </c>
      <c r="M1246" t="s">
        <v>40</v>
      </c>
      <c r="N1246">
        <v>1</v>
      </c>
      <c r="O1246" t="s">
        <v>35</v>
      </c>
      <c r="P1246">
        <v>4968</v>
      </c>
      <c r="Q1246">
        <v>0</v>
      </c>
      <c r="R1246" t="s">
        <v>36</v>
      </c>
      <c r="S1246">
        <v>16</v>
      </c>
      <c r="T1246">
        <v>3</v>
      </c>
      <c r="U1246">
        <v>4</v>
      </c>
      <c r="V1246">
        <v>0</v>
      </c>
      <c r="W1246">
        <v>10</v>
      </c>
      <c r="X1246">
        <v>2</v>
      </c>
      <c r="Y1246">
        <v>3</v>
      </c>
      <c r="Z1246">
        <v>9</v>
      </c>
      <c r="AA1246">
        <v>7</v>
      </c>
      <c r="AB1246">
        <v>0</v>
      </c>
      <c r="AC1246">
        <v>7</v>
      </c>
      <c r="AD1246">
        <f>IF(HR_Data[[#This Row],[Attrition]]="Yes",1,0)</f>
        <v>0</v>
      </c>
      <c r="AE1246" t="str">
        <f>IF(HR_Data[[#This Row],[Age]]&lt;=25,"18-25",IF(HR_Data[[#This Row],[Age]]&lt;=35,"26-35",IF(HR_Data[[#This Row],[Age]]&lt;=45,"36-45",IF(HR_Data[[#This Row],[Age]]&lt;=55,"46-55","55+"))))</f>
        <v>26-35</v>
      </c>
      <c r="AF1246">
        <f>IF(HR_Data[[#This Row],[Age]]&lt;=25,1,IF(HR_Data[[#This Row],[Age]]&lt;=35,2,IF(HR_Data[[#This Row],[Age]]&lt;=45,3,IF(HR_Data[[#This Row],[Age]]&lt;=55,4,5))))</f>
        <v>2</v>
      </c>
      <c r="AG1246" s="1" t="str">
        <f>IF(HR_Data[[#This Row],[MonthlyIncome]]&lt;3000,"&lt;3K",IF(HR_Data[[#This Row],[MonthlyIncome]]&lt;6000,"3K-6K",IF(HR_Data[[#This Row],[MonthlyIncome]]&lt;10000,"6K-10K","10K+")))</f>
        <v>3K-6K</v>
      </c>
      <c r="AH1246" s="1">
        <f>IF(HR_Data[[#This Row],[MonthlyIncome]]&lt;3000,1,IF(HR_Data[[#This Row],[MonthlyIncome]]&lt;6000,2,IF(HR_Data[[#This Row],[MonthlyIncome]]&lt;10000,3,4)))</f>
        <v>2</v>
      </c>
      <c r="AI1246" s="1" t="str">
        <f>IF(HR_Data[[#This Row],[YearsAtCompany]]&lt;=2,"0-2 Yrs",IF(HR_Data[[#This Row],[YearsAtCompany]]&lt;=5,"3-5 Yrs",IF(HR_Data[[#This Row],[YearsAtCompany]]&lt;=10,"6-10 Yrs","10+ Yrs")))</f>
        <v>6-10 Yrs</v>
      </c>
      <c r="AJ1246" s="1">
        <f>IF(HR_Data[[#This Row],[YearsAtCompany]]&lt;=2,1,IF(HR_Data[[#This Row],[YearsAtCompany]]&lt;=5,2,IF(HR_Data[[#This Row],[YearsAtCompany]]&lt;=10,3,4)))</f>
        <v>3</v>
      </c>
      <c r="AK1246" s="1" t="str">
        <f>CHOOSE(HR_Data[[#This Row],[Education]],"Below College","College","Bachelor","Master","Doctor")</f>
        <v>Master</v>
      </c>
      <c r="AL1246" s="1" t="str">
        <f>CHOOSE(HR_Data[[#This Row],[JobSatisfaction]],"Low","Medium","High","Very High")</f>
        <v>Low</v>
      </c>
      <c r="AM1246" s="1" t="str">
        <f>CHOOSE(HR_Data[[#This Row],[EnvironmentSatisfaction]],"Low","Medium","High","Very High")</f>
        <v>Very High</v>
      </c>
      <c r="AN1246" s="1" t="str">
        <f>CHOOSE(HR_Data[[#This Row],[WorkLifeBalance]],"Bad","Good","Better","Best")</f>
        <v>Better</v>
      </c>
      <c r="AO1246" s="1" t="str">
        <f>IF(HR_Data[[#This Row],[PercentSalaryHike]]&lt;=13,"11-13%",IF(HR_Data[[#This Row],[PercentSalaryHike]]&lt;=16,"14-16%",IF(HR_Data[[#This Row],[PercentSalaryHike]]&lt;=19,"17-19%","20-25%")))</f>
        <v>14-16%</v>
      </c>
      <c r="AP1246" s="1">
        <f>IF(HR_Data[[#This Row],[PercentSalaryHike]]&lt;=13,1,IF(HR_Data[[#This Row],[PercentSalaryHike]]&lt;=16,2,IF(HR_Data[[#This Row],[PercentSalaryHike]]&lt;=19,3,4)))</f>
        <v>2</v>
      </c>
      <c r="AQ1246" s="1" t="str">
        <f>IF(HR_Data[[#This Row],[DistanceFromHome]]&lt;=5,"1 to 5",IF(HR_Data[[#This Row],[DistanceFromHome]]&lt;=10,"6 to 10",IF(HR_Data[[#This Row],[DistanceFromHome]]&lt;=20,"11 to 20","21 to 29")))</f>
        <v>1 to 5</v>
      </c>
      <c r="AR1246" s="1">
        <f>IF(HR_Data[[#This Row],[DistanceFromHome]]&lt;=5,1,IF(HR_Data[[#This Row],[DistanceFromHome]]&lt;=10,2,IF(HR_Data[[#This Row],[DistanceFromHome]]&lt;=20,3,4)))</f>
        <v>1</v>
      </c>
      <c r="AS1246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246" s="1">
        <f>IF(HR_Data[[#This Row],[TotalWorkingYears]]&lt;=5,1,IF(HR_Data[[#This Row],[TotalWorkingYears]]&lt;=10,2,IF(HR_Data[[#This Row],[TotalWorkingYears]]&lt;=20,3,4)))</f>
        <v>2</v>
      </c>
    </row>
    <row r="1247" spans="1:46" x14ac:dyDescent="0.25">
      <c r="A1247">
        <v>24</v>
      </c>
      <c r="B1247" t="s">
        <v>36</v>
      </c>
      <c r="C1247" t="s">
        <v>37</v>
      </c>
      <c r="D1247" t="s">
        <v>54</v>
      </c>
      <c r="E1247">
        <v>10</v>
      </c>
      <c r="F1247">
        <v>3</v>
      </c>
      <c r="G1247" t="s">
        <v>44</v>
      </c>
      <c r="H1247">
        <v>1746</v>
      </c>
      <c r="I1247">
        <v>1</v>
      </c>
      <c r="J1247" t="s">
        <v>39</v>
      </c>
      <c r="K1247">
        <v>3</v>
      </c>
      <c r="L1247">
        <v>1</v>
      </c>
      <c r="M1247" t="s">
        <v>54</v>
      </c>
      <c r="N1247">
        <v>4</v>
      </c>
      <c r="O1247" t="s">
        <v>41</v>
      </c>
      <c r="P1247">
        <v>2145</v>
      </c>
      <c r="Q1247">
        <v>0</v>
      </c>
      <c r="R1247" t="s">
        <v>36</v>
      </c>
      <c r="S1247">
        <v>14</v>
      </c>
      <c r="T1247">
        <v>3</v>
      </c>
      <c r="U1247">
        <v>4</v>
      </c>
      <c r="V1247">
        <v>1</v>
      </c>
      <c r="W1247">
        <v>3</v>
      </c>
      <c r="X1247">
        <v>2</v>
      </c>
      <c r="Y1247">
        <v>3</v>
      </c>
      <c r="Z1247">
        <v>2</v>
      </c>
      <c r="AA1247">
        <v>2</v>
      </c>
      <c r="AB1247">
        <v>2</v>
      </c>
      <c r="AC1247">
        <v>1</v>
      </c>
      <c r="AD1247">
        <f>IF(HR_Data[[#This Row],[Attrition]]="Yes",1,0)</f>
        <v>0</v>
      </c>
      <c r="AE1247" t="str">
        <f>IF(HR_Data[[#This Row],[Age]]&lt;=25,"18-25",IF(HR_Data[[#This Row],[Age]]&lt;=35,"26-35",IF(HR_Data[[#This Row],[Age]]&lt;=45,"36-45",IF(HR_Data[[#This Row],[Age]]&lt;=55,"46-55","55+"))))</f>
        <v>18-25</v>
      </c>
      <c r="AF1247">
        <f>IF(HR_Data[[#This Row],[Age]]&lt;=25,1,IF(HR_Data[[#This Row],[Age]]&lt;=35,2,IF(HR_Data[[#This Row],[Age]]&lt;=45,3,IF(HR_Data[[#This Row],[Age]]&lt;=55,4,5))))</f>
        <v>1</v>
      </c>
      <c r="AG1247" s="1" t="str">
        <f>IF(HR_Data[[#This Row],[MonthlyIncome]]&lt;3000,"&lt;3K",IF(HR_Data[[#This Row],[MonthlyIncome]]&lt;6000,"3K-6K",IF(HR_Data[[#This Row],[MonthlyIncome]]&lt;10000,"6K-10K","10K+")))</f>
        <v>&lt;3K</v>
      </c>
      <c r="AH1247" s="1">
        <f>IF(HR_Data[[#This Row],[MonthlyIncome]]&lt;3000,1,IF(HR_Data[[#This Row],[MonthlyIncome]]&lt;6000,2,IF(HR_Data[[#This Row],[MonthlyIncome]]&lt;10000,3,4)))</f>
        <v>1</v>
      </c>
      <c r="AI1247" s="1" t="str">
        <f>IF(HR_Data[[#This Row],[YearsAtCompany]]&lt;=2,"0-2 Yrs",IF(HR_Data[[#This Row],[YearsAtCompany]]&lt;=5,"3-5 Yrs",IF(HR_Data[[#This Row],[YearsAtCompany]]&lt;=10,"6-10 Yrs","10+ Yrs")))</f>
        <v>0-2 Yrs</v>
      </c>
      <c r="AJ1247" s="1">
        <f>IF(HR_Data[[#This Row],[YearsAtCompany]]&lt;=2,1,IF(HR_Data[[#This Row],[YearsAtCompany]]&lt;=5,2,IF(HR_Data[[#This Row],[YearsAtCompany]]&lt;=10,3,4)))</f>
        <v>1</v>
      </c>
      <c r="AK1247" s="1" t="str">
        <f>CHOOSE(HR_Data[[#This Row],[Education]],"Below College","College","Bachelor","Master","Doctor")</f>
        <v>Bachelor</v>
      </c>
      <c r="AL1247" s="1" t="str">
        <f>CHOOSE(HR_Data[[#This Row],[JobSatisfaction]],"Low","Medium","High","Very High")</f>
        <v>Very High</v>
      </c>
      <c r="AM1247" s="1" t="str">
        <f>CHOOSE(HR_Data[[#This Row],[EnvironmentSatisfaction]],"Low","Medium","High","Very High")</f>
        <v>Low</v>
      </c>
      <c r="AN1247" s="1" t="str">
        <f>CHOOSE(HR_Data[[#This Row],[WorkLifeBalance]],"Bad","Good","Better","Best")</f>
        <v>Better</v>
      </c>
      <c r="AO1247" s="1" t="str">
        <f>IF(HR_Data[[#This Row],[PercentSalaryHike]]&lt;=13,"11-13%",IF(HR_Data[[#This Row],[PercentSalaryHike]]&lt;=16,"14-16%",IF(HR_Data[[#This Row],[PercentSalaryHike]]&lt;=19,"17-19%","20-25%")))</f>
        <v>14-16%</v>
      </c>
      <c r="AP1247" s="1">
        <f>IF(HR_Data[[#This Row],[PercentSalaryHike]]&lt;=13,1,IF(HR_Data[[#This Row],[PercentSalaryHike]]&lt;=16,2,IF(HR_Data[[#This Row],[PercentSalaryHike]]&lt;=19,3,4)))</f>
        <v>2</v>
      </c>
      <c r="AQ1247" s="1" t="str">
        <f>IF(HR_Data[[#This Row],[DistanceFromHome]]&lt;=5,"1 to 5",IF(HR_Data[[#This Row],[DistanceFromHome]]&lt;=10,"6 to 10",IF(HR_Data[[#This Row],[DistanceFromHome]]&lt;=20,"11 to 20","21 to 29")))</f>
        <v>6 to 10</v>
      </c>
      <c r="AR1247" s="1">
        <f>IF(HR_Data[[#This Row],[DistanceFromHome]]&lt;=5,1,IF(HR_Data[[#This Row],[DistanceFromHome]]&lt;=10,2,IF(HR_Data[[#This Row],[DistanceFromHome]]&lt;=20,3,4)))</f>
        <v>2</v>
      </c>
      <c r="AS1247" s="1" t="str">
        <f>IF(HR_Data[[#This Row],[TotalWorkingYears]]&lt;=5,"0-5 Yrs",IF(HR_Data[[#This Row],[TotalWorkingYears]]&lt;=10,"6-10 Yrs",IF(HR_Data[[#This Row],[TotalWorkingYears]]&lt;=20,"11-20 Yrs","20+ Yrs")))</f>
        <v>0-5 Yrs</v>
      </c>
      <c r="AT1247" s="1">
        <f>IF(HR_Data[[#This Row],[TotalWorkingYears]]&lt;=5,1,IF(HR_Data[[#This Row],[TotalWorkingYears]]&lt;=10,2,IF(HR_Data[[#This Row],[TotalWorkingYears]]&lt;=20,3,4)))</f>
        <v>1</v>
      </c>
    </row>
    <row r="1248" spans="1:46" x14ac:dyDescent="0.25">
      <c r="A1248">
        <v>30</v>
      </c>
      <c r="B1248" t="s">
        <v>29</v>
      </c>
      <c r="C1248" t="s">
        <v>37</v>
      </c>
      <c r="D1248" t="s">
        <v>54</v>
      </c>
      <c r="E1248">
        <v>8</v>
      </c>
      <c r="F1248">
        <v>3</v>
      </c>
      <c r="G1248" t="s">
        <v>54</v>
      </c>
      <c r="H1248">
        <v>1747</v>
      </c>
      <c r="I1248">
        <v>3</v>
      </c>
      <c r="J1248" t="s">
        <v>33</v>
      </c>
      <c r="K1248">
        <v>2</v>
      </c>
      <c r="L1248">
        <v>1</v>
      </c>
      <c r="M1248" t="s">
        <v>54</v>
      </c>
      <c r="N1248">
        <v>4</v>
      </c>
      <c r="O1248" t="s">
        <v>45</v>
      </c>
      <c r="P1248">
        <v>2180</v>
      </c>
      <c r="Q1248">
        <v>6</v>
      </c>
      <c r="R1248" t="s">
        <v>36</v>
      </c>
      <c r="S1248">
        <v>11</v>
      </c>
      <c r="T1248">
        <v>3</v>
      </c>
      <c r="U1248">
        <v>3</v>
      </c>
      <c r="V1248">
        <v>1</v>
      </c>
      <c r="W1248">
        <v>6</v>
      </c>
      <c r="X1248">
        <v>0</v>
      </c>
      <c r="Y1248">
        <v>2</v>
      </c>
      <c r="Z1248">
        <v>4</v>
      </c>
      <c r="AA1248">
        <v>2</v>
      </c>
      <c r="AB1248">
        <v>1</v>
      </c>
      <c r="AC1248">
        <v>2</v>
      </c>
      <c r="AD1248">
        <f>IF(HR_Data[[#This Row],[Attrition]]="Yes",1,0)</f>
        <v>1</v>
      </c>
      <c r="AE1248" t="str">
        <f>IF(HR_Data[[#This Row],[Age]]&lt;=25,"18-25",IF(HR_Data[[#This Row],[Age]]&lt;=35,"26-35",IF(HR_Data[[#This Row],[Age]]&lt;=45,"36-45",IF(HR_Data[[#This Row],[Age]]&lt;=55,"46-55","55+"))))</f>
        <v>26-35</v>
      </c>
      <c r="AF1248">
        <f>IF(HR_Data[[#This Row],[Age]]&lt;=25,1,IF(HR_Data[[#This Row],[Age]]&lt;=35,2,IF(HR_Data[[#This Row],[Age]]&lt;=45,3,IF(HR_Data[[#This Row],[Age]]&lt;=55,4,5))))</f>
        <v>2</v>
      </c>
      <c r="AG1248" s="1" t="str">
        <f>IF(HR_Data[[#This Row],[MonthlyIncome]]&lt;3000,"&lt;3K",IF(HR_Data[[#This Row],[MonthlyIncome]]&lt;6000,"3K-6K",IF(HR_Data[[#This Row],[MonthlyIncome]]&lt;10000,"6K-10K","10K+")))</f>
        <v>&lt;3K</v>
      </c>
      <c r="AH1248" s="1">
        <f>IF(HR_Data[[#This Row],[MonthlyIncome]]&lt;3000,1,IF(HR_Data[[#This Row],[MonthlyIncome]]&lt;6000,2,IF(HR_Data[[#This Row],[MonthlyIncome]]&lt;10000,3,4)))</f>
        <v>1</v>
      </c>
      <c r="AI1248" s="1" t="str">
        <f>IF(HR_Data[[#This Row],[YearsAtCompany]]&lt;=2,"0-2 Yrs",IF(HR_Data[[#This Row],[YearsAtCompany]]&lt;=5,"3-5 Yrs",IF(HR_Data[[#This Row],[YearsAtCompany]]&lt;=10,"6-10 Yrs","10+ Yrs")))</f>
        <v>3-5 Yrs</v>
      </c>
      <c r="AJ1248" s="1">
        <f>IF(HR_Data[[#This Row],[YearsAtCompany]]&lt;=2,1,IF(HR_Data[[#This Row],[YearsAtCompany]]&lt;=5,2,IF(HR_Data[[#This Row],[YearsAtCompany]]&lt;=10,3,4)))</f>
        <v>2</v>
      </c>
      <c r="AK1248" s="1" t="str">
        <f>CHOOSE(HR_Data[[#This Row],[Education]],"Below College","College","Bachelor","Master","Doctor")</f>
        <v>Bachelor</v>
      </c>
      <c r="AL1248" s="1" t="str">
        <f>CHOOSE(HR_Data[[#This Row],[JobSatisfaction]],"Low","Medium","High","Very High")</f>
        <v>Very High</v>
      </c>
      <c r="AM1248" s="1" t="str">
        <f>CHOOSE(HR_Data[[#This Row],[EnvironmentSatisfaction]],"Low","Medium","High","Very High")</f>
        <v>High</v>
      </c>
      <c r="AN1248" s="1" t="str">
        <f>CHOOSE(HR_Data[[#This Row],[WorkLifeBalance]],"Bad","Good","Better","Best")</f>
        <v>Good</v>
      </c>
      <c r="AO1248" s="1" t="str">
        <f>IF(HR_Data[[#This Row],[PercentSalaryHike]]&lt;=13,"11-13%",IF(HR_Data[[#This Row],[PercentSalaryHike]]&lt;=16,"14-16%",IF(HR_Data[[#This Row],[PercentSalaryHike]]&lt;=19,"17-19%","20-25%")))</f>
        <v>11-13%</v>
      </c>
      <c r="AP1248" s="1">
        <f>IF(HR_Data[[#This Row],[PercentSalaryHike]]&lt;=13,1,IF(HR_Data[[#This Row],[PercentSalaryHike]]&lt;=16,2,IF(HR_Data[[#This Row],[PercentSalaryHike]]&lt;=19,3,4)))</f>
        <v>1</v>
      </c>
      <c r="AQ1248" s="1" t="str">
        <f>IF(HR_Data[[#This Row],[DistanceFromHome]]&lt;=5,"1 to 5",IF(HR_Data[[#This Row],[DistanceFromHome]]&lt;=10,"6 to 10",IF(HR_Data[[#This Row],[DistanceFromHome]]&lt;=20,"11 to 20","21 to 29")))</f>
        <v>6 to 10</v>
      </c>
      <c r="AR1248" s="1">
        <f>IF(HR_Data[[#This Row],[DistanceFromHome]]&lt;=5,1,IF(HR_Data[[#This Row],[DistanceFromHome]]&lt;=10,2,IF(HR_Data[[#This Row],[DistanceFromHome]]&lt;=20,3,4)))</f>
        <v>2</v>
      </c>
      <c r="AS1248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248" s="1">
        <f>IF(HR_Data[[#This Row],[TotalWorkingYears]]&lt;=5,1,IF(HR_Data[[#This Row],[TotalWorkingYears]]&lt;=10,2,IF(HR_Data[[#This Row],[TotalWorkingYears]]&lt;=20,3,4)))</f>
        <v>2</v>
      </c>
    </row>
    <row r="1249" spans="1:46" x14ac:dyDescent="0.25">
      <c r="A1249">
        <v>31</v>
      </c>
      <c r="B1249" t="s">
        <v>36</v>
      </c>
      <c r="C1249" t="s">
        <v>30</v>
      </c>
      <c r="D1249" t="s">
        <v>31</v>
      </c>
      <c r="E1249">
        <v>5</v>
      </c>
      <c r="F1249">
        <v>3</v>
      </c>
      <c r="G1249" t="s">
        <v>53</v>
      </c>
      <c r="H1249">
        <v>1749</v>
      </c>
      <c r="I1249">
        <v>1</v>
      </c>
      <c r="J1249" t="s">
        <v>39</v>
      </c>
      <c r="K1249">
        <v>3</v>
      </c>
      <c r="L1249">
        <v>2</v>
      </c>
      <c r="M1249" t="s">
        <v>34</v>
      </c>
      <c r="N1249">
        <v>3</v>
      </c>
      <c r="O1249" t="s">
        <v>41</v>
      </c>
      <c r="P1249">
        <v>8346</v>
      </c>
      <c r="Q1249">
        <v>1</v>
      </c>
      <c r="R1249" t="s">
        <v>36</v>
      </c>
      <c r="S1249">
        <v>19</v>
      </c>
      <c r="T1249">
        <v>3</v>
      </c>
      <c r="U1249">
        <v>3</v>
      </c>
      <c r="V1249">
        <v>1</v>
      </c>
      <c r="W1249">
        <v>6</v>
      </c>
      <c r="X1249">
        <v>3</v>
      </c>
      <c r="Y1249">
        <v>3</v>
      </c>
      <c r="Z1249">
        <v>5</v>
      </c>
      <c r="AA1249">
        <v>2</v>
      </c>
      <c r="AB1249">
        <v>0</v>
      </c>
      <c r="AC1249">
        <v>2</v>
      </c>
      <c r="AD1249">
        <f>IF(HR_Data[[#This Row],[Attrition]]="Yes",1,0)</f>
        <v>0</v>
      </c>
      <c r="AE1249" t="str">
        <f>IF(HR_Data[[#This Row],[Age]]&lt;=25,"18-25",IF(HR_Data[[#This Row],[Age]]&lt;=35,"26-35",IF(HR_Data[[#This Row],[Age]]&lt;=45,"36-45",IF(HR_Data[[#This Row],[Age]]&lt;=55,"46-55","55+"))))</f>
        <v>26-35</v>
      </c>
      <c r="AF1249">
        <f>IF(HR_Data[[#This Row],[Age]]&lt;=25,1,IF(HR_Data[[#This Row],[Age]]&lt;=35,2,IF(HR_Data[[#This Row],[Age]]&lt;=45,3,IF(HR_Data[[#This Row],[Age]]&lt;=55,4,5))))</f>
        <v>2</v>
      </c>
      <c r="AG1249" s="1" t="str">
        <f>IF(HR_Data[[#This Row],[MonthlyIncome]]&lt;3000,"&lt;3K",IF(HR_Data[[#This Row],[MonthlyIncome]]&lt;6000,"3K-6K",IF(HR_Data[[#This Row],[MonthlyIncome]]&lt;10000,"6K-10K","10K+")))</f>
        <v>6K-10K</v>
      </c>
      <c r="AH1249" s="1">
        <f>IF(HR_Data[[#This Row],[MonthlyIncome]]&lt;3000,1,IF(HR_Data[[#This Row],[MonthlyIncome]]&lt;6000,2,IF(HR_Data[[#This Row],[MonthlyIncome]]&lt;10000,3,4)))</f>
        <v>3</v>
      </c>
      <c r="AI1249" s="1" t="str">
        <f>IF(HR_Data[[#This Row],[YearsAtCompany]]&lt;=2,"0-2 Yrs",IF(HR_Data[[#This Row],[YearsAtCompany]]&lt;=5,"3-5 Yrs",IF(HR_Data[[#This Row],[YearsAtCompany]]&lt;=10,"6-10 Yrs","10+ Yrs")))</f>
        <v>3-5 Yrs</v>
      </c>
      <c r="AJ1249" s="1">
        <f>IF(HR_Data[[#This Row],[YearsAtCompany]]&lt;=2,1,IF(HR_Data[[#This Row],[YearsAtCompany]]&lt;=5,2,IF(HR_Data[[#This Row],[YearsAtCompany]]&lt;=10,3,4)))</f>
        <v>2</v>
      </c>
      <c r="AK1249" s="1" t="str">
        <f>CHOOSE(HR_Data[[#This Row],[Education]],"Below College","College","Bachelor","Master","Doctor")</f>
        <v>Bachelor</v>
      </c>
      <c r="AL1249" s="1" t="str">
        <f>CHOOSE(HR_Data[[#This Row],[JobSatisfaction]],"Low","Medium","High","Very High")</f>
        <v>High</v>
      </c>
      <c r="AM1249" s="1" t="str">
        <f>CHOOSE(HR_Data[[#This Row],[EnvironmentSatisfaction]],"Low","Medium","High","Very High")</f>
        <v>Low</v>
      </c>
      <c r="AN1249" s="1" t="str">
        <f>CHOOSE(HR_Data[[#This Row],[WorkLifeBalance]],"Bad","Good","Better","Best")</f>
        <v>Better</v>
      </c>
      <c r="AO1249" s="1" t="str">
        <f>IF(HR_Data[[#This Row],[PercentSalaryHike]]&lt;=13,"11-13%",IF(HR_Data[[#This Row],[PercentSalaryHike]]&lt;=16,"14-16%",IF(HR_Data[[#This Row],[PercentSalaryHike]]&lt;=19,"17-19%","20-25%")))</f>
        <v>17-19%</v>
      </c>
      <c r="AP1249" s="1">
        <f>IF(HR_Data[[#This Row],[PercentSalaryHike]]&lt;=13,1,IF(HR_Data[[#This Row],[PercentSalaryHike]]&lt;=16,2,IF(HR_Data[[#This Row],[PercentSalaryHike]]&lt;=19,3,4)))</f>
        <v>3</v>
      </c>
      <c r="AQ1249" s="1" t="str">
        <f>IF(HR_Data[[#This Row],[DistanceFromHome]]&lt;=5,"1 to 5",IF(HR_Data[[#This Row],[DistanceFromHome]]&lt;=10,"6 to 10",IF(HR_Data[[#This Row],[DistanceFromHome]]&lt;=20,"11 to 20","21 to 29")))</f>
        <v>1 to 5</v>
      </c>
      <c r="AR1249" s="1">
        <f>IF(HR_Data[[#This Row],[DistanceFromHome]]&lt;=5,1,IF(HR_Data[[#This Row],[DistanceFromHome]]&lt;=10,2,IF(HR_Data[[#This Row],[DistanceFromHome]]&lt;=20,3,4)))</f>
        <v>1</v>
      </c>
      <c r="AS1249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249" s="1">
        <f>IF(HR_Data[[#This Row],[TotalWorkingYears]]&lt;=5,1,IF(HR_Data[[#This Row],[TotalWorkingYears]]&lt;=10,2,IF(HR_Data[[#This Row],[TotalWorkingYears]]&lt;=20,3,4)))</f>
        <v>2</v>
      </c>
    </row>
    <row r="1250" spans="1:46" x14ac:dyDescent="0.25">
      <c r="A1250">
        <v>27</v>
      </c>
      <c r="B1250" t="s">
        <v>36</v>
      </c>
      <c r="C1250" t="s">
        <v>30</v>
      </c>
      <c r="D1250" t="s">
        <v>38</v>
      </c>
      <c r="E1250">
        <v>8</v>
      </c>
      <c r="F1250">
        <v>3</v>
      </c>
      <c r="G1250" t="s">
        <v>44</v>
      </c>
      <c r="H1250">
        <v>1751</v>
      </c>
      <c r="I1250">
        <v>3</v>
      </c>
      <c r="J1250" t="s">
        <v>33</v>
      </c>
      <c r="K1250">
        <v>3</v>
      </c>
      <c r="L1250">
        <v>1</v>
      </c>
      <c r="M1250" t="s">
        <v>40</v>
      </c>
      <c r="N1250">
        <v>4</v>
      </c>
      <c r="O1250" t="s">
        <v>35</v>
      </c>
      <c r="P1250">
        <v>3445</v>
      </c>
      <c r="Q1250">
        <v>1</v>
      </c>
      <c r="R1250" t="s">
        <v>36</v>
      </c>
      <c r="S1250">
        <v>11</v>
      </c>
      <c r="T1250">
        <v>3</v>
      </c>
      <c r="U1250">
        <v>3</v>
      </c>
      <c r="V1250">
        <v>0</v>
      </c>
      <c r="W1250">
        <v>6</v>
      </c>
      <c r="X1250">
        <v>5</v>
      </c>
      <c r="Y1250">
        <v>2</v>
      </c>
      <c r="Z1250">
        <v>6</v>
      </c>
      <c r="AA1250">
        <v>2</v>
      </c>
      <c r="AB1250">
        <v>1</v>
      </c>
      <c r="AC1250">
        <v>4</v>
      </c>
      <c r="AD1250">
        <f>IF(HR_Data[[#This Row],[Attrition]]="Yes",1,0)</f>
        <v>0</v>
      </c>
      <c r="AE1250" t="str">
        <f>IF(HR_Data[[#This Row],[Age]]&lt;=25,"18-25",IF(HR_Data[[#This Row],[Age]]&lt;=35,"26-35",IF(HR_Data[[#This Row],[Age]]&lt;=45,"36-45",IF(HR_Data[[#This Row],[Age]]&lt;=55,"46-55","55+"))))</f>
        <v>26-35</v>
      </c>
      <c r="AF1250">
        <f>IF(HR_Data[[#This Row],[Age]]&lt;=25,1,IF(HR_Data[[#This Row],[Age]]&lt;=35,2,IF(HR_Data[[#This Row],[Age]]&lt;=45,3,IF(HR_Data[[#This Row],[Age]]&lt;=55,4,5))))</f>
        <v>2</v>
      </c>
      <c r="AG1250" s="1" t="str">
        <f>IF(HR_Data[[#This Row],[MonthlyIncome]]&lt;3000,"&lt;3K",IF(HR_Data[[#This Row],[MonthlyIncome]]&lt;6000,"3K-6K",IF(HR_Data[[#This Row],[MonthlyIncome]]&lt;10000,"6K-10K","10K+")))</f>
        <v>3K-6K</v>
      </c>
      <c r="AH1250" s="1">
        <f>IF(HR_Data[[#This Row],[MonthlyIncome]]&lt;3000,1,IF(HR_Data[[#This Row],[MonthlyIncome]]&lt;6000,2,IF(HR_Data[[#This Row],[MonthlyIncome]]&lt;10000,3,4)))</f>
        <v>2</v>
      </c>
      <c r="AI1250" s="1" t="str">
        <f>IF(HR_Data[[#This Row],[YearsAtCompany]]&lt;=2,"0-2 Yrs",IF(HR_Data[[#This Row],[YearsAtCompany]]&lt;=5,"3-5 Yrs",IF(HR_Data[[#This Row],[YearsAtCompany]]&lt;=10,"6-10 Yrs","10+ Yrs")))</f>
        <v>6-10 Yrs</v>
      </c>
      <c r="AJ1250" s="1">
        <f>IF(HR_Data[[#This Row],[YearsAtCompany]]&lt;=2,1,IF(HR_Data[[#This Row],[YearsAtCompany]]&lt;=5,2,IF(HR_Data[[#This Row],[YearsAtCompany]]&lt;=10,3,4)))</f>
        <v>3</v>
      </c>
      <c r="AK1250" s="1" t="str">
        <f>CHOOSE(HR_Data[[#This Row],[Education]],"Below College","College","Bachelor","Master","Doctor")</f>
        <v>Bachelor</v>
      </c>
      <c r="AL1250" s="1" t="str">
        <f>CHOOSE(HR_Data[[#This Row],[JobSatisfaction]],"Low","Medium","High","Very High")</f>
        <v>Very High</v>
      </c>
      <c r="AM1250" s="1" t="str">
        <f>CHOOSE(HR_Data[[#This Row],[EnvironmentSatisfaction]],"Low","Medium","High","Very High")</f>
        <v>High</v>
      </c>
      <c r="AN1250" s="1" t="str">
        <f>CHOOSE(HR_Data[[#This Row],[WorkLifeBalance]],"Bad","Good","Better","Best")</f>
        <v>Good</v>
      </c>
      <c r="AO1250" s="1" t="str">
        <f>IF(HR_Data[[#This Row],[PercentSalaryHike]]&lt;=13,"11-13%",IF(HR_Data[[#This Row],[PercentSalaryHike]]&lt;=16,"14-16%",IF(HR_Data[[#This Row],[PercentSalaryHike]]&lt;=19,"17-19%","20-25%")))</f>
        <v>11-13%</v>
      </c>
      <c r="AP1250" s="1">
        <f>IF(HR_Data[[#This Row],[PercentSalaryHike]]&lt;=13,1,IF(HR_Data[[#This Row],[PercentSalaryHike]]&lt;=16,2,IF(HR_Data[[#This Row],[PercentSalaryHike]]&lt;=19,3,4)))</f>
        <v>1</v>
      </c>
      <c r="AQ1250" s="1" t="str">
        <f>IF(HR_Data[[#This Row],[DistanceFromHome]]&lt;=5,"1 to 5",IF(HR_Data[[#This Row],[DistanceFromHome]]&lt;=10,"6 to 10",IF(HR_Data[[#This Row],[DistanceFromHome]]&lt;=20,"11 to 20","21 to 29")))</f>
        <v>6 to 10</v>
      </c>
      <c r="AR1250" s="1">
        <f>IF(HR_Data[[#This Row],[DistanceFromHome]]&lt;=5,1,IF(HR_Data[[#This Row],[DistanceFromHome]]&lt;=10,2,IF(HR_Data[[#This Row],[DistanceFromHome]]&lt;=20,3,4)))</f>
        <v>2</v>
      </c>
      <c r="AS1250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250" s="1">
        <f>IF(HR_Data[[#This Row],[TotalWorkingYears]]&lt;=5,1,IF(HR_Data[[#This Row],[TotalWorkingYears]]&lt;=10,2,IF(HR_Data[[#This Row],[TotalWorkingYears]]&lt;=20,3,4)))</f>
        <v>2</v>
      </c>
    </row>
    <row r="1251" spans="1:46" x14ac:dyDescent="0.25">
      <c r="A1251">
        <v>29</v>
      </c>
      <c r="B1251" t="s">
        <v>29</v>
      </c>
      <c r="C1251" t="s">
        <v>30</v>
      </c>
      <c r="D1251" t="s">
        <v>31</v>
      </c>
      <c r="E1251">
        <v>9</v>
      </c>
      <c r="F1251">
        <v>3</v>
      </c>
      <c r="G1251" t="s">
        <v>52</v>
      </c>
      <c r="H1251">
        <v>1752</v>
      </c>
      <c r="I1251">
        <v>2</v>
      </c>
      <c r="J1251" t="s">
        <v>33</v>
      </c>
      <c r="K1251">
        <v>1</v>
      </c>
      <c r="L1251">
        <v>1</v>
      </c>
      <c r="M1251" t="s">
        <v>50</v>
      </c>
      <c r="N1251">
        <v>2</v>
      </c>
      <c r="O1251" t="s">
        <v>35</v>
      </c>
      <c r="P1251">
        <v>2760</v>
      </c>
      <c r="Q1251">
        <v>1</v>
      </c>
      <c r="R1251" t="s">
        <v>36</v>
      </c>
      <c r="S1251">
        <v>13</v>
      </c>
      <c r="T1251">
        <v>3</v>
      </c>
      <c r="U1251">
        <v>3</v>
      </c>
      <c r="V1251">
        <v>0</v>
      </c>
      <c r="W1251">
        <v>2</v>
      </c>
      <c r="X1251">
        <v>3</v>
      </c>
      <c r="Y1251">
        <v>3</v>
      </c>
      <c r="Z1251">
        <v>2</v>
      </c>
      <c r="AA1251">
        <v>2</v>
      </c>
      <c r="AB1251">
        <v>2</v>
      </c>
      <c r="AC1251">
        <v>2</v>
      </c>
      <c r="AD1251">
        <f>IF(HR_Data[[#This Row],[Attrition]]="Yes",1,0)</f>
        <v>1</v>
      </c>
      <c r="AE1251" t="str">
        <f>IF(HR_Data[[#This Row],[Age]]&lt;=25,"18-25",IF(HR_Data[[#This Row],[Age]]&lt;=35,"26-35",IF(HR_Data[[#This Row],[Age]]&lt;=45,"36-45",IF(HR_Data[[#This Row],[Age]]&lt;=55,"46-55","55+"))))</f>
        <v>26-35</v>
      </c>
      <c r="AF1251">
        <f>IF(HR_Data[[#This Row],[Age]]&lt;=25,1,IF(HR_Data[[#This Row],[Age]]&lt;=35,2,IF(HR_Data[[#This Row],[Age]]&lt;=45,3,IF(HR_Data[[#This Row],[Age]]&lt;=55,4,5))))</f>
        <v>2</v>
      </c>
      <c r="AG1251" s="1" t="str">
        <f>IF(HR_Data[[#This Row],[MonthlyIncome]]&lt;3000,"&lt;3K",IF(HR_Data[[#This Row],[MonthlyIncome]]&lt;6000,"3K-6K",IF(HR_Data[[#This Row],[MonthlyIncome]]&lt;10000,"6K-10K","10K+")))</f>
        <v>&lt;3K</v>
      </c>
      <c r="AH1251" s="1">
        <f>IF(HR_Data[[#This Row],[MonthlyIncome]]&lt;3000,1,IF(HR_Data[[#This Row],[MonthlyIncome]]&lt;6000,2,IF(HR_Data[[#This Row],[MonthlyIncome]]&lt;10000,3,4)))</f>
        <v>1</v>
      </c>
      <c r="AI1251" s="1" t="str">
        <f>IF(HR_Data[[#This Row],[YearsAtCompany]]&lt;=2,"0-2 Yrs",IF(HR_Data[[#This Row],[YearsAtCompany]]&lt;=5,"3-5 Yrs",IF(HR_Data[[#This Row],[YearsAtCompany]]&lt;=10,"6-10 Yrs","10+ Yrs")))</f>
        <v>0-2 Yrs</v>
      </c>
      <c r="AJ1251" s="1">
        <f>IF(HR_Data[[#This Row],[YearsAtCompany]]&lt;=2,1,IF(HR_Data[[#This Row],[YearsAtCompany]]&lt;=5,2,IF(HR_Data[[#This Row],[YearsAtCompany]]&lt;=10,3,4)))</f>
        <v>1</v>
      </c>
      <c r="AK1251" s="1" t="str">
        <f>CHOOSE(HR_Data[[#This Row],[Education]],"Below College","College","Bachelor","Master","Doctor")</f>
        <v>Bachelor</v>
      </c>
      <c r="AL1251" s="1" t="str">
        <f>CHOOSE(HR_Data[[#This Row],[JobSatisfaction]],"Low","Medium","High","Very High")</f>
        <v>Medium</v>
      </c>
      <c r="AM1251" s="1" t="str">
        <f>CHOOSE(HR_Data[[#This Row],[EnvironmentSatisfaction]],"Low","Medium","High","Very High")</f>
        <v>Medium</v>
      </c>
      <c r="AN1251" s="1" t="str">
        <f>CHOOSE(HR_Data[[#This Row],[WorkLifeBalance]],"Bad","Good","Better","Best")</f>
        <v>Better</v>
      </c>
      <c r="AO1251" s="1" t="str">
        <f>IF(HR_Data[[#This Row],[PercentSalaryHike]]&lt;=13,"11-13%",IF(HR_Data[[#This Row],[PercentSalaryHike]]&lt;=16,"14-16%",IF(HR_Data[[#This Row],[PercentSalaryHike]]&lt;=19,"17-19%","20-25%")))</f>
        <v>11-13%</v>
      </c>
      <c r="AP1251" s="1">
        <f>IF(HR_Data[[#This Row],[PercentSalaryHike]]&lt;=13,1,IF(HR_Data[[#This Row],[PercentSalaryHike]]&lt;=16,2,IF(HR_Data[[#This Row],[PercentSalaryHike]]&lt;=19,3,4)))</f>
        <v>1</v>
      </c>
      <c r="AQ1251" s="1" t="str">
        <f>IF(HR_Data[[#This Row],[DistanceFromHome]]&lt;=5,"1 to 5",IF(HR_Data[[#This Row],[DistanceFromHome]]&lt;=10,"6 to 10",IF(HR_Data[[#This Row],[DistanceFromHome]]&lt;=20,"11 to 20","21 to 29")))</f>
        <v>6 to 10</v>
      </c>
      <c r="AR1251" s="1">
        <f>IF(HR_Data[[#This Row],[DistanceFromHome]]&lt;=5,1,IF(HR_Data[[#This Row],[DistanceFromHome]]&lt;=10,2,IF(HR_Data[[#This Row],[DistanceFromHome]]&lt;=20,3,4)))</f>
        <v>2</v>
      </c>
      <c r="AS1251" s="1" t="str">
        <f>IF(HR_Data[[#This Row],[TotalWorkingYears]]&lt;=5,"0-5 Yrs",IF(HR_Data[[#This Row],[TotalWorkingYears]]&lt;=10,"6-10 Yrs",IF(HR_Data[[#This Row],[TotalWorkingYears]]&lt;=20,"11-20 Yrs","20+ Yrs")))</f>
        <v>0-5 Yrs</v>
      </c>
      <c r="AT1251" s="1">
        <f>IF(HR_Data[[#This Row],[TotalWorkingYears]]&lt;=5,1,IF(HR_Data[[#This Row],[TotalWorkingYears]]&lt;=10,2,IF(HR_Data[[#This Row],[TotalWorkingYears]]&lt;=20,3,4)))</f>
        <v>1</v>
      </c>
    </row>
    <row r="1252" spans="1:46" x14ac:dyDescent="0.25">
      <c r="A1252">
        <v>29</v>
      </c>
      <c r="B1252" t="s">
        <v>36</v>
      </c>
      <c r="C1252" t="s">
        <v>37</v>
      </c>
      <c r="D1252" t="s">
        <v>38</v>
      </c>
      <c r="E1252">
        <v>1</v>
      </c>
      <c r="F1252">
        <v>3</v>
      </c>
      <c r="G1252" t="s">
        <v>32</v>
      </c>
      <c r="H1252">
        <v>1753</v>
      </c>
      <c r="I1252">
        <v>4</v>
      </c>
      <c r="J1252" t="s">
        <v>39</v>
      </c>
      <c r="K1252">
        <v>4</v>
      </c>
      <c r="L1252">
        <v>2</v>
      </c>
      <c r="M1252" t="s">
        <v>47</v>
      </c>
      <c r="N1252">
        <v>3</v>
      </c>
      <c r="O1252" t="s">
        <v>35</v>
      </c>
      <c r="P1252">
        <v>6294</v>
      </c>
      <c r="Q1252">
        <v>8</v>
      </c>
      <c r="R1252" t="s">
        <v>29</v>
      </c>
      <c r="S1252">
        <v>12</v>
      </c>
      <c r="T1252">
        <v>3</v>
      </c>
      <c r="U1252">
        <v>4</v>
      </c>
      <c r="V1252">
        <v>0</v>
      </c>
      <c r="W1252">
        <v>10</v>
      </c>
      <c r="X1252">
        <v>5</v>
      </c>
      <c r="Y1252">
        <v>4</v>
      </c>
      <c r="Z1252">
        <v>3</v>
      </c>
      <c r="AA1252">
        <v>2</v>
      </c>
      <c r="AB1252">
        <v>0</v>
      </c>
      <c r="AC1252">
        <v>2</v>
      </c>
      <c r="AD1252">
        <f>IF(HR_Data[[#This Row],[Attrition]]="Yes",1,0)</f>
        <v>0</v>
      </c>
      <c r="AE1252" t="str">
        <f>IF(HR_Data[[#This Row],[Age]]&lt;=25,"18-25",IF(HR_Data[[#This Row],[Age]]&lt;=35,"26-35",IF(HR_Data[[#This Row],[Age]]&lt;=45,"36-45",IF(HR_Data[[#This Row],[Age]]&lt;=55,"46-55","55+"))))</f>
        <v>26-35</v>
      </c>
      <c r="AF1252">
        <f>IF(HR_Data[[#This Row],[Age]]&lt;=25,1,IF(HR_Data[[#This Row],[Age]]&lt;=35,2,IF(HR_Data[[#This Row],[Age]]&lt;=45,3,IF(HR_Data[[#This Row],[Age]]&lt;=55,4,5))))</f>
        <v>2</v>
      </c>
      <c r="AG1252" s="1" t="str">
        <f>IF(HR_Data[[#This Row],[MonthlyIncome]]&lt;3000,"&lt;3K",IF(HR_Data[[#This Row],[MonthlyIncome]]&lt;6000,"3K-6K",IF(HR_Data[[#This Row],[MonthlyIncome]]&lt;10000,"6K-10K","10K+")))</f>
        <v>6K-10K</v>
      </c>
      <c r="AH1252" s="1">
        <f>IF(HR_Data[[#This Row],[MonthlyIncome]]&lt;3000,1,IF(HR_Data[[#This Row],[MonthlyIncome]]&lt;6000,2,IF(HR_Data[[#This Row],[MonthlyIncome]]&lt;10000,3,4)))</f>
        <v>3</v>
      </c>
      <c r="AI1252" s="1" t="str">
        <f>IF(HR_Data[[#This Row],[YearsAtCompany]]&lt;=2,"0-2 Yrs",IF(HR_Data[[#This Row],[YearsAtCompany]]&lt;=5,"3-5 Yrs",IF(HR_Data[[#This Row],[YearsAtCompany]]&lt;=10,"6-10 Yrs","10+ Yrs")))</f>
        <v>3-5 Yrs</v>
      </c>
      <c r="AJ1252" s="1">
        <f>IF(HR_Data[[#This Row],[YearsAtCompany]]&lt;=2,1,IF(HR_Data[[#This Row],[YearsAtCompany]]&lt;=5,2,IF(HR_Data[[#This Row],[YearsAtCompany]]&lt;=10,3,4)))</f>
        <v>2</v>
      </c>
      <c r="AK1252" s="1" t="str">
        <f>CHOOSE(HR_Data[[#This Row],[Education]],"Below College","College","Bachelor","Master","Doctor")</f>
        <v>Bachelor</v>
      </c>
      <c r="AL1252" s="1" t="str">
        <f>CHOOSE(HR_Data[[#This Row],[JobSatisfaction]],"Low","Medium","High","Very High")</f>
        <v>High</v>
      </c>
      <c r="AM1252" s="1" t="str">
        <f>CHOOSE(HR_Data[[#This Row],[EnvironmentSatisfaction]],"Low","Medium","High","Very High")</f>
        <v>Very High</v>
      </c>
      <c r="AN1252" s="1" t="str">
        <f>CHOOSE(HR_Data[[#This Row],[WorkLifeBalance]],"Bad","Good","Better","Best")</f>
        <v>Best</v>
      </c>
      <c r="AO1252" s="1" t="str">
        <f>IF(HR_Data[[#This Row],[PercentSalaryHike]]&lt;=13,"11-13%",IF(HR_Data[[#This Row],[PercentSalaryHike]]&lt;=16,"14-16%",IF(HR_Data[[#This Row],[PercentSalaryHike]]&lt;=19,"17-19%","20-25%")))</f>
        <v>11-13%</v>
      </c>
      <c r="AP1252" s="1">
        <f>IF(HR_Data[[#This Row],[PercentSalaryHike]]&lt;=13,1,IF(HR_Data[[#This Row],[PercentSalaryHike]]&lt;=16,2,IF(HR_Data[[#This Row],[PercentSalaryHike]]&lt;=19,3,4)))</f>
        <v>1</v>
      </c>
      <c r="AQ1252" s="1" t="str">
        <f>IF(HR_Data[[#This Row],[DistanceFromHome]]&lt;=5,"1 to 5",IF(HR_Data[[#This Row],[DistanceFromHome]]&lt;=10,"6 to 10",IF(HR_Data[[#This Row],[DistanceFromHome]]&lt;=20,"11 to 20","21 to 29")))</f>
        <v>1 to 5</v>
      </c>
      <c r="AR1252" s="1">
        <f>IF(HR_Data[[#This Row],[DistanceFromHome]]&lt;=5,1,IF(HR_Data[[#This Row],[DistanceFromHome]]&lt;=10,2,IF(HR_Data[[#This Row],[DistanceFromHome]]&lt;=20,3,4)))</f>
        <v>1</v>
      </c>
      <c r="AS1252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252" s="1">
        <f>IF(HR_Data[[#This Row],[TotalWorkingYears]]&lt;=5,1,IF(HR_Data[[#This Row],[TotalWorkingYears]]&lt;=10,2,IF(HR_Data[[#This Row],[TotalWorkingYears]]&lt;=20,3,4)))</f>
        <v>2</v>
      </c>
    </row>
    <row r="1253" spans="1:46" x14ac:dyDescent="0.25">
      <c r="A1253">
        <v>30</v>
      </c>
      <c r="B1253" t="s">
        <v>36</v>
      </c>
      <c r="C1253" t="s">
        <v>30</v>
      </c>
      <c r="D1253" t="s">
        <v>31</v>
      </c>
      <c r="E1253">
        <v>15</v>
      </c>
      <c r="F1253">
        <v>2</v>
      </c>
      <c r="G1253" t="s">
        <v>52</v>
      </c>
      <c r="H1253">
        <v>1754</v>
      </c>
      <c r="I1253">
        <v>3</v>
      </c>
      <c r="J1253" t="s">
        <v>39</v>
      </c>
      <c r="K1253">
        <v>2</v>
      </c>
      <c r="L1253">
        <v>3</v>
      </c>
      <c r="M1253" t="s">
        <v>34</v>
      </c>
      <c r="N1253">
        <v>1</v>
      </c>
      <c r="O1253" t="s">
        <v>45</v>
      </c>
      <c r="P1253">
        <v>7140</v>
      </c>
      <c r="Q1253">
        <v>2</v>
      </c>
      <c r="R1253" t="s">
        <v>36</v>
      </c>
      <c r="S1253">
        <v>11</v>
      </c>
      <c r="T1253">
        <v>3</v>
      </c>
      <c r="U1253">
        <v>1</v>
      </c>
      <c r="V1253">
        <v>1</v>
      </c>
      <c r="W1253">
        <v>12</v>
      </c>
      <c r="X1253">
        <v>2</v>
      </c>
      <c r="Y1253">
        <v>3</v>
      </c>
      <c r="Z1253">
        <v>7</v>
      </c>
      <c r="AA1253">
        <v>7</v>
      </c>
      <c r="AB1253">
        <v>1</v>
      </c>
      <c r="AC1253">
        <v>7</v>
      </c>
      <c r="AD1253">
        <f>IF(HR_Data[[#This Row],[Attrition]]="Yes",1,0)</f>
        <v>0</v>
      </c>
      <c r="AE1253" t="str">
        <f>IF(HR_Data[[#This Row],[Age]]&lt;=25,"18-25",IF(HR_Data[[#This Row],[Age]]&lt;=35,"26-35",IF(HR_Data[[#This Row],[Age]]&lt;=45,"36-45",IF(HR_Data[[#This Row],[Age]]&lt;=55,"46-55","55+"))))</f>
        <v>26-35</v>
      </c>
      <c r="AF1253">
        <f>IF(HR_Data[[#This Row],[Age]]&lt;=25,1,IF(HR_Data[[#This Row],[Age]]&lt;=35,2,IF(HR_Data[[#This Row],[Age]]&lt;=45,3,IF(HR_Data[[#This Row],[Age]]&lt;=55,4,5))))</f>
        <v>2</v>
      </c>
      <c r="AG1253" s="1" t="str">
        <f>IF(HR_Data[[#This Row],[MonthlyIncome]]&lt;3000,"&lt;3K",IF(HR_Data[[#This Row],[MonthlyIncome]]&lt;6000,"3K-6K",IF(HR_Data[[#This Row],[MonthlyIncome]]&lt;10000,"6K-10K","10K+")))</f>
        <v>6K-10K</v>
      </c>
      <c r="AH1253" s="1">
        <f>IF(HR_Data[[#This Row],[MonthlyIncome]]&lt;3000,1,IF(HR_Data[[#This Row],[MonthlyIncome]]&lt;6000,2,IF(HR_Data[[#This Row],[MonthlyIncome]]&lt;10000,3,4)))</f>
        <v>3</v>
      </c>
      <c r="AI1253" s="1" t="str">
        <f>IF(HR_Data[[#This Row],[YearsAtCompany]]&lt;=2,"0-2 Yrs",IF(HR_Data[[#This Row],[YearsAtCompany]]&lt;=5,"3-5 Yrs",IF(HR_Data[[#This Row],[YearsAtCompany]]&lt;=10,"6-10 Yrs","10+ Yrs")))</f>
        <v>6-10 Yrs</v>
      </c>
      <c r="AJ1253" s="1">
        <f>IF(HR_Data[[#This Row],[YearsAtCompany]]&lt;=2,1,IF(HR_Data[[#This Row],[YearsAtCompany]]&lt;=5,2,IF(HR_Data[[#This Row],[YearsAtCompany]]&lt;=10,3,4)))</f>
        <v>3</v>
      </c>
      <c r="AK1253" s="1" t="str">
        <f>CHOOSE(HR_Data[[#This Row],[Education]],"Below College","College","Bachelor","Master","Doctor")</f>
        <v>College</v>
      </c>
      <c r="AL1253" s="1" t="str">
        <f>CHOOSE(HR_Data[[#This Row],[JobSatisfaction]],"Low","Medium","High","Very High")</f>
        <v>Low</v>
      </c>
      <c r="AM1253" s="1" t="str">
        <f>CHOOSE(HR_Data[[#This Row],[EnvironmentSatisfaction]],"Low","Medium","High","Very High")</f>
        <v>High</v>
      </c>
      <c r="AN1253" s="1" t="str">
        <f>CHOOSE(HR_Data[[#This Row],[WorkLifeBalance]],"Bad","Good","Better","Best")</f>
        <v>Better</v>
      </c>
      <c r="AO1253" s="1" t="str">
        <f>IF(HR_Data[[#This Row],[PercentSalaryHike]]&lt;=13,"11-13%",IF(HR_Data[[#This Row],[PercentSalaryHike]]&lt;=16,"14-16%",IF(HR_Data[[#This Row],[PercentSalaryHike]]&lt;=19,"17-19%","20-25%")))</f>
        <v>11-13%</v>
      </c>
      <c r="AP1253" s="1">
        <f>IF(HR_Data[[#This Row],[PercentSalaryHike]]&lt;=13,1,IF(HR_Data[[#This Row],[PercentSalaryHike]]&lt;=16,2,IF(HR_Data[[#This Row],[PercentSalaryHike]]&lt;=19,3,4)))</f>
        <v>1</v>
      </c>
      <c r="AQ1253" s="1" t="str">
        <f>IF(HR_Data[[#This Row],[DistanceFromHome]]&lt;=5,"1 to 5",IF(HR_Data[[#This Row],[DistanceFromHome]]&lt;=10,"6 to 10",IF(HR_Data[[#This Row],[DistanceFromHome]]&lt;=20,"11 to 20","21 to 29")))</f>
        <v>11 to 20</v>
      </c>
      <c r="AR1253" s="1">
        <f>IF(HR_Data[[#This Row],[DistanceFromHome]]&lt;=5,1,IF(HR_Data[[#This Row],[DistanceFromHome]]&lt;=10,2,IF(HR_Data[[#This Row],[DistanceFromHome]]&lt;=20,3,4)))</f>
        <v>3</v>
      </c>
      <c r="AS1253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253" s="1">
        <f>IF(HR_Data[[#This Row],[TotalWorkingYears]]&lt;=5,1,IF(HR_Data[[#This Row],[TotalWorkingYears]]&lt;=10,2,IF(HR_Data[[#This Row],[TotalWorkingYears]]&lt;=20,3,4)))</f>
        <v>3</v>
      </c>
    </row>
    <row r="1254" spans="1:46" x14ac:dyDescent="0.25">
      <c r="A1254">
        <v>34</v>
      </c>
      <c r="B1254" t="s">
        <v>36</v>
      </c>
      <c r="C1254" t="s">
        <v>30</v>
      </c>
      <c r="D1254" t="s">
        <v>38</v>
      </c>
      <c r="E1254">
        <v>2</v>
      </c>
      <c r="F1254">
        <v>4</v>
      </c>
      <c r="G1254" t="s">
        <v>44</v>
      </c>
      <c r="H1254">
        <v>1755</v>
      </c>
      <c r="I1254">
        <v>4</v>
      </c>
      <c r="J1254" t="s">
        <v>39</v>
      </c>
      <c r="K1254">
        <v>4</v>
      </c>
      <c r="L1254">
        <v>1</v>
      </c>
      <c r="M1254" t="s">
        <v>40</v>
      </c>
      <c r="N1254">
        <v>4</v>
      </c>
      <c r="O1254" t="s">
        <v>41</v>
      </c>
      <c r="P1254">
        <v>2932</v>
      </c>
      <c r="Q1254">
        <v>0</v>
      </c>
      <c r="R1254" t="s">
        <v>29</v>
      </c>
      <c r="S1254">
        <v>14</v>
      </c>
      <c r="T1254">
        <v>3</v>
      </c>
      <c r="U1254">
        <v>1</v>
      </c>
      <c r="V1254">
        <v>3</v>
      </c>
      <c r="W1254">
        <v>6</v>
      </c>
      <c r="X1254">
        <v>3</v>
      </c>
      <c r="Y1254">
        <v>3</v>
      </c>
      <c r="Z1254">
        <v>5</v>
      </c>
      <c r="AA1254">
        <v>0</v>
      </c>
      <c r="AB1254">
        <v>1</v>
      </c>
      <c r="AC1254">
        <v>2</v>
      </c>
      <c r="AD1254">
        <f>IF(HR_Data[[#This Row],[Attrition]]="Yes",1,0)</f>
        <v>0</v>
      </c>
      <c r="AE1254" t="str">
        <f>IF(HR_Data[[#This Row],[Age]]&lt;=25,"18-25",IF(HR_Data[[#This Row],[Age]]&lt;=35,"26-35",IF(HR_Data[[#This Row],[Age]]&lt;=45,"36-45",IF(HR_Data[[#This Row],[Age]]&lt;=55,"46-55","55+"))))</f>
        <v>26-35</v>
      </c>
      <c r="AF1254">
        <f>IF(HR_Data[[#This Row],[Age]]&lt;=25,1,IF(HR_Data[[#This Row],[Age]]&lt;=35,2,IF(HR_Data[[#This Row],[Age]]&lt;=45,3,IF(HR_Data[[#This Row],[Age]]&lt;=55,4,5))))</f>
        <v>2</v>
      </c>
      <c r="AG1254" s="1" t="str">
        <f>IF(HR_Data[[#This Row],[MonthlyIncome]]&lt;3000,"&lt;3K",IF(HR_Data[[#This Row],[MonthlyIncome]]&lt;6000,"3K-6K",IF(HR_Data[[#This Row],[MonthlyIncome]]&lt;10000,"6K-10K","10K+")))</f>
        <v>&lt;3K</v>
      </c>
      <c r="AH1254" s="1">
        <f>IF(HR_Data[[#This Row],[MonthlyIncome]]&lt;3000,1,IF(HR_Data[[#This Row],[MonthlyIncome]]&lt;6000,2,IF(HR_Data[[#This Row],[MonthlyIncome]]&lt;10000,3,4)))</f>
        <v>1</v>
      </c>
      <c r="AI1254" s="1" t="str">
        <f>IF(HR_Data[[#This Row],[YearsAtCompany]]&lt;=2,"0-2 Yrs",IF(HR_Data[[#This Row],[YearsAtCompany]]&lt;=5,"3-5 Yrs",IF(HR_Data[[#This Row],[YearsAtCompany]]&lt;=10,"6-10 Yrs","10+ Yrs")))</f>
        <v>3-5 Yrs</v>
      </c>
      <c r="AJ1254" s="1">
        <f>IF(HR_Data[[#This Row],[YearsAtCompany]]&lt;=2,1,IF(HR_Data[[#This Row],[YearsAtCompany]]&lt;=5,2,IF(HR_Data[[#This Row],[YearsAtCompany]]&lt;=10,3,4)))</f>
        <v>2</v>
      </c>
      <c r="AK1254" s="1" t="str">
        <f>CHOOSE(HR_Data[[#This Row],[Education]],"Below College","College","Bachelor","Master","Doctor")</f>
        <v>Master</v>
      </c>
      <c r="AL1254" s="1" t="str">
        <f>CHOOSE(HR_Data[[#This Row],[JobSatisfaction]],"Low","Medium","High","Very High")</f>
        <v>Very High</v>
      </c>
      <c r="AM1254" s="1" t="str">
        <f>CHOOSE(HR_Data[[#This Row],[EnvironmentSatisfaction]],"Low","Medium","High","Very High")</f>
        <v>Very High</v>
      </c>
      <c r="AN1254" s="1" t="str">
        <f>CHOOSE(HR_Data[[#This Row],[WorkLifeBalance]],"Bad","Good","Better","Best")</f>
        <v>Better</v>
      </c>
      <c r="AO1254" s="1" t="str">
        <f>IF(HR_Data[[#This Row],[PercentSalaryHike]]&lt;=13,"11-13%",IF(HR_Data[[#This Row],[PercentSalaryHike]]&lt;=16,"14-16%",IF(HR_Data[[#This Row],[PercentSalaryHike]]&lt;=19,"17-19%","20-25%")))</f>
        <v>14-16%</v>
      </c>
      <c r="AP1254" s="1">
        <f>IF(HR_Data[[#This Row],[PercentSalaryHike]]&lt;=13,1,IF(HR_Data[[#This Row],[PercentSalaryHike]]&lt;=16,2,IF(HR_Data[[#This Row],[PercentSalaryHike]]&lt;=19,3,4)))</f>
        <v>2</v>
      </c>
      <c r="AQ1254" s="1" t="str">
        <f>IF(HR_Data[[#This Row],[DistanceFromHome]]&lt;=5,"1 to 5",IF(HR_Data[[#This Row],[DistanceFromHome]]&lt;=10,"6 to 10",IF(HR_Data[[#This Row],[DistanceFromHome]]&lt;=20,"11 to 20","21 to 29")))</f>
        <v>1 to 5</v>
      </c>
      <c r="AR1254" s="1">
        <f>IF(HR_Data[[#This Row],[DistanceFromHome]]&lt;=5,1,IF(HR_Data[[#This Row],[DistanceFromHome]]&lt;=10,2,IF(HR_Data[[#This Row],[DistanceFromHome]]&lt;=20,3,4)))</f>
        <v>1</v>
      </c>
      <c r="AS1254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254" s="1">
        <f>IF(HR_Data[[#This Row],[TotalWorkingYears]]&lt;=5,1,IF(HR_Data[[#This Row],[TotalWorkingYears]]&lt;=10,2,IF(HR_Data[[#This Row],[TotalWorkingYears]]&lt;=20,3,4)))</f>
        <v>2</v>
      </c>
    </row>
    <row r="1255" spans="1:46" x14ac:dyDescent="0.25">
      <c r="A1255">
        <v>33</v>
      </c>
      <c r="B1255" t="s">
        <v>36</v>
      </c>
      <c r="C1255" t="s">
        <v>48</v>
      </c>
      <c r="D1255" t="s">
        <v>31</v>
      </c>
      <c r="E1255">
        <v>2</v>
      </c>
      <c r="F1255">
        <v>3</v>
      </c>
      <c r="G1255" t="s">
        <v>52</v>
      </c>
      <c r="H1255">
        <v>1756</v>
      </c>
      <c r="I1255">
        <v>4</v>
      </c>
      <c r="J1255" t="s">
        <v>33</v>
      </c>
      <c r="K1255">
        <v>3</v>
      </c>
      <c r="L1255">
        <v>2</v>
      </c>
      <c r="M1255" t="s">
        <v>34</v>
      </c>
      <c r="N1255">
        <v>2</v>
      </c>
      <c r="O1255" t="s">
        <v>35</v>
      </c>
      <c r="P1255">
        <v>5147</v>
      </c>
      <c r="Q1255">
        <v>8</v>
      </c>
      <c r="R1255" t="s">
        <v>36</v>
      </c>
      <c r="S1255">
        <v>15</v>
      </c>
      <c r="T1255">
        <v>3</v>
      </c>
      <c r="U1255">
        <v>4</v>
      </c>
      <c r="V1255">
        <v>0</v>
      </c>
      <c r="W1255">
        <v>13</v>
      </c>
      <c r="X1255">
        <v>2</v>
      </c>
      <c r="Y1255">
        <v>2</v>
      </c>
      <c r="Z1255">
        <v>11</v>
      </c>
      <c r="AA1255">
        <v>7</v>
      </c>
      <c r="AB1255">
        <v>1</v>
      </c>
      <c r="AC1255">
        <v>7</v>
      </c>
      <c r="AD1255">
        <f>IF(HR_Data[[#This Row],[Attrition]]="Yes",1,0)</f>
        <v>0</v>
      </c>
      <c r="AE1255" t="str">
        <f>IF(HR_Data[[#This Row],[Age]]&lt;=25,"18-25",IF(HR_Data[[#This Row],[Age]]&lt;=35,"26-35",IF(HR_Data[[#This Row],[Age]]&lt;=45,"36-45",IF(HR_Data[[#This Row],[Age]]&lt;=55,"46-55","55+"))))</f>
        <v>26-35</v>
      </c>
      <c r="AF1255">
        <f>IF(HR_Data[[#This Row],[Age]]&lt;=25,1,IF(HR_Data[[#This Row],[Age]]&lt;=35,2,IF(HR_Data[[#This Row],[Age]]&lt;=45,3,IF(HR_Data[[#This Row],[Age]]&lt;=55,4,5))))</f>
        <v>2</v>
      </c>
      <c r="AG1255" s="1" t="str">
        <f>IF(HR_Data[[#This Row],[MonthlyIncome]]&lt;3000,"&lt;3K",IF(HR_Data[[#This Row],[MonthlyIncome]]&lt;6000,"3K-6K",IF(HR_Data[[#This Row],[MonthlyIncome]]&lt;10000,"6K-10K","10K+")))</f>
        <v>3K-6K</v>
      </c>
      <c r="AH1255" s="1">
        <f>IF(HR_Data[[#This Row],[MonthlyIncome]]&lt;3000,1,IF(HR_Data[[#This Row],[MonthlyIncome]]&lt;6000,2,IF(HR_Data[[#This Row],[MonthlyIncome]]&lt;10000,3,4)))</f>
        <v>2</v>
      </c>
      <c r="AI1255" s="1" t="str">
        <f>IF(HR_Data[[#This Row],[YearsAtCompany]]&lt;=2,"0-2 Yrs",IF(HR_Data[[#This Row],[YearsAtCompany]]&lt;=5,"3-5 Yrs",IF(HR_Data[[#This Row],[YearsAtCompany]]&lt;=10,"6-10 Yrs","10+ Yrs")))</f>
        <v>10+ Yrs</v>
      </c>
      <c r="AJ1255" s="1">
        <f>IF(HR_Data[[#This Row],[YearsAtCompany]]&lt;=2,1,IF(HR_Data[[#This Row],[YearsAtCompany]]&lt;=5,2,IF(HR_Data[[#This Row],[YearsAtCompany]]&lt;=10,3,4)))</f>
        <v>4</v>
      </c>
      <c r="AK1255" s="1" t="str">
        <f>CHOOSE(HR_Data[[#This Row],[Education]],"Below College","College","Bachelor","Master","Doctor")</f>
        <v>Bachelor</v>
      </c>
      <c r="AL1255" s="1" t="str">
        <f>CHOOSE(HR_Data[[#This Row],[JobSatisfaction]],"Low","Medium","High","Very High")</f>
        <v>Medium</v>
      </c>
      <c r="AM1255" s="1" t="str">
        <f>CHOOSE(HR_Data[[#This Row],[EnvironmentSatisfaction]],"Low","Medium","High","Very High")</f>
        <v>Very High</v>
      </c>
      <c r="AN1255" s="1" t="str">
        <f>CHOOSE(HR_Data[[#This Row],[WorkLifeBalance]],"Bad","Good","Better","Best")</f>
        <v>Good</v>
      </c>
      <c r="AO1255" s="1" t="str">
        <f>IF(HR_Data[[#This Row],[PercentSalaryHike]]&lt;=13,"11-13%",IF(HR_Data[[#This Row],[PercentSalaryHike]]&lt;=16,"14-16%",IF(HR_Data[[#This Row],[PercentSalaryHike]]&lt;=19,"17-19%","20-25%")))</f>
        <v>14-16%</v>
      </c>
      <c r="AP1255" s="1">
        <f>IF(HR_Data[[#This Row],[PercentSalaryHike]]&lt;=13,1,IF(HR_Data[[#This Row],[PercentSalaryHike]]&lt;=16,2,IF(HR_Data[[#This Row],[PercentSalaryHike]]&lt;=19,3,4)))</f>
        <v>2</v>
      </c>
      <c r="AQ1255" s="1" t="str">
        <f>IF(HR_Data[[#This Row],[DistanceFromHome]]&lt;=5,"1 to 5",IF(HR_Data[[#This Row],[DistanceFromHome]]&lt;=10,"6 to 10",IF(HR_Data[[#This Row],[DistanceFromHome]]&lt;=20,"11 to 20","21 to 29")))</f>
        <v>1 to 5</v>
      </c>
      <c r="AR1255" s="1">
        <f>IF(HR_Data[[#This Row],[DistanceFromHome]]&lt;=5,1,IF(HR_Data[[#This Row],[DistanceFromHome]]&lt;=10,2,IF(HR_Data[[#This Row],[DistanceFromHome]]&lt;=20,3,4)))</f>
        <v>1</v>
      </c>
      <c r="AS1255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255" s="1">
        <f>IF(HR_Data[[#This Row],[TotalWorkingYears]]&lt;=5,1,IF(HR_Data[[#This Row],[TotalWorkingYears]]&lt;=10,2,IF(HR_Data[[#This Row],[TotalWorkingYears]]&lt;=20,3,4)))</f>
        <v>3</v>
      </c>
    </row>
    <row r="1256" spans="1:46" x14ac:dyDescent="0.25">
      <c r="A1256">
        <v>49</v>
      </c>
      <c r="B1256" t="s">
        <v>36</v>
      </c>
      <c r="C1256" t="s">
        <v>30</v>
      </c>
      <c r="D1256" t="s">
        <v>31</v>
      </c>
      <c r="E1256">
        <v>11</v>
      </c>
      <c r="F1256">
        <v>4</v>
      </c>
      <c r="G1256" t="s">
        <v>52</v>
      </c>
      <c r="H1256">
        <v>1757</v>
      </c>
      <c r="I1256">
        <v>4</v>
      </c>
      <c r="J1256" t="s">
        <v>33</v>
      </c>
      <c r="K1256">
        <v>3</v>
      </c>
      <c r="L1256">
        <v>2</v>
      </c>
      <c r="M1256" t="s">
        <v>34</v>
      </c>
      <c r="N1256">
        <v>4</v>
      </c>
      <c r="O1256" t="s">
        <v>35</v>
      </c>
      <c r="P1256">
        <v>4507</v>
      </c>
      <c r="Q1256">
        <v>3</v>
      </c>
      <c r="R1256" t="s">
        <v>36</v>
      </c>
      <c r="S1256">
        <v>12</v>
      </c>
      <c r="T1256">
        <v>3</v>
      </c>
      <c r="U1256">
        <v>3</v>
      </c>
      <c r="V1256">
        <v>0</v>
      </c>
      <c r="W1256">
        <v>8</v>
      </c>
      <c r="X1256">
        <v>1</v>
      </c>
      <c r="Y1256">
        <v>4</v>
      </c>
      <c r="Z1256">
        <v>5</v>
      </c>
      <c r="AA1256">
        <v>1</v>
      </c>
      <c r="AB1256">
        <v>0</v>
      </c>
      <c r="AC1256">
        <v>4</v>
      </c>
      <c r="AD1256">
        <f>IF(HR_Data[[#This Row],[Attrition]]="Yes",1,0)</f>
        <v>0</v>
      </c>
      <c r="AE1256" t="str">
        <f>IF(HR_Data[[#This Row],[Age]]&lt;=25,"18-25",IF(HR_Data[[#This Row],[Age]]&lt;=35,"26-35",IF(HR_Data[[#This Row],[Age]]&lt;=45,"36-45",IF(HR_Data[[#This Row],[Age]]&lt;=55,"46-55","55+"))))</f>
        <v>46-55</v>
      </c>
      <c r="AF1256">
        <f>IF(HR_Data[[#This Row],[Age]]&lt;=25,1,IF(HR_Data[[#This Row],[Age]]&lt;=35,2,IF(HR_Data[[#This Row],[Age]]&lt;=45,3,IF(HR_Data[[#This Row],[Age]]&lt;=55,4,5))))</f>
        <v>4</v>
      </c>
      <c r="AG1256" s="1" t="str">
        <f>IF(HR_Data[[#This Row],[MonthlyIncome]]&lt;3000,"&lt;3K",IF(HR_Data[[#This Row],[MonthlyIncome]]&lt;6000,"3K-6K",IF(HR_Data[[#This Row],[MonthlyIncome]]&lt;10000,"6K-10K","10K+")))</f>
        <v>3K-6K</v>
      </c>
      <c r="AH1256" s="1">
        <f>IF(HR_Data[[#This Row],[MonthlyIncome]]&lt;3000,1,IF(HR_Data[[#This Row],[MonthlyIncome]]&lt;6000,2,IF(HR_Data[[#This Row],[MonthlyIncome]]&lt;10000,3,4)))</f>
        <v>2</v>
      </c>
      <c r="AI1256" s="1" t="str">
        <f>IF(HR_Data[[#This Row],[YearsAtCompany]]&lt;=2,"0-2 Yrs",IF(HR_Data[[#This Row],[YearsAtCompany]]&lt;=5,"3-5 Yrs",IF(HR_Data[[#This Row],[YearsAtCompany]]&lt;=10,"6-10 Yrs","10+ Yrs")))</f>
        <v>3-5 Yrs</v>
      </c>
      <c r="AJ1256" s="1">
        <f>IF(HR_Data[[#This Row],[YearsAtCompany]]&lt;=2,1,IF(HR_Data[[#This Row],[YearsAtCompany]]&lt;=5,2,IF(HR_Data[[#This Row],[YearsAtCompany]]&lt;=10,3,4)))</f>
        <v>2</v>
      </c>
      <c r="AK1256" s="1" t="str">
        <f>CHOOSE(HR_Data[[#This Row],[Education]],"Below College","College","Bachelor","Master","Doctor")</f>
        <v>Master</v>
      </c>
      <c r="AL1256" s="1" t="str">
        <f>CHOOSE(HR_Data[[#This Row],[JobSatisfaction]],"Low","Medium","High","Very High")</f>
        <v>Very High</v>
      </c>
      <c r="AM1256" s="1" t="str">
        <f>CHOOSE(HR_Data[[#This Row],[EnvironmentSatisfaction]],"Low","Medium","High","Very High")</f>
        <v>Very High</v>
      </c>
      <c r="AN1256" s="1" t="str">
        <f>CHOOSE(HR_Data[[#This Row],[WorkLifeBalance]],"Bad","Good","Better","Best")</f>
        <v>Best</v>
      </c>
      <c r="AO1256" s="1" t="str">
        <f>IF(HR_Data[[#This Row],[PercentSalaryHike]]&lt;=13,"11-13%",IF(HR_Data[[#This Row],[PercentSalaryHike]]&lt;=16,"14-16%",IF(HR_Data[[#This Row],[PercentSalaryHike]]&lt;=19,"17-19%","20-25%")))</f>
        <v>11-13%</v>
      </c>
      <c r="AP1256" s="1">
        <f>IF(HR_Data[[#This Row],[PercentSalaryHike]]&lt;=13,1,IF(HR_Data[[#This Row],[PercentSalaryHike]]&lt;=16,2,IF(HR_Data[[#This Row],[PercentSalaryHike]]&lt;=19,3,4)))</f>
        <v>1</v>
      </c>
      <c r="AQ1256" s="1" t="str">
        <f>IF(HR_Data[[#This Row],[DistanceFromHome]]&lt;=5,"1 to 5",IF(HR_Data[[#This Row],[DistanceFromHome]]&lt;=10,"6 to 10",IF(HR_Data[[#This Row],[DistanceFromHome]]&lt;=20,"11 to 20","21 to 29")))</f>
        <v>11 to 20</v>
      </c>
      <c r="AR1256" s="1">
        <f>IF(HR_Data[[#This Row],[DistanceFromHome]]&lt;=5,1,IF(HR_Data[[#This Row],[DistanceFromHome]]&lt;=10,2,IF(HR_Data[[#This Row],[DistanceFromHome]]&lt;=20,3,4)))</f>
        <v>3</v>
      </c>
      <c r="AS1256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256" s="1">
        <f>IF(HR_Data[[#This Row],[TotalWorkingYears]]&lt;=5,1,IF(HR_Data[[#This Row],[TotalWorkingYears]]&lt;=10,2,IF(HR_Data[[#This Row],[TotalWorkingYears]]&lt;=20,3,4)))</f>
        <v>2</v>
      </c>
    </row>
    <row r="1257" spans="1:46" x14ac:dyDescent="0.25">
      <c r="A1257">
        <v>33</v>
      </c>
      <c r="B1257" t="s">
        <v>29</v>
      </c>
      <c r="C1257" t="s">
        <v>30</v>
      </c>
      <c r="D1257" t="s">
        <v>31</v>
      </c>
      <c r="E1257">
        <v>16</v>
      </c>
      <c r="F1257">
        <v>3</v>
      </c>
      <c r="G1257" t="s">
        <v>32</v>
      </c>
      <c r="H1257">
        <v>1758</v>
      </c>
      <c r="I1257">
        <v>1</v>
      </c>
      <c r="J1257" t="s">
        <v>33</v>
      </c>
      <c r="K1257">
        <v>3</v>
      </c>
      <c r="L1257">
        <v>3</v>
      </c>
      <c r="M1257" t="s">
        <v>34</v>
      </c>
      <c r="N1257">
        <v>1</v>
      </c>
      <c r="O1257" t="s">
        <v>35</v>
      </c>
      <c r="P1257">
        <v>8564</v>
      </c>
      <c r="Q1257">
        <v>2</v>
      </c>
      <c r="R1257" t="s">
        <v>29</v>
      </c>
      <c r="S1257">
        <v>20</v>
      </c>
      <c r="T1257">
        <v>4</v>
      </c>
      <c r="U1257">
        <v>3</v>
      </c>
      <c r="V1257">
        <v>0</v>
      </c>
      <c r="W1257">
        <v>11</v>
      </c>
      <c r="X1257">
        <v>2</v>
      </c>
      <c r="Y1257">
        <v>2</v>
      </c>
      <c r="Z1257">
        <v>0</v>
      </c>
      <c r="AA1257">
        <v>0</v>
      </c>
      <c r="AB1257">
        <v>0</v>
      </c>
      <c r="AC1257">
        <v>0</v>
      </c>
      <c r="AD1257">
        <f>IF(HR_Data[[#This Row],[Attrition]]="Yes",1,0)</f>
        <v>1</v>
      </c>
      <c r="AE1257" t="str">
        <f>IF(HR_Data[[#This Row],[Age]]&lt;=25,"18-25",IF(HR_Data[[#This Row],[Age]]&lt;=35,"26-35",IF(HR_Data[[#This Row],[Age]]&lt;=45,"36-45",IF(HR_Data[[#This Row],[Age]]&lt;=55,"46-55","55+"))))</f>
        <v>26-35</v>
      </c>
      <c r="AF1257">
        <f>IF(HR_Data[[#This Row],[Age]]&lt;=25,1,IF(HR_Data[[#This Row],[Age]]&lt;=35,2,IF(HR_Data[[#This Row],[Age]]&lt;=45,3,IF(HR_Data[[#This Row],[Age]]&lt;=55,4,5))))</f>
        <v>2</v>
      </c>
      <c r="AG1257" s="1" t="str">
        <f>IF(HR_Data[[#This Row],[MonthlyIncome]]&lt;3000,"&lt;3K",IF(HR_Data[[#This Row],[MonthlyIncome]]&lt;6000,"3K-6K",IF(HR_Data[[#This Row],[MonthlyIncome]]&lt;10000,"6K-10K","10K+")))</f>
        <v>6K-10K</v>
      </c>
      <c r="AH1257" s="1">
        <f>IF(HR_Data[[#This Row],[MonthlyIncome]]&lt;3000,1,IF(HR_Data[[#This Row],[MonthlyIncome]]&lt;6000,2,IF(HR_Data[[#This Row],[MonthlyIncome]]&lt;10000,3,4)))</f>
        <v>3</v>
      </c>
      <c r="AI1257" s="1" t="str">
        <f>IF(HR_Data[[#This Row],[YearsAtCompany]]&lt;=2,"0-2 Yrs",IF(HR_Data[[#This Row],[YearsAtCompany]]&lt;=5,"3-5 Yrs",IF(HR_Data[[#This Row],[YearsAtCompany]]&lt;=10,"6-10 Yrs","10+ Yrs")))</f>
        <v>0-2 Yrs</v>
      </c>
      <c r="AJ1257" s="1">
        <f>IF(HR_Data[[#This Row],[YearsAtCompany]]&lt;=2,1,IF(HR_Data[[#This Row],[YearsAtCompany]]&lt;=5,2,IF(HR_Data[[#This Row],[YearsAtCompany]]&lt;=10,3,4)))</f>
        <v>1</v>
      </c>
      <c r="AK1257" s="1" t="str">
        <f>CHOOSE(HR_Data[[#This Row],[Education]],"Below College","College","Bachelor","Master","Doctor")</f>
        <v>Bachelor</v>
      </c>
      <c r="AL1257" s="1" t="str">
        <f>CHOOSE(HR_Data[[#This Row],[JobSatisfaction]],"Low","Medium","High","Very High")</f>
        <v>Low</v>
      </c>
      <c r="AM1257" s="1" t="str">
        <f>CHOOSE(HR_Data[[#This Row],[EnvironmentSatisfaction]],"Low","Medium","High","Very High")</f>
        <v>Low</v>
      </c>
      <c r="AN1257" s="1" t="str">
        <f>CHOOSE(HR_Data[[#This Row],[WorkLifeBalance]],"Bad","Good","Better","Best")</f>
        <v>Good</v>
      </c>
      <c r="AO1257" s="1" t="str">
        <f>IF(HR_Data[[#This Row],[PercentSalaryHike]]&lt;=13,"11-13%",IF(HR_Data[[#This Row],[PercentSalaryHike]]&lt;=16,"14-16%",IF(HR_Data[[#This Row],[PercentSalaryHike]]&lt;=19,"17-19%","20-25%")))</f>
        <v>20-25%</v>
      </c>
      <c r="AP1257" s="1">
        <f>IF(HR_Data[[#This Row],[PercentSalaryHike]]&lt;=13,1,IF(HR_Data[[#This Row],[PercentSalaryHike]]&lt;=16,2,IF(HR_Data[[#This Row],[PercentSalaryHike]]&lt;=19,3,4)))</f>
        <v>4</v>
      </c>
      <c r="AQ1257" s="1" t="str">
        <f>IF(HR_Data[[#This Row],[DistanceFromHome]]&lt;=5,"1 to 5",IF(HR_Data[[#This Row],[DistanceFromHome]]&lt;=10,"6 to 10",IF(HR_Data[[#This Row],[DistanceFromHome]]&lt;=20,"11 to 20","21 to 29")))</f>
        <v>11 to 20</v>
      </c>
      <c r="AR1257" s="1">
        <f>IF(HR_Data[[#This Row],[DistanceFromHome]]&lt;=5,1,IF(HR_Data[[#This Row],[DistanceFromHome]]&lt;=10,2,IF(HR_Data[[#This Row],[DistanceFromHome]]&lt;=20,3,4)))</f>
        <v>3</v>
      </c>
      <c r="AS1257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257" s="1">
        <f>IF(HR_Data[[#This Row],[TotalWorkingYears]]&lt;=5,1,IF(HR_Data[[#This Row],[TotalWorkingYears]]&lt;=10,2,IF(HR_Data[[#This Row],[TotalWorkingYears]]&lt;=20,3,4)))</f>
        <v>3</v>
      </c>
    </row>
    <row r="1258" spans="1:46" x14ac:dyDescent="0.25">
      <c r="A1258">
        <v>38</v>
      </c>
      <c r="B1258" t="s">
        <v>36</v>
      </c>
      <c r="C1258" t="s">
        <v>37</v>
      </c>
      <c r="D1258" t="s">
        <v>38</v>
      </c>
      <c r="E1258">
        <v>2</v>
      </c>
      <c r="F1258">
        <v>2</v>
      </c>
      <c r="G1258" t="s">
        <v>44</v>
      </c>
      <c r="H1258">
        <v>1760</v>
      </c>
      <c r="I1258">
        <v>3</v>
      </c>
      <c r="J1258" t="s">
        <v>33</v>
      </c>
      <c r="K1258">
        <v>2</v>
      </c>
      <c r="L1258">
        <v>1</v>
      </c>
      <c r="M1258" t="s">
        <v>43</v>
      </c>
      <c r="N1258">
        <v>2</v>
      </c>
      <c r="O1258" t="s">
        <v>41</v>
      </c>
      <c r="P1258">
        <v>2468</v>
      </c>
      <c r="Q1258">
        <v>4</v>
      </c>
      <c r="R1258" t="s">
        <v>36</v>
      </c>
      <c r="S1258">
        <v>14</v>
      </c>
      <c r="T1258">
        <v>3</v>
      </c>
      <c r="U1258">
        <v>2</v>
      </c>
      <c r="V1258">
        <v>1</v>
      </c>
      <c r="W1258">
        <v>9</v>
      </c>
      <c r="X1258">
        <v>4</v>
      </c>
      <c r="Y1258">
        <v>2</v>
      </c>
      <c r="Z1258">
        <v>6</v>
      </c>
      <c r="AA1258">
        <v>1</v>
      </c>
      <c r="AB1258">
        <v>0</v>
      </c>
      <c r="AC1258">
        <v>5</v>
      </c>
      <c r="AD1258">
        <f>IF(HR_Data[[#This Row],[Attrition]]="Yes",1,0)</f>
        <v>0</v>
      </c>
      <c r="AE1258" t="str">
        <f>IF(HR_Data[[#This Row],[Age]]&lt;=25,"18-25",IF(HR_Data[[#This Row],[Age]]&lt;=35,"26-35",IF(HR_Data[[#This Row],[Age]]&lt;=45,"36-45",IF(HR_Data[[#This Row],[Age]]&lt;=55,"46-55","55+"))))</f>
        <v>36-45</v>
      </c>
      <c r="AF1258">
        <f>IF(HR_Data[[#This Row],[Age]]&lt;=25,1,IF(HR_Data[[#This Row],[Age]]&lt;=35,2,IF(HR_Data[[#This Row],[Age]]&lt;=45,3,IF(HR_Data[[#This Row],[Age]]&lt;=55,4,5))))</f>
        <v>3</v>
      </c>
      <c r="AG1258" s="1" t="str">
        <f>IF(HR_Data[[#This Row],[MonthlyIncome]]&lt;3000,"&lt;3K",IF(HR_Data[[#This Row],[MonthlyIncome]]&lt;6000,"3K-6K",IF(HR_Data[[#This Row],[MonthlyIncome]]&lt;10000,"6K-10K","10K+")))</f>
        <v>&lt;3K</v>
      </c>
      <c r="AH1258" s="1">
        <f>IF(HR_Data[[#This Row],[MonthlyIncome]]&lt;3000,1,IF(HR_Data[[#This Row],[MonthlyIncome]]&lt;6000,2,IF(HR_Data[[#This Row],[MonthlyIncome]]&lt;10000,3,4)))</f>
        <v>1</v>
      </c>
      <c r="AI1258" s="1" t="str">
        <f>IF(HR_Data[[#This Row],[YearsAtCompany]]&lt;=2,"0-2 Yrs",IF(HR_Data[[#This Row],[YearsAtCompany]]&lt;=5,"3-5 Yrs",IF(HR_Data[[#This Row],[YearsAtCompany]]&lt;=10,"6-10 Yrs","10+ Yrs")))</f>
        <v>6-10 Yrs</v>
      </c>
      <c r="AJ1258" s="1">
        <f>IF(HR_Data[[#This Row],[YearsAtCompany]]&lt;=2,1,IF(HR_Data[[#This Row],[YearsAtCompany]]&lt;=5,2,IF(HR_Data[[#This Row],[YearsAtCompany]]&lt;=10,3,4)))</f>
        <v>3</v>
      </c>
      <c r="AK1258" s="1" t="str">
        <f>CHOOSE(HR_Data[[#This Row],[Education]],"Below College","College","Bachelor","Master","Doctor")</f>
        <v>College</v>
      </c>
      <c r="AL1258" s="1" t="str">
        <f>CHOOSE(HR_Data[[#This Row],[JobSatisfaction]],"Low","Medium","High","Very High")</f>
        <v>Medium</v>
      </c>
      <c r="AM1258" s="1" t="str">
        <f>CHOOSE(HR_Data[[#This Row],[EnvironmentSatisfaction]],"Low","Medium","High","Very High")</f>
        <v>High</v>
      </c>
      <c r="AN1258" s="1" t="str">
        <f>CHOOSE(HR_Data[[#This Row],[WorkLifeBalance]],"Bad","Good","Better","Best")</f>
        <v>Good</v>
      </c>
      <c r="AO1258" s="1" t="str">
        <f>IF(HR_Data[[#This Row],[PercentSalaryHike]]&lt;=13,"11-13%",IF(HR_Data[[#This Row],[PercentSalaryHike]]&lt;=16,"14-16%",IF(HR_Data[[#This Row],[PercentSalaryHike]]&lt;=19,"17-19%","20-25%")))</f>
        <v>14-16%</v>
      </c>
      <c r="AP1258" s="1">
        <f>IF(HR_Data[[#This Row],[PercentSalaryHike]]&lt;=13,1,IF(HR_Data[[#This Row],[PercentSalaryHike]]&lt;=16,2,IF(HR_Data[[#This Row],[PercentSalaryHike]]&lt;=19,3,4)))</f>
        <v>2</v>
      </c>
      <c r="AQ1258" s="1" t="str">
        <f>IF(HR_Data[[#This Row],[DistanceFromHome]]&lt;=5,"1 to 5",IF(HR_Data[[#This Row],[DistanceFromHome]]&lt;=10,"6 to 10",IF(HR_Data[[#This Row],[DistanceFromHome]]&lt;=20,"11 to 20","21 to 29")))</f>
        <v>1 to 5</v>
      </c>
      <c r="AR1258" s="1">
        <f>IF(HR_Data[[#This Row],[DistanceFromHome]]&lt;=5,1,IF(HR_Data[[#This Row],[DistanceFromHome]]&lt;=10,2,IF(HR_Data[[#This Row],[DistanceFromHome]]&lt;=20,3,4)))</f>
        <v>1</v>
      </c>
      <c r="AS1258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258" s="1">
        <f>IF(HR_Data[[#This Row],[TotalWorkingYears]]&lt;=5,1,IF(HR_Data[[#This Row],[TotalWorkingYears]]&lt;=10,2,IF(HR_Data[[#This Row],[TotalWorkingYears]]&lt;=20,3,4)))</f>
        <v>2</v>
      </c>
    </row>
    <row r="1259" spans="1:46" x14ac:dyDescent="0.25">
      <c r="A1259">
        <v>31</v>
      </c>
      <c r="B1259" t="s">
        <v>29</v>
      </c>
      <c r="C1259" t="s">
        <v>30</v>
      </c>
      <c r="D1259" t="s">
        <v>31</v>
      </c>
      <c r="E1259">
        <v>16</v>
      </c>
      <c r="F1259">
        <v>4</v>
      </c>
      <c r="G1259" t="s">
        <v>52</v>
      </c>
      <c r="H1259">
        <v>1761</v>
      </c>
      <c r="I1259">
        <v>1</v>
      </c>
      <c r="J1259" t="s">
        <v>39</v>
      </c>
      <c r="K1259">
        <v>3</v>
      </c>
      <c r="L1259">
        <v>3</v>
      </c>
      <c r="M1259" t="s">
        <v>34</v>
      </c>
      <c r="N1259">
        <v>3</v>
      </c>
      <c r="O1259" t="s">
        <v>41</v>
      </c>
      <c r="P1259">
        <v>8161</v>
      </c>
      <c r="Q1259">
        <v>2</v>
      </c>
      <c r="R1259" t="s">
        <v>36</v>
      </c>
      <c r="S1259">
        <v>13</v>
      </c>
      <c r="T1259">
        <v>3</v>
      </c>
      <c r="U1259">
        <v>1</v>
      </c>
      <c r="V1259">
        <v>3</v>
      </c>
      <c r="W1259">
        <v>10</v>
      </c>
      <c r="X1259">
        <v>2</v>
      </c>
      <c r="Y1259">
        <v>3</v>
      </c>
      <c r="Z1259">
        <v>1</v>
      </c>
      <c r="AA1259">
        <v>0</v>
      </c>
      <c r="AB1259">
        <v>0</v>
      </c>
      <c r="AC1259">
        <v>0</v>
      </c>
      <c r="AD1259">
        <f>IF(HR_Data[[#This Row],[Attrition]]="Yes",1,0)</f>
        <v>1</v>
      </c>
      <c r="AE1259" t="str">
        <f>IF(HR_Data[[#This Row],[Age]]&lt;=25,"18-25",IF(HR_Data[[#This Row],[Age]]&lt;=35,"26-35",IF(HR_Data[[#This Row],[Age]]&lt;=45,"36-45",IF(HR_Data[[#This Row],[Age]]&lt;=55,"46-55","55+"))))</f>
        <v>26-35</v>
      </c>
      <c r="AF1259">
        <f>IF(HR_Data[[#This Row],[Age]]&lt;=25,1,IF(HR_Data[[#This Row],[Age]]&lt;=35,2,IF(HR_Data[[#This Row],[Age]]&lt;=45,3,IF(HR_Data[[#This Row],[Age]]&lt;=55,4,5))))</f>
        <v>2</v>
      </c>
      <c r="AG1259" s="1" t="str">
        <f>IF(HR_Data[[#This Row],[MonthlyIncome]]&lt;3000,"&lt;3K",IF(HR_Data[[#This Row],[MonthlyIncome]]&lt;6000,"3K-6K",IF(HR_Data[[#This Row],[MonthlyIncome]]&lt;10000,"6K-10K","10K+")))</f>
        <v>6K-10K</v>
      </c>
      <c r="AH1259" s="1">
        <f>IF(HR_Data[[#This Row],[MonthlyIncome]]&lt;3000,1,IF(HR_Data[[#This Row],[MonthlyIncome]]&lt;6000,2,IF(HR_Data[[#This Row],[MonthlyIncome]]&lt;10000,3,4)))</f>
        <v>3</v>
      </c>
      <c r="AI1259" s="1" t="str">
        <f>IF(HR_Data[[#This Row],[YearsAtCompany]]&lt;=2,"0-2 Yrs",IF(HR_Data[[#This Row],[YearsAtCompany]]&lt;=5,"3-5 Yrs",IF(HR_Data[[#This Row],[YearsAtCompany]]&lt;=10,"6-10 Yrs","10+ Yrs")))</f>
        <v>0-2 Yrs</v>
      </c>
      <c r="AJ1259" s="1">
        <f>IF(HR_Data[[#This Row],[YearsAtCompany]]&lt;=2,1,IF(HR_Data[[#This Row],[YearsAtCompany]]&lt;=5,2,IF(HR_Data[[#This Row],[YearsAtCompany]]&lt;=10,3,4)))</f>
        <v>1</v>
      </c>
      <c r="AK1259" s="1" t="str">
        <f>CHOOSE(HR_Data[[#This Row],[Education]],"Below College","College","Bachelor","Master","Doctor")</f>
        <v>Master</v>
      </c>
      <c r="AL1259" s="1" t="str">
        <f>CHOOSE(HR_Data[[#This Row],[JobSatisfaction]],"Low","Medium","High","Very High")</f>
        <v>High</v>
      </c>
      <c r="AM1259" s="1" t="str">
        <f>CHOOSE(HR_Data[[#This Row],[EnvironmentSatisfaction]],"Low","Medium","High","Very High")</f>
        <v>Low</v>
      </c>
      <c r="AN1259" s="1" t="str">
        <f>CHOOSE(HR_Data[[#This Row],[WorkLifeBalance]],"Bad","Good","Better","Best")</f>
        <v>Better</v>
      </c>
      <c r="AO1259" s="1" t="str">
        <f>IF(HR_Data[[#This Row],[PercentSalaryHike]]&lt;=13,"11-13%",IF(HR_Data[[#This Row],[PercentSalaryHike]]&lt;=16,"14-16%",IF(HR_Data[[#This Row],[PercentSalaryHike]]&lt;=19,"17-19%","20-25%")))</f>
        <v>11-13%</v>
      </c>
      <c r="AP1259" s="1">
        <f>IF(HR_Data[[#This Row],[PercentSalaryHike]]&lt;=13,1,IF(HR_Data[[#This Row],[PercentSalaryHike]]&lt;=16,2,IF(HR_Data[[#This Row],[PercentSalaryHike]]&lt;=19,3,4)))</f>
        <v>1</v>
      </c>
      <c r="AQ1259" s="1" t="str">
        <f>IF(HR_Data[[#This Row],[DistanceFromHome]]&lt;=5,"1 to 5",IF(HR_Data[[#This Row],[DistanceFromHome]]&lt;=10,"6 to 10",IF(HR_Data[[#This Row],[DistanceFromHome]]&lt;=20,"11 to 20","21 to 29")))</f>
        <v>11 to 20</v>
      </c>
      <c r="AR1259" s="1">
        <f>IF(HR_Data[[#This Row],[DistanceFromHome]]&lt;=5,1,IF(HR_Data[[#This Row],[DistanceFromHome]]&lt;=10,2,IF(HR_Data[[#This Row],[DistanceFromHome]]&lt;=20,3,4)))</f>
        <v>3</v>
      </c>
      <c r="AS1259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259" s="1">
        <f>IF(HR_Data[[#This Row],[TotalWorkingYears]]&lt;=5,1,IF(HR_Data[[#This Row],[TotalWorkingYears]]&lt;=10,2,IF(HR_Data[[#This Row],[TotalWorkingYears]]&lt;=20,3,4)))</f>
        <v>2</v>
      </c>
    </row>
    <row r="1260" spans="1:46" x14ac:dyDescent="0.25">
      <c r="A1260">
        <v>29</v>
      </c>
      <c r="B1260" t="s">
        <v>36</v>
      </c>
      <c r="C1260" t="s">
        <v>30</v>
      </c>
      <c r="D1260" t="s">
        <v>38</v>
      </c>
      <c r="E1260">
        <v>4</v>
      </c>
      <c r="F1260">
        <v>3</v>
      </c>
      <c r="G1260" t="s">
        <v>53</v>
      </c>
      <c r="H1260">
        <v>1762</v>
      </c>
      <c r="I1260">
        <v>4</v>
      </c>
      <c r="J1260" t="s">
        <v>33</v>
      </c>
      <c r="K1260">
        <v>2</v>
      </c>
      <c r="L1260">
        <v>1</v>
      </c>
      <c r="M1260" t="s">
        <v>40</v>
      </c>
      <c r="N1260">
        <v>1</v>
      </c>
      <c r="O1260" t="s">
        <v>45</v>
      </c>
      <c r="P1260">
        <v>2109</v>
      </c>
      <c r="Q1260">
        <v>1</v>
      </c>
      <c r="R1260" t="s">
        <v>36</v>
      </c>
      <c r="S1260">
        <v>13</v>
      </c>
      <c r="T1260">
        <v>3</v>
      </c>
      <c r="U1260">
        <v>3</v>
      </c>
      <c r="V1260">
        <v>1</v>
      </c>
      <c r="W1260">
        <v>1</v>
      </c>
      <c r="X1260">
        <v>2</v>
      </c>
      <c r="Y1260">
        <v>3</v>
      </c>
      <c r="Z1260">
        <v>1</v>
      </c>
      <c r="AA1260">
        <v>0</v>
      </c>
      <c r="AB1260">
        <v>0</v>
      </c>
      <c r="AC1260">
        <v>0</v>
      </c>
      <c r="AD1260">
        <f>IF(HR_Data[[#This Row],[Attrition]]="Yes",1,0)</f>
        <v>0</v>
      </c>
      <c r="AE1260" t="str">
        <f>IF(HR_Data[[#This Row],[Age]]&lt;=25,"18-25",IF(HR_Data[[#This Row],[Age]]&lt;=35,"26-35",IF(HR_Data[[#This Row],[Age]]&lt;=45,"36-45",IF(HR_Data[[#This Row],[Age]]&lt;=55,"46-55","55+"))))</f>
        <v>26-35</v>
      </c>
      <c r="AF1260">
        <f>IF(HR_Data[[#This Row],[Age]]&lt;=25,1,IF(HR_Data[[#This Row],[Age]]&lt;=35,2,IF(HR_Data[[#This Row],[Age]]&lt;=45,3,IF(HR_Data[[#This Row],[Age]]&lt;=55,4,5))))</f>
        <v>2</v>
      </c>
      <c r="AG1260" s="1" t="str">
        <f>IF(HR_Data[[#This Row],[MonthlyIncome]]&lt;3000,"&lt;3K",IF(HR_Data[[#This Row],[MonthlyIncome]]&lt;6000,"3K-6K",IF(HR_Data[[#This Row],[MonthlyIncome]]&lt;10000,"6K-10K","10K+")))</f>
        <v>&lt;3K</v>
      </c>
      <c r="AH1260" s="1">
        <f>IF(HR_Data[[#This Row],[MonthlyIncome]]&lt;3000,1,IF(HR_Data[[#This Row],[MonthlyIncome]]&lt;6000,2,IF(HR_Data[[#This Row],[MonthlyIncome]]&lt;10000,3,4)))</f>
        <v>1</v>
      </c>
      <c r="AI1260" s="1" t="str">
        <f>IF(HR_Data[[#This Row],[YearsAtCompany]]&lt;=2,"0-2 Yrs",IF(HR_Data[[#This Row],[YearsAtCompany]]&lt;=5,"3-5 Yrs",IF(HR_Data[[#This Row],[YearsAtCompany]]&lt;=10,"6-10 Yrs","10+ Yrs")))</f>
        <v>0-2 Yrs</v>
      </c>
      <c r="AJ1260" s="1">
        <f>IF(HR_Data[[#This Row],[YearsAtCompany]]&lt;=2,1,IF(HR_Data[[#This Row],[YearsAtCompany]]&lt;=5,2,IF(HR_Data[[#This Row],[YearsAtCompany]]&lt;=10,3,4)))</f>
        <v>1</v>
      </c>
      <c r="AK1260" s="1" t="str">
        <f>CHOOSE(HR_Data[[#This Row],[Education]],"Below College","College","Bachelor","Master","Doctor")</f>
        <v>Bachelor</v>
      </c>
      <c r="AL1260" s="1" t="str">
        <f>CHOOSE(HR_Data[[#This Row],[JobSatisfaction]],"Low","Medium","High","Very High")</f>
        <v>Low</v>
      </c>
      <c r="AM1260" s="1" t="str">
        <f>CHOOSE(HR_Data[[#This Row],[EnvironmentSatisfaction]],"Low","Medium","High","Very High")</f>
        <v>Very High</v>
      </c>
      <c r="AN1260" s="1" t="str">
        <f>CHOOSE(HR_Data[[#This Row],[WorkLifeBalance]],"Bad","Good","Better","Best")</f>
        <v>Better</v>
      </c>
      <c r="AO1260" s="1" t="str">
        <f>IF(HR_Data[[#This Row],[PercentSalaryHike]]&lt;=13,"11-13%",IF(HR_Data[[#This Row],[PercentSalaryHike]]&lt;=16,"14-16%",IF(HR_Data[[#This Row],[PercentSalaryHike]]&lt;=19,"17-19%","20-25%")))</f>
        <v>11-13%</v>
      </c>
      <c r="AP1260" s="1">
        <f>IF(HR_Data[[#This Row],[PercentSalaryHike]]&lt;=13,1,IF(HR_Data[[#This Row],[PercentSalaryHike]]&lt;=16,2,IF(HR_Data[[#This Row],[PercentSalaryHike]]&lt;=19,3,4)))</f>
        <v>1</v>
      </c>
      <c r="AQ1260" s="1" t="str">
        <f>IF(HR_Data[[#This Row],[DistanceFromHome]]&lt;=5,"1 to 5",IF(HR_Data[[#This Row],[DistanceFromHome]]&lt;=10,"6 to 10",IF(HR_Data[[#This Row],[DistanceFromHome]]&lt;=20,"11 to 20","21 to 29")))</f>
        <v>1 to 5</v>
      </c>
      <c r="AR1260" s="1">
        <f>IF(HR_Data[[#This Row],[DistanceFromHome]]&lt;=5,1,IF(HR_Data[[#This Row],[DistanceFromHome]]&lt;=10,2,IF(HR_Data[[#This Row],[DistanceFromHome]]&lt;=20,3,4)))</f>
        <v>1</v>
      </c>
      <c r="AS1260" s="1" t="str">
        <f>IF(HR_Data[[#This Row],[TotalWorkingYears]]&lt;=5,"0-5 Yrs",IF(HR_Data[[#This Row],[TotalWorkingYears]]&lt;=10,"6-10 Yrs",IF(HR_Data[[#This Row],[TotalWorkingYears]]&lt;=20,"11-20 Yrs","20+ Yrs")))</f>
        <v>0-5 Yrs</v>
      </c>
      <c r="AT1260" s="1">
        <f>IF(HR_Data[[#This Row],[TotalWorkingYears]]&lt;=5,1,IF(HR_Data[[#This Row],[TotalWorkingYears]]&lt;=10,2,IF(HR_Data[[#This Row],[TotalWorkingYears]]&lt;=20,3,4)))</f>
        <v>1</v>
      </c>
    </row>
    <row r="1261" spans="1:46" x14ac:dyDescent="0.25">
      <c r="A1261">
        <v>30</v>
      </c>
      <c r="B1261" t="s">
        <v>36</v>
      </c>
      <c r="C1261" t="s">
        <v>30</v>
      </c>
      <c r="D1261" t="s">
        <v>38</v>
      </c>
      <c r="E1261">
        <v>16</v>
      </c>
      <c r="F1261">
        <v>3</v>
      </c>
      <c r="G1261" t="s">
        <v>32</v>
      </c>
      <c r="H1261">
        <v>1763</v>
      </c>
      <c r="I1261">
        <v>3</v>
      </c>
      <c r="J1261" t="s">
        <v>39</v>
      </c>
      <c r="K1261">
        <v>4</v>
      </c>
      <c r="L1261">
        <v>2</v>
      </c>
      <c r="M1261" t="s">
        <v>47</v>
      </c>
      <c r="N1261">
        <v>3</v>
      </c>
      <c r="O1261" t="s">
        <v>41</v>
      </c>
      <c r="P1261">
        <v>5294</v>
      </c>
      <c r="Q1261">
        <v>3</v>
      </c>
      <c r="R1261" t="s">
        <v>36</v>
      </c>
      <c r="S1261">
        <v>16</v>
      </c>
      <c r="T1261">
        <v>3</v>
      </c>
      <c r="U1261">
        <v>3</v>
      </c>
      <c r="V1261">
        <v>1</v>
      </c>
      <c r="W1261">
        <v>10</v>
      </c>
      <c r="X1261">
        <v>3</v>
      </c>
      <c r="Y1261">
        <v>3</v>
      </c>
      <c r="Z1261">
        <v>7</v>
      </c>
      <c r="AA1261">
        <v>0</v>
      </c>
      <c r="AB1261">
        <v>1</v>
      </c>
      <c r="AC1261">
        <v>7</v>
      </c>
      <c r="AD1261">
        <f>IF(HR_Data[[#This Row],[Attrition]]="Yes",1,0)</f>
        <v>0</v>
      </c>
      <c r="AE1261" t="str">
        <f>IF(HR_Data[[#This Row],[Age]]&lt;=25,"18-25",IF(HR_Data[[#This Row],[Age]]&lt;=35,"26-35",IF(HR_Data[[#This Row],[Age]]&lt;=45,"36-45",IF(HR_Data[[#This Row],[Age]]&lt;=55,"46-55","55+"))))</f>
        <v>26-35</v>
      </c>
      <c r="AF1261">
        <f>IF(HR_Data[[#This Row],[Age]]&lt;=25,1,IF(HR_Data[[#This Row],[Age]]&lt;=35,2,IF(HR_Data[[#This Row],[Age]]&lt;=45,3,IF(HR_Data[[#This Row],[Age]]&lt;=55,4,5))))</f>
        <v>2</v>
      </c>
      <c r="AG1261" s="1" t="str">
        <f>IF(HR_Data[[#This Row],[MonthlyIncome]]&lt;3000,"&lt;3K",IF(HR_Data[[#This Row],[MonthlyIncome]]&lt;6000,"3K-6K",IF(HR_Data[[#This Row],[MonthlyIncome]]&lt;10000,"6K-10K","10K+")))</f>
        <v>3K-6K</v>
      </c>
      <c r="AH1261" s="1">
        <f>IF(HR_Data[[#This Row],[MonthlyIncome]]&lt;3000,1,IF(HR_Data[[#This Row],[MonthlyIncome]]&lt;6000,2,IF(HR_Data[[#This Row],[MonthlyIncome]]&lt;10000,3,4)))</f>
        <v>2</v>
      </c>
      <c r="AI1261" s="1" t="str">
        <f>IF(HR_Data[[#This Row],[YearsAtCompany]]&lt;=2,"0-2 Yrs",IF(HR_Data[[#This Row],[YearsAtCompany]]&lt;=5,"3-5 Yrs",IF(HR_Data[[#This Row],[YearsAtCompany]]&lt;=10,"6-10 Yrs","10+ Yrs")))</f>
        <v>6-10 Yrs</v>
      </c>
      <c r="AJ1261" s="1">
        <f>IF(HR_Data[[#This Row],[YearsAtCompany]]&lt;=2,1,IF(HR_Data[[#This Row],[YearsAtCompany]]&lt;=5,2,IF(HR_Data[[#This Row],[YearsAtCompany]]&lt;=10,3,4)))</f>
        <v>3</v>
      </c>
      <c r="AK1261" s="1" t="str">
        <f>CHOOSE(HR_Data[[#This Row],[Education]],"Below College","College","Bachelor","Master","Doctor")</f>
        <v>Bachelor</v>
      </c>
      <c r="AL1261" s="1" t="str">
        <f>CHOOSE(HR_Data[[#This Row],[JobSatisfaction]],"Low","Medium","High","Very High")</f>
        <v>High</v>
      </c>
      <c r="AM1261" s="1" t="str">
        <f>CHOOSE(HR_Data[[#This Row],[EnvironmentSatisfaction]],"Low","Medium","High","Very High")</f>
        <v>High</v>
      </c>
      <c r="AN1261" s="1" t="str">
        <f>CHOOSE(HR_Data[[#This Row],[WorkLifeBalance]],"Bad","Good","Better","Best")</f>
        <v>Better</v>
      </c>
      <c r="AO1261" s="1" t="str">
        <f>IF(HR_Data[[#This Row],[PercentSalaryHike]]&lt;=13,"11-13%",IF(HR_Data[[#This Row],[PercentSalaryHike]]&lt;=16,"14-16%",IF(HR_Data[[#This Row],[PercentSalaryHike]]&lt;=19,"17-19%","20-25%")))</f>
        <v>14-16%</v>
      </c>
      <c r="AP1261" s="1">
        <f>IF(HR_Data[[#This Row],[PercentSalaryHike]]&lt;=13,1,IF(HR_Data[[#This Row],[PercentSalaryHike]]&lt;=16,2,IF(HR_Data[[#This Row],[PercentSalaryHike]]&lt;=19,3,4)))</f>
        <v>2</v>
      </c>
      <c r="AQ1261" s="1" t="str">
        <f>IF(HR_Data[[#This Row],[DistanceFromHome]]&lt;=5,"1 to 5",IF(HR_Data[[#This Row],[DistanceFromHome]]&lt;=10,"6 to 10",IF(HR_Data[[#This Row],[DistanceFromHome]]&lt;=20,"11 to 20","21 to 29")))</f>
        <v>11 to 20</v>
      </c>
      <c r="AR1261" s="1">
        <f>IF(HR_Data[[#This Row],[DistanceFromHome]]&lt;=5,1,IF(HR_Data[[#This Row],[DistanceFromHome]]&lt;=10,2,IF(HR_Data[[#This Row],[DistanceFromHome]]&lt;=20,3,4)))</f>
        <v>3</v>
      </c>
      <c r="AS1261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261" s="1">
        <f>IF(HR_Data[[#This Row],[TotalWorkingYears]]&lt;=5,1,IF(HR_Data[[#This Row],[TotalWorkingYears]]&lt;=10,2,IF(HR_Data[[#This Row],[TotalWorkingYears]]&lt;=20,3,4)))</f>
        <v>2</v>
      </c>
    </row>
    <row r="1262" spans="1:46" x14ac:dyDescent="0.25">
      <c r="A1262">
        <v>32</v>
      </c>
      <c r="B1262" t="s">
        <v>36</v>
      </c>
      <c r="C1262" t="s">
        <v>48</v>
      </c>
      <c r="D1262" t="s">
        <v>38</v>
      </c>
      <c r="E1262">
        <v>5</v>
      </c>
      <c r="F1262">
        <v>4</v>
      </c>
      <c r="G1262" t="s">
        <v>53</v>
      </c>
      <c r="H1262">
        <v>1764</v>
      </c>
      <c r="I1262">
        <v>2</v>
      </c>
      <c r="J1262" t="s">
        <v>39</v>
      </c>
      <c r="K1262">
        <v>3</v>
      </c>
      <c r="L1262">
        <v>1</v>
      </c>
      <c r="M1262" t="s">
        <v>40</v>
      </c>
      <c r="N1262">
        <v>2</v>
      </c>
      <c r="O1262" t="s">
        <v>35</v>
      </c>
      <c r="P1262">
        <v>2718</v>
      </c>
      <c r="Q1262">
        <v>2</v>
      </c>
      <c r="R1262" t="s">
        <v>36</v>
      </c>
      <c r="S1262">
        <v>14</v>
      </c>
      <c r="T1262">
        <v>3</v>
      </c>
      <c r="U1262">
        <v>2</v>
      </c>
      <c r="V1262">
        <v>0</v>
      </c>
      <c r="W1262">
        <v>12</v>
      </c>
      <c r="X1262">
        <v>3</v>
      </c>
      <c r="Y1262">
        <v>3</v>
      </c>
      <c r="Z1262">
        <v>7</v>
      </c>
      <c r="AA1262">
        <v>7</v>
      </c>
      <c r="AB1262">
        <v>0</v>
      </c>
      <c r="AC1262">
        <v>7</v>
      </c>
      <c r="AD1262">
        <f>IF(HR_Data[[#This Row],[Attrition]]="Yes",1,0)</f>
        <v>0</v>
      </c>
      <c r="AE1262" t="str">
        <f>IF(HR_Data[[#This Row],[Age]]&lt;=25,"18-25",IF(HR_Data[[#This Row],[Age]]&lt;=35,"26-35",IF(HR_Data[[#This Row],[Age]]&lt;=45,"36-45",IF(HR_Data[[#This Row],[Age]]&lt;=55,"46-55","55+"))))</f>
        <v>26-35</v>
      </c>
      <c r="AF1262">
        <f>IF(HR_Data[[#This Row],[Age]]&lt;=25,1,IF(HR_Data[[#This Row],[Age]]&lt;=35,2,IF(HR_Data[[#This Row],[Age]]&lt;=45,3,IF(HR_Data[[#This Row],[Age]]&lt;=55,4,5))))</f>
        <v>2</v>
      </c>
      <c r="AG1262" s="1" t="str">
        <f>IF(HR_Data[[#This Row],[MonthlyIncome]]&lt;3000,"&lt;3K",IF(HR_Data[[#This Row],[MonthlyIncome]]&lt;6000,"3K-6K",IF(HR_Data[[#This Row],[MonthlyIncome]]&lt;10000,"6K-10K","10K+")))</f>
        <v>&lt;3K</v>
      </c>
      <c r="AH1262" s="1">
        <f>IF(HR_Data[[#This Row],[MonthlyIncome]]&lt;3000,1,IF(HR_Data[[#This Row],[MonthlyIncome]]&lt;6000,2,IF(HR_Data[[#This Row],[MonthlyIncome]]&lt;10000,3,4)))</f>
        <v>1</v>
      </c>
      <c r="AI1262" s="1" t="str">
        <f>IF(HR_Data[[#This Row],[YearsAtCompany]]&lt;=2,"0-2 Yrs",IF(HR_Data[[#This Row],[YearsAtCompany]]&lt;=5,"3-5 Yrs",IF(HR_Data[[#This Row],[YearsAtCompany]]&lt;=10,"6-10 Yrs","10+ Yrs")))</f>
        <v>6-10 Yrs</v>
      </c>
      <c r="AJ1262" s="1">
        <f>IF(HR_Data[[#This Row],[YearsAtCompany]]&lt;=2,1,IF(HR_Data[[#This Row],[YearsAtCompany]]&lt;=5,2,IF(HR_Data[[#This Row],[YearsAtCompany]]&lt;=10,3,4)))</f>
        <v>3</v>
      </c>
      <c r="AK1262" s="1" t="str">
        <f>CHOOSE(HR_Data[[#This Row],[Education]],"Below College","College","Bachelor","Master","Doctor")</f>
        <v>Master</v>
      </c>
      <c r="AL1262" s="1" t="str">
        <f>CHOOSE(HR_Data[[#This Row],[JobSatisfaction]],"Low","Medium","High","Very High")</f>
        <v>Medium</v>
      </c>
      <c r="AM1262" s="1" t="str">
        <f>CHOOSE(HR_Data[[#This Row],[EnvironmentSatisfaction]],"Low","Medium","High","Very High")</f>
        <v>Medium</v>
      </c>
      <c r="AN1262" s="1" t="str">
        <f>CHOOSE(HR_Data[[#This Row],[WorkLifeBalance]],"Bad","Good","Better","Best")</f>
        <v>Better</v>
      </c>
      <c r="AO1262" s="1" t="str">
        <f>IF(HR_Data[[#This Row],[PercentSalaryHike]]&lt;=13,"11-13%",IF(HR_Data[[#This Row],[PercentSalaryHike]]&lt;=16,"14-16%",IF(HR_Data[[#This Row],[PercentSalaryHike]]&lt;=19,"17-19%","20-25%")))</f>
        <v>14-16%</v>
      </c>
      <c r="AP1262" s="1">
        <f>IF(HR_Data[[#This Row],[PercentSalaryHike]]&lt;=13,1,IF(HR_Data[[#This Row],[PercentSalaryHike]]&lt;=16,2,IF(HR_Data[[#This Row],[PercentSalaryHike]]&lt;=19,3,4)))</f>
        <v>2</v>
      </c>
      <c r="AQ1262" s="1" t="str">
        <f>IF(HR_Data[[#This Row],[DistanceFromHome]]&lt;=5,"1 to 5",IF(HR_Data[[#This Row],[DistanceFromHome]]&lt;=10,"6 to 10",IF(HR_Data[[#This Row],[DistanceFromHome]]&lt;=20,"11 to 20","21 to 29")))</f>
        <v>1 to 5</v>
      </c>
      <c r="AR1262" s="1">
        <f>IF(HR_Data[[#This Row],[DistanceFromHome]]&lt;=5,1,IF(HR_Data[[#This Row],[DistanceFromHome]]&lt;=10,2,IF(HR_Data[[#This Row],[DistanceFromHome]]&lt;=20,3,4)))</f>
        <v>1</v>
      </c>
      <c r="AS1262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262" s="1">
        <f>IF(HR_Data[[#This Row],[TotalWorkingYears]]&lt;=5,1,IF(HR_Data[[#This Row],[TotalWorkingYears]]&lt;=10,2,IF(HR_Data[[#This Row],[TotalWorkingYears]]&lt;=20,3,4)))</f>
        <v>3</v>
      </c>
    </row>
    <row r="1263" spans="1:46" x14ac:dyDescent="0.25">
      <c r="A1263">
        <v>38</v>
      </c>
      <c r="B1263" t="s">
        <v>36</v>
      </c>
      <c r="C1263" t="s">
        <v>30</v>
      </c>
      <c r="D1263" t="s">
        <v>38</v>
      </c>
      <c r="E1263">
        <v>18</v>
      </c>
      <c r="F1263">
        <v>3</v>
      </c>
      <c r="G1263" t="s">
        <v>44</v>
      </c>
      <c r="H1263">
        <v>1766</v>
      </c>
      <c r="I1263">
        <v>2</v>
      </c>
      <c r="J1263" t="s">
        <v>39</v>
      </c>
      <c r="K1263">
        <v>1</v>
      </c>
      <c r="L1263">
        <v>2</v>
      </c>
      <c r="M1263" t="s">
        <v>47</v>
      </c>
      <c r="N1263">
        <v>4</v>
      </c>
      <c r="O1263" t="s">
        <v>41</v>
      </c>
      <c r="P1263">
        <v>5811</v>
      </c>
      <c r="Q1263">
        <v>3</v>
      </c>
      <c r="R1263" t="s">
        <v>29</v>
      </c>
      <c r="S1263">
        <v>16</v>
      </c>
      <c r="T1263">
        <v>3</v>
      </c>
      <c r="U1263">
        <v>3</v>
      </c>
      <c r="V1263">
        <v>1</v>
      </c>
      <c r="W1263">
        <v>15</v>
      </c>
      <c r="X1263">
        <v>2</v>
      </c>
      <c r="Y1263">
        <v>3</v>
      </c>
      <c r="Z1263">
        <v>1</v>
      </c>
      <c r="AA1263">
        <v>0</v>
      </c>
      <c r="AB1263">
        <v>1</v>
      </c>
      <c r="AC1263">
        <v>0</v>
      </c>
      <c r="AD1263">
        <f>IF(HR_Data[[#This Row],[Attrition]]="Yes",1,0)</f>
        <v>0</v>
      </c>
      <c r="AE1263" t="str">
        <f>IF(HR_Data[[#This Row],[Age]]&lt;=25,"18-25",IF(HR_Data[[#This Row],[Age]]&lt;=35,"26-35",IF(HR_Data[[#This Row],[Age]]&lt;=45,"36-45",IF(HR_Data[[#This Row],[Age]]&lt;=55,"46-55","55+"))))</f>
        <v>36-45</v>
      </c>
      <c r="AF1263">
        <f>IF(HR_Data[[#This Row],[Age]]&lt;=25,1,IF(HR_Data[[#This Row],[Age]]&lt;=35,2,IF(HR_Data[[#This Row],[Age]]&lt;=45,3,IF(HR_Data[[#This Row],[Age]]&lt;=55,4,5))))</f>
        <v>3</v>
      </c>
      <c r="AG1263" s="1" t="str">
        <f>IF(HR_Data[[#This Row],[MonthlyIncome]]&lt;3000,"&lt;3K",IF(HR_Data[[#This Row],[MonthlyIncome]]&lt;6000,"3K-6K",IF(HR_Data[[#This Row],[MonthlyIncome]]&lt;10000,"6K-10K","10K+")))</f>
        <v>3K-6K</v>
      </c>
      <c r="AH1263" s="1">
        <f>IF(HR_Data[[#This Row],[MonthlyIncome]]&lt;3000,1,IF(HR_Data[[#This Row],[MonthlyIncome]]&lt;6000,2,IF(HR_Data[[#This Row],[MonthlyIncome]]&lt;10000,3,4)))</f>
        <v>2</v>
      </c>
      <c r="AI1263" s="1" t="str">
        <f>IF(HR_Data[[#This Row],[YearsAtCompany]]&lt;=2,"0-2 Yrs",IF(HR_Data[[#This Row],[YearsAtCompany]]&lt;=5,"3-5 Yrs",IF(HR_Data[[#This Row],[YearsAtCompany]]&lt;=10,"6-10 Yrs","10+ Yrs")))</f>
        <v>0-2 Yrs</v>
      </c>
      <c r="AJ1263" s="1">
        <f>IF(HR_Data[[#This Row],[YearsAtCompany]]&lt;=2,1,IF(HR_Data[[#This Row],[YearsAtCompany]]&lt;=5,2,IF(HR_Data[[#This Row],[YearsAtCompany]]&lt;=10,3,4)))</f>
        <v>1</v>
      </c>
      <c r="AK1263" s="1" t="str">
        <f>CHOOSE(HR_Data[[#This Row],[Education]],"Below College","College","Bachelor","Master","Doctor")</f>
        <v>Bachelor</v>
      </c>
      <c r="AL1263" s="1" t="str">
        <f>CHOOSE(HR_Data[[#This Row],[JobSatisfaction]],"Low","Medium","High","Very High")</f>
        <v>Very High</v>
      </c>
      <c r="AM1263" s="1" t="str">
        <f>CHOOSE(HR_Data[[#This Row],[EnvironmentSatisfaction]],"Low","Medium","High","Very High")</f>
        <v>Medium</v>
      </c>
      <c r="AN1263" s="1" t="str">
        <f>CHOOSE(HR_Data[[#This Row],[WorkLifeBalance]],"Bad","Good","Better","Best")</f>
        <v>Better</v>
      </c>
      <c r="AO1263" s="1" t="str">
        <f>IF(HR_Data[[#This Row],[PercentSalaryHike]]&lt;=13,"11-13%",IF(HR_Data[[#This Row],[PercentSalaryHike]]&lt;=16,"14-16%",IF(HR_Data[[#This Row],[PercentSalaryHike]]&lt;=19,"17-19%","20-25%")))</f>
        <v>14-16%</v>
      </c>
      <c r="AP1263" s="1">
        <f>IF(HR_Data[[#This Row],[PercentSalaryHike]]&lt;=13,1,IF(HR_Data[[#This Row],[PercentSalaryHike]]&lt;=16,2,IF(HR_Data[[#This Row],[PercentSalaryHike]]&lt;=19,3,4)))</f>
        <v>2</v>
      </c>
      <c r="AQ1263" s="1" t="str">
        <f>IF(HR_Data[[#This Row],[DistanceFromHome]]&lt;=5,"1 to 5",IF(HR_Data[[#This Row],[DistanceFromHome]]&lt;=10,"6 to 10",IF(HR_Data[[#This Row],[DistanceFromHome]]&lt;=20,"11 to 20","21 to 29")))</f>
        <v>11 to 20</v>
      </c>
      <c r="AR1263" s="1">
        <f>IF(HR_Data[[#This Row],[DistanceFromHome]]&lt;=5,1,IF(HR_Data[[#This Row],[DistanceFromHome]]&lt;=10,2,IF(HR_Data[[#This Row],[DistanceFromHome]]&lt;=20,3,4)))</f>
        <v>3</v>
      </c>
      <c r="AS1263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263" s="1">
        <f>IF(HR_Data[[#This Row],[TotalWorkingYears]]&lt;=5,1,IF(HR_Data[[#This Row],[TotalWorkingYears]]&lt;=10,2,IF(HR_Data[[#This Row],[TotalWorkingYears]]&lt;=20,3,4)))</f>
        <v>3</v>
      </c>
    </row>
    <row r="1264" spans="1:46" x14ac:dyDescent="0.25">
      <c r="A1264">
        <v>43</v>
      </c>
      <c r="B1264" t="s">
        <v>29</v>
      </c>
      <c r="C1264" t="s">
        <v>37</v>
      </c>
      <c r="D1264" t="s">
        <v>38</v>
      </c>
      <c r="E1264">
        <v>17</v>
      </c>
      <c r="F1264">
        <v>3</v>
      </c>
      <c r="G1264" t="s">
        <v>53</v>
      </c>
      <c r="H1264">
        <v>1767</v>
      </c>
      <c r="I1264">
        <v>3</v>
      </c>
      <c r="J1264" t="s">
        <v>39</v>
      </c>
      <c r="K1264">
        <v>2</v>
      </c>
      <c r="L1264">
        <v>1</v>
      </c>
      <c r="M1264" t="s">
        <v>40</v>
      </c>
      <c r="N1264">
        <v>3</v>
      </c>
      <c r="O1264" t="s">
        <v>41</v>
      </c>
      <c r="P1264">
        <v>2437</v>
      </c>
      <c r="Q1264">
        <v>9</v>
      </c>
      <c r="R1264" t="s">
        <v>29</v>
      </c>
      <c r="S1264">
        <v>16</v>
      </c>
      <c r="T1264">
        <v>3</v>
      </c>
      <c r="U1264">
        <v>4</v>
      </c>
      <c r="V1264">
        <v>1</v>
      </c>
      <c r="W1264">
        <v>6</v>
      </c>
      <c r="X1264">
        <v>4</v>
      </c>
      <c r="Y1264">
        <v>3</v>
      </c>
      <c r="Z1264">
        <v>1</v>
      </c>
      <c r="AA1264">
        <v>0</v>
      </c>
      <c r="AB1264">
        <v>0</v>
      </c>
      <c r="AC1264">
        <v>0</v>
      </c>
      <c r="AD1264">
        <f>IF(HR_Data[[#This Row],[Attrition]]="Yes",1,0)</f>
        <v>1</v>
      </c>
      <c r="AE1264" t="str">
        <f>IF(HR_Data[[#This Row],[Age]]&lt;=25,"18-25",IF(HR_Data[[#This Row],[Age]]&lt;=35,"26-35",IF(HR_Data[[#This Row],[Age]]&lt;=45,"36-45",IF(HR_Data[[#This Row],[Age]]&lt;=55,"46-55","55+"))))</f>
        <v>36-45</v>
      </c>
      <c r="AF1264">
        <f>IF(HR_Data[[#This Row],[Age]]&lt;=25,1,IF(HR_Data[[#This Row],[Age]]&lt;=35,2,IF(HR_Data[[#This Row],[Age]]&lt;=45,3,IF(HR_Data[[#This Row],[Age]]&lt;=55,4,5))))</f>
        <v>3</v>
      </c>
      <c r="AG1264" s="1" t="str">
        <f>IF(HR_Data[[#This Row],[MonthlyIncome]]&lt;3000,"&lt;3K",IF(HR_Data[[#This Row],[MonthlyIncome]]&lt;6000,"3K-6K",IF(HR_Data[[#This Row],[MonthlyIncome]]&lt;10000,"6K-10K","10K+")))</f>
        <v>&lt;3K</v>
      </c>
      <c r="AH1264" s="1">
        <f>IF(HR_Data[[#This Row],[MonthlyIncome]]&lt;3000,1,IF(HR_Data[[#This Row],[MonthlyIncome]]&lt;6000,2,IF(HR_Data[[#This Row],[MonthlyIncome]]&lt;10000,3,4)))</f>
        <v>1</v>
      </c>
      <c r="AI1264" s="1" t="str">
        <f>IF(HR_Data[[#This Row],[YearsAtCompany]]&lt;=2,"0-2 Yrs",IF(HR_Data[[#This Row],[YearsAtCompany]]&lt;=5,"3-5 Yrs",IF(HR_Data[[#This Row],[YearsAtCompany]]&lt;=10,"6-10 Yrs","10+ Yrs")))</f>
        <v>0-2 Yrs</v>
      </c>
      <c r="AJ1264" s="1">
        <f>IF(HR_Data[[#This Row],[YearsAtCompany]]&lt;=2,1,IF(HR_Data[[#This Row],[YearsAtCompany]]&lt;=5,2,IF(HR_Data[[#This Row],[YearsAtCompany]]&lt;=10,3,4)))</f>
        <v>1</v>
      </c>
      <c r="AK1264" s="1" t="str">
        <f>CHOOSE(HR_Data[[#This Row],[Education]],"Below College","College","Bachelor","Master","Doctor")</f>
        <v>Bachelor</v>
      </c>
      <c r="AL1264" s="1" t="str">
        <f>CHOOSE(HR_Data[[#This Row],[JobSatisfaction]],"Low","Medium","High","Very High")</f>
        <v>High</v>
      </c>
      <c r="AM1264" s="1" t="str">
        <f>CHOOSE(HR_Data[[#This Row],[EnvironmentSatisfaction]],"Low","Medium","High","Very High")</f>
        <v>High</v>
      </c>
      <c r="AN1264" s="1" t="str">
        <f>CHOOSE(HR_Data[[#This Row],[WorkLifeBalance]],"Bad","Good","Better","Best")</f>
        <v>Better</v>
      </c>
      <c r="AO1264" s="1" t="str">
        <f>IF(HR_Data[[#This Row],[PercentSalaryHike]]&lt;=13,"11-13%",IF(HR_Data[[#This Row],[PercentSalaryHike]]&lt;=16,"14-16%",IF(HR_Data[[#This Row],[PercentSalaryHike]]&lt;=19,"17-19%","20-25%")))</f>
        <v>14-16%</v>
      </c>
      <c r="AP1264" s="1">
        <f>IF(HR_Data[[#This Row],[PercentSalaryHike]]&lt;=13,1,IF(HR_Data[[#This Row],[PercentSalaryHike]]&lt;=16,2,IF(HR_Data[[#This Row],[PercentSalaryHike]]&lt;=19,3,4)))</f>
        <v>2</v>
      </c>
      <c r="AQ1264" s="1" t="str">
        <f>IF(HR_Data[[#This Row],[DistanceFromHome]]&lt;=5,"1 to 5",IF(HR_Data[[#This Row],[DistanceFromHome]]&lt;=10,"6 to 10",IF(HR_Data[[#This Row],[DistanceFromHome]]&lt;=20,"11 to 20","21 to 29")))</f>
        <v>11 to 20</v>
      </c>
      <c r="AR1264" s="1">
        <f>IF(HR_Data[[#This Row],[DistanceFromHome]]&lt;=5,1,IF(HR_Data[[#This Row],[DistanceFromHome]]&lt;=10,2,IF(HR_Data[[#This Row],[DistanceFromHome]]&lt;=20,3,4)))</f>
        <v>3</v>
      </c>
      <c r="AS1264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264" s="1">
        <f>IF(HR_Data[[#This Row],[TotalWorkingYears]]&lt;=5,1,IF(HR_Data[[#This Row],[TotalWorkingYears]]&lt;=10,2,IF(HR_Data[[#This Row],[TotalWorkingYears]]&lt;=20,3,4)))</f>
        <v>2</v>
      </c>
    </row>
    <row r="1265" spans="1:46" x14ac:dyDescent="0.25">
      <c r="A1265">
        <v>42</v>
      </c>
      <c r="B1265" t="s">
        <v>36</v>
      </c>
      <c r="C1265" t="s">
        <v>30</v>
      </c>
      <c r="D1265" t="s">
        <v>38</v>
      </c>
      <c r="E1265">
        <v>12</v>
      </c>
      <c r="F1265">
        <v>3</v>
      </c>
      <c r="G1265" t="s">
        <v>44</v>
      </c>
      <c r="H1265">
        <v>1768</v>
      </c>
      <c r="I1265">
        <v>2</v>
      </c>
      <c r="J1265" t="s">
        <v>39</v>
      </c>
      <c r="K1265">
        <v>3</v>
      </c>
      <c r="L1265">
        <v>1</v>
      </c>
      <c r="M1265" t="s">
        <v>43</v>
      </c>
      <c r="N1265">
        <v>2</v>
      </c>
      <c r="O1265" t="s">
        <v>45</v>
      </c>
      <c r="P1265">
        <v>2766</v>
      </c>
      <c r="Q1265">
        <v>8</v>
      </c>
      <c r="R1265" t="s">
        <v>36</v>
      </c>
      <c r="S1265">
        <v>22</v>
      </c>
      <c r="T1265">
        <v>4</v>
      </c>
      <c r="U1265">
        <v>2</v>
      </c>
      <c r="V1265">
        <v>3</v>
      </c>
      <c r="W1265">
        <v>7</v>
      </c>
      <c r="X1265">
        <v>6</v>
      </c>
      <c r="Y1265">
        <v>2</v>
      </c>
      <c r="Z1265">
        <v>5</v>
      </c>
      <c r="AA1265">
        <v>3</v>
      </c>
      <c r="AB1265">
        <v>0</v>
      </c>
      <c r="AC1265">
        <v>4</v>
      </c>
      <c r="AD1265">
        <f>IF(HR_Data[[#This Row],[Attrition]]="Yes",1,0)</f>
        <v>0</v>
      </c>
      <c r="AE1265" t="str">
        <f>IF(HR_Data[[#This Row],[Age]]&lt;=25,"18-25",IF(HR_Data[[#This Row],[Age]]&lt;=35,"26-35",IF(HR_Data[[#This Row],[Age]]&lt;=45,"36-45",IF(HR_Data[[#This Row],[Age]]&lt;=55,"46-55","55+"))))</f>
        <v>36-45</v>
      </c>
      <c r="AF1265">
        <f>IF(HR_Data[[#This Row],[Age]]&lt;=25,1,IF(HR_Data[[#This Row],[Age]]&lt;=35,2,IF(HR_Data[[#This Row],[Age]]&lt;=45,3,IF(HR_Data[[#This Row],[Age]]&lt;=55,4,5))))</f>
        <v>3</v>
      </c>
      <c r="AG1265" s="1" t="str">
        <f>IF(HR_Data[[#This Row],[MonthlyIncome]]&lt;3000,"&lt;3K",IF(HR_Data[[#This Row],[MonthlyIncome]]&lt;6000,"3K-6K",IF(HR_Data[[#This Row],[MonthlyIncome]]&lt;10000,"6K-10K","10K+")))</f>
        <v>&lt;3K</v>
      </c>
      <c r="AH1265" s="1">
        <f>IF(HR_Data[[#This Row],[MonthlyIncome]]&lt;3000,1,IF(HR_Data[[#This Row],[MonthlyIncome]]&lt;6000,2,IF(HR_Data[[#This Row],[MonthlyIncome]]&lt;10000,3,4)))</f>
        <v>1</v>
      </c>
      <c r="AI1265" s="1" t="str">
        <f>IF(HR_Data[[#This Row],[YearsAtCompany]]&lt;=2,"0-2 Yrs",IF(HR_Data[[#This Row],[YearsAtCompany]]&lt;=5,"3-5 Yrs",IF(HR_Data[[#This Row],[YearsAtCompany]]&lt;=10,"6-10 Yrs","10+ Yrs")))</f>
        <v>3-5 Yrs</v>
      </c>
      <c r="AJ1265" s="1">
        <f>IF(HR_Data[[#This Row],[YearsAtCompany]]&lt;=2,1,IF(HR_Data[[#This Row],[YearsAtCompany]]&lt;=5,2,IF(HR_Data[[#This Row],[YearsAtCompany]]&lt;=10,3,4)))</f>
        <v>2</v>
      </c>
      <c r="AK1265" s="1" t="str">
        <f>CHOOSE(HR_Data[[#This Row],[Education]],"Below College","College","Bachelor","Master","Doctor")</f>
        <v>Bachelor</v>
      </c>
      <c r="AL1265" s="1" t="str">
        <f>CHOOSE(HR_Data[[#This Row],[JobSatisfaction]],"Low","Medium","High","Very High")</f>
        <v>Medium</v>
      </c>
      <c r="AM1265" s="1" t="str">
        <f>CHOOSE(HR_Data[[#This Row],[EnvironmentSatisfaction]],"Low","Medium","High","Very High")</f>
        <v>Medium</v>
      </c>
      <c r="AN1265" s="1" t="str">
        <f>CHOOSE(HR_Data[[#This Row],[WorkLifeBalance]],"Bad","Good","Better","Best")</f>
        <v>Good</v>
      </c>
      <c r="AO1265" s="1" t="str">
        <f>IF(HR_Data[[#This Row],[PercentSalaryHike]]&lt;=13,"11-13%",IF(HR_Data[[#This Row],[PercentSalaryHike]]&lt;=16,"14-16%",IF(HR_Data[[#This Row],[PercentSalaryHike]]&lt;=19,"17-19%","20-25%")))</f>
        <v>20-25%</v>
      </c>
      <c r="AP1265" s="1">
        <f>IF(HR_Data[[#This Row],[PercentSalaryHike]]&lt;=13,1,IF(HR_Data[[#This Row],[PercentSalaryHike]]&lt;=16,2,IF(HR_Data[[#This Row],[PercentSalaryHike]]&lt;=19,3,4)))</f>
        <v>4</v>
      </c>
      <c r="AQ1265" s="1" t="str">
        <f>IF(HR_Data[[#This Row],[DistanceFromHome]]&lt;=5,"1 to 5",IF(HR_Data[[#This Row],[DistanceFromHome]]&lt;=10,"6 to 10",IF(HR_Data[[#This Row],[DistanceFromHome]]&lt;=20,"11 to 20","21 to 29")))</f>
        <v>11 to 20</v>
      </c>
      <c r="AR1265" s="1">
        <f>IF(HR_Data[[#This Row],[DistanceFromHome]]&lt;=5,1,IF(HR_Data[[#This Row],[DistanceFromHome]]&lt;=10,2,IF(HR_Data[[#This Row],[DistanceFromHome]]&lt;=20,3,4)))</f>
        <v>3</v>
      </c>
      <c r="AS1265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265" s="1">
        <f>IF(HR_Data[[#This Row],[TotalWorkingYears]]&lt;=5,1,IF(HR_Data[[#This Row],[TotalWorkingYears]]&lt;=10,2,IF(HR_Data[[#This Row],[TotalWorkingYears]]&lt;=20,3,4)))</f>
        <v>2</v>
      </c>
    </row>
    <row r="1266" spans="1:46" x14ac:dyDescent="0.25">
      <c r="A1266">
        <v>55</v>
      </c>
      <c r="B1266" t="s">
        <v>36</v>
      </c>
      <c r="C1266" t="s">
        <v>30</v>
      </c>
      <c r="D1266" t="s">
        <v>38</v>
      </c>
      <c r="E1266">
        <v>2</v>
      </c>
      <c r="F1266">
        <v>3</v>
      </c>
      <c r="G1266" t="s">
        <v>44</v>
      </c>
      <c r="H1266">
        <v>1770</v>
      </c>
      <c r="I1266">
        <v>3</v>
      </c>
      <c r="J1266" t="s">
        <v>39</v>
      </c>
      <c r="K1266">
        <v>2</v>
      </c>
      <c r="L1266">
        <v>5</v>
      </c>
      <c r="M1266" t="s">
        <v>51</v>
      </c>
      <c r="N1266">
        <v>1</v>
      </c>
      <c r="O1266" t="s">
        <v>41</v>
      </c>
      <c r="P1266">
        <v>19038</v>
      </c>
      <c r="Q1266">
        <v>8</v>
      </c>
      <c r="R1266" t="s">
        <v>36</v>
      </c>
      <c r="S1266">
        <v>12</v>
      </c>
      <c r="T1266">
        <v>3</v>
      </c>
      <c r="U1266">
        <v>2</v>
      </c>
      <c r="V1266">
        <v>3</v>
      </c>
      <c r="W1266">
        <v>34</v>
      </c>
      <c r="X1266">
        <v>2</v>
      </c>
      <c r="Y1266">
        <v>3</v>
      </c>
      <c r="Z1266">
        <v>1</v>
      </c>
      <c r="AA1266">
        <v>0</v>
      </c>
      <c r="AB1266">
        <v>0</v>
      </c>
      <c r="AC1266">
        <v>0</v>
      </c>
      <c r="AD1266">
        <f>IF(HR_Data[[#This Row],[Attrition]]="Yes",1,0)</f>
        <v>0</v>
      </c>
      <c r="AE1266" t="str">
        <f>IF(HR_Data[[#This Row],[Age]]&lt;=25,"18-25",IF(HR_Data[[#This Row],[Age]]&lt;=35,"26-35",IF(HR_Data[[#This Row],[Age]]&lt;=45,"36-45",IF(HR_Data[[#This Row],[Age]]&lt;=55,"46-55","55+"))))</f>
        <v>46-55</v>
      </c>
      <c r="AF1266">
        <f>IF(HR_Data[[#This Row],[Age]]&lt;=25,1,IF(HR_Data[[#This Row],[Age]]&lt;=35,2,IF(HR_Data[[#This Row],[Age]]&lt;=45,3,IF(HR_Data[[#This Row],[Age]]&lt;=55,4,5))))</f>
        <v>4</v>
      </c>
      <c r="AG1266" s="1" t="str">
        <f>IF(HR_Data[[#This Row],[MonthlyIncome]]&lt;3000,"&lt;3K",IF(HR_Data[[#This Row],[MonthlyIncome]]&lt;6000,"3K-6K",IF(HR_Data[[#This Row],[MonthlyIncome]]&lt;10000,"6K-10K","10K+")))</f>
        <v>10K+</v>
      </c>
      <c r="AH1266" s="1">
        <f>IF(HR_Data[[#This Row],[MonthlyIncome]]&lt;3000,1,IF(HR_Data[[#This Row],[MonthlyIncome]]&lt;6000,2,IF(HR_Data[[#This Row],[MonthlyIncome]]&lt;10000,3,4)))</f>
        <v>4</v>
      </c>
      <c r="AI1266" s="1" t="str">
        <f>IF(HR_Data[[#This Row],[YearsAtCompany]]&lt;=2,"0-2 Yrs",IF(HR_Data[[#This Row],[YearsAtCompany]]&lt;=5,"3-5 Yrs",IF(HR_Data[[#This Row],[YearsAtCompany]]&lt;=10,"6-10 Yrs","10+ Yrs")))</f>
        <v>0-2 Yrs</v>
      </c>
      <c r="AJ1266" s="1">
        <f>IF(HR_Data[[#This Row],[YearsAtCompany]]&lt;=2,1,IF(HR_Data[[#This Row],[YearsAtCompany]]&lt;=5,2,IF(HR_Data[[#This Row],[YearsAtCompany]]&lt;=10,3,4)))</f>
        <v>1</v>
      </c>
      <c r="AK1266" s="1" t="str">
        <f>CHOOSE(HR_Data[[#This Row],[Education]],"Below College","College","Bachelor","Master","Doctor")</f>
        <v>Bachelor</v>
      </c>
      <c r="AL1266" s="1" t="str">
        <f>CHOOSE(HR_Data[[#This Row],[JobSatisfaction]],"Low","Medium","High","Very High")</f>
        <v>Low</v>
      </c>
      <c r="AM1266" s="1" t="str">
        <f>CHOOSE(HR_Data[[#This Row],[EnvironmentSatisfaction]],"Low","Medium","High","Very High")</f>
        <v>High</v>
      </c>
      <c r="AN1266" s="1" t="str">
        <f>CHOOSE(HR_Data[[#This Row],[WorkLifeBalance]],"Bad","Good","Better","Best")</f>
        <v>Better</v>
      </c>
      <c r="AO1266" s="1" t="str">
        <f>IF(HR_Data[[#This Row],[PercentSalaryHike]]&lt;=13,"11-13%",IF(HR_Data[[#This Row],[PercentSalaryHike]]&lt;=16,"14-16%",IF(HR_Data[[#This Row],[PercentSalaryHike]]&lt;=19,"17-19%","20-25%")))</f>
        <v>11-13%</v>
      </c>
      <c r="AP1266" s="1">
        <f>IF(HR_Data[[#This Row],[PercentSalaryHike]]&lt;=13,1,IF(HR_Data[[#This Row],[PercentSalaryHike]]&lt;=16,2,IF(HR_Data[[#This Row],[PercentSalaryHike]]&lt;=19,3,4)))</f>
        <v>1</v>
      </c>
      <c r="AQ1266" s="1" t="str">
        <f>IF(HR_Data[[#This Row],[DistanceFromHome]]&lt;=5,"1 to 5",IF(HR_Data[[#This Row],[DistanceFromHome]]&lt;=10,"6 to 10",IF(HR_Data[[#This Row],[DistanceFromHome]]&lt;=20,"11 to 20","21 to 29")))</f>
        <v>1 to 5</v>
      </c>
      <c r="AR1266" s="1">
        <f>IF(HR_Data[[#This Row],[DistanceFromHome]]&lt;=5,1,IF(HR_Data[[#This Row],[DistanceFromHome]]&lt;=10,2,IF(HR_Data[[#This Row],[DistanceFromHome]]&lt;=20,3,4)))</f>
        <v>1</v>
      </c>
      <c r="AS1266" s="1" t="str">
        <f>IF(HR_Data[[#This Row],[TotalWorkingYears]]&lt;=5,"0-5 Yrs",IF(HR_Data[[#This Row],[TotalWorkingYears]]&lt;=10,"6-10 Yrs",IF(HR_Data[[#This Row],[TotalWorkingYears]]&lt;=20,"11-20 Yrs","20+ Yrs")))</f>
        <v>20+ Yrs</v>
      </c>
      <c r="AT1266" s="1">
        <f>IF(HR_Data[[#This Row],[TotalWorkingYears]]&lt;=5,1,IF(HR_Data[[#This Row],[TotalWorkingYears]]&lt;=10,2,IF(HR_Data[[#This Row],[TotalWorkingYears]]&lt;=20,3,4)))</f>
        <v>4</v>
      </c>
    </row>
    <row r="1267" spans="1:46" x14ac:dyDescent="0.25">
      <c r="A1267">
        <v>33</v>
      </c>
      <c r="B1267" t="s">
        <v>36</v>
      </c>
      <c r="C1267" t="s">
        <v>48</v>
      </c>
      <c r="D1267" t="s">
        <v>38</v>
      </c>
      <c r="E1267">
        <v>4</v>
      </c>
      <c r="F1267">
        <v>3</v>
      </c>
      <c r="G1267" t="s">
        <v>53</v>
      </c>
      <c r="H1267">
        <v>1771</v>
      </c>
      <c r="I1267">
        <v>4</v>
      </c>
      <c r="J1267" t="s">
        <v>39</v>
      </c>
      <c r="K1267">
        <v>3</v>
      </c>
      <c r="L1267">
        <v>2</v>
      </c>
      <c r="M1267" t="s">
        <v>40</v>
      </c>
      <c r="N1267">
        <v>2</v>
      </c>
      <c r="O1267" t="s">
        <v>45</v>
      </c>
      <c r="P1267">
        <v>3055</v>
      </c>
      <c r="Q1267">
        <v>5</v>
      </c>
      <c r="R1267" t="s">
        <v>36</v>
      </c>
      <c r="S1267">
        <v>15</v>
      </c>
      <c r="T1267">
        <v>3</v>
      </c>
      <c r="U1267">
        <v>4</v>
      </c>
      <c r="V1267">
        <v>2</v>
      </c>
      <c r="W1267">
        <v>11</v>
      </c>
      <c r="X1267">
        <v>2</v>
      </c>
      <c r="Y1267">
        <v>2</v>
      </c>
      <c r="Z1267">
        <v>9</v>
      </c>
      <c r="AA1267">
        <v>8</v>
      </c>
      <c r="AB1267">
        <v>1</v>
      </c>
      <c r="AC1267">
        <v>7</v>
      </c>
      <c r="AD1267">
        <f>IF(HR_Data[[#This Row],[Attrition]]="Yes",1,0)</f>
        <v>0</v>
      </c>
      <c r="AE1267" t="str">
        <f>IF(HR_Data[[#This Row],[Age]]&lt;=25,"18-25",IF(HR_Data[[#This Row],[Age]]&lt;=35,"26-35",IF(HR_Data[[#This Row],[Age]]&lt;=45,"36-45",IF(HR_Data[[#This Row],[Age]]&lt;=55,"46-55","55+"))))</f>
        <v>26-35</v>
      </c>
      <c r="AF1267">
        <f>IF(HR_Data[[#This Row],[Age]]&lt;=25,1,IF(HR_Data[[#This Row],[Age]]&lt;=35,2,IF(HR_Data[[#This Row],[Age]]&lt;=45,3,IF(HR_Data[[#This Row],[Age]]&lt;=55,4,5))))</f>
        <v>2</v>
      </c>
      <c r="AG1267" s="1" t="str">
        <f>IF(HR_Data[[#This Row],[MonthlyIncome]]&lt;3000,"&lt;3K",IF(HR_Data[[#This Row],[MonthlyIncome]]&lt;6000,"3K-6K",IF(HR_Data[[#This Row],[MonthlyIncome]]&lt;10000,"6K-10K","10K+")))</f>
        <v>3K-6K</v>
      </c>
      <c r="AH1267" s="1">
        <f>IF(HR_Data[[#This Row],[MonthlyIncome]]&lt;3000,1,IF(HR_Data[[#This Row],[MonthlyIncome]]&lt;6000,2,IF(HR_Data[[#This Row],[MonthlyIncome]]&lt;10000,3,4)))</f>
        <v>2</v>
      </c>
      <c r="AI1267" s="1" t="str">
        <f>IF(HR_Data[[#This Row],[YearsAtCompany]]&lt;=2,"0-2 Yrs",IF(HR_Data[[#This Row],[YearsAtCompany]]&lt;=5,"3-5 Yrs",IF(HR_Data[[#This Row],[YearsAtCompany]]&lt;=10,"6-10 Yrs","10+ Yrs")))</f>
        <v>6-10 Yrs</v>
      </c>
      <c r="AJ1267" s="1">
        <f>IF(HR_Data[[#This Row],[YearsAtCompany]]&lt;=2,1,IF(HR_Data[[#This Row],[YearsAtCompany]]&lt;=5,2,IF(HR_Data[[#This Row],[YearsAtCompany]]&lt;=10,3,4)))</f>
        <v>3</v>
      </c>
      <c r="AK1267" s="1" t="str">
        <f>CHOOSE(HR_Data[[#This Row],[Education]],"Below College","College","Bachelor","Master","Doctor")</f>
        <v>Bachelor</v>
      </c>
      <c r="AL1267" s="1" t="str">
        <f>CHOOSE(HR_Data[[#This Row],[JobSatisfaction]],"Low","Medium","High","Very High")</f>
        <v>Medium</v>
      </c>
      <c r="AM1267" s="1" t="str">
        <f>CHOOSE(HR_Data[[#This Row],[EnvironmentSatisfaction]],"Low","Medium","High","Very High")</f>
        <v>Very High</v>
      </c>
      <c r="AN1267" s="1" t="str">
        <f>CHOOSE(HR_Data[[#This Row],[WorkLifeBalance]],"Bad","Good","Better","Best")</f>
        <v>Good</v>
      </c>
      <c r="AO1267" s="1" t="str">
        <f>IF(HR_Data[[#This Row],[PercentSalaryHike]]&lt;=13,"11-13%",IF(HR_Data[[#This Row],[PercentSalaryHike]]&lt;=16,"14-16%",IF(HR_Data[[#This Row],[PercentSalaryHike]]&lt;=19,"17-19%","20-25%")))</f>
        <v>14-16%</v>
      </c>
      <c r="AP1267" s="1">
        <f>IF(HR_Data[[#This Row],[PercentSalaryHike]]&lt;=13,1,IF(HR_Data[[#This Row],[PercentSalaryHike]]&lt;=16,2,IF(HR_Data[[#This Row],[PercentSalaryHike]]&lt;=19,3,4)))</f>
        <v>2</v>
      </c>
      <c r="AQ1267" s="1" t="str">
        <f>IF(HR_Data[[#This Row],[DistanceFromHome]]&lt;=5,"1 to 5",IF(HR_Data[[#This Row],[DistanceFromHome]]&lt;=10,"6 to 10",IF(HR_Data[[#This Row],[DistanceFromHome]]&lt;=20,"11 to 20","21 to 29")))</f>
        <v>1 to 5</v>
      </c>
      <c r="AR1267" s="1">
        <f>IF(HR_Data[[#This Row],[DistanceFromHome]]&lt;=5,1,IF(HR_Data[[#This Row],[DistanceFromHome]]&lt;=10,2,IF(HR_Data[[#This Row],[DistanceFromHome]]&lt;=20,3,4)))</f>
        <v>1</v>
      </c>
      <c r="AS1267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267" s="1">
        <f>IF(HR_Data[[#This Row],[TotalWorkingYears]]&lt;=5,1,IF(HR_Data[[#This Row],[TotalWorkingYears]]&lt;=10,2,IF(HR_Data[[#This Row],[TotalWorkingYears]]&lt;=20,3,4)))</f>
        <v>3</v>
      </c>
    </row>
    <row r="1268" spans="1:46" x14ac:dyDescent="0.25">
      <c r="A1268">
        <v>41</v>
      </c>
      <c r="B1268" t="s">
        <v>36</v>
      </c>
      <c r="C1268" t="s">
        <v>30</v>
      </c>
      <c r="D1268" t="s">
        <v>38</v>
      </c>
      <c r="E1268">
        <v>9</v>
      </c>
      <c r="F1268">
        <v>4</v>
      </c>
      <c r="G1268" t="s">
        <v>32</v>
      </c>
      <c r="H1268">
        <v>1772</v>
      </c>
      <c r="I1268">
        <v>3</v>
      </c>
      <c r="J1268" t="s">
        <v>39</v>
      </c>
      <c r="K1268">
        <v>3</v>
      </c>
      <c r="L1268">
        <v>1</v>
      </c>
      <c r="M1268" t="s">
        <v>43</v>
      </c>
      <c r="N1268">
        <v>1</v>
      </c>
      <c r="O1268" t="s">
        <v>45</v>
      </c>
      <c r="P1268">
        <v>2289</v>
      </c>
      <c r="Q1268">
        <v>1</v>
      </c>
      <c r="R1268" t="s">
        <v>36</v>
      </c>
      <c r="S1268">
        <v>20</v>
      </c>
      <c r="T1268">
        <v>4</v>
      </c>
      <c r="U1268">
        <v>2</v>
      </c>
      <c r="V1268">
        <v>2</v>
      </c>
      <c r="W1268">
        <v>5</v>
      </c>
      <c r="X1268">
        <v>2</v>
      </c>
      <c r="Y1268">
        <v>3</v>
      </c>
      <c r="Z1268">
        <v>5</v>
      </c>
      <c r="AA1268">
        <v>3</v>
      </c>
      <c r="AB1268">
        <v>0</v>
      </c>
      <c r="AC1268">
        <v>4</v>
      </c>
      <c r="AD1268">
        <f>IF(HR_Data[[#This Row],[Attrition]]="Yes",1,0)</f>
        <v>0</v>
      </c>
      <c r="AE1268" t="str">
        <f>IF(HR_Data[[#This Row],[Age]]&lt;=25,"18-25",IF(HR_Data[[#This Row],[Age]]&lt;=35,"26-35",IF(HR_Data[[#This Row],[Age]]&lt;=45,"36-45",IF(HR_Data[[#This Row],[Age]]&lt;=55,"46-55","55+"))))</f>
        <v>36-45</v>
      </c>
      <c r="AF1268">
        <f>IF(HR_Data[[#This Row],[Age]]&lt;=25,1,IF(HR_Data[[#This Row],[Age]]&lt;=35,2,IF(HR_Data[[#This Row],[Age]]&lt;=45,3,IF(HR_Data[[#This Row],[Age]]&lt;=55,4,5))))</f>
        <v>3</v>
      </c>
      <c r="AG1268" s="1" t="str">
        <f>IF(HR_Data[[#This Row],[MonthlyIncome]]&lt;3000,"&lt;3K",IF(HR_Data[[#This Row],[MonthlyIncome]]&lt;6000,"3K-6K",IF(HR_Data[[#This Row],[MonthlyIncome]]&lt;10000,"6K-10K","10K+")))</f>
        <v>&lt;3K</v>
      </c>
      <c r="AH1268" s="1">
        <f>IF(HR_Data[[#This Row],[MonthlyIncome]]&lt;3000,1,IF(HR_Data[[#This Row],[MonthlyIncome]]&lt;6000,2,IF(HR_Data[[#This Row],[MonthlyIncome]]&lt;10000,3,4)))</f>
        <v>1</v>
      </c>
      <c r="AI1268" s="1" t="str">
        <f>IF(HR_Data[[#This Row],[YearsAtCompany]]&lt;=2,"0-2 Yrs",IF(HR_Data[[#This Row],[YearsAtCompany]]&lt;=5,"3-5 Yrs",IF(HR_Data[[#This Row],[YearsAtCompany]]&lt;=10,"6-10 Yrs","10+ Yrs")))</f>
        <v>3-5 Yrs</v>
      </c>
      <c r="AJ1268" s="1">
        <f>IF(HR_Data[[#This Row],[YearsAtCompany]]&lt;=2,1,IF(HR_Data[[#This Row],[YearsAtCompany]]&lt;=5,2,IF(HR_Data[[#This Row],[YearsAtCompany]]&lt;=10,3,4)))</f>
        <v>2</v>
      </c>
      <c r="AK1268" s="1" t="str">
        <f>CHOOSE(HR_Data[[#This Row],[Education]],"Below College","College","Bachelor","Master","Doctor")</f>
        <v>Master</v>
      </c>
      <c r="AL1268" s="1" t="str">
        <f>CHOOSE(HR_Data[[#This Row],[JobSatisfaction]],"Low","Medium","High","Very High")</f>
        <v>Low</v>
      </c>
      <c r="AM1268" s="1" t="str">
        <f>CHOOSE(HR_Data[[#This Row],[EnvironmentSatisfaction]],"Low","Medium","High","Very High")</f>
        <v>High</v>
      </c>
      <c r="AN1268" s="1" t="str">
        <f>CHOOSE(HR_Data[[#This Row],[WorkLifeBalance]],"Bad","Good","Better","Best")</f>
        <v>Better</v>
      </c>
      <c r="AO1268" s="1" t="str">
        <f>IF(HR_Data[[#This Row],[PercentSalaryHike]]&lt;=13,"11-13%",IF(HR_Data[[#This Row],[PercentSalaryHike]]&lt;=16,"14-16%",IF(HR_Data[[#This Row],[PercentSalaryHike]]&lt;=19,"17-19%","20-25%")))</f>
        <v>20-25%</v>
      </c>
      <c r="AP1268" s="1">
        <f>IF(HR_Data[[#This Row],[PercentSalaryHike]]&lt;=13,1,IF(HR_Data[[#This Row],[PercentSalaryHike]]&lt;=16,2,IF(HR_Data[[#This Row],[PercentSalaryHike]]&lt;=19,3,4)))</f>
        <v>4</v>
      </c>
      <c r="AQ1268" s="1" t="str">
        <f>IF(HR_Data[[#This Row],[DistanceFromHome]]&lt;=5,"1 to 5",IF(HR_Data[[#This Row],[DistanceFromHome]]&lt;=10,"6 to 10",IF(HR_Data[[#This Row],[DistanceFromHome]]&lt;=20,"11 to 20","21 to 29")))</f>
        <v>6 to 10</v>
      </c>
      <c r="AR1268" s="1">
        <f>IF(HR_Data[[#This Row],[DistanceFromHome]]&lt;=5,1,IF(HR_Data[[#This Row],[DistanceFromHome]]&lt;=10,2,IF(HR_Data[[#This Row],[DistanceFromHome]]&lt;=20,3,4)))</f>
        <v>2</v>
      </c>
      <c r="AS1268" s="1" t="str">
        <f>IF(HR_Data[[#This Row],[TotalWorkingYears]]&lt;=5,"0-5 Yrs",IF(HR_Data[[#This Row],[TotalWorkingYears]]&lt;=10,"6-10 Yrs",IF(HR_Data[[#This Row],[TotalWorkingYears]]&lt;=20,"11-20 Yrs","20+ Yrs")))</f>
        <v>0-5 Yrs</v>
      </c>
      <c r="AT1268" s="1">
        <f>IF(HR_Data[[#This Row],[TotalWorkingYears]]&lt;=5,1,IF(HR_Data[[#This Row],[TotalWorkingYears]]&lt;=10,2,IF(HR_Data[[#This Row],[TotalWorkingYears]]&lt;=20,3,4)))</f>
        <v>1</v>
      </c>
    </row>
    <row r="1269" spans="1:46" x14ac:dyDescent="0.25">
      <c r="A1269">
        <v>34</v>
      </c>
      <c r="B1269" t="s">
        <v>36</v>
      </c>
      <c r="C1269" t="s">
        <v>48</v>
      </c>
      <c r="D1269" t="s">
        <v>31</v>
      </c>
      <c r="E1269">
        <v>10</v>
      </c>
      <c r="F1269">
        <v>3</v>
      </c>
      <c r="G1269" t="s">
        <v>32</v>
      </c>
      <c r="H1269">
        <v>1774</v>
      </c>
      <c r="I1269">
        <v>4</v>
      </c>
      <c r="J1269" t="s">
        <v>39</v>
      </c>
      <c r="K1269">
        <v>3</v>
      </c>
      <c r="L1269">
        <v>2</v>
      </c>
      <c r="M1269" t="s">
        <v>34</v>
      </c>
      <c r="N1269">
        <v>3</v>
      </c>
      <c r="O1269" t="s">
        <v>45</v>
      </c>
      <c r="P1269">
        <v>4001</v>
      </c>
      <c r="Q1269">
        <v>1</v>
      </c>
      <c r="R1269" t="s">
        <v>29</v>
      </c>
      <c r="S1269">
        <v>14</v>
      </c>
      <c r="T1269">
        <v>3</v>
      </c>
      <c r="U1269">
        <v>3</v>
      </c>
      <c r="V1269">
        <v>1</v>
      </c>
      <c r="W1269">
        <v>15</v>
      </c>
      <c r="X1269">
        <v>3</v>
      </c>
      <c r="Y1269">
        <v>3</v>
      </c>
      <c r="Z1269">
        <v>15</v>
      </c>
      <c r="AA1269">
        <v>14</v>
      </c>
      <c r="AB1269">
        <v>0</v>
      </c>
      <c r="AC1269">
        <v>7</v>
      </c>
      <c r="AD1269">
        <f>IF(HR_Data[[#This Row],[Attrition]]="Yes",1,0)</f>
        <v>0</v>
      </c>
      <c r="AE1269" t="str">
        <f>IF(HR_Data[[#This Row],[Age]]&lt;=25,"18-25",IF(HR_Data[[#This Row],[Age]]&lt;=35,"26-35",IF(HR_Data[[#This Row],[Age]]&lt;=45,"36-45",IF(HR_Data[[#This Row],[Age]]&lt;=55,"46-55","55+"))))</f>
        <v>26-35</v>
      </c>
      <c r="AF1269">
        <f>IF(HR_Data[[#This Row],[Age]]&lt;=25,1,IF(HR_Data[[#This Row],[Age]]&lt;=35,2,IF(HR_Data[[#This Row],[Age]]&lt;=45,3,IF(HR_Data[[#This Row],[Age]]&lt;=55,4,5))))</f>
        <v>2</v>
      </c>
      <c r="AG1269" s="1" t="str">
        <f>IF(HR_Data[[#This Row],[MonthlyIncome]]&lt;3000,"&lt;3K",IF(HR_Data[[#This Row],[MonthlyIncome]]&lt;6000,"3K-6K",IF(HR_Data[[#This Row],[MonthlyIncome]]&lt;10000,"6K-10K","10K+")))</f>
        <v>3K-6K</v>
      </c>
      <c r="AH1269" s="1">
        <f>IF(HR_Data[[#This Row],[MonthlyIncome]]&lt;3000,1,IF(HR_Data[[#This Row],[MonthlyIncome]]&lt;6000,2,IF(HR_Data[[#This Row],[MonthlyIncome]]&lt;10000,3,4)))</f>
        <v>2</v>
      </c>
      <c r="AI1269" s="1" t="str">
        <f>IF(HR_Data[[#This Row],[YearsAtCompany]]&lt;=2,"0-2 Yrs",IF(HR_Data[[#This Row],[YearsAtCompany]]&lt;=5,"3-5 Yrs",IF(HR_Data[[#This Row],[YearsAtCompany]]&lt;=10,"6-10 Yrs","10+ Yrs")))</f>
        <v>10+ Yrs</v>
      </c>
      <c r="AJ1269" s="1">
        <f>IF(HR_Data[[#This Row],[YearsAtCompany]]&lt;=2,1,IF(HR_Data[[#This Row],[YearsAtCompany]]&lt;=5,2,IF(HR_Data[[#This Row],[YearsAtCompany]]&lt;=10,3,4)))</f>
        <v>4</v>
      </c>
      <c r="AK1269" s="1" t="str">
        <f>CHOOSE(HR_Data[[#This Row],[Education]],"Below College","College","Bachelor","Master","Doctor")</f>
        <v>Bachelor</v>
      </c>
      <c r="AL1269" s="1" t="str">
        <f>CHOOSE(HR_Data[[#This Row],[JobSatisfaction]],"Low","Medium","High","Very High")</f>
        <v>High</v>
      </c>
      <c r="AM1269" s="1" t="str">
        <f>CHOOSE(HR_Data[[#This Row],[EnvironmentSatisfaction]],"Low","Medium","High","Very High")</f>
        <v>Very High</v>
      </c>
      <c r="AN1269" s="1" t="str">
        <f>CHOOSE(HR_Data[[#This Row],[WorkLifeBalance]],"Bad","Good","Better","Best")</f>
        <v>Better</v>
      </c>
      <c r="AO1269" s="1" t="str">
        <f>IF(HR_Data[[#This Row],[PercentSalaryHike]]&lt;=13,"11-13%",IF(HR_Data[[#This Row],[PercentSalaryHike]]&lt;=16,"14-16%",IF(HR_Data[[#This Row],[PercentSalaryHike]]&lt;=19,"17-19%","20-25%")))</f>
        <v>14-16%</v>
      </c>
      <c r="AP1269" s="1">
        <f>IF(HR_Data[[#This Row],[PercentSalaryHike]]&lt;=13,1,IF(HR_Data[[#This Row],[PercentSalaryHike]]&lt;=16,2,IF(HR_Data[[#This Row],[PercentSalaryHike]]&lt;=19,3,4)))</f>
        <v>2</v>
      </c>
      <c r="AQ1269" s="1" t="str">
        <f>IF(HR_Data[[#This Row],[DistanceFromHome]]&lt;=5,"1 to 5",IF(HR_Data[[#This Row],[DistanceFromHome]]&lt;=10,"6 to 10",IF(HR_Data[[#This Row],[DistanceFromHome]]&lt;=20,"11 to 20","21 to 29")))</f>
        <v>6 to 10</v>
      </c>
      <c r="AR1269" s="1">
        <f>IF(HR_Data[[#This Row],[DistanceFromHome]]&lt;=5,1,IF(HR_Data[[#This Row],[DistanceFromHome]]&lt;=10,2,IF(HR_Data[[#This Row],[DistanceFromHome]]&lt;=20,3,4)))</f>
        <v>2</v>
      </c>
      <c r="AS1269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269" s="1">
        <f>IF(HR_Data[[#This Row],[TotalWorkingYears]]&lt;=5,1,IF(HR_Data[[#This Row],[TotalWorkingYears]]&lt;=10,2,IF(HR_Data[[#This Row],[TotalWorkingYears]]&lt;=20,3,4)))</f>
        <v>3</v>
      </c>
    </row>
    <row r="1270" spans="1:46" x14ac:dyDescent="0.25">
      <c r="A1270">
        <v>53</v>
      </c>
      <c r="B1270" t="s">
        <v>36</v>
      </c>
      <c r="C1270" t="s">
        <v>48</v>
      </c>
      <c r="D1270" t="s">
        <v>38</v>
      </c>
      <c r="E1270">
        <v>1</v>
      </c>
      <c r="F1270">
        <v>4</v>
      </c>
      <c r="G1270" t="s">
        <v>44</v>
      </c>
      <c r="H1270">
        <v>1775</v>
      </c>
      <c r="I1270">
        <v>1</v>
      </c>
      <c r="J1270" t="s">
        <v>33</v>
      </c>
      <c r="K1270">
        <v>2</v>
      </c>
      <c r="L1270">
        <v>4</v>
      </c>
      <c r="M1270" t="s">
        <v>46</v>
      </c>
      <c r="N1270">
        <v>3</v>
      </c>
      <c r="O1270" t="s">
        <v>41</v>
      </c>
      <c r="P1270">
        <v>12965</v>
      </c>
      <c r="Q1270">
        <v>4</v>
      </c>
      <c r="R1270" t="s">
        <v>29</v>
      </c>
      <c r="S1270">
        <v>20</v>
      </c>
      <c r="T1270">
        <v>4</v>
      </c>
      <c r="U1270">
        <v>4</v>
      </c>
      <c r="V1270">
        <v>3</v>
      </c>
      <c r="W1270">
        <v>27</v>
      </c>
      <c r="X1270">
        <v>2</v>
      </c>
      <c r="Y1270">
        <v>2</v>
      </c>
      <c r="Z1270">
        <v>3</v>
      </c>
      <c r="AA1270">
        <v>2</v>
      </c>
      <c r="AB1270">
        <v>0</v>
      </c>
      <c r="AC1270">
        <v>2</v>
      </c>
      <c r="AD1270">
        <f>IF(HR_Data[[#This Row],[Attrition]]="Yes",1,0)</f>
        <v>0</v>
      </c>
      <c r="AE1270" t="str">
        <f>IF(HR_Data[[#This Row],[Age]]&lt;=25,"18-25",IF(HR_Data[[#This Row],[Age]]&lt;=35,"26-35",IF(HR_Data[[#This Row],[Age]]&lt;=45,"36-45",IF(HR_Data[[#This Row],[Age]]&lt;=55,"46-55","55+"))))</f>
        <v>46-55</v>
      </c>
      <c r="AF1270">
        <f>IF(HR_Data[[#This Row],[Age]]&lt;=25,1,IF(HR_Data[[#This Row],[Age]]&lt;=35,2,IF(HR_Data[[#This Row],[Age]]&lt;=45,3,IF(HR_Data[[#This Row],[Age]]&lt;=55,4,5))))</f>
        <v>4</v>
      </c>
      <c r="AG1270" s="1" t="str">
        <f>IF(HR_Data[[#This Row],[MonthlyIncome]]&lt;3000,"&lt;3K",IF(HR_Data[[#This Row],[MonthlyIncome]]&lt;6000,"3K-6K",IF(HR_Data[[#This Row],[MonthlyIncome]]&lt;10000,"6K-10K","10K+")))</f>
        <v>10K+</v>
      </c>
      <c r="AH1270" s="1">
        <f>IF(HR_Data[[#This Row],[MonthlyIncome]]&lt;3000,1,IF(HR_Data[[#This Row],[MonthlyIncome]]&lt;6000,2,IF(HR_Data[[#This Row],[MonthlyIncome]]&lt;10000,3,4)))</f>
        <v>4</v>
      </c>
      <c r="AI1270" s="1" t="str">
        <f>IF(HR_Data[[#This Row],[YearsAtCompany]]&lt;=2,"0-2 Yrs",IF(HR_Data[[#This Row],[YearsAtCompany]]&lt;=5,"3-5 Yrs",IF(HR_Data[[#This Row],[YearsAtCompany]]&lt;=10,"6-10 Yrs","10+ Yrs")))</f>
        <v>3-5 Yrs</v>
      </c>
      <c r="AJ1270" s="1">
        <f>IF(HR_Data[[#This Row],[YearsAtCompany]]&lt;=2,1,IF(HR_Data[[#This Row],[YearsAtCompany]]&lt;=5,2,IF(HR_Data[[#This Row],[YearsAtCompany]]&lt;=10,3,4)))</f>
        <v>2</v>
      </c>
      <c r="AK1270" s="1" t="str">
        <f>CHOOSE(HR_Data[[#This Row],[Education]],"Below College","College","Bachelor","Master","Doctor")</f>
        <v>Master</v>
      </c>
      <c r="AL1270" s="1" t="str">
        <f>CHOOSE(HR_Data[[#This Row],[JobSatisfaction]],"Low","Medium","High","Very High")</f>
        <v>High</v>
      </c>
      <c r="AM1270" s="1" t="str">
        <f>CHOOSE(HR_Data[[#This Row],[EnvironmentSatisfaction]],"Low","Medium","High","Very High")</f>
        <v>Low</v>
      </c>
      <c r="AN1270" s="1" t="str">
        <f>CHOOSE(HR_Data[[#This Row],[WorkLifeBalance]],"Bad","Good","Better","Best")</f>
        <v>Good</v>
      </c>
      <c r="AO1270" s="1" t="str">
        <f>IF(HR_Data[[#This Row],[PercentSalaryHike]]&lt;=13,"11-13%",IF(HR_Data[[#This Row],[PercentSalaryHike]]&lt;=16,"14-16%",IF(HR_Data[[#This Row],[PercentSalaryHike]]&lt;=19,"17-19%","20-25%")))</f>
        <v>20-25%</v>
      </c>
      <c r="AP1270" s="1">
        <f>IF(HR_Data[[#This Row],[PercentSalaryHike]]&lt;=13,1,IF(HR_Data[[#This Row],[PercentSalaryHike]]&lt;=16,2,IF(HR_Data[[#This Row],[PercentSalaryHike]]&lt;=19,3,4)))</f>
        <v>4</v>
      </c>
      <c r="AQ1270" s="1" t="str">
        <f>IF(HR_Data[[#This Row],[DistanceFromHome]]&lt;=5,"1 to 5",IF(HR_Data[[#This Row],[DistanceFromHome]]&lt;=10,"6 to 10",IF(HR_Data[[#This Row],[DistanceFromHome]]&lt;=20,"11 to 20","21 to 29")))</f>
        <v>1 to 5</v>
      </c>
      <c r="AR1270" s="1">
        <f>IF(HR_Data[[#This Row],[DistanceFromHome]]&lt;=5,1,IF(HR_Data[[#This Row],[DistanceFromHome]]&lt;=10,2,IF(HR_Data[[#This Row],[DistanceFromHome]]&lt;=20,3,4)))</f>
        <v>1</v>
      </c>
      <c r="AS1270" s="1" t="str">
        <f>IF(HR_Data[[#This Row],[TotalWorkingYears]]&lt;=5,"0-5 Yrs",IF(HR_Data[[#This Row],[TotalWorkingYears]]&lt;=10,"6-10 Yrs",IF(HR_Data[[#This Row],[TotalWorkingYears]]&lt;=20,"11-20 Yrs","20+ Yrs")))</f>
        <v>20+ Yrs</v>
      </c>
      <c r="AT1270" s="1">
        <f>IF(HR_Data[[#This Row],[TotalWorkingYears]]&lt;=5,1,IF(HR_Data[[#This Row],[TotalWorkingYears]]&lt;=10,2,IF(HR_Data[[#This Row],[TotalWorkingYears]]&lt;=20,3,4)))</f>
        <v>4</v>
      </c>
    </row>
    <row r="1271" spans="1:46" x14ac:dyDescent="0.25">
      <c r="A1271">
        <v>43</v>
      </c>
      <c r="B1271" t="s">
        <v>36</v>
      </c>
      <c r="C1271" t="s">
        <v>30</v>
      </c>
      <c r="D1271" t="s">
        <v>54</v>
      </c>
      <c r="E1271">
        <v>2</v>
      </c>
      <c r="F1271">
        <v>3</v>
      </c>
      <c r="G1271" t="s">
        <v>32</v>
      </c>
      <c r="H1271">
        <v>1778</v>
      </c>
      <c r="I1271">
        <v>2</v>
      </c>
      <c r="J1271" t="s">
        <v>39</v>
      </c>
      <c r="K1271">
        <v>3</v>
      </c>
      <c r="L1271">
        <v>1</v>
      </c>
      <c r="M1271" t="s">
        <v>54</v>
      </c>
      <c r="N1271">
        <v>4</v>
      </c>
      <c r="O1271" t="s">
        <v>35</v>
      </c>
      <c r="P1271">
        <v>3539</v>
      </c>
      <c r="Q1271">
        <v>0</v>
      </c>
      <c r="R1271" t="s">
        <v>36</v>
      </c>
      <c r="S1271">
        <v>13</v>
      </c>
      <c r="T1271">
        <v>3</v>
      </c>
      <c r="U1271">
        <v>2</v>
      </c>
      <c r="V1271">
        <v>0</v>
      </c>
      <c r="W1271">
        <v>10</v>
      </c>
      <c r="X1271">
        <v>5</v>
      </c>
      <c r="Y1271">
        <v>3</v>
      </c>
      <c r="Z1271">
        <v>9</v>
      </c>
      <c r="AA1271">
        <v>7</v>
      </c>
      <c r="AB1271">
        <v>1</v>
      </c>
      <c r="AC1271">
        <v>8</v>
      </c>
      <c r="AD1271">
        <f>IF(HR_Data[[#This Row],[Attrition]]="Yes",1,0)</f>
        <v>0</v>
      </c>
      <c r="AE1271" t="str">
        <f>IF(HR_Data[[#This Row],[Age]]&lt;=25,"18-25",IF(HR_Data[[#This Row],[Age]]&lt;=35,"26-35",IF(HR_Data[[#This Row],[Age]]&lt;=45,"36-45",IF(HR_Data[[#This Row],[Age]]&lt;=55,"46-55","55+"))))</f>
        <v>36-45</v>
      </c>
      <c r="AF1271">
        <f>IF(HR_Data[[#This Row],[Age]]&lt;=25,1,IF(HR_Data[[#This Row],[Age]]&lt;=35,2,IF(HR_Data[[#This Row],[Age]]&lt;=45,3,IF(HR_Data[[#This Row],[Age]]&lt;=55,4,5))))</f>
        <v>3</v>
      </c>
      <c r="AG1271" s="1" t="str">
        <f>IF(HR_Data[[#This Row],[MonthlyIncome]]&lt;3000,"&lt;3K",IF(HR_Data[[#This Row],[MonthlyIncome]]&lt;6000,"3K-6K",IF(HR_Data[[#This Row],[MonthlyIncome]]&lt;10000,"6K-10K","10K+")))</f>
        <v>3K-6K</v>
      </c>
      <c r="AH1271" s="1">
        <f>IF(HR_Data[[#This Row],[MonthlyIncome]]&lt;3000,1,IF(HR_Data[[#This Row],[MonthlyIncome]]&lt;6000,2,IF(HR_Data[[#This Row],[MonthlyIncome]]&lt;10000,3,4)))</f>
        <v>2</v>
      </c>
      <c r="AI1271" s="1" t="str">
        <f>IF(HR_Data[[#This Row],[YearsAtCompany]]&lt;=2,"0-2 Yrs",IF(HR_Data[[#This Row],[YearsAtCompany]]&lt;=5,"3-5 Yrs",IF(HR_Data[[#This Row],[YearsAtCompany]]&lt;=10,"6-10 Yrs","10+ Yrs")))</f>
        <v>6-10 Yrs</v>
      </c>
      <c r="AJ1271" s="1">
        <f>IF(HR_Data[[#This Row],[YearsAtCompany]]&lt;=2,1,IF(HR_Data[[#This Row],[YearsAtCompany]]&lt;=5,2,IF(HR_Data[[#This Row],[YearsAtCompany]]&lt;=10,3,4)))</f>
        <v>3</v>
      </c>
      <c r="AK1271" s="1" t="str">
        <f>CHOOSE(HR_Data[[#This Row],[Education]],"Below College","College","Bachelor","Master","Doctor")</f>
        <v>Bachelor</v>
      </c>
      <c r="AL1271" s="1" t="str">
        <f>CHOOSE(HR_Data[[#This Row],[JobSatisfaction]],"Low","Medium","High","Very High")</f>
        <v>Very High</v>
      </c>
      <c r="AM1271" s="1" t="str">
        <f>CHOOSE(HR_Data[[#This Row],[EnvironmentSatisfaction]],"Low","Medium","High","Very High")</f>
        <v>Medium</v>
      </c>
      <c r="AN1271" s="1" t="str">
        <f>CHOOSE(HR_Data[[#This Row],[WorkLifeBalance]],"Bad","Good","Better","Best")</f>
        <v>Better</v>
      </c>
      <c r="AO1271" s="1" t="str">
        <f>IF(HR_Data[[#This Row],[PercentSalaryHike]]&lt;=13,"11-13%",IF(HR_Data[[#This Row],[PercentSalaryHike]]&lt;=16,"14-16%",IF(HR_Data[[#This Row],[PercentSalaryHike]]&lt;=19,"17-19%","20-25%")))</f>
        <v>11-13%</v>
      </c>
      <c r="AP1271" s="1">
        <f>IF(HR_Data[[#This Row],[PercentSalaryHike]]&lt;=13,1,IF(HR_Data[[#This Row],[PercentSalaryHike]]&lt;=16,2,IF(HR_Data[[#This Row],[PercentSalaryHike]]&lt;=19,3,4)))</f>
        <v>1</v>
      </c>
      <c r="AQ1271" s="1" t="str">
        <f>IF(HR_Data[[#This Row],[DistanceFromHome]]&lt;=5,"1 to 5",IF(HR_Data[[#This Row],[DistanceFromHome]]&lt;=10,"6 to 10",IF(HR_Data[[#This Row],[DistanceFromHome]]&lt;=20,"11 to 20","21 to 29")))</f>
        <v>1 to 5</v>
      </c>
      <c r="AR1271" s="1">
        <f>IF(HR_Data[[#This Row],[DistanceFromHome]]&lt;=5,1,IF(HR_Data[[#This Row],[DistanceFromHome]]&lt;=10,2,IF(HR_Data[[#This Row],[DistanceFromHome]]&lt;=20,3,4)))</f>
        <v>1</v>
      </c>
      <c r="AS1271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271" s="1">
        <f>IF(HR_Data[[#This Row],[TotalWorkingYears]]&lt;=5,1,IF(HR_Data[[#This Row],[TotalWorkingYears]]&lt;=10,2,IF(HR_Data[[#This Row],[TotalWorkingYears]]&lt;=20,3,4)))</f>
        <v>2</v>
      </c>
    </row>
    <row r="1272" spans="1:46" x14ac:dyDescent="0.25">
      <c r="A1272">
        <v>34</v>
      </c>
      <c r="B1272" t="s">
        <v>36</v>
      </c>
      <c r="C1272" t="s">
        <v>30</v>
      </c>
      <c r="D1272" t="s">
        <v>31</v>
      </c>
      <c r="E1272">
        <v>3</v>
      </c>
      <c r="F1272">
        <v>2</v>
      </c>
      <c r="G1272" t="s">
        <v>32</v>
      </c>
      <c r="H1272">
        <v>1779</v>
      </c>
      <c r="I1272">
        <v>4</v>
      </c>
      <c r="J1272" t="s">
        <v>33</v>
      </c>
      <c r="K1272">
        <v>1</v>
      </c>
      <c r="L1272">
        <v>2</v>
      </c>
      <c r="M1272" t="s">
        <v>34</v>
      </c>
      <c r="N1272">
        <v>4</v>
      </c>
      <c r="O1272" t="s">
        <v>35</v>
      </c>
      <c r="P1272">
        <v>6029</v>
      </c>
      <c r="Q1272">
        <v>5</v>
      </c>
      <c r="R1272" t="s">
        <v>36</v>
      </c>
      <c r="S1272">
        <v>12</v>
      </c>
      <c r="T1272">
        <v>3</v>
      </c>
      <c r="U1272">
        <v>1</v>
      </c>
      <c r="V1272">
        <v>0</v>
      </c>
      <c r="W1272">
        <v>6</v>
      </c>
      <c r="X1272">
        <v>3</v>
      </c>
      <c r="Y1272">
        <v>3</v>
      </c>
      <c r="Z1272">
        <v>2</v>
      </c>
      <c r="AA1272">
        <v>2</v>
      </c>
      <c r="AB1272">
        <v>2</v>
      </c>
      <c r="AC1272">
        <v>2</v>
      </c>
      <c r="AD1272">
        <f>IF(HR_Data[[#This Row],[Attrition]]="Yes",1,0)</f>
        <v>0</v>
      </c>
      <c r="AE1272" t="str">
        <f>IF(HR_Data[[#This Row],[Age]]&lt;=25,"18-25",IF(HR_Data[[#This Row],[Age]]&lt;=35,"26-35",IF(HR_Data[[#This Row],[Age]]&lt;=45,"36-45",IF(HR_Data[[#This Row],[Age]]&lt;=55,"46-55","55+"))))</f>
        <v>26-35</v>
      </c>
      <c r="AF1272">
        <f>IF(HR_Data[[#This Row],[Age]]&lt;=25,1,IF(HR_Data[[#This Row],[Age]]&lt;=35,2,IF(HR_Data[[#This Row],[Age]]&lt;=45,3,IF(HR_Data[[#This Row],[Age]]&lt;=55,4,5))))</f>
        <v>2</v>
      </c>
      <c r="AG1272" s="1" t="str">
        <f>IF(HR_Data[[#This Row],[MonthlyIncome]]&lt;3000,"&lt;3K",IF(HR_Data[[#This Row],[MonthlyIncome]]&lt;6000,"3K-6K",IF(HR_Data[[#This Row],[MonthlyIncome]]&lt;10000,"6K-10K","10K+")))</f>
        <v>6K-10K</v>
      </c>
      <c r="AH1272" s="1">
        <f>IF(HR_Data[[#This Row],[MonthlyIncome]]&lt;3000,1,IF(HR_Data[[#This Row],[MonthlyIncome]]&lt;6000,2,IF(HR_Data[[#This Row],[MonthlyIncome]]&lt;10000,3,4)))</f>
        <v>3</v>
      </c>
      <c r="AI1272" s="1" t="str">
        <f>IF(HR_Data[[#This Row],[YearsAtCompany]]&lt;=2,"0-2 Yrs",IF(HR_Data[[#This Row],[YearsAtCompany]]&lt;=5,"3-5 Yrs",IF(HR_Data[[#This Row],[YearsAtCompany]]&lt;=10,"6-10 Yrs","10+ Yrs")))</f>
        <v>0-2 Yrs</v>
      </c>
      <c r="AJ1272" s="1">
        <f>IF(HR_Data[[#This Row],[YearsAtCompany]]&lt;=2,1,IF(HR_Data[[#This Row],[YearsAtCompany]]&lt;=5,2,IF(HR_Data[[#This Row],[YearsAtCompany]]&lt;=10,3,4)))</f>
        <v>1</v>
      </c>
      <c r="AK1272" s="1" t="str">
        <f>CHOOSE(HR_Data[[#This Row],[Education]],"Below College","College","Bachelor","Master","Doctor")</f>
        <v>College</v>
      </c>
      <c r="AL1272" s="1" t="str">
        <f>CHOOSE(HR_Data[[#This Row],[JobSatisfaction]],"Low","Medium","High","Very High")</f>
        <v>Very High</v>
      </c>
      <c r="AM1272" s="1" t="str">
        <f>CHOOSE(HR_Data[[#This Row],[EnvironmentSatisfaction]],"Low","Medium","High","Very High")</f>
        <v>Very High</v>
      </c>
      <c r="AN1272" s="1" t="str">
        <f>CHOOSE(HR_Data[[#This Row],[WorkLifeBalance]],"Bad","Good","Better","Best")</f>
        <v>Better</v>
      </c>
      <c r="AO1272" s="1" t="str">
        <f>IF(HR_Data[[#This Row],[PercentSalaryHike]]&lt;=13,"11-13%",IF(HR_Data[[#This Row],[PercentSalaryHike]]&lt;=16,"14-16%",IF(HR_Data[[#This Row],[PercentSalaryHike]]&lt;=19,"17-19%","20-25%")))</f>
        <v>11-13%</v>
      </c>
      <c r="AP1272" s="1">
        <f>IF(HR_Data[[#This Row],[PercentSalaryHike]]&lt;=13,1,IF(HR_Data[[#This Row],[PercentSalaryHike]]&lt;=16,2,IF(HR_Data[[#This Row],[PercentSalaryHike]]&lt;=19,3,4)))</f>
        <v>1</v>
      </c>
      <c r="AQ1272" s="1" t="str">
        <f>IF(HR_Data[[#This Row],[DistanceFromHome]]&lt;=5,"1 to 5",IF(HR_Data[[#This Row],[DistanceFromHome]]&lt;=10,"6 to 10",IF(HR_Data[[#This Row],[DistanceFromHome]]&lt;=20,"11 to 20","21 to 29")))</f>
        <v>1 to 5</v>
      </c>
      <c r="AR1272" s="1">
        <f>IF(HR_Data[[#This Row],[DistanceFromHome]]&lt;=5,1,IF(HR_Data[[#This Row],[DistanceFromHome]]&lt;=10,2,IF(HR_Data[[#This Row],[DistanceFromHome]]&lt;=20,3,4)))</f>
        <v>1</v>
      </c>
      <c r="AS1272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272" s="1">
        <f>IF(HR_Data[[#This Row],[TotalWorkingYears]]&lt;=5,1,IF(HR_Data[[#This Row],[TotalWorkingYears]]&lt;=10,2,IF(HR_Data[[#This Row],[TotalWorkingYears]]&lt;=20,3,4)))</f>
        <v>2</v>
      </c>
    </row>
    <row r="1273" spans="1:46" x14ac:dyDescent="0.25">
      <c r="A1273">
        <v>21</v>
      </c>
      <c r="B1273" t="s">
        <v>29</v>
      </c>
      <c r="C1273" t="s">
        <v>30</v>
      </c>
      <c r="D1273" t="s">
        <v>31</v>
      </c>
      <c r="E1273">
        <v>7</v>
      </c>
      <c r="F1273">
        <v>1</v>
      </c>
      <c r="G1273" t="s">
        <v>52</v>
      </c>
      <c r="H1273">
        <v>1780</v>
      </c>
      <c r="I1273">
        <v>2</v>
      </c>
      <c r="J1273" t="s">
        <v>39</v>
      </c>
      <c r="K1273">
        <v>3</v>
      </c>
      <c r="L1273">
        <v>1</v>
      </c>
      <c r="M1273" t="s">
        <v>50</v>
      </c>
      <c r="N1273">
        <v>2</v>
      </c>
      <c r="O1273" t="s">
        <v>35</v>
      </c>
      <c r="P1273">
        <v>2679</v>
      </c>
      <c r="Q1273">
        <v>1</v>
      </c>
      <c r="R1273" t="s">
        <v>36</v>
      </c>
      <c r="S1273">
        <v>13</v>
      </c>
      <c r="T1273">
        <v>3</v>
      </c>
      <c r="U1273">
        <v>2</v>
      </c>
      <c r="V1273">
        <v>0</v>
      </c>
      <c r="W1273">
        <v>1</v>
      </c>
      <c r="X1273">
        <v>3</v>
      </c>
      <c r="Y1273">
        <v>3</v>
      </c>
      <c r="Z1273">
        <v>1</v>
      </c>
      <c r="AA1273">
        <v>0</v>
      </c>
      <c r="AB1273">
        <v>1</v>
      </c>
      <c r="AC1273">
        <v>0</v>
      </c>
      <c r="AD1273">
        <f>IF(HR_Data[[#This Row],[Attrition]]="Yes",1,0)</f>
        <v>1</v>
      </c>
      <c r="AE1273" t="str">
        <f>IF(HR_Data[[#This Row],[Age]]&lt;=25,"18-25",IF(HR_Data[[#This Row],[Age]]&lt;=35,"26-35",IF(HR_Data[[#This Row],[Age]]&lt;=45,"36-45",IF(HR_Data[[#This Row],[Age]]&lt;=55,"46-55","55+"))))</f>
        <v>18-25</v>
      </c>
      <c r="AF1273">
        <f>IF(HR_Data[[#This Row],[Age]]&lt;=25,1,IF(HR_Data[[#This Row],[Age]]&lt;=35,2,IF(HR_Data[[#This Row],[Age]]&lt;=45,3,IF(HR_Data[[#This Row],[Age]]&lt;=55,4,5))))</f>
        <v>1</v>
      </c>
      <c r="AG1273" s="1" t="str">
        <f>IF(HR_Data[[#This Row],[MonthlyIncome]]&lt;3000,"&lt;3K",IF(HR_Data[[#This Row],[MonthlyIncome]]&lt;6000,"3K-6K",IF(HR_Data[[#This Row],[MonthlyIncome]]&lt;10000,"6K-10K","10K+")))</f>
        <v>&lt;3K</v>
      </c>
      <c r="AH1273" s="1">
        <f>IF(HR_Data[[#This Row],[MonthlyIncome]]&lt;3000,1,IF(HR_Data[[#This Row],[MonthlyIncome]]&lt;6000,2,IF(HR_Data[[#This Row],[MonthlyIncome]]&lt;10000,3,4)))</f>
        <v>1</v>
      </c>
      <c r="AI1273" s="1" t="str">
        <f>IF(HR_Data[[#This Row],[YearsAtCompany]]&lt;=2,"0-2 Yrs",IF(HR_Data[[#This Row],[YearsAtCompany]]&lt;=5,"3-5 Yrs",IF(HR_Data[[#This Row],[YearsAtCompany]]&lt;=10,"6-10 Yrs","10+ Yrs")))</f>
        <v>0-2 Yrs</v>
      </c>
      <c r="AJ1273" s="1">
        <f>IF(HR_Data[[#This Row],[YearsAtCompany]]&lt;=2,1,IF(HR_Data[[#This Row],[YearsAtCompany]]&lt;=5,2,IF(HR_Data[[#This Row],[YearsAtCompany]]&lt;=10,3,4)))</f>
        <v>1</v>
      </c>
      <c r="AK1273" s="1" t="str">
        <f>CHOOSE(HR_Data[[#This Row],[Education]],"Below College","College","Bachelor","Master","Doctor")</f>
        <v>Below College</v>
      </c>
      <c r="AL1273" s="1" t="str">
        <f>CHOOSE(HR_Data[[#This Row],[JobSatisfaction]],"Low","Medium","High","Very High")</f>
        <v>Medium</v>
      </c>
      <c r="AM1273" s="1" t="str">
        <f>CHOOSE(HR_Data[[#This Row],[EnvironmentSatisfaction]],"Low","Medium","High","Very High")</f>
        <v>Medium</v>
      </c>
      <c r="AN1273" s="1" t="str">
        <f>CHOOSE(HR_Data[[#This Row],[WorkLifeBalance]],"Bad","Good","Better","Best")</f>
        <v>Better</v>
      </c>
      <c r="AO1273" s="1" t="str">
        <f>IF(HR_Data[[#This Row],[PercentSalaryHike]]&lt;=13,"11-13%",IF(HR_Data[[#This Row],[PercentSalaryHike]]&lt;=16,"14-16%",IF(HR_Data[[#This Row],[PercentSalaryHike]]&lt;=19,"17-19%","20-25%")))</f>
        <v>11-13%</v>
      </c>
      <c r="AP1273" s="1">
        <f>IF(HR_Data[[#This Row],[PercentSalaryHike]]&lt;=13,1,IF(HR_Data[[#This Row],[PercentSalaryHike]]&lt;=16,2,IF(HR_Data[[#This Row],[PercentSalaryHike]]&lt;=19,3,4)))</f>
        <v>1</v>
      </c>
      <c r="AQ1273" s="1" t="str">
        <f>IF(HR_Data[[#This Row],[DistanceFromHome]]&lt;=5,"1 to 5",IF(HR_Data[[#This Row],[DistanceFromHome]]&lt;=10,"6 to 10",IF(HR_Data[[#This Row],[DistanceFromHome]]&lt;=20,"11 to 20","21 to 29")))</f>
        <v>6 to 10</v>
      </c>
      <c r="AR1273" s="1">
        <f>IF(HR_Data[[#This Row],[DistanceFromHome]]&lt;=5,1,IF(HR_Data[[#This Row],[DistanceFromHome]]&lt;=10,2,IF(HR_Data[[#This Row],[DistanceFromHome]]&lt;=20,3,4)))</f>
        <v>2</v>
      </c>
      <c r="AS1273" s="1" t="str">
        <f>IF(HR_Data[[#This Row],[TotalWorkingYears]]&lt;=5,"0-5 Yrs",IF(HR_Data[[#This Row],[TotalWorkingYears]]&lt;=10,"6-10 Yrs",IF(HR_Data[[#This Row],[TotalWorkingYears]]&lt;=20,"11-20 Yrs","20+ Yrs")))</f>
        <v>0-5 Yrs</v>
      </c>
      <c r="AT1273" s="1">
        <f>IF(HR_Data[[#This Row],[TotalWorkingYears]]&lt;=5,1,IF(HR_Data[[#This Row],[TotalWorkingYears]]&lt;=10,2,IF(HR_Data[[#This Row],[TotalWorkingYears]]&lt;=20,3,4)))</f>
        <v>1</v>
      </c>
    </row>
    <row r="1274" spans="1:46" x14ac:dyDescent="0.25">
      <c r="A1274">
        <v>38</v>
      </c>
      <c r="B1274" t="s">
        <v>36</v>
      </c>
      <c r="C1274" t="s">
        <v>30</v>
      </c>
      <c r="D1274" t="s">
        <v>38</v>
      </c>
      <c r="E1274">
        <v>6</v>
      </c>
      <c r="F1274">
        <v>2</v>
      </c>
      <c r="G1274" t="s">
        <v>42</v>
      </c>
      <c r="H1274">
        <v>1782</v>
      </c>
      <c r="I1274">
        <v>4</v>
      </c>
      <c r="J1274" t="s">
        <v>33</v>
      </c>
      <c r="K1274">
        <v>2</v>
      </c>
      <c r="L1274">
        <v>1</v>
      </c>
      <c r="M1274" t="s">
        <v>43</v>
      </c>
      <c r="N1274">
        <v>3</v>
      </c>
      <c r="O1274" t="s">
        <v>41</v>
      </c>
      <c r="P1274">
        <v>3702</v>
      </c>
      <c r="Q1274">
        <v>1</v>
      </c>
      <c r="R1274" t="s">
        <v>36</v>
      </c>
      <c r="S1274">
        <v>11</v>
      </c>
      <c r="T1274">
        <v>3</v>
      </c>
      <c r="U1274">
        <v>2</v>
      </c>
      <c r="V1274">
        <v>1</v>
      </c>
      <c r="W1274">
        <v>5</v>
      </c>
      <c r="X1274">
        <v>3</v>
      </c>
      <c r="Y1274">
        <v>3</v>
      </c>
      <c r="Z1274">
        <v>5</v>
      </c>
      <c r="AA1274">
        <v>4</v>
      </c>
      <c r="AB1274">
        <v>0</v>
      </c>
      <c r="AC1274">
        <v>4</v>
      </c>
      <c r="AD1274">
        <f>IF(HR_Data[[#This Row],[Attrition]]="Yes",1,0)</f>
        <v>0</v>
      </c>
      <c r="AE1274" t="str">
        <f>IF(HR_Data[[#This Row],[Age]]&lt;=25,"18-25",IF(HR_Data[[#This Row],[Age]]&lt;=35,"26-35",IF(HR_Data[[#This Row],[Age]]&lt;=45,"36-45",IF(HR_Data[[#This Row],[Age]]&lt;=55,"46-55","55+"))))</f>
        <v>36-45</v>
      </c>
      <c r="AF1274">
        <f>IF(HR_Data[[#This Row],[Age]]&lt;=25,1,IF(HR_Data[[#This Row],[Age]]&lt;=35,2,IF(HR_Data[[#This Row],[Age]]&lt;=45,3,IF(HR_Data[[#This Row],[Age]]&lt;=55,4,5))))</f>
        <v>3</v>
      </c>
      <c r="AG1274" s="1" t="str">
        <f>IF(HR_Data[[#This Row],[MonthlyIncome]]&lt;3000,"&lt;3K",IF(HR_Data[[#This Row],[MonthlyIncome]]&lt;6000,"3K-6K",IF(HR_Data[[#This Row],[MonthlyIncome]]&lt;10000,"6K-10K","10K+")))</f>
        <v>3K-6K</v>
      </c>
      <c r="AH1274" s="1">
        <f>IF(HR_Data[[#This Row],[MonthlyIncome]]&lt;3000,1,IF(HR_Data[[#This Row],[MonthlyIncome]]&lt;6000,2,IF(HR_Data[[#This Row],[MonthlyIncome]]&lt;10000,3,4)))</f>
        <v>2</v>
      </c>
      <c r="AI1274" s="1" t="str">
        <f>IF(HR_Data[[#This Row],[YearsAtCompany]]&lt;=2,"0-2 Yrs",IF(HR_Data[[#This Row],[YearsAtCompany]]&lt;=5,"3-5 Yrs",IF(HR_Data[[#This Row],[YearsAtCompany]]&lt;=10,"6-10 Yrs","10+ Yrs")))</f>
        <v>3-5 Yrs</v>
      </c>
      <c r="AJ1274" s="1">
        <f>IF(HR_Data[[#This Row],[YearsAtCompany]]&lt;=2,1,IF(HR_Data[[#This Row],[YearsAtCompany]]&lt;=5,2,IF(HR_Data[[#This Row],[YearsAtCompany]]&lt;=10,3,4)))</f>
        <v>2</v>
      </c>
      <c r="AK1274" s="1" t="str">
        <f>CHOOSE(HR_Data[[#This Row],[Education]],"Below College","College","Bachelor","Master","Doctor")</f>
        <v>College</v>
      </c>
      <c r="AL1274" s="1" t="str">
        <f>CHOOSE(HR_Data[[#This Row],[JobSatisfaction]],"Low","Medium","High","Very High")</f>
        <v>High</v>
      </c>
      <c r="AM1274" s="1" t="str">
        <f>CHOOSE(HR_Data[[#This Row],[EnvironmentSatisfaction]],"Low","Medium","High","Very High")</f>
        <v>Very High</v>
      </c>
      <c r="AN1274" s="1" t="str">
        <f>CHOOSE(HR_Data[[#This Row],[WorkLifeBalance]],"Bad","Good","Better","Best")</f>
        <v>Better</v>
      </c>
      <c r="AO1274" s="1" t="str">
        <f>IF(HR_Data[[#This Row],[PercentSalaryHike]]&lt;=13,"11-13%",IF(HR_Data[[#This Row],[PercentSalaryHike]]&lt;=16,"14-16%",IF(HR_Data[[#This Row],[PercentSalaryHike]]&lt;=19,"17-19%","20-25%")))</f>
        <v>11-13%</v>
      </c>
      <c r="AP1274" s="1">
        <f>IF(HR_Data[[#This Row],[PercentSalaryHike]]&lt;=13,1,IF(HR_Data[[#This Row],[PercentSalaryHike]]&lt;=16,2,IF(HR_Data[[#This Row],[PercentSalaryHike]]&lt;=19,3,4)))</f>
        <v>1</v>
      </c>
      <c r="AQ1274" s="1" t="str">
        <f>IF(HR_Data[[#This Row],[DistanceFromHome]]&lt;=5,"1 to 5",IF(HR_Data[[#This Row],[DistanceFromHome]]&lt;=10,"6 to 10",IF(HR_Data[[#This Row],[DistanceFromHome]]&lt;=20,"11 to 20","21 to 29")))</f>
        <v>6 to 10</v>
      </c>
      <c r="AR1274" s="1">
        <f>IF(HR_Data[[#This Row],[DistanceFromHome]]&lt;=5,1,IF(HR_Data[[#This Row],[DistanceFromHome]]&lt;=10,2,IF(HR_Data[[#This Row],[DistanceFromHome]]&lt;=20,3,4)))</f>
        <v>2</v>
      </c>
      <c r="AS1274" s="1" t="str">
        <f>IF(HR_Data[[#This Row],[TotalWorkingYears]]&lt;=5,"0-5 Yrs",IF(HR_Data[[#This Row],[TotalWorkingYears]]&lt;=10,"6-10 Yrs",IF(HR_Data[[#This Row],[TotalWorkingYears]]&lt;=20,"11-20 Yrs","20+ Yrs")))</f>
        <v>0-5 Yrs</v>
      </c>
      <c r="AT1274" s="1">
        <f>IF(HR_Data[[#This Row],[TotalWorkingYears]]&lt;=5,1,IF(HR_Data[[#This Row],[TotalWorkingYears]]&lt;=10,2,IF(HR_Data[[#This Row],[TotalWorkingYears]]&lt;=20,3,4)))</f>
        <v>1</v>
      </c>
    </row>
    <row r="1275" spans="1:46" x14ac:dyDescent="0.25">
      <c r="A1275">
        <v>22</v>
      </c>
      <c r="B1275" t="s">
        <v>29</v>
      </c>
      <c r="C1275" t="s">
        <v>30</v>
      </c>
      <c r="D1275" t="s">
        <v>38</v>
      </c>
      <c r="E1275">
        <v>8</v>
      </c>
      <c r="F1275">
        <v>1</v>
      </c>
      <c r="G1275" t="s">
        <v>44</v>
      </c>
      <c r="H1275">
        <v>1783</v>
      </c>
      <c r="I1275">
        <v>3</v>
      </c>
      <c r="J1275" t="s">
        <v>33</v>
      </c>
      <c r="K1275">
        <v>3</v>
      </c>
      <c r="L1275">
        <v>1</v>
      </c>
      <c r="M1275" t="s">
        <v>43</v>
      </c>
      <c r="N1275">
        <v>1</v>
      </c>
      <c r="O1275" t="s">
        <v>41</v>
      </c>
      <c r="P1275">
        <v>2398</v>
      </c>
      <c r="Q1275">
        <v>1</v>
      </c>
      <c r="R1275" t="s">
        <v>29</v>
      </c>
      <c r="S1275">
        <v>17</v>
      </c>
      <c r="T1275">
        <v>3</v>
      </c>
      <c r="U1275">
        <v>3</v>
      </c>
      <c r="V1275">
        <v>0</v>
      </c>
      <c r="W1275">
        <v>1</v>
      </c>
      <c r="X1275">
        <v>6</v>
      </c>
      <c r="Y1275">
        <v>3</v>
      </c>
      <c r="Z1275">
        <v>1</v>
      </c>
      <c r="AA1275">
        <v>0</v>
      </c>
      <c r="AB1275">
        <v>0</v>
      </c>
      <c r="AC1275">
        <v>0</v>
      </c>
      <c r="AD1275">
        <f>IF(HR_Data[[#This Row],[Attrition]]="Yes",1,0)</f>
        <v>1</v>
      </c>
      <c r="AE1275" t="str">
        <f>IF(HR_Data[[#This Row],[Age]]&lt;=25,"18-25",IF(HR_Data[[#This Row],[Age]]&lt;=35,"26-35",IF(HR_Data[[#This Row],[Age]]&lt;=45,"36-45",IF(HR_Data[[#This Row],[Age]]&lt;=55,"46-55","55+"))))</f>
        <v>18-25</v>
      </c>
      <c r="AF1275">
        <f>IF(HR_Data[[#This Row],[Age]]&lt;=25,1,IF(HR_Data[[#This Row],[Age]]&lt;=35,2,IF(HR_Data[[#This Row],[Age]]&lt;=45,3,IF(HR_Data[[#This Row],[Age]]&lt;=55,4,5))))</f>
        <v>1</v>
      </c>
      <c r="AG1275" s="1" t="str">
        <f>IF(HR_Data[[#This Row],[MonthlyIncome]]&lt;3000,"&lt;3K",IF(HR_Data[[#This Row],[MonthlyIncome]]&lt;6000,"3K-6K",IF(HR_Data[[#This Row],[MonthlyIncome]]&lt;10000,"6K-10K","10K+")))</f>
        <v>&lt;3K</v>
      </c>
      <c r="AH1275" s="1">
        <f>IF(HR_Data[[#This Row],[MonthlyIncome]]&lt;3000,1,IF(HR_Data[[#This Row],[MonthlyIncome]]&lt;6000,2,IF(HR_Data[[#This Row],[MonthlyIncome]]&lt;10000,3,4)))</f>
        <v>1</v>
      </c>
      <c r="AI1275" s="1" t="str">
        <f>IF(HR_Data[[#This Row],[YearsAtCompany]]&lt;=2,"0-2 Yrs",IF(HR_Data[[#This Row],[YearsAtCompany]]&lt;=5,"3-5 Yrs",IF(HR_Data[[#This Row],[YearsAtCompany]]&lt;=10,"6-10 Yrs","10+ Yrs")))</f>
        <v>0-2 Yrs</v>
      </c>
      <c r="AJ1275" s="1">
        <f>IF(HR_Data[[#This Row],[YearsAtCompany]]&lt;=2,1,IF(HR_Data[[#This Row],[YearsAtCompany]]&lt;=5,2,IF(HR_Data[[#This Row],[YearsAtCompany]]&lt;=10,3,4)))</f>
        <v>1</v>
      </c>
      <c r="AK1275" s="1" t="str">
        <f>CHOOSE(HR_Data[[#This Row],[Education]],"Below College","College","Bachelor","Master","Doctor")</f>
        <v>Below College</v>
      </c>
      <c r="AL1275" s="1" t="str">
        <f>CHOOSE(HR_Data[[#This Row],[JobSatisfaction]],"Low","Medium","High","Very High")</f>
        <v>Low</v>
      </c>
      <c r="AM1275" s="1" t="str">
        <f>CHOOSE(HR_Data[[#This Row],[EnvironmentSatisfaction]],"Low","Medium","High","Very High")</f>
        <v>High</v>
      </c>
      <c r="AN1275" s="1" t="str">
        <f>CHOOSE(HR_Data[[#This Row],[WorkLifeBalance]],"Bad","Good","Better","Best")</f>
        <v>Better</v>
      </c>
      <c r="AO1275" s="1" t="str">
        <f>IF(HR_Data[[#This Row],[PercentSalaryHike]]&lt;=13,"11-13%",IF(HR_Data[[#This Row],[PercentSalaryHike]]&lt;=16,"14-16%",IF(HR_Data[[#This Row],[PercentSalaryHike]]&lt;=19,"17-19%","20-25%")))</f>
        <v>17-19%</v>
      </c>
      <c r="AP1275" s="1">
        <f>IF(HR_Data[[#This Row],[PercentSalaryHike]]&lt;=13,1,IF(HR_Data[[#This Row],[PercentSalaryHike]]&lt;=16,2,IF(HR_Data[[#This Row],[PercentSalaryHike]]&lt;=19,3,4)))</f>
        <v>3</v>
      </c>
      <c r="AQ1275" s="1" t="str">
        <f>IF(HR_Data[[#This Row],[DistanceFromHome]]&lt;=5,"1 to 5",IF(HR_Data[[#This Row],[DistanceFromHome]]&lt;=10,"6 to 10",IF(HR_Data[[#This Row],[DistanceFromHome]]&lt;=20,"11 to 20","21 to 29")))</f>
        <v>6 to 10</v>
      </c>
      <c r="AR1275" s="1">
        <f>IF(HR_Data[[#This Row],[DistanceFromHome]]&lt;=5,1,IF(HR_Data[[#This Row],[DistanceFromHome]]&lt;=10,2,IF(HR_Data[[#This Row],[DistanceFromHome]]&lt;=20,3,4)))</f>
        <v>2</v>
      </c>
      <c r="AS1275" s="1" t="str">
        <f>IF(HR_Data[[#This Row],[TotalWorkingYears]]&lt;=5,"0-5 Yrs",IF(HR_Data[[#This Row],[TotalWorkingYears]]&lt;=10,"6-10 Yrs",IF(HR_Data[[#This Row],[TotalWorkingYears]]&lt;=20,"11-20 Yrs","20+ Yrs")))</f>
        <v>0-5 Yrs</v>
      </c>
      <c r="AT1275" s="1">
        <f>IF(HR_Data[[#This Row],[TotalWorkingYears]]&lt;=5,1,IF(HR_Data[[#This Row],[TotalWorkingYears]]&lt;=10,2,IF(HR_Data[[#This Row],[TotalWorkingYears]]&lt;=20,3,4)))</f>
        <v>1</v>
      </c>
    </row>
    <row r="1276" spans="1:46" x14ac:dyDescent="0.25">
      <c r="A1276">
        <v>31</v>
      </c>
      <c r="B1276" t="s">
        <v>36</v>
      </c>
      <c r="C1276" t="s">
        <v>30</v>
      </c>
      <c r="D1276" t="s">
        <v>31</v>
      </c>
      <c r="E1276">
        <v>29</v>
      </c>
      <c r="F1276">
        <v>4</v>
      </c>
      <c r="G1276" t="s">
        <v>52</v>
      </c>
      <c r="H1276">
        <v>1784</v>
      </c>
      <c r="I1276">
        <v>1</v>
      </c>
      <c r="J1276" t="s">
        <v>33</v>
      </c>
      <c r="K1276">
        <v>2</v>
      </c>
      <c r="L1276">
        <v>2</v>
      </c>
      <c r="M1276" t="s">
        <v>34</v>
      </c>
      <c r="N1276">
        <v>4</v>
      </c>
      <c r="O1276" t="s">
        <v>41</v>
      </c>
      <c r="P1276">
        <v>5468</v>
      </c>
      <c r="Q1276">
        <v>1</v>
      </c>
      <c r="R1276" t="s">
        <v>36</v>
      </c>
      <c r="S1276">
        <v>14</v>
      </c>
      <c r="T1276">
        <v>3</v>
      </c>
      <c r="U1276">
        <v>1</v>
      </c>
      <c r="V1276">
        <v>2</v>
      </c>
      <c r="W1276">
        <v>13</v>
      </c>
      <c r="X1276">
        <v>3</v>
      </c>
      <c r="Y1276">
        <v>3</v>
      </c>
      <c r="Z1276">
        <v>12</v>
      </c>
      <c r="AA1276">
        <v>7</v>
      </c>
      <c r="AB1276">
        <v>5</v>
      </c>
      <c r="AC1276">
        <v>7</v>
      </c>
      <c r="AD1276">
        <f>IF(HR_Data[[#This Row],[Attrition]]="Yes",1,0)</f>
        <v>0</v>
      </c>
      <c r="AE1276" t="str">
        <f>IF(HR_Data[[#This Row],[Age]]&lt;=25,"18-25",IF(HR_Data[[#This Row],[Age]]&lt;=35,"26-35",IF(HR_Data[[#This Row],[Age]]&lt;=45,"36-45",IF(HR_Data[[#This Row],[Age]]&lt;=55,"46-55","55+"))))</f>
        <v>26-35</v>
      </c>
      <c r="AF1276">
        <f>IF(HR_Data[[#This Row],[Age]]&lt;=25,1,IF(HR_Data[[#This Row],[Age]]&lt;=35,2,IF(HR_Data[[#This Row],[Age]]&lt;=45,3,IF(HR_Data[[#This Row],[Age]]&lt;=55,4,5))))</f>
        <v>2</v>
      </c>
      <c r="AG1276" s="1" t="str">
        <f>IF(HR_Data[[#This Row],[MonthlyIncome]]&lt;3000,"&lt;3K",IF(HR_Data[[#This Row],[MonthlyIncome]]&lt;6000,"3K-6K",IF(HR_Data[[#This Row],[MonthlyIncome]]&lt;10000,"6K-10K","10K+")))</f>
        <v>3K-6K</v>
      </c>
      <c r="AH1276" s="1">
        <f>IF(HR_Data[[#This Row],[MonthlyIncome]]&lt;3000,1,IF(HR_Data[[#This Row],[MonthlyIncome]]&lt;6000,2,IF(HR_Data[[#This Row],[MonthlyIncome]]&lt;10000,3,4)))</f>
        <v>2</v>
      </c>
      <c r="AI1276" s="1" t="str">
        <f>IF(HR_Data[[#This Row],[YearsAtCompany]]&lt;=2,"0-2 Yrs",IF(HR_Data[[#This Row],[YearsAtCompany]]&lt;=5,"3-5 Yrs",IF(HR_Data[[#This Row],[YearsAtCompany]]&lt;=10,"6-10 Yrs","10+ Yrs")))</f>
        <v>10+ Yrs</v>
      </c>
      <c r="AJ1276" s="1">
        <f>IF(HR_Data[[#This Row],[YearsAtCompany]]&lt;=2,1,IF(HR_Data[[#This Row],[YearsAtCompany]]&lt;=5,2,IF(HR_Data[[#This Row],[YearsAtCompany]]&lt;=10,3,4)))</f>
        <v>4</v>
      </c>
      <c r="AK1276" s="1" t="str">
        <f>CHOOSE(HR_Data[[#This Row],[Education]],"Below College","College","Bachelor","Master","Doctor")</f>
        <v>Master</v>
      </c>
      <c r="AL1276" s="1" t="str">
        <f>CHOOSE(HR_Data[[#This Row],[JobSatisfaction]],"Low","Medium","High","Very High")</f>
        <v>Very High</v>
      </c>
      <c r="AM1276" s="1" t="str">
        <f>CHOOSE(HR_Data[[#This Row],[EnvironmentSatisfaction]],"Low","Medium","High","Very High")</f>
        <v>Low</v>
      </c>
      <c r="AN1276" s="1" t="str">
        <f>CHOOSE(HR_Data[[#This Row],[WorkLifeBalance]],"Bad","Good","Better","Best")</f>
        <v>Better</v>
      </c>
      <c r="AO1276" s="1" t="str">
        <f>IF(HR_Data[[#This Row],[PercentSalaryHike]]&lt;=13,"11-13%",IF(HR_Data[[#This Row],[PercentSalaryHike]]&lt;=16,"14-16%",IF(HR_Data[[#This Row],[PercentSalaryHike]]&lt;=19,"17-19%","20-25%")))</f>
        <v>14-16%</v>
      </c>
      <c r="AP1276" s="1">
        <f>IF(HR_Data[[#This Row],[PercentSalaryHike]]&lt;=13,1,IF(HR_Data[[#This Row],[PercentSalaryHike]]&lt;=16,2,IF(HR_Data[[#This Row],[PercentSalaryHike]]&lt;=19,3,4)))</f>
        <v>2</v>
      </c>
      <c r="AQ1276" s="1" t="str">
        <f>IF(HR_Data[[#This Row],[DistanceFromHome]]&lt;=5,"1 to 5",IF(HR_Data[[#This Row],[DistanceFromHome]]&lt;=10,"6 to 10",IF(HR_Data[[#This Row],[DistanceFromHome]]&lt;=20,"11 to 20","21 to 29")))</f>
        <v>21 to 29</v>
      </c>
      <c r="AR1276" s="1">
        <f>IF(HR_Data[[#This Row],[DistanceFromHome]]&lt;=5,1,IF(HR_Data[[#This Row],[DistanceFromHome]]&lt;=10,2,IF(HR_Data[[#This Row],[DistanceFromHome]]&lt;=20,3,4)))</f>
        <v>4</v>
      </c>
      <c r="AS1276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276" s="1">
        <f>IF(HR_Data[[#This Row],[TotalWorkingYears]]&lt;=5,1,IF(HR_Data[[#This Row],[TotalWorkingYears]]&lt;=10,2,IF(HR_Data[[#This Row],[TotalWorkingYears]]&lt;=20,3,4)))</f>
        <v>3</v>
      </c>
    </row>
    <row r="1277" spans="1:46" x14ac:dyDescent="0.25">
      <c r="A1277">
        <v>51</v>
      </c>
      <c r="B1277" t="s">
        <v>36</v>
      </c>
      <c r="C1277" t="s">
        <v>30</v>
      </c>
      <c r="D1277" t="s">
        <v>38</v>
      </c>
      <c r="E1277">
        <v>3</v>
      </c>
      <c r="F1277">
        <v>3</v>
      </c>
      <c r="G1277" t="s">
        <v>53</v>
      </c>
      <c r="H1277">
        <v>1786</v>
      </c>
      <c r="I1277">
        <v>1</v>
      </c>
      <c r="J1277" t="s">
        <v>33</v>
      </c>
      <c r="K1277">
        <v>3</v>
      </c>
      <c r="L1277">
        <v>3</v>
      </c>
      <c r="M1277" t="s">
        <v>49</v>
      </c>
      <c r="N1277">
        <v>3</v>
      </c>
      <c r="O1277" t="s">
        <v>41</v>
      </c>
      <c r="P1277">
        <v>13116</v>
      </c>
      <c r="Q1277">
        <v>2</v>
      </c>
      <c r="R1277" t="s">
        <v>36</v>
      </c>
      <c r="S1277">
        <v>11</v>
      </c>
      <c r="T1277">
        <v>3</v>
      </c>
      <c r="U1277">
        <v>4</v>
      </c>
      <c r="V1277">
        <v>0</v>
      </c>
      <c r="W1277">
        <v>15</v>
      </c>
      <c r="X1277">
        <v>2</v>
      </c>
      <c r="Y1277">
        <v>3</v>
      </c>
      <c r="Z1277">
        <v>2</v>
      </c>
      <c r="AA1277">
        <v>2</v>
      </c>
      <c r="AB1277">
        <v>2</v>
      </c>
      <c r="AC1277">
        <v>2</v>
      </c>
      <c r="AD1277">
        <f>IF(HR_Data[[#This Row],[Attrition]]="Yes",1,0)</f>
        <v>0</v>
      </c>
      <c r="AE1277" t="str">
        <f>IF(HR_Data[[#This Row],[Age]]&lt;=25,"18-25",IF(HR_Data[[#This Row],[Age]]&lt;=35,"26-35",IF(HR_Data[[#This Row],[Age]]&lt;=45,"36-45",IF(HR_Data[[#This Row],[Age]]&lt;=55,"46-55","55+"))))</f>
        <v>46-55</v>
      </c>
      <c r="AF1277">
        <f>IF(HR_Data[[#This Row],[Age]]&lt;=25,1,IF(HR_Data[[#This Row],[Age]]&lt;=35,2,IF(HR_Data[[#This Row],[Age]]&lt;=45,3,IF(HR_Data[[#This Row],[Age]]&lt;=55,4,5))))</f>
        <v>4</v>
      </c>
      <c r="AG1277" s="1" t="str">
        <f>IF(HR_Data[[#This Row],[MonthlyIncome]]&lt;3000,"&lt;3K",IF(HR_Data[[#This Row],[MonthlyIncome]]&lt;6000,"3K-6K",IF(HR_Data[[#This Row],[MonthlyIncome]]&lt;10000,"6K-10K","10K+")))</f>
        <v>10K+</v>
      </c>
      <c r="AH1277" s="1">
        <f>IF(HR_Data[[#This Row],[MonthlyIncome]]&lt;3000,1,IF(HR_Data[[#This Row],[MonthlyIncome]]&lt;6000,2,IF(HR_Data[[#This Row],[MonthlyIncome]]&lt;10000,3,4)))</f>
        <v>4</v>
      </c>
      <c r="AI1277" s="1" t="str">
        <f>IF(HR_Data[[#This Row],[YearsAtCompany]]&lt;=2,"0-2 Yrs",IF(HR_Data[[#This Row],[YearsAtCompany]]&lt;=5,"3-5 Yrs",IF(HR_Data[[#This Row],[YearsAtCompany]]&lt;=10,"6-10 Yrs","10+ Yrs")))</f>
        <v>0-2 Yrs</v>
      </c>
      <c r="AJ1277" s="1">
        <f>IF(HR_Data[[#This Row],[YearsAtCompany]]&lt;=2,1,IF(HR_Data[[#This Row],[YearsAtCompany]]&lt;=5,2,IF(HR_Data[[#This Row],[YearsAtCompany]]&lt;=10,3,4)))</f>
        <v>1</v>
      </c>
      <c r="AK1277" s="1" t="str">
        <f>CHOOSE(HR_Data[[#This Row],[Education]],"Below College","College","Bachelor","Master","Doctor")</f>
        <v>Bachelor</v>
      </c>
      <c r="AL1277" s="1" t="str">
        <f>CHOOSE(HR_Data[[#This Row],[JobSatisfaction]],"Low","Medium","High","Very High")</f>
        <v>High</v>
      </c>
      <c r="AM1277" s="1" t="str">
        <f>CHOOSE(HR_Data[[#This Row],[EnvironmentSatisfaction]],"Low","Medium","High","Very High")</f>
        <v>Low</v>
      </c>
      <c r="AN1277" s="1" t="str">
        <f>CHOOSE(HR_Data[[#This Row],[WorkLifeBalance]],"Bad","Good","Better","Best")</f>
        <v>Better</v>
      </c>
      <c r="AO1277" s="1" t="str">
        <f>IF(HR_Data[[#This Row],[PercentSalaryHike]]&lt;=13,"11-13%",IF(HR_Data[[#This Row],[PercentSalaryHike]]&lt;=16,"14-16%",IF(HR_Data[[#This Row],[PercentSalaryHike]]&lt;=19,"17-19%","20-25%")))</f>
        <v>11-13%</v>
      </c>
      <c r="AP1277" s="1">
        <f>IF(HR_Data[[#This Row],[PercentSalaryHike]]&lt;=13,1,IF(HR_Data[[#This Row],[PercentSalaryHike]]&lt;=16,2,IF(HR_Data[[#This Row],[PercentSalaryHike]]&lt;=19,3,4)))</f>
        <v>1</v>
      </c>
      <c r="AQ1277" s="1" t="str">
        <f>IF(HR_Data[[#This Row],[DistanceFromHome]]&lt;=5,"1 to 5",IF(HR_Data[[#This Row],[DistanceFromHome]]&lt;=10,"6 to 10",IF(HR_Data[[#This Row],[DistanceFromHome]]&lt;=20,"11 to 20","21 to 29")))</f>
        <v>1 to 5</v>
      </c>
      <c r="AR1277" s="1">
        <f>IF(HR_Data[[#This Row],[DistanceFromHome]]&lt;=5,1,IF(HR_Data[[#This Row],[DistanceFromHome]]&lt;=10,2,IF(HR_Data[[#This Row],[DistanceFromHome]]&lt;=20,3,4)))</f>
        <v>1</v>
      </c>
      <c r="AS1277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277" s="1">
        <f>IF(HR_Data[[#This Row],[TotalWorkingYears]]&lt;=5,1,IF(HR_Data[[#This Row],[TotalWorkingYears]]&lt;=10,2,IF(HR_Data[[#This Row],[TotalWorkingYears]]&lt;=20,3,4)))</f>
        <v>3</v>
      </c>
    </row>
    <row r="1278" spans="1:46" x14ac:dyDescent="0.25">
      <c r="A1278">
        <v>37</v>
      </c>
      <c r="B1278" t="s">
        <v>36</v>
      </c>
      <c r="C1278" t="s">
        <v>30</v>
      </c>
      <c r="D1278" t="s">
        <v>31</v>
      </c>
      <c r="E1278">
        <v>9</v>
      </c>
      <c r="F1278">
        <v>2</v>
      </c>
      <c r="G1278" t="s">
        <v>52</v>
      </c>
      <c r="H1278">
        <v>1787</v>
      </c>
      <c r="I1278">
        <v>2</v>
      </c>
      <c r="J1278" t="s">
        <v>39</v>
      </c>
      <c r="K1278">
        <v>2</v>
      </c>
      <c r="L1278">
        <v>2</v>
      </c>
      <c r="M1278" t="s">
        <v>34</v>
      </c>
      <c r="N1278">
        <v>2</v>
      </c>
      <c r="O1278" t="s">
        <v>41</v>
      </c>
      <c r="P1278">
        <v>4189</v>
      </c>
      <c r="Q1278">
        <v>1</v>
      </c>
      <c r="R1278" t="s">
        <v>36</v>
      </c>
      <c r="S1278">
        <v>14</v>
      </c>
      <c r="T1278">
        <v>3</v>
      </c>
      <c r="U1278">
        <v>1</v>
      </c>
      <c r="V1278">
        <v>2</v>
      </c>
      <c r="W1278">
        <v>5</v>
      </c>
      <c r="X1278">
        <v>2</v>
      </c>
      <c r="Y1278">
        <v>3</v>
      </c>
      <c r="Z1278">
        <v>5</v>
      </c>
      <c r="AA1278">
        <v>2</v>
      </c>
      <c r="AB1278">
        <v>0</v>
      </c>
      <c r="AC1278">
        <v>3</v>
      </c>
      <c r="AD1278">
        <f>IF(HR_Data[[#This Row],[Attrition]]="Yes",1,0)</f>
        <v>0</v>
      </c>
      <c r="AE1278" t="str">
        <f>IF(HR_Data[[#This Row],[Age]]&lt;=25,"18-25",IF(HR_Data[[#This Row],[Age]]&lt;=35,"26-35",IF(HR_Data[[#This Row],[Age]]&lt;=45,"36-45",IF(HR_Data[[#This Row],[Age]]&lt;=55,"46-55","55+"))))</f>
        <v>36-45</v>
      </c>
      <c r="AF1278">
        <f>IF(HR_Data[[#This Row],[Age]]&lt;=25,1,IF(HR_Data[[#This Row],[Age]]&lt;=35,2,IF(HR_Data[[#This Row],[Age]]&lt;=45,3,IF(HR_Data[[#This Row],[Age]]&lt;=55,4,5))))</f>
        <v>3</v>
      </c>
      <c r="AG1278" s="1" t="str">
        <f>IF(HR_Data[[#This Row],[MonthlyIncome]]&lt;3000,"&lt;3K",IF(HR_Data[[#This Row],[MonthlyIncome]]&lt;6000,"3K-6K",IF(HR_Data[[#This Row],[MonthlyIncome]]&lt;10000,"6K-10K","10K+")))</f>
        <v>3K-6K</v>
      </c>
      <c r="AH1278" s="1">
        <f>IF(HR_Data[[#This Row],[MonthlyIncome]]&lt;3000,1,IF(HR_Data[[#This Row],[MonthlyIncome]]&lt;6000,2,IF(HR_Data[[#This Row],[MonthlyIncome]]&lt;10000,3,4)))</f>
        <v>2</v>
      </c>
      <c r="AI1278" s="1" t="str">
        <f>IF(HR_Data[[#This Row],[YearsAtCompany]]&lt;=2,"0-2 Yrs",IF(HR_Data[[#This Row],[YearsAtCompany]]&lt;=5,"3-5 Yrs",IF(HR_Data[[#This Row],[YearsAtCompany]]&lt;=10,"6-10 Yrs","10+ Yrs")))</f>
        <v>3-5 Yrs</v>
      </c>
      <c r="AJ1278" s="1">
        <f>IF(HR_Data[[#This Row],[YearsAtCompany]]&lt;=2,1,IF(HR_Data[[#This Row],[YearsAtCompany]]&lt;=5,2,IF(HR_Data[[#This Row],[YearsAtCompany]]&lt;=10,3,4)))</f>
        <v>2</v>
      </c>
      <c r="AK1278" s="1" t="str">
        <f>CHOOSE(HR_Data[[#This Row],[Education]],"Below College","College","Bachelor","Master","Doctor")</f>
        <v>College</v>
      </c>
      <c r="AL1278" s="1" t="str">
        <f>CHOOSE(HR_Data[[#This Row],[JobSatisfaction]],"Low","Medium","High","Very High")</f>
        <v>Medium</v>
      </c>
      <c r="AM1278" s="1" t="str">
        <f>CHOOSE(HR_Data[[#This Row],[EnvironmentSatisfaction]],"Low","Medium","High","Very High")</f>
        <v>Medium</v>
      </c>
      <c r="AN1278" s="1" t="str">
        <f>CHOOSE(HR_Data[[#This Row],[WorkLifeBalance]],"Bad","Good","Better","Best")</f>
        <v>Better</v>
      </c>
      <c r="AO1278" s="1" t="str">
        <f>IF(HR_Data[[#This Row],[PercentSalaryHike]]&lt;=13,"11-13%",IF(HR_Data[[#This Row],[PercentSalaryHike]]&lt;=16,"14-16%",IF(HR_Data[[#This Row],[PercentSalaryHike]]&lt;=19,"17-19%","20-25%")))</f>
        <v>14-16%</v>
      </c>
      <c r="AP1278" s="1">
        <f>IF(HR_Data[[#This Row],[PercentSalaryHike]]&lt;=13,1,IF(HR_Data[[#This Row],[PercentSalaryHike]]&lt;=16,2,IF(HR_Data[[#This Row],[PercentSalaryHike]]&lt;=19,3,4)))</f>
        <v>2</v>
      </c>
      <c r="AQ1278" s="1" t="str">
        <f>IF(HR_Data[[#This Row],[DistanceFromHome]]&lt;=5,"1 to 5",IF(HR_Data[[#This Row],[DistanceFromHome]]&lt;=10,"6 to 10",IF(HR_Data[[#This Row],[DistanceFromHome]]&lt;=20,"11 to 20","21 to 29")))</f>
        <v>6 to 10</v>
      </c>
      <c r="AR1278" s="1">
        <f>IF(HR_Data[[#This Row],[DistanceFromHome]]&lt;=5,1,IF(HR_Data[[#This Row],[DistanceFromHome]]&lt;=10,2,IF(HR_Data[[#This Row],[DistanceFromHome]]&lt;=20,3,4)))</f>
        <v>2</v>
      </c>
      <c r="AS1278" s="1" t="str">
        <f>IF(HR_Data[[#This Row],[TotalWorkingYears]]&lt;=5,"0-5 Yrs",IF(HR_Data[[#This Row],[TotalWorkingYears]]&lt;=10,"6-10 Yrs",IF(HR_Data[[#This Row],[TotalWorkingYears]]&lt;=20,"11-20 Yrs","20+ Yrs")))</f>
        <v>0-5 Yrs</v>
      </c>
      <c r="AT1278" s="1">
        <f>IF(HR_Data[[#This Row],[TotalWorkingYears]]&lt;=5,1,IF(HR_Data[[#This Row],[TotalWorkingYears]]&lt;=10,2,IF(HR_Data[[#This Row],[TotalWorkingYears]]&lt;=20,3,4)))</f>
        <v>1</v>
      </c>
    </row>
    <row r="1279" spans="1:46" x14ac:dyDescent="0.25">
      <c r="A1279">
        <v>46</v>
      </c>
      <c r="B1279" t="s">
        <v>36</v>
      </c>
      <c r="C1279" t="s">
        <v>30</v>
      </c>
      <c r="D1279" t="s">
        <v>38</v>
      </c>
      <c r="E1279">
        <v>2</v>
      </c>
      <c r="F1279">
        <v>4</v>
      </c>
      <c r="G1279" t="s">
        <v>44</v>
      </c>
      <c r="H1279">
        <v>1789</v>
      </c>
      <c r="I1279">
        <v>3</v>
      </c>
      <c r="J1279" t="s">
        <v>39</v>
      </c>
      <c r="K1279">
        <v>3</v>
      </c>
      <c r="L1279">
        <v>5</v>
      </c>
      <c r="M1279" t="s">
        <v>51</v>
      </c>
      <c r="N1279">
        <v>4</v>
      </c>
      <c r="O1279" t="s">
        <v>45</v>
      </c>
      <c r="P1279">
        <v>19328</v>
      </c>
      <c r="Q1279">
        <v>7</v>
      </c>
      <c r="R1279" t="s">
        <v>29</v>
      </c>
      <c r="S1279">
        <v>17</v>
      </c>
      <c r="T1279">
        <v>3</v>
      </c>
      <c r="U1279">
        <v>3</v>
      </c>
      <c r="V1279">
        <v>1</v>
      </c>
      <c r="W1279">
        <v>24</v>
      </c>
      <c r="X1279">
        <v>3</v>
      </c>
      <c r="Y1279">
        <v>3</v>
      </c>
      <c r="Z1279">
        <v>2</v>
      </c>
      <c r="AA1279">
        <v>1</v>
      </c>
      <c r="AB1279">
        <v>2</v>
      </c>
      <c r="AC1279">
        <v>2</v>
      </c>
      <c r="AD1279">
        <f>IF(HR_Data[[#This Row],[Attrition]]="Yes",1,0)</f>
        <v>0</v>
      </c>
      <c r="AE1279" t="str">
        <f>IF(HR_Data[[#This Row],[Age]]&lt;=25,"18-25",IF(HR_Data[[#This Row],[Age]]&lt;=35,"26-35",IF(HR_Data[[#This Row],[Age]]&lt;=45,"36-45",IF(HR_Data[[#This Row],[Age]]&lt;=55,"46-55","55+"))))</f>
        <v>46-55</v>
      </c>
      <c r="AF1279">
        <f>IF(HR_Data[[#This Row],[Age]]&lt;=25,1,IF(HR_Data[[#This Row],[Age]]&lt;=35,2,IF(HR_Data[[#This Row],[Age]]&lt;=45,3,IF(HR_Data[[#This Row],[Age]]&lt;=55,4,5))))</f>
        <v>4</v>
      </c>
      <c r="AG1279" s="1" t="str">
        <f>IF(HR_Data[[#This Row],[MonthlyIncome]]&lt;3000,"&lt;3K",IF(HR_Data[[#This Row],[MonthlyIncome]]&lt;6000,"3K-6K",IF(HR_Data[[#This Row],[MonthlyIncome]]&lt;10000,"6K-10K","10K+")))</f>
        <v>10K+</v>
      </c>
      <c r="AH1279" s="1">
        <f>IF(HR_Data[[#This Row],[MonthlyIncome]]&lt;3000,1,IF(HR_Data[[#This Row],[MonthlyIncome]]&lt;6000,2,IF(HR_Data[[#This Row],[MonthlyIncome]]&lt;10000,3,4)))</f>
        <v>4</v>
      </c>
      <c r="AI1279" s="1" t="str">
        <f>IF(HR_Data[[#This Row],[YearsAtCompany]]&lt;=2,"0-2 Yrs",IF(HR_Data[[#This Row],[YearsAtCompany]]&lt;=5,"3-5 Yrs",IF(HR_Data[[#This Row],[YearsAtCompany]]&lt;=10,"6-10 Yrs","10+ Yrs")))</f>
        <v>0-2 Yrs</v>
      </c>
      <c r="AJ1279" s="1">
        <f>IF(HR_Data[[#This Row],[YearsAtCompany]]&lt;=2,1,IF(HR_Data[[#This Row],[YearsAtCompany]]&lt;=5,2,IF(HR_Data[[#This Row],[YearsAtCompany]]&lt;=10,3,4)))</f>
        <v>1</v>
      </c>
      <c r="AK1279" s="1" t="str">
        <f>CHOOSE(HR_Data[[#This Row],[Education]],"Below College","College","Bachelor","Master","Doctor")</f>
        <v>Master</v>
      </c>
      <c r="AL1279" s="1" t="str">
        <f>CHOOSE(HR_Data[[#This Row],[JobSatisfaction]],"Low","Medium","High","Very High")</f>
        <v>Very High</v>
      </c>
      <c r="AM1279" s="1" t="str">
        <f>CHOOSE(HR_Data[[#This Row],[EnvironmentSatisfaction]],"Low","Medium","High","Very High")</f>
        <v>High</v>
      </c>
      <c r="AN1279" s="1" t="str">
        <f>CHOOSE(HR_Data[[#This Row],[WorkLifeBalance]],"Bad","Good","Better","Best")</f>
        <v>Better</v>
      </c>
      <c r="AO1279" s="1" t="str">
        <f>IF(HR_Data[[#This Row],[PercentSalaryHike]]&lt;=13,"11-13%",IF(HR_Data[[#This Row],[PercentSalaryHike]]&lt;=16,"14-16%",IF(HR_Data[[#This Row],[PercentSalaryHike]]&lt;=19,"17-19%","20-25%")))</f>
        <v>17-19%</v>
      </c>
      <c r="AP1279" s="1">
        <f>IF(HR_Data[[#This Row],[PercentSalaryHike]]&lt;=13,1,IF(HR_Data[[#This Row],[PercentSalaryHike]]&lt;=16,2,IF(HR_Data[[#This Row],[PercentSalaryHike]]&lt;=19,3,4)))</f>
        <v>3</v>
      </c>
      <c r="AQ1279" s="1" t="str">
        <f>IF(HR_Data[[#This Row],[DistanceFromHome]]&lt;=5,"1 to 5",IF(HR_Data[[#This Row],[DistanceFromHome]]&lt;=10,"6 to 10",IF(HR_Data[[#This Row],[DistanceFromHome]]&lt;=20,"11 to 20","21 to 29")))</f>
        <v>1 to 5</v>
      </c>
      <c r="AR1279" s="1">
        <f>IF(HR_Data[[#This Row],[DistanceFromHome]]&lt;=5,1,IF(HR_Data[[#This Row],[DistanceFromHome]]&lt;=10,2,IF(HR_Data[[#This Row],[DistanceFromHome]]&lt;=20,3,4)))</f>
        <v>1</v>
      </c>
      <c r="AS1279" s="1" t="str">
        <f>IF(HR_Data[[#This Row],[TotalWorkingYears]]&lt;=5,"0-5 Yrs",IF(HR_Data[[#This Row],[TotalWorkingYears]]&lt;=10,"6-10 Yrs",IF(HR_Data[[#This Row],[TotalWorkingYears]]&lt;=20,"11-20 Yrs","20+ Yrs")))</f>
        <v>20+ Yrs</v>
      </c>
      <c r="AT1279" s="1">
        <f>IF(HR_Data[[#This Row],[TotalWorkingYears]]&lt;=5,1,IF(HR_Data[[#This Row],[TotalWorkingYears]]&lt;=10,2,IF(HR_Data[[#This Row],[TotalWorkingYears]]&lt;=20,3,4)))</f>
        <v>4</v>
      </c>
    </row>
    <row r="1280" spans="1:46" x14ac:dyDescent="0.25">
      <c r="A1280">
        <v>36</v>
      </c>
      <c r="B1280" t="s">
        <v>36</v>
      </c>
      <c r="C1280" t="s">
        <v>30</v>
      </c>
      <c r="D1280" t="s">
        <v>38</v>
      </c>
      <c r="E1280">
        <v>10</v>
      </c>
      <c r="F1280">
        <v>3</v>
      </c>
      <c r="G1280" t="s">
        <v>32</v>
      </c>
      <c r="H1280">
        <v>1790</v>
      </c>
      <c r="I1280">
        <v>4</v>
      </c>
      <c r="J1280" t="s">
        <v>39</v>
      </c>
      <c r="K1280">
        <v>3</v>
      </c>
      <c r="L1280">
        <v>3</v>
      </c>
      <c r="M1280" t="s">
        <v>47</v>
      </c>
      <c r="N1280">
        <v>1</v>
      </c>
      <c r="O1280" t="s">
        <v>41</v>
      </c>
      <c r="P1280">
        <v>8321</v>
      </c>
      <c r="Q1280">
        <v>7</v>
      </c>
      <c r="R1280" t="s">
        <v>29</v>
      </c>
      <c r="S1280">
        <v>13</v>
      </c>
      <c r="T1280">
        <v>3</v>
      </c>
      <c r="U1280">
        <v>4</v>
      </c>
      <c r="V1280">
        <v>1</v>
      </c>
      <c r="W1280">
        <v>15</v>
      </c>
      <c r="X1280">
        <v>1</v>
      </c>
      <c r="Y1280">
        <v>3</v>
      </c>
      <c r="Z1280">
        <v>12</v>
      </c>
      <c r="AA1280">
        <v>8</v>
      </c>
      <c r="AB1280">
        <v>5</v>
      </c>
      <c r="AC1280">
        <v>7</v>
      </c>
      <c r="AD1280">
        <f>IF(HR_Data[[#This Row],[Attrition]]="Yes",1,0)</f>
        <v>0</v>
      </c>
      <c r="AE1280" t="str">
        <f>IF(HR_Data[[#This Row],[Age]]&lt;=25,"18-25",IF(HR_Data[[#This Row],[Age]]&lt;=35,"26-35",IF(HR_Data[[#This Row],[Age]]&lt;=45,"36-45",IF(HR_Data[[#This Row],[Age]]&lt;=55,"46-55","55+"))))</f>
        <v>36-45</v>
      </c>
      <c r="AF1280">
        <f>IF(HR_Data[[#This Row],[Age]]&lt;=25,1,IF(HR_Data[[#This Row],[Age]]&lt;=35,2,IF(HR_Data[[#This Row],[Age]]&lt;=45,3,IF(HR_Data[[#This Row],[Age]]&lt;=55,4,5))))</f>
        <v>3</v>
      </c>
      <c r="AG1280" s="1" t="str">
        <f>IF(HR_Data[[#This Row],[MonthlyIncome]]&lt;3000,"&lt;3K",IF(HR_Data[[#This Row],[MonthlyIncome]]&lt;6000,"3K-6K",IF(HR_Data[[#This Row],[MonthlyIncome]]&lt;10000,"6K-10K","10K+")))</f>
        <v>6K-10K</v>
      </c>
      <c r="AH1280" s="1">
        <f>IF(HR_Data[[#This Row],[MonthlyIncome]]&lt;3000,1,IF(HR_Data[[#This Row],[MonthlyIncome]]&lt;6000,2,IF(HR_Data[[#This Row],[MonthlyIncome]]&lt;10000,3,4)))</f>
        <v>3</v>
      </c>
      <c r="AI1280" s="1" t="str">
        <f>IF(HR_Data[[#This Row],[YearsAtCompany]]&lt;=2,"0-2 Yrs",IF(HR_Data[[#This Row],[YearsAtCompany]]&lt;=5,"3-5 Yrs",IF(HR_Data[[#This Row],[YearsAtCompany]]&lt;=10,"6-10 Yrs","10+ Yrs")))</f>
        <v>10+ Yrs</v>
      </c>
      <c r="AJ1280" s="1">
        <f>IF(HR_Data[[#This Row],[YearsAtCompany]]&lt;=2,1,IF(HR_Data[[#This Row],[YearsAtCompany]]&lt;=5,2,IF(HR_Data[[#This Row],[YearsAtCompany]]&lt;=10,3,4)))</f>
        <v>4</v>
      </c>
      <c r="AK1280" s="1" t="str">
        <f>CHOOSE(HR_Data[[#This Row],[Education]],"Below College","College","Bachelor","Master","Doctor")</f>
        <v>Bachelor</v>
      </c>
      <c r="AL1280" s="1" t="str">
        <f>CHOOSE(HR_Data[[#This Row],[JobSatisfaction]],"Low","Medium","High","Very High")</f>
        <v>Low</v>
      </c>
      <c r="AM1280" s="1" t="str">
        <f>CHOOSE(HR_Data[[#This Row],[EnvironmentSatisfaction]],"Low","Medium","High","Very High")</f>
        <v>Very High</v>
      </c>
      <c r="AN1280" s="1" t="str">
        <f>CHOOSE(HR_Data[[#This Row],[WorkLifeBalance]],"Bad","Good","Better","Best")</f>
        <v>Better</v>
      </c>
      <c r="AO1280" s="1" t="str">
        <f>IF(HR_Data[[#This Row],[PercentSalaryHike]]&lt;=13,"11-13%",IF(HR_Data[[#This Row],[PercentSalaryHike]]&lt;=16,"14-16%",IF(HR_Data[[#This Row],[PercentSalaryHike]]&lt;=19,"17-19%","20-25%")))</f>
        <v>11-13%</v>
      </c>
      <c r="AP1280" s="1">
        <f>IF(HR_Data[[#This Row],[PercentSalaryHike]]&lt;=13,1,IF(HR_Data[[#This Row],[PercentSalaryHike]]&lt;=16,2,IF(HR_Data[[#This Row],[PercentSalaryHike]]&lt;=19,3,4)))</f>
        <v>1</v>
      </c>
      <c r="AQ1280" s="1" t="str">
        <f>IF(HR_Data[[#This Row],[DistanceFromHome]]&lt;=5,"1 to 5",IF(HR_Data[[#This Row],[DistanceFromHome]]&lt;=10,"6 to 10",IF(HR_Data[[#This Row],[DistanceFromHome]]&lt;=20,"11 to 20","21 to 29")))</f>
        <v>6 to 10</v>
      </c>
      <c r="AR1280" s="1">
        <f>IF(HR_Data[[#This Row],[DistanceFromHome]]&lt;=5,1,IF(HR_Data[[#This Row],[DistanceFromHome]]&lt;=10,2,IF(HR_Data[[#This Row],[DistanceFromHome]]&lt;=20,3,4)))</f>
        <v>2</v>
      </c>
      <c r="AS1280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280" s="1">
        <f>IF(HR_Data[[#This Row],[TotalWorkingYears]]&lt;=5,1,IF(HR_Data[[#This Row],[TotalWorkingYears]]&lt;=10,2,IF(HR_Data[[#This Row],[TotalWorkingYears]]&lt;=20,3,4)))</f>
        <v>3</v>
      </c>
    </row>
    <row r="1281" spans="1:46" x14ac:dyDescent="0.25">
      <c r="A1281">
        <v>44</v>
      </c>
      <c r="B1281" t="s">
        <v>29</v>
      </c>
      <c r="C1281" t="s">
        <v>37</v>
      </c>
      <c r="D1281" t="s">
        <v>38</v>
      </c>
      <c r="E1281">
        <v>1</v>
      </c>
      <c r="F1281">
        <v>2</v>
      </c>
      <c r="G1281" t="s">
        <v>44</v>
      </c>
      <c r="H1281">
        <v>1792</v>
      </c>
      <c r="I1281">
        <v>3</v>
      </c>
      <c r="J1281" t="s">
        <v>39</v>
      </c>
      <c r="K1281">
        <v>3</v>
      </c>
      <c r="L1281">
        <v>1</v>
      </c>
      <c r="M1281" t="s">
        <v>40</v>
      </c>
      <c r="N1281">
        <v>2</v>
      </c>
      <c r="O1281" t="s">
        <v>45</v>
      </c>
      <c r="P1281">
        <v>2342</v>
      </c>
      <c r="Q1281">
        <v>1</v>
      </c>
      <c r="R1281" t="s">
        <v>29</v>
      </c>
      <c r="S1281">
        <v>12</v>
      </c>
      <c r="T1281">
        <v>3</v>
      </c>
      <c r="U1281">
        <v>3</v>
      </c>
      <c r="V1281">
        <v>3</v>
      </c>
      <c r="W1281">
        <v>6</v>
      </c>
      <c r="X1281">
        <v>2</v>
      </c>
      <c r="Y1281">
        <v>2</v>
      </c>
      <c r="Z1281">
        <v>5</v>
      </c>
      <c r="AA1281">
        <v>3</v>
      </c>
      <c r="AB1281">
        <v>2</v>
      </c>
      <c r="AC1281">
        <v>3</v>
      </c>
      <c r="AD1281">
        <f>IF(HR_Data[[#This Row],[Attrition]]="Yes",1,0)</f>
        <v>1</v>
      </c>
      <c r="AE1281" t="str">
        <f>IF(HR_Data[[#This Row],[Age]]&lt;=25,"18-25",IF(HR_Data[[#This Row],[Age]]&lt;=35,"26-35",IF(HR_Data[[#This Row],[Age]]&lt;=45,"36-45",IF(HR_Data[[#This Row],[Age]]&lt;=55,"46-55","55+"))))</f>
        <v>36-45</v>
      </c>
      <c r="AF1281">
        <f>IF(HR_Data[[#This Row],[Age]]&lt;=25,1,IF(HR_Data[[#This Row],[Age]]&lt;=35,2,IF(HR_Data[[#This Row],[Age]]&lt;=45,3,IF(HR_Data[[#This Row],[Age]]&lt;=55,4,5))))</f>
        <v>3</v>
      </c>
      <c r="AG1281" s="1" t="str">
        <f>IF(HR_Data[[#This Row],[MonthlyIncome]]&lt;3000,"&lt;3K",IF(HR_Data[[#This Row],[MonthlyIncome]]&lt;6000,"3K-6K",IF(HR_Data[[#This Row],[MonthlyIncome]]&lt;10000,"6K-10K","10K+")))</f>
        <v>&lt;3K</v>
      </c>
      <c r="AH1281" s="1">
        <f>IF(HR_Data[[#This Row],[MonthlyIncome]]&lt;3000,1,IF(HR_Data[[#This Row],[MonthlyIncome]]&lt;6000,2,IF(HR_Data[[#This Row],[MonthlyIncome]]&lt;10000,3,4)))</f>
        <v>1</v>
      </c>
      <c r="AI1281" s="1" t="str">
        <f>IF(HR_Data[[#This Row],[YearsAtCompany]]&lt;=2,"0-2 Yrs",IF(HR_Data[[#This Row],[YearsAtCompany]]&lt;=5,"3-5 Yrs",IF(HR_Data[[#This Row],[YearsAtCompany]]&lt;=10,"6-10 Yrs","10+ Yrs")))</f>
        <v>3-5 Yrs</v>
      </c>
      <c r="AJ1281" s="1">
        <f>IF(HR_Data[[#This Row],[YearsAtCompany]]&lt;=2,1,IF(HR_Data[[#This Row],[YearsAtCompany]]&lt;=5,2,IF(HR_Data[[#This Row],[YearsAtCompany]]&lt;=10,3,4)))</f>
        <v>2</v>
      </c>
      <c r="AK1281" s="1" t="str">
        <f>CHOOSE(HR_Data[[#This Row],[Education]],"Below College","College","Bachelor","Master","Doctor")</f>
        <v>College</v>
      </c>
      <c r="AL1281" s="1" t="str">
        <f>CHOOSE(HR_Data[[#This Row],[JobSatisfaction]],"Low","Medium","High","Very High")</f>
        <v>Medium</v>
      </c>
      <c r="AM1281" s="1" t="str">
        <f>CHOOSE(HR_Data[[#This Row],[EnvironmentSatisfaction]],"Low","Medium","High","Very High")</f>
        <v>High</v>
      </c>
      <c r="AN1281" s="1" t="str">
        <f>CHOOSE(HR_Data[[#This Row],[WorkLifeBalance]],"Bad","Good","Better","Best")</f>
        <v>Good</v>
      </c>
      <c r="AO1281" s="1" t="str">
        <f>IF(HR_Data[[#This Row],[PercentSalaryHike]]&lt;=13,"11-13%",IF(HR_Data[[#This Row],[PercentSalaryHike]]&lt;=16,"14-16%",IF(HR_Data[[#This Row],[PercentSalaryHike]]&lt;=19,"17-19%","20-25%")))</f>
        <v>11-13%</v>
      </c>
      <c r="AP1281" s="1">
        <f>IF(HR_Data[[#This Row],[PercentSalaryHike]]&lt;=13,1,IF(HR_Data[[#This Row],[PercentSalaryHike]]&lt;=16,2,IF(HR_Data[[#This Row],[PercentSalaryHike]]&lt;=19,3,4)))</f>
        <v>1</v>
      </c>
      <c r="AQ1281" s="1" t="str">
        <f>IF(HR_Data[[#This Row],[DistanceFromHome]]&lt;=5,"1 to 5",IF(HR_Data[[#This Row],[DistanceFromHome]]&lt;=10,"6 to 10",IF(HR_Data[[#This Row],[DistanceFromHome]]&lt;=20,"11 to 20","21 to 29")))</f>
        <v>1 to 5</v>
      </c>
      <c r="AR1281" s="1">
        <f>IF(HR_Data[[#This Row],[DistanceFromHome]]&lt;=5,1,IF(HR_Data[[#This Row],[DistanceFromHome]]&lt;=10,2,IF(HR_Data[[#This Row],[DistanceFromHome]]&lt;=20,3,4)))</f>
        <v>1</v>
      </c>
      <c r="AS1281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281" s="1">
        <f>IF(HR_Data[[#This Row],[TotalWorkingYears]]&lt;=5,1,IF(HR_Data[[#This Row],[TotalWorkingYears]]&lt;=10,2,IF(HR_Data[[#This Row],[TotalWorkingYears]]&lt;=20,3,4)))</f>
        <v>2</v>
      </c>
    </row>
    <row r="1282" spans="1:46" x14ac:dyDescent="0.25">
      <c r="A1282">
        <v>37</v>
      </c>
      <c r="B1282" t="s">
        <v>36</v>
      </c>
      <c r="C1282" t="s">
        <v>30</v>
      </c>
      <c r="D1282" t="s">
        <v>54</v>
      </c>
      <c r="E1282">
        <v>8</v>
      </c>
      <c r="F1282">
        <v>2</v>
      </c>
      <c r="G1282" t="s">
        <v>42</v>
      </c>
      <c r="H1282">
        <v>1794</v>
      </c>
      <c r="I1282">
        <v>3</v>
      </c>
      <c r="J1282" t="s">
        <v>39</v>
      </c>
      <c r="K1282">
        <v>3</v>
      </c>
      <c r="L1282">
        <v>2</v>
      </c>
      <c r="M1282" t="s">
        <v>54</v>
      </c>
      <c r="N1282">
        <v>2</v>
      </c>
      <c r="O1282" t="s">
        <v>45</v>
      </c>
      <c r="P1282">
        <v>4071</v>
      </c>
      <c r="Q1282">
        <v>2</v>
      </c>
      <c r="R1282" t="s">
        <v>36</v>
      </c>
      <c r="S1282">
        <v>13</v>
      </c>
      <c r="T1282">
        <v>3</v>
      </c>
      <c r="U1282">
        <v>3</v>
      </c>
      <c r="V1282">
        <v>0</v>
      </c>
      <c r="W1282">
        <v>19</v>
      </c>
      <c r="X1282">
        <v>4</v>
      </c>
      <c r="Y1282">
        <v>2</v>
      </c>
      <c r="Z1282">
        <v>10</v>
      </c>
      <c r="AA1282">
        <v>0</v>
      </c>
      <c r="AB1282">
        <v>4</v>
      </c>
      <c r="AC1282">
        <v>7</v>
      </c>
      <c r="AD1282">
        <f>IF(HR_Data[[#This Row],[Attrition]]="Yes",1,0)</f>
        <v>0</v>
      </c>
      <c r="AE1282" t="str">
        <f>IF(HR_Data[[#This Row],[Age]]&lt;=25,"18-25",IF(HR_Data[[#This Row],[Age]]&lt;=35,"26-35",IF(HR_Data[[#This Row],[Age]]&lt;=45,"36-45",IF(HR_Data[[#This Row],[Age]]&lt;=55,"46-55","55+"))))</f>
        <v>36-45</v>
      </c>
      <c r="AF1282">
        <f>IF(HR_Data[[#This Row],[Age]]&lt;=25,1,IF(HR_Data[[#This Row],[Age]]&lt;=35,2,IF(HR_Data[[#This Row],[Age]]&lt;=45,3,IF(HR_Data[[#This Row],[Age]]&lt;=55,4,5))))</f>
        <v>3</v>
      </c>
      <c r="AG1282" s="1" t="str">
        <f>IF(HR_Data[[#This Row],[MonthlyIncome]]&lt;3000,"&lt;3K",IF(HR_Data[[#This Row],[MonthlyIncome]]&lt;6000,"3K-6K",IF(HR_Data[[#This Row],[MonthlyIncome]]&lt;10000,"6K-10K","10K+")))</f>
        <v>3K-6K</v>
      </c>
      <c r="AH1282" s="1">
        <f>IF(HR_Data[[#This Row],[MonthlyIncome]]&lt;3000,1,IF(HR_Data[[#This Row],[MonthlyIncome]]&lt;6000,2,IF(HR_Data[[#This Row],[MonthlyIncome]]&lt;10000,3,4)))</f>
        <v>2</v>
      </c>
      <c r="AI1282" s="1" t="str">
        <f>IF(HR_Data[[#This Row],[YearsAtCompany]]&lt;=2,"0-2 Yrs",IF(HR_Data[[#This Row],[YearsAtCompany]]&lt;=5,"3-5 Yrs",IF(HR_Data[[#This Row],[YearsAtCompany]]&lt;=10,"6-10 Yrs","10+ Yrs")))</f>
        <v>6-10 Yrs</v>
      </c>
      <c r="AJ1282" s="1">
        <f>IF(HR_Data[[#This Row],[YearsAtCompany]]&lt;=2,1,IF(HR_Data[[#This Row],[YearsAtCompany]]&lt;=5,2,IF(HR_Data[[#This Row],[YearsAtCompany]]&lt;=10,3,4)))</f>
        <v>3</v>
      </c>
      <c r="AK1282" s="1" t="str">
        <f>CHOOSE(HR_Data[[#This Row],[Education]],"Below College","College","Bachelor","Master","Doctor")</f>
        <v>College</v>
      </c>
      <c r="AL1282" s="1" t="str">
        <f>CHOOSE(HR_Data[[#This Row],[JobSatisfaction]],"Low","Medium","High","Very High")</f>
        <v>Medium</v>
      </c>
      <c r="AM1282" s="1" t="str">
        <f>CHOOSE(HR_Data[[#This Row],[EnvironmentSatisfaction]],"Low","Medium","High","Very High")</f>
        <v>High</v>
      </c>
      <c r="AN1282" s="1" t="str">
        <f>CHOOSE(HR_Data[[#This Row],[WorkLifeBalance]],"Bad","Good","Better","Best")</f>
        <v>Good</v>
      </c>
      <c r="AO1282" s="1" t="str">
        <f>IF(HR_Data[[#This Row],[PercentSalaryHike]]&lt;=13,"11-13%",IF(HR_Data[[#This Row],[PercentSalaryHike]]&lt;=16,"14-16%",IF(HR_Data[[#This Row],[PercentSalaryHike]]&lt;=19,"17-19%","20-25%")))</f>
        <v>11-13%</v>
      </c>
      <c r="AP1282" s="1">
        <f>IF(HR_Data[[#This Row],[PercentSalaryHike]]&lt;=13,1,IF(HR_Data[[#This Row],[PercentSalaryHike]]&lt;=16,2,IF(HR_Data[[#This Row],[PercentSalaryHike]]&lt;=19,3,4)))</f>
        <v>1</v>
      </c>
      <c r="AQ1282" s="1" t="str">
        <f>IF(HR_Data[[#This Row],[DistanceFromHome]]&lt;=5,"1 to 5",IF(HR_Data[[#This Row],[DistanceFromHome]]&lt;=10,"6 to 10",IF(HR_Data[[#This Row],[DistanceFromHome]]&lt;=20,"11 to 20","21 to 29")))</f>
        <v>6 to 10</v>
      </c>
      <c r="AR1282" s="1">
        <f>IF(HR_Data[[#This Row],[DistanceFromHome]]&lt;=5,1,IF(HR_Data[[#This Row],[DistanceFromHome]]&lt;=10,2,IF(HR_Data[[#This Row],[DistanceFromHome]]&lt;=20,3,4)))</f>
        <v>2</v>
      </c>
      <c r="AS1282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282" s="1">
        <f>IF(HR_Data[[#This Row],[TotalWorkingYears]]&lt;=5,1,IF(HR_Data[[#This Row],[TotalWorkingYears]]&lt;=10,2,IF(HR_Data[[#This Row],[TotalWorkingYears]]&lt;=20,3,4)))</f>
        <v>3</v>
      </c>
    </row>
    <row r="1283" spans="1:46" x14ac:dyDescent="0.25">
      <c r="A1283">
        <v>35</v>
      </c>
      <c r="B1283" t="s">
        <v>29</v>
      </c>
      <c r="C1283" t="s">
        <v>30</v>
      </c>
      <c r="D1283" t="s">
        <v>31</v>
      </c>
      <c r="E1283">
        <v>27</v>
      </c>
      <c r="F1283">
        <v>3</v>
      </c>
      <c r="G1283" t="s">
        <v>32</v>
      </c>
      <c r="H1283">
        <v>1797</v>
      </c>
      <c r="I1283">
        <v>3</v>
      </c>
      <c r="J1283" t="s">
        <v>39</v>
      </c>
      <c r="K1283">
        <v>3</v>
      </c>
      <c r="L1283">
        <v>2</v>
      </c>
      <c r="M1283" t="s">
        <v>34</v>
      </c>
      <c r="N1283">
        <v>4</v>
      </c>
      <c r="O1283" t="s">
        <v>35</v>
      </c>
      <c r="P1283">
        <v>5813</v>
      </c>
      <c r="Q1283">
        <v>1</v>
      </c>
      <c r="R1283" t="s">
        <v>29</v>
      </c>
      <c r="S1283">
        <v>18</v>
      </c>
      <c r="T1283">
        <v>3</v>
      </c>
      <c r="U1283">
        <v>4</v>
      </c>
      <c r="V1283">
        <v>0</v>
      </c>
      <c r="W1283">
        <v>10</v>
      </c>
      <c r="X1283">
        <v>2</v>
      </c>
      <c r="Y1283">
        <v>3</v>
      </c>
      <c r="Z1283">
        <v>10</v>
      </c>
      <c r="AA1283">
        <v>7</v>
      </c>
      <c r="AB1283">
        <v>7</v>
      </c>
      <c r="AC1283">
        <v>7</v>
      </c>
      <c r="AD1283">
        <f>IF(HR_Data[[#This Row],[Attrition]]="Yes",1,0)</f>
        <v>1</v>
      </c>
      <c r="AE1283" t="str">
        <f>IF(HR_Data[[#This Row],[Age]]&lt;=25,"18-25",IF(HR_Data[[#This Row],[Age]]&lt;=35,"26-35",IF(HR_Data[[#This Row],[Age]]&lt;=45,"36-45",IF(HR_Data[[#This Row],[Age]]&lt;=55,"46-55","55+"))))</f>
        <v>26-35</v>
      </c>
      <c r="AF1283">
        <f>IF(HR_Data[[#This Row],[Age]]&lt;=25,1,IF(HR_Data[[#This Row],[Age]]&lt;=35,2,IF(HR_Data[[#This Row],[Age]]&lt;=45,3,IF(HR_Data[[#This Row],[Age]]&lt;=55,4,5))))</f>
        <v>2</v>
      </c>
      <c r="AG1283" s="1" t="str">
        <f>IF(HR_Data[[#This Row],[MonthlyIncome]]&lt;3000,"&lt;3K",IF(HR_Data[[#This Row],[MonthlyIncome]]&lt;6000,"3K-6K",IF(HR_Data[[#This Row],[MonthlyIncome]]&lt;10000,"6K-10K","10K+")))</f>
        <v>3K-6K</v>
      </c>
      <c r="AH1283" s="1">
        <f>IF(HR_Data[[#This Row],[MonthlyIncome]]&lt;3000,1,IF(HR_Data[[#This Row],[MonthlyIncome]]&lt;6000,2,IF(HR_Data[[#This Row],[MonthlyIncome]]&lt;10000,3,4)))</f>
        <v>2</v>
      </c>
      <c r="AI1283" s="1" t="str">
        <f>IF(HR_Data[[#This Row],[YearsAtCompany]]&lt;=2,"0-2 Yrs",IF(HR_Data[[#This Row],[YearsAtCompany]]&lt;=5,"3-5 Yrs",IF(HR_Data[[#This Row],[YearsAtCompany]]&lt;=10,"6-10 Yrs","10+ Yrs")))</f>
        <v>6-10 Yrs</v>
      </c>
      <c r="AJ1283" s="1">
        <f>IF(HR_Data[[#This Row],[YearsAtCompany]]&lt;=2,1,IF(HR_Data[[#This Row],[YearsAtCompany]]&lt;=5,2,IF(HR_Data[[#This Row],[YearsAtCompany]]&lt;=10,3,4)))</f>
        <v>3</v>
      </c>
      <c r="AK1283" s="1" t="str">
        <f>CHOOSE(HR_Data[[#This Row],[Education]],"Below College","College","Bachelor","Master","Doctor")</f>
        <v>Bachelor</v>
      </c>
      <c r="AL1283" s="1" t="str">
        <f>CHOOSE(HR_Data[[#This Row],[JobSatisfaction]],"Low","Medium","High","Very High")</f>
        <v>Very High</v>
      </c>
      <c r="AM1283" s="1" t="str">
        <f>CHOOSE(HR_Data[[#This Row],[EnvironmentSatisfaction]],"Low","Medium","High","Very High")</f>
        <v>High</v>
      </c>
      <c r="AN1283" s="1" t="str">
        <f>CHOOSE(HR_Data[[#This Row],[WorkLifeBalance]],"Bad","Good","Better","Best")</f>
        <v>Better</v>
      </c>
      <c r="AO1283" s="1" t="str">
        <f>IF(HR_Data[[#This Row],[PercentSalaryHike]]&lt;=13,"11-13%",IF(HR_Data[[#This Row],[PercentSalaryHike]]&lt;=16,"14-16%",IF(HR_Data[[#This Row],[PercentSalaryHike]]&lt;=19,"17-19%","20-25%")))</f>
        <v>17-19%</v>
      </c>
      <c r="AP1283" s="1">
        <f>IF(HR_Data[[#This Row],[PercentSalaryHike]]&lt;=13,1,IF(HR_Data[[#This Row],[PercentSalaryHike]]&lt;=16,2,IF(HR_Data[[#This Row],[PercentSalaryHike]]&lt;=19,3,4)))</f>
        <v>3</v>
      </c>
      <c r="AQ1283" s="1" t="str">
        <f>IF(HR_Data[[#This Row],[DistanceFromHome]]&lt;=5,"1 to 5",IF(HR_Data[[#This Row],[DistanceFromHome]]&lt;=10,"6 to 10",IF(HR_Data[[#This Row],[DistanceFromHome]]&lt;=20,"11 to 20","21 to 29")))</f>
        <v>21 to 29</v>
      </c>
      <c r="AR1283" s="1">
        <f>IF(HR_Data[[#This Row],[DistanceFromHome]]&lt;=5,1,IF(HR_Data[[#This Row],[DistanceFromHome]]&lt;=10,2,IF(HR_Data[[#This Row],[DistanceFromHome]]&lt;=20,3,4)))</f>
        <v>4</v>
      </c>
      <c r="AS1283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283" s="1">
        <f>IF(HR_Data[[#This Row],[TotalWorkingYears]]&lt;=5,1,IF(HR_Data[[#This Row],[TotalWorkingYears]]&lt;=10,2,IF(HR_Data[[#This Row],[TotalWorkingYears]]&lt;=20,3,4)))</f>
        <v>2</v>
      </c>
    </row>
    <row r="1284" spans="1:46" x14ac:dyDescent="0.25">
      <c r="A1284">
        <v>33</v>
      </c>
      <c r="B1284" t="s">
        <v>36</v>
      </c>
      <c r="C1284" t="s">
        <v>30</v>
      </c>
      <c r="D1284" t="s">
        <v>38</v>
      </c>
      <c r="E1284">
        <v>8</v>
      </c>
      <c r="F1284">
        <v>4</v>
      </c>
      <c r="G1284" t="s">
        <v>32</v>
      </c>
      <c r="H1284">
        <v>1798</v>
      </c>
      <c r="I1284">
        <v>4</v>
      </c>
      <c r="J1284" t="s">
        <v>39</v>
      </c>
      <c r="K1284">
        <v>4</v>
      </c>
      <c r="L1284">
        <v>1</v>
      </c>
      <c r="M1284" t="s">
        <v>40</v>
      </c>
      <c r="N1284">
        <v>1</v>
      </c>
      <c r="O1284" t="s">
        <v>41</v>
      </c>
      <c r="P1284">
        <v>3143</v>
      </c>
      <c r="Q1284">
        <v>6</v>
      </c>
      <c r="R1284" t="s">
        <v>36</v>
      </c>
      <c r="S1284">
        <v>19</v>
      </c>
      <c r="T1284">
        <v>3</v>
      </c>
      <c r="U1284">
        <v>2</v>
      </c>
      <c r="V1284">
        <v>1</v>
      </c>
      <c r="W1284">
        <v>14</v>
      </c>
      <c r="X1284">
        <v>1</v>
      </c>
      <c r="Y1284">
        <v>3</v>
      </c>
      <c r="Z1284">
        <v>10</v>
      </c>
      <c r="AA1284">
        <v>8</v>
      </c>
      <c r="AB1284">
        <v>7</v>
      </c>
      <c r="AC1284">
        <v>6</v>
      </c>
      <c r="AD1284">
        <f>IF(HR_Data[[#This Row],[Attrition]]="Yes",1,0)</f>
        <v>0</v>
      </c>
      <c r="AE1284" t="str">
        <f>IF(HR_Data[[#This Row],[Age]]&lt;=25,"18-25",IF(HR_Data[[#This Row],[Age]]&lt;=35,"26-35",IF(HR_Data[[#This Row],[Age]]&lt;=45,"36-45",IF(HR_Data[[#This Row],[Age]]&lt;=55,"46-55","55+"))))</f>
        <v>26-35</v>
      </c>
      <c r="AF1284">
        <f>IF(HR_Data[[#This Row],[Age]]&lt;=25,1,IF(HR_Data[[#This Row],[Age]]&lt;=35,2,IF(HR_Data[[#This Row],[Age]]&lt;=45,3,IF(HR_Data[[#This Row],[Age]]&lt;=55,4,5))))</f>
        <v>2</v>
      </c>
      <c r="AG1284" s="1" t="str">
        <f>IF(HR_Data[[#This Row],[MonthlyIncome]]&lt;3000,"&lt;3K",IF(HR_Data[[#This Row],[MonthlyIncome]]&lt;6000,"3K-6K",IF(HR_Data[[#This Row],[MonthlyIncome]]&lt;10000,"6K-10K","10K+")))</f>
        <v>3K-6K</v>
      </c>
      <c r="AH1284" s="1">
        <f>IF(HR_Data[[#This Row],[MonthlyIncome]]&lt;3000,1,IF(HR_Data[[#This Row],[MonthlyIncome]]&lt;6000,2,IF(HR_Data[[#This Row],[MonthlyIncome]]&lt;10000,3,4)))</f>
        <v>2</v>
      </c>
      <c r="AI1284" s="1" t="str">
        <f>IF(HR_Data[[#This Row],[YearsAtCompany]]&lt;=2,"0-2 Yrs",IF(HR_Data[[#This Row],[YearsAtCompany]]&lt;=5,"3-5 Yrs",IF(HR_Data[[#This Row],[YearsAtCompany]]&lt;=10,"6-10 Yrs","10+ Yrs")))</f>
        <v>6-10 Yrs</v>
      </c>
      <c r="AJ1284" s="1">
        <f>IF(HR_Data[[#This Row],[YearsAtCompany]]&lt;=2,1,IF(HR_Data[[#This Row],[YearsAtCompany]]&lt;=5,2,IF(HR_Data[[#This Row],[YearsAtCompany]]&lt;=10,3,4)))</f>
        <v>3</v>
      </c>
      <c r="AK1284" s="1" t="str">
        <f>CHOOSE(HR_Data[[#This Row],[Education]],"Below College","College","Bachelor","Master","Doctor")</f>
        <v>Master</v>
      </c>
      <c r="AL1284" s="1" t="str">
        <f>CHOOSE(HR_Data[[#This Row],[JobSatisfaction]],"Low","Medium","High","Very High")</f>
        <v>Low</v>
      </c>
      <c r="AM1284" s="1" t="str">
        <f>CHOOSE(HR_Data[[#This Row],[EnvironmentSatisfaction]],"Low","Medium","High","Very High")</f>
        <v>Very High</v>
      </c>
      <c r="AN1284" s="1" t="str">
        <f>CHOOSE(HR_Data[[#This Row],[WorkLifeBalance]],"Bad","Good","Better","Best")</f>
        <v>Better</v>
      </c>
      <c r="AO1284" s="1" t="str">
        <f>IF(HR_Data[[#This Row],[PercentSalaryHike]]&lt;=13,"11-13%",IF(HR_Data[[#This Row],[PercentSalaryHike]]&lt;=16,"14-16%",IF(HR_Data[[#This Row],[PercentSalaryHike]]&lt;=19,"17-19%","20-25%")))</f>
        <v>17-19%</v>
      </c>
      <c r="AP1284" s="1">
        <f>IF(HR_Data[[#This Row],[PercentSalaryHike]]&lt;=13,1,IF(HR_Data[[#This Row],[PercentSalaryHike]]&lt;=16,2,IF(HR_Data[[#This Row],[PercentSalaryHike]]&lt;=19,3,4)))</f>
        <v>3</v>
      </c>
      <c r="AQ1284" s="1" t="str">
        <f>IF(HR_Data[[#This Row],[DistanceFromHome]]&lt;=5,"1 to 5",IF(HR_Data[[#This Row],[DistanceFromHome]]&lt;=10,"6 to 10",IF(HR_Data[[#This Row],[DistanceFromHome]]&lt;=20,"11 to 20","21 to 29")))</f>
        <v>6 to 10</v>
      </c>
      <c r="AR1284" s="1">
        <f>IF(HR_Data[[#This Row],[DistanceFromHome]]&lt;=5,1,IF(HR_Data[[#This Row],[DistanceFromHome]]&lt;=10,2,IF(HR_Data[[#This Row],[DistanceFromHome]]&lt;=20,3,4)))</f>
        <v>2</v>
      </c>
      <c r="AS1284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284" s="1">
        <f>IF(HR_Data[[#This Row],[TotalWorkingYears]]&lt;=5,1,IF(HR_Data[[#This Row],[TotalWorkingYears]]&lt;=10,2,IF(HR_Data[[#This Row],[TotalWorkingYears]]&lt;=20,3,4)))</f>
        <v>3</v>
      </c>
    </row>
    <row r="1285" spans="1:46" x14ac:dyDescent="0.25">
      <c r="A1285">
        <v>28</v>
      </c>
      <c r="B1285" t="s">
        <v>36</v>
      </c>
      <c r="C1285" t="s">
        <v>30</v>
      </c>
      <c r="D1285" t="s">
        <v>38</v>
      </c>
      <c r="E1285">
        <v>1</v>
      </c>
      <c r="F1285">
        <v>3</v>
      </c>
      <c r="G1285" t="s">
        <v>32</v>
      </c>
      <c r="H1285">
        <v>1799</v>
      </c>
      <c r="I1285">
        <v>3</v>
      </c>
      <c r="J1285" t="s">
        <v>39</v>
      </c>
      <c r="K1285">
        <v>3</v>
      </c>
      <c r="L1285">
        <v>1</v>
      </c>
      <c r="M1285" t="s">
        <v>40</v>
      </c>
      <c r="N1285">
        <v>4</v>
      </c>
      <c r="O1285" t="s">
        <v>41</v>
      </c>
      <c r="P1285">
        <v>2044</v>
      </c>
      <c r="Q1285">
        <v>1</v>
      </c>
      <c r="R1285" t="s">
        <v>36</v>
      </c>
      <c r="S1285">
        <v>11</v>
      </c>
      <c r="T1285">
        <v>3</v>
      </c>
      <c r="U1285">
        <v>3</v>
      </c>
      <c r="V1285">
        <v>1</v>
      </c>
      <c r="W1285">
        <v>5</v>
      </c>
      <c r="X1285">
        <v>6</v>
      </c>
      <c r="Y1285">
        <v>4</v>
      </c>
      <c r="Z1285">
        <v>5</v>
      </c>
      <c r="AA1285">
        <v>3</v>
      </c>
      <c r="AB1285">
        <v>0</v>
      </c>
      <c r="AC1285">
        <v>3</v>
      </c>
      <c r="AD1285">
        <f>IF(HR_Data[[#This Row],[Attrition]]="Yes",1,0)</f>
        <v>0</v>
      </c>
      <c r="AE1285" t="str">
        <f>IF(HR_Data[[#This Row],[Age]]&lt;=25,"18-25",IF(HR_Data[[#This Row],[Age]]&lt;=35,"26-35",IF(HR_Data[[#This Row],[Age]]&lt;=45,"36-45",IF(HR_Data[[#This Row],[Age]]&lt;=55,"46-55","55+"))))</f>
        <v>26-35</v>
      </c>
      <c r="AF1285">
        <f>IF(HR_Data[[#This Row],[Age]]&lt;=25,1,IF(HR_Data[[#This Row],[Age]]&lt;=35,2,IF(HR_Data[[#This Row],[Age]]&lt;=45,3,IF(HR_Data[[#This Row],[Age]]&lt;=55,4,5))))</f>
        <v>2</v>
      </c>
      <c r="AG1285" s="1" t="str">
        <f>IF(HR_Data[[#This Row],[MonthlyIncome]]&lt;3000,"&lt;3K",IF(HR_Data[[#This Row],[MonthlyIncome]]&lt;6000,"3K-6K",IF(HR_Data[[#This Row],[MonthlyIncome]]&lt;10000,"6K-10K","10K+")))</f>
        <v>&lt;3K</v>
      </c>
      <c r="AH1285" s="1">
        <f>IF(HR_Data[[#This Row],[MonthlyIncome]]&lt;3000,1,IF(HR_Data[[#This Row],[MonthlyIncome]]&lt;6000,2,IF(HR_Data[[#This Row],[MonthlyIncome]]&lt;10000,3,4)))</f>
        <v>1</v>
      </c>
      <c r="AI1285" s="1" t="str">
        <f>IF(HR_Data[[#This Row],[YearsAtCompany]]&lt;=2,"0-2 Yrs",IF(HR_Data[[#This Row],[YearsAtCompany]]&lt;=5,"3-5 Yrs",IF(HR_Data[[#This Row],[YearsAtCompany]]&lt;=10,"6-10 Yrs","10+ Yrs")))</f>
        <v>3-5 Yrs</v>
      </c>
      <c r="AJ1285" s="1">
        <f>IF(HR_Data[[#This Row],[YearsAtCompany]]&lt;=2,1,IF(HR_Data[[#This Row],[YearsAtCompany]]&lt;=5,2,IF(HR_Data[[#This Row],[YearsAtCompany]]&lt;=10,3,4)))</f>
        <v>2</v>
      </c>
      <c r="AK1285" s="1" t="str">
        <f>CHOOSE(HR_Data[[#This Row],[Education]],"Below College","College","Bachelor","Master","Doctor")</f>
        <v>Bachelor</v>
      </c>
      <c r="AL1285" s="1" t="str">
        <f>CHOOSE(HR_Data[[#This Row],[JobSatisfaction]],"Low","Medium","High","Very High")</f>
        <v>Very High</v>
      </c>
      <c r="AM1285" s="1" t="str">
        <f>CHOOSE(HR_Data[[#This Row],[EnvironmentSatisfaction]],"Low","Medium","High","Very High")</f>
        <v>High</v>
      </c>
      <c r="AN1285" s="1" t="str">
        <f>CHOOSE(HR_Data[[#This Row],[WorkLifeBalance]],"Bad","Good","Better","Best")</f>
        <v>Best</v>
      </c>
      <c r="AO1285" s="1" t="str">
        <f>IF(HR_Data[[#This Row],[PercentSalaryHike]]&lt;=13,"11-13%",IF(HR_Data[[#This Row],[PercentSalaryHike]]&lt;=16,"14-16%",IF(HR_Data[[#This Row],[PercentSalaryHike]]&lt;=19,"17-19%","20-25%")))</f>
        <v>11-13%</v>
      </c>
      <c r="AP1285" s="1">
        <f>IF(HR_Data[[#This Row],[PercentSalaryHike]]&lt;=13,1,IF(HR_Data[[#This Row],[PercentSalaryHike]]&lt;=16,2,IF(HR_Data[[#This Row],[PercentSalaryHike]]&lt;=19,3,4)))</f>
        <v>1</v>
      </c>
      <c r="AQ1285" s="1" t="str">
        <f>IF(HR_Data[[#This Row],[DistanceFromHome]]&lt;=5,"1 to 5",IF(HR_Data[[#This Row],[DistanceFromHome]]&lt;=10,"6 to 10",IF(HR_Data[[#This Row],[DistanceFromHome]]&lt;=20,"11 to 20","21 to 29")))</f>
        <v>1 to 5</v>
      </c>
      <c r="AR1285" s="1">
        <f>IF(HR_Data[[#This Row],[DistanceFromHome]]&lt;=5,1,IF(HR_Data[[#This Row],[DistanceFromHome]]&lt;=10,2,IF(HR_Data[[#This Row],[DistanceFromHome]]&lt;=20,3,4)))</f>
        <v>1</v>
      </c>
      <c r="AS1285" s="1" t="str">
        <f>IF(HR_Data[[#This Row],[TotalWorkingYears]]&lt;=5,"0-5 Yrs",IF(HR_Data[[#This Row],[TotalWorkingYears]]&lt;=10,"6-10 Yrs",IF(HR_Data[[#This Row],[TotalWorkingYears]]&lt;=20,"11-20 Yrs","20+ Yrs")))</f>
        <v>0-5 Yrs</v>
      </c>
      <c r="AT1285" s="1">
        <f>IF(HR_Data[[#This Row],[TotalWorkingYears]]&lt;=5,1,IF(HR_Data[[#This Row],[TotalWorkingYears]]&lt;=10,2,IF(HR_Data[[#This Row],[TotalWorkingYears]]&lt;=20,3,4)))</f>
        <v>1</v>
      </c>
    </row>
    <row r="1286" spans="1:46" x14ac:dyDescent="0.25">
      <c r="A1286">
        <v>39</v>
      </c>
      <c r="B1286" t="s">
        <v>36</v>
      </c>
      <c r="C1286" t="s">
        <v>30</v>
      </c>
      <c r="D1286" t="s">
        <v>38</v>
      </c>
      <c r="E1286">
        <v>10</v>
      </c>
      <c r="F1286">
        <v>1</v>
      </c>
      <c r="G1286" t="s">
        <v>44</v>
      </c>
      <c r="H1286">
        <v>1800</v>
      </c>
      <c r="I1286">
        <v>3</v>
      </c>
      <c r="J1286" t="s">
        <v>39</v>
      </c>
      <c r="K1286">
        <v>3</v>
      </c>
      <c r="L1286">
        <v>3</v>
      </c>
      <c r="M1286" t="s">
        <v>51</v>
      </c>
      <c r="N1286">
        <v>3</v>
      </c>
      <c r="O1286" t="s">
        <v>35</v>
      </c>
      <c r="P1286">
        <v>13464</v>
      </c>
      <c r="Q1286">
        <v>7</v>
      </c>
      <c r="R1286" t="s">
        <v>36</v>
      </c>
      <c r="S1286">
        <v>21</v>
      </c>
      <c r="T1286">
        <v>4</v>
      </c>
      <c r="U1286">
        <v>3</v>
      </c>
      <c r="V1286">
        <v>0</v>
      </c>
      <c r="W1286">
        <v>9</v>
      </c>
      <c r="X1286">
        <v>3</v>
      </c>
      <c r="Y1286">
        <v>3</v>
      </c>
      <c r="Z1286">
        <v>4</v>
      </c>
      <c r="AA1286">
        <v>3</v>
      </c>
      <c r="AB1286">
        <v>2</v>
      </c>
      <c r="AC1286">
        <v>2</v>
      </c>
      <c r="AD1286">
        <f>IF(HR_Data[[#This Row],[Attrition]]="Yes",1,0)</f>
        <v>0</v>
      </c>
      <c r="AE1286" t="str">
        <f>IF(HR_Data[[#This Row],[Age]]&lt;=25,"18-25",IF(HR_Data[[#This Row],[Age]]&lt;=35,"26-35",IF(HR_Data[[#This Row],[Age]]&lt;=45,"36-45",IF(HR_Data[[#This Row],[Age]]&lt;=55,"46-55","55+"))))</f>
        <v>36-45</v>
      </c>
      <c r="AF1286">
        <f>IF(HR_Data[[#This Row],[Age]]&lt;=25,1,IF(HR_Data[[#This Row],[Age]]&lt;=35,2,IF(HR_Data[[#This Row],[Age]]&lt;=45,3,IF(HR_Data[[#This Row],[Age]]&lt;=55,4,5))))</f>
        <v>3</v>
      </c>
      <c r="AG1286" s="1" t="str">
        <f>IF(HR_Data[[#This Row],[MonthlyIncome]]&lt;3000,"&lt;3K",IF(HR_Data[[#This Row],[MonthlyIncome]]&lt;6000,"3K-6K",IF(HR_Data[[#This Row],[MonthlyIncome]]&lt;10000,"6K-10K","10K+")))</f>
        <v>10K+</v>
      </c>
      <c r="AH1286" s="1">
        <f>IF(HR_Data[[#This Row],[MonthlyIncome]]&lt;3000,1,IF(HR_Data[[#This Row],[MonthlyIncome]]&lt;6000,2,IF(HR_Data[[#This Row],[MonthlyIncome]]&lt;10000,3,4)))</f>
        <v>4</v>
      </c>
      <c r="AI1286" s="1" t="str">
        <f>IF(HR_Data[[#This Row],[YearsAtCompany]]&lt;=2,"0-2 Yrs",IF(HR_Data[[#This Row],[YearsAtCompany]]&lt;=5,"3-5 Yrs",IF(HR_Data[[#This Row],[YearsAtCompany]]&lt;=10,"6-10 Yrs","10+ Yrs")))</f>
        <v>3-5 Yrs</v>
      </c>
      <c r="AJ1286" s="1">
        <f>IF(HR_Data[[#This Row],[YearsAtCompany]]&lt;=2,1,IF(HR_Data[[#This Row],[YearsAtCompany]]&lt;=5,2,IF(HR_Data[[#This Row],[YearsAtCompany]]&lt;=10,3,4)))</f>
        <v>2</v>
      </c>
      <c r="AK1286" s="1" t="str">
        <f>CHOOSE(HR_Data[[#This Row],[Education]],"Below College","College","Bachelor","Master","Doctor")</f>
        <v>Below College</v>
      </c>
      <c r="AL1286" s="1" t="str">
        <f>CHOOSE(HR_Data[[#This Row],[JobSatisfaction]],"Low","Medium","High","Very High")</f>
        <v>High</v>
      </c>
      <c r="AM1286" s="1" t="str">
        <f>CHOOSE(HR_Data[[#This Row],[EnvironmentSatisfaction]],"Low","Medium","High","Very High")</f>
        <v>High</v>
      </c>
      <c r="AN1286" s="1" t="str">
        <f>CHOOSE(HR_Data[[#This Row],[WorkLifeBalance]],"Bad","Good","Better","Best")</f>
        <v>Better</v>
      </c>
      <c r="AO1286" s="1" t="str">
        <f>IF(HR_Data[[#This Row],[PercentSalaryHike]]&lt;=13,"11-13%",IF(HR_Data[[#This Row],[PercentSalaryHike]]&lt;=16,"14-16%",IF(HR_Data[[#This Row],[PercentSalaryHike]]&lt;=19,"17-19%","20-25%")))</f>
        <v>20-25%</v>
      </c>
      <c r="AP1286" s="1">
        <f>IF(HR_Data[[#This Row],[PercentSalaryHike]]&lt;=13,1,IF(HR_Data[[#This Row],[PercentSalaryHike]]&lt;=16,2,IF(HR_Data[[#This Row],[PercentSalaryHike]]&lt;=19,3,4)))</f>
        <v>4</v>
      </c>
      <c r="AQ1286" s="1" t="str">
        <f>IF(HR_Data[[#This Row],[DistanceFromHome]]&lt;=5,"1 to 5",IF(HR_Data[[#This Row],[DistanceFromHome]]&lt;=10,"6 to 10",IF(HR_Data[[#This Row],[DistanceFromHome]]&lt;=20,"11 to 20","21 to 29")))</f>
        <v>6 to 10</v>
      </c>
      <c r="AR1286" s="1">
        <f>IF(HR_Data[[#This Row],[DistanceFromHome]]&lt;=5,1,IF(HR_Data[[#This Row],[DistanceFromHome]]&lt;=10,2,IF(HR_Data[[#This Row],[DistanceFromHome]]&lt;=20,3,4)))</f>
        <v>2</v>
      </c>
      <c r="AS1286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286" s="1">
        <f>IF(HR_Data[[#This Row],[TotalWorkingYears]]&lt;=5,1,IF(HR_Data[[#This Row],[TotalWorkingYears]]&lt;=10,2,IF(HR_Data[[#This Row],[TotalWorkingYears]]&lt;=20,3,4)))</f>
        <v>2</v>
      </c>
    </row>
    <row r="1287" spans="1:46" x14ac:dyDescent="0.25">
      <c r="A1287">
        <v>46</v>
      </c>
      <c r="B1287" t="s">
        <v>36</v>
      </c>
      <c r="C1287" t="s">
        <v>48</v>
      </c>
      <c r="D1287" t="s">
        <v>31</v>
      </c>
      <c r="E1287">
        <v>26</v>
      </c>
      <c r="F1287">
        <v>2</v>
      </c>
      <c r="G1287" t="s">
        <v>32</v>
      </c>
      <c r="H1287">
        <v>1801</v>
      </c>
      <c r="I1287">
        <v>2</v>
      </c>
      <c r="J1287" t="s">
        <v>39</v>
      </c>
      <c r="K1287">
        <v>2</v>
      </c>
      <c r="L1287">
        <v>2</v>
      </c>
      <c r="M1287" t="s">
        <v>34</v>
      </c>
      <c r="N1287">
        <v>2</v>
      </c>
      <c r="O1287" t="s">
        <v>35</v>
      </c>
      <c r="P1287">
        <v>7991</v>
      </c>
      <c r="Q1287">
        <v>8</v>
      </c>
      <c r="R1287" t="s">
        <v>36</v>
      </c>
      <c r="S1287">
        <v>15</v>
      </c>
      <c r="T1287">
        <v>3</v>
      </c>
      <c r="U1287">
        <v>3</v>
      </c>
      <c r="V1287">
        <v>0</v>
      </c>
      <c r="W1287">
        <v>6</v>
      </c>
      <c r="X1287">
        <v>3</v>
      </c>
      <c r="Y1287">
        <v>3</v>
      </c>
      <c r="Z1287">
        <v>2</v>
      </c>
      <c r="AA1287">
        <v>2</v>
      </c>
      <c r="AB1287">
        <v>2</v>
      </c>
      <c r="AC1287">
        <v>2</v>
      </c>
      <c r="AD1287">
        <f>IF(HR_Data[[#This Row],[Attrition]]="Yes",1,0)</f>
        <v>0</v>
      </c>
      <c r="AE1287" t="str">
        <f>IF(HR_Data[[#This Row],[Age]]&lt;=25,"18-25",IF(HR_Data[[#This Row],[Age]]&lt;=35,"26-35",IF(HR_Data[[#This Row],[Age]]&lt;=45,"36-45",IF(HR_Data[[#This Row],[Age]]&lt;=55,"46-55","55+"))))</f>
        <v>46-55</v>
      </c>
      <c r="AF1287">
        <f>IF(HR_Data[[#This Row],[Age]]&lt;=25,1,IF(HR_Data[[#This Row],[Age]]&lt;=35,2,IF(HR_Data[[#This Row],[Age]]&lt;=45,3,IF(HR_Data[[#This Row],[Age]]&lt;=55,4,5))))</f>
        <v>4</v>
      </c>
      <c r="AG1287" s="1" t="str">
        <f>IF(HR_Data[[#This Row],[MonthlyIncome]]&lt;3000,"&lt;3K",IF(HR_Data[[#This Row],[MonthlyIncome]]&lt;6000,"3K-6K",IF(HR_Data[[#This Row],[MonthlyIncome]]&lt;10000,"6K-10K","10K+")))</f>
        <v>6K-10K</v>
      </c>
      <c r="AH1287" s="1">
        <f>IF(HR_Data[[#This Row],[MonthlyIncome]]&lt;3000,1,IF(HR_Data[[#This Row],[MonthlyIncome]]&lt;6000,2,IF(HR_Data[[#This Row],[MonthlyIncome]]&lt;10000,3,4)))</f>
        <v>3</v>
      </c>
      <c r="AI1287" s="1" t="str">
        <f>IF(HR_Data[[#This Row],[YearsAtCompany]]&lt;=2,"0-2 Yrs",IF(HR_Data[[#This Row],[YearsAtCompany]]&lt;=5,"3-5 Yrs",IF(HR_Data[[#This Row],[YearsAtCompany]]&lt;=10,"6-10 Yrs","10+ Yrs")))</f>
        <v>0-2 Yrs</v>
      </c>
      <c r="AJ1287" s="1">
        <f>IF(HR_Data[[#This Row],[YearsAtCompany]]&lt;=2,1,IF(HR_Data[[#This Row],[YearsAtCompany]]&lt;=5,2,IF(HR_Data[[#This Row],[YearsAtCompany]]&lt;=10,3,4)))</f>
        <v>1</v>
      </c>
      <c r="AK1287" s="1" t="str">
        <f>CHOOSE(HR_Data[[#This Row],[Education]],"Below College","College","Bachelor","Master","Doctor")</f>
        <v>College</v>
      </c>
      <c r="AL1287" s="1" t="str">
        <f>CHOOSE(HR_Data[[#This Row],[JobSatisfaction]],"Low","Medium","High","Very High")</f>
        <v>Medium</v>
      </c>
      <c r="AM1287" s="1" t="str">
        <f>CHOOSE(HR_Data[[#This Row],[EnvironmentSatisfaction]],"Low","Medium","High","Very High")</f>
        <v>Medium</v>
      </c>
      <c r="AN1287" s="1" t="str">
        <f>CHOOSE(HR_Data[[#This Row],[WorkLifeBalance]],"Bad","Good","Better","Best")</f>
        <v>Better</v>
      </c>
      <c r="AO1287" s="1" t="str">
        <f>IF(HR_Data[[#This Row],[PercentSalaryHike]]&lt;=13,"11-13%",IF(HR_Data[[#This Row],[PercentSalaryHike]]&lt;=16,"14-16%",IF(HR_Data[[#This Row],[PercentSalaryHike]]&lt;=19,"17-19%","20-25%")))</f>
        <v>14-16%</v>
      </c>
      <c r="AP1287" s="1">
        <f>IF(HR_Data[[#This Row],[PercentSalaryHike]]&lt;=13,1,IF(HR_Data[[#This Row],[PercentSalaryHike]]&lt;=16,2,IF(HR_Data[[#This Row],[PercentSalaryHike]]&lt;=19,3,4)))</f>
        <v>2</v>
      </c>
      <c r="AQ1287" s="1" t="str">
        <f>IF(HR_Data[[#This Row],[DistanceFromHome]]&lt;=5,"1 to 5",IF(HR_Data[[#This Row],[DistanceFromHome]]&lt;=10,"6 to 10",IF(HR_Data[[#This Row],[DistanceFromHome]]&lt;=20,"11 to 20","21 to 29")))</f>
        <v>21 to 29</v>
      </c>
      <c r="AR1287" s="1">
        <f>IF(HR_Data[[#This Row],[DistanceFromHome]]&lt;=5,1,IF(HR_Data[[#This Row],[DistanceFromHome]]&lt;=10,2,IF(HR_Data[[#This Row],[DistanceFromHome]]&lt;=20,3,4)))</f>
        <v>4</v>
      </c>
      <c r="AS1287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287" s="1">
        <f>IF(HR_Data[[#This Row],[TotalWorkingYears]]&lt;=5,1,IF(HR_Data[[#This Row],[TotalWorkingYears]]&lt;=10,2,IF(HR_Data[[#This Row],[TotalWorkingYears]]&lt;=20,3,4)))</f>
        <v>2</v>
      </c>
    </row>
    <row r="1288" spans="1:46" x14ac:dyDescent="0.25">
      <c r="A1288">
        <v>40</v>
      </c>
      <c r="B1288" t="s">
        <v>36</v>
      </c>
      <c r="C1288" t="s">
        <v>30</v>
      </c>
      <c r="D1288" t="s">
        <v>38</v>
      </c>
      <c r="E1288">
        <v>2</v>
      </c>
      <c r="F1288">
        <v>2</v>
      </c>
      <c r="G1288" t="s">
        <v>32</v>
      </c>
      <c r="H1288">
        <v>1802</v>
      </c>
      <c r="I1288">
        <v>3</v>
      </c>
      <c r="J1288" t="s">
        <v>33</v>
      </c>
      <c r="K1288">
        <v>3</v>
      </c>
      <c r="L1288">
        <v>1</v>
      </c>
      <c r="M1288" t="s">
        <v>43</v>
      </c>
      <c r="N1288">
        <v>1</v>
      </c>
      <c r="O1288" t="s">
        <v>41</v>
      </c>
      <c r="P1288">
        <v>3377</v>
      </c>
      <c r="Q1288">
        <v>4</v>
      </c>
      <c r="R1288" t="s">
        <v>36</v>
      </c>
      <c r="S1288">
        <v>17</v>
      </c>
      <c r="T1288">
        <v>3</v>
      </c>
      <c r="U1288">
        <v>4</v>
      </c>
      <c r="V1288">
        <v>1</v>
      </c>
      <c r="W1288">
        <v>7</v>
      </c>
      <c r="X1288">
        <v>5</v>
      </c>
      <c r="Y1288">
        <v>2</v>
      </c>
      <c r="Z1288">
        <v>4</v>
      </c>
      <c r="AA1288">
        <v>3</v>
      </c>
      <c r="AB1288">
        <v>0</v>
      </c>
      <c r="AC1288">
        <v>2</v>
      </c>
      <c r="AD1288">
        <f>IF(HR_Data[[#This Row],[Attrition]]="Yes",1,0)</f>
        <v>0</v>
      </c>
      <c r="AE1288" t="str">
        <f>IF(HR_Data[[#This Row],[Age]]&lt;=25,"18-25",IF(HR_Data[[#This Row],[Age]]&lt;=35,"26-35",IF(HR_Data[[#This Row],[Age]]&lt;=45,"36-45",IF(HR_Data[[#This Row],[Age]]&lt;=55,"46-55","55+"))))</f>
        <v>36-45</v>
      </c>
      <c r="AF1288">
        <f>IF(HR_Data[[#This Row],[Age]]&lt;=25,1,IF(HR_Data[[#This Row],[Age]]&lt;=35,2,IF(HR_Data[[#This Row],[Age]]&lt;=45,3,IF(HR_Data[[#This Row],[Age]]&lt;=55,4,5))))</f>
        <v>3</v>
      </c>
      <c r="AG1288" s="1" t="str">
        <f>IF(HR_Data[[#This Row],[MonthlyIncome]]&lt;3000,"&lt;3K",IF(HR_Data[[#This Row],[MonthlyIncome]]&lt;6000,"3K-6K",IF(HR_Data[[#This Row],[MonthlyIncome]]&lt;10000,"6K-10K","10K+")))</f>
        <v>3K-6K</v>
      </c>
      <c r="AH1288" s="1">
        <f>IF(HR_Data[[#This Row],[MonthlyIncome]]&lt;3000,1,IF(HR_Data[[#This Row],[MonthlyIncome]]&lt;6000,2,IF(HR_Data[[#This Row],[MonthlyIncome]]&lt;10000,3,4)))</f>
        <v>2</v>
      </c>
      <c r="AI1288" s="1" t="str">
        <f>IF(HR_Data[[#This Row],[YearsAtCompany]]&lt;=2,"0-2 Yrs",IF(HR_Data[[#This Row],[YearsAtCompany]]&lt;=5,"3-5 Yrs",IF(HR_Data[[#This Row],[YearsAtCompany]]&lt;=10,"6-10 Yrs","10+ Yrs")))</f>
        <v>3-5 Yrs</v>
      </c>
      <c r="AJ1288" s="1">
        <f>IF(HR_Data[[#This Row],[YearsAtCompany]]&lt;=2,1,IF(HR_Data[[#This Row],[YearsAtCompany]]&lt;=5,2,IF(HR_Data[[#This Row],[YearsAtCompany]]&lt;=10,3,4)))</f>
        <v>2</v>
      </c>
      <c r="AK1288" s="1" t="str">
        <f>CHOOSE(HR_Data[[#This Row],[Education]],"Below College","College","Bachelor","Master","Doctor")</f>
        <v>College</v>
      </c>
      <c r="AL1288" s="1" t="str">
        <f>CHOOSE(HR_Data[[#This Row],[JobSatisfaction]],"Low","Medium","High","Very High")</f>
        <v>Low</v>
      </c>
      <c r="AM1288" s="1" t="str">
        <f>CHOOSE(HR_Data[[#This Row],[EnvironmentSatisfaction]],"Low","Medium","High","Very High")</f>
        <v>High</v>
      </c>
      <c r="AN1288" s="1" t="str">
        <f>CHOOSE(HR_Data[[#This Row],[WorkLifeBalance]],"Bad","Good","Better","Best")</f>
        <v>Good</v>
      </c>
      <c r="AO1288" s="1" t="str">
        <f>IF(HR_Data[[#This Row],[PercentSalaryHike]]&lt;=13,"11-13%",IF(HR_Data[[#This Row],[PercentSalaryHike]]&lt;=16,"14-16%",IF(HR_Data[[#This Row],[PercentSalaryHike]]&lt;=19,"17-19%","20-25%")))</f>
        <v>17-19%</v>
      </c>
      <c r="AP1288" s="1">
        <f>IF(HR_Data[[#This Row],[PercentSalaryHike]]&lt;=13,1,IF(HR_Data[[#This Row],[PercentSalaryHike]]&lt;=16,2,IF(HR_Data[[#This Row],[PercentSalaryHike]]&lt;=19,3,4)))</f>
        <v>3</v>
      </c>
      <c r="AQ1288" s="1" t="str">
        <f>IF(HR_Data[[#This Row],[DistanceFromHome]]&lt;=5,"1 to 5",IF(HR_Data[[#This Row],[DistanceFromHome]]&lt;=10,"6 to 10",IF(HR_Data[[#This Row],[DistanceFromHome]]&lt;=20,"11 to 20","21 to 29")))</f>
        <v>1 to 5</v>
      </c>
      <c r="AR1288" s="1">
        <f>IF(HR_Data[[#This Row],[DistanceFromHome]]&lt;=5,1,IF(HR_Data[[#This Row],[DistanceFromHome]]&lt;=10,2,IF(HR_Data[[#This Row],[DistanceFromHome]]&lt;=20,3,4)))</f>
        <v>1</v>
      </c>
      <c r="AS1288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288" s="1">
        <f>IF(HR_Data[[#This Row],[TotalWorkingYears]]&lt;=5,1,IF(HR_Data[[#This Row],[TotalWorkingYears]]&lt;=10,2,IF(HR_Data[[#This Row],[TotalWorkingYears]]&lt;=20,3,4)))</f>
        <v>2</v>
      </c>
    </row>
    <row r="1289" spans="1:46" x14ac:dyDescent="0.25">
      <c r="A1289">
        <v>42</v>
      </c>
      <c r="B1289" t="s">
        <v>36</v>
      </c>
      <c r="C1289" t="s">
        <v>30</v>
      </c>
      <c r="D1289" t="s">
        <v>38</v>
      </c>
      <c r="E1289">
        <v>13</v>
      </c>
      <c r="F1289">
        <v>3</v>
      </c>
      <c r="G1289" t="s">
        <v>44</v>
      </c>
      <c r="H1289">
        <v>1803</v>
      </c>
      <c r="I1289">
        <v>2</v>
      </c>
      <c r="J1289" t="s">
        <v>39</v>
      </c>
      <c r="K1289">
        <v>4</v>
      </c>
      <c r="L1289">
        <v>2</v>
      </c>
      <c r="M1289" t="s">
        <v>47</v>
      </c>
      <c r="N1289">
        <v>1</v>
      </c>
      <c r="O1289" t="s">
        <v>41</v>
      </c>
      <c r="P1289">
        <v>5538</v>
      </c>
      <c r="Q1289">
        <v>5</v>
      </c>
      <c r="R1289" t="s">
        <v>36</v>
      </c>
      <c r="S1289">
        <v>18</v>
      </c>
      <c r="T1289">
        <v>3</v>
      </c>
      <c r="U1289">
        <v>3</v>
      </c>
      <c r="V1289">
        <v>2</v>
      </c>
      <c r="W1289">
        <v>10</v>
      </c>
      <c r="X1289">
        <v>2</v>
      </c>
      <c r="Y1289">
        <v>2</v>
      </c>
      <c r="Z1289">
        <v>0</v>
      </c>
      <c r="AA1289">
        <v>0</v>
      </c>
      <c r="AB1289">
        <v>0</v>
      </c>
      <c r="AC1289">
        <v>0</v>
      </c>
      <c r="AD1289">
        <f>IF(HR_Data[[#This Row],[Attrition]]="Yes",1,0)</f>
        <v>0</v>
      </c>
      <c r="AE1289" t="str">
        <f>IF(HR_Data[[#This Row],[Age]]&lt;=25,"18-25",IF(HR_Data[[#This Row],[Age]]&lt;=35,"26-35",IF(HR_Data[[#This Row],[Age]]&lt;=45,"36-45",IF(HR_Data[[#This Row],[Age]]&lt;=55,"46-55","55+"))))</f>
        <v>36-45</v>
      </c>
      <c r="AF1289">
        <f>IF(HR_Data[[#This Row],[Age]]&lt;=25,1,IF(HR_Data[[#This Row],[Age]]&lt;=35,2,IF(HR_Data[[#This Row],[Age]]&lt;=45,3,IF(HR_Data[[#This Row],[Age]]&lt;=55,4,5))))</f>
        <v>3</v>
      </c>
      <c r="AG1289" s="1" t="str">
        <f>IF(HR_Data[[#This Row],[MonthlyIncome]]&lt;3000,"&lt;3K",IF(HR_Data[[#This Row],[MonthlyIncome]]&lt;6000,"3K-6K",IF(HR_Data[[#This Row],[MonthlyIncome]]&lt;10000,"6K-10K","10K+")))</f>
        <v>3K-6K</v>
      </c>
      <c r="AH1289" s="1">
        <f>IF(HR_Data[[#This Row],[MonthlyIncome]]&lt;3000,1,IF(HR_Data[[#This Row],[MonthlyIncome]]&lt;6000,2,IF(HR_Data[[#This Row],[MonthlyIncome]]&lt;10000,3,4)))</f>
        <v>2</v>
      </c>
      <c r="AI1289" s="1" t="str">
        <f>IF(HR_Data[[#This Row],[YearsAtCompany]]&lt;=2,"0-2 Yrs",IF(HR_Data[[#This Row],[YearsAtCompany]]&lt;=5,"3-5 Yrs",IF(HR_Data[[#This Row],[YearsAtCompany]]&lt;=10,"6-10 Yrs","10+ Yrs")))</f>
        <v>0-2 Yrs</v>
      </c>
      <c r="AJ1289" s="1">
        <f>IF(HR_Data[[#This Row],[YearsAtCompany]]&lt;=2,1,IF(HR_Data[[#This Row],[YearsAtCompany]]&lt;=5,2,IF(HR_Data[[#This Row],[YearsAtCompany]]&lt;=10,3,4)))</f>
        <v>1</v>
      </c>
      <c r="AK1289" s="1" t="str">
        <f>CHOOSE(HR_Data[[#This Row],[Education]],"Below College","College","Bachelor","Master","Doctor")</f>
        <v>Bachelor</v>
      </c>
      <c r="AL1289" s="1" t="str">
        <f>CHOOSE(HR_Data[[#This Row],[JobSatisfaction]],"Low","Medium","High","Very High")</f>
        <v>Low</v>
      </c>
      <c r="AM1289" s="1" t="str">
        <f>CHOOSE(HR_Data[[#This Row],[EnvironmentSatisfaction]],"Low","Medium","High","Very High")</f>
        <v>Medium</v>
      </c>
      <c r="AN1289" s="1" t="str">
        <f>CHOOSE(HR_Data[[#This Row],[WorkLifeBalance]],"Bad","Good","Better","Best")</f>
        <v>Good</v>
      </c>
      <c r="AO1289" s="1" t="str">
        <f>IF(HR_Data[[#This Row],[PercentSalaryHike]]&lt;=13,"11-13%",IF(HR_Data[[#This Row],[PercentSalaryHike]]&lt;=16,"14-16%",IF(HR_Data[[#This Row],[PercentSalaryHike]]&lt;=19,"17-19%","20-25%")))</f>
        <v>17-19%</v>
      </c>
      <c r="AP1289" s="1">
        <f>IF(HR_Data[[#This Row],[PercentSalaryHike]]&lt;=13,1,IF(HR_Data[[#This Row],[PercentSalaryHike]]&lt;=16,2,IF(HR_Data[[#This Row],[PercentSalaryHike]]&lt;=19,3,4)))</f>
        <v>3</v>
      </c>
      <c r="AQ1289" s="1" t="str">
        <f>IF(HR_Data[[#This Row],[DistanceFromHome]]&lt;=5,"1 to 5",IF(HR_Data[[#This Row],[DistanceFromHome]]&lt;=10,"6 to 10",IF(HR_Data[[#This Row],[DistanceFromHome]]&lt;=20,"11 to 20","21 to 29")))</f>
        <v>11 to 20</v>
      </c>
      <c r="AR1289" s="1">
        <f>IF(HR_Data[[#This Row],[DistanceFromHome]]&lt;=5,1,IF(HR_Data[[#This Row],[DistanceFromHome]]&lt;=10,2,IF(HR_Data[[#This Row],[DistanceFromHome]]&lt;=20,3,4)))</f>
        <v>3</v>
      </c>
      <c r="AS1289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289" s="1">
        <f>IF(HR_Data[[#This Row],[TotalWorkingYears]]&lt;=5,1,IF(HR_Data[[#This Row],[TotalWorkingYears]]&lt;=10,2,IF(HR_Data[[#This Row],[TotalWorkingYears]]&lt;=20,3,4)))</f>
        <v>2</v>
      </c>
    </row>
    <row r="1290" spans="1:46" x14ac:dyDescent="0.25">
      <c r="A1290">
        <v>35</v>
      </c>
      <c r="B1290" t="s">
        <v>36</v>
      </c>
      <c r="C1290" t="s">
        <v>48</v>
      </c>
      <c r="D1290" t="s">
        <v>38</v>
      </c>
      <c r="E1290">
        <v>2</v>
      </c>
      <c r="F1290">
        <v>2</v>
      </c>
      <c r="G1290" t="s">
        <v>44</v>
      </c>
      <c r="H1290">
        <v>1804</v>
      </c>
      <c r="I1290">
        <v>2</v>
      </c>
      <c r="J1290" t="s">
        <v>39</v>
      </c>
      <c r="K1290">
        <v>3</v>
      </c>
      <c r="L1290">
        <v>2</v>
      </c>
      <c r="M1290" t="s">
        <v>46</v>
      </c>
      <c r="N1290">
        <v>4</v>
      </c>
      <c r="O1290" t="s">
        <v>45</v>
      </c>
      <c r="P1290">
        <v>5762</v>
      </c>
      <c r="Q1290">
        <v>2</v>
      </c>
      <c r="R1290" t="s">
        <v>36</v>
      </c>
      <c r="S1290">
        <v>14</v>
      </c>
      <c r="T1290">
        <v>3</v>
      </c>
      <c r="U1290">
        <v>3</v>
      </c>
      <c r="V1290">
        <v>1</v>
      </c>
      <c r="W1290">
        <v>15</v>
      </c>
      <c r="X1290">
        <v>6</v>
      </c>
      <c r="Y1290">
        <v>3</v>
      </c>
      <c r="Z1290">
        <v>7</v>
      </c>
      <c r="AA1290">
        <v>7</v>
      </c>
      <c r="AB1290">
        <v>1</v>
      </c>
      <c r="AC1290">
        <v>7</v>
      </c>
      <c r="AD1290">
        <f>IF(HR_Data[[#This Row],[Attrition]]="Yes",1,0)</f>
        <v>0</v>
      </c>
      <c r="AE1290" t="str">
        <f>IF(HR_Data[[#This Row],[Age]]&lt;=25,"18-25",IF(HR_Data[[#This Row],[Age]]&lt;=35,"26-35",IF(HR_Data[[#This Row],[Age]]&lt;=45,"36-45",IF(HR_Data[[#This Row],[Age]]&lt;=55,"46-55","55+"))))</f>
        <v>26-35</v>
      </c>
      <c r="AF1290">
        <f>IF(HR_Data[[#This Row],[Age]]&lt;=25,1,IF(HR_Data[[#This Row],[Age]]&lt;=35,2,IF(HR_Data[[#This Row],[Age]]&lt;=45,3,IF(HR_Data[[#This Row],[Age]]&lt;=55,4,5))))</f>
        <v>2</v>
      </c>
      <c r="AG1290" s="1" t="str">
        <f>IF(HR_Data[[#This Row],[MonthlyIncome]]&lt;3000,"&lt;3K",IF(HR_Data[[#This Row],[MonthlyIncome]]&lt;6000,"3K-6K",IF(HR_Data[[#This Row],[MonthlyIncome]]&lt;10000,"6K-10K","10K+")))</f>
        <v>3K-6K</v>
      </c>
      <c r="AH1290" s="1">
        <f>IF(HR_Data[[#This Row],[MonthlyIncome]]&lt;3000,1,IF(HR_Data[[#This Row],[MonthlyIncome]]&lt;6000,2,IF(HR_Data[[#This Row],[MonthlyIncome]]&lt;10000,3,4)))</f>
        <v>2</v>
      </c>
      <c r="AI1290" s="1" t="str">
        <f>IF(HR_Data[[#This Row],[YearsAtCompany]]&lt;=2,"0-2 Yrs",IF(HR_Data[[#This Row],[YearsAtCompany]]&lt;=5,"3-5 Yrs",IF(HR_Data[[#This Row],[YearsAtCompany]]&lt;=10,"6-10 Yrs","10+ Yrs")))</f>
        <v>6-10 Yrs</v>
      </c>
      <c r="AJ1290" s="1">
        <f>IF(HR_Data[[#This Row],[YearsAtCompany]]&lt;=2,1,IF(HR_Data[[#This Row],[YearsAtCompany]]&lt;=5,2,IF(HR_Data[[#This Row],[YearsAtCompany]]&lt;=10,3,4)))</f>
        <v>3</v>
      </c>
      <c r="AK1290" s="1" t="str">
        <f>CHOOSE(HR_Data[[#This Row],[Education]],"Below College","College","Bachelor","Master","Doctor")</f>
        <v>College</v>
      </c>
      <c r="AL1290" s="1" t="str">
        <f>CHOOSE(HR_Data[[#This Row],[JobSatisfaction]],"Low","Medium","High","Very High")</f>
        <v>Very High</v>
      </c>
      <c r="AM1290" s="1" t="str">
        <f>CHOOSE(HR_Data[[#This Row],[EnvironmentSatisfaction]],"Low","Medium","High","Very High")</f>
        <v>Medium</v>
      </c>
      <c r="AN1290" s="1" t="str">
        <f>CHOOSE(HR_Data[[#This Row],[WorkLifeBalance]],"Bad","Good","Better","Best")</f>
        <v>Better</v>
      </c>
      <c r="AO1290" s="1" t="str">
        <f>IF(HR_Data[[#This Row],[PercentSalaryHike]]&lt;=13,"11-13%",IF(HR_Data[[#This Row],[PercentSalaryHike]]&lt;=16,"14-16%",IF(HR_Data[[#This Row],[PercentSalaryHike]]&lt;=19,"17-19%","20-25%")))</f>
        <v>14-16%</v>
      </c>
      <c r="AP1290" s="1">
        <f>IF(HR_Data[[#This Row],[PercentSalaryHike]]&lt;=13,1,IF(HR_Data[[#This Row],[PercentSalaryHike]]&lt;=16,2,IF(HR_Data[[#This Row],[PercentSalaryHike]]&lt;=19,3,4)))</f>
        <v>2</v>
      </c>
      <c r="AQ1290" s="1" t="str">
        <f>IF(HR_Data[[#This Row],[DistanceFromHome]]&lt;=5,"1 to 5",IF(HR_Data[[#This Row],[DistanceFromHome]]&lt;=10,"6 to 10",IF(HR_Data[[#This Row],[DistanceFromHome]]&lt;=20,"11 to 20","21 to 29")))</f>
        <v>1 to 5</v>
      </c>
      <c r="AR1290" s="1">
        <f>IF(HR_Data[[#This Row],[DistanceFromHome]]&lt;=5,1,IF(HR_Data[[#This Row],[DistanceFromHome]]&lt;=10,2,IF(HR_Data[[#This Row],[DistanceFromHome]]&lt;=20,3,4)))</f>
        <v>1</v>
      </c>
      <c r="AS1290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290" s="1">
        <f>IF(HR_Data[[#This Row],[TotalWorkingYears]]&lt;=5,1,IF(HR_Data[[#This Row],[TotalWorkingYears]]&lt;=10,2,IF(HR_Data[[#This Row],[TotalWorkingYears]]&lt;=20,3,4)))</f>
        <v>3</v>
      </c>
    </row>
    <row r="1291" spans="1:46" x14ac:dyDescent="0.25">
      <c r="A1291">
        <v>38</v>
      </c>
      <c r="B1291" t="s">
        <v>36</v>
      </c>
      <c r="C1291" t="s">
        <v>48</v>
      </c>
      <c r="D1291" t="s">
        <v>54</v>
      </c>
      <c r="E1291">
        <v>2</v>
      </c>
      <c r="F1291">
        <v>3</v>
      </c>
      <c r="G1291" t="s">
        <v>54</v>
      </c>
      <c r="H1291">
        <v>1805</v>
      </c>
      <c r="I1291">
        <v>1</v>
      </c>
      <c r="J1291" t="s">
        <v>39</v>
      </c>
      <c r="K1291">
        <v>3</v>
      </c>
      <c r="L1291">
        <v>1</v>
      </c>
      <c r="M1291" t="s">
        <v>54</v>
      </c>
      <c r="N1291">
        <v>2</v>
      </c>
      <c r="O1291" t="s">
        <v>45</v>
      </c>
      <c r="P1291">
        <v>2592</v>
      </c>
      <c r="Q1291">
        <v>5</v>
      </c>
      <c r="R1291" t="s">
        <v>36</v>
      </c>
      <c r="S1291">
        <v>13</v>
      </c>
      <c r="T1291">
        <v>3</v>
      </c>
      <c r="U1291">
        <v>4</v>
      </c>
      <c r="V1291">
        <v>3</v>
      </c>
      <c r="W1291">
        <v>13</v>
      </c>
      <c r="X1291">
        <v>3</v>
      </c>
      <c r="Y1291">
        <v>3</v>
      </c>
      <c r="Z1291">
        <v>11</v>
      </c>
      <c r="AA1291">
        <v>10</v>
      </c>
      <c r="AB1291">
        <v>3</v>
      </c>
      <c r="AC1291">
        <v>8</v>
      </c>
      <c r="AD1291">
        <f>IF(HR_Data[[#This Row],[Attrition]]="Yes",1,0)</f>
        <v>0</v>
      </c>
      <c r="AE1291" t="str">
        <f>IF(HR_Data[[#This Row],[Age]]&lt;=25,"18-25",IF(HR_Data[[#This Row],[Age]]&lt;=35,"26-35",IF(HR_Data[[#This Row],[Age]]&lt;=45,"36-45",IF(HR_Data[[#This Row],[Age]]&lt;=55,"46-55","55+"))))</f>
        <v>36-45</v>
      </c>
      <c r="AF1291">
        <f>IF(HR_Data[[#This Row],[Age]]&lt;=25,1,IF(HR_Data[[#This Row],[Age]]&lt;=35,2,IF(HR_Data[[#This Row],[Age]]&lt;=45,3,IF(HR_Data[[#This Row],[Age]]&lt;=55,4,5))))</f>
        <v>3</v>
      </c>
      <c r="AG1291" s="1" t="str">
        <f>IF(HR_Data[[#This Row],[MonthlyIncome]]&lt;3000,"&lt;3K",IF(HR_Data[[#This Row],[MonthlyIncome]]&lt;6000,"3K-6K",IF(HR_Data[[#This Row],[MonthlyIncome]]&lt;10000,"6K-10K","10K+")))</f>
        <v>&lt;3K</v>
      </c>
      <c r="AH1291" s="1">
        <f>IF(HR_Data[[#This Row],[MonthlyIncome]]&lt;3000,1,IF(HR_Data[[#This Row],[MonthlyIncome]]&lt;6000,2,IF(HR_Data[[#This Row],[MonthlyIncome]]&lt;10000,3,4)))</f>
        <v>1</v>
      </c>
      <c r="AI1291" s="1" t="str">
        <f>IF(HR_Data[[#This Row],[YearsAtCompany]]&lt;=2,"0-2 Yrs",IF(HR_Data[[#This Row],[YearsAtCompany]]&lt;=5,"3-5 Yrs",IF(HR_Data[[#This Row],[YearsAtCompany]]&lt;=10,"6-10 Yrs","10+ Yrs")))</f>
        <v>10+ Yrs</v>
      </c>
      <c r="AJ1291" s="1">
        <f>IF(HR_Data[[#This Row],[YearsAtCompany]]&lt;=2,1,IF(HR_Data[[#This Row],[YearsAtCompany]]&lt;=5,2,IF(HR_Data[[#This Row],[YearsAtCompany]]&lt;=10,3,4)))</f>
        <v>4</v>
      </c>
      <c r="AK1291" s="1" t="str">
        <f>CHOOSE(HR_Data[[#This Row],[Education]],"Below College","College","Bachelor","Master","Doctor")</f>
        <v>Bachelor</v>
      </c>
      <c r="AL1291" s="1" t="str">
        <f>CHOOSE(HR_Data[[#This Row],[JobSatisfaction]],"Low","Medium","High","Very High")</f>
        <v>Medium</v>
      </c>
      <c r="AM1291" s="1" t="str">
        <f>CHOOSE(HR_Data[[#This Row],[EnvironmentSatisfaction]],"Low","Medium","High","Very High")</f>
        <v>Low</v>
      </c>
      <c r="AN1291" s="1" t="str">
        <f>CHOOSE(HR_Data[[#This Row],[WorkLifeBalance]],"Bad","Good","Better","Best")</f>
        <v>Better</v>
      </c>
      <c r="AO1291" s="1" t="str">
        <f>IF(HR_Data[[#This Row],[PercentSalaryHike]]&lt;=13,"11-13%",IF(HR_Data[[#This Row],[PercentSalaryHike]]&lt;=16,"14-16%",IF(HR_Data[[#This Row],[PercentSalaryHike]]&lt;=19,"17-19%","20-25%")))</f>
        <v>11-13%</v>
      </c>
      <c r="AP1291" s="1">
        <f>IF(HR_Data[[#This Row],[PercentSalaryHike]]&lt;=13,1,IF(HR_Data[[#This Row],[PercentSalaryHike]]&lt;=16,2,IF(HR_Data[[#This Row],[PercentSalaryHike]]&lt;=19,3,4)))</f>
        <v>1</v>
      </c>
      <c r="AQ1291" s="1" t="str">
        <f>IF(HR_Data[[#This Row],[DistanceFromHome]]&lt;=5,"1 to 5",IF(HR_Data[[#This Row],[DistanceFromHome]]&lt;=10,"6 to 10",IF(HR_Data[[#This Row],[DistanceFromHome]]&lt;=20,"11 to 20","21 to 29")))</f>
        <v>1 to 5</v>
      </c>
      <c r="AR1291" s="1">
        <f>IF(HR_Data[[#This Row],[DistanceFromHome]]&lt;=5,1,IF(HR_Data[[#This Row],[DistanceFromHome]]&lt;=10,2,IF(HR_Data[[#This Row],[DistanceFromHome]]&lt;=20,3,4)))</f>
        <v>1</v>
      </c>
      <c r="AS1291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291" s="1">
        <f>IF(HR_Data[[#This Row],[TotalWorkingYears]]&lt;=5,1,IF(HR_Data[[#This Row],[TotalWorkingYears]]&lt;=10,2,IF(HR_Data[[#This Row],[TotalWorkingYears]]&lt;=20,3,4)))</f>
        <v>3</v>
      </c>
    </row>
    <row r="1292" spans="1:46" x14ac:dyDescent="0.25">
      <c r="A1292">
        <v>34</v>
      </c>
      <c r="B1292" t="s">
        <v>29</v>
      </c>
      <c r="C1292" t="s">
        <v>37</v>
      </c>
      <c r="D1292" t="s">
        <v>38</v>
      </c>
      <c r="E1292">
        <v>9</v>
      </c>
      <c r="F1292">
        <v>4</v>
      </c>
      <c r="G1292" t="s">
        <v>32</v>
      </c>
      <c r="H1292">
        <v>1807</v>
      </c>
      <c r="I1292">
        <v>4</v>
      </c>
      <c r="J1292" t="s">
        <v>39</v>
      </c>
      <c r="K1292">
        <v>3</v>
      </c>
      <c r="L1292">
        <v>2</v>
      </c>
      <c r="M1292" t="s">
        <v>43</v>
      </c>
      <c r="N1292">
        <v>1</v>
      </c>
      <c r="O1292" t="s">
        <v>41</v>
      </c>
      <c r="P1292">
        <v>5346</v>
      </c>
      <c r="Q1292">
        <v>4</v>
      </c>
      <c r="R1292" t="s">
        <v>36</v>
      </c>
      <c r="S1292">
        <v>17</v>
      </c>
      <c r="T1292">
        <v>3</v>
      </c>
      <c r="U1292">
        <v>3</v>
      </c>
      <c r="V1292">
        <v>1</v>
      </c>
      <c r="W1292">
        <v>11</v>
      </c>
      <c r="X1292">
        <v>3</v>
      </c>
      <c r="Y1292">
        <v>2</v>
      </c>
      <c r="Z1292">
        <v>7</v>
      </c>
      <c r="AA1292">
        <v>1</v>
      </c>
      <c r="AB1292">
        <v>0</v>
      </c>
      <c r="AC1292">
        <v>7</v>
      </c>
      <c r="AD1292">
        <f>IF(HR_Data[[#This Row],[Attrition]]="Yes",1,0)</f>
        <v>1</v>
      </c>
      <c r="AE1292" t="str">
        <f>IF(HR_Data[[#This Row],[Age]]&lt;=25,"18-25",IF(HR_Data[[#This Row],[Age]]&lt;=35,"26-35",IF(HR_Data[[#This Row],[Age]]&lt;=45,"36-45",IF(HR_Data[[#This Row],[Age]]&lt;=55,"46-55","55+"))))</f>
        <v>26-35</v>
      </c>
      <c r="AF1292">
        <f>IF(HR_Data[[#This Row],[Age]]&lt;=25,1,IF(HR_Data[[#This Row],[Age]]&lt;=35,2,IF(HR_Data[[#This Row],[Age]]&lt;=45,3,IF(HR_Data[[#This Row],[Age]]&lt;=55,4,5))))</f>
        <v>2</v>
      </c>
      <c r="AG1292" s="1" t="str">
        <f>IF(HR_Data[[#This Row],[MonthlyIncome]]&lt;3000,"&lt;3K",IF(HR_Data[[#This Row],[MonthlyIncome]]&lt;6000,"3K-6K",IF(HR_Data[[#This Row],[MonthlyIncome]]&lt;10000,"6K-10K","10K+")))</f>
        <v>3K-6K</v>
      </c>
      <c r="AH1292" s="1">
        <f>IF(HR_Data[[#This Row],[MonthlyIncome]]&lt;3000,1,IF(HR_Data[[#This Row],[MonthlyIncome]]&lt;6000,2,IF(HR_Data[[#This Row],[MonthlyIncome]]&lt;10000,3,4)))</f>
        <v>2</v>
      </c>
      <c r="AI1292" s="1" t="str">
        <f>IF(HR_Data[[#This Row],[YearsAtCompany]]&lt;=2,"0-2 Yrs",IF(HR_Data[[#This Row],[YearsAtCompany]]&lt;=5,"3-5 Yrs",IF(HR_Data[[#This Row],[YearsAtCompany]]&lt;=10,"6-10 Yrs","10+ Yrs")))</f>
        <v>6-10 Yrs</v>
      </c>
      <c r="AJ1292" s="1">
        <f>IF(HR_Data[[#This Row],[YearsAtCompany]]&lt;=2,1,IF(HR_Data[[#This Row],[YearsAtCompany]]&lt;=5,2,IF(HR_Data[[#This Row],[YearsAtCompany]]&lt;=10,3,4)))</f>
        <v>3</v>
      </c>
      <c r="AK1292" s="1" t="str">
        <f>CHOOSE(HR_Data[[#This Row],[Education]],"Below College","College","Bachelor","Master","Doctor")</f>
        <v>Master</v>
      </c>
      <c r="AL1292" s="1" t="str">
        <f>CHOOSE(HR_Data[[#This Row],[JobSatisfaction]],"Low","Medium","High","Very High")</f>
        <v>Low</v>
      </c>
      <c r="AM1292" s="1" t="str">
        <f>CHOOSE(HR_Data[[#This Row],[EnvironmentSatisfaction]],"Low","Medium","High","Very High")</f>
        <v>Very High</v>
      </c>
      <c r="AN1292" s="1" t="str">
        <f>CHOOSE(HR_Data[[#This Row],[WorkLifeBalance]],"Bad","Good","Better","Best")</f>
        <v>Good</v>
      </c>
      <c r="AO1292" s="1" t="str">
        <f>IF(HR_Data[[#This Row],[PercentSalaryHike]]&lt;=13,"11-13%",IF(HR_Data[[#This Row],[PercentSalaryHike]]&lt;=16,"14-16%",IF(HR_Data[[#This Row],[PercentSalaryHike]]&lt;=19,"17-19%","20-25%")))</f>
        <v>17-19%</v>
      </c>
      <c r="AP1292" s="1">
        <f>IF(HR_Data[[#This Row],[PercentSalaryHike]]&lt;=13,1,IF(HR_Data[[#This Row],[PercentSalaryHike]]&lt;=16,2,IF(HR_Data[[#This Row],[PercentSalaryHike]]&lt;=19,3,4)))</f>
        <v>3</v>
      </c>
      <c r="AQ1292" s="1" t="str">
        <f>IF(HR_Data[[#This Row],[DistanceFromHome]]&lt;=5,"1 to 5",IF(HR_Data[[#This Row],[DistanceFromHome]]&lt;=10,"6 to 10",IF(HR_Data[[#This Row],[DistanceFromHome]]&lt;=20,"11 to 20","21 to 29")))</f>
        <v>6 to 10</v>
      </c>
      <c r="AR1292" s="1">
        <f>IF(HR_Data[[#This Row],[DistanceFromHome]]&lt;=5,1,IF(HR_Data[[#This Row],[DistanceFromHome]]&lt;=10,2,IF(HR_Data[[#This Row],[DistanceFromHome]]&lt;=20,3,4)))</f>
        <v>2</v>
      </c>
      <c r="AS1292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292" s="1">
        <f>IF(HR_Data[[#This Row],[TotalWorkingYears]]&lt;=5,1,IF(HR_Data[[#This Row],[TotalWorkingYears]]&lt;=10,2,IF(HR_Data[[#This Row],[TotalWorkingYears]]&lt;=20,3,4)))</f>
        <v>3</v>
      </c>
    </row>
    <row r="1293" spans="1:46" x14ac:dyDescent="0.25">
      <c r="A1293">
        <v>37</v>
      </c>
      <c r="B1293" t="s">
        <v>29</v>
      </c>
      <c r="C1293" t="s">
        <v>30</v>
      </c>
      <c r="D1293" t="s">
        <v>38</v>
      </c>
      <c r="E1293">
        <v>10</v>
      </c>
      <c r="F1293">
        <v>4</v>
      </c>
      <c r="G1293" t="s">
        <v>44</v>
      </c>
      <c r="H1293">
        <v>1809</v>
      </c>
      <c r="I1293">
        <v>4</v>
      </c>
      <c r="J1293" t="s">
        <v>39</v>
      </c>
      <c r="K1293">
        <v>3</v>
      </c>
      <c r="L1293">
        <v>2</v>
      </c>
      <c r="M1293" t="s">
        <v>46</v>
      </c>
      <c r="N1293">
        <v>1</v>
      </c>
      <c r="O1293" t="s">
        <v>35</v>
      </c>
      <c r="P1293">
        <v>4213</v>
      </c>
      <c r="Q1293">
        <v>1</v>
      </c>
      <c r="R1293" t="s">
        <v>36</v>
      </c>
      <c r="S1293">
        <v>15</v>
      </c>
      <c r="T1293">
        <v>3</v>
      </c>
      <c r="U1293">
        <v>2</v>
      </c>
      <c r="V1293">
        <v>0</v>
      </c>
      <c r="W1293">
        <v>10</v>
      </c>
      <c r="X1293">
        <v>4</v>
      </c>
      <c r="Y1293">
        <v>1</v>
      </c>
      <c r="Z1293">
        <v>10</v>
      </c>
      <c r="AA1293">
        <v>3</v>
      </c>
      <c r="AB1293">
        <v>0</v>
      </c>
      <c r="AC1293">
        <v>8</v>
      </c>
      <c r="AD1293">
        <f>IF(HR_Data[[#This Row],[Attrition]]="Yes",1,0)</f>
        <v>1</v>
      </c>
      <c r="AE1293" t="str">
        <f>IF(HR_Data[[#This Row],[Age]]&lt;=25,"18-25",IF(HR_Data[[#This Row],[Age]]&lt;=35,"26-35",IF(HR_Data[[#This Row],[Age]]&lt;=45,"36-45",IF(HR_Data[[#This Row],[Age]]&lt;=55,"46-55","55+"))))</f>
        <v>36-45</v>
      </c>
      <c r="AF1293">
        <f>IF(HR_Data[[#This Row],[Age]]&lt;=25,1,IF(HR_Data[[#This Row],[Age]]&lt;=35,2,IF(HR_Data[[#This Row],[Age]]&lt;=45,3,IF(HR_Data[[#This Row],[Age]]&lt;=55,4,5))))</f>
        <v>3</v>
      </c>
      <c r="AG1293" s="1" t="str">
        <f>IF(HR_Data[[#This Row],[MonthlyIncome]]&lt;3000,"&lt;3K",IF(HR_Data[[#This Row],[MonthlyIncome]]&lt;6000,"3K-6K",IF(HR_Data[[#This Row],[MonthlyIncome]]&lt;10000,"6K-10K","10K+")))</f>
        <v>3K-6K</v>
      </c>
      <c r="AH1293" s="1">
        <f>IF(HR_Data[[#This Row],[MonthlyIncome]]&lt;3000,1,IF(HR_Data[[#This Row],[MonthlyIncome]]&lt;6000,2,IF(HR_Data[[#This Row],[MonthlyIncome]]&lt;10000,3,4)))</f>
        <v>2</v>
      </c>
      <c r="AI1293" s="1" t="str">
        <f>IF(HR_Data[[#This Row],[YearsAtCompany]]&lt;=2,"0-2 Yrs",IF(HR_Data[[#This Row],[YearsAtCompany]]&lt;=5,"3-5 Yrs",IF(HR_Data[[#This Row],[YearsAtCompany]]&lt;=10,"6-10 Yrs","10+ Yrs")))</f>
        <v>6-10 Yrs</v>
      </c>
      <c r="AJ1293" s="1">
        <f>IF(HR_Data[[#This Row],[YearsAtCompany]]&lt;=2,1,IF(HR_Data[[#This Row],[YearsAtCompany]]&lt;=5,2,IF(HR_Data[[#This Row],[YearsAtCompany]]&lt;=10,3,4)))</f>
        <v>3</v>
      </c>
      <c r="AK1293" s="1" t="str">
        <f>CHOOSE(HR_Data[[#This Row],[Education]],"Below College","College","Bachelor","Master","Doctor")</f>
        <v>Master</v>
      </c>
      <c r="AL1293" s="1" t="str">
        <f>CHOOSE(HR_Data[[#This Row],[JobSatisfaction]],"Low","Medium","High","Very High")</f>
        <v>Low</v>
      </c>
      <c r="AM1293" s="1" t="str">
        <f>CHOOSE(HR_Data[[#This Row],[EnvironmentSatisfaction]],"Low","Medium","High","Very High")</f>
        <v>Very High</v>
      </c>
      <c r="AN1293" s="1" t="str">
        <f>CHOOSE(HR_Data[[#This Row],[WorkLifeBalance]],"Bad","Good","Better","Best")</f>
        <v>Bad</v>
      </c>
      <c r="AO1293" s="1" t="str">
        <f>IF(HR_Data[[#This Row],[PercentSalaryHike]]&lt;=13,"11-13%",IF(HR_Data[[#This Row],[PercentSalaryHike]]&lt;=16,"14-16%",IF(HR_Data[[#This Row],[PercentSalaryHike]]&lt;=19,"17-19%","20-25%")))</f>
        <v>14-16%</v>
      </c>
      <c r="AP1293" s="1">
        <f>IF(HR_Data[[#This Row],[PercentSalaryHike]]&lt;=13,1,IF(HR_Data[[#This Row],[PercentSalaryHike]]&lt;=16,2,IF(HR_Data[[#This Row],[PercentSalaryHike]]&lt;=19,3,4)))</f>
        <v>2</v>
      </c>
      <c r="AQ1293" s="1" t="str">
        <f>IF(HR_Data[[#This Row],[DistanceFromHome]]&lt;=5,"1 to 5",IF(HR_Data[[#This Row],[DistanceFromHome]]&lt;=10,"6 to 10",IF(HR_Data[[#This Row],[DistanceFromHome]]&lt;=20,"11 to 20","21 to 29")))</f>
        <v>6 to 10</v>
      </c>
      <c r="AR1293" s="1">
        <f>IF(HR_Data[[#This Row],[DistanceFromHome]]&lt;=5,1,IF(HR_Data[[#This Row],[DistanceFromHome]]&lt;=10,2,IF(HR_Data[[#This Row],[DistanceFromHome]]&lt;=20,3,4)))</f>
        <v>2</v>
      </c>
      <c r="AS1293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293" s="1">
        <f>IF(HR_Data[[#This Row],[TotalWorkingYears]]&lt;=5,1,IF(HR_Data[[#This Row],[TotalWorkingYears]]&lt;=10,2,IF(HR_Data[[#This Row],[TotalWorkingYears]]&lt;=20,3,4)))</f>
        <v>2</v>
      </c>
    </row>
    <row r="1294" spans="1:46" x14ac:dyDescent="0.25">
      <c r="A1294">
        <v>39</v>
      </c>
      <c r="B1294" t="s">
        <v>36</v>
      </c>
      <c r="C1294" t="s">
        <v>37</v>
      </c>
      <c r="D1294" t="s">
        <v>31</v>
      </c>
      <c r="E1294">
        <v>20</v>
      </c>
      <c r="F1294">
        <v>3</v>
      </c>
      <c r="G1294" t="s">
        <v>32</v>
      </c>
      <c r="H1294">
        <v>1812</v>
      </c>
      <c r="I1294">
        <v>3</v>
      </c>
      <c r="J1294" t="s">
        <v>39</v>
      </c>
      <c r="K1294">
        <v>3</v>
      </c>
      <c r="L1294">
        <v>2</v>
      </c>
      <c r="M1294" t="s">
        <v>34</v>
      </c>
      <c r="N1294">
        <v>4</v>
      </c>
      <c r="O1294" t="s">
        <v>45</v>
      </c>
      <c r="P1294">
        <v>4127</v>
      </c>
      <c r="Q1294">
        <v>2</v>
      </c>
      <c r="R1294" t="s">
        <v>36</v>
      </c>
      <c r="S1294">
        <v>18</v>
      </c>
      <c r="T1294">
        <v>3</v>
      </c>
      <c r="U1294">
        <v>4</v>
      </c>
      <c r="V1294">
        <v>1</v>
      </c>
      <c r="W1294">
        <v>7</v>
      </c>
      <c r="X1294">
        <v>6</v>
      </c>
      <c r="Y1294">
        <v>3</v>
      </c>
      <c r="Z1294">
        <v>2</v>
      </c>
      <c r="AA1294">
        <v>1</v>
      </c>
      <c r="AB1294">
        <v>2</v>
      </c>
      <c r="AC1294">
        <v>2</v>
      </c>
      <c r="AD1294">
        <f>IF(HR_Data[[#This Row],[Attrition]]="Yes",1,0)</f>
        <v>0</v>
      </c>
      <c r="AE1294" t="str">
        <f>IF(HR_Data[[#This Row],[Age]]&lt;=25,"18-25",IF(HR_Data[[#This Row],[Age]]&lt;=35,"26-35",IF(HR_Data[[#This Row],[Age]]&lt;=45,"36-45",IF(HR_Data[[#This Row],[Age]]&lt;=55,"46-55","55+"))))</f>
        <v>36-45</v>
      </c>
      <c r="AF1294">
        <f>IF(HR_Data[[#This Row],[Age]]&lt;=25,1,IF(HR_Data[[#This Row],[Age]]&lt;=35,2,IF(HR_Data[[#This Row],[Age]]&lt;=45,3,IF(HR_Data[[#This Row],[Age]]&lt;=55,4,5))))</f>
        <v>3</v>
      </c>
      <c r="AG1294" s="1" t="str">
        <f>IF(HR_Data[[#This Row],[MonthlyIncome]]&lt;3000,"&lt;3K",IF(HR_Data[[#This Row],[MonthlyIncome]]&lt;6000,"3K-6K",IF(HR_Data[[#This Row],[MonthlyIncome]]&lt;10000,"6K-10K","10K+")))</f>
        <v>3K-6K</v>
      </c>
      <c r="AH1294" s="1">
        <f>IF(HR_Data[[#This Row],[MonthlyIncome]]&lt;3000,1,IF(HR_Data[[#This Row],[MonthlyIncome]]&lt;6000,2,IF(HR_Data[[#This Row],[MonthlyIncome]]&lt;10000,3,4)))</f>
        <v>2</v>
      </c>
      <c r="AI1294" s="1" t="str">
        <f>IF(HR_Data[[#This Row],[YearsAtCompany]]&lt;=2,"0-2 Yrs",IF(HR_Data[[#This Row],[YearsAtCompany]]&lt;=5,"3-5 Yrs",IF(HR_Data[[#This Row],[YearsAtCompany]]&lt;=10,"6-10 Yrs","10+ Yrs")))</f>
        <v>0-2 Yrs</v>
      </c>
      <c r="AJ1294" s="1">
        <f>IF(HR_Data[[#This Row],[YearsAtCompany]]&lt;=2,1,IF(HR_Data[[#This Row],[YearsAtCompany]]&lt;=5,2,IF(HR_Data[[#This Row],[YearsAtCompany]]&lt;=10,3,4)))</f>
        <v>1</v>
      </c>
      <c r="AK1294" s="1" t="str">
        <f>CHOOSE(HR_Data[[#This Row],[Education]],"Below College","College","Bachelor","Master","Doctor")</f>
        <v>Bachelor</v>
      </c>
      <c r="AL1294" s="1" t="str">
        <f>CHOOSE(HR_Data[[#This Row],[JobSatisfaction]],"Low","Medium","High","Very High")</f>
        <v>Very High</v>
      </c>
      <c r="AM1294" s="1" t="str">
        <f>CHOOSE(HR_Data[[#This Row],[EnvironmentSatisfaction]],"Low","Medium","High","Very High")</f>
        <v>High</v>
      </c>
      <c r="AN1294" s="1" t="str">
        <f>CHOOSE(HR_Data[[#This Row],[WorkLifeBalance]],"Bad","Good","Better","Best")</f>
        <v>Better</v>
      </c>
      <c r="AO1294" s="1" t="str">
        <f>IF(HR_Data[[#This Row],[PercentSalaryHike]]&lt;=13,"11-13%",IF(HR_Data[[#This Row],[PercentSalaryHike]]&lt;=16,"14-16%",IF(HR_Data[[#This Row],[PercentSalaryHike]]&lt;=19,"17-19%","20-25%")))</f>
        <v>17-19%</v>
      </c>
      <c r="AP1294" s="1">
        <f>IF(HR_Data[[#This Row],[PercentSalaryHike]]&lt;=13,1,IF(HR_Data[[#This Row],[PercentSalaryHike]]&lt;=16,2,IF(HR_Data[[#This Row],[PercentSalaryHike]]&lt;=19,3,4)))</f>
        <v>3</v>
      </c>
      <c r="AQ1294" s="1" t="str">
        <f>IF(HR_Data[[#This Row],[DistanceFromHome]]&lt;=5,"1 to 5",IF(HR_Data[[#This Row],[DistanceFromHome]]&lt;=10,"6 to 10",IF(HR_Data[[#This Row],[DistanceFromHome]]&lt;=20,"11 to 20","21 to 29")))</f>
        <v>11 to 20</v>
      </c>
      <c r="AR1294" s="1">
        <f>IF(HR_Data[[#This Row],[DistanceFromHome]]&lt;=5,1,IF(HR_Data[[#This Row],[DistanceFromHome]]&lt;=10,2,IF(HR_Data[[#This Row],[DistanceFromHome]]&lt;=20,3,4)))</f>
        <v>3</v>
      </c>
      <c r="AS1294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294" s="1">
        <f>IF(HR_Data[[#This Row],[TotalWorkingYears]]&lt;=5,1,IF(HR_Data[[#This Row],[TotalWorkingYears]]&lt;=10,2,IF(HR_Data[[#This Row],[TotalWorkingYears]]&lt;=20,3,4)))</f>
        <v>2</v>
      </c>
    </row>
    <row r="1295" spans="1:46" x14ac:dyDescent="0.25">
      <c r="A1295">
        <v>43</v>
      </c>
      <c r="B1295" t="s">
        <v>36</v>
      </c>
      <c r="C1295" t="s">
        <v>48</v>
      </c>
      <c r="D1295" t="s">
        <v>38</v>
      </c>
      <c r="E1295">
        <v>9</v>
      </c>
      <c r="F1295">
        <v>3</v>
      </c>
      <c r="G1295" t="s">
        <v>32</v>
      </c>
      <c r="H1295">
        <v>1813</v>
      </c>
      <c r="I1295">
        <v>1</v>
      </c>
      <c r="J1295" t="s">
        <v>39</v>
      </c>
      <c r="K1295">
        <v>3</v>
      </c>
      <c r="L1295">
        <v>1</v>
      </c>
      <c r="M1295" t="s">
        <v>40</v>
      </c>
      <c r="N1295">
        <v>3</v>
      </c>
      <c r="O1295" t="s">
        <v>35</v>
      </c>
      <c r="P1295">
        <v>2438</v>
      </c>
      <c r="Q1295">
        <v>4</v>
      </c>
      <c r="R1295" t="s">
        <v>36</v>
      </c>
      <c r="S1295">
        <v>13</v>
      </c>
      <c r="T1295">
        <v>3</v>
      </c>
      <c r="U1295">
        <v>3</v>
      </c>
      <c r="V1295">
        <v>0</v>
      </c>
      <c r="W1295">
        <v>7</v>
      </c>
      <c r="X1295">
        <v>2</v>
      </c>
      <c r="Y1295">
        <v>2</v>
      </c>
      <c r="Z1295">
        <v>3</v>
      </c>
      <c r="AA1295">
        <v>2</v>
      </c>
      <c r="AB1295">
        <v>1</v>
      </c>
      <c r="AC1295">
        <v>2</v>
      </c>
      <c r="AD1295">
        <f>IF(HR_Data[[#This Row],[Attrition]]="Yes",1,0)</f>
        <v>0</v>
      </c>
      <c r="AE1295" t="str">
        <f>IF(HR_Data[[#This Row],[Age]]&lt;=25,"18-25",IF(HR_Data[[#This Row],[Age]]&lt;=35,"26-35",IF(HR_Data[[#This Row],[Age]]&lt;=45,"36-45",IF(HR_Data[[#This Row],[Age]]&lt;=55,"46-55","55+"))))</f>
        <v>36-45</v>
      </c>
      <c r="AF1295">
        <f>IF(HR_Data[[#This Row],[Age]]&lt;=25,1,IF(HR_Data[[#This Row],[Age]]&lt;=35,2,IF(HR_Data[[#This Row],[Age]]&lt;=45,3,IF(HR_Data[[#This Row],[Age]]&lt;=55,4,5))))</f>
        <v>3</v>
      </c>
      <c r="AG1295" s="1" t="str">
        <f>IF(HR_Data[[#This Row],[MonthlyIncome]]&lt;3000,"&lt;3K",IF(HR_Data[[#This Row],[MonthlyIncome]]&lt;6000,"3K-6K",IF(HR_Data[[#This Row],[MonthlyIncome]]&lt;10000,"6K-10K","10K+")))</f>
        <v>&lt;3K</v>
      </c>
      <c r="AH1295" s="1">
        <f>IF(HR_Data[[#This Row],[MonthlyIncome]]&lt;3000,1,IF(HR_Data[[#This Row],[MonthlyIncome]]&lt;6000,2,IF(HR_Data[[#This Row],[MonthlyIncome]]&lt;10000,3,4)))</f>
        <v>1</v>
      </c>
      <c r="AI1295" s="1" t="str">
        <f>IF(HR_Data[[#This Row],[YearsAtCompany]]&lt;=2,"0-2 Yrs",IF(HR_Data[[#This Row],[YearsAtCompany]]&lt;=5,"3-5 Yrs",IF(HR_Data[[#This Row],[YearsAtCompany]]&lt;=10,"6-10 Yrs","10+ Yrs")))</f>
        <v>3-5 Yrs</v>
      </c>
      <c r="AJ1295" s="1">
        <f>IF(HR_Data[[#This Row],[YearsAtCompany]]&lt;=2,1,IF(HR_Data[[#This Row],[YearsAtCompany]]&lt;=5,2,IF(HR_Data[[#This Row],[YearsAtCompany]]&lt;=10,3,4)))</f>
        <v>2</v>
      </c>
      <c r="AK1295" s="1" t="str">
        <f>CHOOSE(HR_Data[[#This Row],[Education]],"Below College","College","Bachelor","Master","Doctor")</f>
        <v>Bachelor</v>
      </c>
      <c r="AL1295" s="1" t="str">
        <f>CHOOSE(HR_Data[[#This Row],[JobSatisfaction]],"Low","Medium","High","Very High")</f>
        <v>High</v>
      </c>
      <c r="AM1295" s="1" t="str">
        <f>CHOOSE(HR_Data[[#This Row],[EnvironmentSatisfaction]],"Low","Medium","High","Very High")</f>
        <v>Low</v>
      </c>
      <c r="AN1295" s="1" t="str">
        <f>CHOOSE(HR_Data[[#This Row],[WorkLifeBalance]],"Bad","Good","Better","Best")</f>
        <v>Good</v>
      </c>
      <c r="AO1295" s="1" t="str">
        <f>IF(HR_Data[[#This Row],[PercentSalaryHike]]&lt;=13,"11-13%",IF(HR_Data[[#This Row],[PercentSalaryHike]]&lt;=16,"14-16%",IF(HR_Data[[#This Row],[PercentSalaryHike]]&lt;=19,"17-19%","20-25%")))</f>
        <v>11-13%</v>
      </c>
      <c r="AP1295" s="1">
        <f>IF(HR_Data[[#This Row],[PercentSalaryHike]]&lt;=13,1,IF(HR_Data[[#This Row],[PercentSalaryHike]]&lt;=16,2,IF(HR_Data[[#This Row],[PercentSalaryHike]]&lt;=19,3,4)))</f>
        <v>1</v>
      </c>
      <c r="AQ1295" s="1" t="str">
        <f>IF(HR_Data[[#This Row],[DistanceFromHome]]&lt;=5,"1 to 5",IF(HR_Data[[#This Row],[DistanceFromHome]]&lt;=10,"6 to 10",IF(HR_Data[[#This Row],[DistanceFromHome]]&lt;=20,"11 to 20","21 to 29")))</f>
        <v>6 to 10</v>
      </c>
      <c r="AR1295" s="1">
        <f>IF(HR_Data[[#This Row],[DistanceFromHome]]&lt;=5,1,IF(HR_Data[[#This Row],[DistanceFromHome]]&lt;=10,2,IF(HR_Data[[#This Row],[DistanceFromHome]]&lt;=20,3,4)))</f>
        <v>2</v>
      </c>
      <c r="AS1295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295" s="1">
        <f>IF(HR_Data[[#This Row],[TotalWorkingYears]]&lt;=5,1,IF(HR_Data[[#This Row],[TotalWorkingYears]]&lt;=10,2,IF(HR_Data[[#This Row],[TotalWorkingYears]]&lt;=20,3,4)))</f>
        <v>2</v>
      </c>
    </row>
    <row r="1296" spans="1:46" x14ac:dyDescent="0.25">
      <c r="A1296">
        <v>41</v>
      </c>
      <c r="B1296" t="s">
        <v>36</v>
      </c>
      <c r="C1296" t="s">
        <v>30</v>
      </c>
      <c r="D1296" t="s">
        <v>38</v>
      </c>
      <c r="E1296">
        <v>5</v>
      </c>
      <c r="F1296">
        <v>3</v>
      </c>
      <c r="G1296" t="s">
        <v>32</v>
      </c>
      <c r="H1296">
        <v>1814</v>
      </c>
      <c r="I1296">
        <v>2</v>
      </c>
      <c r="J1296" t="s">
        <v>39</v>
      </c>
      <c r="K1296">
        <v>4</v>
      </c>
      <c r="L1296">
        <v>2</v>
      </c>
      <c r="M1296" t="s">
        <v>47</v>
      </c>
      <c r="N1296">
        <v>2</v>
      </c>
      <c r="O1296" t="s">
        <v>35</v>
      </c>
      <c r="P1296">
        <v>6870</v>
      </c>
      <c r="Q1296">
        <v>3</v>
      </c>
      <c r="R1296" t="s">
        <v>36</v>
      </c>
      <c r="S1296">
        <v>12</v>
      </c>
      <c r="T1296">
        <v>3</v>
      </c>
      <c r="U1296">
        <v>1</v>
      </c>
      <c r="V1296">
        <v>0</v>
      </c>
      <c r="W1296">
        <v>11</v>
      </c>
      <c r="X1296">
        <v>3</v>
      </c>
      <c r="Y1296">
        <v>1</v>
      </c>
      <c r="Z1296">
        <v>3</v>
      </c>
      <c r="AA1296">
        <v>2</v>
      </c>
      <c r="AB1296">
        <v>1</v>
      </c>
      <c r="AC1296">
        <v>2</v>
      </c>
      <c r="AD1296">
        <f>IF(HR_Data[[#This Row],[Attrition]]="Yes",1,0)</f>
        <v>0</v>
      </c>
      <c r="AE1296" t="str">
        <f>IF(HR_Data[[#This Row],[Age]]&lt;=25,"18-25",IF(HR_Data[[#This Row],[Age]]&lt;=35,"26-35",IF(HR_Data[[#This Row],[Age]]&lt;=45,"36-45",IF(HR_Data[[#This Row],[Age]]&lt;=55,"46-55","55+"))))</f>
        <v>36-45</v>
      </c>
      <c r="AF1296">
        <f>IF(HR_Data[[#This Row],[Age]]&lt;=25,1,IF(HR_Data[[#This Row],[Age]]&lt;=35,2,IF(HR_Data[[#This Row],[Age]]&lt;=45,3,IF(HR_Data[[#This Row],[Age]]&lt;=55,4,5))))</f>
        <v>3</v>
      </c>
      <c r="AG1296" s="1" t="str">
        <f>IF(HR_Data[[#This Row],[MonthlyIncome]]&lt;3000,"&lt;3K",IF(HR_Data[[#This Row],[MonthlyIncome]]&lt;6000,"3K-6K",IF(HR_Data[[#This Row],[MonthlyIncome]]&lt;10000,"6K-10K","10K+")))</f>
        <v>6K-10K</v>
      </c>
      <c r="AH1296" s="1">
        <f>IF(HR_Data[[#This Row],[MonthlyIncome]]&lt;3000,1,IF(HR_Data[[#This Row],[MonthlyIncome]]&lt;6000,2,IF(HR_Data[[#This Row],[MonthlyIncome]]&lt;10000,3,4)))</f>
        <v>3</v>
      </c>
      <c r="AI1296" s="1" t="str">
        <f>IF(HR_Data[[#This Row],[YearsAtCompany]]&lt;=2,"0-2 Yrs",IF(HR_Data[[#This Row],[YearsAtCompany]]&lt;=5,"3-5 Yrs",IF(HR_Data[[#This Row],[YearsAtCompany]]&lt;=10,"6-10 Yrs","10+ Yrs")))</f>
        <v>3-5 Yrs</v>
      </c>
      <c r="AJ1296" s="1">
        <f>IF(HR_Data[[#This Row],[YearsAtCompany]]&lt;=2,1,IF(HR_Data[[#This Row],[YearsAtCompany]]&lt;=5,2,IF(HR_Data[[#This Row],[YearsAtCompany]]&lt;=10,3,4)))</f>
        <v>2</v>
      </c>
      <c r="AK1296" s="1" t="str">
        <f>CHOOSE(HR_Data[[#This Row],[Education]],"Below College","College","Bachelor","Master","Doctor")</f>
        <v>Bachelor</v>
      </c>
      <c r="AL1296" s="1" t="str">
        <f>CHOOSE(HR_Data[[#This Row],[JobSatisfaction]],"Low","Medium","High","Very High")</f>
        <v>Medium</v>
      </c>
      <c r="AM1296" s="1" t="str">
        <f>CHOOSE(HR_Data[[#This Row],[EnvironmentSatisfaction]],"Low","Medium","High","Very High")</f>
        <v>Medium</v>
      </c>
      <c r="AN1296" s="1" t="str">
        <f>CHOOSE(HR_Data[[#This Row],[WorkLifeBalance]],"Bad","Good","Better","Best")</f>
        <v>Bad</v>
      </c>
      <c r="AO1296" s="1" t="str">
        <f>IF(HR_Data[[#This Row],[PercentSalaryHike]]&lt;=13,"11-13%",IF(HR_Data[[#This Row],[PercentSalaryHike]]&lt;=16,"14-16%",IF(HR_Data[[#This Row],[PercentSalaryHike]]&lt;=19,"17-19%","20-25%")))</f>
        <v>11-13%</v>
      </c>
      <c r="AP1296" s="1">
        <f>IF(HR_Data[[#This Row],[PercentSalaryHike]]&lt;=13,1,IF(HR_Data[[#This Row],[PercentSalaryHike]]&lt;=16,2,IF(HR_Data[[#This Row],[PercentSalaryHike]]&lt;=19,3,4)))</f>
        <v>1</v>
      </c>
      <c r="AQ1296" s="1" t="str">
        <f>IF(HR_Data[[#This Row],[DistanceFromHome]]&lt;=5,"1 to 5",IF(HR_Data[[#This Row],[DistanceFromHome]]&lt;=10,"6 to 10",IF(HR_Data[[#This Row],[DistanceFromHome]]&lt;=20,"11 to 20","21 to 29")))</f>
        <v>1 to 5</v>
      </c>
      <c r="AR1296" s="1">
        <f>IF(HR_Data[[#This Row],[DistanceFromHome]]&lt;=5,1,IF(HR_Data[[#This Row],[DistanceFromHome]]&lt;=10,2,IF(HR_Data[[#This Row],[DistanceFromHome]]&lt;=20,3,4)))</f>
        <v>1</v>
      </c>
      <c r="AS1296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296" s="1">
        <f>IF(HR_Data[[#This Row],[TotalWorkingYears]]&lt;=5,1,IF(HR_Data[[#This Row],[TotalWorkingYears]]&lt;=10,2,IF(HR_Data[[#This Row],[TotalWorkingYears]]&lt;=20,3,4)))</f>
        <v>3</v>
      </c>
    </row>
    <row r="1297" spans="1:46" x14ac:dyDescent="0.25">
      <c r="A1297">
        <v>41</v>
      </c>
      <c r="B1297" t="s">
        <v>36</v>
      </c>
      <c r="C1297" t="s">
        <v>30</v>
      </c>
      <c r="D1297" t="s">
        <v>31</v>
      </c>
      <c r="E1297">
        <v>4</v>
      </c>
      <c r="F1297">
        <v>1</v>
      </c>
      <c r="G1297" t="s">
        <v>52</v>
      </c>
      <c r="H1297">
        <v>1815</v>
      </c>
      <c r="I1297">
        <v>3</v>
      </c>
      <c r="J1297" t="s">
        <v>33</v>
      </c>
      <c r="K1297">
        <v>3</v>
      </c>
      <c r="L1297">
        <v>3</v>
      </c>
      <c r="M1297" t="s">
        <v>34</v>
      </c>
      <c r="N1297">
        <v>3</v>
      </c>
      <c r="O1297" t="s">
        <v>45</v>
      </c>
      <c r="P1297">
        <v>10447</v>
      </c>
      <c r="Q1297">
        <v>0</v>
      </c>
      <c r="R1297" t="s">
        <v>29</v>
      </c>
      <c r="S1297">
        <v>13</v>
      </c>
      <c r="T1297">
        <v>3</v>
      </c>
      <c r="U1297">
        <v>4</v>
      </c>
      <c r="V1297">
        <v>1</v>
      </c>
      <c r="W1297">
        <v>23</v>
      </c>
      <c r="X1297">
        <v>3</v>
      </c>
      <c r="Y1297">
        <v>4</v>
      </c>
      <c r="Z1297">
        <v>22</v>
      </c>
      <c r="AA1297">
        <v>14</v>
      </c>
      <c r="AB1297">
        <v>13</v>
      </c>
      <c r="AC1297">
        <v>5</v>
      </c>
      <c r="AD1297">
        <f>IF(HR_Data[[#This Row],[Attrition]]="Yes",1,0)</f>
        <v>0</v>
      </c>
      <c r="AE1297" t="str">
        <f>IF(HR_Data[[#This Row],[Age]]&lt;=25,"18-25",IF(HR_Data[[#This Row],[Age]]&lt;=35,"26-35",IF(HR_Data[[#This Row],[Age]]&lt;=45,"36-45",IF(HR_Data[[#This Row],[Age]]&lt;=55,"46-55","55+"))))</f>
        <v>36-45</v>
      </c>
      <c r="AF1297">
        <f>IF(HR_Data[[#This Row],[Age]]&lt;=25,1,IF(HR_Data[[#This Row],[Age]]&lt;=35,2,IF(HR_Data[[#This Row],[Age]]&lt;=45,3,IF(HR_Data[[#This Row],[Age]]&lt;=55,4,5))))</f>
        <v>3</v>
      </c>
      <c r="AG1297" s="1" t="str">
        <f>IF(HR_Data[[#This Row],[MonthlyIncome]]&lt;3000,"&lt;3K",IF(HR_Data[[#This Row],[MonthlyIncome]]&lt;6000,"3K-6K",IF(HR_Data[[#This Row],[MonthlyIncome]]&lt;10000,"6K-10K","10K+")))</f>
        <v>10K+</v>
      </c>
      <c r="AH1297" s="1">
        <f>IF(HR_Data[[#This Row],[MonthlyIncome]]&lt;3000,1,IF(HR_Data[[#This Row],[MonthlyIncome]]&lt;6000,2,IF(HR_Data[[#This Row],[MonthlyIncome]]&lt;10000,3,4)))</f>
        <v>4</v>
      </c>
      <c r="AI1297" s="1" t="str">
        <f>IF(HR_Data[[#This Row],[YearsAtCompany]]&lt;=2,"0-2 Yrs",IF(HR_Data[[#This Row],[YearsAtCompany]]&lt;=5,"3-5 Yrs",IF(HR_Data[[#This Row],[YearsAtCompany]]&lt;=10,"6-10 Yrs","10+ Yrs")))</f>
        <v>10+ Yrs</v>
      </c>
      <c r="AJ1297" s="1">
        <f>IF(HR_Data[[#This Row],[YearsAtCompany]]&lt;=2,1,IF(HR_Data[[#This Row],[YearsAtCompany]]&lt;=5,2,IF(HR_Data[[#This Row],[YearsAtCompany]]&lt;=10,3,4)))</f>
        <v>4</v>
      </c>
      <c r="AK1297" s="1" t="str">
        <f>CHOOSE(HR_Data[[#This Row],[Education]],"Below College","College","Bachelor","Master","Doctor")</f>
        <v>Below College</v>
      </c>
      <c r="AL1297" s="1" t="str">
        <f>CHOOSE(HR_Data[[#This Row],[JobSatisfaction]],"Low","Medium","High","Very High")</f>
        <v>High</v>
      </c>
      <c r="AM1297" s="1" t="str">
        <f>CHOOSE(HR_Data[[#This Row],[EnvironmentSatisfaction]],"Low","Medium","High","Very High")</f>
        <v>High</v>
      </c>
      <c r="AN1297" s="1" t="str">
        <f>CHOOSE(HR_Data[[#This Row],[WorkLifeBalance]],"Bad","Good","Better","Best")</f>
        <v>Best</v>
      </c>
      <c r="AO1297" s="1" t="str">
        <f>IF(HR_Data[[#This Row],[PercentSalaryHike]]&lt;=13,"11-13%",IF(HR_Data[[#This Row],[PercentSalaryHike]]&lt;=16,"14-16%",IF(HR_Data[[#This Row],[PercentSalaryHike]]&lt;=19,"17-19%","20-25%")))</f>
        <v>11-13%</v>
      </c>
      <c r="AP1297" s="1">
        <f>IF(HR_Data[[#This Row],[PercentSalaryHike]]&lt;=13,1,IF(HR_Data[[#This Row],[PercentSalaryHike]]&lt;=16,2,IF(HR_Data[[#This Row],[PercentSalaryHike]]&lt;=19,3,4)))</f>
        <v>1</v>
      </c>
      <c r="AQ1297" s="1" t="str">
        <f>IF(HR_Data[[#This Row],[DistanceFromHome]]&lt;=5,"1 to 5",IF(HR_Data[[#This Row],[DistanceFromHome]]&lt;=10,"6 to 10",IF(HR_Data[[#This Row],[DistanceFromHome]]&lt;=20,"11 to 20","21 to 29")))</f>
        <v>1 to 5</v>
      </c>
      <c r="AR1297" s="1">
        <f>IF(HR_Data[[#This Row],[DistanceFromHome]]&lt;=5,1,IF(HR_Data[[#This Row],[DistanceFromHome]]&lt;=10,2,IF(HR_Data[[#This Row],[DistanceFromHome]]&lt;=20,3,4)))</f>
        <v>1</v>
      </c>
      <c r="AS1297" s="1" t="str">
        <f>IF(HR_Data[[#This Row],[TotalWorkingYears]]&lt;=5,"0-5 Yrs",IF(HR_Data[[#This Row],[TotalWorkingYears]]&lt;=10,"6-10 Yrs",IF(HR_Data[[#This Row],[TotalWorkingYears]]&lt;=20,"11-20 Yrs","20+ Yrs")))</f>
        <v>20+ Yrs</v>
      </c>
      <c r="AT1297" s="1">
        <f>IF(HR_Data[[#This Row],[TotalWorkingYears]]&lt;=5,1,IF(HR_Data[[#This Row],[TotalWorkingYears]]&lt;=10,2,IF(HR_Data[[#This Row],[TotalWorkingYears]]&lt;=20,3,4)))</f>
        <v>4</v>
      </c>
    </row>
    <row r="1298" spans="1:46" x14ac:dyDescent="0.25">
      <c r="A1298">
        <v>30</v>
      </c>
      <c r="B1298" t="s">
        <v>36</v>
      </c>
      <c r="C1298" t="s">
        <v>30</v>
      </c>
      <c r="D1298" t="s">
        <v>38</v>
      </c>
      <c r="E1298">
        <v>10</v>
      </c>
      <c r="F1298">
        <v>3</v>
      </c>
      <c r="G1298" t="s">
        <v>44</v>
      </c>
      <c r="H1298">
        <v>1816</v>
      </c>
      <c r="I1298">
        <v>1</v>
      </c>
      <c r="J1298" t="s">
        <v>33</v>
      </c>
      <c r="K1298">
        <v>3</v>
      </c>
      <c r="L1298">
        <v>3</v>
      </c>
      <c r="M1298" t="s">
        <v>46</v>
      </c>
      <c r="N1298">
        <v>3</v>
      </c>
      <c r="O1298" t="s">
        <v>35</v>
      </c>
      <c r="P1298">
        <v>9667</v>
      </c>
      <c r="Q1298">
        <v>9</v>
      </c>
      <c r="R1298" t="s">
        <v>36</v>
      </c>
      <c r="S1298">
        <v>14</v>
      </c>
      <c r="T1298">
        <v>3</v>
      </c>
      <c r="U1298">
        <v>2</v>
      </c>
      <c r="V1298">
        <v>0</v>
      </c>
      <c r="W1298">
        <v>9</v>
      </c>
      <c r="X1298">
        <v>3</v>
      </c>
      <c r="Y1298">
        <v>3</v>
      </c>
      <c r="Z1298">
        <v>7</v>
      </c>
      <c r="AA1298">
        <v>7</v>
      </c>
      <c r="AB1298">
        <v>0</v>
      </c>
      <c r="AC1298">
        <v>2</v>
      </c>
      <c r="AD1298">
        <f>IF(HR_Data[[#This Row],[Attrition]]="Yes",1,0)</f>
        <v>0</v>
      </c>
      <c r="AE1298" t="str">
        <f>IF(HR_Data[[#This Row],[Age]]&lt;=25,"18-25",IF(HR_Data[[#This Row],[Age]]&lt;=35,"26-35",IF(HR_Data[[#This Row],[Age]]&lt;=45,"36-45",IF(HR_Data[[#This Row],[Age]]&lt;=55,"46-55","55+"))))</f>
        <v>26-35</v>
      </c>
      <c r="AF1298">
        <f>IF(HR_Data[[#This Row],[Age]]&lt;=25,1,IF(HR_Data[[#This Row],[Age]]&lt;=35,2,IF(HR_Data[[#This Row],[Age]]&lt;=45,3,IF(HR_Data[[#This Row],[Age]]&lt;=55,4,5))))</f>
        <v>2</v>
      </c>
      <c r="AG1298" s="1" t="str">
        <f>IF(HR_Data[[#This Row],[MonthlyIncome]]&lt;3000,"&lt;3K",IF(HR_Data[[#This Row],[MonthlyIncome]]&lt;6000,"3K-6K",IF(HR_Data[[#This Row],[MonthlyIncome]]&lt;10000,"6K-10K","10K+")))</f>
        <v>6K-10K</v>
      </c>
      <c r="AH1298" s="1">
        <f>IF(HR_Data[[#This Row],[MonthlyIncome]]&lt;3000,1,IF(HR_Data[[#This Row],[MonthlyIncome]]&lt;6000,2,IF(HR_Data[[#This Row],[MonthlyIncome]]&lt;10000,3,4)))</f>
        <v>3</v>
      </c>
      <c r="AI1298" s="1" t="str">
        <f>IF(HR_Data[[#This Row],[YearsAtCompany]]&lt;=2,"0-2 Yrs",IF(HR_Data[[#This Row],[YearsAtCompany]]&lt;=5,"3-5 Yrs",IF(HR_Data[[#This Row],[YearsAtCompany]]&lt;=10,"6-10 Yrs","10+ Yrs")))</f>
        <v>6-10 Yrs</v>
      </c>
      <c r="AJ1298" s="1">
        <f>IF(HR_Data[[#This Row],[YearsAtCompany]]&lt;=2,1,IF(HR_Data[[#This Row],[YearsAtCompany]]&lt;=5,2,IF(HR_Data[[#This Row],[YearsAtCompany]]&lt;=10,3,4)))</f>
        <v>3</v>
      </c>
      <c r="AK1298" s="1" t="str">
        <f>CHOOSE(HR_Data[[#This Row],[Education]],"Below College","College","Bachelor","Master","Doctor")</f>
        <v>Bachelor</v>
      </c>
      <c r="AL1298" s="1" t="str">
        <f>CHOOSE(HR_Data[[#This Row],[JobSatisfaction]],"Low","Medium","High","Very High")</f>
        <v>High</v>
      </c>
      <c r="AM1298" s="1" t="str">
        <f>CHOOSE(HR_Data[[#This Row],[EnvironmentSatisfaction]],"Low","Medium","High","Very High")</f>
        <v>Low</v>
      </c>
      <c r="AN1298" s="1" t="str">
        <f>CHOOSE(HR_Data[[#This Row],[WorkLifeBalance]],"Bad","Good","Better","Best")</f>
        <v>Better</v>
      </c>
      <c r="AO1298" s="1" t="str">
        <f>IF(HR_Data[[#This Row],[PercentSalaryHike]]&lt;=13,"11-13%",IF(HR_Data[[#This Row],[PercentSalaryHike]]&lt;=16,"14-16%",IF(HR_Data[[#This Row],[PercentSalaryHike]]&lt;=19,"17-19%","20-25%")))</f>
        <v>14-16%</v>
      </c>
      <c r="AP1298" s="1">
        <f>IF(HR_Data[[#This Row],[PercentSalaryHike]]&lt;=13,1,IF(HR_Data[[#This Row],[PercentSalaryHike]]&lt;=16,2,IF(HR_Data[[#This Row],[PercentSalaryHike]]&lt;=19,3,4)))</f>
        <v>2</v>
      </c>
      <c r="AQ1298" s="1" t="str">
        <f>IF(HR_Data[[#This Row],[DistanceFromHome]]&lt;=5,"1 to 5",IF(HR_Data[[#This Row],[DistanceFromHome]]&lt;=10,"6 to 10",IF(HR_Data[[#This Row],[DistanceFromHome]]&lt;=20,"11 to 20","21 to 29")))</f>
        <v>6 to 10</v>
      </c>
      <c r="AR1298" s="1">
        <f>IF(HR_Data[[#This Row],[DistanceFromHome]]&lt;=5,1,IF(HR_Data[[#This Row],[DistanceFromHome]]&lt;=10,2,IF(HR_Data[[#This Row],[DistanceFromHome]]&lt;=20,3,4)))</f>
        <v>2</v>
      </c>
      <c r="AS1298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298" s="1">
        <f>IF(HR_Data[[#This Row],[TotalWorkingYears]]&lt;=5,1,IF(HR_Data[[#This Row],[TotalWorkingYears]]&lt;=10,2,IF(HR_Data[[#This Row],[TotalWorkingYears]]&lt;=20,3,4)))</f>
        <v>2</v>
      </c>
    </row>
    <row r="1299" spans="1:46" x14ac:dyDescent="0.25">
      <c r="A1299">
        <v>26</v>
      </c>
      <c r="B1299" t="s">
        <v>29</v>
      </c>
      <c r="C1299" t="s">
        <v>30</v>
      </c>
      <c r="D1299" t="s">
        <v>54</v>
      </c>
      <c r="E1299">
        <v>20</v>
      </c>
      <c r="F1299">
        <v>2</v>
      </c>
      <c r="G1299" t="s">
        <v>44</v>
      </c>
      <c r="H1299">
        <v>1818</v>
      </c>
      <c r="I1299">
        <v>4</v>
      </c>
      <c r="J1299" t="s">
        <v>33</v>
      </c>
      <c r="K1299">
        <v>3</v>
      </c>
      <c r="L1299">
        <v>1</v>
      </c>
      <c r="M1299" t="s">
        <v>54</v>
      </c>
      <c r="N1299">
        <v>2</v>
      </c>
      <c r="O1299" t="s">
        <v>41</v>
      </c>
      <c r="P1299">
        <v>2148</v>
      </c>
      <c r="Q1299">
        <v>0</v>
      </c>
      <c r="R1299" t="s">
        <v>29</v>
      </c>
      <c r="S1299">
        <v>11</v>
      </c>
      <c r="T1299">
        <v>3</v>
      </c>
      <c r="U1299">
        <v>3</v>
      </c>
      <c r="V1299">
        <v>0</v>
      </c>
      <c r="W1299">
        <v>6</v>
      </c>
      <c r="X1299">
        <v>3</v>
      </c>
      <c r="Y1299">
        <v>3</v>
      </c>
      <c r="Z1299">
        <v>5</v>
      </c>
      <c r="AA1299">
        <v>1</v>
      </c>
      <c r="AB1299">
        <v>1</v>
      </c>
      <c r="AC1299">
        <v>4</v>
      </c>
      <c r="AD1299">
        <f>IF(HR_Data[[#This Row],[Attrition]]="Yes",1,0)</f>
        <v>1</v>
      </c>
      <c r="AE1299" t="str">
        <f>IF(HR_Data[[#This Row],[Age]]&lt;=25,"18-25",IF(HR_Data[[#This Row],[Age]]&lt;=35,"26-35",IF(HR_Data[[#This Row],[Age]]&lt;=45,"36-45",IF(HR_Data[[#This Row],[Age]]&lt;=55,"46-55","55+"))))</f>
        <v>26-35</v>
      </c>
      <c r="AF1299">
        <f>IF(HR_Data[[#This Row],[Age]]&lt;=25,1,IF(HR_Data[[#This Row],[Age]]&lt;=35,2,IF(HR_Data[[#This Row],[Age]]&lt;=45,3,IF(HR_Data[[#This Row],[Age]]&lt;=55,4,5))))</f>
        <v>2</v>
      </c>
      <c r="AG1299" s="1" t="str">
        <f>IF(HR_Data[[#This Row],[MonthlyIncome]]&lt;3000,"&lt;3K",IF(HR_Data[[#This Row],[MonthlyIncome]]&lt;6000,"3K-6K",IF(HR_Data[[#This Row],[MonthlyIncome]]&lt;10000,"6K-10K","10K+")))</f>
        <v>&lt;3K</v>
      </c>
      <c r="AH1299" s="1">
        <f>IF(HR_Data[[#This Row],[MonthlyIncome]]&lt;3000,1,IF(HR_Data[[#This Row],[MonthlyIncome]]&lt;6000,2,IF(HR_Data[[#This Row],[MonthlyIncome]]&lt;10000,3,4)))</f>
        <v>1</v>
      </c>
      <c r="AI1299" s="1" t="str">
        <f>IF(HR_Data[[#This Row],[YearsAtCompany]]&lt;=2,"0-2 Yrs",IF(HR_Data[[#This Row],[YearsAtCompany]]&lt;=5,"3-5 Yrs",IF(HR_Data[[#This Row],[YearsAtCompany]]&lt;=10,"6-10 Yrs","10+ Yrs")))</f>
        <v>3-5 Yrs</v>
      </c>
      <c r="AJ1299" s="1">
        <f>IF(HR_Data[[#This Row],[YearsAtCompany]]&lt;=2,1,IF(HR_Data[[#This Row],[YearsAtCompany]]&lt;=5,2,IF(HR_Data[[#This Row],[YearsAtCompany]]&lt;=10,3,4)))</f>
        <v>2</v>
      </c>
      <c r="AK1299" s="1" t="str">
        <f>CHOOSE(HR_Data[[#This Row],[Education]],"Below College","College","Bachelor","Master","Doctor")</f>
        <v>College</v>
      </c>
      <c r="AL1299" s="1" t="str">
        <f>CHOOSE(HR_Data[[#This Row],[JobSatisfaction]],"Low","Medium","High","Very High")</f>
        <v>Medium</v>
      </c>
      <c r="AM1299" s="1" t="str">
        <f>CHOOSE(HR_Data[[#This Row],[EnvironmentSatisfaction]],"Low","Medium","High","Very High")</f>
        <v>Very High</v>
      </c>
      <c r="AN1299" s="1" t="str">
        <f>CHOOSE(HR_Data[[#This Row],[WorkLifeBalance]],"Bad","Good","Better","Best")</f>
        <v>Better</v>
      </c>
      <c r="AO1299" s="1" t="str">
        <f>IF(HR_Data[[#This Row],[PercentSalaryHike]]&lt;=13,"11-13%",IF(HR_Data[[#This Row],[PercentSalaryHike]]&lt;=16,"14-16%",IF(HR_Data[[#This Row],[PercentSalaryHike]]&lt;=19,"17-19%","20-25%")))</f>
        <v>11-13%</v>
      </c>
      <c r="AP1299" s="1">
        <f>IF(HR_Data[[#This Row],[PercentSalaryHike]]&lt;=13,1,IF(HR_Data[[#This Row],[PercentSalaryHike]]&lt;=16,2,IF(HR_Data[[#This Row],[PercentSalaryHike]]&lt;=19,3,4)))</f>
        <v>1</v>
      </c>
      <c r="AQ1299" s="1" t="str">
        <f>IF(HR_Data[[#This Row],[DistanceFromHome]]&lt;=5,"1 to 5",IF(HR_Data[[#This Row],[DistanceFromHome]]&lt;=10,"6 to 10",IF(HR_Data[[#This Row],[DistanceFromHome]]&lt;=20,"11 to 20","21 to 29")))</f>
        <v>11 to 20</v>
      </c>
      <c r="AR1299" s="1">
        <f>IF(HR_Data[[#This Row],[DistanceFromHome]]&lt;=5,1,IF(HR_Data[[#This Row],[DistanceFromHome]]&lt;=10,2,IF(HR_Data[[#This Row],[DistanceFromHome]]&lt;=20,3,4)))</f>
        <v>3</v>
      </c>
      <c r="AS1299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299" s="1">
        <f>IF(HR_Data[[#This Row],[TotalWorkingYears]]&lt;=5,1,IF(HR_Data[[#This Row],[TotalWorkingYears]]&lt;=10,2,IF(HR_Data[[#This Row],[TotalWorkingYears]]&lt;=20,3,4)))</f>
        <v>2</v>
      </c>
    </row>
    <row r="1300" spans="1:46" x14ac:dyDescent="0.25">
      <c r="A1300">
        <v>46</v>
      </c>
      <c r="B1300" t="s">
        <v>29</v>
      </c>
      <c r="C1300" t="s">
        <v>30</v>
      </c>
      <c r="D1300" t="s">
        <v>38</v>
      </c>
      <c r="E1300">
        <v>21</v>
      </c>
      <c r="F1300">
        <v>2</v>
      </c>
      <c r="G1300" t="s">
        <v>44</v>
      </c>
      <c r="H1300">
        <v>1821</v>
      </c>
      <c r="I1300">
        <v>4</v>
      </c>
      <c r="J1300" t="s">
        <v>33</v>
      </c>
      <c r="K1300">
        <v>3</v>
      </c>
      <c r="L1300">
        <v>2</v>
      </c>
      <c r="M1300" t="s">
        <v>47</v>
      </c>
      <c r="N1300">
        <v>2</v>
      </c>
      <c r="O1300" t="s">
        <v>41</v>
      </c>
      <c r="P1300">
        <v>8926</v>
      </c>
      <c r="Q1300">
        <v>4</v>
      </c>
      <c r="R1300" t="s">
        <v>36</v>
      </c>
      <c r="S1300">
        <v>22</v>
      </c>
      <c r="T1300">
        <v>4</v>
      </c>
      <c r="U1300">
        <v>4</v>
      </c>
      <c r="V1300">
        <v>1</v>
      </c>
      <c r="W1300">
        <v>13</v>
      </c>
      <c r="X1300">
        <v>2</v>
      </c>
      <c r="Y1300">
        <v>4</v>
      </c>
      <c r="Z1300">
        <v>9</v>
      </c>
      <c r="AA1300">
        <v>7</v>
      </c>
      <c r="AB1300">
        <v>3</v>
      </c>
      <c r="AC1300">
        <v>7</v>
      </c>
      <c r="AD1300">
        <f>IF(HR_Data[[#This Row],[Attrition]]="Yes",1,0)</f>
        <v>1</v>
      </c>
      <c r="AE1300" t="str">
        <f>IF(HR_Data[[#This Row],[Age]]&lt;=25,"18-25",IF(HR_Data[[#This Row],[Age]]&lt;=35,"26-35",IF(HR_Data[[#This Row],[Age]]&lt;=45,"36-45",IF(HR_Data[[#This Row],[Age]]&lt;=55,"46-55","55+"))))</f>
        <v>46-55</v>
      </c>
      <c r="AF1300">
        <f>IF(HR_Data[[#This Row],[Age]]&lt;=25,1,IF(HR_Data[[#This Row],[Age]]&lt;=35,2,IF(HR_Data[[#This Row],[Age]]&lt;=45,3,IF(HR_Data[[#This Row],[Age]]&lt;=55,4,5))))</f>
        <v>4</v>
      </c>
      <c r="AG1300" s="1" t="str">
        <f>IF(HR_Data[[#This Row],[MonthlyIncome]]&lt;3000,"&lt;3K",IF(HR_Data[[#This Row],[MonthlyIncome]]&lt;6000,"3K-6K",IF(HR_Data[[#This Row],[MonthlyIncome]]&lt;10000,"6K-10K","10K+")))</f>
        <v>6K-10K</v>
      </c>
      <c r="AH1300" s="1">
        <f>IF(HR_Data[[#This Row],[MonthlyIncome]]&lt;3000,1,IF(HR_Data[[#This Row],[MonthlyIncome]]&lt;6000,2,IF(HR_Data[[#This Row],[MonthlyIncome]]&lt;10000,3,4)))</f>
        <v>3</v>
      </c>
      <c r="AI1300" s="1" t="str">
        <f>IF(HR_Data[[#This Row],[YearsAtCompany]]&lt;=2,"0-2 Yrs",IF(HR_Data[[#This Row],[YearsAtCompany]]&lt;=5,"3-5 Yrs",IF(HR_Data[[#This Row],[YearsAtCompany]]&lt;=10,"6-10 Yrs","10+ Yrs")))</f>
        <v>6-10 Yrs</v>
      </c>
      <c r="AJ1300" s="1">
        <f>IF(HR_Data[[#This Row],[YearsAtCompany]]&lt;=2,1,IF(HR_Data[[#This Row],[YearsAtCompany]]&lt;=5,2,IF(HR_Data[[#This Row],[YearsAtCompany]]&lt;=10,3,4)))</f>
        <v>3</v>
      </c>
      <c r="AK1300" s="1" t="str">
        <f>CHOOSE(HR_Data[[#This Row],[Education]],"Below College","College","Bachelor","Master","Doctor")</f>
        <v>College</v>
      </c>
      <c r="AL1300" s="1" t="str">
        <f>CHOOSE(HR_Data[[#This Row],[JobSatisfaction]],"Low","Medium","High","Very High")</f>
        <v>Medium</v>
      </c>
      <c r="AM1300" s="1" t="str">
        <f>CHOOSE(HR_Data[[#This Row],[EnvironmentSatisfaction]],"Low","Medium","High","Very High")</f>
        <v>Very High</v>
      </c>
      <c r="AN1300" s="1" t="str">
        <f>CHOOSE(HR_Data[[#This Row],[WorkLifeBalance]],"Bad","Good","Better","Best")</f>
        <v>Best</v>
      </c>
      <c r="AO1300" s="1" t="str">
        <f>IF(HR_Data[[#This Row],[PercentSalaryHike]]&lt;=13,"11-13%",IF(HR_Data[[#This Row],[PercentSalaryHike]]&lt;=16,"14-16%",IF(HR_Data[[#This Row],[PercentSalaryHike]]&lt;=19,"17-19%","20-25%")))</f>
        <v>20-25%</v>
      </c>
      <c r="AP1300" s="1">
        <f>IF(HR_Data[[#This Row],[PercentSalaryHike]]&lt;=13,1,IF(HR_Data[[#This Row],[PercentSalaryHike]]&lt;=16,2,IF(HR_Data[[#This Row],[PercentSalaryHike]]&lt;=19,3,4)))</f>
        <v>4</v>
      </c>
      <c r="AQ1300" s="1" t="str">
        <f>IF(HR_Data[[#This Row],[DistanceFromHome]]&lt;=5,"1 to 5",IF(HR_Data[[#This Row],[DistanceFromHome]]&lt;=10,"6 to 10",IF(HR_Data[[#This Row],[DistanceFromHome]]&lt;=20,"11 to 20","21 to 29")))</f>
        <v>21 to 29</v>
      </c>
      <c r="AR1300" s="1">
        <f>IF(HR_Data[[#This Row],[DistanceFromHome]]&lt;=5,1,IF(HR_Data[[#This Row],[DistanceFromHome]]&lt;=10,2,IF(HR_Data[[#This Row],[DistanceFromHome]]&lt;=20,3,4)))</f>
        <v>4</v>
      </c>
      <c r="AS1300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300" s="1">
        <f>IF(HR_Data[[#This Row],[TotalWorkingYears]]&lt;=5,1,IF(HR_Data[[#This Row],[TotalWorkingYears]]&lt;=10,2,IF(HR_Data[[#This Row],[TotalWorkingYears]]&lt;=20,3,4)))</f>
        <v>3</v>
      </c>
    </row>
    <row r="1301" spans="1:46" x14ac:dyDescent="0.25">
      <c r="A1301">
        <v>40</v>
      </c>
      <c r="B1301" t="s">
        <v>36</v>
      </c>
      <c r="C1301" t="s">
        <v>30</v>
      </c>
      <c r="D1301" t="s">
        <v>38</v>
      </c>
      <c r="E1301">
        <v>1</v>
      </c>
      <c r="F1301">
        <v>3</v>
      </c>
      <c r="G1301" t="s">
        <v>32</v>
      </c>
      <c r="H1301">
        <v>1822</v>
      </c>
      <c r="I1301">
        <v>3</v>
      </c>
      <c r="J1301" t="s">
        <v>33</v>
      </c>
      <c r="K1301">
        <v>3</v>
      </c>
      <c r="L1301">
        <v>2</v>
      </c>
      <c r="M1301" t="s">
        <v>47</v>
      </c>
      <c r="N1301">
        <v>4</v>
      </c>
      <c r="O1301" t="s">
        <v>45</v>
      </c>
      <c r="P1301">
        <v>6513</v>
      </c>
      <c r="Q1301">
        <v>4</v>
      </c>
      <c r="R1301" t="s">
        <v>36</v>
      </c>
      <c r="S1301">
        <v>17</v>
      </c>
      <c r="T1301">
        <v>3</v>
      </c>
      <c r="U1301">
        <v>4</v>
      </c>
      <c r="V1301">
        <v>1</v>
      </c>
      <c r="W1301">
        <v>12</v>
      </c>
      <c r="X1301">
        <v>3</v>
      </c>
      <c r="Y1301">
        <v>3</v>
      </c>
      <c r="Z1301">
        <v>5</v>
      </c>
      <c r="AA1301">
        <v>3</v>
      </c>
      <c r="AB1301">
        <v>0</v>
      </c>
      <c r="AC1301">
        <v>3</v>
      </c>
      <c r="AD1301">
        <f>IF(HR_Data[[#This Row],[Attrition]]="Yes",1,0)</f>
        <v>0</v>
      </c>
      <c r="AE1301" t="str">
        <f>IF(HR_Data[[#This Row],[Age]]&lt;=25,"18-25",IF(HR_Data[[#This Row],[Age]]&lt;=35,"26-35",IF(HR_Data[[#This Row],[Age]]&lt;=45,"36-45",IF(HR_Data[[#This Row],[Age]]&lt;=55,"46-55","55+"))))</f>
        <v>36-45</v>
      </c>
      <c r="AF1301">
        <f>IF(HR_Data[[#This Row],[Age]]&lt;=25,1,IF(HR_Data[[#This Row],[Age]]&lt;=35,2,IF(HR_Data[[#This Row],[Age]]&lt;=45,3,IF(HR_Data[[#This Row],[Age]]&lt;=55,4,5))))</f>
        <v>3</v>
      </c>
      <c r="AG1301" s="1" t="str">
        <f>IF(HR_Data[[#This Row],[MonthlyIncome]]&lt;3000,"&lt;3K",IF(HR_Data[[#This Row],[MonthlyIncome]]&lt;6000,"3K-6K",IF(HR_Data[[#This Row],[MonthlyIncome]]&lt;10000,"6K-10K","10K+")))</f>
        <v>6K-10K</v>
      </c>
      <c r="AH1301" s="1">
        <f>IF(HR_Data[[#This Row],[MonthlyIncome]]&lt;3000,1,IF(HR_Data[[#This Row],[MonthlyIncome]]&lt;6000,2,IF(HR_Data[[#This Row],[MonthlyIncome]]&lt;10000,3,4)))</f>
        <v>3</v>
      </c>
      <c r="AI1301" s="1" t="str">
        <f>IF(HR_Data[[#This Row],[YearsAtCompany]]&lt;=2,"0-2 Yrs",IF(HR_Data[[#This Row],[YearsAtCompany]]&lt;=5,"3-5 Yrs",IF(HR_Data[[#This Row],[YearsAtCompany]]&lt;=10,"6-10 Yrs","10+ Yrs")))</f>
        <v>3-5 Yrs</v>
      </c>
      <c r="AJ1301" s="1">
        <f>IF(HR_Data[[#This Row],[YearsAtCompany]]&lt;=2,1,IF(HR_Data[[#This Row],[YearsAtCompany]]&lt;=5,2,IF(HR_Data[[#This Row],[YearsAtCompany]]&lt;=10,3,4)))</f>
        <v>2</v>
      </c>
      <c r="AK1301" s="1" t="str">
        <f>CHOOSE(HR_Data[[#This Row],[Education]],"Below College","College","Bachelor","Master","Doctor")</f>
        <v>Bachelor</v>
      </c>
      <c r="AL1301" s="1" t="str">
        <f>CHOOSE(HR_Data[[#This Row],[JobSatisfaction]],"Low","Medium","High","Very High")</f>
        <v>Very High</v>
      </c>
      <c r="AM1301" s="1" t="str">
        <f>CHOOSE(HR_Data[[#This Row],[EnvironmentSatisfaction]],"Low","Medium","High","Very High")</f>
        <v>High</v>
      </c>
      <c r="AN1301" s="1" t="str">
        <f>CHOOSE(HR_Data[[#This Row],[WorkLifeBalance]],"Bad","Good","Better","Best")</f>
        <v>Better</v>
      </c>
      <c r="AO1301" s="1" t="str">
        <f>IF(HR_Data[[#This Row],[PercentSalaryHike]]&lt;=13,"11-13%",IF(HR_Data[[#This Row],[PercentSalaryHike]]&lt;=16,"14-16%",IF(HR_Data[[#This Row],[PercentSalaryHike]]&lt;=19,"17-19%","20-25%")))</f>
        <v>17-19%</v>
      </c>
      <c r="AP1301" s="1">
        <f>IF(HR_Data[[#This Row],[PercentSalaryHike]]&lt;=13,1,IF(HR_Data[[#This Row],[PercentSalaryHike]]&lt;=16,2,IF(HR_Data[[#This Row],[PercentSalaryHike]]&lt;=19,3,4)))</f>
        <v>3</v>
      </c>
      <c r="AQ1301" s="1" t="str">
        <f>IF(HR_Data[[#This Row],[DistanceFromHome]]&lt;=5,"1 to 5",IF(HR_Data[[#This Row],[DistanceFromHome]]&lt;=10,"6 to 10",IF(HR_Data[[#This Row],[DistanceFromHome]]&lt;=20,"11 to 20","21 to 29")))</f>
        <v>1 to 5</v>
      </c>
      <c r="AR1301" s="1">
        <f>IF(HR_Data[[#This Row],[DistanceFromHome]]&lt;=5,1,IF(HR_Data[[#This Row],[DistanceFromHome]]&lt;=10,2,IF(HR_Data[[#This Row],[DistanceFromHome]]&lt;=20,3,4)))</f>
        <v>1</v>
      </c>
      <c r="AS1301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301" s="1">
        <f>IF(HR_Data[[#This Row],[TotalWorkingYears]]&lt;=5,1,IF(HR_Data[[#This Row],[TotalWorkingYears]]&lt;=10,2,IF(HR_Data[[#This Row],[TotalWorkingYears]]&lt;=20,3,4)))</f>
        <v>3</v>
      </c>
    </row>
    <row r="1302" spans="1:46" x14ac:dyDescent="0.25">
      <c r="A1302">
        <v>34</v>
      </c>
      <c r="B1302" t="s">
        <v>36</v>
      </c>
      <c r="C1302" t="s">
        <v>30</v>
      </c>
      <c r="D1302" t="s">
        <v>31</v>
      </c>
      <c r="E1302">
        <v>8</v>
      </c>
      <c r="F1302">
        <v>2</v>
      </c>
      <c r="G1302" t="s">
        <v>53</v>
      </c>
      <c r="H1302">
        <v>1823</v>
      </c>
      <c r="I1302">
        <v>2</v>
      </c>
      <c r="J1302" t="s">
        <v>39</v>
      </c>
      <c r="K1302">
        <v>4</v>
      </c>
      <c r="L1302">
        <v>2</v>
      </c>
      <c r="M1302" t="s">
        <v>34</v>
      </c>
      <c r="N1302">
        <v>3</v>
      </c>
      <c r="O1302" t="s">
        <v>41</v>
      </c>
      <c r="P1302">
        <v>6799</v>
      </c>
      <c r="Q1302">
        <v>1</v>
      </c>
      <c r="R1302" t="s">
        <v>36</v>
      </c>
      <c r="S1302">
        <v>21</v>
      </c>
      <c r="T1302">
        <v>4</v>
      </c>
      <c r="U1302">
        <v>3</v>
      </c>
      <c r="V1302">
        <v>2</v>
      </c>
      <c r="W1302">
        <v>10</v>
      </c>
      <c r="X1302">
        <v>5</v>
      </c>
      <c r="Y1302">
        <v>3</v>
      </c>
      <c r="Z1302">
        <v>10</v>
      </c>
      <c r="AA1302">
        <v>8</v>
      </c>
      <c r="AB1302">
        <v>4</v>
      </c>
      <c r="AC1302">
        <v>8</v>
      </c>
      <c r="AD1302">
        <f>IF(HR_Data[[#This Row],[Attrition]]="Yes",1,0)</f>
        <v>0</v>
      </c>
      <c r="AE1302" t="str">
        <f>IF(HR_Data[[#This Row],[Age]]&lt;=25,"18-25",IF(HR_Data[[#This Row],[Age]]&lt;=35,"26-35",IF(HR_Data[[#This Row],[Age]]&lt;=45,"36-45",IF(HR_Data[[#This Row],[Age]]&lt;=55,"46-55","55+"))))</f>
        <v>26-35</v>
      </c>
      <c r="AF1302">
        <f>IF(HR_Data[[#This Row],[Age]]&lt;=25,1,IF(HR_Data[[#This Row],[Age]]&lt;=35,2,IF(HR_Data[[#This Row],[Age]]&lt;=45,3,IF(HR_Data[[#This Row],[Age]]&lt;=55,4,5))))</f>
        <v>2</v>
      </c>
      <c r="AG1302" s="1" t="str">
        <f>IF(HR_Data[[#This Row],[MonthlyIncome]]&lt;3000,"&lt;3K",IF(HR_Data[[#This Row],[MonthlyIncome]]&lt;6000,"3K-6K",IF(HR_Data[[#This Row],[MonthlyIncome]]&lt;10000,"6K-10K","10K+")))</f>
        <v>6K-10K</v>
      </c>
      <c r="AH1302" s="1">
        <f>IF(HR_Data[[#This Row],[MonthlyIncome]]&lt;3000,1,IF(HR_Data[[#This Row],[MonthlyIncome]]&lt;6000,2,IF(HR_Data[[#This Row],[MonthlyIncome]]&lt;10000,3,4)))</f>
        <v>3</v>
      </c>
      <c r="AI1302" s="1" t="str">
        <f>IF(HR_Data[[#This Row],[YearsAtCompany]]&lt;=2,"0-2 Yrs",IF(HR_Data[[#This Row],[YearsAtCompany]]&lt;=5,"3-5 Yrs",IF(HR_Data[[#This Row],[YearsAtCompany]]&lt;=10,"6-10 Yrs","10+ Yrs")))</f>
        <v>6-10 Yrs</v>
      </c>
      <c r="AJ1302" s="1">
        <f>IF(HR_Data[[#This Row],[YearsAtCompany]]&lt;=2,1,IF(HR_Data[[#This Row],[YearsAtCompany]]&lt;=5,2,IF(HR_Data[[#This Row],[YearsAtCompany]]&lt;=10,3,4)))</f>
        <v>3</v>
      </c>
      <c r="AK1302" s="1" t="str">
        <f>CHOOSE(HR_Data[[#This Row],[Education]],"Below College","College","Bachelor","Master","Doctor")</f>
        <v>College</v>
      </c>
      <c r="AL1302" s="1" t="str">
        <f>CHOOSE(HR_Data[[#This Row],[JobSatisfaction]],"Low","Medium","High","Very High")</f>
        <v>High</v>
      </c>
      <c r="AM1302" s="1" t="str">
        <f>CHOOSE(HR_Data[[#This Row],[EnvironmentSatisfaction]],"Low","Medium","High","Very High")</f>
        <v>Medium</v>
      </c>
      <c r="AN1302" s="1" t="str">
        <f>CHOOSE(HR_Data[[#This Row],[WorkLifeBalance]],"Bad","Good","Better","Best")</f>
        <v>Better</v>
      </c>
      <c r="AO1302" s="1" t="str">
        <f>IF(HR_Data[[#This Row],[PercentSalaryHike]]&lt;=13,"11-13%",IF(HR_Data[[#This Row],[PercentSalaryHike]]&lt;=16,"14-16%",IF(HR_Data[[#This Row],[PercentSalaryHike]]&lt;=19,"17-19%","20-25%")))</f>
        <v>20-25%</v>
      </c>
      <c r="AP1302" s="1">
        <f>IF(HR_Data[[#This Row],[PercentSalaryHike]]&lt;=13,1,IF(HR_Data[[#This Row],[PercentSalaryHike]]&lt;=16,2,IF(HR_Data[[#This Row],[PercentSalaryHike]]&lt;=19,3,4)))</f>
        <v>4</v>
      </c>
      <c r="AQ1302" s="1" t="str">
        <f>IF(HR_Data[[#This Row],[DistanceFromHome]]&lt;=5,"1 to 5",IF(HR_Data[[#This Row],[DistanceFromHome]]&lt;=10,"6 to 10",IF(HR_Data[[#This Row],[DistanceFromHome]]&lt;=20,"11 to 20","21 to 29")))</f>
        <v>6 to 10</v>
      </c>
      <c r="AR1302" s="1">
        <f>IF(HR_Data[[#This Row],[DistanceFromHome]]&lt;=5,1,IF(HR_Data[[#This Row],[DistanceFromHome]]&lt;=10,2,IF(HR_Data[[#This Row],[DistanceFromHome]]&lt;=20,3,4)))</f>
        <v>2</v>
      </c>
      <c r="AS1302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302" s="1">
        <f>IF(HR_Data[[#This Row],[TotalWorkingYears]]&lt;=5,1,IF(HR_Data[[#This Row],[TotalWorkingYears]]&lt;=10,2,IF(HR_Data[[#This Row],[TotalWorkingYears]]&lt;=20,3,4)))</f>
        <v>2</v>
      </c>
    </row>
    <row r="1303" spans="1:46" x14ac:dyDescent="0.25">
      <c r="A1303">
        <v>58</v>
      </c>
      <c r="B1303" t="s">
        <v>36</v>
      </c>
      <c r="C1303" t="s">
        <v>48</v>
      </c>
      <c r="D1303" t="s">
        <v>31</v>
      </c>
      <c r="E1303">
        <v>2</v>
      </c>
      <c r="F1303">
        <v>3</v>
      </c>
      <c r="G1303" t="s">
        <v>44</v>
      </c>
      <c r="H1303">
        <v>1824</v>
      </c>
      <c r="I1303">
        <v>2</v>
      </c>
      <c r="J1303" t="s">
        <v>39</v>
      </c>
      <c r="K1303">
        <v>3</v>
      </c>
      <c r="L1303">
        <v>4</v>
      </c>
      <c r="M1303" t="s">
        <v>49</v>
      </c>
      <c r="N1303">
        <v>2</v>
      </c>
      <c r="O1303" t="s">
        <v>45</v>
      </c>
      <c r="P1303">
        <v>16291</v>
      </c>
      <c r="Q1303">
        <v>4</v>
      </c>
      <c r="R1303" t="s">
        <v>36</v>
      </c>
      <c r="S1303">
        <v>22</v>
      </c>
      <c r="T1303">
        <v>4</v>
      </c>
      <c r="U1303">
        <v>4</v>
      </c>
      <c r="V1303">
        <v>1</v>
      </c>
      <c r="W1303">
        <v>37</v>
      </c>
      <c r="X1303">
        <v>0</v>
      </c>
      <c r="Y1303">
        <v>2</v>
      </c>
      <c r="Z1303">
        <v>16</v>
      </c>
      <c r="AA1303">
        <v>9</v>
      </c>
      <c r="AB1303">
        <v>14</v>
      </c>
      <c r="AC1303">
        <v>14</v>
      </c>
      <c r="AD1303">
        <f>IF(HR_Data[[#This Row],[Attrition]]="Yes",1,0)</f>
        <v>0</v>
      </c>
      <c r="AE1303" t="str">
        <f>IF(HR_Data[[#This Row],[Age]]&lt;=25,"18-25",IF(HR_Data[[#This Row],[Age]]&lt;=35,"26-35",IF(HR_Data[[#This Row],[Age]]&lt;=45,"36-45",IF(HR_Data[[#This Row],[Age]]&lt;=55,"46-55","55+"))))</f>
        <v>55+</v>
      </c>
      <c r="AF1303">
        <f>IF(HR_Data[[#This Row],[Age]]&lt;=25,1,IF(HR_Data[[#This Row],[Age]]&lt;=35,2,IF(HR_Data[[#This Row],[Age]]&lt;=45,3,IF(HR_Data[[#This Row],[Age]]&lt;=55,4,5))))</f>
        <v>5</v>
      </c>
      <c r="AG1303" s="1" t="str">
        <f>IF(HR_Data[[#This Row],[MonthlyIncome]]&lt;3000,"&lt;3K",IF(HR_Data[[#This Row],[MonthlyIncome]]&lt;6000,"3K-6K",IF(HR_Data[[#This Row],[MonthlyIncome]]&lt;10000,"6K-10K","10K+")))</f>
        <v>10K+</v>
      </c>
      <c r="AH1303" s="1">
        <f>IF(HR_Data[[#This Row],[MonthlyIncome]]&lt;3000,1,IF(HR_Data[[#This Row],[MonthlyIncome]]&lt;6000,2,IF(HR_Data[[#This Row],[MonthlyIncome]]&lt;10000,3,4)))</f>
        <v>4</v>
      </c>
      <c r="AI1303" s="1" t="str">
        <f>IF(HR_Data[[#This Row],[YearsAtCompany]]&lt;=2,"0-2 Yrs",IF(HR_Data[[#This Row],[YearsAtCompany]]&lt;=5,"3-5 Yrs",IF(HR_Data[[#This Row],[YearsAtCompany]]&lt;=10,"6-10 Yrs","10+ Yrs")))</f>
        <v>10+ Yrs</v>
      </c>
      <c r="AJ1303" s="1">
        <f>IF(HR_Data[[#This Row],[YearsAtCompany]]&lt;=2,1,IF(HR_Data[[#This Row],[YearsAtCompany]]&lt;=5,2,IF(HR_Data[[#This Row],[YearsAtCompany]]&lt;=10,3,4)))</f>
        <v>4</v>
      </c>
      <c r="AK1303" s="1" t="str">
        <f>CHOOSE(HR_Data[[#This Row],[Education]],"Below College","College","Bachelor","Master","Doctor")</f>
        <v>Bachelor</v>
      </c>
      <c r="AL1303" s="1" t="str">
        <f>CHOOSE(HR_Data[[#This Row],[JobSatisfaction]],"Low","Medium","High","Very High")</f>
        <v>Medium</v>
      </c>
      <c r="AM1303" s="1" t="str">
        <f>CHOOSE(HR_Data[[#This Row],[EnvironmentSatisfaction]],"Low","Medium","High","Very High")</f>
        <v>Medium</v>
      </c>
      <c r="AN1303" s="1" t="str">
        <f>CHOOSE(HR_Data[[#This Row],[WorkLifeBalance]],"Bad","Good","Better","Best")</f>
        <v>Good</v>
      </c>
      <c r="AO1303" s="1" t="str">
        <f>IF(HR_Data[[#This Row],[PercentSalaryHike]]&lt;=13,"11-13%",IF(HR_Data[[#This Row],[PercentSalaryHike]]&lt;=16,"14-16%",IF(HR_Data[[#This Row],[PercentSalaryHike]]&lt;=19,"17-19%","20-25%")))</f>
        <v>20-25%</v>
      </c>
      <c r="AP1303" s="1">
        <f>IF(HR_Data[[#This Row],[PercentSalaryHike]]&lt;=13,1,IF(HR_Data[[#This Row],[PercentSalaryHike]]&lt;=16,2,IF(HR_Data[[#This Row],[PercentSalaryHike]]&lt;=19,3,4)))</f>
        <v>4</v>
      </c>
      <c r="AQ1303" s="1" t="str">
        <f>IF(HR_Data[[#This Row],[DistanceFromHome]]&lt;=5,"1 to 5",IF(HR_Data[[#This Row],[DistanceFromHome]]&lt;=10,"6 to 10",IF(HR_Data[[#This Row],[DistanceFromHome]]&lt;=20,"11 to 20","21 to 29")))</f>
        <v>1 to 5</v>
      </c>
      <c r="AR1303" s="1">
        <f>IF(HR_Data[[#This Row],[DistanceFromHome]]&lt;=5,1,IF(HR_Data[[#This Row],[DistanceFromHome]]&lt;=10,2,IF(HR_Data[[#This Row],[DistanceFromHome]]&lt;=20,3,4)))</f>
        <v>1</v>
      </c>
      <c r="AS1303" s="1" t="str">
        <f>IF(HR_Data[[#This Row],[TotalWorkingYears]]&lt;=5,"0-5 Yrs",IF(HR_Data[[#This Row],[TotalWorkingYears]]&lt;=10,"6-10 Yrs",IF(HR_Data[[#This Row],[TotalWorkingYears]]&lt;=20,"11-20 Yrs","20+ Yrs")))</f>
        <v>20+ Yrs</v>
      </c>
      <c r="AT1303" s="1">
        <f>IF(HR_Data[[#This Row],[TotalWorkingYears]]&lt;=5,1,IF(HR_Data[[#This Row],[TotalWorkingYears]]&lt;=10,2,IF(HR_Data[[#This Row],[TotalWorkingYears]]&lt;=20,3,4)))</f>
        <v>4</v>
      </c>
    </row>
    <row r="1304" spans="1:46" x14ac:dyDescent="0.25">
      <c r="A1304">
        <v>35</v>
      </c>
      <c r="B1304" t="s">
        <v>36</v>
      </c>
      <c r="C1304" t="s">
        <v>30</v>
      </c>
      <c r="D1304" t="s">
        <v>38</v>
      </c>
      <c r="E1304">
        <v>23</v>
      </c>
      <c r="F1304">
        <v>4</v>
      </c>
      <c r="G1304" t="s">
        <v>44</v>
      </c>
      <c r="H1304">
        <v>1826</v>
      </c>
      <c r="I1304">
        <v>2</v>
      </c>
      <c r="J1304" t="s">
        <v>39</v>
      </c>
      <c r="K1304">
        <v>1</v>
      </c>
      <c r="L1304">
        <v>1</v>
      </c>
      <c r="M1304" t="s">
        <v>43</v>
      </c>
      <c r="N1304">
        <v>3</v>
      </c>
      <c r="O1304" t="s">
        <v>41</v>
      </c>
      <c r="P1304">
        <v>2705</v>
      </c>
      <c r="Q1304">
        <v>0</v>
      </c>
      <c r="R1304" t="s">
        <v>36</v>
      </c>
      <c r="S1304">
        <v>16</v>
      </c>
      <c r="T1304">
        <v>3</v>
      </c>
      <c r="U1304">
        <v>2</v>
      </c>
      <c r="V1304">
        <v>1</v>
      </c>
      <c r="W1304">
        <v>6</v>
      </c>
      <c r="X1304">
        <v>2</v>
      </c>
      <c r="Y1304">
        <v>4</v>
      </c>
      <c r="Z1304">
        <v>5</v>
      </c>
      <c r="AA1304">
        <v>4</v>
      </c>
      <c r="AB1304">
        <v>0</v>
      </c>
      <c r="AC1304">
        <v>3</v>
      </c>
      <c r="AD1304">
        <f>IF(HR_Data[[#This Row],[Attrition]]="Yes",1,0)</f>
        <v>0</v>
      </c>
      <c r="AE1304" t="str">
        <f>IF(HR_Data[[#This Row],[Age]]&lt;=25,"18-25",IF(HR_Data[[#This Row],[Age]]&lt;=35,"26-35",IF(HR_Data[[#This Row],[Age]]&lt;=45,"36-45",IF(HR_Data[[#This Row],[Age]]&lt;=55,"46-55","55+"))))</f>
        <v>26-35</v>
      </c>
      <c r="AF1304">
        <f>IF(HR_Data[[#This Row],[Age]]&lt;=25,1,IF(HR_Data[[#This Row],[Age]]&lt;=35,2,IF(HR_Data[[#This Row],[Age]]&lt;=45,3,IF(HR_Data[[#This Row],[Age]]&lt;=55,4,5))))</f>
        <v>2</v>
      </c>
      <c r="AG1304" s="1" t="str">
        <f>IF(HR_Data[[#This Row],[MonthlyIncome]]&lt;3000,"&lt;3K",IF(HR_Data[[#This Row],[MonthlyIncome]]&lt;6000,"3K-6K",IF(HR_Data[[#This Row],[MonthlyIncome]]&lt;10000,"6K-10K","10K+")))</f>
        <v>&lt;3K</v>
      </c>
      <c r="AH1304" s="1">
        <f>IF(HR_Data[[#This Row],[MonthlyIncome]]&lt;3000,1,IF(HR_Data[[#This Row],[MonthlyIncome]]&lt;6000,2,IF(HR_Data[[#This Row],[MonthlyIncome]]&lt;10000,3,4)))</f>
        <v>1</v>
      </c>
      <c r="AI1304" s="1" t="str">
        <f>IF(HR_Data[[#This Row],[YearsAtCompany]]&lt;=2,"0-2 Yrs",IF(HR_Data[[#This Row],[YearsAtCompany]]&lt;=5,"3-5 Yrs",IF(HR_Data[[#This Row],[YearsAtCompany]]&lt;=10,"6-10 Yrs","10+ Yrs")))</f>
        <v>3-5 Yrs</v>
      </c>
      <c r="AJ1304" s="1">
        <f>IF(HR_Data[[#This Row],[YearsAtCompany]]&lt;=2,1,IF(HR_Data[[#This Row],[YearsAtCompany]]&lt;=5,2,IF(HR_Data[[#This Row],[YearsAtCompany]]&lt;=10,3,4)))</f>
        <v>2</v>
      </c>
      <c r="AK1304" s="1" t="str">
        <f>CHOOSE(HR_Data[[#This Row],[Education]],"Below College","College","Bachelor","Master","Doctor")</f>
        <v>Master</v>
      </c>
      <c r="AL1304" s="1" t="str">
        <f>CHOOSE(HR_Data[[#This Row],[JobSatisfaction]],"Low","Medium","High","Very High")</f>
        <v>High</v>
      </c>
      <c r="AM1304" s="1" t="str">
        <f>CHOOSE(HR_Data[[#This Row],[EnvironmentSatisfaction]],"Low","Medium","High","Very High")</f>
        <v>Medium</v>
      </c>
      <c r="AN1304" s="1" t="str">
        <f>CHOOSE(HR_Data[[#This Row],[WorkLifeBalance]],"Bad","Good","Better","Best")</f>
        <v>Best</v>
      </c>
      <c r="AO1304" s="1" t="str">
        <f>IF(HR_Data[[#This Row],[PercentSalaryHike]]&lt;=13,"11-13%",IF(HR_Data[[#This Row],[PercentSalaryHike]]&lt;=16,"14-16%",IF(HR_Data[[#This Row],[PercentSalaryHike]]&lt;=19,"17-19%","20-25%")))</f>
        <v>14-16%</v>
      </c>
      <c r="AP1304" s="1">
        <f>IF(HR_Data[[#This Row],[PercentSalaryHike]]&lt;=13,1,IF(HR_Data[[#This Row],[PercentSalaryHike]]&lt;=16,2,IF(HR_Data[[#This Row],[PercentSalaryHike]]&lt;=19,3,4)))</f>
        <v>2</v>
      </c>
      <c r="AQ1304" s="1" t="str">
        <f>IF(HR_Data[[#This Row],[DistanceFromHome]]&lt;=5,"1 to 5",IF(HR_Data[[#This Row],[DistanceFromHome]]&lt;=10,"6 to 10",IF(HR_Data[[#This Row],[DistanceFromHome]]&lt;=20,"11 to 20","21 to 29")))</f>
        <v>21 to 29</v>
      </c>
      <c r="AR1304" s="1">
        <f>IF(HR_Data[[#This Row],[DistanceFromHome]]&lt;=5,1,IF(HR_Data[[#This Row],[DistanceFromHome]]&lt;=10,2,IF(HR_Data[[#This Row],[DistanceFromHome]]&lt;=20,3,4)))</f>
        <v>4</v>
      </c>
      <c r="AS1304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304" s="1">
        <f>IF(HR_Data[[#This Row],[TotalWorkingYears]]&lt;=5,1,IF(HR_Data[[#This Row],[TotalWorkingYears]]&lt;=10,2,IF(HR_Data[[#This Row],[TotalWorkingYears]]&lt;=20,3,4)))</f>
        <v>2</v>
      </c>
    </row>
    <row r="1305" spans="1:46" x14ac:dyDescent="0.25">
      <c r="A1305">
        <v>47</v>
      </c>
      <c r="B1305" t="s">
        <v>36</v>
      </c>
      <c r="C1305" t="s">
        <v>30</v>
      </c>
      <c r="D1305" t="s">
        <v>38</v>
      </c>
      <c r="E1305">
        <v>4</v>
      </c>
      <c r="F1305">
        <v>3</v>
      </c>
      <c r="G1305" t="s">
        <v>32</v>
      </c>
      <c r="H1305">
        <v>1827</v>
      </c>
      <c r="I1305">
        <v>3</v>
      </c>
      <c r="J1305" t="s">
        <v>33</v>
      </c>
      <c r="K1305">
        <v>2</v>
      </c>
      <c r="L1305">
        <v>3</v>
      </c>
      <c r="M1305" t="s">
        <v>46</v>
      </c>
      <c r="N1305">
        <v>2</v>
      </c>
      <c r="O1305" t="s">
        <v>45</v>
      </c>
      <c r="P1305">
        <v>10333</v>
      </c>
      <c r="Q1305">
        <v>8</v>
      </c>
      <c r="R1305" t="s">
        <v>29</v>
      </c>
      <c r="S1305">
        <v>12</v>
      </c>
      <c r="T1305">
        <v>3</v>
      </c>
      <c r="U1305">
        <v>3</v>
      </c>
      <c r="V1305">
        <v>1</v>
      </c>
      <c r="W1305">
        <v>28</v>
      </c>
      <c r="X1305">
        <v>4</v>
      </c>
      <c r="Y1305">
        <v>3</v>
      </c>
      <c r="Z1305">
        <v>22</v>
      </c>
      <c r="AA1305">
        <v>11</v>
      </c>
      <c r="AB1305">
        <v>14</v>
      </c>
      <c r="AC1305">
        <v>10</v>
      </c>
      <c r="AD1305">
        <f>IF(HR_Data[[#This Row],[Attrition]]="Yes",1,0)</f>
        <v>0</v>
      </c>
      <c r="AE1305" t="str">
        <f>IF(HR_Data[[#This Row],[Age]]&lt;=25,"18-25",IF(HR_Data[[#This Row],[Age]]&lt;=35,"26-35",IF(HR_Data[[#This Row],[Age]]&lt;=45,"36-45",IF(HR_Data[[#This Row],[Age]]&lt;=55,"46-55","55+"))))</f>
        <v>46-55</v>
      </c>
      <c r="AF1305">
        <f>IF(HR_Data[[#This Row],[Age]]&lt;=25,1,IF(HR_Data[[#This Row],[Age]]&lt;=35,2,IF(HR_Data[[#This Row],[Age]]&lt;=45,3,IF(HR_Data[[#This Row],[Age]]&lt;=55,4,5))))</f>
        <v>4</v>
      </c>
      <c r="AG1305" s="1" t="str">
        <f>IF(HR_Data[[#This Row],[MonthlyIncome]]&lt;3000,"&lt;3K",IF(HR_Data[[#This Row],[MonthlyIncome]]&lt;6000,"3K-6K",IF(HR_Data[[#This Row],[MonthlyIncome]]&lt;10000,"6K-10K","10K+")))</f>
        <v>10K+</v>
      </c>
      <c r="AH1305" s="1">
        <f>IF(HR_Data[[#This Row],[MonthlyIncome]]&lt;3000,1,IF(HR_Data[[#This Row],[MonthlyIncome]]&lt;6000,2,IF(HR_Data[[#This Row],[MonthlyIncome]]&lt;10000,3,4)))</f>
        <v>4</v>
      </c>
      <c r="AI1305" s="1" t="str">
        <f>IF(HR_Data[[#This Row],[YearsAtCompany]]&lt;=2,"0-2 Yrs",IF(HR_Data[[#This Row],[YearsAtCompany]]&lt;=5,"3-5 Yrs",IF(HR_Data[[#This Row],[YearsAtCompany]]&lt;=10,"6-10 Yrs","10+ Yrs")))</f>
        <v>10+ Yrs</v>
      </c>
      <c r="AJ1305" s="1">
        <f>IF(HR_Data[[#This Row],[YearsAtCompany]]&lt;=2,1,IF(HR_Data[[#This Row],[YearsAtCompany]]&lt;=5,2,IF(HR_Data[[#This Row],[YearsAtCompany]]&lt;=10,3,4)))</f>
        <v>4</v>
      </c>
      <c r="AK1305" s="1" t="str">
        <f>CHOOSE(HR_Data[[#This Row],[Education]],"Below College","College","Bachelor","Master","Doctor")</f>
        <v>Bachelor</v>
      </c>
      <c r="AL1305" s="1" t="str">
        <f>CHOOSE(HR_Data[[#This Row],[JobSatisfaction]],"Low","Medium","High","Very High")</f>
        <v>Medium</v>
      </c>
      <c r="AM1305" s="1" t="str">
        <f>CHOOSE(HR_Data[[#This Row],[EnvironmentSatisfaction]],"Low","Medium","High","Very High")</f>
        <v>High</v>
      </c>
      <c r="AN1305" s="1" t="str">
        <f>CHOOSE(HR_Data[[#This Row],[WorkLifeBalance]],"Bad","Good","Better","Best")</f>
        <v>Better</v>
      </c>
      <c r="AO1305" s="1" t="str">
        <f>IF(HR_Data[[#This Row],[PercentSalaryHike]]&lt;=13,"11-13%",IF(HR_Data[[#This Row],[PercentSalaryHike]]&lt;=16,"14-16%",IF(HR_Data[[#This Row],[PercentSalaryHike]]&lt;=19,"17-19%","20-25%")))</f>
        <v>11-13%</v>
      </c>
      <c r="AP1305" s="1">
        <f>IF(HR_Data[[#This Row],[PercentSalaryHike]]&lt;=13,1,IF(HR_Data[[#This Row],[PercentSalaryHike]]&lt;=16,2,IF(HR_Data[[#This Row],[PercentSalaryHike]]&lt;=19,3,4)))</f>
        <v>1</v>
      </c>
      <c r="AQ1305" s="1" t="str">
        <f>IF(HR_Data[[#This Row],[DistanceFromHome]]&lt;=5,"1 to 5",IF(HR_Data[[#This Row],[DistanceFromHome]]&lt;=10,"6 to 10",IF(HR_Data[[#This Row],[DistanceFromHome]]&lt;=20,"11 to 20","21 to 29")))</f>
        <v>1 to 5</v>
      </c>
      <c r="AR1305" s="1">
        <f>IF(HR_Data[[#This Row],[DistanceFromHome]]&lt;=5,1,IF(HR_Data[[#This Row],[DistanceFromHome]]&lt;=10,2,IF(HR_Data[[#This Row],[DistanceFromHome]]&lt;=20,3,4)))</f>
        <v>1</v>
      </c>
      <c r="AS1305" s="1" t="str">
        <f>IF(HR_Data[[#This Row],[TotalWorkingYears]]&lt;=5,"0-5 Yrs",IF(HR_Data[[#This Row],[TotalWorkingYears]]&lt;=10,"6-10 Yrs",IF(HR_Data[[#This Row],[TotalWorkingYears]]&lt;=20,"11-20 Yrs","20+ Yrs")))</f>
        <v>20+ Yrs</v>
      </c>
      <c r="AT1305" s="1">
        <f>IF(HR_Data[[#This Row],[TotalWorkingYears]]&lt;=5,1,IF(HR_Data[[#This Row],[TotalWorkingYears]]&lt;=10,2,IF(HR_Data[[#This Row],[TotalWorkingYears]]&lt;=20,3,4)))</f>
        <v>4</v>
      </c>
    </row>
    <row r="1306" spans="1:46" x14ac:dyDescent="0.25">
      <c r="A1306">
        <v>40</v>
      </c>
      <c r="B1306" t="s">
        <v>36</v>
      </c>
      <c r="C1306" t="s">
        <v>30</v>
      </c>
      <c r="D1306" t="s">
        <v>38</v>
      </c>
      <c r="E1306">
        <v>12</v>
      </c>
      <c r="F1306">
        <v>3</v>
      </c>
      <c r="G1306" t="s">
        <v>32</v>
      </c>
      <c r="H1306">
        <v>1829</v>
      </c>
      <c r="I1306">
        <v>2</v>
      </c>
      <c r="J1306" t="s">
        <v>33</v>
      </c>
      <c r="K1306">
        <v>3</v>
      </c>
      <c r="L1306">
        <v>2</v>
      </c>
      <c r="M1306" t="s">
        <v>47</v>
      </c>
      <c r="N1306">
        <v>1</v>
      </c>
      <c r="O1306" t="s">
        <v>45</v>
      </c>
      <c r="P1306">
        <v>4448</v>
      </c>
      <c r="Q1306">
        <v>2</v>
      </c>
      <c r="R1306" t="s">
        <v>36</v>
      </c>
      <c r="S1306">
        <v>12</v>
      </c>
      <c r="T1306">
        <v>3</v>
      </c>
      <c r="U1306">
        <v>2</v>
      </c>
      <c r="V1306">
        <v>1</v>
      </c>
      <c r="W1306">
        <v>15</v>
      </c>
      <c r="X1306">
        <v>3</v>
      </c>
      <c r="Y1306">
        <v>3</v>
      </c>
      <c r="Z1306">
        <v>7</v>
      </c>
      <c r="AA1306">
        <v>4</v>
      </c>
      <c r="AB1306">
        <v>7</v>
      </c>
      <c r="AC1306">
        <v>7</v>
      </c>
      <c r="AD1306">
        <f>IF(HR_Data[[#This Row],[Attrition]]="Yes",1,0)</f>
        <v>0</v>
      </c>
      <c r="AE1306" t="str">
        <f>IF(HR_Data[[#This Row],[Age]]&lt;=25,"18-25",IF(HR_Data[[#This Row],[Age]]&lt;=35,"26-35",IF(HR_Data[[#This Row],[Age]]&lt;=45,"36-45",IF(HR_Data[[#This Row],[Age]]&lt;=55,"46-55","55+"))))</f>
        <v>36-45</v>
      </c>
      <c r="AF1306">
        <f>IF(HR_Data[[#This Row],[Age]]&lt;=25,1,IF(HR_Data[[#This Row],[Age]]&lt;=35,2,IF(HR_Data[[#This Row],[Age]]&lt;=45,3,IF(HR_Data[[#This Row],[Age]]&lt;=55,4,5))))</f>
        <v>3</v>
      </c>
      <c r="AG1306" s="1" t="str">
        <f>IF(HR_Data[[#This Row],[MonthlyIncome]]&lt;3000,"&lt;3K",IF(HR_Data[[#This Row],[MonthlyIncome]]&lt;6000,"3K-6K",IF(HR_Data[[#This Row],[MonthlyIncome]]&lt;10000,"6K-10K","10K+")))</f>
        <v>3K-6K</v>
      </c>
      <c r="AH1306" s="1">
        <f>IF(HR_Data[[#This Row],[MonthlyIncome]]&lt;3000,1,IF(HR_Data[[#This Row],[MonthlyIncome]]&lt;6000,2,IF(HR_Data[[#This Row],[MonthlyIncome]]&lt;10000,3,4)))</f>
        <v>2</v>
      </c>
      <c r="AI1306" s="1" t="str">
        <f>IF(HR_Data[[#This Row],[YearsAtCompany]]&lt;=2,"0-2 Yrs",IF(HR_Data[[#This Row],[YearsAtCompany]]&lt;=5,"3-5 Yrs",IF(HR_Data[[#This Row],[YearsAtCompany]]&lt;=10,"6-10 Yrs","10+ Yrs")))</f>
        <v>6-10 Yrs</v>
      </c>
      <c r="AJ1306" s="1">
        <f>IF(HR_Data[[#This Row],[YearsAtCompany]]&lt;=2,1,IF(HR_Data[[#This Row],[YearsAtCompany]]&lt;=5,2,IF(HR_Data[[#This Row],[YearsAtCompany]]&lt;=10,3,4)))</f>
        <v>3</v>
      </c>
      <c r="AK1306" s="1" t="str">
        <f>CHOOSE(HR_Data[[#This Row],[Education]],"Below College","College","Bachelor","Master","Doctor")</f>
        <v>Bachelor</v>
      </c>
      <c r="AL1306" s="1" t="str">
        <f>CHOOSE(HR_Data[[#This Row],[JobSatisfaction]],"Low","Medium","High","Very High")</f>
        <v>Low</v>
      </c>
      <c r="AM1306" s="1" t="str">
        <f>CHOOSE(HR_Data[[#This Row],[EnvironmentSatisfaction]],"Low","Medium","High","Very High")</f>
        <v>Medium</v>
      </c>
      <c r="AN1306" s="1" t="str">
        <f>CHOOSE(HR_Data[[#This Row],[WorkLifeBalance]],"Bad","Good","Better","Best")</f>
        <v>Better</v>
      </c>
      <c r="AO1306" s="1" t="str">
        <f>IF(HR_Data[[#This Row],[PercentSalaryHike]]&lt;=13,"11-13%",IF(HR_Data[[#This Row],[PercentSalaryHike]]&lt;=16,"14-16%",IF(HR_Data[[#This Row],[PercentSalaryHike]]&lt;=19,"17-19%","20-25%")))</f>
        <v>11-13%</v>
      </c>
      <c r="AP1306" s="1">
        <f>IF(HR_Data[[#This Row],[PercentSalaryHike]]&lt;=13,1,IF(HR_Data[[#This Row],[PercentSalaryHike]]&lt;=16,2,IF(HR_Data[[#This Row],[PercentSalaryHike]]&lt;=19,3,4)))</f>
        <v>1</v>
      </c>
      <c r="AQ1306" s="1" t="str">
        <f>IF(HR_Data[[#This Row],[DistanceFromHome]]&lt;=5,"1 to 5",IF(HR_Data[[#This Row],[DistanceFromHome]]&lt;=10,"6 to 10",IF(HR_Data[[#This Row],[DistanceFromHome]]&lt;=20,"11 to 20","21 to 29")))</f>
        <v>11 to 20</v>
      </c>
      <c r="AR1306" s="1">
        <f>IF(HR_Data[[#This Row],[DistanceFromHome]]&lt;=5,1,IF(HR_Data[[#This Row],[DistanceFromHome]]&lt;=10,2,IF(HR_Data[[#This Row],[DistanceFromHome]]&lt;=20,3,4)))</f>
        <v>3</v>
      </c>
      <c r="AS1306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306" s="1">
        <f>IF(HR_Data[[#This Row],[TotalWorkingYears]]&lt;=5,1,IF(HR_Data[[#This Row],[TotalWorkingYears]]&lt;=10,2,IF(HR_Data[[#This Row],[TotalWorkingYears]]&lt;=20,3,4)))</f>
        <v>3</v>
      </c>
    </row>
    <row r="1307" spans="1:46" x14ac:dyDescent="0.25">
      <c r="A1307">
        <v>54</v>
      </c>
      <c r="B1307" t="s">
        <v>36</v>
      </c>
      <c r="C1307" t="s">
        <v>30</v>
      </c>
      <c r="D1307" t="s">
        <v>38</v>
      </c>
      <c r="E1307">
        <v>7</v>
      </c>
      <c r="F1307">
        <v>4</v>
      </c>
      <c r="G1307" t="s">
        <v>44</v>
      </c>
      <c r="H1307">
        <v>1830</v>
      </c>
      <c r="I1307">
        <v>4</v>
      </c>
      <c r="J1307" t="s">
        <v>33</v>
      </c>
      <c r="K1307">
        <v>3</v>
      </c>
      <c r="L1307">
        <v>2</v>
      </c>
      <c r="M1307" t="s">
        <v>40</v>
      </c>
      <c r="N1307">
        <v>4</v>
      </c>
      <c r="O1307" t="s">
        <v>41</v>
      </c>
      <c r="P1307">
        <v>6854</v>
      </c>
      <c r="Q1307">
        <v>4</v>
      </c>
      <c r="R1307" t="s">
        <v>36</v>
      </c>
      <c r="S1307">
        <v>15</v>
      </c>
      <c r="T1307">
        <v>3</v>
      </c>
      <c r="U1307">
        <v>2</v>
      </c>
      <c r="V1307">
        <v>1</v>
      </c>
      <c r="W1307">
        <v>14</v>
      </c>
      <c r="X1307">
        <v>2</v>
      </c>
      <c r="Y1307">
        <v>2</v>
      </c>
      <c r="Z1307">
        <v>7</v>
      </c>
      <c r="AA1307">
        <v>1</v>
      </c>
      <c r="AB1307">
        <v>1</v>
      </c>
      <c r="AC1307">
        <v>7</v>
      </c>
      <c r="AD1307">
        <f>IF(HR_Data[[#This Row],[Attrition]]="Yes",1,0)</f>
        <v>0</v>
      </c>
      <c r="AE1307" t="str">
        <f>IF(HR_Data[[#This Row],[Age]]&lt;=25,"18-25",IF(HR_Data[[#This Row],[Age]]&lt;=35,"26-35",IF(HR_Data[[#This Row],[Age]]&lt;=45,"36-45",IF(HR_Data[[#This Row],[Age]]&lt;=55,"46-55","55+"))))</f>
        <v>46-55</v>
      </c>
      <c r="AF1307">
        <f>IF(HR_Data[[#This Row],[Age]]&lt;=25,1,IF(HR_Data[[#This Row],[Age]]&lt;=35,2,IF(HR_Data[[#This Row],[Age]]&lt;=45,3,IF(HR_Data[[#This Row],[Age]]&lt;=55,4,5))))</f>
        <v>4</v>
      </c>
      <c r="AG1307" s="1" t="str">
        <f>IF(HR_Data[[#This Row],[MonthlyIncome]]&lt;3000,"&lt;3K",IF(HR_Data[[#This Row],[MonthlyIncome]]&lt;6000,"3K-6K",IF(HR_Data[[#This Row],[MonthlyIncome]]&lt;10000,"6K-10K","10K+")))</f>
        <v>6K-10K</v>
      </c>
      <c r="AH1307" s="1">
        <f>IF(HR_Data[[#This Row],[MonthlyIncome]]&lt;3000,1,IF(HR_Data[[#This Row],[MonthlyIncome]]&lt;6000,2,IF(HR_Data[[#This Row],[MonthlyIncome]]&lt;10000,3,4)))</f>
        <v>3</v>
      </c>
      <c r="AI1307" s="1" t="str">
        <f>IF(HR_Data[[#This Row],[YearsAtCompany]]&lt;=2,"0-2 Yrs",IF(HR_Data[[#This Row],[YearsAtCompany]]&lt;=5,"3-5 Yrs",IF(HR_Data[[#This Row],[YearsAtCompany]]&lt;=10,"6-10 Yrs","10+ Yrs")))</f>
        <v>6-10 Yrs</v>
      </c>
      <c r="AJ1307" s="1">
        <f>IF(HR_Data[[#This Row],[YearsAtCompany]]&lt;=2,1,IF(HR_Data[[#This Row],[YearsAtCompany]]&lt;=5,2,IF(HR_Data[[#This Row],[YearsAtCompany]]&lt;=10,3,4)))</f>
        <v>3</v>
      </c>
      <c r="AK1307" s="1" t="str">
        <f>CHOOSE(HR_Data[[#This Row],[Education]],"Below College","College","Bachelor","Master","Doctor")</f>
        <v>Master</v>
      </c>
      <c r="AL1307" s="1" t="str">
        <f>CHOOSE(HR_Data[[#This Row],[JobSatisfaction]],"Low","Medium","High","Very High")</f>
        <v>Very High</v>
      </c>
      <c r="AM1307" s="1" t="str">
        <f>CHOOSE(HR_Data[[#This Row],[EnvironmentSatisfaction]],"Low","Medium","High","Very High")</f>
        <v>Very High</v>
      </c>
      <c r="AN1307" s="1" t="str">
        <f>CHOOSE(HR_Data[[#This Row],[WorkLifeBalance]],"Bad","Good","Better","Best")</f>
        <v>Good</v>
      </c>
      <c r="AO1307" s="1" t="str">
        <f>IF(HR_Data[[#This Row],[PercentSalaryHike]]&lt;=13,"11-13%",IF(HR_Data[[#This Row],[PercentSalaryHike]]&lt;=16,"14-16%",IF(HR_Data[[#This Row],[PercentSalaryHike]]&lt;=19,"17-19%","20-25%")))</f>
        <v>14-16%</v>
      </c>
      <c r="AP1307" s="1">
        <f>IF(HR_Data[[#This Row],[PercentSalaryHike]]&lt;=13,1,IF(HR_Data[[#This Row],[PercentSalaryHike]]&lt;=16,2,IF(HR_Data[[#This Row],[PercentSalaryHike]]&lt;=19,3,4)))</f>
        <v>2</v>
      </c>
      <c r="AQ1307" s="1" t="str">
        <f>IF(HR_Data[[#This Row],[DistanceFromHome]]&lt;=5,"1 to 5",IF(HR_Data[[#This Row],[DistanceFromHome]]&lt;=10,"6 to 10",IF(HR_Data[[#This Row],[DistanceFromHome]]&lt;=20,"11 to 20","21 to 29")))</f>
        <v>6 to 10</v>
      </c>
      <c r="AR1307" s="1">
        <f>IF(HR_Data[[#This Row],[DistanceFromHome]]&lt;=5,1,IF(HR_Data[[#This Row],[DistanceFromHome]]&lt;=10,2,IF(HR_Data[[#This Row],[DistanceFromHome]]&lt;=20,3,4)))</f>
        <v>2</v>
      </c>
      <c r="AS1307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307" s="1">
        <f>IF(HR_Data[[#This Row],[TotalWorkingYears]]&lt;=5,1,IF(HR_Data[[#This Row],[TotalWorkingYears]]&lt;=10,2,IF(HR_Data[[#This Row],[TotalWorkingYears]]&lt;=20,3,4)))</f>
        <v>3</v>
      </c>
    </row>
    <row r="1308" spans="1:46" x14ac:dyDescent="0.25">
      <c r="A1308">
        <v>31</v>
      </c>
      <c r="B1308" t="s">
        <v>36</v>
      </c>
      <c r="C1308" t="s">
        <v>37</v>
      </c>
      <c r="D1308" t="s">
        <v>31</v>
      </c>
      <c r="E1308">
        <v>7</v>
      </c>
      <c r="F1308">
        <v>4</v>
      </c>
      <c r="G1308" t="s">
        <v>52</v>
      </c>
      <c r="H1308">
        <v>1833</v>
      </c>
      <c r="I1308">
        <v>1</v>
      </c>
      <c r="J1308" t="s">
        <v>33</v>
      </c>
      <c r="K1308">
        <v>3</v>
      </c>
      <c r="L1308">
        <v>3</v>
      </c>
      <c r="M1308" t="s">
        <v>34</v>
      </c>
      <c r="N1308">
        <v>1</v>
      </c>
      <c r="O1308" t="s">
        <v>41</v>
      </c>
      <c r="P1308">
        <v>9637</v>
      </c>
      <c r="Q1308">
        <v>2</v>
      </c>
      <c r="R1308" t="s">
        <v>36</v>
      </c>
      <c r="S1308">
        <v>14</v>
      </c>
      <c r="T1308">
        <v>3</v>
      </c>
      <c r="U1308">
        <v>4</v>
      </c>
      <c r="V1308">
        <v>2</v>
      </c>
      <c r="W1308">
        <v>9</v>
      </c>
      <c r="X1308">
        <v>3</v>
      </c>
      <c r="Y1308">
        <v>3</v>
      </c>
      <c r="Z1308">
        <v>3</v>
      </c>
      <c r="AA1308">
        <v>2</v>
      </c>
      <c r="AB1308">
        <v>2</v>
      </c>
      <c r="AC1308">
        <v>2</v>
      </c>
      <c r="AD1308">
        <f>IF(HR_Data[[#This Row],[Attrition]]="Yes",1,0)</f>
        <v>0</v>
      </c>
      <c r="AE1308" t="str">
        <f>IF(HR_Data[[#This Row],[Age]]&lt;=25,"18-25",IF(HR_Data[[#This Row],[Age]]&lt;=35,"26-35",IF(HR_Data[[#This Row],[Age]]&lt;=45,"36-45",IF(HR_Data[[#This Row],[Age]]&lt;=55,"46-55","55+"))))</f>
        <v>26-35</v>
      </c>
      <c r="AF1308">
        <f>IF(HR_Data[[#This Row],[Age]]&lt;=25,1,IF(HR_Data[[#This Row],[Age]]&lt;=35,2,IF(HR_Data[[#This Row],[Age]]&lt;=45,3,IF(HR_Data[[#This Row],[Age]]&lt;=55,4,5))))</f>
        <v>2</v>
      </c>
      <c r="AG1308" s="1" t="str">
        <f>IF(HR_Data[[#This Row],[MonthlyIncome]]&lt;3000,"&lt;3K",IF(HR_Data[[#This Row],[MonthlyIncome]]&lt;6000,"3K-6K",IF(HR_Data[[#This Row],[MonthlyIncome]]&lt;10000,"6K-10K","10K+")))</f>
        <v>6K-10K</v>
      </c>
      <c r="AH1308" s="1">
        <f>IF(HR_Data[[#This Row],[MonthlyIncome]]&lt;3000,1,IF(HR_Data[[#This Row],[MonthlyIncome]]&lt;6000,2,IF(HR_Data[[#This Row],[MonthlyIncome]]&lt;10000,3,4)))</f>
        <v>3</v>
      </c>
      <c r="AI1308" s="1" t="str">
        <f>IF(HR_Data[[#This Row],[YearsAtCompany]]&lt;=2,"0-2 Yrs",IF(HR_Data[[#This Row],[YearsAtCompany]]&lt;=5,"3-5 Yrs",IF(HR_Data[[#This Row],[YearsAtCompany]]&lt;=10,"6-10 Yrs","10+ Yrs")))</f>
        <v>3-5 Yrs</v>
      </c>
      <c r="AJ1308" s="1">
        <f>IF(HR_Data[[#This Row],[YearsAtCompany]]&lt;=2,1,IF(HR_Data[[#This Row],[YearsAtCompany]]&lt;=5,2,IF(HR_Data[[#This Row],[YearsAtCompany]]&lt;=10,3,4)))</f>
        <v>2</v>
      </c>
      <c r="AK1308" s="1" t="str">
        <f>CHOOSE(HR_Data[[#This Row],[Education]],"Below College","College","Bachelor","Master","Doctor")</f>
        <v>Master</v>
      </c>
      <c r="AL1308" s="1" t="str">
        <f>CHOOSE(HR_Data[[#This Row],[JobSatisfaction]],"Low","Medium","High","Very High")</f>
        <v>Low</v>
      </c>
      <c r="AM1308" s="1" t="str">
        <f>CHOOSE(HR_Data[[#This Row],[EnvironmentSatisfaction]],"Low","Medium","High","Very High")</f>
        <v>Low</v>
      </c>
      <c r="AN1308" s="1" t="str">
        <f>CHOOSE(HR_Data[[#This Row],[WorkLifeBalance]],"Bad","Good","Better","Best")</f>
        <v>Better</v>
      </c>
      <c r="AO1308" s="1" t="str">
        <f>IF(HR_Data[[#This Row],[PercentSalaryHike]]&lt;=13,"11-13%",IF(HR_Data[[#This Row],[PercentSalaryHike]]&lt;=16,"14-16%",IF(HR_Data[[#This Row],[PercentSalaryHike]]&lt;=19,"17-19%","20-25%")))</f>
        <v>14-16%</v>
      </c>
      <c r="AP1308" s="1">
        <f>IF(HR_Data[[#This Row],[PercentSalaryHike]]&lt;=13,1,IF(HR_Data[[#This Row],[PercentSalaryHike]]&lt;=16,2,IF(HR_Data[[#This Row],[PercentSalaryHike]]&lt;=19,3,4)))</f>
        <v>2</v>
      </c>
      <c r="AQ1308" s="1" t="str">
        <f>IF(HR_Data[[#This Row],[DistanceFromHome]]&lt;=5,"1 to 5",IF(HR_Data[[#This Row],[DistanceFromHome]]&lt;=10,"6 to 10",IF(HR_Data[[#This Row],[DistanceFromHome]]&lt;=20,"11 to 20","21 to 29")))</f>
        <v>6 to 10</v>
      </c>
      <c r="AR1308" s="1">
        <f>IF(HR_Data[[#This Row],[DistanceFromHome]]&lt;=5,1,IF(HR_Data[[#This Row],[DistanceFromHome]]&lt;=10,2,IF(HR_Data[[#This Row],[DistanceFromHome]]&lt;=20,3,4)))</f>
        <v>2</v>
      </c>
      <c r="AS1308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308" s="1">
        <f>IF(HR_Data[[#This Row],[TotalWorkingYears]]&lt;=5,1,IF(HR_Data[[#This Row],[TotalWorkingYears]]&lt;=10,2,IF(HR_Data[[#This Row],[TotalWorkingYears]]&lt;=20,3,4)))</f>
        <v>2</v>
      </c>
    </row>
    <row r="1309" spans="1:46" x14ac:dyDescent="0.25">
      <c r="A1309">
        <v>28</v>
      </c>
      <c r="B1309" t="s">
        <v>36</v>
      </c>
      <c r="C1309" t="s">
        <v>30</v>
      </c>
      <c r="D1309" t="s">
        <v>38</v>
      </c>
      <c r="E1309">
        <v>1</v>
      </c>
      <c r="F1309">
        <v>3</v>
      </c>
      <c r="G1309" t="s">
        <v>44</v>
      </c>
      <c r="H1309">
        <v>1834</v>
      </c>
      <c r="I1309">
        <v>3</v>
      </c>
      <c r="J1309" t="s">
        <v>33</v>
      </c>
      <c r="K1309">
        <v>3</v>
      </c>
      <c r="L1309">
        <v>1</v>
      </c>
      <c r="M1309" t="s">
        <v>40</v>
      </c>
      <c r="N1309">
        <v>1</v>
      </c>
      <c r="O1309" t="s">
        <v>41</v>
      </c>
      <c r="P1309">
        <v>3591</v>
      </c>
      <c r="Q1309">
        <v>1</v>
      </c>
      <c r="R1309" t="s">
        <v>36</v>
      </c>
      <c r="S1309">
        <v>25</v>
      </c>
      <c r="T1309">
        <v>4</v>
      </c>
      <c r="U1309">
        <v>3</v>
      </c>
      <c r="V1309">
        <v>1</v>
      </c>
      <c r="W1309">
        <v>3</v>
      </c>
      <c r="X1309">
        <v>3</v>
      </c>
      <c r="Y1309">
        <v>3</v>
      </c>
      <c r="Z1309">
        <v>3</v>
      </c>
      <c r="AA1309">
        <v>2</v>
      </c>
      <c r="AB1309">
        <v>1</v>
      </c>
      <c r="AC1309">
        <v>2</v>
      </c>
      <c r="AD1309">
        <f>IF(HR_Data[[#This Row],[Attrition]]="Yes",1,0)</f>
        <v>0</v>
      </c>
      <c r="AE1309" t="str">
        <f>IF(HR_Data[[#This Row],[Age]]&lt;=25,"18-25",IF(HR_Data[[#This Row],[Age]]&lt;=35,"26-35",IF(HR_Data[[#This Row],[Age]]&lt;=45,"36-45",IF(HR_Data[[#This Row],[Age]]&lt;=55,"46-55","55+"))))</f>
        <v>26-35</v>
      </c>
      <c r="AF1309">
        <f>IF(HR_Data[[#This Row],[Age]]&lt;=25,1,IF(HR_Data[[#This Row],[Age]]&lt;=35,2,IF(HR_Data[[#This Row],[Age]]&lt;=45,3,IF(HR_Data[[#This Row],[Age]]&lt;=55,4,5))))</f>
        <v>2</v>
      </c>
      <c r="AG1309" s="1" t="str">
        <f>IF(HR_Data[[#This Row],[MonthlyIncome]]&lt;3000,"&lt;3K",IF(HR_Data[[#This Row],[MonthlyIncome]]&lt;6000,"3K-6K",IF(HR_Data[[#This Row],[MonthlyIncome]]&lt;10000,"6K-10K","10K+")))</f>
        <v>3K-6K</v>
      </c>
      <c r="AH1309" s="1">
        <f>IF(HR_Data[[#This Row],[MonthlyIncome]]&lt;3000,1,IF(HR_Data[[#This Row],[MonthlyIncome]]&lt;6000,2,IF(HR_Data[[#This Row],[MonthlyIncome]]&lt;10000,3,4)))</f>
        <v>2</v>
      </c>
      <c r="AI1309" s="1" t="str">
        <f>IF(HR_Data[[#This Row],[YearsAtCompany]]&lt;=2,"0-2 Yrs",IF(HR_Data[[#This Row],[YearsAtCompany]]&lt;=5,"3-5 Yrs",IF(HR_Data[[#This Row],[YearsAtCompany]]&lt;=10,"6-10 Yrs","10+ Yrs")))</f>
        <v>3-5 Yrs</v>
      </c>
      <c r="AJ1309" s="1">
        <f>IF(HR_Data[[#This Row],[YearsAtCompany]]&lt;=2,1,IF(HR_Data[[#This Row],[YearsAtCompany]]&lt;=5,2,IF(HR_Data[[#This Row],[YearsAtCompany]]&lt;=10,3,4)))</f>
        <v>2</v>
      </c>
      <c r="AK1309" s="1" t="str">
        <f>CHOOSE(HR_Data[[#This Row],[Education]],"Below College","College","Bachelor","Master","Doctor")</f>
        <v>Bachelor</v>
      </c>
      <c r="AL1309" s="1" t="str">
        <f>CHOOSE(HR_Data[[#This Row],[JobSatisfaction]],"Low","Medium","High","Very High")</f>
        <v>Low</v>
      </c>
      <c r="AM1309" s="1" t="str">
        <f>CHOOSE(HR_Data[[#This Row],[EnvironmentSatisfaction]],"Low","Medium","High","Very High")</f>
        <v>High</v>
      </c>
      <c r="AN1309" s="1" t="str">
        <f>CHOOSE(HR_Data[[#This Row],[WorkLifeBalance]],"Bad","Good","Better","Best")</f>
        <v>Better</v>
      </c>
      <c r="AO1309" s="1" t="str">
        <f>IF(HR_Data[[#This Row],[PercentSalaryHike]]&lt;=13,"11-13%",IF(HR_Data[[#This Row],[PercentSalaryHike]]&lt;=16,"14-16%",IF(HR_Data[[#This Row],[PercentSalaryHike]]&lt;=19,"17-19%","20-25%")))</f>
        <v>20-25%</v>
      </c>
      <c r="AP1309" s="1">
        <f>IF(HR_Data[[#This Row],[PercentSalaryHike]]&lt;=13,1,IF(HR_Data[[#This Row],[PercentSalaryHike]]&lt;=16,2,IF(HR_Data[[#This Row],[PercentSalaryHike]]&lt;=19,3,4)))</f>
        <v>4</v>
      </c>
      <c r="AQ1309" s="1" t="str">
        <f>IF(HR_Data[[#This Row],[DistanceFromHome]]&lt;=5,"1 to 5",IF(HR_Data[[#This Row],[DistanceFromHome]]&lt;=10,"6 to 10",IF(HR_Data[[#This Row],[DistanceFromHome]]&lt;=20,"11 to 20","21 to 29")))</f>
        <v>1 to 5</v>
      </c>
      <c r="AR1309" s="1">
        <f>IF(HR_Data[[#This Row],[DistanceFromHome]]&lt;=5,1,IF(HR_Data[[#This Row],[DistanceFromHome]]&lt;=10,2,IF(HR_Data[[#This Row],[DistanceFromHome]]&lt;=20,3,4)))</f>
        <v>1</v>
      </c>
      <c r="AS1309" s="1" t="str">
        <f>IF(HR_Data[[#This Row],[TotalWorkingYears]]&lt;=5,"0-5 Yrs",IF(HR_Data[[#This Row],[TotalWorkingYears]]&lt;=10,"6-10 Yrs",IF(HR_Data[[#This Row],[TotalWorkingYears]]&lt;=20,"11-20 Yrs","20+ Yrs")))</f>
        <v>0-5 Yrs</v>
      </c>
      <c r="AT1309" s="1">
        <f>IF(HR_Data[[#This Row],[TotalWorkingYears]]&lt;=5,1,IF(HR_Data[[#This Row],[TotalWorkingYears]]&lt;=10,2,IF(HR_Data[[#This Row],[TotalWorkingYears]]&lt;=20,3,4)))</f>
        <v>1</v>
      </c>
    </row>
    <row r="1310" spans="1:46" x14ac:dyDescent="0.25">
      <c r="A1310">
        <v>38</v>
      </c>
      <c r="B1310" t="s">
        <v>36</v>
      </c>
      <c r="C1310" t="s">
        <v>30</v>
      </c>
      <c r="D1310" t="s">
        <v>31</v>
      </c>
      <c r="E1310">
        <v>2</v>
      </c>
      <c r="F1310">
        <v>4</v>
      </c>
      <c r="G1310" t="s">
        <v>52</v>
      </c>
      <c r="H1310">
        <v>1835</v>
      </c>
      <c r="I1310">
        <v>2</v>
      </c>
      <c r="J1310" t="s">
        <v>33</v>
      </c>
      <c r="K1310">
        <v>1</v>
      </c>
      <c r="L1310">
        <v>2</v>
      </c>
      <c r="M1310" t="s">
        <v>50</v>
      </c>
      <c r="N1310">
        <v>4</v>
      </c>
      <c r="O1310" t="s">
        <v>41</v>
      </c>
      <c r="P1310">
        <v>5405</v>
      </c>
      <c r="Q1310">
        <v>2</v>
      </c>
      <c r="R1310" t="s">
        <v>29</v>
      </c>
      <c r="S1310">
        <v>20</v>
      </c>
      <c r="T1310">
        <v>4</v>
      </c>
      <c r="U1310">
        <v>1</v>
      </c>
      <c r="V1310">
        <v>2</v>
      </c>
      <c r="W1310">
        <v>20</v>
      </c>
      <c r="X1310">
        <v>4</v>
      </c>
      <c r="Y1310">
        <v>2</v>
      </c>
      <c r="Z1310">
        <v>4</v>
      </c>
      <c r="AA1310">
        <v>2</v>
      </c>
      <c r="AB1310">
        <v>0</v>
      </c>
      <c r="AC1310">
        <v>3</v>
      </c>
      <c r="AD1310">
        <f>IF(HR_Data[[#This Row],[Attrition]]="Yes",1,0)</f>
        <v>0</v>
      </c>
      <c r="AE1310" t="str">
        <f>IF(HR_Data[[#This Row],[Age]]&lt;=25,"18-25",IF(HR_Data[[#This Row],[Age]]&lt;=35,"26-35",IF(HR_Data[[#This Row],[Age]]&lt;=45,"36-45",IF(HR_Data[[#This Row],[Age]]&lt;=55,"46-55","55+"))))</f>
        <v>36-45</v>
      </c>
      <c r="AF1310">
        <f>IF(HR_Data[[#This Row],[Age]]&lt;=25,1,IF(HR_Data[[#This Row],[Age]]&lt;=35,2,IF(HR_Data[[#This Row],[Age]]&lt;=45,3,IF(HR_Data[[#This Row],[Age]]&lt;=55,4,5))))</f>
        <v>3</v>
      </c>
      <c r="AG1310" s="1" t="str">
        <f>IF(HR_Data[[#This Row],[MonthlyIncome]]&lt;3000,"&lt;3K",IF(HR_Data[[#This Row],[MonthlyIncome]]&lt;6000,"3K-6K",IF(HR_Data[[#This Row],[MonthlyIncome]]&lt;10000,"6K-10K","10K+")))</f>
        <v>3K-6K</v>
      </c>
      <c r="AH1310" s="1">
        <f>IF(HR_Data[[#This Row],[MonthlyIncome]]&lt;3000,1,IF(HR_Data[[#This Row],[MonthlyIncome]]&lt;6000,2,IF(HR_Data[[#This Row],[MonthlyIncome]]&lt;10000,3,4)))</f>
        <v>2</v>
      </c>
      <c r="AI1310" s="1" t="str">
        <f>IF(HR_Data[[#This Row],[YearsAtCompany]]&lt;=2,"0-2 Yrs",IF(HR_Data[[#This Row],[YearsAtCompany]]&lt;=5,"3-5 Yrs",IF(HR_Data[[#This Row],[YearsAtCompany]]&lt;=10,"6-10 Yrs","10+ Yrs")))</f>
        <v>3-5 Yrs</v>
      </c>
      <c r="AJ1310" s="1">
        <f>IF(HR_Data[[#This Row],[YearsAtCompany]]&lt;=2,1,IF(HR_Data[[#This Row],[YearsAtCompany]]&lt;=5,2,IF(HR_Data[[#This Row],[YearsAtCompany]]&lt;=10,3,4)))</f>
        <v>2</v>
      </c>
      <c r="AK1310" s="1" t="str">
        <f>CHOOSE(HR_Data[[#This Row],[Education]],"Below College","College","Bachelor","Master","Doctor")</f>
        <v>Master</v>
      </c>
      <c r="AL1310" s="1" t="str">
        <f>CHOOSE(HR_Data[[#This Row],[JobSatisfaction]],"Low","Medium","High","Very High")</f>
        <v>Very High</v>
      </c>
      <c r="AM1310" s="1" t="str">
        <f>CHOOSE(HR_Data[[#This Row],[EnvironmentSatisfaction]],"Low","Medium","High","Very High")</f>
        <v>Medium</v>
      </c>
      <c r="AN1310" s="1" t="str">
        <f>CHOOSE(HR_Data[[#This Row],[WorkLifeBalance]],"Bad","Good","Better","Best")</f>
        <v>Good</v>
      </c>
      <c r="AO1310" s="1" t="str">
        <f>IF(HR_Data[[#This Row],[PercentSalaryHike]]&lt;=13,"11-13%",IF(HR_Data[[#This Row],[PercentSalaryHike]]&lt;=16,"14-16%",IF(HR_Data[[#This Row],[PercentSalaryHike]]&lt;=19,"17-19%","20-25%")))</f>
        <v>20-25%</v>
      </c>
      <c r="AP1310" s="1">
        <f>IF(HR_Data[[#This Row],[PercentSalaryHike]]&lt;=13,1,IF(HR_Data[[#This Row],[PercentSalaryHike]]&lt;=16,2,IF(HR_Data[[#This Row],[PercentSalaryHike]]&lt;=19,3,4)))</f>
        <v>4</v>
      </c>
      <c r="AQ1310" s="1" t="str">
        <f>IF(HR_Data[[#This Row],[DistanceFromHome]]&lt;=5,"1 to 5",IF(HR_Data[[#This Row],[DistanceFromHome]]&lt;=10,"6 to 10",IF(HR_Data[[#This Row],[DistanceFromHome]]&lt;=20,"11 to 20","21 to 29")))</f>
        <v>1 to 5</v>
      </c>
      <c r="AR1310" s="1">
        <f>IF(HR_Data[[#This Row],[DistanceFromHome]]&lt;=5,1,IF(HR_Data[[#This Row],[DistanceFromHome]]&lt;=10,2,IF(HR_Data[[#This Row],[DistanceFromHome]]&lt;=20,3,4)))</f>
        <v>1</v>
      </c>
      <c r="AS1310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310" s="1">
        <f>IF(HR_Data[[#This Row],[TotalWorkingYears]]&lt;=5,1,IF(HR_Data[[#This Row],[TotalWorkingYears]]&lt;=10,2,IF(HR_Data[[#This Row],[TotalWorkingYears]]&lt;=20,3,4)))</f>
        <v>3</v>
      </c>
    </row>
    <row r="1311" spans="1:46" x14ac:dyDescent="0.25">
      <c r="A1311">
        <v>26</v>
      </c>
      <c r="B1311" t="s">
        <v>36</v>
      </c>
      <c r="C1311" t="s">
        <v>30</v>
      </c>
      <c r="D1311" t="s">
        <v>31</v>
      </c>
      <c r="E1311">
        <v>10</v>
      </c>
      <c r="F1311">
        <v>3</v>
      </c>
      <c r="G1311" t="s">
        <v>44</v>
      </c>
      <c r="H1311">
        <v>1836</v>
      </c>
      <c r="I1311">
        <v>3</v>
      </c>
      <c r="J1311" t="s">
        <v>39</v>
      </c>
      <c r="K1311">
        <v>3</v>
      </c>
      <c r="L1311">
        <v>2</v>
      </c>
      <c r="M1311" t="s">
        <v>34</v>
      </c>
      <c r="N1311">
        <v>4</v>
      </c>
      <c r="O1311" t="s">
        <v>35</v>
      </c>
      <c r="P1311">
        <v>4684</v>
      </c>
      <c r="Q1311">
        <v>1</v>
      </c>
      <c r="R1311" t="s">
        <v>36</v>
      </c>
      <c r="S1311">
        <v>13</v>
      </c>
      <c r="T1311">
        <v>3</v>
      </c>
      <c r="U1311">
        <v>1</v>
      </c>
      <c r="V1311">
        <v>0</v>
      </c>
      <c r="W1311">
        <v>5</v>
      </c>
      <c r="X1311">
        <v>4</v>
      </c>
      <c r="Y1311">
        <v>3</v>
      </c>
      <c r="Z1311">
        <v>5</v>
      </c>
      <c r="AA1311">
        <v>3</v>
      </c>
      <c r="AB1311">
        <v>1</v>
      </c>
      <c r="AC1311">
        <v>2</v>
      </c>
      <c r="AD1311">
        <f>IF(HR_Data[[#This Row],[Attrition]]="Yes",1,0)</f>
        <v>0</v>
      </c>
      <c r="AE1311" t="str">
        <f>IF(HR_Data[[#This Row],[Age]]&lt;=25,"18-25",IF(HR_Data[[#This Row],[Age]]&lt;=35,"26-35",IF(HR_Data[[#This Row],[Age]]&lt;=45,"36-45",IF(HR_Data[[#This Row],[Age]]&lt;=55,"46-55","55+"))))</f>
        <v>26-35</v>
      </c>
      <c r="AF1311">
        <f>IF(HR_Data[[#This Row],[Age]]&lt;=25,1,IF(HR_Data[[#This Row],[Age]]&lt;=35,2,IF(HR_Data[[#This Row],[Age]]&lt;=45,3,IF(HR_Data[[#This Row],[Age]]&lt;=55,4,5))))</f>
        <v>2</v>
      </c>
      <c r="AG1311" s="1" t="str">
        <f>IF(HR_Data[[#This Row],[MonthlyIncome]]&lt;3000,"&lt;3K",IF(HR_Data[[#This Row],[MonthlyIncome]]&lt;6000,"3K-6K",IF(HR_Data[[#This Row],[MonthlyIncome]]&lt;10000,"6K-10K","10K+")))</f>
        <v>3K-6K</v>
      </c>
      <c r="AH1311" s="1">
        <f>IF(HR_Data[[#This Row],[MonthlyIncome]]&lt;3000,1,IF(HR_Data[[#This Row],[MonthlyIncome]]&lt;6000,2,IF(HR_Data[[#This Row],[MonthlyIncome]]&lt;10000,3,4)))</f>
        <v>2</v>
      </c>
      <c r="AI1311" s="1" t="str">
        <f>IF(HR_Data[[#This Row],[YearsAtCompany]]&lt;=2,"0-2 Yrs",IF(HR_Data[[#This Row],[YearsAtCompany]]&lt;=5,"3-5 Yrs",IF(HR_Data[[#This Row],[YearsAtCompany]]&lt;=10,"6-10 Yrs","10+ Yrs")))</f>
        <v>3-5 Yrs</v>
      </c>
      <c r="AJ1311" s="1">
        <f>IF(HR_Data[[#This Row],[YearsAtCompany]]&lt;=2,1,IF(HR_Data[[#This Row],[YearsAtCompany]]&lt;=5,2,IF(HR_Data[[#This Row],[YearsAtCompany]]&lt;=10,3,4)))</f>
        <v>2</v>
      </c>
      <c r="AK1311" s="1" t="str">
        <f>CHOOSE(HR_Data[[#This Row],[Education]],"Below College","College","Bachelor","Master","Doctor")</f>
        <v>Bachelor</v>
      </c>
      <c r="AL1311" s="1" t="str">
        <f>CHOOSE(HR_Data[[#This Row],[JobSatisfaction]],"Low","Medium","High","Very High")</f>
        <v>Very High</v>
      </c>
      <c r="AM1311" s="1" t="str">
        <f>CHOOSE(HR_Data[[#This Row],[EnvironmentSatisfaction]],"Low","Medium","High","Very High")</f>
        <v>High</v>
      </c>
      <c r="AN1311" s="1" t="str">
        <f>CHOOSE(HR_Data[[#This Row],[WorkLifeBalance]],"Bad","Good","Better","Best")</f>
        <v>Better</v>
      </c>
      <c r="AO1311" s="1" t="str">
        <f>IF(HR_Data[[#This Row],[PercentSalaryHike]]&lt;=13,"11-13%",IF(HR_Data[[#This Row],[PercentSalaryHike]]&lt;=16,"14-16%",IF(HR_Data[[#This Row],[PercentSalaryHike]]&lt;=19,"17-19%","20-25%")))</f>
        <v>11-13%</v>
      </c>
      <c r="AP1311" s="1">
        <f>IF(HR_Data[[#This Row],[PercentSalaryHike]]&lt;=13,1,IF(HR_Data[[#This Row],[PercentSalaryHike]]&lt;=16,2,IF(HR_Data[[#This Row],[PercentSalaryHike]]&lt;=19,3,4)))</f>
        <v>1</v>
      </c>
      <c r="AQ1311" s="1" t="str">
        <f>IF(HR_Data[[#This Row],[DistanceFromHome]]&lt;=5,"1 to 5",IF(HR_Data[[#This Row],[DistanceFromHome]]&lt;=10,"6 to 10",IF(HR_Data[[#This Row],[DistanceFromHome]]&lt;=20,"11 to 20","21 to 29")))</f>
        <v>6 to 10</v>
      </c>
      <c r="AR1311" s="1">
        <f>IF(HR_Data[[#This Row],[DistanceFromHome]]&lt;=5,1,IF(HR_Data[[#This Row],[DistanceFromHome]]&lt;=10,2,IF(HR_Data[[#This Row],[DistanceFromHome]]&lt;=20,3,4)))</f>
        <v>2</v>
      </c>
      <c r="AS1311" s="1" t="str">
        <f>IF(HR_Data[[#This Row],[TotalWorkingYears]]&lt;=5,"0-5 Yrs",IF(HR_Data[[#This Row],[TotalWorkingYears]]&lt;=10,"6-10 Yrs",IF(HR_Data[[#This Row],[TotalWorkingYears]]&lt;=20,"11-20 Yrs","20+ Yrs")))</f>
        <v>0-5 Yrs</v>
      </c>
      <c r="AT1311" s="1">
        <f>IF(HR_Data[[#This Row],[TotalWorkingYears]]&lt;=5,1,IF(HR_Data[[#This Row],[TotalWorkingYears]]&lt;=10,2,IF(HR_Data[[#This Row],[TotalWorkingYears]]&lt;=20,3,4)))</f>
        <v>1</v>
      </c>
    </row>
    <row r="1312" spans="1:46" x14ac:dyDescent="0.25">
      <c r="A1312">
        <v>58</v>
      </c>
      <c r="B1312" t="s">
        <v>36</v>
      </c>
      <c r="C1312" t="s">
        <v>37</v>
      </c>
      <c r="D1312" t="s">
        <v>38</v>
      </c>
      <c r="E1312">
        <v>15</v>
      </c>
      <c r="F1312">
        <v>4</v>
      </c>
      <c r="G1312" t="s">
        <v>32</v>
      </c>
      <c r="H1312">
        <v>1837</v>
      </c>
      <c r="I1312">
        <v>1</v>
      </c>
      <c r="J1312" t="s">
        <v>39</v>
      </c>
      <c r="K1312">
        <v>3</v>
      </c>
      <c r="L1312">
        <v>4</v>
      </c>
      <c r="M1312" t="s">
        <v>51</v>
      </c>
      <c r="N1312">
        <v>3</v>
      </c>
      <c r="O1312" t="s">
        <v>41</v>
      </c>
      <c r="P1312">
        <v>15787</v>
      </c>
      <c r="Q1312">
        <v>2</v>
      </c>
      <c r="R1312" t="s">
        <v>29</v>
      </c>
      <c r="S1312">
        <v>14</v>
      </c>
      <c r="T1312">
        <v>3</v>
      </c>
      <c r="U1312">
        <v>2</v>
      </c>
      <c r="V1312">
        <v>0</v>
      </c>
      <c r="W1312">
        <v>23</v>
      </c>
      <c r="X1312">
        <v>3</v>
      </c>
      <c r="Y1312">
        <v>3</v>
      </c>
      <c r="Z1312">
        <v>2</v>
      </c>
      <c r="AA1312">
        <v>2</v>
      </c>
      <c r="AB1312">
        <v>2</v>
      </c>
      <c r="AC1312">
        <v>2</v>
      </c>
      <c r="AD1312">
        <f>IF(HR_Data[[#This Row],[Attrition]]="Yes",1,0)</f>
        <v>0</v>
      </c>
      <c r="AE1312" t="str">
        <f>IF(HR_Data[[#This Row],[Age]]&lt;=25,"18-25",IF(HR_Data[[#This Row],[Age]]&lt;=35,"26-35",IF(HR_Data[[#This Row],[Age]]&lt;=45,"36-45",IF(HR_Data[[#This Row],[Age]]&lt;=55,"46-55","55+"))))</f>
        <v>55+</v>
      </c>
      <c r="AF1312">
        <f>IF(HR_Data[[#This Row],[Age]]&lt;=25,1,IF(HR_Data[[#This Row],[Age]]&lt;=35,2,IF(HR_Data[[#This Row],[Age]]&lt;=45,3,IF(HR_Data[[#This Row],[Age]]&lt;=55,4,5))))</f>
        <v>5</v>
      </c>
      <c r="AG1312" s="1" t="str">
        <f>IF(HR_Data[[#This Row],[MonthlyIncome]]&lt;3000,"&lt;3K",IF(HR_Data[[#This Row],[MonthlyIncome]]&lt;6000,"3K-6K",IF(HR_Data[[#This Row],[MonthlyIncome]]&lt;10000,"6K-10K","10K+")))</f>
        <v>10K+</v>
      </c>
      <c r="AH1312" s="1">
        <f>IF(HR_Data[[#This Row],[MonthlyIncome]]&lt;3000,1,IF(HR_Data[[#This Row],[MonthlyIncome]]&lt;6000,2,IF(HR_Data[[#This Row],[MonthlyIncome]]&lt;10000,3,4)))</f>
        <v>4</v>
      </c>
      <c r="AI1312" s="1" t="str">
        <f>IF(HR_Data[[#This Row],[YearsAtCompany]]&lt;=2,"0-2 Yrs",IF(HR_Data[[#This Row],[YearsAtCompany]]&lt;=5,"3-5 Yrs",IF(HR_Data[[#This Row],[YearsAtCompany]]&lt;=10,"6-10 Yrs","10+ Yrs")))</f>
        <v>0-2 Yrs</v>
      </c>
      <c r="AJ1312" s="1">
        <f>IF(HR_Data[[#This Row],[YearsAtCompany]]&lt;=2,1,IF(HR_Data[[#This Row],[YearsAtCompany]]&lt;=5,2,IF(HR_Data[[#This Row],[YearsAtCompany]]&lt;=10,3,4)))</f>
        <v>1</v>
      </c>
      <c r="AK1312" s="1" t="str">
        <f>CHOOSE(HR_Data[[#This Row],[Education]],"Below College","College","Bachelor","Master","Doctor")</f>
        <v>Master</v>
      </c>
      <c r="AL1312" s="1" t="str">
        <f>CHOOSE(HR_Data[[#This Row],[JobSatisfaction]],"Low","Medium","High","Very High")</f>
        <v>High</v>
      </c>
      <c r="AM1312" s="1" t="str">
        <f>CHOOSE(HR_Data[[#This Row],[EnvironmentSatisfaction]],"Low","Medium","High","Very High")</f>
        <v>Low</v>
      </c>
      <c r="AN1312" s="1" t="str">
        <f>CHOOSE(HR_Data[[#This Row],[WorkLifeBalance]],"Bad","Good","Better","Best")</f>
        <v>Better</v>
      </c>
      <c r="AO1312" s="1" t="str">
        <f>IF(HR_Data[[#This Row],[PercentSalaryHike]]&lt;=13,"11-13%",IF(HR_Data[[#This Row],[PercentSalaryHike]]&lt;=16,"14-16%",IF(HR_Data[[#This Row],[PercentSalaryHike]]&lt;=19,"17-19%","20-25%")))</f>
        <v>14-16%</v>
      </c>
      <c r="AP1312" s="1">
        <f>IF(HR_Data[[#This Row],[PercentSalaryHike]]&lt;=13,1,IF(HR_Data[[#This Row],[PercentSalaryHike]]&lt;=16,2,IF(HR_Data[[#This Row],[PercentSalaryHike]]&lt;=19,3,4)))</f>
        <v>2</v>
      </c>
      <c r="AQ1312" s="1" t="str">
        <f>IF(HR_Data[[#This Row],[DistanceFromHome]]&lt;=5,"1 to 5",IF(HR_Data[[#This Row],[DistanceFromHome]]&lt;=10,"6 to 10",IF(HR_Data[[#This Row],[DistanceFromHome]]&lt;=20,"11 to 20","21 to 29")))</f>
        <v>11 to 20</v>
      </c>
      <c r="AR1312" s="1">
        <f>IF(HR_Data[[#This Row],[DistanceFromHome]]&lt;=5,1,IF(HR_Data[[#This Row],[DistanceFromHome]]&lt;=10,2,IF(HR_Data[[#This Row],[DistanceFromHome]]&lt;=20,3,4)))</f>
        <v>3</v>
      </c>
      <c r="AS1312" s="1" t="str">
        <f>IF(HR_Data[[#This Row],[TotalWorkingYears]]&lt;=5,"0-5 Yrs",IF(HR_Data[[#This Row],[TotalWorkingYears]]&lt;=10,"6-10 Yrs",IF(HR_Data[[#This Row],[TotalWorkingYears]]&lt;=20,"11-20 Yrs","20+ Yrs")))</f>
        <v>20+ Yrs</v>
      </c>
      <c r="AT1312" s="1">
        <f>IF(HR_Data[[#This Row],[TotalWorkingYears]]&lt;=5,1,IF(HR_Data[[#This Row],[TotalWorkingYears]]&lt;=10,2,IF(HR_Data[[#This Row],[TotalWorkingYears]]&lt;=20,3,4)))</f>
        <v>4</v>
      </c>
    </row>
    <row r="1313" spans="1:46" x14ac:dyDescent="0.25">
      <c r="A1313">
        <v>18</v>
      </c>
      <c r="B1313" t="s">
        <v>36</v>
      </c>
      <c r="C1313" t="s">
        <v>48</v>
      </c>
      <c r="D1313" t="s">
        <v>38</v>
      </c>
      <c r="E1313">
        <v>14</v>
      </c>
      <c r="F1313">
        <v>3</v>
      </c>
      <c r="G1313" t="s">
        <v>44</v>
      </c>
      <c r="H1313">
        <v>1839</v>
      </c>
      <c r="I1313">
        <v>2</v>
      </c>
      <c r="J1313" t="s">
        <v>33</v>
      </c>
      <c r="K1313">
        <v>3</v>
      </c>
      <c r="L1313">
        <v>1</v>
      </c>
      <c r="M1313" t="s">
        <v>40</v>
      </c>
      <c r="N1313">
        <v>3</v>
      </c>
      <c r="O1313" t="s">
        <v>35</v>
      </c>
      <c r="P1313">
        <v>1514</v>
      </c>
      <c r="Q1313">
        <v>1</v>
      </c>
      <c r="R1313" t="s">
        <v>36</v>
      </c>
      <c r="S1313">
        <v>16</v>
      </c>
      <c r="T1313">
        <v>3</v>
      </c>
      <c r="U1313">
        <v>3</v>
      </c>
      <c r="V1313">
        <v>0</v>
      </c>
      <c r="W1313">
        <v>0</v>
      </c>
      <c r="X1313">
        <v>4</v>
      </c>
      <c r="Y1313">
        <v>1</v>
      </c>
      <c r="Z1313">
        <v>0</v>
      </c>
      <c r="AA1313">
        <v>0</v>
      </c>
      <c r="AB1313">
        <v>0</v>
      </c>
      <c r="AC1313">
        <v>0</v>
      </c>
      <c r="AD1313">
        <f>IF(HR_Data[[#This Row],[Attrition]]="Yes",1,0)</f>
        <v>0</v>
      </c>
      <c r="AE1313" t="str">
        <f>IF(HR_Data[[#This Row],[Age]]&lt;=25,"18-25",IF(HR_Data[[#This Row],[Age]]&lt;=35,"26-35",IF(HR_Data[[#This Row],[Age]]&lt;=45,"36-45",IF(HR_Data[[#This Row],[Age]]&lt;=55,"46-55","55+"))))</f>
        <v>18-25</v>
      </c>
      <c r="AF1313">
        <f>IF(HR_Data[[#This Row],[Age]]&lt;=25,1,IF(HR_Data[[#This Row],[Age]]&lt;=35,2,IF(HR_Data[[#This Row],[Age]]&lt;=45,3,IF(HR_Data[[#This Row],[Age]]&lt;=55,4,5))))</f>
        <v>1</v>
      </c>
      <c r="AG1313" s="1" t="str">
        <f>IF(HR_Data[[#This Row],[MonthlyIncome]]&lt;3000,"&lt;3K",IF(HR_Data[[#This Row],[MonthlyIncome]]&lt;6000,"3K-6K",IF(HR_Data[[#This Row],[MonthlyIncome]]&lt;10000,"6K-10K","10K+")))</f>
        <v>&lt;3K</v>
      </c>
      <c r="AH1313" s="1">
        <f>IF(HR_Data[[#This Row],[MonthlyIncome]]&lt;3000,1,IF(HR_Data[[#This Row],[MonthlyIncome]]&lt;6000,2,IF(HR_Data[[#This Row],[MonthlyIncome]]&lt;10000,3,4)))</f>
        <v>1</v>
      </c>
      <c r="AI1313" s="1" t="str">
        <f>IF(HR_Data[[#This Row],[YearsAtCompany]]&lt;=2,"0-2 Yrs",IF(HR_Data[[#This Row],[YearsAtCompany]]&lt;=5,"3-5 Yrs",IF(HR_Data[[#This Row],[YearsAtCompany]]&lt;=10,"6-10 Yrs","10+ Yrs")))</f>
        <v>0-2 Yrs</v>
      </c>
      <c r="AJ1313" s="1">
        <f>IF(HR_Data[[#This Row],[YearsAtCompany]]&lt;=2,1,IF(HR_Data[[#This Row],[YearsAtCompany]]&lt;=5,2,IF(HR_Data[[#This Row],[YearsAtCompany]]&lt;=10,3,4)))</f>
        <v>1</v>
      </c>
      <c r="AK1313" s="1" t="str">
        <f>CHOOSE(HR_Data[[#This Row],[Education]],"Below College","College","Bachelor","Master","Doctor")</f>
        <v>Bachelor</v>
      </c>
      <c r="AL1313" s="1" t="str">
        <f>CHOOSE(HR_Data[[#This Row],[JobSatisfaction]],"Low","Medium","High","Very High")</f>
        <v>High</v>
      </c>
      <c r="AM1313" s="1" t="str">
        <f>CHOOSE(HR_Data[[#This Row],[EnvironmentSatisfaction]],"Low","Medium","High","Very High")</f>
        <v>Medium</v>
      </c>
      <c r="AN1313" s="1" t="str">
        <f>CHOOSE(HR_Data[[#This Row],[WorkLifeBalance]],"Bad","Good","Better","Best")</f>
        <v>Bad</v>
      </c>
      <c r="AO1313" s="1" t="str">
        <f>IF(HR_Data[[#This Row],[PercentSalaryHike]]&lt;=13,"11-13%",IF(HR_Data[[#This Row],[PercentSalaryHike]]&lt;=16,"14-16%",IF(HR_Data[[#This Row],[PercentSalaryHike]]&lt;=19,"17-19%","20-25%")))</f>
        <v>14-16%</v>
      </c>
      <c r="AP1313" s="1">
        <f>IF(HR_Data[[#This Row],[PercentSalaryHike]]&lt;=13,1,IF(HR_Data[[#This Row],[PercentSalaryHike]]&lt;=16,2,IF(HR_Data[[#This Row],[PercentSalaryHike]]&lt;=19,3,4)))</f>
        <v>2</v>
      </c>
      <c r="AQ1313" s="1" t="str">
        <f>IF(HR_Data[[#This Row],[DistanceFromHome]]&lt;=5,"1 to 5",IF(HR_Data[[#This Row],[DistanceFromHome]]&lt;=10,"6 to 10",IF(HR_Data[[#This Row],[DistanceFromHome]]&lt;=20,"11 to 20","21 to 29")))</f>
        <v>11 to 20</v>
      </c>
      <c r="AR1313" s="1">
        <f>IF(HR_Data[[#This Row],[DistanceFromHome]]&lt;=5,1,IF(HR_Data[[#This Row],[DistanceFromHome]]&lt;=10,2,IF(HR_Data[[#This Row],[DistanceFromHome]]&lt;=20,3,4)))</f>
        <v>3</v>
      </c>
      <c r="AS1313" s="1" t="str">
        <f>IF(HR_Data[[#This Row],[TotalWorkingYears]]&lt;=5,"0-5 Yrs",IF(HR_Data[[#This Row],[TotalWorkingYears]]&lt;=10,"6-10 Yrs",IF(HR_Data[[#This Row],[TotalWorkingYears]]&lt;=20,"11-20 Yrs","20+ Yrs")))</f>
        <v>0-5 Yrs</v>
      </c>
      <c r="AT1313" s="1">
        <f>IF(HR_Data[[#This Row],[TotalWorkingYears]]&lt;=5,1,IF(HR_Data[[#This Row],[TotalWorkingYears]]&lt;=10,2,IF(HR_Data[[#This Row],[TotalWorkingYears]]&lt;=20,3,4)))</f>
        <v>1</v>
      </c>
    </row>
    <row r="1314" spans="1:46" x14ac:dyDescent="0.25">
      <c r="A1314">
        <v>31</v>
      </c>
      <c r="B1314" t="s">
        <v>29</v>
      </c>
      <c r="C1314" t="s">
        <v>30</v>
      </c>
      <c r="D1314" t="s">
        <v>54</v>
      </c>
      <c r="E1314">
        <v>18</v>
      </c>
      <c r="F1314">
        <v>5</v>
      </c>
      <c r="G1314" t="s">
        <v>54</v>
      </c>
      <c r="H1314">
        <v>1842</v>
      </c>
      <c r="I1314">
        <v>4</v>
      </c>
      <c r="J1314" t="s">
        <v>39</v>
      </c>
      <c r="K1314">
        <v>4</v>
      </c>
      <c r="L1314">
        <v>1</v>
      </c>
      <c r="M1314" t="s">
        <v>54</v>
      </c>
      <c r="N1314">
        <v>1</v>
      </c>
      <c r="O1314" t="s">
        <v>41</v>
      </c>
      <c r="P1314">
        <v>2956</v>
      </c>
      <c r="Q1314">
        <v>0</v>
      </c>
      <c r="R1314" t="s">
        <v>36</v>
      </c>
      <c r="S1314">
        <v>17</v>
      </c>
      <c r="T1314">
        <v>3</v>
      </c>
      <c r="U1314">
        <v>3</v>
      </c>
      <c r="V1314">
        <v>0</v>
      </c>
      <c r="W1314">
        <v>2</v>
      </c>
      <c r="X1314">
        <v>4</v>
      </c>
      <c r="Y1314">
        <v>3</v>
      </c>
      <c r="Z1314">
        <v>1</v>
      </c>
      <c r="AA1314">
        <v>0</v>
      </c>
      <c r="AB1314">
        <v>0</v>
      </c>
      <c r="AC1314">
        <v>0</v>
      </c>
      <c r="AD1314">
        <f>IF(HR_Data[[#This Row],[Attrition]]="Yes",1,0)</f>
        <v>1</v>
      </c>
      <c r="AE1314" t="str">
        <f>IF(HR_Data[[#This Row],[Age]]&lt;=25,"18-25",IF(HR_Data[[#This Row],[Age]]&lt;=35,"26-35",IF(HR_Data[[#This Row],[Age]]&lt;=45,"36-45",IF(HR_Data[[#This Row],[Age]]&lt;=55,"46-55","55+"))))</f>
        <v>26-35</v>
      </c>
      <c r="AF1314">
        <f>IF(HR_Data[[#This Row],[Age]]&lt;=25,1,IF(HR_Data[[#This Row],[Age]]&lt;=35,2,IF(HR_Data[[#This Row],[Age]]&lt;=45,3,IF(HR_Data[[#This Row],[Age]]&lt;=55,4,5))))</f>
        <v>2</v>
      </c>
      <c r="AG1314" s="1" t="str">
        <f>IF(HR_Data[[#This Row],[MonthlyIncome]]&lt;3000,"&lt;3K",IF(HR_Data[[#This Row],[MonthlyIncome]]&lt;6000,"3K-6K",IF(HR_Data[[#This Row],[MonthlyIncome]]&lt;10000,"6K-10K","10K+")))</f>
        <v>&lt;3K</v>
      </c>
      <c r="AH1314" s="1">
        <f>IF(HR_Data[[#This Row],[MonthlyIncome]]&lt;3000,1,IF(HR_Data[[#This Row],[MonthlyIncome]]&lt;6000,2,IF(HR_Data[[#This Row],[MonthlyIncome]]&lt;10000,3,4)))</f>
        <v>1</v>
      </c>
      <c r="AI1314" s="1" t="str">
        <f>IF(HR_Data[[#This Row],[YearsAtCompany]]&lt;=2,"0-2 Yrs",IF(HR_Data[[#This Row],[YearsAtCompany]]&lt;=5,"3-5 Yrs",IF(HR_Data[[#This Row],[YearsAtCompany]]&lt;=10,"6-10 Yrs","10+ Yrs")))</f>
        <v>0-2 Yrs</v>
      </c>
      <c r="AJ1314" s="1">
        <f>IF(HR_Data[[#This Row],[YearsAtCompany]]&lt;=2,1,IF(HR_Data[[#This Row],[YearsAtCompany]]&lt;=5,2,IF(HR_Data[[#This Row],[YearsAtCompany]]&lt;=10,3,4)))</f>
        <v>1</v>
      </c>
      <c r="AK1314" s="1" t="str">
        <f>CHOOSE(HR_Data[[#This Row],[Education]],"Below College","College","Bachelor","Master","Doctor")</f>
        <v>Doctor</v>
      </c>
      <c r="AL1314" s="1" t="str">
        <f>CHOOSE(HR_Data[[#This Row],[JobSatisfaction]],"Low","Medium","High","Very High")</f>
        <v>Low</v>
      </c>
      <c r="AM1314" s="1" t="str">
        <f>CHOOSE(HR_Data[[#This Row],[EnvironmentSatisfaction]],"Low","Medium","High","Very High")</f>
        <v>Very High</v>
      </c>
      <c r="AN1314" s="1" t="str">
        <f>CHOOSE(HR_Data[[#This Row],[WorkLifeBalance]],"Bad","Good","Better","Best")</f>
        <v>Better</v>
      </c>
      <c r="AO1314" s="1" t="str">
        <f>IF(HR_Data[[#This Row],[PercentSalaryHike]]&lt;=13,"11-13%",IF(HR_Data[[#This Row],[PercentSalaryHike]]&lt;=16,"14-16%",IF(HR_Data[[#This Row],[PercentSalaryHike]]&lt;=19,"17-19%","20-25%")))</f>
        <v>17-19%</v>
      </c>
      <c r="AP1314" s="1">
        <f>IF(HR_Data[[#This Row],[PercentSalaryHike]]&lt;=13,1,IF(HR_Data[[#This Row],[PercentSalaryHike]]&lt;=16,2,IF(HR_Data[[#This Row],[PercentSalaryHike]]&lt;=19,3,4)))</f>
        <v>3</v>
      </c>
      <c r="AQ1314" s="1" t="str">
        <f>IF(HR_Data[[#This Row],[DistanceFromHome]]&lt;=5,"1 to 5",IF(HR_Data[[#This Row],[DistanceFromHome]]&lt;=10,"6 to 10",IF(HR_Data[[#This Row],[DistanceFromHome]]&lt;=20,"11 to 20","21 to 29")))</f>
        <v>11 to 20</v>
      </c>
      <c r="AR1314" s="1">
        <f>IF(HR_Data[[#This Row],[DistanceFromHome]]&lt;=5,1,IF(HR_Data[[#This Row],[DistanceFromHome]]&lt;=10,2,IF(HR_Data[[#This Row],[DistanceFromHome]]&lt;=20,3,4)))</f>
        <v>3</v>
      </c>
      <c r="AS1314" s="1" t="str">
        <f>IF(HR_Data[[#This Row],[TotalWorkingYears]]&lt;=5,"0-5 Yrs",IF(HR_Data[[#This Row],[TotalWorkingYears]]&lt;=10,"6-10 Yrs",IF(HR_Data[[#This Row],[TotalWorkingYears]]&lt;=20,"11-20 Yrs","20+ Yrs")))</f>
        <v>0-5 Yrs</v>
      </c>
      <c r="AT1314" s="1">
        <f>IF(HR_Data[[#This Row],[TotalWorkingYears]]&lt;=5,1,IF(HR_Data[[#This Row],[TotalWorkingYears]]&lt;=10,2,IF(HR_Data[[#This Row],[TotalWorkingYears]]&lt;=20,3,4)))</f>
        <v>1</v>
      </c>
    </row>
    <row r="1315" spans="1:46" x14ac:dyDescent="0.25">
      <c r="A1315">
        <v>29</v>
      </c>
      <c r="B1315" t="s">
        <v>29</v>
      </c>
      <c r="C1315" t="s">
        <v>30</v>
      </c>
      <c r="D1315" t="s">
        <v>54</v>
      </c>
      <c r="E1315">
        <v>13</v>
      </c>
      <c r="F1315">
        <v>3</v>
      </c>
      <c r="G1315" t="s">
        <v>54</v>
      </c>
      <c r="H1315">
        <v>1844</v>
      </c>
      <c r="I1315">
        <v>1</v>
      </c>
      <c r="J1315" t="s">
        <v>39</v>
      </c>
      <c r="K1315">
        <v>2</v>
      </c>
      <c r="L1315">
        <v>1</v>
      </c>
      <c r="M1315" t="s">
        <v>54</v>
      </c>
      <c r="N1315">
        <v>1</v>
      </c>
      <c r="O1315" t="s">
        <v>45</v>
      </c>
      <c r="P1315">
        <v>2335</v>
      </c>
      <c r="Q1315">
        <v>4</v>
      </c>
      <c r="R1315" t="s">
        <v>29</v>
      </c>
      <c r="S1315">
        <v>15</v>
      </c>
      <c r="T1315">
        <v>3</v>
      </c>
      <c r="U1315">
        <v>4</v>
      </c>
      <c r="V1315">
        <v>3</v>
      </c>
      <c r="W1315">
        <v>4</v>
      </c>
      <c r="X1315">
        <v>3</v>
      </c>
      <c r="Y1315">
        <v>3</v>
      </c>
      <c r="Z1315">
        <v>2</v>
      </c>
      <c r="AA1315">
        <v>2</v>
      </c>
      <c r="AB1315">
        <v>2</v>
      </c>
      <c r="AC1315">
        <v>0</v>
      </c>
      <c r="AD1315">
        <f>IF(HR_Data[[#This Row],[Attrition]]="Yes",1,0)</f>
        <v>1</v>
      </c>
      <c r="AE1315" t="str">
        <f>IF(HR_Data[[#This Row],[Age]]&lt;=25,"18-25",IF(HR_Data[[#This Row],[Age]]&lt;=35,"26-35",IF(HR_Data[[#This Row],[Age]]&lt;=45,"36-45",IF(HR_Data[[#This Row],[Age]]&lt;=55,"46-55","55+"))))</f>
        <v>26-35</v>
      </c>
      <c r="AF1315">
        <f>IF(HR_Data[[#This Row],[Age]]&lt;=25,1,IF(HR_Data[[#This Row],[Age]]&lt;=35,2,IF(HR_Data[[#This Row],[Age]]&lt;=45,3,IF(HR_Data[[#This Row],[Age]]&lt;=55,4,5))))</f>
        <v>2</v>
      </c>
      <c r="AG1315" s="1" t="str">
        <f>IF(HR_Data[[#This Row],[MonthlyIncome]]&lt;3000,"&lt;3K",IF(HR_Data[[#This Row],[MonthlyIncome]]&lt;6000,"3K-6K",IF(HR_Data[[#This Row],[MonthlyIncome]]&lt;10000,"6K-10K","10K+")))</f>
        <v>&lt;3K</v>
      </c>
      <c r="AH1315" s="1">
        <f>IF(HR_Data[[#This Row],[MonthlyIncome]]&lt;3000,1,IF(HR_Data[[#This Row],[MonthlyIncome]]&lt;6000,2,IF(HR_Data[[#This Row],[MonthlyIncome]]&lt;10000,3,4)))</f>
        <v>1</v>
      </c>
      <c r="AI1315" s="1" t="str">
        <f>IF(HR_Data[[#This Row],[YearsAtCompany]]&lt;=2,"0-2 Yrs",IF(HR_Data[[#This Row],[YearsAtCompany]]&lt;=5,"3-5 Yrs",IF(HR_Data[[#This Row],[YearsAtCompany]]&lt;=10,"6-10 Yrs","10+ Yrs")))</f>
        <v>0-2 Yrs</v>
      </c>
      <c r="AJ1315" s="1">
        <f>IF(HR_Data[[#This Row],[YearsAtCompany]]&lt;=2,1,IF(HR_Data[[#This Row],[YearsAtCompany]]&lt;=5,2,IF(HR_Data[[#This Row],[YearsAtCompany]]&lt;=10,3,4)))</f>
        <v>1</v>
      </c>
      <c r="AK1315" s="1" t="str">
        <f>CHOOSE(HR_Data[[#This Row],[Education]],"Below College","College","Bachelor","Master","Doctor")</f>
        <v>Bachelor</v>
      </c>
      <c r="AL1315" s="1" t="str">
        <f>CHOOSE(HR_Data[[#This Row],[JobSatisfaction]],"Low","Medium","High","Very High")</f>
        <v>Low</v>
      </c>
      <c r="AM1315" s="1" t="str">
        <f>CHOOSE(HR_Data[[#This Row],[EnvironmentSatisfaction]],"Low","Medium","High","Very High")</f>
        <v>Low</v>
      </c>
      <c r="AN1315" s="1" t="str">
        <f>CHOOSE(HR_Data[[#This Row],[WorkLifeBalance]],"Bad","Good","Better","Best")</f>
        <v>Better</v>
      </c>
      <c r="AO1315" s="1" t="str">
        <f>IF(HR_Data[[#This Row],[PercentSalaryHike]]&lt;=13,"11-13%",IF(HR_Data[[#This Row],[PercentSalaryHike]]&lt;=16,"14-16%",IF(HR_Data[[#This Row],[PercentSalaryHike]]&lt;=19,"17-19%","20-25%")))</f>
        <v>14-16%</v>
      </c>
      <c r="AP1315" s="1">
        <f>IF(HR_Data[[#This Row],[PercentSalaryHike]]&lt;=13,1,IF(HR_Data[[#This Row],[PercentSalaryHike]]&lt;=16,2,IF(HR_Data[[#This Row],[PercentSalaryHike]]&lt;=19,3,4)))</f>
        <v>2</v>
      </c>
      <c r="AQ1315" s="1" t="str">
        <f>IF(HR_Data[[#This Row],[DistanceFromHome]]&lt;=5,"1 to 5",IF(HR_Data[[#This Row],[DistanceFromHome]]&lt;=10,"6 to 10",IF(HR_Data[[#This Row],[DistanceFromHome]]&lt;=20,"11 to 20","21 to 29")))</f>
        <v>11 to 20</v>
      </c>
      <c r="AR1315" s="1">
        <f>IF(HR_Data[[#This Row],[DistanceFromHome]]&lt;=5,1,IF(HR_Data[[#This Row],[DistanceFromHome]]&lt;=10,2,IF(HR_Data[[#This Row],[DistanceFromHome]]&lt;=20,3,4)))</f>
        <v>3</v>
      </c>
      <c r="AS1315" s="1" t="str">
        <f>IF(HR_Data[[#This Row],[TotalWorkingYears]]&lt;=5,"0-5 Yrs",IF(HR_Data[[#This Row],[TotalWorkingYears]]&lt;=10,"6-10 Yrs",IF(HR_Data[[#This Row],[TotalWorkingYears]]&lt;=20,"11-20 Yrs","20+ Yrs")))</f>
        <v>0-5 Yrs</v>
      </c>
      <c r="AT1315" s="1">
        <f>IF(HR_Data[[#This Row],[TotalWorkingYears]]&lt;=5,1,IF(HR_Data[[#This Row],[TotalWorkingYears]]&lt;=10,2,IF(HR_Data[[#This Row],[TotalWorkingYears]]&lt;=20,3,4)))</f>
        <v>1</v>
      </c>
    </row>
    <row r="1316" spans="1:46" x14ac:dyDescent="0.25">
      <c r="A1316">
        <v>45</v>
      </c>
      <c r="B1316" t="s">
        <v>36</v>
      </c>
      <c r="C1316" t="s">
        <v>48</v>
      </c>
      <c r="D1316" t="s">
        <v>31</v>
      </c>
      <c r="E1316">
        <v>2</v>
      </c>
      <c r="F1316">
        <v>4</v>
      </c>
      <c r="G1316" t="s">
        <v>32</v>
      </c>
      <c r="H1316">
        <v>1845</v>
      </c>
      <c r="I1316">
        <v>3</v>
      </c>
      <c r="J1316" t="s">
        <v>33</v>
      </c>
      <c r="K1316">
        <v>3</v>
      </c>
      <c r="L1316">
        <v>2</v>
      </c>
      <c r="M1316" t="s">
        <v>34</v>
      </c>
      <c r="N1316">
        <v>3</v>
      </c>
      <c r="O1316" t="s">
        <v>41</v>
      </c>
      <c r="P1316">
        <v>5154</v>
      </c>
      <c r="Q1316">
        <v>4</v>
      </c>
      <c r="R1316" t="s">
        <v>36</v>
      </c>
      <c r="S1316">
        <v>22</v>
      </c>
      <c r="T1316">
        <v>4</v>
      </c>
      <c r="U1316">
        <v>2</v>
      </c>
      <c r="V1316">
        <v>2</v>
      </c>
      <c r="W1316">
        <v>10</v>
      </c>
      <c r="X1316">
        <v>3</v>
      </c>
      <c r="Y1316">
        <v>4</v>
      </c>
      <c r="Z1316">
        <v>8</v>
      </c>
      <c r="AA1316">
        <v>7</v>
      </c>
      <c r="AB1316">
        <v>5</v>
      </c>
      <c r="AC1316">
        <v>7</v>
      </c>
      <c r="AD1316">
        <f>IF(HR_Data[[#This Row],[Attrition]]="Yes",1,0)</f>
        <v>0</v>
      </c>
      <c r="AE1316" t="str">
        <f>IF(HR_Data[[#This Row],[Age]]&lt;=25,"18-25",IF(HR_Data[[#This Row],[Age]]&lt;=35,"26-35",IF(HR_Data[[#This Row],[Age]]&lt;=45,"36-45",IF(HR_Data[[#This Row],[Age]]&lt;=55,"46-55","55+"))))</f>
        <v>36-45</v>
      </c>
      <c r="AF1316">
        <f>IF(HR_Data[[#This Row],[Age]]&lt;=25,1,IF(HR_Data[[#This Row],[Age]]&lt;=35,2,IF(HR_Data[[#This Row],[Age]]&lt;=45,3,IF(HR_Data[[#This Row],[Age]]&lt;=55,4,5))))</f>
        <v>3</v>
      </c>
      <c r="AG1316" s="1" t="str">
        <f>IF(HR_Data[[#This Row],[MonthlyIncome]]&lt;3000,"&lt;3K",IF(HR_Data[[#This Row],[MonthlyIncome]]&lt;6000,"3K-6K",IF(HR_Data[[#This Row],[MonthlyIncome]]&lt;10000,"6K-10K","10K+")))</f>
        <v>3K-6K</v>
      </c>
      <c r="AH1316" s="1">
        <f>IF(HR_Data[[#This Row],[MonthlyIncome]]&lt;3000,1,IF(HR_Data[[#This Row],[MonthlyIncome]]&lt;6000,2,IF(HR_Data[[#This Row],[MonthlyIncome]]&lt;10000,3,4)))</f>
        <v>2</v>
      </c>
      <c r="AI1316" s="1" t="str">
        <f>IF(HR_Data[[#This Row],[YearsAtCompany]]&lt;=2,"0-2 Yrs",IF(HR_Data[[#This Row],[YearsAtCompany]]&lt;=5,"3-5 Yrs",IF(HR_Data[[#This Row],[YearsAtCompany]]&lt;=10,"6-10 Yrs","10+ Yrs")))</f>
        <v>6-10 Yrs</v>
      </c>
      <c r="AJ1316" s="1">
        <f>IF(HR_Data[[#This Row],[YearsAtCompany]]&lt;=2,1,IF(HR_Data[[#This Row],[YearsAtCompany]]&lt;=5,2,IF(HR_Data[[#This Row],[YearsAtCompany]]&lt;=10,3,4)))</f>
        <v>3</v>
      </c>
      <c r="AK1316" s="1" t="str">
        <f>CHOOSE(HR_Data[[#This Row],[Education]],"Below College","College","Bachelor","Master","Doctor")</f>
        <v>Master</v>
      </c>
      <c r="AL1316" s="1" t="str">
        <f>CHOOSE(HR_Data[[#This Row],[JobSatisfaction]],"Low","Medium","High","Very High")</f>
        <v>High</v>
      </c>
      <c r="AM1316" s="1" t="str">
        <f>CHOOSE(HR_Data[[#This Row],[EnvironmentSatisfaction]],"Low","Medium","High","Very High")</f>
        <v>High</v>
      </c>
      <c r="AN1316" s="1" t="str">
        <f>CHOOSE(HR_Data[[#This Row],[WorkLifeBalance]],"Bad","Good","Better","Best")</f>
        <v>Best</v>
      </c>
      <c r="AO1316" s="1" t="str">
        <f>IF(HR_Data[[#This Row],[PercentSalaryHike]]&lt;=13,"11-13%",IF(HR_Data[[#This Row],[PercentSalaryHike]]&lt;=16,"14-16%",IF(HR_Data[[#This Row],[PercentSalaryHike]]&lt;=19,"17-19%","20-25%")))</f>
        <v>20-25%</v>
      </c>
      <c r="AP1316" s="1">
        <f>IF(HR_Data[[#This Row],[PercentSalaryHike]]&lt;=13,1,IF(HR_Data[[#This Row],[PercentSalaryHike]]&lt;=16,2,IF(HR_Data[[#This Row],[PercentSalaryHike]]&lt;=19,3,4)))</f>
        <v>4</v>
      </c>
      <c r="AQ1316" s="1" t="str">
        <f>IF(HR_Data[[#This Row],[DistanceFromHome]]&lt;=5,"1 to 5",IF(HR_Data[[#This Row],[DistanceFromHome]]&lt;=10,"6 to 10",IF(HR_Data[[#This Row],[DistanceFromHome]]&lt;=20,"11 to 20","21 to 29")))</f>
        <v>1 to 5</v>
      </c>
      <c r="AR1316" s="1">
        <f>IF(HR_Data[[#This Row],[DistanceFromHome]]&lt;=5,1,IF(HR_Data[[#This Row],[DistanceFromHome]]&lt;=10,2,IF(HR_Data[[#This Row],[DistanceFromHome]]&lt;=20,3,4)))</f>
        <v>1</v>
      </c>
      <c r="AS1316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316" s="1">
        <f>IF(HR_Data[[#This Row],[TotalWorkingYears]]&lt;=5,1,IF(HR_Data[[#This Row],[TotalWorkingYears]]&lt;=10,2,IF(HR_Data[[#This Row],[TotalWorkingYears]]&lt;=20,3,4)))</f>
        <v>2</v>
      </c>
    </row>
    <row r="1317" spans="1:46" x14ac:dyDescent="0.25">
      <c r="A1317">
        <v>36</v>
      </c>
      <c r="B1317" t="s">
        <v>36</v>
      </c>
      <c r="C1317" t="s">
        <v>30</v>
      </c>
      <c r="D1317" t="s">
        <v>38</v>
      </c>
      <c r="E1317">
        <v>2</v>
      </c>
      <c r="F1317">
        <v>4</v>
      </c>
      <c r="G1317" t="s">
        <v>42</v>
      </c>
      <c r="H1317">
        <v>1847</v>
      </c>
      <c r="I1317">
        <v>4</v>
      </c>
      <c r="J1317" t="s">
        <v>33</v>
      </c>
      <c r="K1317">
        <v>3</v>
      </c>
      <c r="L1317">
        <v>2</v>
      </c>
      <c r="M1317" t="s">
        <v>40</v>
      </c>
      <c r="N1317">
        <v>2</v>
      </c>
      <c r="O1317" t="s">
        <v>41</v>
      </c>
      <c r="P1317">
        <v>6962</v>
      </c>
      <c r="Q1317">
        <v>4</v>
      </c>
      <c r="R1317" t="s">
        <v>29</v>
      </c>
      <c r="S1317">
        <v>22</v>
      </c>
      <c r="T1317">
        <v>4</v>
      </c>
      <c r="U1317">
        <v>4</v>
      </c>
      <c r="V1317">
        <v>1</v>
      </c>
      <c r="W1317">
        <v>15</v>
      </c>
      <c r="X1317">
        <v>2</v>
      </c>
      <c r="Y1317">
        <v>3</v>
      </c>
      <c r="Z1317">
        <v>1</v>
      </c>
      <c r="AA1317">
        <v>0</v>
      </c>
      <c r="AB1317">
        <v>0</v>
      </c>
      <c r="AC1317">
        <v>0</v>
      </c>
      <c r="AD1317">
        <f>IF(HR_Data[[#This Row],[Attrition]]="Yes",1,0)</f>
        <v>0</v>
      </c>
      <c r="AE1317" t="str">
        <f>IF(HR_Data[[#This Row],[Age]]&lt;=25,"18-25",IF(HR_Data[[#This Row],[Age]]&lt;=35,"26-35",IF(HR_Data[[#This Row],[Age]]&lt;=45,"36-45",IF(HR_Data[[#This Row],[Age]]&lt;=55,"46-55","55+"))))</f>
        <v>36-45</v>
      </c>
      <c r="AF1317">
        <f>IF(HR_Data[[#This Row],[Age]]&lt;=25,1,IF(HR_Data[[#This Row],[Age]]&lt;=35,2,IF(HR_Data[[#This Row],[Age]]&lt;=45,3,IF(HR_Data[[#This Row],[Age]]&lt;=55,4,5))))</f>
        <v>3</v>
      </c>
      <c r="AG1317" s="1" t="str">
        <f>IF(HR_Data[[#This Row],[MonthlyIncome]]&lt;3000,"&lt;3K",IF(HR_Data[[#This Row],[MonthlyIncome]]&lt;6000,"3K-6K",IF(HR_Data[[#This Row],[MonthlyIncome]]&lt;10000,"6K-10K","10K+")))</f>
        <v>6K-10K</v>
      </c>
      <c r="AH1317" s="1">
        <f>IF(HR_Data[[#This Row],[MonthlyIncome]]&lt;3000,1,IF(HR_Data[[#This Row],[MonthlyIncome]]&lt;6000,2,IF(HR_Data[[#This Row],[MonthlyIncome]]&lt;10000,3,4)))</f>
        <v>3</v>
      </c>
      <c r="AI1317" s="1" t="str">
        <f>IF(HR_Data[[#This Row],[YearsAtCompany]]&lt;=2,"0-2 Yrs",IF(HR_Data[[#This Row],[YearsAtCompany]]&lt;=5,"3-5 Yrs",IF(HR_Data[[#This Row],[YearsAtCompany]]&lt;=10,"6-10 Yrs","10+ Yrs")))</f>
        <v>0-2 Yrs</v>
      </c>
      <c r="AJ1317" s="1">
        <f>IF(HR_Data[[#This Row],[YearsAtCompany]]&lt;=2,1,IF(HR_Data[[#This Row],[YearsAtCompany]]&lt;=5,2,IF(HR_Data[[#This Row],[YearsAtCompany]]&lt;=10,3,4)))</f>
        <v>1</v>
      </c>
      <c r="AK1317" s="1" t="str">
        <f>CHOOSE(HR_Data[[#This Row],[Education]],"Below College","College","Bachelor","Master","Doctor")</f>
        <v>Master</v>
      </c>
      <c r="AL1317" s="1" t="str">
        <f>CHOOSE(HR_Data[[#This Row],[JobSatisfaction]],"Low","Medium","High","Very High")</f>
        <v>Medium</v>
      </c>
      <c r="AM1317" s="1" t="str">
        <f>CHOOSE(HR_Data[[#This Row],[EnvironmentSatisfaction]],"Low","Medium","High","Very High")</f>
        <v>Very High</v>
      </c>
      <c r="AN1317" s="1" t="str">
        <f>CHOOSE(HR_Data[[#This Row],[WorkLifeBalance]],"Bad","Good","Better","Best")</f>
        <v>Better</v>
      </c>
      <c r="AO1317" s="1" t="str">
        <f>IF(HR_Data[[#This Row],[PercentSalaryHike]]&lt;=13,"11-13%",IF(HR_Data[[#This Row],[PercentSalaryHike]]&lt;=16,"14-16%",IF(HR_Data[[#This Row],[PercentSalaryHike]]&lt;=19,"17-19%","20-25%")))</f>
        <v>20-25%</v>
      </c>
      <c r="AP1317" s="1">
        <f>IF(HR_Data[[#This Row],[PercentSalaryHike]]&lt;=13,1,IF(HR_Data[[#This Row],[PercentSalaryHike]]&lt;=16,2,IF(HR_Data[[#This Row],[PercentSalaryHike]]&lt;=19,3,4)))</f>
        <v>4</v>
      </c>
      <c r="AQ1317" s="1" t="str">
        <f>IF(HR_Data[[#This Row],[DistanceFromHome]]&lt;=5,"1 to 5",IF(HR_Data[[#This Row],[DistanceFromHome]]&lt;=10,"6 to 10",IF(HR_Data[[#This Row],[DistanceFromHome]]&lt;=20,"11 to 20","21 to 29")))</f>
        <v>1 to 5</v>
      </c>
      <c r="AR1317" s="1">
        <f>IF(HR_Data[[#This Row],[DistanceFromHome]]&lt;=5,1,IF(HR_Data[[#This Row],[DistanceFromHome]]&lt;=10,2,IF(HR_Data[[#This Row],[DistanceFromHome]]&lt;=20,3,4)))</f>
        <v>1</v>
      </c>
      <c r="AS1317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317" s="1">
        <f>IF(HR_Data[[#This Row],[TotalWorkingYears]]&lt;=5,1,IF(HR_Data[[#This Row],[TotalWorkingYears]]&lt;=10,2,IF(HR_Data[[#This Row],[TotalWorkingYears]]&lt;=20,3,4)))</f>
        <v>3</v>
      </c>
    </row>
    <row r="1318" spans="1:46" x14ac:dyDescent="0.25">
      <c r="A1318">
        <v>43</v>
      </c>
      <c r="B1318" t="s">
        <v>36</v>
      </c>
      <c r="C1318" t="s">
        <v>37</v>
      </c>
      <c r="D1318" t="s">
        <v>31</v>
      </c>
      <c r="E1318">
        <v>2</v>
      </c>
      <c r="F1318">
        <v>4</v>
      </c>
      <c r="G1318" t="s">
        <v>32</v>
      </c>
      <c r="H1318">
        <v>1849</v>
      </c>
      <c r="I1318">
        <v>1</v>
      </c>
      <c r="J1318" t="s">
        <v>39</v>
      </c>
      <c r="K1318">
        <v>3</v>
      </c>
      <c r="L1318">
        <v>2</v>
      </c>
      <c r="M1318" t="s">
        <v>34</v>
      </c>
      <c r="N1318">
        <v>4</v>
      </c>
      <c r="O1318" t="s">
        <v>41</v>
      </c>
      <c r="P1318">
        <v>5675</v>
      </c>
      <c r="Q1318">
        <v>1</v>
      </c>
      <c r="R1318" t="s">
        <v>36</v>
      </c>
      <c r="S1318">
        <v>20</v>
      </c>
      <c r="T1318">
        <v>4</v>
      </c>
      <c r="U1318">
        <v>3</v>
      </c>
      <c r="V1318">
        <v>1</v>
      </c>
      <c r="W1318">
        <v>7</v>
      </c>
      <c r="X1318">
        <v>5</v>
      </c>
      <c r="Y1318">
        <v>3</v>
      </c>
      <c r="Z1318">
        <v>7</v>
      </c>
      <c r="AA1318">
        <v>7</v>
      </c>
      <c r="AB1318">
        <v>7</v>
      </c>
      <c r="AC1318">
        <v>7</v>
      </c>
      <c r="AD1318">
        <f>IF(HR_Data[[#This Row],[Attrition]]="Yes",1,0)</f>
        <v>0</v>
      </c>
      <c r="AE1318" t="str">
        <f>IF(HR_Data[[#This Row],[Age]]&lt;=25,"18-25",IF(HR_Data[[#This Row],[Age]]&lt;=35,"26-35",IF(HR_Data[[#This Row],[Age]]&lt;=45,"36-45",IF(HR_Data[[#This Row],[Age]]&lt;=55,"46-55","55+"))))</f>
        <v>36-45</v>
      </c>
      <c r="AF1318">
        <f>IF(HR_Data[[#This Row],[Age]]&lt;=25,1,IF(HR_Data[[#This Row],[Age]]&lt;=35,2,IF(HR_Data[[#This Row],[Age]]&lt;=45,3,IF(HR_Data[[#This Row],[Age]]&lt;=55,4,5))))</f>
        <v>3</v>
      </c>
      <c r="AG1318" s="1" t="str">
        <f>IF(HR_Data[[#This Row],[MonthlyIncome]]&lt;3000,"&lt;3K",IF(HR_Data[[#This Row],[MonthlyIncome]]&lt;6000,"3K-6K",IF(HR_Data[[#This Row],[MonthlyIncome]]&lt;10000,"6K-10K","10K+")))</f>
        <v>3K-6K</v>
      </c>
      <c r="AH1318" s="1">
        <f>IF(HR_Data[[#This Row],[MonthlyIncome]]&lt;3000,1,IF(HR_Data[[#This Row],[MonthlyIncome]]&lt;6000,2,IF(HR_Data[[#This Row],[MonthlyIncome]]&lt;10000,3,4)))</f>
        <v>2</v>
      </c>
      <c r="AI1318" s="1" t="str">
        <f>IF(HR_Data[[#This Row],[YearsAtCompany]]&lt;=2,"0-2 Yrs",IF(HR_Data[[#This Row],[YearsAtCompany]]&lt;=5,"3-5 Yrs",IF(HR_Data[[#This Row],[YearsAtCompany]]&lt;=10,"6-10 Yrs","10+ Yrs")))</f>
        <v>6-10 Yrs</v>
      </c>
      <c r="AJ1318" s="1">
        <f>IF(HR_Data[[#This Row],[YearsAtCompany]]&lt;=2,1,IF(HR_Data[[#This Row],[YearsAtCompany]]&lt;=5,2,IF(HR_Data[[#This Row],[YearsAtCompany]]&lt;=10,3,4)))</f>
        <v>3</v>
      </c>
      <c r="AK1318" s="1" t="str">
        <f>CHOOSE(HR_Data[[#This Row],[Education]],"Below College","College","Bachelor","Master","Doctor")</f>
        <v>Master</v>
      </c>
      <c r="AL1318" s="1" t="str">
        <f>CHOOSE(HR_Data[[#This Row],[JobSatisfaction]],"Low","Medium","High","Very High")</f>
        <v>Very High</v>
      </c>
      <c r="AM1318" s="1" t="str">
        <f>CHOOSE(HR_Data[[#This Row],[EnvironmentSatisfaction]],"Low","Medium","High","Very High")</f>
        <v>Low</v>
      </c>
      <c r="AN1318" s="1" t="str">
        <f>CHOOSE(HR_Data[[#This Row],[WorkLifeBalance]],"Bad","Good","Better","Best")</f>
        <v>Better</v>
      </c>
      <c r="AO1318" s="1" t="str">
        <f>IF(HR_Data[[#This Row],[PercentSalaryHike]]&lt;=13,"11-13%",IF(HR_Data[[#This Row],[PercentSalaryHike]]&lt;=16,"14-16%",IF(HR_Data[[#This Row],[PercentSalaryHike]]&lt;=19,"17-19%","20-25%")))</f>
        <v>20-25%</v>
      </c>
      <c r="AP1318" s="1">
        <f>IF(HR_Data[[#This Row],[PercentSalaryHike]]&lt;=13,1,IF(HR_Data[[#This Row],[PercentSalaryHike]]&lt;=16,2,IF(HR_Data[[#This Row],[PercentSalaryHike]]&lt;=19,3,4)))</f>
        <v>4</v>
      </c>
      <c r="AQ1318" s="1" t="str">
        <f>IF(HR_Data[[#This Row],[DistanceFromHome]]&lt;=5,"1 to 5",IF(HR_Data[[#This Row],[DistanceFromHome]]&lt;=10,"6 to 10",IF(HR_Data[[#This Row],[DistanceFromHome]]&lt;=20,"11 to 20","21 to 29")))</f>
        <v>1 to 5</v>
      </c>
      <c r="AR1318" s="1">
        <f>IF(HR_Data[[#This Row],[DistanceFromHome]]&lt;=5,1,IF(HR_Data[[#This Row],[DistanceFromHome]]&lt;=10,2,IF(HR_Data[[#This Row],[DistanceFromHome]]&lt;=20,3,4)))</f>
        <v>1</v>
      </c>
      <c r="AS1318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318" s="1">
        <f>IF(HR_Data[[#This Row],[TotalWorkingYears]]&lt;=5,1,IF(HR_Data[[#This Row],[TotalWorkingYears]]&lt;=10,2,IF(HR_Data[[#This Row],[TotalWorkingYears]]&lt;=20,3,4)))</f>
        <v>2</v>
      </c>
    </row>
    <row r="1319" spans="1:46" x14ac:dyDescent="0.25">
      <c r="A1319">
        <v>27</v>
      </c>
      <c r="B1319" t="s">
        <v>36</v>
      </c>
      <c r="C1319" t="s">
        <v>37</v>
      </c>
      <c r="D1319" t="s">
        <v>38</v>
      </c>
      <c r="E1319">
        <v>5</v>
      </c>
      <c r="F1319">
        <v>2</v>
      </c>
      <c r="G1319" t="s">
        <v>32</v>
      </c>
      <c r="H1319">
        <v>1850</v>
      </c>
      <c r="I1319">
        <v>4</v>
      </c>
      <c r="J1319" t="s">
        <v>33</v>
      </c>
      <c r="K1319">
        <v>3</v>
      </c>
      <c r="L1319">
        <v>1</v>
      </c>
      <c r="M1319" t="s">
        <v>43</v>
      </c>
      <c r="N1319">
        <v>4</v>
      </c>
      <c r="O1319" t="s">
        <v>35</v>
      </c>
      <c r="P1319">
        <v>2379</v>
      </c>
      <c r="Q1319">
        <v>0</v>
      </c>
      <c r="R1319" t="s">
        <v>29</v>
      </c>
      <c r="S1319">
        <v>14</v>
      </c>
      <c r="T1319">
        <v>3</v>
      </c>
      <c r="U1319">
        <v>3</v>
      </c>
      <c r="V1319">
        <v>0</v>
      </c>
      <c r="W1319">
        <v>6</v>
      </c>
      <c r="X1319">
        <v>3</v>
      </c>
      <c r="Y1319">
        <v>2</v>
      </c>
      <c r="Z1319">
        <v>5</v>
      </c>
      <c r="AA1319">
        <v>4</v>
      </c>
      <c r="AB1319">
        <v>0</v>
      </c>
      <c r="AC1319">
        <v>2</v>
      </c>
      <c r="AD1319">
        <f>IF(HR_Data[[#This Row],[Attrition]]="Yes",1,0)</f>
        <v>0</v>
      </c>
      <c r="AE1319" t="str">
        <f>IF(HR_Data[[#This Row],[Age]]&lt;=25,"18-25",IF(HR_Data[[#This Row],[Age]]&lt;=35,"26-35",IF(HR_Data[[#This Row],[Age]]&lt;=45,"36-45",IF(HR_Data[[#This Row],[Age]]&lt;=55,"46-55","55+"))))</f>
        <v>26-35</v>
      </c>
      <c r="AF1319">
        <f>IF(HR_Data[[#This Row],[Age]]&lt;=25,1,IF(HR_Data[[#This Row],[Age]]&lt;=35,2,IF(HR_Data[[#This Row],[Age]]&lt;=45,3,IF(HR_Data[[#This Row],[Age]]&lt;=55,4,5))))</f>
        <v>2</v>
      </c>
      <c r="AG1319" s="1" t="str">
        <f>IF(HR_Data[[#This Row],[MonthlyIncome]]&lt;3000,"&lt;3K",IF(HR_Data[[#This Row],[MonthlyIncome]]&lt;6000,"3K-6K",IF(HR_Data[[#This Row],[MonthlyIncome]]&lt;10000,"6K-10K","10K+")))</f>
        <v>&lt;3K</v>
      </c>
      <c r="AH1319" s="1">
        <f>IF(HR_Data[[#This Row],[MonthlyIncome]]&lt;3000,1,IF(HR_Data[[#This Row],[MonthlyIncome]]&lt;6000,2,IF(HR_Data[[#This Row],[MonthlyIncome]]&lt;10000,3,4)))</f>
        <v>1</v>
      </c>
      <c r="AI1319" s="1" t="str">
        <f>IF(HR_Data[[#This Row],[YearsAtCompany]]&lt;=2,"0-2 Yrs",IF(HR_Data[[#This Row],[YearsAtCompany]]&lt;=5,"3-5 Yrs",IF(HR_Data[[#This Row],[YearsAtCompany]]&lt;=10,"6-10 Yrs","10+ Yrs")))</f>
        <v>3-5 Yrs</v>
      </c>
      <c r="AJ1319" s="1">
        <f>IF(HR_Data[[#This Row],[YearsAtCompany]]&lt;=2,1,IF(HR_Data[[#This Row],[YearsAtCompany]]&lt;=5,2,IF(HR_Data[[#This Row],[YearsAtCompany]]&lt;=10,3,4)))</f>
        <v>2</v>
      </c>
      <c r="AK1319" s="1" t="str">
        <f>CHOOSE(HR_Data[[#This Row],[Education]],"Below College","College","Bachelor","Master","Doctor")</f>
        <v>College</v>
      </c>
      <c r="AL1319" s="1" t="str">
        <f>CHOOSE(HR_Data[[#This Row],[JobSatisfaction]],"Low","Medium","High","Very High")</f>
        <v>Very High</v>
      </c>
      <c r="AM1319" s="1" t="str">
        <f>CHOOSE(HR_Data[[#This Row],[EnvironmentSatisfaction]],"Low","Medium","High","Very High")</f>
        <v>Very High</v>
      </c>
      <c r="AN1319" s="1" t="str">
        <f>CHOOSE(HR_Data[[#This Row],[WorkLifeBalance]],"Bad","Good","Better","Best")</f>
        <v>Good</v>
      </c>
      <c r="AO1319" s="1" t="str">
        <f>IF(HR_Data[[#This Row],[PercentSalaryHike]]&lt;=13,"11-13%",IF(HR_Data[[#This Row],[PercentSalaryHike]]&lt;=16,"14-16%",IF(HR_Data[[#This Row],[PercentSalaryHike]]&lt;=19,"17-19%","20-25%")))</f>
        <v>14-16%</v>
      </c>
      <c r="AP1319" s="1">
        <f>IF(HR_Data[[#This Row],[PercentSalaryHike]]&lt;=13,1,IF(HR_Data[[#This Row],[PercentSalaryHike]]&lt;=16,2,IF(HR_Data[[#This Row],[PercentSalaryHike]]&lt;=19,3,4)))</f>
        <v>2</v>
      </c>
      <c r="AQ1319" s="1" t="str">
        <f>IF(HR_Data[[#This Row],[DistanceFromHome]]&lt;=5,"1 to 5",IF(HR_Data[[#This Row],[DistanceFromHome]]&lt;=10,"6 to 10",IF(HR_Data[[#This Row],[DistanceFromHome]]&lt;=20,"11 to 20","21 to 29")))</f>
        <v>1 to 5</v>
      </c>
      <c r="AR1319" s="1">
        <f>IF(HR_Data[[#This Row],[DistanceFromHome]]&lt;=5,1,IF(HR_Data[[#This Row],[DistanceFromHome]]&lt;=10,2,IF(HR_Data[[#This Row],[DistanceFromHome]]&lt;=20,3,4)))</f>
        <v>1</v>
      </c>
      <c r="AS1319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319" s="1">
        <f>IF(HR_Data[[#This Row],[TotalWorkingYears]]&lt;=5,1,IF(HR_Data[[#This Row],[TotalWorkingYears]]&lt;=10,2,IF(HR_Data[[#This Row],[TotalWorkingYears]]&lt;=20,3,4)))</f>
        <v>2</v>
      </c>
    </row>
    <row r="1320" spans="1:46" x14ac:dyDescent="0.25">
      <c r="A1320">
        <v>29</v>
      </c>
      <c r="B1320" t="s">
        <v>36</v>
      </c>
      <c r="C1320" t="s">
        <v>37</v>
      </c>
      <c r="D1320" t="s">
        <v>38</v>
      </c>
      <c r="E1320">
        <v>20</v>
      </c>
      <c r="F1320">
        <v>1</v>
      </c>
      <c r="G1320" t="s">
        <v>44</v>
      </c>
      <c r="H1320">
        <v>1852</v>
      </c>
      <c r="I1320">
        <v>4</v>
      </c>
      <c r="J1320" t="s">
        <v>39</v>
      </c>
      <c r="K1320">
        <v>3</v>
      </c>
      <c r="L1320">
        <v>1</v>
      </c>
      <c r="M1320" t="s">
        <v>43</v>
      </c>
      <c r="N1320">
        <v>4</v>
      </c>
      <c r="O1320" t="s">
        <v>41</v>
      </c>
      <c r="P1320">
        <v>3812</v>
      </c>
      <c r="Q1320">
        <v>1</v>
      </c>
      <c r="R1320" t="s">
        <v>36</v>
      </c>
      <c r="S1320">
        <v>13</v>
      </c>
      <c r="T1320">
        <v>3</v>
      </c>
      <c r="U1320">
        <v>2</v>
      </c>
      <c r="V1320">
        <v>0</v>
      </c>
      <c r="W1320">
        <v>11</v>
      </c>
      <c r="X1320">
        <v>3</v>
      </c>
      <c r="Y1320">
        <v>4</v>
      </c>
      <c r="Z1320">
        <v>11</v>
      </c>
      <c r="AA1320">
        <v>8</v>
      </c>
      <c r="AB1320">
        <v>3</v>
      </c>
      <c r="AC1320">
        <v>10</v>
      </c>
      <c r="AD1320">
        <f>IF(HR_Data[[#This Row],[Attrition]]="Yes",1,0)</f>
        <v>0</v>
      </c>
      <c r="AE1320" t="str">
        <f>IF(HR_Data[[#This Row],[Age]]&lt;=25,"18-25",IF(HR_Data[[#This Row],[Age]]&lt;=35,"26-35",IF(HR_Data[[#This Row],[Age]]&lt;=45,"36-45",IF(HR_Data[[#This Row],[Age]]&lt;=55,"46-55","55+"))))</f>
        <v>26-35</v>
      </c>
      <c r="AF1320">
        <f>IF(HR_Data[[#This Row],[Age]]&lt;=25,1,IF(HR_Data[[#This Row],[Age]]&lt;=35,2,IF(HR_Data[[#This Row],[Age]]&lt;=45,3,IF(HR_Data[[#This Row],[Age]]&lt;=55,4,5))))</f>
        <v>2</v>
      </c>
      <c r="AG1320" s="1" t="str">
        <f>IF(HR_Data[[#This Row],[MonthlyIncome]]&lt;3000,"&lt;3K",IF(HR_Data[[#This Row],[MonthlyIncome]]&lt;6000,"3K-6K",IF(HR_Data[[#This Row],[MonthlyIncome]]&lt;10000,"6K-10K","10K+")))</f>
        <v>3K-6K</v>
      </c>
      <c r="AH1320" s="1">
        <f>IF(HR_Data[[#This Row],[MonthlyIncome]]&lt;3000,1,IF(HR_Data[[#This Row],[MonthlyIncome]]&lt;6000,2,IF(HR_Data[[#This Row],[MonthlyIncome]]&lt;10000,3,4)))</f>
        <v>2</v>
      </c>
      <c r="AI1320" s="1" t="str">
        <f>IF(HR_Data[[#This Row],[YearsAtCompany]]&lt;=2,"0-2 Yrs",IF(HR_Data[[#This Row],[YearsAtCompany]]&lt;=5,"3-5 Yrs",IF(HR_Data[[#This Row],[YearsAtCompany]]&lt;=10,"6-10 Yrs","10+ Yrs")))</f>
        <v>10+ Yrs</v>
      </c>
      <c r="AJ1320" s="1">
        <f>IF(HR_Data[[#This Row],[YearsAtCompany]]&lt;=2,1,IF(HR_Data[[#This Row],[YearsAtCompany]]&lt;=5,2,IF(HR_Data[[#This Row],[YearsAtCompany]]&lt;=10,3,4)))</f>
        <v>4</v>
      </c>
      <c r="AK1320" s="1" t="str">
        <f>CHOOSE(HR_Data[[#This Row],[Education]],"Below College","College","Bachelor","Master","Doctor")</f>
        <v>Below College</v>
      </c>
      <c r="AL1320" s="1" t="str">
        <f>CHOOSE(HR_Data[[#This Row],[JobSatisfaction]],"Low","Medium","High","Very High")</f>
        <v>Very High</v>
      </c>
      <c r="AM1320" s="1" t="str">
        <f>CHOOSE(HR_Data[[#This Row],[EnvironmentSatisfaction]],"Low","Medium","High","Very High")</f>
        <v>Very High</v>
      </c>
      <c r="AN1320" s="1" t="str">
        <f>CHOOSE(HR_Data[[#This Row],[WorkLifeBalance]],"Bad","Good","Better","Best")</f>
        <v>Best</v>
      </c>
      <c r="AO1320" s="1" t="str">
        <f>IF(HR_Data[[#This Row],[PercentSalaryHike]]&lt;=13,"11-13%",IF(HR_Data[[#This Row],[PercentSalaryHike]]&lt;=16,"14-16%",IF(HR_Data[[#This Row],[PercentSalaryHike]]&lt;=19,"17-19%","20-25%")))</f>
        <v>11-13%</v>
      </c>
      <c r="AP1320" s="1">
        <f>IF(HR_Data[[#This Row],[PercentSalaryHike]]&lt;=13,1,IF(HR_Data[[#This Row],[PercentSalaryHike]]&lt;=16,2,IF(HR_Data[[#This Row],[PercentSalaryHike]]&lt;=19,3,4)))</f>
        <v>1</v>
      </c>
      <c r="AQ1320" s="1" t="str">
        <f>IF(HR_Data[[#This Row],[DistanceFromHome]]&lt;=5,"1 to 5",IF(HR_Data[[#This Row],[DistanceFromHome]]&lt;=10,"6 to 10",IF(HR_Data[[#This Row],[DistanceFromHome]]&lt;=20,"11 to 20","21 to 29")))</f>
        <v>11 to 20</v>
      </c>
      <c r="AR1320" s="1">
        <f>IF(HR_Data[[#This Row],[DistanceFromHome]]&lt;=5,1,IF(HR_Data[[#This Row],[DistanceFromHome]]&lt;=10,2,IF(HR_Data[[#This Row],[DistanceFromHome]]&lt;=20,3,4)))</f>
        <v>3</v>
      </c>
      <c r="AS1320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320" s="1">
        <f>IF(HR_Data[[#This Row],[TotalWorkingYears]]&lt;=5,1,IF(HR_Data[[#This Row],[TotalWorkingYears]]&lt;=10,2,IF(HR_Data[[#This Row],[TotalWorkingYears]]&lt;=20,3,4)))</f>
        <v>3</v>
      </c>
    </row>
    <row r="1321" spans="1:46" x14ac:dyDescent="0.25">
      <c r="A1321">
        <v>32</v>
      </c>
      <c r="B1321" t="s">
        <v>36</v>
      </c>
      <c r="C1321" t="s">
        <v>37</v>
      </c>
      <c r="D1321" t="s">
        <v>31</v>
      </c>
      <c r="E1321">
        <v>10</v>
      </c>
      <c r="F1321">
        <v>4</v>
      </c>
      <c r="G1321" t="s">
        <v>52</v>
      </c>
      <c r="H1321">
        <v>1853</v>
      </c>
      <c r="I1321">
        <v>4</v>
      </c>
      <c r="J1321" t="s">
        <v>39</v>
      </c>
      <c r="K1321">
        <v>3</v>
      </c>
      <c r="L1321">
        <v>2</v>
      </c>
      <c r="M1321" t="s">
        <v>34</v>
      </c>
      <c r="N1321">
        <v>4</v>
      </c>
      <c r="O1321" t="s">
        <v>35</v>
      </c>
      <c r="P1321">
        <v>4648</v>
      </c>
      <c r="Q1321">
        <v>8</v>
      </c>
      <c r="R1321" t="s">
        <v>36</v>
      </c>
      <c r="S1321">
        <v>13</v>
      </c>
      <c r="T1321">
        <v>3</v>
      </c>
      <c r="U1321">
        <v>3</v>
      </c>
      <c r="V1321">
        <v>0</v>
      </c>
      <c r="W1321">
        <v>4</v>
      </c>
      <c r="X1321">
        <v>2</v>
      </c>
      <c r="Y1321">
        <v>4</v>
      </c>
      <c r="Z1321">
        <v>0</v>
      </c>
      <c r="AA1321">
        <v>0</v>
      </c>
      <c r="AB1321">
        <v>0</v>
      </c>
      <c r="AC1321">
        <v>0</v>
      </c>
      <c r="AD1321">
        <f>IF(HR_Data[[#This Row],[Attrition]]="Yes",1,0)</f>
        <v>0</v>
      </c>
      <c r="AE1321" t="str">
        <f>IF(HR_Data[[#This Row],[Age]]&lt;=25,"18-25",IF(HR_Data[[#This Row],[Age]]&lt;=35,"26-35",IF(HR_Data[[#This Row],[Age]]&lt;=45,"36-45",IF(HR_Data[[#This Row],[Age]]&lt;=55,"46-55","55+"))))</f>
        <v>26-35</v>
      </c>
      <c r="AF1321">
        <f>IF(HR_Data[[#This Row],[Age]]&lt;=25,1,IF(HR_Data[[#This Row],[Age]]&lt;=35,2,IF(HR_Data[[#This Row],[Age]]&lt;=45,3,IF(HR_Data[[#This Row],[Age]]&lt;=55,4,5))))</f>
        <v>2</v>
      </c>
      <c r="AG1321" s="1" t="str">
        <f>IF(HR_Data[[#This Row],[MonthlyIncome]]&lt;3000,"&lt;3K",IF(HR_Data[[#This Row],[MonthlyIncome]]&lt;6000,"3K-6K",IF(HR_Data[[#This Row],[MonthlyIncome]]&lt;10000,"6K-10K","10K+")))</f>
        <v>3K-6K</v>
      </c>
      <c r="AH1321" s="1">
        <f>IF(HR_Data[[#This Row],[MonthlyIncome]]&lt;3000,1,IF(HR_Data[[#This Row],[MonthlyIncome]]&lt;6000,2,IF(HR_Data[[#This Row],[MonthlyIncome]]&lt;10000,3,4)))</f>
        <v>2</v>
      </c>
      <c r="AI1321" s="1" t="str">
        <f>IF(HR_Data[[#This Row],[YearsAtCompany]]&lt;=2,"0-2 Yrs",IF(HR_Data[[#This Row],[YearsAtCompany]]&lt;=5,"3-5 Yrs",IF(HR_Data[[#This Row],[YearsAtCompany]]&lt;=10,"6-10 Yrs","10+ Yrs")))</f>
        <v>0-2 Yrs</v>
      </c>
      <c r="AJ1321" s="1">
        <f>IF(HR_Data[[#This Row],[YearsAtCompany]]&lt;=2,1,IF(HR_Data[[#This Row],[YearsAtCompany]]&lt;=5,2,IF(HR_Data[[#This Row],[YearsAtCompany]]&lt;=10,3,4)))</f>
        <v>1</v>
      </c>
      <c r="AK1321" s="1" t="str">
        <f>CHOOSE(HR_Data[[#This Row],[Education]],"Below College","College","Bachelor","Master","Doctor")</f>
        <v>Master</v>
      </c>
      <c r="AL1321" s="1" t="str">
        <f>CHOOSE(HR_Data[[#This Row],[JobSatisfaction]],"Low","Medium","High","Very High")</f>
        <v>Very High</v>
      </c>
      <c r="AM1321" s="1" t="str">
        <f>CHOOSE(HR_Data[[#This Row],[EnvironmentSatisfaction]],"Low","Medium","High","Very High")</f>
        <v>Very High</v>
      </c>
      <c r="AN1321" s="1" t="str">
        <f>CHOOSE(HR_Data[[#This Row],[WorkLifeBalance]],"Bad","Good","Better","Best")</f>
        <v>Best</v>
      </c>
      <c r="AO1321" s="1" t="str">
        <f>IF(HR_Data[[#This Row],[PercentSalaryHike]]&lt;=13,"11-13%",IF(HR_Data[[#This Row],[PercentSalaryHike]]&lt;=16,"14-16%",IF(HR_Data[[#This Row],[PercentSalaryHike]]&lt;=19,"17-19%","20-25%")))</f>
        <v>11-13%</v>
      </c>
      <c r="AP1321" s="1">
        <f>IF(HR_Data[[#This Row],[PercentSalaryHike]]&lt;=13,1,IF(HR_Data[[#This Row],[PercentSalaryHike]]&lt;=16,2,IF(HR_Data[[#This Row],[PercentSalaryHike]]&lt;=19,3,4)))</f>
        <v>1</v>
      </c>
      <c r="AQ1321" s="1" t="str">
        <f>IF(HR_Data[[#This Row],[DistanceFromHome]]&lt;=5,"1 to 5",IF(HR_Data[[#This Row],[DistanceFromHome]]&lt;=10,"6 to 10",IF(HR_Data[[#This Row],[DistanceFromHome]]&lt;=20,"11 to 20","21 to 29")))</f>
        <v>6 to 10</v>
      </c>
      <c r="AR1321" s="1">
        <f>IF(HR_Data[[#This Row],[DistanceFromHome]]&lt;=5,1,IF(HR_Data[[#This Row],[DistanceFromHome]]&lt;=10,2,IF(HR_Data[[#This Row],[DistanceFromHome]]&lt;=20,3,4)))</f>
        <v>2</v>
      </c>
      <c r="AS1321" s="1" t="str">
        <f>IF(HR_Data[[#This Row],[TotalWorkingYears]]&lt;=5,"0-5 Yrs",IF(HR_Data[[#This Row],[TotalWorkingYears]]&lt;=10,"6-10 Yrs",IF(HR_Data[[#This Row],[TotalWorkingYears]]&lt;=20,"11-20 Yrs","20+ Yrs")))</f>
        <v>0-5 Yrs</v>
      </c>
      <c r="AT1321" s="1">
        <f>IF(HR_Data[[#This Row],[TotalWorkingYears]]&lt;=5,1,IF(HR_Data[[#This Row],[TotalWorkingYears]]&lt;=10,2,IF(HR_Data[[#This Row],[TotalWorkingYears]]&lt;=20,3,4)))</f>
        <v>1</v>
      </c>
    </row>
    <row r="1322" spans="1:46" x14ac:dyDescent="0.25">
      <c r="A1322">
        <v>42</v>
      </c>
      <c r="B1322" t="s">
        <v>36</v>
      </c>
      <c r="C1322" t="s">
        <v>48</v>
      </c>
      <c r="D1322" t="s">
        <v>38</v>
      </c>
      <c r="E1322">
        <v>10</v>
      </c>
      <c r="F1322">
        <v>4</v>
      </c>
      <c r="G1322" t="s">
        <v>53</v>
      </c>
      <c r="H1322">
        <v>1854</v>
      </c>
      <c r="I1322">
        <v>3</v>
      </c>
      <c r="J1322" t="s">
        <v>39</v>
      </c>
      <c r="K1322">
        <v>3</v>
      </c>
      <c r="L1322">
        <v>1</v>
      </c>
      <c r="M1322" t="s">
        <v>40</v>
      </c>
      <c r="N1322">
        <v>3</v>
      </c>
      <c r="O1322" t="s">
        <v>41</v>
      </c>
      <c r="P1322">
        <v>2936</v>
      </c>
      <c r="Q1322">
        <v>3</v>
      </c>
      <c r="R1322" t="s">
        <v>36</v>
      </c>
      <c r="S1322">
        <v>22</v>
      </c>
      <c r="T1322">
        <v>4</v>
      </c>
      <c r="U1322">
        <v>2</v>
      </c>
      <c r="V1322">
        <v>2</v>
      </c>
      <c r="W1322">
        <v>10</v>
      </c>
      <c r="X1322">
        <v>1</v>
      </c>
      <c r="Y1322">
        <v>2</v>
      </c>
      <c r="Z1322">
        <v>6</v>
      </c>
      <c r="AA1322">
        <v>3</v>
      </c>
      <c r="AB1322">
        <v>3</v>
      </c>
      <c r="AC1322">
        <v>3</v>
      </c>
      <c r="AD1322">
        <f>IF(HR_Data[[#This Row],[Attrition]]="Yes",1,0)</f>
        <v>0</v>
      </c>
      <c r="AE1322" t="str">
        <f>IF(HR_Data[[#This Row],[Age]]&lt;=25,"18-25",IF(HR_Data[[#This Row],[Age]]&lt;=35,"26-35",IF(HR_Data[[#This Row],[Age]]&lt;=45,"36-45",IF(HR_Data[[#This Row],[Age]]&lt;=55,"46-55","55+"))))</f>
        <v>36-45</v>
      </c>
      <c r="AF1322">
        <f>IF(HR_Data[[#This Row],[Age]]&lt;=25,1,IF(HR_Data[[#This Row],[Age]]&lt;=35,2,IF(HR_Data[[#This Row],[Age]]&lt;=45,3,IF(HR_Data[[#This Row],[Age]]&lt;=55,4,5))))</f>
        <v>3</v>
      </c>
      <c r="AG1322" s="1" t="str">
        <f>IF(HR_Data[[#This Row],[MonthlyIncome]]&lt;3000,"&lt;3K",IF(HR_Data[[#This Row],[MonthlyIncome]]&lt;6000,"3K-6K",IF(HR_Data[[#This Row],[MonthlyIncome]]&lt;10000,"6K-10K","10K+")))</f>
        <v>&lt;3K</v>
      </c>
      <c r="AH1322" s="1">
        <f>IF(HR_Data[[#This Row],[MonthlyIncome]]&lt;3000,1,IF(HR_Data[[#This Row],[MonthlyIncome]]&lt;6000,2,IF(HR_Data[[#This Row],[MonthlyIncome]]&lt;10000,3,4)))</f>
        <v>1</v>
      </c>
      <c r="AI1322" s="1" t="str">
        <f>IF(HR_Data[[#This Row],[YearsAtCompany]]&lt;=2,"0-2 Yrs",IF(HR_Data[[#This Row],[YearsAtCompany]]&lt;=5,"3-5 Yrs",IF(HR_Data[[#This Row],[YearsAtCompany]]&lt;=10,"6-10 Yrs","10+ Yrs")))</f>
        <v>6-10 Yrs</v>
      </c>
      <c r="AJ1322" s="1">
        <f>IF(HR_Data[[#This Row],[YearsAtCompany]]&lt;=2,1,IF(HR_Data[[#This Row],[YearsAtCompany]]&lt;=5,2,IF(HR_Data[[#This Row],[YearsAtCompany]]&lt;=10,3,4)))</f>
        <v>3</v>
      </c>
      <c r="AK1322" s="1" t="str">
        <f>CHOOSE(HR_Data[[#This Row],[Education]],"Below College","College","Bachelor","Master","Doctor")</f>
        <v>Master</v>
      </c>
      <c r="AL1322" s="1" t="str">
        <f>CHOOSE(HR_Data[[#This Row],[JobSatisfaction]],"Low","Medium","High","Very High")</f>
        <v>High</v>
      </c>
      <c r="AM1322" s="1" t="str">
        <f>CHOOSE(HR_Data[[#This Row],[EnvironmentSatisfaction]],"Low","Medium","High","Very High")</f>
        <v>High</v>
      </c>
      <c r="AN1322" s="1" t="str">
        <f>CHOOSE(HR_Data[[#This Row],[WorkLifeBalance]],"Bad","Good","Better","Best")</f>
        <v>Good</v>
      </c>
      <c r="AO1322" s="1" t="str">
        <f>IF(HR_Data[[#This Row],[PercentSalaryHike]]&lt;=13,"11-13%",IF(HR_Data[[#This Row],[PercentSalaryHike]]&lt;=16,"14-16%",IF(HR_Data[[#This Row],[PercentSalaryHike]]&lt;=19,"17-19%","20-25%")))</f>
        <v>20-25%</v>
      </c>
      <c r="AP1322" s="1">
        <f>IF(HR_Data[[#This Row],[PercentSalaryHike]]&lt;=13,1,IF(HR_Data[[#This Row],[PercentSalaryHike]]&lt;=16,2,IF(HR_Data[[#This Row],[PercentSalaryHike]]&lt;=19,3,4)))</f>
        <v>4</v>
      </c>
      <c r="AQ1322" s="1" t="str">
        <f>IF(HR_Data[[#This Row],[DistanceFromHome]]&lt;=5,"1 to 5",IF(HR_Data[[#This Row],[DistanceFromHome]]&lt;=10,"6 to 10",IF(HR_Data[[#This Row],[DistanceFromHome]]&lt;=20,"11 to 20","21 to 29")))</f>
        <v>6 to 10</v>
      </c>
      <c r="AR1322" s="1">
        <f>IF(HR_Data[[#This Row],[DistanceFromHome]]&lt;=5,1,IF(HR_Data[[#This Row],[DistanceFromHome]]&lt;=10,2,IF(HR_Data[[#This Row],[DistanceFromHome]]&lt;=20,3,4)))</f>
        <v>2</v>
      </c>
      <c r="AS1322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322" s="1">
        <f>IF(HR_Data[[#This Row],[TotalWorkingYears]]&lt;=5,1,IF(HR_Data[[#This Row],[TotalWorkingYears]]&lt;=10,2,IF(HR_Data[[#This Row],[TotalWorkingYears]]&lt;=20,3,4)))</f>
        <v>2</v>
      </c>
    </row>
    <row r="1323" spans="1:46" x14ac:dyDescent="0.25">
      <c r="A1323">
        <v>47</v>
      </c>
      <c r="B1323" t="s">
        <v>36</v>
      </c>
      <c r="C1323" t="s">
        <v>30</v>
      </c>
      <c r="D1323" t="s">
        <v>38</v>
      </c>
      <c r="E1323">
        <v>9</v>
      </c>
      <c r="F1323">
        <v>4</v>
      </c>
      <c r="G1323" t="s">
        <v>32</v>
      </c>
      <c r="H1323">
        <v>1856</v>
      </c>
      <c r="I1323">
        <v>2</v>
      </c>
      <c r="J1323" t="s">
        <v>33</v>
      </c>
      <c r="K1323">
        <v>3</v>
      </c>
      <c r="L1323">
        <v>1</v>
      </c>
      <c r="M1323" t="s">
        <v>43</v>
      </c>
      <c r="N1323">
        <v>3</v>
      </c>
      <c r="O1323" t="s">
        <v>35</v>
      </c>
      <c r="P1323">
        <v>2105</v>
      </c>
      <c r="Q1323">
        <v>4</v>
      </c>
      <c r="R1323" t="s">
        <v>36</v>
      </c>
      <c r="S1323">
        <v>12</v>
      </c>
      <c r="T1323">
        <v>3</v>
      </c>
      <c r="U1323">
        <v>3</v>
      </c>
      <c r="V1323">
        <v>0</v>
      </c>
      <c r="W1323">
        <v>7</v>
      </c>
      <c r="X1323">
        <v>2</v>
      </c>
      <c r="Y1323">
        <v>3</v>
      </c>
      <c r="Z1323">
        <v>2</v>
      </c>
      <c r="AA1323">
        <v>2</v>
      </c>
      <c r="AB1323">
        <v>2</v>
      </c>
      <c r="AC1323">
        <v>0</v>
      </c>
      <c r="AD1323">
        <f>IF(HR_Data[[#This Row],[Attrition]]="Yes",1,0)</f>
        <v>0</v>
      </c>
      <c r="AE1323" t="str">
        <f>IF(HR_Data[[#This Row],[Age]]&lt;=25,"18-25",IF(HR_Data[[#This Row],[Age]]&lt;=35,"26-35",IF(HR_Data[[#This Row],[Age]]&lt;=45,"36-45",IF(HR_Data[[#This Row],[Age]]&lt;=55,"46-55","55+"))))</f>
        <v>46-55</v>
      </c>
      <c r="AF1323">
        <f>IF(HR_Data[[#This Row],[Age]]&lt;=25,1,IF(HR_Data[[#This Row],[Age]]&lt;=35,2,IF(HR_Data[[#This Row],[Age]]&lt;=45,3,IF(HR_Data[[#This Row],[Age]]&lt;=55,4,5))))</f>
        <v>4</v>
      </c>
      <c r="AG1323" s="1" t="str">
        <f>IF(HR_Data[[#This Row],[MonthlyIncome]]&lt;3000,"&lt;3K",IF(HR_Data[[#This Row],[MonthlyIncome]]&lt;6000,"3K-6K",IF(HR_Data[[#This Row],[MonthlyIncome]]&lt;10000,"6K-10K","10K+")))</f>
        <v>&lt;3K</v>
      </c>
      <c r="AH1323" s="1">
        <f>IF(HR_Data[[#This Row],[MonthlyIncome]]&lt;3000,1,IF(HR_Data[[#This Row],[MonthlyIncome]]&lt;6000,2,IF(HR_Data[[#This Row],[MonthlyIncome]]&lt;10000,3,4)))</f>
        <v>1</v>
      </c>
      <c r="AI1323" s="1" t="str">
        <f>IF(HR_Data[[#This Row],[YearsAtCompany]]&lt;=2,"0-2 Yrs",IF(HR_Data[[#This Row],[YearsAtCompany]]&lt;=5,"3-5 Yrs",IF(HR_Data[[#This Row],[YearsAtCompany]]&lt;=10,"6-10 Yrs","10+ Yrs")))</f>
        <v>0-2 Yrs</v>
      </c>
      <c r="AJ1323" s="1">
        <f>IF(HR_Data[[#This Row],[YearsAtCompany]]&lt;=2,1,IF(HR_Data[[#This Row],[YearsAtCompany]]&lt;=5,2,IF(HR_Data[[#This Row],[YearsAtCompany]]&lt;=10,3,4)))</f>
        <v>1</v>
      </c>
      <c r="AK1323" s="1" t="str">
        <f>CHOOSE(HR_Data[[#This Row],[Education]],"Below College","College","Bachelor","Master","Doctor")</f>
        <v>Master</v>
      </c>
      <c r="AL1323" s="1" t="str">
        <f>CHOOSE(HR_Data[[#This Row],[JobSatisfaction]],"Low","Medium","High","Very High")</f>
        <v>High</v>
      </c>
      <c r="AM1323" s="1" t="str">
        <f>CHOOSE(HR_Data[[#This Row],[EnvironmentSatisfaction]],"Low","Medium","High","Very High")</f>
        <v>Medium</v>
      </c>
      <c r="AN1323" s="1" t="str">
        <f>CHOOSE(HR_Data[[#This Row],[WorkLifeBalance]],"Bad","Good","Better","Best")</f>
        <v>Better</v>
      </c>
      <c r="AO1323" s="1" t="str">
        <f>IF(HR_Data[[#This Row],[PercentSalaryHike]]&lt;=13,"11-13%",IF(HR_Data[[#This Row],[PercentSalaryHike]]&lt;=16,"14-16%",IF(HR_Data[[#This Row],[PercentSalaryHike]]&lt;=19,"17-19%","20-25%")))</f>
        <v>11-13%</v>
      </c>
      <c r="AP1323" s="1">
        <f>IF(HR_Data[[#This Row],[PercentSalaryHike]]&lt;=13,1,IF(HR_Data[[#This Row],[PercentSalaryHike]]&lt;=16,2,IF(HR_Data[[#This Row],[PercentSalaryHike]]&lt;=19,3,4)))</f>
        <v>1</v>
      </c>
      <c r="AQ1323" s="1" t="str">
        <f>IF(HR_Data[[#This Row],[DistanceFromHome]]&lt;=5,"1 to 5",IF(HR_Data[[#This Row],[DistanceFromHome]]&lt;=10,"6 to 10",IF(HR_Data[[#This Row],[DistanceFromHome]]&lt;=20,"11 to 20","21 to 29")))</f>
        <v>6 to 10</v>
      </c>
      <c r="AR1323" s="1">
        <f>IF(HR_Data[[#This Row],[DistanceFromHome]]&lt;=5,1,IF(HR_Data[[#This Row],[DistanceFromHome]]&lt;=10,2,IF(HR_Data[[#This Row],[DistanceFromHome]]&lt;=20,3,4)))</f>
        <v>2</v>
      </c>
      <c r="AS1323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323" s="1">
        <f>IF(HR_Data[[#This Row],[TotalWorkingYears]]&lt;=5,1,IF(HR_Data[[#This Row],[TotalWorkingYears]]&lt;=10,2,IF(HR_Data[[#This Row],[TotalWorkingYears]]&lt;=20,3,4)))</f>
        <v>2</v>
      </c>
    </row>
    <row r="1324" spans="1:46" x14ac:dyDescent="0.25">
      <c r="A1324">
        <v>46</v>
      </c>
      <c r="B1324" t="s">
        <v>36</v>
      </c>
      <c r="C1324" t="s">
        <v>30</v>
      </c>
      <c r="D1324" t="s">
        <v>38</v>
      </c>
      <c r="E1324">
        <v>2</v>
      </c>
      <c r="F1324">
        <v>2</v>
      </c>
      <c r="G1324" t="s">
        <v>32</v>
      </c>
      <c r="H1324">
        <v>1857</v>
      </c>
      <c r="I1324">
        <v>4</v>
      </c>
      <c r="J1324" t="s">
        <v>39</v>
      </c>
      <c r="K1324">
        <v>3</v>
      </c>
      <c r="L1324">
        <v>3</v>
      </c>
      <c r="M1324" t="s">
        <v>46</v>
      </c>
      <c r="N1324">
        <v>4</v>
      </c>
      <c r="O1324" t="s">
        <v>45</v>
      </c>
      <c r="P1324">
        <v>8578</v>
      </c>
      <c r="Q1324">
        <v>3</v>
      </c>
      <c r="R1324" t="s">
        <v>36</v>
      </c>
      <c r="S1324">
        <v>14</v>
      </c>
      <c r="T1324">
        <v>3</v>
      </c>
      <c r="U1324">
        <v>3</v>
      </c>
      <c r="V1324">
        <v>1</v>
      </c>
      <c r="W1324">
        <v>12</v>
      </c>
      <c r="X1324">
        <v>4</v>
      </c>
      <c r="Y1324">
        <v>2</v>
      </c>
      <c r="Z1324">
        <v>9</v>
      </c>
      <c r="AA1324">
        <v>8</v>
      </c>
      <c r="AB1324">
        <v>4</v>
      </c>
      <c r="AC1324">
        <v>7</v>
      </c>
      <c r="AD1324">
        <f>IF(HR_Data[[#This Row],[Attrition]]="Yes",1,0)</f>
        <v>0</v>
      </c>
      <c r="AE1324" t="str">
        <f>IF(HR_Data[[#This Row],[Age]]&lt;=25,"18-25",IF(HR_Data[[#This Row],[Age]]&lt;=35,"26-35",IF(HR_Data[[#This Row],[Age]]&lt;=45,"36-45",IF(HR_Data[[#This Row],[Age]]&lt;=55,"46-55","55+"))))</f>
        <v>46-55</v>
      </c>
      <c r="AF1324">
        <f>IF(HR_Data[[#This Row],[Age]]&lt;=25,1,IF(HR_Data[[#This Row],[Age]]&lt;=35,2,IF(HR_Data[[#This Row],[Age]]&lt;=45,3,IF(HR_Data[[#This Row],[Age]]&lt;=55,4,5))))</f>
        <v>4</v>
      </c>
      <c r="AG1324" s="1" t="str">
        <f>IF(HR_Data[[#This Row],[MonthlyIncome]]&lt;3000,"&lt;3K",IF(HR_Data[[#This Row],[MonthlyIncome]]&lt;6000,"3K-6K",IF(HR_Data[[#This Row],[MonthlyIncome]]&lt;10000,"6K-10K","10K+")))</f>
        <v>6K-10K</v>
      </c>
      <c r="AH1324" s="1">
        <f>IF(HR_Data[[#This Row],[MonthlyIncome]]&lt;3000,1,IF(HR_Data[[#This Row],[MonthlyIncome]]&lt;6000,2,IF(HR_Data[[#This Row],[MonthlyIncome]]&lt;10000,3,4)))</f>
        <v>3</v>
      </c>
      <c r="AI1324" s="1" t="str">
        <f>IF(HR_Data[[#This Row],[YearsAtCompany]]&lt;=2,"0-2 Yrs",IF(HR_Data[[#This Row],[YearsAtCompany]]&lt;=5,"3-5 Yrs",IF(HR_Data[[#This Row],[YearsAtCompany]]&lt;=10,"6-10 Yrs","10+ Yrs")))</f>
        <v>6-10 Yrs</v>
      </c>
      <c r="AJ1324" s="1">
        <f>IF(HR_Data[[#This Row],[YearsAtCompany]]&lt;=2,1,IF(HR_Data[[#This Row],[YearsAtCompany]]&lt;=5,2,IF(HR_Data[[#This Row],[YearsAtCompany]]&lt;=10,3,4)))</f>
        <v>3</v>
      </c>
      <c r="AK1324" s="1" t="str">
        <f>CHOOSE(HR_Data[[#This Row],[Education]],"Below College","College","Bachelor","Master","Doctor")</f>
        <v>College</v>
      </c>
      <c r="AL1324" s="1" t="str">
        <f>CHOOSE(HR_Data[[#This Row],[JobSatisfaction]],"Low","Medium","High","Very High")</f>
        <v>Very High</v>
      </c>
      <c r="AM1324" s="1" t="str">
        <f>CHOOSE(HR_Data[[#This Row],[EnvironmentSatisfaction]],"Low","Medium","High","Very High")</f>
        <v>Very High</v>
      </c>
      <c r="AN1324" s="1" t="str">
        <f>CHOOSE(HR_Data[[#This Row],[WorkLifeBalance]],"Bad","Good","Better","Best")</f>
        <v>Good</v>
      </c>
      <c r="AO1324" s="1" t="str">
        <f>IF(HR_Data[[#This Row],[PercentSalaryHike]]&lt;=13,"11-13%",IF(HR_Data[[#This Row],[PercentSalaryHike]]&lt;=16,"14-16%",IF(HR_Data[[#This Row],[PercentSalaryHike]]&lt;=19,"17-19%","20-25%")))</f>
        <v>14-16%</v>
      </c>
      <c r="AP1324" s="1">
        <f>IF(HR_Data[[#This Row],[PercentSalaryHike]]&lt;=13,1,IF(HR_Data[[#This Row],[PercentSalaryHike]]&lt;=16,2,IF(HR_Data[[#This Row],[PercentSalaryHike]]&lt;=19,3,4)))</f>
        <v>2</v>
      </c>
      <c r="AQ1324" s="1" t="str">
        <f>IF(HR_Data[[#This Row],[DistanceFromHome]]&lt;=5,"1 to 5",IF(HR_Data[[#This Row],[DistanceFromHome]]&lt;=10,"6 to 10",IF(HR_Data[[#This Row],[DistanceFromHome]]&lt;=20,"11 to 20","21 to 29")))</f>
        <v>1 to 5</v>
      </c>
      <c r="AR1324" s="1">
        <f>IF(HR_Data[[#This Row],[DistanceFromHome]]&lt;=5,1,IF(HR_Data[[#This Row],[DistanceFromHome]]&lt;=10,2,IF(HR_Data[[#This Row],[DistanceFromHome]]&lt;=20,3,4)))</f>
        <v>1</v>
      </c>
      <c r="AS1324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324" s="1">
        <f>IF(HR_Data[[#This Row],[TotalWorkingYears]]&lt;=5,1,IF(HR_Data[[#This Row],[TotalWorkingYears]]&lt;=10,2,IF(HR_Data[[#This Row],[TotalWorkingYears]]&lt;=20,3,4)))</f>
        <v>3</v>
      </c>
    </row>
    <row r="1325" spans="1:46" x14ac:dyDescent="0.25">
      <c r="A1325">
        <v>28</v>
      </c>
      <c r="B1325" t="s">
        <v>36</v>
      </c>
      <c r="C1325" t="s">
        <v>48</v>
      </c>
      <c r="D1325" t="s">
        <v>54</v>
      </c>
      <c r="E1325">
        <v>1</v>
      </c>
      <c r="F1325">
        <v>2</v>
      </c>
      <c r="G1325" t="s">
        <v>32</v>
      </c>
      <c r="H1325">
        <v>1858</v>
      </c>
      <c r="I1325">
        <v>3</v>
      </c>
      <c r="J1325" t="s">
        <v>39</v>
      </c>
      <c r="K1325">
        <v>3</v>
      </c>
      <c r="L1325">
        <v>1</v>
      </c>
      <c r="M1325" t="s">
        <v>54</v>
      </c>
      <c r="N1325">
        <v>4</v>
      </c>
      <c r="O1325" t="s">
        <v>45</v>
      </c>
      <c r="P1325">
        <v>2706</v>
      </c>
      <c r="Q1325">
        <v>1</v>
      </c>
      <c r="R1325" t="s">
        <v>36</v>
      </c>
      <c r="S1325">
        <v>15</v>
      </c>
      <c r="T1325">
        <v>3</v>
      </c>
      <c r="U1325">
        <v>2</v>
      </c>
      <c r="V1325">
        <v>1</v>
      </c>
      <c r="W1325">
        <v>3</v>
      </c>
      <c r="X1325">
        <v>2</v>
      </c>
      <c r="Y1325">
        <v>3</v>
      </c>
      <c r="Z1325">
        <v>3</v>
      </c>
      <c r="AA1325">
        <v>2</v>
      </c>
      <c r="AB1325">
        <v>2</v>
      </c>
      <c r="AC1325">
        <v>2</v>
      </c>
      <c r="AD1325">
        <f>IF(HR_Data[[#This Row],[Attrition]]="Yes",1,0)</f>
        <v>0</v>
      </c>
      <c r="AE1325" t="str">
        <f>IF(HR_Data[[#This Row],[Age]]&lt;=25,"18-25",IF(HR_Data[[#This Row],[Age]]&lt;=35,"26-35",IF(HR_Data[[#This Row],[Age]]&lt;=45,"36-45",IF(HR_Data[[#This Row],[Age]]&lt;=55,"46-55","55+"))))</f>
        <v>26-35</v>
      </c>
      <c r="AF1325">
        <f>IF(HR_Data[[#This Row],[Age]]&lt;=25,1,IF(HR_Data[[#This Row],[Age]]&lt;=35,2,IF(HR_Data[[#This Row],[Age]]&lt;=45,3,IF(HR_Data[[#This Row],[Age]]&lt;=55,4,5))))</f>
        <v>2</v>
      </c>
      <c r="AG1325" s="1" t="str">
        <f>IF(HR_Data[[#This Row],[MonthlyIncome]]&lt;3000,"&lt;3K",IF(HR_Data[[#This Row],[MonthlyIncome]]&lt;6000,"3K-6K",IF(HR_Data[[#This Row],[MonthlyIncome]]&lt;10000,"6K-10K","10K+")))</f>
        <v>&lt;3K</v>
      </c>
      <c r="AH1325" s="1">
        <f>IF(HR_Data[[#This Row],[MonthlyIncome]]&lt;3000,1,IF(HR_Data[[#This Row],[MonthlyIncome]]&lt;6000,2,IF(HR_Data[[#This Row],[MonthlyIncome]]&lt;10000,3,4)))</f>
        <v>1</v>
      </c>
      <c r="AI1325" s="1" t="str">
        <f>IF(HR_Data[[#This Row],[YearsAtCompany]]&lt;=2,"0-2 Yrs",IF(HR_Data[[#This Row],[YearsAtCompany]]&lt;=5,"3-5 Yrs",IF(HR_Data[[#This Row],[YearsAtCompany]]&lt;=10,"6-10 Yrs","10+ Yrs")))</f>
        <v>3-5 Yrs</v>
      </c>
      <c r="AJ1325" s="1">
        <f>IF(HR_Data[[#This Row],[YearsAtCompany]]&lt;=2,1,IF(HR_Data[[#This Row],[YearsAtCompany]]&lt;=5,2,IF(HR_Data[[#This Row],[YearsAtCompany]]&lt;=10,3,4)))</f>
        <v>2</v>
      </c>
      <c r="AK1325" s="1" t="str">
        <f>CHOOSE(HR_Data[[#This Row],[Education]],"Below College","College","Bachelor","Master","Doctor")</f>
        <v>College</v>
      </c>
      <c r="AL1325" s="1" t="str">
        <f>CHOOSE(HR_Data[[#This Row],[JobSatisfaction]],"Low","Medium","High","Very High")</f>
        <v>Very High</v>
      </c>
      <c r="AM1325" s="1" t="str">
        <f>CHOOSE(HR_Data[[#This Row],[EnvironmentSatisfaction]],"Low","Medium","High","Very High")</f>
        <v>High</v>
      </c>
      <c r="AN1325" s="1" t="str">
        <f>CHOOSE(HR_Data[[#This Row],[WorkLifeBalance]],"Bad","Good","Better","Best")</f>
        <v>Better</v>
      </c>
      <c r="AO1325" s="1" t="str">
        <f>IF(HR_Data[[#This Row],[PercentSalaryHike]]&lt;=13,"11-13%",IF(HR_Data[[#This Row],[PercentSalaryHike]]&lt;=16,"14-16%",IF(HR_Data[[#This Row],[PercentSalaryHike]]&lt;=19,"17-19%","20-25%")))</f>
        <v>14-16%</v>
      </c>
      <c r="AP1325" s="1">
        <f>IF(HR_Data[[#This Row],[PercentSalaryHike]]&lt;=13,1,IF(HR_Data[[#This Row],[PercentSalaryHike]]&lt;=16,2,IF(HR_Data[[#This Row],[PercentSalaryHike]]&lt;=19,3,4)))</f>
        <v>2</v>
      </c>
      <c r="AQ1325" s="1" t="str">
        <f>IF(HR_Data[[#This Row],[DistanceFromHome]]&lt;=5,"1 to 5",IF(HR_Data[[#This Row],[DistanceFromHome]]&lt;=10,"6 to 10",IF(HR_Data[[#This Row],[DistanceFromHome]]&lt;=20,"11 to 20","21 to 29")))</f>
        <v>1 to 5</v>
      </c>
      <c r="AR1325" s="1">
        <f>IF(HR_Data[[#This Row],[DistanceFromHome]]&lt;=5,1,IF(HR_Data[[#This Row],[DistanceFromHome]]&lt;=10,2,IF(HR_Data[[#This Row],[DistanceFromHome]]&lt;=20,3,4)))</f>
        <v>1</v>
      </c>
      <c r="AS1325" s="1" t="str">
        <f>IF(HR_Data[[#This Row],[TotalWorkingYears]]&lt;=5,"0-5 Yrs",IF(HR_Data[[#This Row],[TotalWorkingYears]]&lt;=10,"6-10 Yrs",IF(HR_Data[[#This Row],[TotalWorkingYears]]&lt;=20,"11-20 Yrs","20+ Yrs")))</f>
        <v>0-5 Yrs</v>
      </c>
      <c r="AT1325" s="1">
        <f>IF(HR_Data[[#This Row],[TotalWorkingYears]]&lt;=5,1,IF(HR_Data[[#This Row],[TotalWorkingYears]]&lt;=10,2,IF(HR_Data[[#This Row],[TotalWorkingYears]]&lt;=20,3,4)))</f>
        <v>1</v>
      </c>
    </row>
    <row r="1326" spans="1:46" x14ac:dyDescent="0.25">
      <c r="A1326">
        <v>29</v>
      </c>
      <c r="B1326" t="s">
        <v>36</v>
      </c>
      <c r="C1326" t="s">
        <v>30</v>
      </c>
      <c r="D1326" t="s">
        <v>38</v>
      </c>
      <c r="E1326">
        <v>29</v>
      </c>
      <c r="F1326">
        <v>1</v>
      </c>
      <c r="G1326" t="s">
        <v>32</v>
      </c>
      <c r="H1326">
        <v>1859</v>
      </c>
      <c r="I1326">
        <v>4</v>
      </c>
      <c r="J1326" t="s">
        <v>39</v>
      </c>
      <c r="K1326">
        <v>1</v>
      </c>
      <c r="L1326">
        <v>2</v>
      </c>
      <c r="M1326" t="s">
        <v>47</v>
      </c>
      <c r="N1326">
        <v>3</v>
      </c>
      <c r="O1326" t="s">
        <v>45</v>
      </c>
      <c r="P1326">
        <v>6384</v>
      </c>
      <c r="Q1326">
        <v>8</v>
      </c>
      <c r="R1326" t="s">
        <v>36</v>
      </c>
      <c r="S1326">
        <v>17</v>
      </c>
      <c r="T1326">
        <v>3</v>
      </c>
      <c r="U1326">
        <v>4</v>
      </c>
      <c r="V1326">
        <v>2</v>
      </c>
      <c r="W1326">
        <v>11</v>
      </c>
      <c r="X1326">
        <v>3</v>
      </c>
      <c r="Y1326">
        <v>3</v>
      </c>
      <c r="Z1326">
        <v>7</v>
      </c>
      <c r="AA1326">
        <v>0</v>
      </c>
      <c r="AB1326">
        <v>1</v>
      </c>
      <c r="AC1326">
        <v>6</v>
      </c>
      <c r="AD1326">
        <f>IF(HR_Data[[#This Row],[Attrition]]="Yes",1,0)</f>
        <v>0</v>
      </c>
      <c r="AE1326" t="str">
        <f>IF(HR_Data[[#This Row],[Age]]&lt;=25,"18-25",IF(HR_Data[[#This Row],[Age]]&lt;=35,"26-35",IF(HR_Data[[#This Row],[Age]]&lt;=45,"36-45",IF(HR_Data[[#This Row],[Age]]&lt;=55,"46-55","55+"))))</f>
        <v>26-35</v>
      </c>
      <c r="AF1326">
        <f>IF(HR_Data[[#This Row],[Age]]&lt;=25,1,IF(HR_Data[[#This Row],[Age]]&lt;=35,2,IF(HR_Data[[#This Row],[Age]]&lt;=45,3,IF(HR_Data[[#This Row],[Age]]&lt;=55,4,5))))</f>
        <v>2</v>
      </c>
      <c r="AG1326" s="1" t="str">
        <f>IF(HR_Data[[#This Row],[MonthlyIncome]]&lt;3000,"&lt;3K",IF(HR_Data[[#This Row],[MonthlyIncome]]&lt;6000,"3K-6K",IF(HR_Data[[#This Row],[MonthlyIncome]]&lt;10000,"6K-10K","10K+")))</f>
        <v>6K-10K</v>
      </c>
      <c r="AH1326" s="1">
        <f>IF(HR_Data[[#This Row],[MonthlyIncome]]&lt;3000,1,IF(HR_Data[[#This Row],[MonthlyIncome]]&lt;6000,2,IF(HR_Data[[#This Row],[MonthlyIncome]]&lt;10000,3,4)))</f>
        <v>3</v>
      </c>
      <c r="AI1326" s="1" t="str">
        <f>IF(HR_Data[[#This Row],[YearsAtCompany]]&lt;=2,"0-2 Yrs",IF(HR_Data[[#This Row],[YearsAtCompany]]&lt;=5,"3-5 Yrs",IF(HR_Data[[#This Row],[YearsAtCompany]]&lt;=10,"6-10 Yrs","10+ Yrs")))</f>
        <v>6-10 Yrs</v>
      </c>
      <c r="AJ1326" s="1">
        <f>IF(HR_Data[[#This Row],[YearsAtCompany]]&lt;=2,1,IF(HR_Data[[#This Row],[YearsAtCompany]]&lt;=5,2,IF(HR_Data[[#This Row],[YearsAtCompany]]&lt;=10,3,4)))</f>
        <v>3</v>
      </c>
      <c r="AK1326" s="1" t="str">
        <f>CHOOSE(HR_Data[[#This Row],[Education]],"Below College","College","Bachelor","Master","Doctor")</f>
        <v>Below College</v>
      </c>
      <c r="AL1326" s="1" t="str">
        <f>CHOOSE(HR_Data[[#This Row],[JobSatisfaction]],"Low","Medium","High","Very High")</f>
        <v>High</v>
      </c>
      <c r="AM1326" s="1" t="str">
        <f>CHOOSE(HR_Data[[#This Row],[EnvironmentSatisfaction]],"Low","Medium","High","Very High")</f>
        <v>Very High</v>
      </c>
      <c r="AN1326" s="1" t="str">
        <f>CHOOSE(HR_Data[[#This Row],[WorkLifeBalance]],"Bad","Good","Better","Best")</f>
        <v>Better</v>
      </c>
      <c r="AO1326" s="1" t="str">
        <f>IF(HR_Data[[#This Row],[PercentSalaryHike]]&lt;=13,"11-13%",IF(HR_Data[[#This Row],[PercentSalaryHike]]&lt;=16,"14-16%",IF(HR_Data[[#This Row],[PercentSalaryHike]]&lt;=19,"17-19%","20-25%")))</f>
        <v>17-19%</v>
      </c>
      <c r="AP1326" s="1">
        <f>IF(HR_Data[[#This Row],[PercentSalaryHike]]&lt;=13,1,IF(HR_Data[[#This Row],[PercentSalaryHike]]&lt;=16,2,IF(HR_Data[[#This Row],[PercentSalaryHike]]&lt;=19,3,4)))</f>
        <v>3</v>
      </c>
      <c r="AQ1326" s="1" t="str">
        <f>IF(HR_Data[[#This Row],[DistanceFromHome]]&lt;=5,"1 to 5",IF(HR_Data[[#This Row],[DistanceFromHome]]&lt;=10,"6 to 10",IF(HR_Data[[#This Row],[DistanceFromHome]]&lt;=20,"11 to 20","21 to 29")))</f>
        <v>21 to 29</v>
      </c>
      <c r="AR1326" s="1">
        <f>IF(HR_Data[[#This Row],[DistanceFromHome]]&lt;=5,1,IF(HR_Data[[#This Row],[DistanceFromHome]]&lt;=10,2,IF(HR_Data[[#This Row],[DistanceFromHome]]&lt;=20,3,4)))</f>
        <v>4</v>
      </c>
      <c r="AS1326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326" s="1">
        <f>IF(HR_Data[[#This Row],[TotalWorkingYears]]&lt;=5,1,IF(HR_Data[[#This Row],[TotalWorkingYears]]&lt;=10,2,IF(HR_Data[[#This Row],[TotalWorkingYears]]&lt;=20,3,4)))</f>
        <v>3</v>
      </c>
    </row>
    <row r="1327" spans="1:46" x14ac:dyDescent="0.25">
      <c r="A1327">
        <v>42</v>
      </c>
      <c r="B1327" t="s">
        <v>36</v>
      </c>
      <c r="C1327" t="s">
        <v>30</v>
      </c>
      <c r="D1327" t="s">
        <v>38</v>
      </c>
      <c r="E1327">
        <v>8</v>
      </c>
      <c r="F1327">
        <v>3</v>
      </c>
      <c r="G1327" t="s">
        <v>32</v>
      </c>
      <c r="H1327">
        <v>1860</v>
      </c>
      <c r="I1327">
        <v>4</v>
      </c>
      <c r="J1327" t="s">
        <v>39</v>
      </c>
      <c r="K1327">
        <v>3</v>
      </c>
      <c r="L1327">
        <v>1</v>
      </c>
      <c r="M1327" t="s">
        <v>43</v>
      </c>
      <c r="N1327">
        <v>3</v>
      </c>
      <c r="O1327" t="s">
        <v>35</v>
      </c>
      <c r="P1327">
        <v>3968</v>
      </c>
      <c r="Q1327">
        <v>4</v>
      </c>
      <c r="R1327" t="s">
        <v>36</v>
      </c>
      <c r="S1327">
        <v>13</v>
      </c>
      <c r="T1327">
        <v>3</v>
      </c>
      <c r="U1327">
        <v>4</v>
      </c>
      <c r="V1327">
        <v>0</v>
      </c>
      <c r="W1327">
        <v>8</v>
      </c>
      <c r="X1327">
        <v>3</v>
      </c>
      <c r="Y1327">
        <v>3</v>
      </c>
      <c r="Z1327">
        <v>0</v>
      </c>
      <c r="AA1327">
        <v>0</v>
      </c>
      <c r="AB1327">
        <v>0</v>
      </c>
      <c r="AC1327">
        <v>0</v>
      </c>
      <c r="AD1327">
        <f>IF(HR_Data[[#This Row],[Attrition]]="Yes",1,0)</f>
        <v>0</v>
      </c>
      <c r="AE1327" t="str">
        <f>IF(HR_Data[[#This Row],[Age]]&lt;=25,"18-25",IF(HR_Data[[#This Row],[Age]]&lt;=35,"26-35",IF(HR_Data[[#This Row],[Age]]&lt;=45,"36-45",IF(HR_Data[[#This Row],[Age]]&lt;=55,"46-55","55+"))))</f>
        <v>36-45</v>
      </c>
      <c r="AF1327">
        <f>IF(HR_Data[[#This Row],[Age]]&lt;=25,1,IF(HR_Data[[#This Row],[Age]]&lt;=35,2,IF(HR_Data[[#This Row],[Age]]&lt;=45,3,IF(HR_Data[[#This Row],[Age]]&lt;=55,4,5))))</f>
        <v>3</v>
      </c>
      <c r="AG1327" s="1" t="str">
        <f>IF(HR_Data[[#This Row],[MonthlyIncome]]&lt;3000,"&lt;3K",IF(HR_Data[[#This Row],[MonthlyIncome]]&lt;6000,"3K-6K",IF(HR_Data[[#This Row],[MonthlyIncome]]&lt;10000,"6K-10K","10K+")))</f>
        <v>3K-6K</v>
      </c>
      <c r="AH1327" s="1">
        <f>IF(HR_Data[[#This Row],[MonthlyIncome]]&lt;3000,1,IF(HR_Data[[#This Row],[MonthlyIncome]]&lt;6000,2,IF(HR_Data[[#This Row],[MonthlyIncome]]&lt;10000,3,4)))</f>
        <v>2</v>
      </c>
      <c r="AI1327" s="1" t="str">
        <f>IF(HR_Data[[#This Row],[YearsAtCompany]]&lt;=2,"0-2 Yrs",IF(HR_Data[[#This Row],[YearsAtCompany]]&lt;=5,"3-5 Yrs",IF(HR_Data[[#This Row],[YearsAtCompany]]&lt;=10,"6-10 Yrs","10+ Yrs")))</f>
        <v>0-2 Yrs</v>
      </c>
      <c r="AJ1327" s="1">
        <f>IF(HR_Data[[#This Row],[YearsAtCompany]]&lt;=2,1,IF(HR_Data[[#This Row],[YearsAtCompany]]&lt;=5,2,IF(HR_Data[[#This Row],[YearsAtCompany]]&lt;=10,3,4)))</f>
        <v>1</v>
      </c>
      <c r="AK1327" s="1" t="str">
        <f>CHOOSE(HR_Data[[#This Row],[Education]],"Below College","College","Bachelor","Master","Doctor")</f>
        <v>Bachelor</v>
      </c>
      <c r="AL1327" s="1" t="str">
        <f>CHOOSE(HR_Data[[#This Row],[JobSatisfaction]],"Low","Medium","High","Very High")</f>
        <v>High</v>
      </c>
      <c r="AM1327" s="1" t="str">
        <f>CHOOSE(HR_Data[[#This Row],[EnvironmentSatisfaction]],"Low","Medium","High","Very High")</f>
        <v>Very High</v>
      </c>
      <c r="AN1327" s="1" t="str">
        <f>CHOOSE(HR_Data[[#This Row],[WorkLifeBalance]],"Bad","Good","Better","Best")</f>
        <v>Better</v>
      </c>
      <c r="AO1327" s="1" t="str">
        <f>IF(HR_Data[[#This Row],[PercentSalaryHike]]&lt;=13,"11-13%",IF(HR_Data[[#This Row],[PercentSalaryHike]]&lt;=16,"14-16%",IF(HR_Data[[#This Row],[PercentSalaryHike]]&lt;=19,"17-19%","20-25%")))</f>
        <v>11-13%</v>
      </c>
      <c r="AP1327" s="1">
        <f>IF(HR_Data[[#This Row],[PercentSalaryHike]]&lt;=13,1,IF(HR_Data[[#This Row],[PercentSalaryHike]]&lt;=16,2,IF(HR_Data[[#This Row],[PercentSalaryHike]]&lt;=19,3,4)))</f>
        <v>1</v>
      </c>
      <c r="AQ1327" s="1" t="str">
        <f>IF(HR_Data[[#This Row],[DistanceFromHome]]&lt;=5,"1 to 5",IF(HR_Data[[#This Row],[DistanceFromHome]]&lt;=10,"6 to 10",IF(HR_Data[[#This Row],[DistanceFromHome]]&lt;=20,"11 to 20","21 to 29")))</f>
        <v>6 to 10</v>
      </c>
      <c r="AR1327" s="1">
        <f>IF(HR_Data[[#This Row],[DistanceFromHome]]&lt;=5,1,IF(HR_Data[[#This Row],[DistanceFromHome]]&lt;=10,2,IF(HR_Data[[#This Row],[DistanceFromHome]]&lt;=20,3,4)))</f>
        <v>2</v>
      </c>
      <c r="AS1327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327" s="1">
        <f>IF(HR_Data[[#This Row],[TotalWorkingYears]]&lt;=5,1,IF(HR_Data[[#This Row],[TotalWorkingYears]]&lt;=10,2,IF(HR_Data[[#This Row],[TotalWorkingYears]]&lt;=20,3,4)))</f>
        <v>2</v>
      </c>
    </row>
    <row r="1328" spans="1:46" x14ac:dyDescent="0.25">
      <c r="A1328">
        <v>32</v>
      </c>
      <c r="B1328" t="s">
        <v>29</v>
      </c>
      <c r="C1328" t="s">
        <v>30</v>
      </c>
      <c r="D1328" t="s">
        <v>31</v>
      </c>
      <c r="E1328">
        <v>2</v>
      </c>
      <c r="F1328">
        <v>4</v>
      </c>
      <c r="G1328" t="s">
        <v>52</v>
      </c>
      <c r="H1328">
        <v>1862</v>
      </c>
      <c r="I1328">
        <v>3</v>
      </c>
      <c r="J1328" t="s">
        <v>39</v>
      </c>
      <c r="K1328">
        <v>2</v>
      </c>
      <c r="L1328">
        <v>2</v>
      </c>
      <c r="M1328" t="s">
        <v>34</v>
      </c>
      <c r="N1328">
        <v>2</v>
      </c>
      <c r="O1328" t="s">
        <v>35</v>
      </c>
      <c r="P1328">
        <v>9907</v>
      </c>
      <c r="Q1328">
        <v>7</v>
      </c>
      <c r="R1328" t="s">
        <v>29</v>
      </c>
      <c r="S1328">
        <v>12</v>
      </c>
      <c r="T1328">
        <v>3</v>
      </c>
      <c r="U1328">
        <v>3</v>
      </c>
      <c r="V1328">
        <v>0</v>
      </c>
      <c r="W1328">
        <v>7</v>
      </c>
      <c r="X1328">
        <v>3</v>
      </c>
      <c r="Y1328">
        <v>2</v>
      </c>
      <c r="Z1328">
        <v>2</v>
      </c>
      <c r="AA1328">
        <v>2</v>
      </c>
      <c r="AB1328">
        <v>2</v>
      </c>
      <c r="AC1328">
        <v>2</v>
      </c>
      <c r="AD1328">
        <f>IF(HR_Data[[#This Row],[Attrition]]="Yes",1,0)</f>
        <v>1</v>
      </c>
      <c r="AE1328" t="str">
        <f>IF(HR_Data[[#This Row],[Age]]&lt;=25,"18-25",IF(HR_Data[[#This Row],[Age]]&lt;=35,"26-35",IF(HR_Data[[#This Row],[Age]]&lt;=45,"36-45",IF(HR_Data[[#This Row],[Age]]&lt;=55,"46-55","55+"))))</f>
        <v>26-35</v>
      </c>
      <c r="AF1328">
        <f>IF(HR_Data[[#This Row],[Age]]&lt;=25,1,IF(HR_Data[[#This Row],[Age]]&lt;=35,2,IF(HR_Data[[#This Row],[Age]]&lt;=45,3,IF(HR_Data[[#This Row],[Age]]&lt;=55,4,5))))</f>
        <v>2</v>
      </c>
      <c r="AG1328" s="1" t="str">
        <f>IF(HR_Data[[#This Row],[MonthlyIncome]]&lt;3000,"&lt;3K",IF(HR_Data[[#This Row],[MonthlyIncome]]&lt;6000,"3K-6K",IF(HR_Data[[#This Row],[MonthlyIncome]]&lt;10000,"6K-10K","10K+")))</f>
        <v>6K-10K</v>
      </c>
      <c r="AH1328" s="1">
        <f>IF(HR_Data[[#This Row],[MonthlyIncome]]&lt;3000,1,IF(HR_Data[[#This Row],[MonthlyIncome]]&lt;6000,2,IF(HR_Data[[#This Row],[MonthlyIncome]]&lt;10000,3,4)))</f>
        <v>3</v>
      </c>
      <c r="AI1328" s="1" t="str">
        <f>IF(HR_Data[[#This Row],[YearsAtCompany]]&lt;=2,"0-2 Yrs",IF(HR_Data[[#This Row],[YearsAtCompany]]&lt;=5,"3-5 Yrs",IF(HR_Data[[#This Row],[YearsAtCompany]]&lt;=10,"6-10 Yrs","10+ Yrs")))</f>
        <v>0-2 Yrs</v>
      </c>
      <c r="AJ1328" s="1">
        <f>IF(HR_Data[[#This Row],[YearsAtCompany]]&lt;=2,1,IF(HR_Data[[#This Row],[YearsAtCompany]]&lt;=5,2,IF(HR_Data[[#This Row],[YearsAtCompany]]&lt;=10,3,4)))</f>
        <v>1</v>
      </c>
      <c r="AK1328" s="1" t="str">
        <f>CHOOSE(HR_Data[[#This Row],[Education]],"Below College","College","Bachelor","Master","Doctor")</f>
        <v>Master</v>
      </c>
      <c r="AL1328" s="1" t="str">
        <f>CHOOSE(HR_Data[[#This Row],[JobSatisfaction]],"Low","Medium","High","Very High")</f>
        <v>Medium</v>
      </c>
      <c r="AM1328" s="1" t="str">
        <f>CHOOSE(HR_Data[[#This Row],[EnvironmentSatisfaction]],"Low","Medium","High","Very High")</f>
        <v>High</v>
      </c>
      <c r="AN1328" s="1" t="str">
        <f>CHOOSE(HR_Data[[#This Row],[WorkLifeBalance]],"Bad","Good","Better","Best")</f>
        <v>Good</v>
      </c>
      <c r="AO1328" s="1" t="str">
        <f>IF(HR_Data[[#This Row],[PercentSalaryHike]]&lt;=13,"11-13%",IF(HR_Data[[#This Row],[PercentSalaryHike]]&lt;=16,"14-16%",IF(HR_Data[[#This Row],[PercentSalaryHike]]&lt;=19,"17-19%","20-25%")))</f>
        <v>11-13%</v>
      </c>
      <c r="AP1328" s="1">
        <f>IF(HR_Data[[#This Row],[PercentSalaryHike]]&lt;=13,1,IF(HR_Data[[#This Row],[PercentSalaryHike]]&lt;=16,2,IF(HR_Data[[#This Row],[PercentSalaryHike]]&lt;=19,3,4)))</f>
        <v>1</v>
      </c>
      <c r="AQ1328" s="1" t="str">
        <f>IF(HR_Data[[#This Row],[DistanceFromHome]]&lt;=5,"1 to 5",IF(HR_Data[[#This Row],[DistanceFromHome]]&lt;=10,"6 to 10",IF(HR_Data[[#This Row],[DistanceFromHome]]&lt;=20,"11 to 20","21 to 29")))</f>
        <v>1 to 5</v>
      </c>
      <c r="AR1328" s="1">
        <f>IF(HR_Data[[#This Row],[DistanceFromHome]]&lt;=5,1,IF(HR_Data[[#This Row],[DistanceFromHome]]&lt;=10,2,IF(HR_Data[[#This Row],[DistanceFromHome]]&lt;=20,3,4)))</f>
        <v>1</v>
      </c>
      <c r="AS1328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328" s="1">
        <f>IF(HR_Data[[#This Row],[TotalWorkingYears]]&lt;=5,1,IF(HR_Data[[#This Row],[TotalWorkingYears]]&lt;=10,2,IF(HR_Data[[#This Row],[TotalWorkingYears]]&lt;=20,3,4)))</f>
        <v>2</v>
      </c>
    </row>
    <row r="1329" spans="1:46" x14ac:dyDescent="0.25">
      <c r="A1329">
        <v>46</v>
      </c>
      <c r="B1329" t="s">
        <v>36</v>
      </c>
      <c r="C1329" t="s">
        <v>30</v>
      </c>
      <c r="D1329" t="s">
        <v>31</v>
      </c>
      <c r="E1329">
        <v>3</v>
      </c>
      <c r="F1329">
        <v>3</v>
      </c>
      <c r="G1329" t="s">
        <v>53</v>
      </c>
      <c r="H1329">
        <v>1863</v>
      </c>
      <c r="I1329">
        <v>1</v>
      </c>
      <c r="J1329" t="s">
        <v>33</v>
      </c>
      <c r="K1329">
        <v>4</v>
      </c>
      <c r="L1329">
        <v>4</v>
      </c>
      <c r="M1329" t="s">
        <v>34</v>
      </c>
      <c r="N1329">
        <v>1</v>
      </c>
      <c r="O1329" t="s">
        <v>45</v>
      </c>
      <c r="P1329">
        <v>13225</v>
      </c>
      <c r="Q1329">
        <v>2</v>
      </c>
      <c r="R1329" t="s">
        <v>36</v>
      </c>
      <c r="S1329">
        <v>12</v>
      </c>
      <c r="T1329">
        <v>3</v>
      </c>
      <c r="U1329">
        <v>4</v>
      </c>
      <c r="V1329">
        <v>1</v>
      </c>
      <c r="W1329">
        <v>25</v>
      </c>
      <c r="X1329">
        <v>5</v>
      </c>
      <c r="Y1329">
        <v>3</v>
      </c>
      <c r="Z1329">
        <v>19</v>
      </c>
      <c r="AA1329">
        <v>17</v>
      </c>
      <c r="AB1329">
        <v>2</v>
      </c>
      <c r="AC1329">
        <v>8</v>
      </c>
      <c r="AD1329">
        <f>IF(HR_Data[[#This Row],[Attrition]]="Yes",1,0)</f>
        <v>0</v>
      </c>
      <c r="AE1329" t="str">
        <f>IF(HR_Data[[#This Row],[Age]]&lt;=25,"18-25",IF(HR_Data[[#This Row],[Age]]&lt;=35,"26-35",IF(HR_Data[[#This Row],[Age]]&lt;=45,"36-45",IF(HR_Data[[#This Row],[Age]]&lt;=55,"46-55","55+"))))</f>
        <v>46-55</v>
      </c>
      <c r="AF1329">
        <f>IF(HR_Data[[#This Row],[Age]]&lt;=25,1,IF(HR_Data[[#This Row],[Age]]&lt;=35,2,IF(HR_Data[[#This Row],[Age]]&lt;=45,3,IF(HR_Data[[#This Row],[Age]]&lt;=55,4,5))))</f>
        <v>4</v>
      </c>
      <c r="AG1329" s="1" t="str">
        <f>IF(HR_Data[[#This Row],[MonthlyIncome]]&lt;3000,"&lt;3K",IF(HR_Data[[#This Row],[MonthlyIncome]]&lt;6000,"3K-6K",IF(HR_Data[[#This Row],[MonthlyIncome]]&lt;10000,"6K-10K","10K+")))</f>
        <v>10K+</v>
      </c>
      <c r="AH1329" s="1">
        <f>IF(HR_Data[[#This Row],[MonthlyIncome]]&lt;3000,1,IF(HR_Data[[#This Row],[MonthlyIncome]]&lt;6000,2,IF(HR_Data[[#This Row],[MonthlyIncome]]&lt;10000,3,4)))</f>
        <v>4</v>
      </c>
      <c r="AI1329" s="1" t="str">
        <f>IF(HR_Data[[#This Row],[YearsAtCompany]]&lt;=2,"0-2 Yrs",IF(HR_Data[[#This Row],[YearsAtCompany]]&lt;=5,"3-5 Yrs",IF(HR_Data[[#This Row],[YearsAtCompany]]&lt;=10,"6-10 Yrs","10+ Yrs")))</f>
        <v>10+ Yrs</v>
      </c>
      <c r="AJ1329" s="1">
        <f>IF(HR_Data[[#This Row],[YearsAtCompany]]&lt;=2,1,IF(HR_Data[[#This Row],[YearsAtCompany]]&lt;=5,2,IF(HR_Data[[#This Row],[YearsAtCompany]]&lt;=10,3,4)))</f>
        <v>4</v>
      </c>
      <c r="AK1329" s="1" t="str">
        <f>CHOOSE(HR_Data[[#This Row],[Education]],"Below College","College","Bachelor","Master","Doctor")</f>
        <v>Bachelor</v>
      </c>
      <c r="AL1329" s="1" t="str">
        <f>CHOOSE(HR_Data[[#This Row],[JobSatisfaction]],"Low","Medium","High","Very High")</f>
        <v>Low</v>
      </c>
      <c r="AM1329" s="1" t="str">
        <f>CHOOSE(HR_Data[[#This Row],[EnvironmentSatisfaction]],"Low","Medium","High","Very High")</f>
        <v>Low</v>
      </c>
      <c r="AN1329" s="1" t="str">
        <f>CHOOSE(HR_Data[[#This Row],[WorkLifeBalance]],"Bad","Good","Better","Best")</f>
        <v>Better</v>
      </c>
      <c r="AO1329" s="1" t="str">
        <f>IF(HR_Data[[#This Row],[PercentSalaryHike]]&lt;=13,"11-13%",IF(HR_Data[[#This Row],[PercentSalaryHike]]&lt;=16,"14-16%",IF(HR_Data[[#This Row],[PercentSalaryHike]]&lt;=19,"17-19%","20-25%")))</f>
        <v>11-13%</v>
      </c>
      <c r="AP1329" s="1">
        <f>IF(HR_Data[[#This Row],[PercentSalaryHike]]&lt;=13,1,IF(HR_Data[[#This Row],[PercentSalaryHike]]&lt;=16,2,IF(HR_Data[[#This Row],[PercentSalaryHike]]&lt;=19,3,4)))</f>
        <v>1</v>
      </c>
      <c r="AQ1329" s="1" t="str">
        <f>IF(HR_Data[[#This Row],[DistanceFromHome]]&lt;=5,"1 to 5",IF(HR_Data[[#This Row],[DistanceFromHome]]&lt;=10,"6 to 10",IF(HR_Data[[#This Row],[DistanceFromHome]]&lt;=20,"11 to 20","21 to 29")))</f>
        <v>1 to 5</v>
      </c>
      <c r="AR1329" s="1">
        <f>IF(HR_Data[[#This Row],[DistanceFromHome]]&lt;=5,1,IF(HR_Data[[#This Row],[DistanceFromHome]]&lt;=10,2,IF(HR_Data[[#This Row],[DistanceFromHome]]&lt;=20,3,4)))</f>
        <v>1</v>
      </c>
      <c r="AS1329" s="1" t="str">
        <f>IF(HR_Data[[#This Row],[TotalWorkingYears]]&lt;=5,"0-5 Yrs",IF(HR_Data[[#This Row],[TotalWorkingYears]]&lt;=10,"6-10 Yrs",IF(HR_Data[[#This Row],[TotalWorkingYears]]&lt;=20,"11-20 Yrs","20+ Yrs")))</f>
        <v>20+ Yrs</v>
      </c>
      <c r="AT1329" s="1">
        <f>IF(HR_Data[[#This Row],[TotalWorkingYears]]&lt;=5,1,IF(HR_Data[[#This Row],[TotalWorkingYears]]&lt;=10,2,IF(HR_Data[[#This Row],[TotalWorkingYears]]&lt;=20,3,4)))</f>
        <v>4</v>
      </c>
    </row>
    <row r="1330" spans="1:46" x14ac:dyDescent="0.25">
      <c r="A1330">
        <v>27</v>
      </c>
      <c r="B1330" t="s">
        <v>36</v>
      </c>
      <c r="C1330" t="s">
        <v>30</v>
      </c>
      <c r="D1330" t="s">
        <v>31</v>
      </c>
      <c r="E1330">
        <v>23</v>
      </c>
      <c r="F1330">
        <v>1</v>
      </c>
      <c r="G1330" t="s">
        <v>44</v>
      </c>
      <c r="H1330">
        <v>1864</v>
      </c>
      <c r="I1330">
        <v>2</v>
      </c>
      <c r="J1330" t="s">
        <v>33</v>
      </c>
      <c r="K1330">
        <v>2</v>
      </c>
      <c r="L1330">
        <v>2</v>
      </c>
      <c r="M1330" t="s">
        <v>50</v>
      </c>
      <c r="N1330">
        <v>3</v>
      </c>
      <c r="O1330" t="s">
        <v>41</v>
      </c>
      <c r="P1330">
        <v>3540</v>
      </c>
      <c r="Q1330">
        <v>1</v>
      </c>
      <c r="R1330" t="s">
        <v>36</v>
      </c>
      <c r="S1330">
        <v>21</v>
      </c>
      <c r="T1330">
        <v>4</v>
      </c>
      <c r="U1330">
        <v>4</v>
      </c>
      <c r="V1330">
        <v>1</v>
      </c>
      <c r="W1330">
        <v>9</v>
      </c>
      <c r="X1330">
        <v>5</v>
      </c>
      <c r="Y1330">
        <v>3</v>
      </c>
      <c r="Z1330">
        <v>9</v>
      </c>
      <c r="AA1330">
        <v>8</v>
      </c>
      <c r="AB1330">
        <v>5</v>
      </c>
      <c r="AC1330">
        <v>8</v>
      </c>
      <c r="AD1330">
        <f>IF(HR_Data[[#This Row],[Attrition]]="Yes",1,0)</f>
        <v>0</v>
      </c>
      <c r="AE1330" t="str">
        <f>IF(HR_Data[[#This Row],[Age]]&lt;=25,"18-25",IF(HR_Data[[#This Row],[Age]]&lt;=35,"26-35",IF(HR_Data[[#This Row],[Age]]&lt;=45,"36-45",IF(HR_Data[[#This Row],[Age]]&lt;=55,"46-55","55+"))))</f>
        <v>26-35</v>
      </c>
      <c r="AF1330">
        <f>IF(HR_Data[[#This Row],[Age]]&lt;=25,1,IF(HR_Data[[#This Row],[Age]]&lt;=35,2,IF(HR_Data[[#This Row],[Age]]&lt;=45,3,IF(HR_Data[[#This Row],[Age]]&lt;=55,4,5))))</f>
        <v>2</v>
      </c>
      <c r="AG1330" s="1" t="str">
        <f>IF(HR_Data[[#This Row],[MonthlyIncome]]&lt;3000,"&lt;3K",IF(HR_Data[[#This Row],[MonthlyIncome]]&lt;6000,"3K-6K",IF(HR_Data[[#This Row],[MonthlyIncome]]&lt;10000,"6K-10K","10K+")))</f>
        <v>3K-6K</v>
      </c>
      <c r="AH1330" s="1">
        <f>IF(HR_Data[[#This Row],[MonthlyIncome]]&lt;3000,1,IF(HR_Data[[#This Row],[MonthlyIncome]]&lt;6000,2,IF(HR_Data[[#This Row],[MonthlyIncome]]&lt;10000,3,4)))</f>
        <v>2</v>
      </c>
      <c r="AI1330" s="1" t="str">
        <f>IF(HR_Data[[#This Row],[YearsAtCompany]]&lt;=2,"0-2 Yrs",IF(HR_Data[[#This Row],[YearsAtCompany]]&lt;=5,"3-5 Yrs",IF(HR_Data[[#This Row],[YearsAtCompany]]&lt;=10,"6-10 Yrs","10+ Yrs")))</f>
        <v>6-10 Yrs</v>
      </c>
      <c r="AJ1330" s="1">
        <f>IF(HR_Data[[#This Row],[YearsAtCompany]]&lt;=2,1,IF(HR_Data[[#This Row],[YearsAtCompany]]&lt;=5,2,IF(HR_Data[[#This Row],[YearsAtCompany]]&lt;=10,3,4)))</f>
        <v>3</v>
      </c>
      <c r="AK1330" s="1" t="str">
        <f>CHOOSE(HR_Data[[#This Row],[Education]],"Below College","College","Bachelor","Master","Doctor")</f>
        <v>Below College</v>
      </c>
      <c r="AL1330" s="1" t="str">
        <f>CHOOSE(HR_Data[[#This Row],[JobSatisfaction]],"Low","Medium","High","Very High")</f>
        <v>High</v>
      </c>
      <c r="AM1330" s="1" t="str">
        <f>CHOOSE(HR_Data[[#This Row],[EnvironmentSatisfaction]],"Low","Medium","High","Very High")</f>
        <v>Medium</v>
      </c>
      <c r="AN1330" s="1" t="str">
        <f>CHOOSE(HR_Data[[#This Row],[WorkLifeBalance]],"Bad","Good","Better","Best")</f>
        <v>Better</v>
      </c>
      <c r="AO1330" s="1" t="str">
        <f>IF(HR_Data[[#This Row],[PercentSalaryHike]]&lt;=13,"11-13%",IF(HR_Data[[#This Row],[PercentSalaryHike]]&lt;=16,"14-16%",IF(HR_Data[[#This Row],[PercentSalaryHike]]&lt;=19,"17-19%","20-25%")))</f>
        <v>20-25%</v>
      </c>
      <c r="AP1330" s="1">
        <f>IF(HR_Data[[#This Row],[PercentSalaryHike]]&lt;=13,1,IF(HR_Data[[#This Row],[PercentSalaryHike]]&lt;=16,2,IF(HR_Data[[#This Row],[PercentSalaryHike]]&lt;=19,3,4)))</f>
        <v>4</v>
      </c>
      <c r="AQ1330" s="1" t="str">
        <f>IF(HR_Data[[#This Row],[DistanceFromHome]]&lt;=5,"1 to 5",IF(HR_Data[[#This Row],[DistanceFromHome]]&lt;=10,"6 to 10",IF(HR_Data[[#This Row],[DistanceFromHome]]&lt;=20,"11 to 20","21 to 29")))</f>
        <v>21 to 29</v>
      </c>
      <c r="AR1330" s="1">
        <f>IF(HR_Data[[#This Row],[DistanceFromHome]]&lt;=5,1,IF(HR_Data[[#This Row],[DistanceFromHome]]&lt;=10,2,IF(HR_Data[[#This Row],[DistanceFromHome]]&lt;=20,3,4)))</f>
        <v>4</v>
      </c>
      <c r="AS1330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330" s="1">
        <f>IF(HR_Data[[#This Row],[TotalWorkingYears]]&lt;=5,1,IF(HR_Data[[#This Row],[TotalWorkingYears]]&lt;=10,2,IF(HR_Data[[#This Row],[TotalWorkingYears]]&lt;=20,3,4)))</f>
        <v>2</v>
      </c>
    </row>
    <row r="1331" spans="1:46" x14ac:dyDescent="0.25">
      <c r="A1331">
        <v>29</v>
      </c>
      <c r="B1331" t="s">
        <v>36</v>
      </c>
      <c r="C1331" t="s">
        <v>30</v>
      </c>
      <c r="D1331" t="s">
        <v>54</v>
      </c>
      <c r="E1331">
        <v>6</v>
      </c>
      <c r="F1331">
        <v>1</v>
      </c>
      <c r="G1331" t="s">
        <v>44</v>
      </c>
      <c r="H1331">
        <v>1865</v>
      </c>
      <c r="I1331">
        <v>4</v>
      </c>
      <c r="J1331" t="s">
        <v>39</v>
      </c>
      <c r="K1331">
        <v>2</v>
      </c>
      <c r="L1331">
        <v>1</v>
      </c>
      <c r="M1331" t="s">
        <v>54</v>
      </c>
      <c r="N1331">
        <v>2</v>
      </c>
      <c r="O1331" t="s">
        <v>41</v>
      </c>
      <c r="P1331">
        <v>2804</v>
      </c>
      <c r="Q1331">
        <v>1</v>
      </c>
      <c r="R1331" t="s">
        <v>36</v>
      </c>
      <c r="S1331">
        <v>11</v>
      </c>
      <c r="T1331">
        <v>3</v>
      </c>
      <c r="U1331">
        <v>4</v>
      </c>
      <c r="V1331">
        <v>0</v>
      </c>
      <c r="W1331">
        <v>1</v>
      </c>
      <c r="X1331">
        <v>3</v>
      </c>
      <c r="Y1331">
        <v>3</v>
      </c>
      <c r="Z1331">
        <v>1</v>
      </c>
      <c r="AA1331">
        <v>0</v>
      </c>
      <c r="AB1331">
        <v>0</v>
      </c>
      <c r="AC1331">
        <v>0</v>
      </c>
      <c r="AD1331">
        <f>IF(HR_Data[[#This Row],[Attrition]]="Yes",1,0)</f>
        <v>0</v>
      </c>
      <c r="AE1331" t="str">
        <f>IF(HR_Data[[#This Row],[Age]]&lt;=25,"18-25",IF(HR_Data[[#This Row],[Age]]&lt;=35,"26-35",IF(HR_Data[[#This Row],[Age]]&lt;=45,"36-45",IF(HR_Data[[#This Row],[Age]]&lt;=55,"46-55","55+"))))</f>
        <v>26-35</v>
      </c>
      <c r="AF1331">
        <f>IF(HR_Data[[#This Row],[Age]]&lt;=25,1,IF(HR_Data[[#This Row],[Age]]&lt;=35,2,IF(HR_Data[[#This Row],[Age]]&lt;=45,3,IF(HR_Data[[#This Row],[Age]]&lt;=55,4,5))))</f>
        <v>2</v>
      </c>
      <c r="AG1331" s="1" t="str">
        <f>IF(HR_Data[[#This Row],[MonthlyIncome]]&lt;3000,"&lt;3K",IF(HR_Data[[#This Row],[MonthlyIncome]]&lt;6000,"3K-6K",IF(HR_Data[[#This Row],[MonthlyIncome]]&lt;10000,"6K-10K","10K+")))</f>
        <v>&lt;3K</v>
      </c>
      <c r="AH1331" s="1">
        <f>IF(HR_Data[[#This Row],[MonthlyIncome]]&lt;3000,1,IF(HR_Data[[#This Row],[MonthlyIncome]]&lt;6000,2,IF(HR_Data[[#This Row],[MonthlyIncome]]&lt;10000,3,4)))</f>
        <v>1</v>
      </c>
      <c r="AI1331" s="1" t="str">
        <f>IF(HR_Data[[#This Row],[YearsAtCompany]]&lt;=2,"0-2 Yrs",IF(HR_Data[[#This Row],[YearsAtCompany]]&lt;=5,"3-5 Yrs",IF(HR_Data[[#This Row],[YearsAtCompany]]&lt;=10,"6-10 Yrs","10+ Yrs")))</f>
        <v>0-2 Yrs</v>
      </c>
      <c r="AJ1331" s="1">
        <f>IF(HR_Data[[#This Row],[YearsAtCompany]]&lt;=2,1,IF(HR_Data[[#This Row],[YearsAtCompany]]&lt;=5,2,IF(HR_Data[[#This Row],[YearsAtCompany]]&lt;=10,3,4)))</f>
        <v>1</v>
      </c>
      <c r="AK1331" s="1" t="str">
        <f>CHOOSE(HR_Data[[#This Row],[Education]],"Below College","College","Bachelor","Master","Doctor")</f>
        <v>Below College</v>
      </c>
      <c r="AL1331" s="1" t="str">
        <f>CHOOSE(HR_Data[[#This Row],[JobSatisfaction]],"Low","Medium","High","Very High")</f>
        <v>Medium</v>
      </c>
      <c r="AM1331" s="1" t="str">
        <f>CHOOSE(HR_Data[[#This Row],[EnvironmentSatisfaction]],"Low","Medium","High","Very High")</f>
        <v>Very High</v>
      </c>
      <c r="AN1331" s="1" t="str">
        <f>CHOOSE(HR_Data[[#This Row],[WorkLifeBalance]],"Bad","Good","Better","Best")</f>
        <v>Better</v>
      </c>
      <c r="AO1331" s="1" t="str">
        <f>IF(HR_Data[[#This Row],[PercentSalaryHike]]&lt;=13,"11-13%",IF(HR_Data[[#This Row],[PercentSalaryHike]]&lt;=16,"14-16%",IF(HR_Data[[#This Row],[PercentSalaryHike]]&lt;=19,"17-19%","20-25%")))</f>
        <v>11-13%</v>
      </c>
      <c r="AP1331" s="1">
        <f>IF(HR_Data[[#This Row],[PercentSalaryHike]]&lt;=13,1,IF(HR_Data[[#This Row],[PercentSalaryHike]]&lt;=16,2,IF(HR_Data[[#This Row],[PercentSalaryHike]]&lt;=19,3,4)))</f>
        <v>1</v>
      </c>
      <c r="AQ1331" s="1" t="str">
        <f>IF(HR_Data[[#This Row],[DistanceFromHome]]&lt;=5,"1 to 5",IF(HR_Data[[#This Row],[DistanceFromHome]]&lt;=10,"6 to 10",IF(HR_Data[[#This Row],[DistanceFromHome]]&lt;=20,"11 to 20","21 to 29")))</f>
        <v>6 to 10</v>
      </c>
      <c r="AR1331" s="1">
        <f>IF(HR_Data[[#This Row],[DistanceFromHome]]&lt;=5,1,IF(HR_Data[[#This Row],[DistanceFromHome]]&lt;=10,2,IF(HR_Data[[#This Row],[DistanceFromHome]]&lt;=20,3,4)))</f>
        <v>2</v>
      </c>
      <c r="AS1331" s="1" t="str">
        <f>IF(HR_Data[[#This Row],[TotalWorkingYears]]&lt;=5,"0-5 Yrs",IF(HR_Data[[#This Row],[TotalWorkingYears]]&lt;=10,"6-10 Yrs",IF(HR_Data[[#This Row],[TotalWorkingYears]]&lt;=20,"11-20 Yrs","20+ Yrs")))</f>
        <v>0-5 Yrs</v>
      </c>
      <c r="AT1331" s="1">
        <f>IF(HR_Data[[#This Row],[TotalWorkingYears]]&lt;=5,1,IF(HR_Data[[#This Row],[TotalWorkingYears]]&lt;=10,2,IF(HR_Data[[#This Row],[TotalWorkingYears]]&lt;=20,3,4)))</f>
        <v>1</v>
      </c>
    </row>
    <row r="1332" spans="1:46" x14ac:dyDescent="0.25">
      <c r="A1332">
        <v>43</v>
      </c>
      <c r="B1332" t="s">
        <v>36</v>
      </c>
      <c r="C1332" t="s">
        <v>30</v>
      </c>
      <c r="D1332" t="s">
        <v>38</v>
      </c>
      <c r="E1332">
        <v>6</v>
      </c>
      <c r="F1332">
        <v>3</v>
      </c>
      <c r="G1332" t="s">
        <v>44</v>
      </c>
      <c r="H1332">
        <v>1866</v>
      </c>
      <c r="I1332">
        <v>1</v>
      </c>
      <c r="J1332" t="s">
        <v>33</v>
      </c>
      <c r="K1332">
        <v>2</v>
      </c>
      <c r="L1332">
        <v>5</v>
      </c>
      <c r="M1332" t="s">
        <v>49</v>
      </c>
      <c r="N1332">
        <v>3</v>
      </c>
      <c r="O1332" t="s">
        <v>41</v>
      </c>
      <c r="P1332">
        <v>19392</v>
      </c>
      <c r="Q1332">
        <v>7</v>
      </c>
      <c r="R1332" t="s">
        <v>36</v>
      </c>
      <c r="S1332">
        <v>13</v>
      </c>
      <c r="T1332">
        <v>3</v>
      </c>
      <c r="U1332">
        <v>4</v>
      </c>
      <c r="V1332">
        <v>0</v>
      </c>
      <c r="W1332">
        <v>21</v>
      </c>
      <c r="X1332">
        <v>2</v>
      </c>
      <c r="Y1332">
        <v>3</v>
      </c>
      <c r="Z1332">
        <v>16</v>
      </c>
      <c r="AA1332">
        <v>12</v>
      </c>
      <c r="AB1332">
        <v>6</v>
      </c>
      <c r="AC1332">
        <v>14</v>
      </c>
      <c r="AD1332">
        <f>IF(HR_Data[[#This Row],[Attrition]]="Yes",1,0)</f>
        <v>0</v>
      </c>
      <c r="AE1332" t="str">
        <f>IF(HR_Data[[#This Row],[Age]]&lt;=25,"18-25",IF(HR_Data[[#This Row],[Age]]&lt;=35,"26-35",IF(HR_Data[[#This Row],[Age]]&lt;=45,"36-45",IF(HR_Data[[#This Row],[Age]]&lt;=55,"46-55","55+"))))</f>
        <v>36-45</v>
      </c>
      <c r="AF1332">
        <f>IF(HR_Data[[#This Row],[Age]]&lt;=25,1,IF(HR_Data[[#This Row],[Age]]&lt;=35,2,IF(HR_Data[[#This Row],[Age]]&lt;=45,3,IF(HR_Data[[#This Row],[Age]]&lt;=55,4,5))))</f>
        <v>3</v>
      </c>
      <c r="AG1332" s="1" t="str">
        <f>IF(HR_Data[[#This Row],[MonthlyIncome]]&lt;3000,"&lt;3K",IF(HR_Data[[#This Row],[MonthlyIncome]]&lt;6000,"3K-6K",IF(HR_Data[[#This Row],[MonthlyIncome]]&lt;10000,"6K-10K","10K+")))</f>
        <v>10K+</v>
      </c>
      <c r="AH1332" s="1">
        <f>IF(HR_Data[[#This Row],[MonthlyIncome]]&lt;3000,1,IF(HR_Data[[#This Row],[MonthlyIncome]]&lt;6000,2,IF(HR_Data[[#This Row],[MonthlyIncome]]&lt;10000,3,4)))</f>
        <v>4</v>
      </c>
      <c r="AI1332" s="1" t="str">
        <f>IF(HR_Data[[#This Row],[YearsAtCompany]]&lt;=2,"0-2 Yrs",IF(HR_Data[[#This Row],[YearsAtCompany]]&lt;=5,"3-5 Yrs",IF(HR_Data[[#This Row],[YearsAtCompany]]&lt;=10,"6-10 Yrs","10+ Yrs")))</f>
        <v>10+ Yrs</v>
      </c>
      <c r="AJ1332" s="1">
        <f>IF(HR_Data[[#This Row],[YearsAtCompany]]&lt;=2,1,IF(HR_Data[[#This Row],[YearsAtCompany]]&lt;=5,2,IF(HR_Data[[#This Row],[YearsAtCompany]]&lt;=10,3,4)))</f>
        <v>4</v>
      </c>
      <c r="AK1332" s="1" t="str">
        <f>CHOOSE(HR_Data[[#This Row],[Education]],"Below College","College","Bachelor","Master","Doctor")</f>
        <v>Bachelor</v>
      </c>
      <c r="AL1332" s="1" t="str">
        <f>CHOOSE(HR_Data[[#This Row],[JobSatisfaction]],"Low","Medium","High","Very High")</f>
        <v>High</v>
      </c>
      <c r="AM1332" s="1" t="str">
        <f>CHOOSE(HR_Data[[#This Row],[EnvironmentSatisfaction]],"Low","Medium","High","Very High")</f>
        <v>Low</v>
      </c>
      <c r="AN1332" s="1" t="str">
        <f>CHOOSE(HR_Data[[#This Row],[WorkLifeBalance]],"Bad","Good","Better","Best")</f>
        <v>Better</v>
      </c>
      <c r="AO1332" s="1" t="str">
        <f>IF(HR_Data[[#This Row],[PercentSalaryHike]]&lt;=13,"11-13%",IF(HR_Data[[#This Row],[PercentSalaryHike]]&lt;=16,"14-16%",IF(HR_Data[[#This Row],[PercentSalaryHike]]&lt;=19,"17-19%","20-25%")))</f>
        <v>11-13%</v>
      </c>
      <c r="AP1332" s="1">
        <f>IF(HR_Data[[#This Row],[PercentSalaryHike]]&lt;=13,1,IF(HR_Data[[#This Row],[PercentSalaryHike]]&lt;=16,2,IF(HR_Data[[#This Row],[PercentSalaryHike]]&lt;=19,3,4)))</f>
        <v>1</v>
      </c>
      <c r="AQ1332" s="1" t="str">
        <f>IF(HR_Data[[#This Row],[DistanceFromHome]]&lt;=5,"1 to 5",IF(HR_Data[[#This Row],[DistanceFromHome]]&lt;=10,"6 to 10",IF(HR_Data[[#This Row],[DistanceFromHome]]&lt;=20,"11 to 20","21 to 29")))</f>
        <v>6 to 10</v>
      </c>
      <c r="AR1332" s="1">
        <f>IF(HR_Data[[#This Row],[DistanceFromHome]]&lt;=5,1,IF(HR_Data[[#This Row],[DistanceFromHome]]&lt;=10,2,IF(HR_Data[[#This Row],[DistanceFromHome]]&lt;=20,3,4)))</f>
        <v>2</v>
      </c>
      <c r="AS1332" s="1" t="str">
        <f>IF(HR_Data[[#This Row],[TotalWorkingYears]]&lt;=5,"0-5 Yrs",IF(HR_Data[[#This Row],[TotalWorkingYears]]&lt;=10,"6-10 Yrs",IF(HR_Data[[#This Row],[TotalWorkingYears]]&lt;=20,"11-20 Yrs","20+ Yrs")))</f>
        <v>20+ Yrs</v>
      </c>
      <c r="AT1332" s="1">
        <f>IF(HR_Data[[#This Row],[TotalWorkingYears]]&lt;=5,1,IF(HR_Data[[#This Row],[TotalWorkingYears]]&lt;=10,2,IF(HR_Data[[#This Row],[TotalWorkingYears]]&lt;=20,3,4)))</f>
        <v>4</v>
      </c>
    </row>
    <row r="1333" spans="1:46" x14ac:dyDescent="0.25">
      <c r="A1333">
        <v>48</v>
      </c>
      <c r="B1333" t="s">
        <v>36</v>
      </c>
      <c r="C1333" t="s">
        <v>30</v>
      </c>
      <c r="D1333" t="s">
        <v>38</v>
      </c>
      <c r="E1333">
        <v>10</v>
      </c>
      <c r="F1333">
        <v>3</v>
      </c>
      <c r="G1333" t="s">
        <v>32</v>
      </c>
      <c r="H1333">
        <v>1867</v>
      </c>
      <c r="I1333">
        <v>4</v>
      </c>
      <c r="J1333" t="s">
        <v>39</v>
      </c>
      <c r="K1333">
        <v>2</v>
      </c>
      <c r="L1333">
        <v>5</v>
      </c>
      <c r="M1333" t="s">
        <v>51</v>
      </c>
      <c r="N1333">
        <v>2</v>
      </c>
      <c r="O1333" t="s">
        <v>41</v>
      </c>
      <c r="P1333">
        <v>19665</v>
      </c>
      <c r="Q1333">
        <v>4</v>
      </c>
      <c r="R1333" t="s">
        <v>36</v>
      </c>
      <c r="S1333">
        <v>12</v>
      </c>
      <c r="T1333">
        <v>3</v>
      </c>
      <c r="U1333">
        <v>4</v>
      </c>
      <c r="V1333">
        <v>0</v>
      </c>
      <c r="W1333">
        <v>29</v>
      </c>
      <c r="X1333">
        <v>3</v>
      </c>
      <c r="Y1333">
        <v>3</v>
      </c>
      <c r="Z1333">
        <v>22</v>
      </c>
      <c r="AA1333">
        <v>10</v>
      </c>
      <c r="AB1333">
        <v>12</v>
      </c>
      <c r="AC1333">
        <v>9</v>
      </c>
      <c r="AD1333">
        <f>IF(HR_Data[[#This Row],[Attrition]]="Yes",1,0)</f>
        <v>0</v>
      </c>
      <c r="AE1333" t="str">
        <f>IF(HR_Data[[#This Row],[Age]]&lt;=25,"18-25",IF(HR_Data[[#This Row],[Age]]&lt;=35,"26-35",IF(HR_Data[[#This Row],[Age]]&lt;=45,"36-45",IF(HR_Data[[#This Row],[Age]]&lt;=55,"46-55","55+"))))</f>
        <v>46-55</v>
      </c>
      <c r="AF1333">
        <f>IF(HR_Data[[#This Row],[Age]]&lt;=25,1,IF(HR_Data[[#This Row],[Age]]&lt;=35,2,IF(HR_Data[[#This Row],[Age]]&lt;=45,3,IF(HR_Data[[#This Row],[Age]]&lt;=55,4,5))))</f>
        <v>4</v>
      </c>
      <c r="AG1333" s="1" t="str">
        <f>IF(HR_Data[[#This Row],[MonthlyIncome]]&lt;3000,"&lt;3K",IF(HR_Data[[#This Row],[MonthlyIncome]]&lt;6000,"3K-6K",IF(HR_Data[[#This Row],[MonthlyIncome]]&lt;10000,"6K-10K","10K+")))</f>
        <v>10K+</v>
      </c>
      <c r="AH1333" s="1">
        <f>IF(HR_Data[[#This Row],[MonthlyIncome]]&lt;3000,1,IF(HR_Data[[#This Row],[MonthlyIncome]]&lt;6000,2,IF(HR_Data[[#This Row],[MonthlyIncome]]&lt;10000,3,4)))</f>
        <v>4</v>
      </c>
      <c r="AI1333" s="1" t="str">
        <f>IF(HR_Data[[#This Row],[YearsAtCompany]]&lt;=2,"0-2 Yrs",IF(HR_Data[[#This Row],[YearsAtCompany]]&lt;=5,"3-5 Yrs",IF(HR_Data[[#This Row],[YearsAtCompany]]&lt;=10,"6-10 Yrs","10+ Yrs")))</f>
        <v>10+ Yrs</v>
      </c>
      <c r="AJ1333" s="1">
        <f>IF(HR_Data[[#This Row],[YearsAtCompany]]&lt;=2,1,IF(HR_Data[[#This Row],[YearsAtCompany]]&lt;=5,2,IF(HR_Data[[#This Row],[YearsAtCompany]]&lt;=10,3,4)))</f>
        <v>4</v>
      </c>
      <c r="AK1333" s="1" t="str">
        <f>CHOOSE(HR_Data[[#This Row],[Education]],"Below College","College","Bachelor","Master","Doctor")</f>
        <v>Bachelor</v>
      </c>
      <c r="AL1333" s="1" t="str">
        <f>CHOOSE(HR_Data[[#This Row],[JobSatisfaction]],"Low","Medium","High","Very High")</f>
        <v>Medium</v>
      </c>
      <c r="AM1333" s="1" t="str">
        <f>CHOOSE(HR_Data[[#This Row],[EnvironmentSatisfaction]],"Low","Medium","High","Very High")</f>
        <v>Very High</v>
      </c>
      <c r="AN1333" s="1" t="str">
        <f>CHOOSE(HR_Data[[#This Row],[WorkLifeBalance]],"Bad","Good","Better","Best")</f>
        <v>Better</v>
      </c>
      <c r="AO1333" s="1" t="str">
        <f>IF(HR_Data[[#This Row],[PercentSalaryHike]]&lt;=13,"11-13%",IF(HR_Data[[#This Row],[PercentSalaryHike]]&lt;=16,"14-16%",IF(HR_Data[[#This Row],[PercentSalaryHike]]&lt;=19,"17-19%","20-25%")))</f>
        <v>11-13%</v>
      </c>
      <c r="AP1333" s="1">
        <f>IF(HR_Data[[#This Row],[PercentSalaryHike]]&lt;=13,1,IF(HR_Data[[#This Row],[PercentSalaryHike]]&lt;=16,2,IF(HR_Data[[#This Row],[PercentSalaryHike]]&lt;=19,3,4)))</f>
        <v>1</v>
      </c>
      <c r="AQ1333" s="1" t="str">
        <f>IF(HR_Data[[#This Row],[DistanceFromHome]]&lt;=5,"1 to 5",IF(HR_Data[[#This Row],[DistanceFromHome]]&lt;=10,"6 to 10",IF(HR_Data[[#This Row],[DistanceFromHome]]&lt;=20,"11 to 20","21 to 29")))</f>
        <v>6 to 10</v>
      </c>
      <c r="AR1333" s="1">
        <f>IF(HR_Data[[#This Row],[DistanceFromHome]]&lt;=5,1,IF(HR_Data[[#This Row],[DistanceFromHome]]&lt;=10,2,IF(HR_Data[[#This Row],[DistanceFromHome]]&lt;=20,3,4)))</f>
        <v>2</v>
      </c>
      <c r="AS1333" s="1" t="str">
        <f>IF(HR_Data[[#This Row],[TotalWorkingYears]]&lt;=5,"0-5 Yrs",IF(HR_Data[[#This Row],[TotalWorkingYears]]&lt;=10,"6-10 Yrs",IF(HR_Data[[#This Row],[TotalWorkingYears]]&lt;=20,"11-20 Yrs","20+ Yrs")))</f>
        <v>20+ Yrs</v>
      </c>
      <c r="AT1333" s="1">
        <f>IF(HR_Data[[#This Row],[TotalWorkingYears]]&lt;=5,1,IF(HR_Data[[#This Row],[TotalWorkingYears]]&lt;=10,2,IF(HR_Data[[#This Row],[TotalWorkingYears]]&lt;=20,3,4)))</f>
        <v>4</v>
      </c>
    </row>
    <row r="1334" spans="1:46" x14ac:dyDescent="0.25">
      <c r="A1334">
        <v>29</v>
      </c>
      <c r="B1334" t="s">
        <v>29</v>
      </c>
      <c r="C1334" t="s">
        <v>37</v>
      </c>
      <c r="D1334" t="s">
        <v>38</v>
      </c>
      <c r="E1334">
        <v>24</v>
      </c>
      <c r="F1334">
        <v>2</v>
      </c>
      <c r="G1334" t="s">
        <v>32</v>
      </c>
      <c r="H1334">
        <v>1868</v>
      </c>
      <c r="I1334">
        <v>4</v>
      </c>
      <c r="J1334" t="s">
        <v>39</v>
      </c>
      <c r="K1334">
        <v>2</v>
      </c>
      <c r="L1334">
        <v>1</v>
      </c>
      <c r="M1334" t="s">
        <v>40</v>
      </c>
      <c r="N1334">
        <v>4</v>
      </c>
      <c r="O1334" t="s">
        <v>35</v>
      </c>
      <c r="P1334">
        <v>2439</v>
      </c>
      <c r="Q1334">
        <v>1</v>
      </c>
      <c r="R1334" t="s">
        <v>29</v>
      </c>
      <c r="S1334">
        <v>24</v>
      </c>
      <c r="T1334">
        <v>4</v>
      </c>
      <c r="U1334">
        <v>2</v>
      </c>
      <c r="V1334">
        <v>0</v>
      </c>
      <c r="W1334">
        <v>1</v>
      </c>
      <c r="X1334">
        <v>3</v>
      </c>
      <c r="Y1334">
        <v>2</v>
      </c>
      <c r="Z1334">
        <v>1</v>
      </c>
      <c r="AA1334">
        <v>0</v>
      </c>
      <c r="AB1334">
        <v>1</v>
      </c>
      <c r="AC1334">
        <v>0</v>
      </c>
      <c r="AD1334">
        <f>IF(HR_Data[[#This Row],[Attrition]]="Yes",1,0)</f>
        <v>1</v>
      </c>
      <c r="AE1334" t="str">
        <f>IF(HR_Data[[#This Row],[Age]]&lt;=25,"18-25",IF(HR_Data[[#This Row],[Age]]&lt;=35,"26-35",IF(HR_Data[[#This Row],[Age]]&lt;=45,"36-45",IF(HR_Data[[#This Row],[Age]]&lt;=55,"46-55","55+"))))</f>
        <v>26-35</v>
      </c>
      <c r="AF1334">
        <f>IF(HR_Data[[#This Row],[Age]]&lt;=25,1,IF(HR_Data[[#This Row],[Age]]&lt;=35,2,IF(HR_Data[[#This Row],[Age]]&lt;=45,3,IF(HR_Data[[#This Row],[Age]]&lt;=55,4,5))))</f>
        <v>2</v>
      </c>
      <c r="AG1334" s="1" t="str">
        <f>IF(HR_Data[[#This Row],[MonthlyIncome]]&lt;3000,"&lt;3K",IF(HR_Data[[#This Row],[MonthlyIncome]]&lt;6000,"3K-6K",IF(HR_Data[[#This Row],[MonthlyIncome]]&lt;10000,"6K-10K","10K+")))</f>
        <v>&lt;3K</v>
      </c>
      <c r="AH1334" s="1">
        <f>IF(HR_Data[[#This Row],[MonthlyIncome]]&lt;3000,1,IF(HR_Data[[#This Row],[MonthlyIncome]]&lt;6000,2,IF(HR_Data[[#This Row],[MonthlyIncome]]&lt;10000,3,4)))</f>
        <v>1</v>
      </c>
      <c r="AI1334" s="1" t="str">
        <f>IF(HR_Data[[#This Row],[YearsAtCompany]]&lt;=2,"0-2 Yrs",IF(HR_Data[[#This Row],[YearsAtCompany]]&lt;=5,"3-5 Yrs",IF(HR_Data[[#This Row],[YearsAtCompany]]&lt;=10,"6-10 Yrs","10+ Yrs")))</f>
        <v>0-2 Yrs</v>
      </c>
      <c r="AJ1334" s="1">
        <f>IF(HR_Data[[#This Row],[YearsAtCompany]]&lt;=2,1,IF(HR_Data[[#This Row],[YearsAtCompany]]&lt;=5,2,IF(HR_Data[[#This Row],[YearsAtCompany]]&lt;=10,3,4)))</f>
        <v>1</v>
      </c>
      <c r="AK1334" s="1" t="str">
        <f>CHOOSE(HR_Data[[#This Row],[Education]],"Below College","College","Bachelor","Master","Doctor")</f>
        <v>College</v>
      </c>
      <c r="AL1334" s="1" t="str">
        <f>CHOOSE(HR_Data[[#This Row],[JobSatisfaction]],"Low","Medium","High","Very High")</f>
        <v>Very High</v>
      </c>
      <c r="AM1334" s="1" t="str">
        <f>CHOOSE(HR_Data[[#This Row],[EnvironmentSatisfaction]],"Low","Medium","High","Very High")</f>
        <v>Very High</v>
      </c>
      <c r="AN1334" s="1" t="str">
        <f>CHOOSE(HR_Data[[#This Row],[WorkLifeBalance]],"Bad","Good","Better","Best")</f>
        <v>Good</v>
      </c>
      <c r="AO1334" s="1" t="str">
        <f>IF(HR_Data[[#This Row],[PercentSalaryHike]]&lt;=13,"11-13%",IF(HR_Data[[#This Row],[PercentSalaryHike]]&lt;=16,"14-16%",IF(HR_Data[[#This Row],[PercentSalaryHike]]&lt;=19,"17-19%","20-25%")))</f>
        <v>20-25%</v>
      </c>
      <c r="AP1334" s="1">
        <f>IF(HR_Data[[#This Row],[PercentSalaryHike]]&lt;=13,1,IF(HR_Data[[#This Row],[PercentSalaryHike]]&lt;=16,2,IF(HR_Data[[#This Row],[PercentSalaryHike]]&lt;=19,3,4)))</f>
        <v>4</v>
      </c>
      <c r="AQ1334" s="1" t="str">
        <f>IF(HR_Data[[#This Row],[DistanceFromHome]]&lt;=5,"1 to 5",IF(HR_Data[[#This Row],[DistanceFromHome]]&lt;=10,"6 to 10",IF(HR_Data[[#This Row],[DistanceFromHome]]&lt;=20,"11 to 20","21 to 29")))</f>
        <v>21 to 29</v>
      </c>
      <c r="AR1334" s="1">
        <f>IF(HR_Data[[#This Row],[DistanceFromHome]]&lt;=5,1,IF(HR_Data[[#This Row],[DistanceFromHome]]&lt;=10,2,IF(HR_Data[[#This Row],[DistanceFromHome]]&lt;=20,3,4)))</f>
        <v>4</v>
      </c>
      <c r="AS1334" s="1" t="str">
        <f>IF(HR_Data[[#This Row],[TotalWorkingYears]]&lt;=5,"0-5 Yrs",IF(HR_Data[[#This Row],[TotalWorkingYears]]&lt;=10,"6-10 Yrs",IF(HR_Data[[#This Row],[TotalWorkingYears]]&lt;=20,"11-20 Yrs","20+ Yrs")))</f>
        <v>0-5 Yrs</v>
      </c>
      <c r="AT1334" s="1">
        <f>IF(HR_Data[[#This Row],[TotalWorkingYears]]&lt;=5,1,IF(HR_Data[[#This Row],[TotalWorkingYears]]&lt;=10,2,IF(HR_Data[[#This Row],[TotalWorkingYears]]&lt;=20,3,4)))</f>
        <v>1</v>
      </c>
    </row>
    <row r="1335" spans="1:46" x14ac:dyDescent="0.25">
      <c r="A1335">
        <v>46</v>
      </c>
      <c r="B1335" t="s">
        <v>29</v>
      </c>
      <c r="C1335" t="s">
        <v>30</v>
      </c>
      <c r="D1335" t="s">
        <v>31</v>
      </c>
      <c r="E1335">
        <v>10</v>
      </c>
      <c r="F1335">
        <v>3</v>
      </c>
      <c r="G1335" t="s">
        <v>32</v>
      </c>
      <c r="H1335">
        <v>1869</v>
      </c>
      <c r="I1335">
        <v>3</v>
      </c>
      <c r="J1335" t="s">
        <v>33</v>
      </c>
      <c r="K1335">
        <v>3</v>
      </c>
      <c r="L1335">
        <v>3</v>
      </c>
      <c r="M1335" t="s">
        <v>34</v>
      </c>
      <c r="N1335">
        <v>2</v>
      </c>
      <c r="O1335" t="s">
        <v>41</v>
      </c>
      <c r="P1335">
        <v>7314</v>
      </c>
      <c r="Q1335">
        <v>5</v>
      </c>
      <c r="R1335" t="s">
        <v>36</v>
      </c>
      <c r="S1335">
        <v>21</v>
      </c>
      <c r="T1335">
        <v>4</v>
      </c>
      <c r="U1335">
        <v>3</v>
      </c>
      <c r="V1335">
        <v>3</v>
      </c>
      <c r="W1335">
        <v>14</v>
      </c>
      <c r="X1335">
        <v>2</v>
      </c>
      <c r="Y1335">
        <v>3</v>
      </c>
      <c r="Z1335">
        <v>8</v>
      </c>
      <c r="AA1335">
        <v>7</v>
      </c>
      <c r="AB1335">
        <v>0</v>
      </c>
      <c r="AC1335">
        <v>7</v>
      </c>
      <c r="AD1335">
        <f>IF(HR_Data[[#This Row],[Attrition]]="Yes",1,0)</f>
        <v>1</v>
      </c>
      <c r="AE1335" t="str">
        <f>IF(HR_Data[[#This Row],[Age]]&lt;=25,"18-25",IF(HR_Data[[#This Row],[Age]]&lt;=35,"26-35",IF(HR_Data[[#This Row],[Age]]&lt;=45,"36-45",IF(HR_Data[[#This Row],[Age]]&lt;=55,"46-55","55+"))))</f>
        <v>46-55</v>
      </c>
      <c r="AF1335">
        <f>IF(HR_Data[[#This Row],[Age]]&lt;=25,1,IF(HR_Data[[#This Row],[Age]]&lt;=35,2,IF(HR_Data[[#This Row],[Age]]&lt;=45,3,IF(HR_Data[[#This Row],[Age]]&lt;=55,4,5))))</f>
        <v>4</v>
      </c>
      <c r="AG1335" s="1" t="str">
        <f>IF(HR_Data[[#This Row],[MonthlyIncome]]&lt;3000,"&lt;3K",IF(HR_Data[[#This Row],[MonthlyIncome]]&lt;6000,"3K-6K",IF(HR_Data[[#This Row],[MonthlyIncome]]&lt;10000,"6K-10K","10K+")))</f>
        <v>6K-10K</v>
      </c>
      <c r="AH1335" s="1">
        <f>IF(HR_Data[[#This Row],[MonthlyIncome]]&lt;3000,1,IF(HR_Data[[#This Row],[MonthlyIncome]]&lt;6000,2,IF(HR_Data[[#This Row],[MonthlyIncome]]&lt;10000,3,4)))</f>
        <v>3</v>
      </c>
      <c r="AI1335" s="1" t="str">
        <f>IF(HR_Data[[#This Row],[YearsAtCompany]]&lt;=2,"0-2 Yrs",IF(HR_Data[[#This Row],[YearsAtCompany]]&lt;=5,"3-5 Yrs",IF(HR_Data[[#This Row],[YearsAtCompany]]&lt;=10,"6-10 Yrs","10+ Yrs")))</f>
        <v>6-10 Yrs</v>
      </c>
      <c r="AJ1335" s="1">
        <f>IF(HR_Data[[#This Row],[YearsAtCompany]]&lt;=2,1,IF(HR_Data[[#This Row],[YearsAtCompany]]&lt;=5,2,IF(HR_Data[[#This Row],[YearsAtCompany]]&lt;=10,3,4)))</f>
        <v>3</v>
      </c>
      <c r="AK1335" s="1" t="str">
        <f>CHOOSE(HR_Data[[#This Row],[Education]],"Below College","College","Bachelor","Master","Doctor")</f>
        <v>Bachelor</v>
      </c>
      <c r="AL1335" s="1" t="str">
        <f>CHOOSE(HR_Data[[#This Row],[JobSatisfaction]],"Low","Medium","High","Very High")</f>
        <v>Medium</v>
      </c>
      <c r="AM1335" s="1" t="str">
        <f>CHOOSE(HR_Data[[#This Row],[EnvironmentSatisfaction]],"Low","Medium","High","Very High")</f>
        <v>High</v>
      </c>
      <c r="AN1335" s="1" t="str">
        <f>CHOOSE(HR_Data[[#This Row],[WorkLifeBalance]],"Bad","Good","Better","Best")</f>
        <v>Better</v>
      </c>
      <c r="AO1335" s="1" t="str">
        <f>IF(HR_Data[[#This Row],[PercentSalaryHike]]&lt;=13,"11-13%",IF(HR_Data[[#This Row],[PercentSalaryHike]]&lt;=16,"14-16%",IF(HR_Data[[#This Row],[PercentSalaryHike]]&lt;=19,"17-19%","20-25%")))</f>
        <v>20-25%</v>
      </c>
      <c r="AP1335" s="1">
        <f>IF(HR_Data[[#This Row],[PercentSalaryHike]]&lt;=13,1,IF(HR_Data[[#This Row],[PercentSalaryHike]]&lt;=16,2,IF(HR_Data[[#This Row],[PercentSalaryHike]]&lt;=19,3,4)))</f>
        <v>4</v>
      </c>
      <c r="AQ1335" s="1" t="str">
        <f>IF(HR_Data[[#This Row],[DistanceFromHome]]&lt;=5,"1 to 5",IF(HR_Data[[#This Row],[DistanceFromHome]]&lt;=10,"6 to 10",IF(HR_Data[[#This Row],[DistanceFromHome]]&lt;=20,"11 to 20","21 to 29")))</f>
        <v>6 to 10</v>
      </c>
      <c r="AR1335" s="1">
        <f>IF(HR_Data[[#This Row],[DistanceFromHome]]&lt;=5,1,IF(HR_Data[[#This Row],[DistanceFromHome]]&lt;=10,2,IF(HR_Data[[#This Row],[DistanceFromHome]]&lt;=20,3,4)))</f>
        <v>2</v>
      </c>
      <c r="AS1335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335" s="1">
        <f>IF(HR_Data[[#This Row],[TotalWorkingYears]]&lt;=5,1,IF(HR_Data[[#This Row],[TotalWorkingYears]]&lt;=10,2,IF(HR_Data[[#This Row],[TotalWorkingYears]]&lt;=20,3,4)))</f>
        <v>3</v>
      </c>
    </row>
    <row r="1336" spans="1:46" x14ac:dyDescent="0.25">
      <c r="A1336">
        <v>27</v>
      </c>
      <c r="B1336" t="s">
        <v>36</v>
      </c>
      <c r="C1336" t="s">
        <v>37</v>
      </c>
      <c r="D1336" t="s">
        <v>38</v>
      </c>
      <c r="E1336">
        <v>15</v>
      </c>
      <c r="F1336">
        <v>3</v>
      </c>
      <c r="G1336" t="s">
        <v>32</v>
      </c>
      <c r="H1336">
        <v>1870</v>
      </c>
      <c r="I1336">
        <v>4</v>
      </c>
      <c r="J1336" t="s">
        <v>33</v>
      </c>
      <c r="K1336">
        <v>2</v>
      </c>
      <c r="L1336">
        <v>1</v>
      </c>
      <c r="M1336" t="s">
        <v>40</v>
      </c>
      <c r="N1336">
        <v>1</v>
      </c>
      <c r="O1336" t="s">
        <v>41</v>
      </c>
      <c r="P1336">
        <v>4774</v>
      </c>
      <c r="Q1336">
        <v>0</v>
      </c>
      <c r="R1336" t="s">
        <v>36</v>
      </c>
      <c r="S1336">
        <v>19</v>
      </c>
      <c r="T1336">
        <v>3</v>
      </c>
      <c r="U1336">
        <v>4</v>
      </c>
      <c r="V1336">
        <v>1</v>
      </c>
      <c r="W1336">
        <v>8</v>
      </c>
      <c r="X1336">
        <v>2</v>
      </c>
      <c r="Y1336">
        <v>2</v>
      </c>
      <c r="Z1336">
        <v>7</v>
      </c>
      <c r="AA1336">
        <v>6</v>
      </c>
      <c r="AB1336">
        <v>7</v>
      </c>
      <c r="AC1336">
        <v>3</v>
      </c>
      <c r="AD1336">
        <f>IF(HR_Data[[#This Row],[Attrition]]="Yes",1,0)</f>
        <v>0</v>
      </c>
      <c r="AE1336" t="str">
        <f>IF(HR_Data[[#This Row],[Age]]&lt;=25,"18-25",IF(HR_Data[[#This Row],[Age]]&lt;=35,"26-35",IF(HR_Data[[#This Row],[Age]]&lt;=45,"36-45",IF(HR_Data[[#This Row],[Age]]&lt;=55,"46-55","55+"))))</f>
        <v>26-35</v>
      </c>
      <c r="AF1336">
        <f>IF(HR_Data[[#This Row],[Age]]&lt;=25,1,IF(HR_Data[[#This Row],[Age]]&lt;=35,2,IF(HR_Data[[#This Row],[Age]]&lt;=45,3,IF(HR_Data[[#This Row],[Age]]&lt;=55,4,5))))</f>
        <v>2</v>
      </c>
      <c r="AG1336" s="1" t="str">
        <f>IF(HR_Data[[#This Row],[MonthlyIncome]]&lt;3000,"&lt;3K",IF(HR_Data[[#This Row],[MonthlyIncome]]&lt;6000,"3K-6K",IF(HR_Data[[#This Row],[MonthlyIncome]]&lt;10000,"6K-10K","10K+")))</f>
        <v>3K-6K</v>
      </c>
      <c r="AH1336" s="1">
        <f>IF(HR_Data[[#This Row],[MonthlyIncome]]&lt;3000,1,IF(HR_Data[[#This Row],[MonthlyIncome]]&lt;6000,2,IF(HR_Data[[#This Row],[MonthlyIncome]]&lt;10000,3,4)))</f>
        <v>2</v>
      </c>
      <c r="AI1336" s="1" t="str">
        <f>IF(HR_Data[[#This Row],[YearsAtCompany]]&lt;=2,"0-2 Yrs",IF(HR_Data[[#This Row],[YearsAtCompany]]&lt;=5,"3-5 Yrs",IF(HR_Data[[#This Row],[YearsAtCompany]]&lt;=10,"6-10 Yrs","10+ Yrs")))</f>
        <v>6-10 Yrs</v>
      </c>
      <c r="AJ1336" s="1">
        <f>IF(HR_Data[[#This Row],[YearsAtCompany]]&lt;=2,1,IF(HR_Data[[#This Row],[YearsAtCompany]]&lt;=5,2,IF(HR_Data[[#This Row],[YearsAtCompany]]&lt;=10,3,4)))</f>
        <v>3</v>
      </c>
      <c r="AK1336" s="1" t="str">
        <f>CHOOSE(HR_Data[[#This Row],[Education]],"Below College","College","Bachelor","Master","Doctor")</f>
        <v>Bachelor</v>
      </c>
      <c r="AL1336" s="1" t="str">
        <f>CHOOSE(HR_Data[[#This Row],[JobSatisfaction]],"Low","Medium","High","Very High")</f>
        <v>Low</v>
      </c>
      <c r="AM1336" s="1" t="str">
        <f>CHOOSE(HR_Data[[#This Row],[EnvironmentSatisfaction]],"Low","Medium","High","Very High")</f>
        <v>Very High</v>
      </c>
      <c r="AN1336" s="1" t="str">
        <f>CHOOSE(HR_Data[[#This Row],[WorkLifeBalance]],"Bad","Good","Better","Best")</f>
        <v>Good</v>
      </c>
      <c r="AO1336" s="1" t="str">
        <f>IF(HR_Data[[#This Row],[PercentSalaryHike]]&lt;=13,"11-13%",IF(HR_Data[[#This Row],[PercentSalaryHike]]&lt;=16,"14-16%",IF(HR_Data[[#This Row],[PercentSalaryHike]]&lt;=19,"17-19%","20-25%")))</f>
        <v>17-19%</v>
      </c>
      <c r="AP1336" s="1">
        <f>IF(HR_Data[[#This Row],[PercentSalaryHike]]&lt;=13,1,IF(HR_Data[[#This Row],[PercentSalaryHike]]&lt;=16,2,IF(HR_Data[[#This Row],[PercentSalaryHike]]&lt;=19,3,4)))</f>
        <v>3</v>
      </c>
      <c r="AQ1336" s="1" t="str">
        <f>IF(HR_Data[[#This Row],[DistanceFromHome]]&lt;=5,"1 to 5",IF(HR_Data[[#This Row],[DistanceFromHome]]&lt;=10,"6 to 10",IF(HR_Data[[#This Row],[DistanceFromHome]]&lt;=20,"11 to 20","21 to 29")))</f>
        <v>11 to 20</v>
      </c>
      <c r="AR1336" s="1">
        <f>IF(HR_Data[[#This Row],[DistanceFromHome]]&lt;=5,1,IF(HR_Data[[#This Row],[DistanceFromHome]]&lt;=10,2,IF(HR_Data[[#This Row],[DistanceFromHome]]&lt;=20,3,4)))</f>
        <v>3</v>
      </c>
      <c r="AS1336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336" s="1">
        <f>IF(HR_Data[[#This Row],[TotalWorkingYears]]&lt;=5,1,IF(HR_Data[[#This Row],[TotalWorkingYears]]&lt;=10,2,IF(HR_Data[[#This Row],[TotalWorkingYears]]&lt;=20,3,4)))</f>
        <v>2</v>
      </c>
    </row>
    <row r="1337" spans="1:46" x14ac:dyDescent="0.25">
      <c r="A1337">
        <v>39</v>
      </c>
      <c r="B1337" t="s">
        <v>36</v>
      </c>
      <c r="C1337" t="s">
        <v>30</v>
      </c>
      <c r="D1337" t="s">
        <v>38</v>
      </c>
      <c r="E1337">
        <v>19</v>
      </c>
      <c r="F1337">
        <v>4</v>
      </c>
      <c r="G1337" t="s">
        <v>42</v>
      </c>
      <c r="H1337">
        <v>1871</v>
      </c>
      <c r="I1337">
        <v>4</v>
      </c>
      <c r="J1337" t="s">
        <v>39</v>
      </c>
      <c r="K1337">
        <v>3</v>
      </c>
      <c r="L1337">
        <v>2</v>
      </c>
      <c r="M1337" t="s">
        <v>40</v>
      </c>
      <c r="N1337">
        <v>4</v>
      </c>
      <c r="O1337" t="s">
        <v>45</v>
      </c>
      <c r="P1337">
        <v>3902</v>
      </c>
      <c r="Q1337">
        <v>8</v>
      </c>
      <c r="R1337" t="s">
        <v>36</v>
      </c>
      <c r="S1337">
        <v>14</v>
      </c>
      <c r="T1337">
        <v>3</v>
      </c>
      <c r="U1337">
        <v>2</v>
      </c>
      <c r="V1337">
        <v>3</v>
      </c>
      <c r="W1337">
        <v>7</v>
      </c>
      <c r="X1337">
        <v>2</v>
      </c>
      <c r="Y1337">
        <v>3</v>
      </c>
      <c r="Z1337">
        <v>2</v>
      </c>
      <c r="AA1337">
        <v>2</v>
      </c>
      <c r="AB1337">
        <v>2</v>
      </c>
      <c r="AC1337">
        <v>2</v>
      </c>
      <c r="AD1337">
        <f>IF(HR_Data[[#This Row],[Attrition]]="Yes",1,0)</f>
        <v>0</v>
      </c>
      <c r="AE1337" t="str">
        <f>IF(HR_Data[[#This Row],[Age]]&lt;=25,"18-25",IF(HR_Data[[#This Row],[Age]]&lt;=35,"26-35",IF(HR_Data[[#This Row],[Age]]&lt;=45,"36-45",IF(HR_Data[[#This Row],[Age]]&lt;=55,"46-55","55+"))))</f>
        <v>36-45</v>
      </c>
      <c r="AF1337">
        <f>IF(HR_Data[[#This Row],[Age]]&lt;=25,1,IF(HR_Data[[#This Row],[Age]]&lt;=35,2,IF(HR_Data[[#This Row],[Age]]&lt;=45,3,IF(HR_Data[[#This Row],[Age]]&lt;=55,4,5))))</f>
        <v>3</v>
      </c>
      <c r="AG1337" s="1" t="str">
        <f>IF(HR_Data[[#This Row],[MonthlyIncome]]&lt;3000,"&lt;3K",IF(HR_Data[[#This Row],[MonthlyIncome]]&lt;6000,"3K-6K",IF(HR_Data[[#This Row],[MonthlyIncome]]&lt;10000,"6K-10K","10K+")))</f>
        <v>3K-6K</v>
      </c>
      <c r="AH1337" s="1">
        <f>IF(HR_Data[[#This Row],[MonthlyIncome]]&lt;3000,1,IF(HR_Data[[#This Row],[MonthlyIncome]]&lt;6000,2,IF(HR_Data[[#This Row],[MonthlyIncome]]&lt;10000,3,4)))</f>
        <v>2</v>
      </c>
      <c r="AI1337" s="1" t="str">
        <f>IF(HR_Data[[#This Row],[YearsAtCompany]]&lt;=2,"0-2 Yrs",IF(HR_Data[[#This Row],[YearsAtCompany]]&lt;=5,"3-5 Yrs",IF(HR_Data[[#This Row],[YearsAtCompany]]&lt;=10,"6-10 Yrs","10+ Yrs")))</f>
        <v>0-2 Yrs</v>
      </c>
      <c r="AJ1337" s="1">
        <f>IF(HR_Data[[#This Row],[YearsAtCompany]]&lt;=2,1,IF(HR_Data[[#This Row],[YearsAtCompany]]&lt;=5,2,IF(HR_Data[[#This Row],[YearsAtCompany]]&lt;=10,3,4)))</f>
        <v>1</v>
      </c>
      <c r="AK1337" s="1" t="str">
        <f>CHOOSE(HR_Data[[#This Row],[Education]],"Below College","College","Bachelor","Master","Doctor")</f>
        <v>Master</v>
      </c>
      <c r="AL1337" s="1" t="str">
        <f>CHOOSE(HR_Data[[#This Row],[JobSatisfaction]],"Low","Medium","High","Very High")</f>
        <v>Very High</v>
      </c>
      <c r="AM1337" s="1" t="str">
        <f>CHOOSE(HR_Data[[#This Row],[EnvironmentSatisfaction]],"Low","Medium","High","Very High")</f>
        <v>Very High</v>
      </c>
      <c r="AN1337" s="1" t="str">
        <f>CHOOSE(HR_Data[[#This Row],[WorkLifeBalance]],"Bad","Good","Better","Best")</f>
        <v>Better</v>
      </c>
      <c r="AO1337" s="1" t="str">
        <f>IF(HR_Data[[#This Row],[PercentSalaryHike]]&lt;=13,"11-13%",IF(HR_Data[[#This Row],[PercentSalaryHike]]&lt;=16,"14-16%",IF(HR_Data[[#This Row],[PercentSalaryHike]]&lt;=19,"17-19%","20-25%")))</f>
        <v>14-16%</v>
      </c>
      <c r="AP1337" s="1">
        <f>IF(HR_Data[[#This Row],[PercentSalaryHike]]&lt;=13,1,IF(HR_Data[[#This Row],[PercentSalaryHike]]&lt;=16,2,IF(HR_Data[[#This Row],[PercentSalaryHike]]&lt;=19,3,4)))</f>
        <v>2</v>
      </c>
      <c r="AQ1337" s="1" t="str">
        <f>IF(HR_Data[[#This Row],[DistanceFromHome]]&lt;=5,"1 to 5",IF(HR_Data[[#This Row],[DistanceFromHome]]&lt;=10,"6 to 10",IF(HR_Data[[#This Row],[DistanceFromHome]]&lt;=20,"11 to 20","21 to 29")))</f>
        <v>11 to 20</v>
      </c>
      <c r="AR1337" s="1">
        <f>IF(HR_Data[[#This Row],[DistanceFromHome]]&lt;=5,1,IF(HR_Data[[#This Row],[DistanceFromHome]]&lt;=10,2,IF(HR_Data[[#This Row],[DistanceFromHome]]&lt;=20,3,4)))</f>
        <v>3</v>
      </c>
      <c r="AS1337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337" s="1">
        <f>IF(HR_Data[[#This Row],[TotalWorkingYears]]&lt;=5,1,IF(HR_Data[[#This Row],[TotalWorkingYears]]&lt;=10,2,IF(HR_Data[[#This Row],[TotalWorkingYears]]&lt;=20,3,4)))</f>
        <v>2</v>
      </c>
    </row>
    <row r="1338" spans="1:46" x14ac:dyDescent="0.25">
      <c r="A1338">
        <v>55</v>
      </c>
      <c r="B1338" t="s">
        <v>36</v>
      </c>
      <c r="C1338" t="s">
        <v>30</v>
      </c>
      <c r="D1338" t="s">
        <v>38</v>
      </c>
      <c r="E1338">
        <v>2</v>
      </c>
      <c r="F1338">
        <v>4</v>
      </c>
      <c r="G1338" t="s">
        <v>53</v>
      </c>
      <c r="H1338">
        <v>1873</v>
      </c>
      <c r="I1338">
        <v>2</v>
      </c>
      <c r="J1338" t="s">
        <v>39</v>
      </c>
      <c r="K1338">
        <v>2</v>
      </c>
      <c r="L1338">
        <v>1</v>
      </c>
      <c r="M1338" t="s">
        <v>40</v>
      </c>
      <c r="N1338">
        <v>4</v>
      </c>
      <c r="O1338" t="s">
        <v>41</v>
      </c>
      <c r="P1338">
        <v>2662</v>
      </c>
      <c r="Q1338">
        <v>8</v>
      </c>
      <c r="R1338" t="s">
        <v>36</v>
      </c>
      <c r="S1338">
        <v>20</v>
      </c>
      <c r="T1338">
        <v>4</v>
      </c>
      <c r="U1338">
        <v>2</v>
      </c>
      <c r="V1338">
        <v>1</v>
      </c>
      <c r="W1338">
        <v>19</v>
      </c>
      <c r="X1338">
        <v>2</v>
      </c>
      <c r="Y1338">
        <v>4</v>
      </c>
      <c r="Z1338">
        <v>5</v>
      </c>
      <c r="AA1338">
        <v>2</v>
      </c>
      <c r="AB1338">
        <v>0</v>
      </c>
      <c r="AC1338">
        <v>4</v>
      </c>
      <c r="AD1338">
        <f>IF(HR_Data[[#This Row],[Attrition]]="Yes",1,0)</f>
        <v>0</v>
      </c>
      <c r="AE1338" t="str">
        <f>IF(HR_Data[[#This Row],[Age]]&lt;=25,"18-25",IF(HR_Data[[#This Row],[Age]]&lt;=35,"26-35",IF(HR_Data[[#This Row],[Age]]&lt;=45,"36-45",IF(HR_Data[[#This Row],[Age]]&lt;=55,"46-55","55+"))))</f>
        <v>46-55</v>
      </c>
      <c r="AF1338">
        <f>IF(HR_Data[[#This Row],[Age]]&lt;=25,1,IF(HR_Data[[#This Row],[Age]]&lt;=35,2,IF(HR_Data[[#This Row],[Age]]&lt;=45,3,IF(HR_Data[[#This Row],[Age]]&lt;=55,4,5))))</f>
        <v>4</v>
      </c>
      <c r="AG1338" s="1" t="str">
        <f>IF(HR_Data[[#This Row],[MonthlyIncome]]&lt;3000,"&lt;3K",IF(HR_Data[[#This Row],[MonthlyIncome]]&lt;6000,"3K-6K",IF(HR_Data[[#This Row],[MonthlyIncome]]&lt;10000,"6K-10K","10K+")))</f>
        <v>&lt;3K</v>
      </c>
      <c r="AH1338" s="1">
        <f>IF(HR_Data[[#This Row],[MonthlyIncome]]&lt;3000,1,IF(HR_Data[[#This Row],[MonthlyIncome]]&lt;6000,2,IF(HR_Data[[#This Row],[MonthlyIncome]]&lt;10000,3,4)))</f>
        <v>1</v>
      </c>
      <c r="AI1338" s="1" t="str">
        <f>IF(HR_Data[[#This Row],[YearsAtCompany]]&lt;=2,"0-2 Yrs",IF(HR_Data[[#This Row],[YearsAtCompany]]&lt;=5,"3-5 Yrs",IF(HR_Data[[#This Row],[YearsAtCompany]]&lt;=10,"6-10 Yrs","10+ Yrs")))</f>
        <v>3-5 Yrs</v>
      </c>
      <c r="AJ1338" s="1">
        <f>IF(HR_Data[[#This Row],[YearsAtCompany]]&lt;=2,1,IF(HR_Data[[#This Row],[YearsAtCompany]]&lt;=5,2,IF(HR_Data[[#This Row],[YearsAtCompany]]&lt;=10,3,4)))</f>
        <v>2</v>
      </c>
      <c r="AK1338" s="1" t="str">
        <f>CHOOSE(HR_Data[[#This Row],[Education]],"Below College","College","Bachelor","Master","Doctor")</f>
        <v>Master</v>
      </c>
      <c r="AL1338" s="1" t="str">
        <f>CHOOSE(HR_Data[[#This Row],[JobSatisfaction]],"Low","Medium","High","Very High")</f>
        <v>Very High</v>
      </c>
      <c r="AM1338" s="1" t="str">
        <f>CHOOSE(HR_Data[[#This Row],[EnvironmentSatisfaction]],"Low","Medium","High","Very High")</f>
        <v>Medium</v>
      </c>
      <c r="AN1338" s="1" t="str">
        <f>CHOOSE(HR_Data[[#This Row],[WorkLifeBalance]],"Bad","Good","Better","Best")</f>
        <v>Best</v>
      </c>
      <c r="AO1338" s="1" t="str">
        <f>IF(HR_Data[[#This Row],[PercentSalaryHike]]&lt;=13,"11-13%",IF(HR_Data[[#This Row],[PercentSalaryHike]]&lt;=16,"14-16%",IF(HR_Data[[#This Row],[PercentSalaryHike]]&lt;=19,"17-19%","20-25%")))</f>
        <v>20-25%</v>
      </c>
      <c r="AP1338" s="1">
        <f>IF(HR_Data[[#This Row],[PercentSalaryHike]]&lt;=13,1,IF(HR_Data[[#This Row],[PercentSalaryHike]]&lt;=16,2,IF(HR_Data[[#This Row],[PercentSalaryHike]]&lt;=19,3,4)))</f>
        <v>4</v>
      </c>
      <c r="AQ1338" s="1" t="str">
        <f>IF(HR_Data[[#This Row],[DistanceFromHome]]&lt;=5,"1 to 5",IF(HR_Data[[#This Row],[DistanceFromHome]]&lt;=10,"6 to 10",IF(HR_Data[[#This Row],[DistanceFromHome]]&lt;=20,"11 to 20","21 to 29")))</f>
        <v>1 to 5</v>
      </c>
      <c r="AR1338" s="1">
        <f>IF(HR_Data[[#This Row],[DistanceFromHome]]&lt;=5,1,IF(HR_Data[[#This Row],[DistanceFromHome]]&lt;=10,2,IF(HR_Data[[#This Row],[DistanceFromHome]]&lt;=20,3,4)))</f>
        <v>1</v>
      </c>
      <c r="AS1338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338" s="1">
        <f>IF(HR_Data[[#This Row],[TotalWorkingYears]]&lt;=5,1,IF(HR_Data[[#This Row],[TotalWorkingYears]]&lt;=10,2,IF(HR_Data[[#This Row],[TotalWorkingYears]]&lt;=20,3,4)))</f>
        <v>3</v>
      </c>
    </row>
    <row r="1339" spans="1:46" x14ac:dyDescent="0.25">
      <c r="A1339">
        <v>28</v>
      </c>
      <c r="B1339" t="s">
        <v>36</v>
      </c>
      <c r="C1339" t="s">
        <v>30</v>
      </c>
      <c r="D1339" t="s">
        <v>31</v>
      </c>
      <c r="E1339">
        <v>3</v>
      </c>
      <c r="F1339">
        <v>3</v>
      </c>
      <c r="G1339" t="s">
        <v>44</v>
      </c>
      <c r="H1339">
        <v>1875</v>
      </c>
      <c r="I1339">
        <v>2</v>
      </c>
      <c r="J1339" t="s">
        <v>33</v>
      </c>
      <c r="K1339">
        <v>3</v>
      </c>
      <c r="L1339">
        <v>1</v>
      </c>
      <c r="M1339" t="s">
        <v>50</v>
      </c>
      <c r="N1339">
        <v>2</v>
      </c>
      <c r="O1339" t="s">
        <v>41</v>
      </c>
      <c r="P1339">
        <v>2856</v>
      </c>
      <c r="Q1339">
        <v>1</v>
      </c>
      <c r="R1339" t="s">
        <v>36</v>
      </c>
      <c r="S1339">
        <v>19</v>
      </c>
      <c r="T1339">
        <v>3</v>
      </c>
      <c r="U1339">
        <v>4</v>
      </c>
      <c r="V1339">
        <v>1</v>
      </c>
      <c r="W1339">
        <v>1</v>
      </c>
      <c r="X1339">
        <v>3</v>
      </c>
      <c r="Y1339">
        <v>3</v>
      </c>
      <c r="Z1339">
        <v>1</v>
      </c>
      <c r="AA1339">
        <v>0</v>
      </c>
      <c r="AB1339">
        <v>0</v>
      </c>
      <c r="AC1339">
        <v>0</v>
      </c>
      <c r="AD1339">
        <f>IF(HR_Data[[#This Row],[Attrition]]="Yes",1,0)</f>
        <v>0</v>
      </c>
      <c r="AE1339" t="str">
        <f>IF(HR_Data[[#This Row],[Age]]&lt;=25,"18-25",IF(HR_Data[[#This Row],[Age]]&lt;=35,"26-35",IF(HR_Data[[#This Row],[Age]]&lt;=45,"36-45",IF(HR_Data[[#This Row],[Age]]&lt;=55,"46-55","55+"))))</f>
        <v>26-35</v>
      </c>
      <c r="AF1339">
        <f>IF(HR_Data[[#This Row],[Age]]&lt;=25,1,IF(HR_Data[[#This Row],[Age]]&lt;=35,2,IF(HR_Data[[#This Row],[Age]]&lt;=45,3,IF(HR_Data[[#This Row],[Age]]&lt;=55,4,5))))</f>
        <v>2</v>
      </c>
      <c r="AG1339" s="1" t="str">
        <f>IF(HR_Data[[#This Row],[MonthlyIncome]]&lt;3000,"&lt;3K",IF(HR_Data[[#This Row],[MonthlyIncome]]&lt;6000,"3K-6K",IF(HR_Data[[#This Row],[MonthlyIncome]]&lt;10000,"6K-10K","10K+")))</f>
        <v>&lt;3K</v>
      </c>
      <c r="AH1339" s="1">
        <f>IF(HR_Data[[#This Row],[MonthlyIncome]]&lt;3000,1,IF(HR_Data[[#This Row],[MonthlyIncome]]&lt;6000,2,IF(HR_Data[[#This Row],[MonthlyIncome]]&lt;10000,3,4)))</f>
        <v>1</v>
      </c>
      <c r="AI1339" s="1" t="str">
        <f>IF(HR_Data[[#This Row],[YearsAtCompany]]&lt;=2,"0-2 Yrs",IF(HR_Data[[#This Row],[YearsAtCompany]]&lt;=5,"3-5 Yrs",IF(HR_Data[[#This Row],[YearsAtCompany]]&lt;=10,"6-10 Yrs","10+ Yrs")))</f>
        <v>0-2 Yrs</v>
      </c>
      <c r="AJ1339" s="1">
        <f>IF(HR_Data[[#This Row],[YearsAtCompany]]&lt;=2,1,IF(HR_Data[[#This Row],[YearsAtCompany]]&lt;=5,2,IF(HR_Data[[#This Row],[YearsAtCompany]]&lt;=10,3,4)))</f>
        <v>1</v>
      </c>
      <c r="AK1339" s="1" t="str">
        <f>CHOOSE(HR_Data[[#This Row],[Education]],"Below College","College","Bachelor","Master","Doctor")</f>
        <v>Bachelor</v>
      </c>
      <c r="AL1339" s="1" t="str">
        <f>CHOOSE(HR_Data[[#This Row],[JobSatisfaction]],"Low","Medium","High","Very High")</f>
        <v>Medium</v>
      </c>
      <c r="AM1339" s="1" t="str">
        <f>CHOOSE(HR_Data[[#This Row],[EnvironmentSatisfaction]],"Low","Medium","High","Very High")</f>
        <v>Medium</v>
      </c>
      <c r="AN1339" s="1" t="str">
        <f>CHOOSE(HR_Data[[#This Row],[WorkLifeBalance]],"Bad","Good","Better","Best")</f>
        <v>Better</v>
      </c>
      <c r="AO1339" s="1" t="str">
        <f>IF(HR_Data[[#This Row],[PercentSalaryHike]]&lt;=13,"11-13%",IF(HR_Data[[#This Row],[PercentSalaryHike]]&lt;=16,"14-16%",IF(HR_Data[[#This Row],[PercentSalaryHike]]&lt;=19,"17-19%","20-25%")))</f>
        <v>17-19%</v>
      </c>
      <c r="AP1339" s="1">
        <f>IF(HR_Data[[#This Row],[PercentSalaryHike]]&lt;=13,1,IF(HR_Data[[#This Row],[PercentSalaryHike]]&lt;=16,2,IF(HR_Data[[#This Row],[PercentSalaryHike]]&lt;=19,3,4)))</f>
        <v>3</v>
      </c>
      <c r="AQ1339" s="1" t="str">
        <f>IF(HR_Data[[#This Row],[DistanceFromHome]]&lt;=5,"1 to 5",IF(HR_Data[[#This Row],[DistanceFromHome]]&lt;=10,"6 to 10",IF(HR_Data[[#This Row],[DistanceFromHome]]&lt;=20,"11 to 20","21 to 29")))</f>
        <v>1 to 5</v>
      </c>
      <c r="AR1339" s="1">
        <f>IF(HR_Data[[#This Row],[DistanceFromHome]]&lt;=5,1,IF(HR_Data[[#This Row],[DistanceFromHome]]&lt;=10,2,IF(HR_Data[[#This Row],[DistanceFromHome]]&lt;=20,3,4)))</f>
        <v>1</v>
      </c>
      <c r="AS1339" s="1" t="str">
        <f>IF(HR_Data[[#This Row],[TotalWorkingYears]]&lt;=5,"0-5 Yrs",IF(HR_Data[[#This Row],[TotalWorkingYears]]&lt;=10,"6-10 Yrs",IF(HR_Data[[#This Row],[TotalWorkingYears]]&lt;=20,"11-20 Yrs","20+ Yrs")))</f>
        <v>0-5 Yrs</v>
      </c>
      <c r="AT1339" s="1">
        <f>IF(HR_Data[[#This Row],[TotalWorkingYears]]&lt;=5,1,IF(HR_Data[[#This Row],[TotalWorkingYears]]&lt;=10,2,IF(HR_Data[[#This Row],[TotalWorkingYears]]&lt;=20,3,4)))</f>
        <v>1</v>
      </c>
    </row>
    <row r="1340" spans="1:46" x14ac:dyDescent="0.25">
      <c r="A1340">
        <v>30</v>
      </c>
      <c r="B1340" t="s">
        <v>29</v>
      </c>
      <c r="C1340" t="s">
        <v>30</v>
      </c>
      <c r="D1340" t="s">
        <v>31</v>
      </c>
      <c r="E1340">
        <v>9</v>
      </c>
      <c r="F1340">
        <v>3</v>
      </c>
      <c r="G1340" t="s">
        <v>44</v>
      </c>
      <c r="H1340">
        <v>1876</v>
      </c>
      <c r="I1340">
        <v>2</v>
      </c>
      <c r="J1340" t="s">
        <v>39</v>
      </c>
      <c r="K1340">
        <v>3</v>
      </c>
      <c r="L1340">
        <v>1</v>
      </c>
      <c r="M1340" t="s">
        <v>50</v>
      </c>
      <c r="N1340">
        <v>4</v>
      </c>
      <c r="O1340" t="s">
        <v>35</v>
      </c>
      <c r="P1340">
        <v>1081</v>
      </c>
      <c r="Q1340">
        <v>1</v>
      </c>
      <c r="R1340" t="s">
        <v>36</v>
      </c>
      <c r="S1340">
        <v>13</v>
      </c>
      <c r="T1340">
        <v>3</v>
      </c>
      <c r="U1340">
        <v>3</v>
      </c>
      <c r="V1340">
        <v>0</v>
      </c>
      <c r="W1340">
        <v>1</v>
      </c>
      <c r="X1340">
        <v>3</v>
      </c>
      <c r="Y1340">
        <v>2</v>
      </c>
      <c r="Z1340">
        <v>1</v>
      </c>
      <c r="AA1340">
        <v>0</v>
      </c>
      <c r="AB1340">
        <v>0</v>
      </c>
      <c r="AC1340">
        <v>0</v>
      </c>
      <c r="AD1340">
        <f>IF(HR_Data[[#This Row],[Attrition]]="Yes",1,0)</f>
        <v>1</v>
      </c>
      <c r="AE1340" t="str">
        <f>IF(HR_Data[[#This Row],[Age]]&lt;=25,"18-25",IF(HR_Data[[#This Row],[Age]]&lt;=35,"26-35",IF(HR_Data[[#This Row],[Age]]&lt;=45,"36-45",IF(HR_Data[[#This Row],[Age]]&lt;=55,"46-55","55+"))))</f>
        <v>26-35</v>
      </c>
      <c r="AF1340">
        <f>IF(HR_Data[[#This Row],[Age]]&lt;=25,1,IF(HR_Data[[#This Row],[Age]]&lt;=35,2,IF(HR_Data[[#This Row],[Age]]&lt;=45,3,IF(HR_Data[[#This Row],[Age]]&lt;=55,4,5))))</f>
        <v>2</v>
      </c>
      <c r="AG1340" s="1" t="str">
        <f>IF(HR_Data[[#This Row],[MonthlyIncome]]&lt;3000,"&lt;3K",IF(HR_Data[[#This Row],[MonthlyIncome]]&lt;6000,"3K-6K",IF(HR_Data[[#This Row],[MonthlyIncome]]&lt;10000,"6K-10K","10K+")))</f>
        <v>&lt;3K</v>
      </c>
      <c r="AH1340" s="1">
        <f>IF(HR_Data[[#This Row],[MonthlyIncome]]&lt;3000,1,IF(HR_Data[[#This Row],[MonthlyIncome]]&lt;6000,2,IF(HR_Data[[#This Row],[MonthlyIncome]]&lt;10000,3,4)))</f>
        <v>1</v>
      </c>
      <c r="AI1340" s="1" t="str">
        <f>IF(HR_Data[[#This Row],[YearsAtCompany]]&lt;=2,"0-2 Yrs",IF(HR_Data[[#This Row],[YearsAtCompany]]&lt;=5,"3-5 Yrs",IF(HR_Data[[#This Row],[YearsAtCompany]]&lt;=10,"6-10 Yrs","10+ Yrs")))</f>
        <v>0-2 Yrs</v>
      </c>
      <c r="AJ1340" s="1">
        <f>IF(HR_Data[[#This Row],[YearsAtCompany]]&lt;=2,1,IF(HR_Data[[#This Row],[YearsAtCompany]]&lt;=5,2,IF(HR_Data[[#This Row],[YearsAtCompany]]&lt;=10,3,4)))</f>
        <v>1</v>
      </c>
      <c r="AK1340" s="1" t="str">
        <f>CHOOSE(HR_Data[[#This Row],[Education]],"Below College","College","Bachelor","Master","Doctor")</f>
        <v>Bachelor</v>
      </c>
      <c r="AL1340" s="1" t="str">
        <f>CHOOSE(HR_Data[[#This Row],[JobSatisfaction]],"Low","Medium","High","Very High")</f>
        <v>Very High</v>
      </c>
      <c r="AM1340" s="1" t="str">
        <f>CHOOSE(HR_Data[[#This Row],[EnvironmentSatisfaction]],"Low","Medium","High","Very High")</f>
        <v>Medium</v>
      </c>
      <c r="AN1340" s="1" t="str">
        <f>CHOOSE(HR_Data[[#This Row],[WorkLifeBalance]],"Bad","Good","Better","Best")</f>
        <v>Good</v>
      </c>
      <c r="AO1340" s="1" t="str">
        <f>IF(HR_Data[[#This Row],[PercentSalaryHike]]&lt;=13,"11-13%",IF(HR_Data[[#This Row],[PercentSalaryHike]]&lt;=16,"14-16%",IF(HR_Data[[#This Row],[PercentSalaryHike]]&lt;=19,"17-19%","20-25%")))</f>
        <v>11-13%</v>
      </c>
      <c r="AP1340" s="1">
        <f>IF(HR_Data[[#This Row],[PercentSalaryHike]]&lt;=13,1,IF(HR_Data[[#This Row],[PercentSalaryHike]]&lt;=16,2,IF(HR_Data[[#This Row],[PercentSalaryHike]]&lt;=19,3,4)))</f>
        <v>1</v>
      </c>
      <c r="AQ1340" s="1" t="str">
        <f>IF(HR_Data[[#This Row],[DistanceFromHome]]&lt;=5,"1 to 5",IF(HR_Data[[#This Row],[DistanceFromHome]]&lt;=10,"6 to 10",IF(HR_Data[[#This Row],[DistanceFromHome]]&lt;=20,"11 to 20","21 to 29")))</f>
        <v>6 to 10</v>
      </c>
      <c r="AR1340" s="1">
        <f>IF(HR_Data[[#This Row],[DistanceFromHome]]&lt;=5,1,IF(HR_Data[[#This Row],[DistanceFromHome]]&lt;=10,2,IF(HR_Data[[#This Row],[DistanceFromHome]]&lt;=20,3,4)))</f>
        <v>2</v>
      </c>
      <c r="AS1340" s="1" t="str">
        <f>IF(HR_Data[[#This Row],[TotalWorkingYears]]&lt;=5,"0-5 Yrs",IF(HR_Data[[#This Row],[TotalWorkingYears]]&lt;=10,"6-10 Yrs",IF(HR_Data[[#This Row],[TotalWorkingYears]]&lt;=20,"11-20 Yrs","20+ Yrs")))</f>
        <v>0-5 Yrs</v>
      </c>
      <c r="AT1340" s="1">
        <f>IF(HR_Data[[#This Row],[TotalWorkingYears]]&lt;=5,1,IF(HR_Data[[#This Row],[TotalWorkingYears]]&lt;=10,2,IF(HR_Data[[#This Row],[TotalWorkingYears]]&lt;=20,3,4)))</f>
        <v>1</v>
      </c>
    </row>
    <row r="1341" spans="1:46" x14ac:dyDescent="0.25">
      <c r="A1341">
        <v>22</v>
      </c>
      <c r="B1341" t="s">
        <v>29</v>
      </c>
      <c r="C1341" t="s">
        <v>30</v>
      </c>
      <c r="D1341" t="s">
        <v>38</v>
      </c>
      <c r="E1341">
        <v>7</v>
      </c>
      <c r="F1341">
        <v>1</v>
      </c>
      <c r="G1341" t="s">
        <v>32</v>
      </c>
      <c r="H1341">
        <v>1878</v>
      </c>
      <c r="I1341">
        <v>4</v>
      </c>
      <c r="J1341" t="s">
        <v>39</v>
      </c>
      <c r="K1341">
        <v>3</v>
      </c>
      <c r="L1341">
        <v>1</v>
      </c>
      <c r="M1341" t="s">
        <v>40</v>
      </c>
      <c r="N1341">
        <v>2</v>
      </c>
      <c r="O1341" t="s">
        <v>35</v>
      </c>
      <c r="P1341">
        <v>2472</v>
      </c>
      <c r="Q1341">
        <v>1</v>
      </c>
      <c r="R1341" t="s">
        <v>29</v>
      </c>
      <c r="S1341">
        <v>23</v>
      </c>
      <c r="T1341">
        <v>4</v>
      </c>
      <c r="U1341">
        <v>1</v>
      </c>
      <c r="V1341">
        <v>0</v>
      </c>
      <c r="W1341">
        <v>1</v>
      </c>
      <c r="X1341">
        <v>2</v>
      </c>
      <c r="Y1341">
        <v>3</v>
      </c>
      <c r="Z1341">
        <v>1</v>
      </c>
      <c r="AA1341">
        <v>0</v>
      </c>
      <c r="AB1341">
        <v>0</v>
      </c>
      <c r="AC1341">
        <v>0</v>
      </c>
      <c r="AD1341">
        <f>IF(HR_Data[[#This Row],[Attrition]]="Yes",1,0)</f>
        <v>1</v>
      </c>
      <c r="AE1341" t="str">
        <f>IF(HR_Data[[#This Row],[Age]]&lt;=25,"18-25",IF(HR_Data[[#This Row],[Age]]&lt;=35,"26-35",IF(HR_Data[[#This Row],[Age]]&lt;=45,"36-45",IF(HR_Data[[#This Row],[Age]]&lt;=55,"46-55","55+"))))</f>
        <v>18-25</v>
      </c>
      <c r="AF1341">
        <f>IF(HR_Data[[#This Row],[Age]]&lt;=25,1,IF(HR_Data[[#This Row],[Age]]&lt;=35,2,IF(HR_Data[[#This Row],[Age]]&lt;=45,3,IF(HR_Data[[#This Row],[Age]]&lt;=55,4,5))))</f>
        <v>1</v>
      </c>
      <c r="AG1341" s="1" t="str">
        <f>IF(HR_Data[[#This Row],[MonthlyIncome]]&lt;3000,"&lt;3K",IF(HR_Data[[#This Row],[MonthlyIncome]]&lt;6000,"3K-6K",IF(HR_Data[[#This Row],[MonthlyIncome]]&lt;10000,"6K-10K","10K+")))</f>
        <v>&lt;3K</v>
      </c>
      <c r="AH1341" s="1">
        <f>IF(HR_Data[[#This Row],[MonthlyIncome]]&lt;3000,1,IF(HR_Data[[#This Row],[MonthlyIncome]]&lt;6000,2,IF(HR_Data[[#This Row],[MonthlyIncome]]&lt;10000,3,4)))</f>
        <v>1</v>
      </c>
      <c r="AI1341" s="1" t="str">
        <f>IF(HR_Data[[#This Row],[YearsAtCompany]]&lt;=2,"0-2 Yrs",IF(HR_Data[[#This Row],[YearsAtCompany]]&lt;=5,"3-5 Yrs",IF(HR_Data[[#This Row],[YearsAtCompany]]&lt;=10,"6-10 Yrs","10+ Yrs")))</f>
        <v>0-2 Yrs</v>
      </c>
      <c r="AJ1341" s="1">
        <f>IF(HR_Data[[#This Row],[YearsAtCompany]]&lt;=2,1,IF(HR_Data[[#This Row],[YearsAtCompany]]&lt;=5,2,IF(HR_Data[[#This Row],[YearsAtCompany]]&lt;=10,3,4)))</f>
        <v>1</v>
      </c>
      <c r="AK1341" s="1" t="str">
        <f>CHOOSE(HR_Data[[#This Row],[Education]],"Below College","College","Bachelor","Master","Doctor")</f>
        <v>Below College</v>
      </c>
      <c r="AL1341" s="1" t="str">
        <f>CHOOSE(HR_Data[[#This Row],[JobSatisfaction]],"Low","Medium","High","Very High")</f>
        <v>Medium</v>
      </c>
      <c r="AM1341" s="1" t="str">
        <f>CHOOSE(HR_Data[[#This Row],[EnvironmentSatisfaction]],"Low","Medium","High","Very High")</f>
        <v>Very High</v>
      </c>
      <c r="AN1341" s="1" t="str">
        <f>CHOOSE(HR_Data[[#This Row],[WorkLifeBalance]],"Bad","Good","Better","Best")</f>
        <v>Better</v>
      </c>
      <c r="AO1341" s="1" t="str">
        <f>IF(HR_Data[[#This Row],[PercentSalaryHike]]&lt;=13,"11-13%",IF(HR_Data[[#This Row],[PercentSalaryHike]]&lt;=16,"14-16%",IF(HR_Data[[#This Row],[PercentSalaryHike]]&lt;=19,"17-19%","20-25%")))</f>
        <v>20-25%</v>
      </c>
      <c r="AP1341" s="1">
        <f>IF(HR_Data[[#This Row],[PercentSalaryHike]]&lt;=13,1,IF(HR_Data[[#This Row],[PercentSalaryHike]]&lt;=16,2,IF(HR_Data[[#This Row],[PercentSalaryHike]]&lt;=19,3,4)))</f>
        <v>4</v>
      </c>
      <c r="AQ1341" s="1" t="str">
        <f>IF(HR_Data[[#This Row],[DistanceFromHome]]&lt;=5,"1 to 5",IF(HR_Data[[#This Row],[DistanceFromHome]]&lt;=10,"6 to 10",IF(HR_Data[[#This Row],[DistanceFromHome]]&lt;=20,"11 to 20","21 to 29")))</f>
        <v>6 to 10</v>
      </c>
      <c r="AR1341" s="1">
        <f>IF(HR_Data[[#This Row],[DistanceFromHome]]&lt;=5,1,IF(HR_Data[[#This Row],[DistanceFromHome]]&lt;=10,2,IF(HR_Data[[#This Row],[DistanceFromHome]]&lt;=20,3,4)))</f>
        <v>2</v>
      </c>
      <c r="AS1341" s="1" t="str">
        <f>IF(HR_Data[[#This Row],[TotalWorkingYears]]&lt;=5,"0-5 Yrs",IF(HR_Data[[#This Row],[TotalWorkingYears]]&lt;=10,"6-10 Yrs",IF(HR_Data[[#This Row],[TotalWorkingYears]]&lt;=20,"11-20 Yrs","20+ Yrs")))</f>
        <v>0-5 Yrs</v>
      </c>
      <c r="AT1341" s="1">
        <f>IF(HR_Data[[#This Row],[TotalWorkingYears]]&lt;=5,1,IF(HR_Data[[#This Row],[TotalWorkingYears]]&lt;=10,2,IF(HR_Data[[#This Row],[TotalWorkingYears]]&lt;=20,3,4)))</f>
        <v>1</v>
      </c>
    </row>
    <row r="1342" spans="1:46" x14ac:dyDescent="0.25">
      <c r="A1342">
        <v>36</v>
      </c>
      <c r="B1342" t="s">
        <v>36</v>
      </c>
      <c r="C1342" t="s">
        <v>30</v>
      </c>
      <c r="D1342" t="s">
        <v>31</v>
      </c>
      <c r="E1342">
        <v>10</v>
      </c>
      <c r="F1342">
        <v>4</v>
      </c>
      <c r="G1342" t="s">
        <v>53</v>
      </c>
      <c r="H1342">
        <v>1880</v>
      </c>
      <c r="I1342">
        <v>2</v>
      </c>
      <c r="J1342" t="s">
        <v>33</v>
      </c>
      <c r="K1342">
        <v>2</v>
      </c>
      <c r="L1342">
        <v>2</v>
      </c>
      <c r="M1342" t="s">
        <v>34</v>
      </c>
      <c r="N1342">
        <v>3</v>
      </c>
      <c r="O1342" t="s">
        <v>41</v>
      </c>
      <c r="P1342">
        <v>5673</v>
      </c>
      <c r="Q1342">
        <v>1</v>
      </c>
      <c r="R1342" t="s">
        <v>29</v>
      </c>
      <c r="S1342">
        <v>13</v>
      </c>
      <c r="T1342">
        <v>3</v>
      </c>
      <c r="U1342">
        <v>1</v>
      </c>
      <c r="V1342">
        <v>1</v>
      </c>
      <c r="W1342">
        <v>10</v>
      </c>
      <c r="X1342">
        <v>4</v>
      </c>
      <c r="Y1342">
        <v>3</v>
      </c>
      <c r="Z1342">
        <v>10</v>
      </c>
      <c r="AA1342">
        <v>9</v>
      </c>
      <c r="AB1342">
        <v>1</v>
      </c>
      <c r="AC1342">
        <v>7</v>
      </c>
      <c r="AD1342">
        <f>IF(HR_Data[[#This Row],[Attrition]]="Yes",1,0)</f>
        <v>0</v>
      </c>
      <c r="AE1342" t="str">
        <f>IF(HR_Data[[#This Row],[Age]]&lt;=25,"18-25",IF(HR_Data[[#This Row],[Age]]&lt;=35,"26-35",IF(HR_Data[[#This Row],[Age]]&lt;=45,"36-45",IF(HR_Data[[#This Row],[Age]]&lt;=55,"46-55","55+"))))</f>
        <v>36-45</v>
      </c>
      <c r="AF1342">
        <f>IF(HR_Data[[#This Row],[Age]]&lt;=25,1,IF(HR_Data[[#This Row],[Age]]&lt;=35,2,IF(HR_Data[[#This Row],[Age]]&lt;=45,3,IF(HR_Data[[#This Row],[Age]]&lt;=55,4,5))))</f>
        <v>3</v>
      </c>
      <c r="AG1342" s="1" t="str">
        <f>IF(HR_Data[[#This Row],[MonthlyIncome]]&lt;3000,"&lt;3K",IF(HR_Data[[#This Row],[MonthlyIncome]]&lt;6000,"3K-6K",IF(HR_Data[[#This Row],[MonthlyIncome]]&lt;10000,"6K-10K","10K+")))</f>
        <v>3K-6K</v>
      </c>
      <c r="AH1342" s="1">
        <f>IF(HR_Data[[#This Row],[MonthlyIncome]]&lt;3000,1,IF(HR_Data[[#This Row],[MonthlyIncome]]&lt;6000,2,IF(HR_Data[[#This Row],[MonthlyIncome]]&lt;10000,3,4)))</f>
        <v>2</v>
      </c>
      <c r="AI1342" s="1" t="str">
        <f>IF(HR_Data[[#This Row],[YearsAtCompany]]&lt;=2,"0-2 Yrs",IF(HR_Data[[#This Row],[YearsAtCompany]]&lt;=5,"3-5 Yrs",IF(HR_Data[[#This Row],[YearsAtCompany]]&lt;=10,"6-10 Yrs","10+ Yrs")))</f>
        <v>6-10 Yrs</v>
      </c>
      <c r="AJ1342" s="1">
        <f>IF(HR_Data[[#This Row],[YearsAtCompany]]&lt;=2,1,IF(HR_Data[[#This Row],[YearsAtCompany]]&lt;=5,2,IF(HR_Data[[#This Row],[YearsAtCompany]]&lt;=10,3,4)))</f>
        <v>3</v>
      </c>
      <c r="AK1342" s="1" t="str">
        <f>CHOOSE(HR_Data[[#This Row],[Education]],"Below College","College","Bachelor","Master","Doctor")</f>
        <v>Master</v>
      </c>
      <c r="AL1342" s="1" t="str">
        <f>CHOOSE(HR_Data[[#This Row],[JobSatisfaction]],"Low","Medium","High","Very High")</f>
        <v>High</v>
      </c>
      <c r="AM1342" s="1" t="str">
        <f>CHOOSE(HR_Data[[#This Row],[EnvironmentSatisfaction]],"Low","Medium","High","Very High")</f>
        <v>Medium</v>
      </c>
      <c r="AN1342" s="1" t="str">
        <f>CHOOSE(HR_Data[[#This Row],[WorkLifeBalance]],"Bad","Good","Better","Best")</f>
        <v>Better</v>
      </c>
      <c r="AO1342" s="1" t="str">
        <f>IF(HR_Data[[#This Row],[PercentSalaryHike]]&lt;=13,"11-13%",IF(HR_Data[[#This Row],[PercentSalaryHike]]&lt;=16,"14-16%",IF(HR_Data[[#This Row],[PercentSalaryHike]]&lt;=19,"17-19%","20-25%")))</f>
        <v>11-13%</v>
      </c>
      <c r="AP1342" s="1">
        <f>IF(HR_Data[[#This Row],[PercentSalaryHike]]&lt;=13,1,IF(HR_Data[[#This Row],[PercentSalaryHike]]&lt;=16,2,IF(HR_Data[[#This Row],[PercentSalaryHike]]&lt;=19,3,4)))</f>
        <v>1</v>
      </c>
      <c r="AQ1342" s="1" t="str">
        <f>IF(HR_Data[[#This Row],[DistanceFromHome]]&lt;=5,"1 to 5",IF(HR_Data[[#This Row],[DistanceFromHome]]&lt;=10,"6 to 10",IF(HR_Data[[#This Row],[DistanceFromHome]]&lt;=20,"11 to 20","21 to 29")))</f>
        <v>6 to 10</v>
      </c>
      <c r="AR1342" s="1">
        <f>IF(HR_Data[[#This Row],[DistanceFromHome]]&lt;=5,1,IF(HR_Data[[#This Row],[DistanceFromHome]]&lt;=10,2,IF(HR_Data[[#This Row],[DistanceFromHome]]&lt;=20,3,4)))</f>
        <v>2</v>
      </c>
      <c r="AS1342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342" s="1">
        <f>IF(HR_Data[[#This Row],[TotalWorkingYears]]&lt;=5,1,IF(HR_Data[[#This Row],[TotalWorkingYears]]&lt;=10,2,IF(HR_Data[[#This Row],[TotalWorkingYears]]&lt;=20,3,4)))</f>
        <v>2</v>
      </c>
    </row>
    <row r="1343" spans="1:46" x14ac:dyDescent="0.25">
      <c r="A1343">
        <v>31</v>
      </c>
      <c r="B1343" t="s">
        <v>36</v>
      </c>
      <c r="C1343" t="s">
        <v>30</v>
      </c>
      <c r="D1343" t="s">
        <v>38</v>
      </c>
      <c r="E1343">
        <v>20</v>
      </c>
      <c r="F1343">
        <v>3</v>
      </c>
      <c r="G1343" t="s">
        <v>32</v>
      </c>
      <c r="H1343">
        <v>1881</v>
      </c>
      <c r="I1343">
        <v>2</v>
      </c>
      <c r="J1343" t="s">
        <v>39</v>
      </c>
      <c r="K1343">
        <v>3</v>
      </c>
      <c r="L1343">
        <v>2</v>
      </c>
      <c r="M1343" t="s">
        <v>43</v>
      </c>
      <c r="N1343">
        <v>3</v>
      </c>
      <c r="O1343" t="s">
        <v>45</v>
      </c>
      <c r="P1343">
        <v>4197</v>
      </c>
      <c r="Q1343">
        <v>1</v>
      </c>
      <c r="R1343" t="s">
        <v>36</v>
      </c>
      <c r="S1343">
        <v>11</v>
      </c>
      <c r="T1343">
        <v>3</v>
      </c>
      <c r="U1343">
        <v>1</v>
      </c>
      <c r="V1343">
        <v>1</v>
      </c>
      <c r="W1343">
        <v>10</v>
      </c>
      <c r="X1343">
        <v>2</v>
      </c>
      <c r="Y1343">
        <v>3</v>
      </c>
      <c r="Z1343">
        <v>10</v>
      </c>
      <c r="AA1343">
        <v>8</v>
      </c>
      <c r="AB1343">
        <v>0</v>
      </c>
      <c r="AC1343">
        <v>2</v>
      </c>
      <c r="AD1343">
        <f>IF(HR_Data[[#This Row],[Attrition]]="Yes",1,0)</f>
        <v>0</v>
      </c>
      <c r="AE1343" t="str">
        <f>IF(HR_Data[[#This Row],[Age]]&lt;=25,"18-25",IF(HR_Data[[#This Row],[Age]]&lt;=35,"26-35",IF(HR_Data[[#This Row],[Age]]&lt;=45,"36-45",IF(HR_Data[[#This Row],[Age]]&lt;=55,"46-55","55+"))))</f>
        <v>26-35</v>
      </c>
      <c r="AF1343">
        <f>IF(HR_Data[[#This Row],[Age]]&lt;=25,1,IF(HR_Data[[#This Row],[Age]]&lt;=35,2,IF(HR_Data[[#This Row],[Age]]&lt;=45,3,IF(HR_Data[[#This Row],[Age]]&lt;=55,4,5))))</f>
        <v>2</v>
      </c>
      <c r="AG1343" s="1" t="str">
        <f>IF(HR_Data[[#This Row],[MonthlyIncome]]&lt;3000,"&lt;3K",IF(HR_Data[[#This Row],[MonthlyIncome]]&lt;6000,"3K-6K",IF(HR_Data[[#This Row],[MonthlyIncome]]&lt;10000,"6K-10K","10K+")))</f>
        <v>3K-6K</v>
      </c>
      <c r="AH1343" s="1">
        <f>IF(HR_Data[[#This Row],[MonthlyIncome]]&lt;3000,1,IF(HR_Data[[#This Row],[MonthlyIncome]]&lt;6000,2,IF(HR_Data[[#This Row],[MonthlyIncome]]&lt;10000,3,4)))</f>
        <v>2</v>
      </c>
      <c r="AI1343" s="1" t="str">
        <f>IF(HR_Data[[#This Row],[YearsAtCompany]]&lt;=2,"0-2 Yrs",IF(HR_Data[[#This Row],[YearsAtCompany]]&lt;=5,"3-5 Yrs",IF(HR_Data[[#This Row],[YearsAtCompany]]&lt;=10,"6-10 Yrs","10+ Yrs")))</f>
        <v>6-10 Yrs</v>
      </c>
      <c r="AJ1343" s="1">
        <f>IF(HR_Data[[#This Row],[YearsAtCompany]]&lt;=2,1,IF(HR_Data[[#This Row],[YearsAtCompany]]&lt;=5,2,IF(HR_Data[[#This Row],[YearsAtCompany]]&lt;=10,3,4)))</f>
        <v>3</v>
      </c>
      <c r="AK1343" s="1" t="str">
        <f>CHOOSE(HR_Data[[#This Row],[Education]],"Below College","College","Bachelor","Master","Doctor")</f>
        <v>Bachelor</v>
      </c>
      <c r="AL1343" s="1" t="str">
        <f>CHOOSE(HR_Data[[#This Row],[JobSatisfaction]],"Low","Medium","High","Very High")</f>
        <v>High</v>
      </c>
      <c r="AM1343" s="1" t="str">
        <f>CHOOSE(HR_Data[[#This Row],[EnvironmentSatisfaction]],"Low","Medium","High","Very High")</f>
        <v>Medium</v>
      </c>
      <c r="AN1343" s="1" t="str">
        <f>CHOOSE(HR_Data[[#This Row],[WorkLifeBalance]],"Bad","Good","Better","Best")</f>
        <v>Better</v>
      </c>
      <c r="AO1343" s="1" t="str">
        <f>IF(HR_Data[[#This Row],[PercentSalaryHike]]&lt;=13,"11-13%",IF(HR_Data[[#This Row],[PercentSalaryHike]]&lt;=16,"14-16%",IF(HR_Data[[#This Row],[PercentSalaryHike]]&lt;=19,"17-19%","20-25%")))</f>
        <v>11-13%</v>
      </c>
      <c r="AP1343" s="1">
        <f>IF(HR_Data[[#This Row],[PercentSalaryHike]]&lt;=13,1,IF(HR_Data[[#This Row],[PercentSalaryHike]]&lt;=16,2,IF(HR_Data[[#This Row],[PercentSalaryHike]]&lt;=19,3,4)))</f>
        <v>1</v>
      </c>
      <c r="AQ1343" s="1" t="str">
        <f>IF(HR_Data[[#This Row],[DistanceFromHome]]&lt;=5,"1 to 5",IF(HR_Data[[#This Row],[DistanceFromHome]]&lt;=10,"6 to 10",IF(HR_Data[[#This Row],[DistanceFromHome]]&lt;=20,"11 to 20","21 to 29")))</f>
        <v>11 to 20</v>
      </c>
      <c r="AR1343" s="1">
        <f>IF(HR_Data[[#This Row],[DistanceFromHome]]&lt;=5,1,IF(HR_Data[[#This Row],[DistanceFromHome]]&lt;=10,2,IF(HR_Data[[#This Row],[DistanceFromHome]]&lt;=20,3,4)))</f>
        <v>3</v>
      </c>
      <c r="AS1343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343" s="1">
        <f>IF(HR_Data[[#This Row],[TotalWorkingYears]]&lt;=5,1,IF(HR_Data[[#This Row],[TotalWorkingYears]]&lt;=10,2,IF(HR_Data[[#This Row],[TotalWorkingYears]]&lt;=20,3,4)))</f>
        <v>2</v>
      </c>
    </row>
    <row r="1344" spans="1:46" x14ac:dyDescent="0.25">
      <c r="A1344">
        <v>34</v>
      </c>
      <c r="B1344" t="s">
        <v>36</v>
      </c>
      <c r="C1344" t="s">
        <v>30</v>
      </c>
      <c r="D1344" t="s">
        <v>31</v>
      </c>
      <c r="E1344">
        <v>4</v>
      </c>
      <c r="F1344">
        <v>3</v>
      </c>
      <c r="G1344" t="s">
        <v>32</v>
      </c>
      <c r="H1344">
        <v>1882</v>
      </c>
      <c r="I1344">
        <v>3</v>
      </c>
      <c r="J1344" t="s">
        <v>39</v>
      </c>
      <c r="K1344">
        <v>3</v>
      </c>
      <c r="L1344">
        <v>3</v>
      </c>
      <c r="M1344" t="s">
        <v>34</v>
      </c>
      <c r="N1344">
        <v>4</v>
      </c>
      <c r="O1344" t="s">
        <v>41</v>
      </c>
      <c r="P1344">
        <v>9713</v>
      </c>
      <c r="Q1344">
        <v>2</v>
      </c>
      <c r="R1344" t="s">
        <v>29</v>
      </c>
      <c r="S1344">
        <v>13</v>
      </c>
      <c r="T1344">
        <v>3</v>
      </c>
      <c r="U1344">
        <v>4</v>
      </c>
      <c r="V1344">
        <v>3</v>
      </c>
      <c r="W1344">
        <v>9</v>
      </c>
      <c r="X1344">
        <v>3</v>
      </c>
      <c r="Y1344">
        <v>3</v>
      </c>
      <c r="Z1344">
        <v>5</v>
      </c>
      <c r="AA1344">
        <v>3</v>
      </c>
      <c r="AB1344">
        <v>1</v>
      </c>
      <c r="AC1344">
        <v>0</v>
      </c>
      <c r="AD1344">
        <f>IF(HR_Data[[#This Row],[Attrition]]="Yes",1,0)</f>
        <v>0</v>
      </c>
      <c r="AE1344" t="str">
        <f>IF(HR_Data[[#This Row],[Age]]&lt;=25,"18-25",IF(HR_Data[[#This Row],[Age]]&lt;=35,"26-35",IF(HR_Data[[#This Row],[Age]]&lt;=45,"36-45",IF(HR_Data[[#This Row],[Age]]&lt;=55,"46-55","55+"))))</f>
        <v>26-35</v>
      </c>
      <c r="AF1344">
        <f>IF(HR_Data[[#This Row],[Age]]&lt;=25,1,IF(HR_Data[[#This Row],[Age]]&lt;=35,2,IF(HR_Data[[#This Row],[Age]]&lt;=45,3,IF(HR_Data[[#This Row],[Age]]&lt;=55,4,5))))</f>
        <v>2</v>
      </c>
      <c r="AG1344" s="1" t="str">
        <f>IF(HR_Data[[#This Row],[MonthlyIncome]]&lt;3000,"&lt;3K",IF(HR_Data[[#This Row],[MonthlyIncome]]&lt;6000,"3K-6K",IF(HR_Data[[#This Row],[MonthlyIncome]]&lt;10000,"6K-10K","10K+")))</f>
        <v>6K-10K</v>
      </c>
      <c r="AH1344" s="1">
        <f>IF(HR_Data[[#This Row],[MonthlyIncome]]&lt;3000,1,IF(HR_Data[[#This Row],[MonthlyIncome]]&lt;6000,2,IF(HR_Data[[#This Row],[MonthlyIncome]]&lt;10000,3,4)))</f>
        <v>3</v>
      </c>
      <c r="AI1344" s="1" t="str">
        <f>IF(HR_Data[[#This Row],[YearsAtCompany]]&lt;=2,"0-2 Yrs",IF(HR_Data[[#This Row],[YearsAtCompany]]&lt;=5,"3-5 Yrs",IF(HR_Data[[#This Row],[YearsAtCompany]]&lt;=10,"6-10 Yrs","10+ Yrs")))</f>
        <v>3-5 Yrs</v>
      </c>
      <c r="AJ1344" s="1">
        <f>IF(HR_Data[[#This Row],[YearsAtCompany]]&lt;=2,1,IF(HR_Data[[#This Row],[YearsAtCompany]]&lt;=5,2,IF(HR_Data[[#This Row],[YearsAtCompany]]&lt;=10,3,4)))</f>
        <v>2</v>
      </c>
      <c r="AK1344" s="1" t="str">
        <f>CHOOSE(HR_Data[[#This Row],[Education]],"Below College","College","Bachelor","Master","Doctor")</f>
        <v>Bachelor</v>
      </c>
      <c r="AL1344" s="1" t="str">
        <f>CHOOSE(HR_Data[[#This Row],[JobSatisfaction]],"Low","Medium","High","Very High")</f>
        <v>Very High</v>
      </c>
      <c r="AM1344" s="1" t="str">
        <f>CHOOSE(HR_Data[[#This Row],[EnvironmentSatisfaction]],"Low","Medium","High","Very High")</f>
        <v>High</v>
      </c>
      <c r="AN1344" s="1" t="str">
        <f>CHOOSE(HR_Data[[#This Row],[WorkLifeBalance]],"Bad","Good","Better","Best")</f>
        <v>Better</v>
      </c>
      <c r="AO1344" s="1" t="str">
        <f>IF(HR_Data[[#This Row],[PercentSalaryHike]]&lt;=13,"11-13%",IF(HR_Data[[#This Row],[PercentSalaryHike]]&lt;=16,"14-16%",IF(HR_Data[[#This Row],[PercentSalaryHike]]&lt;=19,"17-19%","20-25%")))</f>
        <v>11-13%</v>
      </c>
      <c r="AP1344" s="1">
        <f>IF(HR_Data[[#This Row],[PercentSalaryHike]]&lt;=13,1,IF(HR_Data[[#This Row],[PercentSalaryHike]]&lt;=16,2,IF(HR_Data[[#This Row],[PercentSalaryHike]]&lt;=19,3,4)))</f>
        <v>1</v>
      </c>
      <c r="AQ1344" s="1" t="str">
        <f>IF(HR_Data[[#This Row],[DistanceFromHome]]&lt;=5,"1 to 5",IF(HR_Data[[#This Row],[DistanceFromHome]]&lt;=10,"6 to 10",IF(HR_Data[[#This Row],[DistanceFromHome]]&lt;=20,"11 to 20","21 to 29")))</f>
        <v>1 to 5</v>
      </c>
      <c r="AR1344" s="1">
        <f>IF(HR_Data[[#This Row],[DistanceFromHome]]&lt;=5,1,IF(HR_Data[[#This Row],[DistanceFromHome]]&lt;=10,2,IF(HR_Data[[#This Row],[DistanceFromHome]]&lt;=20,3,4)))</f>
        <v>1</v>
      </c>
      <c r="AS1344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344" s="1">
        <f>IF(HR_Data[[#This Row],[TotalWorkingYears]]&lt;=5,1,IF(HR_Data[[#This Row],[TotalWorkingYears]]&lt;=10,2,IF(HR_Data[[#This Row],[TotalWorkingYears]]&lt;=20,3,4)))</f>
        <v>2</v>
      </c>
    </row>
    <row r="1345" spans="1:46" x14ac:dyDescent="0.25">
      <c r="A1345">
        <v>29</v>
      </c>
      <c r="B1345" t="s">
        <v>36</v>
      </c>
      <c r="C1345" t="s">
        <v>30</v>
      </c>
      <c r="D1345" t="s">
        <v>38</v>
      </c>
      <c r="E1345">
        <v>7</v>
      </c>
      <c r="F1345">
        <v>3</v>
      </c>
      <c r="G1345" t="s">
        <v>32</v>
      </c>
      <c r="H1345">
        <v>1883</v>
      </c>
      <c r="I1345">
        <v>4</v>
      </c>
      <c r="J1345" t="s">
        <v>39</v>
      </c>
      <c r="K1345">
        <v>3</v>
      </c>
      <c r="L1345">
        <v>1</v>
      </c>
      <c r="M1345" t="s">
        <v>43</v>
      </c>
      <c r="N1345">
        <v>1</v>
      </c>
      <c r="O1345" t="s">
        <v>35</v>
      </c>
      <c r="P1345">
        <v>2062</v>
      </c>
      <c r="Q1345">
        <v>3</v>
      </c>
      <c r="R1345" t="s">
        <v>36</v>
      </c>
      <c r="S1345">
        <v>14</v>
      </c>
      <c r="T1345">
        <v>3</v>
      </c>
      <c r="U1345">
        <v>2</v>
      </c>
      <c r="V1345">
        <v>0</v>
      </c>
      <c r="W1345">
        <v>11</v>
      </c>
      <c r="X1345">
        <v>2</v>
      </c>
      <c r="Y1345">
        <v>3</v>
      </c>
      <c r="Z1345">
        <v>3</v>
      </c>
      <c r="AA1345">
        <v>2</v>
      </c>
      <c r="AB1345">
        <v>1</v>
      </c>
      <c r="AC1345">
        <v>2</v>
      </c>
      <c r="AD1345">
        <f>IF(HR_Data[[#This Row],[Attrition]]="Yes",1,0)</f>
        <v>0</v>
      </c>
      <c r="AE1345" t="str">
        <f>IF(HR_Data[[#This Row],[Age]]&lt;=25,"18-25",IF(HR_Data[[#This Row],[Age]]&lt;=35,"26-35",IF(HR_Data[[#This Row],[Age]]&lt;=45,"36-45",IF(HR_Data[[#This Row],[Age]]&lt;=55,"46-55","55+"))))</f>
        <v>26-35</v>
      </c>
      <c r="AF1345">
        <f>IF(HR_Data[[#This Row],[Age]]&lt;=25,1,IF(HR_Data[[#This Row],[Age]]&lt;=35,2,IF(HR_Data[[#This Row],[Age]]&lt;=45,3,IF(HR_Data[[#This Row],[Age]]&lt;=55,4,5))))</f>
        <v>2</v>
      </c>
      <c r="AG1345" s="1" t="str">
        <f>IF(HR_Data[[#This Row],[MonthlyIncome]]&lt;3000,"&lt;3K",IF(HR_Data[[#This Row],[MonthlyIncome]]&lt;6000,"3K-6K",IF(HR_Data[[#This Row],[MonthlyIncome]]&lt;10000,"6K-10K","10K+")))</f>
        <v>&lt;3K</v>
      </c>
      <c r="AH1345" s="1">
        <f>IF(HR_Data[[#This Row],[MonthlyIncome]]&lt;3000,1,IF(HR_Data[[#This Row],[MonthlyIncome]]&lt;6000,2,IF(HR_Data[[#This Row],[MonthlyIncome]]&lt;10000,3,4)))</f>
        <v>1</v>
      </c>
      <c r="AI1345" s="1" t="str">
        <f>IF(HR_Data[[#This Row],[YearsAtCompany]]&lt;=2,"0-2 Yrs",IF(HR_Data[[#This Row],[YearsAtCompany]]&lt;=5,"3-5 Yrs",IF(HR_Data[[#This Row],[YearsAtCompany]]&lt;=10,"6-10 Yrs","10+ Yrs")))</f>
        <v>3-5 Yrs</v>
      </c>
      <c r="AJ1345" s="1">
        <f>IF(HR_Data[[#This Row],[YearsAtCompany]]&lt;=2,1,IF(HR_Data[[#This Row],[YearsAtCompany]]&lt;=5,2,IF(HR_Data[[#This Row],[YearsAtCompany]]&lt;=10,3,4)))</f>
        <v>2</v>
      </c>
      <c r="AK1345" s="1" t="str">
        <f>CHOOSE(HR_Data[[#This Row],[Education]],"Below College","College","Bachelor","Master","Doctor")</f>
        <v>Bachelor</v>
      </c>
      <c r="AL1345" s="1" t="str">
        <f>CHOOSE(HR_Data[[#This Row],[JobSatisfaction]],"Low","Medium","High","Very High")</f>
        <v>Low</v>
      </c>
      <c r="AM1345" s="1" t="str">
        <f>CHOOSE(HR_Data[[#This Row],[EnvironmentSatisfaction]],"Low","Medium","High","Very High")</f>
        <v>Very High</v>
      </c>
      <c r="AN1345" s="1" t="str">
        <f>CHOOSE(HR_Data[[#This Row],[WorkLifeBalance]],"Bad","Good","Better","Best")</f>
        <v>Better</v>
      </c>
      <c r="AO1345" s="1" t="str">
        <f>IF(HR_Data[[#This Row],[PercentSalaryHike]]&lt;=13,"11-13%",IF(HR_Data[[#This Row],[PercentSalaryHike]]&lt;=16,"14-16%",IF(HR_Data[[#This Row],[PercentSalaryHike]]&lt;=19,"17-19%","20-25%")))</f>
        <v>14-16%</v>
      </c>
      <c r="AP1345" s="1">
        <f>IF(HR_Data[[#This Row],[PercentSalaryHike]]&lt;=13,1,IF(HR_Data[[#This Row],[PercentSalaryHike]]&lt;=16,2,IF(HR_Data[[#This Row],[PercentSalaryHike]]&lt;=19,3,4)))</f>
        <v>2</v>
      </c>
      <c r="AQ1345" s="1" t="str">
        <f>IF(HR_Data[[#This Row],[DistanceFromHome]]&lt;=5,"1 to 5",IF(HR_Data[[#This Row],[DistanceFromHome]]&lt;=10,"6 to 10",IF(HR_Data[[#This Row],[DistanceFromHome]]&lt;=20,"11 to 20","21 to 29")))</f>
        <v>6 to 10</v>
      </c>
      <c r="AR1345" s="1">
        <f>IF(HR_Data[[#This Row],[DistanceFromHome]]&lt;=5,1,IF(HR_Data[[#This Row],[DistanceFromHome]]&lt;=10,2,IF(HR_Data[[#This Row],[DistanceFromHome]]&lt;=20,3,4)))</f>
        <v>2</v>
      </c>
      <c r="AS1345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345" s="1">
        <f>IF(HR_Data[[#This Row],[TotalWorkingYears]]&lt;=5,1,IF(HR_Data[[#This Row],[TotalWorkingYears]]&lt;=10,2,IF(HR_Data[[#This Row],[TotalWorkingYears]]&lt;=20,3,4)))</f>
        <v>3</v>
      </c>
    </row>
    <row r="1346" spans="1:46" x14ac:dyDescent="0.25">
      <c r="A1346">
        <v>37</v>
      </c>
      <c r="B1346" t="s">
        <v>36</v>
      </c>
      <c r="C1346" t="s">
        <v>30</v>
      </c>
      <c r="D1346" t="s">
        <v>38</v>
      </c>
      <c r="E1346">
        <v>7</v>
      </c>
      <c r="F1346">
        <v>4</v>
      </c>
      <c r="G1346" t="s">
        <v>44</v>
      </c>
      <c r="H1346">
        <v>1885</v>
      </c>
      <c r="I1346">
        <v>4</v>
      </c>
      <c r="J1346" t="s">
        <v>39</v>
      </c>
      <c r="K1346">
        <v>3</v>
      </c>
      <c r="L1346">
        <v>2</v>
      </c>
      <c r="M1346" t="s">
        <v>40</v>
      </c>
      <c r="N1346">
        <v>1</v>
      </c>
      <c r="O1346" t="s">
        <v>41</v>
      </c>
      <c r="P1346">
        <v>4284</v>
      </c>
      <c r="Q1346">
        <v>5</v>
      </c>
      <c r="R1346" t="s">
        <v>29</v>
      </c>
      <c r="S1346">
        <v>22</v>
      </c>
      <c r="T1346">
        <v>4</v>
      </c>
      <c r="U1346">
        <v>3</v>
      </c>
      <c r="V1346">
        <v>1</v>
      </c>
      <c r="W1346">
        <v>16</v>
      </c>
      <c r="X1346">
        <v>2</v>
      </c>
      <c r="Y1346">
        <v>3</v>
      </c>
      <c r="Z1346">
        <v>5</v>
      </c>
      <c r="AA1346">
        <v>3</v>
      </c>
      <c r="AB1346">
        <v>0</v>
      </c>
      <c r="AC1346">
        <v>4</v>
      </c>
      <c r="AD1346">
        <f>IF(HR_Data[[#This Row],[Attrition]]="Yes",1,0)</f>
        <v>0</v>
      </c>
      <c r="AE1346" t="str">
        <f>IF(HR_Data[[#This Row],[Age]]&lt;=25,"18-25",IF(HR_Data[[#This Row],[Age]]&lt;=35,"26-35",IF(HR_Data[[#This Row],[Age]]&lt;=45,"36-45",IF(HR_Data[[#This Row],[Age]]&lt;=55,"46-55","55+"))))</f>
        <v>36-45</v>
      </c>
      <c r="AF1346">
        <f>IF(HR_Data[[#This Row],[Age]]&lt;=25,1,IF(HR_Data[[#This Row],[Age]]&lt;=35,2,IF(HR_Data[[#This Row],[Age]]&lt;=45,3,IF(HR_Data[[#This Row],[Age]]&lt;=55,4,5))))</f>
        <v>3</v>
      </c>
      <c r="AG1346" s="1" t="str">
        <f>IF(HR_Data[[#This Row],[MonthlyIncome]]&lt;3000,"&lt;3K",IF(HR_Data[[#This Row],[MonthlyIncome]]&lt;6000,"3K-6K",IF(HR_Data[[#This Row],[MonthlyIncome]]&lt;10000,"6K-10K","10K+")))</f>
        <v>3K-6K</v>
      </c>
      <c r="AH1346" s="1">
        <f>IF(HR_Data[[#This Row],[MonthlyIncome]]&lt;3000,1,IF(HR_Data[[#This Row],[MonthlyIncome]]&lt;6000,2,IF(HR_Data[[#This Row],[MonthlyIncome]]&lt;10000,3,4)))</f>
        <v>2</v>
      </c>
      <c r="AI1346" s="1" t="str">
        <f>IF(HR_Data[[#This Row],[YearsAtCompany]]&lt;=2,"0-2 Yrs",IF(HR_Data[[#This Row],[YearsAtCompany]]&lt;=5,"3-5 Yrs",IF(HR_Data[[#This Row],[YearsAtCompany]]&lt;=10,"6-10 Yrs","10+ Yrs")))</f>
        <v>3-5 Yrs</v>
      </c>
      <c r="AJ1346" s="1">
        <f>IF(HR_Data[[#This Row],[YearsAtCompany]]&lt;=2,1,IF(HR_Data[[#This Row],[YearsAtCompany]]&lt;=5,2,IF(HR_Data[[#This Row],[YearsAtCompany]]&lt;=10,3,4)))</f>
        <v>2</v>
      </c>
      <c r="AK1346" s="1" t="str">
        <f>CHOOSE(HR_Data[[#This Row],[Education]],"Below College","College","Bachelor","Master","Doctor")</f>
        <v>Master</v>
      </c>
      <c r="AL1346" s="1" t="str">
        <f>CHOOSE(HR_Data[[#This Row],[JobSatisfaction]],"Low","Medium","High","Very High")</f>
        <v>Low</v>
      </c>
      <c r="AM1346" s="1" t="str">
        <f>CHOOSE(HR_Data[[#This Row],[EnvironmentSatisfaction]],"Low","Medium","High","Very High")</f>
        <v>Very High</v>
      </c>
      <c r="AN1346" s="1" t="str">
        <f>CHOOSE(HR_Data[[#This Row],[WorkLifeBalance]],"Bad","Good","Better","Best")</f>
        <v>Better</v>
      </c>
      <c r="AO1346" s="1" t="str">
        <f>IF(HR_Data[[#This Row],[PercentSalaryHike]]&lt;=13,"11-13%",IF(HR_Data[[#This Row],[PercentSalaryHike]]&lt;=16,"14-16%",IF(HR_Data[[#This Row],[PercentSalaryHike]]&lt;=19,"17-19%","20-25%")))</f>
        <v>20-25%</v>
      </c>
      <c r="AP1346" s="1">
        <f>IF(HR_Data[[#This Row],[PercentSalaryHike]]&lt;=13,1,IF(HR_Data[[#This Row],[PercentSalaryHike]]&lt;=16,2,IF(HR_Data[[#This Row],[PercentSalaryHike]]&lt;=19,3,4)))</f>
        <v>4</v>
      </c>
      <c r="AQ1346" s="1" t="str">
        <f>IF(HR_Data[[#This Row],[DistanceFromHome]]&lt;=5,"1 to 5",IF(HR_Data[[#This Row],[DistanceFromHome]]&lt;=10,"6 to 10",IF(HR_Data[[#This Row],[DistanceFromHome]]&lt;=20,"11 to 20","21 to 29")))</f>
        <v>6 to 10</v>
      </c>
      <c r="AR1346" s="1">
        <f>IF(HR_Data[[#This Row],[DistanceFromHome]]&lt;=5,1,IF(HR_Data[[#This Row],[DistanceFromHome]]&lt;=10,2,IF(HR_Data[[#This Row],[DistanceFromHome]]&lt;=20,3,4)))</f>
        <v>2</v>
      </c>
      <c r="AS1346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346" s="1">
        <f>IF(HR_Data[[#This Row],[TotalWorkingYears]]&lt;=5,1,IF(HR_Data[[#This Row],[TotalWorkingYears]]&lt;=10,2,IF(HR_Data[[#This Row],[TotalWorkingYears]]&lt;=20,3,4)))</f>
        <v>3</v>
      </c>
    </row>
    <row r="1347" spans="1:46" x14ac:dyDescent="0.25">
      <c r="A1347">
        <v>35</v>
      </c>
      <c r="B1347" t="s">
        <v>36</v>
      </c>
      <c r="C1347" t="s">
        <v>30</v>
      </c>
      <c r="D1347" t="s">
        <v>38</v>
      </c>
      <c r="E1347">
        <v>16</v>
      </c>
      <c r="F1347">
        <v>2</v>
      </c>
      <c r="G1347" t="s">
        <v>42</v>
      </c>
      <c r="H1347">
        <v>1886</v>
      </c>
      <c r="I1347">
        <v>4</v>
      </c>
      <c r="J1347" t="s">
        <v>33</v>
      </c>
      <c r="K1347">
        <v>2</v>
      </c>
      <c r="L1347">
        <v>2</v>
      </c>
      <c r="M1347" t="s">
        <v>46</v>
      </c>
      <c r="N1347">
        <v>2</v>
      </c>
      <c r="O1347" t="s">
        <v>41</v>
      </c>
      <c r="P1347">
        <v>4788</v>
      </c>
      <c r="Q1347">
        <v>0</v>
      </c>
      <c r="R1347" t="s">
        <v>29</v>
      </c>
      <c r="S1347">
        <v>11</v>
      </c>
      <c r="T1347">
        <v>3</v>
      </c>
      <c r="U1347">
        <v>4</v>
      </c>
      <c r="V1347">
        <v>0</v>
      </c>
      <c r="W1347">
        <v>4</v>
      </c>
      <c r="X1347">
        <v>2</v>
      </c>
      <c r="Y1347">
        <v>3</v>
      </c>
      <c r="Z1347">
        <v>3</v>
      </c>
      <c r="AA1347">
        <v>2</v>
      </c>
      <c r="AB1347">
        <v>0</v>
      </c>
      <c r="AC1347">
        <v>2</v>
      </c>
      <c r="AD1347">
        <f>IF(HR_Data[[#This Row],[Attrition]]="Yes",1,0)</f>
        <v>0</v>
      </c>
      <c r="AE1347" t="str">
        <f>IF(HR_Data[[#This Row],[Age]]&lt;=25,"18-25",IF(HR_Data[[#This Row],[Age]]&lt;=35,"26-35",IF(HR_Data[[#This Row],[Age]]&lt;=45,"36-45",IF(HR_Data[[#This Row],[Age]]&lt;=55,"46-55","55+"))))</f>
        <v>26-35</v>
      </c>
      <c r="AF1347">
        <f>IF(HR_Data[[#This Row],[Age]]&lt;=25,1,IF(HR_Data[[#This Row],[Age]]&lt;=35,2,IF(HR_Data[[#This Row],[Age]]&lt;=45,3,IF(HR_Data[[#This Row],[Age]]&lt;=55,4,5))))</f>
        <v>2</v>
      </c>
      <c r="AG1347" s="1" t="str">
        <f>IF(HR_Data[[#This Row],[MonthlyIncome]]&lt;3000,"&lt;3K",IF(HR_Data[[#This Row],[MonthlyIncome]]&lt;6000,"3K-6K",IF(HR_Data[[#This Row],[MonthlyIncome]]&lt;10000,"6K-10K","10K+")))</f>
        <v>3K-6K</v>
      </c>
      <c r="AH1347" s="1">
        <f>IF(HR_Data[[#This Row],[MonthlyIncome]]&lt;3000,1,IF(HR_Data[[#This Row],[MonthlyIncome]]&lt;6000,2,IF(HR_Data[[#This Row],[MonthlyIncome]]&lt;10000,3,4)))</f>
        <v>2</v>
      </c>
      <c r="AI1347" s="1" t="str">
        <f>IF(HR_Data[[#This Row],[YearsAtCompany]]&lt;=2,"0-2 Yrs",IF(HR_Data[[#This Row],[YearsAtCompany]]&lt;=5,"3-5 Yrs",IF(HR_Data[[#This Row],[YearsAtCompany]]&lt;=10,"6-10 Yrs","10+ Yrs")))</f>
        <v>3-5 Yrs</v>
      </c>
      <c r="AJ1347" s="1">
        <f>IF(HR_Data[[#This Row],[YearsAtCompany]]&lt;=2,1,IF(HR_Data[[#This Row],[YearsAtCompany]]&lt;=5,2,IF(HR_Data[[#This Row],[YearsAtCompany]]&lt;=10,3,4)))</f>
        <v>2</v>
      </c>
      <c r="AK1347" s="1" t="str">
        <f>CHOOSE(HR_Data[[#This Row],[Education]],"Below College","College","Bachelor","Master","Doctor")</f>
        <v>College</v>
      </c>
      <c r="AL1347" s="1" t="str">
        <f>CHOOSE(HR_Data[[#This Row],[JobSatisfaction]],"Low","Medium","High","Very High")</f>
        <v>Medium</v>
      </c>
      <c r="AM1347" s="1" t="str">
        <f>CHOOSE(HR_Data[[#This Row],[EnvironmentSatisfaction]],"Low","Medium","High","Very High")</f>
        <v>Very High</v>
      </c>
      <c r="AN1347" s="1" t="str">
        <f>CHOOSE(HR_Data[[#This Row],[WorkLifeBalance]],"Bad","Good","Better","Best")</f>
        <v>Better</v>
      </c>
      <c r="AO1347" s="1" t="str">
        <f>IF(HR_Data[[#This Row],[PercentSalaryHike]]&lt;=13,"11-13%",IF(HR_Data[[#This Row],[PercentSalaryHike]]&lt;=16,"14-16%",IF(HR_Data[[#This Row],[PercentSalaryHike]]&lt;=19,"17-19%","20-25%")))</f>
        <v>11-13%</v>
      </c>
      <c r="AP1347" s="1">
        <f>IF(HR_Data[[#This Row],[PercentSalaryHike]]&lt;=13,1,IF(HR_Data[[#This Row],[PercentSalaryHike]]&lt;=16,2,IF(HR_Data[[#This Row],[PercentSalaryHike]]&lt;=19,3,4)))</f>
        <v>1</v>
      </c>
      <c r="AQ1347" s="1" t="str">
        <f>IF(HR_Data[[#This Row],[DistanceFromHome]]&lt;=5,"1 to 5",IF(HR_Data[[#This Row],[DistanceFromHome]]&lt;=10,"6 to 10",IF(HR_Data[[#This Row],[DistanceFromHome]]&lt;=20,"11 to 20","21 to 29")))</f>
        <v>11 to 20</v>
      </c>
      <c r="AR1347" s="1">
        <f>IF(HR_Data[[#This Row],[DistanceFromHome]]&lt;=5,1,IF(HR_Data[[#This Row],[DistanceFromHome]]&lt;=10,2,IF(HR_Data[[#This Row],[DistanceFromHome]]&lt;=20,3,4)))</f>
        <v>3</v>
      </c>
      <c r="AS1347" s="1" t="str">
        <f>IF(HR_Data[[#This Row],[TotalWorkingYears]]&lt;=5,"0-5 Yrs",IF(HR_Data[[#This Row],[TotalWorkingYears]]&lt;=10,"6-10 Yrs",IF(HR_Data[[#This Row],[TotalWorkingYears]]&lt;=20,"11-20 Yrs","20+ Yrs")))</f>
        <v>0-5 Yrs</v>
      </c>
      <c r="AT1347" s="1">
        <f>IF(HR_Data[[#This Row],[TotalWorkingYears]]&lt;=5,1,IF(HR_Data[[#This Row],[TotalWorkingYears]]&lt;=10,2,IF(HR_Data[[#This Row],[TotalWorkingYears]]&lt;=20,3,4)))</f>
        <v>1</v>
      </c>
    </row>
    <row r="1348" spans="1:46" x14ac:dyDescent="0.25">
      <c r="A1348">
        <v>45</v>
      </c>
      <c r="B1348" t="s">
        <v>36</v>
      </c>
      <c r="C1348" t="s">
        <v>30</v>
      </c>
      <c r="D1348" t="s">
        <v>38</v>
      </c>
      <c r="E1348">
        <v>25</v>
      </c>
      <c r="F1348">
        <v>2</v>
      </c>
      <c r="G1348" t="s">
        <v>32</v>
      </c>
      <c r="H1348">
        <v>1888</v>
      </c>
      <c r="I1348">
        <v>2</v>
      </c>
      <c r="J1348" t="s">
        <v>33</v>
      </c>
      <c r="K1348">
        <v>2</v>
      </c>
      <c r="L1348">
        <v>2</v>
      </c>
      <c r="M1348" t="s">
        <v>46</v>
      </c>
      <c r="N1348">
        <v>4</v>
      </c>
      <c r="O1348" t="s">
        <v>41</v>
      </c>
      <c r="P1348">
        <v>5906</v>
      </c>
      <c r="Q1348">
        <v>0</v>
      </c>
      <c r="R1348" t="s">
        <v>36</v>
      </c>
      <c r="S1348">
        <v>13</v>
      </c>
      <c r="T1348">
        <v>3</v>
      </c>
      <c r="U1348">
        <v>4</v>
      </c>
      <c r="V1348">
        <v>2</v>
      </c>
      <c r="W1348">
        <v>10</v>
      </c>
      <c r="X1348">
        <v>2</v>
      </c>
      <c r="Y1348">
        <v>2</v>
      </c>
      <c r="Z1348">
        <v>9</v>
      </c>
      <c r="AA1348">
        <v>8</v>
      </c>
      <c r="AB1348">
        <v>3</v>
      </c>
      <c r="AC1348">
        <v>8</v>
      </c>
      <c r="AD1348">
        <f>IF(HR_Data[[#This Row],[Attrition]]="Yes",1,0)</f>
        <v>0</v>
      </c>
      <c r="AE1348" t="str">
        <f>IF(HR_Data[[#This Row],[Age]]&lt;=25,"18-25",IF(HR_Data[[#This Row],[Age]]&lt;=35,"26-35",IF(HR_Data[[#This Row],[Age]]&lt;=45,"36-45",IF(HR_Data[[#This Row],[Age]]&lt;=55,"46-55","55+"))))</f>
        <v>36-45</v>
      </c>
      <c r="AF1348">
        <f>IF(HR_Data[[#This Row],[Age]]&lt;=25,1,IF(HR_Data[[#This Row],[Age]]&lt;=35,2,IF(HR_Data[[#This Row],[Age]]&lt;=45,3,IF(HR_Data[[#This Row],[Age]]&lt;=55,4,5))))</f>
        <v>3</v>
      </c>
      <c r="AG1348" s="1" t="str">
        <f>IF(HR_Data[[#This Row],[MonthlyIncome]]&lt;3000,"&lt;3K",IF(HR_Data[[#This Row],[MonthlyIncome]]&lt;6000,"3K-6K",IF(HR_Data[[#This Row],[MonthlyIncome]]&lt;10000,"6K-10K","10K+")))</f>
        <v>3K-6K</v>
      </c>
      <c r="AH1348" s="1">
        <f>IF(HR_Data[[#This Row],[MonthlyIncome]]&lt;3000,1,IF(HR_Data[[#This Row],[MonthlyIncome]]&lt;6000,2,IF(HR_Data[[#This Row],[MonthlyIncome]]&lt;10000,3,4)))</f>
        <v>2</v>
      </c>
      <c r="AI1348" s="1" t="str">
        <f>IF(HR_Data[[#This Row],[YearsAtCompany]]&lt;=2,"0-2 Yrs",IF(HR_Data[[#This Row],[YearsAtCompany]]&lt;=5,"3-5 Yrs",IF(HR_Data[[#This Row],[YearsAtCompany]]&lt;=10,"6-10 Yrs","10+ Yrs")))</f>
        <v>6-10 Yrs</v>
      </c>
      <c r="AJ1348" s="1">
        <f>IF(HR_Data[[#This Row],[YearsAtCompany]]&lt;=2,1,IF(HR_Data[[#This Row],[YearsAtCompany]]&lt;=5,2,IF(HR_Data[[#This Row],[YearsAtCompany]]&lt;=10,3,4)))</f>
        <v>3</v>
      </c>
      <c r="AK1348" s="1" t="str">
        <f>CHOOSE(HR_Data[[#This Row],[Education]],"Below College","College","Bachelor","Master","Doctor")</f>
        <v>College</v>
      </c>
      <c r="AL1348" s="1" t="str">
        <f>CHOOSE(HR_Data[[#This Row],[JobSatisfaction]],"Low","Medium","High","Very High")</f>
        <v>Very High</v>
      </c>
      <c r="AM1348" s="1" t="str">
        <f>CHOOSE(HR_Data[[#This Row],[EnvironmentSatisfaction]],"Low","Medium","High","Very High")</f>
        <v>Medium</v>
      </c>
      <c r="AN1348" s="1" t="str">
        <f>CHOOSE(HR_Data[[#This Row],[WorkLifeBalance]],"Bad","Good","Better","Best")</f>
        <v>Good</v>
      </c>
      <c r="AO1348" s="1" t="str">
        <f>IF(HR_Data[[#This Row],[PercentSalaryHike]]&lt;=13,"11-13%",IF(HR_Data[[#This Row],[PercentSalaryHike]]&lt;=16,"14-16%",IF(HR_Data[[#This Row],[PercentSalaryHike]]&lt;=19,"17-19%","20-25%")))</f>
        <v>11-13%</v>
      </c>
      <c r="AP1348" s="1">
        <f>IF(HR_Data[[#This Row],[PercentSalaryHike]]&lt;=13,1,IF(HR_Data[[#This Row],[PercentSalaryHike]]&lt;=16,2,IF(HR_Data[[#This Row],[PercentSalaryHike]]&lt;=19,3,4)))</f>
        <v>1</v>
      </c>
      <c r="AQ1348" s="1" t="str">
        <f>IF(HR_Data[[#This Row],[DistanceFromHome]]&lt;=5,"1 to 5",IF(HR_Data[[#This Row],[DistanceFromHome]]&lt;=10,"6 to 10",IF(HR_Data[[#This Row],[DistanceFromHome]]&lt;=20,"11 to 20","21 to 29")))</f>
        <v>21 to 29</v>
      </c>
      <c r="AR1348" s="1">
        <f>IF(HR_Data[[#This Row],[DistanceFromHome]]&lt;=5,1,IF(HR_Data[[#This Row],[DistanceFromHome]]&lt;=10,2,IF(HR_Data[[#This Row],[DistanceFromHome]]&lt;=20,3,4)))</f>
        <v>4</v>
      </c>
      <c r="AS1348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348" s="1">
        <f>IF(HR_Data[[#This Row],[TotalWorkingYears]]&lt;=5,1,IF(HR_Data[[#This Row],[TotalWorkingYears]]&lt;=10,2,IF(HR_Data[[#This Row],[TotalWorkingYears]]&lt;=20,3,4)))</f>
        <v>2</v>
      </c>
    </row>
    <row r="1349" spans="1:46" x14ac:dyDescent="0.25">
      <c r="A1349">
        <v>36</v>
      </c>
      <c r="B1349" t="s">
        <v>36</v>
      </c>
      <c r="C1349" t="s">
        <v>37</v>
      </c>
      <c r="D1349" t="s">
        <v>54</v>
      </c>
      <c r="E1349">
        <v>2</v>
      </c>
      <c r="F1349">
        <v>1</v>
      </c>
      <c r="G1349" t="s">
        <v>54</v>
      </c>
      <c r="H1349">
        <v>1890</v>
      </c>
      <c r="I1349">
        <v>2</v>
      </c>
      <c r="J1349" t="s">
        <v>39</v>
      </c>
      <c r="K1349">
        <v>2</v>
      </c>
      <c r="L1349">
        <v>2</v>
      </c>
      <c r="M1349" t="s">
        <v>54</v>
      </c>
      <c r="N1349">
        <v>4</v>
      </c>
      <c r="O1349" t="s">
        <v>35</v>
      </c>
      <c r="P1349">
        <v>3886</v>
      </c>
      <c r="Q1349">
        <v>1</v>
      </c>
      <c r="R1349" t="s">
        <v>36</v>
      </c>
      <c r="S1349">
        <v>21</v>
      </c>
      <c r="T1349">
        <v>4</v>
      </c>
      <c r="U1349">
        <v>4</v>
      </c>
      <c r="V1349">
        <v>0</v>
      </c>
      <c r="W1349">
        <v>10</v>
      </c>
      <c r="X1349">
        <v>2</v>
      </c>
      <c r="Y1349">
        <v>2</v>
      </c>
      <c r="Z1349">
        <v>10</v>
      </c>
      <c r="AA1349">
        <v>1</v>
      </c>
      <c r="AB1349">
        <v>0</v>
      </c>
      <c r="AC1349">
        <v>8</v>
      </c>
      <c r="AD1349">
        <f>IF(HR_Data[[#This Row],[Attrition]]="Yes",1,0)</f>
        <v>0</v>
      </c>
      <c r="AE1349" t="str">
        <f>IF(HR_Data[[#This Row],[Age]]&lt;=25,"18-25",IF(HR_Data[[#This Row],[Age]]&lt;=35,"26-35",IF(HR_Data[[#This Row],[Age]]&lt;=45,"36-45",IF(HR_Data[[#This Row],[Age]]&lt;=55,"46-55","55+"))))</f>
        <v>36-45</v>
      </c>
      <c r="AF1349">
        <f>IF(HR_Data[[#This Row],[Age]]&lt;=25,1,IF(HR_Data[[#This Row],[Age]]&lt;=35,2,IF(HR_Data[[#This Row],[Age]]&lt;=45,3,IF(HR_Data[[#This Row],[Age]]&lt;=55,4,5))))</f>
        <v>3</v>
      </c>
      <c r="AG1349" s="1" t="str">
        <f>IF(HR_Data[[#This Row],[MonthlyIncome]]&lt;3000,"&lt;3K",IF(HR_Data[[#This Row],[MonthlyIncome]]&lt;6000,"3K-6K",IF(HR_Data[[#This Row],[MonthlyIncome]]&lt;10000,"6K-10K","10K+")))</f>
        <v>3K-6K</v>
      </c>
      <c r="AH1349" s="1">
        <f>IF(HR_Data[[#This Row],[MonthlyIncome]]&lt;3000,1,IF(HR_Data[[#This Row],[MonthlyIncome]]&lt;6000,2,IF(HR_Data[[#This Row],[MonthlyIncome]]&lt;10000,3,4)))</f>
        <v>2</v>
      </c>
      <c r="AI1349" s="1" t="str">
        <f>IF(HR_Data[[#This Row],[YearsAtCompany]]&lt;=2,"0-2 Yrs",IF(HR_Data[[#This Row],[YearsAtCompany]]&lt;=5,"3-5 Yrs",IF(HR_Data[[#This Row],[YearsAtCompany]]&lt;=10,"6-10 Yrs","10+ Yrs")))</f>
        <v>6-10 Yrs</v>
      </c>
      <c r="AJ1349" s="1">
        <f>IF(HR_Data[[#This Row],[YearsAtCompany]]&lt;=2,1,IF(HR_Data[[#This Row],[YearsAtCompany]]&lt;=5,2,IF(HR_Data[[#This Row],[YearsAtCompany]]&lt;=10,3,4)))</f>
        <v>3</v>
      </c>
      <c r="AK1349" s="1" t="str">
        <f>CHOOSE(HR_Data[[#This Row],[Education]],"Below College","College","Bachelor","Master","Doctor")</f>
        <v>Below College</v>
      </c>
      <c r="AL1349" s="1" t="str">
        <f>CHOOSE(HR_Data[[#This Row],[JobSatisfaction]],"Low","Medium","High","Very High")</f>
        <v>Very High</v>
      </c>
      <c r="AM1349" s="1" t="str">
        <f>CHOOSE(HR_Data[[#This Row],[EnvironmentSatisfaction]],"Low","Medium","High","Very High")</f>
        <v>Medium</v>
      </c>
      <c r="AN1349" s="1" t="str">
        <f>CHOOSE(HR_Data[[#This Row],[WorkLifeBalance]],"Bad","Good","Better","Best")</f>
        <v>Good</v>
      </c>
      <c r="AO1349" s="1" t="str">
        <f>IF(HR_Data[[#This Row],[PercentSalaryHike]]&lt;=13,"11-13%",IF(HR_Data[[#This Row],[PercentSalaryHike]]&lt;=16,"14-16%",IF(HR_Data[[#This Row],[PercentSalaryHike]]&lt;=19,"17-19%","20-25%")))</f>
        <v>20-25%</v>
      </c>
      <c r="AP1349" s="1">
        <f>IF(HR_Data[[#This Row],[PercentSalaryHike]]&lt;=13,1,IF(HR_Data[[#This Row],[PercentSalaryHike]]&lt;=16,2,IF(HR_Data[[#This Row],[PercentSalaryHike]]&lt;=19,3,4)))</f>
        <v>4</v>
      </c>
      <c r="AQ1349" s="1" t="str">
        <f>IF(HR_Data[[#This Row],[DistanceFromHome]]&lt;=5,"1 to 5",IF(HR_Data[[#This Row],[DistanceFromHome]]&lt;=10,"6 to 10",IF(HR_Data[[#This Row],[DistanceFromHome]]&lt;=20,"11 to 20","21 to 29")))</f>
        <v>1 to 5</v>
      </c>
      <c r="AR1349" s="1">
        <f>IF(HR_Data[[#This Row],[DistanceFromHome]]&lt;=5,1,IF(HR_Data[[#This Row],[DistanceFromHome]]&lt;=10,2,IF(HR_Data[[#This Row],[DistanceFromHome]]&lt;=20,3,4)))</f>
        <v>1</v>
      </c>
      <c r="AS1349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349" s="1">
        <f>IF(HR_Data[[#This Row],[TotalWorkingYears]]&lt;=5,1,IF(HR_Data[[#This Row],[TotalWorkingYears]]&lt;=10,2,IF(HR_Data[[#This Row],[TotalWorkingYears]]&lt;=20,3,4)))</f>
        <v>2</v>
      </c>
    </row>
    <row r="1350" spans="1:46" x14ac:dyDescent="0.25">
      <c r="A1350">
        <v>40</v>
      </c>
      <c r="B1350" t="s">
        <v>36</v>
      </c>
      <c r="C1350" t="s">
        <v>30</v>
      </c>
      <c r="D1350" t="s">
        <v>38</v>
      </c>
      <c r="E1350">
        <v>1</v>
      </c>
      <c r="F1350">
        <v>4</v>
      </c>
      <c r="G1350" t="s">
        <v>32</v>
      </c>
      <c r="H1350">
        <v>1892</v>
      </c>
      <c r="I1350">
        <v>1</v>
      </c>
      <c r="J1350" t="s">
        <v>39</v>
      </c>
      <c r="K1350">
        <v>3</v>
      </c>
      <c r="L1350">
        <v>4</v>
      </c>
      <c r="M1350" t="s">
        <v>49</v>
      </c>
      <c r="N1350">
        <v>1</v>
      </c>
      <c r="O1350" t="s">
        <v>45</v>
      </c>
      <c r="P1350">
        <v>16823</v>
      </c>
      <c r="Q1350">
        <v>2</v>
      </c>
      <c r="R1350" t="s">
        <v>36</v>
      </c>
      <c r="S1350">
        <v>11</v>
      </c>
      <c r="T1350">
        <v>3</v>
      </c>
      <c r="U1350">
        <v>1</v>
      </c>
      <c r="V1350">
        <v>1</v>
      </c>
      <c r="W1350">
        <v>22</v>
      </c>
      <c r="X1350">
        <v>3</v>
      </c>
      <c r="Y1350">
        <v>3</v>
      </c>
      <c r="Z1350">
        <v>19</v>
      </c>
      <c r="AA1350">
        <v>7</v>
      </c>
      <c r="AB1350">
        <v>11</v>
      </c>
      <c r="AC1350">
        <v>16</v>
      </c>
      <c r="AD1350">
        <f>IF(HR_Data[[#This Row],[Attrition]]="Yes",1,0)</f>
        <v>0</v>
      </c>
      <c r="AE1350" t="str">
        <f>IF(HR_Data[[#This Row],[Age]]&lt;=25,"18-25",IF(HR_Data[[#This Row],[Age]]&lt;=35,"26-35",IF(HR_Data[[#This Row],[Age]]&lt;=45,"36-45",IF(HR_Data[[#This Row],[Age]]&lt;=55,"46-55","55+"))))</f>
        <v>36-45</v>
      </c>
      <c r="AF1350">
        <f>IF(HR_Data[[#This Row],[Age]]&lt;=25,1,IF(HR_Data[[#This Row],[Age]]&lt;=35,2,IF(HR_Data[[#This Row],[Age]]&lt;=45,3,IF(HR_Data[[#This Row],[Age]]&lt;=55,4,5))))</f>
        <v>3</v>
      </c>
      <c r="AG1350" s="1" t="str">
        <f>IF(HR_Data[[#This Row],[MonthlyIncome]]&lt;3000,"&lt;3K",IF(HR_Data[[#This Row],[MonthlyIncome]]&lt;6000,"3K-6K",IF(HR_Data[[#This Row],[MonthlyIncome]]&lt;10000,"6K-10K","10K+")))</f>
        <v>10K+</v>
      </c>
      <c r="AH1350" s="1">
        <f>IF(HR_Data[[#This Row],[MonthlyIncome]]&lt;3000,1,IF(HR_Data[[#This Row],[MonthlyIncome]]&lt;6000,2,IF(HR_Data[[#This Row],[MonthlyIncome]]&lt;10000,3,4)))</f>
        <v>4</v>
      </c>
      <c r="AI1350" s="1" t="str">
        <f>IF(HR_Data[[#This Row],[YearsAtCompany]]&lt;=2,"0-2 Yrs",IF(HR_Data[[#This Row],[YearsAtCompany]]&lt;=5,"3-5 Yrs",IF(HR_Data[[#This Row],[YearsAtCompany]]&lt;=10,"6-10 Yrs","10+ Yrs")))</f>
        <v>10+ Yrs</v>
      </c>
      <c r="AJ1350" s="1">
        <f>IF(HR_Data[[#This Row],[YearsAtCompany]]&lt;=2,1,IF(HR_Data[[#This Row],[YearsAtCompany]]&lt;=5,2,IF(HR_Data[[#This Row],[YearsAtCompany]]&lt;=10,3,4)))</f>
        <v>4</v>
      </c>
      <c r="AK1350" s="1" t="str">
        <f>CHOOSE(HR_Data[[#This Row],[Education]],"Below College","College","Bachelor","Master","Doctor")</f>
        <v>Master</v>
      </c>
      <c r="AL1350" s="1" t="str">
        <f>CHOOSE(HR_Data[[#This Row],[JobSatisfaction]],"Low","Medium","High","Very High")</f>
        <v>Low</v>
      </c>
      <c r="AM1350" s="1" t="str">
        <f>CHOOSE(HR_Data[[#This Row],[EnvironmentSatisfaction]],"Low","Medium","High","Very High")</f>
        <v>Low</v>
      </c>
      <c r="AN1350" s="1" t="str">
        <f>CHOOSE(HR_Data[[#This Row],[WorkLifeBalance]],"Bad","Good","Better","Best")</f>
        <v>Better</v>
      </c>
      <c r="AO1350" s="1" t="str">
        <f>IF(HR_Data[[#This Row],[PercentSalaryHike]]&lt;=13,"11-13%",IF(HR_Data[[#This Row],[PercentSalaryHike]]&lt;=16,"14-16%",IF(HR_Data[[#This Row],[PercentSalaryHike]]&lt;=19,"17-19%","20-25%")))</f>
        <v>11-13%</v>
      </c>
      <c r="AP1350" s="1">
        <f>IF(HR_Data[[#This Row],[PercentSalaryHike]]&lt;=13,1,IF(HR_Data[[#This Row],[PercentSalaryHike]]&lt;=16,2,IF(HR_Data[[#This Row],[PercentSalaryHike]]&lt;=19,3,4)))</f>
        <v>1</v>
      </c>
      <c r="AQ1350" s="1" t="str">
        <f>IF(HR_Data[[#This Row],[DistanceFromHome]]&lt;=5,"1 to 5",IF(HR_Data[[#This Row],[DistanceFromHome]]&lt;=10,"6 to 10",IF(HR_Data[[#This Row],[DistanceFromHome]]&lt;=20,"11 to 20","21 to 29")))</f>
        <v>1 to 5</v>
      </c>
      <c r="AR1350" s="1">
        <f>IF(HR_Data[[#This Row],[DistanceFromHome]]&lt;=5,1,IF(HR_Data[[#This Row],[DistanceFromHome]]&lt;=10,2,IF(HR_Data[[#This Row],[DistanceFromHome]]&lt;=20,3,4)))</f>
        <v>1</v>
      </c>
      <c r="AS1350" s="1" t="str">
        <f>IF(HR_Data[[#This Row],[TotalWorkingYears]]&lt;=5,"0-5 Yrs",IF(HR_Data[[#This Row],[TotalWorkingYears]]&lt;=10,"6-10 Yrs",IF(HR_Data[[#This Row],[TotalWorkingYears]]&lt;=20,"11-20 Yrs","20+ Yrs")))</f>
        <v>20+ Yrs</v>
      </c>
      <c r="AT1350" s="1">
        <f>IF(HR_Data[[#This Row],[TotalWorkingYears]]&lt;=5,1,IF(HR_Data[[#This Row],[TotalWorkingYears]]&lt;=10,2,IF(HR_Data[[#This Row],[TotalWorkingYears]]&lt;=20,3,4)))</f>
        <v>4</v>
      </c>
    </row>
    <row r="1351" spans="1:46" x14ac:dyDescent="0.25">
      <c r="A1351">
        <v>26</v>
      </c>
      <c r="B1351" t="s">
        <v>36</v>
      </c>
      <c r="C1351" t="s">
        <v>30</v>
      </c>
      <c r="D1351" t="s">
        <v>38</v>
      </c>
      <c r="E1351">
        <v>1</v>
      </c>
      <c r="F1351">
        <v>2</v>
      </c>
      <c r="G1351" t="s">
        <v>32</v>
      </c>
      <c r="H1351">
        <v>1893</v>
      </c>
      <c r="I1351">
        <v>2</v>
      </c>
      <c r="J1351" t="s">
        <v>33</v>
      </c>
      <c r="K1351">
        <v>2</v>
      </c>
      <c r="L1351">
        <v>1</v>
      </c>
      <c r="M1351" t="s">
        <v>40</v>
      </c>
      <c r="N1351">
        <v>3</v>
      </c>
      <c r="O1351" t="s">
        <v>41</v>
      </c>
      <c r="P1351">
        <v>2933</v>
      </c>
      <c r="Q1351">
        <v>1</v>
      </c>
      <c r="R1351" t="s">
        <v>29</v>
      </c>
      <c r="S1351">
        <v>13</v>
      </c>
      <c r="T1351">
        <v>3</v>
      </c>
      <c r="U1351">
        <v>3</v>
      </c>
      <c r="V1351">
        <v>1</v>
      </c>
      <c r="W1351">
        <v>1</v>
      </c>
      <c r="X1351">
        <v>3</v>
      </c>
      <c r="Y1351">
        <v>2</v>
      </c>
      <c r="Z1351">
        <v>1</v>
      </c>
      <c r="AA1351">
        <v>0</v>
      </c>
      <c r="AB1351">
        <v>1</v>
      </c>
      <c r="AC1351">
        <v>0</v>
      </c>
      <c r="AD1351">
        <f>IF(HR_Data[[#This Row],[Attrition]]="Yes",1,0)</f>
        <v>0</v>
      </c>
      <c r="AE1351" t="str">
        <f>IF(HR_Data[[#This Row],[Age]]&lt;=25,"18-25",IF(HR_Data[[#This Row],[Age]]&lt;=35,"26-35",IF(HR_Data[[#This Row],[Age]]&lt;=45,"36-45",IF(HR_Data[[#This Row],[Age]]&lt;=55,"46-55","55+"))))</f>
        <v>26-35</v>
      </c>
      <c r="AF1351">
        <f>IF(HR_Data[[#This Row],[Age]]&lt;=25,1,IF(HR_Data[[#This Row],[Age]]&lt;=35,2,IF(HR_Data[[#This Row],[Age]]&lt;=45,3,IF(HR_Data[[#This Row],[Age]]&lt;=55,4,5))))</f>
        <v>2</v>
      </c>
      <c r="AG1351" s="1" t="str">
        <f>IF(HR_Data[[#This Row],[MonthlyIncome]]&lt;3000,"&lt;3K",IF(HR_Data[[#This Row],[MonthlyIncome]]&lt;6000,"3K-6K",IF(HR_Data[[#This Row],[MonthlyIncome]]&lt;10000,"6K-10K","10K+")))</f>
        <v>&lt;3K</v>
      </c>
      <c r="AH1351" s="1">
        <f>IF(HR_Data[[#This Row],[MonthlyIncome]]&lt;3000,1,IF(HR_Data[[#This Row],[MonthlyIncome]]&lt;6000,2,IF(HR_Data[[#This Row],[MonthlyIncome]]&lt;10000,3,4)))</f>
        <v>1</v>
      </c>
      <c r="AI1351" s="1" t="str">
        <f>IF(HR_Data[[#This Row],[YearsAtCompany]]&lt;=2,"0-2 Yrs",IF(HR_Data[[#This Row],[YearsAtCompany]]&lt;=5,"3-5 Yrs",IF(HR_Data[[#This Row],[YearsAtCompany]]&lt;=10,"6-10 Yrs","10+ Yrs")))</f>
        <v>0-2 Yrs</v>
      </c>
      <c r="AJ1351" s="1">
        <f>IF(HR_Data[[#This Row],[YearsAtCompany]]&lt;=2,1,IF(HR_Data[[#This Row],[YearsAtCompany]]&lt;=5,2,IF(HR_Data[[#This Row],[YearsAtCompany]]&lt;=10,3,4)))</f>
        <v>1</v>
      </c>
      <c r="AK1351" s="1" t="str">
        <f>CHOOSE(HR_Data[[#This Row],[Education]],"Below College","College","Bachelor","Master","Doctor")</f>
        <v>College</v>
      </c>
      <c r="AL1351" s="1" t="str">
        <f>CHOOSE(HR_Data[[#This Row],[JobSatisfaction]],"Low","Medium","High","Very High")</f>
        <v>High</v>
      </c>
      <c r="AM1351" s="1" t="str">
        <f>CHOOSE(HR_Data[[#This Row],[EnvironmentSatisfaction]],"Low","Medium","High","Very High")</f>
        <v>Medium</v>
      </c>
      <c r="AN1351" s="1" t="str">
        <f>CHOOSE(HR_Data[[#This Row],[WorkLifeBalance]],"Bad","Good","Better","Best")</f>
        <v>Good</v>
      </c>
      <c r="AO1351" s="1" t="str">
        <f>IF(HR_Data[[#This Row],[PercentSalaryHike]]&lt;=13,"11-13%",IF(HR_Data[[#This Row],[PercentSalaryHike]]&lt;=16,"14-16%",IF(HR_Data[[#This Row],[PercentSalaryHike]]&lt;=19,"17-19%","20-25%")))</f>
        <v>11-13%</v>
      </c>
      <c r="AP1351" s="1">
        <f>IF(HR_Data[[#This Row],[PercentSalaryHike]]&lt;=13,1,IF(HR_Data[[#This Row],[PercentSalaryHike]]&lt;=16,2,IF(HR_Data[[#This Row],[PercentSalaryHike]]&lt;=19,3,4)))</f>
        <v>1</v>
      </c>
      <c r="AQ1351" s="1" t="str">
        <f>IF(HR_Data[[#This Row],[DistanceFromHome]]&lt;=5,"1 to 5",IF(HR_Data[[#This Row],[DistanceFromHome]]&lt;=10,"6 to 10",IF(HR_Data[[#This Row],[DistanceFromHome]]&lt;=20,"11 to 20","21 to 29")))</f>
        <v>1 to 5</v>
      </c>
      <c r="AR1351" s="1">
        <f>IF(HR_Data[[#This Row],[DistanceFromHome]]&lt;=5,1,IF(HR_Data[[#This Row],[DistanceFromHome]]&lt;=10,2,IF(HR_Data[[#This Row],[DistanceFromHome]]&lt;=20,3,4)))</f>
        <v>1</v>
      </c>
      <c r="AS1351" s="1" t="str">
        <f>IF(HR_Data[[#This Row],[TotalWorkingYears]]&lt;=5,"0-5 Yrs",IF(HR_Data[[#This Row],[TotalWorkingYears]]&lt;=10,"6-10 Yrs",IF(HR_Data[[#This Row],[TotalWorkingYears]]&lt;=20,"11-20 Yrs","20+ Yrs")))</f>
        <v>0-5 Yrs</v>
      </c>
      <c r="AT1351" s="1">
        <f>IF(HR_Data[[#This Row],[TotalWorkingYears]]&lt;=5,1,IF(HR_Data[[#This Row],[TotalWorkingYears]]&lt;=10,2,IF(HR_Data[[#This Row],[TotalWorkingYears]]&lt;=20,3,4)))</f>
        <v>1</v>
      </c>
    </row>
    <row r="1352" spans="1:46" x14ac:dyDescent="0.25">
      <c r="A1352">
        <v>27</v>
      </c>
      <c r="B1352" t="s">
        <v>36</v>
      </c>
      <c r="C1352" t="s">
        <v>30</v>
      </c>
      <c r="D1352" t="s">
        <v>31</v>
      </c>
      <c r="E1352">
        <v>2</v>
      </c>
      <c r="F1352">
        <v>2</v>
      </c>
      <c r="G1352" t="s">
        <v>44</v>
      </c>
      <c r="H1352">
        <v>1898</v>
      </c>
      <c r="I1352">
        <v>1</v>
      </c>
      <c r="J1352" t="s">
        <v>33</v>
      </c>
      <c r="K1352">
        <v>4</v>
      </c>
      <c r="L1352">
        <v>2</v>
      </c>
      <c r="M1352" t="s">
        <v>34</v>
      </c>
      <c r="N1352">
        <v>3</v>
      </c>
      <c r="O1352" t="s">
        <v>35</v>
      </c>
      <c r="P1352">
        <v>6500</v>
      </c>
      <c r="Q1352">
        <v>0</v>
      </c>
      <c r="R1352" t="s">
        <v>36</v>
      </c>
      <c r="S1352">
        <v>14</v>
      </c>
      <c r="T1352">
        <v>3</v>
      </c>
      <c r="U1352">
        <v>2</v>
      </c>
      <c r="V1352">
        <v>0</v>
      </c>
      <c r="W1352">
        <v>9</v>
      </c>
      <c r="X1352">
        <v>5</v>
      </c>
      <c r="Y1352">
        <v>2</v>
      </c>
      <c r="Z1352">
        <v>8</v>
      </c>
      <c r="AA1352">
        <v>7</v>
      </c>
      <c r="AB1352">
        <v>0</v>
      </c>
      <c r="AC1352">
        <v>7</v>
      </c>
      <c r="AD1352">
        <f>IF(HR_Data[[#This Row],[Attrition]]="Yes",1,0)</f>
        <v>0</v>
      </c>
      <c r="AE1352" t="str">
        <f>IF(HR_Data[[#This Row],[Age]]&lt;=25,"18-25",IF(HR_Data[[#This Row],[Age]]&lt;=35,"26-35",IF(HR_Data[[#This Row],[Age]]&lt;=45,"36-45",IF(HR_Data[[#This Row],[Age]]&lt;=55,"46-55","55+"))))</f>
        <v>26-35</v>
      </c>
      <c r="AF1352">
        <f>IF(HR_Data[[#This Row],[Age]]&lt;=25,1,IF(HR_Data[[#This Row],[Age]]&lt;=35,2,IF(HR_Data[[#This Row],[Age]]&lt;=45,3,IF(HR_Data[[#This Row],[Age]]&lt;=55,4,5))))</f>
        <v>2</v>
      </c>
      <c r="AG1352" s="1" t="str">
        <f>IF(HR_Data[[#This Row],[MonthlyIncome]]&lt;3000,"&lt;3K",IF(HR_Data[[#This Row],[MonthlyIncome]]&lt;6000,"3K-6K",IF(HR_Data[[#This Row],[MonthlyIncome]]&lt;10000,"6K-10K","10K+")))</f>
        <v>6K-10K</v>
      </c>
      <c r="AH1352" s="1">
        <f>IF(HR_Data[[#This Row],[MonthlyIncome]]&lt;3000,1,IF(HR_Data[[#This Row],[MonthlyIncome]]&lt;6000,2,IF(HR_Data[[#This Row],[MonthlyIncome]]&lt;10000,3,4)))</f>
        <v>3</v>
      </c>
      <c r="AI1352" s="1" t="str">
        <f>IF(HR_Data[[#This Row],[YearsAtCompany]]&lt;=2,"0-2 Yrs",IF(HR_Data[[#This Row],[YearsAtCompany]]&lt;=5,"3-5 Yrs",IF(HR_Data[[#This Row],[YearsAtCompany]]&lt;=10,"6-10 Yrs","10+ Yrs")))</f>
        <v>6-10 Yrs</v>
      </c>
      <c r="AJ1352" s="1">
        <f>IF(HR_Data[[#This Row],[YearsAtCompany]]&lt;=2,1,IF(HR_Data[[#This Row],[YearsAtCompany]]&lt;=5,2,IF(HR_Data[[#This Row],[YearsAtCompany]]&lt;=10,3,4)))</f>
        <v>3</v>
      </c>
      <c r="AK1352" s="1" t="str">
        <f>CHOOSE(HR_Data[[#This Row],[Education]],"Below College","College","Bachelor","Master","Doctor")</f>
        <v>College</v>
      </c>
      <c r="AL1352" s="1" t="str">
        <f>CHOOSE(HR_Data[[#This Row],[JobSatisfaction]],"Low","Medium","High","Very High")</f>
        <v>High</v>
      </c>
      <c r="AM1352" s="1" t="str">
        <f>CHOOSE(HR_Data[[#This Row],[EnvironmentSatisfaction]],"Low","Medium","High","Very High")</f>
        <v>Low</v>
      </c>
      <c r="AN1352" s="1" t="str">
        <f>CHOOSE(HR_Data[[#This Row],[WorkLifeBalance]],"Bad","Good","Better","Best")</f>
        <v>Good</v>
      </c>
      <c r="AO1352" s="1" t="str">
        <f>IF(HR_Data[[#This Row],[PercentSalaryHike]]&lt;=13,"11-13%",IF(HR_Data[[#This Row],[PercentSalaryHike]]&lt;=16,"14-16%",IF(HR_Data[[#This Row],[PercentSalaryHike]]&lt;=19,"17-19%","20-25%")))</f>
        <v>14-16%</v>
      </c>
      <c r="AP1352" s="1">
        <f>IF(HR_Data[[#This Row],[PercentSalaryHike]]&lt;=13,1,IF(HR_Data[[#This Row],[PercentSalaryHike]]&lt;=16,2,IF(HR_Data[[#This Row],[PercentSalaryHike]]&lt;=19,3,4)))</f>
        <v>2</v>
      </c>
      <c r="AQ1352" s="1" t="str">
        <f>IF(HR_Data[[#This Row],[DistanceFromHome]]&lt;=5,"1 to 5",IF(HR_Data[[#This Row],[DistanceFromHome]]&lt;=10,"6 to 10",IF(HR_Data[[#This Row],[DistanceFromHome]]&lt;=20,"11 to 20","21 to 29")))</f>
        <v>1 to 5</v>
      </c>
      <c r="AR1352" s="1">
        <f>IF(HR_Data[[#This Row],[DistanceFromHome]]&lt;=5,1,IF(HR_Data[[#This Row],[DistanceFromHome]]&lt;=10,2,IF(HR_Data[[#This Row],[DistanceFromHome]]&lt;=20,3,4)))</f>
        <v>1</v>
      </c>
      <c r="AS1352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352" s="1">
        <f>IF(HR_Data[[#This Row],[TotalWorkingYears]]&lt;=5,1,IF(HR_Data[[#This Row],[TotalWorkingYears]]&lt;=10,2,IF(HR_Data[[#This Row],[TotalWorkingYears]]&lt;=20,3,4)))</f>
        <v>2</v>
      </c>
    </row>
    <row r="1353" spans="1:46" x14ac:dyDescent="0.25">
      <c r="A1353">
        <v>48</v>
      </c>
      <c r="B1353" t="s">
        <v>36</v>
      </c>
      <c r="C1353" t="s">
        <v>37</v>
      </c>
      <c r="D1353" t="s">
        <v>38</v>
      </c>
      <c r="E1353">
        <v>22</v>
      </c>
      <c r="F1353">
        <v>3</v>
      </c>
      <c r="G1353" t="s">
        <v>44</v>
      </c>
      <c r="H1353">
        <v>1900</v>
      </c>
      <c r="I1353">
        <v>4</v>
      </c>
      <c r="J1353" t="s">
        <v>33</v>
      </c>
      <c r="K1353">
        <v>3</v>
      </c>
      <c r="L1353">
        <v>4</v>
      </c>
      <c r="M1353" t="s">
        <v>49</v>
      </c>
      <c r="N1353">
        <v>4</v>
      </c>
      <c r="O1353" t="s">
        <v>45</v>
      </c>
      <c r="P1353">
        <v>17174</v>
      </c>
      <c r="Q1353">
        <v>3</v>
      </c>
      <c r="R1353" t="s">
        <v>36</v>
      </c>
      <c r="S1353">
        <v>11</v>
      </c>
      <c r="T1353">
        <v>3</v>
      </c>
      <c r="U1353">
        <v>2</v>
      </c>
      <c r="V1353">
        <v>1</v>
      </c>
      <c r="W1353">
        <v>24</v>
      </c>
      <c r="X1353">
        <v>3</v>
      </c>
      <c r="Y1353">
        <v>3</v>
      </c>
      <c r="Z1353">
        <v>22</v>
      </c>
      <c r="AA1353">
        <v>17</v>
      </c>
      <c r="AB1353">
        <v>4</v>
      </c>
      <c r="AC1353">
        <v>7</v>
      </c>
      <c r="AD1353">
        <f>IF(HR_Data[[#This Row],[Attrition]]="Yes",1,0)</f>
        <v>0</v>
      </c>
      <c r="AE1353" t="str">
        <f>IF(HR_Data[[#This Row],[Age]]&lt;=25,"18-25",IF(HR_Data[[#This Row],[Age]]&lt;=35,"26-35",IF(HR_Data[[#This Row],[Age]]&lt;=45,"36-45",IF(HR_Data[[#This Row],[Age]]&lt;=55,"46-55","55+"))))</f>
        <v>46-55</v>
      </c>
      <c r="AF1353">
        <f>IF(HR_Data[[#This Row],[Age]]&lt;=25,1,IF(HR_Data[[#This Row],[Age]]&lt;=35,2,IF(HR_Data[[#This Row],[Age]]&lt;=45,3,IF(HR_Data[[#This Row],[Age]]&lt;=55,4,5))))</f>
        <v>4</v>
      </c>
      <c r="AG1353" s="1" t="str">
        <f>IF(HR_Data[[#This Row],[MonthlyIncome]]&lt;3000,"&lt;3K",IF(HR_Data[[#This Row],[MonthlyIncome]]&lt;6000,"3K-6K",IF(HR_Data[[#This Row],[MonthlyIncome]]&lt;10000,"6K-10K","10K+")))</f>
        <v>10K+</v>
      </c>
      <c r="AH1353" s="1">
        <f>IF(HR_Data[[#This Row],[MonthlyIncome]]&lt;3000,1,IF(HR_Data[[#This Row],[MonthlyIncome]]&lt;6000,2,IF(HR_Data[[#This Row],[MonthlyIncome]]&lt;10000,3,4)))</f>
        <v>4</v>
      </c>
      <c r="AI1353" s="1" t="str">
        <f>IF(HR_Data[[#This Row],[YearsAtCompany]]&lt;=2,"0-2 Yrs",IF(HR_Data[[#This Row],[YearsAtCompany]]&lt;=5,"3-5 Yrs",IF(HR_Data[[#This Row],[YearsAtCompany]]&lt;=10,"6-10 Yrs","10+ Yrs")))</f>
        <v>10+ Yrs</v>
      </c>
      <c r="AJ1353" s="1">
        <f>IF(HR_Data[[#This Row],[YearsAtCompany]]&lt;=2,1,IF(HR_Data[[#This Row],[YearsAtCompany]]&lt;=5,2,IF(HR_Data[[#This Row],[YearsAtCompany]]&lt;=10,3,4)))</f>
        <v>4</v>
      </c>
      <c r="AK1353" s="1" t="str">
        <f>CHOOSE(HR_Data[[#This Row],[Education]],"Below College","College","Bachelor","Master","Doctor")</f>
        <v>Bachelor</v>
      </c>
      <c r="AL1353" s="1" t="str">
        <f>CHOOSE(HR_Data[[#This Row],[JobSatisfaction]],"Low","Medium","High","Very High")</f>
        <v>Very High</v>
      </c>
      <c r="AM1353" s="1" t="str">
        <f>CHOOSE(HR_Data[[#This Row],[EnvironmentSatisfaction]],"Low","Medium","High","Very High")</f>
        <v>Very High</v>
      </c>
      <c r="AN1353" s="1" t="str">
        <f>CHOOSE(HR_Data[[#This Row],[WorkLifeBalance]],"Bad","Good","Better","Best")</f>
        <v>Better</v>
      </c>
      <c r="AO1353" s="1" t="str">
        <f>IF(HR_Data[[#This Row],[PercentSalaryHike]]&lt;=13,"11-13%",IF(HR_Data[[#This Row],[PercentSalaryHike]]&lt;=16,"14-16%",IF(HR_Data[[#This Row],[PercentSalaryHike]]&lt;=19,"17-19%","20-25%")))</f>
        <v>11-13%</v>
      </c>
      <c r="AP1353" s="1">
        <f>IF(HR_Data[[#This Row],[PercentSalaryHike]]&lt;=13,1,IF(HR_Data[[#This Row],[PercentSalaryHike]]&lt;=16,2,IF(HR_Data[[#This Row],[PercentSalaryHike]]&lt;=19,3,4)))</f>
        <v>1</v>
      </c>
      <c r="AQ1353" s="1" t="str">
        <f>IF(HR_Data[[#This Row],[DistanceFromHome]]&lt;=5,"1 to 5",IF(HR_Data[[#This Row],[DistanceFromHome]]&lt;=10,"6 to 10",IF(HR_Data[[#This Row],[DistanceFromHome]]&lt;=20,"11 to 20","21 to 29")))</f>
        <v>21 to 29</v>
      </c>
      <c r="AR1353" s="1">
        <f>IF(HR_Data[[#This Row],[DistanceFromHome]]&lt;=5,1,IF(HR_Data[[#This Row],[DistanceFromHome]]&lt;=10,2,IF(HR_Data[[#This Row],[DistanceFromHome]]&lt;=20,3,4)))</f>
        <v>4</v>
      </c>
      <c r="AS1353" s="1" t="str">
        <f>IF(HR_Data[[#This Row],[TotalWorkingYears]]&lt;=5,"0-5 Yrs",IF(HR_Data[[#This Row],[TotalWorkingYears]]&lt;=10,"6-10 Yrs",IF(HR_Data[[#This Row],[TotalWorkingYears]]&lt;=20,"11-20 Yrs","20+ Yrs")))</f>
        <v>20+ Yrs</v>
      </c>
      <c r="AT1353" s="1">
        <f>IF(HR_Data[[#This Row],[TotalWorkingYears]]&lt;=5,1,IF(HR_Data[[#This Row],[TotalWorkingYears]]&lt;=10,2,IF(HR_Data[[#This Row],[TotalWorkingYears]]&lt;=20,3,4)))</f>
        <v>4</v>
      </c>
    </row>
    <row r="1354" spans="1:46" x14ac:dyDescent="0.25">
      <c r="A1354">
        <v>44</v>
      </c>
      <c r="B1354" t="s">
        <v>36</v>
      </c>
      <c r="C1354" t="s">
        <v>30</v>
      </c>
      <c r="D1354" t="s">
        <v>38</v>
      </c>
      <c r="E1354">
        <v>1</v>
      </c>
      <c r="F1354">
        <v>4</v>
      </c>
      <c r="G1354" t="s">
        <v>32</v>
      </c>
      <c r="H1354">
        <v>1903</v>
      </c>
      <c r="I1354">
        <v>2</v>
      </c>
      <c r="J1354" t="s">
        <v>39</v>
      </c>
      <c r="K1354">
        <v>4</v>
      </c>
      <c r="L1354">
        <v>2</v>
      </c>
      <c r="M1354" t="s">
        <v>47</v>
      </c>
      <c r="N1354">
        <v>1</v>
      </c>
      <c r="O1354" t="s">
        <v>41</v>
      </c>
      <c r="P1354">
        <v>5033</v>
      </c>
      <c r="Q1354">
        <v>2</v>
      </c>
      <c r="R1354" t="s">
        <v>36</v>
      </c>
      <c r="S1354">
        <v>15</v>
      </c>
      <c r="T1354">
        <v>3</v>
      </c>
      <c r="U1354">
        <v>4</v>
      </c>
      <c r="V1354">
        <v>1</v>
      </c>
      <c r="W1354">
        <v>10</v>
      </c>
      <c r="X1354">
        <v>5</v>
      </c>
      <c r="Y1354">
        <v>3</v>
      </c>
      <c r="Z1354">
        <v>2</v>
      </c>
      <c r="AA1354">
        <v>0</v>
      </c>
      <c r="AB1354">
        <v>2</v>
      </c>
      <c r="AC1354">
        <v>2</v>
      </c>
      <c r="AD1354">
        <f>IF(HR_Data[[#This Row],[Attrition]]="Yes",1,0)</f>
        <v>0</v>
      </c>
      <c r="AE1354" t="str">
        <f>IF(HR_Data[[#This Row],[Age]]&lt;=25,"18-25",IF(HR_Data[[#This Row],[Age]]&lt;=35,"26-35",IF(HR_Data[[#This Row],[Age]]&lt;=45,"36-45",IF(HR_Data[[#This Row],[Age]]&lt;=55,"46-55","55+"))))</f>
        <v>36-45</v>
      </c>
      <c r="AF1354">
        <f>IF(HR_Data[[#This Row],[Age]]&lt;=25,1,IF(HR_Data[[#This Row],[Age]]&lt;=35,2,IF(HR_Data[[#This Row],[Age]]&lt;=45,3,IF(HR_Data[[#This Row],[Age]]&lt;=55,4,5))))</f>
        <v>3</v>
      </c>
      <c r="AG1354" s="1" t="str">
        <f>IF(HR_Data[[#This Row],[MonthlyIncome]]&lt;3000,"&lt;3K",IF(HR_Data[[#This Row],[MonthlyIncome]]&lt;6000,"3K-6K",IF(HR_Data[[#This Row],[MonthlyIncome]]&lt;10000,"6K-10K","10K+")))</f>
        <v>3K-6K</v>
      </c>
      <c r="AH1354" s="1">
        <f>IF(HR_Data[[#This Row],[MonthlyIncome]]&lt;3000,1,IF(HR_Data[[#This Row],[MonthlyIncome]]&lt;6000,2,IF(HR_Data[[#This Row],[MonthlyIncome]]&lt;10000,3,4)))</f>
        <v>2</v>
      </c>
      <c r="AI1354" s="1" t="str">
        <f>IF(HR_Data[[#This Row],[YearsAtCompany]]&lt;=2,"0-2 Yrs",IF(HR_Data[[#This Row],[YearsAtCompany]]&lt;=5,"3-5 Yrs",IF(HR_Data[[#This Row],[YearsAtCompany]]&lt;=10,"6-10 Yrs","10+ Yrs")))</f>
        <v>0-2 Yrs</v>
      </c>
      <c r="AJ1354" s="1">
        <f>IF(HR_Data[[#This Row],[YearsAtCompany]]&lt;=2,1,IF(HR_Data[[#This Row],[YearsAtCompany]]&lt;=5,2,IF(HR_Data[[#This Row],[YearsAtCompany]]&lt;=10,3,4)))</f>
        <v>1</v>
      </c>
      <c r="AK1354" s="1" t="str">
        <f>CHOOSE(HR_Data[[#This Row],[Education]],"Below College","College","Bachelor","Master","Doctor")</f>
        <v>Master</v>
      </c>
      <c r="AL1354" s="1" t="str">
        <f>CHOOSE(HR_Data[[#This Row],[JobSatisfaction]],"Low","Medium","High","Very High")</f>
        <v>Low</v>
      </c>
      <c r="AM1354" s="1" t="str">
        <f>CHOOSE(HR_Data[[#This Row],[EnvironmentSatisfaction]],"Low","Medium","High","Very High")</f>
        <v>Medium</v>
      </c>
      <c r="AN1354" s="1" t="str">
        <f>CHOOSE(HR_Data[[#This Row],[WorkLifeBalance]],"Bad","Good","Better","Best")</f>
        <v>Better</v>
      </c>
      <c r="AO1354" s="1" t="str">
        <f>IF(HR_Data[[#This Row],[PercentSalaryHike]]&lt;=13,"11-13%",IF(HR_Data[[#This Row],[PercentSalaryHike]]&lt;=16,"14-16%",IF(HR_Data[[#This Row],[PercentSalaryHike]]&lt;=19,"17-19%","20-25%")))</f>
        <v>14-16%</v>
      </c>
      <c r="AP1354" s="1">
        <f>IF(HR_Data[[#This Row],[PercentSalaryHike]]&lt;=13,1,IF(HR_Data[[#This Row],[PercentSalaryHike]]&lt;=16,2,IF(HR_Data[[#This Row],[PercentSalaryHike]]&lt;=19,3,4)))</f>
        <v>2</v>
      </c>
      <c r="AQ1354" s="1" t="str">
        <f>IF(HR_Data[[#This Row],[DistanceFromHome]]&lt;=5,"1 to 5",IF(HR_Data[[#This Row],[DistanceFromHome]]&lt;=10,"6 to 10",IF(HR_Data[[#This Row],[DistanceFromHome]]&lt;=20,"11 to 20","21 to 29")))</f>
        <v>1 to 5</v>
      </c>
      <c r="AR1354" s="1">
        <f>IF(HR_Data[[#This Row],[DistanceFromHome]]&lt;=5,1,IF(HR_Data[[#This Row],[DistanceFromHome]]&lt;=10,2,IF(HR_Data[[#This Row],[DistanceFromHome]]&lt;=20,3,4)))</f>
        <v>1</v>
      </c>
      <c r="AS1354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354" s="1">
        <f>IF(HR_Data[[#This Row],[TotalWorkingYears]]&lt;=5,1,IF(HR_Data[[#This Row],[TotalWorkingYears]]&lt;=10,2,IF(HR_Data[[#This Row],[TotalWorkingYears]]&lt;=20,3,4)))</f>
        <v>2</v>
      </c>
    </row>
    <row r="1355" spans="1:46" x14ac:dyDescent="0.25">
      <c r="A1355">
        <v>34</v>
      </c>
      <c r="B1355" t="s">
        <v>29</v>
      </c>
      <c r="C1355" t="s">
        <v>48</v>
      </c>
      <c r="D1355" t="s">
        <v>38</v>
      </c>
      <c r="E1355">
        <v>16</v>
      </c>
      <c r="F1355">
        <v>4</v>
      </c>
      <c r="G1355" t="s">
        <v>53</v>
      </c>
      <c r="H1355">
        <v>1905</v>
      </c>
      <c r="I1355">
        <v>4</v>
      </c>
      <c r="J1355" t="s">
        <v>39</v>
      </c>
      <c r="K1355">
        <v>1</v>
      </c>
      <c r="L1355">
        <v>1</v>
      </c>
      <c r="M1355" t="s">
        <v>40</v>
      </c>
      <c r="N1355">
        <v>1</v>
      </c>
      <c r="O1355" t="s">
        <v>41</v>
      </c>
      <c r="P1355">
        <v>2307</v>
      </c>
      <c r="Q1355">
        <v>1</v>
      </c>
      <c r="R1355" t="s">
        <v>29</v>
      </c>
      <c r="S1355">
        <v>23</v>
      </c>
      <c r="T1355">
        <v>4</v>
      </c>
      <c r="U1355">
        <v>2</v>
      </c>
      <c r="V1355">
        <v>1</v>
      </c>
      <c r="W1355">
        <v>5</v>
      </c>
      <c r="X1355">
        <v>2</v>
      </c>
      <c r="Y1355">
        <v>3</v>
      </c>
      <c r="Z1355">
        <v>5</v>
      </c>
      <c r="AA1355">
        <v>2</v>
      </c>
      <c r="AB1355">
        <v>3</v>
      </c>
      <c r="AC1355">
        <v>0</v>
      </c>
      <c r="AD1355">
        <f>IF(HR_Data[[#This Row],[Attrition]]="Yes",1,0)</f>
        <v>1</v>
      </c>
      <c r="AE1355" t="str">
        <f>IF(HR_Data[[#This Row],[Age]]&lt;=25,"18-25",IF(HR_Data[[#This Row],[Age]]&lt;=35,"26-35",IF(HR_Data[[#This Row],[Age]]&lt;=45,"36-45",IF(HR_Data[[#This Row],[Age]]&lt;=55,"46-55","55+"))))</f>
        <v>26-35</v>
      </c>
      <c r="AF1355">
        <f>IF(HR_Data[[#This Row],[Age]]&lt;=25,1,IF(HR_Data[[#This Row],[Age]]&lt;=35,2,IF(HR_Data[[#This Row],[Age]]&lt;=45,3,IF(HR_Data[[#This Row],[Age]]&lt;=55,4,5))))</f>
        <v>2</v>
      </c>
      <c r="AG1355" s="1" t="str">
        <f>IF(HR_Data[[#This Row],[MonthlyIncome]]&lt;3000,"&lt;3K",IF(HR_Data[[#This Row],[MonthlyIncome]]&lt;6000,"3K-6K",IF(HR_Data[[#This Row],[MonthlyIncome]]&lt;10000,"6K-10K","10K+")))</f>
        <v>&lt;3K</v>
      </c>
      <c r="AH1355" s="1">
        <f>IF(HR_Data[[#This Row],[MonthlyIncome]]&lt;3000,1,IF(HR_Data[[#This Row],[MonthlyIncome]]&lt;6000,2,IF(HR_Data[[#This Row],[MonthlyIncome]]&lt;10000,3,4)))</f>
        <v>1</v>
      </c>
      <c r="AI1355" s="1" t="str">
        <f>IF(HR_Data[[#This Row],[YearsAtCompany]]&lt;=2,"0-2 Yrs",IF(HR_Data[[#This Row],[YearsAtCompany]]&lt;=5,"3-5 Yrs",IF(HR_Data[[#This Row],[YearsAtCompany]]&lt;=10,"6-10 Yrs","10+ Yrs")))</f>
        <v>3-5 Yrs</v>
      </c>
      <c r="AJ1355" s="1">
        <f>IF(HR_Data[[#This Row],[YearsAtCompany]]&lt;=2,1,IF(HR_Data[[#This Row],[YearsAtCompany]]&lt;=5,2,IF(HR_Data[[#This Row],[YearsAtCompany]]&lt;=10,3,4)))</f>
        <v>2</v>
      </c>
      <c r="AK1355" s="1" t="str">
        <f>CHOOSE(HR_Data[[#This Row],[Education]],"Below College","College","Bachelor","Master","Doctor")</f>
        <v>Master</v>
      </c>
      <c r="AL1355" s="1" t="str">
        <f>CHOOSE(HR_Data[[#This Row],[JobSatisfaction]],"Low","Medium","High","Very High")</f>
        <v>Low</v>
      </c>
      <c r="AM1355" s="1" t="str">
        <f>CHOOSE(HR_Data[[#This Row],[EnvironmentSatisfaction]],"Low","Medium","High","Very High")</f>
        <v>Very High</v>
      </c>
      <c r="AN1355" s="1" t="str">
        <f>CHOOSE(HR_Data[[#This Row],[WorkLifeBalance]],"Bad","Good","Better","Best")</f>
        <v>Better</v>
      </c>
      <c r="AO1355" s="1" t="str">
        <f>IF(HR_Data[[#This Row],[PercentSalaryHike]]&lt;=13,"11-13%",IF(HR_Data[[#This Row],[PercentSalaryHike]]&lt;=16,"14-16%",IF(HR_Data[[#This Row],[PercentSalaryHike]]&lt;=19,"17-19%","20-25%")))</f>
        <v>20-25%</v>
      </c>
      <c r="AP1355" s="1">
        <f>IF(HR_Data[[#This Row],[PercentSalaryHike]]&lt;=13,1,IF(HR_Data[[#This Row],[PercentSalaryHike]]&lt;=16,2,IF(HR_Data[[#This Row],[PercentSalaryHike]]&lt;=19,3,4)))</f>
        <v>4</v>
      </c>
      <c r="AQ1355" s="1" t="str">
        <f>IF(HR_Data[[#This Row],[DistanceFromHome]]&lt;=5,"1 to 5",IF(HR_Data[[#This Row],[DistanceFromHome]]&lt;=10,"6 to 10",IF(HR_Data[[#This Row],[DistanceFromHome]]&lt;=20,"11 to 20","21 to 29")))</f>
        <v>11 to 20</v>
      </c>
      <c r="AR1355" s="1">
        <f>IF(HR_Data[[#This Row],[DistanceFromHome]]&lt;=5,1,IF(HR_Data[[#This Row],[DistanceFromHome]]&lt;=10,2,IF(HR_Data[[#This Row],[DistanceFromHome]]&lt;=20,3,4)))</f>
        <v>3</v>
      </c>
      <c r="AS1355" s="1" t="str">
        <f>IF(HR_Data[[#This Row],[TotalWorkingYears]]&lt;=5,"0-5 Yrs",IF(HR_Data[[#This Row],[TotalWorkingYears]]&lt;=10,"6-10 Yrs",IF(HR_Data[[#This Row],[TotalWorkingYears]]&lt;=20,"11-20 Yrs","20+ Yrs")))</f>
        <v>0-5 Yrs</v>
      </c>
      <c r="AT1355" s="1">
        <f>IF(HR_Data[[#This Row],[TotalWorkingYears]]&lt;=5,1,IF(HR_Data[[#This Row],[TotalWorkingYears]]&lt;=10,2,IF(HR_Data[[#This Row],[TotalWorkingYears]]&lt;=20,3,4)))</f>
        <v>1</v>
      </c>
    </row>
    <row r="1356" spans="1:46" x14ac:dyDescent="0.25">
      <c r="A1356">
        <v>56</v>
      </c>
      <c r="B1356" t="s">
        <v>29</v>
      </c>
      <c r="C1356" t="s">
        <v>30</v>
      </c>
      <c r="D1356" t="s">
        <v>38</v>
      </c>
      <c r="E1356">
        <v>24</v>
      </c>
      <c r="F1356">
        <v>2</v>
      </c>
      <c r="G1356" t="s">
        <v>32</v>
      </c>
      <c r="H1356">
        <v>1907</v>
      </c>
      <c r="I1356">
        <v>1</v>
      </c>
      <c r="J1356" t="s">
        <v>39</v>
      </c>
      <c r="K1356">
        <v>3</v>
      </c>
      <c r="L1356">
        <v>1</v>
      </c>
      <c r="M1356" t="s">
        <v>43</v>
      </c>
      <c r="N1356">
        <v>4</v>
      </c>
      <c r="O1356" t="s">
        <v>35</v>
      </c>
      <c r="P1356">
        <v>2587</v>
      </c>
      <c r="Q1356">
        <v>1</v>
      </c>
      <c r="R1356" t="s">
        <v>36</v>
      </c>
      <c r="S1356">
        <v>16</v>
      </c>
      <c r="T1356">
        <v>3</v>
      </c>
      <c r="U1356">
        <v>4</v>
      </c>
      <c r="V1356">
        <v>0</v>
      </c>
      <c r="W1356">
        <v>5</v>
      </c>
      <c r="X1356">
        <v>3</v>
      </c>
      <c r="Y1356">
        <v>3</v>
      </c>
      <c r="Z1356">
        <v>4</v>
      </c>
      <c r="AA1356">
        <v>2</v>
      </c>
      <c r="AB1356">
        <v>1</v>
      </c>
      <c r="AC1356">
        <v>0</v>
      </c>
      <c r="AD1356">
        <f>IF(HR_Data[[#This Row],[Attrition]]="Yes",1,0)</f>
        <v>1</v>
      </c>
      <c r="AE1356" t="str">
        <f>IF(HR_Data[[#This Row],[Age]]&lt;=25,"18-25",IF(HR_Data[[#This Row],[Age]]&lt;=35,"26-35",IF(HR_Data[[#This Row],[Age]]&lt;=45,"36-45",IF(HR_Data[[#This Row],[Age]]&lt;=55,"46-55","55+"))))</f>
        <v>55+</v>
      </c>
      <c r="AF1356">
        <f>IF(HR_Data[[#This Row],[Age]]&lt;=25,1,IF(HR_Data[[#This Row],[Age]]&lt;=35,2,IF(HR_Data[[#This Row],[Age]]&lt;=45,3,IF(HR_Data[[#This Row],[Age]]&lt;=55,4,5))))</f>
        <v>5</v>
      </c>
      <c r="AG1356" s="1" t="str">
        <f>IF(HR_Data[[#This Row],[MonthlyIncome]]&lt;3000,"&lt;3K",IF(HR_Data[[#This Row],[MonthlyIncome]]&lt;6000,"3K-6K",IF(HR_Data[[#This Row],[MonthlyIncome]]&lt;10000,"6K-10K","10K+")))</f>
        <v>&lt;3K</v>
      </c>
      <c r="AH1356" s="1">
        <f>IF(HR_Data[[#This Row],[MonthlyIncome]]&lt;3000,1,IF(HR_Data[[#This Row],[MonthlyIncome]]&lt;6000,2,IF(HR_Data[[#This Row],[MonthlyIncome]]&lt;10000,3,4)))</f>
        <v>1</v>
      </c>
      <c r="AI1356" s="1" t="str">
        <f>IF(HR_Data[[#This Row],[YearsAtCompany]]&lt;=2,"0-2 Yrs",IF(HR_Data[[#This Row],[YearsAtCompany]]&lt;=5,"3-5 Yrs",IF(HR_Data[[#This Row],[YearsAtCompany]]&lt;=10,"6-10 Yrs","10+ Yrs")))</f>
        <v>3-5 Yrs</v>
      </c>
      <c r="AJ1356" s="1">
        <f>IF(HR_Data[[#This Row],[YearsAtCompany]]&lt;=2,1,IF(HR_Data[[#This Row],[YearsAtCompany]]&lt;=5,2,IF(HR_Data[[#This Row],[YearsAtCompany]]&lt;=10,3,4)))</f>
        <v>2</v>
      </c>
      <c r="AK1356" s="1" t="str">
        <f>CHOOSE(HR_Data[[#This Row],[Education]],"Below College","College","Bachelor","Master","Doctor")</f>
        <v>College</v>
      </c>
      <c r="AL1356" s="1" t="str">
        <f>CHOOSE(HR_Data[[#This Row],[JobSatisfaction]],"Low","Medium","High","Very High")</f>
        <v>Very High</v>
      </c>
      <c r="AM1356" s="1" t="str">
        <f>CHOOSE(HR_Data[[#This Row],[EnvironmentSatisfaction]],"Low","Medium","High","Very High")</f>
        <v>Low</v>
      </c>
      <c r="AN1356" s="1" t="str">
        <f>CHOOSE(HR_Data[[#This Row],[WorkLifeBalance]],"Bad","Good","Better","Best")</f>
        <v>Better</v>
      </c>
      <c r="AO1356" s="1" t="str">
        <f>IF(HR_Data[[#This Row],[PercentSalaryHike]]&lt;=13,"11-13%",IF(HR_Data[[#This Row],[PercentSalaryHike]]&lt;=16,"14-16%",IF(HR_Data[[#This Row],[PercentSalaryHike]]&lt;=19,"17-19%","20-25%")))</f>
        <v>14-16%</v>
      </c>
      <c r="AP1356" s="1">
        <f>IF(HR_Data[[#This Row],[PercentSalaryHike]]&lt;=13,1,IF(HR_Data[[#This Row],[PercentSalaryHike]]&lt;=16,2,IF(HR_Data[[#This Row],[PercentSalaryHike]]&lt;=19,3,4)))</f>
        <v>2</v>
      </c>
      <c r="AQ1356" s="1" t="str">
        <f>IF(HR_Data[[#This Row],[DistanceFromHome]]&lt;=5,"1 to 5",IF(HR_Data[[#This Row],[DistanceFromHome]]&lt;=10,"6 to 10",IF(HR_Data[[#This Row],[DistanceFromHome]]&lt;=20,"11 to 20","21 to 29")))</f>
        <v>21 to 29</v>
      </c>
      <c r="AR1356" s="1">
        <f>IF(HR_Data[[#This Row],[DistanceFromHome]]&lt;=5,1,IF(HR_Data[[#This Row],[DistanceFromHome]]&lt;=10,2,IF(HR_Data[[#This Row],[DistanceFromHome]]&lt;=20,3,4)))</f>
        <v>4</v>
      </c>
      <c r="AS1356" s="1" t="str">
        <f>IF(HR_Data[[#This Row],[TotalWorkingYears]]&lt;=5,"0-5 Yrs",IF(HR_Data[[#This Row],[TotalWorkingYears]]&lt;=10,"6-10 Yrs",IF(HR_Data[[#This Row],[TotalWorkingYears]]&lt;=20,"11-20 Yrs","20+ Yrs")))</f>
        <v>0-5 Yrs</v>
      </c>
      <c r="AT1356" s="1">
        <f>IF(HR_Data[[#This Row],[TotalWorkingYears]]&lt;=5,1,IF(HR_Data[[#This Row],[TotalWorkingYears]]&lt;=10,2,IF(HR_Data[[#This Row],[TotalWorkingYears]]&lt;=20,3,4)))</f>
        <v>1</v>
      </c>
    </row>
    <row r="1357" spans="1:46" x14ac:dyDescent="0.25">
      <c r="A1357">
        <v>36</v>
      </c>
      <c r="B1357" t="s">
        <v>36</v>
      </c>
      <c r="C1357" t="s">
        <v>30</v>
      </c>
      <c r="D1357" t="s">
        <v>31</v>
      </c>
      <c r="E1357">
        <v>17</v>
      </c>
      <c r="F1357">
        <v>2</v>
      </c>
      <c r="G1357" t="s">
        <v>52</v>
      </c>
      <c r="H1357">
        <v>1908</v>
      </c>
      <c r="I1357">
        <v>3</v>
      </c>
      <c r="J1357" t="s">
        <v>39</v>
      </c>
      <c r="K1357">
        <v>2</v>
      </c>
      <c r="L1357">
        <v>2</v>
      </c>
      <c r="M1357" t="s">
        <v>34</v>
      </c>
      <c r="N1357">
        <v>2</v>
      </c>
      <c r="O1357" t="s">
        <v>41</v>
      </c>
      <c r="P1357">
        <v>5507</v>
      </c>
      <c r="Q1357">
        <v>2</v>
      </c>
      <c r="R1357" t="s">
        <v>36</v>
      </c>
      <c r="S1357">
        <v>16</v>
      </c>
      <c r="T1357">
        <v>3</v>
      </c>
      <c r="U1357">
        <v>3</v>
      </c>
      <c r="V1357">
        <v>2</v>
      </c>
      <c r="W1357">
        <v>12</v>
      </c>
      <c r="X1357">
        <v>1</v>
      </c>
      <c r="Y1357">
        <v>1</v>
      </c>
      <c r="Z1357">
        <v>4</v>
      </c>
      <c r="AA1357">
        <v>2</v>
      </c>
      <c r="AB1357">
        <v>1</v>
      </c>
      <c r="AC1357">
        <v>3</v>
      </c>
      <c r="AD1357">
        <f>IF(HR_Data[[#This Row],[Attrition]]="Yes",1,0)</f>
        <v>0</v>
      </c>
      <c r="AE1357" t="str">
        <f>IF(HR_Data[[#This Row],[Age]]&lt;=25,"18-25",IF(HR_Data[[#This Row],[Age]]&lt;=35,"26-35",IF(HR_Data[[#This Row],[Age]]&lt;=45,"36-45",IF(HR_Data[[#This Row],[Age]]&lt;=55,"46-55","55+"))))</f>
        <v>36-45</v>
      </c>
      <c r="AF1357">
        <f>IF(HR_Data[[#This Row],[Age]]&lt;=25,1,IF(HR_Data[[#This Row],[Age]]&lt;=35,2,IF(HR_Data[[#This Row],[Age]]&lt;=45,3,IF(HR_Data[[#This Row],[Age]]&lt;=55,4,5))))</f>
        <v>3</v>
      </c>
      <c r="AG1357" s="1" t="str">
        <f>IF(HR_Data[[#This Row],[MonthlyIncome]]&lt;3000,"&lt;3K",IF(HR_Data[[#This Row],[MonthlyIncome]]&lt;6000,"3K-6K",IF(HR_Data[[#This Row],[MonthlyIncome]]&lt;10000,"6K-10K","10K+")))</f>
        <v>3K-6K</v>
      </c>
      <c r="AH1357" s="1">
        <f>IF(HR_Data[[#This Row],[MonthlyIncome]]&lt;3000,1,IF(HR_Data[[#This Row],[MonthlyIncome]]&lt;6000,2,IF(HR_Data[[#This Row],[MonthlyIncome]]&lt;10000,3,4)))</f>
        <v>2</v>
      </c>
      <c r="AI1357" s="1" t="str">
        <f>IF(HR_Data[[#This Row],[YearsAtCompany]]&lt;=2,"0-2 Yrs",IF(HR_Data[[#This Row],[YearsAtCompany]]&lt;=5,"3-5 Yrs",IF(HR_Data[[#This Row],[YearsAtCompany]]&lt;=10,"6-10 Yrs","10+ Yrs")))</f>
        <v>3-5 Yrs</v>
      </c>
      <c r="AJ1357" s="1">
        <f>IF(HR_Data[[#This Row],[YearsAtCompany]]&lt;=2,1,IF(HR_Data[[#This Row],[YearsAtCompany]]&lt;=5,2,IF(HR_Data[[#This Row],[YearsAtCompany]]&lt;=10,3,4)))</f>
        <v>2</v>
      </c>
      <c r="AK1357" s="1" t="str">
        <f>CHOOSE(HR_Data[[#This Row],[Education]],"Below College","College","Bachelor","Master","Doctor")</f>
        <v>College</v>
      </c>
      <c r="AL1357" s="1" t="str">
        <f>CHOOSE(HR_Data[[#This Row],[JobSatisfaction]],"Low","Medium","High","Very High")</f>
        <v>Medium</v>
      </c>
      <c r="AM1357" s="1" t="str">
        <f>CHOOSE(HR_Data[[#This Row],[EnvironmentSatisfaction]],"Low","Medium","High","Very High")</f>
        <v>High</v>
      </c>
      <c r="AN1357" s="1" t="str">
        <f>CHOOSE(HR_Data[[#This Row],[WorkLifeBalance]],"Bad","Good","Better","Best")</f>
        <v>Bad</v>
      </c>
      <c r="AO1357" s="1" t="str">
        <f>IF(HR_Data[[#This Row],[PercentSalaryHike]]&lt;=13,"11-13%",IF(HR_Data[[#This Row],[PercentSalaryHike]]&lt;=16,"14-16%",IF(HR_Data[[#This Row],[PercentSalaryHike]]&lt;=19,"17-19%","20-25%")))</f>
        <v>14-16%</v>
      </c>
      <c r="AP1357" s="1">
        <f>IF(HR_Data[[#This Row],[PercentSalaryHike]]&lt;=13,1,IF(HR_Data[[#This Row],[PercentSalaryHike]]&lt;=16,2,IF(HR_Data[[#This Row],[PercentSalaryHike]]&lt;=19,3,4)))</f>
        <v>2</v>
      </c>
      <c r="AQ1357" s="1" t="str">
        <f>IF(HR_Data[[#This Row],[DistanceFromHome]]&lt;=5,"1 to 5",IF(HR_Data[[#This Row],[DistanceFromHome]]&lt;=10,"6 to 10",IF(HR_Data[[#This Row],[DistanceFromHome]]&lt;=20,"11 to 20","21 to 29")))</f>
        <v>11 to 20</v>
      </c>
      <c r="AR1357" s="1">
        <f>IF(HR_Data[[#This Row],[DistanceFromHome]]&lt;=5,1,IF(HR_Data[[#This Row],[DistanceFromHome]]&lt;=10,2,IF(HR_Data[[#This Row],[DistanceFromHome]]&lt;=20,3,4)))</f>
        <v>3</v>
      </c>
      <c r="AS1357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357" s="1">
        <f>IF(HR_Data[[#This Row],[TotalWorkingYears]]&lt;=5,1,IF(HR_Data[[#This Row],[TotalWorkingYears]]&lt;=10,2,IF(HR_Data[[#This Row],[TotalWorkingYears]]&lt;=20,3,4)))</f>
        <v>3</v>
      </c>
    </row>
    <row r="1358" spans="1:46" x14ac:dyDescent="0.25">
      <c r="A1358">
        <v>41</v>
      </c>
      <c r="B1358" t="s">
        <v>36</v>
      </c>
      <c r="C1358" t="s">
        <v>30</v>
      </c>
      <c r="D1358" t="s">
        <v>31</v>
      </c>
      <c r="E1358">
        <v>8</v>
      </c>
      <c r="F1358">
        <v>3</v>
      </c>
      <c r="G1358" t="s">
        <v>52</v>
      </c>
      <c r="H1358">
        <v>1909</v>
      </c>
      <c r="I1358">
        <v>3</v>
      </c>
      <c r="J1358" t="s">
        <v>33</v>
      </c>
      <c r="K1358">
        <v>3</v>
      </c>
      <c r="L1358">
        <v>2</v>
      </c>
      <c r="M1358" t="s">
        <v>34</v>
      </c>
      <c r="N1358">
        <v>2</v>
      </c>
      <c r="O1358" t="s">
        <v>41</v>
      </c>
      <c r="P1358">
        <v>4393</v>
      </c>
      <c r="Q1358">
        <v>5</v>
      </c>
      <c r="R1358" t="s">
        <v>36</v>
      </c>
      <c r="S1358">
        <v>21</v>
      </c>
      <c r="T1358">
        <v>4</v>
      </c>
      <c r="U1358">
        <v>3</v>
      </c>
      <c r="V1358">
        <v>1</v>
      </c>
      <c r="W1358">
        <v>14</v>
      </c>
      <c r="X1358">
        <v>3</v>
      </c>
      <c r="Y1358">
        <v>3</v>
      </c>
      <c r="Z1358">
        <v>5</v>
      </c>
      <c r="AA1358">
        <v>4</v>
      </c>
      <c r="AB1358">
        <v>1</v>
      </c>
      <c r="AC1358">
        <v>4</v>
      </c>
      <c r="AD1358">
        <f>IF(HR_Data[[#This Row],[Attrition]]="Yes",1,0)</f>
        <v>0</v>
      </c>
      <c r="AE1358" t="str">
        <f>IF(HR_Data[[#This Row],[Age]]&lt;=25,"18-25",IF(HR_Data[[#This Row],[Age]]&lt;=35,"26-35",IF(HR_Data[[#This Row],[Age]]&lt;=45,"36-45",IF(HR_Data[[#This Row],[Age]]&lt;=55,"46-55","55+"))))</f>
        <v>36-45</v>
      </c>
      <c r="AF1358">
        <f>IF(HR_Data[[#This Row],[Age]]&lt;=25,1,IF(HR_Data[[#This Row],[Age]]&lt;=35,2,IF(HR_Data[[#This Row],[Age]]&lt;=45,3,IF(HR_Data[[#This Row],[Age]]&lt;=55,4,5))))</f>
        <v>3</v>
      </c>
      <c r="AG1358" s="1" t="str">
        <f>IF(HR_Data[[#This Row],[MonthlyIncome]]&lt;3000,"&lt;3K",IF(HR_Data[[#This Row],[MonthlyIncome]]&lt;6000,"3K-6K",IF(HR_Data[[#This Row],[MonthlyIncome]]&lt;10000,"6K-10K","10K+")))</f>
        <v>3K-6K</v>
      </c>
      <c r="AH1358" s="1">
        <f>IF(HR_Data[[#This Row],[MonthlyIncome]]&lt;3000,1,IF(HR_Data[[#This Row],[MonthlyIncome]]&lt;6000,2,IF(HR_Data[[#This Row],[MonthlyIncome]]&lt;10000,3,4)))</f>
        <v>2</v>
      </c>
      <c r="AI1358" s="1" t="str">
        <f>IF(HR_Data[[#This Row],[YearsAtCompany]]&lt;=2,"0-2 Yrs",IF(HR_Data[[#This Row],[YearsAtCompany]]&lt;=5,"3-5 Yrs",IF(HR_Data[[#This Row],[YearsAtCompany]]&lt;=10,"6-10 Yrs","10+ Yrs")))</f>
        <v>3-5 Yrs</v>
      </c>
      <c r="AJ1358" s="1">
        <f>IF(HR_Data[[#This Row],[YearsAtCompany]]&lt;=2,1,IF(HR_Data[[#This Row],[YearsAtCompany]]&lt;=5,2,IF(HR_Data[[#This Row],[YearsAtCompany]]&lt;=10,3,4)))</f>
        <v>2</v>
      </c>
      <c r="AK1358" s="1" t="str">
        <f>CHOOSE(HR_Data[[#This Row],[Education]],"Below College","College","Bachelor","Master","Doctor")</f>
        <v>Bachelor</v>
      </c>
      <c r="AL1358" s="1" t="str">
        <f>CHOOSE(HR_Data[[#This Row],[JobSatisfaction]],"Low","Medium","High","Very High")</f>
        <v>Medium</v>
      </c>
      <c r="AM1358" s="1" t="str">
        <f>CHOOSE(HR_Data[[#This Row],[EnvironmentSatisfaction]],"Low","Medium","High","Very High")</f>
        <v>High</v>
      </c>
      <c r="AN1358" s="1" t="str">
        <f>CHOOSE(HR_Data[[#This Row],[WorkLifeBalance]],"Bad","Good","Better","Best")</f>
        <v>Better</v>
      </c>
      <c r="AO1358" s="1" t="str">
        <f>IF(HR_Data[[#This Row],[PercentSalaryHike]]&lt;=13,"11-13%",IF(HR_Data[[#This Row],[PercentSalaryHike]]&lt;=16,"14-16%",IF(HR_Data[[#This Row],[PercentSalaryHike]]&lt;=19,"17-19%","20-25%")))</f>
        <v>20-25%</v>
      </c>
      <c r="AP1358" s="1">
        <f>IF(HR_Data[[#This Row],[PercentSalaryHike]]&lt;=13,1,IF(HR_Data[[#This Row],[PercentSalaryHike]]&lt;=16,2,IF(HR_Data[[#This Row],[PercentSalaryHike]]&lt;=19,3,4)))</f>
        <v>4</v>
      </c>
      <c r="AQ1358" s="1" t="str">
        <f>IF(HR_Data[[#This Row],[DistanceFromHome]]&lt;=5,"1 to 5",IF(HR_Data[[#This Row],[DistanceFromHome]]&lt;=10,"6 to 10",IF(HR_Data[[#This Row],[DistanceFromHome]]&lt;=20,"11 to 20","21 to 29")))</f>
        <v>6 to 10</v>
      </c>
      <c r="AR1358" s="1">
        <f>IF(HR_Data[[#This Row],[DistanceFromHome]]&lt;=5,1,IF(HR_Data[[#This Row],[DistanceFromHome]]&lt;=10,2,IF(HR_Data[[#This Row],[DistanceFromHome]]&lt;=20,3,4)))</f>
        <v>2</v>
      </c>
      <c r="AS1358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358" s="1">
        <f>IF(HR_Data[[#This Row],[TotalWorkingYears]]&lt;=5,1,IF(HR_Data[[#This Row],[TotalWorkingYears]]&lt;=10,2,IF(HR_Data[[#This Row],[TotalWorkingYears]]&lt;=20,3,4)))</f>
        <v>3</v>
      </c>
    </row>
    <row r="1359" spans="1:46" x14ac:dyDescent="0.25">
      <c r="A1359">
        <v>42</v>
      </c>
      <c r="B1359" t="s">
        <v>36</v>
      </c>
      <c r="C1359" t="s">
        <v>30</v>
      </c>
      <c r="D1359" t="s">
        <v>38</v>
      </c>
      <c r="E1359">
        <v>6</v>
      </c>
      <c r="F1359">
        <v>3</v>
      </c>
      <c r="G1359" t="s">
        <v>44</v>
      </c>
      <c r="H1359">
        <v>1911</v>
      </c>
      <c r="I1359">
        <v>3</v>
      </c>
      <c r="J1359" t="s">
        <v>39</v>
      </c>
      <c r="K1359">
        <v>3</v>
      </c>
      <c r="L1359">
        <v>3</v>
      </c>
      <c r="M1359" t="s">
        <v>51</v>
      </c>
      <c r="N1359">
        <v>1</v>
      </c>
      <c r="O1359" t="s">
        <v>41</v>
      </c>
      <c r="P1359">
        <v>13348</v>
      </c>
      <c r="Q1359">
        <v>9</v>
      </c>
      <c r="R1359" t="s">
        <v>36</v>
      </c>
      <c r="S1359">
        <v>13</v>
      </c>
      <c r="T1359">
        <v>3</v>
      </c>
      <c r="U1359">
        <v>2</v>
      </c>
      <c r="V1359">
        <v>1</v>
      </c>
      <c r="W1359">
        <v>18</v>
      </c>
      <c r="X1359">
        <v>3</v>
      </c>
      <c r="Y1359">
        <v>4</v>
      </c>
      <c r="Z1359">
        <v>13</v>
      </c>
      <c r="AA1359">
        <v>7</v>
      </c>
      <c r="AB1359">
        <v>5</v>
      </c>
      <c r="AC1359">
        <v>7</v>
      </c>
      <c r="AD1359">
        <f>IF(HR_Data[[#This Row],[Attrition]]="Yes",1,0)</f>
        <v>0</v>
      </c>
      <c r="AE1359" t="str">
        <f>IF(HR_Data[[#This Row],[Age]]&lt;=25,"18-25",IF(HR_Data[[#This Row],[Age]]&lt;=35,"26-35",IF(HR_Data[[#This Row],[Age]]&lt;=45,"36-45",IF(HR_Data[[#This Row],[Age]]&lt;=55,"46-55","55+"))))</f>
        <v>36-45</v>
      </c>
      <c r="AF1359">
        <f>IF(HR_Data[[#This Row],[Age]]&lt;=25,1,IF(HR_Data[[#This Row],[Age]]&lt;=35,2,IF(HR_Data[[#This Row],[Age]]&lt;=45,3,IF(HR_Data[[#This Row],[Age]]&lt;=55,4,5))))</f>
        <v>3</v>
      </c>
      <c r="AG1359" s="1" t="str">
        <f>IF(HR_Data[[#This Row],[MonthlyIncome]]&lt;3000,"&lt;3K",IF(HR_Data[[#This Row],[MonthlyIncome]]&lt;6000,"3K-6K",IF(HR_Data[[#This Row],[MonthlyIncome]]&lt;10000,"6K-10K","10K+")))</f>
        <v>10K+</v>
      </c>
      <c r="AH1359" s="1">
        <f>IF(HR_Data[[#This Row],[MonthlyIncome]]&lt;3000,1,IF(HR_Data[[#This Row],[MonthlyIncome]]&lt;6000,2,IF(HR_Data[[#This Row],[MonthlyIncome]]&lt;10000,3,4)))</f>
        <v>4</v>
      </c>
      <c r="AI1359" s="1" t="str">
        <f>IF(HR_Data[[#This Row],[YearsAtCompany]]&lt;=2,"0-2 Yrs",IF(HR_Data[[#This Row],[YearsAtCompany]]&lt;=5,"3-5 Yrs",IF(HR_Data[[#This Row],[YearsAtCompany]]&lt;=10,"6-10 Yrs","10+ Yrs")))</f>
        <v>10+ Yrs</v>
      </c>
      <c r="AJ1359" s="1">
        <f>IF(HR_Data[[#This Row],[YearsAtCompany]]&lt;=2,1,IF(HR_Data[[#This Row],[YearsAtCompany]]&lt;=5,2,IF(HR_Data[[#This Row],[YearsAtCompany]]&lt;=10,3,4)))</f>
        <v>4</v>
      </c>
      <c r="AK1359" s="1" t="str">
        <f>CHOOSE(HR_Data[[#This Row],[Education]],"Below College","College","Bachelor","Master","Doctor")</f>
        <v>Bachelor</v>
      </c>
      <c r="AL1359" s="1" t="str">
        <f>CHOOSE(HR_Data[[#This Row],[JobSatisfaction]],"Low","Medium","High","Very High")</f>
        <v>Low</v>
      </c>
      <c r="AM1359" s="1" t="str">
        <f>CHOOSE(HR_Data[[#This Row],[EnvironmentSatisfaction]],"Low","Medium","High","Very High")</f>
        <v>High</v>
      </c>
      <c r="AN1359" s="1" t="str">
        <f>CHOOSE(HR_Data[[#This Row],[WorkLifeBalance]],"Bad","Good","Better","Best")</f>
        <v>Best</v>
      </c>
      <c r="AO1359" s="1" t="str">
        <f>IF(HR_Data[[#This Row],[PercentSalaryHike]]&lt;=13,"11-13%",IF(HR_Data[[#This Row],[PercentSalaryHike]]&lt;=16,"14-16%",IF(HR_Data[[#This Row],[PercentSalaryHike]]&lt;=19,"17-19%","20-25%")))</f>
        <v>11-13%</v>
      </c>
      <c r="AP1359" s="1">
        <f>IF(HR_Data[[#This Row],[PercentSalaryHike]]&lt;=13,1,IF(HR_Data[[#This Row],[PercentSalaryHike]]&lt;=16,2,IF(HR_Data[[#This Row],[PercentSalaryHike]]&lt;=19,3,4)))</f>
        <v>1</v>
      </c>
      <c r="AQ1359" s="1" t="str">
        <f>IF(HR_Data[[#This Row],[DistanceFromHome]]&lt;=5,"1 to 5",IF(HR_Data[[#This Row],[DistanceFromHome]]&lt;=10,"6 to 10",IF(HR_Data[[#This Row],[DistanceFromHome]]&lt;=20,"11 to 20","21 to 29")))</f>
        <v>6 to 10</v>
      </c>
      <c r="AR1359" s="1">
        <f>IF(HR_Data[[#This Row],[DistanceFromHome]]&lt;=5,1,IF(HR_Data[[#This Row],[DistanceFromHome]]&lt;=10,2,IF(HR_Data[[#This Row],[DistanceFromHome]]&lt;=20,3,4)))</f>
        <v>2</v>
      </c>
      <c r="AS1359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359" s="1">
        <f>IF(HR_Data[[#This Row],[TotalWorkingYears]]&lt;=5,1,IF(HR_Data[[#This Row],[TotalWorkingYears]]&lt;=10,2,IF(HR_Data[[#This Row],[TotalWorkingYears]]&lt;=20,3,4)))</f>
        <v>3</v>
      </c>
    </row>
    <row r="1360" spans="1:46" x14ac:dyDescent="0.25">
      <c r="A1360">
        <v>31</v>
      </c>
      <c r="B1360" t="s">
        <v>36</v>
      </c>
      <c r="C1360" t="s">
        <v>30</v>
      </c>
      <c r="D1360" t="s">
        <v>31</v>
      </c>
      <c r="E1360">
        <v>10</v>
      </c>
      <c r="F1360">
        <v>2</v>
      </c>
      <c r="G1360" t="s">
        <v>44</v>
      </c>
      <c r="H1360">
        <v>1912</v>
      </c>
      <c r="I1360">
        <v>3</v>
      </c>
      <c r="J1360" t="s">
        <v>33</v>
      </c>
      <c r="K1360">
        <v>3</v>
      </c>
      <c r="L1360">
        <v>2</v>
      </c>
      <c r="M1360" t="s">
        <v>34</v>
      </c>
      <c r="N1360">
        <v>4</v>
      </c>
      <c r="O1360" t="s">
        <v>45</v>
      </c>
      <c r="P1360">
        <v>6583</v>
      </c>
      <c r="Q1360">
        <v>2</v>
      </c>
      <c r="R1360" t="s">
        <v>29</v>
      </c>
      <c r="S1360">
        <v>11</v>
      </c>
      <c r="T1360">
        <v>3</v>
      </c>
      <c r="U1360">
        <v>4</v>
      </c>
      <c r="V1360">
        <v>1</v>
      </c>
      <c r="W1360">
        <v>8</v>
      </c>
      <c r="X1360">
        <v>2</v>
      </c>
      <c r="Y1360">
        <v>3</v>
      </c>
      <c r="Z1360">
        <v>5</v>
      </c>
      <c r="AA1360">
        <v>2</v>
      </c>
      <c r="AB1360">
        <v>1</v>
      </c>
      <c r="AC1360">
        <v>4</v>
      </c>
      <c r="AD1360">
        <f>IF(HR_Data[[#This Row],[Attrition]]="Yes",1,0)</f>
        <v>0</v>
      </c>
      <c r="AE1360" t="str">
        <f>IF(HR_Data[[#This Row],[Age]]&lt;=25,"18-25",IF(HR_Data[[#This Row],[Age]]&lt;=35,"26-35",IF(HR_Data[[#This Row],[Age]]&lt;=45,"36-45",IF(HR_Data[[#This Row],[Age]]&lt;=55,"46-55","55+"))))</f>
        <v>26-35</v>
      </c>
      <c r="AF1360">
        <f>IF(HR_Data[[#This Row],[Age]]&lt;=25,1,IF(HR_Data[[#This Row],[Age]]&lt;=35,2,IF(HR_Data[[#This Row],[Age]]&lt;=45,3,IF(HR_Data[[#This Row],[Age]]&lt;=55,4,5))))</f>
        <v>2</v>
      </c>
      <c r="AG1360" s="1" t="str">
        <f>IF(HR_Data[[#This Row],[MonthlyIncome]]&lt;3000,"&lt;3K",IF(HR_Data[[#This Row],[MonthlyIncome]]&lt;6000,"3K-6K",IF(HR_Data[[#This Row],[MonthlyIncome]]&lt;10000,"6K-10K","10K+")))</f>
        <v>6K-10K</v>
      </c>
      <c r="AH1360" s="1">
        <f>IF(HR_Data[[#This Row],[MonthlyIncome]]&lt;3000,1,IF(HR_Data[[#This Row],[MonthlyIncome]]&lt;6000,2,IF(HR_Data[[#This Row],[MonthlyIncome]]&lt;10000,3,4)))</f>
        <v>3</v>
      </c>
      <c r="AI1360" s="1" t="str">
        <f>IF(HR_Data[[#This Row],[YearsAtCompany]]&lt;=2,"0-2 Yrs",IF(HR_Data[[#This Row],[YearsAtCompany]]&lt;=5,"3-5 Yrs",IF(HR_Data[[#This Row],[YearsAtCompany]]&lt;=10,"6-10 Yrs","10+ Yrs")))</f>
        <v>3-5 Yrs</v>
      </c>
      <c r="AJ1360" s="1">
        <f>IF(HR_Data[[#This Row],[YearsAtCompany]]&lt;=2,1,IF(HR_Data[[#This Row],[YearsAtCompany]]&lt;=5,2,IF(HR_Data[[#This Row],[YearsAtCompany]]&lt;=10,3,4)))</f>
        <v>2</v>
      </c>
      <c r="AK1360" s="1" t="str">
        <f>CHOOSE(HR_Data[[#This Row],[Education]],"Below College","College","Bachelor","Master","Doctor")</f>
        <v>College</v>
      </c>
      <c r="AL1360" s="1" t="str">
        <f>CHOOSE(HR_Data[[#This Row],[JobSatisfaction]],"Low","Medium","High","Very High")</f>
        <v>Very High</v>
      </c>
      <c r="AM1360" s="1" t="str">
        <f>CHOOSE(HR_Data[[#This Row],[EnvironmentSatisfaction]],"Low","Medium","High","Very High")</f>
        <v>High</v>
      </c>
      <c r="AN1360" s="1" t="str">
        <f>CHOOSE(HR_Data[[#This Row],[WorkLifeBalance]],"Bad","Good","Better","Best")</f>
        <v>Better</v>
      </c>
      <c r="AO1360" s="1" t="str">
        <f>IF(HR_Data[[#This Row],[PercentSalaryHike]]&lt;=13,"11-13%",IF(HR_Data[[#This Row],[PercentSalaryHike]]&lt;=16,"14-16%",IF(HR_Data[[#This Row],[PercentSalaryHike]]&lt;=19,"17-19%","20-25%")))</f>
        <v>11-13%</v>
      </c>
      <c r="AP1360" s="1">
        <f>IF(HR_Data[[#This Row],[PercentSalaryHike]]&lt;=13,1,IF(HR_Data[[#This Row],[PercentSalaryHike]]&lt;=16,2,IF(HR_Data[[#This Row],[PercentSalaryHike]]&lt;=19,3,4)))</f>
        <v>1</v>
      </c>
      <c r="AQ1360" s="1" t="str">
        <f>IF(HR_Data[[#This Row],[DistanceFromHome]]&lt;=5,"1 to 5",IF(HR_Data[[#This Row],[DistanceFromHome]]&lt;=10,"6 to 10",IF(HR_Data[[#This Row],[DistanceFromHome]]&lt;=20,"11 to 20","21 to 29")))</f>
        <v>6 to 10</v>
      </c>
      <c r="AR1360" s="1">
        <f>IF(HR_Data[[#This Row],[DistanceFromHome]]&lt;=5,1,IF(HR_Data[[#This Row],[DistanceFromHome]]&lt;=10,2,IF(HR_Data[[#This Row],[DistanceFromHome]]&lt;=20,3,4)))</f>
        <v>2</v>
      </c>
      <c r="AS1360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360" s="1">
        <f>IF(HR_Data[[#This Row],[TotalWorkingYears]]&lt;=5,1,IF(HR_Data[[#This Row],[TotalWorkingYears]]&lt;=10,2,IF(HR_Data[[#This Row],[TotalWorkingYears]]&lt;=20,3,4)))</f>
        <v>2</v>
      </c>
    </row>
    <row r="1361" spans="1:46" x14ac:dyDescent="0.25">
      <c r="A1361">
        <v>34</v>
      </c>
      <c r="B1361" t="s">
        <v>36</v>
      </c>
      <c r="C1361" t="s">
        <v>30</v>
      </c>
      <c r="D1361" t="s">
        <v>31</v>
      </c>
      <c r="E1361">
        <v>3</v>
      </c>
      <c r="F1361">
        <v>1</v>
      </c>
      <c r="G1361" t="s">
        <v>44</v>
      </c>
      <c r="H1361">
        <v>1915</v>
      </c>
      <c r="I1361">
        <v>4</v>
      </c>
      <c r="J1361" t="s">
        <v>33</v>
      </c>
      <c r="K1361">
        <v>2</v>
      </c>
      <c r="L1361">
        <v>2</v>
      </c>
      <c r="M1361" t="s">
        <v>34</v>
      </c>
      <c r="N1361">
        <v>4</v>
      </c>
      <c r="O1361" t="s">
        <v>41</v>
      </c>
      <c r="P1361">
        <v>8103</v>
      </c>
      <c r="Q1361">
        <v>3</v>
      </c>
      <c r="R1361" t="s">
        <v>29</v>
      </c>
      <c r="S1361">
        <v>12</v>
      </c>
      <c r="T1361">
        <v>3</v>
      </c>
      <c r="U1361">
        <v>3</v>
      </c>
      <c r="V1361">
        <v>0</v>
      </c>
      <c r="W1361">
        <v>9</v>
      </c>
      <c r="X1361">
        <v>3</v>
      </c>
      <c r="Y1361">
        <v>2</v>
      </c>
      <c r="Z1361">
        <v>4</v>
      </c>
      <c r="AA1361">
        <v>2</v>
      </c>
      <c r="AB1361">
        <v>0</v>
      </c>
      <c r="AC1361">
        <v>1</v>
      </c>
      <c r="AD1361">
        <f>IF(HR_Data[[#This Row],[Attrition]]="Yes",1,0)</f>
        <v>0</v>
      </c>
      <c r="AE1361" t="str">
        <f>IF(HR_Data[[#This Row],[Age]]&lt;=25,"18-25",IF(HR_Data[[#This Row],[Age]]&lt;=35,"26-35",IF(HR_Data[[#This Row],[Age]]&lt;=45,"36-45",IF(HR_Data[[#This Row],[Age]]&lt;=55,"46-55","55+"))))</f>
        <v>26-35</v>
      </c>
      <c r="AF1361">
        <f>IF(HR_Data[[#This Row],[Age]]&lt;=25,1,IF(HR_Data[[#This Row],[Age]]&lt;=35,2,IF(HR_Data[[#This Row],[Age]]&lt;=45,3,IF(HR_Data[[#This Row],[Age]]&lt;=55,4,5))))</f>
        <v>2</v>
      </c>
      <c r="AG1361" s="1" t="str">
        <f>IF(HR_Data[[#This Row],[MonthlyIncome]]&lt;3000,"&lt;3K",IF(HR_Data[[#This Row],[MonthlyIncome]]&lt;6000,"3K-6K",IF(HR_Data[[#This Row],[MonthlyIncome]]&lt;10000,"6K-10K","10K+")))</f>
        <v>6K-10K</v>
      </c>
      <c r="AH1361" s="1">
        <f>IF(HR_Data[[#This Row],[MonthlyIncome]]&lt;3000,1,IF(HR_Data[[#This Row],[MonthlyIncome]]&lt;6000,2,IF(HR_Data[[#This Row],[MonthlyIncome]]&lt;10000,3,4)))</f>
        <v>3</v>
      </c>
      <c r="AI1361" s="1" t="str">
        <f>IF(HR_Data[[#This Row],[YearsAtCompany]]&lt;=2,"0-2 Yrs",IF(HR_Data[[#This Row],[YearsAtCompany]]&lt;=5,"3-5 Yrs",IF(HR_Data[[#This Row],[YearsAtCompany]]&lt;=10,"6-10 Yrs","10+ Yrs")))</f>
        <v>3-5 Yrs</v>
      </c>
      <c r="AJ1361" s="1">
        <f>IF(HR_Data[[#This Row],[YearsAtCompany]]&lt;=2,1,IF(HR_Data[[#This Row],[YearsAtCompany]]&lt;=5,2,IF(HR_Data[[#This Row],[YearsAtCompany]]&lt;=10,3,4)))</f>
        <v>2</v>
      </c>
      <c r="AK1361" s="1" t="str">
        <f>CHOOSE(HR_Data[[#This Row],[Education]],"Below College","College","Bachelor","Master","Doctor")</f>
        <v>Below College</v>
      </c>
      <c r="AL1361" s="1" t="str">
        <f>CHOOSE(HR_Data[[#This Row],[JobSatisfaction]],"Low","Medium","High","Very High")</f>
        <v>Very High</v>
      </c>
      <c r="AM1361" s="1" t="str">
        <f>CHOOSE(HR_Data[[#This Row],[EnvironmentSatisfaction]],"Low","Medium","High","Very High")</f>
        <v>Very High</v>
      </c>
      <c r="AN1361" s="1" t="str">
        <f>CHOOSE(HR_Data[[#This Row],[WorkLifeBalance]],"Bad","Good","Better","Best")</f>
        <v>Good</v>
      </c>
      <c r="AO1361" s="1" t="str">
        <f>IF(HR_Data[[#This Row],[PercentSalaryHike]]&lt;=13,"11-13%",IF(HR_Data[[#This Row],[PercentSalaryHike]]&lt;=16,"14-16%",IF(HR_Data[[#This Row],[PercentSalaryHike]]&lt;=19,"17-19%","20-25%")))</f>
        <v>11-13%</v>
      </c>
      <c r="AP1361" s="1">
        <f>IF(HR_Data[[#This Row],[PercentSalaryHike]]&lt;=13,1,IF(HR_Data[[#This Row],[PercentSalaryHike]]&lt;=16,2,IF(HR_Data[[#This Row],[PercentSalaryHike]]&lt;=19,3,4)))</f>
        <v>1</v>
      </c>
      <c r="AQ1361" s="1" t="str">
        <f>IF(HR_Data[[#This Row],[DistanceFromHome]]&lt;=5,"1 to 5",IF(HR_Data[[#This Row],[DistanceFromHome]]&lt;=10,"6 to 10",IF(HR_Data[[#This Row],[DistanceFromHome]]&lt;=20,"11 to 20","21 to 29")))</f>
        <v>1 to 5</v>
      </c>
      <c r="AR1361" s="1">
        <f>IF(HR_Data[[#This Row],[DistanceFromHome]]&lt;=5,1,IF(HR_Data[[#This Row],[DistanceFromHome]]&lt;=10,2,IF(HR_Data[[#This Row],[DistanceFromHome]]&lt;=20,3,4)))</f>
        <v>1</v>
      </c>
      <c r="AS1361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361" s="1">
        <f>IF(HR_Data[[#This Row],[TotalWorkingYears]]&lt;=5,1,IF(HR_Data[[#This Row],[TotalWorkingYears]]&lt;=10,2,IF(HR_Data[[#This Row],[TotalWorkingYears]]&lt;=20,3,4)))</f>
        <v>2</v>
      </c>
    </row>
    <row r="1362" spans="1:46" x14ac:dyDescent="0.25">
      <c r="A1362">
        <v>31</v>
      </c>
      <c r="B1362" t="s">
        <v>36</v>
      </c>
      <c r="C1362" t="s">
        <v>30</v>
      </c>
      <c r="D1362" t="s">
        <v>38</v>
      </c>
      <c r="E1362">
        <v>4</v>
      </c>
      <c r="F1362">
        <v>3</v>
      </c>
      <c r="G1362" t="s">
        <v>44</v>
      </c>
      <c r="H1362">
        <v>1916</v>
      </c>
      <c r="I1362">
        <v>1</v>
      </c>
      <c r="J1362" t="s">
        <v>33</v>
      </c>
      <c r="K1362">
        <v>4</v>
      </c>
      <c r="L1362">
        <v>1</v>
      </c>
      <c r="M1362" t="s">
        <v>43</v>
      </c>
      <c r="N1362">
        <v>3</v>
      </c>
      <c r="O1362" t="s">
        <v>45</v>
      </c>
      <c r="P1362">
        <v>3978</v>
      </c>
      <c r="Q1362">
        <v>8</v>
      </c>
      <c r="R1362" t="s">
        <v>36</v>
      </c>
      <c r="S1362">
        <v>12</v>
      </c>
      <c r="T1362">
        <v>3</v>
      </c>
      <c r="U1362">
        <v>2</v>
      </c>
      <c r="V1362">
        <v>1</v>
      </c>
      <c r="W1362">
        <v>4</v>
      </c>
      <c r="X1362">
        <v>0</v>
      </c>
      <c r="Y1362">
        <v>2</v>
      </c>
      <c r="Z1362">
        <v>2</v>
      </c>
      <c r="AA1362">
        <v>2</v>
      </c>
      <c r="AB1362">
        <v>2</v>
      </c>
      <c r="AC1362">
        <v>2</v>
      </c>
      <c r="AD1362">
        <f>IF(HR_Data[[#This Row],[Attrition]]="Yes",1,0)</f>
        <v>0</v>
      </c>
      <c r="AE1362" t="str">
        <f>IF(HR_Data[[#This Row],[Age]]&lt;=25,"18-25",IF(HR_Data[[#This Row],[Age]]&lt;=35,"26-35",IF(HR_Data[[#This Row],[Age]]&lt;=45,"36-45",IF(HR_Data[[#This Row],[Age]]&lt;=55,"46-55","55+"))))</f>
        <v>26-35</v>
      </c>
      <c r="AF1362">
        <f>IF(HR_Data[[#This Row],[Age]]&lt;=25,1,IF(HR_Data[[#This Row],[Age]]&lt;=35,2,IF(HR_Data[[#This Row],[Age]]&lt;=45,3,IF(HR_Data[[#This Row],[Age]]&lt;=55,4,5))))</f>
        <v>2</v>
      </c>
      <c r="AG1362" s="1" t="str">
        <f>IF(HR_Data[[#This Row],[MonthlyIncome]]&lt;3000,"&lt;3K",IF(HR_Data[[#This Row],[MonthlyIncome]]&lt;6000,"3K-6K",IF(HR_Data[[#This Row],[MonthlyIncome]]&lt;10000,"6K-10K","10K+")))</f>
        <v>3K-6K</v>
      </c>
      <c r="AH1362" s="1">
        <f>IF(HR_Data[[#This Row],[MonthlyIncome]]&lt;3000,1,IF(HR_Data[[#This Row],[MonthlyIncome]]&lt;6000,2,IF(HR_Data[[#This Row],[MonthlyIncome]]&lt;10000,3,4)))</f>
        <v>2</v>
      </c>
      <c r="AI1362" s="1" t="str">
        <f>IF(HR_Data[[#This Row],[YearsAtCompany]]&lt;=2,"0-2 Yrs",IF(HR_Data[[#This Row],[YearsAtCompany]]&lt;=5,"3-5 Yrs",IF(HR_Data[[#This Row],[YearsAtCompany]]&lt;=10,"6-10 Yrs","10+ Yrs")))</f>
        <v>0-2 Yrs</v>
      </c>
      <c r="AJ1362" s="1">
        <f>IF(HR_Data[[#This Row],[YearsAtCompany]]&lt;=2,1,IF(HR_Data[[#This Row],[YearsAtCompany]]&lt;=5,2,IF(HR_Data[[#This Row],[YearsAtCompany]]&lt;=10,3,4)))</f>
        <v>1</v>
      </c>
      <c r="AK1362" s="1" t="str">
        <f>CHOOSE(HR_Data[[#This Row],[Education]],"Below College","College","Bachelor","Master","Doctor")</f>
        <v>Bachelor</v>
      </c>
      <c r="AL1362" s="1" t="str">
        <f>CHOOSE(HR_Data[[#This Row],[JobSatisfaction]],"Low","Medium","High","Very High")</f>
        <v>High</v>
      </c>
      <c r="AM1362" s="1" t="str">
        <f>CHOOSE(HR_Data[[#This Row],[EnvironmentSatisfaction]],"Low","Medium","High","Very High")</f>
        <v>Low</v>
      </c>
      <c r="AN1362" s="1" t="str">
        <f>CHOOSE(HR_Data[[#This Row],[WorkLifeBalance]],"Bad","Good","Better","Best")</f>
        <v>Good</v>
      </c>
      <c r="AO1362" s="1" t="str">
        <f>IF(HR_Data[[#This Row],[PercentSalaryHike]]&lt;=13,"11-13%",IF(HR_Data[[#This Row],[PercentSalaryHike]]&lt;=16,"14-16%",IF(HR_Data[[#This Row],[PercentSalaryHike]]&lt;=19,"17-19%","20-25%")))</f>
        <v>11-13%</v>
      </c>
      <c r="AP1362" s="1">
        <f>IF(HR_Data[[#This Row],[PercentSalaryHike]]&lt;=13,1,IF(HR_Data[[#This Row],[PercentSalaryHike]]&lt;=16,2,IF(HR_Data[[#This Row],[PercentSalaryHike]]&lt;=19,3,4)))</f>
        <v>1</v>
      </c>
      <c r="AQ1362" s="1" t="str">
        <f>IF(HR_Data[[#This Row],[DistanceFromHome]]&lt;=5,"1 to 5",IF(HR_Data[[#This Row],[DistanceFromHome]]&lt;=10,"6 to 10",IF(HR_Data[[#This Row],[DistanceFromHome]]&lt;=20,"11 to 20","21 to 29")))</f>
        <v>1 to 5</v>
      </c>
      <c r="AR1362" s="1">
        <f>IF(HR_Data[[#This Row],[DistanceFromHome]]&lt;=5,1,IF(HR_Data[[#This Row],[DistanceFromHome]]&lt;=10,2,IF(HR_Data[[#This Row],[DistanceFromHome]]&lt;=20,3,4)))</f>
        <v>1</v>
      </c>
      <c r="AS1362" s="1" t="str">
        <f>IF(HR_Data[[#This Row],[TotalWorkingYears]]&lt;=5,"0-5 Yrs",IF(HR_Data[[#This Row],[TotalWorkingYears]]&lt;=10,"6-10 Yrs",IF(HR_Data[[#This Row],[TotalWorkingYears]]&lt;=20,"11-20 Yrs","20+ Yrs")))</f>
        <v>0-5 Yrs</v>
      </c>
      <c r="AT1362" s="1">
        <f>IF(HR_Data[[#This Row],[TotalWorkingYears]]&lt;=5,1,IF(HR_Data[[#This Row],[TotalWorkingYears]]&lt;=10,2,IF(HR_Data[[#This Row],[TotalWorkingYears]]&lt;=20,3,4)))</f>
        <v>1</v>
      </c>
    </row>
    <row r="1363" spans="1:46" x14ac:dyDescent="0.25">
      <c r="A1363">
        <v>26</v>
      </c>
      <c r="B1363" t="s">
        <v>36</v>
      </c>
      <c r="C1363" t="s">
        <v>37</v>
      </c>
      <c r="D1363" t="s">
        <v>38</v>
      </c>
      <c r="E1363">
        <v>6</v>
      </c>
      <c r="F1363">
        <v>3</v>
      </c>
      <c r="G1363" t="s">
        <v>42</v>
      </c>
      <c r="H1363">
        <v>1918</v>
      </c>
      <c r="I1363">
        <v>3</v>
      </c>
      <c r="J1363" t="s">
        <v>39</v>
      </c>
      <c r="K1363">
        <v>4</v>
      </c>
      <c r="L1363">
        <v>1</v>
      </c>
      <c r="M1363" t="s">
        <v>43</v>
      </c>
      <c r="N1363">
        <v>4</v>
      </c>
      <c r="O1363" t="s">
        <v>41</v>
      </c>
      <c r="P1363">
        <v>2544</v>
      </c>
      <c r="Q1363">
        <v>0</v>
      </c>
      <c r="R1363" t="s">
        <v>36</v>
      </c>
      <c r="S1363">
        <v>18</v>
      </c>
      <c r="T1363">
        <v>3</v>
      </c>
      <c r="U1363">
        <v>1</v>
      </c>
      <c r="V1363">
        <v>1</v>
      </c>
      <c r="W1363">
        <v>8</v>
      </c>
      <c r="X1363">
        <v>3</v>
      </c>
      <c r="Y1363">
        <v>3</v>
      </c>
      <c r="Z1363">
        <v>7</v>
      </c>
      <c r="AA1363">
        <v>7</v>
      </c>
      <c r="AB1363">
        <v>7</v>
      </c>
      <c r="AC1363">
        <v>7</v>
      </c>
      <c r="AD1363">
        <f>IF(HR_Data[[#This Row],[Attrition]]="Yes",1,0)</f>
        <v>0</v>
      </c>
      <c r="AE1363" t="str">
        <f>IF(HR_Data[[#This Row],[Age]]&lt;=25,"18-25",IF(HR_Data[[#This Row],[Age]]&lt;=35,"26-35",IF(HR_Data[[#This Row],[Age]]&lt;=45,"36-45",IF(HR_Data[[#This Row],[Age]]&lt;=55,"46-55","55+"))))</f>
        <v>26-35</v>
      </c>
      <c r="AF1363">
        <f>IF(HR_Data[[#This Row],[Age]]&lt;=25,1,IF(HR_Data[[#This Row],[Age]]&lt;=35,2,IF(HR_Data[[#This Row],[Age]]&lt;=45,3,IF(HR_Data[[#This Row],[Age]]&lt;=55,4,5))))</f>
        <v>2</v>
      </c>
      <c r="AG1363" s="1" t="str">
        <f>IF(HR_Data[[#This Row],[MonthlyIncome]]&lt;3000,"&lt;3K",IF(HR_Data[[#This Row],[MonthlyIncome]]&lt;6000,"3K-6K",IF(HR_Data[[#This Row],[MonthlyIncome]]&lt;10000,"6K-10K","10K+")))</f>
        <v>&lt;3K</v>
      </c>
      <c r="AH1363" s="1">
        <f>IF(HR_Data[[#This Row],[MonthlyIncome]]&lt;3000,1,IF(HR_Data[[#This Row],[MonthlyIncome]]&lt;6000,2,IF(HR_Data[[#This Row],[MonthlyIncome]]&lt;10000,3,4)))</f>
        <v>1</v>
      </c>
      <c r="AI1363" s="1" t="str">
        <f>IF(HR_Data[[#This Row],[YearsAtCompany]]&lt;=2,"0-2 Yrs",IF(HR_Data[[#This Row],[YearsAtCompany]]&lt;=5,"3-5 Yrs",IF(HR_Data[[#This Row],[YearsAtCompany]]&lt;=10,"6-10 Yrs","10+ Yrs")))</f>
        <v>6-10 Yrs</v>
      </c>
      <c r="AJ1363" s="1">
        <f>IF(HR_Data[[#This Row],[YearsAtCompany]]&lt;=2,1,IF(HR_Data[[#This Row],[YearsAtCompany]]&lt;=5,2,IF(HR_Data[[#This Row],[YearsAtCompany]]&lt;=10,3,4)))</f>
        <v>3</v>
      </c>
      <c r="AK1363" s="1" t="str">
        <f>CHOOSE(HR_Data[[#This Row],[Education]],"Below College","College","Bachelor","Master","Doctor")</f>
        <v>Bachelor</v>
      </c>
      <c r="AL1363" s="1" t="str">
        <f>CHOOSE(HR_Data[[#This Row],[JobSatisfaction]],"Low","Medium","High","Very High")</f>
        <v>Very High</v>
      </c>
      <c r="AM1363" s="1" t="str">
        <f>CHOOSE(HR_Data[[#This Row],[EnvironmentSatisfaction]],"Low","Medium","High","Very High")</f>
        <v>High</v>
      </c>
      <c r="AN1363" s="1" t="str">
        <f>CHOOSE(HR_Data[[#This Row],[WorkLifeBalance]],"Bad","Good","Better","Best")</f>
        <v>Better</v>
      </c>
      <c r="AO1363" s="1" t="str">
        <f>IF(HR_Data[[#This Row],[PercentSalaryHike]]&lt;=13,"11-13%",IF(HR_Data[[#This Row],[PercentSalaryHike]]&lt;=16,"14-16%",IF(HR_Data[[#This Row],[PercentSalaryHike]]&lt;=19,"17-19%","20-25%")))</f>
        <v>17-19%</v>
      </c>
      <c r="AP1363" s="1">
        <f>IF(HR_Data[[#This Row],[PercentSalaryHike]]&lt;=13,1,IF(HR_Data[[#This Row],[PercentSalaryHike]]&lt;=16,2,IF(HR_Data[[#This Row],[PercentSalaryHike]]&lt;=19,3,4)))</f>
        <v>3</v>
      </c>
      <c r="AQ1363" s="1" t="str">
        <f>IF(HR_Data[[#This Row],[DistanceFromHome]]&lt;=5,"1 to 5",IF(HR_Data[[#This Row],[DistanceFromHome]]&lt;=10,"6 to 10",IF(HR_Data[[#This Row],[DistanceFromHome]]&lt;=20,"11 to 20","21 to 29")))</f>
        <v>6 to 10</v>
      </c>
      <c r="AR1363" s="1">
        <f>IF(HR_Data[[#This Row],[DistanceFromHome]]&lt;=5,1,IF(HR_Data[[#This Row],[DistanceFromHome]]&lt;=10,2,IF(HR_Data[[#This Row],[DistanceFromHome]]&lt;=20,3,4)))</f>
        <v>2</v>
      </c>
      <c r="AS1363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363" s="1">
        <f>IF(HR_Data[[#This Row],[TotalWorkingYears]]&lt;=5,1,IF(HR_Data[[#This Row],[TotalWorkingYears]]&lt;=10,2,IF(HR_Data[[#This Row],[TotalWorkingYears]]&lt;=20,3,4)))</f>
        <v>2</v>
      </c>
    </row>
    <row r="1364" spans="1:46" x14ac:dyDescent="0.25">
      <c r="A1364">
        <v>45</v>
      </c>
      <c r="B1364" t="s">
        <v>36</v>
      </c>
      <c r="C1364" t="s">
        <v>37</v>
      </c>
      <c r="D1364" t="s">
        <v>38</v>
      </c>
      <c r="E1364">
        <v>1</v>
      </c>
      <c r="F1364">
        <v>4</v>
      </c>
      <c r="G1364" t="s">
        <v>44</v>
      </c>
      <c r="H1364">
        <v>1922</v>
      </c>
      <c r="I1364">
        <v>2</v>
      </c>
      <c r="J1364" t="s">
        <v>39</v>
      </c>
      <c r="K1364">
        <v>3</v>
      </c>
      <c r="L1364">
        <v>2</v>
      </c>
      <c r="M1364" t="s">
        <v>47</v>
      </c>
      <c r="N1364">
        <v>3</v>
      </c>
      <c r="O1364" t="s">
        <v>35</v>
      </c>
      <c r="P1364">
        <v>5399</v>
      </c>
      <c r="Q1364">
        <v>4</v>
      </c>
      <c r="R1364" t="s">
        <v>36</v>
      </c>
      <c r="S1364">
        <v>12</v>
      </c>
      <c r="T1364">
        <v>3</v>
      </c>
      <c r="U1364">
        <v>3</v>
      </c>
      <c r="V1364">
        <v>0</v>
      </c>
      <c r="W1364">
        <v>12</v>
      </c>
      <c r="X1364">
        <v>3</v>
      </c>
      <c r="Y1364">
        <v>3</v>
      </c>
      <c r="Z1364">
        <v>4</v>
      </c>
      <c r="AA1364">
        <v>2</v>
      </c>
      <c r="AB1364">
        <v>0</v>
      </c>
      <c r="AC1364">
        <v>3</v>
      </c>
      <c r="AD1364">
        <f>IF(HR_Data[[#This Row],[Attrition]]="Yes",1,0)</f>
        <v>0</v>
      </c>
      <c r="AE1364" t="str">
        <f>IF(HR_Data[[#This Row],[Age]]&lt;=25,"18-25",IF(HR_Data[[#This Row],[Age]]&lt;=35,"26-35",IF(HR_Data[[#This Row],[Age]]&lt;=45,"36-45",IF(HR_Data[[#This Row],[Age]]&lt;=55,"46-55","55+"))))</f>
        <v>36-45</v>
      </c>
      <c r="AF1364">
        <f>IF(HR_Data[[#This Row],[Age]]&lt;=25,1,IF(HR_Data[[#This Row],[Age]]&lt;=35,2,IF(HR_Data[[#This Row],[Age]]&lt;=45,3,IF(HR_Data[[#This Row],[Age]]&lt;=55,4,5))))</f>
        <v>3</v>
      </c>
      <c r="AG1364" s="1" t="str">
        <f>IF(HR_Data[[#This Row],[MonthlyIncome]]&lt;3000,"&lt;3K",IF(HR_Data[[#This Row],[MonthlyIncome]]&lt;6000,"3K-6K",IF(HR_Data[[#This Row],[MonthlyIncome]]&lt;10000,"6K-10K","10K+")))</f>
        <v>3K-6K</v>
      </c>
      <c r="AH1364" s="1">
        <f>IF(HR_Data[[#This Row],[MonthlyIncome]]&lt;3000,1,IF(HR_Data[[#This Row],[MonthlyIncome]]&lt;6000,2,IF(HR_Data[[#This Row],[MonthlyIncome]]&lt;10000,3,4)))</f>
        <v>2</v>
      </c>
      <c r="AI1364" s="1" t="str">
        <f>IF(HR_Data[[#This Row],[YearsAtCompany]]&lt;=2,"0-2 Yrs",IF(HR_Data[[#This Row],[YearsAtCompany]]&lt;=5,"3-5 Yrs",IF(HR_Data[[#This Row],[YearsAtCompany]]&lt;=10,"6-10 Yrs","10+ Yrs")))</f>
        <v>3-5 Yrs</v>
      </c>
      <c r="AJ1364" s="1">
        <f>IF(HR_Data[[#This Row],[YearsAtCompany]]&lt;=2,1,IF(HR_Data[[#This Row],[YearsAtCompany]]&lt;=5,2,IF(HR_Data[[#This Row],[YearsAtCompany]]&lt;=10,3,4)))</f>
        <v>2</v>
      </c>
      <c r="AK1364" s="1" t="str">
        <f>CHOOSE(HR_Data[[#This Row],[Education]],"Below College","College","Bachelor","Master","Doctor")</f>
        <v>Master</v>
      </c>
      <c r="AL1364" s="1" t="str">
        <f>CHOOSE(HR_Data[[#This Row],[JobSatisfaction]],"Low","Medium","High","Very High")</f>
        <v>High</v>
      </c>
      <c r="AM1364" s="1" t="str">
        <f>CHOOSE(HR_Data[[#This Row],[EnvironmentSatisfaction]],"Low","Medium","High","Very High")</f>
        <v>Medium</v>
      </c>
      <c r="AN1364" s="1" t="str">
        <f>CHOOSE(HR_Data[[#This Row],[WorkLifeBalance]],"Bad","Good","Better","Best")</f>
        <v>Better</v>
      </c>
      <c r="AO1364" s="1" t="str">
        <f>IF(HR_Data[[#This Row],[PercentSalaryHike]]&lt;=13,"11-13%",IF(HR_Data[[#This Row],[PercentSalaryHike]]&lt;=16,"14-16%",IF(HR_Data[[#This Row],[PercentSalaryHike]]&lt;=19,"17-19%","20-25%")))</f>
        <v>11-13%</v>
      </c>
      <c r="AP1364" s="1">
        <f>IF(HR_Data[[#This Row],[PercentSalaryHike]]&lt;=13,1,IF(HR_Data[[#This Row],[PercentSalaryHike]]&lt;=16,2,IF(HR_Data[[#This Row],[PercentSalaryHike]]&lt;=19,3,4)))</f>
        <v>1</v>
      </c>
      <c r="AQ1364" s="1" t="str">
        <f>IF(HR_Data[[#This Row],[DistanceFromHome]]&lt;=5,"1 to 5",IF(HR_Data[[#This Row],[DistanceFromHome]]&lt;=10,"6 to 10",IF(HR_Data[[#This Row],[DistanceFromHome]]&lt;=20,"11 to 20","21 to 29")))</f>
        <v>1 to 5</v>
      </c>
      <c r="AR1364" s="1">
        <f>IF(HR_Data[[#This Row],[DistanceFromHome]]&lt;=5,1,IF(HR_Data[[#This Row],[DistanceFromHome]]&lt;=10,2,IF(HR_Data[[#This Row],[DistanceFromHome]]&lt;=20,3,4)))</f>
        <v>1</v>
      </c>
      <c r="AS1364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364" s="1">
        <f>IF(HR_Data[[#This Row],[TotalWorkingYears]]&lt;=5,1,IF(HR_Data[[#This Row],[TotalWorkingYears]]&lt;=10,2,IF(HR_Data[[#This Row],[TotalWorkingYears]]&lt;=20,3,4)))</f>
        <v>3</v>
      </c>
    </row>
    <row r="1365" spans="1:46" x14ac:dyDescent="0.25">
      <c r="A1365">
        <v>33</v>
      </c>
      <c r="B1365" t="s">
        <v>36</v>
      </c>
      <c r="C1365" t="s">
        <v>30</v>
      </c>
      <c r="D1365" t="s">
        <v>31</v>
      </c>
      <c r="E1365">
        <v>10</v>
      </c>
      <c r="F1365">
        <v>4</v>
      </c>
      <c r="G1365" t="s">
        <v>52</v>
      </c>
      <c r="H1365">
        <v>1924</v>
      </c>
      <c r="I1365">
        <v>2</v>
      </c>
      <c r="J1365" t="s">
        <v>39</v>
      </c>
      <c r="K1365">
        <v>3</v>
      </c>
      <c r="L1365">
        <v>2</v>
      </c>
      <c r="M1365" t="s">
        <v>34</v>
      </c>
      <c r="N1365">
        <v>3</v>
      </c>
      <c r="O1365" t="s">
        <v>35</v>
      </c>
      <c r="P1365">
        <v>5487</v>
      </c>
      <c r="Q1365">
        <v>1</v>
      </c>
      <c r="R1365" t="s">
        <v>36</v>
      </c>
      <c r="S1365">
        <v>14</v>
      </c>
      <c r="T1365">
        <v>3</v>
      </c>
      <c r="U1365">
        <v>2</v>
      </c>
      <c r="V1365">
        <v>0</v>
      </c>
      <c r="W1365">
        <v>10</v>
      </c>
      <c r="X1365">
        <v>2</v>
      </c>
      <c r="Y1365">
        <v>2</v>
      </c>
      <c r="Z1365">
        <v>10</v>
      </c>
      <c r="AA1365">
        <v>4</v>
      </c>
      <c r="AB1365">
        <v>0</v>
      </c>
      <c r="AC1365">
        <v>9</v>
      </c>
      <c r="AD1365">
        <f>IF(HR_Data[[#This Row],[Attrition]]="Yes",1,0)</f>
        <v>0</v>
      </c>
      <c r="AE1365" t="str">
        <f>IF(HR_Data[[#This Row],[Age]]&lt;=25,"18-25",IF(HR_Data[[#This Row],[Age]]&lt;=35,"26-35",IF(HR_Data[[#This Row],[Age]]&lt;=45,"36-45",IF(HR_Data[[#This Row],[Age]]&lt;=55,"46-55","55+"))))</f>
        <v>26-35</v>
      </c>
      <c r="AF1365">
        <f>IF(HR_Data[[#This Row],[Age]]&lt;=25,1,IF(HR_Data[[#This Row],[Age]]&lt;=35,2,IF(HR_Data[[#This Row],[Age]]&lt;=45,3,IF(HR_Data[[#This Row],[Age]]&lt;=55,4,5))))</f>
        <v>2</v>
      </c>
      <c r="AG1365" s="1" t="str">
        <f>IF(HR_Data[[#This Row],[MonthlyIncome]]&lt;3000,"&lt;3K",IF(HR_Data[[#This Row],[MonthlyIncome]]&lt;6000,"3K-6K",IF(HR_Data[[#This Row],[MonthlyIncome]]&lt;10000,"6K-10K","10K+")))</f>
        <v>3K-6K</v>
      </c>
      <c r="AH1365" s="1">
        <f>IF(HR_Data[[#This Row],[MonthlyIncome]]&lt;3000,1,IF(HR_Data[[#This Row],[MonthlyIncome]]&lt;6000,2,IF(HR_Data[[#This Row],[MonthlyIncome]]&lt;10000,3,4)))</f>
        <v>2</v>
      </c>
      <c r="AI1365" s="1" t="str">
        <f>IF(HR_Data[[#This Row],[YearsAtCompany]]&lt;=2,"0-2 Yrs",IF(HR_Data[[#This Row],[YearsAtCompany]]&lt;=5,"3-5 Yrs",IF(HR_Data[[#This Row],[YearsAtCompany]]&lt;=10,"6-10 Yrs","10+ Yrs")))</f>
        <v>6-10 Yrs</v>
      </c>
      <c r="AJ1365" s="1">
        <f>IF(HR_Data[[#This Row],[YearsAtCompany]]&lt;=2,1,IF(HR_Data[[#This Row],[YearsAtCompany]]&lt;=5,2,IF(HR_Data[[#This Row],[YearsAtCompany]]&lt;=10,3,4)))</f>
        <v>3</v>
      </c>
      <c r="AK1365" s="1" t="str">
        <f>CHOOSE(HR_Data[[#This Row],[Education]],"Below College","College","Bachelor","Master","Doctor")</f>
        <v>Master</v>
      </c>
      <c r="AL1365" s="1" t="str">
        <f>CHOOSE(HR_Data[[#This Row],[JobSatisfaction]],"Low","Medium","High","Very High")</f>
        <v>High</v>
      </c>
      <c r="AM1365" s="1" t="str">
        <f>CHOOSE(HR_Data[[#This Row],[EnvironmentSatisfaction]],"Low","Medium","High","Very High")</f>
        <v>Medium</v>
      </c>
      <c r="AN1365" s="1" t="str">
        <f>CHOOSE(HR_Data[[#This Row],[WorkLifeBalance]],"Bad","Good","Better","Best")</f>
        <v>Good</v>
      </c>
      <c r="AO1365" s="1" t="str">
        <f>IF(HR_Data[[#This Row],[PercentSalaryHike]]&lt;=13,"11-13%",IF(HR_Data[[#This Row],[PercentSalaryHike]]&lt;=16,"14-16%",IF(HR_Data[[#This Row],[PercentSalaryHike]]&lt;=19,"17-19%","20-25%")))</f>
        <v>14-16%</v>
      </c>
      <c r="AP1365" s="1">
        <f>IF(HR_Data[[#This Row],[PercentSalaryHike]]&lt;=13,1,IF(HR_Data[[#This Row],[PercentSalaryHike]]&lt;=16,2,IF(HR_Data[[#This Row],[PercentSalaryHike]]&lt;=19,3,4)))</f>
        <v>2</v>
      </c>
      <c r="AQ1365" s="1" t="str">
        <f>IF(HR_Data[[#This Row],[DistanceFromHome]]&lt;=5,"1 to 5",IF(HR_Data[[#This Row],[DistanceFromHome]]&lt;=10,"6 to 10",IF(HR_Data[[#This Row],[DistanceFromHome]]&lt;=20,"11 to 20","21 to 29")))</f>
        <v>6 to 10</v>
      </c>
      <c r="AR1365" s="1">
        <f>IF(HR_Data[[#This Row],[DistanceFromHome]]&lt;=5,1,IF(HR_Data[[#This Row],[DistanceFromHome]]&lt;=10,2,IF(HR_Data[[#This Row],[DistanceFromHome]]&lt;=20,3,4)))</f>
        <v>2</v>
      </c>
      <c r="AS1365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365" s="1">
        <f>IF(HR_Data[[#This Row],[TotalWorkingYears]]&lt;=5,1,IF(HR_Data[[#This Row],[TotalWorkingYears]]&lt;=10,2,IF(HR_Data[[#This Row],[TotalWorkingYears]]&lt;=20,3,4)))</f>
        <v>2</v>
      </c>
    </row>
    <row r="1366" spans="1:46" x14ac:dyDescent="0.25">
      <c r="A1366">
        <v>28</v>
      </c>
      <c r="B1366" t="s">
        <v>36</v>
      </c>
      <c r="C1366" t="s">
        <v>37</v>
      </c>
      <c r="D1366" t="s">
        <v>31</v>
      </c>
      <c r="E1366">
        <v>1</v>
      </c>
      <c r="F1366">
        <v>2</v>
      </c>
      <c r="G1366" t="s">
        <v>32</v>
      </c>
      <c r="H1366">
        <v>1927</v>
      </c>
      <c r="I1366">
        <v>3</v>
      </c>
      <c r="J1366" t="s">
        <v>39</v>
      </c>
      <c r="K1366">
        <v>2</v>
      </c>
      <c r="L1366">
        <v>2</v>
      </c>
      <c r="M1366" t="s">
        <v>34</v>
      </c>
      <c r="N1366">
        <v>4</v>
      </c>
      <c r="O1366" t="s">
        <v>41</v>
      </c>
      <c r="P1366">
        <v>6834</v>
      </c>
      <c r="Q1366">
        <v>1</v>
      </c>
      <c r="R1366" t="s">
        <v>29</v>
      </c>
      <c r="S1366">
        <v>12</v>
      </c>
      <c r="T1366">
        <v>3</v>
      </c>
      <c r="U1366">
        <v>3</v>
      </c>
      <c r="V1366">
        <v>1</v>
      </c>
      <c r="W1366">
        <v>7</v>
      </c>
      <c r="X1366">
        <v>2</v>
      </c>
      <c r="Y1366">
        <v>3</v>
      </c>
      <c r="Z1366">
        <v>7</v>
      </c>
      <c r="AA1366">
        <v>7</v>
      </c>
      <c r="AB1366">
        <v>0</v>
      </c>
      <c r="AC1366">
        <v>7</v>
      </c>
      <c r="AD1366">
        <f>IF(HR_Data[[#This Row],[Attrition]]="Yes",1,0)</f>
        <v>0</v>
      </c>
      <c r="AE1366" t="str">
        <f>IF(HR_Data[[#This Row],[Age]]&lt;=25,"18-25",IF(HR_Data[[#This Row],[Age]]&lt;=35,"26-35",IF(HR_Data[[#This Row],[Age]]&lt;=45,"36-45",IF(HR_Data[[#This Row],[Age]]&lt;=55,"46-55","55+"))))</f>
        <v>26-35</v>
      </c>
      <c r="AF1366">
        <f>IF(HR_Data[[#This Row],[Age]]&lt;=25,1,IF(HR_Data[[#This Row],[Age]]&lt;=35,2,IF(HR_Data[[#This Row],[Age]]&lt;=45,3,IF(HR_Data[[#This Row],[Age]]&lt;=55,4,5))))</f>
        <v>2</v>
      </c>
      <c r="AG1366" s="1" t="str">
        <f>IF(HR_Data[[#This Row],[MonthlyIncome]]&lt;3000,"&lt;3K",IF(HR_Data[[#This Row],[MonthlyIncome]]&lt;6000,"3K-6K",IF(HR_Data[[#This Row],[MonthlyIncome]]&lt;10000,"6K-10K","10K+")))</f>
        <v>6K-10K</v>
      </c>
      <c r="AH1366" s="1">
        <f>IF(HR_Data[[#This Row],[MonthlyIncome]]&lt;3000,1,IF(HR_Data[[#This Row],[MonthlyIncome]]&lt;6000,2,IF(HR_Data[[#This Row],[MonthlyIncome]]&lt;10000,3,4)))</f>
        <v>3</v>
      </c>
      <c r="AI1366" s="1" t="str">
        <f>IF(HR_Data[[#This Row],[YearsAtCompany]]&lt;=2,"0-2 Yrs",IF(HR_Data[[#This Row],[YearsAtCompany]]&lt;=5,"3-5 Yrs",IF(HR_Data[[#This Row],[YearsAtCompany]]&lt;=10,"6-10 Yrs","10+ Yrs")))</f>
        <v>6-10 Yrs</v>
      </c>
      <c r="AJ1366" s="1">
        <f>IF(HR_Data[[#This Row],[YearsAtCompany]]&lt;=2,1,IF(HR_Data[[#This Row],[YearsAtCompany]]&lt;=5,2,IF(HR_Data[[#This Row],[YearsAtCompany]]&lt;=10,3,4)))</f>
        <v>3</v>
      </c>
      <c r="AK1366" s="1" t="str">
        <f>CHOOSE(HR_Data[[#This Row],[Education]],"Below College","College","Bachelor","Master","Doctor")</f>
        <v>College</v>
      </c>
      <c r="AL1366" s="1" t="str">
        <f>CHOOSE(HR_Data[[#This Row],[JobSatisfaction]],"Low","Medium","High","Very High")</f>
        <v>Very High</v>
      </c>
      <c r="AM1366" s="1" t="str">
        <f>CHOOSE(HR_Data[[#This Row],[EnvironmentSatisfaction]],"Low","Medium","High","Very High")</f>
        <v>High</v>
      </c>
      <c r="AN1366" s="1" t="str">
        <f>CHOOSE(HR_Data[[#This Row],[WorkLifeBalance]],"Bad","Good","Better","Best")</f>
        <v>Better</v>
      </c>
      <c r="AO1366" s="1" t="str">
        <f>IF(HR_Data[[#This Row],[PercentSalaryHike]]&lt;=13,"11-13%",IF(HR_Data[[#This Row],[PercentSalaryHike]]&lt;=16,"14-16%",IF(HR_Data[[#This Row],[PercentSalaryHike]]&lt;=19,"17-19%","20-25%")))</f>
        <v>11-13%</v>
      </c>
      <c r="AP1366" s="1">
        <f>IF(HR_Data[[#This Row],[PercentSalaryHike]]&lt;=13,1,IF(HR_Data[[#This Row],[PercentSalaryHike]]&lt;=16,2,IF(HR_Data[[#This Row],[PercentSalaryHike]]&lt;=19,3,4)))</f>
        <v>1</v>
      </c>
      <c r="AQ1366" s="1" t="str">
        <f>IF(HR_Data[[#This Row],[DistanceFromHome]]&lt;=5,"1 to 5",IF(HR_Data[[#This Row],[DistanceFromHome]]&lt;=10,"6 to 10",IF(HR_Data[[#This Row],[DistanceFromHome]]&lt;=20,"11 to 20","21 to 29")))</f>
        <v>1 to 5</v>
      </c>
      <c r="AR1366" s="1">
        <f>IF(HR_Data[[#This Row],[DistanceFromHome]]&lt;=5,1,IF(HR_Data[[#This Row],[DistanceFromHome]]&lt;=10,2,IF(HR_Data[[#This Row],[DistanceFromHome]]&lt;=20,3,4)))</f>
        <v>1</v>
      </c>
      <c r="AS1366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366" s="1">
        <f>IF(HR_Data[[#This Row],[TotalWorkingYears]]&lt;=5,1,IF(HR_Data[[#This Row],[TotalWorkingYears]]&lt;=10,2,IF(HR_Data[[#This Row],[TotalWorkingYears]]&lt;=20,3,4)))</f>
        <v>2</v>
      </c>
    </row>
    <row r="1367" spans="1:46" x14ac:dyDescent="0.25">
      <c r="A1367">
        <v>29</v>
      </c>
      <c r="B1367" t="s">
        <v>29</v>
      </c>
      <c r="C1367" t="s">
        <v>37</v>
      </c>
      <c r="D1367" t="s">
        <v>31</v>
      </c>
      <c r="E1367">
        <v>24</v>
      </c>
      <c r="F1367">
        <v>3</v>
      </c>
      <c r="G1367" t="s">
        <v>53</v>
      </c>
      <c r="H1367">
        <v>1928</v>
      </c>
      <c r="I1367">
        <v>3</v>
      </c>
      <c r="J1367" t="s">
        <v>39</v>
      </c>
      <c r="K1367">
        <v>4</v>
      </c>
      <c r="L1367">
        <v>1</v>
      </c>
      <c r="M1367" t="s">
        <v>50</v>
      </c>
      <c r="N1367">
        <v>1</v>
      </c>
      <c r="O1367" t="s">
        <v>35</v>
      </c>
      <c r="P1367">
        <v>1091</v>
      </c>
      <c r="Q1367">
        <v>1</v>
      </c>
      <c r="R1367" t="s">
        <v>36</v>
      </c>
      <c r="S1367">
        <v>17</v>
      </c>
      <c r="T1367">
        <v>3</v>
      </c>
      <c r="U1367">
        <v>4</v>
      </c>
      <c r="V1367">
        <v>0</v>
      </c>
      <c r="W1367">
        <v>1</v>
      </c>
      <c r="X1367">
        <v>3</v>
      </c>
      <c r="Y1367">
        <v>3</v>
      </c>
      <c r="Z1367">
        <v>1</v>
      </c>
      <c r="AA1367">
        <v>0</v>
      </c>
      <c r="AB1367">
        <v>0</v>
      </c>
      <c r="AC1367">
        <v>0</v>
      </c>
      <c r="AD1367">
        <f>IF(HR_Data[[#This Row],[Attrition]]="Yes",1,0)</f>
        <v>1</v>
      </c>
      <c r="AE1367" t="str">
        <f>IF(HR_Data[[#This Row],[Age]]&lt;=25,"18-25",IF(HR_Data[[#This Row],[Age]]&lt;=35,"26-35",IF(HR_Data[[#This Row],[Age]]&lt;=45,"36-45",IF(HR_Data[[#This Row],[Age]]&lt;=55,"46-55","55+"))))</f>
        <v>26-35</v>
      </c>
      <c r="AF1367">
        <f>IF(HR_Data[[#This Row],[Age]]&lt;=25,1,IF(HR_Data[[#This Row],[Age]]&lt;=35,2,IF(HR_Data[[#This Row],[Age]]&lt;=45,3,IF(HR_Data[[#This Row],[Age]]&lt;=55,4,5))))</f>
        <v>2</v>
      </c>
      <c r="AG1367" s="1" t="str">
        <f>IF(HR_Data[[#This Row],[MonthlyIncome]]&lt;3000,"&lt;3K",IF(HR_Data[[#This Row],[MonthlyIncome]]&lt;6000,"3K-6K",IF(HR_Data[[#This Row],[MonthlyIncome]]&lt;10000,"6K-10K","10K+")))</f>
        <v>&lt;3K</v>
      </c>
      <c r="AH1367" s="1">
        <f>IF(HR_Data[[#This Row],[MonthlyIncome]]&lt;3000,1,IF(HR_Data[[#This Row],[MonthlyIncome]]&lt;6000,2,IF(HR_Data[[#This Row],[MonthlyIncome]]&lt;10000,3,4)))</f>
        <v>1</v>
      </c>
      <c r="AI1367" s="1" t="str">
        <f>IF(HR_Data[[#This Row],[YearsAtCompany]]&lt;=2,"0-2 Yrs",IF(HR_Data[[#This Row],[YearsAtCompany]]&lt;=5,"3-5 Yrs",IF(HR_Data[[#This Row],[YearsAtCompany]]&lt;=10,"6-10 Yrs","10+ Yrs")))</f>
        <v>0-2 Yrs</v>
      </c>
      <c r="AJ1367" s="1">
        <f>IF(HR_Data[[#This Row],[YearsAtCompany]]&lt;=2,1,IF(HR_Data[[#This Row],[YearsAtCompany]]&lt;=5,2,IF(HR_Data[[#This Row],[YearsAtCompany]]&lt;=10,3,4)))</f>
        <v>1</v>
      </c>
      <c r="AK1367" s="1" t="str">
        <f>CHOOSE(HR_Data[[#This Row],[Education]],"Below College","College","Bachelor","Master","Doctor")</f>
        <v>Bachelor</v>
      </c>
      <c r="AL1367" s="1" t="str">
        <f>CHOOSE(HR_Data[[#This Row],[JobSatisfaction]],"Low","Medium","High","Very High")</f>
        <v>Low</v>
      </c>
      <c r="AM1367" s="1" t="str">
        <f>CHOOSE(HR_Data[[#This Row],[EnvironmentSatisfaction]],"Low","Medium","High","Very High")</f>
        <v>High</v>
      </c>
      <c r="AN1367" s="1" t="str">
        <f>CHOOSE(HR_Data[[#This Row],[WorkLifeBalance]],"Bad","Good","Better","Best")</f>
        <v>Better</v>
      </c>
      <c r="AO1367" s="1" t="str">
        <f>IF(HR_Data[[#This Row],[PercentSalaryHike]]&lt;=13,"11-13%",IF(HR_Data[[#This Row],[PercentSalaryHike]]&lt;=16,"14-16%",IF(HR_Data[[#This Row],[PercentSalaryHike]]&lt;=19,"17-19%","20-25%")))</f>
        <v>17-19%</v>
      </c>
      <c r="AP1367" s="1">
        <f>IF(HR_Data[[#This Row],[PercentSalaryHike]]&lt;=13,1,IF(HR_Data[[#This Row],[PercentSalaryHike]]&lt;=16,2,IF(HR_Data[[#This Row],[PercentSalaryHike]]&lt;=19,3,4)))</f>
        <v>3</v>
      </c>
      <c r="AQ1367" s="1" t="str">
        <f>IF(HR_Data[[#This Row],[DistanceFromHome]]&lt;=5,"1 to 5",IF(HR_Data[[#This Row],[DistanceFromHome]]&lt;=10,"6 to 10",IF(HR_Data[[#This Row],[DistanceFromHome]]&lt;=20,"11 to 20","21 to 29")))</f>
        <v>21 to 29</v>
      </c>
      <c r="AR1367" s="1">
        <f>IF(HR_Data[[#This Row],[DistanceFromHome]]&lt;=5,1,IF(HR_Data[[#This Row],[DistanceFromHome]]&lt;=10,2,IF(HR_Data[[#This Row],[DistanceFromHome]]&lt;=20,3,4)))</f>
        <v>4</v>
      </c>
      <c r="AS1367" s="1" t="str">
        <f>IF(HR_Data[[#This Row],[TotalWorkingYears]]&lt;=5,"0-5 Yrs",IF(HR_Data[[#This Row],[TotalWorkingYears]]&lt;=10,"6-10 Yrs",IF(HR_Data[[#This Row],[TotalWorkingYears]]&lt;=20,"11-20 Yrs","20+ Yrs")))</f>
        <v>0-5 Yrs</v>
      </c>
      <c r="AT1367" s="1">
        <f>IF(HR_Data[[#This Row],[TotalWorkingYears]]&lt;=5,1,IF(HR_Data[[#This Row],[TotalWorkingYears]]&lt;=10,2,IF(HR_Data[[#This Row],[TotalWorkingYears]]&lt;=20,3,4)))</f>
        <v>1</v>
      </c>
    </row>
    <row r="1368" spans="1:46" x14ac:dyDescent="0.25">
      <c r="A1368">
        <v>39</v>
      </c>
      <c r="B1368" t="s">
        <v>36</v>
      </c>
      <c r="C1368" t="s">
        <v>48</v>
      </c>
      <c r="D1368" t="s">
        <v>31</v>
      </c>
      <c r="E1368">
        <v>21</v>
      </c>
      <c r="F1368">
        <v>4</v>
      </c>
      <c r="G1368" t="s">
        <v>32</v>
      </c>
      <c r="H1368">
        <v>1929</v>
      </c>
      <c r="I1368">
        <v>1</v>
      </c>
      <c r="J1368" t="s">
        <v>33</v>
      </c>
      <c r="K1368">
        <v>1</v>
      </c>
      <c r="L1368">
        <v>2</v>
      </c>
      <c r="M1368" t="s">
        <v>34</v>
      </c>
      <c r="N1368">
        <v>3</v>
      </c>
      <c r="O1368" t="s">
        <v>41</v>
      </c>
      <c r="P1368">
        <v>5736</v>
      </c>
      <c r="Q1368">
        <v>6</v>
      </c>
      <c r="R1368" t="s">
        <v>36</v>
      </c>
      <c r="S1368">
        <v>19</v>
      </c>
      <c r="T1368">
        <v>3</v>
      </c>
      <c r="U1368">
        <v>3</v>
      </c>
      <c r="V1368">
        <v>1</v>
      </c>
      <c r="W1368">
        <v>10</v>
      </c>
      <c r="X1368">
        <v>1</v>
      </c>
      <c r="Y1368">
        <v>3</v>
      </c>
      <c r="Z1368">
        <v>3</v>
      </c>
      <c r="AA1368">
        <v>2</v>
      </c>
      <c r="AB1368">
        <v>1</v>
      </c>
      <c r="AC1368">
        <v>2</v>
      </c>
      <c r="AD1368">
        <f>IF(HR_Data[[#This Row],[Attrition]]="Yes",1,0)</f>
        <v>0</v>
      </c>
      <c r="AE1368" t="str">
        <f>IF(HR_Data[[#This Row],[Age]]&lt;=25,"18-25",IF(HR_Data[[#This Row],[Age]]&lt;=35,"26-35",IF(HR_Data[[#This Row],[Age]]&lt;=45,"36-45",IF(HR_Data[[#This Row],[Age]]&lt;=55,"46-55","55+"))))</f>
        <v>36-45</v>
      </c>
      <c r="AF1368">
        <f>IF(HR_Data[[#This Row],[Age]]&lt;=25,1,IF(HR_Data[[#This Row],[Age]]&lt;=35,2,IF(HR_Data[[#This Row],[Age]]&lt;=45,3,IF(HR_Data[[#This Row],[Age]]&lt;=55,4,5))))</f>
        <v>3</v>
      </c>
      <c r="AG1368" s="1" t="str">
        <f>IF(HR_Data[[#This Row],[MonthlyIncome]]&lt;3000,"&lt;3K",IF(HR_Data[[#This Row],[MonthlyIncome]]&lt;6000,"3K-6K",IF(HR_Data[[#This Row],[MonthlyIncome]]&lt;10000,"6K-10K","10K+")))</f>
        <v>3K-6K</v>
      </c>
      <c r="AH1368" s="1">
        <f>IF(HR_Data[[#This Row],[MonthlyIncome]]&lt;3000,1,IF(HR_Data[[#This Row],[MonthlyIncome]]&lt;6000,2,IF(HR_Data[[#This Row],[MonthlyIncome]]&lt;10000,3,4)))</f>
        <v>2</v>
      </c>
      <c r="AI1368" s="1" t="str">
        <f>IF(HR_Data[[#This Row],[YearsAtCompany]]&lt;=2,"0-2 Yrs",IF(HR_Data[[#This Row],[YearsAtCompany]]&lt;=5,"3-5 Yrs",IF(HR_Data[[#This Row],[YearsAtCompany]]&lt;=10,"6-10 Yrs","10+ Yrs")))</f>
        <v>3-5 Yrs</v>
      </c>
      <c r="AJ1368" s="1">
        <f>IF(HR_Data[[#This Row],[YearsAtCompany]]&lt;=2,1,IF(HR_Data[[#This Row],[YearsAtCompany]]&lt;=5,2,IF(HR_Data[[#This Row],[YearsAtCompany]]&lt;=10,3,4)))</f>
        <v>2</v>
      </c>
      <c r="AK1368" s="1" t="str">
        <f>CHOOSE(HR_Data[[#This Row],[Education]],"Below College","College","Bachelor","Master","Doctor")</f>
        <v>Master</v>
      </c>
      <c r="AL1368" s="1" t="str">
        <f>CHOOSE(HR_Data[[#This Row],[JobSatisfaction]],"Low","Medium","High","Very High")</f>
        <v>High</v>
      </c>
      <c r="AM1368" s="1" t="str">
        <f>CHOOSE(HR_Data[[#This Row],[EnvironmentSatisfaction]],"Low","Medium","High","Very High")</f>
        <v>Low</v>
      </c>
      <c r="AN1368" s="1" t="str">
        <f>CHOOSE(HR_Data[[#This Row],[WorkLifeBalance]],"Bad","Good","Better","Best")</f>
        <v>Better</v>
      </c>
      <c r="AO1368" s="1" t="str">
        <f>IF(HR_Data[[#This Row],[PercentSalaryHike]]&lt;=13,"11-13%",IF(HR_Data[[#This Row],[PercentSalaryHike]]&lt;=16,"14-16%",IF(HR_Data[[#This Row],[PercentSalaryHike]]&lt;=19,"17-19%","20-25%")))</f>
        <v>17-19%</v>
      </c>
      <c r="AP1368" s="1">
        <f>IF(HR_Data[[#This Row],[PercentSalaryHike]]&lt;=13,1,IF(HR_Data[[#This Row],[PercentSalaryHike]]&lt;=16,2,IF(HR_Data[[#This Row],[PercentSalaryHike]]&lt;=19,3,4)))</f>
        <v>3</v>
      </c>
      <c r="AQ1368" s="1" t="str">
        <f>IF(HR_Data[[#This Row],[DistanceFromHome]]&lt;=5,"1 to 5",IF(HR_Data[[#This Row],[DistanceFromHome]]&lt;=10,"6 to 10",IF(HR_Data[[#This Row],[DistanceFromHome]]&lt;=20,"11 to 20","21 to 29")))</f>
        <v>21 to 29</v>
      </c>
      <c r="AR1368" s="1">
        <f>IF(HR_Data[[#This Row],[DistanceFromHome]]&lt;=5,1,IF(HR_Data[[#This Row],[DistanceFromHome]]&lt;=10,2,IF(HR_Data[[#This Row],[DistanceFromHome]]&lt;=20,3,4)))</f>
        <v>4</v>
      </c>
      <c r="AS1368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368" s="1">
        <f>IF(HR_Data[[#This Row],[TotalWorkingYears]]&lt;=5,1,IF(HR_Data[[#This Row],[TotalWorkingYears]]&lt;=10,2,IF(HR_Data[[#This Row],[TotalWorkingYears]]&lt;=20,3,4)))</f>
        <v>2</v>
      </c>
    </row>
    <row r="1369" spans="1:46" x14ac:dyDescent="0.25">
      <c r="A1369">
        <v>27</v>
      </c>
      <c r="B1369" t="s">
        <v>36</v>
      </c>
      <c r="C1369" t="s">
        <v>30</v>
      </c>
      <c r="D1369" t="s">
        <v>38</v>
      </c>
      <c r="E1369">
        <v>2</v>
      </c>
      <c r="F1369">
        <v>4</v>
      </c>
      <c r="G1369" t="s">
        <v>53</v>
      </c>
      <c r="H1369">
        <v>1931</v>
      </c>
      <c r="I1369">
        <v>2</v>
      </c>
      <c r="J1369" t="s">
        <v>39</v>
      </c>
      <c r="K1369">
        <v>3</v>
      </c>
      <c r="L1369">
        <v>1</v>
      </c>
      <c r="M1369" t="s">
        <v>40</v>
      </c>
      <c r="N1369">
        <v>2</v>
      </c>
      <c r="O1369" t="s">
        <v>41</v>
      </c>
      <c r="P1369">
        <v>2226</v>
      </c>
      <c r="Q1369">
        <v>1</v>
      </c>
      <c r="R1369" t="s">
        <v>36</v>
      </c>
      <c r="S1369">
        <v>11</v>
      </c>
      <c r="T1369">
        <v>3</v>
      </c>
      <c r="U1369">
        <v>3</v>
      </c>
      <c r="V1369">
        <v>1</v>
      </c>
      <c r="W1369">
        <v>6</v>
      </c>
      <c r="X1369">
        <v>3</v>
      </c>
      <c r="Y1369">
        <v>2</v>
      </c>
      <c r="Z1369">
        <v>5</v>
      </c>
      <c r="AA1369">
        <v>3</v>
      </c>
      <c r="AB1369">
        <v>1</v>
      </c>
      <c r="AC1369">
        <v>2</v>
      </c>
      <c r="AD1369">
        <f>IF(HR_Data[[#This Row],[Attrition]]="Yes",1,0)</f>
        <v>0</v>
      </c>
      <c r="AE1369" t="str">
        <f>IF(HR_Data[[#This Row],[Age]]&lt;=25,"18-25",IF(HR_Data[[#This Row],[Age]]&lt;=35,"26-35",IF(HR_Data[[#This Row],[Age]]&lt;=45,"36-45",IF(HR_Data[[#This Row],[Age]]&lt;=55,"46-55","55+"))))</f>
        <v>26-35</v>
      </c>
      <c r="AF1369">
        <f>IF(HR_Data[[#This Row],[Age]]&lt;=25,1,IF(HR_Data[[#This Row],[Age]]&lt;=35,2,IF(HR_Data[[#This Row],[Age]]&lt;=45,3,IF(HR_Data[[#This Row],[Age]]&lt;=55,4,5))))</f>
        <v>2</v>
      </c>
      <c r="AG1369" s="1" t="str">
        <f>IF(HR_Data[[#This Row],[MonthlyIncome]]&lt;3000,"&lt;3K",IF(HR_Data[[#This Row],[MonthlyIncome]]&lt;6000,"3K-6K",IF(HR_Data[[#This Row],[MonthlyIncome]]&lt;10000,"6K-10K","10K+")))</f>
        <v>&lt;3K</v>
      </c>
      <c r="AH1369" s="1">
        <f>IF(HR_Data[[#This Row],[MonthlyIncome]]&lt;3000,1,IF(HR_Data[[#This Row],[MonthlyIncome]]&lt;6000,2,IF(HR_Data[[#This Row],[MonthlyIncome]]&lt;10000,3,4)))</f>
        <v>1</v>
      </c>
      <c r="AI1369" s="1" t="str">
        <f>IF(HR_Data[[#This Row],[YearsAtCompany]]&lt;=2,"0-2 Yrs",IF(HR_Data[[#This Row],[YearsAtCompany]]&lt;=5,"3-5 Yrs",IF(HR_Data[[#This Row],[YearsAtCompany]]&lt;=10,"6-10 Yrs","10+ Yrs")))</f>
        <v>3-5 Yrs</v>
      </c>
      <c r="AJ1369" s="1">
        <f>IF(HR_Data[[#This Row],[YearsAtCompany]]&lt;=2,1,IF(HR_Data[[#This Row],[YearsAtCompany]]&lt;=5,2,IF(HR_Data[[#This Row],[YearsAtCompany]]&lt;=10,3,4)))</f>
        <v>2</v>
      </c>
      <c r="AK1369" s="1" t="str">
        <f>CHOOSE(HR_Data[[#This Row],[Education]],"Below College","College","Bachelor","Master","Doctor")</f>
        <v>Master</v>
      </c>
      <c r="AL1369" s="1" t="str">
        <f>CHOOSE(HR_Data[[#This Row],[JobSatisfaction]],"Low","Medium","High","Very High")</f>
        <v>Medium</v>
      </c>
      <c r="AM1369" s="1" t="str">
        <f>CHOOSE(HR_Data[[#This Row],[EnvironmentSatisfaction]],"Low","Medium","High","Very High")</f>
        <v>Medium</v>
      </c>
      <c r="AN1369" s="1" t="str">
        <f>CHOOSE(HR_Data[[#This Row],[WorkLifeBalance]],"Bad","Good","Better","Best")</f>
        <v>Good</v>
      </c>
      <c r="AO1369" s="1" t="str">
        <f>IF(HR_Data[[#This Row],[PercentSalaryHike]]&lt;=13,"11-13%",IF(HR_Data[[#This Row],[PercentSalaryHike]]&lt;=16,"14-16%",IF(HR_Data[[#This Row],[PercentSalaryHike]]&lt;=19,"17-19%","20-25%")))</f>
        <v>11-13%</v>
      </c>
      <c r="AP1369" s="1">
        <f>IF(HR_Data[[#This Row],[PercentSalaryHike]]&lt;=13,1,IF(HR_Data[[#This Row],[PercentSalaryHike]]&lt;=16,2,IF(HR_Data[[#This Row],[PercentSalaryHike]]&lt;=19,3,4)))</f>
        <v>1</v>
      </c>
      <c r="AQ1369" s="1" t="str">
        <f>IF(HR_Data[[#This Row],[DistanceFromHome]]&lt;=5,"1 to 5",IF(HR_Data[[#This Row],[DistanceFromHome]]&lt;=10,"6 to 10",IF(HR_Data[[#This Row],[DistanceFromHome]]&lt;=20,"11 to 20","21 to 29")))</f>
        <v>1 to 5</v>
      </c>
      <c r="AR1369" s="1">
        <f>IF(HR_Data[[#This Row],[DistanceFromHome]]&lt;=5,1,IF(HR_Data[[#This Row],[DistanceFromHome]]&lt;=10,2,IF(HR_Data[[#This Row],[DistanceFromHome]]&lt;=20,3,4)))</f>
        <v>1</v>
      </c>
      <c r="AS1369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369" s="1">
        <f>IF(HR_Data[[#This Row],[TotalWorkingYears]]&lt;=5,1,IF(HR_Data[[#This Row],[TotalWorkingYears]]&lt;=10,2,IF(HR_Data[[#This Row],[TotalWorkingYears]]&lt;=20,3,4)))</f>
        <v>2</v>
      </c>
    </row>
    <row r="1370" spans="1:46" x14ac:dyDescent="0.25">
      <c r="A1370">
        <v>34</v>
      </c>
      <c r="B1370" t="s">
        <v>36</v>
      </c>
      <c r="C1370" t="s">
        <v>37</v>
      </c>
      <c r="D1370" t="s">
        <v>38</v>
      </c>
      <c r="E1370">
        <v>22</v>
      </c>
      <c r="F1370">
        <v>4</v>
      </c>
      <c r="G1370" t="s">
        <v>42</v>
      </c>
      <c r="H1370">
        <v>1932</v>
      </c>
      <c r="I1370">
        <v>3</v>
      </c>
      <c r="J1370" t="s">
        <v>39</v>
      </c>
      <c r="K1370">
        <v>2</v>
      </c>
      <c r="L1370">
        <v>2</v>
      </c>
      <c r="M1370" t="s">
        <v>40</v>
      </c>
      <c r="N1370">
        <v>4</v>
      </c>
      <c r="O1370" t="s">
        <v>41</v>
      </c>
      <c r="P1370">
        <v>5747</v>
      </c>
      <c r="Q1370">
        <v>1</v>
      </c>
      <c r="R1370" t="s">
        <v>29</v>
      </c>
      <c r="S1370">
        <v>15</v>
      </c>
      <c r="T1370">
        <v>3</v>
      </c>
      <c r="U1370">
        <v>2</v>
      </c>
      <c r="V1370">
        <v>0</v>
      </c>
      <c r="W1370">
        <v>16</v>
      </c>
      <c r="X1370">
        <v>3</v>
      </c>
      <c r="Y1370">
        <v>3</v>
      </c>
      <c r="Z1370">
        <v>15</v>
      </c>
      <c r="AA1370">
        <v>10</v>
      </c>
      <c r="AB1370">
        <v>6</v>
      </c>
      <c r="AC1370">
        <v>11</v>
      </c>
      <c r="AD1370">
        <f>IF(HR_Data[[#This Row],[Attrition]]="Yes",1,0)</f>
        <v>0</v>
      </c>
      <c r="AE1370" t="str">
        <f>IF(HR_Data[[#This Row],[Age]]&lt;=25,"18-25",IF(HR_Data[[#This Row],[Age]]&lt;=35,"26-35",IF(HR_Data[[#This Row],[Age]]&lt;=45,"36-45",IF(HR_Data[[#This Row],[Age]]&lt;=55,"46-55","55+"))))</f>
        <v>26-35</v>
      </c>
      <c r="AF1370">
        <f>IF(HR_Data[[#This Row],[Age]]&lt;=25,1,IF(HR_Data[[#This Row],[Age]]&lt;=35,2,IF(HR_Data[[#This Row],[Age]]&lt;=45,3,IF(HR_Data[[#This Row],[Age]]&lt;=55,4,5))))</f>
        <v>2</v>
      </c>
      <c r="AG1370" s="1" t="str">
        <f>IF(HR_Data[[#This Row],[MonthlyIncome]]&lt;3000,"&lt;3K",IF(HR_Data[[#This Row],[MonthlyIncome]]&lt;6000,"3K-6K",IF(HR_Data[[#This Row],[MonthlyIncome]]&lt;10000,"6K-10K","10K+")))</f>
        <v>3K-6K</v>
      </c>
      <c r="AH1370" s="1">
        <f>IF(HR_Data[[#This Row],[MonthlyIncome]]&lt;3000,1,IF(HR_Data[[#This Row],[MonthlyIncome]]&lt;6000,2,IF(HR_Data[[#This Row],[MonthlyIncome]]&lt;10000,3,4)))</f>
        <v>2</v>
      </c>
      <c r="AI1370" s="1" t="str">
        <f>IF(HR_Data[[#This Row],[YearsAtCompany]]&lt;=2,"0-2 Yrs",IF(HR_Data[[#This Row],[YearsAtCompany]]&lt;=5,"3-5 Yrs",IF(HR_Data[[#This Row],[YearsAtCompany]]&lt;=10,"6-10 Yrs","10+ Yrs")))</f>
        <v>10+ Yrs</v>
      </c>
      <c r="AJ1370" s="1">
        <f>IF(HR_Data[[#This Row],[YearsAtCompany]]&lt;=2,1,IF(HR_Data[[#This Row],[YearsAtCompany]]&lt;=5,2,IF(HR_Data[[#This Row],[YearsAtCompany]]&lt;=10,3,4)))</f>
        <v>4</v>
      </c>
      <c r="AK1370" s="1" t="str">
        <f>CHOOSE(HR_Data[[#This Row],[Education]],"Below College","College","Bachelor","Master","Doctor")</f>
        <v>Master</v>
      </c>
      <c r="AL1370" s="1" t="str">
        <f>CHOOSE(HR_Data[[#This Row],[JobSatisfaction]],"Low","Medium","High","Very High")</f>
        <v>Very High</v>
      </c>
      <c r="AM1370" s="1" t="str">
        <f>CHOOSE(HR_Data[[#This Row],[EnvironmentSatisfaction]],"Low","Medium","High","Very High")</f>
        <v>High</v>
      </c>
      <c r="AN1370" s="1" t="str">
        <f>CHOOSE(HR_Data[[#This Row],[WorkLifeBalance]],"Bad","Good","Better","Best")</f>
        <v>Better</v>
      </c>
      <c r="AO1370" s="1" t="str">
        <f>IF(HR_Data[[#This Row],[PercentSalaryHike]]&lt;=13,"11-13%",IF(HR_Data[[#This Row],[PercentSalaryHike]]&lt;=16,"14-16%",IF(HR_Data[[#This Row],[PercentSalaryHike]]&lt;=19,"17-19%","20-25%")))</f>
        <v>14-16%</v>
      </c>
      <c r="AP1370" s="1">
        <f>IF(HR_Data[[#This Row],[PercentSalaryHike]]&lt;=13,1,IF(HR_Data[[#This Row],[PercentSalaryHike]]&lt;=16,2,IF(HR_Data[[#This Row],[PercentSalaryHike]]&lt;=19,3,4)))</f>
        <v>2</v>
      </c>
      <c r="AQ1370" s="1" t="str">
        <f>IF(HR_Data[[#This Row],[DistanceFromHome]]&lt;=5,"1 to 5",IF(HR_Data[[#This Row],[DistanceFromHome]]&lt;=10,"6 to 10",IF(HR_Data[[#This Row],[DistanceFromHome]]&lt;=20,"11 to 20","21 to 29")))</f>
        <v>21 to 29</v>
      </c>
      <c r="AR1370" s="1">
        <f>IF(HR_Data[[#This Row],[DistanceFromHome]]&lt;=5,1,IF(HR_Data[[#This Row],[DistanceFromHome]]&lt;=10,2,IF(HR_Data[[#This Row],[DistanceFromHome]]&lt;=20,3,4)))</f>
        <v>4</v>
      </c>
      <c r="AS1370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370" s="1">
        <f>IF(HR_Data[[#This Row],[TotalWorkingYears]]&lt;=5,1,IF(HR_Data[[#This Row],[TotalWorkingYears]]&lt;=10,2,IF(HR_Data[[#This Row],[TotalWorkingYears]]&lt;=20,3,4)))</f>
        <v>3</v>
      </c>
    </row>
    <row r="1371" spans="1:46" x14ac:dyDescent="0.25">
      <c r="A1371">
        <v>28</v>
      </c>
      <c r="B1371" t="s">
        <v>29</v>
      </c>
      <c r="C1371" t="s">
        <v>30</v>
      </c>
      <c r="D1371" t="s">
        <v>31</v>
      </c>
      <c r="E1371">
        <v>13</v>
      </c>
      <c r="F1371">
        <v>2</v>
      </c>
      <c r="G1371" t="s">
        <v>52</v>
      </c>
      <c r="H1371">
        <v>1933</v>
      </c>
      <c r="I1371">
        <v>4</v>
      </c>
      <c r="J1371" t="s">
        <v>33</v>
      </c>
      <c r="K1371">
        <v>3</v>
      </c>
      <c r="L1371">
        <v>2</v>
      </c>
      <c r="M1371" t="s">
        <v>34</v>
      </c>
      <c r="N1371">
        <v>3</v>
      </c>
      <c r="O1371" t="s">
        <v>35</v>
      </c>
      <c r="P1371">
        <v>9854</v>
      </c>
      <c r="Q1371">
        <v>3</v>
      </c>
      <c r="R1371" t="s">
        <v>29</v>
      </c>
      <c r="S1371">
        <v>11</v>
      </c>
      <c r="T1371">
        <v>3</v>
      </c>
      <c r="U1371">
        <v>4</v>
      </c>
      <c r="V1371">
        <v>0</v>
      </c>
      <c r="W1371">
        <v>6</v>
      </c>
      <c r="X1371">
        <v>0</v>
      </c>
      <c r="Y1371">
        <v>3</v>
      </c>
      <c r="Z1371">
        <v>2</v>
      </c>
      <c r="AA1371">
        <v>0</v>
      </c>
      <c r="AB1371">
        <v>2</v>
      </c>
      <c r="AC1371">
        <v>2</v>
      </c>
      <c r="AD1371">
        <f>IF(HR_Data[[#This Row],[Attrition]]="Yes",1,0)</f>
        <v>1</v>
      </c>
      <c r="AE1371" t="str">
        <f>IF(HR_Data[[#This Row],[Age]]&lt;=25,"18-25",IF(HR_Data[[#This Row],[Age]]&lt;=35,"26-35",IF(HR_Data[[#This Row],[Age]]&lt;=45,"36-45",IF(HR_Data[[#This Row],[Age]]&lt;=55,"46-55","55+"))))</f>
        <v>26-35</v>
      </c>
      <c r="AF1371">
        <f>IF(HR_Data[[#This Row],[Age]]&lt;=25,1,IF(HR_Data[[#This Row],[Age]]&lt;=35,2,IF(HR_Data[[#This Row],[Age]]&lt;=45,3,IF(HR_Data[[#This Row],[Age]]&lt;=55,4,5))))</f>
        <v>2</v>
      </c>
      <c r="AG1371" s="1" t="str">
        <f>IF(HR_Data[[#This Row],[MonthlyIncome]]&lt;3000,"&lt;3K",IF(HR_Data[[#This Row],[MonthlyIncome]]&lt;6000,"3K-6K",IF(HR_Data[[#This Row],[MonthlyIncome]]&lt;10000,"6K-10K","10K+")))</f>
        <v>6K-10K</v>
      </c>
      <c r="AH1371" s="1">
        <f>IF(HR_Data[[#This Row],[MonthlyIncome]]&lt;3000,1,IF(HR_Data[[#This Row],[MonthlyIncome]]&lt;6000,2,IF(HR_Data[[#This Row],[MonthlyIncome]]&lt;10000,3,4)))</f>
        <v>3</v>
      </c>
      <c r="AI1371" s="1" t="str">
        <f>IF(HR_Data[[#This Row],[YearsAtCompany]]&lt;=2,"0-2 Yrs",IF(HR_Data[[#This Row],[YearsAtCompany]]&lt;=5,"3-5 Yrs",IF(HR_Data[[#This Row],[YearsAtCompany]]&lt;=10,"6-10 Yrs","10+ Yrs")))</f>
        <v>0-2 Yrs</v>
      </c>
      <c r="AJ1371" s="1">
        <f>IF(HR_Data[[#This Row],[YearsAtCompany]]&lt;=2,1,IF(HR_Data[[#This Row],[YearsAtCompany]]&lt;=5,2,IF(HR_Data[[#This Row],[YearsAtCompany]]&lt;=10,3,4)))</f>
        <v>1</v>
      </c>
      <c r="AK1371" s="1" t="str">
        <f>CHOOSE(HR_Data[[#This Row],[Education]],"Below College","College","Bachelor","Master","Doctor")</f>
        <v>College</v>
      </c>
      <c r="AL1371" s="1" t="str">
        <f>CHOOSE(HR_Data[[#This Row],[JobSatisfaction]],"Low","Medium","High","Very High")</f>
        <v>High</v>
      </c>
      <c r="AM1371" s="1" t="str">
        <f>CHOOSE(HR_Data[[#This Row],[EnvironmentSatisfaction]],"Low","Medium","High","Very High")</f>
        <v>Very High</v>
      </c>
      <c r="AN1371" s="1" t="str">
        <f>CHOOSE(HR_Data[[#This Row],[WorkLifeBalance]],"Bad","Good","Better","Best")</f>
        <v>Better</v>
      </c>
      <c r="AO1371" s="1" t="str">
        <f>IF(HR_Data[[#This Row],[PercentSalaryHike]]&lt;=13,"11-13%",IF(HR_Data[[#This Row],[PercentSalaryHike]]&lt;=16,"14-16%",IF(HR_Data[[#This Row],[PercentSalaryHike]]&lt;=19,"17-19%","20-25%")))</f>
        <v>11-13%</v>
      </c>
      <c r="AP1371" s="1">
        <f>IF(HR_Data[[#This Row],[PercentSalaryHike]]&lt;=13,1,IF(HR_Data[[#This Row],[PercentSalaryHike]]&lt;=16,2,IF(HR_Data[[#This Row],[PercentSalaryHike]]&lt;=19,3,4)))</f>
        <v>1</v>
      </c>
      <c r="AQ1371" s="1" t="str">
        <f>IF(HR_Data[[#This Row],[DistanceFromHome]]&lt;=5,"1 to 5",IF(HR_Data[[#This Row],[DistanceFromHome]]&lt;=10,"6 to 10",IF(HR_Data[[#This Row],[DistanceFromHome]]&lt;=20,"11 to 20","21 to 29")))</f>
        <v>11 to 20</v>
      </c>
      <c r="AR1371" s="1">
        <f>IF(HR_Data[[#This Row],[DistanceFromHome]]&lt;=5,1,IF(HR_Data[[#This Row],[DistanceFromHome]]&lt;=10,2,IF(HR_Data[[#This Row],[DistanceFromHome]]&lt;=20,3,4)))</f>
        <v>3</v>
      </c>
      <c r="AS1371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371" s="1">
        <f>IF(HR_Data[[#This Row],[TotalWorkingYears]]&lt;=5,1,IF(HR_Data[[#This Row],[TotalWorkingYears]]&lt;=10,2,IF(HR_Data[[#This Row],[TotalWorkingYears]]&lt;=20,3,4)))</f>
        <v>2</v>
      </c>
    </row>
    <row r="1372" spans="1:46" x14ac:dyDescent="0.25">
      <c r="A1372">
        <v>47</v>
      </c>
      <c r="B1372" t="s">
        <v>36</v>
      </c>
      <c r="C1372" t="s">
        <v>48</v>
      </c>
      <c r="D1372" t="s">
        <v>38</v>
      </c>
      <c r="E1372">
        <v>14</v>
      </c>
      <c r="F1372">
        <v>4</v>
      </c>
      <c r="G1372" t="s">
        <v>53</v>
      </c>
      <c r="H1372">
        <v>1934</v>
      </c>
      <c r="I1372">
        <v>3</v>
      </c>
      <c r="J1372" t="s">
        <v>39</v>
      </c>
      <c r="K1372">
        <v>3</v>
      </c>
      <c r="L1372">
        <v>2</v>
      </c>
      <c r="M1372" t="s">
        <v>40</v>
      </c>
      <c r="N1372">
        <v>2</v>
      </c>
      <c r="O1372" t="s">
        <v>41</v>
      </c>
      <c r="P1372">
        <v>5467</v>
      </c>
      <c r="Q1372">
        <v>8</v>
      </c>
      <c r="R1372" t="s">
        <v>36</v>
      </c>
      <c r="S1372">
        <v>18</v>
      </c>
      <c r="T1372">
        <v>3</v>
      </c>
      <c r="U1372">
        <v>3</v>
      </c>
      <c r="V1372">
        <v>1</v>
      </c>
      <c r="W1372">
        <v>16</v>
      </c>
      <c r="X1372">
        <v>4</v>
      </c>
      <c r="Y1372">
        <v>4</v>
      </c>
      <c r="Z1372">
        <v>8</v>
      </c>
      <c r="AA1372">
        <v>7</v>
      </c>
      <c r="AB1372">
        <v>1</v>
      </c>
      <c r="AC1372">
        <v>7</v>
      </c>
      <c r="AD1372">
        <f>IF(HR_Data[[#This Row],[Attrition]]="Yes",1,0)</f>
        <v>0</v>
      </c>
      <c r="AE1372" t="str">
        <f>IF(HR_Data[[#This Row],[Age]]&lt;=25,"18-25",IF(HR_Data[[#This Row],[Age]]&lt;=35,"26-35",IF(HR_Data[[#This Row],[Age]]&lt;=45,"36-45",IF(HR_Data[[#This Row],[Age]]&lt;=55,"46-55","55+"))))</f>
        <v>46-55</v>
      </c>
      <c r="AF1372">
        <f>IF(HR_Data[[#This Row],[Age]]&lt;=25,1,IF(HR_Data[[#This Row],[Age]]&lt;=35,2,IF(HR_Data[[#This Row],[Age]]&lt;=45,3,IF(HR_Data[[#This Row],[Age]]&lt;=55,4,5))))</f>
        <v>4</v>
      </c>
      <c r="AG1372" s="1" t="str">
        <f>IF(HR_Data[[#This Row],[MonthlyIncome]]&lt;3000,"&lt;3K",IF(HR_Data[[#This Row],[MonthlyIncome]]&lt;6000,"3K-6K",IF(HR_Data[[#This Row],[MonthlyIncome]]&lt;10000,"6K-10K","10K+")))</f>
        <v>3K-6K</v>
      </c>
      <c r="AH1372" s="1">
        <f>IF(HR_Data[[#This Row],[MonthlyIncome]]&lt;3000,1,IF(HR_Data[[#This Row],[MonthlyIncome]]&lt;6000,2,IF(HR_Data[[#This Row],[MonthlyIncome]]&lt;10000,3,4)))</f>
        <v>2</v>
      </c>
      <c r="AI1372" s="1" t="str">
        <f>IF(HR_Data[[#This Row],[YearsAtCompany]]&lt;=2,"0-2 Yrs",IF(HR_Data[[#This Row],[YearsAtCompany]]&lt;=5,"3-5 Yrs",IF(HR_Data[[#This Row],[YearsAtCompany]]&lt;=10,"6-10 Yrs","10+ Yrs")))</f>
        <v>6-10 Yrs</v>
      </c>
      <c r="AJ1372" s="1">
        <f>IF(HR_Data[[#This Row],[YearsAtCompany]]&lt;=2,1,IF(HR_Data[[#This Row],[YearsAtCompany]]&lt;=5,2,IF(HR_Data[[#This Row],[YearsAtCompany]]&lt;=10,3,4)))</f>
        <v>3</v>
      </c>
      <c r="AK1372" s="1" t="str">
        <f>CHOOSE(HR_Data[[#This Row],[Education]],"Below College","College","Bachelor","Master","Doctor")</f>
        <v>Master</v>
      </c>
      <c r="AL1372" s="1" t="str">
        <f>CHOOSE(HR_Data[[#This Row],[JobSatisfaction]],"Low","Medium","High","Very High")</f>
        <v>Medium</v>
      </c>
      <c r="AM1372" s="1" t="str">
        <f>CHOOSE(HR_Data[[#This Row],[EnvironmentSatisfaction]],"Low","Medium","High","Very High")</f>
        <v>High</v>
      </c>
      <c r="AN1372" s="1" t="str">
        <f>CHOOSE(HR_Data[[#This Row],[WorkLifeBalance]],"Bad","Good","Better","Best")</f>
        <v>Best</v>
      </c>
      <c r="AO1372" s="1" t="str">
        <f>IF(HR_Data[[#This Row],[PercentSalaryHike]]&lt;=13,"11-13%",IF(HR_Data[[#This Row],[PercentSalaryHike]]&lt;=16,"14-16%",IF(HR_Data[[#This Row],[PercentSalaryHike]]&lt;=19,"17-19%","20-25%")))</f>
        <v>17-19%</v>
      </c>
      <c r="AP1372" s="1">
        <f>IF(HR_Data[[#This Row],[PercentSalaryHike]]&lt;=13,1,IF(HR_Data[[#This Row],[PercentSalaryHike]]&lt;=16,2,IF(HR_Data[[#This Row],[PercentSalaryHike]]&lt;=19,3,4)))</f>
        <v>3</v>
      </c>
      <c r="AQ1372" s="1" t="str">
        <f>IF(HR_Data[[#This Row],[DistanceFromHome]]&lt;=5,"1 to 5",IF(HR_Data[[#This Row],[DistanceFromHome]]&lt;=10,"6 to 10",IF(HR_Data[[#This Row],[DistanceFromHome]]&lt;=20,"11 to 20","21 to 29")))</f>
        <v>11 to 20</v>
      </c>
      <c r="AR1372" s="1">
        <f>IF(HR_Data[[#This Row],[DistanceFromHome]]&lt;=5,1,IF(HR_Data[[#This Row],[DistanceFromHome]]&lt;=10,2,IF(HR_Data[[#This Row],[DistanceFromHome]]&lt;=20,3,4)))</f>
        <v>3</v>
      </c>
      <c r="AS1372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372" s="1">
        <f>IF(HR_Data[[#This Row],[TotalWorkingYears]]&lt;=5,1,IF(HR_Data[[#This Row],[TotalWorkingYears]]&lt;=10,2,IF(HR_Data[[#This Row],[TotalWorkingYears]]&lt;=20,3,4)))</f>
        <v>3</v>
      </c>
    </row>
    <row r="1373" spans="1:46" x14ac:dyDescent="0.25">
      <c r="A1373">
        <v>56</v>
      </c>
      <c r="B1373" t="s">
        <v>36</v>
      </c>
      <c r="C1373" t="s">
        <v>30</v>
      </c>
      <c r="D1373" t="s">
        <v>31</v>
      </c>
      <c r="E1373">
        <v>11</v>
      </c>
      <c r="F1373">
        <v>5</v>
      </c>
      <c r="G1373" t="s">
        <v>52</v>
      </c>
      <c r="H1373">
        <v>1935</v>
      </c>
      <c r="I1373">
        <v>4</v>
      </c>
      <c r="J1373" t="s">
        <v>33</v>
      </c>
      <c r="K1373">
        <v>2</v>
      </c>
      <c r="L1373">
        <v>2</v>
      </c>
      <c r="M1373" t="s">
        <v>34</v>
      </c>
      <c r="N1373">
        <v>1</v>
      </c>
      <c r="O1373" t="s">
        <v>41</v>
      </c>
      <c r="P1373">
        <v>5380</v>
      </c>
      <c r="Q1373">
        <v>4</v>
      </c>
      <c r="R1373" t="s">
        <v>36</v>
      </c>
      <c r="S1373">
        <v>16</v>
      </c>
      <c r="T1373">
        <v>3</v>
      </c>
      <c r="U1373">
        <v>3</v>
      </c>
      <c r="V1373">
        <v>1</v>
      </c>
      <c r="W1373">
        <v>6</v>
      </c>
      <c r="X1373">
        <v>3</v>
      </c>
      <c r="Y1373">
        <v>3</v>
      </c>
      <c r="Z1373">
        <v>0</v>
      </c>
      <c r="AA1373">
        <v>0</v>
      </c>
      <c r="AB1373">
        <v>0</v>
      </c>
      <c r="AC1373">
        <v>0</v>
      </c>
      <c r="AD1373">
        <f>IF(HR_Data[[#This Row],[Attrition]]="Yes",1,0)</f>
        <v>0</v>
      </c>
      <c r="AE1373" t="str">
        <f>IF(HR_Data[[#This Row],[Age]]&lt;=25,"18-25",IF(HR_Data[[#This Row],[Age]]&lt;=35,"26-35",IF(HR_Data[[#This Row],[Age]]&lt;=45,"36-45",IF(HR_Data[[#This Row],[Age]]&lt;=55,"46-55","55+"))))</f>
        <v>55+</v>
      </c>
      <c r="AF1373">
        <f>IF(HR_Data[[#This Row],[Age]]&lt;=25,1,IF(HR_Data[[#This Row],[Age]]&lt;=35,2,IF(HR_Data[[#This Row],[Age]]&lt;=45,3,IF(HR_Data[[#This Row],[Age]]&lt;=55,4,5))))</f>
        <v>5</v>
      </c>
      <c r="AG1373" s="1" t="str">
        <f>IF(HR_Data[[#This Row],[MonthlyIncome]]&lt;3000,"&lt;3K",IF(HR_Data[[#This Row],[MonthlyIncome]]&lt;6000,"3K-6K",IF(HR_Data[[#This Row],[MonthlyIncome]]&lt;10000,"6K-10K","10K+")))</f>
        <v>3K-6K</v>
      </c>
      <c r="AH1373" s="1">
        <f>IF(HR_Data[[#This Row],[MonthlyIncome]]&lt;3000,1,IF(HR_Data[[#This Row],[MonthlyIncome]]&lt;6000,2,IF(HR_Data[[#This Row],[MonthlyIncome]]&lt;10000,3,4)))</f>
        <v>2</v>
      </c>
      <c r="AI1373" s="1" t="str">
        <f>IF(HR_Data[[#This Row],[YearsAtCompany]]&lt;=2,"0-2 Yrs",IF(HR_Data[[#This Row],[YearsAtCompany]]&lt;=5,"3-5 Yrs",IF(HR_Data[[#This Row],[YearsAtCompany]]&lt;=10,"6-10 Yrs","10+ Yrs")))</f>
        <v>0-2 Yrs</v>
      </c>
      <c r="AJ1373" s="1">
        <f>IF(HR_Data[[#This Row],[YearsAtCompany]]&lt;=2,1,IF(HR_Data[[#This Row],[YearsAtCompany]]&lt;=5,2,IF(HR_Data[[#This Row],[YearsAtCompany]]&lt;=10,3,4)))</f>
        <v>1</v>
      </c>
      <c r="AK1373" s="1" t="str">
        <f>CHOOSE(HR_Data[[#This Row],[Education]],"Below College","College","Bachelor","Master","Doctor")</f>
        <v>Doctor</v>
      </c>
      <c r="AL1373" s="1" t="str">
        <f>CHOOSE(HR_Data[[#This Row],[JobSatisfaction]],"Low","Medium","High","Very High")</f>
        <v>Low</v>
      </c>
      <c r="AM1373" s="1" t="str">
        <f>CHOOSE(HR_Data[[#This Row],[EnvironmentSatisfaction]],"Low","Medium","High","Very High")</f>
        <v>Very High</v>
      </c>
      <c r="AN1373" s="1" t="str">
        <f>CHOOSE(HR_Data[[#This Row],[WorkLifeBalance]],"Bad","Good","Better","Best")</f>
        <v>Better</v>
      </c>
      <c r="AO1373" s="1" t="str">
        <f>IF(HR_Data[[#This Row],[PercentSalaryHike]]&lt;=13,"11-13%",IF(HR_Data[[#This Row],[PercentSalaryHike]]&lt;=16,"14-16%",IF(HR_Data[[#This Row],[PercentSalaryHike]]&lt;=19,"17-19%","20-25%")))</f>
        <v>14-16%</v>
      </c>
      <c r="AP1373" s="1">
        <f>IF(HR_Data[[#This Row],[PercentSalaryHike]]&lt;=13,1,IF(HR_Data[[#This Row],[PercentSalaryHike]]&lt;=16,2,IF(HR_Data[[#This Row],[PercentSalaryHike]]&lt;=19,3,4)))</f>
        <v>2</v>
      </c>
      <c r="AQ1373" s="1" t="str">
        <f>IF(HR_Data[[#This Row],[DistanceFromHome]]&lt;=5,"1 to 5",IF(HR_Data[[#This Row],[DistanceFromHome]]&lt;=10,"6 to 10",IF(HR_Data[[#This Row],[DistanceFromHome]]&lt;=20,"11 to 20","21 to 29")))</f>
        <v>11 to 20</v>
      </c>
      <c r="AR1373" s="1">
        <f>IF(HR_Data[[#This Row],[DistanceFromHome]]&lt;=5,1,IF(HR_Data[[#This Row],[DistanceFromHome]]&lt;=10,2,IF(HR_Data[[#This Row],[DistanceFromHome]]&lt;=20,3,4)))</f>
        <v>3</v>
      </c>
      <c r="AS1373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373" s="1">
        <f>IF(HR_Data[[#This Row],[TotalWorkingYears]]&lt;=5,1,IF(HR_Data[[#This Row],[TotalWorkingYears]]&lt;=10,2,IF(HR_Data[[#This Row],[TotalWorkingYears]]&lt;=20,3,4)))</f>
        <v>2</v>
      </c>
    </row>
    <row r="1374" spans="1:46" x14ac:dyDescent="0.25">
      <c r="A1374">
        <v>39</v>
      </c>
      <c r="B1374" t="s">
        <v>36</v>
      </c>
      <c r="C1374" t="s">
        <v>30</v>
      </c>
      <c r="D1374" t="s">
        <v>38</v>
      </c>
      <c r="E1374">
        <v>9</v>
      </c>
      <c r="F1374">
        <v>2</v>
      </c>
      <c r="G1374" t="s">
        <v>44</v>
      </c>
      <c r="H1374">
        <v>1936</v>
      </c>
      <c r="I1374">
        <v>1</v>
      </c>
      <c r="J1374" t="s">
        <v>39</v>
      </c>
      <c r="K1374">
        <v>3</v>
      </c>
      <c r="L1374">
        <v>2</v>
      </c>
      <c r="M1374" t="s">
        <v>46</v>
      </c>
      <c r="N1374">
        <v>1</v>
      </c>
      <c r="O1374" t="s">
        <v>41</v>
      </c>
      <c r="P1374">
        <v>5151</v>
      </c>
      <c r="Q1374">
        <v>1</v>
      </c>
      <c r="R1374" t="s">
        <v>36</v>
      </c>
      <c r="S1374">
        <v>25</v>
      </c>
      <c r="T1374">
        <v>4</v>
      </c>
      <c r="U1374">
        <v>4</v>
      </c>
      <c r="V1374">
        <v>1</v>
      </c>
      <c r="W1374">
        <v>10</v>
      </c>
      <c r="X1374">
        <v>3</v>
      </c>
      <c r="Y1374">
        <v>3</v>
      </c>
      <c r="Z1374">
        <v>10</v>
      </c>
      <c r="AA1374">
        <v>0</v>
      </c>
      <c r="AB1374">
        <v>7</v>
      </c>
      <c r="AC1374">
        <v>9</v>
      </c>
      <c r="AD1374">
        <f>IF(HR_Data[[#This Row],[Attrition]]="Yes",1,0)</f>
        <v>0</v>
      </c>
      <c r="AE1374" t="str">
        <f>IF(HR_Data[[#This Row],[Age]]&lt;=25,"18-25",IF(HR_Data[[#This Row],[Age]]&lt;=35,"26-35",IF(HR_Data[[#This Row],[Age]]&lt;=45,"36-45",IF(HR_Data[[#This Row],[Age]]&lt;=55,"46-55","55+"))))</f>
        <v>36-45</v>
      </c>
      <c r="AF1374">
        <f>IF(HR_Data[[#This Row],[Age]]&lt;=25,1,IF(HR_Data[[#This Row],[Age]]&lt;=35,2,IF(HR_Data[[#This Row],[Age]]&lt;=45,3,IF(HR_Data[[#This Row],[Age]]&lt;=55,4,5))))</f>
        <v>3</v>
      </c>
      <c r="AG1374" s="1" t="str">
        <f>IF(HR_Data[[#This Row],[MonthlyIncome]]&lt;3000,"&lt;3K",IF(HR_Data[[#This Row],[MonthlyIncome]]&lt;6000,"3K-6K",IF(HR_Data[[#This Row],[MonthlyIncome]]&lt;10000,"6K-10K","10K+")))</f>
        <v>3K-6K</v>
      </c>
      <c r="AH1374" s="1">
        <f>IF(HR_Data[[#This Row],[MonthlyIncome]]&lt;3000,1,IF(HR_Data[[#This Row],[MonthlyIncome]]&lt;6000,2,IF(HR_Data[[#This Row],[MonthlyIncome]]&lt;10000,3,4)))</f>
        <v>2</v>
      </c>
      <c r="AI1374" s="1" t="str">
        <f>IF(HR_Data[[#This Row],[YearsAtCompany]]&lt;=2,"0-2 Yrs",IF(HR_Data[[#This Row],[YearsAtCompany]]&lt;=5,"3-5 Yrs",IF(HR_Data[[#This Row],[YearsAtCompany]]&lt;=10,"6-10 Yrs","10+ Yrs")))</f>
        <v>6-10 Yrs</v>
      </c>
      <c r="AJ1374" s="1">
        <f>IF(HR_Data[[#This Row],[YearsAtCompany]]&lt;=2,1,IF(HR_Data[[#This Row],[YearsAtCompany]]&lt;=5,2,IF(HR_Data[[#This Row],[YearsAtCompany]]&lt;=10,3,4)))</f>
        <v>3</v>
      </c>
      <c r="AK1374" s="1" t="str">
        <f>CHOOSE(HR_Data[[#This Row],[Education]],"Below College","College","Bachelor","Master","Doctor")</f>
        <v>College</v>
      </c>
      <c r="AL1374" s="1" t="str">
        <f>CHOOSE(HR_Data[[#This Row],[JobSatisfaction]],"Low","Medium","High","Very High")</f>
        <v>Low</v>
      </c>
      <c r="AM1374" s="1" t="str">
        <f>CHOOSE(HR_Data[[#This Row],[EnvironmentSatisfaction]],"Low","Medium","High","Very High")</f>
        <v>Low</v>
      </c>
      <c r="AN1374" s="1" t="str">
        <f>CHOOSE(HR_Data[[#This Row],[WorkLifeBalance]],"Bad","Good","Better","Best")</f>
        <v>Better</v>
      </c>
      <c r="AO1374" s="1" t="str">
        <f>IF(HR_Data[[#This Row],[PercentSalaryHike]]&lt;=13,"11-13%",IF(HR_Data[[#This Row],[PercentSalaryHike]]&lt;=16,"14-16%",IF(HR_Data[[#This Row],[PercentSalaryHike]]&lt;=19,"17-19%","20-25%")))</f>
        <v>20-25%</v>
      </c>
      <c r="AP1374" s="1">
        <f>IF(HR_Data[[#This Row],[PercentSalaryHike]]&lt;=13,1,IF(HR_Data[[#This Row],[PercentSalaryHike]]&lt;=16,2,IF(HR_Data[[#This Row],[PercentSalaryHike]]&lt;=19,3,4)))</f>
        <v>4</v>
      </c>
      <c r="AQ1374" s="1" t="str">
        <f>IF(HR_Data[[#This Row],[DistanceFromHome]]&lt;=5,"1 to 5",IF(HR_Data[[#This Row],[DistanceFromHome]]&lt;=10,"6 to 10",IF(HR_Data[[#This Row],[DistanceFromHome]]&lt;=20,"11 to 20","21 to 29")))</f>
        <v>6 to 10</v>
      </c>
      <c r="AR1374" s="1">
        <f>IF(HR_Data[[#This Row],[DistanceFromHome]]&lt;=5,1,IF(HR_Data[[#This Row],[DistanceFromHome]]&lt;=10,2,IF(HR_Data[[#This Row],[DistanceFromHome]]&lt;=20,3,4)))</f>
        <v>2</v>
      </c>
      <c r="AS1374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374" s="1">
        <f>IF(HR_Data[[#This Row],[TotalWorkingYears]]&lt;=5,1,IF(HR_Data[[#This Row],[TotalWorkingYears]]&lt;=10,2,IF(HR_Data[[#This Row],[TotalWorkingYears]]&lt;=20,3,4)))</f>
        <v>2</v>
      </c>
    </row>
    <row r="1375" spans="1:46" x14ac:dyDescent="0.25">
      <c r="A1375">
        <v>38</v>
      </c>
      <c r="B1375" t="s">
        <v>36</v>
      </c>
      <c r="C1375" t="s">
        <v>37</v>
      </c>
      <c r="D1375" t="s">
        <v>38</v>
      </c>
      <c r="E1375">
        <v>8</v>
      </c>
      <c r="F1375">
        <v>3</v>
      </c>
      <c r="G1375" t="s">
        <v>44</v>
      </c>
      <c r="H1375">
        <v>1937</v>
      </c>
      <c r="I1375">
        <v>4</v>
      </c>
      <c r="J1375" t="s">
        <v>33</v>
      </c>
      <c r="K1375">
        <v>2</v>
      </c>
      <c r="L1375">
        <v>2</v>
      </c>
      <c r="M1375" t="s">
        <v>40</v>
      </c>
      <c r="N1375">
        <v>2</v>
      </c>
      <c r="O1375" t="s">
        <v>45</v>
      </c>
      <c r="P1375">
        <v>2133</v>
      </c>
      <c r="Q1375">
        <v>1</v>
      </c>
      <c r="R1375" t="s">
        <v>29</v>
      </c>
      <c r="S1375">
        <v>16</v>
      </c>
      <c r="T1375">
        <v>3</v>
      </c>
      <c r="U1375">
        <v>3</v>
      </c>
      <c r="V1375">
        <v>1</v>
      </c>
      <c r="W1375">
        <v>20</v>
      </c>
      <c r="X1375">
        <v>3</v>
      </c>
      <c r="Y1375">
        <v>3</v>
      </c>
      <c r="Z1375">
        <v>20</v>
      </c>
      <c r="AA1375">
        <v>11</v>
      </c>
      <c r="AB1375">
        <v>0</v>
      </c>
      <c r="AC1375">
        <v>7</v>
      </c>
      <c r="AD1375">
        <f>IF(HR_Data[[#This Row],[Attrition]]="Yes",1,0)</f>
        <v>0</v>
      </c>
      <c r="AE1375" t="str">
        <f>IF(HR_Data[[#This Row],[Age]]&lt;=25,"18-25",IF(HR_Data[[#This Row],[Age]]&lt;=35,"26-35",IF(HR_Data[[#This Row],[Age]]&lt;=45,"36-45",IF(HR_Data[[#This Row],[Age]]&lt;=55,"46-55","55+"))))</f>
        <v>36-45</v>
      </c>
      <c r="AF1375">
        <f>IF(HR_Data[[#This Row],[Age]]&lt;=25,1,IF(HR_Data[[#This Row],[Age]]&lt;=35,2,IF(HR_Data[[#This Row],[Age]]&lt;=45,3,IF(HR_Data[[#This Row],[Age]]&lt;=55,4,5))))</f>
        <v>3</v>
      </c>
      <c r="AG1375" s="1" t="str">
        <f>IF(HR_Data[[#This Row],[MonthlyIncome]]&lt;3000,"&lt;3K",IF(HR_Data[[#This Row],[MonthlyIncome]]&lt;6000,"3K-6K",IF(HR_Data[[#This Row],[MonthlyIncome]]&lt;10000,"6K-10K","10K+")))</f>
        <v>&lt;3K</v>
      </c>
      <c r="AH1375" s="1">
        <f>IF(HR_Data[[#This Row],[MonthlyIncome]]&lt;3000,1,IF(HR_Data[[#This Row],[MonthlyIncome]]&lt;6000,2,IF(HR_Data[[#This Row],[MonthlyIncome]]&lt;10000,3,4)))</f>
        <v>1</v>
      </c>
      <c r="AI1375" s="1" t="str">
        <f>IF(HR_Data[[#This Row],[YearsAtCompany]]&lt;=2,"0-2 Yrs",IF(HR_Data[[#This Row],[YearsAtCompany]]&lt;=5,"3-5 Yrs",IF(HR_Data[[#This Row],[YearsAtCompany]]&lt;=10,"6-10 Yrs","10+ Yrs")))</f>
        <v>10+ Yrs</v>
      </c>
      <c r="AJ1375" s="1">
        <f>IF(HR_Data[[#This Row],[YearsAtCompany]]&lt;=2,1,IF(HR_Data[[#This Row],[YearsAtCompany]]&lt;=5,2,IF(HR_Data[[#This Row],[YearsAtCompany]]&lt;=10,3,4)))</f>
        <v>4</v>
      </c>
      <c r="AK1375" s="1" t="str">
        <f>CHOOSE(HR_Data[[#This Row],[Education]],"Below College","College","Bachelor","Master","Doctor")</f>
        <v>Bachelor</v>
      </c>
      <c r="AL1375" s="1" t="str">
        <f>CHOOSE(HR_Data[[#This Row],[JobSatisfaction]],"Low","Medium","High","Very High")</f>
        <v>Medium</v>
      </c>
      <c r="AM1375" s="1" t="str">
        <f>CHOOSE(HR_Data[[#This Row],[EnvironmentSatisfaction]],"Low","Medium","High","Very High")</f>
        <v>Very High</v>
      </c>
      <c r="AN1375" s="1" t="str">
        <f>CHOOSE(HR_Data[[#This Row],[WorkLifeBalance]],"Bad","Good","Better","Best")</f>
        <v>Better</v>
      </c>
      <c r="AO1375" s="1" t="str">
        <f>IF(HR_Data[[#This Row],[PercentSalaryHike]]&lt;=13,"11-13%",IF(HR_Data[[#This Row],[PercentSalaryHike]]&lt;=16,"14-16%",IF(HR_Data[[#This Row],[PercentSalaryHike]]&lt;=19,"17-19%","20-25%")))</f>
        <v>14-16%</v>
      </c>
      <c r="AP1375" s="1">
        <f>IF(HR_Data[[#This Row],[PercentSalaryHike]]&lt;=13,1,IF(HR_Data[[#This Row],[PercentSalaryHike]]&lt;=16,2,IF(HR_Data[[#This Row],[PercentSalaryHike]]&lt;=19,3,4)))</f>
        <v>2</v>
      </c>
      <c r="AQ1375" s="1" t="str">
        <f>IF(HR_Data[[#This Row],[DistanceFromHome]]&lt;=5,"1 to 5",IF(HR_Data[[#This Row],[DistanceFromHome]]&lt;=10,"6 to 10",IF(HR_Data[[#This Row],[DistanceFromHome]]&lt;=20,"11 to 20","21 to 29")))</f>
        <v>6 to 10</v>
      </c>
      <c r="AR1375" s="1">
        <f>IF(HR_Data[[#This Row],[DistanceFromHome]]&lt;=5,1,IF(HR_Data[[#This Row],[DistanceFromHome]]&lt;=10,2,IF(HR_Data[[#This Row],[DistanceFromHome]]&lt;=20,3,4)))</f>
        <v>2</v>
      </c>
      <c r="AS1375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375" s="1">
        <f>IF(HR_Data[[#This Row],[TotalWorkingYears]]&lt;=5,1,IF(HR_Data[[#This Row],[TotalWorkingYears]]&lt;=10,2,IF(HR_Data[[#This Row],[TotalWorkingYears]]&lt;=20,3,4)))</f>
        <v>3</v>
      </c>
    </row>
    <row r="1376" spans="1:46" x14ac:dyDescent="0.25">
      <c r="A1376">
        <v>58</v>
      </c>
      <c r="B1376" t="s">
        <v>36</v>
      </c>
      <c r="C1376" t="s">
        <v>30</v>
      </c>
      <c r="D1376" t="s">
        <v>31</v>
      </c>
      <c r="E1376">
        <v>21</v>
      </c>
      <c r="F1376">
        <v>3</v>
      </c>
      <c r="G1376" t="s">
        <v>32</v>
      </c>
      <c r="H1376">
        <v>1938</v>
      </c>
      <c r="I1376">
        <v>4</v>
      </c>
      <c r="J1376" t="s">
        <v>33</v>
      </c>
      <c r="K1376">
        <v>3</v>
      </c>
      <c r="L1376">
        <v>4</v>
      </c>
      <c r="M1376" t="s">
        <v>49</v>
      </c>
      <c r="N1376">
        <v>4</v>
      </c>
      <c r="O1376" t="s">
        <v>41</v>
      </c>
      <c r="P1376">
        <v>17875</v>
      </c>
      <c r="Q1376">
        <v>4</v>
      </c>
      <c r="R1376" t="s">
        <v>29</v>
      </c>
      <c r="S1376">
        <v>13</v>
      </c>
      <c r="T1376">
        <v>3</v>
      </c>
      <c r="U1376">
        <v>3</v>
      </c>
      <c r="V1376">
        <v>1</v>
      </c>
      <c r="W1376">
        <v>29</v>
      </c>
      <c r="X1376">
        <v>2</v>
      </c>
      <c r="Y1376">
        <v>2</v>
      </c>
      <c r="Z1376">
        <v>1</v>
      </c>
      <c r="AA1376">
        <v>0</v>
      </c>
      <c r="AB1376">
        <v>0</v>
      </c>
      <c r="AC1376">
        <v>0</v>
      </c>
      <c r="AD1376">
        <f>IF(HR_Data[[#This Row],[Attrition]]="Yes",1,0)</f>
        <v>0</v>
      </c>
      <c r="AE1376" t="str">
        <f>IF(HR_Data[[#This Row],[Age]]&lt;=25,"18-25",IF(HR_Data[[#This Row],[Age]]&lt;=35,"26-35",IF(HR_Data[[#This Row],[Age]]&lt;=45,"36-45",IF(HR_Data[[#This Row],[Age]]&lt;=55,"46-55","55+"))))</f>
        <v>55+</v>
      </c>
      <c r="AF1376">
        <f>IF(HR_Data[[#This Row],[Age]]&lt;=25,1,IF(HR_Data[[#This Row],[Age]]&lt;=35,2,IF(HR_Data[[#This Row],[Age]]&lt;=45,3,IF(HR_Data[[#This Row],[Age]]&lt;=55,4,5))))</f>
        <v>5</v>
      </c>
      <c r="AG1376" s="1" t="str">
        <f>IF(HR_Data[[#This Row],[MonthlyIncome]]&lt;3000,"&lt;3K",IF(HR_Data[[#This Row],[MonthlyIncome]]&lt;6000,"3K-6K",IF(HR_Data[[#This Row],[MonthlyIncome]]&lt;10000,"6K-10K","10K+")))</f>
        <v>10K+</v>
      </c>
      <c r="AH1376" s="1">
        <f>IF(HR_Data[[#This Row],[MonthlyIncome]]&lt;3000,1,IF(HR_Data[[#This Row],[MonthlyIncome]]&lt;6000,2,IF(HR_Data[[#This Row],[MonthlyIncome]]&lt;10000,3,4)))</f>
        <v>4</v>
      </c>
      <c r="AI1376" s="1" t="str">
        <f>IF(HR_Data[[#This Row],[YearsAtCompany]]&lt;=2,"0-2 Yrs",IF(HR_Data[[#This Row],[YearsAtCompany]]&lt;=5,"3-5 Yrs",IF(HR_Data[[#This Row],[YearsAtCompany]]&lt;=10,"6-10 Yrs","10+ Yrs")))</f>
        <v>0-2 Yrs</v>
      </c>
      <c r="AJ1376" s="1">
        <f>IF(HR_Data[[#This Row],[YearsAtCompany]]&lt;=2,1,IF(HR_Data[[#This Row],[YearsAtCompany]]&lt;=5,2,IF(HR_Data[[#This Row],[YearsAtCompany]]&lt;=10,3,4)))</f>
        <v>1</v>
      </c>
      <c r="AK1376" s="1" t="str">
        <f>CHOOSE(HR_Data[[#This Row],[Education]],"Below College","College","Bachelor","Master","Doctor")</f>
        <v>Bachelor</v>
      </c>
      <c r="AL1376" s="1" t="str">
        <f>CHOOSE(HR_Data[[#This Row],[JobSatisfaction]],"Low","Medium","High","Very High")</f>
        <v>Very High</v>
      </c>
      <c r="AM1376" s="1" t="str">
        <f>CHOOSE(HR_Data[[#This Row],[EnvironmentSatisfaction]],"Low","Medium","High","Very High")</f>
        <v>Very High</v>
      </c>
      <c r="AN1376" s="1" t="str">
        <f>CHOOSE(HR_Data[[#This Row],[WorkLifeBalance]],"Bad","Good","Better","Best")</f>
        <v>Good</v>
      </c>
      <c r="AO1376" s="1" t="str">
        <f>IF(HR_Data[[#This Row],[PercentSalaryHike]]&lt;=13,"11-13%",IF(HR_Data[[#This Row],[PercentSalaryHike]]&lt;=16,"14-16%",IF(HR_Data[[#This Row],[PercentSalaryHike]]&lt;=19,"17-19%","20-25%")))</f>
        <v>11-13%</v>
      </c>
      <c r="AP1376" s="1">
        <f>IF(HR_Data[[#This Row],[PercentSalaryHike]]&lt;=13,1,IF(HR_Data[[#This Row],[PercentSalaryHike]]&lt;=16,2,IF(HR_Data[[#This Row],[PercentSalaryHike]]&lt;=19,3,4)))</f>
        <v>1</v>
      </c>
      <c r="AQ1376" s="1" t="str">
        <f>IF(HR_Data[[#This Row],[DistanceFromHome]]&lt;=5,"1 to 5",IF(HR_Data[[#This Row],[DistanceFromHome]]&lt;=10,"6 to 10",IF(HR_Data[[#This Row],[DistanceFromHome]]&lt;=20,"11 to 20","21 to 29")))</f>
        <v>21 to 29</v>
      </c>
      <c r="AR1376" s="1">
        <f>IF(HR_Data[[#This Row],[DistanceFromHome]]&lt;=5,1,IF(HR_Data[[#This Row],[DistanceFromHome]]&lt;=10,2,IF(HR_Data[[#This Row],[DistanceFromHome]]&lt;=20,3,4)))</f>
        <v>4</v>
      </c>
      <c r="AS1376" s="1" t="str">
        <f>IF(HR_Data[[#This Row],[TotalWorkingYears]]&lt;=5,"0-5 Yrs",IF(HR_Data[[#This Row],[TotalWorkingYears]]&lt;=10,"6-10 Yrs",IF(HR_Data[[#This Row],[TotalWorkingYears]]&lt;=20,"11-20 Yrs","20+ Yrs")))</f>
        <v>20+ Yrs</v>
      </c>
      <c r="AT1376" s="1">
        <f>IF(HR_Data[[#This Row],[TotalWorkingYears]]&lt;=5,1,IF(HR_Data[[#This Row],[TotalWorkingYears]]&lt;=10,2,IF(HR_Data[[#This Row],[TotalWorkingYears]]&lt;=20,3,4)))</f>
        <v>4</v>
      </c>
    </row>
    <row r="1377" spans="1:46" x14ac:dyDescent="0.25">
      <c r="A1377">
        <v>32</v>
      </c>
      <c r="B1377" t="s">
        <v>29</v>
      </c>
      <c r="C1377" t="s">
        <v>37</v>
      </c>
      <c r="D1377" t="s">
        <v>38</v>
      </c>
      <c r="E1377">
        <v>5</v>
      </c>
      <c r="F1377">
        <v>2</v>
      </c>
      <c r="G1377" t="s">
        <v>32</v>
      </c>
      <c r="H1377">
        <v>1939</v>
      </c>
      <c r="I1377">
        <v>1</v>
      </c>
      <c r="J1377" t="s">
        <v>33</v>
      </c>
      <c r="K1377">
        <v>4</v>
      </c>
      <c r="L1377">
        <v>1</v>
      </c>
      <c r="M1377" t="s">
        <v>40</v>
      </c>
      <c r="N1377">
        <v>3</v>
      </c>
      <c r="O1377" t="s">
        <v>35</v>
      </c>
      <c r="P1377">
        <v>2432</v>
      </c>
      <c r="Q1377">
        <v>3</v>
      </c>
      <c r="R1377" t="s">
        <v>29</v>
      </c>
      <c r="S1377">
        <v>14</v>
      </c>
      <c r="T1377">
        <v>3</v>
      </c>
      <c r="U1377">
        <v>1</v>
      </c>
      <c r="V1377">
        <v>0</v>
      </c>
      <c r="W1377">
        <v>8</v>
      </c>
      <c r="X1377">
        <v>2</v>
      </c>
      <c r="Y1377">
        <v>3</v>
      </c>
      <c r="Z1377">
        <v>4</v>
      </c>
      <c r="AA1377">
        <v>1</v>
      </c>
      <c r="AB1377">
        <v>0</v>
      </c>
      <c r="AC1377">
        <v>3</v>
      </c>
      <c r="AD1377">
        <f>IF(HR_Data[[#This Row],[Attrition]]="Yes",1,0)</f>
        <v>1</v>
      </c>
      <c r="AE1377" t="str">
        <f>IF(HR_Data[[#This Row],[Age]]&lt;=25,"18-25",IF(HR_Data[[#This Row],[Age]]&lt;=35,"26-35",IF(HR_Data[[#This Row],[Age]]&lt;=45,"36-45",IF(HR_Data[[#This Row],[Age]]&lt;=55,"46-55","55+"))))</f>
        <v>26-35</v>
      </c>
      <c r="AF1377">
        <f>IF(HR_Data[[#This Row],[Age]]&lt;=25,1,IF(HR_Data[[#This Row],[Age]]&lt;=35,2,IF(HR_Data[[#This Row],[Age]]&lt;=45,3,IF(HR_Data[[#This Row],[Age]]&lt;=55,4,5))))</f>
        <v>2</v>
      </c>
      <c r="AG1377" s="1" t="str">
        <f>IF(HR_Data[[#This Row],[MonthlyIncome]]&lt;3000,"&lt;3K",IF(HR_Data[[#This Row],[MonthlyIncome]]&lt;6000,"3K-6K",IF(HR_Data[[#This Row],[MonthlyIncome]]&lt;10000,"6K-10K","10K+")))</f>
        <v>&lt;3K</v>
      </c>
      <c r="AH1377" s="1">
        <f>IF(HR_Data[[#This Row],[MonthlyIncome]]&lt;3000,1,IF(HR_Data[[#This Row],[MonthlyIncome]]&lt;6000,2,IF(HR_Data[[#This Row],[MonthlyIncome]]&lt;10000,3,4)))</f>
        <v>1</v>
      </c>
      <c r="AI1377" s="1" t="str">
        <f>IF(HR_Data[[#This Row],[YearsAtCompany]]&lt;=2,"0-2 Yrs",IF(HR_Data[[#This Row],[YearsAtCompany]]&lt;=5,"3-5 Yrs",IF(HR_Data[[#This Row],[YearsAtCompany]]&lt;=10,"6-10 Yrs","10+ Yrs")))</f>
        <v>3-5 Yrs</v>
      </c>
      <c r="AJ1377" s="1">
        <f>IF(HR_Data[[#This Row],[YearsAtCompany]]&lt;=2,1,IF(HR_Data[[#This Row],[YearsAtCompany]]&lt;=5,2,IF(HR_Data[[#This Row],[YearsAtCompany]]&lt;=10,3,4)))</f>
        <v>2</v>
      </c>
      <c r="AK1377" s="1" t="str">
        <f>CHOOSE(HR_Data[[#This Row],[Education]],"Below College","College","Bachelor","Master","Doctor")</f>
        <v>College</v>
      </c>
      <c r="AL1377" s="1" t="str">
        <f>CHOOSE(HR_Data[[#This Row],[JobSatisfaction]],"Low","Medium","High","Very High")</f>
        <v>High</v>
      </c>
      <c r="AM1377" s="1" t="str">
        <f>CHOOSE(HR_Data[[#This Row],[EnvironmentSatisfaction]],"Low","Medium","High","Very High")</f>
        <v>Low</v>
      </c>
      <c r="AN1377" s="1" t="str">
        <f>CHOOSE(HR_Data[[#This Row],[WorkLifeBalance]],"Bad","Good","Better","Best")</f>
        <v>Better</v>
      </c>
      <c r="AO1377" s="1" t="str">
        <f>IF(HR_Data[[#This Row],[PercentSalaryHike]]&lt;=13,"11-13%",IF(HR_Data[[#This Row],[PercentSalaryHike]]&lt;=16,"14-16%",IF(HR_Data[[#This Row],[PercentSalaryHike]]&lt;=19,"17-19%","20-25%")))</f>
        <v>14-16%</v>
      </c>
      <c r="AP1377" s="1">
        <f>IF(HR_Data[[#This Row],[PercentSalaryHike]]&lt;=13,1,IF(HR_Data[[#This Row],[PercentSalaryHike]]&lt;=16,2,IF(HR_Data[[#This Row],[PercentSalaryHike]]&lt;=19,3,4)))</f>
        <v>2</v>
      </c>
      <c r="AQ1377" s="1" t="str">
        <f>IF(HR_Data[[#This Row],[DistanceFromHome]]&lt;=5,"1 to 5",IF(HR_Data[[#This Row],[DistanceFromHome]]&lt;=10,"6 to 10",IF(HR_Data[[#This Row],[DistanceFromHome]]&lt;=20,"11 to 20","21 to 29")))</f>
        <v>1 to 5</v>
      </c>
      <c r="AR1377" s="1">
        <f>IF(HR_Data[[#This Row],[DistanceFromHome]]&lt;=5,1,IF(HR_Data[[#This Row],[DistanceFromHome]]&lt;=10,2,IF(HR_Data[[#This Row],[DistanceFromHome]]&lt;=20,3,4)))</f>
        <v>1</v>
      </c>
      <c r="AS1377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377" s="1">
        <f>IF(HR_Data[[#This Row],[TotalWorkingYears]]&lt;=5,1,IF(HR_Data[[#This Row],[TotalWorkingYears]]&lt;=10,2,IF(HR_Data[[#This Row],[TotalWorkingYears]]&lt;=20,3,4)))</f>
        <v>2</v>
      </c>
    </row>
    <row r="1378" spans="1:46" x14ac:dyDescent="0.25">
      <c r="A1378">
        <v>38</v>
      </c>
      <c r="B1378" t="s">
        <v>36</v>
      </c>
      <c r="C1378" t="s">
        <v>30</v>
      </c>
      <c r="D1378" t="s">
        <v>38</v>
      </c>
      <c r="E1378">
        <v>9</v>
      </c>
      <c r="F1378">
        <v>2</v>
      </c>
      <c r="G1378" t="s">
        <v>32</v>
      </c>
      <c r="H1378">
        <v>1940</v>
      </c>
      <c r="I1378">
        <v>2</v>
      </c>
      <c r="J1378" t="s">
        <v>39</v>
      </c>
      <c r="K1378">
        <v>3</v>
      </c>
      <c r="L1378">
        <v>1</v>
      </c>
      <c r="M1378" t="s">
        <v>40</v>
      </c>
      <c r="N1378">
        <v>4</v>
      </c>
      <c r="O1378" t="s">
        <v>45</v>
      </c>
      <c r="P1378">
        <v>4771</v>
      </c>
      <c r="Q1378">
        <v>2</v>
      </c>
      <c r="R1378" t="s">
        <v>36</v>
      </c>
      <c r="S1378">
        <v>19</v>
      </c>
      <c r="T1378">
        <v>3</v>
      </c>
      <c r="U1378">
        <v>4</v>
      </c>
      <c r="V1378">
        <v>2</v>
      </c>
      <c r="W1378">
        <v>10</v>
      </c>
      <c r="X1378">
        <v>0</v>
      </c>
      <c r="Y1378">
        <v>4</v>
      </c>
      <c r="Z1378">
        <v>5</v>
      </c>
      <c r="AA1378">
        <v>2</v>
      </c>
      <c r="AB1378">
        <v>0</v>
      </c>
      <c r="AC1378">
        <v>3</v>
      </c>
      <c r="AD1378">
        <f>IF(HR_Data[[#This Row],[Attrition]]="Yes",1,0)</f>
        <v>0</v>
      </c>
      <c r="AE1378" t="str">
        <f>IF(HR_Data[[#This Row],[Age]]&lt;=25,"18-25",IF(HR_Data[[#This Row],[Age]]&lt;=35,"26-35",IF(HR_Data[[#This Row],[Age]]&lt;=45,"36-45",IF(HR_Data[[#This Row],[Age]]&lt;=55,"46-55","55+"))))</f>
        <v>36-45</v>
      </c>
      <c r="AF1378">
        <f>IF(HR_Data[[#This Row],[Age]]&lt;=25,1,IF(HR_Data[[#This Row],[Age]]&lt;=35,2,IF(HR_Data[[#This Row],[Age]]&lt;=45,3,IF(HR_Data[[#This Row],[Age]]&lt;=55,4,5))))</f>
        <v>3</v>
      </c>
      <c r="AG1378" s="1" t="str">
        <f>IF(HR_Data[[#This Row],[MonthlyIncome]]&lt;3000,"&lt;3K",IF(HR_Data[[#This Row],[MonthlyIncome]]&lt;6000,"3K-6K",IF(HR_Data[[#This Row],[MonthlyIncome]]&lt;10000,"6K-10K","10K+")))</f>
        <v>3K-6K</v>
      </c>
      <c r="AH1378" s="1">
        <f>IF(HR_Data[[#This Row],[MonthlyIncome]]&lt;3000,1,IF(HR_Data[[#This Row],[MonthlyIncome]]&lt;6000,2,IF(HR_Data[[#This Row],[MonthlyIncome]]&lt;10000,3,4)))</f>
        <v>2</v>
      </c>
      <c r="AI1378" s="1" t="str">
        <f>IF(HR_Data[[#This Row],[YearsAtCompany]]&lt;=2,"0-2 Yrs",IF(HR_Data[[#This Row],[YearsAtCompany]]&lt;=5,"3-5 Yrs",IF(HR_Data[[#This Row],[YearsAtCompany]]&lt;=10,"6-10 Yrs","10+ Yrs")))</f>
        <v>3-5 Yrs</v>
      </c>
      <c r="AJ1378" s="1">
        <f>IF(HR_Data[[#This Row],[YearsAtCompany]]&lt;=2,1,IF(HR_Data[[#This Row],[YearsAtCompany]]&lt;=5,2,IF(HR_Data[[#This Row],[YearsAtCompany]]&lt;=10,3,4)))</f>
        <v>2</v>
      </c>
      <c r="AK1378" s="1" t="str">
        <f>CHOOSE(HR_Data[[#This Row],[Education]],"Below College","College","Bachelor","Master","Doctor")</f>
        <v>College</v>
      </c>
      <c r="AL1378" s="1" t="str">
        <f>CHOOSE(HR_Data[[#This Row],[JobSatisfaction]],"Low","Medium","High","Very High")</f>
        <v>Very High</v>
      </c>
      <c r="AM1378" s="1" t="str">
        <f>CHOOSE(HR_Data[[#This Row],[EnvironmentSatisfaction]],"Low","Medium","High","Very High")</f>
        <v>Medium</v>
      </c>
      <c r="AN1378" s="1" t="str">
        <f>CHOOSE(HR_Data[[#This Row],[WorkLifeBalance]],"Bad","Good","Better","Best")</f>
        <v>Best</v>
      </c>
      <c r="AO1378" s="1" t="str">
        <f>IF(HR_Data[[#This Row],[PercentSalaryHike]]&lt;=13,"11-13%",IF(HR_Data[[#This Row],[PercentSalaryHike]]&lt;=16,"14-16%",IF(HR_Data[[#This Row],[PercentSalaryHike]]&lt;=19,"17-19%","20-25%")))</f>
        <v>17-19%</v>
      </c>
      <c r="AP1378" s="1">
        <f>IF(HR_Data[[#This Row],[PercentSalaryHike]]&lt;=13,1,IF(HR_Data[[#This Row],[PercentSalaryHike]]&lt;=16,2,IF(HR_Data[[#This Row],[PercentSalaryHike]]&lt;=19,3,4)))</f>
        <v>3</v>
      </c>
      <c r="AQ1378" s="1" t="str">
        <f>IF(HR_Data[[#This Row],[DistanceFromHome]]&lt;=5,"1 to 5",IF(HR_Data[[#This Row],[DistanceFromHome]]&lt;=10,"6 to 10",IF(HR_Data[[#This Row],[DistanceFromHome]]&lt;=20,"11 to 20","21 to 29")))</f>
        <v>6 to 10</v>
      </c>
      <c r="AR1378" s="1">
        <f>IF(HR_Data[[#This Row],[DistanceFromHome]]&lt;=5,1,IF(HR_Data[[#This Row],[DistanceFromHome]]&lt;=10,2,IF(HR_Data[[#This Row],[DistanceFromHome]]&lt;=20,3,4)))</f>
        <v>2</v>
      </c>
      <c r="AS1378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378" s="1">
        <f>IF(HR_Data[[#This Row],[TotalWorkingYears]]&lt;=5,1,IF(HR_Data[[#This Row],[TotalWorkingYears]]&lt;=10,2,IF(HR_Data[[#This Row],[TotalWorkingYears]]&lt;=20,3,4)))</f>
        <v>2</v>
      </c>
    </row>
    <row r="1379" spans="1:46" x14ac:dyDescent="0.25">
      <c r="A1379">
        <v>49</v>
      </c>
      <c r="B1379" t="s">
        <v>36</v>
      </c>
      <c r="C1379" t="s">
        <v>37</v>
      </c>
      <c r="D1379" t="s">
        <v>38</v>
      </c>
      <c r="E1379">
        <v>2</v>
      </c>
      <c r="F1379">
        <v>1</v>
      </c>
      <c r="G1379" t="s">
        <v>32</v>
      </c>
      <c r="H1379">
        <v>1941</v>
      </c>
      <c r="I1379">
        <v>2</v>
      </c>
      <c r="J1379" t="s">
        <v>39</v>
      </c>
      <c r="K1379">
        <v>3</v>
      </c>
      <c r="L1379">
        <v>5</v>
      </c>
      <c r="M1379" t="s">
        <v>51</v>
      </c>
      <c r="N1379">
        <v>4</v>
      </c>
      <c r="O1379" t="s">
        <v>41</v>
      </c>
      <c r="P1379">
        <v>19161</v>
      </c>
      <c r="Q1379">
        <v>3</v>
      </c>
      <c r="R1379" t="s">
        <v>36</v>
      </c>
      <c r="S1379">
        <v>15</v>
      </c>
      <c r="T1379">
        <v>3</v>
      </c>
      <c r="U1379">
        <v>4</v>
      </c>
      <c r="V1379">
        <v>0</v>
      </c>
      <c r="W1379">
        <v>28</v>
      </c>
      <c r="X1379">
        <v>3</v>
      </c>
      <c r="Y1379">
        <v>3</v>
      </c>
      <c r="Z1379">
        <v>5</v>
      </c>
      <c r="AA1379">
        <v>4</v>
      </c>
      <c r="AB1379">
        <v>4</v>
      </c>
      <c r="AC1379">
        <v>3</v>
      </c>
      <c r="AD1379">
        <f>IF(HR_Data[[#This Row],[Attrition]]="Yes",1,0)</f>
        <v>0</v>
      </c>
      <c r="AE1379" t="str">
        <f>IF(HR_Data[[#This Row],[Age]]&lt;=25,"18-25",IF(HR_Data[[#This Row],[Age]]&lt;=35,"26-35",IF(HR_Data[[#This Row],[Age]]&lt;=45,"36-45",IF(HR_Data[[#This Row],[Age]]&lt;=55,"46-55","55+"))))</f>
        <v>46-55</v>
      </c>
      <c r="AF1379">
        <f>IF(HR_Data[[#This Row],[Age]]&lt;=25,1,IF(HR_Data[[#This Row],[Age]]&lt;=35,2,IF(HR_Data[[#This Row],[Age]]&lt;=45,3,IF(HR_Data[[#This Row],[Age]]&lt;=55,4,5))))</f>
        <v>4</v>
      </c>
      <c r="AG1379" s="1" t="str">
        <f>IF(HR_Data[[#This Row],[MonthlyIncome]]&lt;3000,"&lt;3K",IF(HR_Data[[#This Row],[MonthlyIncome]]&lt;6000,"3K-6K",IF(HR_Data[[#This Row],[MonthlyIncome]]&lt;10000,"6K-10K","10K+")))</f>
        <v>10K+</v>
      </c>
      <c r="AH1379" s="1">
        <f>IF(HR_Data[[#This Row],[MonthlyIncome]]&lt;3000,1,IF(HR_Data[[#This Row],[MonthlyIncome]]&lt;6000,2,IF(HR_Data[[#This Row],[MonthlyIncome]]&lt;10000,3,4)))</f>
        <v>4</v>
      </c>
      <c r="AI1379" s="1" t="str">
        <f>IF(HR_Data[[#This Row],[YearsAtCompany]]&lt;=2,"0-2 Yrs",IF(HR_Data[[#This Row],[YearsAtCompany]]&lt;=5,"3-5 Yrs",IF(HR_Data[[#This Row],[YearsAtCompany]]&lt;=10,"6-10 Yrs","10+ Yrs")))</f>
        <v>3-5 Yrs</v>
      </c>
      <c r="AJ1379" s="1">
        <f>IF(HR_Data[[#This Row],[YearsAtCompany]]&lt;=2,1,IF(HR_Data[[#This Row],[YearsAtCompany]]&lt;=5,2,IF(HR_Data[[#This Row],[YearsAtCompany]]&lt;=10,3,4)))</f>
        <v>2</v>
      </c>
      <c r="AK1379" s="1" t="str">
        <f>CHOOSE(HR_Data[[#This Row],[Education]],"Below College","College","Bachelor","Master","Doctor")</f>
        <v>Below College</v>
      </c>
      <c r="AL1379" s="1" t="str">
        <f>CHOOSE(HR_Data[[#This Row],[JobSatisfaction]],"Low","Medium","High","Very High")</f>
        <v>Very High</v>
      </c>
      <c r="AM1379" s="1" t="str">
        <f>CHOOSE(HR_Data[[#This Row],[EnvironmentSatisfaction]],"Low","Medium","High","Very High")</f>
        <v>Medium</v>
      </c>
      <c r="AN1379" s="1" t="str">
        <f>CHOOSE(HR_Data[[#This Row],[WorkLifeBalance]],"Bad","Good","Better","Best")</f>
        <v>Better</v>
      </c>
      <c r="AO1379" s="1" t="str">
        <f>IF(HR_Data[[#This Row],[PercentSalaryHike]]&lt;=13,"11-13%",IF(HR_Data[[#This Row],[PercentSalaryHike]]&lt;=16,"14-16%",IF(HR_Data[[#This Row],[PercentSalaryHike]]&lt;=19,"17-19%","20-25%")))</f>
        <v>14-16%</v>
      </c>
      <c r="AP1379" s="1">
        <f>IF(HR_Data[[#This Row],[PercentSalaryHike]]&lt;=13,1,IF(HR_Data[[#This Row],[PercentSalaryHike]]&lt;=16,2,IF(HR_Data[[#This Row],[PercentSalaryHike]]&lt;=19,3,4)))</f>
        <v>2</v>
      </c>
      <c r="AQ1379" s="1" t="str">
        <f>IF(HR_Data[[#This Row],[DistanceFromHome]]&lt;=5,"1 to 5",IF(HR_Data[[#This Row],[DistanceFromHome]]&lt;=10,"6 to 10",IF(HR_Data[[#This Row],[DistanceFromHome]]&lt;=20,"11 to 20","21 to 29")))</f>
        <v>1 to 5</v>
      </c>
      <c r="AR1379" s="1">
        <f>IF(HR_Data[[#This Row],[DistanceFromHome]]&lt;=5,1,IF(HR_Data[[#This Row],[DistanceFromHome]]&lt;=10,2,IF(HR_Data[[#This Row],[DistanceFromHome]]&lt;=20,3,4)))</f>
        <v>1</v>
      </c>
      <c r="AS1379" s="1" t="str">
        <f>IF(HR_Data[[#This Row],[TotalWorkingYears]]&lt;=5,"0-5 Yrs",IF(HR_Data[[#This Row],[TotalWorkingYears]]&lt;=10,"6-10 Yrs",IF(HR_Data[[#This Row],[TotalWorkingYears]]&lt;=20,"11-20 Yrs","20+ Yrs")))</f>
        <v>20+ Yrs</v>
      </c>
      <c r="AT1379" s="1">
        <f>IF(HR_Data[[#This Row],[TotalWorkingYears]]&lt;=5,1,IF(HR_Data[[#This Row],[TotalWorkingYears]]&lt;=10,2,IF(HR_Data[[#This Row],[TotalWorkingYears]]&lt;=20,3,4)))</f>
        <v>4</v>
      </c>
    </row>
    <row r="1380" spans="1:46" x14ac:dyDescent="0.25">
      <c r="A1380">
        <v>42</v>
      </c>
      <c r="B1380" t="s">
        <v>36</v>
      </c>
      <c r="C1380" t="s">
        <v>30</v>
      </c>
      <c r="D1380" t="s">
        <v>31</v>
      </c>
      <c r="E1380">
        <v>12</v>
      </c>
      <c r="F1380">
        <v>4</v>
      </c>
      <c r="G1380" t="s">
        <v>52</v>
      </c>
      <c r="H1380">
        <v>1943</v>
      </c>
      <c r="I1380">
        <v>2</v>
      </c>
      <c r="J1380" t="s">
        <v>39</v>
      </c>
      <c r="K1380">
        <v>3</v>
      </c>
      <c r="L1380">
        <v>2</v>
      </c>
      <c r="M1380" t="s">
        <v>34</v>
      </c>
      <c r="N1380">
        <v>4</v>
      </c>
      <c r="O1380" t="s">
        <v>45</v>
      </c>
      <c r="P1380">
        <v>5087</v>
      </c>
      <c r="Q1380">
        <v>3</v>
      </c>
      <c r="R1380" t="s">
        <v>29</v>
      </c>
      <c r="S1380">
        <v>12</v>
      </c>
      <c r="T1380">
        <v>3</v>
      </c>
      <c r="U1380">
        <v>3</v>
      </c>
      <c r="V1380">
        <v>2</v>
      </c>
      <c r="W1380">
        <v>14</v>
      </c>
      <c r="X1380">
        <v>4</v>
      </c>
      <c r="Y1380">
        <v>3</v>
      </c>
      <c r="Z1380">
        <v>0</v>
      </c>
      <c r="AA1380">
        <v>0</v>
      </c>
      <c r="AB1380">
        <v>0</v>
      </c>
      <c r="AC1380">
        <v>0</v>
      </c>
      <c r="AD1380">
        <f>IF(HR_Data[[#This Row],[Attrition]]="Yes",1,0)</f>
        <v>0</v>
      </c>
      <c r="AE1380" t="str">
        <f>IF(HR_Data[[#This Row],[Age]]&lt;=25,"18-25",IF(HR_Data[[#This Row],[Age]]&lt;=35,"26-35",IF(HR_Data[[#This Row],[Age]]&lt;=45,"36-45",IF(HR_Data[[#This Row],[Age]]&lt;=55,"46-55","55+"))))</f>
        <v>36-45</v>
      </c>
      <c r="AF1380">
        <f>IF(HR_Data[[#This Row],[Age]]&lt;=25,1,IF(HR_Data[[#This Row],[Age]]&lt;=35,2,IF(HR_Data[[#This Row],[Age]]&lt;=45,3,IF(HR_Data[[#This Row],[Age]]&lt;=55,4,5))))</f>
        <v>3</v>
      </c>
      <c r="AG1380" s="1" t="str">
        <f>IF(HR_Data[[#This Row],[MonthlyIncome]]&lt;3000,"&lt;3K",IF(HR_Data[[#This Row],[MonthlyIncome]]&lt;6000,"3K-6K",IF(HR_Data[[#This Row],[MonthlyIncome]]&lt;10000,"6K-10K","10K+")))</f>
        <v>3K-6K</v>
      </c>
      <c r="AH1380" s="1">
        <f>IF(HR_Data[[#This Row],[MonthlyIncome]]&lt;3000,1,IF(HR_Data[[#This Row],[MonthlyIncome]]&lt;6000,2,IF(HR_Data[[#This Row],[MonthlyIncome]]&lt;10000,3,4)))</f>
        <v>2</v>
      </c>
      <c r="AI1380" s="1" t="str">
        <f>IF(HR_Data[[#This Row],[YearsAtCompany]]&lt;=2,"0-2 Yrs",IF(HR_Data[[#This Row],[YearsAtCompany]]&lt;=5,"3-5 Yrs",IF(HR_Data[[#This Row],[YearsAtCompany]]&lt;=10,"6-10 Yrs","10+ Yrs")))</f>
        <v>0-2 Yrs</v>
      </c>
      <c r="AJ1380" s="1">
        <f>IF(HR_Data[[#This Row],[YearsAtCompany]]&lt;=2,1,IF(HR_Data[[#This Row],[YearsAtCompany]]&lt;=5,2,IF(HR_Data[[#This Row],[YearsAtCompany]]&lt;=10,3,4)))</f>
        <v>1</v>
      </c>
      <c r="AK1380" s="1" t="str">
        <f>CHOOSE(HR_Data[[#This Row],[Education]],"Below College","College","Bachelor","Master","Doctor")</f>
        <v>Master</v>
      </c>
      <c r="AL1380" s="1" t="str">
        <f>CHOOSE(HR_Data[[#This Row],[JobSatisfaction]],"Low","Medium","High","Very High")</f>
        <v>Very High</v>
      </c>
      <c r="AM1380" s="1" t="str">
        <f>CHOOSE(HR_Data[[#This Row],[EnvironmentSatisfaction]],"Low","Medium","High","Very High")</f>
        <v>Medium</v>
      </c>
      <c r="AN1380" s="1" t="str">
        <f>CHOOSE(HR_Data[[#This Row],[WorkLifeBalance]],"Bad","Good","Better","Best")</f>
        <v>Better</v>
      </c>
      <c r="AO1380" s="1" t="str">
        <f>IF(HR_Data[[#This Row],[PercentSalaryHike]]&lt;=13,"11-13%",IF(HR_Data[[#This Row],[PercentSalaryHike]]&lt;=16,"14-16%",IF(HR_Data[[#This Row],[PercentSalaryHike]]&lt;=19,"17-19%","20-25%")))</f>
        <v>11-13%</v>
      </c>
      <c r="AP1380" s="1">
        <f>IF(HR_Data[[#This Row],[PercentSalaryHike]]&lt;=13,1,IF(HR_Data[[#This Row],[PercentSalaryHike]]&lt;=16,2,IF(HR_Data[[#This Row],[PercentSalaryHike]]&lt;=19,3,4)))</f>
        <v>1</v>
      </c>
      <c r="AQ1380" s="1" t="str">
        <f>IF(HR_Data[[#This Row],[DistanceFromHome]]&lt;=5,"1 to 5",IF(HR_Data[[#This Row],[DistanceFromHome]]&lt;=10,"6 to 10",IF(HR_Data[[#This Row],[DistanceFromHome]]&lt;=20,"11 to 20","21 to 29")))</f>
        <v>11 to 20</v>
      </c>
      <c r="AR1380" s="1">
        <f>IF(HR_Data[[#This Row],[DistanceFromHome]]&lt;=5,1,IF(HR_Data[[#This Row],[DistanceFromHome]]&lt;=10,2,IF(HR_Data[[#This Row],[DistanceFromHome]]&lt;=20,3,4)))</f>
        <v>3</v>
      </c>
      <c r="AS1380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380" s="1">
        <f>IF(HR_Data[[#This Row],[TotalWorkingYears]]&lt;=5,1,IF(HR_Data[[#This Row],[TotalWorkingYears]]&lt;=10,2,IF(HR_Data[[#This Row],[TotalWorkingYears]]&lt;=20,3,4)))</f>
        <v>3</v>
      </c>
    </row>
    <row r="1381" spans="1:46" x14ac:dyDescent="0.25">
      <c r="A1381">
        <v>27</v>
      </c>
      <c r="B1381" t="s">
        <v>29</v>
      </c>
      <c r="C1381" t="s">
        <v>37</v>
      </c>
      <c r="D1381" t="s">
        <v>54</v>
      </c>
      <c r="E1381">
        <v>22</v>
      </c>
      <c r="F1381">
        <v>3</v>
      </c>
      <c r="G1381" t="s">
        <v>54</v>
      </c>
      <c r="H1381">
        <v>1944</v>
      </c>
      <c r="I1381">
        <v>1</v>
      </c>
      <c r="J1381" t="s">
        <v>33</v>
      </c>
      <c r="K1381">
        <v>2</v>
      </c>
      <c r="L1381">
        <v>1</v>
      </c>
      <c r="M1381" t="s">
        <v>54</v>
      </c>
      <c r="N1381">
        <v>2</v>
      </c>
      <c r="O1381" t="s">
        <v>41</v>
      </c>
      <c r="P1381">
        <v>2863</v>
      </c>
      <c r="Q1381">
        <v>1</v>
      </c>
      <c r="R1381" t="s">
        <v>36</v>
      </c>
      <c r="S1381">
        <v>12</v>
      </c>
      <c r="T1381">
        <v>3</v>
      </c>
      <c r="U1381">
        <v>1</v>
      </c>
      <c r="V1381">
        <v>0</v>
      </c>
      <c r="W1381">
        <v>1</v>
      </c>
      <c r="X1381">
        <v>2</v>
      </c>
      <c r="Y1381">
        <v>3</v>
      </c>
      <c r="Z1381">
        <v>1</v>
      </c>
      <c r="AA1381">
        <v>0</v>
      </c>
      <c r="AB1381">
        <v>0</v>
      </c>
      <c r="AC1381">
        <v>0</v>
      </c>
      <c r="AD1381">
        <f>IF(HR_Data[[#This Row],[Attrition]]="Yes",1,0)</f>
        <v>1</v>
      </c>
      <c r="AE1381" t="str">
        <f>IF(HR_Data[[#This Row],[Age]]&lt;=25,"18-25",IF(HR_Data[[#This Row],[Age]]&lt;=35,"26-35",IF(HR_Data[[#This Row],[Age]]&lt;=45,"36-45",IF(HR_Data[[#This Row],[Age]]&lt;=55,"46-55","55+"))))</f>
        <v>26-35</v>
      </c>
      <c r="AF1381">
        <f>IF(HR_Data[[#This Row],[Age]]&lt;=25,1,IF(HR_Data[[#This Row],[Age]]&lt;=35,2,IF(HR_Data[[#This Row],[Age]]&lt;=45,3,IF(HR_Data[[#This Row],[Age]]&lt;=55,4,5))))</f>
        <v>2</v>
      </c>
      <c r="AG1381" s="1" t="str">
        <f>IF(HR_Data[[#This Row],[MonthlyIncome]]&lt;3000,"&lt;3K",IF(HR_Data[[#This Row],[MonthlyIncome]]&lt;6000,"3K-6K",IF(HR_Data[[#This Row],[MonthlyIncome]]&lt;10000,"6K-10K","10K+")))</f>
        <v>&lt;3K</v>
      </c>
      <c r="AH1381" s="1">
        <f>IF(HR_Data[[#This Row],[MonthlyIncome]]&lt;3000,1,IF(HR_Data[[#This Row],[MonthlyIncome]]&lt;6000,2,IF(HR_Data[[#This Row],[MonthlyIncome]]&lt;10000,3,4)))</f>
        <v>1</v>
      </c>
      <c r="AI1381" s="1" t="str">
        <f>IF(HR_Data[[#This Row],[YearsAtCompany]]&lt;=2,"0-2 Yrs",IF(HR_Data[[#This Row],[YearsAtCompany]]&lt;=5,"3-5 Yrs",IF(HR_Data[[#This Row],[YearsAtCompany]]&lt;=10,"6-10 Yrs","10+ Yrs")))</f>
        <v>0-2 Yrs</v>
      </c>
      <c r="AJ1381" s="1">
        <f>IF(HR_Data[[#This Row],[YearsAtCompany]]&lt;=2,1,IF(HR_Data[[#This Row],[YearsAtCompany]]&lt;=5,2,IF(HR_Data[[#This Row],[YearsAtCompany]]&lt;=10,3,4)))</f>
        <v>1</v>
      </c>
      <c r="AK1381" s="1" t="str">
        <f>CHOOSE(HR_Data[[#This Row],[Education]],"Below College","College","Bachelor","Master","Doctor")</f>
        <v>Bachelor</v>
      </c>
      <c r="AL1381" s="1" t="str">
        <f>CHOOSE(HR_Data[[#This Row],[JobSatisfaction]],"Low","Medium","High","Very High")</f>
        <v>Medium</v>
      </c>
      <c r="AM1381" s="1" t="str">
        <f>CHOOSE(HR_Data[[#This Row],[EnvironmentSatisfaction]],"Low","Medium","High","Very High")</f>
        <v>Low</v>
      </c>
      <c r="AN1381" s="1" t="str">
        <f>CHOOSE(HR_Data[[#This Row],[WorkLifeBalance]],"Bad","Good","Better","Best")</f>
        <v>Better</v>
      </c>
      <c r="AO1381" s="1" t="str">
        <f>IF(HR_Data[[#This Row],[PercentSalaryHike]]&lt;=13,"11-13%",IF(HR_Data[[#This Row],[PercentSalaryHike]]&lt;=16,"14-16%",IF(HR_Data[[#This Row],[PercentSalaryHike]]&lt;=19,"17-19%","20-25%")))</f>
        <v>11-13%</v>
      </c>
      <c r="AP1381" s="1">
        <f>IF(HR_Data[[#This Row],[PercentSalaryHike]]&lt;=13,1,IF(HR_Data[[#This Row],[PercentSalaryHike]]&lt;=16,2,IF(HR_Data[[#This Row],[PercentSalaryHike]]&lt;=19,3,4)))</f>
        <v>1</v>
      </c>
      <c r="AQ1381" s="1" t="str">
        <f>IF(HR_Data[[#This Row],[DistanceFromHome]]&lt;=5,"1 to 5",IF(HR_Data[[#This Row],[DistanceFromHome]]&lt;=10,"6 to 10",IF(HR_Data[[#This Row],[DistanceFromHome]]&lt;=20,"11 to 20","21 to 29")))</f>
        <v>21 to 29</v>
      </c>
      <c r="AR1381" s="1">
        <f>IF(HR_Data[[#This Row],[DistanceFromHome]]&lt;=5,1,IF(HR_Data[[#This Row],[DistanceFromHome]]&lt;=10,2,IF(HR_Data[[#This Row],[DistanceFromHome]]&lt;=20,3,4)))</f>
        <v>4</v>
      </c>
      <c r="AS1381" s="1" t="str">
        <f>IF(HR_Data[[#This Row],[TotalWorkingYears]]&lt;=5,"0-5 Yrs",IF(HR_Data[[#This Row],[TotalWorkingYears]]&lt;=10,"6-10 Yrs",IF(HR_Data[[#This Row],[TotalWorkingYears]]&lt;=20,"11-20 Yrs","20+ Yrs")))</f>
        <v>0-5 Yrs</v>
      </c>
      <c r="AT1381" s="1">
        <f>IF(HR_Data[[#This Row],[TotalWorkingYears]]&lt;=5,1,IF(HR_Data[[#This Row],[TotalWorkingYears]]&lt;=10,2,IF(HR_Data[[#This Row],[TotalWorkingYears]]&lt;=20,3,4)))</f>
        <v>1</v>
      </c>
    </row>
    <row r="1382" spans="1:46" x14ac:dyDescent="0.25">
      <c r="A1382">
        <v>35</v>
      </c>
      <c r="B1382" t="s">
        <v>36</v>
      </c>
      <c r="C1382" t="s">
        <v>30</v>
      </c>
      <c r="D1382" t="s">
        <v>31</v>
      </c>
      <c r="E1382">
        <v>18</v>
      </c>
      <c r="F1382">
        <v>4</v>
      </c>
      <c r="G1382" t="s">
        <v>44</v>
      </c>
      <c r="H1382">
        <v>1945</v>
      </c>
      <c r="I1382">
        <v>2</v>
      </c>
      <c r="J1382" t="s">
        <v>39</v>
      </c>
      <c r="K1382">
        <v>3</v>
      </c>
      <c r="L1382">
        <v>2</v>
      </c>
      <c r="M1382" t="s">
        <v>34</v>
      </c>
      <c r="N1382">
        <v>1</v>
      </c>
      <c r="O1382" t="s">
        <v>41</v>
      </c>
      <c r="P1382">
        <v>5561</v>
      </c>
      <c r="Q1382">
        <v>0</v>
      </c>
      <c r="R1382" t="s">
        <v>36</v>
      </c>
      <c r="S1382">
        <v>16</v>
      </c>
      <c r="T1382">
        <v>3</v>
      </c>
      <c r="U1382">
        <v>4</v>
      </c>
      <c r="V1382">
        <v>1</v>
      </c>
      <c r="W1382">
        <v>6</v>
      </c>
      <c r="X1382">
        <v>2</v>
      </c>
      <c r="Y1382">
        <v>1</v>
      </c>
      <c r="Z1382">
        <v>5</v>
      </c>
      <c r="AA1382">
        <v>3</v>
      </c>
      <c r="AB1382">
        <v>0</v>
      </c>
      <c r="AC1382">
        <v>4</v>
      </c>
      <c r="AD1382">
        <f>IF(HR_Data[[#This Row],[Attrition]]="Yes",1,0)</f>
        <v>0</v>
      </c>
      <c r="AE1382" t="str">
        <f>IF(HR_Data[[#This Row],[Age]]&lt;=25,"18-25",IF(HR_Data[[#This Row],[Age]]&lt;=35,"26-35",IF(HR_Data[[#This Row],[Age]]&lt;=45,"36-45",IF(HR_Data[[#This Row],[Age]]&lt;=55,"46-55","55+"))))</f>
        <v>26-35</v>
      </c>
      <c r="AF1382">
        <f>IF(HR_Data[[#This Row],[Age]]&lt;=25,1,IF(HR_Data[[#This Row],[Age]]&lt;=35,2,IF(HR_Data[[#This Row],[Age]]&lt;=45,3,IF(HR_Data[[#This Row],[Age]]&lt;=55,4,5))))</f>
        <v>2</v>
      </c>
      <c r="AG1382" s="1" t="str">
        <f>IF(HR_Data[[#This Row],[MonthlyIncome]]&lt;3000,"&lt;3K",IF(HR_Data[[#This Row],[MonthlyIncome]]&lt;6000,"3K-6K",IF(HR_Data[[#This Row],[MonthlyIncome]]&lt;10000,"6K-10K","10K+")))</f>
        <v>3K-6K</v>
      </c>
      <c r="AH1382" s="1">
        <f>IF(HR_Data[[#This Row],[MonthlyIncome]]&lt;3000,1,IF(HR_Data[[#This Row],[MonthlyIncome]]&lt;6000,2,IF(HR_Data[[#This Row],[MonthlyIncome]]&lt;10000,3,4)))</f>
        <v>2</v>
      </c>
      <c r="AI1382" s="1" t="str">
        <f>IF(HR_Data[[#This Row],[YearsAtCompany]]&lt;=2,"0-2 Yrs",IF(HR_Data[[#This Row],[YearsAtCompany]]&lt;=5,"3-5 Yrs",IF(HR_Data[[#This Row],[YearsAtCompany]]&lt;=10,"6-10 Yrs","10+ Yrs")))</f>
        <v>3-5 Yrs</v>
      </c>
      <c r="AJ1382" s="1">
        <f>IF(HR_Data[[#This Row],[YearsAtCompany]]&lt;=2,1,IF(HR_Data[[#This Row],[YearsAtCompany]]&lt;=5,2,IF(HR_Data[[#This Row],[YearsAtCompany]]&lt;=10,3,4)))</f>
        <v>2</v>
      </c>
      <c r="AK1382" s="1" t="str">
        <f>CHOOSE(HR_Data[[#This Row],[Education]],"Below College","College","Bachelor","Master","Doctor")</f>
        <v>Master</v>
      </c>
      <c r="AL1382" s="1" t="str">
        <f>CHOOSE(HR_Data[[#This Row],[JobSatisfaction]],"Low","Medium","High","Very High")</f>
        <v>Low</v>
      </c>
      <c r="AM1382" s="1" t="str">
        <f>CHOOSE(HR_Data[[#This Row],[EnvironmentSatisfaction]],"Low","Medium","High","Very High")</f>
        <v>Medium</v>
      </c>
      <c r="AN1382" s="1" t="str">
        <f>CHOOSE(HR_Data[[#This Row],[WorkLifeBalance]],"Bad","Good","Better","Best")</f>
        <v>Bad</v>
      </c>
      <c r="AO1382" s="1" t="str">
        <f>IF(HR_Data[[#This Row],[PercentSalaryHike]]&lt;=13,"11-13%",IF(HR_Data[[#This Row],[PercentSalaryHike]]&lt;=16,"14-16%",IF(HR_Data[[#This Row],[PercentSalaryHike]]&lt;=19,"17-19%","20-25%")))</f>
        <v>14-16%</v>
      </c>
      <c r="AP1382" s="1">
        <f>IF(HR_Data[[#This Row],[PercentSalaryHike]]&lt;=13,1,IF(HR_Data[[#This Row],[PercentSalaryHike]]&lt;=16,2,IF(HR_Data[[#This Row],[PercentSalaryHike]]&lt;=19,3,4)))</f>
        <v>2</v>
      </c>
      <c r="AQ1382" s="1" t="str">
        <f>IF(HR_Data[[#This Row],[DistanceFromHome]]&lt;=5,"1 to 5",IF(HR_Data[[#This Row],[DistanceFromHome]]&lt;=10,"6 to 10",IF(HR_Data[[#This Row],[DistanceFromHome]]&lt;=20,"11 to 20","21 to 29")))</f>
        <v>11 to 20</v>
      </c>
      <c r="AR1382" s="1">
        <f>IF(HR_Data[[#This Row],[DistanceFromHome]]&lt;=5,1,IF(HR_Data[[#This Row],[DistanceFromHome]]&lt;=10,2,IF(HR_Data[[#This Row],[DistanceFromHome]]&lt;=20,3,4)))</f>
        <v>3</v>
      </c>
      <c r="AS1382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382" s="1">
        <f>IF(HR_Data[[#This Row],[TotalWorkingYears]]&lt;=5,1,IF(HR_Data[[#This Row],[TotalWorkingYears]]&lt;=10,2,IF(HR_Data[[#This Row],[TotalWorkingYears]]&lt;=20,3,4)))</f>
        <v>2</v>
      </c>
    </row>
    <row r="1383" spans="1:46" x14ac:dyDescent="0.25">
      <c r="A1383">
        <v>28</v>
      </c>
      <c r="B1383" t="s">
        <v>36</v>
      </c>
      <c r="C1383" t="s">
        <v>48</v>
      </c>
      <c r="D1383" t="s">
        <v>38</v>
      </c>
      <c r="E1383">
        <v>16</v>
      </c>
      <c r="F1383">
        <v>3</v>
      </c>
      <c r="G1383" t="s">
        <v>44</v>
      </c>
      <c r="H1383">
        <v>1947</v>
      </c>
      <c r="I1383">
        <v>3</v>
      </c>
      <c r="J1383" t="s">
        <v>39</v>
      </c>
      <c r="K1383">
        <v>3</v>
      </c>
      <c r="L1383">
        <v>1</v>
      </c>
      <c r="M1383" t="s">
        <v>40</v>
      </c>
      <c r="N1383">
        <v>3</v>
      </c>
      <c r="O1383" t="s">
        <v>35</v>
      </c>
      <c r="P1383">
        <v>2144</v>
      </c>
      <c r="Q1383">
        <v>1</v>
      </c>
      <c r="R1383" t="s">
        <v>36</v>
      </c>
      <c r="S1383">
        <v>14</v>
      </c>
      <c r="T1383">
        <v>3</v>
      </c>
      <c r="U1383">
        <v>3</v>
      </c>
      <c r="V1383">
        <v>0</v>
      </c>
      <c r="W1383">
        <v>5</v>
      </c>
      <c r="X1383">
        <v>3</v>
      </c>
      <c r="Y1383">
        <v>2</v>
      </c>
      <c r="Z1383">
        <v>5</v>
      </c>
      <c r="AA1383">
        <v>3</v>
      </c>
      <c r="AB1383">
        <v>1</v>
      </c>
      <c r="AC1383">
        <v>4</v>
      </c>
      <c r="AD1383">
        <f>IF(HR_Data[[#This Row],[Attrition]]="Yes",1,0)</f>
        <v>0</v>
      </c>
      <c r="AE1383" t="str">
        <f>IF(HR_Data[[#This Row],[Age]]&lt;=25,"18-25",IF(HR_Data[[#This Row],[Age]]&lt;=35,"26-35",IF(HR_Data[[#This Row],[Age]]&lt;=45,"36-45",IF(HR_Data[[#This Row],[Age]]&lt;=55,"46-55","55+"))))</f>
        <v>26-35</v>
      </c>
      <c r="AF1383">
        <f>IF(HR_Data[[#This Row],[Age]]&lt;=25,1,IF(HR_Data[[#This Row],[Age]]&lt;=35,2,IF(HR_Data[[#This Row],[Age]]&lt;=45,3,IF(HR_Data[[#This Row],[Age]]&lt;=55,4,5))))</f>
        <v>2</v>
      </c>
      <c r="AG1383" s="1" t="str">
        <f>IF(HR_Data[[#This Row],[MonthlyIncome]]&lt;3000,"&lt;3K",IF(HR_Data[[#This Row],[MonthlyIncome]]&lt;6000,"3K-6K",IF(HR_Data[[#This Row],[MonthlyIncome]]&lt;10000,"6K-10K","10K+")))</f>
        <v>&lt;3K</v>
      </c>
      <c r="AH1383" s="1">
        <f>IF(HR_Data[[#This Row],[MonthlyIncome]]&lt;3000,1,IF(HR_Data[[#This Row],[MonthlyIncome]]&lt;6000,2,IF(HR_Data[[#This Row],[MonthlyIncome]]&lt;10000,3,4)))</f>
        <v>1</v>
      </c>
      <c r="AI1383" s="1" t="str">
        <f>IF(HR_Data[[#This Row],[YearsAtCompany]]&lt;=2,"0-2 Yrs",IF(HR_Data[[#This Row],[YearsAtCompany]]&lt;=5,"3-5 Yrs",IF(HR_Data[[#This Row],[YearsAtCompany]]&lt;=10,"6-10 Yrs","10+ Yrs")))</f>
        <v>3-5 Yrs</v>
      </c>
      <c r="AJ1383" s="1">
        <f>IF(HR_Data[[#This Row],[YearsAtCompany]]&lt;=2,1,IF(HR_Data[[#This Row],[YearsAtCompany]]&lt;=5,2,IF(HR_Data[[#This Row],[YearsAtCompany]]&lt;=10,3,4)))</f>
        <v>2</v>
      </c>
      <c r="AK1383" s="1" t="str">
        <f>CHOOSE(HR_Data[[#This Row],[Education]],"Below College","College","Bachelor","Master","Doctor")</f>
        <v>Bachelor</v>
      </c>
      <c r="AL1383" s="1" t="str">
        <f>CHOOSE(HR_Data[[#This Row],[JobSatisfaction]],"Low","Medium","High","Very High")</f>
        <v>High</v>
      </c>
      <c r="AM1383" s="1" t="str">
        <f>CHOOSE(HR_Data[[#This Row],[EnvironmentSatisfaction]],"Low","Medium","High","Very High")</f>
        <v>High</v>
      </c>
      <c r="AN1383" s="1" t="str">
        <f>CHOOSE(HR_Data[[#This Row],[WorkLifeBalance]],"Bad","Good","Better","Best")</f>
        <v>Good</v>
      </c>
      <c r="AO1383" s="1" t="str">
        <f>IF(HR_Data[[#This Row],[PercentSalaryHike]]&lt;=13,"11-13%",IF(HR_Data[[#This Row],[PercentSalaryHike]]&lt;=16,"14-16%",IF(HR_Data[[#This Row],[PercentSalaryHike]]&lt;=19,"17-19%","20-25%")))</f>
        <v>14-16%</v>
      </c>
      <c r="AP1383" s="1">
        <f>IF(HR_Data[[#This Row],[PercentSalaryHike]]&lt;=13,1,IF(HR_Data[[#This Row],[PercentSalaryHike]]&lt;=16,2,IF(HR_Data[[#This Row],[PercentSalaryHike]]&lt;=19,3,4)))</f>
        <v>2</v>
      </c>
      <c r="AQ1383" s="1" t="str">
        <f>IF(HR_Data[[#This Row],[DistanceFromHome]]&lt;=5,"1 to 5",IF(HR_Data[[#This Row],[DistanceFromHome]]&lt;=10,"6 to 10",IF(HR_Data[[#This Row],[DistanceFromHome]]&lt;=20,"11 to 20","21 to 29")))</f>
        <v>11 to 20</v>
      </c>
      <c r="AR1383" s="1">
        <f>IF(HR_Data[[#This Row],[DistanceFromHome]]&lt;=5,1,IF(HR_Data[[#This Row],[DistanceFromHome]]&lt;=10,2,IF(HR_Data[[#This Row],[DistanceFromHome]]&lt;=20,3,4)))</f>
        <v>3</v>
      </c>
      <c r="AS1383" s="1" t="str">
        <f>IF(HR_Data[[#This Row],[TotalWorkingYears]]&lt;=5,"0-5 Yrs",IF(HR_Data[[#This Row],[TotalWorkingYears]]&lt;=10,"6-10 Yrs",IF(HR_Data[[#This Row],[TotalWorkingYears]]&lt;=20,"11-20 Yrs","20+ Yrs")))</f>
        <v>0-5 Yrs</v>
      </c>
      <c r="AT1383" s="1">
        <f>IF(HR_Data[[#This Row],[TotalWorkingYears]]&lt;=5,1,IF(HR_Data[[#This Row],[TotalWorkingYears]]&lt;=10,2,IF(HR_Data[[#This Row],[TotalWorkingYears]]&lt;=20,3,4)))</f>
        <v>1</v>
      </c>
    </row>
    <row r="1384" spans="1:46" x14ac:dyDescent="0.25">
      <c r="A1384">
        <v>31</v>
      </c>
      <c r="B1384" t="s">
        <v>36</v>
      </c>
      <c r="C1384" t="s">
        <v>48</v>
      </c>
      <c r="D1384" t="s">
        <v>38</v>
      </c>
      <c r="E1384">
        <v>3</v>
      </c>
      <c r="F1384">
        <v>2</v>
      </c>
      <c r="G1384" t="s">
        <v>44</v>
      </c>
      <c r="H1384">
        <v>1948</v>
      </c>
      <c r="I1384">
        <v>3</v>
      </c>
      <c r="J1384" t="s">
        <v>39</v>
      </c>
      <c r="K1384">
        <v>3</v>
      </c>
      <c r="L1384">
        <v>1</v>
      </c>
      <c r="M1384" t="s">
        <v>40</v>
      </c>
      <c r="N1384">
        <v>1</v>
      </c>
      <c r="O1384" t="s">
        <v>45</v>
      </c>
      <c r="P1384">
        <v>3065</v>
      </c>
      <c r="Q1384">
        <v>1</v>
      </c>
      <c r="R1384" t="s">
        <v>29</v>
      </c>
      <c r="S1384">
        <v>13</v>
      </c>
      <c r="T1384">
        <v>3</v>
      </c>
      <c r="U1384">
        <v>4</v>
      </c>
      <c r="V1384">
        <v>1</v>
      </c>
      <c r="W1384">
        <v>4</v>
      </c>
      <c r="X1384">
        <v>3</v>
      </c>
      <c r="Y1384">
        <v>4</v>
      </c>
      <c r="Z1384">
        <v>4</v>
      </c>
      <c r="AA1384">
        <v>2</v>
      </c>
      <c r="AB1384">
        <v>2</v>
      </c>
      <c r="AC1384">
        <v>3</v>
      </c>
      <c r="AD1384">
        <f>IF(HR_Data[[#This Row],[Attrition]]="Yes",1,0)</f>
        <v>0</v>
      </c>
      <c r="AE1384" t="str">
        <f>IF(HR_Data[[#This Row],[Age]]&lt;=25,"18-25",IF(HR_Data[[#This Row],[Age]]&lt;=35,"26-35",IF(HR_Data[[#This Row],[Age]]&lt;=45,"36-45",IF(HR_Data[[#This Row],[Age]]&lt;=55,"46-55","55+"))))</f>
        <v>26-35</v>
      </c>
      <c r="AF1384">
        <f>IF(HR_Data[[#This Row],[Age]]&lt;=25,1,IF(HR_Data[[#This Row],[Age]]&lt;=35,2,IF(HR_Data[[#This Row],[Age]]&lt;=45,3,IF(HR_Data[[#This Row],[Age]]&lt;=55,4,5))))</f>
        <v>2</v>
      </c>
      <c r="AG1384" s="1" t="str">
        <f>IF(HR_Data[[#This Row],[MonthlyIncome]]&lt;3000,"&lt;3K",IF(HR_Data[[#This Row],[MonthlyIncome]]&lt;6000,"3K-6K",IF(HR_Data[[#This Row],[MonthlyIncome]]&lt;10000,"6K-10K","10K+")))</f>
        <v>3K-6K</v>
      </c>
      <c r="AH1384" s="1">
        <f>IF(HR_Data[[#This Row],[MonthlyIncome]]&lt;3000,1,IF(HR_Data[[#This Row],[MonthlyIncome]]&lt;6000,2,IF(HR_Data[[#This Row],[MonthlyIncome]]&lt;10000,3,4)))</f>
        <v>2</v>
      </c>
      <c r="AI1384" s="1" t="str">
        <f>IF(HR_Data[[#This Row],[YearsAtCompany]]&lt;=2,"0-2 Yrs",IF(HR_Data[[#This Row],[YearsAtCompany]]&lt;=5,"3-5 Yrs",IF(HR_Data[[#This Row],[YearsAtCompany]]&lt;=10,"6-10 Yrs","10+ Yrs")))</f>
        <v>3-5 Yrs</v>
      </c>
      <c r="AJ1384" s="1">
        <f>IF(HR_Data[[#This Row],[YearsAtCompany]]&lt;=2,1,IF(HR_Data[[#This Row],[YearsAtCompany]]&lt;=5,2,IF(HR_Data[[#This Row],[YearsAtCompany]]&lt;=10,3,4)))</f>
        <v>2</v>
      </c>
      <c r="AK1384" s="1" t="str">
        <f>CHOOSE(HR_Data[[#This Row],[Education]],"Below College","College","Bachelor","Master","Doctor")</f>
        <v>College</v>
      </c>
      <c r="AL1384" s="1" t="str">
        <f>CHOOSE(HR_Data[[#This Row],[JobSatisfaction]],"Low","Medium","High","Very High")</f>
        <v>Low</v>
      </c>
      <c r="AM1384" s="1" t="str">
        <f>CHOOSE(HR_Data[[#This Row],[EnvironmentSatisfaction]],"Low","Medium","High","Very High")</f>
        <v>High</v>
      </c>
      <c r="AN1384" s="1" t="str">
        <f>CHOOSE(HR_Data[[#This Row],[WorkLifeBalance]],"Bad","Good","Better","Best")</f>
        <v>Best</v>
      </c>
      <c r="AO1384" s="1" t="str">
        <f>IF(HR_Data[[#This Row],[PercentSalaryHike]]&lt;=13,"11-13%",IF(HR_Data[[#This Row],[PercentSalaryHike]]&lt;=16,"14-16%",IF(HR_Data[[#This Row],[PercentSalaryHike]]&lt;=19,"17-19%","20-25%")))</f>
        <v>11-13%</v>
      </c>
      <c r="AP1384" s="1">
        <f>IF(HR_Data[[#This Row],[PercentSalaryHike]]&lt;=13,1,IF(HR_Data[[#This Row],[PercentSalaryHike]]&lt;=16,2,IF(HR_Data[[#This Row],[PercentSalaryHike]]&lt;=19,3,4)))</f>
        <v>1</v>
      </c>
      <c r="AQ1384" s="1" t="str">
        <f>IF(HR_Data[[#This Row],[DistanceFromHome]]&lt;=5,"1 to 5",IF(HR_Data[[#This Row],[DistanceFromHome]]&lt;=10,"6 to 10",IF(HR_Data[[#This Row],[DistanceFromHome]]&lt;=20,"11 to 20","21 to 29")))</f>
        <v>1 to 5</v>
      </c>
      <c r="AR1384" s="1">
        <f>IF(HR_Data[[#This Row],[DistanceFromHome]]&lt;=5,1,IF(HR_Data[[#This Row],[DistanceFromHome]]&lt;=10,2,IF(HR_Data[[#This Row],[DistanceFromHome]]&lt;=20,3,4)))</f>
        <v>1</v>
      </c>
      <c r="AS1384" s="1" t="str">
        <f>IF(HR_Data[[#This Row],[TotalWorkingYears]]&lt;=5,"0-5 Yrs",IF(HR_Data[[#This Row],[TotalWorkingYears]]&lt;=10,"6-10 Yrs",IF(HR_Data[[#This Row],[TotalWorkingYears]]&lt;=20,"11-20 Yrs","20+ Yrs")))</f>
        <v>0-5 Yrs</v>
      </c>
      <c r="AT1384" s="1">
        <f>IF(HR_Data[[#This Row],[TotalWorkingYears]]&lt;=5,1,IF(HR_Data[[#This Row],[TotalWorkingYears]]&lt;=10,2,IF(HR_Data[[#This Row],[TotalWorkingYears]]&lt;=20,3,4)))</f>
        <v>1</v>
      </c>
    </row>
    <row r="1385" spans="1:46" x14ac:dyDescent="0.25">
      <c r="A1385">
        <v>36</v>
      </c>
      <c r="B1385" t="s">
        <v>36</v>
      </c>
      <c r="C1385" t="s">
        <v>48</v>
      </c>
      <c r="D1385" t="s">
        <v>38</v>
      </c>
      <c r="E1385">
        <v>9</v>
      </c>
      <c r="F1385">
        <v>4</v>
      </c>
      <c r="G1385" t="s">
        <v>32</v>
      </c>
      <c r="H1385">
        <v>1949</v>
      </c>
      <c r="I1385">
        <v>1</v>
      </c>
      <c r="J1385" t="s">
        <v>39</v>
      </c>
      <c r="K1385">
        <v>4</v>
      </c>
      <c r="L1385">
        <v>1</v>
      </c>
      <c r="M1385" t="s">
        <v>43</v>
      </c>
      <c r="N1385">
        <v>2</v>
      </c>
      <c r="O1385" t="s">
        <v>41</v>
      </c>
      <c r="P1385">
        <v>2810</v>
      </c>
      <c r="Q1385">
        <v>1</v>
      </c>
      <c r="R1385" t="s">
        <v>36</v>
      </c>
      <c r="S1385">
        <v>22</v>
      </c>
      <c r="T1385">
        <v>4</v>
      </c>
      <c r="U1385">
        <v>2</v>
      </c>
      <c r="V1385">
        <v>0</v>
      </c>
      <c r="W1385">
        <v>5</v>
      </c>
      <c r="X1385">
        <v>3</v>
      </c>
      <c r="Y1385">
        <v>3</v>
      </c>
      <c r="Z1385">
        <v>5</v>
      </c>
      <c r="AA1385">
        <v>4</v>
      </c>
      <c r="AB1385">
        <v>0</v>
      </c>
      <c r="AC1385">
        <v>2</v>
      </c>
      <c r="AD1385">
        <f>IF(HR_Data[[#This Row],[Attrition]]="Yes",1,0)</f>
        <v>0</v>
      </c>
      <c r="AE1385" t="str">
        <f>IF(HR_Data[[#This Row],[Age]]&lt;=25,"18-25",IF(HR_Data[[#This Row],[Age]]&lt;=35,"26-35",IF(HR_Data[[#This Row],[Age]]&lt;=45,"36-45",IF(HR_Data[[#This Row],[Age]]&lt;=55,"46-55","55+"))))</f>
        <v>36-45</v>
      </c>
      <c r="AF1385">
        <f>IF(HR_Data[[#This Row],[Age]]&lt;=25,1,IF(HR_Data[[#This Row],[Age]]&lt;=35,2,IF(HR_Data[[#This Row],[Age]]&lt;=45,3,IF(HR_Data[[#This Row],[Age]]&lt;=55,4,5))))</f>
        <v>3</v>
      </c>
      <c r="AG1385" s="1" t="str">
        <f>IF(HR_Data[[#This Row],[MonthlyIncome]]&lt;3000,"&lt;3K",IF(HR_Data[[#This Row],[MonthlyIncome]]&lt;6000,"3K-6K",IF(HR_Data[[#This Row],[MonthlyIncome]]&lt;10000,"6K-10K","10K+")))</f>
        <v>&lt;3K</v>
      </c>
      <c r="AH1385" s="1">
        <f>IF(HR_Data[[#This Row],[MonthlyIncome]]&lt;3000,1,IF(HR_Data[[#This Row],[MonthlyIncome]]&lt;6000,2,IF(HR_Data[[#This Row],[MonthlyIncome]]&lt;10000,3,4)))</f>
        <v>1</v>
      </c>
      <c r="AI1385" s="1" t="str">
        <f>IF(HR_Data[[#This Row],[YearsAtCompany]]&lt;=2,"0-2 Yrs",IF(HR_Data[[#This Row],[YearsAtCompany]]&lt;=5,"3-5 Yrs",IF(HR_Data[[#This Row],[YearsAtCompany]]&lt;=10,"6-10 Yrs","10+ Yrs")))</f>
        <v>3-5 Yrs</v>
      </c>
      <c r="AJ1385" s="1">
        <f>IF(HR_Data[[#This Row],[YearsAtCompany]]&lt;=2,1,IF(HR_Data[[#This Row],[YearsAtCompany]]&lt;=5,2,IF(HR_Data[[#This Row],[YearsAtCompany]]&lt;=10,3,4)))</f>
        <v>2</v>
      </c>
      <c r="AK1385" s="1" t="str">
        <f>CHOOSE(HR_Data[[#This Row],[Education]],"Below College","College","Bachelor","Master","Doctor")</f>
        <v>Master</v>
      </c>
      <c r="AL1385" s="1" t="str">
        <f>CHOOSE(HR_Data[[#This Row],[JobSatisfaction]],"Low","Medium","High","Very High")</f>
        <v>Medium</v>
      </c>
      <c r="AM1385" s="1" t="str">
        <f>CHOOSE(HR_Data[[#This Row],[EnvironmentSatisfaction]],"Low","Medium","High","Very High")</f>
        <v>Low</v>
      </c>
      <c r="AN1385" s="1" t="str">
        <f>CHOOSE(HR_Data[[#This Row],[WorkLifeBalance]],"Bad","Good","Better","Best")</f>
        <v>Better</v>
      </c>
      <c r="AO1385" s="1" t="str">
        <f>IF(HR_Data[[#This Row],[PercentSalaryHike]]&lt;=13,"11-13%",IF(HR_Data[[#This Row],[PercentSalaryHike]]&lt;=16,"14-16%",IF(HR_Data[[#This Row],[PercentSalaryHike]]&lt;=19,"17-19%","20-25%")))</f>
        <v>20-25%</v>
      </c>
      <c r="AP1385" s="1">
        <f>IF(HR_Data[[#This Row],[PercentSalaryHike]]&lt;=13,1,IF(HR_Data[[#This Row],[PercentSalaryHike]]&lt;=16,2,IF(HR_Data[[#This Row],[PercentSalaryHike]]&lt;=19,3,4)))</f>
        <v>4</v>
      </c>
      <c r="AQ1385" s="1" t="str">
        <f>IF(HR_Data[[#This Row],[DistanceFromHome]]&lt;=5,"1 to 5",IF(HR_Data[[#This Row],[DistanceFromHome]]&lt;=10,"6 to 10",IF(HR_Data[[#This Row],[DistanceFromHome]]&lt;=20,"11 to 20","21 to 29")))</f>
        <v>6 to 10</v>
      </c>
      <c r="AR1385" s="1">
        <f>IF(HR_Data[[#This Row],[DistanceFromHome]]&lt;=5,1,IF(HR_Data[[#This Row],[DistanceFromHome]]&lt;=10,2,IF(HR_Data[[#This Row],[DistanceFromHome]]&lt;=20,3,4)))</f>
        <v>2</v>
      </c>
      <c r="AS1385" s="1" t="str">
        <f>IF(HR_Data[[#This Row],[TotalWorkingYears]]&lt;=5,"0-5 Yrs",IF(HR_Data[[#This Row],[TotalWorkingYears]]&lt;=10,"6-10 Yrs",IF(HR_Data[[#This Row],[TotalWorkingYears]]&lt;=20,"11-20 Yrs","20+ Yrs")))</f>
        <v>0-5 Yrs</v>
      </c>
      <c r="AT1385" s="1">
        <f>IF(HR_Data[[#This Row],[TotalWorkingYears]]&lt;=5,1,IF(HR_Data[[#This Row],[TotalWorkingYears]]&lt;=10,2,IF(HR_Data[[#This Row],[TotalWorkingYears]]&lt;=20,3,4)))</f>
        <v>1</v>
      </c>
    </row>
    <row r="1386" spans="1:46" x14ac:dyDescent="0.25">
      <c r="A1386">
        <v>34</v>
      </c>
      <c r="B1386" t="s">
        <v>36</v>
      </c>
      <c r="C1386" t="s">
        <v>30</v>
      </c>
      <c r="D1386" t="s">
        <v>31</v>
      </c>
      <c r="E1386">
        <v>1</v>
      </c>
      <c r="F1386">
        <v>3</v>
      </c>
      <c r="G1386" t="s">
        <v>52</v>
      </c>
      <c r="H1386">
        <v>1950</v>
      </c>
      <c r="I1386">
        <v>1</v>
      </c>
      <c r="J1386" t="s">
        <v>39</v>
      </c>
      <c r="K1386">
        <v>3</v>
      </c>
      <c r="L1386">
        <v>3</v>
      </c>
      <c r="M1386" t="s">
        <v>34</v>
      </c>
      <c r="N1386">
        <v>4</v>
      </c>
      <c r="O1386" t="s">
        <v>35</v>
      </c>
      <c r="P1386">
        <v>9888</v>
      </c>
      <c r="Q1386">
        <v>1</v>
      </c>
      <c r="R1386" t="s">
        <v>36</v>
      </c>
      <c r="S1386">
        <v>21</v>
      </c>
      <c r="T1386">
        <v>4</v>
      </c>
      <c r="U1386">
        <v>1</v>
      </c>
      <c r="V1386">
        <v>0</v>
      </c>
      <c r="W1386">
        <v>14</v>
      </c>
      <c r="X1386">
        <v>3</v>
      </c>
      <c r="Y1386">
        <v>2</v>
      </c>
      <c r="Z1386">
        <v>14</v>
      </c>
      <c r="AA1386">
        <v>8</v>
      </c>
      <c r="AB1386">
        <v>2</v>
      </c>
      <c r="AC1386">
        <v>1</v>
      </c>
      <c r="AD1386">
        <f>IF(HR_Data[[#This Row],[Attrition]]="Yes",1,0)</f>
        <v>0</v>
      </c>
      <c r="AE1386" t="str">
        <f>IF(HR_Data[[#This Row],[Age]]&lt;=25,"18-25",IF(HR_Data[[#This Row],[Age]]&lt;=35,"26-35",IF(HR_Data[[#This Row],[Age]]&lt;=45,"36-45",IF(HR_Data[[#This Row],[Age]]&lt;=55,"46-55","55+"))))</f>
        <v>26-35</v>
      </c>
      <c r="AF1386">
        <f>IF(HR_Data[[#This Row],[Age]]&lt;=25,1,IF(HR_Data[[#This Row],[Age]]&lt;=35,2,IF(HR_Data[[#This Row],[Age]]&lt;=45,3,IF(HR_Data[[#This Row],[Age]]&lt;=55,4,5))))</f>
        <v>2</v>
      </c>
      <c r="AG1386" s="1" t="str">
        <f>IF(HR_Data[[#This Row],[MonthlyIncome]]&lt;3000,"&lt;3K",IF(HR_Data[[#This Row],[MonthlyIncome]]&lt;6000,"3K-6K",IF(HR_Data[[#This Row],[MonthlyIncome]]&lt;10000,"6K-10K","10K+")))</f>
        <v>6K-10K</v>
      </c>
      <c r="AH1386" s="1">
        <f>IF(HR_Data[[#This Row],[MonthlyIncome]]&lt;3000,1,IF(HR_Data[[#This Row],[MonthlyIncome]]&lt;6000,2,IF(HR_Data[[#This Row],[MonthlyIncome]]&lt;10000,3,4)))</f>
        <v>3</v>
      </c>
      <c r="AI1386" s="1" t="str">
        <f>IF(HR_Data[[#This Row],[YearsAtCompany]]&lt;=2,"0-2 Yrs",IF(HR_Data[[#This Row],[YearsAtCompany]]&lt;=5,"3-5 Yrs",IF(HR_Data[[#This Row],[YearsAtCompany]]&lt;=10,"6-10 Yrs","10+ Yrs")))</f>
        <v>10+ Yrs</v>
      </c>
      <c r="AJ1386" s="1">
        <f>IF(HR_Data[[#This Row],[YearsAtCompany]]&lt;=2,1,IF(HR_Data[[#This Row],[YearsAtCompany]]&lt;=5,2,IF(HR_Data[[#This Row],[YearsAtCompany]]&lt;=10,3,4)))</f>
        <v>4</v>
      </c>
      <c r="AK1386" s="1" t="str">
        <f>CHOOSE(HR_Data[[#This Row],[Education]],"Below College","College","Bachelor","Master","Doctor")</f>
        <v>Bachelor</v>
      </c>
      <c r="AL1386" s="1" t="str">
        <f>CHOOSE(HR_Data[[#This Row],[JobSatisfaction]],"Low","Medium","High","Very High")</f>
        <v>Very High</v>
      </c>
      <c r="AM1386" s="1" t="str">
        <f>CHOOSE(HR_Data[[#This Row],[EnvironmentSatisfaction]],"Low","Medium","High","Very High")</f>
        <v>Low</v>
      </c>
      <c r="AN1386" s="1" t="str">
        <f>CHOOSE(HR_Data[[#This Row],[WorkLifeBalance]],"Bad","Good","Better","Best")</f>
        <v>Good</v>
      </c>
      <c r="AO1386" s="1" t="str">
        <f>IF(HR_Data[[#This Row],[PercentSalaryHike]]&lt;=13,"11-13%",IF(HR_Data[[#This Row],[PercentSalaryHike]]&lt;=16,"14-16%",IF(HR_Data[[#This Row],[PercentSalaryHike]]&lt;=19,"17-19%","20-25%")))</f>
        <v>20-25%</v>
      </c>
      <c r="AP1386" s="1">
        <f>IF(HR_Data[[#This Row],[PercentSalaryHike]]&lt;=13,1,IF(HR_Data[[#This Row],[PercentSalaryHike]]&lt;=16,2,IF(HR_Data[[#This Row],[PercentSalaryHike]]&lt;=19,3,4)))</f>
        <v>4</v>
      </c>
      <c r="AQ1386" s="1" t="str">
        <f>IF(HR_Data[[#This Row],[DistanceFromHome]]&lt;=5,"1 to 5",IF(HR_Data[[#This Row],[DistanceFromHome]]&lt;=10,"6 to 10",IF(HR_Data[[#This Row],[DistanceFromHome]]&lt;=20,"11 to 20","21 to 29")))</f>
        <v>1 to 5</v>
      </c>
      <c r="AR1386" s="1">
        <f>IF(HR_Data[[#This Row],[DistanceFromHome]]&lt;=5,1,IF(HR_Data[[#This Row],[DistanceFromHome]]&lt;=10,2,IF(HR_Data[[#This Row],[DistanceFromHome]]&lt;=20,3,4)))</f>
        <v>1</v>
      </c>
      <c r="AS1386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386" s="1">
        <f>IF(HR_Data[[#This Row],[TotalWorkingYears]]&lt;=5,1,IF(HR_Data[[#This Row],[TotalWorkingYears]]&lt;=10,2,IF(HR_Data[[#This Row],[TotalWorkingYears]]&lt;=20,3,4)))</f>
        <v>3</v>
      </c>
    </row>
    <row r="1387" spans="1:46" x14ac:dyDescent="0.25">
      <c r="A1387">
        <v>34</v>
      </c>
      <c r="B1387" t="s">
        <v>36</v>
      </c>
      <c r="C1387" t="s">
        <v>30</v>
      </c>
      <c r="D1387" t="s">
        <v>31</v>
      </c>
      <c r="E1387">
        <v>13</v>
      </c>
      <c r="F1387">
        <v>4</v>
      </c>
      <c r="G1387" t="s">
        <v>44</v>
      </c>
      <c r="H1387">
        <v>1951</v>
      </c>
      <c r="I1387">
        <v>4</v>
      </c>
      <c r="J1387" t="s">
        <v>39</v>
      </c>
      <c r="K1387">
        <v>3</v>
      </c>
      <c r="L1387">
        <v>3</v>
      </c>
      <c r="M1387" t="s">
        <v>34</v>
      </c>
      <c r="N1387">
        <v>3</v>
      </c>
      <c r="O1387" t="s">
        <v>45</v>
      </c>
      <c r="P1387">
        <v>8628</v>
      </c>
      <c r="Q1387">
        <v>1</v>
      </c>
      <c r="R1387" t="s">
        <v>36</v>
      </c>
      <c r="S1387">
        <v>18</v>
      </c>
      <c r="T1387">
        <v>3</v>
      </c>
      <c r="U1387">
        <v>3</v>
      </c>
      <c r="V1387">
        <v>1</v>
      </c>
      <c r="W1387">
        <v>9</v>
      </c>
      <c r="X1387">
        <v>2</v>
      </c>
      <c r="Y1387">
        <v>2</v>
      </c>
      <c r="Z1387">
        <v>8</v>
      </c>
      <c r="AA1387">
        <v>7</v>
      </c>
      <c r="AB1387">
        <v>1</v>
      </c>
      <c r="AC1387">
        <v>1</v>
      </c>
      <c r="AD1387">
        <f>IF(HR_Data[[#This Row],[Attrition]]="Yes",1,0)</f>
        <v>0</v>
      </c>
      <c r="AE1387" t="str">
        <f>IF(HR_Data[[#This Row],[Age]]&lt;=25,"18-25",IF(HR_Data[[#This Row],[Age]]&lt;=35,"26-35",IF(HR_Data[[#This Row],[Age]]&lt;=45,"36-45",IF(HR_Data[[#This Row],[Age]]&lt;=55,"46-55","55+"))))</f>
        <v>26-35</v>
      </c>
      <c r="AF1387">
        <f>IF(HR_Data[[#This Row],[Age]]&lt;=25,1,IF(HR_Data[[#This Row],[Age]]&lt;=35,2,IF(HR_Data[[#This Row],[Age]]&lt;=45,3,IF(HR_Data[[#This Row],[Age]]&lt;=55,4,5))))</f>
        <v>2</v>
      </c>
      <c r="AG1387" s="1" t="str">
        <f>IF(HR_Data[[#This Row],[MonthlyIncome]]&lt;3000,"&lt;3K",IF(HR_Data[[#This Row],[MonthlyIncome]]&lt;6000,"3K-6K",IF(HR_Data[[#This Row],[MonthlyIncome]]&lt;10000,"6K-10K","10K+")))</f>
        <v>6K-10K</v>
      </c>
      <c r="AH1387" s="1">
        <f>IF(HR_Data[[#This Row],[MonthlyIncome]]&lt;3000,1,IF(HR_Data[[#This Row],[MonthlyIncome]]&lt;6000,2,IF(HR_Data[[#This Row],[MonthlyIncome]]&lt;10000,3,4)))</f>
        <v>3</v>
      </c>
      <c r="AI1387" s="1" t="str">
        <f>IF(HR_Data[[#This Row],[YearsAtCompany]]&lt;=2,"0-2 Yrs",IF(HR_Data[[#This Row],[YearsAtCompany]]&lt;=5,"3-5 Yrs",IF(HR_Data[[#This Row],[YearsAtCompany]]&lt;=10,"6-10 Yrs","10+ Yrs")))</f>
        <v>6-10 Yrs</v>
      </c>
      <c r="AJ1387" s="1">
        <f>IF(HR_Data[[#This Row],[YearsAtCompany]]&lt;=2,1,IF(HR_Data[[#This Row],[YearsAtCompany]]&lt;=5,2,IF(HR_Data[[#This Row],[YearsAtCompany]]&lt;=10,3,4)))</f>
        <v>3</v>
      </c>
      <c r="AK1387" s="1" t="str">
        <f>CHOOSE(HR_Data[[#This Row],[Education]],"Below College","College","Bachelor","Master","Doctor")</f>
        <v>Master</v>
      </c>
      <c r="AL1387" s="1" t="str">
        <f>CHOOSE(HR_Data[[#This Row],[JobSatisfaction]],"Low","Medium","High","Very High")</f>
        <v>High</v>
      </c>
      <c r="AM1387" s="1" t="str">
        <f>CHOOSE(HR_Data[[#This Row],[EnvironmentSatisfaction]],"Low","Medium","High","Very High")</f>
        <v>Very High</v>
      </c>
      <c r="AN1387" s="1" t="str">
        <f>CHOOSE(HR_Data[[#This Row],[WorkLifeBalance]],"Bad","Good","Better","Best")</f>
        <v>Good</v>
      </c>
      <c r="AO1387" s="1" t="str">
        <f>IF(HR_Data[[#This Row],[PercentSalaryHike]]&lt;=13,"11-13%",IF(HR_Data[[#This Row],[PercentSalaryHike]]&lt;=16,"14-16%",IF(HR_Data[[#This Row],[PercentSalaryHike]]&lt;=19,"17-19%","20-25%")))</f>
        <v>17-19%</v>
      </c>
      <c r="AP1387" s="1">
        <f>IF(HR_Data[[#This Row],[PercentSalaryHike]]&lt;=13,1,IF(HR_Data[[#This Row],[PercentSalaryHike]]&lt;=16,2,IF(HR_Data[[#This Row],[PercentSalaryHike]]&lt;=19,3,4)))</f>
        <v>3</v>
      </c>
      <c r="AQ1387" s="1" t="str">
        <f>IF(HR_Data[[#This Row],[DistanceFromHome]]&lt;=5,"1 to 5",IF(HR_Data[[#This Row],[DistanceFromHome]]&lt;=10,"6 to 10",IF(HR_Data[[#This Row],[DistanceFromHome]]&lt;=20,"11 to 20","21 to 29")))</f>
        <v>11 to 20</v>
      </c>
      <c r="AR1387" s="1">
        <f>IF(HR_Data[[#This Row],[DistanceFromHome]]&lt;=5,1,IF(HR_Data[[#This Row],[DistanceFromHome]]&lt;=10,2,IF(HR_Data[[#This Row],[DistanceFromHome]]&lt;=20,3,4)))</f>
        <v>3</v>
      </c>
      <c r="AS1387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387" s="1">
        <f>IF(HR_Data[[#This Row],[TotalWorkingYears]]&lt;=5,1,IF(HR_Data[[#This Row],[TotalWorkingYears]]&lt;=10,2,IF(HR_Data[[#This Row],[TotalWorkingYears]]&lt;=20,3,4)))</f>
        <v>2</v>
      </c>
    </row>
    <row r="1388" spans="1:46" x14ac:dyDescent="0.25">
      <c r="A1388">
        <v>26</v>
      </c>
      <c r="B1388" t="s">
        <v>36</v>
      </c>
      <c r="C1388" t="s">
        <v>30</v>
      </c>
      <c r="D1388" t="s">
        <v>38</v>
      </c>
      <c r="E1388">
        <v>1</v>
      </c>
      <c r="F1388">
        <v>3</v>
      </c>
      <c r="G1388" t="s">
        <v>44</v>
      </c>
      <c r="H1388">
        <v>1952</v>
      </c>
      <c r="I1388">
        <v>3</v>
      </c>
      <c r="J1388" t="s">
        <v>39</v>
      </c>
      <c r="K1388">
        <v>3</v>
      </c>
      <c r="L1388">
        <v>1</v>
      </c>
      <c r="M1388" t="s">
        <v>43</v>
      </c>
      <c r="N1388">
        <v>1</v>
      </c>
      <c r="O1388" t="s">
        <v>35</v>
      </c>
      <c r="P1388">
        <v>2867</v>
      </c>
      <c r="Q1388">
        <v>0</v>
      </c>
      <c r="R1388" t="s">
        <v>36</v>
      </c>
      <c r="S1388">
        <v>13</v>
      </c>
      <c r="T1388">
        <v>3</v>
      </c>
      <c r="U1388">
        <v>4</v>
      </c>
      <c r="V1388">
        <v>0</v>
      </c>
      <c r="W1388">
        <v>8</v>
      </c>
      <c r="X1388">
        <v>6</v>
      </c>
      <c r="Y1388">
        <v>2</v>
      </c>
      <c r="Z1388">
        <v>7</v>
      </c>
      <c r="AA1388">
        <v>7</v>
      </c>
      <c r="AB1388">
        <v>7</v>
      </c>
      <c r="AC1388">
        <v>6</v>
      </c>
      <c r="AD1388">
        <f>IF(HR_Data[[#This Row],[Attrition]]="Yes",1,0)</f>
        <v>0</v>
      </c>
      <c r="AE1388" t="str">
        <f>IF(HR_Data[[#This Row],[Age]]&lt;=25,"18-25",IF(HR_Data[[#This Row],[Age]]&lt;=35,"26-35",IF(HR_Data[[#This Row],[Age]]&lt;=45,"36-45",IF(HR_Data[[#This Row],[Age]]&lt;=55,"46-55","55+"))))</f>
        <v>26-35</v>
      </c>
      <c r="AF1388">
        <f>IF(HR_Data[[#This Row],[Age]]&lt;=25,1,IF(HR_Data[[#This Row],[Age]]&lt;=35,2,IF(HR_Data[[#This Row],[Age]]&lt;=45,3,IF(HR_Data[[#This Row],[Age]]&lt;=55,4,5))))</f>
        <v>2</v>
      </c>
      <c r="AG1388" s="1" t="str">
        <f>IF(HR_Data[[#This Row],[MonthlyIncome]]&lt;3000,"&lt;3K",IF(HR_Data[[#This Row],[MonthlyIncome]]&lt;6000,"3K-6K",IF(HR_Data[[#This Row],[MonthlyIncome]]&lt;10000,"6K-10K","10K+")))</f>
        <v>&lt;3K</v>
      </c>
      <c r="AH1388" s="1">
        <f>IF(HR_Data[[#This Row],[MonthlyIncome]]&lt;3000,1,IF(HR_Data[[#This Row],[MonthlyIncome]]&lt;6000,2,IF(HR_Data[[#This Row],[MonthlyIncome]]&lt;10000,3,4)))</f>
        <v>1</v>
      </c>
      <c r="AI1388" s="1" t="str">
        <f>IF(HR_Data[[#This Row],[YearsAtCompany]]&lt;=2,"0-2 Yrs",IF(HR_Data[[#This Row],[YearsAtCompany]]&lt;=5,"3-5 Yrs",IF(HR_Data[[#This Row],[YearsAtCompany]]&lt;=10,"6-10 Yrs","10+ Yrs")))</f>
        <v>6-10 Yrs</v>
      </c>
      <c r="AJ1388" s="1">
        <f>IF(HR_Data[[#This Row],[YearsAtCompany]]&lt;=2,1,IF(HR_Data[[#This Row],[YearsAtCompany]]&lt;=5,2,IF(HR_Data[[#This Row],[YearsAtCompany]]&lt;=10,3,4)))</f>
        <v>3</v>
      </c>
      <c r="AK1388" s="1" t="str">
        <f>CHOOSE(HR_Data[[#This Row],[Education]],"Below College","College","Bachelor","Master","Doctor")</f>
        <v>Bachelor</v>
      </c>
      <c r="AL1388" s="1" t="str">
        <f>CHOOSE(HR_Data[[#This Row],[JobSatisfaction]],"Low","Medium","High","Very High")</f>
        <v>Low</v>
      </c>
      <c r="AM1388" s="1" t="str">
        <f>CHOOSE(HR_Data[[#This Row],[EnvironmentSatisfaction]],"Low","Medium","High","Very High")</f>
        <v>High</v>
      </c>
      <c r="AN1388" s="1" t="str">
        <f>CHOOSE(HR_Data[[#This Row],[WorkLifeBalance]],"Bad","Good","Better","Best")</f>
        <v>Good</v>
      </c>
      <c r="AO1388" s="1" t="str">
        <f>IF(HR_Data[[#This Row],[PercentSalaryHike]]&lt;=13,"11-13%",IF(HR_Data[[#This Row],[PercentSalaryHike]]&lt;=16,"14-16%",IF(HR_Data[[#This Row],[PercentSalaryHike]]&lt;=19,"17-19%","20-25%")))</f>
        <v>11-13%</v>
      </c>
      <c r="AP1388" s="1">
        <f>IF(HR_Data[[#This Row],[PercentSalaryHike]]&lt;=13,1,IF(HR_Data[[#This Row],[PercentSalaryHike]]&lt;=16,2,IF(HR_Data[[#This Row],[PercentSalaryHike]]&lt;=19,3,4)))</f>
        <v>1</v>
      </c>
      <c r="AQ1388" s="1" t="str">
        <f>IF(HR_Data[[#This Row],[DistanceFromHome]]&lt;=5,"1 to 5",IF(HR_Data[[#This Row],[DistanceFromHome]]&lt;=10,"6 to 10",IF(HR_Data[[#This Row],[DistanceFromHome]]&lt;=20,"11 to 20","21 to 29")))</f>
        <v>1 to 5</v>
      </c>
      <c r="AR1388" s="1">
        <f>IF(HR_Data[[#This Row],[DistanceFromHome]]&lt;=5,1,IF(HR_Data[[#This Row],[DistanceFromHome]]&lt;=10,2,IF(HR_Data[[#This Row],[DistanceFromHome]]&lt;=20,3,4)))</f>
        <v>1</v>
      </c>
      <c r="AS1388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388" s="1">
        <f>IF(HR_Data[[#This Row],[TotalWorkingYears]]&lt;=5,1,IF(HR_Data[[#This Row],[TotalWorkingYears]]&lt;=10,2,IF(HR_Data[[#This Row],[TotalWorkingYears]]&lt;=20,3,4)))</f>
        <v>2</v>
      </c>
    </row>
    <row r="1389" spans="1:46" x14ac:dyDescent="0.25">
      <c r="A1389">
        <v>29</v>
      </c>
      <c r="B1389" t="s">
        <v>36</v>
      </c>
      <c r="C1389" t="s">
        <v>30</v>
      </c>
      <c r="D1389" t="s">
        <v>38</v>
      </c>
      <c r="E1389">
        <v>1</v>
      </c>
      <c r="F1389">
        <v>3</v>
      </c>
      <c r="G1389" t="s">
        <v>32</v>
      </c>
      <c r="H1389">
        <v>1954</v>
      </c>
      <c r="I1389">
        <v>1</v>
      </c>
      <c r="J1389" t="s">
        <v>39</v>
      </c>
      <c r="K1389">
        <v>3</v>
      </c>
      <c r="L1389">
        <v>2</v>
      </c>
      <c r="M1389" t="s">
        <v>47</v>
      </c>
      <c r="N1389">
        <v>1</v>
      </c>
      <c r="O1389" t="s">
        <v>41</v>
      </c>
      <c r="P1389">
        <v>5373</v>
      </c>
      <c r="Q1389">
        <v>0</v>
      </c>
      <c r="R1389" t="s">
        <v>36</v>
      </c>
      <c r="S1389">
        <v>12</v>
      </c>
      <c r="T1389">
        <v>3</v>
      </c>
      <c r="U1389">
        <v>1</v>
      </c>
      <c r="V1389">
        <v>1</v>
      </c>
      <c r="W1389">
        <v>6</v>
      </c>
      <c r="X1389">
        <v>5</v>
      </c>
      <c r="Y1389">
        <v>2</v>
      </c>
      <c r="Z1389">
        <v>5</v>
      </c>
      <c r="AA1389">
        <v>3</v>
      </c>
      <c r="AB1389">
        <v>0</v>
      </c>
      <c r="AC1389">
        <v>2</v>
      </c>
      <c r="AD1389">
        <f>IF(HR_Data[[#This Row],[Attrition]]="Yes",1,0)</f>
        <v>0</v>
      </c>
      <c r="AE1389" t="str">
        <f>IF(HR_Data[[#This Row],[Age]]&lt;=25,"18-25",IF(HR_Data[[#This Row],[Age]]&lt;=35,"26-35",IF(HR_Data[[#This Row],[Age]]&lt;=45,"36-45",IF(HR_Data[[#This Row],[Age]]&lt;=55,"46-55","55+"))))</f>
        <v>26-35</v>
      </c>
      <c r="AF1389">
        <f>IF(HR_Data[[#This Row],[Age]]&lt;=25,1,IF(HR_Data[[#This Row],[Age]]&lt;=35,2,IF(HR_Data[[#This Row],[Age]]&lt;=45,3,IF(HR_Data[[#This Row],[Age]]&lt;=55,4,5))))</f>
        <v>2</v>
      </c>
      <c r="AG1389" s="1" t="str">
        <f>IF(HR_Data[[#This Row],[MonthlyIncome]]&lt;3000,"&lt;3K",IF(HR_Data[[#This Row],[MonthlyIncome]]&lt;6000,"3K-6K",IF(HR_Data[[#This Row],[MonthlyIncome]]&lt;10000,"6K-10K","10K+")))</f>
        <v>3K-6K</v>
      </c>
      <c r="AH1389" s="1">
        <f>IF(HR_Data[[#This Row],[MonthlyIncome]]&lt;3000,1,IF(HR_Data[[#This Row],[MonthlyIncome]]&lt;6000,2,IF(HR_Data[[#This Row],[MonthlyIncome]]&lt;10000,3,4)))</f>
        <v>2</v>
      </c>
      <c r="AI1389" s="1" t="str">
        <f>IF(HR_Data[[#This Row],[YearsAtCompany]]&lt;=2,"0-2 Yrs",IF(HR_Data[[#This Row],[YearsAtCompany]]&lt;=5,"3-5 Yrs",IF(HR_Data[[#This Row],[YearsAtCompany]]&lt;=10,"6-10 Yrs","10+ Yrs")))</f>
        <v>3-5 Yrs</v>
      </c>
      <c r="AJ1389" s="1">
        <f>IF(HR_Data[[#This Row],[YearsAtCompany]]&lt;=2,1,IF(HR_Data[[#This Row],[YearsAtCompany]]&lt;=5,2,IF(HR_Data[[#This Row],[YearsAtCompany]]&lt;=10,3,4)))</f>
        <v>2</v>
      </c>
      <c r="AK1389" s="1" t="str">
        <f>CHOOSE(HR_Data[[#This Row],[Education]],"Below College","College","Bachelor","Master","Doctor")</f>
        <v>Bachelor</v>
      </c>
      <c r="AL1389" s="1" t="str">
        <f>CHOOSE(HR_Data[[#This Row],[JobSatisfaction]],"Low","Medium","High","Very High")</f>
        <v>Low</v>
      </c>
      <c r="AM1389" s="1" t="str">
        <f>CHOOSE(HR_Data[[#This Row],[EnvironmentSatisfaction]],"Low","Medium","High","Very High")</f>
        <v>Low</v>
      </c>
      <c r="AN1389" s="1" t="str">
        <f>CHOOSE(HR_Data[[#This Row],[WorkLifeBalance]],"Bad","Good","Better","Best")</f>
        <v>Good</v>
      </c>
      <c r="AO1389" s="1" t="str">
        <f>IF(HR_Data[[#This Row],[PercentSalaryHike]]&lt;=13,"11-13%",IF(HR_Data[[#This Row],[PercentSalaryHike]]&lt;=16,"14-16%",IF(HR_Data[[#This Row],[PercentSalaryHike]]&lt;=19,"17-19%","20-25%")))</f>
        <v>11-13%</v>
      </c>
      <c r="AP1389" s="1">
        <f>IF(HR_Data[[#This Row],[PercentSalaryHike]]&lt;=13,1,IF(HR_Data[[#This Row],[PercentSalaryHike]]&lt;=16,2,IF(HR_Data[[#This Row],[PercentSalaryHike]]&lt;=19,3,4)))</f>
        <v>1</v>
      </c>
      <c r="AQ1389" s="1" t="str">
        <f>IF(HR_Data[[#This Row],[DistanceFromHome]]&lt;=5,"1 to 5",IF(HR_Data[[#This Row],[DistanceFromHome]]&lt;=10,"6 to 10",IF(HR_Data[[#This Row],[DistanceFromHome]]&lt;=20,"11 to 20","21 to 29")))</f>
        <v>1 to 5</v>
      </c>
      <c r="AR1389" s="1">
        <f>IF(HR_Data[[#This Row],[DistanceFromHome]]&lt;=5,1,IF(HR_Data[[#This Row],[DistanceFromHome]]&lt;=10,2,IF(HR_Data[[#This Row],[DistanceFromHome]]&lt;=20,3,4)))</f>
        <v>1</v>
      </c>
      <c r="AS1389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389" s="1">
        <f>IF(HR_Data[[#This Row],[TotalWorkingYears]]&lt;=5,1,IF(HR_Data[[#This Row],[TotalWorkingYears]]&lt;=10,2,IF(HR_Data[[#This Row],[TotalWorkingYears]]&lt;=20,3,4)))</f>
        <v>2</v>
      </c>
    </row>
    <row r="1390" spans="1:46" x14ac:dyDescent="0.25">
      <c r="A1390">
        <v>32</v>
      </c>
      <c r="B1390" t="s">
        <v>36</v>
      </c>
      <c r="C1390" t="s">
        <v>48</v>
      </c>
      <c r="D1390" t="s">
        <v>38</v>
      </c>
      <c r="E1390">
        <v>15</v>
      </c>
      <c r="F1390">
        <v>4</v>
      </c>
      <c r="G1390" t="s">
        <v>44</v>
      </c>
      <c r="H1390">
        <v>1955</v>
      </c>
      <c r="I1390">
        <v>3</v>
      </c>
      <c r="J1390" t="s">
        <v>33</v>
      </c>
      <c r="K1390">
        <v>3</v>
      </c>
      <c r="L1390">
        <v>2</v>
      </c>
      <c r="M1390" t="s">
        <v>47</v>
      </c>
      <c r="N1390">
        <v>4</v>
      </c>
      <c r="O1390" t="s">
        <v>45</v>
      </c>
      <c r="P1390">
        <v>6667</v>
      </c>
      <c r="Q1390">
        <v>5</v>
      </c>
      <c r="R1390" t="s">
        <v>36</v>
      </c>
      <c r="S1390">
        <v>18</v>
      </c>
      <c r="T1390">
        <v>3</v>
      </c>
      <c r="U1390">
        <v>2</v>
      </c>
      <c r="V1390">
        <v>1</v>
      </c>
      <c r="W1390">
        <v>9</v>
      </c>
      <c r="X1390">
        <v>6</v>
      </c>
      <c r="Y1390">
        <v>3</v>
      </c>
      <c r="Z1390">
        <v>5</v>
      </c>
      <c r="AA1390">
        <v>1</v>
      </c>
      <c r="AB1390">
        <v>1</v>
      </c>
      <c r="AC1390">
        <v>2</v>
      </c>
      <c r="AD1390">
        <f>IF(HR_Data[[#This Row],[Attrition]]="Yes",1,0)</f>
        <v>0</v>
      </c>
      <c r="AE1390" t="str">
        <f>IF(HR_Data[[#This Row],[Age]]&lt;=25,"18-25",IF(HR_Data[[#This Row],[Age]]&lt;=35,"26-35",IF(HR_Data[[#This Row],[Age]]&lt;=45,"36-45",IF(HR_Data[[#This Row],[Age]]&lt;=55,"46-55","55+"))))</f>
        <v>26-35</v>
      </c>
      <c r="AF1390">
        <f>IF(HR_Data[[#This Row],[Age]]&lt;=25,1,IF(HR_Data[[#This Row],[Age]]&lt;=35,2,IF(HR_Data[[#This Row],[Age]]&lt;=45,3,IF(HR_Data[[#This Row],[Age]]&lt;=55,4,5))))</f>
        <v>2</v>
      </c>
      <c r="AG1390" s="1" t="str">
        <f>IF(HR_Data[[#This Row],[MonthlyIncome]]&lt;3000,"&lt;3K",IF(HR_Data[[#This Row],[MonthlyIncome]]&lt;6000,"3K-6K",IF(HR_Data[[#This Row],[MonthlyIncome]]&lt;10000,"6K-10K","10K+")))</f>
        <v>6K-10K</v>
      </c>
      <c r="AH1390" s="1">
        <f>IF(HR_Data[[#This Row],[MonthlyIncome]]&lt;3000,1,IF(HR_Data[[#This Row],[MonthlyIncome]]&lt;6000,2,IF(HR_Data[[#This Row],[MonthlyIncome]]&lt;10000,3,4)))</f>
        <v>3</v>
      </c>
      <c r="AI1390" s="1" t="str">
        <f>IF(HR_Data[[#This Row],[YearsAtCompany]]&lt;=2,"0-2 Yrs",IF(HR_Data[[#This Row],[YearsAtCompany]]&lt;=5,"3-5 Yrs",IF(HR_Data[[#This Row],[YearsAtCompany]]&lt;=10,"6-10 Yrs","10+ Yrs")))</f>
        <v>3-5 Yrs</v>
      </c>
      <c r="AJ1390" s="1">
        <f>IF(HR_Data[[#This Row],[YearsAtCompany]]&lt;=2,1,IF(HR_Data[[#This Row],[YearsAtCompany]]&lt;=5,2,IF(HR_Data[[#This Row],[YearsAtCompany]]&lt;=10,3,4)))</f>
        <v>2</v>
      </c>
      <c r="AK1390" s="1" t="str">
        <f>CHOOSE(HR_Data[[#This Row],[Education]],"Below College","College","Bachelor","Master","Doctor")</f>
        <v>Master</v>
      </c>
      <c r="AL1390" s="1" t="str">
        <f>CHOOSE(HR_Data[[#This Row],[JobSatisfaction]],"Low","Medium","High","Very High")</f>
        <v>Very High</v>
      </c>
      <c r="AM1390" s="1" t="str">
        <f>CHOOSE(HR_Data[[#This Row],[EnvironmentSatisfaction]],"Low","Medium","High","Very High")</f>
        <v>High</v>
      </c>
      <c r="AN1390" s="1" t="str">
        <f>CHOOSE(HR_Data[[#This Row],[WorkLifeBalance]],"Bad","Good","Better","Best")</f>
        <v>Better</v>
      </c>
      <c r="AO1390" s="1" t="str">
        <f>IF(HR_Data[[#This Row],[PercentSalaryHike]]&lt;=13,"11-13%",IF(HR_Data[[#This Row],[PercentSalaryHike]]&lt;=16,"14-16%",IF(HR_Data[[#This Row],[PercentSalaryHike]]&lt;=19,"17-19%","20-25%")))</f>
        <v>17-19%</v>
      </c>
      <c r="AP1390" s="1">
        <f>IF(HR_Data[[#This Row],[PercentSalaryHike]]&lt;=13,1,IF(HR_Data[[#This Row],[PercentSalaryHike]]&lt;=16,2,IF(HR_Data[[#This Row],[PercentSalaryHike]]&lt;=19,3,4)))</f>
        <v>3</v>
      </c>
      <c r="AQ1390" s="1" t="str">
        <f>IF(HR_Data[[#This Row],[DistanceFromHome]]&lt;=5,"1 to 5",IF(HR_Data[[#This Row],[DistanceFromHome]]&lt;=10,"6 to 10",IF(HR_Data[[#This Row],[DistanceFromHome]]&lt;=20,"11 to 20","21 to 29")))</f>
        <v>11 to 20</v>
      </c>
      <c r="AR1390" s="1">
        <f>IF(HR_Data[[#This Row],[DistanceFromHome]]&lt;=5,1,IF(HR_Data[[#This Row],[DistanceFromHome]]&lt;=10,2,IF(HR_Data[[#This Row],[DistanceFromHome]]&lt;=20,3,4)))</f>
        <v>3</v>
      </c>
      <c r="AS1390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390" s="1">
        <f>IF(HR_Data[[#This Row],[TotalWorkingYears]]&lt;=5,1,IF(HR_Data[[#This Row],[TotalWorkingYears]]&lt;=10,2,IF(HR_Data[[#This Row],[TotalWorkingYears]]&lt;=20,3,4)))</f>
        <v>2</v>
      </c>
    </row>
    <row r="1391" spans="1:46" x14ac:dyDescent="0.25">
      <c r="A1391">
        <v>31</v>
      </c>
      <c r="B1391" t="s">
        <v>36</v>
      </c>
      <c r="C1391" t="s">
        <v>37</v>
      </c>
      <c r="D1391" t="s">
        <v>38</v>
      </c>
      <c r="E1391">
        <v>1</v>
      </c>
      <c r="F1391">
        <v>3</v>
      </c>
      <c r="G1391" t="s">
        <v>32</v>
      </c>
      <c r="H1391">
        <v>1956</v>
      </c>
      <c r="I1391">
        <v>4</v>
      </c>
      <c r="J1391" t="s">
        <v>39</v>
      </c>
      <c r="K1391">
        <v>1</v>
      </c>
      <c r="L1391">
        <v>2</v>
      </c>
      <c r="M1391" t="s">
        <v>40</v>
      </c>
      <c r="N1391">
        <v>1</v>
      </c>
      <c r="O1391" t="s">
        <v>41</v>
      </c>
      <c r="P1391">
        <v>5003</v>
      </c>
      <c r="Q1391">
        <v>1</v>
      </c>
      <c r="R1391" t="s">
        <v>36</v>
      </c>
      <c r="S1391">
        <v>21</v>
      </c>
      <c r="T1391">
        <v>4</v>
      </c>
      <c r="U1391">
        <v>2</v>
      </c>
      <c r="V1391">
        <v>0</v>
      </c>
      <c r="W1391">
        <v>10</v>
      </c>
      <c r="X1391">
        <v>6</v>
      </c>
      <c r="Y1391">
        <v>3</v>
      </c>
      <c r="Z1391">
        <v>10</v>
      </c>
      <c r="AA1391">
        <v>8</v>
      </c>
      <c r="AB1391">
        <v>8</v>
      </c>
      <c r="AC1391">
        <v>7</v>
      </c>
      <c r="AD1391">
        <f>IF(HR_Data[[#This Row],[Attrition]]="Yes",1,0)</f>
        <v>0</v>
      </c>
      <c r="AE1391" t="str">
        <f>IF(HR_Data[[#This Row],[Age]]&lt;=25,"18-25",IF(HR_Data[[#This Row],[Age]]&lt;=35,"26-35",IF(HR_Data[[#This Row],[Age]]&lt;=45,"36-45",IF(HR_Data[[#This Row],[Age]]&lt;=55,"46-55","55+"))))</f>
        <v>26-35</v>
      </c>
      <c r="AF1391">
        <f>IF(HR_Data[[#This Row],[Age]]&lt;=25,1,IF(HR_Data[[#This Row],[Age]]&lt;=35,2,IF(HR_Data[[#This Row],[Age]]&lt;=45,3,IF(HR_Data[[#This Row],[Age]]&lt;=55,4,5))))</f>
        <v>2</v>
      </c>
      <c r="AG1391" s="1" t="str">
        <f>IF(HR_Data[[#This Row],[MonthlyIncome]]&lt;3000,"&lt;3K",IF(HR_Data[[#This Row],[MonthlyIncome]]&lt;6000,"3K-6K",IF(HR_Data[[#This Row],[MonthlyIncome]]&lt;10000,"6K-10K","10K+")))</f>
        <v>3K-6K</v>
      </c>
      <c r="AH1391" s="1">
        <f>IF(HR_Data[[#This Row],[MonthlyIncome]]&lt;3000,1,IF(HR_Data[[#This Row],[MonthlyIncome]]&lt;6000,2,IF(HR_Data[[#This Row],[MonthlyIncome]]&lt;10000,3,4)))</f>
        <v>2</v>
      </c>
      <c r="AI1391" s="1" t="str">
        <f>IF(HR_Data[[#This Row],[YearsAtCompany]]&lt;=2,"0-2 Yrs",IF(HR_Data[[#This Row],[YearsAtCompany]]&lt;=5,"3-5 Yrs",IF(HR_Data[[#This Row],[YearsAtCompany]]&lt;=10,"6-10 Yrs","10+ Yrs")))</f>
        <v>6-10 Yrs</v>
      </c>
      <c r="AJ1391" s="1">
        <f>IF(HR_Data[[#This Row],[YearsAtCompany]]&lt;=2,1,IF(HR_Data[[#This Row],[YearsAtCompany]]&lt;=5,2,IF(HR_Data[[#This Row],[YearsAtCompany]]&lt;=10,3,4)))</f>
        <v>3</v>
      </c>
      <c r="AK1391" s="1" t="str">
        <f>CHOOSE(HR_Data[[#This Row],[Education]],"Below College","College","Bachelor","Master","Doctor")</f>
        <v>Bachelor</v>
      </c>
      <c r="AL1391" s="1" t="str">
        <f>CHOOSE(HR_Data[[#This Row],[JobSatisfaction]],"Low","Medium","High","Very High")</f>
        <v>Low</v>
      </c>
      <c r="AM1391" s="1" t="str">
        <f>CHOOSE(HR_Data[[#This Row],[EnvironmentSatisfaction]],"Low","Medium","High","Very High")</f>
        <v>Very High</v>
      </c>
      <c r="AN1391" s="1" t="str">
        <f>CHOOSE(HR_Data[[#This Row],[WorkLifeBalance]],"Bad","Good","Better","Best")</f>
        <v>Better</v>
      </c>
      <c r="AO1391" s="1" t="str">
        <f>IF(HR_Data[[#This Row],[PercentSalaryHike]]&lt;=13,"11-13%",IF(HR_Data[[#This Row],[PercentSalaryHike]]&lt;=16,"14-16%",IF(HR_Data[[#This Row],[PercentSalaryHike]]&lt;=19,"17-19%","20-25%")))</f>
        <v>20-25%</v>
      </c>
      <c r="AP1391" s="1">
        <f>IF(HR_Data[[#This Row],[PercentSalaryHike]]&lt;=13,1,IF(HR_Data[[#This Row],[PercentSalaryHike]]&lt;=16,2,IF(HR_Data[[#This Row],[PercentSalaryHike]]&lt;=19,3,4)))</f>
        <v>4</v>
      </c>
      <c r="AQ1391" s="1" t="str">
        <f>IF(HR_Data[[#This Row],[DistanceFromHome]]&lt;=5,"1 to 5",IF(HR_Data[[#This Row],[DistanceFromHome]]&lt;=10,"6 to 10",IF(HR_Data[[#This Row],[DistanceFromHome]]&lt;=20,"11 to 20","21 to 29")))</f>
        <v>1 to 5</v>
      </c>
      <c r="AR1391" s="1">
        <f>IF(HR_Data[[#This Row],[DistanceFromHome]]&lt;=5,1,IF(HR_Data[[#This Row],[DistanceFromHome]]&lt;=10,2,IF(HR_Data[[#This Row],[DistanceFromHome]]&lt;=20,3,4)))</f>
        <v>1</v>
      </c>
      <c r="AS1391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391" s="1">
        <f>IF(HR_Data[[#This Row],[TotalWorkingYears]]&lt;=5,1,IF(HR_Data[[#This Row],[TotalWorkingYears]]&lt;=10,2,IF(HR_Data[[#This Row],[TotalWorkingYears]]&lt;=20,3,4)))</f>
        <v>2</v>
      </c>
    </row>
    <row r="1392" spans="1:46" x14ac:dyDescent="0.25">
      <c r="A1392">
        <v>28</v>
      </c>
      <c r="B1392" t="s">
        <v>29</v>
      </c>
      <c r="C1392" t="s">
        <v>30</v>
      </c>
      <c r="D1392" t="s">
        <v>38</v>
      </c>
      <c r="E1392">
        <v>17</v>
      </c>
      <c r="F1392">
        <v>3</v>
      </c>
      <c r="G1392" t="s">
        <v>53</v>
      </c>
      <c r="H1392">
        <v>1960</v>
      </c>
      <c r="I1392">
        <v>3</v>
      </c>
      <c r="J1392" t="s">
        <v>39</v>
      </c>
      <c r="K1392">
        <v>2</v>
      </c>
      <c r="L1392">
        <v>1</v>
      </c>
      <c r="M1392" t="s">
        <v>43</v>
      </c>
      <c r="N1392">
        <v>4</v>
      </c>
      <c r="O1392" t="s">
        <v>45</v>
      </c>
      <c r="P1392">
        <v>2367</v>
      </c>
      <c r="Q1392">
        <v>5</v>
      </c>
      <c r="R1392" t="s">
        <v>36</v>
      </c>
      <c r="S1392">
        <v>12</v>
      </c>
      <c r="T1392">
        <v>3</v>
      </c>
      <c r="U1392">
        <v>1</v>
      </c>
      <c r="V1392">
        <v>1</v>
      </c>
      <c r="W1392">
        <v>6</v>
      </c>
      <c r="X1392">
        <v>2</v>
      </c>
      <c r="Y1392">
        <v>2</v>
      </c>
      <c r="Z1392">
        <v>4</v>
      </c>
      <c r="AA1392">
        <v>1</v>
      </c>
      <c r="AB1392">
        <v>0</v>
      </c>
      <c r="AC1392">
        <v>3</v>
      </c>
      <c r="AD1392">
        <f>IF(HR_Data[[#This Row],[Attrition]]="Yes",1,0)</f>
        <v>1</v>
      </c>
      <c r="AE1392" t="str">
        <f>IF(HR_Data[[#This Row],[Age]]&lt;=25,"18-25",IF(HR_Data[[#This Row],[Age]]&lt;=35,"26-35",IF(HR_Data[[#This Row],[Age]]&lt;=45,"36-45",IF(HR_Data[[#This Row],[Age]]&lt;=55,"46-55","55+"))))</f>
        <v>26-35</v>
      </c>
      <c r="AF1392">
        <f>IF(HR_Data[[#This Row],[Age]]&lt;=25,1,IF(HR_Data[[#This Row],[Age]]&lt;=35,2,IF(HR_Data[[#This Row],[Age]]&lt;=45,3,IF(HR_Data[[#This Row],[Age]]&lt;=55,4,5))))</f>
        <v>2</v>
      </c>
      <c r="AG1392" s="1" t="str">
        <f>IF(HR_Data[[#This Row],[MonthlyIncome]]&lt;3000,"&lt;3K",IF(HR_Data[[#This Row],[MonthlyIncome]]&lt;6000,"3K-6K",IF(HR_Data[[#This Row],[MonthlyIncome]]&lt;10000,"6K-10K","10K+")))</f>
        <v>&lt;3K</v>
      </c>
      <c r="AH1392" s="1">
        <f>IF(HR_Data[[#This Row],[MonthlyIncome]]&lt;3000,1,IF(HR_Data[[#This Row],[MonthlyIncome]]&lt;6000,2,IF(HR_Data[[#This Row],[MonthlyIncome]]&lt;10000,3,4)))</f>
        <v>1</v>
      </c>
      <c r="AI1392" s="1" t="str">
        <f>IF(HR_Data[[#This Row],[YearsAtCompany]]&lt;=2,"0-2 Yrs",IF(HR_Data[[#This Row],[YearsAtCompany]]&lt;=5,"3-5 Yrs",IF(HR_Data[[#This Row],[YearsAtCompany]]&lt;=10,"6-10 Yrs","10+ Yrs")))</f>
        <v>3-5 Yrs</v>
      </c>
      <c r="AJ1392" s="1">
        <f>IF(HR_Data[[#This Row],[YearsAtCompany]]&lt;=2,1,IF(HR_Data[[#This Row],[YearsAtCompany]]&lt;=5,2,IF(HR_Data[[#This Row],[YearsAtCompany]]&lt;=10,3,4)))</f>
        <v>2</v>
      </c>
      <c r="AK1392" s="1" t="str">
        <f>CHOOSE(HR_Data[[#This Row],[Education]],"Below College","College","Bachelor","Master","Doctor")</f>
        <v>Bachelor</v>
      </c>
      <c r="AL1392" s="1" t="str">
        <f>CHOOSE(HR_Data[[#This Row],[JobSatisfaction]],"Low","Medium","High","Very High")</f>
        <v>Very High</v>
      </c>
      <c r="AM1392" s="1" t="str">
        <f>CHOOSE(HR_Data[[#This Row],[EnvironmentSatisfaction]],"Low","Medium","High","Very High")</f>
        <v>High</v>
      </c>
      <c r="AN1392" s="1" t="str">
        <f>CHOOSE(HR_Data[[#This Row],[WorkLifeBalance]],"Bad","Good","Better","Best")</f>
        <v>Good</v>
      </c>
      <c r="AO1392" s="1" t="str">
        <f>IF(HR_Data[[#This Row],[PercentSalaryHike]]&lt;=13,"11-13%",IF(HR_Data[[#This Row],[PercentSalaryHike]]&lt;=16,"14-16%",IF(HR_Data[[#This Row],[PercentSalaryHike]]&lt;=19,"17-19%","20-25%")))</f>
        <v>11-13%</v>
      </c>
      <c r="AP1392" s="1">
        <f>IF(HR_Data[[#This Row],[PercentSalaryHike]]&lt;=13,1,IF(HR_Data[[#This Row],[PercentSalaryHike]]&lt;=16,2,IF(HR_Data[[#This Row],[PercentSalaryHike]]&lt;=19,3,4)))</f>
        <v>1</v>
      </c>
      <c r="AQ1392" s="1" t="str">
        <f>IF(HR_Data[[#This Row],[DistanceFromHome]]&lt;=5,"1 to 5",IF(HR_Data[[#This Row],[DistanceFromHome]]&lt;=10,"6 to 10",IF(HR_Data[[#This Row],[DistanceFromHome]]&lt;=20,"11 to 20","21 to 29")))</f>
        <v>11 to 20</v>
      </c>
      <c r="AR1392" s="1">
        <f>IF(HR_Data[[#This Row],[DistanceFromHome]]&lt;=5,1,IF(HR_Data[[#This Row],[DistanceFromHome]]&lt;=10,2,IF(HR_Data[[#This Row],[DistanceFromHome]]&lt;=20,3,4)))</f>
        <v>3</v>
      </c>
      <c r="AS1392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392" s="1">
        <f>IF(HR_Data[[#This Row],[TotalWorkingYears]]&lt;=5,1,IF(HR_Data[[#This Row],[TotalWorkingYears]]&lt;=10,2,IF(HR_Data[[#This Row],[TotalWorkingYears]]&lt;=20,3,4)))</f>
        <v>2</v>
      </c>
    </row>
    <row r="1393" spans="1:46" x14ac:dyDescent="0.25">
      <c r="A1393">
        <v>38</v>
      </c>
      <c r="B1393" t="s">
        <v>36</v>
      </c>
      <c r="C1393" t="s">
        <v>30</v>
      </c>
      <c r="D1393" t="s">
        <v>31</v>
      </c>
      <c r="E1393">
        <v>1</v>
      </c>
      <c r="F1393">
        <v>3</v>
      </c>
      <c r="G1393" t="s">
        <v>32</v>
      </c>
      <c r="H1393">
        <v>1961</v>
      </c>
      <c r="I1393">
        <v>1</v>
      </c>
      <c r="J1393" t="s">
        <v>39</v>
      </c>
      <c r="K1393">
        <v>2</v>
      </c>
      <c r="L1393">
        <v>1</v>
      </c>
      <c r="M1393" t="s">
        <v>50</v>
      </c>
      <c r="N1393">
        <v>1</v>
      </c>
      <c r="O1393" t="s">
        <v>35</v>
      </c>
      <c r="P1393">
        <v>2858</v>
      </c>
      <c r="Q1393">
        <v>4</v>
      </c>
      <c r="R1393" t="s">
        <v>36</v>
      </c>
      <c r="S1393">
        <v>14</v>
      </c>
      <c r="T1393">
        <v>3</v>
      </c>
      <c r="U1393">
        <v>1</v>
      </c>
      <c r="V1393">
        <v>0</v>
      </c>
      <c r="W1393">
        <v>20</v>
      </c>
      <c r="X1393">
        <v>3</v>
      </c>
      <c r="Y1393">
        <v>2</v>
      </c>
      <c r="Z1393">
        <v>1</v>
      </c>
      <c r="AA1393">
        <v>0</v>
      </c>
      <c r="AB1393">
        <v>0</v>
      </c>
      <c r="AC1393">
        <v>0</v>
      </c>
      <c r="AD1393">
        <f>IF(HR_Data[[#This Row],[Attrition]]="Yes",1,0)</f>
        <v>0</v>
      </c>
      <c r="AE1393" t="str">
        <f>IF(HR_Data[[#This Row],[Age]]&lt;=25,"18-25",IF(HR_Data[[#This Row],[Age]]&lt;=35,"26-35",IF(HR_Data[[#This Row],[Age]]&lt;=45,"36-45",IF(HR_Data[[#This Row],[Age]]&lt;=55,"46-55","55+"))))</f>
        <v>36-45</v>
      </c>
      <c r="AF1393">
        <f>IF(HR_Data[[#This Row],[Age]]&lt;=25,1,IF(HR_Data[[#This Row],[Age]]&lt;=35,2,IF(HR_Data[[#This Row],[Age]]&lt;=45,3,IF(HR_Data[[#This Row],[Age]]&lt;=55,4,5))))</f>
        <v>3</v>
      </c>
      <c r="AG1393" s="1" t="str">
        <f>IF(HR_Data[[#This Row],[MonthlyIncome]]&lt;3000,"&lt;3K",IF(HR_Data[[#This Row],[MonthlyIncome]]&lt;6000,"3K-6K",IF(HR_Data[[#This Row],[MonthlyIncome]]&lt;10000,"6K-10K","10K+")))</f>
        <v>&lt;3K</v>
      </c>
      <c r="AH1393" s="1">
        <f>IF(HR_Data[[#This Row],[MonthlyIncome]]&lt;3000,1,IF(HR_Data[[#This Row],[MonthlyIncome]]&lt;6000,2,IF(HR_Data[[#This Row],[MonthlyIncome]]&lt;10000,3,4)))</f>
        <v>1</v>
      </c>
      <c r="AI1393" s="1" t="str">
        <f>IF(HR_Data[[#This Row],[YearsAtCompany]]&lt;=2,"0-2 Yrs",IF(HR_Data[[#This Row],[YearsAtCompany]]&lt;=5,"3-5 Yrs",IF(HR_Data[[#This Row],[YearsAtCompany]]&lt;=10,"6-10 Yrs","10+ Yrs")))</f>
        <v>0-2 Yrs</v>
      </c>
      <c r="AJ1393" s="1">
        <f>IF(HR_Data[[#This Row],[YearsAtCompany]]&lt;=2,1,IF(HR_Data[[#This Row],[YearsAtCompany]]&lt;=5,2,IF(HR_Data[[#This Row],[YearsAtCompany]]&lt;=10,3,4)))</f>
        <v>1</v>
      </c>
      <c r="AK1393" s="1" t="str">
        <f>CHOOSE(HR_Data[[#This Row],[Education]],"Below College","College","Bachelor","Master","Doctor")</f>
        <v>Bachelor</v>
      </c>
      <c r="AL1393" s="1" t="str">
        <f>CHOOSE(HR_Data[[#This Row],[JobSatisfaction]],"Low","Medium","High","Very High")</f>
        <v>Low</v>
      </c>
      <c r="AM1393" s="1" t="str">
        <f>CHOOSE(HR_Data[[#This Row],[EnvironmentSatisfaction]],"Low","Medium","High","Very High")</f>
        <v>Low</v>
      </c>
      <c r="AN1393" s="1" t="str">
        <f>CHOOSE(HR_Data[[#This Row],[WorkLifeBalance]],"Bad","Good","Better","Best")</f>
        <v>Good</v>
      </c>
      <c r="AO1393" s="1" t="str">
        <f>IF(HR_Data[[#This Row],[PercentSalaryHike]]&lt;=13,"11-13%",IF(HR_Data[[#This Row],[PercentSalaryHike]]&lt;=16,"14-16%",IF(HR_Data[[#This Row],[PercentSalaryHike]]&lt;=19,"17-19%","20-25%")))</f>
        <v>14-16%</v>
      </c>
      <c r="AP1393" s="1">
        <f>IF(HR_Data[[#This Row],[PercentSalaryHike]]&lt;=13,1,IF(HR_Data[[#This Row],[PercentSalaryHike]]&lt;=16,2,IF(HR_Data[[#This Row],[PercentSalaryHike]]&lt;=19,3,4)))</f>
        <v>2</v>
      </c>
      <c r="AQ1393" s="1" t="str">
        <f>IF(HR_Data[[#This Row],[DistanceFromHome]]&lt;=5,"1 to 5",IF(HR_Data[[#This Row],[DistanceFromHome]]&lt;=10,"6 to 10",IF(HR_Data[[#This Row],[DistanceFromHome]]&lt;=20,"11 to 20","21 to 29")))</f>
        <v>1 to 5</v>
      </c>
      <c r="AR1393" s="1">
        <f>IF(HR_Data[[#This Row],[DistanceFromHome]]&lt;=5,1,IF(HR_Data[[#This Row],[DistanceFromHome]]&lt;=10,2,IF(HR_Data[[#This Row],[DistanceFromHome]]&lt;=20,3,4)))</f>
        <v>1</v>
      </c>
      <c r="AS1393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393" s="1">
        <f>IF(HR_Data[[#This Row],[TotalWorkingYears]]&lt;=5,1,IF(HR_Data[[#This Row],[TotalWorkingYears]]&lt;=10,2,IF(HR_Data[[#This Row],[TotalWorkingYears]]&lt;=20,3,4)))</f>
        <v>3</v>
      </c>
    </row>
    <row r="1394" spans="1:46" x14ac:dyDescent="0.25">
      <c r="A1394">
        <v>35</v>
      </c>
      <c r="B1394" t="s">
        <v>36</v>
      </c>
      <c r="C1394" t="s">
        <v>30</v>
      </c>
      <c r="D1394" t="s">
        <v>31</v>
      </c>
      <c r="E1394">
        <v>7</v>
      </c>
      <c r="F1394">
        <v>4</v>
      </c>
      <c r="G1394" t="s">
        <v>32</v>
      </c>
      <c r="H1394">
        <v>1962</v>
      </c>
      <c r="I1394">
        <v>3</v>
      </c>
      <c r="J1394" t="s">
        <v>33</v>
      </c>
      <c r="K1394">
        <v>3</v>
      </c>
      <c r="L1394">
        <v>2</v>
      </c>
      <c r="M1394" t="s">
        <v>34</v>
      </c>
      <c r="N1394">
        <v>4</v>
      </c>
      <c r="O1394" t="s">
        <v>41</v>
      </c>
      <c r="P1394">
        <v>5204</v>
      </c>
      <c r="Q1394">
        <v>1</v>
      </c>
      <c r="R1394" t="s">
        <v>29</v>
      </c>
      <c r="S1394">
        <v>11</v>
      </c>
      <c r="T1394">
        <v>3</v>
      </c>
      <c r="U1394">
        <v>4</v>
      </c>
      <c r="V1394">
        <v>0</v>
      </c>
      <c r="W1394">
        <v>10</v>
      </c>
      <c r="X1394">
        <v>2</v>
      </c>
      <c r="Y1394">
        <v>3</v>
      </c>
      <c r="Z1394">
        <v>10</v>
      </c>
      <c r="AA1394">
        <v>8</v>
      </c>
      <c r="AB1394">
        <v>0</v>
      </c>
      <c r="AC1394">
        <v>9</v>
      </c>
      <c r="AD1394">
        <f>IF(HR_Data[[#This Row],[Attrition]]="Yes",1,0)</f>
        <v>0</v>
      </c>
      <c r="AE1394" t="str">
        <f>IF(HR_Data[[#This Row],[Age]]&lt;=25,"18-25",IF(HR_Data[[#This Row],[Age]]&lt;=35,"26-35",IF(HR_Data[[#This Row],[Age]]&lt;=45,"36-45",IF(HR_Data[[#This Row],[Age]]&lt;=55,"46-55","55+"))))</f>
        <v>26-35</v>
      </c>
      <c r="AF1394">
        <f>IF(HR_Data[[#This Row],[Age]]&lt;=25,1,IF(HR_Data[[#This Row],[Age]]&lt;=35,2,IF(HR_Data[[#This Row],[Age]]&lt;=45,3,IF(HR_Data[[#This Row],[Age]]&lt;=55,4,5))))</f>
        <v>2</v>
      </c>
      <c r="AG1394" s="1" t="str">
        <f>IF(HR_Data[[#This Row],[MonthlyIncome]]&lt;3000,"&lt;3K",IF(HR_Data[[#This Row],[MonthlyIncome]]&lt;6000,"3K-6K",IF(HR_Data[[#This Row],[MonthlyIncome]]&lt;10000,"6K-10K","10K+")))</f>
        <v>3K-6K</v>
      </c>
      <c r="AH1394" s="1">
        <f>IF(HR_Data[[#This Row],[MonthlyIncome]]&lt;3000,1,IF(HR_Data[[#This Row],[MonthlyIncome]]&lt;6000,2,IF(HR_Data[[#This Row],[MonthlyIncome]]&lt;10000,3,4)))</f>
        <v>2</v>
      </c>
      <c r="AI1394" s="1" t="str">
        <f>IF(HR_Data[[#This Row],[YearsAtCompany]]&lt;=2,"0-2 Yrs",IF(HR_Data[[#This Row],[YearsAtCompany]]&lt;=5,"3-5 Yrs",IF(HR_Data[[#This Row],[YearsAtCompany]]&lt;=10,"6-10 Yrs","10+ Yrs")))</f>
        <v>6-10 Yrs</v>
      </c>
      <c r="AJ1394" s="1">
        <f>IF(HR_Data[[#This Row],[YearsAtCompany]]&lt;=2,1,IF(HR_Data[[#This Row],[YearsAtCompany]]&lt;=5,2,IF(HR_Data[[#This Row],[YearsAtCompany]]&lt;=10,3,4)))</f>
        <v>3</v>
      </c>
      <c r="AK1394" s="1" t="str">
        <f>CHOOSE(HR_Data[[#This Row],[Education]],"Below College","College","Bachelor","Master","Doctor")</f>
        <v>Master</v>
      </c>
      <c r="AL1394" s="1" t="str">
        <f>CHOOSE(HR_Data[[#This Row],[JobSatisfaction]],"Low","Medium","High","Very High")</f>
        <v>Very High</v>
      </c>
      <c r="AM1394" s="1" t="str">
        <f>CHOOSE(HR_Data[[#This Row],[EnvironmentSatisfaction]],"Low","Medium","High","Very High")</f>
        <v>High</v>
      </c>
      <c r="AN1394" s="1" t="str">
        <f>CHOOSE(HR_Data[[#This Row],[WorkLifeBalance]],"Bad","Good","Better","Best")</f>
        <v>Better</v>
      </c>
      <c r="AO1394" s="1" t="str">
        <f>IF(HR_Data[[#This Row],[PercentSalaryHike]]&lt;=13,"11-13%",IF(HR_Data[[#This Row],[PercentSalaryHike]]&lt;=16,"14-16%",IF(HR_Data[[#This Row],[PercentSalaryHike]]&lt;=19,"17-19%","20-25%")))</f>
        <v>11-13%</v>
      </c>
      <c r="AP1394" s="1">
        <f>IF(HR_Data[[#This Row],[PercentSalaryHike]]&lt;=13,1,IF(HR_Data[[#This Row],[PercentSalaryHike]]&lt;=16,2,IF(HR_Data[[#This Row],[PercentSalaryHike]]&lt;=19,3,4)))</f>
        <v>1</v>
      </c>
      <c r="AQ1394" s="1" t="str">
        <f>IF(HR_Data[[#This Row],[DistanceFromHome]]&lt;=5,"1 to 5",IF(HR_Data[[#This Row],[DistanceFromHome]]&lt;=10,"6 to 10",IF(HR_Data[[#This Row],[DistanceFromHome]]&lt;=20,"11 to 20","21 to 29")))</f>
        <v>6 to 10</v>
      </c>
      <c r="AR1394" s="1">
        <f>IF(HR_Data[[#This Row],[DistanceFromHome]]&lt;=5,1,IF(HR_Data[[#This Row],[DistanceFromHome]]&lt;=10,2,IF(HR_Data[[#This Row],[DistanceFromHome]]&lt;=20,3,4)))</f>
        <v>2</v>
      </c>
      <c r="AS1394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394" s="1">
        <f>IF(HR_Data[[#This Row],[TotalWorkingYears]]&lt;=5,1,IF(HR_Data[[#This Row],[TotalWorkingYears]]&lt;=10,2,IF(HR_Data[[#This Row],[TotalWorkingYears]]&lt;=20,3,4)))</f>
        <v>2</v>
      </c>
    </row>
    <row r="1395" spans="1:46" x14ac:dyDescent="0.25">
      <c r="A1395">
        <v>27</v>
      </c>
      <c r="B1395" t="s">
        <v>36</v>
      </c>
      <c r="C1395" t="s">
        <v>30</v>
      </c>
      <c r="D1395" t="s">
        <v>31</v>
      </c>
      <c r="E1395">
        <v>9</v>
      </c>
      <c r="F1395">
        <v>3</v>
      </c>
      <c r="G1395" t="s">
        <v>52</v>
      </c>
      <c r="H1395">
        <v>1965</v>
      </c>
      <c r="I1395">
        <v>4</v>
      </c>
      <c r="J1395" t="s">
        <v>39</v>
      </c>
      <c r="K1395">
        <v>3</v>
      </c>
      <c r="L1395">
        <v>2</v>
      </c>
      <c r="M1395" t="s">
        <v>34</v>
      </c>
      <c r="N1395">
        <v>4</v>
      </c>
      <c r="O1395" t="s">
        <v>35</v>
      </c>
      <c r="P1395">
        <v>4105</v>
      </c>
      <c r="Q1395">
        <v>1</v>
      </c>
      <c r="R1395" t="s">
        <v>36</v>
      </c>
      <c r="S1395">
        <v>14</v>
      </c>
      <c r="T1395">
        <v>3</v>
      </c>
      <c r="U1395">
        <v>1</v>
      </c>
      <c r="V1395">
        <v>0</v>
      </c>
      <c r="W1395">
        <v>7</v>
      </c>
      <c r="X1395">
        <v>5</v>
      </c>
      <c r="Y1395">
        <v>3</v>
      </c>
      <c r="Z1395">
        <v>7</v>
      </c>
      <c r="AA1395">
        <v>7</v>
      </c>
      <c r="AB1395">
        <v>0</v>
      </c>
      <c r="AC1395">
        <v>7</v>
      </c>
      <c r="AD1395">
        <f>IF(HR_Data[[#This Row],[Attrition]]="Yes",1,0)</f>
        <v>0</v>
      </c>
      <c r="AE1395" t="str">
        <f>IF(HR_Data[[#This Row],[Age]]&lt;=25,"18-25",IF(HR_Data[[#This Row],[Age]]&lt;=35,"26-35",IF(HR_Data[[#This Row],[Age]]&lt;=45,"36-45",IF(HR_Data[[#This Row],[Age]]&lt;=55,"46-55","55+"))))</f>
        <v>26-35</v>
      </c>
      <c r="AF1395">
        <f>IF(HR_Data[[#This Row],[Age]]&lt;=25,1,IF(HR_Data[[#This Row],[Age]]&lt;=35,2,IF(HR_Data[[#This Row],[Age]]&lt;=45,3,IF(HR_Data[[#This Row],[Age]]&lt;=55,4,5))))</f>
        <v>2</v>
      </c>
      <c r="AG1395" s="1" t="str">
        <f>IF(HR_Data[[#This Row],[MonthlyIncome]]&lt;3000,"&lt;3K",IF(HR_Data[[#This Row],[MonthlyIncome]]&lt;6000,"3K-6K",IF(HR_Data[[#This Row],[MonthlyIncome]]&lt;10000,"6K-10K","10K+")))</f>
        <v>3K-6K</v>
      </c>
      <c r="AH1395" s="1">
        <f>IF(HR_Data[[#This Row],[MonthlyIncome]]&lt;3000,1,IF(HR_Data[[#This Row],[MonthlyIncome]]&lt;6000,2,IF(HR_Data[[#This Row],[MonthlyIncome]]&lt;10000,3,4)))</f>
        <v>2</v>
      </c>
      <c r="AI1395" s="1" t="str">
        <f>IF(HR_Data[[#This Row],[YearsAtCompany]]&lt;=2,"0-2 Yrs",IF(HR_Data[[#This Row],[YearsAtCompany]]&lt;=5,"3-5 Yrs",IF(HR_Data[[#This Row],[YearsAtCompany]]&lt;=10,"6-10 Yrs","10+ Yrs")))</f>
        <v>6-10 Yrs</v>
      </c>
      <c r="AJ1395" s="1">
        <f>IF(HR_Data[[#This Row],[YearsAtCompany]]&lt;=2,1,IF(HR_Data[[#This Row],[YearsAtCompany]]&lt;=5,2,IF(HR_Data[[#This Row],[YearsAtCompany]]&lt;=10,3,4)))</f>
        <v>3</v>
      </c>
      <c r="AK1395" s="1" t="str">
        <f>CHOOSE(HR_Data[[#This Row],[Education]],"Below College","College","Bachelor","Master","Doctor")</f>
        <v>Bachelor</v>
      </c>
      <c r="AL1395" s="1" t="str">
        <f>CHOOSE(HR_Data[[#This Row],[JobSatisfaction]],"Low","Medium","High","Very High")</f>
        <v>Very High</v>
      </c>
      <c r="AM1395" s="1" t="str">
        <f>CHOOSE(HR_Data[[#This Row],[EnvironmentSatisfaction]],"Low","Medium","High","Very High")</f>
        <v>Very High</v>
      </c>
      <c r="AN1395" s="1" t="str">
        <f>CHOOSE(HR_Data[[#This Row],[WorkLifeBalance]],"Bad","Good","Better","Best")</f>
        <v>Better</v>
      </c>
      <c r="AO1395" s="1" t="str">
        <f>IF(HR_Data[[#This Row],[PercentSalaryHike]]&lt;=13,"11-13%",IF(HR_Data[[#This Row],[PercentSalaryHike]]&lt;=16,"14-16%",IF(HR_Data[[#This Row],[PercentSalaryHike]]&lt;=19,"17-19%","20-25%")))</f>
        <v>14-16%</v>
      </c>
      <c r="AP1395" s="1">
        <f>IF(HR_Data[[#This Row],[PercentSalaryHike]]&lt;=13,1,IF(HR_Data[[#This Row],[PercentSalaryHike]]&lt;=16,2,IF(HR_Data[[#This Row],[PercentSalaryHike]]&lt;=19,3,4)))</f>
        <v>2</v>
      </c>
      <c r="AQ1395" s="1" t="str">
        <f>IF(HR_Data[[#This Row],[DistanceFromHome]]&lt;=5,"1 to 5",IF(HR_Data[[#This Row],[DistanceFromHome]]&lt;=10,"6 to 10",IF(HR_Data[[#This Row],[DistanceFromHome]]&lt;=20,"11 to 20","21 to 29")))</f>
        <v>6 to 10</v>
      </c>
      <c r="AR1395" s="1">
        <f>IF(HR_Data[[#This Row],[DistanceFromHome]]&lt;=5,1,IF(HR_Data[[#This Row],[DistanceFromHome]]&lt;=10,2,IF(HR_Data[[#This Row],[DistanceFromHome]]&lt;=20,3,4)))</f>
        <v>2</v>
      </c>
      <c r="AS1395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395" s="1">
        <f>IF(HR_Data[[#This Row],[TotalWorkingYears]]&lt;=5,1,IF(HR_Data[[#This Row],[TotalWorkingYears]]&lt;=10,2,IF(HR_Data[[#This Row],[TotalWorkingYears]]&lt;=20,3,4)))</f>
        <v>2</v>
      </c>
    </row>
    <row r="1396" spans="1:46" x14ac:dyDescent="0.25">
      <c r="A1396">
        <v>32</v>
      </c>
      <c r="B1396" t="s">
        <v>36</v>
      </c>
      <c r="C1396" t="s">
        <v>30</v>
      </c>
      <c r="D1396" t="s">
        <v>38</v>
      </c>
      <c r="E1396">
        <v>5</v>
      </c>
      <c r="F1396">
        <v>4</v>
      </c>
      <c r="G1396" t="s">
        <v>32</v>
      </c>
      <c r="H1396">
        <v>1966</v>
      </c>
      <c r="I1396">
        <v>4</v>
      </c>
      <c r="J1396" t="s">
        <v>39</v>
      </c>
      <c r="K1396">
        <v>2</v>
      </c>
      <c r="L1396">
        <v>2</v>
      </c>
      <c r="M1396" t="s">
        <v>46</v>
      </c>
      <c r="N1396">
        <v>4</v>
      </c>
      <c r="O1396" t="s">
        <v>35</v>
      </c>
      <c r="P1396">
        <v>9679</v>
      </c>
      <c r="Q1396">
        <v>8</v>
      </c>
      <c r="R1396" t="s">
        <v>36</v>
      </c>
      <c r="S1396">
        <v>24</v>
      </c>
      <c r="T1396">
        <v>4</v>
      </c>
      <c r="U1396">
        <v>2</v>
      </c>
      <c r="V1396">
        <v>0</v>
      </c>
      <c r="W1396">
        <v>8</v>
      </c>
      <c r="X1396">
        <v>1</v>
      </c>
      <c r="Y1396">
        <v>3</v>
      </c>
      <c r="Z1396">
        <v>1</v>
      </c>
      <c r="AA1396">
        <v>0</v>
      </c>
      <c r="AB1396">
        <v>0</v>
      </c>
      <c r="AC1396">
        <v>0</v>
      </c>
      <c r="AD1396">
        <f>IF(HR_Data[[#This Row],[Attrition]]="Yes",1,0)</f>
        <v>0</v>
      </c>
      <c r="AE1396" t="str">
        <f>IF(HR_Data[[#This Row],[Age]]&lt;=25,"18-25",IF(HR_Data[[#This Row],[Age]]&lt;=35,"26-35",IF(HR_Data[[#This Row],[Age]]&lt;=45,"36-45",IF(HR_Data[[#This Row],[Age]]&lt;=55,"46-55","55+"))))</f>
        <v>26-35</v>
      </c>
      <c r="AF1396">
        <f>IF(HR_Data[[#This Row],[Age]]&lt;=25,1,IF(HR_Data[[#This Row],[Age]]&lt;=35,2,IF(HR_Data[[#This Row],[Age]]&lt;=45,3,IF(HR_Data[[#This Row],[Age]]&lt;=55,4,5))))</f>
        <v>2</v>
      </c>
      <c r="AG1396" s="1" t="str">
        <f>IF(HR_Data[[#This Row],[MonthlyIncome]]&lt;3000,"&lt;3K",IF(HR_Data[[#This Row],[MonthlyIncome]]&lt;6000,"3K-6K",IF(HR_Data[[#This Row],[MonthlyIncome]]&lt;10000,"6K-10K","10K+")))</f>
        <v>6K-10K</v>
      </c>
      <c r="AH1396" s="1">
        <f>IF(HR_Data[[#This Row],[MonthlyIncome]]&lt;3000,1,IF(HR_Data[[#This Row],[MonthlyIncome]]&lt;6000,2,IF(HR_Data[[#This Row],[MonthlyIncome]]&lt;10000,3,4)))</f>
        <v>3</v>
      </c>
      <c r="AI1396" s="1" t="str">
        <f>IF(HR_Data[[#This Row],[YearsAtCompany]]&lt;=2,"0-2 Yrs",IF(HR_Data[[#This Row],[YearsAtCompany]]&lt;=5,"3-5 Yrs",IF(HR_Data[[#This Row],[YearsAtCompany]]&lt;=10,"6-10 Yrs","10+ Yrs")))</f>
        <v>0-2 Yrs</v>
      </c>
      <c r="AJ1396" s="1">
        <f>IF(HR_Data[[#This Row],[YearsAtCompany]]&lt;=2,1,IF(HR_Data[[#This Row],[YearsAtCompany]]&lt;=5,2,IF(HR_Data[[#This Row],[YearsAtCompany]]&lt;=10,3,4)))</f>
        <v>1</v>
      </c>
      <c r="AK1396" s="1" t="str">
        <f>CHOOSE(HR_Data[[#This Row],[Education]],"Below College","College","Bachelor","Master","Doctor")</f>
        <v>Master</v>
      </c>
      <c r="AL1396" s="1" t="str">
        <f>CHOOSE(HR_Data[[#This Row],[JobSatisfaction]],"Low","Medium","High","Very High")</f>
        <v>Very High</v>
      </c>
      <c r="AM1396" s="1" t="str">
        <f>CHOOSE(HR_Data[[#This Row],[EnvironmentSatisfaction]],"Low","Medium","High","Very High")</f>
        <v>Very High</v>
      </c>
      <c r="AN1396" s="1" t="str">
        <f>CHOOSE(HR_Data[[#This Row],[WorkLifeBalance]],"Bad","Good","Better","Best")</f>
        <v>Better</v>
      </c>
      <c r="AO1396" s="1" t="str">
        <f>IF(HR_Data[[#This Row],[PercentSalaryHike]]&lt;=13,"11-13%",IF(HR_Data[[#This Row],[PercentSalaryHike]]&lt;=16,"14-16%",IF(HR_Data[[#This Row],[PercentSalaryHike]]&lt;=19,"17-19%","20-25%")))</f>
        <v>20-25%</v>
      </c>
      <c r="AP1396" s="1">
        <f>IF(HR_Data[[#This Row],[PercentSalaryHike]]&lt;=13,1,IF(HR_Data[[#This Row],[PercentSalaryHike]]&lt;=16,2,IF(HR_Data[[#This Row],[PercentSalaryHike]]&lt;=19,3,4)))</f>
        <v>4</v>
      </c>
      <c r="AQ1396" s="1" t="str">
        <f>IF(HR_Data[[#This Row],[DistanceFromHome]]&lt;=5,"1 to 5",IF(HR_Data[[#This Row],[DistanceFromHome]]&lt;=10,"6 to 10",IF(HR_Data[[#This Row],[DistanceFromHome]]&lt;=20,"11 to 20","21 to 29")))</f>
        <v>1 to 5</v>
      </c>
      <c r="AR1396" s="1">
        <f>IF(HR_Data[[#This Row],[DistanceFromHome]]&lt;=5,1,IF(HR_Data[[#This Row],[DistanceFromHome]]&lt;=10,2,IF(HR_Data[[#This Row],[DistanceFromHome]]&lt;=20,3,4)))</f>
        <v>1</v>
      </c>
      <c r="AS1396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396" s="1">
        <f>IF(HR_Data[[#This Row],[TotalWorkingYears]]&lt;=5,1,IF(HR_Data[[#This Row],[TotalWorkingYears]]&lt;=10,2,IF(HR_Data[[#This Row],[TotalWorkingYears]]&lt;=20,3,4)))</f>
        <v>2</v>
      </c>
    </row>
    <row r="1397" spans="1:46" x14ac:dyDescent="0.25">
      <c r="A1397">
        <v>31</v>
      </c>
      <c r="B1397" t="s">
        <v>29</v>
      </c>
      <c r="C1397" t="s">
        <v>37</v>
      </c>
      <c r="D1397" t="s">
        <v>31</v>
      </c>
      <c r="E1397">
        <v>26</v>
      </c>
      <c r="F1397">
        <v>4</v>
      </c>
      <c r="G1397" t="s">
        <v>52</v>
      </c>
      <c r="H1397">
        <v>1967</v>
      </c>
      <c r="I1397">
        <v>1</v>
      </c>
      <c r="J1397" t="s">
        <v>39</v>
      </c>
      <c r="K1397">
        <v>3</v>
      </c>
      <c r="L1397">
        <v>2</v>
      </c>
      <c r="M1397" t="s">
        <v>34</v>
      </c>
      <c r="N1397">
        <v>4</v>
      </c>
      <c r="O1397" t="s">
        <v>41</v>
      </c>
      <c r="P1397">
        <v>5617</v>
      </c>
      <c r="Q1397">
        <v>1</v>
      </c>
      <c r="R1397" t="s">
        <v>29</v>
      </c>
      <c r="S1397">
        <v>11</v>
      </c>
      <c r="T1397">
        <v>3</v>
      </c>
      <c r="U1397">
        <v>3</v>
      </c>
      <c r="V1397">
        <v>0</v>
      </c>
      <c r="W1397">
        <v>10</v>
      </c>
      <c r="X1397">
        <v>4</v>
      </c>
      <c r="Y1397">
        <v>3</v>
      </c>
      <c r="Z1397">
        <v>10</v>
      </c>
      <c r="AA1397">
        <v>7</v>
      </c>
      <c r="AB1397">
        <v>0</v>
      </c>
      <c r="AC1397">
        <v>8</v>
      </c>
      <c r="AD1397">
        <f>IF(HR_Data[[#This Row],[Attrition]]="Yes",1,0)</f>
        <v>1</v>
      </c>
      <c r="AE1397" t="str">
        <f>IF(HR_Data[[#This Row],[Age]]&lt;=25,"18-25",IF(HR_Data[[#This Row],[Age]]&lt;=35,"26-35",IF(HR_Data[[#This Row],[Age]]&lt;=45,"36-45",IF(HR_Data[[#This Row],[Age]]&lt;=55,"46-55","55+"))))</f>
        <v>26-35</v>
      </c>
      <c r="AF1397">
        <f>IF(HR_Data[[#This Row],[Age]]&lt;=25,1,IF(HR_Data[[#This Row],[Age]]&lt;=35,2,IF(HR_Data[[#This Row],[Age]]&lt;=45,3,IF(HR_Data[[#This Row],[Age]]&lt;=55,4,5))))</f>
        <v>2</v>
      </c>
      <c r="AG1397" s="1" t="str">
        <f>IF(HR_Data[[#This Row],[MonthlyIncome]]&lt;3000,"&lt;3K",IF(HR_Data[[#This Row],[MonthlyIncome]]&lt;6000,"3K-6K",IF(HR_Data[[#This Row],[MonthlyIncome]]&lt;10000,"6K-10K","10K+")))</f>
        <v>3K-6K</v>
      </c>
      <c r="AH1397" s="1">
        <f>IF(HR_Data[[#This Row],[MonthlyIncome]]&lt;3000,1,IF(HR_Data[[#This Row],[MonthlyIncome]]&lt;6000,2,IF(HR_Data[[#This Row],[MonthlyIncome]]&lt;10000,3,4)))</f>
        <v>2</v>
      </c>
      <c r="AI1397" s="1" t="str">
        <f>IF(HR_Data[[#This Row],[YearsAtCompany]]&lt;=2,"0-2 Yrs",IF(HR_Data[[#This Row],[YearsAtCompany]]&lt;=5,"3-5 Yrs",IF(HR_Data[[#This Row],[YearsAtCompany]]&lt;=10,"6-10 Yrs","10+ Yrs")))</f>
        <v>6-10 Yrs</v>
      </c>
      <c r="AJ1397" s="1">
        <f>IF(HR_Data[[#This Row],[YearsAtCompany]]&lt;=2,1,IF(HR_Data[[#This Row],[YearsAtCompany]]&lt;=5,2,IF(HR_Data[[#This Row],[YearsAtCompany]]&lt;=10,3,4)))</f>
        <v>3</v>
      </c>
      <c r="AK1397" s="1" t="str">
        <f>CHOOSE(HR_Data[[#This Row],[Education]],"Below College","College","Bachelor","Master","Doctor")</f>
        <v>Master</v>
      </c>
      <c r="AL1397" s="1" t="str">
        <f>CHOOSE(HR_Data[[#This Row],[JobSatisfaction]],"Low","Medium","High","Very High")</f>
        <v>Very High</v>
      </c>
      <c r="AM1397" s="1" t="str">
        <f>CHOOSE(HR_Data[[#This Row],[EnvironmentSatisfaction]],"Low","Medium","High","Very High")</f>
        <v>Low</v>
      </c>
      <c r="AN1397" s="1" t="str">
        <f>CHOOSE(HR_Data[[#This Row],[WorkLifeBalance]],"Bad","Good","Better","Best")</f>
        <v>Better</v>
      </c>
      <c r="AO1397" s="1" t="str">
        <f>IF(HR_Data[[#This Row],[PercentSalaryHike]]&lt;=13,"11-13%",IF(HR_Data[[#This Row],[PercentSalaryHike]]&lt;=16,"14-16%",IF(HR_Data[[#This Row],[PercentSalaryHike]]&lt;=19,"17-19%","20-25%")))</f>
        <v>11-13%</v>
      </c>
      <c r="AP1397" s="1">
        <f>IF(HR_Data[[#This Row],[PercentSalaryHike]]&lt;=13,1,IF(HR_Data[[#This Row],[PercentSalaryHike]]&lt;=16,2,IF(HR_Data[[#This Row],[PercentSalaryHike]]&lt;=19,3,4)))</f>
        <v>1</v>
      </c>
      <c r="AQ1397" s="1" t="str">
        <f>IF(HR_Data[[#This Row],[DistanceFromHome]]&lt;=5,"1 to 5",IF(HR_Data[[#This Row],[DistanceFromHome]]&lt;=10,"6 to 10",IF(HR_Data[[#This Row],[DistanceFromHome]]&lt;=20,"11 to 20","21 to 29")))</f>
        <v>21 to 29</v>
      </c>
      <c r="AR1397" s="1">
        <f>IF(HR_Data[[#This Row],[DistanceFromHome]]&lt;=5,1,IF(HR_Data[[#This Row],[DistanceFromHome]]&lt;=10,2,IF(HR_Data[[#This Row],[DistanceFromHome]]&lt;=20,3,4)))</f>
        <v>4</v>
      </c>
      <c r="AS1397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397" s="1">
        <f>IF(HR_Data[[#This Row],[TotalWorkingYears]]&lt;=5,1,IF(HR_Data[[#This Row],[TotalWorkingYears]]&lt;=10,2,IF(HR_Data[[#This Row],[TotalWorkingYears]]&lt;=20,3,4)))</f>
        <v>2</v>
      </c>
    </row>
    <row r="1398" spans="1:46" x14ac:dyDescent="0.25">
      <c r="A1398">
        <v>53</v>
      </c>
      <c r="B1398" t="s">
        <v>29</v>
      </c>
      <c r="C1398" t="s">
        <v>30</v>
      </c>
      <c r="D1398" t="s">
        <v>31</v>
      </c>
      <c r="E1398">
        <v>24</v>
      </c>
      <c r="F1398">
        <v>4</v>
      </c>
      <c r="G1398" t="s">
        <v>32</v>
      </c>
      <c r="H1398">
        <v>1968</v>
      </c>
      <c r="I1398">
        <v>1</v>
      </c>
      <c r="J1398" t="s">
        <v>39</v>
      </c>
      <c r="K1398">
        <v>3</v>
      </c>
      <c r="L1398">
        <v>3</v>
      </c>
      <c r="M1398" t="s">
        <v>34</v>
      </c>
      <c r="N1398">
        <v>1</v>
      </c>
      <c r="O1398" t="s">
        <v>35</v>
      </c>
      <c r="P1398">
        <v>10448</v>
      </c>
      <c r="Q1398">
        <v>6</v>
      </c>
      <c r="R1398" t="s">
        <v>29</v>
      </c>
      <c r="S1398">
        <v>13</v>
      </c>
      <c r="T1398">
        <v>3</v>
      </c>
      <c r="U1398">
        <v>2</v>
      </c>
      <c r="V1398">
        <v>0</v>
      </c>
      <c r="W1398">
        <v>15</v>
      </c>
      <c r="X1398">
        <v>2</v>
      </c>
      <c r="Y1398">
        <v>2</v>
      </c>
      <c r="Z1398">
        <v>2</v>
      </c>
      <c r="AA1398">
        <v>2</v>
      </c>
      <c r="AB1398">
        <v>2</v>
      </c>
      <c r="AC1398">
        <v>2</v>
      </c>
      <c r="AD1398">
        <f>IF(HR_Data[[#This Row],[Attrition]]="Yes",1,0)</f>
        <v>1</v>
      </c>
      <c r="AE1398" t="str">
        <f>IF(HR_Data[[#This Row],[Age]]&lt;=25,"18-25",IF(HR_Data[[#This Row],[Age]]&lt;=35,"26-35",IF(HR_Data[[#This Row],[Age]]&lt;=45,"36-45",IF(HR_Data[[#This Row],[Age]]&lt;=55,"46-55","55+"))))</f>
        <v>46-55</v>
      </c>
      <c r="AF1398">
        <f>IF(HR_Data[[#This Row],[Age]]&lt;=25,1,IF(HR_Data[[#This Row],[Age]]&lt;=35,2,IF(HR_Data[[#This Row],[Age]]&lt;=45,3,IF(HR_Data[[#This Row],[Age]]&lt;=55,4,5))))</f>
        <v>4</v>
      </c>
      <c r="AG1398" s="1" t="str">
        <f>IF(HR_Data[[#This Row],[MonthlyIncome]]&lt;3000,"&lt;3K",IF(HR_Data[[#This Row],[MonthlyIncome]]&lt;6000,"3K-6K",IF(HR_Data[[#This Row],[MonthlyIncome]]&lt;10000,"6K-10K","10K+")))</f>
        <v>10K+</v>
      </c>
      <c r="AH1398" s="1">
        <f>IF(HR_Data[[#This Row],[MonthlyIncome]]&lt;3000,1,IF(HR_Data[[#This Row],[MonthlyIncome]]&lt;6000,2,IF(HR_Data[[#This Row],[MonthlyIncome]]&lt;10000,3,4)))</f>
        <v>4</v>
      </c>
      <c r="AI1398" s="1" t="str">
        <f>IF(HR_Data[[#This Row],[YearsAtCompany]]&lt;=2,"0-2 Yrs",IF(HR_Data[[#This Row],[YearsAtCompany]]&lt;=5,"3-5 Yrs",IF(HR_Data[[#This Row],[YearsAtCompany]]&lt;=10,"6-10 Yrs","10+ Yrs")))</f>
        <v>0-2 Yrs</v>
      </c>
      <c r="AJ1398" s="1">
        <f>IF(HR_Data[[#This Row],[YearsAtCompany]]&lt;=2,1,IF(HR_Data[[#This Row],[YearsAtCompany]]&lt;=5,2,IF(HR_Data[[#This Row],[YearsAtCompany]]&lt;=10,3,4)))</f>
        <v>1</v>
      </c>
      <c r="AK1398" s="1" t="str">
        <f>CHOOSE(HR_Data[[#This Row],[Education]],"Below College","College","Bachelor","Master","Doctor")</f>
        <v>Master</v>
      </c>
      <c r="AL1398" s="1" t="str">
        <f>CHOOSE(HR_Data[[#This Row],[JobSatisfaction]],"Low","Medium","High","Very High")</f>
        <v>Low</v>
      </c>
      <c r="AM1398" s="1" t="str">
        <f>CHOOSE(HR_Data[[#This Row],[EnvironmentSatisfaction]],"Low","Medium","High","Very High")</f>
        <v>Low</v>
      </c>
      <c r="AN1398" s="1" t="str">
        <f>CHOOSE(HR_Data[[#This Row],[WorkLifeBalance]],"Bad","Good","Better","Best")</f>
        <v>Good</v>
      </c>
      <c r="AO1398" s="1" t="str">
        <f>IF(HR_Data[[#This Row],[PercentSalaryHike]]&lt;=13,"11-13%",IF(HR_Data[[#This Row],[PercentSalaryHike]]&lt;=16,"14-16%",IF(HR_Data[[#This Row],[PercentSalaryHike]]&lt;=19,"17-19%","20-25%")))</f>
        <v>11-13%</v>
      </c>
      <c r="AP1398" s="1">
        <f>IF(HR_Data[[#This Row],[PercentSalaryHike]]&lt;=13,1,IF(HR_Data[[#This Row],[PercentSalaryHike]]&lt;=16,2,IF(HR_Data[[#This Row],[PercentSalaryHike]]&lt;=19,3,4)))</f>
        <v>1</v>
      </c>
      <c r="AQ1398" s="1" t="str">
        <f>IF(HR_Data[[#This Row],[DistanceFromHome]]&lt;=5,"1 to 5",IF(HR_Data[[#This Row],[DistanceFromHome]]&lt;=10,"6 to 10",IF(HR_Data[[#This Row],[DistanceFromHome]]&lt;=20,"11 to 20","21 to 29")))</f>
        <v>21 to 29</v>
      </c>
      <c r="AR1398" s="1">
        <f>IF(HR_Data[[#This Row],[DistanceFromHome]]&lt;=5,1,IF(HR_Data[[#This Row],[DistanceFromHome]]&lt;=10,2,IF(HR_Data[[#This Row],[DistanceFromHome]]&lt;=20,3,4)))</f>
        <v>4</v>
      </c>
      <c r="AS1398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398" s="1">
        <f>IF(HR_Data[[#This Row],[TotalWorkingYears]]&lt;=5,1,IF(HR_Data[[#This Row],[TotalWorkingYears]]&lt;=10,2,IF(HR_Data[[#This Row],[TotalWorkingYears]]&lt;=20,3,4)))</f>
        <v>3</v>
      </c>
    </row>
    <row r="1399" spans="1:46" x14ac:dyDescent="0.25">
      <c r="A1399">
        <v>54</v>
      </c>
      <c r="B1399" t="s">
        <v>36</v>
      </c>
      <c r="C1399" t="s">
        <v>30</v>
      </c>
      <c r="D1399" t="s">
        <v>38</v>
      </c>
      <c r="E1399">
        <v>9</v>
      </c>
      <c r="F1399">
        <v>2</v>
      </c>
      <c r="G1399" t="s">
        <v>32</v>
      </c>
      <c r="H1399">
        <v>1969</v>
      </c>
      <c r="I1399">
        <v>1</v>
      </c>
      <c r="J1399" t="s">
        <v>33</v>
      </c>
      <c r="K1399">
        <v>3</v>
      </c>
      <c r="L1399">
        <v>2</v>
      </c>
      <c r="M1399" t="s">
        <v>40</v>
      </c>
      <c r="N1399">
        <v>3</v>
      </c>
      <c r="O1399" t="s">
        <v>41</v>
      </c>
      <c r="P1399">
        <v>2897</v>
      </c>
      <c r="Q1399">
        <v>3</v>
      </c>
      <c r="R1399" t="s">
        <v>36</v>
      </c>
      <c r="S1399">
        <v>11</v>
      </c>
      <c r="T1399">
        <v>3</v>
      </c>
      <c r="U1399">
        <v>3</v>
      </c>
      <c r="V1399">
        <v>2</v>
      </c>
      <c r="W1399">
        <v>9</v>
      </c>
      <c r="X1399">
        <v>6</v>
      </c>
      <c r="Y1399">
        <v>2</v>
      </c>
      <c r="Z1399">
        <v>4</v>
      </c>
      <c r="AA1399">
        <v>3</v>
      </c>
      <c r="AB1399">
        <v>2</v>
      </c>
      <c r="AC1399">
        <v>3</v>
      </c>
      <c r="AD1399">
        <f>IF(HR_Data[[#This Row],[Attrition]]="Yes",1,0)</f>
        <v>0</v>
      </c>
      <c r="AE1399" t="str">
        <f>IF(HR_Data[[#This Row],[Age]]&lt;=25,"18-25",IF(HR_Data[[#This Row],[Age]]&lt;=35,"26-35",IF(HR_Data[[#This Row],[Age]]&lt;=45,"36-45",IF(HR_Data[[#This Row],[Age]]&lt;=55,"46-55","55+"))))</f>
        <v>46-55</v>
      </c>
      <c r="AF1399">
        <f>IF(HR_Data[[#This Row],[Age]]&lt;=25,1,IF(HR_Data[[#This Row],[Age]]&lt;=35,2,IF(HR_Data[[#This Row],[Age]]&lt;=45,3,IF(HR_Data[[#This Row],[Age]]&lt;=55,4,5))))</f>
        <v>4</v>
      </c>
      <c r="AG1399" s="1" t="str">
        <f>IF(HR_Data[[#This Row],[MonthlyIncome]]&lt;3000,"&lt;3K",IF(HR_Data[[#This Row],[MonthlyIncome]]&lt;6000,"3K-6K",IF(HR_Data[[#This Row],[MonthlyIncome]]&lt;10000,"6K-10K","10K+")))</f>
        <v>&lt;3K</v>
      </c>
      <c r="AH1399" s="1">
        <f>IF(HR_Data[[#This Row],[MonthlyIncome]]&lt;3000,1,IF(HR_Data[[#This Row],[MonthlyIncome]]&lt;6000,2,IF(HR_Data[[#This Row],[MonthlyIncome]]&lt;10000,3,4)))</f>
        <v>1</v>
      </c>
      <c r="AI1399" s="1" t="str">
        <f>IF(HR_Data[[#This Row],[YearsAtCompany]]&lt;=2,"0-2 Yrs",IF(HR_Data[[#This Row],[YearsAtCompany]]&lt;=5,"3-5 Yrs",IF(HR_Data[[#This Row],[YearsAtCompany]]&lt;=10,"6-10 Yrs","10+ Yrs")))</f>
        <v>3-5 Yrs</v>
      </c>
      <c r="AJ1399" s="1">
        <f>IF(HR_Data[[#This Row],[YearsAtCompany]]&lt;=2,1,IF(HR_Data[[#This Row],[YearsAtCompany]]&lt;=5,2,IF(HR_Data[[#This Row],[YearsAtCompany]]&lt;=10,3,4)))</f>
        <v>2</v>
      </c>
      <c r="AK1399" s="1" t="str">
        <f>CHOOSE(HR_Data[[#This Row],[Education]],"Below College","College","Bachelor","Master","Doctor")</f>
        <v>College</v>
      </c>
      <c r="AL1399" s="1" t="str">
        <f>CHOOSE(HR_Data[[#This Row],[JobSatisfaction]],"Low","Medium","High","Very High")</f>
        <v>High</v>
      </c>
      <c r="AM1399" s="1" t="str">
        <f>CHOOSE(HR_Data[[#This Row],[EnvironmentSatisfaction]],"Low","Medium","High","Very High")</f>
        <v>Low</v>
      </c>
      <c r="AN1399" s="1" t="str">
        <f>CHOOSE(HR_Data[[#This Row],[WorkLifeBalance]],"Bad","Good","Better","Best")</f>
        <v>Good</v>
      </c>
      <c r="AO1399" s="1" t="str">
        <f>IF(HR_Data[[#This Row],[PercentSalaryHike]]&lt;=13,"11-13%",IF(HR_Data[[#This Row],[PercentSalaryHike]]&lt;=16,"14-16%",IF(HR_Data[[#This Row],[PercentSalaryHike]]&lt;=19,"17-19%","20-25%")))</f>
        <v>11-13%</v>
      </c>
      <c r="AP1399" s="1">
        <f>IF(HR_Data[[#This Row],[PercentSalaryHike]]&lt;=13,1,IF(HR_Data[[#This Row],[PercentSalaryHike]]&lt;=16,2,IF(HR_Data[[#This Row],[PercentSalaryHike]]&lt;=19,3,4)))</f>
        <v>1</v>
      </c>
      <c r="AQ1399" s="1" t="str">
        <f>IF(HR_Data[[#This Row],[DistanceFromHome]]&lt;=5,"1 to 5",IF(HR_Data[[#This Row],[DistanceFromHome]]&lt;=10,"6 to 10",IF(HR_Data[[#This Row],[DistanceFromHome]]&lt;=20,"11 to 20","21 to 29")))</f>
        <v>6 to 10</v>
      </c>
      <c r="AR1399" s="1">
        <f>IF(HR_Data[[#This Row],[DistanceFromHome]]&lt;=5,1,IF(HR_Data[[#This Row],[DistanceFromHome]]&lt;=10,2,IF(HR_Data[[#This Row],[DistanceFromHome]]&lt;=20,3,4)))</f>
        <v>2</v>
      </c>
      <c r="AS1399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399" s="1">
        <f>IF(HR_Data[[#This Row],[TotalWorkingYears]]&lt;=5,1,IF(HR_Data[[#This Row],[TotalWorkingYears]]&lt;=10,2,IF(HR_Data[[#This Row],[TotalWorkingYears]]&lt;=20,3,4)))</f>
        <v>2</v>
      </c>
    </row>
    <row r="1400" spans="1:46" x14ac:dyDescent="0.25">
      <c r="A1400">
        <v>33</v>
      </c>
      <c r="B1400" t="s">
        <v>36</v>
      </c>
      <c r="C1400" t="s">
        <v>37</v>
      </c>
      <c r="D1400" t="s">
        <v>38</v>
      </c>
      <c r="E1400">
        <v>7</v>
      </c>
      <c r="F1400">
        <v>2</v>
      </c>
      <c r="G1400" t="s">
        <v>32</v>
      </c>
      <c r="H1400">
        <v>1970</v>
      </c>
      <c r="I1400">
        <v>4</v>
      </c>
      <c r="J1400" t="s">
        <v>39</v>
      </c>
      <c r="K1400">
        <v>3</v>
      </c>
      <c r="L1400">
        <v>2</v>
      </c>
      <c r="M1400" t="s">
        <v>47</v>
      </c>
      <c r="N1400">
        <v>3</v>
      </c>
      <c r="O1400" t="s">
        <v>45</v>
      </c>
      <c r="P1400">
        <v>5968</v>
      </c>
      <c r="Q1400">
        <v>1</v>
      </c>
      <c r="R1400" t="s">
        <v>36</v>
      </c>
      <c r="S1400">
        <v>20</v>
      </c>
      <c r="T1400">
        <v>4</v>
      </c>
      <c r="U1400">
        <v>3</v>
      </c>
      <c r="V1400">
        <v>3</v>
      </c>
      <c r="W1400">
        <v>9</v>
      </c>
      <c r="X1400">
        <v>2</v>
      </c>
      <c r="Y1400">
        <v>3</v>
      </c>
      <c r="Z1400">
        <v>9</v>
      </c>
      <c r="AA1400">
        <v>7</v>
      </c>
      <c r="AB1400">
        <v>2</v>
      </c>
      <c r="AC1400">
        <v>8</v>
      </c>
      <c r="AD1400">
        <f>IF(HR_Data[[#This Row],[Attrition]]="Yes",1,0)</f>
        <v>0</v>
      </c>
      <c r="AE1400" t="str">
        <f>IF(HR_Data[[#This Row],[Age]]&lt;=25,"18-25",IF(HR_Data[[#This Row],[Age]]&lt;=35,"26-35",IF(HR_Data[[#This Row],[Age]]&lt;=45,"36-45",IF(HR_Data[[#This Row],[Age]]&lt;=55,"46-55","55+"))))</f>
        <v>26-35</v>
      </c>
      <c r="AF1400">
        <f>IF(HR_Data[[#This Row],[Age]]&lt;=25,1,IF(HR_Data[[#This Row],[Age]]&lt;=35,2,IF(HR_Data[[#This Row],[Age]]&lt;=45,3,IF(HR_Data[[#This Row],[Age]]&lt;=55,4,5))))</f>
        <v>2</v>
      </c>
      <c r="AG1400" s="1" t="str">
        <f>IF(HR_Data[[#This Row],[MonthlyIncome]]&lt;3000,"&lt;3K",IF(HR_Data[[#This Row],[MonthlyIncome]]&lt;6000,"3K-6K",IF(HR_Data[[#This Row],[MonthlyIncome]]&lt;10000,"6K-10K","10K+")))</f>
        <v>3K-6K</v>
      </c>
      <c r="AH1400" s="1">
        <f>IF(HR_Data[[#This Row],[MonthlyIncome]]&lt;3000,1,IF(HR_Data[[#This Row],[MonthlyIncome]]&lt;6000,2,IF(HR_Data[[#This Row],[MonthlyIncome]]&lt;10000,3,4)))</f>
        <v>2</v>
      </c>
      <c r="AI1400" s="1" t="str">
        <f>IF(HR_Data[[#This Row],[YearsAtCompany]]&lt;=2,"0-2 Yrs",IF(HR_Data[[#This Row],[YearsAtCompany]]&lt;=5,"3-5 Yrs",IF(HR_Data[[#This Row],[YearsAtCompany]]&lt;=10,"6-10 Yrs","10+ Yrs")))</f>
        <v>6-10 Yrs</v>
      </c>
      <c r="AJ1400" s="1">
        <f>IF(HR_Data[[#This Row],[YearsAtCompany]]&lt;=2,1,IF(HR_Data[[#This Row],[YearsAtCompany]]&lt;=5,2,IF(HR_Data[[#This Row],[YearsAtCompany]]&lt;=10,3,4)))</f>
        <v>3</v>
      </c>
      <c r="AK1400" s="1" t="str">
        <f>CHOOSE(HR_Data[[#This Row],[Education]],"Below College","College","Bachelor","Master","Doctor")</f>
        <v>College</v>
      </c>
      <c r="AL1400" s="1" t="str">
        <f>CHOOSE(HR_Data[[#This Row],[JobSatisfaction]],"Low","Medium","High","Very High")</f>
        <v>High</v>
      </c>
      <c r="AM1400" s="1" t="str">
        <f>CHOOSE(HR_Data[[#This Row],[EnvironmentSatisfaction]],"Low","Medium","High","Very High")</f>
        <v>Very High</v>
      </c>
      <c r="AN1400" s="1" t="str">
        <f>CHOOSE(HR_Data[[#This Row],[WorkLifeBalance]],"Bad","Good","Better","Best")</f>
        <v>Better</v>
      </c>
      <c r="AO1400" s="1" t="str">
        <f>IF(HR_Data[[#This Row],[PercentSalaryHike]]&lt;=13,"11-13%",IF(HR_Data[[#This Row],[PercentSalaryHike]]&lt;=16,"14-16%",IF(HR_Data[[#This Row],[PercentSalaryHike]]&lt;=19,"17-19%","20-25%")))</f>
        <v>20-25%</v>
      </c>
      <c r="AP1400" s="1">
        <f>IF(HR_Data[[#This Row],[PercentSalaryHike]]&lt;=13,1,IF(HR_Data[[#This Row],[PercentSalaryHike]]&lt;=16,2,IF(HR_Data[[#This Row],[PercentSalaryHike]]&lt;=19,3,4)))</f>
        <v>4</v>
      </c>
      <c r="AQ1400" s="1" t="str">
        <f>IF(HR_Data[[#This Row],[DistanceFromHome]]&lt;=5,"1 to 5",IF(HR_Data[[#This Row],[DistanceFromHome]]&lt;=10,"6 to 10",IF(HR_Data[[#This Row],[DistanceFromHome]]&lt;=20,"11 to 20","21 to 29")))</f>
        <v>6 to 10</v>
      </c>
      <c r="AR1400" s="1">
        <f>IF(HR_Data[[#This Row],[DistanceFromHome]]&lt;=5,1,IF(HR_Data[[#This Row],[DistanceFromHome]]&lt;=10,2,IF(HR_Data[[#This Row],[DistanceFromHome]]&lt;=20,3,4)))</f>
        <v>2</v>
      </c>
      <c r="AS1400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400" s="1">
        <f>IF(HR_Data[[#This Row],[TotalWorkingYears]]&lt;=5,1,IF(HR_Data[[#This Row],[TotalWorkingYears]]&lt;=10,2,IF(HR_Data[[#This Row],[TotalWorkingYears]]&lt;=20,3,4)))</f>
        <v>2</v>
      </c>
    </row>
    <row r="1401" spans="1:46" x14ac:dyDescent="0.25">
      <c r="A1401">
        <v>43</v>
      </c>
      <c r="B1401" t="s">
        <v>36</v>
      </c>
      <c r="C1401" t="s">
        <v>30</v>
      </c>
      <c r="D1401" t="s">
        <v>38</v>
      </c>
      <c r="E1401">
        <v>11</v>
      </c>
      <c r="F1401">
        <v>3</v>
      </c>
      <c r="G1401" t="s">
        <v>32</v>
      </c>
      <c r="H1401">
        <v>1971</v>
      </c>
      <c r="I1401">
        <v>1</v>
      </c>
      <c r="J1401" t="s">
        <v>39</v>
      </c>
      <c r="K1401">
        <v>3</v>
      </c>
      <c r="L1401">
        <v>3</v>
      </c>
      <c r="M1401" t="s">
        <v>47</v>
      </c>
      <c r="N1401">
        <v>3</v>
      </c>
      <c r="O1401" t="s">
        <v>41</v>
      </c>
      <c r="P1401">
        <v>7510</v>
      </c>
      <c r="Q1401">
        <v>1</v>
      </c>
      <c r="R1401" t="s">
        <v>36</v>
      </c>
      <c r="S1401">
        <v>17</v>
      </c>
      <c r="T1401">
        <v>3</v>
      </c>
      <c r="U1401">
        <v>2</v>
      </c>
      <c r="V1401">
        <v>1</v>
      </c>
      <c r="W1401">
        <v>10</v>
      </c>
      <c r="X1401">
        <v>1</v>
      </c>
      <c r="Y1401">
        <v>3</v>
      </c>
      <c r="Z1401">
        <v>10</v>
      </c>
      <c r="AA1401">
        <v>9</v>
      </c>
      <c r="AB1401">
        <v>0</v>
      </c>
      <c r="AC1401">
        <v>9</v>
      </c>
      <c r="AD1401">
        <f>IF(HR_Data[[#This Row],[Attrition]]="Yes",1,0)</f>
        <v>0</v>
      </c>
      <c r="AE1401" t="str">
        <f>IF(HR_Data[[#This Row],[Age]]&lt;=25,"18-25",IF(HR_Data[[#This Row],[Age]]&lt;=35,"26-35",IF(HR_Data[[#This Row],[Age]]&lt;=45,"36-45",IF(HR_Data[[#This Row],[Age]]&lt;=55,"46-55","55+"))))</f>
        <v>36-45</v>
      </c>
      <c r="AF1401">
        <f>IF(HR_Data[[#This Row],[Age]]&lt;=25,1,IF(HR_Data[[#This Row],[Age]]&lt;=35,2,IF(HR_Data[[#This Row],[Age]]&lt;=45,3,IF(HR_Data[[#This Row],[Age]]&lt;=55,4,5))))</f>
        <v>3</v>
      </c>
      <c r="AG1401" s="1" t="str">
        <f>IF(HR_Data[[#This Row],[MonthlyIncome]]&lt;3000,"&lt;3K",IF(HR_Data[[#This Row],[MonthlyIncome]]&lt;6000,"3K-6K",IF(HR_Data[[#This Row],[MonthlyIncome]]&lt;10000,"6K-10K","10K+")))</f>
        <v>6K-10K</v>
      </c>
      <c r="AH1401" s="1">
        <f>IF(HR_Data[[#This Row],[MonthlyIncome]]&lt;3000,1,IF(HR_Data[[#This Row],[MonthlyIncome]]&lt;6000,2,IF(HR_Data[[#This Row],[MonthlyIncome]]&lt;10000,3,4)))</f>
        <v>3</v>
      </c>
      <c r="AI1401" s="1" t="str">
        <f>IF(HR_Data[[#This Row],[YearsAtCompany]]&lt;=2,"0-2 Yrs",IF(HR_Data[[#This Row],[YearsAtCompany]]&lt;=5,"3-5 Yrs",IF(HR_Data[[#This Row],[YearsAtCompany]]&lt;=10,"6-10 Yrs","10+ Yrs")))</f>
        <v>6-10 Yrs</v>
      </c>
      <c r="AJ1401" s="1">
        <f>IF(HR_Data[[#This Row],[YearsAtCompany]]&lt;=2,1,IF(HR_Data[[#This Row],[YearsAtCompany]]&lt;=5,2,IF(HR_Data[[#This Row],[YearsAtCompany]]&lt;=10,3,4)))</f>
        <v>3</v>
      </c>
      <c r="AK1401" s="1" t="str">
        <f>CHOOSE(HR_Data[[#This Row],[Education]],"Below College","College","Bachelor","Master","Doctor")</f>
        <v>Bachelor</v>
      </c>
      <c r="AL1401" s="1" t="str">
        <f>CHOOSE(HR_Data[[#This Row],[JobSatisfaction]],"Low","Medium","High","Very High")</f>
        <v>High</v>
      </c>
      <c r="AM1401" s="1" t="str">
        <f>CHOOSE(HR_Data[[#This Row],[EnvironmentSatisfaction]],"Low","Medium","High","Very High")</f>
        <v>Low</v>
      </c>
      <c r="AN1401" s="1" t="str">
        <f>CHOOSE(HR_Data[[#This Row],[WorkLifeBalance]],"Bad","Good","Better","Best")</f>
        <v>Better</v>
      </c>
      <c r="AO1401" s="1" t="str">
        <f>IF(HR_Data[[#This Row],[PercentSalaryHike]]&lt;=13,"11-13%",IF(HR_Data[[#This Row],[PercentSalaryHike]]&lt;=16,"14-16%",IF(HR_Data[[#This Row],[PercentSalaryHike]]&lt;=19,"17-19%","20-25%")))</f>
        <v>17-19%</v>
      </c>
      <c r="AP1401" s="1">
        <f>IF(HR_Data[[#This Row],[PercentSalaryHike]]&lt;=13,1,IF(HR_Data[[#This Row],[PercentSalaryHike]]&lt;=16,2,IF(HR_Data[[#This Row],[PercentSalaryHike]]&lt;=19,3,4)))</f>
        <v>3</v>
      </c>
      <c r="AQ1401" s="1" t="str">
        <f>IF(HR_Data[[#This Row],[DistanceFromHome]]&lt;=5,"1 to 5",IF(HR_Data[[#This Row],[DistanceFromHome]]&lt;=10,"6 to 10",IF(HR_Data[[#This Row],[DistanceFromHome]]&lt;=20,"11 to 20","21 to 29")))</f>
        <v>11 to 20</v>
      </c>
      <c r="AR1401" s="1">
        <f>IF(HR_Data[[#This Row],[DistanceFromHome]]&lt;=5,1,IF(HR_Data[[#This Row],[DistanceFromHome]]&lt;=10,2,IF(HR_Data[[#This Row],[DistanceFromHome]]&lt;=20,3,4)))</f>
        <v>3</v>
      </c>
      <c r="AS1401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401" s="1">
        <f>IF(HR_Data[[#This Row],[TotalWorkingYears]]&lt;=5,1,IF(HR_Data[[#This Row],[TotalWorkingYears]]&lt;=10,2,IF(HR_Data[[#This Row],[TotalWorkingYears]]&lt;=20,3,4)))</f>
        <v>2</v>
      </c>
    </row>
    <row r="1402" spans="1:46" x14ac:dyDescent="0.25">
      <c r="A1402">
        <v>38</v>
      </c>
      <c r="B1402" t="s">
        <v>36</v>
      </c>
      <c r="C1402" t="s">
        <v>37</v>
      </c>
      <c r="D1402" t="s">
        <v>54</v>
      </c>
      <c r="E1402">
        <v>1</v>
      </c>
      <c r="F1402">
        <v>4</v>
      </c>
      <c r="G1402" t="s">
        <v>42</v>
      </c>
      <c r="H1402">
        <v>1972</v>
      </c>
      <c r="I1402">
        <v>4</v>
      </c>
      <c r="J1402" t="s">
        <v>39</v>
      </c>
      <c r="K1402">
        <v>3</v>
      </c>
      <c r="L1402">
        <v>1</v>
      </c>
      <c r="M1402" t="s">
        <v>54</v>
      </c>
      <c r="N1402">
        <v>2</v>
      </c>
      <c r="O1402" t="s">
        <v>41</v>
      </c>
      <c r="P1402">
        <v>2991</v>
      </c>
      <c r="Q1402">
        <v>0</v>
      </c>
      <c r="R1402" t="s">
        <v>29</v>
      </c>
      <c r="S1402">
        <v>11</v>
      </c>
      <c r="T1402">
        <v>3</v>
      </c>
      <c r="U1402">
        <v>2</v>
      </c>
      <c r="V1402">
        <v>1</v>
      </c>
      <c r="W1402">
        <v>7</v>
      </c>
      <c r="X1402">
        <v>2</v>
      </c>
      <c r="Y1402">
        <v>3</v>
      </c>
      <c r="Z1402">
        <v>6</v>
      </c>
      <c r="AA1402">
        <v>2</v>
      </c>
      <c r="AB1402">
        <v>1</v>
      </c>
      <c r="AC1402">
        <v>2</v>
      </c>
      <c r="AD1402">
        <f>IF(HR_Data[[#This Row],[Attrition]]="Yes",1,0)</f>
        <v>0</v>
      </c>
      <c r="AE1402" t="str">
        <f>IF(HR_Data[[#This Row],[Age]]&lt;=25,"18-25",IF(HR_Data[[#This Row],[Age]]&lt;=35,"26-35",IF(HR_Data[[#This Row],[Age]]&lt;=45,"36-45",IF(HR_Data[[#This Row],[Age]]&lt;=55,"46-55","55+"))))</f>
        <v>36-45</v>
      </c>
      <c r="AF1402">
        <f>IF(HR_Data[[#This Row],[Age]]&lt;=25,1,IF(HR_Data[[#This Row],[Age]]&lt;=35,2,IF(HR_Data[[#This Row],[Age]]&lt;=45,3,IF(HR_Data[[#This Row],[Age]]&lt;=55,4,5))))</f>
        <v>3</v>
      </c>
      <c r="AG1402" s="1" t="str">
        <f>IF(HR_Data[[#This Row],[MonthlyIncome]]&lt;3000,"&lt;3K",IF(HR_Data[[#This Row],[MonthlyIncome]]&lt;6000,"3K-6K",IF(HR_Data[[#This Row],[MonthlyIncome]]&lt;10000,"6K-10K","10K+")))</f>
        <v>&lt;3K</v>
      </c>
      <c r="AH1402" s="1">
        <f>IF(HR_Data[[#This Row],[MonthlyIncome]]&lt;3000,1,IF(HR_Data[[#This Row],[MonthlyIncome]]&lt;6000,2,IF(HR_Data[[#This Row],[MonthlyIncome]]&lt;10000,3,4)))</f>
        <v>1</v>
      </c>
      <c r="AI1402" s="1" t="str">
        <f>IF(HR_Data[[#This Row],[YearsAtCompany]]&lt;=2,"0-2 Yrs",IF(HR_Data[[#This Row],[YearsAtCompany]]&lt;=5,"3-5 Yrs",IF(HR_Data[[#This Row],[YearsAtCompany]]&lt;=10,"6-10 Yrs","10+ Yrs")))</f>
        <v>6-10 Yrs</v>
      </c>
      <c r="AJ1402" s="1">
        <f>IF(HR_Data[[#This Row],[YearsAtCompany]]&lt;=2,1,IF(HR_Data[[#This Row],[YearsAtCompany]]&lt;=5,2,IF(HR_Data[[#This Row],[YearsAtCompany]]&lt;=10,3,4)))</f>
        <v>3</v>
      </c>
      <c r="AK1402" s="1" t="str">
        <f>CHOOSE(HR_Data[[#This Row],[Education]],"Below College","College","Bachelor","Master","Doctor")</f>
        <v>Master</v>
      </c>
      <c r="AL1402" s="1" t="str">
        <f>CHOOSE(HR_Data[[#This Row],[JobSatisfaction]],"Low","Medium","High","Very High")</f>
        <v>Medium</v>
      </c>
      <c r="AM1402" s="1" t="str">
        <f>CHOOSE(HR_Data[[#This Row],[EnvironmentSatisfaction]],"Low","Medium","High","Very High")</f>
        <v>Very High</v>
      </c>
      <c r="AN1402" s="1" t="str">
        <f>CHOOSE(HR_Data[[#This Row],[WorkLifeBalance]],"Bad","Good","Better","Best")</f>
        <v>Better</v>
      </c>
      <c r="AO1402" s="1" t="str">
        <f>IF(HR_Data[[#This Row],[PercentSalaryHike]]&lt;=13,"11-13%",IF(HR_Data[[#This Row],[PercentSalaryHike]]&lt;=16,"14-16%",IF(HR_Data[[#This Row],[PercentSalaryHike]]&lt;=19,"17-19%","20-25%")))</f>
        <v>11-13%</v>
      </c>
      <c r="AP1402" s="1">
        <f>IF(HR_Data[[#This Row],[PercentSalaryHike]]&lt;=13,1,IF(HR_Data[[#This Row],[PercentSalaryHike]]&lt;=16,2,IF(HR_Data[[#This Row],[PercentSalaryHike]]&lt;=19,3,4)))</f>
        <v>1</v>
      </c>
      <c r="AQ1402" s="1" t="str">
        <f>IF(HR_Data[[#This Row],[DistanceFromHome]]&lt;=5,"1 to 5",IF(HR_Data[[#This Row],[DistanceFromHome]]&lt;=10,"6 to 10",IF(HR_Data[[#This Row],[DistanceFromHome]]&lt;=20,"11 to 20","21 to 29")))</f>
        <v>1 to 5</v>
      </c>
      <c r="AR1402" s="1">
        <f>IF(HR_Data[[#This Row],[DistanceFromHome]]&lt;=5,1,IF(HR_Data[[#This Row],[DistanceFromHome]]&lt;=10,2,IF(HR_Data[[#This Row],[DistanceFromHome]]&lt;=20,3,4)))</f>
        <v>1</v>
      </c>
      <c r="AS1402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402" s="1">
        <f>IF(HR_Data[[#This Row],[TotalWorkingYears]]&lt;=5,1,IF(HR_Data[[#This Row],[TotalWorkingYears]]&lt;=10,2,IF(HR_Data[[#This Row],[TotalWorkingYears]]&lt;=20,3,4)))</f>
        <v>2</v>
      </c>
    </row>
    <row r="1403" spans="1:46" x14ac:dyDescent="0.25">
      <c r="A1403">
        <v>55</v>
      </c>
      <c r="B1403" t="s">
        <v>36</v>
      </c>
      <c r="C1403" t="s">
        <v>30</v>
      </c>
      <c r="D1403" t="s">
        <v>54</v>
      </c>
      <c r="E1403">
        <v>26</v>
      </c>
      <c r="F1403">
        <v>4</v>
      </c>
      <c r="G1403" t="s">
        <v>54</v>
      </c>
      <c r="H1403">
        <v>1973</v>
      </c>
      <c r="I1403">
        <v>3</v>
      </c>
      <c r="J1403" t="s">
        <v>39</v>
      </c>
      <c r="K1403">
        <v>4</v>
      </c>
      <c r="L1403">
        <v>5</v>
      </c>
      <c r="M1403" t="s">
        <v>49</v>
      </c>
      <c r="N1403">
        <v>2</v>
      </c>
      <c r="O1403" t="s">
        <v>41</v>
      </c>
      <c r="P1403">
        <v>19636</v>
      </c>
      <c r="Q1403">
        <v>4</v>
      </c>
      <c r="R1403" t="s">
        <v>29</v>
      </c>
      <c r="S1403">
        <v>18</v>
      </c>
      <c r="T1403">
        <v>3</v>
      </c>
      <c r="U1403">
        <v>1</v>
      </c>
      <c r="V1403">
        <v>1</v>
      </c>
      <c r="W1403">
        <v>35</v>
      </c>
      <c r="X1403">
        <v>0</v>
      </c>
      <c r="Y1403">
        <v>3</v>
      </c>
      <c r="Z1403">
        <v>10</v>
      </c>
      <c r="AA1403">
        <v>9</v>
      </c>
      <c r="AB1403">
        <v>1</v>
      </c>
      <c r="AC1403">
        <v>4</v>
      </c>
      <c r="AD1403">
        <f>IF(HR_Data[[#This Row],[Attrition]]="Yes",1,0)</f>
        <v>0</v>
      </c>
      <c r="AE1403" t="str">
        <f>IF(HR_Data[[#This Row],[Age]]&lt;=25,"18-25",IF(HR_Data[[#This Row],[Age]]&lt;=35,"26-35",IF(HR_Data[[#This Row],[Age]]&lt;=45,"36-45",IF(HR_Data[[#This Row],[Age]]&lt;=55,"46-55","55+"))))</f>
        <v>46-55</v>
      </c>
      <c r="AF1403">
        <f>IF(HR_Data[[#This Row],[Age]]&lt;=25,1,IF(HR_Data[[#This Row],[Age]]&lt;=35,2,IF(HR_Data[[#This Row],[Age]]&lt;=45,3,IF(HR_Data[[#This Row],[Age]]&lt;=55,4,5))))</f>
        <v>4</v>
      </c>
      <c r="AG1403" s="1" t="str">
        <f>IF(HR_Data[[#This Row],[MonthlyIncome]]&lt;3000,"&lt;3K",IF(HR_Data[[#This Row],[MonthlyIncome]]&lt;6000,"3K-6K",IF(HR_Data[[#This Row],[MonthlyIncome]]&lt;10000,"6K-10K","10K+")))</f>
        <v>10K+</v>
      </c>
      <c r="AH1403" s="1">
        <f>IF(HR_Data[[#This Row],[MonthlyIncome]]&lt;3000,1,IF(HR_Data[[#This Row],[MonthlyIncome]]&lt;6000,2,IF(HR_Data[[#This Row],[MonthlyIncome]]&lt;10000,3,4)))</f>
        <v>4</v>
      </c>
      <c r="AI1403" s="1" t="str">
        <f>IF(HR_Data[[#This Row],[YearsAtCompany]]&lt;=2,"0-2 Yrs",IF(HR_Data[[#This Row],[YearsAtCompany]]&lt;=5,"3-5 Yrs",IF(HR_Data[[#This Row],[YearsAtCompany]]&lt;=10,"6-10 Yrs","10+ Yrs")))</f>
        <v>6-10 Yrs</v>
      </c>
      <c r="AJ1403" s="1">
        <f>IF(HR_Data[[#This Row],[YearsAtCompany]]&lt;=2,1,IF(HR_Data[[#This Row],[YearsAtCompany]]&lt;=5,2,IF(HR_Data[[#This Row],[YearsAtCompany]]&lt;=10,3,4)))</f>
        <v>3</v>
      </c>
      <c r="AK1403" s="1" t="str">
        <f>CHOOSE(HR_Data[[#This Row],[Education]],"Below College","College","Bachelor","Master","Doctor")</f>
        <v>Master</v>
      </c>
      <c r="AL1403" s="1" t="str">
        <f>CHOOSE(HR_Data[[#This Row],[JobSatisfaction]],"Low","Medium","High","Very High")</f>
        <v>Medium</v>
      </c>
      <c r="AM1403" s="1" t="str">
        <f>CHOOSE(HR_Data[[#This Row],[EnvironmentSatisfaction]],"Low","Medium","High","Very High")</f>
        <v>High</v>
      </c>
      <c r="AN1403" s="1" t="str">
        <f>CHOOSE(HR_Data[[#This Row],[WorkLifeBalance]],"Bad","Good","Better","Best")</f>
        <v>Better</v>
      </c>
      <c r="AO1403" s="1" t="str">
        <f>IF(HR_Data[[#This Row],[PercentSalaryHike]]&lt;=13,"11-13%",IF(HR_Data[[#This Row],[PercentSalaryHike]]&lt;=16,"14-16%",IF(HR_Data[[#This Row],[PercentSalaryHike]]&lt;=19,"17-19%","20-25%")))</f>
        <v>17-19%</v>
      </c>
      <c r="AP1403" s="1">
        <f>IF(HR_Data[[#This Row],[PercentSalaryHike]]&lt;=13,1,IF(HR_Data[[#This Row],[PercentSalaryHike]]&lt;=16,2,IF(HR_Data[[#This Row],[PercentSalaryHike]]&lt;=19,3,4)))</f>
        <v>3</v>
      </c>
      <c r="AQ1403" s="1" t="str">
        <f>IF(HR_Data[[#This Row],[DistanceFromHome]]&lt;=5,"1 to 5",IF(HR_Data[[#This Row],[DistanceFromHome]]&lt;=10,"6 to 10",IF(HR_Data[[#This Row],[DistanceFromHome]]&lt;=20,"11 to 20","21 to 29")))</f>
        <v>21 to 29</v>
      </c>
      <c r="AR1403" s="1">
        <f>IF(HR_Data[[#This Row],[DistanceFromHome]]&lt;=5,1,IF(HR_Data[[#This Row],[DistanceFromHome]]&lt;=10,2,IF(HR_Data[[#This Row],[DistanceFromHome]]&lt;=20,3,4)))</f>
        <v>4</v>
      </c>
      <c r="AS1403" s="1" t="str">
        <f>IF(HR_Data[[#This Row],[TotalWorkingYears]]&lt;=5,"0-5 Yrs",IF(HR_Data[[#This Row],[TotalWorkingYears]]&lt;=10,"6-10 Yrs",IF(HR_Data[[#This Row],[TotalWorkingYears]]&lt;=20,"11-20 Yrs","20+ Yrs")))</f>
        <v>20+ Yrs</v>
      </c>
      <c r="AT1403" s="1">
        <f>IF(HR_Data[[#This Row],[TotalWorkingYears]]&lt;=5,1,IF(HR_Data[[#This Row],[TotalWorkingYears]]&lt;=10,2,IF(HR_Data[[#This Row],[TotalWorkingYears]]&lt;=20,3,4)))</f>
        <v>4</v>
      </c>
    </row>
    <row r="1404" spans="1:46" x14ac:dyDescent="0.25">
      <c r="A1404">
        <v>31</v>
      </c>
      <c r="B1404" t="s">
        <v>36</v>
      </c>
      <c r="C1404" t="s">
        <v>30</v>
      </c>
      <c r="D1404" t="s">
        <v>38</v>
      </c>
      <c r="E1404">
        <v>2</v>
      </c>
      <c r="F1404">
        <v>1</v>
      </c>
      <c r="G1404" t="s">
        <v>44</v>
      </c>
      <c r="H1404">
        <v>1974</v>
      </c>
      <c r="I1404">
        <v>4</v>
      </c>
      <c r="J1404" t="s">
        <v>33</v>
      </c>
      <c r="K1404">
        <v>1</v>
      </c>
      <c r="L1404">
        <v>1</v>
      </c>
      <c r="M1404" t="s">
        <v>43</v>
      </c>
      <c r="N1404">
        <v>4</v>
      </c>
      <c r="O1404" t="s">
        <v>45</v>
      </c>
      <c r="P1404">
        <v>1129</v>
      </c>
      <c r="Q1404">
        <v>1</v>
      </c>
      <c r="R1404" t="s">
        <v>29</v>
      </c>
      <c r="S1404">
        <v>11</v>
      </c>
      <c r="T1404">
        <v>3</v>
      </c>
      <c r="U1404">
        <v>3</v>
      </c>
      <c r="V1404">
        <v>3</v>
      </c>
      <c r="W1404">
        <v>1</v>
      </c>
      <c r="X1404">
        <v>4</v>
      </c>
      <c r="Y1404">
        <v>3</v>
      </c>
      <c r="Z1404">
        <v>1</v>
      </c>
      <c r="AA1404">
        <v>0</v>
      </c>
      <c r="AB1404">
        <v>0</v>
      </c>
      <c r="AC1404">
        <v>0</v>
      </c>
      <c r="AD1404">
        <f>IF(HR_Data[[#This Row],[Attrition]]="Yes",1,0)</f>
        <v>0</v>
      </c>
      <c r="AE1404" t="str">
        <f>IF(HR_Data[[#This Row],[Age]]&lt;=25,"18-25",IF(HR_Data[[#This Row],[Age]]&lt;=35,"26-35",IF(HR_Data[[#This Row],[Age]]&lt;=45,"36-45",IF(HR_Data[[#This Row],[Age]]&lt;=55,"46-55","55+"))))</f>
        <v>26-35</v>
      </c>
      <c r="AF1404">
        <f>IF(HR_Data[[#This Row],[Age]]&lt;=25,1,IF(HR_Data[[#This Row],[Age]]&lt;=35,2,IF(HR_Data[[#This Row],[Age]]&lt;=45,3,IF(HR_Data[[#This Row],[Age]]&lt;=55,4,5))))</f>
        <v>2</v>
      </c>
      <c r="AG1404" s="1" t="str">
        <f>IF(HR_Data[[#This Row],[MonthlyIncome]]&lt;3000,"&lt;3K",IF(HR_Data[[#This Row],[MonthlyIncome]]&lt;6000,"3K-6K",IF(HR_Data[[#This Row],[MonthlyIncome]]&lt;10000,"6K-10K","10K+")))</f>
        <v>&lt;3K</v>
      </c>
      <c r="AH1404" s="1">
        <f>IF(HR_Data[[#This Row],[MonthlyIncome]]&lt;3000,1,IF(HR_Data[[#This Row],[MonthlyIncome]]&lt;6000,2,IF(HR_Data[[#This Row],[MonthlyIncome]]&lt;10000,3,4)))</f>
        <v>1</v>
      </c>
      <c r="AI1404" s="1" t="str">
        <f>IF(HR_Data[[#This Row],[YearsAtCompany]]&lt;=2,"0-2 Yrs",IF(HR_Data[[#This Row],[YearsAtCompany]]&lt;=5,"3-5 Yrs",IF(HR_Data[[#This Row],[YearsAtCompany]]&lt;=10,"6-10 Yrs","10+ Yrs")))</f>
        <v>0-2 Yrs</v>
      </c>
      <c r="AJ1404" s="1">
        <f>IF(HR_Data[[#This Row],[YearsAtCompany]]&lt;=2,1,IF(HR_Data[[#This Row],[YearsAtCompany]]&lt;=5,2,IF(HR_Data[[#This Row],[YearsAtCompany]]&lt;=10,3,4)))</f>
        <v>1</v>
      </c>
      <c r="AK1404" s="1" t="str">
        <f>CHOOSE(HR_Data[[#This Row],[Education]],"Below College","College","Bachelor","Master","Doctor")</f>
        <v>Below College</v>
      </c>
      <c r="AL1404" s="1" t="str">
        <f>CHOOSE(HR_Data[[#This Row],[JobSatisfaction]],"Low","Medium","High","Very High")</f>
        <v>Very High</v>
      </c>
      <c r="AM1404" s="1" t="str">
        <f>CHOOSE(HR_Data[[#This Row],[EnvironmentSatisfaction]],"Low","Medium","High","Very High")</f>
        <v>Very High</v>
      </c>
      <c r="AN1404" s="1" t="str">
        <f>CHOOSE(HR_Data[[#This Row],[WorkLifeBalance]],"Bad","Good","Better","Best")</f>
        <v>Better</v>
      </c>
      <c r="AO1404" s="1" t="str">
        <f>IF(HR_Data[[#This Row],[PercentSalaryHike]]&lt;=13,"11-13%",IF(HR_Data[[#This Row],[PercentSalaryHike]]&lt;=16,"14-16%",IF(HR_Data[[#This Row],[PercentSalaryHike]]&lt;=19,"17-19%","20-25%")))</f>
        <v>11-13%</v>
      </c>
      <c r="AP1404" s="1">
        <f>IF(HR_Data[[#This Row],[PercentSalaryHike]]&lt;=13,1,IF(HR_Data[[#This Row],[PercentSalaryHike]]&lt;=16,2,IF(HR_Data[[#This Row],[PercentSalaryHike]]&lt;=19,3,4)))</f>
        <v>1</v>
      </c>
      <c r="AQ1404" s="1" t="str">
        <f>IF(HR_Data[[#This Row],[DistanceFromHome]]&lt;=5,"1 to 5",IF(HR_Data[[#This Row],[DistanceFromHome]]&lt;=10,"6 to 10",IF(HR_Data[[#This Row],[DistanceFromHome]]&lt;=20,"11 to 20","21 to 29")))</f>
        <v>1 to 5</v>
      </c>
      <c r="AR1404" s="1">
        <f>IF(HR_Data[[#This Row],[DistanceFromHome]]&lt;=5,1,IF(HR_Data[[#This Row],[DistanceFromHome]]&lt;=10,2,IF(HR_Data[[#This Row],[DistanceFromHome]]&lt;=20,3,4)))</f>
        <v>1</v>
      </c>
      <c r="AS1404" s="1" t="str">
        <f>IF(HR_Data[[#This Row],[TotalWorkingYears]]&lt;=5,"0-5 Yrs",IF(HR_Data[[#This Row],[TotalWorkingYears]]&lt;=10,"6-10 Yrs",IF(HR_Data[[#This Row],[TotalWorkingYears]]&lt;=20,"11-20 Yrs","20+ Yrs")))</f>
        <v>0-5 Yrs</v>
      </c>
      <c r="AT1404" s="1">
        <f>IF(HR_Data[[#This Row],[TotalWorkingYears]]&lt;=5,1,IF(HR_Data[[#This Row],[TotalWorkingYears]]&lt;=10,2,IF(HR_Data[[#This Row],[TotalWorkingYears]]&lt;=20,3,4)))</f>
        <v>1</v>
      </c>
    </row>
    <row r="1405" spans="1:46" x14ac:dyDescent="0.25">
      <c r="A1405">
        <v>39</v>
      </c>
      <c r="B1405" t="s">
        <v>36</v>
      </c>
      <c r="C1405" t="s">
        <v>30</v>
      </c>
      <c r="D1405" t="s">
        <v>31</v>
      </c>
      <c r="E1405">
        <v>15</v>
      </c>
      <c r="F1405">
        <v>4</v>
      </c>
      <c r="G1405" t="s">
        <v>52</v>
      </c>
      <c r="H1405">
        <v>1975</v>
      </c>
      <c r="I1405">
        <v>2</v>
      </c>
      <c r="J1405" t="s">
        <v>39</v>
      </c>
      <c r="K1405">
        <v>3</v>
      </c>
      <c r="L1405">
        <v>4</v>
      </c>
      <c r="M1405" t="s">
        <v>34</v>
      </c>
      <c r="N1405">
        <v>1</v>
      </c>
      <c r="O1405" t="s">
        <v>35</v>
      </c>
      <c r="P1405">
        <v>13341</v>
      </c>
      <c r="Q1405">
        <v>0</v>
      </c>
      <c r="R1405" t="s">
        <v>36</v>
      </c>
      <c r="S1405">
        <v>12</v>
      </c>
      <c r="T1405">
        <v>3</v>
      </c>
      <c r="U1405">
        <v>1</v>
      </c>
      <c r="V1405">
        <v>0</v>
      </c>
      <c r="W1405">
        <v>21</v>
      </c>
      <c r="X1405">
        <v>3</v>
      </c>
      <c r="Y1405">
        <v>3</v>
      </c>
      <c r="Z1405">
        <v>20</v>
      </c>
      <c r="AA1405">
        <v>8</v>
      </c>
      <c r="AB1405">
        <v>11</v>
      </c>
      <c r="AC1405">
        <v>10</v>
      </c>
      <c r="AD1405">
        <f>IF(HR_Data[[#This Row],[Attrition]]="Yes",1,0)</f>
        <v>0</v>
      </c>
      <c r="AE1405" t="str">
        <f>IF(HR_Data[[#This Row],[Age]]&lt;=25,"18-25",IF(HR_Data[[#This Row],[Age]]&lt;=35,"26-35",IF(HR_Data[[#This Row],[Age]]&lt;=45,"36-45",IF(HR_Data[[#This Row],[Age]]&lt;=55,"46-55","55+"))))</f>
        <v>36-45</v>
      </c>
      <c r="AF1405">
        <f>IF(HR_Data[[#This Row],[Age]]&lt;=25,1,IF(HR_Data[[#This Row],[Age]]&lt;=35,2,IF(HR_Data[[#This Row],[Age]]&lt;=45,3,IF(HR_Data[[#This Row],[Age]]&lt;=55,4,5))))</f>
        <v>3</v>
      </c>
      <c r="AG1405" s="1" t="str">
        <f>IF(HR_Data[[#This Row],[MonthlyIncome]]&lt;3000,"&lt;3K",IF(HR_Data[[#This Row],[MonthlyIncome]]&lt;6000,"3K-6K",IF(HR_Data[[#This Row],[MonthlyIncome]]&lt;10000,"6K-10K","10K+")))</f>
        <v>10K+</v>
      </c>
      <c r="AH1405" s="1">
        <f>IF(HR_Data[[#This Row],[MonthlyIncome]]&lt;3000,1,IF(HR_Data[[#This Row],[MonthlyIncome]]&lt;6000,2,IF(HR_Data[[#This Row],[MonthlyIncome]]&lt;10000,3,4)))</f>
        <v>4</v>
      </c>
      <c r="AI1405" s="1" t="str">
        <f>IF(HR_Data[[#This Row],[YearsAtCompany]]&lt;=2,"0-2 Yrs",IF(HR_Data[[#This Row],[YearsAtCompany]]&lt;=5,"3-5 Yrs",IF(HR_Data[[#This Row],[YearsAtCompany]]&lt;=10,"6-10 Yrs","10+ Yrs")))</f>
        <v>10+ Yrs</v>
      </c>
      <c r="AJ1405" s="1">
        <f>IF(HR_Data[[#This Row],[YearsAtCompany]]&lt;=2,1,IF(HR_Data[[#This Row],[YearsAtCompany]]&lt;=5,2,IF(HR_Data[[#This Row],[YearsAtCompany]]&lt;=10,3,4)))</f>
        <v>4</v>
      </c>
      <c r="AK1405" s="1" t="str">
        <f>CHOOSE(HR_Data[[#This Row],[Education]],"Below College","College","Bachelor","Master","Doctor")</f>
        <v>Master</v>
      </c>
      <c r="AL1405" s="1" t="str">
        <f>CHOOSE(HR_Data[[#This Row],[JobSatisfaction]],"Low","Medium","High","Very High")</f>
        <v>Low</v>
      </c>
      <c r="AM1405" s="1" t="str">
        <f>CHOOSE(HR_Data[[#This Row],[EnvironmentSatisfaction]],"Low","Medium","High","Very High")</f>
        <v>Medium</v>
      </c>
      <c r="AN1405" s="1" t="str">
        <f>CHOOSE(HR_Data[[#This Row],[WorkLifeBalance]],"Bad","Good","Better","Best")</f>
        <v>Better</v>
      </c>
      <c r="AO1405" s="1" t="str">
        <f>IF(HR_Data[[#This Row],[PercentSalaryHike]]&lt;=13,"11-13%",IF(HR_Data[[#This Row],[PercentSalaryHike]]&lt;=16,"14-16%",IF(HR_Data[[#This Row],[PercentSalaryHike]]&lt;=19,"17-19%","20-25%")))</f>
        <v>11-13%</v>
      </c>
      <c r="AP1405" s="1">
        <f>IF(HR_Data[[#This Row],[PercentSalaryHike]]&lt;=13,1,IF(HR_Data[[#This Row],[PercentSalaryHike]]&lt;=16,2,IF(HR_Data[[#This Row],[PercentSalaryHike]]&lt;=19,3,4)))</f>
        <v>1</v>
      </c>
      <c r="AQ1405" s="1" t="str">
        <f>IF(HR_Data[[#This Row],[DistanceFromHome]]&lt;=5,"1 to 5",IF(HR_Data[[#This Row],[DistanceFromHome]]&lt;=10,"6 to 10",IF(HR_Data[[#This Row],[DistanceFromHome]]&lt;=20,"11 to 20","21 to 29")))</f>
        <v>11 to 20</v>
      </c>
      <c r="AR1405" s="1">
        <f>IF(HR_Data[[#This Row],[DistanceFromHome]]&lt;=5,1,IF(HR_Data[[#This Row],[DistanceFromHome]]&lt;=10,2,IF(HR_Data[[#This Row],[DistanceFromHome]]&lt;=20,3,4)))</f>
        <v>3</v>
      </c>
      <c r="AS1405" s="1" t="str">
        <f>IF(HR_Data[[#This Row],[TotalWorkingYears]]&lt;=5,"0-5 Yrs",IF(HR_Data[[#This Row],[TotalWorkingYears]]&lt;=10,"6-10 Yrs",IF(HR_Data[[#This Row],[TotalWorkingYears]]&lt;=20,"11-20 Yrs","20+ Yrs")))</f>
        <v>20+ Yrs</v>
      </c>
      <c r="AT1405" s="1">
        <f>IF(HR_Data[[#This Row],[TotalWorkingYears]]&lt;=5,1,IF(HR_Data[[#This Row],[TotalWorkingYears]]&lt;=10,2,IF(HR_Data[[#This Row],[TotalWorkingYears]]&lt;=20,3,4)))</f>
        <v>4</v>
      </c>
    </row>
    <row r="1406" spans="1:46" x14ac:dyDescent="0.25">
      <c r="A1406">
        <v>42</v>
      </c>
      <c r="B1406" t="s">
        <v>36</v>
      </c>
      <c r="C1406" t="s">
        <v>48</v>
      </c>
      <c r="D1406" t="s">
        <v>38</v>
      </c>
      <c r="E1406">
        <v>23</v>
      </c>
      <c r="F1406">
        <v>2</v>
      </c>
      <c r="G1406" t="s">
        <v>32</v>
      </c>
      <c r="H1406">
        <v>1976</v>
      </c>
      <c r="I1406">
        <v>4</v>
      </c>
      <c r="J1406" t="s">
        <v>39</v>
      </c>
      <c r="K1406">
        <v>2</v>
      </c>
      <c r="L1406">
        <v>2</v>
      </c>
      <c r="M1406" t="s">
        <v>40</v>
      </c>
      <c r="N1406">
        <v>3</v>
      </c>
      <c r="O1406" t="s">
        <v>35</v>
      </c>
      <c r="P1406">
        <v>4332</v>
      </c>
      <c r="Q1406">
        <v>1</v>
      </c>
      <c r="R1406" t="s">
        <v>36</v>
      </c>
      <c r="S1406">
        <v>12</v>
      </c>
      <c r="T1406">
        <v>3</v>
      </c>
      <c r="U1406">
        <v>4</v>
      </c>
      <c r="V1406">
        <v>0</v>
      </c>
      <c r="W1406">
        <v>20</v>
      </c>
      <c r="X1406">
        <v>2</v>
      </c>
      <c r="Y1406">
        <v>3</v>
      </c>
      <c r="Z1406">
        <v>20</v>
      </c>
      <c r="AA1406">
        <v>9</v>
      </c>
      <c r="AB1406">
        <v>3</v>
      </c>
      <c r="AC1406">
        <v>7</v>
      </c>
      <c r="AD1406">
        <f>IF(HR_Data[[#This Row],[Attrition]]="Yes",1,0)</f>
        <v>0</v>
      </c>
      <c r="AE1406" t="str">
        <f>IF(HR_Data[[#This Row],[Age]]&lt;=25,"18-25",IF(HR_Data[[#This Row],[Age]]&lt;=35,"26-35",IF(HR_Data[[#This Row],[Age]]&lt;=45,"36-45",IF(HR_Data[[#This Row],[Age]]&lt;=55,"46-55","55+"))))</f>
        <v>36-45</v>
      </c>
      <c r="AF1406">
        <f>IF(HR_Data[[#This Row],[Age]]&lt;=25,1,IF(HR_Data[[#This Row],[Age]]&lt;=35,2,IF(HR_Data[[#This Row],[Age]]&lt;=45,3,IF(HR_Data[[#This Row],[Age]]&lt;=55,4,5))))</f>
        <v>3</v>
      </c>
      <c r="AG1406" s="1" t="str">
        <f>IF(HR_Data[[#This Row],[MonthlyIncome]]&lt;3000,"&lt;3K",IF(HR_Data[[#This Row],[MonthlyIncome]]&lt;6000,"3K-6K",IF(HR_Data[[#This Row],[MonthlyIncome]]&lt;10000,"6K-10K","10K+")))</f>
        <v>3K-6K</v>
      </c>
      <c r="AH1406" s="1">
        <f>IF(HR_Data[[#This Row],[MonthlyIncome]]&lt;3000,1,IF(HR_Data[[#This Row],[MonthlyIncome]]&lt;6000,2,IF(HR_Data[[#This Row],[MonthlyIncome]]&lt;10000,3,4)))</f>
        <v>2</v>
      </c>
      <c r="AI1406" s="1" t="str">
        <f>IF(HR_Data[[#This Row],[YearsAtCompany]]&lt;=2,"0-2 Yrs",IF(HR_Data[[#This Row],[YearsAtCompany]]&lt;=5,"3-5 Yrs",IF(HR_Data[[#This Row],[YearsAtCompany]]&lt;=10,"6-10 Yrs","10+ Yrs")))</f>
        <v>10+ Yrs</v>
      </c>
      <c r="AJ1406" s="1">
        <f>IF(HR_Data[[#This Row],[YearsAtCompany]]&lt;=2,1,IF(HR_Data[[#This Row],[YearsAtCompany]]&lt;=5,2,IF(HR_Data[[#This Row],[YearsAtCompany]]&lt;=10,3,4)))</f>
        <v>4</v>
      </c>
      <c r="AK1406" s="1" t="str">
        <f>CHOOSE(HR_Data[[#This Row],[Education]],"Below College","College","Bachelor","Master","Doctor")</f>
        <v>College</v>
      </c>
      <c r="AL1406" s="1" t="str">
        <f>CHOOSE(HR_Data[[#This Row],[JobSatisfaction]],"Low","Medium","High","Very High")</f>
        <v>High</v>
      </c>
      <c r="AM1406" s="1" t="str">
        <f>CHOOSE(HR_Data[[#This Row],[EnvironmentSatisfaction]],"Low","Medium","High","Very High")</f>
        <v>Very High</v>
      </c>
      <c r="AN1406" s="1" t="str">
        <f>CHOOSE(HR_Data[[#This Row],[WorkLifeBalance]],"Bad","Good","Better","Best")</f>
        <v>Better</v>
      </c>
      <c r="AO1406" s="1" t="str">
        <f>IF(HR_Data[[#This Row],[PercentSalaryHike]]&lt;=13,"11-13%",IF(HR_Data[[#This Row],[PercentSalaryHike]]&lt;=16,"14-16%",IF(HR_Data[[#This Row],[PercentSalaryHike]]&lt;=19,"17-19%","20-25%")))</f>
        <v>11-13%</v>
      </c>
      <c r="AP1406" s="1">
        <f>IF(HR_Data[[#This Row],[PercentSalaryHike]]&lt;=13,1,IF(HR_Data[[#This Row],[PercentSalaryHike]]&lt;=16,2,IF(HR_Data[[#This Row],[PercentSalaryHike]]&lt;=19,3,4)))</f>
        <v>1</v>
      </c>
      <c r="AQ1406" s="1" t="str">
        <f>IF(HR_Data[[#This Row],[DistanceFromHome]]&lt;=5,"1 to 5",IF(HR_Data[[#This Row],[DistanceFromHome]]&lt;=10,"6 to 10",IF(HR_Data[[#This Row],[DistanceFromHome]]&lt;=20,"11 to 20","21 to 29")))</f>
        <v>21 to 29</v>
      </c>
      <c r="AR1406" s="1">
        <f>IF(HR_Data[[#This Row],[DistanceFromHome]]&lt;=5,1,IF(HR_Data[[#This Row],[DistanceFromHome]]&lt;=10,2,IF(HR_Data[[#This Row],[DistanceFromHome]]&lt;=20,3,4)))</f>
        <v>4</v>
      </c>
      <c r="AS1406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406" s="1">
        <f>IF(HR_Data[[#This Row],[TotalWorkingYears]]&lt;=5,1,IF(HR_Data[[#This Row],[TotalWorkingYears]]&lt;=10,2,IF(HR_Data[[#This Row],[TotalWorkingYears]]&lt;=20,3,4)))</f>
        <v>3</v>
      </c>
    </row>
    <row r="1407" spans="1:46" x14ac:dyDescent="0.25">
      <c r="A1407">
        <v>31</v>
      </c>
      <c r="B1407" t="s">
        <v>36</v>
      </c>
      <c r="C1407" t="s">
        <v>48</v>
      </c>
      <c r="D1407" t="s">
        <v>38</v>
      </c>
      <c r="E1407">
        <v>10</v>
      </c>
      <c r="F1407">
        <v>3</v>
      </c>
      <c r="G1407" t="s">
        <v>44</v>
      </c>
      <c r="H1407">
        <v>1979</v>
      </c>
      <c r="I1407">
        <v>3</v>
      </c>
      <c r="J1407" t="s">
        <v>33</v>
      </c>
      <c r="K1407">
        <v>3</v>
      </c>
      <c r="L1407">
        <v>3</v>
      </c>
      <c r="M1407" t="s">
        <v>51</v>
      </c>
      <c r="N1407">
        <v>3</v>
      </c>
      <c r="O1407" t="s">
        <v>41</v>
      </c>
      <c r="P1407">
        <v>11031</v>
      </c>
      <c r="Q1407">
        <v>4</v>
      </c>
      <c r="R1407" t="s">
        <v>36</v>
      </c>
      <c r="S1407">
        <v>20</v>
      </c>
      <c r="T1407">
        <v>4</v>
      </c>
      <c r="U1407">
        <v>3</v>
      </c>
      <c r="V1407">
        <v>1</v>
      </c>
      <c r="W1407">
        <v>13</v>
      </c>
      <c r="X1407">
        <v>2</v>
      </c>
      <c r="Y1407">
        <v>4</v>
      </c>
      <c r="Z1407">
        <v>11</v>
      </c>
      <c r="AA1407">
        <v>7</v>
      </c>
      <c r="AB1407">
        <v>4</v>
      </c>
      <c r="AC1407">
        <v>8</v>
      </c>
      <c r="AD1407">
        <f>IF(HR_Data[[#This Row],[Attrition]]="Yes",1,0)</f>
        <v>0</v>
      </c>
      <c r="AE1407" t="str">
        <f>IF(HR_Data[[#This Row],[Age]]&lt;=25,"18-25",IF(HR_Data[[#This Row],[Age]]&lt;=35,"26-35",IF(HR_Data[[#This Row],[Age]]&lt;=45,"36-45",IF(HR_Data[[#This Row],[Age]]&lt;=55,"46-55","55+"))))</f>
        <v>26-35</v>
      </c>
      <c r="AF1407">
        <f>IF(HR_Data[[#This Row],[Age]]&lt;=25,1,IF(HR_Data[[#This Row],[Age]]&lt;=35,2,IF(HR_Data[[#This Row],[Age]]&lt;=45,3,IF(HR_Data[[#This Row],[Age]]&lt;=55,4,5))))</f>
        <v>2</v>
      </c>
      <c r="AG1407" s="1" t="str">
        <f>IF(HR_Data[[#This Row],[MonthlyIncome]]&lt;3000,"&lt;3K",IF(HR_Data[[#This Row],[MonthlyIncome]]&lt;6000,"3K-6K",IF(HR_Data[[#This Row],[MonthlyIncome]]&lt;10000,"6K-10K","10K+")))</f>
        <v>10K+</v>
      </c>
      <c r="AH1407" s="1">
        <f>IF(HR_Data[[#This Row],[MonthlyIncome]]&lt;3000,1,IF(HR_Data[[#This Row],[MonthlyIncome]]&lt;6000,2,IF(HR_Data[[#This Row],[MonthlyIncome]]&lt;10000,3,4)))</f>
        <v>4</v>
      </c>
      <c r="AI1407" s="1" t="str">
        <f>IF(HR_Data[[#This Row],[YearsAtCompany]]&lt;=2,"0-2 Yrs",IF(HR_Data[[#This Row],[YearsAtCompany]]&lt;=5,"3-5 Yrs",IF(HR_Data[[#This Row],[YearsAtCompany]]&lt;=10,"6-10 Yrs","10+ Yrs")))</f>
        <v>10+ Yrs</v>
      </c>
      <c r="AJ1407" s="1">
        <f>IF(HR_Data[[#This Row],[YearsAtCompany]]&lt;=2,1,IF(HR_Data[[#This Row],[YearsAtCompany]]&lt;=5,2,IF(HR_Data[[#This Row],[YearsAtCompany]]&lt;=10,3,4)))</f>
        <v>4</v>
      </c>
      <c r="AK1407" s="1" t="str">
        <f>CHOOSE(HR_Data[[#This Row],[Education]],"Below College","College","Bachelor","Master","Doctor")</f>
        <v>Bachelor</v>
      </c>
      <c r="AL1407" s="1" t="str">
        <f>CHOOSE(HR_Data[[#This Row],[JobSatisfaction]],"Low","Medium","High","Very High")</f>
        <v>High</v>
      </c>
      <c r="AM1407" s="1" t="str">
        <f>CHOOSE(HR_Data[[#This Row],[EnvironmentSatisfaction]],"Low","Medium","High","Very High")</f>
        <v>High</v>
      </c>
      <c r="AN1407" s="1" t="str">
        <f>CHOOSE(HR_Data[[#This Row],[WorkLifeBalance]],"Bad","Good","Better","Best")</f>
        <v>Best</v>
      </c>
      <c r="AO1407" s="1" t="str">
        <f>IF(HR_Data[[#This Row],[PercentSalaryHike]]&lt;=13,"11-13%",IF(HR_Data[[#This Row],[PercentSalaryHike]]&lt;=16,"14-16%",IF(HR_Data[[#This Row],[PercentSalaryHike]]&lt;=19,"17-19%","20-25%")))</f>
        <v>20-25%</v>
      </c>
      <c r="AP1407" s="1">
        <f>IF(HR_Data[[#This Row],[PercentSalaryHike]]&lt;=13,1,IF(HR_Data[[#This Row],[PercentSalaryHike]]&lt;=16,2,IF(HR_Data[[#This Row],[PercentSalaryHike]]&lt;=19,3,4)))</f>
        <v>4</v>
      </c>
      <c r="AQ1407" s="1" t="str">
        <f>IF(HR_Data[[#This Row],[DistanceFromHome]]&lt;=5,"1 to 5",IF(HR_Data[[#This Row],[DistanceFromHome]]&lt;=10,"6 to 10",IF(HR_Data[[#This Row],[DistanceFromHome]]&lt;=20,"11 to 20","21 to 29")))</f>
        <v>6 to 10</v>
      </c>
      <c r="AR1407" s="1">
        <f>IF(HR_Data[[#This Row],[DistanceFromHome]]&lt;=5,1,IF(HR_Data[[#This Row],[DistanceFromHome]]&lt;=10,2,IF(HR_Data[[#This Row],[DistanceFromHome]]&lt;=20,3,4)))</f>
        <v>2</v>
      </c>
      <c r="AS1407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407" s="1">
        <f>IF(HR_Data[[#This Row],[TotalWorkingYears]]&lt;=5,1,IF(HR_Data[[#This Row],[TotalWorkingYears]]&lt;=10,2,IF(HR_Data[[#This Row],[TotalWorkingYears]]&lt;=20,3,4)))</f>
        <v>3</v>
      </c>
    </row>
    <row r="1408" spans="1:46" x14ac:dyDescent="0.25">
      <c r="A1408">
        <v>54</v>
      </c>
      <c r="B1408" t="s">
        <v>36</v>
      </c>
      <c r="C1408" t="s">
        <v>30</v>
      </c>
      <c r="D1408" t="s">
        <v>38</v>
      </c>
      <c r="E1408">
        <v>10</v>
      </c>
      <c r="F1408">
        <v>3</v>
      </c>
      <c r="G1408" t="s">
        <v>44</v>
      </c>
      <c r="H1408">
        <v>1980</v>
      </c>
      <c r="I1408">
        <v>3</v>
      </c>
      <c r="J1408" t="s">
        <v>33</v>
      </c>
      <c r="K1408">
        <v>3</v>
      </c>
      <c r="L1408">
        <v>2</v>
      </c>
      <c r="M1408" t="s">
        <v>46</v>
      </c>
      <c r="N1408">
        <v>1</v>
      </c>
      <c r="O1408" t="s">
        <v>35</v>
      </c>
      <c r="P1408">
        <v>4440</v>
      </c>
      <c r="Q1408">
        <v>6</v>
      </c>
      <c r="R1408" t="s">
        <v>29</v>
      </c>
      <c r="S1408">
        <v>19</v>
      </c>
      <c r="T1408">
        <v>3</v>
      </c>
      <c r="U1408">
        <v>4</v>
      </c>
      <c r="V1408">
        <v>0</v>
      </c>
      <c r="W1408">
        <v>9</v>
      </c>
      <c r="X1408">
        <v>3</v>
      </c>
      <c r="Y1408">
        <v>3</v>
      </c>
      <c r="Z1408">
        <v>5</v>
      </c>
      <c r="AA1408">
        <v>2</v>
      </c>
      <c r="AB1408">
        <v>1</v>
      </c>
      <c r="AC1408">
        <v>4</v>
      </c>
      <c r="AD1408">
        <f>IF(HR_Data[[#This Row],[Attrition]]="Yes",1,0)</f>
        <v>0</v>
      </c>
      <c r="AE1408" t="str">
        <f>IF(HR_Data[[#This Row],[Age]]&lt;=25,"18-25",IF(HR_Data[[#This Row],[Age]]&lt;=35,"26-35",IF(HR_Data[[#This Row],[Age]]&lt;=45,"36-45",IF(HR_Data[[#This Row],[Age]]&lt;=55,"46-55","55+"))))</f>
        <v>46-55</v>
      </c>
      <c r="AF1408">
        <f>IF(HR_Data[[#This Row],[Age]]&lt;=25,1,IF(HR_Data[[#This Row],[Age]]&lt;=35,2,IF(HR_Data[[#This Row],[Age]]&lt;=45,3,IF(HR_Data[[#This Row],[Age]]&lt;=55,4,5))))</f>
        <v>4</v>
      </c>
      <c r="AG1408" s="1" t="str">
        <f>IF(HR_Data[[#This Row],[MonthlyIncome]]&lt;3000,"&lt;3K",IF(HR_Data[[#This Row],[MonthlyIncome]]&lt;6000,"3K-6K",IF(HR_Data[[#This Row],[MonthlyIncome]]&lt;10000,"6K-10K","10K+")))</f>
        <v>3K-6K</v>
      </c>
      <c r="AH1408" s="1">
        <f>IF(HR_Data[[#This Row],[MonthlyIncome]]&lt;3000,1,IF(HR_Data[[#This Row],[MonthlyIncome]]&lt;6000,2,IF(HR_Data[[#This Row],[MonthlyIncome]]&lt;10000,3,4)))</f>
        <v>2</v>
      </c>
      <c r="AI1408" s="1" t="str">
        <f>IF(HR_Data[[#This Row],[YearsAtCompany]]&lt;=2,"0-2 Yrs",IF(HR_Data[[#This Row],[YearsAtCompany]]&lt;=5,"3-5 Yrs",IF(HR_Data[[#This Row],[YearsAtCompany]]&lt;=10,"6-10 Yrs","10+ Yrs")))</f>
        <v>3-5 Yrs</v>
      </c>
      <c r="AJ1408" s="1">
        <f>IF(HR_Data[[#This Row],[YearsAtCompany]]&lt;=2,1,IF(HR_Data[[#This Row],[YearsAtCompany]]&lt;=5,2,IF(HR_Data[[#This Row],[YearsAtCompany]]&lt;=10,3,4)))</f>
        <v>2</v>
      </c>
      <c r="AK1408" s="1" t="str">
        <f>CHOOSE(HR_Data[[#This Row],[Education]],"Below College","College","Bachelor","Master","Doctor")</f>
        <v>Bachelor</v>
      </c>
      <c r="AL1408" s="1" t="str">
        <f>CHOOSE(HR_Data[[#This Row],[JobSatisfaction]],"Low","Medium","High","Very High")</f>
        <v>Low</v>
      </c>
      <c r="AM1408" s="1" t="str">
        <f>CHOOSE(HR_Data[[#This Row],[EnvironmentSatisfaction]],"Low","Medium","High","Very High")</f>
        <v>High</v>
      </c>
      <c r="AN1408" s="1" t="str">
        <f>CHOOSE(HR_Data[[#This Row],[WorkLifeBalance]],"Bad","Good","Better","Best")</f>
        <v>Better</v>
      </c>
      <c r="AO1408" s="1" t="str">
        <f>IF(HR_Data[[#This Row],[PercentSalaryHike]]&lt;=13,"11-13%",IF(HR_Data[[#This Row],[PercentSalaryHike]]&lt;=16,"14-16%",IF(HR_Data[[#This Row],[PercentSalaryHike]]&lt;=19,"17-19%","20-25%")))</f>
        <v>17-19%</v>
      </c>
      <c r="AP1408" s="1">
        <f>IF(HR_Data[[#This Row],[PercentSalaryHike]]&lt;=13,1,IF(HR_Data[[#This Row],[PercentSalaryHike]]&lt;=16,2,IF(HR_Data[[#This Row],[PercentSalaryHike]]&lt;=19,3,4)))</f>
        <v>3</v>
      </c>
      <c r="AQ1408" s="1" t="str">
        <f>IF(HR_Data[[#This Row],[DistanceFromHome]]&lt;=5,"1 to 5",IF(HR_Data[[#This Row],[DistanceFromHome]]&lt;=10,"6 to 10",IF(HR_Data[[#This Row],[DistanceFromHome]]&lt;=20,"11 to 20","21 to 29")))</f>
        <v>6 to 10</v>
      </c>
      <c r="AR1408" s="1">
        <f>IF(HR_Data[[#This Row],[DistanceFromHome]]&lt;=5,1,IF(HR_Data[[#This Row],[DistanceFromHome]]&lt;=10,2,IF(HR_Data[[#This Row],[DistanceFromHome]]&lt;=20,3,4)))</f>
        <v>2</v>
      </c>
      <c r="AS1408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408" s="1">
        <f>IF(HR_Data[[#This Row],[TotalWorkingYears]]&lt;=5,1,IF(HR_Data[[#This Row],[TotalWorkingYears]]&lt;=10,2,IF(HR_Data[[#This Row],[TotalWorkingYears]]&lt;=20,3,4)))</f>
        <v>2</v>
      </c>
    </row>
    <row r="1409" spans="1:46" x14ac:dyDescent="0.25">
      <c r="A1409">
        <v>24</v>
      </c>
      <c r="B1409" t="s">
        <v>36</v>
      </c>
      <c r="C1409" t="s">
        <v>30</v>
      </c>
      <c r="D1409" t="s">
        <v>38</v>
      </c>
      <c r="E1409">
        <v>1</v>
      </c>
      <c r="F1409">
        <v>2</v>
      </c>
      <c r="G1409" t="s">
        <v>32</v>
      </c>
      <c r="H1409">
        <v>1981</v>
      </c>
      <c r="I1409">
        <v>2</v>
      </c>
      <c r="J1409" t="s">
        <v>39</v>
      </c>
      <c r="K1409">
        <v>2</v>
      </c>
      <c r="L1409">
        <v>2</v>
      </c>
      <c r="M1409" t="s">
        <v>47</v>
      </c>
      <c r="N1409">
        <v>3</v>
      </c>
      <c r="O1409" t="s">
        <v>35</v>
      </c>
      <c r="P1409">
        <v>4617</v>
      </c>
      <c r="Q1409">
        <v>1</v>
      </c>
      <c r="R1409" t="s">
        <v>36</v>
      </c>
      <c r="S1409">
        <v>12</v>
      </c>
      <c r="T1409">
        <v>3</v>
      </c>
      <c r="U1409">
        <v>2</v>
      </c>
      <c r="V1409">
        <v>0</v>
      </c>
      <c r="W1409">
        <v>4</v>
      </c>
      <c r="X1409">
        <v>2</v>
      </c>
      <c r="Y1409">
        <v>2</v>
      </c>
      <c r="Z1409">
        <v>4</v>
      </c>
      <c r="AA1409">
        <v>3</v>
      </c>
      <c r="AB1409">
        <v>1</v>
      </c>
      <c r="AC1409">
        <v>2</v>
      </c>
      <c r="AD1409">
        <f>IF(HR_Data[[#This Row],[Attrition]]="Yes",1,0)</f>
        <v>0</v>
      </c>
      <c r="AE1409" t="str">
        <f>IF(HR_Data[[#This Row],[Age]]&lt;=25,"18-25",IF(HR_Data[[#This Row],[Age]]&lt;=35,"26-35",IF(HR_Data[[#This Row],[Age]]&lt;=45,"36-45",IF(HR_Data[[#This Row],[Age]]&lt;=55,"46-55","55+"))))</f>
        <v>18-25</v>
      </c>
      <c r="AF1409">
        <f>IF(HR_Data[[#This Row],[Age]]&lt;=25,1,IF(HR_Data[[#This Row],[Age]]&lt;=35,2,IF(HR_Data[[#This Row],[Age]]&lt;=45,3,IF(HR_Data[[#This Row],[Age]]&lt;=55,4,5))))</f>
        <v>1</v>
      </c>
      <c r="AG1409" s="1" t="str">
        <f>IF(HR_Data[[#This Row],[MonthlyIncome]]&lt;3000,"&lt;3K",IF(HR_Data[[#This Row],[MonthlyIncome]]&lt;6000,"3K-6K",IF(HR_Data[[#This Row],[MonthlyIncome]]&lt;10000,"6K-10K","10K+")))</f>
        <v>3K-6K</v>
      </c>
      <c r="AH1409" s="1">
        <f>IF(HR_Data[[#This Row],[MonthlyIncome]]&lt;3000,1,IF(HR_Data[[#This Row],[MonthlyIncome]]&lt;6000,2,IF(HR_Data[[#This Row],[MonthlyIncome]]&lt;10000,3,4)))</f>
        <v>2</v>
      </c>
      <c r="AI1409" s="1" t="str">
        <f>IF(HR_Data[[#This Row],[YearsAtCompany]]&lt;=2,"0-2 Yrs",IF(HR_Data[[#This Row],[YearsAtCompany]]&lt;=5,"3-5 Yrs",IF(HR_Data[[#This Row],[YearsAtCompany]]&lt;=10,"6-10 Yrs","10+ Yrs")))</f>
        <v>3-5 Yrs</v>
      </c>
      <c r="AJ1409" s="1">
        <f>IF(HR_Data[[#This Row],[YearsAtCompany]]&lt;=2,1,IF(HR_Data[[#This Row],[YearsAtCompany]]&lt;=5,2,IF(HR_Data[[#This Row],[YearsAtCompany]]&lt;=10,3,4)))</f>
        <v>2</v>
      </c>
      <c r="AK1409" s="1" t="str">
        <f>CHOOSE(HR_Data[[#This Row],[Education]],"Below College","College","Bachelor","Master","Doctor")</f>
        <v>College</v>
      </c>
      <c r="AL1409" s="1" t="str">
        <f>CHOOSE(HR_Data[[#This Row],[JobSatisfaction]],"Low","Medium","High","Very High")</f>
        <v>High</v>
      </c>
      <c r="AM1409" s="1" t="str">
        <f>CHOOSE(HR_Data[[#This Row],[EnvironmentSatisfaction]],"Low","Medium","High","Very High")</f>
        <v>Medium</v>
      </c>
      <c r="AN1409" s="1" t="str">
        <f>CHOOSE(HR_Data[[#This Row],[WorkLifeBalance]],"Bad","Good","Better","Best")</f>
        <v>Good</v>
      </c>
      <c r="AO1409" s="1" t="str">
        <f>IF(HR_Data[[#This Row],[PercentSalaryHike]]&lt;=13,"11-13%",IF(HR_Data[[#This Row],[PercentSalaryHike]]&lt;=16,"14-16%",IF(HR_Data[[#This Row],[PercentSalaryHike]]&lt;=19,"17-19%","20-25%")))</f>
        <v>11-13%</v>
      </c>
      <c r="AP1409" s="1">
        <f>IF(HR_Data[[#This Row],[PercentSalaryHike]]&lt;=13,1,IF(HR_Data[[#This Row],[PercentSalaryHike]]&lt;=16,2,IF(HR_Data[[#This Row],[PercentSalaryHike]]&lt;=19,3,4)))</f>
        <v>1</v>
      </c>
      <c r="AQ1409" s="1" t="str">
        <f>IF(HR_Data[[#This Row],[DistanceFromHome]]&lt;=5,"1 to 5",IF(HR_Data[[#This Row],[DistanceFromHome]]&lt;=10,"6 to 10",IF(HR_Data[[#This Row],[DistanceFromHome]]&lt;=20,"11 to 20","21 to 29")))</f>
        <v>1 to 5</v>
      </c>
      <c r="AR1409" s="1">
        <f>IF(HR_Data[[#This Row],[DistanceFromHome]]&lt;=5,1,IF(HR_Data[[#This Row],[DistanceFromHome]]&lt;=10,2,IF(HR_Data[[#This Row],[DistanceFromHome]]&lt;=20,3,4)))</f>
        <v>1</v>
      </c>
      <c r="AS1409" s="1" t="str">
        <f>IF(HR_Data[[#This Row],[TotalWorkingYears]]&lt;=5,"0-5 Yrs",IF(HR_Data[[#This Row],[TotalWorkingYears]]&lt;=10,"6-10 Yrs",IF(HR_Data[[#This Row],[TotalWorkingYears]]&lt;=20,"11-20 Yrs","20+ Yrs")))</f>
        <v>0-5 Yrs</v>
      </c>
      <c r="AT1409" s="1">
        <f>IF(HR_Data[[#This Row],[TotalWorkingYears]]&lt;=5,1,IF(HR_Data[[#This Row],[TotalWorkingYears]]&lt;=10,2,IF(HR_Data[[#This Row],[TotalWorkingYears]]&lt;=20,3,4)))</f>
        <v>1</v>
      </c>
    </row>
    <row r="1410" spans="1:46" x14ac:dyDescent="0.25">
      <c r="A1410">
        <v>23</v>
      </c>
      <c r="B1410" t="s">
        <v>36</v>
      </c>
      <c r="C1410" t="s">
        <v>30</v>
      </c>
      <c r="D1410" t="s">
        <v>38</v>
      </c>
      <c r="E1410">
        <v>12</v>
      </c>
      <c r="F1410">
        <v>2</v>
      </c>
      <c r="G1410" t="s">
        <v>42</v>
      </c>
      <c r="H1410">
        <v>1982</v>
      </c>
      <c r="I1410">
        <v>4</v>
      </c>
      <c r="J1410" t="s">
        <v>39</v>
      </c>
      <c r="K1410">
        <v>3</v>
      </c>
      <c r="L1410">
        <v>1</v>
      </c>
      <c r="M1410" t="s">
        <v>43</v>
      </c>
      <c r="N1410">
        <v>4</v>
      </c>
      <c r="O1410" t="s">
        <v>35</v>
      </c>
      <c r="P1410">
        <v>2647</v>
      </c>
      <c r="Q1410">
        <v>1</v>
      </c>
      <c r="R1410" t="s">
        <v>36</v>
      </c>
      <c r="S1410">
        <v>13</v>
      </c>
      <c r="T1410">
        <v>3</v>
      </c>
      <c r="U1410">
        <v>3</v>
      </c>
      <c r="V1410">
        <v>0</v>
      </c>
      <c r="W1410">
        <v>5</v>
      </c>
      <c r="X1410">
        <v>6</v>
      </c>
      <c r="Y1410">
        <v>4</v>
      </c>
      <c r="Z1410">
        <v>5</v>
      </c>
      <c r="AA1410">
        <v>2</v>
      </c>
      <c r="AB1410">
        <v>1</v>
      </c>
      <c r="AC1410">
        <v>4</v>
      </c>
      <c r="AD1410">
        <f>IF(HR_Data[[#This Row],[Attrition]]="Yes",1,0)</f>
        <v>0</v>
      </c>
      <c r="AE1410" t="str">
        <f>IF(HR_Data[[#This Row],[Age]]&lt;=25,"18-25",IF(HR_Data[[#This Row],[Age]]&lt;=35,"26-35",IF(HR_Data[[#This Row],[Age]]&lt;=45,"36-45",IF(HR_Data[[#This Row],[Age]]&lt;=55,"46-55","55+"))))</f>
        <v>18-25</v>
      </c>
      <c r="AF1410">
        <f>IF(HR_Data[[#This Row],[Age]]&lt;=25,1,IF(HR_Data[[#This Row],[Age]]&lt;=35,2,IF(HR_Data[[#This Row],[Age]]&lt;=45,3,IF(HR_Data[[#This Row],[Age]]&lt;=55,4,5))))</f>
        <v>1</v>
      </c>
      <c r="AG1410" s="1" t="str">
        <f>IF(HR_Data[[#This Row],[MonthlyIncome]]&lt;3000,"&lt;3K",IF(HR_Data[[#This Row],[MonthlyIncome]]&lt;6000,"3K-6K",IF(HR_Data[[#This Row],[MonthlyIncome]]&lt;10000,"6K-10K","10K+")))</f>
        <v>&lt;3K</v>
      </c>
      <c r="AH1410" s="1">
        <f>IF(HR_Data[[#This Row],[MonthlyIncome]]&lt;3000,1,IF(HR_Data[[#This Row],[MonthlyIncome]]&lt;6000,2,IF(HR_Data[[#This Row],[MonthlyIncome]]&lt;10000,3,4)))</f>
        <v>1</v>
      </c>
      <c r="AI1410" s="1" t="str">
        <f>IF(HR_Data[[#This Row],[YearsAtCompany]]&lt;=2,"0-2 Yrs",IF(HR_Data[[#This Row],[YearsAtCompany]]&lt;=5,"3-5 Yrs",IF(HR_Data[[#This Row],[YearsAtCompany]]&lt;=10,"6-10 Yrs","10+ Yrs")))</f>
        <v>3-5 Yrs</v>
      </c>
      <c r="AJ1410" s="1">
        <f>IF(HR_Data[[#This Row],[YearsAtCompany]]&lt;=2,1,IF(HR_Data[[#This Row],[YearsAtCompany]]&lt;=5,2,IF(HR_Data[[#This Row],[YearsAtCompany]]&lt;=10,3,4)))</f>
        <v>2</v>
      </c>
      <c r="AK1410" s="1" t="str">
        <f>CHOOSE(HR_Data[[#This Row],[Education]],"Below College","College","Bachelor","Master","Doctor")</f>
        <v>College</v>
      </c>
      <c r="AL1410" s="1" t="str">
        <f>CHOOSE(HR_Data[[#This Row],[JobSatisfaction]],"Low","Medium","High","Very High")</f>
        <v>Very High</v>
      </c>
      <c r="AM1410" s="1" t="str">
        <f>CHOOSE(HR_Data[[#This Row],[EnvironmentSatisfaction]],"Low","Medium","High","Very High")</f>
        <v>Very High</v>
      </c>
      <c r="AN1410" s="1" t="str">
        <f>CHOOSE(HR_Data[[#This Row],[WorkLifeBalance]],"Bad","Good","Better","Best")</f>
        <v>Best</v>
      </c>
      <c r="AO1410" s="1" t="str">
        <f>IF(HR_Data[[#This Row],[PercentSalaryHike]]&lt;=13,"11-13%",IF(HR_Data[[#This Row],[PercentSalaryHike]]&lt;=16,"14-16%",IF(HR_Data[[#This Row],[PercentSalaryHike]]&lt;=19,"17-19%","20-25%")))</f>
        <v>11-13%</v>
      </c>
      <c r="AP1410" s="1">
        <f>IF(HR_Data[[#This Row],[PercentSalaryHike]]&lt;=13,1,IF(HR_Data[[#This Row],[PercentSalaryHike]]&lt;=16,2,IF(HR_Data[[#This Row],[PercentSalaryHike]]&lt;=19,3,4)))</f>
        <v>1</v>
      </c>
      <c r="AQ1410" s="1" t="str">
        <f>IF(HR_Data[[#This Row],[DistanceFromHome]]&lt;=5,"1 to 5",IF(HR_Data[[#This Row],[DistanceFromHome]]&lt;=10,"6 to 10",IF(HR_Data[[#This Row],[DistanceFromHome]]&lt;=20,"11 to 20","21 to 29")))</f>
        <v>11 to 20</v>
      </c>
      <c r="AR1410" s="1">
        <f>IF(HR_Data[[#This Row],[DistanceFromHome]]&lt;=5,1,IF(HR_Data[[#This Row],[DistanceFromHome]]&lt;=10,2,IF(HR_Data[[#This Row],[DistanceFromHome]]&lt;=20,3,4)))</f>
        <v>3</v>
      </c>
      <c r="AS1410" s="1" t="str">
        <f>IF(HR_Data[[#This Row],[TotalWorkingYears]]&lt;=5,"0-5 Yrs",IF(HR_Data[[#This Row],[TotalWorkingYears]]&lt;=10,"6-10 Yrs",IF(HR_Data[[#This Row],[TotalWorkingYears]]&lt;=20,"11-20 Yrs","20+ Yrs")))</f>
        <v>0-5 Yrs</v>
      </c>
      <c r="AT1410" s="1">
        <f>IF(HR_Data[[#This Row],[TotalWorkingYears]]&lt;=5,1,IF(HR_Data[[#This Row],[TotalWorkingYears]]&lt;=10,2,IF(HR_Data[[#This Row],[TotalWorkingYears]]&lt;=20,3,4)))</f>
        <v>1</v>
      </c>
    </row>
    <row r="1411" spans="1:46" x14ac:dyDescent="0.25">
      <c r="A1411">
        <v>40</v>
      </c>
      <c r="B1411" t="s">
        <v>36</v>
      </c>
      <c r="C1411" t="s">
        <v>37</v>
      </c>
      <c r="D1411" t="s">
        <v>38</v>
      </c>
      <c r="E1411">
        <v>11</v>
      </c>
      <c r="F1411">
        <v>3</v>
      </c>
      <c r="G1411" t="s">
        <v>53</v>
      </c>
      <c r="H1411">
        <v>1985</v>
      </c>
      <c r="I1411">
        <v>4</v>
      </c>
      <c r="J1411" t="s">
        <v>33</v>
      </c>
      <c r="K1411">
        <v>3</v>
      </c>
      <c r="L1411">
        <v>2</v>
      </c>
      <c r="M1411" t="s">
        <v>43</v>
      </c>
      <c r="N1411">
        <v>3</v>
      </c>
      <c r="O1411" t="s">
        <v>41</v>
      </c>
      <c r="P1411">
        <v>6323</v>
      </c>
      <c r="Q1411">
        <v>1</v>
      </c>
      <c r="R1411" t="s">
        <v>36</v>
      </c>
      <c r="S1411">
        <v>11</v>
      </c>
      <c r="T1411">
        <v>3</v>
      </c>
      <c r="U1411">
        <v>1</v>
      </c>
      <c r="V1411">
        <v>1</v>
      </c>
      <c r="W1411">
        <v>10</v>
      </c>
      <c r="X1411">
        <v>2</v>
      </c>
      <c r="Y1411">
        <v>4</v>
      </c>
      <c r="Z1411">
        <v>10</v>
      </c>
      <c r="AA1411">
        <v>9</v>
      </c>
      <c r="AB1411">
        <v>9</v>
      </c>
      <c r="AC1411">
        <v>4</v>
      </c>
      <c r="AD1411">
        <f>IF(HR_Data[[#This Row],[Attrition]]="Yes",1,0)</f>
        <v>0</v>
      </c>
      <c r="AE1411" t="str">
        <f>IF(HR_Data[[#This Row],[Age]]&lt;=25,"18-25",IF(HR_Data[[#This Row],[Age]]&lt;=35,"26-35",IF(HR_Data[[#This Row],[Age]]&lt;=45,"36-45",IF(HR_Data[[#This Row],[Age]]&lt;=55,"46-55","55+"))))</f>
        <v>36-45</v>
      </c>
      <c r="AF1411">
        <f>IF(HR_Data[[#This Row],[Age]]&lt;=25,1,IF(HR_Data[[#This Row],[Age]]&lt;=35,2,IF(HR_Data[[#This Row],[Age]]&lt;=45,3,IF(HR_Data[[#This Row],[Age]]&lt;=55,4,5))))</f>
        <v>3</v>
      </c>
      <c r="AG1411" s="1" t="str">
        <f>IF(HR_Data[[#This Row],[MonthlyIncome]]&lt;3000,"&lt;3K",IF(HR_Data[[#This Row],[MonthlyIncome]]&lt;6000,"3K-6K",IF(HR_Data[[#This Row],[MonthlyIncome]]&lt;10000,"6K-10K","10K+")))</f>
        <v>6K-10K</v>
      </c>
      <c r="AH1411" s="1">
        <f>IF(HR_Data[[#This Row],[MonthlyIncome]]&lt;3000,1,IF(HR_Data[[#This Row],[MonthlyIncome]]&lt;6000,2,IF(HR_Data[[#This Row],[MonthlyIncome]]&lt;10000,3,4)))</f>
        <v>3</v>
      </c>
      <c r="AI1411" s="1" t="str">
        <f>IF(HR_Data[[#This Row],[YearsAtCompany]]&lt;=2,"0-2 Yrs",IF(HR_Data[[#This Row],[YearsAtCompany]]&lt;=5,"3-5 Yrs",IF(HR_Data[[#This Row],[YearsAtCompany]]&lt;=10,"6-10 Yrs","10+ Yrs")))</f>
        <v>6-10 Yrs</v>
      </c>
      <c r="AJ1411" s="1">
        <f>IF(HR_Data[[#This Row],[YearsAtCompany]]&lt;=2,1,IF(HR_Data[[#This Row],[YearsAtCompany]]&lt;=5,2,IF(HR_Data[[#This Row],[YearsAtCompany]]&lt;=10,3,4)))</f>
        <v>3</v>
      </c>
      <c r="AK1411" s="1" t="str">
        <f>CHOOSE(HR_Data[[#This Row],[Education]],"Below College","College","Bachelor","Master","Doctor")</f>
        <v>Bachelor</v>
      </c>
      <c r="AL1411" s="1" t="str">
        <f>CHOOSE(HR_Data[[#This Row],[JobSatisfaction]],"Low","Medium","High","Very High")</f>
        <v>High</v>
      </c>
      <c r="AM1411" s="1" t="str">
        <f>CHOOSE(HR_Data[[#This Row],[EnvironmentSatisfaction]],"Low","Medium","High","Very High")</f>
        <v>Very High</v>
      </c>
      <c r="AN1411" s="1" t="str">
        <f>CHOOSE(HR_Data[[#This Row],[WorkLifeBalance]],"Bad","Good","Better","Best")</f>
        <v>Best</v>
      </c>
      <c r="AO1411" s="1" t="str">
        <f>IF(HR_Data[[#This Row],[PercentSalaryHike]]&lt;=13,"11-13%",IF(HR_Data[[#This Row],[PercentSalaryHike]]&lt;=16,"14-16%",IF(HR_Data[[#This Row],[PercentSalaryHike]]&lt;=19,"17-19%","20-25%")))</f>
        <v>11-13%</v>
      </c>
      <c r="AP1411" s="1">
        <f>IF(HR_Data[[#This Row],[PercentSalaryHike]]&lt;=13,1,IF(HR_Data[[#This Row],[PercentSalaryHike]]&lt;=16,2,IF(HR_Data[[#This Row],[PercentSalaryHike]]&lt;=19,3,4)))</f>
        <v>1</v>
      </c>
      <c r="AQ1411" s="1" t="str">
        <f>IF(HR_Data[[#This Row],[DistanceFromHome]]&lt;=5,"1 to 5",IF(HR_Data[[#This Row],[DistanceFromHome]]&lt;=10,"6 to 10",IF(HR_Data[[#This Row],[DistanceFromHome]]&lt;=20,"11 to 20","21 to 29")))</f>
        <v>11 to 20</v>
      </c>
      <c r="AR1411" s="1">
        <f>IF(HR_Data[[#This Row],[DistanceFromHome]]&lt;=5,1,IF(HR_Data[[#This Row],[DistanceFromHome]]&lt;=10,2,IF(HR_Data[[#This Row],[DistanceFromHome]]&lt;=20,3,4)))</f>
        <v>3</v>
      </c>
      <c r="AS1411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411" s="1">
        <f>IF(HR_Data[[#This Row],[TotalWorkingYears]]&lt;=5,1,IF(HR_Data[[#This Row],[TotalWorkingYears]]&lt;=10,2,IF(HR_Data[[#This Row],[TotalWorkingYears]]&lt;=20,3,4)))</f>
        <v>2</v>
      </c>
    </row>
    <row r="1412" spans="1:46" x14ac:dyDescent="0.25">
      <c r="A1412">
        <v>40</v>
      </c>
      <c r="B1412" t="s">
        <v>36</v>
      </c>
      <c r="C1412" t="s">
        <v>30</v>
      </c>
      <c r="D1412" t="s">
        <v>31</v>
      </c>
      <c r="E1412">
        <v>2</v>
      </c>
      <c r="F1412">
        <v>2</v>
      </c>
      <c r="G1412" t="s">
        <v>52</v>
      </c>
      <c r="H1412">
        <v>1986</v>
      </c>
      <c r="I1412">
        <v>2</v>
      </c>
      <c r="J1412" t="s">
        <v>33</v>
      </c>
      <c r="K1412">
        <v>3</v>
      </c>
      <c r="L1412">
        <v>2</v>
      </c>
      <c r="M1412" t="s">
        <v>34</v>
      </c>
      <c r="N1412">
        <v>2</v>
      </c>
      <c r="O1412" t="s">
        <v>41</v>
      </c>
      <c r="P1412">
        <v>5677</v>
      </c>
      <c r="Q1412">
        <v>3</v>
      </c>
      <c r="R1412" t="s">
        <v>36</v>
      </c>
      <c r="S1412">
        <v>14</v>
      </c>
      <c r="T1412">
        <v>3</v>
      </c>
      <c r="U1412">
        <v>3</v>
      </c>
      <c r="V1412">
        <v>1</v>
      </c>
      <c r="W1412">
        <v>15</v>
      </c>
      <c r="X1412">
        <v>4</v>
      </c>
      <c r="Y1412">
        <v>3</v>
      </c>
      <c r="Z1412">
        <v>11</v>
      </c>
      <c r="AA1412">
        <v>8</v>
      </c>
      <c r="AB1412">
        <v>5</v>
      </c>
      <c r="AC1412">
        <v>10</v>
      </c>
      <c r="AD1412">
        <f>IF(HR_Data[[#This Row],[Attrition]]="Yes",1,0)</f>
        <v>0</v>
      </c>
      <c r="AE1412" t="str">
        <f>IF(HR_Data[[#This Row],[Age]]&lt;=25,"18-25",IF(HR_Data[[#This Row],[Age]]&lt;=35,"26-35",IF(HR_Data[[#This Row],[Age]]&lt;=45,"36-45",IF(HR_Data[[#This Row],[Age]]&lt;=55,"46-55","55+"))))</f>
        <v>36-45</v>
      </c>
      <c r="AF1412">
        <f>IF(HR_Data[[#This Row],[Age]]&lt;=25,1,IF(HR_Data[[#This Row],[Age]]&lt;=35,2,IF(HR_Data[[#This Row],[Age]]&lt;=45,3,IF(HR_Data[[#This Row],[Age]]&lt;=55,4,5))))</f>
        <v>3</v>
      </c>
      <c r="AG1412" s="1" t="str">
        <f>IF(HR_Data[[#This Row],[MonthlyIncome]]&lt;3000,"&lt;3K",IF(HR_Data[[#This Row],[MonthlyIncome]]&lt;6000,"3K-6K",IF(HR_Data[[#This Row],[MonthlyIncome]]&lt;10000,"6K-10K","10K+")))</f>
        <v>3K-6K</v>
      </c>
      <c r="AH1412" s="1">
        <f>IF(HR_Data[[#This Row],[MonthlyIncome]]&lt;3000,1,IF(HR_Data[[#This Row],[MonthlyIncome]]&lt;6000,2,IF(HR_Data[[#This Row],[MonthlyIncome]]&lt;10000,3,4)))</f>
        <v>2</v>
      </c>
      <c r="AI1412" s="1" t="str">
        <f>IF(HR_Data[[#This Row],[YearsAtCompany]]&lt;=2,"0-2 Yrs",IF(HR_Data[[#This Row],[YearsAtCompany]]&lt;=5,"3-5 Yrs",IF(HR_Data[[#This Row],[YearsAtCompany]]&lt;=10,"6-10 Yrs","10+ Yrs")))</f>
        <v>10+ Yrs</v>
      </c>
      <c r="AJ1412" s="1">
        <f>IF(HR_Data[[#This Row],[YearsAtCompany]]&lt;=2,1,IF(HR_Data[[#This Row],[YearsAtCompany]]&lt;=5,2,IF(HR_Data[[#This Row],[YearsAtCompany]]&lt;=10,3,4)))</f>
        <v>4</v>
      </c>
      <c r="AK1412" s="1" t="str">
        <f>CHOOSE(HR_Data[[#This Row],[Education]],"Below College","College","Bachelor","Master","Doctor")</f>
        <v>College</v>
      </c>
      <c r="AL1412" s="1" t="str">
        <f>CHOOSE(HR_Data[[#This Row],[JobSatisfaction]],"Low","Medium","High","Very High")</f>
        <v>Medium</v>
      </c>
      <c r="AM1412" s="1" t="str">
        <f>CHOOSE(HR_Data[[#This Row],[EnvironmentSatisfaction]],"Low","Medium","High","Very High")</f>
        <v>Medium</v>
      </c>
      <c r="AN1412" s="1" t="str">
        <f>CHOOSE(HR_Data[[#This Row],[WorkLifeBalance]],"Bad","Good","Better","Best")</f>
        <v>Better</v>
      </c>
      <c r="AO1412" s="1" t="str">
        <f>IF(HR_Data[[#This Row],[PercentSalaryHike]]&lt;=13,"11-13%",IF(HR_Data[[#This Row],[PercentSalaryHike]]&lt;=16,"14-16%",IF(HR_Data[[#This Row],[PercentSalaryHike]]&lt;=19,"17-19%","20-25%")))</f>
        <v>14-16%</v>
      </c>
      <c r="AP1412" s="1">
        <f>IF(HR_Data[[#This Row],[PercentSalaryHike]]&lt;=13,1,IF(HR_Data[[#This Row],[PercentSalaryHike]]&lt;=16,2,IF(HR_Data[[#This Row],[PercentSalaryHike]]&lt;=19,3,4)))</f>
        <v>2</v>
      </c>
      <c r="AQ1412" s="1" t="str">
        <f>IF(HR_Data[[#This Row],[DistanceFromHome]]&lt;=5,"1 to 5",IF(HR_Data[[#This Row],[DistanceFromHome]]&lt;=10,"6 to 10",IF(HR_Data[[#This Row],[DistanceFromHome]]&lt;=20,"11 to 20","21 to 29")))</f>
        <v>1 to 5</v>
      </c>
      <c r="AR1412" s="1">
        <f>IF(HR_Data[[#This Row],[DistanceFromHome]]&lt;=5,1,IF(HR_Data[[#This Row],[DistanceFromHome]]&lt;=10,2,IF(HR_Data[[#This Row],[DistanceFromHome]]&lt;=20,3,4)))</f>
        <v>1</v>
      </c>
      <c r="AS1412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412" s="1">
        <f>IF(HR_Data[[#This Row],[TotalWorkingYears]]&lt;=5,1,IF(HR_Data[[#This Row],[TotalWorkingYears]]&lt;=10,2,IF(HR_Data[[#This Row],[TotalWorkingYears]]&lt;=20,3,4)))</f>
        <v>3</v>
      </c>
    </row>
    <row r="1413" spans="1:46" x14ac:dyDescent="0.25">
      <c r="A1413">
        <v>25</v>
      </c>
      <c r="B1413" t="s">
        <v>36</v>
      </c>
      <c r="C1413" t="s">
        <v>30</v>
      </c>
      <c r="D1413" t="s">
        <v>54</v>
      </c>
      <c r="E1413">
        <v>2</v>
      </c>
      <c r="F1413">
        <v>3</v>
      </c>
      <c r="G1413" t="s">
        <v>54</v>
      </c>
      <c r="H1413">
        <v>1987</v>
      </c>
      <c r="I1413">
        <v>3</v>
      </c>
      <c r="J1413" t="s">
        <v>33</v>
      </c>
      <c r="K1413">
        <v>3</v>
      </c>
      <c r="L1413">
        <v>1</v>
      </c>
      <c r="M1413" t="s">
        <v>54</v>
      </c>
      <c r="N1413">
        <v>2</v>
      </c>
      <c r="O1413" t="s">
        <v>41</v>
      </c>
      <c r="P1413">
        <v>2187</v>
      </c>
      <c r="Q1413">
        <v>4</v>
      </c>
      <c r="R1413" t="s">
        <v>36</v>
      </c>
      <c r="S1413">
        <v>14</v>
      </c>
      <c r="T1413">
        <v>3</v>
      </c>
      <c r="U1413">
        <v>3</v>
      </c>
      <c r="V1413">
        <v>0</v>
      </c>
      <c r="W1413">
        <v>6</v>
      </c>
      <c r="X1413">
        <v>3</v>
      </c>
      <c r="Y1413">
        <v>3</v>
      </c>
      <c r="Z1413">
        <v>2</v>
      </c>
      <c r="AA1413">
        <v>0</v>
      </c>
      <c r="AB1413">
        <v>1</v>
      </c>
      <c r="AC1413">
        <v>2</v>
      </c>
      <c r="AD1413">
        <f>IF(HR_Data[[#This Row],[Attrition]]="Yes",1,0)</f>
        <v>0</v>
      </c>
      <c r="AE1413" t="str">
        <f>IF(HR_Data[[#This Row],[Age]]&lt;=25,"18-25",IF(HR_Data[[#This Row],[Age]]&lt;=35,"26-35",IF(HR_Data[[#This Row],[Age]]&lt;=45,"36-45",IF(HR_Data[[#This Row],[Age]]&lt;=55,"46-55","55+"))))</f>
        <v>18-25</v>
      </c>
      <c r="AF1413">
        <f>IF(HR_Data[[#This Row],[Age]]&lt;=25,1,IF(HR_Data[[#This Row],[Age]]&lt;=35,2,IF(HR_Data[[#This Row],[Age]]&lt;=45,3,IF(HR_Data[[#This Row],[Age]]&lt;=55,4,5))))</f>
        <v>1</v>
      </c>
      <c r="AG1413" s="1" t="str">
        <f>IF(HR_Data[[#This Row],[MonthlyIncome]]&lt;3000,"&lt;3K",IF(HR_Data[[#This Row],[MonthlyIncome]]&lt;6000,"3K-6K",IF(HR_Data[[#This Row],[MonthlyIncome]]&lt;10000,"6K-10K","10K+")))</f>
        <v>&lt;3K</v>
      </c>
      <c r="AH1413" s="1">
        <f>IF(HR_Data[[#This Row],[MonthlyIncome]]&lt;3000,1,IF(HR_Data[[#This Row],[MonthlyIncome]]&lt;6000,2,IF(HR_Data[[#This Row],[MonthlyIncome]]&lt;10000,3,4)))</f>
        <v>1</v>
      </c>
      <c r="AI1413" s="1" t="str">
        <f>IF(HR_Data[[#This Row],[YearsAtCompany]]&lt;=2,"0-2 Yrs",IF(HR_Data[[#This Row],[YearsAtCompany]]&lt;=5,"3-5 Yrs",IF(HR_Data[[#This Row],[YearsAtCompany]]&lt;=10,"6-10 Yrs","10+ Yrs")))</f>
        <v>0-2 Yrs</v>
      </c>
      <c r="AJ1413" s="1">
        <f>IF(HR_Data[[#This Row],[YearsAtCompany]]&lt;=2,1,IF(HR_Data[[#This Row],[YearsAtCompany]]&lt;=5,2,IF(HR_Data[[#This Row],[YearsAtCompany]]&lt;=10,3,4)))</f>
        <v>1</v>
      </c>
      <c r="AK1413" s="1" t="str">
        <f>CHOOSE(HR_Data[[#This Row],[Education]],"Below College","College","Bachelor","Master","Doctor")</f>
        <v>Bachelor</v>
      </c>
      <c r="AL1413" s="1" t="str">
        <f>CHOOSE(HR_Data[[#This Row],[JobSatisfaction]],"Low","Medium","High","Very High")</f>
        <v>Medium</v>
      </c>
      <c r="AM1413" s="1" t="str">
        <f>CHOOSE(HR_Data[[#This Row],[EnvironmentSatisfaction]],"Low","Medium","High","Very High")</f>
        <v>High</v>
      </c>
      <c r="AN1413" s="1" t="str">
        <f>CHOOSE(HR_Data[[#This Row],[WorkLifeBalance]],"Bad","Good","Better","Best")</f>
        <v>Better</v>
      </c>
      <c r="AO1413" s="1" t="str">
        <f>IF(HR_Data[[#This Row],[PercentSalaryHike]]&lt;=13,"11-13%",IF(HR_Data[[#This Row],[PercentSalaryHike]]&lt;=16,"14-16%",IF(HR_Data[[#This Row],[PercentSalaryHike]]&lt;=19,"17-19%","20-25%")))</f>
        <v>14-16%</v>
      </c>
      <c r="AP1413" s="1">
        <f>IF(HR_Data[[#This Row],[PercentSalaryHike]]&lt;=13,1,IF(HR_Data[[#This Row],[PercentSalaryHike]]&lt;=16,2,IF(HR_Data[[#This Row],[PercentSalaryHike]]&lt;=19,3,4)))</f>
        <v>2</v>
      </c>
      <c r="AQ1413" s="1" t="str">
        <f>IF(HR_Data[[#This Row],[DistanceFromHome]]&lt;=5,"1 to 5",IF(HR_Data[[#This Row],[DistanceFromHome]]&lt;=10,"6 to 10",IF(HR_Data[[#This Row],[DistanceFromHome]]&lt;=20,"11 to 20","21 to 29")))</f>
        <v>1 to 5</v>
      </c>
      <c r="AR1413" s="1">
        <f>IF(HR_Data[[#This Row],[DistanceFromHome]]&lt;=5,1,IF(HR_Data[[#This Row],[DistanceFromHome]]&lt;=10,2,IF(HR_Data[[#This Row],[DistanceFromHome]]&lt;=20,3,4)))</f>
        <v>1</v>
      </c>
      <c r="AS1413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413" s="1">
        <f>IF(HR_Data[[#This Row],[TotalWorkingYears]]&lt;=5,1,IF(HR_Data[[#This Row],[TotalWorkingYears]]&lt;=10,2,IF(HR_Data[[#This Row],[TotalWorkingYears]]&lt;=20,3,4)))</f>
        <v>2</v>
      </c>
    </row>
    <row r="1414" spans="1:46" x14ac:dyDescent="0.25">
      <c r="A1414">
        <v>30</v>
      </c>
      <c r="B1414" t="s">
        <v>36</v>
      </c>
      <c r="C1414" t="s">
        <v>30</v>
      </c>
      <c r="D1414" t="s">
        <v>38</v>
      </c>
      <c r="E1414">
        <v>1</v>
      </c>
      <c r="F1414">
        <v>2</v>
      </c>
      <c r="G1414" t="s">
        <v>44</v>
      </c>
      <c r="H1414">
        <v>1989</v>
      </c>
      <c r="I1414">
        <v>4</v>
      </c>
      <c r="J1414" t="s">
        <v>39</v>
      </c>
      <c r="K1414">
        <v>3</v>
      </c>
      <c r="L1414">
        <v>1</v>
      </c>
      <c r="M1414" t="s">
        <v>43</v>
      </c>
      <c r="N1414">
        <v>2</v>
      </c>
      <c r="O1414" t="s">
        <v>41</v>
      </c>
      <c r="P1414">
        <v>3748</v>
      </c>
      <c r="Q1414">
        <v>1</v>
      </c>
      <c r="R1414" t="s">
        <v>36</v>
      </c>
      <c r="S1414">
        <v>13</v>
      </c>
      <c r="T1414">
        <v>3</v>
      </c>
      <c r="U1414">
        <v>3</v>
      </c>
      <c r="V1414">
        <v>0</v>
      </c>
      <c r="W1414">
        <v>12</v>
      </c>
      <c r="X1414">
        <v>6</v>
      </c>
      <c r="Y1414">
        <v>2</v>
      </c>
      <c r="Z1414">
        <v>12</v>
      </c>
      <c r="AA1414">
        <v>8</v>
      </c>
      <c r="AB1414">
        <v>1</v>
      </c>
      <c r="AC1414">
        <v>7</v>
      </c>
      <c r="AD1414">
        <f>IF(HR_Data[[#This Row],[Attrition]]="Yes",1,0)</f>
        <v>0</v>
      </c>
      <c r="AE1414" t="str">
        <f>IF(HR_Data[[#This Row],[Age]]&lt;=25,"18-25",IF(HR_Data[[#This Row],[Age]]&lt;=35,"26-35",IF(HR_Data[[#This Row],[Age]]&lt;=45,"36-45",IF(HR_Data[[#This Row],[Age]]&lt;=55,"46-55","55+"))))</f>
        <v>26-35</v>
      </c>
      <c r="AF1414">
        <f>IF(HR_Data[[#This Row],[Age]]&lt;=25,1,IF(HR_Data[[#This Row],[Age]]&lt;=35,2,IF(HR_Data[[#This Row],[Age]]&lt;=45,3,IF(HR_Data[[#This Row],[Age]]&lt;=55,4,5))))</f>
        <v>2</v>
      </c>
      <c r="AG1414" s="1" t="str">
        <f>IF(HR_Data[[#This Row],[MonthlyIncome]]&lt;3000,"&lt;3K",IF(HR_Data[[#This Row],[MonthlyIncome]]&lt;6000,"3K-6K",IF(HR_Data[[#This Row],[MonthlyIncome]]&lt;10000,"6K-10K","10K+")))</f>
        <v>3K-6K</v>
      </c>
      <c r="AH1414" s="1">
        <f>IF(HR_Data[[#This Row],[MonthlyIncome]]&lt;3000,1,IF(HR_Data[[#This Row],[MonthlyIncome]]&lt;6000,2,IF(HR_Data[[#This Row],[MonthlyIncome]]&lt;10000,3,4)))</f>
        <v>2</v>
      </c>
      <c r="AI1414" s="1" t="str">
        <f>IF(HR_Data[[#This Row],[YearsAtCompany]]&lt;=2,"0-2 Yrs",IF(HR_Data[[#This Row],[YearsAtCompany]]&lt;=5,"3-5 Yrs",IF(HR_Data[[#This Row],[YearsAtCompany]]&lt;=10,"6-10 Yrs","10+ Yrs")))</f>
        <v>10+ Yrs</v>
      </c>
      <c r="AJ1414" s="1">
        <f>IF(HR_Data[[#This Row],[YearsAtCompany]]&lt;=2,1,IF(HR_Data[[#This Row],[YearsAtCompany]]&lt;=5,2,IF(HR_Data[[#This Row],[YearsAtCompany]]&lt;=10,3,4)))</f>
        <v>4</v>
      </c>
      <c r="AK1414" s="1" t="str">
        <f>CHOOSE(HR_Data[[#This Row],[Education]],"Below College","College","Bachelor","Master","Doctor")</f>
        <v>College</v>
      </c>
      <c r="AL1414" s="1" t="str">
        <f>CHOOSE(HR_Data[[#This Row],[JobSatisfaction]],"Low","Medium","High","Very High")</f>
        <v>Medium</v>
      </c>
      <c r="AM1414" s="1" t="str">
        <f>CHOOSE(HR_Data[[#This Row],[EnvironmentSatisfaction]],"Low","Medium","High","Very High")</f>
        <v>Very High</v>
      </c>
      <c r="AN1414" s="1" t="str">
        <f>CHOOSE(HR_Data[[#This Row],[WorkLifeBalance]],"Bad","Good","Better","Best")</f>
        <v>Good</v>
      </c>
      <c r="AO1414" s="1" t="str">
        <f>IF(HR_Data[[#This Row],[PercentSalaryHike]]&lt;=13,"11-13%",IF(HR_Data[[#This Row],[PercentSalaryHike]]&lt;=16,"14-16%",IF(HR_Data[[#This Row],[PercentSalaryHike]]&lt;=19,"17-19%","20-25%")))</f>
        <v>11-13%</v>
      </c>
      <c r="AP1414" s="1">
        <f>IF(HR_Data[[#This Row],[PercentSalaryHike]]&lt;=13,1,IF(HR_Data[[#This Row],[PercentSalaryHike]]&lt;=16,2,IF(HR_Data[[#This Row],[PercentSalaryHike]]&lt;=19,3,4)))</f>
        <v>1</v>
      </c>
      <c r="AQ1414" s="1" t="str">
        <f>IF(HR_Data[[#This Row],[DistanceFromHome]]&lt;=5,"1 to 5",IF(HR_Data[[#This Row],[DistanceFromHome]]&lt;=10,"6 to 10",IF(HR_Data[[#This Row],[DistanceFromHome]]&lt;=20,"11 to 20","21 to 29")))</f>
        <v>1 to 5</v>
      </c>
      <c r="AR1414" s="1">
        <f>IF(HR_Data[[#This Row],[DistanceFromHome]]&lt;=5,1,IF(HR_Data[[#This Row],[DistanceFromHome]]&lt;=10,2,IF(HR_Data[[#This Row],[DistanceFromHome]]&lt;=20,3,4)))</f>
        <v>1</v>
      </c>
      <c r="AS1414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414" s="1">
        <f>IF(HR_Data[[#This Row],[TotalWorkingYears]]&lt;=5,1,IF(HR_Data[[#This Row],[TotalWorkingYears]]&lt;=10,2,IF(HR_Data[[#This Row],[TotalWorkingYears]]&lt;=20,3,4)))</f>
        <v>3</v>
      </c>
    </row>
    <row r="1415" spans="1:46" x14ac:dyDescent="0.25">
      <c r="A1415">
        <v>25</v>
      </c>
      <c r="B1415" t="s">
        <v>36</v>
      </c>
      <c r="C1415" t="s">
        <v>30</v>
      </c>
      <c r="D1415" t="s">
        <v>38</v>
      </c>
      <c r="E1415">
        <v>2</v>
      </c>
      <c r="F1415">
        <v>1</v>
      </c>
      <c r="G1415" t="s">
        <v>42</v>
      </c>
      <c r="H1415">
        <v>1992</v>
      </c>
      <c r="I1415">
        <v>4</v>
      </c>
      <c r="J1415" t="s">
        <v>39</v>
      </c>
      <c r="K1415">
        <v>3</v>
      </c>
      <c r="L1415">
        <v>1</v>
      </c>
      <c r="M1415" t="s">
        <v>43</v>
      </c>
      <c r="N1415">
        <v>3</v>
      </c>
      <c r="O1415" t="s">
        <v>45</v>
      </c>
      <c r="P1415">
        <v>3977</v>
      </c>
      <c r="Q1415">
        <v>6</v>
      </c>
      <c r="R1415" t="s">
        <v>29</v>
      </c>
      <c r="S1415">
        <v>19</v>
      </c>
      <c r="T1415">
        <v>3</v>
      </c>
      <c r="U1415">
        <v>3</v>
      </c>
      <c r="V1415">
        <v>1</v>
      </c>
      <c r="W1415">
        <v>7</v>
      </c>
      <c r="X1415">
        <v>2</v>
      </c>
      <c r="Y1415">
        <v>2</v>
      </c>
      <c r="Z1415">
        <v>2</v>
      </c>
      <c r="AA1415">
        <v>2</v>
      </c>
      <c r="AB1415">
        <v>0</v>
      </c>
      <c r="AC1415">
        <v>2</v>
      </c>
      <c r="AD1415">
        <f>IF(HR_Data[[#This Row],[Attrition]]="Yes",1,0)</f>
        <v>0</v>
      </c>
      <c r="AE1415" t="str">
        <f>IF(HR_Data[[#This Row],[Age]]&lt;=25,"18-25",IF(HR_Data[[#This Row],[Age]]&lt;=35,"26-35",IF(HR_Data[[#This Row],[Age]]&lt;=45,"36-45",IF(HR_Data[[#This Row],[Age]]&lt;=55,"46-55","55+"))))</f>
        <v>18-25</v>
      </c>
      <c r="AF1415">
        <f>IF(HR_Data[[#This Row],[Age]]&lt;=25,1,IF(HR_Data[[#This Row],[Age]]&lt;=35,2,IF(HR_Data[[#This Row],[Age]]&lt;=45,3,IF(HR_Data[[#This Row],[Age]]&lt;=55,4,5))))</f>
        <v>1</v>
      </c>
      <c r="AG1415" s="1" t="str">
        <f>IF(HR_Data[[#This Row],[MonthlyIncome]]&lt;3000,"&lt;3K",IF(HR_Data[[#This Row],[MonthlyIncome]]&lt;6000,"3K-6K",IF(HR_Data[[#This Row],[MonthlyIncome]]&lt;10000,"6K-10K","10K+")))</f>
        <v>3K-6K</v>
      </c>
      <c r="AH1415" s="1">
        <f>IF(HR_Data[[#This Row],[MonthlyIncome]]&lt;3000,1,IF(HR_Data[[#This Row],[MonthlyIncome]]&lt;6000,2,IF(HR_Data[[#This Row],[MonthlyIncome]]&lt;10000,3,4)))</f>
        <v>2</v>
      </c>
      <c r="AI1415" s="1" t="str">
        <f>IF(HR_Data[[#This Row],[YearsAtCompany]]&lt;=2,"0-2 Yrs",IF(HR_Data[[#This Row],[YearsAtCompany]]&lt;=5,"3-5 Yrs",IF(HR_Data[[#This Row],[YearsAtCompany]]&lt;=10,"6-10 Yrs","10+ Yrs")))</f>
        <v>0-2 Yrs</v>
      </c>
      <c r="AJ1415" s="1">
        <f>IF(HR_Data[[#This Row],[YearsAtCompany]]&lt;=2,1,IF(HR_Data[[#This Row],[YearsAtCompany]]&lt;=5,2,IF(HR_Data[[#This Row],[YearsAtCompany]]&lt;=10,3,4)))</f>
        <v>1</v>
      </c>
      <c r="AK1415" s="1" t="str">
        <f>CHOOSE(HR_Data[[#This Row],[Education]],"Below College","College","Bachelor","Master","Doctor")</f>
        <v>Below College</v>
      </c>
      <c r="AL1415" s="1" t="str">
        <f>CHOOSE(HR_Data[[#This Row],[JobSatisfaction]],"Low","Medium","High","Very High")</f>
        <v>High</v>
      </c>
      <c r="AM1415" s="1" t="str">
        <f>CHOOSE(HR_Data[[#This Row],[EnvironmentSatisfaction]],"Low","Medium","High","Very High")</f>
        <v>Very High</v>
      </c>
      <c r="AN1415" s="1" t="str">
        <f>CHOOSE(HR_Data[[#This Row],[WorkLifeBalance]],"Bad","Good","Better","Best")</f>
        <v>Good</v>
      </c>
      <c r="AO1415" s="1" t="str">
        <f>IF(HR_Data[[#This Row],[PercentSalaryHike]]&lt;=13,"11-13%",IF(HR_Data[[#This Row],[PercentSalaryHike]]&lt;=16,"14-16%",IF(HR_Data[[#This Row],[PercentSalaryHike]]&lt;=19,"17-19%","20-25%")))</f>
        <v>17-19%</v>
      </c>
      <c r="AP1415" s="1">
        <f>IF(HR_Data[[#This Row],[PercentSalaryHike]]&lt;=13,1,IF(HR_Data[[#This Row],[PercentSalaryHike]]&lt;=16,2,IF(HR_Data[[#This Row],[PercentSalaryHike]]&lt;=19,3,4)))</f>
        <v>3</v>
      </c>
      <c r="AQ1415" s="1" t="str">
        <f>IF(HR_Data[[#This Row],[DistanceFromHome]]&lt;=5,"1 to 5",IF(HR_Data[[#This Row],[DistanceFromHome]]&lt;=10,"6 to 10",IF(HR_Data[[#This Row],[DistanceFromHome]]&lt;=20,"11 to 20","21 to 29")))</f>
        <v>1 to 5</v>
      </c>
      <c r="AR1415" s="1">
        <f>IF(HR_Data[[#This Row],[DistanceFromHome]]&lt;=5,1,IF(HR_Data[[#This Row],[DistanceFromHome]]&lt;=10,2,IF(HR_Data[[#This Row],[DistanceFromHome]]&lt;=20,3,4)))</f>
        <v>1</v>
      </c>
      <c r="AS1415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415" s="1">
        <f>IF(HR_Data[[#This Row],[TotalWorkingYears]]&lt;=5,1,IF(HR_Data[[#This Row],[TotalWorkingYears]]&lt;=10,2,IF(HR_Data[[#This Row],[TotalWorkingYears]]&lt;=20,3,4)))</f>
        <v>2</v>
      </c>
    </row>
    <row r="1416" spans="1:46" x14ac:dyDescent="0.25">
      <c r="A1416">
        <v>47</v>
      </c>
      <c r="B1416" t="s">
        <v>36</v>
      </c>
      <c r="C1416" t="s">
        <v>30</v>
      </c>
      <c r="D1416" t="s">
        <v>38</v>
      </c>
      <c r="E1416">
        <v>25</v>
      </c>
      <c r="F1416">
        <v>3</v>
      </c>
      <c r="G1416" t="s">
        <v>44</v>
      </c>
      <c r="H1416">
        <v>1993</v>
      </c>
      <c r="I1416">
        <v>1</v>
      </c>
      <c r="J1416" t="s">
        <v>39</v>
      </c>
      <c r="K1416">
        <v>3</v>
      </c>
      <c r="L1416">
        <v>3</v>
      </c>
      <c r="M1416" t="s">
        <v>47</v>
      </c>
      <c r="N1416">
        <v>3</v>
      </c>
      <c r="O1416" t="s">
        <v>35</v>
      </c>
      <c r="P1416">
        <v>8633</v>
      </c>
      <c r="Q1416">
        <v>2</v>
      </c>
      <c r="R1416" t="s">
        <v>36</v>
      </c>
      <c r="S1416">
        <v>23</v>
      </c>
      <c r="T1416">
        <v>4</v>
      </c>
      <c r="U1416">
        <v>2</v>
      </c>
      <c r="V1416">
        <v>0</v>
      </c>
      <c r="W1416">
        <v>25</v>
      </c>
      <c r="X1416">
        <v>3</v>
      </c>
      <c r="Y1416">
        <v>3</v>
      </c>
      <c r="Z1416">
        <v>17</v>
      </c>
      <c r="AA1416">
        <v>14</v>
      </c>
      <c r="AB1416">
        <v>12</v>
      </c>
      <c r="AC1416">
        <v>11</v>
      </c>
      <c r="AD1416">
        <f>IF(HR_Data[[#This Row],[Attrition]]="Yes",1,0)</f>
        <v>0</v>
      </c>
      <c r="AE1416" t="str">
        <f>IF(HR_Data[[#This Row],[Age]]&lt;=25,"18-25",IF(HR_Data[[#This Row],[Age]]&lt;=35,"26-35",IF(HR_Data[[#This Row],[Age]]&lt;=45,"36-45",IF(HR_Data[[#This Row],[Age]]&lt;=55,"46-55","55+"))))</f>
        <v>46-55</v>
      </c>
      <c r="AF1416">
        <f>IF(HR_Data[[#This Row],[Age]]&lt;=25,1,IF(HR_Data[[#This Row],[Age]]&lt;=35,2,IF(HR_Data[[#This Row],[Age]]&lt;=45,3,IF(HR_Data[[#This Row],[Age]]&lt;=55,4,5))))</f>
        <v>4</v>
      </c>
      <c r="AG1416" s="1" t="str">
        <f>IF(HR_Data[[#This Row],[MonthlyIncome]]&lt;3000,"&lt;3K",IF(HR_Data[[#This Row],[MonthlyIncome]]&lt;6000,"3K-6K",IF(HR_Data[[#This Row],[MonthlyIncome]]&lt;10000,"6K-10K","10K+")))</f>
        <v>6K-10K</v>
      </c>
      <c r="AH1416" s="1">
        <f>IF(HR_Data[[#This Row],[MonthlyIncome]]&lt;3000,1,IF(HR_Data[[#This Row],[MonthlyIncome]]&lt;6000,2,IF(HR_Data[[#This Row],[MonthlyIncome]]&lt;10000,3,4)))</f>
        <v>3</v>
      </c>
      <c r="AI1416" s="1" t="str">
        <f>IF(HR_Data[[#This Row],[YearsAtCompany]]&lt;=2,"0-2 Yrs",IF(HR_Data[[#This Row],[YearsAtCompany]]&lt;=5,"3-5 Yrs",IF(HR_Data[[#This Row],[YearsAtCompany]]&lt;=10,"6-10 Yrs","10+ Yrs")))</f>
        <v>10+ Yrs</v>
      </c>
      <c r="AJ1416" s="1">
        <f>IF(HR_Data[[#This Row],[YearsAtCompany]]&lt;=2,1,IF(HR_Data[[#This Row],[YearsAtCompany]]&lt;=5,2,IF(HR_Data[[#This Row],[YearsAtCompany]]&lt;=10,3,4)))</f>
        <v>4</v>
      </c>
      <c r="AK1416" s="1" t="str">
        <f>CHOOSE(HR_Data[[#This Row],[Education]],"Below College","College","Bachelor","Master","Doctor")</f>
        <v>Bachelor</v>
      </c>
      <c r="AL1416" s="1" t="str">
        <f>CHOOSE(HR_Data[[#This Row],[JobSatisfaction]],"Low","Medium","High","Very High")</f>
        <v>High</v>
      </c>
      <c r="AM1416" s="1" t="str">
        <f>CHOOSE(HR_Data[[#This Row],[EnvironmentSatisfaction]],"Low","Medium","High","Very High")</f>
        <v>Low</v>
      </c>
      <c r="AN1416" s="1" t="str">
        <f>CHOOSE(HR_Data[[#This Row],[WorkLifeBalance]],"Bad","Good","Better","Best")</f>
        <v>Better</v>
      </c>
      <c r="AO1416" s="1" t="str">
        <f>IF(HR_Data[[#This Row],[PercentSalaryHike]]&lt;=13,"11-13%",IF(HR_Data[[#This Row],[PercentSalaryHike]]&lt;=16,"14-16%",IF(HR_Data[[#This Row],[PercentSalaryHike]]&lt;=19,"17-19%","20-25%")))</f>
        <v>20-25%</v>
      </c>
      <c r="AP1416" s="1">
        <f>IF(HR_Data[[#This Row],[PercentSalaryHike]]&lt;=13,1,IF(HR_Data[[#This Row],[PercentSalaryHike]]&lt;=16,2,IF(HR_Data[[#This Row],[PercentSalaryHike]]&lt;=19,3,4)))</f>
        <v>4</v>
      </c>
      <c r="AQ1416" s="1" t="str">
        <f>IF(HR_Data[[#This Row],[DistanceFromHome]]&lt;=5,"1 to 5",IF(HR_Data[[#This Row],[DistanceFromHome]]&lt;=10,"6 to 10",IF(HR_Data[[#This Row],[DistanceFromHome]]&lt;=20,"11 to 20","21 to 29")))</f>
        <v>21 to 29</v>
      </c>
      <c r="AR1416" s="1">
        <f>IF(HR_Data[[#This Row],[DistanceFromHome]]&lt;=5,1,IF(HR_Data[[#This Row],[DistanceFromHome]]&lt;=10,2,IF(HR_Data[[#This Row],[DistanceFromHome]]&lt;=20,3,4)))</f>
        <v>4</v>
      </c>
      <c r="AS1416" s="1" t="str">
        <f>IF(HR_Data[[#This Row],[TotalWorkingYears]]&lt;=5,"0-5 Yrs",IF(HR_Data[[#This Row],[TotalWorkingYears]]&lt;=10,"6-10 Yrs",IF(HR_Data[[#This Row],[TotalWorkingYears]]&lt;=20,"11-20 Yrs","20+ Yrs")))</f>
        <v>20+ Yrs</v>
      </c>
      <c r="AT1416" s="1">
        <f>IF(HR_Data[[#This Row],[TotalWorkingYears]]&lt;=5,1,IF(HR_Data[[#This Row],[TotalWorkingYears]]&lt;=10,2,IF(HR_Data[[#This Row],[TotalWorkingYears]]&lt;=20,3,4)))</f>
        <v>4</v>
      </c>
    </row>
    <row r="1417" spans="1:46" x14ac:dyDescent="0.25">
      <c r="A1417">
        <v>33</v>
      </c>
      <c r="B1417" t="s">
        <v>36</v>
      </c>
      <c r="C1417" t="s">
        <v>48</v>
      </c>
      <c r="D1417" t="s">
        <v>38</v>
      </c>
      <c r="E1417">
        <v>1</v>
      </c>
      <c r="F1417">
        <v>2</v>
      </c>
      <c r="G1417" t="s">
        <v>44</v>
      </c>
      <c r="H1417">
        <v>1994</v>
      </c>
      <c r="I1417">
        <v>2</v>
      </c>
      <c r="J1417" t="s">
        <v>39</v>
      </c>
      <c r="K1417">
        <v>2</v>
      </c>
      <c r="L1417">
        <v>1</v>
      </c>
      <c r="M1417" t="s">
        <v>43</v>
      </c>
      <c r="N1417">
        <v>3</v>
      </c>
      <c r="O1417" t="s">
        <v>45</v>
      </c>
      <c r="P1417">
        <v>2008</v>
      </c>
      <c r="Q1417">
        <v>1</v>
      </c>
      <c r="R1417" t="s">
        <v>36</v>
      </c>
      <c r="S1417">
        <v>12</v>
      </c>
      <c r="T1417">
        <v>3</v>
      </c>
      <c r="U1417">
        <v>3</v>
      </c>
      <c r="V1417">
        <v>3</v>
      </c>
      <c r="W1417">
        <v>1</v>
      </c>
      <c r="X1417">
        <v>2</v>
      </c>
      <c r="Y1417">
        <v>2</v>
      </c>
      <c r="Z1417">
        <v>1</v>
      </c>
      <c r="AA1417">
        <v>1</v>
      </c>
      <c r="AB1417">
        <v>0</v>
      </c>
      <c r="AC1417">
        <v>0</v>
      </c>
      <c r="AD1417">
        <f>IF(HR_Data[[#This Row],[Attrition]]="Yes",1,0)</f>
        <v>0</v>
      </c>
      <c r="AE1417" t="str">
        <f>IF(HR_Data[[#This Row],[Age]]&lt;=25,"18-25",IF(HR_Data[[#This Row],[Age]]&lt;=35,"26-35",IF(HR_Data[[#This Row],[Age]]&lt;=45,"36-45",IF(HR_Data[[#This Row],[Age]]&lt;=55,"46-55","55+"))))</f>
        <v>26-35</v>
      </c>
      <c r="AF1417">
        <f>IF(HR_Data[[#This Row],[Age]]&lt;=25,1,IF(HR_Data[[#This Row],[Age]]&lt;=35,2,IF(HR_Data[[#This Row],[Age]]&lt;=45,3,IF(HR_Data[[#This Row],[Age]]&lt;=55,4,5))))</f>
        <v>2</v>
      </c>
      <c r="AG1417" s="1" t="str">
        <f>IF(HR_Data[[#This Row],[MonthlyIncome]]&lt;3000,"&lt;3K",IF(HR_Data[[#This Row],[MonthlyIncome]]&lt;6000,"3K-6K",IF(HR_Data[[#This Row],[MonthlyIncome]]&lt;10000,"6K-10K","10K+")))</f>
        <v>&lt;3K</v>
      </c>
      <c r="AH1417" s="1">
        <f>IF(HR_Data[[#This Row],[MonthlyIncome]]&lt;3000,1,IF(HR_Data[[#This Row],[MonthlyIncome]]&lt;6000,2,IF(HR_Data[[#This Row],[MonthlyIncome]]&lt;10000,3,4)))</f>
        <v>1</v>
      </c>
      <c r="AI1417" s="1" t="str">
        <f>IF(HR_Data[[#This Row],[YearsAtCompany]]&lt;=2,"0-2 Yrs",IF(HR_Data[[#This Row],[YearsAtCompany]]&lt;=5,"3-5 Yrs",IF(HR_Data[[#This Row],[YearsAtCompany]]&lt;=10,"6-10 Yrs","10+ Yrs")))</f>
        <v>0-2 Yrs</v>
      </c>
      <c r="AJ1417" s="1">
        <f>IF(HR_Data[[#This Row],[YearsAtCompany]]&lt;=2,1,IF(HR_Data[[#This Row],[YearsAtCompany]]&lt;=5,2,IF(HR_Data[[#This Row],[YearsAtCompany]]&lt;=10,3,4)))</f>
        <v>1</v>
      </c>
      <c r="AK1417" s="1" t="str">
        <f>CHOOSE(HR_Data[[#This Row],[Education]],"Below College","College","Bachelor","Master","Doctor")</f>
        <v>College</v>
      </c>
      <c r="AL1417" s="1" t="str">
        <f>CHOOSE(HR_Data[[#This Row],[JobSatisfaction]],"Low","Medium","High","Very High")</f>
        <v>High</v>
      </c>
      <c r="AM1417" s="1" t="str">
        <f>CHOOSE(HR_Data[[#This Row],[EnvironmentSatisfaction]],"Low","Medium","High","Very High")</f>
        <v>Medium</v>
      </c>
      <c r="AN1417" s="1" t="str">
        <f>CHOOSE(HR_Data[[#This Row],[WorkLifeBalance]],"Bad","Good","Better","Best")</f>
        <v>Good</v>
      </c>
      <c r="AO1417" s="1" t="str">
        <f>IF(HR_Data[[#This Row],[PercentSalaryHike]]&lt;=13,"11-13%",IF(HR_Data[[#This Row],[PercentSalaryHike]]&lt;=16,"14-16%",IF(HR_Data[[#This Row],[PercentSalaryHike]]&lt;=19,"17-19%","20-25%")))</f>
        <v>11-13%</v>
      </c>
      <c r="AP1417" s="1">
        <f>IF(HR_Data[[#This Row],[PercentSalaryHike]]&lt;=13,1,IF(HR_Data[[#This Row],[PercentSalaryHike]]&lt;=16,2,IF(HR_Data[[#This Row],[PercentSalaryHike]]&lt;=19,3,4)))</f>
        <v>1</v>
      </c>
      <c r="AQ1417" s="1" t="str">
        <f>IF(HR_Data[[#This Row],[DistanceFromHome]]&lt;=5,"1 to 5",IF(HR_Data[[#This Row],[DistanceFromHome]]&lt;=10,"6 to 10",IF(HR_Data[[#This Row],[DistanceFromHome]]&lt;=20,"11 to 20","21 to 29")))</f>
        <v>1 to 5</v>
      </c>
      <c r="AR1417" s="1">
        <f>IF(HR_Data[[#This Row],[DistanceFromHome]]&lt;=5,1,IF(HR_Data[[#This Row],[DistanceFromHome]]&lt;=10,2,IF(HR_Data[[#This Row],[DistanceFromHome]]&lt;=20,3,4)))</f>
        <v>1</v>
      </c>
      <c r="AS1417" s="1" t="str">
        <f>IF(HR_Data[[#This Row],[TotalWorkingYears]]&lt;=5,"0-5 Yrs",IF(HR_Data[[#This Row],[TotalWorkingYears]]&lt;=10,"6-10 Yrs",IF(HR_Data[[#This Row],[TotalWorkingYears]]&lt;=20,"11-20 Yrs","20+ Yrs")))</f>
        <v>0-5 Yrs</v>
      </c>
      <c r="AT1417" s="1">
        <f>IF(HR_Data[[#This Row],[TotalWorkingYears]]&lt;=5,1,IF(HR_Data[[#This Row],[TotalWorkingYears]]&lt;=10,2,IF(HR_Data[[#This Row],[TotalWorkingYears]]&lt;=20,3,4)))</f>
        <v>1</v>
      </c>
    </row>
    <row r="1418" spans="1:46" x14ac:dyDescent="0.25">
      <c r="A1418">
        <v>38</v>
      </c>
      <c r="B1418" t="s">
        <v>36</v>
      </c>
      <c r="C1418" t="s">
        <v>30</v>
      </c>
      <c r="D1418" t="s">
        <v>31</v>
      </c>
      <c r="E1418">
        <v>1</v>
      </c>
      <c r="F1418">
        <v>4</v>
      </c>
      <c r="G1418" t="s">
        <v>32</v>
      </c>
      <c r="H1418">
        <v>1995</v>
      </c>
      <c r="I1418">
        <v>4</v>
      </c>
      <c r="J1418" t="s">
        <v>39</v>
      </c>
      <c r="K1418">
        <v>3</v>
      </c>
      <c r="L1418">
        <v>2</v>
      </c>
      <c r="M1418" t="s">
        <v>34</v>
      </c>
      <c r="N1418">
        <v>2</v>
      </c>
      <c r="O1418" t="s">
        <v>41</v>
      </c>
      <c r="P1418">
        <v>4440</v>
      </c>
      <c r="Q1418">
        <v>0</v>
      </c>
      <c r="R1418" t="s">
        <v>36</v>
      </c>
      <c r="S1418">
        <v>15</v>
      </c>
      <c r="T1418">
        <v>3</v>
      </c>
      <c r="U1418">
        <v>1</v>
      </c>
      <c r="V1418">
        <v>2</v>
      </c>
      <c r="W1418">
        <v>16</v>
      </c>
      <c r="X1418">
        <v>3</v>
      </c>
      <c r="Y1418">
        <v>3</v>
      </c>
      <c r="Z1418">
        <v>15</v>
      </c>
      <c r="AA1418">
        <v>13</v>
      </c>
      <c r="AB1418">
        <v>5</v>
      </c>
      <c r="AC1418">
        <v>8</v>
      </c>
      <c r="AD1418">
        <f>IF(HR_Data[[#This Row],[Attrition]]="Yes",1,0)</f>
        <v>0</v>
      </c>
      <c r="AE1418" t="str">
        <f>IF(HR_Data[[#This Row],[Age]]&lt;=25,"18-25",IF(HR_Data[[#This Row],[Age]]&lt;=35,"26-35",IF(HR_Data[[#This Row],[Age]]&lt;=45,"36-45",IF(HR_Data[[#This Row],[Age]]&lt;=55,"46-55","55+"))))</f>
        <v>36-45</v>
      </c>
      <c r="AF1418">
        <f>IF(HR_Data[[#This Row],[Age]]&lt;=25,1,IF(HR_Data[[#This Row],[Age]]&lt;=35,2,IF(HR_Data[[#This Row],[Age]]&lt;=45,3,IF(HR_Data[[#This Row],[Age]]&lt;=55,4,5))))</f>
        <v>3</v>
      </c>
      <c r="AG1418" s="1" t="str">
        <f>IF(HR_Data[[#This Row],[MonthlyIncome]]&lt;3000,"&lt;3K",IF(HR_Data[[#This Row],[MonthlyIncome]]&lt;6000,"3K-6K",IF(HR_Data[[#This Row],[MonthlyIncome]]&lt;10000,"6K-10K","10K+")))</f>
        <v>3K-6K</v>
      </c>
      <c r="AH1418" s="1">
        <f>IF(HR_Data[[#This Row],[MonthlyIncome]]&lt;3000,1,IF(HR_Data[[#This Row],[MonthlyIncome]]&lt;6000,2,IF(HR_Data[[#This Row],[MonthlyIncome]]&lt;10000,3,4)))</f>
        <v>2</v>
      </c>
      <c r="AI1418" s="1" t="str">
        <f>IF(HR_Data[[#This Row],[YearsAtCompany]]&lt;=2,"0-2 Yrs",IF(HR_Data[[#This Row],[YearsAtCompany]]&lt;=5,"3-5 Yrs",IF(HR_Data[[#This Row],[YearsAtCompany]]&lt;=10,"6-10 Yrs","10+ Yrs")))</f>
        <v>10+ Yrs</v>
      </c>
      <c r="AJ1418" s="1">
        <f>IF(HR_Data[[#This Row],[YearsAtCompany]]&lt;=2,1,IF(HR_Data[[#This Row],[YearsAtCompany]]&lt;=5,2,IF(HR_Data[[#This Row],[YearsAtCompany]]&lt;=10,3,4)))</f>
        <v>4</v>
      </c>
      <c r="AK1418" s="1" t="str">
        <f>CHOOSE(HR_Data[[#This Row],[Education]],"Below College","College","Bachelor","Master","Doctor")</f>
        <v>Master</v>
      </c>
      <c r="AL1418" s="1" t="str">
        <f>CHOOSE(HR_Data[[#This Row],[JobSatisfaction]],"Low","Medium","High","Very High")</f>
        <v>Medium</v>
      </c>
      <c r="AM1418" s="1" t="str">
        <f>CHOOSE(HR_Data[[#This Row],[EnvironmentSatisfaction]],"Low","Medium","High","Very High")</f>
        <v>Very High</v>
      </c>
      <c r="AN1418" s="1" t="str">
        <f>CHOOSE(HR_Data[[#This Row],[WorkLifeBalance]],"Bad","Good","Better","Best")</f>
        <v>Better</v>
      </c>
      <c r="AO1418" s="1" t="str">
        <f>IF(HR_Data[[#This Row],[PercentSalaryHike]]&lt;=13,"11-13%",IF(HR_Data[[#This Row],[PercentSalaryHike]]&lt;=16,"14-16%",IF(HR_Data[[#This Row],[PercentSalaryHike]]&lt;=19,"17-19%","20-25%")))</f>
        <v>14-16%</v>
      </c>
      <c r="AP1418" s="1">
        <f>IF(HR_Data[[#This Row],[PercentSalaryHike]]&lt;=13,1,IF(HR_Data[[#This Row],[PercentSalaryHike]]&lt;=16,2,IF(HR_Data[[#This Row],[PercentSalaryHike]]&lt;=19,3,4)))</f>
        <v>2</v>
      </c>
      <c r="AQ1418" s="1" t="str">
        <f>IF(HR_Data[[#This Row],[DistanceFromHome]]&lt;=5,"1 to 5",IF(HR_Data[[#This Row],[DistanceFromHome]]&lt;=10,"6 to 10",IF(HR_Data[[#This Row],[DistanceFromHome]]&lt;=20,"11 to 20","21 to 29")))</f>
        <v>1 to 5</v>
      </c>
      <c r="AR1418" s="1">
        <f>IF(HR_Data[[#This Row],[DistanceFromHome]]&lt;=5,1,IF(HR_Data[[#This Row],[DistanceFromHome]]&lt;=10,2,IF(HR_Data[[#This Row],[DistanceFromHome]]&lt;=20,3,4)))</f>
        <v>1</v>
      </c>
      <c r="AS1418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418" s="1">
        <f>IF(HR_Data[[#This Row],[TotalWorkingYears]]&lt;=5,1,IF(HR_Data[[#This Row],[TotalWorkingYears]]&lt;=10,2,IF(HR_Data[[#This Row],[TotalWorkingYears]]&lt;=20,3,4)))</f>
        <v>3</v>
      </c>
    </row>
    <row r="1419" spans="1:46" x14ac:dyDescent="0.25">
      <c r="A1419">
        <v>31</v>
      </c>
      <c r="B1419" t="s">
        <v>36</v>
      </c>
      <c r="C1419" t="s">
        <v>30</v>
      </c>
      <c r="D1419" t="s">
        <v>31</v>
      </c>
      <c r="E1419">
        <v>2</v>
      </c>
      <c r="F1419">
        <v>2</v>
      </c>
      <c r="G1419" t="s">
        <v>32</v>
      </c>
      <c r="H1419">
        <v>1996</v>
      </c>
      <c r="I1419">
        <v>1</v>
      </c>
      <c r="J1419" t="s">
        <v>39</v>
      </c>
      <c r="K1419">
        <v>3</v>
      </c>
      <c r="L1419">
        <v>1</v>
      </c>
      <c r="M1419" t="s">
        <v>50</v>
      </c>
      <c r="N1419">
        <v>3</v>
      </c>
      <c r="O1419" t="s">
        <v>41</v>
      </c>
      <c r="P1419">
        <v>3067</v>
      </c>
      <c r="Q1419">
        <v>0</v>
      </c>
      <c r="R1419" t="s">
        <v>36</v>
      </c>
      <c r="S1419">
        <v>19</v>
      </c>
      <c r="T1419">
        <v>3</v>
      </c>
      <c r="U1419">
        <v>3</v>
      </c>
      <c r="V1419">
        <v>1</v>
      </c>
      <c r="W1419">
        <v>3</v>
      </c>
      <c r="X1419">
        <v>1</v>
      </c>
      <c r="Y1419">
        <v>3</v>
      </c>
      <c r="Z1419">
        <v>2</v>
      </c>
      <c r="AA1419">
        <v>2</v>
      </c>
      <c r="AB1419">
        <v>1</v>
      </c>
      <c r="AC1419">
        <v>2</v>
      </c>
      <c r="AD1419">
        <f>IF(HR_Data[[#This Row],[Attrition]]="Yes",1,0)</f>
        <v>0</v>
      </c>
      <c r="AE1419" t="str">
        <f>IF(HR_Data[[#This Row],[Age]]&lt;=25,"18-25",IF(HR_Data[[#This Row],[Age]]&lt;=35,"26-35",IF(HR_Data[[#This Row],[Age]]&lt;=45,"36-45",IF(HR_Data[[#This Row],[Age]]&lt;=55,"46-55","55+"))))</f>
        <v>26-35</v>
      </c>
      <c r="AF1419">
        <f>IF(HR_Data[[#This Row],[Age]]&lt;=25,1,IF(HR_Data[[#This Row],[Age]]&lt;=35,2,IF(HR_Data[[#This Row],[Age]]&lt;=45,3,IF(HR_Data[[#This Row],[Age]]&lt;=55,4,5))))</f>
        <v>2</v>
      </c>
      <c r="AG1419" s="1" t="str">
        <f>IF(HR_Data[[#This Row],[MonthlyIncome]]&lt;3000,"&lt;3K",IF(HR_Data[[#This Row],[MonthlyIncome]]&lt;6000,"3K-6K",IF(HR_Data[[#This Row],[MonthlyIncome]]&lt;10000,"6K-10K","10K+")))</f>
        <v>3K-6K</v>
      </c>
      <c r="AH1419" s="1">
        <f>IF(HR_Data[[#This Row],[MonthlyIncome]]&lt;3000,1,IF(HR_Data[[#This Row],[MonthlyIncome]]&lt;6000,2,IF(HR_Data[[#This Row],[MonthlyIncome]]&lt;10000,3,4)))</f>
        <v>2</v>
      </c>
      <c r="AI1419" s="1" t="str">
        <f>IF(HR_Data[[#This Row],[YearsAtCompany]]&lt;=2,"0-2 Yrs",IF(HR_Data[[#This Row],[YearsAtCompany]]&lt;=5,"3-5 Yrs",IF(HR_Data[[#This Row],[YearsAtCompany]]&lt;=10,"6-10 Yrs","10+ Yrs")))</f>
        <v>0-2 Yrs</v>
      </c>
      <c r="AJ1419" s="1">
        <f>IF(HR_Data[[#This Row],[YearsAtCompany]]&lt;=2,1,IF(HR_Data[[#This Row],[YearsAtCompany]]&lt;=5,2,IF(HR_Data[[#This Row],[YearsAtCompany]]&lt;=10,3,4)))</f>
        <v>1</v>
      </c>
      <c r="AK1419" s="1" t="str">
        <f>CHOOSE(HR_Data[[#This Row],[Education]],"Below College","College","Bachelor","Master","Doctor")</f>
        <v>College</v>
      </c>
      <c r="AL1419" s="1" t="str">
        <f>CHOOSE(HR_Data[[#This Row],[JobSatisfaction]],"Low","Medium","High","Very High")</f>
        <v>High</v>
      </c>
      <c r="AM1419" s="1" t="str">
        <f>CHOOSE(HR_Data[[#This Row],[EnvironmentSatisfaction]],"Low","Medium","High","Very High")</f>
        <v>Low</v>
      </c>
      <c r="AN1419" s="1" t="str">
        <f>CHOOSE(HR_Data[[#This Row],[WorkLifeBalance]],"Bad","Good","Better","Best")</f>
        <v>Better</v>
      </c>
      <c r="AO1419" s="1" t="str">
        <f>IF(HR_Data[[#This Row],[PercentSalaryHike]]&lt;=13,"11-13%",IF(HR_Data[[#This Row],[PercentSalaryHike]]&lt;=16,"14-16%",IF(HR_Data[[#This Row],[PercentSalaryHike]]&lt;=19,"17-19%","20-25%")))</f>
        <v>17-19%</v>
      </c>
      <c r="AP1419" s="1">
        <f>IF(HR_Data[[#This Row],[PercentSalaryHike]]&lt;=13,1,IF(HR_Data[[#This Row],[PercentSalaryHike]]&lt;=16,2,IF(HR_Data[[#This Row],[PercentSalaryHike]]&lt;=19,3,4)))</f>
        <v>3</v>
      </c>
      <c r="AQ1419" s="1" t="str">
        <f>IF(HR_Data[[#This Row],[DistanceFromHome]]&lt;=5,"1 to 5",IF(HR_Data[[#This Row],[DistanceFromHome]]&lt;=10,"6 to 10",IF(HR_Data[[#This Row],[DistanceFromHome]]&lt;=20,"11 to 20","21 to 29")))</f>
        <v>1 to 5</v>
      </c>
      <c r="AR1419" s="1">
        <f>IF(HR_Data[[#This Row],[DistanceFromHome]]&lt;=5,1,IF(HR_Data[[#This Row],[DistanceFromHome]]&lt;=10,2,IF(HR_Data[[#This Row],[DistanceFromHome]]&lt;=20,3,4)))</f>
        <v>1</v>
      </c>
      <c r="AS1419" s="1" t="str">
        <f>IF(HR_Data[[#This Row],[TotalWorkingYears]]&lt;=5,"0-5 Yrs",IF(HR_Data[[#This Row],[TotalWorkingYears]]&lt;=10,"6-10 Yrs",IF(HR_Data[[#This Row],[TotalWorkingYears]]&lt;=20,"11-20 Yrs","20+ Yrs")))</f>
        <v>0-5 Yrs</v>
      </c>
      <c r="AT1419" s="1">
        <f>IF(HR_Data[[#This Row],[TotalWorkingYears]]&lt;=5,1,IF(HR_Data[[#This Row],[TotalWorkingYears]]&lt;=10,2,IF(HR_Data[[#This Row],[TotalWorkingYears]]&lt;=20,3,4)))</f>
        <v>1</v>
      </c>
    </row>
    <row r="1420" spans="1:46" x14ac:dyDescent="0.25">
      <c r="A1420">
        <v>38</v>
      </c>
      <c r="B1420" t="s">
        <v>36</v>
      </c>
      <c r="C1420" t="s">
        <v>37</v>
      </c>
      <c r="D1420" t="s">
        <v>38</v>
      </c>
      <c r="E1420">
        <v>6</v>
      </c>
      <c r="F1420">
        <v>4</v>
      </c>
      <c r="G1420" t="s">
        <v>32</v>
      </c>
      <c r="H1420">
        <v>1997</v>
      </c>
      <c r="I1420">
        <v>1</v>
      </c>
      <c r="J1420" t="s">
        <v>39</v>
      </c>
      <c r="K1420">
        <v>2</v>
      </c>
      <c r="L1420">
        <v>2</v>
      </c>
      <c r="M1420" t="s">
        <v>46</v>
      </c>
      <c r="N1420">
        <v>3</v>
      </c>
      <c r="O1420" t="s">
        <v>41</v>
      </c>
      <c r="P1420">
        <v>5321</v>
      </c>
      <c r="Q1420">
        <v>2</v>
      </c>
      <c r="R1420" t="s">
        <v>36</v>
      </c>
      <c r="S1420">
        <v>11</v>
      </c>
      <c r="T1420">
        <v>3</v>
      </c>
      <c r="U1420">
        <v>4</v>
      </c>
      <c r="V1420">
        <v>1</v>
      </c>
      <c r="W1420">
        <v>10</v>
      </c>
      <c r="X1420">
        <v>1</v>
      </c>
      <c r="Y1420">
        <v>3</v>
      </c>
      <c r="Z1420">
        <v>8</v>
      </c>
      <c r="AA1420">
        <v>3</v>
      </c>
      <c r="AB1420">
        <v>7</v>
      </c>
      <c r="AC1420">
        <v>7</v>
      </c>
      <c r="AD1420">
        <f>IF(HR_Data[[#This Row],[Attrition]]="Yes",1,0)</f>
        <v>0</v>
      </c>
      <c r="AE1420" t="str">
        <f>IF(HR_Data[[#This Row],[Age]]&lt;=25,"18-25",IF(HR_Data[[#This Row],[Age]]&lt;=35,"26-35",IF(HR_Data[[#This Row],[Age]]&lt;=45,"36-45",IF(HR_Data[[#This Row],[Age]]&lt;=55,"46-55","55+"))))</f>
        <v>36-45</v>
      </c>
      <c r="AF1420">
        <f>IF(HR_Data[[#This Row],[Age]]&lt;=25,1,IF(HR_Data[[#This Row],[Age]]&lt;=35,2,IF(HR_Data[[#This Row],[Age]]&lt;=45,3,IF(HR_Data[[#This Row],[Age]]&lt;=55,4,5))))</f>
        <v>3</v>
      </c>
      <c r="AG1420" s="1" t="str">
        <f>IF(HR_Data[[#This Row],[MonthlyIncome]]&lt;3000,"&lt;3K",IF(HR_Data[[#This Row],[MonthlyIncome]]&lt;6000,"3K-6K",IF(HR_Data[[#This Row],[MonthlyIncome]]&lt;10000,"6K-10K","10K+")))</f>
        <v>3K-6K</v>
      </c>
      <c r="AH1420" s="1">
        <f>IF(HR_Data[[#This Row],[MonthlyIncome]]&lt;3000,1,IF(HR_Data[[#This Row],[MonthlyIncome]]&lt;6000,2,IF(HR_Data[[#This Row],[MonthlyIncome]]&lt;10000,3,4)))</f>
        <v>2</v>
      </c>
      <c r="AI1420" s="1" t="str">
        <f>IF(HR_Data[[#This Row],[YearsAtCompany]]&lt;=2,"0-2 Yrs",IF(HR_Data[[#This Row],[YearsAtCompany]]&lt;=5,"3-5 Yrs",IF(HR_Data[[#This Row],[YearsAtCompany]]&lt;=10,"6-10 Yrs","10+ Yrs")))</f>
        <v>6-10 Yrs</v>
      </c>
      <c r="AJ1420" s="1">
        <f>IF(HR_Data[[#This Row],[YearsAtCompany]]&lt;=2,1,IF(HR_Data[[#This Row],[YearsAtCompany]]&lt;=5,2,IF(HR_Data[[#This Row],[YearsAtCompany]]&lt;=10,3,4)))</f>
        <v>3</v>
      </c>
      <c r="AK1420" s="1" t="str">
        <f>CHOOSE(HR_Data[[#This Row],[Education]],"Below College","College","Bachelor","Master","Doctor")</f>
        <v>Master</v>
      </c>
      <c r="AL1420" s="1" t="str">
        <f>CHOOSE(HR_Data[[#This Row],[JobSatisfaction]],"Low","Medium","High","Very High")</f>
        <v>High</v>
      </c>
      <c r="AM1420" s="1" t="str">
        <f>CHOOSE(HR_Data[[#This Row],[EnvironmentSatisfaction]],"Low","Medium","High","Very High")</f>
        <v>Low</v>
      </c>
      <c r="AN1420" s="1" t="str">
        <f>CHOOSE(HR_Data[[#This Row],[WorkLifeBalance]],"Bad","Good","Better","Best")</f>
        <v>Better</v>
      </c>
      <c r="AO1420" s="1" t="str">
        <f>IF(HR_Data[[#This Row],[PercentSalaryHike]]&lt;=13,"11-13%",IF(HR_Data[[#This Row],[PercentSalaryHike]]&lt;=16,"14-16%",IF(HR_Data[[#This Row],[PercentSalaryHike]]&lt;=19,"17-19%","20-25%")))</f>
        <v>11-13%</v>
      </c>
      <c r="AP1420" s="1">
        <f>IF(HR_Data[[#This Row],[PercentSalaryHike]]&lt;=13,1,IF(HR_Data[[#This Row],[PercentSalaryHike]]&lt;=16,2,IF(HR_Data[[#This Row],[PercentSalaryHike]]&lt;=19,3,4)))</f>
        <v>1</v>
      </c>
      <c r="AQ1420" s="1" t="str">
        <f>IF(HR_Data[[#This Row],[DistanceFromHome]]&lt;=5,"1 to 5",IF(HR_Data[[#This Row],[DistanceFromHome]]&lt;=10,"6 to 10",IF(HR_Data[[#This Row],[DistanceFromHome]]&lt;=20,"11 to 20","21 to 29")))</f>
        <v>6 to 10</v>
      </c>
      <c r="AR1420" s="1">
        <f>IF(HR_Data[[#This Row],[DistanceFromHome]]&lt;=5,1,IF(HR_Data[[#This Row],[DistanceFromHome]]&lt;=10,2,IF(HR_Data[[#This Row],[DistanceFromHome]]&lt;=20,3,4)))</f>
        <v>2</v>
      </c>
      <c r="AS1420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420" s="1">
        <f>IF(HR_Data[[#This Row],[TotalWorkingYears]]&lt;=5,1,IF(HR_Data[[#This Row],[TotalWorkingYears]]&lt;=10,2,IF(HR_Data[[#This Row],[TotalWorkingYears]]&lt;=20,3,4)))</f>
        <v>2</v>
      </c>
    </row>
    <row r="1421" spans="1:46" x14ac:dyDescent="0.25">
      <c r="A1421">
        <v>42</v>
      </c>
      <c r="B1421" t="s">
        <v>36</v>
      </c>
      <c r="C1421" t="s">
        <v>30</v>
      </c>
      <c r="D1421" t="s">
        <v>38</v>
      </c>
      <c r="E1421">
        <v>18</v>
      </c>
      <c r="F1421">
        <v>4</v>
      </c>
      <c r="G1421" t="s">
        <v>32</v>
      </c>
      <c r="H1421">
        <v>1998</v>
      </c>
      <c r="I1421">
        <v>4</v>
      </c>
      <c r="J1421" t="s">
        <v>39</v>
      </c>
      <c r="K1421">
        <v>3</v>
      </c>
      <c r="L1421">
        <v>2</v>
      </c>
      <c r="M1421" t="s">
        <v>40</v>
      </c>
      <c r="N1421">
        <v>1</v>
      </c>
      <c r="O1421" t="s">
        <v>45</v>
      </c>
      <c r="P1421">
        <v>5410</v>
      </c>
      <c r="Q1421">
        <v>6</v>
      </c>
      <c r="R1421" t="s">
        <v>29</v>
      </c>
      <c r="S1421">
        <v>17</v>
      </c>
      <c r="T1421">
        <v>3</v>
      </c>
      <c r="U1421">
        <v>3</v>
      </c>
      <c r="V1421">
        <v>1</v>
      </c>
      <c r="W1421">
        <v>9</v>
      </c>
      <c r="X1421">
        <v>3</v>
      </c>
      <c r="Y1421">
        <v>2</v>
      </c>
      <c r="Z1421">
        <v>4</v>
      </c>
      <c r="AA1421">
        <v>3</v>
      </c>
      <c r="AB1421">
        <v>1</v>
      </c>
      <c r="AC1421">
        <v>2</v>
      </c>
      <c r="AD1421">
        <f>IF(HR_Data[[#This Row],[Attrition]]="Yes",1,0)</f>
        <v>0</v>
      </c>
      <c r="AE1421" t="str">
        <f>IF(HR_Data[[#This Row],[Age]]&lt;=25,"18-25",IF(HR_Data[[#This Row],[Age]]&lt;=35,"26-35",IF(HR_Data[[#This Row],[Age]]&lt;=45,"36-45",IF(HR_Data[[#This Row],[Age]]&lt;=55,"46-55","55+"))))</f>
        <v>36-45</v>
      </c>
      <c r="AF1421">
        <f>IF(HR_Data[[#This Row],[Age]]&lt;=25,1,IF(HR_Data[[#This Row],[Age]]&lt;=35,2,IF(HR_Data[[#This Row],[Age]]&lt;=45,3,IF(HR_Data[[#This Row],[Age]]&lt;=55,4,5))))</f>
        <v>3</v>
      </c>
      <c r="AG1421" s="1" t="str">
        <f>IF(HR_Data[[#This Row],[MonthlyIncome]]&lt;3000,"&lt;3K",IF(HR_Data[[#This Row],[MonthlyIncome]]&lt;6000,"3K-6K",IF(HR_Data[[#This Row],[MonthlyIncome]]&lt;10000,"6K-10K","10K+")))</f>
        <v>3K-6K</v>
      </c>
      <c r="AH1421" s="1">
        <f>IF(HR_Data[[#This Row],[MonthlyIncome]]&lt;3000,1,IF(HR_Data[[#This Row],[MonthlyIncome]]&lt;6000,2,IF(HR_Data[[#This Row],[MonthlyIncome]]&lt;10000,3,4)))</f>
        <v>2</v>
      </c>
      <c r="AI1421" s="1" t="str">
        <f>IF(HR_Data[[#This Row],[YearsAtCompany]]&lt;=2,"0-2 Yrs",IF(HR_Data[[#This Row],[YearsAtCompany]]&lt;=5,"3-5 Yrs",IF(HR_Data[[#This Row],[YearsAtCompany]]&lt;=10,"6-10 Yrs","10+ Yrs")))</f>
        <v>3-5 Yrs</v>
      </c>
      <c r="AJ1421" s="1">
        <f>IF(HR_Data[[#This Row],[YearsAtCompany]]&lt;=2,1,IF(HR_Data[[#This Row],[YearsAtCompany]]&lt;=5,2,IF(HR_Data[[#This Row],[YearsAtCompany]]&lt;=10,3,4)))</f>
        <v>2</v>
      </c>
      <c r="AK1421" s="1" t="str">
        <f>CHOOSE(HR_Data[[#This Row],[Education]],"Below College","College","Bachelor","Master","Doctor")</f>
        <v>Master</v>
      </c>
      <c r="AL1421" s="1" t="str">
        <f>CHOOSE(HR_Data[[#This Row],[JobSatisfaction]],"Low","Medium","High","Very High")</f>
        <v>Low</v>
      </c>
      <c r="AM1421" s="1" t="str">
        <f>CHOOSE(HR_Data[[#This Row],[EnvironmentSatisfaction]],"Low","Medium","High","Very High")</f>
        <v>Very High</v>
      </c>
      <c r="AN1421" s="1" t="str">
        <f>CHOOSE(HR_Data[[#This Row],[WorkLifeBalance]],"Bad","Good","Better","Best")</f>
        <v>Good</v>
      </c>
      <c r="AO1421" s="1" t="str">
        <f>IF(HR_Data[[#This Row],[PercentSalaryHike]]&lt;=13,"11-13%",IF(HR_Data[[#This Row],[PercentSalaryHike]]&lt;=16,"14-16%",IF(HR_Data[[#This Row],[PercentSalaryHike]]&lt;=19,"17-19%","20-25%")))</f>
        <v>17-19%</v>
      </c>
      <c r="AP1421" s="1">
        <f>IF(HR_Data[[#This Row],[PercentSalaryHike]]&lt;=13,1,IF(HR_Data[[#This Row],[PercentSalaryHike]]&lt;=16,2,IF(HR_Data[[#This Row],[PercentSalaryHike]]&lt;=19,3,4)))</f>
        <v>3</v>
      </c>
      <c r="AQ1421" s="1" t="str">
        <f>IF(HR_Data[[#This Row],[DistanceFromHome]]&lt;=5,"1 to 5",IF(HR_Data[[#This Row],[DistanceFromHome]]&lt;=10,"6 to 10",IF(HR_Data[[#This Row],[DistanceFromHome]]&lt;=20,"11 to 20","21 to 29")))</f>
        <v>11 to 20</v>
      </c>
      <c r="AR1421" s="1">
        <f>IF(HR_Data[[#This Row],[DistanceFromHome]]&lt;=5,1,IF(HR_Data[[#This Row],[DistanceFromHome]]&lt;=10,2,IF(HR_Data[[#This Row],[DistanceFromHome]]&lt;=20,3,4)))</f>
        <v>3</v>
      </c>
      <c r="AS1421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421" s="1">
        <f>IF(HR_Data[[#This Row],[TotalWorkingYears]]&lt;=5,1,IF(HR_Data[[#This Row],[TotalWorkingYears]]&lt;=10,2,IF(HR_Data[[#This Row],[TotalWorkingYears]]&lt;=20,3,4)))</f>
        <v>2</v>
      </c>
    </row>
    <row r="1422" spans="1:46" x14ac:dyDescent="0.25">
      <c r="A1422">
        <v>41</v>
      </c>
      <c r="B1422" t="s">
        <v>36</v>
      </c>
      <c r="C1422" t="s">
        <v>30</v>
      </c>
      <c r="D1422" t="s">
        <v>38</v>
      </c>
      <c r="E1422">
        <v>1</v>
      </c>
      <c r="F1422">
        <v>3</v>
      </c>
      <c r="G1422" t="s">
        <v>32</v>
      </c>
      <c r="H1422">
        <v>1999</v>
      </c>
      <c r="I1422">
        <v>4</v>
      </c>
      <c r="J1422" t="s">
        <v>39</v>
      </c>
      <c r="K1422">
        <v>3</v>
      </c>
      <c r="L1422">
        <v>1</v>
      </c>
      <c r="M1422" t="s">
        <v>40</v>
      </c>
      <c r="N1422">
        <v>4</v>
      </c>
      <c r="O1422" t="s">
        <v>41</v>
      </c>
      <c r="P1422">
        <v>2782</v>
      </c>
      <c r="Q1422">
        <v>3</v>
      </c>
      <c r="R1422" t="s">
        <v>36</v>
      </c>
      <c r="S1422">
        <v>22</v>
      </c>
      <c r="T1422">
        <v>4</v>
      </c>
      <c r="U1422">
        <v>1</v>
      </c>
      <c r="V1422">
        <v>1</v>
      </c>
      <c r="W1422">
        <v>12</v>
      </c>
      <c r="X1422">
        <v>3</v>
      </c>
      <c r="Y1422">
        <v>3</v>
      </c>
      <c r="Z1422">
        <v>5</v>
      </c>
      <c r="AA1422">
        <v>3</v>
      </c>
      <c r="AB1422">
        <v>1</v>
      </c>
      <c r="AC1422">
        <v>0</v>
      </c>
      <c r="AD1422">
        <f>IF(HR_Data[[#This Row],[Attrition]]="Yes",1,0)</f>
        <v>0</v>
      </c>
      <c r="AE1422" t="str">
        <f>IF(HR_Data[[#This Row],[Age]]&lt;=25,"18-25",IF(HR_Data[[#This Row],[Age]]&lt;=35,"26-35",IF(HR_Data[[#This Row],[Age]]&lt;=45,"36-45",IF(HR_Data[[#This Row],[Age]]&lt;=55,"46-55","55+"))))</f>
        <v>36-45</v>
      </c>
      <c r="AF1422">
        <f>IF(HR_Data[[#This Row],[Age]]&lt;=25,1,IF(HR_Data[[#This Row],[Age]]&lt;=35,2,IF(HR_Data[[#This Row],[Age]]&lt;=45,3,IF(HR_Data[[#This Row],[Age]]&lt;=55,4,5))))</f>
        <v>3</v>
      </c>
      <c r="AG1422" s="1" t="str">
        <f>IF(HR_Data[[#This Row],[MonthlyIncome]]&lt;3000,"&lt;3K",IF(HR_Data[[#This Row],[MonthlyIncome]]&lt;6000,"3K-6K",IF(HR_Data[[#This Row],[MonthlyIncome]]&lt;10000,"6K-10K","10K+")))</f>
        <v>&lt;3K</v>
      </c>
      <c r="AH1422" s="1">
        <f>IF(HR_Data[[#This Row],[MonthlyIncome]]&lt;3000,1,IF(HR_Data[[#This Row],[MonthlyIncome]]&lt;6000,2,IF(HR_Data[[#This Row],[MonthlyIncome]]&lt;10000,3,4)))</f>
        <v>1</v>
      </c>
      <c r="AI1422" s="1" t="str">
        <f>IF(HR_Data[[#This Row],[YearsAtCompany]]&lt;=2,"0-2 Yrs",IF(HR_Data[[#This Row],[YearsAtCompany]]&lt;=5,"3-5 Yrs",IF(HR_Data[[#This Row],[YearsAtCompany]]&lt;=10,"6-10 Yrs","10+ Yrs")))</f>
        <v>3-5 Yrs</v>
      </c>
      <c r="AJ1422" s="1">
        <f>IF(HR_Data[[#This Row],[YearsAtCompany]]&lt;=2,1,IF(HR_Data[[#This Row],[YearsAtCompany]]&lt;=5,2,IF(HR_Data[[#This Row],[YearsAtCompany]]&lt;=10,3,4)))</f>
        <v>2</v>
      </c>
      <c r="AK1422" s="1" t="str">
        <f>CHOOSE(HR_Data[[#This Row],[Education]],"Below College","College","Bachelor","Master","Doctor")</f>
        <v>Bachelor</v>
      </c>
      <c r="AL1422" s="1" t="str">
        <f>CHOOSE(HR_Data[[#This Row],[JobSatisfaction]],"Low","Medium","High","Very High")</f>
        <v>Very High</v>
      </c>
      <c r="AM1422" s="1" t="str">
        <f>CHOOSE(HR_Data[[#This Row],[EnvironmentSatisfaction]],"Low","Medium","High","Very High")</f>
        <v>Very High</v>
      </c>
      <c r="AN1422" s="1" t="str">
        <f>CHOOSE(HR_Data[[#This Row],[WorkLifeBalance]],"Bad","Good","Better","Best")</f>
        <v>Better</v>
      </c>
      <c r="AO1422" s="1" t="str">
        <f>IF(HR_Data[[#This Row],[PercentSalaryHike]]&lt;=13,"11-13%",IF(HR_Data[[#This Row],[PercentSalaryHike]]&lt;=16,"14-16%",IF(HR_Data[[#This Row],[PercentSalaryHike]]&lt;=19,"17-19%","20-25%")))</f>
        <v>20-25%</v>
      </c>
      <c r="AP1422" s="1">
        <f>IF(HR_Data[[#This Row],[PercentSalaryHike]]&lt;=13,1,IF(HR_Data[[#This Row],[PercentSalaryHike]]&lt;=16,2,IF(HR_Data[[#This Row],[PercentSalaryHike]]&lt;=19,3,4)))</f>
        <v>4</v>
      </c>
      <c r="AQ1422" s="1" t="str">
        <f>IF(HR_Data[[#This Row],[DistanceFromHome]]&lt;=5,"1 to 5",IF(HR_Data[[#This Row],[DistanceFromHome]]&lt;=10,"6 to 10",IF(HR_Data[[#This Row],[DistanceFromHome]]&lt;=20,"11 to 20","21 to 29")))</f>
        <v>1 to 5</v>
      </c>
      <c r="AR1422" s="1">
        <f>IF(HR_Data[[#This Row],[DistanceFromHome]]&lt;=5,1,IF(HR_Data[[#This Row],[DistanceFromHome]]&lt;=10,2,IF(HR_Data[[#This Row],[DistanceFromHome]]&lt;=20,3,4)))</f>
        <v>1</v>
      </c>
      <c r="AS1422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422" s="1">
        <f>IF(HR_Data[[#This Row],[TotalWorkingYears]]&lt;=5,1,IF(HR_Data[[#This Row],[TotalWorkingYears]]&lt;=10,2,IF(HR_Data[[#This Row],[TotalWorkingYears]]&lt;=20,3,4)))</f>
        <v>3</v>
      </c>
    </row>
    <row r="1423" spans="1:46" x14ac:dyDescent="0.25">
      <c r="A1423">
        <v>47</v>
      </c>
      <c r="B1423" t="s">
        <v>36</v>
      </c>
      <c r="C1423" t="s">
        <v>48</v>
      </c>
      <c r="D1423" t="s">
        <v>38</v>
      </c>
      <c r="E1423">
        <v>1</v>
      </c>
      <c r="F1423">
        <v>1</v>
      </c>
      <c r="G1423" t="s">
        <v>44</v>
      </c>
      <c r="H1423">
        <v>2000</v>
      </c>
      <c r="I1423">
        <v>3</v>
      </c>
      <c r="J1423" t="s">
        <v>33</v>
      </c>
      <c r="K1423">
        <v>3</v>
      </c>
      <c r="L1423">
        <v>3</v>
      </c>
      <c r="M1423" t="s">
        <v>51</v>
      </c>
      <c r="N1423">
        <v>2</v>
      </c>
      <c r="O1423" t="s">
        <v>41</v>
      </c>
      <c r="P1423">
        <v>11957</v>
      </c>
      <c r="Q1423">
        <v>0</v>
      </c>
      <c r="R1423" t="s">
        <v>36</v>
      </c>
      <c r="S1423">
        <v>18</v>
      </c>
      <c r="T1423">
        <v>3</v>
      </c>
      <c r="U1423">
        <v>1</v>
      </c>
      <c r="V1423">
        <v>2</v>
      </c>
      <c r="W1423">
        <v>14</v>
      </c>
      <c r="X1423">
        <v>3</v>
      </c>
      <c r="Y1423">
        <v>1</v>
      </c>
      <c r="Z1423">
        <v>13</v>
      </c>
      <c r="AA1423">
        <v>8</v>
      </c>
      <c r="AB1423">
        <v>5</v>
      </c>
      <c r="AC1423">
        <v>12</v>
      </c>
      <c r="AD1423">
        <f>IF(HR_Data[[#This Row],[Attrition]]="Yes",1,0)</f>
        <v>0</v>
      </c>
      <c r="AE1423" t="str">
        <f>IF(HR_Data[[#This Row],[Age]]&lt;=25,"18-25",IF(HR_Data[[#This Row],[Age]]&lt;=35,"26-35",IF(HR_Data[[#This Row],[Age]]&lt;=45,"36-45",IF(HR_Data[[#This Row],[Age]]&lt;=55,"46-55","55+"))))</f>
        <v>46-55</v>
      </c>
      <c r="AF1423">
        <f>IF(HR_Data[[#This Row],[Age]]&lt;=25,1,IF(HR_Data[[#This Row],[Age]]&lt;=35,2,IF(HR_Data[[#This Row],[Age]]&lt;=45,3,IF(HR_Data[[#This Row],[Age]]&lt;=55,4,5))))</f>
        <v>4</v>
      </c>
      <c r="AG1423" s="1" t="str">
        <f>IF(HR_Data[[#This Row],[MonthlyIncome]]&lt;3000,"&lt;3K",IF(HR_Data[[#This Row],[MonthlyIncome]]&lt;6000,"3K-6K",IF(HR_Data[[#This Row],[MonthlyIncome]]&lt;10000,"6K-10K","10K+")))</f>
        <v>10K+</v>
      </c>
      <c r="AH1423" s="1">
        <f>IF(HR_Data[[#This Row],[MonthlyIncome]]&lt;3000,1,IF(HR_Data[[#This Row],[MonthlyIncome]]&lt;6000,2,IF(HR_Data[[#This Row],[MonthlyIncome]]&lt;10000,3,4)))</f>
        <v>4</v>
      </c>
      <c r="AI1423" s="1" t="str">
        <f>IF(HR_Data[[#This Row],[YearsAtCompany]]&lt;=2,"0-2 Yrs",IF(HR_Data[[#This Row],[YearsAtCompany]]&lt;=5,"3-5 Yrs",IF(HR_Data[[#This Row],[YearsAtCompany]]&lt;=10,"6-10 Yrs","10+ Yrs")))</f>
        <v>10+ Yrs</v>
      </c>
      <c r="AJ1423" s="1">
        <f>IF(HR_Data[[#This Row],[YearsAtCompany]]&lt;=2,1,IF(HR_Data[[#This Row],[YearsAtCompany]]&lt;=5,2,IF(HR_Data[[#This Row],[YearsAtCompany]]&lt;=10,3,4)))</f>
        <v>4</v>
      </c>
      <c r="AK1423" s="1" t="str">
        <f>CHOOSE(HR_Data[[#This Row],[Education]],"Below College","College","Bachelor","Master","Doctor")</f>
        <v>Below College</v>
      </c>
      <c r="AL1423" s="1" t="str">
        <f>CHOOSE(HR_Data[[#This Row],[JobSatisfaction]],"Low","Medium","High","Very High")</f>
        <v>Medium</v>
      </c>
      <c r="AM1423" s="1" t="str">
        <f>CHOOSE(HR_Data[[#This Row],[EnvironmentSatisfaction]],"Low","Medium","High","Very High")</f>
        <v>High</v>
      </c>
      <c r="AN1423" s="1" t="str">
        <f>CHOOSE(HR_Data[[#This Row],[WorkLifeBalance]],"Bad","Good","Better","Best")</f>
        <v>Bad</v>
      </c>
      <c r="AO1423" s="1" t="str">
        <f>IF(HR_Data[[#This Row],[PercentSalaryHike]]&lt;=13,"11-13%",IF(HR_Data[[#This Row],[PercentSalaryHike]]&lt;=16,"14-16%",IF(HR_Data[[#This Row],[PercentSalaryHike]]&lt;=19,"17-19%","20-25%")))</f>
        <v>17-19%</v>
      </c>
      <c r="AP1423" s="1">
        <f>IF(HR_Data[[#This Row],[PercentSalaryHike]]&lt;=13,1,IF(HR_Data[[#This Row],[PercentSalaryHike]]&lt;=16,2,IF(HR_Data[[#This Row],[PercentSalaryHike]]&lt;=19,3,4)))</f>
        <v>3</v>
      </c>
      <c r="AQ1423" s="1" t="str">
        <f>IF(HR_Data[[#This Row],[DistanceFromHome]]&lt;=5,"1 to 5",IF(HR_Data[[#This Row],[DistanceFromHome]]&lt;=10,"6 to 10",IF(HR_Data[[#This Row],[DistanceFromHome]]&lt;=20,"11 to 20","21 to 29")))</f>
        <v>1 to 5</v>
      </c>
      <c r="AR1423" s="1">
        <f>IF(HR_Data[[#This Row],[DistanceFromHome]]&lt;=5,1,IF(HR_Data[[#This Row],[DistanceFromHome]]&lt;=10,2,IF(HR_Data[[#This Row],[DistanceFromHome]]&lt;=20,3,4)))</f>
        <v>1</v>
      </c>
      <c r="AS1423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423" s="1">
        <f>IF(HR_Data[[#This Row],[TotalWorkingYears]]&lt;=5,1,IF(HR_Data[[#This Row],[TotalWorkingYears]]&lt;=10,2,IF(HR_Data[[#This Row],[TotalWorkingYears]]&lt;=20,3,4)))</f>
        <v>3</v>
      </c>
    </row>
    <row r="1424" spans="1:46" x14ac:dyDescent="0.25">
      <c r="A1424">
        <v>35</v>
      </c>
      <c r="B1424" t="s">
        <v>36</v>
      </c>
      <c r="C1424" t="s">
        <v>30</v>
      </c>
      <c r="D1424" t="s">
        <v>38</v>
      </c>
      <c r="E1424">
        <v>11</v>
      </c>
      <c r="F1424">
        <v>4</v>
      </c>
      <c r="G1424" t="s">
        <v>44</v>
      </c>
      <c r="H1424">
        <v>2003</v>
      </c>
      <c r="I1424">
        <v>4</v>
      </c>
      <c r="J1424" t="s">
        <v>39</v>
      </c>
      <c r="K1424">
        <v>3</v>
      </c>
      <c r="L1424">
        <v>1</v>
      </c>
      <c r="M1424" t="s">
        <v>43</v>
      </c>
      <c r="N1424">
        <v>3</v>
      </c>
      <c r="O1424" t="s">
        <v>41</v>
      </c>
      <c r="P1424">
        <v>2660</v>
      </c>
      <c r="Q1424">
        <v>7</v>
      </c>
      <c r="R1424" t="s">
        <v>29</v>
      </c>
      <c r="S1424">
        <v>11</v>
      </c>
      <c r="T1424">
        <v>3</v>
      </c>
      <c r="U1424">
        <v>3</v>
      </c>
      <c r="V1424">
        <v>1</v>
      </c>
      <c r="W1424">
        <v>5</v>
      </c>
      <c r="X1424">
        <v>3</v>
      </c>
      <c r="Y1424">
        <v>3</v>
      </c>
      <c r="Z1424">
        <v>2</v>
      </c>
      <c r="AA1424">
        <v>2</v>
      </c>
      <c r="AB1424">
        <v>2</v>
      </c>
      <c r="AC1424">
        <v>2</v>
      </c>
      <c r="AD1424">
        <f>IF(HR_Data[[#This Row],[Attrition]]="Yes",1,0)</f>
        <v>0</v>
      </c>
      <c r="AE1424" t="str">
        <f>IF(HR_Data[[#This Row],[Age]]&lt;=25,"18-25",IF(HR_Data[[#This Row],[Age]]&lt;=35,"26-35",IF(HR_Data[[#This Row],[Age]]&lt;=45,"36-45",IF(HR_Data[[#This Row],[Age]]&lt;=55,"46-55","55+"))))</f>
        <v>26-35</v>
      </c>
      <c r="AF1424">
        <f>IF(HR_Data[[#This Row],[Age]]&lt;=25,1,IF(HR_Data[[#This Row],[Age]]&lt;=35,2,IF(HR_Data[[#This Row],[Age]]&lt;=45,3,IF(HR_Data[[#This Row],[Age]]&lt;=55,4,5))))</f>
        <v>2</v>
      </c>
      <c r="AG1424" s="1" t="str">
        <f>IF(HR_Data[[#This Row],[MonthlyIncome]]&lt;3000,"&lt;3K",IF(HR_Data[[#This Row],[MonthlyIncome]]&lt;6000,"3K-6K",IF(HR_Data[[#This Row],[MonthlyIncome]]&lt;10000,"6K-10K","10K+")))</f>
        <v>&lt;3K</v>
      </c>
      <c r="AH1424" s="1">
        <f>IF(HR_Data[[#This Row],[MonthlyIncome]]&lt;3000,1,IF(HR_Data[[#This Row],[MonthlyIncome]]&lt;6000,2,IF(HR_Data[[#This Row],[MonthlyIncome]]&lt;10000,3,4)))</f>
        <v>1</v>
      </c>
      <c r="AI1424" s="1" t="str">
        <f>IF(HR_Data[[#This Row],[YearsAtCompany]]&lt;=2,"0-2 Yrs",IF(HR_Data[[#This Row],[YearsAtCompany]]&lt;=5,"3-5 Yrs",IF(HR_Data[[#This Row],[YearsAtCompany]]&lt;=10,"6-10 Yrs","10+ Yrs")))</f>
        <v>0-2 Yrs</v>
      </c>
      <c r="AJ1424" s="1">
        <f>IF(HR_Data[[#This Row],[YearsAtCompany]]&lt;=2,1,IF(HR_Data[[#This Row],[YearsAtCompany]]&lt;=5,2,IF(HR_Data[[#This Row],[YearsAtCompany]]&lt;=10,3,4)))</f>
        <v>1</v>
      </c>
      <c r="AK1424" s="1" t="str">
        <f>CHOOSE(HR_Data[[#This Row],[Education]],"Below College","College","Bachelor","Master","Doctor")</f>
        <v>Master</v>
      </c>
      <c r="AL1424" s="1" t="str">
        <f>CHOOSE(HR_Data[[#This Row],[JobSatisfaction]],"Low","Medium","High","Very High")</f>
        <v>High</v>
      </c>
      <c r="AM1424" s="1" t="str">
        <f>CHOOSE(HR_Data[[#This Row],[EnvironmentSatisfaction]],"Low","Medium","High","Very High")</f>
        <v>Very High</v>
      </c>
      <c r="AN1424" s="1" t="str">
        <f>CHOOSE(HR_Data[[#This Row],[WorkLifeBalance]],"Bad","Good","Better","Best")</f>
        <v>Better</v>
      </c>
      <c r="AO1424" s="1" t="str">
        <f>IF(HR_Data[[#This Row],[PercentSalaryHike]]&lt;=13,"11-13%",IF(HR_Data[[#This Row],[PercentSalaryHike]]&lt;=16,"14-16%",IF(HR_Data[[#This Row],[PercentSalaryHike]]&lt;=19,"17-19%","20-25%")))</f>
        <v>11-13%</v>
      </c>
      <c r="AP1424" s="1">
        <f>IF(HR_Data[[#This Row],[PercentSalaryHike]]&lt;=13,1,IF(HR_Data[[#This Row],[PercentSalaryHike]]&lt;=16,2,IF(HR_Data[[#This Row],[PercentSalaryHike]]&lt;=19,3,4)))</f>
        <v>1</v>
      </c>
      <c r="AQ1424" s="1" t="str">
        <f>IF(HR_Data[[#This Row],[DistanceFromHome]]&lt;=5,"1 to 5",IF(HR_Data[[#This Row],[DistanceFromHome]]&lt;=10,"6 to 10",IF(HR_Data[[#This Row],[DistanceFromHome]]&lt;=20,"11 to 20","21 to 29")))</f>
        <v>11 to 20</v>
      </c>
      <c r="AR1424" s="1">
        <f>IF(HR_Data[[#This Row],[DistanceFromHome]]&lt;=5,1,IF(HR_Data[[#This Row],[DistanceFromHome]]&lt;=10,2,IF(HR_Data[[#This Row],[DistanceFromHome]]&lt;=20,3,4)))</f>
        <v>3</v>
      </c>
      <c r="AS1424" s="1" t="str">
        <f>IF(HR_Data[[#This Row],[TotalWorkingYears]]&lt;=5,"0-5 Yrs",IF(HR_Data[[#This Row],[TotalWorkingYears]]&lt;=10,"6-10 Yrs",IF(HR_Data[[#This Row],[TotalWorkingYears]]&lt;=20,"11-20 Yrs","20+ Yrs")))</f>
        <v>0-5 Yrs</v>
      </c>
      <c r="AT1424" s="1">
        <f>IF(HR_Data[[#This Row],[TotalWorkingYears]]&lt;=5,1,IF(HR_Data[[#This Row],[TotalWorkingYears]]&lt;=10,2,IF(HR_Data[[#This Row],[TotalWorkingYears]]&lt;=20,3,4)))</f>
        <v>1</v>
      </c>
    </row>
    <row r="1425" spans="1:46" x14ac:dyDescent="0.25">
      <c r="A1425">
        <v>22</v>
      </c>
      <c r="B1425" t="s">
        <v>36</v>
      </c>
      <c r="C1425" t="s">
        <v>30</v>
      </c>
      <c r="D1425" t="s">
        <v>38</v>
      </c>
      <c r="E1425">
        <v>1</v>
      </c>
      <c r="F1425">
        <v>2</v>
      </c>
      <c r="G1425" t="s">
        <v>32</v>
      </c>
      <c r="H1425">
        <v>2007</v>
      </c>
      <c r="I1425">
        <v>4</v>
      </c>
      <c r="J1425" t="s">
        <v>39</v>
      </c>
      <c r="K1425">
        <v>3</v>
      </c>
      <c r="L1425">
        <v>1</v>
      </c>
      <c r="M1425" t="s">
        <v>40</v>
      </c>
      <c r="N1425">
        <v>3</v>
      </c>
      <c r="O1425" t="s">
        <v>35</v>
      </c>
      <c r="P1425">
        <v>3375</v>
      </c>
      <c r="Q1425">
        <v>0</v>
      </c>
      <c r="R1425" t="s">
        <v>36</v>
      </c>
      <c r="S1425">
        <v>12</v>
      </c>
      <c r="T1425">
        <v>3</v>
      </c>
      <c r="U1425">
        <v>4</v>
      </c>
      <c r="V1425">
        <v>0</v>
      </c>
      <c r="W1425">
        <v>4</v>
      </c>
      <c r="X1425">
        <v>2</v>
      </c>
      <c r="Y1425">
        <v>4</v>
      </c>
      <c r="Z1425">
        <v>3</v>
      </c>
      <c r="AA1425">
        <v>2</v>
      </c>
      <c r="AB1425">
        <v>1</v>
      </c>
      <c r="AC1425">
        <v>2</v>
      </c>
      <c r="AD1425">
        <f>IF(HR_Data[[#This Row],[Attrition]]="Yes",1,0)</f>
        <v>0</v>
      </c>
      <c r="AE1425" t="str">
        <f>IF(HR_Data[[#This Row],[Age]]&lt;=25,"18-25",IF(HR_Data[[#This Row],[Age]]&lt;=35,"26-35",IF(HR_Data[[#This Row],[Age]]&lt;=45,"36-45",IF(HR_Data[[#This Row],[Age]]&lt;=55,"46-55","55+"))))</f>
        <v>18-25</v>
      </c>
      <c r="AF1425">
        <f>IF(HR_Data[[#This Row],[Age]]&lt;=25,1,IF(HR_Data[[#This Row],[Age]]&lt;=35,2,IF(HR_Data[[#This Row],[Age]]&lt;=45,3,IF(HR_Data[[#This Row],[Age]]&lt;=55,4,5))))</f>
        <v>1</v>
      </c>
      <c r="AG1425" s="1" t="str">
        <f>IF(HR_Data[[#This Row],[MonthlyIncome]]&lt;3000,"&lt;3K",IF(HR_Data[[#This Row],[MonthlyIncome]]&lt;6000,"3K-6K",IF(HR_Data[[#This Row],[MonthlyIncome]]&lt;10000,"6K-10K","10K+")))</f>
        <v>3K-6K</v>
      </c>
      <c r="AH1425" s="1">
        <f>IF(HR_Data[[#This Row],[MonthlyIncome]]&lt;3000,1,IF(HR_Data[[#This Row],[MonthlyIncome]]&lt;6000,2,IF(HR_Data[[#This Row],[MonthlyIncome]]&lt;10000,3,4)))</f>
        <v>2</v>
      </c>
      <c r="AI1425" s="1" t="str">
        <f>IF(HR_Data[[#This Row],[YearsAtCompany]]&lt;=2,"0-2 Yrs",IF(HR_Data[[#This Row],[YearsAtCompany]]&lt;=5,"3-5 Yrs",IF(HR_Data[[#This Row],[YearsAtCompany]]&lt;=10,"6-10 Yrs","10+ Yrs")))</f>
        <v>3-5 Yrs</v>
      </c>
      <c r="AJ1425" s="1">
        <f>IF(HR_Data[[#This Row],[YearsAtCompany]]&lt;=2,1,IF(HR_Data[[#This Row],[YearsAtCompany]]&lt;=5,2,IF(HR_Data[[#This Row],[YearsAtCompany]]&lt;=10,3,4)))</f>
        <v>2</v>
      </c>
      <c r="AK1425" s="1" t="str">
        <f>CHOOSE(HR_Data[[#This Row],[Education]],"Below College","College","Bachelor","Master","Doctor")</f>
        <v>College</v>
      </c>
      <c r="AL1425" s="1" t="str">
        <f>CHOOSE(HR_Data[[#This Row],[JobSatisfaction]],"Low","Medium","High","Very High")</f>
        <v>High</v>
      </c>
      <c r="AM1425" s="1" t="str">
        <f>CHOOSE(HR_Data[[#This Row],[EnvironmentSatisfaction]],"Low","Medium","High","Very High")</f>
        <v>Very High</v>
      </c>
      <c r="AN1425" s="1" t="str">
        <f>CHOOSE(HR_Data[[#This Row],[WorkLifeBalance]],"Bad","Good","Better","Best")</f>
        <v>Best</v>
      </c>
      <c r="AO1425" s="1" t="str">
        <f>IF(HR_Data[[#This Row],[PercentSalaryHike]]&lt;=13,"11-13%",IF(HR_Data[[#This Row],[PercentSalaryHike]]&lt;=16,"14-16%",IF(HR_Data[[#This Row],[PercentSalaryHike]]&lt;=19,"17-19%","20-25%")))</f>
        <v>11-13%</v>
      </c>
      <c r="AP1425" s="1">
        <f>IF(HR_Data[[#This Row],[PercentSalaryHike]]&lt;=13,1,IF(HR_Data[[#This Row],[PercentSalaryHike]]&lt;=16,2,IF(HR_Data[[#This Row],[PercentSalaryHike]]&lt;=19,3,4)))</f>
        <v>1</v>
      </c>
      <c r="AQ1425" s="1" t="str">
        <f>IF(HR_Data[[#This Row],[DistanceFromHome]]&lt;=5,"1 to 5",IF(HR_Data[[#This Row],[DistanceFromHome]]&lt;=10,"6 to 10",IF(HR_Data[[#This Row],[DistanceFromHome]]&lt;=20,"11 to 20","21 to 29")))</f>
        <v>1 to 5</v>
      </c>
      <c r="AR1425" s="1">
        <f>IF(HR_Data[[#This Row],[DistanceFromHome]]&lt;=5,1,IF(HR_Data[[#This Row],[DistanceFromHome]]&lt;=10,2,IF(HR_Data[[#This Row],[DistanceFromHome]]&lt;=20,3,4)))</f>
        <v>1</v>
      </c>
      <c r="AS1425" s="1" t="str">
        <f>IF(HR_Data[[#This Row],[TotalWorkingYears]]&lt;=5,"0-5 Yrs",IF(HR_Data[[#This Row],[TotalWorkingYears]]&lt;=10,"6-10 Yrs",IF(HR_Data[[#This Row],[TotalWorkingYears]]&lt;=20,"11-20 Yrs","20+ Yrs")))</f>
        <v>0-5 Yrs</v>
      </c>
      <c r="AT1425" s="1">
        <f>IF(HR_Data[[#This Row],[TotalWorkingYears]]&lt;=5,1,IF(HR_Data[[#This Row],[TotalWorkingYears]]&lt;=10,2,IF(HR_Data[[#This Row],[TotalWorkingYears]]&lt;=20,3,4)))</f>
        <v>1</v>
      </c>
    </row>
    <row r="1426" spans="1:46" x14ac:dyDescent="0.25">
      <c r="A1426">
        <v>35</v>
      </c>
      <c r="B1426" t="s">
        <v>36</v>
      </c>
      <c r="C1426" t="s">
        <v>30</v>
      </c>
      <c r="D1426" t="s">
        <v>38</v>
      </c>
      <c r="E1426">
        <v>9</v>
      </c>
      <c r="F1426">
        <v>4</v>
      </c>
      <c r="G1426" t="s">
        <v>44</v>
      </c>
      <c r="H1426">
        <v>2008</v>
      </c>
      <c r="I1426">
        <v>2</v>
      </c>
      <c r="J1426" t="s">
        <v>39</v>
      </c>
      <c r="K1426">
        <v>3</v>
      </c>
      <c r="L1426">
        <v>2</v>
      </c>
      <c r="M1426" t="s">
        <v>40</v>
      </c>
      <c r="N1426">
        <v>3</v>
      </c>
      <c r="O1426" t="s">
        <v>35</v>
      </c>
      <c r="P1426">
        <v>5098</v>
      </c>
      <c r="Q1426">
        <v>1</v>
      </c>
      <c r="R1426" t="s">
        <v>36</v>
      </c>
      <c r="S1426">
        <v>19</v>
      </c>
      <c r="T1426">
        <v>3</v>
      </c>
      <c r="U1426">
        <v>2</v>
      </c>
      <c r="V1426">
        <v>0</v>
      </c>
      <c r="W1426">
        <v>10</v>
      </c>
      <c r="X1426">
        <v>5</v>
      </c>
      <c r="Y1426">
        <v>3</v>
      </c>
      <c r="Z1426">
        <v>10</v>
      </c>
      <c r="AA1426">
        <v>7</v>
      </c>
      <c r="AB1426">
        <v>0</v>
      </c>
      <c r="AC1426">
        <v>8</v>
      </c>
      <c r="AD1426">
        <f>IF(HR_Data[[#This Row],[Attrition]]="Yes",1,0)</f>
        <v>0</v>
      </c>
      <c r="AE1426" t="str">
        <f>IF(HR_Data[[#This Row],[Age]]&lt;=25,"18-25",IF(HR_Data[[#This Row],[Age]]&lt;=35,"26-35",IF(HR_Data[[#This Row],[Age]]&lt;=45,"36-45",IF(HR_Data[[#This Row],[Age]]&lt;=55,"46-55","55+"))))</f>
        <v>26-35</v>
      </c>
      <c r="AF1426">
        <f>IF(HR_Data[[#This Row],[Age]]&lt;=25,1,IF(HR_Data[[#This Row],[Age]]&lt;=35,2,IF(HR_Data[[#This Row],[Age]]&lt;=45,3,IF(HR_Data[[#This Row],[Age]]&lt;=55,4,5))))</f>
        <v>2</v>
      </c>
      <c r="AG1426" s="1" t="str">
        <f>IF(HR_Data[[#This Row],[MonthlyIncome]]&lt;3000,"&lt;3K",IF(HR_Data[[#This Row],[MonthlyIncome]]&lt;6000,"3K-6K",IF(HR_Data[[#This Row],[MonthlyIncome]]&lt;10000,"6K-10K","10K+")))</f>
        <v>3K-6K</v>
      </c>
      <c r="AH1426" s="1">
        <f>IF(HR_Data[[#This Row],[MonthlyIncome]]&lt;3000,1,IF(HR_Data[[#This Row],[MonthlyIncome]]&lt;6000,2,IF(HR_Data[[#This Row],[MonthlyIncome]]&lt;10000,3,4)))</f>
        <v>2</v>
      </c>
      <c r="AI1426" s="1" t="str">
        <f>IF(HR_Data[[#This Row],[YearsAtCompany]]&lt;=2,"0-2 Yrs",IF(HR_Data[[#This Row],[YearsAtCompany]]&lt;=5,"3-5 Yrs",IF(HR_Data[[#This Row],[YearsAtCompany]]&lt;=10,"6-10 Yrs","10+ Yrs")))</f>
        <v>6-10 Yrs</v>
      </c>
      <c r="AJ1426" s="1">
        <f>IF(HR_Data[[#This Row],[YearsAtCompany]]&lt;=2,1,IF(HR_Data[[#This Row],[YearsAtCompany]]&lt;=5,2,IF(HR_Data[[#This Row],[YearsAtCompany]]&lt;=10,3,4)))</f>
        <v>3</v>
      </c>
      <c r="AK1426" s="1" t="str">
        <f>CHOOSE(HR_Data[[#This Row],[Education]],"Below College","College","Bachelor","Master","Doctor")</f>
        <v>Master</v>
      </c>
      <c r="AL1426" s="1" t="str">
        <f>CHOOSE(HR_Data[[#This Row],[JobSatisfaction]],"Low","Medium","High","Very High")</f>
        <v>High</v>
      </c>
      <c r="AM1426" s="1" t="str">
        <f>CHOOSE(HR_Data[[#This Row],[EnvironmentSatisfaction]],"Low","Medium","High","Very High")</f>
        <v>Medium</v>
      </c>
      <c r="AN1426" s="1" t="str">
        <f>CHOOSE(HR_Data[[#This Row],[WorkLifeBalance]],"Bad","Good","Better","Best")</f>
        <v>Better</v>
      </c>
      <c r="AO1426" s="1" t="str">
        <f>IF(HR_Data[[#This Row],[PercentSalaryHike]]&lt;=13,"11-13%",IF(HR_Data[[#This Row],[PercentSalaryHike]]&lt;=16,"14-16%",IF(HR_Data[[#This Row],[PercentSalaryHike]]&lt;=19,"17-19%","20-25%")))</f>
        <v>17-19%</v>
      </c>
      <c r="AP1426" s="1">
        <f>IF(HR_Data[[#This Row],[PercentSalaryHike]]&lt;=13,1,IF(HR_Data[[#This Row],[PercentSalaryHike]]&lt;=16,2,IF(HR_Data[[#This Row],[PercentSalaryHike]]&lt;=19,3,4)))</f>
        <v>3</v>
      </c>
      <c r="AQ1426" s="1" t="str">
        <f>IF(HR_Data[[#This Row],[DistanceFromHome]]&lt;=5,"1 to 5",IF(HR_Data[[#This Row],[DistanceFromHome]]&lt;=10,"6 to 10",IF(HR_Data[[#This Row],[DistanceFromHome]]&lt;=20,"11 to 20","21 to 29")))</f>
        <v>6 to 10</v>
      </c>
      <c r="AR1426" s="1">
        <f>IF(HR_Data[[#This Row],[DistanceFromHome]]&lt;=5,1,IF(HR_Data[[#This Row],[DistanceFromHome]]&lt;=10,2,IF(HR_Data[[#This Row],[DistanceFromHome]]&lt;=20,3,4)))</f>
        <v>2</v>
      </c>
      <c r="AS1426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426" s="1">
        <f>IF(HR_Data[[#This Row],[TotalWorkingYears]]&lt;=5,1,IF(HR_Data[[#This Row],[TotalWorkingYears]]&lt;=10,2,IF(HR_Data[[#This Row],[TotalWorkingYears]]&lt;=20,3,4)))</f>
        <v>2</v>
      </c>
    </row>
    <row r="1427" spans="1:46" x14ac:dyDescent="0.25">
      <c r="A1427">
        <v>33</v>
      </c>
      <c r="B1427" t="s">
        <v>36</v>
      </c>
      <c r="C1427" t="s">
        <v>30</v>
      </c>
      <c r="D1427" t="s">
        <v>38</v>
      </c>
      <c r="E1427">
        <v>15</v>
      </c>
      <c r="F1427">
        <v>2</v>
      </c>
      <c r="G1427" t="s">
        <v>44</v>
      </c>
      <c r="H1427">
        <v>2009</v>
      </c>
      <c r="I1427">
        <v>2</v>
      </c>
      <c r="J1427" t="s">
        <v>33</v>
      </c>
      <c r="K1427">
        <v>3</v>
      </c>
      <c r="L1427">
        <v>2</v>
      </c>
      <c r="M1427" t="s">
        <v>47</v>
      </c>
      <c r="N1427">
        <v>4</v>
      </c>
      <c r="O1427" t="s">
        <v>41</v>
      </c>
      <c r="P1427">
        <v>4878</v>
      </c>
      <c r="Q1427">
        <v>0</v>
      </c>
      <c r="R1427" t="s">
        <v>29</v>
      </c>
      <c r="S1427">
        <v>13</v>
      </c>
      <c r="T1427">
        <v>3</v>
      </c>
      <c r="U1427">
        <v>1</v>
      </c>
      <c r="V1427">
        <v>1</v>
      </c>
      <c r="W1427">
        <v>10</v>
      </c>
      <c r="X1427">
        <v>6</v>
      </c>
      <c r="Y1427">
        <v>3</v>
      </c>
      <c r="Z1427">
        <v>9</v>
      </c>
      <c r="AA1427">
        <v>7</v>
      </c>
      <c r="AB1427">
        <v>8</v>
      </c>
      <c r="AC1427">
        <v>1</v>
      </c>
      <c r="AD1427">
        <f>IF(HR_Data[[#This Row],[Attrition]]="Yes",1,0)</f>
        <v>0</v>
      </c>
      <c r="AE1427" t="str">
        <f>IF(HR_Data[[#This Row],[Age]]&lt;=25,"18-25",IF(HR_Data[[#This Row],[Age]]&lt;=35,"26-35",IF(HR_Data[[#This Row],[Age]]&lt;=45,"36-45",IF(HR_Data[[#This Row],[Age]]&lt;=55,"46-55","55+"))))</f>
        <v>26-35</v>
      </c>
      <c r="AF1427">
        <f>IF(HR_Data[[#This Row],[Age]]&lt;=25,1,IF(HR_Data[[#This Row],[Age]]&lt;=35,2,IF(HR_Data[[#This Row],[Age]]&lt;=45,3,IF(HR_Data[[#This Row],[Age]]&lt;=55,4,5))))</f>
        <v>2</v>
      </c>
      <c r="AG1427" s="1" t="str">
        <f>IF(HR_Data[[#This Row],[MonthlyIncome]]&lt;3000,"&lt;3K",IF(HR_Data[[#This Row],[MonthlyIncome]]&lt;6000,"3K-6K",IF(HR_Data[[#This Row],[MonthlyIncome]]&lt;10000,"6K-10K","10K+")))</f>
        <v>3K-6K</v>
      </c>
      <c r="AH1427" s="1">
        <f>IF(HR_Data[[#This Row],[MonthlyIncome]]&lt;3000,1,IF(HR_Data[[#This Row],[MonthlyIncome]]&lt;6000,2,IF(HR_Data[[#This Row],[MonthlyIncome]]&lt;10000,3,4)))</f>
        <v>2</v>
      </c>
      <c r="AI1427" s="1" t="str">
        <f>IF(HR_Data[[#This Row],[YearsAtCompany]]&lt;=2,"0-2 Yrs",IF(HR_Data[[#This Row],[YearsAtCompany]]&lt;=5,"3-5 Yrs",IF(HR_Data[[#This Row],[YearsAtCompany]]&lt;=10,"6-10 Yrs","10+ Yrs")))</f>
        <v>6-10 Yrs</v>
      </c>
      <c r="AJ1427" s="1">
        <f>IF(HR_Data[[#This Row],[YearsAtCompany]]&lt;=2,1,IF(HR_Data[[#This Row],[YearsAtCompany]]&lt;=5,2,IF(HR_Data[[#This Row],[YearsAtCompany]]&lt;=10,3,4)))</f>
        <v>3</v>
      </c>
      <c r="AK1427" s="1" t="str">
        <f>CHOOSE(HR_Data[[#This Row],[Education]],"Below College","College","Bachelor","Master","Doctor")</f>
        <v>College</v>
      </c>
      <c r="AL1427" s="1" t="str">
        <f>CHOOSE(HR_Data[[#This Row],[JobSatisfaction]],"Low","Medium","High","Very High")</f>
        <v>Very High</v>
      </c>
      <c r="AM1427" s="1" t="str">
        <f>CHOOSE(HR_Data[[#This Row],[EnvironmentSatisfaction]],"Low","Medium","High","Very High")</f>
        <v>Medium</v>
      </c>
      <c r="AN1427" s="1" t="str">
        <f>CHOOSE(HR_Data[[#This Row],[WorkLifeBalance]],"Bad","Good","Better","Best")</f>
        <v>Better</v>
      </c>
      <c r="AO1427" s="1" t="str">
        <f>IF(HR_Data[[#This Row],[PercentSalaryHike]]&lt;=13,"11-13%",IF(HR_Data[[#This Row],[PercentSalaryHike]]&lt;=16,"14-16%",IF(HR_Data[[#This Row],[PercentSalaryHike]]&lt;=19,"17-19%","20-25%")))</f>
        <v>11-13%</v>
      </c>
      <c r="AP1427" s="1">
        <f>IF(HR_Data[[#This Row],[PercentSalaryHike]]&lt;=13,1,IF(HR_Data[[#This Row],[PercentSalaryHike]]&lt;=16,2,IF(HR_Data[[#This Row],[PercentSalaryHike]]&lt;=19,3,4)))</f>
        <v>1</v>
      </c>
      <c r="AQ1427" s="1" t="str">
        <f>IF(HR_Data[[#This Row],[DistanceFromHome]]&lt;=5,"1 to 5",IF(HR_Data[[#This Row],[DistanceFromHome]]&lt;=10,"6 to 10",IF(HR_Data[[#This Row],[DistanceFromHome]]&lt;=20,"11 to 20","21 to 29")))</f>
        <v>11 to 20</v>
      </c>
      <c r="AR1427" s="1">
        <f>IF(HR_Data[[#This Row],[DistanceFromHome]]&lt;=5,1,IF(HR_Data[[#This Row],[DistanceFromHome]]&lt;=10,2,IF(HR_Data[[#This Row],[DistanceFromHome]]&lt;=20,3,4)))</f>
        <v>3</v>
      </c>
      <c r="AS1427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427" s="1">
        <f>IF(HR_Data[[#This Row],[TotalWorkingYears]]&lt;=5,1,IF(HR_Data[[#This Row],[TotalWorkingYears]]&lt;=10,2,IF(HR_Data[[#This Row],[TotalWorkingYears]]&lt;=20,3,4)))</f>
        <v>2</v>
      </c>
    </row>
    <row r="1428" spans="1:46" x14ac:dyDescent="0.25">
      <c r="A1428">
        <v>32</v>
      </c>
      <c r="B1428" t="s">
        <v>36</v>
      </c>
      <c r="C1428" t="s">
        <v>30</v>
      </c>
      <c r="D1428" t="s">
        <v>38</v>
      </c>
      <c r="E1428">
        <v>29</v>
      </c>
      <c r="F1428">
        <v>4</v>
      </c>
      <c r="G1428" t="s">
        <v>32</v>
      </c>
      <c r="H1428">
        <v>2010</v>
      </c>
      <c r="I1428">
        <v>3</v>
      </c>
      <c r="J1428" t="s">
        <v>33</v>
      </c>
      <c r="K1428">
        <v>2</v>
      </c>
      <c r="L1428">
        <v>1</v>
      </c>
      <c r="M1428" t="s">
        <v>43</v>
      </c>
      <c r="N1428">
        <v>2</v>
      </c>
      <c r="O1428" t="s">
        <v>35</v>
      </c>
      <c r="P1428">
        <v>2837</v>
      </c>
      <c r="Q1428">
        <v>1</v>
      </c>
      <c r="R1428" t="s">
        <v>36</v>
      </c>
      <c r="S1428">
        <v>13</v>
      </c>
      <c r="T1428">
        <v>3</v>
      </c>
      <c r="U1428">
        <v>3</v>
      </c>
      <c r="V1428">
        <v>0</v>
      </c>
      <c r="W1428">
        <v>6</v>
      </c>
      <c r="X1428">
        <v>3</v>
      </c>
      <c r="Y1428">
        <v>3</v>
      </c>
      <c r="Z1428">
        <v>6</v>
      </c>
      <c r="AA1428">
        <v>2</v>
      </c>
      <c r="AB1428">
        <v>4</v>
      </c>
      <c r="AC1428">
        <v>1</v>
      </c>
      <c r="AD1428">
        <f>IF(HR_Data[[#This Row],[Attrition]]="Yes",1,0)</f>
        <v>0</v>
      </c>
      <c r="AE1428" t="str">
        <f>IF(HR_Data[[#This Row],[Age]]&lt;=25,"18-25",IF(HR_Data[[#This Row],[Age]]&lt;=35,"26-35",IF(HR_Data[[#This Row],[Age]]&lt;=45,"36-45",IF(HR_Data[[#This Row],[Age]]&lt;=55,"46-55","55+"))))</f>
        <v>26-35</v>
      </c>
      <c r="AF1428">
        <f>IF(HR_Data[[#This Row],[Age]]&lt;=25,1,IF(HR_Data[[#This Row],[Age]]&lt;=35,2,IF(HR_Data[[#This Row],[Age]]&lt;=45,3,IF(HR_Data[[#This Row],[Age]]&lt;=55,4,5))))</f>
        <v>2</v>
      </c>
      <c r="AG1428" s="1" t="str">
        <f>IF(HR_Data[[#This Row],[MonthlyIncome]]&lt;3000,"&lt;3K",IF(HR_Data[[#This Row],[MonthlyIncome]]&lt;6000,"3K-6K",IF(HR_Data[[#This Row],[MonthlyIncome]]&lt;10000,"6K-10K","10K+")))</f>
        <v>&lt;3K</v>
      </c>
      <c r="AH1428" s="1">
        <f>IF(HR_Data[[#This Row],[MonthlyIncome]]&lt;3000,1,IF(HR_Data[[#This Row],[MonthlyIncome]]&lt;6000,2,IF(HR_Data[[#This Row],[MonthlyIncome]]&lt;10000,3,4)))</f>
        <v>1</v>
      </c>
      <c r="AI1428" s="1" t="str">
        <f>IF(HR_Data[[#This Row],[YearsAtCompany]]&lt;=2,"0-2 Yrs",IF(HR_Data[[#This Row],[YearsAtCompany]]&lt;=5,"3-5 Yrs",IF(HR_Data[[#This Row],[YearsAtCompany]]&lt;=10,"6-10 Yrs","10+ Yrs")))</f>
        <v>6-10 Yrs</v>
      </c>
      <c r="AJ1428" s="1">
        <f>IF(HR_Data[[#This Row],[YearsAtCompany]]&lt;=2,1,IF(HR_Data[[#This Row],[YearsAtCompany]]&lt;=5,2,IF(HR_Data[[#This Row],[YearsAtCompany]]&lt;=10,3,4)))</f>
        <v>3</v>
      </c>
      <c r="AK1428" s="1" t="str">
        <f>CHOOSE(HR_Data[[#This Row],[Education]],"Below College","College","Bachelor","Master","Doctor")</f>
        <v>Master</v>
      </c>
      <c r="AL1428" s="1" t="str">
        <f>CHOOSE(HR_Data[[#This Row],[JobSatisfaction]],"Low","Medium","High","Very High")</f>
        <v>Medium</v>
      </c>
      <c r="AM1428" s="1" t="str">
        <f>CHOOSE(HR_Data[[#This Row],[EnvironmentSatisfaction]],"Low","Medium","High","Very High")</f>
        <v>High</v>
      </c>
      <c r="AN1428" s="1" t="str">
        <f>CHOOSE(HR_Data[[#This Row],[WorkLifeBalance]],"Bad","Good","Better","Best")</f>
        <v>Better</v>
      </c>
      <c r="AO1428" s="1" t="str">
        <f>IF(HR_Data[[#This Row],[PercentSalaryHike]]&lt;=13,"11-13%",IF(HR_Data[[#This Row],[PercentSalaryHike]]&lt;=16,"14-16%",IF(HR_Data[[#This Row],[PercentSalaryHike]]&lt;=19,"17-19%","20-25%")))</f>
        <v>11-13%</v>
      </c>
      <c r="AP1428" s="1">
        <f>IF(HR_Data[[#This Row],[PercentSalaryHike]]&lt;=13,1,IF(HR_Data[[#This Row],[PercentSalaryHike]]&lt;=16,2,IF(HR_Data[[#This Row],[PercentSalaryHike]]&lt;=19,3,4)))</f>
        <v>1</v>
      </c>
      <c r="AQ1428" s="1" t="str">
        <f>IF(HR_Data[[#This Row],[DistanceFromHome]]&lt;=5,"1 to 5",IF(HR_Data[[#This Row],[DistanceFromHome]]&lt;=10,"6 to 10",IF(HR_Data[[#This Row],[DistanceFromHome]]&lt;=20,"11 to 20","21 to 29")))</f>
        <v>21 to 29</v>
      </c>
      <c r="AR1428" s="1">
        <f>IF(HR_Data[[#This Row],[DistanceFromHome]]&lt;=5,1,IF(HR_Data[[#This Row],[DistanceFromHome]]&lt;=10,2,IF(HR_Data[[#This Row],[DistanceFromHome]]&lt;=20,3,4)))</f>
        <v>4</v>
      </c>
      <c r="AS1428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428" s="1">
        <f>IF(HR_Data[[#This Row],[TotalWorkingYears]]&lt;=5,1,IF(HR_Data[[#This Row],[TotalWorkingYears]]&lt;=10,2,IF(HR_Data[[#This Row],[TotalWorkingYears]]&lt;=20,3,4)))</f>
        <v>2</v>
      </c>
    </row>
    <row r="1429" spans="1:46" x14ac:dyDescent="0.25">
      <c r="A1429">
        <v>40</v>
      </c>
      <c r="B1429" t="s">
        <v>36</v>
      </c>
      <c r="C1429" t="s">
        <v>30</v>
      </c>
      <c r="D1429" t="s">
        <v>38</v>
      </c>
      <c r="E1429">
        <v>1</v>
      </c>
      <c r="F1429">
        <v>4</v>
      </c>
      <c r="G1429" t="s">
        <v>32</v>
      </c>
      <c r="H1429">
        <v>2012</v>
      </c>
      <c r="I1429">
        <v>1</v>
      </c>
      <c r="J1429" t="s">
        <v>39</v>
      </c>
      <c r="K1429">
        <v>3</v>
      </c>
      <c r="L1429">
        <v>1</v>
      </c>
      <c r="M1429" t="s">
        <v>43</v>
      </c>
      <c r="N1429">
        <v>4</v>
      </c>
      <c r="O1429" t="s">
        <v>41</v>
      </c>
      <c r="P1429">
        <v>2406</v>
      </c>
      <c r="Q1429">
        <v>8</v>
      </c>
      <c r="R1429" t="s">
        <v>36</v>
      </c>
      <c r="S1429">
        <v>19</v>
      </c>
      <c r="T1429">
        <v>3</v>
      </c>
      <c r="U1429">
        <v>3</v>
      </c>
      <c r="V1429">
        <v>2</v>
      </c>
      <c r="W1429">
        <v>8</v>
      </c>
      <c r="X1429">
        <v>3</v>
      </c>
      <c r="Y1429">
        <v>2</v>
      </c>
      <c r="Z1429">
        <v>1</v>
      </c>
      <c r="AA1429">
        <v>0</v>
      </c>
      <c r="AB1429">
        <v>0</v>
      </c>
      <c r="AC1429">
        <v>0</v>
      </c>
      <c r="AD1429">
        <f>IF(HR_Data[[#This Row],[Attrition]]="Yes",1,0)</f>
        <v>0</v>
      </c>
      <c r="AE1429" t="str">
        <f>IF(HR_Data[[#This Row],[Age]]&lt;=25,"18-25",IF(HR_Data[[#This Row],[Age]]&lt;=35,"26-35",IF(HR_Data[[#This Row],[Age]]&lt;=45,"36-45",IF(HR_Data[[#This Row],[Age]]&lt;=55,"46-55","55+"))))</f>
        <v>36-45</v>
      </c>
      <c r="AF1429">
        <f>IF(HR_Data[[#This Row],[Age]]&lt;=25,1,IF(HR_Data[[#This Row],[Age]]&lt;=35,2,IF(HR_Data[[#This Row],[Age]]&lt;=45,3,IF(HR_Data[[#This Row],[Age]]&lt;=55,4,5))))</f>
        <v>3</v>
      </c>
      <c r="AG1429" s="1" t="str">
        <f>IF(HR_Data[[#This Row],[MonthlyIncome]]&lt;3000,"&lt;3K",IF(HR_Data[[#This Row],[MonthlyIncome]]&lt;6000,"3K-6K",IF(HR_Data[[#This Row],[MonthlyIncome]]&lt;10000,"6K-10K","10K+")))</f>
        <v>&lt;3K</v>
      </c>
      <c r="AH1429" s="1">
        <f>IF(HR_Data[[#This Row],[MonthlyIncome]]&lt;3000,1,IF(HR_Data[[#This Row],[MonthlyIncome]]&lt;6000,2,IF(HR_Data[[#This Row],[MonthlyIncome]]&lt;10000,3,4)))</f>
        <v>1</v>
      </c>
      <c r="AI1429" s="1" t="str">
        <f>IF(HR_Data[[#This Row],[YearsAtCompany]]&lt;=2,"0-2 Yrs",IF(HR_Data[[#This Row],[YearsAtCompany]]&lt;=5,"3-5 Yrs",IF(HR_Data[[#This Row],[YearsAtCompany]]&lt;=10,"6-10 Yrs","10+ Yrs")))</f>
        <v>0-2 Yrs</v>
      </c>
      <c r="AJ1429" s="1">
        <f>IF(HR_Data[[#This Row],[YearsAtCompany]]&lt;=2,1,IF(HR_Data[[#This Row],[YearsAtCompany]]&lt;=5,2,IF(HR_Data[[#This Row],[YearsAtCompany]]&lt;=10,3,4)))</f>
        <v>1</v>
      </c>
      <c r="AK1429" s="1" t="str">
        <f>CHOOSE(HR_Data[[#This Row],[Education]],"Below College","College","Bachelor","Master","Doctor")</f>
        <v>Master</v>
      </c>
      <c r="AL1429" s="1" t="str">
        <f>CHOOSE(HR_Data[[#This Row],[JobSatisfaction]],"Low","Medium","High","Very High")</f>
        <v>Very High</v>
      </c>
      <c r="AM1429" s="1" t="str">
        <f>CHOOSE(HR_Data[[#This Row],[EnvironmentSatisfaction]],"Low","Medium","High","Very High")</f>
        <v>Low</v>
      </c>
      <c r="AN1429" s="1" t="str">
        <f>CHOOSE(HR_Data[[#This Row],[WorkLifeBalance]],"Bad","Good","Better","Best")</f>
        <v>Good</v>
      </c>
      <c r="AO1429" s="1" t="str">
        <f>IF(HR_Data[[#This Row],[PercentSalaryHike]]&lt;=13,"11-13%",IF(HR_Data[[#This Row],[PercentSalaryHike]]&lt;=16,"14-16%",IF(HR_Data[[#This Row],[PercentSalaryHike]]&lt;=19,"17-19%","20-25%")))</f>
        <v>17-19%</v>
      </c>
      <c r="AP1429" s="1">
        <f>IF(HR_Data[[#This Row],[PercentSalaryHike]]&lt;=13,1,IF(HR_Data[[#This Row],[PercentSalaryHike]]&lt;=16,2,IF(HR_Data[[#This Row],[PercentSalaryHike]]&lt;=19,3,4)))</f>
        <v>3</v>
      </c>
      <c r="AQ1429" s="1" t="str">
        <f>IF(HR_Data[[#This Row],[DistanceFromHome]]&lt;=5,"1 to 5",IF(HR_Data[[#This Row],[DistanceFromHome]]&lt;=10,"6 to 10",IF(HR_Data[[#This Row],[DistanceFromHome]]&lt;=20,"11 to 20","21 to 29")))</f>
        <v>1 to 5</v>
      </c>
      <c r="AR1429" s="1">
        <f>IF(HR_Data[[#This Row],[DistanceFromHome]]&lt;=5,1,IF(HR_Data[[#This Row],[DistanceFromHome]]&lt;=10,2,IF(HR_Data[[#This Row],[DistanceFromHome]]&lt;=20,3,4)))</f>
        <v>1</v>
      </c>
      <c r="AS1429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429" s="1">
        <f>IF(HR_Data[[#This Row],[TotalWorkingYears]]&lt;=5,1,IF(HR_Data[[#This Row],[TotalWorkingYears]]&lt;=10,2,IF(HR_Data[[#This Row],[TotalWorkingYears]]&lt;=20,3,4)))</f>
        <v>2</v>
      </c>
    </row>
    <row r="1430" spans="1:46" x14ac:dyDescent="0.25">
      <c r="A1430">
        <v>32</v>
      </c>
      <c r="B1430" t="s">
        <v>36</v>
      </c>
      <c r="C1430" t="s">
        <v>30</v>
      </c>
      <c r="D1430" t="s">
        <v>31</v>
      </c>
      <c r="E1430">
        <v>1</v>
      </c>
      <c r="F1430">
        <v>4</v>
      </c>
      <c r="G1430" t="s">
        <v>44</v>
      </c>
      <c r="H1430">
        <v>2013</v>
      </c>
      <c r="I1430">
        <v>2</v>
      </c>
      <c r="J1430" t="s">
        <v>39</v>
      </c>
      <c r="K1430">
        <v>2</v>
      </c>
      <c r="L1430">
        <v>1</v>
      </c>
      <c r="M1430" t="s">
        <v>50</v>
      </c>
      <c r="N1430">
        <v>2</v>
      </c>
      <c r="O1430" t="s">
        <v>41</v>
      </c>
      <c r="P1430">
        <v>2269</v>
      </c>
      <c r="Q1430">
        <v>0</v>
      </c>
      <c r="R1430" t="s">
        <v>36</v>
      </c>
      <c r="S1430">
        <v>14</v>
      </c>
      <c r="T1430">
        <v>3</v>
      </c>
      <c r="U1430">
        <v>2</v>
      </c>
      <c r="V1430">
        <v>1</v>
      </c>
      <c r="W1430">
        <v>3</v>
      </c>
      <c r="X1430">
        <v>2</v>
      </c>
      <c r="Y1430">
        <v>3</v>
      </c>
      <c r="Z1430">
        <v>2</v>
      </c>
      <c r="AA1430">
        <v>2</v>
      </c>
      <c r="AB1430">
        <v>2</v>
      </c>
      <c r="AC1430">
        <v>2</v>
      </c>
      <c r="AD1430">
        <f>IF(HR_Data[[#This Row],[Attrition]]="Yes",1,0)</f>
        <v>0</v>
      </c>
      <c r="AE1430" t="str">
        <f>IF(HR_Data[[#This Row],[Age]]&lt;=25,"18-25",IF(HR_Data[[#This Row],[Age]]&lt;=35,"26-35",IF(HR_Data[[#This Row],[Age]]&lt;=45,"36-45",IF(HR_Data[[#This Row],[Age]]&lt;=55,"46-55","55+"))))</f>
        <v>26-35</v>
      </c>
      <c r="AF1430">
        <f>IF(HR_Data[[#This Row],[Age]]&lt;=25,1,IF(HR_Data[[#This Row],[Age]]&lt;=35,2,IF(HR_Data[[#This Row],[Age]]&lt;=45,3,IF(HR_Data[[#This Row],[Age]]&lt;=55,4,5))))</f>
        <v>2</v>
      </c>
      <c r="AG1430" s="1" t="str">
        <f>IF(HR_Data[[#This Row],[MonthlyIncome]]&lt;3000,"&lt;3K",IF(HR_Data[[#This Row],[MonthlyIncome]]&lt;6000,"3K-6K",IF(HR_Data[[#This Row],[MonthlyIncome]]&lt;10000,"6K-10K","10K+")))</f>
        <v>&lt;3K</v>
      </c>
      <c r="AH1430" s="1">
        <f>IF(HR_Data[[#This Row],[MonthlyIncome]]&lt;3000,1,IF(HR_Data[[#This Row],[MonthlyIncome]]&lt;6000,2,IF(HR_Data[[#This Row],[MonthlyIncome]]&lt;10000,3,4)))</f>
        <v>1</v>
      </c>
      <c r="AI1430" s="1" t="str">
        <f>IF(HR_Data[[#This Row],[YearsAtCompany]]&lt;=2,"0-2 Yrs",IF(HR_Data[[#This Row],[YearsAtCompany]]&lt;=5,"3-5 Yrs",IF(HR_Data[[#This Row],[YearsAtCompany]]&lt;=10,"6-10 Yrs","10+ Yrs")))</f>
        <v>0-2 Yrs</v>
      </c>
      <c r="AJ1430" s="1">
        <f>IF(HR_Data[[#This Row],[YearsAtCompany]]&lt;=2,1,IF(HR_Data[[#This Row],[YearsAtCompany]]&lt;=5,2,IF(HR_Data[[#This Row],[YearsAtCompany]]&lt;=10,3,4)))</f>
        <v>1</v>
      </c>
      <c r="AK1430" s="1" t="str">
        <f>CHOOSE(HR_Data[[#This Row],[Education]],"Below College","College","Bachelor","Master","Doctor")</f>
        <v>Master</v>
      </c>
      <c r="AL1430" s="1" t="str">
        <f>CHOOSE(HR_Data[[#This Row],[JobSatisfaction]],"Low","Medium","High","Very High")</f>
        <v>Medium</v>
      </c>
      <c r="AM1430" s="1" t="str">
        <f>CHOOSE(HR_Data[[#This Row],[EnvironmentSatisfaction]],"Low","Medium","High","Very High")</f>
        <v>Medium</v>
      </c>
      <c r="AN1430" s="1" t="str">
        <f>CHOOSE(HR_Data[[#This Row],[WorkLifeBalance]],"Bad","Good","Better","Best")</f>
        <v>Better</v>
      </c>
      <c r="AO1430" s="1" t="str">
        <f>IF(HR_Data[[#This Row],[PercentSalaryHike]]&lt;=13,"11-13%",IF(HR_Data[[#This Row],[PercentSalaryHike]]&lt;=16,"14-16%",IF(HR_Data[[#This Row],[PercentSalaryHike]]&lt;=19,"17-19%","20-25%")))</f>
        <v>14-16%</v>
      </c>
      <c r="AP1430" s="1">
        <f>IF(HR_Data[[#This Row],[PercentSalaryHike]]&lt;=13,1,IF(HR_Data[[#This Row],[PercentSalaryHike]]&lt;=16,2,IF(HR_Data[[#This Row],[PercentSalaryHike]]&lt;=19,3,4)))</f>
        <v>2</v>
      </c>
      <c r="AQ1430" s="1" t="str">
        <f>IF(HR_Data[[#This Row],[DistanceFromHome]]&lt;=5,"1 to 5",IF(HR_Data[[#This Row],[DistanceFromHome]]&lt;=10,"6 to 10",IF(HR_Data[[#This Row],[DistanceFromHome]]&lt;=20,"11 to 20","21 to 29")))</f>
        <v>1 to 5</v>
      </c>
      <c r="AR1430" s="1">
        <f>IF(HR_Data[[#This Row],[DistanceFromHome]]&lt;=5,1,IF(HR_Data[[#This Row],[DistanceFromHome]]&lt;=10,2,IF(HR_Data[[#This Row],[DistanceFromHome]]&lt;=20,3,4)))</f>
        <v>1</v>
      </c>
      <c r="AS1430" s="1" t="str">
        <f>IF(HR_Data[[#This Row],[TotalWorkingYears]]&lt;=5,"0-5 Yrs",IF(HR_Data[[#This Row],[TotalWorkingYears]]&lt;=10,"6-10 Yrs",IF(HR_Data[[#This Row],[TotalWorkingYears]]&lt;=20,"11-20 Yrs","20+ Yrs")))</f>
        <v>0-5 Yrs</v>
      </c>
      <c r="AT1430" s="1">
        <f>IF(HR_Data[[#This Row],[TotalWorkingYears]]&lt;=5,1,IF(HR_Data[[#This Row],[TotalWorkingYears]]&lt;=10,2,IF(HR_Data[[#This Row],[TotalWorkingYears]]&lt;=20,3,4)))</f>
        <v>1</v>
      </c>
    </row>
    <row r="1431" spans="1:46" x14ac:dyDescent="0.25">
      <c r="A1431">
        <v>39</v>
      </c>
      <c r="B1431" t="s">
        <v>36</v>
      </c>
      <c r="C1431" t="s">
        <v>30</v>
      </c>
      <c r="D1431" t="s">
        <v>38</v>
      </c>
      <c r="E1431">
        <v>24</v>
      </c>
      <c r="F1431">
        <v>1</v>
      </c>
      <c r="G1431" t="s">
        <v>32</v>
      </c>
      <c r="H1431">
        <v>2014</v>
      </c>
      <c r="I1431">
        <v>1</v>
      </c>
      <c r="J1431" t="s">
        <v>39</v>
      </c>
      <c r="K1431">
        <v>3</v>
      </c>
      <c r="L1431">
        <v>2</v>
      </c>
      <c r="M1431" t="s">
        <v>40</v>
      </c>
      <c r="N1431">
        <v>4</v>
      </c>
      <c r="O1431" t="s">
        <v>35</v>
      </c>
      <c r="P1431">
        <v>4108</v>
      </c>
      <c r="Q1431">
        <v>7</v>
      </c>
      <c r="R1431" t="s">
        <v>36</v>
      </c>
      <c r="S1431">
        <v>13</v>
      </c>
      <c r="T1431">
        <v>3</v>
      </c>
      <c r="U1431">
        <v>1</v>
      </c>
      <c r="V1431">
        <v>0</v>
      </c>
      <c r="W1431">
        <v>18</v>
      </c>
      <c r="X1431">
        <v>2</v>
      </c>
      <c r="Y1431">
        <v>3</v>
      </c>
      <c r="Z1431">
        <v>7</v>
      </c>
      <c r="AA1431">
        <v>7</v>
      </c>
      <c r="AB1431">
        <v>1</v>
      </c>
      <c r="AC1431">
        <v>7</v>
      </c>
      <c r="AD1431">
        <f>IF(HR_Data[[#This Row],[Attrition]]="Yes",1,0)</f>
        <v>0</v>
      </c>
      <c r="AE1431" t="str">
        <f>IF(HR_Data[[#This Row],[Age]]&lt;=25,"18-25",IF(HR_Data[[#This Row],[Age]]&lt;=35,"26-35",IF(HR_Data[[#This Row],[Age]]&lt;=45,"36-45",IF(HR_Data[[#This Row],[Age]]&lt;=55,"46-55","55+"))))</f>
        <v>36-45</v>
      </c>
      <c r="AF1431">
        <f>IF(HR_Data[[#This Row],[Age]]&lt;=25,1,IF(HR_Data[[#This Row],[Age]]&lt;=35,2,IF(HR_Data[[#This Row],[Age]]&lt;=45,3,IF(HR_Data[[#This Row],[Age]]&lt;=55,4,5))))</f>
        <v>3</v>
      </c>
      <c r="AG1431" s="1" t="str">
        <f>IF(HR_Data[[#This Row],[MonthlyIncome]]&lt;3000,"&lt;3K",IF(HR_Data[[#This Row],[MonthlyIncome]]&lt;6000,"3K-6K",IF(HR_Data[[#This Row],[MonthlyIncome]]&lt;10000,"6K-10K","10K+")))</f>
        <v>3K-6K</v>
      </c>
      <c r="AH1431" s="1">
        <f>IF(HR_Data[[#This Row],[MonthlyIncome]]&lt;3000,1,IF(HR_Data[[#This Row],[MonthlyIncome]]&lt;6000,2,IF(HR_Data[[#This Row],[MonthlyIncome]]&lt;10000,3,4)))</f>
        <v>2</v>
      </c>
      <c r="AI1431" s="1" t="str">
        <f>IF(HR_Data[[#This Row],[YearsAtCompany]]&lt;=2,"0-2 Yrs",IF(HR_Data[[#This Row],[YearsAtCompany]]&lt;=5,"3-5 Yrs",IF(HR_Data[[#This Row],[YearsAtCompany]]&lt;=10,"6-10 Yrs","10+ Yrs")))</f>
        <v>6-10 Yrs</v>
      </c>
      <c r="AJ1431" s="1">
        <f>IF(HR_Data[[#This Row],[YearsAtCompany]]&lt;=2,1,IF(HR_Data[[#This Row],[YearsAtCompany]]&lt;=5,2,IF(HR_Data[[#This Row],[YearsAtCompany]]&lt;=10,3,4)))</f>
        <v>3</v>
      </c>
      <c r="AK1431" s="1" t="str">
        <f>CHOOSE(HR_Data[[#This Row],[Education]],"Below College","College","Bachelor","Master","Doctor")</f>
        <v>Below College</v>
      </c>
      <c r="AL1431" s="1" t="str">
        <f>CHOOSE(HR_Data[[#This Row],[JobSatisfaction]],"Low","Medium","High","Very High")</f>
        <v>Very High</v>
      </c>
      <c r="AM1431" s="1" t="str">
        <f>CHOOSE(HR_Data[[#This Row],[EnvironmentSatisfaction]],"Low","Medium","High","Very High")</f>
        <v>Low</v>
      </c>
      <c r="AN1431" s="1" t="str">
        <f>CHOOSE(HR_Data[[#This Row],[WorkLifeBalance]],"Bad","Good","Better","Best")</f>
        <v>Better</v>
      </c>
      <c r="AO1431" s="1" t="str">
        <f>IF(HR_Data[[#This Row],[PercentSalaryHike]]&lt;=13,"11-13%",IF(HR_Data[[#This Row],[PercentSalaryHike]]&lt;=16,"14-16%",IF(HR_Data[[#This Row],[PercentSalaryHike]]&lt;=19,"17-19%","20-25%")))</f>
        <v>11-13%</v>
      </c>
      <c r="AP1431" s="1">
        <f>IF(HR_Data[[#This Row],[PercentSalaryHike]]&lt;=13,1,IF(HR_Data[[#This Row],[PercentSalaryHike]]&lt;=16,2,IF(HR_Data[[#This Row],[PercentSalaryHike]]&lt;=19,3,4)))</f>
        <v>1</v>
      </c>
      <c r="AQ1431" s="1" t="str">
        <f>IF(HR_Data[[#This Row],[DistanceFromHome]]&lt;=5,"1 to 5",IF(HR_Data[[#This Row],[DistanceFromHome]]&lt;=10,"6 to 10",IF(HR_Data[[#This Row],[DistanceFromHome]]&lt;=20,"11 to 20","21 to 29")))</f>
        <v>21 to 29</v>
      </c>
      <c r="AR1431" s="1">
        <f>IF(HR_Data[[#This Row],[DistanceFromHome]]&lt;=5,1,IF(HR_Data[[#This Row],[DistanceFromHome]]&lt;=10,2,IF(HR_Data[[#This Row],[DistanceFromHome]]&lt;=20,3,4)))</f>
        <v>4</v>
      </c>
      <c r="AS1431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431" s="1">
        <f>IF(HR_Data[[#This Row],[TotalWorkingYears]]&lt;=5,1,IF(HR_Data[[#This Row],[TotalWorkingYears]]&lt;=10,2,IF(HR_Data[[#This Row],[TotalWorkingYears]]&lt;=20,3,4)))</f>
        <v>3</v>
      </c>
    </row>
    <row r="1432" spans="1:46" x14ac:dyDescent="0.25">
      <c r="A1432">
        <v>38</v>
      </c>
      <c r="B1432" t="s">
        <v>36</v>
      </c>
      <c r="C1432" t="s">
        <v>30</v>
      </c>
      <c r="D1432" t="s">
        <v>38</v>
      </c>
      <c r="E1432">
        <v>10</v>
      </c>
      <c r="F1432">
        <v>3</v>
      </c>
      <c r="G1432" t="s">
        <v>44</v>
      </c>
      <c r="H1432">
        <v>2015</v>
      </c>
      <c r="I1432">
        <v>2</v>
      </c>
      <c r="J1432" t="s">
        <v>33</v>
      </c>
      <c r="K1432">
        <v>1</v>
      </c>
      <c r="L1432">
        <v>3</v>
      </c>
      <c r="M1432" t="s">
        <v>51</v>
      </c>
      <c r="N1432">
        <v>3</v>
      </c>
      <c r="O1432" t="s">
        <v>41</v>
      </c>
      <c r="P1432">
        <v>13206</v>
      </c>
      <c r="Q1432">
        <v>3</v>
      </c>
      <c r="R1432" t="s">
        <v>36</v>
      </c>
      <c r="S1432">
        <v>12</v>
      </c>
      <c r="T1432">
        <v>3</v>
      </c>
      <c r="U1432">
        <v>1</v>
      </c>
      <c r="V1432">
        <v>1</v>
      </c>
      <c r="W1432">
        <v>20</v>
      </c>
      <c r="X1432">
        <v>3</v>
      </c>
      <c r="Y1432">
        <v>3</v>
      </c>
      <c r="Z1432">
        <v>18</v>
      </c>
      <c r="AA1432">
        <v>16</v>
      </c>
      <c r="AB1432">
        <v>1</v>
      </c>
      <c r="AC1432">
        <v>11</v>
      </c>
      <c r="AD1432">
        <f>IF(HR_Data[[#This Row],[Attrition]]="Yes",1,0)</f>
        <v>0</v>
      </c>
      <c r="AE1432" t="str">
        <f>IF(HR_Data[[#This Row],[Age]]&lt;=25,"18-25",IF(HR_Data[[#This Row],[Age]]&lt;=35,"26-35",IF(HR_Data[[#This Row],[Age]]&lt;=45,"36-45",IF(HR_Data[[#This Row],[Age]]&lt;=55,"46-55","55+"))))</f>
        <v>36-45</v>
      </c>
      <c r="AF1432">
        <f>IF(HR_Data[[#This Row],[Age]]&lt;=25,1,IF(HR_Data[[#This Row],[Age]]&lt;=35,2,IF(HR_Data[[#This Row],[Age]]&lt;=45,3,IF(HR_Data[[#This Row],[Age]]&lt;=55,4,5))))</f>
        <v>3</v>
      </c>
      <c r="AG1432" s="1" t="str">
        <f>IF(HR_Data[[#This Row],[MonthlyIncome]]&lt;3000,"&lt;3K",IF(HR_Data[[#This Row],[MonthlyIncome]]&lt;6000,"3K-6K",IF(HR_Data[[#This Row],[MonthlyIncome]]&lt;10000,"6K-10K","10K+")))</f>
        <v>10K+</v>
      </c>
      <c r="AH1432" s="1">
        <f>IF(HR_Data[[#This Row],[MonthlyIncome]]&lt;3000,1,IF(HR_Data[[#This Row],[MonthlyIncome]]&lt;6000,2,IF(HR_Data[[#This Row],[MonthlyIncome]]&lt;10000,3,4)))</f>
        <v>4</v>
      </c>
      <c r="AI1432" s="1" t="str">
        <f>IF(HR_Data[[#This Row],[YearsAtCompany]]&lt;=2,"0-2 Yrs",IF(HR_Data[[#This Row],[YearsAtCompany]]&lt;=5,"3-5 Yrs",IF(HR_Data[[#This Row],[YearsAtCompany]]&lt;=10,"6-10 Yrs","10+ Yrs")))</f>
        <v>10+ Yrs</v>
      </c>
      <c r="AJ1432" s="1">
        <f>IF(HR_Data[[#This Row],[YearsAtCompany]]&lt;=2,1,IF(HR_Data[[#This Row],[YearsAtCompany]]&lt;=5,2,IF(HR_Data[[#This Row],[YearsAtCompany]]&lt;=10,3,4)))</f>
        <v>4</v>
      </c>
      <c r="AK1432" s="1" t="str">
        <f>CHOOSE(HR_Data[[#This Row],[Education]],"Below College","College","Bachelor","Master","Doctor")</f>
        <v>Bachelor</v>
      </c>
      <c r="AL1432" s="1" t="str">
        <f>CHOOSE(HR_Data[[#This Row],[JobSatisfaction]],"Low","Medium","High","Very High")</f>
        <v>High</v>
      </c>
      <c r="AM1432" s="1" t="str">
        <f>CHOOSE(HR_Data[[#This Row],[EnvironmentSatisfaction]],"Low","Medium","High","Very High")</f>
        <v>Medium</v>
      </c>
      <c r="AN1432" s="1" t="str">
        <f>CHOOSE(HR_Data[[#This Row],[WorkLifeBalance]],"Bad","Good","Better","Best")</f>
        <v>Better</v>
      </c>
      <c r="AO1432" s="1" t="str">
        <f>IF(HR_Data[[#This Row],[PercentSalaryHike]]&lt;=13,"11-13%",IF(HR_Data[[#This Row],[PercentSalaryHike]]&lt;=16,"14-16%",IF(HR_Data[[#This Row],[PercentSalaryHike]]&lt;=19,"17-19%","20-25%")))</f>
        <v>11-13%</v>
      </c>
      <c r="AP1432" s="1">
        <f>IF(HR_Data[[#This Row],[PercentSalaryHike]]&lt;=13,1,IF(HR_Data[[#This Row],[PercentSalaryHike]]&lt;=16,2,IF(HR_Data[[#This Row],[PercentSalaryHike]]&lt;=19,3,4)))</f>
        <v>1</v>
      </c>
      <c r="AQ1432" s="1" t="str">
        <f>IF(HR_Data[[#This Row],[DistanceFromHome]]&lt;=5,"1 to 5",IF(HR_Data[[#This Row],[DistanceFromHome]]&lt;=10,"6 to 10",IF(HR_Data[[#This Row],[DistanceFromHome]]&lt;=20,"11 to 20","21 to 29")))</f>
        <v>6 to 10</v>
      </c>
      <c r="AR1432" s="1">
        <f>IF(HR_Data[[#This Row],[DistanceFromHome]]&lt;=5,1,IF(HR_Data[[#This Row],[DistanceFromHome]]&lt;=10,2,IF(HR_Data[[#This Row],[DistanceFromHome]]&lt;=20,3,4)))</f>
        <v>2</v>
      </c>
      <c r="AS1432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432" s="1">
        <f>IF(HR_Data[[#This Row],[TotalWorkingYears]]&lt;=5,1,IF(HR_Data[[#This Row],[TotalWorkingYears]]&lt;=10,2,IF(HR_Data[[#This Row],[TotalWorkingYears]]&lt;=20,3,4)))</f>
        <v>3</v>
      </c>
    </row>
    <row r="1433" spans="1:46" x14ac:dyDescent="0.25">
      <c r="A1433">
        <v>32</v>
      </c>
      <c r="B1433" t="s">
        <v>36</v>
      </c>
      <c r="C1433" t="s">
        <v>30</v>
      </c>
      <c r="D1433" t="s">
        <v>31</v>
      </c>
      <c r="E1433">
        <v>1</v>
      </c>
      <c r="F1433">
        <v>4</v>
      </c>
      <c r="G1433" t="s">
        <v>52</v>
      </c>
      <c r="H1433">
        <v>2016</v>
      </c>
      <c r="I1433">
        <v>3</v>
      </c>
      <c r="J1433" t="s">
        <v>33</v>
      </c>
      <c r="K1433">
        <v>3</v>
      </c>
      <c r="L1433">
        <v>3</v>
      </c>
      <c r="M1433" t="s">
        <v>34</v>
      </c>
      <c r="N1433">
        <v>4</v>
      </c>
      <c r="O1433" t="s">
        <v>41</v>
      </c>
      <c r="P1433">
        <v>10422</v>
      </c>
      <c r="Q1433">
        <v>1</v>
      </c>
      <c r="R1433" t="s">
        <v>36</v>
      </c>
      <c r="S1433">
        <v>19</v>
      </c>
      <c r="T1433">
        <v>3</v>
      </c>
      <c r="U1433">
        <v>3</v>
      </c>
      <c r="V1433">
        <v>2</v>
      </c>
      <c r="W1433">
        <v>14</v>
      </c>
      <c r="X1433">
        <v>3</v>
      </c>
      <c r="Y1433">
        <v>3</v>
      </c>
      <c r="Z1433">
        <v>14</v>
      </c>
      <c r="AA1433">
        <v>10</v>
      </c>
      <c r="AB1433">
        <v>5</v>
      </c>
      <c r="AC1433">
        <v>7</v>
      </c>
      <c r="AD1433">
        <f>IF(HR_Data[[#This Row],[Attrition]]="Yes",1,0)</f>
        <v>0</v>
      </c>
      <c r="AE1433" t="str">
        <f>IF(HR_Data[[#This Row],[Age]]&lt;=25,"18-25",IF(HR_Data[[#This Row],[Age]]&lt;=35,"26-35",IF(HR_Data[[#This Row],[Age]]&lt;=45,"36-45",IF(HR_Data[[#This Row],[Age]]&lt;=55,"46-55","55+"))))</f>
        <v>26-35</v>
      </c>
      <c r="AF1433">
        <f>IF(HR_Data[[#This Row],[Age]]&lt;=25,1,IF(HR_Data[[#This Row],[Age]]&lt;=35,2,IF(HR_Data[[#This Row],[Age]]&lt;=45,3,IF(HR_Data[[#This Row],[Age]]&lt;=55,4,5))))</f>
        <v>2</v>
      </c>
      <c r="AG1433" s="1" t="str">
        <f>IF(HR_Data[[#This Row],[MonthlyIncome]]&lt;3000,"&lt;3K",IF(HR_Data[[#This Row],[MonthlyIncome]]&lt;6000,"3K-6K",IF(HR_Data[[#This Row],[MonthlyIncome]]&lt;10000,"6K-10K","10K+")))</f>
        <v>10K+</v>
      </c>
      <c r="AH1433" s="1">
        <f>IF(HR_Data[[#This Row],[MonthlyIncome]]&lt;3000,1,IF(HR_Data[[#This Row],[MonthlyIncome]]&lt;6000,2,IF(HR_Data[[#This Row],[MonthlyIncome]]&lt;10000,3,4)))</f>
        <v>4</v>
      </c>
      <c r="AI1433" s="1" t="str">
        <f>IF(HR_Data[[#This Row],[YearsAtCompany]]&lt;=2,"0-2 Yrs",IF(HR_Data[[#This Row],[YearsAtCompany]]&lt;=5,"3-5 Yrs",IF(HR_Data[[#This Row],[YearsAtCompany]]&lt;=10,"6-10 Yrs","10+ Yrs")))</f>
        <v>10+ Yrs</v>
      </c>
      <c r="AJ1433" s="1">
        <f>IF(HR_Data[[#This Row],[YearsAtCompany]]&lt;=2,1,IF(HR_Data[[#This Row],[YearsAtCompany]]&lt;=5,2,IF(HR_Data[[#This Row],[YearsAtCompany]]&lt;=10,3,4)))</f>
        <v>4</v>
      </c>
      <c r="AK1433" s="1" t="str">
        <f>CHOOSE(HR_Data[[#This Row],[Education]],"Below College","College","Bachelor","Master","Doctor")</f>
        <v>Master</v>
      </c>
      <c r="AL1433" s="1" t="str">
        <f>CHOOSE(HR_Data[[#This Row],[JobSatisfaction]],"Low","Medium","High","Very High")</f>
        <v>Very High</v>
      </c>
      <c r="AM1433" s="1" t="str">
        <f>CHOOSE(HR_Data[[#This Row],[EnvironmentSatisfaction]],"Low","Medium","High","Very High")</f>
        <v>High</v>
      </c>
      <c r="AN1433" s="1" t="str">
        <f>CHOOSE(HR_Data[[#This Row],[WorkLifeBalance]],"Bad","Good","Better","Best")</f>
        <v>Better</v>
      </c>
      <c r="AO1433" s="1" t="str">
        <f>IF(HR_Data[[#This Row],[PercentSalaryHike]]&lt;=13,"11-13%",IF(HR_Data[[#This Row],[PercentSalaryHike]]&lt;=16,"14-16%",IF(HR_Data[[#This Row],[PercentSalaryHike]]&lt;=19,"17-19%","20-25%")))</f>
        <v>17-19%</v>
      </c>
      <c r="AP1433" s="1">
        <f>IF(HR_Data[[#This Row],[PercentSalaryHike]]&lt;=13,1,IF(HR_Data[[#This Row],[PercentSalaryHike]]&lt;=16,2,IF(HR_Data[[#This Row],[PercentSalaryHike]]&lt;=19,3,4)))</f>
        <v>3</v>
      </c>
      <c r="AQ1433" s="1" t="str">
        <f>IF(HR_Data[[#This Row],[DistanceFromHome]]&lt;=5,"1 to 5",IF(HR_Data[[#This Row],[DistanceFromHome]]&lt;=10,"6 to 10",IF(HR_Data[[#This Row],[DistanceFromHome]]&lt;=20,"11 to 20","21 to 29")))</f>
        <v>1 to 5</v>
      </c>
      <c r="AR1433" s="1">
        <f>IF(HR_Data[[#This Row],[DistanceFromHome]]&lt;=5,1,IF(HR_Data[[#This Row],[DistanceFromHome]]&lt;=10,2,IF(HR_Data[[#This Row],[DistanceFromHome]]&lt;=20,3,4)))</f>
        <v>1</v>
      </c>
      <c r="AS1433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433" s="1">
        <f>IF(HR_Data[[#This Row],[TotalWorkingYears]]&lt;=5,1,IF(HR_Data[[#This Row],[TotalWorkingYears]]&lt;=10,2,IF(HR_Data[[#This Row],[TotalWorkingYears]]&lt;=20,3,4)))</f>
        <v>3</v>
      </c>
    </row>
    <row r="1434" spans="1:46" x14ac:dyDescent="0.25">
      <c r="A1434">
        <v>37</v>
      </c>
      <c r="B1434" t="s">
        <v>36</v>
      </c>
      <c r="C1434" t="s">
        <v>30</v>
      </c>
      <c r="D1434" t="s">
        <v>38</v>
      </c>
      <c r="E1434">
        <v>10</v>
      </c>
      <c r="F1434">
        <v>3</v>
      </c>
      <c r="G1434" t="s">
        <v>32</v>
      </c>
      <c r="H1434">
        <v>2017</v>
      </c>
      <c r="I1434">
        <v>3</v>
      </c>
      <c r="J1434" t="s">
        <v>33</v>
      </c>
      <c r="K1434">
        <v>4</v>
      </c>
      <c r="L1434">
        <v>3</v>
      </c>
      <c r="M1434" t="s">
        <v>51</v>
      </c>
      <c r="N1434">
        <v>4</v>
      </c>
      <c r="O1434" t="s">
        <v>41</v>
      </c>
      <c r="P1434">
        <v>13744</v>
      </c>
      <c r="Q1434">
        <v>1</v>
      </c>
      <c r="R1434" t="s">
        <v>29</v>
      </c>
      <c r="S1434">
        <v>25</v>
      </c>
      <c r="T1434">
        <v>4</v>
      </c>
      <c r="U1434">
        <v>1</v>
      </c>
      <c r="V1434">
        <v>1</v>
      </c>
      <c r="W1434">
        <v>16</v>
      </c>
      <c r="X1434">
        <v>2</v>
      </c>
      <c r="Y1434">
        <v>3</v>
      </c>
      <c r="Z1434">
        <v>16</v>
      </c>
      <c r="AA1434">
        <v>11</v>
      </c>
      <c r="AB1434">
        <v>6</v>
      </c>
      <c r="AC1434">
        <v>8</v>
      </c>
      <c r="AD1434">
        <f>IF(HR_Data[[#This Row],[Attrition]]="Yes",1,0)</f>
        <v>0</v>
      </c>
      <c r="AE1434" t="str">
        <f>IF(HR_Data[[#This Row],[Age]]&lt;=25,"18-25",IF(HR_Data[[#This Row],[Age]]&lt;=35,"26-35",IF(HR_Data[[#This Row],[Age]]&lt;=45,"36-45",IF(HR_Data[[#This Row],[Age]]&lt;=55,"46-55","55+"))))</f>
        <v>36-45</v>
      </c>
      <c r="AF1434">
        <f>IF(HR_Data[[#This Row],[Age]]&lt;=25,1,IF(HR_Data[[#This Row],[Age]]&lt;=35,2,IF(HR_Data[[#This Row],[Age]]&lt;=45,3,IF(HR_Data[[#This Row],[Age]]&lt;=55,4,5))))</f>
        <v>3</v>
      </c>
      <c r="AG1434" s="1" t="str">
        <f>IF(HR_Data[[#This Row],[MonthlyIncome]]&lt;3000,"&lt;3K",IF(HR_Data[[#This Row],[MonthlyIncome]]&lt;6000,"3K-6K",IF(HR_Data[[#This Row],[MonthlyIncome]]&lt;10000,"6K-10K","10K+")))</f>
        <v>10K+</v>
      </c>
      <c r="AH1434" s="1">
        <f>IF(HR_Data[[#This Row],[MonthlyIncome]]&lt;3000,1,IF(HR_Data[[#This Row],[MonthlyIncome]]&lt;6000,2,IF(HR_Data[[#This Row],[MonthlyIncome]]&lt;10000,3,4)))</f>
        <v>4</v>
      </c>
      <c r="AI1434" s="1" t="str">
        <f>IF(HR_Data[[#This Row],[YearsAtCompany]]&lt;=2,"0-2 Yrs",IF(HR_Data[[#This Row],[YearsAtCompany]]&lt;=5,"3-5 Yrs",IF(HR_Data[[#This Row],[YearsAtCompany]]&lt;=10,"6-10 Yrs","10+ Yrs")))</f>
        <v>10+ Yrs</v>
      </c>
      <c r="AJ1434" s="1">
        <f>IF(HR_Data[[#This Row],[YearsAtCompany]]&lt;=2,1,IF(HR_Data[[#This Row],[YearsAtCompany]]&lt;=5,2,IF(HR_Data[[#This Row],[YearsAtCompany]]&lt;=10,3,4)))</f>
        <v>4</v>
      </c>
      <c r="AK1434" s="1" t="str">
        <f>CHOOSE(HR_Data[[#This Row],[Education]],"Below College","College","Bachelor","Master","Doctor")</f>
        <v>Bachelor</v>
      </c>
      <c r="AL1434" s="1" t="str">
        <f>CHOOSE(HR_Data[[#This Row],[JobSatisfaction]],"Low","Medium","High","Very High")</f>
        <v>Very High</v>
      </c>
      <c r="AM1434" s="1" t="str">
        <f>CHOOSE(HR_Data[[#This Row],[EnvironmentSatisfaction]],"Low","Medium","High","Very High")</f>
        <v>High</v>
      </c>
      <c r="AN1434" s="1" t="str">
        <f>CHOOSE(HR_Data[[#This Row],[WorkLifeBalance]],"Bad","Good","Better","Best")</f>
        <v>Better</v>
      </c>
      <c r="AO1434" s="1" t="str">
        <f>IF(HR_Data[[#This Row],[PercentSalaryHike]]&lt;=13,"11-13%",IF(HR_Data[[#This Row],[PercentSalaryHike]]&lt;=16,"14-16%",IF(HR_Data[[#This Row],[PercentSalaryHike]]&lt;=19,"17-19%","20-25%")))</f>
        <v>20-25%</v>
      </c>
      <c r="AP1434" s="1">
        <f>IF(HR_Data[[#This Row],[PercentSalaryHike]]&lt;=13,1,IF(HR_Data[[#This Row],[PercentSalaryHike]]&lt;=16,2,IF(HR_Data[[#This Row],[PercentSalaryHike]]&lt;=19,3,4)))</f>
        <v>4</v>
      </c>
      <c r="AQ1434" s="1" t="str">
        <f>IF(HR_Data[[#This Row],[DistanceFromHome]]&lt;=5,"1 to 5",IF(HR_Data[[#This Row],[DistanceFromHome]]&lt;=10,"6 to 10",IF(HR_Data[[#This Row],[DistanceFromHome]]&lt;=20,"11 to 20","21 to 29")))</f>
        <v>6 to 10</v>
      </c>
      <c r="AR1434" s="1">
        <f>IF(HR_Data[[#This Row],[DistanceFromHome]]&lt;=5,1,IF(HR_Data[[#This Row],[DistanceFromHome]]&lt;=10,2,IF(HR_Data[[#This Row],[DistanceFromHome]]&lt;=20,3,4)))</f>
        <v>2</v>
      </c>
      <c r="AS1434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434" s="1">
        <f>IF(HR_Data[[#This Row],[TotalWorkingYears]]&lt;=5,1,IF(HR_Data[[#This Row],[TotalWorkingYears]]&lt;=10,2,IF(HR_Data[[#This Row],[TotalWorkingYears]]&lt;=20,3,4)))</f>
        <v>3</v>
      </c>
    </row>
    <row r="1435" spans="1:46" x14ac:dyDescent="0.25">
      <c r="A1435">
        <v>25</v>
      </c>
      <c r="B1435" t="s">
        <v>36</v>
      </c>
      <c r="C1435" t="s">
        <v>30</v>
      </c>
      <c r="D1435" t="s">
        <v>31</v>
      </c>
      <c r="E1435">
        <v>8</v>
      </c>
      <c r="F1435">
        <v>2</v>
      </c>
      <c r="G1435" t="s">
        <v>42</v>
      </c>
      <c r="H1435">
        <v>2018</v>
      </c>
      <c r="I1435">
        <v>1</v>
      </c>
      <c r="J1435" t="s">
        <v>33</v>
      </c>
      <c r="K1435">
        <v>3</v>
      </c>
      <c r="L1435">
        <v>2</v>
      </c>
      <c r="M1435" t="s">
        <v>34</v>
      </c>
      <c r="N1435">
        <v>3</v>
      </c>
      <c r="O1435" t="s">
        <v>45</v>
      </c>
      <c r="P1435">
        <v>4907</v>
      </c>
      <c r="Q1435">
        <v>0</v>
      </c>
      <c r="R1435" t="s">
        <v>29</v>
      </c>
      <c r="S1435">
        <v>22</v>
      </c>
      <c r="T1435">
        <v>4</v>
      </c>
      <c r="U1435">
        <v>2</v>
      </c>
      <c r="V1435">
        <v>1</v>
      </c>
      <c r="W1435">
        <v>6</v>
      </c>
      <c r="X1435">
        <v>3</v>
      </c>
      <c r="Y1435">
        <v>2</v>
      </c>
      <c r="Z1435">
        <v>5</v>
      </c>
      <c r="AA1435">
        <v>3</v>
      </c>
      <c r="AB1435">
        <v>0</v>
      </c>
      <c r="AC1435">
        <v>4</v>
      </c>
      <c r="AD1435">
        <f>IF(HR_Data[[#This Row],[Attrition]]="Yes",1,0)</f>
        <v>0</v>
      </c>
      <c r="AE1435" t="str">
        <f>IF(HR_Data[[#This Row],[Age]]&lt;=25,"18-25",IF(HR_Data[[#This Row],[Age]]&lt;=35,"26-35",IF(HR_Data[[#This Row],[Age]]&lt;=45,"36-45",IF(HR_Data[[#This Row],[Age]]&lt;=55,"46-55","55+"))))</f>
        <v>18-25</v>
      </c>
      <c r="AF1435">
        <f>IF(HR_Data[[#This Row],[Age]]&lt;=25,1,IF(HR_Data[[#This Row],[Age]]&lt;=35,2,IF(HR_Data[[#This Row],[Age]]&lt;=45,3,IF(HR_Data[[#This Row],[Age]]&lt;=55,4,5))))</f>
        <v>1</v>
      </c>
      <c r="AG1435" s="1" t="str">
        <f>IF(HR_Data[[#This Row],[MonthlyIncome]]&lt;3000,"&lt;3K",IF(HR_Data[[#This Row],[MonthlyIncome]]&lt;6000,"3K-6K",IF(HR_Data[[#This Row],[MonthlyIncome]]&lt;10000,"6K-10K","10K+")))</f>
        <v>3K-6K</v>
      </c>
      <c r="AH1435" s="1">
        <f>IF(HR_Data[[#This Row],[MonthlyIncome]]&lt;3000,1,IF(HR_Data[[#This Row],[MonthlyIncome]]&lt;6000,2,IF(HR_Data[[#This Row],[MonthlyIncome]]&lt;10000,3,4)))</f>
        <v>2</v>
      </c>
      <c r="AI1435" s="1" t="str">
        <f>IF(HR_Data[[#This Row],[YearsAtCompany]]&lt;=2,"0-2 Yrs",IF(HR_Data[[#This Row],[YearsAtCompany]]&lt;=5,"3-5 Yrs",IF(HR_Data[[#This Row],[YearsAtCompany]]&lt;=10,"6-10 Yrs","10+ Yrs")))</f>
        <v>3-5 Yrs</v>
      </c>
      <c r="AJ1435" s="1">
        <f>IF(HR_Data[[#This Row],[YearsAtCompany]]&lt;=2,1,IF(HR_Data[[#This Row],[YearsAtCompany]]&lt;=5,2,IF(HR_Data[[#This Row],[YearsAtCompany]]&lt;=10,3,4)))</f>
        <v>2</v>
      </c>
      <c r="AK1435" s="1" t="str">
        <f>CHOOSE(HR_Data[[#This Row],[Education]],"Below College","College","Bachelor","Master","Doctor")</f>
        <v>College</v>
      </c>
      <c r="AL1435" s="1" t="str">
        <f>CHOOSE(HR_Data[[#This Row],[JobSatisfaction]],"Low","Medium","High","Very High")</f>
        <v>High</v>
      </c>
      <c r="AM1435" s="1" t="str">
        <f>CHOOSE(HR_Data[[#This Row],[EnvironmentSatisfaction]],"Low","Medium","High","Very High")</f>
        <v>Low</v>
      </c>
      <c r="AN1435" s="1" t="str">
        <f>CHOOSE(HR_Data[[#This Row],[WorkLifeBalance]],"Bad","Good","Better","Best")</f>
        <v>Good</v>
      </c>
      <c r="AO1435" s="1" t="str">
        <f>IF(HR_Data[[#This Row],[PercentSalaryHike]]&lt;=13,"11-13%",IF(HR_Data[[#This Row],[PercentSalaryHike]]&lt;=16,"14-16%",IF(HR_Data[[#This Row],[PercentSalaryHike]]&lt;=19,"17-19%","20-25%")))</f>
        <v>20-25%</v>
      </c>
      <c r="AP1435" s="1">
        <f>IF(HR_Data[[#This Row],[PercentSalaryHike]]&lt;=13,1,IF(HR_Data[[#This Row],[PercentSalaryHike]]&lt;=16,2,IF(HR_Data[[#This Row],[PercentSalaryHike]]&lt;=19,3,4)))</f>
        <v>4</v>
      </c>
      <c r="AQ1435" s="1" t="str">
        <f>IF(HR_Data[[#This Row],[DistanceFromHome]]&lt;=5,"1 to 5",IF(HR_Data[[#This Row],[DistanceFromHome]]&lt;=10,"6 to 10",IF(HR_Data[[#This Row],[DistanceFromHome]]&lt;=20,"11 to 20","21 to 29")))</f>
        <v>6 to 10</v>
      </c>
      <c r="AR1435" s="1">
        <f>IF(HR_Data[[#This Row],[DistanceFromHome]]&lt;=5,1,IF(HR_Data[[#This Row],[DistanceFromHome]]&lt;=10,2,IF(HR_Data[[#This Row],[DistanceFromHome]]&lt;=20,3,4)))</f>
        <v>2</v>
      </c>
      <c r="AS1435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435" s="1">
        <f>IF(HR_Data[[#This Row],[TotalWorkingYears]]&lt;=5,1,IF(HR_Data[[#This Row],[TotalWorkingYears]]&lt;=10,2,IF(HR_Data[[#This Row],[TotalWorkingYears]]&lt;=20,3,4)))</f>
        <v>2</v>
      </c>
    </row>
    <row r="1436" spans="1:46" x14ac:dyDescent="0.25">
      <c r="A1436">
        <v>52</v>
      </c>
      <c r="B1436" t="s">
        <v>36</v>
      </c>
      <c r="C1436" t="s">
        <v>48</v>
      </c>
      <c r="D1436" t="s">
        <v>31</v>
      </c>
      <c r="E1436">
        <v>29</v>
      </c>
      <c r="F1436">
        <v>4</v>
      </c>
      <c r="G1436" t="s">
        <v>32</v>
      </c>
      <c r="H1436">
        <v>2019</v>
      </c>
      <c r="I1436">
        <v>1</v>
      </c>
      <c r="J1436" t="s">
        <v>39</v>
      </c>
      <c r="K1436">
        <v>3</v>
      </c>
      <c r="L1436">
        <v>1</v>
      </c>
      <c r="M1436" t="s">
        <v>50</v>
      </c>
      <c r="N1436">
        <v>4</v>
      </c>
      <c r="O1436" t="s">
        <v>45</v>
      </c>
      <c r="P1436">
        <v>3482</v>
      </c>
      <c r="Q1436">
        <v>2</v>
      </c>
      <c r="R1436" t="s">
        <v>36</v>
      </c>
      <c r="S1436">
        <v>15</v>
      </c>
      <c r="T1436">
        <v>3</v>
      </c>
      <c r="U1436">
        <v>2</v>
      </c>
      <c r="V1436">
        <v>2</v>
      </c>
      <c r="W1436">
        <v>16</v>
      </c>
      <c r="X1436">
        <v>3</v>
      </c>
      <c r="Y1436">
        <v>2</v>
      </c>
      <c r="Z1436">
        <v>9</v>
      </c>
      <c r="AA1436">
        <v>8</v>
      </c>
      <c r="AB1436">
        <v>0</v>
      </c>
      <c r="AC1436">
        <v>0</v>
      </c>
      <c r="AD1436">
        <f>IF(HR_Data[[#This Row],[Attrition]]="Yes",1,0)</f>
        <v>0</v>
      </c>
      <c r="AE1436" t="str">
        <f>IF(HR_Data[[#This Row],[Age]]&lt;=25,"18-25",IF(HR_Data[[#This Row],[Age]]&lt;=35,"26-35",IF(HR_Data[[#This Row],[Age]]&lt;=45,"36-45",IF(HR_Data[[#This Row],[Age]]&lt;=55,"46-55","55+"))))</f>
        <v>46-55</v>
      </c>
      <c r="AF1436">
        <f>IF(HR_Data[[#This Row],[Age]]&lt;=25,1,IF(HR_Data[[#This Row],[Age]]&lt;=35,2,IF(HR_Data[[#This Row],[Age]]&lt;=45,3,IF(HR_Data[[#This Row],[Age]]&lt;=55,4,5))))</f>
        <v>4</v>
      </c>
      <c r="AG1436" s="1" t="str">
        <f>IF(HR_Data[[#This Row],[MonthlyIncome]]&lt;3000,"&lt;3K",IF(HR_Data[[#This Row],[MonthlyIncome]]&lt;6000,"3K-6K",IF(HR_Data[[#This Row],[MonthlyIncome]]&lt;10000,"6K-10K","10K+")))</f>
        <v>3K-6K</v>
      </c>
      <c r="AH1436" s="1">
        <f>IF(HR_Data[[#This Row],[MonthlyIncome]]&lt;3000,1,IF(HR_Data[[#This Row],[MonthlyIncome]]&lt;6000,2,IF(HR_Data[[#This Row],[MonthlyIncome]]&lt;10000,3,4)))</f>
        <v>2</v>
      </c>
      <c r="AI1436" s="1" t="str">
        <f>IF(HR_Data[[#This Row],[YearsAtCompany]]&lt;=2,"0-2 Yrs",IF(HR_Data[[#This Row],[YearsAtCompany]]&lt;=5,"3-5 Yrs",IF(HR_Data[[#This Row],[YearsAtCompany]]&lt;=10,"6-10 Yrs","10+ Yrs")))</f>
        <v>6-10 Yrs</v>
      </c>
      <c r="AJ1436" s="1">
        <f>IF(HR_Data[[#This Row],[YearsAtCompany]]&lt;=2,1,IF(HR_Data[[#This Row],[YearsAtCompany]]&lt;=5,2,IF(HR_Data[[#This Row],[YearsAtCompany]]&lt;=10,3,4)))</f>
        <v>3</v>
      </c>
      <c r="AK1436" s="1" t="str">
        <f>CHOOSE(HR_Data[[#This Row],[Education]],"Below College","College","Bachelor","Master","Doctor")</f>
        <v>Master</v>
      </c>
      <c r="AL1436" s="1" t="str">
        <f>CHOOSE(HR_Data[[#This Row],[JobSatisfaction]],"Low","Medium","High","Very High")</f>
        <v>Very High</v>
      </c>
      <c r="AM1436" s="1" t="str">
        <f>CHOOSE(HR_Data[[#This Row],[EnvironmentSatisfaction]],"Low","Medium","High","Very High")</f>
        <v>Low</v>
      </c>
      <c r="AN1436" s="1" t="str">
        <f>CHOOSE(HR_Data[[#This Row],[WorkLifeBalance]],"Bad","Good","Better","Best")</f>
        <v>Good</v>
      </c>
      <c r="AO1436" s="1" t="str">
        <f>IF(HR_Data[[#This Row],[PercentSalaryHike]]&lt;=13,"11-13%",IF(HR_Data[[#This Row],[PercentSalaryHike]]&lt;=16,"14-16%",IF(HR_Data[[#This Row],[PercentSalaryHike]]&lt;=19,"17-19%","20-25%")))</f>
        <v>14-16%</v>
      </c>
      <c r="AP1436" s="1">
        <f>IF(HR_Data[[#This Row],[PercentSalaryHike]]&lt;=13,1,IF(HR_Data[[#This Row],[PercentSalaryHike]]&lt;=16,2,IF(HR_Data[[#This Row],[PercentSalaryHike]]&lt;=19,3,4)))</f>
        <v>2</v>
      </c>
      <c r="AQ1436" s="1" t="str">
        <f>IF(HR_Data[[#This Row],[DistanceFromHome]]&lt;=5,"1 to 5",IF(HR_Data[[#This Row],[DistanceFromHome]]&lt;=10,"6 to 10",IF(HR_Data[[#This Row],[DistanceFromHome]]&lt;=20,"11 to 20","21 to 29")))</f>
        <v>21 to 29</v>
      </c>
      <c r="AR1436" s="1">
        <f>IF(HR_Data[[#This Row],[DistanceFromHome]]&lt;=5,1,IF(HR_Data[[#This Row],[DistanceFromHome]]&lt;=10,2,IF(HR_Data[[#This Row],[DistanceFromHome]]&lt;=20,3,4)))</f>
        <v>4</v>
      </c>
      <c r="AS1436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436" s="1">
        <f>IF(HR_Data[[#This Row],[TotalWorkingYears]]&lt;=5,1,IF(HR_Data[[#This Row],[TotalWorkingYears]]&lt;=10,2,IF(HR_Data[[#This Row],[TotalWorkingYears]]&lt;=20,3,4)))</f>
        <v>3</v>
      </c>
    </row>
    <row r="1437" spans="1:46" x14ac:dyDescent="0.25">
      <c r="A1437">
        <v>44</v>
      </c>
      <c r="B1437" t="s">
        <v>36</v>
      </c>
      <c r="C1437" t="s">
        <v>30</v>
      </c>
      <c r="D1437" t="s">
        <v>38</v>
      </c>
      <c r="E1437">
        <v>1</v>
      </c>
      <c r="F1437">
        <v>3</v>
      </c>
      <c r="G1437" t="s">
        <v>44</v>
      </c>
      <c r="H1437">
        <v>2020</v>
      </c>
      <c r="I1437">
        <v>2</v>
      </c>
      <c r="J1437" t="s">
        <v>39</v>
      </c>
      <c r="K1437">
        <v>3</v>
      </c>
      <c r="L1437">
        <v>1</v>
      </c>
      <c r="M1437" t="s">
        <v>40</v>
      </c>
      <c r="N1437">
        <v>4</v>
      </c>
      <c r="O1437" t="s">
        <v>35</v>
      </c>
      <c r="P1437">
        <v>2436</v>
      </c>
      <c r="Q1437">
        <v>6</v>
      </c>
      <c r="R1437" t="s">
        <v>29</v>
      </c>
      <c r="S1437">
        <v>12</v>
      </c>
      <c r="T1437">
        <v>3</v>
      </c>
      <c r="U1437">
        <v>3</v>
      </c>
      <c r="V1437">
        <v>0</v>
      </c>
      <c r="W1437">
        <v>6</v>
      </c>
      <c r="X1437">
        <v>2</v>
      </c>
      <c r="Y1437">
        <v>3</v>
      </c>
      <c r="Z1437">
        <v>4</v>
      </c>
      <c r="AA1437">
        <v>3</v>
      </c>
      <c r="AB1437">
        <v>1</v>
      </c>
      <c r="AC1437">
        <v>2</v>
      </c>
      <c r="AD1437">
        <f>IF(HR_Data[[#This Row],[Attrition]]="Yes",1,0)</f>
        <v>0</v>
      </c>
      <c r="AE1437" t="str">
        <f>IF(HR_Data[[#This Row],[Age]]&lt;=25,"18-25",IF(HR_Data[[#This Row],[Age]]&lt;=35,"26-35",IF(HR_Data[[#This Row],[Age]]&lt;=45,"36-45",IF(HR_Data[[#This Row],[Age]]&lt;=55,"46-55","55+"))))</f>
        <v>36-45</v>
      </c>
      <c r="AF1437">
        <f>IF(HR_Data[[#This Row],[Age]]&lt;=25,1,IF(HR_Data[[#This Row],[Age]]&lt;=35,2,IF(HR_Data[[#This Row],[Age]]&lt;=45,3,IF(HR_Data[[#This Row],[Age]]&lt;=55,4,5))))</f>
        <v>3</v>
      </c>
      <c r="AG1437" s="1" t="str">
        <f>IF(HR_Data[[#This Row],[MonthlyIncome]]&lt;3000,"&lt;3K",IF(HR_Data[[#This Row],[MonthlyIncome]]&lt;6000,"3K-6K",IF(HR_Data[[#This Row],[MonthlyIncome]]&lt;10000,"6K-10K","10K+")))</f>
        <v>&lt;3K</v>
      </c>
      <c r="AH1437" s="1">
        <f>IF(HR_Data[[#This Row],[MonthlyIncome]]&lt;3000,1,IF(HR_Data[[#This Row],[MonthlyIncome]]&lt;6000,2,IF(HR_Data[[#This Row],[MonthlyIncome]]&lt;10000,3,4)))</f>
        <v>1</v>
      </c>
      <c r="AI1437" s="1" t="str">
        <f>IF(HR_Data[[#This Row],[YearsAtCompany]]&lt;=2,"0-2 Yrs",IF(HR_Data[[#This Row],[YearsAtCompany]]&lt;=5,"3-5 Yrs",IF(HR_Data[[#This Row],[YearsAtCompany]]&lt;=10,"6-10 Yrs","10+ Yrs")))</f>
        <v>3-5 Yrs</v>
      </c>
      <c r="AJ1437" s="1">
        <f>IF(HR_Data[[#This Row],[YearsAtCompany]]&lt;=2,1,IF(HR_Data[[#This Row],[YearsAtCompany]]&lt;=5,2,IF(HR_Data[[#This Row],[YearsAtCompany]]&lt;=10,3,4)))</f>
        <v>2</v>
      </c>
      <c r="AK1437" s="1" t="str">
        <f>CHOOSE(HR_Data[[#This Row],[Education]],"Below College","College","Bachelor","Master","Doctor")</f>
        <v>Bachelor</v>
      </c>
      <c r="AL1437" s="1" t="str">
        <f>CHOOSE(HR_Data[[#This Row],[JobSatisfaction]],"Low","Medium","High","Very High")</f>
        <v>Very High</v>
      </c>
      <c r="AM1437" s="1" t="str">
        <f>CHOOSE(HR_Data[[#This Row],[EnvironmentSatisfaction]],"Low","Medium","High","Very High")</f>
        <v>Medium</v>
      </c>
      <c r="AN1437" s="1" t="str">
        <f>CHOOSE(HR_Data[[#This Row],[WorkLifeBalance]],"Bad","Good","Better","Best")</f>
        <v>Better</v>
      </c>
      <c r="AO1437" s="1" t="str">
        <f>IF(HR_Data[[#This Row],[PercentSalaryHike]]&lt;=13,"11-13%",IF(HR_Data[[#This Row],[PercentSalaryHike]]&lt;=16,"14-16%",IF(HR_Data[[#This Row],[PercentSalaryHike]]&lt;=19,"17-19%","20-25%")))</f>
        <v>11-13%</v>
      </c>
      <c r="AP1437" s="1">
        <f>IF(HR_Data[[#This Row],[PercentSalaryHike]]&lt;=13,1,IF(HR_Data[[#This Row],[PercentSalaryHike]]&lt;=16,2,IF(HR_Data[[#This Row],[PercentSalaryHike]]&lt;=19,3,4)))</f>
        <v>1</v>
      </c>
      <c r="AQ1437" s="1" t="str">
        <f>IF(HR_Data[[#This Row],[DistanceFromHome]]&lt;=5,"1 to 5",IF(HR_Data[[#This Row],[DistanceFromHome]]&lt;=10,"6 to 10",IF(HR_Data[[#This Row],[DistanceFromHome]]&lt;=20,"11 to 20","21 to 29")))</f>
        <v>1 to 5</v>
      </c>
      <c r="AR1437" s="1">
        <f>IF(HR_Data[[#This Row],[DistanceFromHome]]&lt;=5,1,IF(HR_Data[[#This Row],[DistanceFromHome]]&lt;=10,2,IF(HR_Data[[#This Row],[DistanceFromHome]]&lt;=20,3,4)))</f>
        <v>1</v>
      </c>
      <c r="AS1437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437" s="1">
        <f>IF(HR_Data[[#This Row],[TotalWorkingYears]]&lt;=5,1,IF(HR_Data[[#This Row],[TotalWorkingYears]]&lt;=10,2,IF(HR_Data[[#This Row],[TotalWorkingYears]]&lt;=20,3,4)))</f>
        <v>2</v>
      </c>
    </row>
    <row r="1438" spans="1:46" x14ac:dyDescent="0.25">
      <c r="A1438">
        <v>21</v>
      </c>
      <c r="B1438" t="s">
        <v>36</v>
      </c>
      <c r="C1438" t="s">
        <v>30</v>
      </c>
      <c r="D1438" t="s">
        <v>31</v>
      </c>
      <c r="E1438">
        <v>5</v>
      </c>
      <c r="F1438">
        <v>1</v>
      </c>
      <c r="G1438" t="s">
        <v>44</v>
      </c>
      <c r="H1438">
        <v>2021</v>
      </c>
      <c r="I1438">
        <v>3</v>
      </c>
      <c r="J1438" t="s">
        <v>39</v>
      </c>
      <c r="K1438">
        <v>3</v>
      </c>
      <c r="L1438">
        <v>1</v>
      </c>
      <c r="M1438" t="s">
        <v>50</v>
      </c>
      <c r="N1438">
        <v>1</v>
      </c>
      <c r="O1438" t="s">
        <v>35</v>
      </c>
      <c r="P1438">
        <v>2380</v>
      </c>
      <c r="Q1438">
        <v>1</v>
      </c>
      <c r="R1438" t="s">
        <v>29</v>
      </c>
      <c r="S1438">
        <v>11</v>
      </c>
      <c r="T1438">
        <v>3</v>
      </c>
      <c r="U1438">
        <v>4</v>
      </c>
      <c r="V1438">
        <v>0</v>
      </c>
      <c r="W1438">
        <v>2</v>
      </c>
      <c r="X1438">
        <v>6</v>
      </c>
      <c r="Y1438">
        <v>3</v>
      </c>
      <c r="Z1438">
        <v>2</v>
      </c>
      <c r="AA1438">
        <v>2</v>
      </c>
      <c r="AB1438">
        <v>1</v>
      </c>
      <c r="AC1438">
        <v>2</v>
      </c>
      <c r="AD1438">
        <f>IF(HR_Data[[#This Row],[Attrition]]="Yes",1,0)</f>
        <v>0</v>
      </c>
      <c r="AE1438" t="str">
        <f>IF(HR_Data[[#This Row],[Age]]&lt;=25,"18-25",IF(HR_Data[[#This Row],[Age]]&lt;=35,"26-35",IF(HR_Data[[#This Row],[Age]]&lt;=45,"36-45",IF(HR_Data[[#This Row],[Age]]&lt;=55,"46-55","55+"))))</f>
        <v>18-25</v>
      </c>
      <c r="AF1438">
        <f>IF(HR_Data[[#This Row],[Age]]&lt;=25,1,IF(HR_Data[[#This Row],[Age]]&lt;=35,2,IF(HR_Data[[#This Row],[Age]]&lt;=45,3,IF(HR_Data[[#This Row],[Age]]&lt;=55,4,5))))</f>
        <v>1</v>
      </c>
      <c r="AG1438" s="1" t="str">
        <f>IF(HR_Data[[#This Row],[MonthlyIncome]]&lt;3000,"&lt;3K",IF(HR_Data[[#This Row],[MonthlyIncome]]&lt;6000,"3K-6K",IF(HR_Data[[#This Row],[MonthlyIncome]]&lt;10000,"6K-10K","10K+")))</f>
        <v>&lt;3K</v>
      </c>
      <c r="AH1438" s="1">
        <f>IF(HR_Data[[#This Row],[MonthlyIncome]]&lt;3000,1,IF(HR_Data[[#This Row],[MonthlyIncome]]&lt;6000,2,IF(HR_Data[[#This Row],[MonthlyIncome]]&lt;10000,3,4)))</f>
        <v>1</v>
      </c>
      <c r="AI1438" s="1" t="str">
        <f>IF(HR_Data[[#This Row],[YearsAtCompany]]&lt;=2,"0-2 Yrs",IF(HR_Data[[#This Row],[YearsAtCompany]]&lt;=5,"3-5 Yrs",IF(HR_Data[[#This Row],[YearsAtCompany]]&lt;=10,"6-10 Yrs","10+ Yrs")))</f>
        <v>0-2 Yrs</v>
      </c>
      <c r="AJ1438" s="1">
        <f>IF(HR_Data[[#This Row],[YearsAtCompany]]&lt;=2,1,IF(HR_Data[[#This Row],[YearsAtCompany]]&lt;=5,2,IF(HR_Data[[#This Row],[YearsAtCompany]]&lt;=10,3,4)))</f>
        <v>1</v>
      </c>
      <c r="AK1438" s="1" t="str">
        <f>CHOOSE(HR_Data[[#This Row],[Education]],"Below College","College","Bachelor","Master","Doctor")</f>
        <v>Below College</v>
      </c>
      <c r="AL1438" s="1" t="str">
        <f>CHOOSE(HR_Data[[#This Row],[JobSatisfaction]],"Low","Medium","High","Very High")</f>
        <v>Low</v>
      </c>
      <c r="AM1438" s="1" t="str">
        <f>CHOOSE(HR_Data[[#This Row],[EnvironmentSatisfaction]],"Low","Medium","High","Very High")</f>
        <v>High</v>
      </c>
      <c r="AN1438" s="1" t="str">
        <f>CHOOSE(HR_Data[[#This Row],[WorkLifeBalance]],"Bad","Good","Better","Best")</f>
        <v>Better</v>
      </c>
      <c r="AO1438" s="1" t="str">
        <f>IF(HR_Data[[#This Row],[PercentSalaryHike]]&lt;=13,"11-13%",IF(HR_Data[[#This Row],[PercentSalaryHike]]&lt;=16,"14-16%",IF(HR_Data[[#This Row],[PercentSalaryHike]]&lt;=19,"17-19%","20-25%")))</f>
        <v>11-13%</v>
      </c>
      <c r="AP1438" s="1">
        <f>IF(HR_Data[[#This Row],[PercentSalaryHike]]&lt;=13,1,IF(HR_Data[[#This Row],[PercentSalaryHike]]&lt;=16,2,IF(HR_Data[[#This Row],[PercentSalaryHike]]&lt;=19,3,4)))</f>
        <v>1</v>
      </c>
      <c r="AQ1438" s="1" t="str">
        <f>IF(HR_Data[[#This Row],[DistanceFromHome]]&lt;=5,"1 to 5",IF(HR_Data[[#This Row],[DistanceFromHome]]&lt;=10,"6 to 10",IF(HR_Data[[#This Row],[DistanceFromHome]]&lt;=20,"11 to 20","21 to 29")))</f>
        <v>1 to 5</v>
      </c>
      <c r="AR1438" s="1">
        <f>IF(HR_Data[[#This Row],[DistanceFromHome]]&lt;=5,1,IF(HR_Data[[#This Row],[DistanceFromHome]]&lt;=10,2,IF(HR_Data[[#This Row],[DistanceFromHome]]&lt;=20,3,4)))</f>
        <v>1</v>
      </c>
      <c r="AS1438" s="1" t="str">
        <f>IF(HR_Data[[#This Row],[TotalWorkingYears]]&lt;=5,"0-5 Yrs",IF(HR_Data[[#This Row],[TotalWorkingYears]]&lt;=10,"6-10 Yrs",IF(HR_Data[[#This Row],[TotalWorkingYears]]&lt;=20,"11-20 Yrs","20+ Yrs")))</f>
        <v>0-5 Yrs</v>
      </c>
      <c r="AT1438" s="1">
        <f>IF(HR_Data[[#This Row],[TotalWorkingYears]]&lt;=5,1,IF(HR_Data[[#This Row],[TotalWorkingYears]]&lt;=10,2,IF(HR_Data[[#This Row],[TotalWorkingYears]]&lt;=20,3,4)))</f>
        <v>1</v>
      </c>
    </row>
    <row r="1439" spans="1:46" x14ac:dyDescent="0.25">
      <c r="A1439">
        <v>39</v>
      </c>
      <c r="B1439" t="s">
        <v>36</v>
      </c>
      <c r="C1439" t="s">
        <v>48</v>
      </c>
      <c r="D1439" t="s">
        <v>38</v>
      </c>
      <c r="E1439">
        <v>9</v>
      </c>
      <c r="F1439">
        <v>3</v>
      </c>
      <c r="G1439" t="s">
        <v>32</v>
      </c>
      <c r="H1439">
        <v>2022</v>
      </c>
      <c r="I1439">
        <v>4</v>
      </c>
      <c r="J1439" t="s">
        <v>39</v>
      </c>
      <c r="K1439">
        <v>3</v>
      </c>
      <c r="L1439">
        <v>5</v>
      </c>
      <c r="M1439" t="s">
        <v>49</v>
      </c>
      <c r="N1439">
        <v>4</v>
      </c>
      <c r="O1439" t="s">
        <v>35</v>
      </c>
      <c r="P1439">
        <v>19431</v>
      </c>
      <c r="Q1439">
        <v>2</v>
      </c>
      <c r="R1439" t="s">
        <v>36</v>
      </c>
      <c r="S1439">
        <v>13</v>
      </c>
      <c r="T1439">
        <v>3</v>
      </c>
      <c r="U1439">
        <v>3</v>
      </c>
      <c r="V1439">
        <v>0</v>
      </c>
      <c r="W1439">
        <v>21</v>
      </c>
      <c r="X1439">
        <v>3</v>
      </c>
      <c r="Y1439">
        <v>2</v>
      </c>
      <c r="Z1439">
        <v>6</v>
      </c>
      <c r="AA1439">
        <v>0</v>
      </c>
      <c r="AB1439">
        <v>1</v>
      </c>
      <c r="AC1439">
        <v>3</v>
      </c>
      <c r="AD1439">
        <f>IF(HR_Data[[#This Row],[Attrition]]="Yes",1,0)</f>
        <v>0</v>
      </c>
      <c r="AE1439" t="str">
        <f>IF(HR_Data[[#This Row],[Age]]&lt;=25,"18-25",IF(HR_Data[[#This Row],[Age]]&lt;=35,"26-35",IF(HR_Data[[#This Row],[Age]]&lt;=45,"36-45",IF(HR_Data[[#This Row],[Age]]&lt;=55,"46-55","55+"))))</f>
        <v>36-45</v>
      </c>
      <c r="AF1439">
        <f>IF(HR_Data[[#This Row],[Age]]&lt;=25,1,IF(HR_Data[[#This Row],[Age]]&lt;=35,2,IF(HR_Data[[#This Row],[Age]]&lt;=45,3,IF(HR_Data[[#This Row],[Age]]&lt;=55,4,5))))</f>
        <v>3</v>
      </c>
      <c r="AG1439" s="1" t="str">
        <f>IF(HR_Data[[#This Row],[MonthlyIncome]]&lt;3000,"&lt;3K",IF(HR_Data[[#This Row],[MonthlyIncome]]&lt;6000,"3K-6K",IF(HR_Data[[#This Row],[MonthlyIncome]]&lt;10000,"6K-10K","10K+")))</f>
        <v>10K+</v>
      </c>
      <c r="AH1439" s="1">
        <f>IF(HR_Data[[#This Row],[MonthlyIncome]]&lt;3000,1,IF(HR_Data[[#This Row],[MonthlyIncome]]&lt;6000,2,IF(HR_Data[[#This Row],[MonthlyIncome]]&lt;10000,3,4)))</f>
        <v>4</v>
      </c>
      <c r="AI1439" s="1" t="str">
        <f>IF(HR_Data[[#This Row],[YearsAtCompany]]&lt;=2,"0-2 Yrs",IF(HR_Data[[#This Row],[YearsAtCompany]]&lt;=5,"3-5 Yrs",IF(HR_Data[[#This Row],[YearsAtCompany]]&lt;=10,"6-10 Yrs","10+ Yrs")))</f>
        <v>6-10 Yrs</v>
      </c>
      <c r="AJ1439" s="1">
        <f>IF(HR_Data[[#This Row],[YearsAtCompany]]&lt;=2,1,IF(HR_Data[[#This Row],[YearsAtCompany]]&lt;=5,2,IF(HR_Data[[#This Row],[YearsAtCompany]]&lt;=10,3,4)))</f>
        <v>3</v>
      </c>
      <c r="AK1439" s="1" t="str">
        <f>CHOOSE(HR_Data[[#This Row],[Education]],"Below College","College","Bachelor","Master","Doctor")</f>
        <v>Bachelor</v>
      </c>
      <c r="AL1439" s="1" t="str">
        <f>CHOOSE(HR_Data[[#This Row],[JobSatisfaction]],"Low","Medium","High","Very High")</f>
        <v>Very High</v>
      </c>
      <c r="AM1439" s="1" t="str">
        <f>CHOOSE(HR_Data[[#This Row],[EnvironmentSatisfaction]],"Low","Medium","High","Very High")</f>
        <v>Very High</v>
      </c>
      <c r="AN1439" s="1" t="str">
        <f>CHOOSE(HR_Data[[#This Row],[WorkLifeBalance]],"Bad","Good","Better","Best")</f>
        <v>Good</v>
      </c>
      <c r="AO1439" s="1" t="str">
        <f>IF(HR_Data[[#This Row],[PercentSalaryHike]]&lt;=13,"11-13%",IF(HR_Data[[#This Row],[PercentSalaryHike]]&lt;=16,"14-16%",IF(HR_Data[[#This Row],[PercentSalaryHike]]&lt;=19,"17-19%","20-25%")))</f>
        <v>11-13%</v>
      </c>
      <c r="AP1439" s="1">
        <f>IF(HR_Data[[#This Row],[PercentSalaryHike]]&lt;=13,1,IF(HR_Data[[#This Row],[PercentSalaryHike]]&lt;=16,2,IF(HR_Data[[#This Row],[PercentSalaryHike]]&lt;=19,3,4)))</f>
        <v>1</v>
      </c>
      <c r="AQ1439" s="1" t="str">
        <f>IF(HR_Data[[#This Row],[DistanceFromHome]]&lt;=5,"1 to 5",IF(HR_Data[[#This Row],[DistanceFromHome]]&lt;=10,"6 to 10",IF(HR_Data[[#This Row],[DistanceFromHome]]&lt;=20,"11 to 20","21 to 29")))</f>
        <v>6 to 10</v>
      </c>
      <c r="AR1439" s="1">
        <f>IF(HR_Data[[#This Row],[DistanceFromHome]]&lt;=5,1,IF(HR_Data[[#This Row],[DistanceFromHome]]&lt;=10,2,IF(HR_Data[[#This Row],[DistanceFromHome]]&lt;=20,3,4)))</f>
        <v>2</v>
      </c>
      <c r="AS1439" s="1" t="str">
        <f>IF(HR_Data[[#This Row],[TotalWorkingYears]]&lt;=5,"0-5 Yrs",IF(HR_Data[[#This Row],[TotalWorkingYears]]&lt;=10,"6-10 Yrs",IF(HR_Data[[#This Row],[TotalWorkingYears]]&lt;=20,"11-20 Yrs","20+ Yrs")))</f>
        <v>20+ Yrs</v>
      </c>
      <c r="AT1439" s="1">
        <f>IF(HR_Data[[#This Row],[TotalWorkingYears]]&lt;=5,1,IF(HR_Data[[#This Row],[TotalWorkingYears]]&lt;=10,2,IF(HR_Data[[#This Row],[TotalWorkingYears]]&lt;=20,3,4)))</f>
        <v>4</v>
      </c>
    </row>
    <row r="1440" spans="1:46" x14ac:dyDescent="0.25">
      <c r="A1440">
        <v>23</v>
      </c>
      <c r="B1440" t="s">
        <v>29</v>
      </c>
      <c r="C1440" t="s">
        <v>37</v>
      </c>
      <c r="D1440" t="s">
        <v>31</v>
      </c>
      <c r="E1440">
        <v>9</v>
      </c>
      <c r="F1440">
        <v>3</v>
      </c>
      <c r="G1440" t="s">
        <v>52</v>
      </c>
      <c r="H1440">
        <v>2023</v>
      </c>
      <c r="I1440">
        <v>4</v>
      </c>
      <c r="J1440" t="s">
        <v>39</v>
      </c>
      <c r="K1440">
        <v>3</v>
      </c>
      <c r="L1440">
        <v>1</v>
      </c>
      <c r="M1440" t="s">
        <v>50</v>
      </c>
      <c r="N1440">
        <v>1</v>
      </c>
      <c r="O1440" t="s">
        <v>41</v>
      </c>
      <c r="P1440">
        <v>1790</v>
      </c>
      <c r="Q1440">
        <v>1</v>
      </c>
      <c r="R1440" t="s">
        <v>36</v>
      </c>
      <c r="S1440">
        <v>19</v>
      </c>
      <c r="T1440">
        <v>3</v>
      </c>
      <c r="U1440">
        <v>1</v>
      </c>
      <c r="V1440">
        <v>1</v>
      </c>
      <c r="W1440">
        <v>1</v>
      </c>
      <c r="X1440">
        <v>3</v>
      </c>
      <c r="Y1440">
        <v>2</v>
      </c>
      <c r="Z1440">
        <v>1</v>
      </c>
      <c r="AA1440">
        <v>0</v>
      </c>
      <c r="AB1440">
        <v>1</v>
      </c>
      <c r="AC1440">
        <v>0</v>
      </c>
      <c r="AD1440">
        <f>IF(HR_Data[[#This Row],[Attrition]]="Yes",1,0)</f>
        <v>1</v>
      </c>
      <c r="AE1440" t="str">
        <f>IF(HR_Data[[#This Row],[Age]]&lt;=25,"18-25",IF(HR_Data[[#This Row],[Age]]&lt;=35,"26-35",IF(HR_Data[[#This Row],[Age]]&lt;=45,"36-45",IF(HR_Data[[#This Row],[Age]]&lt;=55,"46-55","55+"))))</f>
        <v>18-25</v>
      </c>
      <c r="AF1440">
        <f>IF(HR_Data[[#This Row],[Age]]&lt;=25,1,IF(HR_Data[[#This Row],[Age]]&lt;=35,2,IF(HR_Data[[#This Row],[Age]]&lt;=45,3,IF(HR_Data[[#This Row],[Age]]&lt;=55,4,5))))</f>
        <v>1</v>
      </c>
      <c r="AG1440" s="1" t="str">
        <f>IF(HR_Data[[#This Row],[MonthlyIncome]]&lt;3000,"&lt;3K",IF(HR_Data[[#This Row],[MonthlyIncome]]&lt;6000,"3K-6K",IF(HR_Data[[#This Row],[MonthlyIncome]]&lt;10000,"6K-10K","10K+")))</f>
        <v>&lt;3K</v>
      </c>
      <c r="AH1440" s="1">
        <f>IF(HR_Data[[#This Row],[MonthlyIncome]]&lt;3000,1,IF(HR_Data[[#This Row],[MonthlyIncome]]&lt;6000,2,IF(HR_Data[[#This Row],[MonthlyIncome]]&lt;10000,3,4)))</f>
        <v>1</v>
      </c>
      <c r="AI1440" s="1" t="str">
        <f>IF(HR_Data[[#This Row],[YearsAtCompany]]&lt;=2,"0-2 Yrs",IF(HR_Data[[#This Row],[YearsAtCompany]]&lt;=5,"3-5 Yrs",IF(HR_Data[[#This Row],[YearsAtCompany]]&lt;=10,"6-10 Yrs","10+ Yrs")))</f>
        <v>0-2 Yrs</v>
      </c>
      <c r="AJ1440" s="1">
        <f>IF(HR_Data[[#This Row],[YearsAtCompany]]&lt;=2,1,IF(HR_Data[[#This Row],[YearsAtCompany]]&lt;=5,2,IF(HR_Data[[#This Row],[YearsAtCompany]]&lt;=10,3,4)))</f>
        <v>1</v>
      </c>
      <c r="AK1440" s="1" t="str">
        <f>CHOOSE(HR_Data[[#This Row],[Education]],"Below College","College","Bachelor","Master","Doctor")</f>
        <v>Bachelor</v>
      </c>
      <c r="AL1440" s="1" t="str">
        <f>CHOOSE(HR_Data[[#This Row],[JobSatisfaction]],"Low","Medium","High","Very High")</f>
        <v>Low</v>
      </c>
      <c r="AM1440" s="1" t="str">
        <f>CHOOSE(HR_Data[[#This Row],[EnvironmentSatisfaction]],"Low","Medium","High","Very High")</f>
        <v>Very High</v>
      </c>
      <c r="AN1440" s="1" t="str">
        <f>CHOOSE(HR_Data[[#This Row],[WorkLifeBalance]],"Bad","Good","Better","Best")</f>
        <v>Good</v>
      </c>
      <c r="AO1440" s="1" t="str">
        <f>IF(HR_Data[[#This Row],[PercentSalaryHike]]&lt;=13,"11-13%",IF(HR_Data[[#This Row],[PercentSalaryHike]]&lt;=16,"14-16%",IF(HR_Data[[#This Row],[PercentSalaryHike]]&lt;=19,"17-19%","20-25%")))</f>
        <v>17-19%</v>
      </c>
      <c r="AP1440" s="1">
        <f>IF(HR_Data[[#This Row],[PercentSalaryHike]]&lt;=13,1,IF(HR_Data[[#This Row],[PercentSalaryHike]]&lt;=16,2,IF(HR_Data[[#This Row],[PercentSalaryHike]]&lt;=19,3,4)))</f>
        <v>3</v>
      </c>
      <c r="AQ1440" s="1" t="str">
        <f>IF(HR_Data[[#This Row],[DistanceFromHome]]&lt;=5,"1 to 5",IF(HR_Data[[#This Row],[DistanceFromHome]]&lt;=10,"6 to 10",IF(HR_Data[[#This Row],[DistanceFromHome]]&lt;=20,"11 to 20","21 to 29")))</f>
        <v>6 to 10</v>
      </c>
      <c r="AR1440" s="1">
        <f>IF(HR_Data[[#This Row],[DistanceFromHome]]&lt;=5,1,IF(HR_Data[[#This Row],[DistanceFromHome]]&lt;=10,2,IF(HR_Data[[#This Row],[DistanceFromHome]]&lt;=20,3,4)))</f>
        <v>2</v>
      </c>
      <c r="AS1440" s="1" t="str">
        <f>IF(HR_Data[[#This Row],[TotalWorkingYears]]&lt;=5,"0-5 Yrs",IF(HR_Data[[#This Row],[TotalWorkingYears]]&lt;=10,"6-10 Yrs",IF(HR_Data[[#This Row],[TotalWorkingYears]]&lt;=20,"11-20 Yrs","20+ Yrs")))</f>
        <v>0-5 Yrs</v>
      </c>
      <c r="AT1440" s="1">
        <f>IF(HR_Data[[#This Row],[TotalWorkingYears]]&lt;=5,1,IF(HR_Data[[#This Row],[TotalWorkingYears]]&lt;=10,2,IF(HR_Data[[#This Row],[TotalWorkingYears]]&lt;=20,3,4)))</f>
        <v>1</v>
      </c>
    </row>
    <row r="1441" spans="1:46" x14ac:dyDescent="0.25">
      <c r="A1441">
        <v>36</v>
      </c>
      <c r="B1441" t="s">
        <v>36</v>
      </c>
      <c r="C1441" t="s">
        <v>30</v>
      </c>
      <c r="D1441" t="s">
        <v>31</v>
      </c>
      <c r="E1441">
        <v>3</v>
      </c>
      <c r="F1441">
        <v>3</v>
      </c>
      <c r="G1441" t="s">
        <v>44</v>
      </c>
      <c r="H1441">
        <v>2024</v>
      </c>
      <c r="I1441">
        <v>1</v>
      </c>
      <c r="J1441" t="s">
        <v>33</v>
      </c>
      <c r="K1441">
        <v>2</v>
      </c>
      <c r="L1441">
        <v>3</v>
      </c>
      <c r="M1441" t="s">
        <v>34</v>
      </c>
      <c r="N1441">
        <v>4</v>
      </c>
      <c r="O1441" t="s">
        <v>41</v>
      </c>
      <c r="P1441">
        <v>7644</v>
      </c>
      <c r="Q1441">
        <v>0</v>
      </c>
      <c r="R1441" t="s">
        <v>36</v>
      </c>
      <c r="S1441">
        <v>19</v>
      </c>
      <c r="T1441">
        <v>3</v>
      </c>
      <c r="U1441">
        <v>3</v>
      </c>
      <c r="V1441">
        <v>2</v>
      </c>
      <c r="W1441">
        <v>10</v>
      </c>
      <c r="X1441">
        <v>2</v>
      </c>
      <c r="Y1441">
        <v>3</v>
      </c>
      <c r="Z1441">
        <v>9</v>
      </c>
      <c r="AA1441">
        <v>7</v>
      </c>
      <c r="AB1441">
        <v>3</v>
      </c>
      <c r="AC1441">
        <v>4</v>
      </c>
      <c r="AD1441">
        <f>IF(HR_Data[[#This Row],[Attrition]]="Yes",1,0)</f>
        <v>0</v>
      </c>
      <c r="AE1441" t="str">
        <f>IF(HR_Data[[#This Row],[Age]]&lt;=25,"18-25",IF(HR_Data[[#This Row],[Age]]&lt;=35,"26-35",IF(HR_Data[[#This Row],[Age]]&lt;=45,"36-45",IF(HR_Data[[#This Row],[Age]]&lt;=55,"46-55","55+"))))</f>
        <v>36-45</v>
      </c>
      <c r="AF1441">
        <f>IF(HR_Data[[#This Row],[Age]]&lt;=25,1,IF(HR_Data[[#This Row],[Age]]&lt;=35,2,IF(HR_Data[[#This Row],[Age]]&lt;=45,3,IF(HR_Data[[#This Row],[Age]]&lt;=55,4,5))))</f>
        <v>3</v>
      </c>
      <c r="AG1441" s="1" t="str">
        <f>IF(HR_Data[[#This Row],[MonthlyIncome]]&lt;3000,"&lt;3K",IF(HR_Data[[#This Row],[MonthlyIncome]]&lt;6000,"3K-6K",IF(HR_Data[[#This Row],[MonthlyIncome]]&lt;10000,"6K-10K","10K+")))</f>
        <v>6K-10K</v>
      </c>
      <c r="AH1441" s="1">
        <f>IF(HR_Data[[#This Row],[MonthlyIncome]]&lt;3000,1,IF(HR_Data[[#This Row],[MonthlyIncome]]&lt;6000,2,IF(HR_Data[[#This Row],[MonthlyIncome]]&lt;10000,3,4)))</f>
        <v>3</v>
      </c>
      <c r="AI1441" s="1" t="str">
        <f>IF(HR_Data[[#This Row],[YearsAtCompany]]&lt;=2,"0-2 Yrs",IF(HR_Data[[#This Row],[YearsAtCompany]]&lt;=5,"3-5 Yrs",IF(HR_Data[[#This Row],[YearsAtCompany]]&lt;=10,"6-10 Yrs","10+ Yrs")))</f>
        <v>6-10 Yrs</v>
      </c>
      <c r="AJ1441" s="1">
        <f>IF(HR_Data[[#This Row],[YearsAtCompany]]&lt;=2,1,IF(HR_Data[[#This Row],[YearsAtCompany]]&lt;=5,2,IF(HR_Data[[#This Row],[YearsAtCompany]]&lt;=10,3,4)))</f>
        <v>3</v>
      </c>
      <c r="AK1441" s="1" t="str">
        <f>CHOOSE(HR_Data[[#This Row],[Education]],"Below College","College","Bachelor","Master","Doctor")</f>
        <v>Bachelor</v>
      </c>
      <c r="AL1441" s="1" t="str">
        <f>CHOOSE(HR_Data[[#This Row],[JobSatisfaction]],"Low","Medium","High","Very High")</f>
        <v>Very High</v>
      </c>
      <c r="AM1441" s="1" t="str">
        <f>CHOOSE(HR_Data[[#This Row],[EnvironmentSatisfaction]],"Low","Medium","High","Very High")</f>
        <v>Low</v>
      </c>
      <c r="AN1441" s="1" t="str">
        <f>CHOOSE(HR_Data[[#This Row],[WorkLifeBalance]],"Bad","Good","Better","Best")</f>
        <v>Better</v>
      </c>
      <c r="AO1441" s="1" t="str">
        <f>IF(HR_Data[[#This Row],[PercentSalaryHike]]&lt;=13,"11-13%",IF(HR_Data[[#This Row],[PercentSalaryHike]]&lt;=16,"14-16%",IF(HR_Data[[#This Row],[PercentSalaryHike]]&lt;=19,"17-19%","20-25%")))</f>
        <v>17-19%</v>
      </c>
      <c r="AP1441" s="1">
        <f>IF(HR_Data[[#This Row],[PercentSalaryHike]]&lt;=13,1,IF(HR_Data[[#This Row],[PercentSalaryHike]]&lt;=16,2,IF(HR_Data[[#This Row],[PercentSalaryHike]]&lt;=19,3,4)))</f>
        <v>3</v>
      </c>
      <c r="AQ1441" s="1" t="str">
        <f>IF(HR_Data[[#This Row],[DistanceFromHome]]&lt;=5,"1 to 5",IF(HR_Data[[#This Row],[DistanceFromHome]]&lt;=10,"6 to 10",IF(HR_Data[[#This Row],[DistanceFromHome]]&lt;=20,"11 to 20","21 to 29")))</f>
        <v>1 to 5</v>
      </c>
      <c r="AR1441" s="1">
        <f>IF(HR_Data[[#This Row],[DistanceFromHome]]&lt;=5,1,IF(HR_Data[[#This Row],[DistanceFromHome]]&lt;=10,2,IF(HR_Data[[#This Row],[DistanceFromHome]]&lt;=20,3,4)))</f>
        <v>1</v>
      </c>
      <c r="AS1441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441" s="1">
        <f>IF(HR_Data[[#This Row],[TotalWorkingYears]]&lt;=5,1,IF(HR_Data[[#This Row],[TotalWorkingYears]]&lt;=10,2,IF(HR_Data[[#This Row],[TotalWorkingYears]]&lt;=20,3,4)))</f>
        <v>2</v>
      </c>
    </row>
    <row r="1442" spans="1:46" x14ac:dyDescent="0.25">
      <c r="A1442">
        <v>36</v>
      </c>
      <c r="B1442" t="s">
        <v>36</v>
      </c>
      <c r="C1442" t="s">
        <v>37</v>
      </c>
      <c r="D1442" t="s">
        <v>38</v>
      </c>
      <c r="E1442">
        <v>4</v>
      </c>
      <c r="F1442">
        <v>2</v>
      </c>
      <c r="G1442" t="s">
        <v>32</v>
      </c>
      <c r="H1442">
        <v>2025</v>
      </c>
      <c r="I1442">
        <v>4</v>
      </c>
      <c r="J1442" t="s">
        <v>33</v>
      </c>
      <c r="K1442">
        <v>3</v>
      </c>
      <c r="L1442">
        <v>2</v>
      </c>
      <c r="M1442" t="s">
        <v>46</v>
      </c>
      <c r="N1442">
        <v>2</v>
      </c>
      <c r="O1442" t="s">
        <v>45</v>
      </c>
      <c r="P1442">
        <v>5131</v>
      </c>
      <c r="Q1442">
        <v>7</v>
      </c>
      <c r="R1442" t="s">
        <v>36</v>
      </c>
      <c r="S1442">
        <v>13</v>
      </c>
      <c r="T1442">
        <v>3</v>
      </c>
      <c r="U1442">
        <v>2</v>
      </c>
      <c r="V1442">
        <v>3</v>
      </c>
      <c r="W1442">
        <v>18</v>
      </c>
      <c r="X1442">
        <v>3</v>
      </c>
      <c r="Y1442">
        <v>3</v>
      </c>
      <c r="Z1442">
        <v>4</v>
      </c>
      <c r="AA1442">
        <v>2</v>
      </c>
      <c r="AB1442">
        <v>0</v>
      </c>
      <c r="AC1442">
        <v>2</v>
      </c>
      <c r="AD1442">
        <f>IF(HR_Data[[#This Row],[Attrition]]="Yes",1,0)</f>
        <v>0</v>
      </c>
      <c r="AE1442" t="str">
        <f>IF(HR_Data[[#This Row],[Age]]&lt;=25,"18-25",IF(HR_Data[[#This Row],[Age]]&lt;=35,"26-35",IF(HR_Data[[#This Row],[Age]]&lt;=45,"36-45",IF(HR_Data[[#This Row],[Age]]&lt;=55,"46-55","55+"))))</f>
        <v>36-45</v>
      </c>
      <c r="AF1442">
        <f>IF(HR_Data[[#This Row],[Age]]&lt;=25,1,IF(HR_Data[[#This Row],[Age]]&lt;=35,2,IF(HR_Data[[#This Row],[Age]]&lt;=45,3,IF(HR_Data[[#This Row],[Age]]&lt;=55,4,5))))</f>
        <v>3</v>
      </c>
      <c r="AG1442" s="1" t="str">
        <f>IF(HR_Data[[#This Row],[MonthlyIncome]]&lt;3000,"&lt;3K",IF(HR_Data[[#This Row],[MonthlyIncome]]&lt;6000,"3K-6K",IF(HR_Data[[#This Row],[MonthlyIncome]]&lt;10000,"6K-10K","10K+")))</f>
        <v>3K-6K</v>
      </c>
      <c r="AH1442" s="1">
        <f>IF(HR_Data[[#This Row],[MonthlyIncome]]&lt;3000,1,IF(HR_Data[[#This Row],[MonthlyIncome]]&lt;6000,2,IF(HR_Data[[#This Row],[MonthlyIncome]]&lt;10000,3,4)))</f>
        <v>2</v>
      </c>
      <c r="AI1442" s="1" t="str">
        <f>IF(HR_Data[[#This Row],[YearsAtCompany]]&lt;=2,"0-2 Yrs",IF(HR_Data[[#This Row],[YearsAtCompany]]&lt;=5,"3-5 Yrs",IF(HR_Data[[#This Row],[YearsAtCompany]]&lt;=10,"6-10 Yrs","10+ Yrs")))</f>
        <v>3-5 Yrs</v>
      </c>
      <c r="AJ1442" s="1">
        <f>IF(HR_Data[[#This Row],[YearsAtCompany]]&lt;=2,1,IF(HR_Data[[#This Row],[YearsAtCompany]]&lt;=5,2,IF(HR_Data[[#This Row],[YearsAtCompany]]&lt;=10,3,4)))</f>
        <v>2</v>
      </c>
      <c r="AK1442" s="1" t="str">
        <f>CHOOSE(HR_Data[[#This Row],[Education]],"Below College","College","Bachelor","Master","Doctor")</f>
        <v>College</v>
      </c>
      <c r="AL1442" s="1" t="str">
        <f>CHOOSE(HR_Data[[#This Row],[JobSatisfaction]],"Low","Medium","High","Very High")</f>
        <v>Medium</v>
      </c>
      <c r="AM1442" s="1" t="str">
        <f>CHOOSE(HR_Data[[#This Row],[EnvironmentSatisfaction]],"Low","Medium","High","Very High")</f>
        <v>Very High</v>
      </c>
      <c r="AN1442" s="1" t="str">
        <f>CHOOSE(HR_Data[[#This Row],[WorkLifeBalance]],"Bad","Good","Better","Best")</f>
        <v>Better</v>
      </c>
      <c r="AO1442" s="1" t="str">
        <f>IF(HR_Data[[#This Row],[PercentSalaryHike]]&lt;=13,"11-13%",IF(HR_Data[[#This Row],[PercentSalaryHike]]&lt;=16,"14-16%",IF(HR_Data[[#This Row],[PercentSalaryHike]]&lt;=19,"17-19%","20-25%")))</f>
        <v>11-13%</v>
      </c>
      <c r="AP1442" s="1">
        <f>IF(HR_Data[[#This Row],[PercentSalaryHike]]&lt;=13,1,IF(HR_Data[[#This Row],[PercentSalaryHike]]&lt;=16,2,IF(HR_Data[[#This Row],[PercentSalaryHike]]&lt;=19,3,4)))</f>
        <v>1</v>
      </c>
      <c r="AQ1442" s="1" t="str">
        <f>IF(HR_Data[[#This Row],[DistanceFromHome]]&lt;=5,"1 to 5",IF(HR_Data[[#This Row],[DistanceFromHome]]&lt;=10,"6 to 10",IF(HR_Data[[#This Row],[DistanceFromHome]]&lt;=20,"11 to 20","21 to 29")))</f>
        <v>1 to 5</v>
      </c>
      <c r="AR1442" s="1">
        <f>IF(HR_Data[[#This Row],[DistanceFromHome]]&lt;=5,1,IF(HR_Data[[#This Row],[DistanceFromHome]]&lt;=10,2,IF(HR_Data[[#This Row],[DistanceFromHome]]&lt;=20,3,4)))</f>
        <v>1</v>
      </c>
      <c r="AS1442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442" s="1">
        <f>IF(HR_Data[[#This Row],[TotalWorkingYears]]&lt;=5,1,IF(HR_Data[[#This Row],[TotalWorkingYears]]&lt;=10,2,IF(HR_Data[[#This Row],[TotalWorkingYears]]&lt;=20,3,4)))</f>
        <v>3</v>
      </c>
    </row>
    <row r="1443" spans="1:46" x14ac:dyDescent="0.25">
      <c r="A1443">
        <v>56</v>
      </c>
      <c r="B1443" t="s">
        <v>36</v>
      </c>
      <c r="C1443" t="s">
        <v>48</v>
      </c>
      <c r="D1443" t="s">
        <v>38</v>
      </c>
      <c r="E1443">
        <v>1</v>
      </c>
      <c r="F1443">
        <v>4</v>
      </c>
      <c r="G1443" t="s">
        <v>32</v>
      </c>
      <c r="H1443">
        <v>2026</v>
      </c>
      <c r="I1443">
        <v>3</v>
      </c>
      <c r="J1443" t="s">
        <v>39</v>
      </c>
      <c r="K1443">
        <v>3</v>
      </c>
      <c r="L1443">
        <v>2</v>
      </c>
      <c r="M1443" t="s">
        <v>47</v>
      </c>
      <c r="N1443">
        <v>3</v>
      </c>
      <c r="O1443" t="s">
        <v>45</v>
      </c>
      <c r="P1443">
        <v>6306</v>
      </c>
      <c r="Q1443">
        <v>1</v>
      </c>
      <c r="R1443" t="s">
        <v>36</v>
      </c>
      <c r="S1443">
        <v>21</v>
      </c>
      <c r="T1443">
        <v>4</v>
      </c>
      <c r="U1443">
        <v>1</v>
      </c>
      <c r="V1443">
        <v>1</v>
      </c>
      <c r="W1443">
        <v>13</v>
      </c>
      <c r="X1443">
        <v>2</v>
      </c>
      <c r="Y1443">
        <v>2</v>
      </c>
      <c r="Z1443">
        <v>13</v>
      </c>
      <c r="AA1443">
        <v>12</v>
      </c>
      <c r="AB1443">
        <v>1</v>
      </c>
      <c r="AC1443">
        <v>9</v>
      </c>
      <c r="AD1443">
        <f>IF(HR_Data[[#This Row],[Attrition]]="Yes",1,0)</f>
        <v>0</v>
      </c>
      <c r="AE1443" t="str">
        <f>IF(HR_Data[[#This Row],[Age]]&lt;=25,"18-25",IF(HR_Data[[#This Row],[Age]]&lt;=35,"26-35",IF(HR_Data[[#This Row],[Age]]&lt;=45,"36-45",IF(HR_Data[[#This Row],[Age]]&lt;=55,"46-55","55+"))))</f>
        <v>55+</v>
      </c>
      <c r="AF1443">
        <f>IF(HR_Data[[#This Row],[Age]]&lt;=25,1,IF(HR_Data[[#This Row],[Age]]&lt;=35,2,IF(HR_Data[[#This Row],[Age]]&lt;=45,3,IF(HR_Data[[#This Row],[Age]]&lt;=55,4,5))))</f>
        <v>5</v>
      </c>
      <c r="AG1443" s="1" t="str">
        <f>IF(HR_Data[[#This Row],[MonthlyIncome]]&lt;3000,"&lt;3K",IF(HR_Data[[#This Row],[MonthlyIncome]]&lt;6000,"3K-6K",IF(HR_Data[[#This Row],[MonthlyIncome]]&lt;10000,"6K-10K","10K+")))</f>
        <v>6K-10K</v>
      </c>
      <c r="AH1443" s="1">
        <f>IF(HR_Data[[#This Row],[MonthlyIncome]]&lt;3000,1,IF(HR_Data[[#This Row],[MonthlyIncome]]&lt;6000,2,IF(HR_Data[[#This Row],[MonthlyIncome]]&lt;10000,3,4)))</f>
        <v>3</v>
      </c>
      <c r="AI1443" s="1" t="str">
        <f>IF(HR_Data[[#This Row],[YearsAtCompany]]&lt;=2,"0-2 Yrs",IF(HR_Data[[#This Row],[YearsAtCompany]]&lt;=5,"3-5 Yrs",IF(HR_Data[[#This Row],[YearsAtCompany]]&lt;=10,"6-10 Yrs","10+ Yrs")))</f>
        <v>10+ Yrs</v>
      </c>
      <c r="AJ1443" s="1">
        <f>IF(HR_Data[[#This Row],[YearsAtCompany]]&lt;=2,1,IF(HR_Data[[#This Row],[YearsAtCompany]]&lt;=5,2,IF(HR_Data[[#This Row],[YearsAtCompany]]&lt;=10,3,4)))</f>
        <v>4</v>
      </c>
      <c r="AK1443" s="1" t="str">
        <f>CHOOSE(HR_Data[[#This Row],[Education]],"Below College","College","Bachelor","Master","Doctor")</f>
        <v>Master</v>
      </c>
      <c r="AL1443" s="1" t="str">
        <f>CHOOSE(HR_Data[[#This Row],[JobSatisfaction]],"Low","Medium","High","Very High")</f>
        <v>High</v>
      </c>
      <c r="AM1443" s="1" t="str">
        <f>CHOOSE(HR_Data[[#This Row],[EnvironmentSatisfaction]],"Low","Medium","High","Very High")</f>
        <v>High</v>
      </c>
      <c r="AN1443" s="1" t="str">
        <f>CHOOSE(HR_Data[[#This Row],[WorkLifeBalance]],"Bad","Good","Better","Best")</f>
        <v>Good</v>
      </c>
      <c r="AO1443" s="1" t="str">
        <f>IF(HR_Data[[#This Row],[PercentSalaryHike]]&lt;=13,"11-13%",IF(HR_Data[[#This Row],[PercentSalaryHike]]&lt;=16,"14-16%",IF(HR_Data[[#This Row],[PercentSalaryHike]]&lt;=19,"17-19%","20-25%")))</f>
        <v>20-25%</v>
      </c>
      <c r="AP1443" s="1">
        <f>IF(HR_Data[[#This Row],[PercentSalaryHike]]&lt;=13,1,IF(HR_Data[[#This Row],[PercentSalaryHike]]&lt;=16,2,IF(HR_Data[[#This Row],[PercentSalaryHike]]&lt;=19,3,4)))</f>
        <v>4</v>
      </c>
      <c r="AQ1443" s="1" t="str">
        <f>IF(HR_Data[[#This Row],[DistanceFromHome]]&lt;=5,"1 to 5",IF(HR_Data[[#This Row],[DistanceFromHome]]&lt;=10,"6 to 10",IF(HR_Data[[#This Row],[DistanceFromHome]]&lt;=20,"11 to 20","21 to 29")))</f>
        <v>1 to 5</v>
      </c>
      <c r="AR1443" s="1">
        <f>IF(HR_Data[[#This Row],[DistanceFromHome]]&lt;=5,1,IF(HR_Data[[#This Row],[DistanceFromHome]]&lt;=10,2,IF(HR_Data[[#This Row],[DistanceFromHome]]&lt;=20,3,4)))</f>
        <v>1</v>
      </c>
      <c r="AS1443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443" s="1">
        <f>IF(HR_Data[[#This Row],[TotalWorkingYears]]&lt;=5,1,IF(HR_Data[[#This Row],[TotalWorkingYears]]&lt;=10,2,IF(HR_Data[[#This Row],[TotalWorkingYears]]&lt;=20,3,4)))</f>
        <v>3</v>
      </c>
    </row>
    <row r="1444" spans="1:46" x14ac:dyDescent="0.25">
      <c r="A1444">
        <v>29</v>
      </c>
      <c r="B1444" t="s">
        <v>29</v>
      </c>
      <c r="C1444" t="s">
        <v>30</v>
      </c>
      <c r="D1444" t="s">
        <v>38</v>
      </c>
      <c r="E1444">
        <v>1</v>
      </c>
      <c r="F1444">
        <v>4</v>
      </c>
      <c r="G1444" t="s">
        <v>44</v>
      </c>
      <c r="H1444">
        <v>2027</v>
      </c>
      <c r="I1444">
        <v>1</v>
      </c>
      <c r="J1444" t="s">
        <v>39</v>
      </c>
      <c r="K1444">
        <v>3</v>
      </c>
      <c r="L1444">
        <v>1</v>
      </c>
      <c r="M1444" t="s">
        <v>40</v>
      </c>
      <c r="N1444">
        <v>4</v>
      </c>
      <c r="O1444" t="s">
        <v>41</v>
      </c>
      <c r="P1444">
        <v>4787</v>
      </c>
      <c r="Q1444">
        <v>9</v>
      </c>
      <c r="R1444" t="s">
        <v>29</v>
      </c>
      <c r="S1444">
        <v>14</v>
      </c>
      <c r="T1444">
        <v>3</v>
      </c>
      <c r="U1444">
        <v>2</v>
      </c>
      <c r="V1444">
        <v>3</v>
      </c>
      <c r="W1444">
        <v>4</v>
      </c>
      <c r="X1444">
        <v>3</v>
      </c>
      <c r="Y1444">
        <v>4</v>
      </c>
      <c r="Z1444">
        <v>2</v>
      </c>
      <c r="AA1444">
        <v>2</v>
      </c>
      <c r="AB1444">
        <v>2</v>
      </c>
      <c r="AC1444">
        <v>2</v>
      </c>
      <c r="AD1444">
        <f>IF(HR_Data[[#This Row],[Attrition]]="Yes",1,0)</f>
        <v>1</v>
      </c>
      <c r="AE1444" t="str">
        <f>IF(HR_Data[[#This Row],[Age]]&lt;=25,"18-25",IF(HR_Data[[#This Row],[Age]]&lt;=35,"26-35",IF(HR_Data[[#This Row],[Age]]&lt;=45,"36-45",IF(HR_Data[[#This Row],[Age]]&lt;=55,"46-55","55+"))))</f>
        <v>26-35</v>
      </c>
      <c r="AF1444">
        <f>IF(HR_Data[[#This Row],[Age]]&lt;=25,1,IF(HR_Data[[#This Row],[Age]]&lt;=35,2,IF(HR_Data[[#This Row],[Age]]&lt;=45,3,IF(HR_Data[[#This Row],[Age]]&lt;=55,4,5))))</f>
        <v>2</v>
      </c>
      <c r="AG1444" s="1" t="str">
        <f>IF(HR_Data[[#This Row],[MonthlyIncome]]&lt;3000,"&lt;3K",IF(HR_Data[[#This Row],[MonthlyIncome]]&lt;6000,"3K-6K",IF(HR_Data[[#This Row],[MonthlyIncome]]&lt;10000,"6K-10K","10K+")))</f>
        <v>3K-6K</v>
      </c>
      <c r="AH1444" s="1">
        <f>IF(HR_Data[[#This Row],[MonthlyIncome]]&lt;3000,1,IF(HR_Data[[#This Row],[MonthlyIncome]]&lt;6000,2,IF(HR_Data[[#This Row],[MonthlyIncome]]&lt;10000,3,4)))</f>
        <v>2</v>
      </c>
      <c r="AI1444" s="1" t="str">
        <f>IF(HR_Data[[#This Row],[YearsAtCompany]]&lt;=2,"0-2 Yrs",IF(HR_Data[[#This Row],[YearsAtCompany]]&lt;=5,"3-5 Yrs",IF(HR_Data[[#This Row],[YearsAtCompany]]&lt;=10,"6-10 Yrs","10+ Yrs")))</f>
        <v>0-2 Yrs</v>
      </c>
      <c r="AJ1444" s="1">
        <f>IF(HR_Data[[#This Row],[YearsAtCompany]]&lt;=2,1,IF(HR_Data[[#This Row],[YearsAtCompany]]&lt;=5,2,IF(HR_Data[[#This Row],[YearsAtCompany]]&lt;=10,3,4)))</f>
        <v>1</v>
      </c>
      <c r="AK1444" s="1" t="str">
        <f>CHOOSE(HR_Data[[#This Row],[Education]],"Below College","College","Bachelor","Master","Doctor")</f>
        <v>Master</v>
      </c>
      <c r="AL1444" s="1" t="str">
        <f>CHOOSE(HR_Data[[#This Row],[JobSatisfaction]],"Low","Medium","High","Very High")</f>
        <v>Very High</v>
      </c>
      <c r="AM1444" s="1" t="str">
        <f>CHOOSE(HR_Data[[#This Row],[EnvironmentSatisfaction]],"Low","Medium","High","Very High")</f>
        <v>Low</v>
      </c>
      <c r="AN1444" s="1" t="str">
        <f>CHOOSE(HR_Data[[#This Row],[WorkLifeBalance]],"Bad","Good","Better","Best")</f>
        <v>Best</v>
      </c>
      <c r="AO1444" s="1" t="str">
        <f>IF(HR_Data[[#This Row],[PercentSalaryHike]]&lt;=13,"11-13%",IF(HR_Data[[#This Row],[PercentSalaryHike]]&lt;=16,"14-16%",IF(HR_Data[[#This Row],[PercentSalaryHike]]&lt;=19,"17-19%","20-25%")))</f>
        <v>14-16%</v>
      </c>
      <c r="AP1444" s="1">
        <f>IF(HR_Data[[#This Row],[PercentSalaryHike]]&lt;=13,1,IF(HR_Data[[#This Row],[PercentSalaryHike]]&lt;=16,2,IF(HR_Data[[#This Row],[PercentSalaryHike]]&lt;=19,3,4)))</f>
        <v>2</v>
      </c>
      <c r="AQ1444" s="1" t="str">
        <f>IF(HR_Data[[#This Row],[DistanceFromHome]]&lt;=5,"1 to 5",IF(HR_Data[[#This Row],[DistanceFromHome]]&lt;=10,"6 to 10",IF(HR_Data[[#This Row],[DistanceFromHome]]&lt;=20,"11 to 20","21 to 29")))</f>
        <v>1 to 5</v>
      </c>
      <c r="AR1444" s="1">
        <f>IF(HR_Data[[#This Row],[DistanceFromHome]]&lt;=5,1,IF(HR_Data[[#This Row],[DistanceFromHome]]&lt;=10,2,IF(HR_Data[[#This Row],[DistanceFromHome]]&lt;=20,3,4)))</f>
        <v>1</v>
      </c>
      <c r="AS1444" s="1" t="str">
        <f>IF(HR_Data[[#This Row],[TotalWorkingYears]]&lt;=5,"0-5 Yrs",IF(HR_Data[[#This Row],[TotalWorkingYears]]&lt;=10,"6-10 Yrs",IF(HR_Data[[#This Row],[TotalWorkingYears]]&lt;=20,"11-20 Yrs","20+ Yrs")))</f>
        <v>0-5 Yrs</v>
      </c>
      <c r="AT1444" s="1">
        <f>IF(HR_Data[[#This Row],[TotalWorkingYears]]&lt;=5,1,IF(HR_Data[[#This Row],[TotalWorkingYears]]&lt;=10,2,IF(HR_Data[[#This Row],[TotalWorkingYears]]&lt;=20,3,4)))</f>
        <v>1</v>
      </c>
    </row>
    <row r="1445" spans="1:46" x14ac:dyDescent="0.25">
      <c r="A1445">
        <v>42</v>
      </c>
      <c r="B1445" t="s">
        <v>36</v>
      </c>
      <c r="C1445" t="s">
        <v>30</v>
      </c>
      <c r="D1445" t="s">
        <v>38</v>
      </c>
      <c r="E1445">
        <v>2</v>
      </c>
      <c r="F1445">
        <v>3</v>
      </c>
      <c r="G1445" t="s">
        <v>32</v>
      </c>
      <c r="H1445">
        <v>2031</v>
      </c>
      <c r="I1445">
        <v>1</v>
      </c>
      <c r="J1445" t="s">
        <v>39</v>
      </c>
      <c r="K1445">
        <v>3</v>
      </c>
      <c r="L1445">
        <v>5</v>
      </c>
      <c r="M1445" t="s">
        <v>49</v>
      </c>
      <c r="N1445">
        <v>3</v>
      </c>
      <c r="O1445" t="s">
        <v>41</v>
      </c>
      <c r="P1445">
        <v>18880</v>
      </c>
      <c r="Q1445">
        <v>5</v>
      </c>
      <c r="R1445" t="s">
        <v>36</v>
      </c>
      <c r="S1445">
        <v>11</v>
      </c>
      <c r="T1445">
        <v>3</v>
      </c>
      <c r="U1445">
        <v>1</v>
      </c>
      <c r="V1445">
        <v>0</v>
      </c>
      <c r="W1445">
        <v>24</v>
      </c>
      <c r="X1445">
        <v>2</v>
      </c>
      <c r="Y1445">
        <v>2</v>
      </c>
      <c r="Z1445">
        <v>22</v>
      </c>
      <c r="AA1445">
        <v>6</v>
      </c>
      <c r="AB1445">
        <v>4</v>
      </c>
      <c r="AC1445">
        <v>14</v>
      </c>
      <c r="AD1445">
        <f>IF(HR_Data[[#This Row],[Attrition]]="Yes",1,0)</f>
        <v>0</v>
      </c>
      <c r="AE1445" t="str">
        <f>IF(HR_Data[[#This Row],[Age]]&lt;=25,"18-25",IF(HR_Data[[#This Row],[Age]]&lt;=35,"26-35",IF(HR_Data[[#This Row],[Age]]&lt;=45,"36-45",IF(HR_Data[[#This Row],[Age]]&lt;=55,"46-55","55+"))))</f>
        <v>36-45</v>
      </c>
      <c r="AF1445">
        <f>IF(HR_Data[[#This Row],[Age]]&lt;=25,1,IF(HR_Data[[#This Row],[Age]]&lt;=35,2,IF(HR_Data[[#This Row],[Age]]&lt;=45,3,IF(HR_Data[[#This Row],[Age]]&lt;=55,4,5))))</f>
        <v>3</v>
      </c>
      <c r="AG1445" s="1" t="str">
        <f>IF(HR_Data[[#This Row],[MonthlyIncome]]&lt;3000,"&lt;3K",IF(HR_Data[[#This Row],[MonthlyIncome]]&lt;6000,"3K-6K",IF(HR_Data[[#This Row],[MonthlyIncome]]&lt;10000,"6K-10K","10K+")))</f>
        <v>10K+</v>
      </c>
      <c r="AH1445" s="1">
        <f>IF(HR_Data[[#This Row],[MonthlyIncome]]&lt;3000,1,IF(HR_Data[[#This Row],[MonthlyIncome]]&lt;6000,2,IF(HR_Data[[#This Row],[MonthlyIncome]]&lt;10000,3,4)))</f>
        <v>4</v>
      </c>
      <c r="AI1445" s="1" t="str">
        <f>IF(HR_Data[[#This Row],[YearsAtCompany]]&lt;=2,"0-2 Yrs",IF(HR_Data[[#This Row],[YearsAtCompany]]&lt;=5,"3-5 Yrs",IF(HR_Data[[#This Row],[YearsAtCompany]]&lt;=10,"6-10 Yrs","10+ Yrs")))</f>
        <v>10+ Yrs</v>
      </c>
      <c r="AJ1445" s="1">
        <f>IF(HR_Data[[#This Row],[YearsAtCompany]]&lt;=2,1,IF(HR_Data[[#This Row],[YearsAtCompany]]&lt;=5,2,IF(HR_Data[[#This Row],[YearsAtCompany]]&lt;=10,3,4)))</f>
        <v>4</v>
      </c>
      <c r="AK1445" s="1" t="str">
        <f>CHOOSE(HR_Data[[#This Row],[Education]],"Below College","College","Bachelor","Master","Doctor")</f>
        <v>Bachelor</v>
      </c>
      <c r="AL1445" s="1" t="str">
        <f>CHOOSE(HR_Data[[#This Row],[JobSatisfaction]],"Low","Medium","High","Very High")</f>
        <v>High</v>
      </c>
      <c r="AM1445" s="1" t="str">
        <f>CHOOSE(HR_Data[[#This Row],[EnvironmentSatisfaction]],"Low","Medium","High","Very High")</f>
        <v>Low</v>
      </c>
      <c r="AN1445" s="1" t="str">
        <f>CHOOSE(HR_Data[[#This Row],[WorkLifeBalance]],"Bad","Good","Better","Best")</f>
        <v>Good</v>
      </c>
      <c r="AO1445" s="1" t="str">
        <f>IF(HR_Data[[#This Row],[PercentSalaryHike]]&lt;=13,"11-13%",IF(HR_Data[[#This Row],[PercentSalaryHike]]&lt;=16,"14-16%",IF(HR_Data[[#This Row],[PercentSalaryHike]]&lt;=19,"17-19%","20-25%")))</f>
        <v>11-13%</v>
      </c>
      <c r="AP1445" s="1">
        <f>IF(HR_Data[[#This Row],[PercentSalaryHike]]&lt;=13,1,IF(HR_Data[[#This Row],[PercentSalaryHike]]&lt;=16,2,IF(HR_Data[[#This Row],[PercentSalaryHike]]&lt;=19,3,4)))</f>
        <v>1</v>
      </c>
      <c r="AQ1445" s="1" t="str">
        <f>IF(HR_Data[[#This Row],[DistanceFromHome]]&lt;=5,"1 to 5",IF(HR_Data[[#This Row],[DistanceFromHome]]&lt;=10,"6 to 10",IF(HR_Data[[#This Row],[DistanceFromHome]]&lt;=20,"11 to 20","21 to 29")))</f>
        <v>1 to 5</v>
      </c>
      <c r="AR1445" s="1">
        <f>IF(HR_Data[[#This Row],[DistanceFromHome]]&lt;=5,1,IF(HR_Data[[#This Row],[DistanceFromHome]]&lt;=10,2,IF(HR_Data[[#This Row],[DistanceFromHome]]&lt;=20,3,4)))</f>
        <v>1</v>
      </c>
      <c r="AS1445" s="1" t="str">
        <f>IF(HR_Data[[#This Row],[TotalWorkingYears]]&lt;=5,"0-5 Yrs",IF(HR_Data[[#This Row],[TotalWorkingYears]]&lt;=10,"6-10 Yrs",IF(HR_Data[[#This Row],[TotalWorkingYears]]&lt;=20,"11-20 Yrs","20+ Yrs")))</f>
        <v>20+ Yrs</v>
      </c>
      <c r="AT1445" s="1">
        <f>IF(HR_Data[[#This Row],[TotalWorkingYears]]&lt;=5,1,IF(HR_Data[[#This Row],[TotalWorkingYears]]&lt;=10,2,IF(HR_Data[[#This Row],[TotalWorkingYears]]&lt;=20,3,4)))</f>
        <v>4</v>
      </c>
    </row>
    <row r="1446" spans="1:46" x14ac:dyDescent="0.25">
      <c r="A1446">
        <v>56</v>
      </c>
      <c r="B1446" t="s">
        <v>29</v>
      </c>
      <c r="C1446" t="s">
        <v>30</v>
      </c>
      <c r="D1446" t="s">
        <v>38</v>
      </c>
      <c r="E1446">
        <v>7</v>
      </c>
      <c r="F1446">
        <v>2</v>
      </c>
      <c r="G1446" t="s">
        <v>53</v>
      </c>
      <c r="H1446">
        <v>2032</v>
      </c>
      <c r="I1446">
        <v>4</v>
      </c>
      <c r="J1446" t="s">
        <v>39</v>
      </c>
      <c r="K1446">
        <v>3</v>
      </c>
      <c r="L1446">
        <v>1</v>
      </c>
      <c r="M1446" t="s">
        <v>43</v>
      </c>
      <c r="N1446">
        <v>3</v>
      </c>
      <c r="O1446" t="s">
        <v>41</v>
      </c>
      <c r="P1446">
        <v>2339</v>
      </c>
      <c r="Q1446">
        <v>8</v>
      </c>
      <c r="R1446" t="s">
        <v>36</v>
      </c>
      <c r="S1446">
        <v>11</v>
      </c>
      <c r="T1446">
        <v>3</v>
      </c>
      <c r="U1446">
        <v>4</v>
      </c>
      <c r="V1446">
        <v>1</v>
      </c>
      <c r="W1446">
        <v>14</v>
      </c>
      <c r="X1446">
        <v>4</v>
      </c>
      <c r="Y1446">
        <v>1</v>
      </c>
      <c r="Z1446">
        <v>10</v>
      </c>
      <c r="AA1446">
        <v>9</v>
      </c>
      <c r="AB1446">
        <v>9</v>
      </c>
      <c r="AC1446">
        <v>8</v>
      </c>
      <c r="AD1446">
        <f>IF(HR_Data[[#This Row],[Attrition]]="Yes",1,0)</f>
        <v>1</v>
      </c>
      <c r="AE1446" t="str">
        <f>IF(HR_Data[[#This Row],[Age]]&lt;=25,"18-25",IF(HR_Data[[#This Row],[Age]]&lt;=35,"26-35",IF(HR_Data[[#This Row],[Age]]&lt;=45,"36-45",IF(HR_Data[[#This Row],[Age]]&lt;=55,"46-55","55+"))))</f>
        <v>55+</v>
      </c>
      <c r="AF1446">
        <f>IF(HR_Data[[#This Row],[Age]]&lt;=25,1,IF(HR_Data[[#This Row],[Age]]&lt;=35,2,IF(HR_Data[[#This Row],[Age]]&lt;=45,3,IF(HR_Data[[#This Row],[Age]]&lt;=55,4,5))))</f>
        <v>5</v>
      </c>
      <c r="AG1446" s="1" t="str">
        <f>IF(HR_Data[[#This Row],[MonthlyIncome]]&lt;3000,"&lt;3K",IF(HR_Data[[#This Row],[MonthlyIncome]]&lt;6000,"3K-6K",IF(HR_Data[[#This Row],[MonthlyIncome]]&lt;10000,"6K-10K","10K+")))</f>
        <v>&lt;3K</v>
      </c>
      <c r="AH1446" s="1">
        <f>IF(HR_Data[[#This Row],[MonthlyIncome]]&lt;3000,1,IF(HR_Data[[#This Row],[MonthlyIncome]]&lt;6000,2,IF(HR_Data[[#This Row],[MonthlyIncome]]&lt;10000,3,4)))</f>
        <v>1</v>
      </c>
      <c r="AI1446" s="1" t="str">
        <f>IF(HR_Data[[#This Row],[YearsAtCompany]]&lt;=2,"0-2 Yrs",IF(HR_Data[[#This Row],[YearsAtCompany]]&lt;=5,"3-5 Yrs",IF(HR_Data[[#This Row],[YearsAtCompany]]&lt;=10,"6-10 Yrs","10+ Yrs")))</f>
        <v>6-10 Yrs</v>
      </c>
      <c r="AJ1446" s="1">
        <f>IF(HR_Data[[#This Row],[YearsAtCompany]]&lt;=2,1,IF(HR_Data[[#This Row],[YearsAtCompany]]&lt;=5,2,IF(HR_Data[[#This Row],[YearsAtCompany]]&lt;=10,3,4)))</f>
        <v>3</v>
      </c>
      <c r="AK1446" s="1" t="str">
        <f>CHOOSE(HR_Data[[#This Row],[Education]],"Below College","College","Bachelor","Master","Doctor")</f>
        <v>College</v>
      </c>
      <c r="AL1446" s="1" t="str">
        <f>CHOOSE(HR_Data[[#This Row],[JobSatisfaction]],"Low","Medium","High","Very High")</f>
        <v>High</v>
      </c>
      <c r="AM1446" s="1" t="str">
        <f>CHOOSE(HR_Data[[#This Row],[EnvironmentSatisfaction]],"Low","Medium","High","Very High")</f>
        <v>Very High</v>
      </c>
      <c r="AN1446" s="1" t="str">
        <f>CHOOSE(HR_Data[[#This Row],[WorkLifeBalance]],"Bad","Good","Better","Best")</f>
        <v>Bad</v>
      </c>
      <c r="AO1446" s="1" t="str">
        <f>IF(HR_Data[[#This Row],[PercentSalaryHike]]&lt;=13,"11-13%",IF(HR_Data[[#This Row],[PercentSalaryHike]]&lt;=16,"14-16%",IF(HR_Data[[#This Row],[PercentSalaryHike]]&lt;=19,"17-19%","20-25%")))</f>
        <v>11-13%</v>
      </c>
      <c r="AP1446" s="1">
        <f>IF(HR_Data[[#This Row],[PercentSalaryHike]]&lt;=13,1,IF(HR_Data[[#This Row],[PercentSalaryHike]]&lt;=16,2,IF(HR_Data[[#This Row],[PercentSalaryHike]]&lt;=19,3,4)))</f>
        <v>1</v>
      </c>
      <c r="AQ1446" s="1" t="str">
        <f>IF(HR_Data[[#This Row],[DistanceFromHome]]&lt;=5,"1 to 5",IF(HR_Data[[#This Row],[DistanceFromHome]]&lt;=10,"6 to 10",IF(HR_Data[[#This Row],[DistanceFromHome]]&lt;=20,"11 to 20","21 to 29")))</f>
        <v>6 to 10</v>
      </c>
      <c r="AR1446" s="1">
        <f>IF(HR_Data[[#This Row],[DistanceFromHome]]&lt;=5,1,IF(HR_Data[[#This Row],[DistanceFromHome]]&lt;=10,2,IF(HR_Data[[#This Row],[DistanceFromHome]]&lt;=20,3,4)))</f>
        <v>2</v>
      </c>
      <c r="AS1446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446" s="1">
        <f>IF(HR_Data[[#This Row],[TotalWorkingYears]]&lt;=5,1,IF(HR_Data[[#This Row],[TotalWorkingYears]]&lt;=10,2,IF(HR_Data[[#This Row],[TotalWorkingYears]]&lt;=20,3,4)))</f>
        <v>3</v>
      </c>
    </row>
    <row r="1447" spans="1:46" x14ac:dyDescent="0.25">
      <c r="A1447">
        <v>41</v>
      </c>
      <c r="B1447" t="s">
        <v>36</v>
      </c>
      <c r="C1447" t="s">
        <v>30</v>
      </c>
      <c r="D1447" t="s">
        <v>38</v>
      </c>
      <c r="E1447">
        <v>28</v>
      </c>
      <c r="F1447">
        <v>4</v>
      </c>
      <c r="G1447" t="s">
        <v>32</v>
      </c>
      <c r="H1447">
        <v>2034</v>
      </c>
      <c r="I1447">
        <v>1</v>
      </c>
      <c r="J1447" t="s">
        <v>33</v>
      </c>
      <c r="K1447">
        <v>2</v>
      </c>
      <c r="L1447">
        <v>4</v>
      </c>
      <c r="M1447" t="s">
        <v>46</v>
      </c>
      <c r="N1447">
        <v>2</v>
      </c>
      <c r="O1447" t="s">
        <v>41</v>
      </c>
      <c r="P1447">
        <v>13570</v>
      </c>
      <c r="Q1447">
        <v>0</v>
      </c>
      <c r="R1447" t="s">
        <v>36</v>
      </c>
      <c r="S1447">
        <v>23</v>
      </c>
      <c r="T1447">
        <v>4</v>
      </c>
      <c r="U1447">
        <v>3</v>
      </c>
      <c r="V1447">
        <v>1</v>
      </c>
      <c r="W1447">
        <v>21</v>
      </c>
      <c r="X1447">
        <v>3</v>
      </c>
      <c r="Y1447">
        <v>3</v>
      </c>
      <c r="Z1447">
        <v>20</v>
      </c>
      <c r="AA1447">
        <v>7</v>
      </c>
      <c r="AB1447">
        <v>0</v>
      </c>
      <c r="AC1447">
        <v>10</v>
      </c>
      <c r="AD1447">
        <f>IF(HR_Data[[#This Row],[Attrition]]="Yes",1,0)</f>
        <v>0</v>
      </c>
      <c r="AE1447" t="str">
        <f>IF(HR_Data[[#This Row],[Age]]&lt;=25,"18-25",IF(HR_Data[[#This Row],[Age]]&lt;=35,"26-35",IF(HR_Data[[#This Row],[Age]]&lt;=45,"36-45",IF(HR_Data[[#This Row],[Age]]&lt;=55,"46-55","55+"))))</f>
        <v>36-45</v>
      </c>
      <c r="AF1447">
        <f>IF(HR_Data[[#This Row],[Age]]&lt;=25,1,IF(HR_Data[[#This Row],[Age]]&lt;=35,2,IF(HR_Data[[#This Row],[Age]]&lt;=45,3,IF(HR_Data[[#This Row],[Age]]&lt;=55,4,5))))</f>
        <v>3</v>
      </c>
      <c r="AG1447" s="1" t="str">
        <f>IF(HR_Data[[#This Row],[MonthlyIncome]]&lt;3000,"&lt;3K",IF(HR_Data[[#This Row],[MonthlyIncome]]&lt;6000,"3K-6K",IF(HR_Data[[#This Row],[MonthlyIncome]]&lt;10000,"6K-10K","10K+")))</f>
        <v>10K+</v>
      </c>
      <c r="AH1447" s="1">
        <f>IF(HR_Data[[#This Row],[MonthlyIncome]]&lt;3000,1,IF(HR_Data[[#This Row],[MonthlyIncome]]&lt;6000,2,IF(HR_Data[[#This Row],[MonthlyIncome]]&lt;10000,3,4)))</f>
        <v>4</v>
      </c>
      <c r="AI1447" s="1" t="str">
        <f>IF(HR_Data[[#This Row],[YearsAtCompany]]&lt;=2,"0-2 Yrs",IF(HR_Data[[#This Row],[YearsAtCompany]]&lt;=5,"3-5 Yrs",IF(HR_Data[[#This Row],[YearsAtCompany]]&lt;=10,"6-10 Yrs","10+ Yrs")))</f>
        <v>10+ Yrs</v>
      </c>
      <c r="AJ1447" s="1">
        <f>IF(HR_Data[[#This Row],[YearsAtCompany]]&lt;=2,1,IF(HR_Data[[#This Row],[YearsAtCompany]]&lt;=5,2,IF(HR_Data[[#This Row],[YearsAtCompany]]&lt;=10,3,4)))</f>
        <v>4</v>
      </c>
      <c r="AK1447" s="1" t="str">
        <f>CHOOSE(HR_Data[[#This Row],[Education]],"Below College","College","Bachelor","Master","Doctor")</f>
        <v>Master</v>
      </c>
      <c r="AL1447" s="1" t="str">
        <f>CHOOSE(HR_Data[[#This Row],[JobSatisfaction]],"Low","Medium","High","Very High")</f>
        <v>Medium</v>
      </c>
      <c r="AM1447" s="1" t="str">
        <f>CHOOSE(HR_Data[[#This Row],[EnvironmentSatisfaction]],"Low","Medium","High","Very High")</f>
        <v>Low</v>
      </c>
      <c r="AN1447" s="1" t="str">
        <f>CHOOSE(HR_Data[[#This Row],[WorkLifeBalance]],"Bad","Good","Better","Best")</f>
        <v>Better</v>
      </c>
      <c r="AO1447" s="1" t="str">
        <f>IF(HR_Data[[#This Row],[PercentSalaryHike]]&lt;=13,"11-13%",IF(HR_Data[[#This Row],[PercentSalaryHike]]&lt;=16,"14-16%",IF(HR_Data[[#This Row],[PercentSalaryHike]]&lt;=19,"17-19%","20-25%")))</f>
        <v>20-25%</v>
      </c>
      <c r="AP1447" s="1">
        <f>IF(HR_Data[[#This Row],[PercentSalaryHike]]&lt;=13,1,IF(HR_Data[[#This Row],[PercentSalaryHike]]&lt;=16,2,IF(HR_Data[[#This Row],[PercentSalaryHike]]&lt;=19,3,4)))</f>
        <v>4</v>
      </c>
      <c r="AQ1447" s="1" t="str">
        <f>IF(HR_Data[[#This Row],[DistanceFromHome]]&lt;=5,"1 to 5",IF(HR_Data[[#This Row],[DistanceFromHome]]&lt;=10,"6 to 10",IF(HR_Data[[#This Row],[DistanceFromHome]]&lt;=20,"11 to 20","21 to 29")))</f>
        <v>21 to 29</v>
      </c>
      <c r="AR1447" s="1">
        <f>IF(HR_Data[[#This Row],[DistanceFromHome]]&lt;=5,1,IF(HR_Data[[#This Row],[DistanceFromHome]]&lt;=10,2,IF(HR_Data[[#This Row],[DistanceFromHome]]&lt;=20,3,4)))</f>
        <v>4</v>
      </c>
      <c r="AS1447" s="1" t="str">
        <f>IF(HR_Data[[#This Row],[TotalWorkingYears]]&lt;=5,"0-5 Yrs",IF(HR_Data[[#This Row],[TotalWorkingYears]]&lt;=10,"6-10 Yrs",IF(HR_Data[[#This Row],[TotalWorkingYears]]&lt;=20,"11-20 Yrs","20+ Yrs")))</f>
        <v>20+ Yrs</v>
      </c>
      <c r="AT1447" s="1">
        <f>IF(HR_Data[[#This Row],[TotalWorkingYears]]&lt;=5,1,IF(HR_Data[[#This Row],[TotalWorkingYears]]&lt;=10,2,IF(HR_Data[[#This Row],[TotalWorkingYears]]&lt;=20,3,4)))</f>
        <v>4</v>
      </c>
    </row>
    <row r="1448" spans="1:46" x14ac:dyDescent="0.25">
      <c r="A1448">
        <v>34</v>
      </c>
      <c r="B1448" t="s">
        <v>36</v>
      </c>
      <c r="C1448" t="s">
        <v>30</v>
      </c>
      <c r="D1448" t="s">
        <v>31</v>
      </c>
      <c r="E1448">
        <v>28</v>
      </c>
      <c r="F1448">
        <v>3</v>
      </c>
      <c r="G1448" t="s">
        <v>52</v>
      </c>
      <c r="H1448">
        <v>2035</v>
      </c>
      <c r="I1448">
        <v>4</v>
      </c>
      <c r="J1448" t="s">
        <v>33</v>
      </c>
      <c r="K1448">
        <v>2</v>
      </c>
      <c r="L1448">
        <v>2</v>
      </c>
      <c r="M1448" t="s">
        <v>34</v>
      </c>
      <c r="N1448">
        <v>3</v>
      </c>
      <c r="O1448" t="s">
        <v>41</v>
      </c>
      <c r="P1448">
        <v>6712</v>
      </c>
      <c r="Q1448">
        <v>1</v>
      </c>
      <c r="R1448" t="s">
        <v>36</v>
      </c>
      <c r="S1448">
        <v>21</v>
      </c>
      <c r="T1448">
        <v>4</v>
      </c>
      <c r="U1448">
        <v>4</v>
      </c>
      <c r="V1448">
        <v>2</v>
      </c>
      <c r="W1448">
        <v>8</v>
      </c>
      <c r="X1448">
        <v>2</v>
      </c>
      <c r="Y1448">
        <v>3</v>
      </c>
      <c r="Z1448">
        <v>8</v>
      </c>
      <c r="AA1448">
        <v>7</v>
      </c>
      <c r="AB1448">
        <v>1</v>
      </c>
      <c r="AC1448">
        <v>7</v>
      </c>
      <c r="AD1448">
        <f>IF(HR_Data[[#This Row],[Attrition]]="Yes",1,0)</f>
        <v>0</v>
      </c>
      <c r="AE1448" t="str">
        <f>IF(HR_Data[[#This Row],[Age]]&lt;=25,"18-25",IF(HR_Data[[#This Row],[Age]]&lt;=35,"26-35",IF(HR_Data[[#This Row],[Age]]&lt;=45,"36-45",IF(HR_Data[[#This Row],[Age]]&lt;=55,"46-55","55+"))))</f>
        <v>26-35</v>
      </c>
      <c r="AF1448">
        <f>IF(HR_Data[[#This Row],[Age]]&lt;=25,1,IF(HR_Data[[#This Row],[Age]]&lt;=35,2,IF(HR_Data[[#This Row],[Age]]&lt;=45,3,IF(HR_Data[[#This Row],[Age]]&lt;=55,4,5))))</f>
        <v>2</v>
      </c>
      <c r="AG1448" s="1" t="str">
        <f>IF(HR_Data[[#This Row],[MonthlyIncome]]&lt;3000,"&lt;3K",IF(HR_Data[[#This Row],[MonthlyIncome]]&lt;6000,"3K-6K",IF(HR_Data[[#This Row],[MonthlyIncome]]&lt;10000,"6K-10K","10K+")))</f>
        <v>6K-10K</v>
      </c>
      <c r="AH1448" s="1">
        <f>IF(HR_Data[[#This Row],[MonthlyIncome]]&lt;3000,1,IF(HR_Data[[#This Row],[MonthlyIncome]]&lt;6000,2,IF(HR_Data[[#This Row],[MonthlyIncome]]&lt;10000,3,4)))</f>
        <v>3</v>
      </c>
      <c r="AI1448" s="1" t="str">
        <f>IF(HR_Data[[#This Row],[YearsAtCompany]]&lt;=2,"0-2 Yrs",IF(HR_Data[[#This Row],[YearsAtCompany]]&lt;=5,"3-5 Yrs",IF(HR_Data[[#This Row],[YearsAtCompany]]&lt;=10,"6-10 Yrs","10+ Yrs")))</f>
        <v>6-10 Yrs</v>
      </c>
      <c r="AJ1448" s="1">
        <f>IF(HR_Data[[#This Row],[YearsAtCompany]]&lt;=2,1,IF(HR_Data[[#This Row],[YearsAtCompany]]&lt;=5,2,IF(HR_Data[[#This Row],[YearsAtCompany]]&lt;=10,3,4)))</f>
        <v>3</v>
      </c>
      <c r="AK1448" s="1" t="str">
        <f>CHOOSE(HR_Data[[#This Row],[Education]],"Below College","College","Bachelor","Master","Doctor")</f>
        <v>Bachelor</v>
      </c>
      <c r="AL1448" s="1" t="str">
        <f>CHOOSE(HR_Data[[#This Row],[JobSatisfaction]],"Low","Medium","High","Very High")</f>
        <v>High</v>
      </c>
      <c r="AM1448" s="1" t="str">
        <f>CHOOSE(HR_Data[[#This Row],[EnvironmentSatisfaction]],"Low","Medium","High","Very High")</f>
        <v>Very High</v>
      </c>
      <c r="AN1448" s="1" t="str">
        <f>CHOOSE(HR_Data[[#This Row],[WorkLifeBalance]],"Bad","Good","Better","Best")</f>
        <v>Better</v>
      </c>
      <c r="AO1448" s="1" t="str">
        <f>IF(HR_Data[[#This Row],[PercentSalaryHike]]&lt;=13,"11-13%",IF(HR_Data[[#This Row],[PercentSalaryHike]]&lt;=16,"14-16%",IF(HR_Data[[#This Row],[PercentSalaryHike]]&lt;=19,"17-19%","20-25%")))</f>
        <v>20-25%</v>
      </c>
      <c r="AP1448" s="1">
        <f>IF(HR_Data[[#This Row],[PercentSalaryHike]]&lt;=13,1,IF(HR_Data[[#This Row],[PercentSalaryHike]]&lt;=16,2,IF(HR_Data[[#This Row],[PercentSalaryHike]]&lt;=19,3,4)))</f>
        <v>4</v>
      </c>
      <c r="AQ1448" s="1" t="str">
        <f>IF(HR_Data[[#This Row],[DistanceFromHome]]&lt;=5,"1 to 5",IF(HR_Data[[#This Row],[DistanceFromHome]]&lt;=10,"6 to 10",IF(HR_Data[[#This Row],[DistanceFromHome]]&lt;=20,"11 to 20","21 to 29")))</f>
        <v>21 to 29</v>
      </c>
      <c r="AR1448" s="1">
        <f>IF(HR_Data[[#This Row],[DistanceFromHome]]&lt;=5,1,IF(HR_Data[[#This Row],[DistanceFromHome]]&lt;=10,2,IF(HR_Data[[#This Row],[DistanceFromHome]]&lt;=20,3,4)))</f>
        <v>4</v>
      </c>
      <c r="AS1448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448" s="1">
        <f>IF(HR_Data[[#This Row],[TotalWorkingYears]]&lt;=5,1,IF(HR_Data[[#This Row],[TotalWorkingYears]]&lt;=10,2,IF(HR_Data[[#This Row],[TotalWorkingYears]]&lt;=20,3,4)))</f>
        <v>2</v>
      </c>
    </row>
    <row r="1449" spans="1:46" x14ac:dyDescent="0.25">
      <c r="A1449">
        <v>36</v>
      </c>
      <c r="B1449" t="s">
        <v>36</v>
      </c>
      <c r="C1449" t="s">
        <v>48</v>
      </c>
      <c r="D1449" t="s">
        <v>31</v>
      </c>
      <c r="E1449">
        <v>15</v>
      </c>
      <c r="F1449">
        <v>4</v>
      </c>
      <c r="G1449" t="s">
        <v>52</v>
      </c>
      <c r="H1449">
        <v>2036</v>
      </c>
      <c r="I1449">
        <v>4</v>
      </c>
      <c r="J1449" t="s">
        <v>39</v>
      </c>
      <c r="K1449">
        <v>1</v>
      </c>
      <c r="L1449">
        <v>2</v>
      </c>
      <c r="M1449" t="s">
        <v>34</v>
      </c>
      <c r="N1449">
        <v>4</v>
      </c>
      <c r="O1449" t="s">
        <v>45</v>
      </c>
      <c r="P1449">
        <v>5406</v>
      </c>
      <c r="Q1449">
        <v>1</v>
      </c>
      <c r="R1449" t="s">
        <v>36</v>
      </c>
      <c r="S1449">
        <v>24</v>
      </c>
      <c r="T1449">
        <v>4</v>
      </c>
      <c r="U1449">
        <v>1</v>
      </c>
      <c r="V1449">
        <v>1</v>
      </c>
      <c r="W1449">
        <v>15</v>
      </c>
      <c r="X1449">
        <v>4</v>
      </c>
      <c r="Y1449">
        <v>2</v>
      </c>
      <c r="Z1449">
        <v>15</v>
      </c>
      <c r="AA1449">
        <v>12</v>
      </c>
      <c r="AB1449">
        <v>11</v>
      </c>
      <c r="AC1449">
        <v>11</v>
      </c>
      <c r="AD1449">
        <f>IF(HR_Data[[#This Row],[Attrition]]="Yes",1,0)</f>
        <v>0</v>
      </c>
      <c r="AE1449" t="str">
        <f>IF(HR_Data[[#This Row],[Age]]&lt;=25,"18-25",IF(HR_Data[[#This Row],[Age]]&lt;=35,"26-35",IF(HR_Data[[#This Row],[Age]]&lt;=45,"36-45",IF(HR_Data[[#This Row],[Age]]&lt;=55,"46-55","55+"))))</f>
        <v>36-45</v>
      </c>
      <c r="AF1449">
        <f>IF(HR_Data[[#This Row],[Age]]&lt;=25,1,IF(HR_Data[[#This Row],[Age]]&lt;=35,2,IF(HR_Data[[#This Row],[Age]]&lt;=45,3,IF(HR_Data[[#This Row],[Age]]&lt;=55,4,5))))</f>
        <v>3</v>
      </c>
      <c r="AG1449" s="1" t="str">
        <f>IF(HR_Data[[#This Row],[MonthlyIncome]]&lt;3000,"&lt;3K",IF(HR_Data[[#This Row],[MonthlyIncome]]&lt;6000,"3K-6K",IF(HR_Data[[#This Row],[MonthlyIncome]]&lt;10000,"6K-10K","10K+")))</f>
        <v>3K-6K</v>
      </c>
      <c r="AH1449" s="1">
        <f>IF(HR_Data[[#This Row],[MonthlyIncome]]&lt;3000,1,IF(HR_Data[[#This Row],[MonthlyIncome]]&lt;6000,2,IF(HR_Data[[#This Row],[MonthlyIncome]]&lt;10000,3,4)))</f>
        <v>2</v>
      </c>
      <c r="AI1449" s="1" t="str">
        <f>IF(HR_Data[[#This Row],[YearsAtCompany]]&lt;=2,"0-2 Yrs",IF(HR_Data[[#This Row],[YearsAtCompany]]&lt;=5,"3-5 Yrs",IF(HR_Data[[#This Row],[YearsAtCompany]]&lt;=10,"6-10 Yrs","10+ Yrs")))</f>
        <v>10+ Yrs</v>
      </c>
      <c r="AJ1449" s="1">
        <f>IF(HR_Data[[#This Row],[YearsAtCompany]]&lt;=2,1,IF(HR_Data[[#This Row],[YearsAtCompany]]&lt;=5,2,IF(HR_Data[[#This Row],[YearsAtCompany]]&lt;=10,3,4)))</f>
        <v>4</v>
      </c>
      <c r="AK1449" s="1" t="str">
        <f>CHOOSE(HR_Data[[#This Row],[Education]],"Below College","College","Bachelor","Master","Doctor")</f>
        <v>Master</v>
      </c>
      <c r="AL1449" s="1" t="str">
        <f>CHOOSE(HR_Data[[#This Row],[JobSatisfaction]],"Low","Medium","High","Very High")</f>
        <v>Very High</v>
      </c>
      <c r="AM1449" s="1" t="str">
        <f>CHOOSE(HR_Data[[#This Row],[EnvironmentSatisfaction]],"Low","Medium","High","Very High")</f>
        <v>Very High</v>
      </c>
      <c r="AN1449" s="1" t="str">
        <f>CHOOSE(HR_Data[[#This Row],[WorkLifeBalance]],"Bad","Good","Better","Best")</f>
        <v>Good</v>
      </c>
      <c r="AO1449" s="1" t="str">
        <f>IF(HR_Data[[#This Row],[PercentSalaryHike]]&lt;=13,"11-13%",IF(HR_Data[[#This Row],[PercentSalaryHike]]&lt;=16,"14-16%",IF(HR_Data[[#This Row],[PercentSalaryHike]]&lt;=19,"17-19%","20-25%")))</f>
        <v>20-25%</v>
      </c>
      <c r="AP1449" s="1">
        <f>IF(HR_Data[[#This Row],[PercentSalaryHike]]&lt;=13,1,IF(HR_Data[[#This Row],[PercentSalaryHike]]&lt;=16,2,IF(HR_Data[[#This Row],[PercentSalaryHike]]&lt;=19,3,4)))</f>
        <v>4</v>
      </c>
      <c r="AQ1449" s="1" t="str">
        <f>IF(HR_Data[[#This Row],[DistanceFromHome]]&lt;=5,"1 to 5",IF(HR_Data[[#This Row],[DistanceFromHome]]&lt;=10,"6 to 10",IF(HR_Data[[#This Row],[DistanceFromHome]]&lt;=20,"11 to 20","21 to 29")))</f>
        <v>11 to 20</v>
      </c>
      <c r="AR1449" s="1">
        <f>IF(HR_Data[[#This Row],[DistanceFromHome]]&lt;=5,1,IF(HR_Data[[#This Row],[DistanceFromHome]]&lt;=10,2,IF(HR_Data[[#This Row],[DistanceFromHome]]&lt;=20,3,4)))</f>
        <v>3</v>
      </c>
      <c r="AS1449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449" s="1">
        <f>IF(HR_Data[[#This Row],[TotalWorkingYears]]&lt;=5,1,IF(HR_Data[[#This Row],[TotalWorkingYears]]&lt;=10,2,IF(HR_Data[[#This Row],[TotalWorkingYears]]&lt;=20,3,4)))</f>
        <v>3</v>
      </c>
    </row>
    <row r="1450" spans="1:46" x14ac:dyDescent="0.25">
      <c r="A1450">
        <v>41</v>
      </c>
      <c r="B1450" t="s">
        <v>36</v>
      </c>
      <c r="C1450" t="s">
        <v>30</v>
      </c>
      <c r="D1450" t="s">
        <v>31</v>
      </c>
      <c r="E1450">
        <v>3</v>
      </c>
      <c r="F1450">
        <v>3</v>
      </c>
      <c r="G1450" t="s">
        <v>32</v>
      </c>
      <c r="H1450">
        <v>2037</v>
      </c>
      <c r="I1450">
        <v>3</v>
      </c>
      <c r="J1450" t="s">
        <v>39</v>
      </c>
      <c r="K1450">
        <v>2</v>
      </c>
      <c r="L1450">
        <v>2</v>
      </c>
      <c r="M1450" t="s">
        <v>34</v>
      </c>
      <c r="N1450">
        <v>2</v>
      </c>
      <c r="O1450" t="s">
        <v>45</v>
      </c>
      <c r="P1450">
        <v>8938</v>
      </c>
      <c r="Q1450">
        <v>2</v>
      </c>
      <c r="R1450" t="s">
        <v>36</v>
      </c>
      <c r="S1450">
        <v>11</v>
      </c>
      <c r="T1450">
        <v>3</v>
      </c>
      <c r="U1450">
        <v>3</v>
      </c>
      <c r="V1450">
        <v>1</v>
      </c>
      <c r="W1450">
        <v>14</v>
      </c>
      <c r="X1450">
        <v>5</v>
      </c>
      <c r="Y1450">
        <v>3</v>
      </c>
      <c r="Z1450">
        <v>5</v>
      </c>
      <c r="AA1450">
        <v>4</v>
      </c>
      <c r="AB1450">
        <v>0</v>
      </c>
      <c r="AC1450">
        <v>4</v>
      </c>
      <c r="AD1450">
        <f>IF(HR_Data[[#This Row],[Attrition]]="Yes",1,0)</f>
        <v>0</v>
      </c>
      <c r="AE1450" t="str">
        <f>IF(HR_Data[[#This Row],[Age]]&lt;=25,"18-25",IF(HR_Data[[#This Row],[Age]]&lt;=35,"26-35",IF(HR_Data[[#This Row],[Age]]&lt;=45,"36-45",IF(HR_Data[[#This Row],[Age]]&lt;=55,"46-55","55+"))))</f>
        <v>36-45</v>
      </c>
      <c r="AF1450">
        <f>IF(HR_Data[[#This Row],[Age]]&lt;=25,1,IF(HR_Data[[#This Row],[Age]]&lt;=35,2,IF(HR_Data[[#This Row],[Age]]&lt;=45,3,IF(HR_Data[[#This Row],[Age]]&lt;=55,4,5))))</f>
        <v>3</v>
      </c>
      <c r="AG1450" s="1" t="str">
        <f>IF(HR_Data[[#This Row],[MonthlyIncome]]&lt;3000,"&lt;3K",IF(HR_Data[[#This Row],[MonthlyIncome]]&lt;6000,"3K-6K",IF(HR_Data[[#This Row],[MonthlyIncome]]&lt;10000,"6K-10K","10K+")))</f>
        <v>6K-10K</v>
      </c>
      <c r="AH1450" s="1">
        <f>IF(HR_Data[[#This Row],[MonthlyIncome]]&lt;3000,1,IF(HR_Data[[#This Row],[MonthlyIncome]]&lt;6000,2,IF(HR_Data[[#This Row],[MonthlyIncome]]&lt;10000,3,4)))</f>
        <v>3</v>
      </c>
      <c r="AI1450" s="1" t="str">
        <f>IF(HR_Data[[#This Row],[YearsAtCompany]]&lt;=2,"0-2 Yrs",IF(HR_Data[[#This Row],[YearsAtCompany]]&lt;=5,"3-5 Yrs",IF(HR_Data[[#This Row],[YearsAtCompany]]&lt;=10,"6-10 Yrs","10+ Yrs")))</f>
        <v>3-5 Yrs</v>
      </c>
      <c r="AJ1450" s="1">
        <f>IF(HR_Data[[#This Row],[YearsAtCompany]]&lt;=2,1,IF(HR_Data[[#This Row],[YearsAtCompany]]&lt;=5,2,IF(HR_Data[[#This Row],[YearsAtCompany]]&lt;=10,3,4)))</f>
        <v>2</v>
      </c>
      <c r="AK1450" s="1" t="str">
        <f>CHOOSE(HR_Data[[#This Row],[Education]],"Below College","College","Bachelor","Master","Doctor")</f>
        <v>Bachelor</v>
      </c>
      <c r="AL1450" s="1" t="str">
        <f>CHOOSE(HR_Data[[#This Row],[JobSatisfaction]],"Low","Medium","High","Very High")</f>
        <v>Medium</v>
      </c>
      <c r="AM1450" s="1" t="str">
        <f>CHOOSE(HR_Data[[#This Row],[EnvironmentSatisfaction]],"Low","Medium","High","Very High")</f>
        <v>High</v>
      </c>
      <c r="AN1450" s="1" t="str">
        <f>CHOOSE(HR_Data[[#This Row],[WorkLifeBalance]],"Bad","Good","Better","Best")</f>
        <v>Better</v>
      </c>
      <c r="AO1450" s="1" t="str">
        <f>IF(HR_Data[[#This Row],[PercentSalaryHike]]&lt;=13,"11-13%",IF(HR_Data[[#This Row],[PercentSalaryHike]]&lt;=16,"14-16%",IF(HR_Data[[#This Row],[PercentSalaryHike]]&lt;=19,"17-19%","20-25%")))</f>
        <v>11-13%</v>
      </c>
      <c r="AP1450" s="1">
        <f>IF(HR_Data[[#This Row],[PercentSalaryHike]]&lt;=13,1,IF(HR_Data[[#This Row],[PercentSalaryHike]]&lt;=16,2,IF(HR_Data[[#This Row],[PercentSalaryHike]]&lt;=19,3,4)))</f>
        <v>1</v>
      </c>
      <c r="AQ1450" s="1" t="str">
        <f>IF(HR_Data[[#This Row],[DistanceFromHome]]&lt;=5,"1 to 5",IF(HR_Data[[#This Row],[DistanceFromHome]]&lt;=10,"6 to 10",IF(HR_Data[[#This Row],[DistanceFromHome]]&lt;=20,"11 to 20","21 to 29")))</f>
        <v>1 to 5</v>
      </c>
      <c r="AR1450" s="1">
        <f>IF(HR_Data[[#This Row],[DistanceFromHome]]&lt;=5,1,IF(HR_Data[[#This Row],[DistanceFromHome]]&lt;=10,2,IF(HR_Data[[#This Row],[DistanceFromHome]]&lt;=20,3,4)))</f>
        <v>1</v>
      </c>
      <c r="AS1450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450" s="1">
        <f>IF(HR_Data[[#This Row],[TotalWorkingYears]]&lt;=5,1,IF(HR_Data[[#This Row],[TotalWorkingYears]]&lt;=10,2,IF(HR_Data[[#This Row],[TotalWorkingYears]]&lt;=20,3,4)))</f>
        <v>3</v>
      </c>
    </row>
    <row r="1451" spans="1:46" x14ac:dyDescent="0.25">
      <c r="A1451">
        <v>32</v>
      </c>
      <c r="B1451" t="s">
        <v>36</v>
      </c>
      <c r="C1451" t="s">
        <v>30</v>
      </c>
      <c r="D1451" t="s">
        <v>38</v>
      </c>
      <c r="E1451">
        <v>2</v>
      </c>
      <c r="F1451">
        <v>3</v>
      </c>
      <c r="G1451" t="s">
        <v>53</v>
      </c>
      <c r="H1451">
        <v>2038</v>
      </c>
      <c r="I1451">
        <v>4</v>
      </c>
      <c r="J1451" t="s">
        <v>39</v>
      </c>
      <c r="K1451">
        <v>3</v>
      </c>
      <c r="L1451">
        <v>1</v>
      </c>
      <c r="M1451" t="s">
        <v>40</v>
      </c>
      <c r="N1451">
        <v>1</v>
      </c>
      <c r="O1451" t="s">
        <v>35</v>
      </c>
      <c r="P1451">
        <v>2439</v>
      </c>
      <c r="Q1451">
        <v>1</v>
      </c>
      <c r="R1451" t="s">
        <v>36</v>
      </c>
      <c r="S1451">
        <v>14</v>
      </c>
      <c r="T1451">
        <v>3</v>
      </c>
      <c r="U1451">
        <v>4</v>
      </c>
      <c r="V1451">
        <v>0</v>
      </c>
      <c r="W1451">
        <v>4</v>
      </c>
      <c r="X1451">
        <v>4</v>
      </c>
      <c r="Y1451">
        <v>3</v>
      </c>
      <c r="Z1451">
        <v>4</v>
      </c>
      <c r="AA1451">
        <v>2</v>
      </c>
      <c r="AB1451">
        <v>1</v>
      </c>
      <c r="AC1451">
        <v>2</v>
      </c>
      <c r="AD1451">
        <f>IF(HR_Data[[#This Row],[Attrition]]="Yes",1,0)</f>
        <v>0</v>
      </c>
      <c r="AE1451" t="str">
        <f>IF(HR_Data[[#This Row],[Age]]&lt;=25,"18-25",IF(HR_Data[[#This Row],[Age]]&lt;=35,"26-35",IF(HR_Data[[#This Row],[Age]]&lt;=45,"36-45",IF(HR_Data[[#This Row],[Age]]&lt;=55,"46-55","55+"))))</f>
        <v>26-35</v>
      </c>
      <c r="AF1451">
        <f>IF(HR_Data[[#This Row],[Age]]&lt;=25,1,IF(HR_Data[[#This Row],[Age]]&lt;=35,2,IF(HR_Data[[#This Row],[Age]]&lt;=45,3,IF(HR_Data[[#This Row],[Age]]&lt;=55,4,5))))</f>
        <v>2</v>
      </c>
      <c r="AG1451" s="1" t="str">
        <f>IF(HR_Data[[#This Row],[MonthlyIncome]]&lt;3000,"&lt;3K",IF(HR_Data[[#This Row],[MonthlyIncome]]&lt;6000,"3K-6K",IF(HR_Data[[#This Row],[MonthlyIncome]]&lt;10000,"6K-10K","10K+")))</f>
        <v>&lt;3K</v>
      </c>
      <c r="AH1451" s="1">
        <f>IF(HR_Data[[#This Row],[MonthlyIncome]]&lt;3000,1,IF(HR_Data[[#This Row],[MonthlyIncome]]&lt;6000,2,IF(HR_Data[[#This Row],[MonthlyIncome]]&lt;10000,3,4)))</f>
        <v>1</v>
      </c>
      <c r="AI1451" s="1" t="str">
        <f>IF(HR_Data[[#This Row],[YearsAtCompany]]&lt;=2,"0-2 Yrs",IF(HR_Data[[#This Row],[YearsAtCompany]]&lt;=5,"3-5 Yrs",IF(HR_Data[[#This Row],[YearsAtCompany]]&lt;=10,"6-10 Yrs","10+ Yrs")))</f>
        <v>3-5 Yrs</v>
      </c>
      <c r="AJ1451" s="1">
        <f>IF(HR_Data[[#This Row],[YearsAtCompany]]&lt;=2,1,IF(HR_Data[[#This Row],[YearsAtCompany]]&lt;=5,2,IF(HR_Data[[#This Row],[YearsAtCompany]]&lt;=10,3,4)))</f>
        <v>2</v>
      </c>
      <c r="AK1451" s="1" t="str">
        <f>CHOOSE(HR_Data[[#This Row],[Education]],"Below College","College","Bachelor","Master","Doctor")</f>
        <v>Bachelor</v>
      </c>
      <c r="AL1451" s="1" t="str">
        <f>CHOOSE(HR_Data[[#This Row],[JobSatisfaction]],"Low","Medium","High","Very High")</f>
        <v>Low</v>
      </c>
      <c r="AM1451" s="1" t="str">
        <f>CHOOSE(HR_Data[[#This Row],[EnvironmentSatisfaction]],"Low","Medium","High","Very High")</f>
        <v>Very High</v>
      </c>
      <c r="AN1451" s="1" t="str">
        <f>CHOOSE(HR_Data[[#This Row],[WorkLifeBalance]],"Bad","Good","Better","Best")</f>
        <v>Better</v>
      </c>
      <c r="AO1451" s="1" t="str">
        <f>IF(HR_Data[[#This Row],[PercentSalaryHike]]&lt;=13,"11-13%",IF(HR_Data[[#This Row],[PercentSalaryHike]]&lt;=16,"14-16%",IF(HR_Data[[#This Row],[PercentSalaryHike]]&lt;=19,"17-19%","20-25%")))</f>
        <v>14-16%</v>
      </c>
      <c r="AP1451" s="1">
        <f>IF(HR_Data[[#This Row],[PercentSalaryHike]]&lt;=13,1,IF(HR_Data[[#This Row],[PercentSalaryHike]]&lt;=16,2,IF(HR_Data[[#This Row],[PercentSalaryHike]]&lt;=19,3,4)))</f>
        <v>2</v>
      </c>
      <c r="AQ1451" s="1" t="str">
        <f>IF(HR_Data[[#This Row],[DistanceFromHome]]&lt;=5,"1 to 5",IF(HR_Data[[#This Row],[DistanceFromHome]]&lt;=10,"6 to 10",IF(HR_Data[[#This Row],[DistanceFromHome]]&lt;=20,"11 to 20","21 to 29")))</f>
        <v>1 to 5</v>
      </c>
      <c r="AR1451" s="1">
        <f>IF(HR_Data[[#This Row],[DistanceFromHome]]&lt;=5,1,IF(HR_Data[[#This Row],[DistanceFromHome]]&lt;=10,2,IF(HR_Data[[#This Row],[DistanceFromHome]]&lt;=20,3,4)))</f>
        <v>1</v>
      </c>
      <c r="AS1451" s="1" t="str">
        <f>IF(HR_Data[[#This Row],[TotalWorkingYears]]&lt;=5,"0-5 Yrs",IF(HR_Data[[#This Row],[TotalWorkingYears]]&lt;=10,"6-10 Yrs",IF(HR_Data[[#This Row],[TotalWorkingYears]]&lt;=20,"11-20 Yrs","20+ Yrs")))</f>
        <v>0-5 Yrs</v>
      </c>
      <c r="AT1451" s="1">
        <f>IF(HR_Data[[#This Row],[TotalWorkingYears]]&lt;=5,1,IF(HR_Data[[#This Row],[TotalWorkingYears]]&lt;=10,2,IF(HR_Data[[#This Row],[TotalWorkingYears]]&lt;=20,3,4)))</f>
        <v>1</v>
      </c>
    </row>
    <row r="1452" spans="1:46" x14ac:dyDescent="0.25">
      <c r="A1452">
        <v>35</v>
      </c>
      <c r="B1452" t="s">
        <v>36</v>
      </c>
      <c r="C1452" t="s">
        <v>30</v>
      </c>
      <c r="D1452" t="s">
        <v>54</v>
      </c>
      <c r="E1452">
        <v>26</v>
      </c>
      <c r="F1452">
        <v>4</v>
      </c>
      <c r="G1452" t="s">
        <v>32</v>
      </c>
      <c r="H1452">
        <v>2040</v>
      </c>
      <c r="I1452">
        <v>3</v>
      </c>
      <c r="J1452" t="s">
        <v>33</v>
      </c>
      <c r="K1452">
        <v>3</v>
      </c>
      <c r="L1452">
        <v>3</v>
      </c>
      <c r="M1452" t="s">
        <v>54</v>
      </c>
      <c r="N1452">
        <v>4</v>
      </c>
      <c r="O1452" t="s">
        <v>35</v>
      </c>
      <c r="P1452">
        <v>8837</v>
      </c>
      <c r="Q1452">
        <v>1</v>
      </c>
      <c r="R1452" t="s">
        <v>29</v>
      </c>
      <c r="S1452">
        <v>16</v>
      </c>
      <c r="T1452">
        <v>3</v>
      </c>
      <c r="U1452">
        <v>3</v>
      </c>
      <c r="V1452">
        <v>0</v>
      </c>
      <c r="W1452">
        <v>9</v>
      </c>
      <c r="X1452">
        <v>2</v>
      </c>
      <c r="Y1452">
        <v>3</v>
      </c>
      <c r="Z1452">
        <v>9</v>
      </c>
      <c r="AA1452">
        <v>0</v>
      </c>
      <c r="AB1452">
        <v>1</v>
      </c>
      <c r="AC1452">
        <v>7</v>
      </c>
      <c r="AD1452">
        <f>IF(HR_Data[[#This Row],[Attrition]]="Yes",1,0)</f>
        <v>0</v>
      </c>
      <c r="AE1452" t="str">
        <f>IF(HR_Data[[#This Row],[Age]]&lt;=25,"18-25",IF(HR_Data[[#This Row],[Age]]&lt;=35,"26-35",IF(HR_Data[[#This Row],[Age]]&lt;=45,"36-45",IF(HR_Data[[#This Row],[Age]]&lt;=55,"46-55","55+"))))</f>
        <v>26-35</v>
      </c>
      <c r="AF1452">
        <f>IF(HR_Data[[#This Row],[Age]]&lt;=25,1,IF(HR_Data[[#This Row],[Age]]&lt;=35,2,IF(HR_Data[[#This Row],[Age]]&lt;=45,3,IF(HR_Data[[#This Row],[Age]]&lt;=55,4,5))))</f>
        <v>2</v>
      </c>
      <c r="AG1452" s="1" t="str">
        <f>IF(HR_Data[[#This Row],[MonthlyIncome]]&lt;3000,"&lt;3K",IF(HR_Data[[#This Row],[MonthlyIncome]]&lt;6000,"3K-6K",IF(HR_Data[[#This Row],[MonthlyIncome]]&lt;10000,"6K-10K","10K+")))</f>
        <v>6K-10K</v>
      </c>
      <c r="AH1452" s="1">
        <f>IF(HR_Data[[#This Row],[MonthlyIncome]]&lt;3000,1,IF(HR_Data[[#This Row],[MonthlyIncome]]&lt;6000,2,IF(HR_Data[[#This Row],[MonthlyIncome]]&lt;10000,3,4)))</f>
        <v>3</v>
      </c>
      <c r="AI1452" s="1" t="str">
        <f>IF(HR_Data[[#This Row],[YearsAtCompany]]&lt;=2,"0-2 Yrs",IF(HR_Data[[#This Row],[YearsAtCompany]]&lt;=5,"3-5 Yrs",IF(HR_Data[[#This Row],[YearsAtCompany]]&lt;=10,"6-10 Yrs","10+ Yrs")))</f>
        <v>6-10 Yrs</v>
      </c>
      <c r="AJ1452" s="1">
        <f>IF(HR_Data[[#This Row],[YearsAtCompany]]&lt;=2,1,IF(HR_Data[[#This Row],[YearsAtCompany]]&lt;=5,2,IF(HR_Data[[#This Row],[YearsAtCompany]]&lt;=10,3,4)))</f>
        <v>3</v>
      </c>
      <c r="AK1452" s="1" t="str">
        <f>CHOOSE(HR_Data[[#This Row],[Education]],"Below College","College","Bachelor","Master","Doctor")</f>
        <v>Master</v>
      </c>
      <c r="AL1452" s="1" t="str">
        <f>CHOOSE(HR_Data[[#This Row],[JobSatisfaction]],"Low","Medium","High","Very High")</f>
        <v>Very High</v>
      </c>
      <c r="AM1452" s="1" t="str">
        <f>CHOOSE(HR_Data[[#This Row],[EnvironmentSatisfaction]],"Low","Medium","High","Very High")</f>
        <v>High</v>
      </c>
      <c r="AN1452" s="1" t="str">
        <f>CHOOSE(HR_Data[[#This Row],[WorkLifeBalance]],"Bad","Good","Better","Best")</f>
        <v>Better</v>
      </c>
      <c r="AO1452" s="1" t="str">
        <f>IF(HR_Data[[#This Row],[PercentSalaryHike]]&lt;=13,"11-13%",IF(HR_Data[[#This Row],[PercentSalaryHike]]&lt;=16,"14-16%",IF(HR_Data[[#This Row],[PercentSalaryHike]]&lt;=19,"17-19%","20-25%")))</f>
        <v>14-16%</v>
      </c>
      <c r="AP1452" s="1">
        <f>IF(HR_Data[[#This Row],[PercentSalaryHike]]&lt;=13,1,IF(HR_Data[[#This Row],[PercentSalaryHike]]&lt;=16,2,IF(HR_Data[[#This Row],[PercentSalaryHike]]&lt;=19,3,4)))</f>
        <v>2</v>
      </c>
      <c r="AQ1452" s="1" t="str">
        <f>IF(HR_Data[[#This Row],[DistanceFromHome]]&lt;=5,"1 to 5",IF(HR_Data[[#This Row],[DistanceFromHome]]&lt;=10,"6 to 10",IF(HR_Data[[#This Row],[DistanceFromHome]]&lt;=20,"11 to 20","21 to 29")))</f>
        <v>21 to 29</v>
      </c>
      <c r="AR1452" s="1">
        <f>IF(HR_Data[[#This Row],[DistanceFromHome]]&lt;=5,1,IF(HR_Data[[#This Row],[DistanceFromHome]]&lt;=10,2,IF(HR_Data[[#This Row],[DistanceFromHome]]&lt;=20,3,4)))</f>
        <v>4</v>
      </c>
      <c r="AS1452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452" s="1">
        <f>IF(HR_Data[[#This Row],[TotalWorkingYears]]&lt;=5,1,IF(HR_Data[[#This Row],[TotalWorkingYears]]&lt;=10,2,IF(HR_Data[[#This Row],[TotalWorkingYears]]&lt;=20,3,4)))</f>
        <v>2</v>
      </c>
    </row>
    <row r="1453" spans="1:46" x14ac:dyDescent="0.25">
      <c r="A1453">
        <v>38</v>
      </c>
      <c r="B1453" t="s">
        <v>36</v>
      </c>
      <c r="C1453" t="s">
        <v>30</v>
      </c>
      <c r="D1453" t="s">
        <v>31</v>
      </c>
      <c r="E1453">
        <v>10</v>
      </c>
      <c r="F1453">
        <v>2</v>
      </c>
      <c r="G1453" t="s">
        <v>32</v>
      </c>
      <c r="H1453">
        <v>2041</v>
      </c>
      <c r="I1453">
        <v>1</v>
      </c>
      <c r="J1453" t="s">
        <v>33</v>
      </c>
      <c r="K1453">
        <v>3</v>
      </c>
      <c r="L1453">
        <v>2</v>
      </c>
      <c r="M1453" t="s">
        <v>34</v>
      </c>
      <c r="N1453">
        <v>4</v>
      </c>
      <c r="O1453" t="s">
        <v>41</v>
      </c>
      <c r="P1453">
        <v>5343</v>
      </c>
      <c r="Q1453">
        <v>1</v>
      </c>
      <c r="R1453" t="s">
        <v>36</v>
      </c>
      <c r="S1453">
        <v>11</v>
      </c>
      <c r="T1453">
        <v>3</v>
      </c>
      <c r="U1453">
        <v>3</v>
      </c>
      <c r="V1453">
        <v>1</v>
      </c>
      <c r="W1453">
        <v>10</v>
      </c>
      <c r="X1453">
        <v>1</v>
      </c>
      <c r="Y1453">
        <v>3</v>
      </c>
      <c r="Z1453">
        <v>10</v>
      </c>
      <c r="AA1453">
        <v>7</v>
      </c>
      <c r="AB1453">
        <v>1</v>
      </c>
      <c r="AC1453">
        <v>9</v>
      </c>
      <c r="AD1453">
        <f>IF(HR_Data[[#This Row],[Attrition]]="Yes",1,0)</f>
        <v>0</v>
      </c>
      <c r="AE1453" t="str">
        <f>IF(HR_Data[[#This Row],[Age]]&lt;=25,"18-25",IF(HR_Data[[#This Row],[Age]]&lt;=35,"26-35",IF(HR_Data[[#This Row],[Age]]&lt;=45,"36-45",IF(HR_Data[[#This Row],[Age]]&lt;=55,"46-55","55+"))))</f>
        <v>36-45</v>
      </c>
      <c r="AF1453">
        <f>IF(HR_Data[[#This Row],[Age]]&lt;=25,1,IF(HR_Data[[#This Row],[Age]]&lt;=35,2,IF(HR_Data[[#This Row],[Age]]&lt;=45,3,IF(HR_Data[[#This Row],[Age]]&lt;=55,4,5))))</f>
        <v>3</v>
      </c>
      <c r="AG1453" s="1" t="str">
        <f>IF(HR_Data[[#This Row],[MonthlyIncome]]&lt;3000,"&lt;3K",IF(HR_Data[[#This Row],[MonthlyIncome]]&lt;6000,"3K-6K",IF(HR_Data[[#This Row],[MonthlyIncome]]&lt;10000,"6K-10K","10K+")))</f>
        <v>3K-6K</v>
      </c>
      <c r="AH1453" s="1">
        <f>IF(HR_Data[[#This Row],[MonthlyIncome]]&lt;3000,1,IF(HR_Data[[#This Row],[MonthlyIncome]]&lt;6000,2,IF(HR_Data[[#This Row],[MonthlyIncome]]&lt;10000,3,4)))</f>
        <v>2</v>
      </c>
      <c r="AI1453" s="1" t="str">
        <f>IF(HR_Data[[#This Row],[YearsAtCompany]]&lt;=2,"0-2 Yrs",IF(HR_Data[[#This Row],[YearsAtCompany]]&lt;=5,"3-5 Yrs",IF(HR_Data[[#This Row],[YearsAtCompany]]&lt;=10,"6-10 Yrs","10+ Yrs")))</f>
        <v>6-10 Yrs</v>
      </c>
      <c r="AJ1453" s="1">
        <f>IF(HR_Data[[#This Row],[YearsAtCompany]]&lt;=2,1,IF(HR_Data[[#This Row],[YearsAtCompany]]&lt;=5,2,IF(HR_Data[[#This Row],[YearsAtCompany]]&lt;=10,3,4)))</f>
        <v>3</v>
      </c>
      <c r="AK1453" s="1" t="str">
        <f>CHOOSE(HR_Data[[#This Row],[Education]],"Below College","College","Bachelor","Master","Doctor")</f>
        <v>College</v>
      </c>
      <c r="AL1453" s="1" t="str">
        <f>CHOOSE(HR_Data[[#This Row],[JobSatisfaction]],"Low","Medium","High","Very High")</f>
        <v>Very High</v>
      </c>
      <c r="AM1453" s="1" t="str">
        <f>CHOOSE(HR_Data[[#This Row],[EnvironmentSatisfaction]],"Low","Medium","High","Very High")</f>
        <v>Low</v>
      </c>
      <c r="AN1453" s="1" t="str">
        <f>CHOOSE(HR_Data[[#This Row],[WorkLifeBalance]],"Bad","Good","Better","Best")</f>
        <v>Better</v>
      </c>
      <c r="AO1453" s="1" t="str">
        <f>IF(HR_Data[[#This Row],[PercentSalaryHike]]&lt;=13,"11-13%",IF(HR_Data[[#This Row],[PercentSalaryHike]]&lt;=16,"14-16%",IF(HR_Data[[#This Row],[PercentSalaryHike]]&lt;=19,"17-19%","20-25%")))</f>
        <v>11-13%</v>
      </c>
      <c r="AP1453" s="1">
        <f>IF(HR_Data[[#This Row],[PercentSalaryHike]]&lt;=13,1,IF(HR_Data[[#This Row],[PercentSalaryHike]]&lt;=16,2,IF(HR_Data[[#This Row],[PercentSalaryHike]]&lt;=19,3,4)))</f>
        <v>1</v>
      </c>
      <c r="AQ1453" s="1" t="str">
        <f>IF(HR_Data[[#This Row],[DistanceFromHome]]&lt;=5,"1 to 5",IF(HR_Data[[#This Row],[DistanceFromHome]]&lt;=10,"6 to 10",IF(HR_Data[[#This Row],[DistanceFromHome]]&lt;=20,"11 to 20","21 to 29")))</f>
        <v>6 to 10</v>
      </c>
      <c r="AR1453" s="1">
        <f>IF(HR_Data[[#This Row],[DistanceFromHome]]&lt;=5,1,IF(HR_Data[[#This Row],[DistanceFromHome]]&lt;=10,2,IF(HR_Data[[#This Row],[DistanceFromHome]]&lt;=20,3,4)))</f>
        <v>2</v>
      </c>
      <c r="AS1453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453" s="1">
        <f>IF(HR_Data[[#This Row],[TotalWorkingYears]]&lt;=5,1,IF(HR_Data[[#This Row],[TotalWorkingYears]]&lt;=10,2,IF(HR_Data[[#This Row],[TotalWorkingYears]]&lt;=20,3,4)))</f>
        <v>2</v>
      </c>
    </row>
    <row r="1454" spans="1:46" x14ac:dyDescent="0.25">
      <c r="A1454">
        <v>50</v>
      </c>
      <c r="B1454" t="s">
        <v>29</v>
      </c>
      <c r="C1454" t="s">
        <v>37</v>
      </c>
      <c r="D1454" t="s">
        <v>31</v>
      </c>
      <c r="E1454">
        <v>1</v>
      </c>
      <c r="F1454">
        <v>4</v>
      </c>
      <c r="G1454" t="s">
        <v>32</v>
      </c>
      <c r="H1454">
        <v>2044</v>
      </c>
      <c r="I1454">
        <v>2</v>
      </c>
      <c r="J1454" t="s">
        <v>39</v>
      </c>
      <c r="K1454">
        <v>3</v>
      </c>
      <c r="L1454">
        <v>2</v>
      </c>
      <c r="M1454" t="s">
        <v>34</v>
      </c>
      <c r="N1454">
        <v>3</v>
      </c>
      <c r="O1454" t="s">
        <v>45</v>
      </c>
      <c r="P1454">
        <v>6728</v>
      </c>
      <c r="Q1454">
        <v>7</v>
      </c>
      <c r="R1454" t="s">
        <v>36</v>
      </c>
      <c r="S1454">
        <v>12</v>
      </c>
      <c r="T1454">
        <v>3</v>
      </c>
      <c r="U1454">
        <v>4</v>
      </c>
      <c r="V1454">
        <v>2</v>
      </c>
      <c r="W1454">
        <v>12</v>
      </c>
      <c r="X1454">
        <v>3</v>
      </c>
      <c r="Y1454">
        <v>3</v>
      </c>
      <c r="Z1454">
        <v>6</v>
      </c>
      <c r="AA1454">
        <v>3</v>
      </c>
      <c r="AB1454">
        <v>0</v>
      </c>
      <c r="AC1454">
        <v>1</v>
      </c>
      <c r="AD1454">
        <f>IF(HR_Data[[#This Row],[Attrition]]="Yes",1,0)</f>
        <v>1</v>
      </c>
      <c r="AE1454" t="str">
        <f>IF(HR_Data[[#This Row],[Age]]&lt;=25,"18-25",IF(HR_Data[[#This Row],[Age]]&lt;=35,"26-35",IF(HR_Data[[#This Row],[Age]]&lt;=45,"36-45",IF(HR_Data[[#This Row],[Age]]&lt;=55,"46-55","55+"))))</f>
        <v>46-55</v>
      </c>
      <c r="AF1454">
        <f>IF(HR_Data[[#This Row],[Age]]&lt;=25,1,IF(HR_Data[[#This Row],[Age]]&lt;=35,2,IF(HR_Data[[#This Row],[Age]]&lt;=45,3,IF(HR_Data[[#This Row],[Age]]&lt;=55,4,5))))</f>
        <v>4</v>
      </c>
      <c r="AG1454" s="1" t="str">
        <f>IF(HR_Data[[#This Row],[MonthlyIncome]]&lt;3000,"&lt;3K",IF(HR_Data[[#This Row],[MonthlyIncome]]&lt;6000,"3K-6K",IF(HR_Data[[#This Row],[MonthlyIncome]]&lt;10000,"6K-10K","10K+")))</f>
        <v>6K-10K</v>
      </c>
      <c r="AH1454" s="1">
        <f>IF(HR_Data[[#This Row],[MonthlyIncome]]&lt;3000,1,IF(HR_Data[[#This Row],[MonthlyIncome]]&lt;6000,2,IF(HR_Data[[#This Row],[MonthlyIncome]]&lt;10000,3,4)))</f>
        <v>3</v>
      </c>
      <c r="AI1454" s="1" t="str">
        <f>IF(HR_Data[[#This Row],[YearsAtCompany]]&lt;=2,"0-2 Yrs",IF(HR_Data[[#This Row],[YearsAtCompany]]&lt;=5,"3-5 Yrs",IF(HR_Data[[#This Row],[YearsAtCompany]]&lt;=10,"6-10 Yrs","10+ Yrs")))</f>
        <v>6-10 Yrs</v>
      </c>
      <c r="AJ1454" s="1">
        <f>IF(HR_Data[[#This Row],[YearsAtCompany]]&lt;=2,1,IF(HR_Data[[#This Row],[YearsAtCompany]]&lt;=5,2,IF(HR_Data[[#This Row],[YearsAtCompany]]&lt;=10,3,4)))</f>
        <v>3</v>
      </c>
      <c r="AK1454" s="1" t="str">
        <f>CHOOSE(HR_Data[[#This Row],[Education]],"Below College","College","Bachelor","Master","Doctor")</f>
        <v>Master</v>
      </c>
      <c r="AL1454" s="1" t="str">
        <f>CHOOSE(HR_Data[[#This Row],[JobSatisfaction]],"Low","Medium","High","Very High")</f>
        <v>High</v>
      </c>
      <c r="AM1454" s="1" t="str">
        <f>CHOOSE(HR_Data[[#This Row],[EnvironmentSatisfaction]],"Low","Medium","High","Very High")</f>
        <v>Medium</v>
      </c>
      <c r="AN1454" s="1" t="str">
        <f>CHOOSE(HR_Data[[#This Row],[WorkLifeBalance]],"Bad","Good","Better","Best")</f>
        <v>Better</v>
      </c>
      <c r="AO1454" s="1" t="str">
        <f>IF(HR_Data[[#This Row],[PercentSalaryHike]]&lt;=13,"11-13%",IF(HR_Data[[#This Row],[PercentSalaryHike]]&lt;=16,"14-16%",IF(HR_Data[[#This Row],[PercentSalaryHike]]&lt;=19,"17-19%","20-25%")))</f>
        <v>11-13%</v>
      </c>
      <c r="AP1454" s="1">
        <f>IF(HR_Data[[#This Row],[PercentSalaryHike]]&lt;=13,1,IF(HR_Data[[#This Row],[PercentSalaryHike]]&lt;=16,2,IF(HR_Data[[#This Row],[PercentSalaryHike]]&lt;=19,3,4)))</f>
        <v>1</v>
      </c>
      <c r="AQ1454" s="1" t="str">
        <f>IF(HR_Data[[#This Row],[DistanceFromHome]]&lt;=5,"1 to 5",IF(HR_Data[[#This Row],[DistanceFromHome]]&lt;=10,"6 to 10",IF(HR_Data[[#This Row],[DistanceFromHome]]&lt;=20,"11 to 20","21 to 29")))</f>
        <v>1 to 5</v>
      </c>
      <c r="AR1454" s="1">
        <f>IF(HR_Data[[#This Row],[DistanceFromHome]]&lt;=5,1,IF(HR_Data[[#This Row],[DistanceFromHome]]&lt;=10,2,IF(HR_Data[[#This Row],[DistanceFromHome]]&lt;=20,3,4)))</f>
        <v>1</v>
      </c>
      <c r="AS1454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454" s="1">
        <f>IF(HR_Data[[#This Row],[TotalWorkingYears]]&lt;=5,1,IF(HR_Data[[#This Row],[TotalWorkingYears]]&lt;=10,2,IF(HR_Data[[#This Row],[TotalWorkingYears]]&lt;=20,3,4)))</f>
        <v>3</v>
      </c>
    </row>
    <row r="1455" spans="1:46" x14ac:dyDescent="0.25">
      <c r="A1455">
        <v>36</v>
      </c>
      <c r="B1455" t="s">
        <v>36</v>
      </c>
      <c r="C1455" t="s">
        <v>30</v>
      </c>
      <c r="D1455" t="s">
        <v>31</v>
      </c>
      <c r="E1455">
        <v>11</v>
      </c>
      <c r="F1455">
        <v>4</v>
      </c>
      <c r="G1455" t="s">
        <v>52</v>
      </c>
      <c r="H1455">
        <v>2045</v>
      </c>
      <c r="I1455">
        <v>2</v>
      </c>
      <c r="J1455" t="s">
        <v>33</v>
      </c>
      <c r="K1455">
        <v>2</v>
      </c>
      <c r="L1455">
        <v>2</v>
      </c>
      <c r="M1455" t="s">
        <v>34</v>
      </c>
      <c r="N1455">
        <v>4</v>
      </c>
      <c r="O1455" t="s">
        <v>41</v>
      </c>
      <c r="P1455">
        <v>6652</v>
      </c>
      <c r="Q1455">
        <v>4</v>
      </c>
      <c r="R1455" t="s">
        <v>36</v>
      </c>
      <c r="S1455">
        <v>13</v>
      </c>
      <c r="T1455">
        <v>3</v>
      </c>
      <c r="U1455">
        <v>1</v>
      </c>
      <c r="V1455">
        <v>1</v>
      </c>
      <c r="W1455">
        <v>8</v>
      </c>
      <c r="X1455">
        <v>2</v>
      </c>
      <c r="Y1455">
        <v>2</v>
      </c>
      <c r="Z1455">
        <v>6</v>
      </c>
      <c r="AA1455">
        <v>3</v>
      </c>
      <c r="AB1455">
        <v>0</v>
      </c>
      <c r="AC1455">
        <v>0</v>
      </c>
      <c r="AD1455">
        <f>IF(HR_Data[[#This Row],[Attrition]]="Yes",1,0)</f>
        <v>0</v>
      </c>
      <c r="AE1455" t="str">
        <f>IF(HR_Data[[#This Row],[Age]]&lt;=25,"18-25",IF(HR_Data[[#This Row],[Age]]&lt;=35,"26-35",IF(HR_Data[[#This Row],[Age]]&lt;=45,"36-45",IF(HR_Data[[#This Row],[Age]]&lt;=55,"46-55","55+"))))</f>
        <v>36-45</v>
      </c>
      <c r="AF1455">
        <f>IF(HR_Data[[#This Row],[Age]]&lt;=25,1,IF(HR_Data[[#This Row],[Age]]&lt;=35,2,IF(HR_Data[[#This Row],[Age]]&lt;=45,3,IF(HR_Data[[#This Row],[Age]]&lt;=55,4,5))))</f>
        <v>3</v>
      </c>
      <c r="AG1455" s="1" t="str">
        <f>IF(HR_Data[[#This Row],[MonthlyIncome]]&lt;3000,"&lt;3K",IF(HR_Data[[#This Row],[MonthlyIncome]]&lt;6000,"3K-6K",IF(HR_Data[[#This Row],[MonthlyIncome]]&lt;10000,"6K-10K","10K+")))</f>
        <v>6K-10K</v>
      </c>
      <c r="AH1455" s="1">
        <f>IF(HR_Data[[#This Row],[MonthlyIncome]]&lt;3000,1,IF(HR_Data[[#This Row],[MonthlyIncome]]&lt;6000,2,IF(HR_Data[[#This Row],[MonthlyIncome]]&lt;10000,3,4)))</f>
        <v>3</v>
      </c>
      <c r="AI1455" s="1" t="str">
        <f>IF(HR_Data[[#This Row],[YearsAtCompany]]&lt;=2,"0-2 Yrs",IF(HR_Data[[#This Row],[YearsAtCompany]]&lt;=5,"3-5 Yrs",IF(HR_Data[[#This Row],[YearsAtCompany]]&lt;=10,"6-10 Yrs","10+ Yrs")))</f>
        <v>6-10 Yrs</v>
      </c>
      <c r="AJ1455" s="1">
        <f>IF(HR_Data[[#This Row],[YearsAtCompany]]&lt;=2,1,IF(HR_Data[[#This Row],[YearsAtCompany]]&lt;=5,2,IF(HR_Data[[#This Row],[YearsAtCompany]]&lt;=10,3,4)))</f>
        <v>3</v>
      </c>
      <c r="AK1455" s="1" t="str">
        <f>CHOOSE(HR_Data[[#This Row],[Education]],"Below College","College","Bachelor","Master","Doctor")</f>
        <v>Master</v>
      </c>
      <c r="AL1455" s="1" t="str">
        <f>CHOOSE(HR_Data[[#This Row],[JobSatisfaction]],"Low","Medium","High","Very High")</f>
        <v>Very High</v>
      </c>
      <c r="AM1455" s="1" t="str">
        <f>CHOOSE(HR_Data[[#This Row],[EnvironmentSatisfaction]],"Low","Medium","High","Very High")</f>
        <v>Medium</v>
      </c>
      <c r="AN1455" s="1" t="str">
        <f>CHOOSE(HR_Data[[#This Row],[WorkLifeBalance]],"Bad","Good","Better","Best")</f>
        <v>Good</v>
      </c>
      <c r="AO1455" s="1" t="str">
        <f>IF(HR_Data[[#This Row],[PercentSalaryHike]]&lt;=13,"11-13%",IF(HR_Data[[#This Row],[PercentSalaryHike]]&lt;=16,"14-16%",IF(HR_Data[[#This Row],[PercentSalaryHike]]&lt;=19,"17-19%","20-25%")))</f>
        <v>11-13%</v>
      </c>
      <c r="AP1455" s="1">
        <f>IF(HR_Data[[#This Row],[PercentSalaryHike]]&lt;=13,1,IF(HR_Data[[#This Row],[PercentSalaryHike]]&lt;=16,2,IF(HR_Data[[#This Row],[PercentSalaryHike]]&lt;=19,3,4)))</f>
        <v>1</v>
      </c>
      <c r="AQ1455" s="1" t="str">
        <f>IF(HR_Data[[#This Row],[DistanceFromHome]]&lt;=5,"1 to 5",IF(HR_Data[[#This Row],[DistanceFromHome]]&lt;=10,"6 to 10",IF(HR_Data[[#This Row],[DistanceFromHome]]&lt;=20,"11 to 20","21 to 29")))</f>
        <v>11 to 20</v>
      </c>
      <c r="AR1455" s="1">
        <f>IF(HR_Data[[#This Row],[DistanceFromHome]]&lt;=5,1,IF(HR_Data[[#This Row],[DistanceFromHome]]&lt;=10,2,IF(HR_Data[[#This Row],[DistanceFromHome]]&lt;=20,3,4)))</f>
        <v>3</v>
      </c>
      <c r="AS1455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455" s="1">
        <f>IF(HR_Data[[#This Row],[TotalWorkingYears]]&lt;=5,1,IF(HR_Data[[#This Row],[TotalWorkingYears]]&lt;=10,2,IF(HR_Data[[#This Row],[TotalWorkingYears]]&lt;=20,3,4)))</f>
        <v>2</v>
      </c>
    </row>
    <row r="1456" spans="1:46" x14ac:dyDescent="0.25">
      <c r="A1456">
        <v>45</v>
      </c>
      <c r="B1456" t="s">
        <v>36</v>
      </c>
      <c r="C1456" t="s">
        <v>30</v>
      </c>
      <c r="D1456" t="s">
        <v>31</v>
      </c>
      <c r="E1456">
        <v>20</v>
      </c>
      <c r="F1456">
        <v>3</v>
      </c>
      <c r="G1456" t="s">
        <v>32</v>
      </c>
      <c r="H1456">
        <v>2046</v>
      </c>
      <c r="I1456">
        <v>4</v>
      </c>
      <c r="J1456" t="s">
        <v>33</v>
      </c>
      <c r="K1456">
        <v>3</v>
      </c>
      <c r="L1456">
        <v>2</v>
      </c>
      <c r="M1456" t="s">
        <v>34</v>
      </c>
      <c r="N1456">
        <v>3</v>
      </c>
      <c r="O1456" t="s">
        <v>35</v>
      </c>
      <c r="P1456">
        <v>4850</v>
      </c>
      <c r="Q1456">
        <v>8</v>
      </c>
      <c r="R1456" t="s">
        <v>36</v>
      </c>
      <c r="S1456">
        <v>15</v>
      </c>
      <c r="T1456">
        <v>3</v>
      </c>
      <c r="U1456">
        <v>3</v>
      </c>
      <c r="V1456">
        <v>0</v>
      </c>
      <c r="W1456">
        <v>8</v>
      </c>
      <c r="X1456">
        <v>3</v>
      </c>
      <c r="Y1456">
        <v>3</v>
      </c>
      <c r="Z1456">
        <v>5</v>
      </c>
      <c r="AA1456">
        <v>3</v>
      </c>
      <c r="AB1456">
        <v>0</v>
      </c>
      <c r="AC1456">
        <v>1</v>
      </c>
      <c r="AD1456">
        <f>IF(HR_Data[[#This Row],[Attrition]]="Yes",1,0)</f>
        <v>0</v>
      </c>
      <c r="AE1456" t="str">
        <f>IF(HR_Data[[#This Row],[Age]]&lt;=25,"18-25",IF(HR_Data[[#This Row],[Age]]&lt;=35,"26-35",IF(HR_Data[[#This Row],[Age]]&lt;=45,"36-45",IF(HR_Data[[#This Row],[Age]]&lt;=55,"46-55","55+"))))</f>
        <v>36-45</v>
      </c>
      <c r="AF1456">
        <f>IF(HR_Data[[#This Row],[Age]]&lt;=25,1,IF(HR_Data[[#This Row],[Age]]&lt;=35,2,IF(HR_Data[[#This Row],[Age]]&lt;=45,3,IF(HR_Data[[#This Row],[Age]]&lt;=55,4,5))))</f>
        <v>3</v>
      </c>
      <c r="AG1456" s="1" t="str">
        <f>IF(HR_Data[[#This Row],[MonthlyIncome]]&lt;3000,"&lt;3K",IF(HR_Data[[#This Row],[MonthlyIncome]]&lt;6000,"3K-6K",IF(HR_Data[[#This Row],[MonthlyIncome]]&lt;10000,"6K-10K","10K+")))</f>
        <v>3K-6K</v>
      </c>
      <c r="AH1456" s="1">
        <f>IF(HR_Data[[#This Row],[MonthlyIncome]]&lt;3000,1,IF(HR_Data[[#This Row],[MonthlyIncome]]&lt;6000,2,IF(HR_Data[[#This Row],[MonthlyIncome]]&lt;10000,3,4)))</f>
        <v>2</v>
      </c>
      <c r="AI1456" s="1" t="str">
        <f>IF(HR_Data[[#This Row],[YearsAtCompany]]&lt;=2,"0-2 Yrs",IF(HR_Data[[#This Row],[YearsAtCompany]]&lt;=5,"3-5 Yrs",IF(HR_Data[[#This Row],[YearsAtCompany]]&lt;=10,"6-10 Yrs","10+ Yrs")))</f>
        <v>3-5 Yrs</v>
      </c>
      <c r="AJ1456" s="1">
        <f>IF(HR_Data[[#This Row],[YearsAtCompany]]&lt;=2,1,IF(HR_Data[[#This Row],[YearsAtCompany]]&lt;=5,2,IF(HR_Data[[#This Row],[YearsAtCompany]]&lt;=10,3,4)))</f>
        <v>2</v>
      </c>
      <c r="AK1456" s="1" t="str">
        <f>CHOOSE(HR_Data[[#This Row],[Education]],"Below College","College","Bachelor","Master","Doctor")</f>
        <v>Bachelor</v>
      </c>
      <c r="AL1456" s="1" t="str">
        <f>CHOOSE(HR_Data[[#This Row],[JobSatisfaction]],"Low","Medium","High","Very High")</f>
        <v>High</v>
      </c>
      <c r="AM1456" s="1" t="str">
        <f>CHOOSE(HR_Data[[#This Row],[EnvironmentSatisfaction]],"Low","Medium","High","Very High")</f>
        <v>Very High</v>
      </c>
      <c r="AN1456" s="1" t="str">
        <f>CHOOSE(HR_Data[[#This Row],[WorkLifeBalance]],"Bad","Good","Better","Best")</f>
        <v>Better</v>
      </c>
      <c r="AO1456" s="1" t="str">
        <f>IF(HR_Data[[#This Row],[PercentSalaryHike]]&lt;=13,"11-13%",IF(HR_Data[[#This Row],[PercentSalaryHike]]&lt;=16,"14-16%",IF(HR_Data[[#This Row],[PercentSalaryHike]]&lt;=19,"17-19%","20-25%")))</f>
        <v>14-16%</v>
      </c>
      <c r="AP1456" s="1">
        <f>IF(HR_Data[[#This Row],[PercentSalaryHike]]&lt;=13,1,IF(HR_Data[[#This Row],[PercentSalaryHike]]&lt;=16,2,IF(HR_Data[[#This Row],[PercentSalaryHike]]&lt;=19,3,4)))</f>
        <v>2</v>
      </c>
      <c r="AQ1456" s="1" t="str">
        <f>IF(HR_Data[[#This Row],[DistanceFromHome]]&lt;=5,"1 to 5",IF(HR_Data[[#This Row],[DistanceFromHome]]&lt;=10,"6 to 10",IF(HR_Data[[#This Row],[DistanceFromHome]]&lt;=20,"11 to 20","21 to 29")))</f>
        <v>11 to 20</v>
      </c>
      <c r="AR1456" s="1">
        <f>IF(HR_Data[[#This Row],[DistanceFromHome]]&lt;=5,1,IF(HR_Data[[#This Row],[DistanceFromHome]]&lt;=10,2,IF(HR_Data[[#This Row],[DistanceFromHome]]&lt;=20,3,4)))</f>
        <v>3</v>
      </c>
      <c r="AS1456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456" s="1">
        <f>IF(HR_Data[[#This Row],[TotalWorkingYears]]&lt;=5,1,IF(HR_Data[[#This Row],[TotalWorkingYears]]&lt;=10,2,IF(HR_Data[[#This Row],[TotalWorkingYears]]&lt;=20,3,4)))</f>
        <v>2</v>
      </c>
    </row>
    <row r="1457" spans="1:46" x14ac:dyDescent="0.25">
      <c r="A1457">
        <v>40</v>
      </c>
      <c r="B1457" t="s">
        <v>36</v>
      </c>
      <c r="C1457" t="s">
        <v>30</v>
      </c>
      <c r="D1457" t="s">
        <v>38</v>
      </c>
      <c r="E1457">
        <v>2</v>
      </c>
      <c r="F1457">
        <v>4</v>
      </c>
      <c r="G1457" t="s">
        <v>32</v>
      </c>
      <c r="H1457">
        <v>2048</v>
      </c>
      <c r="I1457">
        <v>3</v>
      </c>
      <c r="J1457" t="s">
        <v>39</v>
      </c>
      <c r="K1457">
        <v>2</v>
      </c>
      <c r="L1457">
        <v>1</v>
      </c>
      <c r="M1457" t="s">
        <v>40</v>
      </c>
      <c r="N1457">
        <v>3</v>
      </c>
      <c r="O1457" t="s">
        <v>35</v>
      </c>
      <c r="P1457">
        <v>2809</v>
      </c>
      <c r="Q1457">
        <v>2</v>
      </c>
      <c r="R1457" t="s">
        <v>36</v>
      </c>
      <c r="S1457">
        <v>14</v>
      </c>
      <c r="T1457">
        <v>3</v>
      </c>
      <c r="U1457">
        <v>4</v>
      </c>
      <c r="V1457">
        <v>0</v>
      </c>
      <c r="W1457">
        <v>8</v>
      </c>
      <c r="X1457">
        <v>2</v>
      </c>
      <c r="Y1457">
        <v>3</v>
      </c>
      <c r="Z1457">
        <v>2</v>
      </c>
      <c r="AA1457">
        <v>2</v>
      </c>
      <c r="AB1457">
        <v>2</v>
      </c>
      <c r="AC1457">
        <v>2</v>
      </c>
      <c r="AD1457">
        <f>IF(HR_Data[[#This Row],[Attrition]]="Yes",1,0)</f>
        <v>0</v>
      </c>
      <c r="AE1457" t="str">
        <f>IF(HR_Data[[#This Row],[Age]]&lt;=25,"18-25",IF(HR_Data[[#This Row],[Age]]&lt;=35,"26-35",IF(HR_Data[[#This Row],[Age]]&lt;=45,"36-45",IF(HR_Data[[#This Row],[Age]]&lt;=55,"46-55","55+"))))</f>
        <v>36-45</v>
      </c>
      <c r="AF1457">
        <f>IF(HR_Data[[#This Row],[Age]]&lt;=25,1,IF(HR_Data[[#This Row],[Age]]&lt;=35,2,IF(HR_Data[[#This Row],[Age]]&lt;=45,3,IF(HR_Data[[#This Row],[Age]]&lt;=55,4,5))))</f>
        <v>3</v>
      </c>
      <c r="AG1457" s="1" t="str">
        <f>IF(HR_Data[[#This Row],[MonthlyIncome]]&lt;3000,"&lt;3K",IF(HR_Data[[#This Row],[MonthlyIncome]]&lt;6000,"3K-6K",IF(HR_Data[[#This Row],[MonthlyIncome]]&lt;10000,"6K-10K","10K+")))</f>
        <v>&lt;3K</v>
      </c>
      <c r="AH1457" s="1">
        <f>IF(HR_Data[[#This Row],[MonthlyIncome]]&lt;3000,1,IF(HR_Data[[#This Row],[MonthlyIncome]]&lt;6000,2,IF(HR_Data[[#This Row],[MonthlyIncome]]&lt;10000,3,4)))</f>
        <v>1</v>
      </c>
      <c r="AI1457" s="1" t="str">
        <f>IF(HR_Data[[#This Row],[YearsAtCompany]]&lt;=2,"0-2 Yrs",IF(HR_Data[[#This Row],[YearsAtCompany]]&lt;=5,"3-5 Yrs",IF(HR_Data[[#This Row],[YearsAtCompany]]&lt;=10,"6-10 Yrs","10+ Yrs")))</f>
        <v>0-2 Yrs</v>
      </c>
      <c r="AJ1457" s="1">
        <f>IF(HR_Data[[#This Row],[YearsAtCompany]]&lt;=2,1,IF(HR_Data[[#This Row],[YearsAtCompany]]&lt;=5,2,IF(HR_Data[[#This Row],[YearsAtCompany]]&lt;=10,3,4)))</f>
        <v>1</v>
      </c>
      <c r="AK1457" s="1" t="str">
        <f>CHOOSE(HR_Data[[#This Row],[Education]],"Below College","College","Bachelor","Master","Doctor")</f>
        <v>Master</v>
      </c>
      <c r="AL1457" s="1" t="str">
        <f>CHOOSE(HR_Data[[#This Row],[JobSatisfaction]],"Low","Medium","High","Very High")</f>
        <v>High</v>
      </c>
      <c r="AM1457" s="1" t="str">
        <f>CHOOSE(HR_Data[[#This Row],[EnvironmentSatisfaction]],"Low","Medium","High","Very High")</f>
        <v>High</v>
      </c>
      <c r="AN1457" s="1" t="str">
        <f>CHOOSE(HR_Data[[#This Row],[WorkLifeBalance]],"Bad","Good","Better","Best")</f>
        <v>Better</v>
      </c>
      <c r="AO1457" s="1" t="str">
        <f>IF(HR_Data[[#This Row],[PercentSalaryHike]]&lt;=13,"11-13%",IF(HR_Data[[#This Row],[PercentSalaryHike]]&lt;=16,"14-16%",IF(HR_Data[[#This Row],[PercentSalaryHike]]&lt;=19,"17-19%","20-25%")))</f>
        <v>14-16%</v>
      </c>
      <c r="AP1457" s="1">
        <f>IF(HR_Data[[#This Row],[PercentSalaryHike]]&lt;=13,1,IF(HR_Data[[#This Row],[PercentSalaryHike]]&lt;=16,2,IF(HR_Data[[#This Row],[PercentSalaryHike]]&lt;=19,3,4)))</f>
        <v>2</v>
      </c>
      <c r="AQ1457" s="1" t="str">
        <f>IF(HR_Data[[#This Row],[DistanceFromHome]]&lt;=5,"1 to 5",IF(HR_Data[[#This Row],[DistanceFromHome]]&lt;=10,"6 to 10",IF(HR_Data[[#This Row],[DistanceFromHome]]&lt;=20,"11 to 20","21 to 29")))</f>
        <v>1 to 5</v>
      </c>
      <c r="AR1457" s="1">
        <f>IF(HR_Data[[#This Row],[DistanceFromHome]]&lt;=5,1,IF(HR_Data[[#This Row],[DistanceFromHome]]&lt;=10,2,IF(HR_Data[[#This Row],[DistanceFromHome]]&lt;=20,3,4)))</f>
        <v>1</v>
      </c>
      <c r="AS1457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457" s="1">
        <f>IF(HR_Data[[#This Row],[TotalWorkingYears]]&lt;=5,1,IF(HR_Data[[#This Row],[TotalWorkingYears]]&lt;=10,2,IF(HR_Data[[#This Row],[TotalWorkingYears]]&lt;=20,3,4)))</f>
        <v>2</v>
      </c>
    </row>
    <row r="1458" spans="1:46" x14ac:dyDescent="0.25">
      <c r="A1458">
        <v>35</v>
      </c>
      <c r="B1458" t="s">
        <v>36</v>
      </c>
      <c r="C1458" t="s">
        <v>37</v>
      </c>
      <c r="D1458" t="s">
        <v>38</v>
      </c>
      <c r="E1458">
        <v>18</v>
      </c>
      <c r="F1458">
        <v>4</v>
      </c>
      <c r="G1458" t="s">
        <v>32</v>
      </c>
      <c r="H1458">
        <v>2049</v>
      </c>
      <c r="I1458">
        <v>3</v>
      </c>
      <c r="J1458" t="s">
        <v>39</v>
      </c>
      <c r="K1458">
        <v>3</v>
      </c>
      <c r="L1458">
        <v>2</v>
      </c>
      <c r="M1458" t="s">
        <v>47</v>
      </c>
      <c r="N1458">
        <v>3</v>
      </c>
      <c r="O1458" t="s">
        <v>41</v>
      </c>
      <c r="P1458">
        <v>5689</v>
      </c>
      <c r="Q1458">
        <v>1</v>
      </c>
      <c r="R1458" t="s">
        <v>29</v>
      </c>
      <c r="S1458">
        <v>14</v>
      </c>
      <c r="T1458">
        <v>3</v>
      </c>
      <c r="U1458">
        <v>4</v>
      </c>
      <c r="V1458">
        <v>2</v>
      </c>
      <c r="W1458">
        <v>10</v>
      </c>
      <c r="X1458">
        <v>2</v>
      </c>
      <c r="Y1458">
        <v>4</v>
      </c>
      <c r="Z1458">
        <v>10</v>
      </c>
      <c r="AA1458">
        <v>2</v>
      </c>
      <c r="AB1458">
        <v>0</v>
      </c>
      <c r="AC1458">
        <v>2</v>
      </c>
      <c r="AD1458">
        <f>IF(HR_Data[[#This Row],[Attrition]]="Yes",1,0)</f>
        <v>0</v>
      </c>
      <c r="AE1458" t="str">
        <f>IF(HR_Data[[#This Row],[Age]]&lt;=25,"18-25",IF(HR_Data[[#This Row],[Age]]&lt;=35,"26-35",IF(HR_Data[[#This Row],[Age]]&lt;=45,"36-45",IF(HR_Data[[#This Row],[Age]]&lt;=55,"46-55","55+"))))</f>
        <v>26-35</v>
      </c>
      <c r="AF1458">
        <f>IF(HR_Data[[#This Row],[Age]]&lt;=25,1,IF(HR_Data[[#This Row],[Age]]&lt;=35,2,IF(HR_Data[[#This Row],[Age]]&lt;=45,3,IF(HR_Data[[#This Row],[Age]]&lt;=55,4,5))))</f>
        <v>2</v>
      </c>
      <c r="AG1458" s="1" t="str">
        <f>IF(HR_Data[[#This Row],[MonthlyIncome]]&lt;3000,"&lt;3K",IF(HR_Data[[#This Row],[MonthlyIncome]]&lt;6000,"3K-6K",IF(HR_Data[[#This Row],[MonthlyIncome]]&lt;10000,"6K-10K","10K+")))</f>
        <v>3K-6K</v>
      </c>
      <c r="AH1458" s="1">
        <f>IF(HR_Data[[#This Row],[MonthlyIncome]]&lt;3000,1,IF(HR_Data[[#This Row],[MonthlyIncome]]&lt;6000,2,IF(HR_Data[[#This Row],[MonthlyIncome]]&lt;10000,3,4)))</f>
        <v>2</v>
      </c>
      <c r="AI1458" s="1" t="str">
        <f>IF(HR_Data[[#This Row],[YearsAtCompany]]&lt;=2,"0-2 Yrs",IF(HR_Data[[#This Row],[YearsAtCompany]]&lt;=5,"3-5 Yrs",IF(HR_Data[[#This Row],[YearsAtCompany]]&lt;=10,"6-10 Yrs","10+ Yrs")))</f>
        <v>6-10 Yrs</v>
      </c>
      <c r="AJ1458" s="1">
        <f>IF(HR_Data[[#This Row],[YearsAtCompany]]&lt;=2,1,IF(HR_Data[[#This Row],[YearsAtCompany]]&lt;=5,2,IF(HR_Data[[#This Row],[YearsAtCompany]]&lt;=10,3,4)))</f>
        <v>3</v>
      </c>
      <c r="AK1458" s="1" t="str">
        <f>CHOOSE(HR_Data[[#This Row],[Education]],"Below College","College","Bachelor","Master","Doctor")</f>
        <v>Master</v>
      </c>
      <c r="AL1458" s="1" t="str">
        <f>CHOOSE(HR_Data[[#This Row],[JobSatisfaction]],"Low","Medium","High","Very High")</f>
        <v>High</v>
      </c>
      <c r="AM1458" s="1" t="str">
        <f>CHOOSE(HR_Data[[#This Row],[EnvironmentSatisfaction]],"Low","Medium","High","Very High")</f>
        <v>High</v>
      </c>
      <c r="AN1458" s="1" t="str">
        <f>CHOOSE(HR_Data[[#This Row],[WorkLifeBalance]],"Bad","Good","Better","Best")</f>
        <v>Best</v>
      </c>
      <c r="AO1458" s="1" t="str">
        <f>IF(HR_Data[[#This Row],[PercentSalaryHike]]&lt;=13,"11-13%",IF(HR_Data[[#This Row],[PercentSalaryHike]]&lt;=16,"14-16%",IF(HR_Data[[#This Row],[PercentSalaryHike]]&lt;=19,"17-19%","20-25%")))</f>
        <v>14-16%</v>
      </c>
      <c r="AP1458" s="1">
        <f>IF(HR_Data[[#This Row],[PercentSalaryHike]]&lt;=13,1,IF(HR_Data[[#This Row],[PercentSalaryHike]]&lt;=16,2,IF(HR_Data[[#This Row],[PercentSalaryHike]]&lt;=19,3,4)))</f>
        <v>2</v>
      </c>
      <c r="AQ1458" s="1" t="str">
        <f>IF(HR_Data[[#This Row],[DistanceFromHome]]&lt;=5,"1 to 5",IF(HR_Data[[#This Row],[DistanceFromHome]]&lt;=10,"6 to 10",IF(HR_Data[[#This Row],[DistanceFromHome]]&lt;=20,"11 to 20","21 to 29")))</f>
        <v>11 to 20</v>
      </c>
      <c r="AR1458" s="1">
        <f>IF(HR_Data[[#This Row],[DistanceFromHome]]&lt;=5,1,IF(HR_Data[[#This Row],[DistanceFromHome]]&lt;=10,2,IF(HR_Data[[#This Row],[DistanceFromHome]]&lt;=20,3,4)))</f>
        <v>3</v>
      </c>
      <c r="AS1458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458" s="1">
        <f>IF(HR_Data[[#This Row],[TotalWorkingYears]]&lt;=5,1,IF(HR_Data[[#This Row],[TotalWorkingYears]]&lt;=10,2,IF(HR_Data[[#This Row],[TotalWorkingYears]]&lt;=20,3,4)))</f>
        <v>2</v>
      </c>
    </row>
    <row r="1459" spans="1:46" x14ac:dyDescent="0.25">
      <c r="A1459">
        <v>40</v>
      </c>
      <c r="B1459" t="s">
        <v>36</v>
      </c>
      <c r="C1459" t="s">
        <v>30</v>
      </c>
      <c r="D1459" t="s">
        <v>38</v>
      </c>
      <c r="E1459">
        <v>2</v>
      </c>
      <c r="F1459">
        <v>4</v>
      </c>
      <c r="G1459" t="s">
        <v>44</v>
      </c>
      <c r="H1459">
        <v>2051</v>
      </c>
      <c r="I1459">
        <v>3</v>
      </c>
      <c r="J1459" t="s">
        <v>33</v>
      </c>
      <c r="K1459">
        <v>3</v>
      </c>
      <c r="L1459">
        <v>1</v>
      </c>
      <c r="M1459" t="s">
        <v>40</v>
      </c>
      <c r="N1459">
        <v>3</v>
      </c>
      <c r="O1459" t="s">
        <v>41</v>
      </c>
      <c r="P1459">
        <v>2001</v>
      </c>
      <c r="Q1459">
        <v>2</v>
      </c>
      <c r="R1459" t="s">
        <v>36</v>
      </c>
      <c r="S1459">
        <v>14</v>
      </c>
      <c r="T1459">
        <v>3</v>
      </c>
      <c r="U1459">
        <v>2</v>
      </c>
      <c r="V1459">
        <v>3</v>
      </c>
      <c r="W1459">
        <v>20</v>
      </c>
      <c r="X1459">
        <v>2</v>
      </c>
      <c r="Y1459">
        <v>3</v>
      </c>
      <c r="Z1459">
        <v>5</v>
      </c>
      <c r="AA1459">
        <v>3</v>
      </c>
      <c r="AB1459">
        <v>0</v>
      </c>
      <c r="AC1459">
        <v>2</v>
      </c>
      <c r="AD1459">
        <f>IF(HR_Data[[#This Row],[Attrition]]="Yes",1,0)</f>
        <v>0</v>
      </c>
      <c r="AE1459" t="str">
        <f>IF(HR_Data[[#This Row],[Age]]&lt;=25,"18-25",IF(HR_Data[[#This Row],[Age]]&lt;=35,"26-35",IF(HR_Data[[#This Row],[Age]]&lt;=45,"36-45",IF(HR_Data[[#This Row],[Age]]&lt;=55,"46-55","55+"))))</f>
        <v>36-45</v>
      </c>
      <c r="AF1459">
        <f>IF(HR_Data[[#This Row],[Age]]&lt;=25,1,IF(HR_Data[[#This Row],[Age]]&lt;=35,2,IF(HR_Data[[#This Row],[Age]]&lt;=45,3,IF(HR_Data[[#This Row],[Age]]&lt;=55,4,5))))</f>
        <v>3</v>
      </c>
      <c r="AG1459" s="1" t="str">
        <f>IF(HR_Data[[#This Row],[MonthlyIncome]]&lt;3000,"&lt;3K",IF(HR_Data[[#This Row],[MonthlyIncome]]&lt;6000,"3K-6K",IF(HR_Data[[#This Row],[MonthlyIncome]]&lt;10000,"6K-10K","10K+")))</f>
        <v>&lt;3K</v>
      </c>
      <c r="AH1459" s="1">
        <f>IF(HR_Data[[#This Row],[MonthlyIncome]]&lt;3000,1,IF(HR_Data[[#This Row],[MonthlyIncome]]&lt;6000,2,IF(HR_Data[[#This Row],[MonthlyIncome]]&lt;10000,3,4)))</f>
        <v>1</v>
      </c>
      <c r="AI1459" s="1" t="str">
        <f>IF(HR_Data[[#This Row],[YearsAtCompany]]&lt;=2,"0-2 Yrs",IF(HR_Data[[#This Row],[YearsAtCompany]]&lt;=5,"3-5 Yrs",IF(HR_Data[[#This Row],[YearsAtCompany]]&lt;=10,"6-10 Yrs","10+ Yrs")))</f>
        <v>3-5 Yrs</v>
      </c>
      <c r="AJ1459" s="1">
        <f>IF(HR_Data[[#This Row],[YearsAtCompany]]&lt;=2,1,IF(HR_Data[[#This Row],[YearsAtCompany]]&lt;=5,2,IF(HR_Data[[#This Row],[YearsAtCompany]]&lt;=10,3,4)))</f>
        <v>2</v>
      </c>
      <c r="AK1459" s="1" t="str">
        <f>CHOOSE(HR_Data[[#This Row],[Education]],"Below College","College","Bachelor","Master","Doctor")</f>
        <v>Master</v>
      </c>
      <c r="AL1459" s="1" t="str">
        <f>CHOOSE(HR_Data[[#This Row],[JobSatisfaction]],"Low","Medium","High","Very High")</f>
        <v>High</v>
      </c>
      <c r="AM1459" s="1" t="str">
        <f>CHOOSE(HR_Data[[#This Row],[EnvironmentSatisfaction]],"Low","Medium","High","Very High")</f>
        <v>High</v>
      </c>
      <c r="AN1459" s="1" t="str">
        <f>CHOOSE(HR_Data[[#This Row],[WorkLifeBalance]],"Bad","Good","Better","Best")</f>
        <v>Better</v>
      </c>
      <c r="AO1459" s="1" t="str">
        <f>IF(HR_Data[[#This Row],[PercentSalaryHike]]&lt;=13,"11-13%",IF(HR_Data[[#This Row],[PercentSalaryHike]]&lt;=16,"14-16%",IF(HR_Data[[#This Row],[PercentSalaryHike]]&lt;=19,"17-19%","20-25%")))</f>
        <v>14-16%</v>
      </c>
      <c r="AP1459" s="1">
        <f>IF(HR_Data[[#This Row],[PercentSalaryHike]]&lt;=13,1,IF(HR_Data[[#This Row],[PercentSalaryHike]]&lt;=16,2,IF(HR_Data[[#This Row],[PercentSalaryHike]]&lt;=19,3,4)))</f>
        <v>2</v>
      </c>
      <c r="AQ1459" s="1" t="str">
        <f>IF(HR_Data[[#This Row],[DistanceFromHome]]&lt;=5,"1 to 5",IF(HR_Data[[#This Row],[DistanceFromHome]]&lt;=10,"6 to 10",IF(HR_Data[[#This Row],[DistanceFromHome]]&lt;=20,"11 to 20","21 to 29")))</f>
        <v>1 to 5</v>
      </c>
      <c r="AR1459" s="1">
        <f>IF(HR_Data[[#This Row],[DistanceFromHome]]&lt;=5,1,IF(HR_Data[[#This Row],[DistanceFromHome]]&lt;=10,2,IF(HR_Data[[#This Row],[DistanceFromHome]]&lt;=20,3,4)))</f>
        <v>1</v>
      </c>
      <c r="AS1459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459" s="1">
        <f>IF(HR_Data[[#This Row],[TotalWorkingYears]]&lt;=5,1,IF(HR_Data[[#This Row],[TotalWorkingYears]]&lt;=10,2,IF(HR_Data[[#This Row],[TotalWorkingYears]]&lt;=20,3,4)))</f>
        <v>3</v>
      </c>
    </row>
    <row r="1460" spans="1:46" x14ac:dyDescent="0.25">
      <c r="A1460">
        <v>35</v>
      </c>
      <c r="B1460" t="s">
        <v>36</v>
      </c>
      <c r="C1460" t="s">
        <v>30</v>
      </c>
      <c r="D1460" t="s">
        <v>38</v>
      </c>
      <c r="E1460">
        <v>1</v>
      </c>
      <c r="F1460">
        <v>4</v>
      </c>
      <c r="G1460" t="s">
        <v>32</v>
      </c>
      <c r="H1460">
        <v>2052</v>
      </c>
      <c r="I1460">
        <v>3</v>
      </c>
      <c r="J1460" t="s">
        <v>33</v>
      </c>
      <c r="K1460">
        <v>1</v>
      </c>
      <c r="L1460">
        <v>1</v>
      </c>
      <c r="M1460" t="s">
        <v>40</v>
      </c>
      <c r="N1460">
        <v>4</v>
      </c>
      <c r="O1460" t="s">
        <v>41</v>
      </c>
      <c r="P1460">
        <v>2977</v>
      </c>
      <c r="Q1460">
        <v>1</v>
      </c>
      <c r="R1460" t="s">
        <v>36</v>
      </c>
      <c r="S1460">
        <v>12</v>
      </c>
      <c r="T1460">
        <v>3</v>
      </c>
      <c r="U1460">
        <v>4</v>
      </c>
      <c r="V1460">
        <v>1</v>
      </c>
      <c r="W1460">
        <v>4</v>
      </c>
      <c r="X1460">
        <v>5</v>
      </c>
      <c r="Y1460">
        <v>3</v>
      </c>
      <c r="Z1460">
        <v>4</v>
      </c>
      <c r="AA1460">
        <v>3</v>
      </c>
      <c r="AB1460">
        <v>1</v>
      </c>
      <c r="AC1460">
        <v>1</v>
      </c>
      <c r="AD1460">
        <f>IF(HR_Data[[#This Row],[Attrition]]="Yes",1,0)</f>
        <v>0</v>
      </c>
      <c r="AE1460" t="str">
        <f>IF(HR_Data[[#This Row],[Age]]&lt;=25,"18-25",IF(HR_Data[[#This Row],[Age]]&lt;=35,"26-35",IF(HR_Data[[#This Row],[Age]]&lt;=45,"36-45",IF(HR_Data[[#This Row],[Age]]&lt;=55,"46-55","55+"))))</f>
        <v>26-35</v>
      </c>
      <c r="AF1460">
        <f>IF(HR_Data[[#This Row],[Age]]&lt;=25,1,IF(HR_Data[[#This Row],[Age]]&lt;=35,2,IF(HR_Data[[#This Row],[Age]]&lt;=45,3,IF(HR_Data[[#This Row],[Age]]&lt;=55,4,5))))</f>
        <v>2</v>
      </c>
      <c r="AG1460" s="1" t="str">
        <f>IF(HR_Data[[#This Row],[MonthlyIncome]]&lt;3000,"&lt;3K",IF(HR_Data[[#This Row],[MonthlyIncome]]&lt;6000,"3K-6K",IF(HR_Data[[#This Row],[MonthlyIncome]]&lt;10000,"6K-10K","10K+")))</f>
        <v>&lt;3K</v>
      </c>
      <c r="AH1460" s="1">
        <f>IF(HR_Data[[#This Row],[MonthlyIncome]]&lt;3000,1,IF(HR_Data[[#This Row],[MonthlyIncome]]&lt;6000,2,IF(HR_Data[[#This Row],[MonthlyIncome]]&lt;10000,3,4)))</f>
        <v>1</v>
      </c>
      <c r="AI1460" s="1" t="str">
        <f>IF(HR_Data[[#This Row],[YearsAtCompany]]&lt;=2,"0-2 Yrs",IF(HR_Data[[#This Row],[YearsAtCompany]]&lt;=5,"3-5 Yrs",IF(HR_Data[[#This Row],[YearsAtCompany]]&lt;=10,"6-10 Yrs","10+ Yrs")))</f>
        <v>3-5 Yrs</v>
      </c>
      <c r="AJ1460" s="1">
        <f>IF(HR_Data[[#This Row],[YearsAtCompany]]&lt;=2,1,IF(HR_Data[[#This Row],[YearsAtCompany]]&lt;=5,2,IF(HR_Data[[#This Row],[YearsAtCompany]]&lt;=10,3,4)))</f>
        <v>2</v>
      </c>
      <c r="AK1460" s="1" t="str">
        <f>CHOOSE(HR_Data[[#This Row],[Education]],"Below College","College","Bachelor","Master","Doctor")</f>
        <v>Master</v>
      </c>
      <c r="AL1460" s="1" t="str">
        <f>CHOOSE(HR_Data[[#This Row],[JobSatisfaction]],"Low","Medium","High","Very High")</f>
        <v>Very High</v>
      </c>
      <c r="AM1460" s="1" t="str">
        <f>CHOOSE(HR_Data[[#This Row],[EnvironmentSatisfaction]],"Low","Medium","High","Very High")</f>
        <v>High</v>
      </c>
      <c r="AN1460" s="1" t="str">
        <f>CHOOSE(HR_Data[[#This Row],[WorkLifeBalance]],"Bad","Good","Better","Best")</f>
        <v>Better</v>
      </c>
      <c r="AO1460" s="1" t="str">
        <f>IF(HR_Data[[#This Row],[PercentSalaryHike]]&lt;=13,"11-13%",IF(HR_Data[[#This Row],[PercentSalaryHike]]&lt;=16,"14-16%",IF(HR_Data[[#This Row],[PercentSalaryHike]]&lt;=19,"17-19%","20-25%")))</f>
        <v>11-13%</v>
      </c>
      <c r="AP1460" s="1">
        <f>IF(HR_Data[[#This Row],[PercentSalaryHike]]&lt;=13,1,IF(HR_Data[[#This Row],[PercentSalaryHike]]&lt;=16,2,IF(HR_Data[[#This Row],[PercentSalaryHike]]&lt;=19,3,4)))</f>
        <v>1</v>
      </c>
      <c r="AQ1460" s="1" t="str">
        <f>IF(HR_Data[[#This Row],[DistanceFromHome]]&lt;=5,"1 to 5",IF(HR_Data[[#This Row],[DistanceFromHome]]&lt;=10,"6 to 10",IF(HR_Data[[#This Row],[DistanceFromHome]]&lt;=20,"11 to 20","21 to 29")))</f>
        <v>1 to 5</v>
      </c>
      <c r="AR1460" s="1">
        <f>IF(HR_Data[[#This Row],[DistanceFromHome]]&lt;=5,1,IF(HR_Data[[#This Row],[DistanceFromHome]]&lt;=10,2,IF(HR_Data[[#This Row],[DistanceFromHome]]&lt;=20,3,4)))</f>
        <v>1</v>
      </c>
      <c r="AS1460" s="1" t="str">
        <f>IF(HR_Data[[#This Row],[TotalWorkingYears]]&lt;=5,"0-5 Yrs",IF(HR_Data[[#This Row],[TotalWorkingYears]]&lt;=10,"6-10 Yrs",IF(HR_Data[[#This Row],[TotalWorkingYears]]&lt;=20,"11-20 Yrs","20+ Yrs")))</f>
        <v>0-5 Yrs</v>
      </c>
      <c r="AT1460" s="1">
        <f>IF(HR_Data[[#This Row],[TotalWorkingYears]]&lt;=5,1,IF(HR_Data[[#This Row],[TotalWorkingYears]]&lt;=10,2,IF(HR_Data[[#This Row],[TotalWorkingYears]]&lt;=20,3,4)))</f>
        <v>1</v>
      </c>
    </row>
    <row r="1461" spans="1:46" x14ac:dyDescent="0.25">
      <c r="A1461">
        <v>29</v>
      </c>
      <c r="B1461" t="s">
        <v>36</v>
      </c>
      <c r="C1461" t="s">
        <v>30</v>
      </c>
      <c r="D1461" t="s">
        <v>38</v>
      </c>
      <c r="E1461">
        <v>13</v>
      </c>
      <c r="F1461">
        <v>2</v>
      </c>
      <c r="G1461" t="s">
        <v>42</v>
      </c>
      <c r="H1461">
        <v>2053</v>
      </c>
      <c r="I1461">
        <v>4</v>
      </c>
      <c r="J1461" t="s">
        <v>39</v>
      </c>
      <c r="K1461">
        <v>2</v>
      </c>
      <c r="L1461">
        <v>2</v>
      </c>
      <c r="M1461" t="s">
        <v>43</v>
      </c>
      <c r="N1461">
        <v>2</v>
      </c>
      <c r="O1461" t="s">
        <v>41</v>
      </c>
      <c r="P1461">
        <v>4025</v>
      </c>
      <c r="Q1461">
        <v>4</v>
      </c>
      <c r="R1461" t="s">
        <v>29</v>
      </c>
      <c r="S1461">
        <v>13</v>
      </c>
      <c r="T1461">
        <v>3</v>
      </c>
      <c r="U1461">
        <v>1</v>
      </c>
      <c r="V1461">
        <v>1</v>
      </c>
      <c r="W1461">
        <v>10</v>
      </c>
      <c r="X1461">
        <v>2</v>
      </c>
      <c r="Y1461">
        <v>3</v>
      </c>
      <c r="Z1461">
        <v>4</v>
      </c>
      <c r="AA1461">
        <v>3</v>
      </c>
      <c r="AB1461">
        <v>0</v>
      </c>
      <c r="AC1461">
        <v>3</v>
      </c>
      <c r="AD1461">
        <f>IF(HR_Data[[#This Row],[Attrition]]="Yes",1,0)</f>
        <v>0</v>
      </c>
      <c r="AE1461" t="str">
        <f>IF(HR_Data[[#This Row],[Age]]&lt;=25,"18-25",IF(HR_Data[[#This Row],[Age]]&lt;=35,"26-35",IF(HR_Data[[#This Row],[Age]]&lt;=45,"36-45",IF(HR_Data[[#This Row],[Age]]&lt;=55,"46-55","55+"))))</f>
        <v>26-35</v>
      </c>
      <c r="AF1461">
        <f>IF(HR_Data[[#This Row],[Age]]&lt;=25,1,IF(HR_Data[[#This Row],[Age]]&lt;=35,2,IF(HR_Data[[#This Row],[Age]]&lt;=45,3,IF(HR_Data[[#This Row],[Age]]&lt;=55,4,5))))</f>
        <v>2</v>
      </c>
      <c r="AG1461" s="1" t="str">
        <f>IF(HR_Data[[#This Row],[MonthlyIncome]]&lt;3000,"&lt;3K",IF(HR_Data[[#This Row],[MonthlyIncome]]&lt;6000,"3K-6K",IF(HR_Data[[#This Row],[MonthlyIncome]]&lt;10000,"6K-10K","10K+")))</f>
        <v>3K-6K</v>
      </c>
      <c r="AH1461" s="1">
        <f>IF(HR_Data[[#This Row],[MonthlyIncome]]&lt;3000,1,IF(HR_Data[[#This Row],[MonthlyIncome]]&lt;6000,2,IF(HR_Data[[#This Row],[MonthlyIncome]]&lt;10000,3,4)))</f>
        <v>2</v>
      </c>
      <c r="AI1461" s="1" t="str">
        <f>IF(HR_Data[[#This Row],[YearsAtCompany]]&lt;=2,"0-2 Yrs",IF(HR_Data[[#This Row],[YearsAtCompany]]&lt;=5,"3-5 Yrs",IF(HR_Data[[#This Row],[YearsAtCompany]]&lt;=10,"6-10 Yrs","10+ Yrs")))</f>
        <v>3-5 Yrs</v>
      </c>
      <c r="AJ1461" s="1">
        <f>IF(HR_Data[[#This Row],[YearsAtCompany]]&lt;=2,1,IF(HR_Data[[#This Row],[YearsAtCompany]]&lt;=5,2,IF(HR_Data[[#This Row],[YearsAtCompany]]&lt;=10,3,4)))</f>
        <v>2</v>
      </c>
      <c r="AK1461" s="1" t="str">
        <f>CHOOSE(HR_Data[[#This Row],[Education]],"Below College","College","Bachelor","Master","Doctor")</f>
        <v>College</v>
      </c>
      <c r="AL1461" s="1" t="str">
        <f>CHOOSE(HR_Data[[#This Row],[JobSatisfaction]],"Low","Medium","High","Very High")</f>
        <v>Medium</v>
      </c>
      <c r="AM1461" s="1" t="str">
        <f>CHOOSE(HR_Data[[#This Row],[EnvironmentSatisfaction]],"Low","Medium","High","Very High")</f>
        <v>Very High</v>
      </c>
      <c r="AN1461" s="1" t="str">
        <f>CHOOSE(HR_Data[[#This Row],[WorkLifeBalance]],"Bad","Good","Better","Best")</f>
        <v>Better</v>
      </c>
      <c r="AO1461" s="1" t="str">
        <f>IF(HR_Data[[#This Row],[PercentSalaryHike]]&lt;=13,"11-13%",IF(HR_Data[[#This Row],[PercentSalaryHike]]&lt;=16,"14-16%",IF(HR_Data[[#This Row],[PercentSalaryHike]]&lt;=19,"17-19%","20-25%")))</f>
        <v>11-13%</v>
      </c>
      <c r="AP1461" s="1">
        <f>IF(HR_Data[[#This Row],[PercentSalaryHike]]&lt;=13,1,IF(HR_Data[[#This Row],[PercentSalaryHike]]&lt;=16,2,IF(HR_Data[[#This Row],[PercentSalaryHike]]&lt;=19,3,4)))</f>
        <v>1</v>
      </c>
      <c r="AQ1461" s="1" t="str">
        <f>IF(HR_Data[[#This Row],[DistanceFromHome]]&lt;=5,"1 to 5",IF(HR_Data[[#This Row],[DistanceFromHome]]&lt;=10,"6 to 10",IF(HR_Data[[#This Row],[DistanceFromHome]]&lt;=20,"11 to 20","21 to 29")))</f>
        <v>11 to 20</v>
      </c>
      <c r="AR1461" s="1">
        <f>IF(HR_Data[[#This Row],[DistanceFromHome]]&lt;=5,1,IF(HR_Data[[#This Row],[DistanceFromHome]]&lt;=10,2,IF(HR_Data[[#This Row],[DistanceFromHome]]&lt;=20,3,4)))</f>
        <v>3</v>
      </c>
      <c r="AS1461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461" s="1">
        <f>IF(HR_Data[[#This Row],[TotalWorkingYears]]&lt;=5,1,IF(HR_Data[[#This Row],[TotalWorkingYears]]&lt;=10,2,IF(HR_Data[[#This Row],[TotalWorkingYears]]&lt;=20,3,4)))</f>
        <v>2</v>
      </c>
    </row>
    <row r="1462" spans="1:46" x14ac:dyDescent="0.25">
      <c r="A1462">
        <v>29</v>
      </c>
      <c r="B1462" t="s">
        <v>36</v>
      </c>
      <c r="C1462" t="s">
        <v>30</v>
      </c>
      <c r="D1462" t="s">
        <v>38</v>
      </c>
      <c r="E1462">
        <v>28</v>
      </c>
      <c r="F1462">
        <v>4</v>
      </c>
      <c r="G1462" t="s">
        <v>44</v>
      </c>
      <c r="H1462">
        <v>2054</v>
      </c>
      <c r="I1462">
        <v>4</v>
      </c>
      <c r="J1462" t="s">
        <v>33</v>
      </c>
      <c r="K1462">
        <v>2</v>
      </c>
      <c r="L1462">
        <v>1</v>
      </c>
      <c r="M1462" t="s">
        <v>40</v>
      </c>
      <c r="N1462">
        <v>1</v>
      </c>
      <c r="O1462" t="s">
        <v>35</v>
      </c>
      <c r="P1462">
        <v>3785</v>
      </c>
      <c r="Q1462">
        <v>1</v>
      </c>
      <c r="R1462" t="s">
        <v>36</v>
      </c>
      <c r="S1462">
        <v>14</v>
      </c>
      <c r="T1462">
        <v>3</v>
      </c>
      <c r="U1462">
        <v>2</v>
      </c>
      <c r="V1462">
        <v>0</v>
      </c>
      <c r="W1462">
        <v>5</v>
      </c>
      <c r="X1462">
        <v>3</v>
      </c>
      <c r="Y1462">
        <v>1</v>
      </c>
      <c r="Z1462">
        <v>5</v>
      </c>
      <c r="AA1462">
        <v>4</v>
      </c>
      <c r="AB1462">
        <v>0</v>
      </c>
      <c r="AC1462">
        <v>4</v>
      </c>
      <c r="AD1462">
        <f>IF(HR_Data[[#This Row],[Attrition]]="Yes",1,0)</f>
        <v>0</v>
      </c>
      <c r="AE1462" t="str">
        <f>IF(HR_Data[[#This Row],[Age]]&lt;=25,"18-25",IF(HR_Data[[#This Row],[Age]]&lt;=35,"26-35",IF(HR_Data[[#This Row],[Age]]&lt;=45,"36-45",IF(HR_Data[[#This Row],[Age]]&lt;=55,"46-55","55+"))))</f>
        <v>26-35</v>
      </c>
      <c r="AF1462">
        <f>IF(HR_Data[[#This Row],[Age]]&lt;=25,1,IF(HR_Data[[#This Row],[Age]]&lt;=35,2,IF(HR_Data[[#This Row],[Age]]&lt;=45,3,IF(HR_Data[[#This Row],[Age]]&lt;=55,4,5))))</f>
        <v>2</v>
      </c>
      <c r="AG1462" s="1" t="str">
        <f>IF(HR_Data[[#This Row],[MonthlyIncome]]&lt;3000,"&lt;3K",IF(HR_Data[[#This Row],[MonthlyIncome]]&lt;6000,"3K-6K",IF(HR_Data[[#This Row],[MonthlyIncome]]&lt;10000,"6K-10K","10K+")))</f>
        <v>3K-6K</v>
      </c>
      <c r="AH1462" s="1">
        <f>IF(HR_Data[[#This Row],[MonthlyIncome]]&lt;3000,1,IF(HR_Data[[#This Row],[MonthlyIncome]]&lt;6000,2,IF(HR_Data[[#This Row],[MonthlyIncome]]&lt;10000,3,4)))</f>
        <v>2</v>
      </c>
      <c r="AI1462" s="1" t="str">
        <f>IF(HR_Data[[#This Row],[YearsAtCompany]]&lt;=2,"0-2 Yrs",IF(HR_Data[[#This Row],[YearsAtCompany]]&lt;=5,"3-5 Yrs",IF(HR_Data[[#This Row],[YearsAtCompany]]&lt;=10,"6-10 Yrs","10+ Yrs")))</f>
        <v>3-5 Yrs</v>
      </c>
      <c r="AJ1462" s="1">
        <f>IF(HR_Data[[#This Row],[YearsAtCompany]]&lt;=2,1,IF(HR_Data[[#This Row],[YearsAtCompany]]&lt;=5,2,IF(HR_Data[[#This Row],[YearsAtCompany]]&lt;=10,3,4)))</f>
        <v>2</v>
      </c>
      <c r="AK1462" s="1" t="str">
        <f>CHOOSE(HR_Data[[#This Row],[Education]],"Below College","College","Bachelor","Master","Doctor")</f>
        <v>Master</v>
      </c>
      <c r="AL1462" s="1" t="str">
        <f>CHOOSE(HR_Data[[#This Row],[JobSatisfaction]],"Low","Medium","High","Very High")</f>
        <v>Low</v>
      </c>
      <c r="AM1462" s="1" t="str">
        <f>CHOOSE(HR_Data[[#This Row],[EnvironmentSatisfaction]],"Low","Medium","High","Very High")</f>
        <v>Very High</v>
      </c>
      <c r="AN1462" s="1" t="str">
        <f>CHOOSE(HR_Data[[#This Row],[WorkLifeBalance]],"Bad","Good","Better","Best")</f>
        <v>Bad</v>
      </c>
      <c r="AO1462" s="1" t="str">
        <f>IF(HR_Data[[#This Row],[PercentSalaryHike]]&lt;=13,"11-13%",IF(HR_Data[[#This Row],[PercentSalaryHike]]&lt;=16,"14-16%",IF(HR_Data[[#This Row],[PercentSalaryHike]]&lt;=19,"17-19%","20-25%")))</f>
        <v>14-16%</v>
      </c>
      <c r="AP1462" s="1">
        <f>IF(HR_Data[[#This Row],[PercentSalaryHike]]&lt;=13,1,IF(HR_Data[[#This Row],[PercentSalaryHike]]&lt;=16,2,IF(HR_Data[[#This Row],[PercentSalaryHike]]&lt;=19,3,4)))</f>
        <v>2</v>
      </c>
      <c r="AQ1462" s="1" t="str">
        <f>IF(HR_Data[[#This Row],[DistanceFromHome]]&lt;=5,"1 to 5",IF(HR_Data[[#This Row],[DistanceFromHome]]&lt;=10,"6 to 10",IF(HR_Data[[#This Row],[DistanceFromHome]]&lt;=20,"11 to 20","21 to 29")))</f>
        <v>21 to 29</v>
      </c>
      <c r="AR1462" s="1">
        <f>IF(HR_Data[[#This Row],[DistanceFromHome]]&lt;=5,1,IF(HR_Data[[#This Row],[DistanceFromHome]]&lt;=10,2,IF(HR_Data[[#This Row],[DistanceFromHome]]&lt;=20,3,4)))</f>
        <v>4</v>
      </c>
      <c r="AS1462" s="1" t="str">
        <f>IF(HR_Data[[#This Row],[TotalWorkingYears]]&lt;=5,"0-5 Yrs",IF(HR_Data[[#This Row],[TotalWorkingYears]]&lt;=10,"6-10 Yrs",IF(HR_Data[[#This Row],[TotalWorkingYears]]&lt;=20,"11-20 Yrs","20+ Yrs")))</f>
        <v>0-5 Yrs</v>
      </c>
      <c r="AT1462" s="1">
        <f>IF(HR_Data[[#This Row],[TotalWorkingYears]]&lt;=5,1,IF(HR_Data[[#This Row],[TotalWorkingYears]]&lt;=10,2,IF(HR_Data[[#This Row],[TotalWorkingYears]]&lt;=20,3,4)))</f>
        <v>1</v>
      </c>
    </row>
    <row r="1463" spans="1:46" x14ac:dyDescent="0.25">
      <c r="A1463">
        <v>50</v>
      </c>
      <c r="B1463" t="s">
        <v>29</v>
      </c>
      <c r="C1463" t="s">
        <v>30</v>
      </c>
      <c r="D1463" t="s">
        <v>31</v>
      </c>
      <c r="E1463">
        <v>28</v>
      </c>
      <c r="F1463">
        <v>3</v>
      </c>
      <c r="G1463" t="s">
        <v>52</v>
      </c>
      <c r="H1463">
        <v>2055</v>
      </c>
      <c r="I1463">
        <v>4</v>
      </c>
      <c r="J1463" t="s">
        <v>39</v>
      </c>
      <c r="K1463">
        <v>2</v>
      </c>
      <c r="L1463">
        <v>3</v>
      </c>
      <c r="M1463" t="s">
        <v>34</v>
      </c>
      <c r="N1463">
        <v>1</v>
      </c>
      <c r="O1463" t="s">
        <v>45</v>
      </c>
      <c r="P1463">
        <v>10854</v>
      </c>
      <c r="Q1463">
        <v>4</v>
      </c>
      <c r="R1463" t="s">
        <v>29</v>
      </c>
      <c r="S1463">
        <v>13</v>
      </c>
      <c r="T1463">
        <v>3</v>
      </c>
      <c r="U1463">
        <v>2</v>
      </c>
      <c r="V1463">
        <v>1</v>
      </c>
      <c r="W1463">
        <v>20</v>
      </c>
      <c r="X1463">
        <v>3</v>
      </c>
      <c r="Y1463">
        <v>3</v>
      </c>
      <c r="Z1463">
        <v>3</v>
      </c>
      <c r="AA1463">
        <v>2</v>
      </c>
      <c r="AB1463">
        <v>2</v>
      </c>
      <c r="AC1463">
        <v>0</v>
      </c>
      <c r="AD1463">
        <f>IF(HR_Data[[#This Row],[Attrition]]="Yes",1,0)</f>
        <v>1</v>
      </c>
      <c r="AE1463" t="str">
        <f>IF(HR_Data[[#This Row],[Age]]&lt;=25,"18-25",IF(HR_Data[[#This Row],[Age]]&lt;=35,"26-35",IF(HR_Data[[#This Row],[Age]]&lt;=45,"36-45",IF(HR_Data[[#This Row],[Age]]&lt;=55,"46-55","55+"))))</f>
        <v>46-55</v>
      </c>
      <c r="AF1463">
        <f>IF(HR_Data[[#This Row],[Age]]&lt;=25,1,IF(HR_Data[[#This Row],[Age]]&lt;=35,2,IF(HR_Data[[#This Row],[Age]]&lt;=45,3,IF(HR_Data[[#This Row],[Age]]&lt;=55,4,5))))</f>
        <v>4</v>
      </c>
      <c r="AG1463" s="1" t="str">
        <f>IF(HR_Data[[#This Row],[MonthlyIncome]]&lt;3000,"&lt;3K",IF(HR_Data[[#This Row],[MonthlyIncome]]&lt;6000,"3K-6K",IF(HR_Data[[#This Row],[MonthlyIncome]]&lt;10000,"6K-10K","10K+")))</f>
        <v>10K+</v>
      </c>
      <c r="AH1463" s="1">
        <f>IF(HR_Data[[#This Row],[MonthlyIncome]]&lt;3000,1,IF(HR_Data[[#This Row],[MonthlyIncome]]&lt;6000,2,IF(HR_Data[[#This Row],[MonthlyIncome]]&lt;10000,3,4)))</f>
        <v>4</v>
      </c>
      <c r="AI1463" s="1" t="str">
        <f>IF(HR_Data[[#This Row],[YearsAtCompany]]&lt;=2,"0-2 Yrs",IF(HR_Data[[#This Row],[YearsAtCompany]]&lt;=5,"3-5 Yrs",IF(HR_Data[[#This Row],[YearsAtCompany]]&lt;=10,"6-10 Yrs","10+ Yrs")))</f>
        <v>3-5 Yrs</v>
      </c>
      <c r="AJ1463" s="1">
        <f>IF(HR_Data[[#This Row],[YearsAtCompany]]&lt;=2,1,IF(HR_Data[[#This Row],[YearsAtCompany]]&lt;=5,2,IF(HR_Data[[#This Row],[YearsAtCompany]]&lt;=10,3,4)))</f>
        <v>2</v>
      </c>
      <c r="AK1463" s="1" t="str">
        <f>CHOOSE(HR_Data[[#This Row],[Education]],"Below College","College","Bachelor","Master","Doctor")</f>
        <v>Bachelor</v>
      </c>
      <c r="AL1463" s="1" t="str">
        <f>CHOOSE(HR_Data[[#This Row],[JobSatisfaction]],"Low","Medium","High","Very High")</f>
        <v>Low</v>
      </c>
      <c r="AM1463" s="1" t="str">
        <f>CHOOSE(HR_Data[[#This Row],[EnvironmentSatisfaction]],"Low","Medium","High","Very High")</f>
        <v>Very High</v>
      </c>
      <c r="AN1463" s="1" t="str">
        <f>CHOOSE(HR_Data[[#This Row],[WorkLifeBalance]],"Bad","Good","Better","Best")</f>
        <v>Better</v>
      </c>
      <c r="AO1463" s="1" t="str">
        <f>IF(HR_Data[[#This Row],[PercentSalaryHike]]&lt;=13,"11-13%",IF(HR_Data[[#This Row],[PercentSalaryHike]]&lt;=16,"14-16%",IF(HR_Data[[#This Row],[PercentSalaryHike]]&lt;=19,"17-19%","20-25%")))</f>
        <v>11-13%</v>
      </c>
      <c r="AP1463" s="1">
        <f>IF(HR_Data[[#This Row],[PercentSalaryHike]]&lt;=13,1,IF(HR_Data[[#This Row],[PercentSalaryHike]]&lt;=16,2,IF(HR_Data[[#This Row],[PercentSalaryHike]]&lt;=19,3,4)))</f>
        <v>1</v>
      </c>
      <c r="AQ1463" s="1" t="str">
        <f>IF(HR_Data[[#This Row],[DistanceFromHome]]&lt;=5,"1 to 5",IF(HR_Data[[#This Row],[DistanceFromHome]]&lt;=10,"6 to 10",IF(HR_Data[[#This Row],[DistanceFromHome]]&lt;=20,"11 to 20","21 to 29")))</f>
        <v>21 to 29</v>
      </c>
      <c r="AR1463" s="1">
        <f>IF(HR_Data[[#This Row],[DistanceFromHome]]&lt;=5,1,IF(HR_Data[[#This Row],[DistanceFromHome]]&lt;=10,2,IF(HR_Data[[#This Row],[DistanceFromHome]]&lt;=20,3,4)))</f>
        <v>4</v>
      </c>
      <c r="AS1463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463" s="1">
        <f>IF(HR_Data[[#This Row],[TotalWorkingYears]]&lt;=5,1,IF(HR_Data[[#This Row],[TotalWorkingYears]]&lt;=10,2,IF(HR_Data[[#This Row],[TotalWorkingYears]]&lt;=20,3,4)))</f>
        <v>3</v>
      </c>
    </row>
    <row r="1464" spans="1:46" x14ac:dyDescent="0.25">
      <c r="A1464">
        <v>39</v>
      </c>
      <c r="B1464" t="s">
        <v>36</v>
      </c>
      <c r="C1464" t="s">
        <v>30</v>
      </c>
      <c r="D1464" t="s">
        <v>31</v>
      </c>
      <c r="E1464">
        <v>24</v>
      </c>
      <c r="F1464">
        <v>1</v>
      </c>
      <c r="G1464" t="s">
        <v>52</v>
      </c>
      <c r="H1464">
        <v>2056</v>
      </c>
      <c r="I1464">
        <v>2</v>
      </c>
      <c r="J1464" t="s">
        <v>33</v>
      </c>
      <c r="K1464">
        <v>2</v>
      </c>
      <c r="L1464">
        <v>4</v>
      </c>
      <c r="M1464" t="s">
        <v>34</v>
      </c>
      <c r="N1464">
        <v>4</v>
      </c>
      <c r="O1464" t="s">
        <v>41</v>
      </c>
      <c r="P1464">
        <v>12031</v>
      </c>
      <c r="Q1464">
        <v>0</v>
      </c>
      <c r="R1464" t="s">
        <v>36</v>
      </c>
      <c r="S1464">
        <v>11</v>
      </c>
      <c r="T1464">
        <v>3</v>
      </c>
      <c r="U1464">
        <v>1</v>
      </c>
      <c r="V1464">
        <v>1</v>
      </c>
      <c r="W1464">
        <v>21</v>
      </c>
      <c r="X1464">
        <v>2</v>
      </c>
      <c r="Y1464">
        <v>2</v>
      </c>
      <c r="Z1464">
        <v>20</v>
      </c>
      <c r="AA1464">
        <v>9</v>
      </c>
      <c r="AB1464">
        <v>9</v>
      </c>
      <c r="AC1464">
        <v>6</v>
      </c>
      <c r="AD1464">
        <f>IF(HR_Data[[#This Row],[Attrition]]="Yes",1,0)</f>
        <v>0</v>
      </c>
      <c r="AE1464" t="str">
        <f>IF(HR_Data[[#This Row],[Age]]&lt;=25,"18-25",IF(HR_Data[[#This Row],[Age]]&lt;=35,"26-35",IF(HR_Data[[#This Row],[Age]]&lt;=45,"36-45",IF(HR_Data[[#This Row],[Age]]&lt;=55,"46-55","55+"))))</f>
        <v>36-45</v>
      </c>
      <c r="AF1464">
        <f>IF(HR_Data[[#This Row],[Age]]&lt;=25,1,IF(HR_Data[[#This Row],[Age]]&lt;=35,2,IF(HR_Data[[#This Row],[Age]]&lt;=45,3,IF(HR_Data[[#This Row],[Age]]&lt;=55,4,5))))</f>
        <v>3</v>
      </c>
      <c r="AG1464" s="1" t="str">
        <f>IF(HR_Data[[#This Row],[MonthlyIncome]]&lt;3000,"&lt;3K",IF(HR_Data[[#This Row],[MonthlyIncome]]&lt;6000,"3K-6K",IF(HR_Data[[#This Row],[MonthlyIncome]]&lt;10000,"6K-10K","10K+")))</f>
        <v>10K+</v>
      </c>
      <c r="AH1464" s="1">
        <f>IF(HR_Data[[#This Row],[MonthlyIncome]]&lt;3000,1,IF(HR_Data[[#This Row],[MonthlyIncome]]&lt;6000,2,IF(HR_Data[[#This Row],[MonthlyIncome]]&lt;10000,3,4)))</f>
        <v>4</v>
      </c>
      <c r="AI1464" s="1" t="str">
        <f>IF(HR_Data[[#This Row],[YearsAtCompany]]&lt;=2,"0-2 Yrs",IF(HR_Data[[#This Row],[YearsAtCompany]]&lt;=5,"3-5 Yrs",IF(HR_Data[[#This Row],[YearsAtCompany]]&lt;=10,"6-10 Yrs","10+ Yrs")))</f>
        <v>10+ Yrs</v>
      </c>
      <c r="AJ1464" s="1">
        <f>IF(HR_Data[[#This Row],[YearsAtCompany]]&lt;=2,1,IF(HR_Data[[#This Row],[YearsAtCompany]]&lt;=5,2,IF(HR_Data[[#This Row],[YearsAtCompany]]&lt;=10,3,4)))</f>
        <v>4</v>
      </c>
      <c r="AK1464" s="1" t="str">
        <f>CHOOSE(HR_Data[[#This Row],[Education]],"Below College","College","Bachelor","Master","Doctor")</f>
        <v>Below College</v>
      </c>
      <c r="AL1464" s="1" t="str">
        <f>CHOOSE(HR_Data[[#This Row],[JobSatisfaction]],"Low","Medium","High","Very High")</f>
        <v>Very High</v>
      </c>
      <c r="AM1464" s="1" t="str">
        <f>CHOOSE(HR_Data[[#This Row],[EnvironmentSatisfaction]],"Low","Medium","High","Very High")</f>
        <v>Medium</v>
      </c>
      <c r="AN1464" s="1" t="str">
        <f>CHOOSE(HR_Data[[#This Row],[WorkLifeBalance]],"Bad","Good","Better","Best")</f>
        <v>Good</v>
      </c>
      <c r="AO1464" s="1" t="str">
        <f>IF(HR_Data[[#This Row],[PercentSalaryHike]]&lt;=13,"11-13%",IF(HR_Data[[#This Row],[PercentSalaryHike]]&lt;=16,"14-16%",IF(HR_Data[[#This Row],[PercentSalaryHike]]&lt;=19,"17-19%","20-25%")))</f>
        <v>11-13%</v>
      </c>
      <c r="AP1464" s="1">
        <f>IF(HR_Data[[#This Row],[PercentSalaryHike]]&lt;=13,1,IF(HR_Data[[#This Row],[PercentSalaryHike]]&lt;=16,2,IF(HR_Data[[#This Row],[PercentSalaryHike]]&lt;=19,3,4)))</f>
        <v>1</v>
      </c>
      <c r="AQ1464" s="1" t="str">
        <f>IF(HR_Data[[#This Row],[DistanceFromHome]]&lt;=5,"1 to 5",IF(HR_Data[[#This Row],[DistanceFromHome]]&lt;=10,"6 to 10",IF(HR_Data[[#This Row],[DistanceFromHome]]&lt;=20,"11 to 20","21 to 29")))</f>
        <v>21 to 29</v>
      </c>
      <c r="AR1464" s="1">
        <f>IF(HR_Data[[#This Row],[DistanceFromHome]]&lt;=5,1,IF(HR_Data[[#This Row],[DistanceFromHome]]&lt;=10,2,IF(HR_Data[[#This Row],[DistanceFromHome]]&lt;=20,3,4)))</f>
        <v>4</v>
      </c>
      <c r="AS1464" s="1" t="str">
        <f>IF(HR_Data[[#This Row],[TotalWorkingYears]]&lt;=5,"0-5 Yrs",IF(HR_Data[[#This Row],[TotalWorkingYears]]&lt;=10,"6-10 Yrs",IF(HR_Data[[#This Row],[TotalWorkingYears]]&lt;=20,"11-20 Yrs","20+ Yrs")))</f>
        <v>20+ Yrs</v>
      </c>
      <c r="AT1464" s="1">
        <f>IF(HR_Data[[#This Row],[TotalWorkingYears]]&lt;=5,1,IF(HR_Data[[#This Row],[TotalWorkingYears]]&lt;=10,2,IF(HR_Data[[#This Row],[TotalWorkingYears]]&lt;=20,3,4)))</f>
        <v>4</v>
      </c>
    </row>
    <row r="1465" spans="1:46" x14ac:dyDescent="0.25">
      <c r="A1465">
        <v>31</v>
      </c>
      <c r="B1465" t="s">
        <v>36</v>
      </c>
      <c r="C1465" t="s">
        <v>48</v>
      </c>
      <c r="D1465" t="s">
        <v>38</v>
      </c>
      <c r="E1465">
        <v>5</v>
      </c>
      <c r="F1465">
        <v>3</v>
      </c>
      <c r="G1465" t="s">
        <v>44</v>
      </c>
      <c r="H1465">
        <v>2057</v>
      </c>
      <c r="I1465">
        <v>2</v>
      </c>
      <c r="J1465" t="s">
        <v>39</v>
      </c>
      <c r="K1465">
        <v>3</v>
      </c>
      <c r="L1465">
        <v>2</v>
      </c>
      <c r="M1465" t="s">
        <v>46</v>
      </c>
      <c r="N1465">
        <v>1</v>
      </c>
      <c r="O1465" t="s">
        <v>35</v>
      </c>
      <c r="P1465">
        <v>9936</v>
      </c>
      <c r="Q1465">
        <v>0</v>
      </c>
      <c r="R1465" t="s">
        <v>36</v>
      </c>
      <c r="S1465">
        <v>19</v>
      </c>
      <c r="T1465">
        <v>3</v>
      </c>
      <c r="U1465">
        <v>2</v>
      </c>
      <c r="V1465">
        <v>0</v>
      </c>
      <c r="W1465">
        <v>10</v>
      </c>
      <c r="X1465">
        <v>2</v>
      </c>
      <c r="Y1465">
        <v>3</v>
      </c>
      <c r="Z1465">
        <v>9</v>
      </c>
      <c r="AA1465">
        <v>4</v>
      </c>
      <c r="AB1465">
        <v>1</v>
      </c>
      <c r="AC1465">
        <v>7</v>
      </c>
      <c r="AD1465">
        <f>IF(HR_Data[[#This Row],[Attrition]]="Yes",1,0)</f>
        <v>0</v>
      </c>
      <c r="AE1465" t="str">
        <f>IF(HR_Data[[#This Row],[Age]]&lt;=25,"18-25",IF(HR_Data[[#This Row],[Age]]&lt;=35,"26-35",IF(HR_Data[[#This Row],[Age]]&lt;=45,"36-45",IF(HR_Data[[#This Row],[Age]]&lt;=55,"46-55","55+"))))</f>
        <v>26-35</v>
      </c>
      <c r="AF1465">
        <f>IF(HR_Data[[#This Row],[Age]]&lt;=25,1,IF(HR_Data[[#This Row],[Age]]&lt;=35,2,IF(HR_Data[[#This Row],[Age]]&lt;=45,3,IF(HR_Data[[#This Row],[Age]]&lt;=55,4,5))))</f>
        <v>2</v>
      </c>
      <c r="AG1465" s="1" t="str">
        <f>IF(HR_Data[[#This Row],[MonthlyIncome]]&lt;3000,"&lt;3K",IF(HR_Data[[#This Row],[MonthlyIncome]]&lt;6000,"3K-6K",IF(HR_Data[[#This Row],[MonthlyIncome]]&lt;10000,"6K-10K","10K+")))</f>
        <v>6K-10K</v>
      </c>
      <c r="AH1465" s="1">
        <f>IF(HR_Data[[#This Row],[MonthlyIncome]]&lt;3000,1,IF(HR_Data[[#This Row],[MonthlyIncome]]&lt;6000,2,IF(HR_Data[[#This Row],[MonthlyIncome]]&lt;10000,3,4)))</f>
        <v>3</v>
      </c>
      <c r="AI1465" s="1" t="str">
        <f>IF(HR_Data[[#This Row],[YearsAtCompany]]&lt;=2,"0-2 Yrs",IF(HR_Data[[#This Row],[YearsAtCompany]]&lt;=5,"3-5 Yrs",IF(HR_Data[[#This Row],[YearsAtCompany]]&lt;=10,"6-10 Yrs","10+ Yrs")))</f>
        <v>6-10 Yrs</v>
      </c>
      <c r="AJ1465" s="1">
        <f>IF(HR_Data[[#This Row],[YearsAtCompany]]&lt;=2,1,IF(HR_Data[[#This Row],[YearsAtCompany]]&lt;=5,2,IF(HR_Data[[#This Row],[YearsAtCompany]]&lt;=10,3,4)))</f>
        <v>3</v>
      </c>
      <c r="AK1465" s="1" t="str">
        <f>CHOOSE(HR_Data[[#This Row],[Education]],"Below College","College","Bachelor","Master","Doctor")</f>
        <v>Bachelor</v>
      </c>
      <c r="AL1465" s="1" t="str">
        <f>CHOOSE(HR_Data[[#This Row],[JobSatisfaction]],"Low","Medium","High","Very High")</f>
        <v>Low</v>
      </c>
      <c r="AM1465" s="1" t="str">
        <f>CHOOSE(HR_Data[[#This Row],[EnvironmentSatisfaction]],"Low","Medium","High","Very High")</f>
        <v>Medium</v>
      </c>
      <c r="AN1465" s="1" t="str">
        <f>CHOOSE(HR_Data[[#This Row],[WorkLifeBalance]],"Bad","Good","Better","Best")</f>
        <v>Better</v>
      </c>
      <c r="AO1465" s="1" t="str">
        <f>IF(HR_Data[[#This Row],[PercentSalaryHike]]&lt;=13,"11-13%",IF(HR_Data[[#This Row],[PercentSalaryHike]]&lt;=16,"14-16%",IF(HR_Data[[#This Row],[PercentSalaryHike]]&lt;=19,"17-19%","20-25%")))</f>
        <v>17-19%</v>
      </c>
      <c r="AP1465" s="1">
        <f>IF(HR_Data[[#This Row],[PercentSalaryHike]]&lt;=13,1,IF(HR_Data[[#This Row],[PercentSalaryHike]]&lt;=16,2,IF(HR_Data[[#This Row],[PercentSalaryHike]]&lt;=19,3,4)))</f>
        <v>3</v>
      </c>
      <c r="AQ1465" s="1" t="str">
        <f>IF(HR_Data[[#This Row],[DistanceFromHome]]&lt;=5,"1 to 5",IF(HR_Data[[#This Row],[DistanceFromHome]]&lt;=10,"6 to 10",IF(HR_Data[[#This Row],[DistanceFromHome]]&lt;=20,"11 to 20","21 to 29")))</f>
        <v>1 to 5</v>
      </c>
      <c r="AR1465" s="1">
        <f>IF(HR_Data[[#This Row],[DistanceFromHome]]&lt;=5,1,IF(HR_Data[[#This Row],[DistanceFromHome]]&lt;=10,2,IF(HR_Data[[#This Row],[DistanceFromHome]]&lt;=20,3,4)))</f>
        <v>1</v>
      </c>
      <c r="AS1465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465" s="1">
        <f>IF(HR_Data[[#This Row],[TotalWorkingYears]]&lt;=5,1,IF(HR_Data[[#This Row],[TotalWorkingYears]]&lt;=10,2,IF(HR_Data[[#This Row],[TotalWorkingYears]]&lt;=20,3,4)))</f>
        <v>2</v>
      </c>
    </row>
    <row r="1466" spans="1:46" x14ac:dyDescent="0.25">
      <c r="A1466">
        <v>26</v>
      </c>
      <c r="B1466" t="s">
        <v>36</v>
      </c>
      <c r="C1466" t="s">
        <v>30</v>
      </c>
      <c r="D1466" t="s">
        <v>31</v>
      </c>
      <c r="E1466">
        <v>5</v>
      </c>
      <c r="F1466">
        <v>3</v>
      </c>
      <c r="G1466" t="s">
        <v>42</v>
      </c>
      <c r="H1466">
        <v>2060</v>
      </c>
      <c r="I1466">
        <v>4</v>
      </c>
      <c r="J1466" t="s">
        <v>33</v>
      </c>
      <c r="K1466">
        <v>2</v>
      </c>
      <c r="L1466">
        <v>1</v>
      </c>
      <c r="M1466" t="s">
        <v>50</v>
      </c>
      <c r="N1466">
        <v>3</v>
      </c>
      <c r="O1466" t="s">
        <v>35</v>
      </c>
      <c r="P1466">
        <v>2966</v>
      </c>
      <c r="Q1466">
        <v>0</v>
      </c>
      <c r="R1466" t="s">
        <v>36</v>
      </c>
      <c r="S1466">
        <v>18</v>
      </c>
      <c r="T1466">
        <v>3</v>
      </c>
      <c r="U1466">
        <v>4</v>
      </c>
      <c r="V1466">
        <v>0</v>
      </c>
      <c r="W1466">
        <v>5</v>
      </c>
      <c r="X1466">
        <v>2</v>
      </c>
      <c r="Y1466">
        <v>3</v>
      </c>
      <c r="Z1466">
        <v>4</v>
      </c>
      <c r="AA1466">
        <v>2</v>
      </c>
      <c r="AB1466">
        <v>0</v>
      </c>
      <c r="AC1466">
        <v>0</v>
      </c>
      <c r="AD1466">
        <f>IF(HR_Data[[#This Row],[Attrition]]="Yes",1,0)</f>
        <v>0</v>
      </c>
      <c r="AE1466" t="str">
        <f>IF(HR_Data[[#This Row],[Age]]&lt;=25,"18-25",IF(HR_Data[[#This Row],[Age]]&lt;=35,"26-35",IF(HR_Data[[#This Row],[Age]]&lt;=45,"36-45",IF(HR_Data[[#This Row],[Age]]&lt;=55,"46-55","55+"))))</f>
        <v>26-35</v>
      </c>
      <c r="AF1466">
        <f>IF(HR_Data[[#This Row],[Age]]&lt;=25,1,IF(HR_Data[[#This Row],[Age]]&lt;=35,2,IF(HR_Data[[#This Row],[Age]]&lt;=45,3,IF(HR_Data[[#This Row],[Age]]&lt;=55,4,5))))</f>
        <v>2</v>
      </c>
      <c r="AG1466" s="1" t="str">
        <f>IF(HR_Data[[#This Row],[MonthlyIncome]]&lt;3000,"&lt;3K",IF(HR_Data[[#This Row],[MonthlyIncome]]&lt;6000,"3K-6K",IF(HR_Data[[#This Row],[MonthlyIncome]]&lt;10000,"6K-10K","10K+")))</f>
        <v>&lt;3K</v>
      </c>
      <c r="AH1466" s="1">
        <f>IF(HR_Data[[#This Row],[MonthlyIncome]]&lt;3000,1,IF(HR_Data[[#This Row],[MonthlyIncome]]&lt;6000,2,IF(HR_Data[[#This Row],[MonthlyIncome]]&lt;10000,3,4)))</f>
        <v>1</v>
      </c>
      <c r="AI1466" s="1" t="str">
        <f>IF(HR_Data[[#This Row],[YearsAtCompany]]&lt;=2,"0-2 Yrs",IF(HR_Data[[#This Row],[YearsAtCompany]]&lt;=5,"3-5 Yrs",IF(HR_Data[[#This Row],[YearsAtCompany]]&lt;=10,"6-10 Yrs","10+ Yrs")))</f>
        <v>3-5 Yrs</v>
      </c>
      <c r="AJ1466" s="1">
        <f>IF(HR_Data[[#This Row],[YearsAtCompany]]&lt;=2,1,IF(HR_Data[[#This Row],[YearsAtCompany]]&lt;=5,2,IF(HR_Data[[#This Row],[YearsAtCompany]]&lt;=10,3,4)))</f>
        <v>2</v>
      </c>
      <c r="AK1466" s="1" t="str">
        <f>CHOOSE(HR_Data[[#This Row],[Education]],"Below College","College","Bachelor","Master","Doctor")</f>
        <v>Bachelor</v>
      </c>
      <c r="AL1466" s="1" t="str">
        <f>CHOOSE(HR_Data[[#This Row],[JobSatisfaction]],"Low","Medium","High","Very High")</f>
        <v>High</v>
      </c>
      <c r="AM1466" s="1" t="str">
        <f>CHOOSE(HR_Data[[#This Row],[EnvironmentSatisfaction]],"Low","Medium","High","Very High")</f>
        <v>Very High</v>
      </c>
      <c r="AN1466" s="1" t="str">
        <f>CHOOSE(HR_Data[[#This Row],[WorkLifeBalance]],"Bad","Good","Better","Best")</f>
        <v>Better</v>
      </c>
      <c r="AO1466" s="1" t="str">
        <f>IF(HR_Data[[#This Row],[PercentSalaryHike]]&lt;=13,"11-13%",IF(HR_Data[[#This Row],[PercentSalaryHike]]&lt;=16,"14-16%",IF(HR_Data[[#This Row],[PercentSalaryHike]]&lt;=19,"17-19%","20-25%")))</f>
        <v>17-19%</v>
      </c>
      <c r="AP1466" s="1">
        <f>IF(HR_Data[[#This Row],[PercentSalaryHike]]&lt;=13,1,IF(HR_Data[[#This Row],[PercentSalaryHike]]&lt;=16,2,IF(HR_Data[[#This Row],[PercentSalaryHike]]&lt;=19,3,4)))</f>
        <v>3</v>
      </c>
      <c r="AQ1466" s="1" t="str">
        <f>IF(HR_Data[[#This Row],[DistanceFromHome]]&lt;=5,"1 to 5",IF(HR_Data[[#This Row],[DistanceFromHome]]&lt;=10,"6 to 10",IF(HR_Data[[#This Row],[DistanceFromHome]]&lt;=20,"11 to 20","21 to 29")))</f>
        <v>1 to 5</v>
      </c>
      <c r="AR1466" s="1">
        <f>IF(HR_Data[[#This Row],[DistanceFromHome]]&lt;=5,1,IF(HR_Data[[#This Row],[DistanceFromHome]]&lt;=10,2,IF(HR_Data[[#This Row],[DistanceFromHome]]&lt;=20,3,4)))</f>
        <v>1</v>
      </c>
      <c r="AS1466" s="1" t="str">
        <f>IF(HR_Data[[#This Row],[TotalWorkingYears]]&lt;=5,"0-5 Yrs",IF(HR_Data[[#This Row],[TotalWorkingYears]]&lt;=10,"6-10 Yrs",IF(HR_Data[[#This Row],[TotalWorkingYears]]&lt;=20,"11-20 Yrs","20+ Yrs")))</f>
        <v>0-5 Yrs</v>
      </c>
      <c r="AT1466" s="1">
        <f>IF(HR_Data[[#This Row],[TotalWorkingYears]]&lt;=5,1,IF(HR_Data[[#This Row],[TotalWorkingYears]]&lt;=10,2,IF(HR_Data[[#This Row],[TotalWorkingYears]]&lt;=20,3,4)))</f>
        <v>1</v>
      </c>
    </row>
    <row r="1467" spans="1:46" x14ac:dyDescent="0.25">
      <c r="A1467">
        <v>36</v>
      </c>
      <c r="B1467" t="s">
        <v>36</v>
      </c>
      <c r="C1467" t="s">
        <v>37</v>
      </c>
      <c r="D1467" t="s">
        <v>38</v>
      </c>
      <c r="E1467">
        <v>23</v>
      </c>
      <c r="F1467">
        <v>2</v>
      </c>
      <c r="G1467" t="s">
        <v>44</v>
      </c>
      <c r="H1467">
        <v>2061</v>
      </c>
      <c r="I1467">
        <v>3</v>
      </c>
      <c r="J1467" t="s">
        <v>39</v>
      </c>
      <c r="K1467">
        <v>4</v>
      </c>
      <c r="L1467">
        <v>2</v>
      </c>
      <c r="M1467" t="s">
        <v>43</v>
      </c>
      <c r="N1467">
        <v>4</v>
      </c>
      <c r="O1467" t="s">
        <v>41</v>
      </c>
      <c r="P1467">
        <v>2571</v>
      </c>
      <c r="Q1467">
        <v>4</v>
      </c>
      <c r="R1467" t="s">
        <v>36</v>
      </c>
      <c r="S1467">
        <v>17</v>
      </c>
      <c r="T1467">
        <v>3</v>
      </c>
      <c r="U1467">
        <v>3</v>
      </c>
      <c r="V1467">
        <v>1</v>
      </c>
      <c r="W1467">
        <v>17</v>
      </c>
      <c r="X1467">
        <v>3</v>
      </c>
      <c r="Y1467">
        <v>3</v>
      </c>
      <c r="Z1467">
        <v>5</v>
      </c>
      <c r="AA1467">
        <v>2</v>
      </c>
      <c r="AB1467">
        <v>0</v>
      </c>
      <c r="AC1467">
        <v>3</v>
      </c>
      <c r="AD1467">
        <f>IF(HR_Data[[#This Row],[Attrition]]="Yes",1,0)</f>
        <v>0</v>
      </c>
      <c r="AE1467" t="str">
        <f>IF(HR_Data[[#This Row],[Age]]&lt;=25,"18-25",IF(HR_Data[[#This Row],[Age]]&lt;=35,"26-35",IF(HR_Data[[#This Row],[Age]]&lt;=45,"36-45",IF(HR_Data[[#This Row],[Age]]&lt;=55,"46-55","55+"))))</f>
        <v>36-45</v>
      </c>
      <c r="AF1467">
        <f>IF(HR_Data[[#This Row],[Age]]&lt;=25,1,IF(HR_Data[[#This Row],[Age]]&lt;=35,2,IF(HR_Data[[#This Row],[Age]]&lt;=45,3,IF(HR_Data[[#This Row],[Age]]&lt;=55,4,5))))</f>
        <v>3</v>
      </c>
      <c r="AG1467" s="1" t="str">
        <f>IF(HR_Data[[#This Row],[MonthlyIncome]]&lt;3000,"&lt;3K",IF(HR_Data[[#This Row],[MonthlyIncome]]&lt;6000,"3K-6K",IF(HR_Data[[#This Row],[MonthlyIncome]]&lt;10000,"6K-10K","10K+")))</f>
        <v>&lt;3K</v>
      </c>
      <c r="AH1467" s="1">
        <f>IF(HR_Data[[#This Row],[MonthlyIncome]]&lt;3000,1,IF(HR_Data[[#This Row],[MonthlyIncome]]&lt;6000,2,IF(HR_Data[[#This Row],[MonthlyIncome]]&lt;10000,3,4)))</f>
        <v>1</v>
      </c>
      <c r="AI1467" s="1" t="str">
        <f>IF(HR_Data[[#This Row],[YearsAtCompany]]&lt;=2,"0-2 Yrs",IF(HR_Data[[#This Row],[YearsAtCompany]]&lt;=5,"3-5 Yrs",IF(HR_Data[[#This Row],[YearsAtCompany]]&lt;=10,"6-10 Yrs","10+ Yrs")))</f>
        <v>3-5 Yrs</v>
      </c>
      <c r="AJ1467" s="1">
        <f>IF(HR_Data[[#This Row],[YearsAtCompany]]&lt;=2,1,IF(HR_Data[[#This Row],[YearsAtCompany]]&lt;=5,2,IF(HR_Data[[#This Row],[YearsAtCompany]]&lt;=10,3,4)))</f>
        <v>2</v>
      </c>
      <c r="AK1467" s="1" t="str">
        <f>CHOOSE(HR_Data[[#This Row],[Education]],"Below College","College","Bachelor","Master","Doctor")</f>
        <v>College</v>
      </c>
      <c r="AL1467" s="1" t="str">
        <f>CHOOSE(HR_Data[[#This Row],[JobSatisfaction]],"Low","Medium","High","Very High")</f>
        <v>Very High</v>
      </c>
      <c r="AM1467" s="1" t="str">
        <f>CHOOSE(HR_Data[[#This Row],[EnvironmentSatisfaction]],"Low","Medium","High","Very High")</f>
        <v>High</v>
      </c>
      <c r="AN1467" s="1" t="str">
        <f>CHOOSE(HR_Data[[#This Row],[WorkLifeBalance]],"Bad","Good","Better","Best")</f>
        <v>Better</v>
      </c>
      <c r="AO1467" s="1" t="str">
        <f>IF(HR_Data[[#This Row],[PercentSalaryHike]]&lt;=13,"11-13%",IF(HR_Data[[#This Row],[PercentSalaryHike]]&lt;=16,"14-16%",IF(HR_Data[[#This Row],[PercentSalaryHike]]&lt;=19,"17-19%","20-25%")))</f>
        <v>17-19%</v>
      </c>
      <c r="AP1467" s="1">
        <f>IF(HR_Data[[#This Row],[PercentSalaryHike]]&lt;=13,1,IF(HR_Data[[#This Row],[PercentSalaryHike]]&lt;=16,2,IF(HR_Data[[#This Row],[PercentSalaryHike]]&lt;=19,3,4)))</f>
        <v>3</v>
      </c>
      <c r="AQ1467" s="1" t="str">
        <f>IF(HR_Data[[#This Row],[DistanceFromHome]]&lt;=5,"1 to 5",IF(HR_Data[[#This Row],[DistanceFromHome]]&lt;=10,"6 to 10",IF(HR_Data[[#This Row],[DistanceFromHome]]&lt;=20,"11 to 20","21 to 29")))</f>
        <v>21 to 29</v>
      </c>
      <c r="AR1467" s="1">
        <f>IF(HR_Data[[#This Row],[DistanceFromHome]]&lt;=5,1,IF(HR_Data[[#This Row],[DistanceFromHome]]&lt;=10,2,IF(HR_Data[[#This Row],[DistanceFromHome]]&lt;=20,3,4)))</f>
        <v>4</v>
      </c>
      <c r="AS1467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467" s="1">
        <f>IF(HR_Data[[#This Row],[TotalWorkingYears]]&lt;=5,1,IF(HR_Data[[#This Row],[TotalWorkingYears]]&lt;=10,2,IF(HR_Data[[#This Row],[TotalWorkingYears]]&lt;=20,3,4)))</f>
        <v>3</v>
      </c>
    </row>
    <row r="1468" spans="1:46" x14ac:dyDescent="0.25">
      <c r="A1468">
        <v>39</v>
      </c>
      <c r="B1468" t="s">
        <v>36</v>
      </c>
      <c r="C1468" t="s">
        <v>30</v>
      </c>
      <c r="D1468" t="s">
        <v>38</v>
      </c>
      <c r="E1468">
        <v>6</v>
      </c>
      <c r="F1468">
        <v>1</v>
      </c>
      <c r="G1468" t="s">
        <v>44</v>
      </c>
      <c r="H1468">
        <v>2062</v>
      </c>
      <c r="I1468">
        <v>4</v>
      </c>
      <c r="J1468" t="s">
        <v>39</v>
      </c>
      <c r="K1468">
        <v>2</v>
      </c>
      <c r="L1468">
        <v>3</v>
      </c>
      <c r="M1468" t="s">
        <v>47</v>
      </c>
      <c r="N1468">
        <v>1</v>
      </c>
      <c r="O1468" t="s">
        <v>41</v>
      </c>
      <c r="P1468">
        <v>9991</v>
      </c>
      <c r="Q1468">
        <v>4</v>
      </c>
      <c r="R1468" t="s">
        <v>36</v>
      </c>
      <c r="S1468">
        <v>15</v>
      </c>
      <c r="T1468">
        <v>3</v>
      </c>
      <c r="U1468">
        <v>1</v>
      </c>
      <c r="V1468">
        <v>1</v>
      </c>
      <c r="W1468">
        <v>9</v>
      </c>
      <c r="X1468">
        <v>5</v>
      </c>
      <c r="Y1468">
        <v>3</v>
      </c>
      <c r="Z1468">
        <v>7</v>
      </c>
      <c r="AA1468">
        <v>7</v>
      </c>
      <c r="AB1468">
        <v>1</v>
      </c>
      <c r="AC1468">
        <v>7</v>
      </c>
      <c r="AD1468">
        <f>IF(HR_Data[[#This Row],[Attrition]]="Yes",1,0)</f>
        <v>0</v>
      </c>
      <c r="AE1468" t="str">
        <f>IF(HR_Data[[#This Row],[Age]]&lt;=25,"18-25",IF(HR_Data[[#This Row],[Age]]&lt;=35,"26-35",IF(HR_Data[[#This Row],[Age]]&lt;=45,"36-45",IF(HR_Data[[#This Row],[Age]]&lt;=55,"46-55","55+"))))</f>
        <v>36-45</v>
      </c>
      <c r="AF1468">
        <f>IF(HR_Data[[#This Row],[Age]]&lt;=25,1,IF(HR_Data[[#This Row],[Age]]&lt;=35,2,IF(HR_Data[[#This Row],[Age]]&lt;=45,3,IF(HR_Data[[#This Row],[Age]]&lt;=55,4,5))))</f>
        <v>3</v>
      </c>
      <c r="AG1468" s="1" t="str">
        <f>IF(HR_Data[[#This Row],[MonthlyIncome]]&lt;3000,"&lt;3K",IF(HR_Data[[#This Row],[MonthlyIncome]]&lt;6000,"3K-6K",IF(HR_Data[[#This Row],[MonthlyIncome]]&lt;10000,"6K-10K","10K+")))</f>
        <v>6K-10K</v>
      </c>
      <c r="AH1468" s="1">
        <f>IF(HR_Data[[#This Row],[MonthlyIncome]]&lt;3000,1,IF(HR_Data[[#This Row],[MonthlyIncome]]&lt;6000,2,IF(HR_Data[[#This Row],[MonthlyIncome]]&lt;10000,3,4)))</f>
        <v>3</v>
      </c>
      <c r="AI1468" s="1" t="str">
        <f>IF(HR_Data[[#This Row],[YearsAtCompany]]&lt;=2,"0-2 Yrs",IF(HR_Data[[#This Row],[YearsAtCompany]]&lt;=5,"3-5 Yrs",IF(HR_Data[[#This Row],[YearsAtCompany]]&lt;=10,"6-10 Yrs","10+ Yrs")))</f>
        <v>6-10 Yrs</v>
      </c>
      <c r="AJ1468" s="1">
        <f>IF(HR_Data[[#This Row],[YearsAtCompany]]&lt;=2,1,IF(HR_Data[[#This Row],[YearsAtCompany]]&lt;=5,2,IF(HR_Data[[#This Row],[YearsAtCompany]]&lt;=10,3,4)))</f>
        <v>3</v>
      </c>
      <c r="AK1468" s="1" t="str">
        <f>CHOOSE(HR_Data[[#This Row],[Education]],"Below College","College","Bachelor","Master","Doctor")</f>
        <v>Below College</v>
      </c>
      <c r="AL1468" s="1" t="str">
        <f>CHOOSE(HR_Data[[#This Row],[JobSatisfaction]],"Low","Medium","High","Very High")</f>
        <v>Low</v>
      </c>
      <c r="AM1468" s="1" t="str">
        <f>CHOOSE(HR_Data[[#This Row],[EnvironmentSatisfaction]],"Low","Medium","High","Very High")</f>
        <v>Very High</v>
      </c>
      <c r="AN1468" s="1" t="str">
        <f>CHOOSE(HR_Data[[#This Row],[WorkLifeBalance]],"Bad","Good","Better","Best")</f>
        <v>Better</v>
      </c>
      <c r="AO1468" s="1" t="str">
        <f>IF(HR_Data[[#This Row],[PercentSalaryHike]]&lt;=13,"11-13%",IF(HR_Data[[#This Row],[PercentSalaryHike]]&lt;=16,"14-16%",IF(HR_Data[[#This Row],[PercentSalaryHike]]&lt;=19,"17-19%","20-25%")))</f>
        <v>14-16%</v>
      </c>
      <c r="AP1468" s="1">
        <f>IF(HR_Data[[#This Row],[PercentSalaryHike]]&lt;=13,1,IF(HR_Data[[#This Row],[PercentSalaryHike]]&lt;=16,2,IF(HR_Data[[#This Row],[PercentSalaryHike]]&lt;=19,3,4)))</f>
        <v>2</v>
      </c>
      <c r="AQ1468" s="1" t="str">
        <f>IF(HR_Data[[#This Row],[DistanceFromHome]]&lt;=5,"1 to 5",IF(HR_Data[[#This Row],[DistanceFromHome]]&lt;=10,"6 to 10",IF(HR_Data[[#This Row],[DistanceFromHome]]&lt;=20,"11 to 20","21 to 29")))</f>
        <v>6 to 10</v>
      </c>
      <c r="AR1468" s="1">
        <f>IF(HR_Data[[#This Row],[DistanceFromHome]]&lt;=5,1,IF(HR_Data[[#This Row],[DistanceFromHome]]&lt;=10,2,IF(HR_Data[[#This Row],[DistanceFromHome]]&lt;=20,3,4)))</f>
        <v>2</v>
      </c>
      <c r="AS1468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468" s="1">
        <f>IF(HR_Data[[#This Row],[TotalWorkingYears]]&lt;=5,1,IF(HR_Data[[#This Row],[TotalWorkingYears]]&lt;=10,2,IF(HR_Data[[#This Row],[TotalWorkingYears]]&lt;=20,3,4)))</f>
        <v>2</v>
      </c>
    </row>
    <row r="1469" spans="1:46" x14ac:dyDescent="0.25">
      <c r="A1469">
        <v>27</v>
      </c>
      <c r="B1469" t="s">
        <v>36</v>
      </c>
      <c r="C1469" t="s">
        <v>30</v>
      </c>
      <c r="D1469" t="s">
        <v>38</v>
      </c>
      <c r="E1469">
        <v>4</v>
      </c>
      <c r="F1469">
        <v>3</v>
      </c>
      <c r="G1469" t="s">
        <v>32</v>
      </c>
      <c r="H1469">
        <v>2064</v>
      </c>
      <c r="I1469">
        <v>2</v>
      </c>
      <c r="J1469" t="s">
        <v>39</v>
      </c>
      <c r="K1469">
        <v>4</v>
      </c>
      <c r="L1469">
        <v>2</v>
      </c>
      <c r="M1469" t="s">
        <v>46</v>
      </c>
      <c r="N1469">
        <v>2</v>
      </c>
      <c r="O1469" t="s">
        <v>41</v>
      </c>
      <c r="P1469">
        <v>6142</v>
      </c>
      <c r="Q1469">
        <v>1</v>
      </c>
      <c r="R1469" t="s">
        <v>29</v>
      </c>
      <c r="S1469">
        <v>20</v>
      </c>
      <c r="T1469">
        <v>4</v>
      </c>
      <c r="U1469">
        <v>2</v>
      </c>
      <c r="V1469">
        <v>1</v>
      </c>
      <c r="W1469">
        <v>6</v>
      </c>
      <c r="X1469">
        <v>0</v>
      </c>
      <c r="Y1469">
        <v>3</v>
      </c>
      <c r="Z1469">
        <v>6</v>
      </c>
      <c r="AA1469">
        <v>2</v>
      </c>
      <c r="AB1469">
        <v>0</v>
      </c>
      <c r="AC1469">
        <v>3</v>
      </c>
      <c r="AD1469">
        <f>IF(HR_Data[[#This Row],[Attrition]]="Yes",1,0)</f>
        <v>0</v>
      </c>
      <c r="AE1469" t="str">
        <f>IF(HR_Data[[#This Row],[Age]]&lt;=25,"18-25",IF(HR_Data[[#This Row],[Age]]&lt;=35,"26-35",IF(HR_Data[[#This Row],[Age]]&lt;=45,"36-45",IF(HR_Data[[#This Row],[Age]]&lt;=55,"46-55","55+"))))</f>
        <v>26-35</v>
      </c>
      <c r="AF1469">
        <f>IF(HR_Data[[#This Row],[Age]]&lt;=25,1,IF(HR_Data[[#This Row],[Age]]&lt;=35,2,IF(HR_Data[[#This Row],[Age]]&lt;=45,3,IF(HR_Data[[#This Row],[Age]]&lt;=55,4,5))))</f>
        <v>2</v>
      </c>
      <c r="AG1469" s="1" t="str">
        <f>IF(HR_Data[[#This Row],[MonthlyIncome]]&lt;3000,"&lt;3K",IF(HR_Data[[#This Row],[MonthlyIncome]]&lt;6000,"3K-6K",IF(HR_Data[[#This Row],[MonthlyIncome]]&lt;10000,"6K-10K","10K+")))</f>
        <v>6K-10K</v>
      </c>
      <c r="AH1469" s="1">
        <f>IF(HR_Data[[#This Row],[MonthlyIncome]]&lt;3000,1,IF(HR_Data[[#This Row],[MonthlyIncome]]&lt;6000,2,IF(HR_Data[[#This Row],[MonthlyIncome]]&lt;10000,3,4)))</f>
        <v>3</v>
      </c>
      <c r="AI1469" s="1" t="str">
        <f>IF(HR_Data[[#This Row],[YearsAtCompany]]&lt;=2,"0-2 Yrs",IF(HR_Data[[#This Row],[YearsAtCompany]]&lt;=5,"3-5 Yrs",IF(HR_Data[[#This Row],[YearsAtCompany]]&lt;=10,"6-10 Yrs","10+ Yrs")))</f>
        <v>6-10 Yrs</v>
      </c>
      <c r="AJ1469" s="1">
        <f>IF(HR_Data[[#This Row],[YearsAtCompany]]&lt;=2,1,IF(HR_Data[[#This Row],[YearsAtCompany]]&lt;=5,2,IF(HR_Data[[#This Row],[YearsAtCompany]]&lt;=10,3,4)))</f>
        <v>3</v>
      </c>
      <c r="AK1469" s="1" t="str">
        <f>CHOOSE(HR_Data[[#This Row],[Education]],"Below College","College","Bachelor","Master","Doctor")</f>
        <v>Bachelor</v>
      </c>
      <c r="AL1469" s="1" t="str">
        <f>CHOOSE(HR_Data[[#This Row],[JobSatisfaction]],"Low","Medium","High","Very High")</f>
        <v>Medium</v>
      </c>
      <c r="AM1469" s="1" t="str">
        <f>CHOOSE(HR_Data[[#This Row],[EnvironmentSatisfaction]],"Low","Medium","High","Very High")</f>
        <v>Medium</v>
      </c>
      <c r="AN1469" s="1" t="str">
        <f>CHOOSE(HR_Data[[#This Row],[WorkLifeBalance]],"Bad","Good","Better","Best")</f>
        <v>Better</v>
      </c>
      <c r="AO1469" s="1" t="str">
        <f>IF(HR_Data[[#This Row],[PercentSalaryHike]]&lt;=13,"11-13%",IF(HR_Data[[#This Row],[PercentSalaryHike]]&lt;=16,"14-16%",IF(HR_Data[[#This Row],[PercentSalaryHike]]&lt;=19,"17-19%","20-25%")))</f>
        <v>20-25%</v>
      </c>
      <c r="AP1469" s="1">
        <f>IF(HR_Data[[#This Row],[PercentSalaryHike]]&lt;=13,1,IF(HR_Data[[#This Row],[PercentSalaryHike]]&lt;=16,2,IF(HR_Data[[#This Row],[PercentSalaryHike]]&lt;=19,3,4)))</f>
        <v>4</v>
      </c>
      <c r="AQ1469" s="1" t="str">
        <f>IF(HR_Data[[#This Row],[DistanceFromHome]]&lt;=5,"1 to 5",IF(HR_Data[[#This Row],[DistanceFromHome]]&lt;=10,"6 to 10",IF(HR_Data[[#This Row],[DistanceFromHome]]&lt;=20,"11 to 20","21 to 29")))</f>
        <v>1 to 5</v>
      </c>
      <c r="AR1469" s="1">
        <f>IF(HR_Data[[#This Row],[DistanceFromHome]]&lt;=5,1,IF(HR_Data[[#This Row],[DistanceFromHome]]&lt;=10,2,IF(HR_Data[[#This Row],[DistanceFromHome]]&lt;=20,3,4)))</f>
        <v>1</v>
      </c>
      <c r="AS1469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469" s="1">
        <f>IF(HR_Data[[#This Row],[TotalWorkingYears]]&lt;=5,1,IF(HR_Data[[#This Row],[TotalWorkingYears]]&lt;=10,2,IF(HR_Data[[#This Row],[TotalWorkingYears]]&lt;=20,3,4)))</f>
        <v>2</v>
      </c>
    </row>
    <row r="1470" spans="1:46" x14ac:dyDescent="0.25">
      <c r="A1470">
        <v>49</v>
      </c>
      <c r="B1470" t="s">
        <v>36</v>
      </c>
      <c r="C1470" t="s">
        <v>37</v>
      </c>
      <c r="D1470" t="s">
        <v>31</v>
      </c>
      <c r="E1470">
        <v>2</v>
      </c>
      <c r="F1470">
        <v>3</v>
      </c>
      <c r="G1470" t="s">
        <v>44</v>
      </c>
      <c r="H1470">
        <v>2065</v>
      </c>
      <c r="I1470">
        <v>4</v>
      </c>
      <c r="J1470" t="s">
        <v>39</v>
      </c>
      <c r="K1470">
        <v>2</v>
      </c>
      <c r="L1470">
        <v>2</v>
      </c>
      <c r="M1470" t="s">
        <v>34</v>
      </c>
      <c r="N1470">
        <v>2</v>
      </c>
      <c r="O1470" t="s">
        <v>41</v>
      </c>
      <c r="P1470">
        <v>5390</v>
      </c>
      <c r="Q1470">
        <v>2</v>
      </c>
      <c r="R1470" t="s">
        <v>36</v>
      </c>
      <c r="S1470">
        <v>14</v>
      </c>
      <c r="T1470">
        <v>3</v>
      </c>
      <c r="U1470">
        <v>4</v>
      </c>
      <c r="V1470">
        <v>0</v>
      </c>
      <c r="W1470">
        <v>17</v>
      </c>
      <c r="X1470">
        <v>3</v>
      </c>
      <c r="Y1470">
        <v>2</v>
      </c>
      <c r="Z1470">
        <v>9</v>
      </c>
      <c r="AA1470">
        <v>6</v>
      </c>
      <c r="AB1470">
        <v>0</v>
      </c>
      <c r="AC1470">
        <v>8</v>
      </c>
      <c r="AD1470">
        <f>IF(HR_Data[[#This Row],[Attrition]]="Yes",1,0)</f>
        <v>0</v>
      </c>
      <c r="AE1470" t="str">
        <f>IF(HR_Data[[#This Row],[Age]]&lt;=25,"18-25",IF(HR_Data[[#This Row],[Age]]&lt;=35,"26-35",IF(HR_Data[[#This Row],[Age]]&lt;=45,"36-45",IF(HR_Data[[#This Row],[Age]]&lt;=55,"46-55","55+"))))</f>
        <v>46-55</v>
      </c>
      <c r="AF1470">
        <f>IF(HR_Data[[#This Row],[Age]]&lt;=25,1,IF(HR_Data[[#This Row],[Age]]&lt;=35,2,IF(HR_Data[[#This Row],[Age]]&lt;=45,3,IF(HR_Data[[#This Row],[Age]]&lt;=55,4,5))))</f>
        <v>4</v>
      </c>
      <c r="AG1470" s="1" t="str">
        <f>IF(HR_Data[[#This Row],[MonthlyIncome]]&lt;3000,"&lt;3K",IF(HR_Data[[#This Row],[MonthlyIncome]]&lt;6000,"3K-6K",IF(HR_Data[[#This Row],[MonthlyIncome]]&lt;10000,"6K-10K","10K+")))</f>
        <v>3K-6K</v>
      </c>
      <c r="AH1470" s="1">
        <f>IF(HR_Data[[#This Row],[MonthlyIncome]]&lt;3000,1,IF(HR_Data[[#This Row],[MonthlyIncome]]&lt;6000,2,IF(HR_Data[[#This Row],[MonthlyIncome]]&lt;10000,3,4)))</f>
        <v>2</v>
      </c>
      <c r="AI1470" s="1" t="str">
        <f>IF(HR_Data[[#This Row],[YearsAtCompany]]&lt;=2,"0-2 Yrs",IF(HR_Data[[#This Row],[YearsAtCompany]]&lt;=5,"3-5 Yrs",IF(HR_Data[[#This Row],[YearsAtCompany]]&lt;=10,"6-10 Yrs","10+ Yrs")))</f>
        <v>6-10 Yrs</v>
      </c>
      <c r="AJ1470" s="1">
        <f>IF(HR_Data[[#This Row],[YearsAtCompany]]&lt;=2,1,IF(HR_Data[[#This Row],[YearsAtCompany]]&lt;=5,2,IF(HR_Data[[#This Row],[YearsAtCompany]]&lt;=10,3,4)))</f>
        <v>3</v>
      </c>
      <c r="AK1470" s="1" t="str">
        <f>CHOOSE(HR_Data[[#This Row],[Education]],"Below College","College","Bachelor","Master","Doctor")</f>
        <v>Bachelor</v>
      </c>
      <c r="AL1470" s="1" t="str">
        <f>CHOOSE(HR_Data[[#This Row],[JobSatisfaction]],"Low","Medium","High","Very High")</f>
        <v>Medium</v>
      </c>
      <c r="AM1470" s="1" t="str">
        <f>CHOOSE(HR_Data[[#This Row],[EnvironmentSatisfaction]],"Low","Medium","High","Very High")</f>
        <v>Very High</v>
      </c>
      <c r="AN1470" s="1" t="str">
        <f>CHOOSE(HR_Data[[#This Row],[WorkLifeBalance]],"Bad","Good","Better","Best")</f>
        <v>Good</v>
      </c>
      <c r="AO1470" s="1" t="str">
        <f>IF(HR_Data[[#This Row],[PercentSalaryHike]]&lt;=13,"11-13%",IF(HR_Data[[#This Row],[PercentSalaryHike]]&lt;=16,"14-16%",IF(HR_Data[[#This Row],[PercentSalaryHike]]&lt;=19,"17-19%","20-25%")))</f>
        <v>14-16%</v>
      </c>
      <c r="AP1470" s="1">
        <f>IF(HR_Data[[#This Row],[PercentSalaryHike]]&lt;=13,1,IF(HR_Data[[#This Row],[PercentSalaryHike]]&lt;=16,2,IF(HR_Data[[#This Row],[PercentSalaryHike]]&lt;=19,3,4)))</f>
        <v>2</v>
      </c>
      <c r="AQ1470" s="1" t="str">
        <f>IF(HR_Data[[#This Row],[DistanceFromHome]]&lt;=5,"1 to 5",IF(HR_Data[[#This Row],[DistanceFromHome]]&lt;=10,"6 to 10",IF(HR_Data[[#This Row],[DistanceFromHome]]&lt;=20,"11 to 20","21 to 29")))</f>
        <v>1 to 5</v>
      </c>
      <c r="AR1470" s="1">
        <f>IF(HR_Data[[#This Row],[DistanceFromHome]]&lt;=5,1,IF(HR_Data[[#This Row],[DistanceFromHome]]&lt;=10,2,IF(HR_Data[[#This Row],[DistanceFromHome]]&lt;=20,3,4)))</f>
        <v>1</v>
      </c>
      <c r="AS1470" s="1" t="str">
        <f>IF(HR_Data[[#This Row],[TotalWorkingYears]]&lt;=5,"0-5 Yrs",IF(HR_Data[[#This Row],[TotalWorkingYears]]&lt;=10,"6-10 Yrs",IF(HR_Data[[#This Row],[TotalWorkingYears]]&lt;=20,"11-20 Yrs","20+ Yrs")))</f>
        <v>11-20 Yrs</v>
      </c>
      <c r="AT1470" s="1">
        <f>IF(HR_Data[[#This Row],[TotalWorkingYears]]&lt;=5,1,IF(HR_Data[[#This Row],[TotalWorkingYears]]&lt;=10,2,IF(HR_Data[[#This Row],[TotalWorkingYears]]&lt;=20,3,4)))</f>
        <v>3</v>
      </c>
    </row>
    <row r="1471" spans="1:46" x14ac:dyDescent="0.25">
      <c r="A1471">
        <v>34</v>
      </c>
      <c r="B1471" t="s">
        <v>36</v>
      </c>
      <c r="C1471" t="s">
        <v>30</v>
      </c>
      <c r="D1471" t="s">
        <v>38</v>
      </c>
      <c r="E1471">
        <v>8</v>
      </c>
      <c r="F1471">
        <v>3</v>
      </c>
      <c r="G1471" t="s">
        <v>44</v>
      </c>
      <c r="H1471">
        <v>2068</v>
      </c>
      <c r="I1471">
        <v>2</v>
      </c>
      <c r="J1471" t="s">
        <v>39</v>
      </c>
      <c r="K1471">
        <v>4</v>
      </c>
      <c r="L1471">
        <v>2</v>
      </c>
      <c r="M1471" t="s">
        <v>43</v>
      </c>
      <c r="N1471">
        <v>3</v>
      </c>
      <c r="O1471" t="s">
        <v>41</v>
      </c>
      <c r="P1471">
        <v>4404</v>
      </c>
      <c r="Q1471">
        <v>2</v>
      </c>
      <c r="R1471" t="s">
        <v>36</v>
      </c>
      <c r="S1471">
        <v>12</v>
      </c>
      <c r="T1471">
        <v>3</v>
      </c>
      <c r="U1471">
        <v>1</v>
      </c>
      <c r="V1471">
        <v>0</v>
      </c>
      <c r="W1471">
        <v>6</v>
      </c>
      <c r="X1471">
        <v>3</v>
      </c>
      <c r="Y1471">
        <v>4</v>
      </c>
      <c r="Z1471">
        <v>4</v>
      </c>
      <c r="AA1471">
        <v>3</v>
      </c>
      <c r="AB1471">
        <v>1</v>
      </c>
      <c r="AC1471">
        <v>2</v>
      </c>
      <c r="AD1471">
        <f>IF(HR_Data[[#This Row],[Attrition]]="Yes",1,0)</f>
        <v>0</v>
      </c>
      <c r="AE1471" t="str">
        <f>IF(HR_Data[[#This Row],[Age]]&lt;=25,"18-25",IF(HR_Data[[#This Row],[Age]]&lt;=35,"26-35",IF(HR_Data[[#This Row],[Age]]&lt;=45,"36-45",IF(HR_Data[[#This Row],[Age]]&lt;=55,"46-55","55+"))))</f>
        <v>26-35</v>
      </c>
      <c r="AF1471">
        <f>IF(HR_Data[[#This Row],[Age]]&lt;=25,1,IF(HR_Data[[#This Row],[Age]]&lt;=35,2,IF(HR_Data[[#This Row],[Age]]&lt;=45,3,IF(HR_Data[[#This Row],[Age]]&lt;=55,4,5))))</f>
        <v>2</v>
      </c>
      <c r="AG1471" s="1" t="str">
        <f>IF(HR_Data[[#This Row],[MonthlyIncome]]&lt;3000,"&lt;3K",IF(HR_Data[[#This Row],[MonthlyIncome]]&lt;6000,"3K-6K",IF(HR_Data[[#This Row],[MonthlyIncome]]&lt;10000,"6K-10K","10K+")))</f>
        <v>3K-6K</v>
      </c>
      <c r="AH1471" s="1">
        <f>IF(HR_Data[[#This Row],[MonthlyIncome]]&lt;3000,1,IF(HR_Data[[#This Row],[MonthlyIncome]]&lt;6000,2,IF(HR_Data[[#This Row],[MonthlyIncome]]&lt;10000,3,4)))</f>
        <v>2</v>
      </c>
      <c r="AI1471" s="1" t="str">
        <f>IF(HR_Data[[#This Row],[YearsAtCompany]]&lt;=2,"0-2 Yrs",IF(HR_Data[[#This Row],[YearsAtCompany]]&lt;=5,"3-5 Yrs",IF(HR_Data[[#This Row],[YearsAtCompany]]&lt;=10,"6-10 Yrs","10+ Yrs")))</f>
        <v>3-5 Yrs</v>
      </c>
      <c r="AJ1471" s="1">
        <f>IF(HR_Data[[#This Row],[YearsAtCompany]]&lt;=2,1,IF(HR_Data[[#This Row],[YearsAtCompany]]&lt;=5,2,IF(HR_Data[[#This Row],[YearsAtCompany]]&lt;=10,3,4)))</f>
        <v>2</v>
      </c>
      <c r="AK1471" s="1" t="str">
        <f>CHOOSE(HR_Data[[#This Row],[Education]],"Below College","College","Bachelor","Master","Doctor")</f>
        <v>Bachelor</v>
      </c>
      <c r="AL1471" s="1" t="str">
        <f>CHOOSE(HR_Data[[#This Row],[JobSatisfaction]],"Low","Medium","High","Very High")</f>
        <v>High</v>
      </c>
      <c r="AM1471" s="1" t="str">
        <f>CHOOSE(HR_Data[[#This Row],[EnvironmentSatisfaction]],"Low","Medium","High","Very High")</f>
        <v>Medium</v>
      </c>
      <c r="AN1471" s="1" t="str">
        <f>CHOOSE(HR_Data[[#This Row],[WorkLifeBalance]],"Bad","Good","Better","Best")</f>
        <v>Best</v>
      </c>
      <c r="AO1471" s="1" t="str">
        <f>IF(HR_Data[[#This Row],[PercentSalaryHike]]&lt;=13,"11-13%",IF(HR_Data[[#This Row],[PercentSalaryHike]]&lt;=16,"14-16%",IF(HR_Data[[#This Row],[PercentSalaryHike]]&lt;=19,"17-19%","20-25%")))</f>
        <v>11-13%</v>
      </c>
      <c r="AP1471" s="1">
        <f>IF(HR_Data[[#This Row],[PercentSalaryHike]]&lt;=13,1,IF(HR_Data[[#This Row],[PercentSalaryHike]]&lt;=16,2,IF(HR_Data[[#This Row],[PercentSalaryHike]]&lt;=19,3,4)))</f>
        <v>1</v>
      </c>
      <c r="AQ1471" s="1" t="str">
        <f>IF(HR_Data[[#This Row],[DistanceFromHome]]&lt;=5,"1 to 5",IF(HR_Data[[#This Row],[DistanceFromHome]]&lt;=10,"6 to 10",IF(HR_Data[[#This Row],[DistanceFromHome]]&lt;=20,"11 to 20","21 to 29")))</f>
        <v>6 to 10</v>
      </c>
      <c r="AR1471" s="1">
        <f>IF(HR_Data[[#This Row],[DistanceFromHome]]&lt;=5,1,IF(HR_Data[[#This Row],[DistanceFromHome]]&lt;=10,2,IF(HR_Data[[#This Row],[DistanceFromHome]]&lt;=20,3,4)))</f>
        <v>2</v>
      </c>
      <c r="AS1471" s="1" t="str">
        <f>IF(HR_Data[[#This Row],[TotalWorkingYears]]&lt;=5,"0-5 Yrs",IF(HR_Data[[#This Row],[TotalWorkingYears]]&lt;=10,"6-10 Yrs",IF(HR_Data[[#This Row],[TotalWorkingYears]]&lt;=20,"11-20 Yrs","20+ Yrs")))</f>
        <v>6-10 Yrs</v>
      </c>
      <c r="AT1471" s="1">
        <f>IF(HR_Data[[#This Row],[TotalWorkingYears]]&lt;=5,1,IF(HR_Data[[#This Row],[TotalWorkingYears]]&lt;=10,2,IF(HR_Data[[#This Row],[TotalWorkingYears]]&lt;=20,3,4)))</f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60C86-A64F-4541-A0C6-8985D6A73AF9}">
  <dimension ref="A3:D8"/>
  <sheetViews>
    <sheetView workbookViewId="0">
      <selection activeCell="E21" sqref="E21"/>
    </sheetView>
  </sheetViews>
  <sheetFormatPr defaultRowHeight="15" x14ac:dyDescent="0.25"/>
  <cols>
    <col min="1" max="1" width="13.42578125" bestFit="1" customWidth="1"/>
    <col min="2" max="2" width="19.42578125" bestFit="1" customWidth="1"/>
    <col min="3" max="3" width="26.140625" bestFit="1" customWidth="1"/>
    <col min="4" max="4" width="23.7109375" bestFit="1" customWidth="1"/>
  </cols>
  <sheetData>
    <row r="3" spans="1:4" x14ac:dyDescent="0.25">
      <c r="A3" s="3" t="s">
        <v>69</v>
      </c>
      <c r="B3" t="s">
        <v>66</v>
      </c>
      <c r="C3" t="s">
        <v>67</v>
      </c>
      <c r="D3" t="s">
        <v>68</v>
      </c>
    </row>
    <row r="4" spans="1:4" x14ac:dyDescent="0.25">
      <c r="A4" s="4" t="s">
        <v>71</v>
      </c>
      <c r="B4" s="1">
        <v>102</v>
      </c>
      <c r="C4" s="1">
        <v>342</v>
      </c>
      <c r="D4" s="2">
        <v>0.2982456140350877</v>
      </c>
    </row>
    <row r="5" spans="1:4" x14ac:dyDescent="0.25">
      <c r="A5" s="4" t="s">
        <v>72</v>
      </c>
      <c r="B5" s="1">
        <v>20</v>
      </c>
      <c r="C5" s="1">
        <v>246</v>
      </c>
      <c r="D5" s="2">
        <v>8.1300813008130079E-2</v>
      </c>
    </row>
    <row r="6" spans="1:4" x14ac:dyDescent="0.25">
      <c r="A6" s="4" t="s">
        <v>73</v>
      </c>
      <c r="B6" s="1">
        <v>60</v>
      </c>
      <c r="C6" s="1">
        <v>434</v>
      </c>
      <c r="D6" s="2">
        <v>0.13824884792626729</v>
      </c>
    </row>
    <row r="7" spans="1:4" x14ac:dyDescent="0.25">
      <c r="A7" s="4" t="s">
        <v>74</v>
      </c>
      <c r="B7" s="1">
        <v>55</v>
      </c>
      <c r="C7" s="1">
        <v>448</v>
      </c>
      <c r="D7" s="2">
        <v>0.12276785714285714</v>
      </c>
    </row>
    <row r="8" spans="1:4" x14ac:dyDescent="0.25">
      <c r="A8" s="4" t="s">
        <v>70</v>
      </c>
      <c r="B8" s="1">
        <v>237</v>
      </c>
      <c r="C8" s="1">
        <v>1470</v>
      </c>
      <c r="D8" s="2">
        <v>0.16122448979591836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HR_Data</vt:lpstr>
      <vt:lpstr>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Ubedullah</dc:creator>
  <cp:lastModifiedBy>Syed ubedullah</cp:lastModifiedBy>
  <dcterms:created xsi:type="dcterms:W3CDTF">2026-10-14T10:50:46Z</dcterms:created>
  <dcterms:modified xsi:type="dcterms:W3CDTF">2026-10-19T07:12:50Z</dcterms:modified>
</cp:coreProperties>
</file>